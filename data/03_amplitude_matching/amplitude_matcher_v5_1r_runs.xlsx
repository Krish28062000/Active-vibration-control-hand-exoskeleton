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dfb007e0c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sed Runs" sheetId="1" r:id="R9baac7269f604be2"/>
    <x:sheet xmlns:r="http://schemas.openxmlformats.org/officeDocument/2006/relationships" name="Thesis Summary" sheetId="2" r:id="Rf526768cdfa5464e"/>
    <x:sheet xmlns:r="http://schemas.openxmlformats.org/officeDocument/2006/relationships" name="Notes" sheetId="3" r:id="R6d54d8a70dd8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0"/>
    <x:numFmt numFmtId="202" formatCode="0.00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708cfc8d645f0" /><Relationship Type="http://schemas.openxmlformats.org/officeDocument/2006/relationships/theme" Target="/xl/theme/theme1.xml" Id="R9aedb262ac0240e6" /><Relationship Type="http://schemas.openxmlformats.org/officeDocument/2006/relationships/sharedStrings" Target="/xl/sharedStrings.xml" Id="Rc2f33fca64f94d82" /><Relationship Type="http://schemas.openxmlformats.org/officeDocument/2006/relationships/worksheet" Target="/xl/worksheets/sheet1.xml" Id="R9baac7269f604be2" /><Relationship Type="http://schemas.openxmlformats.org/officeDocument/2006/relationships/worksheet" Target="/xl/worksheets/sheet2.xml" Id="Rf526768cdfa5464e" /><Relationship Type="http://schemas.openxmlformats.org/officeDocument/2006/relationships/worksheet" Target="/xl/worksheets/sheet3.xml" Id="R6d54d8a70dd8405e" /></Relationships>
</file>

<file path=xl/tables/table1.xml><?xml version="1.0" encoding="utf-8"?>
<x:table xmlns:x="http://schemas.openxmlformats.org/spreadsheetml/2006/main" id="1" name="PassedRunsTable" displayName="PassedRunsTable" ref="A4:AA15" headerRowCount="1" totalsRowCount="0" totalsRowShown="0">
  <x:tableColumns count="27">
    <x:tableColumn id="1" name="Run ID"/>
    <x:tableColumn id="2" name="Frequency (Hz)"/>
    <x:tableColumn id="3" name="Axis"/>
    <x:tableColumn id="4" name="Target Peak (m/s²)"/>
    <x:tableColumn id="5" name="Final DAC"/>
    <x:tableColumn id="6" name="Hold Mean Amp (m/s²)"/>
    <x:tableColumn id="7" name="Mean Error (%)"/>
    <x:tableColumn id="8" name="|Mean Error| (%)"/>
    <x:tableColumn id="9" name="Hold CV (%)"/>
    <x:tableColumn id="10" name="RMS Error (%)"/>
    <x:tableColumn id="11" name="Max Abs Error (%)"/>
    <x:tableColumn id="12" name="Tight ±2.5% In-Band (%)"/>
    <x:tableColumn id="13" name="Primary ±5% In-Band (%)"/>
    <x:tableColumn id="14" name="Servo Corrections"/>
    <x:tableColumn id="15" name="Runtime Reacquires"/>
    <x:tableColumn id="16" name="Acq Records"/>
    <x:tableColumn id="17" name="Acq Rejects"/>
    <x:tableColumn id="18" name="Acq Restarts"/>
    <x:tableColumn id="19" name="Acq Time (s)"/>
    <x:tableColumn id="20" name="Match+Lock Time (s)"/>
    <x:tableColumn id="21" name="Total Run Time (s)"/>
    <x:tableColumn id="22" name="FFT Frequency (Hz)"/>
    <x:tableColumn id="23" name="FFT Error (Hz)"/>
    <x:tableColumn id="24" name="FFT SNR (dB)"/>
    <x:tableColumn id="25" name="Amplitude PASS"/>
    <x:tableColumn id="26" name="Phase-Sweep Ready"/>
    <x:tableColumn id="27" name="FFT P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281c2c52f1413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7" hidden="0" customWidth="1"/>
    <x:col min="4" max="4" width="14" hidden="0" customWidth="1"/>
    <x:col min="5" max="5" width="9" hidden="0" customWidth="1"/>
    <x:col min="6" max="6" width="15" hidden="0" customWidth="1"/>
    <x:col min="7" max="7" width="12" hidden="0" customWidth="1"/>
    <x:col min="8" max="8" width="13" hidden="0" customWidth="1"/>
    <x:col min="9" max="9" width="11" hidden="0" customWidth="1"/>
    <x:col min="10" max="10" width="12" hidden="0" customWidth="1"/>
    <x:col min="11" max="11" width="13" hidden="0" customWidth="1"/>
    <x:col min="12" max="12" width="16" hidden="0" customWidth="1"/>
    <x:col min="13" max="13" width="16" hidden="0" customWidth="1"/>
    <x:col min="14" max="14" width="12" hidden="0" customWidth="1"/>
    <x:col min="15" max="15" width="14" hidden="0" customWidth="1"/>
    <x:col min="16" max="16" width="11" hidden="0" customWidth="1"/>
    <x:col min="17" max="17" width="11" hidden="0" customWidth="1"/>
    <x:col min="18" max="18" width="11" hidden="0" customWidth="1"/>
    <x:col min="19" max="19" width="12" hidden="0" customWidth="1"/>
    <x:col min="20" max="20" width="14" hidden="0" customWidth="1"/>
    <x:col min="21" max="21" width="13" hidden="0" customWidth="1"/>
    <x:col min="22" max="22" width="14" hidden="0" customWidth="1"/>
    <x:col min="23" max="23" width="12" hidden="0" customWidth="1"/>
    <x:col min="24" max="24" width="11" hidden="0" customWidth="1"/>
    <x:col min="25" max="25" width="12" hidden="0" customWidth="1"/>
    <x:col min="26" max="26" width="15" hidden="0" customWidth="1"/>
    <x:col min="27" max="27" width="10" hidden="0" customWidth="1"/>
  </x:cols>
  <x:sheetData>
    <x:row r="1" ht="26" customHeight="1">
      <x:c r="A1" s="5" t="str">
        <x:v>V5.1R Amplitude Matcher — Passed Thesis Runs Only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28" customHeight="1">
      <x:c r="A2" s="12" t="str">
        <x:v>Source: Pasted text(20260819-180104).txt | 270 Hz | Failed Z=1.09 hardware-fault run excluded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</x:row>
    <x:row r="4" ht="42" customHeight="1">
      <x:c r="A4" s="20" t="str">
        <x:v>Run ID</x:v>
      </x:c>
      <x:c r="B4" s="20" t="str">
        <x:v>Frequency (Hz)</x:v>
      </x:c>
      <x:c r="C4" s="20" t="str">
        <x:v>Axis</x:v>
      </x:c>
      <x:c r="D4" s="20" t="str">
        <x:v>Target Peak (m/s²)</x:v>
      </x:c>
      <x:c r="E4" s="20" t="str">
        <x:v>Final DAC</x:v>
      </x:c>
      <x:c r="F4" s="20" t="str">
        <x:v>Hold Mean Amp (m/s²)</x:v>
      </x:c>
      <x:c r="G4" s="20" t="str">
        <x:v>Mean Error (%)</x:v>
      </x:c>
      <x:c r="H4" s="20" t="str">
        <x:v>|Mean Error| (%)</x:v>
      </x:c>
      <x:c r="I4" s="20" t="str">
        <x:v>Hold CV (%)</x:v>
      </x:c>
      <x:c r="J4" s="20" t="str">
        <x:v>RMS Error (%)</x:v>
      </x:c>
      <x:c r="K4" s="20" t="str">
        <x:v>Max Abs Error (%)</x:v>
      </x:c>
      <x:c r="L4" s="20" t="str">
        <x:v>Tight ±2.5% In-Band (%)</x:v>
      </x:c>
      <x:c r="M4" s="20" t="str">
        <x:v>Primary ±5% In-Band (%)</x:v>
      </x:c>
      <x:c r="N4" s="20" t="str">
        <x:v>Servo Corrections</x:v>
      </x:c>
      <x:c r="O4" s="20" t="str">
        <x:v>Runtime Reacquires</x:v>
      </x:c>
      <x:c r="P4" s="20" t="str">
        <x:v>Acq Records</x:v>
      </x:c>
      <x:c r="Q4" s="20" t="str">
        <x:v>Acq Rejects</x:v>
      </x:c>
      <x:c r="R4" s="20" t="str">
        <x:v>Acq Restarts</x:v>
      </x:c>
      <x:c r="S4" s="20" t="str">
        <x:v>Acq Time (s)</x:v>
      </x:c>
      <x:c r="T4" s="20" t="str">
        <x:v>Match+Lock Time (s)</x:v>
      </x:c>
      <x:c r="U4" s="20" t="str">
        <x:v>Total Run Time (s)</x:v>
      </x:c>
      <x:c r="V4" s="20" t="str">
        <x:v>FFT Frequency (Hz)</x:v>
      </x:c>
      <x:c r="W4" s="20" t="str">
        <x:v>FFT Error (Hz)</x:v>
      </x:c>
      <x:c r="X4" s="20" t="str">
        <x:v>FFT SNR (dB)</x:v>
      </x:c>
      <x:c r="Y4" s="20" t="str">
        <x:v>Amplitude PASS</x:v>
      </x:c>
      <x:c r="Z4" s="20" t="str">
        <x:v>Phase-Sweep Ready</x:v>
      </x:c>
      <x:c r="AA4" s="20" t="str">
        <x:v>FFT PASS</x:v>
      </x:c>
    </x:row>
    <x:row r="5">
      <x:c r="A5" s="26" t="str">
        <x:v>Y-1.28-R1</x:v>
      </x:c>
      <x:c r="B5" s="28" t="n">
        <x:v>270</x:v>
      </x:c>
      <x:c r="C5" s="26" t="str">
        <x:v>Y</x:v>
      </x:c>
      <x:c r="D5" s="28" t="n">
        <x:v>1.28</x:v>
      </x:c>
      <x:c r="E5" s="30" t="n">
        <x:v>14.25</x:v>
      </x:c>
      <x:c r="F5" s="28" t="n">
        <x:v>1.29776</x:v>
      </x:c>
      <x:c r="G5" s="30" t="n">
        <x:v>1.39</x:v>
      </x:c>
      <x:c r="H5" s="30" t="n">
        <x:f>ABS(G5)</x:f>
        <x:v>1.39</x:v>
      </x:c>
      <x:c r="I5" s="30" t="n">
        <x:v>1.12</x:v>
      </x:c>
      <x:c r="J5" s="30" t="n">
        <x:v>1.72</x:v>
      </x:c>
      <x:c r="K5" s="30" t="n">
        <x:v>2.15</x:v>
      </x:c>
      <x:c r="L5" s="30" t="n">
        <x:v>100</x:v>
      </x:c>
      <x:c r="M5" s="30" t="n">
        <x:v>100</x:v>
      </x:c>
      <x:c r="N5" s="26" t="n">
        <x:v>0</x:v>
      </x:c>
      <x:c r="O5" s="26" t="n">
        <x:v>0</x:v>
      </x:c>
      <x:c r="P5" s="26" t="n">
        <x:v>40</x:v>
      </x:c>
      <x:c r="Q5" s="26" t="n">
        <x:v>3</x:v>
      </x:c>
      <x:c r="R5" s="26" t="n">
        <x:v>0</x:v>
      </x:c>
      <x:c r="S5" s="32" t="n">
        <x:v>56.276</x:v>
      </x:c>
      <x:c r="T5" s="32" t="n">
        <x:v>62.332</x:v>
      </x:c>
      <x:c r="U5" s="32" t="n">
        <x:v>70.678</x:v>
      </x:c>
      <x:c r="V5" s="28" t="n">
        <x:v>270.08585</x:v>
      </x:c>
      <x:c r="W5" s="30" t="n">
        <x:f>V5-B5</x:f>
        <x:v>0.08584999999999354</x:v>
      </x:c>
      <x:c r="X5" s="30" t="n">
        <x:v>38.82</x:v>
      </x:c>
      <x:c r="Y5" s="26" t="str">
        <x:v>PASS</x:v>
      </x:c>
      <x:c r="Z5" s="26" t="str">
        <x:v>READY</x:v>
      </x:c>
      <x:c r="AA5" s="26" t="str">
        <x:v>PASS</x:v>
      </x:c>
    </x:row>
    <x:row r="6">
      <x:c r="A6" s="26" t="str">
        <x:v>Y-1.28-R2</x:v>
      </x:c>
      <x:c r="B6" s="28" t="n">
        <x:v>270</x:v>
      </x:c>
      <x:c r="C6" s="26" t="str">
        <x:v>Y</x:v>
      </x:c>
      <x:c r="D6" s="28" t="n">
        <x:v>1.28</x:v>
      </x:c>
      <x:c r="E6" s="30" t="n">
        <x:v>14.25</x:v>
      </x:c>
      <x:c r="F6" s="28" t="n">
        <x:v>1.31621</x:v>
      </x:c>
      <x:c r="G6" s="30" t="n">
        <x:v>2.83</x:v>
      </x:c>
      <x:c r="H6" s="30" t="n">
        <x:f>ABS(G6)</x:f>
        <x:v>2.83</x:v>
      </x:c>
      <x:c r="I6" s="30" t="n">
        <x:v>0.42</x:v>
      </x:c>
      <x:c r="J6" s="30" t="n">
        <x:v>2.86</x:v>
      </x:c>
      <x:c r="K6" s="30" t="n">
        <x:v>3.31</x:v>
      </x:c>
      <x:c r="L6" s="30" t="n">
        <x:v>20</x:v>
      </x:c>
      <x:c r="M6" s="30" t="n">
        <x:v>100</x:v>
      </x:c>
      <x:c r="N6" s="26" t="n">
        <x:v>0</x:v>
      </x:c>
      <x:c r="O6" s="26" t="n">
        <x:v>0</x:v>
      </x:c>
      <x:c r="P6" s="26" t="n">
        <x:v>2</x:v>
      </x:c>
      <x:c r="Q6" s="26" t="n">
        <x:v>0</x:v>
      </x:c>
      <x:c r="R6" s="26" t="n">
        <x:v>0</x:v>
      </x:c>
      <x:c r="S6" s="32" t="n">
        <x:v>3.482</x:v>
      </x:c>
      <x:c r="T6" s="32" t="n">
        <x:v>9.526</x:v>
      </x:c>
      <x:c r="U6" s="32" t="n">
        <x:v>17.871</x:v>
      </x:c>
      <x:c r="V6" s="28" t="n">
        <x:v>270.08107</x:v>
      </x:c>
      <x:c r="W6" s="30" t="n">
        <x:f>V6-B6</x:f>
        <x:v>0.08107000000001108</x:v>
      </x:c>
      <x:c r="X6" s="30" t="n">
        <x:v>38.43</x:v>
      </x:c>
      <x:c r="Y6" s="26" t="str">
        <x:v>PASS</x:v>
      </x:c>
      <x:c r="Z6" s="26" t="str">
        <x:v>READY</x:v>
      </x:c>
      <x:c r="AA6" s="26" t="str">
        <x:v>PASS</x:v>
      </x:c>
    </x:row>
    <x:row r="7">
      <x:c r="A7" s="26" t="str">
        <x:v>Z-1.28-R1</x:v>
      </x:c>
      <x:c r="B7" s="28" t="n">
        <x:v>270</x:v>
      </x:c>
      <x:c r="C7" s="26" t="str">
        <x:v>Z</x:v>
      </x:c>
      <x:c r="D7" s="28" t="n">
        <x:v>1.28</x:v>
      </x:c>
      <x:c r="E7" s="30" t="n">
        <x:v>7.25</x:v>
      </x:c>
      <x:c r="F7" s="28" t="n">
        <x:v>1.2782</x:v>
      </x:c>
      <x:c r="G7" s="30" t="n">
        <x:v>-0.14</x:v>
      </x:c>
      <x:c r="H7" s="30" t="n">
        <x:f>ABS(G7)</x:f>
        <x:v>0.14</x:v>
      </x:c>
      <x:c r="I7" s="30" t="n">
        <x:v>1.91</x:v>
      </x:c>
      <x:c r="J7" s="30" t="n">
        <x:v>1.71</x:v>
      </x:c>
      <x:c r="K7" s="30" t="n">
        <x:v>2.61</x:v>
      </x:c>
      <x:c r="L7" s="30" t="n">
        <x:v>80</x:v>
      </x:c>
      <x:c r="M7" s="30" t="n">
        <x:v>100</x:v>
      </x:c>
      <x:c r="N7" s="26" t="n">
        <x:v>0</x:v>
      </x:c>
      <x:c r="O7" s="26" t="n">
        <x:v>1</x:v>
      </x:c>
      <x:c r="P7" s="26" t="n">
        <x:v>16</x:v>
      </x:c>
      <x:c r="Q7" s="26" t="n">
        <x:v>0</x:v>
      </x:c>
      <x:c r="R7" s="26" t="n">
        <x:v>0</x:v>
      </x:c>
      <x:c r="S7" s="32" t="n">
        <x:v>23.219</x:v>
      </x:c>
      <x:c r="T7" s="32" t="n">
        <x:v>37.154</x:v>
      </x:c>
      <x:c r="U7" s="32" t="n">
        <x:v>81.966</x:v>
      </x:c>
      <x:c r="V7" s="28" t="n">
        <x:v>270.09084</x:v>
      </x:c>
      <x:c r="W7" s="30" t="n">
        <x:f>V7-B7</x:f>
        <x:v>0.09084000000001424</x:v>
      </x:c>
      <x:c r="X7" s="30" t="n">
        <x:v>36.7</x:v>
      </x:c>
      <x:c r="Y7" s="26" t="str">
        <x:v>PASS</x:v>
      </x:c>
      <x:c r="Z7" s="26" t="str">
        <x:v>READY</x:v>
      </x:c>
      <x:c r="AA7" s="26" t="str">
        <x:v>PASS</x:v>
      </x:c>
    </x:row>
    <x:row r="8">
      <x:c r="A8" s="26" t="str">
        <x:v>Z-1.28-R2</x:v>
      </x:c>
      <x:c r="B8" s="28" t="n">
        <x:v>270</x:v>
      </x:c>
      <x:c r="C8" s="26" t="str">
        <x:v>Z</x:v>
      </x:c>
      <x:c r="D8" s="28" t="n">
        <x:v>1.28</x:v>
      </x:c>
      <x:c r="E8" s="30" t="n">
        <x:v>7.25</x:v>
      </x:c>
      <x:c r="F8" s="28" t="n">
        <x:v>1.27477</x:v>
      </x:c>
      <x:c r="G8" s="30" t="n">
        <x:v>-0.41</x:v>
      </x:c>
      <x:c r="H8" s="30" t="n">
        <x:f>ABS(G8)</x:f>
        <x:v>0.41</x:v>
      </x:c>
      <x:c r="I8" s="30" t="n">
        <x:v>0.84</x:v>
      </x:c>
      <x:c r="J8" s="30" t="n">
        <x:v>0.85</x:v>
      </x:c>
      <x:c r="K8" s="30" t="n">
        <x:v>1.61</x:v>
      </x:c>
      <x:c r="L8" s="30" t="n">
        <x:v>100</x:v>
      </x:c>
      <x:c r="M8" s="30" t="n">
        <x:v>100</x:v>
      </x:c>
      <x:c r="N8" s="26" t="n">
        <x:v>0</x:v>
      </x:c>
      <x:c r="O8" s="26" t="n">
        <x:v>0</x:v>
      </x:c>
      <x:c r="P8" s="26" t="n">
        <x:v>2</x:v>
      </x:c>
      <x:c r="Q8" s="26" t="n">
        <x:v>0</x:v>
      </x:c>
      <x:c r="R8" s="26" t="n">
        <x:v>0</x:v>
      </x:c>
      <x:c r="S8" s="32" t="n">
        <x:v>3.166</x:v>
      </x:c>
      <x:c r="T8" s="32" t="n">
        <x:v>9.221</x:v>
      </x:c>
      <x:c r="U8" s="32" t="n">
        <x:v>17.568</x:v>
      </x:c>
      <x:c r="V8" s="28" t="n">
        <x:v>270.08934</x:v>
      </x:c>
      <x:c r="W8" s="30" t="n">
        <x:f>V8-B8</x:f>
        <x:v>0.08933999999999287</x:v>
      </x:c>
      <x:c r="X8" s="30" t="n">
        <x:v>35.7</x:v>
      </x:c>
      <x:c r="Y8" s="26" t="str">
        <x:v>PASS</x:v>
      </x:c>
      <x:c r="Z8" s="26" t="str">
        <x:v>READY</x:v>
      </x:c>
      <x:c r="AA8" s="26" t="str">
        <x:v>PASS</x:v>
      </x:c>
    </x:row>
    <x:row r="9">
      <x:c r="A9" s="26" t="str">
        <x:v>Y-0.85-R1</x:v>
      </x:c>
      <x:c r="B9" s="28" t="n">
        <x:v>270</x:v>
      </x:c>
      <x:c r="C9" s="26" t="str">
        <x:v>Y</x:v>
      </x:c>
      <x:c r="D9" s="28" t="n">
        <x:v>0.85</x:v>
      </x:c>
      <x:c r="E9" s="30" t="n">
        <x:v>10.5</x:v>
      </x:c>
      <x:c r="F9" s="28" t="n">
        <x:v>0.84946</x:v>
      </x:c>
      <x:c r="G9" s="30" t="n">
        <x:v>-0.06</x:v>
      </x:c>
      <x:c r="H9" s="30" t="n">
        <x:f>ABS(G9)</x:f>
        <x:v>0.06</x:v>
      </x:c>
      <x:c r="I9" s="30" t="n">
        <x:v>0.74</x:v>
      </x:c>
      <x:c r="J9" s="30" t="n">
        <x:v>0.66</x:v>
      </x:c>
      <x:c r="K9" s="30" t="n">
        <x:v>1.05</x:v>
      </x:c>
      <x:c r="L9" s="30" t="n">
        <x:v>100</x:v>
      </x:c>
      <x:c r="M9" s="30" t="n">
        <x:v>100</x:v>
      </x:c>
      <x:c r="N9" s="26" t="n">
        <x:v>0</x:v>
      </x:c>
      <x:c r="O9" s="26" t="n">
        <x:v>0</x:v>
      </x:c>
      <x:c r="P9" s="26" t="n">
        <x:v>17</x:v>
      </x:c>
      <x:c r="Q9" s="26" t="n">
        <x:v>0</x:v>
      </x:c>
      <x:c r="R9" s="26" t="n">
        <x:v>1</x:v>
      </x:c>
      <x:c r="S9" s="32" t="n">
        <x:v>59.213</x:v>
      </x:c>
      <x:c r="T9" s="32" t="n">
        <x:v>65.268</x:v>
      </x:c>
      <x:c r="U9" s="32" t="n">
        <x:v>73.614</x:v>
      </x:c>
      <x:c r="V9" s="28" t="n">
        <x:v>270.08513</x:v>
      </x:c>
      <x:c r="W9" s="30" t="n">
        <x:f>V9-B9</x:f>
        <x:v>0.08512999999999238</x:v>
      </x:c>
      <x:c r="X9" s="30" t="n">
        <x:v>36.18</x:v>
      </x:c>
      <x:c r="Y9" s="26" t="str">
        <x:v>PASS</x:v>
      </x:c>
      <x:c r="Z9" s="26" t="str">
        <x:v>READY</x:v>
      </x:c>
      <x:c r="AA9" s="26" t="str">
        <x:v>PASS</x:v>
      </x:c>
    </x:row>
    <x:row r="10">
      <x:c r="A10" s="26" t="str">
        <x:v>Y-0.85-R2</x:v>
      </x:c>
      <x:c r="B10" s="28" t="n">
        <x:v>270</x:v>
      </x:c>
      <x:c r="C10" s="26" t="str">
        <x:v>Y</x:v>
      </x:c>
      <x:c r="D10" s="28" t="n">
        <x:v>0.85</x:v>
      </x:c>
      <x:c r="E10" s="30" t="n">
        <x:v>10.5</x:v>
      </x:c>
      <x:c r="F10" s="28" t="n">
        <x:v>0.83812</x:v>
      </x:c>
      <x:c r="G10" s="30" t="n">
        <x:v>-1.4</x:v>
      </x:c>
      <x:c r="H10" s="30" t="n">
        <x:f>ABS(G10)</x:f>
        <x:v>1.4</x:v>
      </x:c>
      <x:c r="I10" s="30" t="n">
        <x:v>1.23</x:v>
      </x:c>
      <x:c r="J10" s="30" t="n">
        <x:v>1.77</x:v>
      </x:c>
      <x:c r="K10" s="30" t="n">
        <x:v>2.64</x:v>
      </x:c>
      <x:c r="L10" s="30" t="n">
        <x:v>80</x:v>
      </x:c>
      <x:c r="M10" s="30" t="n">
        <x:v>100</x:v>
      </x:c>
      <x:c r="N10" s="26" t="n">
        <x:v>0</x:v>
      </x:c>
      <x:c r="O10" s="26" t="n">
        <x:v>0</x:v>
      </x:c>
      <x:c r="P10" s="26" t="n">
        <x:v>2</x:v>
      </x:c>
      <x:c r="Q10" s="26" t="n">
        <x:v>0</x:v>
      </x:c>
      <x:c r="R10" s="26" t="n">
        <x:v>0</x:v>
      </x:c>
      <x:c r="S10" s="32" t="n">
        <x:v>3.312</x:v>
      </x:c>
      <x:c r="T10" s="32" t="n">
        <x:v>9.367</x:v>
      </x:c>
      <x:c r="U10" s="32" t="n">
        <x:v>17.712</x:v>
      </x:c>
      <x:c r="V10" s="28" t="n">
        <x:v>270.0821</x:v>
      </x:c>
      <x:c r="W10" s="30" t="n">
        <x:f>V10-B10</x:f>
        <x:v>0.08210000000002537</x:v>
      </x:c>
      <x:c r="X10" s="30" t="n">
        <x:v>37.37</x:v>
      </x:c>
      <x:c r="Y10" s="26" t="str">
        <x:v>PASS</x:v>
      </x:c>
      <x:c r="Z10" s="26" t="str">
        <x:v>READY</x:v>
      </x:c>
      <x:c r="AA10" s="26" t="str">
        <x:v>PASS</x:v>
      </x:c>
    </x:row>
    <x:row r="11">
      <x:c r="A11" s="26" t="str">
        <x:v>Z-0.85-R1</x:v>
      </x:c>
      <x:c r="B11" s="28" t="n">
        <x:v>270</x:v>
      </x:c>
      <x:c r="C11" s="26" t="str">
        <x:v>Z</x:v>
      </x:c>
      <x:c r="D11" s="28" t="n">
        <x:v>0.85</x:v>
      </x:c>
      <x:c r="E11" s="30" t="n">
        <x:v>6.25</x:v>
      </x:c>
      <x:c r="F11" s="28" t="n">
        <x:v>0.8434</x:v>
      </x:c>
      <x:c r="G11" s="30" t="n">
        <x:v>-0.78</x:v>
      </x:c>
      <x:c r="H11" s="30" t="n">
        <x:f>ABS(G11)</x:f>
        <x:v>0.78</x:v>
      </x:c>
      <x:c r="I11" s="30" t="n">
        <x:v>1.13</x:v>
      </x:c>
      <x:c r="J11" s="30" t="n">
        <x:v>1.27</x:v>
      </x:c>
      <x:c r="K11" s="30" t="n">
        <x:v>2.26</x:v>
      </x:c>
      <x:c r="L11" s="30" t="n">
        <x:v>100</x:v>
      </x:c>
      <x:c r="M11" s="30" t="n">
        <x:v>100</x:v>
      </x:c>
      <x:c r="N11" s="26" t="n">
        <x:v>0</x:v>
      </x:c>
      <x:c r="O11" s="26" t="n">
        <x:v>0</x:v>
      </x:c>
      <x:c r="P11" s="26" t="n">
        <x:v>13</x:v>
      </x:c>
      <x:c r="Q11" s="26" t="n">
        <x:v>1</x:v>
      </x:c>
      <x:c r="R11" s="26" t="n">
        <x:v>0</x:v>
      </x:c>
      <x:c r="S11" s="32" t="n">
        <x:v>18.542</x:v>
      </x:c>
      <x:c r="T11" s="32" t="n">
        <x:v>24.587</x:v>
      </x:c>
      <x:c r="U11" s="32" t="n">
        <x:v>32.933</x:v>
      </x:c>
      <x:c r="V11" s="28" t="n">
        <x:v>270.09139</x:v>
      </x:c>
      <x:c r="W11" s="30" t="n">
        <x:f>V11-B11</x:f>
        <x:v>0.09138999999998987</x:v>
      </x:c>
      <x:c r="X11" s="30" t="n">
        <x:v>35.6</x:v>
      </x:c>
      <x:c r="Y11" s="26" t="str">
        <x:v>PASS</x:v>
      </x:c>
      <x:c r="Z11" s="26" t="str">
        <x:v>READY</x:v>
      </x:c>
      <x:c r="AA11" s="26" t="str">
        <x:v>PASS</x:v>
      </x:c>
    </x:row>
    <x:row r="12">
      <x:c r="A12" s="26" t="str">
        <x:v>Z-0.85-R2</x:v>
      </x:c>
      <x:c r="B12" s="28" t="n">
        <x:v>270</x:v>
      </x:c>
      <x:c r="C12" s="26" t="str">
        <x:v>Z</x:v>
      </x:c>
      <x:c r="D12" s="28" t="n">
        <x:v>0.85</x:v>
      </x:c>
      <x:c r="E12" s="30" t="n">
        <x:v>6.25</x:v>
      </x:c>
      <x:c r="F12" s="28" t="n">
        <x:v>0.86103</x:v>
      </x:c>
      <x:c r="G12" s="30" t="n">
        <x:v>1.3</x:v>
      </x:c>
      <x:c r="H12" s="30" t="n">
        <x:f>ABS(G12)</x:f>
        <x:v>1.3</x:v>
      </x:c>
      <x:c r="I12" s="30" t="n">
        <x:v>1.52</x:v>
      </x:c>
      <x:c r="J12" s="30" t="n">
        <x:v>1.89</x:v>
      </x:c>
      <x:c r="K12" s="30" t="n">
        <x:v>3.57</x:v>
      </x:c>
      <x:c r="L12" s="30" t="n">
        <x:v>80</x:v>
      </x:c>
      <x:c r="M12" s="30" t="n">
        <x:v>100</x:v>
      </x:c>
      <x:c r="N12" s="26" t="n">
        <x:v>0</x:v>
      </x:c>
      <x:c r="O12" s="26" t="n">
        <x:v>0</x:v>
      </x:c>
      <x:c r="P12" s="26" t="n">
        <x:v>2</x:v>
      </x:c>
      <x:c r="Q12" s="26" t="n">
        <x:v>0</x:v>
      </x:c>
      <x:c r="R12" s="26" t="n">
        <x:v>0</x:v>
      </x:c>
      <x:c r="S12" s="32" t="n">
        <x:v>3.123</x:v>
      </x:c>
      <x:c r="T12" s="32" t="n">
        <x:v>9.157</x:v>
      </x:c>
      <x:c r="U12" s="32" t="n">
        <x:v>17.502</x:v>
      </x:c>
      <x:c r="V12" s="28" t="n">
        <x:v>270.08882</x:v>
      </x:c>
      <x:c r="W12" s="30" t="n">
        <x:f>V12-B12</x:f>
        <x:v>0.08881999999999834</x:v>
      </x:c>
      <x:c r="X12" s="30" t="n">
        <x:v>35.31</x:v>
      </x:c>
      <x:c r="Y12" s="26" t="str">
        <x:v>PASS</x:v>
      </x:c>
      <x:c r="Z12" s="26" t="str">
        <x:v>READY</x:v>
      </x:c>
      <x:c r="AA12" s="26" t="str">
        <x:v>PASS</x:v>
      </x:c>
    </x:row>
    <x:row r="13">
      <x:c r="A13" s="26" t="str">
        <x:v>Y-1.09-R1</x:v>
      </x:c>
      <x:c r="B13" s="28" t="n">
        <x:v>270</x:v>
      </x:c>
      <x:c r="C13" s="26" t="str">
        <x:v>Y</x:v>
      </x:c>
      <x:c r="D13" s="28" t="n">
        <x:v>1.09</x:v>
      </x:c>
      <x:c r="E13" s="30" t="n">
        <x:v>11</x:v>
      </x:c>
      <x:c r="F13" s="28" t="n">
        <x:v>1.10617</x:v>
      </x:c>
      <x:c r="G13" s="30" t="n">
        <x:v>1.48</x:v>
      </x:c>
      <x:c r="H13" s="30" t="n">
        <x:f>ABS(G13)</x:f>
        <x:v>1.48</x:v>
      </x:c>
      <x:c r="I13" s="30" t="n">
        <x:v>0.9</x:v>
      </x:c>
      <x:c r="J13" s="30" t="n">
        <x:v>1.69</x:v>
      </x:c>
      <x:c r="K13" s="30" t="n">
        <x:v>2.62</x:v>
      </x:c>
      <x:c r="L13" s="30" t="n">
        <x:v>80</x:v>
      </x:c>
      <x:c r="M13" s="30" t="n">
        <x:v>100</x:v>
      </x:c>
      <x:c r="N13" s="26" t="n">
        <x:v>0</x:v>
      </x:c>
      <x:c r="O13" s="26" t="n">
        <x:v>0</x:v>
      </x:c>
      <x:c r="P13" s="26" t="n">
        <x:v>17</x:v>
      </x:c>
      <x:c r="Q13" s="26" t="n">
        <x:v>1</x:v>
      </x:c>
      <x:c r="R13" s="26" t="n">
        <x:v>0</x:v>
      </x:c>
      <x:c r="S13" s="32" t="n">
        <x:v>24.344</x:v>
      </x:c>
      <x:c r="T13" s="32" t="n">
        <x:v>30.397</x:v>
      </x:c>
      <x:c r="U13" s="32" t="n">
        <x:v>38.746</x:v>
      </x:c>
      <x:c r="V13" s="28" t="n">
        <x:v>270.08772</x:v>
      </x:c>
      <x:c r="W13" s="30" t="n">
        <x:f>V13-B13</x:f>
        <x:v>0.08771999999999025</x:v>
      </x:c>
      <x:c r="X13" s="30" t="n">
        <x:v>36.69</x:v>
      </x:c>
      <x:c r="Y13" s="26" t="str">
        <x:v>PASS</x:v>
      </x:c>
      <x:c r="Z13" s="26" t="str">
        <x:v>READY</x:v>
      </x:c>
      <x:c r="AA13" s="26" t="str">
        <x:v>PASS</x:v>
      </x:c>
    </x:row>
    <x:row r="14">
      <x:c r="A14" s="26" t="str">
        <x:v>Y-1.09-R2</x:v>
      </x:c>
      <x:c r="B14" s="28" t="n">
        <x:v>270</x:v>
      </x:c>
      <x:c r="C14" s="26" t="str">
        <x:v>Y</x:v>
      </x:c>
      <x:c r="D14" s="28" t="n">
        <x:v>1.09</x:v>
      </x:c>
      <x:c r="E14" s="30" t="n">
        <x:v>11</x:v>
      </x:c>
      <x:c r="F14" s="28" t="n">
        <x:v>1.09706</x:v>
      </x:c>
      <x:c r="G14" s="30" t="n">
        <x:v>0.65</x:v>
      </x:c>
      <x:c r="H14" s="30" t="n">
        <x:f>ABS(G14)</x:f>
        <x:v>0.65</x:v>
      </x:c>
      <x:c r="I14" s="30" t="n">
        <x:v>1.59</x:v>
      </x:c>
      <x:c r="J14" s="30" t="n">
        <x:v>1.57</x:v>
      </x:c>
      <x:c r="K14" s="30" t="n">
        <x:v>2.77</x:v>
      </x:c>
      <x:c r="L14" s="30" t="n">
        <x:v>80</x:v>
      </x:c>
      <x:c r="M14" s="30" t="n">
        <x:v>100</x:v>
      </x:c>
      <x:c r="N14" s="26" t="n">
        <x:v>0</x:v>
      </x:c>
      <x:c r="O14" s="26" t="n">
        <x:v>0</x:v>
      </x:c>
      <x:c r="P14" s="26" t="n">
        <x:v>2</x:v>
      </x:c>
      <x:c r="Q14" s="26" t="n">
        <x:v>0</x:v>
      </x:c>
      <x:c r="R14" s="26" t="n">
        <x:v>0</x:v>
      </x:c>
      <x:c r="S14" s="32" t="n">
        <x:v>3.337</x:v>
      </x:c>
      <x:c r="T14" s="32" t="n">
        <x:v>9.394</x:v>
      </x:c>
      <x:c r="U14" s="32" t="n">
        <x:v>17.741</x:v>
      </x:c>
      <x:c r="V14" s="28" t="n">
        <x:v>270.08602</x:v>
      </x:c>
      <x:c r="W14" s="30" t="n">
        <x:f>V14-B14</x:f>
        <x:v>0.08602000000001908</x:v>
      </x:c>
      <x:c r="X14" s="30" t="n">
        <x:v>38.67</x:v>
      </x:c>
      <x:c r="Y14" s="26" t="str">
        <x:v>PASS</x:v>
      </x:c>
      <x:c r="Z14" s="26" t="str">
        <x:v>READY</x:v>
      </x:c>
      <x:c r="AA14" s="26" t="str">
        <x:v>PASS</x:v>
      </x:c>
    </x:row>
    <x:row r="15">
      <x:c r="A15" s="26" t="str">
        <x:v>Z-1.09-R2</x:v>
      </x:c>
      <x:c r="B15" s="28" t="n">
        <x:v>270</x:v>
      </x:c>
      <x:c r="C15" s="26" t="str">
        <x:v>Z</x:v>
      </x:c>
      <x:c r="D15" s="28" t="n">
        <x:v>1.09</x:v>
      </x:c>
      <x:c r="E15" s="30" t="n">
        <x:v>8.5</x:v>
      </x:c>
      <x:c r="F15" s="28" t="n">
        <x:v>1.09893</x:v>
      </x:c>
      <x:c r="G15" s="30" t="n">
        <x:v>0.82</x:v>
      </x:c>
      <x:c r="H15" s="30" t="n">
        <x:f>ABS(G15)</x:f>
        <x:v>0.82</x:v>
      </x:c>
      <x:c r="I15" s="30" t="n">
        <x:v>1.24</x:v>
      </x:c>
      <x:c r="J15" s="30" t="n">
        <x:v>1.39</x:v>
      </x:c>
      <x:c r="K15" s="30" t="n">
        <x:v>2.22</x:v>
      </x:c>
      <x:c r="L15" s="30" t="n">
        <x:v>100</x:v>
      </x:c>
      <x:c r="M15" s="30" t="n">
        <x:v>100</x:v>
      </x:c>
      <x:c r="N15" s="26" t="n">
        <x:v>0</x:v>
      </x:c>
      <x:c r="O15" s="26" t="n">
        <x:v>0</x:v>
      </x:c>
      <x:c r="P15" s="26" t="n">
        <x:v>17</x:v>
      </x:c>
      <x:c r="Q15" s="26" t="n">
        <x:v>0</x:v>
      </x:c>
      <x:c r="R15" s="26" t="n">
        <x:v>0</x:v>
      </x:c>
      <x:c r="S15" s="32" t="n">
        <x:v>24.229</x:v>
      </x:c>
      <x:c r="T15" s="32" t="n">
        <x:v>30.263</x:v>
      </x:c>
      <x:c r="U15" s="32" t="n">
        <x:v>38.608</x:v>
      </x:c>
      <x:c r="V15" s="28" t="n">
        <x:v>270.08279</x:v>
      </x:c>
      <x:c r="W15" s="30" t="n">
        <x:f>V15-B15</x:f>
        <x:v>0.0827899999999886</x:v>
      </x:c>
      <x:c r="X15" s="30" t="n">
        <x:v>36.79</x:v>
      </x:c>
      <x:c r="Y15" s="26" t="str">
        <x:v>PASS</x:v>
      </x:c>
      <x:c r="Z15" s="26" t="str">
        <x:v>READY</x:v>
      </x:c>
      <x:c r="AA15" s="26" t="str">
        <x:v>PASS</x:v>
      </x:c>
    </x:row>
  </x:sheetData>
  <x:mergeCells>
    <x:mergeCell ref="A1:AA1"/>
    <x:mergeCell ref="A2:AA2"/>
  </x:mergeCells>
  <x:conditionalFormatting sqref="H5:H1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I5:I15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9281c2c52f141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5" hidden="0" customWidth="1"/>
    <x:col min="5" max="5" width="14" hidden="0" customWidth="1"/>
    <x:col min="6" max="6" width="15" hidden="0" customWidth="1"/>
    <x:col min="7" max="7" width="12" hidden="0" customWidth="1"/>
    <x:col min="8" max="8" width="13" hidden="0" customWidth="1"/>
    <x:col min="9" max="9" width="17" hidden="0" customWidth="1"/>
    <x:col min="10" max="10" width="17" hidden="0" customWidth="1"/>
  </x:cols>
  <x:sheetData>
    <x:row r="1">
      <x:c r="A1" s="5" t="str">
        <x:v>V5.1R Passed-Run Summary for Thesis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0" t="str">
        <x:v>KPI</x:v>
      </x:c>
      <x:c r="B3" s="20" t="str">
        <x:v>Value</x:v>
      </x:c>
    </x:row>
    <x:row r="4">
      <x:c r="A4" t="str">
        <x:v>Passed runs documented</x:v>
      </x:c>
      <x:c r="B4" t="n">
        <x:v>11</x:v>
      </x:c>
    </x:row>
    <x:row r="5">
      <x:c r="A5" t="str">
        <x:v>Frequency tested (Hz)</x:v>
      </x:c>
      <x:c r="B5" t="n">
        <x:v>270</x:v>
      </x:c>
    </x:row>
    <x:row r="6">
      <x:c r="A6" t="str">
        <x:v>Overall mean |error| (%)</x:v>
      </x:c>
      <x:c r="B6" s="34" t="n">
        <x:f>AVERAGE('Passed Runs'!H5:H15)</x:f>
        <x:v>1.0236363636363637</x:v>
      </x:c>
    </x:row>
    <x:row r="7">
      <x:c r="A7" t="str">
        <x:v>Overall mean hold CV (%)</x:v>
      </x:c>
      <x:c r="B7" s="34" t="n">
        <x:f>AVERAGE('Passed Runs'!I5:I15)</x:f>
        <x:v>1.1490909090909092</x:v>
      </x:c>
    </x:row>
    <x:row r="8">
      <x:c r="A8" t="str">
        <x:v>Overall mean RMS error (%)</x:v>
      </x:c>
      <x:c r="B8" s="34" t="n">
        <x:f>AVERAGE('Passed Runs'!J5:J15)</x:f>
        <x:v>1.5799999999999998</x:v>
      </x:c>
    </x:row>
    <x:row r="11">
      <x:c r="A11" s="20" t="str">
        <x:v>Axis</x:v>
      </x:c>
      <x:c r="B11" s="20" t="str">
        <x:v>Target (m/s²)</x:v>
      </x:c>
      <x:c r="C11" s="20" t="str">
        <x:v>Passed Runs</x:v>
      </x:c>
      <x:c r="D11" s="20" t="str">
        <x:v>Mean Hold Amp</x:v>
      </x:c>
      <x:c r="E11" s="20" t="str">
        <x:v>Mean Error (%)</x:v>
      </x:c>
      <x:c r="F11" s="20" t="str">
        <x:v>Mean |Error| (%)</x:v>
      </x:c>
      <x:c r="G11" s="20" t="str">
        <x:v>Mean CV (%)</x:v>
      </x:c>
      <x:c r="H11" s="20" t="str">
        <x:v>Mean RMS (%)</x:v>
      </x:c>
      <x:c r="I11" s="20" t="str">
        <x:v>Mean Match+Lock (s)</x:v>
      </x:c>
      <x:c r="J11" s="20" t="str">
        <x:v>Mean FFT Error (Hz)</x:v>
      </x:c>
    </x:row>
    <x:row r="12">
      <x:c r="A12" t="str">
        <x:v>Y</x:v>
      </x:c>
      <x:c r="B12" s="34" t="n">
        <x:v>0.85</x:v>
      </x:c>
      <x:c r="C12" t="n">
        <x:f>COUNTIFS('Passed Runs'!$C$5:$C$15,A12,'Passed Runs'!$D$5:$D$15,B12)</x:f>
        <x:v>2</x:v>
      </x:c>
      <x:c r="D12" s="36" t="n">
        <x:f>IF(C12=0,"",SUMIFS('Passed Runs'!$F$5:$F$15,'Passed Runs'!$C$5:$C$15,A12,'Passed Runs'!$D$5:$D$15,B12)/C12)</x:f>
        <x:v>0.84379</x:v>
      </x:c>
      <x:c r="E12" s="34" t="n">
        <x:f>IF(C12=0,"",SUMIFS('Passed Runs'!$G$5:$G$15,'Passed Runs'!$C$5:$C$15,A12,'Passed Runs'!$D$5:$D$15,B12)/C12)</x:f>
        <x:v>-0.73</x:v>
      </x:c>
      <x:c r="F12" s="34" t="n">
        <x:f>IF(C12=0,"",SUMIFS('Passed Runs'!$H$5:$H$15,'Passed Runs'!$C$5:$C$15,A12,'Passed Runs'!$D$5:$D$15,B12)/C12)</x:f>
        <x:v>0.73</x:v>
      </x:c>
      <x:c r="G12" s="34" t="n">
        <x:f>IF(C12=0,"",SUMIFS('Passed Runs'!$I$5:$I$15,'Passed Runs'!$C$5:$C$15,A12,'Passed Runs'!$D$5:$D$15,B12)/C12)</x:f>
        <x:v>0.985</x:v>
      </x:c>
      <x:c r="H12" s="34" t="n">
        <x:f>IF(C12=0,"",SUMIFS('Passed Runs'!$J$5:$J$15,'Passed Runs'!$C$5:$C$15,A12,'Passed Runs'!$D$5:$D$15,B12)/C12)</x:f>
        <x:v>1.215</x:v>
      </x:c>
      <x:c r="I12" s="38" t="n">
        <x:f>IF(C12=0,"",SUMIFS('Passed Runs'!$T$5:$T$15,'Passed Runs'!$C$5:$C$15,A12,'Passed Runs'!$D$5:$D$15,B12)/C12)</x:f>
        <x:v>37.3175</x:v>
      </x:c>
      <x:c r="J12" s="36" t="n">
        <x:f>IF(C12=0,"",SUMIFS('Passed Runs'!$W$5:$W$15,'Passed Runs'!$C$5:$C$15,A12,'Passed Runs'!$D$5:$D$15,B12)/C12)</x:f>
        <x:v>0.08361500000000888</x:v>
      </x:c>
    </x:row>
    <x:row r="13">
      <x:c r="A13" t="str">
        <x:v>Z</x:v>
      </x:c>
      <x:c r="B13" s="34" t="n">
        <x:v>0.85</x:v>
      </x:c>
      <x:c r="C13" t="n">
        <x:f>COUNTIFS('Passed Runs'!$C$5:$C$15,A13,'Passed Runs'!$D$5:$D$15,B13)</x:f>
        <x:v>2</x:v>
      </x:c>
      <x:c r="D13" s="36" t="n">
        <x:f>IF(C13=0,"",SUMIFS('Passed Runs'!$F$5:$F$15,'Passed Runs'!$C$5:$C$15,A13,'Passed Runs'!$D$5:$D$15,B13)/C13)</x:f>
        <x:v>0.852215</x:v>
      </x:c>
      <x:c r="E13" s="34" t="n">
        <x:f>IF(C13=0,"",SUMIFS('Passed Runs'!$G$5:$G$15,'Passed Runs'!$C$5:$C$15,A13,'Passed Runs'!$D$5:$D$15,B13)/C13)</x:f>
        <x:v>0.26</x:v>
      </x:c>
      <x:c r="F13" s="34" t="n">
        <x:f>IF(C13=0,"",SUMIFS('Passed Runs'!$H$5:$H$15,'Passed Runs'!$C$5:$C$15,A13,'Passed Runs'!$D$5:$D$15,B13)/C13)</x:f>
        <x:v>1.04</x:v>
      </x:c>
      <x:c r="G13" s="34" t="n">
        <x:f>IF(C13=0,"",SUMIFS('Passed Runs'!$I$5:$I$15,'Passed Runs'!$C$5:$C$15,A13,'Passed Runs'!$D$5:$D$15,B13)/C13)</x:f>
        <x:v>1.325</x:v>
      </x:c>
      <x:c r="H13" s="34" t="n">
        <x:f>IF(C13=0,"",SUMIFS('Passed Runs'!$J$5:$J$15,'Passed Runs'!$C$5:$C$15,A13,'Passed Runs'!$D$5:$D$15,B13)/C13)</x:f>
        <x:v>1.58</x:v>
      </x:c>
      <x:c r="I13" s="38" t="n">
        <x:f>IF(C13=0,"",SUMIFS('Passed Runs'!$T$5:$T$15,'Passed Runs'!$C$5:$C$15,A13,'Passed Runs'!$D$5:$D$15,B13)/C13)</x:f>
        <x:v>16.872</x:v>
      </x:c>
      <x:c r="J13" s="36" t="n">
        <x:f>IF(C13=0,"",SUMIFS('Passed Runs'!$W$5:$W$15,'Passed Runs'!$C$5:$C$15,A13,'Passed Runs'!$D$5:$D$15,B13)/C13)</x:f>
        <x:v>0.0901049999999941</x:v>
      </x:c>
    </x:row>
    <x:row r="14">
      <x:c r="A14" t="str">
        <x:v>Y</x:v>
      </x:c>
      <x:c r="B14" s="34" t="n">
        <x:v>1.09</x:v>
      </x:c>
      <x:c r="C14" t="n">
        <x:f>COUNTIFS('Passed Runs'!$C$5:$C$15,A14,'Passed Runs'!$D$5:$D$15,B14)</x:f>
        <x:v>2</x:v>
      </x:c>
      <x:c r="D14" s="36" t="n">
        <x:f>IF(C14=0,"",SUMIFS('Passed Runs'!$F$5:$F$15,'Passed Runs'!$C$5:$C$15,A14,'Passed Runs'!$D$5:$D$15,B14)/C14)</x:f>
        <x:v>1.101615</x:v>
      </x:c>
      <x:c r="E14" s="34" t="n">
        <x:f>IF(C14=0,"",SUMIFS('Passed Runs'!$G$5:$G$15,'Passed Runs'!$C$5:$C$15,A14,'Passed Runs'!$D$5:$D$15,B14)/C14)</x:f>
        <x:v>1.065</x:v>
      </x:c>
      <x:c r="F14" s="34" t="n">
        <x:f>IF(C14=0,"",SUMIFS('Passed Runs'!$H$5:$H$15,'Passed Runs'!$C$5:$C$15,A14,'Passed Runs'!$D$5:$D$15,B14)/C14)</x:f>
        <x:v>1.065</x:v>
      </x:c>
      <x:c r="G14" s="34" t="n">
        <x:f>IF(C14=0,"",SUMIFS('Passed Runs'!$I$5:$I$15,'Passed Runs'!$C$5:$C$15,A14,'Passed Runs'!$D$5:$D$15,B14)/C14)</x:f>
        <x:v>1.245</x:v>
      </x:c>
      <x:c r="H14" s="34" t="n">
        <x:f>IF(C14=0,"",SUMIFS('Passed Runs'!$J$5:$J$15,'Passed Runs'!$C$5:$C$15,A14,'Passed Runs'!$D$5:$D$15,B14)/C14)</x:f>
        <x:v>1.63</x:v>
      </x:c>
      <x:c r="I14" s="38" t="n">
        <x:f>IF(C14=0,"",SUMIFS('Passed Runs'!$T$5:$T$15,'Passed Runs'!$C$5:$C$15,A14,'Passed Runs'!$D$5:$D$15,B14)/C14)</x:f>
        <x:v>19.8955</x:v>
      </x:c>
      <x:c r="J14" s="36" t="n">
        <x:f>IF(C14=0,"",SUMIFS('Passed Runs'!$W$5:$W$15,'Passed Runs'!$C$5:$C$15,A14,'Passed Runs'!$D$5:$D$15,B14)/C14)</x:f>
        <x:v>0.08687000000000467</x:v>
      </x:c>
    </x:row>
    <x:row r="15">
      <x:c r="A15" t="str">
        <x:v>Z</x:v>
      </x:c>
      <x:c r="B15" s="34" t="n">
        <x:v>1.09</x:v>
      </x:c>
      <x:c r="C15" t="n">
        <x:f>COUNTIFS('Passed Runs'!$C$5:$C$15,A15,'Passed Runs'!$D$5:$D$15,B15)</x:f>
        <x:v>1</x:v>
      </x:c>
      <x:c r="D15" s="36" t="n">
        <x:f>IF(C15=0,"",SUMIFS('Passed Runs'!$F$5:$F$15,'Passed Runs'!$C$5:$C$15,A15,'Passed Runs'!$D$5:$D$15,B15)/C15)</x:f>
        <x:v>1.09893</x:v>
      </x:c>
      <x:c r="E15" s="34" t="n">
        <x:f>IF(C15=0,"",SUMIFS('Passed Runs'!$G$5:$G$15,'Passed Runs'!$C$5:$C$15,A15,'Passed Runs'!$D$5:$D$15,B15)/C15)</x:f>
        <x:v>0.82</x:v>
      </x:c>
      <x:c r="F15" s="34" t="n">
        <x:f>IF(C15=0,"",SUMIFS('Passed Runs'!$H$5:$H$15,'Passed Runs'!$C$5:$C$15,A15,'Passed Runs'!$D$5:$D$15,B15)/C15)</x:f>
        <x:v>0.82</x:v>
      </x:c>
      <x:c r="G15" s="34" t="n">
        <x:f>IF(C15=0,"",SUMIFS('Passed Runs'!$I$5:$I$15,'Passed Runs'!$C$5:$C$15,A15,'Passed Runs'!$D$5:$D$15,B15)/C15)</x:f>
        <x:v>1.24</x:v>
      </x:c>
      <x:c r="H15" s="34" t="n">
        <x:f>IF(C15=0,"",SUMIFS('Passed Runs'!$J$5:$J$15,'Passed Runs'!$C$5:$C$15,A15,'Passed Runs'!$D$5:$D$15,B15)/C15)</x:f>
        <x:v>1.39</x:v>
      </x:c>
      <x:c r="I15" s="38" t="n">
        <x:f>IF(C15=0,"",SUMIFS('Passed Runs'!$T$5:$T$15,'Passed Runs'!$C$5:$C$15,A15,'Passed Runs'!$D$5:$D$15,B15)/C15)</x:f>
        <x:v>30.263</x:v>
      </x:c>
      <x:c r="J15" s="36" t="n">
        <x:f>IF(C15=0,"",SUMIFS('Passed Runs'!$W$5:$W$15,'Passed Runs'!$C$5:$C$15,A15,'Passed Runs'!$D$5:$D$15,B15)/C15)</x:f>
        <x:v>0.0827899999999886</x:v>
      </x:c>
    </x:row>
    <x:row r="16">
      <x:c r="A16" t="str">
        <x:v>Y</x:v>
      </x:c>
      <x:c r="B16" s="34" t="n">
        <x:v>1.28</x:v>
      </x:c>
      <x:c r="C16" t="n">
        <x:f>COUNTIFS('Passed Runs'!$C$5:$C$15,A16,'Passed Runs'!$D$5:$D$15,B16)</x:f>
        <x:v>2</x:v>
      </x:c>
      <x:c r="D16" s="36" t="n">
        <x:f>IF(C16=0,"",SUMIFS('Passed Runs'!$F$5:$F$15,'Passed Runs'!$C$5:$C$15,A16,'Passed Runs'!$D$5:$D$15,B16)/C16)</x:f>
        <x:v>1.306985</x:v>
      </x:c>
      <x:c r="E16" s="34" t="n">
        <x:f>IF(C16=0,"",SUMIFS('Passed Runs'!$G$5:$G$15,'Passed Runs'!$C$5:$C$15,A16,'Passed Runs'!$D$5:$D$15,B16)/C16)</x:f>
        <x:v>2.11</x:v>
      </x:c>
      <x:c r="F16" s="34" t="n">
        <x:f>IF(C16=0,"",SUMIFS('Passed Runs'!$H$5:$H$15,'Passed Runs'!$C$5:$C$15,A16,'Passed Runs'!$D$5:$D$15,B16)/C16)</x:f>
        <x:v>2.11</x:v>
      </x:c>
      <x:c r="G16" s="34" t="n">
        <x:f>IF(C16=0,"",SUMIFS('Passed Runs'!$I$5:$I$15,'Passed Runs'!$C$5:$C$15,A16,'Passed Runs'!$D$5:$D$15,B16)/C16)</x:f>
        <x:v>0.77</x:v>
      </x:c>
      <x:c r="H16" s="34" t="n">
        <x:f>IF(C16=0,"",SUMIFS('Passed Runs'!$J$5:$J$15,'Passed Runs'!$C$5:$C$15,A16,'Passed Runs'!$D$5:$D$15,B16)/C16)</x:f>
        <x:v>2.29</x:v>
      </x:c>
      <x:c r="I16" s="38" t="n">
        <x:f>IF(C16=0,"",SUMIFS('Passed Runs'!$T$5:$T$15,'Passed Runs'!$C$5:$C$15,A16,'Passed Runs'!$D$5:$D$15,B16)/C16)</x:f>
        <x:v>35.929</x:v>
      </x:c>
      <x:c r="J16" s="36" t="n">
        <x:f>IF(C16=0,"",SUMIFS('Passed Runs'!$W$5:$W$15,'Passed Runs'!$C$5:$C$15,A16,'Passed Runs'!$D$5:$D$15,B16)/C16)</x:f>
        <x:v>0.08346000000000231</x:v>
      </x:c>
    </x:row>
    <x:row r="17">
      <x:c r="A17" t="str">
        <x:v>Z</x:v>
      </x:c>
      <x:c r="B17" s="34" t="n">
        <x:v>1.28</x:v>
      </x:c>
      <x:c r="C17" t="n">
        <x:f>COUNTIFS('Passed Runs'!$C$5:$C$15,A17,'Passed Runs'!$D$5:$D$15,B17)</x:f>
        <x:v>2</x:v>
      </x:c>
      <x:c r="D17" s="36" t="n">
        <x:f>IF(C17=0,"",SUMIFS('Passed Runs'!$F$5:$F$15,'Passed Runs'!$C$5:$C$15,A17,'Passed Runs'!$D$5:$D$15,B17)/C17)</x:f>
        <x:v>1.276485</x:v>
      </x:c>
      <x:c r="E17" s="34" t="n">
        <x:f>IF(C17=0,"",SUMIFS('Passed Runs'!$G$5:$G$15,'Passed Runs'!$C$5:$C$15,A17,'Passed Runs'!$D$5:$D$15,B17)/C17)</x:f>
        <x:v>-0.275</x:v>
      </x:c>
      <x:c r="F17" s="34" t="n">
        <x:f>IF(C17=0,"",SUMIFS('Passed Runs'!$H$5:$H$15,'Passed Runs'!$C$5:$C$15,A17,'Passed Runs'!$D$5:$D$15,B17)/C17)</x:f>
        <x:v>0.275</x:v>
      </x:c>
      <x:c r="G17" s="34" t="n">
        <x:f>IF(C17=0,"",SUMIFS('Passed Runs'!$I$5:$I$15,'Passed Runs'!$C$5:$C$15,A17,'Passed Runs'!$D$5:$D$15,B17)/C17)</x:f>
        <x:v>1.375</x:v>
      </x:c>
      <x:c r="H17" s="34" t="n">
        <x:f>IF(C17=0,"",SUMIFS('Passed Runs'!$J$5:$J$15,'Passed Runs'!$C$5:$C$15,A17,'Passed Runs'!$D$5:$D$15,B17)/C17)</x:f>
        <x:v>1.28</x:v>
      </x:c>
      <x:c r="I17" s="38" t="n">
        <x:f>IF(C17=0,"",SUMIFS('Passed Runs'!$T$5:$T$15,'Passed Runs'!$C$5:$C$15,A17,'Passed Runs'!$D$5:$D$15,B17)/C17)</x:f>
        <x:v>23.1875</x:v>
      </x:c>
      <x:c r="J17" s="36" t="n">
        <x:f>IF(C17=0,"",SUMIFS('Passed Runs'!$W$5:$W$15,'Passed Runs'!$C$5:$C$15,A17,'Passed Runs'!$D$5:$D$15,B17)/C17)</x:f>
        <x:v>0.09009000000000356</x:v>
      </x:c>
    </x:row>
    <x:row r="20">
      <x:c r="A20" s="41" t="str">
        <x:v>Recommended thesis interpretation</x:v>
      </x:c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>
      <x:c r="A21" s="44" t="str">
        <x:v>All 11 completed V5.1R runs included here passed amplitude regulation, were classified phase-sweep ready, and passed the vector FFT verification. The failed Z=1.09 attempt is excluded because it terminated on a RAW_CLIPPING/HARDWARE_FAULT event before a valid control result. Cold-start and warm-start timing should be reported separately because warm-start runs reuse a previously validated operating point.</x:v>
      </x:c>
      <x:c r="B21" s="44"/>
      <x:c r="C21" s="44"/>
      <x:c r="D21" s="44"/>
      <x:c r="E21" s="44"/>
      <x:c r="F21" s="44"/>
      <x:c r="G21" s="44"/>
      <x:c r="H21" s="44"/>
      <x:c r="I21" s="44"/>
      <x:c r="J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</x:row>
  </x:sheetData>
  <x:mergeCells>
    <x:mergeCell ref="A1:J1"/>
    <x:mergeCell ref="A20:J20"/>
    <x:mergeCell ref="A21:J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5" t="str">
        <x:v>Documentation Notes</x:v>
      </x:c>
      <x:c r="B1" s="5"/>
    </x:row>
    <x:row r="3">
      <x:c r="A3" s="20" t="str">
        <x:v>Item</x:v>
      </x:c>
      <x:c r="B3" s="20" t="str">
        <x:v>Documentation decision</x:v>
      </x:c>
    </x:row>
    <x:row r="4">
      <x:c r="A4" s="26" t="str">
        <x:v>Algorithm</x:v>
      </x:c>
      <x:c r="B4" s="26" t="str">
        <x:v>V5.1R local-rebracket amplitude matcher</x:v>
      </x:c>
    </x:row>
    <x:row r="5">
      <x:c r="A5" s="26" t="str">
        <x:v>Included data</x:v>
      </x:c>
      <x:c r="B5" s="26" t="str">
        <x:v>Only completed runs with Amplitude PASS = YES</x:v>
      </x:c>
    </x:row>
    <x:row r="6">
      <x:c r="A6" s="26" t="str">
        <x:v>Excluded data</x:v>
      </x:c>
      <x:c r="B6" s="26" t="str">
        <x:v>Z-axis, target 1.09 m/s², Run 1 — RAW_CLIPPING / HARDWARE_FAULT before a valid result</x:v>
      </x:c>
    </x:row>
    <x:row r="7">
      <x:c r="A7" s="26" t="str">
        <x:v>Operating frequency</x:v>
      </x:c>
      <x:c r="B7" s="26" t="str">
        <x:v>270 Hz for all documented runs</x:v>
      </x:c>
    </x:row>
    <x:row r="8">
      <x:c r="A8" s="26" t="str">
        <x:v>Primary acceptance band</x:v>
      </x:c>
      <x:c r="B8" s="26" t="str">
        <x:v>±5% amplitude error</x:v>
      </x:c>
    </x:row>
    <x:row r="9">
      <x:c r="A9" s="26" t="str">
        <x:v>Preferred/tight band</x:v>
      </x:c>
      <x:c r="B9" s="26" t="str">
        <x:v>±2.5% amplitude error</x:v>
      </x:c>
    </x:row>
    <x:row r="10">
      <x:c r="A10" s="26" t="str">
        <x:v>Phase-sweep readiness</x:v>
      </x:c>
      <x:c r="B10" s="26" t="str">
        <x:v>All documented passed runs were reported READY</x:v>
      </x:c>
    </x:row>
    <x:row r="11">
      <x:c r="A11" s="26" t="str">
        <x:v>FFT validation</x:v>
      </x:c>
      <x:c r="B11" s="26" t="str">
        <x:v>All documented passed runs had VECTOR FFT = PASS</x:v>
      </x:c>
    </x:row>
    <x:row r="12">
      <x:c r="A12" s="26" t="str">
        <x:v>Timing interpretation</x:v>
      </x:c>
      <x:c r="B12" s="26" t="str">
        <x:v>Report cold-start and warm-start timing separately; do not interpret mixed timing CV as controller instability.</x:v>
      </x:c>
    </x:row>
    <x:row r="13">
      <x:c r="A13" s="26" t="str">
        <x:v>Source log</x:v>
      </x:c>
      <x:c r="B13" s="26" t="str">
        <x:v>Pasted text(20260819-180104).txt</x:v>
      </x:c>
    </x:row>
  </x:sheetData>
  <x:mergeCells>
    <x:mergeCell ref="A1:B1"/>
  </x:mergeCells>
  <x:pageMargins left="0.7" right="0.7" top="0.75" bottom="0.75" header="0.3" footer="0.3"/>
</x:worksheet>
</file>
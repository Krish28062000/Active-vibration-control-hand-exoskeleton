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53bd94cce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hesis_Overview" sheetId="1" r:id="Rfdfe954f22ef43c9"/>
    <x:sheet xmlns:r="http://schemas.openxmlformats.org/officeDocument/2006/relationships" name="01_Raw_Orientation" sheetId="2" r:id="Ra894357b975f4862"/>
    <x:sheet xmlns:r="http://schemas.openxmlformats.org/officeDocument/2006/relationships" name="02_Pose_Statistics" sheetId="3" r:id="Rcdf65435b56d444e"/>
    <x:sheet xmlns:r="http://schemas.openxmlformats.org/officeDocument/2006/relationships" name="03_Quality_Analysis" sheetId="4" r:id="Rbfa97009f92e4f06"/>
    <x:sheet xmlns:r="http://schemas.openxmlformats.org/officeDocument/2006/relationships" name="04_Orientation_Effect" sheetId="5" r:id="Re0d8522142d04d83"/>
    <x:sheet xmlns:r="http://schemas.openxmlformats.org/officeDocument/2006/relationships" name="05_Thesis_Interpretation" sheetId="6" r:id="R8213653626664daa"/>
    <x:sheet xmlns:r="http://schemas.openxmlformats.org/officeDocument/2006/relationships" name="06_Method_Definitions" sheetId="7" r:id="R83a313aa73f8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"/>
    <x:numFmt numFmtId="202" formatCode="0"/>
    <x:numFmt numFmtId="203" formatCode="0.0%"/>
    <x:numFmt numFmtId="204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1F6D7A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202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202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202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202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7c27ee1c046d8" /><Relationship Type="http://schemas.openxmlformats.org/officeDocument/2006/relationships/theme" Target="/xl/theme/theme1.xml" Id="Rb8777566237242fd" /><Relationship Type="http://schemas.openxmlformats.org/officeDocument/2006/relationships/sharedStrings" Target="/xl/sharedStrings.xml" Id="Rf1ea390516f64964" /><Relationship Type="http://schemas.openxmlformats.org/officeDocument/2006/relationships/worksheet" Target="/xl/worksheets/sheet1.xml" Id="Rfdfe954f22ef43c9" /><Relationship Type="http://schemas.openxmlformats.org/officeDocument/2006/relationships/worksheet" Target="/xl/worksheets/sheet2.xml" Id="Ra894357b975f4862" /><Relationship Type="http://schemas.openxmlformats.org/officeDocument/2006/relationships/worksheet" Target="/xl/worksheets/sheet3.xml" Id="Rcdf65435b56d444e" /><Relationship Type="http://schemas.openxmlformats.org/officeDocument/2006/relationships/worksheet" Target="/xl/worksheets/sheet4.xml" Id="Rbfa97009f92e4f06" /><Relationship Type="http://schemas.openxmlformats.org/officeDocument/2006/relationships/worksheet" Target="/xl/worksheets/sheet5.xml" Id="Re0d8522142d04d83" /><Relationship Type="http://schemas.openxmlformats.org/officeDocument/2006/relationships/worksheet" Target="/xl/worksheets/sheet6.xml" Id="R8213653626664daa" /><Relationship Type="http://schemas.openxmlformats.org/officeDocument/2006/relationships/worksheet" Target="/xl/worksheets/sheet7.xml" Id="R83a313aa73f84e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cdcf1c6e52431f" /><Relationship Type="http://schemas.openxmlformats.org/officeDocument/2006/relationships/chart" Target="/xl/drawings/charts/chart2.xml" Id="R98d87b50b58c455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45179a0ef1402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1e378c200314400" /><Relationship Type="http://schemas.openxmlformats.org/officeDocument/2006/relationships/chart" Target="/xl/drawings/charts/chart5.xml" Id="R7ed44ae4108d44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triaxial amplitudes and RSS by pose</a:t>
            </a:r>
          </a:p>
        </c:rich>
      </c:tx>
    </c:title>
    <c:plotArea>
      <c:lineChart>
        <c:grouping val="standard"/>
        <c:ser>
          <c:idx val="0"/>
          <c:order val="0"/>
          <c:tx>
            <c:v>X mean</c:v>
          </c:tx>
          <c:marker>
            <c:symbol val="none"/>
          </c:marker>
          <c:cat>
            <c:strRef>
              <c:f>'00_Thesis_Overview'!$A$34:$A$42</c:f>
              <c:strCache>
                <c:ptCount val="0"/>
              </c:strCache>
            </c:strRef>
          </c:cat>
          <c:val>
            <c:numRef>
              <c:f>'00_Thesis_Overview'!$B$34:$B$42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Y mean</c:v>
          </c:tx>
          <c:marker>
            <c:symbol val="none"/>
          </c:marker>
          <c:cat>
            <c:strRef>
              <c:f>'00_Thesis_Overview'!$A$34:$A$42</c:f>
              <c:strCache>
                <c:ptCount val="0"/>
              </c:strCache>
            </c:strRef>
          </c:cat>
          <c:val>
            <c:numRef>
              <c:f>'00_Thesis_Overview'!$C$34:$C$42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Z mean</c:v>
          </c:tx>
          <c:marker>
            <c:symbol val="none"/>
          </c:marker>
          <c:cat>
            <c:strRef>
              <c:f>'00_Thesis_Overview'!$A$34:$A$42</c:f>
              <c:strCache>
                <c:ptCount val="0"/>
              </c:strCache>
            </c:strRef>
          </c:cat>
          <c:val>
            <c:numRef>
              <c:f>'00_Thesis_Overview'!$D$34:$D$42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RSS mean</c:v>
          </c:tx>
          <c:marker>
            <c:symbol val="none"/>
          </c:marker>
          <c:cat>
            <c:strRef>
              <c:f>'00_Thesis_Overview'!$A$34:$A$42</c:f>
              <c:strCache>
                <c:ptCount val="0"/>
              </c:strCache>
            </c:strRef>
          </c:cat>
          <c:val>
            <c:numRef>
              <c:f>'00_Thesis_Overview'!$E$34:$E$42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Squared-amplitude directional share by pose</a:t>
            </a:r>
          </a:p>
        </c:rich>
      </c:tx>
    </c:title>
    <c:plotArea>
      <c:barChart>
        <c:barDir val="col"/>
        <c:grouping val="stacked"/>
        <c:varyColors val="0"/>
        <c:ser>
          <c:idx val="0"/>
          <c:order val="0"/>
          <c:tx>
            <c:v>X share %</c:v>
          </c:tx>
          <c:cat>
            <c:strRef>
              <c:f>'00_Thesis_Overview'!$A$46:$A$54</c:f>
              <c:strCache>
                <c:ptCount val="0"/>
              </c:strCache>
            </c:strRef>
          </c:cat>
          <c:val>
            <c:numRef>
              <c:f>'00_Thesis_Overview'!$B$46:$B$54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Y share %</c:v>
          </c:tx>
          <c:cat>
            <c:strRef>
              <c:f>'00_Thesis_Overview'!$A$46:$A$54</c:f>
              <c:strCache>
                <c:ptCount val="0"/>
              </c:strCache>
            </c:strRef>
          </c:cat>
          <c:val>
            <c:numRef>
              <c:f>'00_Thesis_Overview'!$C$46:$C$54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Z share %</c:v>
          </c:tx>
          <c:cat>
            <c:strRef>
              <c:f>'00_Thesis_Overview'!$A$46:$A$54</c:f>
              <c:strCache>
                <c:ptCount val="0"/>
              </c:strCache>
            </c:strRef>
          </c:cat>
          <c:val>
            <c:numRef>
              <c:f>'00_Thesis_Overview'!$D$46:$D$54</c:f>
              <c:numCache>
                <c:formatCode>0.0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within-record CV by pose</a:t>
            </a:r>
          </a:p>
        </c:rich>
      </c:tx>
    </c:title>
    <c:plotArea>
      <c:lineChart>
        <c:grouping val="standard"/>
        <c:ser>
          <c:idx val="0"/>
          <c:order val="0"/>
          <c:tx>
            <c:v>N</c:v>
          </c:tx>
          <c:marker>
            <c:symbol val="none"/>
          </c:marker>
          <c:cat>
            <c:strRef>
              <c:f>'03_Quality_Analysis'!$A$19:$A$27</c:f>
              <c:strCache>
                <c:ptCount val="0"/>
              </c:strCache>
            </c:strRef>
          </c:cat>
          <c:val>
            <c:numRef>
              <c:f>'03_Quality_Analysis'!$B$19:$B$27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Mean X window CV %</c:v>
          </c:tx>
          <c:marker>
            <c:symbol val="none"/>
          </c:marker>
          <c:cat>
            <c:strRef>
              <c:f>'03_Quality_Analysis'!$A$19:$A$27</c:f>
              <c:strCache>
                <c:ptCount val="0"/>
              </c:strCache>
            </c:strRef>
          </c:cat>
          <c:val>
            <c:numRef>
              <c:f>'03_Quality_Analysis'!$C$19:$C$27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Mean Y window CV %</c:v>
          </c:tx>
          <c:marker>
            <c:symbol val="none"/>
          </c:marker>
          <c:cat>
            <c:strRef>
              <c:f>'03_Quality_Analysis'!$A$19:$A$27</c:f>
              <c:strCache>
                <c:ptCount val="0"/>
              </c:strCache>
            </c:strRef>
          </c:cat>
          <c:val>
            <c:numRef>
              <c:f>'03_Quality_Analysis'!$D$19:$D$27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Mean Z window CV %</c:v>
          </c:tx>
          <c:marker>
            <c:symbol val="none"/>
          </c:marker>
          <c:cat>
            <c:strRef>
              <c:f>'03_Quality_Analysis'!$A$19:$A$27</c:f>
              <c:strCache>
                <c:ptCount val="0"/>
              </c:strCache>
            </c:strRef>
          </c:cat>
          <c:val>
            <c:numRef>
              <c:f>'03_Quality_Analysis'!$E$19:$E$27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X/Y/Z and RSS by pose</a:t>
            </a:r>
          </a:p>
        </c:rich>
      </c:tx>
    </c:title>
    <c:plotArea>
      <c:lineChart>
        <c:grouping val="standard"/>
        <c:ser>
          <c:idx val="0"/>
          <c:order val="0"/>
          <c:tx>
            <c:v>X mean</c:v>
          </c:tx>
          <c:marker>
            <c:symbol val="none"/>
          </c:marker>
          <c:cat>
            <c:strRef>
              <c:f>'04_Orientation_Effect'!$J$28:$J$36</c:f>
              <c:strCache>
                <c:ptCount val="0"/>
              </c:strCache>
            </c:strRef>
          </c:cat>
          <c:val>
            <c:numRef>
              <c:f>'04_Orientation_Effect'!$K$28:$K$36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Y mean</c:v>
          </c:tx>
          <c:marker>
            <c:symbol val="none"/>
          </c:marker>
          <c:cat>
            <c:strRef>
              <c:f>'04_Orientation_Effect'!$J$28:$J$36</c:f>
              <c:strCache>
                <c:ptCount val="0"/>
              </c:strCache>
            </c:strRef>
          </c:cat>
          <c:val>
            <c:numRef>
              <c:f>'04_Orientation_Effect'!$L$28:$L$36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Z mean</c:v>
          </c:tx>
          <c:marker>
            <c:symbol val="none"/>
          </c:marker>
          <c:cat>
            <c:strRef>
              <c:f>'04_Orientation_Effect'!$J$28:$J$36</c:f>
              <c:strCache>
                <c:ptCount val="0"/>
              </c:strCache>
            </c:strRef>
          </c:cat>
          <c:val>
            <c:numRef>
              <c:f>'04_Orientation_Effect'!$M$28:$M$36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Vector mean</c:v>
          </c:tx>
          <c:marker>
            <c:symbol val="none"/>
          </c:marker>
          <c:cat>
            <c:strRef>
              <c:f>'04_Orientation_Effect'!$J$28:$J$36</c:f>
              <c:strCache>
                <c:ptCount val="0"/>
              </c:strCache>
            </c:strRef>
          </c:cat>
          <c:val>
            <c:numRef>
              <c:f>'04_Orientation_Effect'!$N$28:$N$36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Complete orientation-monitor response over 102 records</a:t>
            </a:r>
          </a:p>
        </c:rich>
      </c:tx>
    </c:title>
    <c:plotArea>
      <c:lineChart>
        <c:grouping val="standard"/>
        <c:ser>
          <c:idx val="0"/>
          <c:order val="0"/>
          <c:tx>
            <c:v>X</c:v>
          </c:tx>
          <c:marker>
            <c:symbol val="none"/>
          </c:marker>
          <c:cat>
            <c:strRef>
              <c:f>'04_Orientation_Effect'!$P$60:$P$161</c:f>
              <c:strCache>
                <c:ptCount val="0"/>
              </c:strCache>
            </c:strRef>
          </c:cat>
          <c:val>
            <c:numRef>
              <c:f>'04_Orientation_Effect'!$Q$60:$Q$161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Y</c:v>
          </c:tx>
          <c:marker>
            <c:symbol val="none"/>
          </c:marker>
          <c:cat>
            <c:strRef>
              <c:f>'04_Orientation_Effect'!$P$60:$P$161</c:f>
              <c:strCache>
                <c:ptCount val="0"/>
              </c:strCache>
            </c:strRef>
          </c:cat>
          <c:val>
            <c:numRef>
              <c:f>'04_Orientation_Effect'!$R$60:$R$161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Z</c:v>
          </c:tx>
          <c:marker>
            <c:symbol val="none"/>
          </c:marker>
          <c:cat>
            <c:strRef>
              <c:f>'04_Orientation_Effect'!$P$60:$P$161</c:f>
              <c:strCache>
                <c:ptCount val="0"/>
              </c:strCache>
            </c:strRef>
          </c:cat>
          <c:val>
            <c:numRef>
              <c:f>'04_Orientation_Effect'!$S$60:$S$161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RSS</c:v>
          </c:tx>
          <c:marker>
            <c:symbol val="none"/>
          </c:marker>
          <c:cat>
            <c:strRef>
              <c:f>'04_Orientation_Effect'!$P$60:$P$161</c:f>
              <c:strCache>
                <c:ptCount val="0"/>
              </c:strCache>
            </c:strRef>
          </c:cat>
          <c:val>
            <c:numRef>
              <c:f>'04_Orientation_Effect'!$T$60:$T$161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31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cdcf1c6e52431f"/>
        </a:graphicData>
      </a:graphic>
    </xdr:graphicFrame>
    <xdr:clientData/>
  </xdr:twoCellAnchor>
  <xdr:twoCellAnchor>
    <xdr:from>
      <xdr:col>5</xdr:col>
      <xdr:colOff>0</xdr:colOff>
      <xdr:row>50</xdr:row>
      <xdr:rowOff>0</xdr:rowOff>
    </xdr:from>
    <xdr:to>
      <xdr:col>16</xdr:col>
      <xdr:colOff>0</xdr:colOff>
      <xdr:row>68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d87b50b58c455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17</xdr:row>
      <xdr:rowOff>0</xdr:rowOff>
    </xdr:from>
    <xdr:to>
      <xdr:col>20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45179a0ef1402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e378c200314400"/>
        </a:graphicData>
      </a:graphic>
    </xdr:graphicFrame>
    <xdr:clientData/>
  </xdr:twoCellAnchor>
  <xdr:twoCellAnchor>
    <xdr:from>
      <xdr:col>15</xdr:col>
      <xdr:colOff>0</xdr:colOff>
      <xdr:row>163</xdr:row>
      <xdr:rowOff>0</xdr:rowOff>
    </xdr:from>
    <xdr:to>
      <xdr:col>26</xdr:col>
      <xdr:colOff>0</xdr:colOff>
      <xdr:row>187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d44ae4108d44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ientationRawTable" displayName="OrientationRawTable" ref="A4:AH106" headerRowCount="1" totalsRowCount="0" totalsRowShown="0">
  <x:tableColumns count="34">
    <x:tableColumn id="1" name="Record"/>
    <x:tableColumn id="2" name="t_s"/>
    <x:tableColumn id="3" name="Pose_deg_logged"/>
    <x:tableColumn id="4" name="Freq_Hz"/>
    <x:tableColumn id="5" name="FrozenDAC"/>
    <x:tableColumn id="6" name="ControlAxis"/>
    <x:tableColumn id="7" name="Target_mps2"/>
    <x:tableColumn id="8" name="X_mps2"/>
    <x:tableColumn id="9" name="Y_mps2"/>
    <x:tableColumn id="10" name="Z_mps2"/>
    <x:tableColumn id="11" name="Vector_mps2"/>
    <x:tableColumn id="12" name="Selected_mps2"/>
    <x:tableColumn id="13" name="SelectedErr_pct"/>
    <x:tableColumn id="14" name="DominantAxis"/>
    <x:tableColumn id="15" name="X_sqShare_pct"/>
    <x:tableColumn id="16" name="Y_sqShare_pct"/>
    <x:tableColumn id="17" name="Z_sqShare_pct"/>
    <x:tableColumn id="18" name="ShareShift_pp"/>
    <x:tableColumn id="19" name="VectorChange_pct"/>
    <x:tableColumn id="20" name="X_CV_pct"/>
    <x:tableColumn id="21" name="Y_CV_pct"/>
    <x:tableColumn id="22" name="Z_CV_pct"/>
    <x:tableColumn id="23" name="ValidWindows"/>
    <x:tableColumn id="24" name="Quality"/>
    <x:tableColumn id="25" name="Thesis_Pose"/>
    <x:tableColumn id="26" name="Include_Pose_Stats"/>
    <x:tableColumn id="27" name="X_sq"/>
    <x:tableColumn id="28" name="Y_sq"/>
    <x:tableColumn id="29" name="Z_sq"/>
    <x:tableColumn id="30" name="Vector_sq"/>
    <x:tableColumn id="31" name="Within_Target_5pct"/>
    <x:tableColumn id="32" name="Within_Target_2.5pct"/>
    <x:tableColumn id="33" name="Quality_Driver"/>
    <x:tableColumn id="34" name="Analys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eStatisticsTable" displayName="PoseStatisticsTable" ref="A5:AH14" headerRowCount="1" totalsRowCount="0" totalsRowShown="0">
  <x:tableColumns count="34">
    <x:tableColumn id="1" name="Pose"/>
    <x:tableColumn id="2" name="Record range"/>
    <x:tableColumn id="3" name="N"/>
    <x:tableColumn id="4" name="X mean"/>
    <x:tableColumn id="5" name="X SD"/>
    <x:tableColumn id="6" name="X CV %"/>
    <x:tableColumn id="7" name="Y mean"/>
    <x:tableColumn id="8" name="Y SD"/>
    <x:tableColumn id="9" name="Y CV %"/>
    <x:tableColumn id="10" name="Z mean"/>
    <x:tableColumn id="11" name="Z SD"/>
    <x:tableColumn id="12" name="Z CV %"/>
    <x:tableColumn id="13" name="Vector mean"/>
    <x:tableColumn id="14" name="Vector SD"/>
    <x:tableColumn id="15" name="Vector CV %"/>
    <x:tableColumn id="16" name="Mean Z target error %"/>
    <x:tableColumn id="17" name="Z within ±5% %"/>
    <x:tableColumn id="18" name="X share %"/>
    <x:tableColumn id="19" name="Y share %"/>
    <x:tableColumn id="20" name="Z share %"/>
    <x:tableColumn id="21" name="Mean share shift pp"/>
    <x:tableColumn id="22" name="Mean vector change %"/>
    <x:tableColumn id="23" name="Dominant axis"/>
    <x:tableColumn id="24" name="Stable n"/>
    <x:tableColumn id="25" name="Stable %"/>
    <x:tableColumn id="26" name="X-CV-only transient n"/>
    <x:tableColumn id="27" name="Mean X window CV %"/>
    <x:tableColumn id="28" name="Mean Y window CV %"/>
    <x:tableColumn id="29" name="Mean Z window CV %"/>
    <x:tableColumn id="30" name="Mean valid windows"/>
    <x:tableColumn id="31" name="Min Z"/>
    <x:tableColumn id="32" name="Max Z"/>
    <x:tableColumn id="33" name="Z max/min ratio"/>
    <x:tableColumn id="34" name="Interpretiv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entationEffectTable" displayName="OrientationEffectTable" ref="A5:N14" headerRowCount="1" totalsRowCount="0" totalsRowShown="0">
  <x:tableColumns count="14">
    <x:tableColumn id="1" name="Pose"/>
    <x:tableColumn id="2" name="N"/>
    <x:tableColumn id="3" name="ΔX %"/>
    <x:tableColumn id="4" name="ΔY %"/>
    <x:tableColumn id="5" name="ΔZ %"/>
    <x:tableColumn id="6" name="ΔVector %"/>
    <x:tableColumn id="7" name="ΔX share pp"/>
    <x:tableColumn id="8" name="ΔY share pp"/>
    <x:tableColumn id="9" name="ΔZ share pp"/>
    <x:tableColumn id="10" name="Mean Z / P0 Z"/>
    <x:tableColumn id="11" name="Mean Vector / P0 Vector"/>
    <x:tableColumn id="12" name="Z target error %"/>
    <x:tableColumn id="13" name="Dominant axis"/>
    <x:tableColumn id="14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2cee09e13544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f37ba3616f4c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6429f30fce4d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fef0718ac76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344576fbde944260" /><Relationship Type="http://schemas.openxmlformats.org/officeDocument/2006/relationships/table" Target="/xl/tables/table3.xml" Id="R9b908cb425b8473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6" hidden="0" customWidth="1"/>
    <x:col min="5" max="5" width="36" hidden="0" customWidth="1"/>
    <x:col min="6" max="6" width="18" hidden="0" customWidth="1"/>
    <x:col min="7" max="7" width="58" hidden="0" customWidth="1"/>
    <x:col min="4" max="4" width="46" hidden="0" customWidth="1"/>
  </x:cols>
  <x:sheetData>
    <x:row r="1" ht="28" customHeight="1">
      <x:c r="A1" s="5" t="str">
        <x:v>Orientation vs Axis Control — Master Thesis Result Documentation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2" customHeight="1">
      <x:c r="A2" s="13" t="str">
        <x:v>Frozen-command orientation-sensitivity experiment for the Visaton EX 45 S + ADXL345 mechanical assembly.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33" t="str">
        <x:v>Experiment definition</x:v>
      </x:c>
      <x:c r="B4" s="33"/>
      <x:c r="C4" s="33"/>
      <x:c r="D4" s="33"/>
      <x:c r="E4" s="33" t="str">
        <x:v>Primary findings</x:v>
      </x:c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</x:row>
    <x:row r="5">
      <x:c r="A5" s="22" t="str">
        <x:v>Parameter</x:v>
      </x:c>
      <x:c r="B5" s="22" t="str">
        <x:v>Value</x:v>
      </x:c>
      <x:c r="C5" s="22" t="str">
        <x:v>Thesis significance</x:v>
      </x:c>
      <x:c r="E5" s="22" t="str">
        <x:v>KPI</x:v>
      </x:c>
      <x:c r="F5" s="22" t="str">
        <x:v>Value</x:v>
      </x:c>
      <x:c r="G5" s="22" t="str">
        <x:v>Interpretation</x:v>
      </x:c>
    </x:row>
    <x:row r="6">
      <x:c r="A6" s="28" t="str">
        <x:v>Frequency command (Hz)</x:v>
      </x:c>
      <x:c r="B6" s="28" t="n">
        <x:v>268</x:v>
      </x:c>
      <x:c r="C6" t="str">
        <x:v>Constant during monitor.</x:v>
      </x:c>
      <x:c r="E6" t="str">
        <x:v>Initial P0 mean Z (m/s²)</x:v>
      </x:c>
      <x:c r="F6" s="28" t="n">
        <x:v>1.21607645</x:v>
      </x:c>
      <x:c r="G6" t="str">
        <x:v>Near target.</x:v>
      </x:c>
    </x:row>
    <x:row r="7">
      <x:c r="A7" s="28" t="str">
        <x:v>Actual NCO frequency (Hz)</x:v>
      </x:c>
      <x:c r="B7" s="28" t="n">
        <x:v>267.9999988</x:v>
      </x:c>
      <x:c r="C7" t="str">
        <x:v>Command continuity.</x:v>
      </x:c>
      <x:c r="E7" t="str">
        <x:v>Maximum changed-pose mean Z (m/s²)</x:v>
      </x:c>
      <x:c r="F7" s="28" t="n">
        <x:v>3.7240623</x:v>
      </x:c>
      <x:c r="G7" t="str">
        <x:v>P1.</x:v>
      </x:c>
    </x:row>
    <x:row r="8">
      <x:c r="A8" s="28" t="str">
        <x:v>Selected/control axis</x:v>
      </x:c>
      <x:c r="B8" s="28" t="str">
        <x:v>Z</x:v>
      </x:c>
      <x:c r="C8" t="str">
        <x:v>Matched before DAC freeze.</x:v>
      </x:c>
      <x:c r="E8" t="str">
        <x:v>Max changed-pose Z / P0 Z</x:v>
      </x:c>
      <x:c r="F8" s="28" t="n">
        <x:v>3.0623587028595116</x:v>
      </x:c>
      <x:c r="G8" t="str">
        <x:v>Large orientation-dependent gain.</x:v>
      </x:c>
    </x:row>
    <x:row r="9">
      <x:c r="A9" s="28" t="str">
        <x:v>Requested Z target (m/s² peak)</x:v>
      </x:c>
      <x:c r="B9" s="28" t="n">
        <x:v>1.2</x:v>
      </x:c>
      <x:c r="C9" t="str">
        <x:v>Reference target.</x:v>
      </x:c>
      <x:c r="E9" t="str">
        <x:v>Initial P0 RSS (m/s²)</x:v>
      </x:c>
      <x:c r="F9" s="28" t="n">
        <x:v>1.8841060500000002</x:v>
      </x:c>
      <x:c r="G9" t="str">
        <x:v>Reference triaxial magnitude.</x:v>
      </x:c>
    </x:row>
    <x:row r="10">
      <x:c r="A10" s="28" t="str">
        <x:v>Final locked Z amplitude (m/s²)</x:v>
      </x:c>
      <x:c r="B10" s="28" t="n">
        <x:v>1.164516</x:v>
      </x:c>
      <x:c r="C10" t="str">
        <x:v>Pre-monitor locked amplitude.</x:v>
      </x:c>
      <x:c r="E10" t="str">
        <x:v>Maximum changed-pose RSS (m/s²)</x:v>
      </x:c>
      <x:c r="F10" s="28" t="n">
        <x:v>4.0062244</x:v>
      </x:c>
      <x:c r="G10" t="str">
        <x:v>P1.</x:v>
      </x:c>
    </x:row>
    <x:row r="11">
      <x:c r="A11" s="28" t="str">
        <x:v>Frozen DAC</x:v>
      </x:c>
      <x:c r="B11" s="28" t="n">
        <x:v>14.75</x:v>
      </x:c>
      <x:c r="C11" t="str">
        <x:v>No post-lock servo corrections.</x:v>
      </x:c>
      <x:c r="E11" t="str">
        <x:v>Maximum RSS increase vs P0 (%)</x:v>
      </x:c>
      <x:c r="F11" s="28" t="n">
        <x:v>112.63263816811158</x:v>
      </x:c>
      <x:c r="G11" t="str">
        <x:v>Not pure coordinate rotation.</x:v>
      </x:c>
    </x:row>
    <x:row r="12">
      <x:c r="A12" s="28" t="str">
        <x:v>Match + lock time (s)</x:v>
      </x:c>
      <x:c r="B12" s="28" t="n">
        <x:v>41.787</x:v>
      </x:c>
      <x:c r="C12" t="str">
        <x:v>Time to frozen state.</x:v>
      </x:c>
      <x:c r="E12" t="str">
        <x:v>P0R RSS change vs P0 (%)</x:v>
      </x:c>
      <x:c r="F12" s="28" t="n">
        <x:v>-24.9253512030281</x:v>
      </x:c>
      <x:c r="G12" t="str">
        <x:v>Absolute gain not recovered.</x:v>
      </x:c>
    </x:row>
    <x:row r="13">
      <x:c r="A13" s="28" t="str">
        <x:v>Orientation monitor interval (s)</x:v>
      </x:c>
      <x:c r="B13" s="28" t="n">
        <x:v>2</x:v>
      </x:c>
      <x:c r="C13" t="str">
        <x:v>Approximate acquisition-start spacing.</x:v>
      </x:c>
      <x:c r="E13" t="str">
        <x:v>P0R Y-share change (pp)</x:v>
      </x:c>
      <x:c r="F13" s="28" t="n">
        <x:v>-1.7669500000000085</x:v>
      </x:c>
      <x:c r="G13" t="str">
        <x:v>Directional distribution nearly returns.</x:v>
      </x:c>
    </x:row>
    <x:row r="14">
      <x:c r="A14" s="28" t="str">
        <x:v>Orientation records</x:v>
      </x:c>
      <x:c r="B14" s="28" t="n">
        <x:v>102</x:v>
      </x:c>
      <x:c r="C14" t="str">
        <x:v>Complete dataset.</x:v>
      </x:c>
      <x:c r="E14" t="str">
        <x:v>P0R Z-share change (pp)</x:v>
      </x:c>
      <x:c r="F14" s="28" t="n">
        <x:v>0.27805000000000035</x:v>
      </x:c>
      <x:c r="G14" t="str">
        <x:v>Directional distribution nearly returns.</x:v>
      </x:c>
    </x:row>
    <x:row r="15">
      <x:c r="A15" s="28"/>
      <x:c r="B15" s="28"/>
      <x:c r="E15" t="str">
        <x:v>Descriptive η² — Z</x:v>
      </x:c>
      <x:c r="F15" s="68" t="n">
        <x:v>0.9275394274279937</x:v>
      </x:c>
      <x:c r="G15" t="str">
        <x:v>Extremely large pose contribution.</x:v>
      </x:c>
    </x:row>
    <x:row r="16">
      <x:c r="E16" t="str">
        <x:v>Descriptive η² — RSS</x:v>
      </x:c>
      <x:c r="F16" s="68" t="n">
        <x:v>0.8984176771413034</x:v>
      </x:c>
      <x:c r="G16" t="str">
        <x:v>Extremely large pose contribution.</x:v>
      </x:c>
    </x:row>
    <x:row r="17">
      <x:c r="E17" t="str">
        <x:v>Assigned-pose Z CV criterion pass</x:v>
      </x:c>
      <x:c r="F17" s="68" t="n">
        <x:v>0.99</x:v>
      </x:c>
      <x:c r="G17" t="str">
        <x:v>Very high Z within-record stability.</x:v>
      </x:c>
    </x:row>
    <x:row r="19">
      <x:c r="A19" s="33" t="str">
        <x:v>Experimental segmentation used for thesis analysis</x:v>
      </x:c>
      <x:c r="B19" s="33"/>
      <x:c r="C19" s="33"/>
      <x:c r="D19" s="33"/>
      <x:c r="E19" s="33"/>
      <x:c r="F19" s="33" t="str">
        <x:v>Thesis-level result statement</x:v>
      </x:c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</x:row>
    <x:row r="20" ht="90" customHeight="1">
      <x:c r="A20" s="22" t="str">
        <x:v>Thesis label</x:v>
      </x:c>
      <x:c r="B20" s="22" t="str">
        <x:v>Records</x:v>
      </x:c>
      <x:c r="C20" s="22" t="str">
        <x:v>n</x:v>
      </x:c>
      <x:c r="D20" s="22" t="str">
        <x:v>Role</x:v>
      </x:c>
      <x:c r="F20" s="13" t="str">
        <x:v>With frequency fixed at 268 Hz and DAC frozen at 14.75, manual changes in orientation produced large changes in both the X/Y/Z distribution and the RSS acceleration magnitude. All seven changed orientations became Z-dominant, whereas the initial reference was Y-dominant. Because RSS magnitude also changed substantially, the effect cannot be explained by coordinate rotation alone; the mechanical transfer gain / boundary condition changed. On return to the intended reference pose, the Y/Z squared-amplitude distribution approximately recovered, but the absolute RSS magnitude remained about 25% lower.</x:v>
      </x:c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</x:row>
    <x:row r="21">
      <x:c r="A21" t="str">
        <x:v>P0 Reference A</x:v>
      </x:c>
      <x:c r="B21" t="str">
        <x:v>1–20</x:v>
      </x:c>
      <x:c r="C21" t="n">
        <x:v>20</x:v>
      </x:c>
      <x:c r="D21" t="str">
        <x:v>Initial reference</x:v>
      </x:c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</x:row>
    <x:row r="22">
      <x:c r="A22" t="str">
        <x:v>P1</x:v>
      </x:c>
      <x:c r="B22" t="str">
        <x:v>21–30</x:v>
      </x:c>
      <x:c r="C22" t="n">
        <x:v>10</x:v>
      </x:c>
      <x:c r="D22" t="str">
        <x:v>Changed orientation 1</x:v>
      </x:c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</x:row>
    <x:row r="23">
      <x:c r="A23" t="str">
        <x:v>P2</x:v>
      </x:c>
      <x:c r="B23" t="str">
        <x:v>31–40</x:v>
      </x:c>
      <x:c r="C23" t="n">
        <x:v>10</x:v>
      </x:c>
      <x:c r="D23" t="str">
        <x:v>Changed orientation 2</x:v>
      </x:c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</x:row>
    <x:row r="24">
      <x:c r="A24" t="str">
        <x:v>P3</x:v>
      </x:c>
      <x:c r="B24" t="str">
        <x:v>41–50</x:v>
      </x:c>
      <x:c r="C24" t="n">
        <x:v>10</x:v>
      </x:c>
      <x:c r="D24" t="str">
        <x:v>Changed orientation 3</x:v>
      </x:c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</x:row>
    <x:row r="25">
      <x:c r="A25" t="str">
        <x:v>P4</x:v>
      </x:c>
      <x:c r="B25" t="str">
        <x:v>51–60</x:v>
      </x:c>
      <x:c r="C25" t="n">
        <x:v>10</x:v>
      </x:c>
      <x:c r="D25" t="str">
        <x:v>Changed orientation 4</x:v>
      </x:c>
    </x:row>
    <x:row r="26">
      <x:c r="A26" t="str">
        <x:v>P5</x:v>
      </x:c>
      <x:c r="B26" t="str">
        <x:v>61–70</x:v>
      </x:c>
      <x:c r="C26" t="n">
        <x:v>10</x:v>
      </x:c>
      <x:c r="D26" t="str">
        <x:v>Changed orientation 5</x:v>
      </x:c>
      <x:c r="F26" s="33" t="str">
        <x:v>Critical reporting limitation</x:v>
      </x:c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</x:row>
    <x:row r="27" ht="62" customHeight="1">
      <x:c r="A27" t="str">
        <x:v>P6</x:v>
      </x:c>
      <x:c r="B27" t="str">
        <x:v>71–80</x:v>
      </x:c>
      <x:c r="C27" t="n">
        <x:v>10</x:v>
      </x:c>
      <x:c r="D27" t="str">
        <x:v>Changed orientation 6</x:v>
      </x:c>
      <x:c r="F27" s="72" t="str">
        <x:v>Exact physical angles were not recorded; the logged Pose_deg field remains 0.00. Therefore this dataset supports an orientation-sensitivity / mechanical-state-dependence conclusion, not an amplitude-versus-angle calibration curve. Use P0, P1–P7 and P0R terminology.</x:v>
      </x:c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</x:row>
    <x:row r="28">
      <x:c r="A28" t="str">
        <x:v>P7</x:v>
      </x:c>
      <x:c r="B28" t="str">
        <x:v>81–90</x:v>
      </x:c>
      <x:c r="C28" t="n">
        <x:v>10</x:v>
      </x:c>
      <x:c r="D28" t="str">
        <x:v>Changed orientation 7</x:v>
      </x:c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</x:row>
    <x:row r="29">
      <x:c r="A29" t="str">
        <x:v>Transition</x:v>
      </x:c>
      <x:c r="B29" t="str">
        <x:v>91–92</x:v>
      </x:c>
      <x:c r="C29" t="n">
        <x:v>2</x:v>
      </x:c>
      <x:c r="D29" t="str">
        <x:v>Repositioning; excluded from pose means</x:v>
      </x:c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</x:row>
    <x:row r="30">
      <x:c r="A30" t="str">
        <x:v>P0R Reference return</x:v>
      </x:c>
      <x:c r="B30" t="str">
        <x:v>93–102</x:v>
      </x:c>
      <x:c r="C30" t="n">
        <x:v>10</x:v>
      </x:c>
      <x:c r="D30" t="str">
        <x:v>Returned intended reference</x:v>
      </x:c>
    </x:row>
    <x:row r="33">
      <x:c r="A33" s="22" t="str">
        <x:v>Pose</x:v>
      </x:c>
      <x:c r="B33" s="22" t="str">
        <x:v>X mean</x:v>
      </x:c>
      <x:c r="C33" s="22" t="str">
        <x:v>Y mean</x:v>
      </x:c>
      <x:c r="D33" s="22" t="str">
        <x:v>Z mean</x:v>
      </x:c>
      <x:c r="E33" s="22" t="str">
        <x:v>RSS mean</x:v>
      </x:c>
    </x:row>
    <x:row r="34">
      <x:c r="A34" t="str">
        <x:v>P0 Reference A</x:v>
      </x:c>
      <x:c r="B34" s="28" t="n">
        <x:f>'02_Pose_Statistics'!D6</x:f>
        <x:v>0.1085251</x:v>
      </x:c>
      <x:c r="C34" s="28" t="n">
        <x:f>'02_Pose_Statistics'!G6</x:f>
        <x:v>1.4340985999999998</x:v>
      </x:c>
      <x:c r="D34" s="28" t="n">
        <x:f>'02_Pose_Statistics'!J6</x:f>
        <x:v>1.2160764499999999</x:v>
      </x:c>
      <x:c r="E34" s="28" t="n">
        <x:f>'02_Pose_Statistics'!M6</x:f>
        <x:v>1.8841060499999998</x:v>
      </x:c>
    </x:row>
    <x:row r="35">
      <x:c r="A35" t="str">
        <x:v>P1</x:v>
      </x:c>
      <x:c r="B35" s="28" t="n">
        <x:f>'02_Pose_Statistics'!D7</x:f>
        <x:v>0.1889707</x:v>
      </x:c>
      <x:c r="C35" s="28" t="n">
        <x:f>'02_Pose_Statistics'!G7</x:f>
        <x:v>1.4616151</x:v>
      </x:c>
      <x:c r="D35" s="28" t="n">
        <x:f>'02_Pose_Statistics'!J7</x:f>
        <x:v>3.7240623</x:v>
      </x:c>
      <x:c r="E35" s="28" t="n">
        <x:f>'02_Pose_Statistics'!M7</x:f>
        <x:v>4.006224399999999</x:v>
      </x:c>
    </x:row>
    <x:row r="36">
      <x:c r="A36" t="str">
        <x:v>P2</x:v>
      </x:c>
      <x:c r="B36" s="28" t="n">
        <x:f>'02_Pose_Statistics'!D8</x:f>
        <x:v>0.170568</x:v>
      </x:c>
      <x:c r="C36" s="28" t="n">
        <x:f>'02_Pose_Statistics'!G8</x:f>
        <x:v>1.1171695</x:v>
      </x:c>
      <x:c r="D36" s="28" t="n">
        <x:f>'02_Pose_Statistics'!J8</x:f>
        <x:v>3.1587807999999997</x:v>
      </x:c>
      <x:c r="E36" s="28" t="n">
        <x:f>'02_Pose_Statistics'!M8</x:f>
        <x:v>3.3559265</x:v>
      </x:c>
    </x:row>
    <x:row r="37">
      <x:c r="A37" t="str">
        <x:v>P3</x:v>
      </x:c>
      <x:c r="B37" s="28" t="n">
        <x:f>'02_Pose_Statistics'!D9</x:f>
        <x:v>0.19022490000000003</x:v>
      </x:c>
      <x:c r="C37" s="28" t="n">
        <x:f>'02_Pose_Statistics'!G9</x:f>
        <x:v>1.3155626999999999</x:v>
      </x:c>
      <x:c r="D37" s="28" t="n">
        <x:f>'02_Pose_Statistics'!J9</x:f>
        <x:v>2.8084155</x:v>
      </x:c>
      <x:c r="E37" s="28" t="n">
        <x:f>'02_Pose_Statistics'!M9</x:f>
        <x:v>3.1075282</x:v>
      </x:c>
    </x:row>
    <x:row r="38">
      <x:c r="A38" t="str">
        <x:v>P4</x:v>
      </x:c>
      <x:c r="B38" s="28" t="n">
        <x:f>'02_Pose_Statistics'!D10</x:f>
        <x:v>0.0682678</x:v>
      </x:c>
      <x:c r="C38" s="28" t="n">
        <x:f>'02_Pose_Statistics'!G10</x:f>
        <x:v>1.0891641999999997</x:v>
      </x:c>
      <x:c r="D38" s="28" t="n">
        <x:f>'02_Pose_Statistics'!J10</x:f>
        <x:v>1.8959221999999998</x:v>
      </x:c>
      <x:c r="E38" s="28" t="n">
        <x:f>'02_Pose_Statistics'!M10</x:f>
        <x:v>2.1878735</x:v>
      </x:c>
    </x:row>
    <x:row r="39">
      <x:c r="A39" t="str">
        <x:v>P5</x:v>
      </x:c>
      <x:c r="B39" s="28" t="n">
        <x:f>'02_Pose_Statistics'!D11</x:f>
        <x:v>0.11865709999999999</x:v>
      </x:c>
      <x:c r="C39" s="28" t="n">
        <x:f>'02_Pose_Statistics'!G11</x:f>
        <x:v>1.3853841999999998</x:v>
      </x:c>
      <x:c r="D39" s="28" t="n">
        <x:f>'02_Pose_Statistics'!J11</x:f>
        <x:v>2.8843794000000003</x:v>
      </x:c>
      <x:c r="E39" s="28" t="n">
        <x:f>'02_Pose_Statistics'!M11</x:f>
        <x:v>3.2031171</x:v>
      </x:c>
    </x:row>
    <x:row r="40">
      <x:c r="A40" t="str">
        <x:v>P6</x:v>
      </x:c>
      <x:c r="B40" s="28" t="n">
        <x:f>'02_Pose_Statistics'!D12</x:f>
        <x:v>0.10878610000000002</x:v>
      </x:c>
      <x:c r="C40" s="28" t="n">
        <x:f>'02_Pose_Statistics'!G12</x:f>
        <x:v>1.2109825</x:v>
      </x:c>
      <x:c r="D40" s="28" t="n">
        <x:f>'02_Pose_Statistics'!J12</x:f>
        <x:v>2.8090171</x:v>
      </x:c>
      <x:c r="E40" s="28" t="n">
        <x:f>'02_Pose_Statistics'!M12</x:f>
        <x:v>3.0609216000000004</x:v>
      </x:c>
    </x:row>
    <x:row r="41">
      <x:c r="A41" t="str">
        <x:v>P7</x:v>
      </x:c>
      <x:c r="B41" s="28" t="n">
        <x:f>'02_Pose_Statistics'!D13</x:f>
        <x:v>0.334192</x:v>
      </x:c>
      <x:c r="C41" s="28" t="n">
        <x:f>'02_Pose_Statistics'!G13</x:f>
        <x:v>0.8723827</x:v>
      </x:c>
      <x:c r="D41" s="28" t="n">
        <x:f>'02_Pose_Statistics'!J13</x:f>
        <x:v>2.0860148</x:v>
      </x:c>
      <x:c r="E41" s="28" t="n">
        <x:f>'02_Pose_Statistics'!M13</x:f>
        <x:v>2.2895669</x:v>
      </x:c>
    </x:row>
    <x:row r="42">
      <x:c r="A42" t="str">
        <x:v>P0R Reference return</x:v>
      </x:c>
      <x:c r="B42" s="28" t="n">
        <x:f>'02_Pose_Statistics'!D14</x:f>
        <x:v>0.1911949</x:v>
      </x:c>
      <x:c r="C42" s="28" t="n">
        <x:f>'02_Pose_Statistics'!G14</x:f>
        <x:v>1.0607172999999999</x:v>
      </x:c>
      <x:c r="D42" s="28" t="n">
        <x:f>'02_Pose_Statistics'!J14</x:f>
        <x:v>0.915614</x:v>
      </x:c>
      <x:c r="E42" s="28" t="n">
        <x:f>'02_Pose_Statistics'!M14</x:f>
        <x:v>1.4144860000000001</x:v>
      </x:c>
    </x:row>
    <x:row r="45">
      <x:c r="A45" s="22" t="str">
        <x:v>Pose</x:v>
      </x:c>
      <x:c r="B45" s="22" t="str">
        <x:v>X share %</x:v>
      </x:c>
      <x:c r="C45" s="22" t="str">
        <x:v>Y share %</x:v>
      </x:c>
      <x:c r="D45" s="22" t="str">
        <x:v>Z share %</x:v>
      </x:c>
    </x:row>
    <x:row r="46">
      <x:c r="A46" t="str">
        <x:v>P0 Reference A</x:v>
      </x:c>
      <x:c r="B46" s="76" t="n">
        <x:f>'02_Pose_Statistics'!R6</x:f>
        <x:v>0.35219999999999996</x:v>
      </x:c>
      <x:c r="C46" s="76" t="n">
        <x:f>'02_Pose_Statistics'!S6</x:f>
        <x:v>57.97675000000002</x:v>
      </x:c>
      <x:c r="D46" s="76" t="n">
        <x:f>'02_Pose_Statistics'!T6</x:f>
        <x:v>41.67095</x:v>
      </x:c>
    </x:row>
    <x:row r="47">
      <x:c r="A47" t="str">
        <x:v>P1</x:v>
      </x:c>
      <x:c r="B47" s="76" t="n">
        <x:f>'02_Pose_Statistics'!R7</x:f>
        <x:v>0.2867</x:v>
      </x:c>
      <x:c r="C47" s="76" t="n">
        <x:f>'02_Pose_Statistics'!S7</x:f>
        <x:v>13.341799999999997</x:v>
      </x:c>
      <x:c r="D47" s="76" t="n">
        <x:f>'02_Pose_Statistics'!T7</x:f>
        <x:v>86.3715</x:v>
      </x:c>
    </x:row>
    <x:row r="48">
      <x:c r="A48" t="str">
        <x:v>P2</x:v>
      </x:c>
      <x:c r="B48" s="76" t="n">
        <x:f>'02_Pose_Statistics'!R8</x:f>
        <x:v>0.2814</x:v>
      </x:c>
      <x:c r="C48" s="76" t="n">
        <x:f>'02_Pose_Statistics'!S8</x:f>
        <x:v>11.185000000000002</x:v>
      </x:c>
      <x:c r="D48" s="76" t="n">
        <x:f>'02_Pose_Statistics'!T8</x:f>
        <x:v>88.5336</x:v>
      </x:c>
    </x:row>
    <x:row r="49">
      <x:c r="A49" t="str">
        <x:v>P3</x:v>
      </x:c>
      <x:c r="B49" s="76" t="n">
        <x:f>'02_Pose_Statistics'!R9</x:f>
        <x:v>0.3941</x:v>
      </x:c>
      <x:c r="C49" s="76" t="n">
        <x:f>'02_Pose_Statistics'!S9</x:f>
        <x:v>18.0335</x:v>
      </x:c>
      <x:c r="D49" s="76" t="n">
        <x:f>'02_Pose_Statistics'!T9</x:f>
        <x:v>81.57249999999999</x:v>
      </x:c>
    </x:row>
    <x:row r="50">
      <x:c r="A50" t="str">
        <x:v>P4</x:v>
      </x:c>
      <x:c r="B50" s="76" t="n">
        <x:f>'02_Pose_Statistics'!R10</x:f>
        <x:v>0.1025</x:v>
      </x:c>
      <x:c r="C50" s="76" t="n">
        <x:f>'02_Pose_Statistics'!S10</x:f>
        <x:v>24.862000000000002</x:v>
      </x:c>
      <x:c r="D50" s="76" t="n">
        <x:f>'02_Pose_Statistics'!T10</x:f>
        <x:v>75.0355</x:v>
      </x:c>
    </x:row>
    <x:row r="51">
      <x:c r="A51" t="str">
        <x:v>P5</x:v>
      </x:c>
      <x:c r="B51" s="76" t="n">
        <x:f>'02_Pose_Statistics'!R11</x:f>
        <x:v>0.18120000000000003</x:v>
      </x:c>
      <x:c r="C51" s="76" t="n">
        <x:f>'02_Pose_Statistics'!S11</x:f>
        <x:v>19.0822</x:v>
      </x:c>
      <x:c r="D51" s="76" t="n">
        <x:f>'02_Pose_Statistics'!T11</x:f>
        <x:v>80.7366</x:v>
      </x:c>
    </x:row>
    <x:row r="52">
      <x:c r="A52" t="str">
        <x:v>P6</x:v>
      </x:c>
      <x:c r="B52" s="76" t="n">
        <x:f>'02_Pose_Statistics'!R12</x:f>
        <x:v>0.1274</x:v>
      </x:c>
      <x:c r="C52" s="76" t="n">
        <x:f>'02_Pose_Statistics'!S12</x:f>
        <x:v>15.656300000000002</x:v>
      </x:c>
      <x:c r="D52" s="76" t="n">
        <x:f>'02_Pose_Statistics'!T12</x:f>
        <x:v>84.2164</x:v>
      </x:c>
    </x:row>
    <x:row r="53">
      <x:c r="A53" t="str">
        <x:v>P7</x:v>
      </x:c>
      <x:c r="B53" s="76" t="n">
        <x:f>'02_Pose_Statistics'!R13</x:f>
        <x:v>2.6081000000000003</x:v>
      </x:c>
      <x:c r="C53" s="76" t="n">
        <x:f>'02_Pose_Statistics'!S13</x:f>
        <x:v>14.5367</x:v>
      </x:c>
      <x:c r="D53" s="76" t="n">
        <x:f>'02_Pose_Statistics'!T13</x:f>
        <x:v>82.8552</x:v>
      </x:c>
    </x:row>
    <x:row r="54">
      <x:c r="A54" t="str">
        <x:v>P0R Reference return</x:v>
      </x:c>
      <x:c r="B54" s="76" t="n">
        <x:f>'02_Pose_Statistics'!R14</x:f>
        <x:v>1.8417999999999999</x:v>
      </x:c>
      <x:c r="C54" s="76" t="n">
        <x:f>'02_Pose_Statistics'!S14</x:f>
        <x:v>56.209799999999994</x:v>
      </x:c>
      <x:c r="D54" s="76" t="n">
        <x:f>'02_Pose_Statistics'!T14</x:f>
        <x:v>41.949</x:v>
      </x:c>
    </x:row>
    <x:row r="57">
      <x:c r="A57" s="33" t="str">
        <x:v>Metric availability note</x:v>
      </x:c>
      <x:c r="B57" s="33"/>
      <x:c r="C57" s="33"/>
      <x:c r="D57" s="33"/>
      <x:c r="E57" s="33"/>
    </x:row>
    <x:row r="58" ht="66" customHeight="1">
      <x:c r="A58" s="72" t="str">
        <x:v>Spectral SNR and transfer phase are not fields in CSV_ORIENTATION and are therefore not reported or invented in this workbook. The available quality metrics are window validity, per-axis intra-record CV, block repeatability, target error, RSS magnitude and directional squared-amplitude shares.</x:v>
      </x:c>
      <x:c r="B58" s="72"/>
      <x:c r="C58" s="72"/>
      <x:c r="D58" s="72"/>
      <x:c r="E58" s="72"/>
    </x:row>
    <x:row r="59">
      <x:c r="A59" s="72"/>
      <x:c r="B59" s="72"/>
      <x:c r="C59" s="72"/>
      <x:c r="D59" s="72"/>
      <x:c r="E59" s="72"/>
    </x:row>
    <x:row r="60">
      <x:c r="A60" s="72"/>
      <x:c r="B60" s="72"/>
      <x:c r="C60" s="72"/>
      <x:c r="D60" s="72"/>
      <x:c r="E60" s="72"/>
    </x:row>
    <x:row r="61">
      <x:c r="A61" s="72"/>
      <x:c r="B61" s="72"/>
      <x:c r="C61" s="72"/>
      <x:c r="D61" s="72"/>
      <x:c r="E61" s="72"/>
    </x:row>
  </x:sheetData>
  <x:mergeCells>
    <x:mergeCell ref="A1:P1"/>
    <x:mergeCell ref="A2:P2"/>
    <x:mergeCell ref="A4:P4"/>
    <x:mergeCell ref="E4:P4"/>
    <x:mergeCell ref="A19:P19"/>
    <x:mergeCell ref="F19:P19"/>
    <x:mergeCell ref="F20:P24"/>
    <x:mergeCell ref="F26:P26"/>
    <x:mergeCell ref="F27:P29"/>
    <x:mergeCell ref="A57:E57"/>
    <x:mergeCell ref="A58:E61"/>
  </x:mergeCells>
  <x:pageMargins left="0.7" right="0.7" top="0.75" bottom="0.75" header="0.3" footer="0.3"/>
  <x:drawing xmlns:r="http://schemas.openxmlformats.org/officeDocument/2006/relationships" r:id="R262cee09e135445a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1" hidden="0" customWidth="1"/>
    <x:col min="14" max="14" width="10" hidden="0" customWidth="1"/>
    <x:col min="15" max="15" width="12" hidden="0" customWidth="1"/>
    <x:col min="16" max="16" width="12" hidden="0" customWidth="1"/>
    <x:col min="17" max="17" width="12" hidden="0" customWidth="1"/>
    <x:col min="18" max="18" width="11" hidden="0" customWidth="1"/>
    <x:col min="19" max="19" width="12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24" hidden="0" customWidth="1"/>
    <x:col min="26" max="26" width="12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3" hidden="0" customWidth="1"/>
    <x:col min="32" max="32" width="14" hidden="0" customWidth="1"/>
    <x:col min="33" max="33" width="20" hidden="0" customWidth="1"/>
    <x:col min="34" max="34" width="34" hidden="0" customWidth="1"/>
  </x:cols>
  <x:sheetData>
    <x:row r="1" ht="28" customHeight="1">
      <x:c r="A1" s="5" t="str">
        <x:v>Orientation vs Axis-Control Experiment — Complete Raw Dataset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</x:row>
    <x:row r="2" ht="32" customHeight="1">
      <x:c r="A2" s="13" t="str">
        <x:v>All 102 CSV_ORIENTATION records are preserved. Derived thesis fields begin at column 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</x:row>
    <x:row r="4">
      <x:c r="A4" s="22" t="str">
        <x:v>Record</x:v>
      </x:c>
      <x:c r="B4" s="22" t="str">
        <x:v>t_s</x:v>
      </x:c>
      <x:c r="C4" s="22" t="str">
        <x:v>Pose_deg_logged</x:v>
      </x:c>
      <x:c r="D4" s="22" t="str">
        <x:v>Freq_Hz</x:v>
      </x:c>
      <x:c r="E4" s="22" t="str">
        <x:v>FrozenDAC</x:v>
      </x:c>
      <x:c r="F4" s="22" t="str">
        <x:v>ControlAxis</x:v>
      </x:c>
      <x:c r="G4" s="22" t="str">
        <x:v>Target_mps2</x:v>
      </x:c>
      <x:c r="H4" s="22" t="str">
        <x:v>X_mps2</x:v>
      </x:c>
      <x:c r="I4" s="22" t="str">
        <x:v>Y_mps2</x:v>
      </x:c>
      <x:c r="J4" s="22" t="str">
        <x:v>Z_mps2</x:v>
      </x:c>
      <x:c r="K4" s="22" t="str">
        <x:v>Vector_mps2</x:v>
      </x:c>
      <x:c r="L4" s="22" t="str">
        <x:v>Selected_mps2</x:v>
      </x:c>
      <x:c r="M4" s="22" t="str">
        <x:v>SelectedErr_pct</x:v>
      </x:c>
      <x:c r="N4" s="22" t="str">
        <x:v>DominantAxis</x:v>
      </x:c>
      <x:c r="O4" s="22" t="str">
        <x:v>X_sqShare_pct</x:v>
      </x:c>
      <x:c r="P4" s="22" t="str">
        <x:v>Y_sqShare_pct</x:v>
      </x:c>
      <x:c r="Q4" s="22" t="str">
        <x:v>Z_sqShare_pct</x:v>
      </x:c>
      <x:c r="R4" s="22" t="str">
        <x:v>ShareShift_pp</x:v>
      </x:c>
      <x:c r="S4" s="22" t="str">
        <x:v>VectorChange_pct</x:v>
      </x:c>
      <x:c r="T4" s="22" t="str">
        <x:v>X_CV_pct</x:v>
      </x:c>
      <x:c r="U4" s="22" t="str">
        <x:v>Y_CV_pct</x:v>
      </x:c>
      <x:c r="V4" s="22" t="str">
        <x:v>Z_CV_pct</x:v>
      </x:c>
      <x:c r="W4" s="22" t="str">
        <x:v>ValidWindows</x:v>
      </x:c>
      <x:c r="X4" s="22" t="str">
        <x:v>Quality</x:v>
      </x:c>
      <x:c r="Y4" s="22" t="str">
        <x:v>Thesis_Pose</x:v>
      </x:c>
      <x:c r="Z4" s="22" t="str">
        <x:v>Include_Pose_Stats</x:v>
      </x:c>
      <x:c r="AA4" s="22" t="str">
        <x:v>X_sq</x:v>
      </x:c>
      <x:c r="AB4" s="22" t="str">
        <x:v>Y_sq</x:v>
      </x:c>
      <x:c r="AC4" s="22" t="str">
        <x:v>Z_sq</x:v>
      </x:c>
      <x:c r="AD4" s="22" t="str">
        <x:v>Vector_sq</x:v>
      </x:c>
      <x:c r="AE4" s="22" t="str">
        <x:v>Within_Target_5pct</x:v>
      </x:c>
      <x:c r="AF4" s="22" t="str">
        <x:v>Within_Target_2.5pct</x:v>
      </x:c>
      <x:c r="AG4" s="22" t="str">
        <x:v>Quality_Driver</x:v>
      </x:c>
      <x:c r="AH4" s="22" t="str">
        <x:v>Analyst_Note</x:v>
      </x:c>
    </x:row>
    <x:row r="5">
      <x:c r="A5" t="n">
        <x:v>1</x:v>
      </x:c>
      <x:c r="B5" s="28" t="n">
        <x:v>0.08</x:v>
      </x:c>
      <x:c r="C5" t="n">
        <x:v>0</x:v>
      </x:c>
      <x:c r="D5" s="28" t="n">
        <x:v>268</x:v>
      </x:c>
      <x:c r="E5" s="28" t="n">
        <x:v>14.75</x:v>
      </x:c>
      <x:c r="F5" s="28" t="str">
        <x:v>Z</x:v>
      </x:c>
      <x:c r="G5" s="28" t="n">
        <x:v>1.2</x:v>
      </x:c>
      <x:c r="H5" s="28" t="n">
        <x:v>0.127777</x:v>
      </x:c>
      <x:c r="I5" s="28" t="n">
        <x:v>1.425654</x:v>
      </x:c>
      <x:c r="J5" s="28" t="n">
        <x:v>1.165624</x:v>
      </x:c>
      <x:c r="K5" s="28" t="n">
        <x:v>1.845941</x:v>
      </x:c>
      <x:c r="L5" s="28" t="n">
        <x:v>1.165624</x:v>
      </x:c>
      <x:c r="M5" s="28" t="n">
        <x:v>-2.865</x:v>
      </x:c>
      <x:c r="N5" s="28" t="str">
        <x:v>Y</x:v>
      </x:c>
      <x:c r="O5" s="28" t="n">
        <x:v>0.479</x:v>
      </x:c>
      <x:c r="P5" s="28" t="n">
        <x:v>59.648</x:v>
      </x:c>
      <x:c r="Q5" s="28" t="n">
        <x:v>39.873</x:v>
      </x:c>
      <x:c r="R5" s="28" t="n">
        <x:v>0</x:v>
      </x:c>
      <x:c r="S5" s="28" t="n">
        <x:v>0</x:v>
      </x:c>
      <x:c r="T5" s="28" t="n">
        <x:v>5.1</x:v>
      </x:c>
      <x:c r="U5" s="28" t="n">
        <x:v>1.05</x:v>
      </x:c>
      <x:c r="V5" s="28" t="n">
        <x:v>1.63</x:v>
      </x:c>
      <x:c r="W5" t="n">
        <x:v>3</x:v>
      </x:c>
      <x:c r="X5" t="str">
        <x:v>STABLE</x:v>
      </x:c>
      <x:c r="Y5" t="str">
        <x:f>IF(A5&lt;=20,"P0 Reference A",IF(A5&lt;=30,"P1 Changed orientation",IF(A5&lt;=40,"P2 Changed orientation",IF(A5&lt;=50,"P3 Changed orientation",IF(A5&lt;=60,"P4 Changed orientation",IF(A5&lt;=70,"P5 Changed orientation",IF(A5&lt;=80,"P6 Changed orientation",IF(A5&lt;=90,"P7 Changed orientation",IF(A5&lt;=92,"Transition / repositioning","P0R Reference return")))))))))</x:f>
        <x:v>P0 Reference A</x:v>
      </x:c>
      <x:c r="Z5" t="str">
        <x:f>IF(OR(A5&lt;=90,A5&gt;=93),"YES","NO")</x:f>
        <x:v>YES</x:v>
      </x:c>
      <x:c r="AA5" t="n">
        <x:f>H5^2</x:f>
        <x:v>0.016326961729</x:v>
      </x:c>
      <x:c r="AB5" t="n">
        <x:f>I5^2</x:f>
        <x:v>2.032489327716</x:v>
      </x:c>
      <x:c r="AC5" t="n">
        <x:f>J5^2</x:f>
        <x:v>1.358679309376</x:v>
      </x:c>
      <x:c r="AD5" t="n">
        <x:f>K5^2</x:f>
        <x:v>3.4074981754810003</x:v>
      </x:c>
      <x:c r="AE5" t="str">
        <x:f>IF(ABS(M5)&lt;=5,"YES","NO")</x:f>
        <x:v>YES</x:v>
      </x:c>
      <x:c r="AF5" t="str">
        <x:f>IF(ABS(M5)&lt;=2.5,"YES","NO")</x:f>
        <x:v>NO</x:v>
      </x:c>
      <x:c r="AG5" t="str">
        <x:f>IF(X5="STABLE","Stable",IF(AND(H5&gt;=0.03,T5&gt;10,OR(I5&lt;0.03,U5&lt;=10),OR(J5&lt;0.03,V5&lt;=10)),"X CV only","Multiple / non-X CV"))</x:f>
        <x:v>Stable</x:v>
      </x:c>
      <x:c r="AH5" t="str">
        <x:f>IF(Z5="NO","Excluded from pose statistics: repositioning transition","")</x:f>
      </x:c>
    </x:row>
    <x:row r="6">
      <x:c r="A6" t="n">
        <x:v>2</x:v>
      </x:c>
      <x:c r="B6" s="28" t="n">
        <x:v>2</x:v>
      </x:c>
      <x:c r="C6" t="n">
        <x:v>0</x:v>
      </x:c>
      <x:c r="D6" s="28" t="n">
        <x:v>268</x:v>
      </x:c>
      <x:c r="E6" s="28" t="n">
        <x:v>14.75</x:v>
      </x:c>
      <x:c r="F6" s="28" t="str">
        <x:v>Z</x:v>
      </x:c>
      <x:c r="G6" s="28" t="n">
        <x:v>1.2</x:v>
      </x:c>
      <x:c r="H6" s="28" t="n">
        <x:v>0.12896</x:v>
      </x:c>
      <x:c r="I6" s="28" t="n">
        <x:v>1.43095</x:v>
      </x:c>
      <x:c r="J6" s="28" t="n">
        <x:v>1.18889</x:v>
      </x:c>
      <x:c r="K6" s="28" t="n">
        <x:v>1.864861</x:v>
      </x:c>
      <x:c r="L6" s="28" t="n">
        <x:v>1.18889</x:v>
      </x:c>
      <x:c r="M6" s="28" t="n">
        <x:v>-0.926</x:v>
      </x:c>
      <x:c r="N6" s="28" t="str">
        <x:v>Y</x:v>
      </x:c>
      <x:c r="O6" s="28" t="n">
        <x:v>0.478</x:v>
      </x:c>
      <x:c r="P6" s="28" t="n">
        <x:v>58.878</x:v>
      </x:c>
      <x:c r="Q6" s="28" t="n">
        <x:v>40.643</x:v>
      </x:c>
      <x:c r="R6" s="28" t="n">
        <x:v>0.77</x:v>
      </x:c>
      <x:c r="S6" s="28" t="n">
        <x:v>1.025</x:v>
      </x:c>
      <x:c r="T6" s="28" t="n">
        <x:v>6.61</x:v>
      </x:c>
      <x:c r="U6" s="28" t="n">
        <x:v>0.91</x:v>
      </x:c>
      <x:c r="V6" s="28" t="n">
        <x:v>1.15</x:v>
      </x:c>
      <x:c r="W6" t="n">
        <x:v>3</x:v>
      </x:c>
      <x:c r="X6" t="str">
        <x:v>STABLE</x:v>
      </x:c>
      <x:c r="Y6" t="str">
        <x:f>IF(A6&lt;=20,"P0 Reference A",IF(A6&lt;=30,"P1 Changed orientation",IF(A6&lt;=40,"P2 Changed orientation",IF(A6&lt;=50,"P3 Changed orientation",IF(A6&lt;=60,"P4 Changed orientation",IF(A6&lt;=70,"P5 Changed orientation",IF(A6&lt;=80,"P6 Changed orientation",IF(A6&lt;=90,"P7 Changed orientation",IF(A6&lt;=92,"Transition / repositioning","P0R Reference return")))))))))</x:f>
        <x:v>P0 Reference A</x:v>
      </x:c>
      <x:c r="Z6" t="str">
        <x:f>IF(OR(A6&lt;=90,A6&gt;=93),"YES","NO")</x:f>
        <x:v>YES</x:v>
      </x:c>
      <x:c r="AA6" t="n">
        <x:f>H6^2</x:f>
        <x:v>0.0166306816</x:v>
      </x:c>
      <x:c r="AB6" t="n">
        <x:f>I6^2</x:f>
        <x:v>2.0476179025</x:v>
      </x:c>
      <x:c r="AC6" t="n">
        <x:f>J6^2</x:f>
        <x:v>1.4134594321</x:v>
      </x:c>
      <x:c r="AD6" t="n">
        <x:f>K6^2</x:f>
        <x:v>3.477706549321</x:v>
      </x:c>
      <x:c r="AE6" t="str">
        <x:f>IF(ABS(M6)&lt;=5,"YES","NO")</x:f>
        <x:v>YES</x:v>
      </x:c>
      <x:c r="AF6" t="str">
        <x:f>IF(ABS(M6)&lt;=2.5,"YES","NO")</x:f>
        <x:v>YES</x:v>
      </x:c>
      <x:c r="AG6" t="str">
        <x:f>IF(X6="STABLE","Stable",IF(AND(H6&gt;=0.03,T6&gt;10,OR(I6&lt;0.03,U6&lt;=10),OR(J6&lt;0.03,V6&lt;=10)),"X CV only","Multiple / non-X CV"))</x:f>
        <x:v>Stable</x:v>
      </x:c>
      <x:c r="AH6" t="str">
        <x:f>IF(Z6="NO","Excluded from pose statistics: repositioning transition","")</x:f>
      </x:c>
    </x:row>
    <x:row r="7">
      <x:c r="A7" t="n">
        <x:v>3</x:v>
      </x:c>
      <x:c r="B7" s="28" t="n">
        <x:v>4</x:v>
      </x:c>
      <x:c r="C7" t="n">
        <x:v>0</x:v>
      </x:c>
      <x:c r="D7" s="28" t="n">
        <x:v>268</x:v>
      </x:c>
      <x:c r="E7" s="28" t="n">
        <x:v>14.75</x:v>
      </x:c>
      <x:c r="F7" s="28" t="str">
        <x:v>Z</x:v>
      </x:c>
      <x:c r="G7" s="28" t="n">
        <x:v>1.2</x:v>
      </x:c>
      <x:c r="H7" s="28" t="n">
        <x:v>0.121092</x:v>
      </x:c>
      <x:c r="I7" s="28" t="n">
        <x:v>1.438355</x:v>
      </x:c>
      <x:c r="J7" s="28" t="n">
        <x:v>1.188754</x:v>
      </x:c>
      <x:c r="K7" s="28" t="n">
        <x:v>1.869937</x:v>
      </x:c>
      <x:c r="L7" s="28" t="n">
        <x:v>1.188754</x:v>
      </x:c>
      <x:c r="M7" s="28" t="n">
        <x:v>-0.937</x:v>
      </x:c>
      <x:c r="N7" s="28" t="str">
        <x:v>Y</x:v>
      </x:c>
      <x:c r="O7" s="28" t="n">
        <x:v>0.419</x:v>
      </x:c>
      <x:c r="P7" s="28" t="n">
        <x:v>59.167</x:v>
      </x:c>
      <x:c r="Q7" s="28" t="n">
        <x:v>40.414</x:v>
      </x:c>
      <x:c r="R7" s="28" t="n">
        <x:v>0.541</x:v>
      </x:c>
      <x:c r="S7" s="28" t="n">
        <x:v>1.3</x:v>
      </x:c>
      <x:c r="T7" s="28" t="n">
        <x:v>9.72</x:v>
      </x:c>
      <x:c r="U7" s="28" t="n">
        <x:v>0.93</x:v>
      </x:c>
      <x:c r="V7" s="28" t="n">
        <x:v>1.78</x:v>
      </x:c>
      <x:c r="W7" t="n">
        <x:v>3</x:v>
      </x:c>
      <x:c r="X7" t="str">
        <x:v>STABLE</x:v>
      </x:c>
      <x:c r="Y7" t="str">
        <x:f>IF(A7&lt;=20,"P0 Reference A",IF(A7&lt;=30,"P1 Changed orientation",IF(A7&lt;=40,"P2 Changed orientation",IF(A7&lt;=50,"P3 Changed orientation",IF(A7&lt;=60,"P4 Changed orientation",IF(A7&lt;=70,"P5 Changed orientation",IF(A7&lt;=80,"P6 Changed orientation",IF(A7&lt;=90,"P7 Changed orientation",IF(A7&lt;=92,"Transition / repositioning","P0R Reference return")))))))))</x:f>
        <x:v>P0 Reference A</x:v>
      </x:c>
      <x:c r="Z7" t="str">
        <x:f>IF(OR(A7&lt;=90,A7&gt;=93),"YES","NO")</x:f>
        <x:v>YES</x:v>
      </x:c>
      <x:c r="AA7" t="n">
        <x:f>H7^2</x:f>
        <x:v>0.014663272464000001</x:v>
      </x:c>
      <x:c r="AB7" t="n">
        <x:f>I7^2</x:f>
        <x:v>2.068865106025</x:v>
      </x:c>
      <x:c r="AC7" t="n">
        <x:f>J7^2</x:f>
        <x:v>1.4131360725160003</x:v>
      </x:c>
      <x:c r="AD7" t="n">
        <x:f>K7^2</x:f>
        <x:v>3.4966643839689997</x:v>
      </x:c>
      <x:c r="AE7" t="str">
        <x:f>IF(ABS(M7)&lt;=5,"YES","NO")</x:f>
        <x:v>YES</x:v>
      </x:c>
      <x:c r="AF7" t="str">
        <x:f>IF(ABS(M7)&lt;=2.5,"YES","NO")</x:f>
        <x:v>YES</x:v>
      </x:c>
      <x:c r="AG7" t="str">
        <x:f>IF(X7="STABLE","Stable",IF(AND(H7&gt;=0.03,T7&gt;10,OR(I7&lt;0.03,U7&lt;=10),OR(J7&lt;0.03,V7&lt;=10)),"X CV only","Multiple / non-X CV"))</x:f>
        <x:v>Stable</x:v>
      </x:c>
      <x:c r="AH7" t="str">
        <x:f>IF(Z7="NO","Excluded from pose statistics: repositioning transition","")</x:f>
      </x:c>
    </x:row>
    <x:row r="8">
      <x:c r="A8" t="n">
        <x:v>4</x:v>
      </x:c>
      <x:c r="B8" s="28" t="n">
        <x:v>6.001</x:v>
      </x:c>
      <x:c r="C8" t="n">
        <x:v>0</x:v>
      </x:c>
      <x:c r="D8" s="28" t="n">
        <x:v>268</x:v>
      </x:c>
      <x:c r="E8" s="28" t="n">
        <x:v>14.75</x:v>
      </x:c>
      <x:c r="F8" s="28" t="str">
        <x:v>Z</x:v>
      </x:c>
      <x:c r="G8" s="28" t="n">
        <x:v>1.2</x:v>
      </x:c>
      <x:c r="H8" s="28" t="n">
        <x:v>0.112863</x:v>
      </x:c>
      <x:c r="I8" s="28" t="n">
        <x:v>1.453765</x:v>
      </x:c>
      <x:c r="J8" s="28" t="n">
        <x:v>1.181208</x:v>
      </x:c>
      <x:c r="K8" s="28" t="n">
        <x:v>1.876546</x:v>
      </x:c>
      <x:c r="L8" s="28" t="n">
        <x:v>1.181208</x:v>
      </x:c>
      <x:c r="M8" s="28" t="n">
        <x:v>-1.566</x:v>
      </x:c>
      <x:c r="N8" s="28" t="str">
        <x:v>Y</x:v>
      </x:c>
      <x:c r="O8" s="28" t="n">
        <x:v>0.362</x:v>
      </x:c>
      <x:c r="P8" s="28" t="n">
        <x:v>60.016</x:v>
      </x:c>
      <x:c r="Q8" s="28" t="n">
        <x:v>39.622</x:v>
      </x:c>
      <x:c r="R8" s="28" t="n">
        <x:v>0.369</x:v>
      </x:c>
      <x:c r="S8" s="28" t="n">
        <x:v>1.658</x:v>
      </x:c>
      <x:c r="T8" s="28" t="n">
        <x:v>3.2</x:v>
      </x:c>
      <x:c r="U8" s="28" t="n">
        <x:v>0.73</x:v>
      </x:c>
      <x:c r="V8" s="28" t="n">
        <x:v>0.97</x:v>
      </x:c>
      <x:c r="W8" t="n">
        <x:v>3</x:v>
      </x:c>
      <x:c r="X8" t="str">
        <x:v>STABLE</x:v>
      </x:c>
      <x:c r="Y8" t="str">
        <x:f>IF(A8&lt;=20,"P0 Reference A",IF(A8&lt;=30,"P1 Changed orientation",IF(A8&lt;=40,"P2 Changed orientation",IF(A8&lt;=50,"P3 Changed orientation",IF(A8&lt;=60,"P4 Changed orientation",IF(A8&lt;=70,"P5 Changed orientation",IF(A8&lt;=80,"P6 Changed orientation",IF(A8&lt;=90,"P7 Changed orientation",IF(A8&lt;=92,"Transition / repositioning","P0R Reference return")))))))))</x:f>
        <x:v>P0 Reference A</x:v>
      </x:c>
      <x:c r="Z8" t="str">
        <x:f>IF(OR(A8&lt;=90,A8&gt;=93),"YES","NO")</x:f>
        <x:v>YES</x:v>
      </x:c>
      <x:c r="AA8" t="n">
        <x:f>H8^2</x:f>
        <x:v>0.012738056769000002</x:v>
      </x:c>
      <x:c r="AB8" t="n">
        <x:f>I8^2</x:f>
        <x:v>2.113432675225</x:v>
      </x:c>
      <x:c r="AC8" t="n">
        <x:f>J8^2</x:f>
        <x:v>1.3952523392640002</x:v>
      </x:c>
      <x:c r="AD8" t="n">
        <x:f>K8^2</x:f>
        <x:v>3.521424890116</x:v>
      </x:c>
      <x:c r="AE8" t="str">
        <x:f>IF(ABS(M8)&lt;=5,"YES","NO")</x:f>
        <x:v>YES</x:v>
      </x:c>
      <x:c r="AF8" t="str">
        <x:f>IF(ABS(M8)&lt;=2.5,"YES","NO")</x:f>
        <x:v>YES</x:v>
      </x:c>
      <x:c r="AG8" t="str">
        <x:f>IF(X8="STABLE","Stable",IF(AND(H8&gt;=0.03,T8&gt;10,OR(I8&lt;0.03,U8&lt;=10),OR(J8&lt;0.03,V8&lt;=10)),"X CV only","Multiple / non-X CV"))</x:f>
        <x:v>Stable</x:v>
      </x:c>
      <x:c r="AH8" t="str">
        <x:f>IF(Z8="NO","Excluded from pose statistics: repositioning transition","")</x:f>
      </x:c>
    </x:row>
    <x:row r="9">
      <x:c r="A9" t="n">
        <x:v>5</x:v>
      </x:c>
      <x:c r="B9" s="28" t="n">
        <x:v>8</x:v>
      </x:c>
      <x:c r="C9" t="n">
        <x:v>0</x:v>
      </x:c>
      <x:c r="D9" s="28" t="n">
        <x:v>268</x:v>
      </x:c>
      <x:c r="E9" s="28" t="n">
        <x:v>14.75</x:v>
      </x:c>
      <x:c r="F9" s="28" t="str">
        <x:v>Z</x:v>
      </x:c>
      <x:c r="G9" s="28" t="n">
        <x:v>1.2</x:v>
      </x:c>
      <x:c r="H9" s="28" t="n">
        <x:v>0.127418</x:v>
      </x:c>
      <x:c r="I9" s="28" t="n">
        <x:v>1.447926</x:v>
      </x:c>
      <x:c r="J9" s="28" t="n">
        <x:v>1.195616</x:v>
      </x:c>
      <x:c r="K9" s="28" t="n">
        <x:v>1.88208</x:v>
      </x:c>
      <x:c r="L9" s="28" t="n">
        <x:v>1.195616</x:v>
      </x:c>
      <x:c r="M9" s="28" t="n">
        <x:v>-0.365</x:v>
      </x:c>
      <x:c r="N9" s="28" t="str">
        <x:v>Y</x:v>
      </x:c>
      <x:c r="O9" s="28" t="n">
        <x:v>0.458</x:v>
      </x:c>
      <x:c r="P9" s="28" t="n">
        <x:v>59.186</x:v>
      </x:c>
      <x:c r="Q9" s="28" t="n">
        <x:v>40.356</x:v>
      </x:c>
      <x:c r="R9" s="28" t="n">
        <x:v>0.483</x:v>
      </x:c>
      <x:c r="S9" s="28" t="n">
        <x:v>1.958</x:v>
      </x:c>
      <x:c r="T9" s="28" t="n">
        <x:v>9.7</x:v>
      </x:c>
      <x:c r="U9" s="28" t="n">
        <x:v>0.57</x:v>
      </x:c>
      <x:c r="V9" s="28" t="n">
        <x:v>0.47</x:v>
      </x:c>
      <x:c r="W9" t="n">
        <x:v>3</x:v>
      </x:c>
      <x:c r="X9" t="str">
        <x:v>STABLE</x:v>
      </x:c>
      <x:c r="Y9" t="str">
        <x:f>IF(A9&lt;=20,"P0 Reference A",IF(A9&lt;=30,"P1 Changed orientation",IF(A9&lt;=40,"P2 Changed orientation",IF(A9&lt;=50,"P3 Changed orientation",IF(A9&lt;=60,"P4 Changed orientation",IF(A9&lt;=70,"P5 Changed orientation",IF(A9&lt;=80,"P6 Changed orientation",IF(A9&lt;=90,"P7 Changed orientation",IF(A9&lt;=92,"Transition / repositioning","P0R Reference return")))))))))</x:f>
        <x:v>P0 Reference A</x:v>
      </x:c>
      <x:c r="Z9" t="str">
        <x:f>IF(OR(A9&lt;=90,A9&gt;=93),"YES","NO")</x:f>
        <x:v>YES</x:v>
      </x:c>
      <x:c r="AA9" t="n">
        <x:f>H9^2</x:f>
        <x:v>0.016235346724</x:v>
      </x:c>
      <x:c r="AB9" t="n">
        <x:f>I9^2</x:f>
        <x:v>2.096489701476</x:v>
      </x:c>
      <x:c r="AC9" t="n">
        <x:f>J9^2</x:f>
        <x:v>1.429497619456</x:v>
      </x:c>
      <x:c r="AD9" t="n">
        <x:f>K9^2</x:f>
        <x:v>3.5422251264</x:v>
      </x:c>
      <x:c r="AE9" t="str">
        <x:f>IF(ABS(M9)&lt;=5,"YES","NO")</x:f>
        <x:v>YES</x:v>
      </x:c>
      <x:c r="AF9" t="str">
        <x:f>IF(ABS(M9)&lt;=2.5,"YES","NO")</x:f>
        <x:v>YES</x:v>
      </x:c>
      <x:c r="AG9" t="str">
        <x:f>IF(X9="STABLE","Stable",IF(AND(H9&gt;=0.03,T9&gt;10,OR(I9&lt;0.03,U9&lt;=10),OR(J9&lt;0.03,V9&lt;=10)),"X CV only","Multiple / non-X CV"))</x:f>
        <x:v>Stable</x:v>
      </x:c>
      <x:c r="AH9" t="str">
        <x:f>IF(Z9="NO","Excluded from pose statistics: repositioning transition","")</x:f>
      </x:c>
    </x:row>
    <x:row r="10">
      <x:c r="A10" t="n">
        <x:v>6</x:v>
      </x:c>
      <x:c r="B10" s="28" t="n">
        <x:v>10.001</x:v>
      </x:c>
      <x:c r="C10" t="n">
        <x:v>0</x:v>
      </x:c>
      <x:c r="D10" s="28" t="n">
        <x:v>268</x:v>
      </x:c>
      <x:c r="E10" s="28" t="n">
        <x:v>14.75</x:v>
      </x:c>
      <x:c r="F10" s="28" t="str">
        <x:v>Z</x:v>
      </x:c>
      <x:c r="G10" s="28" t="n">
        <x:v>1.2</x:v>
      </x:c>
      <x:c r="H10" s="28" t="n">
        <x:v>0.124802</x:v>
      </x:c>
      <x:c r="I10" s="28" t="n">
        <x:v>1.44592</x:v>
      </x:c>
      <x:c r="J10" s="28" t="n">
        <x:v>1.1794</x:v>
      </x:c>
      <x:c r="K10" s="28" t="n">
        <x:v>1.870092</x:v>
      </x:c>
      <x:c r="L10" s="28" t="n">
        <x:v>1.1794</x:v>
      </x:c>
      <x:c r="M10" s="28" t="n">
        <x:v>-1.717</x:v>
      </x:c>
      <x:c r="N10" s="28" t="str">
        <x:v>Y</x:v>
      </x:c>
      <x:c r="O10" s="28" t="n">
        <x:v>0.445</x:v>
      </x:c>
      <x:c r="P10" s="28" t="n">
        <x:v>59.781</x:v>
      </x:c>
      <x:c r="Q10" s="28" t="n">
        <x:v>39.774</x:v>
      </x:c>
      <x:c r="R10" s="28" t="n">
        <x:v>0.133</x:v>
      </x:c>
      <x:c r="S10" s="28" t="n">
        <x:v>1.308</x:v>
      </x:c>
      <x:c r="T10" s="28" t="n">
        <x:v>8.4</x:v>
      </x:c>
      <x:c r="U10" s="28" t="n">
        <x:v>1.22</x:v>
      </x:c>
      <x:c r="V10" s="28" t="n">
        <x:v>0.96</x:v>
      </x:c>
      <x:c r="W10" t="n">
        <x:v>3</x:v>
      </x:c>
      <x:c r="X10" t="str">
        <x:v>STABLE</x:v>
      </x:c>
      <x:c r="Y10" t="str">
        <x:f>IF(A10&lt;=20,"P0 Reference A",IF(A10&lt;=30,"P1 Changed orientation",IF(A10&lt;=40,"P2 Changed orientation",IF(A10&lt;=50,"P3 Changed orientation",IF(A10&lt;=60,"P4 Changed orientation",IF(A10&lt;=70,"P5 Changed orientation",IF(A10&lt;=80,"P6 Changed orientation",IF(A10&lt;=90,"P7 Changed orientation",IF(A10&lt;=92,"Transition / repositioning","P0R Reference return")))))))))</x:f>
        <x:v>P0 Reference A</x:v>
      </x:c>
      <x:c r="Z10" t="str">
        <x:f>IF(OR(A10&lt;=90,A10&gt;=93),"YES","NO")</x:f>
        <x:v>YES</x:v>
      </x:c>
      <x:c r="AA10" t="n">
        <x:f>H10^2</x:f>
        <x:v>0.015575539203999999</x:v>
      </x:c>
      <x:c r="AB10" t="n">
        <x:f>I10^2</x:f>
        <x:v>2.0906846464</x:v>
      </x:c>
      <x:c r="AC10" t="n">
        <x:f>J10^2</x:f>
        <x:v>1.39098436</x:v>
      </x:c>
      <x:c r="AD10" t="n">
        <x:f>K10^2</x:f>
        <x:v>3.4972440884640004</x:v>
      </x:c>
      <x:c r="AE10" t="str">
        <x:f>IF(ABS(M10)&lt;=5,"YES","NO")</x:f>
        <x:v>YES</x:v>
      </x:c>
      <x:c r="AF10" t="str">
        <x:f>IF(ABS(M10)&lt;=2.5,"YES","NO")</x:f>
        <x:v>YES</x:v>
      </x:c>
      <x:c r="AG10" t="str">
        <x:f>IF(X10="STABLE","Stable",IF(AND(H10&gt;=0.03,T10&gt;10,OR(I10&lt;0.03,U10&lt;=10),OR(J10&lt;0.03,V10&lt;=10)),"X CV only","Multiple / non-X CV"))</x:f>
        <x:v>Stable</x:v>
      </x:c>
      <x:c r="AH10" t="str">
        <x:f>IF(Z10="NO","Excluded from pose statistics: repositioning transition","")</x:f>
      </x:c>
    </x:row>
    <x:row r="11">
      <x:c r="A11" t="n">
        <x:v>7</x:v>
      </x:c>
      <x:c r="B11" s="28" t="n">
        <x:v>12</x:v>
      </x:c>
      <x:c r="C11" t="n">
        <x:v>0</x:v>
      </x:c>
      <x:c r="D11" s="28" t="n">
        <x:v>268</x:v>
      </x:c>
      <x:c r="E11" s="28" t="n">
        <x:v>14.75</x:v>
      </x:c>
      <x:c r="F11" s="28" t="str">
        <x:v>Z</x:v>
      </x:c>
      <x:c r="G11" s="28" t="n">
        <x:v>1.2</x:v>
      </x:c>
      <x:c r="H11" s="28" t="n">
        <x:v>0.098036</x:v>
      </x:c>
      <x:c r="I11" s="28" t="n">
        <x:v>1.441363</x:v>
      </x:c>
      <x:c r="J11" s="28" t="n">
        <x:v>1.238054</x:v>
      </x:c>
      <x:c r="K11" s="28" t="n">
        <x:v>1.902608</x:v>
      </x:c>
      <x:c r="L11" s="28" t="n">
        <x:v>1.238054</x:v>
      </x:c>
      <x:c r="M11" s="28" t="n">
        <x:v>3.171</x:v>
      </x:c>
      <x:c r="N11" s="28" t="str">
        <x:v>Y</x:v>
      </x:c>
      <x:c r="O11" s="28" t="n">
        <x:v>0.266</x:v>
      </x:c>
      <x:c r="P11" s="28" t="n">
        <x:v>57.392</x:v>
      </x:c>
      <x:c r="Q11" s="28" t="n">
        <x:v>42.343</x:v>
      </x:c>
      <x:c r="R11" s="28" t="n">
        <x:v>2.47</x:v>
      </x:c>
      <x:c r="S11" s="28" t="n">
        <x:v>3.07</x:v>
      </x:c>
      <x:c r="T11" s="28" t="n">
        <x:v>8.56</x:v>
      </x:c>
      <x:c r="U11" s="28" t="n">
        <x:v>0.91</x:v>
      </x:c>
      <x:c r="V11" s="28" t="n">
        <x:v>0.84</x:v>
      </x:c>
      <x:c r="W11" t="n">
        <x:v>3</x:v>
      </x:c>
      <x:c r="X11" t="str">
        <x:v>STABLE</x:v>
      </x:c>
      <x:c r="Y11" t="str">
        <x:f>IF(A11&lt;=20,"P0 Reference A",IF(A11&lt;=30,"P1 Changed orientation",IF(A11&lt;=40,"P2 Changed orientation",IF(A11&lt;=50,"P3 Changed orientation",IF(A11&lt;=60,"P4 Changed orientation",IF(A11&lt;=70,"P5 Changed orientation",IF(A11&lt;=80,"P6 Changed orientation",IF(A11&lt;=90,"P7 Changed orientation",IF(A11&lt;=92,"Transition / repositioning","P0R Reference return")))))))))</x:f>
        <x:v>P0 Reference A</x:v>
      </x:c>
      <x:c r="Z11" t="str">
        <x:f>IF(OR(A11&lt;=90,A11&gt;=93),"YES","NO")</x:f>
        <x:v>YES</x:v>
      </x:c>
      <x:c r="AA11" t="n">
        <x:f>H11^2</x:f>
        <x:v>0.009611057296</x:v>
      </x:c>
      <x:c r="AB11" t="n">
        <x:f>I11^2</x:f>
        <x:v>2.077527297769</x:v>
      </x:c>
      <x:c r="AC11" t="n">
        <x:f>J11^2</x:f>
        <x:v>1.532777706916</x:v>
      </x:c>
      <x:c r="AD11" t="n">
        <x:f>K11^2</x:f>
        <x:v>3.619917201664</x:v>
      </x:c>
      <x:c r="AE11" t="str">
        <x:f>IF(ABS(M11)&lt;=5,"YES","NO")</x:f>
        <x:v>YES</x:v>
      </x:c>
      <x:c r="AF11" t="str">
        <x:f>IF(ABS(M11)&lt;=2.5,"YES","NO")</x:f>
        <x:v>NO</x:v>
      </x:c>
      <x:c r="AG11" t="str">
        <x:f>IF(X11="STABLE","Stable",IF(AND(H11&gt;=0.03,T11&gt;10,OR(I11&lt;0.03,U11&lt;=10),OR(J11&lt;0.03,V11&lt;=10)),"X CV only","Multiple / non-X CV"))</x:f>
        <x:v>Stable</x:v>
      </x:c>
      <x:c r="AH11" t="str">
        <x:f>IF(Z11="NO","Excluded from pose statistics: repositioning transition","")</x:f>
      </x:c>
    </x:row>
    <x:row r="12">
      <x:c r="A12" t="n">
        <x:v>8</x:v>
      </x:c>
      <x:c r="B12" s="28" t="n">
        <x:v>14</x:v>
      </x:c>
      <x:c r="C12" t="n">
        <x:v>0</x:v>
      </x:c>
      <x:c r="D12" s="28" t="n">
        <x:v>268</x:v>
      </x:c>
      <x:c r="E12" s="28" t="n">
        <x:v>14.75</x:v>
      </x:c>
      <x:c r="F12" s="28" t="str">
        <x:v>Z</x:v>
      </x:c>
      <x:c r="G12" s="28" t="n">
        <x:v>1.2</x:v>
      </x:c>
      <x:c r="H12" s="28" t="n">
        <x:v>0.124072</x:v>
      </x:c>
      <x:c r="I12" s="28" t="n">
        <x:v>1.439281</x:v>
      </x:c>
      <x:c r="J12" s="28" t="n">
        <x:v>1.203653</x:v>
      </x:c>
      <x:c r="K12" s="28" t="n">
        <x:v>1.880347</x:v>
      </x:c>
      <x:c r="L12" s="28" t="n">
        <x:v>1.203653</x:v>
      </x:c>
      <x:c r="M12" s="28" t="n">
        <x:v>0.304</x:v>
      </x:c>
      <x:c r="N12" s="28" t="str">
        <x:v>Y</x:v>
      </x:c>
      <x:c r="O12" s="28" t="n">
        <x:v>0.435</x:v>
      </x:c>
      <x:c r="P12" s="28" t="n">
        <x:v>58.589</x:v>
      </x:c>
      <x:c r="Q12" s="28" t="n">
        <x:v>40.976</x:v>
      </x:c>
      <x:c r="R12" s="28" t="n">
        <x:v>1.102</x:v>
      </x:c>
      <x:c r="S12" s="28" t="n">
        <x:v>1.864</x:v>
      </x:c>
      <x:c r="T12" s="28" t="n">
        <x:v>6.18</x:v>
      </x:c>
      <x:c r="U12" s="28" t="n">
        <x:v>1.71</x:v>
      </x:c>
      <x:c r="V12" s="28" t="n">
        <x:v>1.62</x:v>
      </x:c>
      <x:c r="W12" t="n">
        <x:v>3</x:v>
      </x:c>
      <x:c r="X12" t="str">
        <x:v>STABLE</x:v>
      </x:c>
      <x:c r="Y12" t="str">
        <x:f>IF(A12&lt;=20,"P0 Reference A",IF(A12&lt;=30,"P1 Changed orientation",IF(A12&lt;=40,"P2 Changed orientation",IF(A12&lt;=50,"P3 Changed orientation",IF(A12&lt;=60,"P4 Changed orientation",IF(A12&lt;=70,"P5 Changed orientation",IF(A12&lt;=80,"P6 Changed orientation",IF(A12&lt;=90,"P7 Changed orientation",IF(A12&lt;=92,"Transition / repositioning","P0R Reference return")))))))))</x:f>
        <x:v>P0 Reference A</x:v>
      </x:c>
      <x:c r="Z12" t="str">
        <x:f>IF(OR(A12&lt;=90,A12&gt;=93),"YES","NO")</x:f>
        <x:v>YES</x:v>
      </x:c>
      <x:c r="AA12" t="n">
        <x:f>H12^2</x:f>
        <x:v>0.015393861184000001</x:v>
      </x:c>
      <x:c r="AB12" t="n">
        <x:f>I12^2</x:f>
        <x:v>2.0715297969610003</x:v>
      </x:c>
      <x:c r="AC12" t="n">
        <x:f>J12^2</x:f>
        <x:v>1.4487805444090003</x:v>
      </x:c>
      <x:c r="AD12" t="n">
        <x:f>K12^2</x:f>
        <x:v>3.535704840409</x:v>
      </x:c>
      <x:c r="AE12" t="str">
        <x:f>IF(ABS(M12)&lt;=5,"YES","NO")</x:f>
        <x:v>YES</x:v>
      </x:c>
      <x:c r="AF12" t="str">
        <x:f>IF(ABS(M12)&lt;=2.5,"YES","NO")</x:f>
        <x:v>YES</x:v>
      </x:c>
      <x:c r="AG12" t="str">
        <x:f>IF(X12="STABLE","Stable",IF(AND(H12&gt;=0.03,T12&gt;10,OR(I12&lt;0.03,U12&lt;=10),OR(J12&lt;0.03,V12&lt;=10)),"X CV only","Multiple / non-X CV"))</x:f>
        <x:v>Stable</x:v>
      </x:c>
      <x:c r="AH12" t="str">
        <x:f>IF(Z12="NO","Excluded from pose statistics: repositioning transition","")</x:f>
      </x:c>
    </x:row>
    <x:row r="13">
      <x:c r="A13" t="n">
        <x:v>9</x:v>
      </x:c>
      <x:c r="B13" s="28" t="n">
        <x:v>16</x:v>
      </x:c>
      <x:c r="C13" t="n">
        <x:v>0</x:v>
      </x:c>
      <x:c r="D13" s="28" t="n">
        <x:v>268</x:v>
      </x:c>
      <x:c r="E13" s="28" t="n">
        <x:v>14.75</x:v>
      </x:c>
      <x:c r="F13" s="28" t="str">
        <x:v>Z</x:v>
      </x:c>
      <x:c r="G13" s="28" t="n">
        <x:v>1.2</x:v>
      </x:c>
      <x:c r="H13" s="28" t="n">
        <x:v>0.108923</x:v>
      </x:c>
      <x:c r="I13" s="28" t="n">
        <x:v>1.456599</x:v>
      </x:c>
      <x:c r="J13" s="28" t="n">
        <x:v>1.203395</x:v>
      </x:c>
      <x:c r="K13" s="28" t="n">
        <x:v>1.892539</x:v>
      </x:c>
      <x:c r="L13" s="28" t="n">
        <x:v>1.203395</x:v>
      </x:c>
      <x:c r="M13" s="28" t="n">
        <x:v>0.283</x:v>
      </x:c>
      <x:c r="N13" s="28" t="str">
        <x:v>Y</x:v>
      </x:c>
      <x:c r="O13" s="28" t="n">
        <x:v>0.331</x:v>
      </x:c>
      <x:c r="P13" s="28" t="n">
        <x:v>59.237</x:v>
      </x:c>
      <x:c r="Q13" s="28" t="n">
        <x:v>40.432</x:v>
      </x:c>
      <x:c r="R13" s="28" t="n">
        <x:v>0.559</x:v>
      </x:c>
      <x:c r="S13" s="28" t="n">
        <x:v>2.524</x:v>
      </x:c>
      <x:c r="T13" s="28" t="n">
        <x:v>2.19</x:v>
      </x:c>
      <x:c r="U13" s="28" t="n">
        <x:v>1.17</x:v>
      </x:c>
      <x:c r="V13" s="28" t="n">
        <x:v>0.62</x:v>
      </x:c>
      <x:c r="W13" t="n">
        <x:v>3</x:v>
      </x:c>
      <x:c r="X13" t="str">
        <x:v>STABLE</x:v>
      </x:c>
      <x:c r="Y13" t="str">
        <x:f>IF(A13&lt;=20,"P0 Reference A",IF(A13&lt;=30,"P1 Changed orientation",IF(A13&lt;=40,"P2 Changed orientation",IF(A13&lt;=50,"P3 Changed orientation",IF(A13&lt;=60,"P4 Changed orientation",IF(A13&lt;=70,"P5 Changed orientation",IF(A13&lt;=80,"P6 Changed orientation",IF(A13&lt;=90,"P7 Changed orientation",IF(A13&lt;=92,"Transition / repositioning","P0R Reference return")))))))))</x:f>
        <x:v>P0 Reference A</x:v>
      </x:c>
      <x:c r="Z13" t="str">
        <x:f>IF(OR(A13&lt;=90,A13&gt;=93),"YES","NO")</x:f>
        <x:v>YES</x:v>
      </x:c>
      <x:c r="AA13" t="n">
        <x:f>H13^2</x:f>
        <x:v>0.011864219929</x:v>
      </x:c>
      <x:c r="AB13" t="n">
        <x:f>I13^2</x:f>
        <x:v>2.121680646801</x:v>
      </x:c>
      <x:c r="AC13" t="n">
        <x:f>J13^2</x:f>
        <x:v>1.448159526025</x:v>
      </x:c>
      <x:c r="AD13" t="n">
        <x:f>K13^2</x:f>
        <x:v>3.581703866521</x:v>
      </x:c>
      <x:c r="AE13" t="str">
        <x:f>IF(ABS(M13)&lt;=5,"YES","NO")</x:f>
        <x:v>YES</x:v>
      </x:c>
      <x:c r="AF13" t="str">
        <x:f>IF(ABS(M13)&lt;=2.5,"YES","NO")</x:f>
        <x:v>YES</x:v>
      </x:c>
      <x:c r="AG13" t="str">
        <x:f>IF(X13="STABLE","Stable",IF(AND(H13&gt;=0.03,T13&gt;10,OR(I13&lt;0.03,U13&lt;=10),OR(J13&lt;0.03,V13&lt;=10)),"X CV only","Multiple / non-X CV"))</x:f>
        <x:v>Stable</x:v>
      </x:c>
      <x:c r="AH13" t="str">
        <x:f>IF(Z13="NO","Excluded from pose statistics: repositioning transition","")</x:f>
      </x:c>
    </x:row>
    <x:row r="14">
      <x:c r="A14" t="n">
        <x:v>10</x:v>
      </x:c>
      <x:c r="B14" s="28" t="n">
        <x:v>18</x:v>
      </x:c>
      <x:c r="C14" t="n">
        <x:v>0</x:v>
      </x:c>
      <x:c r="D14" s="28" t="n">
        <x:v>268</x:v>
      </x:c>
      <x:c r="E14" s="28" t="n">
        <x:v>14.75</x:v>
      </x:c>
      <x:c r="F14" s="28" t="str">
        <x:v>Z</x:v>
      </x:c>
      <x:c r="G14" s="28" t="n">
        <x:v>1.2</x:v>
      </x:c>
      <x:c r="H14" s="28" t="n">
        <x:v>0.124274</x:v>
      </x:c>
      <x:c r="I14" s="28" t="n">
        <x:v>1.449917</x:v>
      </x:c>
      <x:c r="J14" s="28" t="n">
        <x:v>1.198072</x:v>
      </x:c>
      <x:c r="K14" s="28" t="n">
        <x:v>1.884961</x:v>
      </x:c>
      <x:c r="L14" s="28" t="n">
        <x:v>1.198072</x:v>
      </x:c>
      <x:c r="M14" s="28" t="n">
        <x:v>-0.161</x:v>
      </x:c>
      <x:c r="N14" s="28" t="str">
        <x:v>Y</x:v>
      </x:c>
      <x:c r="O14" s="28" t="n">
        <x:v>0.435</x:v>
      </x:c>
      <x:c r="P14" s="28" t="n">
        <x:v>59.167</x:v>
      </x:c>
      <x:c r="Q14" s="28" t="n">
        <x:v>40.398</x:v>
      </x:c>
      <x:c r="R14" s="28" t="n">
        <x:v>0.525</x:v>
      </x:c>
      <x:c r="S14" s="28" t="n">
        <x:v>2.114</x:v>
      </x:c>
      <x:c r="T14" s="28" t="n">
        <x:v>4.79</x:v>
      </x:c>
      <x:c r="U14" s="28" t="n">
        <x:v>1.13</x:v>
      </x:c>
      <x:c r="V14" s="28" t="n">
        <x:v>0.77</x:v>
      </x:c>
      <x:c r="W14" t="n">
        <x:v>3</x:v>
      </x:c>
      <x:c r="X14" t="str">
        <x:v>STABLE</x:v>
      </x:c>
      <x:c r="Y14" t="str">
        <x:f>IF(A14&lt;=20,"P0 Reference A",IF(A14&lt;=30,"P1 Changed orientation",IF(A14&lt;=40,"P2 Changed orientation",IF(A14&lt;=50,"P3 Changed orientation",IF(A14&lt;=60,"P4 Changed orientation",IF(A14&lt;=70,"P5 Changed orientation",IF(A14&lt;=80,"P6 Changed orientation",IF(A14&lt;=90,"P7 Changed orientation",IF(A14&lt;=92,"Transition / repositioning","P0R Reference return")))))))))</x:f>
        <x:v>P0 Reference A</x:v>
      </x:c>
      <x:c r="Z14" t="str">
        <x:f>IF(OR(A14&lt;=90,A14&gt;=93),"YES","NO")</x:f>
        <x:v>YES</x:v>
      </x:c>
      <x:c r="AA14" t="n">
        <x:f>H14^2</x:f>
        <x:v>0.015444027075999999</x:v>
      </x:c>
      <x:c r="AB14" t="n">
        <x:f>I14^2</x:f>
        <x:v>2.1022593068889996</x:v>
      </x:c>
      <x:c r="AC14" t="n">
        <x:f>J14^2</x:f>
        <x:v>1.435376517184</x:v>
      </x:c>
      <x:c r="AD14" t="n">
        <x:f>K14^2</x:f>
        <x:v>3.5530779715210006</x:v>
      </x:c>
      <x:c r="AE14" t="str">
        <x:f>IF(ABS(M14)&lt;=5,"YES","NO")</x:f>
        <x:v>YES</x:v>
      </x:c>
      <x:c r="AF14" t="str">
        <x:f>IF(ABS(M14)&lt;=2.5,"YES","NO")</x:f>
        <x:v>YES</x:v>
      </x:c>
      <x:c r="AG14" t="str">
        <x:f>IF(X14="STABLE","Stable",IF(AND(H14&gt;=0.03,T14&gt;10,OR(I14&lt;0.03,U14&lt;=10),OR(J14&lt;0.03,V14&lt;=10)),"X CV only","Multiple / non-X CV"))</x:f>
        <x:v>Stable</x:v>
      </x:c>
      <x:c r="AH14" t="str">
        <x:f>IF(Z14="NO","Excluded from pose statistics: repositioning transition","")</x:f>
      </x:c>
    </x:row>
    <x:row r="15">
      <x:c r="A15" t="n">
        <x:v>11</x:v>
      </x:c>
      <x:c r="B15" s="28" t="n">
        <x:v>20</x:v>
      </x:c>
      <x:c r="C15" t="n">
        <x:v>0</x:v>
      </x:c>
      <x:c r="D15" s="28" t="n">
        <x:v>268</x:v>
      </x:c>
      <x:c r="E15" s="28" t="n">
        <x:v>14.75</x:v>
      </x:c>
      <x:c r="F15" s="28" t="str">
        <x:v>Z</x:v>
      </x:c>
      <x:c r="G15" s="28" t="n">
        <x:v>1.2</x:v>
      </x:c>
      <x:c r="H15" s="28" t="n">
        <x:v>0.115279</x:v>
      </x:c>
      <x:c r="I15" s="28" t="n">
        <x:v>1.444463</x:v>
      </x:c>
      <x:c r="J15" s="28" t="n">
        <x:v>1.193966</x:v>
      </x:c>
      <x:c r="K15" s="28" t="n">
        <x:v>1.877583</x:v>
      </x:c>
      <x:c r="L15" s="28" t="n">
        <x:v>1.193966</x:v>
      </x:c>
      <x:c r="M15" s="28" t="n">
        <x:v>-0.503</x:v>
      </x:c>
      <x:c r="N15" s="28" t="str">
        <x:v>Y</x:v>
      </x:c>
      <x:c r="O15" s="28" t="n">
        <x:v>0.377</x:v>
      </x:c>
      <x:c r="P15" s="28" t="n">
        <x:v>59.185</x:v>
      </x:c>
      <x:c r="Q15" s="28" t="n">
        <x:v>40.438</x:v>
      </x:c>
      <x:c r="R15" s="28" t="n">
        <x:v>0.564</x:v>
      </x:c>
      <x:c r="S15" s="28" t="n">
        <x:v>1.714</x:v>
      </x:c>
      <x:c r="T15" s="28" t="n">
        <x:v>6.36</x:v>
      </x:c>
      <x:c r="U15" s="28" t="n">
        <x:v>0.33</x:v>
      </x:c>
      <x:c r="V15" s="28" t="n">
        <x:v>1.63</x:v>
      </x:c>
      <x:c r="W15" t="n">
        <x:v>3</x:v>
      </x:c>
      <x:c r="X15" t="str">
        <x:v>STABLE</x:v>
      </x:c>
      <x:c r="Y15" t="str">
        <x:f>IF(A15&lt;=20,"P0 Reference A",IF(A15&lt;=30,"P1 Changed orientation",IF(A15&lt;=40,"P2 Changed orientation",IF(A15&lt;=50,"P3 Changed orientation",IF(A15&lt;=60,"P4 Changed orientation",IF(A15&lt;=70,"P5 Changed orientation",IF(A15&lt;=80,"P6 Changed orientation",IF(A15&lt;=90,"P7 Changed orientation",IF(A15&lt;=92,"Transition / repositioning","P0R Reference return")))))))))</x:f>
        <x:v>P0 Reference A</x:v>
      </x:c>
      <x:c r="Z15" t="str">
        <x:f>IF(OR(A15&lt;=90,A15&gt;=93),"YES","NO")</x:f>
        <x:v>YES</x:v>
      </x:c>
      <x:c r="AA15" t="n">
        <x:f>H15^2</x:f>
        <x:v>0.013289247841000001</x:v>
      </x:c>
      <x:c r="AB15" t="n">
        <x:f>I15^2</x:f>
        <x:v>2.086473358369</x:v>
      </x:c>
      <x:c r="AC15" t="n">
        <x:f>J15^2</x:f>
        <x:v>1.4255548091560002</x:v>
      </x:c>
      <x:c r="AD15" t="n">
        <x:f>K15^2</x:f>
        <x:v>3.525317921889</x:v>
      </x:c>
      <x:c r="AE15" t="str">
        <x:f>IF(ABS(M15)&lt;=5,"YES","NO")</x:f>
        <x:v>YES</x:v>
      </x:c>
      <x:c r="AF15" t="str">
        <x:f>IF(ABS(M15)&lt;=2.5,"YES","NO")</x:f>
        <x:v>YES</x:v>
      </x:c>
      <x:c r="AG15" t="str">
        <x:f>IF(X15="STABLE","Stable",IF(AND(H15&gt;=0.03,T15&gt;10,OR(I15&lt;0.03,U15&lt;=10),OR(J15&lt;0.03,V15&lt;=10)),"X CV only","Multiple / non-X CV"))</x:f>
        <x:v>Stable</x:v>
      </x:c>
      <x:c r="AH15" t="str">
        <x:f>IF(Z15="NO","Excluded from pose statistics: repositioning transition","")</x:f>
      </x:c>
    </x:row>
    <x:row r="16">
      <x:c r="A16" t="n">
        <x:v>12</x:v>
      </x:c>
      <x:c r="B16" s="28" t="n">
        <x:v>22</x:v>
      </x:c>
      <x:c r="C16" t="n">
        <x:v>0</x:v>
      </x:c>
      <x:c r="D16" s="28" t="n">
        <x:v>268</x:v>
      </x:c>
      <x:c r="E16" s="28" t="n">
        <x:v>14.75</x:v>
      </x:c>
      <x:c r="F16" s="28" t="str">
        <x:v>Z</x:v>
      </x:c>
      <x:c r="G16" s="28" t="n">
        <x:v>1.2</x:v>
      </x:c>
      <x:c r="H16" s="28" t="n">
        <x:v>0.133166</x:v>
      </x:c>
      <x:c r="I16" s="28" t="n">
        <x:v>1.42867</x:v>
      </x:c>
      <x:c r="J16" s="28" t="n">
        <x:v>1.180615</x:v>
      </x:c>
      <x:c r="K16" s="28" t="n">
        <x:v>1.85814</x:v>
      </x:c>
      <x:c r="L16" s="28" t="n">
        <x:v>1.180615</x:v>
      </x:c>
      <x:c r="M16" s="28" t="n">
        <x:v>-1.615</x:v>
      </x:c>
      <x:c r="N16" s="28" t="str">
        <x:v>Y</x:v>
      </x:c>
      <x:c r="O16" s="28" t="n">
        <x:v>0.514</x:v>
      </x:c>
      <x:c r="P16" s="28" t="n">
        <x:v>59.116</x:v>
      </x:c>
      <x:c r="Q16" s="28" t="n">
        <x:v>40.37</x:v>
      </x:c>
      <x:c r="R16" s="28" t="n">
        <x:v>0.531</x:v>
      </x:c>
      <x:c r="S16" s="28" t="n">
        <x:v>0.661</x:v>
      </x:c>
      <x:c r="T16" s="28" t="n">
        <x:v>19.13</x:v>
      </x:c>
      <x:c r="U16" s="28" t="n">
        <x:v>0.89</x:v>
      </x:c>
      <x:c r="V16" s="28" t="n">
        <x:v>0.81</x:v>
      </x:c>
      <x:c r="W16" t="n">
        <x:v>3</x:v>
      </x:c>
      <x:c r="X16" t="str">
        <x:v>TRANSIENT</x:v>
      </x:c>
      <x:c r="Y16" t="str">
        <x:f>IF(A16&lt;=20,"P0 Reference A",IF(A16&lt;=30,"P1 Changed orientation",IF(A16&lt;=40,"P2 Changed orientation",IF(A16&lt;=50,"P3 Changed orientation",IF(A16&lt;=60,"P4 Changed orientation",IF(A16&lt;=70,"P5 Changed orientation",IF(A16&lt;=80,"P6 Changed orientation",IF(A16&lt;=90,"P7 Changed orientation",IF(A16&lt;=92,"Transition / repositioning","P0R Reference return")))))))))</x:f>
        <x:v>P0 Reference A</x:v>
      </x:c>
      <x:c r="Z16" t="str">
        <x:f>IF(OR(A16&lt;=90,A16&gt;=93),"YES","NO")</x:f>
        <x:v>YES</x:v>
      </x:c>
      <x:c r="AA16" t="n">
        <x:f>H16^2</x:f>
        <x:v>0.017733183556000003</x:v>
      </x:c>
      <x:c r="AB16" t="n">
        <x:f>I16^2</x:f>
        <x:v>2.0410979689000004</x:v>
      </x:c>
      <x:c r="AC16" t="n">
        <x:f>J16^2</x:f>
        <x:v>1.393851778225</x:v>
      </x:c>
      <x:c r="AD16" t="n">
        <x:f>K16^2</x:f>
        <x:v>3.4526842596</x:v>
      </x:c>
      <x:c r="AE16" t="str">
        <x:f>IF(ABS(M16)&lt;=5,"YES","NO")</x:f>
        <x:v>YES</x:v>
      </x:c>
      <x:c r="AF16" t="str">
        <x:f>IF(ABS(M16)&lt;=2.5,"YES","NO")</x:f>
        <x:v>YES</x:v>
      </x:c>
      <x:c r="AG16" t="str">
        <x:f>IF(X16="STABLE","Stable",IF(AND(H16&gt;=0.03,T16&gt;10,OR(I16&lt;0.03,U16&lt;=10),OR(J16&lt;0.03,V16&lt;=10)),"X CV only","Multiple / non-X CV"))</x:f>
        <x:v>X CV only</x:v>
      </x:c>
      <x:c r="AH16" t="str">
        <x:f>IF(Z16="NO","Excluded from pose statistics: repositioning transition","")</x:f>
      </x:c>
    </x:row>
    <x:row r="17">
      <x:c r="A17" t="n">
        <x:v>13</x:v>
      </x:c>
      <x:c r="B17" s="28" t="n">
        <x:v>24</x:v>
      </x:c>
      <x:c r="C17" t="n">
        <x:v>0</x:v>
      </x:c>
      <x:c r="D17" s="28" t="n">
        <x:v>268</x:v>
      </x:c>
      <x:c r="E17" s="28" t="n">
        <x:v>14.75</x:v>
      </x:c>
      <x:c r="F17" s="28" t="str">
        <x:v>Z</x:v>
      </x:c>
      <x:c r="G17" s="28" t="n">
        <x:v>1.2</x:v>
      </x:c>
      <x:c r="H17" s="28" t="n">
        <x:v>0.131494</x:v>
      </x:c>
      <x:c r="I17" s="28" t="n">
        <x:v>1.45326</x:v>
      </x:c>
      <x:c r="J17" s="28" t="n">
        <x:v>1.186019</x:v>
      </x:c>
      <x:c r="K17" s="28" t="n">
        <x:v>1.880398</x:v>
      </x:c>
      <x:c r="L17" s="28" t="n">
        <x:v>1.186019</x:v>
      </x:c>
      <x:c r="M17" s="28" t="n">
        <x:v>-1.165</x:v>
      </x:c>
      <x:c r="N17" s="28" t="str">
        <x:v>Y</x:v>
      </x:c>
      <x:c r="O17" s="28" t="n">
        <x:v>0.489</x:v>
      </x:c>
      <x:c r="P17" s="28" t="n">
        <x:v>59.729</x:v>
      </x:c>
      <x:c r="Q17" s="28" t="n">
        <x:v>39.782</x:v>
      </x:c>
      <x:c r="R17" s="28" t="n">
        <x:v>0.091</x:v>
      </x:c>
      <x:c r="S17" s="28" t="n">
        <x:v>1.867</x:v>
      </x:c>
      <x:c r="T17" s="28" t="n">
        <x:v>6.99</x:v>
      </x:c>
      <x:c r="U17" s="28" t="n">
        <x:v>0.67</x:v>
      </x:c>
      <x:c r="V17" s="28" t="n">
        <x:v>1.06</x:v>
      </x:c>
      <x:c r="W17" t="n">
        <x:v>3</x:v>
      </x:c>
      <x:c r="X17" t="str">
        <x:v>STABLE</x:v>
      </x:c>
      <x:c r="Y17" t="str">
        <x:f>IF(A17&lt;=20,"P0 Reference A",IF(A17&lt;=30,"P1 Changed orientation",IF(A17&lt;=40,"P2 Changed orientation",IF(A17&lt;=50,"P3 Changed orientation",IF(A17&lt;=60,"P4 Changed orientation",IF(A17&lt;=70,"P5 Changed orientation",IF(A17&lt;=80,"P6 Changed orientation",IF(A17&lt;=90,"P7 Changed orientation",IF(A17&lt;=92,"Transition / repositioning","P0R Reference return")))))))))</x:f>
        <x:v>P0 Reference A</x:v>
      </x:c>
      <x:c r="Z17" t="str">
        <x:f>IF(OR(A17&lt;=90,A17&gt;=93),"YES","NO")</x:f>
        <x:v>YES</x:v>
      </x:c>
      <x:c r="AA17" t="n">
        <x:f>H17^2</x:f>
        <x:v>0.017290672036</x:v>
      </x:c>
      <x:c r="AB17" t="n">
        <x:f>I17^2</x:f>
        <x:v>2.1119646276</x:v>
      </x:c>
      <x:c r="AC17" t="n">
        <x:f>J17^2</x:f>
        <x:v>1.4066410683609998</x:v>
      </x:c>
      <x:c r="AD17" t="n">
        <x:f>K17^2</x:f>
        <x:v>3.535896638404</x:v>
      </x:c>
      <x:c r="AE17" t="str">
        <x:f>IF(ABS(M17)&lt;=5,"YES","NO")</x:f>
        <x:v>YES</x:v>
      </x:c>
      <x:c r="AF17" t="str">
        <x:f>IF(ABS(M17)&lt;=2.5,"YES","NO")</x:f>
        <x:v>YES</x:v>
      </x:c>
      <x:c r="AG17" t="str">
        <x:f>IF(X17="STABLE","Stable",IF(AND(H17&gt;=0.03,T17&gt;10,OR(I17&lt;0.03,U17&lt;=10),OR(J17&lt;0.03,V17&lt;=10)),"X CV only","Multiple / non-X CV"))</x:f>
        <x:v>Stable</x:v>
      </x:c>
      <x:c r="AH17" t="str">
        <x:f>IF(Z17="NO","Excluded from pose statistics: repositioning transition","")</x:f>
      </x:c>
    </x:row>
    <x:row r="18">
      <x:c r="A18" t="n">
        <x:v>14</x:v>
      </x:c>
      <x:c r="B18" s="28" t="n">
        <x:v>26</x:v>
      </x:c>
      <x:c r="C18" t="n">
        <x:v>0</x:v>
      </x:c>
      <x:c r="D18" s="28" t="n">
        <x:v>268</x:v>
      </x:c>
      <x:c r="E18" s="28" t="n">
        <x:v>14.75</x:v>
      </x:c>
      <x:c r="F18" s="28" t="str">
        <x:v>Z</x:v>
      </x:c>
      <x:c r="G18" s="28" t="n">
        <x:v>1.2</x:v>
      </x:c>
      <x:c r="H18" s="28" t="n">
        <x:v>0.108007</x:v>
      </x:c>
      <x:c r="I18" s="28" t="n">
        <x:v>1.445504</x:v>
      </x:c>
      <x:c r="J18" s="28" t="n">
        <x:v>1.197884</x:v>
      </x:c>
      <x:c r="K18" s="28" t="n">
        <x:v>1.880445</x:v>
      </x:c>
      <x:c r="L18" s="28" t="n">
        <x:v>1.197884</x:v>
      </x:c>
      <x:c r="M18" s="28" t="n">
        <x:v>-0.176</x:v>
      </x:c>
      <x:c r="N18" s="28" t="str">
        <x:v>Y</x:v>
      </x:c>
      <x:c r="O18" s="28" t="n">
        <x:v>0.33</x:v>
      </x:c>
      <x:c r="P18" s="28" t="n">
        <x:v>59.09</x:v>
      </x:c>
      <x:c r="Q18" s="28" t="n">
        <x:v>40.58</x:v>
      </x:c>
      <x:c r="R18" s="28" t="n">
        <x:v>0.706</x:v>
      </x:c>
      <x:c r="S18" s="28" t="n">
        <x:v>1.869</x:v>
      </x:c>
      <x:c r="T18" s="28" t="n">
        <x:v>17.78</x:v>
      </x:c>
      <x:c r="U18" s="28" t="n">
        <x:v>1.35</x:v>
      </x:c>
      <x:c r="V18" s="28" t="n">
        <x:v>1.75</x:v>
      </x:c>
      <x:c r="W18" t="n">
        <x:v>3</x:v>
      </x:c>
      <x:c r="X18" t="str">
        <x:v>TRANSIENT</x:v>
      </x:c>
      <x:c r="Y18" t="str">
        <x:f>IF(A18&lt;=20,"P0 Reference A",IF(A18&lt;=30,"P1 Changed orientation",IF(A18&lt;=40,"P2 Changed orientation",IF(A18&lt;=50,"P3 Changed orientation",IF(A18&lt;=60,"P4 Changed orientation",IF(A18&lt;=70,"P5 Changed orientation",IF(A18&lt;=80,"P6 Changed orientation",IF(A18&lt;=90,"P7 Changed orientation",IF(A18&lt;=92,"Transition / repositioning","P0R Reference return")))))))))</x:f>
        <x:v>P0 Reference A</x:v>
      </x:c>
      <x:c r="Z18" t="str">
        <x:f>IF(OR(A18&lt;=90,A18&gt;=93),"YES","NO")</x:f>
        <x:v>YES</x:v>
      </x:c>
      <x:c r="AA18" t="n">
        <x:f>H18^2</x:f>
        <x:v>0.011665512049000001</x:v>
      </x:c>
      <x:c r="AB18" t="n">
        <x:f>I18^2</x:f>
        <x:v>2.0894818140159996</x:v>
      </x:c>
      <x:c r="AC18" t="n">
        <x:f>J18^2</x:f>
        <x:v>1.434926077456</x:v>
      </x:c>
      <x:c r="AD18" t="n">
        <x:f>K18^2</x:f>
        <x:v>3.5360733980249996</x:v>
      </x:c>
      <x:c r="AE18" t="str">
        <x:f>IF(ABS(M18)&lt;=5,"YES","NO")</x:f>
        <x:v>YES</x:v>
      </x:c>
      <x:c r="AF18" t="str">
        <x:f>IF(ABS(M18)&lt;=2.5,"YES","NO")</x:f>
        <x:v>YES</x:v>
      </x:c>
      <x:c r="AG18" t="str">
        <x:f>IF(X18="STABLE","Stable",IF(AND(H18&gt;=0.03,T18&gt;10,OR(I18&lt;0.03,U18&lt;=10),OR(J18&lt;0.03,V18&lt;=10)),"X CV only","Multiple / non-X CV"))</x:f>
        <x:v>X CV only</x:v>
      </x:c>
      <x:c r="AH18" t="str">
        <x:f>IF(Z18="NO","Excluded from pose statistics: repositioning transition","")</x:f>
      </x:c>
    </x:row>
    <x:row r="19">
      <x:c r="A19" t="n">
        <x:v>15</x:v>
      </x:c>
      <x:c r="B19" s="28" t="n">
        <x:v>28</x:v>
      </x:c>
      <x:c r="C19" t="n">
        <x:v>0</x:v>
      </x:c>
      <x:c r="D19" s="28" t="n">
        <x:v>268</x:v>
      </x:c>
      <x:c r="E19" s="28" t="n">
        <x:v>14.75</x:v>
      </x:c>
      <x:c r="F19" s="28" t="str">
        <x:v>Z</x:v>
      </x:c>
      <x:c r="G19" s="28" t="n">
        <x:v>1.2</x:v>
      </x:c>
      <x:c r="H19" s="28" t="n">
        <x:v>0.107324</x:v>
      </x:c>
      <x:c r="I19" s="28" t="n">
        <x:v>1.450031</x:v>
      </x:c>
      <x:c r="J19" s="28" t="n">
        <x:v>1.19846</x:v>
      </x:c>
      <x:c r="K19" s="28" t="n">
        <x:v>1.884254</x:v>
      </x:c>
      <x:c r="L19" s="28" t="n">
        <x:v>1.19846</x:v>
      </x:c>
      <x:c r="M19" s="28" t="n">
        <x:v>-0.128</x:v>
      </x:c>
      <x:c r="N19" s="28" t="str">
        <x:v>Y</x:v>
      </x:c>
      <x:c r="O19" s="28" t="n">
        <x:v>0.324</x:v>
      </x:c>
      <x:c r="P19" s="28" t="n">
        <x:v>59.221</x:v>
      </x:c>
      <x:c r="Q19" s="28" t="n">
        <x:v>40.455</x:v>
      </x:c>
      <x:c r="R19" s="28" t="n">
        <x:v>0.581</x:v>
      </x:c>
      <x:c r="S19" s="28" t="n">
        <x:v>2.076</x:v>
      </x:c>
      <x:c r="T19" s="28" t="n">
        <x:v>13.17</x:v>
      </x:c>
      <x:c r="U19" s="28" t="n">
        <x:v>2.29</x:v>
      </x:c>
      <x:c r="V19" s="28" t="n">
        <x:v>2.36</x:v>
      </x:c>
      <x:c r="W19" t="n">
        <x:v>3</x:v>
      </x:c>
      <x:c r="X19" t="str">
        <x:v>TRANSIENT</x:v>
      </x:c>
      <x:c r="Y19" t="str">
        <x:f>IF(A19&lt;=20,"P0 Reference A",IF(A19&lt;=30,"P1 Changed orientation",IF(A19&lt;=40,"P2 Changed orientation",IF(A19&lt;=50,"P3 Changed orientation",IF(A19&lt;=60,"P4 Changed orientation",IF(A19&lt;=70,"P5 Changed orientation",IF(A19&lt;=80,"P6 Changed orientation",IF(A19&lt;=90,"P7 Changed orientation",IF(A19&lt;=92,"Transition / repositioning","P0R Reference return")))))))))</x:f>
        <x:v>P0 Reference A</x:v>
      </x:c>
      <x:c r="Z19" t="str">
        <x:f>IF(OR(A19&lt;=90,A19&gt;=93),"YES","NO")</x:f>
        <x:v>YES</x:v>
      </x:c>
      <x:c r="AA19" t="n">
        <x:f>H19^2</x:f>
        <x:v>0.011518440976000001</x:v>
      </x:c>
      <x:c r="AB19" t="n">
        <x:f>I19^2</x:f>
        <x:v>2.102589900961</x:v>
      </x:c>
      <x:c r="AC19" t="n">
        <x:f>J19^2</x:f>
        <x:v>1.4363063716000002</x:v>
      </x:c>
      <x:c r="AD19" t="n">
        <x:f>K19^2</x:f>
        <x:v>3.5504131365160005</x:v>
      </x:c>
      <x:c r="AE19" t="str">
        <x:f>IF(ABS(M19)&lt;=5,"YES","NO")</x:f>
        <x:v>YES</x:v>
      </x:c>
      <x:c r="AF19" t="str">
        <x:f>IF(ABS(M19)&lt;=2.5,"YES","NO")</x:f>
        <x:v>YES</x:v>
      </x:c>
      <x:c r="AG19" t="str">
        <x:f>IF(X19="STABLE","Stable",IF(AND(H19&gt;=0.03,T19&gt;10,OR(I19&lt;0.03,U19&lt;=10),OR(J19&lt;0.03,V19&lt;=10)),"X CV only","Multiple / non-X CV"))</x:f>
        <x:v>X CV only</x:v>
      </x:c>
      <x:c r="AH19" t="str">
        <x:f>IF(Z19="NO","Excluded from pose statistics: repositioning transition","")</x:f>
      </x:c>
    </x:row>
    <x:row r="20">
      <x:c r="A20" t="n">
        <x:v>16</x:v>
      </x:c>
      <x:c r="B20" s="28" t="n">
        <x:v>30</x:v>
      </x:c>
      <x:c r="C20" t="n">
        <x:v>0</x:v>
      </x:c>
      <x:c r="D20" s="28" t="n">
        <x:v>268</x:v>
      </x:c>
      <x:c r="E20" s="28" t="n">
        <x:v>14.75</x:v>
      </x:c>
      <x:c r="F20" s="28" t="str">
        <x:v>Z</x:v>
      </x:c>
      <x:c r="G20" s="28" t="n">
        <x:v>1.2</x:v>
      </x:c>
      <x:c r="H20" s="28" t="n">
        <x:v>0.095189</x:v>
      </x:c>
      <x:c r="I20" s="28" t="n">
        <x:v>1.403086</x:v>
      </x:c>
      <x:c r="J20" s="28" t="n">
        <x:v>1.260668</x:v>
      </x:c>
      <x:c r="K20" s="28" t="n">
        <x:v>1.88865</x:v>
      </x:c>
      <x:c r="L20" s="28" t="n">
        <x:v>1.260668</x:v>
      </x:c>
      <x:c r="M20" s="28" t="n">
        <x:v>5.056</x:v>
      </x:c>
      <x:c r="N20" s="28" t="str">
        <x:v>Y</x:v>
      </x:c>
      <x:c r="O20" s="28" t="n">
        <x:v>0.254</x:v>
      </x:c>
      <x:c r="P20" s="28" t="n">
        <x:v>55.191</x:v>
      </x:c>
      <x:c r="Q20" s="28" t="n">
        <x:v>44.555</x:v>
      </x:c>
      <x:c r="R20" s="28" t="n">
        <x:v>4.682</x:v>
      </x:c>
      <x:c r="S20" s="28" t="n">
        <x:v>2.314</x:v>
      </x:c>
      <x:c r="T20" s="28" t="n">
        <x:v>5.51</x:v>
      </x:c>
      <x:c r="U20" s="28" t="n">
        <x:v>0.48</x:v>
      </x:c>
      <x:c r="V20" s="28" t="n">
        <x:v>1.37</x:v>
      </x:c>
      <x:c r="W20" t="n">
        <x:v>3</x:v>
      </x:c>
      <x:c r="X20" t="str">
        <x:v>STABLE</x:v>
      </x:c>
      <x:c r="Y20" t="str">
        <x:f>IF(A20&lt;=20,"P0 Reference A",IF(A20&lt;=30,"P1 Changed orientation",IF(A20&lt;=40,"P2 Changed orientation",IF(A20&lt;=50,"P3 Changed orientation",IF(A20&lt;=60,"P4 Changed orientation",IF(A20&lt;=70,"P5 Changed orientation",IF(A20&lt;=80,"P6 Changed orientation",IF(A20&lt;=90,"P7 Changed orientation",IF(A20&lt;=92,"Transition / repositioning","P0R Reference return")))))))))</x:f>
        <x:v>P0 Reference A</x:v>
      </x:c>
      <x:c r="Z20" t="str">
        <x:f>IF(OR(A20&lt;=90,A20&gt;=93),"YES","NO")</x:f>
        <x:v>YES</x:v>
      </x:c>
      <x:c r="AA20" t="n">
        <x:f>H20^2</x:f>
        <x:v>0.009060945720999998</x:v>
      </x:c>
      <x:c r="AB20" t="n">
        <x:f>I20^2</x:f>
        <x:v>1.9686503233960002</x:v>
      </x:c>
      <x:c r="AC20" t="n">
        <x:f>J20^2</x:f>
        <x:v>1.5892838062239998</x:v>
      </x:c>
      <x:c r="AD20" t="n">
        <x:f>K20^2</x:f>
        <x:v>3.5669988224999996</x:v>
      </x:c>
      <x:c r="AE20" t="str">
        <x:f>IF(ABS(M20)&lt;=5,"YES","NO")</x:f>
        <x:v>NO</x:v>
      </x:c>
      <x:c r="AF20" t="str">
        <x:f>IF(ABS(M20)&lt;=2.5,"YES","NO")</x:f>
        <x:v>NO</x:v>
      </x:c>
      <x:c r="AG20" t="str">
        <x:f>IF(X20="STABLE","Stable",IF(AND(H20&gt;=0.03,T20&gt;10,OR(I20&lt;0.03,U20&lt;=10),OR(J20&lt;0.03,V20&lt;=10)),"X CV only","Multiple / non-X CV"))</x:f>
        <x:v>Stable</x:v>
      </x:c>
      <x:c r="AH20" t="str">
        <x:f>IF(Z20="NO","Excluded from pose statistics: repositioning transition","")</x:f>
      </x:c>
    </x:row>
    <x:row r="21">
      <x:c r="A21" t="n">
        <x:v>17</x:v>
      </x:c>
      <x:c r="B21" s="28" t="n">
        <x:v>32.001</x:v>
      </x:c>
      <x:c r="C21" t="n">
        <x:v>0</x:v>
      </x:c>
      <x:c r="D21" s="28" t="n">
        <x:v>268</x:v>
      </x:c>
      <x:c r="E21" s="28" t="n">
        <x:v>14.75</x:v>
      </x:c>
      <x:c r="F21" s="28" t="str">
        <x:v>Z</x:v>
      </x:c>
      <x:c r="G21" s="28" t="n">
        <x:v>1.2</x:v>
      </x:c>
      <x:c r="H21" s="28" t="n">
        <x:v>0.097114</x:v>
      </x:c>
      <x:c r="I21" s="28" t="n">
        <x:v>1.412239</x:v>
      </x:c>
      <x:c r="J21" s="28" t="n">
        <x:v>1.229312</x:v>
      </x:c>
      <x:c r="K21" s="28" t="n">
        <x:v>1.874849</x:v>
      </x:c>
      <x:c r="L21" s="28" t="n">
        <x:v>1.229312</x:v>
      </x:c>
      <x:c r="M21" s="28" t="n">
        <x:v>2.443</x:v>
      </x:c>
      <x:c r="N21" s="28" t="str">
        <x:v>Y</x:v>
      </x:c>
      <x:c r="O21" s="28" t="n">
        <x:v>0.268</x:v>
      </x:c>
      <x:c r="P21" s="28" t="n">
        <x:v>56.739</x:v>
      </x:c>
      <x:c r="Q21" s="28" t="n">
        <x:v>42.992</x:v>
      </x:c>
      <x:c r="R21" s="28" t="n">
        <x:v>3.119</x:v>
      </x:c>
      <x:c r="S21" s="28" t="n">
        <x:v>1.566</x:v>
      </x:c>
      <x:c r="T21" s="28" t="n">
        <x:v>11.29</x:v>
      </x:c>
      <x:c r="U21" s="28" t="n">
        <x:v>0.71</x:v>
      </x:c>
      <x:c r="V21" s="28" t="n">
        <x:v>0.97</x:v>
      </x:c>
      <x:c r="W21" t="n">
        <x:v>3</x:v>
      </x:c>
      <x:c r="X21" t="str">
        <x:v>TRANSIENT</x:v>
      </x:c>
      <x:c r="Y21" t="str">
        <x:f>IF(A21&lt;=20,"P0 Reference A",IF(A21&lt;=30,"P1 Changed orientation",IF(A21&lt;=40,"P2 Changed orientation",IF(A21&lt;=50,"P3 Changed orientation",IF(A21&lt;=60,"P4 Changed orientation",IF(A21&lt;=70,"P5 Changed orientation",IF(A21&lt;=80,"P6 Changed orientation",IF(A21&lt;=90,"P7 Changed orientation",IF(A21&lt;=92,"Transition / repositioning","P0R Reference return")))))))))</x:f>
        <x:v>P0 Reference A</x:v>
      </x:c>
      <x:c r="Z21" t="str">
        <x:f>IF(OR(A21&lt;=90,A21&gt;=93),"YES","NO")</x:f>
        <x:v>YES</x:v>
      </x:c>
      <x:c r="AA21" t="n">
        <x:f>H21^2</x:f>
        <x:v>0.009431128996000002</x:v>
      </x:c>
      <x:c r="AB21" t="n">
        <x:f>I21^2</x:f>
        <x:v>1.9944189931210001</x:v>
      </x:c>
      <x:c r="AC21" t="n">
        <x:f>J21^2</x:f>
        <x:v>1.511207993344</x:v>
      </x:c>
      <x:c r="AD21" t="n">
        <x:f>K21^2</x:f>
        <x:v>3.515058772801</x:v>
      </x:c>
      <x:c r="AE21" t="str">
        <x:f>IF(ABS(M21)&lt;=5,"YES","NO")</x:f>
        <x:v>YES</x:v>
      </x:c>
      <x:c r="AF21" t="str">
        <x:f>IF(ABS(M21)&lt;=2.5,"YES","NO")</x:f>
        <x:v>YES</x:v>
      </x:c>
      <x:c r="AG21" t="str">
        <x:f>IF(X21="STABLE","Stable",IF(AND(H21&gt;=0.03,T21&gt;10,OR(I21&lt;0.03,U21&lt;=10),OR(J21&lt;0.03,V21&lt;=10)),"X CV only","Multiple / non-X CV"))</x:f>
        <x:v>X CV only</x:v>
      </x:c>
      <x:c r="AH21" t="str">
        <x:f>IF(Z21="NO","Excluded from pose statistics: repositioning transition","")</x:f>
      </x:c>
    </x:row>
    <x:row r="22">
      <x:c r="A22" t="n">
        <x:v>18</x:v>
      </x:c>
      <x:c r="B22" s="28" t="n">
        <x:v>34</x:v>
      </x:c>
      <x:c r="C22" t="n">
        <x:v>0</x:v>
      </x:c>
      <x:c r="D22" s="28" t="n">
        <x:v>268</x:v>
      </x:c>
      <x:c r="E22" s="28" t="n">
        <x:v>14.75</x:v>
      </x:c>
      <x:c r="F22" s="28" t="str">
        <x:v>Z</x:v>
      </x:c>
      <x:c r="G22" s="28" t="n">
        <x:v>1.2</x:v>
      </x:c>
      <x:c r="H22" s="28" t="n">
        <x:v>0.095714</x:v>
      </x:c>
      <x:c r="I22" s="28" t="n">
        <x:v>1.403332</x:v>
      </x:c>
      <x:c r="J22" s="28" t="n">
        <x:v>1.30796</x:v>
      </x:c>
      <x:c r="K22" s="28" t="n">
        <x:v>1.920745</x:v>
      </x:c>
      <x:c r="L22" s="28" t="n">
        <x:v>1.30796</x:v>
      </x:c>
      <x:c r="M22" s="28" t="n">
        <x:v>8.997</x:v>
      </x:c>
      <x:c r="N22" s="28" t="str">
        <x:v>Y</x:v>
      </x:c>
      <x:c r="O22" s="28" t="n">
        <x:v>0.248</x:v>
      </x:c>
      <x:c r="P22" s="28" t="n">
        <x:v>53.38</x:v>
      </x:c>
      <x:c r="Q22" s="28" t="n">
        <x:v>46.371</x:v>
      </x:c>
      <x:c r="R22" s="28" t="n">
        <x:v>6.498</x:v>
      </x:c>
      <x:c r="S22" s="28" t="n">
        <x:v>4.052</x:v>
      </x:c>
      <x:c r="T22" s="28" t="n">
        <x:v>54.59</x:v>
      </x:c>
      <x:c r="U22" s="28" t="n">
        <x:v>0.78</x:v>
      </x:c>
      <x:c r="V22" s="28" t="n">
        <x:v>3.12</x:v>
      </x:c>
      <x:c r="W22" t="n">
        <x:v>3</x:v>
      </x:c>
      <x:c r="X22" t="str">
        <x:v>TRANSIENT</x:v>
      </x:c>
      <x:c r="Y22" t="str">
        <x:f>IF(A22&lt;=20,"P0 Reference A",IF(A22&lt;=30,"P1 Changed orientation",IF(A22&lt;=40,"P2 Changed orientation",IF(A22&lt;=50,"P3 Changed orientation",IF(A22&lt;=60,"P4 Changed orientation",IF(A22&lt;=70,"P5 Changed orientation",IF(A22&lt;=80,"P6 Changed orientation",IF(A22&lt;=90,"P7 Changed orientation",IF(A22&lt;=92,"Transition / repositioning","P0R Reference return")))))))))</x:f>
        <x:v>P0 Reference A</x:v>
      </x:c>
      <x:c r="Z22" t="str">
        <x:f>IF(OR(A22&lt;=90,A22&gt;=93),"YES","NO")</x:f>
        <x:v>YES</x:v>
      </x:c>
      <x:c r="AA22" t="n">
        <x:f>H22^2</x:f>
        <x:v>0.009161169795999999</x:v>
      </x:c>
      <x:c r="AB22" t="n">
        <x:f>I22^2</x:f>
        <x:v>1.9693407022240002</x:v>
      </x:c>
      <x:c r="AC22" t="n">
        <x:f>J22^2</x:f>
        <x:v>1.7107593616</x:v>
      </x:c>
      <x:c r="AD22" t="n">
        <x:f>K22^2</x:f>
        <x:v>3.6892613550249997</x:v>
      </x:c>
      <x:c r="AE22" t="str">
        <x:f>IF(ABS(M22)&lt;=5,"YES","NO")</x:f>
        <x:v>NO</x:v>
      </x:c>
      <x:c r="AF22" t="str">
        <x:f>IF(ABS(M22)&lt;=2.5,"YES","NO")</x:f>
        <x:v>NO</x:v>
      </x:c>
      <x:c r="AG22" t="str">
        <x:f>IF(X22="STABLE","Stable",IF(AND(H22&gt;=0.03,T22&gt;10,OR(I22&lt;0.03,U22&lt;=10),OR(J22&lt;0.03,V22&lt;=10)),"X CV only","Multiple / non-X CV"))</x:f>
        <x:v>X CV only</x:v>
      </x:c>
      <x:c r="AH22" t="str">
        <x:f>IF(Z22="NO","Excluded from pose statistics: repositioning transition","")</x:f>
      </x:c>
    </x:row>
    <x:row r="23">
      <x:c r="A23" t="n">
        <x:v>19</x:v>
      </x:c>
      <x:c r="B23" s="28" t="n">
        <x:v>36</x:v>
      </x:c>
      <x:c r="C23" t="n">
        <x:v>0</x:v>
      </x:c>
      <x:c r="D23" s="28" t="n">
        <x:v>268</x:v>
      </x:c>
      <x:c r="E23" s="28" t="n">
        <x:v>14.75</x:v>
      </x:c>
      <x:c r="F23" s="28" t="str">
        <x:v>Z</x:v>
      </x:c>
      <x:c r="G23" s="28" t="n">
        <x:v>1.2</x:v>
      </x:c>
      <x:c r="H23" s="28" t="n">
        <x:v>0.022329</x:v>
      </x:c>
      <x:c r="I23" s="28" t="n">
        <x:v>1.389331</x:v>
      </x:c>
      <x:c r="J23" s="28" t="n">
        <x:v>1.300345</x:v>
      </x:c>
      <x:c r="K23" s="28" t="n">
        <x:v>1.90306</x:v>
      </x:c>
      <x:c r="L23" s="28" t="n">
        <x:v>1.300345</x:v>
      </x:c>
      <x:c r="M23" s="28" t="n">
        <x:v>8.362</x:v>
      </x:c>
      <x:c r="N23" s="28" t="str">
        <x:v>Y</x:v>
      </x:c>
      <x:c r="O23" s="28" t="n">
        <x:v>0.014</x:v>
      </x:c>
      <x:c r="P23" s="28" t="n">
        <x:v>53.297</x:v>
      </x:c>
      <x:c r="Q23" s="28" t="n">
        <x:v>46.689</x:v>
      </x:c>
      <x:c r="R23" s="28" t="n">
        <x:v>6.815</x:v>
      </x:c>
      <x:c r="S23" s="28" t="n">
        <x:v>3.094</x:v>
      </x:c>
      <x:c r="T23" s="28" t="n">
        <x:v>40.27</x:v>
      </x:c>
      <x:c r="U23" s="28" t="n">
        <x:v>1.35</x:v>
      </x:c>
      <x:c r="V23" s="28" t="n">
        <x:v>1.44</x:v>
      </x:c>
      <x:c r="W23" t="n">
        <x:v>3</x:v>
      </x:c>
      <x:c r="X23" t="str">
        <x:v>STABLE</x:v>
      </x:c>
      <x:c r="Y23" t="str">
        <x:f>IF(A23&lt;=20,"P0 Reference A",IF(A23&lt;=30,"P1 Changed orientation",IF(A23&lt;=40,"P2 Changed orientation",IF(A23&lt;=50,"P3 Changed orientation",IF(A23&lt;=60,"P4 Changed orientation",IF(A23&lt;=70,"P5 Changed orientation",IF(A23&lt;=80,"P6 Changed orientation",IF(A23&lt;=90,"P7 Changed orientation",IF(A23&lt;=92,"Transition / repositioning","P0R Reference return")))))))))</x:f>
        <x:v>P0 Reference A</x:v>
      </x:c>
      <x:c r="Z23" t="str">
        <x:f>IF(OR(A23&lt;=90,A23&gt;=93),"YES","NO")</x:f>
        <x:v>YES</x:v>
      </x:c>
      <x:c r="AA23" t="n">
        <x:f>H23^2</x:f>
        <x:v>0.0004985842410000001</x:v>
      </x:c>
      <x:c r="AB23" t="n">
        <x:f>I23^2</x:f>
        <x:v>1.9302406275610002</x:v>
      </x:c>
      <x:c r="AC23" t="n">
        <x:f>J23^2</x:f>
        <x:v>1.6908971190250002</x:v>
      </x:c>
      <x:c r="AD23" t="n">
        <x:f>K23^2</x:f>
        <x:v>3.6216373636</x:v>
      </x:c>
      <x:c r="AE23" t="str">
        <x:f>IF(ABS(M23)&lt;=5,"YES","NO")</x:f>
        <x:v>NO</x:v>
      </x:c>
      <x:c r="AF23" t="str">
        <x:f>IF(ABS(M23)&lt;=2.5,"YES","NO")</x:f>
        <x:v>NO</x:v>
      </x:c>
      <x:c r="AG23" t="str">
        <x:f>IF(X23="STABLE","Stable",IF(AND(H23&gt;=0.03,T23&gt;10,OR(I23&lt;0.03,U23&lt;=10),OR(J23&lt;0.03,V23&lt;=10)),"X CV only","Multiple / non-X CV"))</x:f>
        <x:v>Stable</x:v>
      </x:c>
      <x:c r="AH23" t="str">
        <x:f>IF(Z23="NO","Excluded from pose statistics: repositioning transition","")</x:f>
      </x:c>
    </x:row>
    <x:row r="24">
      <x:c r="A24" t="n">
        <x:v>20</x:v>
      </x:c>
      <x:c r="B24" s="28" t="n">
        <x:v>38</x:v>
      </x:c>
      <x:c r="C24" t="n">
        <x:v>0</x:v>
      </x:c>
      <x:c r="D24" s="28" t="n">
        <x:v>268</x:v>
      </x:c>
      <x:c r="E24" s="28" t="n">
        <x:v>14.75</x:v>
      </x:c>
      <x:c r="F24" s="28" t="str">
        <x:v>Z</x:v>
      </x:c>
      <x:c r="G24" s="28" t="n">
        <x:v>1.2</x:v>
      </x:c>
      <x:c r="H24" s="28" t="n">
        <x:v>0.066669</x:v>
      </x:c>
      <x:c r="I24" s="28" t="n">
        <x:v>1.422326</x:v>
      </x:c>
      <x:c r="J24" s="28" t="n">
        <x:v>1.323634</x:v>
      </x:c>
      <x:c r="K24" s="28" t="n">
        <x:v>1.944085</x:v>
      </x:c>
      <x:c r="L24" s="28" t="n">
        <x:v>1.323634</x:v>
      </x:c>
      <x:c r="M24" s="28" t="n">
        <x:v>10.303</x:v>
      </x:c>
      <x:c r="N24" s="28" t="str">
        <x:v>Y</x:v>
      </x:c>
      <x:c r="O24" s="28" t="n">
        <x:v>0.118</x:v>
      </x:c>
      <x:c r="P24" s="28" t="n">
        <x:v>53.526</x:v>
      </x:c>
      <x:c r="Q24" s="28" t="n">
        <x:v>46.356</x:v>
      </x:c>
      <x:c r="R24" s="28" t="n">
        <x:v>6.483</x:v>
      </x:c>
      <x:c r="S24" s="28" t="n">
        <x:v>5.317</x:v>
      </x:c>
      <x:c r="T24" s="28" t="n">
        <x:v>46.97</x:v>
      </x:c>
      <x:c r="U24" s="28" t="n">
        <x:v>6.68</x:v>
      </x:c>
      <x:c r="V24" s="28" t="n">
        <x:v>8.17</x:v>
      </x:c>
      <x:c r="W24" t="n">
        <x:v>3</x:v>
      </x:c>
      <x:c r="X24" t="str">
        <x:v>TRANSIENT</x:v>
      </x:c>
      <x:c r="Y24" t="str">
        <x:f>IF(A24&lt;=20,"P0 Reference A",IF(A24&lt;=30,"P1 Changed orientation",IF(A24&lt;=40,"P2 Changed orientation",IF(A24&lt;=50,"P3 Changed orientation",IF(A24&lt;=60,"P4 Changed orientation",IF(A24&lt;=70,"P5 Changed orientation",IF(A24&lt;=80,"P6 Changed orientation",IF(A24&lt;=90,"P7 Changed orientation",IF(A24&lt;=92,"Transition / repositioning","P0R Reference return")))))))))</x:f>
        <x:v>P0 Reference A</x:v>
      </x:c>
      <x:c r="Z24" t="str">
        <x:f>IF(OR(A24&lt;=90,A24&gt;=93),"YES","NO")</x:f>
        <x:v>YES</x:v>
      </x:c>
      <x:c r="AA24" t="n">
        <x:f>H24^2</x:f>
        <x:v>0.004444755561000001</x:v>
      </x:c>
      <x:c r="AB24" t="n">
        <x:f>I24^2</x:f>
        <x:v>2.023011250276</x:v>
      </x:c>
      <x:c r="AC24" t="n">
        <x:f>J24^2</x:f>
        <x:v>1.752006965956</x:v>
      </x:c>
      <x:c r="AD24" t="n">
        <x:f>K24^2</x:f>
        <x:v>3.779466487225</x:v>
      </x:c>
      <x:c r="AE24" t="str">
        <x:f>IF(ABS(M24)&lt;=5,"YES","NO")</x:f>
        <x:v>NO</x:v>
      </x:c>
      <x:c r="AF24" t="str">
        <x:f>IF(ABS(M24)&lt;=2.5,"YES","NO")</x:f>
        <x:v>NO</x:v>
      </x:c>
      <x:c r="AG24" t="str">
        <x:f>IF(X24="STABLE","Stable",IF(AND(H24&gt;=0.03,T24&gt;10,OR(I24&lt;0.03,U24&lt;=10),OR(J24&lt;0.03,V24&lt;=10)),"X CV only","Multiple / non-X CV"))</x:f>
        <x:v>X CV only</x:v>
      </x:c>
      <x:c r="AH24" t="str">
        <x:f>IF(Z24="NO","Excluded from pose statistics: repositioning transition","")</x:f>
      </x:c>
    </x:row>
    <x:row r="25">
      <x:c r="A25" t="n">
        <x:v>21</x:v>
      </x:c>
      <x:c r="B25" s="28" t="n">
        <x:v>40</x:v>
      </x:c>
      <x:c r="C25" t="n">
        <x:v>0</x:v>
      </x:c>
      <x:c r="D25" s="28" t="n">
        <x:v>268</x:v>
      </x:c>
      <x:c r="E25" s="28" t="n">
        <x:v>14.75</x:v>
      </x:c>
      <x:c r="F25" s="28" t="str">
        <x:v>Z</x:v>
      </x:c>
      <x:c r="G25" s="28" t="n">
        <x:v>1.2</x:v>
      </x:c>
      <x:c r="H25" s="28" t="n">
        <x:v>0.354343</x:v>
      </x:c>
      <x:c r="I25" s="28" t="n">
        <x:v>1.205509</x:v>
      </x:c>
      <x:c r="J25" s="28" t="n">
        <x:v>2.939343</x:v>
      </x:c>
      <x:c r="K25" s="28" t="n">
        <x:v>3.196647</x:v>
      </x:c>
      <x:c r="L25" s="28" t="n">
        <x:v>2.939343</x:v>
      </x:c>
      <x:c r="M25" s="28" t="n">
        <x:v>144.945</x:v>
      </x:c>
      <x:c r="N25" s="28" t="str">
        <x:v>Z</x:v>
      </x:c>
      <x:c r="O25" s="28" t="n">
        <x:v>1.229</x:v>
      </x:c>
      <x:c r="P25" s="28" t="n">
        <x:v>14.222</x:v>
      </x:c>
      <x:c r="Q25" s="28" t="n">
        <x:v>84.55</x:v>
      </x:c>
      <x:c r="R25" s="28" t="n">
        <x:v>45.426</x:v>
      </x:c>
      <x:c r="S25" s="28" t="n">
        <x:v>73.172</x:v>
      </x:c>
      <x:c r="T25" s="28" t="n">
        <x:v>17.43</x:v>
      </x:c>
      <x:c r="U25" s="28" t="n">
        <x:v>3.51</x:v>
      </x:c>
      <x:c r="V25" s="28" t="n">
        <x:v>4.83</x:v>
      </x:c>
      <x:c r="W25" t="n">
        <x:v>3</x:v>
      </x:c>
      <x:c r="X25" t="str">
        <x:v>TRANSIENT</x:v>
      </x:c>
      <x:c r="Y25" t="str">
        <x:f>IF(A25&lt;=20,"P0 Reference A",IF(A25&lt;=30,"P1 Changed orientation",IF(A25&lt;=40,"P2 Changed orientation",IF(A25&lt;=50,"P3 Changed orientation",IF(A25&lt;=60,"P4 Changed orientation",IF(A25&lt;=70,"P5 Changed orientation",IF(A25&lt;=80,"P6 Changed orientation",IF(A25&lt;=90,"P7 Changed orientation",IF(A25&lt;=92,"Transition / repositioning","P0R Reference return")))))))))</x:f>
        <x:v>P1 Changed orientation</x:v>
      </x:c>
      <x:c r="Z25" t="str">
        <x:f>IF(OR(A25&lt;=90,A25&gt;=93),"YES","NO")</x:f>
        <x:v>YES</x:v>
      </x:c>
      <x:c r="AA25" t="n">
        <x:f>H25^2</x:f>
        <x:v>0.12555896164900002</x:v>
      </x:c>
      <x:c r="AB25" t="n">
        <x:f>I25^2</x:f>
        <x:v>1.4532519490809999</x:v>
      </x:c>
      <x:c r="AC25" t="n">
        <x:f>J25^2</x:f>
        <x:v>8.639737271649</x:v>
      </x:c>
      <x:c r="AD25" t="n">
        <x:f>K25^2</x:f>
        <x:v>10.218552042609</x:v>
      </x:c>
      <x:c r="AE25" t="str">
        <x:f>IF(ABS(M25)&lt;=5,"YES","NO")</x:f>
        <x:v>NO</x:v>
      </x:c>
      <x:c r="AF25" t="str">
        <x:f>IF(ABS(M25)&lt;=2.5,"YES","NO")</x:f>
        <x:v>NO</x:v>
      </x:c>
      <x:c r="AG25" t="str">
        <x:f>IF(X25="STABLE","Stable",IF(AND(H25&gt;=0.03,T25&gt;10,OR(I25&lt;0.03,U25&lt;=10),OR(J25&lt;0.03,V25&lt;=10)),"X CV only","Multiple / non-X CV"))</x:f>
        <x:v>X CV only</x:v>
      </x:c>
      <x:c r="AH25" t="str">
        <x:f>IF(Z25="NO","Excluded from pose statistics: repositioning transition","")</x:f>
      </x:c>
    </x:row>
    <x:row r="26">
      <x:c r="A26" t="n">
        <x:v>22</x:v>
      </x:c>
      <x:c r="B26" s="28" t="n">
        <x:v>42</x:v>
      </x:c>
      <x:c r="C26" t="n">
        <x:v>0</x:v>
      </x:c>
      <x:c r="D26" s="28" t="n">
        <x:v>268</x:v>
      </x:c>
      <x:c r="E26" s="28" t="n">
        <x:v>14.75</x:v>
      </x:c>
      <x:c r="F26" s="28" t="str">
        <x:v>Z</x:v>
      </x:c>
      <x:c r="G26" s="28" t="n">
        <x:v>1.2</x:v>
      </x:c>
      <x:c r="H26" s="28" t="n">
        <x:v>0.179134</x:v>
      </x:c>
      <x:c r="I26" s="28" t="n">
        <x:v>1.461724</x:v>
      </x:c>
      <x:c r="J26" s="28" t="n">
        <x:v>3.592295</x:v>
      </x:c>
      <x:c r="K26" s="28" t="n">
        <x:v>3.882436</x:v>
      </x:c>
      <x:c r="L26" s="28" t="n">
        <x:v>3.592295</x:v>
      </x:c>
      <x:c r="M26" s="28" t="n">
        <x:v>199.358</x:v>
      </x:c>
      <x:c r="N26" s="28" t="str">
        <x:v>Z</x:v>
      </x:c>
      <x:c r="O26" s="28" t="n">
        <x:v>0.213</x:v>
      </x:c>
      <x:c r="P26" s="28" t="n">
        <x:v>14.175</x:v>
      </x:c>
      <x:c r="Q26" s="28" t="n">
        <x:v>85.612</x:v>
      </x:c>
      <x:c r="R26" s="28" t="n">
        <x:v>45.739</x:v>
      </x:c>
      <x:c r="S26" s="28" t="n">
        <x:v>110.323</x:v>
      </x:c>
      <x:c r="T26" s="28" t="n">
        <x:v>5.85</x:v>
      </x:c>
      <x:c r="U26" s="28" t="n">
        <x:v>0.78</x:v>
      </x:c>
      <x:c r="V26" s="28" t="n">
        <x:v>0.85</x:v>
      </x:c>
      <x:c r="W26" t="n">
        <x:v>3</x:v>
      </x:c>
      <x:c r="X26" t="str">
        <x:v>STABLE</x:v>
      </x:c>
      <x:c r="Y26" t="str">
        <x:f>IF(A26&lt;=20,"P0 Reference A",IF(A26&lt;=30,"P1 Changed orientation",IF(A26&lt;=40,"P2 Changed orientation",IF(A26&lt;=50,"P3 Changed orientation",IF(A26&lt;=60,"P4 Changed orientation",IF(A26&lt;=70,"P5 Changed orientation",IF(A26&lt;=80,"P6 Changed orientation",IF(A26&lt;=90,"P7 Changed orientation",IF(A26&lt;=92,"Transition / repositioning","P0R Reference return")))))))))</x:f>
        <x:v>P1 Changed orientation</x:v>
      </x:c>
      <x:c r="Z26" t="str">
        <x:f>IF(OR(A26&lt;=90,A26&gt;=93),"YES","NO")</x:f>
        <x:v>YES</x:v>
      </x:c>
      <x:c r="AA26" t="n">
        <x:f>H26^2</x:f>
        <x:v>0.03208898995599999</x:v>
      </x:c>
      <x:c r="AB26" t="n">
        <x:f>I26^2</x:f>
        <x:v>2.136637052176</x:v>
      </x:c>
      <x:c r="AC26" t="n">
        <x:f>J26^2</x:f>
        <x:v>12.904583367025</x:v>
      </x:c>
      <x:c r="AD26" t="n">
        <x:f>K26^2</x:f>
        <x:v>15.073309294096001</x:v>
      </x:c>
      <x:c r="AE26" t="str">
        <x:f>IF(ABS(M26)&lt;=5,"YES","NO")</x:f>
        <x:v>NO</x:v>
      </x:c>
      <x:c r="AF26" t="str">
        <x:f>IF(ABS(M26)&lt;=2.5,"YES","NO")</x:f>
        <x:v>NO</x:v>
      </x:c>
      <x:c r="AG26" t="str">
        <x:f>IF(X26="STABLE","Stable",IF(AND(H26&gt;=0.03,T26&gt;10,OR(I26&lt;0.03,U26&lt;=10),OR(J26&lt;0.03,V26&lt;=10)),"X CV only","Multiple / non-X CV"))</x:f>
        <x:v>Stable</x:v>
      </x:c>
      <x:c r="AH26" t="str">
        <x:f>IF(Z26="NO","Excluded from pose statistics: repositioning transition","")</x:f>
      </x:c>
    </x:row>
    <x:row r="27">
      <x:c r="A27" t="n">
        <x:v>23</x:v>
      </x:c>
      <x:c r="B27" s="28" t="n">
        <x:v>44</x:v>
      </x:c>
      <x:c r="C27" t="n">
        <x:v>0</x:v>
      </x:c>
      <x:c r="D27" s="28" t="n">
        <x:v>268</x:v>
      </x:c>
      <x:c r="E27" s="28" t="n">
        <x:v>14.75</x:v>
      </x:c>
      <x:c r="F27" s="28" t="str">
        <x:v>Z</x:v>
      </x:c>
      <x:c r="G27" s="28" t="n">
        <x:v>1.2</x:v>
      </x:c>
      <x:c r="H27" s="28" t="n">
        <x:v>0.198863</x:v>
      </x:c>
      <x:c r="I27" s="28" t="n">
        <x:v>1.49804</x:v>
      </x:c>
      <x:c r="J27" s="28" t="n">
        <x:v>3.699978</x:v>
      </x:c>
      <x:c r="K27" s="28" t="n">
        <x:v>3.996687</x:v>
      </x:c>
      <x:c r="L27" s="28" t="n">
        <x:v>3.699978</x:v>
      </x:c>
      <x:c r="M27" s="28" t="n">
        <x:v>208.331</x:v>
      </x:c>
      <x:c r="N27" s="28" t="str">
        <x:v>Z</x:v>
      </x:c>
      <x:c r="O27" s="28" t="n">
        <x:v>0.248</x:v>
      </x:c>
      <x:c r="P27" s="28" t="n">
        <x:v>14.049</x:v>
      </x:c>
      <x:c r="Q27" s="28" t="n">
        <x:v>85.703</x:v>
      </x:c>
      <x:c r="R27" s="28" t="n">
        <x:v>45.83</x:v>
      </x:c>
      <x:c r="S27" s="28" t="n">
        <x:v>116.512</x:v>
      </x:c>
      <x:c r="T27" s="28" t="n">
        <x:v>8.12</x:v>
      </x:c>
      <x:c r="U27" s="28" t="n">
        <x:v>0.96</x:v>
      </x:c>
      <x:c r="V27" s="28" t="n">
        <x:v>0.75</x:v>
      </x:c>
      <x:c r="W27" t="n">
        <x:v>3</x:v>
      </x:c>
      <x:c r="X27" t="str">
        <x:v>STABLE</x:v>
      </x:c>
      <x:c r="Y27" t="str">
        <x:f>IF(A27&lt;=20,"P0 Reference A",IF(A27&lt;=30,"P1 Changed orientation",IF(A27&lt;=40,"P2 Changed orientation",IF(A27&lt;=50,"P3 Changed orientation",IF(A27&lt;=60,"P4 Changed orientation",IF(A27&lt;=70,"P5 Changed orientation",IF(A27&lt;=80,"P6 Changed orientation",IF(A27&lt;=90,"P7 Changed orientation",IF(A27&lt;=92,"Transition / repositioning","P0R Reference return")))))))))</x:f>
        <x:v>P1 Changed orientation</x:v>
      </x:c>
      <x:c r="Z27" t="str">
        <x:f>IF(OR(A27&lt;=90,A27&gt;=93),"YES","NO")</x:f>
        <x:v>YES</x:v>
      </x:c>
      <x:c r="AA27" t="n">
        <x:f>H27^2</x:f>
        <x:v>0.039546492769000005</x:v>
      </x:c>
      <x:c r="AB27" t="n">
        <x:f>I27^2</x:f>
        <x:v>2.2441238416</x:v>
      </x:c>
      <x:c r="AC27" t="n">
        <x:f>J27^2</x:f>
        <x:v>13.689837200484002</x:v>
      </x:c>
      <x:c r="AD27" t="n">
        <x:f>K27^2</x:f>
        <x:v>15.973506975969</x:v>
      </x:c>
      <x:c r="AE27" t="str">
        <x:f>IF(ABS(M27)&lt;=5,"YES","NO")</x:f>
        <x:v>NO</x:v>
      </x:c>
      <x:c r="AF27" t="str">
        <x:f>IF(ABS(M27)&lt;=2.5,"YES","NO")</x:f>
        <x:v>NO</x:v>
      </x:c>
      <x:c r="AG27" t="str">
        <x:f>IF(X27="STABLE","Stable",IF(AND(H27&gt;=0.03,T27&gt;10,OR(I27&lt;0.03,U27&lt;=10),OR(J27&lt;0.03,V27&lt;=10)),"X CV only","Multiple / non-X CV"))</x:f>
        <x:v>Stable</x:v>
      </x:c>
      <x:c r="AH27" t="str">
        <x:f>IF(Z27="NO","Excluded from pose statistics: repositioning transition","")</x:f>
      </x:c>
    </x:row>
    <x:row r="28">
      <x:c r="A28" t="n">
        <x:v>24</x:v>
      </x:c>
      <x:c r="B28" s="28" t="n">
        <x:v>46</x:v>
      </x:c>
      <x:c r="C28" t="n">
        <x:v>0</x:v>
      </x:c>
      <x:c r="D28" s="28" t="n">
        <x:v>268</x:v>
      </x:c>
      <x:c r="E28" s="28" t="n">
        <x:v>14.75</x:v>
      </x:c>
      <x:c r="F28" s="28" t="str">
        <x:v>Z</x:v>
      </x:c>
      <x:c r="G28" s="28" t="n">
        <x:v>1.2</x:v>
      </x:c>
      <x:c r="H28" s="28" t="n">
        <x:v>0.186645</x:v>
      </x:c>
      <x:c r="I28" s="28" t="n">
        <x:v>1.505785</x:v>
      </x:c>
      <x:c r="J28" s="28" t="n">
        <x:v>3.880601</x:v>
      </x:c>
      <x:c r="K28" s="28" t="n">
        <x:v>4.166688</x:v>
      </x:c>
      <x:c r="L28" s="28" t="n">
        <x:v>3.880601</x:v>
      </x:c>
      <x:c r="M28" s="28" t="n">
        <x:v>223.383</x:v>
      </x:c>
      <x:c r="N28" s="28" t="str">
        <x:v>Z</x:v>
      </x:c>
      <x:c r="O28" s="28" t="n">
        <x:v>0.201</x:v>
      </x:c>
      <x:c r="P28" s="28" t="n">
        <x:v>13.06</x:v>
      </x:c>
      <x:c r="Q28" s="28" t="n">
        <x:v>86.739</x:v>
      </x:c>
      <x:c r="R28" s="28" t="n">
        <x:v>46.866</x:v>
      </x:c>
      <x:c r="S28" s="28" t="n">
        <x:v>125.722</x:v>
      </x:c>
      <x:c r="T28" s="28" t="n">
        <x:v>3.58</x:v>
      </x:c>
      <x:c r="U28" s="28" t="n">
        <x:v>2.31</x:v>
      </x:c>
      <x:c r="V28" s="28" t="n">
        <x:v>1.25</x:v>
      </x:c>
      <x:c r="W28" t="n">
        <x:v>3</x:v>
      </x:c>
      <x:c r="X28" t="str">
        <x:v>STABLE</x:v>
      </x:c>
      <x:c r="Y28" t="str">
        <x:f>IF(A28&lt;=20,"P0 Reference A",IF(A28&lt;=30,"P1 Changed orientation",IF(A28&lt;=40,"P2 Changed orientation",IF(A28&lt;=50,"P3 Changed orientation",IF(A28&lt;=60,"P4 Changed orientation",IF(A28&lt;=70,"P5 Changed orientation",IF(A28&lt;=80,"P6 Changed orientation",IF(A28&lt;=90,"P7 Changed orientation",IF(A28&lt;=92,"Transition / repositioning","P0R Reference return")))))))))</x:f>
        <x:v>P1 Changed orientation</x:v>
      </x:c>
      <x:c r="Z28" t="str">
        <x:f>IF(OR(A28&lt;=90,A28&gt;=93),"YES","NO")</x:f>
        <x:v>YES</x:v>
      </x:c>
      <x:c r="AA28" t="n">
        <x:f>H28^2</x:f>
        <x:v>0.034836356025</x:v>
      </x:c>
      <x:c r="AB28" t="n">
        <x:f>I28^2</x:f>
        <x:v>2.267388466225</x:v>
      </x:c>
      <x:c r="AC28" t="n">
        <x:f>J28^2</x:f>
        <x:v>15.059064121201</x:v>
      </x:c>
      <x:c r="AD28" t="n">
        <x:f>K28^2</x:f>
        <x:v>17.361288889344</x:v>
      </x:c>
      <x:c r="AE28" t="str">
        <x:f>IF(ABS(M28)&lt;=5,"YES","NO")</x:f>
        <x:v>NO</x:v>
      </x:c>
      <x:c r="AF28" t="str">
        <x:f>IF(ABS(M28)&lt;=2.5,"YES","NO")</x:f>
        <x:v>NO</x:v>
      </x:c>
      <x:c r="AG28" t="str">
        <x:f>IF(X28="STABLE","Stable",IF(AND(H28&gt;=0.03,T28&gt;10,OR(I28&lt;0.03,U28&lt;=10),OR(J28&lt;0.03,V28&lt;=10)),"X CV only","Multiple / non-X CV"))</x:f>
        <x:v>Stable</x:v>
      </x:c>
      <x:c r="AH28" t="str">
        <x:f>IF(Z28="NO","Excluded from pose statistics: repositioning transition","")</x:f>
      </x:c>
    </x:row>
    <x:row r="29">
      <x:c r="A29" t="n">
        <x:v>25</x:v>
      </x:c>
      <x:c r="B29" s="28" t="n">
        <x:v>48</x:v>
      </x:c>
      <x:c r="C29" t="n">
        <x:v>0</x:v>
      </x:c>
      <x:c r="D29" s="28" t="n">
        <x:v>268</x:v>
      </x:c>
      <x:c r="E29" s="28" t="n">
        <x:v>14.75</x:v>
      </x:c>
      <x:c r="F29" s="28" t="str">
        <x:v>Z</x:v>
      </x:c>
      <x:c r="G29" s="28" t="n">
        <x:v>1.2</x:v>
      </x:c>
      <x:c r="H29" s="28" t="n">
        <x:v>0.22162</x:v>
      </x:c>
      <x:c r="I29" s="28" t="n">
        <x:v>1.552389</x:v>
      </x:c>
      <x:c r="J29" s="28" t="n">
        <x:v>3.948009</x:v>
      </x:c>
      <x:c r="K29" s="28" t="n">
        <x:v>4.248035</x:v>
      </x:c>
      <x:c r="L29" s="28" t="n">
        <x:v>3.948009</x:v>
      </x:c>
      <x:c r="M29" s="28" t="n">
        <x:v>229.001</x:v>
      </x:c>
      <x:c r="N29" s="28" t="str">
        <x:v>Z</x:v>
      </x:c>
      <x:c r="O29" s="28" t="n">
        <x:v>0.272</x:v>
      </x:c>
      <x:c r="P29" s="28" t="n">
        <x:v>13.354</x:v>
      </x:c>
      <x:c r="Q29" s="28" t="n">
        <x:v>86.373</x:v>
      </x:c>
      <x:c r="R29" s="28" t="n">
        <x:v>46.5</x:v>
      </x:c>
      <x:c r="S29" s="28" t="n">
        <x:v>130.128</x:v>
      </x:c>
      <x:c r="T29" s="28" t="n">
        <x:v>7.22</x:v>
      </x:c>
      <x:c r="U29" s="28" t="n">
        <x:v>0.6</x:v>
      </x:c>
      <x:c r="V29" s="28" t="n">
        <x:v>1.34</x:v>
      </x:c>
      <x:c r="W29" t="n">
        <x:v>3</x:v>
      </x:c>
      <x:c r="X29" t="str">
        <x:v>STABLE</x:v>
      </x:c>
      <x:c r="Y29" t="str">
        <x:f>IF(A29&lt;=20,"P0 Reference A",IF(A29&lt;=30,"P1 Changed orientation",IF(A29&lt;=40,"P2 Changed orientation",IF(A29&lt;=50,"P3 Changed orientation",IF(A29&lt;=60,"P4 Changed orientation",IF(A29&lt;=70,"P5 Changed orientation",IF(A29&lt;=80,"P6 Changed orientation",IF(A29&lt;=90,"P7 Changed orientation",IF(A29&lt;=92,"Transition / repositioning","P0R Reference return")))))))))</x:f>
        <x:v>P1 Changed orientation</x:v>
      </x:c>
      <x:c r="Z29" t="str">
        <x:f>IF(OR(A29&lt;=90,A29&gt;=93),"YES","NO")</x:f>
        <x:v>YES</x:v>
      </x:c>
      <x:c r="AA29" t="n">
        <x:f>H29^2</x:f>
        <x:v>0.0491154244</x:v>
      </x:c>
      <x:c r="AB29" t="n">
        <x:f>I29^2</x:f>
        <x:v>2.409911607321</x:v>
      </x:c>
      <x:c r="AC29" t="n">
        <x:f>J29^2</x:f>
        <x:v>15.586775064081</x:v>
      </x:c>
      <x:c r="AD29" t="n">
        <x:f>K29^2</x:f>
        <x:v>18.045801361225</x:v>
      </x:c>
      <x:c r="AE29" t="str">
        <x:f>IF(ABS(M29)&lt;=5,"YES","NO")</x:f>
        <x:v>NO</x:v>
      </x:c>
      <x:c r="AF29" t="str">
        <x:f>IF(ABS(M29)&lt;=2.5,"YES","NO")</x:f>
        <x:v>NO</x:v>
      </x:c>
      <x:c r="AG29" t="str">
        <x:f>IF(X29="STABLE","Stable",IF(AND(H29&gt;=0.03,T29&gt;10,OR(I29&lt;0.03,U29&lt;=10),OR(J29&lt;0.03,V29&lt;=10)),"X CV only","Multiple / non-X CV"))</x:f>
        <x:v>Stable</x:v>
      </x:c>
      <x:c r="AH29" t="str">
        <x:f>IF(Z29="NO","Excluded from pose statistics: repositioning transition","")</x:f>
      </x:c>
    </x:row>
    <x:row r="30">
      <x:c r="A30" t="n">
        <x:v>26</x:v>
      </x:c>
      <x:c r="B30" s="28" t="n">
        <x:v>50</x:v>
      </x:c>
      <x:c r="C30" t="n">
        <x:v>0</x:v>
      </x:c>
      <x:c r="D30" s="28" t="n">
        <x:v>268</x:v>
      </x:c>
      <x:c r="E30" s="28" t="n">
        <x:v>14.75</x:v>
      </x:c>
      <x:c r="F30" s="28" t="str">
        <x:v>Z</x:v>
      </x:c>
      <x:c r="G30" s="28" t="n">
        <x:v>1.2</x:v>
      </x:c>
      <x:c r="H30" s="28" t="n">
        <x:v>0.201549</x:v>
      </x:c>
      <x:c r="I30" s="28" t="n">
        <x:v>1.535377</x:v>
      </x:c>
      <x:c r="J30" s="28" t="n">
        <x:v>4.021695</x:v>
      </x:c>
      <x:c r="K30" s="28" t="n">
        <x:v>4.309528</x:v>
      </x:c>
      <x:c r="L30" s="28" t="n">
        <x:v>4.021695</x:v>
      </x:c>
      <x:c r="M30" s="28" t="n">
        <x:v>235.141</x:v>
      </x:c>
      <x:c r="N30" s="28" t="str">
        <x:v>Z</x:v>
      </x:c>
      <x:c r="O30" s="28" t="n">
        <x:v>0.219</x:v>
      </x:c>
      <x:c r="P30" s="28" t="n">
        <x:v>12.693</x:v>
      </x:c>
      <x:c r="Q30" s="28" t="n">
        <x:v>87.088</x:v>
      </x:c>
      <x:c r="R30" s="28" t="n">
        <x:v>47.215</x:v>
      </x:c>
      <x:c r="S30" s="28" t="n">
        <x:v>133.46</x:v>
      </x:c>
      <x:c r="T30" s="28" t="n">
        <x:v>1.78</x:v>
      </x:c>
      <x:c r="U30" s="28" t="n">
        <x:v>2.72</x:v>
      </x:c>
      <x:c r="V30" s="28" t="n">
        <x:v>1.35</x:v>
      </x:c>
      <x:c r="W30" t="n">
        <x:v>3</x:v>
      </x:c>
      <x:c r="X30" t="str">
        <x:v>STABLE</x:v>
      </x:c>
      <x:c r="Y30" t="str">
        <x:f>IF(A30&lt;=20,"P0 Reference A",IF(A30&lt;=30,"P1 Changed orientation",IF(A30&lt;=40,"P2 Changed orientation",IF(A30&lt;=50,"P3 Changed orientation",IF(A30&lt;=60,"P4 Changed orientation",IF(A30&lt;=70,"P5 Changed orientation",IF(A30&lt;=80,"P6 Changed orientation",IF(A30&lt;=90,"P7 Changed orientation",IF(A30&lt;=92,"Transition / repositioning","P0R Reference return")))))))))</x:f>
        <x:v>P1 Changed orientation</x:v>
      </x:c>
      <x:c r="Z30" t="str">
        <x:f>IF(OR(A30&lt;=90,A30&gt;=93),"YES","NO")</x:f>
        <x:v>YES</x:v>
      </x:c>
      <x:c r="AA30" t="n">
        <x:f>H30^2</x:f>
        <x:v>0.040621999401</x:v>
      </x:c>
      <x:c r="AB30" t="n">
        <x:f>I30^2</x:f>
        <x:v>2.357382532129</x:v>
      </x:c>
      <x:c r="AC30" t="n">
        <x:f>J30^2</x:f>
        <x:v>16.174030673025</x:v>
      </x:c>
      <x:c r="AD30" t="n">
        <x:f>K30^2</x:f>
        <x:v>18.572031582784003</x:v>
      </x:c>
      <x:c r="AE30" t="str">
        <x:f>IF(ABS(M30)&lt;=5,"YES","NO")</x:f>
        <x:v>NO</x:v>
      </x:c>
      <x:c r="AF30" t="str">
        <x:f>IF(ABS(M30)&lt;=2.5,"YES","NO")</x:f>
        <x:v>NO</x:v>
      </x:c>
      <x:c r="AG30" t="str">
        <x:f>IF(X30="STABLE","Stable",IF(AND(H30&gt;=0.03,T30&gt;10,OR(I30&lt;0.03,U30&lt;=10),OR(J30&lt;0.03,V30&lt;=10)),"X CV only","Multiple / non-X CV"))</x:f>
        <x:v>Stable</x:v>
      </x:c>
      <x:c r="AH30" t="str">
        <x:f>IF(Z30="NO","Excluded from pose statistics: repositioning transition","")</x:f>
      </x:c>
    </x:row>
    <x:row r="31">
      <x:c r="A31" t="n">
        <x:v>27</x:v>
      </x:c>
      <x:c r="B31" s="28" t="n">
        <x:v>52</x:v>
      </x:c>
      <x:c r="C31" t="n">
        <x:v>0</x:v>
      </x:c>
      <x:c r="D31" s="28" t="n">
        <x:v>268</x:v>
      </x:c>
      <x:c r="E31" s="28" t="n">
        <x:v>14.75</x:v>
      </x:c>
      <x:c r="F31" s="28" t="str">
        <x:v>Z</x:v>
      </x:c>
      <x:c r="G31" s="28" t="n">
        <x:v>1.2</x:v>
      </x:c>
      <x:c r="H31" s="28" t="n">
        <x:v>0.169768</x:v>
      </x:c>
      <x:c r="I31" s="28" t="n">
        <x:v>1.547341</x:v>
      </x:c>
      <x:c r="J31" s="28" t="n">
        <x:v>3.903222</x:v>
      </x:c>
      <x:c r="K31" s="28" t="n">
        <x:v>4.202169</x:v>
      </x:c>
      <x:c r="L31" s="28" t="n">
        <x:v>3.903222</x:v>
      </x:c>
      <x:c r="M31" s="28" t="n">
        <x:v>225.268</x:v>
      </x:c>
      <x:c r="N31" s="28" t="str">
        <x:v>Z</x:v>
      </x:c>
      <x:c r="O31" s="28" t="n">
        <x:v>0.163</x:v>
      </x:c>
      <x:c r="P31" s="28" t="n">
        <x:v>13.559</x:v>
      </x:c>
      <x:c r="Q31" s="28" t="n">
        <x:v>86.278</x:v>
      </x:c>
      <x:c r="R31" s="28" t="n">
        <x:v>46.405</x:v>
      </x:c>
      <x:c r="S31" s="28" t="n">
        <x:v>127.644</x:v>
      </x:c>
      <x:c r="T31" s="28" t="n">
        <x:v>24.83</x:v>
      </x:c>
      <x:c r="U31" s="28" t="n">
        <x:v>1.44</x:v>
      </x:c>
      <x:c r="V31" s="28" t="n">
        <x:v>2.78</x:v>
      </x:c>
      <x:c r="W31" t="n">
        <x:v>3</x:v>
      </x:c>
      <x:c r="X31" t="str">
        <x:v>TRANSIENT</x:v>
      </x:c>
      <x:c r="Y31" t="str">
        <x:f>IF(A31&lt;=20,"P0 Reference A",IF(A31&lt;=30,"P1 Changed orientation",IF(A31&lt;=40,"P2 Changed orientation",IF(A31&lt;=50,"P3 Changed orientation",IF(A31&lt;=60,"P4 Changed orientation",IF(A31&lt;=70,"P5 Changed orientation",IF(A31&lt;=80,"P6 Changed orientation",IF(A31&lt;=90,"P7 Changed orientation",IF(A31&lt;=92,"Transition / repositioning","P0R Reference return")))))))))</x:f>
        <x:v>P1 Changed orientation</x:v>
      </x:c>
      <x:c r="Z31" t="str">
        <x:f>IF(OR(A31&lt;=90,A31&gt;=93),"YES","NO")</x:f>
        <x:v>YES</x:v>
      </x:c>
      <x:c r="AA31" t="n">
        <x:f>H31^2</x:f>
        <x:v>0.028821173824000002</x:v>
      </x:c>
      <x:c r="AB31" t="n">
        <x:f>I31^2</x:f>
        <x:v>2.394264170281</x:v>
      </x:c>
      <x:c r="AC31" t="n">
        <x:f>J31^2</x:f>
        <x:v>15.235141981284</x:v>
      </x:c>
      <x:c r="AD31" t="n">
        <x:f>K31^2</x:f>
        <x:v>17.658224304560996</x:v>
      </x:c>
      <x:c r="AE31" t="str">
        <x:f>IF(ABS(M31)&lt;=5,"YES","NO")</x:f>
        <x:v>NO</x:v>
      </x:c>
      <x:c r="AF31" t="str">
        <x:f>IF(ABS(M31)&lt;=2.5,"YES","NO")</x:f>
        <x:v>NO</x:v>
      </x:c>
      <x:c r="AG31" t="str">
        <x:f>IF(X31="STABLE","Stable",IF(AND(H31&gt;=0.03,T31&gt;10,OR(I31&lt;0.03,U31&lt;=10),OR(J31&lt;0.03,V31&lt;=10)),"X CV only","Multiple / non-X CV"))</x:f>
        <x:v>X CV only</x:v>
      </x:c>
      <x:c r="AH31" t="str">
        <x:f>IF(Z31="NO","Excluded from pose statistics: repositioning transition","")</x:f>
      </x:c>
    </x:row>
    <x:row r="32">
      <x:c r="A32" t="n">
        <x:v>28</x:v>
      </x:c>
      <x:c r="B32" s="28" t="n">
        <x:v>54</x:v>
      </x:c>
      <x:c r="C32" t="n">
        <x:v>0</x:v>
      </x:c>
      <x:c r="D32" s="28" t="n">
        <x:v>268</x:v>
      </x:c>
      <x:c r="E32" s="28" t="n">
        <x:v>14.75</x:v>
      </x:c>
      <x:c r="F32" s="28" t="str">
        <x:v>Z</x:v>
      </x:c>
      <x:c r="G32" s="28" t="n">
        <x:v>1.2</x:v>
      </x:c>
      <x:c r="H32" s="28" t="n">
        <x:v>0.114385</x:v>
      </x:c>
      <x:c r="I32" s="28" t="n">
        <x:v>1.516242</x:v>
      </x:c>
      <x:c r="J32" s="28" t="n">
        <x:v>3.813894</x:v>
      </x:c>
      <x:c r="K32" s="28" t="n">
        <x:v>4.105833</x:v>
      </x:c>
      <x:c r="L32" s="28" t="n">
        <x:v>3.813894</x:v>
      </x:c>
      <x:c r="M32" s="28" t="n">
        <x:v>217.825</x:v>
      </x:c>
      <x:c r="N32" s="28" t="str">
        <x:v>Z</x:v>
      </x:c>
      <x:c r="O32" s="28" t="n">
        <x:v>0.078</x:v>
      </x:c>
      <x:c r="P32" s="28" t="n">
        <x:v>13.637</x:v>
      </x:c>
      <x:c r="Q32" s="28" t="n">
        <x:v>86.285</x:v>
      </x:c>
      <x:c r="R32" s="28" t="n">
        <x:v>46.412</x:v>
      </x:c>
      <x:c r="S32" s="28" t="n">
        <x:v>122.425</x:v>
      </x:c>
      <x:c r="T32" s="28" t="n">
        <x:v>7.8</x:v>
      </x:c>
      <x:c r="U32" s="28" t="n">
        <x:v>0.29</x:v>
      </x:c>
      <x:c r="V32" s="28" t="n">
        <x:v>0.91</x:v>
      </x:c>
      <x:c r="W32" t="n">
        <x:v>3</x:v>
      </x:c>
      <x:c r="X32" t="str">
        <x:v>STABLE</x:v>
      </x:c>
      <x:c r="Y32" t="str">
        <x:f>IF(A32&lt;=20,"P0 Reference A",IF(A32&lt;=30,"P1 Changed orientation",IF(A32&lt;=40,"P2 Changed orientation",IF(A32&lt;=50,"P3 Changed orientation",IF(A32&lt;=60,"P4 Changed orientation",IF(A32&lt;=70,"P5 Changed orientation",IF(A32&lt;=80,"P6 Changed orientation",IF(A32&lt;=90,"P7 Changed orientation",IF(A32&lt;=92,"Transition / repositioning","P0R Reference return")))))))))</x:f>
        <x:v>P1 Changed orientation</x:v>
      </x:c>
      <x:c r="Z32" t="str">
        <x:f>IF(OR(A32&lt;=90,A32&gt;=93),"YES","NO")</x:f>
        <x:v>YES</x:v>
      </x:c>
      <x:c r="AA32" t="n">
        <x:f>H32^2</x:f>
        <x:v>0.013083928225</x:v>
      </x:c>
      <x:c r="AB32" t="n">
        <x:f>I32^2</x:f>
        <x:v>2.2989898025640003</x:v>
      </x:c>
      <x:c r="AC32" t="n">
        <x:f>J32^2</x:f>
        <x:v>14.545787443236</x:v>
      </x:c>
      <x:c r="AD32" t="n">
        <x:f>K32^2</x:f>
        <x:v>16.857864623888997</x:v>
      </x:c>
      <x:c r="AE32" t="str">
        <x:f>IF(ABS(M32)&lt;=5,"YES","NO")</x:f>
        <x:v>NO</x:v>
      </x:c>
      <x:c r="AF32" t="str">
        <x:f>IF(ABS(M32)&lt;=2.5,"YES","NO")</x:f>
        <x:v>NO</x:v>
      </x:c>
      <x:c r="AG32" t="str">
        <x:f>IF(X32="STABLE","Stable",IF(AND(H32&gt;=0.03,T32&gt;10,OR(I32&lt;0.03,U32&lt;=10),OR(J32&lt;0.03,V32&lt;=10)),"X CV only","Multiple / non-X CV"))</x:f>
        <x:v>Stable</x:v>
      </x:c>
      <x:c r="AH32" t="str">
        <x:f>IF(Z32="NO","Excluded from pose statistics: repositioning transition","")</x:f>
      </x:c>
    </x:row>
    <x:row r="33">
      <x:c r="A33" t="n">
        <x:v>29</x:v>
      </x:c>
      <x:c r="B33" s="28" t="n">
        <x:v>56</x:v>
      </x:c>
      <x:c r="C33" t="n">
        <x:v>0</x:v>
      </x:c>
      <x:c r="D33" s="28" t="n">
        <x:v>268</x:v>
      </x:c>
      <x:c r="E33" s="28" t="n">
        <x:v>14.75</x:v>
      </x:c>
      <x:c r="F33" s="28" t="str">
        <x:v>Z</x:v>
      </x:c>
      <x:c r="G33" s="28" t="n">
        <x:v>1.2</x:v>
      </x:c>
      <x:c r="H33" s="28" t="n">
        <x:v>0.092589</x:v>
      </x:c>
      <x:c r="I33" s="28" t="n">
        <x:v>1.473545</x:v>
      </x:c>
      <x:c r="J33" s="28" t="n">
        <x:v>3.775328</x:v>
      </x:c>
      <x:c r="K33" s="28" t="n">
        <x:v>4.053765</x:v>
      </x:c>
      <x:c r="L33" s="28" t="n">
        <x:v>3.775328</x:v>
      </x:c>
      <x:c r="M33" s="28" t="n">
        <x:v>214.611</x:v>
      </x:c>
      <x:c r="N33" s="28" t="str">
        <x:v>Z</x:v>
      </x:c>
      <x:c r="O33" s="28" t="n">
        <x:v>0.052</x:v>
      </x:c>
      <x:c r="P33" s="28" t="n">
        <x:v>13.213</x:v>
      </x:c>
      <x:c r="Q33" s="28" t="n">
        <x:v>86.735</x:v>
      </x:c>
      <x:c r="R33" s="28" t="n">
        <x:v>46.861</x:v>
      </x:c>
      <x:c r="S33" s="28" t="n">
        <x:v>119.604</x:v>
      </x:c>
      <x:c r="T33" s="28" t="n">
        <x:v>33.42</x:v>
      </x:c>
      <x:c r="U33" s="28" t="n">
        <x:v>2.77</x:v>
      </x:c>
      <x:c r="V33" s="28" t="n">
        <x:v>0.34</x:v>
      </x:c>
      <x:c r="W33" t="n">
        <x:v>3</x:v>
      </x:c>
      <x:c r="X33" t="str">
        <x:v>TRANSIENT</x:v>
      </x:c>
      <x:c r="Y33" t="str">
        <x:f>IF(A33&lt;=20,"P0 Reference A",IF(A33&lt;=30,"P1 Changed orientation",IF(A33&lt;=40,"P2 Changed orientation",IF(A33&lt;=50,"P3 Changed orientation",IF(A33&lt;=60,"P4 Changed orientation",IF(A33&lt;=70,"P5 Changed orientation",IF(A33&lt;=80,"P6 Changed orientation",IF(A33&lt;=90,"P7 Changed orientation",IF(A33&lt;=92,"Transition / repositioning","P0R Reference return")))))))))</x:f>
        <x:v>P1 Changed orientation</x:v>
      </x:c>
      <x:c r="Z33" t="str">
        <x:f>IF(OR(A33&lt;=90,A33&gt;=93),"YES","NO")</x:f>
        <x:v>YES</x:v>
      </x:c>
      <x:c r="AA33" t="n">
        <x:f>H33^2</x:f>
        <x:v>0.008572722921000002</x:v>
      </x:c>
      <x:c r="AB33" t="n">
        <x:f>I33^2</x:f>
        <x:v>2.171334867025</x:v>
      </x:c>
      <x:c r="AC33" t="n">
        <x:f>J33^2</x:f>
        <x:v>14.253101507584</x:v>
      </x:c>
      <x:c r="AD33" t="n">
        <x:f>K33^2</x:f>
        <x:v>16.433010675225002</x:v>
      </x:c>
      <x:c r="AE33" t="str">
        <x:f>IF(ABS(M33)&lt;=5,"YES","NO")</x:f>
        <x:v>NO</x:v>
      </x:c>
      <x:c r="AF33" t="str">
        <x:f>IF(ABS(M33)&lt;=2.5,"YES","NO")</x:f>
        <x:v>NO</x:v>
      </x:c>
      <x:c r="AG33" t="str">
        <x:f>IF(X33="STABLE","Stable",IF(AND(H33&gt;=0.03,T33&gt;10,OR(I33&lt;0.03,U33&lt;=10),OR(J33&lt;0.03,V33&lt;=10)),"X CV only","Multiple / non-X CV"))</x:f>
        <x:v>X CV only</x:v>
      </x:c>
      <x:c r="AH33" t="str">
        <x:f>IF(Z33="NO","Excluded from pose statistics: repositioning transition","")</x:f>
      </x:c>
    </x:row>
    <x:row r="34">
      <x:c r="A34" t="n">
        <x:v>30</x:v>
      </x:c>
      <x:c r="B34" s="28" t="n">
        <x:v>58</x:v>
      </x:c>
      <x:c r="C34" t="n">
        <x:v>0</x:v>
      </x:c>
      <x:c r="D34" s="28" t="n">
        <x:v>268</x:v>
      </x:c>
      <x:c r="E34" s="28" t="n">
        <x:v>14.75</x:v>
      </x:c>
      <x:c r="F34" s="28" t="str">
        <x:v>Z</x:v>
      </x:c>
      <x:c r="G34" s="28" t="n">
        <x:v>1.2</x:v>
      </x:c>
      <x:c r="H34" s="28" t="n">
        <x:v>0.170811</x:v>
      </x:c>
      <x:c r="I34" s="28" t="n">
        <x:v>1.320199</x:v>
      </x:c>
      <x:c r="J34" s="28" t="n">
        <x:v>3.666258</x:v>
      </x:c>
      <x:c r="K34" s="28" t="n">
        <x:v>3.900456</x:v>
      </x:c>
      <x:c r="L34" s="28" t="n">
        <x:v>3.666258</x:v>
      </x:c>
      <x:c r="M34" s="28" t="n">
        <x:v>205.522</x:v>
      </x:c>
      <x:c r="N34" s="28" t="str">
        <x:v>Z</x:v>
      </x:c>
      <x:c r="O34" s="28" t="n">
        <x:v>0.192</x:v>
      </x:c>
      <x:c r="P34" s="28" t="n">
        <x:v>11.456</x:v>
      </x:c>
      <x:c r="Q34" s="28" t="n">
        <x:v>88.352</x:v>
      </x:c>
      <x:c r="R34" s="28" t="n">
        <x:v>48.479</x:v>
      </x:c>
      <x:c r="S34" s="28" t="n">
        <x:v>111.299</x:v>
      </x:c>
      <x:c r="T34" s="28" t="n">
        <x:v>35.69</x:v>
      </x:c>
      <x:c r="U34" s="28" t="n">
        <x:v>0.72</x:v>
      </x:c>
      <x:c r="V34" s="28" t="n">
        <x:v>3.19</x:v>
      </x:c>
      <x:c r="W34" t="n">
        <x:v>3</x:v>
      </x:c>
      <x:c r="X34" t="str">
        <x:v>TRANSIENT</x:v>
      </x:c>
      <x:c r="Y34" t="str">
        <x:f>IF(A34&lt;=20,"P0 Reference A",IF(A34&lt;=30,"P1 Changed orientation",IF(A34&lt;=40,"P2 Changed orientation",IF(A34&lt;=50,"P3 Changed orientation",IF(A34&lt;=60,"P4 Changed orientation",IF(A34&lt;=70,"P5 Changed orientation",IF(A34&lt;=80,"P6 Changed orientation",IF(A34&lt;=90,"P7 Changed orientation",IF(A34&lt;=92,"Transition / repositioning","P0R Reference return")))))))))</x:f>
        <x:v>P1 Changed orientation</x:v>
      </x:c>
      <x:c r="Z34" t="str">
        <x:f>IF(OR(A34&lt;=90,A34&gt;=93),"YES","NO")</x:f>
        <x:v>YES</x:v>
      </x:c>
      <x:c r="AA34" t="n">
        <x:f>H34^2</x:f>
        <x:v>0.029176397720999996</x:v>
      </x:c>
      <x:c r="AB34" t="n">
        <x:f>I34^2</x:f>
        <x:v>1.7429253996009997</x:v>
      </x:c>
      <x:c r="AC34" t="n">
        <x:f>J34^2</x:f>
        <x:v>13.441447722564</x:v>
      </x:c>
      <x:c r="AD34" t="n">
        <x:f>K34^2</x:f>
        <x:v>15.213557007936002</x:v>
      </x:c>
      <x:c r="AE34" t="str">
        <x:f>IF(ABS(M34)&lt;=5,"YES","NO")</x:f>
        <x:v>NO</x:v>
      </x:c>
      <x:c r="AF34" t="str">
        <x:f>IF(ABS(M34)&lt;=2.5,"YES","NO")</x:f>
        <x:v>NO</x:v>
      </x:c>
      <x:c r="AG34" t="str">
        <x:f>IF(X34="STABLE","Stable",IF(AND(H34&gt;=0.03,T34&gt;10,OR(I34&lt;0.03,U34&lt;=10),OR(J34&lt;0.03,V34&lt;=10)),"X CV only","Multiple / non-X CV"))</x:f>
        <x:v>X CV only</x:v>
      </x:c>
      <x:c r="AH34" t="str">
        <x:f>IF(Z34="NO","Excluded from pose statistics: repositioning transition","")</x:f>
      </x:c>
    </x:row>
    <x:row r="35">
      <x:c r="A35" t="n">
        <x:v>31</x:v>
      </x:c>
      <x:c r="B35" s="28" t="n">
        <x:v>60</x:v>
      </x:c>
      <x:c r="C35" t="n">
        <x:v>0</x:v>
      </x:c>
      <x:c r="D35" s="28" t="n">
        <x:v>268</x:v>
      </x:c>
      <x:c r="E35" s="28" t="n">
        <x:v>14.75</x:v>
      </x:c>
      <x:c r="F35" s="28" t="str">
        <x:v>Z</x:v>
      </x:c>
      <x:c r="G35" s="28" t="n">
        <x:v>1.2</x:v>
      </x:c>
      <x:c r="H35" s="28" t="n">
        <x:v>0.029917</x:v>
      </x:c>
      <x:c r="I35" s="28" t="n">
        <x:v>1.042977</x:v>
      </x:c>
      <x:c r="J35" s="28" t="n">
        <x:v>2.533568</x:v>
      </x:c>
      <x:c r="K35" s="28" t="n">
        <x:v>2.740011</x:v>
      </x:c>
      <x:c r="L35" s="28" t="n">
        <x:v>2.533568</x:v>
      </x:c>
      <x:c r="M35" s="28" t="n">
        <x:v>111.131</x:v>
      </x:c>
      <x:c r="N35" s="28" t="str">
        <x:v>Z</x:v>
      </x:c>
      <x:c r="O35" s="28" t="n">
        <x:v>0.012</x:v>
      </x:c>
      <x:c r="P35" s="28" t="n">
        <x:v>14.489</x:v>
      </x:c>
      <x:c r="Q35" s="28" t="n">
        <x:v>85.499</x:v>
      </x:c>
      <x:c r="R35" s="28" t="n">
        <x:v>45.626</x:v>
      </x:c>
      <x:c r="S35" s="28" t="n">
        <x:v>48.434</x:v>
      </x:c>
      <x:c r="T35" s="28" t="n">
        <x:v>66.15</x:v>
      </x:c>
      <x:c r="U35" s="28" t="n">
        <x:v>3.92</x:v>
      </x:c>
      <x:c r="V35" s="28" t="n">
        <x:v>16.85</x:v>
      </x:c>
      <x:c r="W35" t="n">
        <x:v>3</x:v>
      </x:c>
      <x:c r="X35" t="str">
        <x:v>TRANSIENT</x:v>
      </x:c>
      <x:c r="Y35" t="str">
        <x:f>IF(A35&lt;=20,"P0 Reference A",IF(A35&lt;=30,"P1 Changed orientation",IF(A35&lt;=40,"P2 Changed orientation",IF(A35&lt;=50,"P3 Changed orientation",IF(A35&lt;=60,"P4 Changed orientation",IF(A35&lt;=70,"P5 Changed orientation",IF(A35&lt;=80,"P6 Changed orientation",IF(A35&lt;=90,"P7 Changed orientation",IF(A35&lt;=92,"Transition / repositioning","P0R Reference return")))))))))</x:f>
        <x:v>P2 Changed orientation</x:v>
      </x:c>
      <x:c r="Z35" t="str">
        <x:f>IF(OR(A35&lt;=90,A35&gt;=93),"YES","NO")</x:f>
        <x:v>YES</x:v>
      </x:c>
      <x:c r="AA35" t="n">
        <x:f>H35^2</x:f>
        <x:v>0.000895026889</x:v>
      </x:c>
      <x:c r="AB35" t="n">
        <x:f>I35^2</x:f>
        <x:v>1.087801022529</x:v>
      </x:c>
      <x:c r="AC35" t="n">
        <x:f>J35^2</x:f>
        <x:v>6.418966810623999</x:v>
      </x:c>
      <x:c r="AD35" t="n">
        <x:f>K35^2</x:f>
        <x:v>7.507660280121</x:v>
      </x:c>
      <x:c r="AE35" t="str">
        <x:f>IF(ABS(M35)&lt;=5,"YES","NO")</x:f>
        <x:v>NO</x:v>
      </x:c>
      <x:c r="AF35" t="str">
        <x:f>IF(ABS(M35)&lt;=2.5,"YES","NO")</x:f>
        <x:v>NO</x:v>
      </x:c>
      <x:c r="AG35" t="str">
        <x:f>IF(X35="STABLE","Stable",IF(AND(H35&gt;=0.03,T35&gt;10,OR(I35&lt;0.03,U35&lt;=10),OR(J35&lt;0.03,V35&lt;=10)),"X CV only","Multiple / non-X CV"))</x:f>
        <x:v>Multiple / non-X CV</x:v>
      </x:c>
      <x:c r="AH35" t="str">
        <x:f>IF(Z35="NO","Excluded from pose statistics: repositioning transition","")</x:f>
      </x:c>
    </x:row>
    <x:row r="36">
      <x:c r="A36" t="n">
        <x:v>32</x:v>
      </x:c>
      <x:c r="B36" s="28" t="n">
        <x:v>62</x:v>
      </x:c>
      <x:c r="C36" t="n">
        <x:v>0</x:v>
      </x:c>
      <x:c r="D36" s="28" t="n">
        <x:v>268</x:v>
      </x:c>
      <x:c r="E36" s="28" t="n">
        <x:v>14.75</x:v>
      </x:c>
      <x:c r="F36" s="28" t="str">
        <x:v>Z</x:v>
      </x:c>
      <x:c r="G36" s="28" t="n">
        <x:v>1.2</x:v>
      </x:c>
      <x:c r="H36" s="28" t="n">
        <x:v>0.252455</x:v>
      </x:c>
      <x:c r="I36" s="28" t="n">
        <x:v>1.224833</x:v>
      </x:c>
      <x:c r="J36" s="28" t="n">
        <x:v>3.217074</x:v>
      </x:c>
      <x:c r="K36" s="28" t="n">
        <x:v>3.451596</x:v>
      </x:c>
      <x:c r="L36" s="28" t="n">
        <x:v>3.217074</x:v>
      </x:c>
      <x:c r="M36" s="28" t="n">
        <x:v>168.089</x:v>
      </x:c>
      <x:c r="N36" s="28" t="str">
        <x:v>Z</x:v>
      </x:c>
      <x:c r="O36" s="28" t="n">
        <x:v>0.535</x:v>
      </x:c>
      <x:c r="P36" s="28" t="n">
        <x:v>12.593</x:v>
      </x:c>
      <x:c r="Q36" s="28" t="n">
        <x:v>86.872</x:v>
      </x:c>
      <x:c r="R36" s="28" t="n">
        <x:v>47.055</x:v>
      </x:c>
      <x:c r="S36" s="28" t="n">
        <x:v>86.983</x:v>
      </x:c>
      <x:c r="T36" s="28" t="n">
        <x:v>13.03</x:v>
      </x:c>
      <x:c r="U36" s="28" t="n">
        <x:v>6.55</x:v>
      </x:c>
      <x:c r="V36" s="28" t="n">
        <x:v>6.8</x:v>
      </x:c>
      <x:c r="W36" t="n">
        <x:v>3</x:v>
      </x:c>
      <x:c r="X36" t="str">
        <x:v>TRANSIENT</x:v>
      </x:c>
      <x:c r="Y36" t="str">
        <x:f>IF(A36&lt;=20,"P0 Reference A",IF(A36&lt;=30,"P1 Changed orientation",IF(A36&lt;=40,"P2 Changed orientation",IF(A36&lt;=50,"P3 Changed orientation",IF(A36&lt;=60,"P4 Changed orientation",IF(A36&lt;=70,"P5 Changed orientation",IF(A36&lt;=80,"P6 Changed orientation",IF(A36&lt;=90,"P7 Changed orientation",IF(A36&lt;=92,"Transition / repositioning","P0R Reference return")))))))))</x:f>
        <x:v>P2 Changed orientation</x:v>
      </x:c>
      <x:c r="Z36" t="str">
        <x:f>IF(OR(A36&lt;=90,A36&gt;=93),"YES","NO")</x:f>
        <x:v>YES</x:v>
      </x:c>
      <x:c r="AA36" t="n">
        <x:f>H36^2</x:f>
        <x:v>0.06373352702499999</x:v>
      </x:c>
      <x:c r="AB36" t="n">
        <x:f>I36^2</x:f>
        <x:v>1.5002158778890002</x:v>
      </x:c>
      <x:c r="AC36" t="n">
        <x:f>J36^2</x:f>
        <x:v>10.349565121476001</x:v>
      </x:c>
      <x:c r="AD36" t="n">
        <x:f>K36^2</x:f>
        <x:v>11.913514947216</x:v>
      </x:c>
      <x:c r="AE36" t="str">
        <x:f>IF(ABS(M36)&lt;=5,"YES","NO")</x:f>
        <x:v>NO</x:v>
      </x:c>
      <x:c r="AF36" t="str">
        <x:f>IF(ABS(M36)&lt;=2.5,"YES","NO")</x:f>
        <x:v>NO</x:v>
      </x:c>
      <x:c r="AG36" t="str">
        <x:f>IF(X36="STABLE","Stable",IF(AND(H36&gt;=0.03,T36&gt;10,OR(I36&lt;0.03,U36&lt;=10),OR(J36&lt;0.03,V36&lt;=10)),"X CV only","Multiple / non-X CV"))</x:f>
        <x:v>X CV only</x:v>
      </x:c>
      <x:c r="AH36" t="str">
        <x:f>IF(Z36="NO","Excluded from pose statistics: repositioning transition","")</x:f>
      </x:c>
    </x:row>
    <x:row r="37">
      <x:c r="A37" t="n">
        <x:v>33</x:v>
      </x:c>
      <x:c r="B37" s="28" t="n">
        <x:v>64</x:v>
      </x:c>
      <x:c r="C37" t="n">
        <x:v>0</x:v>
      </x:c>
      <x:c r="D37" s="28" t="n">
        <x:v>268</x:v>
      </x:c>
      <x:c r="E37" s="28" t="n">
        <x:v>14.75</x:v>
      </x:c>
      <x:c r="F37" s="28" t="str">
        <x:v>Z</x:v>
      </x:c>
      <x:c r="G37" s="28" t="n">
        <x:v>1.2</x:v>
      </x:c>
      <x:c r="H37" s="28" t="n">
        <x:v>0.23815</x:v>
      </x:c>
      <x:c r="I37" s="28" t="n">
        <x:v>1.109836</x:v>
      </x:c>
      <x:c r="J37" s="28" t="n">
        <x:v>3.105454</x:v>
      </x:c>
      <x:c r="K37" s="28" t="n">
        <x:v>3.306403</x:v>
      </x:c>
      <x:c r="L37" s="28" t="n">
        <x:v>3.105454</x:v>
      </x:c>
      <x:c r="M37" s="28" t="n">
        <x:v>158.788</x:v>
      </x:c>
      <x:c r="N37" s="28" t="str">
        <x:v>Z</x:v>
      </x:c>
      <x:c r="O37" s="28" t="n">
        <x:v>0.519</x:v>
      </x:c>
      <x:c r="P37" s="28" t="n">
        <x:v>11.267</x:v>
      </x:c>
      <x:c r="Q37" s="28" t="n">
        <x:v>88.214</x:v>
      </x:c>
      <x:c r="R37" s="28" t="n">
        <x:v>48.381</x:v>
      </x:c>
      <x:c r="S37" s="28" t="n">
        <x:v>79.117</x:v>
      </x:c>
      <x:c r="T37" s="28" t="n">
        <x:v>5.48</x:v>
      </x:c>
      <x:c r="U37" s="28" t="n">
        <x:v>1.33</x:v>
      </x:c>
      <x:c r="V37" s="28" t="n">
        <x:v>0.53</x:v>
      </x:c>
      <x:c r="W37" t="n">
        <x:v>3</x:v>
      </x:c>
      <x:c r="X37" t="str">
        <x:v>STABLE</x:v>
      </x:c>
      <x:c r="Y37" t="str">
        <x:f>IF(A37&lt;=20,"P0 Reference A",IF(A37&lt;=30,"P1 Changed orientation",IF(A37&lt;=40,"P2 Changed orientation",IF(A37&lt;=50,"P3 Changed orientation",IF(A37&lt;=60,"P4 Changed orientation",IF(A37&lt;=70,"P5 Changed orientation",IF(A37&lt;=80,"P6 Changed orientation",IF(A37&lt;=90,"P7 Changed orientation",IF(A37&lt;=92,"Transition / repositioning","P0R Reference return")))))))))</x:f>
        <x:v>P2 Changed orientation</x:v>
      </x:c>
      <x:c r="Z37" t="str">
        <x:f>IF(OR(A37&lt;=90,A37&gt;=93),"YES","NO")</x:f>
        <x:v>YES</x:v>
      </x:c>
      <x:c r="AA37" t="n">
        <x:f>H37^2</x:f>
        <x:v>0.0567154225</x:v>
      </x:c>
      <x:c r="AB37" t="n">
        <x:f>I37^2</x:f>
        <x:v>1.231735946896</x:v>
      </x:c>
      <x:c r="AC37" t="n">
        <x:f>J37^2</x:f>
        <x:v>9.643844546116</x:v>
      </x:c>
      <x:c r="AD37" t="n">
        <x:f>K37^2</x:f>
        <x:v>10.932300798408999</x:v>
      </x:c>
      <x:c r="AE37" t="str">
        <x:f>IF(ABS(M37)&lt;=5,"YES","NO")</x:f>
        <x:v>NO</x:v>
      </x:c>
      <x:c r="AF37" t="str">
        <x:f>IF(ABS(M37)&lt;=2.5,"YES","NO")</x:f>
        <x:v>NO</x:v>
      </x:c>
      <x:c r="AG37" t="str">
        <x:f>IF(X37="STABLE","Stable",IF(AND(H37&gt;=0.03,T37&gt;10,OR(I37&lt;0.03,U37&lt;=10),OR(J37&lt;0.03,V37&lt;=10)),"X CV only","Multiple / non-X CV"))</x:f>
        <x:v>Stable</x:v>
      </x:c>
      <x:c r="AH37" t="str">
        <x:f>IF(Z37="NO","Excluded from pose statistics: repositioning transition","")</x:f>
      </x:c>
    </x:row>
    <x:row r="38">
      <x:c r="A38" t="n">
        <x:v>34</x:v>
      </x:c>
      <x:c r="B38" s="28" t="n">
        <x:v>66.001</x:v>
      </x:c>
      <x:c r="C38" t="n">
        <x:v>0</x:v>
      </x:c>
      <x:c r="D38" s="28" t="n">
        <x:v>268</x:v>
      </x:c>
      <x:c r="E38" s="28" t="n">
        <x:v>14.75</x:v>
      </x:c>
      <x:c r="F38" s="28" t="str">
        <x:v>Z</x:v>
      </x:c>
      <x:c r="G38" s="28" t="n">
        <x:v>1.2</x:v>
      </x:c>
      <x:c r="H38" s="28" t="n">
        <x:v>0.200062</x:v>
      </x:c>
      <x:c r="I38" s="28" t="n">
        <x:v>1.097395</x:v>
      </x:c>
      <x:c r="J38" s="28" t="n">
        <x:v>3.178568</x:v>
      </x:c>
      <x:c r="K38" s="28" t="n">
        <x:v>3.368619</x:v>
      </x:c>
      <x:c r="L38" s="28" t="n">
        <x:v>3.178568</x:v>
      </x:c>
      <x:c r="M38" s="28" t="n">
        <x:v>164.881</x:v>
      </x:c>
      <x:c r="N38" s="28" t="str">
        <x:v>Z</x:v>
      </x:c>
      <x:c r="O38" s="28" t="n">
        <x:v>0.353</x:v>
      </x:c>
      <x:c r="P38" s="28" t="n">
        <x:v>10.613</x:v>
      </x:c>
      <x:c r="Q38" s="28" t="n">
        <x:v>89.035</x:v>
      </x:c>
      <x:c r="R38" s="28" t="n">
        <x:v>49.161</x:v>
      </x:c>
      <x:c r="S38" s="28" t="n">
        <x:v>82.488</x:v>
      </x:c>
      <x:c r="T38" s="28" t="n">
        <x:v>3.65</x:v>
      </x:c>
      <x:c r="U38" s="28" t="n">
        <x:v>0.6</x:v>
      </x:c>
      <x:c r="V38" s="28" t="n">
        <x:v>1.5</x:v>
      </x:c>
      <x:c r="W38" t="n">
        <x:v>3</x:v>
      </x:c>
      <x:c r="X38" t="str">
        <x:v>STABLE</x:v>
      </x:c>
      <x:c r="Y38" t="str">
        <x:f>IF(A38&lt;=20,"P0 Reference A",IF(A38&lt;=30,"P1 Changed orientation",IF(A38&lt;=40,"P2 Changed orientation",IF(A38&lt;=50,"P3 Changed orientation",IF(A38&lt;=60,"P4 Changed orientation",IF(A38&lt;=70,"P5 Changed orientation",IF(A38&lt;=80,"P6 Changed orientation",IF(A38&lt;=90,"P7 Changed orientation",IF(A38&lt;=92,"Transition / repositioning","P0R Reference return")))))))))</x:f>
        <x:v>P2 Changed orientation</x:v>
      </x:c>
      <x:c r="Z38" t="str">
        <x:f>IF(OR(A38&lt;=90,A38&gt;=93),"YES","NO")</x:f>
        <x:v>YES</x:v>
      </x:c>
      <x:c r="AA38" t="n">
        <x:f>H38^2</x:f>
        <x:v>0.04002480384399999</x:v>
      </x:c>
      <x:c r="AB38" t="n">
        <x:f>I38^2</x:f>
        <x:v>1.2042757860249997</x:v>
      </x:c>
      <x:c r="AC38" t="n">
        <x:f>J38^2</x:f>
        <x:v>10.103294530624</x:v>
      </x:c>
      <x:c r="AD38" t="n">
        <x:f>K38^2</x:f>
        <x:v>11.347593967160998</x:v>
      </x:c>
      <x:c r="AE38" t="str">
        <x:f>IF(ABS(M38)&lt;=5,"YES","NO")</x:f>
        <x:v>NO</x:v>
      </x:c>
      <x:c r="AF38" t="str">
        <x:f>IF(ABS(M38)&lt;=2.5,"YES","NO")</x:f>
        <x:v>NO</x:v>
      </x:c>
      <x:c r="AG38" t="str">
        <x:f>IF(X38="STABLE","Stable",IF(AND(H38&gt;=0.03,T38&gt;10,OR(I38&lt;0.03,U38&lt;=10),OR(J38&lt;0.03,V38&lt;=10)),"X CV only","Multiple / non-X CV"))</x:f>
        <x:v>Stable</x:v>
      </x:c>
      <x:c r="AH38" t="str">
        <x:f>IF(Z38="NO","Excluded from pose statistics: repositioning transition","")</x:f>
      </x:c>
    </x:row>
    <x:row r="39">
      <x:c r="A39" t="n">
        <x:v>35</x:v>
      </x:c>
      <x:c r="B39" s="28" t="n">
        <x:v>68</x:v>
      </x:c>
      <x:c r="C39" t="n">
        <x:v>0</x:v>
      </x:c>
      <x:c r="D39" s="28" t="n">
        <x:v>268</x:v>
      </x:c>
      <x:c r="E39" s="28" t="n">
        <x:v>14.75</x:v>
      </x:c>
      <x:c r="F39" s="28" t="str">
        <x:v>Z</x:v>
      </x:c>
      <x:c r="G39" s="28" t="n">
        <x:v>1.2</x:v>
      </x:c>
      <x:c r="H39" s="28" t="n">
        <x:v>0.167513</x:v>
      </x:c>
      <x:c r="I39" s="28" t="n">
        <x:v>1.119402</x:v>
      </x:c>
      <x:c r="J39" s="28" t="n">
        <x:v>3.270349</x:v>
      </x:c>
      <x:c r="K39" s="28" t="n">
        <x:v>3.46068</x:v>
      </x:c>
      <x:c r="L39" s="28" t="n">
        <x:v>3.270349</x:v>
      </x:c>
      <x:c r="M39" s="28" t="n">
        <x:v>172.529</x:v>
      </x:c>
      <x:c r="N39" s="28" t="str">
        <x:v>Z</x:v>
      </x:c>
      <x:c r="O39" s="28" t="n">
        <x:v>0.234</x:v>
      </x:c>
      <x:c r="P39" s="28" t="n">
        <x:v>10.463</x:v>
      </x:c>
      <x:c r="Q39" s="28" t="n">
        <x:v>89.303</x:v>
      </x:c>
      <x:c r="R39" s="28" t="n">
        <x:v>49.43</x:v>
      </x:c>
      <x:c r="S39" s="28" t="n">
        <x:v>87.475</x:v>
      </x:c>
      <x:c r="T39" s="28" t="n">
        <x:v>8.38</x:v>
      </x:c>
      <x:c r="U39" s="28" t="n">
        <x:v>1.09</x:v>
      </x:c>
      <x:c r="V39" s="28" t="n">
        <x:v>2.23</x:v>
      </x:c>
      <x:c r="W39" t="n">
        <x:v>3</x:v>
      </x:c>
      <x:c r="X39" t="str">
        <x:v>STABLE</x:v>
      </x:c>
      <x:c r="Y39" t="str">
        <x:f>IF(A39&lt;=20,"P0 Reference A",IF(A39&lt;=30,"P1 Changed orientation",IF(A39&lt;=40,"P2 Changed orientation",IF(A39&lt;=50,"P3 Changed orientation",IF(A39&lt;=60,"P4 Changed orientation",IF(A39&lt;=70,"P5 Changed orientation",IF(A39&lt;=80,"P6 Changed orientation",IF(A39&lt;=90,"P7 Changed orientation",IF(A39&lt;=92,"Transition / repositioning","P0R Reference return")))))))))</x:f>
        <x:v>P2 Changed orientation</x:v>
      </x:c>
      <x:c r="Z39" t="str">
        <x:f>IF(OR(A39&lt;=90,A39&gt;=93),"YES","NO")</x:f>
        <x:v>YES</x:v>
      </x:c>
      <x:c r="AA39" t="n">
        <x:f>H39^2</x:f>
        <x:v>0.028060605168999997</x:v>
      </x:c>
      <x:c r="AB39" t="n">
        <x:f>I39^2</x:f>
        <x:v>1.253060837604</x:v>
      </x:c>
      <x:c r="AC39" t="n">
        <x:f>J39^2</x:f>
        <x:v>10.695182581801</x:v>
      </x:c>
      <x:c r="AD39" t="n">
        <x:f>K39^2</x:f>
        <x:v>11.976306062399999</x:v>
      </x:c>
      <x:c r="AE39" t="str">
        <x:f>IF(ABS(M39)&lt;=5,"YES","NO")</x:f>
        <x:v>NO</x:v>
      </x:c>
      <x:c r="AF39" t="str">
        <x:f>IF(ABS(M39)&lt;=2.5,"YES","NO")</x:f>
        <x:v>NO</x:v>
      </x:c>
      <x:c r="AG39" t="str">
        <x:f>IF(X39="STABLE","Stable",IF(AND(H39&gt;=0.03,T39&gt;10,OR(I39&lt;0.03,U39&lt;=10),OR(J39&lt;0.03,V39&lt;=10)),"X CV only","Multiple / non-X CV"))</x:f>
        <x:v>Stable</x:v>
      </x:c>
      <x:c r="AH39" t="str">
        <x:f>IF(Z39="NO","Excluded from pose statistics: repositioning transition","")</x:f>
      </x:c>
    </x:row>
    <x:row r="40">
      <x:c r="A40" t="n">
        <x:v>36</x:v>
      </x:c>
      <x:c r="B40" s="28" t="n">
        <x:v>70</x:v>
      </x:c>
      <x:c r="C40" t="n">
        <x:v>0</x:v>
      </x:c>
      <x:c r="D40" s="28" t="n">
        <x:v>268</x:v>
      </x:c>
      <x:c r="E40" s="28" t="n">
        <x:v>14.75</x:v>
      </x:c>
      <x:c r="F40" s="28" t="str">
        <x:v>Z</x:v>
      </x:c>
      <x:c r="G40" s="28" t="n">
        <x:v>1.2</x:v>
      </x:c>
      <x:c r="H40" s="28" t="n">
        <x:v>0.143893</x:v>
      </x:c>
      <x:c r="I40" s="28" t="n">
        <x:v>1.128238</x:v>
      </x:c>
      <x:c r="J40" s="28" t="n">
        <x:v>3.389105</x:v>
      </x:c>
      <x:c r="K40" s="28" t="n">
        <x:v>3.574865</x:v>
      </x:c>
      <x:c r="L40" s="28" t="n">
        <x:v>3.389105</x:v>
      </x:c>
      <x:c r="M40" s="28" t="n">
        <x:v>182.425</x:v>
      </x:c>
      <x:c r="N40" s="28" t="str">
        <x:v>Z</x:v>
      </x:c>
      <x:c r="O40" s="28" t="n">
        <x:v>0.162</x:v>
      </x:c>
      <x:c r="P40" s="28" t="n">
        <x:v>9.961</x:v>
      </x:c>
      <x:c r="Q40" s="28" t="n">
        <x:v>89.877</x:v>
      </x:c>
      <x:c r="R40" s="28" t="n">
        <x:v>50.004</x:v>
      </x:c>
      <x:c r="S40" s="28" t="n">
        <x:v>93.661</x:v>
      </x:c>
      <x:c r="T40" s="28" t="n">
        <x:v>19.04</x:v>
      </x:c>
      <x:c r="U40" s="28" t="n">
        <x:v>1.54</x:v>
      </x:c>
      <x:c r="V40" s="28" t="n">
        <x:v>0.84</x:v>
      </x:c>
      <x:c r="W40" t="n">
        <x:v>3</x:v>
      </x:c>
      <x:c r="X40" t="str">
        <x:v>TRANSIENT</x:v>
      </x:c>
      <x:c r="Y40" t="str">
        <x:f>IF(A40&lt;=20,"P0 Reference A",IF(A40&lt;=30,"P1 Changed orientation",IF(A40&lt;=40,"P2 Changed orientation",IF(A40&lt;=50,"P3 Changed orientation",IF(A40&lt;=60,"P4 Changed orientation",IF(A40&lt;=70,"P5 Changed orientation",IF(A40&lt;=80,"P6 Changed orientation",IF(A40&lt;=90,"P7 Changed orientation",IF(A40&lt;=92,"Transition / repositioning","P0R Reference return")))))))))</x:f>
        <x:v>P2 Changed orientation</x:v>
      </x:c>
      <x:c r="Z40" t="str">
        <x:f>IF(OR(A40&lt;=90,A40&gt;=93),"YES","NO")</x:f>
        <x:v>YES</x:v>
      </x:c>
      <x:c r="AA40" t="n">
        <x:f>H40^2</x:f>
        <x:v>0.020705195449</x:v>
      </x:c>
      <x:c r="AB40" t="n">
        <x:f>I40^2</x:f>
        <x:v>1.2729209846440002</x:v>
      </x:c>
      <x:c r="AC40" t="n">
        <x:f>J40^2</x:f>
        <x:v>11.486032701024998</x:v>
      </x:c>
      <x:c r="AD40" t="n">
        <x:f>K40^2</x:f>
        <x:v>12.779659768224999</x:v>
      </x:c>
      <x:c r="AE40" t="str">
        <x:f>IF(ABS(M40)&lt;=5,"YES","NO")</x:f>
        <x:v>NO</x:v>
      </x:c>
      <x:c r="AF40" t="str">
        <x:f>IF(ABS(M40)&lt;=2.5,"YES","NO")</x:f>
        <x:v>NO</x:v>
      </x:c>
      <x:c r="AG40" t="str">
        <x:f>IF(X40="STABLE","Stable",IF(AND(H40&gt;=0.03,T40&gt;10,OR(I40&lt;0.03,U40&lt;=10),OR(J40&lt;0.03,V40&lt;=10)),"X CV only","Multiple / non-X CV"))</x:f>
        <x:v>X CV only</x:v>
      </x:c>
      <x:c r="AH40" t="str">
        <x:f>IF(Z40="NO","Excluded from pose statistics: repositioning transition","")</x:f>
      </x:c>
    </x:row>
    <x:row r="41">
      <x:c r="A41" t="n">
        <x:v>37</x:v>
      </x:c>
      <x:c r="B41" s="28" t="n">
        <x:v>72.001</x:v>
      </x:c>
      <x:c r="C41" t="n">
        <x:v>0</x:v>
      </x:c>
      <x:c r="D41" s="28" t="n">
        <x:v>268</x:v>
      </x:c>
      <x:c r="E41" s="28" t="n">
        <x:v>14.75</x:v>
      </x:c>
      <x:c r="F41" s="28" t="str">
        <x:v>Z</x:v>
      </x:c>
      <x:c r="G41" s="28" t="n">
        <x:v>1.2</x:v>
      </x:c>
      <x:c r="H41" s="28" t="n">
        <x:v>0.158893</x:v>
      </x:c>
      <x:c r="I41" s="28" t="n">
        <x:v>1.112074</x:v>
      </x:c>
      <x:c r="J41" s="28" t="n">
        <x:v>3.249975</x:v>
      </x:c>
      <x:c r="K41" s="28" t="n">
        <x:v>3.438647</x:v>
      </x:c>
      <x:c r="L41" s="28" t="n">
        <x:v>3.249975</x:v>
      </x:c>
      <x:c r="M41" s="28" t="n">
        <x:v>170.831</x:v>
      </x:c>
      <x:c r="N41" s="28" t="str">
        <x:v>Z</x:v>
      </x:c>
      <x:c r="O41" s="28" t="n">
        <x:v>0.214</x:v>
      </x:c>
      <x:c r="P41" s="28" t="n">
        <x:v>10.459</x:v>
      </x:c>
      <x:c r="Q41" s="28" t="n">
        <x:v>89.327</x:v>
      </x:c>
      <x:c r="R41" s="28" t="n">
        <x:v>49.454</x:v>
      </x:c>
      <x:c r="S41" s="28" t="n">
        <x:v>86.282</x:v>
      </x:c>
      <x:c r="T41" s="28" t="n">
        <x:v>7.69</x:v>
      </x:c>
      <x:c r="U41" s="28" t="n">
        <x:v>0.95</x:v>
      </x:c>
      <x:c r="V41" s="28" t="n">
        <x:v>0.09</x:v>
      </x:c>
      <x:c r="W41" t="n">
        <x:v>3</x:v>
      </x:c>
      <x:c r="X41" t="str">
        <x:v>STABLE</x:v>
      </x:c>
      <x:c r="Y41" t="str">
        <x:f>IF(A41&lt;=20,"P0 Reference A",IF(A41&lt;=30,"P1 Changed orientation",IF(A41&lt;=40,"P2 Changed orientation",IF(A41&lt;=50,"P3 Changed orientation",IF(A41&lt;=60,"P4 Changed orientation",IF(A41&lt;=70,"P5 Changed orientation",IF(A41&lt;=80,"P6 Changed orientation",IF(A41&lt;=90,"P7 Changed orientation",IF(A41&lt;=92,"Transition / repositioning","P0R Reference return")))))))))</x:f>
        <x:v>P2 Changed orientation</x:v>
      </x:c>
      <x:c r="Z41" t="str">
        <x:f>IF(OR(A41&lt;=90,A41&gt;=93),"YES","NO")</x:f>
        <x:v>YES</x:v>
      </x:c>
      <x:c r="AA41" t="n">
        <x:f>H41^2</x:f>
        <x:v>0.025246985449000003</x:v>
      </x:c>
      <x:c r="AB41" t="n">
        <x:f>I41^2</x:f>
        <x:v>1.236708581476</x:v>
      </x:c>
      <x:c r="AC41" t="n">
        <x:f>J41^2</x:f>
        <x:v>10.562337500625</x:v>
      </x:c>
      <x:c r="AD41" t="n">
        <x:f>K41^2</x:f>
        <x:v>11.824293190609</x:v>
      </x:c>
      <x:c r="AE41" t="str">
        <x:f>IF(ABS(M41)&lt;=5,"YES","NO")</x:f>
        <x:v>NO</x:v>
      </x:c>
      <x:c r="AF41" t="str">
        <x:f>IF(ABS(M41)&lt;=2.5,"YES","NO")</x:f>
        <x:v>NO</x:v>
      </x:c>
      <x:c r="AG41" t="str">
        <x:f>IF(X41="STABLE","Stable",IF(AND(H41&gt;=0.03,T41&gt;10,OR(I41&lt;0.03,U41&lt;=10),OR(J41&lt;0.03,V41&lt;=10)),"X CV only","Multiple / non-X CV"))</x:f>
        <x:v>Stable</x:v>
      </x:c>
      <x:c r="AH41" t="str">
        <x:f>IF(Z41="NO","Excluded from pose statistics: repositioning transition","")</x:f>
      </x:c>
    </x:row>
    <x:row r="42">
      <x:c r="A42" t="n">
        <x:v>38</x:v>
      </x:c>
      <x:c r="B42" s="28" t="n">
        <x:v>74</x:v>
      </x:c>
      <x:c r="C42" t="n">
        <x:v>0</x:v>
      </x:c>
      <x:c r="D42" s="28" t="n">
        <x:v>268</x:v>
      </x:c>
      <x:c r="E42" s="28" t="n">
        <x:v>14.75</x:v>
      </x:c>
      <x:c r="F42" s="28" t="str">
        <x:v>Z</x:v>
      </x:c>
      <x:c r="G42" s="28" t="n">
        <x:v>1.2</x:v>
      </x:c>
      <x:c r="H42" s="28" t="n">
        <x:v>0.199456</x:v>
      </x:c>
      <x:c r="I42" s="28" t="n">
        <x:v>1.096716</x:v>
      </x:c>
      <x:c r="J42" s="28" t="n">
        <x:v>3.175098</x:v>
      </x:c>
      <x:c r="K42" s="28" t="n">
        <x:v>3.365088</x:v>
      </x:c>
      <x:c r="L42" s="28" t="n">
        <x:v>3.175098</x:v>
      </x:c>
      <x:c r="M42" s="28" t="n">
        <x:v>164.591</x:v>
      </x:c>
      <x:c r="N42" s="28" t="str">
        <x:v>Z</x:v>
      </x:c>
      <x:c r="O42" s="28" t="n">
        <x:v>0.351</x:v>
      </x:c>
      <x:c r="P42" s="28" t="n">
        <x:v>10.622</x:v>
      </x:c>
      <x:c r="Q42" s="28" t="n">
        <x:v>89.027</x:v>
      </x:c>
      <x:c r="R42" s="28" t="n">
        <x:v>49.154</x:v>
      </x:c>
      <x:c r="S42" s="28" t="n">
        <x:v>82.297</x:v>
      </x:c>
      <x:c r="T42" s="28" t="n">
        <x:v>3.89</x:v>
      </x:c>
      <x:c r="U42" s="28" t="n">
        <x:v>1.51</x:v>
      </x:c>
      <x:c r="V42" s="28" t="n">
        <x:v>0.36</x:v>
      </x:c>
      <x:c r="W42" t="n">
        <x:v>3</x:v>
      </x:c>
      <x:c r="X42" t="str">
        <x:v>STABLE</x:v>
      </x:c>
      <x:c r="Y42" t="str">
        <x:f>IF(A42&lt;=20,"P0 Reference A",IF(A42&lt;=30,"P1 Changed orientation",IF(A42&lt;=40,"P2 Changed orientation",IF(A42&lt;=50,"P3 Changed orientation",IF(A42&lt;=60,"P4 Changed orientation",IF(A42&lt;=70,"P5 Changed orientation",IF(A42&lt;=80,"P6 Changed orientation",IF(A42&lt;=90,"P7 Changed orientation",IF(A42&lt;=92,"Transition / repositioning","P0R Reference return")))))))))</x:f>
        <x:v>P2 Changed orientation</x:v>
      </x:c>
      <x:c r="Z42" t="str">
        <x:f>IF(OR(A42&lt;=90,A42&gt;=93),"YES","NO")</x:f>
        <x:v>YES</x:v>
      </x:c>
      <x:c r="AA42" t="n">
        <x:f>H42^2</x:f>
        <x:v>0.039782695936</x:v>
      </x:c>
      <x:c r="AB42" t="n">
        <x:f>I42^2</x:f>
        <x:v>1.202785984656</x:v>
      </x:c>
      <x:c r="AC42" t="n">
        <x:f>J42^2</x:f>
        <x:v>10.081247309604</x:v>
      </x:c>
      <x:c r="AD42" t="n">
        <x:f>K42^2</x:f>
        <x:v>11.323817247744001</x:v>
      </x:c>
      <x:c r="AE42" t="str">
        <x:f>IF(ABS(M42)&lt;=5,"YES","NO")</x:f>
        <x:v>NO</x:v>
      </x:c>
      <x:c r="AF42" t="str">
        <x:f>IF(ABS(M42)&lt;=2.5,"YES","NO")</x:f>
        <x:v>NO</x:v>
      </x:c>
      <x:c r="AG42" t="str">
        <x:f>IF(X42="STABLE","Stable",IF(AND(H42&gt;=0.03,T42&gt;10,OR(I42&lt;0.03,U42&lt;=10),OR(J42&lt;0.03,V42&lt;=10)),"X CV only","Multiple / non-X CV"))</x:f>
        <x:v>Stable</x:v>
      </x:c>
      <x:c r="AH42" t="str">
        <x:f>IF(Z42="NO","Excluded from pose statistics: repositioning transition","")</x:f>
      </x:c>
    </x:row>
    <x:row r="43">
      <x:c r="A43" t="n">
        <x:v>39</x:v>
      </x:c>
      <x:c r="B43" s="28" t="n">
        <x:v>76.001</x:v>
      </x:c>
      <x:c r="C43" t="n">
        <x:v>0</x:v>
      </x:c>
      <x:c r="D43" s="28" t="n">
        <x:v>268</x:v>
      </x:c>
      <x:c r="E43" s="28" t="n">
        <x:v>14.75</x:v>
      </x:c>
      <x:c r="F43" s="28" t="str">
        <x:v>Z</x:v>
      </x:c>
      <x:c r="G43" s="28" t="n">
        <x:v>1.2</x:v>
      </x:c>
      <x:c r="H43" s="28" t="n">
        <x:v>0.181868</x:v>
      </x:c>
      <x:c r="I43" s="28" t="n">
        <x:v>1.081355</x:v>
      </x:c>
      <x:c r="J43" s="28" t="n">
        <x:v>3.229781</x:v>
      </x:c>
      <x:c r="K43" s="28" t="n">
        <x:v>3.410849</x:v>
      </x:c>
      <x:c r="L43" s="28" t="n">
        <x:v>3.229781</x:v>
      </x:c>
      <x:c r="M43" s="28" t="n">
        <x:v>169.148</x:v>
      </x:c>
      <x:c r="N43" s="28" t="str">
        <x:v>Z</x:v>
      </x:c>
      <x:c r="O43" s="28" t="n">
        <x:v>0.284</x:v>
      </x:c>
      <x:c r="P43" s="28" t="n">
        <x:v>10.051</x:v>
      </x:c>
      <x:c r="Q43" s="28" t="n">
        <x:v>89.665</x:v>
      </x:c>
      <x:c r="R43" s="28" t="n">
        <x:v>49.791</x:v>
      </x:c>
      <x:c r="S43" s="28" t="n">
        <x:v>84.776</x:v>
      </x:c>
      <x:c r="T43" s="28" t="n">
        <x:v>1.26</x:v>
      </x:c>
      <x:c r="U43" s="28" t="n">
        <x:v>1.43</x:v>
      </x:c>
      <x:c r="V43" s="28" t="n">
        <x:v>0.7</x:v>
      </x:c>
      <x:c r="W43" t="n">
        <x:v>3</x:v>
      </x:c>
      <x:c r="X43" t="str">
        <x:v>STABLE</x:v>
      </x:c>
      <x:c r="Y43" t="str">
        <x:f>IF(A43&lt;=20,"P0 Reference A",IF(A43&lt;=30,"P1 Changed orientation",IF(A43&lt;=40,"P2 Changed orientation",IF(A43&lt;=50,"P3 Changed orientation",IF(A43&lt;=60,"P4 Changed orientation",IF(A43&lt;=70,"P5 Changed orientation",IF(A43&lt;=80,"P6 Changed orientation",IF(A43&lt;=90,"P7 Changed orientation",IF(A43&lt;=92,"Transition / repositioning","P0R Reference return")))))))))</x:f>
        <x:v>P2 Changed orientation</x:v>
      </x:c>
      <x:c r="Z43" t="str">
        <x:f>IF(OR(A43&lt;=90,A43&gt;=93),"YES","NO")</x:f>
        <x:v>YES</x:v>
      </x:c>
      <x:c r="AA43" t="n">
        <x:f>H43^2</x:f>
        <x:v>0.033075969424</x:v>
      </x:c>
      <x:c r="AB43" t="n">
        <x:f>I43^2</x:f>
        <x:v>1.1693286360250001</x:v>
      </x:c>
      <x:c r="AC43" t="n">
        <x:f>J43^2</x:f>
        <x:v>10.431485307961</x:v>
      </x:c>
      <x:c r="AD43" t="n">
        <x:f>K43^2</x:f>
        <x:v>11.633890900801</x:v>
      </x:c>
      <x:c r="AE43" t="str">
        <x:f>IF(ABS(M43)&lt;=5,"YES","NO")</x:f>
        <x:v>NO</x:v>
      </x:c>
      <x:c r="AF43" t="str">
        <x:f>IF(ABS(M43)&lt;=2.5,"YES","NO")</x:f>
        <x:v>NO</x:v>
      </x:c>
      <x:c r="AG43" t="str">
        <x:f>IF(X43="STABLE","Stable",IF(AND(H43&gt;=0.03,T43&gt;10,OR(I43&lt;0.03,U43&lt;=10),OR(J43&lt;0.03,V43&lt;=10)),"X CV only","Multiple / non-X CV"))</x:f>
        <x:v>Stable</x:v>
      </x:c>
      <x:c r="AH43" t="str">
        <x:f>IF(Z43="NO","Excluded from pose statistics: repositioning transition","")</x:f>
      </x:c>
    </x:row>
    <x:row r="44">
      <x:c r="A44" t="n">
        <x:v>40</x:v>
      </x:c>
      <x:c r="B44" s="28" t="n">
        <x:v>78</x:v>
      </x:c>
      <x:c r="C44" t="n">
        <x:v>0</x:v>
      </x:c>
      <x:c r="D44" s="28" t="n">
        <x:v>268</x:v>
      </x:c>
      <x:c r="E44" s="28" t="n">
        <x:v>14.75</x:v>
      </x:c>
      <x:c r="F44" s="28" t="str">
        <x:v>Z</x:v>
      </x:c>
      <x:c r="G44" s="28" t="n">
        <x:v>1.2</x:v>
      </x:c>
      <x:c r="H44" s="28" t="n">
        <x:v>0.133473</x:v>
      </x:c>
      <x:c r="I44" s="28" t="n">
        <x:v>1.158869</x:v>
      </x:c>
      <x:c r="J44" s="28" t="n">
        <x:v>3.238836</x:v>
      </x:c>
      <x:c r="K44" s="28" t="n">
        <x:v>3.442507</x:v>
      </x:c>
      <x:c r="L44" s="28" t="n">
        <x:v>3.238836</x:v>
      </x:c>
      <x:c r="M44" s="28" t="n">
        <x:v>169.903</x:v>
      </x:c>
      <x:c r="N44" s="28" t="str">
        <x:v>Z</x:v>
      </x:c>
      <x:c r="O44" s="28" t="n">
        <x:v>0.15</x:v>
      </x:c>
      <x:c r="P44" s="28" t="n">
        <x:v>11.332</x:v>
      </x:c>
      <x:c r="Q44" s="28" t="n">
        <x:v>88.517</x:v>
      </x:c>
      <x:c r="R44" s="28" t="n">
        <x:v>48.644</x:v>
      </x:c>
      <x:c r="S44" s="28" t="n">
        <x:v>86.491</x:v>
      </x:c>
      <x:c r="T44" s="28" t="n">
        <x:v>21.38</x:v>
      </x:c>
      <x:c r="U44" s="28" t="n">
        <x:v>2.4</x:v>
      </x:c>
      <x:c r="V44" s="28" t="n">
        <x:v>2.39</x:v>
      </x:c>
      <x:c r="W44" t="n">
        <x:v>3</x:v>
      </x:c>
      <x:c r="X44" t="str">
        <x:v>TRANSIENT</x:v>
      </x:c>
      <x:c r="Y44" t="str">
        <x:f>IF(A44&lt;=20,"P0 Reference A",IF(A44&lt;=30,"P1 Changed orientation",IF(A44&lt;=40,"P2 Changed orientation",IF(A44&lt;=50,"P3 Changed orientation",IF(A44&lt;=60,"P4 Changed orientation",IF(A44&lt;=70,"P5 Changed orientation",IF(A44&lt;=80,"P6 Changed orientation",IF(A44&lt;=90,"P7 Changed orientation",IF(A44&lt;=92,"Transition / repositioning","P0R Reference return")))))))))</x:f>
        <x:v>P2 Changed orientation</x:v>
      </x:c>
      <x:c r="Z44" t="str">
        <x:f>IF(OR(A44&lt;=90,A44&gt;=93),"YES","NO")</x:f>
        <x:v>YES</x:v>
      </x:c>
      <x:c r="AA44" t="n">
        <x:f>H44^2</x:f>
        <x:v>0.017815041729000003</x:v>
      </x:c>
      <x:c r="AB44" t="n">
        <x:f>I44^2</x:f>
        <x:v>1.342977359161</x:v>
      </x:c>
      <x:c r="AC44" t="n">
        <x:f>J44^2</x:f>
        <x:v>10.490058634896</x:v>
      </x:c>
      <x:c r="AD44" t="n">
        <x:f>K44^2</x:f>
        <x:v>11.850854445049</x:v>
      </x:c>
      <x:c r="AE44" t="str">
        <x:f>IF(ABS(M44)&lt;=5,"YES","NO")</x:f>
        <x:v>NO</x:v>
      </x:c>
      <x:c r="AF44" t="str">
        <x:f>IF(ABS(M44)&lt;=2.5,"YES","NO")</x:f>
        <x:v>NO</x:v>
      </x:c>
      <x:c r="AG44" t="str">
        <x:f>IF(X44="STABLE","Stable",IF(AND(H44&gt;=0.03,T44&gt;10,OR(I44&lt;0.03,U44&lt;=10),OR(J44&lt;0.03,V44&lt;=10)),"X CV only","Multiple / non-X CV"))</x:f>
        <x:v>X CV only</x:v>
      </x:c>
      <x:c r="AH44" t="str">
        <x:f>IF(Z44="NO","Excluded from pose statistics: repositioning transition","")</x:f>
      </x:c>
    </x:row>
    <x:row r="45">
      <x:c r="A45" t="n">
        <x:v>41</x:v>
      </x:c>
      <x:c r="B45" s="28" t="n">
        <x:v>80.001</x:v>
      </x:c>
      <x:c r="C45" t="n">
        <x:v>0</x:v>
      </x:c>
      <x:c r="D45" s="28" t="n">
        <x:v>268</x:v>
      </x:c>
      <x:c r="E45" s="28" t="n">
        <x:v>14.75</x:v>
      </x:c>
      <x:c r="F45" s="28" t="str">
        <x:v>Z</x:v>
      </x:c>
      <x:c r="G45" s="28" t="n">
        <x:v>1.2</x:v>
      </x:c>
      <x:c r="H45" s="28" t="n">
        <x:v>0.137995</x:v>
      </x:c>
      <x:c r="I45" s="28" t="n">
        <x:v>1.541462</x:v>
      </x:c>
      <x:c r="J45" s="28" t="n">
        <x:v>3.51676</x:v>
      </x:c>
      <x:c r="K45" s="28" t="n">
        <x:v>3.842232</x:v>
      </x:c>
      <x:c r="L45" s="28" t="n">
        <x:v>3.51676</x:v>
      </x:c>
      <x:c r="M45" s="28" t="n">
        <x:v>193.063</x:v>
      </x:c>
      <x:c r="N45" s="28" t="str">
        <x:v>Z</x:v>
      </x:c>
      <x:c r="O45" s="28" t="n">
        <x:v>0.129</x:v>
      </x:c>
      <x:c r="P45" s="28" t="n">
        <x:v>16.095</x:v>
      </x:c>
      <x:c r="Q45" s="28" t="n">
        <x:v>83.776</x:v>
      </x:c>
      <x:c r="R45" s="28" t="n">
        <x:v>43.902</x:v>
      </x:c>
      <x:c r="S45" s="28" t="n">
        <x:v>108.145</x:v>
      </x:c>
      <x:c r="T45" s="28" t="n">
        <x:v>27.2</x:v>
      </x:c>
      <x:c r="U45" s="28" t="n">
        <x:v>2.36</x:v>
      </x:c>
      <x:c r="V45" s="28" t="n">
        <x:v>2.53</x:v>
      </x:c>
      <x:c r="W45" t="n">
        <x:v>3</x:v>
      </x:c>
      <x:c r="X45" t="str">
        <x:v>TRANSIENT</x:v>
      </x:c>
      <x:c r="Y45" t="str">
        <x:f>IF(A45&lt;=20,"P0 Reference A",IF(A45&lt;=30,"P1 Changed orientation",IF(A45&lt;=40,"P2 Changed orientation",IF(A45&lt;=50,"P3 Changed orientation",IF(A45&lt;=60,"P4 Changed orientation",IF(A45&lt;=70,"P5 Changed orientation",IF(A45&lt;=80,"P6 Changed orientation",IF(A45&lt;=90,"P7 Changed orientation",IF(A45&lt;=92,"Transition / repositioning","P0R Reference return")))))))))</x:f>
        <x:v>P3 Changed orientation</x:v>
      </x:c>
      <x:c r="Z45" t="str">
        <x:f>IF(OR(A45&lt;=90,A45&gt;=93),"YES","NO")</x:f>
        <x:v>YES</x:v>
      </x:c>
      <x:c r="AA45" t="n">
        <x:f>H45^2</x:f>
        <x:v>0.019042620025000002</x:v>
      </x:c>
      <x:c r="AB45" t="n">
        <x:f>I45^2</x:f>
        <x:v>2.3761050974440003</x:v>
      </x:c>
      <x:c r="AC45" t="n">
        <x:f>J45^2</x:f>
        <x:v>12.367600897600001</x:v>
      </x:c>
      <x:c r="AD45" t="n">
        <x:f>K45^2</x:f>
        <x:v>14.762746741824001</x:v>
      </x:c>
      <x:c r="AE45" t="str">
        <x:f>IF(ABS(M45)&lt;=5,"YES","NO")</x:f>
        <x:v>NO</x:v>
      </x:c>
      <x:c r="AF45" t="str">
        <x:f>IF(ABS(M45)&lt;=2.5,"YES","NO")</x:f>
        <x:v>NO</x:v>
      </x:c>
      <x:c r="AG45" t="str">
        <x:f>IF(X45="STABLE","Stable",IF(AND(H45&gt;=0.03,T45&gt;10,OR(I45&lt;0.03,U45&lt;=10),OR(J45&lt;0.03,V45&lt;=10)),"X CV only","Multiple / non-X CV"))</x:f>
        <x:v>X CV only</x:v>
      </x:c>
      <x:c r="AH45" t="str">
        <x:f>IF(Z45="NO","Excluded from pose statistics: repositioning transition","")</x:f>
      </x:c>
    </x:row>
    <x:row r="46">
      <x:c r="A46" t="n">
        <x:v>42</x:v>
      </x:c>
      <x:c r="B46" s="28" t="n">
        <x:v>82</x:v>
      </x:c>
      <x:c r="C46" t="n">
        <x:v>0</x:v>
      </x:c>
      <x:c r="D46" s="28" t="n">
        <x:v>268</x:v>
      </x:c>
      <x:c r="E46" s="28" t="n">
        <x:v>14.75</x:v>
      </x:c>
      <x:c r="F46" s="28" t="str">
        <x:v>Z</x:v>
      </x:c>
      <x:c r="G46" s="28" t="n">
        <x:v>1.2</x:v>
      </x:c>
      <x:c r="H46" s="28" t="n">
        <x:v>0.200911</x:v>
      </x:c>
      <x:c r="I46" s="28" t="n">
        <x:v>1.454226</x:v>
      </x:c>
      <x:c r="J46" s="28" t="n">
        <x:v>3.187968</x:v>
      </x:c>
      <x:c r="K46" s="28" t="n">
        <x:v>3.509741</x:v>
      </x:c>
      <x:c r="L46" s="28" t="n">
        <x:v>3.187968</x:v>
      </x:c>
      <x:c r="M46" s="28" t="n">
        <x:v>165.664</x:v>
      </x:c>
      <x:c r="N46" s="28" t="str">
        <x:v>Z</x:v>
      </x:c>
      <x:c r="O46" s="28" t="n">
        <x:v>0.328</x:v>
      </x:c>
      <x:c r="P46" s="28" t="n">
        <x:v>17.168</x:v>
      </x:c>
      <x:c r="Q46" s="28" t="n">
        <x:v>82.505</x:v>
      </x:c>
      <x:c r="R46" s="28" t="n">
        <x:v>42.631</x:v>
      </x:c>
      <x:c r="S46" s="28" t="n">
        <x:v>90.133</x:v>
      </x:c>
      <x:c r="T46" s="28" t="n">
        <x:v>6.08</x:v>
      </x:c>
      <x:c r="U46" s="28" t="n">
        <x:v>1.78</x:v>
      </x:c>
      <x:c r="V46" s="28" t="n">
        <x:v>1.62</x:v>
      </x:c>
      <x:c r="W46" t="n">
        <x:v>3</x:v>
      </x:c>
      <x:c r="X46" t="str">
        <x:v>STABLE</x:v>
      </x:c>
      <x:c r="Y46" t="str">
        <x:f>IF(A46&lt;=20,"P0 Reference A",IF(A46&lt;=30,"P1 Changed orientation",IF(A46&lt;=40,"P2 Changed orientation",IF(A46&lt;=50,"P3 Changed orientation",IF(A46&lt;=60,"P4 Changed orientation",IF(A46&lt;=70,"P5 Changed orientation",IF(A46&lt;=80,"P6 Changed orientation",IF(A46&lt;=90,"P7 Changed orientation",IF(A46&lt;=92,"Transition / repositioning","P0R Reference return")))))))))</x:f>
        <x:v>P3 Changed orientation</x:v>
      </x:c>
      <x:c r="Z46" t="str">
        <x:f>IF(OR(A46&lt;=90,A46&gt;=93),"YES","NO")</x:f>
        <x:v>YES</x:v>
      </x:c>
      <x:c r="AA46" t="n">
        <x:f>H46^2</x:f>
        <x:v>0.040365229921</x:v>
      </x:c>
      <x:c r="AB46" t="n">
        <x:f>I46^2</x:f>
        <x:v>2.1147732590760002</x:v>
      </x:c>
      <x:c r="AC46" t="n">
        <x:f>J46^2</x:f>
        <x:v>10.163139969024002</x:v>
      </x:c>
      <x:c r="AD46" t="n">
        <x:f>K46^2</x:f>
        <x:v>12.318281887081</x:v>
      </x:c>
      <x:c r="AE46" t="str">
        <x:f>IF(ABS(M46)&lt;=5,"YES","NO")</x:f>
        <x:v>NO</x:v>
      </x:c>
      <x:c r="AF46" t="str">
        <x:f>IF(ABS(M46)&lt;=2.5,"YES","NO")</x:f>
        <x:v>NO</x:v>
      </x:c>
      <x:c r="AG46" t="str">
        <x:f>IF(X46="STABLE","Stable",IF(AND(H46&gt;=0.03,T46&gt;10,OR(I46&lt;0.03,U46&lt;=10),OR(J46&lt;0.03,V46&lt;=10)),"X CV only","Multiple / non-X CV"))</x:f>
        <x:v>Stable</x:v>
      </x:c>
      <x:c r="AH46" t="str">
        <x:f>IF(Z46="NO","Excluded from pose statistics: repositioning transition","")</x:f>
      </x:c>
    </x:row>
    <x:row r="47">
      <x:c r="A47" t="n">
        <x:v>43</x:v>
      </x:c>
      <x:c r="B47" s="28" t="n">
        <x:v>84</x:v>
      </x:c>
      <x:c r="C47" t="n">
        <x:v>0</x:v>
      </x:c>
      <x:c r="D47" s="28" t="n">
        <x:v>268</x:v>
      </x:c>
      <x:c r="E47" s="28" t="n">
        <x:v>14.75</x:v>
      </x:c>
      <x:c r="F47" s="28" t="str">
        <x:v>Z</x:v>
      </x:c>
      <x:c r="G47" s="28" t="n">
        <x:v>1.2</x:v>
      </x:c>
      <x:c r="H47" s="28" t="n">
        <x:v>0.207507</x:v>
      </x:c>
      <x:c r="I47" s="28" t="n">
        <x:v>1.433607</x:v>
      </x:c>
      <x:c r="J47" s="28" t="n">
        <x:v>3.057716</x:v>
      </x:c>
      <x:c r="K47" s="28" t="n">
        <x:v>3.383477</x:v>
      </x:c>
      <x:c r="L47" s="28" t="n">
        <x:v>3.057716</x:v>
      </x:c>
      <x:c r="M47" s="28" t="n">
        <x:v>154.81</x:v>
      </x:c>
      <x:c r="N47" s="28" t="str">
        <x:v>Z</x:v>
      </x:c>
      <x:c r="O47" s="28" t="n">
        <x:v>0.376</x:v>
      </x:c>
      <x:c r="P47" s="28" t="n">
        <x:v>17.953</x:v>
      </x:c>
      <x:c r="Q47" s="28" t="n">
        <x:v>81.671</x:v>
      </x:c>
      <x:c r="R47" s="28" t="n">
        <x:v>41.798</x:v>
      </x:c>
      <x:c r="S47" s="28" t="n">
        <x:v>83.293</x:v>
      </x:c>
      <x:c r="T47" s="28" t="n">
        <x:v>4.79</x:v>
      </x:c>
      <x:c r="U47" s="28" t="n">
        <x:v>2.03</x:v>
      </x:c>
      <x:c r="V47" s="28" t="n">
        <x:v>0.56</x:v>
      </x:c>
      <x:c r="W47" t="n">
        <x:v>3</x:v>
      </x:c>
      <x:c r="X47" t="str">
        <x:v>STABLE</x:v>
      </x:c>
      <x:c r="Y47" t="str">
        <x:f>IF(A47&lt;=20,"P0 Reference A",IF(A47&lt;=30,"P1 Changed orientation",IF(A47&lt;=40,"P2 Changed orientation",IF(A47&lt;=50,"P3 Changed orientation",IF(A47&lt;=60,"P4 Changed orientation",IF(A47&lt;=70,"P5 Changed orientation",IF(A47&lt;=80,"P6 Changed orientation",IF(A47&lt;=90,"P7 Changed orientation",IF(A47&lt;=92,"Transition / repositioning","P0R Reference return")))))))))</x:f>
        <x:v>P3 Changed orientation</x:v>
      </x:c>
      <x:c r="Z47" t="str">
        <x:f>IF(OR(A47&lt;=90,A47&gt;=93),"YES","NO")</x:f>
        <x:v>YES</x:v>
      </x:c>
      <x:c r="AA47" t="n">
        <x:f>H47^2</x:f>
        <x:v>0.043059155049</x:v>
      </x:c>
      <x:c r="AB47" t="n">
        <x:f>I47^2</x:f>
        <x:v>2.0552290304490004</x:v>
      </x:c>
      <x:c r="AC47" t="n">
        <x:f>J47^2</x:f>
        <x:v>9.349627136656</x:v>
      </x:c>
      <x:c r="AD47" t="n">
        <x:f>K47^2</x:f>
        <x:v>11.447916609529</x:v>
      </x:c>
      <x:c r="AE47" t="str">
        <x:f>IF(ABS(M47)&lt;=5,"YES","NO")</x:f>
        <x:v>NO</x:v>
      </x:c>
      <x:c r="AF47" t="str">
        <x:f>IF(ABS(M47)&lt;=2.5,"YES","NO")</x:f>
        <x:v>NO</x:v>
      </x:c>
      <x:c r="AG47" t="str">
        <x:f>IF(X47="STABLE","Stable",IF(AND(H47&gt;=0.03,T47&gt;10,OR(I47&lt;0.03,U47&lt;=10),OR(J47&lt;0.03,V47&lt;=10)),"X CV only","Multiple / non-X CV"))</x:f>
        <x:v>Stable</x:v>
      </x:c>
      <x:c r="AH47" t="str">
        <x:f>IF(Z47="NO","Excluded from pose statistics: repositioning transition","")</x:f>
      </x:c>
    </x:row>
    <x:row r="48">
      <x:c r="A48" t="n">
        <x:v>44</x:v>
      </x:c>
      <x:c r="B48" s="28" t="n">
        <x:v>86</x:v>
      </x:c>
      <x:c r="C48" t="n">
        <x:v>0</x:v>
      </x:c>
      <x:c r="D48" s="28" t="n">
        <x:v>268</x:v>
      </x:c>
      <x:c r="E48" s="28" t="n">
        <x:v>14.75</x:v>
      </x:c>
      <x:c r="F48" s="28" t="str">
        <x:v>Z</x:v>
      </x:c>
      <x:c r="G48" s="28" t="n">
        <x:v>1.2</x:v>
      </x:c>
      <x:c r="H48" s="28" t="n">
        <x:v>0.227469</x:v>
      </x:c>
      <x:c r="I48" s="28" t="n">
        <x:v>1.387009</x:v>
      </x:c>
      <x:c r="J48" s="28" t="n">
        <x:v>2.968588</x:v>
      </x:c>
      <x:c r="K48" s="28" t="n">
        <x:v>3.284517</x:v>
      </x:c>
      <x:c r="L48" s="28" t="n">
        <x:v>2.968588</x:v>
      </x:c>
      <x:c r="M48" s="28" t="n">
        <x:v>147.382</x:v>
      </x:c>
      <x:c r="N48" s="28" t="str">
        <x:v>Z</x:v>
      </x:c>
      <x:c r="O48" s="28" t="n">
        <x:v>0.48</x:v>
      </x:c>
      <x:c r="P48" s="28" t="n">
        <x:v>17.833</x:v>
      </x:c>
      <x:c r="Q48" s="28" t="n">
        <x:v>81.688</x:v>
      </x:c>
      <x:c r="R48" s="28" t="n">
        <x:v>41.815</x:v>
      </x:c>
      <x:c r="S48" s="28" t="n">
        <x:v>77.932</x:v>
      </x:c>
      <x:c r="T48" s="28" t="n">
        <x:v>8.95</x:v>
      </x:c>
      <x:c r="U48" s="28" t="n">
        <x:v>2.46</x:v>
      </x:c>
      <x:c r="V48" s="28" t="n">
        <x:v>1.26</x:v>
      </x:c>
      <x:c r="W48" t="n">
        <x:v>3</x:v>
      </x:c>
      <x:c r="X48" t="str">
        <x:v>STABLE</x:v>
      </x:c>
      <x:c r="Y48" t="str">
        <x:f>IF(A48&lt;=20,"P0 Reference A",IF(A48&lt;=30,"P1 Changed orientation",IF(A48&lt;=40,"P2 Changed orientation",IF(A48&lt;=50,"P3 Changed orientation",IF(A48&lt;=60,"P4 Changed orientation",IF(A48&lt;=70,"P5 Changed orientation",IF(A48&lt;=80,"P6 Changed orientation",IF(A48&lt;=90,"P7 Changed orientation",IF(A48&lt;=92,"Transition / repositioning","P0R Reference return")))))))))</x:f>
        <x:v>P3 Changed orientation</x:v>
      </x:c>
      <x:c r="Z48" t="str">
        <x:f>IF(OR(A48&lt;=90,A48&gt;=93),"YES","NO")</x:f>
        <x:v>YES</x:v>
      </x:c>
      <x:c r="AA48" t="n">
        <x:f>H48^2</x:f>
        <x:v>0.051742145961000005</x:v>
      </x:c>
      <x:c r="AB48" t="n">
        <x:f>I48^2</x:f>
        <x:v>1.9237939660809997</x:v>
      </x:c>
      <x:c r="AC48" t="n">
        <x:f>J48^2</x:f>
        <x:v>8.812514713744</x:v>
      </x:c>
      <x:c r="AD48" t="n">
        <x:f>K48^2</x:f>
        <x:v>10.788051923289</x:v>
      </x:c>
      <x:c r="AE48" t="str">
        <x:f>IF(ABS(M48)&lt;=5,"YES","NO")</x:f>
        <x:v>NO</x:v>
      </x:c>
      <x:c r="AF48" t="str">
        <x:f>IF(ABS(M48)&lt;=2.5,"YES","NO")</x:f>
        <x:v>NO</x:v>
      </x:c>
      <x:c r="AG48" t="str">
        <x:f>IF(X48="STABLE","Stable",IF(AND(H48&gt;=0.03,T48&gt;10,OR(I48&lt;0.03,U48&lt;=10),OR(J48&lt;0.03,V48&lt;=10)),"X CV only","Multiple / non-X CV"))</x:f>
        <x:v>Stable</x:v>
      </x:c>
      <x:c r="AH48" t="str">
        <x:f>IF(Z48="NO","Excluded from pose statistics: repositioning transition","")</x:f>
      </x:c>
    </x:row>
    <x:row r="49">
      <x:c r="A49" t="n">
        <x:v>45</x:v>
      </x:c>
      <x:c r="B49" s="28" t="n">
        <x:v>88</x:v>
      </x:c>
      <x:c r="C49" t="n">
        <x:v>0</x:v>
      </x:c>
      <x:c r="D49" s="28" t="n">
        <x:v>268</x:v>
      </x:c>
      <x:c r="E49" s="28" t="n">
        <x:v>14.75</x:v>
      </x:c>
      <x:c r="F49" s="28" t="str">
        <x:v>Z</x:v>
      </x:c>
      <x:c r="G49" s="28" t="n">
        <x:v>1.2</x:v>
      </x:c>
      <x:c r="H49" s="28" t="n">
        <x:v>0.209479</x:v>
      </x:c>
      <x:c r="I49" s="28" t="n">
        <x:v>1.298926</x:v>
      </x:c>
      <x:c r="J49" s="28" t="n">
        <x:v>2.818917</x:v>
      </x:c>
      <x:c r="K49" s="28" t="n">
        <x:v>3.110849</x:v>
      </x:c>
      <x:c r="L49" s="28" t="n">
        <x:v>2.818917</x:v>
      </x:c>
      <x:c r="M49" s="28" t="n">
        <x:v>134.91</x:v>
      </x:c>
      <x:c r="N49" s="28" t="str">
        <x:v>Z</x:v>
      </x:c>
      <x:c r="O49" s="28" t="n">
        <x:v>0.453</x:v>
      </x:c>
      <x:c r="P49" s="28" t="n">
        <x:v>17.435</x:v>
      </x:c>
      <x:c r="Q49" s="28" t="n">
        <x:v>82.112</x:v>
      </x:c>
      <x:c r="R49" s="28" t="n">
        <x:v>42.239</x:v>
      </x:c>
      <x:c r="S49" s="28" t="n">
        <x:v>68.524</x:v>
      </x:c>
      <x:c r="T49" s="28" t="n">
        <x:v>2.61</x:v>
      </x:c>
      <x:c r="U49" s="28" t="n">
        <x:v>3.54</x:v>
      </x:c>
      <x:c r="V49" s="28" t="n">
        <x:v>1.91</x:v>
      </x:c>
      <x:c r="W49" t="n">
        <x:v>3</x:v>
      </x:c>
      <x:c r="X49" t="str">
        <x:v>STABLE</x:v>
      </x:c>
      <x:c r="Y49" t="str">
        <x:f>IF(A49&lt;=20,"P0 Reference A",IF(A49&lt;=30,"P1 Changed orientation",IF(A49&lt;=40,"P2 Changed orientation",IF(A49&lt;=50,"P3 Changed orientation",IF(A49&lt;=60,"P4 Changed orientation",IF(A49&lt;=70,"P5 Changed orientation",IF(A49&lt;=80,"P6 Changed orientation",IF(A49&lt;=90,"P7 Changed orientation",IF(A49&lt;=92,"Transition / repositioning","P0R Reference return")))))))))</x:f>
        <x:v>P3 Changed orientation</x:v>
      </x:c>
      <x:c r="Z49" t="str">
        <x:f>IF(OR(A49&lt;=90,A49&gt;=93),"YES","NO")</x:f>
        <x:v>YES</x:v>
      </x:c>
      <x:c r="AA49" t="n">
        <x:f>H49^2</x:f>
        <x:v>0.043881451441</x:v>
      </x:c>
      <x:c r="AB49" t="n">
        <x:f>I49^2</x:f>
        <x:v>1.687208753476</x:v>
      </x:c>
      <x:c r="AC49" t="n">
        <x:f>J49^2</x:f>
        <x:v>7.946293052889</x:v>
      </x:c>
      <x:c r="AD49" t="n">
        <x:f>K49^2</x:f>
        <x:v>9.677381500801</x:v>
      </x:c>
      <x:c r="AE49" t="str">
        <x:f>IF(ABS(M49)&lt;=5,"YES","NO")</x:f>
        <x:v>NO</x:v>
      </x:c>
      <x:c r="AF49" t="str">
        <x:f>IF(ABS(M49)&lt;=2.5,"YES","NO")</x:f>
        <x:v>NO</x:v>
      </x:c>
      <x:c r="AG49" t="str">
        <x:f>IF(X49="STABLE","Stable",IF(AND(H49&gt;=0.03,T49&gt;10,OR(I49&lt;0.03,U49&lt;=10),OR(J49&lt;0.03,V49&lt;=10)),"X CV only","Multiple / non-X CV"))</x:f>
        <x:v>Stable</x:v>
      </x:c>
      <x:c r="AH49" t="str">
        <x:f>IF(Z49="NO","Excluded from pose statistics: repositioning transition","")</x:f>
      </x:c>
    </x:row>
    <x:row r="50">
      <x:c r="A50" t="n">
        <x:v>46</x:v>
      </x:c>
      <x:c r="B50" s="28" t="n">
        <x:v>90</x:v>
      </x:c>
      <x:c r="C50" t="n">
        <x:v>0</x:v>
      </x:c>
      <x:c r="D50" s="28" t="n">
        <x:v>268</x:v>
      </x:c>
      <x:c r="E50" s="28" t="n">
        <x:v>14.75</x:v>
      </x:c>
      <x:c r="F50" s="28" t="str">
        <x:v>Z</x:v>
      </x:c>
      <x:c r="G50" s="28" t="n">
        <x:v>1.2</x:v>
      </x:c>
      <x:c r="H50" s="28" t="n">
        <x:v>0.187264</x:v>
      </x:c>
      <x:c r="I50" s="28" t="n">
        <x:v>1.194585</x:v>
      </x:c>
      <x:c r="J50" s="28" t="n">
        <x:v>2.528502</x:v>
      </x:c>
      <x:c r="K50" s="28" t="n">
        <x:v>2.802753</x:v>
      </x:c>
      <x:c r="L50" s="28" t="n">
        <x:v>2.528502</x:v>
      </x:c>
      <x:c r="M50" s="28" t="n">
        <x:v>110.709</x:v>
      </x:c>
      <x:c r="N50" s="28" t="str">
        <x:v>Z</x:v>
      </x:c>
      <x:c r="O50" s="28" t="n">
        <x:v>0.446</x:v>
      </x:c>
      <x:c r="P50" s="28" t="n">
        <x:v>18.166</x:v>
      </x:c>
      <x:c r="Q50" s="28" t="n">
        <x:v>81.387</x:v>
      </x:c>
      <x:c r="R50" s="28" t="n">
        <x:v>41.514</x:v>
      </x:c>
      <x:c r="S50" s="28" t="n">
        <x:v>51.833</x:v>
      </x:c>
      <x:c r="T50" s="28" t="n">
        <x:v>1.22</x:v>
      </x:c>
      <x:c r="U50" s="28" t="n">
        <x:v>1.13</x:v>
      </x:c>
      <x:c r="V50" s="28" t="n">
        <x:v>0.52</x:v>
      </x:c>
      <x:c r="W50" t="n">
        <x:v>3</x:v>
      </x:c>
      <x:c r="X50" t="str">
        <x:v>STABLE</x:v>
      </x:c>
      <x:c r="Y50" t="str">
        <x:f>IF(A50&lt;=20,"P0 Reference A",IF(A50&lt;=30,"P1 Changed orientation",IF(A50&lt;=40,"P2 Changed orientation",IF(A50&lt;=50,"P3 Changed orientation",IF(A50&lt;=60,"P4 Changed orientation",IF(A50&lt;=70,"P5 Changed orientation",IF(A50&lt;=80,"P6 Changed orientation",IF(A50&lt;=90,"P7 Changed orientation",IF(A50&lt;=92,"Transition / repositioning","P0R Reference return")))))))))</x:f>
        <x:v>P3 Changed orientation</x:v>
      </x:c>
      <x:c r="Z50" t="str">
        <x:f>IF(OR(A50&lt;=90,A50&gt;=93),"YES","NO")</x:f>
        <x:v>YES</x:v>
      </x:c>
      <x:c r="AA50" t="n">
        <x:f>H50^2</x:f>
        <x:v>0.03506780569600001</x:v>
      </x:c>
      <x:c r="AB50" t="n">
        <x:f>I50^2</x:f>
        <x:v>1.427033322225</x:v>
      </x:c>
      <x:c r="AC50" t="n">
        <x:f>J50^2</x:f>
        <x:v>6.393322364004</x:v>
      </x:c>
      <x:c r="AD50" t="n">
        <x:f>K50^2</x:f>
        <x:v>7.855424379009</x:v>
      </x:c>
      <x:c r="AE50" t="str">
        <x:f>IF(ABS(M50)&lt;=5,"YES","NO")</x:f>
        <x:v>NO</x:v>
      </x:c>
      <x:c r="AF50" t="str">
        <x:f>IF(ABS(M50)&lt;=2.5,"YES","NO")</x:f>
        <x:v>NO</x:v>
      </x:c>
      <x:c r="AG50" t="str">
        <x:f>IF(X50="STABLE","Stable",IF(AND(H50&gt;=0.03,T50&gt;10,OR(I50&lt;0.03,U50&lt;=10),OR(J50&lt;0.03,V50&lt;=10)),"X CV only","Multiple / non-X CV"))</x:f>
        <x:v>Stable</x:v>
      </x:c>
      <x:c r="AH50" t="str">
        <x:f>IF(Z50="NO","Excluded from pose statistics: repositioning transition","")</x:f>
      </x:c>
    </x:row>
    <x:row r="51">
      <x:c r="A51" t="n">
        <x:v>47</x:v>
      </x:c>
      <x:c r="B51" s="28" t="n">
        <x:v>92</x:v>
      </x:c>
      <x:c r="C51" t="n">
        <x:v>0</x:v>
      </x:c>
      <x:c r="D51" s="28" t="n">
        <x:v>268</x:v>
      </x:c>
      <x:c r="E51" s="28" t="n">
        <x:v>14.75</x:v>
      </x:c>
      <x:c r="F51" s="28" t="str">
        <x:v>Z</x:v>
      </x:c>
      <x:c r="G51" s="28" t="n">
        <x:v>1.2</x:v>
      </x:c>
      <x:c r="H51" s="28" t="n">
        <x:v>0.20032</x:v>
      </x:c>
      <x:c r="I51" s="28" t="n">
        <x:v>1.193699</x:v>
      </x:c>
      <x:c r="J51" s="28" t="n">
        <x:v>2.521079</x:v>
      </x:c>
      <x:c r="K51" s="28" t="n">
        <x:v>2.796584</x:v>
      </x:c>
      <x:c r="L51" s="28" t="n">
        <x:v>2.521079</x:v>
      </x:c>
      <x:c r="M51" s="28" t="n">
        <x:v>110.09</x:v>
      </x:c>
      <x:c r="N51" s="28" t="str">
        <x:v>Z</x:v>
      </x:c>
      <x:c r="O51" s="28" t="n">
        <x:v>0.513</x:v>
      </x:c>
      <x:c r="P51" s="28" t="n">
        <x:v>18.219</x:v>
      </x:c>
      <x:c r="Q51" s="28" t="n">
        <x:v>81.268</x:v>
      </x:c>
      <x:c r="R51" s="28" t="n">
        <x:v>41.428</x:v>
      </x:c>
      <x:c r="S51" s="28" t="n">
        <x:v>51.499</x:v>
      </x:c>
      <x:c r="T51" s="28" t="n">
        <x:v>16.09</x:v>
      </x:c>
      <x:c r="U51" s="28" t="n">
        <x:v>1.07</x:v>
      </x:c>
      <x:c r="V51" s="28" t="n">
        <x:v>1.41</x:v>
      </x:c>
      <x:c r="W51" t="n">
        <x:v>3</x:v>
      </x:c>
      <x:c r="X51" t="str">
        <x:v>TRANSIENT</x:v>
      </x:c>
      <x:c r="Y51" t="str">
        <x:f>IF(A51&lt;=20,"P0 Reference A",IF(A51&lt;=30,"P1 Changed orientation",IF(A51&lt;=40,"P2 Changed orientation",IF(A51&lt;=50,"P3 Changed orientation",IF(A51&lt;=60,"P4 Changed orientation",IF(A51&lt;=70,"P5 Changed orientation",IF(A51&lt;=80,"P6 Changed orientation",IF(A51&lt;=90,"P7 Changed orientation",IF(A51&lt;=92,"Transition / repositioning","P0R Reference return")))))))))</x:f>
        <x:v>P3 Changed orientation</x:v>
      </x:c>
      <x:c r="Z51" t="str">
        <x:f>IF(OR(A51&lt;=90,A51&gt;=93),"YES","NO")</x:f>
        <x:v>YES</x:v>
      </x:c>
      <x:c r="AA51" t="n">
        <x:f>H51^2</x:f>
        <x:v>0.0401281024</x:v>
      </x:c>
      <x:c r="AB51" t="n">
        <x:f>I51^2</x:f>
        <x:v>1.4249173026010002</x:v>
      </x:c>
      <x:c r="AC51" t="n">
        <x:f>J51^2</x:f>
        <x:v>6.355839324240999</x:v>
      </x:c>
      <x:c r="AD51" t="n">
        <x:f>K51^2</x:f>
        <x:v>7.820882069056001</x:v>
      </x:c>
      <x:c r="AE51" t="str">
        <x:f>IF(ABS(M51)&lt;=5,"YES","NO")</x:f>
        <x:v>NO</x:v>
      </x:c>
      <x:c r="AF51" t="str">
        <x:f>IF(ABS(M51)&lt;=2.5,"YES","NO")</x:f>
        <x:v>NO</x:v>
      </x:c>
      <x:c r="AG51" t="str">
        <x:f>IF(X51="STABLE","Stable",IF(AND(H51&gt;=0.03,T51&gt;10,OR(I51&lt;0.03,U51&lt;=10),OR(J51&lt;0.03,V51&lt;=10)),"X CV only","Multiple / non-X CV"))</x:f>
        <x:v>X CV only</x:v>
      </x:c>
      <x:c r="AH51" t="str">
        <x:f>IF(Z51="NO","Excluded from pose statistics: repositioning transition","")</x:f>
      </x:c>
    </x:row>
    <x:row r="52">
      <x:c r="A52" t="n">
        <x:v>48</x:v>
      </x:c>
      <x:c r="B52" s="28" t="n">
        <x:v>94</x:v>
      </x:c>
      <x:c r="C52" t="n">
        <x:v>0</x:v>
      </x:c>
      <x:c r="D52" s="28" t="n">
        <x:v>268</x:v>
      </x:c>
      <x:c r="E52" s="28" t="n">
        <x:v>14.75</x:v>
      </x:c>
      <x:c r="F52" s="28" t="str">
        <x:v>Z</x:v>
      </x:c>
      <x:c r="G52" s="28" t="n">
        <x:v>1.2</x:v>
      </x:c>
      <x:c r="H52" s="28" t="n">
        <x:v>0.175162</x:v>
      </x:c>
      <x:c r="I52" s="28" t="n">
        <x:v>1.219176</x:v>
      </x:c>
      <x:c r="J52" s="28" t="n">
        <x:v>2.471903</x:v>
      </x:c>
      <x:c r="K52" s="28" t="n">
        <x:v>2.76177</x:v>
      </x:c>
      <x:c r="L52" s="28" t="n">
        <x:v>2.471903</x:v>
      </x:c>
      <x:c r="M52" s="28" t="n">
        <x:v>105.992</x:v>
      </x:c>
      <x:c r="N52" s="28" t="str">
        <x:v>Z</x:v>
      </x:c>
      <x:c r="O52" s="28" t="n">
        <x:v>0.402</x:v>
      </x:c>
      <x:c r="P52" s="28" t="n">
        <x:v>19.488</x:v>
      </x:c>
      <x:c r="Q52" s="28" t="n">
        <x:v>80.11</x:v>
      </x:c>
      <x:c r="R52" s="28" t="n">
        <x:v>40.237</x:v>
      </x:c>
      <x:c r="S52" s="28" t="n">
        <x:v>49.613</x:v>
      </x:c>
      <x:c r="T52" s="28" t="n">
        <x:v>8.65</x:v>
      </x:c>
      <x:c r="U52" s="28" t="n">
        <x:v>2.2</x:v>
      </x:c>
      <x:c r="V52" s="28" t="n">
        <x:v>1.48</x:v>
      </x:c>
      <x:c r="W52" t="n">
        <x:v>3</x:v>
      </x:c>
      <x:c r="X52" t="str">
        <x:v>STABLE</x:v>
      </x:c>
      <x:c r="Y52" t="str">
        <x:f>IF(A52&lt;=20,"P0 Reference A",IF(A52&lt;=30,"P1 Changed orientation",IF(A52&lt;=40,"P2 Changed orientation",IF(A52&lt;=50,"P3 Changed orientation",IF(A52&lt;=60,"P4 Changed orientation",IF(A52&lt;=70,"P5 Changed orientation",IF(A52&lt;=80,"P6 Changed orientation",IF(A52&lt;=90,"P7 Changed orientation",IF(A52&lt;=92,"Transition / repositioning","P0R Reference return")))))))))</x:f>
        <x:v>P3 Changed orientation</x:v>
      </x:c>
      <x:c r="Z52" t="str">
        <x:f>IF(OR(A52&lt;=90,A52&gt;=93),"YES","NO")</x:f>
        <x:v>YES</x:v>
      </x:c>
      <x:c r="AA52" t="n">
        <x:f>H52^2</x:f>
        <x:v>0.030681726244000004</x:v>
      </x:c>
      <x:c r="AB52" t="n">
        <x:f>I52^2</x:f>
        <x:v>1.486390118976</x:v>
      </x:c>
      <x:c r="AC52" t="n">
        <x:f>J52^2</x:f>
        <x:v>6.110304441409001</x:v>
      </x:c>
      <x:c r="AD52" t="n">
        <x:f>K52^2</x:f>
        <x:v>7.627373532899999</x:v>
      </x:c>
      <x:c r="AE52" t="str">
        <x:f>IF(ABS(M52)&lt;=5,"YES","NO")</x:f>
        <x:v>NO</x:v>
      </x:c>
      <x:c r="AF52" t="str">
        <x:f>IF(ABS(M52)&lt;=2.5,"YES","NO")</x:f>
        <x:v>NO</x:v>
      </x:c>
      <x:c r="AG52" t="str">
        <x:f>IF(X52="STABLE","Stable",IF(AND(H52&gt;=0.03,T52&gt;10,OR(I52&lt;0.03,U52&lt;=10),OR(J52&lt;0.03,V52&lt;=10)),"X CV only","Multiple / non-X CV"))</x:f>
        <x:v>Stable</x:v>
      </x:c>
      <x:c r="AH52" t="str">
        <x:f>IF(Z52="NO","Excluded from pose statistics: repositioning transition","")</x:f>
      </x:c>
    </x:row>
    <x:row r="53">
      <x:c r="A53" t="n">
        <x:v>49</x:v>
      </x:c>
      <x:c r="B53" s="28" t="n">
        <x:v>96.001</x:v>
      </x:c>
      <x:c r="C53" t="n">
        <x:v>0</x:v>
      </x:c>
      <x:c r="D53" s="28" t="n">
        <x:v>268</x:v>
      </x:c>
      <x:c r="E53" s="28" t="n">
        <x:v>14.75</x:v>
      </x:c>
      <x:c r="F53" s="28" t="str">
        <x:v>Z</x:v>
      </x:c>
      <x:c r="G53" s="28" t="n">
        <x:v>1.2</x:v>
      </x:c>
      <x:c r="H53" s="28" t="n">
        <x:v>0.182295</x:v>
      </x:c>
      <x:c r="I53" s="28" t="n">
        <x:v>1.208786</x:v>
      </x:c>
      <x:c r="J53" s="28" t="n">
        <x:v>2.514642</x:v>
      </x:c>
      <x:c r="K53" s="28" t="n">
        <x:v>2.796036</x:v>
      </x:c>
      <x:c r="L53" s="28" t="n">
        <x:v>2.514642</x:v>
      </x:c>
      <x:c r="M53" s="28" t="n">
        <x:v>109.553</x:v>
      </x:c>
      <x:c r="N53" s="28" t="str">
        <x:v>Z</x:v>
      </x:c>
      <x:c r="O53" s="28" t="n">
        <x:v>0.425</x:v>
      </x:c>
      <x:c r="P53" s="28" t="n">
        <x:v>18.69</x:v>
      </x:c>
      <x:c r="Q53" s="28" t="n">
        <x:v>80.885</x:v>
      </x:c>
      <x:c r="R53" s="28" t="n">
        <x:v>41.012</x:v>
      </x:c>
      <x:c r="S53" s="28" t="n">
        <x:v>51.469</x:v>
      </x:c>
      <x:c r="T53" s="28" t="n">
        <x:v>10.43</x:v>
      </x:c>
      <x:c r="U53" s="28" t="n">
        <x:v>1.82</x:v>
      </x:c>
      <x:c r="V53" s="28" t="n">
        <x:v>0.5</x:v>
      </x:c>
      <x:c r="W53" t="n">
        <x:v>3</x:v>
      </x:c>
      <x:c r="X53" t="str">
        <x:v>TRANSIENT</x:v>
      </x:c>
      <x:c r="Y53" t="str">
        <x:f>IF(A53&lt;=20,"P0 Reference A",IF(A53&lt;=30,"P1 Changed orientation",IF(A53&lt;=40,"P2 Changed orientation",IF(A53&lt;=50,"P3 Changed orientation",IF(A53&lt;=60,"P4 Changed orientation",IF(A53&lt;=70,"P5 Changed orientation",IF(A53&lt;=80,"P6 Changed orientation",IF(A53&lt;=90,"P7 Changed orientation",IF(A53&lt;=92,"Transition / repositioning","P0R Reference return")))))))))</x:f>
        <x:v>P3 Changed orientation</x:v>
      </x:c>
      <x:c r="Z53" t="str">
        <x:f>IF(OR(A53&lt;=90,A53&gt;=93),"YES","NO")</x:f>
        <x:v>YES</x:v>
      </x:c>
      <x:c r="AA53" t="n">
        <x:f>H53^2</x:f>
        <x:v>0.033231467025</x:v>
      </x:c>
      <x:c r="AB53" t="n">
        <x:f>I53^2</x:f>
        <x:v>1.4611635937959997</x:v>
      </x:c>
      <x:c r="AC53" t="n">
        <x:f>J53^2</x:f>
        <x:v>6.323424388163999</x:v>
      </x:c>
      <x:c r="AD53" t="n">
        <x:f>K53^2</x:f>
        <x:v>7.817817313296</x:v>
      </x:c>
      <x:c r="AE53" t="str">
        <x:f>IF(ABS(M53)&lt;=5,"YES","NO")</x:f>
        <x:v>NO</x:v>
      </x:c>
      <x:c r="AF53" t="str">
        <x:f>IF(ABS(M53)&lt;=2.5,"YES","NO")</x:f>
        <x:v>NO</x:v>
      </x:c>
      <x:c r="AG53" t="str">
        <x:f>IF(X53="STABLE","Stable",IF(AND(H53&gt;=0.03,T53&gt;10,OR(I53&lt;0.03,U53&lt;=10),OR(J53&lt;0.03,V53&lt;=10)),"X CV only","Multiple / non-X CV"))</x:f>
        <x:v>X CV only</x:v>
      </x:c>
      <x:c r="AH53" t="str">
        <x:f>IF(Z53="NO","Excluded from pose statistics: repositioning transition","")</x:f>
      </x:c>
    </x:row>
    <x:row r="54">
      <x:c r="A54" t="n">
        <x:v>50</x:v>
      </x:c>
      <x:c r="B54" s="28" t="n">
        <x:v>98</x:v>
      </x:c>
      <x:c r="C54" t="n">
        <x:v>0</x:v>
      </x:c>
      <x:c r="D54" s="28" t="n">
        <x:v>268</x:v>
      </x:c>
      <x:c r="E54" s="28" t="n">
        <x:v>14.75</x:v>
      </x:c>
      <x:c r="F54" s="28" t="str">
        <x:v>Z</x:v>
      </x:c>
      <x:c r="G54" s="28" t="n">
        <x:v>1.2</x:v>
      </x:c>
      <x:c r="H54" s="28" t="n">
        <x:v>0.173847</x:v>
      </x:c>
      <x:c r="I54" s="28" t="n">
        <x:v>1.224151</x:v>
      </x:c>
      <x:c r="J54" s="28" t="n">
        <x:v>2.49808</x:v>
      </x:c>
      <x:c r="K54" s="28" t="n">
        <x:v>2.787323</x:v>
      </x:c>
      <x:c r="L54" s="28" t="n">
        <x:v>2.49808</x:v>
      </x:c>
      <x:c r="M54" s="28" t="n">
        <x:v>108.173</x:v>
      </x:c>
      <x:c r="N54" s="28" t="str">
        <x:v>Z</x:v>
      </x:c>
      <x:c r="O54" s="28" t="n">
        <x:v>0.389</x:v>
      </x:c>
      <x:c r="P54" s="28" t="n">
        <x:v>19.288</x:v>
      </x:c>
      <x:c r="Q54" s="28" t="n">
        <x:v>80.323</x:v>
      </x:c>
      <x:c r="R54" s="28" t="n">
        <x:v>40.449</x:v>
      </x:c>
      <x:c r="S54" s="28" t="n">
        <x:v>50.997</x:v>
      </x:c>
      <x:c r="T54" s="28" t="n">
        <x:v>7.8</x:v>
      </x:c>
      <x:c r="U54" s="28" t="n">
        <x:v>2.9</x:v>
      </x:c>
      <x:c r="V54" s="28" t="n">
        <x:v>0.72</x:v>
      </x:c>
      <x:c r="W54" t="n">
        <x:v>3</x:v>
      </x:c>
      <x:c r="X54" t="str">
        <x:v>STABLE</x:v>
      </x:c>
      <x:c r="Y54" t="str">
        <x:f>IF(A54&lt;=20,"P0 Reference A",IF(A54&lt;=30,"P1 Changed orientation",IF(A54&lt;=40,"P2 Changed orientation",IF(A54&lt;=50,"P3 Changed orientation",IF(A54&lt;=60,"P4 Changed orientation",IF(A54&lt;=70,"P5 Changed orientation",IF(A54&lt;=80,"P6 Changed orientation",IF(A54&lt;=90,"P7 Changed orientation",IF(A54&lt;=92,"Transition / repositioning","P0R Reference return")))))))))</x:f>
        <x:v>P3 Changed orientation</x:v>
      </x:c>
      <x:c r="Z54" t="str">
        <x:f>IF(OR(A54&lt;=90,A54&gt;=93),"YES","NO")</x:f>
        <x:v>YES</x:v>
      </x:c>
      <x:c r="AA54" t="n">
        <x:f>H54^2</x:f>
        <x:v>0.030222779409000002</x:v>
      </x:c>
      <x:c r="AB54" t="n">
        <x:f>I54^2</x:f>
        <x:v>1.4985456708009999</x:v>
      </x:c>
      <x:c r="AC54" t="n">
        <x:f>J54^2</x:f>
        <x:v>6.2404036864</x:v>
      </x:c>
      <x:c r="AD54" t="n">
        <x:f>K54^2</x:f>
        <x:v>7.769169506329002</x:v>
      </x:c>
      <x:c r="AE54" t="str">
        <x:f>IF(ABS(M54)&lt;=5,"YES","NO")</x:f>
        <x:v>NO</x:v>
      </x:c>
      <x:c r="AF54" t="str">
        <x:f>IF(ABS(M54)&lt;=2.5,"YES","NO")</x:f>
        <x:v>NO</x:v>
      </x:c>
      <x:c r="AG54" t="str">
        <x:f>IF(X54="STABLE","Stable",IF(AND(H54&gt;=0.03,T54&gt;10,OR(I54&lt;0.03,U54&lt;=10),OR(J54&lt;0.03,V54&lt;=10)),"X CV only","Multiple / non-X CV"))</x:f>
        <x:v>Stable</x:v>
      </x:c>
      <x:c r="AH54" t="str">
        <x:f>IF(Z54="NO","Excluded from pose statistics: repositioning transition","")</x:f>
      </x:c>
    </x:row>
    <x:row r="55">
      <x:c r="A55" t="n">
        <x:v>51</x:v>
      </x:c>
      <x:c r="B55" s="28" t="n">
        <x:v>100.001</x:v>
      </x:c>
      <x:c r="C55" t="n">
        <x:v>0</x:v>
      </x:c>
      <x:c r="D55" s="28" t="n">
        <x:v>268</x:v>
      </x:c>
      <x:c r="E55" s="28" t="n">
        <x:v>14.75</x:v>
      </x:c>
      <x:c r="F55" s="28" t="str">
        <x:v>Z</x:v>
      </x:c>
      <x:c r="G55" s="28" t="n">
        <x:v>1.2</x:v>
      </x:c>
      <x:c r="H55" s="28" t="n">
        <x:v>0.054364</x:v>
      </x:c>
      <x:c r="I55" s="28" t="n">
        <x:v>1.282266</x:v>
      </x:c>
      <x:c r="J55" s="28" t="n">
        <x:v>2.349992</x:v>
      </x:c>
      <x:c r="K55" s="28" t="n">
        <x:v>2.677615</x:v>
      </x:c>
      <x:c r="L55" s="28" t="n">
        <x:v>2.349992</x:v>
      </x:c>
      <x:c r="M55" s="28" t="n">
        <x:v>95.833</x:v>
      </x:c>
      <x:c r="N55" s="28" t="str">
        <x:v>Z</x:v>
      </x:c>
      <x:c r="O55" s="28" t="n">
        <x:v>0.041</x:v>
      </x:c>
      <x:c r="P55" s="28" t="n">
        <x:v>22.933</x:v>
      </x:c>
      <x:c r="Q55" s="28" t="n">
        <x:v>77.026</x:v>
      </x:c>
      <x:c r="R55" s="28" t="n">
        <x:v>37.153</x:v>
      </x:c>
      <x:c r="S55" s="28" t="n">
        <x:v>45.054</x:v>
      </x:c>
      <x:c r="T55" s="28" t="n">
        <x:v>46.12</x:v>
      </x:c>
      <x:c r="U55" s="28" t="n">
        <x:v>1.57</x:v>
      </x:c>
      <x:c r="V55" s="28" t="n">
        <x:v>2.66</x:v>
      </x:c>
      <x:c r="W55" t="n">
        <x:v>3</x:v>
      </x:c>
      <x:c r="X55" t="str">
        <x:v>TRANSIENT</x:v>
      </x:c>
      <x:c r="Y55" t="str">
        <x:f>IF(A55&lt;=20,"P0 Reference A",IF(A55&lt;=30,"P1 Changed orientation",IF(A55&lt;=40,"P2 Changed orientation",IF(A55&lt;=50,"P3 Changed orientation",IF(A55&lt;=60,"P4 Changed orientation",IF(A55&lt;=70,"P5 Changed orientation",IF(A55&lt;=80,"P6 Changed orientation",IF(A55&lt;=90,"P7 Changed orientation",IF(A55&lt;=92,"Transition / repositioning","P0R Reference return")))))))))</x:f>
        <x:v>P4 Changed orientation</x:v>
      </x:c>
      <x:c r="Z55" t="str">
        <x:f>IF(OR(A55&lt;=90,A55&gt;=93),"YES","NO")</x:f>
        <x:v>YES</x:v>
      </x:c>
      <x:c r="AA55" t="n">
        <x:f>H55^2</x:f>
        <x:v>0.0029554444960000004</x:v>
      </x:c>
      <x:c r="AB55" t="n">
        <x:f>I55^2</x:f>
        <x:v>1.6442060947559998</x:v>
      </x:c>
      <x:c r="AC55" t="n">
        <x:f>J55^2</x:f>
        <x:v>5.522462400064</x:v>
      </x:c>
      <x:c r="AD55" t="n">
        <x:f>K55^2</x:f>
        <x:v>7.169622088224999</x:v>
      </x:c>
      <x:c r="AE55" t="str">
        <x:f>IF(ABS(M55)&lt;=5,"YES","NO")</x:f>
        <x:v>NO</x:v>
      </x:c>
      <x:c r="AF55" t="str">
        <x:f>IF(ABS(M55)&lt;=2.5,"YES","NO")</x:f>
        <x:v>NO</x:v>
      </x:c>
      <x:c r="AG55" t="str">
        <x:f>IF(X55="STABLE","Stable",IF(AND(H55&gt;=0.03,T55&gt;10,OR(I55&lt;0.03,U55&lt;=10),OR(J55&lt;0.03,V55&lt;=10)),"X CV only","Multiple / non-X CV"))</x:f>
        <x:v>X CV only</x:v>
      </x:c>
      <x:c r="AH55" t="str">
        <x:f>IF(Z55="NO","Excluded from pose statistics: repositioning transition","")</x:f>
      </x:c>
    </x:row>
    <x:row r="56">
      <x:c r="A56" t="n">
        <x:v>52</x:v>
      </x:c>
      <x:c r="B56" s="28" t="n">
        <x:v>102</x:v>
      </x:c>
      <x:c r="C56" t="n">
        <x:v>0</x:v>
      </x:c>
      <x:c r="D56" s="28" t="n">
        <x:v>268</x:v>
      </x:c>
      <x:c r="E56" s="28" t="n">
        <x:v>14.75</x:v>
      </x:c>
      <x:c r="F56" s="28" t="str">
        <x:v>Z</x:v>
      </x:c>
      <x:c r="G56" s="28" t="n">
        <x:v>1.2</x:v>
      </x:c>
      <x:c r="H56" s="28" t="n">
        <x:v>0.049647</x:v>
      </x:c>
      <x:c r="I56" s="28" t="n">
        <x:v>1.047143</x:v>
      </x:c>
      <x:c r="J56" s="28" t="n">
        <x:v>1.821448</x:v>
      </x:c>
      <x:c r="K56" s="28" t="n">
        <x:v>2.101581</x:v>
      </x:c>
      <x:c r="L56" s="28" t="n">
        <x:v>1.821448</x:v>
      </x:c>
      <x:c r="M56" s="28" t="n">
        <x:v>51.787</x:v>
      </x:c>
      <x:c r="N56" s="28" t="str">
        <x:v>Z</x:v>
      </x:c>
      <x:c r="O56" s="28" t="n">
        <x:v>0.056</x:v>
      </x:c>
      <x:c r="P56" s="28" t="n">
        <x:v>24.827</x:v>
      </x:c>
      <x:c r="Q56" s="28" t="n">
        <x:v>75.117</x:v>
      </x:c>
      <x:c r="R56" s="28" t="n">
        <x:v>35.244</x:v>
      </x:c>
      <x:c r="S56" s="28" t="n">
        <x:v>13.849</x:v>
      </x:c>
      <x:c r="T56" s="28" t="n">
        <x:v>50.44</x:v>
      </x:c>
      <x:c r="U56" s="28" t="n">
        <x:v>3.39</x:v>
      </x:c>
      <x:c r="V56" s="28" t="n">
        <x:v>5.7</x:v>
      </x:c>
      <x:c r="W56" t="n">
        <x:v>3</x:v>
      </x:c>
      <x:c r="X56" t="str">
        <x:v>TRANSIENT</x:v>
      </x:c>
      <x:c r="Y56" t="str">
        <x:f>IF(A56&lt;=20,"P0 Reference A",IF(A56&lt;=30,"P1 Changed orientation",IF(A56&lt;=40,"P2 Changed orientation",IF(A56&lt;=50,"P3 Changed orientation",IF(A56&lt;=60,"P4 Changed orientation",IF(A56&lt;=70,"P5 Changed orientation",IF(A56&lt;=80,"P6 Changed orientation",IF(A56&lt;=90,"P7 Changed orientation",IF(A56&lt;=92,"Transition / repositioning","P0R Reference return")))))))))</x:f>
        <x:v>P4 Changed orientation</x:v>
      </x:c>
      <x:c r="Z56" t="str">
        <x:f>IF(OR(A56&lt;=90,A56&gt;=93),"YES","NO")</x:f>
        <x:v>YES</x:v>
      </x:c>
      <x:c r="AA56" t="n">
        <x:f>H56^2</x:f>
        <x:v>0.0024648246089999997</x:v>
      </x:c>
      <x:c r="AB56" t="n">
        <x:f>I56^2</x:f>
        <x:v>1.0965084624489998</x:v>
      </x:c>
      <x:c r="AC56" t="n">
        <x:f>J56^2</x:f>
        <x:v>3.317672816704</x:v>
      </x:c>
      <x:c r="AD56" t="n">
        <x:f>K56^2</x:f>
        <x:v>4.416642699561</x:v>
      </x:c>
      <x:c r="AE56" t="str">
        <x:f>IF(ABS(M56)&lt;=5,"YES","NO")</x:f>
        <x:v>NO</x:v>
      </x:c>
      <x:c r="AF56" t="str">
        <x:f>IF(ABS(M56)&lt;=2.5,"YES","NO")</x:f>
        <x:v>NO</x:v>
      </x:c>
      <x:c r="AG56" t="str">
        <x:f>IF(X56="STABLE","Stable",IF(AND(H56&gt;=0.03,T56&gt;10,OR(I56&lt;0.03,U56&lt;=10),OR(J56&lt;0.03,V56&lt;=10)),"X CV only","Multiple / non-X CV"))</x:f>
        <x:v>X CV only</x:v>
      </x:c>
      <x:c r="AH56" t="str">
        <x:f>IF(Z56="NO","Excluded from pose statistics: repositioning transition","")</x:f>
      </x:c>
    </x:row>
    <x:row r="57">
      <x:c r="A57" t="n">
        <x:v>53</x:v>
      </x:c>
      <x:c r="B57" s="28" t="n">
        <x:v>104</x:v>
      </x:c>
      <x:c r="C57" t="n">
        <x:v>0</x:v>
      </x:c>
      <x:c r="D57" s="28" t="n">
        <x:v>268</x:v>
      </x:c>
      <x:c r="E57" s="28" t="n">
        <x:v>14.75</x:v>
      </x:c>
      <x:c r="F57" s="28" t="str">
        <x:v>Z</x:v>
      </x:c>
      <x:c r="G57" s="28" t="n">
        <x:v>1.2</x:v>
      </x:c>
      <x:c r="H57" s="28" t="n">
        <x:v>0.063384</x:v>
      </x:c>
      <x:c r="I57" s="28" t="n">
        <x:v>1.044336</x:v>
      </x:c>
      <x:c r="J57" s="28" t="n">
        <x:v>1.829295</x:v>
      </x:c>
      <x:c r="K57" s="28" t="n">
        <x:v>2.107362</x:v>
      </x:c>
      <x:c r="L57" s="28" t="n">
        <x:v>1.829295</x:v>
      </x:c>
      <x:c r="M57" s="28" t="n">
        <x:v>52.441</x:v>
      </x:c>
      <x:c r="N57" s="28" t="str">
        <x:v>Z</x:v>
      </x:c>
      <x:c r="O57" s="28" t="n">
        <x:v>0.09</x:v>
      </x:c>
      <x:c r="P57" s="28" t="n">
        <x:v>24.558</x:v>
      </x:c>
      <x:c r="Q57" s="28" t="n">
        <x:v>75.351</x:v>
      </x:c>
      <x:c r="R57" s="28" t="n">
        <x:v>35.478</x:v>
      </x:c>
      <x:c r="S57" s="28" t="n">
        <x:v>14.162</x:v>
      </x:c>
      <x:c r="T57" s="28" t="n">
        <x:v>20.9</x:v>
      </x:c>
      <x:c r="U57" s="28" t="n">
        <x:v>2.18</x:v>
      </x:c>
      <x:c r="V57" s="28" t="n">
        <x:v>1.59</x:v>
      </x:c>
      <x:c r="W57" t="n">
        <x:v>3</x:v>
      </x:c>
      <x:c r="X57" t="str">
        <x:v>TRANSIENT</x:v>
      </x:c>
      <x:c r="Y57" t="str">
        <x:f>IF(A57&lt;=20,"P0 Reference A",IF(A57&lt;=30,"P1 Changed orientation",IF(A57&lt;=40,"P2 Changed orientation",IF(A57&lt;=50,"P3 Changed orientation",IF(A57&lt;=60,"P4 Changed orientation",IF(A57&lt;=70,"P5 Changed orientation",IF(A57&lt;=80,"P6 Changed orientation",IF(A57&lt;=90,"P7 Changed orientation",IF(A57&lt;=92,"Transition / repositioning","P0R Reference return")))))))))</x:f>
        <x:v>P4 Changed orientation</x:v>
      </x:c>
      <x:c r="Z57" t="str">
        <x:f>IF(OR(A57&lt;=90,A57&gt;=93),"YES","NO")</x:f>
        <x:v>YES</x:v>
      </x:c>
      <x:c r="AA57" t="n">
        <x:f>H57^2</x:f>
        <x:v>0.0040175314559999994</x:v>
      </x:c>
      <x:c r="AB57" t="n">
        <x:f>I57^2</x:f>
        <x:v>1.0906376808959999</x:v>
      </x:c>
      <x:c r="AC57" t="n">
        <x:f>J57^2</x:f>
        <x:v>3.346320197025</x:v>
      </x:c>
      <x:c r="AD57" t="n">
        <x:f>K57^2</x:f>
        <x:v>4.440974599044001</x:v>
      </x:c>
      <x:c r="AE57" t="str">
        <x:f>IF(ABS(M57)&lt;=5,"YES","NO")</x:f>
        <x:v>NO</x:v>
      </x:c>
      <x:c r="AF57" t="str">
        <x:f>IF(ABS(M57)&lt;=2.5,"YES","NO")</x:f>
        <x:v>NO</x:v>
      </x:c>
      <x:c r="AG57" t="str">
        <x:f>IF(X57="STABLE","Stable",IF(AND(H57&gt;=0.03,T57&gt;10,OR(I57&lt;0.03,U57&lt;=10),OR(J57&lt;0.03,V57&lt;=10)),"X CV only","Multiple / non-X CV"))</x:f>
        <x:v>X CV only</x:v>
      </x:c>
      <x:c r="AH57" t="str">
        <x:f>IF(Z57="NO","Excluded from pose statistics: repositioning transition","")</x:f>
      </x:c>
    </x:row>
    <x:row r="58">
      <x:c r="A58" t="n">
        <x:v>54</x:v>
      </x:c>
      <x:c r="B58" s="28" t="n">
        <x:v>106</x:v>
      </x:c>
      <x:c r="C58" t="n">
        <x:v>0</x:v>
      </x:c>
      <x:c r="D58" s="28" t="n">
        <x:v>268</x:v>
      </x:c>
      <x:c r="E58" s="28" t="n">
        <x:v>14.75</x:v>
      </x:c>
      <x:c r="F58" s="28" t="str">
        <x:v>Z</x:v>
      </x:c>
      <x:c r="G58" s="28" t="n">
        <x:v>1.2</x:v>
      </x:c>
      <x:c r="H58" s="28" t="n">
        <x:v>0.073333</x:v>
      </x:c>
      <x:c r="I58" s="28" t="n">
        <x:v>1.079138</x:v>
      </x:c>
      <x:c r="J58" s="28" t="n">
        <x:v>1.830704</x:v>
      </x:c>
      <x:c r="K58" s="28" t="n">
        <x:v>2.126356</x:v>
      </x:c>
      <x:c r="L58" s="28" t="n">
        <x:v>1.830704</x:v>
      </x:c>
      <x:c r="M58" s="28" t="n">
        <x:v>52.559</x:v>
      </x:c>
      <x:c r="N58" s="28" t="str">
        <x:v>Z</x:v>
      </x:c>
      <x:c r="O58" s="28" t="n">
        <x:v>0.119</x:v>
      </x:c>
      <x:c r="P58" s="28" t="n">
        <x:v>25.756</x:v>
      </x:c>
      <x:c r="Q58" s="28" t="n">
        <x:v>74.125</x:v>
      </x:c>
      <x:c r="R58" s="28" t="n">
        <x:v>34.252</x:v>
      </x:c>
      <x:c r="S58" s="28" t="n">
        <x:v>15.191</x:v>
      </x:c>
      <x:c r="T58" s="28" t="n">
        <x:v>28.27</x:v>
      </x:c>
      <x:c r="U58" s="28" t="n">
        <x:v>0.86</x:v>
      </x:c>
      <x:c r="V58" s="28" t="n">
        <x:v>0.8</x:v>
      </x:c>
      <x:c r="W58" t="n">
        <x:v>3</x:v>
      </x:c>
      <x:c r="X58" t="str">
        <x:v>TRANSIENT</x:v>
      </x:c>
      <x:c r="Y58" t="str">
        <x:f>IF(A58&lt;=20,"P0 Reference A",IF(A58&lt;=30,"P1 Changed orientation",IF(A58&lt;=40,"P2 Changed orientation",IF(A58&lt;=50,"P3 Changed orientation",IF(A58&lt;=60,"P4 Changed orientation",IF(A58&lt;=70,"P5 Changed orientation",IF(A58&lt;=80,"P6 Changed orientation",IF(A58&lt;=90,"P7 Changed orientation",IF(A58&lt;=92,"Transition / repositioning","P0R Reference return")))))))))</x:f>
        <x:v>P4 Changed orientation</x:v>
      </x:c>
      <x:c r="Z58" t="str">
        <x:f>IF(OR(A58&lt;=90,A58&gt;=93),"YES","NO")</x:f>
        <x:v>YES</x:v>
      </x:c>
      <x:c r="AA58" t="n">
        <x:f>H58^2</x:f>
        <x:v>0.0053777288889999995</x:v>
      </x:c>
      <x:c r="AB58" t="n">
        <x:f>I58^2</x:f>
        <x:v>1.164538823044</x:v>
      </x:c>
      <x:c r="AC58" t="n">
        <x:f>J58^2</x:f>
        <x:v>3.3514771356160002</x:v>
      </x:c>
      <x:c r="AD58" t="n">
        <x:f>K58^2</x:f>
        <x:v>4.521389838736</x:v>
      </x:c>
      <x:c r="AE58" t="str">
        <x:f>IF(ABS(M58)&lt;=5,"YES","NO")</x:f>
        <x:v>NO</x:v>
      </x:c>
      <x:c r="AF58" t="str">
        <x:f>IF(ABS(M58)&lt;=2.5,"YES","NO")</x:f>
        <x:v>NO</x:v>
      </x:c>
      <x:c r="AG58" t="str">
        <x:f>IF(X58="STABLE","Stable",IF(AND(H58&gt;=0.03,T58&gt;10,OR(I58&lt;0.03,U58&lt;=10),OR(J58&lt;0.03,V58&lt;=10)),"X CV only","Multiple / non-X CV"))</x:f>
        <x:v>X CV only</x:v>
      </x:c>
      <x:c r="AH58" t="str">
        <x:f>IF(Z58="NO","Excluded from pose statistics: repositioning transition","")</x:f>
      </x:c>
    </x:row>
    <x:row r="59">
      <x:c r="A59" t="n">
        <x:v>55</x:v>
      </x:c>
      <x:c r="B59" s="28" t="n">
        <x:v>108</x:v>
      </x:c>
      <x:c r="C59" t="n">
        <x:v>0</x:v>
      </x:c>
      <x:c r="D59" s="28" t="n">
        <x:v>268</x:v>
      </x:c>
      <x:c r="E59" s="28" t="n">
        <x:v>14.75</x:v>
      </x:c>
      <x:c r="F59" s="28" t="str">
        <x:v>Z</x:v>
      </x:c>
      <x:c r="G59" s="28" t="n">
        <x:v>1.2</x:v>
      </x:c>
      <x:c r="H59" s="28" t="n">
        <x:v>0.069688</x:v>
      </x:c>
      <x:c r="I59" s="28" t="n">
        <x:v>1.063481</x:v>
      </x:c>
      <x:c r="J59" s="28" t="n">
        <x:v>1.877101</x:v>
      </x:c>
      <x:c r="K59" s="28" t="n">
        <x:v>2.158555</x:v>
      </x:c>
      <x:c r="L59" s="28" t="n">
        <x:v>1.877101</x:v>
      </x:c>
      <x:c r="M59" s="28" t="n">
        <x:v>56.425</x:v>
      </x:c>
      <x:c r="N59" s="28" t="str">
        <x:v>Z</x:v>
      </x:c>
      <x:c r="O59" s="28" t="n">
        <x:v>0.104</x:v>
      </x:c>
      <x:c r="P59" s="28" t="n">
        <x:v>24.274</x:v>
      </x:c>
      <x:c r="Q59" s="28" t="n">
        <x:v>75.622</x:v>
      </x:c>
      <x:c r="R59" s="28" t="n">
        <x:v>35.749</x:v>
      </x:c>
      <x:c r="S59" s="28" t="n">
        <x:v>16.935</x:v>
      </x:c>
      <x:c r="T59" s="28" t="n">
        <x:v>35.18</x:v>
      </x:c>
      <x:c r="U59" s="28" t="n">
        <x:v>0.78</x:v>
      </x:c>
      <x:c r="V59" s="28" t="n">
        <x:v>1.67</x:v>
      </x:c>
      <x:c r="W59" t="n">
        <x:v>3</x:v>
      </x:c>
      <x:c r="X59" t="str">
        <x:v>TRANSIENT</x:v>
      </x:c>
      <x:c r="Y59" t="str">
        <x:f>IF(A59&lt;=20,"P0 Reference A",IF(A59&lt;=30,"P1 Changed orientation",IF(A59&lt;=40,"P2 Changed orientation",IF(A59&lt;=50,"P3 Changed orientation",IF(A59&lt;=60,"P4 Changed orientation",IF(A59&lt;=70,"P5 Changed orientation",IF(A59&lt;=80,"P6 Changed orientation",IF(A59&lt;=90,"P7 Changed orientation",IF(A59&lt;=92,"Transition / repositioning","P0R Reference return")))))))))</x:f>
        <x:v>P4 Changed orientation</x:v>
      </x:c>
      <x:c r="Z59" t="str">
        <x:f>IF(OR(A59&lt;=90,A59&gt;=93),"YES","NO")</x:f>
        <x:v>YES</x:v>
      </x:c>
      <x:c r="AA59" t="n">
        <x:f>H59^2</x:f>
        <x:v>0.004856417344</x:v>
      </x:c>
      <x:c r="AB59" t="n">
        <x:f>I59^2</x:f>
        <x:v>1.1309918373609997</x:v>
      </x:c>
      <x:c r="AC59" t="n">
        <x:f>J59^2</x:f>
        <x:v>3.5235081642009995</x:v>
      </x:c>
      <x:c r="AD59" t="n">
        <x:f>K59^2</x:f>
        <x:v>4.659359688024999</x:v>
      </x:c>
      <x:c r="AE59" t="str">
        <x:f>IF(ABS(M59)&lt;=5,"YES","NO")</x:f>
        <x:v>NO</x:v>
      </x:c>
      <x:c r="AF59" t="str">
        <x:f>IF(ABS(M59)&lt;=2.5,"YES","NO")</x:f>
        <x:v>NO</x:v>
      </x:c>
      <x:c r="AG59" t="str">
        <x:f>IF(X59="STABLE","Stable",IF(AND(H59&gt;=0.03,T59&gt;10,OR(I59&lt;0.03,U59&lt;=10),OR(J59&lt;0.03,V59&lt;=10)),"X CV only","Multiple / non-X CV"))</x:f>
        <x:v>X CV only</x:v>
      </x:c>
      <x:c r="AH59" t="str">
        <x:f>IF(Z59="NO","Excluded from pose statistics: repositioning transition","")</x:f>
      </x:c>
    </x:row>
    <x:row r="60">
      <x:c r="A60" t="n">
        <x:v>56</x:v>
      </x:c>
      <x:c r="B60" s="28" t="n">
        <x:v>110</x:v>
      </x:c>
      <x:c r="C60" t="n">
        <x:v>0</x:v>
      </x:c>
      <x:c r="D60" s="28" t="n">
        <x:v>268</x:v>
      </x:c>
      <x:c r="E60" s="28" t="n">
        <x:v>14.75</x:v>
      </x:c>
      <x:c r="F60" s="28" t="str">
        <x:v>Z</x:v>
      </x:c>
      <x:c r="G60" s="28" t="n">
        <x:v>1.2</x:v>
      </x:c>
      <x:c r="H60" s="28" t="n">
        <x:v>0.07065</x:v>
      </x:c>
      <x:c r="I60" s="28" t="n">
        <x:v>1.057925</x:v>
      </x:c>
      <x:c r="J60" s="28" t="n">
        <x:v>1.920326</x:v>
      </x:c>
      <x:c r="K60" s="28" t="n">
        <x:v>2.193592</x:v>
      </x:c>
      <x:c r="L60" s="28" t="n">
        <x:v>1.920326</x:v>
      </x:c>
      <x:c r="M60" s="28" t="n">
        <x:v>60.027</x:v>
      </x:c>
      <x:c r="N60" s="28" t="str">
        <x:v>Z</x:v>
      </x:c>
      <x:c r="O60" s="28" t="n">
        <x:v>0.104</x:v>
      </x:c>
      <x:c r="P60" s="28" t="n">
        <x:v>23.259</x:v>
      </x:c>
      <x:c r="Q60" s="28" t="n">
        <x:v>76.637</x:v>
      </x:c>
      <x:c r="R60" s="28" t="n">
        <x:v>36.764</x:v>
      </x:c>
      <x:c r="S60" s="28" t="n">
        <x:v>18.833</x:v>
      </x:c>
      <x:c r="T60" s="28" t="n">
        <x:v>9.21</x:v>
      </x:c>
      <x:c r="U60" s="28" t="n">
        <x:v>0.72</x:v>
      </x:c>
      <x:c r="V60" s="28" t="n">
        <x:v>0.69</x:v>
      </x:c>
      <x:c r="W60" t="n">
        <x:v>3</x:v>
      </x:c>
      <x:c r="X60" t="str">
        <x:v>STABLE</x:v>
      </x:c>
      <x:c r="Y60" t="str">
        <x:f>IF(A60&lt;=20,"P0 Reference A",IF(A60&lt;=30,"P1 Changed orientation",IF(A60&lt;=40,"P2 Changed orientation",IF(A60&lt;=50,"P3 Changed orientation",IF(A60&lt;=60,"P4 Changed orientation",IF(A60&lt;=70,"P5 Changed orientation",IF(A60&lt;=80,"P6 Changed orientation",IF(A60&lt;=90,"P7 Changed orientation",IF(A60&lt;=92,"Transition / repositioning","P0R Reference return")))))))))</x:f>
        <x:v>P4 Changed orientation</x:v>
      </x:c>
      <x:c r="Z60" t="str">
        <x:f>IF(OR(A60&lt;=90,A60&gt;=93),"YES","NO")</x:f>
        <x:v>YES</x:v>
      </x:c>
      <x:c r="AA60" t="n">
        <x:f>H60^2</x:f>
        <x:v>0.0049914225</x:v>
      </x:c>
      <x:c r="AB60" t="n">
        <x:f>I60^2</x:f>
        <x:v>1.119205305625</x:v>
      </x:c>
      <x:c r="AC60" t="n">
        <x:f>J60^2</x:f>
        <x:v>3.687651946276</x:v>
      </x:c>
      <x:c r="AD60" t="n">
        <x:f>K60^2</x:f>
        <x:v>4.811845862464001</x:v>
      </x:c>
      <x:c r="AE60" t="str">
        <x:f>IF(ABS(M60)&lt;=5,"YES","NO")</x:f>
        <x:v>NO</x:v>
      </x:c>
      <x:c r="AF60" t="str">
        <x:f>IF(ABS(M60)&lt;=2.5,"YES","NO")</x:f>
        <x:v>NO</x:v>
      </x:c>
      <x:c r="AG60" t="str">
        <x:f>IF(X60="STABLE","Stable",IF(AND(H60&gt;=0.03,T60&gt;10,OR(I60&lt;0.03,U60&lt;=10),OR(J60&lt;0.03,V60&lt;=10)),"X CV only","Multiple / non-X CV"))</x:f>
        <x:v>Stable</x:v>
      </x:c>
      <x:c r="AH60" t="str">
        <x:f>IF(Z60="NO","Excluded from pose statistics: repositioning transition","")</x:f>
      </x:c>
    </x:row>
    <x:row r="61">
      <x:c r="A61" t="n">
        <x:v>57</x:v>
      </x:c>
      <x:c r="B61" s="28" t="n">
        <x:v>112</x:v>
      </x:c>
      <x:c r="C61" t="n">
        <x:v>0</x:v>
      </x:c>
      <x:c r="D61" s="28" t="n">
        <x:v>268</x:v>
      </x:c>
      <x:c r="E61" s="28" t="n">
        <x:v>14.75</x:v>
      </x:c>
      <x:c r="F61" s="28" t="str">
        <x:v>Z</x:v>
      </x:c>
      <x:c r="G61" s="28" t="n">
        <x:v>1.2</x:v>
      </x:c>
      <x:c r="H61" s="28" t="n">
        <x:v>0.077312</x:v>
      </x:c>
      <x:c r="I61" s="28" t="n">
        <x:v>1.060788</x:v>
      </x:c>
      <x:c r="J61" s="28" t="n">
        <x:v>1.903341</x:v>
      </x:c>
      <x:c r="K61" s="28" t="n">
        <x:v>2.180357</x:v>
      </x:c>
      <x:c r="L61" s="28" t="n">
        <x:v>1.903341</x:v>
      </x:c>
      <x:c r="M61" s="28" t="n">
        <x:v>58.612</x:v>
      </x:c>
      <x:c r="N61" s="28" t="str">
        <x:v>Z</x:v>
      </x:c>
      <x:c r="O61" s="28" t="n">
        <x:v>0.126</x:v>
      </x:c>
      <x:c r="P61" s="28" t="n">
        <x:v>23.67</x:v>
      </x:c>
      <x:c r="Q61" s="28" t="n">
        <x:v>76.204</x:v>
      </x:c>
      <x:c r="R61" s="28" t="n">
        <x:v>36.331</x:v>
      </x:c>
      <x:c r="S61" s="28" t="n">
        <x:v>18.116</x:v>
      </x:c>
      <x:c r="T61" s="28" t="n">
        <x:v>10.63</x:v>
      </x:c>
      <x:c r="U61" s="28" t="n">
        <x:v>1.26</x:v>
      </x:c>
      <x:c r="V61" s="28" t="n">
        <x:v>1.76</x:v>
      </x:c>
      <x:c r="W61" t="n">
        <x:v>3</x:v>
      </x:c>
      <x:c r="X61" t="str">
        <x:v>TRANSIENT</x:v>
      </x:c>
      <x:c r="Y61" t="str">
        <x:f>IF(A61&lt;=20,"P0 Reference A",IF(A61&lt;=30,"P1 Changed orientation",IF(A61&lt;=40,"P2 Changed orientation",IF(A61&lt;=50,"P3 Changed orientation",IF(A61&lt;=60,"P4 Changed orientation",IF(A61&lt;=70,"P5 Changed orientation",IF(A61&lt;=80,"P6 Changed orientation",IF(A61&lt;=90,"P7 Changed orientation",IF(A61&lt;=92,"Transition / repositioning","P0R Reference return")))))))))</x:f>
        <x:v>P4 Changed orientation</x:v>
      </x:c>
      <x:c r="Z61" t="str">
        <x:f>IF(OR(A61&lt;=90,A61&gt;=93),"YES","NO")</x:f>
        <x:v>YES</x:v>
      </x:c>
      <x:c r="AA61" t="n">
        <x:f>H61^2</x:f>
        <x:v>0.005977145344000001</x:v>
      </x:c>
      <x:c r="AB61" t="n">
        <x:f>I61^2</x:f>
        <x:v>1.1252711809440001</x:v>
      </x:c>
      <x:c r="AC61" t="n">
        <x:f>J61^2</x:f>
        <x:v>3.6227069622809998</x:v>
      </x:c>
      <x:c r="AD61" t="n">
        <x:f>K61^2</x:f>
        <x:v>4.753956647449</x:v>
      </x:c>
      <x:c r="AE61" t="str">
        <x:f>IF(ABS(M61)&lt;=5,"YES","NO")</x:f>
        <x:v>NO</x:v>
      </x:c>
      <x:c r="AF61" t="str">
        <x:f>IF(ABS(M61)&lt;=2.5,"YES","NO")</x:f>
        <x:v>NO</x:v>
      </x:c>
      <x:c r="AG61" t="str">
        <x:f>IF(X61="STABLE","Stable",IF(AND(H61&gt;=0.03,T61&gt;10,OR(I61&lt;0.03,U61&lt;=10),OR(J61&lt;0.03,V61&lt;=10)),"X CV only","Multiple / non-X CV"))</x:f>
        <x:v>X CV only</x:v>
      </x:c>
      <x:c r="AH61" t="str">
        <x:f>IF(Z61="NO","Excluded from pose statistics: repositioning transition","")</x:f>
      </x:c>
    </x:row>
    <x:row r="62">
      <x:c r="A62" t="n">
        <x:v>58</x:v>
      </x:c>
      <x:c r="B62" s="28" t="n">
        <x:v>114</x:v>
      </x:c>
      <x:c r="C62" t="n">
        <x:v>0</x:v>
      </x:c>
      <x:c r="D62" s="28" t="n">
        <x:v>268</x:v>
      </x:c>
      <x:c r="E62" s="28" t="n">
        <x:v>14.75</x:v>
      </x:c>
      <x:c r="F62" s="28" t="str">
        <x:v>Z</x:v>
      </x:c>
      <x:c r="G62" s="28" t="n">
        <x:v>1.2</x:v>
      </x:c>
      <x:c r="H62" s="28" t="n">
        <x:v>0.060652</x:v>
      </x:c>
      <x:c r="I62" s="28" t="n">
        <x:v>1.079327</x:v>
      </x:c>
      <x:c r="J62" s="28" t="n">
        <x:v>1.837677</x:v>
      </x:c>
      <x:c r="K62" s="28" t="n">
        <x:v>2.13206</x:v>
      </x:c>
      <x:c r="L62" s="28" t="n">
        <x:v>1.837677</x:v>
      </x:c>
      <x:c r="M62" s="28" t="n">
        <x:v>53.14</x:v>
      </x:c>
      <x:c r="N62" s="28" t="str">
        <x:v>Z</x:v>
      </x:c>
      <x:c r="O62" s="28" t="n">
        <x:v>0.081</x:v>
      </x:c>
      <x:c r="P62" s="28" t="n">
        <x:v>25.628</x:v>
      </x:c>
      <x:c r="Q62" s="28" t="n">
        <x:v>74.292</x:v>
      </x:c>
      <x:c r="R62" s="28" t="n">
        <x:v>34.418</x:v>
      </x:c>
      <x:c r="S62" s="28" t="n">
        <x:v>15.5</x:v>
      </x:c>
      <x:c r="T62" s="28" t="n">
        <x:v>30.61</x:v>
      </x:c>
      <x:c r="U62" s="28" t="n">
        <x:v>0.76</x:v>
      </x:c>
      <x:c r="V62" s="28" t="n">
        <x:v>1.11</x:v>
      </x:c>
      <x:c r="W62" t="n">
        <x:v>3</x:v>
      </x:c>
      <x:c r="X62" t="str">
        <x:v>TRANSIENT</x:v>
      </x:c>
      <x:c r="Y62" t="str">
        <x:f>IF(A62&lt;=20,"P0 Reference A",IF(A62&lt;=30,"P1 Changed orientation",IF(A62&lt;=40,"P2 Changed orientation",IF(A62&lt;=50,"P3 Changed orientation",IF(A62&lt;=60,"P4 Changed orientation",IF(A62&lt;=70,"P5 Changed orientation",IF(A62&lt;=80,"P6 Changed orientation",IF(A62&lt;=90,"P7 Changed orientation",IF(A62&lt;=92,"Transition / repositioning","P0R Reference return")))))))))</x:f>
        <x:v>P4 Changed orientation</x:v>
      </x:c>
      <x:c r="Z62" t="str">
        <x:f>IF(OR(A62&lt;=90,A62&gt;=93),"YES","NO")</x:f>
        <x:v>YES</x:v>
      </x:c>
      <x:c r="AA62" t="n">
        <x:f>H62^2</x:f>
        <x:v>0.003678665104</x:v>
      </x:c>
      <x:c r="AB62" t="n">
        <x:f>I62^2</x:f>
        <x:v>1.1649467729289997</x:v>
      </x:c>
      <x:c r="AC62" t="n">
        <x:f>J62^2</x:f>
        <x:v>3.377056756329</x:v>
      </x:c>
      <x:c r="AD62" t="n">
        <x:f>K62^2</x:f>
        <x:v>4.5456798436</x:v>
      </x:c>
      <x:c r="AE62" t="str">
        <x:f>IF(ABS(M62)&lt;=5,"YES","NO")</x:f>
        <x:v>NO</x:v>
      </x:c>
      <x:c r="AF62" t="str">
        <x:f>IF(ABS(M62)&lt;=2.5,"YES","NO")</x:f>
        <x:v>NO</x:v>
      </x:c>
      <x:c r="AG62" t="str">
        <x:f>IF(X62="STABLE","Stable",IF(AND(H62&gt;=0.03,T62&gt;10,OR(I62&lt;0.03,U62&lt;=10),OR(J62&lt;0.03,V62&lt;=10)),"X CV only","Multiple / non-X CV"))</x:f>
        <x:v>X CV only</x:v>
      </x:c>
      <x:c r="AH62" t="str">
        <x:f>IF(Z62="NO","Excluded from pose statistics: repositioning transition","")</x:f>
      </x:c>
    </x:row>
    <x:row r="63">
      <x:c r="A63" t="n">
        <x:v>59</x:v>
      </x:c>
      <x:c r="B63" s="28" t="n">
        <x:v>116</x:v>
      </x:c>
      <x:c r="C63" t="n">
        <x:v>0</x:v>
      </x:c>
      <x:c r="D63" s="28" t="n">
        <x:v>268</x:v>
      </x:c>
      <x:c r="E63" s="28" t="n">
        <x:v>14.75</x:v>
      </x:c>
      <x:c r="F63" s="28" t="str">
        <x:v>Z</x:v>
      </x:c>
      <x:c r="G63" s="28" t="n">
        <x:v>1.2</x:v>
      </x:c>
      <x:c r="H63" s="28" t="n">
        <x:v>0.0833</x:v>
      </x:c>
      <x:c r="I63" s="28" t="n">
        <x:v>1.086385</x:v>
      </x:c>
      <x:c r="J63" s="28" t="n">
        <x:v>1.783791</x:v>
      </x:c>
      <x:c r="K63" s="28" t="n">
        <x:v>2.090234</x:v>
      </x:c>
      <x:c r="L63" s="28" t="n">
        <x:v>1.783791</x:v>
      </x:c>
      <x:c r="M63" s="28" t="n">
        <x:v>48.649</x:v>
      </x:c>
      <x:c r="N63" s="28" t="str">
        <x:v>Z</x:v>
      </x:c>
      <x:c r="O63" s="28" t="n">
        <x:v>0.159</x:v>
      </x:c>
      <x:c r="P63" s="28" t="n">
        <x:v>27.013</x:v>
      </x:c>
      <x:c r="Q63" s="28" t="n">
        <x:v>72.828</x:v>
      </x:c>
      <x:c r="R63" s="28" t="n">
        <x:v>32.955</x:v>
      </x:c>
      <x:c r="S63" s="28" t="n">
        <x:v>13.234</x:v>
      </x:c>
      <x:c r="T63" s="28" t="n">
        <x:v>9.5</x:v>
      </x:c>
      <x:c r="U63" s="28" t="n">
        <x:v>1.69</x:v>
      </x:c>
      <x:c r="V63" s="28" t="n">
        <x:v>1.12</x:v>
      </x:c>
      <x:c r="W63" t="n">
        <x:v>3</x:v>
      </x:c>
      <x:c r="X63" t="str">
        <x:v>STABLE</x:v>
      </x:c>
      <x:c r="Y63" t="str">
        <x:f>IF(A63&lt;=20,"P0 Reference A",IF(A63&lt;=30,"P1 Changed orientation",IF(A63&lt;=40,"P2 Changed orientation",IF(A63&lt;=50,"P3 Changed orientation",IF(A63&lt;=60,"P4 Changed orientation",IF(A63&lt;=70,"P5 Changed orientation",IF(A63&lt;=80,"P6 Changed orientation",IF(A63&lt;=90,"P7 Changed orientation",IF(A63&lt;=92,"Transition / repositioning","P0R Reference return")))))))))</x:f>
        <x:v>P4 Changed orientation</x:v>
      </x:c>
      <x:c r="Z63" t="str">
        <x:f>IF(OR(A63&lt;=90,A63&gt;=93),"YES","NO")</x:f>
        <x:v>YES</x:v>
      </x:c>
      <x:c r="AA63" t="n">
        <x:f>H63^2</x:f>
        <x:v>0.00693889</x:v>
      </x:c>
      <x:c r="AB63" t="n">
        <x:f>I63^2</x:f>
        <x:v>1.1802323682249998</x:v>
      </x:c>
      <x:c r="AC63" t="n">
        <x:f>J63^2</x:f>
        <x:v>3.181910331681</x:v>
      </x:c>
      <x:c r="AD63" t="n">
        <x:f>K63^2</x:f>
        <x:v>4.369078174756001</x:v>
      </x:c>
      <x:c r="AE63" t="str">
        <x:f>IF(ABS(M63)&lt;=5,"YES","NO")</x:f>
        <x:v>NO</x:v>
      </x:c>
      <x:c r="AF63" t="str">
        <x:f>IF(ABS(M63)&lt;=2.5,"YES","NO")</x:f>
        <x:v>NO</x:v>
      </x:c>
      <x:c r="AG63" t="str">
        <x:f>IF(X63="STABLE","Stable",IF(AND(H63&gt;=0.03,T63&gt;10,OR(I63&lt;0.03,U63&lt;=10),OR(J63&lt;0.03,V63&lt;=10)),"X CV only","Multiple / non-X CV"))</x:f>
        <x:v>Stable</x:v>
      </x:c>
      <x:c r="AH63" t="str">
        <x:f>IF(Z63="NO","Excluded from pose statistics: repositioning transition","")</x:f>
      </x:c>
    </x:row>
    <x:row r="64">
      <x:c r="A64" t="n">
        <x:v>60</x:v>
      </x:c>
      <x:c r="B64" s="28" t="n">
        <x:v>118</x:v>
      </x:c>
      <x:c r="C64" t="n">
        <x:v>0</x:v>
      </x:c>
      <x:c r="D64" s="28" t="n">
        <x:v>268</x:v>
      </x:c>
      <x:c r="E64" s="28" t="n">
        <x:v>14.75</x:v>
      </x:c>
      <x:c r="F64" s="28" t="str">
        <x:v>Z</x:v>
      </x:c>
      <x:c r="G64" s="28" t="n">
        <x:v>1.2</x:v>
      </x:c>
      <x:c r="H64" s="28" t="n">
        <x:v>0.080348</x:v>
      </x:c>
      <x:c r="I64" s="28" t="n">
        <x:v>1.090853</x:v>
      </x:c>
      <x:c r="J64" s="28" t="n">
        <x:v>1.805547</x:v>
      </x:c>
      <x:c r="K64" s="28" t="n">
        <x:v>2.111023</x:v>
      </x:c>
      <x:c r="L64" s="28" t="n">
        <x:v>1.805547</x:v>
      </x:c>
      <x:c r="M64" s="28" t="n">
        <x:v>50.462</x:v>
      </x:c>
      <x:c r="N64" s="28" t="str">
        <x:v>Z</x:v>
      </x:c>
      <x:c r="O64" s="28" t="n">
        <x:v>0.145</x:v>
      </x:c>
      <x:c r="P64" s="28" t="n">
        <x:v>26.702</x:v>
      </x:c>
      <x:c r="Q64" s="28" t="n">
        <x:v>73.153</x:v>
      </x:c>
      <x:c r="R64" s="28" t="n">
        <x:v>33.28</x:v>
      </x:c>
      <x:c r="S64" s="28" t="n">
        <x:v>14.36</x:v>
      </x:c>
      <x:c r="T64" s="28" t="n">
        <x:v>10.29</x:v>
      </x:c>
      <x:c r="U64" s="28" t="n">
        <x:v>1.62</x:v>
      </x:c>
      <x:c r="V64" s="28" t="n">
        <x:v>1.62</x:v>
      </x:c>
      <x:c r="W64" t="n">
        <x:v>3</x:v>
      </x:c>
      <x:c r="X64" t="str">
        <x:v>TRANSIENT</x:v>
      </x:c>
      <x:c r="Y64" t="str">
        <x:f>IF(A64&lt;=20,"P0 Reference A",IF(A64&lt;=30,"P1 Changed orientation",IF(A64&lt;=40,"P2 Changed orientation",IF(A64&lt;=50,"P3 Changed orientation",IF(A64&lt;=60,"P4 Changed orientation",IF(A64&lt;=70,"P5 Changed orientation",IF(A64&lt;=80,"P6 Changed orientation",IF(A64&lt;=90,"P7 Changed orientation",IF(A64&lt;=92,"Transition / repositioning","P0R Reference return")))))))))</x:f>
        <x:v>P4 Changed orientation</x:v>
      </x:c>
      <x:c r="Z64" t="str">
        <x:f>IF(OR(A64&lt;=90,A64&gt;=93),"YES","NO")</x:f>
        <x:v>YES</x:v>
      </x:c>
      <x:c r="AA64" t="n">
        <x:f>H64^2</x:f>
        <x:v>0.006455801104</x:v>
      </x:c>
      <x:c r="AB64" t="n">
        <x:f>I64^2</x:f>
        <x:v>1.1899602676090002</x:v>
      </x:c>
      <x:c r="AC64" t="n">
        <x:f>J64^2</x:f>
        <x:v>3.2599999692090003</x:v>
      </x:c>
      <x:c r="AD64" t="n">
        <x:f>K64^2</x:f>
        <x:v>4.456418106528999</x:v>
      </x:c>
      <x:c r="AE64" t="str">
        <x:f>IF(ABS(M64)&lt;=5,"YES","NO")</x:f>
        <x:v>NO</x:v>
      </x:c>
      <x:c r="AF64" t="str">
        <x:f>IF(ABS(M64)&lt;=2.5,"YES","NO")</x:f>
        <x:v>NO</x:v>
      </x:c>
      <x:c r="AG64" t="str">
        <x:f>IF(X64="STABLE","Stable",IF(AND(H64&gt;=0.03,T64&gt;10,OR(I64&lt;0.03,U64&lt;=10),OR(J64&lt;0.03,V64&lt;=10)),"X CV only","Multiple / non-X CV"))</x:f>
        <x:v>X CV only</x:v>
      </x:c>
      <x:c r="AH64" t="str">
        <x:f>IF(Z64="NO","Excluded from pose statistics: repositioning transition","")</x:f>
      </x:c>
    </x:row>
    <x:row r="65">
      <x:c r="A65" t="n">
        <x:v>61</x:v>
      </x:c>
      <x:c r="B65" s="28" t="n">
        <x:v>120</x:v>
      </x:c>
      <x:c r="C65" t="n">
        <x:v>0</x:v>
      </x:c>
      <x:c r="D65" s="28" t="n">
        <x:v>268</x:v>
      </x:c>
      <x:c r="E65" s="28" t="n">
        <x:v>14.75</x:v>
      </x:c>
      <x:c r="F65" s="28" t="str">
        <x:v>Z</x:v>
      </x:c>
      <x:c r="G65" s="28" t="n">
        <x:v>1.2</x:v>
      </x:c>
      <x:c r="H65" s="28" t="n">
        <x:v>0.119135</x:v>
      </x:c>
      <x:c r="I65" s="28" t="n">
        <x:v>1.034871</x:v>
      </x:c>
      <x:c r="J65" s="28" t="n">
        <x:v>1.874831</x:v>
      </x:c>
      <x:c r="K65" s="28" t="n">
        <x:v>2.144795</x:v>
      </x:c>
      <x:c r="L65" s="28" t="n">
        <x:v>1.874831</x:v>
      </x:c>
      <x:c r="M65" s="28" t="n">
        <x:v>56.236</x:v>
      </x:c>
      <x:c r="N65" s="28" t="str">
        <x:v>Z</x:v>
      </x:c>
      <x:c r="O65" s="28" t="n">
        <x:v>0.309</x:v>
      </x:c>
      <x:c r="P65" s="28" t="n">
        <x:v>23.281</x:v>
      </x:c>
      <x:c r="Q65" s="28" t="n">
        <x:v>76.41</x:v>
      </x:c>
      <x:c r="R65" s="28" t="n">
        <x:v>36.537</x:v>
      </x:c>
      <x:c r="S65" s="28" t="n">
        <x:v>16.19</x:v>
      </x:c>
      <x:c r="T65" s="28" t="n">
        <x:v>27.83</x:v>
      </x:c>
      <x:c r="U65" s="28" t="n">
        <x:v>3.02</x:v>
      </x:c>
      <x:c r="V65" s="28" t="n">
        <x:v>2.53</x:v>
      </x:c>
      <x:c r="W65" t="n">
        <x:v>3</x:v>
      </x:c>
      <x:c r="X65" t="str">
        <x:v>TRANSIENT</x:v>
      </x:c>
      <x:c r="Y65" t="str">
        <x:f>IF(A65&lt;=20,"P0 Reference A",IF(A65&lt;=30,"P1 Changed orientation",IF(A65&lt;=40,"P2 Changed orientation",IF(A65&lt;=50,"P3 Changed orientation",IF(A65&lt;=60,"P4 Changed orientation",IF(A65&lt;=70,"P5 Changed orientation",IF(A65&lt;=80,"P6 Changed orientation",IF(A65&lt;=90,"P7 Changed orientation",IF(A65&lt;=92,"Transition / repositioning","P0R Reference return")))))))))</x:f>
        <x:v>P5 Changed orientation</x:v>
      </x:c>
      <x:c r="Z65" t="str">
        <x:f>IF(OR(A65&lt;=90,A65&gt;=93),"YES","NO")</x:f>
        <x:v>YES</x:v>
      </x:c>
      <x:c r="AA65" t="n">
        <x:f>H65^2</x:f>
        <x:v>0.014193148225</x:v>
      </x:c>
      <x:c r="AB65" t="n">
        <x:f>I65^2</x:f>
        <x:v>1.0709579866410002</x:v>
      </x:c>
      <x:c r="AC65" t="n">
        <x:f>J65^2</x:f>
        <x:v>3.514991278561</x:v>
      </x:c>
      <x:c r="AD65" t="n">
        <x:f>K65^2</x:f>
        <x:v>4.600145592024999</x:v>
      </x:c>
      <x:c r="AE65" t="str">
        <x:f>IF(ABS(M65)&lt;=5,"YES","NO")</x:f>
        <x:v>NO</x:v>
      </x:c>
      <x:c r="AF65" t="str">
        <x:f>IF(ABS(M65)&lt;=2.5,"YES","NO")</x:f>
        <x:v>NO</x:v>
      </x:c>
      <x:c r="AG65" t="str">
        <x:f>IF(X65="STABLE","Stable",IF(AND(H65&gt;=0.03,T65&gt;10,OR(I65&lt;0.03,U65&lt;=10),OR(J65&lt;0.03,V65&lt;=10)),"X CV only","Multiple / non-X CV"))</x:f>
        <x:v>X CV only</x:v>
      </x:c>
      <x:c r="AH65" t="str">
        <x:f>IF(Z65="NO","Excluded from pose statistics: repositioning transition","")</x:f>
      </x:c>
    </x:row>
    <x:row r="66">
      <x:c r="A66" t="n">
        <x:v>62</x:v>
      </x:c>
      <x:c r="B66" s="28" t="n">
        <x:v>122.001</x:v>
      </x:c>
      <x:c r="C66" t="n">
        <x:v>0</x:v>
      </x:c>
      <x:c r="D66" s="28" t="n">
        <x:v>268</x:v>
      </x:c>
      <x:c r="E66" s="28" t="n">
        <x:v>14.75</x:v>
      </x:c>
      <x:c r="F66" s="28" t="str">
        <x:v>Z</x:v>
      </x:c>
      <x:c r="G66" s="28" t="n">
        <x:v>1.2</x:v>
      </x:c>
      <x:c r="H66" s="28" t="n">
        <x:v>0.168213</x:v>
      </x:c>
      <x:c r="I66" s="28" t="n">
        <x:v>1.00181</x:v>
      </x:c>
      <x:c r="J66" s="28" t="n">
        <x:v>1.824207</x:v>
      </x:c>
      <x:c r="K66" s="28" t="n">
        <x:v>2.087977</x:v>
      </x:c>
      <x:c r="L66" s="28" t="n">
        <x:v>1.824207</x:v>
      </x:c>
      <x:c r="M66" s="28" t="n">
        <x:v>52.017</x:v>
      </x:c>
      <x:c r="N66" s="28" t="str">
        <x:v>Z</x:v>
      </x:c>
      <x:c r="O66" s="28" t="n">
        <x:v>0.649</x:v>
      </x:c>
      <x:c r="P66" s="28" t="n">
        <x:v>23.021</x:v>
      </x:c>
      <x:c r="Q66" s="28" t="n">
        <x:v>76.33</x:v>
      </x:c>
      <x:c r="R66" s="28" t="n">
        <x:v>36.627</x:v>
      </x:c>
      <x:c r="S66" s="28" t="n">
        <x:v>13.112</x:v>
      </x:c>
      <x:c r="T66" s="28" t="n">
        <x:v>18.82</x:v>
      </x:c>
      <x:c r="U66" s="28" t="n">
        <x:v>2.46</x:v>
      </x:c>
      <x:c r="V66" s="28" t="n">
        <x:v>1.3</x:v>
      </x:c>
      <x:c r="W66" t="n">
        <x:v>3</x:v>
      </x:c>
      <x:c r="X66" t="str">
        <x:v>TRANSIENT</x:v>
      </x:c>
      <x:c r="Y66" t="str">
        <x:f>IF(A66&lt;=20,"P0 Reference A",IF(A66&lt;=30,"P1 Changed orientation",IF(A66&lt;=40,"P2 Changed orientation",IF(A66&lt;=50,"P3 Changed orientation",IF(A66&lt;=60,"P4 Changed orientation",IF(A66&lt;=70,"P5 Changed orientation",IF(A66&lt;=80,"P6 Changed orientation",IF(A66&lt;=90,"P7 Changed orientation",IF(A66&lt;=92,"Transition / repositioning","P0R Reference return")))))))))</x:f>
        <x:v>P5 Changed orientation</x:v>
      </x:c>
      <x:c r="Z66" t="str">
        <x:f>IF(OR(A66&lt;=90,A66&gt;=93),"YES","NO")</x:f>
        <x:v>YES</x:v>
      </x:c>
      <x:c r="AA66" t="n">
        <x:f>H66^2</x:f>
        <x:v>0.028295613369</x:v>
      </x:c>
      <x:c r="AB66" t="n">
        <x:f>I66^2</x:f>
        <x:v>1.0036232761000001</x:v>
      </x:c>
      <x:c r="AC66" t="n">
        <x:f>J66^2</x:f>
        <x:v>3.3277311788489996</x:v>
      </x:c>
      <x:c r="AD66" t="n">
        <x:f>K66^2</x:f>
        <x:v>4.3596479525289995</x:v>
      </x:c>
      <x:c r="AE66" t="str">
        <x:f>IF(ABS(M66)&lt;=5,"YES","NO")</x:f>
        <x:v>NO</x:v>
      </x:c>
      <x:c r="AF66" t="str">
        <x:f>IF(ABS(M66)&lt;=2.5,"YES","NO")</x:f>
        <x:v>NO</x:v>
      </x:c>
      <x:c r="AG66" t="str">
        <x:f>IF(X66="STABLE","Stable",IF(AND(H66&gt;=0.03,T66&gt;10,OR(I66&lt;0.03,U66&lt;=10),OR(J66&lt;0.03,V66&lt;=10)),"X CV only","Multiple / non-X CV"))</x:f>
        <x:v>X CV only</x:v>
      </x:c>
      <x:c r="AH66" t="str">
        <x:f>IF(Z66="NO","Excluded from pose statistics: repositioning transition","")</x:f>
      </x:c>
    </x:row>
    <x:row r="67">
      <x:c r="A67" t="n">
        <x:v>63</x:v>
      </x:c>
      <x:c r="B67" s="28" t="n">
        <x:v>124</x:v>
      </x:c>
      <x:c r="C67" t="n">
        <x:v>0</x:v>
      </x:c>
      <x:c r="D67" s="28" t="n">
        <x:v>268</x:v>
      </x:c>
      <x:c r="E67" s="28" t="n">
        <x:v>14.75</x:v>
      </x:c>
      <x:c r="F67" s="28" t="str">
        <x:v>Z</x:v>
      </x:c>
      <x:c r="G67" s="28" t="n">
        <x:v>1.2</x:v>
      </x:c>
      <x:c r="H67" s="28" t="n">
        <x:v>0.150104</x:v>
      </x:c>
      <x:c r="I67" s="28" t="n">
        <x:v>1.51799</x:v>
      </x:c>
      <x:c r="J67" s="28" t="n">
        <x:v>3.158513</x:v>
      </x:c>
      <x:c r="K67" s="28" t="n">
        <x:v>3.507567</x:v>
      </x:c>
      <x:c r="L67" s="28" t="n">
        <x:v>3.158513</x:v>
      </x:c>
      <x:c r="M67" s="28" t="n">
        <x:v>163.209</x:v>
      </x:c>
      <x:c r="N67" s="28" t="str">
        <x:v>Z</x:v>
      </x:c>
      <x:c r="O67" s="28" t="n">
        <x:v>0.183</x:v>
      </x:c>
      <x:c r="P67" s="28" t="n">
        <x:v>18.729</x:v>
      </x:c>
      <x:c r="Q67" s="28" t="n">
        <x:v>81.087</x:v>
      </x:c>
      <x:c r="R67" s="28" t="n">
        <x:v>41.214</x:v>
      </x:c>
      <x:c r="S67" s="28" t="n">
        <x:v>90.015</x:v>
      </x:c>
      <x:c r="T67" s="28" t="n">
        <x:v>11.76</x:v>
      </x:c>
      <x:c r="U67" s="28" t="n">
        <x:v>1.41</x:v>
      </x:c>
      <x:c r="V67" s="28" t="n">
        <x:v>2.06</x:v>
      </x:c>
      <x:c r="W67" t="n">
        <x:v>3</x:v>
      </x:c>
      <x:c r="X67" t="str">
        <x:v>TRANSIENT</x:v>
      </x:c>
      <x:c r="Y67" t="str">
        <x:f>IF(A67&lt;=20,"P0 Reference A",IF(A67&lt;=30,"P1 Changed orientation",IF(A67&lt;=40,"P2 Changed orientation",IF(A67&lt;=50,"P3 Changed orientation",IF(A67&lt;=60,"P4 Changed orientation",IF(A67&lt;=70,"P5 Changed orientation",IF(A67&lt;=80,"P6 Changed orientation",IF(A67&lt;=90,"P7 Changed orientation",IF(A67&lt;=92,"Transition / repositioning","P0R Reference return")))))))))</x:f>
        <x:v>P5 Changed orientation</x:v>
      </x:c>
      <x:c r="Z67" t="str">
        <x:f>IF(OR(A67&lt;=90,A67&gt;=93),"YES","NO")</x:f>
        <x:v>YES</x:v>
      </x:c>
      <x:c r="AA67" t="n">
        <x:f>H67^2</x:f>
        <x:v>0.022531210815999996</x:v>
      </x:c>
      <x:c r="AB67" t="n">
        <x:f>I67^2</x:f>
        <x:v>2.3042936401</x:v>
      </x:c>
      <x:c r="AC67" t="n">
        <x:f>J67^2</x:f>
        <x:v>9.976204371169</x:v>
      </x:c>
      <x:c r="AD67" t="n">
        <x:f>K67^2</x:f>
        <x:v>12.303026259488998</x:v>
      </x:c>
      <x:c r="AE67" t="str">
        <x:f>IF(ABS(M67)&lt;=5,"YES","NO")</x:f>
        <x:v>NO</x:v>
      </x:c>
      <x:c r="AF67" t="str">
        <x:f>IF(ABS(M67)&lt;=2.5,"YES","NO")</x:f>
        <x:v>NO</x:v>
      </x:c>
      <x:c r="AG67" t="str">
        <x:f>IF(X67="STABLE","Stable",IF(AND(H67&gt;=0.03,T67&gt;10,OR(I67&lt;0.03,U67&lt;=10),OR(J67&lt;0.03,V67&lt;=10)),"X CV only","Multiple / non-X CV"))</x:f>
        <x:v>X CV only</x:v>
      </x:c>
      <x:c r="AH67" t="str">
        <x:f>IF(Z67="NO","Excluded from pose statistics: repositioning transition","")</x:f>
      </x:c>
    </x:row>
    <x:row r="68">
      <x:c r="A68" t="n">
        <x:v>64</x:v>
      </x:c>
      <x:c r="B68" s="28" t="n">
        <x:v>126.001</x:v>
      </x:c>
      <x:c r="C68" t="n">
        <x:v>0</x:v>
      </x:c>
      <x:c r="D68" s="28" t="n">
        <x:v>268</x:v>
      </x:c>
      <x:c r="E68" s="28" t="n">
        <x:v>14.75</x:v>
      </x:c>
      <x:c r="F68" s="28" t="str">
        <x:v>Z</x:v>
      </x:c>
      <x:c r="G68" s="28" t="n">
        <x:v>1.2</x:v>
      </x:c>
      <x:c r="H68" s="28" t="n">
        <x:v>0.109497</x:v>
      </x:c>
      <x:c r="I68" s="28" t="n">
        <x:v>1.544325</x:v>
      </x:c>
      <x:c r="J68" s="28" t="n">
        <x:v>3.226529</x:v>
      </x:c>
      <x:c r="K68" s="28" t="n">
        <x:v>3.578745</x:v>
      </x:c>
      <x:c r="L68" s="28" t="n">
        <x:v>3.226529</x:v>
      </x:c>
      <x:c r="M68" s="28" t="n">
        <x:v>168.877</x:v>
      </x:c>
      <x:c r="N68" s="28" t="str">
        <x:v>Z</x:v>
      </x:c>
      <x:c r="O68" s="28" t="n">
        <x:v>0.094</x:v>
      </x:c>
      <x:c r="P68" s="28" t="n">
        <x:v>18.622</x:v>
      </x:c>
      <x:c r="Q68" s="28" t="n">
        <x:v>81.285</x:v>
      </x:c>
      <x:c r="R68" s="28" t="n">
        <x:v>41.412</x:v>
      </x:c>
      <x:c r="S68" s="28" t="n">
        <x:v>93.871</x:v>
      </x:c>
      <x:c r="T68" s="28" t="n">
        <x:v>13.87</x:v>
      </x:c>
      <x:c r="U68" s="28" t="n">
        <x:v>1.5</x:v>
      </x:c>
      <x:c r="V68" s="28" t="n">
        <x:v>1.15</x:v>
      </x:c>
      <x:c r="W68" t="n">
        <x:v>3</x:v>
      </x:c>
      <x:c r="X68" t="str">
        <x:v>TRANSIENT</x:v>
      </x:c>
      <x:c r="Y68" t="str">
        <x:f>IF(A68&lt;=20,"P0 Reference A",IF(A68&lt;=30,"P1 Changed orientation",IF(A68&lt;=40,"P2 Changed orientation",IF(A68&lt;=50,"P3 Changed orientation",IF(A68&lt;=60,"P4 Changed orientation",IF(A68&lt;=70,"P5 Changed orientation",IF(A68&lt;=80,"P6 Changed orientation",IF(A68&lt;=90,"P7 Changed orientation",IF(A68&lt;=92,"Transition / repositioning","P0R Reference return")))))))))</x:f>
        <x:v>P5 Changed orientation</x:v>
      </x:c>
      <x:c r="Z68" t="str">
        <x:f>IF(OR(A68&lt;=90,A68&gt;=93),"YES","NO")</x:f>
        <x:v>YES</x:v>
      </x:c>
      <x:c r="AA68" t="n">
        <x:f>H68^2</x:f>
        <x:v>0.011989593009</x:v>
      </x:c>
      <x:c r="AB68" t="n">
        <x:f>I68^2</x:f>
        <x:v>2.384939705625</x:v>
      </x:c>
      <x:c r="AC68" t="n">
        <x:f>J68^2</x:f>
        <x:v>10.410489387841002</x:v>
      </x:c>
      <x:c r="AD68" t="n">
        <x:f>K68^2</x:f>
        <x:v>12.807415775025001</x:v>
      </x:c>
      <x:c r="AE68" t="str">
        <x:f>IF(ABS(M68)&lt;=5,"YES","NO")</x:f>
        <x:v>NO</x:v>
      </x:c>
      <x:c r="AF68" t="str">
        <x:f>IF(ABS(M68)&lt;=2.5,"YES","NO")</x:f>
        <x:v>NO</x:v>
      </x:c>
      <x:c r="AG68" t="str">
        <x:f>IF(X68="STABLE","Stable",IF(AND(H68&gt;=0.03,T68&gt;10,OR(I68&lt;0.03,U68&lt;=10),OR(J68&lt;0.03,V68&lt;=10)),"X CV only","Multiple / non-X CV"))</x:f>
        <x:v>X CV only</x:v>
      </x:c>
      <x:c r="AH68" t="str">
        <x:f>IF(Z68="NO","Excluded from pose statistics: repositioning transition","")</x:f>
      </x:c>
    </x:row>
    <x:row r="69">
      <x:c r="A69" t="n">
        <x:v>65</x:v>
      </x:c>
      <x:c r="B69" s="28" t="n">
        <x:v>128</x:v>
      </x:c>
      <x:c r="C69" t="n">
        <x:v>0</x:v>
      </x:c>
      <x:c r="D69" s="28" t="n">
        <x:v>268</x:v>
      </x:c>
      <x:c r="E69" s="28" t="n">
        <x:v>14.75</x:v>
      </x:c>
      <x:c r="F69" s="28" t="str">
        <x:v>Z</x:v>
      </x:c>
      <x:c r="G69" s="28" t="n">
        <x:v>1.2</x:v>
      </x:c>
      <x:c r="H69" s="28" t="n">
        <x:v>0.112061</x:v>
      </x:c>
      <x:c r="I69" s="28" t="n">
        <x:v>1.54461</x:v>
      </x:c>
      <x:c r="J69" s="28" t="n">
        <x:v>3.246964</x:v>
      </x:c>
      <x:c r="K69" s="28" t="n">
        <x:v>3.597381</x:v>
      </x:c>
      <x:c r="L69" s="28" t="n">
        <x:v>3.246964</x:v>
      </x:c>
      <x:c r="M69" s="28" t="n">
        <x:v>170.58</x:v>
      </x:c>
      <x:c r="N69" s="28" t="str">
        <x:v>Z</x:v>
      </x:c>
      <x:c r="O69" s="28" t="n">
        <x:v>0.097</x:v>
      </x:c>
      <x:c r="P69" s="28" t="n">
        <x:v>18.436</x:v>
      </x:c>
      <x:c r="Q69" s="28" t="n">
        <x:v>81.467</x:v>
      </x:c>
      <x:c r="R69" s="28" t="n">
        <x:v>41.594</x:v>
      </x:c>
      <x:c r="S69" s="28" t="n">
        <x:v>94.881</x:v>
      </x:c>
      <x:c r="T69" s="28" t="n">
        <x:v>12.98</x:v>
      </x:c>
      <x:c r="U69" s="28" t="n">
        <x:v>3.96</x:v>
      </x:c>
      <x:c r="V69" s="28" t="n">
        <x:v>2.86</x:v>
      </x:c>
      <x:c r="W69" t="n">
        <x:v>3</x:v>
      </x:c>
      <x:c r="X69" t="str">
        <x:v>TRANSIENT</x:v>
      </x:c>
      <x:c r="Y69" t="str">
        <x:f>IF(A69&lt;=20,"P0 Reference A",IF(A69&lt;=30,"P1 Changed orientation",IF(A69&lt;=40,"P2 Changed orientation",IF(A69&lt;=50,"P3 Changed orientation",IF(A69&lt;=60,"P4 Changed orientation",IF(A69&lt;=70,"P5 Changed orientation",IF(A69&lt;=80,"P6 Changed orientation",IF(A69&lt;=90,"P7 Changed orientation",IF(A69&lt;=92,"Transition / repositioning","P0R Reference return")))))))))</x:f>
        <x:v>P5 Changed orientation</x:v>
      </x:c>
      <x:c r="Z69" t="str">
        <x:f>IF(OR(A69&lt;=90,A69&gt;=93),"YES","NO")</x:f>
        <x:v>YES</x:v>
      </x:c>
      <x:c r="AA69" t="n">
        <x:f>H69^2</x:f>
        <x:v>0.012557667720999999</x:v>
      </x:c>
      <x:c r="AB69" t="n">
        <x:f>I69^2</x:f>
        <x:v>2.3858200521</x:v>
      </x:c>
      <x:c r="AC69" t="n">
        <x:f>J69^2</x:f>
        <x:v>10.542775217296</x:v>
      </x:c>
      <x:c r="AD69" t="n">
        <x:f>K69^2</x:f>
        <x:v>12.941150059161</x:v>
      </x:c>
      <x:c r="AE69" t="str">
        <x:f>IF(ABS(M69)&lt;=5,"YES","NO")</x:f>
        <x:v>NO</x:v>
      </x:c>
      <x:c r="AF69" t="str">
        <x:f>IF(ABS(M69)&lt;=2.5,"YES","NO")</x:f>
        <x:v>NO</x:v>
      </x:c>
      <x:c r="AG69" t="str">
        <x:f>IF(X69="STABLE","Stable",IF(AND(H69&gt;=0.03,T69&gt;10,OR(I69&lt;0.03,U69&lt;=10),OR(J69&lt;0.03,V69&lt;=10)),"X CV only","Multiple / non-X CV"))</x:f>
        <x:v>X CV only</x:v>
      </x:c>
      <x:c r="AH69" t="str">
        <x:f>IF(Z69="NO","Excluded from pose statistics: repositioning transition","")</x:f>
      </x:c>
    </x:row>
    <x:row r="70">
      <x:c r="A70" t="n">
        <x:v>66</x:v>
      </x:c>
      <x:c r="B70" s="28" t="n">
        <x:v>130.001</x:v>
      </x:c>
      <x:c r="C70" t="n">
        <x:v>0</x:v>
      </x:c>
      <x:c r="D70" s="28" t="n">
        <x:v>268</x:v>
      </x:c>
      <x:c r="E70" s="28" t="n">
        <x:v>14.75</x:v>
      </x:c>
      <x:c r="F70" s="28" t="str">
        <x:v>Z</x:v>
      </x:c>
      <x:c r="G70" s="28" t="n">
        <x:v>1.2</x:v>
      </x:c>
      <x:c r="H70" s="28" t="n">
        <x:v>0.104879</x:v>
      </x:c>
      <x:c r="I70" s="28" t="n">
        <x:v>1.557841</x:v>
      </x:c>
      <x:c r="J70" s="28" t="n">
        <x:v>3.342431</x:v>
      </x:c>
      <x:c r="K70" s="28" t="n">
        <x:v>3.689134</x:v>
      </x:c>
      <x:c r="L70" s="28" t="n">
        <x:v>3.342431</x:v>
      </x:c>
      <x:c r="M70" s="28" t="n">
        <x:v>178.536</x:v>
      </x:c>
      <x:c r="N70" s="28" t="str">
        <x:v>Z</x:v>
      </x:c>
      <x:c r="O70" s="28" t="n">
        <x:v>0.081</x:v>
      </x:c>
      <x:c r="P70" s="28" t="n">
        <x:v>17.832</x:v>
      </x:c>
      <x:c r="Q70" s="28" t="n">
        <x:v>82.087</x:v>
      </x:c>
      <x:c r="R70" s="28" t="n">
        <x:v>42.214</x:v>
      </x:c>
      <x:c r="S70" s="28" t="n">
        <x:v>99.851</x:v>
      </x:c>
      <x:c r="T70" s="28" t="n">
        <x:v>11.18</x:v>
      </x:c>
      <x:c r="U70" s="28" t="n">
        <x:v>1.23</x:v>
      </x:c>
      <x:c r="V70" s="28" t="n">
        <x:v>1.42</x:v>
      </x:c>
      <x:c r="W70" t="n">
        <x:v>3</x:v>
      </x:c>
      <x:c r="X70" t="str">
        <x:v>TRANSIENT</x:v>
      </x:c>
      <x:c r="Y70" t="str">
        <x:f>IF(A70&lt;=20,"P0 Reference A",IF(A70&lt;=30,"P1 Changed orientation",IF(A70&lt;=40,"P2 Changed orientation",IF(A70&lt;=50,"P3 Changed orientation",IF(A70&lt;=60,"P4 Changed orientation",IF(A70&lt;=70,"P5 Changed orientation",IF(A70&lt;=80,"P6 Changed orientation",IF(A70&lt;=90,"P7 Changed orientation",IF(A70&lt;=92,"Transition / repositioning","P0R Reference return")))))))))</x:f>
        <x:v>P5 Changed orientation</x:v>
      </x:c>
      <x:c r="Z70" t="str">
        <x:f>IF(OR(A70&lt;=90,A70&gt;=93),"YES","NO")</x:f>
        <x:v>YES</x:v>
      </x:c>
      <x:c r="AA70" t="n">
        <x:f>H70^2</x:f>
        <x:v>0.010999604641</x:v>
      </x:c>
      <x:c r="AB70" t="n">
        <x:f>I70^2</x:f>
        <x:v>2.426868581281</x:v>
      </x:c>
      <x:c r="AC70" t="n">
        <x:f>J70^2</x:f>
        <x:v>11.171844989761</x:v>
      </x:c>
      <x:c r="AD70" t="n">
        <x:f>K70^2</x:f>
        <x:v>13.609709669956</x:v>
      </x:c>
      <x:c r="AE70" t="str">
        <x:f>IF(ABS(M70)&lt;=5,"YES","NO")</x:f>
        <x:v>NO</x:v>
      </x:c>
      <x:c r="AF70" t="str">
        <x:f>IF(ABS(M70)&lt;=2.5,"YES","NO")</x:f>
        <x:v>NO</x:v>
      </x:c>
      <x:c r="AG70" t="str">
        <x:f>IF(X70="STABLE","Stable",IF(AND(H70&gt;=0.03,T70&gt;10,OR(I70&lt;0.03,U70&lt;=10),OR(J70&lt;0.03,V70&lt;=10)),"X CV only","Multiple / non-X CV"))</x:f>
        <x:v>X CV only</x:v>
      </x:c>
      <x:c r="AH70" t="str">
        <x:f>IF(Z70="NO","Excluded from pose statistics: repositioning transition","")</x:f>
      </x:c>
    </x:row>
    <x:row r="71">
      <x:c r="A71" t="n">
        <x:v>67</x:v>
      </x:c>
      <x:c r="B71" s="28" t="n">
        <x:v>132</x:v>
      </x:c>
      <x:c r="C71" t="n">
        <x:v>0</x:v>
      </x:c>
      <x:c r="D71" s="28" t="n">
        <x:v>268</x:v>
      </x:c>
      <x:c r="E71" s="28" t="n">
        <x:v>14.75</x:v>
      </x:c>
      <x:c r="F71" s="28" t="str">
        <x:v>Z</x:v>
      </x:c>
      <x:c r="G71" s="28" t="n">
        <x:v>1.2</x:v>
      </x:c>
      <x:c r="H71" s="28" t="n">
        <x:v>0.109727</x:v>
      </x:c>
      <x:c r="I71" s="28" t="n">
        <x:v>1.463046</x:v>
      </x:c>
      <x:c r="J71" s="28" t="n">
        <x:v>3.151805</x:v>
      </x:c>
      <x:c r="K71" s="28" t="n">
        <x:v>3.476552</x:v>
      </x:c>
      <x:c r="L71" s="28" t="n">
        <x:v>3.151805</x:v>
      </x:c>
      <x:c r="M71" s="28" t="n">
        <x:v>162.65</x:v>
      </x:c>
      <x:c r="N71" s="28" t="str">
        <x:v>Z</x:v>
      </x:c>
      <x:c r="O71" s="28" t="n">
        <x:v>0.1</x:v>
      </x:c>
      <x:c r="P71" s="28" t="n">
        <x:v>17.71</x:v>
      </x:c>
      <x:c r="Q71" s="28" t="n">
        <x:v>82.19</x:v>
      </x:c>
      <x:c r="R71" s="28" t="n">
        <x:v>42.317</x:v>
      </x:c>
      <x:c r="S71" s="28" t="n">
        <x:v>88.335</x:v>
      </x:c>
      <x:c r="T71" s="28" t="n">
        <x:v>8.73</x:v>
      </x:c>
      <x:c r="U71" s="28" t="n">
        <x:v>1.44</x:v>
      </x:c>
      <x:c r="V71" s="28" t="n">
        <x:v>0.99</x:v>
      </x:c>
      <x:c r="W71" t="n">
        <x:v>3</x:v>
      </x:c>
      <x:c r="X71" t="str">
        <x:v>STABLE</x:v>
      </x:c>
      <x:c r="Y71" t="str">
        <x:f>IF(A71&lt;=20,"P0 Reference A",IF(A71&lt;=30,"P1 Changed orientation",IF(A71&lt;=40,"P2 Changed orientation",IF(A71&lt;=50,"P3 Changed orientation",IF(A71&lt;=60,"P4 Changed orientation",IF(A71&lt;=70,"P5 Changed orientation",IF(A71&lt;=80,"P6 Changed orientation",IF(A71&lt;=90,"P7 Changed orientation",IF(A71&lt;=92,"Transition / repositioning","P0R Reference return")))))))))</x:f>
        <x:v>P5 Changed orientation</x:v>
      </x:c>
      <x:c r="Z71" t="str">
        <x:f>IF(OR(A71&lt;=90,A71&gt;=93),"YES","NO")</x:f>
        <x:v>YES</x:v>
      </x:c>
      <x:c r="AA71" t="n">
        <x:f>H71^2</x:f>
        <x:v>0.012040014529000002</x:v>
      </x:c>
      <x:c r="AB71" t="n">
        <x:f>I71^2</x:f>
        <x:v>2.140503598116</x:v>
      </x:c>
      <x:c r="AC71" t="n">
        <x:f>J71^2</x:f>
        <x:v>9.933874758025</x:v>
      </x:c>
      <x:c r="AD71" t="n">
        <x:f>K71^2</x:f>
        <x:v>12.086413808703998</x:v>
      </x:c>
      <x:c r="AE71" t="str">
        <x:f>IF(ABS(M71)&lt;=5,"YES","NO")</x:f>
        <x:v>NO</x:v>
      </x:c>
      <x:c r="AF71" t="str">
        <x:f>IF(ABS(M71)&lt;=2.5,"YES","NO")</x:f>
        <x:v>NO</x:v>
      </x:c>
      <x:c r="AG71" t="str">
        <x:f>IF(X71="STABLE","Stable",IF(AND(H71&gt;=0.03,T71&gt;10,OR(I71&lt;0.03,U71&lt;=10),OR(J71&lt;0.03,V71&lt;=10)),"X CV only","Multiple / non-X CV"))</x:f>
        <x:v>Stable</x:v>
      </x:c>
      <x:c r="AH71" t="str">
        <x:f>IF(Z71="NO","Excluded from pose statistics: repositioning transition","")</x:f>
      </x:c>
    </x:row>
    <x:row r="72">
      <x:c r="A72" t="n">
        <x:v>68</x:v>
      </x:c>
      <x:c r="B72" s="28" t="n">
        <x:v>134.001</x:v>
      </x:c>
      <x:c r="C72" t="n">
        <x:v>0</x:v>
      </x:c>
      <x:c r="D72" s="28" t="n">
        <x:v>268</x:v>
      </x:c>
      <x:c r="E72" s="28" t="n">
        <x:v>14.75</x:v>
      </x:c>
      <x:c r="F72" s="28" t="str">
        <x:v>Z</x:v>
      </x:c>
      <x:c r="G72" s="28" t="n">
        <x:v>1.2</x:v>
      </x:c>
      <x:c r="H72" s="28" t="n">
        <x:v>0.110317</x:v>
      </x:c>
      <x:c r="I72" s="28" t="n">
        <x:v>1.419004</x:v>
      </x:c>
      <x:c r="J72" s="28" t="n">
        <x:v>3.046734</x:v>
      </x:c>
      <x:c r="K72" s="28" t="n">
        <x:v>3.362786</x:v>
      </x:c>
      <x:c r="L72" s="28" t="n">
        <x:v>3.046734</x:v>
      </x:c>
      <x:c r="M72" s="28" t="n">
        <x:v>153.894</x:v>
      </x:c>
      <x:c r="N72" s="28" t="str">
        <x:v>Z</x:v>
      </x:c>
      <x:c r="O72" s="28" t="n">
        <x:v>0.108</x:v>
      </x:c>
      <x:c r="P72" s="28" t="n">
        <x:v>17.806</x:v>
      </x:c>
      <x:c r="Q72" s="28" t="n">
        <x:v>82.086</x:v>
      </x:c>
      <x:c r="R72" s="28" t="n">
        <x:v>42.213</x:v>
      </x:c>
      <x:c r="S72" s="28" t="n">
        <x:v>82.172</x:v>
      </x:c>
      <x:c r="T72" s="28" t="n">
        <x:v>9.74</x:v>
      </x:c>
      <x:c r="U72" s="28" t="n">
        <x:v>1.28</x:v>
      </x:c>
      <x:c r="V72" s="28" t="n">
        <x:v>1.22</x:v>
      </x:c>
      <x:c r="W72" t="n">
        <x:v>3</x:v>
      </x:c>
      <x:c r="X72" t="str">
        <x:v>STABLE</x:v>
      </x:c>
      <x:c r="Y72" t="str">
        <x:f>IF(A72&lt;=20,"P0 Reference A",IF(A72&lt;=30,"P1 Changed orientation",IF(A72&lt;=40,"P2 Changed orientation",IF(A72&lt;=50,"P3 Changed orientation",IF(A72&lt;=60,"P4 Changed orientation",IF(A72&lt;=70,"P5 Changed orientation",IF(A72&lt;=80,"P6 Changed orientation",IF(A72&lt;=90,"P7 Changed orientation",IF(A72&lt;=92,"Transition / repositioning","P0R Reference return")))))))))</x:f>
        <x:v>P5 Changed orientation</x:v>
      </x:c>
      <x:c r="Z72" t="str">
        <x:f>IF(OR(A72&lt;=90,A72&gt;=93),"YES","NO")</x:f>
        <x:v>YES</x:v>
      </x:c>
      <x:c r="AA72" t="n">
        <x:f>H72^2</x:f>
        <x:v>0.012169840489</x:v>
      </x:c>
      <x:c r="AB72" t="n">
        <x:f>I72^2</x:f>
        <x:v>2.013572352016</x:v>
      </x:c>
      <x:c r="AC72" t="n">
        <x:f>J72^2</x:f>
        <x:v>9.282588066755999</x:v>
      </x:c>
      <x:c r="AD72" t="n">
        <x:f>K72^2</x:f>
        <x:v>11.308329681796</x:v>
      </x:c>
      <x:c r="AE72" t="str">
        <x:f>IF(ABS(M72)&lt;=5,"YES","NO")</x:f>
        <x:v>NO</x:v>
      </x:c>
      <x:c r="AF72" t="str">
        <x:f>IF(ABS(M72)&lt;=2.5,"YES","NO")</x:f>
        <x:v>NO</x:v>
      </x:c>
      <x:c r="AG72" t="str">
        <x:f>IF(X72="STABLE","Stable",IF(AND(H72&gt;=0.03,T72&gt;10,OR(I72&lt;0.03,U72&lt;=10),OR(J72&lt;0.03,V72&lt;=10)),"X CV only","Multiple / non-X CV"))</x:f>
        <x:v>Stable</x:v>
      </x:c>
      <x:c r="AH72" t="str">
        <x:f>IF(Z72="NO","Excluded from pose statistics: repositioning transition","")</x:f>
      </x:c>
    </x:row>
    <x:row r="73">
      <x:c r="A73" t="n">
        <x:v>69</x:v>
      </x:c>
      <x:c r="B73" s="28" t="n">
        <x:v>136</x:v>
      </x:c>
      <x:c r="C73" t="n">
        <x:v>0</x:v>
      </x:c>
      <x:c r="D73" s="28" t="n">
        <x:v>268</x:v>
      </x:c>
      <x:c r="E73" s="28" t="n">
        <x:v>14.75</x:v>
      </x:c>
      <x:c r="F73" s="28" t="str">
        <x:v>Z</x:v>
      </x:c>
      <x:c r="G73" s="28" t="n">
        <x:v>1.2</x:v>
      </x:c>
      <x:c r="H73" s="28" t="n">
        <x:v>0.111111</x:v>
      </x:c>
      <x:c r="I73" s="28" t="n">
        <x:v>1.393643</x:v>
      </x:c>
      <x:c r="J73" s="28" t="n">
        <x:v>2.993127</x:v>
      </x:c>
      <x:c r="K73" s="28" t="n">
        <x:v>3.303543</x:v>
      </x:c>
      <x:c r="L73" s="28" t="n">
        <x:v>2.993127</x:v>
      </x:c>
      <x:c r="M73" s="28" t="n">
        <x:v>149.427</x:v>
      </x:c>
      <x:c r="N73" s="28" t="str">
        <x:v>Z</x:v>
      </x:c>
      <x:c r="O73" s="28" t="n">
        <x:v>0.113</x:v>
      </x:c>
      <x:c r="P73" s="28" t="n">
        <x:v>17.797</x:v>
      </x:c>
      <x:c r="Q73" s="28" t="n">
        <x:v>82.09</x:v>
      </x:c>
      <x:c r="R73" s="28" t="n">
        <x:v>42.217</x:v>
      </x:c>
      <x:c r="S73" s="28" t="n">
        <x:v>78.963</x:v>
      </x:c>
      <x:c r="T73" s="28" t="n">
        <x:v>9.34</x:v>
      </x:c>
      <x:c r="U73" s="28" t="n">
        <x:v>2.13</x:v>
      </x:c>
      <x:c r="V73" s="28" t="n">
        <x:v>0.8</x:v>
      </x:c>
      <x:c r="W73" t="n">
        <x:v>3</x:v>
      </x:c>
      <x:c r="X73" t="str">
        <x:v>STABLE</x:v>
      </x:c>
      <x:c r="Y73" t="str">
        <x:f>IF(A73&lt;=20,"P0 Reference A",IF(A73&lt;=30,"P1 Changed orientation",IF(A73&lt;=40,"P2 Changed orientation",IF(A73&lt;=50,"P3 Changed orientation",IF(A73&lt;=60,"P4 Changed orientation",IF(A73&lt;=70,"P5 Changed orientation",IF(A73&lt;=80,"P6 Changed orientation",IF(A73&lt;=90,"P7 Changed orientation",IF(A73&lt;=92,"Transition / repositioning","P0R Reference return")))))))))</x:f>
        <x:v>P5 Changed orientation</x:v>
      </x:c>
      <x:c r="Z73" t="str">
        <x:f>IF(OR(A73&lt;=90,A73&gt;=93),"YES","NO")</x:f>
        <x:v>YES</x:v>
      </x:c>
      <x:c r="AA73" t="n">
        <x:f>H73^2</x:f>
        <x:v>0.012345654321</x:v>
      </x:c>
      <x:c r="AB73" t="n">
        <x:f>I73^2</x:f>
        <x:v>1.942240811449</x:v>
      </x:c>
      <x:c r="AC73" t="n">
        <x:f>J73^2</x:f>
        <x:v>8.958809238129</x:v>
      </x:c>
      <x:c r="AD73" t="n">
        <x:f>K73^2</x:f>
        <x:v>10.913396352848999</x:v>
      </x:c>
      <x:c r="AE73" t="str">
        <x:f>IF(ABS(M73)&lt;=5,"YES","NO")</x:f>
        <x:v>NO</x:v>
      </x:c>
      <x:c r="AF73" t="str">
        <x:f>IF(ABS(M73)&lt;=2.5,"YES","NO")</x:f>
        <x:v>NO</x:v>
      </x:c>
      <x:c r="AG73" t="str">
        <x:f>IF(X73="STABLE","Stable",IF(AND(H73&gt;=0.03,T73&gt;10,OR(I73&lt;0.03,U73&lt;=10),OR(J73&lt;0.03,V73&lt;=10)),"X CV only","Multiple / non-X CV"))</x:f>
        <x:v>Stable</x:v>
      </x:c>
      <x:c r="AH73" t="str">
        <x:f>IF(Z73="NO","Excluded from pose statistics: repositioning transition","")</x:f>
      </x:c>
    </x:row>
    <x:row r="74">
      <x:c r="A74" t="n">
        <x:v>70</x:v>
      </x:c>
      <x:c r="B74" s="28" t="n">
        <x:v>138.001</x:v>
      </x:c>
      <x:c r="C74" t="n">
        <x:v>0</x:v>
      </x:c>
      <x:c r="D74" s="28" t="n">
        <x:v>268</x:v>
      </x:c>
      <x:c r="E74" s="28" t="n">
        <x:v>14.75</x:v>
      </x:c>
      <x:c r="F74" s="28" t="str">
        <x:v>Z</x:v>
      </x:c>
      <x:c r="G74" s="28" t="n">
        <x:v>1.2</x:v>
      </x:c>
      <x:c r="H74" s="28" t="n">
        <x:v>0.091527</x:v>
      </x:c>
      <x:c r="I74" s="28" t="n">
        <x:v>1.376702</x:v>
      </x:c>
      <x:c r="J74" s="28" t="n">
        <x:v>2.978653</x:v>
      </x:c>
      <x:c r="K74" s="28" t="n">
        <x:v>3.282691</x:v>
      </x:c>
      <x:c r="L74" s="28" t="n">
        <x:v>2.978653</x:v>
      </x:c>
      <x:c r="M74" s="28" t="n">
        <x:v>148.221</x:v>
      </x:c>
      <x:c r="N74" s="28" t="str">
        <x:v>Z</x:v>
      </x:c>
      <x:c r="O74" s="28" t="n">
        <x:v>0.078</x:v>
      </x:c>
      <x:c r="P74" s="28" t="n">
        <x:v>17.588</x:v>
      </x:c>
      <x:c r="Q74" s="28" t="n">
        <x:v>82.334</x:v>
      </x:c>
      <x:c r="R74" s="28" t="n">
        <x:v>42.461</x:v>
      </x:c>
      <x:c r="S74" s="28" t="n">
        <x:v>77.833</x:v>
      </x:c>
      <x:c r="T74" s="28" t="n">
        <x:v>8.35</x:v>
      </x:c>
      <x:c r="U74" s="28" t="n">
        <x:v>0.68</x:v>
      </x:c>
      <x:c r="V74" s="28" t="n">
        <x:v>0.57</x:v>
      </x:c>
      <x:c r="W74" t="n">
        <x:v>3</x:v>
      </x:c>
      <x:c r="X74" t="str">
        <x:v>STABLE</x:v>
      </x:c>
      <x:c r="Y74" t="str">
        <x:f>IF(A74&lt;=20,"P0 Reference A",IF(A74&lt;=30,"P1 Changed orientation",IF(A74&lt;=40,"P2 Changed orientation",IF(A74&lt;=50,"P3 Changed orientation",IF(A74&lt;=60,"P4 Changed orientation",IF(A74&lt;=70,"P5 Changed orientation",IF(A74&lt;=80,"P6 Changed orientation",IF(A74&lt;=90,"P7 Changed orientation",IF(A74&lt;=92,"Transition / repositioning","P0R Reference return")))))))))</x:f>
        <x:v>P5 Changed orientation</x:v>
      </x:c>
      <x:c r="Z74" t="str">
        <x:f>IF(OR(A74&lt;=90,A74&gt;=93),"YES","NO")</x:f>
        <x:v>YES</x:v>
      </x:c>
      <x:c r="AA74" t="n">
        <x:f>H74^2</x:f>
        <x:v>0.008377191729</x:v>
      </x:c>
      <x:c r="AB74" t="n">
        <x:f>I74^2</x:f>
        <x:v>1.8953083968040003</x:v>
      </x:c>
      <x:c r="AC74" t="n">
        <x:f>J74^2</x:f>
        <x:v>8.872373694409</x:v>
      </x:c>
      <x:c r="AD74" t="n">
        <x:f>K74^2</x:f>
        <x:v>10.776060201480998</x:v>
      </x:c>
      <x:c r="AE74" t="str">
        <x:f>IF(ABS(M74)&lt;=5,"YES","NO")</x:f>
        <x:v>NO</x:v>
      </x:c>
      <x:c r="AF74" t="str">
        <x:f>IF(ABS(M74)&lt;=2.5,"YES","NO")</x:f>
        <x:v>NO</x:v>
      </x:c>
      <x:c r="AG74" t="str">
        <x:f>IF(X74="STABLE","Stable",IF(AND(H74&gt;=0.03,T74&gt;10,OR(I74&lt;0.03,U74&lt;=10),OR(J74&lt;0.03,V74&lt;=10)),"X CV only","Multiple / non-X CV"))</x:f>
        <x:v>Stable</x:v>
      </x:c>
      <x:c r="AH74" t="str">
        <x:f>IF(Z74="NO","Excluded from pose statistics: repositioning transition","")</x:f>
      </x:c>
    </x:row>
    <x:row r="75">
      <x:c r="A75" t="n">
        <x:v>71</x:v>
      </x:c>
      <x:c r="B75" s="28" t="n">
        <x:v>140</x:v>
      </x:c>
      <x:c r="C75" t="n">
        <x:v>0</x:v>
      </x:c>
      <x:c r="D75" s="28" t="n">
        <x:v>268</x:v>
      </x:c>
      <x:c r="E75" s="28" t="n">
        <x:v>14.75</x:v>
      </x:c>
      <x:c r="F75" s="28" t="str">
        <x:v>Z</x:v>
      </x:c>
      <x:c r="G75" s="28" t="n">
        <x:v>1.2</x:v>
      </x:c>
      <x:c r="H75" s="28" t="n">
        <x:v>0.092093</x:v>
      </x:c>
      <x:c r="I75" s="28" t="n">
        <x:v>1.176372</x:v>
      </x:c>
      <x:c r="J75" s="28" t="n">
        <x:v>2.665399</x:v>
      </x:c>
      <x:c r="K75" s="28" t="n">
        <x:v>2.914907</x:v>
      </x:c>
      <x:c r="L75" s="28" t="n">
        <x:v>2.665399</x:v>
      </x:c>
      <x:c r="M75" s="28" t="n">
        <x:v>122.117</x:v>
      </x:c>
      <x:c r="N75" s="28" t="str">
        <x:v>Z</x:v>
      </x:c>
      <x:c r="O75" s="28" t="n">
        <x:v>0.1</x:v>
      </x:c>
      <x:c r="P75" s="28" t="n">
        <x:v>16.287</x:v>
      </x:c>
      <x:c r="Q75" s="28" t="n">
        <x:v>83.613</x:v>
      </x:c>
      <x:c r="R75" s="28" t="n">
        <x:v>43.74</x:v>
      </x:c>
      <x:c r="S75" s="28" t="n">
        <x:v>57.909</x:v>
      </x:c>
      <x:c r="T75" s="28" t="n">
        <x:v>16.68</x:v>
      </x:c>
      <x:c r="U75" s="28" t="n">
        <x:v>3.08</x:v>
      </x:c>
      <x:c r="V75" s="28" t="n">
        <x:v>3.45</x:v>
      </x:c>
      <x:c r="W75" t="n">
        <x:v>3</x:v>
      </x:c>
      <x:c r="X75" t="str">
        <x:v>TRANSIENT</x:v>
      </x:c>
      <x:c r="Y75" t="str">
        <x:f>IF(A75&lt;=20,"P0 Reference A",IF(A75&lt;=30,"P1 Changed orientation",IF(A75&lt;=40,"P2 Changed orientation",IF(A75&lt;=50,"P3 Changed orientation",IF(A75&lt;=60,"P4 Changed orientation",IF(A75&lt;=70,"P5 Changed orientation",IF(A75&lt;=80,"P6 Changed orientation",IF(A75&lt;=90,"P7 Changed orientation",IF(A75&lt;=92,"Transition / repositioning","P0R Reference return")))))))))</x:f>
        <x:v>P6 Changed orientation</x:v>
      </x:c>
      <x:c r="Z75" t="str">
        <x:f>IF(OR(A75&lt;=90,A75&gt;=93),"YES","NO")</x:f>
        <x:v>YES</x:v>
      </x:c>
      <x:c r="AA75" t="n">
        <x:f>H75^2</x:f>
        <x:v>0.008481120649</x:v>
      </x:c>
      <x:c r="AB75" t="n">
        <x:f>I75^2</x:f>
        <x:v>1.383851082384</x:v>
      </x:c>
      <x:c r="AC75" t="n">
        <x:f>J75^2</x:f>
        <x:v>7.104351829200999</x:v>
      </x:c>
      <x:c r="AD75" t="n">
        <x:f>K75^2</x:f>
        <x:v>8.496682818648999</x:v>
      </x:c>
      <x:c r="AE75" t="str">
        <x:f>IF(ABS(M75)&lt;=5,"YES","NO")</x:f>
        <x:v>NO</x:v>
      </x:c>
      <x:c r="AF75" t="str">
        <x:f>IF(ABS(M75)&lt;=2.5,"YES","NO")</x:f>
        <x:v>NO</x:v>
      </x:c>
      <x:c r="AG75" t="str">
        <x:f>IF(X75="STABLE","Stable",IF(AND(H75&gt;=0.03,T75&gt;10,OR(I75&lt;0.03,U75&lt;=10),OR(J75&lt;0.03,V75&lt;=10)),"X CV only","Multiple / non-X CV"))</x:f>
        <x:v>X CV only</x:v>
      </x:c>
      <x:c r="AH75" t="str">
        <x:f>IF(Z75="NO","Excluded from pose statistics: repositioning transition","")</x:f>
      </x:c>
    </x:row>
    <x:row r="76">
      <x:c r="A76" t="n">
        <x:v>72</x:v>
      </x:c>
      <x:c r="B76" s="28" t="n">
        <x:v>142.001</x:v>
      </x:c>
      <x:c r="C76" t="n">
        <x:v>0</x:v>
      </x:c>
      <x:c r="D76" s="28" t="n">
        <x:v>268</x:v>
      </x:c>
      <x:c r="E76" s="28" t="n">
        <x:v>14.75</x:v>
      </x:c>
      <x:c r="F76" s="28" t="str">
        <x:v>Z</x:v>
      </x:c>
      <x:c r="G76" s="28" t="n">
        <x:v>1.2</x:v>
      </x:c>
      <x:c r="H76" s="28" t="n">
        <x:v>0.111734</x:v>
      </x:c>
      <x:c r="I76" s="28" t="n">
        <x:v>1.237205</x:v>
      </x:c>
      <x:c r="J76" s="28" t="n">
        <x:v>2.881325</x:v>
      </x:c>
      <x:c r="K76" s="28" t="n">
        <x:v>3.137705</x:v>
      </x:c>
      <x:c r="L76" s="28" t="n">
        <x:v>2.881325</x:v>
      </x:c>
      <x:c r="M76" s="28" t="n">
        <x:v>140.11</x:v>
      </x:c>
      <x:c r="N76" s="28" t="str">
        <x:v>Z</x:v>
      </x:c>
      <x:c r="O76" s="28" t="n">
        <x:v>0.127</x:v>
      </x:c>
      <x:c r="P76" s="28" t="n">
        <x:v>15.547</x:v>
      </x:c>
      <x:c r="Q76" s="28" t="n">
        <x:v>84.326</x:v>
      </x:c>
      <x:c r="R76" s="28" t="n">
        <x:v>44.453</x:v>
      </x:c>
      <x:c r="S76" s="28" t="n">
        <x:v>69.979</x:v>
      </x:c>
      <x:c r="T76" s="28" t="n">
        <x:v>15.2</x:v>
      </x:c>
      <x:c r="U76" s="28" t="n">
        <x:v>2.64</x:v>
      </x:c>
      <x:c r="V76" s="28" t="n">
        <x:v>2.02</x:v>
      </x:c>
      <x:c r="W76" t="n">
        <x:v>3</x:v>
      </x:c>
      <x:c r="X76" t="str">
        <x:v>TRANSIENT</x:v>
      </x:c>
      <x:c r="Y76" t="str">
        <x:f>IF(A76&lt;=20,"P0 Reference A",IF(A76&lt;=30,"P1 Changed orientation",IF(A76&lt;=40,"P2 Changed orientation",IF(A76&lt;=50,"P3 Changed orientation",IF(A76&lt;=60,"P4 Changed orientation",IF(A76&lt;=70,"P5 Changed orientation",IF(A76&lt;=80,"P6 Changed orientation",IF(A76&lt;=90,"P7 Changed orientation",IF(A76&lt;=92,"Transition / repositioning","P0R Reference return")))))))))</x:f>
        <x:v>P6 Changed orientation</x:v>
      </x:c>
      <x:c r="Z76" t="str">
        <x:f>IF(OR(A76&lt;=90,A76&gt;=93),"YES","NO")</x:f>
        <x:v>YES</x:v>
      </x:c>
      <x:c r="AA76" t="n">
        <x:f>H76^2</x:f>
        <x:v>0.012484486756</x:v>
      </x:c>
      <x:c r="AB76" t="n">
        <x:f>I76^2</x:f>
        <x:v>1.5306762120250004</x:v>
      </x:c>
      <x:c r="AC76" t="n">
        <x:f>J76^2</x:f>
        <x:v>8.302033755624999</x:v>
      </x:c>
      <x:c r="AD76" t="n">
        <x:f>K76^2</x:f>
        <x:v>9.845192667025</x:v>
      </x:c>
      <x:c r="AE76" t="str">
        <x:f>IF(ABS(M76)&lt;=5,"YES","NO")</x:f>
        <x:v>NO</x:v>
      </x:c>
      <x:c r="AF76" t="str">
        <x:f>IF(ABS(M76)&lt;=2.5,"YES","NO")</x:f>
        <x:v>NO</x:v>
      </x:c>
      <x:c r="AG76" t="str">
        <x:f>IF(X76="STABLE","Stable",IF(AND(H76&gt;=0.03,T76&gt;10,OR(I76&lt;0.03,U76&lt;=10),OR(J76&lt;0.03,V76&lt;=10)),"X CV only","Multiple / non-X CV"))</x:f>
        <x:v>X CV only</x:v>
      </x:c>
      <x:c r="AH76" t="str">
        <x:f>IF(Z76="NO","Excluded from pose statistics: repositioning transition","")</x:f>
      </x:c>
    </x:row>
    <x:row r="77">
      <x:c r="A77" t="n">
        <x:v>73</x:v>
      </x:c>
      <x:c r="B77" s="28" t="n">
        <x:v>144</x:v>
      </x:c>
      <x:c r="C77" t="n">
        <x:v>0</x:v>
      </x:c>
      <x:c r="D77" s="28" t="n">
        <x:v>268</x:v>
      </x:c>
      <x:c r="E77" s="28" t="n">
        <x:v>14.75</x:v>
      </x:c>
      <x:c r="F77" s="28" t="str">
        <x:v>Z</x:v>
      </x:c>
      <x:c r="G77" s="28" t="n">
        <x:v>1.2</x:v>
      </x:c>
      <x:c r="H77" s="28" t="n">
        <x:v>0.12352</x:v>
      </x:c>
      <x:c r="I77" s="28" t="n">
        <x:v>1.237847</x:v>
      </x:c>
      <x:c r="J77" s="28" t="n">
        <x:v>2.812783</x:v>
      </x:c>
      <x:c r="K77" s="28" t="n">
        <x:v>3.075592</x:v>
      </x:c>
      <x:c r="L77" s="28" t="n">
        <x:v>2.812783</x:v>
      </x:c>
      <x:c r="M77" s="28" t="n">
        <x:v>134.399</x:v>
      </x:c>
      <x:c r="N77" s="28" t="str">
        <x:v>Z</x:v>
      </x:c>
      <x:c r="O77" s="28" t="n">
        <x:v>0.161</x:v>
      </x:c>
      <x:c r="P77" s="28" t="n">
        <x:v>16.199</x:v>
      </x:c>
      <x:c r="Q77" s="28" t="n">
        <x:v>83.64</x:v>
      </x:c>
      <x:c r="R77" s="28" t="n">
        <x:v>43.767</x:v>
      </x:c>
      <x:c r="S77" s="28" t="n">
        <x:v>66.614</x:v>
      </x:c>
      <x:c r="T77" s="28" t="n">
        <x:v>4.82</x:v>
      </x:c>
      <x:c r="U77" s="28" t="n">
        <x:v>2.13</x:v>
      </x:c>
      <x:c r="V77" s="28" t="n">
        <x:v>3.72</x:v>
      </x:c>
      <x:c r="W77" t="n">
        <x:v>3</x:v>
      </x:c>
      <x:c r="X77" t="str">
        <x:v>STABLE</x:v>
      </x:c>
      <x:c r="Y77" t="str">
        <x:f>IF(A77&lt;=20,"P0 Reference A",IF(A77&lt;=30,"P1 Changed orientation",IF(A77&lt;=40,"P2 Changed orientation",IF(A77&lt;=50,"P3 Changed orientation",IF(A77&lt;=60,"P4 Changed orientation",IF(A77&lt;=70,"P5 Changed orientation",IF(A77&lt;=80,"P6 Changed orientation",IF(A77&lt;=90,"P7 Changed orientation",IF(A77&lt;=92,"Transition / repositioning","P0R Reference return")))))))))</x:f>
        <x:v>P6 Changed orientation</x:v>
      </x:c>
      <x:c r="Z77" t="str">
        <x:f>IF(OR(A77&lt;=90,A77&gt;=93),"YES","NO")</x:f>
        <x:v>YES</x:v>
      </x:c>
      <x:c r="AA77" t="n">
        <x:f>H77^2</x:f>
        <x:v>0.0152571904</x:v>
      </x:c>
      <x:c r="AB77" t="n">
        <x:f>I77^2</x:f>
        <x:v>1.5322651954089999</x:v>
      </x:c>
      <x:c r="AC77" t="n">
        <x:f>J77^2</x:f>
        <x:v>7.911748205089</x:v>
      </x:c>
      <x:c r="AD77" t="n">
        <x:f>K77^2</x:f>
        <x:v>9.459266150464</x:v>
      </x:c>
      <x:c r="AE77" t="str">
        <x:f>IF(ABS(M77)&lt;=5,"YES","NO")</x:f>
        <x:v>NO</x:v>
      </x:c>
      <x:c r="AF77" t="str">
        <x:f>IF(ABS(M77)&lt;=2.5,"YES","NO")</x:f>
        <x:v>NO</x:v>
      </x:c>
      <x:c r="AG77" t="str">
        <x:f>IF(X77="STABLE","Stable",IF(AND(H77&gt;=0.03,T77&gt;10,OR(I77&lt;0.03,U77&lt;=10),OR(J77&lt;0.03,V77&lt;=10)),"X CV only","Multiple / non-X CV"))</x:f>
        <x:v>Stable</x:v>
      </x:c>
      <x:c r="AH77" t="str">
        <x:f>IF(Z77="NO","Excluded from pose statistics: repositioning transition","")</x:f>
      </x:c>
    </x:row>
    <x:row r="78">
      <x:c r="A78" t="n">
        <x:v>74</x:v>
      </x:c>
      <x:c r="B78" s="28" t="n">
        <x:v>146.001</x:v>
      </x:c>
      <x:c r="C78" t="n">
        <x:v>0</x:v>
      </x:c>
      <x:c r="D78" s="28" t="n">
        <x:v>268</x:v>
      </x:c>
      <x:c r="E78" s="28" t="n">
        <x:v>14.75</x:v>
      </x:c>
      <x:c r="F78" s="28" t="str">
        <x:v>Z</x:v>
      </x:c>
      <x:c r="G78" s="28" t="n">
        <x:v>1.2</x:v>
      </x:c>
      <x:c r="H78" s="28" t="n">
        <x:v>0.115634</x:v>
      </x:c>
      <x:c r="I78" s="28" t="n">
        <x:v>1.233548</x:v>
      </x:c>
      <x:c r="J78" s="28" t="n">
        <x:v>2.842037</x:v>
      </x:c>
      <x:c r="K78" s="28" t="n">
        <x:v>3.100353</x:v>
      </x:c>
      <x:c r="L78" s="28" t="n">
        <x:v>2.842037</x:v>
      </x:c>
      <x:c r="M78" s="28" t="n">
        <x:v>136.836</x:v>
      </x:c>
      <x:c r="N78" s="28" t="str">
        <x:v>Z</x:v>
      </x:c>
      <x:c r="O78" s="28" t="n">
        <x:v>0.139</x:v>
      </x:c>
      <x:c r="P78" s="28" t="n">
        <x:v>15.83</x:v>
      </x:c>
      <x:c r="Q78" s="28" t="n">
        <x:v>84.031</x:v>
      </x:c>
      <x:c r="R78" s="28" t="n">
        <x:v>44.157</x:v>
      </x:c>
      <x:c r="S78" s="28" t="n">
        <x:v>67.955</x:v>
      </x:c>
      <x:c r="T78" s="28" t="n">
        <x:v>3.43</x:v>
      </x:c>
      <x:c r="U78" s="28" t="n">
        <x:v>0.38</x:v>
      </x:c>
      <x:c r="V78" s="28" t="n">
        <x:v>0.45</x:v>
      </x:c>
      <x:c r="W78" t="n">
        <x:v>3</x:v>
      </x:c>
      <x:c r="X78" t="str">
        <x:v>STABLE</x:v>
      </x:c>
      <x:c r="Y78" t="str">
        <x:f>IF(A78&lt;=20,"P0 Reference A",IF(A78&lt;=30,"P1 Changed orientation",IF(A78&lt;=40,"P2 Changed orientation",IF(A78&lt;=50,"P3 Changed orientation",IF(A78&lt;=60,"P4 Changed orientation",IF(A78&lt;=70,"P5 Changed orientation",IF(A78&lt;=80,"P6 Changed orientation",IF(A78&lt;=90,"P7 Changed orientation",IF(A78&lt;=92,"Transition / repositioning","P0R Reference return")))))))))</x:f>
        <x:v>P6 Changed orientation</x:v>
      </x:c>
      <x:c r="Z78" t="str">
        <x:f>IF(OR(A78&lt;=90,A78&gt;=93),"YES","NO")</x:f>
        <x:v>YES</x:v>
      </x:c>
      <x:c r="AA78" t="n">
        <x:f>H78^2</x:f>
        <x:v>0.013371221956</x:v>
      </x:c>
      <x:c r="AB78" t="n">
        <x:f>I78^2</x:f>
        <x:v>1.5216406683040002</x:v>
      </x:c>
      <x:c r="AC78" t="n">
        <x:f>J78^2</x:f>
        <x:v>8.077174309369</x:v>
      </x:c>
      <x:c r="AD78" t="n">
        <x:f>K78^2</x:f>
        <x:v>9.612188724609</x:v>
      </x:c>
      <x:c r="AE78" t="str">
        <x:f>IF(ABS(M78)&lt;=5,"YES","NO")</x:f>
        <x:v>NO</x:v>
      </x:c>
      <x:c r="AF78" t="str">
        <x:f>IF(ABS(M78)&lt;=2.5,"YES","NO")</x:f>
        <x:v>NO</x:v>
      </x:c>
      <x:c r="AG78" t="str">
        <x:f>IF(X78="STABLE","Stable",IF(AND(H78&gt;=0.03,T78&gt;10,OR(I78&lt;0.03,U78&lt;=10),OR(J78&lt;0.03,V78&lt;=10)),"X CV only","Multiple / non-X CV"))</x:f>
        <x:v>Stable</x:v>
      </x:c>
      <x:c r="AH78" t="str">
        <x:f>IF(Z78="NO","Excluded from pose statistics: repositioning transition","")</x:f>
      </x:c>
    </x:row>
    <x:row r="79">
      <x:c r="A79" t="n">
        <x:v>75</x:v>
      </x:c>
      <x:c r="B79" s="28" t="n">
        <x:v>148</x:v>
      </x:c>
      <x:c r="C79" t="n">
        <x:v>0</x:v>
      </x:c>
      <x:c r="D79" s="28" t="n">
        <x:v>268</x:v>
      </x:c>
      <x:c r="E79" s="28" t="n">
        <x:v>14.75</x:v>
      </x:c>
      <x:c r="F79" s="28" t="str">
        <x:v>Z</x:v>
      </x:c>
      <x:c r="G79" s="28" t="n">
        <x:v>1.2</x:v>
      </x:c>
      <x:c r="H79" s="28" t="n">
        <x:v>0.112158</x:v>
      </x:c>
      <x:c r="I79" s="28" t="n">
        <x:v>1.232437</x:v>
      </x:c>
      <x:c r="J79" s="28" t="n">
        <x:v>2.854898</x:v>
      </x:c>
      <x:c r="K79" s="28" t="n">
        <x:v>3.111579</x:v>
      </x:c>
      <x:c r="L79" s="28" t="n">
        <x:v>2.854898</x:v>
      </x:c>
      <x:c r="M79" s="28" t="n">
        <x:v>137.908</x:v>
      </x:c>
      <x:c r="N79" s="28" t="str">
        <x:v>Z</x:v>
      </x:c>
      <x:c r="O79" s="28" t="n">
        <x:v>0.13</x:v>
      </x:c>
      <x:c r="P79" s="28" t="n">
        <x:v>15.688</x:v>
      </x:c>
      <x:c r="Q79" s="28" t="n">
        <x:v>84.182</x:v>
      </x:c>
      <x:c r="R79" s="28" t="n">
        <x:v>44.309</x:v>
      </x:c>
      <x:c r="S79" s="28" t="n">
        <x:v>68.563</x:v>
      </x:c>
      <x:c r="T79" s="28" t="n">
        <x:v>10.63</x:v>
      </x:c>
      <x:c r="U79" s="28" t="n">
        <x:v>0.93</x:v>
      </x:c>
      <x:c r="V79" s="28" t="n">
        <x:v>1.75</x:v>
      </x:c>
      <x:c r="W79" t="n">
        <x:v>3</x:v>
      </x:c>
      <x:c r="X79" t="str">
        <x:v>TRANSIENT</x:v>
      </x:c>
      <x:c r="Y79" t="str">
        <x:f>IF(A79&lt;=20,"P0 Reference A",IF(A79&lt;=30,"P1 Changed orientation",IF(A79&lt;=40,"P2 Changed orientation",IF(A79&lt;=50,"P3 Changed orientation",IF(A79&lt;=60,"P4 Changed orientation",IF(A79&lt;=70,"P5 Changed orientation",IF(A79&lt;=80,"P6 Changed orientation",IF(A79&lt;=90,"P7 Changed orientation",IF(A79&lt;=92,"Transition / repositioning","P0R Reference return")))))))))</x:f>
        <x:v>P6 Changed orientation</x:v>
      </x:c>
      <x:c r="Z79" t="str">
        <x:f>IF(OR(A79&lt;=90,A79&gt;=93),"YES","NO")</x:f>
        <x:v>YES</x:v>
      </x:c>
      <x:c r="AA79" t="n">
        <x:f>H79^2</x:f>
        <x:v>0.012579416963999999</x:v>
      </x:c>
      <x:c r="AB79" t="n">
        <x:f>I79^2</x:f>
        <x:v>1.518900958969</x:v>
      </x:c>
      <x:c r="AC79" t="n">
        <x:f>J79^2</x:f>
        <x:v>8.150442590404</x:v>
      </x:c>
      <x:c r="AD79" t="n">
        <x:f>K79^2</x:f>
        <x:v>9.681923873240999</x:v>
      </x:c>
      <x:c r="AE79" t="str">
        <x:f>IF(ABS(M79)&lt;=5,"YES","NO")</x:f>
        <x:v>NO</x:v>
      </x:c>
      <x:c r="AF79" t="str">
        <x:f>IF(ABS(M79)&lt;=2.5,"YES","NO")</x:f>
        <x:v>NO</x:v>
      </x:c>
      <x:c r="AG79" t="str">
        <x:f>IF(X79="STABLE","Stable",IF(AND(H79&gt;=0.03,T79&gt;10,OR(I79&lt;0.03,U79&lt;=10),OR(J79&lt;0.03,V79&lt;=10)),"X CV only","Multiple / non-X CV"))</x:f>
        <x:v>X CV only</x:v>
      </x:c>
      <x:c r="AH79" t="str">
        <x:f>IF(Z79="NO","Excluded from pose statistics: repositioning transition","")</x:f>
      </x:c>
    </x:row>
    <x:row r="80">
      <x:c r="A80" t="n">
        <x:v>76</x:v>
      </x:c>
      <x:c r="B80" s="28" t="n">
        <x:v>150.001</x:v>
      </x:c>
      <x:c r="C80" t="n">
        <x:v>0</x:v>
      </x:c>
      <x:c r="D80" s="28" t="n">
        <x:v>268</x:v>
      </x:c>
      <x:c r="E80" s="28" t="n">
        <x:v>14.75</x:v>
      </x:c>
      <x:c r="F80" s="28" t="str">
        <x:v>Z</x:v>
      </x:c>
      <x:c r="G80" s="28" t="n">
        <x:v>1.2</x:v>
      </x:c>
      <x:c r="H80" s="28" t="n">
        <x:v>0.093427</x:v>
      </x:c>
      <x:c r="I80" s="28" t="n">
        <x:v>1.228857</x:v>
      </x:c>
      <x:c r="J80" s="28" t="n">
        <x:v>2.836446</x:v>
      </x:c>
      <x:c r="K80" s="28" t="n">
        <x:v>3.092611</x:v>
      </x:c>
      <x:c r="L80" s="28" t="n">
        <x:v>2.836446</x:v>
      </x:c>
      <x:c r="M80" s="28" t="n">
        <x:v>136.37</x:v>
      </x:c>
      <x:c r="N80" s="28" t="str">
        <x:v>Z</x:v>
      </x:c>
      <x:c r="O80" s="28" t="n">
        <x:v>0.091</x:v>
      </x:c>
      <x:c r="P80" s="28" t="n">
        <x:v>15.789</x:v>
      </x:c>
      <x:c r="Q80" s="28" t="n">
        <x:v>84.12</x:v>
      </x:c>
      <x:c r="R80" s="28" t="n">
        <x:v>44.247</x:v>
      </x:c>
      <x:c r="S80" s="28" t="n">
        <x:v>67.536</x:v>
      </x:c>
      <x:c r="T80" s="28" t="n">
        <x:v>14.47</x:v>
      </x:c>
      <x:c r="U80" s="28" t="n">
        <x:v>0.71</x:v>
      </x:c>
      <x:c r="V80" s="28" t="n">
        <x:v>0.36</x:v>
      </x:c>
      <x:c r="W80" t="n">
        <x:v>3</x:v>
      </x:c>
      <x:c r="X80" t="str">
        <x:v>TRANSIENT</x:v>
      </x:c>
      <x:c r="Y80" t="str">
        <x:f>IF(A80&lt;=20,"P0 Reference A",IF(A80&lt;=30,"P1 Changed orientation",IF(A80&lt;=40,"P2 Changed orientation",IF(A80&lt;=50,"P3 Changed orientation",IF(A80&lt;=60,"P4 Changed orientation",IF(A80&lt;=70,"P5 Changed orientation",IF(A80&lt;=80,"P6 Changed orientation",IF(A80&lt;=90,"P7 Changed orientation",IF(A80&lt;=92,"Transition / repositioning","P0R Reference return")))))))))</x:f>
        <x:v>P6 Changed orientation</x:v>
      </x:c>
      <x:c r="Z80" t="str">
        <x:f>IF(OR(A80&lt;=90,A80&gt;=93),"YES","NO")</x:f>
        <x:v>YES</x:v>
      </x:c>
      <x:c r="AA80" t="n">
        <x:f>H80^2</x:f>
        <x:v>0.008728604329</x:v>
      </x:c>
      <x:c r="AB80" t="n">
        <x:f>I80^2</x:f>
        <x:v>1.5100895264490002</x:v>
      </x:c>
      <x:c r="AC80" t="n">
        <x:f>J80^2</x:f>
        <x:v>8.045425910916</x:v>
      </x:c>
      <x:c r="AD80" t="n">
        <x:f>K80^2</x:f>
        <x:v>9.564242797321002</x:v>
      </x:c>
      <x:c r="AE80" t="str">
        <x:f>IF(ABS(M80)&lt;=5,"YES","NO")</x:f>
        <x:v>NO</x:v>
      </x:c>
      <x:c r="AF80" t="str">
        <x:f>IF(ABS(M80)&lt;=2.5,"YES","NO")</x:f>
        <x:v>NO</x:v>
      </x:c>
      <x:c r="AG80" t="str">
        <x:f>IF(X80="STABLE","Stable",IF(AND(H80&gt;=0.03,T80&gt;10,OR(I80&lt;0.03,U80&lt;=10),OR(J80&lt;0.03,V80&lt;=10)),"X CV only","Multiple / non-X CV"))</x:f>
        <x:v>X CV only</x:v>
      </x:c>
      <x:c r="AH80" t="str">
        <x:f>IF(Z80="NO","Excluded from pose statistics: repositioning transition","")</x:f>
      </x:c>
    </x:row>
    <x:row r="81">
      <x:c r="A81" t="n">
        <x:v>77</x:v>
      </x:c>
      <x:c r="B81" s="28" t="n">
        <x:v>152</x:v>
      </x:c>
      <x:c r="C81" t="n">
        <x:v>0</x:v>
      </x:c>
      <x:c r="D81" s="28" t="n">
        <x:v>268</x:v>
      </x:c>
      <x:c r="E81" s="28" t="n">
        <x:v>14.75</x:v>
      </x:c>
      <x:c r="F81" s="28" t="str">
        <x:v>Z</x:v>
      </x:c>
      <x:c r="G81" s="28" t="n">
        <x:v>1.2</x:v>
      </x:c>
      <x:c r="H81" s="28" t="n">
        <x:v>0.095036</x:v>
      </x:c>
      <x:c r="I81" s="28" t="n">
        <x:v>1.199137</x:v>
      </x:c>
      <x:c r="J81" s="28" t="n">
        <x:v>2.79989</x:v>
      </x:c>
      <x:c r="K81" s="28" t="n">
        <x:v>3.047351</x:v>
      </x:c>
      <x:c r="L81" s="28" t="n">
        <x:v>2.79989</x:v>
      </x:c>
      <x:c r="M81" s="28" t="n">
        <x:v>133.324</x:v>
      </x:c>
      <x:c r="N81" s="28" t="str">
        <x:v>Z</x:v>
      </x:c>
      <x:c r="O81" s="28" t="n">
        <x:v>0.097</x:v>
      </x:c>
      <x:c r="P81" s="28" t="n">
        <x:v>15.484</x:v>
      </x:c>
      <x:c r="Q81" s="28" t="n">
        <x:v>84.418</x:v>
      </x:c>
      <x:c r="R81" s="28" t="n">
        <x:v>44.545</x:v>
      </x:c>
      <x:c r="S81" s="28" t="n">
        <x:v>65.084</x:v>
      </x:c>
      <x:c r="T81" s="28" t="n">
        <x:v>15.77</x:v>
      </x:c>
      <x:c r="U81" s="28" t="n">
        <x:v>0.94</x:v>
      </x:c>
      <x:c r="V81" s="28" t="n">
        <x:v>0.71</x:v>
      </x:c>
      <x:c r="W81" t="n">
        <x:v>3</x:v>
      </x:c>
      <x:c r="X81" t="str">
        <x:v>TRANSIENT</x:v>
      </x:c>
      <x:c r="Y81" t="str">
        <x:f>IF(A81&lt;=20,"P0 Reference A",IF(A81&lt;=30,"P1 Changed orientation",IF(A81&lt;=40,"P2 Changed orientation",IF(A81&lt;=50,"P3 Changed orientation",IF(A81&lt;=60,"P4 Changed orientation",IF(A81&lt;=70,"P5 Changed orientation",IF(A81&lt;=80,"P6 Changed orientation",IF(A81&lt;=90,"P7 Changed orientation",IF(A81&lt;=92,"Transition / repositioning","P0R Reference return")))))))))</x:f>
        <x:v>P6 Changed orientation</x:v>
      </x:c>
      <x:c r="Z81" t="str">
        <x:f>IF(OR(A81&lt;=90,A81&gt;=93),"YES","NO")</x:f>
        <x:v>YES</x:v>
      </x:c>
      <x:c r="AA81" t="n">
        <x:f>H81^2</x:f>
        <x:v>0.009031841296</x:v>
      </x:c>
      <x:c r="AB81" t="n">
        <x:f>I81^2</x:f>
        <x:v>1.4379295447689997</x:v>
      </x:c>
      <x:c r="AC81" t="n">
        <x:f>J81^2</x:f>
        <x:v>7.8393840121</x:v>
      </x:c>
      <x:c r="AD81" t="n">
        <x:f>K81^2</x:f>
        <x:v>9.286348117201</x:v>
      </x:c>
      <x:c r="AE81" t="str">
        <x:f>IF(ABS(M81)&lt;=5,"YES","NO")</x:f>
        <x:v>NO</x:v>
      </x:c>
      <x:c r="AF81" t="str">
        <x:f>IF(ABS(M81)&lt;=2.5,"YES","NO")</x:f>
        <x:v>NO</x:v>
      </x:c>
      <x:c r="AG81" t="str">
        <x:f>IF(X81="STABLE","Stable",IF(AND(H81&gt;=0.03,T81&gt;10,OR(I81&lt;0.03,U81&lt;=10),OR(J81&lt;0.03,V81&lt;=10)),"X CV only","Multiple / non-X CV"))</x:f>
        <x:v>X CV only</x:v>
      </x:c>
      <x:c r="AH81" t="str">
        <x:f>IF(Z81="NO","Excluded from pose statistics: repositioning transition","")</x:f>
      </x:c>
    </x:row>
    <x:row r="82">
      <x:c r="A82" t="n">
        <x:v>78</x:v>
      </x:c>
      <x:c r="B82" s="28" t="n">
        <x:v>154.001</x:v>
      </x:c>
      <x:c r="C82" t="n">
        <x:v>0</x:v>
      </x:c>
      <x:c r="D82" s="28" t="n">
        <x:v>268</x:v>
      </x:c>
      <x:c r="E82" s="28" t="n">
        <x:v>14.75</x:v>
      </x:c>
      <x:c r="F82" s="28" t="str">
        <x:v>Z</x:v>
      </x:c>
      <x:c r="G82" s="28" t="n">
        <x:v>1.2</x:v>
      </x:c>
      <x:c r="H82" s="28" t="n">
        <x:v>0.12514</x:v>
      </x:c>
      <x:c r="I82" s="28" t="n">
        <x:v>1.187728</x:v>
      </x:c>
      <x:c r="J82" s="28" t="n">
        <x:v>2.792337</x:v>
      </x:c>
      <x:c r="K82" s="28" t="n">
        <x:v>3.037022</x:v>
      </x:c>
      <x:c r="L82" s="28" t="n">
        <x:v>2.792337</x:v>
      </x:c>
      <x:c r="M82" s="28" t="n">
        <x:v>132.695</x:v>
      </x:c>
      <x:c r="N82" s="28" t="str">
        <x:v>Z</x:v>
      </x:c>
      <x:c r="O82" s="28" t="n">
        <x:v>0.17</x:v>
      </x:c>
      <x:c r="P82" s="28" t="n">
        <x:v>15.295</x:v>
      </x:c>
      <x:c r="Q82" s="28" t="n">
        <x:v>84.536</x:v>
      </x:c>
      <x:c r="R82" s="28" t="n">
        <x:v>44.662</x:v>
      </x:c>
      <x:c r="S82" s="28" t="n">
        <x:v>64.524</x:v>
      </x:c>
      <x:c r="T82" s="28" t="n">
        <x:v>18.87</x:v>
      </x:c>
      <x:c r="U82" s="28" t="n">
        <x:v>0.48</x:v>
      </x:c>
      <x:c r="V82" s="28" t="n">
        <x:v>0.37</x:v>
      </x:c>
      <x:c r="W82" t="n">
        <x:v>3</x:v>
      </x:c>
      <x:c r="X82" t="str">
        <x:v>TRANSIENT</x:v>
      </x:c>
      <x:c r="Y82" t="str">
        <x:f>IF(A82&lt;=20,"P0 Reference A",IF(A82&lt;=30,"P1 Changed orientation",IF(A82&lt;=40,"P2 Changed orientation",IF(A82&lt;=50,"P3 Changed orientation",IF(A82&lt;=60,"P4 Changed orientation",IF(A82&lt;=70,"P5 Changed orientation",IF(A82&lt;=80,"P6 Changed orientation",IF(A82&lt;=90,"P7 Changed orientation",IF(A82&lt;=92,"Transition / repositioning","P0R Reference return")))))))))</x:f>
        <x:v>P6 Changed orientation</x:v>
      </x:c>
      <x:c r="Z82" t="str">
        <x:f>IF(OR(A82&lt;=90,A82&gt;=93),"YES","NO")</x:f>
        <x:v>YES</x:v>
      </x:c>
      <x:c r="AA82" t="n">
        <x:f>H82^2</x:f>
        <x:v>0.015660019600000002</x:v>
      </x:c>
      <x:c r="AB82" t="n">
        <x:f>I82^2</x:f>
        <x:v>1.4106978019839997</x:v>
      </x:c>
      <x:c r="AC82" t="n">
        <x:f>J82^2</x:f>
        <x:v>7.797145921568999</x:v>
      </x:c>
      <x:c r="AD82" t="n">
        <x:f>K82^2</x:f>
        <x:v>9.223502628483999</x:v>
      </x:c>
      <x:c r="AE82" t="str">
        <x:f>IF(ABS(M82)&lt;=5,"YES","NO")</x:f>
        <x:v>NO</x:v>
      </x:c>
      <x:c r="AF82" t="str">
        <x:f>IF(ABS(M82)&lt;=2.5,"YES","NO")</x:f>
        <x:v>NO</x:v>
      </x:c>
      <x:c r="AG82" t="str">
        <x:f>IF(X82="STABLE","Stable",IF(AND(H82&gt;=0.03,T82&gt;10,OR(I82&lt;0.03,U82&lt;=10),OR(J82&lt;0.03,V82&lt;=10)),"X CV only","Multiple / non-X CV"))</x:f>
        <x:v>X CV only</x:v>
      </x:c>
      <x:c r="AH82" t="str">
        <x:f>IF(Z82="NO","Excluded from pose statistics: repositioning transition","")</x:f>
      </x:c>
    </x:row>
    <x:row r="83">
      <x:c r="A83" t="n">
        <x:v>79</x:v>
      </x:c>
      <x:c r="B83" s="28" t="n">
        <x:v>156</x:v>
      </x:c>
      <x:c r="C83" t="n">
        <x:v>0</x:v>
      </x:c>
      <x:c r="D83" s="28" t="n">
        <x:v>268</x:v>
      </x:c>
      <x:c r="E83" s="28" t="n">
        <x:v>14.75</x:v>
      </x:c>
      <x:c r="F83" s="28" t="str">
        <x:v>Z</x:v>
      </x:c>
      <x:c r="G83" s="28" t="n">
        <x:v>1.2</x:v>
      </x:c>
      <x:c r="H83" s="28" t="n">
        <x:v>0.105218</x:v>
      </x:c>
      <x:c r="I83" s="28" t="n">
        <x:v>1.186659</x:v>
      </x:c>
      <x:c r="J83" s="28" t="n">
        <x:v>2.778551</x:v>
      </x:c>
      <x:c r="K83" s="28" t="n">
        <x:v>3.023173</x:v>
      </x:c>
      <x:c r="L83" s="28" t="n">
        <x:v>2.778551</x:v>
      </x:c>
      <x:c r="M83" s="28" t="n">
        <x:v>131.546</x:v>
      </x:c>
      <x:c r="N83" s="28" t="str">
        <x:v>Z</x:v>
      </x:c>
      <x:c r="O83" s="28" t="n">
        <x:v>0.121</x:v>
      </x:c>
      <x:c r="P83" s="28" t="n">
        <x:v>15.407</x:v>
      </x:c>
      <x:c r="Q83" s="28" t="n">
        <x:v>84.472</x:v>
      </x:c>
      <x:c r="R83" s="28" t="n">
        <x:v>44.598</x:v>
      </x:c>
      <x:c r="S83" s="28" t="n">
        <x:v>63.774</x:v>
      </x:c>
      <x:c r="T83" s="28" t="n">
        <x:v>3.23</x:v>
      </x:c>
      <x:c r="U83" s="28" t="n">
        <x:v>0.53</x:v>
      </x:c>
      <x:c r="V83" s="28" t="n">
        <x:v>0.89</x:v>
      </x:c>
      <x:c r="W83" t="n">
        <x:v>3</x:v>
      </x:c>
      <x:c r="X83" t="str">
        <x:v>STABLE</x:v>
      </x:c>
      <x:c r="Y83" t="str">
        <x:f>IF(A83&lt;=20,"P0 Reference A",IF(A83&lt;=30,"P1 Changed orientation",IF(A83&lt;=40,"P2 Changed orientation",IF(A83&lt;=50,"P3 Changed orientation",IF(A83&lt;=60,"P4 Changed orientation",IF(A83&lt;=70,"P5 Changed orientation",IF(A83&lt;=80,"P6 Changed orientation",IF(A83&lt;=90,"P7 Changed orientation",IF(A83&lt;=92,"Transition / repositioning","P0R Reference return")))))))))</x:f>
        <x:v>P6 Changed orientation</x:v>
      </x:c>
      <x:c r="Z83" t="str">
        <x:f>IF(OR(A83&lt;=90,A83&gt;=93),"YES","NO")</x:f>
        <x:v>YES</x:v>
      </x:c>
      <x:c r="AA83" t="n">
        <x:f>H83^2</x:f>
        <x:v>0.011070827524000001</x:v>
      </x:c>
      <x:c r="AB83" t="n">
        <x:f>I83^2</x:f>
        <x:v>1.4081595822809998</x:v>
      </x:c>
      <x:c r="AC83" t="n">
        <x:f>J83^2</x:f>
        <x:v>7.720345659601001</x:v>
      </x:c>
      <x:c r="AD83" t="n">
        <x:f>K83^2</x:f>
        <x:v>9.139574987928999</x:v>
      </x:c>
      <x:c r="AE83" t="str">
        <x:f>IF(ABS(M83)&lt;=5,"YES","NO")</x:f>
        <x:v>NO</x:v>
      </x:c>
      <x:c r="AF83" t="str">
        <x:f>IF(ABS(M83)&lt;=2.5,"YES","NO")</x:f>
        <x:v>NO</x:v>
      </x:c>
      <x:c r="AG83" t="str">
        <x:f>IF(X83="STABLE","Stable",IF(AND(H83&gt;=0.03,T83&gt;10,OR(I83&lt;0.03,U83&lt;=10),OR(J83&lt;0.03,V83&lt;=10)),"X CV only","Multiple / non-X CV"))</x:f>
        <x:v>Stable</x:v>
      </x:c>
      <x:c r="AH83" t="str">
        <x:f>IF(Z83="NO","Excluded from pose statistics: repositioning transition","")</x:f>
      </x:c>
    </x:row>
    <x:row r="84">
      <x:c r="A84" t="n">
        <x:v>80</x:v>
      </x:c>
      <x:c r="B84" s="28" t="n">
        <x:v>158.001</x:v>
      </x:c>
      <x:c r="C84" t="n">
        <x:v>0</x:v>
      </x:c>
      <x:c r="D84" s="28" t="n">
        <x:v>268</x:v>
      </x:c>
      <x:c r="E84" s="28" t="n">
        <x:v>14.75</x:v>
      </x:c>
      <x:c r="F84" s="28" t="str">
        <x:v>Z</x:v>
      </x:c>
      <x:c r="G84" s="28" t="n">
        <x:v>1.2</x:v>
      </x:c>
      <x:c r="H84" s="28" t="n">
        <x:v>0.113901</x:v>
      </x:c>
      <x:c r="I84" s="28" t="n">
        <x:v>1.190035</x:v>
      </x:c>
      <x:c r="J84" s="28" t="n">
        <x:v>2.826505</x:v>
      </x:c>
      <x:c r="K84" s="28" t="n">
        <x:v>3.068923</x:v>
      </x:c>
      <x:c r="L84" s="28" t="n">
        <x:v>2.826505</x:v>
      </x:c>
      <x:c r="M84" s="28" t="n">
        <x:v>135.542</x:v>
      </x:c>
      <x:c r="N84" s="28" t="str">
        <x:v>Z</x:v>
      </x:c>
      <x:c r="O84" s="28" t="n">
        <x:v>0.138</x:v>
      </x:c>
      <x:c r="P84" s="28" t="n">
        <x:v>15.037</x:v>
      </x:c>
      <x:c r="Q84" s="28" t="n">
        <x:v>84.826</x:v>
      </x:c>
      <x:c r="R84" s="28" t="n">
        <x:v>44.952</x:v>
      </x:c>
      <x:c r="S84" s="28" t="n">
        <x:v>66.253</x:v>
      </x:c>
      <x:c r="T84" s="28" t="n">
        <x:v>14.51</x:v>
      </x:c>
      <x:c r="U84" s="28" t="n">
        <x:v>0.61</x:v>
      </x:c>
      <x:c r="V84" s="28" t="n">
        <x:v>0.3</x:v>
      </x:c>
      <x:c r="W84" t="n">
        <x:v>3</x:v>
      </x:c>
      <x:c r="X84" t="str">
        <x:v>TRANSIENT</x:v>
      </x:c>
      <x:c r="Y84" t="str">
        <x:f>IF(A84&lt;=20,"P0 Reference A",IF(A84&lt;=30,"P1 Changed orientation",IF(A84&lt;=40,"P2 Changed orientation",IF(A84&lt;=50,"P3 Changed orientation",IF(A84&lt;=60,"P4 Changed orientation",IF(A84&lt;=70,"P5 Changed orientation",IF(A84&lt;=80,"P6 Changed orientation",IF(A84&lt;=90,"P7 Changed orientation",IF(A84&lt;=92,"Transition / repositioning","P0R Reference return")))))))))</x:f>
        <x:v>P6 Changed orientation</x:v>
      </x:c>
      <x:c r="Z84" t="str">
        <x:f>IF(OR(A84&lt;=90,A84&gt;=93),"YES","NO")</x:f>
        <x:v>YES</x:v>
      </x:c>
      <x:c r="AA84" t="n">
        <x:f>H84^2</x:f>
        <x:v>0.012973437801</x:v>
      </x:c>
      <x:c r="AB84" t="n">
        <x:f>I84^2</x:f>
        <x:v>1.4161833012249998</x:v>
      </x:c>
      <x:c r="AC84" t="n">
        <x:f>J84^2</x:f>
        <x:v>7.989130515025</x:v>
      </x:c>
      <x:c r="AD84" t="n">
        <x:f>K84^2</x:f>
        <x:v>9.418288379928999</x:v>
      </x:c>
      <x:c r="AE84" t="str">
        <x:f>IF(ABS(M84)&lt;=5,"YES","NO")</x:f>
        <x:v>NO</x:v>
      </x:c>
      <x:c r="AF84" t="str">
        <x:f>IF(ABS(M84)&lt;=2.5,"YES","NO")</x:f>
        <x:v>NO</x:v>
      </x:c>
      <x:c r="AG84" t="str">
        <x:f>IF(X84="STABLE","Stable",IF(AND(H84&gt;=0.03,T84&gt;10,OR(I84&lt;0.03,U84&lt;=10),OR(J84&lt;0.03,V84&lt;=10)),"X CV only","Multiple / non-X CV"))</x:f>
        <x:v>X CV only</x:v>
      </x:c>
      <x:c r="AH84" t="str">
        <x:f>IF(Z84="NO","Excluded from pose statistics: repositioning transition","")</x:f>
      </x:c>
    </x:row>
    <x:row r="85">
      <x:c r="A85" t="n">
        <x:v>81</x:v>
      </x:c>
      <x:c r="B85" s="28" t="n">
        <x:v>160</x:v>
      </x:c>
      <x:c r="C85" t="n">
        <x:v>0</x:v>
      </x:c>
      <x:c r="D85" s="28" t="n">
        <x:v>268</x:v>
      </x:c>
      <x:c r="E85" s="28" t="n">
        <x:v>14.75</x:v>
      </x:c>
      <x:c r="F85" s="28" t="str">
        <x:v>Z</x:v>
      </x:c>
      <x:c r="G85" s="28" t="n">
        <x:v>1.2</x:v>
      </x:c>
      <x:c r="H85" s="28" t="n">
        <x:v>0.143725</x:v>
      </x:c>
      <x:c r="I85" s="28" t="n">
        <x:v>1.064056</x:v>
      </x:c>
      <x:c r="J85" s="28" t="n">
        <x:v>2.560466</x:v>
      </x:c>
      <x:c r="K85" s="28" t="n">
        <x:v>2.776483</x:v>
      </x:c>
      <x:c r="L85" s="28" t="n">
        <x:v>2.560466</x:v>
      </x:c>
      <x:c r="M85" s="28" t="n">
        <x:v>113.372</x:v>
      </x:c>
      <x:c r="N85" s="28" t="str">
        <x:v>Z</x:v>
      </x:c>
      <x:c r="O85" s="28" t="n">
        <x:v>0.268</x:v>
      </x:c>
      <x:c r="P85" s="28" t="n">
        <x:v>14.687</x:v>
      </x:c>
      <x:c r="Q85" s="28" t="n">
        <x:v>85.045</x:v>
      </x:c>
      <x:c r="R85" s="28" t="n">
        <x:v>45.172</x:v>
      </x:c>
      <x:c r="S85" s="28" t="n">
        <x:v>50.41</x:v>
      </x:c>
      <x:c r="T85" s="28" t="n">
        <x:v>43.01</x:v>
      </x:c>
      <x:c r="U85" s="28" t="n">
        <x:v>9.34</x:v>
      </x:c>
      <x:c r="V85" s="28" t="n">
        <x:v>8.78</x:v>
      </x:c>
      <x:c r="W85" t="n">
        <x:v>3</x:v>
      </x:c>
      <x:c r="X85" t="str">
        <x:v>TRANSIENT</x:v>
      </x:c>
      <x:c r="Y85" t="str">
        <x:f>IF(A85&lt;=20,"P0 Reference A",IF(A85&lt;=30,"P1 Changed orientation",IF(A85&lt;=40,"P2 Changed orientation",IF(A85&lt;=50,"P3 Changed orientation",IF(A85&lt;=60,"P4 Changed orientation",IF(A85&lt;=70,"P5 Changed orientation",IF(A85&lt;=80,"P6 Changed orientation",IF(A85&lt;=90,"P7 Changed orientation",IF(A85&lt;=92,"Transition / repositioning","P0R Reference return")))))))))</x:f>
        <x:v>P7 Changed orientation</x:v>
      </x:c>
      <x:c r="Z85" t="str">
        <x:f>IF(OR(A85&lt;=90,A85&gt;=93),"YES","NO")</x:f>
        <x:v>YES</x:v>
      </x:c>
      <x:c r="AA85" t="n">
        <x:f>H85^2</x:f>
        <x:v>0.020656875624999998</x:v>
      </x:c>
      <x:c r="AB85" t="n">
        <x:f>I85^2</x:f>
        <x:v>1.1322151711359998</x:v>
      </x:c>
      <x:c r="AC85" t="n">
        <x:f>J85^2</x:f>
        <x:v>6.555986137155999</x:v>
      </x:c>
      <x:c r="AD85" t="n">
        <x:f>K85^2</x:f>
        <x:v>7.708857849288999</x:v>
      </x:c>
      <x:c r="AE85" t="str">
        <x:f>IF(ABS(M85)&lt;=5,"YES","NO")</x:f>
        <x:v>NO</x:v>
      </x:c>
      <x:c r="AF85" t="str">
        <x:f>IF(ABS(M85)&lt;=2.5,"YES","NO")</x:f>
        <x:v>NO</x:v>
      </x:c>
      <x:c r="AG85" t="str">
        <x:f>IF(X85="STABLE","Stable",IF(AND(H85&gt;=0.03,T85&gt;10,OR(I85&lt;0.03,U85&lt;=10),OR(J85&lt;0.03,V85&lt;=10)),"X CV only","Multiple / non-X CV"))</x:f>
        <x:v>X CV only</x:v>
      </x:c>
      <x:c r="AH85" t="str">
        <x:f>IF(Z85="NO","Excluded from pose statistics: repositioning transition","")</x:f>
      </x:c>
    </x:row>
    <x:row r="86">
      <x:c r="A86" t="n">
        <x:v>82</x:v>
      </x:c>
      <x:c r="B86" s="28" t="n">
        <x:v>162.001</x:v>
      </x:c>
      <x:c r="C86" t="n">
        <x:v>0</x:v>
      </x:c>
      <x:c r="D86" s="28" t="n">
        <x:v>268</x:v>
      </x:c>
      <x:c r="E86" s="28" t="n">
        <x:v>14.75</x:v>
      </x:c>
      <x:c r="F86" s="28" t="str">
        <x:v>Z</x:v>
      </x:c>
      <x:c r="G86" s="28" t="n">
        <x:v>1.2</x:v>
      </x:c>
      <x:c r="H86" s="28" t="n">
        <x:v>0.122782</x:v>
      </x:c>
      <x:c r="I86" s="28" t="n">
        <x:v>1.048542</x:v>
      </x:c>
      <x:c r="J86" s="28" t="n">
        <x:v>2.545241</x:v>
      </x:c>
      <x:c r="K86" s="28" t="n">
        <x:v>2.755498</x:v>
      </x:c>
      <x:c r="L86" s="28" t="n">
        <x:v>2.545241</x:v>
      </x:c>
      <x:c r="M86" s="28" t="n">
        <x:v>112.103</x:v>
      </x:c>
      <x:c r="N86" s="28" t="str">
        <x:v>Z</x:v>
      </x:c>
      <x:c r="O86" s="28" t="n">
        <x:v>0.199</x:v>
      </x:c>
      <x:c r="P86" s="28" t="n">
        <x:v>14.48</x:v>
      </x:c>
      <x:c r="Q86" s="28" t="n">
        <x:v>85.321</x:v>
      </x:c>
      <x:c r="R86" s="28" t="n">
        <x:v>45.448</x:v>
      </x:c>
      <x:c r="S86" s="28" t="n">
        <x:v>49.273</x:v>
      </x:c>
      <x:c r="T86" s="28" t="n">
        <x:v>17.13</x:v>
      </x:c>
      <x:c r="U86" s="28" t="n">
        <x:v>4.01</x:v>
      </x:c>
      <x:c r="V86" s="28" t="n">
        <x:v>3.94</x:v>
      </x:c>
      <x:c r="W86" t="n">
        <x:v>3</x:v>
      </x:c>
      <x:c r="X86" t="str">
        <x:v>TRANSIENT</x:v>
      </x:c>
      <x:c r="Y86" t="str">
        <x:f>IF(A86&lt;=20,"P0 Reference A",IF(A86&lt;=30,"P1 Changed orientation",IF(A86&lt;=40,"P2 Changed orientation",IF(A86&lt;=50,"P3 Changed orientation",IF(A86&lt;=60,"P4 Changed orientation",IF(A86&lt;=70,"P5 Changed orientation",IF(A86&lt;=80,"P6 Changed orientation",IF(A86&lt;=90,"P7 Changed orientation",IF(A86&lt;=92,"Transition / repositioning","P0R Reference return")))))))))</x:f>
        <x:v>P7 Changed orientation</x:v>
      </x:c>
      <x:c r="Z86" t="str">
        <x:f>IF(OR(A86&lt;=90,A86&gt;=93),"YES","NO")</x:f>
        <x:v>YES</x:v>
      </x:c>
      <x:c r="AA86" t="n">
        <x:f>H86^2</x:f>
        <x:v>0.015075419524000001</x:v>
      </x:c>
      <x:c r="AB86" t="n">
        <x:f>I86^2</x:f>
        <x:v>1.0994403257640002</x:v>
      </x:c>
      <x:c r="AC86" t="n">
        <x:f>J86^2</x:f>
        <x:v>6.478251748080999</x:v>
      </x:c>
      <x:c r="AD86" t="n">
        <x:f>K86^2</x:f>
        <x:v>7.5927692280039984</x:v>
      </x:c>
      <x:c r="AE86" t="str">
        <x:f>IF(ABS(M86)&lt;=5,"YES","NO")</x:f>
        <x:v>NO</x:v>
      </x:c>
      <x:c r="AF86" t="str">
        <x:f>IF(ABS(M86)&lt;=2.5,"YES","NO")</x:f>
        <x:v>NO</x:v>
      </x:c>
      <x:c r="AG86" t="str">
        <x:f>IF(X86="STABLE","Stable",IF(AND(H86&gt;=0.03,T86&gt;10,OR(I86&lt;0.03,U86&lt;=10),OR(J86&lt;0.03,V86&lt;=10)),"X CV only","Multiple / non-X CV"))</x:f>
        <x:v>X CV only</x:v>
      </x:c>
      <x:c r="AH86" t="str">
        <x:f>IF(Z86="NO","Excluded from pose statistics: repositioning transition","")</x:f>
      </x:c>
    </x:row>
    <x:row r="87">
      <x:c r="A87" t="n">
        <x:v>83</x:v>
      </x:c>
      <x:c r="B87" s="28" t="n">
        <x:v>164</x:v>
      </x:c>
      <x:c r="C87" t="n">
        <x:v>0</x:v>
      </x:c>
      <x:c r="D87" s="28" t="n">
        <x:v>268</x:v>
      </x:c>
      <x:c r="E87" s="28" t="n">
        <x:v>14.75</x:v>
      </x:c>
      <x:c r="F87" s="28" t="str">
        <x:v>Z</x:v>
      </x:c>
      <x:c r="G87" s="28" t="n">
        <x:v>1.2</x:v>
      </x:c>
      <x:c r="H87" s="28" t="n">
        <x:v>0.383828</x:v>
      </x:c>
      <x:c r="I87" s="28" t="n">
        <x:v>0.886182</x:v>
      </x:c>
      <x:c r="J87" s="28" t="n">
        <x:v>2.234576</x:v>
      </x:c>
      <x:c r="K87" s="28" t="n">
        <x:v>2.434332</x:v>
      </x:c>
      <x:c r="L87" s="28" t="n">
        <x:v>2.234576</x:v>
      </x:c>
      <x:c r="M87" s="28" t="n">
        <x:v>86.215</x:v>
      </x:c>
      <x:c r="N87" s="28" t="str">
        <x:v>Z</x:v>
      </x:c>
      <x:c r="O87" s="28" t="n">
        <x:v>2.486</x:v>
      </x:c>
      <x:c r="P87" s="28" t="n">
        <x:v>13.252</x:v>
      </x:c>
      <x:c r="Q87" s="28" t="n">
        <x:v>84.262</x:v>
      </x:c>
      <x:c r="R87" s="28" t="n">
        <x:v>46.395</x:v>
      </x:c>
      <x:c r="S87" s="28" t="n">
        <x:v>31.875</x:v>
      </x:c>
      <x:c r="T87" s="28" t="n">
        <x:v>13.33</x:v>
      </x:c>
      <x:c r="U87" s="28" t="n">
        <x:v>2.73</x:v>
      </x:c>
      <x:c r="V87" s="28" t="n">
        <x:v>4.87</x:v>
      </x:c>
      <x:c r="W87" t="n">
        <x:v>3</x:v>
      </x:c>
      <x:c r="X87" t="str">
        <x:v>TRANSIENT</x:v>
      </x:c>
      <x:c r="Y87" t="str">
        <x:f>IF(A87&lt;=20,"P0 Reference A",IF(A87&lt;=30,"P1 Changed orientation",IF(A87&lt;=40,"P2 Changed orientation",IF(A87&lt;=50,"P3 Changed orientation",IF(A87&lt;=60,"P4 Changed orientation",IF(A87&lt;=70,"P5 Changed orientation",IF(A87&lt;=80,"P6 Changed orientation",IF(A87&lt;=90,"P7 Changed orientation",IF(A87&lt;=92,"Transition / repositioning","P0R Reference return")))))))))</x:f>
        <x:v>P7 Changed orientation</x:v>
      </x:c>
      <x:c r="Z87" t="str">
        <x:f>IF(OR(A87&lt;=90,A87&gt;=93),"YES","NO")</x:f>
        <x:v>YES</x:v>
      </x:c>
      <x:c r="AA87" t="n">
        <x:f>H87^2</x:f>
        <x:v>0.147323933584</x:v>
      </x:c>
      <x:c r="AB87" t="n">
        <x:f>I87^2</x:f>
        <x:v>0.785318537124</x:v>
      </x:c>
      <x:c r="AC87" t="n">
        <x:f>J87^2</x:f>
        <x:v>4.9933298997760005</x:v>
      </x:c>
      <x:c r="AD87" t="n">
        <x:f>K87^2</x:f>
        <x:v>5.925972286224</x:v>
      </x:c>
      <x:c r="AE87" t="str">
        <x:f>IF(ABS(M87)&lt;=5,"YES","NO")</x:f>
        <x:v>NO</x:v>
      </x:c>
      <x:c r="AF87" t="str">
        <x:f>IF(ABS(M87)&lt;=2.5,"YES","NO")</x:f>
        <x:v>NO</x:v>
      </x:c>
      <x:c r="AG87" t="str">
        <x:f>IF(X87="STABLE","Stable",IF(AND(H87&gt;=0.03,T87&gt;10,OR(I87&lt;0.03,U87&lt;=10),OR(J87&lt;0.03,V87&lt;=10)),"X CV only","Multiple / non-X CV"))</x:f>
        <x:v>X CV only</x:v>
      </x:c>
      <x:c r="AH87" t="str">
        <x:f>IF(Z87="NO","Excluded from pose statistics: repositioning transition","")</x:f>
      </x:c>
    </x:row>
    <x:row r="88">
      <x:c r="A88" t="n">
        <x:v>84</x:v>
      </x:c>
      <x:c r="B88" s="28" t="n">
        <x:v>166.001</x:v>
      </x:c>
      <x:c r="C88" t="n">
        <x:v>0</x:v>
      </x:c>
      <x:c r="D88" s="28" t="n">
        <x:v>268</x:v>
      </x:c>
      <x:c r="E88" s="28" t="n">
        <x:v>14.75</x:v>
      </x:c>
      <x:c r="F88" s="28" t="str">
        <x:v>Z</x:v>
      </x:c>
      <x:c r="G88" s="28" t="n">
        <x:v>1.2</x:v>
      </x:c>
      <x:c r="H88" s="28" t="n">
        <x:v>0.364312</x:v>
      </x:c>
      <x:c r="I88" s="28" t="n">
        <x:v>0.879481</x:v>
      </x:c>
      <x:c r="J88" s="28" t="n">
        <x:v>2.051695</x:v>
      </x:c>
      <x:c r="K88" s="28" t="n">
        <x:v>2.261783</x:v>
      </x:c>
      <x:c r="L88" s="28" t="n">
        <x:v>2.051695</x:v>
      </x:c>
      <x:c r="M88" s="28" t="n">
        <x:v>70.975</x:v>
      </x:c>
      <x:c r="N88" s="28" t="str">
        <x:v>Z</x:v>
      </x:c>
      <x:c r="O88" s="28" t="n">
        <x:v>2.594</x:v>
      </x:c>
      <x:c r="P88" s="28" t="n">
        <x:v>15.12</x:v>
      </x:c>
      <x:c r="Q88" s="28" t="n">
        <x:v>82.286</x:v>
      </x:c>
      <x:c r="R88" s="28" t="n">
        <x:v>44.528</x:v>
      </x:c>
      <x:c r="S88" s="28" t="n">
        <x:v>22.527</x:v>
      </x:c>
      <x:c r="T88" s="28" t="n">
        <x:v>4.46</x:v>
      </x:c>
      <x:c r="U88" s="28" t="n">
        <x:v>0.98</x:v>
      </x:c>
      <x:c r="V88" s="28" t="n">
        <x:v>2.03</x:v>
      </x:c>
      <x:c r="W88" t="n">
        <x:v>3</x:v>
      </x:c>
      <x:c r="X88" t="str">
        <x:v>STABLE</x:v>
      </x:c>
      <x:c r="Y88" t="str">
        <x:f>IF(A88&lt;=20,"P0 Reference A",IF(A88&lt;=30,"P1 Changed orientation",IF(A88&lt;=40,"P2 Changed orientation",IF(A88&lt;=50,"P3 Changed orientation",IF(A88&lt;=60,"P4 Changed orientation",IF(A88&lt;=70,"P5 Changed orientation",IF(A88&lt;=80,"P6 Changed orientation",IF(A88&lt;=90,"P7 Changed orientation",IF(A88&lt;=92,"Transition / repositioning","P0R Reference return")))))))))</x:f>
        <x:v>P7 Changed orientation</x:v>
      </x:c>
      <x:c r="Z88" t="str">
        <x:f>IF(OR(A88&lt;=90,A88&gt;=93),"YES","NO")</x:f>
        <x:v>YES</x:v>
      </x:c>
      <x:c r="AA88" t="n">
        <x:f>H88^2</x:f>
        <x:v>0.13272323334400002</x:v>
      </x:c>
      <x:c r="AB88" t="n">
        <x:f>I88^2</x:f>
        <x:v>0.7734868293609999</x:v>
      </x:c>
      <x:c r="AC88" t="n">
        <x:f>J88^2</x:f>
        <x:v>4.209452373025</x:v>
      </x:c>
      <x:c r="AD88" t="n">
        <x:f>K88^2</x:f>
        <x:v>5.115662339088999</x:v>
      </x:c>
      <x:c r="AE88" t="str">
        <x:f>IF(ABS(M88)&lt;=5,"YES","NO")</x:f>
        <x:v>NO</x:v>
      </x:c>
      <x:c r="AF88" t="str">
        <x:f>IF(ABS(M88)&lt;=2.5,"YES","NO")</x:f>
        <x:v>NO</x:v>
      </x:c>
      <x:c r="AG88" t="str">
        <x:f>IF(X88="STABLE","Stable",IF(AND(H88&gt;=0.03,T88&gt;10,OR(I88&lt;0.03,U88&lt;=10),OR(J88&lt;0.03,V88&lt;=10)),"X CV only","Multiple / non-X CV"))</x:f>
        <x:v>Stable</x:v>
      </x:c>
      <x:c r="AH88" t="str">
        <x:f>IF(Z88="NO","Excluded from pose statistics: repositioning transition","")</x:f>
      </x:c>
    </x:row>
    <x:row r="89">
      <x:c r="A89" t="n">
        <x:v>85</x:v>
      </x:c>
      <x:c r="B89" s="28" t="n">
        <x:v>168</x:v>
      </x:c>
      <x:c r="C89" t="n">
        <x:v>0</x:v>
      </x:c>
      <x:c r="D89" s="28" t="n">
        <x:v>268</x:v>
      </x:c>
      <x:c r="E89" s="28" t="n">
        <x:v>14.75</x:v>
      </x:c>
      <x:c r="F89" s="28" t="str">
        <x:v>Z</x:v>
      </x:c>
      <x:c r="G89" s="28" t="n">
        <x:v>1.2</x:v>
      </x:c>
      <x:c r="H89" s="28" t="n">
        <x:v>0.346478</x:v>
      </x:c>
      <x:c r="I89" s="28" t="n">
        <x:v>0.839174</x:v>
      </x:c>
      <x:c r="J89" s="28" t="n">
        <x:v>2.012683</x:v>
      </x:c>
      <x:c r="K89" s="28" t="n">
        <x:v>2.207975</x:v>
      </x:c>
      <x:c r="L89" s="28" t="n">
        <x:v>2.012683</x:v>
      </x:c>
      <x:c r="M89" s="28" t="n">
        <x:v>67.724</x:v>
      </x:c>
      <x:c r="N89" s="28" t="str">
        <x:v>Z</x:v>
      </x:c>
      <x:c r="O89" s="28" t="n">
        <x:v>2.462</x:v>
      </x:c>
      <x:c r="P89" s="28" t="n">
        <x:v>14.445</x:v>
      </x:c>
      <x:c r="Q89" s="28" t="n">
        <x:v>83.093</x:v>
      </x:c>
      <x:c r="R89" s="28" t="n">
        <x:v>45.203</x:v>
      </x:c>
      <x:c r="S89" s="28" t="n">
        <x:v>19.612</x:v>
      </x:c>
      <x:c r="T89" s="28" t="n">
        <x:v>9.11</x:v>
      </x:c>
      <x:c r="U89" s="28" t="n">
        <x:v>1.75</x:v>
      </x:c>
      <x:c r="V89" s="28" t="n">
        <x:v>0.47</x:v>
      </x:c>
      <x:c r="W89" t="n">
        <x:v>3</x:v>
      </x:c>
      <x:c r="X89" t="str">
        <x:v>STABLE</x:v>
      </x:c>
      <x:c r="Y89" t="str">
        <x:f>IF(A89&lt;=20,"P0 Reference A",IF(A89&lt;=30,"P1 Changed orientation",IF(A89&lt;=40,"P2 Changed orientation",IF(A89&lt;=50,"P3 Changed orientation",IF(A89&lt;=60,"P4 Changed orientation",IF(A89&lt;=70,"P5 Changed orientation",IF(A89&lt;=80,"P6 Changed orientation",IF(A89&lt;=90,"P7 Changed orientation",IF(A89&lt;=92,"Transition / repositioning","P0R Reference return")))))))))</x:f>
        <x:v>P7 Changed orientation</x:v>
      </x:c>
      <x:c r="Z89" t="str">
        <x:f>IF(OR(A89&lt;=90,A89&gt;=93),"YES","NO")</x:f>
        <x:v>YES</x:v>
      </x:c>
      <x:c r="AA89" t="n">
        <x:f>H89^2</x:f>
        <x:v>0.120047004484</x:v>
      </x:c>
      <x:c r="AB89" t="n">
        <x:f>I89^2</x:f>
        <x:v>0.7042130022759999</x:v>
      </x:c>
      <x:c r="AC89" t="n">
        <x:f>J89^2</x:f>
        <x:v>4.050892858489</x:v>
      </x:c>
      <x:c r="AD89" t="n">
        <x:f>K89^2</x:f>
        <x:v>4.875153600624999</x:v>
      </x:c>
      <x:c r="AE89" t="str">
        <x:f>IF(ABS(M89)&lt;=5,"YES","NO")</x:f>
        <x:v>NO</x:v>
      </x:c>
      <x:c r="AF89" t="str">
        <x:f>IF(ABS(M89)&lt;=2.5,"YES","NO")</x:f>
        <x:v>NO</x:v>
      </x:c>
      <x:c r="AG89" t="str">
        <x:f>IF(X89="STABLE","Stable",IF(AND(H89&gt;=0.03,T89&gt;10,OR(I89&lt;0.03,U89&lt;=10),OR(J89&lt;0.03,V89&lt;=10)),"X CV only","Multiple / non-X CV"))</x:f>
        <x:v>Stable</x:v>
      </x:c>
      <x:c r="AH89" t="str">
        <x:f>IF(Z89="NO","Excluded from pose statistics: repositioning transition","")</x:f>
      </x:c>
    </x:row>
    <x:row r="90">
      <x:c r="A90" t="n">
        <x:v>86</x:v>
      </x:c>
      <x:c r="B90" s="28" t="n">
        <x:v>170.001</x:v>
      </x:c>
      <x:c r="C90" t="n">
        <x:v>0</x:v>
      </x:c>
      <x:c r="D90" s="28" t="n">
        <x:v>268</x:v>
      </x:c>
      <x:c r="E90" s="28" t="n">
        <x:v>14.75</x:v>
      </x:c>
      <x:c r="F90" s="28" t="str">
        <x:v>Z</x:v>
      </x:c>
      <x:c r="G90" s="28" t="n">
        <x:v>1.2</x:v>
      </x:c>
      <x:c r="H90" s="28" t="n">
        <x:v>0.383661</x:v>
      </x:c>
      <x:c r="I90" s="28" t="n">
        <x:v>0.857768</x:v>
      </x:c>
      <x:c r="J90" s="28" t="n">
        <x:v>2.000847</x:v>
      </x:c>
      <x:c r="K90" s="28" t="n">
        <x:v>2.210509</x:v>
      </x:c>
      <x:c r="L90" s="28" t="n">
        <x:v>2.000847</x:v>
      </x:c>
      <x:c r="M90" s="28" t="n">
        <x:v>66.737</x:v>
      </x:c>
      <x:c r="N90" s="28" t="str">
        <x:v>Z</x:v>
      </x:c>
      <x:c r="O90" s="28" t="n">
        <x:v>3.012</x:v>
      </x:c>
      <x:c r="P90" s="28" t="n">
        <x:v>15.058</x:v>
      </x:c>
      <x:c r="Q90" s="28" t="n">
        <x:v>81.93</x:v>
      </x:c>
      <x:c r="R90" s="28" t="n">
        <x:v>44.59</x:v>
      </x:c>
      <x:c r="S90" s="28" t="n">
        <x:v>19.75</x:v>
      </x:c>
      <x:c r="T90" s="28" t="n">
        <x:v>1.65</x:v>
      </x:c>
      <x:c r="U90" s="28" t="n">
        <x:v>0.94</x:v>
      </x:c>
      <x:c r="V90" s="28" t="n">
        <x:v>1.75</x:v>
      </x:c>
      <x:c r="W90" t="n">
        <x:v>3</x:v>
      </x:c>
      <x:c r="X90" t="str">
        <x:v>STABLE</x:v>
      </x:c>
      <x:c r="Y90" t="str">
        <x:f>IF(A90&lt;=20,"P0 Reference A",IF(A90&lt;=30,"P1 Changed orientation",IF(A90&lt;=40,"P2 Changed orientation",IF(A90&lt;=50,"P3 Changed orientation",IF(A90&lt;=60,"P4 Changed orientation",IF(A90&lt;=70,"P5 Changed orientation",IF(A90&lt;=80,"P6 Changed orientation",IF(A90&lt;=90,"P7 Changed orientation",IF(A90&lt;=92,"Transition / repositioning","P0R Reference return")))))))))</x:f>
        <x:v>P7 Changed orientation</x:v>
      </x:c>
      <x:c r="Z90" t="str">
        <x:f>IF(OR(A90&lt;=90,A90&gt;=93),"YES","NO")</x:f>
        <x:v>YES</x:v>
      </x:c>
      <x:c r="AA90" t="n">
        <x:f>H90^2</x:f>
        <x:v>0.14719576292099998</x:v>
      </x:c>
      <x:c r="AB90" t="n">
        <x:f>I90^2</x:f>
        <x:v>0.7357659418239999</x:v>
      </x:c>
      <x:c r="AC90" t="n">
        <x:f>J90^2</x:f>
        <x:v>4.003388717408999</x:v>
      </x:c>
      <x:c r="AD90" t="n">
        <x:f>K90^2</x:f>
        <x:v>4.886350039081</x:v>
      </x:c>
      <x:c r="AE90" t="str">
        <x:f>IF(ABS(M90)&lt;=5,"YES","NO")</x:f>
        <x:v>NO</x:v>
      </x:c>
      <x:c r="AF90" t="str">
        <x:f>IF(ABS(M90)&lt;=2.5,"YES","NO")</x:f>
        <x:v>NO</x:v>
      </x:c>
      <x:c r="AG90" t="str">
        <x:f>IF(X90="STABLE","Stable",IF(AND(H90&gt;=0.03,T90&gt;10,OR(I90&lt;0.03,U90&lt;=10),OR(J90&lt;0.03,V90&lt;=10)),"X CV only","Multiple / non-X CV"))</x:f>
        <x:v>Stable</x:v>
      </x:c>
      <x:c r="AH90" t="str">
        <x:f>IF(Z90="NO","Excluded from pose statistics: repositioning transition","")</x:f>
      </x:c>
    </x:row>
    <x:row r="91">
      <x:c r="A91" t="n">
        <x:v>87</x:v>
      </x:c>
      <x:c r="B91" s="28" t="n">
        <x:v>172</x:v>
      </x:c>
      <x:c r="C91" t="n">
        <x:v>0</x:v>
      </x:c>
      <x:c r="D91" s="28" t="n">
        <x:v>268</x:v>
      </x:c>
      <x:c r="E91" s="28" t="n">
        <x:v>14.75</x:v>
      </x:c>
      <x:c r="F91" s="28" t="str">
        <x:v>Z</x:v>
      </x:c>
      <x:c r="G91" s="28" t="n">
        <x:v>1.2</x:v>
      </x:c>
      <x:c r="H91" s="28" t="n">
        <x:v>0.400572</x:v>
      </x:c>
      <x:c r="I91" s="28" t="n">
        <x:v>0.811783</x:v>
      </x:c>
      <x:c r="J91" s="28" t="n">
        <x:v>1.958194</x:v>
      </x:c>
      <x:c r="K91" s="28" t="n">
        <x:v>2.157307</x:v>
      </x:c>
      <x:c r="L91" s="28" t="n">
        <x:v>1.958194</x:v>
      </x:c>
      <x:c r="M91" s="28" t="n">
        <x:v>63.183</x:v>
      </x:c>
      <x:c r="N91" s="28" t="str">
        <x:v>Z</x:v>
      </x:c>
      <x:c r="O91" s="28" t="n">
        <x:v>3.448</x:v>
      </x:c>
      <x:c r="P91" s="28" t="n">
        <x:v>14.16</x:v>
      </x:c>
      <x:c r="Q91" s="28" t="n">
        <x:v>82.392</x:v>
      </x:c>
      <x:c r="R91" s="28" t="n">
        <x:v>45.488</x:v>
      </x:c>
      <x:c r="S91" s="28" t="n">
        <x:v>16.868</x:v>
      </x:c>
      <x:c r="T91" s="28" t="n">
        <x:v>3.4</x:v>
      </x:c>
      <x:c r="U91" s="28" t="n">
        <x:v>1.74</x:v>
      </x:c>
      <x:c r="V91" s="28" t="n">
        <x:v>1.32</x:v>
      </x:c>
      <x:c r="W91" t="n">
        <x:v>3</x:v>
      </x:c>
      <x:c r="X91" t="str">
        <x:v>STABLE</x:v>
      </x:c>
      <x:c r="Y91" t="str">
        <x:f>IF(A91&lt;=20,"P0 Reference A",IF(A91&lt;=30,"P1 Changed orientation",IF(A91&lt;=40,"P2 Changed orientation",IF(A91&lt;=50,"P3 Changed orientation",IF(A91&lt;=60,"P4 Changed orientation",IF(A91&lt;=70,"P5 Changed orientation",IF(A91&lt;=80,"P6 Changed orientation",IF(A91&lt;=90,"P7 Changed orientation",IF(A91&lt;=92,"Transition / repositioning","P0R Reference return")))))))))</x:f>
        <x:v>P7 Changed orientation</x:v>
      </x:c>
      <x:c r="Z91" t="str">
        <x:f>IF(OR(A91&lt;=90,A91&gt;=93),"YES","NO")</x:f>
        <x:v>YES</x:v>
      </x:c>
      <x:c r="AA91" t="n">
        <x:f>H91^2</x:f>
        <x:v>0.16045792718399998</x:v>
      </x:c>
      <x:c r="AB91" t="n">
        <x:f>I91^2</x:f>
        <x:v>0.658991639089</x:v>
      </x:c>
      <x:c r="AC91" t="n">
        <x:f>J91^2</x:f>
        <x:v>3.834523741636</x:v>
      </x:c>
      <x:c r="AD91" t="n">
        <x:f>K91^2</x:f>
        <x:v>4.6539734922489995</x:v>
      </x:c>
      <x:c r="AE91" t="str">
        <x:f>IF(ABS(M91)&lt;=5,"YES","NO")</x:f>
        <x:v>NO</x:v>
      </x:c>
      <x:c r="AF91" t="str">
        <x:f>IF(ABS(M91)&lt;=2.5,"YES","NO")</x:f>
        <x:v>NO</x:v>
      </x:c>
      <x:c r="AG91" t="str">
        <x:f>IF(X91="STABLE","Stable",IF(AND(H91&gt;=0.03,T91&gt;10,OR(I91&lt;0.03,U91&lt;=10),OR(J91&lt;0.03,V91&lt;=10)),"X CV only","Multiple / non-X CV"))</x:f>
        <x:v>Stable</x:v>
      </x:c>
      <x:c r="AH91" t="str">
        <x:f>IF(Z91="NO","Excluded from pose statistics: repositioning transition","")</x:f>
      </x:c>
    </x:row>
    <x:row r="92">
      <x:c r="A92" t="n">
        <x:v>88</x:v>
      </x:c>
      <x:c r="B92" s="28" t="n">
        <x:v>174.001</x:v>
      </x:c>
      <x:c r="C92" t="n">
        <x:v>0</x:v>
      </x:c>
      <x:c r="D92" s="28" t="n">
        <x:v>268</x:v>
      </x:c>
      <x:c r="E92" s="28" t="n">
        <x:v>14.75</x:v>
      </x:c>
      <x:c r="F92" s="28" t="str">
        <x:v>Z</x:v>
      </x:c>
      <x:c r="G92" s="28" t="n">
        <x:v>1.2</x:v>
      </x:c>
      <x:c r="H92" s="28" t="n">
        <x:v>0.408855</x:v>
      </x:c>
      <x:c r="I92" s="28" t="n">
        <x:v>0.782097</x:v>
      </x:c>
      <x:c r="J92" s="28" t="n">
        <x:v>1.869194</x:v>
      </x:c>
      <x:c r="K92" s="28" t="n">
        <x:v>2.067057</x:v>
      </x:c>
      <x:c r="L92" s="28" t="n">
        <x:v>1.869194</x:v>
      </x:c>
      <x:c r="M92" s="28" t="n">
        <x:v>55.766</x:v>
      </x:c>
      <x:c r="N92" s="28" t="str">
        <x:v>Z</x:v>
      </x:c>
      <x:c r="O92" s="28" t="n">
        <x:v>3.912</x:v>
      </x:c>
      <x:c r="P92" s="28" t="n">
        <x:v>14.316</x:v>
      </x:c>
      <x:c r="Q92" s="28" t="n">
        <x:v>81.772</x:v>
      </x:c>
      <x:c r="R92" s="28" t="n">
        <x:v>45.332</x:v>
      </x:c>
      <x:c r="S92" s="28" t="n">
        <x:v>11.979</x:v>
      </x:c>
      <x:c r="T92" s="28" t="n">
        <x:v>6.81</x:v>
      </x:c>
      <x:c r="U92" s="28" t="n">
        <x:v>1.32</x:v>
      </x:c>
      <x:c r="V92" s="28" t="n">
        <x:v>0.99</x:v>
      </x:c>
      <x:c r="W92" t="n">
        <x:v>3</x:v>
      </x:c>
      <x:c r="X92" t="str">
        <x:v>STABLE</x:v>
      </x:c>
      <x:c r="Y92" t="str">
        <x:f>IF(A92&lt;=20,"P0 Reference A",IF(A92&lt;=30,"P1 Changed orientation",IF(A92&lt;=40,"P2 Changed orientation",IF(A92&lt;=50,"P3 Changed orientation",IF(A92&lt;=60,"P4 Changed orientation",IF(A92&lt;=70,"P5 Changed orientation",IF(A92&lt;=80,"P6 Changed orientation",IF(A92&lt;=90,"P7 Changed orientation",IF(A92&lt;=92,"Transition / repositioning","P0R Reference return")))))))))</x:f>
        <x:v>P7 Changed orientation</x:v>
      </x:c>
      <x:c r="Z92" t="str">
        <x:f>IF(OR(A92&lt;=90,A92&gt;=93),"YES","NO")</x:f>
        <x:v>YES</x:v>
      </x:c>
      <x:c r="AA92" t="n">
        <x:f>H92^2</x:f>
        <x:v>0.167162411025</x:v>
      </x:c>
      <x:c r="AB92" t="n">
        <x:f>I92^2</x:f>
        <x:v>0.6116757174090001</x:v>
      </x:c>
      <x:c r="AC92" t="n">
        <x:f>J92^2</x:f>
        <x:v>3.493886209636</x:v>
      </x:c>
      <x:c r="AD92" t="n">
        <x:f>K92^2</x:f>
        <x:v>4.272724641249001</x:v>
      </x:c>
      <x:c r="AE92" t="str">
        <x:f>IF(ABS(M92)&lt;=5,"YES","NO")</x:f>
        <x:v>NO</x:v>
      </x:c>
      <x:c r="AF92" t="str">
        <x:f>IF(ABS(M92)&lt;=2.5,"YES","NO")</x:f>
        <x:v>NO</x:v>
      </x:c>
      <x:c r="AG92" t="str">
        <x:f>IF(X92="STABLE","Stable",IF(AND(H92&gt;=0.03,T92&gt;10,OR(I92&lt;0.03,U92&lt;=10),OR(J92&lt;0.03,V92&lt;=10)),"X CV only","Multiple / non-X CV"))</x:f>
        <x:v>Stable</x:v>
      </x:c>
      <x:c r="AH92" t="str">
        <x:f>IF(Z92="NO","Excluded from pose statistics: repositioning transition","")</x:f>
      </x:c>
    </x:row>
    <x:row r="93">
      <x:c r="A93" t="n">
        <x:v>89</x:v>
      </x:c>
      <x:c r="B93" s="28" t="n">
        <x:v>176</x:v>
      </x:c>
      <x:c r="C93" t="n">
        <x:v>0</x:v>
      </x:c>
      <x:c r="D93" s="28" t="n">
        <x:v>268</x:v>
      </x:c>
      <x:c r="E93" s="28" t="n">
        <x:v>14.75</x:v>
      </x:c>
      <x:c r="F93" s="28" t="str">
        <x:v>Z</x:v>
      </x:c>
      <x:c r="G93" s="28" t="n">
        <x:v>1.2</x:v>
      </x:c>
      <x:c r="H93" s="28" t="n">
        <x:v>0.425407</x:v>
      </x:c>
      <x:c r="I93" s="28" t="n">
        <x:v>0.77505</x:v>
      </x:c>
      <x:c r="J93" s="28" t="n">
        <x:v>1.817772</x:v>
      </x:c>
      <x:c r="K93" s="28" t="n">
        <x:v>2.021378</x:v>
      </x:c>
      <x:c r="L93" s="28" t="n">
        <x:v>1.817772</x:v>
      </x:c>
      <x:c r="M93" s="28" t="n">
        <x:v>51.481</x:v>
      </x:c>
      <x:c r="N93" s="28" t="str">
        <x:v>Z</x:v>
      </x:c>
      <x:c r="O93" s="28" t="n">
        <x:v>4.429</x:v>
      </x:c>
      <x:c r="P93" s="28" t="n">
        <x:v>14.702</x:v>
      </x:c>
      <x:c r="Q93" s="28" t="n">
        <x:v>80.869</x:v>
      </x:c>
      <x:c r="R93" s="28" t="n">
        <x:v>44.946</x:v>
      </x:c>
      <x:c r="S93" s="28" t="n">
        <x:v>9.504</x:v>
      </x:c>
      <x:c r="T93" s="28" t="n">
        <x:v>4.47</x:v>
      </x:c>
      <x:c r="U93" s="28" t="n">
        <x:v>0.93</x:v>
      </x:c>
      <x:c r="V93" s="28" t="n">
        <x:v>1.91</x:v>
      </x:c>
      <x:c r="W93" t="n">
        <x:v>3</x:v>
      </x:c>
      <x:c r="X93" t="str">
        <x:v>STABLE</x:v>
      </x:c>
      <x:c r="Y93" t="str">
        <x:f>IF(A93&lt;=20,"P0 Reference A",IF(A93&lt;=30,"P1 Changed orientation",IF(A93&lt;=40,"P2 Changed orientation",IF(A93&lt;=50,"P3 Changed orientation",IF(A93&lt;=60,"P4 Changed orientation",IF(A93&lt;=70,"P5 Changed orientation",IF(A93&lt;=80,"P6 Changed orientation",IF(A93&lt;=90,"P7 Changed orientation",IF(A93&lt;=92,"Transition / repositioning","P0R Reference return")))))))))</x:f>
        <x:v>P7 Changed orientation</x:v>
      </x:c>
      <x:c r="Z93" t="str">
        <x:f>IF(OR(A93&lt;=90,A93&gt;=93),"YES","NO")</x:f>
        <x:v>YES</x:v>
      </x:c>
      <x:c r="AA93" t="n">
        <x:f>H93^2</x:f>
        <x:v>0.18097111564899998</x:v>
      </x:c>
      <x:c r="AB93" t="n">
        <x:f>I93^2</x:f>
        <x:v>0.6007025025</x:v>
      </x:c>
      <x:c r="AC93" t="n">
        <x:f>J93^2</x:f>
        <x:v>3.3042950439839998</x:v>
      </x:c>
      <x:c r="AD93" t="n">
        <x:f>K93^2</x:f>
        <x:v>4.085969018884</x:v>
      </x:c>
      <x:c r="AE93" t="str">
        <x:f>IF(ABS(M93)&lt;=5,"YES","NO")</x:f>
        <x:v>NO</x:v>
      </x:c>
      <x:c r="AF93" t="str">
        <x:f>IF(ABS(M93)&lt;=2.5,"YES","NO")</x:f>
        <x:v>NO</x:v>
      </x:c>
      <x:c r="AG93" t="str">
        <x:f>IF(X93="STABLE","Stable",IF(AND(H93&gt;=0.03,T93&gt;10,OR(I93&lt;0.03,U93&lt;=10),OR(J93&lt;0.03,V93&lt;=10)),"X CV only","Multiple / non-X CV"))</x:f>
        <x:v>Stable</x:v>
      </x:c>
      <x:c r="AH93" t="str">
        <x:f>IF(Z93="NO","Excluded from pose statistics: repositioning transition","")</x:f>
      </x:c>
    </x:row>
    <x:row r="94">
      <x:c r="A94" t="n">
        <x:v>90</x:v>
      </x:c>
      <x:c r="B94" s="28" t="n">
        <x:v>178.001</x:v>
      </x:c>
      <x:c r="C94" t="n">
        <x:v>0</x:v>
      </x:c>
      <x:c r="D94" s="28" t="n">
        <x:v>268</x:v>
      </x:c>
      <x:c r="E94" s="28" t="n">
        <x:v>14.75</x:v>
      </x:c>
      <x:c r="F94" s="28" t="str">
        <x:v>Z</x:v>
      </x:c>
      <x:c r="G94" s="28" t="n">
        <x:v>1.2</x:v>
      </x:c>
      <x:c r="H94" s="28" t="n">
        <x:v>0.3623</x:v>
      </x:c>
      <x:c r="I94" s="28" t="n">
        <x:v>0.779694</x:v>
      </x:c>
      <x:c r="J94" s="28" t="n">
        <x:v>1.80948</x:v>
      </x:c>
      <x:c r="K94" s="28" t="n">
        <x:v>2.003347</x:v>
      </x:c>
      <x:c r="L94" s="28" t="n">
        <x:v>1.80948</x:v>
      </x:c>
      <x:c r="M94" s="28" t="n">
        <x:v>50.79</x:v>
      </x:c>
      <x:c r="N94" s="28" t="str">
        <x:v>Z</x:v>
      </x:c>
      <x:c r="O94" s="28" t="n">
        <x:v>3.271</x:v>
      </x:c>
      <x:c r="P94" s="28" t="n">
        <x:v>15.147</x:v>
      </x:c>
      <x:c r="Q94" s="28" t="n">
        <x:v>81.582</x:v>
      </x:c>
      <x:c r="R94" s="28" t="n">
        <x:v>44.5</x:v>
      </x:c>
      <x:c r="S94" s="28" t="n">
        <x:v>8.527</x:v>
      </x:c>
      <x:c r="T94" s="28" t="n">
        <x:v>13.78</x:v>
      </x:c>
      <x:c r="U94" s="28" t="n">
        <x:v>2.82</x:v>
      </x:c>
      <x:c r="V94" s="28" t="n">
        <x:v>1.35</x:v>
      </x:c>
      <x:c r="W94" t="n">
        <x:v>3</x:v>
      </x:c>
      <x:c r="X94" t="str">
        <x:v>TRANSIENT</x:v>
      </x:c>
      <x:c r="Y94" t="str">
        <x:f>IF(A94&lt;=20,"P0 Reference A",IF(A94&lt;=30,"P1 Changed orientation",IF(A94&lt;=40,"P2 Changed orientation",IF(A94&lt;=50,"P3 Changed orientation",IF(A94&lt;=60,"P4 Changed orientation",IF(A94&lt;=70,"P5 Changed orientation",IF(A94&lt;=80,"P6 Changed orientation",IF(A94&lt;=90,"P7 Changed orientation",IF(A94&lt;=92,"Transition / repositioning","P0R Reference return")))))))))</x:f>
        <x:v>P7 Changed orientation</x:v>
      </x:c>
      <x:c r="Z94" t="str">
        <x:f>IF(OR(A94&lt;=90,A94&gt;=93),"YES","NO")</x:f>
        <x:v>YES</x:v>
      </x:c>
      <x:c r="AA94" t="n">
        <x:f>H94^2</x:f>
        <x:v>0.13126129</x:v>
      </x:c>
      <x:c r="AB94" t="n">
        <x:f>I94^2</x:f>
        <x:v>0.607922733636</x:v>
      </x:c>
      <x:c r="AC94" t="n">
        <x:f>J94^2</x:f>
        <x:v>3.2742178704</x:v>
      </x:c>
      <x:c r="AD94" t="n">
        <x:f>K94^2</x:f>
        <x:v>4.013399202409001</x:v>
      </x:c>
      <x:c r="AE94" t="str">
        <x:f>IF(ABS(M94)&lt;=5,"YES","NO")</x:f>
        <x:v>NO</x:v>
      </x:c>
      <x:c r="AF94" t="str">
        <x:f>IF(ABS(M94)&lt;=2.5,"YES","NO")</x:f>
        <x:v>NO</x:v>
      </x:c>
      <x:c r="AG94" t="str">
        <x:f>IF(X94="STABLE","Stable",IF(AND(H94&gt;=0.03,T94&gt;10,OR(I94&lt;0.03,U94&lt;=10),OR(J94&lt;0.03,V94&lt;=10)),"X CV only","Multiple / non-X CV"))</x:f>
        <x:v>X CV only</x:v>
      </x:c>
      <x:c r="AH94" t="str">
        <x:f>IF(Z94="NO","Excluded from pose statistics: repositioning transition","")</x:f>
      </x:c>
    </x:row>
    <x:row r="95">
      <x:c r="A95" t="n">
        <x:v>91</x:v>
      </x:c>
      <x:c r="B95" s="28" t="n">
        <x:v>180</x:v>
      </x:c>
      <x:c r="C95" t="n">
        <x:v>0</x:v>
      </x:c>
      <x:c r="D95" s="28" t="n">
        <x:v>268</x:v>
      </x:c>
      <x:c r="E95" s="28" t="n">
        <x:v>14.75</x:v>
      </x:c>
      <x:c r="F95" s="28" t="str">
        <x:v>Z</x:v>
      </x:c>
      <x:c r="G95" s="28" t="n">
        <x:v>1.2</x:v>
      </x:c>
      <x:c r="H95" s="28" t="n">
        <x:v>0.092461</x:v>
      </x:c>
      <x:c r="I95" s="28" t="n">
        <x:v>0.693555</x:v>
      </x:c>
      <x:c r="J95" s="28" t="n">
        <x:v>1.023411</x:v>
      </x:c>
      <x:c r="K95" s="28" t="n">
        <x:v>1.239732</x:v>
      </x:c>
      <x:c r="L95" s="28" t="n">
        <x:v>1.023411</x:v>
      </x:c>
      <x:c r="M95" s="28" t="n">
        <x:v>-14.716</x:v>
      </x:c>
      <x:c r="N95" s="28" t="str">
        <x:v>Z</x:v>
      </x:c>
      <x:c r="O95" s="28" t="n">
        <x:v>0.556</x:v>
      </x:c>
      <x:c r="P95" s="28" t="n">
        <x:v>31.297</x:v>
      </x:c>
      <x:c r="Q95" s="28" t="n">
        <x:v>68.147</x:v>
      </x:c>
      <x:c r="R95" s="28" t="n">
        <x:v>28.35</x:v>
      </x:c>
      <x:c r="S95" s="28" t="n">
        <x:v>-32.84</x:v>
      </x:c>
      <x:c r="T95" s="28" t="n">
        <x:v>49.48</x:v>
      </x:c>
      <x:c r="U95" s="28" t="n">
        <x:v>22.38</x:v>
      </x:c>
      <x:c r="V95" s="28" t="n">
        <x:v>40.43</x:v>
      </x:c>
      <x:c r="W95" t="n">
        <x:v>3</x:v>
      </x:c>
      <x:c r="X95" t="str">
        <x:v>TRANSIENT</x:v>
      </x:c>
      <x:c r="Y95" t="str">
        <x:f>IF(A95&lt;=20,"P0 Reference A",IF(A95&lt;=30,"P1 Changed orientation",IF(A95&lt;=40,"P2 Changed orientation",IF(A95&lt;=50,"P3 Changed orientation",IF(A95&lt;=60,"P4 Changed orientation",IF(A95&lt;=70,"P5 Changed orientation",IF(A95&lt;=80,"P6 Changed orientation",IF(A95&lt;=90,"P7 Changed orientation",IF(A95&lt;=92,"Transition / repositioning","P0R Reference return")))))))))</x:f>
        <x:v>Transition / repositioning</x:v>
      </x:c>
      <x:c r="Z95" t="str">
        <x:f>IF(OR(A95&lt;=90,A95&gt;=93),"YES","NO")</x:f>
        <x:v>NO</x:v>
      </x:c>
      <x:c r="AA95" t="n">
        <x:f>H95^2</x:f>
        <x:v>0.008549036521</x:v>
      </x:c>
      <x:c r="AB95" t="n">
        <x:f>I95^2</x:f>
        <x:v>0.48101853802500005</x:v>
      </x:c>
      <x:c r="AC95" t="n">
        <x:f>J95^2</x:f>
        <x:v>1.0473700749210002</x:v>
      </x:c>
      <x:c r="AD95" t="n">
        <x:f>K95^2</x:f>
        <x:v>1.536935431824</x:v>
      </x:c>
      <x:c r="AE95" t="str">
        <x:f>IF(ABS(M95)&lt;=5,"YES","NO")</x:f>
        <x:v>NO</x:v>
      </x:c>
      <x:c r="AF95" t="str">
        <x:f>IF(ABS(M95)&lt;=2.5,"YES","NO")</x:f>
        <x:v>NO</x:v>
      </x:c>
      <x:c r="AG95" t="str">
        <x:f>IF(X95="STABLE","Stable",IF(AND(H95&gt;=0.03,T95&gt;10,OR(I95&lt;0.03,U95&lt;=10),OR(J95&lt;0.03,V95&lt;=10)),"X CV only","Multiple / non-X CV"))</x:f>
        <x:v>Multiple / non-X CV</x:v>
      </x:c>
      <x:c r="AH95" t="str">
        <x:f>IF(Z95="NO","Excluded from pose statistics: repositioning transition","")</x:f>
        <x:v>Excluded from pose statistics: repositioning transition</x:v>
      </x:c>
    </x:row>
    <x:row r="96">
      <x:c r="A96" t="n">
        <x:v>92</x:v>
      </x:c>
      <x:c r="B96" s="28" t="n">
        <x:v>182.001</x:v>
      </x:c>
      <x:c r="C96" t="n">
        <x:v>0</x:v>
      </x:c>
      <x:c r="D96" s="28" t="n">
        <x:v>268</x:v>
      </x:c>
      <x:c r="E96" s="28" t="n">
        <x:v>14.75</x:v>
      </x:c>
      <x:c r="F96" s="28" t="str">
        <x:v>Z</x:v>
      </x:c>
      <x:c r="G96" s="28" t="n">
        <x:v>1.2</x:v>
      </x:c>
      <x:c r="H96" s="28" t="n">
        <x:v>0.177981</x:v>
      </x:c>
      <x:c r="I96" s="28" t="n">
        <x:v>0.925762</x:v>
      </x:c>
      <x:c r="J96" s="28" t="n">
        <x:v>0.912947</x:v>
      </x:c>
      <x:c r="K96" s="28" t="n">
        <x:v>1.31232</x:v>
      </x:c>
      <x:c r="L96" s="28" t="n">
        <x:v>0.912947</x:v>
      </x:c>
      <x:c r="M96" s="28" t="n">
        <x:v>-23.921</x:v>
      </x:c>
      <x:c r="N96" s="28" t="str">
        <x:v>Y</x:v>
      </x:c>
      <x:c r="O96" s="28" t="n">
        <x:v>1.839</x:v>
      </x:c>
      <x:c r="P96" s="28" t="n">
        <x:v>49.764</x:v>
      </x:c>
      <x:c r="Q96" s="28" t="n">
        <x:v>48.396</x:v>
      </x:c>
      <x:c r="R96" s="28" t="n">
        <x:v>9.883</x:v>
      </x:c>
      <x:c r="S96" s="28" t="n">
        <x:v>-28.908</x:v>
      </x:c>
      <x:c r="T96" s="28" t="n">
        <x:v>5.89</x:v>
      </x:c>
      <x:c r="U96" s="28" t="n">
        <x:v>1.11</x:v>
      </x:c>
      <x:c r="V96" s="28" t="n">
        <x:v>6.5</x:v>
      </x:c>
      <x:c r="W96" t="n">
        <x:v>3</x:v>
      </x:c>
      <x:c r="X96" t="str">
        <x:v>STABLE</x:v>
      </x:c>
      <x:c r="Y96" t="str">
        <x:f>IF(A96&lt;=20,"P0 Reference A",IF(A96&lt;=30,"P1 Changed orientation",IF(A96&lt;=40,"P2 Changed orientation",IF(A96&lt;=50,"P3 Changed orientation",IF(A96&lt;=60,"P4 Changed orientation",IF(A96&lt;=70,"P5 Changed orientation",IF(A96&lt;=80,"P6 Changed orientation",IF(A96&lt;=90,"P7 Changed orientation",IF(A96&lt;=92,"Transition / repositioning","P0R Reference return")))))))))</x:f>
        <x:v>Transition / repositioning</x:v>
      </x:c>
      <x:c r="Z96" t="str">
        <x:f>IF(OR(A96&lt;=90,A96&gt;=93),"YES","NO")</x:f>
        <x:v>NO</x:v>
      </x:c>
      <x:c r="AA96" t="n">
        <x:f>H96^2</x:f>
        <x:v>0.031677236361</x:v>
      </x:c>
      <x:c r="AB96" t="n">
        <x:f>I96^2</x:f>
        <x:v>0.8570352806439999</x:v>
      </x:c>
      <x:c r="AC96" t="n">
        <x:f>J96^2</x:f>
        <x:v>0.833472224809</x:v>
      </x:c>
      <x:c r="AD96" t="n">
        <x:f>K96^2</x:f>
        <x:v>1.7221837824</x:v>
      </x:c>
      <x:c r="AE96" t="str">
        <x:f>IF(ABS(M96)&lt;=5,"YES","NO")</x:f>
        <x:v>NO</x:v>
      </x:c>
      <x:c r="AF96" t="str">
        <x:f>IF(ABS(M96)&lt;=2.5,"YES","NO")</x:f>
        <x:v>NO</x:v>
      </x:c>
      <x:c r="AG96" t="str">
        <x:f>IF(X96="STABLE","Stable",IF(AND(H96&gt;=0.03,T96&gt;10,OR(I96&lt;0.03,U96&lt;=10),OR(J96&lt;0.03,V96&lt;=10)),"X CV only","Multiple / non-X CV"))</x:f>
        <x:v>Stable</x:v>
      </x:c>
      <x:c r="AH96" t="str">
        <x:f>IF(Z96="NO","Excluded from pose statistics: repositioning transition","")</x:f>
        <x:v>Excluded from pose statistics: repositioning transition</x:v>
      </x:c>
    </x:row>
    <x:row r="97">
      <x:c r="A97" t="n">
        <x:v>93</x:v>
      </x:c>
      <x:c r="B97" s="28" t="n">
        <x:v>184</x:v>
      </x:c>
      <x:c r="C97" t="n">
        <x:v>0</x:v>
      </x:c>
      <x:c r="D97" s="28" t="n">
        <x:v>268</x:v>
      </x:c>
      <x:c r="E97" s="28" t="n">
        <x:v>14.75</x:v>
      </x:c>
      <x:c r="F97" s="28" t="str">
        <x:v>Z</x:v>
      </x:c>
      <x:c r="G97" s="28" t="n">
        <x:v>1.2</x:v>
      </x:c>
      <x:c r="H97" s="28" t="n">
        <x:v>0.198996</x:v>
      </x:c>
      <x:c r="I97" s="28" t="n">
        <x:v>0.962225</x:v>
      </x:c>
      <x:c r="J97" s="28" t="n">
        <x:v>0.866105</x:v>
      </x:c>
      <x:c r="K97" s="28" t="n">
        <x:v>1.309815</x:v>
      </x:c>
      <x:c r="L97" s="28" t="n">
        <x:v>0.866105</x:v>
      </x:c>
      <x:c r="M97" s="28" t="n">
        <x:v>-27.825</x:v>
      </x:c>
      <x:c r="N97" s="28" t="str">
        <x:v>Y</x:v>
      </x:c>
      <x:c r="O97" s="28" t="n">
        <x:v>2.308</x:v>
      </x:c>
      <x:c r="P97" s="28" t="n">
        <x:v>53.968</x:v>
      </x:c>
      <x:c r="Q97" s="28" t="n">
        <x:v>43.724</x:v>
      </x:c>
      <x:c r="R97" s="28" t="n">
        <x:v>5.68</x:v>
      </x:c>
      <x:c r="S97" s="28" t="n">
        <x:v>-29.044</x:v>
      </x:c>
      <x:c r="T97" s="28" t="n">
        <x:v>15.39</x:v>
      </x:c>
      <x:c r="U97" s="28" t="n">
        <x:v>7.92</x:v>
      </x:c>
      <x:c r="V97" s="28" t="n">
        <x:v>4.83</x:v>
      </x:c>
      <x:c r="W97" t="n">
        <x:v>3</x:v>
      </x:c>
      <x:c r="X97" t="str">
        <x:v>TRANSIENT</x:v>
      </x:c>
      <x:c r="Y97" t="str">
        <x:f>IF(A97&lt;=20,"P0 Reference A",IF(A97&lt;=30,"P1 Changed orientation",IF(A97&lt;=40,"P2 Changed orientation",IF(A97&lt;=50,"P3 Changed orientation",IF(A97&lt;=60,"P4 Changed orientation",IF(A97&lt;=70,"P5 Changed orientation",IF(A97&lt;=80,"P6 Changed orientation",IF(A97&lt;=90,"P7 Changed orientation",IF(A97&lt;=92,"Transition / repositioning","P0R Reference return")))))))))</x:f>
        <x:v>P0R Reference return</x:v>
      </x:c>
      <x:c r="Z97" t="str">
        <x:f>IF(OR(A97&lt;=90,A97&gt;=93),"YES","NO")</x:f>
        <x:v>YES</x:v>
      </x:c>
      <x:c r="AA97" t="n">
        <x:f>H97^2</x:f>
        <x:v>0.039599408016</x:v>
      </x:c>
      <x:c r="AB97" t="n">
        <x:f>I97^2</x:f>
        <x:v>0.925876950625</x:v>
      </x:c>
      <x:c r="AC97" t="n">
        <x:f>J97^2</x:f>
        <x:v>0.7501378710250001</x:v>
      </x:c>
      <x:c r="AD97" t="n">
        <x:f>K97^2</x:f>
        <x:v>1.7156153342249998</x:v>
      </x:c>
      <x:c r="AE97" t="str">
        <x:f>IF(ABS(M97)&lt;=5,"YES","NO")</x:f>
        <x:v>NO</x:v>
      </x:c>
      <x:c r="AF97" t="str">
        <x:f>IF(ABS(M97)&lt;=2.5,"YES","NO")</x:f>
        <x:v>NO</x:v>
      </x:c>
      <x:c r="AG97" t="str">
        <x:f>IF(X97="STABLE","Stable",IF(AND(H97&gt;=0.03,T97&gt;10,OR(I97&lt;0.03,U97&lt;=10),OR(J97&lt;0.03,V97&lt;=10)),"X CV only","Multiple / non-X CV"))</x:f>
        <x:v>X CV only</x:v>
      </x:c>
      <x:c r="AH97" t="str">
        <x:f>IF(Z97="NO","Excluded from pose statistics: repositioning transition","")</x:f>
      </x:c>
    </x:row>
    <x:row r="98">
      <x:c r="A98" t="n">
        <x:v>94</x:v>
      </x:c>
      <x:c r="B98" s="28" t="n">
        <x:v>186.001</x:v>
      </x:c>
      <x:c r="C98" t="n">
        <x:v>0</x:v>
      </x:c>
      <x:c r="D98" s="28" t="n">
        <x:v>268</x:v>
      </x:c>
      <x:c r="E98" s="28" t="n">
        <x:v>14.75</x:v>
      </x:c>
      <x:c r="F98" s="28" t="str">
        <x:v>Z</x:v>
      </x:c>
      <x:c r="G98" s="28" t="n">
        <x:v>1.2</x:v>
      </x:c>
      <x:c r="H98" s="28" t="n">
        <x:v>0.194599</x:v>
      </x:c>
      <x:c r="I98" s="28" t="n">
        <x:v>0.974592</x:v>
      </x:c>
      <x:c r="J98" s="28" t="n">
        <x:v>0.876046</x:v>
      </x:c>
      <x:c r="K98" s="28" t="n">
        <x:v>1.324822</x:v>
      </x:c>
      <x:c r="L98" s="28" t="n">
        <x:v>0.876046</x:v>
      </x:c>
      <x:c r="M98" s="28" t="n">
        <x:v>-26.996</x:v>
      </x:c>
      <x:c r="N98" s="28" t="str">
        <x:v>Y</x:v>
      </x:c>
      <x:c r="O98" s="28" t="n">
        <x:v>2.158</x:v>
      </x:c>
      <x:c r="P98" s="28" t="n">
        <x:v>54.117</x:v>
      </x:c>
      <x:c r="Q98" s="28" t="n">
        <x:v>43.726</x:v>
      </x:c>
      <x:c r="R98" s="28" t="n">
        <x:v>5.531</x:v>
      </x:c>
      <x:c r="S98" s="28" t="n">
        <x:v>-28.231</x:v>
      </x:c>
      <x:c r="T98" s="28" t="n">
        <x:v>4.52</x:v>
      </x:c>
      <x:c r="U98" s="28" t="n">
        <x:v>2.52</x:v>
      </x:c>
      <x:c r="V98" s="28" t="n">
        <x:v>1.04</x:v>
      </x:c>
      <x:c r="W98" t="n">
        <x:v>3</x:v>
      </x:c>
      <x:c r="X98" t="str">
        <x:v>STABLE</x:v>
      </x:c>
      <x:c r="Y98" t="str">
        <x:f>IF(A98&lt;=20,"P0 Reference A",IF(A98&lt;=30,"P1 Changed orientation",IF(A98&lt;=40,"P2 Changed orientation",IF(A98&lt;=50,"P3 Changed orientation",IF(A98&lt;=60,"P4 Changed orientation",IF(A98&lt;=70,"P5 Changed orientation",IF(A98&lt;=80,"P6 Changed orientation",IF(A98&lt;=90,"P7 Changed orientation",IF(A98&lt;=92,"Transition / repositioning","P0R Reference return")))))))))</x:f>
        <x:v>P0R Reference return</x:v>
      </x:c>
      <x:c r="Z98" t="str">
        <x:f>IF(OR(A98&lt;=90,A98&gt;=93),"YES","NO")</x:f>
        <x:v>YES</x:v>
      </x:c>
      <x:c r="AA98" t="n">
        <x:f>H98^2</x:f>
        <x:v>0.037868770801</x:v>
      </x:c>
      <x:c r="AB98" t="n">
        <x:f>I98^2</x:f>
        <x:v>0.9498295664640001</x:v>
      </x:c>
      <x:c r="AC98" t="n">
        <x:f>J98^2</x:f>
        <x:v>0.767456594116</x:v>
      </x:c>
      <x:c r="AD98" t="n">
        <x:f>K98^2</x:f>
        <x:v>1.7551533316839998</x:v>
      </x:c>
      <x:c r="AE98" t="str">
        <x:f>IF(ABS(M98)&lt;=5,"YES","NO")</x:f>
        <x:v>NO</x:v>
      </x:c>
      <x:c r="AF98" t="str">
        <x:f>IF(ABS(M98)&lt;=2.5,"YES","NO")</x:f>
        <x:v>NO</x:v>
      </x:c>
      <x:c r="AG98" t="str">
        <x:f>IF(X98="STABLE","Stable",IF(AND(H98&gt;=0.03,T98&gt;10,OR(I98&lt;0.03,U98&lt;=10),OR(J98&lt;0.03,V98&lt;=10)),"X CV only","Multiple / non-X CV"))</x:f>
        <x:v>Stable</x:v>
      </x:c>
      <x:c r="AH98" t="str">
        <x:f>IF(Z98="NO","Excluded from pose statistics: repositioning transition","")</x:f>
      </x:c>
    </x:row>
    <x:row r="99">
      <x:c r="A99" t="n">
        <x:v>95</x:v>
      </x:c>
      <x:c r="B99" s="28" t="n">
        <x:v>188</x:v>
      </x:c>
      <x:c r="C99" t="n">
        <x:v>0</x:v>
      </x:c>
      <x:c r="D99" s="28" t="n">
        <x:v>268</x:v>
      </x:c>
      <x:c r="E99" s="28" t="n">
        <x:v>14.75</x:v>
      </x:c>
      <x:c r="F99" s="28" t="str">
        <x:v>Z</x:v>
      </x:c>
      <x:c r="G99" s="28" t="n">
        <x:v>1.2</x:v>
      </x:c>
      <x:c r="H99" s="28" t="n">
        <x:v>0.194975</x:v>
      </x:c>
      <x:c r="I99" s="28" t="n">
        <x:v>1.038368</x:v>
      </x:c>
      <x:c r="J99" s="28" t="n">
        <x:v>0.955961</x:v>
      </x:c>
      <x:c r="K99" s="28" t="n">
        <x:v>1.42481</x:v>
      </x:c>
      <x:c r="L99" s="28" t="n">
        <x:v>0.955961</x:v>
      </x:c>
      <x:c r="M99" s="28" t="n">
        <x:v>-20.337</x:v>
      </x:c>
      <x:c r="N99" s="28" t="str">
        <x:v>Y</x:v>
      </x:c>
      <x:c r="O99" s="28" t="n">
        <x:v>1.873</x:v>
      </x:c>
      <x:c r="P99" s="28" t="n">
        <x:v>53.112</x:v>
      </x:c>
      <x:c r="Q99" s="28" t="n">
        <x:v>45.016</x:v>
      </x:c>
      <x:c r="R99" s="28" t="n">
        <x:v>6.536</x:v>
      </x:c>
      <x:c r="S99" s="28" t="n">
        <x:v>-22.814</x:v>
      </x:c>
      <x:c r="T99" s="28" t="n">
        <x:v>7.2</x:v>
      </x:c>
      <x:c r="U99" s="28" t="n">
        <x:v>1.51</x:v>
      </x:c>
      <x:c r="V99" s="28" t="n">
        <x:v>1.99</x:v>
      </x:c>
      <x:c r="W99" t="n">
        <x:v>3</x:v>
      </x:c>
      <x:c r="X99" t="str">
        <x:v>STABLE</x:v>
      </x:c>
      <x:c r="Y99" t="str">
        <x:f>IF(A99&lt;=20,"P0 Reference A",IF(A99&lt;=30,"P1 Changed orientation",IF(A99&lt;=40,"P2 Changed orientation",IF(A99&lt;=50,"P3 Changed orientation",IF(A99&lt;=60,"P4 Changed orientation",IF(A99&lt;=70,"P5 Changed orientation",IF(A99&lt;=80,"P6 Changed orientation",IF(A99&lt;=90,"P7 Changed orientation",IF(A99&lt;=92,"Transition / repositioning","P0R Reference return")))))))))</x:f>
        <x:v>P0R Reference return</x:v>
      </x:c>
      <x:c r="Z99" t="str">
        <x:f>IF(OR(A99&lt;=90,A99&gt;=93),"YES","NO")</x:f>
        <x:v>YES</x:v>
      </x:c>
      <x:c r="AA99" t="n">
        <x:f>H99^2</x:f>
        <x:v>0.038015250625000004</x:v>
      </x:c>
      <x:c r="AB99" t="n">
        <x:f>I99^2</x:f>
        <x:v>1.0782081034239999</x:v>
      </x:c>
      <x:c r="AC99" t="n">
        <x:f>J99^2</x:f>
        <x:v>0.9138614335209999</x:v>
      </x:c>
      <x:c r="AD99" t="n">
        <x:f>K99^2</x:f>
        <x:v>2.0300835361</x:v>
      </x:c>
      <x:c r="AE99" t="str">
        <x:f>IF(ABS(M99)&lt;=5,"YES","NO")</x:f>
        <x:v>NO</x:v>
      </x:c>
      <x:c r="AF99" t="str">
        <x:f>IF(ABS(M99)&lt;=2.5,"YES","NO")</x:f>
        <x:v>NO</x:v>
      </x:c>
      <x:c r="AG99" t="str">
        <x:f>IF(X99="STABLE","Stable",IF(AND(H99&gt;=0.03,T99&gt;10,OR(I99&lt;0.03,U99&lt;=10),OR(J99&lt;0.03,V99&lt;=10)),"X CV only","Multiple / non-X CV"))</x:f>
        <x:v>Stable</x:v>
      </x:c>
      <x:c r="AH99" t="str">
        <x:f>IF(Z99="NO","Excluded from pose statistics: repositioning transition","")</x:f>
      </x:c>
    </x:row>
    <x:row r="100">
      <x:c r="A100" t="n">
        <x:v>96</x:v>
      </x:c>
      <x:c r="B100" s="28" t="n">
        <x:v>190.001</x:v>
      </x:c>
      <x:c r="C100" t="n">
        <x:v>0</x:v>
      </x:c>
      <x:c r="D100" s="28" t="n">
        <x:v>268</x:v>
      </x:c>
      <x:c r="E100" s="28" t="n">
        <x:v>14.75</x:v>
      </x:c>
      <x:c r="F100" s="28" t="str">
        <x:v>Z</x:v>
      </x:c>
      <x:c r="G100" s="28" t="n">
        <x:v>1.2</x:v>
      </x:c>
      <x:c r="H100" s="28" t="n">
        <x:v>0.198007</x:v>
      </x:c>
      <x:c r="I100" s="28" t="n">
        <x:v>1.076997</x:v>
      </x:c>
      <x:c r="J100" s="28" t="n">
        <x:v>0.925843</x:v>
      </x:c>
      <x:c r="K100" s="28" t="n">
        <x:v>1.433986</x:v>
      </x:c>
      <x:c r="L100" s="28" t="n">
        <x:v>0.925843</x:v>
      </x:c>
      <x:c r="M100" s="28" t="n">
        <x:v>-22.846</x:v>
      </x:c>
      <x:c r="N100" s="28" t="str">
        <x:v>Y</x:v>
      </x:c>
      <x:c r="O100" s="28" t="n">
        <x:v>1.907</x:v>
      </x:c>
      <x:c r="P100" s="28" t="n">
        <x:v>56.408</x:v>
      </x:c>
      <x:c r="Q100" s="28" t="n">
        <x:v>41.686</x:v>
      </x:c>
      <x:c r="R100" s="28" t="n">
        <x:v>3.24</x:v>
      </x:c>
      <x:c r="S100" s="28" t="n">
        <x:v>-22.317</x:v>
      </x:c>
      <x:c r="T100" s="28" t="n">
        <x:v>8.28</x:v>
      </x:c>
      <x:c r="U100" s="28" t="n">
        <x:v>1.3</x:v>
      </x:c>
      <x:c r="V100" s="28" t="n">
        <x:v>0.79</x:v>
      </x:c>
      <x:c r="W100" t="n">
        <x:v>3</x:v>
      </x:c>
      <x:c r="X100" t="str">
        <x:v>STABLE</x:v>
      </x:c>
      <x:c r="Y100" t="str">
        <x:f>IF(A100&lt;=20,"P0 Reference A",IF(A100&lt;=30,"P1 Changed orientation",IF(A100&lt;=40,"P2 Changed orientation",IF(A100&lt;=50,"P3 Changed orientation",IF(A100&lt;=60,"P4 Changed orientation",IF(A100&lt;=70,"P5 Changed orientation",IF(A100&lt;=80,"P6 Changed orientation",IF(A100&lt;=90,"P7 Changed orientation",IF(A100&lt;=92,"Transition / repositioning","P0R Reference return")))))))))</x:f>
        <x:v>P0R Reference return</x:v>
      </x:c>
      <x:c r="Z100" t="str">
        <x:f>IF(OR(A100&lt;=90,A100&gt;=93),"YES","NO")</x:f>
        <x:v>YES</x:v>
      </x:c>
      <x:c r="AA100" t="n">
        <x:f>H100^2</x:f>
        <x:v>0.03920677204899999</x:v>
      </x:c>
      <x:c r="AB100" t="n">
        <x:f>I100^2</x:f>
        <x:v>1.159922538009</x:v>
      </x:c>
      <x:c r="AC100" t="n">
        <x:f>J100^2</x:f>
        <x:v>0.8571852606489999</x:v>
      </x:c>
      <x:c r="AD100" t="n">
        <x:f>K100^2</x:f>
        <x:v>2.0563158481959998</x:v>
      </x:c>
      <x:c r="AE100" t="str">
        <x:f>IF(ABS(M100)&lt;=5,"YES","NO")</x:f>
        <x:v>NO</x:v>
      </x:c>
      <x:c r="AF100" t="str">
        <x:f>IF(ABS(M100)&lt;=2.5,"YES","NO")</x:f>
        <x:v>NO</x:v>
      </x:c>
      <x:c r="AG100" t="str">
        <x:f>IF(X100="STABLE","Stable",IF(AND(H100&gt;=0.03,T100&gt;10,OR(I100&lt;0.03,U100&lt;=10),OR(J100&lt;0.03,V100&lt;=10)),"X CV only","Multiple / non-X CV"))</x:f>
        <x:v>Stable</x:v>
      </x:c>
      <x:c r="AH100" t="str">
        <x:f>IF(Z100="NO","Excluded from pose statistics: repositioning transition","")</x:f>
      </x:c>
    </x:row>
    <x:row r="101">
      <x:c r="A101" t="n">
        <x:v>97</x:v>
      </x:c>
      <x:c r="B101" s="28" t="n">
        <x:v>192</x:v>
      </x:c>
      <x:c r="C101" t="n">
        <x:v>0</x:v>
      </x:c>
      <x:c r="D101" s="28" t="n">
        <x:v>268</x:v>
      </x:c>
      <x:c r="E101" s="28" t="n">
        <x:v>14.75</x:v>
      </x:c>
      <x:c r="F101" s="28" t="str">
        <x:v>Z</x:v>
      </x:c>
      <x:c r="G101" s="28" t="n">
        <x:v>1.2</x:v>
      </x:c>
      <x:c r="H101" s="28" t="n">
        <x:v>0.185332</x:v>
      </x:c>
      <x:c r="I101" s="28" t="n">
        <x:v>1.100476</x:v>
      </x:c>
      <x:c r="J101" s="28" t="n">
        <x:v>0.96103</x:v>
      </x:c>
      <x:c r="K101" s="28" t="n">
        <x:v>1.472744</x:v>
      </x:c>
      <x:c r="L101" s="28" t="n">
        <x:v>0.96103</x:v>
      </x:c>
      <x:c r="M101" s="28" t="n">
        <x:v>-19.914</x:v>
      </x:c>
      <x:c r="N101" s="28" t="str">
        <x:v>Y</x:v>
      </x:c>
      <x:c r="O101" s="28" t="n">
        <x:v>1.584</x:v>
      </x:c>
      <x:c r="P101" s="28" t="n">
        <x:v>55.835</x:v>
      </x:c>
      <x:c r="Q101" s="28" t="n">
        <x:v>42.581</x:v>
      </x:c>
      <x:c r="R101" s="28" t="n">
        <x:v>3.813</x:v>
      </x:c>
      <x:c r="S101" s="28" t="n">
        <x:v>-20.217</x:v>
      </x:c>
      <x:c r="T101" s="28" t="n">
        <x:v>3.89</x:v>
      </x:c>
      <x:c r="U101" s="28" t="n">
        <x:v>0.86</x:v>
      </x:c>
      <x:c r="V101" s="28" t="n">
        <x:v>2.05</x:v>
      </x:c>
      <x:c r="W101" t="n">
        <x:v>3</x:v>
      </x:c>
      <x:c r="X101" t="str">
        <x:v>STABLE</x:v>
      </x:c>
      <x:c r="Y101" t="str">
        <x:f>IF(A101&lt;=20,"P0 Reference A",IF(A101&lt;=30,"P1 Changed orientation",IF(A101&lt;=40,"P2 Changed orientation",IF(A101&lt;=50,"P3 Changed orientation",IF(A101&lt;=60,"P4 Changed orientation",IF(A101&lt;=70,"P5 Changed orientation",IF(A101&lt;=80,"P6 Changed orientation",IF(A101&lt;=90,"P7 Changed orientation",IF(A101&lt;=92,"Transition / repositioning","P0R Reference return")))))))))</x:f>
        <x:v>P0R Reference return</x:v>
      </x:c>
      <x:c r="Z101" t="str">
        <x:f>IF(OR(A101&lt;=90,A101&gt;=93),"YES","NO")</x:f>
        <x:v>YES</x:v>
      </x:c>
      <x:c r="AA101" t="n">
        <x:f>H101^2</x:f>
        <x:v>0.034347950224</x:v>
      </x:c>
      <x:c r="AB101" t="n">
        <x:f>I101^2</x:f>
        <x:v>1.211047426576</x:v>
      </x:c>
      <x:c r="AC101" t="n">
        <x:f>J101^2</x:f>
        <x:v>0.9235786609000001</x:v>
      </x:c>
      <x:c r="AD101" t="n">
        <x:f>K101^2</x:f>
        <x:v>2.1689748895360004</x:v>
      </x:c>
      <x:c r="AE101" t="str">
        <x:f>IF(ABS(M101)&lt;=5,"YES","NO")</x:f>
        <x:v>NO</x:v>
      </x:c>
      <x:c r="AF101" t="str">
        <x:f>IF(ABS(M101)&lt;=2.5,"YES","NO")</x:f>
        <x:v>NO</x:v>
      </x:c>
      <x:c r="AG101" t="str">
        <x:f>IF(X101="STABLE","Stable",IF(AND(H101&gt;=0.03,T101&gt;10,OR(I101&lt;0.03,U101&lt;=10),OR(J101&lt;0.03,V101&lt;=10)),"X CV only","Multiple / non-X CV"))</x:f>
        <x:v>Stable</x:v>
      </x:c>
      <x:c r="AH101" t="str">
        <x:f>IF(Z101="NO","Excluded from pose statistics: repositioning transition","")</x:f>
      </x:c>
    </x:row>
    <x:row r="102">
      <x:c r="A102" t="n">
        <x:v>98</x:v>
      </x:c>
      <x:c r="B102" s="28" t="n">
        <x:v>194.001</x:v>
      </x:c>
      <x:c r="C102" t="n">
        <x:v>0</x:v>
      </x:c>
      <x:c r="D102" s="28" t="n">
        <x:v>268</x:v>
      </x:c>
      <x:c r="E102" s="28" t="n">
        <x:v>14.75</x:v>
      </x:c>
      <x:c r="F102" s="28" t="str">
        <x:v>Z</x:v>
      </x:c>
      <x:c r="G102" s="28" t="n">
        <x:v>1.2</x:v>
      </x:c>
      <x:c r="H102" s="28" t="n">
        <x:v>0.178433</x:v>
      </x:c>
      <x:c r="I102" s="28" t="n">
        <x:v>1.089065</x:v>
      </x:c>
      <x:c r="J102" s="28" t="n">
        <x:v>0.916921</x:v>
      </x:c>
      <x:c r="K102" s="28" t="n">
        <x:v>1.434798</x:v>
      </x:c>
      <x:c r="L102" s="28" t="n">
        <x:v>0.916921</x:v>
      </x:c>
      <x:c r="M102" s="28" t="n">
        <x:v>-23.59</x:v>
      </x:c>
      <x:c r="N102" s="28" t="str">
        <x:v>Y</x:v>
      </x:c>
      <x:c r="O102" s="28" t="n">
        <x:v>1.547</x:v>
      </x:c>
      <x:c r="P102" s="28" t="n">
        <x:v>57.614</x:v>
      </x:c>
      <x:c r="Q102" s="28" t="n">
        <x:v>40.84</x:v>
      </x:c>
      <x:c r="R102" s="28" t="n">
        <x:v>2.034</x:v>
      </x:c>
      <x:c r="S102" s="28" t="n">
        <x:v>-22.273</x:v>
      </x:c>
      <x:c r="T102" s="28" t="n">
        <x:v>6.33</x:v>
      </x:c>
      <x:c r="U102" s="28" t="n">
        <x:v>0.42</x:v>
      </x:c>
      <x:c r="V102" s="28" t="n">
        <x:v>3.85</x:v>
      </x:c>
      <x:c r="W102" t="n">
        <x:v>3</x:v>
      </x:c>
      <x:c r="X102" t="str">
        <x:v>STABLE</x:v>
      </x:c>
      <x:c r="Y102" t="str">
        <x:f>IF(A102&lt;=20,"P0 Reference A",IF(A102&lt;=30,"P1 Changed orientation",IF(A102&lt;=40,"P2 Changed orientation",IF(A102&lt;=50,"P3 Changed orientation",IF(A102&lt;=60,"P4 Changed orientation",IF(A102&lt;=70,"P5 Changed orientation",IF(A102&lt;=80,"P6 Changed orientation",IF(A102&lt;=90,"P7 Changed orientation",IF(A102&lt;=92,"Transition / repositioning","P0R Reference return")))))))))</x:f>
        <x:v>P0R Reference return</x:v>
      </x:c>
      <x:c r="Z102" t="str">
        <x:f>IF(OR(A102&lt;=90,A102&gt;=93),"YES","NO")</x:f>
        <x:v>YES</x:v>
      </x:c>
      <x:c r="AA102" t="n">
        <x:f>H102^2</x:f>
        <x:v>0.031838335489</x:v>
      </x:c>
      <x:c r="AB102" t="n">
        <x:f>I102^2</x:f>
        <x:v>1.186062574225</x:v>
      </x:c>
      <x:c r="AC102" t="n">
        <x:f>J102^2</x:f>
        <x:v>0.840744120241</x:v>
      </x:c>
      <x:c r="AD102" t="n">
        <x:f>K102^2</x:f>
        <x:v>2.058645300804</x:v>
      </x:c>
      <x:c r="AE102" t="str">
        <x:f>IF(ABS(M102)&lt;=5,"YES","NO")</x:f>
        <x:v>NO</x:v>
      </x:c>
      <x:c r="AF102" t="str">
        <x:f>IF(ABS(M102)&lt;=2.5,"YES","NO")</x:f>
        <x:v>NO</x:v>
      </x:c>
      <x:c r="AG102" t="str">
        <x:f>IF(X102="STABLE","Stable",IF(AND(H102&gt;=0.03,T102&gt;10,OR(I102&lt;0.03,U102&lt;=10),OR(J102&lt;0.03,V102&lt;=10)),"X CV only","Multiple / non-X CV"))</x:f>
        <x:v>Stable</x:v>
      </x:c>
      <x:c r="AH102" t="str">
        <x:f>IF(Z102="NO","Excluded from pose statistics: repositioning transition","")</x:f>
      </x:c>
    </x:row>
    <x:row r="103">
      <x:c r="A103" t="n">
        <x:v>99</x:v>
      </x:c>
      <x:c r="B103" s="28" t="n">
        <x:v>196</x:v>
      </x:c>
      <x:c r="C103" t="n">
        <x:v>0</x:v>
      </x:c>
      <x:c r="D103" s="28" t="n">
        <x:v>268</x:v>
      </x:c>
      <x:c r="E103" s="28" t="n">
        <x:v>14.75</x:v>
      </x:c>
      <x:c r="F103" s="28" t="str">
        <x:v>Z</x:v>
      </x:c>
      <x:c r="G103" s="28" t="n">
        <x:v>1.2</x:v>
      </x:c>
      <x:c r="H103" s="28" t="n">
        <x:v>0.1962</x:v>
      </x:c>
      <x:c r="I103" s="28" t="n">
        <x:v>1.086396</x:v>
      </x:c>
      <x:c r="J103" s="28" t="n">
        <x:v>0.906989</x:v>
      </x:c>
      <x:c r="K103" s="28" t="n">
        <x:v>1.428769</x:v>
      </x:c>
      <x:c r="L103" s="28" t="n">
        <x:v>0.906989</x:v>
      </x:c>
      <x:c r="M103" s="28" t="n">
        <x:v>-24.418</x:v>
      </x:c>
      <x:c r="N103" s="28" t="str">
        <x:v>Y</x:v>
      </x:c>
      <x:c r="O103" s="28" t="n">
        <x:v>1.886</x:v>
      </x:c>
      <x:c r="P103" s="28" t="n">
        <x:v>57.817</x:v>
      </x:c>
      <x:c r="Q103" s="28" t="n">
        <x:v>40.298</x:v>
      </x:c>
      <x:c r="R103" s="28" t="n">
        <x:v>1.831</x:v>
      </x:c>
      <x:c r="S103" s="28" t="n">
        <x:v>-22.599</x:v>
      </x:c>
      <x:c r="T103" s="28" t="n">
        <x:v>3.58</x:v>
      </x:c>
      <x:c r="U103" s="28" t="n">
        <x:v>0.87</x:v>
      </x:c>
      <x:c r="V103" s="28" t="n">
        <x:v>5.68</x:v>
      </x:c>
      <x:c r="W103" t="n">
        <x:v>3</x:v>
      </x:c>
      <x:c r="X103" t="str">
        <x:v>STABLE</x:v>
      </x:c>
      <x:c r="Y103" t="str">
        <x:f>IF(A103&lt;=20,"P0 Reference A",IF(A103&lt;=30,"P1 Changed orientation",IF(A103&lt;=40,"P2 Changed orientation",IF(A103&lt;=50,"P3 Changed orientation",IF(A103&lt;=60,"P4 Changed orientation",IF(A103&lt;=70,"P5 Changed orientation",IF(A103&lt;=80,"P6 Changed orientation",IF(A103&lt;=90,"P7 Changed orientation",IF(A103&lt;=92,"Transition / repositioning","P0R Reference return")))))))))</x:f>
        <x:v>P0R Reference return</x:v>
      </x:c>
      <x:c r="Z103" t="str">
        <x:f>IF(OR(A103&lt;=90,A103&gt;=93),"YES","NO")</x:f>
        <x:v>YES</x:v>
      </x:c>
      <x:c r="AA103" t="n">
        <x:f>H103^2</x:f>
        <x:v>0.038494440000000005</x:v>
      </x:c>
      <x:c r="AB103" t="n">
        <x:f>I103^2</x:f>
        <x:v>1.1802562688159999</x:v>
      </x:c>
      <x:c r="AC103" t="n">
        <x:f>J103^2</x:f>
        <x:v>0.8226290461210001</x:v>
      </x:c>
      <x:c r="AD103" t="n">
        <x:f>K103^2</x:f>
        <x:v>2.041380855361</x:v>
      </x:c>
      <x:c r="AE103" t="str">
        <x:f>IF(ABS(M103)&lt;=5,"YES","NO")</x:f>
        <x:v>NO</x:v>
      </x:c>
      <x:c r="AF103" t="str">
        <x:f>IF(ABS(M103)&lt;=2.5,"YES","NO")</x:f>
        <x:v>NO</x:v>
      </x:c>
      <x:c r="AG103" t="str">
        <x:f>IF(X103="STABLE","Stable",IF(AND(H103&gt;=0.03,T103&gt;10,OR(I103&lt;0.03,U103&lt;=10),OR(J103&lt;0.03,V103&lt;=10)),"X CV only","Multiple / non-X CV"))</x:f>
        <x:v>Stable</x:v>
      </x:c>
      <x:c r="AH103" t="str">
        <x:f>IF(Z103="NO","Excluded from pose statistics: repositioning transition","")</x:f>
      </x:c>
    </x:row>
    <x:row r="104">
      <x:c r="A104" t="n">
        <x:v>100</x:v>
      </x:c>
      <x:c r="B104" s="28" t="n">
        <x:v>198.001</x:v>
      </x:c>
      <x:c r="C104" t="n">
        <x:v>0</x:v>
      </x:c>
      <x:c r="D104" s="28" t="n">
        <x:v>268</x:v>
      </x:c>
      <x:c r="E104" s="28" t="n">
        <x:v>14.75</x:v>
      </x:c>
      <x:c r="F104" s="28" t="str">
        <x:v>Z</x:v>
      </x:c>
      <x:c r="G104" s="28" t="n">
        <x:v>1.2</x:v>
      </x:c>
      <x:c r="H104" s="28" t="n">
        <x:v>0.191417</x:v>
      </x:c>
      <x:c r="I104" s="28" t="n">
        <x:v>1.081703</x:v>
      </x:c>
      <x:c r="J104" s="28" t="n">
        <x:v>0.923025</x:v>
      </x:c>
      <x:c r="K104" s="28" t="n">
        <x:v>1.434816</x:v>
      </x:c>
      <x:c r="L104" s="28" t="n">
        <x:v>0.923025</x:v>
      </x:c>
      <x:c r="M104" s="28" t="n">
        <x:v>-23.081</x:v>
      </x:c>
      <x:c r="N104" s="28" t="str">
        <x:v>Y</x:v>
      </x:c>
      <x:c r="O104" s="28" t="n">
        <x:v>1.78</x:v>
      </x:c>
      <x:c r="P104" s="28" t="n">
        <x:v>56.836</x:v>
      </x:c>
      <x:c r="Q104" s="28" t="n">
        <x:v>41.384</x:v>
      </x:c>
      <x:c r="R104" s="28" t="n">
        <x:v>2.812</x:v>
      </x:c>
      <x:c r="S104" s="28" t="n">
        <x:v>-22.272</x:v>
      </x:c>
      <x:c r="T104" s="28" t="n">
        <x:v>5.25</x:v>
      </x:c>
      <x:c r="U104" s="28" t="n">
        <x:v>1.08</x:v>
      </x:c>
      <x:c r="V104" s="28" t="n">
        <x:v>0.75</x:v>
      </x:c>
      <x:c r="W104" t="n">
        <x:v>3</x:v>
      </x:c>
      <x:c r="X104" t="str">
        <x:v>STABLE</x:v>
      </x:c>
      <x:c r="Y104" t="str">
        <x:f>IF(A104&lt;=20,"P0 Reference A",IF(A104&lt;=30,"P1 Changed orientation",IF(A104&lt;=40,"P2 Changed orientation",IF(A104&lt;=50,"P3 Changed orientation",IF(A104&lt;=60,"P4 Changed orientation",IF(A104&lt;=70,"P5 Changed orientation",IF(A104&lt;=80,"P6 Changed orientation",IF(A104&lt;=90,"P7 Changed orientation",IF(A104&lt;=92,"Transition / repositioning","P0R Reference return")))))))))</x:f>
        <x:v>P0R Reference return</x:v>
      </x:c>
      <x:c r="Z104" t="str">
        <x:f>IF(OR(A104&lt;=90,A104&gt;=93),"YES","NO")</x:f>
        <x:v>YES</x:v>
      </x:c>
      <x:c r="AA104" t="n">
        <x:f>H104^2</x:f>
        <x:v>0.036640467889</x:v>
      </x:c>
      <x:c r="AB104" t="n">
        <x:f>I104^2</x:f>
        <x:v>1.1700813802090002</x:v>
      </x:c>
      <x:c r="AC104" t="n">
        <x:f>J104^2</x:f>
        <x:v>0.851975150625</x:v>
      </x:c>
      <x:c r="AD104" t="n">
        <x:f>K104^2</x:f>
        <x:v>2.0586969538560003</x:v>
      </x:c>
      <x:c r="AE104" t="str">
        <x:f>IF(ABS(M104)&lt;=5,"YES","NO")</x:f>
        <x:v>NO</x:v>
      </x:c>
      <x:c r="AF104" t="str">
        <x:f>IF(ABS(M104)&lt;=2.5,"YES","NO")</x:f>
        <x:v>NO</x:v>
      </x:c>
      <x:c r="AG104" t="str">
        <x:f>IF(X104="STABLE","Stable",IF(AND(H104&gt;=0.03,T104&gt;10,OR(I104&lt;0.03,U104&lt;=10),OR(J104&lt;0.03,V104&lt;=10)),"X CV only","Multiple / non-X CV"))</x:f>
        <x:v>Stable</x:v>
      </x:c>
      <x:c r="AH104" t="str">
        <x:f>IF(Z104="NO","Excluded from pose statistics: repositioning transition","")</x:f>
      </x:c>
    </x:row>
    <x:row r="105">
      <x:c r="A105" t="n">
        <x:v>101</x:v>
      </x:c>
      <x:c r="B105" s="28" t="n">
        <x:v>200</x:v>
      </x:c>
      <x:c r="C105" t="n">
        <x:v>0</x:v>
      </x:c>
      <x:c r="D105" s="28" t="n">
        <x:v>268</x:v>
      </x:c>
      <x:c r="E105" s="28" t="n">
        <x:v>14.75</x:v>
      </x:c>
      <x:c r="F105" s="28" t="str">
        <x:v>Z</x:v>
      </x:c>
      <x:c r="G105" s="28" t="n">
        <x:v>1.2</x:v>
      </x:c>
      <x:c r="H105" s="28" t="n">
        <x:v>0.187255</x:v>
      </x:c>
      <x:c r="I105" s="28" t="n">
        <x:v>1.078823</x:v>
      </x:c>
      <x:c r="J105" s="28" t="n">
        <x:v>0.901861</x:v>
      </x:c>
      <x:c r="K105" s="28" t="n">
        <x:v>1.418547</x:v>
      </x:c>
      <x:c r="L105" s="28" t="n">
        <x:v>0.901861</x:v>
      </x:c>
      <x:c r="M105" s="28" t="n">
        <x:v>-24.845</x:v>
      </x:c>
      <x:c r="N105" s="28" t="str">
        <x:v>Y</x:v>
      </x:c>
      <x:c r="O105" s="28" t="n">
        <x:v>1.743</x:v>
      </x:c>
      <x:c r="P105" s="28" t="n">
        <x:v>57.838</x:v>
      </x:c>
      <x:c r="Q105" s="28" t="n">
        <x:v>40.42</x:v>
      </x:c>
      <x:c r="R105" s="28" t="n">
        <x:v>1.81</x:v>
      </x:c>
      <x:c r="S105" s="28" t="n">
        <x:v>-23.153</x:v>
      </x:c>
      <x:c r="T105" s="28" t="n">
        <x:v>11.79</x:v>
      </x:c>
      <x:c r="U105" s="28" t="n">
        <x:v>0.86</x:v>
      </x:c>
      <x:c r="V105" s="28" t="n">
        <x:v>2.14</x:v>
      </x:c>
      <x:c r="W105" t="n">
        <x:v>3</x:v>
      </x:c>
      <x:c r="X105" t="str">
        <x:v>TRANSIENT</x:v>
      </x:c>
      <x:c r="Y105" t="str">
        <x:f>IF(A105&lt;=20,"P0 Reference A",IF(A105&lt;=30,"P1 Changed orientation",IF(A105&lt;=40,"P2 Changed orientation",IF(A105&lt;=50,"P3 Changed orientation",IF(A105&lt;=60,"P4 Changed orientation",IF(A105&lt;=70,"P5 Changed orientation",IF(A105&lt;=80,"P6 Changed orientation",IF(A105&lt;=90,"P7 Changed orientation",IF(A105&lt;=92,"Transition / repositioning","P0R Reference return")))))))))</x:f>
        <x:v>P0R Reference return</x:v>
      </x:c>
      <x:c r="Z105" t="str">
        <x:f>IF(OR(A105&lt;=90,A105&gt;=93),"YES","NO")</x:f>
        <x:v>YES</x:v>
      </x:c>
      <x:c r="AA105" t="n">
        <x:f>H105^2</x:f>
        <x:v>0.035064435025</x:v>
      </x:c>
      <x:c r="AB105" t="n">
        <x:f>I105^2</x:f>
        <x:v>1.1638590653290002</x:v>
      </x:c>
      <x:c r="AC105" t="n">
        <x:f>J105^2</x:f>
        <x:v>0.813353263321</x:v>
      </x:c>
      <x:c r="AD105" t="n">
        <x:f>K105^2</x:f>
        <x:v>2.012275591209</x:v>
      </x:c>
      <x:c r="AE105" t="str">
        <x:f>IF(ABS(M105)&lt;=5,"YES","NO")</x:f>
        <x:v>NO</x:v>
      </x:c>
      <x:c r="AF105" t="str">
        <x:f>IF(ABS(M105)&lt;=2.5,"YES","NO")</x:f>
        <x:v>NO</x:v>
      </x:c>
      <x:c r="AG105" t="str">
        <x:f>IF(X105="STABLE","Stable",IF(AND(H105&gt;=0.03,T105&gt;10,OR(I105&lt;0.03,U105&lt;=10),OR(J105&lt;0.03,V105&lt;=10)),"X CV only","Multiple / non-X CV"))</x:f>
        <x:v>X CV only</x:v>
      </x:c>
      <x:c r="AH105" t="str">
        <x:f>IF(Z105="NO","Excluded from pose statistics: repositioning transition","")</x:f>
      </x:c>
    </x:row>
    <x:row r="106">
      <x:c r="A106" t="n">
        <x:v>102</x:v>
      </x:c>
      <x:c r="B106" s="28" t="n">
        <x:v>202.001</x:v>
      </x:c>
      <x:c r="C106" t="n">
        <x:v>0</x:v>
      </x:c>
      <x:c r="D106" s="28" t="n">
        <x:v>268</x:v>
      </x:c>
      <x:c r="E106" s="28" t="n">
        <x:v>14.75</x:v>
      </x:c>
      <x:c r="F106" s="28" t="str">
        <x:v>Z</x:v>
      </x:c>
      <x:c r="G106" s="28" t="n">
        <x:v>1.2</x:v>
      </x:c>
      <x:c r="H106" s="28" t="n">
        <x:v>0.186735</x:v>
      </x:c>
      <x:c r="I106" s="28" t="n">
        <x:v>1.118528</x:v>
      </x:c>
      <x:c r="J106" s="28" t="n">
        <x:v>0.922359</x:v>
      </x:c>
      <x:c r="K106" s="28" t="n">
        <x:v>1.461753</x:v>
      </x:c>
      <x:c r="L106" s="28" t="n">
        <x:v>0.922359</x:v>
      </x:c>
      <x:c r="M106" s="28" t="n">
        <x:v>-23.137</x:v>
      </x:c>
      <x:c r="N106" s="28" t="str">
        <x:v>Y</x:v>
      </x:c>
      <x:c r="O106" s="28" t="n">
        <x:v>1.632</x:v>
      </x:c>
      <x:c r="P106" s="28" t="n">
        <x:v>58.553</x:v>
      </x:c>
      <x:c r="Q106" s="28" t="n">
        <x:v>39.815</x:v>
      </x:c>
      <x:c r="R106" s="28" t="n">
        <x:v>1.153</x:v>
      </x:c>
      <x:c r="S106" s="28" t="n">
        <x:v>-20.813</x:v>
      </x:c>
      <x:c r="T106" s="28" t="n">
        <x:v>4.82</x:v>
      </x:c>
      <x:c r="U106" s="28" t="n">
        <x:v>0.62</x:v>
      </x:c>
      <x:c r="V106" s="28" t="n">
        <x:v>2.13</x:v>
      </x:c>
      <x:c r="W106" t="n">
        <x:v>3</x:v>
      </x:c>
      <x:c r="X106" t="str">
        <x:v>STABLE</x:v>
      </x:c>
      <x:c r="Y106" t="str">
        <x:f>IF(A106&lt;=20,"P0 Reference A",IF(A106&lt;=30,"P1 Changed orientation",IF(A106&lt;=40,"P2 Changed orientation",IF(A106&lt;=50,"P3 Changed orientation",IF(A106&lt;=60,"P4 Changed orientation",IF(A106&lt;=70,"P5 Changed orientation",IF(A106&lt;=80,"P6 Changed orientation",IF(A106&lt;=90,"P7 Changed orientation",IF(A106&lt;=92,"Transition / repositioning","P0R Reference return")))))))))</x:f>
        <x:v>P0R Reference return</x:v>
      </x:c>
      <x:c r="Z106" t="str">
        <x:f>IF(OR(A106&lt;=90,A106&gt;=93),"YES","NO")</x:f>
        <x:v>YES</x:v>
      </x:c>
      <x:c r="AA106" t="n">
        <x:f>H106^2</x:f>
        <x:v>0.034869960225</x:v>
      </x:c>
      <x:c r="AB106" t="n">
        <x:f>I106^2</x:f>
        <x:v>1.251104886784</x:v>
      </x:c>
      <x:c r="AC106" t="n">
        <x:f>J106^2</x:f>
        <x:v>0.8507461248810001</x:v>
      </x:c>
      <x:c r="AD106" t="n">
        <x:f>K106^2</x:f>
        <x:v>2.136721833009</x:v>
      </x:c>
      <x:c r="AE106" t="str">
        <x:f>IF(ABS(M106)&lt;=5,"YES","NO")</x:f>
        <x:v>NO</x:v>
      </x:c>
      <x:c r="AF106" t="str">
        <x:f>IF(ABS(M106)&lt;=2.5,"YES","NO")</x:f>
        <x:v>NO</x:v>
      </x:c>
      <x:c r="AG106" t="str">
        <x:f>IF(X106="STABLE","Stable",IF(AND(H106&gt;=0.03,T106&gt;10,OR(I106&lt;0.03,U106&lt;=10),OR(J106&lt;0.03,V106&lt;=10)),"X CV only","Multiple / non-X CV"))</x:f>
        <x:v>Stable</x:v>
      </x:c>
      <x:c r="AH106" t="str">
        <x:f>IF(Z106="NO","Excluded from pose statistics: repositioning transition","")</x:f>
      </x:c>
    </x:row>
  </x:sheetData>
  <x:mergeCells>
    <x:mergeCell ref="A1:AH1"/>
    <x:mergeCell ref="A2:AH2"/>
  </x:mergeCells>
  <x:conditionalFormatting sqref="X5:X106">
    <x:cfRule type="expression" dxfId="0" priority="1">
      <x:formula>X5="TRANSIENT"</x:formula>
    </x:cfRule>
  </x:conditionalFormatting>
  <x:conditionalFormatting sqref="Z5:Z106">
    <x:cfRule type="expression" dxfId="1" priority="2">
      <x:formula>Z5="NO"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f37ba3616f4c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38" hidden="0" customWidth="1"/>
  </x:cols>
  <x:sheetData>
    <x:row r="1" ht="28" customHeight="1">
      <x:c r="A1" s="5" t="str">
        <x:v>Pose-Level Statistical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</x:row>
    <x:row r="2" ht="32" customHeight="1">
      <x:c r="A2" s="13" t="str">
        <x:v>Primary thesis table. Records 91–92 are excluded from pose statistics and retained separately.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</x:row>
    <x:row r="4">
      <x:c r="A4" s="33" t="str">
        <x:v>Primary amplitude and repeatability statistics by orientation state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  <x:c r="AA4" s="33"/>
      <x:c r="AB4" s="33"/>
      <x:c r="AC4" s="33"/>
      <x:c r="AD4" s="33"/>
      <x:c r="AE4" s="33"/>
      <x:c r="AF4" s="33"/>
      <x:c r="AG4" s="33"/>
      <x:c r="AH4" s="33"/>
    </x:row>
    <x:row r="5">
      <x:c r="A5" s="22" t="str">
        <x:v>Pose</x:v>
      </x:c>
      <x:c r="B5" s="22" t="str">
        <x:v>Record range</x:v>
      </x:c>
      <x:c r="C5" s="22" t="str">
        <x:v>N</x:v>
      </x:c>
      <x:c r="D5" s="22" t="str">
        <x:v>X mean</x:v>
      </x:c>
      <x:c r="E5" s="22" t="str">
        <x:v>X SD</x:v>
      </x:c>
      <x:c r="F5" s="22" t="str">
        <x:v>X CV %</x:v>
      </x:c>
      <x:c r="G5" s="22" t="str">
        <x:v>Y mean</x:v>
      </x:c>
      <x:c r="H5" s="22" t="str">
        <x:v>Y SD</x:v>
      </x:c>
      <x:c r="I5" s="22" t="str">
        <x:v>Y CV %</x:v>
      </x:c>
      <x:c r="J5" s="22" t="str">
        <x:v>Z mean</x:v>
      </x:c>
      <x:c r="K5" s="22" t="str">
        <x:v>Z SD</x:v>
      </x:c>
      <x:c r="L5" s="22" t="str">
        <x:v>Z CV %</x:v>
      </x:c>
      <x:c r="M5" s="22" t="str">
        <x:v>Vector mean</x:v>
      </x:c>
      <x:c r="N5" s="22" t="str">
        <x:v>Vector SD</x:v>
      </x:c>
      <x:c r="O5" s="22" t="str">
        <x:v>Vector CV %</x:v>
      </x:c>
      <x:c r="P5" s="22" t="str">
        <x:v>Mean Z target error %</x:v>
      </x:c>
      <x:c r="Q5" s="22" t="str">
        <x:v>Z within ±5% %</x:v>
      </x:c>
      <x:c r="R5" s="22" t="str">
        <x:v>X share %</x:v>
      </x:c>
      <x:c r="S5" s="22" t="str">
        <x:v>Y share %</x:v>
      </x:c>
      <x:c r="T5" s="22" t="str">
        <x:v>Z share %</x:v>
      </x:c>
      <x:c r="U5" s="22" t="str">
        <x:v>Mean share shift pp</x:v>
      </x:c>
      <x:c r="V5" s="22" t="str">
        <x:v>Mean vector change %</x:v>
      </x:c>
      <x:c r="W5" s="22" t="str">
        <x:v>Dominant axis</x:v>
      </x:c>
      <x:c r="X5" s="22" t="str">
        <x:v>Stable n</x:v>
      </x:c>
      <x:c r="Y5" s="22" t="str">
        <x:v>Stable %</x:v>
      </x:c>
      <x:c r="Z5" s="22" t="str">
        <x:v>X-CV-only transient n</x:v>
      </x:c>
      <x:c r="AA5" s="22" t="str">
        <x:v>Mean X window CV %</x:v>
      </x:c>
      <x:c r="AB5" s="22" t="str">
        <x:v>Mean Y window CV %</x:v>
      </x:c>
      <x:c r="AC5" s="22" t="str">
        <x:v>Mean Z window CV %</x:v>
      </x:c>
      <x:c r="AD5" s="22" t="str">
        <x:v>Mean valid windows</x:v>
      </x:c>
      <x:c r="AE5" s="22" t="str">
        <x:v>Min Z</x:v>
      </x:c>
      <x:c r="AF5" s="22" t="str">
        <x:v>Max Z</x:v>
      </x:c>
      <x:c r="AG5" s="22" t="str">
        <x:v>Z max/min ratio</x:v>
      </x:c>
      <x:c r="AH5" s="22" t="str">
        <x:v>Interpretive status</x:v>
      </x:c>
    </x:row>
    <x:row r="6">
      <x:c r="A6" s="44" t="str">
        <x:v>P0 Reference A</x:v>
      </x:c>
      <x:c r="B6" s="44" t="str">
        <x:v>1–20</x:v>
      </x:c>
      <x:c r="C6" s="45" t="n">
        <x:f>COUNTIF('01_Raw_Orientation'!$Y$5:$Y$106,$A6)</x:f>
        <x:v>20</x:v>
      </x:c>
      <x:c r="D6" s="46" t="n">
        <x:f>AVERAGEIF('01_Raw_Orientation'!$Y$5:$Y$106,$A6,'01_Raw_Orientation'!$H$5:$H$106)</x:f>
        <x:v>0.1085251</x:v>
      </x:c>
      <x:c r="E6" s="46" t="n">
        <x:f>IF(C6&gt;1,SQRT((SUMIF('01_Raw_Orientation'!$Y$5:$Y$106,$A6,'01_Raw_Orientation'!$AA$5:$AA$106)-C6*D6^2)/(C6-1)),0)</x:f>
        <x:v>0.02618026390824324</x:v>
      </x:c>
      <x:c r="F6" s="46" t="n">
        <x:f>IF(D6=0,0,100*E6/D6)</x:f>
        <x:v>24.123694802624684</x:v>
      </x:c>
      <x:c r="G6" s="46" t="n">
        <x:f>AVERAGEIF('01_Raw_Orientation'!$Y$5:$Y$106,$A6,'01_Raw_Orientation'!$I$5:$I$106)</x:f>
        <x:v>1.4340985999999998</x:v>
      </x:c>
      <x:c r="H6" s="46" t="n">
        <x:f>IF(C6&gt;1,SQRT((SUMIF('01_Raw_Orientation'!$Y$5:$Y$106,$A6,'01_Raw_Orientation'!$AB$5:$AB$106)-C6*G6^2)/(C6-1)),0)</x:f>
        <x:v>0.019290144397727065</x:v>
      </x:c>
      <x:c r="I6" s="46" t="n">
        <x:f>IF(G6=0,0,100*H6/G6)</x:f>
        <x:v>1.3451058663419007</x:v>
      </x:c>
      <x:c r="J6" s="46" t="n">
        <x:f>AVERAGEIF('01_Raw_Orientation'!$Y$5:$Y$106,$A6,'01_Raw_Orientation'!$J$5:$J$106)</x:f>
        <x:v>1.2160764499999999</x:v>
      </x:c>
      <x:c r="K6" s="46" t="n">
        <x:f>IF(C6&gt;1,SQRT((SUMIF('01_Raw_Orientation'!$Y$5:$Y$106,$A6,'01_Raw_Orientation'!$AC$5:$AC$106)-C6*J6^2)/(C6-1)),0)</x:f>
        <x:v>0.04628295884013723</x:v>
      </x:c>
      <x:c r="L6" s="46" t="n">
        <x:f>IF(J6=0,0,100*K6/J6)</x:f>
        <x:v>3.805925099539362</x:v>
      </x:c>
      <x:c r="M6" s="46" t="n">
        <x:f>AVERAGEIF('01_Raw_Orientation'!$Y$5:$Y$106,$A6,'01_Raw_Orientation'!$K$5:$K$106)</x:f>
        <x:v>1.8841060499999998</x:v>
      </x:c>
      <x:c r="N6" s="46" t="n">
        <x:f>IF(C6&gt;1,SQRT((SUMIF('01_Raw_Orientation'!$Y$5:$Y$106,$A6,'01_Raw_Orientation'!$AD$5:$AD$106)-C6*M6^2)/(C6-1)),0)</x:f>
        <x:v>0.021598119458770257</x:v>
      </x:c>
      <x:c r="O6" s="46" t="n">
        <x:f>IF(M6=0,0,100*N6/M6)</x:f>
        <x:v>1.1463324720373493</x:v>
      </x:c>
      <x:c r="P6" s="46" t="n">
        <x:f>100*(J6-AVERAGEIF('01_Raw_Orientation'!$Y$5:$Y$106,$A6,'01_Raw_Orientation'!$G$5:$G$106))/AVERAGEIF('01_Raw_Orientation'!$Y$5:$Y$106,$A6,'01_Raw_Orientation'!$G$5:$G$106)</x:f>
        <x:v>1.3397041666666778</x:v>
      </x:c>
      <x:c r="Q6" s="46" t="n">
        <x:f>100*COUNTIFS('01_Raw_Orientation'!$Y$5:$Y$106,$A6,'01_Raw_Orientation'!$AE$5:$AE$106,"YES")/C6</x:f>
        <x:v>80</x:v>
      </x:c>
      <x:c r="R6" s="46" t="n">
        <x:f>AVERAGEIF('01_Raw_Orientation'!$Y$5:$Y$106,$A6,'01_Raw_Orientation'!$O$5:$O$106)</x:f>
        <x:v>0.35219999999999996</x:v>
      </x:c>
      <x:c r="S6" s="46" t="n">
        <x:f>AVERAGEIF('01_Raw_Orientation'!$Y$5:$Y$106,$A6,'01_Raw_Orientation'!$P$5:$P$106)</x:f>
        <x:v>57.97675000000002</x:v>
      </x:c>
      <x:c r="T6" s="46" t="n">
        <x:f>AVERAGEIF('01_Raw_Orientation'!$Y$5:$Y$106,$A6,'01_Raw_Orientation'!$Q$5:$Q$106)</x:f>
        <x:v>41.67095</x:v>
      </x:c>
      <x:c r="U6" s="46" t="n">
        <x:f>AVERAGEIF('01_Raw_Orientation'!$Y$5:$Y$106,$A6,'01_Raw_Orientation'!$R$5:$R$106)</x:f>
        <x:v>1.8511</x:v>
      </x:c>
      <x:c r="V6" s="46" t="n">
        <x:f>AVERAGEIF('01_Raw_Orientation'!$Y$5:$Y$106,$A6,'01_Raw_Orientation'!$S$5:$S$106)</x:f>
        <x:v>2.0675499999999998</x:v>
      </x:c>
      <x:c r="W6" s="46" t="str">
        <x:f>IF(AND(R6&gt;=S6,R6&gt;=T6),"X",IF(S6&gt;=T6,"Y","Z"))</x:f>
        <x:v>Y</x:v>
      </x:c>
      <x:c r="X6" s="45" t="n">
        <x:f>COUNTIFS('01_Raw_Orientation'!$Y$5:$Y$106,$A6,'01_Raw_Orientation'!$X$5:$X$106,"STABLE")</x:f>
        <x:v>14</x:v>
      </x:c>
      <x:c r="Y6" s="46" t="n">
        <x:f>100*X6/C6</x:f>
        <x:v>70</x:v>
      </x:c>
      <x:c r="Z6" s="45" t="n">
        <x:f>COUNTIFS('01_Raw_Orientation'!$Y$5:$Y$106,$A6,'01_Raw_Orientation'!$AG$5:$AG$106,"X CV only")</x:f>
        <x:v>6</x:v>
      </x:c>
      <x:c r="AA6" s="46" t="n">
        <x:f>AVERAGEIF('01_Raw_Orientation'!$Y$5:$Y$106,$A6,'01_Raw_Orientation'!$T$5:$T$106)</x:f>
        <x:v>14.3255</x:v>
      </x:c>
      <x:c r="AB6" s="46" t="n">
        <x:f>AVERAGEIF('01_Raw_Orientation'!$Y$5:$Y$106,$A6,'01_Raw_Orientation'!$U$5:$U$106)</x:f>
        <x:v>1.2930000000000004</x:v>
      </x:c>
      <x:c r="AC6" s="46" t="n">
        <x:f>AVERAGEIF('01_Raw_Orientation'!$Y$5:$Y$106,$A6,'01_Raw_Orientation'!$V$5:$V$106)</x:f>
        <x:v>1.6745</x:v>
      </x:c>
      <x:c r="AD6" s="46" t="n">
        <x:f>AVERAGEIF('01_Raw_Orientation'!$Y$5:$Y$106,$A6,'01_Raw_Orientation'!$W$5:$W$106)</x:f>
        <x:v>3</x:v>
      </x:c>
      <x:c r="AE6" s="46" t="n">
        <x:f>MINIFS('01_Raw_Orientation'!$J$5:$J$106,'01_Raw_Orientation'!$Y$5:$Y$106,$A6)</x:f>
        <x:v>1.165624</x:v>
      </x:c>
      <x:c r="AF6" s="46" t="n">
        <x:f>MAXIFS('01_Raw_Orientation'!$J$5:$J$106,'01_Raw_Orientation'!$Y$5:$Y$106,$A6)</x:f>
        <x:v>1.323634</x:v>
      </x:c>
      <x:c r="AG6" s="46" t="n">
        <x:f>IF(AE6=0,0,AF6/AE6)</x:f>
        <x:v>1.1355582932403587</x:v>
      </x:c>
      <x:c r="AH6" s="47" t="str">
        <x:v>Reference baseline; low vector CV and Z close to target.</x:v>
      </x:c>
    </x:row>
    <x:row r="7">
      <x:c r="A7" t="str">
        <x:v>P1 Changed orientation</x:v>
      </x:c>
      <x:c r="B7" t="str">
        <x:v>21–30</x:v>
      </x:c>
      <x:c r="C7" s="40" t="n">
        <x:f>COUNTIF('01_Raw_Orientation'!$Y$5:$Y$106,$A7)</x:f>
        <x:v>10</x:v>
      </x:c>
      <x:c r="D7" s="38" t="n">
        <x:f>AVERAGEIF('01_Raw_Orientation'!$Y$5:$Y$106,$A7,'01_Raw_Orientation'!$H$5:$H$106)</x:f>
        <x:v>0.1889707</x:v>
      </x:c>
      <x:c r="E7" s="38" t="n">
        <x:f>IF(C7&gt;1,SQRT((SUMIF('01_Raw_Orientation'!$Y$5:$Y$106,$A7,'01_Raw_Orientation'!$AA$5:$AA$106)-C7*D7^2)/(C7-1)),0)</x:f>
        <x:v>0.07017691319174867</x:v>
      </x:c>
      <x:c r="F7" s="38" t="n">
        <x:f>IF(D7=0,0,100*E7/D7)</x:f>
        <x:v>37.13639902468937</x:v>
      </x:c>
      <x:c r="G7" s="38" t="n">
        <x:f>AVERAGEIF('01_Raw_Orientation'!$Y$5:$Y$106,$A7,'01_Raw_Orientation'!$I$5:$I$106)</x:f>
        <x:v>1.4616151</x:v>
      </x:c>
      <x:c r="H7" s="38" t="n">
        <x:f>IF(C7&gt;1,SQRT((SUMIF('01_Raw_Orientation'!$Y$5:$Y$106,$A7,'01_Raw_Orientation'!$AB$5:$AB$106)-C7*G7^2)/(C7-1)),0)</x:f>
        <x:v>0.11206282093485655</x:v>
      </x:c>
      <x:c r="I7" s="38" t="n">
        <x:f>IF(G7=0,0,100*H7/G7)</x:f>
        <x:v>7.667054133120036</x:v>
      </x:c>
      <x:c r="J7" s="38" t="n">
        <x:f>AVERAGEIF('01_Raw_Orientation'!$Y$5:$Y$106,$A7,'01_Raw_Orientation'!$J$5:$J$106)</x:f>
        <x:v>3.7240623</x:v>
      </x:c>
      <x:c r="K7" s="38" t="n">
        <x:f>IF(C7&gt;1,SQRT((SUMIF('01_Raw_Orientation'!$Y$5:$Y$106,$A7,'01_Raw_Orientation'!$AC$5:$AC$106)-C7*J7^2)/(C7-1)),0)</x:f>
        <x:v>0.30606938380412413</x:v>
      </x:c>
      <x:c r="L7" s="38" t="n">
        <x:f>IF(J7=0,0,100*K7/J7)</x:f>
        <x:v>8.218696658327229</x:v>
      </x:c>
      <x:c r="M7" s="38" t="n">
        <x:f>AVERAGEIF('01_Raw_Orientation'!$Y$5:$Y$106,$A7,'01_Raw_Orientation'!$K$5:$K$106)</x:f>
        <x:v>4.006224399999999</x:v>
      </x:c>
      <x:c r="N7" s="38" t="n">
        <x:f>IF(C7&gt;1,SQRT((SUMIF('01_Raw_Orientation'!$Y$5:$Y$106,$A7,'01_Raw_Orientation'!$AD$5:$AD$106)-C7*M7^2)/(C7-1)),0)</x:f>
        <x:v>0.31777128848775027</x:v>
      </x:c>
      <x:c r="O7" s="38" t="n">
        <x:f>IF(M7=0,0,100*N7/M7)</x:f>
        <x:v>7.931939321415705</x:v>
      </x:c>
      <x:c r="P7" s="38" t="n">
        <x:f>100*(J7-AVERAGEIF('01_Raw_Orientation'!$Y$5:$Y$106,$A7,'01_Raw_Orientation'!$G$5:$G$106))/AVERAGEIF('01_Raw_Orientation'!$Y$5:$Y$106,$A7,'01_Raw_Orientation'!$G$5:$G$106)</x:f>
        <x:v>210.33852500000006</x:v>
      </x:c>
      <x:c r="Q7" s="38" t="n">
        <x:f>100*COUNTIFS('01_Raw_Orientation'!$Y$5:$Y$106,$A7,'01_Raw_Orientation'!$AE$5:$AE$106,"YES")/C7</x:f>
        <x:v>0</x:v>
      </x:c>
      <x:c r="R7" s="38" t="n">
        <x:f>AVERAGEIF('01_Raw_Orientation'!$Y$5:$Y$106,$A7,'01_Raw_Orientation'!$O$5:$O$106)</x:f>
        <x:v>0.2867</x:v>
      </x:c>
      <x:c r="S7" s="38" t="n">
        <x:f>AVERAGEIF('01_Raw_Orientation'!$Y$5:$Y$106,$A7,'01_Raw_Orientation'!$P$5:$P$106)</x:f>
        <x:v>13.341799999999997</x:v>
      </x:c>
      <x:c r="T7" s="38" t="n">
        <x:f>AVERAGEIF('01_Raw_Orientation'!$Y$5:$Y$106,$A7,'01_Raw_Orientation'!$Q$5:$Q$106)</x:f>
        <x:v>86.3715</x:v>
      </x:c>
      <x:c r="U7" s="38" t="n">
        <x:f>AVERAGEIF('01_Raw_Orientation'!$Y$5:$Y$106,$A7,'01_Raw_Orientation'!$R$5:$R$106)</x:f>
        <x:v>46.573299999999996</x:v>
      </x:c>
      <x:c r="V7" s="38" t="n">
        <x:f>AVERAGEIF('01_Raw_Orientation'!$Y$5:$Y$106,$A7,'01_Raw_Orientation'!$S$5:$S$106)</x:f>
        <x:v>117.0289</x:v>
      </x:c>
      <x:c r="W7" s="38" t="str">
        <x:f>IF(AND(R7&gt;=S7,R7&gt;=T7),"X",IF(S7&gt;=T7,"Y","Z"))</x:f>
        <x:v>Z</x:v>
      </x:c>
      <x:c r="X7" s="40" t="n">
        <x:f>COUNTIFS('01_Raw_Orientation'!$Y$5:$Y$106,$A7,'01_Raw_Orientation'!$X$5:$X$106,"STABLE")</x:f>
        <x:v>6</x:v>
      </x:c>
      <x:c r="Y7" s="38" t="n">
        <x:f>100*X7/C7</x:f>
        <x:v>60</x:v>
      </x:c>
      <x:c r="Z7" s="40" t="n">
        <x:f>COUNTIFS('01_Raw_Orientation'!$Y$5:$Y$106,$A7,'01_Raw_Orientation'!$AG$5:$AG$106,"X CV only")</x:f>
        <x:v>4</x:v>
      </x:c>
      <x:c r="AA7" s="38" t="n">
        <x:f>AVERAGEIF('01_Raw_Orientation'!$Y$5:$Y$106,$A7,'01_Raw_Orientation'!$T$5:$T$106)</x:f>
        <x:v>14.572</x:v>
      </x:c>
      <x:c r="AB7" s="38" t="n">
        <x:f>AVERAGEIF('01_Raw_Orientation'!$Y$5:$Y$106,$A7,'01_Raw_Orientation'!$U$5:$U$106)</x:f>
        <x:v>1.6099999999999999</x:v>
      </x:c>
      <x:c r="AC7" s="38" t="n">
        <x:f>AVERAGEIF('01_Raw_Orientation'!$Y$5:$Y$106,$A7,'01_Raw_Orientation'!$V$5:$V$106)</x:f>
        <x:v>1.759</x:v>
      </x:c>
      <x:c r="AD7" s="38" t="n">
        <x:f>AVERAGEIF('01_Raw_Orientation'!$Y$5:$Y$106,$A7,'01_Raw_Orientation'!$W$5:$W$106)</x:f>
        <x:v>3</x:v>
      </x:c>
      <x:c r="AE7" s="38" t="n">
        <x:f>MINIFS('01_Raw_Orientation'!$J$5:$J$106,'01_Raw_Orientation'!$Y$5:$Y$106,$A7)</x:f>
        <x:v>2.939343</x:v>
      </x:c>
      <x:c r="AF7" s="38" t="n">
        <x:f>MAXIFS('01_Raw_Orientation'!$J$5:$J$106,'01_Raw_Orientation'!$Y$5:$Y$106,$A7)</x:f>
        <x:v>4.021695</x:v>
      </x:c>
      <x:c r="AG7" s="38" t="n">
        <x:f>IF(AE7=0,0,AF7/AE7)</x:f>
        <x:v>1.3682292267353624</x:v>
      </x:c>
      <x:c r="AH7" s="42" t="str">
        <x:v>Largest mean Z/vector response; strong Z dominance.</x:v>
      </x:c>
    </x:row>
    <x:row r="8">
      <x:c r="A8" t="str">
        <x:v>P2 Changed orientation</x:v>
      </x:c>
      <x:c r="B8" t="str">
        <x:v>31–40</x:v>
      </x:c>
      <x:c r="C8" s="40" t="n">
        <x:f>COUNTIF('01_Raw_Orientation'!$Y$5:$Y$106,$A8)</x:f>
        <x:v>10</x:v>
      </x:c>
      <x:c r="D8" s="38" t="n">
        <x:f>AVERAGEIF('01_Raw_Orientation'!$Y$5:$Y$106,$A8,'01_Raw_Orientation'!$H$5:$H$106)</x:f>
        <x:v>0.170568</x:v>
      </x:c>
      <x:c r="E8" s="38" t="n">
        <x:f>IF(C8&gt;1,SQRT((SUMIF('01_Raw_Orientation'!$Y$5:$Y$106,$A8,'01_Raw_Orientation'!$AA$5:$AA$106)-C8*D8^2)/(C8-1)),0)</x:f>
        <x:v>0.06246852289486814</x:v>
      </x:c>
      <x:c r="F8" s="38" t="n">
        <x:f>IF(D8=0,0,100*E8/D8)</x:f>
        <x:v>36.62382328154645</x:v>
      </x:c>
      <x:c r="G8" s="38" t="n">
        <x:f>AVERAGEIF('01_Raw_Orientation'!$Y$5:$Y$106,$A8,'01_Raw_Orientation'!$I$5:$I$106)</x:f>
        <x:v>1.1171695</x:v>
      </x:c>
      <x:c r="H8" s="38" t="n">
        <x:f>IF(C8&gt;1,SQRT((SUMIF('01_Raw_Orientation'!$Y$5:$Y$106,$A8,'01_Raw_Orientation'!$AB$5:$AB$106)-C8*G8^2)/(C8-1)),0)</x:f>
        <x:v>0.0484585729171538</x:v>
      </x:c>
      <x:c r="I8" s="38" t="n">
        <x:f>IF(G8=0,0,100*H8/G8)</x:f>
        <x:v>4.337620470049872</x:v>
      </x:c>
      <x:c r="J8" s="38" t="n">
        <x:f>AVERAGEIF('01_Raw_Orientation'!$Y$5:$Y$106,$A8,'01_Raw_Orientation'!$J$5:$J$106)</x:f>
        <x:v>3.1587807999999997</x:v>
      </x:c>
      <x:c r="K8" s="38" t="n">
        <x:f>IF(C8&gt;1,SQRT((SUMIF('01_Raw_Orientation'!$Y$5:$Y$106,$A8,'01_Raw_Orientation'!$AC$5:$AC$106)-C8*J8^2)/(C8-1)),0)</x:f>
        <x:v>0.2316735299380463</x:v>
      </x:c>
      <x:c r="L8" s="38" t="n">
        <x:f>IF(J8=0,0,100*K8/J8)</x:f>
        <x:v>7.3342705495122145</x:v>
      </x:c>
      <x:c r="M8" s="38" t="n">
        <x:f>AVERAGEIF('01_Raw_Orientation'!$Y$5:$Y$106,$A8,'01_Raw_Orientation'!$K$5:$K$106)</x:f>
        <x:v>3.3559265</x:v>
      </x:c>
      <x:c r="N8" s="38" t="n">
        <x:f>IF(C8&gt;1,SQRT((SUMIF('01_Raw_Orientation'!$Y$5:$Y$106,$A8,'01_Raw_Orientation'!$AD$5:$AD$106)-C8*M8^2)/(C8-1)),0)</x:f>
        <x:v>0.2279046763969814</x:v>
      </x:c>
      <x:c r="O8" s="38" t="n">
        <x:f>IF(M8=0,0,100*N8/M8)</x:f>
        <x:v>6.791110484600345</x:v>
      </x:c>
      <x:c r="P8" s="38" t="n">
        <x:f>100*(J8-AVERAGEIF('01_Raw_Orientation'!$Y$5:$Y$106,$A8,'01_Raw_Orientation'!$G$5:$G$106))/AVERAGEIF('01_Raw_Orientation'!$Y$5:$Y$106,$A8,'01_Raw_Orientation'!$G$5:$G$106)</x:f>
        <x:v>163.23173333333338</x:v>
      </x:c>
      <x:c r="Q8" s="38" t="n">
        <x:f>100*COUNTIFS('01_Raw_Orientation'!$Y$5:$Y$106,$A8,'01_Raw_Orientation'!$AE$5:$AE$106,"YES")/C8</x:f>
        <x:v>0</x:v>
      </x:c>
      <x:c r="R8" s="38" t="n">
        <x:f>AVERAGEIF('01_Raw_Orientation'!$Y$5:$Y$106,$A8,'01_Raw_Orientation'!$O$5:$O$106)</x:f>
        <x:v>0.2814</x:v>
      </x:c>
      <x:c r="S8" s="38" t="n">
        <x:f>AVERAGEIF('01_Raw_Orientation'!$Y$5:$Y$106,$A8,'01_Raw_Orientation'!$P$5:$P$106)</x:f>
        <x:v>11.185000000000002</x:v>
      </x:c>
      <x:c r="T8" s="38" t="n">
        <x:f>AVERAGEIF('01_Raw_Orientation'!$Y$5:$Y$106,$A8,'01_Raw_Orientation'!$Q$5:$Q$106)</x:f>
        <x:v>88.5336</x:v>
      </x:c>
      <x:c r="U8" s="38" t="n">
        <x:f>AVERAGEIF('01_Raw_Orientation'!$Y$5:$Y$106,$A8,'01_Raw_Orientation'!$R$5:$R$106)</x:f>
        <x:v>48.67</x:v>
      </x:c>
      <x:c r="V8" s="38" t="n">
        <x:f>AVERAGEIF('01_Raw_Orientation'!$Y$5:$Y$106,$A8,'01_Raw_Orientation'!$S$5:$S$106)</x:f>
        <x:v>81.8004</x:v>
      </x:c>
      <x:c r="W8" s="38" t="str">
        <x:f>IF(AND(R8&gt;=S8,R8&gt;=T8),"X",IF(S8&gt;=T8,"Y","Z"))</x:f>
        <x:v>Z</x:v>
      </x:c>
      <x:c r="X8" s="40" t="n">
        <x:f>COUNTIFS('01_Raw_Orientation'!$Y$5:$Y$106,$A8,'01_Raw_Orientation'!$X$5:$X$106,"STABLE")</x:f>
        <x:v>6</x:v>
      </x:c>
      <x:c r="Y8" s="38" t="n">
        <x:f>100*X8/C8</x:f>
        <x:v>60</x:v>
      </x:c>
      <x:c r="Z8" s="40" t="n">
        <x:f>COUNTIFS('01_Raw_Orientation'!$Y$5:$Y$106,$A8,'01_Raw_Orientation'!$AG$5:$AG$106,"X CV only")</x:f>
        <x:v>3</x:v>
      </x:c>
      <x:c r="AA8" s="38" t="n">
        <x:f>AVERAGEIF('01_Raw_Orientation'!$Y$5:$Y$106,$A8,'01_Raw_Orientation'!$T$5:$T$106)</x:f>
        <x:v>14.995000000000001</x:v>
      </x:c>
      <x:c r="AB8" s="38" t="n">
        <x:f>AVERAGEIF('01_Raw_Orientation'!$Y$5:$Y$106,$A8,'01_Raw_Orientation'!$U$5:$U$106)</x:f>
        <x:v>2.1319999999999997</x:v>
      </x:c>
      <x:c r="AC8" s="38" t="n">
        <x:f>AVERAGEIF('01_Raw_Orientation'!$Y$5:$Y$106,$A8,'01_Raw_Orientation'!$V$5:$V$106)</x:f>
        <x:v>3.229</x:v>
      </x:c>
      <x:c r="AD8" s="38" t="n">
        <x:f>AVERAGEIF('01_Raw_Orientation'!$Y$5:$Y$106,$A8,'01_Raw_Orientation'!$W$5:$W$106)</x:f>
        <x:v>3</x:v>
      </x:c>
      <x:c r="AE8" s="38" t="n">
        <x:f>MINIFS('01_Raw_Orientation'!$J$5:$J$106,'01_Raw_Orientation'!$Y$5:$Y$106,$A8)</x:f>
        <x:v>2.533568</x:v>
      </x:c>
      <x:c r="AF8" s="38" t="n">
        <x:f>MAXIFS('01_Raw_Orientation'!$J$5:$J$106,'01_Raw_Orientation'!$Y$5:$Y$106,$A8)</x:f>
        <x:v>3.389105</x:v>
      </x:c>
      <x:c r="AG8" s="38" t="n">
        <x:f>IF(AE8=0,0,AF8/AE8)</x:f>
        <x:v>1.337680693788365</x:v>
      </x:c>
      <x:c r="AH8" s="42" t="str">
        <x:v>Large, persistent Z-dominant amplification.</x:v>
      </x:c>
    </x:row>
    <x:row r="9">
      <x:c r="A9" t="str">
        <x:v>P3 Changed orientation</x:v>
      </x:c>
      <x:c r="B9" t="str">
        <x:v>41–50</x:v>
      </x:c>
      <x:c r="C9" s="40" t="n">
        <x:f>COUNTIF('01_Raw_Orientation'!$Y$5:$Y$106,$A9)</x:f>
        <x:v>10</x:v>
      </x:c>
      <x:c r="D9" s="38" t="n">
        <x:f>AVERAGEIF('01_Raw_Orientation'!$Y$5:$Y$106,$A9,'01_Raw_Orientation'!$H$5:$H$106)</x:f>
        <x:v>0.19022490000000003</x:v>
      </x:c>
      <x:c r="E9" s="38" t="n">
        <x:f>IF(C9&gt;1,SQRT((SUMIF('01_Raw_Orientation'!$Y$5:$Y$106,$A9,'01_Raw_Orientation'!$AA$5:$AA$106)-C9*D9^2)/(C9-1)),0)</x:f>
        <x:v>0.02487157541116614</x:v>
      </x:c>
      <x:c r="F9" s="38" t="n">
        <x:f>IF(D9=0,0,100*E9/D9)</x:f>
        <x:v>13.074826382437912</x:v>
      </x:c>
      <x:c r="G9" s="38" t="n">
        <x:f>AVERAGEIF('01_Raw_Orientation'!$Y$5:$Y$106,$A9,'01_Raw_Orientation'!$I$5:$I$106)</x:f>
        <x:v>1.3155626999999999</x:v>
      </x:c>
      <x:c r="H9" s="38" t="n">
        <x:f>IF(C9&gt;1,SQRT((SUMIF('01_Raw_Orientation'!$Y$5:$Y$106,$A9,'01_Raw_Orientation'!$AB$5:$AB$106)-C9*G9^2)/(C9-1)),0)</x:f>
        <x:v>0.12828264739849662</x:v>
      </x:c>
      <x:c r="I9" s="38" t="n">
        <x:f>IF(G9=0,0,100*H9/G9)</x:f>
        <x:v>9.751161795518879</x:v>
      </x:c>
      <x:c r="J9" s="38" t="n">
        <x:f>AVERAGEIF('01_Raw_Orientation'!$Y$5:$Y$106,$A9,'01_Raw_Orientation'!$J$5:$J$106)</x:f>
        <x:v>2.8084155</x:v>
      </x:c>
      <x:c r="K9" s="38" t="n">
        <x:f>IF(C9&gt;1,SQRT((SUMIF('01_Raw_Orientation'!$Y$5:$Y$106,$A9,'01_Raw_Orientation'!$AC$5:$AC$106)-C9*J9^2)/(C9-1)),0)</x:f>
        <x:v>0.3636991686863813</x:v>
      </x:c>
      <x:c r="L9" s="38" t="n">
        <x:f>IF(J9=0,0,100*K9/J9)</x:f>
        <x:v>12.95033333516288</x:v>
      </x:c>
      <x:c r="M9" s="38" t="n">
        <x:f>AVERAGEIF('01_Raw_Orientation'!$Y$5:$Y$106,$A9,'01_Raw_Orientation'!$K$5:$K$106)</x:f>
        <x:v>3.1075282</x:v>
      </x:c>
      <x:c r="N9" s="38" t="n">
        <x:f>IF(C9&gt;1,SQRT((SUMIF('01_Raw_Orientation'!$Y$5:$Y$106,$A9,'01_Raw_Orientation'!$AD$5:$AD$106)-C9*M9^2)/(C9-1)),0)</x:f>
        <x:v>0.38264145171885555</x:v>
      </x:c>
      <x:c r="O9" s="38" t="n">
        <x:f>IF(M9=0,0,100*N9/M9)</x:f>
        <x:v>12.313370212339683</x:v>
      </x:c>
      <x:c r="P9" s="38" t="n">
        <x:f>100*(J9-AVERAGEIF('01_Raw_Orientation'!$Y$5:$Y$106,$A9,'01_Raw_Orientation'!$G$5:$G$106))/AVERAGEIF('01_Raw_Orientation'!$Y$5:$Y$106,$A9,'01_Raw_Orientation'!$G$5:$G$106)</x:f>
        <x:v>134.03462500000006</x:v>
      </x:c>
      <x:c r="Q9" s="38" t="n">
        <x:f>100*COUNTIFS('01_Raw_Orientation'!$Y$5:$Y$106,$A9,'01_Raw_Orientation'!$AE$5:$AE$106,"YES")/C9</x:f>
        <x:v>0</x:v>
      </x:c>
      <x:c r="R9" s="38" t="n">
        <x:f>AVERAGEIF('01_Raw_Orientation'!$Y$5:$Y$106,$A9,'01_Raw_Orientation'!$O$5:$O$106)</x:f>
        <x:v>0.3941</x:v>
      </x:c>
      <x:c r="S9" s="38" t="n">
        <x:f>AVERAGEIF('01_Raw_Orientation'!$Y$5:$Y$106,$A9,'01_Raw_Orientation'!$P$5:$P$106)</x:f>
        <x:v>18.0335</x:v>
      </x:c>
      <x:c r="T9" s="38" t="n">
        <x:f>AVERAGEIF('01_Raw_Orientation'!$Y$5:$Y$106,$A9,'01_Raw_Orientation'!$Q$5:$Q$106)</x:f>
        <x:v>81.57249999999999</x:v>
      </x:c>
      <x:c r="U9" s="38" t="n">
        <x:f>AVERAGEIF('01_Raw_Orientation'!$Y$5:$Y$106,$A9,'01_Raw_Orientation'!$R$5:$R$106)</x:f>
        <x:v>41.7025</x:v>
      </x:c>
      <x:c r="V9" s="38" t="n">
        <x:f>AVERAGEIF('01_Raw_Orientation'!$Y$5:$Y$106,$A9,'01_Raw_Orientation'!$S$5:$S$106)</x:f>
        <x:v>68.3438</x:v>
      </x:c>
      <x:c r="W9" s="38" t="str">
        <x:f>IF(AND(R9&gt;=S9,R9&gt;=T9),"X",IF(S9&gt;=T9,"Y","Z"))</x:f>
        <x:v>Z</x:v>
      </x:c>
      <x:c r="X9" s="40" t="n">
        <x:f>COUNTIFS('01_Raw_Orientation'!$Y$5:$Y$106,$A9,'01_Raw_Orientation'!$X$5:$X$106,"STABLE")</x:f>
        <x:v>7</x:v>
      </x:c>
      <x:c r="Y9" s="38" t="n">
        <x:f>100*X9/C9</x:f>
        <x:v>70</x:v>
      </x:c>
      <x:c r="Z9" s="40" t="n">
        <x:f>COUNTIFS('01_Raw_Orientation'!$Y$5:$Y$106,$A9,'01_Raw_Orientation'!$AG$5:$AG$106,"X CV only")</x:f>
        <x:v>3</x:v>
      </x:c>
      <x:c r="AA9" s="38" t="n">
        <x:f>AVERAGEIF('01_Raw_Orientation'!$Y$5:$Y$106,$A9,'01_Raw_Orientation'!$T$5:$T$106)</x:f>
        <x:v>9.382000000000001</x:v>
      </x:c>
      <x:c r="AB9" s="38" t="n">
        <x:f>AVERAGEIF('01_Raw_Orientation'!$Y$5:$Y$106,$A9,'01_Raw_Orientation'!$U$5:$U$106)</x:f>
        <x:v>2.1289999999999996</x:v>
      </x:c>
      <x:c r="AC9" s="38" t="n">
        <x:f>AVERAGEIF('01_Raw_Orientation'!$Y$5:$Y$106,$A9,'01_Raw_Orientation'!$V$5:$V$106)</x:f>
        <x:v>1.2510000000000001</x:v>
      </x:c>
      <x:c r="AD9" s="38" t="n">
        <x:f>AVERAGEIF('01_Raw_Orientation'!$Y$5:$Y$106,$A9,'01_Raw_Orientation'!$W$5:$W$106)</x:f>
        <x:v>3</x:v>
      </x:c>
      <x:c r="AE9" s="38" t="n">
        <x:f>MINIFS('01_Raw_Orientation'!$J$5:$J$106,'01_Raw_Orientation'!$Y$5:$Y$106,$A9)</x:f>
        <x:v>2.471903</x:v>
      </x:c>
      <x:c r="AF9" s="38" t="n">
        <x:f>MAXIFS('01_Raw_Orientation'!$J$5:$J$106,'01_Raw_Orientation'!$Y$5:$Y$106,$A9)</x:f>
        <x:v>3.51676</x:v>
      </x:c>
      <x:c r="AG9" s="38" t="n">
        <x:f>IF(AE9=0,0,AF9/AE9)</x:f>
        <x:v>1.4226933662040946</x:v>
      </x:c>
      <x:c r="AH9" s="42" t="str">
        <x:v>Large Z-dominant response with higher block variability.</x:v>
      </x:c>
    </x:row>
    <x:row r="10">
      <x:c r="A10" t="str">
        <x:v>P4 Changed orientation</x:v>
      </x:c>
      <x:c r="B10" t="str">
        <x:v>51–60</x:v>
      </x:c>
      <x:c r="C10" s="40" t="n">
        <x:f>COUNTIF('01_Raw_Orientation'!$Y$5:$Y$106,$A10)</x:f>
        <x:v>10</x:v>
      </x:c>
      <x:c r="D10" s="38" t="n">
        <x:f>AVERAGEIF('01_Raw_Orientation'!$Y$5:$Y$106,$A10,'01_Raw_Orientation'!$H$5:$H$106)</x:f>
        <x:v>0.0682678</x:v>
      </x:c>
      <x:c r="E10" s="38" t="n">
        <x:f>IF(C10&gt;1,SQRT((SUMIF('01_Raw_Orientation'!$Y$5:$Y$106,$A10,'01_Raw_Orientation'!$AA$5:$AA$106)-C10*D10^2)/(C10-1)),0)</x:f>
        <x:v>0.011100278663168761</x:v>
      </x:c>
      <x:c r="F10" s="38" t="n">
        <x:f>IF(D10=0,0,100*E10/D10)</x:f>
        <x:v>16.259903883190553</x:v>
      </x:c>
      <x:c r="G10" s="38" t="n">
        <x:f>AVERAGEIF('01_Raw_Orientation'!$Y$5:$Y$106,$A10,'01_Raw_Orientation'!$I$5:$I$106)</x:f>
        <x:v>1.0891641999999997</x:v>
      </x:c>
      <x:c r="H10" s="38" t="n">
        <x:f>IF(C10&gt;1,SQRT((SUMIF('01_Raw_Orientation'!$Y$5:$Y$106,$A10,'01_Raw_Orientation'!$AB$5:$AB$106)-C10*G10^2)/(C10-1)),0)</x:f>
        <x:v>0.06969158104869876</x:v>
      </x:c>
      <x:c r="I10" s="38" t="n">
        <x:f>IF(G10=0,0,100*H10/G10)</x:f>
        <x:v>6.398629430594466</x:v>
      </x:c>
      <x:c r="J10" s="38" t="n">
        <x:f>AVERAGEIF('01_Raw_Orientation'!$Y$5:$Y$106,$A10,'01_Raw_Orientation'!$J$5:$J$106)</x:f>
        <x:v>1.8959221999999998</x:v>
      </x:c>
      <x:c r="K10" s="38" t="n">
        <x:f>IF(C10&gt;1,SQRT((SUMIF('01_Raw_Orientation'!$Y$5:$Y$106,$A10,'01_Raw_Orientation'!$AC$5:$AC$106)-C10*J10^2)/(C10-1)),0)</x:f>
        <x:v>0.16517895845873282</x:v>
      </x:c>
      <x:c r="L10" s="38" t="n">
        <x:f>IF(J10=0,0,100*K10/J10)</x:f>
        <x:v>8.712327882374753</x:v>
      </x:c>
      <x:c r="M10" s="38" t="n">
        <x:f>AVERAGEIF('01_Raw_Orientation'!$Y$5:$Y$106,$A10,'01_Raw_Orientation'!$K$5:$K$106)</x:f>
        <x:v>2.1878735</x:v>
      </x:c>
      <x:c r="N10" s="38" t="n">
        <x:f>IF(C10&gt;1,SQRT((SUMIF('01_Raw_Orientation'!$Y$5:$Y$106,$A10,'01_Raw_Orientation'!$AD$5:$AD$106)-C10*M10^2)/(C10-1)),0)</x:f>
        <x:v>0.17545592303941107</x:v>
      </x:c>
      <x:c r="O10" s="38" t="n">
        <x:f>IF(M10=0,0,100*N10/M10)</x:f>
        <x:v>8.019472928366794</x:v>
      </x:c>
      <x:c r="P10" s="38" t="n">
        <x:f>100*(J10-AVERAGEIF('01_Raw_Orientation'!$Y$5:$Y$106,$A10,'01_Raw_Orientation'!$G$5:$G$106))/AVERAGEIF('01_Raw_Orientation'!$Y$5:$Y$106,$A10,'01_Raw_Orientation'!$G$5:$G$106)</x:f>
        <x:v>57.99351666666668</x:v>
      </x:c>
      <x:c r="Q10" s="38" t="n">
        <x:f>100*COUNTIFS('01_Raw_Orientation'!$Y$5:$Y$106,$A10,'01_Raw_Orientation'!$AE$5:$AE$106,"YES")/C10</x:f>
        <x:v>0</x:v>
      </x:c>
      <x:c r="R10" s="38" t="n">
        <x:f>AVERAGEIF('01_Raw_Orientation'!$Y$5:$Y$106,$A10,'01_Raw_Orientation'!$O$5:$O$106)</x:f>
        <x:v>0.1025</x:v>
      </x:c>
      <x:c r="S10" s="38" t="n">
        <x:f>AVERAGEIF('01_Raw_Orientation'!$Y$5:$Y$106,$A10,'01_Raw_Orientation'!$P$5:$P$106)</x:f>
        <x:v>24.862000000000002</x:v>
      </x:c>
      <x:c r="T10" s="38" t="n">
        <x:f>AVERAGEIF('01_Raw_Orientation'!$Y$5:$Y$106,$A10,'01_Raw_Orientation'!$Q$5:$Q$106)</x:f>
        <x:v>75.0355</x:v>
      </x:c>
      <x:c r="U10" s="38" t="n">
        <x:f>AVERAGEIF('01_Raw_Orientation'!$Y$5:$Y$106,$A10,'01_Raw_Orientation'!$R$5:$R$106)</x:f>
        <x:v>35.162400000000005</x:v>
      </x:c>
      <x:c r="V10" s="38" t="n">
        <x:f>AVERAGEIF('01_Raw_Orientation'!$Y$5:$Y$106,$A10,'01_Raw_Orientation'!$S$5:$S$106)</x:f>
        <x:v>18.523400000000002</x:v>
      </x:c>
      <x:c r="W10" s="38" t="str">
        <x:f>IF(AND(R10&gt;=S10,R10&gt;=T10),"X",IF(S10&gt;=T10,"Y","Z"))</x:f>
        <x:v>Z</x:v>
      </x:c>
      <x:c r="X10" s="40" t="n">
        <x:f>COUNTIFS('01_Raw_Orientation'!$Y$5:$Y$106,$A10,'01_Raw_Orientation'!$X$5:$X$106,"STABLE")</x:f>
        <x:v>2</x:v>
      </x:c>
      <x:c r="Y10" s="38" t="n">
        <x:f>100*X10/C10</x:f>
        <x:v>20</x:v>
      </x:c>
      <x:c r="Z10" s="40" t="n">
        <x:f>COUNTIFS('01_Raw_Orientation'!$Y$5:$Y$106,$A10,'01_Raw_Orientation'!$AG$5:$AG$106,"X CV only")</x:f>
        <x:v>8</x:v>
      </x:c>
      <x:c r="AA10" s="38" t="n">
        <x:f>AVERAGEIF('01_Raw_Orientation'!$Y$5:$Y$106,$A10,'01_Raw_Orientation'!$T$5:$T$106)</x:f>
        <x:v>25.115000000000002</x:v>
      </x:c>
      <x:c r="AB10" s="38" t="n">
        <x:f>AVERAGEIF('01_Raw_Orientation'!$Y$5:$Y$106,$A10,'01_Raw_Orientation'!$U$5:$U$106)</x:f>
        <x:v>1.4829999999999999</x:v>
      </x:c>
      <x:c r="AC10" s="38" t="n">
        <x:f>AVERAGEIF('01_Raw_Orientation'!$Y$5:$Y$106,$A10,'01_Raw_Orientation'!$V$5:$V$106)</x:f>
        <x:v>1.8719999999999999</x:v>
      </x:c>
      <x:c r="AD10" s="38" t="n">
        <x:f>AVERAGEIF('01_Raw_Orientation'!$Y$5:$Y$106,$A10,'01_Raw_Orientation'!$W$5:$W$106)</x:f>
        <x:v>3</x:v>
      </x:c>
      <x:c r="AE10" s="38" t="n">
        <x:f>MINIFS('01_Raw_Orientation'!$J$5:$J$106,'01_Raw_Orientation'!$Y$5:$Y$106,$A10)</x:f>
        <x:v>1.783791</x:v>
      </x:c>
      <x:c r="AF10" s="38" t="n">
        <x:f>MAXIFS('01_Raw_Orientation'!$J$5:$J$106,'01_Raw_Orientation'!$Y$5:$Y$106,$A10)</x:f>
        <x:v>2.349992</x:v>
      </x:c>
      <x:c r="AG10" s="38" t="n">
        <x:f>IF(AE10=0,0,AF10/AE10)</x:f>
        <x:v>1.3174144280355715</x:v>
      </x:c>
      <x:c r="AH10" s="42" t="str">
        <x:v>Lowest changed-pose magnitude, still substantially above reference Z.</x:v>
      </x:c>
    </x:row>
    <x:row r="11">
      <x:c r="A11" t="str">
        <x:v>P5 Changed orientation</x:v>
      </x:c>
      <x:c r="B11" t="str">
        <x:v>61–70</x:v>
      </x:c>
      <x:c r="C11" s="40" t="n">
        <x:f>COUNTIF('01_Raw_Orientation'!$Y$5:$Y$106,$A11)</x:f>
        <x:v>10</x:v>
      </x:c>
      <x:c r="D11" s="38" t="n">
        <x:f>AVERAGEIF('01_Raw_Orientation'!$Y$5:$Y$106,$A11,'01_Raw_Orientation'!$H$5:$H$106)</x:f>
        <x:v>0.11865709999999999</x:v>
      </x:c>
      <x:c r="E11" s="38" t="n">
        <x:f>IF(C11&gt;1,SQRT((SUMIF('01_Raw_Orientation'!$Y$5:$Y$106,$A11,'01_Raw_Orientation'!$AA$5:$AA$106)-C11*D11^2)/(C11-1)),0)</x:f>
        <x:v>0.022863034320103365</x:v>
      </x:c>
      <x:c r="F11" s="38" t="n">
        <x:f>IF(D11=0,0,100*E11/D11)</x:f>
        <x:v>19.26815531485547</x:v>
      </x:c>
      <x:c r="G11" s="38" t="n">
        <x:f>AVERAGEIF('01_Raw_Orientation'!$Y$5:$Y$106,$A11,'01_Raw_Orientation'!$I$5:$I$106)</x:f>
        <x:v>1.3853841999999998</x:v>
      </x:c>
      <x:c r="H11" s="38" t="n">
        <x:f>IF(C11&gt;1,SQRT((SUMIF('01_Raw_Orientation'!$Y$5:$Y$106,$A11,'01_Raw_Orientation'!$AB$5:$AB$106)-C11*G11^2)/(C11-1)),0)</x:f>
        <x:v>0.20418798096514673</x:v>
      </x:c>
      <x:c r="I11" s="38" t="n">
        <x:f>IF(G11=0,0,100*H11/G11)</x:f>
        <x:v>14.738725976891232</x:v>
      </x:c>
      <x:c r="J11" s="38" t="n">
        <x:f>AVERAGEIF('01_Raw_Orientation'!$Y$5:$Y$106,$A11,'01_Raw_Orientation'!$J$5:$J$106)</x:f>
        <x:v>2.8843794000000003</x:v>
      </x:c>
      <x:c r="K11" s="38" t="n">
        <x:f>IF(C11&gt;1,SQRT((SUMIF('01_Raw_Orientation'!$Y$5:$Y$106,$A11,'01_Raw_Orientation'!$AC$5:$AC$106)-C11*J11^2)/(C11-1)),0)</x:f>
        <x:v>0.5572987378968062</x:v>
      </x:c>
      <x:c r="L11" s="38" t="n">
        <x:f>IF(J11=0,0,100*K11/J11)</x:f>
        <x:v>19.32127021489635</x:v>
      </x:c>
      <x:c r="M11" s="38" t="n">
        <x:f>AVERAGEIF('01_Raw_Orientation'!$Y$5:$Y$106,$A11,'01_Raw_Orientation'!$K$5:$K$106)</x:f>
        <x:v>3.2031171</x:v>
      </x:c>
      <x:c r="N11" s="38" t="n">
        <x:f>IF(C11&gt;1,SQRT((SUMIF('01_Raw_Orientation'!$Y$5:$Y$106,$A11,'01_Raw_Orientation'!$AD$5:$AD$106)-C11*M11^2)/(C11-1)),0)</x:f>
        <x:v>0.5874335697564148</x:v>
      </x:c>
      <x:c r="O11" s="38" t="n">
        <x:f>IF(M11=0,0,100*N11/M11)</x:f>
        <x:v>18.339434726142695</x:v>
      </x:c>
      <x:c r="P11" s="38" t="n">
        <x:f>100*(J11-AVERAGEIF('01_Raw_Orientation'!$Y$5:$Y$106,$A11,'01_Raw_Orientation'!$G$5:$G$106))/AVERAGEIF('01_Raw_Orientation'!$Y$5:$Y$106,$A11,'01_Raw_Orientation'!$G$5:$G$106)</x:f>
        <x:v>140.36495000000008</x:v>
      </x:c>
      <x:c r="Q11" s="38" t="n">
        <x:f>100*COUNTIFS('01_Raw_Orientation'!$Y$5:$Y$106,$A11,'01_Raw_Orientation'!$AE$5:$AE$106,"YES")/C11</x:f>
        <x:v>0</x:v>
      </x:c>
      <x:c r="R11" s="38" t="n">
        <x:f>AVERAGEIF('01_Raw_Orientation'!$Y$5:$Y$106,$A11,'01_Raw_Orientation'!$O$5:$O$106)</x:f>
        <x:v>0.18120000000000003</x:v>
      </x:c>
      <x:c r="S11" s="38" t="n">
        <x:f>AVERAGEIF('01_Raw_Orientation'!$Y$5:$Y$106,$A11,'01_Raw_Orientation'!$P$5:$P$106)</x:f>
        <x:v>19.0822</x:v>
      </x:c>
      <x:c r="T11" s="38" t="n">
        <x:f>AVERAGEIF('01_Raw_Orientation'!$Y$5:$Y$106,$A11,'01_Raw_Orientation'!$Q$5:$Q$106)</x:f>
        <x:v>80.7366</x:v>
      </x:c>
      <x:c r="U11" s="38" t="n">
        <x:f>AVERAGEIF('01_Raw_Orientation'!$Y$5:$Y$106,$A11,'01_Raw_Orientation'!$R$5:$R$106)</x:f>
        <x:v>40.8806</x:v>
      </x:c>
      <x:c r="V11" s="38" t="n">
        <x:f>AVERAGEIF('01_Raw_Orientation'!$Y$5:$Y$106,$A11,'01_Raw_Orientation'!$S$5:$S$106)</x:f>
        <x:v>73.52229999999999</x:v>
      </x:c>
      <x:c r="W11" s="38" t="str">
        <x:f>IF(AND(R11&gt;=S11,R11&gt;=T11),"X",IF(S11&gt;=T11,"Y","Z"))</x:f>
        <x:v>Z</x:v>
      </x:c>
      <x:c r="X11" s="40" t="n">
        <x:f>COUNTIFS('01_Raw_Orientation'!$Y$5:$Y$106,$A11,'01_Raw_Orientation'!$X$5:$X$106,"STABLE")</x:f>
        <x:v>4</x:v>
      </x:c>
      <x:c r="Y11" s="38" t="n">
        <x:f>100*X11/C11</x:f>
        <x:v>40</x:v>
      </x:c>
      <x:c r="Z11" s="40" t="n">
        <x:f>COUNTIFS('01_Raw_Orientation'!$Y$5:$Y$106,$A11,'01_Raw_Orientation'!$AG$5:$AG$106,"X CV only")</x:f>
        <x:v>6</x:v>
      </x:c>
      <x:c r="AA11" s="38" t="n">
        <x:f>AVERAGEIF('01_Raw_Orientation'!$Y$5:$Y$106,$A11,'01_Raw_Orientation'!$T$5:$T$106)</x:f>
        <x:v>13.26</x:v>
      </x:c>
      <x:c r="AB11" s="38" t="n">
        <x:f>AVERAGEIF('01_Raw_Orientation'!$Y$5:$Y$106,$A11,'01_Raw_Orientation'!$U$5:$U$106)</x:f>
        <x:v>1.911</x:v>
      </x:c>
      <x:c r="AC11" s="38" t="n">
        <x:f>AVERAGEIF('01_Raw_Orientation'!$Y$5:$Y$106,$A11,'01_Raw_Orientation'!$V$5:$V$106)</x:f>
        <x:v>1.4900000000000002</x:v>
      </x:c>
      <x:c r="AD11" s="38" t="n">
        <x:f>AVERAGEIF('01_Raw_Orientation'!$Y$5:$Y$106,$A11,'01_Raw_Orientation'!$W$5:$W$106)</x:f>
        <x:v>3</x:v>
      </x:c>
      <x:c r="AE11" s="38" t="n">
        <x:f>MINIFS('01_Raw_Orientation'!$J$5:$J$106,'01_Raw_Orientation'!$Y$5:$Y$106,$A11)</x:f>
        <x:v>1.824207</x:v>
      </x:c>
      <x:c r="AF11" s="38" t="n">
        <x:f>MAXIFS('01_Raw_Orientation'!$J$5:$J$106,'01_Raw_Orientation'!$Y$5:$Y$106,$A11)</x:f>
        <x:v>3.342431</x:v>
      </x:c>
      <x:c r="AG11" s="38" t="n">
        <x:f>IF(AE11=0,0,AF11/AE11)</x:f>
        <x:v>1.832265197973695</x:v>
      </x:c>
      <x:c r="AH11" s="42" t="str">
        <x:v>Nonstationary/settling block; interpret mean cautiously.</x:v>
      </x:c>
    </x:row>
    <x:row r="12">
      <x:c r="A12" s="52" t="str">
        <x:v>P6 Changed orientation</x:v>
      </x:c>
      <x:c r="B12" s="52" t="str">
        <x:v>71–80</x:v>
      </x:c>
      <x:c r="C12" s="53" t="n">
        <x:f>COUNTIF('01_Raw_Orientation'!$Y$5:$Y$106,$A12)</x:f>
        <x:v>10</x:v>
      </x:c>
      <x:c r="D12" s="54" t="n">
        <x:f>AVERAGEIF('01_Raw_Orientation'!$Y$5:$Y$106,$A12,'01_Raw_Orientation'!$H$5:$H$106)</x:f>
        <x:v>0.10878610000000002</x:v>
      </x:c>
      <x:c r="E12" s="54" t="n">
        <x:f>IF(C12&gt;1,SQRT((SUMIF('01_Raw_Orientation'!$Y$5:$Y$106,$A12,'01_Raw_Orientation'!$AA$5:$AA$106)-C12*D12^2)/(C12-1)),0)</x:f>
        <x:v>0.011990791572887929</x:v>
      </x:c>
      <x:c r="F12" s="54" t="n">
        <x:f>IF(D12=0,0,100*E12/D12)</x:f>
        <x:v>11.022356323912637</x:v>
      </x:c>
      <x:c r="G12" s="54" t="n">
        <x:f>AVERAGEIF('01_Raw_Orientation'!$Y$5:$Y$106,$A12,'01_Raw_Orientation'!$I$5:$I$106)</x:f>
        <x:v>1.2109825</x:v>
      </x:c>
      <x:c r="H12" s="54" t="n">
        <x:f>IF(C12&gt;1,SQRT((SUMIF('01_Raw_Orientation'!$Y$5:$Y$106,$A12,'01_Raw_Orientation'!$AB$5:$AB$106)-C12*G12^2)/(C12-1)),0)</x:f>
        <x:v>0.02496157210259911</x:v>
      </x:c>
      <x:c r="I12" s="54" t="n">
        <x:f>IF(G12=0,0,100*H12/G12)</x:f>
        <x:v>2.0612661291636427</x:v>
      </x:c>
      <x:c r="J12" s="54" t="n">
        <x:f>AVERAGEIF('01_Raw_Orientation'!$Y$5:$Y$106,$A12,'01_Raw_Orientation'!$J$5:$J$106)</x:f>
        <x:v>2.8090171</x:v>
      </x:c>
      <x:c r="K12" s="54" t="n">
        <x:f>IF(C12&gt;1,SQRT((SUMIF('01_Raw_Orientation'!$Y$5:$Y$106,$A12,'01_Raw_Orientation'!$AC$5:$AC$106)-C12*J12^2)/(C12-1)),0)</x:f>
        <x:v>0.0590781290372528</x:v>
      </x:c>
      <x:c r="L12" s="54" t="n">
        <x:f>IF(J12=0,0,100*K12/J12)</x:f>
        <x:v>2.103160177887589</x:v>
      </x:c>
      <x:c r="M12" s="54" t="n">
        <x:f>AVERAGEIF('01_Raw_Orientation'!$Y$5:$Y$106,$A12,'01_Raw_Orientation'!$K$5:$K$106)</x:f>
        <x:v>3.0609216000000004</x:v>
      </x:c>
      <x:c r="N12" s="54" t="n">
        <x:f>IF(C12&gt;1,SQRT((SUMIF('01_Raw_Orientation'!$Y$5:$Y$106,$A12,'01_Raw_Orientation'!$AD$5:$AD$106)-C12*M12^2)/(C12-1)),0)</x:f>
        <x:v>0.062183180457557774</x:v>
      </x:c>
      <x:c r="O12" s="54" t="n">
        <x:f>IF(M12=0,0,100*N12/M12)</x:f>
        <x:v>2.031518234820447</x:v>
      </x:c>
      <x:c r="P12" s="54" t="n">
        <x:f>100*(J12-AVERAGEIF('01_Raw_Orientation'!$Y$5:$Y$106,$A12,'01_Raw_Orientation'!$G$5:$G$106))/AVERAGEIF('01_Raw_Orientation'!$Y$5:$Y$106,$A12,'01_Raw_Orientation'!$G$5:$G$106)</x:f>
        <x:v>134.08475833333338</x:v>
      </x:c>
      <x:c r="Q12" s="54" t="n">
        <x:f>100*COUNTIFS('01_Raw_Orientation'!$Y$5:$Y$106,$A12,'01_Raw_Orientation'!$AE$5:$AE$106,"YES")/C12</x:f>
        <x:v>0</x:v>
      </x:c>
      <x:c r="R12" s="54" t="n">
        <x:f>AVERAGEIF('01_Raw_Orientation'!$Y$5:$Y$106,$A12,'01_Raw_Orientation'!$O$5:$O$106)</x:f>
        <x:v>0.1274</x:v>
      </x:c>
      <x:c r="S12" s="54" t="n">
        <x:f>AVERAGEIF('01_Raw_Orientation'!$Y$5:$Y$106,$A12,'01_Raw_Orientation'!$P$5:$P$106)</x:f>
        <x:v>15.656300000000002</x:v>
      </x:c>
      <x:c r="T12" s="54" t="n">
        <x:f>AVERAGEIF('01_Raw_Orientation'!$Y$5:$Y$106,$A12,'01_Raw_Orientation'!$Q$5:$Q$106)</x:f>
        <x:v>84.2164</x:v>
      </x:c>
      <x:c r="U12" s="54" t="n">
        <x:f>AVERAGEIF('01_Raw_Orientation'!$Y$5:$Y$106,$A12,'01_Raw_Orientation'!$R$5:$R$106)</x:f>
        <x:v>44.343</x:v>
      </x:c>
      <x:c r="V12" s="54" t="n">
        <x:f>AVERAGEIF('01_Raw_Orientation'!$Y$5:$Y$106,$A12,'01_Raw_Orientation'!$S$5:$S$106)</x:f>
        <x:v>65.8191</x:v>
      </x:c>
      <x:c r="W12" s="54" t="str">
        <x:f>IF(AND(R12&gt;=S12,R12&gt;=T12),"X",IF(S12&gt;=T12,"Y","Z"))</x:f>
        <x:v>Z</x:v>
      </x:c>
      <x:c r="X12" s="53" t="n">
        <x:f>COUNTIFS('01_Raw_Orientation'!$Y$5:$Y$106,$A12,'01_Raw_Orientation'!$X$5:$X$106,"STABLE")</x:f>
        <x:v>3</x:v>
      </x:c>
      <x:c r="Y12" s="54" t="n">
        <x:f>100*X12/C12</x:f>
        <x:v>30</x:v>
      </x:c>
      <x:c r="Z12" s="53" t="n">
        <x:f>COUNTIFS('01_Raw_Orientation'!$Y$5:$Y$106,$A12,'01_Raw_Orientation'!$AG$5:$AG$106,"X CV only")</x:f>
        <x:v>7</x:v>
      </x:c>
      <x:c r="AA12" s="54" t="n">
        <x:f>AVERAGEIF('01_Raw_Orientation'!$Y$5:$Y$106,$A12,'01_Raw_Orientation'!$T$5:$T$106)</x:f>
        <x:v>11.761000000000001</x:v>
      </x:c>
      <x:c r="AB12" s="54" t="n">
        <x:f>AVERAGEIF('01_Raw_Orientation'!$Y$5:$Y$106,$A12,'01_Raw_Orientation'!$U$5:$U$106)</x:f>
        <x:v>1.2429999999999999</x:v>
      </x:c>
      <x:c r="AC12" s="54" t="n">
        <x:f>AVERAGEIF('01_Raw_Orientation'!$Y$5:$Y$106,$A12,'01_Raw_Orientation'!$V$5:$V$106)</x:f>
        <x:v>1.4020000000000001</x:v>
      </x:c>
      <x:c r="AD12" s="54" t="n">
        <x:f>AVERAGEIF('01_Raw_Orientation'!$Y$5:$Y$106,$A12,'01_Raw_Orientation'!$W$5:$W$106)</x:f>
        <x:v>3</x:v>
      </x:c>
      <x:c r="AE12" s="54" t="n">
        <x:f>MINIFS('01_Raw_Orientation'!$J$5:$J$106,'01_Raw_Orientation'!$Y$5:$Y$106,$A12)</x:f>
        <x:v>2.665399</x:v>
      </x:c>
      <x:c r="AF12" s="54" t="n">
        <x:f>MAXIFS('01_Raw_Orientation'!$J$5:$J$106,'01_Raw_Orientation'!$Y$5:$Y$106,$A12)</x:f>
        <x:v>2.881325</x:v>
      </x:c>
      <x:c r="AG12" s="54" t="n">
        <x:f>IF(AE12=0,0,AF12/AE12)</x:f>
        <x:v>1.0810107604902681</x:v>
      </x:c>
      <x:c r="AH12" s="55" t="str">
        <x:v>Cleanest changed-pose state: very low Y/Z/vector block CV.</x:v>
      </x:c>
    </x:row>
    <x:row r="13">
      <x:c r="A13" t="str">
        <x:v>P7 Changed orientation</x:v>
      </x:c>
      <x:c r="B13" t="str">
        <x:v>81–90</x:v>
      </x:c>
      <x:c r="C13" s="40" t="n">
        <x:f>COUNTIF('01_Raw_Orientation'!$Y$5:$Y$106,$A13)</x:f>
        <x:v>10</x:v>
      </x:c>
      <x:c r="D13" s="38" t="n">
        <x:f>AVERAGEIF('01_Raw_Orientation'!$Y$5:$Y$106,$A13,'01_Raw_Orientation'!$H$5:$H$106)</x:f>
        <x:v>0.334192</x:v>
      </x:c>
      <x:c r="E13" s="38" t="n">
        <x:f>IF(C13&gt;1,SQRT((SUMIF('01_Raw_Orientation'!$Y$5:$Y$106,$A13,'01_Raw_Orientation'!$AA$5:$AA$106)-C13*D13^2)/(C13-1)),0)</x:f>
        <x:v>0.10854187348668719</x:v>
      </x:c>
      <x:c r="F13" s="38" t="n">
        <x:f>IF(D13=0,0,100*E13/D13)</x:f>
        <x:v>32.47889640885694</x:v>
      </x:c>
      <x:c r="G13" s="38" t="n">
        <x:f>AVERAGEIF('01_Raw_Orientation'!$Y$5:$Y$106,$A13,'01_Raw_Orientation'!$I$5:$I$106)</x:f>
        <x:v>0.8723827</x:v>
      </x:c>
      <x:c r="H13" s="38" t="n">
        <x:f>IF(C13&gt;1,SQRT((SUMIF('01_Raw_Orientation'!$Y$5:$Y$106,$A13,'01_Raw_Orientation'!$AB$5:$AB$106)-C13*G13^2)/(C13-1)),0)</x:f>
        <x:v>0.1049955806086356</x:v>
      </x:c>
      <x:c r="I13" s="38" t="n">
        <x:f>IF(G13=0,0,100*H13/G13)</x:f>
        <x:v>12.035495500843334</x:v>
      </x:c>
      <x:c r="J13" s="38" t="n">
        <x:f>AVERAGEIF('01_Raw_Orientation'!$Y$5:$Y$106,$A13,'01_Raw_Orientation'!$J$5:$J$106)</x:f>
        <x:v>2.0860148</x:v>
      </x:c>
      <x:c r="K13" s="38" t="n">
        <x:f>IF(C13&gt;1,SQRT((SUMIF('01_Raw_Orientation'!$Y$5:$Y$106,$A13,'01_Raw_Orientation'!$AC$5:$AC$106)-C13*J13^2)/(C13-1)),0)</x:f>
        <x:v>0.27560985738733423</x:v>
      </x:c>
      <x:c r="L13" s="38" t="n">
        <x:f>IF(J13=0,0,100*K13/J13)</x:f>
        <x:v>13.212267592125148</x:v>
      </x:c>
      <x:c r="M13" s="38" t="n">
        <x:f>AVERAGEIF('01_Raw_Orientation'!$Y$5:$Y$106,$A13,'01_Raw_Orientation'!$K$5:$K$106)</x:f>
        <x:v>2.2895669</x:v>
      </x:c>
      <x:c r="N13" s="38" t="n">
        <x:f>IF(C13&gt;1,SQRT((SUMIF('01_Raw_Orientation'!$Y$5:$Y$106,$A13,'01_Raw_Orientation'!$AD$5:$AD$106)-C13*M13^2)/(C13-1)),0)</x:f>
        <x:v>0.2808055478533329</x:v>
      </x:c>
      <x:c r="O13" s="38" t="n">
        <x:f>IF(M13=0,0,100*N13/M13)</x:f>
        <x:v>12.264570554952245</x:v>
      </x:c>
      <x:c r="P13" s="38" t="n">
        <x:f>100*(J13-AVERAGEIF('01_Raw_Orientation'!$Y$5:$Y$106,$A13,'01_Raw_Orientation'!$G$5:$G$106))/AVERAGEIF('01_Raw_Orientation'!$Y$5:$Y$106,$A13,'01_Raw_Orientation'!$G$5:$G$106)</x:f>
        <x:v>73.83456666666672</x:v>
      </x:c>
      <x:c r="Q13" s="38" t="n">
        <x:f>100*COUNTIFS('01_Raw_Orientation'!$Y$5:$Y$106,$A13,'01_Raw_Orientation'!$AE$5:$AE$106,"YES")/C13</x:f>
        <x:v>0</x:v>
      </x:c>
      <x:c r="R13" s="38" t="n">
        <x:f>AVERAGEIF('01_Raw_Orientation'!$Y$5:$Y$106,$A13,'01_Raw_Orientation'!$O$5:$O$106)</x:f>
        <x:v>2.6081000000000003</x:v>
      </x:c>
      <x:c r="S13" s="38" t="n">
        <x:f>AVERAGEIF('01_Raw_Orientation'!$Y$5:$Y$106,$A13,'01_Raw_Orientation'!$P$5:$P$106)</x:f>
        <x:v>14.5367</x:v>
      </x:c>
      <x:c r="T13" s="38" t="n">
        <x:f>AVERAGEIF('01_Raw_Orientation'!$Y$5:$Y$106,$A13,'01_Raw_Orientation'!$Q$5:$Q$106)</x:f>
        <x:v>82.8552</x:v>
      </x:c>
      <x:c r="U13" s="38" t="n">
        <x:f>AVERAGEIF('01_Raw_Orientation'!$Y$5:$Y$106,$A13,'01_Raw_Orientation'!$R$5:$R$106)</x:f>
        <x:v>45.160199999999996</x:v>
      </x:c>
      <x:c r="V13" s="38" t="n">
        <x:f>AVERAGEIF('01_Raw_Orientation'!$Y$5:$Y$106,$A13,'01_Raw_Orientation'!$S$5:$S$106)</x:f>
        <x:v>24.032499999999995</x:v>
      </x:c>
      <x:c r="W13" s="38" t="str">
        <x:f>IF(AND(R13&gt;=S13,R13&gt;=T13),"X",IF(S13&gt;=T13,"Y","Z"))</x:f>
        <x:v>Z</x:v>
      </x:c>
      <x:c r="X13" s="40" t="n">
        <x:f>COUNTIFS('01_Raw_Orientation'!$Y$5:$Y$106,$A13,'01_Raw_Orientation'!$X$5:$X$106,"STABLE")</x:f>
        <x:v>6</x:v>
      </x:c>
      <x:c r="Y13" s="38" t="n">
        <x:f>100*X13/C13</x:f>
        <x:v>60</x:v>
      </x:c>
      <x:c r="Z13" s="40" t="n">
        <x:f>COUNTIFS('01_Raw_Orientation'!$Y$5:$Y$106,$A13,'01_Raw_Orientation'!$AG$5:$AG$106,"X CV only")</x:f>
        <x:v>4</x:v>
      </x:c>
      <x:c r="AA13" s="38" t="n">
        <x:f>AVERAGEIF('01_Raw_Orientation'!$Y$5:$Y$106,$A13,'01_Raw_Orientation'!$T$5:$T$106)</x:f>
        <x:v>11.715</x:v>
      </x:c>
      <x:c r="AB13" s="38" t="n">
        <x:f>AVERAGEIF('01_Raw_Orientation'!$Y$5:$Y$106,$A13,'01_Raw_Orientation'!$U$5:$U$106)</x:f>
        <x:v>2.6559999999999997</x:v>
      </x:c>
      <x:c r="AC13" s="38" t="n">
        <x:f>AVERAGEIF('01_Raw_Orientation'!$Y$5:$Y$106,$A13,'01_Raw_Orientation'!$V$5:$V$106)</x:f>
        <x:v>2.741</x:v>
      </x:c>
      <x:c r="AD13" s="38" t="n">
        <x:f>AVERAGEIF('01_Raw_Orientation'!$Y$5:$Y$106,$A13,'01_Raw_Orientation'!$W$5:$W$106)</x:f>
        <x:v>3</x:v>
      </x:c>
      <x:c r="AE13" s="38" t="n">
        <x:f>MINIFS('01_Raw_Orientation'!$J$5:$J$106,'01_Raw_Orientation'!$Y$5:$Y$106,$A13)</x:f>
        <x:v>1.80948</x:v>
      </x:c>
      <x:c r="AF13" s="38" t="n">
        <x:f>MAXIFS('01_Raw_Orientation'!$J$5:$J$106,'01_Raw_Orientation'!$Y$5:$Y$106,$A13)</x:f>
        <x:v>2.560466</x:v>
      </x:c>
      <x:c r="AG13" s="38" t="n">
        <x:f>IF(AE13=0,0,AF13/AE13)</x:f>
        <x:v>1.4150286270088643</x:v>
      </x:c>
      <x:c r="AH13" s="42" t="str">
        <x:v>Z-dominant response; moderate amplitude and variability.</x:v>
      </x:c>
    </x:row>
    <x:row r="14">
      <x:c r="A14" s="60" t="str">
        <x:v>P0R Reference return</x:v>
      </x:c>
      <x:c r="B14" s="60" t="str">
        <x:v>93–102</x:v>
      </x:c>
      <x:c r="C14" s="61" t="n">
        <x:f>COUNTIF('01_Raw_Orientation'!$Y$5:$Y$106,$A14)</x:f>
        <x:v>10</x:v>
      </x:c>
      <x:c r="D14" s="62" t="n">
        <x:f>AVERAGEIF('01_Raw_Orientation'!$Y$5:$Y$106,$A14,'01_Raw_Orientation'!$H$5:$H$106)</x:f>
        <x:v>0.1911949</x:v>
      </x:c>
      <x:c r="E14" s="62" t="n">
        <x:f>IF(C14&gt;1,SQRT((SUMIF('01_Raw_Orientation'!$Y$5:$Y$106,$A14,'01_Raw_Orientation'!$AA$5:$AA$106)-C14*D14^2)/(C14-1)),0)</x:f>
        <x:v>0.006590333686544035</x:v>
      </x:c>
      <x:c r="F14" s="62" t="n">
        <x:f>IF(D14=0,0,100*E14/D14)</x:f>
        <x:v>3.4469191837983306</x:v>
      </x:c>
      <x:c r="G14" s="62" t="n">
        <x:f>AVERAGEIF('01_Raw_Orientation'!$Y$5:$Y$106,$A14,'01_Raw_Orientation'!$I$5:$I$106)</x:f>
        <x:v>1.0607172999999999</x:v>
      </x:c>
      <x:c r="H14" s="62" t="n">
        <x:f>IF(C14&gt;1,SQRT((SUMIF('01_Raw_Orientation'!$Y$5:$Y$106,$A14,'01_Raw_Orientation'!$AB$5:$AB$106)-C14*G14^2)/(C14-1)),0)</x:f>
        <x:v>0.052743462225825266</x:v>
      </x:c>
      <x:c r="I14" s="62" t="n">
        <x:f>IF(G14=0,0,100*H14/G14)</x:f>
        <x:v>4.9724334868324735</x:v>
      </x:c>
      <x:c r="J14" s="62" t="n">
        <x:f>AVERAGEIF('01_Raw_Orientation'!$Y$5:$Y$106,$A14,'01_Raw_Orientation'!$J$5:$J$106)</x:f>
        <x:v>0.915614</x:v>
      </x:c>
      <x:c r="K14" s="62" t="n">
        <x:f>IF(C14&gt;1,SQRT((SUMIF('01_Raw_Orientation'!$Y$5:$Y$106,$A14,'01_Raw_Orientation'!$AC$5:$AC$106)-C14*J14^2)/(C14-1)),0)</x:f>
        <x:v>0.030143279037143127</x:v>
      </x:c>
      <x:c r="L14" s="62" t="n">
        <x:f>IF(J14=0,0,100*K14/J14)</x:f>
        <x:v>3.2921382850353016</x:v>
      </x:c>
      <x:c r="M14" s="62" t="n">
        <x:f>AVERAGEIF('01_Raw_Orientation'!$Y$5:$Y$106,$A14,'01_Raw_Orientation'!$K$5:$K$106)</x:f>
        <x:v>1.4144860000000001</x:v>
      </x:c>
      <x:c r="N14" s="62" t="n">
        <x:f>IF(C14&gt;1,SQRT((SUMIF('01_Raw_Orientation'!$Y$5:$Y$106,$A14,'01_Raw_Orientation'!$AD$5:$AD$106)-C14*M14^2)/(C14-1)),0)</x:f>
        <x:v>0.05391045252184928</x:v>
      </x:c>
      <x:c r="O14" s="62" t="n">
        <x:f>IF(M14=0,0,100*N14/M14)</x:f>
        <x:v>3.8113104351580196</x:v>
      </x:c>
      <x:c r="P14" s="62" t="n">
        <x:f>100*(J14-AVERAGEIF('01_Raw_Orientation'!$Y$5:$Y$106,$A14,'01_Raw_Orientation'!$G$5:$G$106))/AVERAGEIF('01_Raw_Orientation'!$Y$5:$Y$106,$A14,'01_Raw_Orientation'!$G$5:$G$106)</x:f>
        <x:v>-23.69883333333331</x:v>
      </x:c>
      <x:c r="Q14" s="62" t="n">
        <x:f>100*COUNTIFS('01_Raw_Orientation'!$Y$5:$Y$106,$A14,'01_Raw_Orientation'!$AE$5:$AE$106,"YES")/C14</x:f>
        <x:v>0</x:v>
      </x:c>
      <x:c r="R14" s="62" t="n">
        <x:f>AVERAGEIF('01_Raw_Orientation'!$Y$5:$Y$106,$A14,'01_Raw_Orientation'!$O$5:$O$106)</x:f>
        <x:v>1.8417999999999999</x:v>
      </x:c>
      <x:c r="S14" s="62" t="n">
        <x:f>AVERAGEIF('01_Raw_Orientation'!$Y$5:$Y$106,$A14,'01_Raw_Orientation'!$P$5:$P$106)</x:f>
        <x:v>56.209799999999994</x:v>
      </x:c>
      <x:c r="T14" s="62" t="n">
        <x:f>AVERAGEIF('01_Raw_Orientation'!$Y$5:$Y$106,$A14,'01_Raw_Orientation'!$Q$5:$Q$106)</x:f>
        <x:v>41.949</x:v>
      </x:c>
      <x:c r="U14" s="62" t="n">
        <x:f>AVERAGEIF('01_Raw_Orientation'!$Y$5:$Y$106,$A14,'01_Raw_Orientation'!$R$5:$R$106)</x:f>
        <x:v>3.444</x:v>
      </x:c>
      <x:c r="V14" s="62" t="n">
        <x:f>AVERAGEIF('01_Raw_Orientation'!$Y$5:$Y$106,$A14,'01_Raw_Orientation'!$S$5:$S$106)</x:f>
        <x:v>-23.373299999999997</x:v>
      </x:c>
      <x:c r="W14" s="62" t="str">
        <x:f>IF(AND(R14&gt;=S14,R14&gt;=T14),"X",IF(S14&gt;=T14,"Y","Z"))</x:f>
        <x:v>Y</x:v>
      </x:c>
      <x:c r="X14" s="61" t="n">
        <x:f>COUNTIFS('01_Raw_Orientation'!$Y$5:$Y$106,$A14,'01_Raw_Orientation'!$X$5:$X$106,"STABLE")</x:f>
        <x:v>8</x:v>
      </x:c>
      <x:c r="Y14" s="62" t="n">
        <x:f>100*X14/C14</x:f>
        <x:v>80</x:v>
      </x:c>
      <x:c r="Z14" s="61" t="n">
        <x:f>COUNTIFS('01_Raw_Orientation'!$Y$5:$Y$106,$A14,'01_Raw_Orientation'!$AG$5:$AG$106,"X CV only")</x:f>
        <x:v>2</x:v>
      </x:c>
      <x:c r="AA14" s="62" t="n">
        <x:f>AVERAGEIF('01_Raw_Orientation'!$Y$5:$Y$106,$A14,'01_Raw_Orientation'!$T$5:$T$106)</x:f>
        <x:v>7.104999999999999</x:v>
      </x:c>
      <x:c r="AB14" s="62" t="n">
        <x:f>AVERAGEIF('01_Raw_Orientation'!$Y$5:$Y$106,$A14,'01_Raw_Orientation'!$U$5:$U$106)</x:f>
        <x:v>1.7959999999999998</x:v>
      </x:c>
      <x:c r="AC14" s="62" t="n">
        <x:f>AVERAGEIF('01_Raw_Orientation'!$Y$5:$Y$106,$A14,'01_Raw_Orientation'!$V$5:$V$106)</x:f>
        <x:v>2.5249999999999995</x:v>
      </x:c>
      <x:c r="AD14" s="62" t="n">
        <x:f>AVERAGEIF('01_Raw_Orientation'!$Y$5:$Y$106,$A14,'01_Raw_Orientation'!$W$5:$W$106)</x:f>
        <x:v>3</x:v>
      </x:c>
      <x:c r="AE14" s="62" t="n">
        <x:f>MINIFS('01_Raw_Orientation'!$J$5:$J$106,'01_Raw_Orientation'!$Y$5:$Y$106,$A14)</x:f>
        <x:v>0.866105</x:v>
      </x:c>
      <x:c r="AF14" s="62" t="n">
        <x:f>MAXIFS('01_Raw_Orientation'!$J$5:$J$106,'01_Raw_Orientation'!$Y$5:$Y$106,$A14)</x:f>
        <x:v>0.96103</x:v>
      </x:c>
      <x:c r="AG14" s="62" t="n">
        <x:f>IF(AE14=0,0,AF14/AE14)</x:f>
        <x:v>1.1095998753038028</x:v>
      </x:c>
      <x:c r="AH14" s="63" t="str">
        <x:v>Directional shares return near reference, but absolute gain remains lower.</x:v>
      </x:c>
    </x:row>
    <x:row r="17">
      <x:c r="A17" s="33" t="str">
        <x:v>Interpretation of the pose-level statistics</x:v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  <x:c r="AA17" s="33"/>
      <x:c r="AB17" s="33"/>
      <x:c r="AC17" s="33"/>
      <x:c r="AD17" s="33"/>
      <x:c r="AE17" s="33"/>
      <x:c r="AF17" s="33"/>
      <x:c r="AG17" s="33"/>
      <x:c r="AH17" s="33"/>
    </x:row>
    <x:row r="18" ht="34" customHeight="1">
      <x:c r="A18" s="13" t="str">
        <x:v>1. P0 is Y-dominant and the selected Z axis is close to the 1.2 m/s² target. All seven changed-orientation states become Z-dominant under the identical 268 Hz / DAC 14.75 command.</x:v>
      </x:c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  <x:c r="AH18" s="13"/>
    </x:row>
    <x:row r="19" ht="34" customHeight="1">
      <x:c r="A19" s="13" t="str">
        <x:v>2. The RSS vector changes strongly as well as the component distribution. RSS would remain approximately invariant under a pure coordinate rotation of an unchanged physical vector, so the data indicate a change in mechanical transfer gain / boundary condition.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  <x:c r="AH19" s="13"/>
    </x:row>
    <x:row r="20" ht="34" customHeight="1">
      <x:c r="A20" s="13" t="str">
        <x:v>3. P6 is the cleanest changed-pose example: Y, Z and vector block CVs are very low while the mean Z response remains far above P0. This is strong evidence of a repeatable physical orientation effect.</x:v>
      </x:c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</x:row>
    <x:row r="21" ht="34" customHeight="1">
      <x:c r="A21" s="13" t="str">
        <x:v>4. P5 is nonstationary within its 10-record block and should be described as a settling / slowly changing mechanical state rather than used as the cleanest stationary orientation result.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  <x:c r="AH21" s="13"/>
    </x:row>
    <x:row r="22" ht="34" customHeight="1">
      <x:c r="A22" s="13" t="str">
        <x:v>5. P0R approximately recovers the initial Y/Z directional share, but not the absolute amplitude. This separates directional recovery from overall mechanical-gain recovery.</x:v>
      </x:c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</x:row>
  </x:sheetData>
  <x:mergeCells>
    <x:mergeCell ref="A1:AH1"/>
    <x:mergeCell ref="A2:AH2"/>
    <x:mergeCell ref="A4:AH4"/>
    <x:mergeCell ref="A17:AH17"/>
    <x:mergeCell ref="A18:AH18"/>
    <x:mergeCell ref="A19:AH19"/>
    <x:mergeCell ref="A20:AH20"/>
    <x:mergeCell ref="A21:AH21"/>
    <x:mergeCell ref="A22:AH22"/>
  </x:mergeCells>
  <x:pageMargins left="0.7" right="0.7" top="0.75" bottom="0.75" header="0.3" footer="0.3"/>
  <x:tableParts count="1">
    <x:tablePart xmlns:r="http://schemas.openxmlformats.org/officeDocument/2006/relationships" r:id="Ra26429f30fce4d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Measurement Quality and Repeatability Audit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3" t="str">
        <x:v>Distinguishes within-record 3-window stability from between-record pose repeatability.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33" t="str">
        <x:v>Dataset integrity and quality-flag interpretation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</x:row>
    <x:row r="5">
      <x:c r="A5" s="22" t="str">
        <x:v>Metric</x:v>
      </x:c>
      <x:c r="B5" s="22" t="str">
        <x:v>Result</x:v>
      </x:c>
      <x:c r="C5" s="22" t="str">
        <x:v>Interpretation</x:v>
      </x:c>
    </x:row>
    <x:row r="6">
      <x:c r="A6" s="42" t="str">
        <x:v>Total orientation records</x:v>
      </x:c>
      <x:c r="B6" s="42" t="n">
        <x:v>102</x:v>
      </x:c>
      <x:c r="C6" s="42" t="str">
        <x:v>All logged records retained.</x:v>
      </x:c>
    </x:row>
    <x:row r="7">
      <x:c r="A7" s="42" t="str">
        <x:v>Records assigned to pose statistics</x:v>
      </x:c>
      <x:c r="B7" s="42" t="n">
        <x:v>100</x:v>
      </x:c>
      <x:c r="C7" s="42" t="str">
        <x:v>Records 91–92 excluded only from block means.</x:v>
      </x:c>
    </x:row>
    <x:row r="8">
      <x:c r="A8" s="42" t="str">
        <x:v>Repositioning records</x:v>
      </x:c>
      <x:c r="B8" s="42" t="n">
        <x:v>2</x:v>
      </x:c>
      <x:c r="C8" s="42" t="str">
        <x:v>Retained and explicitly documented.</x:v>
      </x:c>
    </x:row>
    <x:row r="9">
      <x:c r="A9" s="42" t="str">
        <x:v>Records with all 3 valid windows</x:v>
      </x:c>
      <x:c r="B9" s="42" t="n">
        <x:v>102</x:v>
      </x:c>
      <x:c r="C9" s="42" t="str">
        <x:v>No record loss from insufficient valid windows.</x:v>
      </x:c>
    </x:row>
    <x:row r="10">
      <x:c r="A10" s="42" t="str">
        <x:v>Assigned-pose STABLE records</x:v>
      </x:c>
      <x:c r="B10" s="42" t="n">
        <x:v>56</x:v>
      </x:c>
      <x:c r="C10" s="42" t="str">
        <x:v>56% of assigned records.</x:v>
      </x:c>
    </x:row>
    <x:row r="11">
      <x:c r="A11" s="42" t="str">
        <x:v>Assigned-pose TRANSIENT records</x:v>
      </x:c>
      <x:c r="B11" s="42" t="n">
        <x:v>44</x:v>
      </x:c>
      <x:c r="C11" s="42" t="str">
        <x:v>44% of assigned records.</x:v>
      </x:c>
    </x:row>
    <x:row r="12">
      <x:c r="A12" s="42" t="str">
        <x:v>TRANSIENT records caused by X CV only</x:v>
      </x:c>
      <x:c r="B12" s="42" t="n">
        <x:v>43</x:v>
      </x:c>
      <x:c r="C12" s="42" t="str">
        <x:v>97.7% of assigned transients.</x:v>
      </x:c>
    </x:row>
    <x:row r="13">
      <x:c r="A13" s="42" t="str">
        <x:v>Assigned records passing Y 10% CV criterion</x:v>
      </x:c>
      <x:c r="B13" s="42" t="n">
        <x:v>100</x:v>
      </x:c>
      <x:c r="C13" s="42" t="str">
        <x:v>100%.</x:v>
      </x:c>
    </x:row>
    <x:row r="14">
      <x:c r="A14" s="42" t="str">
        <x:v>Assigned records passing Z 10% CV criterion</x:v>
      </x:c>
      <x:c r="B14" s="42" t="n">
        <x:v>99</x:v>
      </x:c>
      <x:c r="C14" s="42" t="str">
        <x:v>99%.</x:v>
      </x:c>
    </x:row>
    <x:row r="17">
      <x:c r="A17" s="33" t="str">
        <x:v>Per-pose mean logged window CV versus block CV</x:v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</x:row>
    <x:row r="18">
      <x:c r="A18" s="22" t="str">
        <x:v>Pose</x:v>
      </x:c>
      <x:c r="B18" s="22" t="str">
        <x:v>N</x:v>
      </x:c>
      <x:c r="C18" s="22" t="str">
        <x:v>Mean X window CV %</x:v>
      </x:c>
      <x:c r="D18" s="22" t="str">
        <x:v>Mean Y window CV %</x:v>
      </x:c>
      <x:c r="E18" s="22" t="str">
        <x:v>Mean Z window CV %</x:v>
      </x:c>
      <x:c r="F18" s="22" t="str">
        <x:v>Block X CV %</x:v>
      </x:c>
      <x:c r="G18" s="22" t="str">
        <x:v>Block Y CV %</x:v>
      </x:c>
      <x:c r="H18" s="22" t="str">
        <x:v>Block Z CV %</x:v>
      </x:c>
      <x:c r="I18" s="22" t="str">
        <x:v>Vector block CV %</x:v>
      </x:c>
      <x:c r="J18" s="22" t="str">
        <x:v>Stable %</x:v>
      </x:c>
    </x:row>
    <x:row r="19">
      <x:c r="A19" t="str">
        <x:v>P0 Reference A</x:v>
      </x:c>
      <x:c r="B19" s="40" t="n">
        <x:v>20</x:v>
      </x:c>
      <x:c r="C19" s="38" t="n">
        <x:v>14.3255</x:v>
      </x:c>
      <x:c r="D19" s="38" t="n">
        <x:v>1.293</x:v>
      </x:c>
      <x:c r="E19" s="38" t="n">
        <x:v>1.6745</x:v>
      </x:c>
      <x:c r="F19" s="38" t="n">
        <x:v>24.123694802624676</x:v>
      </x:c>
      <x:c r="G19" s="38" t="n">
        <x:v>1.3451058663401814</x:v>
      </x:c>
      <x:c r="H19" s="38" t="n">
        <x:v>3.805925099538944</x:v>
      </x:c>
      <x:c r="I19" s="38" t="n">
        <x:v>1.146332472037291</x:v>
      </x:c>
      <x:c r="J19" s="38" t="n">
        <x:v>70</x:v>
      </x:c>
    </x:row>
    <x:row r="20">
      <x:c r="A20" t="str">
        <x:v>P1 Changed orientation</x:v>
      </x:c>
      <x:c r="B20" s="40" t="n">
        <x:v>10</x:v>
      </x:c>
      <x:c r="C20" s="38" t="n">
        <x:v>14.572</x:v>
      </x:c>
      <x:c r="D20" s="38" t="n">
        <x:v>1.61</x:v>
      </x:c>
      <x:c r="E20" s="38" t="n">
        <x:v>1.759</x:v>
      </x:c>
      <x:c r="F20" s="38" t="n">
        <x:v>37.13639902468935</x:v>
      </x:c>
      <x:c r="G20" s="38" t="n">
        <x:v>7.667054133120056</x:v>
      </x:c>
      <x:c r="H20" s="38" t="n">
        <x:v>8.2186966583271</x:v>
      </x:c>
      <x:c r="I20" s="38" t="n">
        <x:v>7.931939321415329</x:v>
      </x:c>
      <x:c r="J20" s="38" t="n">
        <x:v>60</x:v>
      </x:c>
    </x:row>
    <x:row r="21">
      <x:c r="A21" t="str">
        <x:v>P2 Changed orientation</x:v>
      </x:c>
      <x:c r="B21" s="40" t="n">
        <x:v>10</x:v>
      </x:c>
      <x:c r="C21" s="38" t="n">
        <x:v>14.995000000000001</x:v>
      </x:c>
      <x:c r="D21" s="38" t="n">
        <x:v>2.132</x:v>
      </x:c>
      <x:c r="E21" s="38" t="n">
        <x:v>3.229</x:v>
      </x:c>
      <x:c r="F21" s="38" t="n">
        <x:v>36.62382328154646</x:v>
      </x:c>
      <x:c r="G21" s="38" t="n">
        <x:v>4.337620470049461</x:v>
      </x:c>
      <x:c r="H21" s="38" t="n">
        <x:v>7.334270549512265</x:v>
      </x:c>
      <x:c r="I21" s="38" t="n">
        <x:v>6.791110484600234</x:v>
      </x:c>
      <x:c r="J21" s="38" t="n">
        <x:v>60</x:v>
      </x:c>
    </x:row>
    <x:row r="22">
      <x:c r="A22" t="str">
        <x:v>P3 Changed orientation</x:v>
      </x:c>
      <x:c r="B22" s="40" t="n">
        <x:v>10</x:v>
      </x:c>
      <x:c r="C22" s="38" t="n">
        <x:v>9.382</x:v>
      </x:c>
      <x:c r="D22" s="38" t="n">
        <x:v>2.129</x:v>
      </x:c>
      <x:c r="E22" s="38" t="n">
        <x:v>1.251</x:v>
      </x:c>
      <x:c r="F22" s="38" t="n">
        <x:v>13.07482638243801</x:v>
      </x:c>
      <x:c r="G22" s="38" t="n">
        <x:v>9.751161795518776</x:v>
      </x:c>
      <x:c r="H22" s="38" t="n">
        <x:v>12.950333335162973</x:v>
      </x:c>
      <x:c r="I22" s="38" t="n">
        <x:v>12.313370212339594</x:v>
      </x:c>
      <x:c r="J22" s="38" t="n">
        <x:v>70</x:v>
      </x:c>
    </x:row>
    <x:row r="23">
      <x:c r="A23" t="str">
        <x:v>P4 Changed orientation</x:v>
      </x:c>
      <x:c r="B23" s="40" t="n">
        <x:v>10</x:v>
      </x:c>
      <x:c r="C23" s="38" t="n">
        <x:v>25.115000000000002</x:v>
      </x:c>
      <x:c r="D23" s="38" t="n">
        <x:v>1.483</x:v>
      </x:c>
      <x:c r="E23" s="38" t="n">
        <x:v>1.8719999999999999</x:v>
      </x:c>
      <x:c r="F23" s="38" t="n">
        <x:v>16.259903883190578</x:v>
      </x:c>
      <x:c r="G23" s="38" t="n">
        <x:v>6.398629430594015</x:v>
      </x:c>
      <x:c r="H23" s="38" t="n">
        <x:v>8.712327882374645</x:v>
      </x:c>
      <x:c r="I23" s="38" t="n">
        <x:v>8.019472928366712</x:v>
      </x:c>
      <x:c r="J23" s="38" t="n">
        <x:v>20</x:v>
      </x:c>
    </x:row>
    <x:row r="24">
      <x:c r="A24" t="str">
        <x:v>P5 Changed orientation</x:v>
      </x:c>
      <x:c r="B24" s="40" t="n">
        <x:v>10</x:v>
      </x:c>
      <x:c r="C24" s="38" t="n">
        <x:v>13.26</x:v>
      </x:c>
      <x:c r="D24" s="38" t="n">
        <x:v>1.911</x:v>
      </x:c>
      <x:c r="E24" s="38" t="n">
        <x:v>1.49</x:v>
      </x:c>
      <x:c r="F24" s="38" t="n">
        <x:v>19.268155314855424</x:v>
      </x:c>
      <x:c r="G24" s="38" t="n">
        <x:v>14.738725976891065</x:v>
      </x:c>
      <x:c r="H24" s="38" t="n">
        <x:v>19.321270214896504</x:v>
      </x:c>
      <x:c r="I24" s="38" t="n">
        <x:v>18.33943472614275</x:v>
      </x:c>
      <x:c r="J24" s="38" t="n">
        <x:v>40</x:v>
      </x:c>
    </x:row>
    <x:row r="25">
      <x:c r="A25" t="str">
        <x:v>P6 Changed orientation</x:v>
      </x:c>
      <x:c r="B25" s="40" t="n">
        <x:v>10</x:v>
      </x:c>
      <x:c r="C25" s="38" t="n">
        <x:v>11.761</x:v>
      </x:c>
      <x:c r="D25" s="38" t="n">
        <x:v>1.2429999999999999</x:v>
      </x:c>
      <x:c r="E25" s="38" t="n">
        <x:v>1.402</x:v>
      </x:c>
      <x:c r="F25" s="38" t="n">
        <x:v>11.022356323912806</x:v>
      </x:c>
      <x:c r="G25" s="38" t="n">
        <x:v>2.0612661291637777</x:v>
      </x:c>
      <x:c r="H25" s="38" t="n">
        <x:v>2.1031601778882383</x:v>
      </x:c>
      <x:c r="I25" s="38" t="n">
        <x:v>2.0315182348217684</x:v>
      </x:c>
      <x:c r="J25" s="38" t="n">
        <x:v>30</x:v>
      </x:c>
    </x:row>
    <x:row r="26">
      <x:c r="A26" t="str">
        <x:v>P7 Changed orientation</x:v>
      </x:c>
      <x:c r="B26" s="40" t="n">
        <x:v>10</x:v>
      </x:c>
      <x:c r="C26" s="38" t="n">
        <x:v>11.715</x:v>
      </x:c>
      <x:c r="D26" s="38" t="n">
        <x:v>2.6559999999999997</x:v>
      </x:c>
      <x:c r="E26" s="38" t="n">
        <x:v>2.741</x:v>
      </x:c>
      <x:c r="F26" s="38" t="n">
        <x:v>32.47889640885693</x:v>
      </x:c>
      <x:c r="G26" s="38" t="n">
        <x:v>12.035495500843306</x:v>
      </x:c>
      <x:c r="H26" s="38" t="n">
        <x:v>13.212267592125142</x:v>
      </x:c>
      <x:c r="I26" s="38" t="n">
        <x:v>12.264570554952295</x:v>
      </x:c>
      <x:c r="J26" s="38" t="n">
        <x:v>60</x:v>
      </x:c>
    </x:row>
    <x:row r="27">
      <x:c r="A27" t="str">
        <x:v>P0R Reference return</x:v>
      </x:c>
      <x:c r="B27" s="40" t="n">
        <x:v>10</x:v>
      </x:c>
      <x:c r="C27" s="38" t="n">
        <x:v>7.1049999999999995</x:v>
      </x:c>
      <x:c r="D27" s="38" t="n">
        <x:v>1.796</x:v>
      </x:c>
      <x:c r="E27" s="38" t="n">
        <x:v>2.525</x:v>
      </x:c>
      <x:c r="F27" s="38" t="n">
        <x:v>3.4469191837984456</x:v>
      </x:c>
      <x:c r="G27" s="38" t="n">
        <x:v>4.9724334868321245</x:v>
      </x:c>
      <x:c r="H27" s="38" t="n">
        <x:v>3.2921382850353718</x:v>
      </x:c>
      <x:c r="I27" s="38" t="n">
        <x:v>3.8113104351583815</x:v>
      </x:c>
      <x:c r="J27" s="38" t="n">
        <x:v>80</x:v>
      </x:c>
    </x:row>
    <x:row r="30">
      <x:c r="A30" s="33" t="str">
        <x:v>Quality interpretation</x:v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</x:row>
    <x:row r="31" ht="34" customHeight="1">
      <x:c r="A31" s="13" t="str">
        <x:v>All 102 records retained all three measurement windows; the binary STABLE/TRANSIENT label is therefore not a record-validity rate.</x:v>
      </x:c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</x:row>
    <x:row r="32" ht="34" customHeight="1">
      <x:c r="A32" s="13" t="str">
        <x:v>43 of 44 assigned-pose transients are caused by X-axis CV alone. X is often much smaller than Y and Z, so percentage CV is more sensitive on that axis.</x:v>
      </x:c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</x:row>
    <x:row r="33" ht="34" customHeight="1">
      <x:c r="A33" s="13" t="str">
        <x:v>Y passes the 10% intra-record CV criterion in all 100 assigned pose records and Z in 99 of 100. The dominant Y/Z response is therefore much cleaner than the raw binary quality percentage suggests.</x:v>
      </x:c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 ht="34" customHeight="1">
      <x:c r="A34" s="13" t="str">
        <x:v>When within-record CV is low but 10-record block CV is high, the likely issue is a slowly changing physical state rather than estimator noise; P5 is the clearest example.</x:v>
      </x:c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</x:sheetData>
  <x:mergeCells>
    <x:mergeCell ref="A1:N1"/>
    <x:mergeCell ref="A2:N2"/>
    <x:mergeCell ref="A4:N4"/>
    <x:mergeCell ref="A17:N17"/>
    <x:mergeCell ref="A30:N30"/>
    <x:mergeCell ref="A31:N31"/>
    <x:mergeCell ref="A32:N32"/>
    <x:mergeCell ref="A33:N33"/>
    <x:mergeCell ref="A34:N34"/>
  </x:mergeCells>
  <x:pageMargins left="0.7" right="0.7" top="0.75" bottom="0.75" header="0.3" footer="0.3"/>
  <x:drawing xmlns:r="http://schemas.openxmlformats.org/officeDocument/2006/relationships" r:id="R2fef0718ac764d28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13" hidden="0" customWidth="1"/>
    <x:col min="8" max="8" width="3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4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24" hidden="0" customWidth="1"/>
  </x:cols>
  <x:sheetData>
    <x:row r="1" ht="28" customHeight="1">
      <x:c r="A1" s="5" t="str">
        <x:v>Orientation Effect Relative to Initial Reference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2" customHeight="1">
      <x:c r="A2" s="13" t="str">
        <x:v>Descriptive changes versus P0. Exact angles were not recorded, so this is not an angle-response calibration.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>
      <x:c r="A4" s="33" t="str">
        <x:v>Relative change from P0 Reference A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>
      <x:c r="A5" s="22" t="str">
        <x:v>Pose</x:v>
      </x:c>
      <x:c r="B5" s="22" t="str">
        <x:v>N</x:v>
      </x:c>
      <x:c r="C5" s="22" t="str">
        <x:v>ΔX %</x:v>
      </x:c>
      <x:c r="D5" s="22" t="str">
        <x:v>ΔY %</x:v>
      </x:c>
      <x:c r="E5" s="22" t="str">
        <x:v>ΔZ %</x:v>
      </x:c>
      <x:c r="F5" s="22" t="str">
        <x:v>ΔVector %</x:v>
      </x:c>
      <x:c r="G5" s="22" t="str">
        <x:v>ΔX share pp</x:v>
      </x:c>
      <x:c r="H5" s="22" t="str">
        <x:v>ΔY share pp</x:v>
      </x:c>
      <x:c r="I5" s="22" t="str">
        <x:v>ΔZ share pp</x:v>
      </x:c>
      <x:c r="J5" s="22" t="str">
        <x:v>Mean Z / P0 Z</x:v>
      </x:c>
      <x:c r="K5" s="22" t="str">
        <x:v>Mean Vector / P0 Vector</x:v>
      </x:c>
      <x:c r="L5" s="22" t="str">
        <x:v>Z target error %</x:v>
      </x:c>
      <x:c r="M5" s="22" t="str">
        <x:v>Dominant axis</x:v>
      </x:c>
      <x:c r="N5" s="22" t="str">
        <x:v>Comment</x:v>
      </x:c>
    </x:row>
    <x:row r="6">
      <x:c r="A6" t="str">
        <x:v>P0 Reference A</x:v>
      </x:c>
      <x:c r="B6" s="38" t="n">
        <x:f>'02_Pose_Statistics'!C6</x:f>
        <x:v>20</x:v>
      </x:c>
      <x:c r="C6" s="38" t="n">
        <x:f>100*('02_Pose_Statistics'!D6/'02_Pose_Statistics'!D$6-1)</x:f>
        <x:v>0</x:v>
      </x:c>
      <x:c r="D6" s="38" t="n">
        <x:f>100*('02_Pose_Statistics'!G6/'02_Pose_Statistics'!G$6-1)</x:f>
        <x:v>0</x:v>
      </x:c>
      <x:c r="E6" s="38" t="n">
        <x:f>100*('02_Pose_Statistics'!J6/'02_Pose_Statistics'!J$6-1)</x:f>
        <x:v>0</x:v>
      </x:c>
      <x:c r="F6" s="38" t="n">
        <x:f>100*('02_Pose_Statistics'!M6/'02_Pose_Statistics'!M$6-1)</x:f>
        <x:v>0</x:v>
      </x:c>
      <x:c r="G6" s="38" t="n">
        <x:f>'02_Pose_Statistics'!R6-'02_Pose_Statistics'!R$6</x:f>
        <x:v>0</x:v>
      </x:c>
      <x:c r="H6" s="38" t="n">
        <x:f>'02_Pose_Statistics'!S6-'02_Pose_Statistics'!S$6</x:f>
        <x:v>0</x:v>
      </x:c>
      <x:c r="I6" s="38" t="n">
        <x:f>'02_Pose_Statistics'!T6-'02_Pose_Statistics'!T$6</x:f>
        <x:v>0</x:v>
      </x:c>
      <x:c r="J6" s="38" t="n">
        <x:f>'02_Pose_Statistics'!J6/'02_Pose_Statistics'!J$6</x:f>
        <x:v>1</x:v>
      </x:c>
      <x:c r="K6" s="38" t="n">
        <x:f>'02_Pose_Statistics'!M6/'02_Pose_Statistics'!M$6</x:f>
        <x:v>1</x:v>
      </x:c>
      <x:c r="L6" s="38" t="n">
        <x:f>'02_Pose_Statistics'!P6</x:f>
        <x:v>1.3397041666666778</x:v>
      </x:c>
      <x:c r="M6" t="str">
        <x:f>'02_Pose_Statistics'!W6</x:f>
        <x:v>Y</x:v>
      </x:c>
      <x:c r="N6" s="42" t="str">
        <x:v>Baseline.</x:v>
      </x:c>
    </x:row>
    <x:row r="7">
      <x:c r="A7" t="str">
        <x:v>P1 Changed orientation</x:v>
      </x:c>
      <x:c r="B7" s="38" t="n">
        <x:f>'02_Pose_Statistics'!C7</x:f>
        <x:v>10</x:v>
      </x:c>
      <x:c r="C7" s="38" t="n">
        <x:f>100*('02_Pose_Statistics'!D7/'02_Pose_Statistics'!D$6-1)</x:f>
        <x:v>74.12626203523425</x:v>
      </x:c>
      <x:c r="D7" s="38" t="n">
        <x:f>100*('02_Pose_Statistics'!G7/'02_Pose_Statistics'!G$6-1)</x:f>
        <x:v>1.918731389877948</x:v>
      </x:c>
      <x:c r="E7" s="38" t="n">
        <x:f>100*('02_Pose_Statistics'!J7/'02_Pose_Statistics'!J$6-1)</x:f>
        <x:v>206.2358702859512</x:v>
      </x:c>
      <x:c r="F7" s="38" t="n">
        <x:f>100*('02_Pose_Statistics'!M7/'02_Pose_Statistics'!M$6-1)</x:f>
        <x:v>112.63263816811158</x:v>
      </x:c>
      <x:c r="G7" s="38" t="n">
        <x:f>'02_Pose_Statistics'!R7-'02_Pose_Statistics'!R$6</x:f>
        <x:v>-0.06549999999999995</x:v>
      </x:c>
      <x:c r="H7" s="38" t="n">
        <x:f>'02_Pose_Statistics'!S7-'02_Pose_Statistics'!S$6</x:f>
        <x:v>-44.63495000000002</x:v>
      </x:c>
      <x:c r="I7" s="38" t="n">
        <x:f>'02_Pose_Statistics'!T7-'02_Pose_Statistics'!T$6</x:f>
        <x:v>44.70055</x:v>
      </x:c>
      <x:c r="J7" s="38" t="n">
        <x:f>'02_Pose_Statistics'!J7/'02_Pose_Statistics'!J$6</x:f>
        <x:v>3.062358702859512</x:v>
      </x:c>
      <x:c r="K7" s="38" t="n">
        <x:f>'02_Pose_Statistics'!M7/'02_Pose_Statistics'!M$6</x:f>
        <x:v>2.1263263816811158</x:v>
      </x:c>
      <x:c r="L7" s="38" t="n">
        <x:f>'02_Pose_Statistics'!P7</x:f>
        <x:v>210.33852500000006</x:v>
      </x:c>
      <x:c r="M7" t="str">
        <x:f>'02_Pose_Statistics'!W7</x:f>
        <x:v>Z</x:v>
      </x:c>
      <x:c r="N7" s="42" t="str">
        <x:v>Maximum mean Z and RSS.</x:v>
      </x:c>
    </x:row>
    <x:row r="8">
      <x:c r="A8" t="str">
        <x:v>P2 Changed orientation</x:v>
      </x:c>
      <x:c r="B8" s="38" t="n">
        <x:f>'02_Pose_Statistics'!C8</x:f>
        <x:v>10</x:v>
      </x:c>
      <x:c r="C8" s="38" t="n">
        <x:f>100*('02_Pose_Statistics'!D8/'02_Pose_Statistics'!D$6-1)</x:f>
        <x:v>57.16917100283714</x:v>
      </x:c>
      <x:c r="D8" s="38" t="n">
        <x:f>100*('02_Pose_Statistics'!G8/'02_Pose_Statistics'!G$6-1)</x:f>
        <x:v>-22.09953346304082</x:v>
      </x:c>
      <x:c r="E8" s="38" t="n">
        <x:f>100*('02_Pose_Statistics'!J8/'02_Pose_Statistics'!J$6-1)</x:f>
        <x:v>159.7518272802668</x:v>
      </x:c>
      <x:c r="F8" s="38" t="n">
        <x:f>100*('02_Pose_Statistics'!M8/'02_Pose_Statistics'!M$6-1)</x:f>
        <x:v>78.11770733393698</x:v>
      </x:c>
      <x:c r="G8" s="38" t="n">
        <x:f>'02_Pose_Statistics'!R8-'02_Pose_Statistics'!R$6</x:f>
        <x:v>-0.07079999999999997</x:v>
      </x:c>
      <x:c r="H8" s="38" t="n">
        <x:f>'02_Pose_Statistics'!S8-'02_Pose_Statistics'!S$6</x:f>
        <x:v>-46.791750000000015</x:v>
      </x:c>
      <x:c r="I8" s="38" t="n">
        <x:f>'02_Pose_Statistics'!T8-'02_Pose_Statistics'!T$6</x:f>
        <x:v>46.86265000000001</x:v>
      </x:c>
      <x:c r="J8" s="38" t="n">
        <x:f>'02_Pose_Statistics'!J8/'02_Pose_Statistics'!J$6</x:f>
        <x:v>2.597518272802668</x:v>
      </x:c>
      <x:c r="K8" s="38" t="n">
        <x:f>'02_Pose_Statistics'!M8/'02_Pose_Statistics'!M$6</x:f>
        <x:v>1.7811770733393697</x:v>
      </x:c>
      <x:c r="L8" s="38" t="n">
        <x:f>'02_Pose_Statistics'!P8</x:f>
        <x:v>163.23173333333338</x:v>
      </x:c>
      <x:c r="M8" t="str">
        <x:f>'02_Pose_Statistics'!W8</x:f>
        <x:v>Z</x:v>
      </x:c>
      <x:c r="N8" s="42" t="str">
        <x:v>Strong Z-dominant amplification.</x:v>
      </x:c>
    </x:row>
    <x:row r="9">
      <x:c r="A9" t="str">
        <x:v>P3 Changed orientation</x:v>
      </x:c>
      <x:c r="B9" s="38" t="n">
        <x:f>'02_Pose_Statistics'!C9</x:f>
        <x:v>10</x:v>
      </x:c>
      <x:c r="C9" s="38" t="n">
        <x:f>100*('02_Pose_Statistics'!D9/'02_Pose_Statistics'!D$6-1)</x:f>
        <x:v>75.28193938545095</x:v>
      </x:c>
      <x:c r="D9" s="38" t="n">
        <x:f>100*('02_Pose_Statistics'!G9/'02_Pose_Statistics'!G$6-1)</x:f>
        <x:v>-8.265533485633414</x:v>
      </x:c>
      <x:c r="E9" s="38" t="n">
        <x:f>100*('02_Pose_Statistics'!J9/'02_Pose_Statistics'!J$6-1)</x:f>
        <x:v>130.9407027822963</x:v>
      </x:c>
      <x:c r="F9" s="38" t="n">
        <x:f>100*('02_Pose_Statistics'!M9/'02_Pose_Statistics'!M$6-1)</x:f>
        <x:v>64.9338263098301</x:v>
      </x:c>
      <x:c r="G9" s="38" t="n">
        <x:f>'02_Pose_Statistics'!R9-'02_Pose_Statistics'!R$6</x:f>
        <x:v>0.04190000000000005</x:v>
      </x:c>
      <x:c r="H9" s="38" t="n">
        <x:f>'02_Pose_Statistics'!S9-'02_Pose_Statistics'!S$6</x:f>
        <x:v>-39.94325000000002</x:v>
      </x:c>
      <x:c r="I9" s="38" t="n">
        <x:f>'02_Pose_Statistics'!T9-'02_Pose_Statistics'!T$6</x:f>
        <x:v>39.90154999999999</x:v>
      </x:c>
      <x:c r="J9" s="38" t="n">
        <x:f>'02_Pose_Statistics'!J9/'02_Pose_Statistics'!J$6</x:f>
        <x:v>2.3094070278229633</x:v>
      </x:c>
      <x:c r="K9" s="38" t="n">
        <x:f>'02_Pose_Statistics'!M9/'02_Pose_Statistics'!M$6</x:f>
        <x:v>1.649338263098301</x:v>
      </x:c>
      <x:c r="L9" s="38" t="n">
        <x:f>'02_Pose_Statistics'!P9</x:f>
        <x:v>134.03462500000006</x:v>
      </x:c>
      <x:c r="M9" t="str">
        <x:f>'02_Pose_Statistics'!W9</x:f>
        <x:v>Z</x:v>
      </x:c>
      <x:c r="N9" s="42" t="str">
        <x:v>Strong amplification with higher variability.</x:v>
      </x:c>
    </x:row>
    <x:row r="10">
      <x:c r="A10" t="str">
        <x:v>P4 Changed orientation</x:v>
      </x:c>
      <x:c r="B10" s="38" t="n">
        <x:f>'02_Pose_Statistics'!C10</x:f>
        <x:v>10</x:v>
      </x:c>
      <x:c r="C10" s="38" t="n">
        <x:f>100*('02_Pose_Statistics'!D10/'02_Pose_Statistics'!D$6-1)</x:f>
        <x:v>-37.09492089848339</x:v>
      </x:c>
      <x:c r="D10" s="38" t="n">
        <x:f>100*('02_Pose_Statistics'!G10/'02_Pose_Statistics'!G$6-1)</x:f>
        <x:v>-24.05234898074652</x:v>
      </x:c>
      <x:c r="E10" s="38" t="n">
        <x:f>100*('02_Pose_Statistics'!J10/'02_Pose_Statistics'!J$6-1)</x:f>
        <x:v>55.90485285690714</x:v>
      </x:c>
      <x:c r="F10" s="38" t="n">
        <x:f>100*('02_Pose_Statistics'!M10/'02_Pose_Statistics'!M$6-1)</x:f>
        <x:v>16.12263014600479</x:v>
      </x:c>
      <x:c r="G10" s="38" t="n">
        <x:f>'02_Pose_Statistics'!R10-'02_Pose_Statistics'!R$6</x:f>
        <x:v>-0.24969999999999998</x:v>
      </x:c>
      <x:c r="H10" s="38" t="n">
        <x:f>'02_Pose_Statistics'!S10-'02_Pose_Statistics'!S$6</x:f>
        <x:v>-33.114750000000015</x:v>
      </x:c>
      <x:c r="I10" s="38" t="n">
        <x:f>'02_Pose_Statistics'!T10-'02_Pose_Statistics'!T$6</x:f>
        <x:v>33.36455</x:v>
      </x:c>
      <x:c r="J10" s="38" t="n">
        <x:f>'02_Pose_Statistics'!J10/'02_Pose_Statistics'!J$6</x:f>
        <x:v>1.5590485285690714</x:v>
      </x:c>
      <x:c r="K10" s="38" t="n">
        <x:f>'02_Pose_Statistics'!M10/'02_Pose_Statistics'!M$6</x:f>
        <x:v>1.161226301460048</x:v>
      </x:c>
      <x:c r="L10" s="38" t="n">
        <x:f>'02_Pose_Statistics'!P10</x:f>
        <x:v>57.99351666666668</x:v>
      </x:c>
      <x:c r="M10" t="str">
        <x:f>'02_Pose_Statistics'!W10</x:f>
        <x:v>Z</x:v>
      </x:c>
      <x:c r="N10" s="42" t="str">
        <x:v>Lowest changed-pose magnitude, still above P0.</x:v>
      </x:c>
    </x:row>
    <x:row r="11">
      <x:c r="A11" t="str">
        <x:v>P5 Changed orientation</x:v>
      </x:c>
      <x:c r="B11" s="38" t="n">
        <x:f>'02_Pose_Statistics'!C11</x:f>
        <x:v>10</x:v>
      </x:c>
      <x:c r="C11" s="38" t="n">
        <x:f>100*('02_Pose_Statistics'!D11/'02_Pose_Statistics'!D$6-1)</x:f>
        <x:v>9.336089070638941</x:v>
      </x:c>
      <x:c r="D11" s="38" t="n">
        <x:f>100*('02_Pose_Statistics'!G11/'02_Pose_Statistics'!G$6-1)</x:f>
        <x:v>-3.3968654595994963</x:v>
      </x:c>
      <x:c r="E11" s="38" t="n">
        <x:f>100*('02_Pose_Statistics'!J11/'02_Pose_Statistics'!J$6-1)</x:f>
        <x:v>137.18734130572142</x:v>
      </x:c>
      <x:c r="F11" s="38" t="n">
        <x:f>100*('02_Pose_Statistics'!M11/'02_Pose_Statistics'!M$6-1)</x:f>
        <x:v>70.00726153392482</x:v>
      </x:c>
      <x:c r="G11" s="38" t="n">
        <x:f>'02_Pose_Statistics'!R11-'02_Pose_Statistics'!R$6</x:f>
        <x:v>-0.17099999999999993</x:v>
      </x:c>
      <x:c r="H11" s="38" t="n">
        <x:f>'02_Pose_Statistics'!S11-'02_Pose_Statistics'!S$6</x:f>
        <x:v>-38.89455000000002</x:v>
      </x:c>
      <x:c r="I11" s="38" t="n">
        <x:f>'02_Pose_Statistics'!T11-'02_Pose_Statistics'!T$6</x:f>
        <x:v>39.06565</x:v>
      </x:c>
      <x:c r="J11" s="38" t="n">
        <x:f>'02_Pose_Statistics'!J11/'02_Pose_Statistics'!J$6</x:f>
        <x:v>2.371873413057214</x:v>
      </x:c>
      <x:c r="K11" s="38" t="n">
        <x:f>'02_Pose_Statistics'!M11/'02_Pose_Statistics'!M$6</x:f>
        <x:v>1.7000726153392482</x:v>
      </x:c>
      <x:c r="L11" s="38" t="n">
        <x:f>'02_Pose_Statistics'!P11</x:f>
        <x:v>140.36495000000008</x:v>
      </x:c>
      <x:c r="M11" t="str">
        <x:f>'02_Pose_Statistics'!W11</x:f>
        <x:v>Z</x:v>
      </x:c>
      <x:c r="N11" s="42" t="str">
        <x:v>Nonstationary / settling block.</x:v>
      </x:c>
    </x:row>
    <x:row r="12">
      <x:c r="A12" t="str">
        <x:v>P6 Changed orientation</x:v>
      </x:c>
      <x:c r="B12" s="38" t="n">
        <x:f>'02_Pose_Statistics'!C12</x:f>
        <x:v>10</x:v>
      </x:c>
      <x:c r="C12" s="38" t="n">
        <x:f>100*('02_Pose_Statistics'!D12/'02_Pose_Statistics'!D$6-1)</x:f>
        <x:v>0.2404973595970139</x:v>
      </x:c>
      <x:c r="D12" s="38" t="n">
        <x:f>100*('02_Pose_Statistics'!G12/'02_Pose_Statistics'!G$6-1)</x:f>
        <x:v>-15.557933045886784</x:v>
      </x:c>
      <x:c r="E12" s="38" t="n">
        <x:f>100*('02_Pose_Statistics'!J12/'02_Pose_Statistics'!J$6-1)</x:f>
        <x:v>130.9901733562886</x:v>
      </x:c>
      <x:c r="F12" s="38" t="n">
        <x:f>100*('02_Pose_Statistics'!M12/'02_Pose_Statistics'!M$6-1)</x:f>
        <x:v>62.46015451200322</x:v>
      </x:c>
      <x:c r="G12" s="38" t="n">
        <x:f>'02_Pose_Statistics'!R12-'02_Pose_Statistics'!R$6</x:f>
        <x:v>-0.22479999999999994</x:v>
      </x:c>
      <x:c r="H12" s="38" t="n">
        <x:f>'02_Pose_Statistics'!S12-'02_Pose_Statistics'!S$6</x:f>
        <x:v>-42.320450000000015</x:v>
      </x:c>
      <x:c r="I12" s="38" t="n">
        <x:f>'02_Pose_Statistics'!T12-'02_Pose_Statistics'!T$6</x:f>
        <x:v>42.545449999999995</x:v>
      </x:c>
      <x:c r="J12" s="38" t="n">
        <x:f>'02_Pose_Statistics'!J12/'02_Pose_Statistics'!J$6</x:f>
        <x:v>2.309901733562886</x:v>
      </x:c>
      <x:c r="K12" s="38" t="n">
        <x:f>'02_Pose_Statistics'!M12/'02_Pose_Statistics'!M$6</x:f>
        <x:v>1.6246015451200322</x:v>
      </x:c>
      <x:c r="L12" s="38" t="n">
        <x:f>'02_Pose_Statistics'!P12</x:f>
        <x:v>134.08475833333338</x:v>
      </x:c>
      <x:c r="M12" t="str">
        <x:f>'02_Pose_Statistics'!W12</x:f>
        <x:v>Z</x:v>
      </x:c>
      <x:c r="N12" s="42" t="str">
        <x:v>Best clean changed-pose evidence.</x:v>
      </x:c>
    </x:row>
    <x:row r="13">
      <x:c r="A13" t="str">
        <x:v>P7 Changed orientation</x:v>
      </x:c>
      <x:c r="B13" s="38" t="n">
        <x:f>'02_Pose_Statistics'!C13</x:f>
        <x:v>10</x:v>
      </x:c>
      <x:c r="C13" s="38" t="n">
        <x:f>100*('02_Pose_Statistics'!D13/'02_Pose_Statistics'!D$6-1)</x:f>
        <x:v>207.93982221624304</x:v>
      </x:c>
      <x:c r="D13" s="38" t="n">
        <x:f>100*('02_Pose_Statistics'!G13/'02_Pose_Statistics'!G$6-1)</x:f>
        <x:v>-39.16856902307833</x:v>
      </x:c>
      <x:c r="E13" s="38" t="n">
        <x:f>100*('02_Pose_Statistics'!J13/'02_Pose_Statistics'!J$6-1)</x:f>
        <x:v>71.53648522673063</x:v>
      </x:c>
      <x:c r="F13" s="38" t="n">
        <x:f>100*('02_Pose_Statistics'!M13/'02_Pose_Statistics'!M$6-1)</x:f>
        <x:v>21.520065178921357</x:v>
      </x:c>
      <x:c r="G13" s="38" t="n">
        <x:f>'02_Pose_Statistics'!R13-'02_Pose_Statistics'!R$6</x:f>
        <x:v>2.2559000000000005</x:v>
      </x:c>
      <x:c r="H13" s="38" t="n">
        <x:f>'02_Pose_Statistics'!S13-'02_Pose_Statistics'!S$6</x:f>
        <x:v>-43.440050000000014</x:v>
      </x:c>
      <x:c r="I13" s="38" t="n">
        <x:f>'02_Pose_Statistics'!T13-'02_Pose_Statistics'!T$6</x:f>
        <x:v>41.18425</x:v>
      </x:c>
      <x:c r="J13" s="38" t="n">
        <x:f>'02_Pose_Statistics'!J13/'02_Pose_Statistics'!J$6</x:f>
        <x:v>1.7153648522673064</x:v>
      </x:c>
      <x:c r="K13" s="38" t="n">
        <x:f>'02_Pose_Statistics'!M13/'02_Pose_Statistics'!M$6</x:f>
        <x:v>1.2152006517892135</x:v>
      </x:c>
      <x:c r="L13" s="38" t="n">
        <x:f>'02_Pose_Statistics'!P13</x:f>
        <x:v>73.83456666666672</x:v>
      </x:c>
      <x:c r="M13" t="str">
        <x:f>'02_Pose_Statistics'!W13</x:f>
        <x:v>Z</x:v>
      </x:c>
      <x:c r="N13" s="42" t="str">
        <x:v>Z-dominant with moderate variability.</x:v>
      </x:c>
    </x:row>
    <x:row r="14">
      <x:c r="A14" t="str">
        <x:v>P0R Reference return</x:v>
      </x:c>
      <x:c r="B14" s="38" t="n">
        <x:f>'02_Pose_Statistics'!C14</x:f>
        <x:v>10</x:v>
      </x:c>
      <x:c r="C14" s="38" t="n">
        <x:f>100*('02_Pose_Statistics'!D14/'02_Pose_Statistics'!D$6-1)</x:f>
        <x:v>76.17574183299531</x:v>
      </x:c>
      <x:c r="D14" s="38" t="n">
        <x:f>100*('02_Pose_Statistics'!G14/'02_Pose_Statistics'!G$6-1)</x:f>
        <x:v>-26.035957360254024</x:v>
      </x:c>
      <x:c r="E14" s="38" t="n">
        <x:f>100*('02_Pose_Statistics'!J14/'02_Pose_Statistics'!J$6-1)</x:f>
        <x:v>-24.707529695193088</x:v>
      </x:c>
      <x:c r="F14" s="38" t="n">
        <x:f>100*('02_Pose_Statistics'!M14/'02_Pose_Statistics'!M$6-1)</x:f>
        <x:v>-24.925351203028068</x:v>
      </x:c>
      <x:c r="G14" s="38" t="n">
        <x:f>'02_Pose_Statistics'!R14-'02_Pose_Statistics'!R$6</x:f>
        <x:v>1.4895999999999998</x:v>
      </x:c>
      <x:c r="H14" s="38" t="n">
        <x:f>'02_Pose_Statistics'!S14-'02_Pose_Statistics'!S$6</x:f>
        <x:v>-1.7669500000000227</x:v>
      </x:c>
      <x:c r="I14" s="38" t="n">
        <x:f>'02_Pose_Statistics'!T14-'02_Pose_Statistics'!T$6</x:f>
        <x:v>0.27805000000000035</x:v>
      </x:c>
      <x:c r="J14" s="38" t="n">
        <x:f>'02_Pose_Statistics'!J14/'02_Pose_Statistics'!J$6</x:f>
        <x:v>0.7529247030480691</x:v>
      </x:c>
      <x:c r="K14" s="38" t="n">
        <x:f>'02_Pose_Statistics'!M14/'02_Pose_Statistics'!M$6</x:f>
        <x:v>0.7507464879697193</x:v>
      </x:c>
      <x:c r="L14" s="38" t="n">
        <x:f>'02_Pose_Statistics'!P14</x:f>
        <x:v>-23.69883333333331</x:v>
      </x:c>
      <x:c r="M14" t="str">
        <x:f>'02_Pose_Statistics'!W14</x:f>
        <x:v>Y</x:v>
      </x:c>
      <x:c r="N14" s="42" t="str">
        <x:v>Directional shares return; absolute gain remains lower.</x:v>
      </x:c>
    </x:row>
    <x:row r="17">
      <x:c r="A17" s="33" t="str">
        <x:v>Reference return — P0R versus P0</x:v>
      </x:c>
      <x:c r="B17" s="33"/>
      <x:c r="C17" s="33"/>
      <x:c r="D17" s="33"/>
      <x:c r="E17" s="33"/>
      <x:c r="F17" s="33" t="str">
        <x:v>Exploratory pose effect size (descriptive η²)</x:v>
      </x:c>
      <x:c r="G17" s="33"/>
      <x:c r="H17" s="33"/>
      <x:c r="I17" s="33"/>
      <x:c r="J17" s="33"/>
      <x:c r="K17" s="33"/>
      <x:c r="L17" s="33"/>
      <x:c r="M17" s="33"/>
      <x:c r="N17" s="33"/>
    </x:row>
    <x:row r="18">
      <x:c r="A18" s="22" t="str">
        <x:v>Quantity</x:v>
      </x:c>
      <x:c r="B18" s="22" t="str">
        <x:v>P0</x:v>
      </x:c>
      <x:c r="C18" s="22" t="str">
        <x:v>P0R</x:v>
      </x:c>
      <x:c r="D18" s="22" t="str">
        <x:v>Change</x:v>
      </x:c>
      <x:c r="F18" s="22" t="str">
        <x:v>Metric</x:v>
      </x:c>
      <x:c r="G18" s="22" t="str">
        <x:v>η²</x:v>
      </x:c>
      <x:c r="H18" s="22" t="str">
        <x:v>Interpretation</x:v>
      </x:c>
    </x:row>
    <x:row r="19">
      <x:c r="A19" t="str">
        <x:v>X amplitude (m/s²)</x:v>
      </x:c>
      <x:c r="B19" s="38" t="n">
        <x:v>0.1085251</x:v>
      </x:c>
      <x:c r="C19" s="38" t="n">
        <x:v>0.1911949</x:v>
      </x:c>
      <x:c r="D19" s="38" t="n">
        <x:v>76.17574183299531</x:v>
      </x:c>
      <x:c r="F19" t="str">
        <x:v>X amplitude</x:v>
      </x:c>
      <x:c r="G19" s="68" t="n">
        <x:v>0.7076569405225963</x:v>
      </x:c>
      <x:c r="H19" t="str">
        <x:v>Large pose contribution</x:v>
      </x:c>
    </x:row>
    <x:row r="20">
      <x:c r="A20" t="str">
        <x:v>Y amplitude (m/s²)</x:v>
      </x:c>
      <x:c r="B20" s="38" t="n">
        <x:v>1.4340986</x:v>
      </x:c>
      <x:c r="C20" s="38" t="n">
        <x:v>1.0607172999999999</x:v>
      </x:c>
      <x:c r="D20" s="38" t="n">
        <x:v>-26.035957360254038</x:v>
      </x:c>
      <x:c r="F20" t="str">
        <x:v>Y amplitude</x:v>
      </x:c>
      <x:c r="G20" s="68" t="n">
        <x:v>0.8099675411953907</x:v>
      </x:c>
      <x:c r="H20" t="str">
        <x:v>Very large pose contribution</x:v>
      </x:c>
    </x:row>
    <x:row r="21">
      <x:c r="A21" t="str">
        <x:v>Z amplitude (m/s²)</x:v>
      </x:c>
      <x:c r="B21" s="38" t="n">
        <x:v>1.21607645</x:v>
      </x:c>
      <x:c r="C21" s="38" t="n">
        <x:v>0.915614</x:v>
      </x:c>
      <x:c r="D21" s="38" t="n">
        <x:v>-24.7075296951931</x:v>
      </x:c>
      <x:c r="F21" t="str">
        <x:v>Z amplitude</x:v>
      </x:c>
      <x:c r="G21" s="68" t="n">
        <x:v>0.9275394274279937</x:v>
      </x:c>
      <x:c r="H21" t="str">
        <x:v>Extremely large pose contribution</x:v>
      </x:c>
    </x:row>
    <x:row r="22">
      <x:c r="A22" t="str">
        <x:v>RSS vector (m/s²)</x:v>
      </x:c>
      <x:c r="B22" s="38" t="n">
        <x:v>1.8841060500000002</x:v>
      </x:c>
      <x:c r="C22" s="38" t="n">
        <x:v>1.414486</x:v>
      </x:c>
      <x:c r="D22" s="38" t="n">
        <x:v>-24.9253512030281</x:v>
      </x:c>
      <x:c r="F22" t="str">
        <x:v>RSS vector</x:v>
      </x:c>
      <x:c r="G22" s="68" t="n">
        <x:v>0.8984176771413034</x:v>
      </x:c>
      <x:c r="H22" t="str">
        <x:v>Extremely large pose contribution</x:v>
      </x:c>
    </x:row>
    <x:row r="23">
      <x:c r="A23" t="str">
        <x:v>Y squared share (%)</x:v>
      </x:c>
      <x:c r="B23" s="38" t="n">
        <x:v>57.97675</x:v>
      </x:c>
      <x:c r="C23" s="38" t="n">
        <x:v>56.209799999999994</x:v>
      </x:c>
      <x:c r="D23" s="38" t="n">
        <x:v>-1.7669500000000085</x:v>
      </x:c>
    </x:row>
    <x:row r="24">
      <x:c r="A24" t="str">
        <x:v>Z squared share (%)</x:v>
      </x:c>
      <x:c r="B24" s="38" t="n">
        <x:v>41.67095</x:v>
      </x:c>
      <x:c r="C24" s="38" t="n">
        <x:v>41.949</x:v>
      </x:c>
      <x:c r="D24" s="38" t="n">
        <x:v>0.27805000000000035</x:v>
      </x:c>
    </x:row>
    <x:row r="27">
      <x:c r="J27" s="22" t="str">
        <x:v>Pose</x:v>
      </x:c>
      <x:c r="K27" s="22" t="str">
        <x:v>X mean</x:v>
      </x:c>
      <x:c r="L27" s="22" t="str">
        <x:v>Y mean</x:v>
      </x:c>
      <x:c r="M27" s="22" t="str">
        <x:v>Z mean</x:v>
      </x:c>
      <x:c r="N27" s="22" t="str">
        <x:v>Vector mean</x:v>
      </x:c>
    </x:row>
    <x:row r="28">
      <x:c r="J28" t="str">
        <x:v>P0 Reference A</x:v>
      </x:c>
      <x:c r="K28" s="28" t="n">
        <x:f>'02_Pose_Statistics'!D6</x:f>
        <x:v>0.1085251</x:v>
      </x:c>
      <x:c r="L28" s="28" t="n">
        <x:f>'02_Pose_Statistics'!G6</x:f>
        <x:v>1.4340985999999998</x:v>
      </x:c>
      <x:c r="M28" s="28" t="n">
        <x:f>'02_Pose_Statistics'!J6</x:f>
        <x:v>1.2160764499999999</x:v>
      </x:c>
      <x:c r="N28" s="28" t="n">
        <x:f>'02_Pose_Statistics'!M6</x:f>
        <x:v>1.8841060499999998</x:v>
      </x:c>
    </x:row>
    <x:row r="29">
      <x:c r="J29" t="str">
        <x:v>P1</x:v>
      </x:c>
      <x:c r="K29" s="28" t="n">
        <x:f>'02_Pose_Statistics'!D7</x:f>
        <x:v>0.1889707</x:v>
      </x:c>
      <x:c r="L29" s="28" t="n">
        <x:f>'02_Pose_Statistics'!G7</x:f>
        <x:v>1.4616151</x:v>
      </x:c>
      <x:c r="M29" s="28" t="n">
        <x:f>'02_Pose_Statistics'!J7</x:f>
        <x:v>3.7240623</x:v>
      </x:c>
      <x:c r="N29" s="28" t="n">
        <x:f>'02_Pose_Statistics'!M7</x:f>
        <x:v>4.006224399999999</x:v>
      </x:c>
    </x:row>
    <x:row r="30">
      <x:c r="J30" t="str">
        <x:v>P2</x:v>
      </x:c>
      <x:c r="K30" s="28" t="n">
        <x:f>'02_Pose_Statistics'!D8</x:f>
        <x:v>0.170568</x:v>
      </x:c>
      <x:c r="L30" s="28" t="n">
        <x:f>'02_Pose_Statistics'!G8</x:f>
        <x:v>1.1171695</x:v>
      </x:c>
      <x:c r="M30" s="28" t="n">
        <x:f>'02_Pose_Statistics'!J8</x:f>
        <x:v>3.1587807999999997</x:v>
      </x:c>
      <x:c r="N30" s="28" t="n">
        <x:f>'02_Pose_Statistics'!M8</x:f>
        <x:v>3.3559265</x:v>
      </x:c>
    </x:row>
    <x:row r="31">
      <x:c r="J31" t="str">
        <x:v>P3</x:v>
      </x:c>
      <x:c r="K31" s="28" t="n">
        <x:f>'02_Pose_Statistics'!D9</x:f>
        <x:v>0.19022490000000003</x:v>
      </x:c>
      <x:c r="L31" s="28" t="n">
        <x:f>'02_Pose_Statistics'!G9</x:f>
        <x:v>1.3155626999999999</x:v>
      </x:c>
      <x:c r="M31" s="28" t="n">
        <x:f>'02_Pose_Statistics'!J9</x:f>
        <x:v>2.8084155</x:v>
      </x:c>
      <x:c r="N31" s="28" t="n">
        <x:f>'02_Pose_Statistics'!M9</x:f>
        <x:v>3.1075282</x:v>
      </x:c>
    </x:row>
    <x:row r="32">
      <x:c r="J32" t="str">
        <x:v>P4</x:v>
      </x:c>
      <x:c r="K32" s="28" t="n">
        <x:f>'02_Pose_Statistics'!D10</x:f>
        <x:v>0.0682678</x:v>
      </x:c>
      <x:c r="L32" s="28" t="n">
        <x:f>'02_Pose_Statistics'!G10</x:f>
        <x:v>1.0891641999999997</x:v>
      </x:c>
      <x:c r="M32" s="28" t="n">
        <x:f>'02_Pose_Statistics'!J10</x:f>
        <x:v>1.8959221999999998</x:v>
      </x:c>
      <x:c r="N32" s="28" t="n">
        <x:f>'02_Pose_Statistics'!M10</x:f>
        <x:v>2.1878735</x:v>
      </x:c>
    </x:row>
    <x:row r="33">
      <x:c r="J33" t="str">
        <x:v>P5</x:v>
      </x:c>
      <x:c r="K33" s="28" t="n">
        <x:f>'02_Pose_Statistics'!D11</x:f>
        <x:v>0.11865709999999999</x:v>
      </x:c>
      <x:c r="L33" s="28" t="n">
        <x:f>'02_Pose_Statistics'!G11</x:f>
        <x:v>1.3853841999999998</x:v>
      </x:c>
      <x:c r="M33" s="28" t="n">
        <x:f>'02_Pose_Statistics'!J11</x:f>
        <x:v>2.8843794000000003</x:v>
      </x:c>
      <x:c r="N33" s="28" t="n">
        <x:f>'02_Pose_Statistics'!M11</x:f>
        <x:v>3.2031171</x:v>
      </x:c>
    </x:row>
    <x:row r="34">
      <x:c r="J34" t="str">
        <x:v>P6</x:v>
      </x:c>
      <x:c r="K34" s="28" t="n">
        <x:f>'02_Pose_Statistics'!D12</x:f>
        <x:v>0.10878610000000002</x:v>
      </x:c>
      <x:c r="L34" s="28" t="n">
        <x:f>'02_Pose_Statistics'!G12</x:f>
        <x:v>1.2109825</x:v>
      </x:c>
      <x:c r="M34" s="28" t="n">
        <x:f>'02_Pose_Statistics'!J12</x:f>
        <x:v>2.8090171</x:v>
      </x:c>
      <x:c r="N34" s="28" t="n">
        <x:f>'02_Pose_Statistics'!M12</x:f>
        <x:v>3.0609216000000004</x:v>
      </x:c>
    </x:row>
    <x:row r="35">
      <x:c r="J35" t="str">
        <x:v>P7</x:v>
      </x:c>
      <x:c r="K35" s="28" t="n">
        <x:f>'02_Pose_Statistics'!D13</x:f>
        <x:v>0.334192</x:v>
      </x:c>
      <x:c r="L35" s="28" t="n">
        <x:f>'02_Pose_Statistics'!G13</x:f>
        <x:v>0.8723827</x:v>
      </x:c>
      <x:c r="M35" s="28" t="n">
        <x:f>'02_Pose_Statistics'!J13</x:f>
        <x:v>2.0860148</x:v>
      </x:c>
      <x:c r="N35" s="28" t="n">
        <x:f>'02_Pose_Statistics'!M13</x:f>
        <x:v>2.2895669</x:v>
      </x:c>
    </x:row>
    <x:row r="36">
      <x:c r="J36" t="str">
        <x:v>P0R Reference return</x:v>
      </x:c>
      <x:c r="K36" s="28" t="n">
        <x:f>'02_Pose_Statistics'!D14</x:f>
        <x:v>0.1911949</x:v>
      </x:c>
      <x:c r="L36" s="28" t="n">
        <x:f>'02_Pose_Statistics'!G14</x:f>
        <x:v>1.0607172999999999</x:v>
      </x:c>
      <x:c r="M36" s="28" t="n">
        <x:f>'02_Pose_Statistics'!J14</x:f>
        <x:v>0.915614</x:v>
      </x:c>
      <x:c r="N36" s="28" t="n">
        <x:f>'02_Pose_Statistics'!M14</x:f>
        <x:v>1.4144860000000001</x:v>
      </x:c>
    </x:row>
    <x:row r="58">
      <x:c r="A58" s="33" t="str">
        <x:v>Same-pose temporal drift check — initial reference split into first 10 and second 10 records</x:v>
      </x:c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P58" s="33" t="str">
        <x:v>Complete 102-record time sequence</x:v>
      </x:c>
      <x:c r="Q58" s="33"/>
      <x:c r="R58" s="33"/>
      <x:c r="S58" s="33"/>
      <x:c r="T58" s="33"/>
      <x:c r="U58" s="33"/>
    </x:row>
    <x:row r="59">
      <x:c r="A59" s="22" t="str">
        <x:v>Subset</x:v>
      </x:c>
      <x:c r="B59" s="22" t="str">
        <x:v>Records</x:v>
      </x:c>
      <x:c r="C59" s="22" t="str">
        <x:v>X mean</x:v>
      </x:c>
      <x:c r="D59" s="22" t="str">
        <x:v>Y mean</x:v>
      </x:c>
      <x:c r="E59" s="22" t="str">
        <x:v>Z mean</x:v>
      </x:c>
      <x:c r="F59" s="22" t="str">
        <x:v>RSS mean</x:v>
      </x:c>
      <x:c r="G59" s="22" t="str">
        <x:v>Z CV %</x:v>
      </x:c>
      <x:c r="H59" s="22" t="str">
        <x:v>RSS CV %</x:v>
      </x:c>
      <x:c r="I59" s="22" t="str">
        <x:v>ΔZ vs first 10 %</x:v>
      </x:c>
      <x:c r="J59" s="22" t="str">
        <x:v>ΔRSS vs first 10 %</x:v>
      </x:c>
      <x:c r="P59" s="22" t="str">
        <x:v>Record</x:v>
      </x:c>
      <x:c r="Q59" s="22" t="str">
        <x:v>X</x:v>
      </x:c>
      <x:c r="R59" s="22" t="str">
        <x:v>Y</x:v>
      </x:c>
      <x:c r="S59" s="22" t="str">
        <x:v>Z</x:v>
      </x:c>
      <x:c r="T59" s="22" t="str">
        <x:v>RSS</x:v>
      </x:c>
      <x:c r="U59" s="22" t="str">
        <x:v>Thesis pose</x:v>
      </x:c>
    </x:row>
    <x:row r="60">
      <x:c r="A60" t="str">
        <x:v>P0-A</x:v>
      </x:c>
      <x:c r="B60" t="str">
        <x:v>1–10</x:v>
      </x:c>
      <x:c r="C60" s="38" t="n">
        <x:v>0.1198217</x:v>
      </x:c>
      <x:c r="D60" s="38" t="n">
        <x:v>1.4429729999999998</x:v>
      </x:c>
      <x:c r="E60" s="38" t="n">
        <x:v>1.1942666000000002</x:v>
      </x:c>
      <x:c r="F60" s="38" t="n">
        <x:v>1.8769912000000002</x:v>
      </x:c>
      <x:c r="G60" s="38" t="n">
        <x:v>1.6218045673125525</x:v>
      </x:c>
      <x:c r="H60" s="38" t="n">
        <x:v>0.8343753469091005</x:v>
      </x:c>
      <x:c r="I60" s="38" t="n">
        <x:v>0</x:v>
      </x:c>
      <x:c r="J60" s="38" t="n">
        <x:v>0</x:v>
      </x:c>
      <x:c r="P60" t="n">
        <x:v>1</x:v>
      </x:c>
      <x:c r="Q60" s="28" t="n">
        <x:v>0.127777</x:v>
      </x:c>
      <x:c r="R60" s="28" t="n">
        <x:v>1.425654</x:v>
      </x:c>
      <x:c r="S60" s="28" t="n">
        <x:v>1.165624</x:v>
      </x:c>
      <x:c r="T60" s="28" t="n">
        <x:v>1.845941</x:v>
      </x:c>
      <x:c r="U60" t="str">
        <x:v>P0 Reference A</x:v>
      </x:c>
    </x:row>
    <x:row r="61">
      <x:c r="A61" t="str">
        <x:v>P0-B</x:v>
      </x:c>
      <x:c r="B61" t="str">
        <x:v>11–20</x:v>
      </x:c>
      <x:c r="C61" s="38" t="n">
        <x:v>0.09722850000000001</x:v>
      </x:c>
      <x:c r="D61" s="38" t="n">
        <x:v>1.4252242000000002</x:v>
      </x:c>
      <x:c r="E61" s="38" t="n">
        <x:v>1.2378863</x:v>
      </x:c>
      <x:c r="F61" s="38" t="n">
        <x:v>1.8912209</x:v>
      </x:c>
      <x:c r="G61" s="38" t="n">
        <x:v>4.490574122667767</x:v>
      </x:c>
      <x:c r="H61" s="38" t="n">
        <x:v>1.3240376886291745</x:v>
      </x:c>
      <x:c r="I61" s="38" t="n">
        <x:v>3.652425681166993</x:v>
      </x:c>
      <x:c r="J61" s="38" t="n">
        <x:v>0.7581122383525152</x:v>
      </x:c>
      <x:c r="P61" t="n">
        <x:v>2</x:v>
      </x:c>
      <x:c r="Q61" s="28" t="n">
        <x:v>0.12896</x:v>
      </x:c>
      <x:c r="R61" s="28" t="n">
        <x:v>1.43095</x:v>
      </x:c>
      <x:c r="S61" s="28" t="n">
        <x:v>1.18889</x:v>
      </x:c>
      <x:c r="T61" s="28" t="n">
        <x:v>1.864861</x:v>
      </x:c>
      <x:c r="U61" t="str">
        <x:v>P0 Reference A</x:v>
      </x:c>
    </x:row>
    <x:row r="62">
      <x:c r="P62" t="n">
        <x:v>3</x:v>
      </x:c>
      <x:c r="Q62" s="28" t="n">
        <x:v>0.121092</x:v>
      </x:c>
      <x:c r="R62" s="28" t="n">
        <x:v>1.438355</x:v>
      </x:c>
      <x:c r="S62" s="28" t="n">
        <x:v>1.188754</x:v>
      </x:c>
      <x:c r="T62" s="28" t="n">
        <x:v>1.869937</x:v>
      </x:c>
      <x:c r="U62" t="str">
        <x:v>P0 Reference A</x:v>
      </x:c>
    </x:row>
    <x:row r="63" ht="58" customHeight="1">
      <x:c r="A63" s="13" t="str">
        <x:v>Interpretation: before any deliberate orientation change, the first and second 10-record reference subsets show only a small change in total RSS magnitude compared with the much larger changes observed after manual reorientation. This provides an internal temporal-control check: ordinary same-pose drift in the reference period is small relative to the orientation-induced response changes.</x:v>
      </x:c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P63" t="n">
        <x:v>4</x:v>
      </x:c>
      <x:c r="Q63" s="28" t="n">
        <x:v>0.112863</x:v>
      </x:c>
      <x:c r="R63" s="28" t="n">
        <x:v>1.453765</x:v>
      </x:c>
      <x:c r="S63" s="28" t="n">
        <x:v>1.181208</x:v>
      </x:c>
      <x:c r="T63" s="28" t="n">
        <x:v>1.876546</x:v>
      </x:c>
      <x:c r="U63" t="str">
        <x:v>P0 Reference A</x:v>
      </x:c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P64" t="n">
        <x:v>5</x:v>
      </x:c>
      <x:c r="Q64" s="28" t="n">
        <x:v>0.127418</x:v>
      </x:c>
      <x:c r="R64" s="28" t="n">
        <x:v>1.447926</x:v>
      </x:c>
      <x:c r="S64" s="28" t="n">
        <x:v>1.195616</x:v>
      </x:c>
      <x:c r="T64" s="28" t="n">
        <x:v>1.88208</x:v>
      </x:c>
      <x:c r="U64" t="str">
        <x:v>P0 Reference A</x:v>
      </x:c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P65" t="n">
        <x:v>6</x:v>
      </x:c>
      <x:c r="Q65" s="28" t="n">
        <x:v>0.124802</x:v>
      </x:c>
      <x:c r="R65" s="28" t="n">
        <x:v>1.44592</x:v>
      </x:c>
      <x:c r="S65" s="28" t="n">
        <x:v>1.1794</x:v>
      </x:c>
      <x:c r="T65" s="28" t="n">
        <x:v>1.870092</x:v>
      </x:c>
      <x:c r="U65" t="str">
        <x:v>P0 Reference A</x:v>
      </x:c>
    </x:row>
    <x:row r="66">
      <x:c r="P66" t="n">
        <x:v>7</x:v>
      </x:c>
      <x:c r="Q66" s="28" t="n">
        <x:v>0.098036</x:v>
      </x:c>
      <x:c r="R66" s="28" t="n">
        <x:v>1.441363</x:v>
      </x:c>
      <x:c r="S66" s="28" t="n">
        <x:v>1.238054</x:v>
      </x:c>
      <x:c r="T66" s="28" t="n">
        <x:v>1.902608</x:v>
      </x:c>
      <x:c r="U66" t="str">
        <x:v>P0 Reference A</x:v>
      </x:c>
    </x:row>
    <x:row r="67">
      <x:c r="P67" t="n">
        <x:v>8</x:v>
      </x:c>
      <x:c r="Q67" s="28" t="n">
        <x:v>0.124072</x:v>
      </x:c>
      <x:c r="R67" s="28" t="n">
        <x:v>1.439281</x:v>
      </x:c>
      <x:c r="S67" s="28" t="n">
        <x:v>1.203653</x:v>
      </x:c>
      <x:c r="T67" s="28" t="n">
        <x:v>1.880347</x:v>
      </x:c>
      <x:c r="U67" t="str">
        <x:v>P0 Reference A</x:v>
      </x:c>
    </x:row>
    <x:row r="68">
      <x:c r="A68" s="33" t="str">
        <x:v>Repositioning / settling records intentionally excluded from pose statistics</x:v>
      </x:c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P68" t="n">
        <x:v>9</x:v>
      </x:c>
      <x:c r="Q68" s="28" t="n">
        <x:v>0.108923</x:v>
      </x:c>
      <x:c r="R68" s="28" t="n">
        <x:v>1.456599</x:v>
      </x:c>
      <x:c r="S68" s="28" t="n">
        <x:v>1.203395</x:v>
      </x:c>
      <x:c r="T68" s="28" t="n">
        <x:v>1.892539</x:v>
      </x:c>
      <x:c r="U68" t="str">
        <x:v>P0 Reference A</x:v>
      </x:c>
    </x:row>
    <x:row r="69">
      <x:c r="A69" s="22" t="str">
        <x:v>Record</x:v>
      </x:c>
      <x:c r="B69" s="22" t="str">
        <x:v>X</x:v>
      </x:c>
      <x:c r="C69" s="22" t="str">
        <x:v>Y</x:v>
      </x:c>
      <x:c r="D69" s="22" t="str">
        <x:v>Z</x:v>
      </x:c>
      <x:c r="E69" s="22" t="str">
        <x:v>RSS</x:v>
      </x:c>
      <x:c r="F69" s="22" t="str">
        <x:v>Dominant axis</x:v>
      </x:c>
      <x:c r="G69" s="22" t="str">
        <x:v>Quality</x:v>
      </x:c>
      <x:c r="P69" t="n">
        <x:v>10</x:v>
      </x:c>
      <x:c r="Q69" s="28" t="n">
        <x:v>0.124274</x:v>
      </x:c>
      <x:c r="R69" s="28" t="n">
        <x:v>1.449917</x:v>
      </x:c>
      <x:c r="S69" s="28" t="n">
        <x:v>1.198072</x:v>
      </x:c>
      <x:c r="T69" s="28" t="n">
        <x:v>1.884961</x:v>
      </x:c>
      <x:c r="U69" t="str">
        <x:v>P0 Reference A</x:v>
      </x:c>
    </x:row>
    <x:row r="70">
      <x:c r="A70" t="n">
        <x:v>91</x:v>
      </x:c>
      <x:c r="B70" s="28" t="n">
        <x:v>0.092461</x:v>
      </x:c>
      <x:c r="C70" s="28" t="n">
        <x:v>0.693555</x:v>
      </x:c>
      <x:c r="D70" s="28" t="n">
        <x:v>1.023411</x:v>
      </x:c>
      <x:c r="E70" s="28" t="n">
        <x:v>1.239732</x:v>
      </x:c>
      <x:c r="F70" t="str">
        <x:v>Z</x:v>
      </x:c>
      <x:c r="G70" t="str">
        <x:v>TRANSIENT</x:v>
      </x:c>
      <x:c r="P70" t="n">
        <x:v>11</x:v>
      </x:c>
      <x:c r="Q70" s="28" t="n">
        <x:v>0.115279</x:v>
      </x:c>
      <x:c r="R70" s="28" t="n">
        <x:v>1.444463</x:v>
      </x:c>
      <x:c r="S70" s="28" t="n">
        <x:v>1.193966</x:v>
      </x:c>
      <x:c r="T70" s="28" t="n">
        <x:v>1.877583</x:v>
      </x:c>
      <x:c r="U70" t="str">
        <x:v>P0 Reference A</x:v>
      </x:c>
    </x:row>
    <x:row r="71">
      <x:c r="A71" t="n">
        <x:v>92</x:v>
      </x:c>
      <x:c r="B71" s="28" t="n">
        <x:v>0.177981</x:v>
      </x:c>
      <x:c r="C71" s="28" t="n">
        <x:v>0.925762</x:v>
      </x:c>
      <x:c r="D71" s="28" t="n">
        <x:v>0.912947</x:v>
      </x:c>
      <x:c r="E71" s="28" t="n">
        <x:v>1.31232</x:v>
      </x:c>
      <x:c r="F71" t="str">
        <x:v>Y</x:v>
      </x:c>
      <x:c r="G71" t="str">
        <x:v>STABLE</x:v>
      </x:c>
      <x:c r="P71" t="n">
        <x:v>12</x:v>
      </x:c>
      <x:c r="Q71" s="28" t="n">
        <x:v>0.133166</x:v>
      </x:c>
      <x:c r="R71" s="28" t="n">
        <x:v>1.42867</x:v>
      </x:c>
      <x:c r="S71" s="28" t="n">
        <x:v>1.180615</x:v>
      </x:c>
      <x:c r="T71" s="28" t="n">
        <x:v>1.85814</x:v>
      </x:c>
      <x:c r="U71" t="str">
        <x:v>P0 Reference A</x:v>
      </x:c>
    </x:row>
    <x:row r="72">
      <x:c r="P72" t="n">
        <x:v>13</x:v>
      </x:c>
      <x:c r="Q72" s="28" t="n">
        <x:v>0.131494</x:v>
      </x:c>
      <x:c r="R72" s="28" t="n">
        <x:v>1.45326</x:v>
      </x:c>
      <x:c r="S72" s="28" t="n">
        <x:v>1.186019</x:v>
      </x:c>
      <x:c r="T72" s="28" t="n">
        <x:v>1.880398</x:v>
      </x:c>
      <x:c r="U72" t="str">
        <x:v>P0 Reference A</x:v>
      </x:c>
    </x:row>
    <x:row r="73">
      <x:c r="P73" t="n">
        <x:v>14</x:v>
      </x:c>
      <x:c r="Q73" s="28" t="n">
        <x:v>0.108007</x:v>
      </x:c>
      <x:c r="R73" s="28" t="n">
        <x:v>1.445504</x:v>
      </x:c>
      <x:c r="S73" s="28" t="n">
        <x:v>1.197884</x:v>
      </x:c>
      <x:c r="T73" s="28" t="n">
        <x:v>1.880445</x:v>
      </x:c>
      <x:c r="U73" t="str">
        <x:v>P0 Reference A</x:v>
      </x:c>
    </x:row>
    <x:row r="74">
      <x:c r="P74" t="n">
        <x:v>15</x:v>
      </x:c>
      <x:c r="Q74" s="28" t="n">
        <x:v>0.107324</x:v>
      </x:c>
      <x:c r="R74" s="28" t="n">
        <x:v>1.450031</x:v>
      </x:c>
      <x:c r="S74" s="28" t="n">
        <x:v>1.19846</x:v>
      </x:c>
      <x:c r="T74" s="28" t="n">
        <x:v>1.884254</x:v>
      </x:c>
      <x:c r="U74" t="str">
        <x:v>P0 Reference A</x:v>
      </x:c>
    </x:row>
    <x:row r="75">
      <x:c r="P75" t="n">
        <x:v>16</x:v>
      </x:c>
      <x:c r="Q75" s="28" t="n">
        <x:v>0.095189</x:v>
      </x:c>
      <x:c r="R75" s="28" t="n">
        <x:v>1.403086</x:v>
      </x:c>
      <x:c r="S75" s="28" t="n">
        <x:v>1.260668</x:v>
      </x:c>
      <x:c r="T75" s="28" t="n">
        <x:v>1.88865</x:v>
      </x:c>
      <x:c r="U75" t="str">
        <x:v>P0 Reference A</x:v>
      </x:c>
    </x:row>
    <x:row r="76">
      <x:c r="P76" t="n">
        <x:v>17</x:v>
      </x:c>
      <x:c r="Q76" s="28" t="n">
        <x:v>0.097114</x:v>
      </x:c>
      <x:c r="R76" s="28" t="n">
        <x:v>1.412239</x:v>
      </x:c>
      <x:c r="S76" s="28" t="n">
        <x:v>1.229312</x:v>
      </x:c>
      <x:c r="T76" s="28" t="n">
        <x:v>1.874849</x:v>
      </x:c>
      <x:c r="U76" t="str">
        <x:v>P0 Reference A</x:v>
      </x:c>
    </x:row>
    <x:row r="77">
      <x:c r="P77" t="n">
        <x:v>18</x:v>
      </x:c>
      <x:c r="Q77" s="28" t="n">
        <x:v>0.095714</x:v>
      </x:c>
      <x:c r="R77" s="28" t="n">
        <x:v>1.403332</x:v>
      </x:c>
      <x:c r="S77" s="28" t="n">
        <x:v>1.30796</x:v>
      </x:c>
      <x:c r="T77" s="28" t="n">
        <x:v>1.920745</x:v>
      </x:c>
      <x:c r="U77" t="str">
        <x:v>P0 Reference A</x:v>
      </x:c>
    </x:row>
    <x:row r="78">
      <x:c r="P78" t="n">
        <x:v>19</x:v>
      </x:c>
      <x:c r="Q78" s="28" t="n">
        <x:v>0.022329</x:v>
      </x:c>
      <x:c r="R78" s="28" t="n">
        <x:v>1.389331</x:v>
      </x:c>
      <x:c r="S78" s="28" t="n">
        <x:v>1.300345</x:v>
      </x:c>
      <x:c r="T78" s="28" t="n">
        <x:v>1.90306</x:v>
      </x:c>
      <x:c r="U78" t="str">
        <x:v>P0 Reference A</x:v>
      </x:c>
    </x:row>
    <x:row r="79">
      <x:c r="P79" t="n">
        <x:v>20</x:v>
      </x:c>
      <x:c r="Q79" s="28" t="n">
        <x:v>0.066669</x:v>
      </x:c>
      <x:c r="R79" s="28" t="n">
        <x:v>1.422326</x:v>
      </x:c>
      <x:c r="S79" s="28" t="n">
        <x:v>1.323634</x:v>
      </x:c>
      <x:c r="T79" s="28" t="n">
        <x:v>1.944085</x:v>
      </x:c>
      <x:c r="U79" t="str">
        <x:v>P0 Reference A</x:v>
      </x:c>
    </x:row>
    <x:row r="80">
      <x:c r="P80" t="n">
        <x:v>21</x:v>
      </x:c>
      <x:c r="Q80" s="28" t="n">
        <x:v>0.354343</x:v>
      </x:c>
      <x:c r="R80" s="28" t="n">
        <x:v>1.205509</x:v>
      </x:c>
      <x:c r="S80" s="28" t="n">
        <x:v>2.939343</x:v>
      </x:c>
      <x:c r="T80" s="28" t="n">
        <x:v>3.196647</x:v>
      </x:c>
      <x:c r="U80" t="str">
        <x:v>P1 Changed orientation</x:v>
      </x:c>
    </x:row>
    <x:row r="81">
      <x:c r="P81" t="n">
        <x:v>22</x:v>
      </x:c>
      <x:c r="Q81" s="28" t="n">
        <x:v>0.179134</x:v>
      </x:c>
      <x:c r="R81" s="28" t="n">
        <x:v>1.461724</x:v>
      </x:c>
      <x:c r="S81" s="28" t="n">
        <x:v>3.592295</x:v>
      </x:c>
      <x:c r="T81" s="28" t="n">
        <x:v>3.882436</x:v>
      </x:c>
      <x:c r="U81" t="str">
        <x:v>P1 Changed orientation</x:v>
      </x:c>
    </x:row>
    <x:row r="82">
      <x:c r="P82" t="n">
        <x:v>23</x:v>
      </x:c>
      <x:c r="Q82" s="28" t="n">
        <x:v>0.198863</x:v>
      </x:c>
      <x:c r="R82" s="28" t="n">
        <x:v>1.49804</x:v>
      </x:c>
      <x:c r="S82" s="28" t="n">
        <x:v>3.699978</x:v>
      </x:c>
      <x:c r="T82" s="28" t="n">
        <x:v>3.996687</x:v>
      </x:c>
      <x:c r="U82" t="str">
        <x:v>P1 Changed orientation</x:v>
      </x:c>
    </x:row>
    <x:row r="83">
      <x:c r="P83" t="n">
        <x:v>24</x:v>
      </x:c>
      <x:c r="Q83" s="28" t="n">
        <x:v>0.186645</x:v>
      </x:c>
      <x:c r="R83" s="28" t="n">
        <x:v>1.505785</x:v>
      </x:c>
      <x:c r="S83" s="28" t="n">
        <x:v>3.880601</x:v>
      </x:c>
      <x:c r="T83" s="28" t="n">
        <x:v>4.166688</x:v>
      </x:c>
      <x:c r="U83" t="str">
        <x:v>P1 Changed orientation</x:v>
      </x:c>
    </x:row>
    <x:row r="84">
      <x:c r="P84" t="n">
        <x:v>25</x:v>
      </x:c>
      <x:c r="Q84" s="28" t="n">
        <x:v>0.22162</x:v>
      </x:c>
      <x:c r="R84" s="28" t="n">
        <x:v>1.552389</x:v>
      </x:c>
      <x:c r="S84" s="28" t="n">
        <x:v>3.948009</x:v>
      </x:c>
      <x:c r="T84" s="28" t="n">
        <x:v>4.248035</x:v>
      </x:c>
      <x:c r="U84" t="str">
        <x:v>P1 Changed orientation</x:v>
      </x:c>
    </x:row>
    <x:row r="85">
      <x:c r="P85" t="n">
        <x:v>26</x:v>
      </x:c>
      <x:c r="Q85" s="28" t="n">
        <x:v>0.201549</x:v>
      </x:c>
      <x:c r="R85" s="28" t="n">
        <x:v>1.535377</x:v>
      </x:c>
      <x:c r="S85" s="28" t="n">
        <x:v>4.021695</x:v>
      </x:c>
      <x:c r="T85" s="28" t="n">
        <x:v>4.309528</x:v>
      </x:c>
      <x:c r="U85" t="str">
        <x:v>P1 Changed orientation</x:v>
      </x:c>
    </x:row>
    <x:row r="86">
      <x:c r="P86" t="n">
        <x:v>27</x:v>
      </x:c>
      <x:c r="Q86" s="28" t="n">
        <x:v>0.169768</x:v>
      </x:c>
      <x:c r="R86" s="28" t="n">
        <x:v>1.547341</x:v>
      </x:c>
      <x:c r="S86" s="28" t="n">
        <x:v>3.903222</x:v>
      </x:c>
      <x:c r="T86" s="28" t="n">
        <x:v>4.202169</x:v>
      </x:c>
      <x:c r="U86" t="str">
        <x:v>P1 Changed orientation</x:v>
      </x:c>
    </x:row>
    <x:row r="87">
      <x:c r="P87" t="n">
        <x:v>28</x:v>
      </x:c>
      <x:c r="Q87" s="28" t="n">
        <x:v>0.114385</x:v>
      </x:c>
      <x:c r="R87" s="28" t="n">
        <x:v>1.516242</x:v>
      </x:c>
      <x:c r="S87" s="28" t="n">
        <x:v>3.813894</x:v>
      </x:c>
      <x:c r="T87" s="28" t="n">
        <x:v>4.105833</x:v>
      </x:c>
      <x:c r="U87" t="str">
        <x:v>P1 Changed orientation</x:v>
      </x:c>
    </x:row>
    <x:row r="88">
      <x:c r="P88" t="n">
        <x:v>29</x:v>
      </x:c>
      <x:c r="Q88" s="28" t="n">
        <x:v>0.092589</x:v>
      </x:c>
      <x:c r="R88" s="28" t="n">
        <x:v>1.473545</x:v>
      </x:c>
      <x:c r="S88" s="28" t="n">
        <x:v>3.775328</x:v>
      </x:c>
      <x:c r="T88" s="28" t="n">
        <x:v>4.053765</x:v>
      </x:c>
      <x:c r="U88" t="str">
        <x:v>P1 Changed orientation</x:v>
      </x:c>
    </x:row>
    <x:row r="89">
      <x:c r="P89" t="n">
        <x:v>30</x:v>
      </x:c>
      <x:c r="Q89" s="28" t="n">
        <x:v>0.170811</x:v>
      </x:c>
      <x:c r="R89" s="28" t="n">
        <x:v>1.320199</x:v>
      </x:c>
      <x:c r="S89" s="28" t="n">
        <x:v>3.666258</x:v>
      </x:c>
      <x:c r="T89" s="28" t="n">
        <x:v>3.900456</x:v>
      </x:c>
      <x:c r="U89" t="str">
        <x:v>P1 Changed orientation</x:v>
      </x:c>
    </x:row>
    <x:row r="90">
      <x:c r="P90" t="n">
        <x:v>31</x:v>
      </x:c>
      <x:c r="Q90" s="28" t="n">
        <x:v>0.029917</x:v>
      </x:c>
      <x:c r="R90" s="28" t="n">
        <x:v>1.042977</x:v>
      </x:c>
      <x:c r="S90" s="28" t="n">
        <x:v>2.533568</x:v>
      </x:c>
      <x:c r="T90" s="28" t="n">
        <x:v>2.740011</x:v>
      </x:c>
      <x:c r="U90" t="str">
        <x:v>P2 Changed orientation</x:v>
      </x:c>
    </x:row>
    <x:row r="91">
      <x:c r="P91" t="n">
        <x:v>32</x:v>
      </x:c>
      <x:c r="Q91" s="28" t="n">
        <x:v>0.252455</x:v>
      </x:c>
      <x:c r="R91" s="28" t="n">
        <x:v>1.224833</x:v>
      </x:c>
      <x:c r="S91" s="28" t="n">
        <x:v>3.217074</x:v>
      </x:c>
      <x:c r="T91" s="28" t="n">
        <x:v>3.451596</x:v>
      </x:c>
      <x:c r="U91" t="str">
        <x:v>P2 Changed orientation</x:v>
      </x:c>
    </x:row>
    <x:row r="92">
      <x:c r="P92" t="n">
        <x:v>33</x:v>
      </x:c>
      <x:c r="Q92" s="28" t="n">
        <x:v>0.23815</x:v>
      </x:c>
      <x:c r="R92" s="28" t="n">
        <x:v>1.109836</x:v>
      </x:c>
      <x:c r="S92" s="28" t="n">
        <x:v>3.105454</x:v>
      </x:c>
      <x:c r="T92" s="28" t="n">
        <x:v>3.306403</x:v>
      </x:c>
      <x:c r="U92" t="str">
        <x:v>P2 Changed orientation</x:v>
      </x:c>
    </x:row>
    <x:row r="93">
      <x:c r="P93" t="n">
        <x:v>34</x:v>
      </x:c>
      <x:c r="Q93" s="28" t="n">
        <x:v>0.200062</x:v>
      </x:c>
      <x:c r="R93" s="28" t="n">
        <x:v>1.097395</x:v>
      </x:c>
      <x:c r="S93" s="28" t="n">
        <x:v>3.178568</x:v>
      </x:c>
      <x:c r="T93" s="28" t="n">
        <x:v>3.368619</x:v>
      </x:c>
      <x:c r="U93" t="str">
        <x:v>P2 Changed orientation</x:v>
      </x:c>
    </x:row>
    <x:row r="94">
      <x:c r="P94" t="n">
        <x:v>35</x:v>
      </x:c>
      <x:c r="Q94" s="28" t="n">
        <x:v>0.167513</x:v>
      </x:c>
      <x:c r="R94" s="28" t="n">
        <x:v>1.119402</x:v>
      </x:c>
      <x:c r="S94" s="28" t="n">
        <x:v>3.270349</x:v>
      </x:c>
      <x:c r="T94" s="28" t="n">
        <x:v>3.46068</x:v>
      </x:c>
      <x:c r="U94" t="str">
        <x:v>P2 Changed orientation</x:v>
      </x:c>
    </x:row>
    <x:row r="95">
      <x:c r="P95" t="n">
        <x:v>36</x:v>
      </x:c>
      <x:c r="Q95" s="28" t="n">
        <x:v>0.143893</x:v>
      </x:c>
      <x:c r="R95" s="28" t="n">
        <x:v>1.128238</x:v>
      </x:c>
      <x:c r="S95" s="28" t="n">
        <x:v>3.389105</x:v>
      </x:c>
      <x:c r="T95" s="28" t="n">
        <x:v>3.574865</x:v>
      </x:c>
      <x:c r="U95" t="str">
        <x:v>P2 Changed orientation</x:v>
      </x:c>
    </x:row>
    <x:row r="96">
      <x:c r="P96" t="n">
        <x:v>37</x:v>
      </x:c>
      <x:c r="Q96" s="28" t="n">
        <x:v>0.158893</x:v>
      </x:c>
      <x:c r="R96" s="28" t="n">
        <x:v>1.112074</x:v>
      </x:c>
      <x:c r="S96" s="28" t="n">
        <x:v>3.249975</x:v>
      </x:c>
      <x:c r="T96" s="28" t="n">
        <x:v>3.438647</x:v>
      </x:c>
      <x:c r="U96" t="str">
        <x:v>P2 Changed orientation</x:v>
      </x:c>
    </x:row>
    <x:row r="97">
      <x:c r="P97" t="n">
        <x:v>38</x:v>
      </x:c>
      <x:c r="Q97" s="28" t="n">
        <x:v>0.199456</x:v>
      </x:c>
      <x:c r="R97" s="28" t="n">
        <x:v>1.096716</x:v>
      </x:c>
      <x:c r="S97" s="28" t="n">
        <x:v>3.175098</x:v>
      </x:c>
      <x:c r="T97" s="28" t="n">
        <x:v>3.365088</x:v>
      </x:c>
      <x:c r="U97" t="str">
        <x:v>P2 Changed orientation</x:v>
      </x:c>
    </x:row>
    <x:row r="98">
      <x:c r="P98" t="n">
        <x:v>39</x:v>
      </x:c>
      <x:c r="Q98" s="28" t="n">
        <x:v>0.181868</x:v>
      </x:c>
      <x:c r="R98" s="28" t="n">
        <x:v>1.081355</x:v>
      </x:c>
      <x:c r="S98" s="28" t="n">
        <x:v>3.229781</x:v>
      </x:c>
      <x:c r="T98" s="28" t="n">
        <x:v>3.410849</x:v>
      </x:c>
      <x:c r="U98" t="str">
        <x:v>P2 Changed orientation</x:v>
      </x:c>
    </x:row>
    <x:row r="99">
      <x:c r="P99" t="n">
        <x:v>40</x:v>
      </x:c>
      <x:c r="Q99" s="28" t="n">
        <x:v>0.133473</x:v>
      </x:c>
      <x:c r="R99" s="28" t="n">
        <x:v>1.158869</x:v>
      </x:c>
      <x:c r="S99" s="28" t="n">
        <x:v>3.238836</x:v>
      </x:c>
      <x:c r="T99" s="28" t="n">
        <x:v>3.442507</x:v>
      </x:c>
      <x:c r="U99" t="str">
        <x:v>P2 Changed orientation</x:v>
      </x:c>
    </x:row>
    <x:row r="100">
      <x:c r="P100" t="n">
        <x:v>41</x:v>
      </x:c>
      <x:c r="Q100" s="28" t="n">
        <x:v>0.137995</x:v>
      </x:c>
      <x:c r="R100" s="28" t="n">
        <x:v>1.541462</x:v>
      </x:c>
      <x:c r="S100" s="28" t="n">
        <x:v>3.51676</x:v>
      </x:c>
      <x:c r="T100" s="28" t="n">
        <x:v>3.842232</x:v>
      </x:c>
      <x:c r="U100" t="str">
        <x:v>P3 Changed orientation</x:v>
      </x:c>
    </x:row>
    <x:row r="101">
      <x:c r="P101" t="n">
        <x:v>42</x:v>
      </x:c>
      <x:c r="Q101" s="28" t="n">
        <x:v>0.200911</x:v>
      </x:c>
      <x:c r="R101" s="28" t="n">
        <x:v>1.454226</x:v>
      </x:c>
      <x:c r="S101" s="28" t="n">
        <x:v>3.187968</x:v>
      </x:c>
      <x:c r="T101" s="28" t="n">
        <x:v>3.509741</x:v>
      </x:c>
      <x:c r="U101" t="str">
        <x:v>P3 Changed orientation</x:v>
      </x:c>
    </x:row>
    <x:row r="102">
      <x:c r="P102" t="n">
        <x:v>43</x:v>
      </x:c>
      <x:c r="Q102" s="28" t="n">
        <x:v>0.207507</x:v>
      </x:c>
      <x:c r="R102" s="28" t="n">
        <x:v>1.433607</x:v>
      </x:c>
      <x:c r="S102" s="28" t="n">
        <x:v>3.057716</x:v>
      </x:c>
      <x:c r="T102" s="28" t="n">
        <x:v>3.383477</x:v>
      </x:c>
      <x:c r="U102" t="str">
        <x:v>P3 Changed orientation</x:v>
      </x:c>
    </x:row>
    <x:row r="103">
      <x:c r="P103" t="n">
        <x:v>44</x:v>
      </x:c>
      <x:c r="Q103" s="28" t="n">
        <x:v>0.227469</x:v>
      </x:c>
      <x:c r="R103" s="28" t="n">
        <x:v>1.387009</x:v>
      </x:c>
      <x:c r="S103" s="28" t="n">
        <x:v>2.968588</x:v>
      </x:c>
      <x:c r="T103" s="28" t="n">
        <x:v>3.284517</x:v>
      </x:c>
      <x:c r="U103" t="str">
        <x:v>P3 Changed orientation</x:v>
      </x:c>
    </x:row>
    <x:row r="104">
      <x:c r="P104" t="n">
        <x:v>45</x:v>
      </x:c>
      <x:c r="Q104" s="28" t="n">
        <x:v>0.209479</x:v>
      </x:c>
      <x:c r="R104" s="28" t="n">
        <x:v>1.298926</x:v>
      </x:c>
      <x:c r="S104" s="28" t="n">
        <x:v>2.818917</x:v>
      </x:c>
      <x:c r="T104" s="28" t="n">
        <x:v>3.110849</x:v>
      </x:c>
      <x:c r="U104" t="str">
        <x:v>P3 Changed orientation</x:v>
      </x:c>
    </x:row>
    <x:row r="105">
      <x:c r="P105" t="n">
        <x:v>46</x:v>
      </x:c>
      <x:c r="Q105" s="28" t="n">
        <x:v>0.187264</x:v>
      </x:c>
      <x:c r="R105" s="28" t="n">
        <x:v>1.194585</x:v>
      </x:c>
      <x:c r="S105" s="28" t="n">
        <x:v>2.528502</x:v>
      </x:c>
      <x:c r="T105" s="28" t="n">
        <x:v>2.802753</x:v>
      </x:c>
      <x:c r="U105" t="str">
        <x:v>P3 Changed orientation</x:v>
      </x:c>
    </x:row>
    <x:row r="106">
      <x:c r="P106" t="n">
        <x:v>47</x:v>
      </x:c>
      <x:c r="Q106" s="28" t="n">
        <x:v>0.20032</x:v>
      </x:c>
      <x:c r="R106" s="28" t="n">
        <x:v>1.193699</x:v>
      </x:c>
      <x:c r="S106" s="28" t="n">
        <x:v>2.521079</x:v>
      </x:c>
      <x:c r="T106" s="28" t="n">
        <x:v>2.796584</x:v>
      </x:c>
      <x:c r="U106" t="str">
        <x:v>P3 Changed orientation</x:v>
      </x:c>
    </x:row>
    <x:row r="107">
      <x:c r="P107" t="n">
        <x:v>48</x:v>
      </x:c>
      <x:c r="Q107" s="28" t="n">
        <x:v>0.175162</x:v>
      </x:c>
      <x:c r="R107" s="28" t="n">
        <x:v>1.219176</x:v>
      </x:c>
      <x:c r="S107" s="28" t="n">
        <x:v>2.471903</x:v>
      </x:c>
      <x:c r="T107" s="28" t="n">
        <x:v>2.76177</x:v>
      </x:c>
      <x:c r="U107" t="str">
        <x:v>P3 Changed orientation</x:v>
      </x:c>
    </x:row>
    <x:row r="108">
      <x:c r="P108" t="n">
        <x:v>49</x:v>
      </x:c>
      <x:c r="Q108" s="28" t="n">
        <x:v>0.182295</x:v>
      </x:c>
      <x:c r="R108" s="28" t="n">
        <x:v>1.208786</x:v>
      </x:c>
      <x:c r="S108" s="28" t="n">
        <x:v>2.514642</x:v>
      </x:c>
      <x:c r="T108" s="28" t="n">
        <x:v>2.796036</x:v>
      </x:c>
      <x:c r="U108" t="str">
        <x:v>P3 Changed orientation</x:v>
      </x:c>
    </x:row>
    <x:row r="109">
      <x:c r="P109" t="n">
        <x:v>50</x:v>
      </x:c>
      <x:c r="Q109" s="28" t="n">
        <x:v>0.173847</x:v>
      </x:c>
      <x:c r="R109" s="28" t="n">
        <x:v>1.224151</x:v>
      </x:c>
      <x:c r="S109" s="28" t="n">
        <x:v>2.49808</x:v>
      </x:c>
      <x:c r="T109" s="28" t="n">
        <x:v>2.787323</x:v>
      </x:c>
      <x:c r="U109" t="str">
        <x:v>P3 Changed orientation</x:v>
      </x:c>
    </x:row>
    <x:row r="110">
      <x:c r="P110" t="n">
        <x:v>51</x:v>
      </x:c>
      <x:c r="Q110" s="28" t="n">
        <x:v>0.054364</x:v>
      </x:c>
      <x:c r="R110" s="28" t="n">
        <x:v>1.282266</x:v>
      </x:c>
      <x:c r="S110" s="28" t="n">
        <x:v>2.349992</x:v>
      </x:c>
      <x:c r="T110" s="28" t="n">
        <x:v>2.677615</x:v>
      </x:c>
      <x:c r="U110" t="str">
        <x:v>P4 Changed orientation</x:v>
      </x:c>
    </x:row>
    <x:row r="111">
      <x:c r="P111" t="n">
        <x:v>52</x:v>
      </x:c>
      <x:c r="Q111" s="28" t="n">
        <x:v>0.049647</x:v>
      </x:c>
      <x:c r="R111" s="28" t="n">
        <x:v>1.047143</x:v>
      </x:c>
      <x:c r="S111" s="28" t="n">
        <x:v>1.821448</x:v>
      </x:c>
      <x:c r="T111" s="28" t="n">
        <x:v>2.101581</x:v>
      </x:c>
      <x:c r="U111" t="str">
        <x:v>P4 Changed orientation</x:v>
      </x:c>
    </x:row>
    <x:row r="112">
      <x:c r="P112" t="n">
        <x:v>53</x:v>
      </x:c>
      <x:c r="Q112" s="28" t="n">
        <x:v>0.063384</x:v>
      </x:c>
      <x:c r="R112" s="28" t="n">
        <x:v>1.044336</x:v>
      </x:c>
      <x:c r="S112" s="28" t="n">
        <x:v>1.829295</x:v>
      </x:c>
      <x:c r="T112" s="28" t="n">
        <x:v>2.107362</x:v>
      </x:c>
      <x:c r="U112" t="str">
        <x:v>P4 Changed orientation</x:v>
      </x:c>
    </x:row>
    <x:row r="113">
      <x:c r="P113" t="n">
        <x:v>54</x:v>
      </x:c>
      <x:c r="Q113" s="28" t="n">
        <x:v>0.073333</x:v>
      </x:c>
      <x:c r="R113" s="28" t="n">
        <x:v>1.079138</x:v>
      </x:c>
      <x:c r="S113" s="28" t="n">
        <x:v>1.830704</x:v>
      </x:c>
      <x:c r="T113" s="28" t="n">
        <x:v>2.126356</x:v>
      </x:c>
      <x:c r="U113" t="str">
        <x:v>P4 Changed orientation</x:v>
      </x:c>
    </x:row>
    <x:row r="114">
      <x:c r="P114" t="n">
        <x:v>55</x:v>
      </x:c>
      <x:c r="Q114" s="28" t="n">
        <x:v>0.069688</x:v>
      </x:c>
      <x:c r="R114" s="28" t="n">
        <x:v>1.063481</x:v>
      </x:c>
      <x:c r="S114" s="28" t="n">
        <x:v>1.877101</x:v>
      </x:c>
      <x:c r="T114" s="28" t="n">
        <x:v>2.158555</x:v>
      </x:c>
      <x:c r="U114" t="str">
        <x:v>P4 Changed orientation</x:v>
      </x:c>
    </x:row>
    <x:row r="115">
      <x:c r="P115" t="n">
        <x:v>56</x:v>
      </x:c>
      <x:c r="Q115" s="28" t="n">
        <x:v>0.07065</x:v>
      </x:c>
      <x:c r="R115" s="28" t="n">
        <x:v>1.057925</x:v>
      </x:c>
      <x:c r="S115" s="28" t="n">
        <x:v>1.920326</x:v>
      </x:c>
      <x:c r="T115" s="28" t="n">
        <x:v>2.193592</x:v>
      </x:c>
      <x:c r="U115" t="str">
        <x:v>P4 Changed orientation</x:v>
      </x:c>
    </x:row>
    <x:row r="116">
      <x:c r="P116" t="n">
        <x:v>57</x:v>
      </x:c>
      <x:c r="Q116" s="28" t="n">
        <x:v>0.077312</x:v>
      </x:c>
      <x:c r="R116" s="28" t="n">
        <x:v>1.060788</x:v>
      </x:c>
      <x:c r="S116" s="28" t="n">
        <x:v>1.903341</x:v>
      </x:c>
      <x:c r="T116" s="28" t="n">
        <x:v>2.180357</x:v>
      </x:c>
      <x:c r="U116" t="str">
        <x:v>P4 Changed orientation</x:v>
      </x:c>
    </x:row>
    <x:row r="117">
      <x:c r="P117" t="n">
        <x:v>58</x:v>
      </x:c>
      <x:c r="Q117" s="28" t="n">
        <x:v>0.060652</x:v>
      </x:c>
      <x:c r="R117" s="28" t="n">
        <x:v>1.079327</x:v>
      </x:c>
      <x:c r="S117" s="28" t="n">
        <x:v>1.837677</x:v>
      </x:c>
      <x:c r="T117" s="28" t="n">
        <x:v>2.13206</x:v>
      </x:c>
      <x:c r="U117" t="str">
        <x:v>P4 Changed orientation</x:v>
      </x:c>
    </x:row>
    <x:row r="118">
      <x:c r="P118" t="n">
        <x:v>59</x:v>
      </x:c>
      <x:c r="Q118" s="28" t="n">
        <x:v>0.0833</x:v>
      </x:c>
      <x:c r="R118" s="28" t="n">
        <x:v>1.086385</x:v>
      </x:c>
      <x:c r="S118" s="28" t="n">
        <x:v>1.783791</x:v>
      </x:c>
      <x:c r="T118" s="28" t="n">
        <x:v>2.090234</x:v>
      </x:c>
      <x:c r="U118" t="str">
        <x:v>P4 Changed orientation</x:v>
      </x:c>
    </x:row>
    <x:row r="119">
      <x:c r="P119" t="n">
        <x:v>60</x:v>
      </x:c>
      <x:c r="Q119" s="28" t="n">
        <x:v>0.080348</x:v>
      </x:c>
      <x:c r="R119" s="28" t="n">
        <x:v>1.090853</x:v>
      </x:c>
      <x:c r="S119" s="28" t="n">
        <x:v>1.805547</x:v>
      </x:c>
      <x:c r="T119" s="28" t="n">
        <x:v>2.111023</x:v>
      </x:c>
      <x:c r="U119" t="str">
        <x:v>P4 Changed orientation</x:v>
      </x:c>
    </x:row>
    <x:row r="120">
      <x:c r="P120" t="n">
        <x:v>61</x:v>
      </x:c>
      <x:c r="Q120" s="28" t="n">
        <x:v>0.119135</x:v>
      </x:c>
      <x:c r="R120" s="28" t="n">
        <x:v>1.034871</x:v>
      </x:c>
      <x:c r="S120" s="28" t="n">
        <x:v>1.874831</x:v>
      </x:c>
      <x:c r="T120" s="28" t="n">
        <x:v>2.144795</x:v>
      </x:c>
      <x:c r="U120" t="str">
        <x:v>P5 Changed orientation</x:v>
      </x:c>
    </x:row>
    <x:row r="121">
      <x:c r="P121" t="n">
        <x:v>62</x:v>
      </x:c>
      <x:c r="Q121" s="28" t="n">
        <x:v>0.168213</x:v>
      </x:c>
      <x:c r="R121" s="28" t="n">
        <x:v>1.00181</x:v>
      </x:c>
      <x:c r="S121" s="28" t="n">
        <x:v>1.824207</x:v>
      </x:c>
      <x:c r="T121" s="28" t="n">
        <x:v>2.087977</x:v>
      </x:c>
      <x:c r="U121" t="str">
        <x:v>P5 Changed orientation</x:v>
      </x:c>
    </x:row>
    <x:row r="122">
      <x:c r="P122" t="n">
        <x:v>63</x:v>
      </x:c>
      <x:c r="Q122" s="28" t="n">
        <x:v>0.150104</x:v>
      </x:c>
      <x:c r="R122" s="28" t="n">
        <x:v>1.51799</x:v>
      </x:c>
      <x:c r="S122" s="28" t="n">
        <x:v>3.158513</x:v>
      </x:c>
      <x:c r="T122" s="28" t="n">
        <x:v>3.507567</x:v>
      </x:c>
      <x:c r="U122" t="str">
        <x:v>P5 Changed orientation</x:v>
      </x:c>
    </x:row>
    <x:row r="123">
      <x:c r="P123" t="n">
        <x:v>64</x:v>
      </x:c>
      <x:c r="Q123" s="28" t="n">
        <x:v>0.109497</x:v>
      </x:c>
      <x:c r="R123" s="28" t="n">
        <x:v>1.544325</x:v>
      </x:c>
      <x:c r="S123" s="28" t="n">
        <x:v>3.226529</x:v>
      </x:c>
      <x:c r="T123" s="28" t="n">
        <x:v>3.578745</x:v>
      </x:c>
      <x:c r="U123" t="str">
        <x:v>P5 Changed orientation</x:v>
      </x:c>
    </x:row>
    <x:row r="124">
      <x:c r="P124" t="n">
        <x:v>65</x:v>
      </x:c>
      <x:c r="Q124" s="28" t="n">
        <x:v>0.112061</x:v>
      </x:c>
      <x:c r="R124" s="28" t="n">
        <x:v>1.54461</x:v>
      </x:c>
      <x:c r="S124" s="28" t="n">
        <x:v>3.246964</x:v>
      </x:c>
      <x:c r="T124" s="28" t="n">
        <x:v>3.597381</x:v>
      </x:c>
      <x:c r="U124" t="str">
        <x:v>P5 Changed orientation</x:v>
      </x:c>
    </x:row>
    <x:row r="125">
      <x:c r="P125" t="n">
        <x:v>66</x:v>
      </x:c>
      <x:c r="Q125" s="28" t="n">
        <x:v>0.104879</x:v>
      </x:c>
      <x:c r="R125" s="28" t="n">
        <x:v>1.557841</x:v>
      </x:c>
      <x:c r="S125" s="28" t="n">
        <x:v>3.342431</x:v>
      </x:c>
      <x:c r="T125" s="28" t="n">
        <x:v>3.689134</x:v>
      </x:c>
      <x:c r="U125" t="str">
        <x:v>P5 Changed orientation</x:v>
      </x:c>
    </x:row>
    <x:row r="126">
      <x:c r="P126" t="n">
        <x:v>67</x:v>
      </x:c>
      <x:c r="Q126" s="28" t="n">
        <x:v>0.109727</x:v>
      </x:c>
      <x:c r="R126" s="28" t="n">
        <x:v>1.463046</x:v>
      </x:c>
      <x:c r="S126" s="28" t="n">
        <x:v>3.151805</x:v>
      </x:c>
      <x:c r="T126" s="28" t="n">
        <x:v>3.476552</x:v>
      </x:c>
      <x:c r="U126" t="str">
        <x:v>P5 Changed orientation</x:v>
      </x:c>
    </x:row>
    <x:row r="127">
      <x:c r="P127" t="n">
        <x:v>68</x:v>
      </x:c>
      <x:c r="Q127" s="28" t="n">
        <x:v>0.110317</x:v>
      </x:c>
      <x:c r="R127" s="28" t="n">
        <x:v>1.419004</x:v>
      </x:c>
      <x:c r="S127" s="28" t="n">
        <x:v>3.046734</x:v>
      </x:c>
      <x:c r="T127" s="28" t="n">
        <x:v>3.362786</x:v>
      </x:c>
      <x:c r="U127" t="str">
        <x:v>P5 Changed orientation</x:v>
      </x:c>
    </x:row>
    <x:row r="128">
      <x:c r="P128" t="n">
        <x:v>69</x:v>
      </x:c>
      <x:c r="Q128" s="28" t="n">
        <x:v>0.111111</x:v>
      </x:c>
      <x:c r="R128" s="28" t="n">
        <x:v>1.393643</x:v>
      </x:c>
      <x:c r="S128" s="28" t="n">
        <x:v>2.993127</x:v>
      </x:c>
      <x:c r="T128" s="28" t="n">
        <x:v>3.303543</x:v>
      </x:c>
      <x:c r="U128" t="str">
        <x:v>P5 Changed orientation</x:v>
      </x:c>
    </x:row>
    <x:row r="129">
      <x:c r="P129" t="n">
        <x:v>70</x:v>
      </x:c>
      <x:c r="Q129" s="28" t="n">
        <x:v>0.091527</x:v>
      </x:c>
      <x:c r="R129" s="28" t="n">
        <x:v>1.376702</x:v>
      </x:c>
      <x:c r="S129" s="28" t="n">
        <x:v>2.978653</x:v>
      </x:c>
      <x:c r="T129" s="28" t="n">
        <x:v>3.282691</x:v>
      </x:c>
      <x:c r="U129" t="str">
        <x:v>P5 Changed orientation</x:v>
      </x:c>
    </x:row>
    <x:row r="130">
      <x:c r="P130" t="n">
        <x:v>71</x:v>
      </x:c>
      <x:c r="Q130" s="28" t="n">
        <x:v>0.092093</x:v>
      </x:c>
      <x:c r="R130" s="28" t="n">
        <x:v>1.176372</x:v>
      </x:c>
      <x:c r="S130" s="28" t="n">
        <x:v>2.665399</x:v>
      </x:c>
      <x:c r="T130" s="28" t="n">
        <x:v>2.914907</x:v>
      </x:c>
      <x:c r="U130" t="str">
        <x:v>P6 Changed orientation</x:v>
      </x:c>
    </x:row>
    <x:row r="131">
      <x:c r="P131" t="n">
        <x:v>72</x:v>
      </x:c>
      <x:c r="Q131" s="28" t="n">
        <x:v>0.111734</x:v>
      </x:c>
      <x:c r="R131" s="28" t="n">
        <x:v>1.237205</x:v>
      </x:c>
      <x:c r="S131" s="28" t="n">
        <x:v>2.881325</x:v>
      </x:c>
      <x:c r="T131" s="28" t="n">
        <x:v>3.137705</x:v>
      </x:c>
      <x:c r="U131" t="str">
        <x:v>P6 Changed orientation</x:v>
      </x:c>
    </x:row>
    <x:row r="132">
      <x:c r="P132" t="n">
        <x:v>73</x:v>
      </x:c>
      <x:c r="Q132" s="28" t="n">
        <x:v>0.12352</x:v>
      </x:c>
      <x:c r="R132" s="28" t="n">
        <x:v>1.237847</x:v>
      </x:c>
      <x:c r="S132" s="28" t="n">
        <x:v>2.812783</x:v>
      </x:c>
      <x:c r="T132" s="28" t="n">
        <x:v>3.075592</x:v>
      </x:c>
      <x:c r="U132" t="str">
        <x:v>P6 Changed orientation</x:v>
      </x:c>
    </x:row>
    <x:row r="133">
      <x:c r="P133" t="n">
        <x:v>74</x:v>
      </x:c>
      <x:c r="Q133" s="28" t="n">
        <x:v>0.115634</x:v>
      </x:c>
      <x:c r="R133" s="28" t="n">
        <x:v>1.233548</x:v>
      </x:c>
      <x:c r="S133" s="28" t="n">
        <x:v>2.842037</x:v>
      </x:c>
      <x:c r="T133" s="28" t="n">
        <x:v>3.100353</x:v>
      </x:c>
      <x:c r="U133" t="str">
        <x:v>P6 Changed orientation</x:v>
      </x:c>
    </x:row>
    <x:row r="134">
      <x:c r="P134" t="n">
        <x:v>75</x:v>
      </x:c>
      <x:c r="Q134" s="28" t="n">
        <x:v>0.112158</x:v>
      </x:c>
      <x:c r="R134" s="28" t="n">
        <x:v>1.232437</x:v>
      </x:c>
      <x:c r="S134" s="28" t="n">
        <x:v>2.854898</x:v>
      </x:c>
      <x:c r="T134" s="28" t="n">
        <x:v>3.111579</x:v>
      </x:c>
      <x:c r="U134" t="str">
        <x:v>P6 Changed orientation</x:v>
      </x:c>
    </x:row>
    <x:row r="135">
      <x:c r="P135" t="n">
        <x:v>76</x:v>
      </x:c>
      <x:c r="Q135" s="28" t="n">
        <x:v>0.093427</x:v>
      </x:c>
      <x:c r="R135" s="28" t="n">
        <x:v>1.228857</x:v>
      </x:c>
      <x:c r="S135" s="28" t="n">
        <x:v>2.836446</x:v>
      </x:c>
      <x:c r="T135" s="28" t="n">
        <x:v>3.092611</x:v>
      </x:c>
      <x:c r="U135" t="str">
        <x:v>P6 Changed orientation</x:v>
      </x:c>
    </x:row>
    <x:row r="136">
      <x:c r="P136" t="n">
        <x:v>77</x:v>
      </x:c>
      <x:c r="Q136" s="28" t="n">
        <x:v>0.095036</x:v>
      </x:c>
      <x:c r="R136" s="28" t="n">
        <x:v>1.199137</x:v>
      </x:c>
      <x:c r="S136" s="28" t="n">
        <x:v>2.79989</x:v>
      </x:c>
      <x:c r="T136" s="28" t="n">
        <x:v>3.047351</x:v>
      </x:c>
      <x:c r="U136" t="str">
        <x:v>P6 Changed orientation</x:v>
      </x:c>
    </x:row>
    <x:row r="137">
      <x:c r="P137" t="n">
        <x:v>78</x:v>
      </x:c>
      <x:c r="Q137" s="28" t="n">
        <x:v>0.12514</x:v>
      </x:c>
      <x:c r="R137" s="28" t="n">
        <x:v>1.187728</x:v>
      </x:c>
      <x:c r="S137" s="28" t="n">
        <x:v>2.792337</x:v>
      </x:c>
      <x:c r="T137" s="28" t="n">
        <x:v>3.037022</x:v>
      </x:c>
      <x:c r="U137" t="str">
        <x:v>P6 Changed orientation</x:v>
      </x:c>
    </x:row>
    <x:row r="138">
      <x:c r="P138" t="n">
        <x:v>79</x:v>
      </x:c>
      <x:c r="Q138" s="28" t="n">
        <x:v>0.105218</x:v>
      </x:c>
      <x:c r="R138" s="28" t="n">
        <x:v>1.186659</x:v>
      </x:c>
      <x:c r="S138" s="28" t="n">
        <x:v>2.778551</x:v>
      </x:c>
      <x:c r="T138" s="28" t="n">
        <x:v>3.023173</x:v>
      </x:c>
      <x:c r="U138" t="str">
        <x:v>P6 Changed orientation</x:v>
      </x:c>
    </x:row>
    <x:row r="139">
      <x:c r="P139" t="n">
        <x:v>80</x:v>
      </x:c>
      <x:c r="Q139" s="28" t="n">
        <x:v>0.113901</x:v>
      </x:c>
      <x:c r="R139" s="28" t="n">
        <x:v>1.190035</x:v>
      </x:c>
      <x:c r="S139" s="28" t="n">
        <x:v>2.826505</x:v>
      </x:c>
      <x:c r="T139" s="28" t="n">
        <x:v>3.068923</x:v>
      </x:c>
      <x:c r="U139" t="str">
        <x:v>P6 Changed orientation</x:v>
      </x:c>
    </x:row>
    <x:row r="140">
      <x:c r="P140" t="n">
        <x:v>81</x:v>
      </x:c>
      <x:c r="Q140" s="28" t="n">
        <x:v>0.143725</x:v>
      </x:c>
      <x:c r="R140" s="28" t="n">
        <x:v>1.064056</x:v>
      </x:c>
      <x:c r="S140" s="28" t="n">
        <x:v>2.560466</x:v>
      </x:c>
      <x:c r="T140" s="28" t="n">
        <x:v>2.776483</x:v>
      </x:c>
      <x:c r="U140" t="str">
        <x:v>P7 Changed orientation</x:v>
      </x:c>
    </x:row>
    <x:row r="141">
      <x:c r="P141" t="n">
        <x:v>82</x:v>
      </x:c>
      <x:c r="Q141" s="28" t="n">
        <x:v>0.122782</x:v>
      </x:c>
      <x:c r="R141" s="28" t="n">
        <x:v>1.048542</x:v>
      </x:c>
      <x:c r="S141" s="28" t="n">
        <x:v>2.545241</x:v>
      </x:c>
      <x:c r="T141" s="28" t="n">
        <x:v>2.755498</x:v>
      </x:c>
      <x:c r="U141" t="str">
        <x:v>P7 Changed orientation</x:v>
      </x:c>
    </x:row>
    <x:row r="142">
      <x:c r="P142" t="n">
        <x:v>83</x:v>
      </x:c>
      <x:c r="Q142" s="28" t="n">
        <x:v>0.383828</x:v>
      </x:c>
      <x:c r="R142" s="28" t="n">
        <x:v>0.886182</x:v>
      </x:c>
      <x:c r="S142" s="28" t="n">
        <x:v>2.234576</x:v>
      </x:c>
      <x:c r="T142" s="28" t="n">
        <x:v>2.434332</x:v>
      </x:c>
      <x:c r="U142" t="str">
        <x:v>P7 Changed orientation</x:v>
      </x:c>
    </x:row>
    <x:row r="143">
      <x:c r="P143" t="n">
        <x:v>84</x:v>
      </x:c>
      <x:c r="Q143" s="28" t="n">
        <x:v>0.364312</x:v>
      </x:c>
      <x:c r="R143" s="28" t="n">
        <x:v>0.879481</x:v>
      </x:c>
      <x:c r="S143" s="28" t="n">
        <x:v>2.051695</x:v>
      </x:c>
      <x:c r="T143" s="28" t="n">
        <x:v>2.261783</x:v>
      </x:c>
      <x:c r="U143" t="str">
        <x:v>P7 Changed orientation</x:v>
      </x:c>
    </x:row>
    <x:row r="144">
      <x:c r="P144" t="n">
        <x:v>85</x:v>
      </x:c>
      <x:c r="Q144" s="28" t="n">
        <x:v>0.346478</x:v>
      </x:c>
      <x:c r="R144" s="28" t="n">
        <x:v>0.839174</x:v>
      </x:c>
      <x:c r="S144" s="28" t="n">
        <x:v>2.012683</x:v>
      </x:c>
      <x:c r="T144" s="28" t="n">
        <x:v>2.207975</x:v>
      </x:c>
      <x:c r="U144" t="str">
        <x:v>P7 Changed orientation</x:v>
      </x:c>
    </x:row>
    <x:row r="145">
      <x:c r="P145" t="n">
        <x:v>86</x:v>
      </x:c>
      <x:c r="Q145" s="28" t="n">
        <x:v>0.383661</x:v>
      </x:c>
      <x:c r="R145" s="28" t="n">
        <x:v>0.857768</x:v>
      </x:c>
      <x:c r="S145" s="28" t="n">
        <x:v>2.000847</x:v>
      </x:c>
      <x:c r="T145" s="28" t="n">
        <x:v>2.210509</x:v>
      </x:c>
      <x:c r="U145" t="str">
        <x:v>P7 Changed orientation</x:v>
      </x:c>
    </x:row>
    <x:row r="146">
      <x:c r="P146" t="n">
        <x:v>87</x:v>
      </x:c>
      <x:c r="Q146" s="28" t="n">
        <x:v>0.400572</x:v>
      </x:c>
      <x:c r="R146" s="28" t="n">
        <x:v>0.811783</x:v>
      </x:c>
      <x:c r="S146" s="28" t="n">
        <x:v>1.958194</x:v>
      </x:c>
      <x:c r="T146" s="28" t="n">
        <x:v>2.157307</x:v>
      </x:c>
      <x:c r="U146" t="str">
        <x:v>P7 Changed orientation</x:v>
      </x:c>
    </x:row>
    <x:row r="147">
      <x:c r="P147" t="n">
        <x:v>88</x:v>
      </x:c>
      <x:c r="Q147" s="28" t="n">
        <x:v>0.408855</x:v>
      </x:c>
      <x:c r="R147" s="28" t="n">
        <x:v>0.782097</x:v>
      </x:c>
      <x:c r="S147" s="28" t="n">
        <x:v>1.869194</x:v>
      </x:c>
      <x:c r="T147" s="28" t="n">
        <x:v>2.067057</x:v>
      </x:c>
      <x:c r="U147" t="str">
        <x:v>P7 Changed orientation</x:v>
      </x:c>
    </x:row>
    <x:row r="148">
      <x:c r="P148" t="n">
        <x:v>89</x:v>
      </x:c>
      <x:c r="Q148" s="28" t="n">
        <x:v>0.425407</x:v>
      </x:c>
      <x:c r="R148" s="28" t="n">
        <x:v>0.77505</x:v>
      </x:c>
      <x:c r="S148" s="28" t="n">
        <x:v>1.817772</x:v>
      </x:c>
      <x:c r="T148" s="28" t="n">
        <x:v>2.021378</x:v>
      </x:c>
      <x:c r="U148" t="str">
        <x:v>P7 Changed orientation</x:v>
      </x:c>
    </x:row>
    <x:row r="149">
      <x:c r="P149" t="n">
        <x:v>90</x:v>
      </x:c>
      <x:c r="Q149" s="28" t="n">
        <x:v>0.3623</x:v>
      </x:c>
      <x:c r="R149" s="28" t="n">
        <x:v>0.779694</x:v>
      </x:c>
      <x:c r="S149" s="28" t="n">
        <x:v>1.80948</x:v>
      </x:c>
      <x:c r="T149" s="28" t="n">
        <x:v>2.003347</x:v>
      </x:c>
      <x:c r="U149" t="str">
        <x:v>P7 Changed orientation</x:v>
      </x:c>
    </x:row>
    <x:row r="150">
      <x:c r="P150" t="n">
        <x:v>91</x:v>
      </x:c>
      <x:c r="Q150" s="28" t="n">
        <x:v>0.092461</x:v>
      </x:c>
      <x:c r="R150" s="28" t="n">
        <x:v>0.693555</x:v>
      </x:c>
      <x:c r="S150" s="28" t="n">
        <x:v>1.023411</x:v>
      </x:c>
      <x:c r="T150" s="28" t="n">
        <x:v>1.239732</x:v>
      </x:c>
      <x:c r="U150" t="str">
        <x:v>Transition / repositioning</x:v>
      </x:c>
    </x:row>
    <x:row r="151">
      <x:c r="P151" t="n">
        <x:v>92</x:v>
      </x:c>
      <x:c r="Q151" s="28" t="n">
        <x:v>0.177981</x:v>
      </x:c>
      <x:c r="R151" s="28" t="n">
        <x:v>0.925762</x:v>
      </x:c>
      <x:c r="S151" s="28" t="n">
        <x:v>0.912947</x:v>
      </x:c>
      <x:c r="T151" s="28" t="n">
        <x:v>1.31232</x:v>
      </x:c>
      <x:c r="U151" t="str">
        <x:v>Transition / repositioning</x:v>
      </x:c>
    </x:row>
    <x:row r="152">
      <x:c r="P152" t="n">
        <x:v>93</x:v>
      </x:c>
      <x:c r="Q152" s="28" t="n">
        <x:v>0.198996</x:v>
      </x:c>
      <x:c r="R152" s="28" t="n">
        <x:v>0.962225</x:v>
      </x:c>
      <x:c r="S152" s="28" t="n">
        <x:v>0.866105</x:v>
      </x:c>
      <x:c r="T152" s="28" t="n">
        <x:v>1.309815</x:v>
      </x:c>
      <x:c r="U152" t="str">
        <x:v>P0R Reference return</x:v>
      </x:c>
    </x:row>
    <x:row r="153">
      <x:c r="P153" t="n">
        <x:v>94</x:v>
      </x:c>
      <x:c r="Q153" s="28" t="n">
        <x:v>0.194599</x:v>
      </x:c>
      <x:c r="R153" s="28" t="n">
        <x:v>0.974592</x:v>
      </x:c>
      <x:c r="S153" s="28" t="n">
        <x:v>0.876046</x:v>
      </x:c>
      <x:c r="T153" s="28" t="n">
        <x:v>1.324822</x:v>
      </x:c>
      <x:c r="U153" t="str">
        <x:v>P0R Reference return</x:v>
      </x:c>
    </x:row>
    <x:row r="154">
      <x:c r="P154" t="n">
        <x:v>95</x:v>
      </x:c>
      <x:c r="Q154" s="28" t="n">
        <x:v>0.194975</x:v>
      </x:c>
      <x:c r="R154" s="28" t="n">
        <x:v>1.038368</x:v>
      </x:c>
      <x:c r="S154" s="28" t="n">
        <x:v>0.955961</x:v>
      </x:c>
      <x:c r="T154" s="28" t="n">
        <x:v>1.42481</x:v>
      </x:c>
      <x:c r="U154" t="str">
        <x:v>P0R Reference return</x:v>
      </x:c>
    </x:row>
    <x:row r="155">
      <x:c r="P155" t="n">
        <x:v>96</x:v>
      </x:c>
      <x:c r="Q155" s="28" t="n">
        <x:v>0.198007</x:v>
      </x:c>
      <x:c r="R155" s="28" t="n">
        <x:v>1.076997</x:v>
      </x:c>
      <x:c r="S155" s="28" t="n">
        <x:v>0.925843</x:v>
      </x:c>
      <x:c r="T155" s="28" t="n">
        <x:v>1.433986</x:v>
      </x:c>
      <x:c r="U155" t="str">
        <x:v>P0R Reference return</x:v>
      </x:c>
    </x:row>
    <x:row r="156">
      <x:c r="P156" t="n">
        <x:v>97</x:v>
      </x:c>
      <x:c r="Q156" s="28" t="n">
        <x:v>0.185332</x:v>
      </x:c>
      <x:c r="R156" s="28" t="n">
        <x:v>1.100476</x:v>
      </x:c>
      <x:c r="S156" s="28" t="n">
        <x:v>0.96103</x:v>
      </x:c>
      <x:c r="T156" s="28" t="n">
        <x:v>1.472744</x:v>
      </x:c>
      <x:c r="U156" t="str">
        <x:v>P0R Reference return</x:v>
      </x:c>
    </x:row>
    <x:row r="157">
      <x:c r="P157" t="n">
        <x:v>98</x:v>
      </x:c>
      <x:c r="Q157" s="28" t="n">
        <x:v>0.178433</x:v>
      </x:c>
      <x:c r="R157" s="28" t="n">
        <x:v>1.089065</x:v>
      </x:c>
      <x:c r="S157" s="28" t="n">
        <x:v>0.916921</x:v>
      </x:c>
      <x:c r="T157" s="28" t="n">
        <x:v>1.434798</x:v>
      </x:c>
      <x:c r="U157" t="str">
        <x:v>P0R Reference return</x:v>
      </x:c>
    </x:row>
    <x:row r="158">
      <x:c r="P158" t="n">
        <x:v>99</x:v>
      </x:c>
      <x:c r="Q158" s="28" t="n">
        <x:v>0.1962</x:v>
      </x:c>
      <x:c r="R158" s="28" t="n">
        <x:v>1.086396</x:v>
      </x:c>
      <x:c r="S158" s="28" t="n">
        <x:v>0.906989</x:v>
      </x:c>
      <x:c r="T158" s="28" t="n">
        <x:v>1.428769</x:v>
      </x:c>
      <x:c r="U158" t="str">
        <x:v>P0R Reference return</x:v>
      </x:c>
    </x:row>
    <x:row r="159">
      <x:c r="P159" t="n">
        <x:v>100</x:v>
      </x:c>
      <x:c r="Q159" s="28" t="n">
        <x:v>0.191417</x:v>
      </x:c>
      <x:c r="R159" s="28" t="n">
        <x:v>1.081703</x:v>
      </x:c>
      <x:c r="S159" s="28" t="n">
        <x:v>0.923025</x:v>
      </x:c>
      <x:c r="T159" s="28" t="n">
        <x:v>1.434816</x:v>
      </x:c>
      <x:c r="U159" t="str">
        <x:v>P0R Reference return</x:v>
      </x:c>
    </x:row>
    <x:row r="160">
      <x:c r="P160" t="n">
        <x:v>101</x:v>
      </x:c>
      <x:c r="Q160" s="28" t="n">
        <x:v>0.187255</x:v>
      </x:c>
      <x:c r="R160" s="28" t="n">
        <x:v>1.078823</x:v>
      </x:c>
      <x:c r="S160" s="28" t="n">
        <x:v>0.901861</x:v>
      </x:c>
      <x:c r="T160" s="28" t="n">
        <x:v>1.418547</x:v>
      </x:c>
      <x:c r="U160" t="str">
        <x:v>P0R Reference return</x:v>
      </x:c>
    </x:row>
    <x:row r="161">
      <x:c r="P161" t="n">
        <x:v>102</x:v>
      </x:c>
      <x:c r="Q161" s="28" t="n">
        <x:v>0.186735</x:v>
      </x:c>
      <x:c r="R161" s="28" t="n">
        <x:v>1.118528</x:v>
      </x:c>
      <x:c r="S161" s="28" t="n">
        <x:v>0.922359</x:v>
      </x:c>
      <x:c r="T161" s="28" t="n">
        <x:v>1.461753</x:v>
      </x:c>
      <x:c r="U161" t="str">
        <x:v>P0R Reference return</x:v>
      </x:c>
    </x:row>
  </x:sheetData>
  <x:mergeCells>
    <x:mergeCell ref="A1:R1"/>
    <x:mergeCell ref="A2:R2"/>
    <x:mergeCell ref="A4:R4"/>
    <x:mergeCell ref="A17:N17"/>
    <x:mergeCell ref="F17:N17"/>
    <x:mergeCell ref="A58:N58"/>
    <x:mergeCell ref="A63:N65"/>
    <x:mergeCell ref="A68:N68"/>
    <x:mergeCell ref="P58:U58"/>
  </x:mergeCells>
  <x:pageMargins left="0.7" right="0.7" top="0.75" bottom="0.75" header="0.3" footer="0.3"/>
  <x:drawing xmlns:r="http://schemas.openxmlformats.org/officeDocument/2006/relationships" r:id="R344576fbde944260"/>
  <x:tableParts count="1">
    <x:tablePart xmlns:r="http://schemas.openxmlformats.org/officeDocument/2006/relationships" r:id="R9b908cb425b847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Thesis Interpretation and Reporting Guidance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3" t="str">
        <x:v>Narrative analysis tied directly to this measured dataset.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33" t="str">
        <x:v>1. Fixed command is not an orientation-independent physical calibration</x:v>
      </x:c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</x:row>
    <x:row r="5" ht="52" customHeight="1">
      <x:c r="A5" s="13" t="str">
        <x:v>The same 268 Hz / DAC 14.75 electrical command produced markedly different physical accelerations across pose states. A fixed DAC therefore cannot be treated as a transferable Z-axis acceleration calibration when orientation/contact/boundary conditions change.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</x:row>
    <x:row r="8">
      <x:c r="A8" s="33" t="str">
        <x:v>2. Orientation changes directional vibration distribution</x:v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</x:row>
    <x:row r="9" ht="52" customHeight="1">
      <x:c r="A9" s="13" t="str">
        <x:v>P0 is Y-dominant, while all seven changed orientations are Z-dominant. The coupled actuator–mount–hand directional transfer characteristics depend strongly on mechanical state.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2">
      <x:c r="A12" s="33" t="str">
        <x:v>3. The observation is more than coordinate rotation</x:v>
      </x:c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</x:row>
    <x:row r="13" ht="52" customHeight="1">
      <x:c r="A13" s="13" t="str">
        <x:v>RSS changes from about 1.884 m/s² in P0 to about 4.006 m/s² in P1. Pure coordinate rotation of an unchanged physical vector would not produce that RSS change.</x:v>
      </x:c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6">
      <x:c r="A16" s="33" t="str">
        <x:v>4. Reference return reveals incomplete state recovery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</x:row>
    <x:row r="17" ht="52" customHeight="1">
      <x:c r="A17" s="13" t="str">
        <x:v>P0R regains a similar Y/Z squared-amplitude distribution but not the initial absolute magnitude; RSS remains roughly 25% lower.</x:v>
      </x:c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20">
      <x:c r="A20" s="33" t="str">
        <x:v>5. Implication for single-axis amplitude matching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</x:row>
    <x:row r="21" ht="52" customHeight="1">
      <x:c r="A21" s="13" t="str">
        <x:v>Matching Z does not independently constrain X, Y and RSS. One actuator command acts through a multiaxial pose-dependent transfer function.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4">
      <x:c r="A24" s="33" t="str">
        <x:v>6. Implication for later phase cancellation / FxLMS</x:v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</x:row>
    <x:row r="25" ht="52" customHeight="1">
      <x:c r="A25" s="13" t="str">
        <x:v>This monitor does not measure transfer phase, so no direct phase-change claim is made. It does prove that transfer magnitude changes enough to invalidate a permanently frozen DAC-to-acceleration calibration.</x:v>
      </x:c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8">
      <x:c r="A28" s="33" t="str">
        <x:v>7. Data-quality interpretation</x:v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</x:row>
    <x:row r="29" ht="52" customHeight="1">
      <x:c r="A29" s="13" t="str">
        <x:v>All 102 records retained three valid windows. Y passes the 10% intra-record CV criterion in all assigned pose records and Z in 99 of 100; most TRANSIENT flags are driven by the much smaller X component.</x:v>
      </x:c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  <x:row r="32">
      <x:c r="A32" s="33" t="str">
        <x:v>8. Limitations</x:v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</x:row>
    <x:row r="33" ht="52" customHeight="1">
      <x:c r="A33" s="13" t="str">
        <x:v>Exact angles were not recorded, pose order was sequential rather than randomized, the reference return was manually reproduced, and the orientation monitor contains neither spectral SNR nor phase output.</x:v>
      </x:c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</x:row>
    <x:row r="36">
      <x:c r="A36" s="33" t="str">
        <x:v>Suggested thesis result paragraph</x:v>
      </x:c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</x:row>
    <x:row r="37" ht="100" customHeight="1">
      <x:c r="A37" s="72" t="str">
        <x:v>Under a constant actuator command of 268 Hz and DAC 14.75, substantial orientation-dependent changes were observed in both the triaxial acceleration distribution and the total RSS acceleration. The initial reference configuration exhibited a mean Z-axis amplitude of approximately 1.216 m/s² and an RSS vector amplitude of approximately 1.884 m/s². Across seven manually changed orientations, the mean Z-axis amplitude ranged from approximately 1.896 to 3.724 m/s² and every changed pose became Z-dominant. Because the RSS magnitude also changed substantially, the result cannot be attributed solely to rotation of the coordinate frame; instead, the mechanical transfer characteristics of the actuator–mount–hand system changed with pose. Upon returning to the intended reference orientation, the Y/Z directional distribution approached its initial proportions, while the absolute RSS magnitude remained approximately 25% lower. Consequently, a fixed electrical actuator command should not be regarded as an orientation-independent physical acceleration calibration.</x:v>
      </x:c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</x:row>
    <x:row r="38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</x:row>
    <x:row r="39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</x:row>
  </x:sheetData>
  <x:mergeCells>
    <x:mergeCell ref="A1:N1"/>
    <x:mergeCell ref="A2:N2"/>
    <x:mergeCell ref="A4:N4"/>
    <x:mergeCell ref="A5:N6"/>
    <x:mergeCell ref="A8:N8"/>
    <x:mergeCell ref="A9:N10"/>
    <x:mergeCell ref="A12:N12"/>
    <x:mergeCell ref="A13:N14"/>
    <x:mergeCell ref="A16:N16"/>
    <x:mergeCell ref="A17:N18"/>
    <x:mergeCell ref="A20:N20"/>
    <x:mergeCell ref="A21:N22"/>
    <x:mergeCell ref="A24:N24"/>
    <x:mergeCell ref="A25:N26"/>
    <x:mergeCell ref="A28:N28"/>
    <x:mergeCell ref="A29:N30"/>
    <x:mergeCell ref="A32:N32"/>
    <x:mergeCell ref="A33:N34"/>
    <x:mergeCell ref="A36:N36"/>
    <x:mergeCell ref="A37:N4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54" hidden="0" customWidth="1"/>
  </x:cols>
  <x:sheetData>
    <x:row r="1" ht="28" customHeight="1">
      <x:c r="A1" s="5" t="str">
        <x:v>Method, Definitions, Thresholds and Source Notes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3" t="str">
        <x:v>Documents exactly what was measured and what was not measured.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Item</x:v>
      </x:c>
      <x:c r="B4" s="22" t="str">
        <x:v>Definition / value</x:v>
      </x:c>
      <x:c r="C4" s="22" t="str">
        <x:v>Use in workbook</x:v>
      </x:c>
    </x:row>
    <x:row r="5">
      <x:c r="A5" s="42" t="str">
        <x:v>Control frequency</x:v>
      </x:c>
      <x:c r="B5" s="42" t="str">
        <x:v>268 Hz nominal; actual NCO printed by firmware.</x:v>
      </x:c>
      <x:c r="C5" s="42" t="str">
        <x:v>Held constant during monitor.</x:v>
      </x:c>
    </x:row>
    <x:row r="6">
      <x:c r="A6" s="42" t="str">
        <x:v>Frozen command</x:v>
      </x:c>
      <x:c r="B6" s="42" t="str">
        <x:v>DAC 14.75 after amplitude match.</x:v>
      </x:c>
      <x:c r="C6" s="42" t="str">
        <x:v>No amplitude servo after lock.</x:v>
      </x:c>
    </x:row>
    <x:row r="7">
      <x:c r="A7" s="42" t="str">
        <x:v>Selected axis</x:v>
      </x:c>
      <x:c r="B7" s="42" t="str">
        <x:v>Z; target 1.2 m/s² peak.</x:v>
      </x:c>
      <x:c r="C7" s="42" t="str">
        <x:v>Amplitude-matching axis.</x:v>
      </x:c>
    </x:row>
    <x:row r="8">
      <x:c r="A8" s="42" t="str">
        <x:v>Monitor interval</x:v>
      </x:c>
      <x:c r="B8" s="42" t="str">
        <x:v>~2 s acquisition-start spacing.</x:v>
      </x:c>
      <x:c r="C8" s="42" t="str">
        <x:v>Records form a sequential time series.</x:v>
      </x:c>
    </x:row>
    <x:row r="9">
      <x:c r="A9" s="42" t="str">
        <x:v>Windows per record</x:v>
      </x:c>
      <x:c r="B9" s="42" t="str">
        <x:v>3 in this dataset.</x:v>
      </x:c>
      <x:c r="C9" s="42" t="str">
        <x:v>Per-record axis CV calculated across windows.</x:v>
      </x:c>
    </x:row>
    <x:row r="10">
      <x:c r="A10" s="42" t="str">
        <x:v>Stable criterion</x:v>
      </x:c>
      <x:c r="B10" s="42" t="str">
        <x:v>Reportable axis marked unstable if intra-record CV &gt;10%.</x:v>
      </x:c>
      <x:c r="C10" s="42" t="str">
        <x:v>Axes below 0.03 m/s² do not force transient.</x:v>
      </x:c>
    </x:row>
    <x:row r="11">
      <x:c r="A11" s="42" t="str">
        <x:v>RSS vector</x:v>
      </x:c>
      <x:c r="B11" s="42" t="str">
        <x:v>sqrt(X²+Y²+Z²).</x:v>
      </x:c>
      <x:c r="C11" s="42" t="str">
        <x:v>Tests whether changes exceed coordinate redistribution.</x:v>
      </x:c>
    </x:row>
    <x:row r="12">
      <x:c r="A12" s="42" t="str">
        <x:v>Squared-amplitude share</x:v>
      </x:c>
      <x:c r="B12" s="42" t="str">
        <x:v>X²/(X²+Y²+Z²), etc.</x:v>
      </x:c>
      <x:c r="C12" s="42" t="str">
        <x:v>Directional metric; not direct mechanical energy.</x:v>
      </x:c>
    </x:row>
    <x:row r="13">
      <x:c r="A13" s="42" t="str">
        <x:v>Block CV</x:v>
      </x:c>
      <x:c r="B13" s="42" t="str">
        <x:v>Sample SD across pose records divided by pose mean.</x:v>
      </x:c>
      <x:c r="C13" s="42" t="str">
        <x:v>Between-record repeatability / stationarity.</x:v>
      </x:c>
    </x:row>
    <x:row r="14">
      <x:c r="A14" s="42" t="str">
        <x:v>SNR</x:v>
      </x:c>
      <x:c r="B14" s="42" t="str">
        <x:v>Not present in CSV_ORIENTATION output.</x:v>
      </x:c>
      <x:c r="C14" s="42" t="str">
        <x:v>No SNR values fabricated.</x:v>
      </x:c>
    </x:row>
    <x:row r="15">
      <x:c r="A15" s="42" t="str">
        <x:v>Phase</x:v>
      </x:c>
      <x:c r="B15" s="42" t="str">
        <x:v>Not present in orientation-monitor output.</x:v>
      </x:c>
      <x:c r="C15" s="42" t="str">
        <x:v>No direct phase claim.</x:v>
      </x:c>
    </x:row>
    <x:row r="16">
      <x:c r="A16" s="42" t="str">
        <x:v>Exact angle</x:v>
      </x:c>
      <x:c r="B16" s="42" t="str">
        <x:v>Not recorded; Pose_deg remained 0.00.</x:v>
      </x:c>
      <x:c r="C16" s="42" t="str">
        <x:v>Use P0/P1–P7/P0R labels.</x:v>
      </x:c>
    </x:row>
    <x:row r="17">
      <x:c r="A17" s="42" t="str">
        <x:v>Transition records</x:v>
      </x:c>
      <x:c r="B17" s="42" t="str">
        <x:v>91–92.</x:v>
      </x:c>
      <x:c r="C17" s="42" t="str">
        <x:v>Retained, excluded from pose means.</x:v>
      </x:c>
    </x:row>
    <x:row r="20">
      <x:c r="A20" s="33" t="str">
        <x:v>Source files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22" t="str">
        <x:v>Source</x:v>
      </x:c>
      <x:c r="B21" s="22" t="str">
        <x:v>Filename</x:v>
      </x:c>
      <x:c r="C21" s="22" t="str">
        <x:v>Role</x:v>
      </x:c>
    </x:row>
    <x:row r="22">
      <x:c r="A22" s="42" t="str">
        <x:v>Experimental log</x:v>
      </x:c>
      <x:c r="B22" s="42" t="str">
        <x:v>Pasted text(20260826-094238).txt</x:v>
      </x:c>
      <x:c r="C22" s="42" t="str">
        <x:v>Primary numerical dataset and match/lock output.</x:v>
      </x:c>
    </x:row>
    <x:row r="23">
      <x:c r="A23" s="42" t="str">
        <x:v>Firmware source</x:v>
      </x:c>
      <x:c r="B23" s="42" t="str">
        <x:v>Pasted text (2)(20260826-094250).txt</x:v>
      </x:c>
      <x:c r="C23" s="42" t="str">
        <x:v>Defines orientation-monitor acquisition, 10% CV stability threshold, 0.03 m/s² reporting floor and ~2 s scheduling.</x:v>
      </x:c>
    </x:row>
    <x:row r="26">
      <x:c r="A26" s="33" t="str">
        <x:v>Statistical caution</x:v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 ht="72" customHeight="1">
      <x:c r="A27" s="72" t="str">
        <x:v>Descriptive η² quantifies the share of observed variance associated with the sequential pose blocks. It is not a randomized inferential ANOVA because pose order was not randomized and exact angles were not recorded. Interpret η² as descriptive evidence of pose dependence, not a p-value or population causal estimate.</x:v>
      </x:c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</x:row>
  </x:sheetData>
  <x:mergeCells>
    <x:mergeCell ref="A1:L1"/>
    <x:mergeCell ref="A2:L2"/>
    <x:mergeCell ref="A20:L20"/>
    <x:mergeCell ref="A26:L26"/>
    <x:mergeCell ref="A27:L30"/>
  </x:mergeCells>
  <x:pageMargins left="0.7" right="0.7" top="0.75" bottom="0.75" header="0.3" footer="0.3"/>
</x:worksheet>
</file>
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4613d35e7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25740c2b714dea"/>
    <x:sheet xmlns:r="http://schemas.openxmlformats.org/officeDocument/2006/relationships" name="Session Summary" sheetId="2" r:id="Raa606e35b3c243e9"/>
    <x:sheet xmlns:r="http://schemas.openxmlformats.org/officeDocument/2006/relationships" name="Target Comparison" sheetId="3" r:id="R1b321fa895244fca"/>
    <x:sheet xmlns:r="http://schemas.openxmlformats.org/officeDocument/2006/relationships" name="Run Results" sheetId="4" r:id="R3e8e841a8c9047f1"/>
    <x:sheet xmlns:r="http://schemas.openxmlformats.org/officeDocument/2006/relationships" name="Hold Records" sheetId="5" r:id="Rab571c32d2e44168"/>
    <x:sheet xmlns:r="http://schemas.openxmlformats.org/officeDocument/2006/relationships" name="Search &amp; Validation" sheetId="6" r:id="R493cb5ab52534458"/>
    <x:sheet xmlns:r="http://schemas.openxmlformats.org/officeDocument/2006/relationships" name="FFT Details" sheetId="7" r:id="R49b3cacc5d7943e5"/>
    <x:sheet xmlns:r="http://schemas.openxmlformats.org/officeDocument/2006/relationships" name="Events &amp; Failures" sheetId="8" r:id="R97666777b7bb41c6"/>
    <x:sheet xmlns:r="http://schemas.openxmlformats.org/officeDocument/2006/relationships" name="Methods &amp; Notes" sheetId="9" r:id="Rf43604af55dd47d3"/>
    <x:sheet xmlns:r="http://schemas.openxmlformats.org/officeDocument/2006/relationships" name="Raw Log" sheetId="10" r:id="Rf4abfd9ff7d54496"/>
    <x:sheet xmlns:r="http://schemas.openxmlformats.org/officeDocument/2006/relationships" name="Latest Validation" sheetId="11" r:id="R682e6f6bd46d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00"/>
    <x:numFmt numFmtId="202" formatCode="0.00%"/>
    <x:numFmt numFmtId="203" formatCode="0.00"/>
    <x:numFmt numFmtId="204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95959"/>
      <x:name val="Carlito"/>
    </x:font>
    <x:font>
      <x:b/>
      <x:sz val="14"/>
      <x:color rgb="FF1F4E78"/>
      <x:name val="Carlito"/>
    </x:font>
    <x:font>
      <x:b/>
      <x:sz val="11"/>
      <x:color rgb="FF548235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123B52"/>
      </x:patternFill>
    </x:fill>
    <x:fill>
      <x:patternFill patternType="solid">
        <x:fgColor rgb="FF1B6B7A"/>
      </x:patternFill>
    </x:fill>
    <x:fill>
      <x:patternFill patternType="solid">
        <x:fgColor rgb="FFD9EEF2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2" fontId="2" fillId="3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/>
    </x:xf>
    <x:xf numFmtId="202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5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color rgb="FF548235"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05b5c22d04fd3" /><Relationship Type="http://schemas.openxmlformats.org/officeDocument/2006/relationships/theme" Target="/xl/theme/theme1.xml" Id="R65559e6f8a7f479e" /><Relationship Type="http://schemas.openxmlformats.org/officeDocument/2006/relationships/sharedStrings" Target="/xl/sharedStrings.xml" Id="R1fd93474f33f4e13" /><Relationship Type="http://schemas.openxmlformats.org/officeDocument/2006/relationships/worksheet" Target="/xl/worksheets/sheet1.xml" Id="R9c25740c2b714dea" /><Relationship Type="http://schemas.openxmlformats.org/officeDocument/2006/relationships/worksheet" Target="/xl/worksheets/sheet2.xml" Id="Raa606e35b3c243e9" /><Relationship Type="http://schemas.openxmlformats.org/officeDocument/2006/relationships/worksheet" Target="/xl/worksheets/sheet3.xml" Id="R1b321fa895244fca" /><Relationship Type="http://schemas.openxmlformats.org/officeDocument/2006/relationships/worksheet" Target="/xl/worksheets/sheet4.xml" Id="R3e8e841a8c9047f1" /><Relationship Type="http://schemas.openxmlformats.org/officeDocument/2006/relationships/worksheet" Target="/xl/worksheets/sheet5.xml" Id="Rab571c32d2e44168" /><Relationship Type="http://schemas.openxmlformats.org/officeDocument/2006/relationships/worksheet" Target="/xl/worksheets/sheet6.xml" Id="R493cb5ab52534458" /><Relationship Type="http://schemas.openxmlformats.org/officeDocument/2006/relationships/worksheet" Target="/xl/worksheets/sheet7.xml" Id="R49b3cacc5d7943e5" /><Relationship Type="http://schemas.openxmlformats.org/officeDocument/2006/relationships/worksheet" Target="/xl/worksheets/sheet8.xml" Id="R97666777b7bb41c6" /><Relationship Type="http://schemas.openxmlformats.org/officeDocument/2006/relationships/worksheet" Target="/xl/worksheets/sheet9.xml" Id="Rf43604af55dd47d3" /><Relationship Type="http://schemas.openxmlformats.org/officeDocument/2006/relationships/worksheet" Target="/xl/worksheets/sheet10.xml" Id="Rf4abfd9ff7d54496" /><Relationship Type="http://schemas.openxmlformats.org/officeDocument/2006/relationships/worksheet" Target="/xl/worksheets/sheet11.xml" Id="R682e6f6bd46d47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30ba5d5dd6424c" /><Relationship Type="http://schemas.openxmlformats.org/officeDocument/2006/relationships/chart" Target="/xl/drawings/charts/chart2.xml" Id="Rbab63f30c9d74ca5" /><Relationship Type="http://schemas.openxmlformats.org/officeDocument/2006/relationships/chart" Target="/xl/drawings/charts/chart3.xml" Id="R733a35b723b142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Requested versus validated amplitude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Target</c:v>
          </c:tx>
          <c:cat>
            <c:strRef>
              <c:f>'Dashboard'!$J$37:$J$49</c:f>
              <c:strCache>
                <c:ptCount val="0"/>
              </c:strCache>
            </c:strRef>
          </c:cat>
          <c:val>
            <c:numRef>
              <c:f>'Dashboard'!$K$37:$K$49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Measured</c:v>
          </c:tx>
          <c:cat>
            <c:strRef>
              <c:f>'Dashboard'!$J$37:$J$49</c:f>
              <c:strCache>
                <c:ptCount val="0"/>
              </c:strCache>
            </c:strRef>
          </c:cat>
          <c:val>
            <c:numRef>
              <c:f>'Dashboard'!$L$37:$L$49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Primary-session pass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Pass rate %</c:v>
          </c:tx>
          <c:cat>
            <c:strRef>
              <c:f>'Dashboard'!$N$37:$N$49</c:f>
              <c:strCache>
                <c:ptCount val="0"/>
              </c:strCache>
            </c:strRef>
          </c:cat>
          <c:val>
            <c:numRef>
              <c:f>'Dashboard'!$O$37:$O$49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Across-run amplitude variability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Amplitude CV %</c:v>
          </c:tx>
          <c:cat>
            <c:strRef>
              <c:f>'Dashboard'!$Q$37:$Q$49</c:f>
              <c:strCache>
                <c:ptCount val="0"/>
              </c:strCache>
            </c:strRef>
          </c:cat>
          <c:val>
            <c:numRef>
              <c:f>'Dashboard'!$R$37:$R$49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30ba5d5dd6424c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b63f30c9d74ca5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3a35b723b142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ssionSummaryTable" displayName="SessionSummaryTable" ref="A1:AA11" headerRowCount="1">
  <x:tableColumns count="27">
    <x:tableColumn id="1" name="Session ID"/>
    <x:tableColumn id="2" name="Test label"/>
    <x:tableColumn id="3" name="Target (m/s²)"/>
    <x:tableColumn id="4" name="Frequency (Hz)"/>
    <x:tableColumn id="5" name="Tolerance (%)"/>
    <x:tableColumn id="6" name="Lower band"/>
    <x:tableColumn id="7" name="Upper band"/>
    <x:tableColumn id="8" name="Requested runs"/>
    <x:tableColumn id="9" name="Passed runs"/>
    <x:tableColumn id="10" name="Pass rate"/>
    <x:tableColumn id="11" name="Mean validated amp"/>
    <x:tableColumn id="12" name="Mean bias"/>
    <x:tableColumn id="13" name="Amplitude SD"/>
    <x:tableColumn id="14" name="Amplitude CV (%)"/>
    <x:tableColumn id="15" name="Max abs error (%)"/>
    <x:tableColumn id="16" name="Mean FFT (Hz)"/>
    <x:tableColumn id="17" name="FFT SD"/>
    <x:tableColumn id="18" name="Mean FFT error"/>
    <x:tableColumn id="19" name="Selected DAC min"/>
    <x:tableColumn id="20" name="Selected DAC max"/>
    <x:tableColumn id="21" name="Mean selected DAC"/>
    <x:tableColumn id="22" name="Average hold in-band (%)"/>
    <x:tableColumn id="23" name="Mean FFT SNR (dB)"/>
    <x:tableColumn id="24" name="Verdict"/>
    <x:tableColumn id="25" name="Analysis note"/>
    <x:tableColumn id="26" name="Primary dataset?"/>
    <x:tableColumn id="27" name="Source file"/>
  </x:tableColumns>
  <x:tableStyleInfo name="TableStyleMedium2" showRowStripes="1"/>
</x:table>
</file>

<file path=xl/tables/table2.xml><?xml version="1.0" encoding="utf-8"?>
<x:table xmlns:x="http://schemas.openxmlformats.org/spreadsheetml/2006/main" id="2" name="TargetComparisonTable" displayName="TargetComparisonTable" ref="A3:J10" headerRowCount="1">
  <x:tableColumns count="10">
    <x:tableColumn id="1" name="Session"/>
    <x:tableColumn id="2" name="Target"/>
    <x:tableColumn id="3" name="Mean validated"/>
    <x:tableColumn id="4" name="Difference"/>
    <x:tableColumn id="5" name="Bias (%)"/>
    <x:tableColumn id="6" name="Pass rate (%)"/>
    <x:tableColumn id="7" name="Amplitude CV (%)"/>
    <x:tableColumn id="8" name="Hold in-band (%)"/>
    <x:tableColumn id="9" name="Mean selected DAC"/>
    <x:tableColumn id="10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RunResultsTable" displayName="RunResultsTable" ref="A1:V47" headerRowCount="1">
  <x:tableColumns count="22">
    <x:tableColumn id="1" name="Session"/>
    <x:tableColumn id="2" name="Test label"/>
    <x:tableColumn id="3" name="Target"/>
    <x:tableColumn id="4" name="Run"/>
    <x:tableColumn id="5" name="Result"/>
    <x:tableColumn id="6" name="Selected DAC"/>
    <x:tableColumn id="7" name="Validated amplitude"/>
    <x:tableColumn id="8" name="Error (%)"/>
    <x:tableColumn id="9" name="Absolute error (%)"/>
    <x:tableColumn id="10" name="FFT frequency"/>
    <x:tableColumn id="11" name="FFT difference"/>
    <x:tableColumn id="12" name="FFT SNR"/>
    <x:tableColumn id="13" name="Hold mean"/>
    <x:tableColumn id="14" name="Hold CV (%)"/>
    <x:tableColumn id="15" name="Hold in-band (%)"/>
    <x:tableColumn id="16" name="Reason"/>
    <x:tableColumn id="17" name="Lower band"/>
    <x:tableColumn id="18" name="Upper band"/>
    <x:tableColumn id="19" name="Amplitude in band?"/>
    <x:tableColumn id="20" name="FFT pass?"/>
    <x:tableColumn id="21" name="Primary dataset?"/>
    <x:tableColumn id="22" name="Source file"/>
  </x:tableColumns>
  <x:tableStyleInfo name="TableStyleMedium2" showRowStripes="1"/>
</x:table>
</file>

<file path=xl/tables/table4.xml><?xml version="1.0" encoding="utf-8"?>
<x:table xmlns:x="http://schemas.openxmlformats.org/spreadsheetml/2006/main" id="4" name="FFTDetailsTable" displayName="FFTDetailsTable" ref="A1:L115" headerRowCount="1">
  <x:tableColumns count="12">
    <x:tableColumn id="1" name="Session"/>
    <x:tableColumn id="2" name="Test label"/>
    <x:tableColumn id="3" name="Target"/>
    <x:tableColumn id="4" name="Run"/>
    <x:tableColumn id="5" name="Run result"/>
    <x:tableColumn id="6" name="Axis"/>
    <x:tableColumn id="7" name="Frequency (Hz)"/>
    <x:tableColumn id="8" name="Amplitude (m/s²)"/>
    <x:tableColumn id="9" name="SNR (dB)"/>
    <x:tableColumn id="10" name="Status"/>
    <x:tableColumn id="11" name="Difference from command (Hz)"/>
    <x:tableColumn id="12" name="Source 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4057550a174c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5a5131ef95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1c5961cee24c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2c7ffa2e5243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bf4655c41e646c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0" customHeight="1">
      <x:c r="A1" s="5" t="str">
        <x:v>Amplitude-Matching Validation Dashboard</x:v>
      </x:c>
      <x:c r="B1" s="5"/>
      <x:c r="C1" s="5"/>
      <x:c r="D1" s="5"/>
      <x:c r="E1" s="5"/>
      <x:c r="F1" s="5"/>
      <x:c r="G1" s="5"/>
      <x:c r="H1" s="5"/>
      <x:c r="I1" s="82"/>
      <x:c r="J1" s="82"/>
      <x:c r="K1" s="82"/>
      <x:c r="L1" s="82"/>
      <x:c r="M1" s="82"/>
      <x:c r="N1" s="82"/>
      <x:c r="O1" s="82"/>
      <x:c r="P1" s="82"/>
      <x:c r="Q1" s="82"/>
      <x:c r="R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</x:row>
    <x:row r="3" ht="36" customHeight="1">
      <x:c r="A3" s="14" t="str">
        <x:v>Validated target range</x:v>
      </x:c>
      <x:c r="B3" s="23" t="str">
        <x:v>0.30–1.28 m/s²; 268–272 Hz</x:v>
      </x:c>
      <x:c r="C3" s="14" t="str">
        <x:v>Primary run pass rate</x:v>
      </x:c>
      <x:c r="D3" s="34" t="n">
        <x:f>COUNTIFS('Run Results'!$U$2:$U$90,"Yes",'Run Results'!$E$2:$E$90,"PASS")/COUNTIF('Run Results'!$U$2:$U$90,"Yes")</x:f>
        <x:v>0.9692307692307692</x:v>
      </x:c>
      <x:c r="E3" s="29" t="str">
        <x:v>Passed-run hold in-band</x:v>
      </x:c>
      <x:c r="F3" s="34" t="n">
        <x:f>SUMIFS('Run Results'!$O$2:$O$90,'Run Results'!$U$2:$U$90,"Yes",'Run Results'!$E$2:$E$90,"PASS")/(100*COUNTIFS('Run Results'!$U$2:$U$90,"Yes",'Run Results'!$E$2:$E$90,"PASS"))</x:f>
        <x:v>0.9825396825396825</x:v>
      </x:c>
      <x:c r="G3" s="14" t="str">
        <x:v>Mean absolute target error</x:v>
      </x:c>
      <x:c r="H3" s="34" t="n">
        <x:f>SUMIFS('Run Results'!$I$2:$I$90,'Run Results'!$U$2:$U$90,"Yes",'Run Results'!$E$2:$E$90,"PASS")/(100*COUNTIFS('Run Results'!$U$2:$U$90,"Yes",'Run Results'!$E$2:$E$90,"PASS"))</x:f>
        <x:v>0.01772063492063492</x:v>
      </x:c>
      <x:c r="I3" s="82"/>
      <x:c r="J3" s="82"/>
      <x:c r="K3" s="82"/>
      <x:c r="L3" s="82"/>
      <x:c r="M3" s="82"/>
      <x:c r="N3" s="82"/>
      <x:c r="O3" s="82"/>
      <x:c r="P3" s="82"/>
      <x:c r="Q3" s="82"/>
      <x:c r="R3" s="82"/>
    </x:row>
    <x:row r="4" ht="36" customHeight="1">
      <x:c r="A4" s="14" t="str">
        <x:v>Mean FFT error</x:v>
      </x:c>
      <x:c r="B4" s="32" t="n">
        <x:f>SUMIFS('Run Results'!$W$2:$W$90,'Run Results'!$U$2:$U$90,"Yes",'Run Results'!$E$2:$E$90,"PASS")/COUNTIFS('Run Results'!$U$2:$U$90,"Yes",'Run Results'!$E$2:$E$90,"PASS")</x:f>
        <x:v>0.02709730158730159</x:v>
      </x:c>
      <x:c r="C4" s="14" t="str">
        <x:v>Mean hold CV</x:v>
      </x:c>
      <x:c r="D4" s="34" t="n">
        <x:f>SUMIFS('Run Results'!$N$2:$N$90,'Run Results'!$U$2:$U$90,"Yes",'Run Results'!$E$2:$E$90,"PASS")/(100*COUNTIFS('Run Results'!$U$2:$U$90,"Yes",'Run Results'!$E$2:$E$90,"PASS"))</x:f>
        <x:v>0.01461587301587302</x:v>
      </x:c>
      <x:c r="E4" s="35" t="str">
        <x:v>Maximum run error</x:v>
      </x:c>
      <x:c r="F4" s="34" t="n">
        <x:f>MAX('Run Results'!$X$2:$X$90)/100</x:f>
        <x:v>0.0592</x:v>
      </x:c>
      <x:c r="G4" s="14" t="str">
        <x:v>Validated primary sessions</x:v>
      </x:c>
      <x:c r="H4" s="23" t="n">
        <x:f>COUNTIF('Session Summary'!$Z$2:$Z$21,"Yes")</x:f>
        <x:v>13</x:v>
      </x:c>
      <x:c r="I4" s="82"/>
      <x:c r="J4" s="82"/>
      <x:c r="K4" s="82"/>
      <x:c r="L4" s="82"/>
      <x:c r="M4" s="82"/>
      <x:c r="N4" s="82"/>
      <x:c r="O4" s="82"/>
      <x:c r="P4" s="82"/>
      <x:c r="Q4" s="82"/>
      <x:c r="R4" s="82"/>
    </x:row>
    <x:row r="5">
      <x:c r="A5" s="82"/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</x:row>
    <x:row r="6" ht="42" customHeight="1">
      <x:c r="A6" s="41" t="str">
        <x:f>"Headline finding: "&amp;COUNTIFS('Run Results'!$U$2:$U$90,"Yes",'Run Results'!$E$2:$E$90,"PASS")&amp;" of "&amp;COUNTIF('Run Results'!$U$2:$U$90,"Yes")&amp;" primary runs passed across "&amp;COUNTIF('Session Summary'!$Z$2:$Z$21,"Yes")&amp;" sessions. High-amplitude and 272 Hz tests were strong; 0.60–0.75 m/s² remained usable but less tightly repeatable."</x:f>
        <x:v>Headline finding: 63 of 65 primary runs passed across 13 sessions. High-amplitude and 272 Hz tests were strong; 0.60–0.75 m/s² remained usable but less tightly repeatable.</x:v>
      </x:c>
      <x:c r="B6" s="41"/>
      <x:c r="C6" s="41"/>
      <x:c r="D6" s="41"/>
      <x:c r="E6" s="41"/>
      <x:c r="F6" s="41"/>
      <x:c r="G6" s="41"/>
      <x:c r="H6" s="41"/>
      <x:c r="I6" s="82"/>
      <x:c r="J6" s="82"/>
      <x:c r="K6" s="82"/>
      <x:c r="L6" s="82"/>
      <x:c r="M6" s="82"/>
      <x:c r="N6" s="82"/>
      <x:c r="O6" s="82"/>
      <x:c r="P6" s="82"/>
      <x:c r="Q6" s="82"/>
      <x:c r="R6" s="82"/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>
      <x:c r="A8" s="82"/>
      <x:c r="B8" s="82"/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2"/>
      <x:c r="R8" s="82"/>
    </x:row>
    <x:row r="9">
      <x:c r="A9" s="49" t="str">
        <x:v>Session</x:v>
      </x:c>
      <x:c r="B9" s="49" t="str">
        <x:v>Target</x:v>
      </x:c>
      <x:c r="C9" s="49" t="str">
        <x:v>Mean validated</x:v>
      </x:c>
      <x:c r="D9" s="49" t="str">
        <x:v>Bias %</x:v>
      </x:c>
      <x:c r="E9" s="49" t="str">
        <x:v>Pass rate</x:v>
      </x:c>
      <x:c r="F9" s="49" t="str">
        <x:v>Amp CV %</x:v>
      </x:c>
      <x:c r="G9" s="49" t="str">
        <x:v>Hold in-band %</x:v>
      </x:c>
      <x:c r="H9" s="49" t="str">
        <x:v>Mean DAC</x:v>
      </x:c>
      <x:c r="I9" s="82"/>
      <x:c r="J9" s="82"/>
      <x:c r="K9" s="82"/>
      <x:c r="L9" s="82"/>
      <x:c r="M9" s="82"/>
      <x:c r="N9" s="82"/>
      <x:c r="O9" s="82"/>
      <x:c r="P9" s="82"/>
      <x:c r="Q9" s="82"/>
      <x:c r="R9" s="82"/>
    </x:row>
    <x:row r="10" ht="27" customHeight="1">
      <x:c r="A10" s="83" t="str">
        <x:f>'Session Summary'!B7</x:f>
        <x:v>0.30 low-amplitude limit validation</x:v>
      </x:c>
      <x:c r="B10" s="84" t="n">
        <x:f>'Session Summary'!C7</x:f>
        <x:v>0.3</x:v>
      </x:c>
      <x:c r="C10" s="84" t="n">
        <x:f>'Session Summary'!K7</x:f>
        <x:v>0.30127</x:v>
      </x:c>
      <x:c r="D10" s="85" t="n">
        <x:f>'Session Summary'!L7*100</x:f>
        <x:v>0.4233333333333311</x:v>
      </x:c>
      <x:c r="E10" s="85" t="n">
        <x:f>'Session Summary'!J7*100</x:f>
        <x:v>80</x:v>
      </x:c>
      <x:c r="F10" s="85" t="n">
        <x:f>'Session Summary'!N7</x:f>
        <x:v>2.91</x:v>
      </x:c>
      <x:c r="G10" s="85" t="n">
        <x:f>'Session Summary'!V7</x:f>
        <x:v>85</x:v>
      </x:c>
      <x:c r="H10" s="85" t="n">
        <x:f>'Session Summary'!U7</x:f>
        <x:v>4.6875</x:v>
      </x:c>
      <x:c r="I10" s="82"/>
      <x:c r="J10" s="82"/>
      <x:c r="K10" s="82"/>
      <x:c r="L10" s="82"/>
      <x:c r="M10" s="82"/>
      <x:c r="N10" s="82"/>
      <x:c r="O10" s="82"/>
      <x:c r="P10" s="82"/>
      <x:c r="Q10" s="82"/>
      <x:c r="R10" s="82"/>
    </x:row>
    <x:row r="11" ht="27" customHeight="1">
      <x:c r="A11" s="83" t="str">
        <x:f>'Session Summary'!B16</x:f>
        <x:v>0.60 validation at 268.9 Hz</x:v>
      </x:c>
      <x:c r="B11" s="84" t="n">
        <x:f>'Session Summary'!C16</x:f>
        <x:v>0.6</x:v>
      </x:c>
      <x:c r="C11" s="84" t="n">
        <x:f>'Session Summary'!K16</x:f>
        <x:v>0.61803</x:v>
      </x:c>
      <x:c r="D11" s="85" t="n">
        <x:f>'Session Summary'!L16*100</x:f>
        <x:v>3.0049999999999986</x:v>
      </x:c>
      <x:c r="E11" s="85" t="n">
        <x:f>'Session Summary'!J16*100</x:f>
        <x:v>100</x:v>
      </x:c>
      <x:c r="F11" s="85" t="n">
        <x:f>'Session Summary'!N16</x:f>
        <x:v>3.05</x:v>
      </x:c>
      <x:c r="G11" s="85" t="n">
        <x:f>'Session Summary'!V16</x:f>
        <x:v>96</x:v>
      </x:c>
      <x:c r="H11" s="85" t="n">
        <x:f>'Session Summary'!U16</x:f>
        <x:v>6.95</x:v>
      </x:c>
      <x:c r="I11" s="82"/>
      <x:c r="J11" s="82"/>
      <x:c r="K11" s="82"/>
      <x:c r="L11" s="82"/>
      <x:c r="M11" s="82"/>
      <x:c r="N11" s="82"/>
      <x:c r="O11" s="82"/>
      <x:c r="P11" s="82"/>
      <x:c r="Q11" s="82"/>
      <x:c r="R11" s="82"/>
    </x:row>
    <x:row r="12" ht="27" customHeight="1">
      <x:c r="A12" s="83" t="str">
        <x:f>'Session Summary'!B9</x:f>
        <x:v>0.65 five-run validation</x:v>
      </x:c>
      <x:c r="B12" s="84" t="n">
        <x:f>'Session Summary'!C9</x:f>
        <x:v>0.65</x:v>
      </x:c>
      <x:c r="C12" s="84" t="n">
        <x:f>'Session Summary'!K9</x:f>
        <x:v>0.64729</x:v>
      </x:c>
      <x:c r="D12" s="85" t="n">
        <x:f>'Session Summary'!L9*100</x:f>
        <x:v>-0.4169230769230754</x:v>
      </x:c>
      <x:c r="E12" s="85" t="n">
        <x:f>'Session Summary'!J9*100</x:f>
        <x:v>80</x:v>
      </x:c>
      <x:c r="F12" s="85" t="n">
        <x:f>'Session Summary'!N9</x:f>
        <x:v>2.47</x:v>
      </x:c>
      <x:c r="G12" s="85" t="n">
        <x:f>'Session Summary'!V9</x:f>
        <x:v>100</x:v>
      </x:c>
      <x:c r="H12" s="85" t="n">
        <x:f>'Session Summary'!U9</x:f>
        <x:v>8.125</x:v>
      </x:c>
      <x:c r="I12" s="82"/>
      <x:c r="J12" s="82"/>
      <x:c r="K12" s="82"/>
      <x:c r="L12" s="82"/>
      <x:c r="M12" s="82"/>
      <x:c r="N12" s="82"/>
      <x:c r="O12" s="82"/>
      <x:c r="P12" s="82"/>
      <x:c r="Q12" s="82"/>
      <x:c r="R12" s="82"/>
    </x:row>
    <x:row r="13" ht="27" customHeight="1">
      <x:c r="A13" s="83" t="str">
        <x:f>'Session Summary'!B21</x:f>
        <x:v>0.65 repeat-validation session at 268 Hz</x:v>
      </x:c>
      <x:c r="B13" s="84" t="n">
        <x:f>'Session Summary'!C21</x:f>
        <x:v>0.65</x:v>
      </x:c>
      <x:c r="C13" s="84" t="n">
        <x:f>'Session Summary'!K21</x:f>
        <x:v>0.67052</x:v>
      </x:c>
      <x:c r="D13" s="85" t="n">
        <x:f>'Session Summary'!L21*100</x:f>
        <x:v>3.156923076923074</x:v>
      </x:c>
      <x:c r="E13" s="85" t="n">
        <x:f>'Session Summary'!J21*100</x:f>
        <x:v>100</x:v>
      </x:c>
      <x:c r="F13" s="85" t="n">
        <x:f>'Session Summary'!N21</x:f>
        <x:v>2.73</x:v>
      </x:c>
      <x:c r="G13" s="85" t="n">
        <x:f>'Session Summary'!V21</x:f>
        <x:v>96</x:v>
      </x:c>
      <x:c r="H13" s="85" t="n">
        <x:f>'Session Summary'!U21</x:f>
        <x:v>8.05</x:v>
      </x:c>
      <x:c r="I13" s="82"/>
      <x:c r="J13" s="82"/>
      <x:c r="K13" s="82"/>
      <x:c r="L13" s="82"/>
      <x:c r="M13" s="82"/>
      <x:c r="N13" s="82"/>
      <x:c r="O13" s="82"/>
      <x:c r="P13" s="82"/>
      <x:c r="Q13" s="82"/>
      <x:c r="R13" s="82"/>
    </x:row>
    <x:row r="14" ht="27" customHeight="1">
      <x:c r="A14" s="83" t="str">
        <x:f>'Session Summary'!B19</x:f>
        <x:v>0.75 validated session at 268 Hz</x:v>
      </x:c>
      <x:c r="B14" s="84" t="n">
        <x:f>'Session Summary'!C19</x:f>
        <x:v>0.75</x:v>
      </x:c>
      <x:c r="C14" s="84" t="n">
        <x:f>'Session Summary'!K19</x:f>
        <x:v>0.75521</x:v>
      </x:c>
      <x:c r="D14" s="85" t="n">
        <x:f>'Session Summary'!L19*100</x:f>
        <x:v>0.694666666666673</x:v>
      </x:c>
      <x:c r="E14" s="85" t="n">
        <x:f>'Session Summary'!J19*100</x:f>
        <x:v>100</x:v>
      </x:c>
      <x:c r="F14" s="85" t="n">
        <x:f>'Session Summary'!N19</x:f>
        <x:v>4.36</x:v>
      </x:c>
      <x:c r="G14" s="85" t="n">
        <x:f>'Session Summary'!V19</x:f>
        <x:v>98</x:v>
      </x:c>
      <x:c r="H14" s="85" t="n">
        <x:f>'Session Summary'!U19</x:f>
        <x:v>7.5</x:v>
      </x:c>
      <x:c r="I14" s="82"/>
      <x:c r="J14" s="82"/>
      <x:c r="K14" s="82"/>
      <x:c r="L14" s="82"/>
      <x:c r="M14" s="82"/>
      <x:c r="N14" s="82"/>
      <x:c r="O14" s="82"/>
      <x:c r="P14" s="82"/>
      <x:c r="Q14" s="82"/>
      <x:c r="R14" s="82"/>
    </x:row>
    <x:row r="15" ht="27" customHeight="1">
      <x:c r="A15" s="83" t="str">
        <x:f>'Session Summary'!B11</x:f>
        <x:v>0.89 repeat-confirmation session</x:v>
      </x:c>
      <x:c r="B15" s="84" t="n">
        <x:f>'Session Summary'!C11</x:f>
        <x:v>0.89</x:v>
      </x:c>
      <x:c r="C15" s="84" t="n">
        <x:f>'Session Summary'!K11</x:f>
        <x:v>0.88169</x:v>
      </x:c>
      <x:c r="D15" s="85" t="n">
        <x:f>'Session Summary'!L11*100</x:f>
        <x:v>-0.9337078651685436</x:v>
      </x:c>
      <x:c r="E15" s="85" t="n">
        <x:f>'Session Summary'!J11*100</x:f>
        <x:v>100</x:v>
      </x:c>
      <x:c r="F15" s="85" t="n">
        <x:f>'Session Summary'!N11</x:f>
        <x:v>0.58</x:v>
      </x:c>
      <x:c r="G15" s="85" t="n">
        <x:f>'Session Summary'!V11</x:f>
        <x:v>100</x:v>
      </x:c>
      <x:c r="H15" s="85" t="n">
        <x:f>'Session Summary'!U11</x:f>
        <x:v>10</x:v>
      </x:c>
      <x:c r="I15" s="82"/>
      <x:c r="J15" s="82"/>
      <x:c r="K15" s="82"/>
      <x:c r="L15" s="82"/>
      <x:c r="M15" s="82"/>
      <x:c r="N15" s="82"/>
      <x:c r="O15" s="82"/>
      <x:c r="P15" s="82"/>
      <x:c r="Q15" s="82"/>
      <x:c r="R15" s="82"/>
    </x:row>
    <x:row r="16" ht="27" customHeight="1">
      <x:c r="A16" s="83" t="str">
        <x:f>'Session Summary'!B4</x:f>
        <x:v>0.90 validated five-run session</x:v>
      </x:c>
      <x:c r="B16" s="84" t="n">
        <x:f>'Session Summary'!C4</x:f>
        <x:v>0.9</x:v>
      </x:c>
      <x:c r="C16" s="84" t="n">
        <x:f>'Session Summary'!K4</x:f>
        <x:v>0.89917</x:v>
      </x:c>
      <x:c r="D16" s="85" t="n">
        <x:f>'Session Summary'!L4*100</x:f>
        <x:v>-0.09222222222222194</x:v>
      </x:c>
      <x:c r="E16" s="85" t="n">
        <x:f>'Session Summary'!J4*100</x:f>
        <x:v>100</x:v>
      </x:c>
      <x:c r="F16" s="85" t="n">
        <x:f>'Session Summary'!N4</x:f>
        <x:v>1.1</x:v>
      </x:c>
      <x:c r="G16" s="85" t="n">
        <x:f>'Session Summary'!V4</x:f>
        <x:v>100</x:v>
      </x:c>
      <x:c r="H16" s="85" t="n">
        <x:f>'Session Summary'!U4</x:f>
        <x:v>9.3</x:v>
      </x:c>
      <x:c r="I16" s="82"/>
      <x:c r="J16" s="82"/>
      <x:c r="K16" s="82"/>
      <x:c r="L16" s="82"/>
      <x:c r="M16" s="82"/>
      <x:c r="N16" s="82"/>
      <x:c r="O16" s="82"/>
      <x:c r="P16" s="82"/>
      <x:c r="Q16" s="82"/>
      <x:c r="R16" s="82"/>
    </x:row>
    <x:row r="17" ht="27" customHeight="1">
      <x:c r="A17" s="83" t="str">
        <x:f>'Session Summary'!B14</x:f>
        <x:v>1.00 validated five-run session</x:v>
      </x:c>
      <x:c r="B17" s="84" t="n">
        <x:f>'Session Summary'!C14</x:f>
        <x:v>1</x:v>
      </x:c>
      <x:c r="C17" s="84" t="n">
        <x:f>'Session Summary'!K14</x:f>
        <x:v>0.99621</x:v>
      </x:c>
      <x:c r="D17" s="85" t="n">
        <x:f>'Session Summary'!L14*100</x:f>
        <x:v>-0.378999999999996</x:v>
      </x:c>
      <x:c r="E17" s="85" t="n">
        <x:f>'Session Summary'!J14*100</x:f>
        <x:v>100</x:v>
      </x:c>
      <x:c r="F17" s="85" t="n">
        <x:f>'Session Summary'!N14</x:f>
        <x:v>2.27</x:v>
      </x:c>
      <x:c r="G17" s="85" t="n">
        <x:f>'Session Summary'!V14</x:f>
        <x:v>100</x:v>
      </x:c>
      <x:c r="H17" s="85" t="n">
        <x:f>'Session Summary'!U14</x:f>
        <x:v>10.05</x:v>
      </x:c>
      <x:c r="I17" s="82"/>
      <x:c r="J17" s="82"/>
      <x:c r="K17" s="82"/>
      <x:c r="L17" s="82"/>
      <x:c r="M17" s="82"/>
      <x:c r="N17" s="82"/>
      <x:c r="O17" s="82"/>
      <x:c r="P17" s="82"/>
      <x:c r="Q17" s="82"/>
      <x:c r="R17" s="82"/>
    </x:row>
    <x:row r="18" ht="27" customHeight="1">
      <x:c r="A18" s="83" t="str">
        <x:f>'Session Summary'!B10</x:f>
        <x:v>1.15 validated five-run session</x:v>
      </x:c>
      <x:c r="B18" s="84" t="n">
        <x:f>'Session Summary'!C10</x:f>
        <x:v>1.15</x:v>
      </x:c>
      <x:c r="C18" s="84" t="n">
        <x:f>'Session Summary'!K10</x:f>
        <x:v>1.1638</x:v>
      </x:c>
      <x:c r="D18" s="85" t="n">
        <x:f>'Session Summary'!L10*100</x:f>
        <x:v>1.200000000000003</x:v>
      </x:c>
      <x:c r="E18" s="85" t="n">
        <x:f>'Session Summary'!J10*100</x:f>
        <x:v>100</x:v>
      </x:c>
      <x:c r="F18" s="85" t="n">
        <x:f>'Session Summary'!N10</x:f>
        <x:v>1</x:v>
      </x:c>
      <x:c r="G18" s="85" t="n">
        <x:f>'Session Summary'!V10</x:f>
        <x:v>100</x:v>
      </x:c>
      <x:c r="H18" s="85" t="n">
        <x:f>'Session Summary'!U10</x:f>
        <x:v>12.35</x:v>
      </x:c>
      <x:c r="I18" s="82"/>
      <x:c r="J18" s="82"/>
      <x:c r="K18" s="82"/>
      <x:c r="L18" s="82"/>
      <x:c r="M18" s="82"/>
      <x:c r="N18" s="82"/>
      <x:c r="O18" s="82"/>
      <x:c r="P18" s="82"/>
      <x:c r="Q18" s="82"/>
      <x:c r="R18" s="82"/>
    </x:row>
    <x:row r="19" ht="27" customHeight="1">
      <x:c r="A19" s="83" t="str">
        <x:f>'Session Summary'!B15</x:f>
        <x:v>1.15 validation at 272 Hz</x:v>
      </x:c>
      <x:c r="B19" s="84" t="n">
        <x:f>'Session Summary'!C15</x:f>
        <x:v>1.15</x:v>
      </x:c>
      <x:c r="C19" s="84" t="n">
        <x:f>'Session Summary'!K15</x:f>
        <x:v>1.15621</x:v>
      </x:c>
      <x:c r="D19" s="85" t="n">
        <x:f>'Session Summary'!L15*100</x:f>
        <x:v>0.5400000000000043</x:v>
      </x:c>
      <x:c r="E19" s="85" t="n">
        <x:f>'Session Summary'!J15*100</x:f>
        <x:v>100</x:v>
      </x:c>
      <x:c r="F19" s="85" t="n">
        <x:f>'Session Summary'!N15</x:f>
        <x:v>1.39</x:v>
      </x:c>
      <x:c r="G19" s="85" t="n">
        <x:f>'Session Summary'!V15</x:f>
        <x:v>100</x:v>
      </x:c>
      <x:c r="H19" s="85" t="n">
        <x:f>'Session Summary'!U15</x:f>
        <x:v>11.45</x:v>
      </x:c>
      <x:c r="I19" s="82"/>
      <x:c r="J19" s="82"/>
      <x:c r="K19" s="82"/>
      <x:c r="L19" s="82"/>
      <x:c r="M19" s="82"/>
      <x:c r="N19" s="82"/>
      <x:c r="O19" s="82"/>
      <x:c r="P19" s="82"/>
      <x:c r="Q19" s="82"/>
      <x:c r="R19" s="82"/>
    </x:row>
    <x:row r="20" ht="27" customHeight="1">
      <x:c r="A20" s="83" t="str">
        <x:f>'Session Summary'!B5</x:f>
        <x:v>1.20 validated five-run session</x:v>
      </x:c>
      <x:c r="B20" s="84" t="n">
        <x:f>'Session Summary'!C5</x:f>
        <x:v>1.2</x:v>
      </x:c>
      <x:c r="C20" s="84" t="n">
        <x:f>'Session Summary'!K5</x:f>
        <x:v>1.19454</x:v>
      </x:c>
      <x:c r="D20" s="85" t="n">
        <x:f>'Session Summary'!L5*100</x:f>
        <x:v>-0.45500000000000174</x:v>
      </x:c>
      <x:c r="E20" s="85" t="n">
        <x:f>'Session Summary'!J5*100</x:f>
        <x:v>100</x:v>
      </x:c>
      <x:c r="F20" s="85" t="n">
        <x:f>'Session Summary'!N5</x:f>
        <x:v>1.09</x:v>
      </x:c>
      <x:c r="G20" s="85" t="n">
        <x:f>'Session Summary'!V5</x:f>
        <x:v>100</x:v>
      </x:c>
      <x:c r="H20" s="85" t="n">
        <x:f>'Session Summary'!U5</x:f>
        <x:v>11.4</x:v>
      </x:c>
      <x:c r="I20" s="82"/>
      <x:c r="J20" s="82"/>
      <x:c r="K20" s="82"/>
      <x:c r="L20" s="82"/>
      <x:c r="M20" s="82"/>
      <x:c r="N20" s="82"/>
      <x:c r="O20" s="82"/>
      <x:c r="P20" s="82"/>
      <x:c r="Q20" s="82"/>
      <x:c r="R20" s="82"/>
    </x:row>
    <x:row r="21" ht="27" customHeight="1">
      <x:c r="A21" s="83" t="str">
        <x:f>'Session Summary'!B20</x:f>
        <x:v>1.20 repeat-validation session at 268 Hz</x:v>
      </x:c>
      <x:c r="B21" s="84" t="n">
        <x:f>'Session Summary'!C20</x:f>
        <x:v>1.2</x:v>
      </x:c>
      <x:c r="C21" s="84" t="n">
        <x:f>'Session Summary'!K20</x:f>
        <x:v>1.18409</x:v>
      </x:c>
      <x:c r="D21" s="85" t="n">
        <x:f>'Session Summary'!L20*100</x:f>
        <x:v>-1.3258333333333225</x:v>
      </x:c>
      <x:c r="E21" s="85" t="n">
        <x:f>'Session Summary'!J20*100</x:f>
        <x:v>100</x:v>
      </x:c>
      <x:c r="F21" s="85" t="n">
        <x:f>'Session Summary'!N20</x:f>
        <x:v>2.23</x:v>
      </x:c>
      <x:c r="G21" s="85" t="n">
        <x:f>'Session Summary'!V20</x:f>
        <x:v>100</x:v>
      </x:c>
      <x:c r="H21" s="85" t="n">
        <x:f>'Session Summary'!U20</x:f>
        <x:v>11.8</x:v>
      </x:c>
      <x:c r="I21" s="82"/>
      <x:c r="J21" s="82"/>
      <x:c r="K21" s="82"/>
      <x:c r="L21" s="82"/>
      <x:c r="M21" s="82"/>
      <x:c r="N21" s="82"/>
      <x:c r="O21" s="82"/>
      <x:c r="P21" s="82"/>
      <x:c r="Q21" s="82"/>
      <x:c r="R21" s="82"/>
    </x:row>
    <x:row r="22" ht="27" customHeight="1">
      <x:c r="A22" s="83" t="str">
        <x:f>'Session Summary'!B6</x:f>
        <x:v>1.28 validated five-run session</x:v>
      </x:c>
      <x:c r="B22" s="84" t="n">
        <x:f>'Session Summary'!C6</x:f>
        <x:v>1.28</x:v>
      </x:c>
      <x:c r="C22" s="84" t="n">
        <x:f>'Session Summary'!K6</x:f>
        <x:v>1.2792</x:v>
      </x:c>
      <x:c r="D22" s="85" t="n">
        <x:f>'Session Summary'!L6*100</x:f>
        <x:v>-0.06250000000001046</x:v>
      </x:c>
      <x:c r="E22" s="85" t="n">
        <x:f>'Session Summary'!J6*100</x:f>
        <x:v>100</x:v>
      </x:c>
      <x:c r="F22" s="85" t="n">
        <x:f>'Session Summary'!N6</x:f>
        <x:v>0.58</x:v>
      </x:c>
      <x:c r="G22" s="85" t="n">
        <x:f>'Session Summary'!V6</x:f>
        <x:v>100</x:v>
      </x:c>
      <x:c r="H22" s="85" t="n">
        <x:f>'Session Summary'!U6</x:f>
        <x:v>12.35</x:v>
      </x:c>
      <x:c r="I22" s="82"/>
      <x:c r="J22" s="82"/>
      <x:c r="K22" s="82"/>
      <x:c r="L22" s="82"/>
      <x:c r="M22" s="82"/>
      <x:c r="N22" s="82"/>
      <x:c r="O22" s="82"/>
      <x:c r="P22" s="82"/>
      <x:c r="Q22" s="82"/>
      <x:c r="R22" s="82"/>
    </x:row>
    <x:row r="23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2"/>
      <x:c r="R23" s="82"/>
    </x:row>
    <x:row r="24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2"/>
      <x:c r="R24" s="82"/>
    </x:row>
    <x:row r="25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2"/>
      <x:c r="R25" s="82"/>
    </x:row>
    <x:row r="26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2"/>
      <x:c r="R26" s="82"/>
    </x:row>
    <x:row r="27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2"/>
      <x:c r="R27" s="82"/>
    </x:row>
    <x:row r="28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2"/>
      <x:c r="R29" s="82"/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2"/>
      <x:c r="R30" s="82"/>
    </x:row>
    <x:row r="3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2"/>
      <x:c r="R31" s="82"/>
    </x:row>
    <x:row r="32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2"/>
      <x:c r="R32" s="82"/>
    </x:row>
    <x:row r="33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2"/>
      <x:c r="R33" s="82"/>
    </x:row>
    <x:row r="34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2"/>
      <x:c r="R34" s="82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82"/>
      <x:c r="J35" s="82"/>
      <x:c r="K35" s="82"/>
      <x:c r="L35" s="82"/>
      <x:c r="M35" s="82"/>
      <x:c r="N35" s="82"/>
      <x:c r="O35" s="82"/>
      <x:c r="P35" s="82"/>
      <x:c r="Q35" s="82"/>
      <x:c r="R35" s="82"/>
    </x:row>
    <x:row r="36" ht="32" customHeight="1">
      <x:c r="A36" s="76"/>
      <x:c r="B36" s="83"/>
      <x:c r="C36" s="83"/>
      <x:c r="D36" s="83"/>
      <x:c r="E36" s="83"/>
      <x:c r="F36" s="83"/>
      <x:c r="G36" s="83"/>
      <x:c r="H36" s="83"/>
      <x:c r="I36" s="82"/>
      <x:c r="J36" s="49" t="str">
        <x:v>Session</x:v>
      </x:c>
      <x:c r="K36" s="49" t="str">
        <x:v>Target</x:v>
      </x:c>
      <x:c r="L36" s="49" t="str">
        <x:v>Measured</x:v>
      </x:c>
      <x:c r="M36" s="82"/>
      <x:c r="N36" s="49" t="str">
        <x:v>Session</x:v>
      </x:c>
      <x:c r="O36" s="49" t="str">
        <x:v>Pass rate %</x:v>
      </x:c>
      <x:c r="P36" s="82"/>
      <x:c r="Q36" s="49" t="str">
        <x:v>Session</x:v>
      </x:c>
      <x:c r="R36" s="49" t="str">
        <x:v>Amplitude CV %</x:v>
      </x:c>
    </x:row>
    <x:row r="37" ht="32" customHeight="1">
      <x:c r="A37" s="76"/>
      <x:c r="B37" s="83"/>
      <x:c r="C37" s="83"/>
      <x:c r="D37" s="83"/>
      <x:c r="E37" s="83"/>
      <x:c r="F37" s="83"/>
      <x:c r="G37" s="83"/>
      <x:c r="H37" s="83"/>
      <x:c r="I37" s="82"/>
      <x:c r="J37" s="82" t="str">
        <x:f>'Session Summary'!A7</x:f>
        <x:v>S06</x:v>
      </x:c>
      <x:c r="K37" s="82" t="n">
        <x:f>'Session Summary'!C7</x:f>
        <x:v>0.3</x:v>
      </x:c>
      <x:c r="L37" s="82" t="n">
        <x:f>'Session Summary'!K7</x:f>
        <x:v>0.30127</x:v>
      </x:c>
      <x:c r="M37" s="82"/>
      <x:c r="N37" s="82" t="str">
        <x:f>'Session Summary'!A7</x:f>
        <x:v>S06</x:v>
      </x:c>
      <x:c r="O37" s="82" t="n">
        <x:f>'Session Summary'!J7*100</x:f>
        <x:v>80</x:v>
      </x:c>
      <x:c r="P37" s="82"/>
      <x:c r="Q37" s="82" t="str">
        <x:f>'Session Summary'!A7</x:f>
        <x:v>S06</x:v>
      </x:c>
      <x:c r="R37" s="82" t="n">
        <x:f>'Session Summary'!N7</x:f>
        <x:v>2.91</x:v>
      </x:c>
    </x:row>
    <x:row r="38" ht="32" customHeight="1">
      <x:c r="A38" s="76"/>
      <x:c r="B38" s="83"/>
      <x:c r="C38" s="83"/>
      <x:c r="D38" s="83"/>
      <x:c r="E38" s="83"/>
      <x:c r="F38" s="83"/>
      <x:c r="G38" s="83"/>
      <x:c r="H38" s="83"/>
      <x:c r="I38" s="82"/>
      <x:c r="J38" s="82" t="str">
        <x:f>'Session Summary'!A16</x:f>
        <x:v>S15</x:v>
      </x:c>
      <x:c r="K38" s="82" t="n">
        <x:f>'Session Summary'!C16</x:f>
        <x:v>0.6</x:v>
      </x:c>
      <x:c r="L38" s="82" t="n">
        <x:f>'Session Summary'!K16</x:f>
        <x:v>0.61803</x:v>
      </x:c>
      <x:c r="M38" s="82"/>
      <x:c r="N38" s="82" t="str">
        <x:f>'Session Summary'!A16</x:f>
        <x:v>S15</x:v>
      </x:c>
      <x:c r="O38" s="82" t="n">
        <x:f>'Session Summary'!J16*100</x:f>
        <x:v>100</x:v>
      </x:c>
      <x:c r="P38" s="82"/>
      <x:c r="Q38" s="82" t="str">
        <x:f>'Session Summary'!A16</x:f>
        <x:v>S15</x:v>
      </x:c>
      <x:c r="R38" s="82" t="n">
        <x:f>'Session Summary'!N16</x:f>
        <x:v>3.05</x:v>
      </x:c>
    </x:row>
    <x:row r="39" ht="32" customHeight="1">
      <x:c r="A39" s="76"/>
      <x:c r="B39" s="83"/>
      <x:c r="C39" s="83"/>
      <x:c r="D39" s="83"/>
      <x:c r="E39" s="83"/>
      <x:c r="F39" s="83"/>
      <x:c r="G39" s="83"/>
      <x:c r="H39" s="83"/>
      <x:c r="I39" s="82"/>
      <x:c r="J39" s="82" t="str">
        <x:f>'Session Summary'!A9</x:f>
        <x:v>S08</x:v>
      </x:c>
      <x:c r="K39" s="82" t="n">
        <x:f>'Session Summary'!C9</x:f>
        <x:v>0.65</x:v>
      </x:c>
      <x:c r="L39" s="82" t="n">
        <x:f>'Session Summary'!K9</x:f>
        <x:v>0.64729</x:v>
      </x:c>
      <x:c r="M39" s="82"/>
      <x:c r="N39" s="82" t="str">
        <x:f>'Session Summary'!A9</x:f>
        <x:v>S08</x:v>
      </x:c>
      <x:c r="O39" s="82" t="n">
        <x:f>'Session Summary'!J9*100</x:f>
        <x:v>80</x:v>
      </x:c>
      <x:c r="P39" s="82"/>
      <x:c r="Q39" s="82" t="str">
        <x:f>'Session Summary'!A9</x:f>
        <x:v>S08</x:v>
      </x:c>
      <x:c r="R39" s="82" t="n">
        <x:f>'Session Summary'!N9</x:f>
        <x:v>2.47</x:v>
      </x:c>
    </x:row>
    <x:row r="40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 t="str">
        <x:f>'Session Summary'!A21</x:f>
        <x:v>S20</x:v>
      </x:c>
      <x:c r="K40" s="82" t="n">
        <x:f>'Session Summary'!C21</x:f>
        <x:v>0.65</x:v>
      </x:c>
      <x:c r="L40" s="82" t="n">
        <x:f>'Session Summary'!K21</x:f>
        <x:v>0.67052</x:v>
      </x:c>
      <x:c r="M40" s="82"/>
      <x:c r="N40" s="82" t="str">
        <x:f>'Session Summary'!A21</x:f>
        <x:v>S20</x:v>
      </x:c>
      <x:c r="O40" s="82" t="n">
        <x:f>'Session Summary'!J21*100</x:f>
        <x:v>100</x:v>
      </x:c>
      <x:c r="P40" s="82"/>
      <x:c r="Q40" s="82" t="str">
        <x:f>'Session Summary'!A21</x:f>
        <x:v>S20</x:v>
      </x:c>
      <x:c r="R40" s="82" t="n">
        <x:f>'Session Summary'!N21</x:f>
        <x:v>2.73</x:v>
      </x:c>
    </x:row>
    <x:row r="41">
      <x:c r="A41" s="124" t="str">
        <x:v>Interpretation and thesis cautions</x:v>
      </x:c>
      <x:c r="B41" s="124"/>
      <x:c r="C41" s="82"/>
      <x:c r="D41" s="82"/>
      <x:c r="E41" s="82"/>
      <x:c r="F41" s="82"/>
      <x:c r="G41" s="82"/>
      <x:c r="H41" s="82"/>
      <x:c r="I41" s="82"/>
      <x:c r="J41" s="82" t="str">
        <x:f>'Session Summary'!A19</x:f>
        <x:v>S18</x:v>
      </x:c>
      <x:c r="K41" s="82" t="n">
        <x:f>'Session Summary'!C19</x:f>
        <x:v>0.75</x:v>
      </x:c>
      <x:c r="L41" s="82" t="n">
        <x:f>'Session Summary'!K19</x:f>
        <x:v>0.75521</x:v>
      </x:c>
      <x:c r="M41" s="82"/>
      <x:c r="N41" s="82" t="str">
        <x:f>'Session Summary'!A19</x:f>
        <x:v>S18</x:v>
      </x:c>
      <x:c r="O41" s="82" t="n">
        <x:f>'Session Summary'!J19*100</x:f>
        <x:v>100</x:v>
      </x:c>
      <x:c r="P41" s="82"/>
      <x:c r="Q41" s="82" t="str">
        <x:f>'Session Summary'!A19</x:f>
        <x:v>S18</x:v>
      </x:c>
      <x:c r="R41" s="82" t="n">
        <x:f>'Session Summary'!N19</x:f>
        <x:v>4.36</x:v>
      </x:c>
    </x:row>
    <x:row r="42" ht="45" customHeight="1">
      <x:c r="A42" s="83" t="str">
        <x:v>1</x:v>
      </x:c>
      <x:c r="B42" s="83" t="str">
        <x:v>Do not combine DAC values from different sessions into one universal calibration curve; the amplifier-knob/gain state was not digitally recorded.</x:v>
      </x:c>
      <x:c r="C42" s="82"/>
      <x:c r="D42" s="82"/>
      <x:c r="E42" s="82"/>
      <x:c r="F42" s="82"/>
      <x:c r="G42" s="82"/>
      <x:c r="H42" s="82"/>
      <x:c r="I42" s="82"/>
      <x:c r="J42" s="82" t="str">
        <x:f>'Session Summary'!A11</x:f>
        <x:v>S10</x:v>
      </x:c>
      <x:c r="K42" s="82" t="n">
        <x:f>'Session Summary'!C11</x:f>
        <x:v>0.89</x:v>
      </x:c>
      <x:c r="L42" s="82" t="n">
        <x:f>'Session Summary'!K11</x:f>
        <x:v>0.88169</x:v>
      </x:c>
      <x:c r="M42" s="82"/>
      <x:c r="N42" s="82" t="str">
        <x:f>'Session Summary'!A11</x:f>
        <x:v>S10</x:v>
      </x:c>
      <x:c r="O42" s="82" t="n">
        <x:f>'Session Summary'!J11*100</x:f>
        <x:v>100</x:v>
      </x:c>
      <x:c r="P42" s="82"/>
      <x:c r="Q42" s="82" t="str">
        <x:f>'Session Summary'!A11</x:f>
        <x:v>S10</x:v>
      </x:c>
      <x:c r="R42" s="82" t="n">
        <x:f>'Session Summary'!N11</x:f>
        <x:v>0.58</x:v>
      </x:c>
    </x:row>
    <x:row r="43" ht="45" customHeight="1">
      <x:c r="A43" s="83" t="str">
        <x:v>2</x:v>
      </x:c>
      <x:c r="B43" s="83" t="str">
        <x:v>The two failed 268 Hz/1.15 m/s² sessions showed response collapse and safety-guard activation. They are evidence of physical-path instability, not valid amplitude-calibration runs.</x:v>
      </x:c>
      <x:c r="C43" s="82"/>
      <x:c r="D43" s="82"/>
      <x:c r="E43" s="82"/>
      <x:c r="F43" s="82"/>
      <x:c r="G43" s="82"/>
      <x:c r="H43" s="82"/>
      <x:c r="I43" s="82"/>
      <x:c r="J43" s="82" t="str">
        <x:f>'Session Summary'!A4</x:f>
        <x:v>S03</x:v>
      </x:c>
      <x:c r="K43" s="82" t="n">
        <x:f>'Session Summary'!C4</x:f>
        <x:v>0.9</x:v>
      </x:c>
      <x:c r="L43" s="82" t="n">
        <x:f>'Session Summary'!K4</x:f>
        <x:v>0.89917</x:v>
      </x:c>
      <x:c r="M43" s="82"/>
      <x:c r="N43" s="82" t="str">
        <x:f>'Session Summary'!A4</x:f>
        <x:v>S03</x:v>
      </x:c>
      <x:c r="O43" s="82" t="n">
        <x:f>'Session Summary'!J4*100</x:f>
        <x:v>100</x:v>
      </x:c>
      <x:c r="P43" s="82"/>
      <x:c r="Q43" s="82" t="str">
        <x:f>'Session Summary'!A4</x:f>
        <x:v>S03</x:v>
      </x:c>
      <x:c r="R43" s="82" t="n">
        <x:f>'Session Summary'!N4</x:f>
        <x:v>1.1</x:v>
      </x:c>
    </x:row>
    <x:row r="44" ht="45" customHeight="1">
      <x:c r="A44" s="58" t="str">
        <x:v>3</x:v>
      </x:c>
      <x:c r="B44" s="58" t="str">
        <x:v>The 26 Hz/0.79 m/s² test was interrupted by an ESP32 reboot and has no final summary; exclude it from all validation statistics.</x:v>
      </x:c>
      <x:c r="J44" t="str">
        <x:f>'Session Summary'!A14</x:f>
        <x:v>S13</x:v>
      </x:c>
      <x:c r="K44" t="n">
        <x:f>'Session Summary'!C14</x:f>
        <x:v>1</x:v>
      </x:c>
      <x:c r="L44" t="n">
        <x:f>'Session Summary'!K14</x:f>
        <x:v>0.99621</x:v>
      </x:c>
      <x:c r="N44" t="str">
        <x:f>'Session Summary'!A14</x:f>
        <x:v>S13</x:v>
      </x:c>
      <x:c r="O44" t="n">
        <x:f>'Session Summary'!J14*100</x:f>
        <x:v>100</x:v>
      </x:c>
      <x:c r="Q44" t="str">
        <x:f>'Session Summary'!A14</x:f>
        <x:v>S13</x:v>
      </x:c>
      <x:c r="R44" t="n">
        <x:f>'Session Summary'!N14</x:f>
        <x:v>2.27</x:v>
      </x:c>
    </x:row>
    <x:row r="45" ht="45" customHeight="1">
      <x:c r="A45" s="58" t="str">
        <x:v>4</x:v>
      </x:c>
      <x:c r="B45" s="58" t="str">
        <x:v>The 268.8 Hz/0.75 m/s² high-gain session passed only 3/5 runs and is not sufficiently reproducible for phase testing.</x:v>
      </x:c>
      <x:c r="J45" t="str">
        <x:f>'Session Summary'!A10</x:f>
        <x:v>S09</x:v>
      </x:c>
      <x:c r="K45" t="n">
        <x:f>'Session Summary'!C10</x:f>
        <x:v>1.15</x:v>
      </x:c>
      <x:c r="L45" t="n">
        <x:f>'Session Summary'!K10</x:f>
        <x:v>1.1638</x:v>
      </x:c>
      <x:c r="N45" t="str">
        <x:f>'Session Summary'!A10</x:f>
        <x:v>S09</x:v>
      </x:c>
      <x:c r="O45" t="n">
        <x:f>'Session Summary'!J10*100</x:f>
        <x:v>100</x:v>
      </x:c>
      <x:c r="Q45" t="str">
        <x:f>'Session Summary'!A10</x:f>
        <x:v>S09</x:v>
      </x:c>
      <x:c r="R45" t="n">
        <x:f>'Session Summary'!N10</x:f>
        <x:v>1</x:v>
      </x:c>
    </x:row>
    <x:row r="46" ht="45" customHeight="1">
      <x:c r="A46" s="58" t="str">
        <x:v>5</x:v>
      </x:c>
      <x:c r="B46" s="58" t="str">
        <x:v>The 0.60–0.75 m/s² sessions are valid within ±7.5%, but their 3–4% across-run CV and 96–98% hold compliance are weaker than the 1.0–1.2 m/s² region.</x:v>
      </x:c>
      <x:c r="J46" t="str">
        <x:f>'Session Summary'!A15</x:f>
        <x:v>S14</x:v>
      </x:c>
      <x:c r="K46" t="n">
        <x:f>'Session Summary'!C15</x:f>
        <x:v>1.15</x:v>
      </x:c>
      <x:c r="L46" t="n">
        <x:f>'Session Summary'!K15</x:f>
        <x:v>1.15621</x:v>
      </x:c>
      <x:c r="N46" t="str">
        <x:f>'Session Summary'!A15</x:f>
        <x:v>S14</x:v>
      </x:c>
      <x:c r="O46" t="n">
        <x:f>'Session Summary'!J15*100</x:f>
        <x:v>100</x:v>
      </x:c>
      <x:c r="Q46" t="str">
        <x:f>'Session Summary'!A15</x:f>
        <x:v>S14</x:v>
      </x:c>
      <x:c r="R46" t="n">
        <x:f>'Session Summary'!N15</x:f>
        <x:v>1.39</x:v>
      </x:c>
    </x:row>
    <x:row r="47" ht="45" customHeight="1">
      <x:c r="A47" s="58" t="str">
        <x:v>6</x:v>
      </x:c>
      <x:c r="B47" s="58" t="str">
        <x:v>At 272 Hz, X remained dominant and the 1.15 m/s² matcher passed 5/5 runs. Axis selection must still be verified whenever frequency or mounting changes.</x:v>
      </x:c>
      <x:c r="J47" t="str">
        <x:f>'Session Summary'!A5</x:f>
        <x:v>S04</x:v>
      </x:c>
      <x:c r="K47" t="n">
        <x:f>'Session Summary'!C5</x:f>
        <x:v>1.2</x:v>
      </x:c>
      <x:c r="L47" t="n">
        <x:f>'Session Summary'!K5</x:f>
        <x:v>1.19454</x:v>
      </x:c>
      <x:c r="N47" t="str">
        <x:f>'Session Summary'!A5</x:f>
        <x:v>S04</x:v>
      </x:c>
      <x:c r="O47" t="n">
        <x:f>'Session Summary'!J5*100</x:f>
        <x:v>100</x:v>
      </x:c>
      <x:c r="Q47" t="str">
        <x:f>'Session Summary'!A5</x:f>
        <x:v>S04</x:v>
      </x:c>
      <x:c r="R47" t="n">
        <x:f>'Session Summary'!N5</x:f>
        <x:v>1.09</x:v>
      </x:c>
    </x:row>
    <x:row r="48">
      <x:c r="J48" t="str">
        <x:f>'Session Summary'!A20</x:f>
        <x:v>S19</x:v>
      </x:c>
      <x:c r="K48" t="n">
        <x:f>'Session Summary'!C20</x:f>
        <x:v>1.2</x:v>
      </x:c>
      <x:c r="L48" t="n">
        <x:f>'Session Summary'!K20</x:f>
        <x:v>1.18409</x:v>
      </x:c>
      <x:c r="N48" t="str">
        <x:f>'Session Summary'!A20</x:f>
        <x:v>S19</x:v>
      </x:c>
      <x:c r="O48" t="n">
        <x:f>'Session Summary'!J20*100</x:f>
        <x:v>100</x:v>
      </x:c>
      <x:c r="Q48" t="str">
        <x:f>'Session Summary'!A20</x:f>
        <x:v>S19</x:v>
      </x:c>
      <x:c r="R48" t="n">
        <x:f>'Session Summary'!N20</x:f>
        <x:v>2.23</x:v>
      </x:c>
    </x:row>
    <x:row r="49">
      <x:c r="J49" t="str">
        <x:f>'Session Summary'!A6</x:f>
        <x:v>S05</x:v>
      </x:c>
      <x:c r="K49" t="n">
        <x:f>'Session Summary'!C6</x:f>
        <x:v>1.28</x:v>
      </x:c>
      <x:c r="L49" t="n">
        <x:f>'Session Summary'!K6</x:f>
        <x:v>1.2792</x:v>
      </x:c>
      <x:c r="N49" t="str">
        <x:f>'Session Summary'!A6</x:f>
        <x:v>S05</x:v>
      </x:c>
      <x:c r="O49" t="n">
        <x:f>'Session Summary'!J6*100</x:f>
        <x:v>100</x:v>
      </x:c>
      <x:c r="Q49" t="str">
        <x:f>'Session Summary'!A6</x:f>
        <x:v>S05</x:v>
      </x:c>
      <x:c r="R49" t="n">
        <x:f>'Session Summary'!N6</x:f>
        <x:v>0.58</x:v>
      </x:c>
    </x:row>
  </x:sheetData>
  <x:mergeCells>
    <x:mergeCell ref="A1:H1"/>
    <x:mergeCell ref="A6:H6"/>
    <x:mergeCell ref="A35:H35"/>
    <x:mergeCell ref="B36:H36"/>
    <x:mergeCell ref="B37:H37"/>
    <x:mergeCell ref="B38:H38"/>
    <x:mergeCell ref="B39:H39"/>
  </x:mergeCells>
  <x:pageMargins left="0.7" right="0.7" top="0.75" bottom="0.75" header="0.3" footer="0.3"/>
  <x:drawing xmlns:r="http://schemas.openxmlformats.org/officeDocument/2006/relationships" r:id="R264057550a174cf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6" hidden="0" customWidth="1"/>
    <x:col min="12" max="12" width="12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3" hidden="0" customWidth="1"/>
    <x:col min="20" max="20" width="13" hidden="0" customWidth="1"/>
    <x:col min="21" max="21" width="14" hidden="0" customWidth="1"/>
    <x:col min="22" max="22" width="17" hidden="0" customWidth="1"/>
    <x:col min="23" max="23" width="14" hidden="0" customWidth="1"/>
    <x:col min="24" max="24" width="42" hidden="0" customWidth="1"/>
    <x:col min="25" max="25" width="58" hidden="0" customWidth="1"/>
    <x:col min="26" max="26" width="13" hidden="0" customWidth="1"/>
    <x:col min="27" max="27" width="24" hidden="0" customWidth="1"/>
  </x:cols>
  <x:sheetData>
    <x:row r="1">
      <x:c r="A1" s="49" t="str">
        <x:v>Session ID</x:v>
      </x:c>
      <x:c r="B1" s="49" t="str">
        <x:v>Test label</x:v>
      </x:c>
      <x:c r="C1" s="49" t="str">
        <x:v>Target (m/s²)</x:v>
      </x:c>
      <x:c r="D1" s="49" t="str">
        <x:v>Frequency (Hz)</x:v>
      </x:c>
      <x:c r="E1" s="49" t="str">
        <x:v>Tolerance (%)</x:v>
      </x:c>
      <x:c r="F1" s="49" t="str">
        <x:v>Lower band</x:v>
      </x:c>
      <x:c r="G1" s="49" t="str">
        <x:v>Upper band</x:v>
      </x:c>
      <x:c r="H1" s="49" t="str">
        <x:v>Requested runs</x:v>
      </x:c>
      <x:c r="I1" s="49" t="str">
        <x:v>Passed runs</x:v>
      </x:c>
      <x:c r="J1" s="49" t="str">
        <x:v>Pass rate</x:v>
      </x:c>
      <x:c r="K1" s="49" t="str">
        <x:v>Mean validated amp</x:v>
      </x:c>
      <x:c r="L1" s="49" t="str">
        <x:v>Mean bias</x:v>
      </x:c>
      <x:c r="M1" s="49" t="str">
        <x:v>Amplitude SD</x:v>
      </x:c>
      <x:c r="N1" s="49" t="str">
        <x:v>Amplitude CV (%)</x:v>
      </x:c>
      <x:c r="O1" s="49" t="str">
        <x:v>Max abs error (%)</x:v>
      </x:c>
      <x:c r="P1" s="49" t="str">
        <x:v>Mean FFT (Hz)</x:v>
      </x:c>
      <x:c r="Q1" s="49" t="str">
        <x:v>FFT SD</x:v>
      </x:c>
      <x:c r="R1" s="49" t="str">
        <x:v>Mean FFT error</x:v>
      </x:c>
      <x:c r="S1" s="49" t="str">
        <x:v>Selected DAC min</x:v>
      </x:c>
      <x:c r="T1" s="49" t="str">
        <x:v>Selected DAC max</x:v>
      </x:c>
      <x:c r="U1" s="49" t="str">
        <x:v>Mean selected DAC</x:v>
      </x:c>
      <x:c r="V1" s="49" t="str">
        <x:v>Average hold in-band (%)</x:v>
      </x:c>
      <x:c r="W1" s="49" t="str">
        <x:v>Mean FFT SNR (dB)</x:v>
      </x:c>
      <x:c r="X1" s="49" t="str">
        <x:v>Verdict</x:v>
      </x:c>
      <x:c r="Y1" s="49" t="str">
        <x:v>Analysis note</x:v>
      </x:c>
      <x:c r="Z1" s="49" t="str">
        <x:v>Primary dataset?</x:v>
      </x:c>
      <x:c r="AA1" s="49" t="str">
        <x:v>Source file</x:v>
      </x:c>
    </x:row>
    <x:row r="2">
      <x:c r="A2" s="82" t="str">
        <x:v>S01</x:v>
      </x:c>
      <x:c r="B2" s="82" t="str">
        <x:v>1.10 initial validation – unstable response state</x:v>
      </x:c>
      <x:c r="C2" s="94" t="n">
        <x:v>1.1</x:v>
      </x:c>
      <x:c r="D2" s="94" t="n">
        <x:v>268</x:v>
      </x:c>
      <x:c r="E2" s="94" t="n">
        <x:v>7.5</x:v>
      </x:c>
      <x:c r="F2" s="94" t="n">
        <x:f>C2*(1-E2/100)</x:f>
        <x:v>1.0175</x:v>
      </x:c>
      <x:c r="G2" s="94" t="n">
        <x:f>C2*(1+E2/100)</x:f>
        <x:v>1.1825</x:v>
      </x:c>
      <x:c r="H2" s="82" t="n">
        <x:v>5</x:v>
      </x:c>
      <x:c r="I2" s="82" t="n">
        <x:v>3</x:v>
      </x:c>
      <x:c r="J2" s="95" t="n">
        <x:f>IFERROR(I2/H2,"")</x:f>
        <x:v>0.6</x:v>
      </x:c>
      <x:c r="K2" s="94" t="n">
        <x:v>1.06006</x:v>
      </x:c>
      <x:c r="L2" s="96" t="n">
        <x:f>IFERROR((K2-C2)/C2,"")</x:f>
        <x:v>-0.036309090909090985</x:v>
      </x:c>
      <x:c r="M2" s="94" t="n">
        <x:v>0.01901</x:v>
      </x:c>
      <x:c r="N2" s="97" t="n">
        <x:v>1.79</x:v>
      </x:c>
      <x:c r="O2" s="97" t="n">
        <x:v>4.86</x:v>
      </x:c>
      <x:c r="P2" s="94" t="n">
        <x:v>268.03513</x:v>
      </x:c>
      <x:c r="Q2" s="94" t="n">
        <x:v>0.02447</x:v>
      </x:c>
      <x:c r="R2" s="94" t="n">
        <x:f>IFERROR(P2-D2,"")</x:f>
        <x:v>0.03512999999998101</x:v>
      </x:c>
      <x:c r="S2" s="97" t="n">
        <x:v>3</x:v>
      </x:c>
      <x:c r="T2" s="97" t="n">
        <x:v>5</x:v>
      </x:c>
      <x:c r="U2" s="97" t="n">
        <x:v>3.6666666666666665</x:v>
      </x:c>
      <x:c r="V2" s="97" t="n">
        <x:v>93.3</x:v>
      </x:c>
      <x:c r="W2" s="97" t="n">
        <x:v>23.77</x:v>
      </x:c>
      <x:c r="X2" s="83" t="str">
        <x:v>NOT YET REPRODUCIBLE ENOUGH FOR PHASE TESTING.</x:v>
      </x:c>
      <x:c r="Y2" s="83" t="str">
        <x:v>Three runs passed, then fixed-DAC response jumped from about 1.08 to 1.47 m/s². Indicates system-state/gain instability.</x:v>
      </x:c>
      <x:c r="Z2" s="82" t="str">
        <x:v>No</x:v>
      </x:c>
      <x:c r="AA2" s="82" t="str">
        <x:v>Pasted text(56).txt</x:v>
      </x:c>
    </x:row>
    <x:row r="3">
      <x:c r="A3" s="82" t="str">
        <x:v>S02</x:v>
      </x:c>
      <x:c r="B3" s="82" t="str">
        <x:v>0.90 high-gain search limitation</x:v>
      </x:c>
      <x:c r="C3" s="94" t="n">
        <x:v>0.9</x:v>
      </x:c>
      <x:c r="D3" s="94" t="n">
        <x:v>268</x:v>
      </x:c>
      <x:c r="E3" s="94" t="n">
        <x:v>7.5</x:v>
      </x:c>
      <x:c r="F3" s="94" t="n">
        <x:f>C3*(1-E3/100)</x:f>
        <x:v>0.8325</x:v>
      </x:c>
      <x:c r="G3" s="94" t="n">
        <x:f>C3*(1+E3/100)</x:f>
        <x:v>0.9675</x:v>
      </x:c>
      <x:c r="H3" s="82" t="n">
        <x:v>5</x:v>
      </x:c>
      <x:c r="I3" s="82" t="n">
        <x:v>0</x:v>
      </x:c>
      <x:c r="J3" s="95" t="n">
        <x:f>IFERROR(I3/H3,"")</x:f>
        <x:v>0</x:v>
      </x:c>
      <x:c r="K3" s="94"/>
      <x:c r="L3" s="96" t="n">
        <x:f>IFERROR((K3-C3)/C3,"")</x:f>
        <x:v>-1</x:v>
      </x:c>
      <x:c r="M3" s="94"/>
      <x:c r="N3" s="97"/>
      <x:c r="O3" s="97"/>
      <x:c r="P3" s="94"/>
      <x:c r="Q3" s="94"/>
      <x:c r="R3" s="94" t="n">
        <x:f>IFERROR(P3-D3,"")</x:f>
        <x:v>-268</x:v>
      </x:c>
      <x:c r="S3" s="97"/>
      <x:c r="T3" s="97"/>
      <x:c r="U3" s="97"/>
      <x:c r="V3" s="97"/>
      <x:c r="W3" s="97"/>
      <x:c r="X3" s="83" t="str">
        <x:v>FAIL — no independent run passed.</x:v>
      </x:c>
      <x:c r="Y3" s="83" t="str">
        <x:v>DAC 1 was below the measurement floor and DAC 3 above target; intermediate DAC values were not searched. Failure message is not a proven knob diagnosis.</x:v>
      </x:c>
      <x:c r="Z3" s="82" t="str">
        <x:v>No</x:v>
      </x:c>
      <x:c r="AA3" s="82" t="str">
        <x:v>Pasted text(56).txt</x:v>
      </x:c>
    </x:row>
    <x:row r="4">
      <x:c r="A4" s="82" t="str">
        <x:v>S03</x:v>
      </x:c>
      <x:c r="B4" s="82" t="str">
        <x:v>0.90 validated five-run session</x:v>
      </x:c>
      <x:c r="C4" s="94" t="n">
        <x:v>0.9</x:v>
      </x:c>
      <x:c r="D4" s="94" t="n">
        <x:v>268</x:v>
      </x:c>
      <x:c r="E4" s="94" t="n">
        <x:v>7.5</x:v>
      </x:c>
      <x:c r="F4" s="94" t="n">
        <x:f>C4*(1-E4/100)</x:f>
        <x:v>0.8325</x:v>
      </x:c>
      <x:c r="G4" s="94" t="n">
        <x:f>C4*(1+E4/100)</x:f>
        <x:v>0.9675</x:v>
      </x:c>
      <x:c r="H4" s="82" t="n">
        <x:v>5</x:v>
      </x:c>
      <x:c r="I4" s="82" t="n">
        <x:v>5</x:v>
      </x:c>
      <x:c r="J4" s="95" t="n">
        <x:f>IFERROR(I4/H4,"")</x:f>
        <x:v>1</x:v>
      </x:c>
      <x:c r="K4" s="94" t="n">
        <x:v>0.89917</x:v>
      </x:c>
      <x:c r="L4" s="96" t="n">
        <x:f>IFERROR((K4-C4)/C4,"")</x:f>
        <x:v>-0.0009222222222222194</x:v>
      </x:c>
      <x:c r="M4" s="94" t="n">
        <x:v>0.0099</x:v>
      </x:c>
      <x:c r="N4" s="97" t="n">
        <x:v>1.1</x:v>
      </x:c>
      <x:c r="O4" s="97" t="n">
        <x:v>1.97</x:v>
      </x:c>
      <x:c r="P4" s="94" t="n">
        <x:v>268.03046</x:v>
      </x:c>
      <x:c r="Q4" s="94" t="n">
        <x:v>0.00782</x:v>
      </x:c>
      <x:c r="R4" s="94" t="n">
        <x:f>IFERROR(P4-D4,"")</x:f>
        <x:v>0.03046000000000504</x:v>
      </x:c>
      <x:c r="S4" s="97" t="n">
        <x:v>9</x:v>
      </x:c>
      <x:c r="T4" s="97" t="n">
        <x:v>9.5</x:v>
      </x:c>
      <x:c r="U4" s="97" t="n">
        <x:v>9.3</x:v>
      </x:c>
      <x:c r="V4" s="97" t="n">
        <x:v>100</x:v>
      </x:c>
      <x:c r="W4" s="97" t="n">
        <x:v>29.23</x:v>
      </x:c>
      <x:c r="X4" s="83" t="str">
        <x:v>EXCELLENT REPRODUCIBLE TARGET-AMPLITUDE ACQUISITION.</x:v>
      </x:c>
      <x:c r="Y4" s="83" t="str">
        <x:v>Excellent repeatability; one isolated raw-clipping retry. 50/50 hold records in band.</x:v>
      </x:c>
      <x:c r="Z4" s="82" t="str">
        <x:v>Yes</x:v>
      </x:c>
      <x:c r="AA4" s="82" t="str">
        <x:v>Pasted text(56).txt</x:v>
      </x:c>
    </x:row>
    <x:row r="5">
      <x:c r="A5" s="82" t="str">
        <x:v>S04</x:v>
      </x:c>
      <x:c r="B5" s="82" t="str">
        <x:v>1.20 validated five-run session</x:v>
      </x:c>
      <x:c r="C5" s="94" t="n">
        <x:v>1.2</x:v>
      </x:c>
      <x:c r="D5" s="94" t="n">
        <x:v>268</x:v>
      </x:c>
      <x:c r="E5" s="94" t="n">
        <x:v>7.5</x:v>
      </x:c>
      <x:c r="F5" s="94" t="n">
        <x:f>C5*(1-E5/100)</x:f>
        <x:v>1.11</x:v>
      </x:c>
      <x:c r="G5" s="94" t="n">
        <x:f>C5*(1+E5/100)</x:f>
        <x:v>1.2899999999999998</x:v>
      </x:c>
      <x:c r="H5" s="82" t="n">
        <x:v>5</x:v>
      </x:c>
      <x:c r="I5" s="82" t="n">
        <x:v>5</x:v>
      </x:c>
      <x:c r="J5" s="95" t="n">
        <x:f>IFERROR(I5/H5,"")</x:f>
        <x:v>1</x:v>
      </x:c>
      <x:c r="K5" s="94" t="n">
        <x:v>1.19454</x:v>
      </x:c>
      <x:c r="L5" s="96" t="n">
        <x:f>IFERROR((K5-C5)/C5,"")</x:f>
        <x:v>-0.004550000000000018</x:v>
      </x:c>
      <x:c r="M5" s="94" t="n">
        <x:v>0.01307</x:v>
      </x:c>
      <x:c r="N5" s="97" t="n">
        <x:v>1.09</x:v>
      </x:c>
      <x:c r="O5" s="97" t="n">
        <x:v>1.96</x:v>
      </x:c>
      <x:c r="P5" s="94" t="n">
        <x:v>268.02329</x:v>
      </x:c>
      <x:c r="Q5" s="94" t="n">
        <x:v>0.00627</x:v>
      </x:c>
      <x:c r="R5" s="94" t="n">
        <x:f>IFERROR(P5-D5,"")</x:f>
        <x:v>0.023289999999974498</x:v>
      </x:c>
      <x:c r="S5" s="97" t="n">
        <x:v>11.25</x:v>
      </x:c>
      <x:c r="T5" s="97" t="n">
        <x:v>11.5</x:v>
      </x:c>
      <x:c r="U5" s="97" t="n">
        <x:v>11.4</x:v>
      </x:c>
      <x:c r="V5" s="97" t="n">
        <x:v>100</x:v>
      </x:c>
      <x:c r="W5" s="97" t="n">
        <x:v>30.832</x:v>
      </x:c>
      <x:c r="X5" s="83" t="str">
        <x:v>EXCELLENT REPRODUCIBLE TARGET-AMPLITUDE ACQUISITION.</x:v>
      </x:c>
      <x:c r="Y5" s="83" t="str">
        <x:v>Excellent repeatability at 1.20 m/s²; 50/50 hold records in band.</x:v>
      </x:c>
      <x:c r="Z5" s="82" t="str">
        <x:v>Yes</x:v>
      </x:c>
      <x:c r="AA5" s="82" t="str">
        <x:v>Pasted text(56).txt</x:v>
      </x:c>
    </x:row>
    <x:row r="6">
      <x:c r="A6" s="82" t="str">
        <x:v>S05</x:v>
      </x:c>
      <x:c r="B6" s="82" t="str">
        <x:v>1.28 validated five-run session</x:v>
      </x:c>
      <x:c r="C6" s="94" t="n">
        <x:v>1.28</x:v>
      </x:c>
      <x:c r="D6" s="94" t="n">
        <x:v>268</x:v>
      </x:c>
      <x:c r="E6" s="94" t="n">
        <x:v>7.5</x:v>
      </x:c>
      <x:c r="F6" s="94" t="n">
        <x:f>C6*(1-E6/100)</x:f>
        <x:v>1.1840000000000002</x:v>
      </x:c>
      <x:c r="G6" s="94" t="n">
        <x:f>C6*(1+E6/100)</x:f>
        <x:v>1.376</x:v>
      </x:c>
      <x:c r="H6" s="82" t="n">
        <x:v>5</x:v>
      </x:c>
      <x:c r="I6" s="82" t="n">
        <x:v>5</x:v>
      </x:c>
      <x:c r="J6" s="95" t="n">
        <x:f>IFERROR(I6/H6,"")</x:f>
        <x:v>1</x:v>
      </x:c>
      <x:c r="K6" s="94" t="n">
        <x:v>1.2792</x:v>
      </x:c>
      <x:c r="L6" s="96" t="n">
        <x:f>IFERROR((K6-C6)/C6,"")</x:f>
        <x:v>-0.0006250000000001046</x:v>
      </x:c>
      <x:c r="M6" s="94" t="n">
        <x:v>0.00742</x:v>
      </x:c>
      <x:c r="N6" s="97" t="n">
        <x:v>0.58</x:v>
      </x:c>
      <x:c r="O6" s="97" t="n">
        <x:v>0.8</x:v>
      </x:c>
      <x:c r="P6" s="94" t="n">
        <x:v>268.02276</x:v>
      </x:c>
      <x:c r="Q6" s="94" t="n">
        <x:v>0.00755</x:v>
      </x:c>
      <x:c r="R6" s="94" t="n">
        <x:f>IFERROR(P6-D6,"")</x:f>
        <x:v>0.02276000000000522</x:v>
      </x:c>
      <x:c r="S6" s="97" t="n">
        <x:v>12</x:v>
      </x:c>
      <x:c r="T6" s="97" t="n">
        <x:v>12.5</x:v>
      </x:c>
      <x:c r="U6" s="97" t="n">
        <x:v>12.35</x:v>
      </x:c>
      <x:c r="V6" s="97" t="n">
        <x:v>100</x:v>
      </x:c>
      <x:c r="W6" s="97" t="n">
        <x:v>31.118</x:v>
      </x:c>
      <x:c r="X6" s="83" t="str">
        <x:v>EXCELLENT REPRODUCIBLE TARGET-AMPLITUDE ACQUISITION.</x:v>
      </x:c>
      <x:c r="Y6" s="83" t="str">
        <x:v>Best high-amplitude repeatability; 50/50 hold records in band.</x:v>
      </x:c>
      <x:c r="Z6" s="82" t="str">
        <x:v>Yes</x:v>
      </x:c>
      <x:c r="AA6" s="82" t="str">
        <x:v>Pasted text(56).txt</x:v>
      </x:c>
    </x:row>
    <x:row r="7">
      <x:c r="A7" s="82" t="str">
        <x:v>S06</x:v>
      </x:c>
      <x:c r="B7" s="82" t="str">
        <x:v>0.30 low-amplitude limit validation</x:v>
      </x:c>
      <x:c r="C7" s="94" t="n">
        <x:v>0.3</x:v>
      </x:c>
      <x:c r="D7" s="94" t="n">
        <x:v>268</x:v>
      </x:c>
      <x:c r="E7" s="94" t="n">
        <x:v>7.5</x:v>
      </x:c>
      <x:c r="F7" s="94" t="n">
        <x:f>C7*(1-E7/100)</x:f>
        <x:v>0.2775</x:v>
      </x:c>
      <x:c r="G7" s="94" t="n">
        <x:f>C7*(1+E7/100)</x:f>
        <x:v>0.32249999999999995</x:v>
      </x:c>
      <x:c r="H7" s="82" t="n">
        <x:v>5</x:v>
      </x:c>
      <x:c r="I7" s="82" t="n">
        <x:v>4</x:v>
      </x:c>
      <x:c r="J7" s="95" t="n">
        <x:f>IFERROR(I7/H7,"")</x:f>
        <x:v>0.8</x:v>
      </x:c>
      <x:c r="K7" s="94" t="n">
        <x:v>0.30127</x:v>
      </x:c>
      <x:c r="L7" s="96" t="n">
        <x:f>IFERROR((K7-C7)/C7,"")</x:f>
        <x:v>0.004233333333333311</x:v>
      </x:c>
      <x:c r="M7" s="94" t="n">
        <x:v>0.00877</x:v>
      </x:c>
      <x:c r="N7" s="97" t="n">
        <x:v>2.91</x:v>
      </x:c>
      <x:c r="O7" s="97" t="n">
        <x:v>3.82</x:v>
      </x:c>
      <x:c r="P7" s="94" t="n">
        <x:v>268.01626</x:v>
      </x:c>
      <x:c r="Q7" s="94" t="n">
        <x:v>0.02651</x:v>
      </x:c>
      <x:c r="R7" s="94" t="n">
        <x:f>IFERROR(P7-D7,"")</x:f>
        <x:v>0.016259999999988395</x:v>
      </x:c>
      <x:c r="S7" s="97" t="n">
        <x:v>4.5</x:v>
      </x:c>
      <x:c r="T7" s="97" t="n">
        <x:v>4.75</x:v>
      </x:c>
      <x:c r="U7" s="97" t="n">
        <x:v>4.6875</x:v>
      </x:c>
      <x:c r="V7" s="97" t="n">
        <x:v>85</x:v>
      </x:c>
      <x:c r="W7" s="97" t="n">
        <x:v>20.64</x:v>
      </x:c>
      <x:c r="X7" s="83" t="str">
        <x:v>GOOD / USABLE TARGET-AMPLITUDE ACQUISITION.</x:v>
      </x:c>
      <x:c r="Y7" s="83" t="str">
        <x:v>Low-amplitude performance is usable but less robust. One hold failure; lower SNR and only 85% mean hold in-band among passing runs.</x:v>
      </x:c>
      <x:c r="Z7" s="82" t="str">
        <x:v>Yes</x:v>
      </x:c>
      <x:c r="AA7" s="82" t="str">
        <x:v>Pasted text(56).txt</x:v>
      </x:c>
    </x:row>
    <x:row r="8">
      <x:c r="A8" s="82" t="str">
        <x:v>S07</x:v>
      </x:c>
      <x:c r="B8" s="82" t="str">
        <x:v>0.65 preliminary single-run failure</x:v>
      </x:c>
      <x:c r="C8" s="94" t="n">
        <x:v>0.65</x:v>
      </x:c>
      <x:c r="D8" s="94" t="n">
        <x:v>268</x:v>
      </x:c>
      <x:c r="E8" s="94" t="n">
        <x:v>7.5</x:v>
      </x:c>
      <x:c r="F8" s="94" t="n">
        <x:f>C8*(1-E8/100)</x:f>
        <x:v>0.6012500000000001</x:v>
      </x:c>
      <x:c r="G8" s="94" t="n">
        <x:f>C8*(1+E8/100)</x:f>
        <x:v>0.69875</x:v>
      </x:c>
      <x:c r="H8" s="82" t="n">
        <x:v>1</x:v>
      </x:c>
      <x:c r="I8" s="82" t="n">
        <x:v>0</x:v>
      </x:c>
      <x:c r="J8" s="95" t="n">
        <x:f>IFERROR(I8/H8,"")</x:f>
        <x:v>0</x:v>
      </x:c>
      <x:c r="K8" s="94"/>
      <x:c r="L8" s="96" t="n">
        <x:f>IFERROR((K8-C8)/C8,"")</x:f>
        <x:v>-1</x:v>
      </x:c>
      <x:c r="M8" s="94"/>
      <x:c r="N8" s="97"/>
      <x:c r="O8" s="97"/>
      <x:c r="P8" s="94"/>
      <x:c r="Q8" s="94"/>
      <x:c r="R8" s="94" t="n">
        <x:f>IFERROR(P8-D8,"")</x:f>
        <x:v>-268</x:v>
      </x:c>
      <x:c r="S8" s="97"/>
      <x:c r="T8" s="97"/>
      <x:c r="U8" s="97"/>
      <x:c r="V8" s="97"/>
      <x:c r="W8" s="97"/>
      <x:c r="X8" s="83" t="str">
        <x:v>FAIL — no independent run passed.</x:v>
      </x:c>
      <x:c r="Y8" s="83" t="str">
        <x:v>Single preliminary run; target bracket was not fully searched before failure.</x:v>
      </x:c>
      <x:c r="Z8" s="82" t="str">
        <x:v>No</x:v>
      </x:c>
      <x:c r="AA8" s="82" t="str">
        <x:v>Pasted text(56).txt</x:v>
      </x:c>
    </x:row>
    <x:row r="9">
      <x:c r="A9" s="82" t="str">
        <x:v>S08</x:v>
      </x:c>
      <x:c r="B9" s="82" t="str">
        <x:v>0.65 five-run validation</x:v>
      </x:c>
      <x:c r="C9" s="94" t="n">
        <x:v>0.65</x:v>
      </x:c>
      <x:c r="D9" s="94" t="n">
        <x:v>268</x:v>
      </x:c>
      <x:c r="E9" s="94" t="n">
        <x:v>7.5</x:v>
      </x:c>
      <x:c r="F9" s="94" t="n">
        <x:f>C9*(1-E9/100)</x:f>
        <x:v>0.6012500000000001</x:v>
      </x:c>
      <x:c r="G9" s="94" t="n">
        <x:f>C9*(1+E9/100)</x:f>
        <x:v>0.69875</x:v>
      </x:c>
      <x:c r="H9" s="82" t="n">
        <x:v>5</x:v>
      </x:c>
      <x:c r="I9" s="82" t="n">
        <x:v>4</x:v>
      </x:c>
      <x:c r="J9" s="95" t="n">
        <x:f>IFERROR(I9/H9,"")</x:f>
        <x:v>0.8</x:v>
      </x:c>
      <x:c r="K9" s="94" t="n">
        <x:v>0.64729</x:v>
      </x:c>
      <x:c r="L9" s="96" t="n">
        <x:f>IFERROR((K9-C9)/C9,"")</x:f>
        <x:v>-0.004169230769230754</x:v>
      </x:c>
      <x:c r="M9" s="94" t="n">
        <x:v>0.01597</x:v>
      </x:c>
      <x:c r="N9" s="97" t="n">
        <x:v>2.47</x:v>
      </x:c>
      <x:c r="O9" s="97" t="n">
        <x:v>3.54</x:v>
      </x:c>
      <x:c r="P9" s="94" t="n">
        <x:v>268.0236</x:v>
      </x:c>
      <x:c r="Q9" s="94" t="n">
        <x:v>0.01001</x:v>
      </x:c>
      <x:c r="R9" s="94" t="n">
        <x:f>IFERROR(P9-D9,"")</x:f>
        <x:v>0.02359999999998763</x:v>
      </x:c>
      <x:c r="S9" s="97" t="n">
        <x:v>7.5</x:v>
      </x:c>
      <x:c r="T9" s="97" t="n">
        <x:v>8.5</x:v>
      </x:c>
      <x:c r="U9" s="97" t="n">
        <x:v>8.125</x:v>
      </x:c>
      <x:c r="V9" s="97" t="n">
        <x:v>100</x:v>
      </x:c>
      <x:c r="W9" s="97" t="n">
        <x:v>27.555</x:v>
      </x:c>
      <x:c r="X9" s="83" t="str">
        <x:v>GOOD / USABLE TARGET-AMPLITUDE ACQUISITION.</x:v>
      </x:c>
      <x:c r="Y9" s="83" t="str">
        <x:v>Four of five runs passed. Passing runs held 100% in band; one bounded trim failed to validate.</x:v>
      </x:c>
      <x:c r="Z9" s="82" t="str">
        <x:v>Yes</x:v>
      </x:c>
      <x:c r="AA9" s="82" t="str">
        <x:v>Pasted text(56).txt</x:v>
      </x:c>
    </x:row>
    <x:row r="10">
      <x:c r="A10" s="82" t="str">
        <x:v>S09</x:v>
      </x:c>
      <x:c r="B10" s="82" t="str">
        <x:v>1.15 validated five-run session</x:v>
      </x:c>
      <x:c r="C10" s="94" t="n">
        <x:v>1.15</x:v>
      </x:c>
      <x:c r="D10" s="94" t="n">
        <x:v>268</x:v>
      </x:c>
      <x:c r="E10" s="94" t="n">
        <x:v>7.5</x:v>
      </x:c>
      <x:c r="F10" s="94" t="n">
        <x:f>C10*(1-E10/100)</x:f>
        <x:v>1.06375</x:v>
      </x:c>
      <x:c r="G10" s="94" t="n">
        <x:f>C10*(1+E10/100)</x:f>
        <x:v>1.2362499999999998</x:v>
      </x:c>
      <x:c r="H10" s="82" t="n">
        <x:v>5</x:v>
      </x:c>
      <x:c r="I10" s="82" t="n">
        <x:v>5</x:v>
      </x:c>
      <x:c r="J10" s="95" t="n">
        <x:f>IFERROR(I10/H10,"")</x:f>
        <x:v>1</x:v>
      </x:c>
      <x:c r="K10" s="94" t="n">
        <x:v>1.1638</x:v>
      </x:c>
      <x:c r="L10" s="96" t="n">
        <x:f>IFERROR((K10-C10)/C10,"")</x:f>
        <x:v>0.012000000000000031</x:v>
      </x:c>
      <x:c r="M10" s="94" t="n">
        <x:v>0.01165</x:v>
      </x:c>
      <x:c r="N10" s="97" t="n">
        <x:v>1</x:v>
      </x:c>
      <x:c r="O10" s="97" t="n">
        <x:v>2.82</x:v>
      </x:c>
      <x:c r="P10" s="94" t="n">
        <x:v>268.02698</x:v>
      </x:c>
      <x:c r="Q10" s="94" t="n">
        <x:v>0.00249</x:v>
      </x:c>
      <x:c r="R10" s="94" t="n">
        <x:f>IFERROR(P10-D10,"")</x:f>
        <x:v>0.026979999999980464</x:v>
      </x:c>
      <x:c r="S10" s="97" t="n">
        <x:v>12.25</x:v>
      </x:c>
      <x:c r="T10" s="97" t="n">
        <x:v>12.5</x:v>
      </x:c>
      <x:c r="U10" s="97" t="n">
        <x:v>12.35</x:v>
      </x:c>
      <x:c r="V10" s="97" t="n">
        <x:v>100</x:v>
      </x:c>
      <x:c r="W10" s="97" t="n">
        <x:v>30.734</x:v>
      </x:c>
      <x:c r="X10" s="83" t="str">
        <x:v>EXCELLENT REPRODUCIBLE TARGET-AMPLITUDE ACQUISITION.</x:v>
      </x:c>
      <x:c r="Y10" s="83" t="str">
        <x:v>Excellent five-run acquisition. Mean is slightly above target; all holds in band.</x:v>
      </x:c>
      <x:c r="Z10" s="82" t="str">
        <x:v>Yes</x:v>
      </x:c>
      <x:c r="AA10" s="82" t="str">
        <x:v>Pasted text(56).txt</x:v>
      </x:c>
    </x:row>
    <x:row r="11">
      <x:c r="A11" s="82" t="str">
        <x:v>S10</x:v>
      </x:c>
      <x:c r="B11" s="82" t="str">
        <x:v>0.89 repeat-confirmation session</x:v>
      </x:c>
      <x:c r="C11" s="94" t="n">
        <x:v>0.89</x:v>
      </x:c>
      <x:c r="D11" s="94" t="n">
        <x:v>268</x:v>
      </x:c>
      <x:c r="E11" s="94" t="n">
        <x:v>7.5</x:v>
      </x:c>
      <x:c r="F11" s="94" t="n">
        <x:f>C11*(1-E11/100)</x:f>
        <x:v>0.82325</x:v>
      </x:c>
      <x:c r="G11" s="94" t="n">
        <x:f>C11*(1+E11/100)</x:f>
        <x:v>0.95675</x:v>
      </x:c>
      <x:c r="H11" s="82" t="n">
        <x:v>5</x:v>
      </x:c>
      <x:c r="I11" s="82" t="n">
        <x:v>5</x:v>
      </x:c>
      <x:c r="J11" s="95" t="n">
        <x:f>IFERROR(I11/H11,"")</x:f>
        <x:v>1</x:v>
      </x:c>
      <x:c r="K11" s="94" t="n">
        <x:v>0.88169</x:v>
      </x:c>
      <x:c r="L11" s="96" t="n">
        <x:f>IFERROR((K11-C11)/C11,"")</x:f>
        <x:v>-0.009337078651685437</x:v>
      </x:c>
      <x:c r="M11" s="94" t="n">
        <x:v>0.00507</x:v>
      </x:c>
      <x:c r="N11" s="97" t="n">
        <x:v>0.58</x:v>
      </x:c>
      <x:c r="O11" s="97" t="n">
        <x:v>1.92</x:v>
      </x:c>
      <x:c r="P11" s="94" t="n">
        <x:v>268.02023</x:v>
      </x:c>
      <x:c r="Q11" s="94" t="n">
        <x:v>0.00722</x:v>
      </x:c>
      <x:c r="R11" s="94" t="n">
        <x:f>IFERROR(P11-D11,"")</x:f>
        <x:v>0.020230000000026394</x:v>
      </x:c>
      <x:c r="S11" s="97" t="n">
        <x:v>10</x:v>
      </x:c>
      <x:c r="T11" s="97" t="n">
        <x:v>10</x:v>
      </x:c>
      <x:c r="U11" s="97" t="n">
        <x:v>10</x:v>
      </x:c>
      <x:c r="V11" s="97" t="n">
        <x:v>100</x:v>
      </x:c>
      <x:c r="W11" s="97" t="n">
        <x:v>29.142</x:v>
      </x:c>
      <x:c r="X11" s="83" t="str">
        <x:v>EXCELLENT REPRODUCIBLE TARGET-AMPLITUDE ACQUISITION.</x:v>
      </x:c>
      <x:c r="Y11" s="83" t="str">
        <x:v>Excellent repeat confirmation. All five runs selected DAC 10.00; all holds in band.</x:v>
      </x:c>
      <x:c r="Z11" s="82" t="str">
        <x:v>Yes</x:v>
      </x:c>
      <x:c r="AA11" s="82" t="str">
        <x:v>Pasted text(56).txt</x:v>
      </x:c>
    </x:row>
    <x:row r="12" ht="42" customHeight="1">
      <x:c r="A12" s="58" t="str">
        <x:v>S11</x:v>
      </x:c>
      <x:c r="B12" s="58" t="str">
        <x:v>1.15 instability and response-collapse session</x:v>
      </x:c>
      <x:c r="C12" s="59" t="n">
        <x:v>1.15</x:v>
      </x:c>
      <x:c r="D12" s="59" t="n">
        <x:v>268</x:v>
      </x:c>
      <x:c r="E12" s="59" t="n">
        <x:v>7.5</x:v>
      </x:c>
      <x:c r="F12" s="59" t="n">
        <x:f>C12*(1-E12/100)</x:f>
        <x:v>1.06375</x:v>
      </x:c>
      <x:c r="G12" s="59" t="n">
        <x:f>C12*(1+E12/100)</x:f>
        <x:v>1.2362499999999998</x:v>
      </x:c>
      <x:c r="H12" s="58" t="n">
        <x:v>5</x:v>
      </x:c>
      <x:c r="I12" s="58" t="n">
        <x:v>0</x:v>
      </x:c>
      <x:c r="J12" s="113" t="n">
        <x:f>IFERROR(I12/H12,"")</x:f>
        <x:v>0</x:v>
      </x:c>
      <x:c r="K12" s="59"/>
      <x:c r="L12" s="114" t="n">
        <x:f>IFERROR((K12-C12)/C12,"")</x:f>
        <x:v>-1</x:v>
      </x:c>
      <x:c r="M12" s="59"/>
      <x:c r="N12" s="60"/>
      <x:c r="O12" s="60"/>
      <x:c r="P12" s="59"/>
      <x:c r="Q12" s="59"/>
      <x:c r="R12" s="59" t="n">
        <x:f>IFERROR(P12-D12,"")</x:f>
        <x:v>-268</x:v>
      </x:c>
      <x:c r="S12" s="60"/>
      <x:c r="T12" s="60"/>
      <x:c r="U12" s="60"/>
      <x:c r="V12" s="60"/>
      <x:c r="W12" s="60"/>
      <x:c r="X12" s="58" t="str">
        <x:v>FAIL — RESPONSE PATH UNSTABLE</x:v>
      </x:c>
      <x:c r="Y12" s="58" t="str">
        <x:v>Candidate DAC initially matched the target, but the fixed-DAC hold drifted downward to 70% in-band and the repeat search showed a confirmed higher-DAC X-response collapse. The session was terminated by emergency stop. Do not use as amplitude-validation evidence.</x:v>
      </x:c>
      <x:c r="Z12" s="58" t="str">
        <x:v>No</x:v>
      </x:c>
      <x:c r="AA12" s="58" t="str">
        <x:v>Pasted text(59).txt</x:v>
      </x:c>
    </x:row>
    <x:row r="13" ht="42" customHeight="1">
      <x:c r="A13" s="58" t="str">
        <x:v>S12</x:v>
      </x:c>
      <x:c r="B13" s="58" t="str">
        <x:v>1.15 safety-guard failure session</x:v>
      </x:c>
      <x:c r="C13" s="59" t="n">
        <x:v>1.15</x:v>
      </x:c>
      <x:c r="D13" s="59" t="n">
        <x:v>268</x:v>
      </x:c>
      <x:c r="E13" s="59" t="n">
        <x:v>7.5</x:v>
      </x:c>
      <x:c r="F13" s="59" t="n">
        <x:f>C13*(1-E13/100)</x:f>
        <x:v>1.06375</x:v>
      </x:c>
      <x:c r="G13" s="59" t="n">
        <x:f>C13*(1+E13/100)</x:f>
        <x:v>1.2362499999999998</x:v>
      </x:c>
      <x:c r="H13" s="58" t="n">
        <x:v>5</x:v>
      </x:c>
      <x:c r="I13" s="58" t="n">
        <x:v>0</x:v>
      </x:c>
      <x:c r="J13" s="113" t="n">
        <x:f>IFERROR(I13/H13,"")</x:f>
        <x:v>0</x:v>
      </x:c>
      <x:c r="K13" s="59"/>
      <x:c r="L13" s="114" t="n">
        <x:f>IFERROR((K13-C13)/C13,"")</x:f>
        <x:v>-1</x:v>
      </x:c>
      <x:c r="M13" s="59"/>
      <x:c r="N13" s="60"/>
      <x:c r="O13" s="60"/>
      <x:c r="P13" s="59"/>
      <x:c r="Q13" s="59"/>
      <x:c r="R13" s="59" t="n">
        <x:f>IFERROR(P13-D13,"")</x:f>
        <x:v>-268</x:v>
      </x:c>
      <x:c r="S13" s="60"/>
      <x:c r="T13" s="60"/>
      <x:c r="U13" s="60"/>
      <x:c r="V13" s="60"/>
      <x:c r="W13" s="60"/>
      <x:c r="X13" s="58" t="str">
        <x:v>INVALID / FAIL — SAFETY AND SIGNAL-PATH INSTABILITY</x:v>
      </x:c>
      <x:c r="Y13" s="58" t="str">
        <x:v>No run passed. Two runs could not reach the X target at DAC 30 and three runs triggered the absolute-acceleration safety guard. The signal direction and gain state changed strongly; the failure cannot be corrected by DAC search alone.</x:v>
      </x:c>
      <x:c r="Z13" s="58" t="str">
        <x:v>No</x:v>
      </x:c>
      <x:c r="AA13" s="58" t="str">
        <x:v>Pasted text(59).txt</x:v>
      </x:c>
    </x:row>
    <x:row r="14" ht="42" customHeight="1">
      <x:c r="A14" s="58" t="str">
        <x:v>S13</x:v>
      </x:c>
      <x:c r="B14" s="58" t="str">
        <x:v>1.00 validated five-run session</x:v>
      </x:c>
      <x:c r="C14" s="59" t="n">
        <x:v>1</x:v>
      </x:c>
      <x:c r="D14" s="59" t="n">
        <x:v>268</x:v>
      </x:c>
      <x:c r="E14" s="59" t="n">
        <x:v>7.5</x:v>
      </x:c>
      <x:c r="F14" s="59" t="n">
        <x:f>C14*(1-E14/100)</x:f>
        <x:v>0.925</x:v>
      </x:c>
      <x:c r="G14" s="59" t="n">
        <x:f>C14*(1+E14/100)</x:f>
        <x:v>1.075</x:v>
      </x:c>
      <x:c r="H14" s="58" t="n">
        <x:v>5</x:v>
      </x:c>
      <x:c r="I14" s="58" t="n">
        <x:v>5</x:v>
      </x:c>
      <x:c r="J14" s="113" t="n">
        <x:f>IFERROR(I14/H14,"")</x:f>
        <x:v>1</x:v>
      </x:c>
      <x:c r="K14" s="59" t="n">
        <x:v>0.99621</x:v>
      </x:c>
      <x:c r="L14" s="114" t="n">
        <x:f>IFERROR((K14-C14)/C14,"")</x:f>
        <x:v>-0.00378999999999996</x:v>
      </x:c>
      <x:c r="M14" s="59" t="n">
        <x:v>0.0226</x:v>
      </x:c>
      <x:c r="N14" s="60" t="n">
        <x:v>2.27</x:v>
      </x:c>
      <x:c r="O14" s="60" t="n">
        <x:v>3.38</x:v>
      </x:c>
      <x:c r="P14" s="59" t="n">
        <x:v>268.02559</x:v>
      </x:c>
      <x:c r="Q14" s="59" t="n">
        <x:v>0.00445</x:v>
      </x:c>
      <x:c r="R14" s="59" t="n">
        <x:f>IFERROR(P14-D14,"")</x:f>
        <x:v>0.025590000000022428</x:v>
      </x:c>
      <x:c r="S14" s="60" t="n">
        <x:v>9.25</x:v>
      </x:c>
      <x:c r="T14" s="60" t="n">
        <x:v>10.75</x:v>
      </x:c>
      <x:c r="U14" s="60" t="n">
        <x:v>10.05</x:v>
      </x:c>
      <x:c r="V14" s="60" t="n">
        <x:v>100</x:v>
      </x:c>
      <x:c r="W14" s="60" t="n">
        <x:v>26.476</x:v>
      </x:c>
      <x:c r="X14" s="58" t="str">
        <x:v>EXCELLENT REPRODUCIBLE TARGET-AMPLITUDE ACQUISITION</x:v>
      </x:c>
      <x:c r="Y14" s="58" t="str">
        <x:v>Five of five runs passed. Mean validated amplitude was 0.99621 m/s² with 2.27% CV, maximum error 3.38%, and 50/50 hold records in band. DAC variation reflects changing actuator/gain state, not failure of amplitude feedback.</x:v>
      </x:c>
      <x:c r="Z14" s="58" t="str">
        <x:v>Yes</x:v>
      </x:c>
      <x:c r="AA14" s="58" t="str">
        <x:v>Pasted text(59).txt</x:v>
      </x:c>
    </x:row>
    <x:row r="15" ht="42" customHeight="1">
      <x:c r="A15" s="58" t="str">
        <x:v>S14</x:v>
      </x:c>
      <x:c r="B15" s="58" t="str">
        <x:v>1.15 validation at 272 Hz</x:v>
      </x:c>
      <x:c r="C15" s="59" t="n">
        <x:v>1.15</x:v>
      </x:c>
      <x:c r="D15" s="59" t="n">
        <x:v>272</x:v>
      </x:c>
      <x:c r="E15" s="59" t="n">
        <x:v>7.5</x:v>
      </x:c>
      <x:c r="F15" s="59" t="n">
        <x:f>C15*(1-E15/100)</x:f>
        <x:v>1.06375</x:v>
      </x:c>
      <x:c r="G15" s="59" t="n">
        <x:f>C15*(1+E15/100)</x:f>
        <x:v>1.2362499999999998</x:v>
      </x:c>
      <x:c r="H15" s="58" t="n">
        <x:v>5</x:v>
      </x:c>
      <x:c r="I15" s="58" t="n">
        <x:v>5</x:v>
      </x:c>
      <x:c r="J15" s="113" t="n">
        <x:f>IFERROR(I15/H15,"")</x:f>
        <x:v>1</x:v>
      </x:c>
      <x:c r="K15" s="59" t="n">
        <x:v>1.15621</x:v>
      </x:c>
      <x:c r="L15" s="114" t="n">
        <x:f>IFERROR((K15-C15)/C15,"")</x:f>
        <x:v>0.005400000000000043</x:v>
      </x:c>
      <x:c r="M15" s="59" t="n">
        <x:v>0.01602</x:v>
      </x:c>
      <x:c r="N15" s="60" t="n">
        <x:v>1.39</x:v>
      </x:c>
      <x:c r="O15" s="60" t="n">
        <x:v>2.94</x:v>
      </x:c>
      <x:c r="P15" s="59" t="n">
        <x:v>271.95639</x:v>
      </x:c>
      <x:c r="Q15" s="59" t="n">
        <x:v>0.01696</x:v>
      </x:c>
      <x:c r="R15" s="59" t="n">
        <x:f>IFERROR(P15-D15,"")</x:f>
        <x:v>-0.04361000000000104</x:v>
      </x:c>
      <x:c r="S15" s="60" t="n">
        <x:v>11.25</x:v>
      </x:c>
      <x:c r="T15" s="60" t="n">
        <x:v>11.75</x:v>
      </x:c>
      <x:c r="U15" s="60" t="n">
        <x:v>11.45</x:v>
      </x:c>
      <x:c r="V15" s="60" t="n">
        <x:v>100</x:v>
      </x:c>
      <x:c r="W15" s="60" t="n">
        <x:v>29.195999999999998</x:v>
      </x:c>
      <x:c r="X15" s="58" t="str">
        <x:v>EXCELLENT REPRODUCIBLE TARGET-AMPLITUDE ACQUISITION</x:v>
      </x:c>
      <x:c r="Y15" s="58" t="str">
        <x:v>Five of five runs passed at 272 Hz. Mean amplitude was 1.15621 m/s² with 1.39% CV; all 50 hold records were in band. X remained the dominant axis, validating the X-axis matcher at this frequency.</x:v>
      </x:c>
      <x:c r="Z15" s="58" t="str">
        <x:v>Yes</x:v>
      </x:c>
      <x:c r="AA15" s="58" t="str">
        <x:v>Pasted text(59).txt</x:v>
      </x:c>
    </x:row>
    <x:row r="16" ht="42" customHeight="1">
      <x:c r="A16" s="58" t="str">
        <x:v>S15</x:v>
      </x:c>
      <x:c r="B16" s="58" t="str">
        <x:v>0.60 validation at 268.9 Hz</x:v>
      </x:c>
      <x:c r="C16" s="59" t="n">
        <x:v>0.6</x:v>
      </x:c>
      <x:c r="D16" s="59" t="n">
        <x:v>268.89999</x:v>
      </x:c>
      <x:c r="E16" s="59" t="n">
        <x:v>7.5</x:v>
      </x:c>
      <x:c r="F16" s="59" t="n">
        <x:f>C16*(1-E16/100)</x:f>
        <x:v>0.555</x:v>
      </x:c>
      <x:c r="G16" s="59" t="n">
        <x:f>C16*(1+E16/100)</x:f>
        <x:v>0.6449999999999999</x:v>
      </x:c>
      <x:c r="H16" s="58" t="n">
        <x:v>5</x:v>
      </x:c>
      <x:c r="I16" s="58" t="n">
        <x:v>5</x:v>
      </x:c>
      <x:c r="J16" s="113" t="n">
        <x:f>IFERROR(I16/H16,"")</x:f>
        <x:v>1</x:v>
      </x:c>
      <x:c r="K16" s="59" t="n">
        <x:v>0.61803</x:v>
      </x:c>
      <x:c r="L16" s="114" t="n">
        <x:f>IFERROR((K16-C16)/C16,"")</x:f>
        <x:v>0.030049999999999986</x:v>
      </x:c>
      <x:c r="M16" s="59" t="n">
        <x:v>0.01886</x:v>
      </x:c>
      <x:c r="N16" s="60" t="n">
        <x:v>3.05</x:v>
      </x:c>
      <x:c r="O16" s="60" t="n">
        <x:v>5.92</x:v>
      </x:c>
      <x:c r="P16" s="59" t="n">
        <x:v>268.85861</x:v>
      </x:c>
      <x:c r="Q16" s="59" t="n">
        <x:v>0.00301</x:v>
      </x:c>
      <x:c r="R16" s="59" t="n">
        <x:f>IFERROR(P16-D16,"")</x:f>
        <x:v>-0.04138000000000375</x:v>
      </x:c>
      <x:c r="S16" s="60" t="n">
        <x:v>6.75</x:v>
      </x:c>
      <x:c r="T16" s="60" t="n">
        <x:v>7</x:v>
      </x:c>
      <x:c r="U16" s="60" t="n">
        <x:v>6.95</x:v>
      </x:c>
      <x:c r="V16" s="60" t="n">
        <x:v>96</x:v>
      </x:c>
      <x:c r="W16" s="60" t="n">
        <x:v>24.868000000000002</x:v>
      </x:c>
      <x:c r="X16" s="58" t="str">
        <x:v>GOOD / USABLE LOW-AMPLITUDE ACQUISITION</x:v>
      </x:c>
      <x:c r="Y16" s="58" t="str">
        <x:v>Five of five runs passed, but the mean was positively biased to 0.61803 m/s², run CV was 3.05%, and one run achieved only 80% hold compliance. Valid within ±7.5%, but less robust than the 1.0–1.2 m/s² region.</x:v>
      </x:c>
      <x:c r="Z16" s="58" t="str">
        <x:v>Yes</x:v>
      </x:c>
      <x:c r="AA16" s="58" t="str">
        <x:v>Pasted text(59).txt</x:v>
      </x:c>
    </x:row>
    <x:row r="17" ht="42" customHeight="1">
      <x:c r="A17" s="58" t="str">
        <x:v>S16</x:v>
      </x:c>
      <x:c r="B17" s="58" t="str">
        <x:v>26 Hz interrupted test</x:v>
      </x:c>
      <x:c r="C17" s="59" t="n">
        <x:v>0.79</x:v>
      </x:c>
      <x:c r="D17" s="59" t="n">
        <x:v>26</x:v>
      </x:c>
      <x:c r="E17" s="59" t="n">
        <x:v>7.5</x:v>
      </x:c>
      <x:c r="F17" s="59" t="n">
        <x:f>C17*(1-E17/100)</x:f>
        <x:v>0.7307500000000001</x:v>
      </x:c>
      <x:c r="G17" s="59" t="n">
        <x:f>C17*(1+E17/100)</x:f>
        <x:v>0.84925</x:v>
      </x:c>
      <x:c r="H17" s="58" t="n">
        <x:v>5</x:v>
      </x:c>
      <x:c r="I17" s="58" t="n">
        <x:v>0</x:v>
      </x:c>
      <x:c r="J17" s="113" t="n">
        <x:f>IFERROR(I17/H17,"")</x:f>
        <x:v>0</x:v>
      </x:c>
      <x:c r="K17" s="59"/>
      <x:c r="L17" s="114" t="n">
        <x:f>IFERROR((K17-C17)/C17,"")</x:f>
        <x:v>-1</x:v>
      </x:c>
      <x:c r="M17" s="59"/>
      <x:c r="N17" s="60"/>
      <x:c r="O17" s="60"/>
      <x:c r="P17" s="59"/>
      <x:c r="Q17" s="59"/>
      <x:c r="R17" s="59" t="n">
        <x:f>IFERROR(P17-D17,"")</x:f>
        <x:v>-26</x:v>
      </x:c>
      <x:c r="S17" s="60"/>
      <x:c r="T17" s="60"/>
      <x:c r="U17" s="60"/>
      <x:c r="V17" s="60"/>
      <x:c r="W17" s="60"/>
      <x:c r="X17" s="58" t="str">
        <x:v>INVALID — INCOMPLETE TEST</x:v>
      </x:c>
      <x:c r="Y17" s="58" t="str">
        <x:v>The test was started at 26 Hz and 0.79 m/s², produced weak/unstable X response, then the ESP32 rebooted before a final summary. It must not be treated as a completed validation session.</x:v>
      </x:c>
      <x:c r="Z17" s="58" t="str">
        <x:v>No</x:v>
      </x:c>
      <x:c r="AA17" s="58" t="str">
        <x:v>Pasted text(59).txt</x:v>
      </x:c>
    </x:row>
    <x:row r="18" ht="42" customHeight="1">
      <x:c r="A18" s="58" t="str">
        <x:v>S17</x:v>
      </x:c>
      <x:c r="B18" s="58" t="str">
        <x:v>0.75 validation at 268.8 Hz — high-gain/quantization limitation</x:v>
      </x:c>
      <x:c r="C18" s="59" t="n">
        <x:v>0.75</x:v>
      </x:c>
      <x:c r="D18" s="59" t="n">
        <x:v>268.79999</x:v>
      </x:c>
      <x:c r="E18" s="59" t="n">
        <x:v>7.5</x:v>
      </x:c>
      <x:c r="F18" s="59" t="n">
        <x:f>C18*(1-E18/100)</x:f>
        <x:v>0.6937500000000001</x:v>
      </x:c>
      <x:c r="G18" s="59" t="n">
        <x:f>C18*(1+E18/100)</x:f>
        <x:v>0.8062499999999999</x:v>
      </x:c>
      <x:c r="H18" s="58" t="n">
        <x:v>5</x:v>
      </x:c>
      <x:c r="I18" s="58" t="n">
        <x:v>3</x:v>
      </x:c>
      <x:c r="J18" s="113" t="n">
        <x:f>IFERROR(I18/H18,"")</x:f>
        <x:v>0.6</x:v>
      </x:c>
      <x:c r="K18" s="59" t="n">
        <x:v>0.77899</x:v>
      </x:c>
      <x:c r="L18" s="114" t="n">
        <x:f>IFERROR((K18-C18)/C18,"")</x:f>
        <x:v>0.03865333333333328</x:v>
      </x:c>
      <x:c r="M18" s="59" t="n">
        <x:v>0.02025</x:v>
      </x:c>
      <x:c r="N18" s="60" t="n">
        <x:v>2.6</x:v>
      </x:c>
      <x:c r="O18" s="60" t="n">
        <x:v>5.97</x:v>
      </x:c>
      <x:c r="P18" s="59" t="n">
        <x:v>268.78138</x:v>
      </x:c>
      <x:c r="Q18" s="59" t="n">
        <x:v>0.00276</x:v>
      </x:c>
      <x:c r="R18" s="59" t="n">
        <x:f>IFERROR(P18-D18,"")</x:f>
        <x:v>-0.01860999999996693</x:v>
      </x:c>
      <x:c r="S18" s="60" t="n">
        <x:v>3</x:v>
      </x:c>
      <x:c r="T18" s="60" t="n">
        <x:v>3.25</x:v>
      </x:c>
      <x:c r="U18" s="60" t="n">
        <x:v>3.0833333333333335</x:v>
      </x:c>
      <x:c r="V18" s="60" t="n">
        <x:v>96.7</x:v>
      </x:c>
      <x:c r="W18" s="60" t="n">
        <x:v>20.96666666666667</x:v>
      </x:c>
      <x:c r="X18" s="58" t="str">
        <x:v>NOT YET REPRODUCIBLE ENOUGH FOR PHASE TESTING</x:v>
      </x:c>
      <x:c r="Y18" s="58" t="str">
        <x:v>Only three of five runs passed. One run exceeded the target at the first reliable DAC and another had no repeatable in-band point. The result indicates excessive gain or insufficient DAC resolution around the target under that setup.</x:v>
      </x:c>
      <x:c r="Z18" s="58" t="str">
        <x:v>No</x:v>
      </x:c>
      <x:c r="AA18" s="58" t="str">
        <x:v>Pasted text(59).txt</x:v>
      </x:c>
    </x:row>
    <x:row r="19" ht="42" customHeight="1">
      <x:c r="A19" s="58" t="str">
        <x:v>S18</x:v>
      </x:c>
      <x:c r="B19" s="58" t="str">
        <x:v>0.75 validated session at 268 Hz</x:v>
      </x:c>
      <x:c r="C19" s="59" t="n">
        <x:v>0.75</x:v>
      </x:c>
      <x:c r="D19" s="59" t="n">
        <x:v>268</x:v>
      </x:c>
      <x:c r="E19" s="59" t="n">
        <x:v>7.5</x:v>
      </x:c>
      <x:c r="F19" s="59" t="n">
        <x:f>C19*(1-E19/100)</x:f>
        <x:v>0.6937500000000001</x:v>
      </x:c>
      <x:c r="G19" s="59" t="n">
        <x:f>C19*(1+E19/100)</x:f>
        <x:v>0.8062499999999999</x:v>
      </x:c>
      <x:c r="H19" s="58" t="n">
        <x:v>5</x:v>
      </x:c>
      <x:c r="I19" s="58" t="n">
        <x:v>5</x:v>
      </x:c>
      <x:c r="J19" s="113" t="n">
        <x:f>IFERROR(I19/H19,"")</x:f>
        <x:v>1</x:v>
      </x:c>
      <x:c r="K19" s="59" t="n">
        <x:v>0.75521</x:v>
      </x:c>
      <x:c r="L19" s="114" t="n">
        <x:f>IFERROR((K19-C19)/C19,"")</x:f>
        <x:v>0.00694666666666673</x:v>
      </x:c>
      <x:c r="M19" s="59" t="n">
        <x:v>0.03291</x:v>
      </x:c>
      <x:c r="N19" s="60" t="n">
        <x:v>4.36</x:v>
      </x:c>
      <x:c r="O19" s="60" t="n">
        <x:v>5.84</x:v>
      </x:c>
      <x:c r="P19" s="59" t="n">
        <x:v>268.02668</x:v>
      </x:c>
      <x:c r="Q19" s="59" t="n">
        <x:v>0.01681</x:v>
      </x:c>
      <x:c r="R19" s="59" t="n">
        <x:f>IFERROR(P19-D19,"")</x:f>
        <x:v>0.026679999999998927</x:v>
      </x:c>
      <x:c r="S19" s="60" t="n">
        <x:v>6.75</x:v>
      </x:c>
      <x:c r="T19" s="60" t="n">
        <x:v>7.75</x:v>
      </x:c>
      <x:c r="U19" s="60" t="n">
        <x:v>7.5</x:v>
      </x:c>
      <x:c r="V19" s="60" t="n">
        <x:v>98</x:v>
      </x:c>
      <x:c r="W19" s="60" t="n">
        <x:v>26</x:v>
      </x:c>
      <x:c r="X19" s="58" t="str">
        <x:v>GOOD / USABLE TARGET-AMPLITUDE ACQUISITION</x:v>
      </x:c>
      <x:c r="Y19" s="58" t="str">
        <x:v>Five of five runs passed with 98% average hold compliance. Across-run CV was 4.36% and maximum error 5.84%, so the target is reachable but less tightly repeatable than higher amplitudes.</x:v>
      </x:c>
      <x:c r="Z19" s="58" t="str">
        <x:v>Yes</x:v>
      </x:c>
      <x:c r="AA19" s="58" t="str">
        <x:v>Pasted text(59).txt</x:v>
      </x:c>
    </x:row>
    <x:row r="20" ht="42" customHeight="1">
      <x:c r="A20" s="58" t="str">
        <x:v>S19</x:v>
      </x:c>
      <x:c r="B20" s="58" t="str">
        <x:v>1.20 repeat-validation session at 268 Hz</x:v>
      </x:c>
      <x:c r="C20" s="59" t="n">
        <x:v>1.2</x:v>
      </x:c>
      <x:c r="D20" s="59" t="n">
        <x:v>268</x:v>
      </x:c>
      <x:c r="E20" s="59" t="n">
        <x:v>7.5</x:v>
      </x:c>
      <x:c r="F20" s="59" t="n">
        <x:f>C20*(1-E20/100)</x:f>
        <x:v>1.11</x:v>
      </x:c>
      <x:c r="G20" s="59" t="n">
        <x:f>C20*(1+E20/100)</x:f>
        <x:v>1.2899999999999998</x:v>
      </x:c>
      <x:c r="H20" s="58" t="n">
        <x:v>5</x:v>
      </x:c>
      <x:c r="I20" s="58" t="n">
        <x:v>5</x:v>
      </x:c>
      <x:c r="J20" s="113" t="n">
        <x:f>IFERROR(I20/H20,"")</x:f>
        <x:v>1</x:v>
      </x:c>
      <x:c r="K20" s="59" t="n">
        <x:v>1.18409</x:v>
      </x:c>
      <x:c r="L20" s="114" t="n">
        <x:f>IFERROR((K20-C20)/C20,"")</x:f>
        <x:v>-0.013258333333333224</x:v>
      </x:c>
      <x:c r="M20" s="59" t="n">
        <x:v>0.02641</x:v>
      </x:c>
      <x:c r="N20" s="60" t="n">
        <x:v>2.23</x:v>
      </x:c>
      <x:c r="O20" s="60" t="n">
        <x:v>4.75</x:v>
      </x:c>
      <x:c r="P20" s="59" t="n">
        <x:v>268.02571</x:v>
      </x:c>
      <x:c r="Q20" s="59" t="n">
        <x:v>0.00312</x:v>
      </x:c>
      <x:c r="R20" s="59" t="n">
        <x:f>IFERROR(P20-D20,"")</x:f>
        <x:v>0.025710000000003674</x:v>
      </x:c>
      <x:c r="S20" s="60" t="n">
        <x:v>11.5</x:v>
      </x:c>
      <x:c r="T20" s="60" t="n">
        <x:v>12.25</x:v>
      </x:c>
      <x:c r="U20" s="60" t="n">
        <x:v>11.8</x:v>
      </x:c>
      <x:c r="V20" s="60" t="n">
        <x:v>100</x:v>
      </x:c>
      <x:c r="W20" s="60" t="n">
        <x:v>29.278</x:v>
      </x:c>
      <x:c r="X20" s="58" t="str">
        <x:v>STRONG REPRODUCIBLE TARGET-AMPLITUDE ACQUISITION</x:v>
      </x:c>
      <x:c r="Y20" s="58" t="str">
        <x:v>Five of five runs passed and all 50 hold records were in band. Mean amplitude was 1.18409 m/s², 1.33% below target, with 2.23% CV and maximum error 4.75%. Valid, but less tight than the earlier 1.20 m/s² session.</x:v>
      </x:c>
      <x:c r="Z20" s="58" t="str">
        <x:v>Yes</x:v>
      </x:c>
      <x:c r="AA20" s="58" t="str">
        <x:v>Pasted text(59).txt</x:v>
      </x:c>
    </x:row>
    <x:row r="21" ht="42" customHeight="1">
      <x:c r="A21" s="58" t="str">
        <x:v>S20</x:v>
      </x:c>
      <x:c r="B21" s="58" t="str">
        <x:v>0.65 repeat-validation session at 268 Hz</x:v>
      </x:c>
      <x:c r="C21" s="59" t="n">
        <x:v>0.65</x:v>
      </x:c>
      <x:c r="D21" s="59" t="n">
        <x:v>268</x:v>
      </x:c>
      <x:c r="E21" s="59" t="n">
        <x:v>7.5</x:v>
      </x:c>
      <x:c r="F21" s="59" t="n">
        <x:f>C21*(1-E21/100)</x:f>
        <x:v>0.6012500000000001</x:v>
      </x:c>
      <x:c r="G21" s="59" t="n">
        <x:f>C21*(1+E21/100)</x:f>
        <x:v>0.69875</x:v>
      </x:c>
      <x:c r="H21" s="58" t="n">
        <x:v>5</x:v>
      </x:c>
      <x:c r="I21" s="58" t="n">
        <x:v>5</x:v>
      </x:c>
      <x:c r="J21" s="113" t="n">
        <x:f>IFERROR(I21/H21,"")</x:f>
        <x:v>1</x:v>
      </x:c>
      <x:c r="K21" s="59" t="n">
        <x:v>0.67052</x:v>
      </x:c>
      <x:c r="L21" s="114" t="n">
        <x:f>IFERROR((K21-C21)/C21,"")</x:f>
        <x:v>0.03156923076923074</x:v>
      </x:c>
      <x:c r="M21" s="59" t="n">
        <x:v>0.01833</x:v>
      </x:c>
      <x:c r="N21" s="60" t="n">
        <x:v>2.73</x:v>
      </x:c>
      <x:c r="O21" s="60" t="n">
        <x:v>5.5</x:v>
      </x:c>
      <x:c r="P21" s="59" t="n">
        <x:v>268.0159</x:v>
      </x:c>
      <x:c r="Q21" s="59" t="n">
        <x:v>0.01066</x:v>
      </x:c>
      <x:c r="R21" s="59" t="n">
        <x:f>IFERROR(P21-D21,"")</x:f>
        <x:v>0.015899999999987813</x:v>
      </x:c>
      <x:c r="S21" s="60" t="n">
        <x:v>8</x:v>
      </x:c>
      <x:c r="T21" s="60" t="n">
        <x:v>8.25</x:v>
      </x:c>
      <x:c r="U21" s="60" t="n">
        <x:v>8.05</x:v>
      </x:c>
      <x:c r="V21" s="60" t="n">
        <x:v>96</x:v>
      </x:c>
      <x:c r="W21" s="60" t="n">
        <x:v>25.98</x:v>
      </x:c>
      <x:c r="X21" s="58" t="str">
        <x:v>GOOD / USABLE TARGET-AMPLITUDE ACQUISITION</x:v>
      </x:c>
      <x:c r="Y21" s="58" t="str">
        <x:v>Five of five runs passed with 96% average hold compliance. Mean amplitude was 0.67052 m/s², about 3.16% above target, and CV was 2.73%. This improves the earlier 0.65 m/s² evidence but remains less robust than the high-amplitude region.</x:v>
      </x:c>
      <x:c r="Z21" s="58" t="str">
        <x:v>Yes</x:v>
      </x:c>
      <x:c r="AA21" s="58" t="str">
        <x:v>Pasted text(59).txt</x:v>
      </x:c>
    </x:row>
  </x:sheetData>
  <x:conditionalFormatting sqref="J2:J11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N2:N11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X2:X11">
    <x:cfRule type="expression" dxfId="0" priority="3">
      <x:formula>ISNUMBER(SEARCH("EXCELLENT",X2))</x:formula>
    </x:cfRule>
    <x:cfRule type="expression" dxfId="1" priority="4">
      <x:formula>ISNUMBER(SEARCH("FAIL",X2))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5a5131ef9547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62" hidden="0" customWidth="1"/>
    <x:col min="11" max="11" width="16" hidden="0" customWidth="1"/>
  </x:cols>
  <x:sheetData>
    <x:row r="1">
      <x:c r="A1" s="115" t="str">
        <x:v>Primary validation-session comparison for thesis reporting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  <x:c r="AA2" s="82"/>
    </x:row>
    <x:row r="3">
      <x:c r="A3" s="118" t="str">
        <x:v>Session</x:v>
      </x:c>
      <x:c r="B3" s="118" t="str">
        <x:v>Target</x:v>
      </x:c>
      <x:c r="C3" s="118" t="str">
        <x:v>Mean validated</x:v>
      </x:c>
      <x:c r="D3" s="118" t="str">
        <x:v>Difference</x:v>
      </x:c>
      <x:c r="E3" s="118" t="str">
        <x:v>Bias (%)</x:v>
      </x:c>
      <x:c r="F3" s="118" t="str">
        <x:v>Pass rate (%)</x:v>
      </x:c>
      <x:c r="G3" s="118" t="str">
        <x:v>Amplitude CV (%)</x:v>
      </x:c>
      <x:c r="H3" s="118" t="str">
        <x:v>Hold in-band (%)</x:v>
      </x:c>
      <x:c r="I3" s="118" t="str">
        <x:v>Mean selected DAC</x:v>
      </x:c>
      <x:c r="J3" s="118" t="str">
        <x:v>Interpretation</x:v>
      </x:c>
      <x:c r="K3" s="118" t="str">
        <x:v>Frequency (Hz)</x:v>
      </x:c>
      <x:c r="L3" s="82"/>
      <x:c r="M3" s="82"/>
      <x:c r="N3" s="82"/>
      <x:c r="O3" s="82"/>
      <x:c r="P3" s="82"/>
      <x:c r="Q3" s="82"/>
      <x:c r="R3" s="82"/>
      <x:c r="S3" s="82"/>
      <x:c r="T3" s="82"/>
      <x:c r="U3" s="82"/>
      <x:c r="V3" s="82"/>
      <x:c r="W3" s="82"/>
      <x:c r="X3" s="82"/>
      <x:c r="Y3" s="82"/>
      <x:c r="Z3" s="82"/>
      <x:c r="AA3" s="82"/>
    </x:row>
    <x:row r="4" ht="38" customHeight="1">
      <x:c r="A4" s="83" t="str">
        <x:f>'Session Summary'!A7</x:f>
        <x:v>S06</x:v>
      </x:c>
      <x:c r="B4" s="84" t="n">
        <x:f>'Session Summary'!C7</x:f>
        <x:v>0.3</x:v>
      </x:c>
      <x:c r="C4" s="84" t="n">
        <x:f>'Session Summary'!K7</x:f>
        <x:v>0.30127</x:v>
      </x:c>
      <x:c r="D4" s="84" t="n">
        <x:f>C4-B4</x:f>
        <x:v>0.0012699999999999934</x:v>
      </x:c>
      <x:c r="E4" s="123" t="n">
        <x:f>IFERROR(D4/B4,"")</x:f>
        <x:v>0.004233333333333311</x:v>
      </x:c>
      <x:c r="F4" s="123" t="n">
        <x:f>'Session Summary'!J7</x:f>
        <x:v>0.8</x:v>
      </x:c>
      <x:c r="G4" s="85" t="n">
        <x:f>'Session Summary'!N7</x:f>
        <x:v>2.91</x:v>
      </x:c>
      <x:c r="H4" s="85" t="n">
        <x:f>'Session Summary'!V7</x:f>
        <x:v>85</x:v>
      </x:c>
      <x:c r="I4" s="85" t="n">
        <x:f>'Session Summary'!U7</x:f>
        <x:v>4.6875</x:v>
      </x:c>
      <x:c r="J4" s="83" t="str">
        <x:v>Low-amplitude performance is usable but less robust.</x:v>
      </x:c>
      <x:c r="K4" s="84" t="n">
        <x:f>'Session Summary'!D7</x:f>
        <x:v>268</x:v>
      </x:c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  <x:c r="AA4" s="82"/>
    </x:row>
    <x:row r="5" ht="38" customHeight="1">
      <x:c r="A5" s="83" t="str">
        <x:f>'Session Summary'!A16</x:f>
        <x:v>S15</x:v>
      </x:c>
      <x:c r="B5" s="84" t="n">
        <x:f>'Session Summary'!C16</x:f>
        <x:v>0.6</x:v>
      </x:c>
      <x:c r="C5" s="84" t="n">
        <x:f>'Session Summary'!K16</x:f>
        <x:v>0.61803</x:v>
      </x:c>
      <x:c r="D5" s="84" t="n">
        <x:f>C5-B5</x:f>
        <x:v>0.01802999999999999</x:v>
      </x:c>
      <x:c r="E5" s="123" t="n">
        <x:f>IFERROR(D5/B5,"")</x:f>
        <x:v>0.030049999999999986</x:v>
      </x:c>
      <x:c r="F5" s="123" t="n">
        <x:f>'Session Summary'!J16</x:f>
        <x:v>1</x:v>
      </x:c>
      <x:c r="G5" s="85" t="n">
        <x:f>'Session Summary'!N16</x:f>
        <x:v>3.05</x:v>
      </x:c>
      <x:c r="H5" s="85" t="n">
        <x:f>'Session Summary'!V16</x:f>
        <x:v>96</x:v>
      </x:c>
      <x:c r="I5" s="85" t="n">
        <x:f>'Session Summary'!U16</x:f>
        <x:v>6.95</x:v>
      </x:c>
      <x:c r="J5" s="83" t="str">
        <x:v>Five of five runs passed, but the mean was positively biased to 0.61803 m/s², run CV was 3.05%, and one run achieved only 80% hold compliance.</x:v>
      </x:c>
      <x:c r="K5" s="84" t="n">
        <x:f>'Session Summary'!D16</x:f>
        <x:v>268.89999</x:v>
      </x:c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  <x:c r="AA5" s="82"/>
    </x:row>
    <x:row r="6" ht="38" customHeight="1">
      <x:c r="A6" s="58" t="str">
        <x:f>'Session Summary'!A9</x:f>
        <x:v>S08</x:v>
      </x:c>
      <x:c r="B6" s="59" t="n">
        <x:f>'Session Summary'!C9</x:f>
        <x:v>0.65</x:v>
      </x:c>
      <x:c r="C6" s="59" t="n">
        <x:f>'Session Summary'!K9</x:f>
        <x:v>0.64729</x:v>
      </x:c>
      <x:c r="D6" s="59" t="n">
        <x:f>C6-B6</x:f>
        <x:v>-0.00270999999999999</x:v>
      </x:c>
      <x:c r="E6" s="113" t="n">
        <x:f>IFERROR(D6/B6,"")</x:f>
        <x:v>-0.004169230769230754</x:v>
      </x:c>
      <x:c r="F6" s="113" t="n">
        <x:f>'Session Summary'!J9</x:f>
        <x:v>0.8</x:v>
      </x:c>
      <x:c r="G6" s="60" t="n">
        <x:f>'Session Summary'!N9</x:f>
        <x:v>2.47</x:v>
      </x:c>
      <x:c r="H6" s="60" t="n">
        <x:f>'Session Summary'!V9</x:f>
        <x:v>100</x:v>
      </x:c>
      <x:c r="I6" s="60" t="n">
        <x:f>'Session Summary'!U9</x:f>
        <x:v>8.125</x:v>
      </x:c>
      <x:c r="J6" s="58" t="str">
        <x:v>Four of five runs passed.</x:v>
      </x:c>
      <x:c r="K6" s="59" t="n">
        <x:f>'Session Summary'!D9</x:f>
        <x:v>268</x:v>
      </x:c>
    </x:row>
    <x:row r="7" ht="38" customHeight="1">
      <x:c r="A7" s="58" t="str">
        <x:f>'Session Summary'!A21</x:f>
        <x:v>S20</x:v>
      </x:c>
      <x:c r="B7" s="59" t="n">
        <x:f>'Session Summary'!C21</x:f>
        <x:v>0.65</x:v>
      </x:c>
      <x:c r="C7" s="59" t="n">
        <x:f>'Session Summary'!K21</x:f>
        <x:v>0.67052</x:v>
      </x:c>
      <x:c r="D7" s="59" t="n">
        <x:f>C7-B7</x:f>
        <x:v>0.020519999999999983</x:v>
      </x:c>
      <x:c r="E7" s="113" t="n">
        <x:f>IFERROR(D7/B7,"")</x:f>
        <x:v>0.03156923076923074</x:v>
      </x:c>
      <x:c r="F7" s="113" t="n">
        <x:f>'Session Summary'!J21</x:f>
        <x:v>1</x:v>
      </x:c>
      <x:c r="G7" s="60" t="n">
        <x:f>'Session Summary'!N21</x:f>
        <x:v>2.73</x:v>
      </x:c>
      <x:c r="H7" s="60" t="n">
        <x:f>'Session Summary'!V21</x:f>
        <x:v>96</x:v>
      </x:c>
      <x:c r="I7" s="60" t="n">
        <x:f>'Session Summary'!U21</x:f>
        <x:v>8.05</x:v>
      </x:c>
      <x:c r="J7" s="58" t="str">
        <x:v>Five of five runs passed with 96% average hold compliance.</x:v>
      </x:c>
      <x:c r="K7" s="59" t="n">
        <x:f>'Session Summary'!D21</x:f>
        <x:v>268</x:v>
      </x:c>
    </x:row>
    <x:row r="8" ht="38" customHeight="1">
      <x:c r="A8" s="58" t="str">
        <x:f>'Session Summary'!A19</x:f>
        <x:v>S18</x:v>
      </x:c>
      <x:c r="B8" s="59" t="n">
        <x:f>'Session Summary'!C19</x:f>
        <x:v>0.75</x:v>
      </x:c>
      <x:c r="C8" s="59" t="n">
        <x:f>'Session Summary'!K19</x:f>
        <x:v>0.75521</x:v>
      </x:c>
      <x:c r="D8" s="59" t="n">
        <x:f>C8-B8</x:f>
        <x:v>0.005210000000000048</x:v>
      </x:c>
      <x:c r="E8" s="113" t="n">
        <x:f>IFERROR(D8/B8,"")</x:f>
        <x:v>0.00694666666666673</x:v>
      </x:c>
      <x:c r="F8" s="113" t="n">
        <x:f>'Session Summary'!J19</x:f>
        <x:v>1</x:v>
      </x:c>
      <x:c r="G8" s="60" t="n">
        <x:f>'Session Summary'!N19</x:f>
        <x:v>4.36</x:v>
      </x:c>
      <x:c r="H8" s="60" t="n">
        <x:f>'Session Summary'!V19</x:f>
        <x:v>98</x:v>
      </x:c>
      <x:c r="I8" s="60" t="n">
        <x:f>'Session Summary'!U19</x:f>
        <x:v>7.5</x:v>
      </x:c>
      <x:c r="J8" s="58" t="str">
        <x:v>Five of five runs passed with 98% average hold compliance.</x:v>
      </x:c>
      <x:c r="K8" s="59" t="n">
        <x:f>'Session Summary'!D19</x:f>
        <x:v>268</x:v>
      </x:c>
    </x:row>
    <x:row r="9" ht="38" customHeight="1">
      <x:c r="A9" s="58" t="str">
        <x:f>'Session Summary'!A11</x:f>
        <x:v>S10</x:v>
      </x:c>
      <x:c r="B9" s="59" t="n">
        <x:f>'Session Summary'!C11</x:f>
        <x:v>0.89</x:v>
      </x:c>
      <x:c r="C9" s="59" t="n">
        <x:f>'Session Summary'!K11</x:f>
        <x:v>0.88169</x:v>
      </x:c>
      <x:c r="D9" s="59" t="n">
        <x:f>C9-B9</x:f>
        <x:v>-0.00831000000000004</x:v>
      </x:c>
      <x:c r="E9" s="113" t="n">
        <x:f>IFERROR(D9/B9,"")</x:f>
        <x:v>-0.009337078651685437</x:v>
      </x:c>
      <x:c r="F9" s="113" t="n">
        <x:f>'Session Summary'!J11</x:f>
        <x:v>1</x:v>
      </x:c>
      <x:c r="G9" s="60" t="n">
        <x:f>'Session Summary'!N11</x:f>
        <x:v>0.58</x:v>
      </x:c>
      <x:c r="H9" s="60" t="n">
        <x:f>'Session Summary'!V11</x:f>
        <x:v>100</x:v>
      </x:c>
      <x:c r="I9" s="60" t="n">
        <x:f>'Session Summary'!U11</x:f>
        <x:v>10</x:v>
      </x:c>
      <x:c r="J9" s="58" t="str">
        <x:v>Excellent repeat confirmation.</x:v>
      </x:c>
      <x:c r="K9" s="59" t="n">
        <x:f>'Session Summary'!D11</x:f>
        <x:v>268</x:v>
      </x:c>
    </x:row>
    <x:row r="10" ht="38" customHeight="1">
      <x:c r="A10" s="58" t="str">
        <x:f>'Session Summary'!A4</x:f>
        <x:v>S03</x:v>
      </x:c>
      <x:c r="B10" s="59" t="n">
        <x:f>'Session Summary'!C4</x:f>
        <x:v>0.9</x:v>
      </x:c>
      <x:c r="C10" s="59" t="n">
        <x:f>'Session Summary'!K4</x:f>
        <x:v>0.89917</x:v>
      </x:c>
      <x:c r="D10" s="59" t="n">
        <x:f>C10-B10</x:f>
        <x:v>-0.0008299999999999974</x:v>
      </x:c>
      <x:c r="E10" s="113" t="n">
        <x:f>IFERROR(D10/B10,"")</x:f>
        <x:v>-0.0009222222222222194</x:v>
      </x:c>
      <x:c r="F10" s="113" t="n">
        <x:f>'Session Summary'!J4</x:f>
        <x:v>1</x:v>
      </x:c>
      <x:c r="G10" s="60" t="n">
        <x:f>'Session Summary'!N4</x:f>
        <x:v>1.1</x:v>
      </x:c>
      <x:c r="H10" s="60" t="n">
        <x:f>'Session Summary'!V4</x:f>
        <x:v>100</x:v>
      </x:c>
      <x:c r="I10" s="60" t="n">
        <x:f>'Session Summary'!U4</x:f>
        <x:v>9.3</x:v>
      </x:c>
      <x:c r="J10" s="58" t="str">
        <x:v>Excellent repeatability; one isolated raw-clipping retry.</x:v>
      </x:c>
      <x:c r="K10" s="59" t="n">
        <x:f>'Session Summary'!D4</x:f>
        <x:v>268</x:v>
      </x:c>
    </x:row>
    <x:row r="11" ht="38" customHeight="1">
      <x:c r="A11" s="58" t="str">
        <x:f>'Session Summary'!A14</x:f>
        <x:v>S13</x:v>
      </x:c>
      <x:c r="B11" s="59" t="n">
        <x:f>'Session Summary'!C14</x:f>
        <x:v>1</x:v>
      </x:c>
      <x:c r="C11" s="59" t="n">
        <x:f>'Session Summary'!K14</x:f>
        <x:v>0.99621</x:v>
      </x:c>
      <x:c r="D11" s="59" t="n">
        <x:f>C11-B11</x:f>
        <x:v>-0.00378999999999996</x:v>
      </x:c>
      <x:c r="E11" s="113" t="n">
        <x:f>IFERROR(D11/B11,"")</x:f>
        <x:v>-0.00378999999999996</x:v>
      </x:c>
      <x:c r="F11" s="113" t="n">
        <x:f>'Session Summary'!J14</x:f>
        <x:v>1</x:v>
      </x:c>
      <x:c r="G11" s="60" t="n">
        <x:f>'Session Summary'!N14</x:f>
        <x:v>2.27</x:v>
      </x:c>
      <x:c r="H11" s="60" t="n">
        <x:f>'Session Summary'!V14</x:f>
        <x:v>100</x:v>
      </x:c>
      <x:c r="I11" s="60" t="n">
        <x:f>'Session Summary'!U14</x:f>
        <x:v>10.05</x:v>
      </x:c>
      <x:c r="J11" s="58" t="str">
        <x:v>Five of five runs passed.</x:v>
      </x:c>
      <x:c r="K11" s="59" t="n">
        <x:f>'Session Summary'!D14</x:f>
        <x:v>268</x:v>
      </x:c>
    </x:row>
    <x:row r="12" ht="38" customHeight="1">
      <x:c r="A12" s="58" t="str">
        <x:f>'Session Summary'!A10</x:f>
        <x:v>S09</x:v>
      </x:c>
      <x:c r="B12" s="59" t="n">
        <x:f>'Session Summary'!C10</x:f>
        <x:v>1.15</x:v>
      </x:c>
      <x:c r="C12" s="59" t="n">
        <x:f>'Session Summary'!K10</x:f>
        <x:v>1.1638</x:v>
      </x:c>
      <x:c r="D12" s="59" t="n">
        <x:f>C12-B12</x:f>
        <x:v>0.013800000000000034</x:v>
      </x:c>
      <x:c r="E12" s="113" t="n">
        <x:f>IFERROR(D12/B12,"")</x:f>
        <x:v>0.012000000000000031</x:v>
      </x:c>
      <x:c r="F12" s="113" t="n">
        <x:f>'Session Summary'!J10</x:f>
        <x:v>1</x:v>
      </x:c>
      <x:c r="G12" s="60" t="n">
        <x:f>'Session Summary'!N10</x:f>
        <x:v>1</x:v>
      </x:c>
      <x:c r="H12" s="60" t="n">
        <x:f>'Session Summary'!V10</x:f>
        <x:v>100</x:v>
      </x:c>
      <x:c r="I12" s="60" t="n">
        <x:f>'Session Summary'!U10</x:f>
        <x:v>12.35</x:v>
      </x:c>
      <x:c r="J12" s="58" t="str">
        <x:v>Excellent five-run acquisition.</x:v>
      </x:c>
      <x:c r="K12" s="59" t="n">
        <x:f>'Session Summary'!D10</x:f>
        <x:v>268</x:v>
      </x:c>
    </x:row>
    <x:row r="13" ht="38" customHeight="1">
      <x:c r="A13" s="58" t="str">
        <x:f>'Session Summary'!A15</x:f>
        <x:v>S14</x:v>
      </x:c>
      <x:c r="B13" s="59" t="n">
        <x:f>'Session Summary'!C15</x:f>
        <x:v>1.15</x:v>
      </x:c>
      <x:c r="C13" s="59" t="n">
        <x:f>'Session Summary'!K15</x:f>
        <x:v>1.15621</x:v>
      </x:c>
      <x:c r="D13" s="59" t="n">
        <x:f>C13-B13</x:f>
        <x:v>0.006210000000000049</x:v>
      </x:c>
      <x:c r="E13" s="113" t="n">
        <x:f>IFERROR(D13/B13,"")</x:f>
        <x:v>0.005400000000000043</x:v>
      </x:c>
      <x:c r="F13" s="113" t="n">
        <x:f>'Session Summary'!J15</x:f>
        <x:v>1</x:v>
      </x:c>
      <x:c r="G13" s="60" t="n">
        <x:f>'Session Summary'!N15</x:f>
        <x:v>1.39</x:v>
      </x:c>
      <x:c r="H13" s="60" t="n">
        <x:f>'Session Summary'!V15</x:f>
        <x:v>100</x:v>
      </x:c>
      <x:c r="I13" s="60" t="n">
        <x:f>'Session Summary'!U15</x:f>
        <x:v>11.45</x:v>
      </x:c>
      <x:c r="J13" s="58" t="str">
        <x:v>Five of five runs passed at 272 Hz.</x:v>
      </x:c>
      <x:c r="K13" s="59" t="n">
        <x:f>'Session Summary'!D15</x:f>
        <x:v>272</x:v>
      </x:c>
    </x:row>
    <x:row r="14" ht="38" customHeight="1">
      <x:c r="A14" s="58" t="str">
        <x:f>'Session Summary'!A5</x:f>
        <x:v>S04</x:v>
      </x:c>
      <x:c r="B14" s="59" t="n">
        <x:f>'Session Summary'!C5</x:f>
        <x:v>1.2</x:v>
      </x:c>
      <x:c r="C14" s="59" t="n">
        <x:f>'Session Summary'!K5</x:f>
        <x:v>1.19454</x:v>
      </x:c>
      <x:c r="D14" s="59" t="n">
        <x:f>C14-B14</x:f>
        <x:v>-0.00546000000000002</x:v>
      </x:c>
      <x:c r="E14" s="113" t="n">
        <x:f>IFERROR(D14/B14,"")</x:f>
        <x:v>-0.004550000000000018</x:v>
      </x:c>
      <x:c r="F14" s="113" t="n">
        <x:f>'Session Summary'!J5</x:f>
        <x:v>1</x:v>
      </x:c>
      <x:c r="G14" s="60" t="n">
        <x:f>'Session Summary'!N5</x:f>
        <x:v>1.09</x:v>
      </x:c>
      <x:c r="H14" s="60" t="n">
        <x:f>'Session Summary'!V5</x:f>
        <x:v>100</x:v>
      </x:c>
      <x:c r="I14" s="60" t="n">
        <x:f>'Session Summary'!U5</x:f>
        <x:v>11.4</x:v>
      </x:c>
      <x:c r="J14" s="58" t="str">
        <x:v>Excellent repeatability at 1.20 m/s²; 50/50 hold records in band.</x:v>
      </x:c>
      <x:c r="K14" s="59" t="n">
        <x:f>'Session Summary'!D5</x:f>
        <x:v>268</x:v>
      </x:c>
    </x:row>
    <x:row r="15" ht="38" customHeight="1">
      <x:c r="A15" s="58" t="str">
        <x:f>'Session Summary'!A20</x:f>
        <x:v>S19</x:v>
      </x:c>
      <x:c r="B15" s="59" t="n">
        <x:f>'Session Summary'!C20</x:f>
        <x:v>1.2</x:v>
      </x:c>
      <x:c r="C15" s="59" t="n">
        <x:f>'Session Summary'!K20</x:f>
        <x:v>1.18409</x:v>
      </x:c>
      <x:c r="D15" s="59" t="n">
        <x:f>C15-B15</x:f>
        <x:v>-0.01590999999999987</x:v>
      </x:c>
      <x:c r="E15" s="113" t="n">
        <x:f>IFERROR(D15/B15,"")</x:f>
        <x:v>-0.013258333333333224</x:v>
      </x:c>
      <x:c r="F15" s="113" t="n">
        <x:f>'Session Summary'!J20</x:f>
        <x:v>1</x:v>
      </x:c>
      <x:c r="G15" s="60" t="n">
        <x:f>'Session Summary'!N20</x:f>
        <x:v>2.23</x:v>
      </x:c>
      <x:c r="H15" s="60" t="n">
        <x:f>'Session Summary'!V20</x:f>
        <x:v>100</x:v>
      </x:c>
      <x:c r="I15" s="60" t="n">
        <x:f>'Session Summary'!U20</x:f>
        <x:v>11.8</x:v>
      </x:c>
      <x:c r="J15" s="58" t="str">
        <x:v>Five of five runs passed and all 50 hold records were in band.</x:v>
      </x:c>
      <x:c r="K15" s="59" t="n">
        <x:f>'Session Summary'!D20</x:f>
        <x:v>268</x:v>
      </x:c>
    </x:row>
    <x:row r="16" ht="38" customHeight="1">
      <x:c r="A16" s="58" t="str">
        <x:f>'Session Summary'!A6</x:f>
        <x:v>S05</x:v>
      </x:c>
      <x:c r="B16" s="59" t="n">
        <x:f>'Session Summary'!C6</x:f>
        <x:v>1.28</x:v>
      </x:c>
      <x:c r="C16" s="59" t="n">
        <x:f>'Session Summary'!K6</x:f>
        <x:v>1.2792</x:v>
      </x:c>
      <x:c r="D16" s="59" t="n">
        <x:f>C16-B16</x:f>
        <x:v>-0.0008000000000001339</x:v>
      </x:c>
      <x:c r="E16" s="113" t="n">
        <x:f>IFERROR(D16/B16,"")</x:f>
        <x:v>-0.0006250000000001046</x:v>
      </x:c>
      <x:c r="F16" s="113" t="n">
        <x:f>'Session Summary'!J6</x:f>
        <x:v>1</x:v>
      </x:c>
      <x:c r="G16" s="60" t="n">
        <x:f>'Session Summary'!N6</x:f>
        <x:v>0.58</x:v>
      </x:c>
      <x:c r="H16" s="60" t="n">
        <x:f>'Session Summary'!V6</x:f>
        <x:v>100</x:v>
      </x:c>
      <x:c r="I16" s="60" t="n">
        <x:f>'Session Summary'!U6</x:f>
        <x:v>12.35</x:v>
      </x:c>
      <x:c r="J16" s="58" t="str">
        <x:v>Best high-amplitude repeatability; 50/50 hold records in band.</x:v>
      </x:c>
      <x:c r="K16" s="59" t="n">
        <x:f>'Session Summary'!D6</x:f>
        <x:v>268</x:v>
      </x:c>
    </x:row>
  </x:sheetData>
  <x:mergeCells>
    <x:mergeCell ref="A1:J1"/>
    <x:mergeCell ref="A1:K1"/>
  </x:mergeCells>
  <x:pageMargins left="0.7" right="0.7" top="0.75" bottom="0.75" header="0.3" footer="0.3"/>
  <x:tableParts count="1">
    <x:tablePart xmlns:r="http://schemas.openxmlformats.org/officeDocument/2006/relationships" r:id="R651c5961cee24c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2" hidden="0" customWidth="1"/>
    <x:col min="4" max="4" width="8" hidden="0" customWidth="1"/>
    <x:col min="5" max="5" width="10" hidden="0" customWidth="1"/>
    <x:col min="6" max="6" width="12" hidden="0" customWidth="1"/>
    <x:col min="7" max="7" width="17" hidden="0" customWidth="1"/>
    <x:col min="8" max="8" width="11" hidden="0" customWidth="1"/>
    <x:col min="9" max="9" width="15" hidden="0" customWidth="1"/>
    <x:col min="10" max="10" width="14" hidden="0" customWidth="1"/>
    <x:col min="11" max="11" width="13" hidden="0" customWidth="1"/>
    <x:col min="12" max="12" width="11" hidden="0" customWidth="1"/>
    <x:col min="13" max="13" width="13" hidden="0" customWidth="1"/>
    <x:col min="14" max="14" width="12" hidden="0" customWidth="1"/>
    <x:col min="15" max="15" width="15" hidden="0" customWidth="1"/>
    <x:col min="16" max="16" width="48" hidden="0" customWidth="1"/>
    <x:col min="17" max="17" width="12" hidden="0" customWidth="1"/>
    <x:col min="18" max="18" width="12" hidden="0" customWidth="1"/>
    <x:col min="19" max="19" width="16" hidden="0" customWidth="1"/>
    <x:col min="20" max="20" width="11" hidden="0" customWidth="1"/>
    <x:col min="21" max="21" width="14" hidden="0" customWidth="1"/>
    <x:col min="22" max="22" width="24" hidden="0" customWidth="1"/>
  </x:cols>
  <x:sheetData>
    <x:row r="1">
      <x:c r="A1" s="49" t="str">
        <x:v>Session</x:v>
      </x:c>
      <x:c r="B1" s="49" t="str">
        <x:v>Test label</x:v>
      </x:c>
      <x:c r="C1" s="49" t="str">
        <x:v>Target</x:v>
      </x:c>
      <x:c r="D1" s="49" t="str">
        <x:v>Run</x:v>
      </x:c>
      <x:c r="E1" s="49" t="str">
        <x:v>Result</x:v>
      </x:c>
      <x:c r="F1" s="49" t="str">
        <x:v>Selected DAC</x:v>
      </x:c>
      <x:c r="G1" s="49" t="str">
        <x:v>Validated amplitude</x:v>
      </x:c>
      <x:c r="H1" s="49" t="str">
        <x:v>Error (%)</x:v>
      </x:c>
      <x:c r="I1" s="49" t="str">
        <x:v>Absolute error (%)</x:v>
      </x:c>
      <x:c r="J1" s="49" t="str">
        <x:v>FFT frequency</x:v>
      </x:c>
      <x:c r="K1" s="49" t="str">
        <x:v>FFT difference</x:v>
      </x:c>
      <x:c r="L1" s="49" t="str">
        <x:v>FFT SNR</x:v>
      </x:c>
      <x:c r="M1" s="49" t="str">
        <x:v>Hold mean</x:v>
      </x:c>
      <x:c r="N1" s="49" t="str">
        <x:v>Hold CV (%)</x:v>
      </x:c>
      <x:c r="O1" s="49" t="str">
        <x:v>Hold in-band (%)</x:v>
      </x:c>
      <x:c r="P1" s="49" t="str">
        <x:v>Reason</x:v>
      </x:c>
      <x:c r="Q1" s="49" t="str">
        <x:v>Lower band</x:v>
      </x:c>
      <x:c r="R1" s="49" t="str">
        <x:v>Upper band</x:v>
      </x:c>
      <x:c r="S1" s="49" t="str">
        <x:v>Amplitude in band?</x:v>
      </x:c>
      <x:c r="T1" s="49" t="str">
        <x:v>FFT pass?</x:v>
      </x:c>
      <x:c r="U1" s="49" t="str">
        <x:v>Primary dataset?</x:v>
      </x:c>
      <x:c r="V1" s="49" t="str">
        <x:v>Source file</x:v>
      </x:c>
      <x:c r="W1" s="82" t="str">
        <x:v>Absolute FFT difference</x:v>
      </x:c>
      <x:c r="X1" s="82" t="str">
        <x:v>Primary error helper</x:v>
      </x:c>
      <x:c r="Y1" s="82"/>
      <x:c r="Z1" s="82"/>
      <x:c r="AA1" s="82"/>
    </x:row>
    <x:row r="2">
      <x:c r="A2" s="82" t="str">
        <x:v>S01</x:v>
      </x:c>
      <x:c r="B2" s="83" t="str">
        <x:v>1.10 initial validation – unstable response state</x:v>
      </x:c>
      <x:c r="C2" s="94" t="n">
        <x:v>1.1</x:v>
      </x:c>
      <x:c r="D2" s="82" t="n">
        <x:v>1</x:v>
      </x:c>
      <x:c r="E2" s="82" t="str">
        <x:v>PASS</x:v>
      </x:c>
      <x:c r="F2" s="94" t="n">
        <x:v>5</x:v>
      </x:c>
      <x:c r="G2" s="94" t="n">
        <x:v>1.04652</x:v>
      </x:c>
      <x:c r="H2" s="97" t="n">
        <x:v>-4.86</x:v>
      </x:c>
      <x:c r="I2" s="97" t="n">
        <x:f>ABS(H2)</x:f>
        <x:v>4.86</x:v>
      </x:c>
      <x:c r="J2" s="94" t="n">
        <x:v>268.05998</x:v>
      </x:c>
      <x:c r="K2" s="94" t="n">
        <x:v>0.05998</x:v>
      </x:c>
      <x:c r="L2" s="97" t="n">
        <x:v>25.68</x:v>
      </x:c>
      <x:c r="M2" s="97" t="n">
        <x:v>1.0964</x:v>
      </x:c>
      <x:c r="N2" s="97" t="n">
        <x:v>4.9</x:v>
      </x:c>
      <x:c r="O2" s="97" t="n">
        <x:v>80</x:v>
      </x:c>
      <x:c r="P2" s="83" t="str">
        <x:v>PASS</x:v>
      </x:c>
      <x:c r="Q2" s="94" t="n">
        <x:f>C2*(1-'Session Summary'!E2/100)</x:f>
        <x:v>1.0175</x:v>
      </x:c>
      <x:c r="R2" s="94" t="n">
        <x:f>C2*(1+'Session Summary'!E2/100)</x:f>
        <x:v>1.1825</x:v>
      </x:c>
      <x:c r="S2" s="82" t="str">
        <x:f>IF(AND(G2&gt;=Q2,G2&lt;=R2),"Yes","No")</x:f>
        <x:v>Yes</x:v>
      </x:c>
      <x:c r="T2" s="82" t="str">
        <x:f>IF(ABS(K2)&lt;=2,"Yes","No")</x:f>
        <x:v>Yes</x:v>
      </x:c>
      <x:c r="U2" s="82" t="str">
        <x:v>No</x:v>
      </x:c>
      <x:c r="V2" s="82" t="str">
        <x:v>Pasted text(56).txt</x:v>
      </x:c>
      <x:c r="W2" s="94" t="n">
        <x:f>ABS(K2)</x:f>
        <x:v>0.05998</x:v>
      </x:c>
      <x:c r="X2" s="94" t="n">
        <x:f>IF(AND(U2="Yes",E2="PASS"),I2,0)</x:f>
        <x:v>0</x:v>
      </x:c>
      <x:c r="Y2" s="82"/>
      <x:c r="Z2" s="82"/>
      <x:c r="AA2" s="82"/>
    </x:row>
    <x:row r="3">
      <x:c r="A3" s="82" t="str">
        <x:v>S01</x:v>
      </x:c>
      <x:c r="B3" s="83" t="str">
        <x:v>1.10 initial validation – unstable response state</x:v>
      </x:c>
      <x:c r="C3" s="94" t="n">
        <x:v>1.1</x:v>
      </x:c>
      <x:c r="D3" s="82" t="n">
        <x:v>2</x:v>
      </x:c>
      <x:c r="E3" s="82" t="str">
        <x:v>PASS</x:v>
      </x:c>
      <x:c r="F3" s="94" t="n">
        <x:v>3</x:v>
      </x:c>
      <x:c r="G3" s="94" t="n">
        <x:v>1.05187</x:v>
      </x:c>
      <x:c r="H3" s="97" t="n">
        <x:v>-4.38</x:v>
      </x:c>
      <x:c r="I3" s="97" t="n">
        <x:f>ABS(H3)</x:f>
        <x:v>4.38</x:v>
      </x:c>
      <x:c r="J3" s="94" t="n">
        <x:v>268.01105</x:v>
      </x:c>
      <x:c r="K3" s="94" t="n">
        <x:v>0.01105</x:v>
      </x:c>
      <x:c r="L3" s="97" t="n">
        <x:v>22.6</x:v>
      </x:c>
      <x:c r="M3" s="97" t="n">
        <x:v>1.08884</x:v>
      </x:c>
      <x:c r="N3" s="97" t="n">
        <x:v>1.52</x:v>
      </x:c>
      <x:c r="O3" s="97" t="n">
        <x:v>100</x:v>
      </x:c>
      <x:c r="P3" s="83" t="str">
        <x:v>PASS</x:v>
      </x:c>
      <x:c r="Q3" s="94" t="n">
        <x:f>C3*(1-'Session Summary'!E2/100)</x:f>
        <x:v>1.0175</x:v>
      </x:c>
      <x:c r="R3" s="94" t="n">
        <x:f>C3*(1+'Session Summary'!E2/100)</x:f>
        <x:v>1.1825</x:v>
      </x:c>
      <x:c r="S3" s="82" t="str">
        <x:f>IF(AND(G3&gt;=Q3,G3&lt;=R3),"Yes","No")</x:f>
        <x:v>Yes</x:v>
      </x:c>
      <x:c r="T3" s="82" t="str">
        <x:f>IF(ABS(K3)&lt;=2,"Yes","No")</x:f>
        <x:v>Yes</x:v>
      </x:c>
      <x:c r="U3" s="82" t="str">
        <x:v>No</x:v>
      </x:c>
      <x:c r="V3" s="82" t="str">
        <x:v>Pasted text(56).txt</x:v>
      </x:c>
      <x:c r="W3" s="94" t="n">
        <x:f>ABS(K3)</x:f>
        <x:v>0.01105</x:v>
      </x:c>
      <x:c r="X3" s="94" t="n">
        <x:f>IF(AND(U3="Yes",E3="PASS"),I3,0)</x:f>
        <x:v>0</x:v>
      </x:c>
      <x:c r="Y3" s="82"/>
      <x:c r="Z3" s="82"/>
      <x:c r="AA3" s="82"/>
    </x:row>
    <x:row r="4">
      <x:c r="A4" s="82" t="str">
        <x:v>S01</x:v>
      </x:c>
      <x:c r="B4" s="83" t="str">
        <x:v>1.10 initial validation – unstable response state</x:v>
      </x:c>
      <x:c r="C4" s="94" t="n">
        <x:v>1.1</x:v>
      </x:c>
      <x:c r="D4" s="82" t="n">
        <x:v>3</x:v>
      </x:c>
      <x:c r="E4" s="82" t="str">
        <x:v>PASS</x:v>
      </x:c>
      <x:c r="F4" s="94" t="n">
        <x:v>3</x:v>
      </x:c>
      <x:c r="G4" s="94" t="n">
        <x:v>1.0818</x:v>
      </x:c>
      <x:c r="H4" s="97" t="n">
        <x:v>-1.65</x:v>
      </x:c>
      <x:c r="I4" s="97" t="n">
        <x:f>ABS(H4)</x:f>
        <x:v>1.65</x:v>
      </x:c>
      <x:c r="J4" s="94" t="n">
        <x:v>268.03435</x:v>
      </x:c>
      <x:c r="K4" s="94" t="n">
        <x:v>0.03435</x:v>
      </x:c>
      <x:c r="L4" s="97" t="n">
        <x:v>23.03</x:v>
      </x:c>
      <x:c r="M4" s="97" t="n">
        <x:v>1.07646</x:v>
      </x:c>
      <x:c r="N4" s="97" t="n">
        <x:v>1.2</x:v>
      </x:c>
      <x:c r="O4" s="97" t="n">
        <x:v>100</x:v>
      </x:c>
      <x:c r="P4" s="83" t="str">
        <x:v>PASS</x:v>
      </x:c>
      <x:c r="Q4" s="94" t="n">
        <x:f>C4*(1-'Session Summary'!E2/100)</x:f>
        <x:v>1.0175</x:v>
      </x:c>
      <x:c r="R4" s="94" t="n">
        <x:f>C4*(1+'Session Summary'!E2/100)</x:f>
        <x:v>1.1825</x:v>
      </x:c>
      <x:c r="S4" s="82" t="str">
        <x:f>IF(AND(G4&gt;=Q4,G4&lt;=R4),"Yes","No")</x:f>
        <x:v>Yes</x:v>
      </x:c>
      <x:c r="T4" s="82" t="str">
        <x:f>IF(ABS(K4)&lt;=2,"Yes","No")</x:f>
        <x:v>Yes</x:v>
      </x:c>
      <x:c r="U4" s="82" t="str">
        <x:v>No</x:v>
      </x:c>
      <x:c r="V4" s="82" t="str">
        <x:v>Pasted text(56).txt</x:v>
      </x:c>
      <x:c r="W4" s="94" t="n">
        <x:f>ABS(K4)</x:f>
        <x:v>0.03435</x:v>
      </x:c>
      <x:c r="X4" s="94" t="n">
        <x:f>IF(AND(U4="Yes",E4="PASS"),I4,0)</x:f>
        <x:v>0</x:v>
      </x:c>
      <x:c r="Y4" s="82"/>
      <x:c r="Z4" s="82"/>
      <x:c r="AA4" s="82"/>
    </x:row>
    <x:row r="5">
      <x:c r="A5" s="82" t="str">
        <x:v>S01</x:v>
      </x:c>
      <x:c r="B5" s="83" t="str">
        <x:v>1.10 initial validation – unstable response state</x:v>
      </x:c>
      <x:c r="C5" s="94" t="n">
        <x:v>1.1</x:v>
      </x:c>
      <x:c r="D5" s="82" t="n">
        <x:v>4</x:v>
      </x:c>
      <x:c r="E5" s="82" t="str">
        <x:v>FAIL</x:v>
      </x:c>
      <x:c r="F5" s="94" t="n">
        <x:v>3</x:v>
      </x:c>
      <x:c r="G5" s="94" t="n">
        <x:v>1.07202</x:v>
      </x:c>
      <x:c r="H5" s="97" t="n">
        <x:v>-2.54</x:v>
      </x:c>
      <x:c r="I5" s="97" t="n">
        <x:f>ABS(H5)</x:f>
        <x:v>2.54</x:v>
      </x:c>
      <x:c r="J5" s="94" t="n">
        <x:v>268.01602</x:v>
      </x:c>
      <x:c r="K5" s="94" t="n">
        <x:v>0.01602</x:v>
      </x:c>
      <x:c r="L5" s="97" t="n">
        <x:v>22.75</x:v>
      </x:c>
      <x:c r="M5" s="97" t="n">
        <x:v>1.42835</x:v>
      </x:c>
      <x:c r="N5" s="97" t="n">
        <x:v>8.62</x:v>
      </x:c>
      <x:c r="O5" s="97" t="n">
        <x:v>10</x:v>
      </x:c>
      <x:c r="P5" s="83" t="str">
        <x:v>X target exceeded at first reliable DAC; reduce amplifier knob</x:v>
      </x:c>
      <x:c r="Q5" s="94" t="n">
        <x:f>C5*(1-'Session Summary'!E2/100)</x:f>
        <x:v>1.0175</x:v>
      </x:c>
      <x:c r="R5" s="94" t="n">
        <x:f>C5*(1+'Session Summary'!E2/100)</x:f>
        <x:v>1.1825</x:v>
      </x:c>
      <x:c r="S5" s="82" t="str">
        <x:f>IF(AND(G5&gt;=Q5,G5&lt;=R5),"Yes","No")</x:f>
        <x:v>Yes</x:v>
      </x:c>
      <x:c r="T5" s="82" t="str">
        <x:f>IF(ABS(K5)&lt;=2,"Yes","No")</x:f>
        <x:v>Yes</x:v>
      </x:c>
      <x:c r="U5" s="82" t="str">
        <x:v>No</x:v>
      </x:c>
      <x:c r="V5" s="82" t="str">
        <x:v>Pasted text(56).txt</x:v>
      </x:c>
      <x:c r="W5" s="94" t="n">
        <x:f>ABS(K5)</x:f>
        <x:v>0.01602</x:v>
      </x:c>
      <x:c r="X5" s="94" t="n">
        <x:f>IF(AND(U5="Yes",E5="PASS"),I5,0)</x:f>
        <x:v>0</x:v>
      </x:c>
      <x:c r="Y5" s="82"/>
      <x:c r="Z5" s="82"/>
      <x:c r="AA5" s="82"/>
    </x:row>
    <x:row r="6">
      <x:c r="A6" t="str">
        <x:v>S01</x:v>
      </x:c>
      <x:c r="B6" s="58" t="str">
        <x:v>1.10 initial validation – unstable response state</x:v>
      </x:c>
      <x:c r="C6" s="54" t="n">
        <x:v>1.1</x:v>
      </x:c>
      <x:c r="D6" t="n">
        <x:v>5</x:v>
      </x:c>
      <x:c r="E6" t="str">
        <x:v>FAIL</x:v>
      </x:c>
      <x:c r="F6" s="54" t="n">
        <x:v>0</x:v>
      </x:c>
      <x:c r="G6" s="54" t="n">
        <x:v>0</x:v>
      </x:c>
      <x:c r="H6" s="56" t="n">
        <x:v>0</x:v>
      </x:c>
      <x:c r="I6" s="56" t="n">
        <x:f>ABS(H6)</x:f>
        <x:v>0</x:v>
      </x:c>
      <x:c r="J6" s="54" t="n">
        <x:v>0</x:v>
      </x:c>
      <x:c r="K6" s="54" t="n">
        <x:v>0</x:v>
      </x:c>
      <x:c r="L6" s="56" t="n">
        <x:v>0</x:v>
      </x:c>
      <x:c r="M6" s="56" t="n">
        <x:v>0</x:v>
      </x:c>
      <x:c r="N6" s="56" t="n">
        <x:v>0</x:v>
      </x:c>
      <x:c r="O6" s="56" t="n">
        <x:v>0</x:v>
      </x:c>
      <x:c r="P6" s="58" t="str">
        <x:v>X target exceeded at first reliable DAC; reduce amplifier knob</x:v>
      </x:c>
      <x:c r="Q6" s="54" t="n">
        <x:f>C6*(1-'Session Summary'!E2/100)</x:f>
        <x:v>1.0175</x:v>
      </x:c>
      <x:c r="R6" s="54" t="n">
        <x:f>C6*(1+'Session Summary'!E2/100)</x:f>
        <x:v>1.1825</x:v>
      </x:c>
      <x:c r="S6" t="str">
        <x:f>IF(AND(G6&gt;=Q6,G6&lt;=R6),"Yes","No")</x:f>
        <x:v>No</x:v>
      </x:c>
      <x:c r="T6" t="str">
        <x:f>IF(ABS(K6)&lt;=2,"Yes","No")</x:f>
        <x:v>Yes</x:v>
      </x:c>
      <x:c r="U6" t="str">
        <x:v>No</x:v>
      </x:c>
      <x:c r="V6" t="str">
        <x:v>Pasted text(56).txt</x:v>
      </x:c>
      <x:c r="W6" s="54" t="n">
        <x:f>ABS(K6)</x:f>
        <x:v>0</x:v>
      </x:c>
      <x:c r="X6" s="54" t="n">
        <x:f>IF(AND(U6="Yes",E6="PASS"),I6,0)</x:f>
        <x:v>0</x:v>
      </x:c>
    </x:row>
    <x:row r="7">
      <x:c r="A7" t="str">
        <x:v>S02</x:v>
      </x:c>
      <x:c r="B7" s="58" t="str">
        <x:v>0.90 high-gain search limitation</x:v>
      </x:c>
      <x:c r="C7" s="54" t="n">
        <x:v>0.9</x:v>
      </x:c>
      <x:c r="D7" t="n">
        <x:v>1</x:v>
      </x:c>
      <x:c r="E7" t="str">
        <x:v>FAIL</x:v>
      </x:c>
      <x:c r="F7" s="54" t="n">
        <x:v>0</x:v>
      </x:c>
      <x:c r="G7" s="54" t="n">
        <x:v>0</x:v>
      </x:c>
      <x:c r="H7" s="56" t="n">
        <x:v>0</x:v>
      </x:c>
      <x:c r="I7" s="56" t="n">
        <x:f>ABS(H7)</x:f>
        <x:v>0</x:v>
      </x:c>
      <x:c r="J7" s="54" t="n">
        <x:v>0</x:v>
      </x:c>
      <x:c r="K7" s="54" t="n">
        <x:v>0</x:v>
      </x:c>
      <x:c r="L7" s="56" t="n">
        <x:v>0</x:v>
      </x:c>
      <x:c r="M7" s="56" t="n">
        <x:v>0</x:v>
      </x:c>
      <x:c r="N7" s="56" t="n">
        <x:v>0</x:v>
      </x:c>
      <x:c r="O7" s="56" t="n">
        <x:v>0</x:v>
      </x:c>
      <x:c r="P7" s="58" t="str">
        <x:v>X target exceeded at first reliable DAC; reduce amplifier knob</x:v>
      </x:c>
      <x:c r="Q7" s="54" t="n">
        <x:f>C7*(1-'Session Summary'!E3/100)</x:f>
        <x:v>0.8325</x:v>
      </x:c>
      <x:c r="R7" s="54" t="n">
        <x:f>C7*(1+'Session Summary'!E3/100)</x:f>
        <x:v>0.9675</x:v>
      </x:c>
      <x:c r="S7" t="str">
        <x:f>IF(AND(G7&gt;=Q7,G7&lt;=R7),"Yes","No")</x:f>
        <x:v>No</x:v>
      </x:c>
      <x:c r="T7" t="str">
        <x:f>IF(ABS(K7)&lt;=2,"Yes","No")</x:f>
        <x:v>Yes</x:v>
      </x:c>
      <x:c r="U7" t="str">
        <x:v>No</x:v>
      </x:c>
      <x:c r="V7" t="str">
        <x:v>Pasted text(56).txt</x:v>
      </x:c>
      <x:c r="W7" s="54" t="n">
        <x:f>ABS(K7)</x:f>
        <x:v>0</x:v>
      </x:c>
      <x:c r="X7" s="54" t="n">
        <x:f>IF(AND(U7="Yes",E7="PASS"),I7,0)</x:f>
        <x:v>0</x:v>
      </x:c>
    </x:row>
    <x:row r="8">
      <x:c r="A8" t="str">
        <x:v>S02</x:v>
      </x:c>
      <x:c r="B8" s="58" t="str">
        <x:v>0.90 high-gain search limitation</x:v>
      </x:c>
      <x:c r="C8" s="54" t="n">
        <x:v>0.9</x:v>
      </x:c>
      <x:c r="D8" t="n">
        <x:v>2</x:v>
      </x:c>
      <x:c r="E8" t="str">
        <x:v>FAIL</x:v>
      </x:c>
      <x:c r="F8" s="54" t="n">
        <x:v>0</x:v>
      </x:c>
      <x:c r="G8" s="54" t="n">
        <x:v>0</x:v>
      </x:c>
      <x:c r="H8" s="56" t="n">
        <x:v>0</x:v>
      </x:c>
      <x:c r="I8" s="56" t="n">
        <x:f>ABS(H8)</x:f>
        <x:v>0</x:v>
      </x:c>
      <x:c r="J8" s="54" t="n">
        <x:v>0</x:v>
      </x:c>
      <x:c r="K8" s="54" t="n">
        <x:v>0</x:v>
      </x:c>
      <x:c r="L8" s="56" t="n">
        <x:v>0</x:v>
      </x:c>
      <x:c r="M8" s="56" t="n">
        <x:v>0</x:v>
      </x:c>
      <x:c r="N8" s="56" t="n">
        <x:v>0</x:v>
      </x:c>
      <x:c r="O8" s="56" t="n">
        <x:v>0</x:v>
      </x:c>
      <x:c r="P8" s="58" t="str">
        <x:v>X target exceeded at first reliable DAC; reduce amplifier knob</x:v>
      </x:c>
      <x:c r="Q8" s="54" t="n">
        <x:f>C8*(1-'Session Summary'!E3/100)</x:f>
        <x:v>0.8325</x:v>
      </x:c>
      <x:c r="R8" s="54" t="n">
        <x:f>C8*(1+'Session Summary'!E3/100)</x:f>
        <x:v>0.9675</x:v>
      </x:c>
      <x:c r="S8" t="str">
        <x:f>IF(AND(G8&gt;=Q8,G8&lt;=R8),"Yes","No")</x:f>
        <x:v>No</x:v>
      </x:c>
      <x:c r="T8" t="str">
        <x:f>IF(ABS(K8)&lt;=2,"Yes","No")</x:f>
        <x:v>Yes</x:v>
      </x:c>
      <x:c r="U8" t="str">
        <x:v>No</x:v>
      </x:c>
      <x:c r="V8" t="str">
        <x:v>Pasted text(56).txt</x:v>
      </x:c>
      <x:c r="W8" s="54" t="n">
        <x:f>ABS(K8)</x:f>
        <x:v>0</x:v>
      </x:c>
      <x:c r="X8" s="54" t="n">
        <x:f>IF(AND(U8="Yes",E8="PASS"),I8,0)</x:f>
        <x:v>0</x:v>
      </x:c>
    </x:row>
    <x:row r="9">
      <x:c r="A9" t="str">
        <x:v>S02</x:v>
      </x:c>
      <x:c r="B9" s="58" t="str">
        <x:v>0.90 high-gain search limitation</x:v>
      </x:c>
      <x:c r="C9" s="54" t="n">
        <x:v>0.9</x:v>
      </x:c>
      <x:c r="D9" t="n">
        <x:v>3</x:v>
      </x:c>
      <x:c r="E9" t="str">
        <x:v>FAIL</x:v>
      </x:c>
      <x:c r="F9" s="54" t="n">
        <x:v>0</x:v>
      </x:c>
      <x:c r="G9" s="54" t="n">
        <x:v>0</x:v>
      </x:c>
      <x:c r="H9" s="56" t="n">
        <x:v>0</x:v>
      </x:c>
      <x:c r="I9" s="56" t="n">
        <x:f>ABS(H9)</x:f>
        <x:v>0</x:v>
      </x:c>
      <x:c r="J9" s="54" t="n">
        <x:v>0</x:v>
      </x:c>
      <x:c r="K9" s="54" t="n">
        <x:v>0</x:v>
      </x:c>
      <x:c r="L9" s="56" t="n">
        <x:v>0</x:v>
      </x:c>
      <x:c r="M9" s="56" t="n">
        <x:v>0</x:v>
      </x:c>
      <x:c r="N9" s="56" t="n">
        <x:v>0</x:v>
      </x:c>
      <x:c r="O9" s="56" t="n">
        <x:v>0</x:v>
      </x:c>
      <x:c r="P9" s="58" t="str">
        <x:v>X target exceeded at first reliable DAC; reduce amplifier knob</x:v>
      </x:c>
      <x:c r="Q9" s="54" t="n">
        <x:f>C9*(1-'Session Summary'!E3/100)</x:f>
        <x:v>0.8325</x:v>
      </x:c>
      <x:c r="R9" s="54" t="n">
        <x:f>C9*(1+'Session Summary'!E3/100)</x:f>
        <x:v>0.9675</x:v>
      </x:c>
      <x:c r="S9" t="str">
        <x:f>IF(AND(G9&gt;=Q9,G9&lt;=R9),"Yes","No")</x:f>
        <x:v>No</x:v>
      </x:c>
      <x:c r="T9" t="str">
        <x:f>IF(ABS(K9)&lt;=2,"Yes","No")</x:f>
        <x:v>Yes</x:v>
      </x:c>
      <x:c r="U9" t="str">
        <x:v>No</x:v>
      </x:c>
      <x:c r="V9" t="str">
        <x:v>Pasted text(56).txt</x:v>
      </x:c>
      <x:c r="W9" s="54" t="n">
        <x:f>ABS(K9)</x:f>
        <x:v>0</x:v>
      </x:c>
      <x:c r="X9" s="54" t="n">
        <x:f>IF(AND(U9="Yes",E9="PASS"),I9,0)</x:f>
        <x:v>0</x:v>
      </x:c>
    </x:row>
    <x:row r="10">
      <x:c r="A10" t="str">
        <x:v>S02</x:v>
      </x:c>
      <x:c r="B10" s="58" t="str">
        <x:v>0.90 high-gain search limitation</x:v>
      </x:c>
      <x:c r="C10" s="54" t="n">
        <x:v>0.9</x:v>
      </x:c>
      <x:c r="D10" t="n">
        <x:v>4</x:v>
      </x:c>
      <x:c r="E10" t="str">
        <x:v>FAIL</x:v>
      </x:c>
      <x:c r="F10" s="54" t="n">
        <x:v>0</x:v>
      </x:c>
      <x:c r="G10" s="54" t="n">
        <x:v>0</x:v>
      </x:c>
      <x:c r="H10" s="56" t="n">
        <x:v>0</x:v>
      </x:c>
      <x:c r="I10" s="56" t="n">
        <x:f>ABS(H10)</x:f>
        <x:v>0</x:v>
      </x:c>
      <x:c r="J10" s="54" t="n">
        <x:v>0</x:v>
      </x:c>
      <x:c r="K10" s="54" t="n">
        <x:v>0</x:v>
      </x:c>
      <x:c r="L10" s="56" t="n">
        <x:v>0</x:v>
      </x:c>
      <x:c r="M10" s="56" t="n">
        <x:v>0</x:v>
      </x:c>
      <x:c r="N10" s="56" t="n">
        <x:v>0</x:v>
      </x:c>
      <x:c r="O10" s="56" t="n">
        <x:v>0</x:v>
      </x:c>
      <x:c r="P10" s="58" t="str">
        <x:v>X target exceeded at first reliable DAC; reduce amplifier knob</x:v>
      </x:c>
      <x:c r="Q10" s="54" t="n">
        <x:f>C10*(1-'Session Summary'!E3/100)</x:f>
        <x:v>0.8325</x:v>
      </x:c>
      <x:c r="R10" s="54" t="n">
        <x:f>C10*(1+'Session Summary'!E3/100)</x:f>
        <x:v>0.9675</x:v>
      </x:c>
      <x:c r="S10" t="str">
        <x:f>IF(AND(G10&gt;=Q10,G10&lt;=R10),"Yes","No")</x:f>
        <x:v>No</x:v>
      </x:c>
      <x:c r="T10" t="str">
        <x:f>IF(ABS(K10)&lt;=2,"Yes","No")</x:f>
        <x:v>Yes</x:v>
      </x:c>
      <x:c r="U10" t="str">
        <x:v>No</x:v>
      </x:c>
      <x:c r="V10" t="str">
        <x:v>Pasted text(56).txt</x:v>
      </x:c>
      <x:c r="W10" s="54" t="n">
        <x:f>ABS(K10)</x:f>
        <x:v>0</x:v>
      </x:c>
      <x:c r="X10" s="54" t="n">
        <x:f>IF(AND(U10="Yes",E10="PASS"),I10,0)</x:f>
        <x:v>0</x:v>
      </x:c>
    </x:row>
    <x:row r="11">
      <x:c r="A11" t="str">
        <x:v>S02</x:v>
      </x:c>
      <x:c r="B11" s="58" t="str">
        <x:v>0.90 high-gain search limitation</x:v>
      </x:c>
      <x:c r="C11" s="54" t="n">
        <x:v>0.9</x:v>
      </x:c>
      <x:c r="D11" t="n">
        <x:v>5</x:v>
      </x:c>
      <x:c r="E11" t="str">
        <x:v>FAIL</x:v>
      </x:c>
      <x:c r="F11" s="54" t="n">
        <x:v>0</x:v>
      </x:c>
      <x:c r="G11" s="54" t="n">
        <x:v>0</x:v>
      </x:c>
      <x:c r="H11" s="56" t="n">
        <x:v>0</x:v>
      </x:c>
      <x:c r="I11" s="56" t="n">
        <x:f>ABS(H11)</x:f>
        <x:v>0</x:v>
      </x:c>
      <x:c r="J11" s="54" t="n">
        <x:v>0</x:v>
      </x:c>
      <x:c r="K11" s="54" t="n">
        <x:v>0</x:v>
      </x:c>
      <x:c r="L11" s="56" t="n">
        <x:v>0</x:v>
      </x:c>
      <x:c r="M11" s="56" t="n">
        <x:v>0</x:v>
      </x:c>
      <x:c r="N11" s="56" t="n">
        <x:v>0</x:v>
      </x:c>
      <x:c r="O11" s="56" t="n">
        <x:v>0</x:v>
      </x:c>
      <x:c r="P11" s="58" t="str">
        <x:v>X target exceeded at first reliable DAC; reduce amplifier knob</x:v>
      </x:c>
      <x:c r="Q11" s="54" t="n">
        <x:f>C11*(1-'Session Summary'!E3/100)</x:f>
        <x:v>0.8325</x:v>
      </x:c>
      <x:c r="R11" s="54" t="n">
        <x:f>C11*(1+'Session Summary'!E3/100)</x:f>
        <x:v>0.9675</x:v>
      </x:c>
      <x:c r="S11" t="str">
        <x:f>IF(AND(G11&gt;=Q11,G11&lt;=R11),"Yes","No")</x:f>
        <x:v>No</x:v>
      </x:c>
      <x:c r="T11" t="str">
        <x:f>IF(ABS(K11)&lt;=2,"Yes","No")</x:f>
        <x:v>Yes</x:v>
      </x:c>
      <x:c r="U11" t="str">
        <x:v>No</x:v>
      </x:c>
      <x:c r="V11" t="str">
        <x:v>Pasted text(56).txt</x:v>
      </x:c>
      <x:c r="W11" s="54" t="n">
        <x:f>ABS(K11)</x:f>
        <x:v>0</x:v>
      </x:c>
      <x:c r="X11" s="54" t="n">
        <x:f>IF(AND(U11="Yes",E11="PASS"),I11,0)</x:f>
        <x:v>0</x:v>
      </x:c>
    </x:row>
    <x:row r="12">
      <x:c r="A12" t="str">
        <x:v>S03</x:v>
      </x:c>
      <x:c r="B12" s="58" t="str">
        <x:v>0.90 validated five-run session</x:v>
      </x:c>
      <x:c r="C12" s="54" t="n">
        <x:v>0.9</x:v>
      </x:c>
      <x:c r="D12" t="n">
        <x:v>1</x:v>
      </x:c>
      <x:c r="E12" t="str">
        <x:v>PASS</x:v>
      </x:c>
      <x:c r="F12" s="54" t="n">
        <x:v>9.5</x:v>
      </x:c>
      <x:c r="G12" s="54" t="n">
        <x:v>0.89918</x:v>
      </x:c>
      <x:c r="H12" s="56" t="n">
        <x:v>-0.09</x:v>
      </x:c>
      <x:c r="I12" s="56" t="n">
        <x:f>ABS(H12)</x:f>
        <x:v>0.09</x:v>
      </x:c>
      <x:c r="J12" s="54" t="n">
        <x:v>268.02906</x:v>
      </x:c>
      <x:c r="K12" s="54" t="n">
        <x:v>0.02906</x:v>
      </x:c>
      <x:c r="L12" s="56" t="n">
        <x:v>29.23</x:v>
      </x:c>
      <x:c r="M12" s="56" t="n">
        <x:v>0.90623</x:v>
      </x:c>
      <x:c r="N12" s="56" t="n">
        <x:v>1.63</x:v>
      </x:c>
      <x:c r="O12" s="56" t="n">
        <x:v>100</x:v>
      </x:c>
      <x:c r="P12" s="58" t="str">
        <x:v>PASS</x:v>
      </x:c>
      <x:c r="Q12" s="54" t="n">
        <x:f>C12*(1-'Session Summary'!E4/100)</x:f>
        <x:v>0.8325</x:v>
      </x:c>
      <x:c r="R12" s="54" t="n">
        <x:f>C12*(1+'Session Summary'!E4/100)</x:f>
        <x:v>0.9675</x:v>
      </x:c>
      <x:c r="S12" t="str">
        <x:f>IF(AND(G12&gt;=Q12,G12&lt;=R12),"Yes","No")</x:f>
        <x:v>Yes</x:v>
      </x:c>
      <x:c r="T12" t="str">
        <x:f>IF(ABS(K12)&lt;=2,"Yes","No")</x:f>
        <x:v>Yes</x:v>
      </x:c>
      <x:c r="U12" t="str">
        <x:v>Yes</x:v>
      </x:c>
      <x:c r="V12" t="str">
        <x:v>Pasted text(56).txt</x:v>
      </x:c>
      <x:c r="W12" s="54" t="n">
        <x:f>ABS(K12)</x:f>
        <x:v>0.02906</x:v>
      </x:c>
      <x:c r="X12" s="54" t="n">
        <x:f>IF(AND(U12="Yes",E12="PASS"),I12,0)</x:f>
        <x:v>0.09</x:v>
      </x:c>
    </x:row>
    <x:row r="13">
      <x:c r="A13" t="str">
        <x:v>S03</x:v>
      </x:c>
      <x:c r="B13" s="58" t="str">
        <x:v>0.90 validated five-run session</x:v>
      </x:c>
      <x:c r="C13" s="54" t="n">
        <x:v>0.9</x:v>
      </x:c>
      <x:c r="D13" t="n">
        <x:v>2</x:v>
      </x:c>
      <x:c r="E13" t="str">
        <x:v>PASS</x:v>
      </x:c>
      <x:c r="F13" s="54" t="n">
        <x:v>9.5</x:v>
      </x:c>
      <x:c r="G13" s="54" t="n">
        <x:v>0.90699</x:v>
      </x:c>
      <x:c r="H13" s="56" t="n">
        <x:v>0.78</x:v>
      </x:c>
      <x:c r="I13" s="56" t="n">
        <x:f>ABS(H13)</x:f>
        <x:v>0.78</x:v>
      </x:c>
      <x:c r="J13" s="54" t="n">
        <x:v>268.02839</x:v>
      </x:c>
      <x:c r="K13" s="54" t="n">
        <x:v>0.02839</x:v>
      </x:c>
      <x:c r="L13" s="56" t="n">
        <x:v>29.47</x:v>
      </x:c>
      <x:c r="M13" s="56" t="n">
        <x:v>0.91415</x:v>
      </x:c>
      <x:c r="N13" s="56" t="n">
        <x:v>1.54</x:v>
      </x:c>
      <x:c r="O13" s="56" t="n">
        <x:v>100</x:v>
      </x:c>
      <x:c r="P13" s="58" t="str">
        <x:v>PASS</x:v>
      </x:c>
      <x:c r="Q13" s="54" t="n">
        <x:f>C13*(1-'Session Summary'!E4/100)</x:f>
        <x:v>0.8325</x:v>
      </x:c>
      <x:c r="R13" s="54" t="n">
        <x:f>C13*(1+'Session Summary'!E4/100)</x:f>
        <x:v>0.9675</x:v>
      </x:c>
      <x:c r="S13" t="str">
        <x:f>IF(AND(G13&gt;=Q13,G13&lt;=R13),"Yes","No")</x:f>
        <x:v>Yes</x:v>
      </x:c>
      <x:c r="T13" t="str">
        <x:f>IF(ABS(K13)&lt;=2,"Yes","No")</x:f>
        <x:v>Yes</x:v>
      </x:c>
      <x:c r="U13" t="str">
        <x:v>Yes</x:v>
      </x:c>
      <x:c r="V13" t="str">
        <x:v>Pasted text(56).txt</x:v>
      </x:c>
      <x:c r="W13" s="54" t="n">
        <x:f>ABS(K13)</x:f>
        <x:v>0.02839</x:v>
      </x:c>
      <x:c r="X13" s="54" t="n">
        <x:f>IF(AND(U13="Yes",E13="PASS"),I13,0)</x:f>
        <x:v>0.78</x:v>
      </x:c>
    </x:row>
    <x:row r="14">
      <x:c r="A14" t="str">
        <x:v>S03</x:v>
      </x:c>
      <x:c r="B14" s="58" t="str">
        <x:v>0.90 validated five-run session</x:v>
      </x:c>
      <x:c r="C14" s="54" t="n">
        <x:v>0.9</x:v>
      </x:c>
      <x:c r="D14" t="n">
        <x:v>3</x:v>
      </x:c>
      <x:c r="E14" t="str">
        <x:v>PASS</x:v>
      </x:c>
      <x:c r="F14" s="54" t="n">
        <x:v>9.25</x:v>
      </x:c>
      <x:c r="G14" s="54" t="n">
        <x:v>0.90489</x:v>
      </x:c>
      <x:c r="H14" s="56" t="n">
        <x:v>0.54</x:v>
      </x:c>
      <x:c r="I14" s="56" t="n">
        <x:f>ABS(H14)</x:f>
        <x:v>0.54</x:v>
      </x:c>
      <x:c r="J14" s="54" t="n">
        <x:v>268.01933</x:v>
      </x:c>
      <x:c r="K14" s="54" t="n">
        <x:v>0.01933</x:v>
      </x:c>
      <x:c r="L14" s="56" t="n">
        <x:v>29.26</x:v>
      </x:c>
      <x:c r="M14" s="56" t="n">
        <x:v>0.89466</x:v>
      </x:c>
      <x:c r="N14" s="56" t="n">
        <x:v>1.15</x:v>
      </x:c>
      <x:c r="O14" s="56" t="n">
        <x:v>100</x:v>
      </x:c>
      <x:c r="P14" s="58" t="str">
        <x:v>PASS</x:v>
      </x:c>
      <x:c r="Q14" s="54" t="n">
        <x:f>C14*(1-'Session Summary'!E4/100)</x:f>
        <x:v>0.8325</x:v>
      </x:c>
      <x:c r="R14" s="54" t="n">
        <x:f>C14*(1+'Session Summary'!E4/100)</x:f>
        <x:v>0.9675</x:v>
      </x:c>
      <x:c r="S14" t="str">
        <x:f>IF(AND(G14&gt;=Q14,G14&lt;=R14),"Yes","No")</x:f>
        <x:v>Yes</x:v>
      </x:c>
      <x:c r="T14" t="str">
        <x:f>IF(ABS(K14)&lt;=2,"Yes","No")</x:f>
        <x:v>Yes</x:v>
      </x:c>
      <x:c r="U14" t="str">
        <x:v>Yes</x:v>
      </x:c>
      <x:c r="V14" t="str">
        <x:v>Pasted text(56).txt</x:v>
      </x:c>
      <x:c r="W14" s="54" t="n">
        <x:f>ABS(K14)</x:f>
        <x:v>0.01933</x:v>
      </x:c>
      <x:c r="X14" s="54" t="n">
        <x:f>IF(AND(U14="Yes",E14="PASS"),I14,0)</x:f>
        <x:v>0.54</x:v>
      </x:c>
    </x:row>
    <x:row r="15">
      <x:c r="A15" t="str">
        <x:v>S03</x:v>
      </x:c>
      <x:c r="B15" s="58" t="str">
        <x:v>0.90 validated five-run session</x:v>
      </x:c>
      <x:c r="C15" s="54" t="n">
        <x:v>0.9</x:v>
      </x:c>
      <x:c r="D15" t="n">
        <x:v>4</x:v>
      </x:c>
      <x:c r="E15" t="str">
        <x:v>PASS</x:v>
      </x:c>
      <x:c r="F15" s="54" t="n">
        <x:v>9.25</x:v>
      </x:c>
      <x:c r="G15" s="54" t="n">
        <x:v>0.90256</x:v>
      </x:c>
      <x:c r="H15" s="56" t="n">
        <x:v>0.28</x:v>
      </x:c>
      <x:c r="I15" s="56" t="n">
        <x:f>ABS(H15)</x:f>
        <x:v>0.28</x:v>
      </x:c>
      <x:c r="J15" s="54" t="n">
        <x:v>268.03577</x:v>
      </x:c>
      <x:c r="K15" s="54" t="n">
        <x:v>0.03577</x:v>
      </x:c>
      <x:c r="L15" s="56" t="n">
        <x:v>29.3</x:v>
      </x:c>
      <x:c r="M15" s="56" t="n">
        <x:v>0.90533</x:v>
      </x:c>
      <x:c r="N15" s="56" t="n">
        <x:v>0.9</x:v>
      </x:c>
      <x:c r="O15" s="56" t="n">
        <x:v>100</x:v>
      </x:c>
      <x:c r="P15" s="58" t="str">
        <x:v>PASS</x:v>
      </x:c>
      <x:c r="Q15" s="54" t="n">
        <x:f>C15*(1-'Session Summary'!E4/100)</x:f>
        <x:v>0.8325</x:v>
      </x:c>
      <x:c r="R15" s="54" t="n">
        <x:f>C15*(1+'Session Summary'!E4/100)</x:f>
        <x:v>0.9675</x:v>
      </x:c>
      <x:c r="S15" t="str">
        <x:f>IF(AND(G15&gt;=Q15,G15&lt;=R15),"Yes","No")</x:f>
        <x:v>Yes</x:v>
      </x:c>
      <x:c r="T15" t="str">
        <x:f>IF(ABS(K15)&lt;=2,"Yes","No")</x:f>
        <x:v>Yes</x:v>
      </x:c>
      <x:c r="U15" t="str">
        <x:v>Yes</x:v>
      </x:c>
      <x:c r="V15" t="str">
        <x:v>Pasted text(56).txt</x:v>
      </x:c>
      <x:c r="W15" s="54" t="n">
        <x:f>ABS(K15)</x:f>
        <x:v>0.03577</x:v>
      </x:c>
      <x:c r="X15" s="54" t="n">
        <x:f>IF(AND(U15="Yes",E15="PASS"),I15,0)</x:f>
        <x:v>0.28</x:v>
      </x:c>
    </x:row>
    <x:row r="16">
      <x:c r="A16" t="str">
        <x:v>S03</x:v>
      </x:c>
      <x:c r="B16" s="58" t="str">
        <x:v>0.90 validated five-run session</x:v>
      </x:c>
      <x:c r="C16" s="54" t="n">
        <x:v>0.9</x:v>
      </x:c>
      <x:c r="D16" t="n">
        <x:v>5</x:v>
      </x:c>
      <x:c r="E16" t="str">
        <x:v>PASS</x:v>
      </x:c>
      <x:c r="F16" s="54" t="n">
        <x:v>9</x:v>
      </x:c>
      <x:c r="G16" s="54" t="n">
        <x:v>0.88223</x:v>
      </x:c>
      <x:c r="H16" s="56" t="n">
        <x:v>-1.97</x:v>
      </x:c>
      <x:c r="I16" s="56" t="n">
        <x:f>ABS(H16)</x:f>
        <x:v>1.97</x:v>
      </x:c>
      <x:c r="J16" s="54" t="n">
        <x:v>268.03976</x:v>
      </x:c>
      <x:c r="K16" s="54" t="n">
        <x:v>0.03976</x:v>
      </x:c>
      <x:c r="L16" s="56" t="n">
        <x:v>28.89</x:v>
      </x:c>
      <x:c r="M16" s="56" t="n">
        <x:v>0.87745</x:v>
      </x:c>
      <x:c r="N16" s="56" t="n">
        <x:v>1.06</x:v>
      </x:c>
      <x:c r="O16" s="56" t="n">
        <x:v>100</x:v>
      </x:c>
      <x:c r="P16" s="58" t="str">
        <x:v>PASS</x:v>
      </x:c>
      <x:c r="Q16" s="54" t="n">
        <x:f>C16*(1-'Session Summary'!E4/100)</x:f>
        <x:v>0.8325</x:v>
      </x:c>
      <x:c r="R16" s="54" t="n">
        <x:f>C16*(1+'Session Summary'!E4/100)</x:f>
        <x:v>0.9675</x:v>
      </x:c>
      <x:c r="S16" t="str">
        <x:f>IF(AND(G16&gt;=Q16,G16&lt;=R16),"Yes","No")</x:f>
        <x:v>Yes</x:v>
      </x:c>
      <x:c r="T16" t="str">
        <x:f>IF(ABS(K16)&lt;=2,"Yes","No")</x:f>
        <x:v>Yes</x:v>
      </x:c>
      <x:c r="U16" t="str">
        <x:v>Yes</x:v>
      </x:c>
      <x:c r="V16" t="str">
        <x:v>Pasted text(56).txt</x:v>
      </x:c>
      <x:c r="W16" s="54" t="n">
        <x:f>ABS(K16)</x:f>
        <x:v>0.03976</x:v>
      </x:c>
      <x:c r="X16" s="54" t="n">
        <x:f>IF(AND(U16="Yes",E16="PASS"),I16,0)</x:f>
        <x:v>1.97</x:v>
      </x:c>
    </x:row>
    <x:row r="17">
      <x:c r="A17" t="str">
        <x:v>S04</x:v>
      </x:c>
      <x:c r="B17" s="58" t="str">
        <x:v>1.20 validated five-run session</x:v>
      </x:c>
      <x:c r="C17" s="54" t="n">
        <x:v>1.2</x:v>
      </x:c>
      <x:c r="D17" t="n">
        <x:v>1</x:v>
      </x:c>
      <x:c r="E17" t="str">
        <x:v>PASS</x:v>
      </x:c>
      <x:c r="F17" s="54" t="n">
        <x:v>11.5</x:v>
      </x:c>
      <x:c r="G17" s="54" t="n">
        <x:v>1.20679</x:v>
      </x:c>
      <x:c r="H17" s="56" t="n">
        <x:v>0.57</x:v>
      </x:c>
      <x:c r="I17" s="56" t="n">
        <x:f>ABS(H17)</x:f>
        <x:v>0.57</x:v>
      </x:c>
      <x:c r="J17" s="54" t="n">
        <x:v>268.01745</x:v>
      </x:c>
      <x:c r="K17" s="54" t="n">
        <x:v>0.01745</x:v>
      </x:c>
      <x:c r="L17" s="56" t="n">
        <x:v>30.78</x:v>
      </x:c>
      <x:c r="M17" s="56" t="n">
        <x:v>1.20317</x:v>
      </x:c>
      <x:c r="N17" s="56" t="n">
        <x:v>0.56</x:v>
      </x:c>
      <x:c r="O17" s="56" t="n">
        <x:v>100</x:v>
      </x:c>
      <x:c r="P17" s="58" t="str">
        <x:v>PASS</x:v>
      </x:c>
      <x:c r="Q17" s="54" t="n">
        <x:f>C17*(1-'Session Summary'!E5/100)</x:f>
        <x:v>1.11</x:v>
      </x:c>
      <x:c r="R17" s="54" t="n">
        <x:f>C17*(1+'Session Summary'!E5/100)</x:f>
        <x:v>1.2899999999999998</x:v>
      </x:c>
      <x:c r="S17" t="str">
        <x:f>IF(AND(G17&gt;=Q17,G17&lt;=R17),"Yes","No")</x:f>
        <x:v>Yes</x:v>
      </x:c>
      <x:c r="T17" t="str">
        <x:f>IF(ABS(K17)&lt;=2,"Yes","No")</x:f>
        <x:v>Yes</x:v>
      </x:c>
      <x:c r="U17" t="str">
        <x:v>Yes</x:v>
      </x:c>
      <x:c r="V17" t="str">
        <x:v>Pasted text(56).txt</x:v>
      </x:c>
      <x:c r="W17" s="54" t="n">
        <x:f>ABS(K17)</x:f>
        <x:v>0.01745</x:v>
      </x:c>
      <x:c r="X17" s="54" t="n">
        <x:f>IF(AND(U17="Yes",E17="PASS"),I17,0)</x:f>
        <x:v>0.57</x:v>
      </x:c>
    </x:row>
    <x:row r="18">
      <x:c r="A18" t="str">
        <x:v>S04</x:v>
      </x:c>
      <x:c r="B18" s="58" t="str">
        <x:v>1.20 validated five-run session</x:v>
      </x:c>
      <x:c r="C18" s="54" t="n">
        <x:v>1.2</x:v>
      </x:c>
      <x:c r="D18" t="n">
        <x:v>2</x:v>
      </x:c>
      <x:c r="E18" t="str">
        <x:v>PASS</x:v>
      </x:c>
      <x:c r="F18" s="54" t="n">
        <x:v>11.5</x:v>
      </x:c>
      <x:c r="G18" s="54" t="n">
        <x:v>1.1992</x:v>
      </x:c>
      <x:c r="H18" s="56" t="n">
        <x:v>-0.07</x:v>
      </x:c>
      <x:c r="I18" s="56" t="n">
        <x:f>ABS(H18)</x:f>
        <x:v>0.07</x:v>
      </x:c>
      <x:c r="J18" s="54" t="n">
        <x:v>268.01965</x:v>
      </x:c>
      <x:c r="K18" s="54" t="n">
        <x:v>0.01965</x:v>
      </x:c>
      <x:c r="L18" s="56" t="n">
        <x:v>30.94</x:v>
      </x:c>
      <x:c r="M18" s="56" t="n">
        <x:v>1.20477</x:v>
      </x:c>
      <x:c r="N18" s="56" t="n">
        <x:v>0.54</x:v>
      </x:c>
      <x:c r="O18" s="56" t="n">
        <x:v>100</x:v>
      </x:c>
      <x:c r="P18" s="58" t="str">
        <x:v>PASS</x:v>
      </x:c>
      <x:c r="Q18" s="54" t="n">
        <x:f>C18*(1-'Session Summary'!E5/100)</x:f>
        <x:v>1.11</x:v>
      </x:c>
      <x:c r="R18" s="54" t="n">
        <x:f>C18*(1+'Session Summary'!E5/100)</x:f>
        <x:v>1.2899999999999998</x:v>
      </x:c>
      <x:c r="S18" t="str">
        <x:f>IF(AND(G18&gt;=Q18,G18&lt;=R18),"Yes","No")</x:f>
        <x:v>Yes</x:v>
      </x:c>
      <x:c r="T18" t="str">
        <x:f>IF(ABS(K18)&lt;=2,"Yes","No")</x:f>
        <x:v>Yes</x:v>
      </x:c>
      <x:c r="U18" t="str">
        <x:v>Yes</x:v>
      </x:c>
      <x:c r="V18" t="str">
        <x:v>Pasted text(56).txt</x:v>
      </x:c>
      <x:c r="W18" s="54" t="n">
        <x:f>ABS(K18)</x:f>
        <x:v>0.01965</x:v>
      </x:c>
      <x:c r="X18" s="54" t="n">
        <x:f>IF(AND(U18="Yes",E18="PASS"),I18,0)</x:f>
        <x:v>0.07</x:v>
      </x:c>
    </x:row>
    <x:row r="19">
      <x:c r="A19" t="str">
        <x:v>S04</x:v>
      </x:c>
      <x:c r="B19" s="58" t="str">
        <x:v>1.20 validated five-run session</x:v>
      </x:c>
      <x:c r="C19" s="54" t="n">
        <x:v>1.2</x:v>
      </x:c>
      <x:c r="D19" t="n">
        <x:v>3</x:v>
      </x:c>
      <x:c r="E19" t="str">
        <x:v>PASS</x:v>
      </x:c>
      <x:c r="F19" s="54" t="n">
        <x:v>11.25</x:v>
      </x:c>
      <x:c r="G19" s="54" t="n">
        <x:v>1.17642</x:v>
      </x:c>
      <x:c r="H19" s="56" t="n">
        <x:v>-1.96</x:v>
      </x:c>
      <x:c r="I19" s="56" t="n">
        <x:f>ABS(H19)</x:f>
        <x:v>1.96</x:v>
      </x:c>
      <x:c r="J19" s="54" t="n">
        <x:v>268.02912</x:v>
      </x:c>
      <x:c r="K19" s="54" t="n">
        <x:v>0.02912</x:v>
      </x:c>
      <x:c r="L19" s="56" t="n">
        <x:v>30.87</x:v>
      </x:c>
      <x:c r="M19" s="56" t="n">
        <x:v>1.17725</x:v>
      </x:c>
      <x:c r="N19" s="56" t="n">
        <x:v>1.12</x:v>
      </x:c>
      <x:c r="O19" s="56" t="n">
        <x:v>100</x:v>
      </x:c>
      <x:c r="P19" s="58" t="str">
        <x:v>PASS</x:v>
      </x:c>
      <x:c r="Q19" s="54" t="n">
        <x:f>C19*(1-'Session Summary'!E5/100)</x:f>
        <x:v>1.11</x:v>
      </x:c>
      <x:c r="R19" s="54" t="n">
        <x:f>C19*(1+'Session Summary'!E5/100)</x:f>
        <x:v>1.2899999999999998</x:v>
      </x:c>
      <x:c r="S19" t="str">
        <x:f>IF(AND(G19&gt;=Q19,G19&lt;=R19),"Yes","No")</x:f>
        <x:v>Yes</x:v>
      </x:c>
      <x:c r="T19" t="str">
        <x:f>IF(ABS(K19)&lt;=2,"Yes","No")</x:f>
        <x:v>Yes</x:v>
      </x:c>
      <x:c r="U19" t="str">
        <x:v>Yes</x:v>
      </x:c>
      <x:c r="V19" t="str">
        <x:v>Pasted text(56).txt</x:v>
      </x:c>
      <x:c r="W19" s="54" t="n">
        <x:f>ABS(K19)</x:f>
        <x:v>0.02912</x:v>
      </x:c>
      <x:c r="X19" s="54" t="n">
        <x:f>IF(AND(U19="Yes",E19="PASS"),I19,0)</x:f>
        <x:v>1.96</x:v>
      </x:c>
    </x:row>
    <x:row r="20">
      <x:c r="A20" t="str">
        <x:v>S04</x:v>
      </x:c>
      <x:c r="B20" s="58" t="str">
        <x:v>1.20 validated five-run session</x:v>
      </x:c>
      <x:c r="C20" s="54" t="n">
        <x:v>1.2</x:v>
      </x:c>
      <x:c r="D20" t="n">
        <x:v>4</x:v>
      </x:c>
      <x:c r="E20" t="str">
        <x:v>PASS</x:v>
      </x:c>
      <x:c r="F20" s="54" t="n">
        <x:v>11.5</x:v>
      </x:c>
      <x:c r="G20" s="54" t="n">
        <x:v>1.2047</x:v>
      </x:c>
      <x:c r="H20" s="56" t="n">
        <x:v>0.39</x:v>
      </x:c>
      <x:c r="I20" s="56" t="n">
        <x:f>ABS(H20)</x:f>
        <x:v>0.39</x:v>
      </x:c>
      <x:c r="J20" s="54" t="n">
        <x:v>268.01924</x:v>
      </x:c>
      <x:c r="K20" s="54" t="n">
        <x:v>0.01924</x:v>
      </x:c>
      <x:c r="L20" s="56" t="n">
        <x:v>30.84</x:v>
      </x:c>
      <x:c r="M20" s="56" t="n">
        <x:v>1.20839</x:v>
      </x:c>
      <x:c r="N20" s="56" t="n">
        <x:v>1.48</x:v>
      </x:c>
      <x:c r="O20" s="56" t="n">
        <x:v>100</x:v>
      </x:c>
      <x:c r="P20" s="58" t="str">
        <x:v>PASS</x:v>
      </x:c>
      <x:c r="Q20" s="54" t="n">
        <x:f>C20*(1-'Session Summary'!E5/100)</x:f>
        <x:v>1.11</x:v>
      </x:c>
      <x:c r="R20" s="54" t="n">
        <x:f>C20*(1+'Session Summary'!E5/100)</x:f>
        <x:v>1.2899999999999998</x:v>
      </x:c>
      <x:c r="S20" t="str">
        <x:f>IF(AND(G20&gt;=Q20,G20&lt;=R20),"Yes","No")</x:f>
        <x:v>Yes</x:v>
      </x:c>
      <x:c r="T20" t="str">
        <x:f>IF(ABS(K20)&lt;=2,"Yes","No")</x:f>
        <x:v>Yes</x:v>
      </x:c>
      <x:c r="U20" t="str">
        <x:v>Yes</x:v>
      </x:c>
      <x:c r="V20" t="str">
        <x:v>Pasted text(56).txt</x:v>
      </x:c>
      <x:c r="W20" s="54" t="n">
        <x:f>ABS(K20)</x:f>
        <x:v>0.01924</x:v>
      </x:c>
      <x:c r="X20" s="54" t="n">
        <x:f>IF(AND(U20="Yes",E20="PASS"),I20,0)</x:f>
        <x:v>0.39</x:v>
      </x:c>
    </x:row>
    <x:row r="21">
      <x:c r="A21" t="str">
        <x:v>S04</x:v>
      </x:c>
      <x:c r="B21" s="58" t="str">
        <x:v>1.20 validated five-run session</x:v>
      </x:c>
      <x:c r="C21" s="54" t="n">
        <x:v>1.2</x:v>
      </x:c>
      <x:c r="D21" t="n">
        <x:v>5</x:v>
      </x:c>
      <x:c r="E21" t="str">
        <x:v>PASS</x:v>
      </x:c>
      <x:c r="F21" s="54" t="n">
        <x:v>11.25</x:v>
      </x:c>
      <x:c r="G21" s="54" t="n">
        <x:v>1.18559</x:v>
      </x:c>
      <x:c r="H21" s="56" t="n">
        <x:v>-1.2</x:v>
      </x:c>
      <x:c r="I21" s="56" t="n">
        <x:f>ABS(H21)</x:f>
        <x:v>1.2</x:v>
      </x:c>
      <x:c r="J21" s="54" t="n">
        <x:v>268.03099</x:v>
      </x:c>
      <x:c r="K21" s="54" t="n">
        <x:v>0.03099</x:v>
      </x:c>
      <x:c r="L21" s="56" t="n">
        <x:v>30.73</x:v>
      </x:c>
      <x:c r="M21" s="56" t="n">
        <x:v>1.18683</x:v>
      </x:c>
      <x:c r="N21" s="56" t="n">
        <x:v>0.9</x:v>
      </x:c>
      <x:c r="O21" s="56" t="n">
        <x:v>100</x:v>
      </x:c>
      <x:c r="P21" s="58" t="str">
        <x:v>PASS</x:v>
      </x:c>
      <x:c r="Q21" s="54" t="n">
        <x:f>C21*(1-'Session Summary'!E5/100)</x:f>
        <x:v>1.11</x:v>
      </x:c>
      <x:c r="R21" s="54" t="n">
        <x:f>C21*(1+'Session Summary'!E5/100)</x:f>
        <x:v>1.2899999999999998</x:v>
      </x:c>
      <x:c r="S21" t="str">
        <x:f>IF(AND(G21&gt;=Q21,G21&lt;=R21),"Yes","No")</x:f>
        <x:v>Yes</x:v>
      </x:c>
      <x:c r="T21" t="str">
        <x:f>IF(ABS(K21)&lt;=2,"Yes","No")</x:f>
        <x:v>Yes</x:v>
      </x:c>
      <x:c r="U21" t="str">
        <x:v>Yes</x:v>
      </x:c>
      <x:c r="V21" t="str">
        <x:v>Pasted text(56).txt</x:v>
      </x:c>
      <x:c r="W21" s="54" t="n">
        <x:f>ABS(K21)</x:f>
        <x:v>0.03099</x:v>
      </x:c>
      <x:c r="X21" s="54" t="n">
        <x:f>IF(AND(U21="Yes",E21="PASS"),I21,0)</x:f>
        <x:v>1.2</x:v>
      </x:c>
    </x:row>
    <x:row r="22">
      <x:c r="A22" t="str">
        <x:v>S05</x:v>
      </x:c>
      <x:c r="B22" s="58" t="str">
        <x:v>1.28 validated five-run session</x:v>
      </x:c>
      <x:c r="C22" s="54" t="n">
        <x:v>1.28</x:v>
      </x:c>
      <x:c r="D22" t="n">
        <x:v>1</x:v>
      </x:c>
      <x:c r="E22" t="str">
        <x:v>PASS</x:v>
      </x:c>
      <x:c r="F22" s="54" t="n">
        <x:v>12</x:v>
      </x:c>
      <x:c r="G22" s="54" t="n">
        <x:v>1.27513</x:v>
      </x:c>
      <x:c r="H22" s="56" t="n">
        <x:v>-0.38</x:v>
      </x:c>
      <x:c r="I22" s="56" t="n">
        <x:f>ABS(H22)</x:f>
        <x:v>0.38</x:v>
      </x:c>
      <x:c r="J22" s="54" t="n">
        <x:v>268.02842</x:v>
      </x:c>
      <x:c r="K22" s="54" t="n">
        <x:v>0.02842</x:v>
      </x:c>
      <x:c r="L22" s="56" t="n">
        <x:v>31.1</x:v>
      </x:c>
      <x:c r="M22" s="56" t="n">
        <x:v>1.26246</x:v>
      </x:c>
      <x:c r="N22" s="56" t="n">
        <x:v>0.75</x:v>
      </x:c>
      <x:c r="O22" s="56" t="n">
        <x:v>100</x:v>
      </x:c>
      <x:c r="P22" s="58" t="str">
        <x:v>PASS</x:v>
      </x:c>
      <x:c r="Q22" s="54" t="n">
        <x:f>C22*(1-'Session Summary'!E6/100)</x:f>
        <x:v>1.1840000000000002</x:v>
      </x:c>
      <x:c r="R22" s="54" t="n">
        <x:f>C22*(1+'Session Summary'!E6/100)</x:f>
        <x:v>1.376</x:v>
      </x:c>
      <x:c r="S22" t="str">
        <x:f>IF(AND(G22&gt;=Q22,G22&lt;=R22),"Yes","No")</x:f>
        <x:v>Yes</x:v>
      </x:c>
      <x:c r="T22" t="str">
        <x:f>IF(ABS(K22)&lt;=2,"Yes","No")</x:f>
        <x:v>Yes</x:v>
      </x:c>
      <x:c r="U22" t="str">
        <x:v>Yes</x:v>
      </x:c>
      <x:c r="V22" t="str">
        <x:v>Pasted text(56).txt</x:v>
      </x:c>
      <x:c r="W22" s="54" t="n">
        <x:f>ABS(K22)</x:f>
        <x:v>0.02842</x:v>
      </x:c>
      <x:c r="X22" s="54" t="n">
        <x:f>IF(AND(U22="Yes",E22="PASS"),I22,0)</x:f>
        <x:v>0.38</x:v>
      </x:c>
    </x:row>
    <x:row r="23">
      <x:c r="A23" t="str">
        <x:v>S05</x:v>
      </x:c>
      <x:c r="B23" s="58" t="str">
        <x:v>1.28 validated five-run session</x:v>
      </x:c>
      <x:c r="C23" s="54" t="n">
        <x:v>1.28</x:v>
      </x:c>
      <x:c r="D23" t="n">
        <x:v>2</x:v>
      </x:c>
      <x:c r="E23" t="str">
        <x:v>PASS</x:v>
      </x:c>
      <x:c r="F23" s="54" t="n">
        <x:v>12.5</x:v>
      </x:c>
      <x:c r="G23" s="54" t="n">
        <x:v>1.29018</x:v>
      </x:c>
      <x:c r="H23" s="56" t="n">
        <x:v>0.8</x:v>
      </x:c>
      <x:c r="I23" s="56" t="n">
        <x:f>ABS(H23)</x:f>
        <x:v>0.8</x:v>
      </x:c>
      <x:c r="J23" s="54" t="n">
        <x:v>268.03032</x:v>
      </x:c>
      <x:c r="K23" s="54" t="n">
        <x:v>0.03032</x:v>
      </x:c>
      <x:c r="L23" s="56" t="n">
        <x:v>31.13</x:v>
      </x:c>
      <x:c r="M23" s="56" t="n">
        <x:v>1.28196</x:v>
      </x:c>
      <x:c r="N23" s="56" t="n">
        <x:v>0.79</x:v>
      </x:c>
      <x:c r="O23" s="56" t="n">
        <x:v>100</x:v>
      </x:c>
      <x:c r="P23" s="58" t="str">
        <x:v>PASS</x:v>
      </x:c>
      <x:c r="Q23" s="54" t="n">
        <x:f>C23*(1-'Session Summary'!E6/100)</x:f>
        <x:v>1.1840000000000002</x:v>
      </x:c>
      <x:c r="R23" s="54" t="n">
        <x:f>C23*(1+'Session Summary'!E6/100)</x:f>
        <x:v>1.376</x:v>
      </x:c>
      <x:c r="S23" t="str">
        <x:f>IF(AND(G23&gt;=Q23,G23&lt;=R23),"Yes","No")</x:f>
        <x:v>Yes</x:v>
      </x:c>
      <x:c r="T23" t="str">
        <x:f>IF(ABS(K23)&lt;=2,"Yes","No")</x:f>
        <x:v>Yes</x:v>
      </x:c>
      <x:c r="U23" t="str">
        <x:v>Yes</x:v>
      </x:c>
      <x:c r="V23" t="str">
        <x:v>Pasted text(56).txt</x:v>
      </x:c>
      <x:c r="W23" s="54" t="n">
        <x:f>ABS(K23)</x:f>
        <x:v>0.03032</x:v>
      </x:c>
      <x:c r="X23" s="54" t="n">
        <x:f>IF(AND(U23="Yes",E23="PASS"),I23,0)</x:f>
        <x:v>0.8</x:v>
      </x:c>
    </x:row>
    <x:row r="24">
      <x:c r="A24" t="str">
        <x:v>S05</x:v>
      </x:c>
      <x:c r="B24" s="58" t="str">
        <x:v>1.28 validated five-run session</x:v>
      </x:c>
      <x:c r="C24" s="54" t="n">
        <x:v>1.28</x:v>
      </x:c>
      <x:c r="D24" t="n">
        <x:v>3</x:v>
      </x:c>
      <x:c r="E24" t="str">
        <x:v>PASS</x:v>
      </x:c>
      <x:c r="F24" s="54" t="n">
        <x:v>12.5</x:v>
      </x:c>
      <x:c r="G24" s="54" t="n">
        <x:v>1.28181</x:v>
      </x:c>
      <x:c r="H24" s="56" t="n">
        <x:v>0.14</x:v>
      </x:c>
      <x:c r="I24" s="56" t="n">
        <x:f>ABS(H24)</x:f>
        <x:v>0.14</x:v>
      </x:c>
      <x:c r="J24" s="54" t="n">
        <x:v>268.02569</x:v>
      </x:c>
      <x:c r="K24" s="54" t="n">
        <x:v>0.02569</x:v>
      </x:c>
      <x:c r="L24" s="56" t="n">
        <x:v>31.12</x:v>
      </x:c>
      <x:c r="M24" s="56" t="n">
        <x:v>1.28477</x:v>
      </x:c>
      <x:c r="N24" s="56" t="n">
        <x:v>0.99</x:v>
      </x:c>
      <x:c r="O24" s="56" t="n">
        <x:v>100</x:v>
      </x:c>
      <x:c r="P24" s="58" t="str">
        <x:v>PASS</x:v>
      </x:c>
      <x:c r="Q24" s="54" t="n">
        <x:f>C24*(1-'Session Summary'!E6/100)</x:f>
        <x:v>1.1840000000000002</x:v>
      </x:c>
      <x:c r="R24" s="54" t="n">
        <x:f>C24*(1+'Session Summary'!E6/100)</x:f>
        <x:v>1.376</x:v>
      </x:c>
      <x:c r="S24" t="str">
        <x:f>IF(AND(G24&gt;=Q24,G24&lt;=R24),"Yes","No")</x:f>
        <x:v>Yes</x:v>
      </x:c>
      <x:c r="T24" t="str">
        <x:f>IF(ABS(K24)&lt;=2,"Yes","No")</x:f>
        <x:v>Yes</x:v>
      </x:c>
      <x:c r="U24" t="str">
        <x:v>Yes</x:v>
      </x:c>
      <x:c r="V24" t="str">
        <x:v>Pasted text(56).txt</x:v>
      </x:c>
      <x:c r="W24" s="54" t="n">
        <x:f>ABS(K24)</x:f>
        <x:v>0.02569</x:v>
      </x:c>
      <x:c r="X24" s="54" t="n">
        <x:f>IF(AND(U24="Yes",E24="PASS"),I24,0)</x:f>
        <x:v>0.14</x:v>
      </x:c>
    </x:row>
    <x:row r="25">
      <x:c r="A25" t="str">
        <x:v>S05</x:v>
      </x:c>
      <x:c r="B25" s="58" t="str">
        <x:v>1.28 validated five-run session</x:v>
      </x:c>
      <x:c r="C25" s="54" t="n">
        <x:v>1.28</x:v>
      </x:c>
      <x:c r="D25" t="n">
        <x:v>4</x:v>
      </x:c>
      <x:c r="E25" t="str">
        <x:v>PASS</x:v>
      </x:c>
      <x:c r="F25" s="54" t="n">
        <x:v>12.25</x:v>
      </x:c>
      <x:c r="G25" s="54" t="n">
        <x:v>1.27052</x:v>
      </x:c>
      <x:c r="H25" s="56" t="n">
        <x:v>-0.74</x:v>
      </x:c>
      <x:c r="I25" s="56" t="n">
        <x:f>ABS(H25)</x:f>
        <x:v>0.74</x:v>
      </x:c>
      <x:c r="J25" s="54" t="n">
        <x:v>268.01439</x:v>
      </x:c>
      <x:c r="K25" s="54" t="n">
        <x:v>0.01439</x:v>
      </x:c>
      <x:c r="L25" s="56" t="n">
        <x:v>30.99</x:v>
      </x:c>
      <x:c r="M25" s="56" t="n">
        <x:v>1.25511</x:v>
      </x:c>
      <x:c r="N25" s="56" t="n">
        <x:v>0.83</x:v>
      </x:c>
      <x:c r="O25" s="56" t="n">
        <x:v>100</x:v>
      </x:c>
      <x:c r="P25" s="58" t="str">
        <x:v>PASS</x:v>
      </x:c>
      <x:c r="Q25" s="54" t="n">
        <x:f>C25*(1-'Session Summary'!E6/100)</x:f>
        <x:v>1.1840000000000002</x:v>
      </x:c>
      <x:c r="R25" s="54" t="n">
        <x:f>C25*(1+'Session Summary'!E6/100)</x:f>
        <x:v>1.376</x:v>
      </x:c>
      <x:c r="S25" t="str">
        <x:f>IF(AND(G25&gt;=Q25,G25&lt;=R25),"Yes","No")</x:f>
        <x:v>Yes</x:v>
      </x:c>
      <x:c r="T25" t="str">
        <x:f>IF(ABS(K25)&lt;=2,"Yes","No")</x:f>
        <x:v>Yes</x:v>
      </x:c>
      <x:c r="U25" t="str">
        <x:v>Yes</x:v>
      </x:c>
      <x:c r="V25" t="str">
        <x:v>Pasted text(56).txt</x:v>
      </x:c>
      <x:c r="W25" s="54" t="n">
        <x:f>ABS(K25)</x:f>
        <x:v>0.01439</x:v>
      </x:c>
      <x:c r="X25" s="54" t="n">
        <x:f>IF(AND(U25="Yes",E25="PASS"),I25,0)</x:f>
        <x:v>0.74</x:v>
      </x:c>
    </x:row>
    <x:row r="26">
      <x:c r="A26" t="str">
        <x:v>S05</x:v>
      </x:c>
      <x:c r="B26" s="58" t="str">
        <x:v>1.28 validated five-run session</x:v>
      </x:c>
      <x:c r="C26" s="54" t="n">
        <x:v>1.28</x:v>
      </x:c>
      <x:c r="D26" t="n">
        <x:v>5</x:v>
      </x:c>
      <x:c r="E26" t="str">
        <x:v>PASS</x:v>
      </x:c>
      <x:c r="F26" s="54" t="n">
        <x:v>12.5</x:v>
      </x:c>
      <x:c r="G26" s="54" t="n">
        <x:v>1.27839</x:v>
      </x:c>
      <x:c r="H26" s="56" t="n">
        <x:v>-0.13</x:v>
      </x:c>
      <x:c r="I26" s="56" t="n">
        <x:f>ABS(H26)</x:f>
        <x:v>0.13</x:v>
      </x:c>
      <x:c r="J26" s="54" t="n">
        <x:v>268.015</x:v>
      </x:c>
      <x:c r="K26" s="54" t="n">
        <x:v>0.015</x:v>
      </x:c>
      <x:c r="L26" s="56" t="n">
        <x:v>31.25</x:v>
      </x:c>
      <x:c r="M26" s="56" t="n">
        <x:v>1.27982</x:v>
      </x:c>
      <x:c r="N26" s="56" t="n">
        <x:v>1.07</x:v>
      </x:c>
      <x:c r="O26" s="56" t="n">
        <x:v>100</x:v>
      </x:c>
      <x:c r="P26" s="58" t="str">
        <x:v>PASS</x:v>
      </x:c>
      <x:c r="Q26" s="54" t="n">
        <x:f>C26*(1-'Session Summary'!E6/100)</x:f>
        <x:v>1.1840000000000002</x:v>
      </x:c>
      <x:c r="R26" s="54" t="n">
        <x:f>C26*(1+'Session Summary'!E6/100)</x:f>
        <x:v>1.376</x:v>
      </x:c>
      <x:c r="S26" t="str">
        <x:f>IF(AND(G26&gt;=Q26,G26&lt;=R26),"Yes","No")</x:f>
        <x:v>Yes</x:v>
      </x:c>
      <x:c r="T26" t="str">
        <x:f>IF(ABS(K26)&lt;=2,"Yes","No")</x:f>
        <x:v>Yes</x:v>
      </x:c>
      <x:c r="U26" t="str">
        <x:v>Yes</x:v>
      </x:c>
      <x:c r="V26" t="str">
        <x:v>Pasted text(56).txt</x:v>
      </x:c>
      <x:c r="W26" s="54" t="n">
        <x:f>ABS(K26)</x:f>
        <x:v>0.015</x:v>
      </x:c>
      <x:c r="X26" s="54" t="n">
        <x:f>IF(AND(U26="Yes",E26="PASS"),I26,0)</x:f>
        <x:v>0.13</x:v>
      </x:c>
    </x:row>
    <x:row r="27">
      <x:c r="A27" t="str">
        <x:v>S06</x:v>
      </x:c>
      <x:c r="B27" s="58" t="str">
        <x:v>0.30 low-amplitude limit validation</x:v>
      </x:c>
      <x:c r="C27" s="54" t="n">
        <x:v>0.3</x:v>
      </x:c>
      <x:c r="D27" t="n">
        <x:v>1</x:v>
      </x:c>
      <x:c r="E27" t="str">
        <x:v>PASS</x:v>
      </x:c>
      <x:c r="F27" s="54" t="n">
        <x:v>4.75</x:v>
      </x:c>
      <x:c r="G27" s="54" t="n">
        <x:v>0.30494</x:v>
      </x:c>
      <x:c r="H27" s="56" t="n">
        <x:v>1.65</x:v>
      </x:c>
      <x:c r="I27" s="56" t="n">
        <x:f>ABS(H27)</x:f>
        <x:v>1.65</x:v>
      </x:c>
      <x:c r="J27" s="54" t="n">
        <x:v>268.03188</x:v>
      </x:c>
      <x:c r="K27" s="54" t="n">
        <x:v>0.03188</x:v>
      </x:c>
      <x:c r="L27" s="56" t="n">
        <x:v>20.71</x:v>
      </x:c>
      <x:c r="M27" s="56" t="n">
        <x:v>0.31026</x:v>
      </x:c>
      <x:c r="N27" s="56" t="n">
        <x:v>3.54</x:v>
      </x:c>
      <x:c r="O27" s="56" t="n">
        <x:v>80</x:v>
      </x:c>
      <x:c r="P27" s="58" t="str">
        <x:v>PASS</x:v>
      </x:c>
      <x:c r="Q27" s="54" t="n">
        <x:f>C27*(1-'Session Summary'!E7/100)</x:f>
        <x:v>0.2775</x:v>
      </x:c>
      <x:c r="R27" s="54" t="n">
        <x:f>C27*(1+'Session Summary'!E7/100)</x:f>
        <x:v>0.32249999999999995</x:v>
      </x:c>
      <x:c r="S27" t="str">
        <x:f>IF(AND(G27&gt;=Q27,G27&lt;=R27),"Yes","No")</x:f>
        <x:v>Yes</x:v>
      </x:c>
      <x:c r="T27" t="str">
        <x:f>IF(ABS(K27)&lt;=2,"Yes","No")</x:f>
        <x:v>Yes</x:v>
      </x:c>
      <x:c r="U27" t="str">
        <x:v>Yes</x:v>
      </x:c>
      <x:c r="V27" t="str">
        <x:v>Pasted text(56).txt</x:v>
      </x:c>
      <x:c r="W27" s="54" t="n">
        <x:f>ABS(K27)</x:f>
        <x:v>0.03188</x:v>
      </x:c>
      <x:c r="X27" s="54" t="n">
        <x:f>IF(AND(U27="Yes",E27="PASS"),I27,0)</x:f>
        <x:v>1.65</x:v>
      </x:c>
    </x:row>
    <x:row r="28">
      <x:c r="A28" t="str">
        <x:v>S06</x:v>
      </x:c>
      <x:c r="B28" s="58" t="str">
        <x:v>0.30 low-amplitude limit validation</x:v>
      </x:c>
      <x:c r="C28" s="54" t="n">
        <x:v>0.3</x:v>
      </x:c>
      <x:c r="D28" t="n">
        <x:v>2</x:v>
      </x:c>
      <x:c r="E28" t="str">
        <x:v>PASS</x:v>
      </x:c>
      <x:c r="F28" s="54" t="n">
        <x:v>4.75</x:v>
      </x:c>
      <x:c r="G28" s="54" t="n">
        <x:v>0.30314</x:v>
      </x:c>
      <x:c r="H28" s="56" t="n">
        <x:v>1.05</x:v>
      </x:c>
      <x:c r="I28" s="56" t="n">
        <x:f>ABS(H28)</x:f>
        <x:v>1.05</x:v>
      </x:c>
      <x:c r="J28" s="54" t="n">
        <x:v>268.04215</x:v>
      </x:c>
      <x:c r="K28" s="54" t="n">
        <x:v>0.04215</x:v>
      </x:c>
      <x:c r="L28" s="56" t="n">
        <x:v>20.78</x:v>
      </x:c>
      <x:c r="M28" s="56" t="n">
        <x:v>0.3067</x:v>
      </x:c>
      <x:c r="N28" s="56" t="n">
        <x:v>3.27</x:v>
      </x:c>
      <x:c r="O28" s="56" t="n">
        <x:v>100</x:v>
      </x:c>
      <x:c r="P28" s="58" t="str">
        <x:v>PASS</x:v>
      </x:c>
      <x:c r="Q28" s="54" t="n">
        <x:f>C28*(1-'Session Summary'!E7/100)</x:f>
        <x:v>0.2775</x:v>
      </x:c>
      <x:c r="R28" s="54" t="n">
        <x:f>C28*(1+'Session Summary'!E7/100)</x:f>
        <x:v>0.32249999999999995</x:v>
      </x:c>
      <x:c r="S28" t="str">
        <x:f>IF(AND(G28&gt;=Q28,G28&lt;=R28),"Yes","No")</x:f>
        <x:v>Yes</x:v>
      </x:c>
      <x:c r="T28" t="str">
        <x:f>IF(ABS(K28)&lt;=2,"Yes","No")</x:f>
        <x:v>Yes</x:v>
      </x:c>
      <x:c r="U28" t="str">
        <x:v>Yes</x:v>
      </x:c>
      <x:c r="V28" t="str">
        <x:v>Pasted text(56).txt</x:v>
      </x:c>
      <x:c r="W28" s="54" t="n">
        <x:f>ABS(K28)</x:f>
        <x:v>0.04215</x:v>
      </x:c>
      <x:c r="X28" s="54" t="n">
        <x:f>IF(AND(U28="Yes",E28="PASS"),I28,0)</x:f>
        <x:v>1.05</x:v>
      </x:c>
    </x:row>
    <x:row r="29">
      <x:c r="A29" t="str">
        <x:v>S06</x:v>
      </x:c>
      <x:c r="B29" s="58" t="str">
        <x:v>0.30 low-amplitude limit validation</x:v>
      </x:c>
      <x:c r="C29" s="54" t="n">
        <x:v>0.3</x:v>
      </x:c>
      <x:c r="D29" t="n">
        <x:v>3</x:v>
      </x:c>
      <x:c r="E29" t="str">
        <x:v>PASS</x:v>
      </x:c>
      <x:c r="F29" s="54" t="n">
        <x:v>4.75</x:v>
      </x:c>
      <x:c r="G29" s="54" t="n">
        <x:v>0.30847</x:v>
      </x:c>
      <x:c r="H29" s="56" t="n">
        <x:v>2.82</x:v>
      </x:c>
      <x:c r="I29" s="56" t="n">
        <x:f>ABS(H29)</x:f>
        <x:v>2.82</x:v>
      </x:c>
      <x:c r="J29" s="54" t="n">
        <x:v>268.00836</x:v>
      </x:c>
      <x:c r="K29" s="54" t="n">
        <x:v>0.00836</x:v>
      </x:c>
      <x:c r="L29" s="56" t="n">
        <x:v>20.83</x:v>
      </x:c>
      <x:c r="M29" s="56" t="n">
        <x:v>0.31141</x:v>
      </x:c>
      <x:c r="N29" s="56" t="n">
        <x:v>3.04</x:v>
      </x:c>
      <x:c r="O29" s="56" t="n">
        <x:v>80</x:v>
      </x:c>
      <x:c r="P29" s="58" t="str">
        <x:v>PASS</x:v>
      </x:c>
      <x:c r="Q29" s="54" t="n">
        <x:f>C29*(1-'Session Summary'!E7/100)</x:f>
        <x:v>0.2775</x:v>
      </x:c>
      <x:c r="R29" s="54" t="n">
        <x:f>C29*(1+'Session Summary'!E7/100)</x:f>
        <x:v>0.32249999999999995</x:v>
      </x:c>
      <x:c r="S29" t="str">
        <x:f>IF(AND(G29&gt;=Q29,G29&lt;=R29),"Yes","No")</x:f>
        <x:v>Yes</x:v>
      </x:c>
      <x:c r="T29" t="str">
        <x:f>IF(ABS(K29)&lt;=2,"Yes","No")</x:f>
        <x:v>Yes</x:v>
      </x:c>
      <x:c r="U29" t="str">
        <x:v>Yes</x:v>
      </x:c>
      <x:c r="V29" t="str">
        <x:v>Pasted text(56).txt</x:v>
      </x:c>
      <x:c r="W29" s="54" t="n">
        <x:f>ABS(K29)</x:f>
        <x:v>0.00836</x:v>
      </x:c>
      <x:c r="X29" s="54" t="n">
        <x:f>IF(AND(U29="Yes",E29="PASS"),I29,0)</x:f>
        <x:v>2.82</x:v>
      </x:c>
    </x:row>
    <x:row r="30">
      <x:c r="A30" t="str">
        <x:v>S06</x:v>
      </x:c>
      <x:c r="B30" s="58" t="str">
        <x:v>0.30 low-amplitude limit validation</x:v>
      </x:c>
      <x:c r="C30" s="54" t="n">
        <x:v>0.3</x:v>
      </x:c>
      <x:c r="D30" t="n">
        <x:v>4</x:v>
      </x:c>
      <x:c r="E30" t="str">
        <x:v>FAIL</x:v>
      </x:c>
      <x:c r="F30" s="54" t="n">
        <x:v>4.75</x:v>
      </x:c>
      <x:c r="G30" s="54" t="n">
        <x:v>0.31521</x:v>
      </x:c>
      <x:c r="H30" s="56" t="n">
        <x:v>5.07</x:v>
      </x:c>
      <x:c r="I30" s="56" t="n">
        <x:f>ABS(H30)</x:f>
        <x:v>5.07</x:v>
      </x:c>
      <x:c r="J30" s="54" t="n">
        <x:v>268.03195</x:v>
      </x:c>
      <x:c r="K30" s="54" t="n">
        <x:v>0.03195</x:v>
      </x:c>
      <x:c r="L30" s="56" t="n">
        <x:v>21.03</x:v>
      </x:c>
      <x:c r="M30" s="56" t="n">
        <x:v>0.32281</x:v>
      </x:c>
      <x:c r="N30" s="56" t="n">
        <x:v>3.57</x:v>
      </x:c>
      <x:c r="O30" s="56" t="n">
        <x:v>50</x:v>
      </x:c>
      <x:c r="P30" s="58" t="str">
        <x:v>Fixed-DAC hold did not maintain target amplitude</x:v>
      </x:c>
      <x:c r="Q30" s="54" t="n">
        <x:f>C30*(1-'Session Summary'!E7/100)</x:f>
        <x:v>0.2775</x:v>
      </x:c>
      <x:c r="R30" s="54" t="n">
        <x:f>C30*(1+'Session Summary'!E7/100)</x:f>
        <x:v>0.32249999999999995</x:v>
      </x:c>
      <x:c r="S30" t="str">
        <x:f>IF(AND(G30&gt;=Q30,G30&lt;=R30),"Yes","No")</x:f>
        <x:v>Yes</x:v>
      </x:c>
      <x:c r="T30" t="str">
        <x:f>IF(ABS(K30)&lt;=2,"Yes","No")</x:f>
        <x:v>Yes</x:v>
      </x:c>
      <x:c r="U30" t="str">
        <x:v>Yes</x:v>
      </x:c>
      <x:c r="V30" t="str">
        <x:v>Pasted text(56).txt</x:v>
      </x:c>
      <x:c r="W30" s="54" t="n">
        <x:f>ABS(K30)</x:f>
        <x:v>0.03195</x:v>
      </x:c>
      <x:c r="X30" s="54" t="n">
        <x:f>IF(AND(U30="Yes",E30="PASS"),I30,0)</x:f>
        <x:v>0</x:v>
      </x:c>
    </x:row>
    <x:row r="31">
      <x:c r="A31" t="str">
        <x:v>S06</x:v>
      </x:c>
      <x:c r="B31" s="58" t="str">
        <x:v>0.30 low-amplitude limit validation</x:v>
      </x:c>
      <x:c r="C31" s="54" t="n">
        <x:v>0.3</x:v>
      </x:c>
      <x:c r="D31" t="n">
        <x:v>5</x:v>
      </x:c>
      <x:c r="E31" t="str">
        <x:v>PASS</x:v>
      </x:c>
      <x:c r="F31" s="54" t="n">
        <x:v>4.5</x:v>
      </x:c>
      <x:c r="G31" s="54" t="n">
        <x:v>0.28854</x:v>
      </x:c>
      <x:c r="H31" s="56" t="n">
        <x:v>-3.82</x:v>
      </x:c>
      <x:c r="I31" s="56" t="n">
        <x:f>ABS(H31)</x:f>
        <x:v>3.82</x:v>
      </x:c>
      <x:c r="J31" s="54" t="n">
        <x:v>267.98263</x:v>
      </x:c>
      <x:c r="K31" s="54" t="n">
        <x:v>-0.01737</x:v>
      </x:c>
      <x:c r="L31" s="56" t="n">
        <x:v>20.24</x:v>
      </x:c>
      <x:c r="M31" s="56" t="n">
        <x:v>0.28952</x:v>
      </x:c>
      <x:c r="N31" s="56" t="n">
        <x:v>3.83</x:v>
      </x:c>
      <x:c r="O31" s="56" t="n">
        <x:v>80</x:v>
      </x:c>
      <x:c r="P31" s="58" t="str">
        <x:v>PASS</x:v>
      </x:c>
      <x:c r="Q31" s="54" t="n">
        <x:f>C31*(1-'Session Summary'!E7/100)</x:f>
        <x:v>0.2775</x:v>
      </x:c>
      <x:c r="R31" s="54" t="n">
        <x:f>C31*(1+'Session Summary'!E7/100)</x:f>
        <x:v>0.32249999999999995</x:v>
      </x:c>
      <x:c r="S31" t="str">
        <x:f>IF(AND(G31&gt;=Q31,G31&lt;=R31),"Yes","No")</x:f>
        <x:v>Yes</x:v>
      </x:c>
      <x:c r="T31" t="str">
        <x:f>IF(ABS(K31)&lt;=2,"Yes","No")</x:f>
        <x:v>Yes</x:v>
      </x:c>
      <x:c r="U31" t="str">
        <x:v>Yes</x:v>
      </x:c>
      <x:c r="V31" t="str">
        <x:v>Pasted text(56).txt</x:v>
      </x:c>
      <x:c r="W31" s="54" t="n">
        <x:f>ABS(K31)</x:f>
        <x:v>0.01737</x:v>
      </x:c>
      <x:c r="X31" s="54" t="n">
        <x:f>IF(AND(U31="Yes",E31="PASS"),I31,0)</x:f>
        <x:v>3.82</x:v>
      </x:c>
    </x:row>
    <x:row r="32">
      <x:c r="A32" t="str">
        <x:v>S07</x:v>
      </x:c>
      <x:c r="B32" s="58" t="str">
        <x:v>0.65 preliminary single-run failure</x:v>
      </x:c>
      <x:c r="C32" s="54" t="n">
        <x:v>0.65</x:v>
      </x:c>
      <x:c r="D32" t="n">
        <x:v>1</x:v>
      </x:c>
      <x:c r="E32" t="str">
        <x:v>FAIL</x:v>
      </x:c>
      <x:c r="F32" s="54" t="n">
        <x:v>0</x:v>
      </x:c>
      <x:c r="G32" s="54" t="n">
        <x:v>0</x:v>
      </x:c>
      <x:c r="H32" s="56" t="n">
        <x:v>0</x:v>
      </x:c>
      <x:c r="I32" s="56" t="n">
        <x:f>ABS(H32)</x:f>
        <x:v>0</x:v>
      </x:c>
      <x:c r="J32" s="54" t="n">
        <x:v>0</x:v>
      </x:c>
      <x:c r="K32" s="54" t="n">
        <x:v>0</x:v>
      </x:c>
      <x:c r="L32" s="56" t="n">
        <x:v>0</x:v>
      </x:c>
      <x:c r="M32" s="56" t="n">
        <x:v>0</x:v>
      </x:c>
      <x:c r="N32" s="56" t="n">
        <x:v>0</x:v>
      </x:c>
      <x:c r="O32" s="56" t="n">
        <x:v>0</x:v>
      </x:c>
      <x:c r="P32" s="58" t="str">
        <x:v>X target exceeded at first reliable DAC; reduce amplifier knob</x:v>
      </x:c>
      <x:c r="Q32" s="54" t="n">
        <x:f>C32*(1-'Session Summary'!E8/100)</x:f>
        <x:v>0.6012500000000001</x:v>
      </x:c>
      <x:c r="R32" s="54" t="n">
        <x:f>C32*(1+'Session Summary'!E8/100)</x:f>
        <x:v>0.69875</x:v>
      </x:c>
      <x:c r="S32" t="str">
        <x:f>IF(AND(G32&gt;=Q32,G32&lt;=R32),"Yes","No")</x:f>
        <x:v>No</x:v>
      </x:c>
      <x:c r="T32" t="str">
        <x:f>IF(ABS(K32)&lt;=2,"Yes","No")</x:f>
        <x:v>Yes</x:v>
      </x:c>
      <x:c r="U32" t="str">
        <x:v>No</x:v>
      </x:c>
      <x:c r="V32" t="str">
        <x:v>Pasted text(56).txt</x:v>
      </x:c>
      <x:c r="W32" s="54" t="n">
        <x:f>ABS(K32)</x:f>
        <x:v>0</x:v>
      </x:c>
      <x:c r="X32" s="54" t="n">
        <x:f>IF(AND(U32="Yes",E32="PASS"),I32,0)</x:f>
        <x:v>0</x:v>
      </x:c>
    </x:row>
    <x:row r="33">
      <x:c r="A33" t="str">
        <x:v>S08</x:v>
      </x:c>
      <x:c r="B33" s="58" t="str">
        <x:v>0.65 five-run validation</x:v>
      </x:c>
      <x:c r="C33" s="54" t="n">
        <x:v>0.65</x:v>
      </x:c>
      <x:c r="D33" t="n">
        <x:v>1</x:v>
      </x:c>
      <x:c r="E33" t="str">
        <x:v>PASS</x:v>
      </x:c>
      <x:c r="F33" s="54" t="n">
        <x:v>8.25</x:v>
      </x:c>
      <x:c r="G33" s="54" t="n">
        <x:v>0.66571</x:v>
      </x:c>
      <x:c r="H33" s="56" t="n">
        <x:v>2.42</x:v>
      </x:c>
      <x:c r="I33" s="56" t="n">
        <x:f>ABS(H33)</x:f>
        <x:v>2.42</x:v>
      </x:c>
      <x:c r="J33" s="54" t="n">
        <x:v>268.03348</x:v>
      </x:c>
      <x:c r="K33" s="54" t="n">
        <x:v>0.03348</x:v>
      </x:c>
      <x:c r="L33" s="56" t="n">
        <x:v>27.49</x:v>
      </x:c>
      <x:c r="M33" s="56" t="n">
        <x:v>0.65172</x:v>
      </x:c>
      <x:c r="N33" s="56" t="n">
        <x:v>0.73</x:v>
      </x:c>
      <x:c r="O33" s="56" t="n">
        <x:v>100</x:v>
      </x:c>
      <x:c r="P33" s="58" t="str">
        <x:v>PASS</x:v>
      </x:c>
      <x:c r="Q33" s="54" t="n">
        <x:f>C33*(1-'Session Summary'!E9/100)</x:f>
        <x:v>0.6012500000000001</x:v>
      </x:c>
      <x:c r="R33" s="54" t="n">
        <x:f>C33*(1+'Session Summary'!E9/100)</x:f>
        <x:v>0.69875</x:v>
      </x:c>
      <x:c r="S33" t="str">
        <x:f>IF(AND(G33&gt;=Q33,G33&lt;=R33),"Yes","No")</x:f>
        <x:v>Yes</x:v>
      </x:c>
      <x:c r="T33" t="str">
        <x:f>IF(ABS(K33)&lt;=2,"Yes","No")</x:f>
        <x:v>Yes</x:v>
      </x:c>
      <x:c r="U33" t="str">
        <x:v>Yes</x:v>
      </x:c>
      <x:c r="V33" t="str">
        <x:v>Pasted text(56).txt</x:v>
      </x:c>
      <x:c r="W33" s="54" t="n">
        <x:f>ABS(K33)</x:f>
        <x:v>0.03348</x:v>
      </x:c>
      <x:c r="X33" s="54" t="n">
        <x:f>IF(AND(U33="Yes",E33="PASS"),I33,0)</x:f>
        <x:v>2.42</x:v>
      </x:c>
    </x:row>
    <x:row r="34">
      <x:c r="A34" t="str">
        <x:v>S08</x:v>
      </x:c>
      <x:c r="B34" s="58" t="str">
        <x:v>0.65 five-run validation</x:v>
      </x:c>
      <x:c r="C34" s="54" t="n">
        <x:v>0.65</x:v>
      </x:c>
      <x:c r="D34" t="n">
        <x:v>2</x:v>
      </x:c>
      <x:c r="E34" t="str">
        <x:v>PASS</x:v>
      </x:c>
      <x:c r="F34" s="54" t="n">
        <x:v>8.25</x:v>
      </x:c>
      <x:c r="G34" s="54" t="n">
        <x:v>0.65064</x:v>
      </x:c>
      <x:c r="H34" s="56" t="n">
        <x:v>0.1</x:v>
      </x:c>
      <x:c r="I34" s="56" t="n">
        <x:f>ABS(H34)</x:f>
        <x:v>0.1</x:v>
      </x:c>
      <x:c r="J34" s="54" t="n">
        <x:v>268.01195</x:v>
      </x:c>
      <x:c r="K34" s="54" t="n">
        <x:v>0.01195</x:v>
      </x:c>
      <x:c r="L34" s="56" t="n">
        <x:v>27.52</x:v>
      </x:c>
      <x:c r="M34" s="56" t="n">
        <x:v>0.64216</x:v>
      </x:c>
      <x:c r="N34" s="56" t="n">
        <x:v>1.49</x:v>
      </x:c>
      <x:c r="O34" s="56" t="n">
        <x:v>100</x:v>
      </x:c>
      <x:c r="P34" s="58" t="str">
        <x:v>PASS</x:v>
      </x:c>
      <x:c r="Q34" s="54" t="n">
        <x:f>C34*(1-'Session Summary'!E9/100)</x:f>
        <x:v>0.6012500000000001</x:v>
      </x:c>
      <x:c r="R34" s="54" t="n">
        <x:f>C34*(1+'Session Summary'!E9/100)</x:f>
        <x:v>0.69875</x:v>
      </x:c>
      <x:c r="S34" t="str">
        <x:f>IF(AND(G34&gt;=Q34,G34&lt;=R34),"Yes","No")</x:f>
        <x:v>Yes</x:v>
      </x:c>
      <x:c r="T34" t="str">
        <x:f>IF(ABS(K34)&lt;=2,"Yes","No")</x:f>
        <x:v>Yes</x:v>
      </x:c>
      <x:c r="U34" t="str">
        <x:v>Yes</x:v>
      </x:c>
      <x:c r="V34" t="str">
        <x:v>Pasted text(56).txt</x:v>
      </x:c>
      <x:c r="W34" s="54" t="n">
        <x:f>ABS(K34)</x:f>
        <x:v>0.01195</x:v>
      </x:c>
      <x:c r="X34" s="54" t="n">
        <x:f>IF(AND(U34="Yes",E34="PASS"),I34,0)</x:f>
        <x:v>0.1</x:v>
      </x:c>
    </x:row>
    <x:row r="35">
      <x:c r="A35" t="str">
        <x:v>S08</x:v>
      </x:c>
      <x:c r="B35" s="58" t="str">
        <x:v>0.65 five-run validation</x:v>
      </x:c>
      <x:c r="C35" s="54" t="n">
        <x:v>0.65</x:v>
      </x:c>
      <x:c r="D35" t="n">
        <x:v>3</x:v>
      </x:c>
      <x:c r="E35" t="str">
        <x:v>PASS</x:v>
      </x:c>
      <x:c r="F35" s="54" t="n">
        <x:v>8.5</x:v>
      </x:c>
      <x:c r="G35" s="54" t="n">
        <x:v>0.64583</x:v>
      </x:c>
      <x:c r="H35" s="56" t="n">
        <x:v>-0.64</x:v>
      </x:c>
      <x:c r="I35" s="56" t="n">
        <x:f>ABS(H35)</x:f>
        <x:v>0.64</x:v>
      </x:c>
      <x:c r="J35" s="54" t="n">
        <x:v>268.01876</x:v>
      </x:c>
      <x:c r="K35" s="54" t="n">
        <x:v>0.01876</x:v>
      </x:c>
      <x:c r="L35" s="56" t="n">
        <x:v>28.03</x:v>
      </x:c>
      <x:c r="M35" s="56" t="n">
        <x:v>0.65099</x:v>
      </x:c>
      <x:c r="N35" s="56" t="n">
        <x:v>2.05</x:v>
      </x:c>
      <x:c r="O35" s="56" t="n">
        <x:v>100</x:v>
      </x:c>
      <x:c r="P35" s="58" t="str">
        <x:v>PASS</x:v>
      </x:c>
      <x:c r="Q35" s="54" t="n">
        <x:f>C35*(1-'Session Summary'!E9/100)</x:f>
        <x:v>0.6012500000000001</x:v>
      </x:c>
      <x:c r="R35" s="54" t="n">
        <x:f>C35*(1+'Session Summary'!E9/100)</x:f>
        <x:v>0.69875</x:v>
      </x:c>
      <x:c r="S35" t="str">
        <x:f>IF(AND(G35&gt;=Q35,G35&lt;=R35),"Yes","No")</x:f>
        <x:v>Yes</x:v>
      </x:c>
      <x:c r="T35" t="str">
        <x:f>IF(ABS(K35)&lt;=2,"Yes","No")</x:f>
        <x:v>Yes</x:v>
      </x:c>
      <x:c r="U35" t="str">
        <x:v>Yes</x:v>
      </x:c>
      <x:c r="V35" t="str">
        <x:v>Pasted text(56).txt</x:v>
      </x:c>
      <x:c r="W35" s="54" t="n">
        <x:f>ABS(K35)</x:f>
        <x:v>0.01876</x:v>
      </x:c>
      <x:c r="X35" s="54" t="n">
        <x:f>IF(AND(U35="Yes",E35="PASS"),I35,0)</x:f>
        <x:v>0.64</x:v>
      </x:c>
    </x:row>
    <x:row r="36">
      <x:c r="A36" t="str">
        <x:v>S08</x:v>
      </x:c>
      <x:c r="B36" s="58" t="str">
        <x:v>0.65 five-run validation</x:v>
      </x:c>
      <x:c r="C36" s="54" t="n">
        <x:v>0.65</x:v>
      </x:c>
      <x:c r="D36" t="n">
        <x:v>4</x:v>
      </x:c>
      <x:c r="E36" t="str">
        <x:v>FAIL</x:v>
      </x:c>
      <x:c r="F36" s="54" t="n">
        <x:v>0</x:v>
      </x:c>
      <x:c r="G36" s="54" t="n">
        <x:v>0</x:v>
      </x:c>
      <x:c r="H36" s="56" t="n">
        <x:v>0</x:v>
      </x:c>
      <x:c r="I36" s="56" t="n">
        <x:f>ABS(H36)</x:f>
        <x:v>0</x:v>
      </x:c>
      <x:c r="J36" s="54" t="n">
        <x:v>0</x:v>
      </x:c>
      <x:c r="K36" s="54" t="n">
        <x:v>0</x:v>
      </x:c>
      <x:c r="L36" s="56" t="n">
        <x:v>0</x:v>
      </x:c>
      <x:c r="M36" s="56" t="n">
        <x:v>0</x:v>
      </x:c>
      <x:c r="N36" s="56" t="n">
        <x:v>0</x:v>
      </x:c>
      <x:c r="O36" s="56" t="n">
        <x:v>0</x:v>
      </x:c>
      <x:c r="P36" s="58" t="str">
        <x:v>One bounded trim did not validate</x:v>
      </x:c>
      <x:c r="Q36" s="54" t="n">
        <x:f>C36*(1-'Session Summary'!E9/100)</x:f>
        <x:v>0.6012500000000001</x:v>
      </x:c>
      <x:c r="R36" s="54" t="n">
        <x:f>C36*(1+'Session Summary'!E9/100)</x:f>
        <x:v>0.69875</x:v>
      </x:c>
      <x:c r="S36" t="str">
        <x:f>IF(AND(G36&gt;=Q36,G36&lt;=R36),"Yes","No")</x:f>
        <x:v>No</x:v>
      </x:c>
      <x:c r="T36" t="str">
        <x:f>IF(ABS(K36)&lt;=2,"Yes","No")</x:f>
        <x:v>Yes</x:v>
      </x:c>
      <x:c r="U36" t="str">
        <x:v>Yes</x:v>
      </x:c>
      <x:c r="V36" t="str">
        <x:v>Pasted text(56).txt</x:v>
      </x:c>
      <x:c r="W36" s="54" t="n">
        <x:f>ABS(K36)</x:f>
        <x:v>0</x:v>
      </x:c>
      <x:c r="X36" s="54" t="n">
        <x:f>IF(AND(U36="Yes",E36="PASS"),I36,0)</x:f>
        <x:v>0</x:v>
      </x:c>
    </x:row>
    <x:row r="37">
      <x:c r="A37" t="str">
        <x:v>S08</x:v>
      </x:c>
      <x:c r="B37" s="58" t="str">
        <x:v>0.65 five-run validation</x:v>
      </x:c>
      <x:c r="C37" s="54" t="n">
        <x:v>0.65</x:v>
      </x:c>
      <x:c r="D37" t="n">
        <x:v>5</x:v>
      </x:c>
      <x:c r="E37" t="str">
        <x:v>PASS</x:v>
      </x:c>
      <x:c r="F37" s="54" t="n">
        <x:v>7.5</x:v>
      </x:c>
      <x:c r="G37" s="54" t="n">
        <x:v>0.62698</x:v>
      </x:c>
      <x:c r="H37" s="56" t="n">
        <x:v>-3.54</x:v>
      </x:c>
      <x:c r="I37" s="56" t="n">
        <x:f>ABS(H37)</x:f>
        <x:v>3.54</x:v>
      </x:c>
      <x:c r="J37" s="54" t="n">
        <x:v>268.03022</x:v>
      </x:c>
      <x:c r="K37" s="54" t="n">
        <x:v>0.03022</x:v>
      </x:c>
      <x:c r="L37" s="56" t="n">
        <x:v>27.18</x:v>
      </x:c>
      <x:c r="M37" s="56" t="n">
        <x:v>0.6234</x:v>
      </x:c>
      <x:c r="N37" s="56" t="n">
        <x:v>1.77</x:v>
      </x:c>
      <x:c r="O37" s="56" t="n">
        <x:v>100</x:v>
      </x:c>
      <x:c r="P37" s="58" t="str">
        <x:v>PASS</x:v>
      </x:c>
      <x:c r="Q37" s="54" t="n">
        <x:f>C37*(1-'Session Summary'!E9/100)</x:f>
        <x:v>0.6012500000000001</x:v>
      </x:c>
      <x:c r="R37" s="54" t="n">
        <x:f>C37*(1+'Session Summary'!E9/100)</x:f>
        <x:v>0.69875</x:v>
      </x:c>
      <x:c r="S37" t="str">
        <x:f>IF(AND(G37&gt;=Q37,G37&lt;=R37),"Yes","No")</x:f>
        <x:v>Yes</x:v>
      </x:c>
      <x:c r="T37" t="str">
        <x:f>IF(ABS(K37)&lt;=2,"Yes","No")</x:f>
        <x:v>Yes</x:v>
      </x:c>
      <x:c r="U37" t="str">
        <x:v>Yes</x:v>
      </x:c>
      <x:c r="V37" t="str">
        <x:v>Pasted text(56).txt</x:v>
      </x:c>
      <x:c r="W37" s="54" t="n">
        <x:f>ABS(K37)</x:f>
        <x:v>0.03022</x:v>
      </x:c>
      <x:c r="X37" s="54" t="n">
        <x:f>IF(AND(U37="Yes",E37="PASS"),I37,0)</x:f>
        <x:v>3.54</x:v>
      </x:c>
    </x:row>
    <x:row r="38">
      <x:c r="A38" t="str">
        <x:v>S09</x:v>
      </x:c>
      <x:c r="B38" s="58" t="str">
        <x:v>1.15 validated five-run session</x:v>
      </x:c>
      <x:c r="C38" s="54" t="n">
        <x:v>1.15</x:v>
      </x:c>
      <x:c r="D38" t="n">
        <x:v>1</x:v>
      </x:c>
      <x:c r="E38" t="str">
        <x:v>PASS</x:v>
      </x:c>
      <x:c r="F38" s="54" t="n">
        <x:v>12.5</x:v>
      </x:c>
      <x:c r="G38" s="54" t="n">
        <x:v>1.16158</x:v>
      </x:c>
      <x:c r="H38" s="56" t="n">
        <x:v>1.01</x:v>
      </x:c>
      <x:c r="I38" s="56" t="n">
        <x:f>ABS(H38)</x:f>
        <x:v>1.01</x:v>
      </x:c>
      <x:c r="J38" s="54" t="n">
        <x:v>268.02589</x:v>
      </x:c>
      <x:c r="K38" s="54" t="n">
        <x:v>0.02589</x:v>
      </x:c>
      <x:c r="L38" s="56" t="n">
        <x:v>30.6</x:v>
      </x:c>
      <x:c r="M38" s="56" t="n">
        <x:v>1.16948</x:v>
      </x:c>
      <x:c r="N38" s="56" t="n">
        <x:v>1.13</x:v>
      </x:c>
      <x:c r="O38" s="56" t="n">
        <x:v>100</x:v>
      </x:c>
      <x:c r="P38" s="58" t="str">
        <x:v>PASS</x:v>
      </x:c>
      <x:c r="Q38" s="54" t="n">
        <x:f>C38*(1-'Session Summary'!E10/100)</x:f>
        <x:v>1.06375</x:v>
      </x:c>
      <x:c r="R38" s="54" t="n">
        <x:f>C38*(1+'Session Summary'!E10/100)</x:f>
        <x:v>1.2362499999999998</x:v>
      </x:c>
      <x:c r="S38" t="str">
        <x:f>IF(AND(G38&gt;=Q38,G38&lt;=R38),"Yes","No")</x:f>
        <x:v>Yes</x:v>
      </x:c>
      <x:c r="T38" t="str">
        <x:f>IF(ABS(K38)&lt;=2,"Yes","No")</x:f>
        <x:v>Yes</x:v>
      </x:c>
      <x:c r="U38" t="str">
        <x:v>Yes</x:v>
      </x:c>
      <x:c r="V38" t="str">
        <x:v>Pasted text(56).txt</x:v>
      </x:c>
      <x:c r="W38" s="54" t="n">
        <x:f>ABS(K38)</x:f>
        <x:v>0.02589</x:v>
      </x:c>
      <x:c r="X38" s="54" t="n">
        <x:f>IF(AND(U38="Yes",E38="PASS"),I38,0)</x:f>
        <x:v>1.01</x:v>
      </x:c>
    </x:row>
    <x:row r="39">
      <x:c r="A39" t="str">
        <x:v>S09</x:v>
      </x:c>
      <x:c r="B39" s="58" t="str">
        <x:v>1.15 validated five-run session</x:v>
      </x:c>
      <x:c r="C39" s="54" t="n">
        <x:v>1.15</x:v>
      </x:c>
      <x:c r="D39" t="n">
        <x:v>2</x:v>
      </x:c>
      <x:c r="E39" t="str">
        <x:v>PASS</x:v>
      </x:c>
      <x:c r="F39" s="54" t="n">
        <x:v>12.25</x:v>
      </x:c>
      <x:c r="G39" s="54" t="n">
        <x:v>1.16149</x:v>
      </x:c>
      <x:c r="H39" s="56" t="n">
        <x:v>1</x:v>
      </x:c>
      <x:c r="I39" s="56" t="n">
        <x:f>ABS(H39)</x:f>
        <x:v>1</x:v>
      </x:c>
      <x:c r="J39" s="54" t="n">
        <x:v>268.02845</x:v>
      </x:c>
      <x:c r="K39" s="54" t="n">
        <x:v>0.02845</x:v>
      </x:c>
      <x:c r="L39" s="56" t="n">
        <x:v>30.63</x:v>
      </x:c>
      <x:c r="M39" s="56" t="n">
        <x:v>1.1589</x:v>
      </x:c>
      <x:c r="N39" s="56" t="n">
        <x:v>0.48</x:v>
      </x:c>
      <x:c r="O39" s="56" t="n">
        <x:v>100</x:v>
      </x:c>
      <x:c r="P39" s="58" t="str">
        <x:v>PASS</x:v>
      </x:c>
      <x:c r="Q39" s="54" t="n">
        <x:f>C39*(1-'Session Summary'!E10/100)</x:f>
        <x:v>1.06375</x:v>
      </x:c>
      <x:c r="R39" s="54" t="n">
        <x:f>C39*(1+'Session Summary'!E10/100)</x:f>
        <x:v>1.2362499999999998</x:v>
      </x:c>
      <x:c r="S39" t="str">
        <x:f>IF(AND(G39&gt;=Q39,G39&lt;=R39),"Yes","No")</x:f>
        <x:v>Yes</x:v>
      </x:c>
      <x:c r="T39" t="str">
        <x:f>IF(ABS(K39)&lt;=2,"Yes","No")</x:f>
        <x:v>Yes</x:v>
      </x:c>
      <x:c r="U39" t="str">
        <x:v>Yes</x:v>
      </x:c>
      <x:c r="V39" t="str">
        <x:v>Pasted text(56).txt</x:v>
      </x:c>
      <x:c r="W39" s="54" t="n">
        <x:f>ABS(K39)</x:f>
        <x:v>0.02845</x:v>
      </x:c>
      <x:c r="X39" s="54" t="n">
        <x:f>IF(AND(U39="Yes",E39="PASS"),I39,0)</x:f>
        <x:v>1</x:v>
      </x:c>
    </x:row>
    <x:row r="40">
      <x:c r="A40" t="str">
        <x:v>S09</x:v>
      </x:c>
      <x:c r="B40" s="58" t="str">
        <x:v>1.15 validated five-run session</x:v>
      </x:c>
      <x:c r="C40" s="54" t="n">
        <x:v>1.15</x:v>
      </x:c>
      <x:c r="D40" t="n">
        <x:v>3</x:v>
      </x:c>
      <x:c r="E40" t="str">
        <x:v>PASS</x:v>
      </x:c>
      <x:c r="F40" s="54" t="n">
        <x:v>12.25</x:v>
      </x:c>
      <x:c r="G40" s="54" t="n">
        <x:v>1.15023</x:v>
      </x:c>
      <x:c r="H40" s="56" t="n">
        <x:v>0.02</x:v>
      </x:c>
      <x:c r="I40" s="56" t="n">
        <x:f>ABS(H40)</x:f>
        <x:v>0.02</x:v>
      </x:c>
      <x:c r="J40" s="54" t="n">
        <x:v>268.02743</x:v>
      </x:c>
      <x:c r="K40" s="54" t="n">
        <x:v>0.02743</x:v>
      </x:c>
      <x:c r="L40" s="56" t="n">
        <x:v>30.78</x:v>
      </x:c>
      <x:c r="M40" s="56" t="n">
        <x:v>1.15542</x:v>
      </x:c>
      <x:c r="N40" s="56" t="n">
        <x:v>1.35</x:v>
      </x:c>
      <x:c r="O40" s="56" t="n">
        <x:v>100</x:v>
      </x:c>
      <x:c r="P40" s="58" t="str">
        <x:v>PASS</x:v>
      </x:c>
      <x:c r="Q40" s="54" t="n">
        <x:f>C40*(1-'Session Summary'!E10/100)</x:f>
        <x:v>1.06375</x:v>
      </x:c>
      <x:c r="R40" s="54" t="n">
        <x:f>C40*(1+'Session Summary'!E10/100)</x:f>
        <x:v>1.2362499999999998</x:v>
      </x:c>
      <x:c r="S40" t="str">
        <x:f>IF(AND(G40&gt;=Q40,G40&lt;=R40),"Yes","No")</x:f>
        <x:v>Yes</x:v>
      </x:c>
      <x:c r="T40" t="str">
        <x:f>IF(ABS(K40)&lt;=2,"Yes","No")</x:f>
        <x:v>Yes</x:v>
      </x:c>
      <x:c r="U40" t="str">
        <x:v>Yes</x:v>
      </x:c>
      <x:c r="V40" t="str">
        <x:v>Pasted text(56).txt</x:v>
      </x:c>
      <x:c r="W40" s="54" t="n">
        <x:f>ABS(K40)</x:f>
        <x:v>0.02743</x:v>
      </x:c>
      <x:c r="X40" s="54" t="n">
        <x:f>IF(AND(U40="Yes",E40="PASS"),I40,0)</x:f>
        <x:v>0.02</x:v>
      </x:c>
    </x:row>
    <x:row r="41">
      <x:c r="A41" t="str">
        <x:v>S09</x:v>
      </x:c>
      <x:c r="B41" s="58" t="str">
        <x:v>1.15 validated five-run session</x:v>
      </x:c>
      <x:c r="C41" s="54" t="n">
        <x:v>1.15</x:v>
      </x:c>
      <x:c r="D41" t="n">
        <x:v>4</x:v>
      </x:c>
      <x:c r="E41" t="str">
        <x:v>PASS</x:v>
      </x:c>
      <x:c r="F41" s="54" t="n">
        <x:v>12.25</x:v>
      </x:c>
      <x:c r="G41" s="54" t="n">
        <x:v>1.16321</x:v>
      </x:c>
      <x:c r="H41" s="56" t="n">
        <x:v>1.15</x:v>
      </x:c>
      <x:c r="I41" s="56" t="n">
        <x:f>ABS(H41)</x:f>
        <x:v>1.15</x:v>
      </x:c>
      <x:c r="J41" s="54" t="n">
        <x:v>268.0298</x:v>
      </x:c>
      <x:c r="K41" s="54" t="n">
        <x:v>0.0298</x:v>
      </x:c>
      <x:c r="L41" s="56" t="n">
        <x:v>30.71</x:v>
      </x:c>
      <x:c r="M41" s="56" t="n">
        <x:v>1.1533</x:v>
      </x:c>
      <x:c r="N41" s="56" t="n">
        <x:v>1.23</x:v>
      </x:c>
      <x:c r="O41" s="56" t="n">
        <x:v>100</x:v>
      </x:c>
      <x:c r="P41" s="58" t="str">
        <x:v>PASS</x:v>
      </x:c>
      <x:c r="Q41" s="54" t="n">
        <x:f>C41*(1-'Session Summary'!E10/100)</x:f>
        <x:v>1.06375</x:v>
      </x:c>
      <x:c r="R41" s="54" t="n">
        <x:f>C41*(1+'Session Summary'!E10/100)</x:f>
        <x:v>1.2362499999999998</x:v>
      </x:c>
      <x:c r="S41" t="str">
        <x:f>IF(AND(G41&gt;=Q41,G41&lt;=R41),"Yes","No")</x:f>
        <x:v>Yes</x:v>
      </x:c>
      <x:c r="T41" t="str">
        <x:f>IF(ABS(K41)&lt;=2,"Yes","No")</x:f>
        <x:v>Yes</x:v>
      </x:c>
      <x:c r="U41" t="str">
        <x:v>Yes</x:v>
      </x:c>
      <x:c r="V41" t="str">
        <x:v>Pasted text(56).txt</x:v>
      </x:c>
      <x:c r="W41" s="54" t="n">
        <x:f>ABS(K41)</x:f>
        <x:v>0.0298</x:v>
      </x:c>
      <x:c r="X41" s="54" t="n">
        <x:f>IF(AND(U41="Yes",E41="PASS"),I41,0)</x:f>
        <x:v>1.15</x:v>
      </x:c>
    </x:row>
    <x:row r="42">
      <x:c r="A42" t="str">
        <x:v>S09</x:v>
      </x:c>
      <x:c r="B42" s="58" t="str">
        <x:v>1.15 validated five-run session</x:v>
      </x:c>
      <x:c r="C42" s="54" t="n">
        <x:v>1.15</x:v>
      </x:c>
      <x:c r="D42" t="n">
        <x:v>5</x:v>
      </x:c>
      <x:c r="E42" t="str">
        <x:v>PASS</x:v>
      </x:c>
      <x:c r="F42" s="54" t="n">
        <x:v>12.5</x:v>
      </x:c>
      <x:c r="G42" s="54" t="n">
        <x:v>1.18246</x:v>
      </x:c>
      <x:c r="H42" s="56" t="n">
        <x:v>2.82</x:v>
      </x:c>
      <x:c r="I42" s="56" t="n">
        <x:f>ABS(H42)</x:f>
        <x:v>2.82</x:v>
      </x:c>
      <x:c r="J42" s="54" t="n">
        <x:v>268.02332</x:v>
      </x:c>
      <x:c r="K42" s="54" t="n">
        <x:v>0.02332</x:v>
      </x:c>
      <x:c r="L42" s="56" t="n">
        <x:v>30.95</x:v>
      </x:c>
      <x:c r="M42" s="56" t="n">
        <x:v>1.17386</x:v>
      </x:c>
      <x:c r="N42" s="56" t="n">
        <x:v>0.98</x:v>
      </x:c>
      <x:c r="O42" s="56" t="n">
        <x:v>100</x:v>
      </x:c>
      <x:c r="P42" s="58" t="str">
        <x:v>PASS</x:v>
      </x:c>
      <x:c r="Q42" s="54" t="n">
        <x:f>C42*(1-'Session Summary'!E10/100)</x:f>
        <x:v>1.06375</x:v>
      </x:c>
      <x:c r="R42" s="54" t="n">
        <x:f>C42*(1+'Session Summary'!E10/100)</x:f>
        <x:v>1.2362499999999998</x:v>
      </x:c>
      <x:c r="S42" t="str">
        <x:f>IF(AND(G42&gt;=Q42,G42&lt;=R42),"Yes","No")</x:f>
        <x:v>Yes</x:v>
      </x:c>
      <x:c r="T42" t="str">
        <x:f>IF(ABS(K42)&lt;=2,"Yes","No")</x:f>
        <x:v>Yes</x:v>
      </x:c>
      <x:c r="U42" t="str">
        <x:v>Yes</x:v>
      </x:c>
      <x:c r="V42" t="str">
        <x:v>Pasted text(56).txt</x:v>
      </x:c>
      <x:c r="W42" s="54" t="n">
        <x:f>ABS(K42)</x:f>
        <x:v>0.02332</x:v>
      </x:c>
      <x:c r="X42" s="54" t="n">
        <x:f>IF(AND(U42="Yes",E42="PASS"),I42,0)</x:f>
        <x:v>2.82</x:v>
      </x:c>
    </x:row>
    <x:row r="43">
      <x:c r="A43" t="str">
        <x:v>S10</x:v>
      </x:c>
      <x:c r="B43" s="58" t="str">
        <x:v>0.89 repeat-confirmation session</x:v>
      </x:c>
      <x:c r="C43" s="54" t="n">
        <x:v>0.89</x:v>
      </x:c>
      <x:c r="D43" t="n">
        <x:v>1</x:v>
      </x:c>
      <x:c r="E43" t="str">
        <x:v>PASS</x:v>
      </x:c>
      <x:c r="F43" s="54" t="n">
        <x:v>10</x:v>
      </x:c>
      <x:c r="G43" s="54" t="n">
        <x:v>0.88539</x:v>
      </x:c>
      <x:c r="H43" s="56" t="n">
        <x:v>-0.52</x:v>
      </x:c>
      <x:c r="I43" s="56" t="n">
        <x:f>ABS(H43)</x:f>
        <x:v>0.52</x:v>
      </x:c>
      <x:c r="J43" s="54" t="n">
        <x:v>268.0274</x:v>
      </x:c>
      <x:c r="K43" s="54" t="n">
        <x:v>0.0274</x:v>
      </x:c>
      <x:c r="L43" s="56" t="n">
        <x:v>29.24</x:v>
      </x:c>
      <x:c r="M43" s="56" t="n">
        <x:v>0.89028</x:v>
      </x:c>
      <x:c r="N43" s="56" t="n">
        <x:v>0.96</x:v>
      </x:c>
      <x:c r="O43" s="56" t="n">
        <x:v>100</x:v>
      </x:c>
      <x:c r="P43" s="58" t="str">
        <x:v>PASS</x:v>
      </x:c>
      <x:c r="Q43" s="54" t="n">
        <x:f>C43*(1-'Session Summary'!E11/100)</x:f>
        <x:v>0.82325</x:v>
      </x:c>
      <x:c r="R43" s="54" t="n">
        <x:f>C43*(1+'Session Summary'!E11/100)</x:f>
        <x:v>0.95675</x:v>
      </x:c>
      <x:c r="S43" t="str">
        <x:f>IF(AND(G43&gt;=Q43,G43&lt;=R43),"Yes","No")</x:f>
        <x:v>Yes</x:v>
      </x:c>
      <x:c r="T43" t="str">
        <x:f>IF(ABS(K43)&lt;=2,"Yes","No")</x:f>
        <x:v>Yes</x:v>
      </x:c>
      <x:c r="U43" t="str">
        <x:v>Yes</x:v>
      </x:c>
      <x:c r="V43" t="str">
        <x:v>Pasted text(56).txt</x:v>
      </x:c>
      <x:c r="W43" s="54" t="n">
        <x:f>ABS(K43)</x:f>
        <x:v>0.0274</x:v>
      </x:c>
      <x:c r="X43" s="54" t="n">
        <x:f>IF(AND(U43="Yes",E43="PASS"),I43,0)</x:f>
        <x:v>0.52</x:v>
      </x:c>
    </x:row>
    <x:row r="44">
      <x:c r="A44" t="str">
        <x:v>S10</x:v>
      </x:c>
      <x:c r="B44" s="58" t="str">
        <x:v>0.89 repeat-confirmation session</x:v>
      </x:c>
      <x:c r="C44" s="54" t="n">
        <x:v>0.89</x:v>
      </x:c>
      <x:c r="D44" t="n">
        <x:v>2</x:v>
      </x:c>
      <x:c r="E44" t="str">
        <x:v>PASS</x:v>
      </x:c>
      <x:c r="F44" s="54" t="n">
        <x:v>10</x:v>
      </x:c>
      <x:c r="G44" s="54" t="n">
        <x:v>0.88395</x:v>
      </x:c>
      <x:c r="H44" s="56" t="n">
        <x:v>-0.68</x:v>
      </x:c>
      <x:c r="I44" s="56" t="n">
        <x:f>ABS(H44)</x:f>
        <x:v>0.68</x:v>
      </x:c>
      <x:c r="J44" s="54" t="n">
        <x:v>268.01261</x:v>
      </x:c>
      <x:c r="K44" s="54" t="n">
        <x:v>0.01261</x:v>
      </x:c>
      <x:c r="L44" s="56" t="n">
        <x:v>29.08</x:v>
      </x:c>
      <x:c r="M44" s="56" t="n">
        <x:v>0.87821</x:v>
      </x:c>
      <x:c r="N44" s="56" t="n">
        <x:v>1.4</x:v>
      </x:c>
      <x:c r="O44" s="56" t="n">
        <x:v>100</x:v>
      </x:c>
      <x:c r="P44" s="58" t="str">
        <x:v>PASS</x:v>
      </x:c>
      <x:c r="Q44" s="54" t="n">
        <x:f>C44*(1-'Session Summary'!E11/100)</x:f>
        <x:v>0.82325</x:v>
      </x:c>
      <x:c r="R44" s="54" t="n">
        <x:f>C44*(1+'Session Summary'!E11/100)</x:f>
        <x:v>0.95675</x:v>
      </x:c>
      <x:c r="S44" t="str">
        <x:f>IF(AND(G44&gt;=Q44,G44&lt;=R44),"Yes","No")</x:f>
        <x:v>Yes</x:v>
      </x:c>
      <x:c r="T44" t="str">
        <x:f>IF(ABS(K44)&lt;=2,"Yes","No")</x:f>
        <x:v>Yes</x:v>
      </x:c>
      <x:c r="U44" t="str">
        <x:v>Yes</x:v>
      </x:c>
      <x:c r="V44" t="str">
        <x:v>Pasted text(56).txt</x:v>
      </x:c>
      <x:c r="W44" s="54" t="n">
        <x:f>ABS(K44)</x:f>
        <x:v>0.01261</x:v>
      </x:c>
      <x:c r="X44" s="54" t="n">
        <x:f>IF(AND(U44="Yes",E44="PASS"),I44,0)</x:f>
        <x:v>0.68</x:v>
      </x:c>
    </x:row>
    <x:row r="45">
      <x:c r="A45" t="str">
        <x:v>S10</x:v>
      </x:c>
      <x:c r="B45" s="58" t="str">
        <x:v>0.89 repeat-confirmation session</x:v>
      </x:c>
      <x:c r="C45" s="54" t="n">
        <x:v>0.89</x:v>
      </x:c>
      <x:c r="D45" t="n">
        <x:v>3</x:v>
      </x:c>
      <x:c r="E45" t="str">
        <x:v>PASS</x:v>
      </x:c>
      <x:c r="F45" s="54" t="n">
        <x:v>10</x:v>
      </x:c>
      <x:c r="G45" s="54" t="n">
        <x:v>0.87294</x:v>
      </x:c>
      <x:c r="H45" s="56" t="n">
        <x:v>-1.92</x:v>
      </x:c>
      <x:c r="I45" s="56" t="n">
        <x:f>ABS(H45)</x:f>
        <x:v>1.92</x:v>
      </x:c>
      <x:c r="J45" s="54" t="n">
        <x:v>268.02353</x:v>
      </x:c>
      <x:c r="K45" s="54" t="n">
        <x:v>0.02353</x:v>
      </x:c>
      <x:c r="L45" s="56" t="n">
        <x:v>29.32</x:v>
      </x:c>
      <x:c r="M45" s="56" t="n">
        <x:v>0.88295</x:v>
      </x:c>
      <x:c r="N45" s="56" t="n">
        <x:v>1.01</x:v>
      </x:c>
      <x:c r="O45" s="56" t="n">
        <x:v>100</x:v>
      </x:c>
      <x:c r="P45" s="58" t="str">
        <x:v>PASS</x:v>
      </x:c>
      <x:c r="Q45" s="54" t="n">
        <x:f>C45*(1-'Session Summary'!E11/100)</x:f>
        <x:v>0.82325</x:v>
      </x:c>
      <x:c r="R45" s="54" t="n">
        <x:f>C45*(1+'Session Summary'!E11/100)</x:f>
        <x:v>0.95675</x:v>
      </x:c>
      <x:c r="S45" t="str">
        <x:f>IF(AND(G45&gt;=Q45,G45&lt;=R45),"Yes","No")</x:f>
        <x:v>Yes</x:v>
      </x:c>
      <x:c r="T45" t="str">
        <x:f>IF(ABS(K45)&lt;=2,"Yes","No")</x:f>
        <x:v>Yes</x:v>
      </x:c>
      <x:c r="U45" t="str">
        <x:v>Yes</x:v>
      </x:c>
      <x:c r="V45" t="str">
        <x:v>Pasted text(56).txt</x:v>
      </x:c>
      <x:c r="W45" s="54" t="n">
        <x:f>ABS(K45)</x:f>
        <x:v>0.02353</x:v>
      </x:c>
      <x:c r="X45" s="54" t="n">
        <x:f>IF(AND(U45="Yes",E45="PASS"),I45,0)</x:f>
        <x:v>1.92</x:v>
      </x:c>
    </x:row>
    <x:row r="46">
      <x:c r="A46" t="str">
        <x:v>S10</x:v>
      </x:c>
      <x:c r="B46" s="58" t="str">
        <x:v>0.89 repeat-confirmation session</x:v>
      </x:c>
      <x:c r="C46" s="54" t="n">
        <x:v>0.89</x:v>
      </x:c>
      <x:c r="D46" t="n">
        <x:v>4</x:v>
      </x:c>
      <x:c r="E46" t="str">
        <x:v>PASS</x:v>
      </x:c>
      <x:c r="F46" s="54" t="n">
        <x:v>10</x:v>
      </x:c>
      <x:c r="G46" s="54" t="n">
        <x:v>0.88445</x:v>
      </x:c>
      <x:c r="H46" s="56" t="n">
        <x:v>-0.62</x:v>
      </x:c>
      <x:c r="I46" s="56" t="n">
        <x:f>ABS(H46)</x:f>
        <x:v>0.62</x:v>
      </x:c>
      <x:c r="J46" s="54" t="n">
        <x:v>268.01233</x:v>
      </x:c>
      <x:c r="K46" s="54" t="n">
        <x:v>0.01233</x:v>
      </x:c>
      <x:c r="L46" s="56" t="n">
        <x:v>28.99</x:v>
      </x:c>
      <x:c r="M46" s="56" t="n">
        <x:v>0.88169</x:v>
      </x:c>
      <x:c r="N46" s="56" t="n">
        <x:v>1.17</x:v>
      </x:c>
      <x:c r="O46" s="56" t="n">
        <x:v>100</x:v>
      </x:c>
      <x:c r="P46" s="58" t="str">
        <x:v>PASS</x:v>
      </x:c>
      <x:c r="Q46" s="54" t="n">
        <x:f>C46*(1-'Session Summary'!E11/100)</x:f>
        <x:v>0.82325</x:v>
      </x:c>
      <x:c r="R46" s="54" t="n">
        <x:f>C46*(1+'Session Summary'!E11/100)</x:f>
        <x:v>0.95675</x:v>
      </x:c>
      <x:c r="S46" t="str">
        <x:f>IF(AND(G46&gt;=Q46,G46&lt;=R46),"Yes","No")</x:f>
        <x:v>Yes</x:v>
      </x:c>
      <x:c r="T46" t="str">
        <x:f>IF(ABS(K46)&lt;=2,"Yes","No")</x:f>
        <x:v>Yes</x:v>
      </x:c>
      <x:c r="U46" t="str">
        <x:v>Yes</x:v>
      </x:c>
      <x:c r="V46" t="str">
        <x:v>Pasted text(56).txt</x:v>
      </x:c>
      <x:c r="W46" s="54" t="n">
        <x:f>ABS(K46)</x:f>
        <x:v>0.01233</x:v>
      </x:c>
      <x:c r="X46" s="54" t="n">
        <x:f>IF(AND(U46="Yes",E46="PASS"),I46,0)</x:f>
        <x:v>0.62</x:v>
      </x:c>
    </x:row>
    <x:row r="47">
      <x:c r="A47" t="str">
        <x:v>S10</x:v>
      </x:c>
      <x:c r="B47" s="58" t="str">
        <x:v>0.89 repeat-confirmation session</x:v>
      </x:c>
      <x:c r="C47" s="54" t="n">
        <x:v>0.89</x:v>
      </x:c>
      <x:c r="D47" t="n">
        <x:v>5</x:v>
      </x:c>
      <x:c r="E47" t="str">
        <x:v>PASS</x:v>
      </x:c>
      <x:c r="F47" s="54" t="n">
        <x:v>10</x:v>
      </x:c>
      <x:c r="G47" s="54" t="n">
        <x:v>0.88171</x:v>
      </x:c>
      <x:c r="H47" s="56" t="n">
        <x:v>-0.93</x:v>
      </x:c>
      <x:c r="I47" s="56" t="n">
        <x:f>ABS(H47)</x:f>
        <x:v>0.93</x:v>
      </x:c>
      <x:c r="J47" s="54" t="n">
        <x:v>268.02529</x:v>
      </x:c>
      <x:c r="K47" s="54" t="n">
        <x:v>0.02529</x:v>
      </x:c>
      <x:c r="L47" s="56" t="n">
        <x:v>29.08</x:v>
      </x:c>
      <x:c r="M47" s="56" t="n">
        <x:v>0.87952</x:v>
      </x:c>
      <x:c r="N47" s="56" t="n">
        <x:v>1.05</x:v>
      </x:c>
      <x:c r="O47" s="56" t="n">
        <x:v>100</x:v>
      </x:c>
      <x:c r="P47" s="58" t="str">
        <x:v>PASS</x:v>
      </x:c>
      <x:c r="Q47" s="54" t="n">
        <x:f>C47*(1-'Session Summary'!E11/100)</x:f>
        <x:v>0.82325</x:v>
      </x:c>
      <x:c r="R47" s="54" t="n">
        <x:f>C47*(1+'Session Summary'!E11/100)</x:f>
        <x:v>0.95675</x:v>
      </x:c>
      <x:c r="S47" t="str">
        <x:f>IF(AND(G47&gt;=Q47,G47&lt;=R47),"Yes","No")</x:f>
        <x:v>Yes</x:v>
      </x:c>
      <x:c r="T47" t="str">
        <x:f>IF(ABS(K47)&lt;=2,"Yes","No")</x:f>
        <x:v>Yes</x:v>
      </x:c>
      <x:c r="U47" t="str">
        <x:v>Yes</x:v>
      </x:c>
      <x:c r="V47" t="str">
        <x:v>Pasted text(56).txt</x:v>
      </x:c>
      <x:c r="W47" s="54" t="n">
        <x:f>ABS(K47)</x:f>
        <x:v>0.02529</x:v>
      </x:c>
      <x:c r="X47" s="54" t="n">
        <x:f>IF(AND(U47="Yes",E47="PASS"),I47,0)</x:f>
        <x:v>0.93</x:v>
      </x:c>
    </x:row>
    <x:row r="48" ht="30" customHeight="1">
      <x:c r="A48" s="58" t="str">
        <x:v>S11</x:v>
      </x:c>
      <x:c r="B48" s="58" t="str">
        <x:v>1.15 instability and response-collapse session</x:v>
      </x:c>
      <x:c r="C48" s="59" t="n">
        <x:v>1.15</x:v>
      </x:c>
      <x:c r="D48" s="58" t="n">
        <x:v>1</x:v>
      </x:c>
      <x:c r="E48" s="58" t="str">
        <x:v>FAIL</x:v>
      </x:c>
      <x:c r="F48" s="59" t="n">
        <x:v>18.25</x:v>
      </x:c>
      <x:c r="G48" s="59" t="n">
        <x:v>1.14491</x:v>
      </x:c>
      <x:c r="H48" s="60" t="n">
        <x:v>-0.44</x:v>
      </x:c>
      <x:c r="I48" s="60" t="n">
        <x:v>0.44</x:v>
      </x:c>
      <x:c r="J48" s="59" t="n">
        <x:v>268.0104</x:v>
      </x:c>
      <x:c r="K48" s="59" t="n">
        <x:v>0.0104</x:v>
      </x:c>
      <x:c r="L48" s="60" t="n">
        <x:v>25.15</x:v>
      </x:c>
      <x:c r="M48" s="60" t="n">
        <x:v>1.08409</x:v>
      </x:c>
      <x:c r="N48" s="60" t="n">
        <x:v>2.78</x:v>
      </x:c>
      <x:c r="O48" s="60" t="n">
        <x:v>70</x:v>
      </x:c>
      <x:c r="P48" s="58" t="str">
        <x:v>Confirmed X response collapse at higher DAC; actuator/amplifier path unstable</x:v>
      </x:c>
      <x:c r="Q48" s="59" t="n">
        <x:v>1.06375</x:v>
      </x:c>
      <x:c r="R48" s="59" t="n">
        <x:v>1.2362499999999998</x:v>
      </x:c>
      <x:c r="S48" s="58" t="str">
        <x:v>Yes</x:v>
      </x:c>
      <x:c r="T48" s="58" t="str">
        <x:v>Yes</x:v>
      </x:c>
      <x:c r="U48" s="58" t="str">
        <x:v>No</x:v>
      </x:c>
      <x:c r="V48" s="58" t="str">
        <x:v>Pasted text(59).txt</x:v>
      </x:c>
      <x:c r="W48" s="54" t="n">
        <x:f>ABS(K48)</x:f>
        <x:v>0.0104</x:v>
      </x:c>
      <x:c r="X48" s="54" t="n">
        <x:f>IF(AND(U48="Yes",E48="PASS"),I48,0)</x:f>
        <x:v>0</x:v>
      </x:c>
    </x:row>
    <x:row r="49" ht="30" customHeight="1">
      <x:c r="A49" s="58" t="str">
        <x:v>S11</x:v>
      </x:c>
      <x:c r="B49" s="58" t="str">
        <x:v>1.15 instability and response-collapse session</x:v>
      </x:c>
      <x:c r="C49" s="59" t="n">
        <x:v>1.15</x:v>
      </x:c>
      <x:c r="D49" s="58" t="n">
        <x:v>2</x:v>
      </x:c>
      <x:c r="E49" s="58" t="str">
        <x:v>FAIL</x:v>
      </x:c>
      <x:c r="F49" s="59" t="n">
        <x:v>0</x:v>
      </x:c>
      <x:c r="G49" s="59" t="n">
        <x:v>0</x:v>
      </x:c>
      <x:c r="H49" s="60" t="n">
        <x:v>0</x:v>
      </x:c>
      <x:c r="I49" s="60" t="n">
        <x:v>0</x:v>
      </x:c>
      <x:c r="J49" s="59" t="n">
        <x:v>0</x:v>
      </x:c>
      <x:c r="K49" s="59" t="n">
        <x:v>0</x:v>
      </x:c>
      <x:c r="L49" s="60" t="n">
        <x:v>0</x:v>
      </x:c>
      <x:c r="M49" s="60" t="n">
        <x:v>0</x:v>
      </x:c>
      <x:c r="N49" s="60" t="n">
        <x:v>0</x:v>
      </x:c>
      <x:c r="O49" s="60" t="n">
        <x:v>0</x:v>
      </x:c>
      <x:c r="P49" s="58" t="str">
        <x:v>User emergency stop</x:v>
      </x:c>
      <x:c r="Q49" s="59" t="n">
        <x:v>1.06375</x:v>
      </x:c>
      <x:c r="R49" s="59" t="n">
        <x:v>1.2362499999999998</x:v>
      </x:c>
      <x:c r="S49" s="58" t="str">
        <x:v>No</x:v>
      </x:c>
      <x:c r="T49" s="58" t="str">
        <x:v>No</x:v>
      </x:c>
      <x:c r="U49" s="58" t="str">
        <x:v>No</x:v>
      </x:c>
      <x:c r="V49" s="58" t="str">
        <x:v>Pasted text(59).txt</x:v>
      </x:c>
      <x:c r="W49" s="54" t="n">
        <x:f>ABS(K49)</x:f>
        <x:v>0</x:v>
      </x:c>
      <x:c r="X49" s="54" t="n">
        <x:f>IF(AND(U49="Yes",E49="PASS"),I49,0)</x:f>
        <x:v>0</x:v>
      </x:c>
    </x:row>
    <x:row r="50" ht="30" customHeight="1">
      <x:c r="A50" s="58" t="str">
        <x:v>S12</x:v>
      </x:c>
      <x:c r="B50" s="58" t="str">
        <x:v>1.15 safety-guard failure session</x:v>
      </x:c>
      <x:c r="C50" s="59" t="n">
        <x:v>1.15</x:v>
      </x:c>
      <x:c r="D50" s="58" t="n">
        <x:v>1</x:v>
      </x:c>
      <x:c r="E50" s="58" t="str">
        <x:v>FAIL</x:v>
      </x:c>
      <x:c r="F50" s="59" t="n">
        <x:v>0</x:v>
      </x:c>
      <x:c r="G50" s="59" t="n">
        <x:v>0</x:v>
      </x:c>
      <x:c r="H50" s="60" t="n">
        <x:v>0</x:v>
      </x:c>
      <x:c r="I50" s="60" t="n">
        <x:v>0</x:v>
      </x:c>
      <x:c r="J50" s="59" t="n">
        <x:v>0</x:v>
      </x:c>
      <x:c r="K50" s="59" t="n">
        <x:v>0</x:v>
      </x:c>
      <x:c r="L50" s="60" t="n">
        <x:v>0</x:v>
      </x:c>
      <x:c r="M50" s="60" t="n">
        <x:v>0</x:v>
      </x:c>
      <x:c r="N50" s="60" t="n">
        <x:v>0</x:v>
      </x:c>
      <x:c r="O50" s="60" t="n">
        <x:v>0</x:v>
      </x:c>
      <x:c r="P50" s="58" t="str">
        <x:v>X target not reached by DAC 30; increase amplifier knob slightly</x:v>
      </x:c>
      <x:c r="Q50" s="59" t="n">
        <x:v>1.06375</x:v>
      </x:c>
      <x:c r="R50" s="59" t="n">
        <x:v>1.2362499999999998</x:v>
      </x:c>
      <x:c r="S50" s="58" t="str">
        <x:v>No</x:v>
      </x:c>
      <x:c r="T50" s="58" t="str">
        <x:v>No</x:v>
      </x:c>
      <x:c r="U50" s="58" t="str">
        <x:v>No</x:v>
      </x:c>
      <x:c r="V50" s="58" t="str">
        <x:v>Pasted text(59).txt</x:v>
      </x:c>
      <x:c r="W50" s="54" t="n">
        <x:f>ABS(K50)</x:f>
        <x:v>0</x:v>
      </x:c>
      <x:c r="X50" s="54" t="n">
        <x:f>IF(AND(U50="Yes",E50="PASS"),I50,0)</x:f>
        <x:v>0</x:v>
      </x:c>
    </x:row>
    <x:row r="51" ht="30" customHeight="1">
      <x:c r="A51" s="58" t="str">
        <x:v>S12</x:v>
      </x:c>
      <x:c r="B51" s="58" t="str">
        <x:v>1.15 safety-guard failure session</x:v>
      </x:c>
      <x:c r="C51" s="59" t="n">
        <x:v>1.15</x:v>
      </x:c>
      <x:c r="D51" s="58" t="n">
        <x:v>2</x:v>
      </x:c>
      <x:c r="E51" s="58" t="str">
        <x:v>FAIL</x:v>
      </x:c>
      <x:c r="F51" s="59" t="n">
        <x:v>0</x:v>
      </x:c>
      <x:c r="G51" s="59" t="n">
        <x:v>0</x:v>
      </x:c>
      <x:c r="H51" s="60" t="n">
        <x:v>0</x:v>
      </x:c>
      <x:c r="I51" s="60" t="n">
        <x:v>0</x:v>
      </x:c>
      <x:c r="J51" s="59" t="n">
        <x:v>0</x:v>
      </x:c>
      <x:c r="K51" s="59" t="n">
        <x:v>0</x:v>
      </x:c>
      <x:c r="L51" s="60" t="n">
        <x:v>0</x:v>
      </x:c>
      <x:c r="M51" s="60" t="n">
        <x:v>0</x:v>
      </x:c>
      <x:c r="N51" s="60" t="n">
        <x:v>0</x:v>
      </x:c>
      <x:c r="O51" s="60" t="n">
        <x:v>0</x:v>
      </x:c>
      <x:c r="P51" s="58" t="str">
        <x:v>X target not reached by DAC 30; increase amplifier knob slightly</x:v>
      </x:c>
      <x:c r="Q51" s="59" t="n">
        <x:v>1.06375</x:v>
      </x:c>
      <x:c r="R51" s="59" t="n">
        <x:v>1.2362499999999998</x:v>
      </x:c>
      <x:c r="S51" s="58" t="str">
        <x:v>No</x:v>
      </x:c>
      <x:c r="T51" s="58" t="str">
        <x:v>No</x:v>
      </x:c>
      <x:c r="U51" s="58" t="str">
        <x:v>No</x:v>
      </x:c>
      <x:c r="V51" s="58" t="str">
        <x:v>Pasted text(59).txt</x:v>
      </x:c>
      <x:c r="W51" s="54" t="n">
        <x:f>ABS(K51)</x:f>
        <x:v>0</x:v>
      </x:c>
      <x:c r="X51" s="54" t="n">
        <x:f>IF(AND(U51="Yes",E51="PASS"),I51,0)</x:f>
        <x:v>0</x:v>
      </x:c>
    </x:row>
    <x:row r="52" ht="30" customHeight="1">
      <x:c r="A52" s="58" t="str">
        <x:v>S12</x:v>
      </x:c>
      <x:c r="B52" s="58" t="str">
        <x:v>1.15 safety-guard failure session</x:v>
      </x:c>
      <x:c r="C52" s="59" t="n">
        <x:v>1.15</x:v>
      </x:c>
      <x:c r="D52" s="58" t="n">
        <x:v>3</x:v>
      </x:c>
      <x:c r="E52" s="58" t="str">
        <x:v>FAIL</x:v>
      </x:c>
      <x:c r="F52" s="59" t="n">
        <x:v>0</x:v>
      </x:c>
      <x:c r="G52" s="59" t="n">
        <x:v>0</x:v>
      </x:c>
      <x:c r="H52" s="60" t="n">
        <x:v>0</x:v>
      </x:c>
      <x:c r="I52" s="60" t="n">
        <x:v>0</x:v>
      </x:c>
      <x:c r="J52" s="59" t="n">
        <x:v>0</x:v>
      </x:c>
      <x:c r="K52" s="59" t="n">
        <x:v>0</x:v>
      </x:c>
      <x:c r="L52" s="60" t="n">
        <x:v>0</x:v>
      </x:c>
      <x:c r="M52" s="60" t="n">
        <x:v>0</x:v>
      </x:c>
      <x:c r="N52" s="60" t="n">
        <x:v>0</x:v>
      </x:c>
      <x:c r="O52" s="60" t="n">
        <x:v>0</x:v>
      </x:c>
      <x:c r="P52" s="58" t="str">
        <x:v>Absolute acceleration safety guard reached</x:v>
      </x:c>
      <x:c r="Q52" s="59" t="n">
        <x:v>1.06375</x:v>
      </x:c>
      <x:c r="R52" s="59" t="n">
        <x:v>1.2362499999999998</x:v>
      </x:c>
      <x:c r="S52" s="58" t="str">
        <x:v>No</x:v>
      </x:c>
      <x:c r="T52" s="58" t="str">
        <x:v>No</x:v>
      </x:c>
      <x:c r="U52" s="58" t="str">
        <x:v>No</x:v>
      </x:c>
      <x:c r="V52" s="58" t="str">
        <x:v>Pasted text(59).txt</x:v>
      </x:c>
      <x:c r="W52" s="54" t="n">
        <x:f>ABS(K52)</x:f>
        <x:v>0</x:v>
      </x:c>
      <x:c r="X52" s="54" t="n">
        <x:f>IF(AND(U52="Yes",E52="PASS"),I52,0)</x:f>
        <x:v>0</x:v>
      </x:c>
    </x:row>
    <x:row r="53" ht="30" customHeight="1">
      <x:c r="A53" s="58" t="str">
        <x:v>S12</x:v>
      </x:c>
      <x:c r="B53" s="58" t="str">
        <x:v>1.15 safety-guard failure session</x:v>
      </x:c>
      <x:c r="C53" s="59" t="n">
        <x:v>1.15</x:v>
      </x:c>
      <x:c r="D53" s="58" t="n">
        <x:v>4</x:v>
      </x:c>
      <x:c r="E53" s="58" t="str">
        <x:v>FAIL</x:v>
      </x:c>
      <x:c r="F53" s="59" t="n">
        <x:v>0</x:v>
      </x:c>
      <x:c r="G53" s="59" t="n">
        <x:v>0</x:v>
      </x:c>
      <x:c r="H53" s="60" t="n">
        <x:v>0</x:v>
      </x:c>
      <x:c r="I53" s="60" t="n">
        <x:v>0</x:v>
      </x:c>
      <x:c r="J53" s="59" t="n">
        <x:v>0</x:v>
      </x:c>
      <x:c r="K53" s="59" t="n">
        <x:v>0</x:v>
      </x:c>
      <x:c r="L53" s="60" t="n">
        <x:v>0</x:v>
      </x:c>
      <x:c r="M53" s="60" t="n">
        <x:v>0</x:v>
      </x:c>
      <x:c r="N53" s="60" t="n">
        <x:v>0</x:v>
      </x:c>
      <x:c r="O53" s="60" t="n">
        <x:v>0</x:v>
      </x:c>
      <x:c r="P53" s="58" t="str">
        <x:v>Absolute acceleration safety guard reached</x:v>
      </x:c>
      <x:c r="Q53" s="59" t="n">
        <x:v>1.06375</x:v>
      </x:c>
      <x:c r="R53" s="59" t="n">
        <x:v>1.2362499999999998</x:v>
      </x:c>
      <x:c r="S53" s="58" t="str">
        <x:v>No</x:v>
      </x:c>
      <x:c r="T53" s="58" t="str">
        <x:v>No</x:v>
      </x:c>
      <x:c r="U53" s="58" t="str">
        <x:v>No</x:v>
      </x:c>
      <x:c r="V53" s="58" t="str">
        <x:v>Pasted text(59).txt</x:v>
      </x:c>
      <x:c r="W53" s="54" t="n">
        <x:f>ABS(K53)</x:f>
        <x:v>0</x:v>
      </x:c>
      <x:c r="X53" s="54" t="n">
        <x:f>IF(AND(U53="Yes",E53="PASS"),I53,0)</x:f>
        <x:v>0</x:v>
      </x:c>
    </x:row>
    <x:row r="54" ht="30" customHeight="1">
      <x:c r="A54" s="58" t="str">
        <x:v>S12</x:v>
      </x:c>
      <x:c r="B54" s="58" t="str">
        <x:v>1.15 safety-guard failure session</x:v>
      </x:c>
      <x:c r="C54" s="59" t="n">
        <x:v>1.15</x:v>
      </x:c>
      <x:c r="D54" s="58" t="n">
        <x:v>5</x:v>
      </x:c>
      <x:c r="E54" s="58" t="str">
        <x:v>FAIL</x:v>
      </x:c>
      <x:c r="F54" s="59" t="n">
        <x:v>0</x:v>
      </x:c>
      <x:c r="G54" s="59" t="n">
        <x:v>0</x:v>
      </x:c>
      <x:c r="H54" s="60" t="n">
        <x:v>0</x:v>
      </x:c>
      <x:c r="I54" s="60" t="n">
        <x:v>0</x:v>
      </x:c>
      <x:c r="J54" s="59" t="n">
        <x:v>0</x:v>
      </x:c>
      <x:c r="K54" s="59" t="n">
        <x:v>0</x:v>
      </x:c>
      <x:c r="L54" s="60" t="n">
        <x:v>0</x:v>
      </x:c>
      <x:c r="M54" s="60" t="n">
        <x:v>0</x:v>
      </x:c>
      <x:c r="N54" s="60" t="n">
        <x:v>0</x:v>
      </x:c>
      <x:c r="O54" s="60" t="n">
        <x:v>0</x:v>
      </x:c>
      <x:c r="P54" s="58" t="str">
        <x:v>Absolute acceleration safety guard reached</x:v>
      </x:c>
      <x:c r="Q54" s="59" t="n">
        <x:v>1.06375</x:v>
      </x:c>
      <x:c r="R54" s="59" t="n">
        <x:v>1.2362499999999998</x:v>
      </x:c>
      <x:c r="S54" s="58" t="str">
        <x:v>No</x:v>
      </x:c>
      <x:c r="T54" s="58" t="str">
        <x:v>No</x:v>
      </x:c>
      <x:c r="U54" s="58" t="str">
        <x:v>No</x:v>
      </x:c>
      <x:c r="V54" s="58" t="str">
        <x:v>Pasted text(59).txt</x:v>
      </x:c>
      <x:c r="W54" s="54" t="n">
        <x:f>ABS(K54)</x:f>
        <x:v>0</x:v>
      </x:c>
      <x:c r="X54" s="54" t="n">
        <x:f>IF(AND(U54="Yes",E54="PASS"),I54,0)</x:f>
        <x:v>0</x:v>
      </x:c>
    </x:row>
    <x:row r="55" ht="30" customHeight="1">
      <x:c r="A55" s="58" t="str">
        <x:v>S13</x:v>
      </x:c>
      <x:c r="B55" s="58" t="str">
        <x:v>1.00 validated five-run session</x:v>
      </x:c>
      <x:c r="C55" s="59" t="n">
        <x:v>1</x:v>
      </x:c>
      <x:c r="D55" s="58" t="n">
        <x:v>1</x:v>
      </x:c>
      <x:c r="E55" s="58" t="str">
        <x:v>PASS</x:v>
      </x:c>
      <x:c r="F55" s="59" t="n">
        <x:v>9.25</x:v>
      </x:c>
      <x:c r="G55" s="59" t="n">
        <x:v>1.0204</x:v>
      </x:c>
      <x:c r="H55" s="60" t="n">
        <x:v>2.04</x:v>
      </x:c>
      <x:c r="I55" s="60" t="n">
        <x:v>2.04</x:v>
      </x:c>
      <x:c r="J55" s="59" t="n">
        <x:v>268.02212</x:v>
      </x:c>
      <x:c r="K55" s="59" t="n">
        <x:v>0.02212</x:v>
      </x:c>
      <x:c r="L55" s="60" t="n">
        <x:v>25.89</x:v>
      </x:c>
      <x:c r="M55" s="60" t="n">
        <x:v>0.97344</x:v>
      </x:c>
      <x:c r="N55" s="60" t="n">
        <x:v>1.91</x:v>
      </x:c>
      <x:c r="O55" s="60" t="n">
        <x:v>100</x:v>
      </x:c>
      <x:c r="P55" s="58" t="str">
        <x:v>PASS</x:v>
      </x:c>
      <x:c r="Q55" s="59" t="n">
        <x:v>0.925</x:v>
      </x:c>
      <x:c r="R55" s="59" t="n">
        <x:v>1.075</x:v>
      </x:c>
      <x:c r="S55" s="58" t="str">
        <x:v>Yes</x:v>
      </x:c>
      <x:c r="T55" s="58" t="str">
        <x:v>Yes</x:v>
      </x:c>
      <x:c r="U55" s="58" t="str">
        <x:v>Yes</x:v>
      </x:c>
      <x:c r="V55" s="58" t="str">
        <x:v>Pasted text(59).txt</x:v>
      </x:c>
      <x:c r="W55" s="54" t="n">
        <x:f>ABS(K55)</x:f>
        <x:v>0.02212</x:v>
      </x:c>
      <x:c r="X55" s="54" t="n">
        <x:f>IF(AND(U55="Yes",E55="PASS"),I55,0)</x:f>
        <x:v>2.04</x:v>
      </x:c>
    </x:row>
    <x:row r="56" ht="30" customHeight="1">
      <x:c r="A56" s="58" t="str">
        <x:v>S13</x:v>
      </x:c>
      <x:c r="B56" s="58" t="str">
        <x:v>1.00 validated five-run session</x:v>
      </x:c>
      <x:c r="C56" s="59" t="n">
        <x:v>1</x:v>
      </x:c>
      <x:c r="D56" s="58" t="n">
        <x:v>2</x:v>
      </x:c>
      <x:c r="E56" s="58" t="str">
        <x:v>PASS</x:v>
      </x:c>
      <x:c r="F56" s="59" t="n">
        <x:v>9.75</x:v>
      </x:c>
      <x:c r="G56" s="59" t="n">
        <x:v>0.9662</x:v>
      </x:c>
      <x:c r="H56" s="60" t="n">
        <x:v>-3.38</x:v>
      </x:c>
      <x:c r="I56" s="60" t="n">
        <x:v>3.38</x:v>
      </x:c>
      <x:c r="J56" s="59" t="n">
        <x:v>268.02029</x:v>
      </x:c>
      <x:c r="K56" s="59" t="n">
        <x:v>0.02029</x:v>
      </x:c>
      <x:c r="L56" s="60" t="n">
        <x:v>26.14</x:v>
      </x:c>
      <x:c r="M56" s="60" t="n">
        <x:v>0.94103</x:v>
      </x:c>
      <x:c r="N56" s="60" t="n">
        <x:v>0.95</x:v>
      </x:c>
      <x:c r="O56" s="60" t="n">
        <x:v>100</x:v>
      </x:c>
      <x:c r="P56" s="58" t="str">
        <x:v>PASS</x:v>
      </x:c>
      <x:c r="Q56" s="59" t="n">
        <x:v>0.925</x:v>
      </x:c>
      <x:c r="R56" s="59" t="n">
        <x:v>1.075</x:v>
      </x:c>
      <x:c r="S56" s="58" t="str">
        <x:v>Yes</x:v>
      </x:c>
      <x:c r="T56" s="58" t="str">
        <x:v>Yes</x:v>
      </x:c>
      <x:c r="U56" s="58" t="str">
        <x:v>Yes</x:v>
      </x:c>
      <x:c r="V56" s="58" t="str">
        <x:v>Pasted text(59).txt</x:v>
      </x:c>
      <x:c r="W56" s="54" t="n">
        <x:f>ABS(K56)</x:f>
        <x:v>0.02029</x:v>
      </x:c>
      <x:c r="X56" s="54" t="n">
        <x:f>IF(AND(U56="Yes",E56="PASS"),I56,0)</x:f>
        <x:v>3.38</x:v>
      </x:c>
    </x:row>
    <x:row r="57" ht="30" customHeight="1">
      <x:c r="A57" s="58" t="str">
        <x:v>S13</x:v>
      </x:c>
      <x:c r="B57" s="58" t="str">
        <x:v>1.00 validated five-run session</x:v>
      </x:c>
      <x:c r="C57" s="59" t="n">
        <x:v>1</x:v>
      </x:c>
      <x:c r="D57" s="58" t="n">
        <x:v>3</x:v>
      </x:c>
      <x:c r="E57" s="58" t="str">
        <x:v>PASS</x:v>
      </x:c>
      <x:c r="F57" s="59" t="n">
        <x:v>10.25</x:v>
      </x:c>
      <x:c r="G57" s="59" t="n">
        <x:v>1.00511</x:v>
      </x:c>
      <x:c r="H57" s="60" t="n">
        <x:v>0.51</x:v>
      </x:c>
      <x:c r="I57" s="60" t="n">
        <x:v>0.51</x:v>
      </x:c>
      <x:c r="J57" s="59" t="n">
        <x:v>268.03087</x:v>
      </x:c>
      <x:c r="K57" s="59" t="n">
        <x:v>0.03087</x:v>
      </x:c>
      <x:c r="L57" s="60" t="n">
        <x:v>26.76</x:v>
      </x:c>
      <x:c r="M57" s="60" t="n">
        <x:v>0.99387</x:v>
      </x:c>
      <x:c r="N57" s="60" t="n">
        <x:v>1.25</x:v>
      </x:c>
      <x:c r="O57" s="60" t="n">
        <x:v>100</x:v>
      </x:c>
      <x:c r="P57" s="58" t="str">
        <x:v>PASS</x:v>
      </x:c>
      <x:c r="Q57" s="59" t="n">
        <x:v>0.925</x:v>
      </x:c>
      <x:c r="R57" s="59" t="n">
        <x:v>1.075</x:v>
      </x:c>
      <x:c r="S57" s="58" t="str">
        <x:v>Yes</x:v>
      </x:c>
      <x:c r="T57" s="58" t="str">
        <x:v>Yes</x:v>
      </x:c>
      <x:c r="U57" s="58" t="str">
        <x:v>Yes</x:v>
      </x:c>
      <x:c r="V57" s="58" t="str">
        <x:v>Pasted text(59).txt</x:v>
      </x:c>
      <x:c r="W57" s="54" t="n">
        <x:f>ABS(K57)</x:f>
        <x:v>0.03087</x:v>
      </x:c>
      <x:c r="X57" s="54" t="n">
        <x:f>IF(AND(U57="Yes",E57="PASS"),I57,0)</x:f>
        <x:v>0.51</x:v>
      </x:c>
    </x:row>
    <x:row r="58" ht="30" customHeight="1">
      <x:c r="A58" s="58" t="str">
        <x:v>S13</x:v>
      </x:c>
      <x:c r="B58" s="58" t="str">
        <x:v>1.00 validated five-run session</x:v>
      </x:c>
      <x:c r="C58" s="59" t="n">
        <x:v>1</x:v>
      </x:c>
      <x:c r="D58" s="58" t="n">
        <x:v>4</x:v>
      </x:c>
      <x:c r="E58" s="58" t="str">
        <x:v>PASS</x:v>
      </x:c>
      <x:c r="F58" s="59" t="n">
        <x:v>10.25</x:v>
      </x:c>
      <x:c r="G58" s="59" t="n">
        <x:v>0.97928</x:v>
      </x:c>
      <x:c r="H58" s="60" t="n">
        <x:v>-2.07</x:v>
      </x:c>
      <x:c r="I58" s="60" t="n">
        <x:v>2.07</x:v>
      </x:c>
      <x:c r="J58" s="59" t="n">
        <x:v>268.02896</x:v>
      </x:c>
      <x:c r="K58" s="59" t="n">
        <x:v>0.02896</x:v>
      </x:c>
      <x:c r="L58" s="60" t="n">
        <x:v>26.47</x:v>
      </x:c>
      <x:c r="M58" s="60" t="n">
        <x:v>0.96214</x:v>
      </x:c>
      <x:c r="N58" s="60" t="n">
        <x:v>0.95</x:v>
      </x:c>
      <x:c r="O58" s="60" t="n">
        <x:v>100</x:v>
      </x:c>
      <x:c r="P58" s="58" t="str">
        <x:v>PASS</x:v>
      </x:c>
      <x:c r="Q58" s="59" t="n">
        <x:v>0.925</x:v>
      </x:c>
      <x:c r="R58" s="59" t="n">
        <x:v>1.075</x:v>
      </x:c>
      <x:c r="S58" s="58" t="str">
        <x:v>Yes</x:v>
      </x:c>
      <x:c r="T58" s="58" t="str">
        <x:v>Yes</x:v>
      </x:c>
      <x:c r="U58" s="58" t="str">
        <x:v>Yes</x:v>
      </x:c>
      <x:c r="V58" s="58" t="str">
        <x:v>Pasted text(59).txt</x:v>
      </x:c>
      <x:c r="W58" s="54" t="n">
        <x:f>ABS(K58)</x:f>
        <x:v>0.02896</x:v>
      </x:c>
      <x:c r="X58" s="54" t="n">
        <x:f>IF(AND(U58="Yes",E58="PASS"),I58,0)</x:f>
        <x:v>2.07</x:v>
      </x:c>
    </x:row>
    <x:row r="59" ht="30" customHeight="1">
      <x:c r="A59" s="58" t="str">
        <x:v>S13</x:v>
      </x:c>
      <x:c r="B59" s="58" t="str">
        <x:v>1.00 validated five-run session</x:v>
      </x:c>
      <x:c r="C59" s="59" t="n">
        <x:v>1</x:v>
      </x:c>
      <x:c r="D59" s="58" t="n">
        <x:v>5</x:v>
      </x:c>
      <x:c r="E59" s="58" t="str">
        <x:v>PASS</x:v>
      </x:c>
      <x:c r="F59" s="59" t="n">
        <x:v>10.75</x:v>
      </x:c>
      <x:c r="G59" s="59" t="n">
        <x:v>1.01008</x:v>
      </x:c>
      <x:c r="H59" s="60" t="n">
        <x:v>1.01</x:v>
      </x:c>
      <x:c r="I59" s="60" t="n">
        <x:v>1.01</x:v>
      </x:c>
      <x:c r="J59" s="59" t="n">
        <x:v>268.02572</x:v>
      </x:c>
      <x:c r="K59" s="59" t="n">
        <x:v>0.02572</x:v>
      </x:c>
      <x:c r="L59" s="60" t="n">
        <x:v>27.12</x:v>
      </x:c>
      <x:c r="M59" s="60" t="n">
        <x:v>1.00358</x:v>
      </x:c>
      <x:c r="N59" s="60" t="n">
        <x:v>1.32</x:v>
      </x:c>
      <x:c r="O59" s="60" t="n">
        <x:v>100</x:v>
      </x:c>
      <x:c r="P59" s="58" t="str">
        <x:v>PASS</x:v>
      </x:c>
      <x:c r="Q59" s="59" t="n">
        <x:v>0.925</x:v>
      </x:c>
      <x:c r="R59" s="59" t="n">
        <x:v>1.075</x:v>
      </x:c>
      <x:c r="S59" s="58" t="str">
        <x:v>Yes</x:v>
      </x:c>
      <x:c r="T59" s="58" t="str">
        <x:v>Yes</x:v>
      </x:c>
      <x:c r="U59" s="58" t="str">
        <x:v>Yes</x:v>
      </x:c>
      <x:c r="V59" s="58" t="str">
        <x:v>Pasted text(59).txt</x:v>
      </x:c>
      <x:c r="W59" s="54" t="n">
        <x:f>ABS(K59)</x:f>
        <x:v>0.02572</x:v>
      </x:c>
      <x:c r="X59" s="54" t="n">
        <x:f>IF(AND(U59="Yes",E59="PASS"),I59,0)</x:f>
        <x:v>1.01</x:v>
      </x:c>
    </x:row>
    <x:row r="60" ht="30" customHeight="1">
      <x:c r="A60" s="58" t="str">
        <x:v>S14</x:v>
      </x:c>
      <x:c r="B60" s="58" t="str">
        <x:v>1.15 validation at 272 Hz</x:v>
      </x:c>
      <x:c r="C60" s="59" t="n">
        <x:v>1.15</x:v>
      </x:c>
      <x:c r="D60" s="58" t="n">
        <x:v>1</x:v>
      </x:c>
      <x:c r="E60" s="58" t="str">
        <x:v>PASS</x:v>
      </x:c>
      <x:c r="F60" s="59" t="n">
        <x:v>11.75</x:v>
      </x:c>
      <x:c r="G60" s="59" t="n">
        <x:v>1.18387</x:v>
      </x:c>
      <x:c r="H60" s="60" t="n">
        <x:v>2.94</x:v>
      </x:c>
      <x:c r="I60" s="60" t="n">
        <x:v>2.94</x:v>
      </x:c>
      <x:c r="J60" s="59" t="n">
        <x:v>271.96408</x:v>
      </x:c>
      <x:c r="K60" s="59" t="n">
        <x:v>-0.03592</x:v>
      </x:c>
      <x:c r="L60" s="60" t="n">
        <x:v>29.29</x:v>
      </x:c>
      <x:c r="M60" s="60" t="n">
        <x:v>1.21554</x:v>
      </x:c>
      <x:c r="N60" s="60" t="n">
        <x:v>0.97</x:v>
      </x:c>
      <x:c r="O60" s="60" t="n">
        <x:v>100</x:v>
      </x:c>
      <x:c r="P60" s="58" t="str">
        <x:v>PASS</x:v>
      </x:c>
      <x:c r="Q60" s="59" t="n">
        <x:v>1.06375</x:v>
      </x:c>
      <x:c r="R60" s="59" t="n">
        <x:v>1.2362499999999998</x:v>
      </x:c>
      <x:c r="S60" s="58" t="str">
        <x:v>Yes</x:v>
      </x:c>
      <x:c r="T60" s="58" t="str">
        <x:v>Yes</x:v>
      </x:c>
      <x:c r="U60" s="58" t="str">
        <x:v>Yes</x:v>
      </x:c>
      <x:c r="V60" s="58" t="str">
        <x:v>Pasted text(59).txt</x:v>
      </x:c>
      <x:c r="W60" s="54" t="n">
        <x:f>ABS(K60)</x:f>
        <x:v>0.03592</x:v>
      </x:c>
      <x:c r="X60" s="54" t="n">
        <x:f>IF(AND(U60="Yes",E60="PASS"),I60,0)</x:f>
        <x:v>2.94</x:v>
      </x:c>
    </x:row>
    <x:row r="61" ht="30" customHeight="1">
      <x:c r="A61" s="58" t="str">
        <x:v>S14</x:v>
      </x:c>
      <x:c r="B61" s="58" t="str">
        <x:v>1.15 validation at 272 Hz</x:v>
      </x:c>
      <x:c r="C61" s="59" t="n">
        <x:v>1.15</x:v>
      </x:c>
      <x:c r="D61" s="58" t="n">
        <x:v>2</x:v>
      </x:c>
      <x:c r="E61" s="58" t="str">
        <x:v>PASS</x:v>
      </x:c>
      <x:c r="F61" s="59" t="n">
        <x:v>11.5</x:v>
      </x:c>
      <x:c r="G61" s="59" t="n">
        <x:v>1.15568</x:v>
      </x:c>
      <x:c r="H61" s="60" t="n">
        <x:v>0.49</x:v>
      </x:c>
      <x:c r="I61" s="60" t="n">
        <x:v>0.49</x:v>
      </x:c>
      <x:c r="J61" s="59" t="n">
        <x:v>271.95992</x:v>
      </x:c>
      <x:c r="K61" s="59" t="n">
        <x:v>-0.04008</x:v>
      </x:c>
      <x:c r="L61" s="60" t="n">
        <x:v>29.18</x:v>
      </x:c>
      <x:c r="M61" s="60" t="n">
        <x:v>1.16112</x:v>
      </x:c>
      <x:c r="N61" s="60" t="n">
        <x:v>0.83</x:v>
      </x:c>
      <x:c r="O61" s="60" t="n">
        <x:v>100</x:v>
      </x:c>
      <x:c r="P61" s="58" t="str">
        <x:v>PASS</x:v>
      </x:c>
      <x:c r="Q61" s="59" t="n">
        <x:v>1.06375</x:v>
      </x:c>
      <x:c r="R61" s="59" t="n">
        <x:v>1.2362499999999998</x:v>
      </x:c>
      <x:c r="S61" s="58" t="str">
        <x:v>Yes</x:v>
      </x:c>
      <x:c r="T61" s="58" t="str">
        <x:v>Yes</x:v>
      </x:c>
      <x:c r="U61" s="58" t="str">
        <x:v>Yes</x:v>
      </x:c>
      <x:c r="V61" s="58" t="str">
        <x:v>Pasted text(59).txt</x:v>
      </x:c>
      <x:c r="W61" s="54" t="n">
        <x:f>ABS(K61)</x:f>
        <x:v>0.04008</x:v>
      </x:c>
      <x:c r="X61" s="54" t="n">
        <x:f>IF(AND(U61="Yes",E61="PASS"),I61,0)</x:f>
        <x:v>0.49</x:v>
      </x:c>
    </x:row>
    <x:row r="62" ht="30" customHeight="1">
      <x:c r="A62" s="58" t="str">
        <x:v>S14</x:v>
      </x:c>
      <x:c r="B62" s="58" t="str">
        <x:v>1.15 validation at 272 Hz</x:v>
      </x:c>
      <x:c r="C62" s="59" t="n">
        <x:v>1.15</x:v>
      </x:c>
      <x:c r="D62" s="58" t="n">
        <x:v>3</x:v>
      </x:c>
      <x:c r="E62" s="58" t="str">
        <x:v>PASS</x:v>
      </x:c>
      <x:c r="F62" s="59" t="n">
        <x:v>11.25</x:v>
      </x:c>
      <x:c r="G62" s="59" t="n">
        <x:v>1.15035</x:v>
      </x:c>
      <x:c r="H62" s="60" t="n">
        <x:v>0.03</x:v>
      </x:c>
      <x:c r="I62" s="60" t="n">
        <x:v>0.03</x:v>
      </x:c>
      <x:c r="J62" s="59" t="n">
        <x:v>271.92648</x:v>
      </x:c>
      <x:c r="K62" s="59" t="n">
        <x:v>-0.07352</x:v>
      </x:c>
      <x:c r="L62" s="60" t="n">
        <x:v>29.12</x:v>
      </x:c>
      <x:c r="M62" s="60" t="n">
        <x:v>1.12897</x:v>
      </x:c>
      <x:c r="N62" s="60" t="n">
        <x:v>1.52</x:v>
      </x:c>
      <x:c r="O62" s="60" t="n">
        <x:v>100</x:v>
      </x:c>
      <x:c r="P62" s="58" t="str">
        <x:v>PASS</x:v>
      </x:c>
      <x:c r="Q62" s="59" t="n">
        <x:v>1.06375</x:v>
      </x:c>
      <x:c r="R62" s="59" t="n">
        <x:v>1.2362499999999998</x:v>
      </x:c>
      <x:c r="S62" s="58" t="str">
        <x:v>Yes</x:v>
      </x:c>
      <x:c r="T62" s="58" t="str">
        <x:v>Yes</x:v>
      </x:c>
      <x:c r="U62" s="58" t="str">
        <x:v>Yes</x:v>
      </x:c>
      <x:c r="V62" s="58" t="str">
        <x:v>Pasted text(59).txt</x:v>
      </x:c>
      <x:c r="W62" s="54" t="n">
        <x:f>ABS(K62)</x:f>
        <x:v>0.07352</x:v>
      </x:c>
      <x:c r="X62" s="54" t="n">
        <x:f>IF(AND(U62="Yes",E62="PASS"),I62,0)</x:f>
        <x:v>0.03</x:v>
      </x:c>
    </x:row>
    <x:row r="63" ht="30" customHeight="1">
      <x:c r="A63" s="58" t="str">
        <x:v>S14</x:v>
      </x:c>
      <x:c r="B63" s="58" t="str">
        <x:v>1.15 validation at 272 Hz</x:v>
      </x:c>
      <x:c r="C63" s="59" t="n">
        <x:v>1.15</x:v>
      </x:c>
      <x:c r="D63" s="58" t="n">
        <x:v>4</x:v>
      </x:c>
      <x:c r="E63" s="58" t="str">
        <x:v>PASS</x:v>
      </x:c>
      <x:c r="F63" s="59" t="n">
        <x:v>11.25</x:v>
      </x:c>
      <x:c r="G63" s="59" t="n">
        <x:v>1.1464</x:v>
      </x:c>
      <x:c r="H63" s="60" t="n">
        <x:v>-0.31</x:v>
      </x:c>
      <x:c r="I63" s="60" t="n">
        <x:v>0.31</x:v>
      </x:c>
      <x:c r="J63" s="59" t="n">
        <x:v>271.96797</x:v>
      </x:c>
      <x:c r="K63" s="59" t="n">
        <x:v>-0.03203</x:v>
      </x:c>
      <x:c r="L63" s="60" t="n">
        <x:v>29.16</x:v>
      </x:c>
      <x:c r="M63" s="60" t="n">
        <x:v>1.14252</x:v>
      </x:c>
      <x:c r="N63" s="60" t="n">
        <x:v>1.23</x:v>
      </x:c>
      <x:c r="O63" s="60" t="n">
        <x:v>100</x:v>
      </x:c>
      <x:c r="P63" s="58" t="str">
        <x:v>PASS</x:v>
      </x:c>
      <x:c r="Q63" s="59" t="n">
        <x:v>1.06375</x:v>
      </x:c>
      <x:c r="R63" s="59" t="n">
        <x:v>1.2362499999999998</x:v>
      </x:c>
      <x:c r="S63" s="58" t="str">
        <x:v>Yes</x:v>
      </x:c>
      <x:c r="T63" s="58" t="str">
        <x:v>Yes</x:v>
      </x:c>
      <x:c r="U63" s="58" t="str">
        <x:v>Yes</x:v>
      </x:c>
      <x:c r="V63" s="58" t="str">
        <x:v>Pasted text(59).txt</x:v>
      </x:c>
      <x:c r="W63" s="54" t="n">
        <x:f>ABS(K63)</x:f>
        <x:v>0.03203</x:v>
      </x:c>
      <x:c r="X63" s="54" t="n">
        <x:f>IF(AND(U63="Yes",E63="PASS"),I63,0)</x:f>
        <x:v>0.31</x:v>
      </x:c>
    </x:row>
    <x:row r="64" ht="30" customHeight="1">
      <x:c r="A64" s="58" t="str">
        <x:v>S14</x:v>
      </x:c>
      <x:c r="B64" s="58" t="str">
        <x:v>1.15 validation at 272 Hz</x:v>
      </x:c>
      <x:c r="C64" s="59" t="n">
        <x:v>1.15</x:v>
      </x:c>
      <x:c r="D64" s="58" t="n">
        <x:v>5</x:v>
      </x:c>
      <x:c r="E64" s="58" t="str">
        <x:v>PASS</x:v>
      </x:c>
      <x:c r="F64" s="59" t="n">
        <x:v>11.5</x:v>
      </x:c>
      <x:c r="G64" s="59" t="n">
        <x:v>1.14476</x:v>
      </x:c>
      <x:c r="H64" s="60" t="n">
        <x:v>-0.46</x:v>
      </x:c>
      <x:c r="I64" s="60" t="n">
        <x:v>0.46</x:v>
      </x:c>
      <x:c r="J64" s="59" t="n">
        <x:v>271.9635</x:v>
      </x:c>
      <x:c r="K64" s="59" t="n">
        <x:v>-0.0365</x:v>
      </x:c>
      <x:c r="L64" s="60" t="n">
        <x:v>29.23</x:v>
      </x:c>
      <x:c r="M64" s="60" t="n">
        <x:v>1.14592</x:v>
      </x:c>
      <x:c r="N64" s="60" t="n">
        <x:v>1.44</x:v>
      </x:c>
      <x:c r="O64" s="60" t="n">
        <x:v>100</x:v>
      </x:c>
      <x:c r="P64" s="58" t="str">
        <x:v>PASS</x:v>
      </x:c>
      <x:c r="Q64" s="59" t="n">
        <x:v>1.06375</x:v>
      </x:c>
      <x:c r="R64" s="59" t="n">
        <x:v>1.2362499999999998</x:v>
      </x:c>
      <x:c r="S64" s="58" t="str">
        <x:v>Yes</x:v>
      </x:c>
      <x:c r="T64" s="58" t="str">
        <x:v>Yes</x:v>
      </x:c>
      <x:c r="U64" s="58" t="str">
        <x:v>Yes</x:v>
      </x:c>
      <x:c r="V64" s="58" t="str">
        <x:v>Pasted text(59).txt</x:v>
      </x:c>
      <x:c r="W64" s="54" t="n">
        <x:f>ABS(K64)</x:f>
        <x:v>0.0365</x:v>
      </x:c>
      <x:c r="X64" s="54" t="n">
        <x:f>IF(AND(U64="Yes",E64="PASS"),I64,0)</x:f>
        <x:v>0.46</x:v>
      </x:c>
    </x:row>
    <x:row r="65" ht="30" customHeight="1">
      <x:c r="A65" s="58" t="str">
        <x:v>S15</x:v>
      </x:c>
      <x:c r="B65" s="58" t="str">
        <x:v>0.60 validation at 268.9 Hz</x:v>
      </x:c>
      <x:c r="C65" s="59" t="n">
        <x:v>0.6</x:v>
      </x:c>
      <x:c r="D65" s="58" t="n">
        <x:v>1</x:v>
      </x:c>
      <x:c r="E65" s="58" t="str">
        <x:v>PASS</x:v>
      </x:c>
      <x:c r="F65" s="59" t="n">
        <x:v>7</x:v>
      </x:c>
      <x:c r="G65" s="59" t="n">
        <x:v>0.6355</x:v>
      </x:c>
      <x:c r="H65" s="60" t="n">
        <x:v>5.92</x:v>
      </x:c>
      <x:c r="I65" s="60" t="n">
        <x:v>5.92</x:v>
      </x:c>
      <x:c r="J65" s="59" t="n">
        <x:v>268.85503</x:v>
      </x:c>
      <x:c r="K65" s="59" t="n">
        <x:v>-0.04496</x:v>
      </x:c>
      <x:c r="L65" s="60" t="n">
        <x:v>25.13</x:v>
      </x:c>
      <x:c r="M65" s="60" t="n">
        <x:v>0.63389</x:v>
      </x:c>
      <x:c r="N65" s="60" t="n">
        <x:v>1.69</x:v>
      </x:c>
      <x:c r="O65" s="60" t="n">
        <x:v>80</x:v>
      </x:c>
      <x:c r="P65" s="58" t="str">
        <x:v>PASS</x:v>
      </x:c>
      <x:c r="Q65" s="59" t="n">
        <x:v>0.555</x:v>
      </x:c>
      <x:c r="R65" s="59" t="n">
        <x:v>0.6449999999999999</x:v>
      </x:c>
      <x:c r="S65" s="58" t="str">
        <x:v>Yes</x:v>
      </x:c>
      <x:c r="T65" s="58" t="str">
        <x:v>Yes</x:v>
      </x:c>
      <x:c r="U65" s="58" t="str">
        <x:v>Yes</x:v>
      </x:c>
      <x:c r="V65" s="58" t="str">
        <x:v>Pasted text(59).txt</x:v>
      </x:c>
      <x:c r="W65" s="54" t="n">
        <x:f>ABS(K65)</x:f>
        <x:v>0.04496</x:v>
      </x:c>
      <x:c r="X65" s="54" t="n">
        <x:f>IF(AND(U65="Yes",E65="PASS"),I65,0)</x:f>
        <x:v>5.92</x:v>
      </x:c>
    </x:row>
    <x:row r="66" ht="30" customHeight="1">
      <x:c r="A66" s="58" t="str">
        <x:v>S15</x:v>
      </x:c>
      <x:c r="B66" s="58" t="str">
        <x:v>0.60 validation at 268.9 Hz</x:v>
      </x:c>
      <x:c r="C66" s="59" t="n">
        <x:v>0.6</x:v>
      </x:c>
      <x:c r="D66" s="58" t="n">
        <x:v>2</x:v>
      </x:c>
      <x:c r="E66" s="58" t="str">
        <x:v>PASS</x:v>
      </x:c>
      <x:c r="F66" s="59" t="n">
        <x:v>7</x:v>
      </x:c>
      <x:c r="G66" s="59" t="n">
        <x:v>0.60743</x:v>
      </x:c>
      <x:c r="H66" s="60" t="n">
        <x:v>1.24</x:v>
      </x:c>
      <x:c r="I66" s="60" t="n">
        <x:v>1.24</x:v>
      </x:c>
      <x:c r="J66" s="59" t="n">
        <x:v>268.86302</x:v>
      </x:c>
      <x:c r="K66" s="59" t="n">
        <x:v>-0.03698</x:v>
      </x:c>
      <x:c r="L66" s="60" t="n">
        <x:v>25.04</x:v>
      </x:c>
      <x:c r="M66" s="60" t="n">
        <x:v>0.62068</x:v>
      </x:c>
      <x:c r="N66" s="60" t="n">
        <x:v>1.74</x:v>
      </x:c>
      <x:c r="O66" s="60" t="n">
        <x:v>100</x:v>
      </x:c>
      <x:c r="P66" s="58" t="str">
        <x:v>PASS</x:v>
      </x:c>
      <x:c r="Q66" s="59" t="n">
        <x:v>0.555</x:v>
      </x:c>
      <x:c r="R66" s="59" t="n">
        <x:v>0.6449999999999999</x:v>
      </x:c>
      <x:c r="S66" s="58" t="str">
        <x:v>Yes</x:v>
      </x:c>
      <x:c r="T66" s="58" t="str">
        <x:v>Yes</x:v>
      </x:c>
      <x:c r="U66" s="58" t="str">
        <x:v>Yes</x:v>
      </x:c>
      <x:c r="V66" s="58" t="str">
        <x:v>Pasted text(59).txt</x:v>
      </x:c>
      <x:c r="W66" s="54" t="n">
        <x:f>ABS(K66)</x:f>
        <x:v>0.03698</x:v>
      </x:c>
      <x:c r="X66" s="54" t="n">
        <x:f>IF(AND(U66="Yes",E66="PASS"),I66,0)</x:f>
        <x:v>1.24</x:v>
      </x:c>
    </x:row>
    <x:row r="67" ht="30" customHeight="1">
      <x:c r="A67" s="58" t="str">
        <x:v>S15</x:v>
      </x:c>
      <x:c r="B67" s="58" t="str">
        <x:v>0.60 validation at 268.9 Hz</x:v>
      </x:c>
      <x:c r="C67" s="59" t="n">
        <x:v>0.6</x:v>
      </x:c>
      <x:c r="D67" s="58" t="n">
        <x:v>3</x:v>
      </x:c>
      <x:c r="E67" s="58" t="str">
        <x:v>PASS</x:v>
      </x:c>
      <x:c r="F67" s="59" t="n">
        <x:v>7</x:v>
      </x:c>
      <x:c r="G67" s="59" t="n">
        <x:v>0.63062</x:v>
      </x:c>
      <x:c r="H67" s="60" t="n">
        <x:v>5.1</x:v>
      </x:c>
      <x:c r="I67" s="60" t="n">
        <x:v>5.1</x:v>
      </x:c>
      <x:c r="J67" s="59" t="n">
        <x:v>268.85728</x:v>
      </x:c>
      <x:c r="K67" s="59" t="n">
        <x:v>-0.04271</x:v>
      </x:c>
      <x:c r="L67" s="60" t="n">
        <x:v>24.8</x:v>
      </x:c>
      <x:c r="M67" s="60" t="n">
        <x:v>0.62385</x:v>
      </x:c>
      <x:c r="N67" s="60" t="n">
        <x:v>1.38</x:v>
      </x:c>
      <x:c r="O67" s="60" t="n">
        <x:v>100</x:v>
      </x:c>
      <x:c r="P67" s="58" t="str">
        <x:v>PASS</x:v>
      </x:c>
      <x:c r="Q67" s="59" t="n">
        <x:v>0.555</x:v>
      </x:c>
      <x:c r="R67" s="59" t="n">
        <x:v>0.6449999999999999</x:v>
      </x:c>
      <x:c r="S67" s="58" t="str">
        <x:v>Yes</x:v>
      </x:c>
      <x:c r="T67" s="58" t="str">
        <x:v>Yes</x:v>
      </x:c>
      <x:c r="U67" s="58" t="str">
        <x:v>Yes</x:v>
      </x:c>
      <x:c r="V67" s="58" t="str">
        <x:v>Pasted text(59).txt</x:v>
      </x:c>
      <x:c r="W67" s="54" t="n">
        <x:f>ABS(K67)</x:f>
        <x:v>0.04271</x:v>
      </x:c>
      <x:c r="X67" s="54" t="n">
        <x:f>IF(AND(U67="Yes",E67="PASS"),I67,0)</x:f>
        <x:v>5.1</x:v>
      </x:c>
    </x:row>
    <x:row r="68" ht="30" customHeight="1">
      <x:c r="A68" s="58" t="str">
        <x:v>S15</x:v>
      </x:c>
      <x:c r="B68" s="58" t="str">
        <x:v>0.60 validation at 268.9 Hz</x:v>
      </x:c>
      <x:c r="C68" s="59" t="n">
        <x:v>0.6</x:v>
      </x:c>
      <x:c r="D68" s="58" t="n">
        <x:v>4</x:v>
      </x:c>
      <x:c r="E68" s="58" t="str">
        <x:v>PASS</x:v>
      </x:c>
      <x:c r="F68" s="59" t="n">
        <x:v>6.75</x:v>
      </x:c>
      <x:c r="G68" s="59" t="n">
        <x:v>0.59016</x:v>
      </x:c>
      <x:c r="H68" s="60" t="n">
        <x:v>-1.64</x:v>
      </x:c>
      <x:c r="I68" s="60" t="n">
        <x:v>1.64</x:v>
      </x:c>
      <x:c r="J68" s="59" t="n">
        <x:v>268.85989</x:v>
      </x:c>
      <x:c r="K68" s="59" t="n">
        <x:v>-0.0401</x:v>
      </x:c>
      <x:c r="L68" s="60" t="n">
        <x:v>24.44</x:v>
      </x:c>
      <x:c r="M68" s="60" t="n">
        <x:v>0.59604</x:v>
      </x:c>
      <x:c r="N68" s="60" t="n">
        <x:v>2.5</x:v>
      </x:c>
      <x:c r="O68" s="60" t="n">
        <x:v>100</x:v>
      </x:c>
      <x:c r="P68" s="58" t="str">
        <x:v>PASS</x:v>
      </x:c>
      <x:c r="Q68" s="59" t="n">
        <x:v>0.555</x:v>
      </x:c>
      <x:c r="R68" s="59" t="n">
        <x:v>0.6449999999999999</x:v>
      </x:c>
      <x:c r="S68" s="58" t="str">
        <x:v>Yes</x:v>
      </x:c>
      <x:c r="T68" s="58" t="str">
        <x:v>Yes</x:v>
      </x:c>
      <x:c r="U68" s="58" t="str">
        <x:v>Yes</x:v>
      </x:c>
      <x:c r="V68" s="58" t="str">
        <x:v>Pasted text(59).txt</x:v>
      </x:c>
      <x:c r="W68" s="54" t="n">
        <x:f>ABS(K68)</x:f>
        <x:v>0.0401</x:v>
      </x:c>
      <x:c r="X68" s="54" t="n">
        <x:f>IF(AND(U68="Yes",E68="PASS"),I68,0)</x:f>
        <x:v>1.64</x:v>
      </x:c>
    </x:row>
    <x:row r="69" ht="30" customHeight="1">
      <x:c r="A69" s="58" t="str">
        <x:v>S15</x:v>
      </x:c>
      <x:c r="B69" s="58" t="str">
        <x:v>0.60 validation at 268.9 Hz</x:v>
      </x:c>
      <x:c r="C69" s="59" t="n">
        <x:v>0.6</x:v>
      </x:c>
      <x:c r="D69" s="58" t="n">
        <x:v>5</x:v>
      </x:c>
      <x:c r="E69" s="58" t="str">
        <x:v>PASS</x:v>
      </x:c>
      <x:c r="F69" s="59" t="n">
        <x:v>7</x:v>
      </x:c>
      <x:c r="G69" s="59" t="n">
        <x:v>0.62642</x:v>
      </x:c>
      <x:c r="H69" s="60" t="n">
        <x:v>4.4</x:v>
      </x:c>
      <x:c r="I69" s="60" t="n">
        <x:v>4.4</x:v>
      </x:c>
      <x:c r="J69" s="59" t="n">
        <x:v>268.85785</x:v>
      </x:c>
      <x:c r="K69" s="59" t="n">
        <x:v>-0.04214</x:v>
      </x:c>
      <x:c r="L69" s="60" t="n">
        <x:v>24.93</x:v>
      </x:c>
      <x:c r="M69" s="60" t="n">
        <x:v>0.60908</x:v>
      </x:c>
      <x:c r="N69" s="60" t="n">
        <x:v>1.78</x:v>
      </x:c>
      <x:c r="O69" s="60" t="n">
        <x:v>100</x:v>
      </x:c>
      <x:c r="P69" s="58" t="str">
        <x:v>PASS</x:v>
      </x:c>
      <x:c r="Q69" s="59" t="n">
        <x:v>0.555</x:v>
      </x:c>
      <x:c r="R69" s="59" t="n">
        <x:v>0.6449999999999999</x:v>
      </x:c>
      <x:c r="S69" s="58" t="str">
        <x:v>Yes</x:v>
      </x:c>
      <x:c r="T69" s="58" t="str">
        <x:v>Yes</x:v>
      </x:c>
      <x:c r="U69" s="58" t="str">
        <x:v>Yes</x:v>
      </x:c>
      <x:c r="V69" s="58" t="str">
        <x:v>Pasted text(59).txt</x:v>
      </x:c>
      <x:c r="W69" s="54" t="n">
        <x:f>ABS(K69)</x:f>
        <x:v>0.04214</x:v>
      </x:c>
      <x:c r="X69" s="54" t="n">
        <x:f>IF(AND(U69="Yes",E69="PASS"),I69,0)</x:f>
        <x:v>4.4</x:v>
      </x:c>
    </x:row>
    <x:row r="70" ht="30" customHeight="1">
      <x:c r="A70" s="58" t="str">
        <x:v>S16</x:v>
      </x:c>
      <x:c r="B70" s="58" t="str">
        <x:v>26 Hz interrupted test</x:v>
      </x:c>
      <x:c r="C70" s="59" t="n">
        <x:v>0.79</x:v>
      </x:c>
      <x:c r="D70" s="58" t="n">
        <x:v>1</x:v>
      </x:c>
      <x:c r="E70" s="58" t="str">
        <x:v>FAIL</x:v>
      </x:c>
      <x:c r="F70" s="59" t="n">
        <x:v>0</x:v>
      </x:c>
      <x:c r="G70" s="59" t="n">
        <x:v>0</x:v>
      </x:c>
      <x:c r="H70" s="60" t="n">
        <x:v>0</x:v>
      </x:c>
      <x:c r="I70" s="60" t="n">
        <x:v>0</x:v>
      </x:c>
      <x:c r="J70" s="59" t="n">
        <x:v>0</x:v>
      </x:c>
      <x:c r="K70" s="59" t="n">
        <x:v>0</x:v>
      </x:c>
      <x:c r="L70" s="60" t="n">
        <x:v>0</x:v>
      </x:c>
      <x:c r="M70" s="60" t="n">
        <x:v>0</x:v>
      </x:c>
      <x:c r="N70" s="60" t="n">
        <x:v>0</x:v>
      </x:c>
      <x:c r="O70" s="60" t="n">
        <x:v>0</x:v>
      </x:c>
      <x:c r="P70" s="58" t="str">
        <x:v>ESP32 rebooted before completion; no final validation summary</x:v>
      </x:c>
      <x:c r="Q70" s="59" t="n">
        <x:v>0.7307500000000001</x:v>
      </x:c>
      <x:c r="R70" s="59" t="n">
        <x:v>0.84925</x:v>
      </x:c>
      <x:c r="S70" s="58" t="str">
        <x:v>No</x:v>
      </x:c>
      <x:c r="T70" s="58" t="str">
        <x:v>No</x:v>
      </x:c>
      <x:c r="U70" s="58" t="str">
        <x:v>No</x:v>
      </x:c>
      <x:c r="V70" s="58" t="str">
        <x:v>Pasted text(59).txt</x:v>
      </x:c>
      <x:c r="W70" s="54" t="n">
        <x:f>ABS(K70)</x:f>
        <x:v>0</x:v>
      </x:c>
      <x:c r="X70" s="54" t="n">
        <x:f>IF(AND(U70="Yes",E70="PASS"),I70,0)</x:f>
        <x:v>0</x:v>
      </x:c>
    </x:row>
    <x:row r="71" ht="30" customHeight="1">
      <x:c r="A71" s="58" t="str">
        <x:v>S17</x:v>
      </x:c>
      <x:c r="B71" s="58" t="str">
        <x:v>0.75 validation at 268.8 Hz — high-gain/quantization limitation</x:v>
      </x:c>
      <x:c r="C71" s="59" t="n">
        <x:v>0.75</x:v>
      </x:c>
      <x:c r="D71" s="58" t="n">
        <x:v>1</x:v>
      </x:c>
      <x:c r="E71" s="58" t="str">
        <x:v>FAIL</x:v>
      </x:c>
      <x:c r="F71" s="59" t="n">
        <x:v>0</x:v>
      </x:c>
      <x:c r="G71" s="59" t="n">
        <x:v>0</x:v>
      </x:c>
      <x:c r="H71" s="60" t="n">
        <x:v>0</x:v>
      </x:c>
      <x:c r="I71" s="60" t="n">
        <x:v>0</x:v>
      </x:c>
      <x:c r="J71" s="59" t="n">
        <x:v>0</x:v>
      </x:c>
      <x:c r="K71" s="59" t="n">
        <x:v>0</x:v>
      </x:c>
      <x:c r="L71" s="60" t="n">
        <x:v>0</x:v>
      </x:c>
      <x:c r="M71" s="60" t="n">
        <x:v>0</x:v>
      </x:c>
      <x:c r="N71" s="60" t="n">
        <x:v>0</x:v>
      </x:c>
      <x:c r="O71" s="60" t="n">
        <x:v>0</x:v>
      </x:c>
      <x:c r="P71" s="58" t="str">
        <x:v>X target exceeded at first reliable DAC; reduce amplifier knob</x:v>
      </x:c>
      <x:c r="Q71" s="59" t="n">
        <x:v>0.6937500000000001</x:v>
      </x:c>
      <x:c r="R71" s="59" t="n">
        <x:v>0.8062499999999999</x:v>
      </x:c>
      <x:c r="S71" s="58" t="str">
        <x:v>No</x:v>
      </x:c>
      <x:c r="T71" s="58" t="str">
        <x:v>No</x:v>
      </x:c>
      <x:c r="U71" s="58" t="str">
        <x:v>No</x:v>
      </x:c>
      <x:c r="V71" s="58" t="str">
        <x:v>Pasted text(59).txt</x:v>
      </x:c>
      <x:c r="W71" s="54" t="n">
        <x:f>ABS(K71)</x:f>
        <x:v>0</x:v>
      </x:c>
      <x:c r="X71" s="54" t="n">
        <x:f>IF(AND(U71="Yes",E71="PASS"),I71,0)</x:f>
        <x:v>0</x:v>
      </x:c>
    </x:row>
    <x:row r="72" ht="30" customHeight="1">
      <x:c r="A72" s="58" t="str">
        <x:v>S17</x:v>
      </x:c>
      <x:c r="B72" s="58" t="str">
        <x:v>0.75 validation at 268.8 Hz — high-gain/quantization limitation</x:v>
      </x:c>
      <x:c r="C72" s="59" t="n">
        <x:v>0.75</x:v>
      </x:c>
      <x:c r="D72" s="58" t="n">
        <x:v>2</x:v>
      </x:c>
      <x:c r="E72" s="58" t="str">
        <x:v>PASS</x:v>
      </x:c>
      <x:c r="F72" s="59" t="n">
        <x:v>3.25</x:v>
      </x:c>
      <x:c r="G72" s="59" t="n">
        <x:v>0.75615</x:v>
      </x:c>
      <x:c r="H72" s="60" t="n">
        <x:v>0.82</x:v>
      </x:c>
      <x:c r="I72" s="60" t="n">
        <x:v>0.82</x:v>
      </x:c>
      <x:c r="J72" s="59" t="n">
        <x:v>268.78334</x:v>
      </x:c>
      <x:c r="K72" s="59" t="n">
        <x:v>-0.01664</x:v>
      </x:c>
      <x:c r="L72" s="60" t="n">
        <x:v>21.5</x:v>
      </x:c>
      <x:c r="M72" s="60" t="n">
        <x:v>0.74509</x:v>
      </x:c>
      <x:c r="N72" s="60" t="n">
        <x:v>1.8</x:v>
      </x:c>
      <x:c r="O72" s="60" t="n">
        <x:v>100</x:v>
      </x:c>
      <x:c r="P72" s="58" t="str">
        <x:v>PASS</x:v>
      </x:c>
      <x:c r="Q72" s="59" t="n">
        <x:v>0.6937500000000001</x:v>
      </x:c>
      <x:c r="R72" s="59" t="n">
        <x:v>0.8062499999999999</x:v>
      </x:c>
      <x:c r="S72" s="58" t="str">
        <x:v>Yes</x:v>
      </x:c>
      <x:c r="T72" s="58" t="str">
        <x:v>Yes</x:v>
      </x:c>
      <x:c r="U72" s="58" t="str">
        <x:v>No</x:v>
      </x:c>
      <x:c r="V72" s="58" t="str">
        <x:v>Pasted text(59).txt</x:v>
      </x:c>
      <x:c r="W72" s="54" t="n">
        <x:f>ABS(K72)</x:f>
        <x:v>0.01664</x:v>
      </x:c>
      <x:c r="X72" s="54" t="n">
        <x:f>IF(AND(U72="Yes",E72="PASS"),I72,0)</x:f>
        <x:v>0</x:v>
      </x:c>
    </x:row>
    <x:row r="73" ht="30" customHeight="1">
      <x:c r="A73" s="58" t="str">
        <x:v>S17</x:v>
      </x:c>
      <x:c r="B73" s="58" t="str">
        <x:v>0.75 validation at 268.8 Hz — high-gain/quantization limitation</x:v>
      </x:c>
      <x:c r="C73" s="59" t="n">
        <x:v>0.75</x:v>
      </x:c>
      <x:c r="D73" s="58" t="n">
        <x:v>3</x:v>
      </x:c>
      <x:c r="E73" s="58" t="str">
        <x:v>FAIL</x:v>
      </x:c>
      <x:c r="F73" s="59" t="n">
        <x:v>0</x:v>
      </x:c>
      <x:c r="G73" s="59" t="n">
        <x:v>0</x:v>
      </x:c>
      <x:c r="H73" s="60" t="n">
        <x:v>0</x:v>
      </x:c>
      <x:c r="I73" s="60" t="n">
        <x:v>0</x:v>
      </x:c>
      <x:c r="J73" s="59" t="n">
        <x:v>0</x:v>
      </x:c>
      <x:c r="K73" s="59" t="n">
        <x:v>0</x:v>
      </x:c>
      <x:c r="L73" s="60" t="n">
        <x:v>0</x:v>
      </x:c>
      <x:c r="M73" s="60" t="n">
        <x:v>0</x:v>
      </x:c>
      <x:c r="N73" s="60" t="n">
        <x:v>0</x:v>
      </x:c>
      <x:c r="O73" s="60" t="n">
        <x:v>0</x:v>
      </x:c>
      <x:c r="P73" s="58" t="str">
        <x:v>No repeatable in-band X point in local 0.25-DAC scan</x:v>
      </x:c>
      <x:c r="Q73" s="59" t="n">
        <x:v>0.6937500000000001</x:v>
      </x:c>
      <x:c r="R73" s="59" t="n">
        <x:v>0.8062499999999999</x:v>
      </x:c>
      <x:c r="S73" s="58" t="str">
        <x:v>No</x:v>
      </x:c>
      <x:c r="T73" s="58" t="str">
        <x:v>No</x:v>
      </x:c>
      <x:c r="U73" s="58" t="str">
        <x:v>No</x:v>
      </x:c>
      <x:c r="V73" s="58" t="str">
        <x:v>Pasted text(59).txt</x:v>
      </x:c>
      <x:c r="W73" s="54" t="n">
        <x:f>ABS(K73)</x:f>
        <x:v>0</x:v>
      </x:c>
      <x:c r="X73" s="54" t="n">
        <x:f>IF(AND(U73="Yes",E73="PASS"),I73,0)</x:f>
        <x:v>0</x:v>
      </x:c>
    </x:row>
    <x:row r="74" ht="30" customHeight="1">
      <x:c r="A74" s="58" t="str">
        <x:v>S17</x:v>
      </x:c>
      <x:c r="B74" s="58" t="str">
        <x:v>0.75 validation at 268.8 Hz — high-gain/quantization limitation</x:v>
      </x:c>
      <x:c r="C74" s="59" t="n">
        <x:v>0.75</x:v>
      </x:c>
      <x:c r="D74" s="58" t="n">
        <x:v>4</x:v>
      </x:c>
      <x:c r="E74" s="58" t="str">
        <x:v>PASS</x:v>
      </x:c>
      <x:c r="F74" s="59" t="n">
        <x:v>3</x:v>
      </x:c>
      <x:c r="G74" s="59" t="n">
        <x:v>0.78606</x:v>
      </x:c>
      <x:c r="H74" s="60" t="n">
        <x:v>4.81</x:v>
      </x:c>
      <x:c r="I74" s="60" t="n">
        <x:v>4.81</x:v>
      </x:c>
      <x:c r="J74" s="59" t="n">
        <x:v>268.78258</x:v>
      </x:c>
      <x:c r="K74" s="59" t="n">
        <x:v>-0.01741</x:v>
      </x:c>
      <x:c r="L74" s="60" t="n">
        <x:v>20.8</x:v>
      </x:c>
      <x:c r="M74" s="60" t="n">
        <x:v>0.78249</x:v>
      </x:c>
      <x:c r="N74" s="60" t="n">
        <x:v>2.02</x:v>
      </x:c>
      <x:c r="O74" s="60" t="n">
        <x:v>100</x:v>
      </x:c>
      <x:c r="P74" s="58" t="str">
        <x:v>PASS</x:v>
      </x:c>
      <x:c r="Q74" s="59" t="n">
        <x:v>0.6937500000000001</x:v>
      </x:c>
      <x:c r="R74" s="59" t="n">
        <x:v>0.8062499999999999</x:v>
      </x:c>
      <x:c r="S74" s="58" t="str">
        <x:v>Yes</x:v>
      </x:c>
      <x:c r="T74" s="58" t="str">
        <x:v>Yes</x:v>
      </x:c>
      <x:c r="U74" s="58" t="str">
        <x:v>No</x:v>
      </x:c>
      <x:c r="V74" s="58" t="str">
        <x:v>Pasted text(59).txt</x:v>
      </x:c>
      <x:c r="W74" s="54" t="n">
        <x:f>ABS(K74)</x:f>
        <x:v>0.01741</x:v>
      </x:c>
      <x:c r="X74" s="54" t="n">
        <x:f>IF(AND(U74="Yes",E74="PASS"),I74,0)</x:f>
        <x:v>0</x:v>
      </x:c>
    </x:row>
    <x:row r="75" ht="30" customHeight="1">
      <x:c r="A75" s="58" t="str">
        <x:v>S17</x:v>
      </x:c>
      <x:c r="B75" s="58" t="str">
        <x:v>0.75 validation at 268.8 Hz — high-gain/quantization limitation</x:v>
      </x:c>
      <x:c r="C75" s="59" t="n">
        <x:v>0.75</x:v>
      </x:c>
      <x:c r="D75" s="58" t="n">
        <x:v>5</x:v>
      </x:c>
      <x:c r="E75" s="58" t="str">
        <x:v>PASS</x:v>
      </x:c>
      <x:c r="F75" s="59" t="n">
        <x:v>3</x:v>
      </x:c>
      <x:c r="G75" s="59" t="n">
        <x:v>0.79475</x:v>
      </x:c>
      <x:c r="H75" s="60" t="n">
        <x:v>5.97</x:v>
      </x:c>
      <x:c r="I75" s="60" t="n">
        <x:v>5.97</x:v>
      </x:c>
      <x:c r="J75" s="59" t="n">
        <x:v>268.77822</x:v>
      </x:c>
      <x:c r="K75" s="59" t="n">
        <x:v>-0.02177</x:v>
      </x:c>
      <x:c r="L75" s="60" t="n">
        <x:v>20.6</x:v>
      </x:c>
      <x:c r="M75" s="60" t="n">
        <x:v>0.78512</x:v>
      </x:c>
      <x:c r="N75" s="60" t="n">
        <x:v>2.59</x:v>
      </x:c>
      <x:c r="O75" s="60" t="n">
        <x:v>90</x:v>
      </x:c>
      <x:c r="P75" s="58" t="str">
        <x:v>PASS</x:v>
      </x:c>
      <x:c r="Q75" s="59" t="n">
        <x:v>0.6937500000000001</x:v>
      </x:c>
      <x:c r="R75" s="59" t="n">
        <x:v>0.8062499999999999</x:v>
      </x:c>
      <x:c r="S75" s="58" t="str">
        <x:v>Yes</x:v>
      </x:c>
      <x:c r="T75" s="58" t="str">
        <x:v>Yes</x:v>
      </x:c>
      <x:c r="U75" s="58" t="str">
        <x:v>No</x:v>
      </x:c>
      <x:c r="V75" s="58" t="str">
        <x:v>Pasted text(59).txt</x:v>
      </x:c>
      <x:c r="W75" s="54" t="n">
        <x:f>ABS(K75)</x:f>
        <x:v>0.02177</x:v>
      </x:c>
      <x:c r="X75" s="54" t="n">
        <x:f>IF(AND(U75="Yes",E75="PASS"),I75,0)</x:f>
        <x:v>0</x:v>
      </x:c>
    </x:row>
    <x:row r="76" ht="30" customHeight="1">
      <x:c r="A76" s="58" t="str">
        <x:v>S18</x:v>
      </x:c>
      <x:c r="B76" s="58" t="str">
        <x:v>0.75 validated session at 268 Hz</x:v>
      </x:c>
      <x:c r="C76" s="59" t="n">
        <x:v>0.75</x:v>
      </x:c>
      <x:c r="D76" s="58" t="n">
        <x:v>1</x:v>
      </x:c>
      <x:c r="E76" s="58" t="str">
        <x:v>PASS</x:v>
      </x:c>
      <x:c r="F76" s="59" t="n">
        <x:v>6.75</x:v>
      </x:c>
      <x:c r="G76" s="59" t="n">
        <x:v>0.7938</x:v>
      </x:c>
      <x:c r="H76" s="60" t="n">
        <x:v>5.84</x:v>
      </x:c>
      <x:c r="I76" s="60" t="n">
        <x:v>5.84</x:v>
      </x:c>
      <x:c r="J76" s="59" t="n">
        <x:v>268.03484</x:v>
      </x:c>
      <x:c r="K76" s="59" t="n">
        <x:v>0.03484</x:v>
      </x:c>
      <x:c r="L76" s="60" t="n">
        <x:v>26.3</x:v>
      </x:c>
      <x:c r="M76" s="60" t="n">
        <x:v>0.76983</x:v>
      </x:c>
      <x:c r="N76" s="60" t="n">
        <x:v>1.43</x:v>
      </x:c>
      <x:c r="O76" s="60" t="n">
        <x:v>100</x:v>
      </x:c>
      <x:c r="P76" s="58" t="str">
        <x:v>PASS</x:v>
      </x:c>
      <x:c r="Q76" s="59" t="n">
        <x:v>0.6937500000000001</x:v>
      </x:c>
      <x:c r="R76" s="59" t="n">
        <x:v>0.8062499999999999</x:v>
      </x:c>
      <x:c r="S76" s="58" t="str">
        <x:v>Yes</x:v>
      </x:c>
      <x:c r="T76" s="58" t="str">
        <x:v>Yes</x:v>
      </x:c>
      <x:c r="U76" s="58" t="str">
        <x:v>Yes</x:v>
      </x:c>
      <x:c r="V76" s="58" t="str">
        <x:v>Pasted text(59).txt</x:v>
      </x:c>
      <x:c r="W76" s="54" t="n">
        <x:f>ABS(K76)</x:f>
        <x:v>0.03484</x:v>
      </x:c>
      <x:c r="X76" s="54" t="n">
        <x:f>IF(AND(U76="Yes",E76="PASS"),I76,0)</x:f>
        <x:v>5.84</x:v>
      </x:c>
    </x:row>
    <x:row r="77" ht="30" customHeight="1">
      <x:c r="A77" s="58" t="str">
        <x:v>S18</x:v>
      </x:c>
      <x:c r="B77" s="58" t="str">
        <x:v>0.75 validated session at 268 Hz</x:v>
      </x:c>
      <x:c r="C77" s="59" t="n">
        <x:v>0.75</x:v>
      </x:c>
      <x:c r="D77" s="58" t="n">
        <x:v>2</x:v>
      </x:c>
      <x:c r="E77" s="58" t="str">
        <x:v>PASS</x:v>
      </x:c>
      <x:c r="F77" s="59" t="n">
        <x:v>7.75</x:v>
      </x:c>
      <x:c r="G77" s="59" t="n">
        <x:v>0.77332</x:v>
      </x:c>
      <x:c r="H77" s="60" t="n">
        <x:v>3.11</x:v>
      </x:c>
      <x:c r="I77" s="60" t="n">
        <x:v>3.11</x:v>
      </x:c>
      <x:c r="J77" s="59" t="n">
        <x:v>268.01496</x:v>
      </x:c>
      <x:c r="K77" s="59" t="n">
        <x:v>0.01496</x:v>
      </x:c>
      <x:c r="L77" s="60" t="n">
        <x:v>26.16</x:v>
      </x:c>
      <x:c r="M77" s="60" t="n">
        <x:v>0.78027</x:v>
      </x:c>
      <x:c r="N77" s="60" t="n">
        <x:v>1.65</x:v>
      </x:c>
      <x:c r="O77" s="60" t="n">
        <x:v>100</x:v>
      </x:c>
      <x:c r="P77" s="58" t="str">
        <x:v>PASS</x:v>
      </x:c>
      <x:c r="Q77" s="59" t="n">
        <x:v>0.6937500000000001</x:v>
      </x:c>
      <x:c r="R77" s="59" t="n">
        <x:v>0.8062499999999999</x:v>
      </x:c>
      <x:c r="S77" s="58" t="str">
        <x:v>Yes</x:v>
      </x:c>
      <x:c r="T77" s="58" t="str">
        <x:v>Yes</x:v>
      </x:c>
      <x:c r="U77" s="58" t="str">
        <x:v>Yes</x:v>
      </x:c>
      <x:c r="V77" s="58" t="str">
        <x:v>Pasted text(59).txt</x:v>
      </x:c>
      <x:c r="W77" s="54" t="n">
        <x:f>ABS(K77)</x:f>
        <x:v>0.01496</x:v>
      </x:c>
      <x:c r="X77" s="54" t="n">
        <x:f>IF(AND(U77="Yes",E77="PASS"),I77,0)</x:f>
        <x:v>3.11</x:v>
      </x:c>
    </x:row>
    <x:row r="78" ht="30" customHeight="1">
      <x:c r="A78" s="58" t="str">
        <x:v>S18</x:v>
      </x:c>
      <x:c r="B78" s="58" t="str">
        <x:v>0.75 validated session at 268 Hz</x:v>
      </x:c>
      <x:c r="C78" s="59" t="n">
        <x:v>0.75</x:v>
      </x:c>
      <x:c r="D78" s="58" t="n">
        <x:v>3</x:v>
      </x:c>
      <x:c r="E78" s="58" t="str">
        <x:v>PASS</x:v>
      </x:c>
      <x:c r="F78" s="59" t="n">
        <x:v>7.5</x:v>
      </x:c>
      <x:c r="G78" s="59" t="n">
        <x:v>0.70798</x:v>
      </x:c>
      <x:c r="H78" s="60" t="n">
        <x:v>-5.6</x:v>
      </x:c>
      <x:c r="I78" s="60" t="n">
        <x:v>5.6</x:v>
      </x:c>
      <x:c r="J78" s="59" t="n">
        <x:v>268.0122</x:v>
      </x:c>
      <x:c r="K78" s="59" t="n">
        <x:v>0.0122</x:v>
      </x:c>
      <x:c r="L78" s="60" t="n">
        <x:v>25.68</x:v>
      </x:c>
      <x:c r="M78" s="60" t="n">
        <x:v>0.7096</x:v>
      </x:c>
      <x:c r="N78" s="60" t="n">
        <x:v>2.08</x:v>
      </x:c>
      <x:c r="O78" s="60" t="n">
        <x:v>90</x:v>
      </x:c>
      <x:c r="P78" s="58" t="str">
        <x:v>PASS</x:v>
      </x:c>
      <x:c r="Q78" s="59" t="n">
        <x:v>0.6937500000000001</x:v>
      </x:c>
      <x:c r="R78" s="59" t="n">
        <x:v>0.8062499999999999</x:v>
      </x:c>
      <x:c r="S78" s="58" t="str">
        <x:v>Yes</x:v>
      </x:c>
      <x:c r="T78" s="58" t="str">
        <x:v>Yes</x:v>
      </x:c>
      <x:c r="U78" s="58" t="str">
        <x:v>Yes</x:v>
      </x:c>
      <x:c r="V78" s="58" t="str">
        <x:v>Pasted text(59).txt</x:v>
      </x:c>
      <x:c r="W78" s="54" t="n">
        <x:f>ABS(K78)</x:f>
        <x:v>0.0122</x:v>
      </x:c>
      <x:c r="X78" s="54" t="n">
        <x:f>IF(AND(U78="Yes",E78="PASS"),I78,0)</x:f>
        <x:v>5.6</x:v>
      </x:c>
    </x:row>
    <x:row r="79" ht="30" customHeight="1">
      <x:c r="A79" s="58" t="str">
        <x:v>S18</x:v>
      </x:c>
      <x:c r="B79" s="58" t="str">
        <x:v>0.75 validated session at 268 Hz</x:v>
      </x:c>
      <x:c r="C79" s="59" t="n">
        <x:v>0.75</x:v>
      </x:c>
      <x:c r="D79" s="58" t="n">
        <x:v>4</x:v>
      </x:c>
      <x:c r="E79" s="58" t="str">
        <x:v>PASS</x:v>
      </x:c>
      <x:c r="F79" s="59" t="n">
        <x:v>7.75</x:v>
      </x:c>
      <x:c r="G79" s="59" t="n">
        <x:v>0.76142</x:v>
      </x:c>
      <x:c r="H79" s="60" t="n">
        <x:v>1.52</x:v>
      </x:c>
      <x:c r="I79" s="60" t="n">
        <x:v>1.52</x:v>
      </x:c>
      <x:c r="J79" s="59" t="n">
        <x:v>268.05235</x:v>
      </x:c>
      <x:c r="K79" s="59" t="n">
        <x:v>0.05235</x:v>
      </x:c>
      <x:c r="L79" s="60" t="n">
        <x:v>25.79</x:v>
      </x:c>
      <x:c r="M79" s="60" t="n">
        <x:v>0.77124</x:v>
      </x:c>
      <x:c r="N79" s="60" t="n">
        <x:v>1.94</x:v>
      </x:c>
      <x:c r="O79" s="60" t="n">
        <x:v>100</x:v>
      </x:c>
      <x:c r="P79" s="58" t="str">
        <x:v>PASS</x:v>
      </x:c>
      <x:c r="Q79" s="59" t="n">
        <x:v>0.6937500000000001</x:v>
      </x:c>
      <x:c r="R79" s="59" t="n">
        <x:v>0.8062499999999999</x:v>
      </x:c>
      <x:c r="S79" s="58" t="str">
        <x:v>Yes</x:v>
      </x:c>
      <x:c r="T79" s="58" t="str">
        <x:v>Yes</x:v>
      </x:c>
      <x:c r="U79" s="58" t="str">
        <x:v>Yes</x:v>
      </x:c>
      <x:c r="V79" s="58" t="str">
        <x:v>Pasted text(59).txt</x:v>
      </x:c>
      <x:c r="W79" s="54" t="n">
        <x:f>ABS(K79)</x:f>
        <x:v>0.05235</x:v>
      </x:c>
      <x:c r="X79" s="54" t="n">
        <x:f>IF(AND(U79="Yes",E79="PASS"),I79,0)</x:f>
        <x:v>1.52</x:v>
      </x:c>
    </x:row>
    <x:row r="80" ht="30" customHeight="1">
      <x:c r="A80" s="58" t="str">
        <x:v>S18</x:v>
      </x:c>
      <x:c r="B80" s="58" t="str">
        <x:v>0.75 validated session at 268 Hz</x:v>
      </x:c>
      <x:c r="C80" s="59" t="n">
        <x:v>0.75</x:v>
      </x:c>
      <x:c r="D80" s="58" t="n">
        <x:v>5</x:v>
      </x:c>
      <x:c r="E80" s="58" t="str">
        <x:v>PASS</x:v>
      </x:c>
      <x:c r="F80" s="59" t="n">
        <x:v>7.75</x:v>
      </x:c>
      <x:c r="G80" s="59" t="n">
        <x:v>0.73952</x:v>
      </x:c>
      <x:c r="H80" s="60" t="n">
        <x:v>-1.4</x:v>
      </x:c>
      <x:c r="I80" s="60" t="n">
        <x:v>1.4</x:v>
      </x:c>
      <x:c r="J80" s="59" t="n">
        <x:v>268.01905</x:v>
      </x:c>
      <x:c r="K80" s="59" t="n">
        <x:v>0.01905</x:v>
      </x:c>
      <x:c r="L80" s="60" t="n">
        <x:v>26.07</x:v>
      </x:c>
      <x:c r="M80" s="60" t="n">
        <x:v>0.76159</x:v>
      </x:c>
      <x:c r="N80" s="60" t="n">
        <x:v>1.42</x:v>
      </x:c>
      <x:c r="O80" s="60" t="n">
        <x:v>100</x:v>
      </x:c>
      <x:c r="P80" s="58" t="str">
        <x:v>PASS</x:v>
      </x:c>
      <x:c r="Q80" s="59" t="n">
        <x:v>0.6937500000000001</x:v>
      </x:c>
      <x:c r="R80" s="59" t="n">
        <x:v>0.8062499999999999</x:v>
      </x:c>
      <x:c r="S80" s="58" t="str">
        <x:v>Yes</x:v>
      </x:c>
      <x:c r="T80" s="58" t="str">
        <x:v>Yes</x:v>
      </x:c>
      <x:c r="U80" s="58" t="str">
        <x:v>Yes</x:v>
      </x:c>
      <x:c r="V80" s="58" t="str">
        <x:v>Pasted text(59).txt</x:v>
      </x:c>
      <x:c r="W80" s="54" t="n">
        <x:f>ABS(K80)</x:f>
        <x:v>0.01905</x:v>
      </x:c>
      <x:c r="X80" s="54" t="n">
        <x:f>IF(AND(U80="Yes",E80="PASS"),I80,0)</x:f>
        <x:v>1.4</x:v>
      </x:c>
    </x:row>
    <x:row r="81" ht="30" customHeight="1">
      <x:c r="A81" s="58" t="str">
        <x:v>S19</x:v>
      </x:c>
      <x:c r="B81" s="58" t="str">
        <x:v>1.20 repeat-validation session at 268 Hz</x:v>
      </x:c>
      <x:c r="C81" s="59" t="n">
        <x:v>1.2</x:v>
      </x:c>
      <x:c r="D81" s="58" t="n">
        <x:v>1</x:v>
      </x:c>
      <x:c r="E81" s="58" t="str">
        <x:v>PASS</x:v>
      </x:c>
      <x:c r="F81" s="59" t="n">
        <x:v>11.75</x:v>
      </x:c>
      <x:c r="G81" s="59" t="n">
        <x:v>1.20244</x:v>
      </x:c>
      <x:c r="H81" s="60" t="n">
        <x:v>0.2</x:v>
      </x:c>
      <x:c r="I81" s="60" t="n">
        <x:v>0.2</x:v>
      </x:c>
      <x:c r="J81" s="59" t="n">
        <x:v>268.02465</x:v>
      </x:c>
      <x:c r="K81" s="59" t="n">
        <x:v>0.02465</x:v>
      </x:c>
      <x:c r="L81" s="60" t="n">
        <x:v>29.38</x:v>
      </x:c>
      <x:c r="M81" s="60" t="n">
        <x:v>1.20956</x:v>
      </x:c>
      <x:c r="N81" s="60" t="n">
        <x:v>1.31</x:v>
      </x:c>
      <x:c r="O81" s="60" t="n">
        <x:v>100</x:v>
      </x:c>
      <x:c r="P81" s="58" t="str">
        <x:v>PASS</x:v>
      </x:c>
      <x:c r="Q81" s="59" t="n">
        <x:v>1.11</x:v>
      </x:c>
      <x:c r="R81" s="59" t="n">
        <x:v>1.2899999999999998</x:v>
      </x:c>
      <x:c r="S81" s="58" t="str">
        <x:v>Yes</x:v>
      </x:c>
      <x:c r="T81" s="58" t="str">
        <x:v>Yes</x:v>
      </x:c>
      <x:c r="U81" s="58" t="str">
        <x:v>Yes</x:v>
      </x:c>
      <x:c r="V81" s="58" t="str">
        <x:v>Pasted text(59).txt</x:v>
      </x:c>
      <x:c r="W81" s="54" t="n">
        <x:f>ABS(K81)</x:f>
        <x:v>0.02465</x:v>
      </x:c>
      <x:c r="X81" s="54" t="n">
        <x:f>IF(AND(U81="Yes",E81="PASS"),I81,0)</x:f>
        <x:v>0.2</x:v>
      </x:c>
    </x:row>
    <x:row r="82" ht="30" customHeight="1">
      <x:c r="A82" s="58" t="str">
        <x:v>S19</x:v>
      </x:c>
      <x:c r="B82" s="58" t="str">
        <x:v>1.20 repeat-validation session at 268 Hz</x:v>
      </x:c>
      <x:c r="C82" s="59" t="n">
        <x:v>1.2</x:v>
      </x:c>
      <x:c r="D82" s="58" t="n">
        <x:v>2</x:v>
      </x:c>
      <x:c r="E82" s="58" t="str">
        <x:v>PASS</x:v>
      </x:c>
      <x:c r="F82" s="59" t="n">
        <x:v>11.5</x:v>
      </x:c>
      <x:c r="G82" s="59" t="n">
        <x:v>1.14302</x:v>
      </x:c>
      <x:c r="H82" s="60" t="n">
        <x:v>-4.75</x:v>
      </x:c>
      <x:c r="I82" s="60" t="n">
        <x:v>4.75</x:v>
      </x:c>
      <x:c r="J82" s="59" t="n">
        <x:v>268.03046</x:v>
      </x:c>
      <x:c r="K82" s="59" t="n">
        <x:v>0.03046</x:v>
      </x:c>
      <x:c r="L82" s="60" t="n">
        <x:v>29.09</x:v>
      </x:c>
      <x:c r="M82" s="60" t="n">
        <x:v>1.14519</x:v>
      </x:c>
      <x:c r="N82" s="60" t="n">
        <x:v>1.47</x:v>
      </x:c>
      <x:c r="O82" s="60" t="n">
        <x:v>100</x:v>
      </x:c>
      <x:c r="P82" s="58" t="str">
        <x:v>PASS</x:v>
      </x:c>
      <x:c r="Q82" s="59" t="n">
        <x:v>1.11</x:v>
      </x:c>
      <x:c r="R82" s="59" t="n">
        <x:v>1.2899999999999998</x:v>
      </x:c>
      <x:c r="S82" s="58" t="str">
        <x:v>Yes</x:v>
      </x:c>
      <x:c r="T82" s="58" t="str">
        <x:v>Yes</x:v>
      </x:c>
      <x:c r="U82" s="58" t="str">
        <x:v>Yes</x:v>
      </x:c>
      <x:c r="V82" s="58" t="str">
        <x:v>Pasted text(59).txt</x:v>
      </x:c>
      <x:c r="W82" s="54" t="n">
        <x:f>ABS(K82)</x:f>
        <x:v>0.03046</x:v>
      </x:c>
      <x:c r="X82" s="54" t="n">
        <x:f>IF(AND(U82="Yes",E82="PASS"),I82,0)</x:f>
        <x:v>4.75</x:v>
      </x:c>
    </x:row>
    <x:row r="83" ht="30" customHeight="1">
      <x:c r="A83" s="58" t="str">
        <x:v>S19</x:v>
      </x:c>
      <x:c r="B83" s="58" t="str">
        <x:v>1.20 repeat-validation session at 268 Hz</x:v>
      </x:c>
      <x:c r="C83" s="59" t="n">
        <x:v>1.2</x:v>
      </x:c>
      <x:c r="D83" s="58" t="n">
        <x:v>3</x:v>
      </x:c>
      <x:c r="E83" s="58" t="str">
        <x:v>PASS</x:v>
      </x:c>
      <x:c r="F83" s="59" t="n">
        <x:v>11.75</x:v>
      </x:c>
      <x:c r="G83" s="59" t="n">
        <x:v>1.20923</x:v>
      </x:c>
      <x:c r="H83" s="60" t="n">
        <x:v>0.77</x:v>
      </x:c>
      <x:c r="I83" s="60" t="n">
        <x:v>0.77</x:v>
      </x:c>
      <x:c r="J83" s="59" t="n">
        <x:v>268.02627</x:v>
      </x:c>
      <x:c r="K83" s="59" t="n">
        <x:v>0.02627</x:v>
      </x:c>
      <x:c r="L83" s="60" t="n">
        <x:v>29.18</x:v>
      </x:c>
      <x:c r="M83" s="60" t="n">
        <x:v>1.19942</x:v>
      </x:c>
      <x:c r="N83" s="60" t="n">
        <x:v>1.31</x:v>
      </x:c>
      <x:c r="O83" s="60" t="n">
        <x:v>100</x:v>
      </x:c>
      <x:c r="P83" s="58" t="str">
        <x:v>PASS</x:v>
      </x:c>
      <x:c r="Q83" s="59" t="n">
        <x:v>1.11</x:v>
      </x:c>
      <x:c r="R83" s="59" t="n">
        <x:v>1.2899999999999998</x:v>
      </x:c>
      <x:c r="S83" s="58" t="str">
        <x:v>Yes</x:v>
      </x:c>
      <x:c r="T83" s="58" t="str">
        <x:v>Yes</x:v>
      </x:c>
      <x:c r="U83" s="58" t="str">
        <x:v>Yes</x:v>
      </x:c>
      <x:c r="V83" s="58" t="str">
        <x:v>Pasted text(59).txt</x:v>
      </x:c>
      <x:c r="W83" s="54" t="n">
        <x:f>ABS(K83)</x:f>
        <x:v>0.02627</x:v>
      </x:c>
      <x:c r="X83" s="54" t="n">
        <x:f>IF(AND(U83="Yes",E83="PASS"),I83,0)</x:f>
        <x:v>0.77</x:v>
      </x:c>
    </x:row>
    <x:row r="84" ht="30" customHeight="1">
      <x:c r="A84" s="58" t="str">
        <x:v>S19</x:v>
      </x:c>
      <x:c r="B84" s="58" t="str">
        <x:v>1.20 repeat-validation session at 268 Hz</x:v>
      </x:c>
      <x:c r="C84" s="59" t="n">
        <x:v>1.2</x:v>
      </x:c>
      <x:c r="D84" s="58" t="n">
        <x:v>4</x:v>
      </x:c>
      <x:c r="E84" s="58" t="str">
        <x:v>PASS</x:v>
      </x:c>
      <x:c r="F84" s="59" t="n">
        <x:v>11.75</x:v>
      </x:c>
      <x:c r="G84" s="59" t="n">
        <x:v>1.191</x:v>
      </x:c>
      <x:c r="H84" s="60" t="n">
        <x:v>-0.75</x:v>
      </x:c>
      <x:c r="I84" s="60" t="n">
        <x:v>0.75</x:v>
      </x:c>
      <x:c r="J84" s="59" t="n">
        <x:v>268.02186</x:v>
      </x:c>
      <x:c r="K84" s="59" t="n">
        <x:v>0.02186</x:v>
      </x:c>
      <x:c r="L84" s="60" t="n">
        <x:v>29.37</x:v>
      </x:c>
      <x:c r="M84" s="60" t="n">
        <x:v>1.18676</x:v>
      </x:c>
      <x:c r="N84" s="60" t="n">
        <x:v>1.31</x:v>
      </x:c>
      <x:c r="O84" s="60" t="n">
        <x:v>100</x:v>
      </x:c>
      <x:c r="P84" s="58" t="str">
        <x:v>PASS</x:v>
      </x:c>
      <x:c r="Q84" s="59" t="n">
        <x:v>1.11</x:v>
      </x:c>
      <x:c r="R84" s="59" t="n">
        <x:v>1.2899999999999998</x:v>
      </x:c>
      <x:c r="S84" s="58" t="str">
        <x:v>Yes</x:v>
      </x:c>
      <x:c r="T84" s="58" t="str">
        <x:v>Yes</x:v>
      </x:c>
      <x:c r="U84" s="58" t="str">
        <x:v>Yes</x:v>
      </x:c>
      <x:c r="V84" s="58" t="str">
        <x:v>Pasted text(59).txt</x:v>
      </x:c>
      <x:c r="W84" s="54" t="n">
        <x:f>ABS(K84)</x:f>
        <x:v>0.02186</x:v>
      </x:c>
      <x:c r="X84" s="54" t="n">
        <x:f>IF(AND(U84="Yes",E84="PASS"),I84,0)</x:f>
        <x:v>0.75</x:v>
      </x:c>
    </x:row>
    <x:row r="85" ht="30" customHeight="1">
      <x:c r="A85" s="58" t="str">
        <x:v>S19</x:v>
      </x:c>
      <x:c r="B85" s="58" t="str">
        <x:v>1.20 repeat-validation session at 268 Hz</x:v>
      </x:c>
      <x:c r="C85" s="59" t="n">
        <x:v>1.2</x:v>
      </x:c>
      <x:c r="D85" s="58" t="n">
        <x:v>5</x:v>
      </x:c>
      <x:c r="E85" s="58" t="str">
        <x:v>PASS</x:v>
      </x:c>
      <x:c r="F85" s="59" t="n">
        <x:v>12.25</x:v>
      </x:c>
      <x:c r="G85" s="59" t="n">
        <x:v>1.17475</x:v>
      </x:c>
      <x:c r="H85" s="60" t="n">
        <x:v>-2.1</x:v>
      </x:c>
      <x:c r="I85" s="60" t="n">
        <x:v>2.1</x:v>
      </x:c>
      <x:c r="J85" s="59" t="n">
        <x:v>268.02529</x:v>
      </x:c>
      <x:c r="K85" s="59" t="n">
        <x:v>0.02529</x:v>
      </x:c>
      <x:c r="L85" s="60" t="n">
        <x:v>29.37</x:v>
      </x:c>
      <x:c r="M85" s="60" t="n">
        <x:v>1.19158</x:v>
      </x:c>
      <x:c r="N85" s="60" t="n">
        <x:v>2.19</x:v>
      </x:c>
      <x:c r="O85" s="60" t="n">
        <x:v>100</x:v>
      </x:c>
      <x:c r="P85" s="58" t="str">
        <x:v>PASS</x:v>
      </x:c>
      <x:c r="Q85" s="59" t="n">
        <x:v>1.11</x:v>
      </x:c>
      <x:c r="R85" s="59" t="n">
        <x:v>1.2899999999999998</x:v>
      </x:c>
      <x:c r="S85" s="58" t="str">
        <x:v>Yes</x:v>
      </x:c>
      <x:c r="T85" s="58" t="str">
        <x:v>Yes</x:v>
      </x:c>
      <x:c r="U85" s="58" t="str">
        <x:v>Yes</x:v>
      </x:c>
      <x:c r="V85" s="58" t="str">
        <x:v>Pasted text(59).txt</x:v>
      </x:c>
      <x:c r="W85" s="54" t="n">
        <x:f>ABS(K85)</x:f>
        <x:v>0.02529</x:v>
      </x:c>
      <x:c r="X85" s="54" t="n">
        <x:f>IF(AND(U85="Yes",E85="PASS"),I85,0)</x:f>
        <x:v>2.1</x:v>
      </x:c>
    </x:row>
    <x:row r="86" ht="30" customHeight="1">
      <x:c r="A86" s="58" t="str">
        <x:v>S20</x:v>
      </x:c>
      <x:c r="B86" s="58" t="str">
        <x:v>0.65 repeat-validation session at 268 Hz</x:v>
      </x:c>
      <x:c r="C86" s="59" t="n">
        <x:v>0.65</x:v>
      </x:c>
      <x:c r="D86" s="58" t="n">
        <x:v>1</x:v>
      </x:c>
      <x:c r="E86" s="58" t="str">
        <x:v>PASS</x:v>
      </x:c>
      <x:c r="F86" s="59" t="n">
        <x:v>8</x:v>
      </x:c>
      <x:c r="G86" s="59" t="n">
        <x:v>0.68577</x:v>
      </x:c>
      <x:c r="H86" s="60" t="n">
        <x:v>5.5</x:v>
      </x:c>
      <x:c r="I86" s="60" t="n">
        <x:v>5.5</x:v>
      </x:c>
      <x:c r="J86" s="59" t="n">
        <x:v>268.01777</x:v>
      </x:c>
      <x:c r="K86" s="59" t="n">
        <x:v>0.01777</x:v>
      </x:c>
      <x:c r="L86" s="60" t="n">
        <x:v>25.83</x:v>
      </x:c>
      <x:c r="M86" s="60" t="n">
        <x:v>0.68657</x:v>
      </x:c>
      <x:c r="N86" s="60" t="n">
        <x:v>1.53</x:v>
      </x:c>
      <x:c r="O86" s="60" t="n">
        <x:v>90</x:v>
      </x:c>
      <x:c r="P86" s="58" t="str">
        <x:v>PASS</x:v>
      </x:c>
      <x:c r="Q86" s="59" t="n">
        <x:v>0.6012500000000001</x:v>
      </x:c>
      <x:c r="R86" s="59" t="n">
        <x:v>0.69875</x:v>
      </x:c>
      <x:c r="S86" s="58" t="str">
        <x:v>Yes</x:v>
      </x:c>
      <x:c r="T86" s="58" t="str">
        <x:v>Yes</x:v>
      </x:c>
      <x:c r="U86" s="58" t="str">
        <x:v>Yes</x:v>
      </x:c>
      <x:c r="V86" s="58" t="str">
        <x:v>Pasted text(59).txt</x:v>
      </x:c>
      <x:c r="W86" s="54" t="n">
        <x:f>ABS(K86)</x:f>
        <x:v>0.01777</x:v>
      </x:c>
      <x:c r="X86" s="54" t="n">
        <x:f>IF(AND(U86="Yes",E86="PASS"),I86,0)</x:f>
        <x:v>5.5</x:v>
      </x:c>
    </x:row>
    <x:row r="87" ht="30" customHeight="1">
      <x:c r="A87" s="58" t="str">
        <x:v>S20</x:v>
      </x:c>
      <x:c r="B87" s="58" t="str">
        <x:v>0.65 repeat-validation session at 268 Hz</x:v>
      </x:c>
      <x:c r="C87" s="59" t="n">
        <x:v>0.65</x:v>
      </x:c>
      <x:c r="D87" s="58" t="n">
        <x:v>2</x:v>
      </x:c>
      <x:c r="E87" s="58" t="str">
        <x:v>PASS</x:v>
      </x:c>
      <x:c r="F87" s="59" t="n">
        <x:v>8</x:v>
      </x:c>
      <x:c r="G87" s="59" t="n">
        <x:v>0.68404</x:v>
      </x:c>
      <x:c r="H87" s="60" t="n">
        <x:v>5.24</x:v>
      </x:c>
      <x:c r="I87" s="60" t="n">
        <x:v>5.24</x:v>
      </x:c>
      <x:c r="J87" s="59" t="n">
        <x:v>268.02628</x:v>
      </x:c>
      <x:c r="K87" s="59" t="n">
        <x:v>0.02628</x:v>
      </x:c>
      <x:c r="L87" s="60" t="n">
        <x:v>26.1</x:v>
      </x:c>
      <x:c r="M87" s="60" t="n">
        <x:v>0.67505</x:v>
      </x:c>
      <x:c r="N87" s="60" t="n">
        <x:v>1.87</x:v>
      </x:c>
      <x:c r="O87" s="60" t="n">
        <x:v>100</x:v>
      </x:c>
      <x:c r="P87" s="58" t="str">
        <x:v>PASS</x:v>
      </x:c>
      <x:c r="Q87" s="59" t="n">
        <x:v>0.6012500000000001</x:v>
      </x:c>
      <x:c r="R87" s="59" t="n">
        <x:v>0.69875</x:v>
      </x:c>
      <x:c r="S87" s="58" t="str">
        <x:v>Yes</x:v>
      </x:c>
      <x:c r="T87" s="58" t="str">
        <x:v>Yes</x:v>
      </x:c>
      <x:c r="U87" s="58" t="str">
        <x:v>Yes</x:v>
      </x:c>
      <x:c r="V87" s="58" t="str">
        <x:v>Pasted text(59).txt</x:v>
      </x:c>
      <x:c r="W87" s="54" t="n">
        <x:f>ABS(K87)</x:f>
        <x:v>0.02628</x:v>
      </x:c>
      <x:c r="X87" s="54" t="n">
        <x:f>IF(AND(U87="Yes",E87="PASS"),I87,0)</x:f>
        <x:v>5.24</x:v>
      </x:c>
    </x:row>
    <x:row r="88" ht="30" customHeight="1">
      <x:c r="A88" s="58" t="str">
        <x:v>S20</x:v>
      </x:c>
      <x:c r="B88" s="58" t="str">
        <x:v>0.65 repeat-validation session at 268 Hz</x:v>
      </x:c>
      <x:c r="C88" s="59" t="n">
        <x:v>0.65</x:v>
      </x:c>
      <x:c r="D88" s="58" t="n">
        <x:v>3</x:v>
      </x:c>
      <x:c r="E88" s="58" t="str">
        <x:v>PASS</x:v>
      </x:c>
      <x:c r="F88" s="59" t="n">
        <x:v>8.25</x:v>
      </x:c>
      <x:c r="G88" s="59" t="n">
        <x:v>0.68059</x:v>
      </x:c>
      <x:c r="H88" s="60" t="n">
        <x:v>4.71</x:v>
      </x:c>
      <x:c r="I88" s="60" t="n">
        <x:v>4.71</x:v>
      </x:c>
      <x:c r="J88" s="59" t="n">
        <x:v>268.02529</x:v>
      </x:c>
      <x:c r="K88" s="59" t="n">
        <x:v>0.02529</x:v>
      </x:c>
      <x:c r="L88" s="60" t="n">
        <x:v>26.35</x:v>
      </x:c>
      <x:c r="M88" s="60" t="n">
        <x:v>0.68114</x:v>
      </x:c>
      <x:c r="N88" s="60" t="n">
        <x:v>1.4</x:v>
      </x:c>
      <x:c r="O88" s="60" t="n">
        <x:v>90</x:v>
      </x:c>
      <x:c r="P88" s="58" t="str">
        <x:v>PASS</x:v>
      </x:c>
      <x:c r="Q88" s="59" t="n">
        <x:v>0.6012500000000001</x:v>
      </x:c>
      <x:c r="R88" s="59" t="n">
        <x:v>0.69875</x:v>
      </x:c>
      <x:c r="S88" s="58" t="str">
        <x:v>Yes</x:v>
      </x:c>
      <x:c r="T88" s="58" t="str">
        <x:v>Yes</x:v>
      </x:c>
      <x:c r="U88" s="58" t="str">
        <x:v>Yes</x:v>
      </x:c>
      <x:c r="V88" s="58" t="str">
        <x:v>Pasted text(59).txt</x:v>
      </x:c>
      <x:c r="W88" s="54" t="n">
        <x:f>ABS(K88)</x:f>
        <x:v>0.02529</x:v>
      </x:c>
      <x:c r="X88" s="54" t="n">
        <x:f>IF(AND(U88="Yes",E88="PASS"),I88,0)</x:f>
        <x:v>4.71</x:v>
      </x:c>
    </x:row>
    <x:row r="89" ht="30" customHeight="1">
      <x:c r="A89" s="58" t="str">
        <x:v>S20</x:v>
      </x:c>
      <x:c r="B89" s="58" t="str">
        <x:v>0.65 repeat-validation session at 268 Hz</x:v>
      </x:c>
      <x:c r="C89" s="59" t="n">
        <x:v>0.65</x:v>
      </x:c>
      <x:c r="D89" s="58" t="n">
        <x:v>4</x:v>
      </x:c>
      <x:c r="E89" s="58" t="str">
        <x:v>PASS</x:v>
      </x:c>
      <x:c r="F89" s="59" t="n">
        <x:v>8</x:v>
      </x:c>
      <x:c r="G89" s="59" t="n">
        <x:v>0.64506</x:v>
      </x:c>
      <x:c r="H89" s="60" t="n">
        <x:v>-0.76</x:v>
      </x:c>
      <x:c r="I89" s="60" t="n">
        <x:v>0.76</x:v>
      </x:c>
      <x:c r="J89" s="59" t="n">
        <x:v>268.00829</x:v>
      </x:c>
      <x:c r="K89" s="59" t="n">
        <x:v>0.00829</x:v>
      </x:c>
      <x:c r="L89" s="60" t="n">
        <x:v>25.86</x:v>
      </x:c>
      <x:c r="M89" s="60" t="n">
        <x:v>0.65414</x:v>
      </x:c>
      <x:c r="N89" s="60" t="n">
        <x:v>2.48</x:v>
      </x:c>
      <x:c r="O89" s="60" t="n">
        <x:v>100</x:v>
      </x:c>
      <x:c r="P89" s="58" t="str">
        <x:v>PASS</x:v>
      </x:c>
      <x:c r="Q89" s="59" t="n">
        <x:v>0.6012500000000001</x:v>
      </x:c>
      <x:c r="R89" s="59" t="n">
        <x:v>0.69875</x:v>
      </x:c>
      <x:c r="S89" s="58" t="str">
        <x:v>Yes</x:v>
      </x:c>
      <x:c r="T89" s="58" t="str">
        <x:v>Yes</x:v>
      </x:c>
      <x:c r="U89" s="58" t="str">
        <x:v>Yes</x:v>
      </x:c>
      <x:c r="V89" s="58" t="str">
        <x:v>Pasted text(59).txt</x:v>
      </x:c>
      <x:c r="W89" s="54" t="n">
        <x:f>ABS(K89)</x:f>
        <x:v>0.00829</x:v>
      </x:c>
      <x:c r="X89" s="54" t="n">
        <x:f>IF(AND(U89="Yes",E89="PASS"),I89,0)</x:f>
        <x:v>0.76</x:v>
      </x:c>
    </x:row>
    <x:row r="90" ht="30" customHeight="1">
      <x:c r="A90" s="58" t="str">
        <x:v>S20</x:v>
      </x:c>
      <x:c r="B90" s="58" t="str">
        <x:v>0.65 repeat-validation session at 268 Hz</x:v>
      </x:c>
      <x:c r="C90" s="59" t="n">
        <x:v>0.65</x:v>
      </x:c>
      <x:c r="D90" s="58" t="n">
        <x:v>5</x:v>
      </x:c>
      <x:c r="E90" s="58" t="str">
        <x:v>PASS</x:v>
      </x:c>
      <x:c r="F90" s="59" t="n">
        <x:v>8</x:v>
      </x:c>
      <x:c r="G90" s="59" t="n">
        <x:v>0.65717</x:v>
      </x:c>
      <x:c r="H90" s="60" t="n">
        <x:v>1.1</x:v>
      </x:c>
      <x:c r="I90" s="60" t="n">
        <x:v>1.1</x:v>
      </x:c>
      <x:c r="J90" s="59" t="n">
        <x:v>268.00187</x:v>
      </x:c>
      <x:c r="K90" s="59" t="n">
        <x:v>0.00187</x:v>
      </x:c>
      <x:c r="L90" s="60" t="n">
        <x:v>25.76</x:v>
      </x:c>
      <x:c r="M90" s="60" t="n">
        <x:v>0.65721</x:v>
      </x:c>
      <x:c r="N90" s="60" t="n">
        <x:v>1.44</x:v>
      </x:c>
      <x:c r="O90" s="60" t="n">
        <x:v>100</x:v>
      </x:c>
      <x:c r="P90" s="58" t="str">
        <x:v>PASS</x:v>
      </x:c>
      <x:c r="Q90" s="59" t="n">
        <x:v>0.6012500000000001</x:v>
      </x:c>
      <x:c r="R90" s="59" t="n">
        <x:v>0.69875</x:v>
      </x:c>
      <x:c r="S90" s="58" t="str">
        <x:v>Yes</x:v>
      </x:c>
      <x:c r="T90" s="58" t="str">
        <x:v>Yes</x:v>
      </x:c>
      <x:c r="U90" s="58" t="str">
        <x:v>Yes</x:v>
      </x:c>
      <x:c r="V90" s="58" t="str">
        <x:v>Pasted text(59).txt</x:v>
      </x:c>
      <x:c r="W90" s="54" t="n">
        <x:f>ABS(K90)</x:f>
        <x:v>0.00187</x:v>
      </x:c>
      <x:c r="X90" s="54" t="n">
        <x:f>IF(AND(U90="Yes",E90="PASS"),I90,0)</x:f>
        <x:v>1.1</x:v>
      </x:c>
    </x:row>
  </x:sheetData>
  <x:conditionalFormatting sqref="E2:E47">
    <x:cfRule type="expression" dxfId="2" priority="1">
      <x:formula>E2="PASS"</x:formula>
    </x:cfRule>
    <x:cfRule type="expression" dxfId="3" priority="2">
      <x:formula>E2="FAIL"</x:formula>
    </x:cfRule>
  </x:conditionalFormatting>
  <x:conditionalFormatting sqref="I2:I47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{5B5F88F0-2660-C7F5-4FB4-22B2708B6CDB}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f2c7ffa2e52437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B5F88F0-2660-C7F5-4FB4-22B2708B6CDB}">
            <x14:dataBar gradient="1">
              <x14:cfvo type="min"/>
              <x14:cfvo type="max"/>
              <x14:fillColor rgb="FF5B9BD5"/>
            </x14:dataBar>
          </x14:cfRule>
          <xm:sqref>I2:I47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1" hidden="0" customWidth="1"/>
    <x:col min="4" max="4" width="8" hidden="0" customWidth="1"/>
    <x:col min="5" max="5" width="11" hidden="0" customWidth="1"/>
    <x:col min="6" max="6" width="9" hidden="0" customWidth="1"/>
    <x:col min="7" max="7" width="9" hidden="0" customWidth="1"/>
    <x:col min="8" max="8" width="10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1" hidden="0" customWidth="1"/>
    <x:col min="15" max="15" width="10" hidden="0" customWidth="1"/>
    <x:col min="16" max="16" width="10" hidden="0" customWidth="1"/>
    <x:col min="17" max="17" width="14" hidden="0" customWidth="1"/>
    <x:col min="18" max="18" width="12" hidden="0" customWidth="1"/>
    <x:col min="19" max="19" width="15" hidden="0" customWidth="1"/>
    <x:col min="20" max="20" width="30" hidden="0" customWidth="1"/>
    <x:col min="21" max="21" width="12" hidden="0" customWidth="1"/>
    <x:col min="22" max="22" width="12" hidden="0" customWidth="1"/>
    <x:col min="23" max="23" width="24" hidden="0" customWidth="1"/>
  </x:cols>
  <x:sheetData>
    <x:row r="1">
      <x:c r="A1" s="49" t="str">
        <x:v>Session</x:v>
      </x:c>
      <x:c r="B1" s="49" t="str">
        <x:v>Test label</x:v>
      </x:c>
      <x:c r="C1" s="49" t="str">
        <x:v>Target</x:v>
      </x:c>
      <x:c r="D1" s="49" t="str">
        <x:v>Run</x:v>
      </x:c>
      <x:c r="E1" s="49" t="str">
        <x:v>Run result</x:v>
      </x:c>
      <x:c r="F1" s="49" t="str">
        <x:v>Attempt</x:v>
      </x:c>
      <x:c r="G1" s="49" t="str">
        <x:v>Point</x:v>
      </x:c>
      <x:c r="H1" s="49" t="str">
        <x:v>DAC</x:v>
      </x:c>
      <x:c r="I1" s="49" t="str">
        <x:v>CTRL X</x:v>
      </x:c>
      <x:c r="J1" s="49" t="str">
        <x:v>X</x:v>
      </x:c>
      <x:c r="K1" s="49" t="str">
        <x:v>Y</x:v>
      </x:c>
      <x:c r="L1" s="49" t="str">
        <x:v>Z</x:v>
      </x:c>
      <x:c r="M1" s="49" t="str">
        <x:v>Total</x:v>
      </x:c>
      <x:c r="N1" s="49" t="str">
        <x:v>Error (%)</x:v>
      </x:c>
      <x:c r="O1" s="49" t="str">
        <x:v>MAD (%)</x:v>
      </x:c>
      <x:c r="P1" s="49" t="str">
        <x:v>CV (%)</x:v>
      </x:c>
      <x:c r="Q1" s="49" t="str">
        <x:v>Coherence (%)</x:v>
      </x:c>
      <x:c r="R1" s="49" t="str">
        <x:v>Dominant axis</x:v>
      </x:c>
      <x:c r="S1" s="49" t="str">
        <x:v>Axis fraction (%)</x:v>
      </x:c>
      <x:c r="T1" s="49" t="str">
        <x:v>Status</x:v>
      </x:c>
      <x:c r="U1" s="49" t="str">
        <x:v>In target?</x:v>
      </x:c>
      <x:c r="V1" s="49" t="str">
        <x:v>Source line</x:v>
      </x:c>
      <x:c r="W1" s="49" t="str">
        <x:v>Source file</x:v>
      </x:c>
      <x:c r="X1" s="82"/>
      <x:c r="Y1" s="82"/>
      <x:c r="Z1" s="82"/>
      <x:c r="AA1" s="82"/>
    </x:row>
    <x:row r="2">
      <x:c r="A2" s="82" t="str">
        <x:v>S01</x:v>
      </x:c>
      <x:c r="B2" s="82" t="str">
        <x:v>1.10 initial validation – unstable response state</x:v>
      </x:c>
      <x:c r="C2" s="94" t="n">
        <x:v>1.1</x:v>
      </x:c>
      <x:c r="D2" s="82" t="n">
        <x:v>1</x:v>
      </x:c>
      <x:c r="E2" s="82" t="str">
        <x:v>PASS</x:v>
      </x:c>
      <x:c r="F2" s="82" t="n">
        <x:v>2</x:v>
      </x:c>
      <x:c r="G2" s="82" t="n">
        <x:v>1</x:v>
      </x:c>
      <x:c r="H2" s="94" t="n">
        <x:v>5</x:v>
      </x:c>
      <x:c r="I2" s="94" t="n">
        <x:v>1.13431</x:v>
      </x:c>
      <x:c r="J2" s="94" t="n">
        <x:v>1.12914</x:v>
      </x:c>
      <x:c r="K2" s="94" t="n">
        <x:v>1.13261</x:v>
      </x:c>
      <x:c r="L2" s="94" t="n">
        <x:v>0.85689</x:v>
      </x:c>
      <x:c r="M2" s="94" t="n">
        <x:v>1.81498</x:v>
      </x:c>
      <x:c r="N2" s="97" t="n">
        <x:v>3.12</x:v>
      </x:c>
      <x:c r="O2" s="97" t="n">
        <x:v>2.66</x:v>
      </x:c>
      <x:c r="P2" s="97" t="n">
        <x:v>2.52</x:v>
      </x:c>
      <x:c r="Q2" s="97" t="n">
        <x:v>79.7</x:v>
      </x:c>
      <x:c r="R2" s="82" t="str">
        <x:v>Y</x:v>
      </x:c>
      <x:c r="S2" s="108" t="n">
        <x:v>99.7</x:v>
      </x:c>
      <x:c r="T2" s="82" t="str">
        <x:v>IN TARGET BAND</x:v>
      </x:c>
      <x:c r="U2" s="82" t="str">
        <x:f>IF(T2="IN TARGET BAND","Yes","No")</x:f>
        <x:v>Yes</x:v>
      </x:c>
      <x:c r="V2" s="82" t="n">
        <x:v>144</x:v>
      </x:c>
      <x:c r="W2" s="82" t="str">
        <x:v>Pasted text(56).txt</x:v>
      </x:c>
      <x:c r="X2" s="82"/>
      <x:c r="Y2" s="82"/>
      <x:c r="Z2" s="82"/>
      <x:c r="AA2" s="82"/>
    </x:row>
    <x:row r="3">
      <x:c r="A3" s="82" t="str">
        <x:v>S01</x:v>
      </x:c>
      <x:c r="B3" s="82" t="str">
        <x:v>1.10 initial validation – unstable response state</x:v>
      </x:c>
      <x:c r="C3" s="94" t="n">
        <x:v>1.1</x:v>
      </x:c>
      <x:c r="D3" s="82" t="n">
        <x:v>1</x:v>
      </x:c>
      <x:c r="E3" s="82" t="str">
        <x:v>PASS</x:v>
      </x:c>
      <x:c r="F3" s="82" t="n">
        <x:v>2</x:v>
      </x:c>
      <x:c r="G3" s="82" t="n">
        <x:v>2</x:v>
      </x:c>
      <x:c r="H3" s="94" t="n">
        <x:v>5</x:v>
      </x:c>
      <x:c r="I3" s="94" t="n">
        <x:v>1.10195</x:v>
      </x:c>
      <x:c r="J3" s="94" t="n">
        <x:v>1.09567</x:v>
      </x:c>
      <x:c r="K3" s="94" t="n">
        <x:v>1.0881</x:v>
      </x:c>
      <x:c r="L3" s="94" t="n">
        <x:v>0.8394</x:v>
      </x:c>
      <x:c r="M3" s="94" t="n">
        <x:v>1.7584</x:v>
      </x:c>
      <x:c r="N3" s="97" t="n">
        <x:v>0.18</x:v>
      </x:c>
      <x:c r="O3" s="97" t="n">
        <x:v>2.13</x:v>
      </x:c>
      <x:c r="P3" s="97" t="n">
        <x:v>2.36</x:v>
      </x:c>
      <x:c r="Q3" s="97" t="n">
        <x:v>83.3</x:v>
      </x:c>
      <x:c r="R3" s="82" t="str">
        <x:v>X</x:v>
      </x:c>
      <x:c r="S3" s="108" t="n">
        <x:v>100</x:v>
      </x:c>
      <x:c r="T3" s="82" t="str">
        <x:v>IN TARGET BAND</x:v>
      </x:c>
      <x:c r="U3" s="82" t="str">
        <x:f>IF(T3="IN TARGET BAND","Yes","No")</x:f>
        <x:v>Yes</x:v>
      </x:c>
      <x:c r="V3" s="82" t="n">
        <x:v>145</x:v>
      </x:c>
      <x:c r="W3" s="82" t="str">
        <x:v>Pasted text(56).txt</x:v>
      </x:c>
      <x:c r="X3" s="82"/>
      <x:c r="Y3" s="82"/>
      <x:c r="Z3" s="82"/>
      <x:c r="AA3" s="82"/>
    </x:row>
    <x:row r="4">
      <x:c r="A4" s="82" t="str">
        <x:v>S01</x:v>
      </x:c>
      <x:c r="B4" s="82" t="str">
        <x:v>1.10 initial validation – unstable response state</x:v>
      </x:c>
      <x:c r="C4" s="94" t="n">
        <x:v>1.1</x:v>
      </x:c>
      <x:c r="D4" s="82" t="n">
        <x:v>1</x:v>
      </x:c>
      <x:c r="E4" s="82" t="str">
        <x:v>PASS</x:v>
      </x:c>
      <x:c r="F4" s="82" t="n">
        <x:v>2</x:v>
      </x:c>
      <x:c r="G4" s="82" t="n">
        <x:v>3</x:v>
      </x:c>
      <x:c r="H4" s="94" t="n">
        <x:v>5</x:v>
      </x:c>
      <x:c r="I4" s="94" t="n">
        <x:v>1.10765</x:v>
      </x:c>
      <x:c r="J4" s="94" t="n">
        <x:v>1.1002</x:v>
      </x:c>
      <x:c r="K4" s="94" t="n">
        <x:v>1.05976</x:v>
      </x:c>
      <x:c r="L4" s="94" t="n">
        <x:v>0.77644</x:v>
      </x:c>
      <x:c r="M4" s="94" t="n">
        <x:v>1.71389</x:v>
      </x:c>
      <x:c r="N4" s="97" t="n">
        <x:v>0.7</x:v>
      </x:c>
      <x:c r="O4" s="97" t="n">
        <x:v>5.57</x:v>
      </x:c>
      <x:c r="P4" s="97" t="n">
        <x:v>4.83</x:v>
      </x:c>
      <x:c r="Q4" s="97" t="n">
        <x:v>82</x:v>
      </x:c>
      <x:c r="R4" s="82" t="str">
        <x:v>X</x:v>
      </x:c>
      <x:c r="S4" s="108" t="n">
        <x:v>100</x:v>
      </x:c>
      <x:c r="T4" s="82" t="str">
        <x:v>IN TARGET BAND</x:v>
      </x:c>
      <x:c r="U4" s="82" t="str">
        <x:f>IF(T4="IN TARGET BAND","Yes","No")</x:f>
        <x:v>Yes</x:v>
      </x:c>
      <x:c r="V4" s="82" t="n">
        <x:v>146</x:v>
      </x:c>
      <x:c r="W4" s="82" t="str">
        <x:v>Pasted text(56).txt</x:v>
      </x:c>
      <x:c r="X4" s="82"/>
      <x:c r="Y4" s="82"/>
      <x:c r="Z4" s="82"/>
      <x:c r="AA4" s="82"/>
    </x:row>
    <x:row r="5">
      <x:c r="A5" s="82" t="str">
        <x:v>S01</x:v>
      </x:c>
      <x:c r="B5" s="82" t="str">
        <x:v>1.10 initial validation – unstable response state</x:v>
      </x:c>
      <x:c r="C5" s="94" t="n">
        <x:v>1.1</x:v>
      </x:c>
      <x:c r="D5" s="82" t="n">
        <x:v>1</x:v>
      </x:c>
      <x:c r="E5" s="82" t="str">
        <x:v>PASS</x:v>
      </x:c>
      <x:c r="F5" s="82" t="n">
        <x:v>2</x:v>
      </x:c>
      <x:c r="G5" s="82" t="n">
        <x:v>4</x:v>
      </x:c>
      <x:c r="H5" s="94" t="n">
        <x:v>5</x:v>
      </x:c>
      <x:c r="I5" s="94" t="n">
        <x:v>1.13995</x:v>
      </x:c>
      <x:c r="J5" s="94" t="n">
        <x:v>1.1454</x:v>
      </x:c>
      <x:c r="K5" s="94" t="n">
        <x:v>1.11561</x:v>
      </x:c>
      <x:c r="L5" s="94" t="n">
        <x:v>0.86052</x:v>
      </x:c>
      <x:c r="M5" s="94" t="n">
        <x:v>1.81606</x:v>
      </x:c>
      <x:c r="N5" s="97" t="n">
        <x:v>3.63</x:v>
      </x:c>
      <x:c r="O5" s="97" t="n">
        <x:v>9.61</x:v>
      </x:c>
      <x:c r="P5" s="97" t="n">
        <x:v>7.17</x:v>
      </x:c>
      <x:c r="Q5" s="97" t="n">
        <x:v>79.9</x:v>
      </x:c>
      <x:c r="R5" s="82" t="str">
        <x:v>X</x:v>
      </x:c>
      <x:c r="S5" s="108" t="n">
        <x:v>100</x:v>
      </x:c>
      <x:c r="T5" s="82" t="str">
        <x:v>IN TARGET BAND</x:v>
      </x:c>
      <x:c r="U5" s="82" t="str">
        <x:f>IF(T5="IN TARGET BAND","Yes","No")</x:f>
        <x:v>Yes</x:v>
      </x:c>
      <x:c r="V5" s="82" t="n">
        <x:v>147</x:v>
      </x:c>
      <x:c r="W5" s="82" t="str">
        <x:v>Pasted text(56).txt</x:v>
      </x:c>
      <x:c r="X5" s="82"/>
      <x:c r="Y5" s="82"/>
      <x:c r="Z5" s="82"/>
      <x:c r="AA5" s="82"/>
    </x:row>
    <x:row r="6">
      <x:c r="A6" t="str">
        <x:v>S01</x:v>
      </x:c>
      <x:c r="B6" t="str">
        <x:v>1.10 initial validation – unstable response state</x:v>
      </x:c>
      <x:c r="C6" s="54" t="n">
        <x:v>1.1</x:v>
      </x:c>
      <x:c r="D6" t="n">
        <x:v>1</x:v>
      </x:c>
      <x:c r="E6" t="str">
        <x:v>PASS</x:v>
      </x:c>
      <x:c r="F6" t="n">
        <x:v>2</x:v>
      </x:c>
      <x:c r="G6" t="n">
        <x:v>5</x:v>
      </x:c>
      <x:c r="H6" s="54" t="n">
        <x:v>5</x:v>
      </x:c>
      <x:c r="I6" s="54" t="n">
        <x:v>1.06837</x:v>
      </x:c>
      <x:c r="J6" s="54" t="n">
        <x:v>1.07341</x:v>
      </x:c>
      <x:c r="K6" s="54" t="n">
        <x:v>1.05752</x:v>
      </x:c>
      <x:c r="L6" s="54" t="n">
        <x:v>0.81956</x:v>
      </x:c>
      <x:c r="M6" s="54" t="n">
        <x:v>1.71538</x:v>
      </x:c>
      <x:c r="N6" s="56" t="n">
        <x:v>-2.88</x:v>
      </x:c>
      <x:c r="O6" s="56" t="n">
        <x:v>2.11</x:v>
      </x:c>
      <x:c r="P6" s="56" t="n">
        <x:v>2.16</x:v>
      </x:c>
      <x:c r="Q6" s="56" t="n">
        <x:v>81.4</x:v>
      </x:c>
      <x:c r="R6" t="str">
        <x:v>X</x:v>
      </x:c>
      <x:c r="S6" s="102" t="n">
        <x:v>100</x:v>
      </x:c>
      <x:c r="T6" t="str">
        <x:v>IN TARGET BAND</x:v>
      </x:c>
      <x:c r="U6" t="str">
        <x:f>IF(T6="IN TARGET BAND","Yes","No")</x:f>
        <x:v>Yes</x:v>
      </x:c>
      <x:c r="V6" t="n">
        <x:v>148</x:v>
      </x:c>
      <x:c r="W6" t="str">
        <x:v>Pasted text(56).txt</x:v>
      </x:c>
    </x:row>
    <x:row r="7">
      <x:c r="A7" t="str">
        <x:v>S01</x:v>
      </x:c>
      <x:c r="B7" t="str">
        <x:v>1.10 initial validation – unstable response state</x:v>
      </x:c>
      <x:c r="C7" s="54" t="n">
        <x:v>1.1</x:v>
      </x:c>
      <x:c r="D7" t="n">
        <x:v>1</x:v>
      </x:c>
      <x:c r="E7" t="str">
        <x:v>PASS</x:v>
      </x:c>
      <x:c r="F7" t="n">
        <x:v>2</x:v>
      </x:c>
      <x:c r="G7" t="n">
        <x:v>6</x:v>
      </x:c>
      <x:c r="H7" s="54" t="n">
        <x:v>5</x:v>
      </x:c>
      <x:c r="I7" s="54" t="n">
        <x:v>1.16772</x:v>
      </x:c>
      <x:c r="J7" s="54" t="n">
        <x:v>1.15894</x:v>
      </x:c>
      <x:c r="K7" s="54" t="n">
        <x:v>1.0829</x:v>
      </x:c>
      <x:c r="L7" s="54" t="n">
        <x:v>0.84488</x:v>
      </x:c>
      <x:c r="M7" s="54" t="n">
        <x:v>1.79755</x:v>
      </x:c>
      <x:c r="N7" s="56" t="n">
        <x:v>6.16</x:v>
      </x:c>
      <x:c r="O7" s="56" t="n">
        <x:v>1.78</x:v>
      </x:c>
      <x:c r="P7" s="56" t="n">
        <x:v>2.44</x:v>
      </x:c>
      <x:c r="Q7" s="56" t="n">
        <x:v>85.3</x:v>
      </x:c>
      <x:c r="R7" t="str">
        <x:v>X</x:v>
      </x:c>
      <x:c r="S7" s="102" t="n">
        <x:v>100</x:v>
      </x:c>
      <x:c r="T7" t="str">
        <x:v>IN TARGET BAND</x:v>
      </x:c>
      <x:c r="U7" t="str">
        <x:f>IF(T7="IN TARGET BAND","Yes","No")</x:f>
        <x:v>Yes</x:v>
      </x:c>
      <x:c r="V7" t="n">
        <x:v>149</x:v>
      </x:c>
      <x:c r="W7" t="str">
        <x:v>Pasted text(56).txt</x:v>
      </x:c>
    </x:row>
    <x:row r="8">
      <x:c r="A8" t="str">
        <x:v>S01</x:v>
      </x:c>
      <x:c r="B8" t="str">
        <x:v>1.10 initial validation – unstable response state</x:v>
      </x:c>
      <x:c r="C8" s="54" t="n">
        <x:v>1.1</x:v>
      </x:c>
      <x:c r="D8" t="n">
        <x:v>1</x:v>
      </x:c>
      <x:c r="E8" t="str">
        <x:v>PASS</x:v>
      </x:c>
      <x:c r="F8" t="n">
        <x:v>2</x:v>
      </x:c>
      <x:c r="G8" t="n">
        <x:v>7</x:v>
      </x:c>
      <x:c r="H8" s="54" t="n">
        <x:v>5</x:v>
      </x:c>
      <x:c r="I8" s="54" t="n">
        <x:v>1.10481</x:v>
      </x:c>
      <x:c r="J8" s="54" t="n">
        <x:v>1.1063</x:v>
      </x:c>
      <x:c r="K8" s="54" t="n">
        <x:v>1.06469</x:v>
      </x:c>
      <x:c r="L8" s="54" t="n">
        <x:v>0.84543</x:v>
      </x:c>
      <x:c r="M8" s="54" t="n">
        <x:v>1.75338</x:v>
      </x:c>
      <x:c r="N8" s="56" t="n">
        <x:v>0.44</x:v>
      </x:c>
      <x:c r="O8" s="56" t="n">
        <x:v>1.91</x:v>
      </x:c>
      <x:c r="P8" s="56" t="n">
        <x:v>1.49</x:v>
      </x:c>
      <x:c r="Q8" s="56" t="n">
        <x:v>82.2</x:v>
      </x:c>
      <x:c r="R8" t="str">
        <x:v>X</x:v>
      </x:c>
      <x:c r="S8" s="102" t="n">
        <x:v>100</x:v>
      </x:c>
      <x:c r="T8" t="str">
        <x:v>IN TARGET BAND</x:v>
      </x:c>
      <x:c r="U8" t="str">
        <x:f>IF(T8="IN TARGET BAND","Yes","No")</x:f>
        <x:v>Yes</x:v>
      </x:c>
      <x:c r="V8" t="n">
        <x:v>150</x:v>
      </x:c>
      <x:c r="W8" t="str">
        <x:v>Pasted text(56).txt</x:v>
      </x:c>
    </x:row>
    <x:row r="9">
      <x:c r="A9" t="str">
        <x:v>S01</x:v>
      </x:c>
      <x:c r="B9" t="str">
        <x:v>1.10 initial validation – unstable response state</x:v>
      </x:c>
      <x:c r="C9" s="54" t="n">
        <x:v>1.1</x:v>
      </x:c>
      <x:c r="D9" t="n">
        <x:v>1</x:v>
      </x:c>
      <x:c r="E9" t="str">
        <x:v>PASS</x:v>
      </x:c>
      <x:c r="F9" t="n">
        <x:v>2</x:v>
      </x:c>
      <x:c r="G9" t="n">
        <x:v>8</x:v>
      </x:c>
      <x:c r="H9" s="54" t="n">
        <x:v>5</x:v>
      </x:c>
      <x:c r="I9" s="54" t="n">
        <x:v>1.0564</x:v>
      </x:c>
      <x:c r="J9" s="54" t="n">
        <x:v>1.04509</x:v>
      </x:c>
      <x:c r="K9" s="54" t="n">
        <x:v>1.06246</x:v>
      </x:c>
      <x:c r="L9" s="54" t="n">
        <x:v>0.76317</x:v>
      </x:c>
      <x:c r="M9" s="54" t="n">
        <x:v>1.67455</x:v>
      </x:c>
      <x:c r="N9" s="56" t="n">
        <x:v>-3.96</x:v>
      </x:c>
      <x:c r="O9" s="56" t="n">
        <x:v>2.95</x:v>
      </x:c>
      <x:c r="P9" s="56" t="n">
        <x:v>3.75</x:v>
      </x:c>
      <x:c r="Q9" s="56" t="n">
        <x:v>78.8</x:v>
      </x:c>
      <x:c r="R9" t="str">
        <x:v>Y</x:v>
      </x:c>
      <x:c r="S9" s="102" t="n">
        <x:v>98.4</x:v>
      </x:c>
      <x:c r="T9" t="str">
        <x:v>IN TARGET BAND</x:v>
      </x:c>
      <x:c r="U9" t="str">
        <x:f>IF(T9="IN TARGET BAND","Yes","No")</x:f>
        <x:v>Yes</x:v>
      </x:c>
      <x:c r="V9" t="n">
        <x:v>151</x:v>
      </x:c>
      <x:c r="W9" t="str">
        <x:v>Pasted text(56).txt</x:v>
      </x:c>
    </x:row>
    <x:row r="10">
      <x:c r="A10" t="str">
        <x:v>S01</x:v>
      </x:c>
      <x:c r="B10" t="str">
        <x:v>1.10 initial validation – unstable response state</x:v>
      </x:c>
      <x:c r="C10" s="54" t="n">
        <x:v>1.1</x:v>
      </x:c>
      <x:c r="D10" t="n">
        <x:v>1</x:v>
      </x:c>
      <x:c r="E10" t="str">
        <x:v>PASS</x:v>
      </x:c>
      <x:c r="F10" t="n">
        <x:v>2</x:v>
      </x:c>
      <x:c r="G10" t="n">
        <x:v>9</x:v>
      </x:c>
      <x:c r="H10" s="54" t="n">
        <x:v>5</x:v>
      </x:c>
      <x:c r="I10" s="54" t="n">
        <x:v>1.08463</x:v>
      </x:c>
      <x:c r="J10" s="54" t="n">
        <x:v>1.08941</x:v>
      </x:c>
      <x:c r="K10" s="54" t="n">
        <x:v>1.03865</x:v>
      </x:c>
      <x:c r="L10" s="54" t="n">
        <x:v>0.81482</x:v>
      </x:c>
      <x:c r="M10" s="54" t="n">
        <x:v>1.71337</x:v>
      </x:c>
      <x:c r="N10" s="56" t="n">
        <x:v>-1.4</x:v>
      </x:c>
      <x:c r="O10" s="56" t="n">
        <x:v>15.73</x:v>
      </x:c>
      <x:c r="P10" s="56" t="n">
        <x:v>11.23</x:v>
      </x:c>
      <x:c r="Q10" s="56" t="n">
        <x:v>80.2</x:v>
      </x:c>
      <x:c r="R10" t="str">
        <x:v>X</x:v>
      </x:c>
      <x:c r="S10" s="102" t="n">
        <x:v>100</x:v>
      </x:c>
      <x:c r="T10" t="str">
        <x:v>UNSTABLE — SEARCH CONTINUES</x:v>
      </x:c>
      <x:c r="U10" t="str">
        <x:f>IF(T10="IN TARGET BAND","Yes","No")</x:f>
        <x:v>No</x:v>
      </x:c>
      <x:c r="V10" t="n">
        <x:v>152</x:v>
      </x:c>
      <x:c r="W10" t="str">
        <x:v>Pasted text(56).txt</x:v>
      </x:c>
    </x:row>
    <x:row r="11">
      <x:c r="A11" t="str">
        <x:v>S01</x:v>
      </x:c>
      <x:c r="B11" t="str">
        <x:v>1.10 initial validation – unstable response state</x:v>
      </x:c>
      <x:c r="C11" s="54" t="n">
        <x:v>1.1</x:v>
      </x:c>
      <x:c r="D11" t="n">
        <x:v>1</x:v>
      </x:c>
      <x:c r="E11" t="str">
        <x:v>PASS</x:v>
      </x:c>
      <x:c r="F11" t="n">
        <x:v>2</x:v>
      </x:c>
      <x:c r="G11" t="n">
        <x:v>10</x:v>
      </x:c>
      <x:c r="H11" s="54" t="n">
        <x:v>5</x:v>
      </x:c>
      <x:c r="I11" s="54" t="n">
        <x:v>0.98645</x:v>
      </x:c>
      <x:c r="J11" s="54" t="n">
        <x:v>0.98143</x:v>
      </x:c>
      <x:c r="K11" s="54" t="n">
        <x:v>1.03883</x:v>
      </x:c>
      <x:c r="L11" s="54" t="n">
        <x:v>0.74146</x:v>
      </x:c>
      <x:c r="M11" s="54" t="n">
        <x:v>1.61016</x:v>
      </x:c>
      <x:c r="N11" s="56" t="n">
        <x:v>-10.32</x:v>
      </x:c>
      <x:c r="O11" s="56" t="n">
        <x:v>3.67</x:v>
      </x:c>
      <x:c r="P11" s="56" t="n">
        <x:v>3.29</x:v>
      </x:c>
      <x:c r="Q11" s="56" t="n">
        <x:v>81.3</x:v>
      </x:c>
      <x:c r="R11" t="str">
        <x:v>Y</x:v>
      </x:c>
      <x:c r="S11" s="102" t="n">
        <x:v>94.5</x:v>
      </x:c>
      <x:c r="T11" t="str">
        <x:v>VALID</x:v>
      </x:c>
      <x:c r="U11" t="str">
        <x:f>IF(T11="IN TARGET BAND","Yes","No")</x:f>
        <x:v>No</x:v>
      </x:c>
      <x:c r="V11" t="n">
        <x:v>153</x:v>
      </x:c>
      <x:c r="W11" t="str">
        <x:v>Pasted text(56).txt</x:v>
      </x:c>
    </x:row>
    <x:row r="12">
      <x:c r="A12" t="str">
        <x:v>S01</x:v>
      </x:c>
      <x:c r="B12" t="str">
        <x:v>1.10 initial validation – unstable response state</x:v>
      </x:c>
      <x:c r="C12" s="54" t="n">
        <x:v>1.1</x:v>
      </x:c>
      <x:c r="D12" t="n">
        <x:v>2</x:v>
      </x:c>
      <x:c r="E12" t="str">
        <x:v>PASS</x:v>
      </x:c>
      <x:c r="F12" t="n">
        <x:v>1</x:v>
      </x:c>
      <x:c r="G12" t="n">
        <x:v>1</x:v>
      </x:c>
      <x:c r="H12" s="54" t="n">
        <x:v>3</x:v>
      </x:c>
      <x:c r="I12" s="54" t="n">
        <x:v>1.11788</x:v>
      </x:c>
      <x:c r="J12" s="54" t="n">
        <x:v>1.10579</x:v>
      </x:c>
      <x:c r="K12" s="54" t="n">
        <x:v>0.4947</x:v>
      </x:c>
      <x:c r="L12" s="54" t="n">
        <x:v>0.34603</x:v>
      </x:c>
      <x:c r="M12" s="54" t="n">
        <x:v>1.26054</x:v>
      </x:c>
      <x:c r="N12" s="56" t="n">
        <x:v>1.63</x:v>
      </x:c>
      <x:c r="O12" s="56" t="n">
        <x:v>2.23</x:v>
      </x:c>
      <x:c r="P12" s="56" t="n">
        <x:v>3.3</x:v>
      </x:c>
      <x:c r="Q12" s="56" t="n">
        <x:v>79.1</x:v>
      </x:c>
      <x:c r="R12" t="str">
        <x:v>X</x:v>
      </x:c>
      <x:c r="S12" s="102" t="n">
        <x:v>100</x:v>
      </x:c>
      <x:c r="T12" t="str">
        <x:v>IN TARGET BAND</x:v>
      </x:c>
      <x:c r="U12" t="str">
        <x:f>IF(T12="IN TARGET BAND","Yes","No")</x:f>
        <x:v>Yes</x:v>
      </x:c>
      <x:c r="V12" t="n">
        <x:v>217</x:v>
      </x:c>
      <x:c r="W12" t="str">
        <x:v>Pasted text(56).txt</x:v>
      </x:c>
    </x:row>
    <x:row r="13">
      <x:c r="A13" t="str">
        <x:v>S01</x:v>
      </x:c>
      <x:c r="B13" t="str">
        <x:v>1.10 initial validation – unstable response state</x:v>
      </x:c>
      <x:c r="C13" s="54" t="n">
        <x:v>1.1</x:v>
      </x:c>
      <x:c r="D13" t="n">
        <x:v>2</x:v>
      </x:c>
      <x:c r="E13" t="str">
        <x:v>PASS</x:v>
      </x:c>
      <x:c r="F13" t="n">
        <x:v>1</x:v>
      </x:c>
      <x:c r="G13" t="n">
        <x:v>2</x:v>
      </x:c>
      <x:c r="H13" s="54" t="n">
        <x:v>3</x:v>
      </x:c>
      <x:c r="I13" s="54" t="n">
        <x:v>1.10043</x:v>
      </x:c>
      <x:c r="J13" s="54" t="n">
        <x:v>1.0849</x:v>
      </x:c>
      <x:c r="K13" s="54" t="n">
        <x:v>0.47572</x:v>
      </x:c>
      <x:c r="L13" s="54" t="n">
        <x:v>0.36339</x:v>
      </x:c>
      <x:c r="M13" s="54" t="n">
        <x:v>1.23954</x:v>
      </x:c>
      <x:c r="N13" s="56" t="n">
        <x:v>0.04</x:v>
      </x:c>
      <x:c r="O13" s="56" t="n">
        <x:v>0.36</x:v>
      </x:c>
      <x:c r="P13" s="56" t="n">
        <x:v>2.7</x:v>
      </x:c>
      <x:c r="Q13" s="56" t="n">
        <x:v>78.1</x:v>
      </x:c>
      <x:c r="R13" t="str">
        <x:v>X</x:v>
      </x:c>
      <x:c r="S13" s="102" t="n">
        <x:v>100</x:v>
      </x:c>
      <x:c r="T13" t="str">
        <x:v>IN TARGET BAND</x:v>
      </x:c>
      <x:c r="U13" t="str">
        <x:f>IF(T13="IN TARGET BAND","Yes","No")</x:f>
        <x:v>Yes</x:v>
      </x:c>
      <x:c r="V13" t="n">
        <x:v>218</x:v>
      </x:c>
      <x:c r="W13" t="str">
        <x:v>Pasted text(56).txt</x:v>
      </x:c>
    </x:row>
    <x:row r="14">
      <x:c r="A14" t="str">
        <x:v>S01</x:v>
      </x:c>
      <x:c r="B14" t="str">
        <x:v>1.10 initial validation – unstable response state</x:v>
      </x:c>
      <x:c r="C14" s="54" t="n">
        <x:v>1.1</x:v>
      </x:c>
      <x:c r="D14" t="n">
        <x:v>2</x:v>
      </x:c>
      <x:c r="E14" t="str">
        <x:v>PASS</x:v>
      </x:c>
      <x:c r="F14" t="n">
        <x:v>1</x:v>
      </x:c>
      <x:c r="G14" t="n">
        <x:v>3</x:v>
      </x:c>
      <x:c r="H14" s="54" t="n">
        <x:v>3</x:v>
      </x:c>
      <x:c r="I14" s="54" t="n">
        <x:v>1.08953</x:v>
      </x:c>
      <x:c r="J14" s="54" t="n">
        <x:v>1.08601</x:v>
      </x:c>
      <x:c r="K14" s="54" t="n">
        <x:v>0.4703</x:v>
      </x:c>
      <x:c r="L14" s="54" t="n">
        <x:v>0.34889</x:v>
      </x:c>
      <x:c r="M14" s="54" t="n">
        <x:v>1.23447</x:v>
      </x:c>
      <x:c r="N14" s="56" t="n">
        <x:v>-0.95</x:v>
      </x:c>
      <x:c r="O14" s="56" t="n">
        <x:v>0.5</x:v>
      </x:c>
      <x:c r="P14" s="56" t="n">
        <x:v>0.87</x:v>
      </x:c>
      <x:c r="Q14" s="56" t="n">
        <x:v>77.2</x:v>
      </x:c>
      <x:c r="R14" t="str">
        <x:v>X</x:v>
      </x:c>
      <x:c r="S14" s="102" t="n">
        <x:v>100</x:v>
      </x:c>
      <x:c r="T14" t="str">
        <x:v>IN TARGET BAND</x:v>
      </x:c>
      <x:c r="U14" t="str">
        <x:f>IF(T14="IN TARGET BAND","Yes","No")</x:f>
        <x:v>Yes</x:v>
      </x:c>
      <x:c r="V14" t="n">
        <x:v>219</x:v>
      </x:c>
      <x:c r="W14" t="str">
        <x:v>Pasted text(56).txt</x:v>
      </x:c>
    </x:row>
    <x:row r="15">
      <x:c r="A15" t="str">
        <x:v>S01</x:v>
      </x:c>
      <x:c r="B15" t="str">
        <x:v>1.10 initial validation – unstable response state</x:v>
      </x:c>
      <x:c r="C15" s="54" t="n">
        <x:v>1.1</x:v>
      </x:c>
      <x:c r="D15" t="n">
        <x:v>2</x:v>
      </x:c>
      <x:c r="E15" t="str">
        <x:v>PASS</x:v>
      </x:c>
      <x:c r="F15" t="n">
        <x:v>1</x:v>
      </x:c>
      <x:c r="G15" t="n">
        <x:v>4</x:v>
      </x:c>
      <x:c r="H15" s="54" t="n">
        <x:v>3</x:v>
      </x:c>
      <x:c r="I15" s="54" t="n">
        <x:v>1.07939</x:v>
      </x:c>
      <x:c r="J15" s="54" t="n">
        <x:v>1.0795</x:v>
      </x:c>
      <x:c r="K15" s="54" t="n">
        <x:v>0.4635</x:v>
      </x:c>
      <x:c r="L15" s="54" t="n">
        <x:v>0.3545</x:v>
      </x:c>
      <x:c r="M15" s="54" t="n">
        <x:v>1.22762</x:v>
      </x:c>
      <x:c r="N15" s="56" t="n">
        <x:v>-1.87</x:v>
      </x:c>
      <x:c r="O15" s="56" t="n">
        <x:v>5.59</x:v>
      </x:c>
      <x:c r="P15" s="56" t="n">
        <x:v>3.79</x:v>
      </x:c>
      <x:c r="Q15" s="56" t="n">
        <x:v>76.8</x:v>
      </x:c>
      <x:c r="R15" t="str">
        <x:v>X</x:v>
      </x:c>
      <x:c r="S15" s="102" t="n">
        <x:v>100</x:v>
      </x:c>
      <x:c r="T15" t="str">
        <x:v>IN TARGET BAND</x:v>
      </x:c>
      <x:c r="U15" t="str">
        <x:f>IF(T15="IN TARGET BAND","Yes","No")</x:f>
        <x:v>Yes</x:v>
      </x:c>
      <x:c r="V15" t="n">
        <x:v>220</x:v>
      </x:c>
      <x:c r="W15" t="str">
        <x:v>Pasted text(56).txt</x:v>
      </x:c>
    </x:row>
    <x:row r="16">
      <x:c r="A16" t="str">
        <x:v>S01</x:v>
      </x:c>
      <x:c r="B16" t="str">
        <x:v>1.10 initial validation – unstable response state</x:v>
      </x:c>
      <x:c r="C16" s="54" t="n">
        <x:v>1.1</x:v>
      </x:c>
      <x:c r="D16" t="n">
        <x:v>2</x:v>
      </x:c>
      <x:c r="E16" t="str">
        <x:v>PASS</x:v>
      </x:c>
      <x:c r="F16" t="n">
        <x:v>1</x:v>
      </x:c>
      <x:c r="G16" t="n">
        <x:v>5</x:v>
      </x:c>
      <x:c r="H16" s="54" t="n">
        <x:v>3</x:v>
      </x:c>
      <x:c r="I16" s="54" t="n">
        <x:v>1.07252</x:v>
      </x:c>
      <x:c r="J16" s="54" t="n">
        <x:v>1.07073</x:v>
      </x:c>
      <x:c r="K16" s="54" t="n">
        <x:v>0.46811</x:v>
      </x:c>
      <x:c r="L16" s="54" t="n">
        <x:v>0.36353</x:v>
      </x:c>
      <x:c r="M16" s="54" t="n">
        <x:v>1.22397</x:v>
      </x:c>
      <x:c r="N16" s="56" t="n">
        <x:v>-2.5</x:v>
      </x:c>
      <x:c r="O16" s="56" t="n">
        <x:v>0.07</x:v>
      </x:c>
      <x:c r="P16" s="56" t="n">
        <x:v>0.33</x:v>
      </x:c>
      <x:c r="Q16" s="56" t="n">
        <x:v>75.9</x:v>
      </x:c>
      <x:c r="R16" t="str">
        <x:v>X</x:v>
      </x:c>
      <x:c r="S16" s="102" t="n">
        <x:v>100</x:v>
      </x:c>
      <x:c r="T16" t="str">
        <x:v>IN TARGET BAND</x:v>
      </x:c>
      <x:c r="U16" t="str">
        <x:f>IF(T16="IN TARGET BAND","Yes","No")</x:f>
        <x:v>Yes</x:v>
      </x:c>
      <x:c r="V16" t="n">
        <x:v>221</x:v>
      </x:c>
      <x:c r="W16" t="str">
        <x:v>Pasted text(56).txt</x:v>
      </x:c>
    </x:row>
    <x:row r="17">
      <x:c r="A17" t="str">
        <x:v>S01</x:v>
      </x:c>
      <x:c r="B17" t="str">
        <x:v>1.10 initial validation – unstable response state</x:v>
      </x:c>
      <x:c r="C17" s="54" t="n">
        <x:v>1.1</x:v>
      </x:c>
      <x:c r="D17" t="n">
        <x:v>2</x:v>
      </x:c>
      <x:c r="E17" t="str">
        <x:v>PASS</x:v>
      </x:c>
      <x:c r="F17" t="n">
        <x:v>1</x:v>
      </x:c>
      <x:c r="G17" t="n">
        <x:v>6</x:v>
      </x:c>
      <x:c r="H17" s="54" t="n">
        <x:v>3</x:v>
      </x:c>
      <x:c r="I17" s="54" t="n">
        <x:v>1.07694</x:v>
      </x:c>
      <x:c r="J17" s="54" t="n">
        <x:v>1.07935</x:v>
      </x:c>
      <x:c r="K17" s="54" t="n">
        <x:v>0.4678</x:v>
      </x:c>
      <x:c r="L17" s="54" t="n">
        <x:v>0.33955</x:v>
      </x:c>
      <x:c r="M17" s="54" t="n">
        <x:v>1.22489</x:v>
      </x:c>
      <x:c r="N17" s="56" t="n">
        <x:v>-2.1</x:v>
      </x:c>
      <x:c r="O17" s="56" t="n">
        <x:v>2.55</x:v>
      </x:c>
      <x:c r="P17" s="56" t="n">
        <x:v>2.06</x:v>
      </x:c>
      <x:c r="Q17" s="56" t="n">
        <x:v>75.8</x:v>
      </x:c>
      <x:c r="R17" t="str">
        <x:v>X</x:v>
      </x:c>
      <x:c r="S17" s="102" t="n">
        <x:v>100</x:v>
      </x:c>
      <x:c r="T17" t="str">
        <x:v>IN TARGET BAND</x:v>
      </x:c>
      <x:c r="U17" t="str">
        <x:f>IF(T17="IN TARGET BAND","Yes","No")</x:f>
        <x:v>Yes</x:v>
      </x:c>
      <x:c r="V17" t="n">
        <x:v>222</x:v>
      </x:c>
      <x:c r="W17" t="str">
        <x:v>Pasted text(56).txt</x:v>
      </x:c>
    </x:row>
    <x:row r="18">
      <x:c r="A18" t="str">
        <x:v>S01</x:v>
      </x:c>
      <x:c r="B18" t="str">
        <x:v>1.10 initial validation – unstable response state</x:v>
      </x:c>
      <x:c r="C18" s="54" t="n">
        <x:v>1.1</x:v>
      </x:c>
      <x:c r="D18" t="n">
        <x:v>2</x:v>
      </x:c>
      <x:c r="E18" t="str">
        <x:v>PASS</x:v>
      </x:c>
      <x:c r="F18" t="n">
        <x:v>1</x:v>
      </x:c>
      <x:c r="G18" t="n">
        <x:v>7</x:v>
      </x:c>
      <x:c r="H18" s="54" t="n">
        <x:v>3</x:v>
      </x:c>
      <x:c r="I18" s="54" t="n">
        <x:v>1.09181</x:v>
      </x:c>
      <x:c r="J18" s="54" t="n">
        <x:v>1.08504</x:v>
      </x:c>
      <x:c r="K18" s="54" t="n">
        <x:v>0.46303</x:v>
      </x:c>
      <x:c r="L18" s="54" t="n">
        <x:v>0.35762</x:v>
      </x:c>
      <x:c r="M18" s="54" t="n">
        <x:v>1.23329</x:v>
      </x:c>
      <x:c r="N18" s="56" t="n">
        <x:v>-0.74</x:v>
      </x:c>
      <x:c r="O18" s="56" t="n">
        <x:v>0.68</x:v>
      </x:c>
      <x:c r="P18" s="56" t="n">
        <x:v>1.5</x:v>
      </x:c>
      <x:c r="Q18" s="56" t="n">
        <x:v>76.8</x:v>
      </x:c>
      <x:c r="R18" t="str">
        <x:v>X</x:v>
      </x:c>
      <x:c r="S18" s="102" t="n">
        <x:v>100</x:v>
      </x:c>
      <x:c r="T18" t="str">
        <x:v>IN TARGET BAND</x:v>
      </x:c>
      <x:c r="U18" t="str">
        <x:f>IF(T18="IN TARGET BAND","Yes","No")</x:f>
        <x:v>Yes</x:v>
      </x:c>
      <x:c r="V18" t="n">
        <x:v>223</x:v>
      </x:c>
      <x:c r="W18" t="str">
        <x:v>Pasted text(56).txt</x:v>
      </x:c>
    </x:row>
    <x:row r="19">
      <x:c r="A19" t="str">
        <x:v>S01</x:v>
      </x:c>
      <x:c r="B19" t="str">
        <x:v>1.10 initial validation – unstable response state</x:v>
      </x:c>
      <x:c r="C19" s="54" t="n">
        <x:v>1.1</x:v>
      </x:c>
      <x:c r="D19" t="n">
        <x:v>2</x:v>
      </x:c>
      <x:c r="E19" t="str">
        <x:v>PASS</x:v>
      </x:c>
      <x:c r="F19" t="n">
        <x:v>1</x:v>
      </x:c>
      <x:c r="G19" t="n">
        <x:v>8</x:v>
      </x:c>
      <x:c r="H19" s="54" t="n">
        <x:v>3</x:v>
      </x:c>
      <x:c r="I19" s="54" t="n">
        <x:v>1.10892</x:v>
      </x:c>
      <x:c r="J19" s="54" t="n">
        <x:v>1.10875</x:v>
      </x:c>
      <x:c r="K19" s="54" t="n">
        <x:v>0.45921</x:v>
      </x:c>
      <x:c r="L19" s="54" t="n">
        <x:v>0.35806</x:v>
      </x:c>
      <x:c r="M19" s="54" t="n">
        <x:v>1.25256</x:v>
      </x:c>
      <x:c r="N19" s="56" t="n">
        <x:v>0.81</x:v>
      </x:c>
      <x:c r="O19" s="56" t="n">
        <x:v>2.54</x:v>
      </x:c>
      <x:c r="P19" s="56" t="n">
        <x:v>1.74</x:v>
      </x:c>
      <x:c r="Q19" s="56" t="n">
        <x:v>77.8</x:v>
      </x:c>
      <x:c r="R19" t="str">
        <x:v>X</x:v>
      </x:c>
      <x:c r="S19" s="102" t="n">
        <x:v>100</x:v>
      </x:c>
      <x:c r="T19" t="str">
        <x:v>IN TARGET BAND</x:v>
      </x:c>
      <x:c r="U19" t="str">
        <x:f>IF(T19="IN TARGET BAND","Yes","No")</x:f>
        <x:v>Yes</x:v>
      </x:c>
      <x:c r="V19" t="n">
        <x:v>224</x:v>
      </x:c>
      <x:c r="W19" t="str">
        <x:v>Pasted text(56).txt</x:v>
      </x:c>
    </x:row>
    <x:row r="20">
      <x:c r="A20" t="str">
        <x:v>S01</x:v>
      </x:c>
      <x:c r="B20" t="str">
        <x:v>1.10 initial validation – unstable response state</x:v>
      </x:c>
      <x:c r="C20" s="54" t="n">
        <x:v>1.1</x:v>
      </x:c>
      <x:c r="D20" t="n">
        <x:v>2</x:v>
      </x:c>
      <x:c r="E20" t="str">
        <x:v>PASS</x:v>
      </x:c>
      <x:c r="F20" t="n">
        <x:v>1</x:v>
      </x:c>
      <x:c r="G20" t="n">
        <x:v>9</x:v>
      </x:c>
      <x:c r="H20" s="54" t="n">
        <x:v>3</x:v>
      </x:c>
      <x:c r="I20" s="54" t="n">
        <x:v>1.08574</x:v>
      </x:c>
      <x:c r="J20" s="54" t="n">
        <x:v>1.08644</x:v>
      </x:c>
      <x:c r="K20" s="54" t="n">
        <x:v>0.4546</x:v>
      </x:c>
      <x:c r="L20" s="54" t="n">
        <x:v>0.35901</x:v>
      </x:c>
      <x:c r="M20" s="54" t="n">
        <x:v>1.23146</x:v>
      </x:c>
      <x:c r="N20" s="56" t="n">
        <x:v>-1.3</x:v>
      </x:c>
      <x:c r="O20" s="56" t="n">
        <x:v>3.02</x:v>
      </x:c>
      <x:c r="P20" s="56" t="n">
        <x:v>2.13</x:v>
      </x:c>
      <x:c r="Q20" s="56" t="n">
        <x:v>76.7</x:v>
      </x:c>
      <x:c r="R20" t="str">
        <x:v>X</x:v>
      </x:c>
      <x:c r="S20" s="102" t="n">
        <x:v>100</x:v>
      </x:c>
      <x:c r="T20" t="str">
        <x:v>IN TARGET BAND</x:v>
      </x:c>
      <x:c r="U20" t="str">
        <x:f>IF(T20="IN TARGET BAND","Yes","No")</x:f>
        <x:v>Yes</x:v>
      </x:c>
      <x:c r="V20" t="n">
        <x:v>225</x:v>
      </x:c>
      <x:c r="W20" t="str">
        <x:v>Pasted text(56).txt</x:v>
      </x:c>
    </x:row>
    <x:row r="21">
      <x:c r="A21" t="str">
        <x:v>S01</x:v>
      </x:c>
      <x:c r="B21" t="str">
        <x:v>1.10 initial validation – unstable response state</x:v>
      </x:c>
      <x:c r="C21" s="54" t="n">
        <x:v>1.1</x:v>
      </x:c>
      <x:c r="D21" t="n">
        <x:v>2</x:v>
      </x:c>
      <x:c r="E21" t="str">
        <x:v>PASS</x:v>
      </x:c>
      <x:c r="F21" t="n">
        <x:v>1</x:v>
      </x:c>
      <x:c r="G21" t="n">
        <x:v>10</x:v>
      </x:c>
      <x:c r="H21" s="54" t="n">
        <x:v>3</x:v>
      </x:c>
      <x:c r="I21" s="54" t="n">
        <x:v>1.06523</x:v>
      </x:c>
      <x:c r="J21" s="54" t="n">
        <x:v>1.07778</x:v>
      </x:c>
      <x:c r="K21" s="54" t="n">
        <x:v>0.45885</x:v>
      </x:c>
      <x:c r="L21" s="54" t="n">
        <x:v>0.37662</x:v>
      </x:c>
      <x:c r="M21" s="54" t="n">
        <x:v>1.23091</x:v>
      </x:c>
      <x:c r="N21" s="56" t="n">
        <x:v>-3.16</x:v>
      </x:c>
      <x:c r="O21" s="56" t="n">
        <x:v>0.67</x:v>
      </x:c>
      <x:c r="P21" s="56" t="n">
        <x:v>2.41</x:v>
      </x:c>
      <x:c r="Q21" s="56" t="n">
        <x:v>76.2</x:v>
      </x:c>
      <x:c r="R21" t="str">
        <x:v>X</x:v>
      </x:c>
      <x:c r="S21" s="102" t="n">
        <x:v>100</x:v>
      </x:c>
      <x:c r="T21" t="str">
        <x:v>IN TARGET BAND</x:v>
      </x:c>
      <x:c r="U21" t="str">
        <x:f>IF(T21="IN TARGET BAND","Yes","No")</x:f>
        <x:v>Yes</x:v>
      </x:c>
      <x:c r="V21" t="n">
        <x:v>226</x:v>
      </x:c>
      <x:c r="W21" t="str">
        <x:v>Pasted text(56).txt</x:v>
      </x:c>
    </x:row>
    <x:row r="22">
      <x:c r="A22" t="str">
        <x:v>S01</x:v>
      </x:c>
      <x:c r="B22" t="str">
        <x:v>1.10 initial validation – unstable response state</x:v>
      </x:c>
      <x:c r="C22" s="54" t="n">
        <x:v>1.1</x:v>
      </x:c>
      <x:c r="D22" t="n">
        <x:v>3</x:v>
      </x:c>
      <x:c r="E22" t="str">
        <x:v>PASS</x:v>
      </x:c>
      <x:c r="F22" t="n">
        <x:v>1</x:v>
      </x:c>
      <x:c r="G22" t="n">
        <x:v>1</x:v>
      </x:c>
      <x:c r="H22" s="54" t="n">
        <x:v>3</x:v>
      </x:c>
      <x:c r="I22" s="54" t="n">
        <x:v>1.06746</x:v>
      </x:c>
      <x:c r="J22" s="54" t="n">
        <x:v>1.06957</x:v>
      </x:c>
      <x:c r="K22" s="54" t="n">
        <x:v>0.44889</x:v>
      </x:c>
      <x:c r="L22" s="54" t="n">
        <x:v>0.35941</x:v>
      </x:c>
      <x:c r="M22" s="54" t="n">
        <x:v>1.21474</x:v>
      </x:c>
      <x:c r="N22" s="56" t="n">
        <x:v>-2.96</x:v>
      </x:c>
      <x:c r="O22" s="56" t="n">
        <x:v>1.9</x:v>
      </x:c>
      <x:c r="P22" s="56" t="n">
        <x:v>1.58</x:v>
      </x:c>
      <x:c r="Q22" s="56" t="n">
        <x:v>78.6</x:v>
      </x:c>
      <x:c r="R22" t="str">
        <x:v>X</x:v>
      </x:c>
      <x:c r="S22" s="102" t="n">
        <x:v>100</x:v>
      </x:c>
      <x:c r="T22" t="str">
        <x:v>IN TARGET BAND</x:v>
      </x:c>
      <x:c r="U22" t="str">
        <x:f>IF(T22="IN TARGET BAND","Yes","No")</x:f>
        <x:v>Yes</x:v>
      </x:c>
      <x:c r="V22" t="n">
        <x:v>290</x:v>
      </x:c>
      <x:c r="W22" t="str">
        <x:v>Pasted text(56).txt</x:v>
      </x:c>
    </x:row>
    <x:row r="23">
      <x:c r="A23" t="str">
        <x:v>S01</x:v>
      </x:c>
      <x:c r="B23" t="str">
        <x:v>1.10 initial validation – unstable response state</x:v>
      </x:c>
      <x:c r="C23" s="54" t="n">
        <x:v>1.1</x:v>
      </x:c>
      <x:c r="D23" t="n">
        <x:v>3</x:v>
      </x:c>
      <x:c r="E23" t="str">
        <x:v>PASS</x:v>
      </x:c>
      <x:c r="F23" t="n">
        <x:v>1</x:v>
      </x:c>
      <x:c r="G23" t="n">
        <x:v>2</x:v>
      </x:c>
      <x:c r="H23" s="54" t="n">
        <x:v>3</x:v>
      </x:c>
      <x:c r="I23" s="54" t="n">
        <x:v>1.08081</x:v>
      </x:c>
      <x:c r="J23" s="54" t="n">
        <x:v>1.07589</x:v>
      </x:c>
      <x:c r="K23" s="54" t="n">
        <x:v>0.48559</x:v>
      </x:c>
      <x:c r="L23" s="54" t="n">
        <x:v>0.33761</x:v>
      </x:c>
      <x:c r="M23" s="54" t="n">
        <x:v>1.22813</x:v>
      </x:c>
      <x:c r="N23" s="56" t="n">
        <x:v>-1.74</x:v>
      </x:c>
      <x:c r="O23" s="56" t="n">
        <x:v>2.43</x:v>
      </x:c>
      <x:c r="P23" s="56" t="n">
        <x:v>2.37</x:v>
      </x:c>
      <x:c r="Q23" s="56" t="n">
        <x:v>76.6</x:v>
      </x:c>
      <x:c r="R23" t="str">
        <x:v>X</x:v>
      </x:c>
      <x:c r="S23" s="102" t="n">
        <x:v>100</x:v>
      </x:c>
      <x:c r="T23" t="str">
        <x:v>IN TARGET BAND</x:v>
      </x:c>
      <x:c r="U23" t="str">
        <x:f>IF(T23="IN TARGET BAND","Yes","No")</x:f>
        <x:v>Yes</x:v>
      </x:c>
      <x:c r="V23" t="n">
        <x:v>291</x:v>
      </x:c>
      <x:c r="W23" t="str">
        <x:v>Pasted text(56).txt</x:v>
      </x:c>
    </x:row>
    <x:row r="24">
      <x:c r="A24" t="str">
        <x:v>S01</x:v>
      </x:c>
      <x:c r="B24" t="str">
        <x:v>1.10 initial validation – unstable response state</x:v>
      </x:c>
      <x:c r="C24" s="54" t="n">
        <x:v>1.1</x:v>
      </x:c>
      <x:c r="D24" t="n">
        <x:v>3</x:v>
      </x:c>
      <x:c r="E24" t="str">
        <x:v>PASS</x:v>
      </x:c>
      <x:c r="F24" t="n">
        <x:v>1</x:v>
      </x:c>
      <x:c r="G24" t="n">
        <x:v>3</x:v>
      </x:c>
      <x:c r="H24" s="54" t="n">
        <x:v>3</x:v>
      </x:c>
      <x:c r="I24" s="54" t="n">
        <x:v>1.0584</x:v>
      </x:c>
      <x:c r="J24" s="54" t="n">
        <x:v>1.05824</x:v>
      </x:c>
      <x:c r="K24" s="54" t="n">
        <x:v>0.43401</x:v>
      </x:c>
      <x:c r="L24" s="54" t="n">
        <x:v>0.34991</x:v>
      </x:c>
      <x:c r="M24" s="54" t="n">
        <x:v>1.19625</x:v>
      </x:c>
      <x:c r="N24" s="56" t="n">
        <x:v>-3.78</x:v>
      </x:c>
      <x:c r="O24" s="56" t="n">
        <x:v>3.56</x:v>
      </x:c>
      <x:c r="P24" s="56" t="n">
        <x:v>2.43</x:v>
      </x:c>
      <x:c r="Q24" s="56" t="n">
        <x:v>77.4</x:v>
      </x:c>
      <x:c r="R24" t="str">
        <x:v>X</x:v>
      </x:c>
      <x:c r="S24" s="102" t="n">
        <x:v>100</x:v>
      </x:c>
      <x:c r="T24" t="str">
        <x:v>IN TARGET BAND</x:v>
      </x:c>
      <x:c r="U24" t="str">
        <x:f>IF(T24="IN TARGET BAND","Yes","No")</x:f>
        <x:v>Yes</x:v>
      </x:c>
      <x:c r="V24" t="n">
        <x:v>292</x:v>
      </x:c>
      <x:c r="W24" t="str">
        <x:v>Pasted text(56).txt</x:v>
      </x:c>
    </x:row>
    <x:row r="25">
      <x:c r="A25" t="str">
        <x:v>S01</x:v>
      </x:c>
      <x:c r="B25" t="str">
        <x:v>1.10 initial validation – unstable response state</x:v>
      </x:c>
      <x:c r="C25" s="54" t="n">
        <x:v>1.1</x:v>
      </x:c>
      <x:c r="D25" t="n">
        <x:v>3</x:v>
      </x:c>
      <x:c r="E25" t="str">
        <x:v>PASS</x:v>
      </x:c>
      <x:c r="F25" t="n">
        <x:v>1</x:v>
      </x:c>
      <x:c r="G25" t="n">
        <x:v>4</x:v>
      </x:c>
      <x:c r="H25" s="54" t="n">
        <x:v>3</x:v>
      </x:c>
      <x:c r="I25" s="54" t="n">
        <x:v>1.1023</x:v>
      </x:c>
      <x:c r="J25" s="54" t="n">
        <x:v>1.07665</x:v>
      </x:c>
      <x:c r="K25" s="54" t="n">
        <x:v>0.44331</x:v>
      </x:c>
      <x:c r="L25" s="54" t="n">
        <x:v>0.34264</x:v>
      </x:c>
      <x:c r="M25" s="54" t="n">
        <x:v>1.21411</x:v>
      </x:c>
      <x:c r="N25" s="56" t="n">
        <x:v>0.21</x:v>
      </x:c>
      <x:c r="O25" s="56" t="n">
        <x:v>0.18</x:v>
      </x:c>
      <x:c r="P25" s="56" t="n">
        <x:v>4.23</x:v>
      </x:c>
      <x:c r="Q25" s="56" t="n">
        <x:v>77.2</x:v>
      </x:c>
      <x:c r="R25" t="str">
        <x:v>X</x:v>
      </x:c>
      <x:c r="S25" s="102" t="n">
        <x:v>100</x:v>
      </x:c>
      <x:c r="T25" t="str">
        <x:v>IN TARGET BAND</x:v>
      </x:c>
      <x:c r="U25" t="str">
        <x:f>IF(T25="IN TARGET BAND","Yes","No")</x:f>
        <x:v>Yes</x:v>
      </x:c>
      <x:c r="V25" t="n">
        <x:v>293</x:v>
      </x:c>
      <x:c r="W25" t="str">
        <x:v>Pasted text(56).txt</x:v>
      </x:c>
    </x:row>
    <x:row r="26">
      <x:c r="A26" t="str">
        <x:v>S01</x:v>
      </x:c>
      <x:c r="B26" t="str">
        <x:v>1.10 initial validation – unstable response state</x:v>
      </x:c>
      <x:c r="C26" s="54" t="n">
        <x:v>1.1</x:v>
      </x:c>
      <x:c r="D26" t="n">
        <x:v>3</x:v>
      </x:c>
      <x:c r="E26" t="str">
        <x:v>PASS</x:v>
      </x:c>
      <x:c r="F26" t="n">
        <x:v>1</x:v>
      </x:c>
      <x:c r="G26" t="n">
        <x:v>5</x:v>
      </x:c>
      <x:c r="H26" s="54" t="n">
        <x:v>3</x:v>
      </x:c>
      <x:c r="I26" s="54" t="n">
        <x:v>1.07713</x:v>
      </x:c>
      <x:c r="J26" s="54" t="n">
        <x:v>1.08426</x:v>
      </x:c>
      <x:c r="K26" s="54" t="n">
        <x:v>0.46406</x:v>
      </x:c>
      <x:c r="L26" s="54" t="n">
        <x:v>0.35494</x:v>
      </x:c>
      <x:c r="M26" s="54" t="n">
        <x:v>1.2317</x:v>
      </x:c>
      <x:c r="N26" s="56" t="n">
        <x:v>-2.08</x:v>
      </x:c>
      <x:c r="O26" s="56" t="n">
        <x:v>0.38</x:v>
      </x:c>
      <x:c r="P26" s="56" t="n">
        <x:v>1.36</x:v>
      </x:c>
      <x:c r="Q26" s="56" t="n">
        <x:v>76.5</x:v>
      </x:c>
      <x:c r="R26" t="str">
        <x:v>X</x:v>
      </x:c>
      <x:c r="S26" s="102" t="n">
        <x:v>100</x:v>
      </x:c>
      <x:c r="T26" t="str">
        <x:v>IN TARGET BAND</x:v>
      </x:c>
      <x:c r="U26" t="str">
        <x:f>IF(T26="IN TARGET BAND","Yes","No")</x:f>
        <x:v>Yes</x:v>
      </x:c>
      <x:c r="V26" t="n">
        <x:v>294</x:v>
      </x:c>
      <x:c r="W26" t="str">
        <x:v>Pasted text(56).txt</x:v>
      </x:c>
    </x:row>
    <x:row r="27">
      <x:c r="A27" t="str">
        <x:v>S01</x:v>
      </x:c>
      <x:c r="B27" t="str">
        <x:v>1.10 initial validation – unstable response state</x:v>
      </x:c>
      <x:c r="C27" s="54" t="n">
        <x:v>1.1</x:v>
      </x:c>
      <x:c r="D27" t="n">
        <x:v>3</x:v>
      </x:c>
      <x:c r="E27" t="str">
        <x:v>PASS</x:v>
      </x:c>
      <x:c r="F27" t="n">
        <x:v>1</x:v>
      </x:c>
      <x:c r="G27" t="n">
        <x:v>6</x:v>
      </x:c>
      <x:c r="H27" s="54" t="n">
        <x:v>3</x:v>
      </x:c>
      <x:c r="I27" s="54" t="n">
        <x:v>1.08353</x:v>
      </x:c>
      <x:c r="J27" s="54" t="n">
        <x:v>1.08979</x:v>
      </x:c>
      <x:c r="K27" s="54" t="n">
        <x:v>0.44842</x:v>
      </x:c>
      <x:c r="L27" s="54" t="n">
        <x:v>0.35395</x:v>
      </x:c>
      <x:c r="M27" s="54" t="n">
        <x:v>1.2306</x:v>
      </x:c>
      <x:c r="N27" s="56" t="n">
        <x:v>-1.5</x:v>
      </x:c>
      <x:c r="O27" s="56" t="n">
        <x:v>1.1</x:v>
      </x:c>
      <x:c r="P27" s="56" t="n">
        <x:v>1.68</x:v>
      </x:c>
      <x:c r="Q27" s="56" t="n">
        <x:v>79.2</x:v>
      </x:c>
      <x:c r="R27" t="str">
        <x:v>X</x:v>
      </x:c>
      <x:c r="S27" s="102" t="n">
        <x:v>100</x:v>
      </x:c>
      <x:c r="T27" t="str">
        <x:v>IN TARGET BAND</x:v>
      </x:c>
      <x:c r="U27" t="str">
        <x:f>IF(T27="IN TARGET BAND","Yes","No")</x:f>
        <x:v>Yes</x:v>
      </x:c>
      <x:c r="V27" t="n">
        <x:v>295</x:v>
      </x:c>
      <x:c r="W27" t="str">
        <x:v>Pasted text(56).txt</x:v>
      </x:c>
    </x:row>
    <x:row r="28">
      <x:c r="A28" t="str">
        <x:v>S01</x:v>
      </x:c>
      <x:c r="B28" t="str">
        <x:v>1.10 initial validation – unstable response state</x:v>
      </x:c>
      <x:c r="C28" s="54" t="n">
        <x:v>1.1</x:v>
      </x:c>
      <x:c r="D28" t="n">
        <x:v>3</x:v>
      </x:c>
      <x:c r="E28" t="str">
        <x:v>PASS</x:v>
      </x:c>
      <x:c r="F28" t="n">
        <x:v>1</x:v>
      </x:c>
      <x:c r="G28" t="n">
        <x:v>7</x:v>
      </x:c>
      <x:c r="H28" s="54" t="n">
        <x:v>3</x:v>
      </x:c>
      <x:c r="I28" s="54" t="n">
        <x:v>1.06729</x:v>
      </x:c>
      <x:c r="J28" s="54" t="n">
        <x:v>1.07025</x:v>
      </x:c>
      <x:c r="K28" s="54" t="n">
        <x:v>0.4742</x:v>
      </x:c>
      <x:c r="L28" s="54" t="n">
        <x:v>0.36803</x:v>
      </x:c>
      <x:c r="M28" s="54" t="n">
        <x:v>1.22734</x:v>
      </x:c>
      <x:c r="N28" s="56" t="n">
        <x:v>-2.97</x:v>
      </x:c>
      <x:c r="O28" s="56" t="n">
        <x:v>2.48</x:v>
      </x:c>
      <x:c r="P28" s="56" t="n">
        <x:v>2.1</x:v>
      </x:c>
      <x:c r="Q28" s="56" t="n">
        <x:v>77</x:v>
      </x:c>
      <x:c r="R28" t="str">
        <x:v>X</x:v>
      </x:c>
      <x:c r="S28" s="102" t="n">
        <x:v>100</x:v>
      </x:c>
      <x:c r="T28" t="str">
        <x:v>IN TARGET BAND</x:v>
      </x:c>
      <x:c r="U28" t="str">
        <x:f>IF(T28="IN TARGET BAND","Yes","No")</x:f>
        <x:v>Yes</x:v>
      </x:c>
      <x:c r="V28" t="n">
        <x:v>296</x:v>
      </x:c>
      <x:c r="W28" t="str">
        <x:v>Pasted text(56).txt</x:v>
      </x:c>
    </x:row>
    <x:row r="29">
      <x:c r="A29" t="str">
        <x:v>S01</x:v>
      </x:c>
      <x:c r="B29" t="str">
        <x:v>1.10 initial validation – unstable response state</x:v>
      </x:c>
      <x:c r="C29" s="54" t="n">
        <x:v>1.1</x:v>
      </x:c>
      <x:c r="D29" t="n">
        <x:v>3</x:v>
      </x:c>
      <x:c r="E29" t="str">
        <x:v>PASS</x:v>
      </x:c>
      <x:c r="F29" t="n">
        <x:v>1</x:v>
      </x:c>
      <x:c r="G29" t="n">
        <x:v>8</x:v>
      </x:c>
      <x:c r="H29" s="54" t="n">
        <x:v>3</x:v>
      </x:c>
      <x:c r="I29" s="54" t="n">
        <x:v>1.07845</x:v>
      </x:c>
      <x:c r="J29" s="54" t="n">
        <x:v>1.07266</x:v>
      </x:c>
      <x:c r="K29" s="54" t="n">
        <x:v>0.45906</x:v>
      </x:c>
      <x:c r="L29" s="54" t="n">
        <x:v>0.34542</x:v>
      </x:c>
      <x:c r="M29" s="54" t="n">
        <x:v>1.21759</x:v>
      </x:c>
      <x:c r="N29" s="56" t="n">
        <x:v>-1.96</x:v>
      </x:c>
      <x:c r="O29" s="56" t="n">
        <x:v>4.21</x:v>
      </x:c>
      <x:c r="P29" s="56" t="n">
        <x:v>3.7</x:v>
      </x:c>
      <x:c r="Q29" s="56" t="n">
        <x:v>78.1</x:v>
      </x:c>
      <x:c r="R29" t="str">
        <x:v>X</x:v>
      </x:c>
      <x:c r="S29" s="102" t="n">
        <x:v>100</x:v>
      </x:c>
      <x:c r="T29" t="str">
        <x:v>IN TARGET BAND</x:v>
      </x:c>
      <x:c r="U29" t="str">
        <x:f>IF(T29="IN TARGET BAND","Yes","No")</x:f>
        <x:v>Yes</x:v>
      </x:c>
      <x:c r="V29" t="n">
        <x:v>297</x:v>
      </x:c>
      <x:c r="W29" t="str">
        <x:v>Pasted text(56).txt</x:v>
      </x:c>
    </x:row>
    <x:row r="30">
      <x:c r="A30" t="str">
        <x:v>S01</x:v>
      </x:c>
      <x:c r="B30" t="str">
        <x:v>1.10 initial validation – unstable response state</x:v>
      </x:c>
      <x:c r="C30" s="54" t="n">
        <x:v>1.1</x:v>
      </x:c>
      <x:c r="D30" t="n">
        <x:v>3</x:v>
      </x:c>
      <x:c r="E30" t="str">
        <x:v>PASS</x:v>
      </x:c>
      <x:c r="F30" t="n">
        <x:v>1</x:v>
      </x:c>
      <x:c r="G30" t="n">
        <x:v>9</x:v>
      </x:c>
      <x:c r="H30" s="54" t="n">
        <x:v>3</x:v>
      </x:c>
      <x:c r="I30" s="54" t="n">
        <x:v>1.06323</x:v>
      </x:c>
      <x:c r="J30" s="54" t="n">
        <x:v>1.07172</x:v>
      </x:c>
      <x:c r="K30" s="54" t="n">
        <x:v>0.41695</x:v>
      </x:c>
      <x:c r="L30" s="54" t="n">
        <x:v>0.36081</x:v>
      </x:c>
      <x:c r="M30" s="54" t="n">
        <x:v>1.2057</x:v>
      </x:c>
      <x:c r="N30" s="56" t="n">
        <x:v>-3.34</x:v>
      </x:c>
      <x:c r="O30" s="56" t="n">
        <x:v>1.53</x:v>
      </x:c>
      <x:c r="P30" s="56" t="n">
        <x:v>2.31</x:v>
      </x:c>
      <x:c r="Q30" s="56" t="n">
        <x:v>77.3</x:v>
      </x:c>
      <x:c r="R30" t="str">
        <x:v>X</x:v>
      </x:c>
      <x:c r="S30" s="102" t="n">
        <x:v>100</x:v>
      </x:c>
      <x:c r="T30" t="str">
        <x:v>IN TARGET BAND</x:v>
      </x:c>
      <x:c r="U30" t="str">
        <x:f>IF(T30="IN TARGET BAND","Yes","No")</x:f>
        <x:v>Yes</x:v>
      </x:c>
      <x:c r="V30" t="n">
        <x:v>298</x:v>
      </x:c>
      <x:c r="W30" t="str">
        <x:v>Pasted text(56).txt</x:v>
      </x:c>
    </x:row>
    <x:row r="31">
      <x:c r="A31" t="str">
        <x:v>S01</x:v>
      </x:c>
      <x:c r="B31" t="str">
        <x:v>1.10 initial validation – unstable response state</x:v>
      </x:c>
      <x:c r="C31" s="54" t="n">
        <x:v>1.1</x:v>
      </x:c>
      <x:c r="D31" t="n">
        <x:v>3</x:v>
      </x:c>
      <x:c r="E31" t="str">
        <x:v>PASS</x:v>
      </x:c>
      <x:c r="F31" t="n">
        <x:v>1</x:v>
      </x:c>
      <x:c r="G31" t="n">
        <x:v>10</x:v>
      </x:c>
      <x:c r="H31" s="54" t="n">
        <x:v>3</x:v>
      </x:c>
      <x:c r="I31" s="54" t="n">
        <x:v>1.08599</x:v>
      </x:c>
      <x:c r="J31" s="54" t="n">
        <x:v>1.08377</x:v>
      </x:c>
      <x:c r="K31" s="54" t="n">
        <x:v>0.47576</x:v>
      </x:c>
      <x:c r="L31" s="54" t="n">
        <x:v>0.3654</x:v>
      </x:c>
      <x:c r="M31" s="54" t="n">
        <x:v>1.23937</x:v>
      </x:c>
      <x:c r="N31" s="56" t="n">
        <x:v>-1.27</x:v>
      </x:c>
      <x:c r="O31" s="56" t="n">
        <x:v>2.84</x:v>
      </x:c>
      <x:c r="P31" s="56" t="n">
        <x:v>2.24</x:v>
      </x:c>
      <x:c r="Q31" s="56" t="n">
        <x:v>77.4</x:v>
      </x:c>
      <x:c r="R31" t="str">
        <x:v>X</x:v>
      </x:c>
      <x:c r="S31" s="102" t="n">
        <x:v>100</x:v>
      </x:c>
      <x:c r="T31" t="str">
        <x:v>IN TARGET BAND</x:v>
      </x:c>
      <x:c r="U31" t="str">
        <x:f>IF(T31="IN TARGET BAND","Yes","No")</x:f>
        <x:v>Yes</x:v>
      </x:c>
      <x:c r="V31" t="n">
        <x:v>299</x:v>
      </x:c>
      <x:c r="W31" t="str">
        <x:v>Pasted text(56).txt</x:v>
      </x:c>
    </x:row>
    <x:row r="32">
      <x:c r="A32" t="str">
        <x:v>S01</x:v>
      </x:c>
      <x:c r="B32" t="str">
        <x:v>1.10 initial validation – unstable response state</x:v>
      </x:c>
      <x:c r="C32" s="54" t="n">
        <x:v>1.1</x:v>
      </x:c>
      <x:c r="D32" t="n">
        <x:v>4</x:v>
      </x:c>
      <x:c r="E32" t="str">
        <x:v>FAIL</x:v>
      </x:c>
      <x:c r="F32" t="n">
        <x:v>1</x:v>
      </x:c>
      <x:c r="G32" t="n">
        <x:v>1</x:v>
      </x:c>
      <x:c r="H32" s="54" t="n">
        <x:v>3</x:v>
      </x:c>
      <x:c r="I32" s="54" t="n">
        <x:v>1.08036</x:v>
      </x:c>
      <x:c r="J32" s="54" t="n">
        <x:v>1.08476</x:v>
      </x:c>
      <x:c r="K32" s="54" t="n">
        <x:v>0.45112</x:v>
      </x:c>
      <x:c r="L32" s="54" t="n">
        <x:v>0.33618</x:v>
      </x:c>
      <x:c r="M32" s="54" t="n">
        <x:v>1.2222</x:v>
      </x:c>
      <x:c r="N32" s="56" t="n">
        <x:v>-1.79</x:v>
      </x:c>
      <x:c r="O32" s="56" t="n">
        <x:v>0.4</x:v>
      </x:c>
      <x:c r="P32" s="56" t="n">
        <x:v>0.94</x:v>
      </x:c>
      <x:c r="Q32" s="56" t="n">
        <x:v>74.2</x:v>
      </x:c>
      <x:c r="R32" t="str">
        <x:v>X</x:v>
      </x:c>
      <x:c r="S32" s="102" t="n">
        <x:v>100</x:v>
      </x:c>
      <x:c r="T32" t="str">
        <x:v>IN TARGET BAND</x:v>
      </x:c>
      <x:c r="U32" t="str">
        <x:f>IF(T32="IN TARGET BAND","Yes","No")</x:f>
        <x:v>Yes</x:v>
      </x:c>
      <x:c r="V32" t="n">
        <x:v>363</x:v>
      </x:c>
      <x:c r="W32" t="str">
        <x:v>Pasted text(56).txt</x:v>
      </x:c>
    </x:row>
    <x:row r="33">
      <x:c r="A33" t="str">
        <x:v>S01</x:v>
      </x:c>
      <x:c r="B33" t="str">
        <x:v>1.10 initial validation – unstable response state</x:v>
      </x:c>
      <x:c r="C33" s="54" t="n">
        <x:v>1.1</x:v>
      </x:c>
      <x:c r="D33" t="n">
        <x:v>4</x:v>
      </x:c>
      <x:c r="E33" t="str">
        <x:v>FAIL</x:v>
      </x:c>
      <x:c r="F33" t="n">
        <x:v>1</x:v>
      </x:c>
      <x:c r="G33" t="n">
        <x:v>2</x:v>
      </x:c>
      <x:c r="H33" s="54" t="n">
        <x:v>3</x:v>
      </x:c>
      <x:c r="I33" s="54" t="n">
        <x:v>1.47883</x:v>
      </x:c>
      <x:c r="J33" s="54" t="n">
        <x:v>1.47789</x:v>
      </x:c>
      <x:c r="K33" s="54" t="n">
        <x:v>0.56763</x:v>
      </x:c>
      <x:c r="L33" s="54" t="n">
        <x:v>0.47697</x:v>
      </x:c>
      <x:c r="M33" s="54" t="n">
        <x:v>1.65365</x:v>
      </x:c>
      <x:c r="N33" s="56" t="n">
        <x:v>34.44</x:v>
      </x:c>
      <x:c r="O33" s="56" t="n">
        <x:v>0.16</x:v>
      </x:c>
      <x:c r="P33" s="56" t="n">
        <x:v>0.21</x:v>
      </x:c>
      <x:c r="Q33" s="56" t="n">
        <x:v>79.8</x:v>
      </x:c>
      <x:c r="R33" t="str">
        <x:v>X</x:v>
      </x:c>
      <x:c r="S33" s="102" t="n">
        <x:v>100</x:v>
      </x:c>
      <x:c r="T33" t="str">
        <x:v>VALID</x:v>
      </x:c>
      <x:c r="U33" t="str">
        <x:f>IF(T33="IN TARGET BAND","Yes","No")</x:f>
        <x:v>No</x:v>
      </x:c>
      <x:c r="V33" t="n">
        <x:v>364</x:v>
      </x:c>
      <x:c r="W33" t="str">
        <x:v>Pasted text(56).txt</x:v>
      </x:c>
    </x:row>
    <x:row r="34">
      <x:c r="A34" t="str">
        <x:v>S01</x:v>
      </x:c>
      <x:c r="B34" t="str">
        <x:v>1.10 initial validation – unstable response state</x:v>
      </x:c>
      <x:c r="C34" s="54" t="n">
        <x:v>1.1</x:v>
      </x:c>
      <x:c r="D34" t="n">
        <x:v>4</x:v>
      </x:c>
      <x:c r="E34" t="str">
        <x:v>FAIL</x:v>
      </x:c>
      <x:c r="F34" t="n">
        <x:v>1</x:v>
      </x:c>
      <x:c r="G34" t="n">
        <x:v>3</x:v>
      </x:c>
      <x:c r="H34" s="54" t="n">
        <x:v>3</x:v>
      </x:c>
      <x:c r="I34" s="54" t="n">
        <x:v>1.47611</x:v>
      </x:c>
      <x:c r="J34" s="54" t="n">
        <x:v>1.47674</x:v>
      </x:c>
      <x:c r="K34" s="54" t="n">
        <x:v>0.5862</x:v>
      </x:c>
      <x:c r="L34" s="54" t="n">
        <x:v>0.4564</x:v>
      </x:c>
      <x:c r="M34" s="54" t="n">
        <x:v>1.65335</x:v>
      </x:c>
      <x:c r="N34" s="56" t="n">
        <x:v>34.19</x:v>
      </x:c>
      <x:c r="O34" s="56" t="n">
        <x:v>3.53</x:v>
      </x:c>
      <x:c r="P34" s="56" t="n">
        <x:v>2.44</x:v>
      </x:c>
      <x:c r="Q34" s="56" t="n">
        <x:v>78.9</x:v>
      </x:c>
      <x:c r="R34" t="str">
        <x:v>X</x:v>
      </x:c>
      <x:c r="S34" s="102" t="n">
        <x:v>100</x:v>
      </x:c>
      <x:c r="T34" t="str">
        <x:v>VALID</x:v>
      </x:c>
      <x:c r="U34" t="str">
        <x:f>IF(T34="IN TARGET BAND","Yes","No")</x:f>
        <x:v>No</x:v>
      </x:c>
      <x:c r="V34" t="n">
        <x:v>365</x:v>
      </x:c>
      <x:c r="W34" t="str">
        <x:v>Pasted text(56).txt</x:v>
      </x:c>
    </x:row>
    <x:row r="35">
      <x:c r="A35" t="str">
        <x:v>S01</x:v>
      </x:c>
      <x:c r="B35" t="str">
        <x:v>1.10 initial validation – unstable response state</x:v>
      </x:c>
      <x:c r="C35" s="54" t="n">
        <x:v>1.1</x:v>
      </x:c>
      <x:c r="D35" t="n">
        <x:v>4</x:v>
      </x:c>
      <x:c r="E35" t="str">
        <x:v>FAIL</x:v>
      </x:c>
      <x:c r="F35" t="n">
        <x:v>1</x:v>
      </x:c>
      <x:c r="G35" t="n">
        <x:v>4</x:v>
      </x:c>
      <x:c r="H35" s="54" t="n">
        <x:v>3</x:v>
      </x:c>
      <x:c r="I35" s="54" t="n">
        <x:v>1.44163</x:v>
      </x:c>
      <x:c r="J35" s="54" t="n">
        <x:v>1.45236</x:v>
      </x:c>
      <x:c r="K35" s="54" t="n">
        <x:v>0.63187</x:v>
      </x:c>
      <x:c r="L35" s="54" t="n">
        <x:v>0.46878</x:v>
      </x:c>
      <x:c r="M35" s="54" t="n">
        <x:v>1.65192</x:v>
      </x:c>
      <x:c r="N35" s="56" t="n">
        <x:v>31.06</x:v>
      </x:c>
      <x:c r="O35" s="56" t="n">
        <x:v>0.76</x:v>
      </x:c>
      <x:c r="P35" s="56" t="n">
        <x:v>1.74</x:v>
      </x:c>
      <x:c r="Q35" s="56" t="n">
        <x:v>77.4</x:v>
      </x:c>
      <x:c r="R35" t="str">
        <x:v>X</x:v>
      </x:c>
      <x:c r="S35" s="102" t="n">
        <x:v>100</x:v>
      </x:c>
      <x:c r="T35" t="str">
        <x:v>VALID</x:v>
      </x:c>
      <x:c r="U35" t="str">
        <x:f>IF(T35="IN TARGET BAND","Yes","No")</x:f>
        <x:v>No</x:v>
      </x:c>
      <x:c r="V35" t="n">
        <x:v>366</x:v>
      </x:c>
      <x:c r="W35" t="str">
        <x:v>Pasted text(56).txt</x:v>
      </x:c>
    </x:row>
    <x:row r="36">
      <x:c r="A36" t="str">
        <x:v>S01</x:v>
      </x:c>
      <x:c r="B36" t="str">
        <x:v>1.10 initial validation – unstable response state</x:v>
      </x:c>
      <x:c r="C36" s="54" t="n">
        <x:v>1.1</x:v>
      </x:c>
      <x:c r="D36" t="n">
        <x:v>4</x:v>
      </x:c>
      <x:c r="E36" t="str">
        <x:v>FAIL</x:v>
      </x:c>
      <x:c r="F36" t="n">
        <x:v>1</x:v>
      </x:c>
      <x:c r="G36" t="n">
        <x:v>5</x:v>
      </x:c>
      <x:c r="H36" s="54" t="n">
        <x:v>3</x:v>
      </x:c>
      <x:c r="I36" s="54" t="n">
        <x:v>1.45675</x:v>
      </x:c>
      <x:c r="J36" s="54" t="n">
        <x:v>1.45709</x:v>
      </x:c>
      <x:c r="K36" s="54" t="n">
        <x:v>0.5498</x:v>
      </x:c>
      <x:c r="L36" s="54" t="n">
        <x:v>0.4402</x:v>
      </x:c>
      <x:c r="M36" s="54" t="n">
        <x:v>1.61877</x:v>
      </x:c>
      <x:c r="N36" s="56" t="n">
        <x:v>32.43</x:v>
      </x:c>
      <x:c r="O36" s="56" t="n">
        <x:v>1.78</x:v>
      </x:c>
      <x:c r="P36" s="56" t="n">
        <x:v>1.23</x:v>
      </x:c>
      <x:c r="Q36" s="56" t="n">
        <x:v>78.9</x:v>
      </x:c>
      <x:c r="R36" t="str">
        <x:v>X</x:v>
      </x:c>
      <x:c r="S36" s="102" t="n">
        <x:v>100</x:v>
      </x:c>
      <x:c r="T36" t="str">
        <x:v>VALID</x:v>
      </x:c>
      <x:c r="U36" t="str">
        <x:f>IF(T36="IN TARGET BAND","Yes","No")</x:f>
        <x:v>No</x:v>
      </x:c>
      <x:c r="V36" t="n">
        <x:v>367</x:v>
      </x:c>
      <x:c r="W36" t="str">
        <x:v>Pasted text(56).txt</x:v>
      </x:c>
    </x:row>
    <x:row r="37">
      <x:c r="A37" t="str">
        <x:v>S01</x:v>
      </x:c>
      <x:c r="B37" t="str">
        <x:v>1.10 initial validation – unstable response state</x:v>
      </x:c>
      <x:c r="C37" s="54" t="n">
        <x:v>1.1</x:v>
      </x:c>
      <x:c r="D37" t="n">
        <x:v>4</x:v>
      </x:c>
      <x:c r="E37" t="str">
        <x:v>FAIL</x:v>
      </x:c>
      <x:c r="F37" t="n">
        <x:v>1</x:v>
      </x:c>
      <x:c r="G37" t="n">
        <x:v>6</x:v>
      </x:c>
      <x:c r="H37" s="54" t="n">
        <x:v>3</x:v>
      </x:c>
      <x:c r="I37" s="54" t="n">
        <x:v>1.44682</x:v>
      </x:c>
      <x:c r="J37" s="54" t="n">
        <x:v>1.44623</x:v>
      </x:c>
      <x:c r="K37" s="54" t="n">
        <x:v>0.61134</x:v>
      </x:c>
      <x:c r="L37" s="54" t="n">
        <x:v>0.45296</x:v>
      </x:c>
      <x:c r="M37" s="54" t="n">
        <x:v>1.63456</x:v>
      </x:c>
      <x:c r="N37" s="56" t="n">
        <x:v>31.53</x:v>
      </x:c>
      <x:c r="O37" s="56" t="n">
        <x:v>2.01</x:v>
      </x:c>
      <x:c r="P37" s="56" t="n">
        <x:v>1.42</x:v>
      </x:c>
      <x:c r="Q37" s="56" t="n">
        <x:v>78.1</x:v>
      </x:c>
      <x:c r="R37" t="str">
        <x:v>X</x:v>
      </x:c>
      <x:c r="S37" s="102" t="n">
        <x:v>100</x:v>
      </x:c>
      <x:c r="T37" t="str">
        <x:v>VALID</x:v>
      </x:c>
      <x:c r="U37" t="str">
        <x:f>IF(T37="IN TARGET BAND","Yes","No")</x:f>
        <x:v>No</x:v>
      </x:c>
      <x:c r="V37" t="n">
        <x:v>368</x:v>
      </x:c>
      <x:c r="W37" t="str">
        <x:v>Pasted text(56).txt</x:v>
      </x:c>
    </x:row>
    <x:row r="38">
      <x:c r="A38" t="str">
        <x:v>S01</x:v>
      </x:c>
      <x:c r="B38" t="str">
        <x:v>1.10 initial validation – unstable response state</x:v>
      </x:c>
      <x:c r="C38" s="54" t="n">
        <x:v>1.1</x:v>
      </x:c>
      <x:c r="D38" t="n">
        <x:v>4</x:v>
      </x:c>
      <x:c r="E38" t="str">
        <x:v>FAIL</x:v>
      </x:c>
      <x:c r="F38" t="n">
        <x:v>1</x:v>
      </x:c>
      <x:c r="G38" t="n">
        <x:v>7</x:v>
      </x:c>
      <x:c r="H38" s="54" t="n">
        <x:v>3</x:v>
      </x:c>
      <x:c r="I38" s="54" t="n">
        <x:v>1.47785</x:v>
      </x:c>
      <x:c r="J38" s="54" t="n">
        <x:v>1.48444</x:v>
      </x:c>
      <x:c r="K38" s="54" t="n">
        <x:v>0.54789</x:v>
      </x:c>
      <x:c r="L38" s="54" t="n">
        <x:v>0.46172</x:v>
      </x:c>
      <x:c r="M38" s="54" t="n">
        <x:v>1.64884</x:v>
      </x:c>
      <x:c r="N38" s="56" t="n">
        <x:v>34.35</x:v>
      </x:c>
      <x:c r="O38" s="56" t="n">
        <x:v>2.24</x:v>
      </x:c>
      <x:c r="P38" s="56" t="n">
        <x:v>2.21</x:v>
      </x:c>
      <x:c r="Q38" s="56" t="n">
        <x:v>79.6</x:v>
      </x:c>
      <x:c r="R38" t="str">
        <x:v>X</x:v>
      </x:c>
      <x:c r="S38" s="102" t="n">
        <x:v>100</x:v>
      </x:c>
      <x:c r="T38" t="str">
        <x:v>VALID</x:v>
      </x:c>
      <x:c r="U38" t="str">
        <x:f>IF(T38="IN TARGET BAND","Yes","No")</x:f>
        <x:v>No</x:v>
      </x:c>
      <x:c r="V38" t="n">
        <x:v>369</x:v>
      </x:c>
      <x:c r="W38" t="str">
        <x:v>Pasted text(56).txt</x:v>
      </x:c>
    </x:row>
    <x:row r="39">
      <x:c r="A39" t="str">
        <x:v>S01</x:v>
      </x:c>
      <x:c r="B39" t="str">
        <x:v>1.10 initial validation – unstable response state</x:v>
      </x:c>
      <x:c r="C39" s="54" t="n">
        <x:v>1.1</x:v>
      </x:c>
      <x:c r="D39" t="n">
        <x:v>4</x:v>
      </x:c>
      <x:c r="E39" t="str">
        <x:v>FAIL</x:v>
      </x:c>
      <x:c r="F39" t="n">
        <x:v>1</x:v>
      </x:c>
      <x:c r="G39" t="n">
        <x:v>8</x:v>
      </x:c>
      <x:c r="H39" s="54" t="n">
        <x:v>3</x:v>
      </x:c>
      <x:c r="I39" s="54" t="n">
        <x:v>1.47563</x:v>
      </x:c>
      <x:c r="J39" s="54" t="n">
        <x:v>1.47759</x:v>
      </x:c>
      <x:c r="K39" s="54" t="n">
        <x:v>0.60991</x:v>
      </x:c>
      <x:c r="L39" s="54" t="n">
        <x:v>0.44785</x:v>
      </x:c>
      <x:c r="M39" s="54" t="n">
        <x:v>1.66053</x:v>
      </x:c>
      <x:c r="N39" s="56" t="n">
        <x:v>34.15</x:v>
      </x:c>
      <x:c r="O39" s="56" t="n">
        <x:v>0.49</x:v>
      </x:c>
      <x:c r="P39" s="56" t="n">
        <x:v>0.54</x:v>
      </x:c>
      <x:c r="Q39" s="56" t="n">
        <x:v>79</x:v>
      </x:c>
      <x:c r="R39" t="str">
        <x:v>X</x:v>
      </x:c>
      <x:c r="S39" s="102" t="n">
        <x:v>100</x:v>
      </x:c>
      <x:c r="T39" t="str">
        <x:v>VALID</x:v>
      </x:c>
      <x:c r="U39" t="str">
        <x:f>IF(T39="IN TARGET BAND","Yes","No")</x:f>
        <x:v>No</x:v>
      </x:c>
      <x:c r="V39" t="n">
        <x:v>370</x:v>
      </x:c>
      <x:c r="W39" t="str">
        <x:v>Pasted text(56).txt</x:v>
      </x:c>
    </x:row>
    <x:row r="40">
      <x:c r="A40" t="str">
        <x:v>S01</x:v>
      </x:c>
      <x:c r="B40" t="str">
        <x:v>1.10 initial validation – unstable response state</x:v>
      </x:c>
      <x:c r="C40" s="54" t="n">
        <x:v>1.1</x:v>
      </x:c>
      <x:c r="D40" t="n">
        <x:v>4</x:v>
      </x:c>
      <x:c r="E40" t="str">
        <x:v>FAIL</x:v>
      </x:c>
      <x:c r="F40" t="n">
        <x:v>1</x:v>
      </x:c>
      <x:c r="G40" t="n">
        <x:v>9</x:v>
      </x:c>
      <x:c r="H40" s="54" t="n">
        <x:v>3</x:v>
      </x:c>
      <x:c r="I40" s="54" t="n">
        <x:v>1.46588</x:v>
      </x:c>
      <x:c r="J40" s="54" t="n">
        <x:v>1.46689</x:v>
      </x:c>
      <x:c r="K40" s="54" t="n">
        <x:v>0.54085</x:v>
      </x:c>
      <x:c r="L40" s="54" t="n">
        <x:v>0.45895</x:v>
      </x:c>
      <x:c r="M40" s="54" t="n">
        <x:v>1.62988</x:v>
      </x:c>
      <x:c r="N40" s="56" t="n">
        <x:v>33.26</x:v>
      </x:c>
      <x:c r="O40" s="56" t="n">
        <x:v>0.5</x:v>
      </x:c>
      <x:c r="P40" s="56" t="n">
        <x:v>0.44</x:v>
      </x:c>
      <x:c r="Q40" s="56" t="n">
        <x:v>79.5</x:v>
      </x:c>
      <x:c r="R40" t="str">
        <x:v>X</x:v>
      </x:c>
      <x:c r="S40" s="102" t="n">
        <x:v>100</x:v>
      </x:c>
      <x:c r="T40" t="str">
        <x:v>VALID</x:v>
      </x:c>
      <x:c r="U40" t="str">
        <x:f>IF(T40="IN TARGET BAND","Yes","No")</x:f>
        <x:v>No</x:v>
      </x:c>
      <x:c r="V40" t="n">
        <x:v>371</x:v>
      </x:c>
      <x:c r="W40" t="str">
        <x:v>Pasted text(56).txt</x:v>
      </x:c>
    </x:row>
    <x:row r="41">
      <x:c r="A41" t="str">
        <x:v>S01</x:v>
      </x:c>
      <x:c r="B41" t="str">
        <x:v>1.10 initial validation – unstable response state</x:v>
      </x:c>
      <x:c r="C41" s="54" t="n">
        <x:v>1.1</x:v>
      </x:c>
      <x:c r="D41" t="n">
        <x:v>4</x:v>
      </x:c>
      <x:c r="E41" t="str">
        <x:v>FAIL</x:v>
      </x:c>
      <x:c r="F41" t="n">
        <x:v>1</x:v>
      </x:c>
      <x:c r="G41" t="n">
        <x:v>10</x:v>
      </x:c>
      <x:c r="H41" s="54" t="n">
        <x:v>3</x:v>
      </x:c>
      <x:c r="I41" s="54" t="n">
        <x:v>1.48368</x:v>
      </x:c>
      <x:c r="J41" s="54" t="n">
        <x:v>1.48056</x:v>
      </x:c>
      <x:c r="K41" s="54" t="n">
        <x:v>0.60711</x:v>
      </x:c>
      <x:c r="L41" s="54" t="n">
        <x:v>0.48443</x:v>
      </x:c>
      <x:c r="M41" s="54" t="n">
        <x:v>1.67237</x:v>
      </x:c>
      <x:c r="N41" s="56" t="n">
        <x:v>34.88</x:v>
      </x:c>
      <x:c r="O41" s="56" t="n">
        <x:v>0.52</x:v>
      </x:c>
      <x:c r="P41" s="56" t="n">
        <x:v>0.69</x:v>
      </x:c>
      <x:c r="Q41" s="56" t="n">
        <x:v>78.7</x:v>
      </x:c>
      <x:c r="R41" t="str">
        <x:v>X</x:v>
      </x:c>
      <x:c r="S41" s="102" t="n">
        <x:v>100</x:v>
      </x:c>
      <x:c r="T41" t="str">
        <x:v>VALID</x:v>
      </x:c>
      <x:c r="U41" t="str">
        <x:f>IF(T41="IN TARGET BAND","Yes","No")</x:f>
        <x:v>No</x:v>
      </x:c>
      <x:c r="V41" t="n">
        <x:v>372</x:v>
      </x:c>
      <x:c r="W41" t="str">
        <x:v>Pasted text(56).txt</x:v>
      </x:c>
    </x:row>
    <x:row r="42">
      <x:c r="A42" t="str">
        <x:v>S03</x:v>
      </x:c>
      <x:c r="B42" t="str">
        <x:v>0.90 validated five-run session</x:v>
      </x:c>
      <x:c r="C42" s="54" t="n">
        <x:v>0.9</x:v>
      </x:c>
      <x:c r="D42" t="n">
        <x:v>1</x:v>
      </x:c>
      <x:c r="E42" t="str">
        <x:v>PASS</x:v>
      </x:c>
      <x:c r="F42" t="n">
        <x:v>1</x:v>
      </x:c>
      <x:c r="G42" t="n">
        <x:v>1</x:v>
      </x:c>
      <x:c r="H42" s="54" t="n">
        <x:v>9.5</x:v>
      </x:c>
      <x:c r="I42" s="54" t="n">
        <x:v>0.91855</x:v>
      </x:c>
      <x:c r="J42" s="54" t="n">
        <x:v>0.91881</x:v>
      </x:c>
      <x:c r="K42" s="54" t="n">
        <x:v>0.3232</x:v>
      </x:c>
      <x:c r="L42" s="54" t="n">
        <x:v>0.51843</x:v>
      </x:c>
      <x:c r="M42" s="54" t="n">
        <x:v>1.10349</x:v>
      </x:c>
      <x:c r="N42" s="56" t="n">
        <x:v>2.06</x:v>
      </x:c>
      <x:c r="O42" s="56" t="n">
        <x:v>0.72</x:v>
      </x:c>
      <x:c r="P42" s="56" t="n">
        <x:v>0.53</x:v>
      </x:c>
      <x:c r="Q42" s="56" t="n">
        <x:v>92.1</x:v>
      </x:c>
      <x:c r="R42" t="str">
        <x:v>X</x:v>
      </x:c>
      <x:c r="S42" s="102" t="n">
        <x:v>100</x:v>
      </x:c>
      <x:c r="T42" t="str">
        <x:v>IN TARGET BAND</x:v>
      </x:c>
      <x:c r="U42" t="str">
        <x:f>IF(T42="IN TARGET BAND","Yes","No")</x:f>
        <x:v>Yes</x:v>
      </x:c>
      <x:c r="V42" t="n">
        <x:v>700</x:v>
      </x:c>
      <x:c r="W42" t="str">
        <x:v>Pasted text(56).txt</x:v>
      </x:c>
    </x:row>
    <x:row r="43">
      <x:c r="A43" t="str">
        <x:v>S03</x:v>
      </x:c>
      <x:c r="B43" t="str">
        <x:v>0.90 validated five-run session</x:v>
      </x:c>
      <x:c r="C43" s="54" t="n">
        <x:v>0.9</x:v>
      </x:c>
      <x:c r="D43" t="n">
        <x:v>1</x:v>
      </x:c>
      <x:c r="E43" t="str">
        <x:v>PASS</x:v>
      </x:c>
      <x:c r="F43" t="n">
        <x:v>1</x:v>
      </x:c>
      <x:c r="G43" t="n">
        <x:v>2</x:v>
      </x:c>
      <x:c r="H43" s="54" t="n">
        <x:v>9.5</x:v>
      </x:c>
      <x:c r="I43" s="54" t="n">
        <x:v>0.91706</x:v>
      </x:c>
      <x:c r="J43" s="54" t="n">
        <x:v>0.90982</x:v>
      </x:c>
      <x:c r="K43" s="54" t="n">
        <x:v>0.31807</x:v>
      </x:c>
      <x:c r="L43" s="54" t="n">
        <x:v>0.53862</x:v>
      </x:c>
      <x:c r="M43" s="54" t="n">
        <x:v>1.10414</x:v>
      </x:c>
      <x:c r="N43" s="56" t="n">
        <x:v>1.9</x:v>
      </x:c>
      <x:c r="O43" s="56" t="n">
        <x:v>0.78</x:v>
      </x:c>
      <x:c r="P43" s="56" t="n">
        <x:v>1.86</x:v>
      </x:c>
      <x:c r="Q43" s="56" t="n">
        <x:v>91.4</x:v>
      </x:c>
      <x:c r="R43" t="str">
        <x:v>X</x:v>
      </x:c>
      <x:c r="S43" s="102" t="n">
        <x:v>100</x:v>
      </x:c>
      <x:c r="T43" t="str">
        <x:v>IN TARGET BAND</x:v>
      </x:c>
      <x:c r="U43" t="str">
        <x:f>IF(T43="IN TARGET BAND","Yes","No")</x:f>
        <x:v>Yes</x:v>
      </x:c>
      <x:c r="V43" t="n">
        <x:v>701</x:v>
      </x:c>
      <x:c r="W43" t="str">
        <x:v>Pasted text(56).txt</x:v>
      </x:c>
    </x:row>
    <x:row r="44">
      <x:c r="A44" t="str">
        <x:v>S03</x:v>
      </x:c>
      <x:c r="B44" t="str">
        <x:v>0.90 validated five-run session</x:v>
      </x:c>
      <x:c r="C44" s="54" t="n">
        <x:v>0.9</x:v>
      </x:c>
      <x:c r="D44" t="n">
        <x:v>1</x:v>
      </x:c>
      <x:c r="E44" t="str">
        <x:v>PASS</x:v>
      </x:c>
      <x:c r="F44" t="n">
        <x:v>1</x:v>
      </x:c>
      <x:c r="G44" t="n">
        <x:v>3</x:v>
      </x:c>
      <x:c r="H44" s="54" t="n">
        <x:v>9.5</x:v>
      </x:c>
      <x:c r="I44" s="54" t="n">
        <x:v>0.9114</x:v>
      </x:c>
      <x:c r="J44" s="54" t="n">
        <x:v>0.91599</x:v>
      </x:c>
      <x:c r="K44" s="54" t="n">
        <x:v>0.32928</x:v>
      </x:c>
      <x:c r="L44" s="54" t="n">
        <x:v>0.52068</x:v>
      </x:c>
      <x:c r="M44" s="54" t="n">
        <x:v>1.10427</x:v>
      </x:c>
      <x:c r="N44" s="56" t="n">
        <x:v>1.27</x:v>
      </x:c>
      <x:c r="O44" s="56" t="n">
        <x:v>1.13</x:v>
      </x:c>
      <x:c r="P44" s="56" t="n">
        <x:v>1.57</x:v>
      </x:c>
      <x:c r="Q44" s="56" t="n">
        <x:v>91.9</x:v>
      </x:c>
      <x:c r="R44" t="str">
        <x:v>X</x:v>
      </x:c>
      <x:c r="S44" s="102" t="n">
        <x:v>100</x:v>
      </x:c>
      <x:c r="T44" t="str">
        <x:v>IN TARGET BAND</x:v>
      </x:c>
      <x:c r="U44" t="str">
        <x:f>IF(T44="IN TARGET BAND","Yes","No")</x:f>
        <x:v>Yes</x:v>
      </x:c>
      <x:c r="V44" t="n">
        <x:v>702</x:v>
      </x:c>
      <x:c r="W44" t="str">
        <x:v>Pasted text(56).txt</x:v>
      </x:c>
    </x:row>
    <x:row r="45">
      <x:c r="A45" t="str">
        <x:v>S03</x:v>
      </x:c>
      <x:c r="B45" t="str">
        <x:v>0.90 validated five-run session</x:v>
      </x:c>
      <x:c r="C45" s="54" t="n">
        <x:v>0.9</x:v>
      </x:c>
      <x:c r="D45" t="n">
        <x:v>1</x:v>
      </x:c>
      <x:c r="E45" t="str">
        <x:v>PASS</x:v>
      </x:c>
      <x:c r="F45" t="n">
        <x:v>1</x:v>
      </x:c>
      <x:c r="G45" t="n">
        <x:v>4</x:v>
      </x:c>
      <x:c r="H45" s="54" t="n">
        <x:v>9.5</x:v>
      </x:c>
      <x:c r="I45" s="54" t="n">
        <x:v>0.91499</x:v>
      </x:c>
      <x:c r="J45" s="54" t="n">
        <x:v>0.91315</x:v>
      </x:c>
      <x:c r="K45" s="54" t="n">
        <x:v>0.32002</x:v>
      </x:c>
      <x:c r="L45" s="54" t="n">
        <x:v>0.54121</x:v>
      </x:c>
      <x:c r="M45" s="54" t="n">
        <x:v>1.10877</x:v>
      </x:c>
      <x:c r="N45" s="56" t="n">
        <x:v>1.67</x:v>
      </x:c>
      <x:c r="O45" s="56" t="n">
        <x:v>1.29</x:v>
      </x:c>
      <x:c r="P45" s="56" t="n">
        <x:v>1.18</x:v>
      </x:c>
      <x:c r="Q45" s="56" t="n">
        <x:v>92.9</x:v>
      </x:c>
      <x:c r="R45" t="str">
        <x:v>X</x:v>
      </x:c>
      <x:c r="S45" s="102" t="n">
        <x:v>100</x:v>
      </x:c>
      <x:c r="T45" t="str">
        <x:v>IN TARGET BAND</x:v>
      </x:c>
      <x:c r="U45" t="str">
        <x:f>IF(T45="IN TARGET BAND","Yes","No")</x:f>
        <x:v>Yes</x:v>
      </x:c>
      <x:c r="V45" t="n">
        <x:v>703</x:v>
      </x:c>
      <x:c r="W45" t="str">
        <x:v>Pasted text(56).txt</x:v>
      </x:c>
    </x:row>
    <x:row r="46">
      <x:c r="A46" t="str">
        <x:v>S03</x:v>
      </x:c>
      <x:c r="B46" t="str">
        <x:v>0.90 validated five-run session</x:v>
      </x:c>
      <x:c r="C46" s="54" t="n">
        <x:v>0.9</x:v>
      </x:c>
      <x:c r="D46" t="n">
        <x:v>1</x:v>
      </x:c>
      <x:c r="E46" t="str">
        <x:v>PASS</x:v>
      </x:c>
      <x:c r="F46" t="n">
        <x:v>1</x:v>
      </x:c>
      <x:c r="G46" t="n">
        <x:v>5</x:v>
      </x:c>
      <x:c r="H46" s="54" t="n">
        <x:v>9.5</x:v>
      </x:c>
      <x:c r="I46" s="54" t="n">
        <x:v>0.89813</x:v>
      </x:c>
      <x:c r="J46" s="54" t="n">
        <x:v>0.90499</x:v>
      </x:c>
      <x:c r="K46" s="54" t="n">
        <x:v>0.3175</x:v>
      </x:c>
      <x:c r="L46" s="54" t="n">
        <x:v>0.53195</x:v>
      </x:c>
      <x:c r="M46" s="54" t="n">
        <x:v>1.09685</x:v>
      </x:c>
      <x:c r="N46" s="56" t="n">
        <x:v>-0.21</x:v>
      </x:c>
      <x:c r="O46" s="56" t="n">
        <x:v>0.12</x:v>
      </x:c>
      <x:c r="P46" s="56" t="n">
        <x:v>1.38</x:v>
      </x:c>
      <x:c r="Q46" s="56" t="n">
        <x:v>91.9</x:v>
      </x:c>
      <x:c r="R46" t="str">
        <x:v>X</x:v>
      </x:c>
      <x:c r="S46" s="102" t="n">
        <x:v>100</x:v>
      </x:c>
      <x:c r="T46" t="str">
        <x:v>IN TARGET BAND</x:v>
      </x:c>
      <x:c r="U46" t="str">
        <x:f>IF(T46="IN TARGET BAND","Yes","No")</x:f>
        <x:v>Yes</x:v>
      </x:c>
      <x:c r="V46" t="n">
        <x:v>704</x:v>
      </x:c>
      <x:c r="W46" t="str">
        <x:v>Pasted text(56).txt</x:v>
      </x:c>
    </x:row>
    <x:row r="47">
      <x:c r="A47" t="str">
        <x:v>S03</x:v>
      </x:c>
      <x:c r="B47" t="str">
        <x:v>0.90 validated five-run session</x:v>
      </x:c>
      <x:c r="C47" s="54" t="n">
        <x:v>0.9</x:v>
      </x:c>
      <x:c r="D47" t="n">
        <x:v>1</x:v>
      </x:c>
      <x:c r="E47" t="str">
        <x:v>PASS</x:v>
      </x:c>
      <x:c r="F47" t="n">
        <x:v>1</x:v>
      </x:c>
      <x:c r="G47" t="n">
        <x:v>6</x:v>
      </x:c>
      <x:c r="H47" s="54" t="n">
        <x:v>9.5</x:v>
      </x:c>
      <x:c r="I47" s="54" t="n">
        <x:v>0.89357</x:v>
      </x:c>
      <x:c r="J47" s="54" t="n">
        <x:v>0.89449</x:v>
      </x:c>
      <x:c r="K47" s="54" t="n">
        <x:v>0.32357</x:v>
      </x:c>
      <x:c r="L47" s="54" t="n">
        <x:v>0.53167</x:v>
      </x:c>
      <x:c r="M47" s="54" t="n">
        <x:v>1.0905</x:v>
      </x:c>
      <x:c r="N47" s="56" t="n">
        <x:v>-0.71</x:v>
      </x:c>
      <x:c r="O47" s="56" t="n">
        <x:v>4.36</x:v>
      </x:c>
      <x:c r="P47" s="56" t="n">
        <x:v>3.09</x:v>
      </x:c>
      <x:c r="Q47" s="56" t="n">
        <x:v>90.9</x:v>
      </x:c>
      <x:c r="R47" t="str">
        <x:v>X</x:v>
      </x:c>
      <x:c r="S47" s="102" t="n">
        <x:v>100</x:v>
      </x:c>
      <x:c r="T47" t="str">
        <x:v>IN TARGET BAND</x:v>
      </x:c>
      <x:c r="U47" t="str">
        <x:f>IF(T47="IN TARGET BAND","Yes","No")</x:f>
        <x:v>Yes</x:v>
      </x:c>
      <x:c r="V47" t="n">
        <x:v>705</x:v>
      </x:c>
      <x:c r="W47" t="str">
        <x:v>Pasted text(56).txt</x:v>
      </x:c>
    </x:row>
    <x:row r="48">
      <x:c r="A48" t="str">
        <x:v>S03</x:v>
      </x:c>
      <x:c r="B48" t="str">
        <x:v>0.90 validated five-run session</x:v>
      </x:c>
      <x:c r="C48" s="54" t="n">
        <x:v>0.9</x:v>
      </x:c>
      <x:c r="D48" t="n">
        <x:v>1</x:v>
      </x:c>
      <x:c r="E48" t="str">
        <x:v>PASS</x:v>
      </x:c>
      <x:c r="F48" t="n">
        <x:v>1</x:v>
      </x:c>
      <x:c r="G48" t="n">
        <x:v>7</x:v>
      </x:c>
      <x:c r="H48" s="54" t="n">
        <x:v>9.5</x:v>
      </x:c>
      <x:c r="I48" s="54" t="n">
        <x:v>0.8734</x:v>
      </x:c>
      <x:c r="J48" s="54" t="n">
        <x:v>0.87059</x:v>
      </x:c>
      <x:c r="K48" s="54" t="n">
        <x:v>0.31855</x:v>
      </x:c>
      <x:c r="L48" s="54" t="n">
        <x:v>0.53372</x:v>
      </x:c>
      <x:c r="M48" s="54" t="n">
        <x:v>1.06977</x:v>
      </x:c>
      <x:c r="N48" s="56" t="n">
        <x:v>-2.96</x:v>
      </x:c>
      <x:c r="O48" s="56" t="n">
        <x:v>0.32</x:v>
      </x:c>
      <x:c r="P48" s="56" t="n">
        <x:v>0.75</x:v>
      </x:c>
      <x:c r="Q48" s="56" t="n">
        <x:v>89.6</x:v>
      </x:c>
      <x:c r="R48" t="str">
        <x:v>X</x:v>
      </x:c>
      <x:c r="S48" s="102" t="n">
        <x:v>100</x:v>
      </x:c>
      <x:c r="T48" t="str">
        <x:v>IN TARGET BAND</x:v>
      </x:c>
      <x:c r="U48" t="str">
        <x:f>IF(T48="IN TARGET BAND","Yes","No")</x:f>
        <x:v>Yes</x:v>
      </x:c>
      <x:c r="V48" t="n">
        <x:v>706</x:v>
      </x:c>
      <x:c r="W48" t="str">
        <x:v>Pasted text(56).txt</x:v>
      </x:c>
    </x:row>
    <x:row r="49">
      <x:c r="A49" t="str">
        <x:v>S03</x:v>
      </x:c>
      <x:c r="B49" t="str">
        <x:v>0.90 validated five-run session</x:v>
      </x:c>
      <x:c r="C49" s="54" t="n">
        <x:v>0.9</x:v>
      </x:c>
      <x:c r="D49" t="n">
        <x:v>1</x:v>
      </x:c>
      <x:c r="E49" t="str">
        <x:v>PASS</x:v>
      </x:c>
      <x:c r="F49" t="n">
        <x:v>1</x:v>
      </x:c>
      <x:c r="G49" t="n">
        <x:v>8</x:v>
      </x:c>
      <x:c r="H49" s="54" t="n">
        <x:v>9.5</x:v>
      </x:c>
      <x:c r="I49" s="54" t="n">
        <x:v>0.90136</x:v>
      </x:c>
      <x:c r="J49" s="54" t="n">
        <x:v>0.90835</x:v>
      </x:c>
      <x:c r="K49" s="54" t="n">
        <x:v>0.31645</x:v>
      </x:c>
      <x:c r="L49" s="54" t="n">
        <x:v>0.54601</x:v>
      </x:c>
      <x:c r="M49" s="54" t="n">
        <x:v>1.10613</x:v>
      </x:c>
      <x:c r="N49" s="56" t="n">
        <x:v>0.15</x:v>
      </x:c>
      <x:c r="O49" s="56" t="n">
        <x:v>0.12</x:v>
      </x:c>
      <x:c r="P49" s="56" t="n">
        <x:v>1.4</x:v>
      </x:c>
      <x:c r="Q49" s="56" t="n">
        <x:v>92.6</x:v>
      </x:c>
      <x:c r="R49" t="str">
        <x:v>X</x:v>
      </x:c>
      <x:c r="S49" s="102" t="n">
        <x:v>100</x:v>
      </x:c>
      <x:c r="T49" t="str">
        <x:v>IN TARGET BAND</x:v>
      </x:c>
      <x:c r="U49" t="str">
        <x:f>IF(T49="IN TARGET BAND","Yes","No")</x:f>
        <x:v>Yes</x:v>
      </x:c>
      <x:c r="V49" t="n">
        <x:v>707</x:v>
      </x:c>
      <x:c r="W49" t="str">
        <x:v>Pasted text(56).txt</x:v>
      </x:c>
    </x:row>
    <x:row r="50">
      <x:c r="A50" t="str">
        <x:v>S03</x:v>
      </x:c>
      <x:c r="B50" t="str">
        <x:v>0.90 validated five-run session</x:v>
      </x:c>
      <x:c r="C50" s="54" t="n">
        <x:v>0.9</x:v>
      </x:c>
      <x:c r="D50" t="n">
        <x:v>1</x:v>
      </x:c>
      <x:c r="E50" t="str">
        <x:v>PASS</x:v>
      </x:c>
      <x:c r="F50" t="n">
        <x:v>1</x:v>
      </x:c>
      <x:c r="G50" t="n">
        <x:v>9</x:v>
      </x:c>
      <x:c r="H50" s="54" t="n">
        <x:v>9.5</x:v>
      </x:c>
      <x:c r="I50" s="54" t="n">
        <x:v>0.91259</x:v>
      </x:c>
      <x:c r="J50" s="54" t="n">
        <x:v>0.91041</x:v>
      </x:c>
      <x:c r="K50" s="54" t="n">
        <x:v>0.3217</x:v>
      </x:c>
      <x:c r="L50" s="54" t="n">
        <x:v>0.53194</x:v>
      </x:c>
      <x:c r="M50" s="54" t="n">
        <x:v>1.10258</x:v>
      </x:c>
      <x:c r="N50" s="56" t="n">
        <x:v>1.4</x:v>
      </x:c>
      <x:c r="O50" s="56" t="n">
        <x:v>3.32</x:v>
      </x:c>
      <x:c r="P50" s="56" t="n">
        <x:v>2.61</x:v>
      </x:c>
      <x:c r="Q50" s="56" t="n">
        <x:v>92.4</x:v>
      </x:c>
      <x:c r="R50" t="str">
        <x:v>X</x:v>
      </x:c>
      <x:c r="S50" s="102" t="n">
        <x:v>100</x:v>
      </x:c>
      <x:c r="T50" t="str">
        <x:v>IN TARGET BAND</x:v>
      </x:c>
      <x:c r="U50" t="str">
        <x:f>IF(T50="IN TARGET BAND","Yes","No")</x:f>
        <x:v>Yes</x:v>
      </x:c>
      <x:c r="V50" t="n">
        <x:v>708</x:v>
      </x:c>
      <x:c r="W50" t="str">
        <x:v>Pasted text(56).txt</x:v>
      </x:c>
    </x:row>
    <x:row r="51">
      <x:c r="A51" t="str">
        <x:v>S03</x:v>
      </x:c>
      <x:c r="B51" t="str">
        <x:v>0.90 validated five-run session</x:v>
      </x:c>
      <x:c r="C51" s="54" t="n">
        <x:v>0.9</x:v>
      </x:c>
      <x:c r="D51" t="n">
        <x:v>1</x:v>
      </x:c>
      <x:c r="E51" t="str">
        <x:v>PASS</x:v>
      </x:c>
      <x:c r="F51" t="n">
        <x:v>1</x:v>
      </x:c>
      <x:c r="G51" t="n">
        <x:v>10</x:v>
      </x:c>
      <x:c r="H51" s="54" t="n">
        <x:v>9.5</x:v>
      </x:c>
      <x:c r="I51" s="54" t="n">
        <x:v>0.92121</x:v>
      </x:c>
      <x:c r="J51" s="54" t="n">
        <x:v>0.92118</x:v>
      </x:c>
      <x:c r="K51" s="54" t="n">
        <x:v>0.33077</x:v>
      </x:c>
      <x:c r="L51" s="54" t="n">
        <x:v>0.53571</x:v>
      </x:c>
      <x:c r="M51" s="54" t="n">
        <x:v>1.11618</x:v>
      </x:c>
      <x:c r="N51" s="56" t="n">
        <x:v>2.36</x:v>
      </x:c>
      <x:c r="O51" s="56" t="n">
        <x:v>3.12</x:v>
      </x:c>
      <x:c r="P51" s="56" t="n">
        <x:v>2.11</x:v>
      </x:c>
      <x:c r="Q51" s="56" t="n">
        <x:v>91.6</x:v>
      </x:c>
      <x:c r="R51" t="str">
        <x:v>X</x:v>
      </x:c>
      <x:c r="S51" s="102" t="n">
        <x:v>100</x:v>
      </x:c>
      <x:c r="T51" t="str">
        <x:v>IN TARGET BAND</x:v>
      </x:c>
      <x:c r="U51" t="str">
        <x:f>IF(T51="IN TARGET BAND","Yes","No")</x:f>
        <x:v>Yes</x:v>
      </x:c>
      <x:c r="V51" t="n">
        <x:v>709</x:v>
      </x:c>
      <x:c r="W51" t="str">
        <x:v>Pasted text(56).txt</x:v>
      </x:c>
    </x:row>
    <x:row r="52">
      <x:c r="A52" t="str">
        <x:v>S03</x:v>
      </x:c>
      <x:c r="B52" t="str">
        <x:v>0.90 validated five-run session</x:v>
      </x:c>
      <x:c r="C52" s="54" t="n">
        <x:v>0.9</x:v>
      </x:c>
      <x:c r="D52" t="n">
        <x:v>2</x:v>
      </x:c>
      <x:c r="E52" t="str">
        <x:v>PASS</x:v>
      </x:c>
      <x:c r="F52" t="n">
        <x:v>1</x:v>
      </x:c>
      <x:c r="G52" t="n">
        <x:v>1</x:v>
      </x:c>
      <x:c r="H52" s="54" t="n">
        <x:v>9.5</x:v>
      </x:c>
      <x:c r="I52" s="54" t="n">
        <x:v>0.90641</x:v>
      </x:c>
      <x:c r="J52" s="54" t="n">
        <x:v>0.90669</x:v>
      </x:c>
      <x:c r="K52" s="54" t="n">
        <x:v>0.30805</x:v>
      </x:c>
      <x:c r="L52" s="54" t="n">
        <x:v>0.54368</x:v>
      </x:c>
      <x:c r="M52" s="54" t="n">
        <x:v>1.10133</x:v>
      </x:c>
      <x:c r="N52" s="56" t="n">
        <x:v>0.71</x:v>
      </x:c>
      <x:c r="O52" s="56" t="n">
        <x:v>0.43</x:v>
      </x:c>
      <x:c r="P52" s="56" t="n">
        <x:v>0.34</x:v>
      </x:c>
      <x:c r="Q52" s="56" t="n">
        <x:v>91.8</x:v>
      </x:c>
      <x:c r="R52" t="str">
        <x:v>X</x:v>
      </x:c>
      <x:c r="S52" s="102" t="n">
        <x:v>100</x:v>
      </x:c>
      <x:c r="T52" t="str">
        <x:v>IN TARGET BAND</x:v>
      </x:c>
      <x:c r="U52" t="str">
        <x:f>IF(T52="IN TARGET BAND","Yes","No")</x:f>
        <x:v>Yes</x:v>
      </x:c>
      <x:c r="V52" t="n">
        <x:v>780</x:v>
      </x:c>
      <x:c r="W52" t="str">
        <x:v>Pasted text(56).txt</x:v>
      </x:c>
    </x:row>
    <x:row r="53">
      <x:c r="A53" t="str">
        <x:v>S03</x:v>
      </x:c>
      <x:c r="B53" t="str">
        <x:v>0.90 validated five-run session</x:v>
      </x:c>
      <x:c r="C53" s="54" t="n">
        <x:v>0.9</x:v>
      </x:c>
      <x:c r="D53" t="n">
        <x:v>2</x:v>
      </x:c>
      <x:c r="E53" t="str">
        <x:v>PASS</x:v>
      </x:c>
      <x:c r="F53" t="n">
        <x:v>1</x:v>
      </x:c>
      <x:c r="G53" t="n">
        <x:v>2</x:v>
      </x:c>
      <x:c r="H53" s="54" t="n">
        <x:v>9.5</x:v>
      </x:c>
      <x:c r="I53" s="54" t="n">
        <x:v>0.93227</x:v>
      </x:c>
      <x:c r="J53" s="54" t="n">
        <x:v>0.92189</x:v>
      </x:c>
      <x:c r="K53" s="54" t="n">
        <x:v>0.32282</x:v>
      </x:c>
      <x:c r="L53" s="54" t="n">
        <x:v>0.5106</x:v>
      </x:c>
      <x:c r="M53" s="54" t="n">
        <x:v>1.10289</x:v>
      </x:c>
      <x:c r="N53" s="56" t="n">
        <x:v>3.59</x:v>
      </x:c>
      <x:c r="O53" s="56" t="n">
        <x:v>0.21</x:v>
      </x:c>
      <x:c r="P53" s="56" t="n">
        <x:v>2.08</x:v>
      </x:c>
      <x:c r="Q53" s="56" t="n">
        <x:v>92.8</x:v>
      </x:c>
      <x:c r="R53" t="str">
        <x:v>X</x:v>
      </x:c>
      <x:c r="S53" s="102" t="n">
        <x:v>100</x:v>
      </x:c>
      <x:c r="T53" t="str">
        <x:v>IN TARGET BAND</x:v>
      </x:c>
      <x:c r="U53" t="str">
        <x:f>IF(T53="IN TARGET BAND","Yes","No")</x:f>
        <x:v>Yes</x:v>
      </x:c>
      <x:c r="V53" t="n">
        <x:v>781</x:v>
      </x:c>
      <x:c r="W53" t="str">
        <x:v>Pasted text(56).txt</x:v>
      </x:c>
    </x:row>
    <x:row r="54">
      <x:c r="A54" t="str">
        <x:v>S03</x:v>
      </x:c>
      <x:c r="B54" t="str">
        <x:v>0.90 validated five-run session</x:v>
      </x:c>
      <x:c r="C54" s="54" t="n">
        <x:v>0.9</x:v>
      </x:c>
      <x:c r="D54" t="n">
        <x:v>2</x:v>
      </x:c>
      <x:c r="E54" t="str">
        <x:v>PASS</x:v>
      </x:c>
      <x:c r="F54" t="n">
        <x:v>1</x:v>
      </x:c>
      <x:c r="G54" t="n">
        <x:v>3</x:v>
      </x:c>
      <x:c r="H54" s="54" t="n">
        <x:v>9.5</x:v>
      </x:c>
      <x:c r="I54" s="54" t="n">
        <x:v>0.91287</x:v>
      </x:c>
      <x:c r="J54" s="54" t="n">
        <x:v>0.91609</x:v>
      </x:c>
      <x:c r="K54" s="54" t="n">
        <x:v>0.32091</x:v>
      </x:c>
      <x:c r="L54" s="54" t="n">
        <x:v>0.54446</x:v>
      </x:c>
      <x:c r="M54" s="54" t="n">
        <x:v>1.11296</x:v>
      </x:c>
      <x:c r="N54" s="56" t="n">
        <x:v>1.43</x:v>
      </x:c>
      <x:c r="O54" s="56" t="n">
        <x:v>0.07</x:v>
      </x:c>
      <x:c r="P54" s="56" t="n">
        <x:v>0.65</x:v>
      </x:c>
      <x:c r="Q54" s="56" t="n">
        <x:v>92.9</x:v>
      </x:c>
      <x:c r="R54" t="str">
        <x:v>X</x:v>
      </x:c>
      <x:c r="S54" s="102" t="n">
        <x:v>100</x:v>
      </x:c>
      <x:c r="T54" t="str">
        <x:v>IN TARGET BAND</x:v>
      </x:c>
      <x:c r="U54" t="str">
        <x:f>IF(T54="IN TARGET BAND","Yes","No")</x:f>
        <x:v>Yes</x:v>
      </x:c>
      <x:c r="V54" t="n">
        <x:v>782</x:v>
      </x:c>
      <x:c r="W54" t="str">
        <x:v>Pasted text(56).txt</x:v>
      </x:c>
    </x:row>
    <x:row r="55">
      <x:c r="A55" t="str">
        <x:v>S03</x:v>
      </x:c>
      <x:c r="B55" t="str">
        <x:v>0.90 validated five-run session</x:v>
      </x:c>
      <x:c r="C55" s="54" t="n">
        <x:v>0.9</x:v>
      </x:c>
      <x:c r="D55" t="n">
        <x:v>2</x:v>
      </x:c>
      <x:c r="E55" t="str">
        <x:v>PASS</x:v>
      </x:c>
      <x:c r="F55" t="n">
        <x:v>1</x:v>
      </x:c>
      <x:c r="G55" t="n">
        <x:v>4</x:v>
      </x:c>
      <x:c r="H55" s="54" t="n">
        <x:v>9.5</x:v>
      </x:c>
      <x:c r="I55" s="54" t="n">
        <x:v>0.91159</x:v>
      </x:c>
      <x:c r="J55" s="54" t="n">
        <x:v>0.91658</x:v>
      </x:c>
      <x:c r="K55" s="54" t="n">
        <x:v>0.31602</x:v>
      </x:c>
      <x:c r="L55" s="54" t="n">
        <x:v>0.52693</x:v>
      </x:c>
      <x:c r="M55" s="54" t="n">
        <x:v>1.10349</x:v>
      </x:c>
      <x:c r="N55" s="56" t="n">
        <x:v>1.29</x:v>
      </x:c>
      <x:c r="O55" s="56" t="n">
        <x:v>0.38</x:v>
      </x:c>
      <x:c r="P55" s="56" t="n">
        <x:v>1.17</x:v>
      </x:c>
      <x:c r="Q55" s="56" t="n">
        <x:v>92.7</x:v>
      </x:c>
      <x:c r="R55" t="str">
        <x:v>X</x:v>
      </x:c>
      <x:c r="S55" s="102" t="n">
        <x:v>100</x:v>
      </x:c>
      <x:c r="T55" t="str">
        <x:v>IN TARGET BAND</x:v>
      </x:c>
      <x:c r="U55" t="str">
        <x:f>IF(T55="IN TARGET BAND","Yes","No")</x:f>
        <x:v>Yes</x:v>
      </x:c>
      <x:c r="V55" t="n">
        <x:v>783</x:v>
      </x:c>
      <x:c r="W55" t="str">
        <x:v>Pasted text(56).txt</x:v>
      </x:c>
    </x:row>
    <x:row r="56">
      <x:c r="A56" t="str">
        <x:v>S03</x:v>
      </x:c>
      <x:c r="B56" t="str">
        <x:v>0.90 validated five-run session</x:v>
      </x:c>
      <x:c r="C56" s="54" t="n">
        <x:v>0.9</x:v>
      </x:c>
      <x:c r="D56" t="n">
        <x:v>2</x:v>
      </x:c>
      <x:c r="E56" t="str">
        <x:v>PASS</x:v>
      </x:c>
      <x:c r="F56" t="n">
        <x:v>1</x:v>
      </x:c>
      <x:c r="G56" t="n">
        <x:v>5</x:v>
      </x:c>
      <x:c r="H56" s="54" t="n">
        <x:v>9.5</x:v>
      </x:c>
      <x:c r="I56" s="54" t="n">
        <x:v>0.91427</x:v>
      </x:c>
      <x:c r="J56" s="54" t="n">
        <x:v>0.91227</x:v>
      </x:c>
      <x:c r="K56" s="54" t="n">
        <x:v>0.31992</x:v>
      </x:c>
      <x:c r="L56" s="54" t="n">
        <x:v>0.5535</x:v>
      </x:c>
      <x:c r="M56" s="54" t="n">
        <x:v>1.11411</x:v>
      </x:c>
      <x:c r="N56" s="56" t="n">
        <x:v>1.59</x:v>
      </x:c>
      <x:c r="O56" s="56" t="n">
        <x:v>0.14</x:v>
      </x:c>
      <x:c r="P56" s="56" t="n">
        <x:v>0.47</x:v>
      </x:c>
      <x:c r="Q56" s="56" t="n">
        <x:v>92.3</x:v>
      </x:c>
      <x:c r="R56" t="str">
        <x:v>X</x:v>
      </x:c>
      <x:c r="S56" s="102" t="n">
        <x:v>100</x:v>
      </x:c>
      <x:c r="T56" t="str">
        <x:v>IN TARGET BAND</x:v>
      </x:c>
      <x:c r="U56" t="str">
        <x:f>IF(T56="IN TARGET BAND","Yes","No")</x:f>
        <x:v>Yes</x:v>
      </x:c>
      <x:c r="V56" t="n">
        <x:v>784</x:v>
      </x:c>
      <x:c r="W56" t="str">
        <x:v>Pasted text(56).txt</x:v>
      </x:c>
    </x:row>
    <x:row r="57">
      <x:c r="A57" t="str">
        <x:v>S03</x:v>
      </x:c>
      <x:c r="B57" t="str">
        <x:v>0.90 validated five-run session</x:v>
      </x:c>
      <x:c r="C57" s="54" t="n">
        <x:v>0.9</x:v>
      </x:c>
      <x:c r="D57" t="n">
        <x:v>2</x:v>
      </x:c>
      <x:c r="E57" t="str">
        <x:v>PASS</x:v>
      </x:c>
      <x:c r="F57" t="n">
        <x:v>1</x:v>
      </x:c>
      <x:c r="G57" t="n">
        <x:v>6</x:v>
      </x:c>
      <x:c r="H57" s="54" t="n">
        <x:v>9.5</x:v>
      </x:c>
      <x:c r="I57" s="54" t="n">
        <x:v>0.93264</x:v>
      </x:c>
      <x:c r="J57" s="54" t="n">
        <x:v>0.91751</x:v>
      </x:c>
      <x:c r="K57" s="54" t="n">
        <x:v>0.33615</x:v>
      </x:c>
      <x:c r="L57" s="54" t="n">
        <x:v>0.54787</x:v>
      </x:c>
      <x:c r="M57" s="54" t="n">
        <x:v>1.12042</x:v>
      </x:c>
      <x:c r="N57" s="56" t="n">
        <x:v>3.63</x:v>
      </x:c>
      <x:c r="O57" s="56" t="n">
        <x:v>0.28</x:v>
      </x:c>
      <x:c r="P57" s="56" t="n">
        <x:v>3.02</x:v>
      </x:c>
      <x:c r="Q57" s="56" t="n">
        <x:v>91.9</x:v>
      </x:c>
      <x:c r="R57" t="str">
        <x:v>X</x:v>
      </x:c>
      <x:c r="S57" s="102" t="n">
        <x:v>100</x:v>
      </x:c>
      <x:c r="T57" t="str">
        <x:v>IN TARGET BAND</x:v>
      </x:c>
      <x:c r="U57" t="str">
        <x:f>IF(T57="IN TARGET BAND","Yes","No")</x:f>
        <x:v>Yes</x:v>
      </x:c>
      <x:c r="V57" t="n">
        <x:v>785</x:v>
      </x:c>
      <x:c r="W57" t="str">
        <x:v>Pasted text(56).txt</x:v>
      </x:c>
    </x:row>
    <x:row r="58">
      <x:c r="A58" t="str">
        <x:v>S03</x:v>
      </x:c>
      <x:c r="B58" t="str">
        <x:v>0.90 validated five-run session</x:v>
      </x:c>
      <x:c r="C58" s="54" t="n">
        <x:v>0.9</x:v>
      </x:c>
      <x:c r="D58" t="n">
        <x:v>2</x:v>
      </x:c>
      <x:c r="E58" t="str">
        <x:v>PASS</x:v>
      </x:c>
      <x:c r="F58" t="n">
        <x:v>1</x:v>
      </x:c>
      <x:c r="G58" t="n">
        <x:v>7</x:v>
      </x:c>
      <x:c r="H58" s="54" t="n">
        <x:v>9.5</x:v>
      </x:c>
      <x:c r="I58" s="54" t="n">
        <x:v>0.93078</x:v>
      </x:c>
      <x:c r="J58" s="54" t="n">
        <x:v>0.9288</x:v>
      </x:c>
      <x:c r="K58" s="54" t="n">
        <x:v>0.32357</x:v>
      </x:c>
      <x:c r="L58" s="54" t="n">
        <x:v>0.53621</x:v>
      </x:c>
      <x:c r="M58" s="54" t="n">
        <x:v>1.12041</x:v>
      </x:c>
      <x:c r="N58" s="56" t="n">
        <x:v>3.42</x:v>
      </x:c>
      <x:c r="O58" s="56" t="n">
        <x:v>1.8</x:v>
      </x:c>
      <x:c r="P58" s="56" t="n">
        <x:v>1.54</x:v>
      </x:c>
      <x:c r="Q58" s="56" t="n">
        <x:v>93.3</x:v>
      </x:c>
      <x:c r="R58" t="str">
        <x:v>X</x:v>
      </x:c>
      <x:c r="S58" s="102" t="n">
        <x:v>100</x:v>
      </x:c>
      <x:c r="T58" t="str">
        <x:v>IN TARGET BAND</x:v>
      </x:c>
      <x:c r="U58" t="str">
        <x:f>IF(T58="IN TARGET BAND","Yes","No")</x:f>
        <x:v>Yes</x:v>
      </x:c>
      <x:c r="V58" t="n">
        <x:v>786</x:v>
      </x:c>
      <x:c r="W58" t="str">
        <x:v>Pasted text(56).txt</x:v>
      </x:c>
    </x:row>
    <x:row r="59">
      <x:c r="A59" t="str">
        <x:v>S03</x:v>
      </x:c>
      <x:c r="B59" t="str">
        <x:v>0.90 validated five-run session</x:v>
      </x:c>
      <x:c r="C59" s="54" t="n">
        <x:v>0.9</x:v>
      </x:c>
      <x:c r="D59" t="n">
        <x:v>2</x:v>
      </x:c>
      <x:c r="E59" t="str">
        <x:v>PASS</x:v>
      </x:c>
      <x:c r="F59" t="n">
        <x:v>1</x:v>
      </x:c>
      <x:c r="G59" t="n">
        <x:v>8</x:v>
      </x:c>
      <x:c r="H59" s="54" t="n">
        <x:v>9.5</x:v>
      </x:c>
      <x:c r="I59" s="54" t="n">
        <x:v>0.89104</x:v>
      </x:c>
      <x:c r="J59" s="54" t="n">
        <x:v>0.90419</x:v>
      </x:c>
      <x:c r="K59" s="54" t="n">
        <x:v>0.30413</x:v>
      </x:c>
      <x:c r="L59" s="54" t="n">
        <x:v>0.54325</x:v>
      </x:c>
      <x:c r="M59" s="54" t="n">
        <x:v>1.09783</x:v>
      </x:c>
      <x:c r="N59" s="56" t="n">
        <x:v>-1</x:v>
      </x:c>
      <x:c r="O59" s="56" t="n">
        <x:v>0.57</x:v>
      </x:c>
      <x:c r="P59" s="56" t="n">
        <x:v>2.85</x:v>
      </x:c>
      <x:c r="Q59" s="56" t="n">
        <x:v>91.9</x:v>
      </x:c>
      <x:c r="R59" t="str">
        <x:v>X</x:v>
      </x:c>
      <x:c r="S59" s="102" t="n">
        <x:v>100</x:v>
      </x:c>
      <x:c r="T59" t="str">
        <x:v>IN TARGET BAND</x:v>
      </x:c>
      <x:c r="U59" t="str">
        <x:f>IF(T59="IN TARGET BAND","Yes","No")</x:f>
        <x:v>Yes</x:v>
      </x:c>
      <x:c r="V59" t="n">
        <x:v>787</x:v>
      </x:c>
      <x:c r="W59" t="str">
        <x:v>Pasted text(56).txt</x:v>
      </x:c>
    </x:row>
    <x:row r="60">
      <x:c r="A60" t="str">
        <x:v>S03</x:v>
      </x:c>
      <x:c r="B60" t="str">
        <x:v>0.90 validated five-run session</x:v>
      </x:c>
      <x:c r="C60" s="54" t="n">
        <x:v>0.9</x:v>
      </x:c>
      <x:c r="D60" t="n">
        <x:v>2</x:v>
      </x:c>
      <x:c r="E60" t="str">
        <x:v>PASS</x:v>
      </x:c>
      <x:c r="F60" t="n">
        <x:v>1</x:v>
      </x:c>
      <x:c r="G60" t="n">
        <x:v>9</x:v>
      </x:c>
      <x:c r="H60" s="54" t="n">
        <x:v>9.5</x:v>
      </x:c>
      <x:c r="I60" s="54" t="n">
        <x:v>0.90993</x:v>
      </x:c>
      <x:c r="J60" s="54" t="n">
        <x:v>0.90547</x:v>
      </x:c>
      <x:c r="K60" s="54" t="n">
        <x:v>0.32423</x:v>
      </x:c>
      <x:c r="L60" s="54" t="n">
        <x:v>0.53662</x:v>
      </x:c>
      <x:c r="M60" s="54" t="n">
        <x:v>1.10145</x:v>
      </x:c>
      <x:c r="N60" s="56" t="n">
        <x:v>1.1</x:v>
      </x:c>
      <x:c r="O60" s="56" t="n">
        <x:v>1.71</x:v>
      </x:c>
      <x:c r="P60" s="56" t="n">
        <x:v>1.95</x:v>
      </x:c>
      <x:c r="Q60" s="56" t="n">
        <x:v>90.2</x:v>
      </x:c>
      <x:c r="R60" t="str">
        <x:v>X</x:v>
      </x:c>
      <x:c r="S60" s="102" t="n">
        <x:v>100</x:v>
      </x:c>
      <x:c r="T60" t="str">
        <x:v>IN TARGET BAND</x:v>
      </x:c>
      <x:c r="U60" t="str">
        <x:f>IF(T60="IN TARGET BAND","Yes","No")</x:f>
        <x:v>Yes</x:v>
      </x:c>
      <x:c r="V60" t="n">
        <x:v>788</x:v>
      </x:c>
      <x:c r="W60" t="str">
        <x:v>Pasted text(56).txt</x:v>
      </x:c>
    </x:row>
    <x:row r="61">
      <x:c r="A61" t="str">
        <x:v>S03</x:v>
      </x:c>
      <x:c r="B61" t="str">
        <x:v>0.90 validated five-run session</x:v>
      </x:c>
      <x:c r="C61" s="54" t="n">
        <x:v>0.9</x:v>
      </x:c>
      <x:c r="D61" t="n">
        <x:v>2</x:v>
      </x:c>
      <x:c r="E61" t="str">
        <x:v>PASS</x:v>
      </x:c>
      <x:c r="F61" t="n">
        <x:v>1</x:v>
      </x:c>
      <x:c r="G61" t="n">
        <x:v>10</x:v>
      </x:c>
      <x:c r="H61" s="54" t="n">
        <x:v>9.5</x:v>
      </x:c>
      <x:c r="I61" s="54" t="n">
        <x:v>0.89968</x:v>
      </x:c>
      <x:c r="J61" s="54" t="n">
        <x:v>0.89968</x:v>
      </x:c>
      <x:c r="K61" s="54" t="n">
        <x:v>0.31513</x:v>
      </x:c>
      <x:c r="L61" s="54" t="n">
        <x:v>0.52468</x:v>
      </x:c>
      <x:c r="M61" s="54" t="n">
        <x:v>1.08834</x:v>
      </x:c>
      <x:c r="N61" s="56" t="n">
        <x:v>-0.04</x:v>
      </x:c>
      <x:c r="O61" s="56" t="n">
        <x:v>1.33</x:v>
      </x:c>
      <x:c r="P61" s="56" t="n">
        <x:v>0.9</x:v>
      </x:c>
      <x:c r="Q61" s="56" t="n">
        <x:v>90.9</x:v>
      </x:c>
      <x:c r="R61" t="str">
        <x:v>X</x:v>
      </x:c>
      <x:c r="S61" s="102" t="n">
        <x:v>100</x:v>
      </x:c>
      <x:c r="T61" t="str">
        <x:v>IN TARGET BAND</x:v>
      </x:c>
      <x:c r="U61" t="str">
        <x:f>IF(T61="IN TARGET BAND","Yes","No")</x:f>
        <x:v>Yes</x:v>
      </x:c>
      <x:c r="V61" t="n">
        <x:v>789</x:v>
      </x:c>
      <x:c r="W61" t="str">
        <x:v>Pasted text(56).txt</x:v>
      </x:c>
    </x:row>
    <x:row r="62">
      <x:c r="A62" t="str">
        <x:v>S03</x:v>
      </x:c>
      <x:c r="B62" t="str">
        <x:v>0.90 validated five-run session</x:v>
      </x:c>
      <x:c r="C62" s="54" t="n">
        <x:v>0.9</x:v>
      </x:c>
      <x:c r="D62" t="n">
        <x:v>3</x:v>
      </x:c>
      <x:c r="E62" t="str">
        <x:v>PASS</x:v>
      </x:c>
      <x:c r="F62" t="n">
        <x:v>2</x:v>
      </x:c>
      <x:c r="G62" t="n">
        <x:v>1</x:v>
      </x:c>
      <x:c r="H62" s="54" t="n">
        <x:v>9.25</x:v>
      </x:c>
      <x:c r="I62" s="54" t="n">
        <x:v>0.8975</x:v>
      </x:c>
      <x:c r="J62" s="54" t="n">
        <x:v>0.89542</x:v>
      </x:c>
      <x:c r="K62" s="54" t="n">
        <x:v>0.29501</x:v>
      </x:c>
      <x:c r="L62" s="54" t="n">
        <x:v>0.52086</x:v>
      </x:c>
      <x:c r="M62" s="54" t="n">
        <x:v>1.07728</x:v>
      </x:c>
      <x:c r="N62" s="56" t="n">
        <x:v>-0.28</x:v>
      </x:c>
      <x:c r="O62" s="56" t="n">
        <x:v>0.3</x:v>
      </x:c>
      <x:c r="P62" s="56" t="n">
        <x:v>0.59</x:v>
      </x:c>
      <x:c r="Q62" s="56" t="n">
        <x:v>90.8</x:v>
      </x:c>
      <x:c r="R62" t="str">
        <x:v>X</x:v>
      </x:c>
      <x:c r="S62" s="102" t="n">
        <x:v>100</x:v>
      </x:c>
      <x:c r="T62" t="str">
        <x:v>IN TARGET BAND</x:v>
      </x:c>
      <x:c r="U62" t="str">
        <x:f>IF(T62="IN TARGET BAND","Yes","No")</x:f>
        <x:v>Yes</x:v>
      </x:c>
      <x:c r="V62" t="n">
        <x:v>881</x:v>
      </x:c>
      <x:c r="W62" t="str">
        <x:v>Pasted text(56).txt</x:v>
      </x:c>
    </x:row>
    <x:row r="63">
      <x:c r="A63" t="str">
        <x:v>S03</x:v>
      </x:c>
      <x:c r="B63" t="str">
        <x:v>0.90 validated five-run session</x:v>
      </x:c>
      <x:c r="C63" s="54" t="n">
        <x:v>0.9</x:v>
      </x:c>
      <x:c r="D63" t="n">
        <x:v>3</x:v>
      </x:c>
      <x:c r="E63" t="str">
        <x:v>PASS</x:v>
      </x:c>
      <x:c r="F63" t="n">
        <x:v>2</x:v>
      </x:c>
      <x:c r="G63" t="n">
        <x:v>2</x:v>
      </x:c>
      <x:c r="H63" s="54" t="n">
        <x:v>9.25</x:v>
      </x:c>
      <x:c r="I63" s="54" t="n">
        <x:v>0.90479</x:v>
      </x:c>
      <x:c r="J63" s="54" t="n">
        <x:v>0.90591</x:v>
      </x:c>
      <x:c r="K63" s="54" t="n">
        <x:v>0.3148</x:v>
      </x:c>
      <x:c r="L63" s="54" t="n">
        <x:v>0.53907</x:v>
      </x:c>
      <x:c r="M63" s="54" t="n">
        <x:v>1.1003</x:v>
      </x:c>
      <x:c r="N63" s="56" t="n">
        <x:v>0.53</x:v>
      </x:c>
      <x:c r="O63" s="56" t="n">
        <x:v>0.75</x:v>
      </x:c>
      <x:c r="P63" s="56" t="n">
        <x:v>0.7</x:v>
      </x:c>
      <x:c r="Q63" s="56" t="n">
        <x:v>93.7</x:v>
      </x:c>
      <x:c r="R63" t="str">
        <x:v>X</x:v>
      </x:c>
      <x:c r="S63" s="102" t="n">
        <x:v>100</x:v>
      </x:c>
      <x:c r="T63" t="str">
        <x:v>IN TARGET BAND</x:v>
      </x:c>
      <x:c r="U63" t="str">
        <x:f>IF(T63="IN TARGET BAND","Yes","No")</x:f>
        <x:v>Yes</x:v>
      </x:c>
      <x:c r="V63" t="n">
        <x:v>882</x:v>
      </x:c>
      <x:c r="W63" t="str">
        <x:v>Pasted text(56).txt</x:v>
      </x:c>
    </x:row>
    <x:row r="64">
      <x:c r="A64" t="str">
        <x:v>S03</x:v>
      </x:c>
      <x:c r="B64" t="str">
        <x:v>0.90 validated five-run session</x:v>
      </x:c>
      <x:c r="C64" s="54" t="n">
        <x:v>0.9</x:v>
      </x:c>
      <x:c r="D64" t="n">
        <x:v>3</x:v>
      </x:c>
      <x:c r="E64" t="str">
        <x:v>PASS</x:v>
      </x:c>
      <x:c r="F64" t="n">
        <x:v>2</x:v>
      </x:c>
      <x:c r="G64" t="n">
        <x:v>3</x:v>
      </x:c>
      <x:c r="H64" s="54" t="n">
        <x:v>9.25</x:v>
      </x:c>
      <x:c r="I64" s="54" t="n">
        <x:v>0.88901</x:v>
      </x:c>
      <x:c r="J64" s="54" t="n">
        <x:v>0.89305</x:v>
      </x:c>
      <x:c r="K64" s="54" t="n">
        <x:v>0.29936</x:v>
      </x:c>
      <x:c r="L64" s="54" t="n">
        <x:v>0.53033</x:v>
      </x:c>
      <x:c r="M64" s="54" t="n">
        <x:v>1.08122</x:v>
      </x:c>
      <x:c r="N64" s="56" t="n">
        <x:v>-1.22</x:v>
      </x:c>
      <x:c r="O64" s="56" t="n">
        <x:v>1.66</x:v>
      </x:c>
      <x:c r="P64" s="56" t="n">
        <x:v>1.84</x:v>
      </x:c>
      <x:c r="Q64" s="56" t="n">
        <x:v>91.3</x:v>
      </x:c>
      <x:c r="R64" t="str">
        <x:v>X</x:v>
      </x:c>
      <x:c r="S64" s="102" t="n">
        <x:v>100</x:v>
      </x:c>
      <x:c r="T64" t="str">
        <x:v>IN TARGET BAND</x:v>
      </x:c>
      <x:c r="U64" t="str">
        <x:f>IF(T64="IN TARGET BAND","Yes","No")</x:f>
        <x:v>Yes</x:v>
      </x:c>
      <x:c r="V64" t="n">
        <x:v>883</x:v>
      </x:c>
      <x:c r="W64" t="str">
        <x:v>Pasted text(56).txt</x:v>
      </x:c>
    </x:row>
    <x:row r="65">
      <x:c r="A65" t="str">
        <x:v>S03</x:v>
      </x:c>
      <x:c r="B65" t="str">
        <x:v>0.90 validated five-run session</x:v>
      </x:c>
      <x:c r="C65" s="54" t="n">
        <x:v>0.9</x:v>
      </x:c>
      <x:c r="D65" t="n">
        <x:v>3</x:v>
      </x:c>
      <x:c r="E65" t="str">
        <x:v>PASS</x:v>
      </x:c>
      <x:c r="F65" t="n">
        <x:v>2</x:v>
      </x:c>
      <x:c r="G65" t="n">
        <x:v>4</x:v>
      </x:c>
      <x:c r="H65" s="54" t="n">
        <x:v>9.25</x:v>
      </x:c>
      <x:c r="I65" s="54" t="n">
        <x:v>0.91111</x:v>
      </x:c>
      <x:c r="J65" s="54" t="n">
        <x:v>0.90839</x:v>
      </x:c>
      <x:c r="K65" s="54" t="n">
        <x:v>0.31727</x:v>
      </x:c>
      <x:c r="L65" s="54" t="n">
        <x:v>0.53284</x:v>
      </x:c>
      <x:c r="M65" s="54" t="n">
        <x:v>1.09995</x:v>
      </x:c>
      <x:c r="N65" s="56" t="n">
        <x:v>1.23</x:v>
      </x:c>
      <x:c r="O65" s="56" t="n">
        <x:v>0.68</x:v>
      </x:c>
      <x:c r="P65" s="56" t="n">
        <x:v>0.94</x:v>
      </x:c>
      <x:c r="Q65" s="56" t="n">
        <x:v>92</x:v>
      </x:c>
      <x:c r="R65" t="str">
        <x:v>X</x:v>
      </x:c>
      <x:c r="S65" s="102" t="n">
        <x:v>100</x:v>
      </x:c>
      <x:c r="T65" t="str">
        <x:v>IN TARGET BAND</x:v>
      </x:c>
      <x:c r="U65" t="str">
        <x:f>IF(T65="IN TARGET BAND","Yes","No")</x:f>
        <x:v>Yes</x:v>
      </x:c>
      <x:c r="V65" t="n">
        <x:v>884</x:v>
      </x:c>
      <x:c r="W65" t="str">
        <x:v>Pasted text(56).txt</x:v>
      </x:c>
    </x:row>
    <x:row r="66">
      <x:c r="A66" t="str">
        <x:v>S03</x:v>
      </x:c>
      <x:c r="B66" t="str">
        <x:v>0.90 validated five-run session</x:v>
      </x:c>
      <x:c r="C66" s="54" t="n">
        <x:v>0.9</x:v>
      </x:c>
      <x:c r="D66" t="n">
        <x:v>3</x:v>
      </x:c>
      <x:c r="E66" t="str">
        <x:v>PASS</x:v>
      </x:c>
      <x:c r="F66" t="n">
        <x:v>2</x:v>
      </x:c>
      <x:c r="G66" t="n">
        <x:v>5</x:v>
      </x:c>
      <x:c r="H66" s="54" t="n">
        <x:v>9.25</x:v>
      </x:c>
      <x:c r="I66" s="54" t="n">
        <x:v>0.89641</x:v>
      </x:c>
      <x:c r="J66" s="54" t="n">
        <x:v>0.89787</x:v>
      </x:c>
      <x:c r="K66" s="54" t="n">
        <x:v>0.3187</x:v>
      </x:c>
      <x:c r="L66" s="54" t="n">
        <x:v>0.51824</x:v>
      </x:c>
      <x:c r="M66" s="54" t="n">
        <x:v>1.08471</x:v>
      </x:c>
      <x:c r="N66" s="56" t="n">
        <x:v>-0.4</x:v>
      </x:c>
      <x:c r="O66" s="56" t="n">
        <x:v>1</x:v>
      </x:c>
      <x:c r="P66" s="56" t="n">
        <x:v>0.93</x:v>
      </x:c>
      <x:c r="Q66" s="56" t="n">
        <x:v>91.1</x:v>
      </x:c>
      <x:c r="R66" t="str">
        <x:v>X</x:v>
      </x:c>
      <x:c r="S66" s="102" t="n">
        <x:v>100</x:v>
      </x:c>
      <x:c r="T66" t="str">
        <x:v>IN TARGET BAND</x:v>
      </x:c>
      <x:c r="U66" t="str">
        <x:f>IF(T66="IN TARGET BAND","Yes","No")</x:f>
        <x:v>Yes</x:v>
      </x:c>
      <x:c r="V66" t="n">
        <x:v>885</x:v>
      </x:c>
      <x:c r="W66" t="str">
        <x:v>Pasted text(56).txt</x:v>
      </x:c>
    </x:row>
    <x:row r="67">
      <x:c r="A67" t="str">
        <x:v>S03</x:v>
      </x:c>
      <x:c r="B67" t="str">
        <x:v>0.90 validated five-run session</x:v>
      </x:c>
      <x:c r="C67" s="54" t="n">
        <x:v>0.9</x:v>
      </x:c>
      <x:c r="D67" t="n">
        <x:v>3</x:v>
      </x:c>
      <x:c r="E67" t="str">
        <x:v>PASS</x:v>
      </x:c>
      <x:c r="F67" t="n">
        <x:v>2</x:v>
      </x:c>
      <x:c r="G67" t="n">
        <x:v>6</x:v>
      </x:c>
      <x:c r="H67" s="54" t="n">
        <x:v>9.25</x:v>
      </x:c>
      <x:c r="I67" s="54" t="n">
        <x:v>0.88421</x:v>
      </x:c>
      <x:c r="J67" s="54" t="n">
        <x:v>0.88662</x:v>
      </x:c>
      <x:c r="K67" s="54" t="n">
        <x:v>0.30931</x:v>
      </x:c>
      <x:c r="L67" s="54" t="n">
        <x:v>0.52236</x:v>
      </x:c>
      <x:c r="M67" s="54" t="n">
        <x:v>1.07458</x:v>
      </x:c>
      <x:c r="N67" s="56" t="n">
        <x:v>-1.75</x:v>
      </x:c>
      <x:c r="O67" s="56" t="n">
        <x:v>3.25</x:v>
      </x:c>
      <x:c r="P67" s="56" t="n">
        <x:v>2.61</x:v>
      </x:c>
      <x:c r="Q67" s="56" t="n">
        <x:v>90.7</x:v>
      </x:c>
      <x:c r="R67" t="str">
        <x:v>X</x:v>
      </x:c>
      <x:c r="S67" s="102" t="n">
        <x:v>100</x:v>
      </x:c>
      <x:c r="T67" t="str">
        <x:v>IN TARGET BAND</x:v>
      </x:c>
      <x:c r="U67" t="str">
        <x:f>IF(T67="IN TARGET BAND","Yes","No")</x:f>
        <x:v>Yes</x:v>
      </x:c>
      <x:c r="V67" t="n">
        <x:v>886</x:v>
      </x:c>
      <x:c r="W67" t="str">
        <x:v>Pasted text(56).txt</x:v>
      </x:c>
    </x:row>
    <x:row r="68">
      <x:c r="A68" t="str">
        <x:v>S03</x:v>
      </x:c>
      <x:c r="B68" t="str">
        <x:v>0.90 validated five-run session</x:v>
      </x:c>
      <x:c r="C68" s="54" t="n">
        <x:v>0.9</x:v>
      </x:c>
      <x:c r="D68" t="n">
        <x:v>3</x:v>
      </x:c>
      <x:c r="E68" t="str">
        <x:v>PASS</x:v>
      </x:c>
      <x:c r="F68" t="n">
        <x:v>2</x:v>
      </x:c>
      <x:c r="G68" t="n">
        <x:v>7</x:v>
      </x:c>
      <x:c r="H68" s="54" t="n">
        <x:v>9.25</x:v>
      </x:c>
      <x:c r="I68" s="54" t="n">
        <x:v>0.88599</x:v>
      </x:c>
      <x:c r="J68" s="54" t="n">
        <x:v>0.8916</x:v>
      </x:c>
      <x:c r="K68" s="54" t="n">
        <x:v>0.31432</x:v>
      </x:c>
      <x:c r="L68" s="54" t="n">
        <x:v>0.51571</x:v>
      </x:c>
      <x:c r="M68" s="54" t="n">
        <x:v>1.07753</x:v>
      </x:c>
      <x:c r="N68" s="56" t="n">
        <x:v>-1.56</x:v>
      </x:c>
      <x:c r="O68" s="56" t="n">
        <x:v>3.06</x:v>
      </x:c>
      <x:c r="P68" s="56" t="n">
        <x:v>3.05</x:v>
      </x:c>
      <x:c r="Q68" s="56" t="n">
        <x:v>90.5</x:v>
      </x:c>
      <x:c r="R68" t="str">
        <x:v>X</x:v>
      </x:c>
      <x:c r="S68" s="102" t="n">
        <x:v>100</x:v>
      </x:c>
      <x:c r="T68" t="str">
        <x:v>IN TARGET BAND</x:v>
      </x:c>
      <x:c r="U68" t="str">
        <x:f>IF(T68="IN TARGET BAND","Yes","No")</x:f>
        <x:v>Yes</x:v>
      </x:c>
      <x:c r="V68" t="n">
        <x:v>887</x:v>
      </x:c>
      <x:c r="W68" t="str">
        <x:v>Pasted text(56).txt</x:v>
      </x:c>
    </x:row>
    <x:row r="69">
      <x:c r="A69" t="str">
        <x:v>S03</x:v>
      </x:c>
      <x:c r="B69" t="str">
        <x:v>0.90 validated five-run session</x:v>
      </x:c>
      <x:c r="C69" s="54" t="n">
        <x:v>0.9</x:v>
      </x:c>
      <x:c r="D69" t="n">
        <x:v>3</x:v>
      </x:c>
      <x:c r="E69" t="str">
        <x:v>PASS</x:v>
      </x:c>
      <x:c r="F69" t="n">
        <x:v>2</x:v>
      </x:c>
      <x:c r="G69" t="n">
        <x:v>8</x:v>
      </x:c>
      <x:c r="H69" s="54" t="n">
        <x:v>9.25</x:v>
      </x:c>
      <x:c r="I69" s="54" t="n">
        <x:v>0.8981</x:v>
      </x:c>
      <x:c r="J69" s="54" t="n">
        <x:v>0.89876</x:v>
      </x:c>
      <x:c r="K69" s="54" t="n">
        <x:v>0.31942</x:v>
      </x:c>
      <x:c r="L69" s="54" t="n">
        <x:v>0.52291</x:v>
      </x:c>
      <x:c r="M69" s="54" t="n">
        <x:v>1.08783</x:v>
      </x:c>
      <x:c r="N69" s="56" t="n">
        <x:v>-0.21</x:v>
      </x:c>
      <x:c r="O69" s="56" t="n">
        <x:v>1.91</x:v>
      </x:c>
      <x:c r="P69" s="56" t="n">
        <x:v>1.4</x:v>
      </x:c>
      <x:c r="Q69" s="56" t="n">
        <x:v>91.9</x:v>
      </x:c>
      <x:c r="R69" t="str">
        <x:v>X</x:v>
      </x:c>
      <x:c r="S69" s="102" t="n">
        <x:v>100</x:v>
      </x:c>
      <x:c r="T69" t="str">
        <x:v>IN TARGET BAND</x:v>
      </x:c>
      <x:c r="U69" t="str">
        <x:f>IF(T69="IN TARGET BAND","Yes","No")</x:f>
        <x:v>Yes</x:v>
      </x:c>
      <x:c r="V69" t="n">
        <x:v>888</x:v>
      </x:c>
      <x:c r="W69" t="str">
        <x:v>Pasted text(56).txt</x:v>
      </x:c>
    </x:row>
    <x:row r="70">
      <x:c r="A70" t="str">
        <x:v>S03</x:v>
      </x:c>
      <x:c r="B70" t="str">
        <x:v>0.90 validated five-run session</x:v>
      </x:c>
      <x:c r="C70" s="54" t="n">
        <x:v>0.9</x:v>
      </x:c>
      <x:c r="D70" t="n">
        <x:v>3</x:v>
      </x:c>
      <x:c r="E70" t="str">
        <x:v>PASS</x:v>
      </x:c>
      <x:c r="F70" t="n">
        <x:v>2</x:v>
      </x:c>
      <x:c r="G70" t="n">
        <x:v>9</x:v>
      </x:c>
      <x:c r="H70" s="54" t="n">
        <x:v>9.25</x:v>
      </x:c>
      <x:c r="I70" s="54" t="n">
        <x:v>0.87761</x:v>
      </x:c>
      <x:c r="J70" s="54" t="n">
        <x:v>0.88168</x:v>
      </x:c>
      <x:c r="K70" s="54" t="n">
        <x:v>0.30927</x:v>
      </x:c>
      <x:c r="L70" s="54" t="n">
        <x:v>0.52602</x:v>
      </x:c>
      <x:c r="M70" s="54" t="n">
        <x:v>1.07255</x:v>
      </x:c>
      <x:c r="N70" s="56" t="n">
        <x:v>-2.49</x:v>
      </x:c>
      <x:c r="O70" s="56" t="n">
        <x:v>3.23</x:v>
      </x:c>
      <x:c r="P70" s="56" t="n">
        <x:v>2.89</x:v>
      </x:c>
      <x:c r="Q70" s="56" t="n">
        <x:v>90.6</x:v>
      </x:c>
      <x:c r="R70" t="str">
        <x:v>X</x:v>
      </x:c>
      <x:c r="S70" s="102" t="n">
        <x:v>100</x:v>
      </x:c>
      <x:c r="T70" t="str">
        <x:v>IN TARGET BAND</x:v>
      </x:c>
      <x:c r="U70" t="str">
        <x:f>IF(T70="IN TARGET BAND","Yes","No")</x:f>
        <x:v>Yes</x:v>
      </x:c>
      <x:c r="V70" t="n">
        <x:v>889</x:v>
      </x:c>
      <x:c r="W70" t="str">
        <x:v>Pasted text(56).txt</x:v>
      </x:c>
    </x:row>
    <x:row r="71">
      <x:c r="A71" t="str">
        <x:v>S03</x:v>
      </x:c>
      <x:c r="B71" t="str">
        <x:v>0.90 validated five-run session</x:v>
      </x:c>
      <x:c r="C71" s="54" t="n">
        <x:v>0.9</x:v>
      </x:c>
      <x:c r="D71" t="n">
        <x:v>3</x:v>
      </x:c>
      <x:c r="E71" t="str">
        <x:v>PASS</x:v>
      </x:c>
      <x:c r="F71" t="n">
        <x:v>2</x:v>
      </x:c>
      <x:c r="G71" t="n">
        <x:v>10</x:v>
      </x:c>
      <x:c r="H71" s="54" t="n">
        <x:v>9.25</x:v>
      </x:c>
      <x:c r="I71" s="54" t="n">
        <x:v>0.90185</x:v>
      </x:c>
      <x:c r="J71" s="54" t="n">
        <x:v>0.90686</x:v>
      </x:c>
      <x:c r="K71" s="54" t="n">
        <x:v>0.2974</x:v>
      </x:c>
      <x:c r="L71" s="54" t="n">
        <x:v>0.52764</x:v>
      </x:c>
      <x:c r="M71" s="54" t="n">
        <x:v>1.09065</x:v>
      </x:c>
      <x:c r="N71" s="56" t="n">
        <x:v>0.21</x:v>
      </x:c>
      <x:c r="O71" s="56" t="n">
        <x:v>2.7</x:v>
      </x:c>
      <x:c r="P71" s="56" t="n">
        <x:v>2.68</x:v>
      </x:c>
      <x:c r="Q71" s="56" t="n">
        <x:v>91.9</x:v>
      </x:c>
      <x:c r="R71" t="str">
        <x:v>X</x:v>
      </x:c>
      <x:c r="S71" s="102" t="n">
        <x:v>100</x:v>
      </x:c>
      <x:c r="T71" t="str">
        <x:v>IN TARGET BAND</x:v>
      </x:c>
      <x:c r="U71" t="str">
        <x:f>IF(T71="IN TARGET BAND","Yes","No")</x:f>
        <x:v>Yes</x:v>
      </x:c>
      <x:c r="V71" t="n">
        <x:v>890</x:v>
      </x:c>
      <x:c r="W71" t="str">
        <x:v>Pasted text(56).txt</x:v>
      </x:c>
    </x:row>
    <x:row r="72">
      <x:c r="A72" t="str">
        <x:v>S03</x:v>
      </x:c>
      <x:c r="B72" t="str">
        <x:v>0.90 validated five-run session</x:v>
      </x:c>
      <x:c r="C72" s="54" t="n">
        <x:v>0.9</x:v>
      </x:c>
      <x:c r="D72" t="n">
        <x:v>4</x:v>
      </x:c>
      <x:c r="E72" t="str">
        <x:v>PASS</x:v>
      </x:c>
      <x:c r="F72" t="n">
        <x:v>1</x:v>
      </x:c>
      <x:c r="G72" t="n">
        <x:v>1</x:v>
      </x:c>
      <x:c r="H72" s="54" t="n">
        <x:v>9.25</x:v>
      </x:c>
      <x:c r="I72" s="54" t="n">
        <x:v>0.90371</x:v>
      </x:c>
      <x:c r="J72" s="54" t="n">
        <x:v>0.90856</x:v>
      </x:c>
      <x:c r="K72" s="54" t="n">
        <x:v>0.30395</x:v>
      </x:c>
      <x:c r="L72" s="54" t="n">
        <x:v>0.51526</x:v>
      </x:c>
      <x:c r="M72" s="54" t="n">
        <x:v>1.08796</x:v>
      </x:c>
      <x:c r="N72" s="56" t="n">
        <x:v>0.41</x:v>
      </x:c>
      <x:c r="O72" s="56" t="n">
        <x:v>0.68</x:v>
      </x:c>
      <x:c r="P72" s="56" t="n">
        <x:v>1.34</x:v>
      </x:c>
      <x:c r="Q72" s="56" t="n">
        <x:v>92.1</x:v>
      </x:c>
      <x:c r="R72" t="str">
        <x:v>X</x:v>
      </x:c>
      <x:c r="S72" s="102" t="n">
        <x:v>100</x:v>
      </x:c>
      <x:c r="T72" t="str">
        <x:v>IN TARGET BAND</x:v>
      </x:c>
      <x:c r="U72" t="str">
        <x:f>IF(T72="IN TARGET BAND","Yes","No")</x:f>
        <x:v>Yes</x:v>
      </x:c>
      <x:c r="V72" t="n">
        <x:v>961</x:v>
      </x:c>
      <x:c r="W72" t="str">
        <x:v>Pasted text(56).txt</x:v>
      </x:c>
    </x:row>
    <x:row r="73">
      <x:c r="A73" t="str">
        <x:v>S03</x:v>
      </x:c>
      <x:c r="B73" t="str">
        <x:v>0.90 validated five-run session</x:v>
      </x:c>
      <x:c r="C73" s="54" t="n">
        <x:v>0.9</x:v>
      </x:c>
      <x:c r="D73" t="n">
        <x:v>4</x:v>
      </x:c>
      <x:c r="E73" t="str">
        <x:v>PASS</x:v>
      </x:c>
      <x:c r="F73" t="n">
        <x:v>1</x:v>
      </x:c>
      <x:c r="G73" t="n">
        <x:v>2</x:v>
      </x:c>
      <x:c r="H73" s="54" t="n">
        <x:v>9.25</x:v>
      </x:c>
      <x:c r="I73" s="54" t="n">
        <x:v>0.89493</x:v>
      </x:c>
      <x:c r="J73" s="54" t="n">
        <x:v>0.89683</x:v>
      </x:c>
      <x:c r="K73" s="54" t="n">
        <x:v>0.30622</x:v>
      </x:c>
      <x:c r="L73" s="54" t="n">
        <x:v>0.52373</x:v>
      </x:c>
      <x:c r="M73" s="54" t="n">
        <x:v>1.08289</x:v>
      </x:c>
      <x:c r="N73" s="56" t="n">
        <x:v>-0.56</x:v>
      </x:c>
      <x:c r="O73" s="56" t="n">
        <x:v>0.73</x:v>
      </x:c>
      <x:c r="P73" s="56" t="n">
        <x:v>0.83</x:v>
      </x:c>
      <x:c r="Q73" s="56" t="n">
        <x:v>91.4</x:v>
      </x:c>
      <x:c r="R73" t="str">
        <x:v>X</x:v>
      </x:c>
      <x:c r="S73" s="102" t="n">
        <x:v>100</x:v>
      </x:c>
      <x:c r="T73" t="str">
        <x:v>IN TARGET BAND</x:v>
      </x:c>
      <x:c r="U73" t="str">
        <x:f>IF(T73="IN TARGET BAND","Yes","No")</x:f>
        <x:v>Yes</x:v>
      </x:c>
      <x:c r="V73" t="n">
        <x:v>962</x:v>
      </x:c>
      <x:c r="W73" t="str">
        <x:v>Pasted text(56).txt</x:v>
      </x:c>
    </x:row>
    <x:row r="74">
      <x:c r="A74" t="str">
        <x:v>S03</x:v>
      </x:c>
      <x:c r="B74" t="str">
        <x:v>0.90 validated five-run session</x:v>
      </x:c>
      <x:c r="C74" s="54" t="n">
        <x:v>0.9</x:v>
      </x:c>
      <x:c r="D74" t="n">
        <x:v>4</x:v>
      </x:c>
      <x:c r="E74" t="str">
        <x:v>PASS</x:v>
      </x:c>
      <x:c r="F74" t="n">
        <x:v>1</x:v>
      </x:c>
      <x:c r="G74" t="n">
        <x:v>3</x:v>
      </x:c>
      <x:c r="H74" s="54" t="n">
        <x:v>9.25</x:v>
      </x:c>
      <x:c r="I74" s="54" t="n">
        <x:v>0.9139</x:v>
      </x:c>
      <x:c r="J74" s="54" t="n">
        <x:v>0.91343</x:v>
      </x:c>
      <x:c r="K74" s="54" t="n">
        <x:v>0.32427</x:v>
      </x:c>
      <x:c r="L74" s="54" t="n">
        <x:v>0.52279</x:v>
      </x:c>
      <x:c r="M74" s="54" t="n">
        <x:v>1.10137</x:v>
      </x:c>
      <x:c r="N74" s="56" t="n">
        <x:v>1.54</x:v>
      </x:c>
      <x:c r="O74" s="56" t="n">
        <x:v>0.29</x:v>
      </x:c>
      <x:c r="P74" s="56" t="n">
        <x:v>0.28</x:v>
      </x:c>
      <x:c r="Q74" s="56" t="n">
        <x:v>93</x:v>
      </x:c>
      <x:c r="R74" t="str">
        <x:v>X</x:v>
      </x:c>
      <x:c r="S74" s="102" t="n">
        <x:v>100</x:v>
      </x:c>
      <x:c r="T74" t="str">
        <x:v>IN TARGET BAND</x:v>
      </x:c>
      <x:c r="U74" t="str">
        <x:f>IF(T74="IN TARGET BAND","Yes","No")</x:f>
        <x:v>Yes</x:v>
      </x:c>
      <x:c r="V74" t="n">
        <x:v>963</x:v>
      </x:c>
      <x:c r="W74" t="str">
        <x:v>Pasted text(56).txt</x:v>
      </x:c>
    </x:row>
    <x:row r="75">
      <x:c r="A75" t="str">
        <x:v>S03</x:v>
      </x:c>
      <x:c r="B75" t="str">
        <x:v>0.90 validated five-run session</x:v>
      </x:c>
      <x:c r="C75" s="54" t="n">
        <x:v>0.9</x:v>
      </x:c>
      <x:c r="D75" t="n">
        <x:v>4</x:v>
      </x:c>
      <x:c r="E75" t="str">
        <x:v>PASS</x:v>
      </x:c>
      <x:c r="F75" t="n">
        <x:v>1</x:v>
      </x:c>
      <x:c r="G75" t="n">
        <x:v>4</x:v>
      </x:c>
      <x:c r="H75" s="54" t="n">
        <x:v>9.25</x:v>
      </x:c>
      <x:c r="I75" s="54" t="n">
        <x:v>0.90577</x:v>
      </x:c>
      <x:c r="J75" s="54" t="n">
        <x:v>0.90429</x:v>
      </x:c>
      <x:c r="K75" s="54" t="n">
        <x:v>0.3294</x:v>
      </x:c>
      <x:c r="L75" s="54" t="n">
        <x:v>0.50784</x:v>
      </x:c>
      <x:c r="M75" s="54" t="n">
        <x:v>1.08841</x:v>
      </x:c>
      <x:c r="N75" s="56" t="n">
        <x:v>0.64</x:v>
      </x:c>
      <x:c r="O75" s="56" t="n">
        <x:v>1.22</x:v>
      </x:c>
      <x:c r="P75" s="56" t="n">
        <x:v>1.08</x:v>
      </x:c>
      <x:c r="Q75" s="56" t="n">
        <x:v>91.9</x:v>
      </x:c>
      <x:c r="R75" t="str">
        <x:v>X</x:v>
      </x:c>
      <x:c r="S75" s="102" t="n">
        <x:v>100</x:v>
      </x:c>
      <x:c r="T75" t="str">
        <x:v>IN TARGET BAND</x:v>
      </x:c>
      <x:c r="U75" t="str">
        <x:f>IF(T75="IN TARGET BAND","Yes","No")</x:f>
        <x:v>Yes</x:v>
      </x:c>
      <x:c r="V75" t="n">
        <x:v>964</x:v>
      </x:c>
      <x:c r="W75" t="str">
        <x:v>Pasted text(56).txt</x:v>
      </x:c>
    </x:row>
    <x:row r="76">
      <x:c r="A76" t="str">
        <x:v>S03</x:v>
      </x:c>
      <x:c r="B76" t="str">
        <x:v>0.90 validated five-run session</x:v>
      </x:c>
      <x:c r="C76" s="54" t="n">
        <x:v>0.9</x:v>
      </x:c>
      <x:c r="D76" t="n">
        <x:v>4</x:v>
      </x:c>
      <x:c r="E76" t="str">
        <x:v>PASS</x:v>
      </x:c>
      <x:c r="F76" t="n">
        <x:v>1</x:v>
      </x:c>
      <x:c r="G76" t="n">
        <x:v>5</x:v>
      </x:c>
      <x:c r="H76" s="54" t="n">
        <x:v>9.25</x:v>
      </x:c>
      <x:c r="I76" s="54" t="n">
        <x:v>0.90874</x:v>
      </x:c>
      <x:c r="J76" s="54" t="n">
        <x:v>0.90533</x:v>
      </x:c>
      <x:c r="K76" s="54" t="n">
        <x:v>0.31909</x:v>
      </x:c>
      <x:c r="L76" s="54" t="n">
        <x:v>0.52751</x:v>
      </x:c>
      <x:c r="M76" s="54" t="n">
        <x:v>1.09555</x:v>
      </x:c>
      <x:c r="N76" s="56" t="n">
        <x:v>0.97</x:v>
      </x:c>
      <x:c r="O76" s="56" t="n">
        <x:v>0.62</x:v>
      </x:c>
      <x:c r="P76" s="56" t="n">
        <x:v>1.04</x:v>
      </x:c>
      <x:c r="Q76" s="56" t="n">
        <x:v>92.2</x:v>
      </x:c>
      <x:c r="R76" t="str">
        <x:v>X</x:v>
      </x:c>
      <x:c r="S76" s="102" t="n">
        <x:v>100</x:v>
      </x:c>
      <x:c r="T76" t="str">
        <x:v>IN TARGET BAND</x:v>
      </x:c>
      <x:c r="U76" t="str">
        <x:f>IF(T76="IN TARGET BAND","Yes","No")</x:f>
        <x:v>Yes</x:v>
      </x:c>
      <x:c r="V76" t="n">
        <x:v>965</x:v>
      </x:c>
      <x:c r="W76" t="str">
        <x:v>Pasted text(56).txt</x:v>
      </x:c>
    </x:row>
    <x:row r="77">
      <x:c r="A77" t="str">
        <x:v>S03</x:v>
      </x:c>
      <x:c r="B77" t="str">
        <x:v>0.90 validated five-run session</x:v>
      </x:c>
      <x:c r="C77" s="54" t="n">
        <x:v>0.9</x:v>
      </x:c>
      <x:c r="D77" t="n">
        <x:v>4</x:v>
      </x:c>
      <x:c r="E77" t="str">
        <x:v>PASS</x:v>
      </x:c>
      <x:c r="F77" t="n">
        <x:v>1</x:v>
      </x:c>
      <x:c r="G77" t="n">
        <x:v>6</x:v>
      </x:c>
      <x:c r="H77" s="54" t="n">
        <x:v>9.25</x:v>
      </x:c>
      <x:c r="I77" s="54" t="n">
        <x:v>0.90864</x:v>
      </x:c>
      <x:c r="J77" s="54" t="n">
        <x:v>0.90286</x:v>
      </x:c>
      <x:c r="K77" s="54" t="n">
        <x:v>0.29969</x:v>
      </x:c>
      <x:c r="L77" s="54" t="n">
        <x:v>0.51237</x:v>
      </x:c>
      <x:c r="M77" s="54" t="n">
        <x:v>1.08059</x:v>
      </x:c>
      <x:c r="N77" s="56" t="n">
        <x:v>0.96</x:v>
      </x:c>
      <x:c r="O77" s="56" t="n">
        <x:v>0.86</x:v>
      </x:c>
      <x:c r="P77" s="56" t="n">
        <x:v>1.64</x:v>
      </x:c>
      <x:c r="Q77" s="56" t="n">
        <x:v>91.7</x:v>
      </x:c>
      <x:c r="R77" t="str">
        <x:v>X</x:v>
      </x:c>
      <x:c r="S77" s="102" t="n">
        <x:v>100</x:v>
      </x:c>
      <x:c r="T77" t="str">
        <x:v>IN TARGET BAND</x:v>
      </x:c>
      <x:c r="U77" t="str">
        <x:f>IF(T77="IN TARGET BAND","Yes","No")</x:f>
        <x:v>Yes</x:v>
      </x:c>
      <x:c r="V77" t="n">
        <x:v>966</x:v>
      </x:c>
      <x:c r="W77" t="str">
        <x:v>Pasted text(56).txt</x:v>
      </x:c>
    </x:row>
    <x:row r="78">
      <x:c r="A78" t="str">
        <x:v>S03</x:v>
      </x:c>
      <x:c r="B78" t="str">
        <x:v>0.90 validated five-run session</x:v>
      </x:c>
      <x:c r="C78" s="54" t="n">
        <x:v>0.9</x:v>
      </x:c>
      <x:c r="D78" t="n">
        <x:v>4</x:v>
      </x:c>
      <x:c r="E78" t="str">
        <x:v>PASS</x:v>
      </x:c>
      <x:c r="F78" t="n">
        <x:v>1</x:v>
      </x:c>
      <x:c r="G78" t="n">
        <x:v>7</x:v>
      </x:c>
      <x:c r="H78" s="54" t="n">
        <x:v>9.25</x:v>
      </x:c>
      <x:c r="I78" s="54" t="n">
        <x:v>0.89769</x:v>
      </x:c>
      <x:c r="J78" s="54" t="n">
        <x:v>0.90216</x:v>
      </x:c>
      <x:c r="K78" s="54" t="n">
        <x:v>0.3021</x:v>
      </x:c>
      <x:c r="L78" s="54" t="n">
        <x:v>0.52765</x:v>
      </x:c>
      <x:c r="M78" s="54" t="n">
        <x:v>1.08825</x:v>
      </x:c>
      <x:c r="N78" s="56" t="n">
        <x:v>-0.26</x:v>
      </x:c>
      <x:c r="O78" s="56" t="n">
        <x:v>2.17</x:v>
      </x:c>
      <x:c r="P78" s="56" t="n">
        <x:v>2.24</x:v>
      </x:c>
      <x:c r="Q78" s="56" t="n">
        <x:v>90.8</x:v>
      </x:c>
      <x:c r="R78" t="str">
        <x:v>X</x:v>
      </x:c>
      <x:c r="S78" s="102" t="n">
        <x:v>100</x:v>
      </x:c>
      <x:c r="T78" t="str">
        <x:v>IN TARGET BAND</x:v>
      </x:c>
      <x:c r="U78" t="str">
        <x:f>IF(T78="IN TARGET BAND","Yes","No")</x:f>
        <x:v>Yes</x:v>
      </x:c>
      <x:c r="V78" t="n">
        <x:v>967</x:v>
      </x:c>
      <x:c r="W78" t="str">
        <x:v>Pasted text(56).txt</x:v>
      </x:c>
    </x:row>
    <x:row r="79">
      <x:c r="A79" t="str">
        <x:v>S03</x:v>
      </x:c>
      <x:c r="B79" t="str">
        <x:v>0.90 validated five-run session</x:v>
      </x:c>
      <x:c r="C79" s="54" t="n">
        <x:v>0.9</x:v>
      </x:c>
      <x:c r="D79" t="n">
        <x:v>4</x:v>
      </x:c>
      <x:c r="E79" t="str">
        <x:v>PASS</x:v>
      </x:c>
      <x:c r="F79" t="n">
        <x:v>1</x:v>
      </x:c>
      <x:c r="G79" t="n">
        <x:v>8</x:v>
      </x:c>
      <x:c r="H79" s="54" t="n">
        <x:v>9.25</x:v>
      </x:c>
      <x:c r="I79" s="54" t="n">
        <x:v>0.9207</x:v>
      </x:c>
      <x:c r="J79" s="54" t="n">
        <x:v>0.91434</x:v>
      </x:c>
      <x:c r="K79" s="54" t="n">
        <x:v>0.3244</x:v>
      </x:c>
      <x:c r="L79" s="54" t="n">
        <x:v>0.51615</x:v>
      </x:c>
      <x:c r="M79" s="54" t="n">
        <x:v>1.09909</x:v>
      </x:c>
      <x:c r="N79" s="56" t="n">
        <x:v>2.3</x:v>
      </x:c>
      <x:c r="O79" s="56" t="n">
        <x:v>0.23</x:v>
      </x:c>
      <x:c r="P79" s="56" t="n">
        <x:v>1.34</x:v>
      </x:c>
      <x:c r="Q79" s="56" t="n">
        <x:v>92.3</x:v>
      </x:c>
      <x:c r="R79" t="str">
        <x:v>X</x:v>
      </x:c>
      <x:c r="S79" s="102" t="n">
        <x:v>100</x:v>
      </x:c>
      <x:c r="T79" t="str">
        <x:v>IN TARGET BAND</x:v>
      </x:c>
      <x:c r="U79" t="str">
        <x:f>IF(T79="IN TARGET BAND","Yes","No")</x:f>
        <x:v>Yes</x:v>
      </x:c>
      <x:c r="V79" t="n">
        <x:v>968</x:v>
      </x:c>
      <x:c r="W79" t="str">
        <x:v>Pasted text(56).txt</x:v>
      </x:c>
    </x:row>
    <x:row r="80">
      <x:c r="A80" t="str">
        <x:v>S03</x:v>
      </x:c>
      <x:c r="B80" t="str">
        <x:v>0.90 validated five-run session</x:v>
      </x:c>
      <x:c r="C80" s="54" t="n">
        <x:v>0.9</x:v>
      </x:c>
      <x:c r="D80" t="n">
        <x:v>4</x:v>
      </x:c>
      <x:c r="E80" t="str">
        <x:v>PASS</x:v>
      </x:c>
      <x:c r="F80" t="n">
        <x:v>1</x:v>
      </x:c>
      <x:c r="G80" t="n">
        <x:v>9</x:v>
      </x:c>
      <x:c r="H80" s="54" t="n">
        <x:v>9.25</x:v>
      </x:c>
      <x:c r="I80" s="54" t="n">
        <x:v>0.90319</x:v>
      </x:c>
      <x:c r="J80" s="54" t="n">
        <x:v>0.90042</x:v>
      </x:c>
      <x:c r="K80" s="54" t="n">
        <x:v>0.30323</x:v>
      </x:c>
      <x:c r="L80" s="54" t="n">
        <x:v>0.50885</x:v>
      </x:c>
      <x:c r="M80" s="54" t="n">
        <x:v>1.07791</x:v>
      </x:c>
      <x:c r="N80" s="56" t="n">
        <x:v>0.35</x:v>
      </x:c>
      <x:c r="O80" s="56" t="n">
        <x:v>0</x:v>
      </x:c>
      <x:c r="P80" s="56" t="n">
        <x:v>0.53</x:v>
      </x:c>
      <x:c r="Q80" s="56" t="n">
        <x:v>91.7</x:v>
      </x:c>
      <x:c r="R80" t="str">
        <x:v>X</x:v>
      </x:c>
      <x:c r="S80" s="102" t="n">
        <x:v>100</x:v>
      </x:c>
      <x:c r="T80" t="str">
        <x:v>IN TARGET BAND</x:v>
      </x:c>
      <x:c r="U80" t="str">
        <x:f>IF(T80="IN TARGET BAND","Yes","No")</x:f>
        <x:v>Yes</x:v>
      </x:c>
      <x:c r="V80" t="n">
        <x:v>969</x:v>
      </x:c>
      <x:c r="W80" t="str">
        <x:v>Pasted text(56).txt</x:v>
      </x:c>
    </x:row>
    <x:row r="81">
      <x:c r="A81" t="str">
        <x:v>S03</x:v>
      </x:c>
      <x:c r="B81" t="str">
        <x:v>0.90 validated five-run session</x:v>
      </x:c>
      <x:c r="C81" s="54" t="n">
        <x:v>0.9</x:v>
      </x:c>
      <x:c r="D81" t="n">
        <x:v>4</x:v>
      </x:c>
      <x:c r="E81" t="str">
        <x:v>PASS</x:v>
      </x:c>
      <x:c r="F81" t="n">
        <x:v>1</x:v>
      </x:c>
      <x:c r="G81" t="n">
        <x:v>10</x:v>
      </x:c>
      <x:c r="H81" s="54" t="n">
        <x:v>9.25</x:v>
      </x:c>
      <x:c r="I81" s="54" t="n">
        <x:v>0.89596</x:v>
      </x:c>
      <x:c r="J81" s="54" t="n">
        <x:v>0.89897</x:v>
      </x:c>
      <x:c r="K81" s="54" t="n">
        <x:v>0.31984</x:v>
      </x:c>
      <x:c r="L81" s="54" t="n">
        <x:v>0.5117</x:v>
      </x:c>
      <x:c r="M81" s="54" t="n">
        <x:v>1.08284</x:v>
      </x:c>
      <x:c r="N81" s="56" t="n">
        <x:v>-0.45</x:v>
      </x:c>
      <x:c r="O81" s="56" t="n">
        <x:v>0.97</x:v>
      </x:c>
      <x:c r="P81" s="56" t="n">
        <x:v>1.19</x:v>
      </x:c>
      <x:c r="Q81" s="56" t="n">
        <x:v>92.1</x:v>
      </x:c>
      <x:c r="R81" t="str">
        <x:v>X</x:v>
      </x:c>
      <x:c r="S81" s="102" t="n">
        <x:v>100</x:v>
      </x:c>
      <x:c r="T81" t="str">
        <x:v>IN TARGET BAND</x:v>
      </x:c>
      <x:c r="U81" t="str">
        <x:f>IF(T81="IN TARGET BAND","Yes","No")</x:f>
        <x:v>Yes</x:v>
      </x:c>
      <x:c r="V81" t="n">
        <x:v>970</x:v>
      </x:c>
      <x:c r="W81" t="str">
        <x:v>Pasted text(56).txt</x:v>
      </x:c>
    </x:row>
    <x:row r="82">
      <x:c r="A82" t="str">
        <x:v>S03</x:v>
      </x:c>
      <x:c r="B82" t="str">
        <x:v>0.90 validated five-run session</x:v>
      </x:c>
      <x:c r="C82" s="54" t="n">
        <x:v>0.9</x:v>
      </x:c>
      <x:c r="D82" t="n">
        <x:v>5</x:v>
      </x:c>
      <x:c r="E82" t="str">
        <x:v>PASS</x:v>
      </x:c>
      <x:c r="F82" t="n">
        <x:v>1</x:v>
      </x:c>
      <x:c r="G82" t="n">
        <x:v>1</x:v>
      </x:c>
      <x:c r="H82" s="54" t="n">
        <x:v>9</x:v>
      </x:c>
      <x:c r="I82" s="54" t="n">
        <x:v>0.87243</x:v>
      </x:c>
      <x:c r="J82" s="54" t="n">
        <x:v>0.87745</x:v>
      </x:c>
      <x:c r="K82" s="54" t="n">
        <x:v>0.30783</x:v>
      </x:c>
      <x:c r="L82" s="54" t="n">
        <x:v>0.52108</x:v>
      </x:c>
      <x:c r="M82" s="54" t="n">
        <x:v>1.06597</x:v>
      </x:c>
      <x:c r="N82" s="56" t="n">
        <x:v>-3.06</x:v>
      </x:c>
      <x:c r="O82" s="56" t="n">
        <x:v>2.46</x:v>
      </x:c>
      <x:c r="P82" s="56" t="n">
        <x:v>2.56</x:v>
      </x:c>
      <x:c r="Q82" s="56" t="n">
        <x:v>91.5</x:v>
      </x:c>
      <x:c r="R82" t="str">
        <x:v>X</x:v>
      </x:c>
      <x:c r="S82" s="102" t="n">
        <x:v>100</x:v>
      </x:c>
      <x:c r="T82" t="str">
        <x:v>IN TARGET BAND</x:v>
      </x:c>
      <x:c r="U82" t="str">
        <x:f>IF(T82="IN TARGET BAND","Yes","No")</x:f>
        <x:v>Yes</x:v>
      </x:c>
      <x:c r="V82" t="n">
        <x:v>1041</x:v>
      </x:c>
      <x:c r="W82" t="str">
        <x:v>Pasted text(56).txt</x:v>
      </x:c>
    </x:row>
    <x:row r="83">
      <x:c r="A83" t="str">
        <x:v>S03</x:v>
      </x:c>
      <x:c r="B83" t="str">
        <x:v>0.90 validated five-run session</x:v>
      </x:c>
      <x:c r="C83" s="54" t="n">
        <x:v>0.9</x:v>
      </x:c>
      <x:c r="D83" t="n">
        <x:v>5</x:v>
      </x:c>
      <x:c r="E83" t="str">
        <x:v>PASS</x:v>
      </x:c>
      <x:c r="F83" t="n">
        <x:v>1</x:v>
      </x:c>
      <x:c r="G83" t="n">
        <x:v>2</x:v>
      </x:c>
      <x:c r="H83" s="54" t="n">
        <x:v>9</x:v>
      </x:c>
      <x:c r="I83" s="54" t="n">
        <x:v>0.87284</x:v>
      </x:c>
      <x:c r="J83" s="54" t="n">
        <x:v>0.87846</x:v>
      </x:c>
      <x:c r="K83" s="54" t="n">
        <x:v>0.30584</x:v>
      </x:c>
      <x:c r="L83" s="54" t="n">
        <x:v>0.52345</x:v>
      </x:c>
      <x:c r="M83" s="54" t="n">
        <x:v>1.06748</x:v>
      </x:c>
      <x:c r="N83" s="56" t="n">
        <x:v>-3.02</x:v>
      </x:c>
      <x:c r="O83" s="56" t="n">
        <x:v>1.44</x:v>
      </x:c>
      <x:c r="P83" s="56" t="n">
        <x:v>2</x:v>
      </x:c>
      <x:c r="Q83" s="56" t="n">
        <x:v>91.2</x:v>
      </x:c>
      <x:c r="R83" t="str">
        <x:v>X</x:v>
      </x:c>
      <x:c r="S83" s="102" t="n">
        <x:v>100</x:v>
      </x:c>
      <x:c r="T83" t="str">
        <x:v>IN TARGET BAND</x:v>
      </x:c>
      <x:c r="U83" t="str">
        <x:f>IF(T83="IN TARGET BAND","Yes","No")</x:f>
        <x:v>Yes</x:v>
      </x:c>
      <x:c r="V83" t="n">
        <x:v>1042</x:v>
      </x:c>
      <x:c r="W83" t="str">
        <x:v>Pasted text(56).txt</x:v>
      </x:c>
    </x:row>
    <x:row r="84">
      <x:c r="A84" t="str">
        <x:v>S03</x:v>
      </x:c>
      <x:c r="B84" t="str">
        <x:v>0.90 validated five-run session</x:v>
      </x:c>
      <x:c r="C84" s="54" t="n">
        <x:v>0.9</x:v>
      </x:c>
      <x:c r="D84" t="n">
        <x:v>5</x:v>
      </x:c>
      <x:c r="E84" t="str">
        <x:v>PASS</x:v>
      </x:c>
      <x:c r="F84" t="n">
        <x:v>1</x:v>
      </x:c>
      <x:c r="G84" t="n">
        <x:v>3</x:v>
      </x:c>
      <x:c r="H84" s="54" t="n">
        <x:v>9</x:v>
      </x:c>
      <x:c r="I84" s="54" t="n">
        <x:v>0.86016</x:v>
      </x:c>
      <x:c r="J84" s="54" t="n">
        <x:v>0.86642</x:v>
      </x:c>
      <x:c r="K84" s="54" t="n">
        <x:v>0.29692</x:v>
      </x:c>
      <x:c r="L84" s="54" t="n">
        <x:v>0.50029</x:v>
      </x:c>
      <x:c r="M84" s="54" t="n">
        <x:v>1.04456</x:v>
      </x:c>
      <x:c r="N84" s="56" t="n">
        <x:v>-4.43</x:v>
      </x:c>
      <x:c r="O84" s="56" t="n">
        <x:v>0.85</x:v>
      </x:c>
      <x:c r="P84" s="56" t="n">
        <x:v>1.77</x:v>
      </x:c>
      <x:c r="Q84" s="56" t="n">
        <x:v>90.9</x:v>
      </x:c>
      <x:c r="R84" t="str">
        <x:v>X</x:v>
      </x:c>
      <x:c r="S84" s="102" t="n">
        <x:v>100</x:v>
      </x:c>
      <x:c r="T84" t="str">
        <x:v>IN TARGET BAND</x:v>
      </x:c>
      <x:c r="U84" t="str">
        <x:f>IF(T84="IN TARGET BAND","Yes","No")</x:f>
        <x:v>Yes</x:v>
      </x:c>
      <x:c r="V84" t="n">
        <x:v>1043</x:v>
      </x:c>
      <x:c r="W84" t="str">
        <x:v>Pasted text(56).txt</x:v>
      </x:c>
    </x:row>
    <x:row r="85">
      <x:c r="A85" t="str">
        <x:v>S03</x:v>
      </x:c>
      <x:c r="B85" t="str">
        <x:v>0.90 validated five-run session</x:v>
      </x:c>
      <x:c r="C85" s="54" t="n">
        <x:v>0.9</x:v>
      </x:c>
      <x:c r="D85" t="n">
        <x:v>5</x:v>
      </x:c>
      <x:c r="E85" t="str">
        <x:v>PASS</x:v>
      </x:c>
      <x:c r="F85" t="n">
        <x:v>1</x:v>
      </x:c>
      <x:c r="G85" t="n">
        <x:v>4</x:v>
      </x:c>
      <x:c r="H85" s="54" t="n">
        <x:v>9</x:v>
      </x:c>
      <x:c r="I85" s="54" t="n">
        <x:v>0.89187</x:v>
      </x:c>
      <x:c r="J85" s="54" t="n">
        <x:v>0.88368</x:v>
      </x:c>
      <x:c r="K85" s="54" t="n">
        <x:v>0.30942</x:v>
      </x:c>
      <x:c r="L85" s="54" t="n">
        <x:v>0.49779</x:v>
      </x:c>
      <x:c r="M85" s="54" t="n">
        <x:v>1.06064</x:v>
      </x:c>
      <x:c r="N85" s="56" t="n">
        <x:v>-0.9</x:v>
      </x:c>
      <x:c r="O85" s="56" t="n">
        <x:v>1.03</x:v>
      </x:c>
      <x:c r="P85" s="56" t="n">
        <x:v>2.24</x:v>
      </x:c>
      <x:c r="Q85" s="56" t="n">
        <x:v>92.6</x:v>
      </x:c>
      <x:c r="R85" t="str">
        <x:v>X</x:v>
      </x:c>
      <x:c r="S85" s="102" t="n">
        <x:v>100</x:v>
      </x:c>
      <x:c r="T85" t="str">
        <x:v>IN TARGET BAND</x:v>
      </x:c>
      <x:c r="U85" t="str">
        <x:f>IF(T85="IN TARGET BAND","Yes","No")</x:f>
        <x:v>Yes</x:v>
      </x:c>
      <x:c r="V85" t="n">
        <x:v>1044</x:v>
      </x:c>
      <x:c r="W85" t="str">
        <x:v>Pasted text(56).txt</x:v>
      </x:c>
    </x:row>
    <x:row r="86">
      <x:c r="A86" t="str">
        <x:v>S03</x:v>
      </x:c>
      <x:c r="B86" t="str">
        <x:v>0.90 validated five-run session</x:v>
      </x:c>
      <x:c r="C86" s="54" t="n">
        <x:v>0.9</x:v>
      </x:c>
      <x:c r="D86" t="n">
        <x:v>5</x:v>
      </x:c>
      <x:c r="E86" t="str">
        <x:v>PASS</x:v>
      </x:c>
      <x:c r="F86" t="n">
        <x:v>1</x:v>
      </x:c>
      <x:c r="G86" t="n">
        <x:v>5</x:v>
      </x:c>
      <x:c r="H86" s="54" t="n">
        <x:v>9</x:v>
      </x:c>
      <x:c r="I86" s="54" t="n">
        <x:v>0.88617</x:v>
      </x:c>
      <x:c r="J86" s="54" t="n">
        <x:v>0.88371</x:v>
      </x:c>
      <x:c r="K86" s="54" t="n">
        <x:v>0.30979</x:v>
      </x:c>
      <x:c r="L86" s="54" t="n">
        <x:v>0.49718</x:v>
      </x:c>
      <x:c r="M86" s="54" t="n">
        <x:v>1.06026</x:v>
      </x:c>
      <x:c r="N86" s="56" t="n">
        <x:v>-1.54</x:v>
      </x:c>
      <x:c r="O86" s="56" t="n">
        <x:v>2.38</x:v>
      </x:c>
      <x:c r="P86" s="56" t="n">
        <x:v>2.04</x:v>
      </x:c>
      <x:c r="Q86" s="56" t="n">
        <x:v>91.3</x:v>
      </x:c>
      <x:c r="R86" t="str">
        <x:v>X</x:v>
      </x:c>
      <x:c r="S86" s="102" t="n">
        <x:v>100</x:v>
      </x:c>
      <x:c r="T86" t="str">
        <x:v>IN TARGET BAND</x:v>
      </x:c>
      <x:c r="U86" t="str">
        <x:f>IF(T86="IN TARGET BAND","Yes","No")</x:f>
        <x:v>Yes</x:v>
      </x:c>
      <x:c r="V86" t="n">
        <x:v>1045</x:v>
      </x:c>
      <x:c r="W86" t="str">
        <x:v>Pasted text(56).txt</x:v>
      </x:c>
    </x:row>
    <x:row r="87">
      <x:c r="A87" t="str">
        <x:v>S03</x:v>
      </x:c>
      <x:c r="B87" t="str">
        <x:v>0.90 validated five-run session</x:v>
      </x:c>
      <x:c r="C87" s="54" t="n">
        <x:v>0.9</x:v>
      </x:c>
      <x:c r="D87" t="n">
        <x:v>5</x:v>
      </x:c>
      <x:c r="E87" t="str">
        <x:v>PASS</x:v>
      </x:c>
      <x:c r="F87" t="n">
        <x:v>1</x:v>
      </x:c>
      <x:c r="G87" t="n">
        <x:v>6</x:v>
      </x:c>
      <x:c r="H87" s="54" t="n">
        <x:v>9</x:v>
      </x:c>
      <x:c r="I87" s="54" t="n">
        <x:v>0.87876</x:v>
      </x:c>
      <x:c r="J87" s="54" t="n">
        <x:v>0.87695</x:v>
      </x:c>
      <x:c r="K87" s="54" t="n">
        <x:v>0.31245</x:v>
      </x:c>
      <x:c r="L87" s="54" t="n">
        <x:v>0.51876</x:v>
      </x:c>
      <x:c r="M87" s="54" t="n">
        <x:v>1.06594</x:v>
      </x:c>
      <x:c r="N87" s="56" t="n">
        <x:v>-2.36</x:v>
      </x:c>
      <x:c r="O87" s="56" t="n">
        <x:v>3.3</x:v>
      </x:c>
      <x:c r="P87" s="56" t="n">
        <x:v>2.55</x:v>
      </x:c>
      <x:c r="Q87" s="56" t="n">
        <x:v>92</x:v>
      </x:c>
      <x:c r="R87" t="str">
        <x:v>X</x:v>
      </x:c>
      <x:c r="S87" s="102" t="n">
        <x:v>100</x:v>
      </x:c>
      <x:c r="T87" t="str">
        <x:v>IN TARGET BAND</x:v>
      </x:c>
      <x:c r="U87" t="str">
        <x:f>IF(T87="IN TARGET BAND","Yes","No")</x:f>
        <x:v>Yes</x:v>
      </x:c>
      <x:c r="V87" t="n">
        <x:v>1046</x:v>
      </x:c>
      <x:c r="W87" t="str">
        <x:v>Pasted text(56).txt</x:v>
      </x:c>
    </x:row>
    <x:row r="88">
      <x:c r="A88" t="str">
        <x:v>S03</x:v>
      </x:c>
      <x:c r="B88" t="str">
        <x:v>0.90 validated five-run session</x:v>
      </x:c>
      <x:c r="C88" s="54" t="n">
        <x:v>0.9</x:v>
      </x:c>
      <x:c r="D88" t="n">
        <x:v>5</x:v>
      </x:c>
      <x:c r="E88" t="str">
        <x:v>PASS</x:v>
      </x:c>
      <x:c r="F88" t="n">
        <x:v>1</x:v>
      </x:c>
      <x:c r="G88" t="n">
        <x:v>7</x:v>
      </x:c>
      <x:c r="H88" s="54" t="n">
        <x:v>9</x:v>
      </x:c>
      <x:c r="I88" s="54" t="n">
        <x:v>0.88427</x:v>
      </x:c>
      <x:c r="J88" s="54" t="n">
        <x:v>0.88454</x:v>
      </x:c>
      <x:c r="K88" s="54" t="n">
        <x:v>0.32237</x:v>
      </x:c>
      <x:c r="L88" s="54" t="n">
        <x:v>0.5025</x:v>
      </x:c>
      <x:c r="M88" s="54" t="n">
        <x:v>1.06745</x:v>
      </x:c>
      <x:c r="N88" s="56" t="n">
        <x:v>-1.75</x:v>
      </x:c>
      <x:c r="O88" s="56" t="n">
        <x:v>0.04</x:v>
      </x:c>
      <x:c r="P88" s="56" t="n">
        <x:v>0.08</x:v>
      </x:c>
      <x:c r="Q88" s="56" t="n">
        <x:v>91.4</x:v>
      </x:c>
      <x:c r="R88" t="str">
        <x:v>X</x:v>
      </x:c>
      <x:c r="S88" s="102" t="n">
        <x:v>100</x:v>
      </x:c>
      <x:c r="T88" t="str">
        <x:v>IN TARGET BAND</x:v>
      </x:c>
      <x:c r="U88" t="str">
        <x:f>IF(T88="IN TARGET BAND","Yes","No")</x:f>
        <x:v>Yes</x:v>
      </x:c>
      <x:c r="V88" t="n">
        <x:v>1047</x:v>
      </x:c>
      <x:c r="W88" t="str">
        <x:v>Pasted text(56).txt</x:v>
      </x:c>
    </x:row>
    <x:row r="89">
      <x:c r="A89" t="str">
        <x:v>S03</x:v>
      </x:c>
      <x:c r="B89" t="str">
        <x:v>0.90 validated five-run session</x:v>
      </x:c>
      <x:c r="C89" s="54" t="n">
        <x:v>0.9</x:v>
      </x:c>
      <x:c r="D89" t="n">
        <x:v>5</x:v>
      </x:c>
      <x:c r="E89" t="str">
        <x:v>PASS</x:v>
      </x:c>
      <x:c r="F89" t="n">
        <x:v>1</x:v>
      </x:c>
      <x:c r="G89" t="n">
        <x:v>8</x:v>
      </x:c>
      <x:c r="H89" s="54" t="n">
        <x:v>9</x:v>
      </x:c>
      <x:c r="I89" s="54" t="n">
        <x:v>0.8695</x:v>
      </x:c>
      <x:c r="J89" s="54" t="n">
        <x:v>0.86883</x:v>
      </x:c>
      <x:c r="K89" s="54" t="n">
        <x:v>0.28362</x:v>
      </x:c>
      <x:c r="L89" s="54" t="n">
        <x:v>0.51491</x:v>
      </x:c>
      <x:c r="M89" s="54" t="n">
        <x:v>1.0493</x:v>
      </x:c>
      <x:c r="N89" s="56" t="n">
        <x:v>-3.39</x:v>
      </x:c>
      <x:c r="O89" s="56" t="n">
        <x:v>0.16</x:v>
      </x:c>
      <x:c r="P89" s="56" t="n">
        <x:v>0.23</x:v>
      </x:c>
      <x:c r="Q89" s="56" t="n">
        <x:v>91.9</x:v>
      </x:c>
      <x:c r="R89" t="str">
        <x:v>X</x:v>
      </x:c>
      <x:c r="S89" s="102" t="n">
        <x:v>100</x:v>
      </x:c>
      <x:c r="T89" t="str">
        <x:v>IN TARGET BAND</x:v>
      </x:c>
      <x:c r="U89" t="str">
        <x:f>IF(T89="IN TARGET BAND","Yes","No")</x:f>
        <x:v>Yes</x:v>
      </x:c>
      <x:c r="V89" t="n">
        <x:v>1048</x:v>
      </x:c>
      <x:c r="W89" t="str">
        <x:v>Pasted text(56).txt</x:v>
      </x:c>
    </x:row>
    <x:row r="90">
      <x:c r="A90" t="str">
        <x:v>S03</x:v>
      </x:c>
      <x:c r="B90" t="str">
        <x:v>0.90 validated five-run session</x:v>
      </x:c>
      <x:c r="C90" s="54" t="n">
        <x:v>0.9</x:v>
      </x:c>
      <x:c r="D90" t="n">
        <x:v>5</x:v>
      </x:c>
      <x:c r="E90" t="str">
        <x:v>PASS</x:v>
      </x:c>
      <x:c r="F90" t="n">
        <x:v>1</x:v>
      </x:c>
      <x:c r="G90" t="n">
        <x:v>9</x:v>
      </x:c>
      <x:c r="H90" s="54" t="n">
        <x:v>9</x:v>
      </x:c>
      <x:c r="I90" s="54" t="n">
        <x:v>0.88315</x:v>
      </x:c>
      <x:c r="J90" s="54" t="n">
        <x:v>0.88111</x:v>
      </x:c>
      <x:c r="K90" s="54" t="n">
        <x:v>0.31522</x:v>
      </x:c>
      <x:c r="L90" s="54" t="n">
        <x:v>0.50802</x:v>
      </x:c>
      <x:c r="M90" s="54" t="n">
        <x:v>1.06507</x:v>
      </x:c>
      <x:c r="N90" s="56" t="n">
        <x:v>-1.87</x:v>
      </x:c>
      <x:c r="O90" s="56" t="n">
        <x:v>0.17</x:v>
      </x:c>
      <x:c r="P90" s="56" t="n">
        <x:v>0.5</x:v>
      </x:c>
      <x:c r="Q90" s="56" t="n">
        <x:v>92.4</x:v>
      </x:c>
      <x:c r="R90" t="str">
        <x:v>X</x:v>
      </x:c>
      <x:c r="S90" s="102" t="n">
        <x:v>100</x:v>
      </x:c>
      <x:c r="T90" t="str">
        <x:v>IN TARGET BAND</x:v>
      </x:c>
      <x:c r="U90" t="str">
        <x:f>IF(T90="IN TARGET BAND","Yes","No")</x:f>
        <x:v>Yes</x:v>
      </x:c>
      <x:c r="V90" t="n">
        <x:v>1049</x:v>
      </x:c>
      <x:c r="W90" t="str">
        <x:v>Pasted text(56).txt</x:v>
      </x:c>
    </x:row>
    <x:row r="91">
      <x:c r="A91" t="str">
        <x:v>S03</x:v>
      </x:c>
      <x:c r="B91" t="str">
        <x:v>0.90 validated five-run session</x:v>
      </x:c>
      <x:c r="C91" s="54" t="n">
        <x:v>0.9</x:v>
      </x:c>
      <x:c r="D91" t="n">
        <x:v>5</x:v>
      </x:c>
      <x:c r="E91" t="str">
        <x:v>PASS</x:v>
      </x:c>
      <x:c r="F91" t="n">
        <x:v>1</x:v>
      </x:c>
      <x:c r="G91" t="n">
        <x:v>10</x:v>
      </x:c>
      <x:c r="H91" s="54" t="n">
        <x:v>9</x:v>
      </x:c>
      <x:c r="I91" s="54" t="n">
        <x:v>0.87539</x:v>
      </x:c>
      <x:c r="J91" s="54" t="n">
        <x:v>0.87505</x:v>
      </x:c>
      <x:c r="K91" s="54" t="n">
        <x:v>0.29959</x:v>
      </x:c>
      <x:c r="L91" s="54" t="n">
        <x:v>0.51563</x:v>
      </x:c>
      <x:c r="M91" s="54" t="n">
        <x:v>1.05913</x:v>
      </x:c>
      <x:c r="N91" s="56" t="n">
        <x:v>-2.73</x:v>
      </x:c>
      <x:c r="O91" s="56" t="n">
        <x:v>3.42</x:v>
      </x:c>
      <x:c r="P91" s="56" t="n">
        <x:v>2.37</x:v>
      </x:c>
      <x:c r="Q91" s="56" t="n">
        <x:v>90.2</x:v>
      </x:c>
      <x:c r="R91" t="str">
        <x:v>X</x:v>
      </x:c>
      <x:c r="S91" s="102" t="n">
        <x:v>100</x:v>
      </x:c>
      <x:c r="T91" t="str">
        <x:v>IN TARGET BAND</x:v>
      </x:c>
      <x:c r="U91" t="str">
        <x:f>IF(T91="IN TARGET BAND","Yes","No")</x:f>
        <x:v>Yes</x:v>
      </x:c>
      <x:c r="V91" t="n">
        <x:v>1050</x:v>
      </x:c>
      <x:c r="W91" t="str">
        <x:v>Pasted text(56).txt</x:v>
      </x:c>
    </x:row>
    <x:row r="92">
      <x:c r="A92" t="str">
        <x:v>S04</x:v>
      </x:c>
      <x:c r="B92" t="str">
        <x:v>1.20 validated five-run session</x:v>
      </x:c>
      <x:c r="C92" s="54" t="n">
        <x:v>1.2</x:v>
      </x:c>
      <x:c r="D92" t="n">
        <x:v>1</x:v>
      </x:c>
      <x:c r="E92" t="str">
        <x:v>PASS</x:v>
      </x:c>
      <x:c r="F92" t="n">
        <x:v>1</x:v>
      </x:c>
      <x:c r="G92" t="n">
        <x:v>1</x:v>
      </x:c>
      <x:c r="H92" s="54" t="n">
        <x:v>11.5</x:v>
      </x:c>
      <x:c r="I92" s="54" t="n">
        <x:v>1.19785</x:v>
      </x:c>
      <x:c r="J92" s="54" t="n">
        <x:v>1.1979</x:v>
      </x:c>
      <x:c r="K92" s="54" t="n">
        <x:v>0.40371</x:v>
      </x:c>
      <x:c r="L92" s="54" t="n">
        <x:v>0.65556</x:v>
      </x:c>
      <x:c r="M92" s="54" t="n">
        <x:v>1.42404</x:v>
      </x:c>
      <x:c r="N92" s="56" t="n">
        <x:v>-0.18</x:v>
      </x:c>
      <x:c r="O92" s="56" t="n">
        <x:v>0.86</x:v>
      </x:c>
      <x:c r="P92" s="56" t="n">
        <x:v>0.59</x:v>
      </x:c>
      <x:c r="Q92" s="56" t="n">
        <x:v>93.6</x:v>
      </x:c>
      <x:c r="R92" t="str">
        <x:v>X</x:v>
      </x:c>
      <x:c r="S92" s="102" t="n">
        <x:v>100</x:v>
      </x:c>
      <x:c r="T92" t="str">
        <x:v>IN TARGET BAND</x:v>
      </x:c>
      <x:c r="U92" t="str">
        <x:f>IF(T92="IN TARGET BAND","Yes","No")</x:f>
        <x:v>Yes</x:v>
      </x:c>
      <x:c r="V92" t="n">
        <x:v>1163</x:v>
      </x:c>
      <x:c r="W92" t="str">
        <x:v>Pasted text(56).txt</x:v>
      </x:c>
    </x:row>
    <x:row r="93">
      <x:c r="A93" t="str">
        <x:v>S04</x:v>
      </x:c>
      <x:c r="B93" t="str">
        <x:v>1.20 validated five-run session</x:v>
      </x:c>
      <x:c r="C93" s="54" t="n">
        <x:v>1.2</x:v>
      </x:c>
      <x:c r="D93" t="n">
        <x:v>1</x:v>
      </x:c>
      <x:c r="E93" t="str">
        <x:v>PASS</x:v>
      </x:c>
      <x:c r="F93" t="n">
        <x:v>1</x:v>
      </x:c>
      <x:c r="G93" t="n">
        <x:v>2</x:v>
      </x:c>
      <x:c r="H93" s="54" t="n">
        <x:v>11.5</x:v>
      </x:c>
      <x:c r="I93" s="54" t="n">
        <x:v>1.20193</x:v>
      </x:c>
      <x:c r="J93" s="54" t="n">
        <x:v>1.20556</x:v>
      </x:c>
      <x:c r="K93" s="54" t="n">
        <x:v>0.37919</x:v>
      </x:c>
      <x:c r="L93" s="54" t="n">
        <x:v>0.64858</x:v>
      </x:c>
      <x:c r="M93" s="54" t="n">
        <x:v>1.42064</x:v>
      </x:c>
      <x:c r="N93" s="56" t="n">
        <x:v>0.16</x:v>
      </x:c>
      <x:c r="O93" s="56" t="n">
        <x:v>0.03</x:v>
      </x:c>
      <x:c r="P93" s="56" t="n">
        <x:v>0.54</x:v>
      </x:c>
      <x:c r="Q93" s="56" t="n">
        <x:v>93.5</x:v>
      </x:c>
      <x:c r="R93" t="str">
        <x:v>X</x:v>
      </x:c>
      <x:c r="S93" s="102" t="n">
        <x:v>100</x:v>
      </x:c>
      <x:c r="T93" t="str">
        <x:v>IN TARGET BAND</x:v>
      </x:c>
      <x:c r="U93" t="str">
        <x:f>IF(T93="IN TARGET BAND","Yes","No")</x:f>
        <x:v>Yes</x:v>
      </x:c>
      <x:c r="V93" t="n">
        <x:v>1164</x:v>
      </x:c>
      <x:c r="W93" t="str">
        <x:v>Pasted text(56).txt</x:v>
      </x:c>
    </x:row>
    <x:row r="94">
      <x:c r="A94" t="str">
        <x:v>S04</x:v>
      </x:c>
      <x:c r="B94" t="str">
        <x:v>1.20 validated five-run session</x:v>
      </x:c>
      <x:c r="C94" s="54" t="n">
        <x:v>1.2</x:v>
      </x:c>
      <x:c r="D94" t="n">
        <x:v>1</x:v>
      </x:c>
      <x:c r="E94" t="str">
        <x:v>PASS</x:v>
      </x:c>
      <x:c r="F94" t="n">
        <x:v>1</x:v>
      </x:c>
      <x:c r="G94" t="n">
        <x:v>3</x:v>
      </x:c>
      <x:c r="H94" s="54" t="n">
        <x:v>11.5</x:v>
      </x:c>
      <x:c r="I94" s="54" t="n">
        <x:v>1.20078</x:v>
      </x:c>
      <x:c r="J94" s="54" t="n">
        <x:v>1.21104</x:v>
      </x:c>
      <x:c r="K94" s="54" t="n">
        <x:v>0.39262</x:v>
      </x:c>
      <x:c r="L94" s="54" t="n">
        <x:v>0.6437</x:v>
      </x:c>
      <x:c r="M94" s="54" t="n">
        <x:v>1.42695</x:v>
      </x:c>
      <x:c r="N94" s="56" t="n">
        <x:v>0.07</x:v>
      </x:c>
      <x:c r="O94" s="56" t="n">
        <x:v>0.35</x:v>
      </x:c>
      <x:c r="P94" s="56" t="n">
        <x:v>1.67</x:v>
      </x:c>
      <x:c r="Q94" s="56" t="n">
        <x:v>93.7</x:v>
      </x:c>
      <x:c r="R94" t="str">
        <x:v>X</x:v>
      </x:c>
      <x:c r="S94" s="102" t="n">
        <x:v>100</x:v>
      </x:c>
      <x:c r="T94" t="str">
        <x:v>IN TARGET BAND</x:v>
      </x:c>
      <x:c r="U94" t="str">
        <x:f>IF(T94="IN TARGET BAND","Yes","No")</x:f>
        <x:v>Yes</x:v>
      </x:c>
      <x:c r="V94" t="n">
        <x:v>1165</x:v>
      </x:c>
      <x:c r="W94" t="str">
        <x:v>Pasted text(56).txt</x:v>
      </x:c>
    </x:row>
    <x:row r="95">
      <x:c r="A95" t="str">
        <x:v>S04</x:v>
      </x:c>
      <x:c r="B95" t="str">
        <x:v>1.20 validated five-run session</x:v>
      </x:c>
      <x:c r="C95" s="54" t="n">
        <x:v>1.2</x:v>
      </x:c>
      <x:c r="D95" t="n">
        <x:v>1</x:v>
      </x:c>
      <x:c r="E95" t="str">
        <x:v>PASS</x:v>
      </x:c>
      <x:c r="F95" t="n">
        <x:v>1</x:v>
      </x:c>
      <x:c r="G95" t="n">
        <x:v>4</x:v>
      </x:c>
      <x:c r="H95" s="54" t="n">
        <x:v>11.5</x:v>
      </x:c>
      <x:c r="I95" s="54" t="n">
        <x:v>1.19816</x:v>
      </x:c>
      <x:c r="J95" s="54" t="n">
        <x:v>1.2077</x:v>
      </x:c>
      <x:c r="K95" s="54" t="n">
        <x:v>0.39986</x:v>
      </x:c>
      <x:c r="L95" s="54" t="n">
        <x:v>0.66001</x:v>
      </x:c>
      <x:c r="M95" s="54" t="n">
        <x:v>1.4334</x:v>
      </x:c>
      <x:c r="N95" s="56" t="n">
        <x:v>-0.15</x:v>
      </x:c>
      <x:c r="O95" s="56" t="n">
        <x:v>1.64</x:v>
      </x:c>
      <x:c r="P95" s="56" t="n">
        <x:v>2.38</x:v>
      </x:c>
      <x:c r="Q95" s="56" t="n">
        <x:v>93.2</x:v>
      </x:c>
      <x:c r="R95" t="str">
        <x:v>X</x:v>
      </x:c>
      <x:c r="S95" s="102" t="n">
        <x:v>100</x:v>
      </x:c>
      <x:c r="T95" t="str">
        <x:v>IN TARGET BAND</x:v>
      </x:c>
      <x:c r="U95" t="str">
        <x:f>IF(T95="IN TARGET BAND","Yes","No")</x:f>
        <x:v>Yes</x:v>
      </x:c>
      <x:c r="V95" t="n">
        <x:v>1166</x:v>
      </x:c>
      <x:c r="W95" t="str">
        <x:v>Pasted text(56).txt</x:v>
      </x:c>
    </x:row>
    <x:row r="96">
      <x:c r="A96" t="str">
        <x:v>S04</x:v>
      </x:c>
      <x:c r="B96" t="str">
        <x:v>1.20 validated five-run session</x:v>
      </x:c>
      <x:c r="C96" s="54" t="n">
        <x:v>1.2</x:v>
      </x:c>
      <x:c r="D96" t="n">
        <x:v>1</x:v>
      </x:c>
      <x:c r="E96" t="str">
        <x:v>PASS</x:v>
      </x:c>
      <x:c r="F96" t="n">
        <x:v>1</x:v>
      </x:c>
      <x:c r="G96" t="n">
        <x:v>5</x:v>
      </x:c>
      <x:c r="H96" s="54" t="n">
        <x:v>11.5</x:v>
      </x:c>
      <x:c r="I96" s="54" t="n">
        <x:v>1.19133</x:v>
      </x:c>
      <x:c r="J96" s="54" t="n">
        <x:v>1.19979</x:v>
      </x:c>
      <x:c r="K96" s="54" t="n">
        <x:v>0.38791</x:v>
      </x:c>
      <x:c r="L96" s="54" t="n">
        <x:v>0.63652</x:v>
      </x:c>
      <x:c r="M96" s="54" t="n">
        <x:v>1.41258</x:v>
      </x:c>
      <x:c r="N96" s="56" t="n">
        <x:v>-0.72</x:v>
      </x:c>
      <x:c r="O96" s="56" t="n">
        <x:v>1.35</x:v>
      </x:c>
      <x:c r="P96" s="56" t="n">
        <x:v>2.06</x:v>
      </x:c>
      <x:c r="Q96" s="56" t="n">
        <x:v>93.7</x:v>
      </x:c>
      <x:c r="R96" t="str">
        <x:v>X</x:v>
      </x:c>
      <x:c r="S96" s="102" t="n">
        <x:v>100</x:v>
      </x:c>
      <x:c r="T96" t="str">
        <x:v>IN TARGET BAND</x:v>
      </x:c>
      <x:c r="U96" t="str">
        <x:f>IF(T96="IN TARGET BAND","Yes","No")</x:f>
        <x:v>Yes</x:v>
      </x:c>
      <x:c r="V96" t="n">
        <x:v>1167</x:v>
      </x:c>
      <x:c r="W96" t="str">
        <x:v>Pasted text(56).txt</x:v>
      </x:c>
    </x:row>
    <x:row r="97">
      <x:c r="A97" t="str">
        <x:v>S04</x:v>
      </x:c>
      <x:c r="B97" t="str">
        <x:v>1.20 validated five-run session</x:v>
      </x:c>
      <x:c r="C97" s="54" t="n">
        <x:v>1.2</x:v>
      </x:c>
      <x:c r="D97" t="n">
        <x:v>1</x:v>
      </x:c>
      <x:c r="E97" t="str">
        <x:v>PASS</x:v>
      </x:c>
      <x:c r="F97" t="n">
        <x:v>1</x:v>
      </x:c>
      <x:c r="G97" t="n">
        <x:v>6</x:v>
      </x:c>
      <x:c r="H97" s="54" t="n">
        <x:v>11.5</x:v>
      </x:c>
      <x:c r="I97" s="54" t="n">
        <x:v>1.21061</x:v>
      </x:c>
      <x:c r="J97" s="54" t="n">
        <x:v>1.2063</x:v>
      </x:c>
      <x:c r="K97" s="54" t="n">
        <x:v>0.39058</x:v>
      </x:c>
      <x:c r="L97" s="54" t="n">
        <x:v>0.66239</x:v>
      </x:c>
      <x:c r="M97" s="54" t="n">
        <x:v>1.43066</x:v>
      </x:c>
      <x:c r="N97" s="56" t="n">
        <x:v>0.88</x:v>
      </x:c>
      <x:c r="O97" s="56" t="n">
        <x:v>0.15</x:v>
      </x:c>
      <x:c r="P97" s="56" t="n">
        <x:v>0.71</x:v>
      </x:c>
      <x:c r="Q97" s="56" t="n">
        <x:v>92.9</x:v>
      </x:c>
      <x:c r="R97" t="str">
        <x:v>X</x:v>
      </x:c>
      <x:c r="S97" s="102" t="n">
        <x:v>100</x:v>
      </x:c>
      <x:c r="T97" t="str">
        <x:v>IN TARGET BAND</x:v>
      </x:c>
      <x:c r="U97" t="str">
        <x:f>IF(T97="IN TARGET BAND","Yes","No")</x:f>
        <x:v>Yes</x:v>
      </x:c>
      <x:c r="V97" t="n">
        <x:v>1168</x:v>
      </x:c>
      <x:c r="W97" t="str">
        <x:v>Pasted text(56).txt</x:v>
      </x:c>
    </x:row>
    <x:row r="98">
      <x:c r="A98" t="str">
        <x:v>S04</x:v>
      </x:c>
      <x:c r="B98" t="str">
        <x:v>1.20 validated five-run session</x:v>
      </x:c>
      <x:c r="C98" s="54" t="n">
        <x:v>1.2</x:v>
      </x:c>
      <x:c r="D98" t="n">
        <x:v>1</x:v>
      </x:c>
      <x:c r="E98" t="str">
        <x:v>PASS</x:v>
      </x:c>
      <x:c r="F98" t="n">
        <x:v>1</x:v>
      </x:c>
      <x:c r="G98" t="n">
        <x:v>7</x:v>
      </x:c>
      <x:c r="H98" s="54" t="n">
        <x:v>11.5</x:v>
      </x:c>
      <x:c r="I98" s="54" t="n">
        <x:v>1.20469</x:v>
      </x:c>
      <x:c r="J98" s="54" t="n">
        <x:v>1.20348</x:v>
      </x:c>
      <x:c r="K98" s="54" t="n">
        <x:v>0.38691</x:v>
      </x:c>
      <x:c r="L98" s="54" t="n">
        <x:v>0.66161</x:v>
      </x:c>
      <x:c r="M98" s="54" t="n">
        <x:v>1.42696</x:v>
      </x:c>
      <x:c r="N98" s="56" t="n">
        <x:v>0.39</x:v>
      </x:c>
      <x:c r="O98" s="56" t="n">
        <x:v>2.77</x:v>
      </x:c>
      <x:c r="P98" s="56" t="n">
        <x:v>2.02</x:v>
      </x:c>
      <x:c r="Q98" s="56" t="n">
        <x:v>93.3</x:v>
      </x:c>
      <x:c r="R98" t="str">
        <x:v>X</x:v>
      </x:c>
      <x:c r="S98" s="102" t="n">
        <x:v>100</x:v>
      </x:c>
      <x:c r="T98" t="str">
        <x:v>IN TARGET BAND</x:v>
      </x:c>
      <x:c r="U98" t="str">
        <x:f>IF(T98="IN TARGET BAND","Yes","No")</x:f>
        <x:v>Yes</x:v>
      </x:c>
      <x:c r="V98" t="n">
        <x:v>1169</x:v>
      </x:c>
      <x:c r="W98" t="str">
        <x:v>Pasted text(56).txt</x:v>
      </x:c>
    </x:row>
    <x:row r="99">
      <x:c r="A99" t="str">
        <x:v>S04</x:v>
      </x:c>
      <x:c r="B99" t="str">
        <x:v>1.20 validated five-run session</x:v>
      </x:c>
      <x:c r="C99" s="54" t="n">
        <x:v>1.2</x:v>
      </x:c>
      <x:c r="D99" t="n">
        <x:v>1</x:v>
      </x:c>
      <x:c r="E99" t="str">
        <x:v>PASS</x:v>
      </x:c>
      <x:c r="F99" t="n">
        <x:v>1</x:v>
      </x:c>
      <x:c r="G99" t="n">
        <x:v>8</x:v>
      </x:c>
      <x:c r="H99" s="54" t="n">
        <x:v>11.5</x:v>
      </x:c>
      <x:c r="I99" s="54" t="n">
        <x:v>1.21177</x:v>
      </x:c>
      <x:c r="J99" s="54" t="n">
        <x:v>1.21765</x:v>
      </x:c>
      <x:c r="K99" s="54" t="n">
        <x:v>0.39423</x:v>
      </x:c>
      <x:c r="L99" s="54" t="n">
        <x:v>0.63647</x:v>
      </x:c>
      <x:c r="M99" s="54" t="n">
        <x:v>1.42977</x:v>
      </x:c>
      <x:c r="N99" s="56" t="n">
        <x:v>0.98</x:v>
      </x:c>
      <x:c r="O99" s="56" t="n">
        <x:v>0.65</x:v>
      </x:c>
      <x:c r="P99" s="56" t="n">
        <x:v>1.23</x:v>
      </x:c>
      <x:c r="Q99" s="56" t="n">
        <x:v>93.8</x:v>
      </x:c>
      <x:c r="R99" t="str">
        <x:v>X</x:v>
      </x:c>
      <x:c r="S99" s="102" t="n">
        <x:v>100</x:v>
      </x:c>
      <x:c r="T99" t="str">
        <x:v>IN TARGET BAND</x:v>
      </x:c>
      <x:c r="U99" t="str">
        <x:f>IF(T99="IN TARGET BAND","Yes","No")</x:f>
        <x:v>Yes</x:v>
      </x:c>
      <x:c r="V99" t="n">
        <x:v>1170</x:v>
      </x:c>
      <x:c r="W99" t="str">
        <x:v>Pasted text(56).txt</x:v>
      </x:c>
    </x:row>
    <x:row r="100">
      <x:c r="A100" t="str">
        <x:v>S04</x:v>
      </x:c>
      <x:c r="B100" t="str">
        <x:v>1.20 validated five-run session</x:v>
      </x:c>
      <x:c r="C100" s="54" t="n">
        <x:v>1.2</x:v>
      </x:c>
      <x:c r="D100" t="n">
        <x:v>1</x:v>
      </x:c>
      <x:c r="E100" t="str">
        <x:v>PASS</x:v>
      </x:c>
      <x:c r="F100" t="n">
        <x:v>1</x:v>
      </x:c>
      <x:c r="G100" t="n">
        <x:v>9</x:v>
      </x:c>
      <x:c r="H100" s="54" t="n">
        <x:v>11.5</x:v>
      </x:c>
      <x:c r="I100" s="54" t="n">
        <x:v>1.21161</x:v>
      </x:c>
      <x:c r="J100" s="54" t="n">
        <x:v>1.21283</x:v>
      </x:c>
      <x:c r="K100" s="54" t="n">
        <x:v>0.39326</x:v>
      </x:c>
      <x:c r="L100" s="54" t="n">
        <x:v>0.63855</x:v>
      </x:c>
      <x:c r="M100" s="54" t="n">
        <x:v>1.42603</x:v>
      </x:c>
      <x:c r="N100" s="56" t="n">
        <x:v>0.97</x:v>
      </x:c>
      <x:c r="O100" s="56" t="n">
        <x:v>1.44</x:v>
      </x:c>
      <x:c r="P100" s="56" t="n">
        <x:v>1.12</x:v>
      </x:c>
      <x:c r="Q100" s="56" t="n">
        <x:v>93.4</x:v>
      </x:c>
      <x:c r="R100" t="str">
        <x:v>X</x:v>
      </x:c>
      <x:c r="S100" s="102" t="n">
        <x:v>100</x:v>
      </x:c>
      <x:c r="T100" t="str">
        <x:v>IN TARGET BAND</x:v>
      </x:c>
      <x:c r="U100" t="str">
        <x:f>IF(T100="IN TARGET BAND","Yes","No")</x:f>
        <x:v>Yes</x:v>
      </x:c>
      <x:c r="V100" t="n">
        <x:v>1171</x:v>
      </x:c>
      <x:c r="W100" t="str">
        <x:v>Pasted text(56).txt</x:v>
      </x:c>
    </x:row>
    <x:row r="101">
      <x:c r="A101" t="str">
        <x:v>S04</x:v>
      </x:c>
      <x:c r="B101" t="str">
        <x:v>1.20 validated five-run session</x:v>
      </x:c>
      <x:c r="C101" s="54" t="n">
        <x:v>1.2</x:v>
      </x:c>
      <x:c r="D101" t="n">
        <x:v>1</x:v>
      </x:c>
      <x:c r="E101" t="str">
        <x:v>PASS</x:v>
      </x:c>
      <x:c r="F101" t="n">
        <x:v>1</x:v>
      </x:c>
      <x:c r="G101" t="n">
        <x:v>10</x:v>
      </x:c>
      <x:c r="H101" s="54" t="n">
        <x:v>11.5</x:v>
      </x:c>
      <x:c r="I101" s="54" t="n">
        <x:v>1.20296</x:v>
      </x:c>
      <x:c r="J101" s="54" t="n">
        <x:v>1.19912</x:v>
      </x:c>
      <x:c r="K101" s="54" t="n">
        <x:v>0.37668</x:v>
      </x:c>
      <x:c r="L101" s="54" t="n">
        <x:v>0.65884</x:v>
      </x:c>
      <x:c r="M101" s="54" t="n">
        <x:v>1.41952</x:v>
      </x:c>
      <x:c r="N101" s="56" t="n">
        <x:v>0.25</x:v>
      </x:c>
      <x:c r="O101" s="56" t="n">
        <x:v>0.77</x:v>
      </x:c>
      <x:c r="P101" s="56" t="n">
        <x:v>1.04</x:v>
      </x:c>
      <x:c r="Q101" s="56" t="n">
        <x:v>92.1</x:v>
      </x:c>
      <x:c r="R101" t="str">
        <x:v>X</x:v>
      </x:c>
      <x:c r="S101" s="102" t="n">
        <x:v>100</x:v>
      </x:c>
      <x:c r="T101" t="str">
        <x:v>IN TARGET BAND</x:v>
      </x:c>
      <x:c r="U101" t="str">
        <x:f>IF(T101="IN TARGET BAND","Yes","No")</x:f>
        <x:v>Yes</x:v>
      </x:c>
      <x:c r="V101" t="n">
        <x:v>1172</x:v>
      </x:c>
      <x:c r="W101" t="str">
        <x:v>Pasted text(56).txt</x:v>
      </x:c>
    </x:row>
    <x:row r="102">
      <x:c r="A102" t="str">
        <x:v>S04</x:v>
      </x:c>
      <x:c r="B102" t="str">
        <x:v>1.20 validated five-run session</x:v>
      </x:c>
      <x:c r="C102" s="54" t="n">
        <x:v>1.2</x:v>
      </x:c>
      <x:c r="D102" t="n">
        <x:v>2</x:v>
      </x:c>
      <x:c r="E102" t="str">
        <x:v>PASS</x:v>
      </x:c>
      <x:c r="F102" t="n">
        <x:v>1</x:v>
      </x:c>
      <x:c r="G102" t="n">
        <x:v>1</x:v>
      </x:c>
      <x:c r="H102" s="54" t="n">
        <x:v>11.5</x:v>
      </x:c>
      <x:c r="I102" s="54" t="n">
        <x:v>1.20767</x:v>
      </x:c>
      <x:c r="J102" s="54" t="n">
        <x:v>1.20354</x:v>
      </x:c>
      <x:c r="K102" s="54" t="n">
        <x:v>0.39995</x:v>
      </x:c>
      <x:c r="L102" s="54" t="n">
        <x:v>0.64917</x:v>
      </x:c>
      <x:c r="M102" s="54" t="n">
        <x:v>1.42483</x:v>
      </x:c>
      <x:c r="N102" s="56" t="n">
        <x:v>0.64</x:v>
      </x:c>
      <x:c r="O102" s="56" t="n">
        <x:v>0.41</x:v>
      </x:c>
      <x:c r="P102" s="56" t="n">
        <x:v>0.85</x:v>
      </x:c>
      <x:c r="Q102" s="56" t="n">
        <x:v>93.9</x:v>
      </x:c>
      <x:c r="R102" t="str">
        <x:v>X</x:v>
      </x:c>
      <x:c r="S102" s="102" t="n">
        <x:v>100</x:v>
      </x:c>
      <x:c r="T102" t="str">
        <x:v>IN TARGET BAND</x:v>
      </x:c>
      <x:c r="U102" t="str">
        <x:f>IF(T102="IN TARGET BAND","Yes","No")</x:f>
        <x:v>Yes</x:v>
      </x:c>
      <x:c r="V102" t="n">
        <x:v>1247</x:v>
      </x:c>
      <x:c r="W102" t="str">
        <x:v>Pasted text(56).txt</x:v>
      </x:c>
    </x:row>
    <x:row r="103">
      <x:c r="A103" t="str">
        <x:v>S04</x:v>
      </x:c>
      <x:c r="B103" t="str">
        <x:v>1.20 validated five-run session</x:v>
      </x:c>
      <x:c r="C103" s="54" t="n">
        <x:v>1.2</x:v>
      </x:c>
      <x:c r="D103" t="n">
        <x:v>2</x:v>
      </x:c>
      <x:c r="E103" t="str">
        <x:v>PASS</x:v>
      </x:c>
      <x:c r="F103" t="n">
        <x:v>1</x:v>
      </x:c>
      <x:c r="G103" t="n">
        <x:v>2</x:v>
      </x:c>
      <x:c r="H103" s="54" t="n">
        <x:v>11.5</x:v>
      </x:c>
      <x:c r="I103" s="54" t="n">
        <x:v>1.19255</x:v>
      </x:c>
      <x:c r="J103" s="54" t="n">
        <x:v>1.19309</x:v>
      </x:c>
      <x:c r="K103" s="54" t="n">
        <x:v>0.41199</x:v>
      </x:c>
      <x:c r="L103" s="54" t="n">
        <x:v>0.66319</x:v>
      </x:c>
      <x:c r="M103" s="54" t="n">
        <x:v>1.42597</x:v>
      </x:c>
      <x:c r="N103" s="56" t="n">
        <x:v>-0.62</x:v>
      </x:c>
      <x:c r="O103" s="56" t="n">
        <x:v>0.65</x:v>
      </x:c>
      <x:c r="P103" s="56" t="n">
        <x:v>0.5</x:v>
      </x:c>
      <x:c r="Q103" s="56" t="n">
        <x:v>92.7</x:v>
      </x:c>
      <x:c r="R103" t="str">
        <x:v>X</x:v>
      </x:c>
      <x:c r="S103" s="102" t="n">
        <x:v>100</x:v>
      </x:c>
      <x:c r="T103" t="str">
        <x:v>IN TARGET BAND</x:v>
      </x:c>
      <x:c r="U103" t="str">
        <x:f>IF(T103="IN TARGET BAND","Yes","No")</x:f>
        <x:v>Yes</x:v>
      </x:c>
      <x:c r="V103" t="n">
        <x:v>1248</x:v>
      </x:c>
      <x:c r="W103" t="str">
        <x:v>Pasted text(56).txt</x:v>
      </x:c>
    </x:row>
    <x:row r="104">
      <x:c r="A104" t="str">
        <x:v>S04</x:v>
      </x:c>
      <x:c r="B104" t="str">
        <x:v>1.20 validated five-run session</x:v>
      </x:c>
      <x:c r="C104" s="54" t="n">
        <x:v>1.2</x:v>
      </x:c>
      <x:c r="D104" t="n">
        <x:v>2</x:v>
      </x:c>
      <x:c r="E104" t="str">
        <x:v>PASS</x:v>
      </x:c>
      <x:c r="F104" t="n">
        <x:v>1</x:v>
      </x:c>
      <x:c r="G104" t="n">
        <x:v>3</x:v>
      </x:c>
      <x:c r="H104" s="54" t="n">
        <x:v>11.5</x:v>
      </x:c>
      <x:c r="I104" s="54" t="n">
        <x:v>1.20872</x:v>
      </x:c>
      <x:c r="J104" s="54" t="n">
        <x:v>1.20854</x:v>
      </x:c>
      <x:c r="K104" s="54" t="n">
        <x:v>0.40105</x:v>
      </x:c>
      <x:c r="L104" s="54" t="n">
        <x:v>0.66292</x:v>
      </x:c>
      <x:c r="M104" s="54" t="n">
        <x:v>1.43574</x:v>
      </x:c>
      <x:c r="N104" s="56" t="n">
        <x:v>0.73</x:v>
      </x:c>
      <x:c r="O104" s="56" t="n">
        <x:v>0.48</x:v>
      </x:c>
      <x:c r="P104" s="56" t="n">
        <x:v>0.34</x:v>
      </x:c>
      <x:c r="Q104" s="56" t="n">
        <x:v>94</x:v>
      </x:c>
      <x:c r="R104" t="str">
        <x:v>X</x:v>
      </x:c>
      <x:c r="S104" s="102" t="n">
        <x:v>100</x:v>
      </x:c>
      <x:c r="T104" t="str">
        <x:v>IN TARGET BAND</x:v>
      </x:c>
      <x:c r="U104" t="str">
        <x:f>IF(T104="IN TARGET BAND","Yes","No")</x:f>
        <x:v>Yes</x:v>
      </x:c>
      <x:c r="V104" t="n">
        <x:v>1249</x:v>
      </x:c>
      <x:c r="W104" t="str">
        <x:v>Pasted text(56).txt</x:v>
      </x:c>
    </x:row>
    <x:row r="105">
      <x:c r="A105" t="str">
        <x:v>S04</x:v>
      </x:c>
      <x:c r="B105" t="str">
        <x:v>1.20 validated five-run session</x:v>
      </x:c>
      <x:c r="C105" s="54" t="n">
        <x:v>1.2</x:v>
      </x:c>
      <x:c r="D105" t="n">
        <x:v>2</x:v>
      </x:c>
      <x:c r="E105" t="str">
        <x:v>PASS</x:v>
      </x:c>
      <x:c r="F105" t="n">
        <x:v>1</x:v>
      </x:c>
      <x:c r="G105" t="n">
        <x:v>4</x:v>
      </x:c>
      <x:c r="H105" s="54" t="n">
        <x:v>11.5</x:v>
      </x:c>
      <x:c r="I105" s="54" t="n">
        <x:v>1.20821</x:v>
      </x:c>
      <x:c r="J105" s="54" t="n">
        <x:v>1.21196</x:v>
      </x:c>
      <x:c r="K105" s="54" t="n">
        <x:v>0.41393</x:v>
      </x:c>
      <x:c r="L105" s="54" t="n">
        <x:v>0.64728</x:v>
      </x:c>
      <x:c r="M105" s="54" t="n">
        <x:v>1.43509</x:v>
      </x:c>
      <x:c r="N105" s="56" t="n">
        <x:v>0.68</x:v>
      </x:c>
      <x:c r="O105" s="56" t="n">
        <x:v>2.06</x:v>
      </x:c>
      <x:c r="P105" s="56" t="n">
        <x:v>1.87</x:v>
      </x:c>
      <x:c r="Q105" s="56" t="n">
        <x:v>93.4</x:v>
      </x:c>
      <x:c r="R105" t="str">
        <x:v>X</x:v>
      </x:c>
      <x:c r="S105" s="102" t="n">
        <x:v>100</x:v>
      </x:c>
      <x:c r="T105" t="str">
        <x:v>IN TARGET BAND</x:v>
      </x:c>
      <x:c r="U105" t="str">
        <x:f>IF(T105="IN TARGET BAND","Yes","No")</x:f>
        <x:v>Yes</x:v>
      </x:c>
      <x:c r="V105" t="n">
        <x:v>1250</x:v>
      </x:c>
      <x:c r="W105" t="str">
        <x:v>Pasted text(56).txt</x:v>
      </x:c>
    </x:row>
    <x:row r="106">
      <x:c r="A106" t="str">
        <x:v>S04</x:v>
      </x:c>
      <x:c r="B106" t="str">
        <x:v>1.20 validated five-run session</x:v>
      </x:c>
      <x:c r="C106" s="54" t="n">
        <x:v>1.2</x:v>
      </x:c>
      <x:c r="D106" t="n">
        <x:v>2</x:v>
      </x:c>
      <x:c r="E106" t="str">
        <x:v>PASS</x:v>
      </x:c>
      <x:c r="F106" t="n">
        <x:v>1</x:v>
      </x:c>
      <x:c r="G106" t="n">
        <x:v>5</x:v>
      </x:c>
      <x:c r="H106" s="54" t="n">
        <x:v>11.5</x:v>
      </x:c>
      <x:c r="I106" s="54" t="n">
        <x:v>1.19993</x:v>
      </x:c>
      <x:c r="J106" s="54" t="n">
        <x:v>1.20093</x:v>
      </x:c>
      <x:c r="K106" s="54" t="n">
        <x:v>0.3974</x:v>
      </x:c>
      <x:c r="L106" s="54" t="n">
        <x:v>0.63959</x:v>
      </x:c>
      <x:c r="M106" s="54" t="n">
        <x:v>1.41782</x:v>
      </x:c>
      <x:c r="N106" s="56" t="n">
        <x:v>-0.01</x:v>
      </x:c>
      <x:c r="O106" s="56" t="n">
        <x:v>2.1</x:v>
      </x:c>
      <x:c r="P106" s="56" t="n">
        <x:v>1.54</x:v>
      </x:c>
      <x:c r="Q106" s="56" t="n">
        <x:v>93.2</x:v>
      </x:c>
      <x:c r="R106" t="str">
        <x:v>X</x:v>
      </x:c>
      <x:c r="S106" s="102" t="n">
        <x:v>100</x:v>
      </x:c>
      <x:c r="T106" t="str">
        <x:v>IN TARGET BAND</x:v>
      </x:c>
      <x:c r="U106" t="str">
        <x:f>IF(T106="IN TARGET BAND","Yes","No")</x:f>
        <x:v>Yes</x:v>
      </x:c>
      <x:c r="V106" t="n">
        <x:v>1251</x:v>
      </x:c>
      <x:c r="W106" t="str">
        <x:v>Pasted text(56).txt</x:v>
      </x:c>
    </x:row>
    <x:row r="107">
      <x:c r="A107" t="str">
        <x:v>S04</x:v>
      </x:c>
      <x:c r="B107" t="str">
        <x:v>1.20 validated five-run session</x:v>
      </x:c>
      <x:c r="C107" s="54" t="n">
        <x:v>1.2</x:v>
      </x:c>
      <x:c r="D107" t="n">
        <x:v>2</x:v>
      </x:c>
      <x:c r="E107" t="str">
        <x:v>PASS</x:v>
      </x:c>
      <x:c r="F107" t="n">
        <x:v>1</x:v>
      </x:c>
      <x:c r="G107" t="n">
        <x:v>6</x:v>
      </x:c>
      <x:c r="H107" s="54" t="n">
        <x:v>11.5</x:v>
      </x:c>
      <x:c r="I107" s="54" t="n">
        <x:v>1.2089</x:v>
      </x:c>
      <x:c r="J107" s="54" t="n">
        <x:v>1.21648</x:v>
      </x:c>
      <x:c r="K107" s="54" t="n">
        <x:v>0.40148</x:v>
      </x:c>
      <x:c r="L107" s="54" t="n">
        <x:v>0.6588</x:v>
      </x:c>
      <x:c r="M107" s="54" t="n">
        <x:v>1.44059</x:v>
      </x:c>
      <x:c r="N107" s="56" t="n">
        <x:v>0.74</x:v>
      </x:c>
      <x:c r="O107" s="56" t="n">
        <x:v>0.53</x:v>
      </x:c>
      <x:c r="P107" s="56" t="n">
        <x:v>1.4</x:v>
      </x:c>
      <x:c r="Q107" s="56" t="n">
        <x:v>94</x:v>
      </x:c>
      <x:c r="R107" t="str">
        <x:v>X</x:v>
      </x:c>
      <x:c r="S107" s="102" t="n">
        <x:v>100</x:v>
      </x:c>
      <x:c r="T107" t="str">
        <x:v>IN TARGET BAND</x:v>
      </x:c>
      <x:c r="U107" t="str">
        <x:f>IF(T107="IN TARGET BAND","Yes","No")</x:f>
        <x:v>Yes</x:v>
      </x:c>
      <x:c r="V107" t="n">
        <x:v>1252</x:v>
      </x:c>
      <x:c r="W107" t="str">
        <x:v>Pasted text(56).txt</x:v>
      </x:c>
    </x:row>
    <x:row r="108">
      <x:c r="A108" t="str">
        <x:v>S04</x:v>
      </x:c>
      <x:c r="B108" t="str">
        <x:v>1.20 validated five-run session</x:v>
      </x:c>
      <x:c r="C108" s="54" t="n">
        <x:v>1.2</x:v>
      </x:c>
      <x:c r="D108" t="n">
        <x:v>2</x:v>
      </x:c>
      <x:c r="E108" t="str">
        <x:v>PASS</x:v>
      </x:c>
      <x:c r="F108" t="n">
        <x:v>1</x:v>
      </x:c>
      <x:c r="G108" t="n">
        <x:v>7</x:v>
      </x:c>
      <x:c r="H108" s="54" t="n">
        <x:v>11.5</x:v>
      </x:c>
      <x:c r="I108" s="54" t="n">
        <x:v>1.20318</x:v>
      </x:c>
      <x:c r="J108" s="54" t="n">
        <x:v>1.20842</x:v>
      </x:c>
      <x:c r="K108" s="54" t="n">
        <x:v>0.39502</x:v>
      </x:c>
      <x:c r="L108" s="54" t="n">
        <x:v>0.62721</x:v>
      </x:c>
      <x:c r="M108" s="54" t="n">
        <x:v>1.41771</x:v>
      </x:c>
      <x:c r="N108" s="56" t="n">
        <x:v>0.27</x:v>
      </x:c>
      <x:c r="O108" s="56" t="n">
        <x:v>0.77</x:v>
      </x:c>
      <x:c r="P108" s="56" t="n">
        <x:v>1.23</x:v>
      </x:c>
      <x:c r="Q108" s="56" t="n">
        <x:v>93</x:v>
      </x:c>
      <x:c r="R108" t="str">
        <x:v>X</x:v>
      </x:c>
      <x:c r="S108" s="102" t="n">
        <x:v>100</x:v>
      </x:c>
      <x:c r="T108" t="str">
        <x:v>IN TARGET BAND</x:v>
      </x:c>
      <x:c r="U108" t="str">
        <x:f>IF(T108="IN TARGET BAND","Yes","No")</x:f>
        <x:v>Yes</x:v>
      </x:c>
      <x:c r="V108" t="n">
        <x:v>1253</x:v>
      </x:c>
      <x:c r="W108" t="str">
        <x:v>Pasted text(56).txt</x:v>
      </x:c>
    </x:row>
    <x:row r="109">
      <x:c r="A109" t="str">
        <x:v>S04</x:v>
      </x:c>
      <x:c r="B109" t="str">
        <x:v>1.20 validated five-run session</x:v>
      </x:c>
      <x:c r="C109" s="54" t="n">
        <x:v>1.2</x:v>
      </x:c>
      <x:c r="D109" t="n">
        <x:v>2</x:v>
      </x:c>
      <x:c r="E109" t="str">
        <x:v>PASS</x:v>
      </x:c>
      <x:c r="F109" t="n">
        <x:v>1</x:v>
      </x:c>
      <x:c r="G109" t="n">
        <x:v>8</x:v>
      </x:c>
      <x:c r="H109" s="54" t="n">
        <x:v>11.5</x:v>
      </x:c>
      <x:c r="I109" s="54" t="n">
        <x:v>1.20309</x:v>
      </x:c>
      <x:c r="J109" s="54" t="n">
        <x:v>1.20553</x:v>
      </x:c>
      <x:c r="K109" s="54" t="n">
        <x:v>0.41293</x:v>
      </x:c>
      <x:c r="L109" s="54" t="n">
        <x:v>0.65111</x:v>
      </x:c>
      <x:c r="M109" s="54" t="n">
        <x:v>1.43117</x:v>
      </x:c>
      <x:c r="N109" s="56" t="n">
        <x:v>0.26</x:v>
      </x:c>
      <x:c r="O109" s="56" t="n">
        <x:v>2.86</x:v>
      </x:c>
      <x:c r="P109" s="56" t="n">
        <x:v>2.24</x:v>
      </x:c>
      <x:c r="Q109" s="56" t="n">
        <x:v>93.9</x:v>
      </x:c>
      <x:c r="R109" t="str">
        <x:v>X</x:v>
      </x:c>
      <x:c r="S109" s="102" t="n">
        <x:v>100</x:v>
      </x:c>
      <x:c r="T109" t="str">
        <x:v>IN TARGET BAND</x:v>
      </x:c>
      <x:c r="U109" t="str">
        <x:f>IF(T109="IN TARGET BAND","Yes","No")</x:f>
        <x:v>Yes</x:v>
      </x:c>
      <x:c r="V109" t="n">
        <x:v>1254</x:v>
      </x:c>
      <x:c r="W109" t="str">
        <x:v>Pasted text(56).txt</x:v>
      </x:c>
    </x:row>
    <x:row r="110">
      <x:c r="A110" t="str">
        <x:v>S04</x:v>
      </x:c>
      <x:c r="B110" t="str">
        <x:v>1.20 validated five-run session</x:v>
      </x:c>
      <x:c r="C110" s="54" t="n">
        <x:v>1.2</x:v>
      </x:c>
      <x:c r="D110" t="n">
        <x:v>2</x:v>
      </x:c>
      <x:c r="E110" t="str">
        <x:v>PASS</x:v>
      </x:c>
      <x:c r="F110" t="n">
        <x:v>1</x:v>
      </x:c>
      <x:c r="G110" t="n">
        <x:v>9</x:v>
      </x:c>
      <x:c r="H110" s="54" t="n">
        <x:v>11.5</x:v>
      </x:c>
      <x:c r="I110" s="54" t="n">
        <x:v>1.19955</x:v>
      </x:c>
      <x:c r="J110" s="54" t="n">
        <x:v>1.20494</x:v>
      </x:c>
      <x:c r="K110" s="54" t="n">
        <x:v>0.40667</x:v>
      </x:c>
      <x:c r="L110" s="54" t="n">
        <x:v>0.63858</x:v>
      </x:c>
      <x:c r="M110" s="54" t="n">
        <x:v>1.4232</x:v>
      </x:c>
      <x:c r="N110" s="56" t="n">
        <x:v>-0.04</x:v>
      </x:c>
      <x:c r="O110" s="56" t="n">
        <x:v>0.63</x:v>
      </x:c>
      <x:c r="P110" s="56" t="n">
        <x:v>1.16</x:v>
      </x:c>
      <x:c r="Q110" s="56" t="n">
        <x:v>93.3</x:v>
      </x:c>
      <x:c r="R110" t="str">
        <x:v>X</x:v>
      </x:c>
      <x:c r="S110" s="102" t="n">
        <x:v>100</x:v>
      </x:c>
      <x:c r="T110" t="str">
        <x:v>IN TARGET BAND</x:v>
      </x:c>
      <x:c r="U110" t="str">
        <x:f>IF(T110="IN TARGET BAND","Yes","No")</x:f>
        <x:v>Yes</x:v>
      </x:c>
      <x:c r="V110" t="n">
        <x:v>1255</x:v>
      </x:c>
      <x:c r="W110" t="str">
        <x:v>Pasted text(56).txt</x:v>
      </x:c>
    </x:row>
    <x:row r="111">
      <x:c r="A111" t="str">
        <x:v>S04</x:v>
      </x:c>
      <x:c r="B111" t="str">
        <x:v>1.20 validated five-run session</x:v>
      </x:c>
      <x:c r="C111" s="54" t="n">
        <x:v>1.2</x:v>
      </x:c>
      <x:c r="D111" t="n">
        <x:v>2</x:v>
      </x:c>
      <x:c r="E111" t="str">
        <x:v>PASS</x:v>
      </x:c>
      <x:c r="F111" t="n">
        <x:v>1</x:v>
      </x:c>
      <x:c r="G111" t="n">
        <x:v>10</x:v>
      </x:c>
      <x:c r="H111" s="54" t="n">
        <x:v>11.5</x:v>
      </x:c>
      <x:c r="I111" s="54" t="n">
        <x:v>1.21586</x:v>
      </x:c>
      <x:c r="J111" s="54" t="n">
        <x:v>1.21679</x:v>
      </x:c>
      <x:c r="K111" s="54" t="n">
        <x:v>0.39676</x:v>
      </x:c>
      <x:c r="L111" s="54" t="n">
        <x:v>0.67331</x:v>
      </x:c>
      <x:c r="M111" s="54" t="n">
        <x:v>1.4462</x:v>
      </x:c>
      <x:c r="N111" s="56" t="n">
        <x:v>1.32</x:v>
      </x:c>
      <x:c r="O111" s="56" t="n">
        <x:v>0.91</x:v>
      </x:c>
      <x:c r="P111" s="56" t="n">
        <x:v>0.73</x:v>
      </x:c>
      <x:c r="Q111" s="56" t="n">
        <x:v>94</x:v>
      </x:c>
      <x:c r="R111" t="str">
        <x:v>X</x:v>
      </x:c>
      <x:c r="S111" s="102" t="n">
        <x:v>100</x:v>
      </x:c>
      <x:c r="T111" t="str">
        <x:v>IN TARGET BAND</x:v>
      </x:c>
      <x:c r="U111" t="str">
        <x:f>IF(T111="IN TARGET BAND","Yes","No")</x:f>
        <x:v>Yes</x:v>
      </x:c>
      <x:c r="V111" t="n">
        <x:v>1256</x:v>
      </x:c>
      <x:c r="W111" t="str">
        <x:v>Pasted text(56).txt</x:v>
      </x:c>
    </x:row>
    <x:row r="112">
      <x:c r="A112" t="str">
        <x:v>S04</x:v>
      </x:c>
      <x:c r="B112" t="str">
        <x:v>1.20 validated five-run session</x:v>
      </x:c>
      <x:c r="C112" s="54" t="n">
        <x:v>1.2</x:v>
      </x:c>
      <x:c r="D112" t="n">
        <x:v>3</x:v>
      </x:c>
      <x:c r="E112" t="str">
        <x:v>PASS</x:v>
      </x:c>
      <x:c r="F112" t="n">
        <x:v>1</x:v>
      </x:c>
      <x:c r="G112" t="n">
        <x:v>1</x:v>
      </x:c>
      <x:c r="H112" s="54" t="n">
        <x:v>11.25</x:v>
      </x:c>
      <x:c r="I112" s="54" t="n">
        <x:v>1.18</x:v>
      </x:c>
      <x:c r="J112" s="54" t="n">
        <x:v>1.17833</x:v>
      </x:c>
      <x:c r="K112" s="54" t="n">
        <x:v>0.37654</x:v>
      </x:c>
      <x:c r="L112" s="54" t="n">
        <x:v>0.61836</x:v>
      </x:c>
      <x:c r="M112" s="54" t="n">
        <x:v>1.38336</x:v>
      </x:c>
      <x:c r="N112" s="56" t="n">
        <x:v>-1.67</x:v>
      </x:c>
      <x:c r="O112" s="56" t="n">
        <x:v>4.35</x:v>
      </x:c>
      <x:c r="P112" s="56" t="n">
        <x:v>3.16</x:v>
      </x:c>
      <x:c r="Q112" s="56" t="n">
        <x:v>93.5</x:v>
      </x:c>
      <x:c r="R112" t="str">
        <x:v>X</x:v>
      </x:c>
      <x:c r="S112" s="102" t="n">
        <x:v>100</x:v>
      </x:c>
      <x:c r="T112" t="str">
        <x:v>IN TARGET BAND</x:v>
      </x:c>
      <x:c r="U112" t="str">
        <x:f>IF(T112="IN TARGET BAND","Yes","No")</x:f>
        <x:v>Yes</x:v>
      </x:c>
      <x:c r="V112" t="n">
        <x:v>1331</x:v>
      </x:c>
      <x:c r="W112" t="str">
        <x:v>Pasted text(56).txt</x:v>
      </x:c>
    </x:row>
    <x:row r="113">
      <x:c r="A113" t="str">
        <x:v>S04</x:v>
      </x:c>
      <x:c r="B113" t="str">
        <x:v>1.20 validated five-run session</x:v>
      </x:c>
      <x:c r="C113" s="54" t="n">
        <x:v>1.2</x:v>
      </x:c>
      <x:c r="D113" t="n">
        <x:v>3</x:v>
      </x:c>
      <x:c r="E113" t="str">
        <x:v>PASS</x:v>
      </x:c>
      <x:c r="F113" t="n">
        <x:v>1</x:v>
      </x:c>
      <x:c r="G113" t="n">
        <x:v>2</x:v>
      </x:c>
      <x:c r="H113" s="54" t="n">
        <x:v>11.25</x:v>
      </x:c>
      <x:c r="I113" s="54" t="n">
        <x:v>1.15412</x:v>
      </x:c>
      <x:c r="J113" s="54" t="n">
        <x:v>1.1692</x:v>
      </x:c>
      <x:c r="K113" s="54" t="n">
        <x:v>0.38051</x:v>
      </x:c>
      <x:c r="L113" s="54" t="n">
        <x:v>0.63374</x:v>
      </x:c>
      <x:c r="M113" s="54" t="n">
        <x:v>1.38333</x:v>
      </x:c>
      <x:c r="N113" s="56" t="n">
        <x:v>-3.82</x:v>
      </x:c>
      <x:c r="O113" s="56" t="n">
        <x:v>0.59</x:v>
      </x:c>
      <x:c r="P113" s="56" t="n">
        <x:v>2.58</x:v>
      </x:c>
      <x:c r="Q113" s="56" t="n">
        <x:v>92.8</x:v>
      </x:c>
      <x:c r="R113" t="str">
        <x:v>X</x:v>
      </x:c>
      <x:c r="S113" s="102" t="n">
        <x:v>100</x:v>
      </x:c>
      <x:c r="T113" t="str">
        <x:v>IN TARGET BAND</x:v>
      </x:c>
      <x:c r="U113" t="str">
        <x:f>IF(T113="IN TARGET BAND","Yes","No")</x:f>
        <x:v>Yes</x:v>
      </x:c>
      <x:c r="V113" t="n">
        <x:v>1332</x:v>
      </x:c>
      <x:c r="W113" t="str">
        <x:v>Pasted text(56).txt</x:v>
      </x:c>
    </x:row>
    <x:row r="114">
      <x:c r="A114" t="str">
        <x:v>S04</x:v>
      </x:c>
      <x:c r="B114" t="str">
        <x:v>1.20 validated five-run session</x:v>
      </x:c>
      <x:c r="C114" s="54" t="n">
        <x:v>1.2</x:v>
      </x:c>
      <x:c r="D114" t="n">
        <x:v>3</x:v>
      </x:c>
      <x:c r="E114" t="str">
        <x:v>PASS</x:v>
      </x:c>
      <x:c r="F114" t="n">
        <x:v>1</x:v>
      </x:c>
      <x:c r="G114" t="n">
        <x:v>3</x:v>
      </x:c>
      <x:c r="H114" s="54" t="n">
        <x:v>11.25</x:v>
      </x:c>
      <x:c r="I114" s="54" t="n">
        <x:v>1.176</x:v>
      </x:c>
      <x:c r="J114" s="54" t="n">
        <x:v>1.16833</x:v>
      </x:c>
      <x:c r="K114" s="54" t="n">
        <x:v>0.39052</x:v>
      </x:c>
      <x:c r="L114" s="54" t="n">
        <x:v>0.6501</x:v>
      </x:c>
      <x:c r="M114" s="54" t="n">
        <x:v>1.39291</x:v>
      </x:c>
      <x:c r="N114" s="56" t="n">
        <x:v>-2</x:v>
      </x:c>
      <x:c r="O114" s="56" t="n">
        <x:v>0.56</x:v>
      </x:c>
      <x:c r="P114" s="56" t="n">
        <x:v>1.48</x:v>
      </x:c>
      <x:c r="Q114" s="56" t="n">
        <x:v>93.2</x:v>
      </x:c>
      <x:c r="R114" t="str">
        <x:v>X</x:v>
      </x:c>
      <x:c r="S114" s="102" t="n">
        <x:v>100</x:v>
      </x:c>
      <x:c r="T114" t="str">
        <x:v>IN TARGET BAND</x:v>
      </x:c>
      <x:c r="U114" t="str">
        <x:f>IF(T114="IN TARGET BAND","Yes","No")</x:f>
        <x:v>Yes</x:v>
      </x:c>
      <x:c r="V114" t="n">
        <x:v>1333</x:v>
      </x:c>
      <x:c r="W114" t="str">
        <x:v>Pasted text(56).txt</x:v>
      </x:c>
    </x:row>
    <x:row r="115">
      <x:c r="A115" t="str">
        <x:v>S04</x:v>
      </x:c>
      <x:c r="B115" t="str">
        <x:v>1.20 validated five-run session</x:v>
      </x:c>
      <x:c r="C115" s="54" t="n">
        <x:v>1.2</x:v>
      </x:c>
      <x:c r="D115" t="n">
        <x:v>3</x:v>
      </x:c>
      <x:c r="E115" t="str">
        <x:v>PASS</x:v>
      </x:c>
      <x:c r="F115" t="n">
        <x:v>1</x:v>
      </x:c>
      <x:c r="G115" t="n">
        <x:v>4</x:v>
      </x:c>
      <x:c r="H115" s="54" t="n">
        <x:v>11.25</x:v>
      </x:c>
      <x:c r="I115" s="54" t="n">
        <x:v>1.18551</x:v>
      </x:c>
      <x:c r="J115" s="54" t="n">
        <x:v>1.17941</x:v>
      </x:c>
      <x:c r="K115" s="54" t="n">
        <x:v>0.39823</x:v>
      </x:c>
      <x:c r="L115" s="54" t="n">
        <x:v>0.61689</x:v>
      </x:c>
      <x:c r="M115" s="54" t="n">
        <x:v>1.38939</x:v>
      </x:c>
      <x:c r="N115" s="56" t="n">
        <x:v>-1.21</x:v>
      </x:c>
      <x:c r="O115" s="56" t="n">
        <x:v>0.31</x:v>
      </x:c>
      <x:c r="P115" s="56" t="n">
        <x:v>1.09</x:v>
      </x:c>
      <x:c r="Q115" s="56" t="n">
        <x:v>93.3</x:v>
      </x:c>
      <x:c r="R115" t="str">
        <x:v>X</x:v>
      </x:c>
      <x:c r="S115" s="102" t="n">
        <x:v>100</x:v>
      </x:c>
      <x:c r="T115" t="str">
        <x:v>IN TARGET BAND</x:v>
      </x:c>
      <x:c r="U115" t="str">
        <x:f>IF(T115="IN TARGET BAND","Yes","No")</x:f>
        <x:v>Yes</x:v>
      </x:c>
      <x:c r="V115" t="n">
        <x:v>1334</x:v>
      </x:c>
      <x:c r="W115" t="str">
        <x:v>Pasted text(56).txt</x:v>
      </x:c>
    </x:row>
    <x:row r="116">
      <x:c r="A116" t="str">
        <x:v>S04</x:v>
      </x:c>
      <x:c r="B116" t="str">
        <x:v>1.20 validated five-run session</x:v>
      </x:c>
      <x:c r="C116" s="54" t="n">
        <x:v>1.2</x:v>
      </x:c>
      <x:c r="D116" t="n">
        <x:v>3</x:v>
      </x:c>
      <x:c r="E116" t="str">
        <x:v>PASS</x:v>
      </x:c>
      <x:c r="F116" t="n">
        <x:v>1</x:v>
      </x:c>
      <x:c r="G116" t="n">
        <x:v>5</x:v>
      </x:c>
      <x:c r="H116" s="54" t="n">
        <x:v>11.25</x:v>
      </x:c>
      <x:c r="I116" s="54" t="n">
        <x:v>1.19015</x:v>
      </x:c>
      <x:c r="J116" s="54" t="n">
        <x:v>1.19256</x:v>
      </x:c>
      <x:c r="K116" s="54" t="n">
        <x:v>0.39117</x:v>
      </x:c>
      <x:c r="L116" s="54" t="n">
        <x:v>0.66161</x:v>
      </x:c>
      <x:c r="M116" s="54" t="n">
        <x:v>1.41888</x:v>
      </x:c>
      <x:c r="N116" s="56" t="n">
        <x:v>-0.82</x:v>
      </x:c>
      <x:c r="O116" s="56" t="n">
        <x:v>0.58</x:v>
      </x:c>
      <x:c r="P116" s="56" t="n">
        <x:v>0.72</x:v>
      </x:c>
      <x:c r="Q116" s="56" t="n">
        <x:v>93.8</x:v>
      </x:c>
      <x:c r="R116" t="str">
        <x:v>X</x:v>
      </x:c>
      <x:c r="S116" s="102" t="n">
        <x:v>100</x:v>
      </x:c>
      <x:c r="T116" t="str">
        <x:v>IN TARGET BAND</x:v>
      </x:c>
      <x:c r="U116" t="str">
        <x:f>IF(T116="IN TARGET BAND","Yes","No")</x:f>
        <x:v>Yes</x:v>
      </x:c>
      <x:c r="V116" t="n">
        <x:v>1335</x:v>
      </x:c>
      <x:c r="W116" t="str">
        <x:v>Pasted text(56).txt</x:v>
      </x:c>
    </x:row>
    <x:row r="117">
      <x:c r="A117" t="str">
        <x:v>S04</x:v>
      </x:c>
      <x:c r="B117" t="str">
        <x:v>1.20 validated five-run session</x:v>
      </x:c>
      <x:c r="C117" s="54" t="n">
        <x:v>1.2</x:v>
      </x:c>
      <x:c r="D117" t="n">
        <x:v>3</x:v>
      </x:c>
      <x:c r="E117" t="str">
        <x:v>PASS</x:v>
      </x:c>
      <x:c r="F117" t="n">
        <x:v>1</x:v>
      </x:c>
      <x:c r="G117" t="n">
        <x:v>6</x:v>
      </x:c>
      <x:c r="H117" s="54" t="n">
        <x:v>11.25</x:v>
      </x:c>
      <x:c r="I117" s="54" t="n">
        <x:v>1.18881</x:v>
      </x:c>
      <x:c r="J117" s="54" t="n">
        <x:v>1.1917</x:v>
      </x:c>
      <x:c r="K117" s="54" t="n">
        <x:v>0.3772</x:v>
      </x:c>
      <x:c r="L117" s="54" t="n">
        <x:v>0.61654</x:v>
      </x:c>
      <x:c r="M117" s="54" t="n">
        <x:v>1.39386</x:v>
      </x:c>
      <x:c r="N117" s="56" t="n">
        <x:v>-0.93</x:v>
      </x:c>
      <x:c r="O117" s="56" t="n">
        <x:v>1.01</x:v>
      </x:c>
      <x:c r="P117" s="56" t="n">
        <x:v>1.06</x:v>
      </x:c>
      <x:c r="Q117" s="56" t="n">
        <x:v>94.2</x:v>
      </x:c>
      <x:c r="R117" t="str">
        <x:v>X</x:v>
      </x:c>
      <x:c r="S117" s="102" t="n">
        <x:v>100</x:v>
      </x:c>
      <x:c r="T117" t="str">
        <x:v>IN TARGET BAND</x:v>
      </x:c>
      <x:c r="U117" t="str">
        <x:f>IF(T117="IN TARGET BAND","Yes","No")</x:f>
        <x:v>Yes</x:v>
      </x:c>
      <x:c r="V117" t="n">
        <x:v>1336</x:v>
      </x:c>
      <x:c r="W117" t="str">
        <x:v>Pasted text(56).txt</x:v>
      </x:c>
    </x:row>
    <x:row r="118">
      <x:c r="A118" t="str">
        <x:v>S04</x:v>
      </x:c>
      <x:c r="B118" t="str">
        <x:v>1.20 validated five-run session</x:v>
      </x:c>
      <x:c r="C118" s="54" t="n">
        <x:v>1.2</x:v>
      </x:c>
      <x:c r="D118" t="n">
        <x:v>3</x:v>
      </x:c>
      <x:c r="E118" t="str">
        <x:v>PASS</x:v>
      </x:c>
      <x:c r="F118" t="n">
        <x:v>1</x:v>
      </x:c>
      <x:c r="G118" t="n">
        <x:v>7</x:v>
      </x:c>
      <x:c r="H118" s="54" t="n">
        <x:v>11.25</x:v>
      </x:c>
      <x:c r="I118" s="54" t="n">
        <x:v>1.18838</x:v>
      </x:c>
      <x:c r="J118" s="54" t="n">
        <x:v>1.18922</x:v>
      </x:c>
      <x:c r="K118" s="54" t="n">
        <x:v>0.38449</x:v>
      </x:c>
      <x:c r="L118" s="54" t="n">
        <x:v>0.63012</x:v>
      </x:c>
      <x:c r="M118" s="54" t="n">
        <x:v>1.39992</x:v>
      </x:c>
      <x:c r="N118" s="56" t="n">
        <x:v>-0.97</x:v>
      </x:c>
      <x:c r="O118" s="56" t="n">
        <x:v>1.17</x:v>
      </x:c>
      <x:c r="P118" s="56" t="n">
        <x:v>0.9</x:v>
      </x:c>
      <x:c r="Q118" s="56" t="n">
        <x:v>93.9</x:v>
      </x:c>
      <x:c r="R118" t="str">
        <x:v>X</x:v>
      </x:c>
      <x:c r="S118" s="102" t="n">
        <x:v>100</x:v>
      </x:c>
      <x:c r="T118" t="str">
        <x:v>IN TARGET BAND</x:v>
      </x:c>
      <x:c r="U118" t="str">
        <x:f>IF(T118="IN TARGET BAND","Yes","No")</x:f>
        <x:v>Yes</x:v>
      </x:c>
      <x:c r="V118" t="n">
        <x:v>1337</x:v>
      </x:c>
      <x:c r="W118" t="str">
        <x:v>Pasted text(56).txt</x:v>
      </x:c>
    </x:row>
    <x:row r="119">
      <x:c r="A119" t="str">
        <x:v>S04</x:v>
      </x:c>
      <x:c r="B119" t="str">
        <x:v>1.20 validated five-run session</x:v>
      </x:c>
      <x:c r="C119" s="54" t="n">
        <x:v>1.2</x:v>
      </x:c>
      <x:c r="D119" t="n">
        <x:v>3</x:v>
      </x:c>
      <x:c r="E119" t="str">
        <x:v>PASS</x:v>
      </x:c>
      <x:c r="F119" t="n">
        <x:v>1</x:v>
      </x:c>
      <x:c r="G119" t="n">
        <x:v>8</x:v>
      </x:c>
      <x:c r="H119" s="54" t="n">
        <x:v>11.25</x:v>
      </x:c>
      <x:c r="I119" s="54" t="n">
        <x:v>1.16847</x:v>
      </x:c>
      <x:c r="J119" s="54" t="n">
        <x:v>1.17731</x:v>
      </x:c>
      <x:c r="K119" s="54" t="n">
        <x:v>0.39789</x:v>
      </x:c>
      <x:c r="L119" s="54" t="n">
        <x:v>0.64485</x:v>
      </x:c>
      <x:c r="M119" s="54" t="n">
        <x:v>1.40018</x:v>
      </x:c>
      <x:c r="N119" s="56" t="n">
        <x:v>-2.63</x:v>
      </x:c>
      <x:c r="O119" s="56" t="n">
        <x:v>0.2</x:v>
      </x:c>
      <x:c r="P119" s="56" t="n">
        <x:v>1.42</x:v>
      </x:c>
      <x:c r="Q119" s="56" t="n">
        <x:v>93.5</x:v>
      </x:c>
      <x:c r="R119" t="str">
        <x:v>X</x:v>
      </x:c>
      <x:c r="S119" s="102" t="n">
        <x:v>100</x:v>
      </x:c>
      <x:c r="T119" t="str">
        <x:v>IN TARGET BAND</x:v>
      </x:c>
      <x:c r="U119" t="str">
        <x:f>IF(T119="IN TARGET BAND","Yes","No")</x:f>
        <x:v>Yes</x:v>
      </x:c>
      <x:c r="V119" t="n">
        <x:v>1338</x:v>
      </x:c>
      <x:c r="W119" t="str">
        <x:v>Pasted text(56).txt</x:v>
      </x:c>
    </x:row>
    <x:row r="120">
      <x:c r="A120" t="str">
        <x:v>S04</x:v>
      </x:c>
      <x:c r="B120" t="str">
        <x:v>1.20 validated five-run session</x:v>
      </x:c>
      <x:c r="C120" s="54" t="n">
        <x:v>1.2</x:v>
      </x:c>
      <x:c r="D120" t="n">
        <x:v>3</x:v>
      </x:c>
      <x:c r="E120" t="str">
        <x:v>PASS</x:v>
      </x:c>
      <x:c r="F120" t="n">
        <x:v>1</x:v>
      </x:c>
      <x:c r="G120" t="n">
        <x:v>9</x:v>
      </x:c>
      <x:c r="H120" s="54" t="n">
        <x:v>11.25</x:v>
      </x:c>
      <x:c r="I120" s="54" t="n">
        <x:v>1.18391</x:v>
      </x:c>
      <x:c r="J120" s="54" t="n">
        <x:v>1.18033</x:v>
      </x:c>
      <x:c r="K120" s="54" t="n">
        <x:v>0.38156</x:v>
      </x:c>
      <x:c r="L120" s="54" t="n">
        <x:v>0.66184</x:v>
      </x:c>
      <x:c r="M120" s="54" t="n">
        <x:v>1.40608</x:v>
      </x:c>
      <x:c r="N120" s="56" t="n">
        <x:v>-1.34</x:v>
      </x:c>
      <x:c r="O120" s="56" t="n">
        <x:v>0.15</x:v>
      </x:c>
      <x:c r="P120" s="56" t="n">
        <x:v>0.61</x:v>
      </x:c>
      <x:c r="Q120" s="56" t="n">
        <x:v>93.4</x:v>
      </x:c>
      <x:c r="R120" t="str">
        <x:v>X</x:v>
      </x:c>
      <x:c r="S120" s="102" t="n">
        <x:v>100</x:v>
      </x:c>
      <x:c r="T120" t="str">
        <x:v>IN TARGET BAND</x:v>
      </x:c>
      <x:c r="U120" t="str">
        <x:f>IF(T120="IN TARGET BAND","Yes","No")</x:f>
        <x:v>Yes</x:v>
      </x:c>
      <x:c r="V120" t="n">
        <x:v>1339</x:v>
      </x:c>
      <x:c r="W120" t="str">
        <x:v>Pasted text(56).txt</x:v>
      </x:c>
    </x:row>
    <x:row r="121">
      <x:c r="A121" t="str">
        <x:v>S04</x:v>
      </x:c>
      <x:c r="B121" t="str">
        <x:v>1.20 validated five-run session</x:v>
      </x:c>
      <x:c r="C121" s="54" t="n">
        <x:v>1.2</x:v>
      </x:c>
      <x:c r="D121" t="n">
        <x:v>3</x:v>
      </x:c>
      <x:c r="E121" t="str">
        <x:v>PASS</x:v>
      </x:c>
      <x:c r="F121" t="n">
        <x:v>1</x:v>
      </x:c>
      <x:c r="G121" t="n">
        <x:v>10</x:v>
      </x:c>
      <x:c r="H121" s="54" t="n">
        <x:v>11.25</x:v>
      </x:c>
      <x:c r="I121" s="54" t="n">
        <x:v>1.15716</x:v>
      </x:c>
      <x:c r="J121" s="54" t="n">
        <x:v>1.15752</x:v>
      </x:c>
      <x:c r="K121" s="54" t="n">
        <x:v>0.37777</x:v>
      </x:c>
      <x:c r="L121" s="54" t="n">
        <x:v>0.63997</x:v>
      </x:c>
      <x:c r="M121" s="54" t="n">
        <x:v>1.37561</x:v>
      </x:c>
      <x:c r="N121" s="56" t="n">
        <x:v>-3.57</x:v>
      </x:c>
      <x:c r="O121" s="56" t="n">
        <x:v>0.64</x:v>
      </x:c>
      <x:c r="P121" s="56" t="n">
        <x:v>0.48</x:v>
      </x:c>
      <x:c r="Q121" s="56" t="n">
        <x:v>92.7</x:v>
      </x:c>
      <x:c r="R121" t="str">
        <x:v>X</x:v>
      </x:c>
      <x:c r="S121" s="102" t="n">
        <x:v>100</x:v>
      </x:c>
      <x:c r="T121" t="str">
        <x:v>IN TARGET BAND</x:v>
      </x:c>
      <x:c r="U121" t="str">
        <x:f>IF(T121="IN TARGET BAND","Yes","No")</x:f>
        <x:v>Yes</x:v>
      </x:c>
      <x:c r="V121" t="n">
        <x:v>1340</x:v>
      </x:c>
      <x:c r="W121" t="str">
        <x:v>Pasted text(56).txt</x:v>
      </x:c>
    </x:row>
    <x:row r="122">
      <x:c r="A122" t="str">
        <x:v>S04</x:v>
      </x:c>
      <x:c r="B122" t="str">
        <x:v>1.20 validated five-run session</x:v>
      </x:c>
      <x:c r="C122" s="54" t="n">
        <x:v>1.2</x:v>
      </x:c>
      <x:c r="D122" t="n">
        <x:v>4</x:v>
      </x:c>
      <x:c r="E122" t="str">
        <x:v>PASS</x:v>
      </x:c>
      <x:c r="F122" t="n">
        <x:v>1</x:v>
      </x:c>
      <x:c r="G122" t="n">
        <x:v>1</x:v>
      </x:c>
      <x:c r="H122" s="54" t="n">
        <x:v>11.5</x:v>
      </x:c>
      <x:c r="I122" s="54" t="n">
        <x:v>1.19998</x:v>
      </x:c>
      <x:c r="J122" s="54" t="n">
        <x:v>1.19702</x:v>
      </x:c>
      <x:c r="K122" s="54" t="n">
        <x:v>0.37821</x:v>
      </x:c>
      <x:c r="L122" s="54" t="n">
        <x:v>0.64872</x:v>
      </x:c>
      <x:c r="M122" s="54" t="n">
        <x:v>1.4133</x:v>
      </x:c>
      <x:c r="N122" s="56" t="n">
        <x:v>0</x:v>
      </x:c>
      <x:c r="O122" s="56" t="n">
        <x:v>0.15</x:v>
      </x:c>
      <x:c r="P122" s="56" t="n">
        <x:v>0.52</x:v>
      </x:c>
      <x:c r="Q122" s="56" t="n">
        <x:v>92.8</x:v>
      </x:c>
      <x:c r="R122" t="str">
        <x:v>X</x:v>
      </x:c>
      <x:c r="S122" s="102" t="n">
        <x:v>100</x:v>
      </x:c>
      <x:c r="T122" t="str">
        <x:v>IN TARGET BAND</x:v>
      </x:c>
      <x:c r="U122" t="str">
        <x:f>IF(T122="IN TARGET BAND","Yes","No")</x:f>
        <x:v>Yes</x:v>
      </x:c>
      <x:c r="V122" t="n">
        <x:v>1415</x:v>
      </x:c>
      <x:c r="W122" t="str">
        <x:v>Pasted text(56).txt</x:v>
      </x:c>
    </x:row>
    <x:row r="123">
      <x:c r="A123" t="str">
        <x:v>S04</x:v>
      </x:c>
      <x:c r="B123" t="str">
        <x:v>1.20 validated five-run session</x:v>
      </x:c>
      <x:c r="C123" s="54" t="n">
        <x:v>1.2</x:v>
      </x:c>
      <x:c r="D123" t="n">
        <x:v>4</x:v>
      </x:c>
      <x:c r="E123" t="str">
        <x:v>PASS</x:v>
      </x:c>
      <x:c r="F123" t="n">
        <x:v>1</x:v>
      </x:c>
      <x:c r="G123" t="n">
        <x:v>2</x:v>
      </x:c>
      <x:c r="H123" s="54" t="n">
        <x:v>11.5</x:v>
      </x:c>
      <x:c r="I123" s="54" t="n">
        <x:v>1.20183</x:v>
      </x:c>
      <x:c r="J123" s="54" t="n">
        <x:v>1.20616</x:v>
      </x:c>
      <x:c r="K123" s="54" t="n">
        <x:v>0.39267</x:v>
      </x:c>
      <x:c r="L123" s="54" t="n">
        <x:v>0.6559</x:v>
      </x:c>
      <x:c r="M123" s="54" t="n">
        <x:v>1.42823</x:v>
      </x:c>
      <x:c r="N123" s="56" t="n">
        <x:v>0.15</x:v>
      </x:c>
      <x:c r="O123" s="56" t="n">
        <x:v>0.69</x:v>
      </x:c>
      <x:c r="P123" s="56" t="n">
        <x:v>1.05</x:v>
      </x:c>
      <x:c r="Q123" s="56" t="n">
        <x:v>93.7</x:v>
      </x:c>
      <x:c r="R123" t="str">
        <x:v>X</x:v>
      </x:c>
      <x:c r="S123" s="102" t="n">
        <x:v>100</x:v>
      </x:c>
      <x:c r="T123" t="str">
        <x:v>IN TARGET BAND</x:v>
      </x:c>
      <x:c r="U123" t="str">
        <x:f>IF(T123="IN TARGET BAND","Yes","No")</x:f>
        <x:v>Yes</x:v>
      </x:c>
      <x:c r="V123" t="n">
        <x:v>1416</x:v>
      </x:c>
      <x:c r="W123" t="str">
        <x:v>Pasted text(56).txt</x:v>
      </x:c>
    </x:row>
    <x:row r="124">
      <x:c r="A124" t="str">
        <x:v>S04</x:v>
      </x:c>
      <x:c r="B124" t="str">
        <x:v>1.20 validated five-run session</x:v>
      </x:c>
      <x:c r="C124" s="54" t="n">
        <x:v>1.2</x:v>
      </x:c>
      <x:c r="D124" t="n">
        <x:v>4</x:v>
      </x:c>
      <x:c r="E124" t="str">
        <x:v>PASS</x:v>
      </x:c>
      <x:c r="F124" t="n">
        <x:v>1</x:v>
      </x:c>
      <x:c r="G124" t="n">
        <x:v>3</x:v>
      </x:c>
      <x:c r="H124" s="54" t="n">
        <x:v>11.5</x:v>
      </x:c>
      <x:c r="I124" s="54" t="n">
        <x:v>1.22546</x:v>
      </x:c>
      <x:c r="J124" s="54" t="n">
        <x:v>1.22293</x:v>
      </x:c>
      <x:c r="K124" s="54" t="n">
        <x:v>0.40105</x:v>
      </x:c>
      <x:c r="L124" s="54" t="n">
        <x:v>0.64101</x:v>
      </x:c>
      <x:c r="M124" s="54" t="n">
        <x:v>1.43794</x:v>
      </x:c>
      <x:c r="N124" s="56" t="n">
        <x:v>2.12</x:v>
      </x:c>
      <x:c r="O124" s="56" t="n">
        <x:v>0.9</x:v>
      </x:c>
      <x:c r="P124" s="56" t="n">
        <x:v>0.93</x:v>
      </x:c>
      <x:c r="Q124" s="56" t="n">
        <x:v>93.8</x:v>
      </x:c>
      <x:c r="R124" t="str">
        <x:v>X</x:v>
      </x:c>
      <x:c r="S124" s="102" t="n">
        <x:v>100</x:v>
      </x:c>
      <x:c r="T124" t="str">
        <x:v>IN TARGET BAND</x:v>
      </x:c>
      <x:c r="U124" t="str">
        <x:f>IF(T124="IN TARGET BAND","Yes","No")</x:f>
        <x:v>Yes</x:v>
      </x:c>
      <x:c r="V124" t="n">
        <x:v>1417</x:v>
      </x:c>
      <x:c r="W124" t="str">
        <x:v>Pasted text(56).txt</x:v>
      </x:c>
    </x:row>
    <x:row r="125">
      <x:c r="A125" t="str">
        <x:v>S04</x:v>
      </x:c>
      <x:c r="B125" t="str">
        <x:v>1.20 validated five-run session</x:v>
      </x:c>
      <x:c r="C125" s="54" t="n">
        <x:v>1.2</x:v>
      </x:c>
      <x:c r="D125" t="n">
        <x:v>4</x:v>
      </x:c>
      <x:c r="E125" t="str">
        <x:v>PASS</x:v>
      </x:c>
      <x:c r="F125" t="n">
        <x:v>1</x:v>
      </x:c>
      <x:c r="G125" t="n">
        <x:v>4</x:v>
      </x:c>
      <x:c r="H125" s="54" t="n">
        <x:v>11.5</x:v>
      </x:c>
      <x:c r="I125" s="54" t="n">
        <x:v>1.23906</x:v>
      </x:c>
      <x:c r="J125" s="54" t="n">
        <x:v>1.23866</x:v>
      </x:c>
      <x:c r="K125" s="54" t="n">
        <x:v>0.39079</x:v>
      </x:c>
      <x:c r="L125" s="54" t="n">
        <x:v>0.64234</x:v>
      </x:c>
      <x:c r="M125" s="54" t="n">
        <x:v>1.44956</x:v>
      </x:c>
      <x:c r="N125" s="56" t="n">
        <x:v>3.25</x:v>
      </x:c>
      <x:c r="O125" s="56" t="n">
        <x:v>2.8</x:v>
      </x:c>
      <x:c r="P125" s="56" t="n">
        <x:v>1.94</x:v>
      </x:c>
      <x:c r="Q125" s="56" t="n">
        <x:v>94.2</x:v>
      </x:c>
      <x:c r="R125" t="str">
        <x:v>X</x:v>
      </x:c>
      <x:c r="S125" s="102" t="n">
        <x:v>100</x:v>
      </x:c>
      <x:c r="T125" t="str">
        <x:v>IN TARGET BAND</x:v>
      </x:c>
      <x:c r="U125" t="str">
        <x:f>IF(T125="IN TARGET BAND","Yes","No")</x:f>
        <x:v>Yes</x:v>
      </x:c>
      <x:c r="V125" t="n">
        <x:v>1418</x:v>
      </x:c>
      <x:c r="W125" t="str">
        <x:v>Pasted text(56).txt</x:v>
      </x:c>
    </x:row>
    <x:row r="126">
      <x:c r="A126" t="str">
        <x:v>S04</x:v>
      </x:c>
      <x:c r="B126" t="str">
        <x:v>1.20 validated five-run session</x:v>
      </x:c>
      <x:c r="C126" s="54" t="n">
        <x:v>1.2</x:v>
      </x:c>
      <x:c r="D126" t="n">
        <x:v>4</x:v>
      </x:c>
      <x:c r="E126" t="str">
        <x:v>PASS</x:v>
      </x:c>
      <x:c r="F126" t="n">
        <x:v>1</x:v>
      </x:c>
      <x:c r="G126" t="n">
        <x:v>5</x:v>
      </x:c>
      <x:c r="H126" s="54" t="n">
        <x:v>11.5</x:v>
      </x:c>
      <x:c r="I126" s="54" t="n">
        <x:v>1.21278</x:v>
      </x:c>
      <x:c r="J126" s="54" t="n">
        <x:v>1.20814</x:v>
      </x:c>
      <x:c r="K126" s="54" t="n">
        <x:v>0.39954</x:v>
      </x:c>
      <x:c r="L126" s="54" t="n">
        <x:v>0.65554</x:v>
      </x:c>
      <x:c r="M126" s="54" t="n">
        <x:v>1.43159</x:v>
      </x:c>
      <x:c r="N126" s="56" t="n">
        <x:v>1.06</x:v>
      </x:c>
      <x:c r="O126" s="56" t="n">
        <x:v>0.81</x:v>
      </x:c>
      <x:c r="P126" s="56" t="n">
        <x:v>1.17</x:v>
      </x:c>
      <x:c r="Q126" s="56" t="n">
        <x:v>93.7</x:v>
      </x:c>
      <x:c r="R126" t="str">
        <x:v>X</x:v>
      </x:c>
      <x:c r="S126" s="102" t="n">
        <x:v>100</x:v>
      </x:c>
      <x:c r="T126" t="str">
        <x:v>IN TARGET BAND</x:v>
      </x:c>
      <x:c r="U126" t="str">
        <x:f>IF(T126="IN TARGET BAND","Yes","No")</x:f>
        <x:v>Yes</x:v>
      </x:c>
      <x:c r="V126" t="n">
        <x:v>1419</x:v>
      </x:c>
      <x:c r="W126" t="str">
        <x:v>Pasted text(56).txt</x:v>
      </x:c>
    </x:row>
    <x:row r="127">
      <x:c r="A127" t="str">
        <x:v>S04</x:v>
      </x:c>
      <x:c r="B127" t="str">
        <x:v>1.20 validated five-run session</x:v>
      </x:c>
      <x:c r="C127" s="54" t="n">
        <x:v>1.2</x:v>
      </x:c>
      <x:c r="D127" t="n">
        <x:v>4</x:v>
      </x:c>
      <x:c r="E127" t="str">
        <x:v>PASS</x:v>
      </x:c>
      <x:c r="F127" t="n">
        <x:v>1</x:v>
      </x:c>
      <x:c r="G127" t="n">
        <x:v>6</x:v>
      </x:c>
      <x:c r="H127" s="54" t="n">
        <x:v>11.5</x:v>
      </x:c>
      <x:c r="I127" s="54" t="n">
        <x:v>1.1807</x:v>
      </x:c>
      <x:c r="J127" s="54" t="n">
        <x:v>1.18546</x:v>
      </x:c>
      <x:c r="K127" s="54" t="n">
        <x:v>0.368</x:v>
      </x:c>
      <x:c r="L127" s="54" t="n">
        <x:v>0.6586</x:v>
      </x:c>
      <x:c r="M127" s="54" t="n">
        <x:v>1.40548</x:v>
      </x:c>
      <x:c r="N127" s="56" t="n">
        <x:v>-1.61</x:v>
      </x:c>
      <x:c r="O127" s="56" t="n">
        <x:v>1.46</x:v>
      </x:c>
      <x:c r="P127" s="56" t="n">
        <x:v>1.62</x:v>
      </x:c>
      <x:c r="Q127" s="56" t="n">
        <x:v>92.3</x:v>
      </x:c>
      <x:c r="R127" t="str">
        <x:v>X</x:v>
      </x:c>
      <x:c r="S127" s="102" t="n">
        <x:v>100</x:v>
      </x:c>
      <x:c r="T127" t="str">
        <x:v>IN TARGET BAND</x:v>
      </x:c>
      <x:c r="U127" t="str">
        <x:f>IF(T127="IN TARGET BAND","Yes","No")</x:f>
        <x:v>Yes</x:v>
      </x:c>
      <x:c r="V127" t="n">
        <x:v>1420</x:v>
      </x:c>
      <x:c r="W127" t="str">
        <x:v>Pasted text(56).txt</x:v>
      </x:c>
    </x:row>
    <x:row r="128">
      <x:c r="A128" t="str">
        <x:v>S04</x:v>
      </x:c>
      <x:c r="B128" t="str">
        <x:v>1.20 validated five-run session</x:v>
      </x:c>
      <x:c r="C128" s="54" t="n">
        <x:v>1.2</x:v>
      </x:c>
      <x:c r="D128" t="n">
        <x:v>4</x:v>
      </x:c>
      <x:c r="E128" t="str">
        <x:v>PASS</x:v>
      </x:c>
      <x:c r="F128" t="n">
        <x:v>1</x:v>
      </x:c>
      <x:c r="G128" t="n">
        <x:v>7</x:v>
      </x:c>
      <x:c r="H128" s="54" t="n">
        <x:v>11.5</x:v>
      </x:c>
      <x:c r="I128" s="54" t="n">
        <x:v>1.1937</x:v>
      </x:c>
      <x:c r="J128" s="54" t="n">
        <x:v>1.20295</x:v>
      </x:c>
      <x:c r="K128" s="54" t="n">
        <x:v>0.39713</x:v>
      </x:c>
      <x:c r="L128" s="54" t="n">
        <x:v>0.64039</x:v>
      </x:c>
      <x:c r="M128" s="54" t="n">
        <x:v>1.41958</x:v>
      </x:c>
      <x:c r="N128" s="56" t="n">
        <x:v>-0.53</x:v>
      </x:c>
      <x:c r="O128" s="56" t="n">
        <x:v>0.61</x:v>
      </x:c>
      <x:c r="P128" s="56" t="n">
        <x:v>1.7</x:v>
      </x:c>
      <x:c r="Q128" s="56" t="n">
        <x:v>92.7</x:v>
      </x:c>
      <x:c r="R128" t="str">
        <x:v>X</x:v>
      </x:c>
      <x:c r="S128" s="102" t="n">
        <x:v>100</x:v>
      </x:c>
      <x:c r="T128" t="str">
        <x:v>IN TARGET BAND</x:v>
      </x:c>
      <x:c r="U128" t="str">
        <x:f>IF(T128="IN TARGET BAND","Yes","No")</x:f>
        <x:v>Yes</x:v>
      </x:c>
      <x:c r="V128" t="n">
        <x:v>1421</x:v>
      </x:c>
      <x:c r="W128" t="str">
        <x:v>Pasted text(56).txt</x:v>
      </x:c>
    </x:row>
    <x:row r="129">
      <x:c r="A129" t="str">
        <x:v>S04</x:v>
      </x:c>
      <x:c r="B129" t="str">
        <x:v>1.20 validated five-run session</x:v>
      </x:c>
      <x:c r="C129" s="54" t="n">
        <x:v>1.2</x:v>
      </x:c>
      <x:c r="D129" t="n">
        <x:v>4</x:v>
      </x:c>
      <x:c r="E129" t="str">
        <x:v>PASS</x:v>
      </x:c>
      <x:c r="F129" t="n">
        <x:v>1</x:v>
      </x:c>
      <x:c r="G129" t="n">
        <x:v>8</x:v>
      </x:c>
      <x:c r="H129" s="54" t="n">
        <x:v>11.5</x:v>
      </x:c>
      <x:c r="I129" s="54" t="n">
        <x:v>1.22714</x:v>
      </x:c>
      <x:c r="J129" s="54" t="n">
        <x:v>1.22514</x:v>
      </x:c>
      <x:c r="K129" s="54" t="n">
        <x:v>0.39959</x:v>
      </x:c>
      <x:c r="L129" s="54" t="n">
        <x:v>0.65901</x:v>
      </x:c>
      <x:c r="M129" s="54" t="n">
        <x:v>1.44752</x:v>
      </x:c>
      <x:c r="N129" s="56" t="n">
        <x:v>2.26</x:v>
      </x:c>
      <x:c r="O129" s="56" t="n">
        <x:v>1.98</x:v>
      </x:c>
      <x:c r="P129" s="56" t="n">
        <x:v>1.59</x:v>
      </x:c>
      <x:c r="Q129" s="56" t="n">
        <x:v>93.7</x:v>
      </x:c>
      <x:c r="R129" t="str">
        <x:v>X</x:v>
      </x:c>
      <x:c r="S129" s="102" t="n">
        <x:v>100</x:v>
      </x:c>
      <x:c r="T129" t="str">
        <x:v>IN TARGET BAND</x:v>
      </x:c>
      <x:c r="U129" t="str">
        <x:f>IF(T129="IN TARGET BAND","Yes","No")</x:f>
        <x:v>Yes</x:v>
      </x:c>
      <x:c r="V129" t="n">
        <x:v>1422</x:v>
      </x:c>
      <x:c r="W129" t="str">
        <x:v>Pasted text(56).txt</x:v>
      </x:c>
    </x:row>
    <x:row r="130">
      <x:c r="A130" t="str">
        <x:v>S04</x:v>
      </x:c>
      <x:c r="B130" t="str">
        <x:v>1.20 validated five-run session</x:v>
      </x:c>
      <x:c r="C130" s="54" t="n">
        <x:v>1.2</x:v>
      </x:c>
      <x:c r="D130" t="n">
        <x:v>4</x:v>
      </x:c>
      <x:c r="E130" t="str">
        <x:v>PASS</x:v>
      </x:c>
      <x:c r="F130" t="n">
        <x:v>1</x:v>
      </x:c>
      <x:c r="G130" t="n">
        <x:v>9</x:v>
      </x:c>
      <x:c r="H130" s="54" t="n">
        <x:v>11.5</x:v>
      </x:c>
      <x:c r="I130" s="54" t="n">
        <x:v>1.20863</x:v>
      </x:c>
      <x:c r="J130" s="54" t="n">
        <x:v>1.20796</x:v>
      </x:c>
      <x:c r="K130" s="54" t="n">
        <x:v>0.39433</x:v>
      </x:c>
      <x:c r="L130" s="54" t="n">
        <x:v>0.64571</x:v>
      </x:c>
      <x:c r="M130" s="54" t="n">
        <x:v>1.42581</x:v>
      </x:c>
      <x:c r="N130" s="56" t="n">
        <x:v>0.72</x:v>
      </x:c>
      <x:c r="O130" s="56" t="n">
        <x:v>0.7</x:v>
      </x:c>
      <x:c r="P130" s="56" t="n">
        <x:v>0.56</x:v>
      </x:c>
      <x:c r="Q130" s="56" t="n">
        <x:v>92.9</x:v>
      </x:c>
      <x:c r="R130" t="str">
        <x:v>X</x:v>
      </x:c>
      <x:c r="S130" s="102" t="n">
        <x:v>100</x:v>
      </x:c>
      <x:c r="T130" t="str">
        <x:v>IN TARGET BAND</x:v>
      </x:c>
      <x:c r="U130" t="str">
        <x:f>IF(T130="IN TARGET BAND","Yes","No")</x:f>
        <x:v>Yes</x:v>
      </x:c>
      <x:c r="V130" t="n">
        <x:v>1423</x:v>
      </x:c>
      <x:c r="W130" t="str">
        <x:v>Pasted text(56).txt</x:v>
      </x:c>
    </x:row>
    <x:row r="131">
      <x:c r="A131" t="str">
        <x:v>S04</x:v>
      </x:c>
      <x:c r="B131" t="str">
        <x:v>1.20 validated five-run session</x:v>
      </x:c>
      <x:c r="C131" s="54" t="n">
        <x:v>1.2</x:v>
      </x:c>
      <x:c r="D131" t="n">
        <x:v>4</x:v>
      </x:c>
      <x:c r="E131" t="str">
        <x:v>PASS</x:v>
      </x:c>
      <x:c r="F131" t="n">
        <x:v>1</x:v>
      </x:c>
      <x:c r="G131" t="n">
        <x:v>10</x:v>
      </x:c>
      <x:c r="H131" s="54" t="n">
        <x:v>11.5</x:v>
      </x:c>
      <x:c r="I131" s="54" t="n">
        <x:v>1.19465</x:v>
      </x:c>
      <x:c r="J131" s="54" t="n">
        <x:v>1.19804</x:v>
      </x:c>
      <x:c r="K131" s="54" t="n">
        <x:v>0.38804</x:v>
      </x:c>
      <x:c r="L131" s="54" t="n">
        <x:v>0.64403</x:v>
      </x:c>
      <x:c r="M131" s="54" t="n">
        <x:v>1.41454</x:v>
      </x:c>
      <x:c r="N131" s="56" t="n">
        <x:v>-0.45</x:v>
      </x:c>
      <x:c r="O131" s="56" t="n">
        <x:v>4.08</x:v>
      </x:c>
      <x:c r="P131" s="56" t="n">
        <x:v>3.18</x:v>
      </x:c>
      <x:c r="Q131" s="56" t="n">
        <x:v>92.3</x:v>
      </x:c>
      <x:c r="R131" t="str">
        <x:v>X</x:v>
      </x:c>
      <x:c r="S131" s="102" t="n">
        <x:v>100</x:v>
      </x:c>
      <x:c r="T131" t="str">
        <x:v>IN TARGET BAND</x:v>
      </x:c>
      <x:c r="U131" t="str">
        <x:f>IF(T131="IN TARGET BAND","Yes","No")</x:f>
        <x:v>Yes</x:v>
      </x:c>
      <x:c r="V131" t="n">
        <x:v>1424</x:v>
      </x:c>
      <x:c r="W131" t="str">
        <x:v>Pasted text(56).txt</x:v>
      </x:c>
    </x:row>
    <x:row r="132">
      <x:c r="A132" t="str">
        <x:v>S04</x:v>
      </x:c>
      <x:c r="B132" t="str">
        <x:v>1.20 validated five-run session</x:v>
      </x:c>
      <x:c r="C132" s="54" t="n">
        <x:v>1.2</x:v>
      </x:c>
      <x:c r="D132" t="n">
        <x:v>5</x:v>
      </x:c>
      <x:c r="E132" t="str">
        <x:v>PASS</x:v>
      </x:c>
      <x:c r="F132" t="n">
        <x:v>1</x:v>
      </x:c>
      <x:c r="G132" t="n">
        <x:v>1</x:v>
      </x:c>
      <x:c r="H132" s="54" t="n">
        <x:v>11.25</x:v>
      </x:c>
      <x:c r="I132" s="54" t="n">
        <x:v>1.17024</x:v>
      </x:c>
      <x:c r="J132" s="54" t="n">
        <x:v>1.1691</x:v>
      </x:c>
      <x:c r="K132" s="54" t="n">
        <x:v>0.39167</x:v>
      </x:c>
      <x:c r="L132" s="54" t="n">
        <x:v>0.64024</x:v>
      </x:c>
      <x:c r="M132" s="54" t="n">
        <x:v>1.38937</x:v>
      </x:c>
      <x:c r="N132" s="56" t="n">
        <x:v>-2.48</x:v>
      </x:c>
      <x:c r="O132" s="56" t="n">
        <x:v>1.34</x:v>
      </x:c>
      <x:c r="P132" s="56" t="n">
        <x:v>1.05</x:v>
      </x:c>
      <x:c r="Q132" s="56" t="n">
        <x:v>93.1</x:v>
      </x:c>
      <x:c r="R132" t="str">
        <x:v>X</x:v>
      </x:c>
      <x:c r="S132" s="102" t="n">
        <x:v>100</x:v>
      </x:c>
      <x:c r="T132" t="str">
        <x:v>IN TARGET BAND</x:v>
      </x:c>
      <x:c r="U132" t="str">
        <x:f>IF(T132="IN TARGET BAND","Yes","No")</x:f>
        <x:v>Yes</x:v>
      </x:c>
      <x:c r="V132" t="n">
        <x:v>1499</x:v>
      </x:c>
      <x:c r="W132" t="str">
        <x:v>Pasted text(56).txt</x:v>
      </x:c>
    </x:row>
    <x:row r="133">
      <x:c r="A133" t="str">
        <x:v>S04</x:v>
      </x:c>
      <x:c r="B133" t="str">
        <x:v>1.20 validated five-run session</x:v>
      </x:c>
      <x:c r="C133" s="54" t="n">
        <x:v>1.2</x:v>
      </x:c>
      <x:c r="D133" t="n">
        <x:v>5</x:v>
      </x:c>
      <x:c r="E133" t="str">
        <x:v>PASS</x:v>
      </x:c>
      <x:c r="F133" t="n">
        <x:v>1</x:v>
      </x:c>
      <x:c r="G133" t="n">
        <x:v>2</x:v>
      </x:c>
      <x:c r="H133" s="54" t="n">
        <x:v>11.25</x:v>
      </x:c>
      <x:c r="I133" s="54" t="n">
        <x:v>1.1892</x:v>
      </x:c>
      <x:c r="J133" s="54" t="n">
        <x:v>1.18887</x:v>
      </x:c>
      <x:c r="K133" s="54" t="n">
        <x:v>0.40887</x:v>
      </x:c>
      <x:c r="L133" s="54" t="n">
        <x:v>0.61172</x:v>
      </x:c>
      <x:c r="M133" s="54" t="n">
        <x:v>1.39836</x:v>
      </x:c>
      <x:c r="N133" s="56" t="n">
        <x:v>-0.9</x:v>
      </x:c>
      <x:c r="O133" s="56" t="n">
        <x:v>0.55</x:v>
      </x:c>
      <x:c r="P133" s="56" t="n">
        <x:v>0.41</x:v>
      </x:c>
      <x:c r="Q133" s="56" t="n">
        <x:v>93.8</x:v>
      </x:c>
      <x:c r="R133" t="str">
        <x:v>X</x:v>
      </x:c>
      <x:c r="S133" s="102" t="n">
        <x:v>100</x:v>
      </x:c>
      <x:c r="T133" t="str">
        <x:v>IN TARGET BAND</x:v>
      </x:c>
      <x:c r="U133" t="str">
        <x:f>IF(T133="IN TARGET BAND","Yes","No")</x:f>
        <x:v>Yes</x:v>
      </x:c>
      <x:c r="V133" t="n">
        <x:v>1500</x:v>
      </x:c>
      <x:c r="W133" t="str">
        <x:v>Pasted text(56).txt</x:v>
      </x:c>
    </x:row>
    <x:row r="134">
      <x:c r="A134" t="str">
        <x:v>S04</x:v>
      </x:c>
      <x:c r="B134" t="str">
        <x:v>1.20 validated five-run session</x:v>
      </x:c>
      <x:c r="C134" s="54" t="n">
        <x:v>1.2</x:v>
      </x:c>
      <x:c r="D134" t="n">
        <x:v>5</x:v>
      </x:c>
      <x:c r="E134" t="str">
        <x:v>PASS</x:v>
      </x:c>
      <x:c r="F134" t="n">
        <x:v>1</x:v>
      </x:c>
      <x:c r="G134" t="n">
        <x:v>3</x:v>
      </x:c>
      <x:c r="H134" s="54" t="n">
        <x:v>11.25</x:v>
      </x:c>
      <x:c r="I134" s="54" t="n">
        <x:v>1.19113</x:v>
      </x:c>
      <x:c r="J134" s="54" t="n">
        <x:v>1.18838</x:v>
      </x:c>
      <x:c r="K134" s="54" t="n">
        <x:v>0.37027</x:v>
      </x:c>
      <x:c r="L134" s="54" t="n">
        <x:v>0.65034</x:v>
      </x:c>
      <x:c r="M134" s="54" t="n">
        <x:v>1.40476</x:v>
      </x:c>
      <x:c r="N134" s="56" t="n">
        <x:v>-0.74</x:v>
      </x:c>
      <x:c r="O134" s="56" t="n">
        <x:v>0.01</x:v>
      </x:c>
      <x:c r="P134" s="56" t="n">
        <x:v>0.41</x:v>
      </x:c>
      <x:c r="Q134" s="56" t="n">
        <x:v>93.3</x:v>
      </x:c>
      <x:c r="R134" t="str">
        <x:v>X</x:v>
      </x:c>
      <x:c r="S134" s="102" t="n">
        <x:v>100</x:v>
      </x:c>
      <x:c r="T134" t="str">
        <x:v>IN TARGET BAND</x:v>
      </x:c>
      <x:c r="U134" t="str">
        <x:f>IF(T134="IN TARGET BAND","Yes","No")</x:f>
        <x:v>Yes</x:v>
      </x:c>
      <x:c r="V134" t="n">
        <x:v>1501</x:v>
      </x:c>
      <x:c r="W134" t="str">
        <x:v>Pasted text(56).txt</x:v>
      </x:c>
    </x:row>
    <x:row r="135">
      <x:c r="A135" t="str">
        <x:v>S04</x:v>
      </x:c>
      <x:c r="B135" t="str">
        <x:v>1.20 validated five-run session</x:v>
      </x:c>
      <x:c r="C135" s="54" t="n">
        <x:v>1.2</x:v>
      </x:c>
      <x:c r="D135" t="n">
        <x:v>5</x:v>
      </x:c>
      <x:c r="E135" t="str">
        <x:v>PASS</x:v>
      </x:c>
      <x:c r="F135" t="n">
        <x:v>1</x:v>
      </x:c>
      <x:c r="G135" t="n">
        <x:v>4</x:v>
      </x:c>
      <x:c r="H135" s="54" t="n">
        <x:v>11.25</x:v>
      </x:c>
      <x:c r="I135" s="54" t="n">
        <x:v>1.18258</x:v>
      </x:c>
      <x:c r="J135" s="54" t="n">
        <x:v>1.18162</x:v>
      </x:c>
      <x:c r="K135" s="54" t="n">
        <x:v>0.37874</x:v>
      </x:c>
      <x:c r="L135" s="54" t="n">
        <x:v>0.63706</x:v>
      </x:c>
      <x:c r="M135" s="54" t="n">
        <x:v>1.39519</x:v>
      </x:c>
      <x:c r="N135" s="56" t="n">
        <x:v>-1.45</x:v>
      </x:c>
      <x:c r="O135" s="56" t="n">
        <x:v>1.55</x:v>
      </x:c>
      <x:c r="P135" s="56" t="n">
        <x:v>1.17</x:v>
      </x:c>
      <x:c r="Q135" s="56" t="n">
        <x:v>93.4</x:v>
      </x:c>
      <x:c r="R135" t="str">
        <x:v>X</x:v>
      </x:c>
      <x:c r="S135" s="102" t="n">
        <x:v>100</x:v>
      </x:c>
      <x:c r="T135" t="str">
        <x:v>IN TARGET BAND</x:v>
      </x:c>
      <x:c r="U135" t="str">
        <x:f>IF(T135="IN TARGET BAND","Yes","No")</x:f>
        <x:v>Yes</x:v>
      </x:c>
      <x:c r="V135" t="n">
        <x:v>1502</x:v>
      </x:c>
      <x:c r="W135" t="str">
        <x:v>Pasted text(56).txt</x:v>
      </x:c>
    </x:row>
    <x:row r="136">
      <x:c r="A136" t="str">
        <x:v>S04</x:v>
      </x:c>
      <x:c r="B136" t="str">
        <x:v>1.20 validated five-run session</x:v>
      </x:c>
      <x:c r="C136" s="54" t="n">
        <x:v>1.2</x:v>
      </x:c>
      <x:c r="D136" t="n">
        <x:v>5</x:v>
      </x:c>
      <x:c r="E136" t="str">
        <x:v>PASS</x:v>
      </x:c>
      <x:c r="F136" t="n">
        <x:v>1</x:v>
      </x:c>
      <x:c r="G136" t="n">
        <x:v>5</x:v>
      </x:c>
      <x:c r="H136" s="54" t="n">
        <x:v>11.25</x:v>
      </x:c>
      <x:c r="I136" s="54" t="n">
        <x:v>1.20021</x:v>
      </x:c>
      <x:c r="J136" s="54" t="n">
        <x:v>1.20021</x:v>
      </x:c>
      <x:c r="K136" s="54" t="n">
        <x:v>0.39846</x:v>
      </x:c>
      <x:c r="L136" s="54" t="n">
        <x:v>0.6411</x:v>
      </x:c>
      <x:c r="M136" s="54" t="n">
        <x:v>1.41791</x:v>
      </x:c>
      <x:c r="N136" s="56" t="n">
        <x:v>0.02</x:v>
      </x:c>
      <x:c r="O136" s="56" t="n">
        <x:v>0.9</x:v>
      </x:c>
      <x:c r="P136" s="56" t="n">
        <x:v>0.61</x:v>
      </x:c>
      <x:c r="Q136" s="56" t="n">
        <x:v>94</x:v>
      </x:c>
      <x:c r="R136" t="str">
        <x:v>X</x:v>
      </x:c>
      <x:c r="S136" s="102" t="n">
        <x:v>100</x:v>
      </x:c>
      <x:c r="T136" t="str">
        <x:v>IN TARGET BAND</x:v>
      </x:c>
      <x:c r="U136" t="str">
        <x:f>IF(T136="IN TARGET BAND","Yes","No")</x:f>
        <x:v>Yes</x:v>
      </x:c>
      <x:c r="V136" t="n">
        <x:v>1503</x:v>
      </x:c>
      <x:c r="W136" t="str">
        <x:v>Pasted text(56).txt</x:v>
      </x:c>
    </x:row>
    <x:row r="137">
      <x:c r="A137" t="str">
        <x:v>S04</x:v>
      </x:c>
      <x:c r="B137" t="str">
        <x:v>1.20 validated five-run session</x:v>
      </x:c>
      <x:c r="C137" s="54" t="n">
        <x:v>1.2</x:v>
      </x:c>
      <x:c r="D137" t="n">
        <x:v>5</x:v>
      </x:c>
      <x:c r="E137" t="str">
        <x:v>PASS</x:v>
      </x:c>
      <x:c r="F137" t="n">
        <x:v>1</x:v>
      </x:c>
      <x:c r="G137" t="n">
        <x:v>6</x:v>
      </x:c>
      <x:c r="H137" s="54" t="n">
        <x:v>11.25</x:v>
      </x:c>
      <x:c r="I137" s="54" t="n">
        <x:v>1.17481</x:v>
      </x:c>
      <x:c r="J137" s="54" t="n">
        <x:v>1.18527</x:v>
      </x:c>
      <x:c r="K137" s="54" t="n">
        <x:v>0.3807</x:v>
      </x:c>
      <x:c r="L137" s="54" t="n">
        <x:v>0.60611</x:v>
      </x:c>
      <x:c r="M137" s="54" t="n">
        <x:v>1.38523</x:v>
      </x:c>
      <x:c r="N137" s="56" t="n">
        <x:v>-2.1</x:v>
      </x:c>
      <x:c r="O137" s="56" t="n">
        <x:v>1.21</x:v>
      </x:c>
      <x:c r="P137" s="56" t="n">
        <x:v>2.27</x:v>
      </x:c>
      <x:c r="Q137" s="56" t="n">
        <x:v>93.5</x:v>
      </x:c>
      <x:c r="R137" t="str">
        <x:v>X</x:v>
      </x:c>
      <x:c r="S137" s="102" t="n">
        <x:v>100</x:v>
      </x:c>
      <x:c r="T137" t="str">
        <x:v>IN TARGET BAND</x:v>
      </x:c>
      <x:c r="U137" t="str">
        <x:f>IF(T137="IN TARGET BAND","Yes","No")</x:f>
        <x:v>Yes</x:v>
      </x:c>
      <x:c r="V137" t="n">
        <x:v>1504</x:v>
      </x:c>
      <x:c r="W137" t="str">
        <x:v>Pasted text(56).txt</x:v>
      </x:c>
    </x:row>
    <x:row r="138">
      <x:c r="A138" t="str">
        <x:v>S04</x:v>
      </x:c>
      <x:c r="B138" t="str">
        <x:v>1.20 validated five-run session</x:v>
      </x:c>
      <x:c r="C138" s="54" t="n">
        <x:v>1.2</x:v>
      </x:c>
      <x:c r="D138" t="n">
        <x:v>5</x:v>
      </x:c>
      <x:c r="E138" t="str">
        <x:v>PASS</x:v>
      </x:c>
      <x:c r="F138" t="n">
        <x:v>1</x:v>
      </x:c>
      <x:c r="G138" t="n">
        <x:v>7</x:v>
      </x:c>
      <x:c r="H138" s="54" t="n">
        <x:v>11.25</x:v>
      </x:c>
      <x:c r="I138" s="54" t="n">
        <x:v>1.18316</x:v>
      </x:c>
      <x:c r="J138" s="54" t="n">
        <x:v>1.18701</x:v>
      </x:c>
      <x:c r="K138" s="54" t="n">
        <x:v>0.37402</x:v>
      </x:c>
      <x:c r="L138" s="54" t="n">
        <x:v>0.62797</x:v>
      </x:c>
      <x:c r="M138" s="54" t="n">
        <x:v>1.39487</x:v>
      </x:c>
      <x:c r="N138" s="56" t="n">
        <x:v>-1.4</x:v>
      </x:c>
      <x:c r="O138" s="56" t="n">
        <x:v>1.35</x:v>
      </x:c>
      <x:c r="P138" s="56" t="n">
        <x:v>1.42</x:v>
      </x:c>
      <x:c r="Q138" s="56" t="n">
        <x:v>93.3</x:v>
      </x:c>
      <x:c r="R138" t="str">
        <x:v>X</x:v>
      </x:c>
      <x:c r="S138" s="102" t="n">
        <x:v>100</x:v>
      </x:c>
      <x:c r="T138" t="str">
        <x:v>IN TARGET BAND</x:v>
      </x:c>
      <x:c r="U138" t="str">
        <x:f>IF(T138="IN TARGET BAND","Yes","No")</x:f>
        <x:v>Yes</x:v>
      </x:c>
      <x:c r="V138" t="n">
        <x:v>1505</x:v>
      </x:c>
      <x:c r="W138" t="str">
        <x:v>Pasted text(56).txt</x:v>
      </x:c>
    </x:row>
    <x:row r="139">
      <x:c r="A139" t="str">
        <x:v>S04</x:v>
      </x:c>
      <x:c r="B139" t="str">
        <x:v>1.20 validated five-run session</x:v>
      </x:c>
      <x:c r="C139" s="54" t="n">
        <x:v>1.2</x:v>
      </x:c>
      <x:c r="D139" t="n">
        <x:v>5</x:v>
      </x:c>
      <x:c r="E139" t="str">
        <x:v>PASS</x:v>
      </x:c>
      <x:c r="F139" t="n">
        <x:v>1</x:v>
      </x:c>
      <x:c r="G139" t="n">
        <x:v>8</x:v>
      </x:c>
      <x:c r="H139" s="54" t="n">
        <x:v>11.25</x:v>
      </x:c>
      <x:c r="I139" s="54" t="n">
        <x:v>1.19443</x:v>
      </x:c>
      <x:c r="J139" s="54" t="n">
        <x:v>1.19184</x:v>
      </x:c>
      <x:c r="K139" s="54" t="n">
        <x:v>0.39436</x:v>
      </x:c>
      <x:c r="L139" s="54" t="n">
        <x:v>0.6174</x:v>
      </x:c>
      <x:c r="M139" s="54" t="n">
        <x:v>1.39907</x:v>
      </x:c>
      <x:c r="N139" s="56" t="n">
        <x:v>-0.46</x:v>
      </x:c>
      <x:c r="O139" s="56" t="n">
        <x:v>3.06</x:v>
      </x:c>
      <x:c r="P139" s="56" t="n">
        <x:v>2.4</x:v>
      </x:c>
      <x:c r="Q139" s="56" t="n">
        <x:v>93.8</x:v>
      </x:c>
      <x:c r="R139" t="str">
        <x:v>X</x:v>
      </x:c>
      <x:c r="S139" s="102" t="n">
        <x:v>100</x:v>
      </x:c>
      <x:c r="T139" t="str">
        <x:v>IN TARGET BAND</x:v>
      </x:c>
      <x:c r="U139" t="str">
        <x:f>IF(T139="IN TARGET BAND","Yes","No")</x:f>
        <x:v>Yes</x:v>
      </x:c>
      <x:c r="V139" t="n">
        <x:v>1506</x:v>
      </x:c>
      <x:c r="W139" t="str">
        <x:v>Pasted text(56).txt</x:v>
      </x:c>
    </x:row>
    <x:row r="140">
      <x:c r="A140" t="str">
        <x:v>S04</x:v>
      </x:c>
      <x:c r="B140" t="str">
        <x:v>1.20 validated five-run session</x:v>
      </x:c>
      <x:c r="C140" s="54" t="n">
        <x:v>1.2</x:v>
      </x:c>
      <x:c r="D140" t="n">
        <x:v>5</x:v>
      </x:c>
      <x:c r="E140" t="str">
        <x:v>PASS</x:v>
      </x:c>
      <x:c r="F140" t="n">
        <x:v>1</x:v>
      </x:c>
      <x:c r="G140" t="n">
        <x:v>9</x:v>
      </x:c>
      <x:c r="H140" s="54" t="n">
        <x:v>11.25</x:v>
      </x:c>
      <x:c r="I140" s="54" t="n">
        <x:v>1.17972</x:v>
      </x:c>
      <x:c r="J140" s="54" t="n">
        <x:v>1.18644</x:v>
      </x:c>
      <x:c r="K140" s="54" t="n">
        <x:v>0.38432</x:v>
      </x:c>
      <x:c r="L140" s="54" t="n">
        <x:v>0.61312</x:v>
      </x:c>
      <x:c r="M140" s="54" t="n">
        <x:v>1.38976</x:v>
      </x:c>
      <x:c r="N140" s="56" t="n">
        <x:v>-1.69</x:v>
      </x:c>
      <x:c r="O140" s="56" t="n">
        <x:v>0.02</x:v>
      </x:c>
      <x:c r="P140" s="56" t="n">
        <x:v>0.99</x:v>
      </x:c>
      <x:c r="Q140" s="56" t="n">
        <x:v>93.4</x:v>
      </x:c>
      <x:c r="R140" t="str">
        <x:v>X</x:v>
      </x:c>
      <x:c r="S140" s="102" t="n">
        <x:v>100</x:v>
      </x:c>
      <x:c r="T140" t="str">
        <x:v>IN TARGET BAND</x:v>
      </x:c>
      <x:c r="U140" t="str">
        <x:f>IF(T140="IN TARGET BAND","Yes","No")</x:f>
        <x:v>Yes</x:v>
      </x:c>
      <x:c r="V140" t="n">
        <x:v>1507</x:v>
      </x:c>
      <x:c r="W140" t="str">
        <x:v>Pasted text(56).txt</x:v>
      </x:c>
    </x:row>
    <x:row r="141">
      <x:c r="A141" t="str">
        <x:v>S04</x:v>
      </x:c>
      <x:c r="B141" t="str">
        <x:v>1.20 validated five-run session</x:v>
      </x:c>
      <x:c r="C141" s="54" t="n">
        <x:v>1.2</x:v>
      </x:c>
      <x:c r="D141" t="n">
        <x:v>5</x:v>
      </x:c>
      <x:c r="E141" t="str">
        <x:v>PASS</x:v>
      </x:c>
      <x:c r="F141" t="n">
        <x:v>1</x:v>
      </x:c>
      <x:c r="G141" t="n">
        <x:v>10</x:v>
      </x:c>
      <x:c r="H141" s="54" t="n">
        <x:v>11.25</x:v>
      </x:c>
      <x:c r="I141" s="54" t="n">
        <x:v>1.20287</x:v>
      </x:c>
      <x:c r="J141" s="54" t="n">
        <x:v>1.20033</x:v>
      </x:c>
      <x:c r="K141" s="54" t="n">
        <x:v>0.3862</x:v>
      </x:c>
      <x:c r="L141" s="54" t="n">
        <x:v>0.62678</x:v>
      </x:c>
      <x:c r="M141" s="54" t="n">
        <x:v>1.40832</x:v>
      </x:c>
      <x:c r="N141" s="56" t="n">
        <x:v>0.24</x:v>
      </x:c>
      <x:c r="O141" s="56" t="n">
        <x:v>0.32</x:v>
      </x:c>
      <x:c r="P141" s="56" t="n">
        <x:v>0.56</x:v>
      </x:c>
      <x:c r="Q141" s="56" t="n">
        <x:v>93.6</x:v>
      </x:c>
      <x:c r="R141" t="str">
        <x:v>X</x:v>
      </x:c>
      <x:c r="S141" s="102" t="n">
        <x:v>100</x:v>
      </x:c>
      <x:c r="T141" t="str">
        <x:v>IN TARGET BAND</x:v>
      </x:c>
      <x:c r="U141" t="str">
        <x:f>IF(T141="IN TARGET BAND","Yes","No")</x:f>
        <x:v>Yes</x:v>
      </x:c>
      <x:c r="V141" t="n">
        <x:v>1508</x:v>
      </x:c>
      <x:c r="W141" t="str">
        <x:v>Pasted text(56).txt</x:v>
      </x:c>
    </x:row>
    <x:row r="142">
      <x:c r="A142" t="str">
        <x:v>S05</x:v>
      </x:c>
      <x:c r="B142" t="str">
        <x:v>1.28 validated five-run session</x:v>
      </x:c>
      <x:c r="C142" s="54" t="n">
        <x:v>1.28</x:v>
      </x:c>
      <x:c r="D142" t="n">
        <x:v>1</x:v>
      </x:c>
      <x:c r="E142" t="str">
        <x:v>PASS</x:v>
      </x:c>
      <x:c r="F142" t="n">
        <x:v>1</x:v>
      </x:c>
      <x:c r="G142" t="n">
        <x:v>1</x:v>
      </x:c>
      <x:c r="H142" s="54" t="n">
        <x:v>12</x:v>
      </x:c>
      <x:c r="I142" s="54" t="n">
        <x:v>1.25537</x:v>
      </x:c>
      <x:c r="J142" s="54" t="n">
        <x:v>1.26644</x:v>
      </x:c>
      <x:c r="K142" s="54" t="n">
        <x:v>0.42552</x:v>
      </x:c>
      <x:c r="L142" s="54" t="n">
        <x:v>0.66305</x:v>
      </x:c>
      <x:c r="M142" s="54" t="n">
        <x:v>1.49152</x:v>
      </x:c>
      <x:c r="N142" s="56" t="n">
        <x:v>-1.92</x:v>
      </x:c>
      <x:c r="O142" s="56" t="n">
        <x:v>0.73</x:v>
      </x:c>
      <x:c r="P142" s="56" t="n">
        <x:v>1.95</x:v>
      </x:c>
      <x:c r="Q142" s="56" t="n">
        <x:v>93.7</x:v>
      </x:c>
      <x:c r="R142" t="str">
        <x:v>X</x:v>
      </x:c>
      <x:c r="S142" s="102" t="n">
        <x:v>100</x:v>
      </x:c>
      <x:c r="T142" t="str">
        <x:v>IN TARGET BAND</x:v>
      </x:c>
      <x:c r="U142" t="str">
        <x:f>IF(T142="IN TARGET BAND","Yes","No")</x:f>
        <x:v>Yes</x:v>
      </x:c>
      <x:c r="V142" t="n">
        <x:v>1638</x:v>
      </x:c>
      <x:c r="W142" t="str">
        <x:v>Pasted text(56).txt</x:v>
      </x:c>
    </x:row>
    <x:row r="143">
      <x:c r="A143" t="str">
        <x:v>S05</x:v>
      </x:c>
      <x:c r="B143" t="str">
        <x:v>1.28 validated five-run session</x:v>
      </x:c>
      <x:c r="C143" s="54" t="n">
        <x:v>1.28</x:v>
      </x:c>
      <x:c r="D143" t="n">
        <x:v>1</x:v>
      </x:c>
      <x:c r="E143" t="str">
        <x:v>PASS</x:v>
      </x:c>
      <x:c r="F143" t="n">
        <x:v>1</x:v>
      </x:c>
      <x:c r="G143" t="n">
        <x:v>2</x:v>
      </x:c>
      <x:c r="H143" s="54" t="n">
        <x:v>12</x:v>
      </x:c>
      <x:c r="I143" s="54" t="n">
        <x:v>1.26062</x:v>
      </x:c>
      <x:c r="J143" s="54" t="n">
        <x:v>1.26124</x:v>
      </x:c>
      <x:c r="K143" s="54" t="n">
        <x:v>0.4118</x:v>
      </x:c>
      <x:c r="L143" s="54" t="n">
        <x:v>0.69295</x:v>
      </x:c>
      <x:c r="M143" s="54" t="n">
        <x:v>1.49705</x:v>
      </x:c>
      <x:c r="N143" s="56" t="n">
        <x:v>-1.51</x:v>
      </x:c>
      <x:c r="O143" s="56" t="n">
        <x:v>0.09</x:v>
      </x:c>
      <x:c r="P143" s="56" t="n">
        <x:v>0.14</x:v>
      </x:c>
      <x:c r="Q143" s="56" t="n">
        <x:v>94</x:v>
      </x:c>
      <x:c r="R143" t="str">
        <x:v>X</x:v>
      </x:c>
      <x:c r="S143" s="102" t="n">
        <x:v>100</x:v>
      </x:c>
      <x:c r="T143" t="str">
        <x:v>IN TARGET BAND</x:v>
      </x:c>
      <x:c r="U143" t="str">
        <x:f>IF(T143="IN TARGET BAND","Yes","No")</x:f>
        <x:v>Yes</x:v>
      </x:c>
      <x:c r="V143" t="n">
        <x:v>1639</x:v>
      </x:c>
      <x:c r="W143" t="str">
        <x:v>Pasted text(56).txt</x:v>
      </x:c>
    </x:row>
    <x:row r="144">
      <x:c r="A144" t="str">
        <x:v>S05</x:v>
      </x:c>
      <x:c r="B144" t="str">
        <x:v>1.28 validated five-run session</x:v>
      </x:c>
      <x:c r="C144" s="54" t="n">
        <x:v>1.28</x:v>
      </x:c>
      <x:c r="D144" t="n">
        <x:v>1</x:v>
      </x:c>
      <x:c r="E144" t="str">
        <x:v>PASS</x:v>
      </x:c>
      <x:c r="F144" t="n">
        <x:v>1</x:v>
      </x:c>
      <x:c r="G144" t="n">
        <x:v>3</x:v>
      </x:c>
      <x:c r="H144" s="54" t="n">
        <x:v>12</x:v>
      </x:c>
      <x:c r="I144" s="54" t="n">
        <x:v>1.26848</x:v>
      </x:c>
      <x:c r="J144" s="54" t="n">
        <x:v>1.26353</x:v>
      </x:c>
      <x:c r="K144" s="54" t="n">
        <x:v>0.42211</x:v>
      </x:c>
      <x:c r="L144" s="54" t="n">
        <x:v>0.68717</x:v>
      </x:c>
      <x:c r="M144" s="54" t="n">
        <x:v>1.49909</x:v>
      </x:c>
      <x:c r="N144" s="56" t="n">
        <x:v>-0.9</x:v>
      </x:c>
      <x:c r="O144" s="56" t="n">
        <x:v>0.39</x:v>
      </x:c>
      <x:c r="P144" s="56" t="n">
        <x:v>0.91</x:v>
      </x:c>
      <x:c r="Q144" s="56" t="n">
        <x:v>92.9</x:v>
      </x:c>
      <x:c r="R144" t="str">
        <x:v>X</x:v>
      </x:c>
      <x:c r="S144" s="102" t="n">
        <x:v>100</x:v>
      </x:c>
      <x:c r="T144" t="str">
        <x:v>IN TARGET BAND</x:v>
      </x:c>
      <x:c r="U144" t="str">
        <x:f>IF(T144="IN TARGET BAND","Yes","No")</x:f>
        <x:v>Yes</x:v>
      </x:c>
      <x:c r="V144" t="n">
        <x:v>1640</x:v>
      </x:c>
      <x:c r="W144" t="str">
        <x:v>Pasted text(56).txt</x:v>
      </x:c>
    </x:row>
    <x:row r="145">
      <x:c r="A145" t="str">
        <x:v>S05</x:v>
      </x:c>
      <x:c r="B145" t="str">
        <x:v>1.28 validated five-run session</x:v>
      </x:c>
      <x:c r="C145" s="54" t="n">
        <x:v>1.28</x:v>
      </x:c>
      <x:c r="D145" t="n">
        <x:v>1</x:v>
      </x:c>
      <x:c r="E145" t="str">
        <x:v>PASS</x:v>
      </x:c>
      <x:c r="F145" t="n">
        <x:v>1</x:v>
      </x:c>
      <x:c r="G145" t="n">
        <x:v>4</x:v>
      </x:c>
      <x:c r="H145" s="54" t="n">
        <x:v>12</x:v>
      </x:c>
      <x:c r="I145" s="54" t="n">
        <x:v>1.27179</x:v>
      </x:c>
      <x:c r="J145" s="54" t="n">
        <x:v>1.26918</x:v>
      </x:c>
      <x:c r="K145" s="54" t="n">
        <x:v>0.40868</x:v>
      </x:c>
      <x:c r="L145" s="54" t="n">
        <x:v>0.67425</x:v>
      </x:c>
      <x:c r="M145" s="54" t="n">
        <x:v>1.49438</x:v>
      </x:c>
      <x:c r="N145" s="56" t="n">
        <x:v>-0.64</x:v>
      </x:c>
      <x:c r="O145" s="56" t="n">
        <x:v>0.3</x:v>
      </x:c>
      <x:c r="P145" s="56" t="n">
        <x:v>0.54</x:v>
      </x:c>
      <x:c r="Q145" s="56" t="n">
        <x:v>93.9</x:v>
      </x:c>
      <x:c r="R145" t="str">
        <x:v>X</x:v>
      </x:c>
      <x:c r="S145" s="102" t="n">
        <x:v>100</x:v>
      </x:c>
      <x:c r="T145" t="str">
        <x:v>IN TARGET BAND</x:v>
      </x:c>
      <x:c r="U145" t="str">
        <x:f>IF(T145="IN TARGET BAND","Yes","No")</x:f>
        <x:v>Yes</x:v>
      </x:c>
      <x:c r="V145" t="n">
        <x:v>1641</x:v>
      </x:c>
      <x:c r="W145" t="str">
        <x:v>Pasted text(56).txt</x:v>
      </x:c>
    </x:row>
    <x:row r="146">
      <x:c r="A146" t="str">
        <x:v>S05</x:v>
      </x:c>
      <x:c r="B146" t="str">
        <x:v>1.28 validated five-run session</x:v>
      </x:c>
      <x:c r="C146" s="54" t="n">
        <x:v>1.28</x:v>
      </x:c>
      <x:c r="D146" t="n">
        <x:v>1</x:v>
      </x:c>
      <x:c r="E146" t="str">
        <x:v>PASS</x:v>
      </x:c>
      <x:c r="F146" t="n">
        <x:v>1</x:v>
      </x:c>
      <x:c r="G146" t="n">
        <x:v>5</x:v>
      </x:c>
      <x:c r="H146" s="54" t="n">
        <x:v>12</x:v>
      </x:c>
      <x:c r="I146" s="54" t="n">
        <x:v>1.27488</x:v>
      </x:c>
      <x:c r="J146" s="54" t="n">
        <x:v>1.26615</x:v>
      </x:c>
      <x:c r="K146" s="54" t="n">
        <x:v>0.41756</x:v>
      </x:c>
      <x:c r="L146" s="54" t="n">
        <x:v>0.68222</x:v>
      </x:c>
      <x:c r="M146" s="54" t="n">
        <x:v>1.49794</x:v>
      </x:c>
      <x:c r="N146" s="56" t="n">
        <x:v>-0.4</x:v>
      </x:c>
      <x:c r="O146" s="56" t="n">
        <x:v>0.34</x:v>
      </x:c>
      <x:c r="P146" s="56" t="n">
        <x:v>1.4</x:v>
      </x:c>
      <x:c r="Q146" s="56" t="n">
        <x:v>94.1</x:v>
      </x:c>
      <x:c r="R146" t="str">
        <x:v>X</x:v>
      </x:c>
      <x:c r="S146" s="102" t="n">
        <x:v>100</x:v>
      </x:c>
      <x:c r="T146" t="str">
        <x:v>IN TARGET BAND</x:v>
      </x:c>
      <x:c r="U146" t="str">
        <x:f>IF(T146="IN TARGET BAND","Yes","No")</x:f>
        <x:v>Yes</x:v>
      </x:c>
      <x:c r="V146" t="n">
        <x:v>1642</x:v>
      </x:c>
      <x:c r="W146" t="str">
        <x:v>Pasted text(56).txt</x:v>
      </x:c>
    </x:row>
    <x:row r="147">
      <x:c r="A147" t="str">
        <x:v>S05</x:v>
      </x:c>
      <x:c r="B147" t="str">
        <x:v>1.28 validated five-run session</x:v>
      </x:c>
      <x:c r="C147" s="54" t="n">
        <x:v>1.28</x:v>
      </x:c>
      <x:c r="D147" t="n">
        <x:v>1</x:v>
      </x:c>
      <x:c r="E147" t="str">
        <x:v>PASS</x:v>
      </x:c>
      <x:c r="F147" t="n">
        <x:v>1</x:v>
      </x:c>
      <x:c r="G147" t="n">
        <x:v>6</x:v>
      </x:c>
      <x:c r="H147" s="54" t="n">
        <x:v>12</x:v>
      </x:c>
      <x:c r="I147" s="54" t="n">
        <x:v>1.24885</x:v>
      </x:c>
      <x:c r="J147" s="54" t="n">
        <x:v>1.24913</x:v>
      </x:c>
      <x:c r="K147" s="54" t="n">
        <x:v>0.41782</x:v>
      </x:c>
      <x:c r="L147" s="54" t="n">
        <x:v>0.68402</x:v>
      </x:c>
      <x:c r="M147" s="54" t="n">
        <x:v>1.48439</x:v>
      </x:c>
      <x:c r="N147" s="56" t="n">
        <x:v>-2.43</x:v>
      </x:c>
      <x:c r="O147" s="56" t="n">
        <x:v>0.67</x:v>
      </x:c>
      <x:c r="P147" s="56" t="n">
        <x:v>0.48</x:v>
      </x:c>
      <x:c r="Q147" s="56" t="n">
        <x:v>93.7</x:v>
      </x:c>
      <x:c r="R147" t="str">
        <x:v>X</x:v>
      </x:c>
      <x:c r="S147" s="102" t="n">
        <x:v>100</x:v>
      </x:c>
      <x:c r="T147" t="str">
        <x:v>IN TARGET BAND</x:v>
      </x:c>
      <x:c r="U147" t="str">
        <x:f>IF(T147="IN TARGET BAND","Yes","No")</x:f>
        <x:v>Yes</x:v>
      </x:c>
      <x:c r="V147" t="n">
        <x:v>1643</x:v>
      </x:c>
      <x:c r="W147" t="str">
        <x:v>Pasted text(56).txt</x:v>
      </x:c>
    </x:row>
    <x:row r="148">
      <x:c r="A148" t="str">
        <x:v>S05</x:v>
      </x:c>
      <x:c r="B148" t="str">
        <x:v>1.28 validated five-run session</x:v>
      </x:c>
      <x:c r="C148" s="54" t="n">
        <x:v>1.28</x:v>
      </x:c>
      <x:c r="D148" t="n">
        <x:v>1</x:v>
      </x:c>
      <x:c r="E148" t="str">
        <x:v>PASS</x:v>
      </x:c>
      <x:c r="F148" t="n">
        <x:v>1</x:v>
      </x:c>
      <x:c r="G148" t="n">
        <x:v>7</x:v>
      </x:c>
      <x:c r="H148" s="54" t="n">
        <x:v>12</x:v>
      </x:c>
      <x:c r="I148" s="54" t="n">
        <x:v>1.27363</x:v>
      </x:c>
      <x:c r="J148" s="54" t="n">
        <x:v>1.27072</x:v>
      </x:c>
      <x:c r="K148" s="54" t="n">
        <x:v>0.41231</x:v>
      </x:c>
      <x:c r="L148" s="54" t="n">
        <x:v>0.66531</x:v>
      </x:c>
      <x:c r="M148" s="54" t="n">
        <x:v>1.49256</x:v>
      </x:c>
      <x:c r="N148" s="56" t="n">
        <x:v>-0.5</x:v>
      </x:c>
      <x:c r="O148" s="56" t="n">
        <x:v>0.24</x:v>
      </x:c>
      <x:c r="P148" s="56" t="n">
        <x:v>0.55</x:v>
      </x:c>
      <x:c r="Q148" s="56" t="n">
        <x:v>94.1</x:v>
      </x:c>
      <x:c r="R148" t="str">
        <x:v>X</x:v>
      </x:c>
      <x:c r="S148" s="102" t="n">
        <x:v>100</x:v>
      </x:c>
      <x:c r="T148" t="str">
        <x:v>IN TARGET BAND</x:v>
      </x:c>
      <x:c r="U148" t="str">
        <x:f>IF(T148="IN TARGET BAND","Yes","No")</x:f>
        <x:v>Yes</x:v>
      </x:c>
      <x:c r="V148" t="n">
        <x:v>1644</x:v>
      </x:c>
      <x:c r="W148" t="str">
        <x:v>Pasted text(56).txt</x:v>
      </x:c>
    </x:row>
    <x:row r="149">
      <x:c r="A149" t="str">
        <x:v>S05</x:v>
      </x:c>
      <x:c r="B149" t="str">
        <x:v>1.28 validated five-run session</x:v>
      </x:c>
      <x:c r="C149" s="54" t="n">
        <x:v>1.28</x:v>
      </x:c>
      <x:c r="D149" t="n">
        <x:v>1</x:v>
      </x:c>
      <x:c r="E149" t="str">
        <x:v>PASS</x:v>
      </x:c>
      <x:c r="F149" t="n">
        <x:v>1</x:v>
      </x:c>
      <x:c r="G149" t="n">
        <x:v>8</x:v>
      </x:c>
      <x:c r="H149" s="54" t="n">
        <x:v>12</x:v>
      </x:c>
      <x:c r="I149" s="54" t="n">
        <x:v>1.25857</x:v>
      </x:c>
      <x:c r="J149" s="54" t="n">
        <x:v>1.25512</x:v>
      </x:c>
      <x:c r="K149" s="54" t="n">
        <x:v>0.42014</x:v>
      </x:c>
      <x:c r="L149" s="54" t="n">
        <x:v>0.67925</x:v>
      </x:c>
      <x:c r="M149" s="54" t="n">
        <x:v>1.48784</x:v>
      </x:c>
      <x:c r="N149" s="56" t="n">
        <x:v>-1.67</x:v>
      </x:c>
      <x:c r="O149" s="56" t="n">
        <x:v>0.49</x:v>
      </x:c>
      <x:c r="P149" s="56" t="n">
        <x:v>0.78</x:v>
      </x:c>
      <x:c r="Q149" s="56" t="n">
        <x:v>92.6</x:v>
      </x:c>
      <x:c r="R149" t="str">
        <x:v>X</x:v>
      </x:c>
      <x:c r="S149" s="102" t="n">
        <x:v>100</x:v>
      </x:c>
      <x:c r="T149" t="str">
        <x:v>IN TARGET BAND</x:v>
      </x:c>
      <x:c r="U149" t="str">
        <x:f>IF(T149="IN TARGET BAND","Yes","No")</x:f>
        <x:v>Yes</x:v>
      </x:c>
      <x:c r="V149" t="n">
        <x:v>1645</x:v>
      </x:c>
      <x:c r="W149" t="str">
        <x:v>Pasted text(56).txt</x:v>
      </x:c>
    </x:row>
    <x:row r="150">
      <x:c r="A150" t="str">
        <x:v>S05</x:v>
      </x:c>
      <x:c r="B150" t="str">
        <x:v>1.28 validated five-run session</x:v>
      </x:c>
      <x:c r="C150" s="54" t="n">
        <x:v>1.28</x:v>
      </x:c>
      <x:c r="D150" t="n">
        <x:v>1</x:v>
      </x:c>
      <x:c r="E150" t="str">
        <x:v>PASS</x:v>
      </x:c>
      <x:c r="F150" t="n">
        <x:v>1</x:v>
      </x:c>
      <x:c r="G150" t="n">
        <x:v>9</x:v>
      </x:c>
      <x:c r="H150" s="54" t="n">
        <x:v>12</x:v>
      </x:c>
      <x:c r="I150" s="54" t="n">
        <x:v>1.26219</x:v>
      </x:c>
      <x:c r="J150" s="54" t="n">
        <x:v>1.26223</x:v>
      </x:c>
      <x:c r="K150" s="54" t="n">
        <x:v>0.42525</x:v>
      </x:c>
      <x:c r="L150" s="54" t="n">
        <x:v>0.69252</x:v>
      </x:c>
      <x:c r="M150" s="54" t="n">
        <x:v>1.50135</x:v>
      </x:c>
      <x:c r="N150" s="56" t="n">
        <x:v>-1.39</x:v>
      </x:c>
      <x:c r="O150" s="56" t="n">
        <x:v>0.47</x:v>
      </x:c>
      <x:c r="P150" s="56" t="n">
        <x:v>0.32</x:v>
      </x:c>
      <x:c r="Q150" s="56" t="n">
        <x:v>94.2</x:v>
      </x:c>
      <x:c r="R150" t="str">
        <x:v>X</x:v>
      </x:c>
      <x:c r="S150" s="102" t="n">
        <x:v>100</x:v>
      </x:c>
      <x:c r="T150" t="str">
        <x:v>IN TARGET BAND</x:v>
      </x:c>
      <x:c r="U150" t="str">
        <x:f>IF(T150="IN TARGET BAND","Yes","No")</x:f>
        <x:v>Yes</x:v>
      </x:c>
      <x:c r="V150" t="n">
        <x:v>1646</x:v>
      </x:c>
      <x:c r="W150" t="str">
        <x:v>Pasted text(56).txt</x:v>
      </x:c>
    </x:row>
    <x:row r="151">
      <x:c r="A151" t="str">
        <x:v>S05</x:v>
      </x:c>
      <x:c r="B151" t="str">
        <x:v>1.28 validated five-run session</x:v>
      </x:c>
      <x:c r="C151" s="54" t="n">
        <x:v>1.28</x:v>
      </x:c>
      <x:c r="D151" t="n">
        <x:v>1</x:v>
      </x:c>
      <x:c r="E151" t="str">
        <x:v>PASS</x:v>
      </x:c>
      <x:c r="F151" t="n">
        <x:v>1</x:v>
      </x:c>
      <x:c r="G151" t="n">
        <x:v>10</x:v>
      </x:c>
      <x:c r="H151" s="54" t="n">
        <x:v>12</x:v>
      </x:c>
      <x:c r="I151" s="54" t="n">
        <x:v>1.25017</x:v>
      </x:c>
      <x:c r="J151" s="54" t="n">
        <x:v>1.24381</x:v>
      </x:c>
      <x:c r="K151" s="54" t="n">
        <x:v>0.40083</x:v>
      </x:c>
      <x:c r="L151" s="54" t="n">
        <x:v>0.69159</x:v>
      </x:c>
      <x:c r="M151" s="54" t="n">
        <x:v>1.47862</x:v>
      </x:c>
      <x:c r="N151" s="56" t="n">
        <x:v>-2.33</x:v>
      </x:c>
      <x:c r="O151" s="56" t="n">
        <x:v>1.2</x:v>
      </x:c>
      <x:c r="P151" s="56" t="n">
        <x:v>1.64</x:v>
      </x:c>
      <x:c r="Q151" s="56" t="n">
        <x:v>93.5</x:v>
      </x:c>
      <x:c r="R151" t="str">
        <x:v>X</x:v>
      </x:c>
      <x:c r="S151" s="102" t="n">
        <x:v>100</x:v>
      </x:c>
      <x:c r="T151" t="str">
        <x:v>IN TARGET BAND</x:v>
      </x:c>
      <x:c r="U151" t="str">
        <x:f>IF(T151="IN TARGET BAND","Yes","No")</x:f>
        <x:v>Yes</x:v>
      </x:c>
      <x:c r="V151" t="n">
        <x:v>1647</x:v>
      </x:c>
      <x:c r="W151" t="str">
        <x:v>Pasted text(56).txt</x:v>
      </x:c>
    </x:row>
    <x:row r="152">
      <x:c r="A152" t="str">
        <x:v>S05</x:v>
      </x:c>
      <x:c r="B152" t="str">
        <x:v>1.28 validated five-run session</x:v>
      </x:c>
      <x:c r="C152" s="54" t="n">
        <x:v>1.28</x:v>
      </x:c>
      <x:c r="D152" t="n">
        <x:v>2</x:v>
      </x:c>
      <x:c r="E152" t="str">
        <x:v>PASS</x:v>
      </x:c>
      <x:c r="F152" t="n">
        <x:v>1</x:v>
      </x:c>
      <x:c r="G152" t="n">
        <x:v>1</x:v>
      </x:c>
      <x:c r="H152" s="54" t="n">
        <x:v>12.5</x:v>
      </x:c>
      <x:c r="I152" s="54" t="n">
        <x:v>1.29023</x:v>
      </x:c>
      <x:c r="J152" s="54" t="n">
        <x:v>1.2875</x:v>
      </x:c>
      <x:c r="K152" s="54" t="n">
        <x:v>0.43517</x:v>
      </x:c>
      <x:c r="L152" s="54" t="n">
        <x:v>0.70011</x:v>
      </x:c>
      <x:c r="M152" s="54" t="n">
        <x:v>1.52885</x:v>
      </x:c>
      <x:c r="N152" s="56" t="n">
        <x:v>0.8</x:v>
      </x:c>
      <x:c r="O152" s="56" t="n">
        <x:v>0.69</x:v>
      </x:c>
      <x:c r="P152" s="56" t="n">
        <x:v>0.81</x:v>
      </x:c>
      <x:c r="Q152" s="56" t="n">
        <x:v>94.4</x:v>
      </x:c>
      <x:c r="R152" t="str">
        <x:v>X</x:v>
      </x:c>
      <x:c r="S152" s="102" t="n">
        <x:v>100</x:v>
      </x:c>
      <x:c r="T152" t="str">
        <x:v>IN TARGET BAND</x:v>
      </x:c>
      <x:c r="U152" t="str">
        <x:f>IF(T152="IN TARGET BAND","Yes","No")</x:f>
        <x:v>Yes</x:v>
      </x:c>
      <x:c r="V152" t="n">
        <x:v>1722</x:v>
      </x:c>
      <x:c r="W152" t="str">
        <x:v>Pasted text(56).txt</x:v>
      </x:c>
    </x:row>
    <x:row r="153">
      <x:c r="A153" t="str">
        <x:v>S05</x:v>
      </x:c>
      <x:c r="B153" t="str">
        <x:v>1.28 validated five-run session</x:v>
      </x:c>
      <x:c r="C153" s="54" t="n">
        <x:v>1.28</x:v>
      </x:c>
      <x:c r="D153" t="n">
        <x:v>2</x:v>
      </x:c>
      <x:c r="E153" t="str">
        <x:v>PASS</x:v>
      </x:c>
      <x:c r="F153" t="n">
        <x:v>1</x:v>
      </x:c>
      <x:c r="G153" t="n">
        <x:v>2</x:v>
      </x:c>
      <x:c r="H153" s="54" t="n">
        <x:v>12.5</x:v>
      </x:c>
      <x:c r="I153" s="54" t="n">
        <x:v>1.27645</x:v>
      </x:c>
      <x:c r="J153" s="54" t="n">
        <x:v>1.27732</x:v>
      </x:c>
      <x:c r="K153" s="54" t="n">
        <x:v>0.43338</x:v>
      </x:c>
      <x:c r="L153" s="54" t="n">
        <x:v>0.70785</x:v>
      </x:c>
      <x:c r="M153" s="54" t="n">
        <x:v>1.5234</x:v>
      </x:c>
      <x:c r="N153" s="56" t="n">
        <x:v>-0.28</x:v>
      </x:c>
      <x:c r="O153" s="56" t="n">
        <x:v>0.15</x:v>
      </x:c>
      <x:c r="P153" s="56" t="n">
        <x:v>0.21</x:v>
      </x:c>
      <x:c r="Q153" s="56" t="n">
        <x:v>93.3</x:v>
      </x:c>
      <x:c r="R153" t="str">
        <x:v>X</x:v>
      </x:c>
      <x:c r="S153" s="102" t="n">
        <x:v>100</x:v>
      </x:c>
      <x:c r="T153" t="str">
        <x:v>IN TARGET BAND</x:v>
      </x:c>
      <x:c r="U153" t="str">
        <x:f>IF(T153="IN TARGET BAND","Yes","No")</x:f>
        <x:v>Yes</x:v>
      </x:c>
      <x:c r="V153" t="n">
        <x:v>1723</x:v>
      </x:c>
      <x:c r="W153" t="str">
        <x:v>Pasted text(56).txt</x:v>
      </x:c>
    </x:row>
    <x:row r="154">
      <x:c r="A154" t="str">
        <x:v>S05</x:v>
      </x:c>
      <x:c r="B154" t="str">
        <x:v>1.28 validated five-run session</x:v>
      </x:c>
      <x:c r="C154" s="54" t="n">
        <x:v>1.28</x:v>
      </x:c>
      <x:c r="D154" t="n">
        <x:v>2</x:v>
      </x:c>
      <x:c r="E154" t="str">
        <x:v>PASS</x:v>
      </x:c>
      <x:c r="F154" t="n">
        <x:v>1</x:v>
      </x:c>
      <x:c r="G154" t="n">
        <x:v>3</x:v>
      </x:c>
      <x:c r="H154" s="54" t="n">
        <x:v>12.5</x:v>
      </x:c>
      <x:c r="I154" s="54" t="n">
        <x:v>1.29784</x:v>
      </x:c>
      <x:c r="J154" s="54" t="n">
        <x:v>1.29423</x:v>
      </x:c>
      <x:c r="K154" s="54" t="n">
        <x:v>0.44743</x:v>
      </x:c>
      <x:c r="L154" s="54" t="n">
        <x:v>0.69241</x:v>
      </x:c>
      <x:c r="M154" s="54" t="n">
        <x:v>1.53475</x:v>
      </x:c>
      <x:c r="N154" s="56" t="n">
        <x:v>1.39</x:v>
      </x:c>
      <x:c r="O154" s="56" t="n">
        <x:v>0.04</x:v>
      </x:c>
      <x:c r="P154" s="56" t="n">
        <x:v>0.51</x:v>
      </x:c>
      <x:c r="Q154" s="56" t="n">
        <x:v>94.4</x:v>
      </x:c>
      <x:c r="R154" t="str">
        <x:v>X</x:v>
      </x:c>
      <x:c r="S154" s="102" t="n">
        <x:v>100</x:v>
      </x:c>
      <x:c r="T154" t="str">
        <x:v>IN TARGET BAND</x:v>
      </x:c>
      <x:c r="U154" t="str">
        <x:f>IF(T154="IN TARGET BAND","Yes","No")</x:f>
        <x:v>Yes</x:v>
      </x:c>
      <x:c r="V154" t="n">
        <x:v>1724</x:v>
      </x:c>
      <x:c r="W154" t="str">
        <x:v>Pasted text(56).txt</x:v>
      </x:c>
    </x:row>
    <x:row r="155">
      <x:c r="A155" t="str">
        <x:v>S05</x:v>
      </x:c>
      <x:c r="B155" t="str">
        <x:v>1.28 validated five-run session</x:v>
      </x:c>
      <x:c r="C155" s="54" t="n">
        <x:v>1.28</x:v>
      </x:c>
      <x:c r="D155" t="n">
        <x:v>2</x:v>
      </x:c>
      <x:c r="E155" t="str">
        <x:v>PASS</x:v>
      </x:c>
      <x:c r="F155" t="n">
        <x:v>1</x:v>
      </x:c>
      <x:c r="G155" t="n">
        <x:v>4</x:v>
      </x:c>
      <x:c r="H155" s="54" t="n">
        <x:v>12.5</x:v>
      </x:c>
      <x:c r="I155" s="54" t="n">
        <x:v>1.28892</x:v>
      </x:c>
      <x:c r="J155" s="54" t="n">
        <x:v>1.2895</x:v>
      </x:c>
      <x:c r="K155" s="54" t="n">
        <x:v>0.44907</x:v>
      </x:c>
      <x:c r="L155" s="54" t="n">
        <x:v>0.70242</x:v>
      </x:c>
      <x:c r="M155" s="54" t="n">
        <x:v>1.53571</x:v>
      </x:c>
      <x:c r="N155" s="56" t="n">
        <x:v>0.7</x:v>
      </x:c>
      <x:c r="O155" s="56" t="n">
        <x:v>1.25</x:v>
      </x:c>
      <x:c r="P155" s="56" t="n">
        <x:v>0.91</x:v>
      </x:c>
      <x:c r="Q155" s="56" t="n">
        <x:v>94.2</x:v>
      </x:c>
      <x:c r="R155" t="str">
        <x:v>X</x:v>
      </x:c>
      <x:c r="S155" s="102" t="n">
        <x:v>100</x:v>
      </x:c>
      <x:c r="T155" t="str">
        <x:v>IN TARGET BAND</x:v>
      </x:c>
      <x:c r="U155" t="str">
        <x:f>IF(T155="IN TARGET BAND","Yes","No")</x:f>
        <x:v>Yes</x:v>
      </x:c>
      <x:c r="V155" t="n">
        <x:v>1725</x:v>
      </x:c>
      <x:c r="W155" t="str">
        <x:v>Pasted text(56).txt</x:v>
      </x:c>
    </x:row>
    <x:row r="156">
      <x:c r="A156" t="str">
        <x:v>S05</x:v>
      </x:c>
      <x:c r="B156" t="str">
        <x:v>1.28 validated five-run session</x:v>
      </x:c>
      <x:c r="C156" s="54" t="n">
        <x:v>1.28</x:v>
      </x:c>
      <x:c r="D156" t="n">
        <x:v>2</x:v>
      </x:c>
      <x:c r="E156" t="str">
        <x:v>PASS</x:v>
      </x:c>
      <x:c r="F156" t="n">
        <x:v>1</x:v>
      </x:c>
      <x:c r="G156" t="n">
        <x:v>5</x:v>
      </x:c>
      <x:c r="H156" s="54" t="n">
        <x:v>12.5</x:v>
      </x:c>
      <x:c r="I156" s="54" t="n">
        <x:v>1.29482</x:v>
      </x:c>
      <x:c r="J156" s="54" t="n">
        <x:v>1.29035</x:v>
      </x:c>
      <x:c r="K156" s="54" t="n">
        <x:v>0.43236</x:v>
      </x:c>
      <x:c r="L156" s="54" t="n">
        <x:v>0.70736</x:v>
      </x:c>
      <x:c r="M156" s="54" t="n">
        <x:v>1.53414</x:v>
      </x:c>
      <x:c r="N156" s="56" t="n">
        <x:v>1.16</x:v>
      </x:c>
      <x:c r="O156" s="56" t="n">
        <x:v>1.32</x:v>
      </x:c>
      <x:c r="P156" s="56" t="n">
        <x:v>1.44</x:v>
      </x:c>
      <x:c r="Q156" s="56" t="n">
        <x:v>94.6</x:v>
      </x:c>
      <x:c r="R156" t="str">
        <x:v>X</x:v>
      </x:c>
      <x:c r="S156" s="102" t="n">
        <x:v>100</x:v>
      </x:c>
      <x:c r="T156" t="str">
        <x:v>IN TARGET BAND</x:v>
      </x:c>
      <x:c r="U156" t="str">
        <x:f>IF(T156="IN TARGET BAND","Yes","No")</x:f>
        <x:v>Yes</x:v>
      </x:c>
      <x:c r="V156" t="n">
        <x:v>1726</x:v>
      </x:c>
      <x:c r="W156" t="str">
        <x:v>Pasted text(56).txt</x:v>
      </x:c>
    </x:row>
    <x:row r="157">
      <x:c r="A157" t="str">
        <x:v>S05</x:v>
      </x:c>
      <x:c r="B157" t="str">
        <x:v>1.28 validated five-run session</x:v>
      </x:c>
      <x:c r="C157" s="54" t="n">
        <x:v>1.28</x:v>
      </x:c>
      <x:c r="D157" t="n">
        <x:v>2</x:v>
      </x:c>
      <x:c r="E157" t="str">
        <x:v>PASS</x:v>
      </x:c>
      <x:c r="F157" t="n">
        <x:v>1</x:v>
      </x:c>
      <x:c r="G157" t="n">
        <x:v>6</x:v>
      </x:c>
      <x:c r="H157" s="54" t="n">
        <x:v>12.5</x:v>
      </x:c>
      <x:c r="I157" s="54" t="n">
        <x:v>1.27728</x:v>
      </x:c>
      <x:c r="J157" s="54" t="n">
        <x:v>1.27176</x:v>
      </x:c>
      <x:c r="K157" s="54" t="n">
        <x:v>0.44335</x:v>
      </x:c>
      <x:c r="L157" s="54" t="n">
        <x:v>0.70474</x:v>
      </x:c>
      <x:c r="M157" s="54" t="n">
        <x:v>1.52008</x:v>
      </x:c>
      <x:c r="N157" s="56" t="n">
        <x:v>-0.21</x:v>
      </x:c>
      <x:c r="O157" s="56" t="n">
        <x:v>0.67</x:v>
      </x:c>
      <x:c r="P157" s="56" t="n">
        <x:v>1.16</x:v>
      </x:c>
      <x:c r="Q157" s="56" t="n">
        <x:v>92.5</x:v>
      </x:c>
      <x:c r="R157" t="str">
        <x:v>X</x:v>
      </x:c>
      <x:c r="S157" s="102" t="n">
        <x:v>100</x:v>
      </x:c>
      <x:c r="T157" t="str">
        <x:v>IN TARGET BAND</x:v>
      </x:c>
      <x:c r="U157" t="str">
        <x:f>IF(T157="IN TARGET BAND","Yes","No")</x:f>
        <x:v>Yes</x:v>
      </x:c>
      <x:c r="V157" t="n">
        <x:v>1727</x:v>
      </x:c>
      <x:c r="W157" t="str">
        <x:v>Pasted text(56).txt</x:v>
      </x:c>
    </x:row>
    <x:row r="158">
      <x:c r="A158" t="str">
        <x:v>S05</x:v>
      </x:c>
      <x:c r="B158" t="str">
        <x:v>1.28 validated five-run session</x:v>
      </x:c>
      <x:c r="C158" s="54" t="n">
        <x:v>1.28</x:v>
      </x:c>
      <x:c r="D158" t="n">
        <x:v>2</x:v>
      </x:c>
      <x:c r="E158" t="str">
        <x:v>PASS</x:v>
      </x:c>
      <x:c r="F158" t="n">
        <x:v>1</x:v>
      </x:c>
      <x:c r="G158" t="n">
        <x:v>7</x:v>
      </x:c>
      <x:c r="H158" s="54" t="n">
        <x:v>12.5</x:v>
      </x:c>
      <x:c r="I158" s="54" t="n">
        <x:v>1.27396</x:v>
      </x:c>
      <x:c r="J158" s="54" t="n">
        <x:v>1.2736</x:v>
      </x:c>
      <x:c r="K158" s="54" t="n">
        <x:v>0.42663</x:v>
      </x:c>
      <x:c r="L158" s="54" t="n">
        <x:v>0.71027</x:v>
      </x:c>
      <x:c r="M158" s="54" t="n">
        <x:v>1.51942</x:v>
      </x:c>
      <x:c r="N158" s="56" t="n">
        <x:v>-0.47</x:v>
      </x:c>
      <x:c r="O158" s="56" t="n">
        <x:v>0.4</x:v>
      </x:c>
      <x:c r="P158" s="56" t="n">
        <x:v>0.32</x:v>
      </x:c>
      <x:c r="Q158" s="56" t="n">
        <x:v>93.7</x:v>
      </x:c>
      <x:c r="R158" t="str">
        <x:v>X</x:v>
      </x:c>
      <x:c r="S158" s="102" t="n">
        <x:v>100</x:v>
      </x:c>
      <x:c r="T158" t="str">
        <x:v>IN TARGET BAND</x:v>
      </x:c>
      <x:c r="U158" t="str">
        <x:f>IF(T158="IN TARGET BAND","Yes","No")</x:f>
        <x:v>Yes</x:v>
      </x:c>
      <x:c r="V158" t="n">
        <x:v>1728</x:v>
      </x:c>
      <x:c r="W158" t="str">
        <x:v>Pasted text(56).txt</x:v>
      </x:c>
    </x:row>
    <x:row r="159">
      <x:c r="A159" t="str">
        <x:v>S05</x:v>
      </x:c>
      <x:c r="B159" t="str">
        <x:v>1.28 validated five-run session</x:v>
      </x:c>
      <x:c r="C159" s="54" t="n">
        <x:v>1.28</x:v>
      </x:c>
      <x:c r="D159" t="n">
        <x:v>2</x:v>
      </x:c>
      <x:c r="E159" t="str">
        <x:v>PASS</x:v>
      </x:c>
      <x:c r="F159" t="n">
        <x:v>1</x:v>
      </x:c>
      <x:c r="G159" t="n">
        <x:v>8</x:v>
      </x:c>
      <x:c r="H159" s="54" t="n">
        <x:v>12.5</x:v>
      </x:c>
      <x:c r="I159" s="54" t="n">
        <x:v>1.26763</x:v>
      </x:c>
      <x:c r="J159" s="54" t="n">
        <x:v>1.27214</x:v>
      </x:c>
      <x:c r="K159" s="54" t="n">
        <x:v>0.44318</x:v>
      </x:c>
      <x:c r="L159" s="54" t="n">
        <x:v>0.70865</x:v>
      </x:c>
      <x:c r="M159" s="54" t="n">
        <x:v>1.52236</x:v>
      </x:c>
      <x:c r="N159" s="56" t="n">
        <x:v>-0.97</x:v>
      </x:c>
      <x:c r="O159" s="56" t="n">
        <x:v>0.19</x:v>
      </x:c>
      <x:c r="P159" s="56" t="n">
        <x:v>0.73</x:v>
      </x:c>
      <x:c r="Q159" s="56" t="n">
        <x:v>92.4</x:v>
      </x:c>
      <x:c r="R159" t="str">
        <x:v>X</x:v>
      </x:c>
      <x:c r="S159" s="102" t="n">
        <x:v>100</x:v>
      </x:c>
      <x:c r="T159" t="str">
        <x:v>IN TARGET BAND</x:v>
      </x:c>
      <x:c r="U159" t="str">
        <x:f>IF(T159="IN TARGET BAND","Yes","No")</x:f>
        <x:v>Yes</x:v>
      </x:c>
      <x:c r="V159" t="n">
        <x:v>1729</x:v>
      </x:c>
      <x:c r="W159" t="str">
        <x:v>Pasted text(56).txt</x:v>
      </x:c>
    </x:row>
    <x:row r="160">
      <x:c r="A160" t="str">
        <x:v>S05</x:v>
      </x:c>
      <x:c r="B160" t="str">
        <x:v>1.28 validated five-run session</x:v>
      </x:c>
      <x:c r="C160" s="54" t="n">
        <x:v>1.28</x:v>
      </x:c>
      <x:c r="D160" t="n">
        <x:v>2</x:v>
      </x:c>
      <x:c r="E160" t="str">
        <x:v>PASS</x:v>
      </x:c>
      <x:c r="F160" t="n">
        <x:v>1</x:v>
      </x:c>
      <x:c r="G160" t="n">
        <x:v>9</x:v>
      </x:c>
      <x:c r="H160" s="54" t="n">
        <x:v>12.5</x:v>
      </x:c>
      <x:c r="I160" s="54" t="n">
        <x:v>1.27759</x:v>
      </x:c>
      <x:c r="J160" s="54" t="n">
        <x:v>1.27681</x:v>
      </x:c>
      <x:c r="K160" s="54" t="n">
        <x:v>0.43771</x:v>
      </x:c>
      <x:c r="L160" s="54" t="n">
        <x:v>0.73184</x:v>
      </x:c>
      <x:c r="M160" s="54" t="n">
        <x:v>1.53553</x:v>
      </x:c>
      <x:c r="N160" s="56" t="n">
        <x:v>-0.19</x:v>
      </x:c>
      <x:c r="O160" s="56" t="n">
        <x:v>2.2</x:v>
      </x:c>
      <x:c r="P160" s="56" t="n">
        <x:v>1.58</x:v>
      </x:c>
      <x:c r="Q160" s="56" t="n">
        <x:v>94.1</x:v>
      </x:c>
      <x:c r="R160" t="str">
        <x:v>X</x:v>
      </x:c>
      <x:c r="S160" s="102" t="n">
        <x:v>100</x:v>
      </x:c>
      <x:c r="T160" t="str">
        <x:v>IN TARGET BAND</x:v>
      </x:c>
      <x:c r="U160" t="str">
        <x:f>IF(T160="IN TARGET BAND","Yes","No")</x:f>
        <x:v>Yes</x:v>
      </x:c>
      <x:c r="V160" t="n">
        <x:v>1730</x:v>
      </x:c>
      <x:c r="W160" t="str">
        <x:v>Pasted text(56).txt</x:v>
      </x:c>
    </x:row>
    <x:row r="161">
      <x:c r="A161" t="str">
        <x:v>S05</x:v>
      </x:c>
      <x:c r="B161" t="str">
        <x:v>1.28 validated five-run session</x:v>
      </x:c>
      <x:c r="C161" s="54" t="n">
        <x:v>1.28</x:v>
      </x:c>
      <x:c r="D161" t="n">
        <x:v>2</x:v>
      </x:c>
      <x:c r="E161" t="str">
        <x:v>PASS</x:v>
      </x:c>
      <x:c r="F161" t="n">
        <x:v>1</x:v>
      </x:c>
      <x:c r="G161" t="n">
        <x:v>10</x:v>
      </x:c>
      <x:c r="H161" s="54" t="n">
        <x:v>12.5</x:v>
      </x:c>
      <x:c r="I161" s="54" t="n">
        <x:v>1.27493</x:v>
      </x:c>
      <x:c r="J161" s="54" t="n">
        <x:v>1.28026</x:v>
      </x:c>
      <x:c r="K161" s="54" t="n">
        <x:v>0.42183</x:v>
      </x:c>
      <x:c r="L161" s="54" t="n">
        <x:v>0.71634</x:v>
      </x:c>
      <x:c r="M161" s="54" t="n">
        <x:v>1.52661</x:v>
      </x:c>
      <x:c r="N161" s="56" t="n">
        <x:v>-0.4</x:v>
      </x:c>
      <x:c r="O161" s="56" t="n">
        <x:v>0.96</x:v>
      </x:c>
      <x:c r="P161" s="56" t="n">
        <x:v>1.32</x:v>
      </x:c>
      <x:c r="Q161" s="56" t="n">
        <x:v>93.4</x:v>
      </x:c>
      <x:c r="R161" t="str">
        <x:v>X</x:v>
      </x:c>
      <x:c r="S161" s="102" t="n">
        <x:v>100</x:v>
      </x:c>
      <x:c r="T161" t="str">
        <x:v>IN TARGET BAND</x:v>
      </x:c>
      <x:c r="U161" t="str">
        <x:f>IF(T161="IN TARGET BAND","Yes","No")</x:f>
        <x:v>Yes</x:v>
      </x:c>
      <x:c r="V161" t="n">
        <x:v>1731</x:v>
      </x:c>
      <x:c r="W161" t="str">
        <x:v>Pasted text(56).txt</x:v>
      </x:c>
    </x:row>
    <x:row r="162">
      <x:c r="A162" t="str">
        <x:v>S05</x:v>
      </x:c>
      <x:c r="B162" t="str">
        <x:v>1.28 validated five-run session</x:v>
      </x:c>
      <x:c r="C162" s="54" t="n">
        <x:v>1.28</x:v>
      </x:c>
      <x:c r="D162" t="n">
        <x:v>3</x:v>
      </x:c>
      <x:c r="E162" t="str">
        <x:v>PASS</x:v>
      </x:c>
      <x:c r="F162" t="n">
        <x:v>1</x:v>
      </x:c>
      <x:c r="G162" t="n">
        <x:v>1</x:v>
      </x:c>
      <x:c r="H162" s="54" t="n">
        <x:v>12.5</x:v>
      </x:c>
      <x:c r="I162" s="54" t="n">
        <x:v>1.28222</x:v>
      </x:c>
      <x:c r="J162" s="54" t="n">
        <x:v>1.28763</x:v>
      </x:c>
      <x:c r="K162" s="54" t="n">
        <x:v>0.43452</x:v>
      </x:c>
      <x:c r="L162" s="54" t="n">
        <x:v>0.71206</x:v>
      </x:c>
      <x:c r="M162" s="54" t="n">
        <x:v>1.53445</x:v>
      </x:c>
      <x:c r="N162" s="56" t="n">
        <x:v>0.17</x:v>
      </x:c>
      <x:c r="O162" s="56" t="n">
        <x:v>1.19</x:v>
      </x:c>
      <x:c r="P162" s="56" t="n">
        <x:v>1.48</x:v>
      </x:c>
      <x:c r="Q162" s="56" t="n">
        <x:v>93.5</x:v>
      </x:c>
      <x:c r="R162" t="str">
        <x:v>X</x:v>
      </x:c>
      <x:c r="S162" s="102" t="n">
        <x:v>100</x:v>
      </x:c>
      <x:c r="T162" t="str">
        <x:v>IN TARGET BAND</x:v>
      </x:c>
      <x:c r="U162" t="str">
        <x:f>IF(T162="IN TARGET BAND","Yes","No")</x:f>
        <x:v>Yes</x:v>
      </x:c>
      <x:c r="V162" t="n">
        <x:v>1807</x:v>
      </x:c>
      <x:c r="W162" t="str">
        <x:v>Pasted text(56).txt</x:v>
      </x:c>
    </x:row>
    <x:row r="163">
      <x:c r="A163" t="str">
        <x:v>S05</x:v>
      </x:c>
      <x:c r="B163" t="str">
        <x:v>1.28 validated five-run session</x:v>
      </x:c>
      <x:c r="C163" s="54" t="n">
        <x:v>1.28</x:v>
      </x:c>
      <x:c r="D163" t="n">
        <x:v>3</x:v>
      </x:c>
      <x:c r="E163" t="str">
        <x:v>PASS</x:v>
      </x:c>
      <x:c r="F163" t="n">
        <x:v>1</x:v>
      </x:c>
      <x:c r="G163" t="n">
        <x:v>2</x:v>
      </x:c>
      <x:c r="H163" s="54" t="n">
        <x:v>12.5</x:v>
      </x:c>
      <x:c r="I163" s="54" t="n">
        <x:v>1.27932</x:v>
      </x:c>
      <x:c r="J163" s="54" t="n">
        <x:v>1.28045</x:v>
      </x:c>
      <x:c r="K163" s="54" t="n">
        <x:v>0.44994</x:v>
      </x:c>
      <x:c r="L163" s="54" t="n">
        <x:v>0.69257</x:v>
      </x:c>
      <x:c r="M163" s="54" t="n">
        <x:v>1.52401</x:v>
      </x:c>
      <x:c r="N163" s="56" t="n">
        <x:v>-0.05</x:v>
      </x:c>
      <x:c r="O163" s="56" t="n">
        <x:v>2.44</x:v>
      </x:c>
      <x:c r="P163" s="56" t="n">
        <x:v>1.78</x:v>
      </x:c>
      <x:c r="Q163" s="56" t="n">
        <x:v>93.5</x:v>
      </x:c>
      <x:c r="R163" t="str">
        <x:v>X</x:v>
      </x:c>
      <x:c r="S163" s="102" t="n">
        <x:v>100</x:v>
      </x:c>
      <x:c r="T163" t="str">
        <x:v>IN TARGET BAND</x:v>
      </x:c>
      <x:c r="U163" t="str">
        <x:f>IF(T163="IN TARGET BAND","Yes","No")</x:f>
        <x:v>Yes</x:v>
      </x:c>
      <x:c r="V163" t="n">
        <x:v>1808</x:v>
      </x:c>
      <x:c r="W163" t="str">
        <x:v>Pasted text(56).txt</x:v>
      </x:c>
    </x:row>
    <x:row r="164">
      <x:c r="A164" t="str">
        <x:v>S05</x:v>
      </x:c>
      <x:c r="B164" t="str">
        <x:v>1.28 validated five-run session</x:v>
      </x:c>
      <x:c r="C164" s="54" t="n">
        <x:v>1.28</x:v>
      </x:c>
      <x:c r="D164" t="n">
        <x:v>3</x:v>
      </x:c>
      <x:c r="E164" t="str">
        <x:v>PASS</x:v>
      </x:c>
      <x:c r="F164" t="n">
        <x:v>1</x:v>
      </x:c>
      <x:c r="G164" t="n">
        <x:v>3</x:v>
      </x:c>
      <x:c r="H164" s="54" t="n">
        <x:v>12.5</x:v>
      </x:c>
      <x:c r="I164" s="54" t="n">
        <x:v>1.29223</x:v>
      </x:c>
      <x:c r="J164" s="54" t="n">
        <x:v>1.28912</x:v>
      </x:c>
      <x:c r="K164" s="54" t="n">
        <x:v>0.44271</x:v>
      </x:c>
      <x:c r="L164" s="54" t="n">
        <x:v>0.70889</x:v>
      </x:c>
      <x:c r="M164" s="54" t="n">
        <x:v>1.53646</x:v>
      </x:c>
      <x:c r="N164" s="56" t="n">
        <x:v>0.96</x:v>
      </x:c>
      <x:c r="O164" s="56" t="n">
        <x:v>0.57</x:v>
      </x:c>
      <x:c r="P164" s="56" t="n">
        <x:v>0.77</x:v>
      </x:c>
      <x:c r="Q164" s="56" t="n">
        <x:v>94.4</x:v>
      </x:c>
      <x:c r="R164" t="str">
        <x:v>X</x:v>
      </x:c>
      <x:c r="S164" s="102" t="n">
        <x:v>100</x:v>
      </x:c>
      <x:c r="T164" t="str">
        <x:v>IN TARGET BAND</x:v>
      </x:c>
      <x:c r="U164" t="str">
        <x:f>IF(T164="IN TARGET BAND","Yes","No")</x:f>
        <x:v>Yes</x:v>
      </x:c>
      <x:c r="V164" t="n">
        <x:v>1809</x:v>
      </x:c>
      <x:c r="W164" t="str">
        <x:v>Pasted text(56).txt</x:v>
      </x:c>
    </x:row>
    <x:row r="165">
      <x:c r="A165" t="str">
        <x:v>S05</x:v>
      </x:c>
      <x:c r="B165" t="str">
        <x:v>1.28 validated five-run session</x:v>
      </x:c>
      <x:c r="C165" s="54" t="n">
        <x:v>1.28</x:v>
      </x:c>
      <x:c r="D165" t="n">
        <x:v>3</x:v>
      </x:c>
      <x:c r="E165" t="str">
        <x:v>PASS</x:v>
      </x:c>
      <x:c r="F165" t="n">
        <x:v>1</x:v>
      </x:c>
      <x:c r="G165" t="n">
        <x:v>4</x:v>
      </x:c>
      <x:c r="H165" s="54" t="n">
        <x:v>12.5</x:v>
      </x:c>
      <x:c r="I165" s="54" t="n">
        <x:v>1.29938</x:v>
      </x:c>
      <x:c r="J165" s="54" t="n">
        <x:v>1.30092</x:v>
      </x:c>
      <x:c r="K165" s="54" t="n">
        <x:v>0.44656</x:v>
      </x:c>
      <x:c r="L165" s="54" t="n">
        <x:v>0.6941</x:v>
      </x:c>
      <x:c r="M165" s="54" t="n">
        <x:v>1.54067</x:v>
      </x:c>
      <x:c r="N165" s="56" t="n">
        <x:v>1.51</x:v>
      </x:c>
      <x:c r="O165" s="56" t="n">
        <x:v>1.03</x:v>
      </x:c>
      <x:c r="P165" s="56" t="n">
        <x:v>0.88</x:v>
      </x:c>
      <x:c r="Q165" s="56" t="n">
        <x:v>94.5</x:v>
      </x:c>
      <x:c r="R165" t="str">
        <x:v>X</x:v>
      </x:c>
      <x:c r="S165" s="102" t="n">
        <x:v>100</x:v>
      </x:c>
      <x:c r="T165" t="str">
        <x:v>IN TARGET BAND</x:v>
      </x:c>
      <x:c r="U165" t="str">
        <x:f>IF(T165="IN TARGET BAND","Yes","No")</x:f>
        <x:v>Yes</x:v>
      </x:c>
      <x:c r="V165" t="n">
        <x:v>1810</x:v>
      </x:c>
      <x:c r="W165" t="str">
        <x:v>Pasted text(56).txt</x:v>
      </x:c>
    </x:row>
    <x:row r="166">
      <x:c r="A166" t="str">
        <x:v>S05</x:v>
      </x:c>
      <x:c r="B166" t="str">
        <x:v>1.28 validated five-run session</x:v>
      </x:c>
      <x:c r="C166" s="54" t="n">
        <x:v>1.28</x:v>
      </x:c>
      <x:c r="D166" t="n">
        <x:v>3</x:v>
      </x:c>
      <x:c r="E166" t="str">
        <x:v>PASS</x:v>
      </x:c>
      <x:c r="F166" t="n">
        <x:v>1</x:v>
      </x:c>
      <x:c r="G166" t="n">
        <x:v>5</x:v>
      </x:c>
      <x:c r="H166" s="54" t="n">
        <x:v>12.5</x:v>
      </x:c>
      <x:c r="I166" s="54" t="n">
        <x:v>1.30176</x:v>
      </x:c>
      <x:c r="J166" s="54" t="n">
        <x:v>1.28738</x:v>
      </x:c>
      <x:c r="K166" s="54" t="n">
        <x:v>0.43663</x:v>
      </x:c>
      <x:c r="L166" s="54" t="n">
        <x:v>0.7058</x:v>
      </x:c>
      <x:c r="M166" s="54" t="n">
        <x:v>1.53179</x:v>
      </x:c>
      <x:c r="N166" s="56" t="n">
        <x:v>1.7</x:v>
      </x:c>
      <x:c r="O166" s="56" t="n">
        <x:v>0.08</x:v>
      </x:c>
      <x:c r="P166" s="56" t="n">
        <x:v>1.98</x:v>
      </x:c>
      <x:c r="Q166" s="56" t="n">
        <x:v>93.3</x:v>
      </x:c>
      <x:c r="R166" t="str">
        <x:v>X</x:v>
      </x:c>
      <x:c r="S166" s="102" t="n">
        <x:v>100</x:v>
      </x:c>
      <x:c r="T166" t="str">
        <x:v>IN TARGET BAND</x:v>
      </x:c>
      <x:c r="U166" t="str">
        <x:f>IF(T166="IN TARGET BAND","Yes","No")</x:f>
        <x:v>Yes</x:v>
      </x:c>
      <x:c r="V166" t="n">
        <x:v>1811</x:v>
      </x:c>
      <x:c r="W166" t="str">
        <x:v>Pasted text(56).txt</x:v>
      </x:c>
    </x:row>
    <x:row r="167">
      <x:c r="A167" t="str">
        <x:v>S05</x:v>
      </x:c>
      <x:c r="B167" t="str">
        <x:v>1.28 validated five-run session</x:v>
      </x:c>
      <x:c r="C167" s="54" t="n">
        <x:v>1.28</x:v>
      </x:c>
      <x:c r="D167" t="n">
        <x:v>3</x:v>
      </x:c>
      <x:c r="E167" t="str">
        <x:v>PASS</x:v>
      </x:c>
      <x:c r="F167" t="n">
        <x:v>1</x:v>
      </x:c>
      <x:c r="G167" t="n">
        <x:v>6</x:v>
      </x:c>
      <x:c r="H167" s="54" t="n">
        <x:v>12.5</x:v>
      </x:c>
      <x:c r="I167" s="54" t="n">
        <x:v>1.25829</x:v>
      </x:c>
      <x:c r="J167" s="54" t="n">
        <x:v>1.27344</x:v>
      </x:c>
      <x:c r="K167" s="54" t="n">
        <x:v>0.43671</x:v>
      </x:c>
      <x:c r="L167" s="54" t="n">
        <x:v>0.70669</x:v>
      </x:c>
      <x:c r="M167" s="54" t="n">
        <x:v>1.52066</x:v>
      </x:c>
      <x:c r="N167" s="56" t="n">
        <x:v>-1.7</x:v>
      </x:c>
      <x:c r="O167" s="56" t="n">
        <x:v>1.21</x:v>
      </x:c>
      <x:c r="P167" s="56" t="n">
        <x:v>2.79</x:v>
      </x:c>
      <x:c r="Q167" s="56" t="n">
        <x:v>92.4</x:v>
      </x:c>
      <x:c r="R167" t="str">
        <x:v>X</x:v>
      </x:c>
      <x:c r="S167" s="102" t="n">
        <x:v>100</x:v>
      </x:c>
      <x:c r="T167" t="str">
        <x:v>IN TARGET BAND</x:v>
      </x:c>
      <x:c r="U167" t="str">
        <x:f>IF(T167="IN TARGET BAND","Yes","No")</x:f>
        <x:v>Yes</x:v>
      </x:c>
      <x:c r="V167" t="n">
        <x:v>1812</x:v>
      </x:c>
      <x:c r="W167" t="str">
        <x:v>Pasted text(56).txt</x:v>
      </x:c>
    </x:row>
    <x:row r="168">
      <x:c r="A168" t="str">
        <x:v>S05</x:v>
      </x:c>
      <x:c r="B168" t="str">
        <x:v>1.28 validated five-run session</x:v>
      </x:c>
      <x:c r="C168" s="54" t="n">
        <x:v>1.28</x:v>
      </x:c>
      <x:c r="D168" t="n">
        <x:v>3</x:v>
      </x:c>
      <x:c r="E168" t="str">
        <x:v>PASS</x:v>
      </x:c>
      <x:c r="F168" t="n">
        <x:v>1</x:v>
      </x:c>
      <x:c r="G168" t="n">
        <x:v>7</x:v>
      </x:c>
      <x:c r="H168" s="54" t="n">
        <x:v>12.5</x:v>
      </x:c>
      <x:c r="I168" s="54" t="n">
        <x:v>1.27511</x:v>
      </x:c>
      <x:c r="J168" s="54" t="n">
        <x:v>1.2726</x:v>
      </x:c>
      <x:c r="K168" s="54" t="n">
        <x:v>0.43254</x:v>
      </x:c>
      <x:c r="L168" s="54" t="n">
        <x:v>0.70169</x:v>
      </x:c>
      <x:c r="M168" s="54" t="n">
        <x:v>1.51644</x:v>
      </x:c>
      <x:c r="N168" s="56" t="n">
        <x:v>-0.38</x:v>
      </x:c>
      <x:c r="O168" s="56" t="n">
        <x:v>0.79</x:v>
      </x:c>
      <x:c r="P168" s="56" t="n">
        <x:v>0.85</x:v>
      </x:c>
      <x:c r="Q168" s="56" t="n">
        <x:v>93.2</x:v>
      </x:c>
      <x:c r="R168" t="str">
        <x:v>X</x:v>
      </x:c>
      <x:c r="S168" s="102" t="n">
        <x:v>100</x:v>
      </x:c>
      <x:c r="T168" t="str">
        <x:v>IN TARGET BAND</x:v>
      </x:c>
      <x:c r="U168" t="str">
        <x:f>IF(T168="IN TARGET BAND","Yes","No")</x:f>
        <x:v>Yes</x:v>
      </x:c>
      <x:c r="V168" t="n">
        <x:v>1813</x:v>
      </x:c>
      <x:c r="W168" t="str">
        <x:v>Pasted text(56).txt</x:v>
      </x:c>
    </x:row>
    <x:row r="169">
      <x:c r="A169" t="str">
        <x:v>S05</x:v>
      </x:c>
      <x:c r="B169" t="str">
        <x:v>1.28 validated five-run session</x:v>
      </x:c>
      <x:c r="C169" s="54" t="n">
        <x:v>1.28</x:v>
      </x:c>
      <x:c r="D169" t="n">
        <x:v>3</x:v>
      </x:c>
      <x:c r="E169" t="str">
        <x:v>PASS</x:v>
      </x:c>
      <x:c r="F169" t="n">
        <x:v>1</x:v>
      </x:c>
      <x:c r="G169" t="n">
        <x:v>8</x:v>
      </x:c>
      <x:c r="H169" s="54" t="n">
        <x:v>12.5</x:v>
      </x:c>
      <x:c r="I169" s="54" t="n">
        <x:v>1.28089</x:v>
      </x:c>
      <x:c r="J169" s="54" t="n">
        <x:v>1.28684</x:v>
      </x:c>
      <x:c r="K169" s="54" t="n">
        <x:v>0.43749</x:v>
      </x:c>
      <x:c r="L169" s="54" t="n">
        <x:v>0.72395</x:v>
      </x:c>
      <x:c r="M169" s="54" t="n">
        <x:v>1.53996</x:v>
      </x:c>
      <x:c r="N169" s="56" t="n">
        <x:v>0.07</x:v>
      </x:c>
      <x:c r="O169" s="56" t="n">
        <x:v>0.56</x:v>
      </x:c>
      <x:c r="P169" s="56" t="n">
        <x:v>1.14</x:v>
      </x:c>
      <x:c r="Q169" s="56" t="n">
        <x:v>93.6</x:v>
      </x:c>
      <x:c r="R169" t="str">
        <x:v>X</x:v>
      </x:c>
      <x:c r="S169" s="102" t="n">
        <x:v>100</x:v>
      </x:c>
      <x:c r="T169" t="str">
        <x:v>IN TARGET BAND</x:v>
      </x:c>
      <x:c r="U169" t="str">
        <x:f>IF(T169="IN TARGET BAND","Yes","No")</x:f>
        <x:v>Yes</x:v>
      </x:c>
      <x:c r="V169" t="n">
        <x:v>1814</x:v>
      </x:c>
      <x:c r="W169" t="str">
        <x:v>Pasted text(56).txt</x:v>
      </x:c>
    </x:row>
    <x:row r="170">
      <x:c r="A170" t="str">
        <x:v>S05</x:v>
      </x:c>
      <x:c r="B170" t="str">
        <x:v>1.28 validated five-run session</x:v>
      </x:c>
      <x:c r="C170" s="54" t="n">
        <x:v>1.28</x:v>
      </x:c>
      <x:c r="D170" t="n">
        <x:v>3</x:v>
      </x:c>
      <x:c r="E170" t="str">
        <x:v>PASS</x:v>
      </x:c>
      <x:c r="F170" t="n">
        <x:v>1</x:v>
      </x:c>
      <x:c r="G170" t="n">
        <x:v>9</x:v>
      </x:c>
      <x:c r="H170" s="54" t="n">
        <x:v>12.5</x:v>
      </x:c>
      <x:c r="I170" s="54" t="n">
        <x:v>1.29087</x:v>
      </x:c>
      <x:c r="J170" s="54" t="n">
        <x:v>1.2951</x:v>
      </x:c>
      <x:c r="K170" s="54" t="n">
        <x:v>0.43934</x:v>
      </x:c>
      <x:c r="L170" s="54" t="n">
        <x:v>0.69242</x:v>
      </x:c>
      <x:c r="M170" s="54" t="n">
        <x:v>1.53304</x:v>
      </x:c>
      <x:c r="N170" s="56" t="n">
        <x:v>0.85</x:v>
      </x:c>
      <x:c r="O170" s="56" t="n">
        <x:v>1.06</x:v>
      </x:c>
      <x:c r="P170" s="56" t="n">
        <x:v>1.23</x:v>
      </x:c>
      <x:c r="Q170" s="56" t="n">
        <x:v>94.8</x:v>
      </x:c>
      <x:c r="R170" t="str">
        <x:v>X</x:v>
      </x:c>
      <x:c r="S170" s="102" t="n">
        <x:v>100</x:v>
      </x:c>
      <x:c r="T170" t="str">
        <x:v>IN TARGET BAND</x:v>
      </x:c>
      <x:c r="U170" t="str">
        <x:f>IF(T170="IN TARGET BAND","Yes","No")</x:f>
        <x:v>Yes</x:v>
      </x:c>
      <x:c r="V170" t="n">
        <x:v>1815</x:v>
      </x:c>
      <x:c r="W170" t="str">
        <x:v>Pasted text(56).txt</x:v>
      </x:c>
    </x:row>
    <x:row r="171">
      <x:c r="A171" t="str">
        <x:v>S05</x:v>
      </x:c>
      <x:c r="B171" t="str">
        <x:v>1.28 validated five-run session</x:v>
      </x:c>
      <x:c r="C171" s="54" t="n">
        <x:v>1.28</x:v>
      </x:c>
      <x:c r="D171" t="n">
        <x:v>3</x:v>
      </x:c>
      <x:c r="E171" t="str">
        <x:v>PASS</x:v>
      </x:c>
      <x:c r="F171" t="n">
        <x:v>1</x:v>
      </x:c>
      <x:c r="G171" t="n">
        <x:v>10</x:v>
      </x:c>
      <x:c r="H171" s="54" t="n">
        <x:v>12.5</x:v>
      </x:c>
      <x:c r="I171" s="54" t="n">
        <x:v>1.28759</x:v>
      </x:c>
      <x:c r="J171" s="54" t="n">
        <x:v>1.29016</x:v>
      </x:c>
      <x:c r="K171" s="54" t="n">
        <x:v>0.42732</x:v>
      </x:c>
      <x:c r="L171" s="54" t="n">
        <x:v>0.69747</x:v>
      </x:c>
      <x:c r="M171" s="54" t="n">
        <x:v>1.52773</x:v>
      </x:c>
      <x:c r="N171" s="56" t="n">
        <x:v>0.59</x:v>
      </x:c>
      <x:c r="O171" s="56" t="n">
        <x:v>1.59</x:v>
      </x:c>
      <x:c r="P171" s="56" t="n">
        <x:v>1.38</x:v>
      </x:c>
      <x:c r="Q171" s="56" t="n">
        <x:v>93.8</x:v>
      </x:c>
      <x:c r="R171" t="str">
        <x:v>X</x:v>
      </x:c>
      <x:c r="S171" s="102" t="n">
        <x:v>100</x:v>
      </x:c>
      <x:c r="T171" t="str">
        <x:v>IN TARGET BAND</x:v>
      </x:c>
      <x:c r="U171" t="str">
        <x:f>IF(T171="IN TARGET BAND","Yes","No")</x:f>
        <x:v>Yes</x:v>
      </x:c>
      <x:c r="V171" t="n">
        <x:v>1816</x:v>
      </x:c>
      <x:c r="W171" t="str">
        <x:v>Pasted text(56).txt</x:v>
      </x:c>
    </x:row>
    <x:row r="172">
      <x:c r="A172" t="str">
        <x:v>S05</x:v>
      </x:c>
      <x:c r="B172" t="str">
        <x:v>1.28 validated five-run session</x:v>
      </x:c>
      <x:c r="C172" s="54" t="n">
        <x:v>1.28</x:v>
      </x:c>
      <x:c r="D172" t="n">
        <x:v>4</x:v>
      </x:c>
      <x:c r="E172" t="str">
        <x:v>PASS</x:v>
      </x:c>
      <x:c r="F172" t="n">
        <x:v>1</x:v>
      </x:c>
      <x:c r="G172" t="n">
        <x:v>1</x:v>
      </x:c>
      <x:c r="H172" s="54" t="n">
        <x:v>12.25</x:v>
      </x:c>
      <x:c r="I172" s="54" t="n">
        <x:v>1.26532</x:v>
      </x:c>
      <x:c r="J172" s="54" t="n">
        <x:v>1.26235</x:v>
      </x:c>
      <x:c r="K172" s="54" t="n">
        <x:v>0.41884</x:v>
      </x:c>
      <x:c r="L172" s="54" t="n">
        <x:v>0.6917</x:v>
      </x:c>
      <x:c r="M172" s="54" t="n">
        <x:v>1.49936</x:v>
      </x:c>
      <x:c r="N172" s="56" t="n">
        <x:v>-1.15</x:v>
      </x:c>
      <x:c r="O172" s="56" t="n">
        <x:v>1.29</x:v>
      </x:c>
      <x:c r="P172" s="56" t="n">
        <x:v>1.24</x:v>
      </x:c>
      <x:c r="Q172" s="56" t="n">
        <x:v>92.8</x:v>
      </x:c>
      <x:c r="R172" t="str">
        <x:v>X</x:v>
      </x:c>
      <x:c r="S172" s="102" t="n">
        <x:v>100</x:v>
      </x:c>
      <x:c r="T172" t="str">
        <x:v>IN TARGET BAND</x:v>
      </x:c>
      <x:c r="U172" t="str">
        <x:f>IF(T172="IN TARGET BAND","Yes","No")</x:f>
        <x:v>Yes</x:v>
      </x:c>
      <x:c r="V172" t="n">
        <x:v>1892</x:v>
      </x:c>
      <x:c r="W172" t="str">
        <x:v>Pasted text(56).txt</x:v>
      </x:c>
    </x:row>
    <x:row r="173">
      <x:c r="A173" t="str">
        <x:v>S05</x:v>
      </x:c>
      <x:c r="B173" t="str">
        <x:v>1.28 validated five-run session</x:v>
      </x:c>
      <x:c r="C173" s="54" t="n">
        <x:v>1.28</x:v>
      </x:c>
      <x:c r="D173" t="n">
        <x:v>4</x:v>
      </x:c>
      <x:c r="E173" t="str">
        <x:v>PASS</x:v>
      </x:c>
      <x:c r="F173" t="n">
        <x:v>1</x:v>
      </x:c>
      <x:c r="G173" t="n">
        <x:v>2</x:v>
      </x:c>
      <x:c r="H173" s="54" t="n">
        <x:v>12.25</x:v>
      </x:c>
      <x:c r="I173" s="54" t="n">
        <x:v>1.24029</x:v>
      </x:c>
      <x:c r="J173" s="54" t="n">
        <x:v>1.23929</x:v>
      </x:c>
      <x:c r="K173" s="54" t="n">
        <x:v>0.43261</x:v>
      </x:c>
      <x:c r="L173" s="54" t="n">
        <x:v>0.69403</x:v>
      </x:c>
      <x:c r="M173" s="54" t="n">
        <x:v>1.48497</x:v>
      </x:c>
      <x:c r="N173" s="56" t="n">
        <x:v>-3.1</x:v>
      </x:c>
      <x:c r="O173" s="56" t="n">
        <x:v>0.71</x:v>
      </x:c>
      <x:c r="P173" s="56" t="n">
        <x:v>0.6</x:v>
      </x:c>
      <x:c r="Q173" s="56" t="n">
        <x:v>92.1</x:v>
      </x:c>
      <x:c r="R173" t="str">
        <x:v>X</x:v>
      </x:c>
      <x:c r="S173" s="102" t="n">
        <x:v>100</x:v>
      </x:c>
      <x:c r="T173" t="str">
        <x:v>IN TARGET BAND</x:v>
      </x:c>
      <x:c r="U173" t="str">
        <x:f>IF(T173="IN TARGET BAND","Yes","No")</x:f>
        <x:v>Yes</x:v>
      </x:c>
      <x:c r="V173" t="n">
        <x:v>1893</x:v>
      </x:c>
      <x:c r="W173" t="str">
        <x:v>Pasted text(56).txt</x:v>
      </x:c>
    </x:row>
    <x:row r="174">
      <x:c r="A174" t="str">
        <x:v>S05</x:v>
      </x:c>
      <x:c r="B174" t="str">
        <x:v>1.28 validated five-run session</x:v>
      </x:c>
      <x:c r="C174" s="54" t="n">
        <x:v>1.28</x:v>
      </x:c>
      <x:c r="D174" t="n">
        <x:v>4</x:v>
      </x:c>
      <x:c r="E174" t="str">
        <x:v>PASS</x:v>
      </x:c>
      <x:c r="F174" t="n">
        <x:v>1</x:v>
      </x:c>
      <x:c r="G174" t="n">
        <x:v>3</x:v>
      </x:c>
      <x:c r="H174" s="54" t="n">
        <x:v>12.25</x:v>
      </x:c>
      <x:c r="I174" s="54" t="n">
        <x:v>1.27495</x:v>
      </x:c>
      <x:c r="J174" s="54" t="n">
        <x:v>1.27437</x:v>
      </x:c>
      <x:c r="K174" s="54" t="n">
        <x:v>0.43813</x:v>
      </x:c>
      <x:c r="L174" s="54" t="n">
        <x:v>0.68407</x:v>
      </x:c>
      <x:c r="M174" s="54" t="n">
        <x:v>1.5114</x:v>
      </x:c>
      <x:c r="N174" s="56" t="n">
        <x:v>-0.39</x:v>
      </x:c>
      <x:c r="O174" s="56" t="n">
        <x:v>1.01</x:v>
      </x:c>
      <x:c r="P174" s="56" t="n">
        <x:v>0.75</x:v>
      </x:c>
      <x:c r="Q174" s="56" t="n">
        <x:v>93.9</x:v>
      </x:c>
      <x:c r="R174" t="str">
        <x:v>X</x:v>
      </x:c>
      <x:c r="S174" s="102" t="n">
        <x:v>100</x:v>
      </x:c>
      <x:c r="T174" t="str">
        <x:v>IN TARGET BAND</x:v>
      </x:c>
      <x:c r="U174" t="str">
        <x:f>IF(T174="IN TARGET BAND","Yes","No")</x:f>
        <x:v>Yes</x:v>
      </x:c>
      <x:c r="V174" t="n">
        <x:v>1894</x:v>
      </x:c>
      <x:c r="W174" t="str">
        <x:v>Pasted text(56).txt</x:v>
      </x:c>
    </x:row>
    <x:row r="175">
      <x:c r="A175" t="str">
        <x:v>S05</x:v>
      </x:c>
      <x:c r="B175" t="str">
        <x:v>1.28 validated five-run session</x:v>
      </x:c>
      <x:c r="C175" s="54" t="n">
        <x:v>1.28</x:v>
      </x:c>
      <x:c r="D175" t="n">
        <x:v>4</x:v>
      </x:c>
      <x:c r="E175" t="str">
        <x:v>PASS</x:v>
      </x:c>
      <x:c r="F175" t="n">
        <x:v>1</x:v>
      </x:c>
      <x:c r="G175" t="n">
        <x:v>4</x:v>
      </x:c>
      <x:c r="H175" s="54" t="n">
        <x:v>12.25</x:v>
      </x:c>
      <x:c r="I175" s="54" t="n">
        <x:v>1.24872</x:v>
      </x:c>
      <x:c r="J175" s="54" t="n">
        <x:v>1.2622</x:v>
      </x:c>
      <x:c r="K175" s="54" t="n">
        <x:v>0.44375</x:v>
      </x:c>
      <x:c r="L175" s="54" t="n">
        <x:v>0.68523</x:v>
      </x:c>
      <x:c r="M175" s="54" t="n">
        <x:v>1.50327</x:v>
      </x:c>
      <x:c r="N175" s="56" t="n">
        <x:v>-2.44</x:v>
      </x:c>
      <x:c r="O175" s="56" t="n">
        <x:v>1.2</x:v>
      </x:c>
      <x:c r="P175" s="56" t="n">
        <x:v>2.57</x:v>
      </x:c>
      <x:c r="Q175" s="56" t="n">
        <x:v>93.6</x:v>
      </x:c>
      <x:c r="R175" t="str">
        <x:v>X</x:v>
      </x:c>
      <x:c r="S175" s="102" t="n">
        <x:v>100</x:v>
      </x:c>
      <x:c r="T175" t="str">
        <x:v>IN TARGET BAND</x:v>
      </x:c>
      <x:c r="U175" t="str">
        <x:f>IF(T175="IN TARGET BAND","Yes","No")</x:f>
        <x:v>Yes</x:v>
      </x:c>
      <x:c r="V175" t="n">
        <x:v>1895</x:v>
      </x:c>
      <x:c r="W175" t="str">
        <x:v>Pasted text(56).txt</x:v>
      </x:c>
    </x:row>
    <x:row r="176">
      <x:c r="A176" t="str">
        <x:v>S05</x:v>
      </x:c>
      <x:c r="B176" t="str">
        <x:v>1.28 validated five-run session</x:v>
      </x:c>
      <x:c r="C176" s="54" t="n">
        <x:v>1.28</x:v>
      </x:c>
      <x:c r="D176" t="n">
        <x:v>4</x:v>
      </x:c>
      <x:c r="E176" t="str">
        <x:v>PASS</x:v>
      </x:c>
      <x:c r="F176" t="n">
        <x:v>1</x:v>
      </x:c>
      <x:c r="G176" t="n">
        <x:v>5</x:v>
      </x:c>
      <x:c r="H176" s="54" t="n">
        <x:v>12.25</x:v>
      </x:c>
      <x:c r="I176" s="54" t="n">
        <x:v>1.25577</x:v>
      </x:c>
      <x:c r="J176" s="54" t="n">
        <x:v>1.25468</x:v>
      </x:c>
      <x:c r="K176" s="54" t="n">
        <x:v>0.43062</x:v>
      </x:c>
      <x:c r="L176" s="54" t="n">
        <x:v>0.68689</x:v>
      </x:c>
      <x:c r="M176" s="54" t="n">
        <x:v>1.49397</x:v>
      </x:c>
      <x:c r="N176" s="56" t="n">
        <x:v>-1.89</x:v>
      </x:c>
      <x:c r="O176" s="56" t="n">
        <x:v>1.66</x:v>
      </x:c>
      <x:c r="P176" s="56" t="n">
        <x:v>1.25</x:v>
      </x:c>
      <x:c r="Q176" s="56" t="n">
        <x:v>93.3</x:v>
      </x:c>
      <x:c r="R176" t="str">
        <x:v>X</x:v>
      </x:c>
      <x:c r="S176" s="102" t="n">
        <x:v>100</x:v>
      </x:c>
      <x:c r="T176" t="str">
        <x:v>IN TARGET BAND</x:v>
      </x:c>
      <x:c r="U176" t="str">
        <x:f>IF(T176="IN TARGET BAND","Yes","No")</x:f>
        <x:v>Yes</x:v>
      </x:c>
      <x:c r="V176" t="n">
        <x:v>1896</x:v>
      </x:c>
      <x:c r="W176" t="str">
        <x:v>Pasted text(56).txt</x:v>
      </x:c>
    </x:row>
    <x:row r="177">
      <x:c r="A177" t="str">
        <x:v>S05</x:v>
      </x:c>
      <x:c r="B177" t="str">
        <x:v>1.28 validated five-run session</x:v>
      </x:c>
      <x:c r="C177" s="54" t="n">
        <x:v>1.28</x:v>
      </x:c>
      <x:c r="D177" t="n">
        <x:v>4</x:v>
      </x:c>
      <x:c r="E177" t="str">
        <x:v>PASS</x:v>
      </x:c>
      <x:c r="F177" t="n">
        <x:v>1</x:v>
      </x:c>
      <x:c r="G177" t="n">
        <x:v>6</x:v>
      </x:c>
      <x:c r="H177" s="54" t="n">
        <x:v>12.25</x:v>
      </x:c>
      <x:c r="I177" s="54" t="n">
        <x:v>1.26062</x:v>
      </x:c>
      <x:c r="J177" s="54" t="n">
        <x:v>1.25454</x:v>
      </x:c>
      <x:c r="K177" s="54" t="n">
        <x:v>0.43997</x:v>
      </x:c>
      <x:c r="L177" s="54" t="n">
        <x:v>0.71362</x:v>
      </x:c>
      <x:c r="M177" s="54" t="n">
        <x:v>1.50904</x:v>
      </x:c>
      <x:c r="N177" s="56" t="n">
        <x:v>-1.51</x:v>
      </x:c>
      <x:c r="O177" s="56" t="n">
        <x:v>0.16</x:v>
      </x:c>
      <x:c r="P177" s="56" t="n">
        <x:v>0.94</x:v>
      </x:c>
      <x:c r="Q177" s="56" t="n">
        <x:v>93.6</x:v>
      </x:c>
      <x:c r="R177" t="str">
        <x:v>X</x:v>
      </x:c>
      <x:c r="S177" s="102" t="n">
        <x:v>100</x:v>
      </x:c>
      <x:c r="T177" t="str">
        <x:v>IN TARGET BAND</x:v>
      </x:c>
      <x:c r="U177" t="str">
        <x:f>IF(T177="IN TARGET BAND","Yes","No")</x:f>
        <x:v>Yes</x:v>
      </x:c>
      <x:c r="V177" t="n">
        <x:v>1897</x:v>
      </x:c>
      <x:c r="W177" t="str">
        <x:v>Pasted text(56).txt</x:v>
      </x:c>
    </x:row>
    <x:row r="178">
      <x:c r="A178" t="str">
        <x:v>S05</x:v>
      </x:c>
      <x:c r="B178" t="str">
        <x:v>1.28 validated five-run session</x:v>
      </x:c>
      <x:c r="C178" s="54" t="n">
        <x:v>1.28</x:v>
      </x:c>
      <x:c r="D178" t="n">
        <x:v>4</x:v>
      </x:c>
      <x:c r="E178" t="str">
        <x:v>PASS</x:v>
      </x:c>
      <x:c r="F178" t="n">
        <x:v>1</x:v>
      </x:c>
      <x:c r="G178" t="n">
        <x:v>7</x:v>
      </x:c>
      <x:c r="H178" s="54" t="n">
        <x:v>12.25</x:v>
      </x:c>
      <x:c r="I178" s="54" t="n">
        <x:v>1.25566</x:v>
      </x:c>
      <x:c r="J178" s="54" t="n">
        <x:v>1.25431</x:v>
      </x:c>
      <x:c r="K178" s="54" t="n">
        <x:v>0.42762</x:v>
      </x:c>
      <x:c r="L178" s="54" t="n">
        <x:v>0.68984</x:v>
      </x:c>
      <x:c r="M178" s="54" t="n">
        <x:v>1.49416</x:v>
      </x:c>
      <x:c r="N178" s="56" t="n">
        <x:v>-1.9</x:v>
      </x:c>
      <x:c r="O178" s="56" t="n">
        <x:v>0.65</x:v>
      </x:c>
      <x:c r="P178" s="56" t="n">
        <x:v>0.61</x:v>
      </x:c>
      <x:c r="Q178" s="56" t="n">
        <x:v>93.4</x:v>
      </x:c>
      <x:c r="R178" t="str">
        <x:v>X</x:v>
      </x:c>
      <x:c r="S178" s="102" t="n">
        <x:v>100</x:v>
      </x:c>
      <x:c r="T178" t="str">
        <x:v>IN TARGET BAND</x:v>
      </x:c>
      <x:c r="U178" t="str">
        <x:f>IF(T178="IN TARGET BAND","Yes","No")</x:f>
        <x:v>Yes</x:v>
      </x:c>
      <x:c r="V178" t="n">
        <x:v>1898</x:v>
      </x:c>
      <x:c r="W178" t="str">
        <x:v>Pasted text(56).txt</x:v>
      </x:c>
    </x:row>
    <x:row r="179">
      <x:c r="A179" t="str">
        <x:v>S05</x:v>
      </x:c>
      <x:c r="B179" t="str">
        <x:v>1.28 validated five-run session</x:v>
      </x:c>
      <x:c r="C179" s="54" t="n">
        <x:v>1.28</x:v>
      </x:c>
      <x:c r="D179" t="n">
        <x:v>4</x:v>
      </x:c>
      <x:c r="E179" t="str">
        <x:v>PASS</x:v>
      </x:c>
      <x:c r="F179" t="n">
        <x:v>1</x:v>
      </x:c>
      <x:c r="G179" t="n">
        <x:v>8</x:v>
      </x:c>
      <x:c r="H179" s="54" t="n">
        <x:v>12.25</x:v>
      </x:c>
      <x:c r="I179" s="54" t="n">
        <x:v>1.24801</x:v>
      </x:c>
      <x:c r="J179" s="54" t="n">
        <x:v>1.24568</x:v>
      </x:c>
      <x:c r="K179" s="54" t="n">
        <x:v>0.42991</x:v>
      </x:c>
      <x:c r="L179" s="54" t="n">
        <x:v>0.69234</x:v>
      </x:c>
      <x:c r="M179" s="54" t="n">
        <x:v>1.48882</x:v>
      </x:c>
      <x:c r="N179" s="56" t="n">
        <x:v>-2.5</x:v>
      </x:c>
      <x:c r="O179" s="56" t="n">
        <x:v>0.79</x:v>
      </x:c>
      <x:c r="P179" s="56" t="n">
        <x:v>0.83</x:v>
      </x:c>
      <x:c r="Q179" s="56" t="n">
        <x:v>93.5</x:v>
      </x:c>
      <x:c r="R179" t="str">
        <x:v>X</x:v>
      </x:c>
      <x:c r="S179" s="102" t="n">
        <x:v>100</x:v>
      </x:c>
      <x:c r="T179" t="str">
        <x:v>IN TARGET BAND</x:v>
      </x:c>
      <x:c r="U179" t="str">
        <x:f>IF(T179="IN TARGET BAND","Yes","No")</x:f>
        <x:v>Yes</x:v>
      </x:c>
      <x:c r="V179" t="n">
        <x:v>1899</x:v>
      </x:c>
      <x:c r="W179" t="str">
        <x:v>Pasted text(56).txt</x:v>
      </x:c>
    </x:row>
    <x:row r="180">
      <x:c r="A180" t="str">
        <x:v>S05</x:v>
      </x:c>
      <x:c r="B180" t="str">
        <x:v>1.28 validated five-run session</x:v>
      </x:c>
      <x:c r="C180" s="54" t="n">
        <x:v>1.28</x:v>
      </x:c>
      <x:c r="D180" t="n">
        <x:v>4</x:v>
      </x:c>
      <x:c r="E180" t="str">
        <x:v>PASS</x:v>
      </x:c>
      <x:c r="F180" t="n">
        <x:v>1</x:v>
      </x:c>
      <x:c r="G180" t="n">
        <x:v>9</x:v>
      </x:c>
      <x:c r="H180" s="54" t="n">
        <x:v>12.25</x:v>
      </x:c>
      <x:c r="I180" s="54" t="n">
        <x:v>1.25761</x:v>
      </x:c>
      <x:c r="J180" s="54" t="n">
        <x:v>1.25862</x:v>
      </x:c>
      <x:c r="K180" s="54" t="n">
        <x:v>0.43071</x:v>
      </x:c>
      <x:c r="L180" s="54" t="n">
        <x:v>0.70994</x:v>
      </x:c>
      <x:c r="M180" s="54" t="n">
        <x:v>1.50817</x:v>
      </x:c>
      <x:c r="N180" s="56" t="n">
        <x:v>-1.75</x:v>
      </x:c>
      <x:c r="O180" s="56" t="n">
        <x:v>0.21</x:v>
      </x:c>
      <x:c r="P180" s="56" t="n">
        <x:v>0.27</x:v>
      </x:c>
      <x:c r="Q180" s="56" t="n">
        <x:v>93.8</x:v>
      </x:c>
      <x:c r="R180" t="str">
        <x:v>X</x:v>
      </x:c>
      <x:c r="S180" s="102" t="n">
        <x:v>100</x:v>
      </x:c>
      <x:c r="T180" t="str">
        <x:v>IN TARGET BAND</x:v>
      </x:c>
      <x:c r="U180" t="str">
        <x:f>IF(T180="IN TARGET BAND","Yes","No")</x:f>
        <x:v>Yes</x:v>
      </x:c>
      <x:c r="V180" t="n">
        <x:v>1900</x:v>
      </x:c>
      <x:c r="W180" t="str">
        <x:v>Pasted text(56).txt</x:v>
      </x:c>
    </x:row>
    <x:row r="181">
      <x:c r="A181" t="str">
        <x:v>S05</x:v>
      </x:c>
      <x:c r="B181" t="str">
        <x:v>1.28 validated five-run session</x:v>
      </x:c>
      <x:c r="C181" s="54" t="n">
        <x:v>1.28</x:v>
      </x:c>
      <x:c r="D181" t="n">
        <x:v>4</x:v>
      </x:c>
      <x:c r="E181" t="str">
        <x:v>PASS</x:v>
      </x:c>
      <x:c r="F181" t="n">
        <x:v>1</x:v>
      </x:c>
      <x:c r="G181" t="n">
        <x:v>10</x:v>
      </x:c>
      <x:c r="H181" s="54" t="n">
        <x:v>12.25</x:v>
      </x:c>
      <x:c r="I181" s="54" t="n">
        <x:v>1.24414</x:v>
      </x:c>
      <x:c r="J181" s="54" t="n">
        <x:v>1.24903</x:v>
      </x:c>
      <x:c r="K181" s="54" t="n">
        <x:v>0.41997</x:v>
      </x:c>
      <x:c r="L181" s="54" t="n">
        <x:v>0.70455</x:v>
      </x:c>
      <x:c r="M181" s="54" t="n">
        <x:v>1.49431</x:v>
      </x:c>
      <x:c r="N181" s="56" t="n">
        <x:v>-2.8</x:v>
      </x:c>
      <x:c r="O181" s="56" t="n">
        <x:v>0.41</x:v>
      </x:c>
      <x:c r="P181" s="56" t="n">
        <x:v>0.93</x:v>
      </x:c>
      <x:c r="Q181" s="56" t="n">
        <x:v>92.4</x:v>
      </x:c>
      <x:c r="R181" t="str">
        <x:v>X</x:v>
      </x:c>
      <x:c r="S181" s="102" t="n">
        <x:v>100</x:v>
      </x:c>
      <x:c r="T181" t="str">
        <x:v>IN TARGET BAND</x:v>
      </x:c>
      <x:c r="U181" t="str">
        <x:f>IF(T181="IN TARGET BAND","Yes","No")</x:f>
        <x:v>Yes</x:v>
      </x:c>
      <x:c r="V181" t="n">
        <x:v>1901</x:v>
      </x:c>
      <x:c r="W181" t="str">
        <x:v>Pasted text(56).txt</x:v>
      </x:c>
    </x:row>
    <x:row r="182">
      <x:c r="A182" t="str">
        <x:v>S05</x:v>
      </x:c>
      <x:c r="B182" t="str">
        <x:v>1.28 validated five-run session</x:v>
      </x:c>
      <x:c r="C182" s="54" t="n">
        <x:v>1.28</x:v>
      </x:c>
      <x:c r="D182" t="n">
        <x:v>5</x:v>
      </x:c>
      <x:c r="E182" t="str">
        <x:v>PASS</x:v>
      </x:c>
      <x:c r="F182" t="n">
        <x:v>1</x:v>
      </x:c>
      <x:c r="G182" t="n">
        <x:v>1</x:v>
      </x:c>
      <x:c r="H182" s="54" t="n">
        <x:v>12.5</x:v>
      </x:c>
      <x:c r="I182" s="54" t="n">
        <x:v>1.30499</x:v>
      </x:c>
      <x:c r="J182" s="54" t="n">
        <x:v>1.30209</x:v>
      </x:c>
      <x:c r="K182" s="54" t="n">
        <x:v>0.43783</x:v>
      </x:c>
      <x:c r="L182" s="54" t="n">
        <x:v>0.68143</x:v>
      </x:c>
      <x:c r="M182" s="54" t="n">
        <x:v>1.53378</x:v>
      </x:c>
      <x:c r="N182" s="56" t="n">
        <x:v>1.95</x:v>
      </x:c>
      <x:c r="O182" s="56" t="n">
        <x:v>0.46</x:v>
      </x:c>
      <x:c r="P182" s="56" t="n">
        <x:v>0.67</x:v>
      </x:c>
      <x:c r="Q182" s="56" t="n">
        <x:v>95.1</x:v>
      </x:c>
      <x:c r="R182" t="str">
        <x:v>X</x:v>
      </x:c>
      <x:c r="S182" s="102" t="n">
        <x:v>100</x:v>
      </x:c>
      <x:c r="T182" t="str">
        <x:v>IN TARGET BAND</x:v>
      </x:c>
      <x:c r="U182" t="str">
        <x:f>IF(T182="IN TARGET BAND","Yes","No")</x:f>
        <x:v>Yes</x:v>
      </x:c>
      <x:c r="V182" t="n">
        <x:v>1977</x:v>
      </x:c>
      <x:c r="W182" t="str">
        <x:v>Pasted text(56).txt</x:v>
      </x:c>
    </x:row>
    <x:row r="183">
      <x:c r="A183" t="str">
        <x:v>S05</x:v>
      </x:c>
      <x:c r="B183" t="str">
        <x:v>1.28 validated five-run session</x:v>
      </x:c>
      <x:c r="C183" s="54" t="n">
        <x:v>1.28</x:v>
      </x:c>
      <x:c r="D183" t="n">
        <x:v>5</x:v>
      </x:c>
      <x:c r="E183" t="str">
        <x:v>PASS</x:v>
      </x:c>
      <x:c r="F183" t="n">
        <x:v>1</x:v>
      </x:c>
      <x:c r="G183" t="n">
        <x:v>2</x:v>
      </x:c>
      <x:c r="H183" s="54" t="n">
        <x:v>12.5</x:v>
      </x:c>
      <x:c r="I183" s="54" t="n">
        <x:v>1.2761</x:v>
      </x:c>
      <x:c r="J183" s="54" t="n">
        <x:v>1.27382</x:v>
      </x:c>
      <x:c r="K183" s="54" t="n">
        <x:v>0.41888</x:v>
      </x:c>
      <x:c r="L183" s="54" t="n">
        <x:v>0.67274</x:v>
      </x:c>
      <x:c r="M183" s="54" t="n">
        <x:v>1.50053</x:v>
      </x:c>
      <x:c r="N183" s="56" t="n">
        <x:v>-0.3</x:v>
      </x:c>
      <x:c r="O183" s="56" t="n">
        <x:v>0.06</x:v>
      </x:c>
      <x:c r="P183" s="56" t="n">
        <x:v>0.35</x:v>
      </x:c>
      <x:c r="Q183" s="56" t="n">
        <x:v>93.6</x:v>
      </x:c>
      <x:c r="R183" t="str">
        <x:v>X</x:v>
      </x:c>
      <x:c r="S183" s="102" t="n">
        <x:v>100</x:v>
      </x:c>
      <x:c r="T183" t="str">
        <x:v>IN TARGET BAND</x:v>
      </x:c>
      <x:c r="U183" t="str">
        <x:f>IF(T183="IN TARGET BAND","Yes","No")</x:f>
        <x:v>Yes</x:v>
      </x:c>
      <x:c r="V183" t="n">
        <x:v>1978</x:v>
      </x:c>
      <x:c r="W183" t="str">
        <x:v>Pasted text(56).txt</x:v>
      </x:c>
    </x:row>
    <x:row r="184">
      <x:c r="A184" t="str">
        <x:v>S05</x:v>
      </x:c>
      <x:c r="B184" t="str">
        <x:v>1.28 validated five-run session</x:v>
      </x:c>
      <x:c r="C184" s="54" t="n">
        <x:v>1.28</x:v>
      </x:c>
      <x:c r="D184" t="n">
        <x:v>5</x:v>
      </x:c>
      <x:c r="E184" t="str">
        <x:v>PASS</x:v>
      </x:c>
      <x:c r="F184" t="n">
        <x:v>1</x:v>
      </x:c>
      <x:c r="G184" t="n">
        <x:v>3</x:v>
      </x:c>
      <x:c r="H184" s="54" t="n">
        <x:v>12.5</x:v>
      </x:c>
      <x:c r="I184" s="54" t="n">
        <x:v>1.30228</x:v>
      </x:c>
      <x:c r="J184" s="54" t="n">
        <x:v>1.30539</x:v>
      </x:c>
      <x:c r="K184" s="54" t="n">
        <x:v>0.43192</x:v>
      </x:c>
      <x:c r="L184" s="54" t="n">
        <x:v>0.68258</x:v>
      </x:c>
      <x:c r="M184" s="54" t="n">
        <x:v>1.53513</x:v>
      </x:c>
      <x:c r="N184" s="56" t="n">
        <x:v>1.74</x:v>
      </x:c>
      <x:c r="O184" s="56" t="n">
        <x:v>0.5</x:v>
      </x:c>
      <x:c r="P184" s="56" t="n">
        <x:v>0.73</x:v>
      </x:c>
      <x:c r="Q184" s="56" t="n">
        <x:v>94.1</x:v>
      </x:c>
      <x:c r="R184" t="str">
        <x:v>X</x:v>
      </x:c>
      <x:c r="S184" s="102" t="n">
        <x:v>100</x:v>
      </x:c>
      <x:c r="T184" t="str">
        <x:v>IN TARGET BAND</x:v>
      </x:c>
      <x:c r="U184" t="str">
        <x:f>IF(T184="IN TARGET BAND","Yes","No")</x:f>
        <x:v>Yes</x:v>
      </x:c>
      <x:c r="V184" t="n">
        <x:v>1979</x:v>
      </x:c>
      <x:c r="W184" t="str">
        <x:v>Pasted text(56).txt</x:v>
      </x:c>
    </x:row>
    <x:row r="185">
      <x:c r="A185" t="str">
        <x:v>S05</x:v>
      </x:c>
      <x:c r="B185" t="str">
        <x:v>1.28 validated five-run session</x:v>
      </x:c>
      <x:c r="C185" s="54" t="n">
        <x:v>1.28</x:v>
      </x:c>
      <x:c r="D185" t="n">
        <x:v>5</x:v>
      </x:c>
      <x:c r="E185" t="str">
        <x:v>PASS</x:v>
      </x:c>
      <x:c r="F185" t="n">
        <x:v>1</x:v>
      </x:c>
      <x:c r="G185" t="n">
        <x:v>4</x:v>
      </x:c>
      <x:c r="H185" s="54" t="n">
        <x:v>12.5</x:v>
      </x:c>
      <x:c r="I185" s="54" t="n">
        <x:v>1.27362</x:v>
      </x:c>
      <x:c r="J185" s="54" t="n">
        <x:v>1.27898</x:v>
      </x:c>
      <x:c r="K185" s="54" t="n">
        <x:v>0.45223</x:v>
      </x:c>
      <x:c r="L185" s="54" t="n">
        <x:v>0.68708</x:v>
      </x:c>
      <x:c r="M185" s="54" t="n">
        <x:v>1.52078</x:v>
      </x:c>
      <x:c r="N185" s="56" t="n">
        <x:v>-0.5</x:v>
      </x:c>
      <x:c r="O185" s="56" t="n">
        <x:v>0.76</x:v>
      </x:c>
      <x:c r="P185" s="56" t="n">
        <x:v>1.19</x:v>
      </x:c>
      <x:c r="Q185" s="56" t="n">
        <x:v>93.8</x:v>
      </x:c>
      <x:c r="R185" t="str">
        <x:v>X</x:v>
      </x:c>
      <x:c r="S185" s="102" t="n">
        <x:v>100</x:v>
      </x:c>
      <x:c r="T185" t="str">
        <x:v>IN TARGET BAND</x:v>
      </x:c>
      <x:c r="U185" t="str">
        <x:f>IF(T185="IN TARGET BAND","Yes","No")</x:f>
        <x:v>Yes</x:v>
      </x:c>
      <x:c r="V185" t="n">
        <x:v>1980</x:v>
      </x:c>
      <x:c r="W185" t="str">
        <x:v>Pasted text(56).txt</x:v>
      </x:c>
    </x:row>
    <x:row r="186">
      <x:c r="A186" t="str">
        <x:v>S05</x:v>
      </x:c>
      <x:c r="B186" t="str">
        <x:v>1.28 validated five-run session</x:v>
      </x:c>
      <x:c r="C186" s="54" t="n">
        <x:v>1.28</x:v>
      </x:c>
      <x:c r="D186" t="n">
        <x:v>5</x:v>
      </x:c>
      <x:c r="E186" t="str">
        <x:v>PASS</x:v>
      </x:c>
      <x:c r="F186" t="n">
        <x:v>1</x:v>
      </x:c>
      <x:c r="G186" t="n">
        <x:v>5</x:v>
      </x:c>
      <x:c r="H186" s="54" t="n">
        <x:v>12.5</x:v>
      </x:c>
      <x:c r="I186" s="54" t="n">
        <x:v>1.27033</x:v>
      </x:c>
      <x:c r="J186" s="54" t="n">
        <x:v>1.26812</x:v>
      </x:c>
      <x:c r="K186" s="54" t="n">
        <x:v>0.43173</x:v>
      </x:c>
      <x:c r="L186" s="54" t="n">
        <x:v>0.70995</x:v>
      </x:c>
      <x:c r="M186" s="54" t="n">
        <x:v>1.5164</x:v>
      </x:c>
      <x:c r="N186" s="56" t="n">
        <x:v>-0.76</x:v>
      </x:c>
      <x:c r="O186" s="56" t="n">
        <x:v>0.82</x:v>
      </x:c>
      <x:c r="P186" s="56" t="n">
        <x:v>0.83</x:v>
      </x:c>
      <x:c r="Q186" s="56" t="n">
        <x:v>93.3</x:v>
      </x:c>
      <x:c r="R186" t="str">
        <x:v>X</x:v>
      </x:c>
      <x:c r="S186" s="102" t="n">
        <x:v>100</x:v>
      </x:c>
      <x:c r="T186" t="str">
        <x:v>IN TARGET BAND</x:v>
      </x:c>
      <x:c r="U186" t="str">
        <x:f>IF(T186="IN TARGET BAND","Yes","No")</x:f>
        <x:v>Yes</x:v>
      </x:c>
      <x:c r="V186" t="n">
        <x:v>1981</x:v>
      </x:c>
      <x:c r="W186" t="str">
        <x:v>Pasted text(56).txt</x:v>
      </x:c>
    </x:row>
    <x:row r="187">
      <x:c r="A187" t="str">
        <x:v>S05</x:v>
      </x:c>
      <x:c r="B187" t="str">
        <x:v>1.28 validated five-run session</x:v>
      </x:c>
      <x:c r="C187" s="54" t="n">
        <x:v>1.28</x:v>
      </x:c>
      <x:c r="D187" t="n">
        <x:v>5</x:v>
      </x:c>
      <x:c r="E187" t="str">
        <x:v>PASS</x:v>
      </x:c>
      <x:c r="F187" t="n">
        <x:v>1</x:v>
      </x:c>
      <x:c r="G187" t="n">
        <x:v>6</x:v>
      </x:c>
      <x:c r="H187" s="54" t="n">
        <x:v>12.5</x:v>
      </x:c>
      <x:c r="I187" s="54" t="n">
        <x:v>1.26458</x:v>
      </x:c>
      <x:c r="J187" s="54" t="n">
        <x:v>1.26288</x:v>
      </x:c>
      <x:c r="K187" s="54" t="n">
        <x:v>0.43093</x:v>
      </x:c>
      <x:c r="L187" s="54" t="n">
        <x:v>0.71321</x:v>
      </x:c>
      <x:c r="M187" s="54" t="n">
        <x:v>1.5131</x:v>
      </x:c>
      <x:c r="N187" s="56" t="n">
        <x:v>-1.2</x:v>
      </x:c>
      <x:c r="O187" s="56" t="n">
        <x:v>0.06</x:v>
      </x:c>
      <x:c r="P187" s="56" t="n">
        <x:v>0.27</x:v>
      </x:c>
      <x:c r="Q187" s="56" t="n">
        <x:v>92.7</x:v>
      </x:c>
      <x:c r="R187" t="str">
        <x:v>X</x:v>
      </x:c>
      <x:c r="S187" s="102" t="n">
        <x:v>100</x:v>
      </x:c>
      <x:c r="T187" t="str">
        <x:v>IN TARGET BAND</x:v>
      </x:c>
      <x:c r="U187" t="str">
        <x:f>IF(T187="IN TARGET BAND","Yes","No")</x:f>
        <x:v>Yes</x:v>
      </x:c>
      <x:c r="V187" t="n">
        <x:v>1982</x:v>
      </x:c>
      <x:c r="W187" t="str">
        <x:v>Pasted text(56).txt</x:v>
      </x:c>
    </x:row>
    <x:row r="188">
      <x:c r="A188" t="str">
        <x:v>S05</x:v>
      </x:c>
      <x:c r="B188" t="str">
        <x:v>1.28 validated five-run session</x:v>
      </x:c>
      <x:c r="C188" s="54" t="n">
        <x:v>1.28</x:v>
      </x:c>
      <x:c r="D188" t="n">
        <x:v>5</x:v>
      </x:c>
      <x:c r="E188" t="str">
        <x:v>PASS</x:v>
      </x:c>
      <x:c r="F188" t="n">
        <x:v>1</x:v>
      </x:c>
      <x:c r="G188" t="n">
        <x:v>7</x:v>
      </x:c>
      <x:c r="H188" s="54" t="n">
        <x:v>12.5</x:v>
      </x:c>
      <x:c r="I188" s="54" t="n">
        <x:v>1.28213</x:v>
      </x:c>
      <x:c r="J188" s="54" t="n">
        <x:v>1.28716</x:v>
      </x:c>
      <x:c r="K188" s="54" t="n">
        <x:v>0.44328</x:v>
      </x:c>
      <x:c r="L188" s="54" t="n">
        <x:v>0.7064</x:v>
      </x:c>
      <x:c r="M188" s="54" t="n">
        <x:v>1.53384</x:v>
      </x:c>
      <x:c r="N188" s="56" t="n">
        <x:v>0.17</x:v>
      </x:c>
      <x:c r="O188" s="56" t="n">
        <x:v>0.45</x:v>
      </x:c>
      <x:c r="P188" s="56" t="n">
        <x:v>0.95</x:v>
      </x:c>
      <x:c r="Q188" s="56" t="n">
        <x:v>93.7</x:v>
      </x:c>
      <x:c r="R188" t="str">
        <x:v>X</x:v>
      </x:c>
      <x:c r="S188" s="102" t="n">
        <x:v>100</x:v>
      </x:c>
      <x:c r="T188" t="str">
        <x:v>IN TARGET BAND</x:v>
      </x:c>
      <x:c r="U188" t="str">
        <x:f>IF(T188="IN TARGET BAND","Yes","No")</x:f>
        <x:v>Yes</x:v>
      </x:c>
      <x:c r="V188" t="n">
        <x:v>1983</x:v>
      </x:c>
      <x:c r="W188" t="str">
        <x:v>Pasted text(56).txt</x:v>
      </x:c>
    </x:row>
    <x:row r="189">
      <x:c r="A189" t="str">
        <x:v>S05</x:v>
      </x:c>
      <x:c r="B189" t="str">
        <x:v>1.28 validated five-run session</x:v>
      </x:c>
      <x:c r="C189" s="54" t="n">
        <x:v>1.28</x:v>
      </x:c>
      <x:c r="D189" t="n">
        <x:v>5</x:v>
      </x:c>
      <x:c r="E189" t="str">
        <x:v>PASS</x:v>
      </x:c>
      <x:c r="F189" t="n">
        <x:v>1</x:v>
      </x:c>
      <x:c r="G189" t="n">
        <x:v>8</x:v>
      </x:c>
      <x:c r="H189" s="54" t="n">
        <x:v>12.5</x:v>
      </x:c>
      <x:c r="I189" s="54" t="n">
        <x:v>1.2692</x:v>
      </x:c>
      <x:c r="J189" s="54" t="n">
        <x:v>1.26826</x:v>
      </x:c>
      <x:c r="K189" s="54" t="n">
        <x:v>0.42685</x:v>
      </x:c>
      <x:c r="L189" s="54" t="n">
        <x:v>0.69084</x:v>
      </x:c>
      <x:c r="M189" s="54" t="n">
        <x:v>1.50618</x:v>
      </x:c>
      <x:c r="N189" s="56" t="n">
        <x:v>-0.84</x:v>
      </x:c>
      <x:c r="O189" s="56" t="n">
        <x:v>0.45</x:v>
      </x:c>
      <x:c r="P189" s="56" t="n">
        <x:v>0.42</x:v>
      </x:c>
      <x:c r="Q189" s="56" t="n">
        <x:v>92.5</x:v>
      </x:c>
      <x:c r="R189" t="str">
        <x:v>X</x:v>
      </x:c>
      <x:c r="S189" s="102" t="n">
        <x:v>100</x:v>
      </x:c>
      <x:c r="T189" t="str">
        <x:v>IN TARGET BAND</x:v>
      </x:c>
      <x:c r="U189" t="str">
        <x:f>IF(T189="IN TARGET BAND","Yes","No")</x:f>
        <x:v>Yes</x:v>
      </x:c>
      <x:c r="V189" t="n">
        <x:v>1984</x:v>
      </x:c>
      <x:c r="W189" t="str">
        <x:v>Pasted text(56).txt</x:v>
      </x:c>
    </x:row>
    <x:row r="190">
      <x:c r="A190" t="str">
        <x:v>S05</x:v>
      </x:c>
      <x:c r="B190" t="str">
        <x:v>1.28 validated five-run session</x:v>
      </x:c>
      <x:c r="C190" s="54" t="n">
        <x:v>1.28</x:v>
      </x:c>
      <x:c r="D190" t="n">
        <x:v>5</x:v>
      </x:c>
      <x:c r="E190" t="str">
        <x:v>PASS</x:v>
      </x:c>
      <x:c r="F190" t="n">
        <x:v>1</x:v>
      </x:c>
      <x:c r="G190" t="n">
        <x:v>9</x:v>
      </x:c>
      <x:c r="H190" s="54" t="n">
        <x:v>12.5</x:v>
      </x:c>
      <x:c r="I190" s="54" t="n">
        <x:v>1.27345</x:v>
      </x:c>
      <x:c r="J190" s="54" t="n">
        <x:v>1.2694</x:v>
      </x:c>
      <x:c r="K190" s="54" t="n">
        <x:v>0.44952</x:v>
      </x:c>
      <x:c r="L190" s="54" t="n">
        <x:v>0.69075</x:v>
      </x:c>
      <x:c r="M190" s="54" t="n">
        <x:v>1.51361</x:v>
      </x:c>
      <x:c r="N190" s="56" t="n">
        <x:v>-0.51</x:v>
      </x:c>
      <x:c r="O190" s="56" t="n">
        <x:v>0.43</x:v>
      </x:c>
      <x:c r="P190" s="56" t="n">
        <x:v>0.82</x:v>
      </x:c>
      <x:c r="Q190" s="56" t="n">
        <x:v>92.4</x:v>
      </x:c>
      <x:c r="R190" t="str">
        <x:v>X</x:v>
      </x:c>
      <x:c r="S190" s="102" t="n">
        <x:v>100</x:v>
      </x:c>
      <x:c r="T190" t="str">
        <x:v>IN TARGET BAND</x:v>
      </x:c>
      <x:c r="U190" t="str">
        <x:f>IF(T190="IN TARGET BAND","Yes","No")</x:f>
        <x:v>Yes</x:v>
      </x:c>
      <x:c r="V190" t="n">
        <x:v>1985</x:v>
      </x:c>
      <x:c r="W190" t="str">
        <x:v>Pasted text(56).txt</x:v>
      </x:c>
    </x:row>
    <x:row r="191">
      <x:c r="A191" t="str">
        <x:v>S05</x:v>
      </x:c>
      <x:c r="B191" t="str">
        <x:v>1.28 validated five-run session</x:v>
      </x:c>
      <x:c r="C191" s="54" t="n">
        <x:v>1.28</x:v>
      </x:c>
      <x:c r="D191" t="n">
        <x:v>5</x:v>
      </x:c>
      <x:c r="E191" t="str">
        <x:v>PASS</x:v>
      </x:c>
      <x:c r="F191" t="n">
        <x:v>1</x:v>
      </x:c>
      <x:c r="G191" t="n">
        <x:v>10</x:v>
      </x:c>
      <x:c r="H191" s="54" t="n">
        <x:v>12.5</x:v>
      </x:c>
      <x:c r="I191" s="54" t="n">
        <x:v>1.2815</x:v>
      </x:c>
      <x:c r="J191" s="54" t="n">
        <x:v>1.28066</x:v>
      </x:c>
      <x:c r="K191" s="54" t="n">
        <x:v>0.43934</x:v>
      </x:c>
      <x:c r="L191" s="54" t="n">
        <x:v>0.70419</x:v>
      </x:c>
      <x:c r="M191" s="54" t="n">
        <x:v>1.52627</x:v>
      </x:c>
      <x:c r="N191" s="56" t="n">
        <x:v>0.12</x:v>
      </x:c>
      <x:c r="O191" s="56" t="n">
        <x:v>1.28</x:v>
      </x:c>
      <x:c r="P191" s="56" t="n">
        <x:v>0.97</x:v>
      </x:c>
      <x:c r="Q191" s="56" t="n">
        <x:v>93.6</x:v>
      </x:c>
      <x:c r="R191" t="str">
        <x:v>X</x:v>
      </x:c>
      <x:c r="S191" s="102" t="n">
        <x:v>100</x:v>
      </x:c>
      <x:c r="T191" t="str">
        <x:v>IN TARGET BAND</x:v>
      </x:c>
      <x:c r="U191" t="str">
        <x:f>IF(T191="IN TARGET BAND","Yes","No")</x:f>
        <x:v>Yes</x:v>
      </x:c>
      <x:c r="V191" t="n">
        <x:v>1986</x:v>
      </x:c>
      <x:c r="W191" t="str">
        <x:v>Pasted text(56).txt</x:v>
      </x:c>
    </x:row>
    <x:row r="192">
      <x:c r="A192" t="str">
        <x:v>S06</x:v>
      </x:c>
      <x:c r="B192" t="str">
        <x:v>0.30 low-amplitude limit validation</x:v>
      </x:c>
      <x:c r="C192" s="54" t="n">
        <x:v>0.3</x:v>
      </x:c>
      <x:c r="D192" t="n">
        <x:v>1</x:v>
      </x:c>
      <x:c r="E192" t="str">
        <x:v>PASS</x:v>
      </x:c>
      <x:c r="F192" t="n">
        <x:v>1</x:v>
      </x:c>
      <x:c r="G192" t="n">
        <x:v>1</x:v>
      </x:c>
      <x:c r="H192" s="54" t="n">
        <x:v>4.75</x:v>
      </x:c>
      <x:c r="I192" s="54" t="n">
        <x:v>0.32289</x:v>
      </x:c>
      <x:c r="J192" s="54" t="n">
        <x:v>0.31283</x:v>
      </x:c>
      <x:c r="K192" s="54" t="n">
        <x:v>0.12564</x:v>
      </x:c>
      <x:c r="L192" s="54" t="n">
        <x:v>0.19226</x:v>
      </x:c>
      <x:c r="M192" s="54" t="n">
        <x:v>0.38887</x:v>
      </x:c>
      <x:c r="N192" s="56" t="n">
        <x:v>7.63</x:v>
      </x:c>
      <x:c r="O192" s="56" t="n">
        <x:v>0.17</x:v>
      </x:c>
      <x:c r="P192" s="56" t="n">
        <x:v>5.67</x:v>
      </x:c>
      <x:c r="Q192" s="56" t="n">
        <x:v>80.5</x:v>
      </x:c>
      <x:c r="R192" t="str">
        <x:v>X</x:v>
      </x:c>
      <x:c r="S192" s="102" t="n">
        <x:v>100</x:v>
      </x:c>
      <x:c r="T192" t="str">
        <x:v>VALID</x:v>
      </x:c>
      <x:c r="U192" t="str">
        <x:f>IF(T192="IN TARGET BAND","Yes","No")</x:f>
        <x:v>No</x:v>
      </x:c>
      <x:c r="V192" t="n">
        <x:v>2093</x:v>
      </x:c>
      <x:c r="W192" t="str">
        <x:v>Pasted text(56).txt</x:v>
      </x:c>
    </x:row>
    <x:row r="193">
      <x:c r="A193" t="str">
        <x:v>S06</x:v>
      </x:c>
      <x:c r="B193" t="str">
        <x:v>0.30 low-amplitude limit validation</x:v>
      </x:c>
      <x:c r="C193" s="54" t="n">
        <x:v>0.3</x:v>
      </x:c>
      <x:c r="D193" t="n">
        <x:v>1</x:v>
      </x:c>
      <x:c r="E193" t="str">
        <x:v>PASS</x:v>
      </x:c>
      <x:c r="F193" t="n">
        <x:v>1</x:v>
      </x:c>
      <x:c r="G193" t="n">
        <x:v>2</x:v>
      </x:c>
      <x:c r="H193" s="54" t="n">
        <x:v>4.75</x:v>
      </x:c>
      <x:c r="I193" s="54" t="n">
        <x:v>0.30076</x:v>
      </x:c>
      <x:c r="J193" s="54" t="n">
        <x:v>0.305</x:v>
      </x:c>
      <x:c r="K193" s="54" t="n">
        <x:v>0.14329</x:v>
      </x:c>
      <x:c r="L193" s="54" t="n">
        <x:v>0.20021</x:v>
      </x:c>
      <x:c r="M193" s="54" t="n">
        <x:v>0.39259</x:v>
      </x:c>
      <x:c r="N193" s="56" t="n">
        <x:v>0.25</x:v>
      </x:c>
      <x:c r="O193" s="56" t="n">
        <x:v>0.1</x:v>
      </x:c>
      <x:c r="P193" s="56" t="n">
        <x:v>2.47</x:v>
      </x:c>
      <x:c r="Q193" s="56" t="n">
        <x:v>77.9</x:v>
      </x:c>
      <x:c r="R193" t="str">
        <x:v>X</x:v>
      </x:c>
      <x:c r="S193" s="102" t="n">
        <x:v>100</x:v>
      </x:c>
      <x:c r="T193" t="str">
        <x:v>IN TARGET BAND</x:v>
      </x:c>
      <x:c r="U193" t="str">
        <x:f>IF(T193="IN TARGET BAND","Yes","No")</x:f>
        <x:v>Yes</x:v>
      </x:c>
      <x:c r="V193" t="n">
        <x:v>2094</x:v>
      </x:c>
      <x:c r="W193" t="str">
        <x:v>Pasted text(56).txt</x:v>
      </x:c>
    </x:row>
    <x:row r="194">
      <x:c r="A194" t="str">
        <x:v>S06</x:v>
      </x:c>
      <x:c r="B194" t="str">
        <x:v>0.30 low-amplitude limit validation</x:v>
      </x:c>
      <x:c r="C194" s="54" t="n">
        <x:v>0.3</x:v>
      </x:c>
      <x:c r="D194" t="n">
        <x:v>1</x:v>
      </x:c>
      <x:c r="E194" t="str">
        <x:v>PASS</x:v>
      </x:c>
      <x:c r="F194" t="n">
        <x:v>1</x:v>
      </x:c>
      <x:c r="G194" t="n">
        <x:v>3</x:v>
      </x:c>
      <x:c r="H194" s="54" t="n">
        <x:v>4.75</x:v>
      </x:c>
      <x:c r="I194" s="54" t="n">
        <x:v>0.2939</x:v>
      </x:c>
      <x:c r="J194" s="54" t="n">
        <x:v>0.29938</x:v>
      </x:c>
      <x:c r="K194" s="54" t="n">
        <x:v>0.13433</x:v>
      </x:c>
      <x:c r="L194" s="54" t="n">
        <x:v>0.20478</x:v>
      </x:c>
      <x:c r="M194" s="54" t="n">
        <x:v>0.38762</x:v>
      </x:c>
      <x:c r="N194" s="56" t="n">
        <x:v>-2.03</x:v>
      </x:c>
      <x:c r="O194" s="56" t="n">
        <x:v>5.01</x:v>
      </x:c>
      <x:c r="P194" s="56" t="n">
        <x:v>6.27</x:v>
      </x:c>
      <x:c r="Q194" s="56" t="n">
        <x:v>76.9</x:v>
      </x:c>
      <x:c r="R194" t="str">
        <x:v>X</x:v>
      </x:c>
      <x:c r="S194" s="102" t="n">
        <x:v>100</x:v>
      </x:c>
      <x:c r="T194" t="str">
        <x:v>IN TARGET BAND</x:v>
      </x:c>
      <x:c r="U194" t="str">
        <x:f>IF(T194="IN TARGET BAND","Yes","No")</x:f>
        <x:v>Yes</x:v>
      </x:c>
      <x:c r="V194" t="n">
        <x:v>2095</x:v>
      </x:c>
      <x:c r="W194" t="str">
        <x:v>Pasted text(56).txt</x:v>
      </x:c>
    </x:row>
    <x:row r="195">
      <x:c r="A195" t="str">
        <x:v>S06</x:v>
      </x:c>
      <x:c r="B195" t="str">
        <x:v>0.30 low-amplitude limit validation</x:v>
      </x:c>
      <x:c r="C195" s="54" t="n">
        <x:v>0.3</x:v>
      </x:c>
      <x:c r="D195" t="n">
        <x:v>1</x:v>
      </x:c>
      <x:c r="E195" t="str">
        <x:v>PASS</x:v>
      </x:c>
      <x:c r="F195" t="n">
        <x:v>1</x:v>
      </x:c>
      <x:c r="G195" t="n">
        <x:v>4</x:v>
      </x:c>
      <x:c r="H195" s="54" t="n">
        <x:v>4.75</x:v>
      </x:c>
      <x:c r="I195" s="54" t="n">
        <x:v>0.31884</x:v>
      </x:c>
      <x:c r="J195" s="54" t="n">
        <x:v>0.31999</x:v>
      </x:c>
      <x:c r="K195" s="54" t="n">
        <x:v>0.13282</x:v>
      </x:c>
      <x:c r="L195" s="54" t="n">
        <x:v>0.20907</x:v>
      </x:c>
      <x:c r="M195" s="54" t="n">
        <x:v>0.40469</x:v>
      </x:c>
      <x:c r="N195" s="56" t="n">
        <x:v>6.28</x:v>
      </x:c>
      <x:c r="O195" s="56" t="n">
        <x:v>7.7</x:v>
      </x:c>
      <x:c r="P195" s="56" t="n">
        <x:v>5.72</x:v>
      </x:c>
      <x:c r="Q195" s="56" t="n">
        <x:v>79.8</x:v>
      </x:c>
      <x:c r="R195" t="str">
        <x:v>X</x:v>
      </x:c>
      <x:c r="S195" s="102" t="n">
        <x:v>100</x:v>
      </x:c>
      <x:c r="T195" t="str">
        <x:v>IN TARGET BAND</x:v>
      </x:c>
      <x:c r="U195" t="str">
        <x:f>IF(T195="IN TARGET BAND","Yes","No")</x:f>
        <x:v>Yes</x:v>
      </x:c>
      <x:c r="V195" t="n">
        <x:v>2096</x:v>
      </x:c>
      <x:c r="W195" t="str">
        <x:v>Pasted text(56).txt</x:v>
      </x:c>
    </x:row>
    <x:row r="196">
      <x:c r="A196" t="str">
        <x:v>S06</x:v>
      </x:c>
      <x:c r="B196" t="str">
        <x:v>0.30 low-amplitude limit validation</x:v>
      </x:c>
      <x:c r="C196" s="54" t="n">
        <x:v>0.3</x:v>
      </x:c>
      <x:c r="D196" t="n">
        <x:v>1</x:v>
      </x:c>
      <x:c r="E196" t="str">
        <x:v>PASS</x:v>
      </x:c>
      <x:c r="F196" t="n">
        <x:v>1</x:v>
      </x:c>
      <x:c r="G196" t="n">
        <x:v>5</x:v>
      </x:c>
      <x:c r="H196" s="54" t="n">
        <x:v>4.75</x:v>
      </x:c>
      <x:c r="I196" s="54" t="n">
        <x:v>0.30207</x:v>
      </x:c>
      <x:c r="J196" s="54" t="n">
        <x:v>0.31128</x:v>
      </x:c>
      <x:c r="K196" s="54" t="n">
        <x:v>0.1209</x:v>
      </x:c>
      <x:c r="L196" s="54" t="n">
        <x:v>0.2026</x:v>
      </x:c>
      <x:c r="M196" s="54" t="n">
        <x:v>0.39159</x:v>
      </x:c>
      <x:c r="N196" s="56" t="n">
        <x:v>0.69</x:v>
      </x:c>
      <x:c r="O196" s="56" t="n">
        <x:v>0.21</x:v>
      </x:c>
      <x:c r="P196" s="56" t="n">
        <x:v>5.24</x:v>
      </x:c>
      <x:c r="Q196" s="56" t="n">
        <x:v>79.3</x:v>
      </x:c>
      <x:c r="R196" t="str">
        <x:v>X</x:v>
      </x:c>
      <x:c r="S196" s="102" t="n">
        <x:v>100</x:v>
      </x:c>
      <x:c r="T196" t="str">
        <x:v>IN TARGET BAND</x:v>
      </x:c>
      <x:c r="U196" t="str">
        <x:f>IF(T196="IN TARGET BAND","Yes","No")</x:f>
        <x:v>Yes</x:v>
      </x:c>
      <x:c r="V196" t="n">
        <x:v>2097</x:v>
      </x:c>
      <x:c r="W196" t="str">
        <x:v>Pasted text(56).txt</x:v>
      </x:c>
    </x:row>
    <x:row r="197">
      <x:c r="A197" t="str">
        <x:v>S06</x:v>
      </x:c>
      <x:c r="B197" t="str">
        <x:v>0.30 low-amplitude limit validation</x:v>
      </x:c>
      <x:c r="C197" s="54" t="n">
        <x:v>0.3</x:v>
      </x:c>
      <x:c r="D197" t="n">
        <x:v>1</x:v>
      </x:c>
      <x:c r="E197" t="str">
        <x:v>PASS</x:v>
      </x:c>
      <x:c r="F197" t="n">
        <x:v>1</x:v>
      </x:c>
      <x:c r="G197" t="n">
        <x:v>6</x:v>
      </x:c>
      <x:c r="H197" s="54" t="n">
        <x:v>4.75</x:v>
      </x:c>
      <x:c r="I197" s="54" t="n">
        <x:v>0.30547</x:v>
      </x:c>
      <x:c r="J197" s="54" t="n">
        <x:v>0.30519</x:v>
      </x:c>
      <x:c r="K197" s="54" t="n">
        <x:v>0.11926</x:v>
      </x:c>
      <x:c r="L197" s="54" t="n">
        <x:v>0.20161</x:v>
      </x:c>
      <x:c r="M197" s="54" t="n">
        <x:v>0.38512</x:v>
      </x:c>
      <x:c r="N197" s="56" t="n">
        <x:v>1.82</x:v>
      </x:c>
      <x:c r="O197" s="56" t="n">
        <x:v>0</x:v>
      </x:c>
      <x:c r="P197" s="56" t="n">
        <x:v>0.16</x:v>
      </x:c>
      <x:c r="Q197" s="56" t="n">
        <x:v>77.4</x:v>
      </x:c>
      <x:c r="R197" t="str">
        <x:v>X</x:v>
      </x:c>
      <x:c r="S197" s="102" t="n">
        <x:v>100</x:v>
      </x:c>
      <x:c r="T197" t="str">
        <x:v>IN TARGET BAND</x:v>
      </x:c>
      <x:c r="U197" t="str">
        <x:f>IF(T197="IN TARGET BAND","Yes","No")</x:f>
        <x:v>Yes</x:v>
      </x:c>
      <x:c r="V197" t="n">
        <x:v>2098</x:v>
      </x:c>
      <x:c r="W197" t="str">
        <x:v>Pasted text(56).txt</x:v>
      </x:c>
    </x:row>
    <x:row r="198">
      <x:c r="A198" t="str">
        <x:v>S06</x:v>
      </x:c>
      <x:c r="B198" t="str">
        <x:v>0.30 low-amplitude limit validation</x:v>
      </x:c>
      <x:c r="C198" s="54" t="n">
        <x:v>0.3</x:v>
      </x:c>
      <x:c r="D198" t="n">
        <x:v>1</x:v>
      </x:c>
      <x:c r="E198" t="str">
        <x:v>PASS</x:v>
      </x:c>
      <x:c r="F198" t="n">
        <x:v>1</x:v>
      </x:c>
      <x:c r="G198" t="n">
        <x:v>7</x:v>
      </x:c>
      <x:c r="H198" s="54" t="n">
        <x:v>4.75</x:v>
      </x:c>
      <x:c r="I198" s="54" t="n">
        <x:v>0.30354</x:v>
      </x:c>
      <x:c r="J198" s="54" t="n">
        <x:v>0.30596</x:v>
      </x:c>
      <x:c r="K198" s="54" t="n">
        <x:v>0.13588</x:v>
      </x:c>
      <x:c r="L198" s="54" t="n">
        <x:v>0.20696</x:v>
      </x:c>
      <x:c r="M198" s="54" t="n">
        <x:v>0.39388</x:v>
      </x:c>
      <x:c r="N198" s="56" t="n">
        <x:v>1.18</x:v>
      </x:c>
      <x:c r="O198" s="56" t="n">
        <x:v>0.29</x:v>
      </x:c>
      <x:c r="P198" s="56" t="n">
        <x:v>1.54</x:v>
      </x:c>
      <x:c r="Q198" s="56" t="n">
        <x:v>77.3</x:v>
      </x:c>
      <x:c r="R198" t="str">
        <x:v>X</x:v>
      </x:c>
      <x:c r="S198" s="102" t="n">
        <x:v>100</x:v>
      </x:c>
      <x:c r="T198" t="str">
        <x:v>IN TARGET BAND</x:v>
      </x:c>
      <x:c r="U198" t="str">
        <x:f>IF(T198="IN TARGET BAND","Yes","No")</x:f>
        <x:v>Yes</x:v>
      </x:c>
      <x:c r="V198" t="n">
        <x:v>2099</x:v>
      </x:c>
      <x:c r="W198" t="str">
        <x:v>Pasted text(56).txt</x:v>
      </x:c>
    </x:row>
    <x:row r="199">
      <x:c r="A199" t="str">
        <x:v>S06</x:v>
      </x:c>
      <x:c r="B199" t="str">
        <x:v>0.30 low-amplitude limit validation</x:v>
      </x:c>
      <x:c r="C199" s="54" t="n">
        <x:v>0.3</x:v>
      </x:c>
      <x:c r="D199" t="n">
        <x:v>1</x:v>
      </x:c>
      <x:c r="E199" t="str">
        <x:v>PASS</x:v>
      </x:c>
      <x:c r="F199" t="n">
        <x:v>1</x:v>
      </x:c>
      <x:c r="G199" t="n">
        <x:v>8</x:v>
      </x:c>
      <x:c r="H199" s="54" t="n">
        <x:v>4.75</x:v>
      </x:c>
      <x:c r="I199" s="54" t="n">
        <x:v>0.32548</x:v>
      </x:c>
      <x:c r="J199" s="54" t="n">
        <x:v>0.32188</x:v>
      </x:c>
      <x:c r="K199" s="54" t="n">
        <x:v>0.14155</x:v>
      </x:c>
      <x:c r="L199" s="54" t="n">
        <x:v>0.2308</x:v>
      </x:c>
      <x:c r="M199" s="54" t="n">
        <x:v>0.42089</x:v>
      </x:c>
      <x:c r="N199" s="56" t="n">
        <x:v>8.49</x:v>
      </x:c>
      <x:c r="O199" s="56" t="n">
        <x:v>3.19</x:v>
      </x:c>
      <x:c r="P199" s="56" t="n">
        <x:v>3.97</x:v>
      </x:c>
      <x:c r="Q199" s="56" t="n">
        <x:v>81</x:v>
      </x:c>
      <x:c r="R199" t="str">
        <x:v>X</x:v>
      </x:c>
      <x:c r="S199" s="102" t="n">
        <x:v>100</x:v>
      </x:c>
      <x:c r="T199" t="str">
        <x:v>VALID</x:v>
      </x:c>
      <x:c r="U199" t="str">
        <x:f>IF(T199="IN TARGET BAND","Yes","No")</x:f>
        <x:v>No</x:v>
      </x:c>
      <x:c r="V199" t="n">
        <x:v>2100</x:v>
      </x:c>
      <x:c r="W199" t="str">
        <x:v>Pasted text(56).txt</x:v>
      </x:c>
    </x:row>
    <x:row r="200">
      <x:c r="A200" t="str">
        <x:v>S06</x:v>
      </x:c>
      <x:c r="B200" t="str">
        <x:v>0.30 low-amplitude limit validation</x:v>
      </x:c>
      <x:c r="C200" s="54" t="n">
        <x:v>0.3</x:v>
      </x:c>
      <x:c r="D200" t="n">
        <x:v>1</x:v>
      </x:c>
      <x:c r="E200" t="str">
        <x:v>PASS</x:v>
      </x:c>
      <x:c r="F200" t="n">
        <x:v>1</x:v>
      </x:c>
      <x:c r="G200" t="n">
        <x:v>9</x:v>
      </x:c>
      <x:c r="H200" s="54" t="n">
        <x:v>4.75</x:v>
      </x:c>
      <x:c r="I200" s="54" t="n">
        <x:v>0.32148</x:v>
      </x:c>
      <x:c r="J200" s="54" t="n">
        <x:v>0.31456</x:v>
      </x:c>
      <x:c r="K200" s="54" t="n">
        <x:v>0.12636</x:v>
      </x:c>
      <x:c r="L200" s="54" t="n">
        <x:v>0.22141</x:v>
      </x:c>
      <x:c r="M200" s="54" t="n">
        <x:v>0.40505</x:v>
      </x:c>
      <x:c r="N200" s="56" t="n">
        <x:v>7.16</x:v>
      </x:c>
      <x:c r="O200" s="56" t="n">
        <x:v>1.4</x:v>
      </x:c>
      <x:c r="P200" s="56" t="n">
        <x:v>4.68</x:v>
      </x:c>
      <x:c r="Q200" s="56" t="n">
        <x:v>80</x:v>
      </x:c>
      <x:c r="R200" t="str">
        <x:v>X</x:v>
      </x:c>
      <x:c r="S200" s="102" t="n">
        <x:v>100</x:v>
      </x:c>
      <x:c r="T200" t="str">
        <x:v>IN TARGET BAND</x:v>
      </x:c>
      <x:c r="U200" t="str">
        <x:f>IF(T200="IN TARGET BAND","Yes","No")</x:f>
        <x:v>Yes</x:v>
      </x:c>
      <x:c r="V200" t="n">
        <x:v>2101</x:v>
      </x:c>
      <x:c r="W200" t="str">
        <x:v>Pasted text(56).txt</x:v>
      </x:c>
    </x:row>
    <x:row r="201">
      <x:c r="A201" t="str">
        <x:v>S06</x:v>
      </x:c>
      <x:c r="B201" t="str">
        <x:v>0.30 low-amplitude limit validation</x:v>
      </x:c>
      <x:c r="C201" s="54" t="n">
        <x:v>0.3</x:v>
      </x:c>
      <x:c r="D201" t="n">
        <x:v>1</x:v>
      </x:c>
      <x:c r="E201" t="str">
        <x:v>PASS</x:v>
      </x:c>
      <x:c r="F201" t="n">
        <x:v>1</x:v>
      </x:c>
      <x:c r="G201" t="n">
        <x:v>10</x:v>
      </x:c>
      <x:c r="H201" s="54" t="n">
        <x:v>4.75</x:v>
      </x:c>
      <x:c r="I201" s="54" t="n">
        <x:v>0.30819</x:v>
      </x:c>
      <x:c r="J201" s="54" t="n">
        <x:v>0.31299</x:v>
      </x:c>
      <x:c r="K201" s="54" t="n">
        <x:v>0.13395</x:v>
      </x:c>
      <x:c r="L201" s="54" t="n">
        <x:v>0.21898</x:v>
      </x:c>
      <x:c r="M201" s="54" t="n">
        <x:v>0.40527</x:v>
      </x:c>
      <x:c r="N201" s="56" t="n">
        <x:v>2.73</x:v>
      </x:c>
      <x:c r="O201" s="56" t="n">
        <x:v>4.19</x:v>
      </x:c>
      <x:c r="P201" s="56" t="n">
        <x:v>5.25</x:v>
      </x:c>
      <x:c r="Q201" s="56" t="n">
        <x:v>78.8</x:v>
      </x:c>
      <x:c r="R201" t="str">
        <x:v>X</x:v>
      </x:c>
      <x:c r="S201" s="102" t="n">
        <x:v>100</x:v>
      </x:c>
      <x:c r="T201" t="str">
        <x:v>IN TARGET BAND</x:v>
      </x:c>
      <x:c r="U201" t="str">
        <x:f>IF(T201="IN TARGET BAND","Yes","No")</x:f>
        <x:v>Yes</x:v>
      </x:c>
      <x:c r="V201" t="n">
        <x:v>2102</x:v>
      </x:c>
      <x:c r="W201" t="str">
        <x:v>Pasted text(56).txt</x:v>
      </x:c>
    </x:row>
    <x:row r="202">
      <x:c r="A202" t="str">
        <x:v>S06</x:v>
      </x:c>
      <x:c r="B202" t="str">
        <x:v>0.30 low-amplitude limit validation</x:v>
      </x:c>
      <x:c r="C202" s="54" t="n">
        <x:v>0.3</x:v>
      </x:c>
      <x:c r="D202" t="n">
        <x:v>2</x:v>
      </x:c>
      <x:c r="E202" t="str">
        <x:v>PASS</x:v>
      </x:c>
      <x:c r="F202" t="n">
        <x:v>2</x:v>
      </x:c>
      <x:c r="G202" t="n">
        <x:v>1</x:v>
      </x:c>
      <x:c r="H202" s="54" t="n">
        <x:v>4.75</x:v>
      </x:c>
      <x:c r="I202" s="54" t="n">
        <x:v>0.28586</x:v>
      </x:c>
      <x:c r="J202" s="54" t="n">
        <x:v>0.29752</x:v>
      </x:c>
      <x:c r="K202" s="54" t="n">
        <x:v>0.11484</x:v>
      </x:c>
      <x:c r="L202" s="54" t="n">
        <x:v>0.19644</x:v>
      </x:c>
      <x:c r="M202" s="54" t="n">
        <x:v>0.37473</x:v>
      </x:c>
      <x:c r="N202" s="56" t="n">
        <x:v>-4.71</x:v>
      </x:c>
      <x:c r="O202" s="56" t="n">
        <x:v>4.45</x:v>
      </x:c>
      <x:c r="P202" s="56" t="n">
        <x:v>9.4</x:v>
      </x:c>
      <x:c r="Q202" s="56" t="n">
        <x:v>75</x:v>
      </x:c>
      <x:c r="R202" t="str">
        <x:v>X</x:v>
      </x:c>
      <x:c r="S202" s="102" t="n">
        <x:v>100</x:v>
      </x:c>
      <x:c r="T202" t="str">
        <x:v>IN TARGET BAND</x:v>
      </x:c>
      <x:c r="U202" t="str">
        <x:f>IF(T202="IN TARGET BAND","Yes","No")</x:f>
        <x:v>Yes</x:v>
      </x:c>
      <x:c r="V202" t="n">
        <x:v>2198</x:v>
      </x:c>
      <x:c r="W202" t="str">
        <x:v>Pasted text(56).txt</x:v>
      </x:c>
    </x:row>
    <x:row r="203">
      <x:c r="A203" t="str">
        <x:v>S06</x:v>
      </x:c>
      <x:c r="B203" t="str">
        <x:v>0.30 low-amplitude limit validation</x:v>
      </x:c>
      <x:c r="C203" s="54" t="n">
        <x:v>0.3</x:v>
      </x:c>
      <x:c r="D203" t="n">
        <x:v>2</x:v>
      </x:c>
      <x:c r="E203" t="str">
        <x:v>PASS</x:v>
      </x:c>
      <x:c r="F203" t="n">
        <x:v>2</x:v>
      </x:c>
      <x:c r="G203" t="n">
        <x:v>2</x:v>
      </x:c>
      <x:c r="H203" s="54" t="n">
        <x:v>4.75</x:v>
      </x:c>
      <x:c r="I203" s="54" t="n">
        <x:v>0.31184</x:v>
      </x:c>
      <x:c r="J203" s="54" t="n">
        <x:v>0.31012</x:v>
      </x:c>
      <x:c r="K203" s="54" t="n">
        <x:v>0.12907</x:v>
      </x:c>
      <x:c r="L203" s="54" t="n">
        <x:v>0.18081</x:v>
      </x:c>
      <x:c r="M203" s="54" t="n">
        <x:v>0.3818</x:v>
      </x:c>
      <x:c r="N203" s="56" t="n">
        <x:v>3.95</x:v>
      </x:c>
      <x:c r="O203" s="56" t="n">
        <x:v>10.94</x:v>
      </x:c>
      <x:c r="P203" s="56" t="n">
        <x:v>8.26</x:v>
      </x:c>
      <x:c r="Q203" s="56" t="n">
        <x:v>76.8</x:v>
      </x:c>
      <x:c r="R203" t="str">
        <x:v>X</x:v>
      </x:c>
      <x:c r="S203" s="102" t="n">
        <x:v>100</x:v>
      </x:c>
      <x:c r="T203" t="str">
        <x:v>IN TARGET BAND</x:v>
      </x:c>
      <x:c r="U203" t="str">
        <x:f>IF(T203="IN TARGET BAND","Yes","No")</x:f>
        <x:v>Yes</x:v>
      </x:c>
      <x:c r="V203" t="n">
        <x:v>2199</x:v>
      </x:c>
      <x:c r="W203" t="str">
        <x:v>Pasted text(56).txt</x:v>
      </x:c>
    </x:row>
    <x:row r="204">
      <x:c r="A204" t="str">
        <x:v>S06</x:v>
      </x:c>
      <x:c r="B204" t="str">
        <x:v>0.30 low-amplitude limit validation</x:v>
      </x:c>
      <x:c r="C204" s="54" t="n">
        <x:v>0.3</x:v>
      </x:c>
      <x:c r="D204" t="n">
        <x:v>2</x:v>
      </x:c>
      <x:c r="E204" t="str">
        <x:v>PASS</x:v>
      </x:c>
      <x:c r="F204" t="n">
        <x:v>2</x:v>
      </x:c>
      <x:c r="G204" t="n">
        <x:v>3</x:v>
      </x:c>
      <x:c r="H204" s="54" t="n">
        <x:v>4.75</x:v>
      </x:c>
      <x:c r="I204" s="54" t="n">
        <x:v>0.31263</x:v>
      </x:c>
      <x:c r="J204" s="54" t="n">
        <x:v>0.31243</x:v>
      </x:c>
      <x:c r="K204" s="54" t="n">
        <x:v>0.12863</x:v>
      </x:c>
      <x:c r="L204" s="54" t="n">
        <x:v>0.21507</x:v>
      </x:c>
      <x:c r="M204" s="54" t="n">
        <x:v>0.40101</x:v>
      </x:c>
      <x:c r="N204" s="56" t="n">
        <x:v>4.21</x:v>
      </x:c>
      <x:c r="O204" s="56" t="n">
        <x:v>5.17</x:v>
      </x:c>
      <x:c r="P204" s="56" t="n">
        <x:v>3.58</x:v>
      </x:c>
      <x:c r="Q204" s="56" t="n">
        <x:v>77.7</x:v>
      </x:c>
      <x:c r="R204" t="str">
        <x:v>X</x:v>
      </x:c>
      <x:c r="S204" s="102" t="n">
        <x:v>100</x:v>
      </x:c>
      <x:c r="T204" t="str">
        <x:v>IN TARGET BAND</x:v>
      </x:c>
      <x:c r="U204" t="str">
        <x:f>IF(T204="IN TARGET BAND","Yes","No")</x:f>
        <x:v>Yes</x:v>
      </x:c>
      <x:c r="V204" t="n">
        <x:v>2200</x:v>
      </x:c>
      <x:c r="W204" t="str">
        <x:v>Pasted text(56).txt</x:v>
      </x:c>
    </x:row>
    <x:row r="205">
      <x:c r="A205" t="str">
        <x:v>S06</x:v>
      </x:c>
      <x:c r="B205" t="str">
        <x:v>0.30 low-amplitude limit validation</x:v>
      </x:c>
      <x:c r="C205" s="54" t="n">
        <x:v>0.3</x:v>
      </x:c>
      <x:c r="D205" t="n">
        <x:v>2</x:v>
      </x:c>
      <x:c r="E205" t="str">
        <x:v>PASS</x:v>
      </x:c>
      <x:c r="F205" t="n">
        <x:v>2</x:v>
      </x:c>
      <x:c r="G205" t="n">
        <x:v>4</x:v>
      </x:c>
      <x:c r="H205" s="54" t="n">
        <x:v>4.75</x:v>
      </x:c>
      <x:c r="I205" s="54" t="n">
        <x:v>0.30272</x:v>
      </x:c>
      <x:c r="J205" s="54" t="n">
        <x:v>0.31053</x:v>
      </x:c>
      <x:c r="K205" s="54" t="n">
        <x:v>0.1341</x:v>
      </x:c>
      <x:c r="L205" s="54" t="n">
        <x:v>0.19889</x:v>
      </x:c>
      <x:c r="M205" s="54" t="n">
        <x:v>0.39299</x:v>
      </x:c>
      <x:c r="N205" s="56" t="n">
        <x:v>0.91</x:v>
      </x:c>
      <x:c r="O205" s="56" t="n">
        <x:v>0.97</x:v>
      </x:c>
      <x:c r="P205" s="56" t="n">
        <x:v>4.92</x:v>
      </x:c>
      <x:c r="Q205" s="56" t="n">
        <x:v>79.9</x:v>
      </x:c>
      <x:c r="R205" t="str">
        <x:v>X</x:v>
      </x:c>
      <x:c r="S205" s="102" t="n">
        <x:v>100</x:v>
      </x:c>
      <x:c r="T205" t="str">
        <x:v>IN TARGET BAND</x:v>
      </x:c>
      <x:c r="U205" t="str">
        <x:f>IF(T205="IN TARGET BAND","Yes","No")</x:f>
        <x:v>Yes</x:v>
      </x:c>
      <x:c r="V205" t="n">
        <x:v>2201</x:v>
      </x:c>
      <x:c r="W205" t="str">
        <x:v>Pasted text(56).txt</x:v>
      </x:c>
    </x:row>
    <x:row r="206">
      <x:c r="A206" t="str">
        <x:v>S06</x:v>
      </x:c>
      <x:c r="B206" t="str">
        <x:v>0.30 low-amplitude limit validation</x:v>
      </x:c>
      <x:c r="C206" s="54" t="n">
        <x:v>0.3</x:v>
      </x:c>
      <x:c r="D206" t="n">
        <x:v>2</x:v>
      </x:c>
      <x:c r="E206" t="str">
        <x:v>PASS</x:v>
      </x:c>
      <x:c r="F206" t="n">
        <x:v>2</x:v>
      </x:c>
      <x:c r="G206" t="n">
        <x:v>5</x:v>
      </x:c>
      <x:c r="H206" s="54" t="n">
        <x:v>4.75</x:v>
      </x:c>
      <x:c r="I206" s="54" t="n">
        <x:v>0.31522</x:v>
      </x:c>
      <x:c r="J206" s="54" t="n">
        <x:v>0.311</x:v>
      </x:c>
      <x:c r="K206" s="54" t="n">
        <x:v>0.12931</x:v>
      </x:c>
      <x:c r="L206" s="54" t="n">
        <x:v>0.21659</x:v>
      </x:c>
      <x:c r="M206" s="54" t="n">
        <x:v>0.40061</x:v>
      </x:c>
      <x:c r="N206" s="56" t="n">
        <x:v>5.07</x:v>
      </x:c>
      <x:c r="O206" s="56" t="n">
        <x:v>5.99</x:v>
      </x:c>
      <x:c r="P206" s="56" t="n">
        <x:v>6.24</x:v>
      </x:c>
      <x:c r="Q206" s="56" t="n">
        <x:v>75.8</x:v>
      </x:c>
      <x:c r="R206" t="str">
        <x:v>X</x:v>
      </x:c>
      <x:c r="S206" s="102" t="n">
        <x:v>100</x:v>
      </x:c>
      <x:c r="T206" t="str">
        <x:v>IN TARGET BAND</x:v>
      </x:c>
      <x:c r="U206" t="str">
        <x:f>IF(T206="IN TARGET BAND","Yes","No")</x:f>
        <x:v>Yes</x:v>
      </x:c>
      <x:c r="V206" t="n">
        <x:v>2202</x:v>
      </x:c>
      <x:c r="W206" t="str">
        <x:v>Pasted text(56).txt</x:v>
      </x:c>
    </x:row>
    <x:row r="207">
      <x:c r="A207" t="str">
        <x:v>S06</x:v>
      </x:c>
      <x:c r="B207" t="str">
        <x:v>0.30 low-amplitude limit validation</x:v>
      </x:c>
      <x:c r="C207" s="54" t="n">
        <x:v>0.3</x:v>
      </x:c>
      <x:c r="D207" t="n">
        <x:v>2</x:v>
      </x:c>
      <x:c r="E207" t="str">
        <x:v>PASS</x:v>
      </x:c>
      <x:c r="F207" t="n">
        <x:v>2</x:v>
      </x:c>
      <x:c r="G207" t="n">
        <x:v>6</x:v>
      </x:c>
      <x:c r="H207" s="54" t="n">
        <x:v>4.75</x:v>
      </x:c>
      <x:c r="I207" s="54" t="n">
        <x:v>0.30154</x:v>
      </x:c>
      <x:c r="J207" s="54" t="n">
        <x:v>0.30656</x:v>
      </x:c>
      <x:c r="K207" s="54" t="n">
        <x:v>0.11937</x:v>
      </x:c>
      <x:c r="L207" s="54" t="n">
        <x:v>0.19839</x:v>
      </x:c>
      <x:c r="M207" s="54" t="n">
        <x:v>0.38469</x:v>
      </x:c>
      <x:c r="N207" s="56" t="n">
        <x:v>0.51</x:v>
      </x:c>
      <x:c r="O207" s="56" t="n">
        <x:v>6.7</x:v>
      </x:c>
      <x:c r="P207" s="56" t="n">
        <x:v>7.04</x:v>
      </x:c>
      <x:c r="Q207" s="56" t="n">
        <x:v>76.2</x:v>
      </x:c>
      <x:c r="R207" t="str">
        <x:v>X</x:v>
      </x:c>
      <x:c r="S207" s="102" t="n">
        <x:v>100</x:v>
      </x:c>
      <x:c r="T207" t="str">
        <x:v>IN TARGET BAND</x:v>
      </x:c>
      <x:c r="U207" t="str">
        <x:f>IF(T207="IN TARGET BAND","Yes","No")</x:f>
        <x:v>Yes</x:v>
      </x:c>
      <x:c r="V207" t="n">
        <x:v>2203</x:v>
      </x:c>
      <x:c r="W207" t="str">
        <x:v>Pasted text(56).txt</x:v>
      </x:c>
    </x:row>
    <x:row r="208">
      <x:c r="A208" t="str">
        <x:v>S06</x:v>
      </x:c>
      <x:c r="B208" t="str">
        <x:v>0.30 low-amplitude limit validation</x:v>
      </x:c>
      <x:c r="C208" s="54" t="n">
        <x:v>0.3</x:v>
      </x:c>
      <x:c r="D208" t="n">
        <x:v>2</x:v>
      </x:c>
      <x:c r="E208" t="str">
        <x:v>PASS</x:v>
      </x:c>
      <x:c r="F208" t="n">
        <x:v>2</x:v>
      </x:c>
      <x:c r="G208" t="n">
        <x:v>7</x:v>
      </x:c>
      <x:c r="H208" s="54" t="n">
        <x:v>4.75</x:v>
      </x:c>
      <x:c r="I208" s="54" t="n">
        <x:v>0.30689</x:v>
      </x:c>
      <x:c r="J208" s="54" t="n">
        <x:v>0.30394</x:v>
      </x:c>
      <x:c r="K208" s="54" t="n">
        <x:v>0.13683</x:v>
      </x:c>
      <x:c r="L208" s="54" t="n">
        <x:v>0.21776</x:v>
      </x:c>
      <x:c r="M208" s="54" t="n">
        <x:v>0.39919</x:v>
      </x:c>
      <x:c r="N208" s="56" t="n">
        <x:v>2.3</x:v>
      </x:c>
      <x:c r="O208" s="56" t="n">
        <x:v>1.76</x:v>
      </x:c>
      <x:c r="P208" s="56" t="n">
        <x:v>2.78</x:v>
      </x:c>
      <x:c r="Q208" s="56" t="n">
        <x:v>78.2</x:v>
      </x:c>
      <x:c r="R208" t="str">
        <x:v>X</x:v>
      </x:c>
      <x:c r="S208" s="102" t="n">
        <x:v>100</x:v>
      </x:c>
      <x:c r="T208" t="str">
        <x:v>IN TARGET BAND</x:v>
      </x:c>
      <x:c r="U208" t="str">
        <x:f>IF(T208="IN TARGET BAND","Yes","No")</x:f>
        <x:v>Yes</x:v>
      </x:c>
      <x:c r="V208" t="n">
        <x:v>2204</x:v>
      </x:c>
      <x:c r="W208" t="str">
        <x:v>Pasted text(56).txt</x:v>
      </x:c>
    </x:row>
    <x:row r="209">
      <x:c r="A209" t="str">
        <x:v>S06</x:v>
      </x:c>
      <x:c r="B209" t="str">
        <x:v>0.30 low-amplitude limit validation</x:v>
      </x:c>
      <x:c r="C209" s="54" t="n">
        <x:v>0.3</x:v>
      </x:c>
      <x:c r="D209" t="n">
        <x:v>2</x:v>
      </x:c>
      <x:c r="E209" t="str">
        <x:v>PASS</x:v>
      </x:c>
      <x:c r="F209" t="n">
        <x:v>2</x:v>
      </x:c>
      <x:c r="G209" t="n">
        <x:v>8</x:v>
      </x:c>
      <x:c r="H209" s="54" t="n">
        <x:v>4.75</x:v>
      </x:c>
      <x:c r="I209" s="54" t="n">
        <x:v>0.31598</x:v>
      </x:c>
      <x:c r="J209" s="54" t="n">
        <x:v>0.30819</x:v>
      </x:c>
      <x:c r="K209" s="54" t="n">
        <x:v>0.13732</x:v>
      </x:c>
      <x:c r="L209" s="54" t="n">
        <x:v>0.2055</x:v>
      </x:c>
      <x:c r="M209" s="54" t="n">
        <x:v>0.39586</x:v>
      </x:c>
      <x:c r="N209" s="56" t="n">
        <x:v>5.33</x:v>
      </x:c>
      <x:c r="O209" s="56" t="n">
        <x:v>0.57</x:v>
      </x:c>
      <x:c r="P209" s="56" t="n">
        <x:v>4.72</x:v>
      </x:c>
      <x:c r="Q209" s="56" t="n">
        <x:v>78.4</x:v>
      </x:c>
      <x:c r="R209" t="str">
        <x:v>X</x:v>
      </x:c>
      <x:c r="S209" s="102" t="n">
        <x:v>100</x:v>
      </x:c>
      <x:c r="T209" t="str">
        <x:v>IN TARGET BAND</x:v>
      </x:c>
      <x:c r="U209" t="str">
        <x:f>IF(T209="IN TARGET BAND","Yes","No")</x:f>
        <x:v>Yes</x:v>
      </x:c>
      <x:c r="V209" t="n">
        <x:v>2205</x:v>
      </x:c>
      <x:c r="W209" t="str">
        <x:v>Pasted text(56).txt</x:v>
      </x:c>
    </x:row>
    <x:row r="210">
      <x:c r="A210" t="str">
        <x:v>S06</x:v>
      </x:c>
      <x:c r="B210" t="str">
        <x:v>0.30 low-amplitude limit validation</x:v>
      </x:c>
      <x:c r="C210" s="54" t="n">
        <x:v>0.3</x:v>
      </x:c>
      <x:c r="D210" t="n">
        <x:v>2</x:v>
      </x:c>
      <x:c r="E210" t="str">
        <x:v>PASS</x:v>
      </x:c>
      <x:c r="F210" t="n">
        <x:v>2</x:v>
      </x:c>
      <x:c r="G210" t="n">
        <x:v>9</x:v>
      </x:c>
      <x:c r="H210" s="54" t="n">
        <x:v>4.75</x:v>
      </x:c>
      <x:c r="I210" s="54" t="n">
        <x:v>0.31737</x:v>
      </x:c>
      <x:c r="J210" s="54" t="n">
        <x:v>0.3122</x:v>
      </x:c>
      <x:c r="K210" s="54" t="n">
        <x:v>0.12463</x:v>
      </x:c>
      <x:c r="L210" s="54" t="n">
        <x:v>0.21712</x:v>
      </x:c>
      <x:c r="M210" s="54" t="n">
        <x:v>0.40032</x:v>
      </x:c>
      <x:c r="N210" s="56" t="n">
        <x:v>5.79</x:v>
      </x:c>
      <x:c r="O210" s="56" t="n">
        <x:v>1.85</x:v>
      </x:c>
      <x:c r="P210" s="56" t="n">
        <x:v>4.02</x:v>
      </x:c>
      <x:c r="Q210" s="56" t="n">
        <x:v>77.1</x:v>
      </x:c>
      <x:c r="R210" t="str">
        <x:v>X</x:v>
      </x:c>
      <x:c r="S210" s="102" t="n">
        <x:v>100</x:v>
      </x:c>
      <x:c r="T210" t="str">
        <x:v>IN TARGET BAND</x:v>
      </x:c>
      <x:c r="U210" t="str">
        <x:f>IF(T210="IN TARGET BAND","Yes","No")</x:f>
        <x:v>Yes</x:v>
      </x:c>
      <x:c r="V210" t="n">
        <x:v>2206</x:v>
      </x:c>
      <x:c r="W210" t="str">
        <x:v>Pasted text(56).txt</x:v>
      </x:c>
    </x:row>
    <x:row r="211">
      <x:c r="A211" t="str">
        <x:v>S06</x:v>
      </x:c>
      <x:c r="B211" t="str">
        <x:v>0.30 low-amplitude limit validation</x:v>
      </x:c>
      <x:c r="C211" s="54" t="n">
        <x:v>0.3</x:v>
      </x:c>
      <x:c r="D211" t="n">
        <x:v>2</x:v>
      </x:c>
      <x:c r="E211" t="str">
        <x:v>PASS</x:v>
      </x:c>
      <x:c r="F211" t="n">
        <x:v>2</x:v>
      </x:c>
      <x:c r="G211" t="n">
        <x:v>10</x:v>
      </x:c>
      <x:c r="H211" s="54" t="n">
        <x:v>4.75</x:v>
      </x:c>
      <x:c r="I211" s="54" t="n">
        <x:v>0.29689</x:v>
      </x:c>
      <x:c r="J211" s="54" t="n">
        <x:v>0.29755</x:v>
      </x:c>
      <x:c r="K211" s="54" t="n">
        <x:v>0.14315</x:v>
      </x:c>
      <x:c r="L211" s="54" t="n">
        <x:v>0.18458</x:v>
      </x:c>
      <x:c r="M211" s="54" t="n">
        <x:v>0.37895</x:v>
      </x:c>
      <x:c r="N211" s="56" t="n">
        <x:v>-1.04</x:v>
      </x:c>
      <x:c r="O211" s="56" t="n">
        <x:v>4.3</x:v>
      </x:c>
      <x:c r="P211" s="56" t="n">
        <x:v>3.23</x:v>
      </x:c>
      <x:c r="Q211" s="56" t="n">
        <x:v>77.1</x:v>
      </x:c>
      <x:c r="R211" t="str">
        <x:v>X</x:v>
      </x:c>
      <x:c r="S211" s="102" t="n">
        <x:v>100</x:v>
      </x:c>
      <x:c r="T211" t="str">
        <x:v>IN TARGET BAND</x:v>
      </x:c>
      <x:c r="U211" t="str">
        <x:f>IF(T211="IN TARGET BAND","Yes","No")</x:f>
        <x:v>Yes</x:v>
      </x:c>
      <x:c r="V211" t="n">
        <x:v>2207</x:v>
      </x:c>
      <x:c r="W211" t="str">
        <x:v>Pasted text(56).txt</x:v>
      </x:c>
    </x:row>
    <x:row r="212">
      <x:c r="A212" t="str">
        <x:v>S06</x:v>
      </x:c>
      <x:c r="B212" t="str">
        <x:v>0.30 low-amplitude limit validation</x:v>
      </x:c>
      <x:c r="C212" s="54" t="n">
        <x:v>0.3</x:v>
      </x:c>
      <x:c r="D212" t="n">
        <x:v>3</x:v>
      </x:c>
      <x:c r="E212" t="str">
        <x:v>PASS</x:v>
      </x:c>
      <x:c r="F212" t="n">
        <x:v>1</x:v>
      </x:c>
      <x:c r="G212" t="n">
        <x:v>1</x:v>
      </x:c>
      <x:c r="H212" s="54" t="n">
        <x:v>4.75</x:v>
      </x:c>
      <x:c r="I212" s="54" t="n">
        <x:v>0.29911</x:v>
      </x:c>
      <x:c r="J212" s="54" t="n">
        <x:v>0.3017</x:v>
      </x:c>
      <x:c r="K212" s="54" t="n">
        <x:v>0.1137</x:v>
      </x:c>
      <x:c r="L212" s="54" t="n">
        <x:v>0.20193</x:v>
      </x:c>
      <x:c r="M212" s="54" t="n">
        <x:v>0.38072</x:v>
      </x:c>
      <x:c r="N212" s="56" t="n">
        <x:v>-0.3</x:v>
      </x:c>
      <x:c r="O212" s="56" t="n">
        <x:v>4.69</x:v>
      </x:c>
      <x:c r="P212" s="56" t="n">
        <x:v>4.49</x:v>
      </x:c>
      <x:c r="Q212" s="56" t="n">
        <x:v>75.9</x:v>
      </x:c>
      <x:c r="R212" t="str">
        <x:v>X</x:v>
      </x:c>
      <x:c r="S212" s="102" t="n">
        <x:v>100</x:v>
      </x:c>
      <x:c r="T212" t="str">
        <x:v>IN TARGET BAND</x:v>
      </x:c>
      <x:c r="U212" t="str">
        <x:f>IF(T212="IN TARGET BAND","Yes","No")</x:f>
        <x:v>Yes</x:v>
      </x:c>
      <x:c r="V212" t="n">
        <x:v>2274</x:v>
      </x:c>
      <x:c r="W212" t="str">
        <x:v>Pasted text(56).txt</x:v>
      </x:c>
    </x:row>
    <x:row r="213">
      <x:c r="A213" t="str">
        <x:v>S06</x:v>
      </x:c>
      <x:c r="B213" t="str">
        <x:v>0.30 low-amplitude limit validation</x:v>
      </x:c>
      <x:c r="C213" s="54" t="n">
        <x:v>0.3</x:v>
      </x:c>
      <x:c r="D213" t="n">
        <x:v>3</x:v>
      </x:c>
      <x:c r="E213" t="str">
        <x:v>PASS</x:v>
      </x:c>
      <x:c r="F213" t="n">
        <x:v>1</x:v>
      </x:c>
      <x:c r="G213" t="n">
        <x:v>2</x:v>
      </x:c>
      <x:c r="H213" s="54" t="n">
        <x:v>4.75</x:v>
      </x:c>
      <x:c r="I213" s="54" t="n">
        <x:v>0.32648</x:v>
      </x:c>
      <x:c r="J213" s="54" t="n">
        <x:v>0.31639</x:v>
      </x:c>
      <x:c r="K213" s="54" t="n">
        <x:v>0.12117</x:v>
      </x:c>
      <x:c r="L213" s="54" t="n">
        <x:v>0.19646</x:v>
      </x:c>
      <x:c r="M213" s="54" t="n">
        <x:v>0.39177</x:v>
      </x:c>
      <x:c r="N213" s="56" t="n">
        <x:v>8.83</x:v>
      </x:c>
      <x:c r="O213" s="56" t="n">
        <x:v>1.69</x:v>
      </x:c>
      <x:c r="P213" s="56" t="n">
        <x:v>6.57</x:v>
      </x:c>
      <x:c r="Q213" s="56" t="n">
        <x:v>79.3</x:v>
      </x:c>
      <x:c r="R213" t="str">
        <x:v>X</x:v>
      </x:c>
      <x:c r="S213" s="102" t="n">
        <x:v>100</x:v>
      </x:c>
      <x:c r="T213" t="str">
        <x:v>VALID</x:v>
      </x:c>
      <x:c r="U213" t="str">
        <x:f>IF(T213="IN TARGET BAND","Yes","No")</x:f>
        <x:v>No</x:v>
      </x:c>
      <x:c r="V213" t="n">
        <x:v>2275</x:v>
      </x:c>
      <x:c r="W213" t="str">
        <x:v>Pasted text(56).txt</x:v>
      </x:c>
    </x:row>
    <x:row r="214">
      <x:c r="A214" t="str">
        <x:v>S06</x:v>
      </x:c>
      <x:c r="B214" t="str">
        <x:v>0.30 low-amplitude limit validation</x:v>
      </x:c>
      <x:c r="C214" s="54" t="n">
        <x:v>0.3</x:v>
      </x:c>
      <x:c r="D214" t="n">
        <x:v>3</x:v>
      </x:c>
      <x:c r="E214" t="str">
        <x:v>PASS</x:v>
      </x:c>
      <x:c r="F214" t="n">
        <x:v>1</x:v>
      </x:c>
      <x:c r="G214" t="n">
        <x:v>3</x:v>
      </x:c>
      <x:c r="H214" s="54" t="n">
        <x:v>4.75</x:v>
      </x:c>
      <x:c r="I214" s="54" t="n">
        <x:v>0.31137</x:v>
      </x:c>
      <x:c r="J214" s="54" t="n">
        <x:v>0.30604</x:v>
      </x:c>
      <x:c r="K214" s="54" t="n">
        <x:v>0.12651</x:v>
      </x:c>
      <x:c r="L214" s="54" t="n">
        <x:v>0.20757</x:v>
      </x:c>
      <x:c r="M214" s="54" t="n">
        <x:v>0.39138</x:v>
      </x:c>
      <x:c r="N214" s="56" t="n">
        <x:v>3.79</x:v>
      </x:c>
      <x:c r="O214" s="56" t="n">
        <x:v>0.55</x:v>
      </x:c>
      <x:c r="P214" s="56" t="n">
        <x:v>3.35</x:v>
      </x:c>
      <x:c r="Q214" s="56" t="n">
        <x:v>74.4</x:v>
      </x:c>
      <x:c r="R214" t="str">
        <x:v>X</x:v>
      </x:c>
      <x:c r="S214" s="102" t="n">
        <x:v>100</x:v>
      </x:c>
      <x:c r="T214" t="str">
        <x:v>IN TARGET BAND</x:v>
      </x:c>
      <x:c r="U214" t="str">
        <x:f>IF(T214="IN TARGET BAND","Yes","No")</x:f>
        <x:v>Yes</x:v>
      </x:c>
      <x:c r="V214" t="n">
        <x:v>2276</x:v>
      </x:c>
      <x:c r="W214" t="str">
        <x:v>Pasted text(56).txt</x:v>
      </x:c>
    </x:row>
    <x:row r="215">
      <x:c r="A215" t="str">
        <x:v>S06</x:v>
      </x:c>
      <x:c r="B215" t="str">
        <x:v>0.30 low-amplitude limit validation</x:v>
      </x:c>
      <x:c r="C215" s="54" t="n">
        <x:v>0.3</x:v>
      </x:c>
      <x:c r="D215" t="n">
        <x:v>3</x:v>
      </x:c>
      <x:c r="E215" t="str">
        <x:v>PASS</x:v>
      </x:c>
      <x:c r="F215" t="n">
        <x:v>1</x:v>
      </x:c>
      <x:c r="G215" t="n">
        <x:v>4</x:v>
      </x:c>
      <x:c r="H215" s="54" t="n">
        <x:v>4.75</x:v>
      </x:c>
      <x:c r="I215" s="54" t="n">
        <x:v>0.30956</x:v>
      </x:c>
      <x:c r="J215" s="54" t="n">
        <x:v>0.30834</x:v>
      </x:c>
      <x:c r="K215" s="54" t="n">
        <x:v>0.15476</x:v>
      </x:c>
      <x:c r="L215" s="54" t="n">
        <x:v>0.20662</x:v>
      </x:c>
      <x:c r="M215" s="54" t="n">
        <x:v>0.40265</x:v>
      </x:c>
      <x:c r="N215" s="56" t="n">
        <x:v>3.19</x:v>
      </x:c>
      <x:c r="O215" s="56" t="n">
        <x:v>6.07</x:v>
      </x:c>
      <x:c r="P215" s="56" t="n">
        <x:v>4.72</x:v>
      </x:c>
      <x:c r="Q215" s="56" t="n">
        <x:v>76.2</x:v>
      </x:c>
      <x:c r="R215" t="str">
        <x:v>X</x:v>
      </x:c>
      <x:c r="S215" s="102" t="n">
        <x:v>100</x:v>
      </x:c>
      <x:c r="T215" t="str">
        <x:v>IN TARGET BAND</x:v>
      </x:c>
      <x:c r="U215" t="str">
        <x:f>IF(T215="IN TARGET BAND","Yes","No")</x:f>
        <x:v>Yes</x:v>
      </x:c>
      <x:c r="V215" t="n">
        <x:v>2277</x:v>
      </x:c>
      <x:c r="W215" t="str">
        <x:v>Pasted text(56).txt</x:v>
      </x:c>
    </x:row>
    <x:row r="216">
      <x:c r="A216" t="str">
        <x:v>S06</x:v>
      </x:c>
      <x:c r="B216" t="str">
        <x:v>0.30 low-amplitude limit validation</x:v>
      </x:c>
      <x:c r="C216" s="54" t="n">
        <x:v>0.3</x:v>
      </x:c>
      <x:c r="D216" t="n">
        <x:v>3</x:v>
      </x:c>
      <x:c r="E216" t="str">
        <x:v>PASS</x:v>
      </x:c>
      <x:c r="F216" t="n">
        <x:v>1</x:v>
      </x:c>
      <x:c r="G216" t="n">
        <x:v>5</x:v>
      </x:c>
      <x:c r="H216" s="54" t="n">
        <x:v>4.75</x:v>
      </x:c>
      <x:c r="I216" s="54" t="n">
        <x:v>0.30339</x:v>
      </x:c>
      <x:c r="J216" s="54" t="n">
        <x:v>0.30767</x:v>
      </x:c>
      <x:c r="K216" s="54" t="n">
        <x:v>0.12251</x:v>
      </x:c>
      <x:c r="L216" s="54" t="n">
        <x:v>0.2115</x:v>
      </x:c>
      <x:c r="M216" s="54" t="n">
        <x:v>0.39301</x:v>
      </x:c>
      <x:c r="N216" s="56" t="n">
        <x:v>1.13</x:v>
      </x:c>
      <x:c r="O216" s="56" t="n">
        <x:v>0.84</x:v>
      </x:c>
      <x:c r="P216" s="56" t="n">
        <x:v>2.91</x:v>
      </x:c>
      <x:c r="Q216" s="56" t="n">
        <x:v>76.8</x:v>
      </x:c>
      <x:c r="R216" t="str">
        <x:v>X</x:v>
      </x:c>
      <x:c r="S216" s="102" t="n">
        <x:v>100</x:v>
      </x:c>
      <x:c r="T216" t="str">
        <x:v>IN TARGET BAND</x:v>
      </x:c>
      <x:c r="U216" t="str">
        <x:f>IF(T216="IN TARGET BAND","Yes","No")</x:f>
        <x:v>Yes</x:v>
      </x:c>
      <x:c r="V216" t="n">
        <x:v>2278</x:v>
      </x:c>
      <x:c r="W216" t="str">
        <x:v>Pasted text(56).txt</x:v>
      </x:c>
    </x:row>
    <x:row r="217">
      <x:c r="A217" t="str">
        <x:v>S06</x:v>
      </x:c>
      <x:c r="B217" t="str">
        <x:v>0.30 low-amplitude limit validation</x:v>
      </x:c>
      <x:c r="C217" s="54" t="n">
        <x:v>0.3</x:v>
      </x:c>
      <x:c r="D217" t="n">
        <x:v>3</x:v>
      </x:c>
      <x:c r="E217" t="str">
        <x:v>PASS</x:v>
      </x:c>
      <x:c r="F217" t="n">
        <x:v>1</x:v>
      </x:c>
      <x:c r="G217" t="n">
        <x:v>6</x:v>
      </x:c>
      <x:c r="H217" s="54" t="n">
        <x:v>4.75</x:v>
      </x:c>
      <x:c r="I217" s="54" t="n">
        <x:v>0.32127</x:v>
      </x:c>
      <x:c r="J217" s="54" t="n">
        <x:v>0.32156</x:v>
      </x:c>
      <x:c r="K217" s="54" t="n">
        <x:v>0.13663</x:v>
      </x:c>
      <x:c r="L217" s="54" t="n">
        <x:v>0.21772</x:v>
      </x:c>
      <x:c r="M217" s="54" t="n">
        <x:v>0.41194</x:v>
      </x:c>
      <x:c r="N217" s="56" t="n">
        <x:v>7.09</x:v>
      </x:c>
      <x:c r="O217" s="56" t="n">
        <x:v>1.15</x:v>
      </x:c>
      <x:c r="P217" s="56" t="n">
        <x:v>0.91</x:v>
      </x:c>
      <x:c r="Q217" s="56" t="n">
        <x:v>79.3</x:v>
      </x:c>
      <x:c r="R217" t="str">
        <x:v>X</x:v>
      </x:c>
      <x:c r="S217" s="102" t="n">
        <x:v>100</x:v>
      </x:c>
      <x:c r="T217" t="str">
        <x:v>IN TARGET BAND</x:v>
      </x:c>
      <x:c r="U217" t="str">
        <x:f>IF(T217="IN TARGET BAND","Yes","No")</x:f>
        <x:v>Yes</x:v>
      </x:c>
      <x:c r="V217" t="n">
        <x:v>2279</x:v>
      </x:c>
      <x:c r="W217" t="str">
        <x:v>Pasted text(56).txt</x:v>
      </x:c>
    </x:row>
    <x:row r="218">
      <x:c r="A218" t="str">
        <x:v>S06</x:v>
      </x:c>
      <x:c r="B218" t="str">
        <x:v>0.30 low-amplitude limit validation</x:v>
      </x:c>
      <x:c r="C218" s="54" t="n">
        <x:v>0.3</x:v>
      </x:c>
      <x:c r="D218" t="n">
        <x:v>3</x:v>
      </x:c>
      <x:c r="E218" t="str">
        <x:v>PASS</x:v>
      </x:c>
      <x:c r="F218" t="n">
        <x:v>1</x:v>
      </x:c>
      <x:c r="G218" t="n">
        <x:v>7</x:v>
      </x:c>
      <x:c r="H218" s="54" t="n">
        <x:v>4.75</x:v>
      </x:c>
      <x:c r="I218" s="54" t="n">
        <x:v>0.30363</x:v>
      </x:c>
      <x:c r="J218" s="54" t="n">
        <x:v>0.31063</x:v>
      </x:c>
      <x:c r="K218" s="54" t="n">
        <x:v>0.14246</x:v>
      </x:c>
      <x:c r="L218" s="54" t="n">
        <x:v>0.19004</x:v>
      </x:c>
      <x:c r="M218" s="54" t="n">
        <x:v>0.39142</x:v>
      </x:c>
      <x:c r="N218" s="56" t="n">
        <x:v>1.21</x:v>
      </x:c>
      <x:c r="O218" s="56" t="n">
        <x:v>5.48</x:v>
      </x:c>
      <x:c r="P218" s="56" t="n">
        <x:v>7.26</x:v>
      </x:c>
      <x:c r="Q218" s="56" t="n">
        <x:v>77.4</x:v>
      </x:c>
      <x:c r="R218" t="str">
        <x:v>X</x:v>
      </x:c>
      <x:c r="S218" s="102" t="n">
        <x:v>100</x:v>
      </x:c>
      <x:c r="T218" t="str">
        <x:v>IN TARGET BAND</x:v>
      </x:c>
      <x:c r="U218" t="str">
        <x:f>IF(T218="IN TARGET BAND","Yes","No")</x:f>
        <x:v>Yes</x:v>
      </x:c>
      <x:c r="V218" t="n">
        <x:v>2280</x:v>
      </x:c>
      <x:c r="W218" t="str">
        <x:v>Pasted text(56).txt</x:v>
      </x:c>
    </x:row>
    <x:row r="219">
      <x:c r="A219" t="str">
        <x:v>S06</x:v>
      </x:c>
      <x:c r="B219" t="str">
        <x:v>0.30 low-amplitude limit validation</x:v>
      </x:c>
      <x:c r="C219" s="54" t="n">
        <x:v>0.3</x:v>
      </x:c>
      <x:c r="D219" t="n">
        <x:v>3</x:v>
      </x:c>
      <x:c r="E219" t="str">
        <x:v>PASS</x:v>
      </x:c>
      <x:c r="F219" t="n">
        <x:v>1</x:v>
      </x:c>
      <x:c r="G219" t="n">
        <x:v>8</x:v>
      </x:c>
      <x:c r="H219" s="54" t="n">
        <x:v>4.75</x:v>
      </x:c>
      <x:c r="I219" s="54" t="n">
        <x:v>0.30366</x:v>
      </x:c>
      <x:c r="J219" s="54" t="n">
        <x:v>0.30166</x:v>
      </x:c>
      <x:c r="K219" s="54" t="n">
        <x:v>0.12305</x:v>
      </x:c>
      <x:c r="L219" s="54" t="n">
        <x:v>0.23279</x:v>
      </x:c>
      <x:c r="M219" s="54" t="n">
        <x:v>0.40076</x:v>
      </x:c>
      <x:c r="N219" s="56" t="n">
        <x:v>1.22</x:v>
      </x:c>
      <x:c r="O219" s="56" t="n">
        <x:v>2.99</x:v>
      </x:c>
      <x:c r="P219" s="56" t="n">
        <x:v>3.08</x:v>
      </x:c>
      <x:c r="Q219" s="56" t="n">
        <x:v>75.4</x:v>
      </x:c>
      <x:c r="R219" t="str">
        <x:v>X</x:v>
      </x:c>
      <x:c r="S219" s="102" t="n">
        <x:v>100</x:v>
      </x:c>
      <x:c r="T219" t="str">
        <x:v>IN TARGET BAND</x:v>
      </x:c>
      <x:c r="U219" t="str">
        <x:f>IF(T219="IN TARGET BAND","Yes","No")</x:f>
        <x:v>Yes</x:v>
      </x:c>
      <x:c r="V219" t="n">
        <x:v>2281</x:v>
      </x:c>
      <x:c r="W219" t="str">
        <x:v>Pasted text(56).txt</x:v>
      </x:c>
    </x:row>
    <x:row r="220">
      <x:c r="A220" t="str">
        <x:v>S06</x:v>
      </x:c>
      <x:c r="B220" t="str">
        <x:v>0.30 low-amplitude limit validation</x:v>
      </x:c>
      <x:c r="C220" s="54" t="n">
        <x:v>0.3</x:v>
      </x:c>
      <x:c r="D220" t="n">
        <x:v>3</x:v>
      </x:c>
      <x:c r="E220" t="str">
        <x:v>PASS</x:v>
      </x:c>
      <x:c r="F220" t="n">
        <x:v>1</x:v>
      </x:c>
      <x:c r="G220" t="n">
        <x:v>9</x:v>
      </x:c>
      <x:c r="H220" s="54" t="n">
        <x:v>4.75</x:v>
      </x:c>
      <x:c r="I220" s="54" t="n">
        <x:v>0.32333</x:v>
      </x:c>
      <x:c r="J220" s="54" t="n">
        <x:v>0.3253</x:v>
      </x:c>
      <x:c r="K220" s="54" t="n">
        <x:v>0.12816</x:v>
      </x:c>
      <x:c r="L220" s="54" t="n">
        <x:v>0.22526</x:v>
      </x:c>
      <x:c r="M220" s="54" t="n">
        <x:v>0.41662</x:v>
      </x:c>
      <x:c r="N220" s="56" t="n">
        <x:v>7.78</x:v>
      </x:c>
      <x:c r="O220" s="56" t="n">
        <x:v>1.37</x:v>
      </x:c>
      <x:c r="P220" s="56" t="n">
        <x:v>1.9</x:v>
      </x:c>
      <x:c r="Q220" s="56" t="n">
        <x:v>77.3</x:v>
      </x:c>
      <x:c r="R220" t="str">
        <x:v>X</x:v>
      </x:c>
      <x:c r="S220" s="102" t="n">
        <x:v>100</x:v>
      </x:c>
      <x:c r="T220" t="str">
        <x:v>VALID</x:v>
      </x:c>
      <x:c r="U220" t="str">
        <x:f>IF(T220="IN TARGET BAND","Yes","No")</x:f>
        <x:v>No</x:v>
      </x:c>
      <x:c r="V220" t="n">
        <x:v>2282</x:v>
      </x:c>
      <x:c r="W220" t="str">
        <x:v>Pasted text(56).txt</x:v>
      </x:c>
    </x:row>
    <x:row r="221">
      <x:c r="A221" t="str">
        <x:v>S06</x:v>
      </x:c>
      <x:c r="B221" t="str">
        <x:v>0.30 low-amplitude limit validation</x:v>
      </x:c>
      <x:c r="C221" s="54" t="n">
        <x:v>0.3</x:v>
      </x:c>
      <x:c r="D221" t="n">
        <x:v>3</x:v>
      </x:c>
      <x:c r="E221" t="str">
        <x:v>PASS</x:v>
      </x:c>
      <x:c r="F221" t="n">
        <x:v>1</x:v>
      </x:c>
      <x:c r="G221" t="n">
        <x:v>10</x:v>
      </x:c>
      <x:c r="H221" s="54" t="n">
        <x:v>4.75</x:v>
      </x:c>
      <x:c r="I221" s="54" t="n">
        <x:v>0.31233</x:v>
      </x:c>
      <x:c r="J221" s="54" t="n">
        <x:v>0.31837</x:v>
      </x:c>
      <x:c r="K221" s="54" t="n">
        <x:v>0.12696</x:v>
      </x:c>
      <x:c r="L221" s="54" t="n">
        <x:v>0.19378</x:v>
      </x:c>
      <x:c r="M221" s="54" t="n">
        <x:v>0.39478</x:v>
      </x:c>
      <x:c r="N221" s="56" t="n">
        <x:v>4.11</x:v>
      </x:c>
      <x:c r="O221" s="56" t="n">
        <x:v>2.34</x:v>
      </x:c>
      <x:c r="P221" s="56" t="n">
        <x:v>4.69</x:v>
      </x:c>
      <x:c r="Q221" s="56" t="n">
        <x:v>80.3</x:v>
      </x:c>
      <x:c r="R221" t="str">
        <x:v>X</x:v>
      </x:c>
      <x:c r="S221" s="102" t="n">
        <x:v>100</x:v>
      </x:c>
      <x:c r="T221" t="str">
        <x:v>IN TARGET BAND</x:v>
      </x:c>
      <x:c r="U221" t="str">
        <x:f>IF(T221="IN TARGET BAND","Yes","No")</x:f>
        <x:v>Yes</x:v>
      </x:c>
      <x:c r="V221" t="n">
        <x:v>2283</x:v>
      </x:c>
      <x:c r="W221" t="str">
        <x:v>Pasted text(56).txt</x:v>
      </x:c>
    </x:row>
    <x:row r="222">
      <x:c r="A222" t="str">
        <x:v>S06</x:v>
      </x:c>
      <x:c r="B222" t="str">
        <x:v>0.30 low-amplitude limit validation</x:v>
      </x:c>
      <x:c r="C222" s="54" t="n">
        <x:v>0.3</x:v>
      </x:c>
      <x:c r="D222" t="n">
        <x:v>4</x:v>
      </x:c>
      <x:c r="E222" t="str">
        <x:v>FAIL</x:v>
      </x:c>
      <x:c r="F222" t="n">
        <x:v>2</x:v>
      </x:c>
      <x:c r="G222" t="n">
        <x:v>1</x:v>
      </x:c>
      <x:c r="H222" s="54" t="n">
        <x:v>4.75</x:v>
      </x:c>
      <x:c r="I222" s="54" t="n">
        <x:v>0.32507</x:v>
      </x:c>
      <x:c r="J222" s="54" t="n">
        <x:v>0.32864</x:v>
      </x:c>
      <x:c r="K222" s="54" t="n">
        <x:v>0.14445</x:v>
      </x:c>
      <x:c r="L222" s="54" t="n">
        <x:v>0.22274</x:v>
      </x:c>
      <x:c r="M222" s="54" t="n">
        <x:v>0.42285</x:v>
      </x:c>
      <x:c r="N222" s="56" t="n">
        <x:v>8.36</x:v>
      </x:c>
      <x:c r="O222" s="56" t="n">
        <x:v>2.27</x:v>
      </x:c>
      <x:c r="P222" s="56" t="n">
        <x:v>3.28</x:v>
      </x:c>
      <x:c r="Q222" s="56" t="n">
        <x:v>77.2</x:v>
      </x:c>
      <x:c r="R222" t="str">
        <x:v>X</x:v>
      </x:c>
      <x:c r="S222" s="102" t="n">
        <x:v>100</x:v>
      </x:c>
      <x:c r="T222" t="str">
        <x:v>VALID</x:v>
      </x:c>
      <x:c r="U222" t="str">
        <x:f>IF(T222="IN TARGET BAND","Yes","No")</x:f>
        <x:v>No</x:v>
      </x:c>
      <x:c r="V222" t="n">
        <x:v>2390</x:v>
      </x:c>
      <x:c r="W222" t="str">
        <x:v>Pasted text(56).txt</x:v>
      </x:c>
    </x:row>
    <x:row r="223">
      <x:c r="A223" t="str">
        <x:v>S06</x:v>
      </x:c>
      <x:c r="B223" t="str">
        <x:v>0.30 low-amplitude limit validation</x:v>
      </x:c>
      <x:c r="C223" s="54" t="n">
        <x:v>0.3</x:v>
      </x:c>
      <x:c r="D223" t="n">
        <x:v>4</x:v>
      </x:c>
      <x:c r="E223" t="str">
        <x:v>FAIL</x:v>
      </x:c>
      <x:c r="F223" t="n">
        <x:v>2</x:v>
      </x:c>
      <x:c r="G223" t="n">
        <x:v>2</x:v>
      </x:c>
      <x:c r="H223" s="54" t="n">
        <x:v>4.75</x:v>
      </x:c>
      <x:c r="I223" s="54" t="n">
        <x:v>0.33529</x:v>
      </x:c>
      <x:c r="J223" s="54" t="n">
        <x:v>0.33531</x:v>
      </x:c>
      <x:c r="K223" s="54" t="n">
        <x:v>0.13521</x:v>
      </x:c>
      <x:c r="L223" s="54" t="n">
        <x:v>0.21435</x:v>
      </x:c>
      <x:c r="M223" s="54" t="n">
        <x:v>0.42113</x:v>
      </x:c>
      <x:c r="N223" s="56" t="n">
        <x:v>11.76</x:v>
      </x:c>
      <x:c r="O223" s="56" t="n">
        <x:v>0.31</x:v>
      </x:c>
      <x:c r="P223" s="56" t="n">
        <x:v>0.22</x:v>
      </x:c>
      <x:c r="Q223" s="56" t="n">
        <x:v>79</x:v>
      </x:c>
      <x:c r="R223" t="str">
        <x:v>X</x:v>
      </x:c>
      <x:c r="S223" s="102" t="n">
        <x:v>100</x:v>
      </x:c>
      <x:c r="T223" t="str">
        <x:v>VALID</x:v>
      </x:c>
      <x:c r="U223" t="str">
        <x:f>IF(T223="IN TARGET BAND","Yes","No")</x:f>
        <x:v>No</x:v>
      </x:c>
      <x:c r="V223" t="n">
        <x:v>2391</x:v>
      </x:c>
      <x:c r="W223" t="str">
        <x:v>Pasted text(56).txt</x:v>
      </x:c>
    </x:row>
    <x:row r="224">
      <x:c r="A224" t="str">
        <x:v>S06</x:v>
      </x:c>
      <x:c r="B224" t="str">
        <x:v>0.30 low-amplitude limit validation</x:v>
      </x:c>
      <x:c r="C224" s="54" t="n">
        <x:v>0.3</x:v>
      </x:c>
      <x:c r="D224" t="n">
        <x:v>4</x:v>
      </x:c>
      <x:c r="E224" t="str">
        <x:v>FAIL</x:v>
      </x:c>
      <x:c r="F224" t="n">
        <x:v>2</x:v>
      </x:c>
      <x:c r="G224" t="n">
        <x:v>3</x:v>
      </x:c>
      <x:c r="H224" s="54" t="n">
        <x:v>4.75</x:v>
      </x:c>
      <x:c r="I224" s="54" t="n">
        <x:v>0.31494</x:v>
      </x:c>
      <x:c r="J224" s="54" t="n">
        <x:v>0.31192</x:v>
      </x:c>
      <x:c r="K224" s="54" t="n">
        <x:v>0.11724</x:v>
      </x:c>
      <x:c r="L224" s="54" t="n">
        <x:v>0.20869</x:v>
      </x:c>
      <x:c r="M224" s="54" t="n">
        <x:v>0.39347</x:v>
      </x:c>
      <x:c r="N224" s="56" t="n">
        <x:v>4.98</x:v>
      </x:c>
      <x:c r="O224" s="56" t="n">
        <x:v>9.03</x:v>
      </x:c>
      <x:c r="P224" s="56" t="n">
        <x:v>7.65</x:v>
      </x:c>
      <x:c r="Q224" s="56" t="n">
        <x:v>75.1</x:v>
      </x:c>
      <x:c r="R224" t="str">
        <x:v>X</x:v>
      </x:c>
      <x:c r="S224" s="102" t="n">
        <x:v>100</x:v>
      </x:c>
      <x:c r="T224" t="str">
        <x:v>IN TARGET BAND</x:v>
      </x:c>
      <x:c r="U224" t="str">
        <x:f>IF(T224="IN TARGET BAND","Yes","No")</x:f>
        <x:v>Yes</x:v>
      </x:c>
      <x:c r="V224" t="n">
        <x:v>2392</x:v>
      </x:c>
      <x:c r="W224" t="str">
        <x:v>Pasted text(56).txt</x:v>
      </x:c>
    </x:row>
    <x:row r="225">
      <x:c r="A225" t="str">
        <x:v>S06</x:v>
      </x:c>
      <x:c r="B225" t="str">
        <x:v>0.30 low-amplitude limit validation</x:v>
      </x:c>
      <x:c r="C225" s="54" t="n">
        <x:v>0.3</x:v>
      </x:c>
      <x:c r="D225" t="n">
        <x:v>4</x:v>
      </x:c>
      <x:c r="E225" t="str">
        <x:v>FAIL</x:v>
      </x:c>
      <x:c r="F225" t="n">
        <x:v>2</x:v>
      </x:c>
      <x:c r="G225" t="n">
        <x:v>4</x:v>
      </x:c>
      <x:c r="H225" s="54" t="n">
        <x:v>4.75</x:v>
      </x:c>
      <x:c r="I225" s="54" t="n">
        <x:v>0.30404</x:v>
      </x:c>
      <x:c r="J225" s="54" t="n">
        <x:v>0.29734</x:v>
      </x:c>
      <x:c r="K225" s="54" t="n">
        <x:v>0.12343</x:v>
      </x:c>
      <x:c r="L225" s="54" t="n">
        <x:v>0.2337</x:v>
      </x:c>
      <x:c r="M225" s="54" t="n">
        <x:v>0.398</x:v>
      </x:c>
      <x:c r="N225" s="56" t="n">
        <x:v>1.35</x:v>
      </x:c>
      <x:c r="O225" s="56" t="n">
        <x:v>2.92</x:v>
      </x:c>
      <x:c r="P225" s="56" t="n">
        <x:v>5.74</x:v>
      </x:c>
      <x:c r="Q225" s="56" t="n">
        <x:v>72.7</x:v>
      </x:c>
      <x:c r="R225" t="str">
        <x:v>X</x:v>
      </x:c>
      <x:c r="S225" s="102" t="n">
        <x:v>100</x:v>
      </x:c>
      <x:c r="T225" t="str">
        <x:v>IN TARGET BAND</x:v>
      </x:c>
      <x:c r="U225" t="str">
        <x:f>IF(T225="IN TARGET BAND","Yes","No")</x:f>
        <x:v>Yes</x:v>
      </x:c>
      <x:c r="V225" t="n">
        <x:v>2393</x:v>
      </x:c>
      <x:c r="W225" t="str">
        <x:v>Pasted text(56).txt</x:v>
      </x:c>
    </x:row>
    <x:row r="226">
      <x:c r="A226" t="str">
        <x:v>S06</x:v>
      </x:c>
      <x:c r="B226" t="str">
        <x:v>0.30 low-amplitude limit validation</x:v>
      </x:c>
      <x:c r="C226" s="54" t="n">
        <x:v>0.3</x:v>
      </x:c>
      <x:c r="D226" t="n">
        <x:v>4</x:v>
      </x:c>
      <x:c r="E226" t="str">
        <x:v>FAIL</x:v>
      </x:c>
      <x:c r="F226" t="n">
        <x:v>2</x:v>
      </x:c>
      <x:c r="G226" t="n">
        <x:v>5</x:v>
      </x:c>
      <x:c r="H226" s="54" t="n">
        <x:v>4.75</x:v>
      </x:c>
      <x:c r="I226" s="54" t="n">
        <x:v>0.32817</x:v>
      </x:c>
      <x:c r="J226" s="54" t="n">
        <x:v>0.33098</x:v>
      </x:c>
      <x:c r="K226" s="54" t="n">
        <x:v>0.14511</x:v>
      </x:c>
      <x:c r="L226" s="54" t="n">
        <x:v>0.20957</x:v>
      </x:c>
      <x:c r="M226" s="54" t="n">
        <x:v>0.41795</x:v>
      </x:c>
      <x:c r="N226" s="56" t="n">
        <x:v>9.39</x:v>
      </x:c>
      <x:c r="O226" s="56" t="n">
        <x:v>3.12</x:v>
      </x:c>
      <x:c r="P226" s="56" t="n">
        <x:v>3.44</x:v>
      </x:c>
      <x:c r="Q226" s="56" t="n">
        <x:v>76.4</x:v>
      </x:c>
      <x:c r="R226" t="str">
        <x:v>X</x:v>
      </x:c>
      <x:c r="S226" s="102" t="n">
        <x:v>100</x:v>
      </x:c>
      <x:c r="T226" t="str">
        <x:v>VALID</x:v>
      </x:c>
      <x:c r="U226" t="str">
        <x:f>IF(T226="IN TARGET BAND","Yes","No")</x:f>
        <x:v>No</x:v>
      </x:c>
      <x:c r="V226" t="n">
        <x:v>2394</x:v>
      </x:c>
      <x:c r="W226" t="str">
        <x:v>Pasted text(56).txt</x:v>
      </x:c>
    </x:row>
    <x:row r="227">
      <x:c r="A227" t="str">
        <x:v>S06</x:v>
      </x:c>
      <x:c r="B227" t="str">
        <x:v>0.30 low-amplitude limit validation</x:v>
      </x:c>
      <x:c r="C227" s="54" t="n">
        <x:v>0.3</x:v>
      </x:c>
      <x:c r="D227" t="n">
        <x:v>4</x:v>
      </x:c>
      <x:c r="E227" t="str">
        <x:v>FAIL</x:v>
      </x:c>
      <x:c r="F227" t="n">
        <x:v>2</x:v>
      </x:c>
      <x:c r="G227" t="n">
        <x:v>6</x:v>
      </x:c>
      <x:c r="H227" s="54" t="n">
        <x:v>4.75</x:v>
      </x:c>
      <x:c r="I227" s="54" t="n">
        <x:v>0.32111</x:v>
      </x:c>
      <x:c r="J227" s="54" t="n">
        <x:v>0.32156</x:v>
      </x:c>
      <x:c r="K227" s="54" t="n">
        <x:v>0.14668</x:v>
      </x:c>
      <x:c r="L227" s="54" t="n">
        <x:v>0.20203</x:v>
      </x:c>
      <x:c r="M227" s="54" t="n">
        <x:v>0.40731</x:v>
      </x:c>
      <x:c r="N227" s="56" t="n">
        <x:v>7.04</x:v>
      </x:c>
      <x:c r="O227" s="56" t="n">
        <x:v>4.87</x:v>
      </x:c>
      <x:c r="P227" s="56" t="n">
        <x:v>3.49</x:v>
      </x:c>
      <x:c r="Q227" s="56" t="n">
        <x:v>75.4</x:v>
      </x:c>
      <x:c r="R227" t="str">
        <x:v>X</x:v>
      </x:c>
      <x:c r="S227" s="102" t="n">
        <x:v>100</x:v>
      </x:c>
      <x:c r="T227" t="str">
        <x:v>IN TARGET BAND</x:v>
      </x:c>
      <x:c r="U227" t="str">
        <x:f>IF(T227="IN TARGET BAND","Yes","No")</x:f>
        <x:v>Yes</x:v>
      </x:c>
      <x:c r="V227" t="n">
        <x:v>2395</x:v>
      </x:c>
      <x:c r="W227" t="str">
        <x:v>Pasted text(56).txt</x:v>
      </x:c>
    </x:row>
    <x:row r="228">
      <x:c r="A228" t="str">
        <x:v>S06</x:v>
      </x:c>
      <x:c r="B228" t="str">
        <x:v>0.30 low-amplitude limit validation</x:v>
      </x:c>
      <x:c r="C228" s="54" t="n">
        <x:v>0.3</x:v>
      </x:c>
      <x:c r="D228" t="n">
        <x:v>4</x:v>
      </x:c>
      <x:c r="E228" t="str">
        <x:v>FAIL</x:v>
      </x:c>
      <x:c r="F228" t="n">
        <x:v>2</x:v>
      </x:c>
      <x:c r="G228" t="n">
        <x:v>7</x:v>
      </x:c>
      <x:c r="H228" s="54" t="n">
        <x:v>4.75</x:v>
      </x:c>
      <x:c r="I228" s="54" t="n">
        <x:v>0.31195</x:v>
      </x:c>
      <x:c r="J228" s="54" t="n">
        <x:v>0.3181</x:v>
      </x:c>
      <x:c r="K228" s="54" t="n">
        <x:v>0.13723</x:v>
      </x:c>
      <x:c r="L228" s="54" t="n">
        <x:v>0.20005</x:v>
      </x:c>
      <x:c r="M228" s="54" t="n">
        <x:v>0.401</x:v>
      </x:c>
      <x:c r="N228" s="56" t="n">
        <x:v>3.98</x:v>
      </x:c>
      <x:c r="O228" s="56" t="n">
        <x:v>2.42</x:v>
      </x:c>
      <x:c r="P228" s="56" t="n">
        <x:v>4.8</x:v>
      </x:c>
      <x:c r="Q228" s="56" t="n">
        <x:v>76</x:v>
      </x:c>
      <x:c r="R228" t="str">
        <x:v>X</x:v>
      </x:c>
      <x:c r="S228" s="102" t="n">
        <x:v>100</x:v>
      </x:c>
      <x:c r="T228" t="str">
        <x:v>IN TARGET BAND</x:v>
      </x:c>
      <x:c r="U228" t="str">
        <x:f>IF(T228="IN TARGET BAND","Yes","No")</x:f>
        <x:v>Yes</x:v>
      </x:c>
      <x:c r="V228" t="n">
        <x:v>2396</x:v>
      </x:c>
      <x:c r="W228" t="str">
        <x:v>Pasted text(56).txt</x:v>
      </x:c>
    </x:row>
    <x:row r="229">
      <x:c r="A229" t="str">
        <x:v>S06</x:v>
      </x:c>
      <x:c r="B229" t="str">
        <x:v>0.30 low-amplitude limit validation</x:v>
      </x:c>
      <x:c r="C229" s="54" t="n">
        <x:v>0.3</x:v>
      </x:c>
      <x:c r="D229" t="n">
        <x:v>4</x:v>
      </x:c>
      <x:c r="E229" t="str">
        <x:v>FAIL</x:v>
      </x:c>
      <x:c r="F229" t="n">
        <x:v>2</x:v>
      </x:c>
      <x:c r="G229" t="n">
        <x:v>8</x:v>
      </x:c>
      <x:c r="H229" s="54" t="n">
        <x:v>4.75</x:v>
      </x:c>
      <x:c r="I229" s="54" t="n">
        <x:v>0.34281</x:v>
      </x:c>
      <x:c r="J229" s="54" t="n">
        <x:v>0.33616</x:v>
      </x:c>
      <x:c r="K229" s="54" t="n">
        <x:v>0.15908</x:v>
      </x:c>
      <x:c r="L229" s="54" t="n">
        <x:v>0.20493</x:v>
      </x:c>
      <x:c r="M229" s="54" t="n">
        <x:v>0.42511</x:v>
      </x:c>
      <x:c r="N229" s="56" t="n">
        <x:v>14.27</x:v>
      </x:c>
      <x:c r="O229" s="56" t="n">
        <x:v>2.19</x:v>
      </x:c>
      <x:c r="P229" s="56" t="n">
        <x:v>4.79</x:v>
      </x:c>
      <x:c r="Q229" s="56" t="n">
        <x:v>75</x:v>
      </x:c>
      <x:c r="R229" t="str">
        <x:v>X</x:v>
      </x:c>
      <x:c r="S229" s="102" t="n">
        <x:v>100</x:v>
      </x:c>
      <x:c r="T229" t="str">
        <x:v>VALID</x:v>
      </x:c>
      <x:c r="U229" t="str">
        <x:f>IF(T229="IN TARGET BAND","Yes","No")</x:f>
        <x:v>No</x:v>
      </x:c>
      <x:c r="V229" t="n">
        <x:v>2397</x:v>
      </x:c>
      <x:c r="W229" t="str">
        <x:v>Pasted text(56).txt</x:v>
      </x:c>
    </x:row>
    <x:row r="230">
      <x:c r="A230" t="str">
        <x:v>S06</x:v>
      </x:c>
      <x:c r="B230" t="str">
        <x:v>0.30 low-amplitude limit validation</x:v>
      </x:c>
      <x:c r="C230" s="54" t="n">
        <x:v>0.3</x:v>
      </x:c>
      <x:c r="D230" t="n">
        <x:v>4</x:v>
      </x:c>
      <x:c r="E230" t="str">
        <x:v>FAIL</x:v>
      </x:c>
      <x:c r="F230" t="n">
        <x:v>2</x:v>
      </x:c>
      <x:c r="G230" t="n">
        <x:v>9</x:v>
      </x:c>
      <x:c r="H230" s="54" t="n">
        <x:v>4.75</x:v>
      </x:c>
      <x:c r="I230" s="54" t="n">
        <x:v>0.32826</x:v>
      </x:c>
      <x:c r="J230" s="54" t="n">
        <x:v>0.3359</x:v>
      </x:c>
      <x:c r="K230" s="54" t="n">
        <x:v>0.14109</x:v>
      </x:c>
      <x:c r="L230" s="54" t="n">
        <x:v>0.20181</x:v>
      </x:c>
      <x:c r="M230" s="54" t="n">
        <x:v>0.41706</x:v>
      </x:c>
      <x:c r="N230" s="56" t="n">
        <x:v>9.42</x:v>
      </x:c>
      <x:c r="O230" s="56" t="n">
        <x:v>0.15</x:v>
      </x:c>
      <x:c r="P230" s="56" t="n">
        <x:v>4.02</x:v>
      </x:c>
      <x:c r="Q230" s="56" t="n">
        <x:v>77.1</x:v>
      </x:c>
      <x:c r="R230" t="str">
        <x:v>X</x:v>
      </x:c>
      <x:c r="S230" s="102" t="n">
        <x:v>100</x:v>
      </x:c>
      <x:c r="T230" t="str">
        <x:v>VALID</x:v>
      </x:c>
      <x:c r="U230" t="str">
        <x:f>IF(T230="IN TARGET BAND","Yes","No")</x:f>
        <x:v>No</x:v>
      </x:c>
      <x:c r="V230" t="n">
        <x:v>2398</x:v>
      </x:c>
      <x:c r="W230" t="str">
        <x:v>Pasted text(56).txt</x:v>
      </x:c>
    </x:row>
    <x:row r="231">
      <x:c r="A231" t="str">
        <x:v>S06</x:v>
      </x:c>
      <x:c r="B231" t="str">
        <x:v>0.30 low-amplitude limit validation</x:v>
      </x:c>
      <x:c r="C231" s="54" t="n">
        <x:v>0.3</x:v>
      </x:c>
      <x:c r="D231" t="n">
        <x:v>4</x:v>
      </x:c>
      <x:c r="E231" t="str">
        <x:v>FAIL</x:v>
      </x:c>
      <x:c r="F231" t="n">
        <x:v>2</x:v>
      </x:c>
      <x:c r="G231" t="n">
        <x:v>10</x:v>
      </x:c>
      <x:c r="H231" s="54" t="n">
        <x:v>4.75</x:v>
      </x:c>
      <x:c r="I231" s="54" t="n">
        <x:v>0.31649</x:v>
      </x:c>
      <x:c r="J231" s="54" t="n">
        <x:v>0.31938</x:v>
      </x:c>
      <x:c r="K231" s="54" t="n">
        <x:v>0.14067</x:v>
      </x:c>
      <x:c r="L231" s="54" t="n">
        <x:v>0.20694</x:v>
      </x:c>
      <x:c r="M231" s="54" t="n">
        <x:v>0.407</x:v>
      </x:c>
      <x:c r="N231" s="56" t="n">
        <x:v>5.5</x:v>
      </x:c>
      <x:c r="O231" s="56" t="n">
        <x:v>4.86</x:v>
      </x:c>
      <x:c r="P231" s="56" t="n">
        <x:v>4.67</x:v>
      </x:c>
      <x:c r="Q231" s="56" t="n">
        <x:v>74.9</x:v>
      </x:c>
      <x:c r="R231" t="str">
        <x:v>X</x:v>
      </x:c>
      <x:c r="S231" s="102" t="n">
        <x:v>100</x:v>
      </x:c>
      <x:c r="T231" t="str">
        <x:v>IN TARGET BAND</x:v>
      </x:c>
      <x:c r="U231" t="str">
        <x:f>IF(T231="IN TARGET BAND","Yes","No")</x:f>
        <x:v>Yes</x:v>
      </x:c>
      <x:c r="V231" t="n">
        <x:v>2399</x:v>
      </x:c>
      <x:c r="W231" t="str">
        <x:v>Pasted text(56).txt</x:v>
      </x:c>
    </x:row>
    <x:row r="232">
      <x:c r="A232" t="str">
        <x:v>S06</x:v>
      </x:c>
      <x:c r="B232" t="str">
        <x:v>0.30 low-amplitude limit validation</x:v>
      </x:c>
      <x:c r="C232" s="54" t="n">
        <x:v>0.3</x:v>
      </x:c>
      <x:c r="D232" t="n">
        <x:v>5</x:v>
      </x:c>
      <x:c r="E232" t="str">
        <x:v>PASS</x:v>
      </x:c>
      <x:c r="F232" t="n">
        <x:v>1</x:v>
      </x:c>
      <x:c r="G232" t="n">
        <x:v>1</x:v>
      </x:c>
      <x:c r="H232" s="54" t="n">
        <x:v>4.5</x:v>
      </x:c>
      <x:c r="I232" s="54" t="n">
        <x:v>0.28384</x:v>
      </x:c>
      <x:c r="J232" s="54" t="n">
        <x:v>0.28045</x:v>
      </x:c>
      <x:c r="K232" s="54" t="n">
        <x:v>0.1241</x:v>
      </x:c>
      <x:c r="L232" s="54" t="n">
        <x:v>0.21473</x:v>
      </x:c>
      <x:c r="M232" s="54" t="n">
        <x:v>0.37553</x:v>
      </x:c>
      <x:c r="N232" s="56" t="n">
        <x:v>-5.39</x:v>
      </x:c>
      <x:c r="O232" s="56" t="n">
        <x:v>1.06</x:v>
      </x:c>
      <x:c r="P232" s="56" t="n">
        <x:v>2.75</x:v>
      </x:c>
      <x:c r="Q232" s="56" t="n">
        <x:v>68.8</x:v>
      </x:c>
      <x:c r="R232" t="str">
        <x:v>X</x:v>
      </x:c>
      <x:c r="S232" s="102" t="n">
        <x:v>100</x:v>
      </x:c>
      <x:c r="T232" t="str">
        <x:v>IN TARGET BAND</x:v>
      </x:c>
      <x:c r="U232" t="str">
        <x:f>IF(T232="IN TARGET BAND","Yes","No")</x:f>
        <x:v>Yes</x:v>
      </x:c>
      <x:c r="V232" t="n">
        <x:v>2464</x:v>
      </x:c>
      <x:c r="W232" t="str">
        <x:v>Pasted text(56).txt</x:v>
      </x:c>
    </x:row>
    <x:row r="233">
      <x:c r="A233" t="str">
        <x:v>S06</x:v>
      </x:c>
      <x:c r="B233" t="str">
        <x:v>0.30 low-amplitude limit validation</x:v>
      </x:c>
      <x:c r="C233" s="54" t="n">
        <x:v>0.3</x:v>
      </x:c>
      <x:c r="D233" t="n">
        <x:v>5</x:v>
      </x:c>
      <x:c r="E233" t="str">
        <x:v>PASS</x:v>
      </x:c>
      <x:c r="F233" t="n">
        <x:v>1</x:v>
      </x:c>
      <x:c r="G233" t="n">
        <x:v>2</x:v>
      </x:c>
      <x:c r="H233" s="54" t="n">
        <x:v>4.5</x:v>
      </x:c>
      <x:c r="I233" s="54" t="n">
        <x:v>0.30569</x:v>
      </x:c>
      <x:c r="J233" s="54" t="n">
        <x:v>0.30579</x:v>
      </x:c>
      <x:c r="K233" s="54" t="n">
        <x:v>0.13006</x:v>
      </x:c>
      <x:c r="L233" s="54" t="n">
        <x:v>0.1914</x:v>
      </x:c>
      <x:c r="M233" s="54" t="n">
        <x:v>0.38399</x:v>
      </x:c>
      <x:c r="N233" s="56" t="n">
        <x:v>1.9</x:v>
      </x:c>
      <x:c r="O233" s="56" t="n">
        <x:v>6.31</x:v>
      </x:c>
      <x:c r="P233" s="56" t="n">
        <x:v>4.3</x:v>
      </x:c>
      <x:c r="Q233" s="56" t="n">
        <x:v>74.2</x:v>
      </x:c>
      <x:c r="R233" t="str">
        <x:v>X</x:v>
      </x:c>
      <x:c r="S233" s="102" t="n">
        <x:v>100</x:v>
      </x:c>
      <x:c r="T233" t="str">
        <x:v>IN TARGET BAND</x:v>
      </x:c>
      <x:c r="U233" t="str">
        <x:f>IF(T233="IN TARGET BAND","Yes","No")</x:f>
        <x:v>Yes</x:v>
      </x:c>
      <x:c r="V233" t="n">
        <x:v>2465</x:v>
      </x:c>
      <x:c r="W233" t="str">
        <x:v>Pasted text(56).txt</x:v>
      </x:c>
    </x:row>
    <x:row r="234">
      <x:c r="A234" t="str">
        <x:v>S06</x:v>
      </x:c>
      <x:c r="B234" t="str">
        <x:v>0.30 low-amplitude limit validation</x:v>
      </x:c>
      <x:c r="C234" s="54" t="n">
        <x:v>0.3</x:v>
      </x:c>
      <x:c r="D234" t="n">
        <x:v>5</x:v>
      </x:c>
      <x:c r="E234" t="str">
        <x:v>PASS</x:v>
      </x:c>
      <x:c r="F234" t="n">
        <x:v>1</x:v>
      </x:c>
      <x:c r="G234" t="n">
        <x:v>3</x:v>
      </x:c>
      <x:c r="H234" s="54" t="n">
        <x:v>4.5</x:v>
      </x:c>
      <x:c r="I234" s="54" t="n">
        <x:v>0.2946</x:v>
      </x:c>
      <x:c r="J234" s="54" t="n">
        <x:v>0.28586</x:v>
      </x:c>
      <x:c r="K234" s="54" t="n">
        <x:v>0.12322</x:v>
      </x:c>
      <x:c r="L234" s="54" t="n">
        <x:v>0.19008</x:v>
      </x:c>
      <x:c r="M234" s="54" t="n">
        <x:v>0.36522</x:v>
      </x:c>
      <x:c r="N234" s="56" t="n">
        <x:v>-1.8</x:v>
      </x:c>
      <x:c r="O234" s="56" t="n">
        <x:v>1.05</x:v>
      </x:c>
      <x:c r="P234" s="56" t="n">
        <x:v>5.94</x:v>
      </x:c>
      <x:c r="Q234" s="56" t="n">
        <x:v>71.5</x:v>
      </x:c>
      <x:c r="R234" t="str">
        <x:v>X</x:v>
      </x:c>
      <x:c r="S234" s="102" t="n">
        <x:v>100</x:v>
      </x:c>
      <x:c r="T234" t="str">
        <x:v>IN TARGET BAND</x:v>
      </x:c>
      <x:c r="U234" t="str">
        <x:f>IF(T234="IN TARGET BAND","Yes","No")</x:f>
        <x:v>Yes</x:v>
      </x:c>
      <x:c r="V234" t="n">
        <x:v>2466</x:v>
      </x:c>
      <x:c r="W234" t="str">
        <x:v>Pasted text(56).txt</x:v>
      </x:c>
    </x:row>
    <x:row r="235">
      <x:c r="A235" t="str">
        <x:v>S06</x:v>
      </x:c>
      <x:c r="B235" t="str">
        <x:v>0.30 low-amplitude limit validation</x:v>
      </x:c>
      <x:c r="C235" s="54" t="n">
        <x:v>0.3</x:v>
      </x:c>
      <x:c r="D235" t="n">
        <x:v>5</x:v>
      </x:c>
      <x:c r="E235" t="str">
        <x:v>PASS</x:v>
      </x:c>
      <x:c r="F235" t="n">
        <x:v>1</x:v>
      </x:c>
      <x:c r="G235" t="n">
        <x:v>4</x:v>
      </x:c>
      <x:c r="H235" s="54" t="n">
        <x:v>4.5</x:v>
      </x:c>
      <x:c r="I235" s="54" t="n">
        <x:v>0.27726</x:v>
      </x:c>
      <x:c r="J235" s="54" t="n">
        <x:v>0.2792</x:v>
      </x:c>
      <x:c r="K235" s="54" t="n">
        <x:v>0.11402</x:v>
      </x:c>
      <x:c r="L235" s="54" t="n">
        <x:v>0.17284</x:v>
      </x:c>
      <x:c r="M235" s="54" t="n">
        <x:v>0.3482</x:v>
      </x:c>
      <x:c r="N235" s="56" t="n">
        <x:v>-7.58</x:v>
      </x:c>
      <x:c r="O235" s="56" t="n">
        <x:v>1.97</x:v>
      </x:c>
      <x:c r="P235" s="56" t="n">
        <x:v>2.43</x:v>
      </x:c>
      <x:c r="Q235" s="56" t="n">
        <x:v>68.3</x:v>
      </x:c>
      <x:c r="R235" t="str">
        <x:v>X</x:v>
      </x:c>
      <x:c r="S235" s="102" t="n">
        <x:v>100</x:v>
      </x:c>
      <x:c r="T235" t="str">
        <x:v>VALID</x:v>
      </x:c>
      <x:c r="U235" t="str">
        <x:f>IF(T235="IN TARGET BAND","Yes","No")</x:f>
        <x:v>No</x:v>
      </x:c>
      <x:c r="V235" t="n">
        <x:v>2467</x:v>
      </x:c>
      <x:c r="W235" t="str">
        <x:v>Pasted text(56).txt</x:v>
      </x:c>
    </x:row>
    <x:row r="236">
      <x:c r="A236" t="str">
        <x:v>S06</x:v>
      </x:c>
      <x:c r="B236" t="str">
        <x:v>0.30 low-amplitude limit validation</x:v>
      </x:c>
      <x:c r="C236" s="54" t="n">
        <x:v>0.3</x:v>
      </x:c>
      <x:c r="D236" t="n">
        <x:v>5</x:v>
      </x:c>
      <x:c r="E236" t="str">
        <x:v>PASS</x:v>
      </x:c>
      <x:c r="F236" t="n">
        <x:v>1</x:v>
      </x:c>
      <x:c r="G236" t="n">
        <x:v>5</x:v>
      </x:c>
      <x:c r="H236" s="54" t="n">
        <x:v>4.5</x:v>
      </x:c>
      <x:c r="I236" s="54" t="n">
        <x:v>0.28758</x:v>
      </x:c>
      <x:c r="J236" s="54" t="n">
        <x:v>0.27961</x:v>
      </x:c>
      <x:c r="K236" s="54" t="n">
        <x:v>0.11854</x:v>
      </x:c>
      <x:c r="L236" s="54" t="n">
        <x:v>0.18965</x:v>
      </x:c>
      <x:c r="M236" s="54" t="n">
        <x:v>0.35827</x:v>
      </x:c>
      <x:c r="N236" s="56" t="n">
        <x:v>-4.14</x:v>
      </x:c>
      <x:c r="O236" s="56" t="n">
        <x:v>6.56</x:v>
      </x:c>
      <x:c r="P236" s="56" t="n">
        <x:v>9.17</x:v>
      </x:c>
      <x:c r="Q236" s="56" t="n">
        <x:v>69.2</x:v>
      </x:c>
      <x:c r="R236" t="str">
        <x:v>X</x:v>
      </x:c>
      <x:c r="S236" s="102" t="n">
        <x:v>100</x:v>
      </x:c>
      <x:c r="T236" t="str">
        <x:v>IN TARGET BAND</x:v>
      </x:c>
      <x:c r="U236" t="str">
        <x:f>IF(T236="IN TARGET BAND","Yes","No")</x:f>
        <x:v>Yes</x:v>
      </x:c>
      <x:c r="V236" t="n">
        <x:v>2468</x:v>
      </x:c>
      <x:c r="W236" t="str">
        <x:v>Pasted text(56).txt</x:v>
      </x:c>
    </x:row>
    <x:row r="237">
      <x:c r="A237" t="str">
        <x:v>S06</x:v>
      </x:c>
      <x:c r="B237" t="str">
        <x:v>0.30 low-amplitude limit validation</x:v>
      </x:c>
      <x:c r="C237" s="54" t="n">
        <x:v>0.3</x:v>
      </x:c>
      <x:c r="D237" t="n">
        <x:v>5</x:v>
      </x:c>
      <x:c r="E237" t="str">
        <x:v>PASS</x:v>
      </x:c>
      <x:c r="F237" t="n">
        <x:v>1</x:v>
      </x:c>
      <x:c r="G237" t="n">
        <x:v>6</x:v>
      </x:c>
      <x:c r="H237" s="54" t="n">
        <x:v>4.5</x:v>
      </x:c>
      <x:c r="I237" s="54" t="n">
        <x:v>0.3088</x:v>
      </x:c>
      <x:c r="J237" s="54" t="n">
        <x:v>0.30774</x:v>
      </x:c>
      <x:c r="K237" s="54" t="n">
        <x:v>0.15087</x:v>
      </x:c>
      <x:c r="L237" s="54" t="n">
        <x:v>0.17173</x:v>
      </x:c>
      <x:c r="M237" s="54" t="n">
        <x:v>0.38513</x:v>
      </x:c>
      <x:c r="N237" s="56" t="n">
        <x:v>2.93</x:v>
      </x:c>
      <x:c r="O237" s="56" t="n">
        <x:v>1.42</x:v>
      </x:c>
      <x:c r="P237" s="56" t="n">
        <x:v>1.51</x:v>
      </x:c>
      <x:c r="Q237" s="56" t="n">
        <x:v>73.6</x:v>
      </x:c>
      <x:c r="R237" t="str">
        <x:v>X</x:v>
      </x:c>
      <x:c r="S237" s="102" t="n">
        <x:v>100</x:v>
      </x:c>
      <x:c r="T237" t="str">
        <x:v>IN TARGET BAND</x:v>
      </x:c>
      <x:c r="U237" t="str">
        <x:f>IF(T237="IN TARGET BAND","Yes","No")</x:f>
        <x:v>Yes</x:v>
      </x:c>
      <x:c r="V237" t="n">
        <x:v>2469</x:v>
      </x:c>
      <x:c r="W237" t="str">
        <x:v>Pasted text(56).txt</x:v>
      </x:c>
    </x:row>
    <x:row r="238">
      <x:c r="A238" t="str">
        <x:v>S06</x:v>
      </x:c>
      <x:c r="B238" t="str">
        <x:v>0.30 low-amplitude limit validation</x:v>
      </x:c>
      <x:c r="C238" s="54" t="n">
        <x:v>0.3</x:v>
      </x:c>
      <x:c r="D238" t="n">
        <x:v>5</x:v>
      </x:c>
      <x:c r="E238" t="str">
        <x:v>PASS</x:v>
      </x:c>
      <x:c r="F238" t="n">
        <x:v>1</x:v>
      </x:c>
      <x:c r="G238" t="n">
        <x:v>7</x:v>
      </x:c>
      <x:c r="H238" s="54" t="n">
        <x:v>4.5</x:v>
      </x:c>
      <x:c r="I238" s="54" t="n">
        <x:v>0.27529</x:v>
      </x:c>
      <x:c r="J238" s="54" t="n">
        <x:v>0.27666</x:v>
      </x:c>
      <x:c r="K238" s="54" t="n">
        <x:v>0.124</x:v>
      </x:c>
      <x:c r="L238" s="54" t="n">
        <x:v>0.19609</x:v>
      </x:c>
      <x:c r="M238" s="54" t="n">
        <x:v>0.36165</x:v>
      </x:c>
      <x:c r="N238" s="56" t="n">
        <x:v>-8.24</x:v>
      </x:c>
      <x:c r="O238" s="56" t="n">
        <x:v>6.44</x:v>
      </x:c>
      <x:c r="P238" s="56" t="n">
        <x:v>5.08</x:v>
      </x:c>
      <x:c r="Q238" s="56" t="n">
        <x:v>68.4</x:v>
      </x:c>
      <x:c r="R238" t="str">
        <x:v>X</x:v>
      </x:c>
      <x:c r="S238" s="102" t="n">
        <x:v>100</x:v>
      </x:c>
      <x:c r="T238" t="str">
        <x:v>VALID</x:v>
      </x:c>
      <x:c r="U238" t="str">
        <x:f>IF(T238="IN TARGET BAND","Yes","No")</x:f>
        <x:v>No</x:v>
      </x:c>
      <x:c r="V238" t="n">
        <x:v>2470</x:v>
      </x:c>
      <x:c r="W238" t="str">
        <x:v>Pasted text(56).txt</x:v>
      </x:c>
    </x:row>
    <x:row r="239">
      <x:c r="A239" t="str">
        <x:v>S06</x:v>
      </x:c>
      <x:c r="B239" t="str">
        <x:v>0.30 low-amplitude limit validation</x:v>
      </x:c>
      <x:c r="C239" s="54" t="n">
        <x:v>0.3</x:v>
      </x:c>
      <x:c r="D239" t="n">
        <x:v>5</x:v>
      </x:c>
      <x:c r="E239" t="str">
        <x:v>PASS</x:v>
      </x:c>
      <x:c r="F239" t="n">
        <x:v>1</x:v>
      </x:c>
      <x:c r="G239" t="n">
        <x:v>8</x:v>
      </x:c>
      <x:c r="H239" s="54" t="n">
        <x:v>4.5</x:v>
      </x:c>
      <x:c r="I239" s="54" t="n">
        <x:v>0.28208</x:v>
      </x:c>
      <x:c r="J239" s="54" t="n">
        <x:v>0.28261</x:v>
      </x:c>
      <x:c r="K239" s="54" t="n">
        <x:v>0.11227</x:v>
      </x:c>
      <x:c r="L239" s="54" t="n">
        <x:v>0.17544</x:v>
      </x:c>
      <x:c r="M239" s="54" t="n">
        <x:v>0.35161</x:v>
      </x:c>
      <x:c r="N239" s="56" t="n">
        <x:v>-5.97</x:v>
      </x:c>
      <x:c r="O239" s="56" t="n">
        <x:v>0.74</x:v>
      </x:c>
      <x:c r="P239" s="56" t="n">
        <x:v>0.8</x:v>
      </x:c>
      <x:c r="Q239" s="56" t="n">
        <x:v>68.5</x:v>
      </x:c>
      <x:c r="R239" t="str">
        <x:v>X</x:v>
      </x:c>
      <x:c r="S239" s="102" t="n">
        <x:v>100</x:v>
      </x:c>
      <x:c r="T239" t="str">
        <x:v>IN TARGET BAND</x:v>
      </x:c>
      <x:c r="U239" t="str">
        <x:f>IF(T239="IN TARGET BAND","Yes","No")</x:f>
        <x:v>Yes</x:v>
      </x:c>
      <x:c r="V239" t="n">
        <x:v>2471</x:v>
      </x:c>
      <x:c r="W239" t="str">
        <x:v>Pasted text(56).txt</x:v>
      </x:c>
    </x:row>
    <x:row r="240">
      <x:c r="A240" t="str">
        <x:v>S06</x:v>
      </x:c>
      <x:c r="B240" t="str">
        <x:v>0.30 low-amplitude limit validation</x:v>
      </x:c>
      <x:c r="C240" s="54" t="n">
        <x:v>0.3</x:v>
      </x:c>
      <x:c r="D240" t="n">
        <x:v>5</x:v>
      </x:c>
      <x:c r="E240" t="str">
        <x:v>PASS</x:v>
      </x:c>
      <x:c r="F240" t="n">
        <x:v>1</x:v>
      </x:c>
      <x:c r="G240" t="n">
        <x:v>9</x:v>
      </x:c>
      <x:c r="H240" s="54" t="n">
        <x:v>4.5</x:v>
      </x:c>
      <x:c r="I240" s="54" t="n">
        <x:v>0.29025</x:v>
      </x:c>
      <x:c r="J240" s="54" t="n">
        <x:v>0.2979</x:v>
      </x:c>
      <x:c r="K240" s="54" t="n">
        <x:v>0.13107</x:v>
      </x:c>
      <x:c r="L240" s="54" t="n">
        <x:v>0.18547</x:v>
      </x:c>
      <x:c r="M240" s="54" t="n">
        <x:v>0.37467</x:v>
      </x:c>
      <x:c r="N240" s="56" t="n">
        <x:v>-3.25</x:v>
      </x:c>
      <x:c r="O240" s="56" t="n">
        <x:v>3.44</x:v>
      </x:c>
      <x:c r="P240" s="56" t="n">
        <x:v>6.51</x:v>
      </x:c>
      <x:c r="Q240" s="56" t="n">
        <x:v>72.3</x:v>
      </x:c>
      <x:c r="R240" t="str">
        <x:v>X</x:v>
      </x:c>
      <x:c r="S240" s="102" t="n">
        <x:v>100</x:v>
      </x:c>
      <x:c r="T240" t="str">
        <x:v>IN TARGET BAND</x:v>
      </x:c>
      <x:c r="U240" t="str">
        <x:f>IF(T240="IN TARGET BAND","Yes","No")</x:f>
        <x:v>Yes</x:v>
      </x:c>
      <x:c r="V240" t="n">
        <x:v>2472</x:v>
      </x:c>
      <x:c r="W240" t="str">
        <x:v>Pasted text(56).txt</x:v>
      </x:c>
    </x:row>
    <x:row r="241">
      <x:c r="A241" t="str">
        <x:v>S06</x:v>
      </x:c>
      <x:c r="B241" t="str">
        <x:v>0.30 low-amplitude limit validation</x:v>
      </x:c>
      <x:c r="C241" s="54" t="n">
        <x:v>0.3</x:v>
      </x:c>
      <x:c r="D241" t="n">
        <x:v>5</x:v>
      </x:c>
      <x:c r="E241" t="str">
        <x:v>PASS</x:v>
      </x:c>
      <x:c r="F241" t="n">
        <x:v>1</x:v>
      </x:c>
      <x:c r="G241" t="n">
        <x:v>10</x:v>
      </x:c>
      <x:c r="H241" s="54" t="n">
        <x:v>4.5</x:v>
      </x:c>
      <x:c r="I241" s="54" t="n">
        <x:v>0.28977</x:v>
      </x:c>
      <x:c r="J241" s="54" t="n">
        <x:v>0.28254</x:v>
      </x:c>
      <x:c r="K241" s="54" t="n">
        <x:v>0.13056</x:v>
      </x:c>
      <x:c r="L241" s="54" t="n">
        <x:v>0.18402</x:v>
      </x:c>
      <x:c r="M241" s="54" t="n">
        <x:v>0.36208</x:v>
      </x:c>
      <x:c r="N241" s="56" t="n">
        <x:v>-3.41</x:v>
      </x:c>
      <x:c r="O241" s="56" t="n">
        <x:v>8.71</x:v>
      </x:c>
      <x:c r="P241" s="56" t="n">
        <x:v>10.11</x:v>
      </x:c>
      <x:c r="Q241" s="56" t="n">
        <x:v>71.3</x:v>
      </x:c>
      <x:c r="R241" t="str">
        <x:v>X</x:v>
      </x:c>
      <x:c r="S241" s="102" t="n">
        <x:v>100</x:v>
      </x:c>
      <x:c r="T241" t="str">
        <x:v>IN TARGET BAND</x:v>
      </x:c>
      <x:c r="U241" t="str">
        <x:f>IF(T241="IN TARGET BAND","Yes","No")</x:f>
        <x:v>Yes</x:v>
      </x:c>
      <x:c r="V241" t="n">
        <x:v>2473</x:v>
      </x:c>
      <x:c r="W241" t="str">
        <x:v>Pasted text(56).txt</x:v>
      </x:c>
    </x:row>
    <x:row r="242">
      <x:c r="A242" t="str">
        <x:v>S08</x:v>
      </x:c>
      <x:c r="B242" t="str">
        <x:v>0.65 five-run validation</x:v>
      </x:c>
      <x:c r="C242" s="54" t="n">
        <x:v>0.65</x:v>
      </x:c>
      <x:c r="D242" t="n">
        <x:v>1</x:v>
      </x:c>
      <x:c r="E242" t="str">
        <x:v>PASS</x:v>
      </x:c>
      <x:c r="F242" t="n">
        <x:v>1</x:v>
      </x:c>
      <x:c r="G242" t="n">
        <x:v>1</x:v>
      </x:c>
      <x:c r="H242" s="54" t="n">
        <x:v>8.25</x:v>
      </x:c>
      <x:c r="I242" s="54" t="n">
        <x:v>0.64795</x:v>
      </x:c>
      <x:c r="J242" s="54" t="n">
        <x:v>0.64962</x:v>
      </x:c>
      <x:c r="K242" s="54" t="n">
        <x:v>0.13401</x:v>
      </x:c>
      <x:c r="L242" s="54" t="n">
        <x:v>0.32128</x:v>
      </x:c>
      <x:c r="M242" s="54" t="n">
        <x:v>0.73742</x:v>
      </x:c>
      <x:c r="N242" s="56" t="n">
        <x:v>-0.32</x:v>
      </x:c>
      <x:c r="O242" s="56" t="n">
        <x:v>0.06</x:v>
      </x:c>
      <x:c r="P242" s="56" t="n">
        <x:v>0.48</x:v>
      </x:c>
      <x:c r="Q242" s="56" t="n">
        <x:v>89</x:v>
      </x:c>
      <x:c r="R242" t="str">
        <x:v>X</x:v>
      </x:c>
      <x:c r="S242" s="102" t="n">
        <x:v>100</x:v>
      </x:c>
      <x:c r="T242" t="str">
        <x:v>IN TARGET BAND</x:v>
      </x:c>
      <x:c r="U242" t="str">
        <x:f>IF(T242="IN TARGET BAND","Yes","No")</x:f>
        <x:v>Yes</x:v>
      </x:c>
      <x:c r="V242" t="n">
        <x:v>2660</x:v>
      </x:c>
      <x:c r="W242" t="str">
        <x:v>Pasted text(56).txt</x:v>
      </x:c>
    </x:row>
    <x:row r="243">
      <x:c r="A243" t="str">
        <x:v>S08</x:v>
      </x:c>
      <x:c r="B243" t="str">
        <x:v>0.65 five-run validation</x:v>
      </x:c>
      <x:c r="C243" s="54" t="n">
        <x:v>0.65</x:v>
      </x:c>
      <x:c r="D243" t="n">
        <x:v>1</x:v>
      </x:c>
      <x:c r="E243" t="str">
        <x:v>PASS</x:v>
      </x:c>
      <x:c r="F243" t="n">
        <x:v>1</x:v>
      </x:c>
      <x:c r="G243" t="n">
        <x:v>2</x:v>
      </x:c>
      <x:c r="H243" s="54" t="n">
        <x:v>8.25</x:v>
      </x:c>
      <x:c r="I243" s="54" t="n">
        <x:v>0.6458</x:v>
      </x:c>
      <x:c r="J243" s="54" t="n">
        <x:v>0.64741</x:v>
      </x:c>
      <x:c r="K243" s="54" t="n">
        <x:v>0.13861</x:v>
      </x:c>
      <x:c r="L243" s="54" t="n">
        <x:v>0.33774</x:v>
      </x:c>
      <x:c r="M243" s="54" t="n">
        <x:v>0.74335</x:v>
      </x:c>
      <x:c r="N243" s="56" t="n">
        <x:v>-0.65</x:v>
      </x:c>
      <x:c r="O243" s="56" t="n">
        <x:v>2.15</x:v>
      </x:c>
      <x:c r="P243" s="56" t="n">
        <x:v>1.83</x:v>
      </x:c>
      <x:c r="Q243" s="56" t="n">
        <x:v>90.4</x:v>
      </x:c>
      <x:c r="R243" t="str">
        <x:v>X</x:v>
      </x:c>
      <x:c r="S243" s="102" t="n">
        <x:v>100</x:v>
      </x:c>
      <x:c r="T243" t="str">
        <x:v>IN TARGET BAND</x:v>
      </x:c>
      <x:c r="U243" t="str">
        <x:f>IF(T243="IN TARGET BAND","Yes","No")</x:f>
        <x:v>Yes</x:v>
      </x:c>
      <x:c r="V243" t="n">
        <x:v>2661</x:v>
      </x:c>
      <x:c r="W243" t="str">
        <x:v>Pasted text(56).txt</x:v>
      </x:c>
    </x:row>
    <x:row r="244">
      <x:c r="A244" t="str">
        <x:v>S08</x:v>
      </x:c>
      <x:c r="B244" t="str">
        <x:v>0.65 five-run validation</x:v>
      </x:c>
      <x:c r="C244" s="54" t="n">
        <x:v>0.65</x:v>
      </x:c>
      <x:c r="D244" t="n">
        <x:v>1</x:v>
      </x:c>
      <x:c r="E244" t="str">
        <x:v>PASS</x:v>
      </x:c>
      <x:c r="F244" t="n">
        <x:v>1</x:v>
      </x:c>
      <x:c r="G244" t="n">
        <x:v>3</x:v>
      </x:c>
      <x:c r="H244" s="54" t="n">
        <x:v>8.25</x:v>
      </x:c>
      <x:c r="I244" s="54" t="n">
        <x:v>0.658</x:v>
      </x:c>
      <x:c r="J244" s="54" t="n">
        <x:v>0.65877</x:v>
      </x:c>
      <x:c r="K244" s="54" t="n">
        <x:v>0.14221</x:v>
      </x:c>
      <x:c r="L244" s="54" t="n">
        <x:v>0.31381</x:v>
      </x:c>
      <x:c r="M244" s="54" t="n">
        <x:v>0.74356</x:v>
      </x:c>
      <x:c r="N244" s="56" t="n">
        <x:v>1.23</x:v>
      </x:c>
      <x:c r="O244" s="56" t="n">
        <x:v>0.34</x:v>
      </x:c>
      <x:c r="P244" s="56" t="n">
        <x:v>0.42</x:v>
      </x:c>
      <x:c r="Q244" s="56" t="n">
        <x:v>90.4</x:v>
      </x:c>
      <x:c r="R244" t="str">
        <x:v>X</x:v>
      </x:c>
      <x:c r="S244" s="102" t="n">
        <x:v>100</x:v>
      </x:c>
      <x:c r="T244" t="str">
        <x:v>IN TARGET BAND</x:v>
      </x:c>
      <x:c r="U244" t="str">
        <x:f>IF(T244="IN TARGET BAND","Yes","No")</x:f>
        <x:v>Yes</x:v>
      </x:c>
      <x:c r="V244" t="n">
        <x:v>2662</x:v>
      </x:c>
      <x:c r="W244" t="str">
        <x:v>Pasted text(56).txt</x:v>
      </x:c>
    </x:row>
    <x:row r="245">
      <x:c r="A245" t="str">
        <x:v>S08</x:v>
      </x:c>
      <x:c r="B245" t="str">
        <x:v>0.65 five-run validation</x:v>
      </x:c>
      <x:c r="C245" s="54" t="n">
        <x:v>0.65</x:v>
      </x:c>
      <x:c r="D245" t="n">
        <x:v>1</x:v>
      </x:c>
      <x:c r="E245" t="str">
        <x:v>PASS</x:v>
      </x:c>
      <x:c r="F245" t="n">
        <x:v>1</x:v>
      </x:c>
      <x:c r="G245" t="n">
        <x:v>4</x:v>
      </x:c>
      <x:c r="H245" s="54" t="n">
        <x:v>8.25</x:v>
      </x:c>
      <x:c r="I245" s="54" t="n">
        <x:v>0.65475</x:v>
      </x:c>
      <x:c r="J245" s="54" t="n">
        <x:v>0.65537</x:v>
      </x:c>
      <x:c r="K245" s="54" t="n">
        <x:v>0.12088</x:v>
      </x:c>
      <x:c r="L245" s="54" t="n">
        <x:v>0.33024</x:v>
      </x:c>
      <x:c r="M245" s="54" t="n">
        <x:v>0.74411</x:v>
      </x:c>
      <x:c r="N245" s="56" t="n">
        <x:v>0.73</x:v>
      </x:c>
      <x:c r="O245" s="56" t="n">
        <x:v>0.06</x:v>
      </x:c>
      <x:c r="P245" s="56" t="n">
        <x:v>0.2</x:v>
      </x:c>
      <x:c r="Q245" s="56" t="n">
        <x:v>90.6</x:v>
      </x:c>
      <x:c r="R245" t="str">
        <x:v>X</x:v>
      </x:c>
      <x:c r="S245" s="102" t="n">
        <x:v>100</x:v>
      </x:c>
      <x:c r="T245" t="str">
        <x:v>IN TARGET BAND</x:v>
      </x:c>
      <x:c r="U245" t="str">
        <x:f>IF(T245="IN TARGET BAND","Yes","No")</x:f>
        <x:v>Yes</x:v>
      </x:c>
      <x:c r="V245" t="n">
        <x:v>2663</x:v>
      </x:c>
      <x:c r="W245" t="str">
        <x:v>Pasted text(56).txt</x:v>
      </x:c>
    </x:row>
    <x:row r="246">
      <x:c r="A246" t="str">
        <x:v>S08</x:v>
      </x:c>
      <x:c r="B246" t="str">
        <x:v>0.65 five-run validation</x:v>
      </x:c>
      <x:c r="C246" s="54" t="n">
        <x:v>0.65</x:v>
      </x:c>
      <x:c r="D246" t="n">
        <x:v>1</x:v>
      </x:c>
      <x:c r="E246" t="str">
        <x:v>PASS</x:v>
      </x:c>
      <x:c r="F246" t="n">
        <x:v>1</x:v>
      </x:c>
      <x:c r="G246" t="n">
        <x:v>5</x:v>
      </x:c>
      <x:c r="H246" s="54" t="n">
        <x:v>8.25</x:v>
      </x:c>
      <x:c r="I246" s="54" t="n">
        <x:v>0.64614</x:v>
      </x:c>
      <x:c r="J246" s="54" t="n">
        <x:v>0.65062</x:v>
      </x:c>
      <x:c r="K246" s="54" t="n">
        <x:v>0.1498</x:v>
      </x:c>
      <x:c r="L246" s="54" t="n">
        <x:v>0.34154</x:v>
      </x:c>
      <x:c r="M246" s="54" t="n">
        <x:v>0.75096</x:v>
      </x:c>
      <x:c r="N246" s="56" t="n">
        <x:v>-0.59</x:v>
      </x:c>
      <x:c r="O246" s="56" t="n">
        <x:v>0.8</x:v>
      </x:c>
      <x:c r="P246" s="56" t="n">
        <x:v>1.68</x:v>
      </x:c>
      <x:c r="Q246" s="56" t="n">
        <x:v>90</x:v>
      </x:c>
      <x:c r="R246" t="str">
        <x:v>X</x:v>
      </x:c>
      <x:c r="S246" s="102" t="n">
        <x:v>100</x:v>
      </x:c>
      <x:c r="T246" t="str">
        <x:v>IN TARGET BAND</x:v>
      </x:c>
      <x:c r="U246" t="str">
        <x:f>IF(T246="IN TARGET BAND","Yes","No")</x:f>
        <x:v>Yes</x:v>
      </x:c>
      <x:c r="V246" t="n">
        <x:v>2664</x:v>
      </x:c>
      <x:c r="W246" t="str">
        <x:v>Pasted text(56).txt</x:v>
      </x:c>
    </x:row>
    <x:row r="247">
      <x:c r="A247" t="str">
        <x:v>S08</x:v>
      </x:c>
      <x:c r="B247" t="str">
        <x:v>0.65 five-run validation</x:v>
      </x:c>
      <x:c r="C247" s="54" t="n">
        <x:v>0.65</x:v>
      </x:c>
      <x:c r="D247" t="n">
        <x:v>1</x:v>
      </x:c>
      <x:c r="E247" t="str">
        <x:v>PASS</x:v>
      </x:c>
      <x:c r="F247" t="n">
        <x:v>1</x:v>
      </x:c>
      <x:c r="G247" t="n">
        <x:v>6</x:v>
      </x:c>
      <x:c r="H247" s="54" t="n">
        <x:v>8.25</x:v>
      </x:c>
      <x:c r="I247" s="54" t="n">
        <x:v>0.65019</x:v>
      </x:c>
      <x:c r="J247" s="54" t="n">
        <x:v>0.65437</x:v>
      </x:c>
      <x:c r="K247" s="54" t="n">
        <x:v>0.14477</x:v>
      </x:c>
      <x:c r="L247" s="54" t="n">
        <x:v>0.3488</x:v>
      </x:c>
      <x:c r="M247" s="54" t="n">
        <x:v>0.75575</x:v>
      </x:c>
      <x:c r="N247" s="56" t="n">
        <x:v>0.03</x:v>
      </x:c>
      <x:c r="O247" s="56" t="n">
        <x:v>0.58</x:v>
      </x:c>
      <x:c r="P247" s="56" t="n">
        <x:v>1.45</x:v>
      </x:c>
      <x:c r="Q247" s="56" t="n">
        <x:v>90.4</x:v>
      </x:c>
      <x:c r="R247" t="str">
        <x:v>X</x:v>
      </x:c>
      <x:c r="S247" s="102" t="n">
        <x:v>100</x:v>
      </x:c>
      <x:c r="T247" t="str">
        <x:v>IN TARGET BAND</x:v>
      </x:c>
      <x:c r="U247" t="str">
        <x:f>IF(T247="IN TARGET BAND","Yes","No")</x:f>
        <x:v>Yes</x:v>
      </x:c>
      <x:c r="V247" t="n">
        <x:v>2665</x:v>
      </x:c>
      <x:c r="W247" t="str">
        <x:v>Pasted text(56).txt</x:v>
      </x:c>
    </x:row>
    <x:row r="248">
      <x:c r="A248" t="str">
        <x:v>S08</x:v>
      </x:c>
      <x:c r="B248" t="str">
        <x:v>0.65 five-run validation</x:v>
      </x:c>
      <x:c r="C248" s="54" t="n">
        <x:v>0.65</x:v>
      </x:c>
      <x:c r="D248" t="n">
        <x:v>1</x:v>
      </x:c>
      <x:c r="E248" t="str">
        <x:v>PASS</x:v>
      </x:c>
      <x:c r="F248" t="n">
        <x:v>1</x:v>
      </x:c>
      <x:c r="G248" t="n">
        <x:v>7</x:v>
      </x:c>
      <x:c r="H248" s="54" t="n">
        <x:v>8.25</x:v>
      </x:c>
      <x:c r="I248" s="54" t="n">
        <x:v>0.65117</x:v>
      </x:c>
      <x:c r="J248" s="54" t="n">
        <x:v>0.65433</x:v>
      </x:c>
      <x:c r="K248" s="54" t="n">
        <x:v>0.12751</x:v>
      </x:c>
      <x:c r="L248" s="54" t="n">
        <x:v>0.33264</x:v>
      </x:c>
      <x:c r="M248" s="54" t="n">
        <x:v>0.74523</x:v>
      </x:c>
      <x:c r="N248" s="56" t="n">
        <x:v>0.18</x:v>
      </x:c>
      <x:c r="O248" s="56" t="n">
        <x:v>0.78</x:v>
      </x:c>
      <x:c r="P248" s="56" t="n">
        <x:v>1.31</x:v>
      </x:c>
      <x:c r="Q248" s="56" t="n">
        <x:v>88.9</x:v>
      </x:c>
      <x:c r="R248" t="str">
        <x:v>X</x:v>
      </x:c>
      <x:c r="S248" s="102" t="n">
        <x:v>100</x:v>
      </x:c>
      <x:c r="T248" t="str">
        <x:v>IN TARGET BAND</x:v>
      </x:c>
      <x:c r="U248" t="str">
        <x:f>IF(T248="IN TARGET BAND","Yes","No")</x:f>
        <x:v>Yes</x:v>
      </x:c>
      <x:c r="V248" t="n">
        <x:v>2666</x:v>
      </x:c>
      <x:c r="W248" t="str">
        <x:v>Pasted text(56).txt</x:v>
      </x:c>
    </x:row>
    <x:row r="249">
      <x:c r="A249" t="str">
        <x:v>S08</x:v>
      </x:c>
      <x:c r="B249" t="str">
        <x:v>0.65 five-run validation</x:v>
      </x:c>
      <x:c r="C249" s="54" t="n">
        <x:v>0.65</x:v>
      </x:c>
      <x:c r="D249" t="n">
        <x:v>1</x:v>
      </x:c>
      <x:c r="E249" t="str">
        <x:v>PASS</x:v>
      </x:c>
      <x:c r="F249" t="n">
        <x:v>1</x:v>
      </x:c>
      <x:c r="G249" t="n">
        <x:v>8</x:v>
      </x:c>
      <x:c r="H249" s="54" t="n">
        <x:v>8.25</x:v>
      </x:c>
      <x:c r="I249" s="54" t="n">
        <x:v>0.64928</x:v>
      </x:c>
      <x:c r="J249" s="54" t="n">
        <x:v>0.65227</x:v>
      </x:c>
      <x:c r="K249" s="54" t="n">
        <x:v>0.14857</x:v>
      </x:c>
      <x:c r="L249" s="54" t="n">
        <x:v>0.32758</x:v>
      </x:c>
      <x:c r="M249" s="54" t="n">
        <x:v>0.74493</x:v>
      </x:c>
      <x:c r="N249" s="56" t="n">
        <x:v>-0.11</x:v>
      </x:c>
      <x:c r="O249" s="56" t="n">
        <x:v>3.16</x:v>
      </x:c>
      <x:c r="P249" s="56" t="n">
        <x:v>2.84</x:v>
      </x:c>
      <x:c r="Q249" s="56" t="n">
        <x:v>90.5</x:v>
      </x:c>
      <x:c r="R249" t="str">
        <x:v>X</x:v>
      </x:c>
      <x:c r="S249" s="102" t="n">
        <x:v>100</x:v>
      </x:c>
      <x:c r="T249" t="str">
        <x:v>IN TARGET BAND</x:v>
      </x:c>
      <x:c r="U249" t="str">
        <x:f>IF(T249="IN TARGET BAND","Yes","No")</x:f>
        <x:v>Yes</x:v>
      </x:c>
      <x:c r="V249" t="n">
        <x:v>2667</x:v>
      </x:c>
      <x:c r="W249" t="str">
        <x:v>Pasted text(56).txt</x:v>
      </x:c>
    </x:row>
    <x:row r="250">
      <x:c r="A250" t="str">
        <x:v>S08</x:v>
      </x:c>
      <x:c r="B250" t="str">
        <x:v>0.65 five-run validation</x:v>
      </x:c>
      <x:c r="C250" s="54" t="n">
        <x:v>0.65</x:v>
      </x:c>
      <x:c r="D250" t="n">
        <x:v>1</x:v>
      </x:c>
      <x:c r="E250" t="str">
        <x:v>PASS</x:v>
      </x:c>
      <x:c r="F250" t="n">
        <x:v>1</x:v>
      </x:c>
      <x:c r="G250" t="n">
        <x:v>9</x:v>
      </x:c>
      <x:c r="H250" s="54" t="n">
        <x:v>8.25</x:v>
      </x:c>
      <x:c r="I250" s="54" t="n">
        <x:v>0.65906</x:v>
      </x:c>
      <x:c r="J250" s="54" t="n">
        <x:v>0.66091</x:v>
      </x:c>
      <x:c r="K250" s="54" t="n">
        <x:v>0.14797</x:v>
      </x:c>
      <x:c r="L250" s="54" t="n">
        <x:v>0.31746</x:v>
      </x:c>
      <x:c r="M250" s="54" t="n">
        <x:v>0.74822</x:v>
      </x:c>
      <x:c r="N250" s="56" t="n">
        <x:v>1.39</x:v>
      </x:c>
      <x:c r="O250" s="56" t="n">
        <x:v>3.06</x:v>
      </x:c>
      <x:c r="P250" s="56" t="n">
        <x:v>2.49</x:v>
      </x:c>
      <x:c r="Q250" s="56" t="n">
        <x:v>91</x:v>
      </x:c>
      <x:c r="R250" t="str">
        <x:v>X</x:v>
      </x:c>
      <x:c r="S250" s="102" t="n">
        <x:v>100</x:v>
      </x:c>
      <x:c r="T250" t="str">
        <x:v>IN TARGET BAND</x:v>
      </x:c>
      <x:c r="U250" t="str">
        <x:f>IF(T250="IN TARGET BAND","Yes","No")</x:f>
        <x:v>Yes</x:v>
      </x:c>
      <x:c r="V250" t="n">
        <x:v>2668</x:v>
      </x:c>
      <x:c r="W250" t="str">
        <x:v>Pasted text(56).txt</x:v>
      </x:c>
    </x:row>
    <x:row r="251">
      <x:c r="A251" t="str">
        <x:v>S08</x:v>
      </x:c>
      <x:c r="B251" t="str">
        <x:v>0.65 five-run validation</x:v>
      </x:c>
      <x:c r="C251" s="54" t="n">
        <x:v>0.65</x:v>
      </x:c>
      <x:c r="D251" t="n">
        <x:v>1</x:v>
      </x:c>
      <x:c r="E251" t="str">
        <x:v>PASS</x:v>
      </x:c>
      <x:c r="F251" t="n">
        <x:v>1</x:v>
      </x:c>
      <x:c r="G251" t="n">
        <x:v>10</x:v>
      </x:c>
      <x:c r="H251" s="54" t="n">
        <x:v>8.25</x:v>
      </x:c>
      <x:c r="I251" s="54" t="n">
        <x:v>0.65486</x:v>
      </x:c>
      <x:c r="J251" s="54" t="n">
        <x:v>0.65566</x:v>
      </x:c>
      <x:c r="K251" s="54" t="n">
        <x:v>0.14951</x:v>
      </x:c>
      <x:c r="L251" s="54" t="n">
        <x:v>0.3292</x:v>
      </x:c>
      <x:c r="M251" s="54" t="n">
        <x:v>0.74875</x:v>
      </x:c>
      <x:c r="N251" s="56" t="n">
        <x:v>0.75</x:v>
      </x:c>
      <x:c r="O251" s="56" t="n">
        <x:v>2.53</x:v>
      </x:c>
      <x:c r="P251" s="56" t="n">
        <x:v>1.89</x:v>
      </x:c>
      <x:c r="Q251" s="56" t="n">
        <x:v>90.1</x:v>
      </x:c>
      <x:c r="R251" t="str">
        <x:v>X</x:v>
      </x:c>
      <x:c r="S251" s="102" t="n">
        <x:v>100</x:v>
      </x:c>
      <x:c r="T251" t="str">
        <x:v>IN TARGET BAND</x:v>
      </x:c>
      <x:c r="U251" t="str">
        <x:f>IF(T251="IN TARGET BAND","Yes","No")</x:f>
        <x:v>Yes</x:v>
      </x:c>
      <x:c r="V251" t="n">
        <x:v>2669</x:v>
      </x:c>
      <x:c r="W251" t="str">
        <x:v>Pasted text(56).txt</x:v>
      </x:c>
    </x:row>
    <x:row r="252">
      <x:c r="A252" t="str">
        <x:v>S08</x:v>
      </x:c>
      <x:c r="B252" t="str">
        <x:v>0.65 five-run validation</x:v>
      </x:c>
      <x:c r="C252" s="54" t="n">
        <x:v>0.65</x:v>
      </x:c>
      <x:c r="D252" t="n">
        <x:v>2</x:v>
      </x:c>
      <x:c r="E252" t="str">
        <x:v>PASS</x:v>
      </x:c>
      <x:c r="F252" t="n">
        <x:v>1</x:v>
      </x:c>
      <x:c r="G252" t="n">
        <x:v>1</x:v>
      </x:c>
      <x:c r="H252" s="54" t="n">
        <x:v>8.25</x:v>
      </x:c>
      <x:c r="I252" s="54" t="n">
        <x:v>0.6251</x:v>
      </x:c>
      <x:c r="J252" s="54" t="n">
        <x:v>0.62702</x:v>
      </x:c>
      <x:c r="K252" s="54" t="n">
        <x:v>0.14981</x:v>
      </x:c>
      <x:c r="L252" s="54" t="n">
        <x:v>0.31</x:v>
      </x:c>
      <x:c r="M252" s="54" t="n">
        <x:v>0.71549</x:v>
      </x:c>
      <x:c r="N252" s="56" t="n">
        <x:v>-3.83</x:v>
      </x:c>
      <x:c r="O252" s="56" t="n">
        <x:v>0.86</x:v>
      </x:c>
      <x:c r="P252" s="56" t="n">
        <x:v>1.07</x:v>
      </x:c>
      <x:c r="Q252" s="56" t="n">
        <x:v>89.5</x:v>
      </x:c>
      <x:c r="R252" t="str">
        <x:v>X</x:v>
      </x:c>
      <x:c r="S252" s="102" t="n">
        <x:v>100</x:v>
      </x:c>
      <x:c r="T252" t="str">
        <x:v>IN TARGET BAND</x:v>
      </x:c>
      <x:c r="U252" t="str">
        <x:f>IF(T252="IN TARGET BAND","Yes","No")</x:f>
        <x:v>Yes</x:v>
      </x:c>
      <x:c r="V252" t="n">
        <x:v>2739</x:v>
      </x:c>
      <x:c r="W252" t="str">
        <x:v>Pasted text(56).txt</x:v>
      </x:c>
    </x:row>
    <x:row r="253">
      <x:c r="A253" t="str">
        <x:v>S08</x:v>
      </x:c>
      <x:c r="B253" t="str">
        <x:v>0.65 five-run validation</x:v>
      </x:c>
      <x:c r="C253" s="54" t="n">
        <x:v>0.65</x:v>
      </x:c>
      <x:c r="D253" t="n">
        <x:v>2</x:v>
      </x:c>
      <x:c r="E253" t="str">
        <x:v>PASS</x:v>
      </x:c>
      <x:c r="F253" t="n">
        <x:v>1</x:v>
      </x:c>
      <x:c r="G253" t="n">
        <x:v>2</x:v>
      </x:c>
      <x:c r="H253" s="54" t="n">
        <x:v>8.25</x:v>
      </x:c>
      <x:c r="I253" s="54" t="n">
        <x:v>0.64058</x:v>
      </x:c>
      <x:c r="J253" s="54" t="n">
        <x:v>0.64391</x:v>
      </x:c>
      <x:c r="K253" s="54" t="n">
        <x:v>0.13296</x:v>
      </x:c>
      <x:c r="L253" s="54" t="n">
        <x:v>0.35462</x:v>
      </x:c>
      <x:c r="M253" s="54" t="n">
        <x:v>0.7471</x:v>
      </x:c>
      <x:c r="N253" s="56" t="n">
        <x:v>-1.45</x:v>
      </x:c>
      <x:c r="O253" s="56" t="n">
        <x:v>0.19</x:v>
      </x:c>
      <x:c r="P253" s="56" t="n">
        <x:v>1.01</x:v>
      </x:c>
      <x:c r="Q253" s="56" t="n">
        <x:v>90.6</x:v>
      </x:c>
      <x:c r="R253" t="str">
        <x:v>X</x:v>
      </x:c>
      <x:c r="S253" s="102" t="n">
        <x:v>100</x:v>
      </x:c>
      <x:c r="T253" t="str">
        <x:v>IN TARGET BAND</x:v>
      </x:c>
      <x:c r="U253" t="str">
        <x:f>IF(T253="IN TARGET BAND","Yes","No")</x:f>
        <x:v>Yes</x:v>
      </x:c>
      <x:c r="V253" t="n">
        <x:v>2740</x:v>
      </x:c>
      <x:c r="W253" t="str">
        <x:v>Pasted text(56).txt</x:v>
      </x:c>
    </x:row>
    <x:row r="254">
      <x:c r="A254" t="str">
        <x:v>S08</x:v>
      </x:c>
      <x:c r="B254" t="str">
        <x:v>0.65 five-run validation</x:v>
      </x:c>
      <x:c r="C254" s="54" t="n">
        <x:v>0.65</x:v>
      </x:c>
      <x:c r="D254" t="n">
        <x:v>2</x:v>
      </x:c>
      <x:c r="E254" t="str">
        <x:v>PASS</x:v>
      </x:c>
      <x:c r="F254" t="n">
        <x:v>1</x:v>
      </x:c>
      <x:c r="G254" t="n">
        <x:v>3</x:v>
      </x:c>
      <x:c r="H254" s="54" t="n">
        <x:v>8.25</x:v>
      </x:c>
      <x:c r="I254" s="54" t="n">
        <x:v>0.65186</x:v>
      </x:c>
      <x:c r="J254" s="54" t="n">
        <x:v>0.65205</x:v>
      </x:c>
      <x:c r="K254" s="54" t="n">
        <x:v>0.15825</x:v>
      </x:c>
      <x:c r="L254" s="54" t="n">
        <x:v>0.33739</x:v>
      </x:c>
      <x:c r="M254" s="54" t="n">
        <x:v>0.75173</x:v>
      </x:c>
      <x:c r="N254" s="56" t="n">
        <x:v>0.29</x:v>
      </x:c>
      <x:c r="O254" s="56" t="n">
        <x:v>1.32</x:v>
      </x:c>
      <x:c r="P254" s="56" t="n">
        <x:v>0.94</x:v>
      </x:c>
      <x:c r="Q254" s="56" t="n">
        <x:v>90.9</x:v>
      </x:c>
      <x:c r="R254" t="str">
        <x:v>X</x:v>
      </x:c>
      <x:c r="S254" s="102" t="n">
        <x:v>100</x:v>
      </x:c>
      <x:c r="T254" t="str">
        <x:v>IN TARGET BAND</x:v>
      </x:c>
      <x:c r="U254" t="str">
        <x:f>IF(T254="IN TARGET BAND","Yes","No")</x:f>
        <x:v>Yes</x:v>
      </x:c>
      <x:c r="V254" t="n">
        <x:v>2741</x:v>
      </x:c>
      <x:c r="W254" t="str">
        <x:v>Pasted text(56).txt</x:v>
      </x:c>
    </x:row>
    <x:row r="255">
      <x:c r="A255" t="str">
        <x:v>S08</x:v>
      </x:c>
      <x:c r="B255" t="str">
        <x:v>0.65 five-run validation</x:v>
      </x:c>
      <x:c r="C255" s="54" t="n">
        <x:v>0.65</x:v>
      </x:c>
      <x:c r="D255" t="n">
        <x:v>2</x:v>
      </x:c>
      <x:c r="E255" t="str">
        <x:v>PASS</x:v>
      </x:c>
      <x:c r="F255" t="n">
        <x:v>1</x:v>
      </x:c>
      <x:c r="G255" t="n">
        <x:v>4</x:v>
      </x:c>
      <x:c r="H255" s="54" t="n">
        <x:v>8.25</x:v>
      </x:c>
      <x:c r="I255" s="54" t="n">
        <x:v>0.64467</x:v>
      </x:c>
      <x:c r="J255" s="54" t="n">
        <x:v>0.65029</x:v>
      </x:c>
      <x:c r="K255" s="54" t="n">
        <x:v>0.15453</x:v>
      </x:c>
      <x:c r="L255" s="54" t="n">
        <x:v>0.33512</x:v>
      </x:c>
      <x:c r="M255" s="54" t="n">
        <x:v>0.74804</x:v>
      </x:c>
      <x:c r="N255" s="56" t="n">
        <x:v>-0.82</x:v>
      </x:c>
      <x:c r="O255" s="56" t="n">
        <x:v>0.35</x:v>
      </x:c>
      <x:c r="P255" s="56" t="n">
        <x:v>1.7</x:v>
      </x:c>
      <x:c r="Q255" s="56" t="n">
        <x:v>89.8</x:v>
      </x:c>
      <x:c r="R255" t="str">
        <x:v>X</x:v>
      </x:c>
      <x:c r="S255" s="102" t="n">
        <x:v>100</x:v>
      </x:c>
      <x:c r="T255" t="str">
        <x:v>IN TARGET BAND</x:v>
      </x:c>
      <x:c r="U255" t="str">
        <x:f>IF(T255="IN TARGET BAND","Yes","No")</x:f>
        <x:v>Yes</x:v>
      </x:c>
      <x:c r="V255" t="n">
        <x:v>2742</x:v>
      </x:c>
      <x:c r="W255" t="str">
        <x:v>Pasted text(56).txt</x:v>
      </x:c>
    </x:row>
    <x:row r="256">
      <x:c r="A256" t="str">
        <x:v>S08</x:v>
      </x:c>
      <x:c r="B256" t="str">
        <x:v>0.65 five-run validation</x:v>
      </x:c>
      <x:c r="C256" s="54" t="n">
        <x:v>0.65</x:v>
      </x:c>
      <x:c r="D256" t="n">
        <x:v>2</x:v>
      </x:c>
      <x:c r="E256" t="str">
        <x:v>PASS</x:v>
      </x:c>
      <x:c r="F256" t="n">
        <x:v>1</x:v>
      </x:c>
      <x:c r="G256" t="n">
        <x:v>5</x:v>
      </x:c>
      <x:c r="H256" s="54" t="n">
        <x:v>8.25</x:v>
      </x:c>
      <x:c r="I256" s="54" t="n">
        <x:v>0.65288</x:v>
      </x:c>
      <x:c r="J256" s="54" t="n">
        <x:v>0.65153</x:v>
      </x:c>
      <x:c r="K256" s="54" t="n">
        <x:v>0.1405</x:v>
      </x:c>
      <x:c r="L256" s="54" t="n">
        <x:v>0.33609</x:v>
      </x:c>
      <x:c r="M256" s="54" t="n">
        <x:v>0.74672</x:v>
      </x:c>
      <x:c r="N256" s="56" t="n">
        <x:v>0.44</x:v>
      </x:c>
      <x:c r="O256" s="56" t="n">
        <x:v>0.11</x:v>
      </x:c>
      <x:c r="P256" s="56" t="n">
        <x:v>0.42</x:v>
      </x:c>
      <x:c r="Q256" s="56" t="n">
        <x:v>90.2</x:v>
      </x:c>
      <x:c r="R256" t="str">
        <x:v>X</x:v>
      </x:c>
      <x:c r="S256" s="102" t="n">
        <x:v>100</x:v>
      </x:c>
      <x:c r="T256" t="str">
        <x:v>IN TARGET BAND</x:v>
      </x:c>
      <x:c r="U256" t="str">
        <x:f>IF(T256="IN TARGET BAND","Yes","No")</x:f>
        <x:v>Yes</x:v>
      </x:c>
      <x:c r="V256" t="n">
        <x:v>2743</x:v>
      </x:c>
      <x:c r="W256" t="str">
        <x:v>Pasted text(56).txt</x:v>
      </x:c>
    </x:row>
    <x:row r="257">
      <x:c r="A257" t="str">
        <x:v>S08</x:v>
      </x:c>
      <x:c r="B257" t="str">
        <x:v>0.65 five-run validation</x:v>
      </x:c>
      <x:c r="C257" s="54" t="n">
        <x:v>0.65</x:v>
      </x:c>
      <x:c r="D257" t="n">
        <x:v>2</x:v>
      </x:c>
      <x:c r="E257" t="str">
        <x:v>PASS</x:v>
      </x:c>
      <x:c r="F257" t="n">
        <x:v>1</x:v>
      </x:c>
      <x:c r="G257" t="n">
        <x:v>6</x:v>
      </x:c>
      <x:c r="H257" s="54" t="n">
        <x:v>8.25</x:v>
      </x:c>
      <x:c r="I257" s="54" t="n">
        <x:v>0.63168</x:v>
      </x:c>
      <x:c r="J257" s="54" t="n">
        <x:v>0.63963</x:v>
      </x:c>
      <x:c r="K257" s="54" t="n">
        <x:v>0.14932</x:v>
      </x:c>
      <x:c r="L257" s="54" t="n">
        <x:v>0.34529</x:v>
      </x:c>
      <x:c r="M257" s="54" t="n">
        <x:v>0.74219</x:v>
      </x:c>
      <x:c r="N257" s="56" t="n">
        <x:v>-2.82</x:v>
      </x:c>
      <x:c r="O257" s="56" t="n">
        <x:v>0.18</x:v>
      </x:c>
      <x:c r="P257" s="56" t="n">
        <x:v>2.25</x:v>
      </x:c>
      <x:c r="Q257" s="56" t="n">
        <x:v>91.7</x:v>
      </x:c>
      <x:c r="R257" t="str">
        <x:v>X</x:v>
      </x:c>
      <x:c r="S257" s="102" t="n">
        <x:v>100</x:v>
      </x:c>
      <x:c r="T257" t="str">
        <x:v>IN TARGET BAND</x:v>
      </x:c>
      <x:c r="U257" t="str">
        <x:f>IF(T257="IN TARGET BAND","Yes","No")</x:f>
        <x:v>Yes</x:v>
      </x:c>
      <x:c r="V257" t="n">
        <x:v>2744</x:v>
      </x:c>
      <x:c r="W257" t="str">
        <x:v>Pasted text(56).txt</x:v>
      </x:c>
    </x:row>
    <x:row r="258">
      <x:c r="A258" t="str">
        <x:v>S08</x:v>
      </x:c>
      <x:c r="B258" t="str">
        <x:v>0.65 five-run validation</x:v>
      </x:c>
      <x:c r="C258" s="54" t="n">
        <x:v>0.65</x:v>
      </x:c>
      <x:c r="D258" t="n">
        <x:v>2</x:v>
      </x:c>
      <x:c r="E258" t="str">
        <x:v>PASS</x:v>
      </x:c>
      <x:c r="F258" t="n">
        <x:v>1</x:v>
      </x:c>
      <x:c r="G258" t="n">
        <x:v>7</x:v>
      </x:c>
      <x:c r="H258" s="54" t="n">
        <x:v>8.25</x:v>
      </x:c>
      <x:c r="I258" s="54" t="n">
        <x:v>0.64763</x:v>
      </x:c>
      <x:c r="J258" s="54" t="n">
        <x:v>0.64386</x:v>
      </x:c>
      <x:c r="K258" s="54" t="n">
        <x:v>0.15048</x:v>
      </x:c>
      <x:c r="L258" s="54" t="n">
        <x:v>0.33879</x:v>
      </x:c>
      <x:c r="M258" s="54" t="n">
        <x:v>0.74315</x:v>
      </x:c>
      <x:c r="N258" s="56" t="n">
        <x:v>-0.36</x:v>
      </x:c>
      <x:c r="O258" s="56" t="n">
        <x:v>1.46</x:v>
      </x:c>
      <x:c r="P258" s="56" t="n">
        <x:v>1.94</x:v>
      </x:c>
      <x:c r="Q258" s="56" t="n">
        <x:v>90.1</x:v>
      </x:c>
      <x:c r="R258" t="str">
        <x:v>X</x:v>
      </x:c>
      <x:c r="S258" s="102" t="n">
        <x:v>100</x:v>
      </x:c>
      <x:c r="T258" t="str">
        <x:v>IN TARGET BAND</x:v>
      </x:c>
      <x:c r="U258" t="str">
        <x:f>IF(T258="IN TARGET BAND","Yes","No")</x:f>
        <x:v>Yes</x:v>
      </x:c>
      <x:c r="V258" t="n">
        <x:v>2745</x:v>
      </x:c>
      <x:c r="W258" t="str">
        <x:v>Pasted text(56).txt</x:v>
      </x:c>
    </x:row>
    <x:row r="259">
      <x:c r="A259" t="str">
        <x:v>S08</x:v>
      </x:c>
      <x:c r="B259" t="str">
        <x:v>0.65 five-run validation</x:v>
      </x:c>
      <x:c r="C259" s="54" t="n">
        <x:v>0.65</x:v>
      </x:c>
      <x:c r="D259" t="n">
        <x:v>2</x:v>
      </x:c>
      <x:c r="E259" t="str">
        <x:v>PASS</x:v>
      </x:c>
      <x:c r="F259" t="n">
        <x:v>1</x:v>
      </x:c>
      <x:c r="G259" t="n">
        <x:v>8</x:v>
      </x:c>
      <x:c r="H259" s="54" t="n">
        <x:v>8.25</x:v>
      </x:c>
      <x:c r="I259" s="54" t="n">
        <x:v>0.63283</x:v>
      </x:c>
      <x:c r="J259" s="54" t="n">
        <x:v>0.63556</x:v>
      </x:c>
      <x:c r="K259" s="54" t="n">
        <x:v>0.14105</x:v>
      </x:c>
      <x:c r="L259" s="54" t="n">
        <x:v>0.33773</x:v>
      </x:c>
      <x:c r="M259" s="54" t="n">
        <x:v>0.73356</x:v>
      </x:c>
      <x:c r="N259" s="56" t="n">
        <x:v>-2.64</x:v>
      </x:c>
      <x:c r="O259" s="56" t="n">
        <x:v>1.6</x:v>
      </x:c>
      <x:c r="P259" s="56" t="n">
        <x:v>1.76</x:v>
      </x:c>
      <x:c r="Q259" s="56" t="n">
        <x:v>89</x:v>
      </x:c>
      <x:c r="R259" t="str">
        <x:v>X</x:v>
      </x:c>
      <x:c r="S259" s="102" t="n">
        <x:v>100</x:v>
      </x:c>
      <x:c r="T259" t="str">
        <x:v>IN TARGET BAND</x:v>
      </x:c>
      <x:c r="U259" t="str">
        <x:f>IF(T259="IN TARGET BAND","Yes","No")</x:f>
        <x:v>Yes</x:v>
      </x:c>
      <x:c r="V259" t="n">
        <x:v>2746</x:v>
      </x:c>
      <x:c r="W259" t="str">
        <x:v>Pasted text(56).txt</x:v>
      </x:c>
    </x:row>
    <x:row r="260">
      <x:c r="A260" t="str">
        <x:v>S08</x:v>
      </x:c>
      <x:c r="B260" t="str">
        <x:v>0.65 five-run validation</x:v>
      </x:c>
      <x:c r="C260" s="54" t="n">
        <x:v>0.65</x:v>
      </x:c>
      <x:c r="D260" t="n">
        <x:v>2</x:v>
      </x:c>
      <x:c r="E260" t="str">
        <x:v>PASS</x:v>
      </x:c>
      <x:c r="F260" t="n">
        <x:v>1</x:v>
      </x:c>
      <x:c r="G260" t="n">
        <x:v>9</x:v>
      </x:c>
      <x:c r="H260" s="54" t="n">
        <x:v>8.25</x:v>
      </x:c>
      <x:c r="I260" s="54" t="n">
        <x:v>0.64257</x:v>
      </x:c>
      <x:c r="J260" s="54" t="n">
        <x:v>0.65131</x:v>
      </x:c>
      <x:c r="K260" s="54" t="n">
        <x:v>0.15222</x:v>
      </x:c>
      <x:c r="L260" s="54" t="n">
        <x:v>0.32909</x:v>
      </x:c>
      <x:c r="M260" s="54" t="n">
        <x:v>0.74594</x:v>
      </x:c>
      <x:c r="N260" s="56" t="n">
        <x:v>-1.14</x:v>
      </x:c>
      <x:c r="O260" s="56" t="n">
        <x:v>2.78</x:v>
      </x:c>
      <x:c r="P260" s="56" t="n">
        <x:v>4.04</x:v>
      </x:c>
      <x:c r="Q260" s="56" t="n">
        <x:v>91.1</x:v>
      </x:c>
      <x:c r="R260" t="str">
        <x:v>X</x:v>
      </x:c>
      <x:c r="S260" s="102" t="n">
        <x:v>100</x:v>
      </x:c>
      <x:c r="T260" t="str">
        <x:v>IN TARGET BAND</x:v>
      </x:c>
      <x:c r="U260" t="str">
        <x:f>IF(T260="IN TARGET BAND","Yes","No")</x:f>
        <x:v>Yes</x:v>
      </x:c>
      <x:c r="V260" t="n">
        <x:v>2747</x:v>
      </x:c>
      <x:c r="W260" t="str">
        <x:v>Pasted text(56).txt</x:v>
      </x:c>
    </x:row>
    <x:row r="261">
      <x:c r="A261" t="str">
        <x:v>S08</x:v>
      </x:c>
      <x:c r="B261" t="str">
        <x:v>0.65 five-run validation</x:v>
      </x:c>
      <x:c r="C261" s="54" t="n">
        <x:v>0.65</x:v>
      </x:c>
      <x:c r="D261" t="n">
        <x:v>2</x:v>
      </x:c>
      <x:c r="E261" t="str">
        <x:v>PASS</x:v>
      </x:c>
      <x:c r="F261" t="n">
        <x:v>1</x:v>
      </x:c>
      <x:c r="G261" t="n">
        <x:v>10</x:v>
      </x:c>
      <x:c r="H261" s="54" t="n">
        <x:v>8.25</x:v>
      </x:c>
      <x:c r="I261" s="54" t="n">
        <x:v>0.6518</x:v>
      </x:c>
      <x:c r="J261" s="54" t="n">
        <x:v>0.64855</x:v>
      </x:c>
      <x:c r="K261" s="54" t="n">
        <x:v>0.14182</x:v>
      </x:c>
      <x:c r="L261" s="54" t="n">
        <x:v>0.36279</x:v>
      </x:c>
      <x:c r="M261" s="54" t="n">
        <x:v>0.75674</x:v>
      </x:c>
      <x:c r="N261" s="56" t="n">
        <x:v>0.28</x:v>
      </x:c>
      <x:c r="O261" s="56" t="n">
        <x:v>1.05</x:v>
      </x:c>
      <x:c r="P261" s="56" t="n">
        <x:v>1.53</x:v>
      </x:c>
      <x:c r="Q261" s="56" t="n">
        <x:v>91.6</x:v>
      </x:c>
      <x:c r="R261" t="str">
        <x:v>X</x:v>
      </x:c>
      <x:c r="S261" s="102" t="n">
        <x:v>100</x:v>
      </x:c>
      <x:c r="T261" t="str">
        <x:v>IN TARGET BAND</x:v>
      </x:c>
      <x:c r="U261" t="str">
        <x:f>IF(T261="IN TARGET BAND","Yes","No")</x:f>
        <x:v>Yes</x:v>
      </x:c>
      <x:c r="V261" t="n">
        <x:v>2748</x:v>
      </x:c>
      <x:c r="W261" t="str">
        <x:v>Pasted text(56).txt</x:v>
      </x:c>
    </x:row>
    <x:row r="262">
      <x:c r="A262" t="str">
        <x:v>S08</x:v>
      </x:c>
      <x:c r="B262" t="str">
        <x:v>0.65 five-run validation</x:v>
      </x:c>
      <x:c r="C262" s="54" t="n">
        <x:v>0.65</x:v>
      </x:c>
      <x:c r="D262" t="n">
        <x:v>3</x:v>
      </x:c>
      <x:c r="E262" t="str">
        <x:v>PASS</x:v>
      </x:c>
      <x:c r="F262" t="n">
        <x:v>1</x:v>
      </x:c>
      <x:c r="G262" t="n">
        <x:v>1</x:v>
      </x:c>
      <x:c r="H262" s="54" t="n">
        <x:v>8.5</x:v>
      </x:c>
      <x:c r="I262" s="54" t="n">
        <x:v>0.66471</x:v>
      </x:c>
      <x:c r="J262" s="54" t="n">
        <x:v>0.6614</x:v>
      </x:c>
      <x:c r="K262" s="54" t="n">
        <x:v>0.13955</x:v>
      </x:c>
      <x:c r="L262" s="54" t="n">
        <x:v>0.32475</x:v>
      </x:c>
      <x:c r="M262" s="54" t="n">
        <x:v>0.75002</x:v>
      </x:c>
      <x:c r="N262" s="56" t="n">
        <x:v>2.26</x:v>
      </x:c>
      <x:c r="O262" s="56" t="n">
        <x:v>1.39</x:v>
      </x:c>
      <x:c r="P262" s="56" t="n">
        <x:v>1.74</x:v>
      </x:c>
      <x:c r="Q262" s="56" t="n">
        <x:v>92</x:v>
      </x:c>
      <x:c r="R262" t="str">
        <x:v>X</x:v>
      </x:c>
      <x:c r="S262" s="102" t="n">
        <x:v>100</x:v>
      </x:c>
      <x:c r="T262" t="str">
        <x:v>IN TARGET BAND</x:v>
      </x:c>
      <x:c r="U262" t="str">
        <x:f>IF(T262="IN TARGET BAND","Yes","No")</x:f>
        <x:v>Yes</x:v>
      </x:c>
      <x:c r="V262" t="n">
        <x:v>2819</x:v>
      </x:c>
      <x:c r="W262" t="str">
        <x:v>Pasted text(56).txt</x:v>
      </x:c>
    </x:row>
    <x:row r="263">
      <x:c r="A263" t="str">
        <x:v>S08</x:v>
      </x:c>
      <x:c r="B263" t="str">
        <x:v>0.65 five-run validation</x:v>
      </x:c>
      <x:c r="C263" s="54" t="n">
        <x:v>0.65</x:v>
      </x:c>
      <x:c r="D263" t="n">
        <x:v>3</x:v>
      </x:c>
      <x:c r="E263" t="str">
        <x:v>PASS</x:v>
      </x:c>
      <x:c r="F263" t="n">
        <x:v>1</x:v>
      </x:c>
      <x:c r="G263" t="n">
        <x:v>2</x:v>
      </x:c>
      <x:c r="H263" s="54" t="n">
        <x:v>8.5</x:v>
      </x:c>
      <x:c r="I263" s="54" t="n">
        <x:v>0.64117</x:v>
      </x:c>
      <x:c r="J263" s="54" t="n">
        <x:v>0.6356</x:v>
      </x:c>
      <x:c r="K263" s="54" t="n">
        <x:v>0.14993</x:v>
      </x:c>
      <x:c r="L263" s="54" t="n">
        <x:v>0.34408</x:v>
      </x:c>
      <x:c r="M263" s="54" t="n">
        <x:v>0.73869</x:v>
      </x:c>
      <x:c r="N263" s="56" t="n">
        <x:v>-1.36</x:v>
      </x:c>
      <x:c r="O263" s="56" t="n">
        <x:v>4.07</x:v>
      </x:c>
      <x:c r="P263" s="56" t="n">
        <x:v>4.15</x:v>
      </x:c>
      <x:c r="Q263" s="56" t="n">
        <x:v>88.8</x:v>
      </x:c>
      <x:c r="R263" t="str">
        <x:v>X</x:v>
      </x:c>
      <x:c r="S263" s="102" t="n">
        <x:v>100</x:v>
      </x:c>
      <x:c r="T263" t="str">
        <x:v>IN TARGET BAND</x:v>
      </x:c>
      <x:c r="U263" t="str">
        <x:f>IF(T263="IN TARGET BAND","Yes","No")</x:f>
        <x:v>Yes</x:v>
      </x:c>
      <x:c r="V263" t="n">
        <x:v>2820</x:v>
      </x:c>
      <x:c r="W263" t="str">
        <x:v>Pasted text(56).txt</x:v>
      </x:c>
    </x:row>
    <x:row r="264">
      <x:c r="A264" t="str">
        <x:v>S08</x:v>
      </x:c>
      <x:c r="B264" t="str">
        <x:v>0.65 five-run validation</x:v>
      </x:c>
      <x:c r="C264" s="54" t="n">
        <x:v>0.65</x:v>
      </x:c>
      <x:c r="D264" t="n">
        <x:v>3</x:v>
      </x:c>
      <x:c r="E264" t="str">
        <x:v>PASS</x:v>
      </x:c>
      <x:c r="F264" t="n">
        <x:v>1</x:v>
      </x:c>
      <x:c r="G264" t="n">
        <x:v>3</x:v>
      </x:c>
      <x:c r="H264" s="54" t="n">
        <x:v>8.5</x:v>
      </x:c>
      <x:c r="I264" s="54" t="n">
        <x:v>0.65022</x:v>
      </x:c>
      <x:c r="J264" s="54" t="n">
        <x:v>0.65229</x:v>
      </x:c>
      <x:c r="K264" s="54" t="n">
        <x:v>0.15292</x:v>
      </x:c>
      <x:c r="L264" s="54" t="n">
        <x:v>0.32691</x:v>
      </x:c>
      <x:c r="M264" s="54" t="n">
        <x:v>0.74554</x:v>
      </x:c>
      <x:c r="N264" s="56" t="n">
        <x:v>0.03</x:v>
      </x:c>
      <x:c r="O264" s="56" t="n">
        <x:v>0.18</x:v>
      </x:c>
      <x:c r="P264" s="56" t="n">
        <x:v>0.66</x:v>
      </x:c>
      <x:c r="Q264" s="56" t="n">
        <x:v>90.1</x:v>
      </x:c>
      <x:c r="R264" t="str">
        <x:v>X</x:v>
      </x:c>
      <x:c r="S264" s="102" t="n">
        <x:v>100</x:v>
      </x:c>
      <x:c r="T264" t="str">
        <x:v>IN TARGET BAND</x:v>
      </x:c>
      <x:c r="U264" t="str">
        <x:f>IF(T264="IN TARGET BAND","Yes","No")</x:f>
        <x:v>Yes</x:v>
      </x:c>
      <x:c r="V264" t="n">
        <x:v>2821</x:v>
      </x:c>
      <x:c r="W264" t="str">
        <x:v>Pasted text(56).txt</x:v>
      </x:c>
    </x:row>
    <x:row r="265">
      <x:c r="A265" t="str">
        <x:v>S08</x:v>
      </x:c>
      <x:c r="B265" t="str">
        <x:v>0.65 five-run validation</x:v>
      </x:c>
      <x:c r="C265" s="54" t="n">
        <x:v>0.65</x:v>
      </x:c>
      <x:c r="D265" t="n">
        <x:v>3</x:v>
      </x:c>
      <x:c r="E265" t="str">
        <x:v>PASS</x:v>
      </x:c>
      <x:c r="F265" t="n">
        <x:v>1</x:v>
      </x:c>
      <x:c r="G265" t="n">
        <x:v>4</x:v>
      </x:c>
      <x:c r="H265" s="54" t="n">
        <x:v>8.5</x:v>
      </x:c>
      <x:c r="I265" s="54" t="n">
        <x:v>0.6496</x:v>
      </x:c>
      <x:c r="J265" s="54" t="n">
        <x:v>0.65304</x:v>
      </x:c>
      <x:c r="K265" s="54" t="n">
        <x:v>0.15424</x:v>
      </x:c>
      <x:c r="L265" s="54" t="n">
        <x:v>0.34012</x:v>
      </x:c>
      <x:c r="M265" s="54" t="n">
        <x:v>0.75251</x:v>
      </x:c>
      <x:c r="N265" s="56" t="n">
        <x:v>-0.06</x:v>
      </x:c>
      <x:c r="O265" s="56" t="n">
        <x:v>0.94</x:v>
      </x:c>
      <x:c r="P265" s="56" t="n">
        <x:v>1.49</x:v>
      </x:c>
      <x:c r="Q265" s="56" t="n">
        <x:v>91.4</x:v>
      </x:c>
      <x:c r="R265" t="str">
        <x:v>X</x:v>
      </x:c>
      <x:c r="S265" s="102" t="n">
        <x:v>100</x:v>
      </x:c>
      <x:c r="T265" t="str">
        <x:v>IN TARGET BAND</x:v>
      </x:c>
      <x:c r="U265" t="str">
        <x:f>IF(T265="IN TARGET BAND","Yes","No")</x:f>
        <x:v>Yes</x:v>
      </x:c>
      <x:c r="V265" t="n">
        <x:v>2822</x:v>
      </x:c>
      <x:c r="W265" t="str">
        <x:v>Pasted text(56).txt</x:v>
      </x:c>
    </x:row>
    <x:row r="266">
      <x:c r="A266" t="str">
        <x:v>S08</x:v>
      </x:c>
      <x:c r="B266" t="str">
        <x:v>0.65 five-run validation</x:v>
      </x:c>
      <x:c r="C266" s="54" t="n">
        <x:v>0.65</x:v>
      </x:c>
      <x:c r="D266" t="n">
        <x:v>3</x:v>
      </x:c>
      <x:c r="E266" t="str">
        <x:v>PASS</x:v>
      </x:c>
      <x:c r="F266" t="n">
        <x:v>1</x:v>
      </x:c>
      <x:c r="G266" t="n">
        <x:v>5</x:v>
      </x:c>
      <x:c r="H266" s="54" t="n">
        <x:v>8.5</x:v>
      </x:c>
      <x:c r="I266" s="54" t="n">
        <x:v>0.63951</x:v>
      </x:c>
      <x:c r="J266" s="54" t="n">
        <x:v>0.64417</x:v>
      </x:c>
      <x:c r="K266" s="54" t="n">
        <x:v>0.16284</x:v>
      </x:c>
      <x:c r="L266" s="54" t="n">
        <x:v>0.37997</x:v>
      </x:c>
      <x:c r="M266" s="54" t="n">
        <x:v>0.7655</x:v>
      </x:c>
      <x:c r="N266" s="56" t="n">
        <x:v>-1.61</x:v>
      </x:c>
      <x:c r="O266" s="56" t="n">
        <x:v>0.67</x:v>
      </x:c>
      <x:c r="P266" s="56" t="n">
        <x:v>1.66</x:v>
      </x:c>
      <x:c r="Q266" s="56" t="n">
        <x:v>89.4</x:v>
      </x:c>
      <x:c r="R266" t="str">
        <x:v>X</x:v>
      </x:c>
      <x:c r="S266" s="102" t="n">
        <x:v>100</x:v>
      </x:c>
      <x:c r="T266" t="str">
        <x:v>IN TARGET BAND</x:v>
      </x:c>
      <x:c r="U266" t="str">
        <x:f>IF(T266="IN TARGET BAND","Yes","No")</x:f>
        <x:v>Yes</x:v>
      </x:c>
      <x:c r="V266" t="n">
        <x:v>2823</x:v>
      </x:c>
      <x:c r="W266" t="str">
        <x:v>Pasted text(56).txt</x:v>
      </x:c>
    </x:row>
    <x:row r="267">
      <x:c r="A267" t="str">
        <x:v>S08</x:v>
      </x:c>
      <x:c r="B267" t="str">
        <x:v>0.65 five-run validation</x:v>
      </x:c>
      <x:c r="C267" s="54" t="n">
        <x:v>0.65</x:v>
      </x:c>
      <x:c r="D267" t="n">
        <x:v>3</x:v>
      </x:c>
      <x:c r="E267" t="str">
        <x:v>PASS</x:v>
      </x:c>
      <x:c r="F267" t="n">
        <x:v>1</x:v>
      </x:c>
      <x:c r="G267" t="n">
        <x:v>6</x:v>
      </x:c>
      <x:c r="H267" s="54" t="n">
        <x:v>8.5</x:v>
      </x:c>
      <x:c r="I267" s="54" t="n">
        <x:v>0.66556</x:v>
      </x:c>
      <x:c r="J267" s="54" t="n">
        <x:v>0.66712</x:v>
      </x:c>
      <x:c r="K267" s="54" t="n">
        <x:v>0.15504</x:v>
      </x:c>
      <x:c r="L267" s="54" t="n">
        <x:v>0.33132</x:v>
      </x:c>
      <x:c r="M267" s="54" t="n">
        <x:v>0.76106</x:v>
      </x:c>
      <x:c r="N267" s="56" t="n">
        <x:v>2.39</x:v>
      </x:c>
      <x:c r="O267" s="56" t="n">
        <x:v>1.62</x:v>
      </x:c>
      <x:c r="P267" s="56" t="n">
        <x:v>1.46</x:v>
      </x:c>
      <x:c r="Q267" s="56" t="n">
        <x:v>92</x:v>
      </x:c>
      <x:c r="R267" t="str">
        <x:v>X</x:v>
      </x:c>
      <x:c r="S267" s="102" t="n">
        <x:v>100</x:v>
      </x:c>
      <x:c r="T267" t="str">
        <x:v>IN TARGET BAND</x:v>
      </x:c>
      <x:c r="U267" t="str">
        <x:f>IF(T267="IN TARGET BAND","Yes","No")</x:f>
        <x:v>Yes</x:v>
      </x:c>
      <x:c r="V267" t="n">
        <x:v>2824</x:v>
      </x:c>
      <x:c r="W267" t="str">
        <x:v>Pasted text(56).txt</x:v>
      </x:c>
    </x:row>
    <x:row r="268">
      <x:c r="A268" t="str">
        <x:v>S08</x:v>
      </x:c>
      <x:c r="B268" t="str">
        <x:v>0.65 five-run validation</x:v>
      </x:c>
      <x:c r="C268" s="54" t="n">
        <x:v>0.65</x:v>
      </x:c>
      <x:c r="D268" t="n">
        <x:v>3</x:v>
      </x:c>
      <x:c r="E268" t="str">
        <x:v>PASS</x:v>
      </x:c>
      <x:c r="F268" t="n">
        <x:v>1</x:v>
      </x:c>
      <x:c r="G268" t="n">
        <x:v>7</x:v>
      </x:c>
      <x:c r="H268" s="54" t="n">
        <x:v>8.5</x:v>
      </x:c>
      <x:c r="I268" s="54" t="n">
        <x:v>0.66653</x:v>
      </x:c>
      <x:c r="J268" s="54" t="n">
        <x:v>0.65735</x:v>
      </x:c>
      <x:c r="K268" s="54" t="n">
        <x:v>0.15816</x:v>
      </x:c>
      <x:c r="L268" s="54" t="n">
        <x:v>0.35141</x:v>
      </x:c>
      <x:c r="M268" s="54" t="n">
        <x:v>0.76216</x:v>
      </x:c>
      <x:c r="N268" s="56" t="n">
        <x:v>2.54</x:v>
      </x:c>
      <x:c r="O268" s="56" t="n">
        <x:v>0.17</x:v>
      </x:c>
      <x:c r="P268" s="56" t="n">
        <x:v>2.52</x:v>
      </x:c>
      <x:c r="Q268" s="56" t="n">
        <x:v>90.4</x:v>
      </x:c>
      <x:c r="R268" t="str">
        <x:v>X</x:v>
      </x:c>
      <x:c r="S268" s="102" t="n">
        <x:v>100</x:v>
      </x:c>
      <x:c r="T268" t="str">
        <x:v>IN TARGET BAND</x:v>
      </x:c>
      <x:c r="U268" t="str">
        <x:f>IF(T268="IN TARGET BAND","Yes","No")</x:f>
        <x:v>Yes</x:v>
      </x:c>
      <x:c r="V268" t="n">
        <x:v>2825</x:v>
      </x:c>
      <x:c r="W268" t="str">
        <x:v>Pasted text(56).txt</x:v>
      </x:c>
    </x:row>
    <x:row r="269">
      <x:c r="A269" t="str">
        <x:v>S08</x:v>
      </x:c>
      <x:c r="B269" t="str">
        <x:v>0.65 five-run validation</x:v>
      </x:c>
      <x:c r="C269" s="54" t="n">
        <x:v>0.65</x:v>
      </x:c>
      <x:c r="D269" t="n">
        <x:v>3</x:v>
      </x:c>
      <x:c r="E269" t="str">
        <x:v>PASS</x:v>
      </x:c>
      <x:c r="F269" t="n">
        <x:v>1</x:v>
      </x:c>
      <x:c r="G269" t="n">
        <x:v>8</x:v>
      </x:c>
      <x:c r="H269" s="54" t="n">
        <x:v>8.5</x:v>
      </x:c>
      <x:c r="I269" s="54" t="n">
        <x:v>0.66245</x:v>
      </x:c>
      <x:c r="J269" s="54" t="n">
        <x:v>0.65765</x:v>
      </x:c>
      <x:c r="K269" s="54" t="n">
        <x:v>0.17175</x:v>
      </x:c>
      <x:c r="L269" s="54" t="n">
        <x:v>0.34192</x:v>
      </x:c>
      <x:c r="M269" s="54" t="n">
        <x:v>0.7611</x:v>
      </x:c>
      <x:c r="N269" s="56" t="n">
        <x:v>1.92</x:v>
      </x:c>
      <x:c r="O269" s="56" t="n">
        <x:v>0.36</x:v>
      </x:c>
      <x:c r="P269" s="56" t="n">
        <x:v>1.48</x:v>
      </x:c>
      <x:c r="Q269" s="56" t="n">
        <x:v>91.8</x:v>
      </x:c>
      <x:c r="R269" t="str">
        <x:v>X</x:v>
      </x:c>
      <x:c r="S269" s="102" t="n">
        <x:v>100</x:v>
      </x:c>
      <x:c r="T269" t="str">
        <x:v>IN TARGET BAND</x:v>
      </x:c>
      <x:c r="U269" t="str">
        <x:f>IF(T269="IN TARGET BAND","Yes","No")</x:f>
        <x:v>Yes</x:v>
      </x:c>
      <x:c r="V269" t="n">
        <x:v>2826</x:v>
      </x:c>
      <x:c r="W269" t="str">
        <x:v>Pasted text(56).txt</x:v>
      </x:c>
    </x:row>
    <x:row r="270">
      <x:c r="A270" t="str">
        <x:v>S08</x:v>
      </x:c>
      <x:c r="B270" t="str">
        <x:v>0.65 five-run validation</x:v>
      </x:c>
      <x:c r="C270" s="54" t="n">
        <x:v>0.65</x:v>
      </x:c>
      <x:c r="D270" t="n">
        <x:v>3</x:v>
      </x:c>
      <x:c r="E270" t="str">
        <x:v>PASS</x:v>
      </x:c>
      <x:c r="F270" t="n">
        <x:v>1</x:v>
      </x:c>
      <x:c r="G270" t="n">
        <x:v>9</x:v>
      </x:c>
      <x:c r="H270" s="54" t="n">
        <x:v>8.5</x:v>
      </x:c>
      <x:c r="I270" s="54" t="n">
        <x:v>0.62841</x:v>
      </x:c>
      <x:c r="J270" s="54" t="n">
        <x:v>0.62785</x:v>
      </x:c>
      <x:c r="K270" s="54" t="n">
        <x:v>0.16691</x:v>
      </x:c>
      <x:c r="L270" s="54" t="n">
        <x:v>0.34998</x:v>
      </x:c>
      <x:c r="M270" s="54" t="n">
        <x:v>0.73803</x:v>
      </x:c>
      <x:c r="N270" s="56" t="n">
        <x:v>-3.32</x:v>
      </x:c>
      <x:c r="O270" s="56" t="n">
        <x:v>3.13</x:v>
      </x:c>
      <x:c r="P270" s="56" t="n">
        <x:v>2.25</x:v>
      </x:c>
      <x:c r="Q270" s="56" t="n">
        <x:v>90.1</x:v>
      </x:c>
      <x:c r="R270" t="str">
        <x:v>X</x:v>
      </x:c>
      <x:c r="S270" s="102" t="n">
        <x:v>100</x:v>
      </x:c>
      <x:c r="T270" t="str">
        <x:v>IN TARGET BAND</x:v>
      </x:c>
      <x:c r="U270" t="str">
        <x:f>IF(T270="IN TARGET BAND","Yes","No")</x:f>
        <x:v>Yes</x:v>
      </x:c>
      <x:c r="V270" t="n">
        <x:v>2827</x:v>
      </x:c>
      <x:c r="W270" t="str">
        <x:v>Pasted text(56).txt</x:v>
      </x:c>
    </x:row>
    <x:row r="271">
      <x:c r="A271" t="str">
        <x:v>S08</x:v>
      </x:c>
      <x:c r="B271" t="str">
        <x:v>0.65 five-run validation</x:v>
      </x:c>
      <x:c r="C271" s="54" t="n">
        <x:v>0.65</x:v>
      </x:c>
      <x:c r="D271" t="n">
        <x:v>3</x:v>
      </x:c>
      <x:c r="E271" t="str">
        <x:v>PASS</x:v>
      </x:c>
      <x:c r="F271" t="n">
        <x:v>1</x:v>
      </x:c>
      <x:c r="G271" t="n">
        <x:v>10</x:v>
      </x:c>
      <x:c r="H271" s="54" t="n">
        <x:v>8.5</x:v>
      </x:c>
      <x:c r="I271" s="54" t="n">
        <x:v>0.6417</x:v>
      </x:c>
      <x:c r="J271" s="54" t="n">
        <x:v>0.64446</x:v>
      </x:c>
      <x:c r="K271" s="54" t="n">
        <x:v>0.15266</x:v>
      </x:c>
      <x:c r="L271" s="54" t="n">
        <x:v>0.35951</x:v>
      </x:c>
      <x:c r="M271" s="54" t="n">
        <x:v>0.75374</x:v>
      </x:c>
      <x:c r="N271" s="56" t="n">
        <x:v>-1.28</x:v>
      </x:c>
      <x:c r="O271" s="56" t="n">
        <x:v>0.38</x:v>
      </x:c>
      <x:c r="P271" s="56" t="n">
        <x:v>0.97</x:v>
      </x:c>
      <x:c r="Q271" s="56" t="n">
        <x:v>88.2</x:v>
      </x:c>
      <x:c r="R271" t="str">
        <x:v>X</x:v>
      </x:c>
      <x:c r="S271" s="102" t="n">
        <x:v>100</x:v>
      </x:c>
      <x:c r="T271" t="str">
        <x:v>IN TARGET BAND</x:v>
      </x:c>
      <x:c r="U271" t="str">
        <x:f>IF(T271="IN TARGET BAND","Yes","No")</x:f>
        <x:v>Yes</x:v>
      </x:c>
      <x:c r="V271" t="n">
        <x:v>2828</x:v>
      </x:c>
      <x:c r="W271" t="str">
        <x:v>Pasted text(56).txt</x:v>
      </x:c>
    </x:row>
    <x:row r="272">
      <x:c r="A272" t="str">
        <x:v>S08</x:v>
      </x:c>
      <x:c r="B272" t="str">
        <x:v>0.65 five-run validation</x:v>
      </x:c>
      <x:c r="C272" s="54" t="n">
        <x:v>0.65</x:v>
      </x:c>
      <x:c r="D272" t="n">
        <x:v>5</x:v>
      </x:c>
      <x:c r="E272" t="str">
        <x:v>PASS</x:v>
      </x:c>
      <x:c r="F272" t="n">
        <x:v>1</x:v>
      </x:c>
      <x:c r="G272" t="n">
        <x:v>1</x:v>
      </x:c>
      <x:c r="H272" s="54" t="n">
        <x:v>7.5</x:v>
      </x:c>
      <x:c r="I272" s="54" t="n">
        <x:v>0.6268</x:v>
      </x:c>
      <x:c r="J272" s="54" t="n">
        <x:v>0.61753</x:v>
      </x:c>
      <x:c r="K272" s="54" t="n">
        <x:v>0.13994</x:v>
      </x:c>
      <x:c r="L272" s="54" t="n">
        <x:v>0.30712</x:v>
      </x:c>
      <x:c r="M272" s="54" t="n">
        <x:v>0.70426</x:v>
      </x:c>
      <x:c r="N272" s="56" t="n">
        <x:v>-3.57</x:v>
      </x:c>
      <x:c r="O272" s="56" t="n">
        <x:v>2.17</x:v>
      </x:c>
      <x:c r="P272" s="56" t="n">
        <x:v>3.96</x:v>
      </x:c>
      <x:c r="Q272" s="56" t="n">
        <x:v>88.9</x:v>
      </x:c>
      <x:c r="R272" t="str">
        <x:v>X</x:v>
      </x:c>
      <x:c r="S272" s="102" t="n">
        <x:v>100</x:v>
      </x:c>
      <x:c r="T272" t="str">
        <x:v>IN TARGET BAND</x:v>
      </x:c>
      <x:c r="U272" t="str">
        <x:f>IF(T272="IN TARGET BAND","Yes","No")</x:f>
        <x:v>Yes</x:v>
      </x:c>
      <x:c r="V272" t="n">
        <x:v>2992</x:v>
      </x:c>
      <x:c r="W272" t="str">
        <x:v>Pasted text(56).txt</x:v>
      </x:c>
    </x:row>
    <x:row r="273">
      <x:c r="A273" t="str">
        <x:v>S08</x:v>
      </x:c>
      <x:c r="B273" t="str">
        <x:v>0.65 five-run validation</x:v>
      </x:c>
      <x:c r="C273" s="54" t="n">
        <x:v>0.65</x:v>
      </x:c>
      <x:c r="D273" t="n">
        <x:v>5</x:v>
      </x:c>
      <x:c r="E273" t="str">
        <x:v>PASS</x:v>
      </x:c>
      <x:c r="F273" t="n">
        <x:v>1</x:v>
      </x:c>
      <x:c r="G273" t="n">
        <x:v>2</x:v>
      </x:c>
      <x:c r="H273" s="54" t="n">
        <x:v>7.5</x:v>
      </x:c>
      <x:c r="I273" s="54" t="n">
        <x:v>0.62507</x:v>
      </x:c>
      <x:c r="J273" s="54" t="n">
        <x:v>0.6194</x:v>
      </x:c>
      <x:c r="K273" s="54" t="n">
        <x:v>0.14248</x:v>
      </x:c>
      <x:c r="L273" s="54" t="n">
        <x:v>0.31176</x:v>
      </x:c>
      <x:c r="M273" s="54" t="n">
        <x:v>0.70819</x:v>
      </x:c>
      <x:c r="N273" s="56" t="n">
        <x:v>-3.84</x:v>
      </x:c>
      <x:c r="O273" s="56" t="n">
        <x:v>1.99</x:v>
      </x:c>
      <x:c r="P273" s="56" t="n">
        <x:v>2.84</x:v>
      </x:c>
      <x:c r="Q273" s="56" t="n">
        <x:v>88.9</x:v>
      </x:c>
      <x:c r="R273" t="str">
        <x:v>X</x:v>
      </x:c>
      <x:c r="S273" s="102" t="n">
        <x:v>100</x:v>
      </x:c>
      <x:c r="T273" t="str">
        <x:v>IN TARGET BAND</x:v>
      </x:c>
      <x:c r="U273" t="str">
        <x:f>IF(T273="IN TARGET BAND","Yes","No")</x:f>
        <x:v>Yes</x:v>
      </x:c>
      <x:c r="V273" t="n">
        <x:v>2993</x:v>
      </x:c>
      <x:c r="W273" t="str">
        <x:v>Pasted text(56).txt</x:v>
      </x:c>
    </x:row>
    <x:row r="274">
      <x:c r="A274" t="str">
        <x:v>S08</x:v>
      </x:c>
      <x:c r="B274" t="str">
        <x:v>0.65 five-run validation</x:v>
      </x:c>
      <x:c r="C274" s="54" t="n">
        <x:v>0.65</x:v>
      </x:c>
      <x:c r="D274" t="n">
        <x:v>5</x:v>
      </x:c>
      <x:c r="E274" t="str">
        <x:v>PASS</x:v>
      </x:c>
      <x:c r="F274" t="n">
        <x:v>1</x:v>
      </x:c>
      <x:c r="G274" t="n">
        <x:v>3</x:v>
      </x:c>
      <x:c r="H274" s="54" t="n">
        <x:v>7.5</x:v>
      </x:c>
      <x:c r="I274" s="54" t="n">
        <x:v>0.62796</x:v>
      </x:c>
      <x:c r="J274" s="54" t="n">
        <x:v>0.62642</x:v>
      </x:c>
      <x:c r="K274" s="54" t="n">
        <x:v>0.15071</x:v>
      </x:c>
      <x:c r="L274" s="54" t="n">
        <x:v>0.3226</x:v>
      </x:c>
      <x:c r="M274" s="54" t="n">
        <x:v>0.72061</x:v>
      </x:c>
      <x:c r="N274" s="56" t="n">
        <x:v>-3.39</x:v>
      </x:c>
      <x:c r="O274" s="56" t="n">
        <x:v>1.76</x:v>
      </x:c>
      <x:c r="P274" s="56" t="n">
        <x:v>1.57</x:v>
      </x:c>
      <x:c r="Q274" s="56" t="n">
        <x:v>90</x:v>
      </x:c>
      <x:c r="R274" t="str">
        <x:v>X</x:v>
      </x:c>
      <x:c r="S274" s="102" t="n">
        <x:v>100</x:v>
      </x:c>
      <x:c r="T274" t="str">
        <x:v>IN TARGET BAND</x:v>
      </x:c>
      <x:c r="U274" t="str">
        <x:f>IF(T274="IN TARGET BAND","Yes","No")</x:f>
        <x:v>Yes</x:v>
      </x:c>
      <x:c r="V274" t="n">
        <x:v>2994</x:v>
      </x:c>
      <x:c r="W274" t="str">
        <x:v>Pasted text(56).txt</x:v>
      </x:c>
    </x:row>
    <x:row r="275">
      <x:c r="A275" t="str">
        <x:v>S08</x:v>
      </x:c>
      <x:c r="B275" t="str">
        <x:v>0.65 five-run validation</x:v>
      </x:c>
      <x:c r="C275" s="54" t="n">
        <x:v>0.65</x:v>
      </x:c>
      <x:c r="D275" t="n">
        <x:v>5</x:v>
      </x:c>
      <x:c r="E275" t="str">
        <x:v>PASS</x:v>
      </x:c>
      <x:c r="F275" t="n">
        <x:v>1</x:v>
      </x:c>
      <x:c r="G275" t="n">
        <x:v>4</x:v>
      </x:c>
      <x:c r="H275" s="54" t="n">
        <x:v>7.5</x:v>
      </x:c>
      <x:c r="I275" s="54" t="n">
        <x:v>0.61242</x:v>
      </x:c>
      <x:c r="J275" s="54" t="n">
        <x:v>0.6167</x:v>
      </x:c>
      <x:c r="K275" s="54" t="n">
        <x:v>0.13419</x:v>
      </x:c>
      <x:c r="L275" s="54" t="n">
        <x:v>0.30365</x:v>
      </x:c>
      <x:c r="M275" s="54" t="n">
        <x:v>0.70073</x:v>
      </x:c>
      <x:c r="N275" s="56" t="n">
        <x:v>-5.78</x:v>
      </x:c>
      <x:c r="O275" s="56" t="n">
        <x:v>0.34</x:v>
      </x:c>
      <x:c r="P275" s="56" t="n">
        <x:v>1.41</x:v>
      </x:c>
      <x:c r="Q275" s="56" t="n">
        <x:v>90.2</x:v>
      </x:c>
      <x:c r="R275" t="str">
        <x:v>X</x:v>
      </x:c>
      <x:c r="S275" s="102" t="n">
        <x:v>100</x:v>
      </x:c>
      <x:c r="T275" t="str">
        <x:v>IN TARGET BAND</x:v>
      </x:c>
      <x:c r="U275" t="str">
        <x:f>IF(T275="IN TARGET BAND","Yes","No")</x:f>
        <x:v>Yes</x:v>
      </x:c>
      <x:c r="V275" t="n">
        <x:v>2995</x:v>
      </x:c>
      <x:c r="W275" t="str">
        <x:v>Pasted text(56).txt</x:v>
      </x:c>
    </x:row>
    <x:row r="276">
      <x:c r="A276" t="str">
        <x:v>S08</x:v>
      </x:c>
      <x:c r="B276" t="str">
        <x:v>0.65 five-run validation</x:v>
      </x:c>
      <x:c r="C276" s="54" t="n">
        <x:v>0.65</x:v>
      </x:c>
      <x:c r="D276" t="n">
        <x:v>5</x:v>
      </x:c>
      <x:c r="E276" t="str">
        <x:v>PASS</x:v>
      </x:c>
      <x:c r="F276" t="n">
        <x:v>1</x:v>
      </x:c>
      <x:c r="G276" t="n">
        <x:v>5</x:v>
      </x:c>
      <x:c r="H276" s="54" t="n">
        <x:v>7.5</x:v>
      </x:c>
      <x:c r="I276" s="54" t="n">
        <x:v>0.62745</x:v>
      </x:c>
      <x:c r="J276" s="54" t="n">
        <x:v>0.62814</x:v>
      </x:c>
      <x:c r="K276" s="54" t="n">
        <x:v>0.15074</x:v>
      </x:c>
      <x:c r="L276" s="54" t="n">
        <x:v>0.29921</x:v>
      </x:c>
      <x:c r="M276" s="54" t="n">
        <x:v>0.71201</x:v>
      </x:c>
      <x:c r="N276" s="56" t="n">
        <x:v>-3.47</x:v>
      </x:c>
      <x:c r="O276" s="56" t="n">
        <x:v>0.92</x:v>
      </x:c>
      <x:c r="P276" s="56" t="n">
        <x:v>0.79</x:v>
      </x:c>
      <x:c r="Q276" s="56" t="n">
        <x:v>89.5</x:v>
      </x:c>
      <x:c r="R276" t="str">
        <x:v>X</x:v>
      </x:c>
      <x:c r="S276" s="102" t="n">
        <x:v>100</x:v>
      </x:c>
      <x:c r="T276" t="str">
        <x:v>IN TARGET BAND</x:v>
      </x:c>
      <x:c r="U276" t="str">
        <x:f>IF(T276="IN TARGET BAND","Yes","No")</x:f>
        <x:v>Yes</x:v>
      </x:c>
      <x:c r="V276" t="n">
        <x:v>2996</x:v>
      </x:c>
      <x:c r="W276" t="str">
        <x:v>Pasted text(56).txt</x:v>
      </x:c>
    </x:row>
    <x:row r="277">
      <x:c r="A277" t="str">
        <x:v>S08</x:v>
      </x:c>
      <x:c r="B277" t="str">
        <x:v>0.65 five-run validation</x:v>
      </x:c>
      <x:c r="C277" s="54" t="n">
        <x:v>0.65</x:v>
      </x:c>
      <x:c r="D277" t="n">
        <x:v>5</x:v>
      </x:c>
      <x:c r="E277" t="str">
        <x:v>PASS</x:v>
      </x:c>
      <x:c r="F277" t="n">
        <x:v>1</x:v>
      </x:c>
      <x:c r="G277" t="n">
        <x:v>6</x:v>
      </x:c>
      <x:c r="H277" s="54" t="n">
        <x:v>7.5</x:v>
      </x:c>
      <x:c r="I277" s="54" t="n">
        <x:v>0.62295</x:v>
      </x:c>
      <x:c r="J277" s="54" t="n">
        <x:v>0.62363</x:v>
      </x:c>
      <x:c r="K277" s="54" t="n">
        <x:v>0.14528</x:v>
      </x:c>
      <x:c r="L277" s="54" t="n">
        <x:v>0.32093</x:v>
      </x:c>
      <x:c r="M277" s="54" t="n">
        <x:v>0.71639</x:v>
      </x:c>
      <x:c r="N277" s="56" t="n">
        <x:v>-4.16</x:v>
      </x:c>
      <x:c r="O277" s="56" t="n">
        <x:v>0.1</x:v>
      </x:c>
      <x:c r="P277" s="56" t="n">
        <x:v>0.25</x:v>
      </x:c>
      <x:c r="Q277" s="56" t="n">
        <x:v>90.5</x:v>
      </x:c>
      <x:c r="R277" t="str">
        <x:v>X</x:v>
      </x:c>
      <x:c r="S277" s="102" t="n">
        <x:v>100</x:v>
      </x:c>
      <x:c r="T277" t="str">
        <x:v>IN TARGET BAND</x:v>
      </x:c>
      <x:c r="U277" t="str">
        <x:f>IF(T277="IN TARGET BAND","Yes","No")</x:f>
        <x:v>Yes</x:v>
      </x:c>
      <x:c r="V277" t="n">
        <x:v>2997</x:v>
      </x:c>
      <x:c r="W277" t="str">
        <x:v>Pasted text(56).txt</x:v>
      </x:c>
    </x:row>
    <x:row r="278">
      <x:c r="A278" t="str">
        <x:v>S08</x:v>
      </x:c>
      <x:c r="B278" t="str">
        <x:v>0.65 five-run validation</x:v>
      </x:c>
      <x:c r="C278" s="54" t="n">
        <x:v>0.65</x:v>
      </x:c>
      <x:c r="D278" t="n">
        <x:v>5</x:v>
      </x:c>
      <x:c r="E278" t="str">
        <x:v>PASS</x:v>
      </x:c>
      <x:c r="F278" t="n">
        <x:v>1</x:v>
      </x:c>
      <x:c r="G278" t="n">
        <x:v>7</x:v>
      </x:c>
      <x:c r="H278" s="54" t="n">
        <x:v>7.5</x:v>
      </x:c>
      <x:c r="I278" s="54" t="n">
        <x:v>0.61918</x:v>
      </x:c>
      <x:c r="J278" s="54" t="n">
        <x:v>0.62559</x:v>
      </x:c>
      <x:c r="K278" s="54" t="n">
        <x:v>0.15441</x:v>
      </x:c>
      <x:c r="L278" s="54" t="n">
        <x:v>0.32148</x:v>
      </x:c>
      <x:c r="M278" s="54" t="n">
        <x:v>0.72068</x:v>
      </x:c>
      <x:c r="N278" s="56" t="n">
        <x:v>-4.74</x:v>
      </x:c>
      <x:c r="O278" s="56" t="n">
        <x:v>0.45</x:v>
      </x:c>
      <x:c r="P278" s="56" t="n">
        <x:v>2.04</x:v>
      </x:c>
      <x:c r="Q278" s="56" t="n">
        <x:v>89.9</x:v>
      </x:c>
      <x:c r="R278" t="str">
        <x:v>X</x:v>
      </x:c>
      <x:c r="S278" s="102" t="n">
        <x:v>100</x:v>
      </x:c>
      <x:c r="T278" t="str">
        <x:v>IN TARGET BAND</x:v>
      </x:c>
      <x:c r="U278" t="str">
        <x:f>IF(T278="IN TARGET BAND","Yes","No")</x:f>
        <x:v>Yes</x:v>
      </x:c>
      <x:c r="V278" t="n">
        <x:v>2998</x:v>
      </x:c>
      <x:c r="W278" t="str">
        <x:v>Pasted text(56).txt</x:v>
      </x:c>
    </x:row>
    <x:row r="279">
      <x:c r="A279" t="str">
        <x:v>S08</x:v>
      </x:c>
      <x:c r="B279" t="str">
        <x:v>0.65 five-run validation</x:v>
      </x:c>
      <x:c r="C279" s="54" t="n">
        <x:v>0.65</x:v>
      </x:c>
      <x:c r="D279" t="n">
        <x:v>5</x:v>
      </x:c>
      <x:c r="E279" t="str">
        <x:v>PASS</x:v>
      </x:c>
      <x:c r="F279" t="n">
        <x:v>1</x:v>
      </x:c>
      <x:c r="G279" t="n">
        <x:v>8</x:v>
      </x:c>
      <x:c r="H279" s="54" t="n">
        <x:v>7.5</x:v>
      </x:c>
      <x:c r="I279" s="54" t="n">
        <x:v>0.64867</x:v>
      </x:c>
      <x:c r="J279" s="54" t="n">
        <x:v>0.64174</x:v>
      </x:c>
      <x:c r="K279" s="54" t="n">
        <x:v>0.15766</x:v>
      </x:c>
      <x:c r="L279" s="54" t="n">
        <x:v>0.28675</x:v>
      </x:c>
      <x:c r="M279" s="54" t="n">
        <x:v>0.72098</x:v>
      </x:c>
      <x:c r="N279" s="56" t="n">
        <x:v>-0.21</x:v>
      </x:c>
      <x:c r="O279" s="56" t="n">
        <x:v>2.6</x:v>
      </x:c>
      <x:c r="P279" s="56" t="n">
        <x:v>3.52</x:v>
      </x:c>
      <x:c r="Q279" s="56" t="n">
        <x:v>91.7</x:v>
      </x:c>
      <x:c r="R279" t="str">
        <x:v>X</x:v>
      </x:c>
      <x:c r="S279" s="102" t="n">
        <x:v>100</x:v>
      </x:c>
      <x:c r="T279" t="str">
        <x:v>IN TARGET BAND</x:v>
      </x:c>
      <x:c r="U279" t="str">
        <x:f>IF(T279="IN TARGET BAND","Yes","No")</x:f>
        <x:v>Yes</x:v>
      </x:c>
      <x:c r="V279" t="n">
        <x:v>2999</x:v>
      </x:c>
      <x:c r="W279" t="str">
        <x:v>Pasted text(56).txt</x:v>
      </x:c>
    </x:row>
    <x:row r="280">
      <x:c r="A280" t="str">
        <x:v>S08</x:v>
      </x:c>
      <x:c r="B280" t="str">
        <x:v>0.65 five-run validation</x:v>
      </x:c>
      <x:c r="C280" s="54" t="n">
        <x:v>0.65</x:v>
      </x:c>
      <x:c r="D280" t="n">
        <x:v>5</x:v>
      </x:c>
      <x:c r="E280" t="str">
        <x:v>PASS</x:v>
      </x:c>
      <x:c r="F280" t="n">
        <x:v>1</x:v>
      </x:c>
      <x:c r="G280" t="n">
        <x:v>9</x:v>
      </x:c>
      <x:c r="H280" s="54" t="n">
        <x:v>7.5</x:v>
      </x:c>
      <x:c r="I280" s="54" t="n">
        <x:v>0.61157</x:v>
      </x:c>
      <x:c r="J280" s="54" t="n">
        <x:v>0.61758</x:v>
      </x:c>
      <x:c r="K280" s="54" t="n">
        <x:v>0.15703</x:v>
      </x:c>
      <x:c r="L280" s="54" t="n">
        <x:v>0.30771</x:v>
      </x:c>
      <x:c r="M280" s="54" t="n">
        <x:v>0.70778</x:v>
      </x:c>
      <x:c r="N280" s="56" t="n">
        <x:v>-5.91</x:v>
      </x:c>
      <x:c r="O280" s="56" t="n">
        <x:v>0.78</x:v>
      </x:c>
      <x:c r="P280" s="56" t="n">
        <x:v>2.15</x:v>
      </x:c>
      <x:c r="Q280" s="56" t="n">
        <x:v>89.6</x:v>
      </x:c>
      <x:c r="R280" t="str">
        <x:v>X</x:v>
      </x:c>
      <x:c r="S280" s="102" t="n">
        <x:v>100</x:v>
      </x:c>
      <x:c r="T280" t="str">
        <x:v>IN TARGET BAND</x:v>
      </x:c>
      <x:c r="U280" t="str">
        <x:f>IF(T280="IN TARGET BAND","Yes","No")</x:f>
        <x:v>Yes</x:v>
      </x:c>
      <x:c r="V280" t="n">
        <x:v>3000</x:v>
      </x:c>
      <x:c r="W280" t="str">
        <x:v>Pasted text(56).txt</x:v>
      </x:c>
    </x:row>
    <x:row r="281">
      <x:c r="A281" t="str">
        <x:v>S08</x:v>
      </x:c>
      <x:c r="B281" t="str">
        <x:v>0.65 five-run validation</x:v>
      </x:c>
      <x:c r="C281" s="54" t="n">
        <x:v>0.65</x:v>
      </x:c>
      <x:c r="D281" t="n">
        <x:v>5</x:v>
      </x:c>
      <x:c r="E281" t="str">
        <x:v>PASS</x:v>
      </x:c>
      <x:c r="F281" t="n">
        <x:v>1</x:v>
      </x:c>
      <x:c r="G281" t="n">
        <x:v>10</x:v>
      </x:c>
      <x:c r="H281" s="54" t="n">
        <x:v>7.5</x:v>
      </x:c>
      <x:c r="I281" s="54" t="n">
        <x:v>0.61189</x:v>
      </x:c>
      <x:c r="J281" s="54" t="n">
        <x:v>0.60513</x:v>
      </x:c>
      <x:c r="K281" s="54" t="n">
        <x:v>0.15105</x:v>
      </x:c>
      <x:c r="L281" s="54" t="n">
        <x:v>0.29249</x:v>
      </x:c>
      <x:c r="M281" s="54" t="n">
        <x:v>0.68904</x:v>
      </x:c>
      <x:c r="N281" s="56" t="n">
        <x:v>-5.86</x:v>
      </x:c>
      <x:c r="O281" s="56" t="n">
        <x:v>2.08</x:v>
      </x:c>
      <x:c r="P281" s="56" t="n">
        <x:v>3.24</x:v>
      </x:c>
      <x:c r="Q281" s="56" t="n">
        <x:v>87.9</x:v>
      </x:c>
      <x:c r="R281" t="str">
        <x:v>X</x:v>
      </x:c>
      <x:c r="S281" s="102" t="n">
        <x:v>100</x:v>
      </x:c>
      <x:c r="T281" t="str">
        <x:v>IN TARGET BAND</x:v>
      </x:c>
      <x:c r="U281" t="str">
        <x:f>IF(T281="IN TARGET BAND","Yes","No")</x:f>
        <x:v>Yes</x:v>
      </x:c>
      <x:c r="V281" t="n">
        <x:v>3001</x:v>
      </x:c>
      <x:c r="W281" t="str">
        <x:v>Pasted text(56).txt</x:v>
      </x:c>
    </x:row>
    <x:row r="282">
      <x:c r="A282" t="str">
        <x:v>S09</x:v>
      </x:c>
      <x:c r="B282" t="str">
        <x:v>1.15 validated five-run session</x:v>
      </x:c>
      <x:c r="C282" s="54" t="n">
        <x:v>1.15</x:v>
      </x:c>
      <x:c r="D282" t="n">
        <x:v>1</x:v>
      </x:c>
      <x:c r="E282" t="str">
        <x:v>PASS</x:v>
      </x:c>
      <x:c r="F282" t="n">
        <x:v>1</x:v>
      </x:c>
      <x:c r="G282" t="n">
        <x:v>1</x:v>
      </x:c>
      <x:c r="H282" s="54" t="n">
        <x:v>12.5</x:v>
      </x:c>
      <x:c r="I282" s="54" t="n">
        <x:v>1.14582</x:v>
      </x:c>
      <x:c r="J282" s="54" t="n">
        <x:v>1.1535</x:v>
      </x:c>
      <x:c r="K282" s="54" t="n">
        <x:v>0.27345</x:v>
      </x:c>
      <x:c r="L282" s="54" t="n">
        <x:v>0.50653</x:v>
      </x:c>
      <x:c r="M282" s="54" t="n">
        <x:v>1.28934</x:v>
      </x:c>
      <x:c r="N282" s="56" t="n">
        <x:v>-0.36</x:v>
      </x:c>
      <x:c r="O282" s="56" t="n">
        <x:v>0.64</x:v>
      </x:c>
      <x:c r="P282" s="56" t="n">
        <x:v>1.54</x:v>
      </x:c>
      <x:c r="Q282" s="56" t="n">
        <x:v>93.6</x:v>
      </x:c>
      <x:c r="R282" t="str">
        <x:v>X</x:v>
      </x:c>
      <x:c r="S282" s="102" t="n">
        <x:v>100</x:v>
      </x:c>
      <x:c r="T282" t="str">
        <x:v>IN TARGET BAND</x:v>
      </x:c>
      <x:c r="U282" t="str">
        <x:f>IF(T282="IN TARGET BAND","Yes","No")</x:f>
        <x:v>Yes</x:v>
      </x:c>
      <x:c r="V282" t="n">
        <x:v>3133</x:v>
      </x:c>
      <x:c r="W282" t="str">
        <x:v>Pasted text(56).txt</x:v>
      </x:c>
    </x:row>
    <x:row r="283">
      <x:c r="A283" t="str">
        <x:v>S09</x:v>
      </x:c>
      <x:c r="B283" t="str">
        <x:v>1.15 validated five-run session</x:v>
      </x:c>
      <x:c r="C283" s="54" t="n">
        <x:v>1.15</x:v>
      </x:c>
      <x:c r="D283" t="n">
        <x:v>1</x:v>
      </x:c>
      <x:c r="E283" t="str">
        <x:v>PASS</x:v>
      </x:c>
      <x:c r="F283" t="n">
        <x:v>1</x:v>
      </x:c>
      <x:c r="G283" t="n">
        <x:v>2</x:v>
      </x:c>
      <x:c r="H283" s="54" t="n">
        <x:v>12.5</x:v>
      </x:c>
      <x:c r="I283" s="54" t="n">
        <x:v>1.1768</x:v>
      </x:c>
      <x:c r="J283" s="54" t="n">
        <x:v>1.17598</x:v>
      </x:c>
      <x:c r="K283" s="54" t="n">
        <x:v>0.27768</x:v>
      </x:c>
      <x:c r="L283" s="54" t="n">
        <x:v>0.49713</x:v>
      </x:c>
      <x:c r="M283" s="54" t="n">
        <x:v>1.30667</x:v>
      </x:c>
      <x:c r="N283" s="56" t="n">
        <x:v>2.33</x:v>
      </x:c>
      <x:c r="O283" s="56" t="n">
        <x:v>0.64</x:v>
      </x:c>
      <x:c r="P283" s="56" t="n">
        <x:v>0.54</x:v>
      </x:c>
      <x:c r="Q283" s="56" t="n">
        <x:v>94.4</x:v>
      </x:c>
      <x:c r="R283" t="str">
        <x:v>X</x:v>
      </x:c>
      <x:c r="S283" s="102" t="n">
        <x:v>100</x:v>
      </x:c>
      <x:c r="T283" t="str">
        <x:v>IN TARGET BAND</x:v>
      </x:c>
      <x:c r="U283" t="str">
        <x:f>IF(T283="IN TARGET BAND","Yes","No")</x:f>
        <x:v>Yes</x:v>
      </x:c>
      <x:c r="V283" t="n">
        <x:v>3134</x:v>
      </x:c>
      <x:c r="W283" t="str">
        <x:v>Pasted text(56).txt</x:v>
      </x:c>
    </x:row>
    <x:row r="284">
      <x:c r="A284" t="str">
        <x:v>S09</x:v>
      </x:c>
      <x:c r="B284" t="str">
        <x:v>1.15 validated five-run session</x:v>
      </x:c>
      <x:c r="C284" s="54" t="n">
        <x:v>1.15</x:v>
      </x:c>
      <x:c r="D284" t="n">
        <x:v>1</x:v>
      </x:c>
      <x:c r="E284" t="str">
        <x:v>PASS</x:v>
      </x:c>
      <x:c r="F284" t="n">
        <x:v>1</x:v>
      </x:c>
      <x:c r="G284" t="n">
        <x:v>3</x:v>
      </x:c>
      <x:c r="H284" s="54" t="n">
        <x:v>12.5</x:v>
      </x:c>
      <x:c r="I284" s="54" t="n">
        <x:v>1.16167</x:v>
      </x:c>
      <x:c r="J284" s="54" t="n">
        <x:v>1.16509</x:v>
      </x:c>
      <x:c r="K284" s="54" t="n">
        <x:v>0.27846</x:v>
      </x:c>
      <x:c r="L284" s="54" t="n">
        <x:v>0.50302</x:v>
      </x:c>
      <x:c r="M284" s="54" t="n">
        <x:v>1.29943</x:v>
      </x:c>
      <x:c r="N284" s="56" t="n">
        <x:v>1.01</x:v>
      </x:c>
      <x:c r="O284" s="56" t="n">
        <x:v>3.59</x:v>
      </x:c>
      <x:c r="P284" s="56" t="n">
        <x:v>2.87</x:v>
      </x:c>
      <x:c r="Q284" s="56" t="n">
        <x:v>93.9</x:v>
      </x:c>
      <x:c r="R284" t="str">
        <x:v>X</x:v>
      </x:c>
      <x:c r="S284" s="102" t="n">
        <x:v>100</x:v>
      </x:c>
      <x:c r="T284" t="str">
        <x:v>IN TARGET BAND</x:v>
      </x:c>
      <x:c r="U284" t="str">
        <x:f>IF(T284="IN TARGET BAND","Yes","No")</x:f>
        <x:v>Yes</x:v>
      </x:c>
      <x:c r="V284" t="n">
        <x:v>3135</x:v>
      </x:c>
      <x:c r="W284" t="str">
        <x:v>Pasted text(56).txt</x:v>
      </x:c>
    </x:row>
    <x:row r="285">
      <x:c r="A285" t="str">
        <x:v>S09</x:v>
      </x:c>
      <x:c r="B285" t="str">
        <x:v>1.15 validated five-run session</x:v>
      </x:c>
      <x:c r="C285" s="54" t="n">
        <x:v>1.15</x:v>
      </x:c>
      <x:c r="D285" t="n">
        <x:v>1</x:v>
      </x:c>
      <x:c r="E285" t="str">
        <x:v>PASS</x:v>
      </x:c>
      <x:c r="F285" t="n">
        <x:v>1</x:v>
      </x:c>
      <x:c r="G285" t="n">
        <x:v>4</x:v>
      </x:c>
      <x:c r="H285" s="54" t="n">
        <x:v>12.5</x:v>
      </x:c>
      <x:c r="I285" s="54" t="n">
        <x:v>1.16048</x:v>
      </x:c>
      <x:c r="J285" s="54" t="n">
        <x:v>1.17569</x:v>
      </x:c>
      <x:c r="K285" s="54" t="n">
        <x:v>0.28655</x:v>
      </x:c>
      <x:c r="L285" s="54" t="n">
        <x:v>0.47555</x:v>
      </x:c>
      <x:c r="M285" s="54" t="n">
        <x:v>1.30048</x:v>
      </x:c>
      <x:c r="N285" s="56" t="n">
        <x:v>0.91</x:v>
      </x:c>
      <x:c r="O285" s="56" t="n">
        <x:v>0.08</x:v>
      </x:c>
      <x:c r="P285" s="56" t="n">
        <x:v>2.29</x:v>
      </x:c>
      <x:c r="Q285" s="56" t="n">
        <x:v>93.5</x:v>
      </x:c>
      <x:c r="R285" t="str">
        <x:v>X</x:v>
      </x:c>
      <x:c r="S285" s="102" t="n">
        <x:v>100</x:v>
      </x:c>
      <x:c r="T285" t="str">
        <x:v>IN TARGET BAND</x:v>
      </x:c>
      <x:c r="U285" t="str">
        <x:f>IF(T285="IN TARGET BAND","Yes","No")</x:f>
        <x:v>Yes</x:v>
      </x:c>
      <x:c r="V285" t="n">
        <x:v>3136</x:v>
      </x:c>
      <x:c r="W285" t="str">
        <x:v>Pasted text(56).txt</x:v>
      </x:c>
    </x:row>
    <x:row r="286">
      <x:c r="A286" t="str">
        <x:v>S09</x:v>
      </x:c>
      <x:c r="B286" t="str">
        <x:v>1.15 validated five-run session</x:v>
      </x:c>
      <x:c r="C286" s="54" t="n">
        <x:v>1.15</x:v>
      </x:c>
      <x:c r="D286" t="n">
        <x:v>1</x:v>
      </x:c>
      <x:c r="E286" t="str">
        <x:v>PASS</x:v>
      </x:c>
      <x:c r="F286" t="n">
        <x:v>1</x:v>
      </x:c>
      <x:c r="G286" t="n">
        <x:v>5</x:v>
      </x:c>
      <x:c r="H286" s="54" t="n">
        <x:v>12.5</x:v>
      </x:c>
      <x:c r="I286" s="54" t="n">
        <x:v>1.16865</x:v>
      </x:c>
      <x:c r="J286" s="54" t="n">
        <x:v>1.17104</x:v>
      </x:c>
      <x:c r="K286" s="54" t="n">
        <x:v>0.27757</x:v>
      </x:c>
      <x:c r="L286" s="54" t="n">
        <x:v>0.48989</x:v>
      </x:c>
      <x:c r="M286" s="54" t="n">
        <x:v>1.29961</x:v>
      </x:c>
      <x:c r="N286" s="56" t="n">
        <x:v>1.62</x:v>
      </x:c>
      <x:c r="O286" s="56" t="n">
        <x:v>0.4</x:v>
      </x:c>
      <x:c r="P286" s="56" t="n">
        <x:v>0.6</x:v>
      </x:c>
      <x:c r="Q286" s="56" t="n">
        <x:v>93.9</x:v>
      </x:c>
      <x:c r="R286" t="str">
        <x:v>X</x:v>
      </x:c>
      <x:c r="S286" s="102" t="n">
        <x:v>100</x:v>
      </x:c>
      <x:c r="T286" t="str">
        <x:v>IN TARGET BAND</x:v>
      </x:c>
      <x:c r="U286" t="str">
        <x:f>IF(T286="IN TARGET BAND","Yes","No")</x:f>
        <x:v>Yes</x:v>
      </x:c>
      <x:c r="V286" t="n">
        <x:v>3137</x:v>
      </x:c>
      <x:c r="W286" t="str">
        <x:v>Pasted text(56).txt</x:v>
      </x:c>
    </x:row>
    <x:row r="287">
      <x:c r="A287" t="str">
        <x:v>S09</x:v>
      </x:c>
      <x:c r="B287" t="str">
        <x:v>1.15 validated five-run session</x:v>
      </x:c>
      <x:c r="C287" s="54" t="n">
        <x:v>1.15</x:v>
      </x:c>
      <x:c r="D287" t="n">
        <x:v>1</x:v>
      </x:c>
      <x:c r="E287" t="str">
        <x:v>PASS</x:v>
      </x:c>
      <x:c r="F287" t="n">
        <x:v>1</x:v>
      </x:c>
      <x:c r="G287" t="n">
        <x:v>6</x:v>
      </x:c>
      <x:c r="H287" s="54" t="n">
        <x:v>12.5</x:v>
      </x:c>
      <x:c r="I287" s="54" t="n">
        <x:v>1.17178</x:v>
      </x:c>
      <x:c r="J287" s="54" t="n">
        <x:v>1.16408</x:v>
      </x:c>
      <x:c r="K287" s="54" t="n">
        <x:v>0.29091</x:v>
      </x:c>
      <x:c r="L287" s="54" t="n">
        <x:v>0.5029</x:v>
      </x:c>
      <x:c r="M287" s="54" t="n">
        <x:v>1.30124</x:v>
      </x:c>
      <x:c r="N287" s="56" t="n">
        <x:v>1.89</x:v>
      </x:c>
      <x:c r="O287" s="56" t="n">
        <x:v>0.93</x:v>
      </x:c>
      <x:c r="P287" s="56" t="n">
        <x:v>1.72</x:v>
      </x:c>
      <x:c r="Q287" s="56" t="n">
        <x:v>93.5</x:v>
      </x:c>
      <x:c r="R287" t="str">
        <x:v>X</x:v>
      </x:c>
      <x:c r="S287" s="102" t="n">
        <x:v>100</x:v>
      </x:c>
      <x:c r="T287" t="str">
        <x:v>IN TARGET BAND</x:v>
      </x:c>
      <x:c r="U287" t="str">
        <x:f>IF(T287="IN TARGET BAND","Yes","No")</x:f>
        <x:v>Yes</x:v>
      </x:c>
      <x:c r="V287" t="n">
        <x:v>3138</x:v>
      </x:c>
      <x:c r="W287" t="str">
        <x:v>Pasted text(56).txt</x:v>
      </x:c>
    </x:row>
    <x:row r="288">
      <x:c r="A288" t="str">
        <x:v>S09</x:v>
      </x:c>
      <x:c r="B288" t="str">
        <x:v>1.15 validated five-run session</x:v>
      </x:c>
      <x:c r="C288" s="54" t="n">
        <x:v>1.15</x:v>
      </x:c>
      <x:c r="D288" t="n">
        <x:v>1</x:v>
      </x:c>
      <x:c r="E288" t="str">
        <x:v>PASS</x:v>
      </x:c>
      <x:c r="F288" t="n">
        <x:v>1</x:v>
      </x:c>
      <x:c r="G288" t="n">
        <x:v>7</x:v>
      </x:c>
      <x:c r="H288" s="54" t="n">
        <x:v>12.5</x:v>
      </x:c>
      <x:c r="I288" s="54" t="n">
        <x:v>1.16648</x:v>
      </x:c>
      <x:c r="J288" s="54" t="n">
        <x:v>1.16763</x:v>
      </x:c>
      <x:c r="K288" s="54" t="n">
        <x:v>0.27169</x:v>
      </x:c>
      <x:c r="L288" s="54" t="n">
        <x:v>0.49455</x:v>
      </x:c>
      <x:c r="M288" s="54" t="n">
        <x:v>1.29693</x:v>
      </x:c>
      <x:c r="N288" s="56" t="n">
        <x:v>1.43</x:v>
      </x:c>
      <x:c r="O288" s="56" t="n">
        <x:v>0.09</x:v>
      </x:c>
      <x:c r="P288" s="56" t="n">
        <x:v>0.23</x:v>
      </x:c>
      <x:c r="Q288" s="56" t="n">
        <x:v>93.3</x:v>
      </x:c>
      <x:c r="R288" t="str">
        <x:v>X</x:v>
      </x:c>
      <x:c r="S288" s="102" t="n">
        <x:v>100</x:v>
      </x:c>
      <x:c r="T288" t="str">
        <x:v>IN TARGET BAND</x:v>
      </x:c>
      <x:c r="U288" t="str">
        <x:f>IF(T288="IN TARGET BAND","Yes","No")</x:f>
        <x:v>Yes</x:v>
      </x:c>
      <x:c r="V288" t="n">
        <x:v>3139</x:v>
      </x:c>
      <x:c r="W288" t="str">
        <x:v>Pasted text(56).txt</x:v>
      </x:c>
    </x:row>
    <x:row r="289">
      <x:c r="A289" t="str">
        <x:v>S09</x:v>
      </x:c>
      <x:c r="B289" t="str">
        <x:v>1.15 validated five-run session</x:v>
      </x:c>
      <x:c r="C289" s="54" t="n">
        <x:v>1.15</x:v>
      </x:c>
      <x:c r="D289" t="n">
        <x:v>1</x:v>
      </x:c>
      <x:c r="E289" t="str">
        <x:v>PASS</x:v>
      </x:c>
      <x:c r="F289" t="n">
        <x:v>1</x:v>
      </x:c>
      <x:c r="G289" t="n">
        <x:v>8</x:v>
      </x:c>
      <x:c r="H289" s="54" t="n">
        <x:v>12.5</x:v>
      </x:c>
      <x:c r="I289" s="54" t="n">
        <x:v>1.19634</x:v>
      </x:c>
      <x:c r="J289" s="54" t="n">
        <x:v>1.18517</x:v>
      </x:c>
      <x:c r="K289" s="54" t="n">
        <x:v>0.29406</x:v>
      </x:c>
      <x:c r="L289" s="54" t="n">
        <x:v>0.50767</x:v>
      </x:c>
      <x:c r="M289" s="54" t="n">
        <x:v>1.32289</x:v>
      </x:c>
      <x:c r="N289" s="56" t="n">
        <x:v>4.03</x:v>
      </x:c>
      <x:c r="O289" s="56" t="n">
        <x:v>0.31</x:v>
      </x:c>
      <x:c r="P289" s="56" t="n">
        <x:v>1.82</x:v>
      </x:c>
      <x:c r="Q289" s="56" t="n">
        <x:v>93.2</x:v>
      </x:c>
      <x:c r="R289" t="str">
        <x:v>X</x:v>
      </x:c>
      <x:c r="S289" s="102" t="n">
        <x:v>100</x:v>
      </x:c>
      <x:c r="T289" t="str">
        <x:v>IN TARGET BAND</x:v>
      </x:c>
      <x:c r="U289" t="str">
        <x:f>IF(T289="IN TARGET BAND","Yes","No")</x:f>
        <x:v>Yes</x:v>
      </x:c>
      <x:c r="V289" t="n">
        <x:v>3140</x:v>
      </x:c>
      <x:c r="W289" t="str">
        <x:v>Pasted text(56).txt</x:v>
      </x:c>
    </x:row>
    <x:row r="290">
      <x:c r="A290" t="str">
        <x:v>S09</x:v>
      </x:c>
      <x:c r="B290" t="str">
        <x:v>1.15 validated five-run session</x:v>
      </x:c>
      <x:c r="C290" s="54" t="n">
        <x:v>1.15</x:v>
      </x:c>
      <x:c r="D290" t="n">
        <x:v>1</x:v>
      </x:c>
      <x:c r="E290" t="str">
        <x:v>PASS</x:v>
      </x:c>
      <x:c r="F290" t="n">
        <x:v>1</x:v>
      </x:c>
      <x:c r="G290" t="n">
        <x:v>9</x:v>
      </x:c>
      <x:c r="H290" s="54" t="n">
        <x:v>12.5</x:v>
      </x:c>
      <x:c r="I290" s="54" t="n">
        <x:v>1.16848</x:v>
      </x:c>
      <x:c r="J290" s="54" t="n">
        <x:v>1.16769</x:v>
      </x:c>
      <x:c r="K290" s="54" t="n">
        <x:v>0.28351</x:v>
      </x:c>
      <x:c r="L290" s="54" t="n">
        <x:v>0.51657</x:v>
      </x:c>
      <x:c r="M290" s="54" t="n">
        <x:v>1.30801</x:v>
      </x:c>
      <x:c r="N290" s="56" t="n">
        <x:v>1.61</x:v>
      </x:c>
      <x:c r="O290" s="56" t="n">
        <x:v>0.32</x:v>
      </x:c>
      <x:c r="P290" s="56" t="n">
        <x:v>0.32</x:v>
      </x:c>
      <x:c r="Q290" s="56" t="n">
        <x:v>93.3</x:v>
      </x:c>
      <x:c r="R290" t="str">
        <x:v>X</x:v>
      </x:c>
      <x:c r="S290" s="102" t="n">
        <x:v>100</x:v>
      </x:c>
      <x:c r="T290" t="str">
        <x:v>IN TARGET BAND</x:v>
      </x:c>
      <x:c r="U290" t="str">
        <x:f>IF(T290="IN TARGET BAND","Yes","No")</x:f>
        <x:v>Yes</x:v>
      </x:c>
      <x:c r="V290" t="n">
        <x:v>3141</x:v>
      </x:c>
      <x:c r="W290" t="str">
        <x:v>Pasted text(56).txt</x:v>
      </x:c>
    </x:row>
    <x:row r="291">
      <x:c r="A291" t="str">
        <x:v>S09</x:v>
      </x:c>
      <x:c r="B291" t="str">
        <x:v>1.15 validated five-run session</x:v>
      </x:c>
      <x:c r="C291" s="54" t="n">
        <x:v>1.15</x:v>
      </x:c>
      <x:c r="D291" t="n">
        <x:v>1</x:v>
      </x:c>
      <x:c r="E291" t="str">
        <x:v>PASS</x:v>
      </x:c>
      <x:c r="F291" t="n">
        <x:v>1</x:v>
      </x:c>
      <x:c r="G291" t="n">
        <x:v>10</x:v>
      </x:c>
      <x:c r="H291" s="54" t="n">
        <x:v>12.5</x:v>
      </x:c>
      <x:c r="I291" s="54" t="n">
        <x:v>1.17833</x:v>
      </x:c>
      <x:c r="J291" s="54" t="n">
        <x:v>1.17875</x:v>
      </x:c>
      <x:c r="K291" s="54" t="n">
        <x:v>0.3024</x:v>
      </x:c>
      <x:c r="L291" s="54" t="n">
        <x:v>0.51807</x:v>
      </x:c>
      <x:c r="M291" s="54" t="n">
        <x:v>1.3229</x:v>
      </x:c>
      <x:c r="N291" s="56" t="n">
        <x:v>2.46</x:v>
      </x:c>
      <x:c r="O291" s="56" t="n">
        <x:v>0.2</x:v>
      </x:c>
      <x:c r="P291" s="56" t="n">
        <x:v>0.19</x:v>
      </x:c>
      <x:c r="Q291" s="56" t="n">
        <x:v>93.4</x:v>
      </x:c>
      <x:c r="R291" t="str">
        <x:v>X</x:v>
      </x:c>
      <x:c r="S291" s="102" t="n">
        <x:v>100</x:v>
      </x:c>
      <x:c r="T291" t="str">
        <x:v>IN TARGET BAND</x:v>
      </x:c>
      <x:c r="U291" t="str">
        <x:f>IF(T291="IN TARGET BAND","Yes","No")</x:f>
        <x:v>Yes</x:v>
      </x:c>
      <x:c r="V291" t="n">
        <x:v>3142</x:v>
      </x:c>
      <x:c r="W291" t="str">
        <x:v>Pasted text(56).txt</x:v>
      </x:c>
    </x:row>
    <x:row r="292">
      <x:c r="A292" t="str">
        <x:v>S09</x:v>
      </x:c>
      <x:c r="B292" t="str">
        <x:v>1.15 validated five-run session</x:v>
      </x:c>
      <x:c r="C292" s="54" t="n">
        <x:v>1.15</x:v>
      </x:c>
      <x:c r="D292" t="n">
        <x:v>2</x:v>
      </x:c>
      <x:c r="E292" t="str">
        <x:v>PASS</x:v>
      </x:c>
      <x:c r="F292" t="n">
        <x:v>1</x:v>
      </x:c>
      <x:c r="G292" t="n">
        <x:v>1</x:v>
      </x:c>
      <x:c r="H292" s="54" t="n">
        <x:v>12.25</x:v>
      </x:c>
      <x:c r="I292" s="54" t="n">
        <x:v>1.16462</x:v>
      </x:c>
      <x:c r="J292" s="54" t="n">
        <x:v>1.16287</x:v>
      </x:c>
      <x:c r="K292" s="54" t="n">
        <x:v>0.27128</x:v>
      </x:c>
      <x:c r="L292" s="54" t="n">
        <x:v>0.49945</x:v>
      </x:c>
      <x:c r="M292" s="54" t="n">
        <x:v>1.29441</x:v>
      </x:c>
      <x:c r="N292" s="56" t="n">
        <x:v>1.27</x:v>
      </x:c>
      <x:c r="O292" s="56" t="n">
        <x:v>0.83</x:v>
      </x:c>
      <x:c r="P292" s="56" t="n">
        <x:v>0.79</x:v>
      </x:c>
      <x:c r="Q292" s="56" t="n">
        <x:v>93.2</x:v>
      </x:c>
      <x:c r="R292" t="str">
        <x:v>X</x:v>
      </x:c>
      <x:c r="S292" s="102" t="n">
        <x:v>100</x:v>
      </x:c>
      <x:c r="T292" t="str">
        <x:v>IN TARGET BAND</x:v>
      </x:c>
      <x:c r="U292" t="str">
        <x:f>IF(T292="IN TARGET BAND","Yes","No")</x:f>
        <x:v>Yes</x:v>
      </x:c>
      <x:c r="V292" t="n">
        <x:v>3218</x:v>
      </x:c>
      <x:c r="W292" t="str">
        <x:v>Pasted text(56).txt</x:v>
      </x:c>
    </x:row>
    <x:row r="293">
      <x:c r="A293" t="str">
        <x:v>S09</x:v>
      </x:c>
      <x:c r="B293" t="str">
        <x:v>1.15 validated five-run session</x:v>
      </x:c>
      <x:c r="C293" s="54" t="n">
        <x:v>1.15</x:v>
      </x:c>
      <x:c r="D293" t="n">
        <x:v>2</x:v>
      </x:c>
      <x:c r="E293" t="str">
        <x:v>PASS</x:v>
      </x:c>
      <x:c r="F293" t="n">
        <x:v>1</x:v>
      </x:c>
      <x:c r="G293" t="n">
        <x:v>2</x:v>
      </x:c>
      <x:c r="H293" s="54" t="n">
        <x:v>12.25</x:v>
      </x:c>
      <x:c r="I293" s="54" t="n">
        <x:v>1.16205</x:v>
      </x:c>
      <x:c r="J293" s="54" t="n">
        <x:v>1.16069</x:v>
      </x:c>
      <x:c r="K293" s="54" t="n">
        <x:v>0.28765</x:v>
      </x:c>
      <x:c r="L293" s="54" t="n">
        <x:v>0.53257</x:v>
      </x:c>
      <x:c r="M293" s="54" t="n">
        <x:v>1.30912</x:v>
      </x:c>
      <x:c r="N293" s="56" t="n">
        <x:v>1.05</x:v>
      </x:c>
      <x:c r="O293" s="56" t="n">
        <x:v>1.57</x:v>
      </x:c>
      <x:c r="P293" s="56" t="n">
        <x:v>1.24</x:v>
      </x:c>
      <x:c r="Q293" s="56" t="n">
        <x:v>93.9</x:v>
      </x:c>
      <x:c r="R293" t="str">
        <x:v>X</x:v>
      </x:c>
      <x:c r="S293" s="102" t="n">
        <x:v>100</x:v>
      </x:c>
      <x:c r="T293" t="str">
        <x:v>IN TARGET BAND</x:v>
      </x:c>
      <x:c r="U293" t="str">
        <x:f>IF(T293="IN TARGET BAND","Yes","No")</x:f>
        <x:v>Yes</x:v>
      </x:c>
      <x:c r="V293" t="n">
        <x:v>3219</x:v>
      </x:c>
      <x:c r="W293" t="str">
        <x:v>Pasted text(56).txt</x:v>
      </x:c>
    </x:row>
    <x:row r="294">
      <x:c r="A294" t="str">
        <x:v>S09</x:v>
      </x:c>
      <x:c r="B294" t="str">
        <x:v>1.15 validated five-run session</x:v>
      </x:c>
      <x:c r="C294" s="54" t="n">
        <x:v>1.15</x:v>
      </x:c>
      <x:c r="D294" t="n">
        <x:v>2</x:v>
      </x:c>
      <x:c r="E294" t="str">
        <x:v>PASS</x:v>
      </x:c>
      <x:c r="F294" t="n">
        <x:v>1</x:v>
      </x:c>
      <x:c r="G294" t="n">
        <x:v>3</x:v>
      </x:c>
      <x:c r="H294" s="54" t="n">
        <x:v>12.25</x:v>
      </x:c>
      <x:c r="I294" s="54" t="n">
        <x:v>1.16333</x:v>
      </x:c>
      <x:c r="J294" s="54" t="n">
        <x:v>1.16351</x:v>
      </x:c>
      <x:c r="K294" s="54" t="n">
        <x:v>0.29942</x:v>
      </x:c>
      <x:c r="L294" s="54" t="n">
        <x:v>0.50661</x:v>
      </x:c>
      <x:c r="M294" s="54" t="n">
        <x:v>1.30408</x:v>
      </x:c>
      <x:c r="N294" s="56" t="n">
        <x:v>1.16</x:v>
      </x:c>
      <x:c r="O294" s="56" t="n">
        <x:v>0.67</x:v>
      </x:c>
      <x:c r="P294" s="56" t="n">
        <x:v>0.48</x:v>
      </x:c>
      <x:c r="Q294" s="56" t="n">
        <x:v>93.3</x:v>
      </x:c>
      <x:c r="R294" t="str">
        <x:v>X</x:v>
      </x:c>
      <x:c r="S294" s="102" t="n">
        <x:v>100</x:v>
      </x:c>
      <x:c r="T294" t="str">
        <x:v>IN TARGET BAND</x:v>
      </x:c>
      <x:c r="U294" t="str">
        <x:f>IF(T294="IN TARGET BAND","Yes","No")</x:f>
        <x:v>Yes</x:v>
      </x:c>
      <x:c r="V294" t="n">
        <x:v>3220</x:v>
      </x:c>
      <x:c r="W294" t="str">
        <x:v>Pasted text(56).txt</x:v>
      </x:c>
    </x:row>
    <x:row r="295">
      <x:c r="A295" t="str">
        <x:v>S09</x:v>
      </x:c>
      <x:c r="B295" t="str">
        <x:v>1.15 validated five-run session</x:v>
      </x:c>
      <x:c r="C295" s="54" t="n">
        <x:v>1.15</x:v>
      </x:c>
      <x:c r="D295" t="n">
        <x:v>2</x:v>
      </x:c>
      <x:c r="E295" t="str">
        <x:v>PASS</x:v>
      </x:c>
      <x:c r="F295" t="n">
        <x:v>1</x:v>
      </x:c>
      <x:c r="G295" t="n">
        <x:v>4</x:v>
      </x:c>
      <x:c r="H295" s="54" t="n">
        <x:v>12.25</x:v>
      </x:c>
      <x:c r="I295" s="54" t="n">
        <x:v>1.15761</x:v>
      </x:c>
      <x:c r="J295" s="54" t="n">
        <x:v>1.1525</x:v>
      </x:c>
      <x:c r="K295" s="54" t="n">
        <x:v>0.29146</x:v>
      </x:c>
      <x:c r="L295" s="54" t="n">
        <x:v>0.50313</x:v>
      </x:c>
      <x:c r="M295" s="54" t="n">
        <x:v>1.29093</x:v>
      </x:c>
      <x:c r="N295" s="56" t="n">
        <x:v>0.66</x:v>
      </x:c>
      <x:c r="O295" s="56" t="n">
        <x:v>0.96</x:v>
      </x:c>
      <x:c r="P295" s="56" t="n">
        <x:v>1.37</x:v>
      </x:c>
      <x:c r="Q295" s="56" t="n">
        <x:v>93.7</x:v>
      </x:c>
      <x:c r="R295" t="str">
        <x:v>X</x:v>
      </x:c>
      <x:c r="S295" s="102" t="n">
        <x:v>100</x:v>
      </x:c>
      <x:c r="T295" t="str">
        <x:v>IN TARGET BAND</x:v>
      </x:c>
      <x:c r="U295" t="str">
        <x:f>IF(T295="IN TARGET BAND","Yes","No")</x:f>
        <x:v>Yes</x:v>
      </x:c>
      <x:c r="V295" t="n">
        <x:v>3221</x:v>
      </x:c>
      <x:c r="W295" t="str">
        <x:v>Pasted text(56).txt</x:v>
      </x:c>
    </x:row>
    <x:row r="296">
      <x:c r="A296" t="str">
        <x:v>S09</x:v>
      </x:c>
      <x:c r="B296" t="str">
        <x:v>1.15 validated five-run session</x:v>
      </x:c>
      <x:c r="C296" s="54" t="n">
        <x:v>1.15</x:v>
      </x:c>
      <x:c r="D296" t="n">
        <x:v>2</x:v>
      </x:c>
      <x:c r="E296" t="str">
        <x:v>PASS</x:v>
      </x:c>
      <x:c r="F296" t="n">
        <x:v>1</x:v>
      </x:c>
      <x:c r="G296" t="n">
        <x:v>5</x:v>
      </x:c>
      <x:c r="H296" s="54" t="n">
        <x:v>12.25</x:v>
      </x:c>
      <x:c r="I296" s="54" t="n">
        <x:v>1.15942</x:v>
      </x:c>
      <x:c r="J296" s="54" t="n">
        <x:v>1.16381</x:v>
      </x:c>
      <x:c r="K296" s="54" t="n">
        <x:v>0.29588</x:v>
      </x:c>
      <x:c r="L296" s="54" t="n">
        <x:v>0.49015</x:v>
      </x:c>
      <x:c r="M296" s="54" t="n">
        <x:v>1.29712</x:v>
      </x:c>
      <x:c r="N296" s="56" t="n">
        <x:v>0.82</x:v>
      </x:c>
      <x:c r="O296" s="56" t="n">
        <x:v>1.25</x:v>
      </x:c>
      <x:c r="P296" s="56" t="n">
        <x:v>1.44</x:v>
      </x:c>
      <x:c r="Q296" s="56" t="n">
        <x:v>93.1</x:v>
      </x:c>
      <x:c r="R296" t="str">
        <x:v>X</x:v>
      </x:c>
      <x:c r="S296" s="102" t="n">
        <x:v>100</x:v>
      </x:c>
      <x:c r="T296" t="str">
        <x:v>IN TARGET BAND</x:v>
      </x:c>
      <x:c r="U296" t="str">
        <x:f>IF(T296="IN TARGET BAND","Yes","No")</x:f>
        <x:v>Yes</x:v>
      </x:c>
      <x:c r="V296" t="n">
        <x:v>3222</x:v>
      </x:c>
      <x:c r="W296" t="str">
        <x:v>Pasted text(56).txt</x:v>
      </x:c>
    </x:row>
    <x:row r="297">
      <x:c r="A297" t="str">
        <x:v>S09</x:v>
      </x:c>
      <x:c r="B297" t="str">
        <x:v>1.15 validated five-run session</x:v>
      </x:c>
      <x:c r="C297" s="54" t="n">
        <x:v>1.15</x:v>
      </x:c>
      <x:c r="D297" t="n">
        <x:v>2</x:v>
      </x:c>
      <x:c r="E297" t="str">
        <x:v>PASS</x:v>
      </x:c>
      <x:c r="F297" t="n">
        <x:v>1</x:v>
      </x:c>
      <x:c r="G297" t="n">
        <x:v>6</x:v>
      </x:c>
      <x:c r="H297" s="54" t="n">
        <x:v>12.25</x:v>
      </x:c>
      <x:c r="I297" s="54" t="n">
        <x:v>1.16346</x:v>
      </x:c>
      <x:c r="J297" s="54" t="n">
        <x:v>1.16549</x:v>
      </x:c>
      <x:c r="K297" s="54" t="n">
        <x:v>0.29225</x:v>
      </x:c>
      <x:c r="L297" s="54" t="n">
        <x:v>0.49068</x:v>
      </x:c>
      <x:c r="M297" s="54" t="n">
        <x:v>1.2982</x:v>
      </x:c>
      <x:c r="N297" s="56" t="n">
        <x:v>1.17</x:v>
      </x:c>
      <x:c r="O297" s="56" t="n">
        <x:v>0.3</x:v>
      </x:c>
      <x:c r="P297" s="56" t="n">
        <x:v>0.49</x:v>
      </x:c>
      <x:c r="Q297" s="56" t="n">
        <x:v>94</x:v>
      </x:c>
      <x:c r="R297" t="str">
        <x:v>X</x:v>
      </x:c>
      <x:c r="S297" s="102" t="n">
        <x:v>100</x:v>
      </x:c>
      <x:c r="T297" t="str">
        <x:v>IN TARGET BAND</x:v>
      </x:c>
      <x:c r="U297" t="str">
        <x:f>IF(T297="IN TARGET BAND","Yes","No")</x:f>
        <x:v>Yes</x:v>
      </x:c>
      <x:c r="V297" t="n">
        <x:v>3223</x:v>
      </x:c>
      <x:c r="W297" t="str">
        <x:v>Pasted text(56).txt</x:v>
      </x:c>
    </x:row>
    <x:row r="298">
      <x:c r="A298" t="str">
        <x:v>S09</x:v>
      </x:c>
      <x:c r="B298" t="str">
        <x:v>1.15 validated five-run session</x:v>
      </x:c>
      <x:c r="C298" s="54" t="n">
        <x:v>1.15</x:v>
      </x:c>
      <x:c r="D298" t="n">
        <x:v>2</x:v>
      </x:c>
      <x:c r="E298" t="str">
        <x:v>PASS</x:v>
      </x:c>
      <x:c r="F298" t="n">
        <x:v>1</x:v>
      </x:c>
      <x:c r="G298" t="n">
        <x:v>7</x:v>
      </x:c>
      <x:c r="H298" s="54" t="n">
        <x:v>12.25</x:v>
      </x:c>
      <x:c r="I298" s="54" t="n">
        <x:v>1.14963</x:v>
      </x:c>
      <x:c r="J298" s="54" t="n">
        <x:v>1.15649</x:v>
      </x:c>
      <x:c r="K298" s="54" t="n">
        <x:v>0.29268</x:v>
      </x:c>
      <x:c r="L298" s="54" t="n">
        <x:v>0.50307</x:v>
      </x:c>
      <x:c r="M298" s="54" t="n">
        <x:v>1.29479</x:v>
      </x:c>
      <x:c r="N298" s="56" t="n">
        <x:v>-0.03</x:v>
      </x:c>
      <x:c r="O298" s="56" t="n">
        <x:v>1.07</x:v>
      </x:c>
      <x:c r="P298" s="56" t="n">
        <x:v>1.69</x:v>
      </x:c>
      <x:c r="Q298" s="56" t="n">
        <x:v>93.5</x:v>
      </x:c>
      <x:c r="R298" t="str">
        <x:v>X</x:v>
      </x:c>
      <x:c r="S298" s="102" t="n">
        <x:v>100</x:v>
      </x:c>
      <x:c r="T298" t="str">
        <x:v>IN TARGET BAND</x:v>
      </x:c>
      <x:c r="U298" t="str">
        <x:f>IF(T298="IN TARGET BAND","Yes","No")</x:f>
        <x:v>Yes</x:v>
      </x:c>
      <x:c r="V298" t="n">
        <x:v>3224</x:v>
      </x:c>
      <x:c r="W298" t="str">
        <x:v>Pasted text(56).txt</x:v>
      </x:c>
    </x:row>
    <x:row r="299">
      <x:c r="A299" t="str">
        <x:v>S09</x:v>
      </x:c>
      <x:c r="B299" t="str">
        <x:v>1.15 validated five-run session</x:v>
      </x:c>
      <x:c r="C299" s="54" t="n">
        <x:v>1.15</x:v>
      </x:c>
      <x:c r="D299" t="n">
        <x:v>2</x:v>
      </x:c>
      <x:c r="E299" t="str">
        <x:v>PASS</x:v>
      </x:c>
      <x:c r="F299" t="n">
        <x:v>1</x:v>
      </x:c>
      <x:c r="G299" t="n">
        <x:v>8</x:v>
      </x:c>
      <x:c r="H299" s="54" t="n">
        <x:v>12.25</x:v>
      </x:c>
      <x:c r="I299" s="54" t="n">
        <x:v>1.15101</x:v>
      </x:c>
      <x:c r="J299" s="54" t="n">
        <x:v>1.14874</x:v>
      </x:c>
      <x:c r="K299" s="54" t="n">
        <x:v>0.27357</x:v>
      </x:c>
      <x:c r="L299" s="54" t="n">
        <x:v>0.50422</x:v>
      </x:c>
      <x:c r="M299" s="54" t="n">
        <x:v>1.28404</x:v>
      </x:c>
      <x:c r="N299" s="56" t="n">
        <x:v>0.09</x:v>
      </x:c>
      <x:c r="O299" s="56" t="n">
        <x:v>1.66</x:v>
      </x:c>
      <x:c r="P299" s="56" t="n">
        <x:v>1.43</x:v>
      </x:c>
      <x:c r="Q299" s="56" t="n">
        <x:v>93.5</x:v>
      </x:c>
      <x:c r="R299" t="str">
        <x:v>X</x:v>
      </x:c>
      <x:c r="S299" s="102" t="n">
        <x:v>100</x:v>
      </x:c>
      <x:c r="T299" t="str">
        <x:v>IN TARGET BAND</x:v>
      </x:c>
      <x:c r="U299" t="str">
        <x:f>IF(T299="IN TARGET BAND","Yes","No")</x:f>
        <x:v>Yes</x:v>
      </x:c>
      <x:c r="V299" t="n">
        <x:v>3225</x:v>
      </x:c>
      <x:c r="W299" t="str">
        <x:v>Pasted text(56).txt</x:v>
      </x:c>
    </x:row>
    <x:row r="300">
      <x:c r="A300" t="str">
        <x:v>S09</x:v>
      </x:c>
      <x:c r="B300" t="str">
        <x:v>1.15 validated five-run session</x:v>
      </x:c>
      <x:c r="C300" s="54" t="n">
        <x:v>1.15</x:v>
      </x:c>
      <x:c r="D300" t="n">
        <x:v>2</x:v>
      </x:c>
      <x:c r="E300" t="str">
        <x:v>PASS</x:v>
      </x:c>
      <x:c r="F300" t="n">
        <x:v>1</x:v>
      </x:c>
      <x:c r="G300" t="n">
        <x:v>9</x:v>
      </x:c>
      <x:c r="H300" s="54" t="n">
        <x:v>12.25</x:v>
      </x:c>
      <x:c r="I300" s="54" t="n">
        <x:v>1.16367</x:v>
      </x:c>
      <x:c r="J300" s="54" t="n">
        <x:v>1.16346</x:v>
      </x:c>
      <x:c r="K300" s="54" t="n">
        <x:v>0.28892</x:v>
      </x:c>
      <x:c r="L300" s="54" t="n">
        <x:v>0.48535</x:v>
      </x:c>
      <x:c r="M300" s="54" t="n">
        <x:v>1.29338</x:v>
      </x:c>
      <x:c r="N300" s="56" t="n">
        <x:v>1.19</x:v>
      </x:c>
      <x:c r="O300" s="56" t="n">
        <x:v>0.43</x:v>
      </x:c>
      <x:c r="P300" s="56" t="n">
        <x:v>0.32</x:v>
      </x:c>
      <x:c r="Q300" s="56" t="n">
        <x:v>93.4</x:v>
      </x:c>
      <x:c r="R300" t="str">
        <x:v>X</x:v>
      </x:c>
      <x:c r="S300" s="102" t="n">
        <x:v>100</x:v>
      </x:c>
      <x:c r="T300" t="str">
        <x:v>IN TARGET BAND</x:v>
      </x:c>
      <x:c r="U300" t="str">
        <x:f>IF(T300="IN TARGET BAND","Yes","No")</x:f>
        <x:v>Yes</x:v>
      </x:c>
      <x:c r="V300" t="n">
        <x:v>3226</x:v>
      </x:c>
      <x:c r="W300" t="str">
        <x:v>Pasted text(56).txt</x:v>
      </x:c>
    </x:row>
    <x:row r="301">
      <x:c r="A301" t="str">
        <x:v>S09</x:v>
      </x:c>
      <x:c r="B301" t="str">
        <x:v>1.15 validated five-run session</x:v>
      </x:c>
      <x:c r="C301" s="54" t="n">
        <x:v>1.15</x:v>
      </x:c>
      <x:c r="D301" t="n">
        <x:v>2</x:v>
      </x:c>
      <x:c r="E301" t="str">
        <x:v>PASS</x:v>
      </x:c>
      <x:c r="F301" t="n">
        <x:v>1</x:v>
      </x:c>
      <x:c r="G301" t="n">
        <x:v>10</x:v>
      </x:c>
      <x:c r="H301" s="54" t="n">
        <x:v>12.25</x:v>
      </x:c>
      <x:c r="I301" s="54" t="n">
        <x:v>1.15425</x:v>
      </x:c>
      <x:c r="J301" s="54" t="n">
        <x:v>1.15339</x:v>
      </x:c>
      <x:c r="K301" s="54" t="n">
        <x:v>0.27448</x:v>
      </x:c>
      <x:c r="L301" s="54" t="n">
        <x:v>0.47605</x:v>
      </x:c>
      <x:c r="M301" s="54" t="n">
        <x:v>1.27778</x:v>
      </x:c>
      <x:c r="N301" s="56" t="n">
        <x:v>0.37</x:v>
      </x:c>
      <x:c r="O301" s="56" t="n">
        <x:v>2.79</x:v>
      </x:c>
      <x:c r="P301" s="56" t="n">
        <x:v>1.99</x:v>
      </x:c>
      <x:c r="Q301" s="56" t="n">
        <x:v>93.7</x:v>
      </x:c>
      <x:c r="R301" t="str">
        <x:v>X</x:v>
      </x:c>
      <x:c r="S301" s="102" t="n">
        <x:v>100</x:v>
      </x:c>
      <x:c r="T301" t="str">
        <x:v>IN TARGET BAND</x:v>
      </x:c>
      <x:c r="U301" t="str">
        <x:f>IF(T301="IN TARGET BAND","Yes","No")</x:f>
        <x:v>Yes</x:v>
      </x:c>
      <x:c r="V301" t="n">
        <x:v>3227</x:v>
      </x:c>
      <x:c r="W301" t="str">
        <x:v>Pasted text(56).txt</x:v>
      </x:c>
    </x:row>
    <x:row r="302">
      <x:c r="A302" t="str">
        <x:v>S09</x:v>
      </x:c>
      <x:c r="B302" t="str">
        <x:v>1.15 validated five-run session</x:v>
      </x:c>
      <x:c r="C302" s="54" t="n">
        <x:v>1.15</x:v>
      </x:c>
      <x:c r="D302" t="n">
        <x:v>3</x:v>
      </x:c>
      <x:c r="E302" t="str">
        <x:v>PASS</x:v>
      </x:c>
      <x:c r="F302" t="n">
        <x:v>1</x:v>
      </x:c>
      <x:c r="G302" t="n">
        <x:v>1</x:v>
      </x:c>
      <x:c r="H302" s="54" t="n">
        <x:v>12.25</x:v>
      </x:c>
      <x:c r="I302" s="54" t="n">
        <x:v>1.13866</x:v>
      </x:c>
      <x:c r="J302" s="54" t="n">
        <x:v>1.1476</x:v>
      </x:c>
      <x:c r="K302" s="54" t="n">
        <x:v>0.29332</x:v>
      </x:c>
      <x:c r="L302" s="54" t="n">
        <x:v>0.50935</x:v>
      </x:c>
      <x:c r="M302" s="54" t="n">
        <x:v>1.28963</x:v>
      </x:c>
      <x:c r="N302" s="56" t="n">
        <x:v>-0.99</x:v>
      </x:c>
      <x:c r="O302" s="56" t="n">
        <x:v>0.44</x:v>
      </x:c>
      <x:c r="P302" s="56" t="n">
        <x:v>1.61</x:v>
      </x:c>
      <x:c r="Q302" s="56" t="n">
        <x:v>92.9</x:v>
      </x:c>
      <x:c r="R302" t="str">
        <x:v>X</x:v>
      </x:c>
      <x:c r="S302" s="102" t="n">
        <x:v>100</x:v>
      </x:c>
      <x:c r="T302" t="str">
        <x:v>IN TARGET BAND</x:v>
      </x:c>
      <x:c r="U302" t="str">
        <x:f>IF(T302="IN TARGET BAND","Yes","No")</x:f>
        <x:v>Yes</x:v>
      </x:c>
      <x:c r="V302" t="n">
        <x:v>3303</x:v>
      </x:c>
      <x:c r="W302" t="str">
        <x:v>Pasted text(56).txt</x:v>
      </x:c>
    </x:row>
    <x:row r="303">
      <x:c r="A303" t="str">
        <x:v>S09</x:v>
      </x:c>
      <x:c r="B303" t="str">
        <x:v>1.15 validated five-run session</x:v>
      </x:c>
      <x:c r="C303" s="54" t="n">
        <x:v>1.15</x:v>
      </x:c>
      <x:c r="D303" t="n">
        <x:v>3</x:v>
      </x:c>
      <x:c r="E303" t="str">
        <x:v>PASS</x:v>
      </x:c>
      <x:c r="F303" t="n">
        <x:v>1</x:v>
      </x:c>
      <x:c r="G303" t="n">
        <x:v>2</x:v>
      </x:c>
      <x:c r="H303" s="54" t="n">
        <x:v>12.25</x:v>
      </x:c>
      <x:c r="I303" s="54" t="n">
        <x:v>1.14674</x:v>
      </x:c>
      <x:c r="J303" s="54" t="n">
        <x:v>1.14865</x:v>
      </x:c>
      <x:c r="K303" s="54" t="n">
        <x:v>0.2947</x:v>
      </x:c>
      <x:c r="L303" s="54" t="n">
        <x:v>0.49149</x:v>
      </x:c>
      <x:c r="M303" s="54" t="n">
        <x:v>1.28392</x:v>
      </x:c>
      <x:c r="N303" s="56" t="n">
        <x:v>-0.28</x:v>
      </x:c>
      <x:c r="O303" s="56" t="n">
        <x:v>0.95</x:v>
      </x:c>
      <x:c r="P303" s="56" t="n">
        <x:v>0.9</x:v>
      </x:c>
      <x:c r="Q303" s="56" t="n">
        <x:v>93.3</x:v>
      </x:c>
      <x:c r="R303" t="str">
        <x:v>X</x:v>
      </x:c>
      <x:c r="S303" s="102" t="n">
        <x:v>100</x:v>
      </x:c>
      <x:c r="T303" t="str">
        <x:v>IN TARGET BAND</x:v>
      </x:c>
      <x:c r="U303" t="str">
        <x:f>IF(T303="IN TARGET BAND","Yes","No")</x:f>
        <x:v>Yes</x:v>
      </x:c>
      <x:c r="V303" t="n">
        <x:v>3304</x:v>
      </x:c>
      <x:c r="W303" t="str">
        <x:v>Pasted text(56).txt</x:v>
      </x:c>
    </x:row>
    <x:row r="304">
      <x:c r="A304" t="str">
        <x:v>S09</x:v>
      </x:c>
      <x:c r="B304" t="str">
        <x:v>1.15 validated five-run session</x:v>
      </x:c>
      <x:c r="C304" s="54" t="n">
        <x:v>1.15</x:v>
      </x:c>
      <x:c r="D304" t="n">
        <x:v>3</x:v>
      </x:c>
      <x:c r="E304" t="str">
        <x:v>PASS</x:v>
      </x:c>
      <x:c r="F304" t="n">
        <x:v>1</x:v>
      </x:c>
      <x:c r="G304" t="n">
        <x:v>3</x:v>
      </x:c>
      <x:c r="H304" s="54" t="n">
        <x:v>12.25</x:v>
      </x:c>
      <x:c r="I304" s="54" t="n">
        <x:v>1.17335</x:v>
      </x:c>
      <x:c r="J304" s="54" t="n">
        <x:v>1.17176</x:v>
      </x:c>
      <x:c r="K304" s="54" t="n">
        <x:v>0.29751</x:v>
      </x:c>
      <x:c r="L304" s="54" t="n">
        <x:v>0.50002</x:v>
      </x:c>
      <x:c r="M304" s="54" t="n">
        <x:v>1.30877</x:v>
      </x:c>
      <x:c r="N304" s="56" t="n">
        <x:v>2.03</x:v>
      </x:c>
      <x:c r="O304" s="56" t="n">
        <x:v>2.74</x:v>
      </x:c>
      <x:c r="P304" s="56" t="n">
        <x:v>2.06</x:v>
      </x:c>
      <x:c r="Q304" s="56" t="n">
        <x:v>94.2</x:v>
      </x:c>
      <x:c r="R304" t="str">
        <x:v>X</x:v>
      </x:c>
      <x:c r="S304" s="102" t="n">
        <x:v>100</x:v>
      </x:c>
      <x:c r="T304" t="str">
        <x:v>IN TARGET BAND</x:v>
      </x:c>
      <x:c r="U304" t="str">
        <x:f>IF(T304="IN TARGET BAND","Yes","No")</x:f>
        <x:v>Yes</x:v>
      </x:c>
      <x:c r="V304" t="n">
        <x:v>3305</x:v>
      </x:c>
      <x:c r="W304" t="str">
        <x:v>Pasted text(56).txt</x:v>
      </x:c>
    </x:row>
    <x:row r="305">
      <x:c r="A305" t="str">
        <x:v>S09</x:v>
      </x:c>
      <x:c r="B305" t="str">
        <x:v>1.15 validated five-run session</x:v>
      </x:c>
      <x:c r="C305" s="54" t="n">
        <x:v>1.15</x:v>
      </x:c>
      <x:c r="D305" t="n">
        <x:v>3</x:v>
      </x:c>
      <x:c r="E305" t="str">
        <x:v>PASS</x:v>
      </x:c>
      <x:c r="F305" t="n">
        <x:v>1</x:v>
      </x:c>
      <x:c r="G305" t="n">
        <x:v>4</x:v>
      </x:c>
      <x:c r="H305" s="54" t="n">
        <x:v>12.25</x:v>
      </x:c>
      <x:c r="I305" s="54" t="n">
        <x:v>1.17492</x:v>
      </x:c>
      <x:c r="J305" s="54" t="n">
        <x:v>1.16809</x:v>
      </x:c>
      <x:c r="K305" s="54" t="n">
        <x:v>0.28896</x:v>
      </x:c>
      <x:c r="L305" s="54" t="n">
        <x:v>0.50818</x:v>
      </x:c>
      <x:c r="M305" s="54" t="n">
        <x:v>1.30636</x:v>
      </x:c>
      <x:c r="N305" s="56" t="n">
        <x:v>2.17</x:v>
      </x:c>
      <x:c r="O305" s="56" t="n">
        <x:v>2.12</x:v>
      </x:c>
      <x:c r="P305" s="56" t="n">
        <x:v>2.37</x:v>
      </x:c>
      <x:c r="Q305" s="56" t="n">
        <x:v>94</x:v>
      </x:c>
      <x:c r="R305" t="str">
        <x:v>X</x:v>
      </x:c>
      <x:c r="S305" s="102" t="n">
        <x:v>100</x:v>
      </x:c>
      <x:c r="T305" t="str">
        <x:v>IN TARGET BAND</x:v>
      </x:c>
      <x:c r="U305" t="str">
        <x:f>IF(T305="IN TARGET BAND","Yes","No")</x:f>
        <x:v>Yes</x:v>
      </x:c>
      <x:c r="V305" t="n">
        <x:v>3306</x:v>
      </x:c>
      <x:c r="W305" t="str">
        <x:v>Pasted text(56).txt</x:v>
      </x:c>
    </x:row>
    <x:row r="306">
      <x:c r="A306" t="str">
        <x:v>S09</x:v>
      </x:c>
      <x:c r="B306" t="str">
        <x:v>1.15 validated five-run session</x:v>
      </x:c>
      <x:c r="C306" s="54" t="n">
        <x:v>1.15</x:v>
      </x:c>
      <x:c r="D306" t="n">
        <x:v>3</x:v>
      </x:c>
      <x:c r="E306" t="str">
        <x:v>PASS</x:v>
      </x:c>
      <x:c r="F306" t="n">
        <x:v>1</x:v>
      </x:c>
      <x:c r="G306" t="n">
        <x:v>5</x:v>
      </x:c>
      <x:c r="H306" s="54" t="n">
        <x:v>12.25</x:v>
      </x:c>
      <x:c r="I306" s="54" t="n">
        <x:v>1.17654</x:v>
      </x:c>
      <x:c r="J306" s="54" t="n">
        <x:v>1.17345</x:v>
      </x:c>
      <x:c r="K306" s="54" t="n">
        <x:v>0.30019</x:v>
      </x:c>
      <x:c r="L306" s="54" t="n">
        <x:v>0.5033</x:v>
      </x:c>
      <x:c r="M306" s="54" t="n">
        <x:v>1.31185</x:v>
      </x:c>
      <x:c r="N306" s="56" t="n">
        <x:v>2.31</x:v>
      </x:c>
      <x:c r="O306" s="56" t="n">
        <x:v>0.19</x:v>
      </x:c>
      <x:c r="P306" s="56" t="n">
        <x:v>0.57</x:v>
      </x:c>
      <x:c r="Q306" s="56" t="n">
        <x:v>94</x:v>
      </x:c>
      <x:c r="R306" t="str">
        <x:v>X</x:v>
      </x:c>
      <x:c r="S306" s="102" t="n">
        <x:v>100</x:v>
      </x:c>
      <x:c r="T306" t="str">
        <x:v>IN TARGET BAND</x:v>
      </x:c>
      <x:c r="U306" t="str">
        <x:f>IF(T306="IN TARGET BAND","Yes","No")</x:f>
        <x:v>Yes</x:v>
      </x:c>
      <x:c r="V306" t="n">
        <x:v>3307</x:v>
      </x:c>
      <x:c r="W306" t="str">
        <x:v>Pasted text(56).txt</x:v>
      </x:c>
    </x:row>
    <x:row r="307">
      <x:c r="A307" t="str">
        <x:v>S09</x:v>
      </x:c>
      <x:c r="B307" t="str">
        <x:v>1.15 validated five-run session</x:v>
      </x:c>
      <x:c r="C307" s="54" t="n">
        <x:v>1.15</x:v>
      </x:c>
      <x:c r="D307" t="n">
        <x:v>3</x:v>
      </x:c>
      <x:c r="E307" t="str">
        <x:v>PASS</x:v>
      </x:c>
      <x:c r="F307" t="n">
        <x:v>1</x:v>
      </x:c>
      <x:c r="G307" t="n">
        <x:v>6</x:v>
      </x:c>
      <x:c r="H307" s="54" t="n">
        <x:v>12.25</x:v>
      </x:c>
      <x:c r="I307" s="54" t="n">
        <x:v>1.13874</x:v>
      </x:c>
      <x:c r="J307" s="54" t="n">
        <x:v>1.14557</x:v>
      </x:c>
      <x:c r="K307" s="54" t="n">
        <x:v>0.27131</x:v>
      </x:c>
      <x:c r="L307" s="54" t="n">
        <x:v>0.50615</x:v>
      </x:c>
      <x:c r="M307" s="54" t="n">
        <x:v>1.28183</x:v>
      </x:c>
      <x:c r="N307" s="56" t="n">
        <x:v>-0.98</x:v>
      </x:c>
      <x:c r="O307" s="56" t="n">
        <x:v>2.02</x:v>
      </x:c>
      <x:c r="P307" s="56" t="n">
        <x:v>2.31</x:v>
      </x:c>
      <x:c r="Q307" s="56" t="n">
        <x:v>93.5</x:v>
      </x:c>
      <x:c r="R307" t="str">
        <x:v>X</x:v>
      </x:c>
      <x:c r="S307" s="102" t="n">
        <x:v>100</x:v>
      </x:c>
      <x:c r="T307" t="str">
        <x:v>IN TARGET BAND</x:v>
      </x:c>
      <x:c r="U307" t="str">
        <x:f>IF(T307="IN TARGET BAND","Yes","No")</x:f>
        <x:v>Yes</x:v>
      </x:c>
      <x:c r="V307" t="n">
        <x:v>3308</x:v>
      </x:c>
      <x:c r="W307" t="str">
        <x:v>Pasted text(56).txt</x:v>
      </x:c>
    </x:row>
    <x:row r="308">
      <x:c r="A308" t="str">
        <x:v>S09</x:v>
      </x:c>
      <x:c r="B308" t="str">
        <x:v>1.15 validated five-run session</x:v>
      </x:c>
      <x:c r="C308" s="54" t="n">
        <x:v>1.15</x:v>
      </x:c>
      <x:c r="D308" t="n">
        <x:v>3</x:v>
      </x:c>
      <x:c r="E308" t="str">
        <x:v>PASS</x:v>
      </x:c>
      <x:c r="F308" t="n">
        <x:v>1</x:v>
      </x:c>
      <x:c r="G308" t="n">
        <x:v>7</x:v>
      </x:c>
      <x:c r="H308" s="54" t="n">
        <x:v>12.25</x:v>
      </x:c>
      <x:c r="I308" s="54" t="n">
        <x:v>1.15429</x:v>
      </x:c>
      <x:c r="J308" s="54" t="n">
        <x:v>1.15405</x:v>
      </x:c>
      <x:c r="K308" s="54" t="n">
        <x:v>0.28953</x:v>
      </x:c>
      <x:c r="L308" s="54" t="n">
        <x:v>0.50215</x:v>
      </x:c>
      <x:c r="M308" s="54" t="n">
        <x:v>1.29171</x:v>
      </x:c>
      <x:c r="N308" s="56" t="n">
        <x:v>0.37</x:v>
      </x:c>
      <x:c r="O308" s="56" t="n">
        <x:v>0.03</x:v>
      </x:c>
      <x:c r="P308" s="56" t="n">
        <x:v>0.06</x:v>
      </x:c>
      <x:c r="Q308" s="56" t="n">
        <x:v>93</x:v>
      </x:c>
      <x:c r="R308" t="str">
        <x:v>X</x:v>
      </x:c>
      <x:c r="S308" s="102" t="n">
        <x:v>100</x:v>
      </x:c>
      <x:c r="T308" t="str">
        <x:v>IN TARGET BAND</x:v>
      </x:c>
      <x:c r="U308" t="str">
        <x:f>IF(T308="IN TARGET BAND","Yes","No")</x:f>
        <x:v>Yes</x:v>
      </x:c>
      <x:c r="V308" t="n">
        <x:v>3309</x:v>
      </x:c>
      <x:c r="W308" t="str">
        <x:v>Pasted text(56).txt</x:v>
      </x:c>
    </x:row>
    <x:row r="309">
      <x:c r="A309" t="str">
        <x:v>S09</x:v>
      </x:c>
      <x:c r="B309" t="str">
        <x:v>1.15 validated five-run session</x:v>
      </x:c>
      <x:c r="C309" s="54" t="n">
        <x:v>1.15</x:v>
      </x:c>
      <x:c r="D309" t="n">
        <x:v>3</x:v>
      </x:c>
      <x:c r="E309" t="str">
        <x:v>PASS</x:v>
      </x:c>
      <x:c r="F309" t="n">
        <x:v>1</x:v>
      </x:c>
      <x:c r="G309" t="n">
        <x:v>8</x:v>
      </x:c>
      <x:c r="H309" s="54" t="n">
        <x:v>12.25</x:v>
      </x:c>
      <x:c r="I309" s="54" t="n">
        <x:v>1.15705</x:v>
      </x:c>
      <x:c r="J309" s="54" t="n">
        <x:v>1.15195</x:v>
      </x:c>
      <x:c r="K309" s="54" t="n">
        <x:v>0.29012</x:v>
      </x:c>
      <x:c r="L309" s="54" t="n">
        <x:v>0.49799</x:v>
      </x:c>
      <x:c r="M309" s="54" t="n">
        <x:v>1.28817</x:v>
      </x:c>
      <x:c r="N309" s="56" t="n">
        <x:v>0.61</x:v>
      </x:c>
      <x:c r="O309" s="56" t="n">
        <x:v>0.88</x:v>
      </x:c>
      <x:c r="P309" s="56" t="n">
        <x:v>1.32</x:v>
      </x:c>
      <x:c r="Q309" s="56" t="n">
        <x:v>93.4</x:v>
      </x:c>
      <x:c r="R309" t="str">
        <x:v>X</x:v>
      </x:c>
      <x:c r="S309" s="102" t="n">
        <x:v>100</x:v>
      </x:c>
      <x:c r="T309" t="str">
        <x:v>IN TARGET BAND</x:v>
      </x:c>
      <x:c r="U309" t="str">
        <x:f>IF(T309="IN TARGET BAND","Yes","No")</x:f>
        <x:v>Yes</x:v>
      </x:c>
      <x:c r="V309" t="n">
        <x:v>3310</x:v>
      </x:c>
      <x:c r="W309" t="str">
        <x:v>Pasted text(56).txt</x:v>
      </x:c>
    </x:row>
    <x:row r="310">
      <x:c r="A310" t="str">
        <x:v>S09</x:v>
      </x:c>
      <x:c r="B310" t="str">
        <x:v>1.15 validated five-run session</x:v>
      </x:c>
      <x:c r="C310" s="54" t="n">
        <x:v>1.15</x:v>
      </x:c>
      <x:c r="D310" t="n">
        <x:v>3</x:v>
      </x:c>
      <x:c r="E310" t="str">
        <x:v>PASS</x:v>
      </x:c>
      <x:c r="F310" t="n">
        <x:v>1</x:v>
      </x:c>
      <x:c r="G310" t="n">
        <x:v>9</x:v>
      </x:c>
      <x:c r="H310" s="54" t="n">
        <x:v>12.25</x:v>
      </x:c>
      <x:c r="I310" s="54" t="n">
        <x:v>1.15822</x:v>
      </x:c>
      <x:c r="J310" s="54" t="n">
        <x:v>1.15673</x:v>
      </x:c>
      <x:c r="K310" s="54" t="n">
        <x:v>0.29365</x:v>
      </x:c>
      <x:c r="L310" s="54" t="n">
        <x:v>0.48846</x:v>
      </x:c>
      <x:c r="M310" s="54" t="n">
        <x:v>1.28964</x:v>
      </x:c>
      <x:c r="N310" s="56" t="n">
        <x:v>0.71</x:v>
      </x:c>
      <x:c r="O310" s="56" t="n">
        <x:v>1</x:v>
      </x:c>
      <x:c r="P310" s="56" t="n">
        <x:v>0.87</x:v>
      </x:c>
      <x:c r="Q310" s="56" t="n">
        <x:v>93.8</x:v>
      </x:c>
      <x:c r="R310" t="str">
        <x:v>X</x:v>
      </x:c>
      <x:c r="S310" s="102" t="n">
        <x:v>100</x:v>
      </x:c>
      <x:c r="T310" t="str">
        <x:v>IN TARGET BAND</x:v>
      </x:c>
      <x:c r="U310" t="str">
        <x:f>IF(T310="IN TARGET BAND","Yes","No")</x:f>
        <x:v>Yes</x:v>
      </x:c>
      <x:c r="V310" t="n">
        <x:v>3311</x:v>
      </x:c>
      <x:c r="W310" t="str">
        <x:v>Pasted text(56).txt</x:v>
      </x:c>
    </x:row>
    <x:row r="311">
      <x:c r="A311" t="str">
        <x:v>S09</x:v>
      </x:c>
      <x:c r="B311" t="str">
        <x:v>1.15 validated five-run session</x:v>
      </x:c>
      <x:c r="C311" s="54" t="n">
        <x:v>1.15</x:v>
      </x:c>
      <x:c r="D311" t="n">
        <x:v>3</x:v>
      </x:c>
      <x:c r="E311" t="str">
        <x:v>PASS</x:v>
      </x:c>
      <x:c r="F311" t="n">
        <x:v>1</x:v>
      </x:c>
      <x:c r="G311" t="n">
        <x:v>10</x:v>
      </x:c>
      <x:c r="H311" s="54" t="n">
        <x:v>12.25</x:v>
      </x:c>
      <x:c r="I311" s="54" t="n">
        <x:v>1.13566</x:v>
      </x:c>
      <x:c r="J311" s="54" t="n">
        <x:v>1.13771</x:v>
      </x:c>
      <x:c r="K311" s="54" t="n">
        <x:v>0.28267</x:v>
      </x:c>
      <x:c r="L311" s="54" t="n">
        <x:v>0.51134</x:v>
      </x:c>
      <x:c r="M311" s="54" t="n">
        <x:v>1.27922</x:v>
      </x:c>
      <x:c r="N311" s="56" t="n">
        <x:v>-1.25</x:v>
      </x:c>
      <x:c r="O311" s="56" t="n">
        <x:v>0.22</x:v>
      </x:c>
      <x:c r="P311" s="56" t="n">
        <x:v>0.45</x:v>
      </x:c>
      <x:c r="Q311" s="56" t="n">
        <x:v>93</x:v>
      </x:c>
      <x:c r="R311" t="str">
        <x:v>X</x:v>
      </x:c>
      <x:c r="S311" s="102" t="n">
        <x:v>100</x:v>
      </x:c>
      <x:c r="T311" t="str">
        <x:v>IN TARGET BAND</x:v>
      </x:c>
      <x:c r="U311" t="str">
        <x:f>IF(T311="IN TARGET BAND","Yes","No")</x:f>
        <x:v>Yes</x:v>
      </x:c>
      <x:c r="V311" t="n">
        <x:v>3312</x:v>
      </x:c>
      <x:c r="W311" t="str">
        <x:v>Pasted text(56).txt</x:v>
      </x:c>
    </x:row>
    <x:row r="312">
      <x:c r="A312" t="str">
        <x:v>S09</x:v>
      </x:c>
      <x:c r="B312" t="str">
        <x:v>1.15 validated five-run session</x:v>
      </x:c>
      <x:c r="C312" s="54" t="n">
        <x:v>1.15</x:v>
      </x:c>
      <x:c r="D312" t="n">
        <x:v>4</x:v>
      </x:c>
      <x:c r="E312" t="str">
        <x:v>PASS</x:v>
      </x:c>
      <x:c r="F312" t="n">
        <x:v>1</x:v>
      </x:c>
      <x:c r="G312" t="n">
        <x:v>1</x:v>
      </x:c>
      <x:c r="H312" s="54" t="n">
        <x:v>12.25</x:v>
      </x:c>
      <x:c r="I312" s="54" t="n">
        <x:v>1.17005</x:v>
      </x:c>
      <x:c r="J312" s="54" t="n">
        <x:v>1.16667</x:v>
      </x:c>
      <x:c r="K312" s="54" t="n">
        <x:v>0.29647</x:v>
      </x:c>
      <x:c r="L312" s="54" t="n">
        <x:v>0.49148</x:v>
      </x:c>
      <x:c r="M312" s="54" t="n">
        <x:v>1.30048</x:v>
      </x:c>
      <x:c r="N312" s="56" t="n">
        <x:v>1.74</x:v>
      </x:c>
      <x:c r="O312" s="56" t="n">
        <x:v>0.31</x:v>
      </x:c>
      <x:c r="P312" s="56" t="n">
        <x:v>0.69</x:v>
      </x:c>
      <x:c r="Q312" s="56" t="n">
        <x:v>94.2</x:v>
      </x:c>
      <x:c r="R312" t="str">
        <x:v>X</x:v>
      </x:c>
      <x:c r="S312" s="102" t="n">
        <x:v>100</x:v>
      </x:c>
      <x:c r="T312" t="str">
        <x:v>IN TARGET BAND</x:v>
      </x:c>
      <x:c r="U312" t="str">
        <x:f>IF(T312="IN TARGET BAND","Yes","No")</x:f>
        <x:v>Yes</x:v>
      </x:c>
      <x:c r="V312" t="n">
        <x:v>3387</x:v>
      </x:c>
      <x:c r="W312" t="str">
        <x:v>Pasted text(56).txt</x:v>
      </x:c>
    </x:row>
    <x:row r="313">
      <x:c r="A313" t="str">
        <x:v>S09</x:v>
      </x:c>
      <x:c r="B313" t="str">
        <x:v>1.15 validated five-run session</x:v>
      </x:c>
      <x:c r="C313" s="54" t="n">
        <x:v>1.15</x:v>
      </x:c>
      <x:c r="D313" t="n">
        <x:v>4</x:v>
      </x:c>
      <x:c r="E313" t="str">
        <x:v>PASS</x:v>
      </x:c>
      <x:c r="F313" t="n">
        <x:v>1</x:v>
      </x:c>
      <x:c r="G313" t="n">
        <x:v>2</x:v>
      </x:c>
      <x:c r="H313" s="54" t="n">
        <x:v>12.25</x:v>
      </x:c>
      <x:c r="I313" s="54" t="n">
        <x:v>1.14705</x:v>
      </x:c>
      <x:c r="J313" s="54" t="n">
        <x:v>1.14788</x:v>
      </x:c>
      <x:c r="K313" s="54" t="n">
        <x:v>0.30317</x:v>
      </x:c>
      <x:c r="L313" s="54" t="n">
        <x:v>0.48417</x:v>
      </x:c>
      <x:c r="M313" s="54" t="n">
        <x:v>1.28229</x:v>
      </x:c>
      <x:c r="N313" s="56" t="n">
        <x:v>-0.26</x:v>
      </x:c>
      <x:c r="O313" s="56" t="n">
        <x:v>1.37</x:v>
      </x:c>
      <x:c r="P313" s="56" t="n">
        <x:v>1.03</x:v>
      </x:c>
      <x:c r="Q313" s="56" t="n">
        <x:v>93.2</x:v>
      </x:c>
      <x:c r="R313" t="str">
        <x:v>X</x:v>
      </x:c>
      <x:c r="S313" s="102" t="n">
        <x:v>100</x:v>
      </x:c>
      <x:c r="T313" t="str">
        <x:v>IN TARGET BAND</x:v>
      </x:c>
      <x:c r="U313" t="str">
        <x:f>IF(T313="IN TARGET BAND","Yes","No")</x:f>
        <x:v>Yes</x:v>
      </x:c>
      <x:c r="V313" t="n">
        <x:v>3388</x:v>
      </x:c>
      <x:c r="W313" t="str">
        <x:v>Pasted text(56).txt</x:v>
      </x:c>
    </x:row>
    <x:row r="314">
      <x:c r="A314" t="str">
        <x:v>S09</x:v>
      </x:c>
      <x:c r="B314" t="str">
        <x:v>1.15 validated five-run session</x:v>
      </x:c>
      <x:c r="C314" s="54" t="n">
        <x:v>1.15</x:v>
      </x:c>
      <x:c r="D314" t="n">
        <x:v>4</x:v>
      </x:c>
      <x:c r="E314" t="str">
        <x:v>PASS</x:v>
      </x:c>
      <x:c r="F314" t="n">
        <x:v>1</x:v>
      </x:c>
      <x:c r="G314" t="n">
        <x:v>3</x:v>
      </x:c>
      <x:c r="H314" s="54" t="n">
        <x:v>12.25</x:v>
      </x:c>
      <x:c r="I314" s="54" t="n">
        <x:v>1.1316</x:v>
      </x:c>
      <x:c r="J314" s="54" t="n">
        <x:v>1.14474</x:v>
      </x:c>
      <x:c r="K314" s="54" t="n">
        <x:v>0.30668</x:v>
      </x:c>
      <x:c r="L314" s="54" t="n">
        <x:v>0.49227</x:v>
      </x:c>
      <x:c r="M314" s="54" t="n">
        <x:v>1.28344</x:v>
      </x:c>
      <x:c r="N314" s="56" t="n">
        <x:v>-1.6</x:v>
      </x:c>
      <x:c r="O314" s="56" t="n">
        <x:v>0.28</x:v>
      </x:c>
      <x:c r="P314" s="56" t="n">
        <x:v>2.15</x:v>
      </x:c>
      <x:c r="Q314" s="56" t="n">
        <x:v>93.5</x:v>
      </x:c>
      <x:c r="R314" t="str">
        <x:v>X</x:v>
      </x:c>
      <x:c r="S314" s="102" t="n">
        <x:v>100</x:v>
      </x:c>
      <x:c r="T314" t="str">
        <x:v>IN TARGET BAND</x:v>
      </x:c>
      <x:c r="U314" t="str">
        <x:f>IF(T314="IN TARGET BAND","Yes","No")</x:f>
        <x:v>Yes</x:v>
      </x:c>
      <x:c r="V314" t="n">
        <x:v>3389</x:v>
      </x:c>
      <x:c r="W314" t="str">
        <x:v>Pasted text(56).txt</x:v>
      </x:c>
    </x:row>
    <x:row r="315">
      <x:c r="A315" t="str">
        <x:v>S09</x:v>
      </x:c>
      <x:c r="B315" t="str">
        <x:v>1.15 validated five-run session</x:v>
      </x:c>
      <x:c r="C315" s="54" t="n">
        <x:v>1.15</x:v>
      </x:c>
      <x:c r="D315" t="n">
        <x:v>4</x:v>
      </x:c>
      <x:c r="E315" t="str">
        <x:v>PASS</x:v>
      </x:c>
      <x:c r="F315" t="n">
        <x:v>1</x:v>
      </x:c>
      <x:c r="G315" t="n">
        <x:v>4</x:v>
      </x:c>
      <x:c r="H315" s="54" t="n">
        <x:v>12.25</x:v>
      </x:c>
      <x:c r="I315" s="54" t="n">
        <x:v>1.163</x:v>
      </x:c>
      <x:c r="J315" s="54" t="n">
        <x:v>1.15596</x:v>
      </x:c>
      <x:c r="K315" s="54" t="n">
        <x:v>0.2997</x:v>
      </x:c>
      <x:c r="L315" s="54" t="n">
        <x:v>0.51519</x:v>
      </x:c>
      <x:c r="M315" s="54" t="n">
        <x:v>1.30071</x:v>
      </x:c>
      <x:c r="N315" s="56" t="n">
        <x:v>1.13</x:v>
      </x:c>
      <x:c r="O315" s="56" t="n">
        <x:v>0.35</x:v>
      </x:c>
      <x:c r="P315" s="56" t="n">
        <x:v>1.27</x:v>
      </x:c>
      <x:c r="Q315" s="56" t="n">
        <x:v>93.7</x:v>
      </x:c>
      <x:c r="R315" t="str">
        <x:v>X</x:v>
      </x:c>
      <x:c r="S315" s="102" t="n">
        <x:v>100</x:v>
      </x:c>
      <x:c r="T315" t="str">
        <x:v>IN TARGET BAND</x:v>
      </x:c>
      <x:c r="U315" t="str">
        <x:f>IF(T315="IN TARGET BAND","Yes","No")</x:f>
        <x:v>Yes</x:v>
      </x:c>
      <x:c r="V315" t="n">
        <x:v>3390</x:v>
      </x:c>
      <x:c r="W315" t="str">
        <x:v>Pasted text(56).txt</x:v>
      </x:c>
    </x:row>
    <x:row r="316">
      <x:c r="A316" t="str">
        <x:v>S09</x:v>
      </x:c>
      <x:c r="B316" t="str">
        <x:v>1.15 validated five-run session</x:v>
      </x:c>
      <x:c r="C316" s="54" t="n">
        <x:v>1.15</x:v>
      </x:c>
      <x:c r="D316" t="n">
        <x:v>4</x:v>
      </x:c>
      <x:c r="E316" t="str">
        <x:v>PASS</x:v>
      </x:c>
      <x:c r="F316" t="n">
        <x:v>1</x:v>
      </x:c>
      <x:c r="G316" t="n">
        <x:v>5</x:v>
      </x:c>
      <x:c r="H316" s="54" t="n">
        <x:v>12.25</x:v>
      </x:c>
      <x:c r="I316" s="54" t="n">
        <x:v>1.12882</x:v>
      </x:c>
      <x:c r="J316" s="54" t="n">
        <x:v>1.13066</x:v>
      </x:c>
      <x:c r="K316" s="54" t="n">
        <x:v>0.28877</x:v>
      </x:c>
      <x:c r="L316" s="54" t="n">
        <x:v>0.47964</x:v>
      </x:c>
      <x:c r="M316" s="54" t="n">
        <x:v>1.26207</x:v>
      </x:c>
      <x:c r="N316" s="56" t="n">
        <x:v>-1.84</x:v>
      </x:c>
      <x:c r="O316" s="56" t="n">
        <x:v>0.39</x:v>
      </x:c>
      <x:c r="P316" s="56" t="n">
        <x:v>0.53</x:v>
      </x:c>
      <x:c r="Q316" s="56" t="n">
        <x:v>92.4</x:v>
      </x:c>
      <x:c r="R316" t="str">
        <x:v>X</x:v>
      </x:c>
      <x:c r="S316" s="102" t="n">
        <x:v>100</x:v>
      </x:c>
      <x:c r="T316" t="str">
        <x:v>IN TARGET BAND</x:v>
      </x:c>
      <x:c r="U316" t="str">
        <x:f>IF(T316="IN TARGET BAND","Yes","No")</x:f>
        <x:v>Yes</x:v>
      </x:c>
      <x:c r="V316" t="n">
        <x:v>3391</x:v>
      </x:c>
      <x:c r="W316" t="str">
        <x:v>Pasted text(56).txt</x:v>
      </x:c>
    </x:row>
    <x:row r="317">
      <x:c r="A317" t="str">
        <x:v>S09</x:v>
      </x:c>
      <x:c r="B317" t="str">
        <x:v>1.15 validated five-run session</x:v>
      </x:c>
      <x:c r="C317" s="54" t="n">
        <x:v>1.15</x:v>
      </x:c>
      <x:c r="D317" t="n">
        <x:v>4</x:v>
      </x:c>
      <x:c r="E317" t="str">
        <x:v>PASS</x:v>
      </x:c>
      <x:c r="F317" t="n">
        <x:v>1</x:v>
      </x:c>
      <x:c r="G317" t="n">
        <x:v>6</x:v>
      </x:c>
      <x:c r="H317" s="54" t="n">
        <x:v>12.25</x:v>
      </x:c>
      <x:c r="I317" s="54" t="n">
        <x:v>1.1605</x:v>
      </x:c>
      <x:c r="J317" s="54" t="n">
        <x:v>1.15838</x:v>
      </x:c>
      <x:c r="K317" s="54" t="n">
        <x:v>0.29833</x:v>
      </x:c>
      <x:c r="L317" s="54" t="n">
        <x:v>0.49608</x:v>
      </x:c>
      <x:c r="M317" s="54" t="n">
        <x:v>1.29535</x:v>
      </x:c>
      <x:c r="N317" s="56" t="n">
        <x:v>0.91</x:v>
      </x:c>
      <x:c r="O317" s="56" t="n">
        <x:v>1.18</x:v>
      </x:c>
      <x:c r="P317" s="56" t="n">
        <x:v>1.09</x:v>
      </x:c>
      <x:c r="Q317" s="56" t="n">
        <x:v>93.5</x:v>
      </x:c>
      <x:c r="R317" t="str">
        <x:v>X</x:v>
      </x:c>
      <x:c r="S317" s="102" t="n">
        <x:v>100</x:v>
      </x:c>
      <x:c r="T317" t="str">
        <x:v>IN TARGET BAND</x:v>
      </x:c>
      <x:c r="U317" t="str">
        <x:f>IF(T317="IN TARGET BAND","Yes","No")</x:f>
        <x:v>Yes</x:v>
      </x:c>
      <x:c r="V317" t="n">
        <x:v>3392</x:v>
      </x:c>
      <x:c r="W317" t="str">
        <x:v>Pasted text(56).txt</x:v>
      </x:c>
    </x:row>
    <x:row r="318">
      <x:c r="A318" t="str">
        <x:v>S09</x:v>
      </x:c>
      <x:c r="B318" t="str">
        <x:v>1.15 validated five-run session</x:v>
      </x:c>
      <x:c r="C318" s="54" t="n">
        <x:v>1.15</x:v>
      </x:c>
      <x:c r="D318" t="n">
        <x:v>4</x:v>
      </x:c>
      <x:c r="E318" t="str">
        <x:v>PASS</x:v>
      </x:c>
      <x:c r="F318" t="n">
        <x:v>1</x:v>
      </x:c>
      <x:c r="G318" t="n">
        <x:v>7</x:v>
      </x:c>
      <x:c r="H318" s="54" t="n">
        <x:v>12.25</x:v>
      </x:c>
      <x:c r="I318" s="54" t="n">
        <x:v>1.15389</x:v>
      </x:c>
      <x:c r="J318" s="54" t="n">
        <x:v>1.15421</x:v>
      </x:c>
      <x:c r="K318" s="54" t="n">
        <x:v>0.29416</x:v>
      </x:c>
      <x:c r="L318" s="54" t="n">
        <x:v>0.4857</x:v>
      </x:c>
      <x:c r="M318" s="54" t="n">
        <x:v>1.28641</x:v>
      </x:c>
      <x:c r="N318" s="56" t="n">
        <x:v>0.34</x:v>
      </x:c>
      <x:c r="O318" s="56" t="n">
        <x:v>0.4</x:v>
      </x:c>
      <x:c r="P318" s="56" t="n">
        <x:v>0.31</x:v>
      </x:c>
      <x:c r="Q318" s="56" t="n">
        <x:v>93.4</x:v>
      </x:c>
      <x:c r="R318" t="str">
        <x:v>X</x:v>
      </x:c>
      <x:c r="S318" s="102" t="n">
        <x:v>100</x:v>
      </x:c>
      <x:c r="T318" t="str">
        <x:v>IN TARGET BAND</x:v>
      </x:c>
      <x:c r="U318" t="str">
        <x:f>IF(T318="IN TARGET BAND","Yes","No")</x:f>
        <x:v>Yes</x:v>
      </x:c>
      <x:c r="V318" t="n">
        <x:v>3393</x:v>
      </x:c>
      <x:c r="W318" t="str">
        <x:v>Pasted text(56).txt</x:v>
      </x:c>
    </x:row>
    <x:row r="319">
      <x:c r="A319" t="str">
        <x:v>S09</x:v>
      </x:c>
      <x:c r="B319" t="str">
        <x:v>1.15 validated five-run session</x:v>
      </x:c>
      <x:c r="C319" s="54" t="n">
        <x:v>1.15</x:v>
      </x:c>
      <x:c r="D319" t="n">
        <x:v>4</x:v>
      </x:c>
      <x:c r="E319" t="str">
        <x:v>PASS</x:v>
      </x:c>
      <x:c r="F319" t="n">
        <x:v>1</x:v>
      </x:c>
      <x:c r="G319" t="n">
        <x:v>8</x:v>
      </x:c>
      <x:c r="H319" s="54" t="n">
        <x:v>12.25</x:v>
      </x:c>
      <x:c r="I319" s="54" t="n">
        <x:v>1.16544</x:v>
      </x:c>
      <x:c r="J319" s="54" t="n">
        <x:v>1.16639</x:v>
      </x:c>
      <x:c r="K319" s="54" t="n">
        <x:v>0.29463</x:v>
      </x:c>
      <x:c r="L319" s="54" t="n">
        <x:v>0.50201</x:v>
      </x:c>
      <x:c r="M319" s="54" t="n">
        <x:v>1.30371</x:v>
      </x:c>
      <x:c r="N319" s="56" t="n">
        <x:v>1.34</x:v>
      </x:c>
      <x:c r="O319" s="56" t="n">
        <x:v>0.8</x:v>
      </x:c>
      <x:c r="P319" s="56" t="n">
        <x:v>0.66</x:v>
      </x:c>
      <x:c r="Q319" s="56" t="n">
        <x:v>93.9</x:v>
      </x:c>
      <x:c r="R319" t="str">
        <x:v>X</x:v>
      </x:c>
      <x:c r="S319" s="102" t="n">
        <x:v>100</x:v>
      </x:c>
      <x:c r="T319" t="str">
        <x:v>IN TARGET BAND</x:v>
      </x:c>
      <x:c r="U319" t="str">
        <x:f>IF(T319="IN TARGET BAND","Yes","No")</x:f>
        <x:v>Yes</x:v>
      </x:c>
      <x:c r="V319" t="n">
        <x:v>3394</x:v>
      </x:c>
      <x:c r="W319" t="str">
        <x:v>Pasted text(56).txt</x:v>
      </x:c>
    </x:row>
    <x:row r="320">
      <x:c r="A320" t="str">
        <x:v>S09</x:v>
      </x:c>
      <x:c r="B320" t="str">
        <x:v>1.15 validated five-run session</x:v>
      </x:c>
      <x:c r="C320" s="54" t="n">
        <x:v>1.15</x:v>
      </x:c>
      <x:c r="D320" t="n">
        <x:v>4</x:v>
      </x:c>
      <x:c r="E320" t="str">
        <x:v>PASS</x:v>
      </x:c>
      <x:c r="F320" t="n">
        <x:v>1</x:v>
      </x:c>
      <x:c r="G320" t="n">
        <x:v>9</x:v>
      </x:c>
      <x:c r="H320" s="54" t="n">
        <x:v>12.25</x:v>
      </x:c>
      <x:c r="I320" s="54" t="n">
        <x:v>1.16337</x:v>
      </x:c>
      <x:c r="J320" s="54" t="n">
        <x:v>1.17112</x:v>
      </x:c>
      <x:c r="K320" s="54" t="n">
        <x:v>0.28389</x:v>
      </x:c>
      <x:c r="L320" s="54" t="n">
        <x:v>0.48412</x:v>
      </x:c>
      <x:c r="M320" s="54" t="n">
        <x:v>1.2989</x:v>
      </x:c>
      <x:c r="N320" s="56" t="n">
        <x:v>1.16</x:v>
      </x:c>
      <x:c r="O320" s="56" t="n">
        <x:v>0.09</x:v>
      </x:c>
      <x:c r="P320" s="56" t="n">
        <x:v>1.2</x:v>
      </x:c>
      <x:c r="Q320" s="56" t="n">
        <x:v>94</x:v>
      </x:c>
      <x:c r="R320" t="str">
        <x:v>X</x:v>
      </x:c>
      <x:c r="S320" s="102" t="n">
        <x:v>100</x:v>
      </x:c>
      <x:c r="T320" t="str">
        <x:v>IN TARGET BAND</x:v>
      </x:c>
      <x:c r="U320" t="str">
        <x:f>IF(T320="IN TARGET BAND","Yes","No")</x:f>
        <x:v>Yes</x:v>
      </x:c>
      <x:c r="V320" t="n">
        <x:v>3395</x:v>
      </x:c>
      <x:c r="W320" t="str">
        <x:v>Pasted text(56).txt</x:v>
      </x:c>
    </x:row>
    <x:row r="321">
      <x:c r="A321" t="str">
        <x:v>S09</x:v>
      </x:c>
      <x:c r="B321" t="str">
        <x:v>1.15 validated five-run session</x:v>
      </x:c>
      <x:c r="C321" s="54" t="n">
        <x:v>1.15</x:v>
      </x:c>
      <x:c r="D321" t="n">
        <x:v>4</x:v>
      </x:c>
      <x:c r="E321" t="str">
        <x:v>PASS</x:v>
      </x:c>
      <x:c r="F321" t="n">
        <x:v>1</x:v>
      </x:c>
      <x:c r="G321" t="n">
        <x:v>10</x:v>
      </x:c>
      <x:c r="H321" s="54" t="n">
        <x:v>12.25</x:v>
      </x:c>
      <x:c r="I321" s="54" t="n">
        <x:v>1.14926</x:v>
      </x:c>
      <x:c r="J321" s="54" t="n">
        <x:v>1.14982</x:v>
      </x:c>
      <x:c r="K321" s="54" t="n">
        <x:v>0.29328</x:v>
      </x:c>
      <x:c r="L321" s="54" t="n">
        <x:v>0.49673</x:v>
      </x:c>
      <x:c r="M321" s="54" t="n">
        <x:v>1.28658</x:v>
      </x:c>
      <x:c r="N321" s="56" t="n">
        <x:v>-0.06</x:v>
      </x:c>
      <x:c r="O321" s="56" t="n">
        <x:v>0.02</x:v>
      </x:c>
      <x:c r="P321" s="56" t="n">
        <x:v>0.1</x:v>
      </x:c>
      <x:c r="Q321" s="56" t="n">
        <x:v>93.2</x:v>
      </x:c>
      <x:c r="R321" t="str">
        <x:v>X</x:v>
      </x:c>
      <x:c r="S321" s="102" t="n">
        <x:v>100</x:v>
      </x:c>
      <x:c r="T321" t="str">
        <x:v>IN TARGET BAND</x:v>
      </x:c>
      <x:c r="U321" t="str">
        <x:f>IF(T321="IN TARGET BAND","Yes","No")</x:f>
        <x:v>Yes</x:v>
      </x:c>
      <x:c r="V321" t="n">
        <x:v>3396</x:v>
      </x:c>
      <x:c r="W321" t="str">
        <x:v>Pasted text(56).txt</x:v>
      </x:c>
    </x:row>
    <x:row r="322">
      <x:c r="A322" t="str">
        <x:v>S09</x:v>
      </x:c>
      <x:c r="B322" t="str">
        <x:v>1.15 validated five-run session</x:v>
      </x:c>
      <x:c r="C322" s="54" t="n">
        <x:v>1.15</x:v>
      </x:c>
      <x:c r="D322" t="n">
        <x:v>5</x:v>
      </x:c>
      <x:c r="E322" t="str">
        <x:v>PASS</x:v>
      </x:c>
      <x:c r="F322" t="n">
        <x:v>1</x:v>
      </x:c>
      <x:c r="G322" t="n">
        <x:v>1</x:v>
      </x:c>
      <x:c r="H322" s="54" t="n">
        <x:v>12.5</x:v>
      </x:c>
      <x:c r="I322" s="54" t="n">
        <x:v>1.19944</x:v>
      </x:c>
      <x:c r="J322" s="54" t="n">
        <x:v>1.1895</x:v>
      </x:c>
      <x:c r="K322" s="54" t="n">
        <x:v>0.3053</x:v>
      </x:c>
      <x:c r="L322" s="54" t="n">
        <x:v>0.51067</x:v>
      </x:c>
      <x:c r="M322" s="54" t="n">
        <x:v>1.33006</x:v>
      </x:c>
      <x:c r="N322" s="56" t="n">
        <x:v>4.3</x:v>
      </x:c>
      <x:c r="O322" s="56" t="n">
        <x:v>0.75</x:v>
      </x:c>
      <x:c r="P322" s="56" t="n">
        <x:v>1.91</x:v>
      </x:c>
      <x:c r="Q322" s="56" t="n">
        <x:v>94.7</x:v>
      </x:c>
      <x:c r="R322" t="str">
        <x:v>X</x:v>
      </x:c>
      <x:c r="S322" s="102" t="n">
        <x:v>100</x:v>
      </x:c>
      <x:c r="T322" t="str">
        <x:v>IN TARGET BAND</x:v>
      </x:c>
      <x:c r="U322" t="str">
        <x:f>IF(T322="IN TARGET BAND","Yes","No")</x:f>
        <x:v>Yes</x:v>
      </x:c>
      <x:c r="V322" t="n">
        <x:v>3472</x:v>
      </x:c>
      <x:c r="W322" t="str">
        <x:v>Pasted text(56).txt</x:v>
      </x:c>
    </x:row>
    <x:row r="323">
      <x:c r="A323" t="str">
        <x:v>S09</x:v>
      </x:c>
      <x:c r="B323" t="str">
        <x:v>1.15 validated five-run session</x:v>
      </x:c>
      <x:c r="C323" s="54" t="n">
        <x:v>1.15</x:v>
      </x:c>
      <x:c r="D323" t="n">
        <x:v>5</x:v>
      </x:c>
      <x:c r="E323" t="str">
        <x:v>PASS</x:v>
      </x:c>
      <x:c r="F323" t="n">
        <x:v>1</x:v>
      </x:c>
      <x:c r="G323" t="n">
        <x:v>2</x:v>
      </x:c>
      <x:c r="H323" s="54" t="n">
        <x:v>12.5</x:v>
      </x:c>
      <x:c r="I323" s="54" t="n">
        <x:v>1.17931</x:v>
      </x:c>
      <x:c r="J323" s="54" t="n">
        <x:v>1.17911</x:v>
      </x:c>
      <x:c r="K323" s="54" t="n">
        <x:v>0.29914</x:v>
      </x:c>
      <x:c r="L323" s="54" t="n">
        <x:v>0.51384</x:v>
      </x:c>
      <x:c r="M323" s="54" t="n">
        <x:v>1.32071</x:v>
      </x:c>
      <x:c r="N323" s="56" t="n">
        <x:v>2.55</x:v>
      </x:c>
      <x:c r="O323" s="56" t="n">
        <x:v>0.74</x:v>
      </x:c>
      <x:c r="P323" s="56" t="n">
        <x:v>0.52</x:v>
      </x:c>
      <x:c r="Q323" s="56" t="n">
        <x:v>93.9</x:v>
      </x:c>
      <x:c r="R323" t="str">
        <x:v>X</x:v>
      </x:c>
      <x:c r="S323" s="102" t="n">
        <x:v>100</x:v>
      </x:c>
      <x:c r="T323" t="str">
        <x:v>IN TARGET BAND</x:v>
      </x:c>
      <x:c r="U323" t="str">
        <x:f>IF(T323="IN TARGET BAND","Yes","No")</x:f>
        <x:v>Yes</x:v>
      </x:c>
      <x:c r="V323" t="n">
        <x:v>3473</x:v>
      </x:c>
      <x:c r="W323" t="str">
        <x:v>Pasted text(56).txt</x:v>
      </x:c>
    </x:row>
    <x:row r="324">
      <x:c r="A324" t="str">
        <x:v>S09</x:v>
      </x:c>
      <x:c r="B324" t="str">
        <x:v>1.15 validated five-run session</x:v>
      </x:c>
      <x:c r="C324" s="54" t="n">
        <x:v>1.15</x:v>
      </x:c>
      <x:c r="D324" t="n">
        <x:v>5</x:v>
      </x:c>
      <x:c r="E324" t="str">
        <x:v>PASS</x:v>
      </x:c>
      <x:c r="F324" t="n">
        <x:v>1</x:v>
      </x:c>
      <x:c r="G324" t="n">
        <x:v>3</x:v>
      </x:c>
      <x:c r="H324" s="54" t="n">
        <x:v>12.5</x:v>
      </x:c>
      <x:c r="I324" s="54" t="n">
        <x:v>1.17097</x:v>
      </x:c>
      <x:c r="J324" s="54" t="n">
        <x:v>1.16653</x:v>
      </x:c>
      <x:c r="K324" s="54" t="n">
        <x:v>0.29469</x:v>
      </x:c>
      <x:c r="L324" s="54" t="n">
        <x:v>0.52012</x:v>
      </x:c>
      <x:c r="M324" s="54" t="n">
        <x:v>1.31088</x:v>
      </x:c>
      <x:c r="N324" s="56" t="n">
        <x:v>1.82</x:v>
      </x:c>
      <x:c r="O324" s="56" t="n">
        <x:v>1.71</x:v>
      </x:c>
      <x:c r="P324" s="56" t="n">
        <x:v>1.76</x:v>
      </x:c>
      <x:c r="Q324" s="56" t="n">
        <x:v>93.2</x:v>
      </x:c>
      <x:c r="R324" t="str">
        <x:v>X</x:v>
      </x:c>
      <x:c r="S324" s="102" t="n">
        <x:v>100</x:v>
      </x:c>
      <x:c r="T324" t="str">
        <x:v>IN TARGET BAND</x:v>
      </x:c>
      <x:c r="U324" t="str">
        <x:f>IF(T324="IN TARGET BAND","Yes","No")</x:f>
        <x:v>Yes</x:v>
      </x:c>
      <x:c r="V324" t="n">
        <x:v>3474</x:v>
      </x:c>
      <x:c r="W324" t="str">
        <x:v>Pasted text(56).txt</x:v>
      </x:c>
    </x:row>
    <x:row r="325">
      <x:c r="A325" t="str">
        <x:v>S09</x:v>
      </x:c>
      <x:c r="B325" t="str">
        <x:v>1.15 validated five-run session</x:v>
      </x:c>
      <x:c r="C325" s="54" t="n">
        <x:v>1.15</x:v>
      </x:c>
      <x:c r="D325" t="n">
        <x:v>5</x:v>
      </x:c>
      <x:c r="E325" t="str">
        <x:v>PASS</x:v>
      </x:c>
      <x:c r="F325" t="n">
        <x:v>1</x:v>
      </x:c>
      <x:c r="G325" t="n">
        <x:v>4</x:v>
      </x:c>
      <x:c r="H325" s="54" t="n">
        <x:v>12.5</x:v>
      </x:c>
      <x:c r="I325" s="54" t="n">
        <x:v>1.16256</x:v>
      </x:c>
      <x:c r="J325" s="54" t="n">
        <x:v>1.1661</x:v>
      </x:c>
      <x:c r="K325" s="54" t="n">
        <x:v>0.30572</x:v>
      </x:c>
      <x:c r="L325" s="54" t="n">
        <x:v>0.49202</x:v>
      </x:c>
      <x:c r="M325" s="54" t="n">
        <x:v>1.30214</x:v>
      </x:c>
      <x:c r="N325" s="56" t="n">
        <x:v>1.09</x:v>
      </x:c>
      <x:c r="O325" s="56" t="n">
        <x:v>1.15</x:v>
      </x:c>
      <x:c r="P325" s="56" t="n">
        <x:v>1.26</x:v>
      </x:c>
      <x:c r="Q325" s="56" t="n">
        <x:v>93.2</x:v>
      </x:c>
      <x:c r="R325" t="str">
        <x:v>X</x:v>
      </x:c>
      <x:c r="S325" s="102" t="n">
        <x:v>100</x:v>
      </x:c>
      <x:c r="T325" t="str">
        <x:v>IN TARGET BAND</x:v>
      </x:c>
      <x:c r="U325" t="str">
        <x:f>IF(T325="IN TARGET BAND","Yes","No")</x:f>
        <x:v>Yes</x:v>
      </x:c>
      <x:c r="V325" t="n">
        <x:v>3475</x:v>
      </x:c>
      <x:c r="W325" t="str">
        <x:v>Pasted text(56).txt</x:v>
      </x:c>
    </x:row>
    <x:row r="326">
      <x:c r="A326" t="str">
        <x:v>S09</x:v>
      </x:c>
      <x:c r="B326" t="str">
        <x:v>1.15 validated five-run session</x:v>
      </x:c>
      <x:c r="C326" s="54" t="n">
        <x:v>1.15</x:v>
      </x:c>
      <x:c r="D326" t="n">
        <x:v>5</x:v>
      </x:c>
      <x:c r="E326" t="str">
        <x:v>PASS</x:v>
      </x:c>
      <x:c r="F326" t="n">
        <x:v>1</x:v>
      </x:c>
      <x:c r="G326" t="n">
        <x:v>5</x:v>
      </x:c>
      <x:c r="H326" s="54" t="n">
        <x:v>12.5</x:v>
      </x:c>
      <x:c r="I326" s="54" t="n">
        <x:v>1.16839</x:v>
      </x:c>
      <x:c r="J326" s="54" t="n">
        <x:v>1.17081</x:v>
      </x:c>
      <x:c r="K326" s="54" t="n">
        <x:v>0.28592</x:v>
      </x:c>
      <x:c r="L326" s="54" t="n">
        <x:v>0.50304</x:v>
      </x:c>
      <x:c r="M326" s="54" t="n">
        <x:v>1.30604</x:v>
      </x:c>
      <x:c r="N326" s="56" t="n">
        <x:v>1.6</x:v>
      </x:c>
      <x:c r="O326" s="56" t="n">
        <x:v>0.02</x:v>
      </x:c>
      <x:c r="P326" s="56" t="n">
        <x:v>0.37</x:v>
      </x:c>
      <x:c r="Q326" s="56" t="n">
        <x:v>93.5</x:v>
      </x:c>
      <x:c r="R326" t="str">
        <x:v>X</x:v>
      </x:c>
      <x:c r="S326" s="102" t="n">
        <x:v>100</x:v>
      </x:c>
      <x:c r="T326" t="str">
        <x:v>IN TARGET BAND</x:v>
      </x:c>
      <x:c r="U326" t="str">
        <x:f>IF(T326="IN TARGET BAND","Yes","No")</x:f>
        <x:v>Yes</x:v>
      </x:c>
      <x:c r="V326" t="n">
        <x:v>3476</x:v>
      </x:c>
      <x:c r="W326" t="str">
        <x:v>Pasted text(56).txt</x:v>
      </x:c>
    </x:row>
    <x:row r="327">
      <x:c r="A327" t="str">
        <x:v>S09</x:v>
      </x:c>
      <x:c r="B327" t="str">
        <x:v>1.15 validated five-run session</x:v>
      </x:c>
      <x:c r="C327" s="54" t="n">
        <x:v>1.15</x:v>
      </x:c>
      <x:c r="D327" t="n">
        <x:v>5</x:v>
      </x:c>
      <x:c r="E327" t="str">
        <x:v>PASS</x:v>
      </x:c>
      <x:c r="F327" t="n">
        <x:v>1</x:v>
      </x:c>
      <x:c r="G327" t="n">
        <x:v>6</x:v>
      </x:c>
      <x:c r="H327" s="54" t="n">
        <x:v>12.5</x:v>
      </x:c>
      <x:c r="I327" s="54" t="n">
        <x:v>1.17062</x:v>
      </x:c>
      <x:c r="J327" s="54" t="n">
        <x:v>1.16826</x:v>
      </x:c>
      <x:c r="K327" s="54" t="n">
        <x:v>0.29636</x:v>
      </x:c>
      <x:c r="L327" s="54" t="n">
        <x:v>0.5104</x:v>
      </x:c>
      <x:c r="M327" s="54" t="n">
        <x:v>1.30901</x:v>
      </x:c>
      <x:c r="N327" s="56" t="n">
        <x:v>1.79</x:v>
      </x:c>
      <x:c r="O327" s="56" t="n">
        <x:v>0.84</x:v>
      </x:c>
      <x:c r="P327" s="56" t="n">
        <x:v>0.89</x:v>
      </x:c>
      <x:c r="Q327" s="56" t="n">
        <x:v>93.5</x:v>
      </x:c>
      <x:c r="R327" t="str">
        <x:v>X</x:v>
      </x:c>
      <x:c r="S327" s="102" t="n">
        <x:v>100</x:v>
      </x:c>
      <x:c r="T327" t="str">
        <x:v>IN TARGET BAND</x:v>
      </x:c>
      <x:c r="U327" t="str">
        <x:f>IF(T327="IN TARGET BAND","Yes","No")</x:f>
        <x:v>Yes</x:v>
      </x:c>
      <x:c r="V327" t="n">
        <x:v>3477</x:v>
      </x:c>
      <x:c r="W327" t="str">
        <x:v>Pasted text(56).txt</x:v>
      </x:c>
    </x:row>
    <x:row r="328">
      <x:c r="A328" t="str">
        <x:v>S09</x:v>
      </x:c>
      <x:c r="B328" t="str">
        <x:v>1.15 validated five-run session</x:v>
      </x:c>
      <x:c r="C328" s="54" t="n">
        <x:v>1.15</x:v>
      </x:c>
      <x:c r="D328" t="n">
        <x:v>5</x:v>
      </x:c>
      <x:c r="E328" t="str">
        <x:v>PASS</x:v>
      </x:c>
      <x:c r="F328" t="n">
        <x:v>1</x:v>
      </x:c>
      <x:c r="G328" t="n">
        <x:v>7</x:v>
      </x:c>
      <x:c r="H328" s="54" t="n">
        <x:v>12.5</x:v>
      </x:c>
      <x:c r="I328" s="54" t="n">
        <x:v>1.16171</x:v>
      </x:c>
      <x:c r="J328" s="54" t="n">
        <x:v>1.16689</x:v>
      </x:c>
      <x:c r="K328" s="54" t="n">
        <x:v>0.27735</x:v>
      </x:c>
      <x:c r="L328" s="54" t="n">
        <x:v>0.48841</x:v>
      </x:c>
      <x:c r="M328" s="54" t="n">
        <x:v>1.29575</x:v>
      </x:c>
      <x:c r="N328" s="56" t="n">
        <x:v>1.02</x:v>
      </x:c>
      <x:c r="O328" s="56" t="n">
        <x:v>0.32</x:v>
      </x:c>
      <x:c r="P328" s="56" t="n">
        <x:v>0.96</x:v>
      </x:c>
      <x:c r="Q328" s="56" t="n">
        <x:v>93.7</x:v>
      </x:c>
      <x:c r="R328" t="str">
        <x:v>X</x:v>
      </x:c>
      <x:c r="S328" s="102" t="n">
        <x:v>100</x:v>
      </x:c>
      <x:c r="T328" t="str">
        <x:v>IN TARGET BAND</x:v>
      </x:c>
      <x:c r="U328" t="str">
        <x:f>IF(T328="IN TARGET BAND","Yes","No")</x:f>
        <x:v>Yes</x:v>
      </x:c>
      <x:c r="V328" t="n">
        <x:v>3478</x:v>
      </x:c>
      <x:c r="W328" t="str">
        <x:v>Pasted text(56).txt</x:v>
      </x:c>
    </x:row>
    <x:row r="329">
      <x:c r="A329" t="str">
        <x:v>S09</x:v>
      </x:c>
      <x:c r="B329" t="str">
        <x:v>1.15 validated five-run session</x:v>
      </x:c>
      <x:c r="C329" s="54" t="n">
        <x:v>1.15</x:v>
      </x:c>
      <x:c r="D329" t="n">
        <x:v>5</x:v>
      </x:c>
      <x:c r="E329" t="str">
        <x:v>PASS</x:v>
      </x:c>
      <x:c r="F329" t="n">
        <x:v>1</x:v>
      </x:c>
      <x:c r="G329" t="n">
        <x:v>8</x:v>
      </x:c>
      <x:c r="H329" s="54" t="n">
        <x:v>12.5</x:v>
      </x:c>
      <x:c r="I329" s="54" t="n">
        <x:v>1.18559</x:v>
      </x:c>
      <x:c r="J329" s="54" t="n">
        <x:v>1.18379</x:v>
      </x:c>
      <x:c r="K329" s="54" t="n">
        <x:v>0.32515</x:v>
      </x:c>
      <x:c r="L329" s="54" t="n">
        <x:v>0.50354</x:v>
      </x:c>
      <x:c r="M329" s="54" t="n">
        <x:v>1.32693</x:v>
      </x:c>
      <x:c r="N329" s="56" t="n">
        <x:v>3.09</x:v>
      </x:c>
      <x:c r="O329" s="56" t="n">
        <x:v>0.1</x:v>
      </x:c>
      <x:c r="P329" s="56" t="n">
        <x:v>0.32</x:v>
      </x:c>
      <x:c r="Q329" s="56" t="n">
        <x:v>93.4</x:v>
      </x:c>
      <x:c r="R329" t="str">
        <x:v>X</x:v>
      </x:c>
      <x:c r="S329" s="102" t="n">
        <x:v>100</x:v>
      </x:c>
      <x:c r="T329" t="str">
        <x:v>IN TARGET BAND</x:v>
      </x:c>
      <x:c r="U329" t="str">
        <x:f>IF(T329="IN TARGET BAND","Yes","No")</x:f>
        <x:v>Yes</x:v>
      </x:c>
      <x:c r="V329" t="n">
        <x:v>3479</x:v>
      </x:c>
      <x:c r="W329" t="str">
        <x:v>Pasted text(56).txt</x:v>
      </x:c>
    </x:row>
    <x:row r="330">
      <x:c r="A330" t="str">
        <x:v>S09</x:v>
      </x:c>
      <x:c r="B330" t="str">
        <x:v>1.15 validated five-run session</x:v>
      </x:c>
      <x:c r="C330" s="54" t="n">
        <x:v>1.15</x:v>
      </x:c>
      <x:c r="D330" t="n">
        <x:v>5</x:v>
      </x:c>
      <x:c r="E330" t="str">
        <x:v>PASS</x:v>
      </x:c>
      <x:c r="F330" t="n">
        <x:v>1</x:v>
      </x:c>
      <x:c r="G330" t="n">
        <x:v>9</x:v>
      </x:c>
      <x:c r="H330" s="54" t="n">
        <x:v>12.5</x:v>
      </x:c>
      <x:c r="I330" s="54" t="n">
        <x:v>1.17351</x:v>
      </x:c>
      <x:c r="J330" s="54" t="n">
        <x:v>1.17469</x:v>
      </x:c>
      <x:c r="K330" s="54" t="n">
        <x:v>0.30158</x:v>
      </x:c>
      <x:c r="L330" s="54" t="n">
        <x:v>0.49007</x:v>
      </x:c>
      <x:c r="M330" s="54" t="n">
        <x:v>1.30835</x:v>
      </x:c>
      <x:c r="N330" s="56" t="n">
        <x:v>2.04</x:v>
      </x:c>
      <x:c r="O330" s="56" t="n">
        <x:v>0.46</x:v>
      </x:c>
      <x:c r="P330" s="56" t="n">
        <x:v>0.47</x:v>
      </x:c>
      <x:c r="Q330" s="56" t="n">
        <x:v>94.3</x:v>
      </x:c>
      <x:c r="R330" t="str">
        <x:v>X</x:v>
      </x:c>
      <x:c r="S330" s="102" t="n">
        <x:v>100</x:v>
      </x:c>
      <x:c r="T330" t="str">
        <x:v>IN TARGET BAND</x:v>
      </x:c>
      <x:c r="U330" t="str">
        <x:f>IF(T330="IN TARGET BAND","Yes","No")</x:f>
        <x:v>Yes</x:v>
      </x:c>
      <x:c r="V330" t="n">
        <x:v>3480</x:v>
      </x:c>
      <x:c r="W330" t="str">
        <x:v>Pasted text(56).txt</x:v>
      </x:c>
    </x:row>
    <x:row r="331">
      <x:c r="A331" t="str">
        <x:v>S09</x:v>
      </x:c>
      <x:c r="B331" t="str">
        <x:v>1.15 validated five-run session</x:v>
      </x:c>
      <x:c r="C331" s="54" t="n">
        <x:v>1.15</x:v>
      </x:c>
      <x:c r="D331" t="n">
        <x:v>5</x:v>
      </x:c>
      <x:c r="E331" t="str">
        <x:v>PASS</x:v>
      </x:c>
      <x:c r="F331" t="n">
        <x:v>1</x:v>
      </x:c>
      <x:c r="G331" t="n">
        <x:v>10</x:v>
      </x:c>
      <x:c r="H331" s="54" t="n">
        <x:v>12.5</x:v>
      </x:c>
      <x:c r="I331" s="54" t="n">
        <x:v>1.1665</x:v>
      </x:c>
      <x:c r="J331" s="54" t="n">
        <x:v>1.16595</x:v>
      </x:c>
      <x:c r="K331" s="54" t="n">
        <x:v>0.297</x:v>
      </x:c>
      <x:c r="L331" s="54" t="n">
        <x:v>0.52265</x:v>
      </x:c>
      <x:c r="M331" s="54" t="n">
        <x:v>1.31201</x:v>
      </x:c>
      <x:c r="N331" s="56" t="n">
        <x:v>1.43</x:v>
      </x:c>
      <x:c r="O331" s="56" t="n">
        <x:v>0.67</x:v>
      </x:c>
      <x:c r="P331" s="56" t="n">
        <x:v>0.53</x:v>
      </x:c>
      <x:c r="Q331" s="56" t="n">
        <x:v>93.4</x:v>
      </x:c>
      <x:c r="R331" t="str">
        <x:v>X</x:v>
      </x:c>
      <x:c r="S331" s="102" t="n">
        <x:v>100</x:v>
      </x:c>
      <x:c r="T331" t="str">
        <x:v>IN TARGET BAND</x:v>
      </x:c>
      <x:c r="U331" t="str">
        <x:f>IF(T331="IN TARGET BAND","Yes","No")</x:f>
        <x:v>Yes</x:v>
      </x:c>
      <x:c r="V331" t="n">
        <x:v>3481</x:v>
      </x:c>
      <x:c r="W331" t="str">
        <x:v>Pasted text(56).txt</x:v>
      </x:c>
    </x:row>
    <x:row r="332">
      <x:c r="A332" t="str">
        <x:v>S10</x:v>
      </x:c>
      <x:c r="B332" t="str">
        <x:v>0.89 repeat-confirmation session</x:v>
      </x:c>
      <x:c r="C332" s="54" t="n">
        <x:v>0.89</x:v>
      </x:c>
      <x:c r="D332" t="n">
        <x:v>1</x:v>
      </x:c>
      <x:c r="E332" t="str">
        <x:v>PASS</x:v>
      </x:c>
      <x:c r="F332" t="n">
        <x:v>1</x:v>
      </x:c>
      <x:c r="G332" t="n">
        <x:v>1</x:v>
      </x:c>
      <x:c r="H332" s="54" t="n">
        <x:v>10</x:v>
      </x:c>
      <x:c r="I332" s="54" t="n">
        <x:v>0.90622</x:v>
      </x:c>
      <x:c r="J332" s="54" t="n">
        <x:v>0.89654</x:v>
      </x:c>
      <x:c r="K332" s="54" t="n">
        <x:v>0.22204</x:v>
      </x:c>
      <x:c r="L332" s="54" t="n">
        <x:v>0.41948</x:v>
      </x:c>
      <x:c r="M332" s="54" t="n">
        <x:v>1.01457</x:v>
      </x:c>
      <x:c r="N332" s="56" t="n">
        <x:v>1.82</x:v>
      </x:c>
      <x:c r="O332" s="56" t="n">
        <x:v>0.52</x:v>
      </x:c>
      <x:c r="P332" s="56" t="n">
        <x:v>2.19</x:v>
      </x:c>
      <x:c r="Q332" s="56" t="n">
        <x:v>93</x:v>
      </x:c>
      <x:c r="R332" t="str">
        <x:v>X</x:v>
      </x:c>
      <x:c r="S332" s="102" t="n">
        <x:v>100</x:v>
      </x:c>
      <x:c r="T332" t="str">
        <x:v>IN TARGET BAND</x:v>
      </x:c>
      <x:c r="U332" t="str">
        <x:f>IF(T332="IN TARGET BAND","Yes","No")</x:f>
        <x:v>Yes</x:v>
      </x:c>
      <x:c r="V332" t="n">
        <x:v>3593</x:v>
      </x:c>
      <x:c r="W332" t="str">
        <x:v>Pasted text(56).txt</x:v>
      </x:c>
    </x:row>
    <x:row r="333">
      <x:c r="A333" t="str">
        <x:v>S10</x:v>
      </x:c>
      <x:c r="B333" t="str">
        <x:v>0.89 repeat-confirmation session</x:v>
      </x:c>
      <x:c r="C333" s="54" t="n">
        <x:v>0.89</x:v>
      </x:c>
      <x:c r="D333" t="n">
        <x:v>1</x:v>
      </x:c>
      <x:c r="E333" t="str">
        <x:v>PASS</x:v>
      </x:c>
      <x:c r="F333" t="n">
        <x:v>1</x:v>
      </x:c>
      <x:c r="G333" t="n">
        <x:v>2</x:v>
      </x:c>
      <x:c r="H333" s="54" t="n">
        <x:v>10</x:v>
      </x:c>
      <x:c r="I333" s="54" t="n">
        <x:v>0.88325</x:v>
      </x:c>
      <x:c r="J333" s="54" t="n">
        <x:v>0.88714</x:v>
      </x:c>
      <x:c r="K333" s="54" t="n">
        <x:v>0.24427</x:v>
      </x:c>
      <x:c r="L333" s="54" t="n">
        <x:v>0.42712</x:v>
      </x:c>
      <x:c r="M333" s="54" t="n">
        <x:v>1.01485</x:v>
      </x:c>
      <x:c r="N333" s="56" t="n">
        <x:v>-0.76</x:v>
      </x:c>
      <x:c r="O333" s="56" t="n">
        <x:v>0.65</x:v>
      </x:c>
      <x:c r="P333" s="56" t="n">
        <x:v>1.16</x:v>
      </x:c>
      <x:c r="Q333" s="56" t="n">
        <x:v>92.1</x:v>
      </x:c>
      <x:c r="R333" t="str">
        <x:v>X</x:v>
      </x:c>
      <x:c r="S333" s="102" t="n">
        <x:v>100</x:v>
      </x:c>
      <x:c r="T333" t="str">
        <x:v>IN TARGET BAND</x:v>
      </x:c>
      <x:c r="U333" t="str">
        <x:f>IF(T333="IN TARGET BAND","Yes","No")</x:f>
        <x:v>Yes</x:v>
      </x:c>
      <x:c r="V333" t="n">
        <x:v>3594</x:v>
      </x:c>
      <x:c r="W333" t="str">
        <x:v>Pasted text(56).txt</x:v>
      </x:c>
    </x:row>
    <x:row r="334">
      <x:c r="A334" t="str">
        <x:v>S10</x:v>
      </x:c>
      <x:c r="B334" t="str">
        <x:v>0.89 repeat-confirmation session</x:v>
      </x:c>
      <x:c r="C334" s="54" t="n">
        <x:v>0.89</x:v>
      </x:c>
      <x:c r="D334" t="n">
        <x:v>1</x:v>
      </x:c>
      <x:c r="E334" t="str">
        <x:v>PASS</x:v>
      </x:c>
      <x:c r="F334" t="n">
        <x:v>1</x:v>
      </x:c>
      <x:c r="G334" t="n">
        <x:v>3</x:v>
      </x:c>
      <x:c r="H334" s="54" t="n">
        <x:v>10</x:v>
      </x:c>
      <x:c r="I334" s="54" t="n">
        <x:v>0.8942</x:v>
      </x:c>
      <x:c r="J334" s="54" t="n">
        <x:v>0.88939</x:v>
      </x:c>
      <x:c r="K334" s="54" t="n">
        <x:v>0.21823</x:v>
      </x:c>
      <x:c r="L334" s="54" t="n">
        <x:v>0.41886</x:v>
      </x:c>
      <x:c r="M334" s="54" t="n">
        <x:v>1.00712</x:v>
      </x:c>
      <x:c r="N334" s="56" t="n">
        <x:v>0.47</x:v>
      </x:c>
      <x:c r="O334" s="56" t="n">
        <x:v>2</x:v>
      </x:c>
      <x:c r="P334" s="56" t="n">
        <x:v>2.22</x:v>
      </x:c>
      <x:c r="Q334" s="56" t="n">
        <x:v>92.8</x:v>
      </x:c>
      <x:c r="R334" t="str">
        <x:v>X</x:v>
      </x:c>
      <x:c r="S334" s="102" t="n">
        <x:v>100</x:v>
      </x:c>
      <x:c r="T334" t="str">
        <x:v>IN TARGET BAND</x:v>
      </x:c>
      <x:c r="U334" t="str">
        <x:f>IF(T334="IN TARGET BAND","Yes","No")</x:f>
        <x:v>Yes</x:v>
      </x:c>
      <x:c r="V334" t="n">
        <x:v>3595</x:v>
      </x:c>
      <x:c r="W334" t="str">
        <x:v>Pasted text(56).txt</x:v>
      </x:c>
    </x:row>
    <x:row r="335">
      <x:c r="A335" t="str">
        <x:v>S10</x:v>
      </x:c>
      <x:c r="B335" t="str">
        <x:v>0.89 repeat-confirmation session</x:v>
      </x:c>
      <x:c r="C335" s="54" t="n">
        <x:v>0.89</x:v>
      </x:c>
      <x:c r="D335" t="n">
        <x:v>1</x:v>
      </x:c>
      <x:c r="E335" t="str">
        <x:v>PASS</x:v>
      </x:c>
      <x:c r="F335" t="n">
        <x:v>1</x:v>
      </x:c>
      <x:c r="G335" t="n">
        <x:v>4</x:v>
      </x:c>
      <x:c r="H335" s="54" t="n">
        <x:v>10</x:v>
      </x:c>
      <x:c r="I335" s="54" t="n">
        <x:v>0.87297</x:v>
      </x:c>
      <x:c r="J335" s="54" t="n">
        <x:v>0.87591</x:v>
      </x:c>
      <x:c r="K335" s="54" t="n">
        <x:v>0.24024</x:v>
      </x:c>
      <x:c r="L335" s="54" t="n">
        <x:v>0.43283</x:v>
      </x:c>
      <x:c r="M335" s="54" t="n">
        <x:v>1.00624</x:v>
      </x:c>
      <x:c r="N335" s="56" t="n">
        <x:v>-1.91</x:v>
      </x:c>
      <x:c r="O335" s="56" t="n">
        <x:v>2.33</x:v>
      </x:c>
      <x:c r="P335" s="56" t="n">
        <x:v>2.09</x:v>
      </x:c>
      <x:c r="Q335" s="56" t="n">
        <x:v>92</x:v>
      </x:c>
      <x:c r="R335" t="str">
        <x:v>X</x:v>
      </x:c>
      <x:c r="S335" s="102" t="n">
        <x:v>100</x:v>
      </x:c>
      <x:c r="T335" t="str">
        <x:v>IN TARGET BAND</x:v>
      </x:c>
      <x:c r="U335" t="str">
        <x:f>IF(T335="IN TARGET BAND","Yes","No")</x:f>
        <x:v>Yes</x:v>
      </x:c>
      <x:c r="V335" t="n">
        <x:v>3596</x:v>
      </x:c>
      <x:c r="W335" t="str">
        <x:v>Pasted text(56).txt</x:v>
      </x:c>
    </x:row>
    <x:row r="336">
      <x:c r="A336" t="str">
        <x:v>S10</x:v>
      </x:c>
      <x:c r="B336" t="str">
        <x:v>0.89 repeat-confirmation session</x:v>
      </x:c>
      <x:c r="C336" s="54" t="n">
        <x:v>0.89</x:v>
      </x:c>
      <x:c r="D336" t="n">
        <x:v>1</x:v>
      </x:c>
      <x:c r="E336" t="str">
        <x:v>PASS</x:v>
      </x:c>
      <x:c r="F336" t="n">
        <x:v>1</x:v>
      </x:c>
      <x:c r="G336" t="n">
        <x:v>5</x:v>
      </x:c>
      <x:c r="H336" s="54" t="n">
        <x:v>10</x:v>
      </x:c>
      <x:c r="I336" s="54" t="n">
        <x:v>0.89088</x:v>
      </x:c>
      <x:c r="J336" s="54" t="n">
        <x:v>0.88594</x:v>
      </x:c>
      <x:c r="K336" s="54" t="n">
        <x:v>0.23069</x:v>
      </x:c>
      <x:c r="L336" s="54" t="n">
        <x:v>0.43562</x:v>
      </x:c>
      <x:c r="M336" s="54" t="n">
        <x:v>1.0139</x:v>
      </x:c>
      <x:c r="N336" s="56" t="n">
        <x:v>0.1</x:v>
      </x:c>
      <x:c r="O336" s="56" t="n">
        <x:v>0.93</x:v>
      </x:c>
      <x:c r="P336" s="56" t="n">
        <x:v>1.55</x:v>
      </x:c>
      <x:c r="Q336" s="56" t="n">
        <x:v>92.6</x:v>
      </x:c>
      <x:c r="R336" t="str">
        <x:v>X</x:v>
      </x:c>
      <x:c r="S336" s="102" t="n">
        <x:v>100</x:v>
      </x:c>
      <x:c r="T336" t="str">
        <x:v>IN TARGET BAND</x:v>
      </x:c>
      <x:c r="U336" t="str">
        <x:f>IF(T336="IN TARGET BAND","Yes","No")</x:f>
        <x:v>Yes</x:v>
      </x:c>
      <x:c r="V336" t="n">
        <x:v>3597</x:v>
      </x:c>
      <x:c r="W336" t="str">
        <x:v>Pasted text(56).txt</x:v>
      </x:c>
    </x:row>
    <x:row r="337">
      <x:c r="A337" t="str">
        <x:v>S10</x:v>
      </x:c>
      <x:c r="B337" t="str">
        <x:v>0.89 repeat-confirmation session</x:v>
      </x:c>
      <x:c r="C337" s="54" t="n">
        <x:v>0.89</x:v>
      </x:c>
      <x:c r="D337" t="n">
        <x:v>1</x:v>
      </x:c>
      <x:c r="E337" t="str">
        <x:v>PASS</x:v>
      </x:c>
      <x:c r="F337" t="n">
        <x:v>1</x:v>
      </x:c>
      <x:c r="G337" t="n">
        <x:v>6</x:v>
      </x:c>
      <x:c r="H337" s="54" t="n">
        <x:v>10</x:v>
      </x:c>
      <x:c r="I337" s="54" t="n">
        <x:v>0.88857</x:v>
      </x:c>
      <x:c r="J337" s="54" t="n">
        <x:v>0.89019</x:v>
      </x:c>
      <x:c r="K337" s="54" t="n">
        <x:v>0.21345</x:v>
      </x:c>
      <x:c r="L337" s="54" t="n">
        <x:v>0.42428</x:v>
      </x:c>
      <x:c r="M337" s="54" t="n">
        <x:v>1.0091</x:v>
      </x:c>
      <x:c r="N337" s="56" t="n">
        <x:v>-0.16</x:v>
      </x:c>
      <x:c r="O337" s="56" t="n">
        <x:v>1.37</x:v>
      </x:c>
      <x:c r="P337" s="56" t="n">
        <x:v>1.2</x:v>
      </x:c>
      <x:c r="Q337" s="56" t="n">
        <x:v>91.7</x:v>
      </x:c>
      <x:c r="R337" t="str">
        <x:v>X</x:v>
      </x:c>
      <x:c r="S337" s="102" t="n">
        <x:v>100</x:v>
      </x:c>
      <x:c r="T337" t="str">
        <x:v>IN TARGET BAND</x:v>
      </x:c>
      <x:c r="U337" t="str">
        <x:f>IF(T337="IN TARGET BAND","Yes","No")</x:f>
        <x:v>Yes</x:v>
      </x:c>
      <x:c r="V337" t="n">
        <x:v>3598</x:v>
      </x:c>
      <x:c r="W337" t="str">
        <x:v>Pasted text(56).txt</x:v>
      </x:c>
    </x:row>
    <x:row r="338">
      <x:c r="A338" t="str">
        <x:v>S10</x:v>
      </x:c>
      <x:c r="B338" t="str">
        <x:v>0.89 repeat-confirmation session</x:v>
      </x:c>
      <x:c r="C338" s="54" t="n">
        <x:v>0.89</x:v>
      </x:c>
      <x:c r="D338" t="n">
        <x:v>1</x:v>
      </x:c>
      <x:c r="E338" t="str">
        <x:v>PASS</x:v>
      </x:c>
      <x:c r="F338" t="n">
        <x:v>1</x:v>
      </x:c>
      <x:c r="G338" t="n">
        <x:v>7</x:v>
      </x:c>
      <x:c r="H338" s="54" t="n">
        <x:v>10</x:v>
      </x:c>
      <x:c r="I338" s="54" t="n">
        <x:v>0.89519</x:v>
      </x:c>
      <x:c r="J338" s="54" t="n">
        <x:v>0.88861</x:v>
      </x:c>
      <x:c r="K338" s="54" t="n">
        <x:v>0.21843</x:v>
      </x:c>
      <x:c r="L338" s="54" t="n">
        <x:v>0.42086</x:v>
      </x:c>
      <x:c r="M338" s="54" t="n">
        <x:v>1.00751</x:v>
      </x:c>
      <x:c r="N338" s="56" t="n">
        <x:v>0.58</x:v>
      </x:c>
      <x:c r="O338" s="56" t="n">
        <x:v>0.62</x:v>
      </x:c>
      <x:c r="P338" s="56" t="n">
        <x:v>1.66</x:v>
      </x:c>
      <x:c r="Q338" s="56" t="n">
        <x:v>92.3</x:v>
      </x:c>
      <x:c r="R338" t="str">
        <x:v>X</x:v>
      </x:c>
      <x:c r="S338" s="102" t="n">
        <x:v>100</x:v>
      </x:c>
      <x:c r="T338" t="str">
        <x:v>IN TARGET BAND</x:v>
      </x:c>
      <x:c r="U338" t="str">
        <x:f>IF(T338="IN TARGET BAND","Yes","No")</x:f>
        <x:v>Yes</x:v>
      </x:c>
      <x:c r="V338" t="n">
        <x:v>3599</x:v>
      </x:c>
      <x:c r="W338" t="str">
        <x:v>Pasted text(56).txt</x:v>
      </x:c>
    </x:row>
    <x:row r="339">
      <x:c r="A339" t="str">
        <x:v>S10</x:v>
      </x:c>
      <x:c r="B339" t="str">
        <x:v>0.89 repeat-confirmation session</x:v>
      </x:c>
      <x:c r="C339" s="54" t="n">
        <x:v>0.89</x:v>
      </x:c>
      <x:c r="D339" t="n">
        <x:v>1</x:v>
      </x:c>
      <x:c r="E339" t="str">
        <x:v>PASS</x:v>
      </x:c>
      <x:c r="F339" t="n">
        <x:v>1</x:v>
      </x:c>
      <x:c r="G339" t="n">
        <x:v>8</x:v>
      </x:c>
      <x:c r="H339" s="54" t="n">
        <x:v>10</x:v>
      </x:c>
      <x:c r="I339" s="54" t="n">
        <x:v>0.88842</x:v>
      </x:c>
      <x:c r="J339" s="54" t="n">
        <x:v>0.8926</x:v>
      </x:c>
      <x:c r="K339" s="54" t="n">
        <x:v>0.23608</x:v>
      </x:c>
      <x:c r="L339" s="54" t="n">
        <x:v>0.43515</x:v>
      </x:c>
      <x:c r="M339" s="54" t="n">
        <x:v>1.02094</x:v>
      </x:c>
      <x:c r="N339" s="56" t="n">
        <x:v>-0.18</x:v>
      </x:c>
      <x:c r="O339" s="56" t="n">
        <x:v>0.04</x:v>
      </x:c>
      <x:c r="P339" s="56" t="n">
        <x:v>0.83</x:v>
      </x:c>
      <x:c r="Q339" s="56" t="n">
        <x:v>92.8</x:v>
      </x:c>
      <x:c r="R339" t="str">
        <x:v>X</x:v>
      </x:c>
      <x:c r="S339" s="102" t="n">
        <x:v>100</x:v>
      </x:c>
      <x:c r="T339" t="str">
        <x:v>IN TARGET BAND</x:v>
      </x:c>
      <x:c r="U339" t="str">
        <x:f>IF(T339="IN TARGET BAND","Yes","No")</x:f>
        <x:v>Yes</x:v>
      </x:c>
      <x:c r="V339" t="n">
        <x:v>3600</x:v>
      </x:c>
      <x:c r="W339" t="str">
        <x:v>Pasted text(56).txt</x:v>
      </x:c>
    </x:row>
    <x:row r="340">
      <x:c r="A340" t="str">
        <x:v>S10</x:v>
      </x:c>
      <x:c r="B340" t="str">
        <x:v>0.89 repeat-confirmation session</x:v>
      </x:c>
      <x:c r="C340" s="54" t="n">
        <x:v>0.89</x:v>
      </x:c>
      <x:c r="D340" t="n">
        <x:v>1</x:v>
      </x:c>
      <x:c r="E340" t="str">
        <x:v>PASS</x:v>
      </x:c>
      <x:c r="F340" t="n">
        <x:v>1</x:v>
      </x:c>
      <x:c r="G340" t="n">
        <x:v>9</x:v>
      </x:c>
      <x:c r="H340" s="54" t="n">
        <x:v>10</x:v>
      </x:c>
      <x:c r="I340" s="54" t="n">
        <x:v>0.89052</x:v>
      </x:c>
      <x:c r="J340" s="54" t="n">
        <x:v>0.88762</x:v>
      </x:c>
      <x:c r="K340" s="54" t="n">
        <x:v>0.22206</x:v>
      </x:c>
      <x:c r="L340" s="54" t="n">
        <x:v>0.4158</x:v>
      </x:c>
      <x:c r="M340" s="54" t="n">
        <x:v>1.00518</x:v>
      </x:c>
      <x:c r="N340" s="56" t="n">
        <x:v>0.06</x:v>
      </x:c>
      <x:c r="O340" s="56" t="n">
        <x:v>3.81</x:v>
      </x:c>
      <x:c r="P340" s="56" t="n">
        <x:v>3.08</x:v>
      </x:c>
      <x:c r="Q340" s="56" t="n">
        <x:v>91.9</x:v>
      </x:c>
      <x:c r="R340" t="str">
        <x:v>X</x:v>
      </x:c>
      <x:c r="S340" s="102" t="n">
        <x:v>100</x:v>
      </x:c>
      <x:c r="T340" t="str">
        <x:v>IN TARGET BAND</x:v>
      </x:c>
      <x:c r="U340" t="str">
        <x:f>IF(T340="IN TARGET BAND","Yes","No")</x:f>
        <x:v>Yes</x:v>
      </x:c>
      <x:c r="V340" t="n">
        <x:v>3601</x:v>
      </x:c>
      <x:c r="W340" t="str">
        <x:v>Pasted text(56).txt</x:v>
      </x:c>
    </x:row>
    <x:row r="341">
      <x:c r="A341" t="str">
        <x:v>S10</x:v>
      </x:c>
      <x:c r="B341" t="str">
        <x:v>0.89 repeat-confirmation session</x:v>
      </x:c>
      <x:c r="C341" s="54" t="n">
        <x:v>0.89</x:v>
      </x:c>
      <x:c r="D341" t="n">
        <x:v>1</x:v>
      </x:c>
      <x:c r="E341" t="str">
        <x:v>PASS</x:v>
      </x:c>
      <x:c r="F341" t="n">
        <x:v>1</x:v>
      </x:c>
      <x:c r="G341" t="n">
        <x:v>10</x:v>
      </x:c>
      <x:c r="H341" s="54" t="n">
        <x:v>10</x:v>
      </x:c>
      <x:c r="I341" s="54" t="n">
        <x:v>0.89253</x:v>
      </x:c>
      <x:c r="J341" s="54" t="n">
        <x:v>0.89591</x:v>
      </x:c>
      <x:c r="K341" s="54" t="n">
        <x:v>0.24748</x:v>
      </x:c>
      <x:c r="L341" s="54" t="n">
        <x:v>0.40676</x:v>
      </x:c>
      <x:c r="M341" s="54" t="n">
        <x:v>1.0146</x:v>
      </x:c>
      <x:c r="N341" s="56" t="n">
        <x:v>0.28</x:v>
      </x:c>
      <x:c r="O341" s="56" t="n">
        <x:v>2.36</x:v>
      </x:c>
      <x:c r="P341" s="56" t="n">
        <x:v>2.18</x:v>
      </x:c>
      <x:c r="Q341" s="56" t="n">
        <x:v>92.6</x:v>
      </x:c>
      <x:c r="R341" t="str">
        <x:v>X</x:v>
      </x:c>
      <x:c r="S341" s="102" t="n">
        <x:v>100</x:v>
      </x:c>
      <x:c r="T341" t="str">
        <x:v>IN TARGET BAND</x:v>
      </x:c>
      <x:c r="U341" t="str">
        <x:f>IF(T341="IN TARGET BAND","Yes","No")</x:f>
        <x:v>Yes</x:v>
      </x:c>
      <x:c r="V341" t="n">
        <x:v>3602</x:v>
      </x:c>
      <x:c r="W341" t="str">
        <x:v>Pasted text(56).txt</x:v>
      </x:c>
    </x:row>
    <x:row r="342">
      <x:c r="A342" t="str">
        <x:v>S10</x:v>
      </x:c>
      <x:c r="B342" t="str">
        <x:v>0.89 repeat-confirmation session</x:v>
      </x:c>
      <x:c r="C342" s="54" t="n">
        <x:v>0.89</x:v>
      </x:c>
      <x:c r="D342" t="n">
        <x:v>2</x:v>
      </x:c>
      <x:c r="E342" t="str">
        <x:v>PASS</x:v>
      </x:c>
      <x:c r="F342" t="n">
        <x:v>2</x:v>
      </x:c>
      <x:c r="G342" t="n">
        <x:v>1</x:v>
      </x:c>
      <x:c r="H342" s="54" t="n">
        <x:v>10</x:v>
      </x:c>
      <x:c r="I342" s="54" t="n">
        <x:v>0.8665</x:v>
      </x:c>
      <x:c r="J342" s="54" t="n">
        <x:v>0.86626</x:v>
      </x:c>
      <x:c r="K342" s="54" t="n">
        <x:v>0.23553</x:v>
      </x:c>
      <x:c r="L342" s="54" t="n">
        <x:v>0.40321</x:v>
      </x:c>
      <x:c r="M342" s="54" t="n">
        <x:v>0.98436</x:v>
      </x:c>
      <x:c r="N342" s="56" t="n">
        <x:v>-2.64</x:v>
      </x:c>
      <x:c r="O342" s="56" t="n">
        <x:v>1.26</x:v>
      </x:c>
      <x:c r="P342" s="56" t="n">
        <x:v>0.89</x:v>
      </x:c>
      <x:c r="Q342" s="56" t="n">
        <x:v>91.7</x:v>
      </x:c>
      <x:c r="R342" t="str">
        <x:v>X</x:v>
      </x:c>
      <x:c r="S342" s="102" t="n">
        <x:v>100</x:v>
      </x:c>
      <x:c r="T342" t="str">
        <x:v>IN TARGET BAND</x:v>
      </x:c>
      <x:c r="U342" t="str">
        <x:f>IF(T342="IN TARGET BAND","Yes","No")</x:f>
        <x:v>Yes</x:v>
      </x:c>
      <x:c r="V342" t="n">
        <x:v>3703</x:v>
      </x:c>
      <x:c r="W342" t="str">
        <x:v>Pasted text(56).txt</x:v>
      </x:c>
    </x:row>
    <x:row r="343">
      <x:c r="A343" t="str">
        <x:v>S10</x:v>
      </x:c>
      <x:c r="B343" t="str">
        <x:v>0.89 repeat-confirmation session</x:v>
      </x:c>
      <x:c r="C343" s="54" t="n">
        <x:v>0.89</x:v>
      </x:c>
      <x:c r="D343" t="n">
        <x:v>2</x:v>
      </x:c>
      <x:c r="E343" t="str">
        <x:v>PASS</x:v>
      </x:c>
      <x:c r="F343" t="n">
        <x:v>2</x:v>
      </x:c>
      <x:c r="G343" t="n">
        <x:v>2</x:v>
      </x:c>
      <x:c r="H343" s="54" t="n">
        <x:v>10</x:v>
      </x:c>
      <x:c r="I343" s="54" t="n">
        <x:v>0.87834</x:v>
      </x:c>
      <x:c r="J343" s="54" t="n">
        <x:v>0.88275</x:v>
      </x:c>
      <x:c r="K343" s="54" t="n">
        <x:v>0.2181</x:v>
      </x:c>
      <x:c r="L343" s="54" t="n">
        <x:v>0.41122</x:v>
      </x:c>
      <x:c r="M343" s="54" t="n">
        <x:v>0.99805</x:v>
      </x:c>
      <x:c r="N343" s="56" t="n">
        <x:v>-1.31</x:v>
      </x:c>
      <x:c r="O343" s="56" t="n">
        <x:v>1.71</x:v>
      </x:c>
      <x:c r="P343" s="56" t="n">
        <x:v>1.95</x:v>
      </x:c>
      <x:c r="Q343" s="56" t="n">
        <x:v>92.3</x:v>
      </x:c>
      <x:c r="R343" t="str">
        <x:v>X</x:v>
      </x:c>
      <x:c r="S343" s="102" t="n">
        <x:v>100</x:v>
      </x:c>
      <x:c r="T343" t="str">
        <x:v>IN TARGET BAND</x:v>
      </x:c>
      <x:c r="U343" t="str">
        <x:f>IF(T343="IN TARGET BAND","Yes","No")</x:f>
        <x:v>Yes</x:v>
      </x:c>
      <x:c r="V343" t="n">
        <x:v>3704</x:v>
      </x:c>
      <x:c r="W343" t="str">
        <x:v>Pasted text(56).txt</x:v>
      </x:c>
    </x:row>
    <x:row r="344">
      <x:c r="A344" t="str">
        <x:v>S10</x:v>
      </x:c>
      <x:c r="B344" t="str">
        <x:v>0.89 repeat-confirmation session</x:v>
      </x:c>
      <x:c r="C344" s="54" t="n">
        <x:v>0.89</x:v>
      </x:c>
      <x:c r="D344" t="n">
        <x:v>2</x:v>
      </x:c>
      <x:c r="E344" t="str">
        <x:v>PASS</x:v>
      </x:c>
      <x:c r="F344" t="n">
        <x:v>2</x:v>
      </x:c>
      <x:c r="G344" t="n">
        <x:v>3</x:v>
      </x:c>
      <x:c r="H344" s="54" t="n">
        <x:v>10</x:v>
      </x:c>
      <x:c r="I344" s="54" t="n">
        <x:v>0.86811</x:v>
      </x:c>
      <x:c r="J344" s="54" t="n">
        <x:v>0.87122</x:v>
      </x:c>
      <x:c r="K344" s="54" t="n">
        <x:v>0.20855</x:v>
      </x:c>
      <x:c r="L344" s="54" t="n">
        <x:v>0.39737</x:v>
      </x:c>
      <x:c r="M344" s="54" t="n">
        <x:v>0.98082</x:v>
      </x:c>
      <x:c r="N344" s="56" t="n">
        <x:v>-2.46</x:v>
      </x:c>
      <x:c r="O344" s="56" t="n">
        <x:v>0.05</x:v>
      </x:c>
      <x:c r="P344" s="56" t="n">
        <x:v>0.65</x:v>
      </x:c>
      <x:c r="Q344" s="56" t="n">
        <x:v>91.7</x:v>
      </x:c>
      <x:c r="R344" t="str">
        <x:v>X</x:v>
      </x:c>
      <x:c r="S344" s="102" t="n">
        <x:v>100</x:v>
      </x:c>
      <x:c r="T344" t="str">
        <x:v>IN TARGET BAND</x:v>
      </x:c>
      <x:c r="U344" t="str">
        <x:f>IF(T344="IN TARGET BAND","Yes","No")</x:f>
        <x:v>Yes</x:v>
      </x:c>
      <x:c r="V344" t="n">
        <x:v>3705</x:v>
      </x:c>
      <x:c r="W344" t="str">
        <x:v>Pasted text(56).txt</x:v>
      </x:c>
    </x:row>
    <x:row r="345">
      <x:c r="A345" t="str">
        <x:v>S10</x:v>
      </x:c>
      <x:c r="B345" t="str">
        <x:v>0.89 repeat-confirmation session</x:v>
      </x:c>
      <x:c r="C345" s="54" t="n">
        <x:v>0.89</x:v>
      </x:c>
      <x:c r="D345" t="n">
        <x:v>2</x:v>
      </x:c>
      <x:c r="E345" t="str">
        <x:v>PASS</x:v>
      </x:c>
      <x:c r="F345" t="n">
        <x:v>2</x:v>
      </x:c>
      <x:c r="G345" t="n">
        <x:v>4</x:v>
      </x:c>
      <x:c r="H345" s="54" t="n">
        <x:v>10</x:v>
      </x:c>
      <x:c r="I345" s="54" t="n">
        <x:v>0.87069</x:v>
      </x:c>
      <x:c r="J345" s="54" t="n">
        <x:v>0.87263</x:v>
      </x:c>
      <x:c r="K345" s="54" t="n">
        <x:v>0.20941</x:v>
      </x:c>
      <x:c r="L345" s="54" t="n">
        <x:v>0.42856</x:v>
      </x:c>
      <x:c r="M345" s="54" t="n">
        <x:v>0.99461</x:v>
      </x:c>
      <x:c r="N345" s="56" t="n">
        <x:v>-2.17</x:v>
      </x:c>
      <x:c r="O345" s="56" t="n">
        <x:v>0.22</x:v>
      </x:c>
      <x:c r="P345" s="56" t="n">
        <x:v>0.52</x:v>
      </x:c>
      <x:c r="Q345" s="56" t="n">
        <x:v>91.8</x:v>
      </x:c>
      <x:c r="R345" t="str">
        <x:v>X</x:v>
      </x:c>
      <x:c r="S345" s="102" t="n">
        <x:v>100</x:v>
      </x:c>
      <x:c r="T345" t="str">
        <x:v>IN TARGET BAND</x:v>
      </x:c>
      <x:c r="U345" t="str">
        <x:f>IF(T345="IN TARGET BAND","Yes","No")</x:f>
        <x:v>Yes</x:v>
      </x:c>
      <x:c r="V345" t="n">
        <x:v>3706</x:v>
      </x:c>
      <x:c r="W345" t="str">
        <x:v>Pasted text(56).txt</x:v>
      </x:c>
    </x:row>
    <x:row r="346">
      <x:c r="A346" t="str">
        <x:v>S10</x:v>
      </x:c>
      <x:c r="B346" t="str">
        <x:v>0.89 repeat-confirmation session</x:v>
      </x:c>
      <x:c r="C346" s="54" t="n">
        <x:v>0.89</x:v>
      </x:c>
      <x:c r="D346" t="n">
        <x:v>2</x:v>
      </x:c>
      <x:c r="E346" t="str">
        <x:v>PASS</x:v>
      </x:c>
      <x:c r="F346" t="n">
        <x:v>2</x:v>
      </x:c>
      <x:c r="G346" t="n">
        <x:v>5</x:v>
      </x:c>
      <x:c r="H346" s="54" t="n">
        <x:v>10</x:v>
      </x:c>
      <x:c r="I346" s="54" t="n">
        <x:v>0.8636</x:v>
      </x:c>
      <x:c r="J346" s="54" t="n">
        <x:v>0.85876</x:v>
      </x:c>
      <x:c r="K346" s="54" t="n">
        <x:v>0.22213</x:v>
      </x:c>
      <x:c r="L346" s="54" t="n">
        <x:v>0.42795</x:v>
      </x:c>
      <x:c r="M346" s="54" t="n">
        <x:v>0.98513</x:v>
      </x:c>
      <x:c r="N346" s="56" t="n">
        <x:v>-2.97</x:v>
      </x:c>
      <x:c r="O346" s="56" t="n">
        <x:v>0.99</x:v>
      </x:c>
      <x:c r="P346" s="56" t="n">
        <x:v>1.6</x:v>
      </x:c>
      <x:c r="Q346" s="56" t="n">
        <x:v>91.5</x:v>
      </x:c>
      <x:c r="R346" t="str">
        <x:v>X</x:v>
      </x:c>
      <x:c r="S346" s="102" t="n">
        <x:v>100</x:v>
      </x:c>
      <x:c r="T346" t="str">
        <x:v>IN TARGET BAND</x:v>
      </x:c>
      <x:c r="U346" t="str">
        <x:f>IF(T346="IN TARGET BAND","Yes","No")</x:f>
        <x:v>Yes</x:v>
      </x:c>
      <x:c r="V346" t="n">
        <x:v>3707</x:v>
      </x:c>
      <x:c r="W346" t="str">
        <x:v>Pasted text(56).txt</x:v>
      </x:c>
    </x:row>
    <x:row r="347">
      <x:c r="A347" t="str">
        <x:v>S10</x:v>
      </x:c>
      <x:c r="B347" t="str">
        <x:v>0.89 repeat-confirmation session</x:v>
      </x:c>
      <x:c r="C347" s="54" t="n">
        <x:v>0.89</x:v>
      </x:c>
      <x:c r="D347" t="n">
        <x:v>2</x:v>
      </x:c>
      <x:c r="E347" t="str">
        <x:v>PASS</x:v>
      </x:c>
      <x:c r="F347" t="n">
        <x:v>2</x:v>
      </x:c>
      <x:c r="G347" t="n">
        <x:v>6</x:v>
      </x:c>
      <x:c r="H347" s="54" t="n">
        <x:v>10</x:v>
      </x:c>
      <x:c r="I347" s="54" t="n">
        <x:v>0.89454</x:v>
      </x:c>
      <x:c r="J347" s="54" t="n">
        <x:v>0.89147</x:v>
      </x:c>
      <x:c r="K347" s="54" t="n">
        <x:v>0.22689</x:v>
      </x:c>
      <x:c r="L347" s="54" t="n">
        <x:v>0.39646</x:v>
      </x:c>
      <x:c r="M347" s="54" t="n">
        <x:v>1.00172</x:v>
      </x:c>
      <x:c r="N347" s="56" t="n">
        <x:v>0.51</x:v>
      </x:c>
      <x:c r="O347" s="56" t="n">
        <x:v>0.47</x:v>
      </x:c>
      <x:c r="P347" s="56" t="n">
        <x:v>0.89</x:v>
      </x:c>
      <x:c r="Q347" s="56" t="n">
        <x:v>92.2</x:v>
      </x:c>
      <x:c r="R347" t="str">
        <x:v>X</x:v>
      </x:c>
      <x:c r="S347" s="102" t="n">
        <x:v>100</x:v>
      </x:c>
      <x:c r="T347" t="str">
        <x:v>IN TARGET BAND</x:v>
      </x:c>
      <x:c r="U347" t="str">
        <x:f>IF(T347="IN TARGET BAND","Yes","No")</x:f>
        <x:v>Yes</x:v>
      </x:c>
      <x:c r="V347" t="n">
        <x:v>3708</x:v>
      </x:c>
      <x:c r="W347" t="str">
        <x:v>Pasted text(56).txt</x:v>
      </x:c>
    </x:row>
    <x:row r="348">
      <x:c r="A348" t="str">
        <x:v>S10</x:v>
      </x:c>
      <x:c r="B348" t="str">
        <x:v>0.89 repeat-confirmation session</x:v>
      </x:c>
      <x:c r="C348" s="54" t="n">
        <x:v>0.89</x:v>
      </x:c>
      <x:c r="D348" t="n">
        <x:v>2</x:v>
      </x:c>
      <x:c r="E348" t="str">
        <x:v>PASS</x:v>
      </x:c>
      <x:c r="F348" t="n">
        <x:v>2</x:v>
      </x:c>
      <x:c r="G348" t="n">
        <x:v>7</x:v>
      </x:c>
      <x:c r="H348" s="54" t="n">
        <x:v>10</x:v>
      </x:c>
      <x:c r="I348" s="54" t="n">
        <x:v>0.87372</x:v>
      </x:c>
      <x:c r="J348" s="54" t="n">
        <x:v>0.87742</x:v>
      </x:c>
      <x:c r="K348" s="54" t="n">
        <x:v>0.24381</x:v>
      </x:c>
      <x:c r="L348" s="54" t="n">
        <x:v>0.42318</x:v>
      </x:c>
      <x:c r="M348" s="54" t="n">
        <x:v>1.00426</x:v>
      </x:c>
      <x:c r="N348" s="56" t="n">
        <x:v>-1.83</x:v>
      </x:c>
      <x:c r="O348" s="56" t="n">
        <x:v>1.64</x:v>
      </x:c>
      <x:c r="P348" s="56" t="n">
        <x:v>1.77</x:v>
      </x:c>
      <x:c r="Q348" s="56" t="n">
        <x:v>92.7</x:v>
      </x:c>
      <x:c r="R348" t="str">
        <x:v>X</x:v>
      </x:c>
      <x:c r="S348" s="102" t="n">
        <x:v>100</x:v>
      </x:c>
      <x:c r="T348" t="str">
        <x:v>IN TARGET BAND</x:v>
      </x:c>
      <x:c r="U348" t="str">
        <x:f>IF(T348="IN TARGET BAND","Yes","No")</x:f>
        <x:v>Yes</x:v>
      </x:c>
      <x:c r="V348" t="n">
        <x:v>3709</x:v>
      </x:c>
      <x:c r="W348" t="str">
        <x:v>Pasted text(56).txt</x:v>
      </x:c>
    </x:row>
    <x:row r="349">
      <x:c r="A349" t="str">
        <x:v>S10</x:v>
      </x:c>
      <x:c r="B349" t="str">
        <x:v>0.89 repeat-confirmation session</x:v>
      </x:c>
      <x:c r="C349" s="54" t="n">
        <x:v>0.89</x:v>
      </x:c>
      <x:c r="D349" t="n">
        <x:v>2</x:v>
      </x:c>
      <x:c r="E349" t="str">
        <x:v>PASS</x:v>
      </x:c>
      <x:c r="F349" t="n">
        <x:v>2</x:v>
      </x:c>
      <x:c r="G349" t="n">
        <x:v>8</x:v>
      </x:c>
      <x:c r="H349" s="54" t="n">
        <x:v>10</x:v>
      </x:c>
      <x:c r="I349" s="54" t="n">
        <x:v>0.90105</x:v>
      </x:c>
      <x:c r="J349" s="54" t="n">
        <x:v>0.90081</x:v>
      </x:c>
      <x:c r="K349" s="54" t="n">
        <x:v>0.22453</x:v>
      </x:c>
      <x:c r="L349" s="54" t="n">
        <x:v>0.41158</x:v>
      </x:c>
      <x:c r="M349" s="54" t="n">
        <x:v>1.01557</x:v>
      </x:c>
      <x:c r="N349" s="56" t="n">
        <x:v>1.24</x:v>
      </x:c>
      <x:c r="O349" s="56" t="n">
        <x:v>3.38</x:v>
      </x:c>
      <x:c r="P349" s="56" t="n">
        <x:v>2.32</x:v>
      </x:c>
      <x:c r="Q349" s="56" t="n">
        <x:v>93.4</x:v>
      </x:c>
      <x:c r="R349" t="str">
        <x:v>X</x:v>
      </x:c>
      <x:c r="S349" s="102" t="n">
        <x:v>100</x:v>
      </x:c>
      <x:c r="T349" t="str">
        <x:v>IN TARGET BAND</x:v>
      </x:c>
      <x:c r="U349" t="str">
        <x:f>IF(T349="IN TARGET BAND","Yes","No")</x:f>
        <x:v>Yes</x:v>
      </x:c>
      <x:c r="V349" t="n">
        <x:v>3710</x:v>
      </x:c>
      <x:c r="W349" t="str">
        <x:v>Pasted text(56).txt</x:v>
      </x:c>
    </x:row>
    <x:row r="350">
      <x:c r="A350" t="str">
        <x:v>S10</x:v>
      </x:c>
      <x:c r="B350" t="str">
        <x:v>0.89 repeat-confirmation session</x:v>
      </x:c>
      <x:c r="C350" s="54" t="n">
        <x:v>0.89</x:v>
      </x:c>
      <x:c r="D350" t="n">
        <x:v>2</x:v>
      </x:c>
      <x:c r="E350" t="str">
        <x:v>PASS</x:v>
      </x:c>
      <x:c r="F350" t="n">
        <x:v>2</x:v>
      </x:c>
      <x:c r="G350" t="n">
        <x:v>9</x:v>
      </x:c>
      <x:c r="H350" s="54" t="n">
        <x:v>10</x:v>
      </x:c>
      <x:c r="I350" s="54" t="n">
        <x:v>0.88198</x:v>
      </x:c>
      <x:c r="J350" s="54" t="n">
        <x:v>0.88136</x:v>
      </x:c>
      <x:c r="K350" s="54" t="n">
        <x:v>0.23608</x:v>
      </x:c>
      <x:c r="L350" s="54" t="n">
        <x:v>0.40608</x:v>
      </x:c>
      <x:c r="M350" s="54" t="n">
        <x:v>0.99904</x:v>
      </x:c>
      <x:c r="N350" s="56" t="n">
        <x:v>-0.9</x:v>
      </x:c>
      <x:c r="O350" s="56" t="n">
        <x:v>1.41</x:v>
      </x:c>
      <x:c r="P350" s="56" t="n">
        <x:v>1.06</x:v>
      </x:c>
      <x:c r="Q350" s="56" t="n">
        <x:v>92.3</x:v>
      </x:c>
      <x:c r="R350" t="str">
        <x:v>X</x:v>
      </x:c>
      <x:c r="S350" s="102" t="n">
        <x:v>100</x:v>
      </x:c>
      <x:c r="T350" t="str">
        <x:v>IN TARGET BAND</x:v>
      </x:c>
      <x:c r="U350" t="str">
        <x:f>IF(T350="IN TARGET BAND","Yes","No")</x:f>
        <x:v>Yes</x:v>
      </x:c>
      <x:c r="V350" t="n">
        <x:v>3711</x:v>
      </x:c>
      <x:c r="W350" t="str">
        <x:v>Pasted text(56).txt</x:v>
      </x:c>
    </x:row>
    <x:row r="351">
      <x:c r="A351" t="str">
        <x:v>S10</x:v>
      </x:c>
      <x:c r="B351" t="str">
        <x:v>0.89 repeat-confirmation session</x:v>
      </x:c>
      <x:c r="C351" s="54" t="n">
        <x:v>0.89</x:v>
      </x:c>
      <x:c r="D351" t="n">
        <x:v>2</x:v>
      </x:c>
      <x:c r="E351" t="str">
        <x:v>PASS</x:v>
      </x:c>
      <x:c r="F351" t="n">
        <x:v>2</x:v>
      </x:c>
      <x:c r="G351" t="n">
        <x:v>10</x:v>
      </x:c>
      <x:c r="H351" s="54" t="n">
        <x:v>10</x:v>
      </x:c>
      <x:c r="I351" s="54" t="n">
        <x:v>0.88353</x:v>
      </x:c>
      <x:c r="J351" s="54" t="n">
        <x:v>0.8845</x:v>
      </x:c>
      <x:c r="K351" s="54" t="n">
        <x:v>0.23172</x:v>
      </x:c>
      <x:c r="L351" s="54" t="n">
        <x:v>0.42253</x:v>
      </x:c>
      <x:c r="M351" s="54" t="n">
        <x:v>1.00745</x:v>
      </x:c>
      <x:c r="N351" s="56" t="n">
        <x:v>-0.73</x:v>
      </x:c>
      <x:c r="O351" s="56" t="n">
        <x:v>0.93</x:v>
      </x:c>
      <x:c r="P351" s="56" t="n">
        <x:v>0.8</x:v>
      </x:c>
      <x:c r="Q351" s="56" t="n">
        <x:v>91.7</x:v>
      </x:c>
      <x:c r="R351" t="str">
        <x:v>X</x:v>
      </x:c>
      <x:c r="S351" s="102" t="n">
        <x:v>100</x:v>
      </x:c>
      <x:c r="T351" t="str">
        <x:v>IN TARGET BAND</x:v>
      </x:c>
      <x:c r="U351" t="str">
        <x:f>IF(T351="IN TARGET BAND","Yes","No")</x:f>
        <x:v>Yes</x:v>
      </x:c>
      <x:c r="V351" t="n">
        <x:v>3712</x:v>
      </x:c>
      <x:c r="W351" t="str">
        <x:v>Pasted text(56).txt</x:v>
      </x:c>
    </x:row>
    <x:row r="352">
      <x:c r="A352" t="str">
        <x:v>S10</x:v>
      </x:c>
      <x:c r="B352" t="str">
        <x:v>0.89 repeat-confirmation session</x:v>
      </x:c>
      <x:c r="C352" s="54" t="n">
        <x:v>0.89</x:v>
      </x:c>
      <x:c r="D352" t="n">
        <x:v>3</x:v>
      </x:c>
      <x:c r="E352" t="str">
        <x:v>PASS</x:v>
      </x:c>
      <x:c r="F352" t="n">
        <x:v>1</x:v>
      </x:c>
      <x:c r="G352" t="n">
        <x:v>1</x:v>
      </x:c>
      <x:c r="H352" s="54" t="n">
        <x:v>10</x:v>
      </x:c>
      <x:c r="I352" s="54" t="n">
        <x:v>0.89305</x:v>
      </x:c>
      <x:c r="J352" s="54" t="n">
        <x:v>0.89472</x:v>
      </x:c>
      <x:c r="K352" s="54" t="n">
        <x:v>0.23763</x:v>
      </x:c>
      <x:c r="L352" s="54" t="n">
        <x:v>0.41869</x:v>
      </x:c>
      <x:c r="M352" s="54" t="n">
        <x:v>1.01623</x:v>
      </x:c>
      <x:c r="N352" s="56" t="n">
        <x:v>0.34</x:v>
      </x:c>
      <x:c r="O352" s="56" t="n">
        <x:v>0.42</x:v>
      </x:c>
      <x:c r="P352" s="56" t="n">
        <x:v>0.58</x:v>
      </x:c>
      <x:c r="Q352" s="56" t="n">
        <x:v>93.5</x:v>
      </x:c>
      <x:c r="R352" t="str">
        <x:v>X</x:v>
      </x:c>
      <x:c r="S352" s="102" t="n">
        <x:v>100</x:v>
      </x:c>
      <x:c r="T352" t="str">
        <x:v>IN TARGET BAND</x:v>
      </x:c>
      <x:c r="U352" t="str">
        <x:f>IF(T352="IN TARGET BAND","Yes","No")</x:f>
        <x:v>Yes</x:v>
      </x:c>
      <x:c r="V352" t="n">
        <x:v>3786</x:v>
      </x:c>
      <x:c r="W352" t="str">
        <x:v>Pasted text(56).txt</x:v>
      </x:c>
    </x:row>
    <x:row r="353">
      <x:c r="A353" t="str">
        <x:v>S10</x:v>
      </x:c>
      <x:c r="B353" t="str">
        <x:v>0.89 repeat-confirmation session</x:v>
      </x:c>
      <x:c r="C353" s="54" t="n">
        <x:v>0.89</x:v>
      </x:c>
      <x:c r="D353" t="n">
        <x:v>3</x:v>
      </x:c>
      <x:c r="E353" t="str">
        <x:v>PASS</x:v>
      </x:c>
      <x:c r="F353" t="n">
        <x:v>1</x:v>
      </x:c>
      <x:c r="G353" t="n">
        <x:v>2</x:v>
      </x:c>
      <x:c r="H353" s="54" t="n">
        <x:v>10</x:v>
      </x:c>
      <x:c r="I353" s="54" t="n">
        <x:v>0.88685</x:v>
      </x:c>
      <x:c r="J353" s="54" t="n">
        <x:v>0.88338</x:v>
      </x:c>
      <x:c r="K353" s="54" t="n">
        <x:v>0.23979</x:v>
      </x:c>
      <x:c r="L353" s="54" t="n">
        <x:v>0.40984</x:v>
      </x:c>
      <x:c r="M353" s="54" t="n">
        <x:v>1.00327</x:v>
      </x:c>
      <x:c r="N353" s="56" t="n">
        <x:v>-0.35</x:v>
      </x:c>
      <x:c r="O353" s="56" t="n">
        <x:v>0.23</x:v>
      </x:c>
      <x:c r="P353" s="56" t="n">
        <x:v>0.82</x:v>
      </x:c>
      <x:c r="Q353" s="56" t="n">
        <x:v>92.1</x:v>
      </x:c>
      <x:c r="R353" t="str">
        <x:v>X</x:v>
      </x:c>
      <x:c r="S353" s="102" t="n">
        <x:v>100</x:v>
      </x:c>
      <x:c r="T353" t="str">
        <x:v>IN TARGET BAND</x:v>
      </x:c>
      <x:c r="U353" t="str">
        <x:f>IF(T353="IN TARGET BAND","Yes","No")</x:f>
        <x:v>Yes</x:v>
      </x:c>
      <x:c r="V353" t="n">
        <x:v>3787</x:v>
      </x:c>
      <x:c r="W353" t="str">
        <x:v>Pasted text(56).txt</x:v>
      </x:c>
    </x:row>
    <x:row r="354">
      <x:c r="A354" t="str">
        <x:v>S10</x:v>
      </x:c>
      <x:c r="B354" t="str">
        <x:v>0.89 repeat-confirmation session</x:v>
      </x:c>
      <x:c r="C354" s="54" t="n">
        <x:v>0.89</x:v>
      </x:c>
      <x:c r="D354" t="n">
        <x:v>3</x:v>
      </x:c>
      <x:c r="E354" t="str">
        <x:v>PASS</x:v>
      </x:c>
      <x:c r="F354" t="n">
        <x:v>1</x:v>
      </x:c>
      <x:c r="G354" t="n">
        <x:v>3</x:v>
      </x:c>
      <x:c r="H354" s="54" t="n">
        <x:v>10</x:v>
      </x:c>
      <x:c r="I354" s="54" t="n">
        <x:v>0.86787</x:v>
      </x:c>
      <x:c r="J354" s="54" t="n">
        <x:v>0.86859</x:v>
      </x:c>
      <x:c r="K354" s="54" t="n">
        <x:v>0.22754</x:v>
      </x:c>
      <x:c r="L354" s="54" t="n">
        <x:v>0.40922</x:v>
      </x:c>
      <x:c r="M354" s="54" t="n">
        <x:v>0.98687</x:v>
      </x:c>
      <x:c r="N354" s="56" t="n">
        <x:v>-2.49</x:v>
      </x:c>
      <x:c r="O354" s="56" t="n">
        <x:v>0.57</x:v>
      </x:c>
      <x:c r="P354" s="56" t="n">
        <x:v>0.51</x:v>
      </x:c>
      <x:c r="Q354" s="56" t="n">
        <x:v>90.7</x:v>
      </x:c>
      <x:c r="R354" t="str">
        <x:v>X</x:v>
      </x:c>
      <x:c r="S354" s="102" t="n">
        <x:v>100</x:v>
      </x:c>
      <x:c r="T354" t="str">
        <x:v>IN TARGET BAND</x:v>
      </x:c>
      <x:c r="U354" t="str">
        <x:f>IF(T354="IN TARGET BAND","Yes","No")</x:f>
        <x:v>Yes</x:v>
      </x:c>
      <x:c r="V354" t="n">
        <x:v>3788</x:v>
      </x:c>
      <x:c r="W354" t="str">
        <x:v>Pasted text(56).txt</x:v>
      </x:c>
    </x:row>
    <x:row r="355">
      <x:c r="A355" t="str">
        <x:v>S10</x:v>
      </x:c>
      <x:c r="B355" t="str">
        <x:v>0.89 repeat-confirmation session</x:v>
      </x:c>
      <x:c r="C355" s="54" t="n">
        <x:v>0.89</x:v>
      </x:c>
      <x:c r="D355" t="n">
        <x:v>3</x:v>
      </x:c>
      <x:c r="E355" t="str">
        <x:v>PASS</x:v>
      </x:c>
      <x:c r="F355" t="n">
        <x:v>1</x:v>
      </x:c>
      <x:c r="G355" t="n">
        <x:v>4</x:v>
      </x:c>
      <x:c r="H355" s="54" t="n">
        <x:v>10</x:v>
      </x:c>
      <x:c r="I355" s="54" t="n">
        <x:v>0.87902</x:v>
      </x:c>
      <x:c r="J355" s="54" t="n">
        <x:v>0.8761</x:v>
      </x:c>
      <x:c r="K355" s="54" t="n">
        <x:v>0.21595</x:v>
      </x:c>
      <x:c r="L355" s="54" t="n">
        <x:v>0.41233</x:v>
      </x:c>
      <x:c r="M355" s="54" t="n">
        <x:v>0.99209</x:v>
      </x:c>
      <x:c r="N355" s="56" t="n">
        <x:v>-1.23</x:v>
      </x:c>
      <x:c r="O355" s="56" t="n">
        <x:v>0.67</x:v>
      </x:c>
      <x:c r="P355" s="56" t="n">
        <x:v>1</x:v>
      </x:c>
      <x:c r="Q355" s="56" t="n">
        <x:v>92</x:v>
      </x:c>
      <x:c r="R355" t="str">
        <x:v>X</x:v>
      </x:c>
      <x:c r="S355" s="102" t="n">
        <x:v>100</x:v>
      </x:c>
      <x:c r="T355" t="str">
        <x:v>IN TARGET BAND</x:v>
      </x:c>
      <x:c r="U355" t="str">
        <x:f>IF(T355="IN TARGET BAND","Yes","No")</x:f>
        <x:v>Yes</x:v>
      </x:c>
      <x:c r="V355" t="n">
        <x:v>3789</x:v>
      </x:c>
      <x:c r="W355" t="str">
        <x:v>Pasted text(56).txt</x:v>
      </x:c>
    </x:row>
    <x:row r="356">
      <x:c r="A356" t="str">
        <x:v>S10</x:v>
      </x:c>
      <x:c r="B356" t="str">
        <x:v>0.89 repeat-confirmation session</x:v>
      </x:c>
      <x:c r="C356" s="54" t="n">
        <x:v>0.89</x:v>
      </x:c>
      <x:c r="D356" t="n">
        <x:v>3</x:v>
      </x:c>
      <x:c r="E356" t="str">
        <x:v>PASS</x:v>
      </x:c>
      <x:c r="F356" t="n">
        <x:v>1</x:v>
      </x:c>
      <x:c r="G356" t="n">
        <x:v>5</x:v>
      </x:c>
      <x:c r="H356" s="54" t="n">
        <x:v>10</x:v>
      </x:c>
      <x:c r="I356" s="54" t="n">
        <x:v>0.88578</x:v>
      </x:c>
      <x:c r="J356" s="54" t="n">
        <x:v>0.88528</x:v>
      </x:c>
      <x:c r="K356" s="54" t="n">
        <x:v>0.22665</x:v>
      </x:c>
      <x:c r="L356" s="54" t="n">
        <x:v>0.43569</x:v>
      </x:c>
      <x:c r="M356" s="54" t="n">
        <x:v>1.01254</x:v>
      </x:c>
      <x:c r="N356" s="56" t="n">
        <x:v>-0.47</x:v>
      </x:c>
      <x:c r="O356" s="56" t="n">
        <x:v>2.78</x:v>
      </x:c>
      <x:c r="P356" s="56" t="n">
        <x:v>1.96</x:v>
      </x:c>
      <x:c r="Q356" s="56" t="n">
        <x:v>92.1</x:v>
      </x:c>
      <x:c r="R356" t="str">
        <x:v>X</x:v>
      </x:c>
      <x:c r="S356" s="102" t="n">
        <x:v>100</x:v>
      </x:c>
      <x:c r="T356" t="str">
        <x:v>IN TARGET BAND</x:v>
      </x:c>
      <x:c r="U356" t="str">
        <x:f>IF(T356="IN TARGET BAND","Yes","No")</x:f>
        <x:v>Yes</x:v>
      </x:c>
      <x:c r="V356" t="n">
        <x:v>3790</x:v>
      </x:c>
      <x:c r="W356" t="str">
        <x:v>Pasted text(56).txt</x:v>
      </x:c>
    </x:row>
    <x:row r="357">
      <x:c r="A357" t="str">
        <x:v>S10</x:v>
      </x:c>
      <x:c r="B357" t="str">
        <x:v>0.89 repeat-confirmation session</x:v>
      </x:c>
      <x:c r="C357" s="54" t="n">
        <x:v>0.89</x:v>
      </x:c>
      <x:c r="D357" t="n">
        <x:v>3</x:v>
      </x:c>
      <x:c r="E357" t="str">
        <x:v>PASS</x:v>
      </x:c>
      <x:c r="F357" t="n">
        <x:v>1</x:v>
      </x:c>
      <x:c r="G357" t="n">
        <x:v>6</x:v>
      </x:c>
      <x:c r="H357" s="54" t="n">
        <x:v>10</x:v>
      </x:c>
      <x:c r="I357" s="54" t="n">
        <x:v>0.86854</x:v>
      </x:c>
      <x:c r="J357" s="54" t="n">
        <x:v>0.86819</x:v>
      </x:c>
      <x:c r="K357" s="54" t="n">
        <x:v>0.21862</x:v>
      </x:c>
      <x:c r="L357" s="54" t="n">
        <x:v>0.41249</x:v>
      </x:c>
      <x:c r="M357" s="54" t="n">
        <x:v>0.98606</x:v>
      </x:c>
      <x:c r="N357" s="56" t="n">
        <x:v>-2.41</x:v>
      </x:c>
      <x:c r="O357" s="56" t="n">
        <x:v>0.85</x:v>
      </x:c>
      <x:c r="P357" s="56" t="n">
        <x:v>0.64</x:v>
      </x:c>
      <x:c r="Q357" s="56" t="n">
        <x:v>91.2</x:v>
      </x:c>
      <x:c r="R357" t="str">
        <x:v>X</x:v>
      </x:c>
      <x:c r="S357" s="102" t="n">
        <x:v>100</x:v>
      </x:c>
      <x:c r="T357" t="str">
        <x:v>IN TARGET BAND</x:v>
      </x:c>
      <x:c r="U357" t="str">
        <x:f>IF(T357="IN TARGET BAND","Yes","No")</x:f>
        <x:v>Yes</x:v>
      </x:c>
      <x:c r="V357" t="n">
        <x:v>3791</x:v>
      </x:c>
      <x:c r="W357" t="str">
        <x:v>Pasted text(56).txt</x:v>
      </x:c>
    </x:row>
    <x:row r="358">
      <x:c r="A358" t="str">
        <x:v>S10</x:v>
      </x:c>
      <x:c r="B358" t="str">
        <x:v>0.89 repeat-confirmation session</x:v>
      </x:c>
      <x:c r="C358" s="54" t="n">
        <x:v>0.89</x:v>
      </x:c>
      <x:c r="D358" t="n">
        <x:v>3</x:v>
      </x:c>
      <x:c r="E358" t="str">
        <x:v>PASS</x:v>
      </x:c>
      <x:c r="F358" t="n">
        <x:v>1</x:v>
      </x:c>
      <x:c r="G358" t="n">
        <x:v>7</x:v>
      </x:c>
      <x:c r="H358" s="54" t="n">
        <x:v>10</x:v>
      </x:c>
      <x:c r="I358" s="54" t="n">
        <x:v>0.89335</x:v>
      </x:c>
      <x:c r="J358" s="54" t="n">
        <x:v>0.88895</x:v>
      </x:c>
      <x:c r="K358" s="54" t="n">
        <x:v>0.22567</x:v>
      </x:c>
      <x:c r="L358" s="54" t="n">
        <x:v>0.4134</x:v>
      </x:c>
      <x:c r="M358" s="54" t="n">
        <x:v>1.00637</x:v>
      </x:c>
      <x:c r="N358" s="56" t="n">
        <x:v>0.38</x:v>
      </x:c>
      <x:c r="O358" s="56" t="n">
        <x:v>1.46</x:v>
      </x:c>
      <x:c r="P358" s="56" t="n">
        <x:v>1.79</x:v>
      </x:c>
      <x:c r="Q358" s="56" t="n">
        <x:v>93.5</x:v>
      </x:c>
      <x:c r="R358" t="str">
        <x:v>X</x:v>
      </x:c>
      <x:c r="S358" s="102" t="n">
        <x:v>100</x:v>
      </x:c>
      <x:c r="T358" t="str">
        <x:v>IN TARGET BAND</x:v>
      </x:c>
      <x:c r="U358" t="str">
        <x:f>IF(T358="IN TARGET BAND","Yes","No")</x:f>
        <x:v>Yes</x:v>
      </x:c>
      <x:c r="V358" t="n">
        <x:v>3792</x:v>
      </x:c>
      <x:c r="W358" t="str">
        <x:v>Pasted text(56).txt</x:v>
      </x:c>
    </x:row>
    <x:row r="359">
      <x:c r="A359" t="str">
        <x:v>S10</x:v>
      </x:c>
      <x:c r="B359" t="str">
        <x:v>0.89 repeat-confirmation session</x:v>
      </x:c>
      <x:c r="C359" s="54" t="n">
        <x:v>0.89</x:v>
      </x:c>
      <x:c r="D359" t="n">
        <x:v>3</x:v>
      </x:c>
      <x:c r="E359" t="str">
        <x:v>PASS</x:v>
      </x:c>
      <x:c r="F359" t="n">
        <x:v>1</x:v>
      </x:c>
      <x:c r="G359" t="n">
        <x:v>8</x:v>
      </x:c>
      <x:c r="H359" s="54" t="n">
        <x:v>10</x:v>
      </x:c>
      <x:c r="I359" s="54" t="n">
        <x:v>0.88598</x:v>
      </x:c>
      <x:c r="J359" s="54" t="n">
        <x:v>0.88977</x:v>
      </x:c>
      <x:c r="K359" s="54" t="n">
        <x:v>0.24702</x:v>
      </x:c>
      <x:c r="L359" s="54" t="n">
        <x:v>0.40702</x:v>
      </x:c>
      <x:c r="M359" s="54" t="n">
        <x:v>1.00954</x:v>
      </x:c>
      <x:c r="N359" s="56" t="n">
        <x:v>-0.45</x:v>
      </x:c>
      <x:c r="O359" s="56" t="n">
        <x:v>1.24</x:v>
      </x:c>
      <x:c r="P359" s="56" t="n">
        <x:v>1.52</x:v>
      </x:c>
      <x:c r="Q359" s="56" t="n">
        <x:v>92.4</x:v>
      </x:c>
      <x:c r="R359" t="str">
        <x:v>X</x:v>
      </x:c>
      <x:c r="S359" s="102" t="n">
        <x:v>100</x:v>
      </x:c>
      <x:c r="T359" t="str">
        <x:v>IN TARGET BAND</x:v>
      </x:c>
      <x:c r="U359" t="str">
        <x:f>IF(T359="IN TARGET BAND","Yes","No")</x:f>
        <x:v>Yes</x:v>
      </x:c>
      <x:c r="V359" t="n">
        <x:v>3793</x:v>
      </x:c>
      <x:c r="W359" t="str">
        <x:v>Pasted text(56).txt</x:v>
      </x:c>
    </x:row>
    <x:row r="360">
      <x:c r="A360" t="str">
        <x:v>S10</x:v>
      </x:c>
      <x:c r="B360" t="str">
        <x:v>0.89 repeat-confirmation session</x:v>
      </x:c>
      <x:c r="C360" s="54" t="n">
        <x:v>0.89</x:v>
      </x:c>
      <x:c r="D360" t="n">
        <x:v>3</x:v>
      </x:c>
      <x:c r="E360" t="str">
        <x:v>PASS</x:v>
      </x:c>
      <x:c r="F360" t="n">
        <x:v>1</x:v>
      </x:c>
      <x:c r="G360" t="n">
        <x:v>9</x:v>
      </x:c>
      <x:c r="H360" s="54" t="n">
        <x:v>10</x:v>
      </x:c>
      <x:c r="I360" s="54" t="n">
        <x:v>0.88772</x:v>
      </x:c>
      <x:c r="J360" s="54" t="n">
        <x:v>0.89224</x:v>
      </x:c>
      <x:c r="K360" s="54" t="n">
        <x:v>0.2297</x:v>
      </x:c>
      <x:c r="L360" s="54" t="n">
        <x:v>0.40882</x:v>
      </x:c>
      <x:c r="M360" s="54" t="n">
        <x:v>1.00812</x:v>
      </x:c>
      <x:c r="N360" s="56" t="n">
        <x:v>-0.26</x:v>
      </x:c>
      <x:c r="O360" s="56" t="n">
        <x:v>0.23</x:v>
      </x:c>
      <x:c r="P360" s="56" t="n">
        <x:v>1.01</x:v>
      </x:c>
      <x:c r="Q360" s="56" t="n">
        <x:v>93.2</x:v>
      </x:c>
      <x:c r="R360" t="str">
        <x:v>X</x:v>
      </x:c>
      <x:c r="S360" s="102" t="n">
        <x:v>100</x:v>
      </x:c>
      <x:c r="T360" t="str">
        <x:v>IN TARGET BAND</x:v>
      </x:c>
      <x:c r="U360" t="str">
        <x:f>IF(T360="IN TARGET BAND","Yes","No")</x:f>
        <x:v>Yes</x:v>
      </x:c>
      <x:c r="V360" t="n">
        <x:v>3794</x:v>
      </x:c>
      <x:c r="W360" t="str">
        <x:v>Pasted text(56).txt</x:v>
      </x:c>
    </x:row>
    <x:row r="361">
      <x:c r="A361" t="str">
        <x:v>S10</x:v>
      </x:c>
      <x:c r="B361" t="str">
        <x:v>0.89 repeat-confirmation session</x:v>
      </x:c>
      <x:c r="C361" s="54" t="n">
        <x:v>0.89</x:v>
      </x:c>
      <x:c r="D361" t="n">
        <x:v>3</x:v>
      </x:c>
      <x:c r="E361" t="str">
        <x:v>PASS</x:v>
      </x:c>
      <x:c r="F361" t="n">
        <x:v>1</x:v>
      </x:c>
      <x:c r="G361" t="n">
        <x:v>10</x:v>
      </x:c>
      <x:c r="H361" s="54" t="n">
        <x:v>10</x:v>
      </x:c>
      <x:c r="I361" s="54" t="n">
        <x:v>0.88138</x:v>
      </x:c>
      <x:c r="J361" s="54" t="n">
        <x:v>0.88493</x:v>
      </x:c>
      <x:c r="K361" s="54" t="n">
        <x:v>0.22123</x:v>
      </x:c>
      <x:c r="L361" s="54" t="n">
        <x:v>0.40268</x:v>
      </x:c>
      <x:c r="M361" s="54" t="n">
        <x:v>0.99722</x:v>
      </x:c>
      <x:c r="N361" s="56" t="n">
        <x:v>-0.97</x:v>
      </x:c>
      <x:c r="O361" s="56" t="n">
        <x:v>0.36</x:v>
      </x:c>
      <x:c r="P361" s="56" t="n">
        <x:v>0.91</x:v>
      </x:c>
      <x:c r="Q361" s="56" t="n">
        <x:v>92.2</x:v>
      </x:c>
      <x:c r="R361" t="str">
        <x:v>X</x:v>
      </x:c>
      <x:c r="S361" s="102" t="n">
        <x:v>100</x:v>
      </x:c>
      <x:c r="T361" t="str">
        <x:v>IN TARGET BAND</x:v>
      </x:c>
      <x:c r="U361" t="str">
        <x:f>IF(T361="IN TARGET BAND","Yes","No")</x:f>
        <x:v>Yes</x:v>
      </x:c>
      <x:c r="V361" t="n">
        <x:v>3795</x:v>
      </x:c>
      <x:c r="W361" t="str">
        <x:v>Pasted text(56).txt</x:v>
      </x:c>
    </x:row>
    <x:row r="362">
      <x:c r="A362" t="str">
        <x:v>S10</x:v>
      </x:c>
      <x:c r="B362" t="str">
        <x:v>0.89 repeat-confirmation session</x:v>
      </x:c>
      <x:c r="C362" s="54" t="n">
        <x:v>0.89</x:v>
      </x:c>
      <x:c r="D362" t="n">
        <x:v>4</x:v>
      </x:c>
      <x:c r="E362" t="str">
        <x:v>PASS</x:v>
      </x:c>
      <x:c r="F362" t="n">
        <x:v>2</x:v>
      </x:c>
      <x:c r="G362" t="n">
        <x:v>1</x:v>
      </x:c>
      <x:c r="H362" s="54" t="n">
        <x:v>10</x:v>
      </x:c>
      <x:c r="I362" s="54" t="n">
        <x:v>0.88579</x:v>
      </x:c>
      <x:c r="J362" s="54" t="n">
        <x:v>0.88804</x:v>
      </x:c>
      <x:c r="K362" s="54" t="n">
        <x:v>0.23593</x:v>
      </x:c>
      <x:c r="L362" s="54" t="n">
        <x:v>0.38255</x:v>
      </x:c>
      <x:c r="M362" s="54" t="n">
        <x:v>0.99543</x:v>
      </x:c>
      <x:c r="N362" s="56" t="n">
        <x:v>-0.47</x:v>
      </x:c>
      <x:c r="O362" s="56" t="n">
        <x:v>0.35</x:v>
      </x:c>
      <x:c r="P362" s="56" t="n">
        <x:v>0.66</x:v>
      </x:c>
      <x:c r="Q362" s="56" t="n">
        <x:v>92.6</x:v>
      </x:c>
      <x:c r="R362" t="str">
        <x:v>X</x:v>
      </x:c>
      <x:c r="S362" s="102" t="n">
        <x:v>100</x:v>
      </x:c>
      <x:c r="T362" t="str">
        <x:v>IN TARGET BAND</x:v>
      </x:c>
      <x:c r="U362" t="str">
        <x:f>IF(T362="IN TARGET BAND","Yes","No")</x:f>
        <x:v>Yes</x:v>
      </x:c>
      <x:c r="V362" t="n">
        <x:v>3903</x:v>
      </x:c>
      <x:c r="W362" t="str">
        <x:v>Pasted text(56).txt</x:v>
      </x:c>
    </x:row>
    <x:row r="363">
      <x:c r="A363" t="str">
        <x:v>S10</x:v>
      </x:c>
      <x:c r="B363" t="str">
        <x:v>0.89 repeat-confirmation session</x:v>
      </x:c>
      <x:c r="C363" s="54" t="n">
        <x:v>0.89</x:v>
      </x:c>
      <x:c r="D363" t="n">
        <x:v>4</x:v>
      </x:c>
      <x:c r="E363" t="str">
        <x:v>PASS</x:v>
      </x:c>
      <x:c r="F363" t="n">
        <x:v>2</x:v>
      </x:c>
      <x:c r="G363" t="n">
        <x:v>2</x:v>
      </x:c>
      <x:c r="H363" s="54" t="n">
        <x:v>10</x:v>
      </x:c>
      <x:c r="I363" s="54" t="n">
        <x:v>0.90471</x:v>
      </x:c>
      <x:c r="J363" s="54" t="n">
        <x:v>0.90064</x:v>
      </x:c>
      <x:c r="K363" s="54" t="n">
        <x:v>0.246</x:v>
      </x:c>
      <x:c r="L363" s="54" t="n">
        <x:v>0.39131</x:v>
      </x:c>
      <x:c r="M363" s="54" t="n">
        <x:v>1.01249</x:v>
      </x:c>
      <x:c r="N363" s="56" t="n">
        <x:v>1.65</x:v>
      </x:c>
      <x:c r="O363" s="56" t="n">
        <x:v>0.13</x:v>
      </x:c>
      <x:c r="P363" s="56" t="n">
        <x:v>0.86</x:v>
      </x:c>
      <x:c r="Q363" s="56" t="n">
        <x:v>93</x:v>
      </x:c>
      <x:c r="R363" t="str">
        <x:v>X</x:v>
      </x:c>
      <x:c r="S363" s="102" t="n">
        <x:v>100</x:v>
      </x:c>
      <x:c r="T363" t="str">
        <x:v>IN TARGET BAND</x:v>
      </x:c>
      <x:c r="U363" t="str">
        <x:f>IF(T363="IN TARGET BAND","Yes","No")</x:f>
        <x:v>Yes</x:v>
      </x:c>
      <x:c r="V363" t="n">
        <x:v>3904</x:v>
      </x:c>
      <x:c r="W363" t="str">
        <x:v>Pasted text(56).txt</x:v>
      </x:c>
    </x:row>
    <x:row r="364">
      <x:c r="A364" t="str">
        <x:v>S10</x:v>
      </x:c>
      <x:c r="B364" t="str">
        <x:v>0.89 repeat-confirmation session</x:v>
      </x:c>
      <x:c r="C364" s="54" t="n">
        <x:v>0.89</x:v>
      </x:c>
      <x:c r="D364" t="n">
        <x:v>4</x:v>
      </x:c>
      <x:c r="E364" t="str">
        <x:v>PASS</x:v>
      </x:c>
      <x:c r="F364" t="n">
        <x:v>2</x:v>
      </x:c>
      <x:c r="G364" t="n">
        <x:v>3</x:v>
      </x:c>
      <x:c r="H364" s="54" t="n">
        <x:v>10</x:v>
      </x:c>
      <x:c r="I364" s="54" t="n">
        <x:v>0.87306</x:v>
      </x:c>
      <x:c r="J364" s="54" t="n">
        <x:v>0.87988</x:v>
      </x:c>
      <x:c r="K364" s="54" t="n">
        <x:v>0.2249</x:v>
      </x:c>
      <x:c r="L364" s="54" t="n">
        <x:v>0.40681</x:v>
      </x:c>
      <x:c r="M364" s="54" t="n">
        <x:v>0.99568</x:v>
      </x:c>
      <x:c r="N364" s="56" t="n">
        <x:v>-1.9</x:v>
      </x:c>
      <x:c r="O364" s="56" t="n">
        <x:v>1.41</x:v>
      </x:c>
      <x:c r="P364" s="56" t="n">
        <x:v>2.21</x:v>
      </x:c>
      <x:c r="Q364" s="56" t="n">
        <x:v>91.9</x:v>
      </x:c>
      <x:c r="R364" t="str">
        <x:v>X</x:v>
      </x:c>
      <x:c r="S364" s="102" t="n">
        <x:v>100</x:v>
      </x:c>
      <x:c r="T364" t="str">
        <x:v>IN TARGET BAND</x:v>
      </x:c>
      <x:c r="U364" t="str">
        <x:f>IF(T364="IN TARGET BAND","Yes","No")</x:f>
        <x:v>Yes</x:v>
      </x:c>
      <x:c r="V364" t="n">
        <x:v>3905</x:v>
      </x:c>
      <x:c r="W364" t="str">
        <x:v>Pasted text(56).txt</x:v>
      </x:c>
    </x:row>
    <x:row r="365">
      <x:c r="A365" t="str">
        <x:v>S10</x:v>
      </x:c>
      <x:c r="B365" t="str">
        <x:v>0.89 repeat-confirmation session</x:v>
      </x:c>
      <x:c r="C365" s="54" t="n">
        <x:v>0.89</x:v>
      </x:c>
      <x:c r="D365" t="n">
        <x:v>4</x:v>
      </x:c>
      <x:c r="E365" t="str">
        <x:v>PASS</x:v>
      </x:c>
      <x:c r="F365" t="n">
        <x:v>2</x:v>
      </x:c>
      <x:c r="G365" t="n">
        <x:v>4</x:v>
      </x:c>
      <x:c r="H365" s="54" t="n">
        <x:v>10</x:v>
      </x:c>
      <x:c r="I365" s="54" t="n">
        <x:v>0.87067</x:v>
      </x:c>
      <x:c r="J365" s="54" t="n">
        <x:v>0.86677</x:v>
      </x:c>
      <x:c r="K365" s="54" t="n">
        <x:v>0.21484</x:v>
      </x:c>
      <x:c r="L365" s="54" t="n">
        <x:v>0.38026</x:v>
      </x:c>
      <x:c r="M365" s="54" t="n">
        <x:v>0.97066</x:v>
      </x:c>
      <x:c r="N365" s="56" t="n">
        <x:v>-2.17</x:v>
      </x:c>
      <x:c r="O365" s="56" t="n">
        <x:v>0.85</x:v>
      </x:c>
      <x:c r="P365" s="56" t="n">
        <x:v>1.31</x:v>
      </x:c>
      <x:c r="Q365" s="56" t="n">
        <x:v>91.8</x:v>
      </x:c>
      <x:c r="R365" t="str">
        <x:v>X</x:v>
      </x:c>
      <x:c r="S365" s="102" t="n">
        <x:v>100</x:v>
      </x:c>
      <x:c r="T365" t="str">
        <x:v>IN TARGET BAND</x:v>
      </x:c>
      <x:c r="U365" t="str">
        <x:f>IF(T365="IN TARGET BAND","Yes","No")</x:f>
        <x:v>Yes</x:v>
      </x:c>
      <x:c r="V365" t="n">
        <x:v>3906</x:v>
      </x:c>
      <x:c r="W365" t="str">
        <x:v>Pasted text(56).txt</x:v>
      </x:c>
    </x:row>
    <x:row r="366">
      <x:c r="A366" t="str">
        <x:v>S10</x:v>
      </x:c>
      <x:c r="B366" t="str">
        <x:v>0.89 repeat-confirmation session</x:v>
      </x:c>
      <x:c r="C366" s="54" t="n">
        <x:v>0.89</x:v>
      </x:c>
      <x:c r="D366" t="n">
        <x:v>4</x:v>
      </x:c>
      <x:c r="E366" t="str">
        <x:v>PASS</x:v>
      </x:c>
      <x:c r="F366" t="n">
        <x:v>2</x:v>
      </x:c>
      <x:c r="G366" t="n">
        <x:v>5</x:v>
      </x:c>
      <x:c r="H366" s="54" t="n">
        <x:v>10</x:v>
      </x:c>
      <x:c r="I366" s="54" t="n">
        <x:v>0.88904</x:v>
      </x:c>
      <x:c r="J366" s="54" t="n">
        <x:v>0.887</x:v>
      </x:c>
      <x:c r="K366" s="54" t="n">
        <x:v>0.24113</x:v>
      </x:c>
      <x:c r="L366" s="54" t="n">
        <x:v>0.39165</x:v>
      </x:c>
      <x:c r="M366" s="54" t="n">
        <x:v>0.99923</x:v>
      </x:c>
      <x:c r="N366" s="56" t="n">
        <x:v>-0.11</x:v>
      </x:c>
      <x:c r="O366" s="56" t="n">
        <x:v>1.44</x:v>
      </x:c>
      <x:c r="P366" s="56" t="n">
        <x:v>1.33</x:v>
      </x:c>
      <x:c r="Q366" s="56" t="n">
        <x:v>92.7</x:v>
      </x:c>
      <x:c r="R366" t="str">
        <x:v>X</x:v>
      </x:c>
      <x:c r="S366" s="102" t="n">
        <x:v>100</x:v>
      </x:c>
      <x:c r="T366" t="str">
        <x:v>IN TARGET BAND</x:v>
      </x:c>
      <x:c r="U366" t="str">
        <x:f>IF(T366="IN TARGET BAND","Yes","No")</x:f>
        <x:v>Yes</x:v>
      </x:c>
      <x:c r="V366" t="n">
        <x:v>3907</x:v>
      </x:c>
      <x:c r="W366" t="str">
        <x:v>Pasted text(56).txt</x:v>
      </x:c>
    </x:row>
    <x:row r="367">
      <x:c r="A367" t="str">
        <x:v>S10</x:v>
      </x:c>
      <x:c r="B367" t="str">
        <x:v>0.89 repeat-confirmation session</x:v>
      </x:c>
      <x:c r="C367" s="54" t="n">
        <x:v>0.89</x:v>
      </x:c>
      <x:c r="D367" t="n">
        <x:v>4</x:v>
      </x:c>
      <x:c r="E367" t="str">
        <x:v>PASS</x:v>
      </x:c>
      <x:c r="F367" t="n">
        <x:v>2</x:v>
      </x:c>
      <x:c r="G367" t="n">
        <x:v>6</x:v>
      </x:c>
      <x:c r="H367" s="54" t="n">
        <x:v>10</x:v>
      </x:c>
      <x:c r="I367" s="54" t="n">
        <x:v>0.87101</x:v>
      </x:c>
      <x:c r="J367" s="54" t="n">
        <x:v>0.86383</x:v>
      </x:c>
      <x:c r="K367" s="54" t="n">
        <x:v>0.23302</x:v>
      </x:c>
      <x:c r="L367" s="54" t="n">
        <x:v>0.42169</x:v>
      </x:c>
      <x:c r="M367" s="54" t="n">
        <x:v>0.98934</x:v>
      </x:c>
      <x:c r="N367" s="56" t="n">
        <x:v>-2.13</x:v>
      </x:c>
      <x:c r="O367" s="56" t="n">
        <x:v>0.38</x:v>
      </x:c>
      <x:c r="P367" s="56" t="n">
        <x:v>1.67</x:v>
      </x:c>
      <x:c r="Q367" s="56" t="n">
        <x:v>90.8</x:v>
      </x:c>
      <x:c r="R367" t="str">
        <x:v>X</x:v>
      </x:c>
      <x:c r="S367" s="102" t="n">
        <x:v>100</x:v>
      </x:c>
      <x:c r="T367" t="str">
        <x:v>IN TARGET BAND</x:v>
      </x:c>
      <x:c r="U367" t="str">
        <x:f>IF(T367="IN TARGET BAND","Yes","No")</x:f>
        <x:v>Yes</x:v>
      </x:c>
      <x:c r="V367" t="n">
        <x:v>3908</x:v>
      </x:c>
      <x:c r="W367" t="str">
        <x:v>Pasted text(56).txt</x:v>
      </x:c>
    </x:row>
    <x:row r="368">
      <x:c r="A368" t="str">
        <x:v>S10</x:v>
      </x:c>
      <x:c r="B368" t="str">
        <x:v>0.89 repeat-confirmation session</x:v>
      </x:c>
      <x:c r="C368" s="54" t="n">
        <x:v>0.89</x:v>
      </x:c>
      <x:c r="D368" t="n">
        <x:v>4</x:v>
      </x:c>
      <x:c r="E368" t="str">
        <x:v>PASS</x:v>
      </x:c>
      <x:c r="F368" t="n">
        <x:v>2</x:v>
      </x:c>
      <x:c r="G368" t="n">
        <x:v>7</x:v>
      </x:c>
      <x:c r="H368" s="54" t="n">
        <x:v>10</x:v>
      </x:c>
      <x:c r="I368" s="54" t="n">
        <x:v>0.88146</x:v>
      </x:c>
      <x:c r="J368" s="54" t="n">
        <x:v>0.8821</x:v>
      </x:c>
      <x:c r="K368" s="54" t="n">
        <x:v>0.24533</x:v>
      </x:c>
      <x:c r="L368" s="54" t="n">
        <x:v>0.39578</x:v>
      </x:c>
      <x:c r="M368" s="54" t="n">
        <x:v>0.9975</x:v>
      </x:c>
      <x:c r="N368" s="56" t="n">
        <x:v>-0.96</x:v>
      </x:c>
      <x:c r="O368" s="56" t="n">
        <x:v>1.12</x:v>
      </x:c>
      <x:c r="P368" s="56" t="n">
        <x:v>0.87</x:v>
      </x:c>
      <x:c r="Q368" s="56" t="n">
        <x:v>92.6</x:v>
      </x:c>
      <x:c r="R368" t="str">
        <x:v>X</x:v>
      </x:c>
      <x:c r="S368" s="102" t="n">
        <x:v>100</x:v>
      </x:c>
      <x:c r="T368" t="str">
        <x:v>IN TARGET BAND</x:v>
      </x:c>
      <x:c r="U368" t="str">
        <x:f>IF(T368="IN TARGET BAND","Yes","No")</x:f>
        <x:v>Yes</x:v>
      </x:c>
      <x:c r="V368" t="n">
        <x:v>3909</x:v>
      </x:c>
      <x:c r="W368" t="str">
        <x:v>Pasted text(56).txt</x:v>
      </x:c>
    </x:row>
    <x:row r="369">
      <x:c r="A369" t="str">
        <x:v>S10</x:v>
      </x:c>
      <x:c r="B369" t="str">
        <x:v>0.89 repeat-confirmation session</x:v>
      </x:c>
      <x:c r="C369" s="54" t="n">
        <x:v>0.89</x:v>
      </x:c>
      <x:c r="D369" t="n">
        <x:v>4</x:v>
      </x:c>
      <x:c r="E369" t="str">
        <x:v>PASS</x:v>
      </x:c>
      <x:c r="F369" t="n">
        <x:v>2</x:v>
      </x:c>
      <x:c r="G369" t="n">
        <x:v>8</x:v>
      </x:c>
      <x:c r="H369" s="54" t="n">
        <x:v>10</x:v>
      </x:c>
      <x:c r="I369" s="54" t="n">
        <x:v>0.88473</x:v>
      </x:c>
      <x:c r="J369" s="54" t="n">
        <x:v>0.8836</x:v>
      </x:c>
      <x:c r="K369" s="54" t="n">
        <x:v>0.21925</x:v>
      </x:c>
      <x:c r="L369" s="54" t="n">
        <x:v>0.38724</x:v>
      </x:c>
      <x:c r="M369" s="54" t="n">
        <x:v>0.98937</x:v>
      </x:c>
      <x:c r="N369" s="56" t="n">
        <x:v>-0.59</x:v>
      </x:c>
      <x:c r="O369" s="56" t="n">
        <x:v>0.31</x:v>
      </x:c>
      <x:c r="P369" s="56" t="n">
        <x:v>0.42</x:v>
      </x:c>
      <x:c r="Q369" s="56" t="n">
        <x:v>93</x:v>
      </x:c>
      <x:c r="R369" t="str">
        <x:v>X</x:v>
      </x:c>
      <x:c r="S369" s="102" t="n">
        <x:v>100</x:v>
      </x:c>
      <x:c r="T369" t="str">
        <x:v>IN TARGET BAND</x:v>
      </x:c>
      <x:c r="U369" t="str">
        <x:f>IF(T369="IN TARGET BAND","Yes","No")</x:f>
        <x:v>Yes</x:v>
      </x:c>
      <x:c r="V369" t="n">
        <x:v>3910</x:v>
      </x:c>
      <x:c r="W369" t="str">
        <x:v>Pasted text(56).txt</x:v>
      </x:c>
    </x:row>
    <x:row r="370">
      <x:c r="A370" t="str">
        <x:v>S10</x:v>
      </x:c>
      <x:c r="B370" t="str">
        <x:v>0.89 repeat-confirmation session</x:v>
      </x:c>
      <x:c r="C370" s="54" t="n">
        <x:v>0.89</x:v>
      </x:c>
      <x:c r="D370" t="n">
        <x:v>4</x:v>
      </x:c>
      <x:c r="E370" t="str">
        <x:v>PASS</x:v>
      </x:c>
      <x:c r="F370" t="n">
        <x:v>2</x:v>
      </x:c>
      <x:c r="G370" t="n">
        <x:v>9</x:v>
      </x:c>
      <x:c r="H370" s="54" t="n">
        <x:v>10</x:v>
      </x:c>
      <x:c r="I370" s="54" t="n">
        <x:v>0.87634</x:v>
      </x:c>
      <x:c r="J370" s="54" t="n">
        <x:v>0.87529</x:v>
      </x:c>
      <x:c r="K370" s="54" t="n">
        <x:v>0.22979</x:v>
      </x:c>
      <x:c r="L370" s="54" t="n">
        <x:v>0.37385</x:v>
      </x:c>
      <x:c r="M370" s="54" t="n">
        <x:v>0.97936</x:v>
      </x:c>
      <x:c r="N370" s="56" t="n">
        <x:v>-1.53</x:v>
      </x:c>
      <x:c r="O370" s="56" t="n">
        <x:v>1.1</x:v>
      </x:c>
      <x:c r="P370" s="56" t="n">
        <x:v>0.93</x:v>
      </x:c>
      <x:c r="Q370" s="56" t="n">
        <x:v>92.4</x:v>
      </x:c>
      <x:c r="R370" t="str">
        <x:v>X</x:v>
      </x:c>
      <x:c r="S370" s="102" t="n">
        <x:v>100</x:v>
      </x:c>
      <x:c r="T370" t="str">
        <x:v>IN TARGET BAND</x:v>
      </x:c>
      <x:c r="U370" t="str">
        <x:f>IF(T370="IN TARGET BAND","Yes","No")</x:f>
        <x:v>Yes</x:v>
      </x:c>
      <x:c r="V370" t="n">
        <x:v>3911</x:v>
      </x:c>
      <x:c r="W370" t="str">
        <x:v>Pasted text(56).txt</x:v>
      </x:c>
    </x:row>
    <x:row r="371">
      <x:c r="A371" t="str">
        <x:v>S10</x:v>
      </x:c>
      <x:c r="B371" t="str">
        <x:v>0.89 repeat-confirmation session</x:v>
      </x:c>
      <x:c r="C371" s="54" t="n">
        <x:v>0.89</x:v>
      </x:c>
      <x:c r="D371" t="n">
        <x:v>4</x:v>
      </x:c>
      <x:c r="E371" t="str">
        <x:v>PASS</x:v>
      </x:c>
      <x:c r="F371" t="n">
        <x:v>2</x:v>
      </x:c>
      <x:c r="G371" t="n">
        <x:v>10</x:v>
      </x:c>
      <x:c r="H371" s="54" t="n">
        <x:v>10</x:v>
      </x:c>
      <x:c r="I371" s="54" t="n">
        <x:v>0.88013</x:v>
      </x:c>
      <x:c r="J371" s="54" t="n">
        <x:v>0.88255</x:v>
      </x:c>
      <x:c r="K371" s="54" t="n">
        <x:v>0.22999</x:v>
      </x:c>
      <x:c r="L371" s="54" t="n">
        <x:v>0.40082</x:v>
      </x:c>
      <x:c r="M371" s="54" t="n">
        <x:v>0.99641</x:v>
      </x:c>
      <x:c r="N371" s="56" t="n">
        <x:v>-1.11</x:v>
      </x:c>
      <x:c r="O371" s="56" t="n">
        <x:v>0.81</x:v>
      </x:c>
      <x:c r="P371" s="56" t="n">
        <x:v>0.98</x:v>
      </x:c>
      <x:c r="Q371" s="56" t="n">
        <x:v>92.4</x:v>
      </x:c>
      <x:c r="R371" t="str">
        <x:v>X</x:v>
      </x:c>
      <x:c r="S371" s="102" t="n">
        <x:v>100</x:v>
      </x:c>
      <x:c r="T371" t="str">
        <x:v>IN TARGET BAND</x:v>
      </x:c>
      <x:c r="U371" t="str">
        <x:f>IF(T371="IN TARGET BAND","Yes","No")</x:f>
        <x:v>Yes</x:v>
      </x:c>
      <x:c r="V371" t="n">
        <x:v>3912</x:v>
      </x:c>
      <x:c r="W371" t="str">
        <x:v>Pasted text(56).txt</x:v>
      </x:c>
    </x:row>
    <x:row r="372">
      <x:c r="A372" t="str">
        <x:v>S10</x:v>
      </x:c>
      <x:c r="B372" t="str">
        <x:v>0.89 repeat-confirmation session</x:v>
      </x:c>
      <x:c r="C372" s="54" t="n">
        <x:v>0.89</x:v>
      </x:c>
      <x:c r="D372" t="n">
        <x:v>5</x:v>
      </x:c>
      <x:c r="E372" t="str">
        <x:v>PASS</x:v>
      </x:c>
      <x:c r="F372" t="n">
        <x:v>1</x:v>
      </x:c>
      <x:c r="G372" t="n">
        <x:v>1</x:v>
      </x:c>
      <x:c r="H372" s="54" t="n">
        <x:v>10</x:v>
      </x:c>
      <x:c r="I372" s="54" t="n">
        <x:v>0.88432</x:v>
      </x:c>
      <x:c r="J372" s="54" t="n">
        <x:v>0.88604</x:v>
      </x:c>
      <x:c r="K372" s="54" t="n">
        <x:v>0.23895</x:v>
      </x:c>
      <x:c r="L372" s="54" t="n">
        <x:v>0.39367</x:v>
      </x:c>
      <x:c r="M372" s="54" t="n">
        <x:v>0.99866</x:v>
      </x:c>
      <x:c r="N372" s="56" t="n">
        <x:v>-0.64</x:v>
      </x:c>
      <x:c r="O372" s="56" t="n">
        <x:v>1.15</x:v>
      </x:c>
      <x:c r="P372" s="56" t="n">
        <x:v>1.08</x:v>
      </x:c>
      <x:c r="Q372" s="56" t="n">
        <x:v>91.8</x:v>
      </x:c>
      <x:c r="R372" t="str">
        <x:v>X</x:v>
      </x:c>
      <x:c r="S372" s="102" t="n">
        <x:v>100</x:v>
      </x:c>
      <x:c r="T372" t="str">
        <x:v>IN TARGET BAND</x:v>
      </x:c>
      <x:c r="U372" t="str">
        <x:f>IF(T372="IN TARGET BAND","Yes","No")</x:f>
        <x:v>Yes</x:v>
      </x:c>
      <x:c r="V372" t="n">
        <x:v>3986</x:v>
      </x:c>
      <x:c r="W372" t="str">
        <x:v>Pasted text(56).txt</x:v>
      </x:c>
    </x:row>
    <x:row r="373">
      <x:c r="A373" t="str">
        <x:v>S10</x:v>
      </x:c>
      <x:c r="B373" t="str">
        <x:v>0.89 repeat-confirmation session</x:v>
      </x:c>
      <x:c r="C373" s="54" t="n">
        <x:v>0.89</x:v>
      </x:c>
      <x:c r="D373" t="n">
        <x:v>5</x:v>
      </x:c>
      <x:c r="E373" t="str">
        <x:v>PASS</x:v>
      </x:c>
      <x:c r="F373" t="n">
        <x:v>1</x:v>
      </x:c>
      <x:c r="G373" t="n">
        <x:v>2</x:v>
      </x:c>
      <x:c r="H373" s="54" t="n">
        <x:v>10</x:v>
      </x:c>
      <x:c r="I373" s="54" t="n">
        <x:v>0.87788</x:v>
      </x:c>
      <x:c r="J373" s="54" t="n">
        <x:v>0.87316</x:v>
      </x:c>
      <x:c r="K373" s="54" t="n">
        <x:v>0.23089</x:v>
      </x:c>
      <x:c r="L373" s="54" t="n">
        <x:v>0.4005</x:v>
      </x:c>
      <x:c r="M373" s="54" t="n">
        <x:v>0.9882</x:v>
      </x:c>
      <x:c r="N373" s="56" t="n">
        <x:v>-1.36</x:v>
      </x:c>
      <x:c r="O373" s="56" t="n">
        <x:v>0.89</x:v>
      </x:c>
      <x:c r="P373" s="56" t="n">
        <x:v>1.49</x:v>
      </x:c>
      <x:c r="Q373" s="56" t="n">
        <x:v>91.9</x:v>
      </x:c>
      <x:c r="R373" t="str">
        <x:v>X</x:v>
      </x:c>
      <x:c r="S373" s="102" t="n">
        <x:v>100</x:v>
      </x:c>
      <x:c r="T373" t="str">
        <x:v>IN TARGET BAND</x:v>
      </x:c>
      <x:c r="U373" t="str">
        <x:f>IF(T373="IN TARGET BAND","Yes","No")</x:f>
        <x:v>Yes</x:v>
      </x:c>
      <x:c r="V373" t="n">
        <x:v>3987</x:v>
      </x:c>
      <x:c r="W373" t="str">
        <x:v>Pasted text(56).txt</x:v>
      </x:c>
    </x:row>
    <x:row r="374">
      <x:c r="A374" t="str">
        <x:v>S10</x:v>
      </x:c>
      <x:c r="B374" t="str">
        <x:v>0.89 repeat-confirmation session</x:v>
      </x:c>
      <x:c r="C374" s="54" t="n">
        <x:v>0.89</x:v>
      </x:c>
      <x:c r="D374" t="n">
        <x:v>5</x:v>
      </x:c>
      <x:c r="E374" t="str">
        <x:v>PASS</x:v>
      </x:c>
      <x:c r="F374" t="n">
        <x:v>1</x:v>
      </x:c>
      <x:c r="G374" t="n">
        <x:v>3</x:v>
      </x:c>
      <x:c r="H374" s="54" t="n">
        <x:v>10</x:v>
      </x:c>
      <x:c r="I374" s="54" t="n">
        <x:v>0.87338</x:v>
      </x:c>
      <x:c r="J374" s="54" t="n">
        <x:v>0.87096</x:v>
      </x:c>
      <x:c r="K374" s="54" t="n">
        <x:v>0.23045</x:v>
      </x:c>
      <x:c r="L374" s="54" t="n">
        <x:v>0.39404</x:v>
      </x:c>
      <x:c r="M374" s="54" t="n">
        <x:v>0.98341</x:v>
      </x:c>
      <x:c r="N374" s="56" t="n">
        <x:v>-1.87</x:v>
      </x:c>
      <x:c r="O374" s="56" t="n">
        <x:v>2.39</x:v>
      </x:c>
      <x:c r="P374" s="56" t="n">
        <x:v>2.05</x:v>
      </x:c>
      <x:c r="Q374" s="56" t="n">
        <x:v>91.3</x:v>
      </x:c>
      <x:c r="R374" t="str">
        <x:v>X</x:v>
      </x:c>
      <x:c r="S374" s="102" t="n">
        <x:v>100</x:v>
      </x:c>
      <x:c r="T374" t="str">
        <x:v>IN TARGET BAND</x:v>
      </x:c>
      <x:c r="U374" t="str">
        <x:f>IF(T374="IN TARGET BAND","Yes","No")</x:f>
        <x:v>Yes</x:v>
      </x:c>
      <x:c r="V374" t="n">
        <x:v>3988</x:v>
      </x:c>
      <x:c r="W374" t="str">
        <x:v>Pasted text(56).txt</x:v>
      </x:c>
    </x:row>
    <x:row r="375">
      <x:c r="A375" t="str">
        <x:v>S10</x:v>
      </x:c>
      <x:c r="B375" t="str">
        <x:v>0.89 repeat-confirmation session</x:v>
      </x:c>
      <x:c r="C375" s="54" t="n">
        <x:v>0.89</x:v>
      </x:c>
      <x:c r="D375" t="n">
        <x:v>5</x:v>
      </x:c>
      <x:c r="E375" t="str">
        <x:v>PASS</x:v>
      </x:c>
      <x:c r="F375" t="n">
        <x:v>1</x:v>
      </x:c>
      <x:c r="G375" t="n">
        <x:v>4</x:v>
      </x:c>
      <x:c r="H375" s="54" t="n">
        <x:v>10</x:v>
      </x:c>
      <x:c r="I375" s="54" t="n">
        <x:v>0.87626</x:v>
      </x:c>
      <x:c r="J375" s="54" t="n">
        <x:v>0.87526</x:v>
      </x:c>
      <x:c r="K375" s="54" t="n">
        <x:v>0.23606</x:v>
      </x:c>
      <x:c r="L375" s="54" t="n">
        <x:v>0.43157</x:v>
      </x:c>
      <x:c r="M375" s="54" t="n">
        <x:v>1.00407</x:v>
      </x:c>
      <x:c r="N375" s="56" t="n">
        <x:v>-1.54</x:v>
      </x:c>
      <x:c r="O375" s="56" t="n">
        <x:v>0.12</x:v>
      </x:c>
      <x:c r="P375" s="56" t="n">
        <x:v>0.27</x:v>
      </x:c>
      <x:c r="Q375" s="56" t="n">
        <x:v>92.1</x:v>
      </x:c>
      <x:c r="R375" t="str">
        <x:v>X</x:v>
      </x:c>
      <x:c r="S375" s="102" t="n">
        <x:v>100</x:v>
      </x:c>
      <x:c r="T375" t="str">
        <x:v>IN TARGET BAND</x:v>
      </x:c>
      <x:c r="U375" t="str">
        <x:f>IF(T375="IN TARGET BAND","Yes","No")</x:f>
        <x:v>Yes</x:v>
      </x:c>
      <x:c r="V375" t="n">
        <x:v>3989</x:v>
      </x:c>
      <x:c r="W375" t="str">
        <x:v>Pasted text(56).txt</x:v>
      </x:c>
    </x:row>
    <x:row r="376">
      <x:c r="A376" t="str">
        <x:v>S10</x:v>
      </x:c>
      <x:c r="B376" t="str">
        <x:v>0.89 repeat-confirmation session</x:v>
      </x:c>
      <x:c r="C376" s="54" t="n">
        <x:v>0.89</x:v>
      </x:c>
      <x:c r="D376" t="n">
        <x:v>5</x:v>
      </x:c>
      <x:c r="E376" t="str">
        <x:v>PASS</x:v>
      </x:c>
      <x:c r="F376" t="n">
        <x:v>1</x:v>
      </x:c>
      <x:c r="G376" t="n">
        <x:v>5</x:v>
      </x:c>
      <x:c r="H376" s="54" t="n">
        <x:v>10</x:v>
      </x:c>
      <x:c r="I376" s="54" t="n">
        <x:v>0.8707</x:v>
      </x:c>
      <x:c r="J376" s="54" t="n">
        <x:v>0.87059</x:v>
      </x:c>
      <x:c r="K376" s="54" t="n">
        <x:v>0.23839</x:v>
      </x:c>
      <x:c r="L376" s="54" t="n">
        <x:v>0.37723</x:v>
      </x:c>
      <x:c r="M376" s="54" t="n">
        <x:v>0.97832</x:v>
      </x:c>
      <x:c r="N376" s="56" t="n">
        <x:v>-2.17</x:v>
      </x:c>
      <x:c r="O376" s="56" t="n">
        <x:v>0.85</x:v>
      </x:c>
      <x:c r="P376" s="56" t="n">
        <x:v>0.59</x:v>
      </x:c>
      <x:c r="Q376" s="56" t="n">
        <x:v>92.5</x:v>
      </x:c>
      <x:c r="R376" t="str">
        <x:v>X</x:v>
      </x:c>
      <x:c r="S376" s="102" t="n">
        <x:v>100</x:v>
      </x:c>
      <x:c r="T376" t="str">
        <x:v>IN TARGET BAND</x:v>
      </x:c>
      <x:c r="U376" t="str">
        <x:f>IF(T376="IN TARGET BAND","Yes","No")</x:f>
        <x:v>Yes</x:v>
      </x:c>
      <x:c r="V376" t="n">
        <x:v>3990</x:v>
      </x:c>
      <x:c r="W376" t="str">
        <x:v>Pasted text(56).txt</x:v>
      </x:c>
    </x:row>
    <x:row r="377">
      <x:c r="A377" t="str">
        <x:v>S10</x:v>
      </x:c>
      <x:c r="B377" t="str">
        <x:v>0.89 repeat-confirmation session</x:v>
      </x:c>
      <x:c r="C377" s="54" t="n">
        <x:v>0.89</x:v>
      </x:c>
      <x:c r="D377" t="n">
        <x:v>5</x:v>
      </x:c>
      <x:c r="E377" t="str">
        <x:v>PASS</x:v>
      </x:c>
      <x:c r="F377" t="n">
        <x:v>1</x:v>
      </x:c>
      <x:c r="G377" t="n">
        <x:v>6</x:v>
      </x:c>
      <x:c r="H377" s="54" t="n">
        <x:v>10</x:v>
      </x:c>
      <x:c r="I377" s="54" t="n">
        <x:v>0.89123</x:v>
      </x:c>
      <x:c r="J377" s="54" t="n">
        <x:v>0.89116</x:v>
      </x:c>
      <x:c r="K377" s="54" t="n">
        <x:v>0.24957</x:v>
      </x:c>
      <x:c r="L377" s="54" t="n">
        <x:v>0.39391</x:v>
      </x:c>
      <x:c r="M377" s="54" t="n">
        <x:v>1.00603</x:v>
      </x:c>
      <x:c r="N377" s="56" t="n">
        <x:v>0.14</x:v>
      </x:c>
      <x:c r="O377" s="56" t="n">
        <x:v>2.45</x:v>
      </x:c>
      <x:c r="P377" s="56" t="n">
        <x:v>1.67</x:v>
      </x:c>
      <x:c r="Q377" s="56" t="n">
        <x:v>92.9</x:v>
      </x:c>
      <x:c r="R377" t="str">
        <x:v>X</x:v>
      </x:c>
      <x:c r="S377" s="102" t="n">
        <x:v>100</x:v>
      </x:c>
      <x:c r="T377" t="str">
        <x:v>IN TARGET BAND</x:v>
      </x:c>
      <x:c r="U377" t="str">
        <x:f>IF(T377="IN TARGET BAND","Yes","No")</x:f>
        <x:v>Yes</x:v>
      </x:c>
      <x:c r="V377" t="n">
        <x:v>3991</x:v>
      </x:c>
      <x:c r="W377" t="str">
        <x:v>Pasted text(56).txt</x:v>
      </x:c>
    </x:row>
    <x:row r="378">
      <x:c r="A378" t="str">
        <x:v>S10</x:v>
      </x:c>
      <x:c r="B378" t="str">
        <x:v>0.89 repeat-confirmation session</x:v>
      </x:c>
      <x:c r="C378" s="54" t="n">
        <x:v>0.89</x:v>
      </x:c>
      <x:c r="D378" t="n">
        <x:v>5</x:v>
      </x:c>
      <x:c r="E378" t="str">
        <x:v>PASS</x:v>
      </x:c>
      <x:c r="F378" t="n">
        <x:v>1</x:v>
      </x:c>
      <x:c r="G378" t="n">
        <x:v>7</x:v>
      </x:c>
      <x:c r="H378" s="54" t="n">
        <x:v>10</x:v>
      </x:c>
      <x:c r="I378" s="54" t="n">
        <x:v>0.87685</x:v>
      </x:c>
      <x:c r="J378" s="54" t="n">
        <x:v>0.88699</x:v>
      </x:c>
      <x:c r="K378" s="54" t="n">
        <x:v>0.26143</x:v>
      </x:c>
      <x:c r="L378" s="54" t="n">
        <x:v>0.40522</x:v>
      </x:c>
      <x:c r="M378" s="54" t="n">
        <x:v>1.00985</x:v>
      </x:c>
      <x:c r="N378" s="56" t="n">
        <x:v>-1.48</x:v>
      </x:c>
      <x:c r="O378" s="56" t="n">
        <x:v>0.69</x:v>
      </x:c>
      <x:c r="P378" s="56" t="n">
        <x:v>2.39</x:v>
      </x:c>
      <x:c r="Q378" s="56" t="n">
        <x:v>92.8</x:v>
      </x:c>
      <x:c r="R378" t="str">
        <x:v>X</x:v>
      </x:c>
      <x:c r="S378" s="102" t="n">
        <x:v>100</x:v>
      </x:c>
      <x:c r="T378" t="str">
        <x:v>IN TARGET BAND</x:v>
      </x:c>
      <x:c r="U378" t="str">
        <x:f>IF(T378="IN TARGET BAND","Yes","No")</x:f>
        <x:v>Yes</x:v>
      </x:c>
      <x:c r="V378" t="n">
        <x:v>3992</x:v>
      </x:c>
      <x:c r="W378" t="str">
        <x:v>Pasted text(56).txt</x:v>
      </x:c>
    </x:row>
    <x:row r="379">
      <x:c r="A379" t="str">
        <x:v>S10</x:v>
      </x:c>
      <x:c r="B379" t="str">
        <x:v>0.89 repeat-confirmation session</x:v>
      </x:c>
      <x:c r="C379" s="54" t="n">
        <x:v>0.89</x:v>
      </x:c>
      <x:c r="D379" t="n">
        <x:v>5</x:v>
      </x:c>
      <x:c r="E379" t="str">
        <x:v>PASS</x:v>
      </x:c>
      <x:c r="F379" t="n">
        <x:v>1</x:v>
      </x:c>
      <x:c r="G379" t="n">
        <x:v>8</x:v>
      </x:c>
      <x:c r="H379" s="54" t="n">
        <x:v>10</x:v>
      </x:c>
      <x:c r="I379" s="54" t="n">
        <x:v>0.89903</x:v>
      </x:c>
      <x:c r="J379" s="54" t="n">
        <x:v>0.88571</x:v>
      </x:c>
      <x:c r="K379" s="54" t="n">
        <x:v>0.23877</x:v>
      </x:c>
      <x:c r="L379" s="54" t="n">
        <x:v>0.3905</x:v>
      </x:c>
      <x:c r="M379" s="54" t="n">
        <x:v>0.99734</x:v>
      </x:c>
      <x:c r="N379" s="56" t="n">
        <x:v>1.01</x:v>
      </x:c>
      <x:c r="O379" s="56" t="n">
        <x:v>0.39</x:v>
      </x:c>
      <x:c r="P379" s="56" t="n">
        <x:v>2.84</x:v>
      </x:c>
      <x:c r="Q379" s="56" t="n">
        <x:v>93</x:v>
      </x:c>
      <x:c r="R379" t="str">
        <x:v>X</x:v>
      </x:c>
      <x:c r="S379" s="102" t="n">
        <x:v>100</x:v>
      </x:c>
      <x:c r="T379" t="str">
        <x:v>IN TARGET BAND</x:v>
      </x:c>
      <x:c r="U379" t="str">
        <x:f>IF(T379="IN TARGET BAND","Yes","No")</x:f>
        <x:v>Yes</x:v>
      </x:c>
      <x:c r="V379" t="n">
        <x:v>3993</x:v>
      </x:c>
      <x:c r="W379" t="str">
        <x:v>Pasted text(56).txt</x:v>
      </x:c>
    </x:row>
    <x:row r="380">
      <x:c r="A380" t="str">
        <x:v>S10</x:v>
      </x:c>
      <x:c r="B380" t="str">
        <x:v>0.89 repeat-confirmation session</x:v>
      </x:c>
      <x:c r="C380" s="54" t="n">
        <x:v>0.89</x:v>
      </x:c>
      <x:c r="D380" t="n">
        <x:v>5</x:v>
      </x:c>
      <x:c r="E380" t="str">
        <x:v>PASS</x:v>
      </x:c>
      <x:c r="F380" t="n">
        <x:v>1</x:v>
      </x:c>
      <x:c r="G380" t="n">
        <x:v>9</x:v>
      </x:c>
      <x:c r="H380" s="54" t="n">
        <x:v>10</x:v>
      </x:c>
      <x:c r="I380" s="54" t="n">
        <x:v>0.87236</x:v>
      </x:c>
      <x:c r="J380" s="54" t="n">
        <x:v>0.87677</x:v>
      </x:c>
      <x:c r="K380" s="54" t="n">
        <x:v>0.23331</x:v>
      </x:c>
      <x:c r="L380" s="54" t="n">
        <x:v>0.39487</x:v>
      </x:c>
      <x:c r="M380" s="54" t="n">
        <x:v>0.98967</x:v>
      </x:c>
      <x:c r="N380" s="56" t="n">
        <x:v>-1.98</x:v>
      </x:c>
      <x:c r="O380" s="56" t="n">
        <x:v>1.98</x:v>
      </x:c>
      <x:c r="P380" s="56" t="n">
        <x:v>2.13</x:v>
      </x:c>
      <x:c r="Q380" s="56" t="n">
        <x:v>93</x:v>
      </x:c>
      <x:c r="R380" t="str">
        <x:v>X</x:v>
      </x:c>
      <x:c r="S380" s="102" t="n">
        <x:v>100</x:v>
      </x:c>
      <x:c r="T380" t="str">
        <x:v>IN TARGET BAND</x:v>
      </x:c>
      <x:c r="U380" t="str">
        <x:f>IF(T380="IN TARGET BAND","Yes","No")</x:f>
        <x:v>Yes</x:v>
      </x:c>
      <x:c r="V380" t="n">
        <x:v>3994</x:v>
      </x:c>
      <x:c r="W380" t="str">
        <x:v>Pasted text(56).txt</x:v>
      </x:c>
    </x:row>
    <x:row r="381">
      <x:c r="A381" t="str">
        <x:v>S10</x:v>
      </x:c>
      <x:c r="B381" t="str">
        <x:v>0.89 repeat-confirmation session</x:v>
      </x:c>
      <x:c r="C381" s="54" t="n">
        <x:v>0.89</x:v>
      </x:c>
      <x:c r="D381" t="n">
        <x:v>5</x:v>
      </x:c>
      <x:c r="E381" t="str">
        <x:v>PASS</x:v>
      </x:c>
      <x:c r="F381" t="n">
        <x:v>1</x:v>
      </x:c>
      <x:c r="G381" t="n">
        <x:v>10</x:v>
      </x:c>
      <x:c r="H381" s="54" t="n">
        <x:v>10</x:v>
      </x:c>
      <x:c r="I381" s="54" t="n">
        <x:v>0.87318</x:v>
      </x:c>
      <x:c r="J381" s="54" t="n">
        <x:v>0.86365</x:v>
      </x:c>
      <x:c r="K381" s="54" t="n">
        <x:v>0.23469</x:v>
      </x:c>
      <x:c r="L381" s="54" t="n">
        <x:v>0.41561</x:v>
      </x:c>
      <x:c r="M381" s="54" t="n">
        <x:v>0.98683</x:v>
      </x:c>
      <x:c r="N381" s="56" t="n">
        <x:v>-1.89</x:v>
      </x:c>
      <x:c r="O381" s="56" t="n">
        <x:v>0.76</x:v>
      </x:c>
      <x:c r="P381" s="56" t="n">
        <x:v>2.37</x:v>
      </x:c>
      <x:c r="Q381" s="56" t="n">
        <x:v>90.7</x:v>
      </x:c>
      <x:c r="R381" t="str">
        <x:v>X</x:v>
      </x:c>
      <x:c r="S381" s="102" t="n">
        <x:v>100</x:v>
      </x:c>
      <x:c r="T381" t="str">
        <x:v>IN TARGET BAND</x:v>
      </x:c>
      <x:c r="U381" t="str">
        <x:f>IF(T381="IN TARGET BAND","Yes","No")</x:f>
        <x:v>Yes</x:v>
      </x:c>
      <x:c r="V381" t="n">
        <x:v>3995</x:v>
      </x:c>
      <x:c r="W381" t="str">
        <x:v>Pasted text(56).txt</x:v>
      </x:c>
    </x:row>
    <x:row r="382">
      <x:c r="A382" s="58" t="str">
        <x:v>S11</x:v>
      </x:c>
      <x:c r="B382" s="58" t="str">
        <x:v>1.15 instability and response-collapse session</x:v>
      </x:c>
      <x:c r="C382" s="58" t="n">
        <x:v>1.15</x:v>
      </x:c>
      <x:c r="D382" s="58" t="n">
        <x:v>1</x:v>
      </x:c>
      <x:c r="E382" s="58" t="str">
        <x:v>FAIL</x:v>
      </x:c>
      <x:c r="F382" s="58" t="n">
        <x:v>1</x:v>
      </x:c>
      <x:c r="G382" s="58" t="n">
        <x:v>1</x:v>
      </x:c>
      <x:c r="H382" s="59" t="n">
        <x:v>18.25</x:v>
      </x:c>
      <x:c r="I382" s="59" t="n">
        <x:v>1.11946</x:v>
      </x:c>
      <x:c r="J382" s="59" t="n">
        <x:v>1.1337</x:v>
      </x:c>
      <x:c r="K382" s="59" t="n">
        <x:v>0.81374</x:v>
      </x:c>
      <x:c r="L382" s="59" t="n">
        <x:v>0.24175</x:v>
      </x:c>
      <x:c r="M382" s="59" t="n">
        <x:v>1.41669</x:v>
      </x:c>
      <x:c r="N382" s="60" t="n">
        <x:v>-2.66</x:v>
      </x:c>
      <x:c r="O382" s="60" t="n">
        <x:v>0.54</x:v>
      </x:c>
      <x:c r="P382" s="60" t="n">
        <x:v>2.49</x:v>
      </x:c>
      <x:c r="Q382" s="60" t="n">
        <x:v>81.8</x:v>
      </x:c>
      <x:c r="R382" s="58" t="str">
        <x:v>X</x:v>
      </x:c>
      <x:c r="S382" s="60" t="n">
        <x:v>100</x:v>
      </x:c>
      <x:c r="T382" s="58" t="str">
        <x:v>IN TARGET BAND</x:v>
      </x:c>
      <x:c r="U382" s="58" t="str">
        <x:v>Yes</x:v>
      </x:c>
      <x:c r="V382" s="58" t="n">
        <x:v>138</x:v>
      </x:c>
      <x:c r="W382" s="58" t="str">
        <x:v>Pasted text(59).txt</x:v>
      </x:c>
    </x:row>
    <x:row r="383">
      <x:c r="A383" s="58" t="str">
        <x:v>S11</x:v>
      </x:c>
      <x:c r="B383" s="58" t="str">
        <x:v>1.15 instability and response-collapse session</x:v>
      </x:c>
      <x:c r="C383" s="58" t="n">
        <x:v>1.15</x:v>
      </x:c>
      <x:c r="D383" s="58" t="n">
        <x:v>1</x:v>
      </x:c>
      <x:c r="E383" s="58" t="str">
        <x:v>FAIL</x:v>
      </x:c>
      <x:c r="F383" s="58" t="n">
        <x:v>1</x:v>
      </x:c>
      <x:c r="G383" s="58" t="n">
        <x:v>2</x:v>
      </x:c>
      <x:c r="H383" s="59" t="n">
        <x:v>18.25</x:v>
      </x:c>
      <x:c r="I383" s="59" t="n">
        <x:v>1.13084</x:v>
      </x:c>
      <x:c r="J383" s="59" t="n">
        <x:v>1.13505</x:v>
      </x:c>
      <x:c r="K383" s="59" t="n">
        <x:v>0.81825</x:v>
      </x:c>
      <x:c r="L383" s="59" t="n">
        <x:v>0.26373</x:v>
      </x:c>
      <x:c r="M383" s="59" t="n">
        <x:v>1.42419</x:v>
      </x:c>
      <x:c r="N383" s="60" t="n">
        <x:v>-1.67</x:v>
      </x:c>
      <x:c r="O383" s="60" t="n">
        <x:v>1.39</x:v>
      </x:c>
      <x:c r="P383" s="60" t="n">
        <x:v>1.53</x:v>
      </x:c>
      <x:c r="Q383" s="60" t="n">
        <x:v>82</x:v>
      </x:c>
      <x:c r="R383" s="58" t="str">
        <x:v>X</x:v>
      </x:c>
      <x:c r="S383" s="60" t="n">
        <x:v>100</x:v>
      </x:c>
      <x:c r="T383" s="58" t="str">
        <x:v>IN TARGET BAND</x:v>
      </x:c>
      <x:c r="U383" s="58" t="str">
        <x:v>Yes</x:v>
      </x:c>
      <x:c r="V383" s="58" t="n">
        <x:v>139</x:v>
      </x:c>
      <x:c r="W383" s="58" t="str">
        <x:v>Pasted text(59).txt</x:v>
      </x:c>
    </x:row>
    <x:row r="384">
      <x:c r="A384" s="58" t="str">
        <x:v>S11</x:v>
      </x:c>
      <x:c r="B384" s="58" t="str">
        <x:v>1.15 instability and response-collapse session</x:v>
      </x:c>
      <x:c r="C384" s="58" t="n">
        <x:v>1.15</x:v>
      </x:c>
      <x:c r="D384" s="58" t="n">
        <x:v>1</x:v>
      </x:c>
      <x:c r="E384" s="58" t="str">
        <x:v>FAIL</x:v>
      </x:c>
      <x:c r="F384" s="58" t="n">
        <x:v>1</x:v>
      </x:c>
      <x:c r="G384" s="58" t="n">
        <x:v>3</x:v>
      </x:c>
      <x:c r="H384" s="59" t="n">
        <x:v>18.25</x:v>
      </x:c>
      <x:c r="I384" s="59" t="n">
        <x:v>1.10727</x:v>
      </x:c>
      <x:c r="J384" s="59" t="n">
        <x:v>1.11299</x:v>
      </x:c>
      <x:c r="K384" s="59" t="n">
        <x:v>0.86466</x:v>
      </x:c>
      <x:c r="L384" s="59" t="n">
        <x:v>0.22566</x:v>
      </x:c>
      <x:c r="M384" s="59" t="n">
        <x:v>1.4274</x:v>
      </x:c>
      <x:c r="N384" s="60" t="n">
        <x:v>-3.72</x:v>
      </x:c>
      <x:c r="O384" s="60" t="n">
        <x:v>0.95</x:v>
      </x:c>
      <x:c r="P384" s="60" t="n">
        <x:v>1.48</x:v>
      </x:c>
      <x:c r="Q384" s="60" t="n">
        <x:v>80.7</x:v>
      </x:c>
      <x:c r="R384" s="58" t="str">
        <x:v>X</x:v>
      </x:c>
      <x:c r="S384" s="60" t="n">
        <x:v>100</x:v>
      </x:c>
      <x:c r="T384" s="58" t="str">
        <x:v>IN TARGET BAND</x:v>
      </x:c>
      <x:c r="U384" s="58" t="str">
        <x:v>Yes</x:v>
      </x:c>
      <x:c r="V384" s="58" t="n">
        <x:v>140</x:v>
      </x:c>
      <x:c r="W384" s="58" t="str">
        <x:v>Pasted text(59).txt</x:v>
      </x:c>
    </x:row>
    <x:row r="385">
      <x:c r="A385" s="58" t="str">
        <x:v>S11</x:v>
      </x:c>
      <x:c r="B385" s="58" t="str">
        <x:v>1.15 instability and response-collapse session</x:v>
      </x:c>
      <x:c r="C385" s="58" t="n">
        <x:v>1.15</x:v>
      </x:c>
      <x:c r="D385" s="58" t="n">
        <x:v>1</x:v>
      </x:c>
      <x:c r="E385" s="58" t="str">
        <x:v>FAIL</x:v>
      </x:c>
      <x:c r="F385" s="58" t="n">
        <x:v>1</x:v>
      </x:c>
      <x:c r="G385" s="58" t="n">
        <x:v>4</x:v>
      </x:c>
      <x:c r="H385" s="59" t="n">
        <x:v>18.25</x:v>
      </x:c>
      <x:c r="I385" s="59" t="n">
        <x:v>1.09884</x:v>
      </x:c>
      <x:c r="J385" s="59" t="n">
        <x:v>1.09568</x:v>
      </x:c>
      <x:c r="K385" s="59" t="n">
        <x:v>0.83166</x:v>
      </x:c>
      <x:c r="L385" s="59" t="n">
        <x:v>0.20856</x:v>
      </x:c>
      <x:c r="M385" s="59" t="n">
        <x:v>1.39146</x:v>
      </x:c>
      <x:c r="N385" s="60" t="n">
        <x:v>-4.45</x:v>
      </x:c>
      <x:c r="O385" s="60" t="n">
        <x:v>0</x:v>
      </x:c>
      <x:c r="P385" s="60" t="n">
        <x:v>0.5</x:v>
      </x:c>
      <x:c r="Q385" s="60" t="n">
        <x:v>80</x:v>
      </x:c>
      <x:c r="R385" s="58" t="str">
        <x:v>X</x:v>
      </x:c>
      <x:c r="S385" s="60" t="n">
        <x:v>100</x:v>
      </x:c>
      <x:c r="T385" s="58" t="str">
        <x:v>IN TARGET BAND</x:v>
      </x:c>
      <x:c r="U385" s="58" t="str">
        <x:v>Yes</x:v>
      </x:c>
      <x:c r="V385" s="58" t="n">
        <x:v>141</x:v>
      </x:c>
      <x:c r="W385" s="58" t="str">
        <x:v>Pasted text(59).txt</x:v>
      </x:c>
    </x:row>
    <x:row r="386">
      <x:c r="A386" s="58" t="str">
        <x:v>S11</x:v>
      </x:c>
      <x:c r="B386" s="58" t="str">
        <x:v>1.15 instability and response-collapse session</x:v>
      </x:c>
      <x:c r="C386" s="58" t="n">
        <x:v>1.15</x:v>
      </x:c>
      <x:c r="D386" s="58" t="n">
        <x:v>1</x:v>
      </x:c>
      <x:c r="E386" s="58" t="str">
        <x:v>FAIL</x:v>
      </x:c>
      <x:c r="F386" s="58" t="n">
        <x:v>1</x:v>
      </x:c>
      <x:c r="G386" s="58" t="n">
        <x:v>5</x:v>
      </x:c>
      <x:c r="H386" s="59" t="n">
        <x:v>18.25</x:v>
      </x:c>
      <x:c r="I386" s="59" t="n">
        <x:v>1.08207</x:v>
      </x:c>
      <x:c r="J386" s="59" t="n">
        <x:v>1.07956</x:v>
      </x:c>
      <x:c r="K386" s="59" t="n">
        <x:v>0.84455</x:v>
      </x:c>
      <x:c r="L386" s="59" t="n">
        <x:v>0.23019</x:v>
      </x:c>
      <x:c r="M386" s="59" t="n">
        <x:v>1.38991</x:v>
      </x:c>
      <x:c r="N386" s="60" t="n">
        <x:v>-5.91</x:v>
      </x:c>
      <x:c r="O386" s="60" t="n">
        <x:v>2.23</x:v>
      </x:c>
      <x:c r="P386" s="60" t="n">
        <x:v>1.87</x:v>
      </x:c>
      <x:c r="Q386" s="60" t="n">
        <x:v>79.8</x:v>
      </x:c>
      <x:c r="R386" s="58" t="str">
        <x:v>X</x:v>
      </x:c>
      <x:c r="S386" s="60" t="n">
        <x:v>100</x:v>
      </x:c>
      <x:c r="T386" s="58" t="str">
        <x:v>IN TARGET BAND</x:v>
      </x:c>
      <x:c r="U386" s="58" t="str">
        <x:v>Yes</x:v>
      </x:c>
      <x:c r="V386" s="58" t="n">
        <x:v>142</x:v>
      </x:c>
      <x:c r="W386" s="58" t="str">
        <x:v>Pasted text(59).txt</x:v>
      </x:c>
    </x:row>
    <x:row r="387">
      <x:c r="A387" s="58" t="str">
        <x:v>S11</x:v>
      </x:c>
      <x:c r="B387" s="58" t="str">
        <x:v>1.15 instability and response-collapse session</x:v>
      </x:c>
      <x:c r="C387" s="58" t="n">
        <x:v>1.15</x:v>
      </x:c>
      <x:c r="D387" s="58" t="n">
        <x:v>1</x:v>
      </x:c>
      <x:c r="E387" s="58" t="str">
        <x:v>FAIL</x:v>
      </x:c>
      <x:c r="F387" s="58" t="n">
        <x:v>1</x:v>
      </x:c>
      <x:c r="G387" s="58" t="n">
        <x:v>6</x:v>
      </x:c>
      <x:c r="H387" s="59" t="n">
        <x:v>18.25</x:v>
      </x:c>
      <x:c r="I387" s="59" t="n">
        <x:v>1.08399</x:v>
      </x:c>
      <x:c r="J387" s="59" t="n">
        <x:v>1.08988</x:v>
      </x:c>
      <x:c r="K387" s="59" t="n">
        <x:v>0.88179</x:v>
      </x:c>
      <x:c r="L387" s="59" t="n">
        <x:v>0.20066</x:v>
      </x:c>
      <x:c r="M387" s="59" t="n">
        <x:v>1.4163</x:v>
      </x:c>
      <x:c r="N387" s="60" t="n">
        <x:v>-5.74</x:v>
      </x:c>
      <x:c r="O387" s="60" t="n">
        <x:v>1.7</x:v>
      </x:c>
      <x:c r="P387" s="60" t="n">
        <x:v>2.01</x:v>
      </x:c>
      <x:c r="Q387" s="60" t="n">
        <x:v>81.1</x:v>
      </x:c>
      <x:c r="R387" s="58" t="str">
        <x:v>X</x:v>
      </x:c>
      <x:c r="S387" s="60" t="n">
        <x:v>100</x:v>
      </x:c>
      <x:c r="T387" s="58" t="str">
        <x:v>IN TARGET BAND</x:v>
      </x:c>
      <x:c r="U387" s="58" t="str">
        <x:v>Yes</x:v>
      </x:c>
      <x:c r="V387" s="58" t="n">
        <x:v>143</x:v>
      </x:c>
      <x:c r="W387" s="58" t="str">
        <x:v>Pasted text(59).txt</x:v>
      </x:c>
    </x:row>
    <x:row r="388">
      <x:c r="A388" s="58" t="str">
        <x:v>S11</x:v>
      </x:c>
      <x:c r="B388" s="58" t="str">
        <x:v>1.15 instability and response-collapse session</x:v>
      </x:c>
      <x:c r="C388" s="58" t="n">
        <x:v>1.15</x:v>
      </x:c>
      <x:c r="D388" s="58" t="n">
        <x:v>1</x:v>
      </x:c>
      <x:c r="E388" s="58" t="str">
        <x:v>FAIL</x:v>
      </x:c>
      <x:c r="F388" s="58" t="n">
        <x:v>1</x:v>
      </x:c>
      <x:c r="G388" s="58" t="n">
        <x:v>7</x:v>
      </x:c>
      <x:c r="H388" s="59" t="n">
        <x:v>18.25</x:v>
      </x:c>
      <x:c r="I388" s="59" t="n">
        <x:v>1.03721</x:v>
      </x:c>
      <x:c r="J388" s="59" t="n">
        <x:v>1.05581</x:v>
      </x:c>
      <x:c r="K388" s="59" t="n">
        <x:v>0.8602</x:v>
      </x:c>
      <x:c r="L388" s="59" t="n">
        <x:v>0.20653</x:v>
      </x:c>
      <x:c r="M388" s="59" t="n">
        <x:v>1.37752</x:v>
      </x:c>
      <x:c r="N388" s="60" t="n">
        <x:v>-9.81</x:v>
      </x:c>
      <x:c r="O388" s="60" t="n">
        <x:v>0.11</x:v>
      </x:c>
      <x:c r="P388" s="60" t="n">
        <x:v>3.12</x:v>
      </x:c>
      <x:c r="Q388" s="60" t="n">
        <x:v>79.2</x:v>
      </x:c>
      <x:c r="R388" s="58" t="str">
        <x:v>X</x:v>
      </x:c>
      <x:c r="S388" s="60" t="n">
        <x:v>100</x:v>
      </x:c>
      <x:c r="T388" s="58" t="str">
        <x:v>VALID</x:v>
      </x:c>
      <x:c r="U388" s="58" t="str">
        <x:v>No</x:v>
      </x:c>
      <x:c r="V388" s="58" t="n">
        <x:v>144</x:v>
      </x:c>
      <x:c r="W388" s="58" t="str">
        <x:v>Pasted text(59).txt</x:v>
      </x:c>
    </x:row>
    <x:row r="389">
      <x:c r="A389" s="58" t="str">
        <x:v>S11</x:v>
      </x:c>
      <x:c r="B389" s="58" t="str">
        <x:v>1.15 instability and response-collapse session</x:v>
      </x:c>
      <x:c r="C389" s="58" t="n">
        <x:v>1.15</x:v>
      </x:c>
      <x:c r="D389" s="58" t="n">
        <x:v>1</x:v>
      </x:c>
      <x:c r="E389" s="58" t="str">
        <x:v>FAIL</x:v>
      </x:c>
      <x:c r="F389" s="58" t="n">
        <x:v>1</x:v>
      </x:c>
      <x:c r="G389" s="58" t="n">
        <x:v>8</x:v>
      </x:c>
      <x:c r="H389" s="59" t="n">
        <x:v>18.25</x:v>
      </x:c>
      <x:c r="I389" s="59" t="n">
        <x:v>1.06917</x:v>
      </x:c>
      <x:c r="J389" s="59" t="n">
        <x:v>1.06071</x:v>
      </x:c>
      <x:c r="K389" s="59" t="n">
        <x:v>0.8631</x:v>
      </x:c>
      <x:c r="L389" s="59" t="n">
        <x:v>0.19897</x:v>
      </x:c>
      <x:c r="M389" s="59" t="n">
        <x:v>1.38199</x:v>
      </x:c>
      <x:c r="N389" s="60" t="n">
        <x:v>-7.03</x:v>
      </x:c>
      <x:c r="O389" s="60" t="n">
        <x:v>0.43</x:v>
      </x:c>
      <x:c r="P389" s="60" t="n">
        <x:v>1.64</x:v>
      </x:c>
      <x:c r="Q389" s="60" t="n">
        <x:v>78.5</x:v>
      </x:c>
      <x:c r="R389" s="58" t="str">
        <x:v>X</x:v>
      </x:c>
      <x:c r="S389" s="60" t="n">
        <x:v>100</x:v>
      </x:c>
      <x:c r="T389" s="58" t="str">
        <x:v>IN TARGET BAND</x:v>
      </x:c>
      <x:c r="U389" s="58" t="str">
        <x:v>Yes</x:v>
      </x:c>
      <x:c r="V389" s="58" t="n">
        <x:v>145</x:v>
      </x:c>
      <x:c r="W389" s="58" t="str">
        <x:v>Pasted text(59).txt</x:v>
      </x:c>
    </x:row>
    <x:row r="390">
      <x:c r="A390" s="58" t="str">
        <x:v>S11</x:v>
      </x:c>
      <x:c r="B390" s="58" t="str">
        <x:v>1.15 instability and response-collapse session</x:v>
      </x:c>
      <x:c r="C390" s="58" t="n">
        <x:v>1.15</x:v>
      </x:c>
      <x:c r="D390" s="58" t="n">
        <x:v>1</x:v>
      </x:c>
      <x:c r="E390" s="58" t="str">
        <x:v>FAIL</x:v>
      </x:c>
      <x:c r="F390" s="58" t="n">
        <x:v>1</x:v>
      </x:c>
      <x:c r="G390" s="58" t="n">
        <x:v>9</x:v>
      </x:c>
      <x:c r="H390" s="59" t="n">
        <x:v>18.25</x:v>
      </x:c>
      <x:c r="I390" s="59" t="n">
        <x:v>1.05745</x:v>
      </x:c>
      <x:c r="J390" s="59" t="n">
        <x:v>1.04407</x:v>
      </x:c>
      <x:c r="K390" s="59" t="n">
        <x:v>0.86192</x:v>
      </x:c>
      <x:c r="L390" s="59" t="n">
        <x:v>0.19165</x:v>
      </x:c>
      <x:c r="M390" s="59" t="n">
        <x:v>1.36757</x:v>
      </x:c>
      <x:c r="N390" s="60" t="n">
        <x:v>-8.05</x:v>
      </x:c>
      <x:c r="O390" s="60" t="n">
        <x:v>2.1</x:v>
      </x:c>
      <x:c r="P390" s="60" t="n">
        <x:v>3.54</x:v>
      </x:c>
      <x:c r="Q390" s="60" t="n">
        <x:v>79.2</x:v>
      </x:c>
      <x:c r="R390" s="58" t="str">
        <x:v>X</x:v>
      </x:c>
      <x:c r="S390" s="60" t="n">
        <x:v>100</x:v>
      </x:c>
      <x:c r="T390" s="58" t="str">
        <x:v>VALID</x:v>
      </x:c>
      <x:c r="U390" s="58" t="str">
        <x:v>No</x:v>
      </x:c>
      <x:c r="V390" s="58" t="n">
        <x:v>146</x:v>
      </x:c>
      <x:c r="W390" s="58" t="str">
        <x:v>Pasted text(59).txt</x:v>
      </x:c>
    </x:row>
    <x:row r="391">
      <x:c r="A391" s="58" t="str">
        <x:v>S11</x:v>
      </x:c>
      <x:c r="B391" s="58" t="str">
        <x:v>1.15 instability and response-collapse session</x:v>
      </x:c>
      <x:c r="C391" s="58" t="n">
        <x:v>1.15</x:v>
      </x:c>
      <x:c r="D391" s="58" t="n">
        <x:v>1</x:v>
      </x:c>
      <x:c r="E391" s="58" t="str">
        <x:v>FAIL</x:v>
      </x:c>
      <x:c r="F391" s="58" t="n">
        <x:v>1</x:v>
      </x:c>
      <x:c r="G391" s="58" t="n">
        <x:v>10</x:v>
      </x:c>
      <x:c r="H391" s="59" t="n">
        <x:v>18.25</x:v>
      </x:c>
      <x:c r="I391" s="59" t="n">
        <x:v>1.05459</x:v>
      </x:c>
      <x:c r="J391" s="59" t="n">
        <x:v>1.06366</x:v>
      </x:c>
      <x:c r="K391" s="59" t="n">
        <x:v>0.85735</x:v>
      </x:c>
      <x:c r="L391" s="59" t="n">
        <x:v>0.21114</x:v>
      </x:c>
      <x:c r="M391" s="59" t="n">
        <x:v>1.38276</x:v>
      </x:c>
      <x:c r="N391" s="60" t="n">
        <x:v>-8.3</x:v>
      </x:c>
      <x:c r="O391" s="60" t="n">
        <x:v>1.29</x:v>
      </x:c>
      <x:c r="P391" s="60" t="n">
        <x:v>2.27</x:v>
      </x:c>
      <x:c r="Q391" s="60" t="n">
        <x:v>80.5</x:v>
      </x:c>
      <x:c r="R391" s="58" t="str">
        <x:v>X</x:v>
      </x:c>
      <x:c r="S391" s="60" t="n">
        <x:v>100</x:v>
      </x:c>
      <x:c r="T391" s="58" t="str">
        <x:v>VALID</x:v>
      </x:c>
      <x:c r="U391" s="58" t="str">
        <x:v>No</x:v>
      </x:c>
      <x:c r="V391" s="58" t="n">
        <x:v>147</x:v>
      </x:c>
      <x:c r="W391" s="58" t="str">
        <x:v>Pasted text(59).txt</x:v>
      </x:c>
    </x:row>
    <x:row r="392">
      <x:c r="A392" s="58" t="str">
        <x:v>S13</x:v>
      </x:c>
      <x:c r="B392" s="58" t="str">
        <x:v>1.00 validated five-run session</x:v>
      </x:c>
      <x:c r="C392" s="58" t="n">
        <x:v>1</x:v>
      </x:c>
      <x:c r="D392" s="58" t="n">
        <x:v>1</x:v>
      </x:c>
      <x:c r="E392" s="58" t="str">
        <x:v>PASS</x:v>
      </x:c>
      <x:c r="F392" s="58" t="n">
        <x:v>1</x:v>
      </x:c>
      <x:c r="G392" s="58" t="n">
        <x:v>1</x:v>
      </x:c>
      <x:c r="H392" s="59" t="n">
        <x:v>9.25</x:v>
      </x:c>
      <x:c r="I392" s="59" t="n">
        <x:v>0.95378</x:v>
      </x:c>
      <x:c r="J392" s="59" t="n">
        <x:v>0.96795</x:v>
      </x:c>
      <x:c r="K392" s="59" t="n">
        <x:v>0.38717</x:v>
      </x:c>
      <x:c r="L392" s="59" t="n">
        <x:v>0.25203</x:v>
      </x:c>
      <x:c r="M392" s="59" t="n">
        <x:v>1.07332</x:v>
      </x:c>
      <x:c r="N392" s="60" t="n">
        <x:v>-4.62</x:v>
      </x:c>
      <x:c r="O392" s="60" t="n">
        <x:v>0.68</x:v>
      </x:c>
      <x:c r="P392" s="60" t="n">
        <x:v>2.94</x:v>
      </x:c>
      <x:c r="Q392" s="60" t="n">
        <x:v>85.1</x:v>
      </x:c>
      <x:c r="R392" s="58" t="str">
        <x:v>X</x:v>
      </x:c>
      <x:c r="S392" s="60" t="n">
        <x:v>100</x:v>
      </x:c>
      <x:c r="T392" s="58" t="str">
        <x:v>IN TARGET BAND</x:v>
      </x:c>
      <x:c r="U392" s="58" t="str">
        <x:v>Yes</x:v>
      </x:c>
      <x:c r="V392" s="58" t="n">
        <x:v>569</x:v>
      </x:c>
      <x:c r="W392" s="58" t="str">
        <x:v>Pasted text(59).txt</x:v>
      </x:c>
    </x:row>
    <x:row r="393">
      <x:c r="A393" s="58" t="str">
        <x:v>S13</x:v>
      </x:c>
      <x:c r="B393" s="58" t="str">
        <x:v>1.00 validated five-run session</x:v>
      </x:c>
      <x:c r="C393" s="58" t="n">
        <x:v>1</x:v>
      </x:c>
      <x:c r="D393" s="58" t="n">
        <x:v>1</x:v>
      </x:c>
      <x:c r="E393" s="58" t="str">
        <x:v>PASS</x:v>
      </x:c>
      <x:c r="F393" s="58" t="n">
        <x:v>1</x:v>
      </x:c>
      <x:c r="G393" s="58" t="n">
        <x:v>2</x:v>
      </x:c>
      <x:c r="H393" s="59" t="n">
        <x:v>9.25</x:v>
      </x:c>
      <x:c r="I393" s="59" t="n">
        <x:v>0.99873</x:v>
      </x:c>
      <x:c r="J393" s="59" t="n">
        <x:v>0.99756</x:v>
      </x:c>
      <x:c r="K393" s="59" t="n">
        <x:v>0.38964</x:v>
      </x:c>
      <x:c r="L393" s="59" t="n">
        <x:v>0.26251</x:v>
      </x:c>
      <x:c r="M393" s="59" t="n">
        <x:v>1.10305</x:v>
      </x:c>
      <x:c r="N393" s="60" t="n">
        <x:v>-0.13</x:v>
      </x:c>
      <x:c r="O393" s="60" t="n">
        <x:v>1.21</x:v>
      </x:c>
      <x:c r="P393" s="60" t="n">
        <x:v>1</x:v>
      </x:c>
      <x:c r="Q393" s="60" t="n">
        <x:v>84.9</x:v>
      </x:c>
      <x:c r="R393" s="58" t="str">
        <x:v>X</x:v>
      </x:c>
      <x:c r="S393" s="60" t="n">
        <x:v>100</x:v>
      </x:c>
      <x:c r="T393" s="58" t="str">
        <x:v>IN TARGET BAND</x:v>
      </x:c>
      <x:c r="U393" s="58" t="str">
        <x:v>Yes</x:v>
      </x:c>
      <x:c r="V393" s="58" t="n">
        <x:v>570</x:v>
      </x:c>
      <x:c r="W393" s="58" t="str">
        <x:v>Pasted text(59).txt</x:v>
      </x:c>
    </x:row>
    <x:row r="394">
      <x:c r="A394" s="58" t="str">
        <x:v>S13</x:v>
      </x:c>
      <x:c r="B394" s="58" t="str">
        <x:v>1.00 validated five-run session</x:v>
      </x:c>
      <x:c r="C394" s="58" t="n">
        <x:v>1</x:v>
      </x:c>
      <x:c r="D394" s="58" t="n">
        <x:v>1</x:v>
      </x:c>
      <x:c r="E394" s="58" t="str">
        <x:v>PASS</x:v>
      </x:c>
      <x:c r="F394" s="58" t="n">
        <x:v>1</x:v>
      </x:c>
      <x:c r="G394" s="58" t="n">
        <x:v>3</x:v>
      </x:c>
      <x:c r="H394" s="59" t="n">
        <x:v>9.25</x:v>
      </x:c>
      <x:c r="I394" s="59" t="n">
        <x:v>0.93794</x:v>
      </x:c>
      <x:c r="J394" s="59" t="n">
        <x:v>0.94509</x:v>
      </x:c>
      <x:c r="K394" s="59" t="n">
        <x:v>0.39454</x:v>
      </x:c>
      <x:c r="L394" s="59" t="n">
        <x:v>0.26571</x:v>
      </x:c>
      <x:c r="M394" s="59" t="n">
        <x:v>1.05842</x:v>
      </x:c>
      <x:c r="N394" s="60" t="n">
        <x:v>-6.21</x:v>
      </x:c>
      <x:c r="O394" s="60" t="n">
        <x:v>1.56</x:v>
      </x:c>
      <x:c r="P394" s="60" t="n">
        <x:v>2.28</x:v>
      </x:c>
      <x:c r="Q394" s="60" t="n">
        <x:v>83.3</x:v>
      </x:c>
      <x:c r="R394" s="58" t="str">
        <x:v>X</x:v>
      </x:c>
      <x:c r="S394" s="60" t="n">
        <x:v>100</x:v>
      </x:c>
      <x:c r="T394" s="58" t="str">
        <x:v>IN TARGET BAND</x:v>
      </x:c>
      <x:c r="U394" s="58" t="str">
        <x:v>Yes</x:v>
      </x:c>
      <x:c r="V394" s="58" t="n">
        <x:v>571</x:v>
      </x:c>
      <x:c r="W394" s="58" t="str">
        <x:v>Pasted text(59).txt</x:v>
      </x:c>
    </x:row>
    <x:row r="395">
      <x:c r="A395" s="58" t="str">
        <x:v>S13</x:v>
      </x:c>
      <x:c r="B395" s="58" t="str">
        <x:v>1.00 validated five-run session</x:v>
      </x:c>
      <x:c r="C395" s="58" t="n">
        <x:v>1</x:v>
      </x:c>
      <x:c r="D395" s="58" t="n">
        <x:v>1</x:v>
      </x:c>
      <x:c r="E395" s="58" t="str">
        <x:v>PASS</x:v>
      </x:c>
      <x:c r="F395" s="58" t="n">
        <x:v>1</x:v>
      </x:c>
      <x:c r="G395" s="58" t="n">
        <x:v>4</x:v>
      </x:c>
      <x:c r="H395" s="59" t="n">
        <x:v>9.25</x:v>
      </x:c>
      <x:c r="I395" s="59" t="n">
        <x:v>0.96002</x:v>
      </x:c>
      <x:c r="J395" s="59" t="n">
        <x:v>0.95392</x:v>
      </x:c>
      <x:c r="K395" s="59" t="n">
        <x:v>0.35928</x:v>
      </x:c>
      <x:c r="L395" s="59" t="n">
        <x:v>0.22985</x:v>
      </x:c>
      <x:c r="M395" s="59" t="n">
        <x:v>1.04515</x:v>
      </x:c>
      <x:c r="N395" s="60" t="n">
        <x:v>-4</x:v>
      </x:c>
      <x:c r="O395" s="60" t="n">
        <x:v>0.15</x:v>
      </x:c>
      <x:c r="P395" s="60" t="n">
        <x:v>1.19</x:v>
      </x:c>
      <x:c r="Q395" s="60" t="n">
        <x:v>84</x:v>
      </x:c>
      <x:c r="R395" s="58" t="str">
        <x:v>X</x:v>
      </x:c>
      <x:c r="S395" s="60" t="n">
        <x:v>100</x:v>
      </x:c>
      <x:c r="T395" s="58" t="str">
        <x:v>IN TARGET BAND</x:v>
      </x:c>
      <x:c r="U395" s="58" t="str">
        <x:v>Yes</x:v>
      </x:c>
      <x:c r="V395" s="58" t="n">
        <x:v>572</x:v>
      </x:c>
      <x:c r="W395" s="58" t="str">
        <x:v>Pasted text(59).txt</x:v>
      </x:c>
    </x:row>
    <x:row r="396">
      <x:c r="A396" s="58" t="str">
        <x:v>S13</x:v>
      </x:c>
      <x:c r="B396" s="58" t="str">
        <x:v>1.00 validated five-run session</x:v>
      </x:c>
      <x:c r="C396" s="58" t="n">
        <x:v>1</x:v>
      </x:c>
      <x:c r="D396" s="58" t="n">
        <x:v>1</x:v>
      </x:c>
      <x:c r="E396" s="58" t="str">
        <x:v>PASS</x:v>
      </x:c>
      <x:c r="F396" s="58" t="n">
        <x:v>1</x:v>
      </x:c>
      <x:c r="G396" s="58" t="n">
        <x:v>5</x:v>
      </x:c>
      <x:c r="H396" s="59" t="n">
        <x:v>9.25</x:v>
      </x:c>
      <x:c r="I396" s="59" t="n">
        <x:v>0.98576</x:v>
      </x:c>
      <x:c r="J396" s="59" t="n">
        <x:v>0.98356</x:v>
      </x:c>
      <x:c r="K396" s="59" t="n">
        <x:v>0.40319</x:v>
      </x:c>
      <x:c r="L396" s="59" t="n">
        <x:v>0.23556</x:v>
      </x:c>
      <x:c r="M396" s="59" t="n">
        <x:v>1.09001</x:v>
      </x:c>
      <x:c r="N396" s="60" t="n">
        <x:v>-1.42</x:v>
      </x:c>
      <x:c r="O396" s="60" t="n">
        <x:v>1.33</x:v>
      </x:c>
      <x:c r="P396" s="60" t="n">
        <x:v>1.25</x:v>
      </x:c>
      <x:c r="Q396" s="60" t="n">
        <x:v>85.7</x:v>
      </x:c>
      <x:c r="R396" s="58" t="str">
        <x:v>X</x:v>
      </x:c>
      <x:c r="S396" s="60" t="n">
        <x:v>100</x:v>
      </x:c>
      <x:c r="T396" s="58" t="str">
        <x:v>IN TARGET BAND</x:v>
      </x:c>
      <x:c r="U396" s="58" t="str">
        <x:v>Yes</x:v>
      </x:c>
      <x:c r="V396" s="58" t="n">
        <x:v>573</x:v>
      </x:c>
      <x:c r="W396" s="58" t="str">
        <x:v>Pasted text(59).txt</x:v>
      </x:c>
    </x:row>
    <x:row r="397">
      <x:c r="A397" s="58" t="str">
        <x:v>S13</x:v>
      </x:c>
      <x:c r="B397" s="58" t="str">
        <x:v>1.00 validated five-run session</x:v>
      </x:c>
      <x:c r="C397" s="58" t="n">
        <x:v>1</x:v>
      </x:c>
      <x:c r="D397" s="58" t="n">
        <x:v>1</x:v>
      </x:c>
      <x:c r="E397" s="58" t="str">
        <x:v>PASS</x:v>
      </x:c>
      <x:c r="F397" s="58" t="n">
        <x:v>1</x:v>
      </x:c>
      <x:c r="G397" s="58" t="n">
        <x:v>6</x:v>
      </x:c>
      <x:c r="H397" s="59" t="n">
        <x:v>9.25</x:v>
      </x:c>
      <x:c r="I397" s="59" t="n">
        <x:v>0.98192</x:v>
      </x:c>
      <x:c r="J397" s="59" t="n">
        <x:v>0.97597</x:v>
      </x:c>
      <x:c r="K397" s="59" t="n">
        <x:v>0.42432</x:v>
      </x:c>
      <x:c r="L397" s="59" t="n">
        <x:v>0.23428</x:v>
      </x:c>
      <x:c r="M397" s="59" t="n">
        <x:v>1.09014</x:v>
      </x:c>
      <x:c r="N397" s="60" t="n">
        <x:v>-1.81</x:v>
      </x:c>
      <x:c r="O397" s="60" t="n">
        <x:v>1.02</x:v>
      </x:c>
      <x:c r="P397" s="60" t="n">
        <x:v>1.69</x:v>
      </x:c>
      <x:c r="Q397" s="60" t="n">
        <x:v>86.4</x:v>
      </x:c>
      <x:c r="R397" s="58" t="str">
        <x:v>X</x:v>
      </x:c>
      <x:c r="S397" s="60" t="n">
        <x:v>100</x:v>
      </x:c>
      <x:c r="T397" s="58" t="str">
        <x:v>IN TARGET BAND</x:v>
      </x:c>
      <x:c r="U397" s="58" t="str">
        <x:v>Yes</x:v>
      </x:c>
      <x:c r="V397" s="58" t="n">
        <x:v>574</x:v>
      </x:c>
      <x:c r="W397" s="58" t="str">
        <x:v>Pasted text(59).txt</x:v>
      </x:c>
    </x:row>
    <x:row r="398">
      <x:c r="A398" s="58" t="str">
        <x:v>S13</x:v>
      </x:c>
      <x:c r="B398" s="58" t="str">
        <x:v>1.00 validated five-run session</x:v>
      </x:c>
      <x:c r="C398" s="58" t="n">
        <x:v>1</x:v>
      </x:c>
      <x:c r="D398" s="58" t="n">
        <x:v>1</x:v>
      </x:c>
      <x:c r="E398" s="58" t="str">
        <x:v>PASS</x:v>
      </x:c>
      <x:c r="F398" s="58" t="n">
        <x:v>1</x:v>
      </x:c>
      <x:c r="G398" s="58" t="n">
        <x:v>7</x:v>
      </x:c>
      <x:c r="H398" s="59" t="n">
        <x:v>9.25</x:v>
      </x:c>
      <x:c r="I398" s="59" t="n">
        <x:v>0.97729</x:v>
      </x:c>
      <x:c r="J398" s="59" t="n">
        <x:v>0.9724</x:v>
      </x:c>
      <x:c r="K398" s="59" t="n">
        <x:v>0.42942</x:v>
      </x:c>
      <x:c r="L398" s="59" t="n">
        <x:v>0.23749</x:v>
      </x:c>
      <x:c r="M398" s="59" t="n">
        <x:v>1.08958</x:v>
      </x:c>
      <x:c r="N398" s="60" t="n">
        <x:v>-2.27</x:v>
      </x:c>
      <x:c r="O398" s="60" t="n">
        <x:v>0.96</x:v>
      </x:c>
      <x:c r="P398" s="60" t="n">
        <x:v>1.47</x:v>
      </x:c>
      <x:c r="Q398" s="60" t="n">
        <x:v>85</x:v>
      </x:c>
      <x:c r="R398" s="58" t="str">
        <x:v>X</x:v>
      </x:c>
      <x:c r="S398" s="60" t="n">
        <x:v>100</x:v>
      </x:c>
      <x:c r="T398" s="58" t="str">
        <x:v>IN TARGET BAND</x:v>
      </x:c>
      <x:c r="U398" s="58" t="str">
        <x:v>Yes</x:v>
      </x:c>
      <x:c r="V398" s="58" t="n">
        <x:v>575</x:v>
      </x:c>
      <x:c r="W398" s="58" t="str">
        <x:v>Pasted text(59).txt</x:v>
      </x:c>
    </x:row>
    <x:row r="399">
      <x:c r="A399" s="58" t="str">
        <x:v>S13</x:v>
      </x:c>
      <x:c r="B399" s="58" t="str">
        <x:v>1.00 validated five-run session</x:v>
      </x:c>
      <x:c r="C399" s="58" t="n">
        <x:v>1</x:v>
      </x:c>
      <x:c r="D399" s="58" t="n">
        <x:v>1</x:v>
      </x:c>
      <x:c r="E399" s="58" t="str">
        <x:v>PASS</x:v>
      </x:c>
      <x:c r="F399" s="58" t="n">
        <x:v>1</x:v>
      </x:c>
      <x:c r="G399" s="58" t="n">
        <x:v>8</x:v>
      </x:c>
      <x:c r="H399" s="59" t="n">
        <x:v>9.25</x:v>
      </x:c>
      <x:c r="I399" s="59" t="n">
        <x:v>0.98784</x:v>
      </x:c>
      <x:c r="J399" s="59" t="n">
        <x:v>0.97437</x:v>
      </x:c>
      <x:c r="K399" s="59" t="n">
        <x:v>0.40915</x:v>
      </x:c>
      <x:c r="L399" s="59" t="n">
        <x:v>0.25788</x:v>
      </x:c>
      <x:c r="M399" s="59" t="n">
        <x:v>1.08791</x:v>
      </x:c>
      <x:c r="N399" s="60" t="n">
        <x:v>-1.22</x:v>
      </x:c>
      <x:c r="O399" s="60" t="n">
        <x:v>0.74</x:v>
      </x:c>
      <x:c r="P399" s="60" t="n">
        <x:v>2.84</x:v>
      </x:c>
      <x:c r="Q399" s="60" t="n">
        <x:v>85.6</x:v>
      </x:c>
      <x:c r="R399" s="58" t="str">
        <x:v>X</x:v>
      </x:c>
      <x:c r="S399" s="60" t="n">
        <x:v>100</x:v>
      </x:c>
      <x:c r="T399" s="58" t="str">
        <x:v>IN TARGET BAND</x:v>
      </x:c>
      <x:c r="U399" s="58" t="str">
        <x:v>Yes</x:v>
      </x:c>
      <x:c r="V399" s="58" t="n">
        <x:v>576</x:v>
      </x:c>
      <x:c r="W399" s="58" t="str">
        <x:v>Pasted text(59).txt</x:v>
      </x:c>
    </x:row>
    <x:row r="400">
      <x:c r="A400" s="58" t="str">
        <x:v>S13</x:v>
      </x:c>
      <x:c r="B400" s="58" t="str">
        <x:v>1.00 validated five-run session</x:v>
      </x:c>
      <x:c r="C400" s="58" t="n">
        <x:v>1</x:v>
      </x:c>
      <x:c r="D400" s="58" t="n">
        <x:v>1</x:v>
      </x:c>
      <x:c r="E400" s="58" t="str">
        <x:v>PASS</x:v>
      </x:c>
      <x:c r="F400" s="58" t="n">
        <x:v>1</x:v>
      </x:c>
      <x:c r="G400" s="58" t="n">
        <x:v>9</x:v>
      </x:c>
      <x:c r="H400" s="59" t="n">
        <x:v>9.25</x:v>
      </x:c>
      <x:c r="I400" s="59" t="n">
        <x:v>0.98525</x:v>
      </x:c>
      <x:c r="J400" s="59" t="n">
        <x:v>0.98492</x:v>
      </x:c>
      <x:c r="K400" s="59" t="n">
        <x:v>0.45193</x:v>
      </x:c>
      <x:c r="L400" s="59" t="n">
        <x:v>0.24474</x:v>
      </x:c>
      <x:c r="M400" s="59" t="n">
        <x:v>1.11154</x:v>
      </x:c>
      <x:c r="N400" s="60" t="n">
        <x:v>-1.48</x:v>
      </x:c>
      <x:c r="O400" s="60" t="n">
        <x:v>0.07</x:v>
      </x:c>
      <x:c r="P400" s="60" t="n">
        <x:v>0.1</x:v>
      </x:c>
      <x:c r="Q400" s="60" t="n">
        <x:v>85.7</x:v>
      </x:c>
      <x:c r="R400" s="58" t="str">
        <x:v>X</x:v>
      </x:c>
      <x:c r="S400" s="60" t="n">
        <x:v>100</x:v>
      </x:c>
      <x:c r="T400" s="58" t="str">
        <x:v>IN TARGET BAND</x:v>
      </x:c>
      <x:c r="U400" s="58" t="str">
        <x:v>Yes</x:v>
      </x:c>
      <x:c r="V400" s="58" t="n">
        <x:v>577</x:v>
      </x:c>
      <x:c r="W400" s="58" t="str">
        <x:v>Pasted text(59).txt</x:v>
      </x:c>
    </x:row>
    <x:row r="401">
      <x:c r="A401" s="58" t="str">
        <x:v>S13</x:v>
      </x:c>
      <x:c r="B401" s="58" t="str">
        <x:v>1.00 validated five-run session</x:v>
      </x:c>
      <x:c r="C401" s="58" t="n">
        <x:v>1</x:v>
      </x:c>
      <x:c r="D401" s="58" t="n">
        <x:v>1</x:v>
      </x:c>
      <x:c r="E401" s="58" t="str">
        <x:v>PASS</x:v>
      </x:c>
      <x:c r="F401" s="58" t="n">
        <x:v>1</x:v>
      </x:c>
      <x:c r="G401" s="58" t="n">
        <x:v>10</x:v>
      </x:c>
      <x:c r="H401" s="59" t="n">
        <x:v>9.25</x:v>
      </x:c>
      <x:c r="I401" s="59" t="n">
        <x:v>0.96588</x:v>
      </x:c>
      <x:c r="J401" s="59" t="n">
        <x:v>0.96725</x:v>
      </x:c>
      <x:c r="K401" s="59" t="n">
        <x:v>0.46352</x:v>
      </x:c>
      <x:c r="L401" s="59" t="n">
        <x:v>0.21513</x:v>
      </x:c>
      <x:c r="M401" s="59" t="n">
        <x:v>1.09431</x:v>
      </x:c>
      <x:c r="N401" s="60" t="n">
        <x:v>-3.41</x:v>
      </x:c>
      <x:c r="O401" s="60" t="n">
        <x:v>0.16</x:v>
      </x:c>
      <x:c r="P401" s="60" t="n">
        <x:v>0.34</x:v>
      </x:c>
      <x:c r="Q401" s="60" t="n">
        <x:v>84.6</x:v>
      </x:c>
      <x:c r="R401" s="58" t="str">
        <x:v>X</x:v>
      </x:c>
      <x:c r="S401" s="60" t="n">
        <x:v>100</x:v>
      </x:c>
      <x:c r="T401" s="58" t="str">
        <x:v>IN TARGET BAND</x:v>
      </x:c>
      <x:c r="U401" s="58" t="str">
        <x:v>Yes</x:v>
      </x:c>
      <x:c r="V401" s="58" t="n">
        <x:v>578</x:v>
      </x:c>
      <x:c r="W401" s="58" t="str">
        <x:v>Pasted text(59).txt</x:v>
      </x:c>
    </x:row>
    <x:row r="402">
      <x:c r="A402" s="58" t="str">
        <x:v>S13</x:v>
      </x:c>
      <x:c r="B402" s="58" t="str">
        <x:v>1.00 validated five-run session</x:v>
      </x:c>
      <x:c r="C402" s="58" t="n">
        <x:v>1</x:v>
      </x:c>
      <x:c r="D402" s="58" t="n">
        <x:v>2</x:v>
      </x:c>
      <x:c r="E402" s="58" t="str">
        <x:v>PASS</x:v>
      </x:c>
      <x:c r="F402" s="58" t="n">
        <x:v>1</x:v>
      </x:c>
      <x:c r="G402" s="58" t="n">
        <x:v>1</x:v>
      </x:c>
      <x:c r="H402" s="59" t="n">
        <x:v>9.75</x:v>
      </x:c>
      <x:c r="I402" s="59" t="n">
        <x:v>0.93704</x:v>
      </x:c>
      <x:c r="J402" s="59" t="n">
        <x:v>0.94242</x:v>
      </x:c>
      <x:c r="K402" s="59" t="n">
        <x:v>0.42116</x:v>
      </x:c>
      <x:c r="L402" s="59" t="n">
        <x:v>0.24295</x:v>
      </x:c>
      <x:c r="M402" s="59" t="n">
        <x:v>1.06089</x:v>
      </x:c>
      <x:c r="N402" s="60" t="n">
        <x:v>-6.3</x:v>
      </x:c>
      <x:c r="O402" s="60" t="n">
        <x:v>0.15</x:v>
      </x:c>
      <x:c r="P402" s="60" t="n">
        <x:v>1.08</x:v>
      </x:c>
      <x:c r="Q402" s="60" t="n">
        <x:v>81.6</x:v>
      </x:c>
      <x:c r="R402" s="58" t="str">
        <x:v>X</x:v>
      </x:c>
      <x:c r="S402" s="60" t="n">
        <x:v>100</x:v>
      </x:c>
      <x:c r="T402" s="58" t="str">
        <x:v>IN TARGET BAND</x:v>
      </x:c>
      <x:c r="U402" s="58" t="str">
        <x:v>Yes</x:v>
      </x:c>
      <x:c r="V402" s="58" t="n">
        <x:v>650</x:v>
      </x:c>
      <x:c r="W402" s="58" t="str">
        <x:v>Pasted text(59).txt</x:v>
      </x:c>
    </x:row>
    <x:row r="403">
      <x:c r="A403" s="58" t="str">
        <x:v>S13</x:v>
      </x:c>
      <x:c r="B403" s="58" t="str">
        <x:v>1.00 validated five-run session</x:v>
      </x:c>
      <x:c r="C403" s="58" t="n">
        <x:v>1</x:v>
      </x:c>
      <x:c r="D403" s="58" t="n">
        <x:v>2</x:v>
      </x:c>
      <x:c r="E403" s="58" t="str">
        <x:v>PASS</x:v>
      </x:c>
      <x:c r="F403" s="58" t="n">
        <x:v>1</x:v>
      </x:c>
      <x:c r="G403" s="58" t="n">
        <x:v>2</x:v>
      </x:c>
      <x:c r="H403" s="59" t="n">
        <x:v>9.75</x:v>
      </x:c>
      <x:c r="I403" s="59" t="n">
        <x:v>0.94578</x:v>
      </x:c>
      <x:c r="J403" s="59" t="n">
        <x:v>0.9455</x:v>
      </x:c>
      <x:c r="K403" s="59" t="n">
        <x:v>0.42413</x:v>
      </x:c>
      <x:c r="L403" s="59" t="n">
        <x:v>0.24576</x:v>
      </x:c>
      <x:c r="M403" s="59" t="n">
        <x:v>1.06556</x:v>
      </x:c>
      <x:c r="N403" s="60" t="n">
        <x:v>-5.42</x:v>
      </x:c>
      <x:c r="O403" s="60" t="n">
        <x:v>2.36</x:v>
      </x:c>
      <x:c r="P403" s="60" t="n">
        <x:v>1.64</x:v>
      </x:c>
      <x:c r="Q403" s="60" t="n">
        <x:v>82.9</x:v>
      </x:c>
      <x:c r="R403" s="58" t="str">
        <x:v>X</x:v>
      </x:c>
      <x:c r="S403" s="60" t="n">
        <x:v>100</x:v>
      </x:c>
      <x:c r="T403" s="58" t="str">
        <x:v>IN TARGET BAND</x:v>
      </x:c>
      <x:c r="U403" s="58" t="str">
        <x:v>Yes</x:v>
      </x:c>
      <x:c r="V403" s="58" t="n">
        <x:v>651</x:v>
      </x:c>
      <x:c r="W403" s="58" t="str">
        <x:v>Pasted text(59).txt</x:v>
      </x:c>
    </x:row>
    <x:row r="404">
      <x:c r="A404" s="58" t="str">
        <x:v>S13</x:v>
      </x:c>
      <x:c r="B404" s="58" t="str">
        <x:v>1.00 validated five-run session</x:v>
      </x:c>
      <x:c r="C404" s="58" t="n">
        <x:v>1</x:v>
      </x:c>
      <x:c r="D404" s="58" t="n">
        <x:v>2</x:v>
      </x:c>
      <x:c r="E404" s="58" t="str">
        <x:v>PASS</x:v>
      </x:c>
      <x:c r="F404" s="58" t="n">
        <x:v>1</x:v>
      </x:c>
      <x:c r="G404" s="58" t="n">
        <x:v>3</x:v>
      </x:c>
      <x:c r="H404" s="59" t="n">
        <x:v>9.75</x:v>
      </x:c>
      <x:c r="I404" s="59" t="n">
        <x:v>0.935</x:v>
      </x:c>
      <x:c r="J404" s="59" t="n">
        <x:v>0.94392</x:v>
      </x:c>
      <x:c r="K404" s="59" t="n">
        <x:v>0.39522</x:v>
      </x:c>
      <x:c r="L404" s="59" t="n">
        <x:v>0.26949</x:v>
      </x:c>
      <x:c r="M404" s="59" t="n">
        <x:v>1.05871</x:v>
      </x:c>
      <x:c r="N404" s="60" t="n">
        <x:v>-6.5</x:v>
      </x:c>
      <x:c r="O404" s="60" t="n">
        <x:v>1.09</x:v>
      </x:c>
      <x:c r="P404" s="60" t="n">
        <x:v>2.3</x:v>
      </x:c>
      <x:c r="Q404" s="60" t="n">
        <x:v>82.2</x:v>
      </x:c>
      <x:c r="R404" s="58" t="str">
        <x:v>X</x:v>
      </x:c>
      <x:c r="S404" s="60" t="n">
        <x:v>100</x:v>
      </x:c>
      <x:c r="T404" s="58" t="str">
        <x:v>IN TARGET BAND</x:v>
      </x:c>
      <x:c r="U404" s="58" t="str">
        <x:v>Yes</x:v>
      </x:c>
      <x:c r="V404" s="58" t="n">
        <x:v>652</x:v>
      </x:c>
      <x:c r="W404" s="58" t="str">
        <x:v>Pasted text(59).txt</x:v>
      </x:c>
    </x:row>
    <x:row r="405">
      <x:c r="A405" s="58" t="str">
        <x:v>S13</x:v>
      </x:c>
      <x:c r="B405" s="58" t="str">
        <x:v>1.00 validated five-run session</x:v>
      </x:c>
      <x:c r="C405" s="58" t="n">
        <x:v>1</x:v>
      </x:c>
      <x:c r="D405" s="58" t="n">
        <x:v>2</x:v>
      </x:c>
      <x:c r="E405" s="58" t="str">
        <x:v>PASS</x:v>
      </x:c>
      <x:c r="F405" s="58" t="n">
        <x:v>1</x:v>
      </x:c>
      <x:c r="G405" s="58" t="n">
        <x:v>4</x:v>
      </x:c>
      <x:c r="H405" s="59" t="n">
        <x:v>9.75</x:v>
      </x:c>
      <x:c r="I405" s="59" t="n">
        <x:v>0.93621</x:v>
      </x:c>
      <x:c r="J405" s="59" t="n">
        <x:v>0.9339</x:v>
      </x:c>
      <x:c r="K405" s="59" t="n">
        <x:v>0.39041</x:v>
      </x:c>
      <x:c r="L405" s="59" t="n">
        <x:v>0.25536</x:v>
      </x:c>
      <x:c r="M405" s="59" t="n">
        <x:v>1.04437</x:v>
      </x:c>
      <x:c r="N405" s="60" t="n">
        <x:v>-6.38</x:v>
      </x:c>
      <x:c r="O405" s="60" t="n">
        <x:v>0.66</x:v>
      </x:c>
      <x:c r="P405" s="60" t="n">
        <x:v>0.85</x:v>
      </x:c>
      <x:c r="Q405" s="60" t="n">
        <x:v>81.2</x:v>
      </x:c>
      <x:c r="R405" s="58" t="str">
        <x:v>X</x:v>
      </x:c>
      <x:c r="S405" s="60" t="n">
        <x:v>100</x:v>
      </x:c>
      <x:c r="T405" s="58" t="str">
        <x:v>IN TARGET BAND</x:v>
      </x:c>
      <x:c r="U405" s="58" t="str">
        <x:v>Yes</x:v>
      </x:c>
      <x:c r="V405" s="58" t="n">
        <x:v>653</x:v>
      </x:c>
      <x:c r="W405" s="58" t="str">
        <x:v>Pasted text(59).txt</x:v>
      </x:c>
    </x:row>
    <x:row r="406">
      <x:c r="A406" s="58" t="str">
        <x:v>S13</x:v>
      </x:c>
      <x:c r="B406" s="58" t="str">
        <x:v>1.00 validated five-run session</x:v>
      </x:c>
      <x:c r="C406" s="58" t="n">
        <x:v>1</x:v>
      </x:c>
      <x:c r="D406" s="58" t="n">
        <x:v>2</x:v>
      </x:c>
      <x:c r="E406" s="58" t="str">
        <x:v>PASS</x:v>
      </x:c>
      <x:c r="F406" s="58" t="n">
        <x:v>1</x:v>
      </x:c>
      <x:c r="G406" s="58" t="n">
        <x:v>5</x:v>
      </x:c>
      <x:c r="H406" s="59" t="n">
        <x:v>9.75</x:v>
      </x:c>
      <x:c r="I406" s="59" t="n">
        <x:v>0.95465</x:v>
      </x:c>
      <x:c r="J406" s="59" t="n">
        <x:v>0.95056</x:v>
      </x:c>
      <x:c r="K406" s="59" t="n">
        <x:v>0.40614</x:v>
      </x:c>
      <x:c r="L406" s="59" t="n">
        <x:v>0.26862</x:v>
      </x:c>
      <x:c r="M406" s="59" t="n">
        <x:v>1.06902</x:v>
      </x:c>
      <x:c r="N406" s="60" t="n">
        <x:v>-4.54</x:v>
      </x:c>
      <x:c r="O406" s="60" t="n">
        <x:v>1.38</x:v>
      </x:c>
      <x:c r="P406" s="60" t="n">
        <x:v>1.62</x:v>
      </x:c>
      <x:c r="Q406" s="60" t="n">
        <x:v>82.5</x:v>
      </x:c>
      <x:c r="R406" s="58" t="str">
        <x:v>X</x:v>
      </x:c>
      <x:c r="S406" s="60" t="n">
        <x:v>100</x:v>
      </x:c>
      <x:c r="T406" s="58" t="str">
        <x:v>IN TARGET BAND</x:v>
      </x:c>
      <x:c r="U406" s="58" t="str">
        <x:v>Yes</x:v>
      </x:c>
      <x:c r="V406" s="58" t="n">
        <x:v>654</x:v>
      </x:c>
      <x:c r="W406" s="58" t="str">
        <x:v>Pasted text(59).txt</x:v>
      </x:c>
    </x:row>
    <x:row r="407">
      <x:c r="A407" s="58" t="str">
        <x:v>S13</x:v>
      </x:c>
      <x:c r="B407" s="58" t="str">
        <x:v>1.00 validated five-run session</x:v>
      </x:c>
      <x:c r="C407" s="58" t="n">
        <x:v>1</x:v>
      </x:c>
      <x:c r="D407" s="58" t="n">
        <x:v>2</x:v>
      </x:c>
      <x:c r="E407" s="58" t="str">
        <x:v>PASS</x:v>
      </x:c>
      <x:c r="F407" s="58" t="n">
        <x:v>1</x:v>
      </x:c>
      <x:c r="G407" s="58" t="n">
        <x:v>6</x:v>
      </x:c>
      <x:c r="H407" s="59" t="n">
        <x:v>9.75</x:v>
      </x:c>
      <x:c r="I407" s="59" t="n">
        <x:v>0.92599</x:v>
      </x:c>
      <x:c r="J407" s="59" t="n">
        <x:v>0.94364</x:v>
      </x:c>
      <x:c r="K407" s="59" t="n">
        <x:v>0.41877</x:v>
      </x:c>
      <x:c r="L407" s="59" t="n">
        <x:v>0.25229</x:v>
      </x:c>
      <x:c r="M407" s="59" t="n">
        <x:v>1.06314</x:v>
      </x:c>
      <x:c r="N407" s="60" t="n">
        <x:v>-7.4</x:v>
      </x:c>
      <x:c r="O407" s="60" t="n">
        <x:v>1.9</x:v>
      </x:c>
      <x:c r="P407" s="60" t="n">
        <x:v>4.38</x:v>
      </x:c>
      <x:c r="Q407" s="60" t="n">
        <x:v>82.7</x:v>
      </x:c>
      <x:c r="R407" s="58" t="str">
        <x:v>X</x:v>
      </x:c>
      <x:c r="S407" s="60" t="n">
        <x:v>100</x:v>
      </x:c>
      <x:c r="T407" s="58" t="str">
        <x:v>IN TARGET BAND</x:v>
      </x:c>
      <x:c r="U407" s="58" t="str">
        <x:v>Yes</x:v>
      </x:c>
      <x:c r="V407" s="58" t="n">
        <x:v>655</x:v>
      </x:c>
      <x:c r="W407" s="58" t="str">
        <x:v>Pasted text(59).txt</x:v>
      </x:c>
    </x:row>
    <x:row r="408">
      <x:c r="A408" s="58" t="str">
        <x:v>S13</x:v>
      </x:c>
      <x:c r="B408" s="58" t="str">
        <x:v>1.00 validated five-run session</x:v>
      </x:c>
      <x:c r="C408" s="58" t="n">
        <x:v>1</x:v>
      </x:c>
      <x:c r="D408" s="58" t="n">
        <x:v>2</x:v>
      </x:c>
      <x:c r="E408" s="58" t="str">
        <x:v>PASS</x:v>
      </x:c>
      <x:c r="F408" s="58" t="n">
        <x:v>1</x:v>
      </x:c>
      <x:c r="G408" s="58" t="n">
        <x:v>7</x:v>
      </x:c>
      <x:c r="H408" s="59" t="n">
        <x:v>9.75</x:v>
      </x:c>
      <x:c r="I408" s="59" t="n">
        <x:v>0.94027</x:v>
      </x:c>
      <x:c r="J408" s="59" t="n">
        <x:v>0.94741</x:v>
      </x:c>
      <x:c r="K408" s="59" t="n">
        <x:v>0.41763</x:v>
      </x:c>
      <x:c r="L408" s="59" t="n">
        <x:v>0.25137</x:v>
      </x:c>
      <x:c r="M408" s="59" t="n">
        <x:v>1.06563</x:v>
      </x:c>
      <x:c r="N408" s="60" t="n">
        <x:v>-5.97</x:v>
      </x:c>
      <x:c r="O408" s="60" t="n">
        <x:v>1.23</x:v>
      </x:c>
      <x:c r="P408" s="60" t="n">
        <x:v>2.06</x:v>
      </x:c>
      <x:c r="Q408" s="60" t="n">
        <x:v>82</x:v>
      </x:c>
      <x:c r="R408" s="58" t="str">
        <x:v>X</x:v>
      </x:c>
      <x:c r="S408" s="60" t="n">
        <x:v>100</x:v>
      </x:c>
      <x:c r="T408" s="58" t="str">
        <x:v>IN TARGET BAND</x:v>
      </x:c>
      <x:c r="U408" s="58" t="str">
        <x:v>Yes</x:v>
      </x:c>
      <x:c r="V408" s="58" t="n">
        <x:v>656</x:v>
      </x:c>
      <x:c r="W408" s="58" t="str">
        <x:v>Pasted text(59).txt</x:v>
      </x:c>
    </x:row>
    <x:row r="409">
      <x:c r="A409" s="58" t="str">
        <x:v>S13</x:v>
      </x:c>
      <x:c r="B409" s="58" t="str">
        <x:v>1.00 validated five-run session</x:v>
      </x:c>
      <x:c r="C409" s="58" t="n">
        <x:v>1</x:v>
      </x:c>
      <x:c r="D409" s="58" t="n">
        <x:v>2</x:v>
      </x:c>
      <x:c r="E409" s="58" t="str">
        <x:v>PASS</x:v>
      </x:c>
      <x:c r="F409" s="58" t="n">
        <x:v>1</x:v>
      </x:c>
      <x:c r="G409" s="58" t="n">
        <x:v>8</x:v>
      </x:c>
      <x:c r="H409" s="59" t="n">
        <x:v>9.75</x:v>
      </x:c>
      <x:c r="I409" s="59" t="n">
        <x:v>0.93478</x:v>
      </x:c>
      <x:c r="J409" s="59" t="n">
        <x:v>0.93089</x:v>
      </x:c>
      <x:c r="K409" s="59" t="n">
        <x:v>0.39955</x:v>
      </x:c>
      <x:c r="L409" s="59" t="n">
        <x:v>0.23408</x:v>
      </x:c>
      <x:c r="M409" s="59" t="n">
        <x:v>1.03987</x:v>
      </x:c>
      <x:c r="N409" s="60" t="n">
        <x:v>-6.52</x:v>
      </x:c>
      <x:c r="O409" s="60" t="n">
        <x:v>0.29</x:v>
      </x:c>
      <x:c r="P409" s="60" t="n">
        <x:v>0.9</x:v>
      </x:c>
      <x:c r="Q409" s="60" t="n">
        <x:v>81.8</x:v>
      </x:c>
      <x:c r="R409" s="58" t="str">
        <x:v>X</x:v>
      </x:c>
      <x:c r="S409" s="60" t="n">
        <x:v>100</x:v>
      </x:c>
      <x:c r="T409" s="58" t="str">
        <x:v>IN TARGET BAND</x:v>
      </x:c>
      <x:c r="U409" s="58" t="str">
        <x:v>Yes</x:v>
      </x:c>
      <x:c r="V409" s="58" t="n">
        <x:v>657</x:v>
      </x:c>
      <x:c r="W409" s="58" t="str">
        <x:v>Pasted text(59).txt</x:v>
      </x:c>
    </x:row>
    <x:row r="410">
      <x:c r="A410" s="58" t="str">
        <x:v>S13</x:v>
      </x:c>
      <x:c r="B410" s="58" t="str">
        <x:v>1.00 validated five-run session</x:v>
      </x:c>
      <x:c r="C410" s="58" t="n">
        <x:v>1</x:v>
      </x:c>
      <x:c r="D410" s="58" t="n">
        <x:v>2</x:v>
      </x:c>
      <x:c r="E410" s="58" t="str">
        <x:v>PASS</x:v>
      </x:c>
      <x:c r="F410" s="58" t="n">
        <x:v>1</x:v>
      </x:c>
      <x:c r="G410" s="58" t="n">
        <x:v>9</x:v>
      </x:c>
      <x:c r="H410" s="59" t="n">
        <x:v>9.75</x:v>
      </x:c>
      <x:c r="I410" s="59" t="n">
        <x:v>0.95057</x:v>
      </x:c>
      <x:c r="J410" s="59" t="n">
        <x:v>0.94859</x:v>
      </x:c>
      <x:c r="K410" s="59" t="n">
        <x:v>0.41954</x:v>
      </x:c>
      <x:c r="L410" s="59" t="n">
        <x:v>0.26961</x:v>
      </x:c>
      <x:c r="M410" s="59" t="n">
        <x:v>1.07185</x:v>
      </x:c>
      <x:c r="N410" s="60" t="n">
        <x:v>-4.94</x:v>
      </x:c>
      <x:c r="O410" s="60" t="n">
        <x:v>1.34</x:v>
      </x:c>
      <x:c r="P410" s="60" t="n">
        <x:v>1.23</x:v>
      </x:c>
      <x:c r="Q410" s="60" t="n">
        <x:v>82.5</x:v>
      </x:c>
      <x:c r="R410" s="58" t="str">
        <x:v>X</x:v>
      </x:c>
      <x:c r="S410" s="60" t="n">
        <x:v>100</x:v>
      </x:c>
      <x:c r="T410" s="58" t="str">
        <x:v>IN TARGET BAND</x:v>
      </x:c>
      <x:c r="U410" s="58" t="str">
        <x:v>Yes</x:v>
      </x:c>
      <x:c r="V410" s="58" t="n">
        <x:v>658</x:v>
      </x:c>
      <x:c r="W410" s="58" t="str">
        <x:v>Pasted text(59).txt</x:v>
      </x:c>
    </x:row>
    <x:row r="411">
      <x:c r="A411" s="58" t="str">
        <x:v>S13</x:v>
      </x:c>
      <x:c r="B411" s="58" t="str">
        <x:v>1.00 validated five-run session</x:v>
      </x:c>
      <x:c r="C411" s="58" t="n">
        <x:v>1</x:v>
      </x:c>
      <x:c r="D411" s="58" t="n">
        <x:v>2</x:v>
      </x:c>
      <x:c r="E411" s="58" t="str">
        <x:v>PASS</x:v>
      </x:c>
      <x:c r="F411" s="58" t="n">
        <x:v>1</x:v>
      </x:c>
      <x:c r="G411" s="58" t="n">
        <x:v>10</x:v>
      </x:c>
      <x:c r="H411" s="59" t="n">
        <x:v>9.75</x:v>
      </x:c>
      <x:c r="I411" s="59" t="n">
        <x:v>0.94998</x:v>
      </x:c>
      <x:c r="J411" s="59" t="n">
        <x:v>0.94906</x:v>
      </x:c>
      <x:c r="K411" s="59" t="n">
        <x:v>0.40591</x:v>
      </x:c>
      <x:c r="L411" s="59" t="n">
        <x:v>0.25301</x:v>
      </x:c>
      <x:c r="M411" s="59" t="n">
        <x:v>1.06321</x:v>
      </x:c>
      <x:c r="N411" s="60" t="n">
        <x:v>-5</x:v>
      </x:c>
      <x:c r="O411" s="60" t="n">
        <x:v>2.02</x:v>
      </x:c>
      <x:c r="P411" s="60" t="n">
        <x:v>1.51</x:v>
      </x:c>
      <x:c r="Q411" s="60" t="n">
        <x:v>81.8</x:v>
      </x:c>
      <x:c r="R411" s="58" t="str">
        <x:v>X</x:v>
      </x:c>
      <x:c r="S411" s="60" t="n">
        <x:v>100</x:v>
      </x:c>
      <x:c r="T411" s="58" t="str">
        <x:v>IN TARGET BAND</x:v>
      </x:c>
      <x:c r="U411" s="58" t="str">
        <x:v>Yes</x:v>
      </x:c>
      <x:c r="V411" s="58" t="n">
        <x:v>659</x:v>
      </x:c>
      <x:c r="W411" s="58" t="str">
        <x:v>Pasted text(59).txt</x:v>
      </x:c>
    </x:row>
    <x:row r="412">
      <x:c r="A412" s="58" t="str">
        <x:v>S13</x:v>
      </x:c>
      <x:c r="B412" s="58" t="str">
        <x:v>1.00 validated five-run session</x:v>
      </x:c>
      <x:c r="C412" s="58" t="n">
        <x:v>1</x:v>
      </x:c>
      <x:c r="D412" s="58" t="n">
        <x:v>3</x:v>
      </x:c>
      <x:c r="E412" s="58" t="str">
        <x:v>PASS</x:v>
      </x:c>
      <x:c r="F412" s="58" t="n">
        <x:v>1</x:v>
      </x:c>
      <x:c r="G412" s="58" t="n">
        <x:v>1</x:v>
      </x:c>
      <x:c r="H412" s="59" t="n">
        <x:v>10.25</x:v>
      </x:c>
      <x:c r="I412" s="59" t="n">
        <x:v>0.99747</x:v>
      </x:c>
      <x:c r="J412" s="59" t="n">
        <x:v>1.00025</x:v>
      </x:c>
      <x:c r="K412" s="59" t="n">
        <x:v>0.48074</x:v>
      </x:c>
      <x:c r="L412" s="59" t="n">
        <x:v>0.18544</x:v>
      </x:c>
      <x:c r="M412" s="59" t="n">
        <x:v>1.12539</x:v>
      </x:c>
      <x:c r="N412" s="60" t="n">
        <x:v>-0.25</x:v>
      </x:c>
      <x:c r="O412" s="60" t="n">
        <x:v>0.8</x:v>
      </x:c>
      <x:c r="P412" s="60" t="n">
        <x:v>0.99</x:v>
      </x:c>
      <x:c r="Q412" s="60" t="n">
        <x:v>86.4</x:v>
      </x:c>
      <x:c r="R412" s="58" t="str">
        <x:v>X</x:v>
      </x:c>
      <x:c r="S412" s="60" t="n">
        <x:v>100</x:v>
      </x:c>
      <x:c r="T412" s="58" t="str">
        <x:v>IN TARGET BAND</x:v>
      </x:c>
      <x:c r="U412" s="58" t="str">
        <x:v>Yes</x:v>
      </x:c>
      <x:c r="V412" s="58" t="n">
        <x:v>733</x:v>
      </x:c>
      <x:c r="W412" s="58" t="str">
        <x:v>Pasted text(59).txt</x:v>
      </x:c>
    </x:row>
    <x:row r="413">
      <x:c r="A413" s="58" t="str">
        <x:v>S13</x:v>
      </x:c>
      <x:c r="B413" s="58" t="str">
        <x:v>1.00 validated five-run session</x:v>
      </x:c>
      <x:c r="C413" s="58" t="n">
        <x:v>1</x:v>
      </x:c>
      <x:c r="D413" s="58" t="n">
        <x:v>3</x:v>
      </x:c>
      <x:c r="E413" s="58" t="str">
        <x:v>PASS</x:v>
      </x:c>
      <x:c r="F413" s="58" t="n">
        <x:v>1</x:v>
      </x:c>
      <x:c r="G413" s="58" t="n">
        <x:v>2</x:v>
      </x:c>
      <x:c r="H413" s="59" t="n">
        <x:v>10.25</x:v>
      </x:c>
      <x:c r="I413" s="59" t="n">
        <x:v>0.99838</x:v>
      </x:c>
      <x:c r="J413" s="59" t="n">
        <x:v>1.00239</x:v>
      </x:c>
      <x:c r="K413" s="59" t="n">
        <x:v>0.51953</x:v>
      </x:c>
      <x:c r="L413" s="59" t="n">
        <x:v>0.2035</x:v>
      </x:c>
      <x:c r="M413" s="59" t="n">
        <x:v>1.14736</x:v>
      </x:c>
      <x:c r="N413" s="60" t="n">
        <x:v>-0.16</x:v>
      </x:c>
      <x:c r="O413" s="60" t="n">
        <x:v>2.16</x:v>
      </x:c>
      <x:c r="P413" s="60" t="n">
        <x:v>2.08</x:v>
      </x:c>
      <x:c r="Q413" s="60" t="n">
        <x:v>86.8</x:v>
      </x:c>
      <x:c r="R413" s="58" t="str">
        <x:v>X</x:v>
      </x:c>
      <x:c r="S413" s="60" t="n">
        <x:v>100</x:v>
      </x:c>
      <x:c r="T413" s="58" t="str">
        <x:v>IN TARGET BAND</x:v>
      </x:c>
      <x:c r="U413" s="58" t="str">
        <x:v>Yes</x:v>
      </x:c>
      <x:c r="V413" s="58" t="n">
        <x:v>734</x:v>
      </x:c>
      <x:c r="W413" s="58" t="str">
        <x:v>Pasted text(59).txt</x:v>
      </x:c>
    </x:row>
    <x:row r="414">
      <x:c r="A414" s="58" t="str">
        <x:v>S13</x:v>
      </x:c>
      <x:c r="B414" s="58" t="str">
        <x:v>1.00 validated five-run session</x:v>
      </x:c>
      <x:c r="C414" s="58" t="n">
        <x:v>1</x:v>
      </x:c>
      <x:c r="D414" s="58" t="n">
        <x:v>3</x:v>
      </x:c>
      <x:c r="E414" s="58" t="str">
        <x:v>PASS</x:v>
      </x:c>
      <x:c r="F414" s="58" t="n">
        <x:v>1</x:v>
      </x:c>
      <x:c r="G414" s="58" t="n">
        <x:v>3</x:v>
      </x:c>
      <x:c r="H414" s="59" t="n">
        <x:v>10.25</x:v>
      </x:c>
      <x:c r="I414" s="59" t="n">
        <x:v>0.98025</x:v>
      </x:c>
      <x:c r="J414" s="59" t="n">
        <x:v>0.98187</x:v>
      </x:c>
      <x:c r="K414" s="59" t="n">
        <x:v>0.50783</x:v>
      </x:c>
      <x:c r="L414" s="59" t="n">
        <x:v>0.20956</x:v>
      </x:c>
      <x:c r="M414" s="59" t="n">
        <x:v>1.12608</x:v>
      </x:c>
      <x:c r="N414" s="60" t="n">
        <x:v>-1.98</x:v>
      </x:c>
      <x:c r="O414" s="60" t="n">
        <x:v>0.35</x:v>
      </x:c>
      <x:c r="P414" s="60" t="n">
        <x:v>0.5</x:v>
      </x:c>
      <x:c r="Q414" s="60" t="n">
        <x:v>86.3</x:v>
      </x:c>
      <x:c r="R414" s="58" t="str">
        <x:v>X</x:v>
      </x:c>
      <x:c r="S414" s="60" t="n">
        <x:v>100</x:v>
      </x:c>
      <x:c r="T414" s="58" t="str">
        <x:v>IN TARGET BAND</x:v>
      </x:c>
      <x:c r="U414" s="58" t="str">
        <x:v>Yes</x:v>
      </x:c>
      <x:c r="V414" s="58" t="n">
        <x:v>735</x:v>
      </x:c>
      <x:c r="W414" s="58" t="str">
        <x:v>Pasted text(59).txt</x:v>
      </x:c>
    </x:row>
    <x:row r="415">
      <x:c r="A415" s="58" t="str">
        <x:v>S13</x:v>
      </x:c>
      <x:c r="B415" s="58" t="str">
        <x:v>1.00 validated five-run session</x:v>
      </x:c>
      <x:c r="C415" s="58" t="n">
        <x:v>1</x:v>
      </x:c>
      <x:c r="D415" s="58" t="n">
        <x:v>3</x:v>
      </x:c>
      <x:c r="E415" s="58" t="str">
        <x:v>PASS</x:v>
      </x:c>
      <x:c r="F415" s="58" t="n">
        <x:v>1</x:v>
      </x:c>
      <x:c r="G415" s="58" t="n">
        <x:v>4</x:v>
      </x:c>
      <x:c r="H415" s="59" t="n">
        <x:v>10.25</x:v>
      </x:c>
      <x:c r="I415" s="59" t="n">
        <x:v>0.99616</x:v>
      </x:c>
      <x:c r="J415" s="59" t="n">
        <x:v>0.99808</x:v>
      </x:c>
      <x:c r="K415" s="59" t="n">
        <x:v>0.49646</x:v>
      </x:c>
      <x:c r="L415" s="59" t="n">
        <x:v>0.18961</x:v>
      </x:c>
      <x:c r="M415" s="59" t="n">
        <x:v>1.13081</x:v>
      </x:c>
      <x:c r="N415" s="60" t="n">
        <x:v>-0.38</x:v>
      </x:c>
      <x:c r="O415" s="60" t="n">
        <x:v>1.56</x:v>
      </x:c>
      <x:c r="P415" s="60" t="n">
        <x:v>1.35</x:v>
      </x:c>
      <x:c r="Q415" s="60" t="n">
        <x:v>85.7</x:v>
      </x:c>
      <x:c r="R415" s="58" t="str">
        <x:v>X</x:v>
      </x:c>
      <x:c r="S415" s="60" t="n">
        <x:v>100</x:v>
      </x:c>
      <x:c r="T415" s="58" t="str">
        <x:v>IN TARGET BAND</x:v>
      </x:c>
      <x:c r="U415" s="58" t="str">
        <x:v>Yes</x:v>
      </x:c>
      <x:c r="V415" s="58" t="n">
        <x:v>736</x:v>
      </x:c>
      <x:c r="W415" s="58" t="str">
        <x:v>Pasted text(59).txt</x:v>
      </x:c>
    </x:row>
    <x:row r="416">
      <x:c r="A416" s="58" t="str">
        <x:v>S13</x:v>
      </x:c>
      <x:c r="B416" s="58" t="str">
        <x:v>1.00 validated five-run session</x:v>
      </x:c>
      <x:c r="C416" s="58" t="n">
        <x:v>1</x:v>
      </x:c>
      <x:c r="D416" s="58" t="n">
        <x:v>3</x:v>
      </x:c>
      <x:c r="E416" s="58" t="str">
        <x:v>PASS</x:v>
      </x:c>
      <x:c r="F416" s="58" t="n">
        <x:v>1</x:v>
      </x:c>
      <x:c r="G416" s="58" t="n">
        <x:v>5</x:v>
      </x:c>
      <x:c r="H416" s="59" t="n">
        <x:v>10.25</x:v>
      </x:c>
      <x:c r="I416" s="59" t="n">
        <x:v>0.99442</x:v>
      </x:c>
      <x:c r="J416" s="59" t="n">
        <x:v>0.98831</x:v>
      </x:c>
      <x:c r="K416" s="59" t="n">
        <x:v>0.49712</x:v>
      </x:c>
      <x:c r="L416" s="59" t="n">
        <x:v>0.22049</x:v>
      </x:c>
      <x:c r="M416" s="59" t="n">
        <x:v>1.12832</x:v>
      </x:c>
      <x:c r="N416" s="60" t="n">
        <x:v>-0.56</x:v>
      </x:c>
      <x:c r="O416" s="60" t="n">
        <x:v>2.84</x:v>
      </x:c>
      <x:c r="P416" s="60" t="n">
        <x:v>2.9</x:v>
      </x:c>
      <x:c r="Q416" s="60" t="n">
        <x:v>85.6</x:v>
      </x:c>
      <x:c r="R416" s="58" t="str">
        <x:v>X</x:v>
      </x:c>
      <x:c r="S416" s="60" t="n">
        <x:v>100</x:v>
      </x:c>
      <x:c r="T416" s="58" t="str">
        <x:v>IN TARGET BAND</x:v>
      </x:c>
      <x:c r="U416" s="58" t="str">
        <x:v>Yes</x:v>
      </x:c>
      <x:c r="V416" s="58" t="n">
        <x:v>737</x:v>
      </x:c>
      <x:c r="W416" s="58" t="str">
        <x:v>Pasted text(59).txt</x:v>
      </x:c>
    </x:row>
    <x:row r="417">
      <x:c r="A417" s="58" t="str">
        <x:v>S13</x:v>
      </x:c>
      <x:c r="B417" s="58" t="str">
        <x:v>1.00 validated five-run session</x:v>
      </x:c>
      <x:c r="C417" s="58" t="n">
        <x:v>1</x:v>
      </x:c>
      <x:c r="D417" s="58" t="n">
        <x:v>3</x:v>
      </x:c>
      <x:c r="E417" s="58" t="str">
        <x:v>PASS</x:v>
      </x:c>
      <x:c r="F417" s="58" t="n">
        <x:v>1</x:v>
      </x:c>
      <x:c r="G417" s="58" t="n">
        <x:v>6</x:v>
      </x:c>
      <x:c r="H417" s="59" t="n">
        <x:v>10.25</x:v>
      </x:c>
      <x:c r="I417" s="59" t="n">
        <x:v>0.97306</x:v>
      </x:c>
      <x:c r="J417" s="59" t="n">
        <x:v>0.98192</x:v>
      </x:c>
      <x:c r="K417" s="59" t="n">
        <x:v>0.47327</x:v>
      </x:c>
      <x:c r="L417" s="59" t="n">
        <x:v>0.20319</x:v>
      </x:c>
      <x:c r="M417" s="59" t="n">
        <x:v>1.10888</x:v>
      </x:c>
      <x:c r="N417" s="60" t="n">
        <x:v>-2.69</x:v>
      </x:c>
      <x:c r="O417" s="60" t="n">
        <x:v>1.62</x:v>
      </x:c>
      <x:c r="P417" s="60" t="n">
        <x:v>2.56</x:v>
      </x:c>
      <x:c r="Q417" s="60" t="n">
        <x:v>86.4</x:v>
      </x:c>
      <x:c r="R417" s="58" t="str">
        <x:v>X</x:v>
      </x:c>
      <x:c r="S417" s="60" t="n">
        <x:v>100</x:v>
      </x:c>
      <x:c r="T417" s="58" t="str">
        <x:v>IN TARGET BAND</x:v>
      </x:c>
      <x:c r="U417" s="58" t="str">
        <x:v>Yes</x:v>
      </x:c>
      <x:c r="V417" s="58" t="n">
        <x:v>738</x:v>
      </x:c>
      <x:c r="W417" s="58" t="str">
        <x:v>Pasted text(59).txt</x:v>
      </x:c>
    </x:row>
    <x:row r="418">
      <x:c r="A418" s="58" t="str">
        <x:v>S13</x:v>
      </x:c>
      <x:c r="B418" s="58" t="str">
        <x:v>1.00 validated five-run session</x:v>
      </x:c>
      <x:c r="C418" s="58" t="n">
        <x:v>1</x:v>
      </x:c>
      <x:c r="D418" s="58" t="n">
        <x:v>3</x:v>
      </x:c>
      <x:c r="E418" s="58" t="str">
        <x:v>PASS</x:v>
      </x:c>
      <x:c r="F418" s="58" t="n">
        <x:v>1</x:v>
      </x:c>
      <x:c r="G418" s="58" t="n">
        <x:v>7</x:v>
      </x:c>
      <x:c r="H418" s="59" t="n">
        <x:v>10.25</x:v>
      </x:c>
      <x:c r="I418" s="59" t="n">
        <x:v>1.0119</x:v>
      </x:c>
      <x:c r="J418" s="59" t="n">
        <x:v>1.01265</x:v>
      </x:c>
      <x:c r="K418" s="59" t="n">
        <x:v>0.46394</x:v>
      </x:c>
      <x:c r="L418" s="59" t="n">
        <x:v>0.19148</x:v>
      </x:c>
      <x:c r="M418" s="59" t="n">
        <x:v>1.13053</x:v>
      </x:c>
      <x:c r="N418" s="60" t="n">
        <x:v>1.19</x:v>
      </x:c>
      <x:c r="O418" s="60" t="n">
        <x:v>3.95</x:v>
      </x:c>
      <x:c r="P418" s="60" t="n">
        <x:v>2.77</x:v>
      </x:c>
      <x:c r="Q418" s="60" t="n">
        <x:v>86.8</x:v>
      </x:c>
      <x:c r="R418" s="58" t="str">
        <x:v>X</x:v>
      </x:c>
      <x:c r="S418" s="60" t="n">
        <x:v>100</x:v>
      </x:c>
      <x:c r="T418" s="58" t="str">
        <x:v>IN TARGET BAND</x:v>
      </x:c>
      <x:c r="U418" s="58" t="str">
        <x:v>Yes</x:v>
      </x:c>
      <x:c r="V418" s="58" t="n">
        <x:v>739</x:v>
      </x:c>
      <x:c r="W418" s="58" t="str">
        <x:v>Pasted text(59).txt</x:v>
      </x:c>
    </x:row>
    <x:row r="419">
      <x:c r="A419" s="58" t="str">
        <x:v>S13</x:v>
      </x:c>
      <x:c r="B419" s="58" t="str">
        <x:v>1.00 validated five-run session</x:v>
      </x:c>
      <x:c r="C419" s="58" t="n">
        <x:v>1</x:v>
      </x:c>
      <x:c r="D419" s="58" t="n">
        <x:v>3</x:v>
      </x:c>
      <x:c r="E419" s="58" t="str">
        <x:v>PASS</x:v>
      </x:c>
      <x:c r="F419" s="58" t="n">
        <x:v>1</x:v>
      </x:c>
      <x:c r="G419" s="58" t="n">
        <x:v>8</x:v>
      </x:c>
      <x:c r="H419" s="59" t="n">
        <x:v>10.25</x:v>
      </x:c>
      <x:c r="I419" s="59" t="n">
        <x:v>0.97976</x:v>
      </x:c>
      <x:c r="J419" s="59" t="n">
        <x:v>0.99056</x:v>
      </x:c>
      <x:c r="K419" s="59" t="n">
        <x:v>0.51662</x:v>
      </x:c>
      <x:c r="L419" s="59" t="n">
        <x:v>0.19596</x:v>
      </x:c>
      <x:c r="M419" s="59" t="n">
        <x:v>1.1346</x:v>
      </x:c>
      <x:c r="N419" s="60" t="n">
        <x:v>-2.02</x:v>
      </x:c>
      <x:c r="O419" s="60" t="n">
        <x:v>1.98</x:v>
      </x:c>
      <x:c r="P419" s="60" t="n">
        <x:v>3.1</x:v>
      </x:c>
      <x:c r="Q419" s="60" t="n">
        <x:v>86.8</x:v>
      </x:c>
      <x:c r="R419" s="58" t="str">
        <x:v>X</x:v>
      </x:c>
      <x:c r="S419" s="60" t="n">
        <x:v>100</x:v>
      </x:c>
      <x:c r="T419" s="58" t="str">
        <x:v>IN TARGET BAND</x:v>
      </x:c>
      <x:c r="U419" s="58" t="str">
        <x:v>Yes</x:v>
      </x:c>
      <x:c r="V419" s="58" t="n">
        <x:v>740</x:v>
      </x:c>
      <x:c r="W419" s="58" t="str">
        <x:v>Pasted text(59).txt</x:v>
      </x:c>
    </x:row>
    <x:row r="420">
      <x:c r="A420" s="58" t="str">
        <x:v>S13</x:v>
      </x:c>
      <x:c r="B420" s="58" t="str">
        <x:v>1.00 validated five-run session</x:v>
      </x:c>
      <x:c r="C420" s="58" t="n">
        <x:v>1</x:v>
      </x:c>
      <x:c r="D420" s="58" t="n">
        <x:v>3</x:v>
      </x:c>
      <x:c r="E420" s="58" t="str">
        <x:v>PASS</x:v>
      </x:c>
      <x:c r="F420" s="58" t="n">
        <x:v>1</x:v>
      </x:c>
      <x:c r="G420" s="58" t="n">
        <x:v>9</x:v>
      </x:c>
      <x:c r="H420" s="59" t="n">
        <x:v>10.25</x:v>
      </x:c>
      <x:c r="I420" s="59" t="n">
        <x:v>1.00158</x:v>
      </x:c>
      <x:c r="J420" s="59" t="n">
        <x:v>0.9896</x:v>
      </x:c>
      <x:c r="K420" s="59" t="n">
        <x:v>0.49864</x:v>
      </x:c>
      <x:c r="L420" s="59" t="n">
        <x:v>0.21572</x:v>
      </x:c>
      <x:c r="M420" s="59" t="n">
        <x:v>1.1292</x:v>
      </x:c>
      <x:c r="N420" s="60" t="n">
        <x:v>0.16</x:v>
      </x:c>
      <x:c r="O420" s="60" t="n">
        <x:v>0.48</x:v>
      </x:c>
      <x:c r="P420" s="60" t="n">
        <x:v>2.39</x:v>
      </x:c>
      <x:c r="Q420" s="60" t="n">
        <x:v>85.8</x:v>
      </x:c>
      <x:c r="R420" s="58" t="str">
        <x:v>X</x:v>
      </x:c>
      <x:c r="S420" s="60" t="n">
        <x:v>100</x:v>
      </x:c>
      <x:c r="T420" s="58" t="str">
        <x:v>IN TARGET BAND</x:v>
      </x:c>
      <x:c r="U420" s="58" t="str">
        <x:v>Yes</x:v>
      </x:c>
      <x:c r="V420" s="58" t="n">
        <x:v>741</x:v>
      </x:c>
      <x:c r="W420" s="58" t="str">
        <x:v>Pasted text(59).txt</x:v>
      </x:c>
    </x:row>
    <x:row r="421">
      <x:c r="A421" s="58" t="str">
        <x:v>S13</x:v>
      </x:c>
      <x:c r="B421" s="58" t="str">
        <x:v>1.00 validated five-run session</x:v>
      </x:c>
      <x:c r="C421" s="58" t="n">
        <x:v>1</x:v>
      </x:c>
      <x:c r="D421" s="58" t="n">
        <x:v>3</x:v>
      </x:c>
      <x:c r="E421" s="58" t="str">
        <x:v>PASS</x:v>
      </x:c>
      <x:c r="F421" s="58" t="n">
        <x:v>1</x:v>
      </x:c>
      <x:c r="G421" s="58" t="n">
        <x:v>10</x:v>
      </x:c>
      <x:c r="H421" s="59" t="n">
        <x:v>10.25</x:v>
      </x:c>
      <x:c r="I421" s="59" t="n">
        <x:v>1.00571</x:v>
      </x:c>
      <x:c r="J421" s="59" t="n">
        <x:v>1.0066</x:v>
      </x:c>
      <x:c r="K421" s="59" t="n">
        <x:v>0.53644</x:v>
      </x:c>
      <x:c r="L421" s="59" t="n">
        <x:v>0.2142</x:v>
      </x:c>
      <x:c r="M421" s="59" t="n">
        <x:v>1.16112</x:v>
      </x:c>
      <x:c r="N421" s="60" t="n">
        <x:v>0.57</x:v>
      </x:c>
      <x:c r="O421" s="60" t="n">
        <x:v>2.15</x:v>
      </x:c>
      <x:c r="P421" s="60" t="n">
        <x:v>1.59</x:v>
      </x:c>
      <x:c r="Q421" s="60" t="n">
        <x:v>87.4</x:v>
      </x:c>
      <x:c r="R421" s="58" t="str">
        <x:v>X</x:v>
      </x:c>
      <x:c r="S421" s="60" t="n">
        <x:v>100</x:v>
      </x:c>
      <x:c r="T421" s="58" t="str">
        <x:v>IN TARGET BAND</x:v>
      </x:c>
      <x:c r="U421" s="58" t="str">
        <x:v>Yes</x:v>
      </x:c>
      <x:c r="V421" s="58" t="n">
        <x:v>742</x:v>
      </x:c>
      <x:c r="W421" s="58" t="str">
        <x:v>Pasted text(59).txt</x:v>
      </x:c>
    </x:row>
    <x:row r="422">
      <x:c r="A422" s="58" t="str">
        <x:v>S13</x:v>
      </x:c>
      <x:c r="B422" s="58" t="str">
        <x:v>1.00 validated five-run session</x:v>
      </x:c>
      <x:c r="C422" s="58" t="n">
        <x:v>1</x:v>
      </x:c>
      <x:c r="D422" s="58" t="n">
        <x:v>4</x:v>
      </x:c>
      <x:c r="E422" s="58" t="str">
        <x:v>PASS</x:v>
      </x:c>
      <x:c r="F422" s="58" t="n">
        <x:v>1</x:v>
      </x:c>
      <x:c r="G422" s="58" t="n">
        <x:v>1</x:v>
      </x:c>
      <x:c r="H422" s="59" t="n">
        <x:v>10.25</x:v>
      </x:c>
      <x:c r="I422" s="59" t="n">
        <x:v>0.9559</x:v>
      </x:c>
      <x:c r="J422" s="59" t="n">
        <x:v>0.96395</x:v>
      </x:c>
      <x:c r="K422" s="59" t="n">
        <x:v>0.505</x:v>
      </x:c>
      <x:c r="L422" s="59" t="n">
        <x:v>0.20685</x:v>
      </x:c>
      <x:c r="M422" s="59" t="n">
        <x:v>1.10833</x:v>
      </x:c>
      <x:c r="N422" s="60" t="n">
        <x:v>-4.41</x:v>
      </x:c>
      <x:c r="O422" s="60" t="n">
        <x:v>1.1</x:v>
      </x:c>
      <x:c r="P422" s="60" t="n">
        <x:v>2.12</x:v>
      </x:c>
      <x:c r="Q422" s="60" t="n">
        <x:v>84.6</x:v>
      </x:c>
      <x:c r="R422" s="58" t="str">
        <x:v>X</x:v>
      </x:c>
      <x:c r="S422" s="60" t="n">
        <x:v>100</x:v>
      </x:c>
      <x:c r="T422" s="58" t="str">
        <x:v>IN TARGET BAND</x:v>
      </x:c>
      <x:c r="U422" s="58" t="str">
        <x:v>Yes</x:v>
      </x:c>
      <x:c r="V422" s="58" t="n">
        <x:v>816</x:v>
      </x:c>
      <x:c r="W422" s="58" t="str">
        <x:v>Pasted text(59).txt</x:v>
      </x:c>
    </x:row>
    <x:row r="423">
      <x:c r="A423" s="58" t="str">
        <x:v>S13</x:v>
      </x:c>
      <x:c r="B423" s="58" t="str">
        <x:v>1.00 validated five-run session</x:v>
      </x:c>
      <x:c r="C423" s="58" t="n">
        <x:v>1</x:v>
      </x:c>
      <x:c r="D423" s="58" t="n">
        <x:v>4</x:v>
      </x:c>
      <x:c r="E423" s="58" t="str">
        <x:v>PASS</x:v>
      </x:c>
      <x:c r="F423" s="58" t="n">
        <x:v>1</x:v>
      </x:c>
      <x:c r="G423" s="58" t="n">
        <x:v>2</x:v>
      </x:c>
      <x:c r="H423" s="59" t="n">
        <x:v>10.25</x:v>
      </x:c>
      <x:c r="I423" s="59" t="n">
        <x:v>0.96867</x:v>
      </x:c>
      <x:c r="J423" s="59" t="n">
        <x:v>0.97054</x:v>
      </x:c>
      <x:c r="K423" s="59" t="n">
        <x:v>0.50233</x:v>
      </x:c>
      <x:c r="L423" s="59" t="n">
        <x:v>0.194</x:v>
      </x:c>
      <x:c r="M423" s="59" t="n">
        <x:v>1.11014</x:v>
      </x:c>
      <x:c r="N423" s="60" t="n">
        <x:v>-3.13</x:v>
      </x:c>
      <x:c r="O423" s="60" t="n">
        <x:v>1.06</x:v>
      </x:c>
      <x:c r="P423" s="60" t="n">
        <x:v>1.02</x:v>
      </x:c>
      <x:c r="Q423" s="60" t="n">
        <x:v>86.1</x:v>
      </x:c>
      <x:c r="R423" s="58" t="str">
        <x:v>X</x:v>
      </x:c>
      <x:c r="S423" s="60" t="n">
        <x:v>100</x:v>
      </x:c>
      <x:c r="T423" s="58" t="str">
        <x:v>IN TARGET BAND</x:v>
      </x:c>
      <x:c r="U423" s="58" t="str">
        <x:v>Yes</x:v>
      </x:c>
      <x:c r="V423" s="58" t="n">
        <x:v>817</x:v>
      </x:c>
      <x:c r="W423" s="58" t="str">
        <x:v>Pasted text(59).txt</x:v>
      </x:c>
    </x:row>
    <x:row r="424">
      <x:c r="A424" s="58" t="str">
        <x:v>S13</x:v>
      </x:c>
      <x:c r="B424" s="58" t="str">
        <x:v>1.00 validated five-run session</x:v>
      </x:c>
      <x:c r="C424" s="58" t="n">
        <x:v>1</x:v>
      </x:c>
      <x:c r="D424" s="58" t="n">
        <x:v>4</x:v>
      </x:c>
      <x:c r="E424" s="58" t="str">
        <x:v>PASS</x:v>
      </x:c>
      <x:c r="F424" s="58" t="n">
        <x:v>1</x:v>
      </x:c>
      <x:c r="G424" s="58" t="n">
        <x:v>3</x:v>
      </x:c>
      <x:c r="H424" s="59" t="n">
        <x:v>10.25</x:v>
      </x:c>
      <x:c r="I424" s="59" t="n">
        <x:v>0.98162</x:v>
      </x:c>
      <x:c r="J424" s="59" t="n">
        <x:v>0.97805</x:v>
      </x:c>
      <x:c r="K424" s="59" t="n">
        <x:v>0.51199</x:v>
      </x:c>
      <x:c r="L424" s="59" t="n">
        <x:v>0.20485</x:v>
      </x:c>
      <x:c r="M424" s="59" t="n">
        <x:v>1.12358</x:v>
      </x:c>
      <x:c r="N424" s="60" t="n">
        <x:v>-1.84</x:v>
      </x:c>
      <x:c r="O424" s="60" t="n">
        <x:v>0.25</x:v>
      </x:c>
      <x:c r="P424" s="60" t="n">
        <x:v>0.79</x:v>
      </x:c>
      <x:c r="Q424" s="60" t="n">
        <x:v>86.4</x:v>
      </x:c>
      <x:c r="R424" s="58" t="str">
        <x:v>X</x:v>
      </x:c>
      <x:c r="S424" s="60" t="n">
        <x:v>100</x:v>
      </x:c>
      <x:c r="T424" s="58" t="str">
        <x:v>IN TARGET BAND</x:v>
      </x:c>
      <x:c r="U424" s="58" t="str">
        <x:v>Yes</x:v>
      </x:c>
      <x:c r="V424" s="58" t="n">
        <x:v>818</x:v>
      </x:c>
      <x:c r="W424" s="58" t="str">
        <x:v>Pasted text(59).txt</x:v>
      </x:c>
    </x:row>
    <x:row r="425">
      <x:c r="A425" s="58" t="str">
        <x:v>S13</x:v>
      </x:c>
      <x:c r="B425" s="58" t="str">
        <x:v>1.00 validated five-run session</x:v>
      </x:c>
      <x:c r="C425" s="58" t="n">
        <x:v>1</x:v>
      </x:c>
      <x:c r="D425" s="58" t="n">
        <x:v>4</x:v>
      </x:c>
      <x:c r="E425" s="58" t="str">
        <x:v>PASS</x:v>
      </x:c>
      <x:c r="F425" s="58" t="n">
        <x:v>1</x:v>
      </x:c>
      <x:c r="G425" s="58" t="n">
        <x:v>4</x:v>
      </x:c>
      <x:c r="H425" s="59" t="n">
        <x:v>10.25</x:v>
      </x:c>
      <x:c r="I425" s="59" t="n">
        <x:v>0.96023</x:v>
      </x:c>
      <x:c r="J425" s="59" t="n">
        <x:v>0.96161</x:v>
      </x:c>
      <x:c r="K425" s="59" t="n">
        <x:v>0.47885</x:v>
      </x:c>
      <x:c r="L425" s="59" t="n">
        <x:v>0.22503</x:v>
      </x:c>
      <x:c r="M425" s="59" t="n">
        <x:v>1.098</x:v>
      </x:c>
      <x:c r="N425" s="60" t="n">
        <x:v>-3.98</x:v>
      </x:c>
      <x:c r="O425" s="60" t="n">
        <x:v>1.72</x:v>
      </x:c>
      <x:c r="P425" s="60" t="n">
        <x:v>1.38</x:v>
      </x:c>
      <x:c r="Q425" s="60" t="n">
        <x:v>84.9</x:v>
      </x:c>
      <x:c r="R425" s="58" t="str">
        <x:v>X</x:v>
      </x:c>
      <x:c r="S425" s="60" t="n">
        <x:v>100</x:v>
      </x:c>
      <x:c r="T425" s="58" t="str">
        <x:v>IN TARGET BAND</x:v>
      </x:c>
      <x:c r="U425" s="58" t="str">
        <x:v>Yes</x:v>
      </x:c>
      <x:c r="V425" s="58" t="n">
        <x:v>819</x:v>
      </x:c>
      <x:c r="W425" s="58" t="str">
        <x:v>Pasted text(59).txt</x:v>
      </x:c>
    </x:row>
    <x:row r="426">
      <x:c r="A426" s="58" t="str">
        <x:v>S13</x:v>
      </x:c>
      <x:c r="B426" s="58" t="str">
        <x:v>1.00 validated five-run session</x:v>
      </x:c>
      <x:c r="C426" s="58" t="n">
        <x:v>1</x:v>
      </x:c>
      <x:c r="D426" s="58" t="n">
        <x:v>4</x:v>
      </x:c>
      <x:c r="E426" s="58" t="str">
        <x:v>PASS</x:v>
      </x:c>
      <x:c r="F426" s="58" t="n">
        <x:v>1</x:v>
      </x:c>
      <x:c r="G426" s="58" t="n">
        <x:v>5</x:v>
      </x:c>
      <x:c r="H426" s="59" t="n">
        <x:v>10.25</x:v>
      </x:c>
      <x:c r="I426" s="59" t="n">
        <x:v>0.95783</x:v>
      </x:c>
      <x:c r="J426" s="59" t="n">
        <x:v>0.96135</x:v>
      </x:c>
      <x:c r="K426" s="59" t="n">
        <x:v>0.50647</x:v>
      </x:c>
      <x:c r="L426" s="59" t="n">
        <x:v>0.20459</x:v>
      </x:c>
      <x:c r="M426" s="59" t="n">
        <x:v>1.1059</x:v>
      </x:c>
      <x:c r="N426" s="60" t="n">
        <x:v>-4.22</x:v>
      </x:c>
      <x:c r="O426" s="60" t="n">
        <x:v>0.6</x:v>
      </x:c>
      <x:c r="P426" s="60" t="n">
        <x:v>1</x:v>
      </x:c>
      <x:c r="Q426" s="60" t="n">
        <x:v>84.7</x:v>
      </x:c>
      <x:c r="R426" s="58" t="str">
        <x:v>X</x:v>
      </x:c>
      <x:c r="S426" s="60" t="n">
        <x:v>100</x:v>
      </x:c>
      <x:c r="T426" s="58" t="str">
        <x:v>IN TARGET BAND</x:v>
      </x:c>
      <x:c r="U426" s="58" t="str">
        <x:v>Yes</x:v>
      </x:c>
      <x:c r="V426" s="58" t="n">
        <x:v>820</x:v>
      </x:c>
      <x:c r="W426" s="58" t="str">
        <x:v>Pasted text(59).txt</x:v>
      </x:c>
    </x:row>
    <x:row r="427">
      <x:c r="A427" s="58" t="str">
        <x:v>S13</x:v>
      </x:c>
      <x:c r="B427" s="58" t="str">
        <x:v>1.00 validated five-run session</x:v>
      </x:c>
      <x:c r="C427" s="58" t="n">
        <x:v>1</x:v>
      </x:c>
      <x:c r="D427" s="58" t="n">
        <x:v>4</x:v>
      </x:c>
      <x:c r="E427" s="58" t="str">
        <x:v>PASS</x:v>
      </x:c>
      <x:c r="F427" s="58" t="n">
        <x:v>1</x:v>
      </x:c>
      <x:c r="G427" s="58" t="n">
        <x:v>6</x:v>
      </x:c>
      <x:c r="H427" s="59" t="n">
        <x:v>10.25</x:v>
      </x:c>
      <x:c r="I427" s="59" t="n">
        <x:v>0.9654</x:v>
      </x:c>
      <x:c r="J427" s="59" t="n">
        <x:v>0.96142</x:v>
      </x:c>
      <x:c r="K427" s="59" t="n">
        <x:v>0.51692</x:v>
      </x:c>
      <x:c r="L427" s="59" t="n">
        <x:v>0.17789</x:v>
      </x:c>
      <x:c r="M427" s="59" t="n">
        <x:v>1.10668</x:v>
      </x:c>
      <x:c r="N427" s="60" t="n">
        <x:v>-3.46</x:v>
      </x:c>
      <x:c r="O427" s="60" t="n">
        <x:v>1.37</x:v>
      </x:c>
      <x:c r="P427" s="60" t="n">
        <x:v>1.59</x:v>
      </x:c>
      <x:c r="Q427" s="60" t="n">
        <x:v>85.3</x:v>
      </x:c>
      <x:c r="R427" s="58" t="str">
        <x:v>X</x:v>
      </x:c>
      <x:c r="S427" s="60" t="n">
        <x:v>100</x:v>
      </x:c>
      <x:c r="T427" s="58" t="str">
        <x:v>IN TARGET BAND</x:v>
      </x:c>
      <x:c r="U427" s="58" t="str">
        <x:v>Yes</x:v>
      </x:c>
      <x:c r="V427" s="58" t="n">
        <x:v>821</x:v>
      </x:c>
      <x:c r="W427" s="58" t="str">
        <x:v>Pasted text(59).txt</x:v>
      </x:c>
    </x:row>
    <x:row r="428">
      <x:c r="A428" s="58" t="str">
        <x:v>S13</x:v>
      </x:c>
      <x:c r="B428" s="58" t="str">
        <x:v>1.00 validated five-run session</x:v>
      </x:c>
      <x:c r="C428" s="58" t="n">
        <x:v>1</x:v>
      </x:c>
      <x:c r="D428" s="58" t="n">
        <x:v>4</x:v>
      </x:c>
      <x:c r="E428" s="58" t="str">
        <x:v>PASS</x:v>
      </x:c>
      <x:c r="F428" s="58" t="n">
        <x:v>1</x:v>
      </x:c>
      <x:c r="G428" s="58" t="n">
        <x:v>7</x:v>
      </x:c>
      <x:c r="H428" s="59" t="n">
        <x:v>10.25</x:v>
      </x:c>
      <x:c r="I428" s="59" t="n">
        <x:v>0.95404</x:v>
      </x:c>
      <x:c r="J428" s="59" t="n">
        <x:v>0.95215</x:v>
      </x:c>
      <x:c r="K428" s="59" t="n">
        <x:v>0.50676</x:v>
      </x:c>
      <x:c r="L428" s="59" t="n">
        <x:v>0.1974</x:v>
      </x:c>
      <x:c r="M428" s="59" t="n">
        <x:v>1.09678</x:v>
      </x:c>
      <x:c r="N428" s="60" t="n">
        <x:v>-4.6</x:v>
      </x:c>
      <x:c r="O428" s="60" t="n">
        <x:v>1.78</x:v>
      </x:c>
      <x:c r="P428" s="60" t="n">
        <x:v>1.51</x:v>
      </x:c>
      <x:c r="Q428" s="60" t="n">
        <x:v>85</x:v>
      </x:c>
      <x:c r="R428" s="58" t="str">
        <x:v>X</x:v>
      </x:c>
      <x:c r="S428" s="60" t="n">
        <x:v>100</x:v>
      </x:c>
      <x:c r="T428" s="58" t="str">
        <x:v>IN TARGET BAND</x:v>
      </x:c>
      <x:c r="U428" s="58" t="str">
        <x:v>Yes</x:v>
      </x:c>
      <x:c r="V428" s="58" t="n">
        <x:v>822</x:v>
      </x:c>
      <x:c r="W428" s="58" t="str">
        <x:v>Pasted text(59).txt</x:v>
      </x:c>
    </x:row>
    <x:row r="429">
      <x:c r="A429" s="58" t="str">
        <x:v>S13</x:v>
      </x:c>
      <x:c r="B429" s="58" t="str">
        <x:v>1.00 validated five-run session</x:v>
      </x:c>
      <x:c r="C429" s="58" t="n">
        <x:v>1</x:v>
      </x:c>
      <x:c r="D429" s="58" t="n">
        <x:v>4</x:v>
      </x:c>
      <x:c r="E429" s="58" t="str">
        <x:v>PASS</x:v>
      </x:c>
      <x:c r="F429" s="58" t="n">
        <x:v>1</x:v>
      </x:c>
      <x:c r="G429" s="58" t="n">
        <x:v>8</x:v>
      </x:c>
      <x:c r="H429" s="59" t="n">
        <x:v>10.25</x:v>
      </x:c>
      <x:c r="I429" s="59" t="n">
        <x:v>0.95455</x:v>
      </x:c>
      <x:c r="J429" s="59" t="n">
        <x:v>0.96146</x:v>
      </x:c>
      <x:c r="K429" s="59" t="n">
        <x:v>0.49628</x:v>
      </x:c>
      <x:c r="L429" s="59" t="n">
        <x:v>0.20523</x:v>
      </x:c>
      <x:c r="M429" s="59" t="n">
        <x:v>1.1015</x:v>
      </x:c>
      <x:c r="N429" s="60" t="n">
        <x:v>-4.55</x:v>
      </x:c>
      <x:c r="O429" s="60" t="n">
        <x:v>1.53</x:v>
      </x:c>
      <x:c r="P429" s="60" t="n">
        <x:v>2.19</x:v>
      </x:c>
      <x:c r="Q429" s="60" t="n">
        <x:v>86.3</x:v>
      </x:c>
      <x:c r="R429" s="58" t="str">
        <x:v>X</x:v>
      </x:c>
      <x:c r="S429" s="60" t="n">
        <x:v>100</x:v>
      </x:c>
      <x:c r="T429" s="58" t="str">
        <x:v>IN TARGET BAND</x:v>
      </x:c>
      <x:c r="U429" s="58" t="str">
        <x:v>Yes</x:v>
      </x:c>
      <x:c r="V429" s="58" t="n">
        <x:v>823</x:v>
      </x:c>
      <x:c r="W429" s="58" t="str">
        <x:v>Pasted text(59).txt</x:v>
      </x:c>
    </x:row>
    <x:row r="430">
      <x:c r="A430" s="58" t="str">
        <x:v>S13</x:v>
      </x:c>
      <x:c r="B430" s="58" t="str">
        <x:v>1.00 validated five-run session</x:v>
      </x:c>
      <x:c r="C430" s="58" t="n">
        <x:v>1</x:v>
      </x:c>
      <x:c r="D430" s="58" t="n">
        <x:v>4</x:v>
      </x:c>
      <x:c r="E430" s="58" t="str">
        <x:v>PASS</x:v>
      </x:c>
      <x:c r="F430" s="58" t="n">
        <x:v>1</x:v>
      </x:c>
      <x:c r="G430" s="58" t="n">
        <x:v>9</x:v>
      </x:c>
      <x:c r="H430" s="59" t="n">
        <x:v>10.25</x:v>
      </x:c>
      <x:c r="I430" s="59" t="n">
        <x:v>0.9535</x:v>
      </x:c>
      <x:c r="J430" s="59" t="n">
        <x:v>0.94764</x:v>
      </x:c>
      <x:c r="K430" s="59" t="n">
        <x:v>0.51525</x:v>
      </x:c>
      <x:c r="L430" s="59" t="n">
        <x:v>0.20264</x:v>
      </x:c>
      <x:c r="M430" s="59" t="n">
        <x:v>1.09819</x:v>
      </x:c>
      <x:c r="N430" s="60" t="n">
        <x:v>-4.65</x:v>
      </x:c>
      <x:c r="O430" s="60" t="n">
        <x:v>1.91</x:v>
      </x:c>
      <x:c r="P430" s="60" t="n">
        <x:v>2.29</x:v>
      </x:c>
      <x:c r="Q430" s="60" t="n">
        <x:v>84</x:v>
      </x:c>
      <x:c r="R430" s="58" t="str">
        <x:v>X</x:v>
      </x:c>
      <x:c r="S430" s="60" t="n">
        <x:v>100</x:v>
      </x:c>
      <x:c r="T430" s="58" t="str">
        <x:v>IN TARGET BAND</x:v>
      </x:c>
      <x:c r="U430" s="58" t="str">
        <x:v>Yes</x:v>
      </x:c>
      <x:c r="V430" s="58" t="n">
        <x:v>824</x:v>
      </x:c>
      <x:c r="W430" s="58" t="str">
        <x:v>Pasted text(59).txt</x:v>
      </x:c>
    </x:row>
    <x:row r="431">
      <x:c r="A431" s="58" t="str">
        <x:v>S13</x:v>
      </x:c>
      <x:c r="B431" s="58" t="str">
        <x:v>1.00 validated five-run session</x:v>
      </x:c>
      <x:c r="C431" s="58" t="n">
        <x:v>1</x:v>
      </x:c>
      <x:c r="D431" s="58" t="n">
        <x:v>4</x:v>
      </x:c>
      <x:c r="E431" s="58" t="str">
        <x:v>PASS</x:v>
      </x:c>
      <x:c r="F431" s="58" t="n">
        <x:v>1</x:v>
      </x:c>
      <x:c r="G431" s="58" t="n">
        <x:v>10</x:v>
      </x:c>
      <x:c r="H431" s="59" t="n">
        <x:v>10.25</x:v>
      </x:c>
      <x:c r="I431" s="59" t="n">
        <x:v>0.96961</x:v>
      </x:c>
      <x:c r="J431" s="59" t="n">
        <x:v>0.97203</x:v>
      </x:c>
      <x:c r="K431" s="59" t="n">
        <x:v>0.49023</x:v>
      </x:c>
      <x:c r="L431" s="59" t="n">
        <x:v>0.21933</x:v>
      </x:c>
      <x:c r="M431" s="59" t="n">
        <x:v>1.11135</x:v>
      </x:c>
      <x:c r="N431" s="60" t="n">
        <x:v>-3.04</x:v>
      </x:c>
      <x:c r="O431" s="60" t="n">
        <x:v>0.06</x:v>
      </x:c>
      <x:c r="P431" s="60" t="n">
        <x:v>0.46</x:v>
      </x:c>
      <x:c r="Q431" s="60" t="n">
        <x:v>86.5</x:v>
      </x:c>
      <x:c r="R431" s="58" t="str">
        <x:v>X</x:v>
      </x:c>
      <x:c r="S431" s="60" t="n">
        <x:v>100</x:v>
      </x:c>
      <x:c r="T431" s="58" t="str">
        <x:v>IN TARGET BAND</x:v>
      </x:c>
      <x:c r="U431" s="58" t="str">
        <x:v>Yes</x:v>
      </x:c>
      <x:c r="V431" s="58" t="n">
        <x:v>825</x:v>
      </x:c>
      <x:c r="W431" s="58" t="str">
        <x:v>Pasted text(59).txt</x:v>
      </x:c>
    </x:row>
    <x:row r="432">
      <x:c r="A432" s="58" t="str">
        <x:v>S13</x:v>
      </x:c>
      <x:c r="B432" s="58" t="str">
        <x:v>1.00 validated five-run session</x:v>
      </x:c>
      <x:c r="C432" s="58" t="n">
        <x:v>1</x:v>
      </x:c>
      <x:c r="D432" s="58" t="n">
        <x:v>5</x:v>
      </x:c>
      <x:c r="E432" s="58" t="str">
        <x:v>PASS</x:v>
      </x:c>
      <x:c r="F432" s="58" t="n">
        <x:v>1</x:v>
      </x:c>
      <x:c r="G432" s="58" t="n">
        <x:v>1</x:v>
      </x:c>
      <x:c r="H432" s="59" t="n">
        <x:v>10.75</x:v>
      </x:c>
      <x:c r="I432" s="59" t="n">
        <x:v>0.99689</x:v>
      </x:c>
      <x:c r="J432" s="59" t="n">
        <x:v>0.99809</x:v>
      </x:c>
      <x:c r="K432" s="59" t="n">
        <x:v>0.50049</x:v>
      </x:c>
      <x:c r="L432" s="59" t="n">
        <x:v>0.20278</x:v>
      </x:c>
      <x:c r="M432" s="59" t="n">
        <x:v>1.13483</x:v>
      </x:c>
      <x:c r="N432" s="60" t="n">
        <x:v>-0.31</x:v>
      </x:c>
      <x:c r="O432" s="60" t="n">
        <x:v>0.65</x:v>
      </x:c>
      <x:c r="P432" s="60" t="n">
        <x:v>0.63</x:v>
      </x:c>
      <x:c r="Q432" s="60" t="n">
        <x:v>85.4</x:v>
      </x:c>
      <x:c r="R432" s="58" t="str">
        <x:v>X</x:v>
      </x:c>
      <x:c r="S432" s="60" t="n">
        <x:v>100</x:v>
      </x:c>
      <x:c r="T432" s="58" t="str">
        <x:v>IN TARGET BAND</x:v>
      </x:c>
      <x:c r="U432" s="58" t="str">
        <x:v>Yes</x:v>
      </x:c>
      <x:c r="V432" s="58" t="n">
        <x:v>900</x:v>
      </x:c>
      <x:c r="W432" s="58" t="str">
        <x:v>Pasted text(59).txt</x:v>
      </x:c>
    </x:row>
    <x:row r="433">
      <x:c r="A433" s="58" t="str">
        <x:v>S13</x:v>
      </x:c>
      <x:c r="B433" s="58" t="str">
        <x:v>1.00 validated five-run session</x:v>
      </x:c>
      <x:c r="C433" s="58" t="n">
        <x:v>1</x:v>
      </x:c>
      <x:c r="D433" s="58" t="n">
        <x:v>5</x:v>
      </x:c>
      <x:c r="E433" s="58" t="str">
        <x:v>PASS</x:v>
      </x:c>
      <x:c r="F433" s="58" t="n">
        <x:v>1</x:v>
      </x:c>
      <x:c r="G433" s="58" t="n">
        <x:v>2</x:v>
      </x:c>
      <x:c r="H433" s="59" t="n">
        <x:v>10.75</x:v>
      </x:c>
      <x:c r="I433" s="59" t="n">
        <x:v>0.98109</x:v>
      </x:c>
      <x:c r="J433" s="59" t="n">
        <x:v>0.99533</x:v>
      </x:c>
      <x:c r="K433" s="59" t="n">
        <x:v>0.51269</x:v>
      </x:c>
      <x:c r="L433" s="59" t="n">
        <x:v>0.21713</x:v>
      </x:c>
      <x:c r="M433" s="59" t="n">
        <x:v>1.14068</x:v>
      </x:c>
      <x:c r="N433" s="60" t="n">
        <x:v>-1.89</x:v>
      </x:c>
      <x:c r="O433" s="60" t="n">
        <x:v>0.15</x:v>
      </x:c>
      <x:c r="P433" s="60" t="n">
        <x:v>2.56</x:v>
      </x:c>
      <x:c r="Q433" s="60" t="n">
        <x:v>85</x:v>
      </x:c>
      <x:c r="R433" s="58" t="str">
        <x:v>X</x:v>
      </x:c>
      <x:c r="S433" s="60" t="n">
        <x:v>100</x:v>
      </x:c>
      <x:c r="T433" s="58" t="str">
        <x:v>IN TARGET BAND</x:v>
      </x:c>
      <x:c r="U433" s="58" t="str">
        <x:v>Yes</x:v>
      </x:c>
      <x:c r="V433" s="58" t="n">
        <x:v>901</x:v>
      </x:c>
      <x:c r="W433" s="58" t="str">
        <x:v>Pasted text(59).txt</x:v>
      </x:c>
    </x:row>
    <x:row r="434">
      <x:c r="A434" s="58" t="str">
        <x:v>S13</x:v>
      </x:c>
      <x:c r="B434" s="58" t="str">
        <x:v>1.00 validated five-run session</x:v>
      </x:c>
      <x:c r="C434" s="58" t="n">
        <x:v>1</x:v>
      </x:c>
      <x:c r="D434" s="58" t="n">
        <x:v>5</x:v>
      </x:c>
      <x:c r="E434" s="58" t="str">
        <x:v>PASS</x:v>
      </x:c>
      <x:c r="F434" s="58" t="n">
        <x:v>1</x:v>
      </x:c>
      <x:c r="G434" s="58" t="n">
        <x:v>3</x:v>
      </x:c>
      <x:c r="H434" s="59" t="n">
        <x:v>10.75</x:v>
      </x:c>
      <x:c r="I434" s="59" t="n">
        <x:v>0.99274</x:v>
      </x:c>
      <x:c r="J434" s="59" t="n">
        <x:v>0.99584</x:v>
      </x:c>
      <x:c r="K434" s="59" t="n">
        <x:v>0.4758</x:v>
      </x:c>
      <x:c r="L434" s="59" t="n">
        <x:v>0.20864</x:v>
      </x:c>
      <x:c r="M434" s="59" t="n">
        <x:v>1.12398</x:v>
      </x:c>
      <x:c r="N434" s="60" t="n">
        <x:v>-0.73</x:v>
      </x:c>
      <x:c r="O434" s="60" t="n">
        <x:v>1.74</x:v>
      </x:c>
      <x:c r="P434" s="60" t="n">
        <x:v>1.66</x:v>
      </x:c>
      <x:c r="Q434" s="60" t="n">
        <x:v>84.4</x:v>
      </x:c>
      <x:c r="R434" s="58" t="str">
        <x:v>X</x:v>
      </x:c>
      <x:c r="S434" s="60" t="n">
        <x:v>100</x:v>
      </x:c>
      <x:c r="T434" s="58" t="str">
        <x:v>IN TARGET BAND</x:v>
      </x:c>
      <x:c r="U434" s="58" t="str">
        <x:v>Yes</x:v>
      </x:c>
      <x:c r="V434" s="58" t="n">
        <x:v>902</x:v>
      </x:c>
      <x:c r="W434" s="58" t="str">
        <x:v>Pasted text(59).txt</x:v>
      </x:c>
    </x:row>
    <x:row r="435">
      <x:c r="A435" s="58" t="str">
        <x:v>S13</x:v>
      </x:c>
      <x:c r="B435" s="58" t="str">
        <x:v>1.00 validated five-run session</x:v>
      </x:c>
      <x:c r="C435" s="58" t="n">
        <x:v>1</x:v>
      </x:c>
      <x:c r="D435" s="58" t="n">
        <x:v>5</x:v>
      </x:c>
      <x:c r="E435" s="58" t="str">
        <x:v>PASS</x:v>
      </x:c>
      <x:c r="F435" s="58" t="n">
        <x:v>1</x:v>
      </x:c>
      <x:c r="G435" s="58" t="n">
        <x:v>4</x:v>
      </x:c>
      <x:c r="H435" s="59" t="n">
        <x:v>10.75</x:v>
      </x:c>
      <x:c r="I435" s="59" t="n">
        <x:v>1.00477</x:v>
      </x:c>
      <x:c r="J435" s="59" t="n">
        <x:v>1.00613</x:v>
      </x:c>
      <x:c r="K435" s="59" t="n">
        <x:v>0.51166</x:v>
      </x:c>
      <x:c r="L435" s="59" t="n">
        <x:v>0.17375</x:v>
      </x:c>
      <x:c r="M435" s="59" t="n">
        <x:v>1.14254</x:v>
      </x:c>
      <x:c r="N435" s="60" t="n">
        <x:v>0.48</x:v>
      </x:c>
      <x:c r="O435" s="60" t="n">
        <x:v>0.99</x:v>
      </x:c>
      <x:c r="P435" s="60" t="n">
        <x:v>0.87</x:v>
      </x:c>
      <x:c r="Q435" s="60" t="n">
        <x:v>85.9</x:v>
      </x:c>
      <x:c r="R435" s="58" t="str">
        <x:v>X</x:v>
      </x:c>
      <x:c r="S435" s="60" t="n">
        <x:v>100</x:v>
      </x:c>
      <x:c r="T435" s="58" t="str">
        <x:v>IN TARGET BAND</x:v>
      </x:c>
      <x:c r="U435" s="58" t="str">
        <x:v>Yes</x:v>
      </x:c>
      <x:c r="V435" s="58" t="n">
        <x:v>903</x:v>
      </x:c>
      <x:c r="W435" s="58" t="str">
        <x:v>Pasted text(59).txt</x:v>
      </x:c>
    </x:row>
    <x:row r="436">
      <x:c r="A436" s="58" t="str">
        <x:v>S13</x:v>
      </x:c>
      <x:c r="B436" s="58" t="str">
        <x:v>1.00 validated five-run session</x:v>
      </x:c>
      <x:c r="C436" s="58" t="n">
        <x:v>1</x:v>
      </x:c>
      <x:c r="D436" s="58" t="n">
        <x:v>5</x:v>
      </x:c>
      <x:c r="E436" s="58" t="str">
        <x:v>PASS</x:v>
      </x:c>
      <x:c r="F436" s="58" t="n">
        <x:v>1</x:v>
      </x:c>
      <x:c r="G436" s="58" t="n">
        <x:v>5</x:v>
      </x:c>
      <x:c r="H436" s="59" t="n">
        <x:v>10.75</x:v>
      </x:c>
      <x:c r="I436" s="59" t="n">
        <x:v>0.99876</x:v>
      </x:c>
      <x:c r="J436" s="59" t="n">
        <x:v>1.00123</x:v>
      </x:c>
      <x:c r="K436" s="59" t="n">
        <x:v>0.50333</x:v>
      </x:c>
      <x:c r="L436" s="59" t="n">
        <x:v>0.2076</x:v>
      </x:c>
      <x:c r="M436" s="59" t="n">
        <x:v>1.13989</x:v>
      </x:c>
      <x:c r="N436" s="60" t="n">
        <x:v>-0.12</x:v>
      </x:c>
      <x:c r="O436" s="60" t="n">
        <x:v>1.87</x:v>
      </x:c>
      <x:c r="P436" s="60" t="n">
        <x:v>1.64</x:v>
      </x:c>
      <x:c r="Q436" s="60" t="n">
        <x:v>85.7</x:v>
      </x:c>
      <x:c r="R436" s="58" t="str">
        <x:v>X</x:v>
      </x:c>
      <x:c r="S436" s="60" t="n">
        <x:v>100</x:v>
      </x:c>
      <x:c r="T436" s="58" t="str">
        <x:v>IN TARGET BAND</x:v>
      </x:c>
      <x:c r="U436" s="58" t="str">
        <x:v>Yes</x:v>
      </x:c>
      <x:c r="V436" s="58" t="n">
        <x:v>904</x:v>
      </x:c>
      <x:c r="W436" s="58" t="str">
        <x:v>Pasted text(59).txt</x:v>
      </x:c>
    </x:row>
    <x:row r="437">
      <x:c r="A437" s="58" t="str">
        <x:v>S13</x:v>
      </x:c>
      <x:c r="B437" s="58" t="str">
        <x:v>1.00 validated five-run session</x:v>
      </x:c>
      <x:c r="C437" s="58" t="n">
        <x:v>1</x:v>
      </x:c>
      <x:c r="D437" s="58" t="n">
        <x:v>5</x:v>
      </x:c>
      <x:c r="E437" s="58" t="str">
        <x:v>PASS</x:v>
      </x:c>
      <x:c r="F437" s="58" t="n">
        <x:v>1</x:v>
      </x:c>
      <x:c r="G437" s="58" t="n">
        <x:v>6</x:v>
      </x:c>
      <x:c r="H437" s="59" t="n">
        <x:v>10.75</x:v>
      </x:c>
      <x:c r="I437" s="59" t="n">
        <x:v>1.01397</x:v>
      </x:c>
      <x:c r="J437" s="59" t="n">
        <x:v>1.01214</x:v>
      </x:c>
      <x:c r="K437" s="59" t="n">
        <x:v>0.50554</x:v>
      </x:c>
      <x:c r="L437" s="59" t="n">
        <x:v>0.19556</x:v>
      </x:c>
      <x:c r="M437" s="59" t="n">
        <x:v>1.14849</x:v>
      </x:c>
      <x:c r="N437" s="60" t="n">
        <x:v>1.4</x:v>
      </x:c>
      <x:c r="O437" s="60" t="n">
        <x:v>1.34</x:v>
      </x:c>
      <x:c r="P437" s="60" t="n">
        <x:v>1.19</x:v>
      </x:c>
      <x:c r="Q437" s="60" t="n">
        <x:v>86.2</x:v>
      </x:c>
      <x:c r="R437" s="58" t="str">
        <x:v>X</x:v>
      </x:c>
      <x:c r="S437" s="60" t="n">
        <x:v>100</x:v>
      </x:c>
      <x:c r="T437" s="58" t="str">
        <x:v>IN TARGET BAND</x:v>
      </x:c>
      <x:c r="U437" s="58" t="str">
        <x:v>Yes</x:v>
      </x:c>
      <x:c r="V437" s="58" t="n">
        <x:v>905</x:v>
      </x:c>
      <x:c r="W437" s="58" t="str">
        <x:v>Pasted text(59).txt</x:v>
      </x:c>
    </x:row>
    <x:row r="438">
      <x:c r="A438" s="58" t="str">
        <x:v>S13</x:v>
      </x:c>
      <x:c r="B438" s="58" t="str">
        <x:v>1.00 validated five-run session</x:v>
      </x:c>
      <x:c r="C438" s="58" t="n">
        <x:v>1</x:v>
      </x:c>
      <x:c r="D438" s="58" t="n">
        <x:v>5</x:v>
      </x:c>
      <x:c r="E438" s="58" t="str">
        <x:v>PASS</x:v>
      </x:c>
      <x:c r="F438" s="58" t="n">
        <x:v>1</x:v>
      </x:c>
      <x:c r="G438" s="58" t="n">
        <x:v>7</x:v>
      </x:c>
      <x:c r="H438" s="59" t="n">
        <x:v>10.75</x:v>
      </x:c>
      <x:c r="I438" s="59" t="n">
        <x:v>0.99393</x:v>
      </x:c>
      <x:c r="J438" s="59" t="n">
        <x:v>1.00873</x:v>
      </x:c>
      <x:c r="K438" s="59" t="n">
        <x:v>0.53992</x:v>
      </x:c>
      <x:c r="L438" s="59" t="n">
        <x:v>0.20085</x:v>
      </x:c>
      <x:c r="M438" s="59" t="n">
        <x:v>1.16189</x:v>
      </x:c>
      <x:c r="N438" s="60" t="n">
        <x:v>-0.61</x:v>
      </x:c>
      <x:c r="O438" s="60" t="n">
        <x:v>0.44</x:v>
      </x:c>
      <x:c r="P438" s="60" t="n">
        <x:v>2.8</x:v>
      </x:c>
      <x:c r="Q438" s="60" t="n">
        <x:v>86.4</x:v>
      </x:c>
      <x:c r="R438" s="58" t="str">
        <x:v>X</x:v>
      </x:c>
      <x:c r="S438" s="60" t="n">
        <x:v>100</x:v>
      </x:c>
      <x:c r="T438" s="58" t="str">
        <x:v>IN TARGET BAND</x:v>
      </x:c>
      <x:c r="U438" s="58" t="str">
        <x:v>Yes</x:v>
      </x:c>
      <x:c r="V438" s="58" t="n">
        <x:v>906</x:v>
      </x:c>
      <x:c r="W438" s="58" t="str">
        <x:v>Pasted text(59).txt</x:v>
      </x:c>
    </x:row>
    <x:row r="439">
      <x:c r="A439" s="58" t="str">
        <x:v>S13</x:v>
      </x:c>
      <x:c r="B439" s="58" t="str">
        <x:v>1.00 validated five-run session</x:v>
      </x:c>
      <x:c r="C439" s="58" t="n">
        <x:v>1</x:v>
      </x:c>
      <x:c r="D439" s="58" t="n">
        <x:v>5</x:v>
      </x:c>
      <x:c r="E439" s="58" t="str">
        <x:v>PASS</x:v>
      </x:c>
      <x:c r="F439" s="58" t="n">
        <x:v>1</x:v>
      </x:c>
      <x:c r="G439" s="58" t="n">
        <x:v>8</x:v>
      </x:c>
      <x:c r="H439" s="59" t="n">
        <x:v>10.75</x:v>
      </x:c>
      <x:c r="I439" s="59" t="n">
        <x:v>1.01818</x:v>
      </x:c>
      <x:c r="J439" s="59" t="n">
        <x:v>1.01802</x:v>
      </x:c>
      <x:c r="K439" s="59" t="n">
        <x:v>0.52948</x:v>
      </x:c>
      <x:c r="L439" s="59" t="n">
        <x:v>0.18995</x:v>
      </x:c>
      <x:c r="M439" s="59" t="n">
        <x:v>1.16325</x:v>
      </x:c>
      <x:c r="N439" s="60" t="n">
        <x:v>1.82</x:v>
      </x:c>
      <x:c r="O439" s="60" t="n">
        <x:v>0.09</x:v>
      </x:c>
      <x:c r="P439" s="60" t="n">
        <x:v>0.08</x:v>
      </x:c>
      <x:c r="Q439" s="60" t="n">
        <x:v>85.9</x:v>
      </x:c>
      <x:c r="R439" s="58" t="str">
        <x:v>X</x:v>
      </x:c>
      <x:c r="S439" s="60" t="n">
        <x:v>100</x:v>
      </x:c>
      <x:c r="T439" s="58" t="str">
        <x:v>IN TARGET BAND</x:v>
      </x:c>
      <x:c r="U439" s="58" t="str">
        <x:v>Yes</x:v>
      </x:c>
      <x:c r="V439" s="58" t="n">
        <x:v>907</x:v>
      </x:c>
      <x:c r="W439" s="58" t="str">
        <x:v>Pasted text(59).txt</x:v>
      </x:c>
    </x:row>
    <x:row r="440">
      <x:c r="A440" s="58" t="str">
        <x:v>S13</x:v>
      </x:c>
      <x:c r="B440" s="58" t="str">
        <x:v>1.00 validated five-run session</x:v>
      </x:c>
      <x:c r="C440" s="58" t="n">
        <x:v>1</x:v>
      </x:c>
      <x:c r="D440" s="58" t="n">
        <x:v>5</x:v>
      </x:c>
      <x:c r="E440" s="58" t="str">
        <x:v>PASS</x:v>
      </x:c>
      <x:c r="F440" s="58" t="n">
        <x:v>1</x:v>
      </x:c>
      <x:c r="G440" s="58" t="n">
        <x:v>9</x:v>
      </x:c>
      <x:c r="H440" s="59" t="n">
        <x:v>10.75</x:v>
      </x:c>
      <x:c r="I440" s="59" t="n">
        <x:v>1.02363</x:v>
      </x:c>
      <x:c r="J440" s="59" t="n">
        <x:v>1.02205</x:v>
      </x:c>
      <x:c r="K440" s="59" t="n">
        <x:v>0.52155</x:v>
      </x:c>
      <x:c r="L440" s="59" t="n">
        <x:v>0.20741</x:v>
      </x:c>
      <x:c r="M440" s="59" t="n">
        <x:v>1.16632</x:v>
      </x:c>
      <x:c r="N440" s="60" t="n">
        <x:v>2.36</x:v>
      </x:c>
      <x:c r="O440" s="60" t="n">
        <x:v>1.44</x:v>
      </x:c>
      <x:c r="P440" s="60" t="n">
        <x:v>1.21</x:v>
      </x:c>
      <x:c r="Q440" s="60" t="n">
        <x:v>86.5</x:v>
      </x:c>
      <x:c r="R440" s="58" t="str">
        <x:v>X</x:v>
      </x:c>
      <x:c r="S440" s="60" t="n">
        <x:v>100</x:v>
      </x:c>
      <x:c r="T440" s="58" t="str">
        <x:v>IN TARGET BAND</x:v>
      </x:c>
      <x:c r="U440" s="58" t="str">
        <x:v>Yes</x:v>
      </x:c>
      <x:c r="V440" s="58" t="n">
        <x:v>908</x:v>
      </x:c>
      <x:c r="W440" s="58" t="str">
        <x:v>Pasted text(59).txt</x:v>
      </x:c>
    </x:row>
    <x:row r="441">
      <x:c r="A441" s="58" t="str">
        <x:v>S13</x:v>
      </x:c>
      <x:c r="B441" s="58" t="str">
        <x:v>1.00 validated five-run session</x:v>
      </x:c>
      <x:c r="C441" s="58" t="n">
        <x:v>1</x:v>
      </x:c>
      <x:c r="D441" s="58" t="n">
        <x:v>5</x:v>
      </x:c>
      <x:c r="E441" s="58" t="str">
        <x:v>PASS</x:v>
      </x:c>
      <x:c r="F441" s="58" t="n">
        <x:v>1</x:v>
      </x:c>
      <x:c r="G441" s="58" t="n">
        <x:v>10</x:v>
      </x:c>
      <x:c r="H441" s="59" t="n">
        <x:v>10.75</x:v>
      </x:c>
      <x:c r="I441" s="59" t="n">
        <x:v>1.01186</x:v>
      </x:c>
      <x:c r="J441" s="59" t="n">
        <x:v>1.01011</x:v>
      </x:c>
      <x:c r="K441" s="59" t="n">
        <x:v>0.4808</x:v>
      </x:c>
      <x:c r="L441" s="59" t="n">
        <x:v>0.20425</x:v>
      </x:c>
      <x:c r="M441" s="59" t="n">
        <x:v>1.13741</x:v>
      </x:c>
      <x:c r="N441" s="60" t="n">
        <x:v>1.19</x:v>
      </x:c>
      <x:c r="O441" s="60" t="n">
        <x:v>0.48</x:v>
      </x:c>
      <x:c r="P441" s="60" t="n">
        <x:v>0.61</x:v>
      </x:c>
      <x:c r="Q441" s="60" t="n">
        <x:v>86.2</x:v>
      </x:c>
      <x:c r="R441" s="58" t="str">
        <x:v>X</x:v>
      </x:c>
      <x:c r="S441" s="60" t="n">
        <x:v>100</x:v>
      </x:c>
      <x:c r="T441" s="58" t="str">
        <x:v>IN TARGET BAND</x:v>
      </x:c>
      <x:c r="U441" s="58" t="str">
        <x:v>Yes</x:v>
      </x:c>
      <x:c r="V441" s="58" t="n">
        <x:v>909</x:v>
      </x:c>
      <x:c r="W441" s="58" t="str">
        <x:v>Pasted text(59).txt</x:v>
      </x:c>
    </x:row>
    <x:row r="442">
      <x:c r="A442" s="58" t="str">
        <x:v>S14</x:v>
      </x:c>
      <x:c r="B442" s="58" t="str">
        <x:v>1.15 validation at 272 Hz</x:v>
      </x:c>
      <x:c r="C442" s="58" t="n">
        <x:v>1.15</x:v>
      </x:c>
      <x:c r="D442" s="58" t="n">
        <x:v>1</x:v>
      </x:c>
      <x:c r="E442" s="58" t="str">
        <x:v>PASS</x:v>
      </x:c>
      <x:c r="F442" s="58" t="n">
        <x:v>1</x:v>
      </x:c>
      <x:c r="G442" s="58" t="n">
        <x:v>1</x:v>
      </x:c>
      <x:c r="H442" s="59" t="n">
        <x:v>11.75</x:v>
      </x:c>
      <x:c r="I442" s="59" t="n">
        <x:v>1.19489</x:v>
      </x:c>
      <x:c r="J442" s="59" t="n">
        <x:v>1.2009</x:v>
      </x:c>
      <x:c r="K442" s="59" t="n">
        <x:v>0.62443</x:v>
      </x:c>
      <x:c r="L442" s="59" t="n">
        <x:v>0.27067</x:v>
      </x:c>
      <x:c r="M442" s="59" t="n">
        <x:v>1.38083</x:v>
      </x:c>
      <x:c r="N442" s="60" t="n">
        <x:v>3.9</x:v>
      </x:c>
      <x:c r="O442" s="60" t="n">
        <x:v>2.79</x:v>
      </x:c>
      <x:c r="P442" s="60" t="n">
        <x:v>2.66</x:v>
      </x:c>
      <x:c r="Q442" s="60" t="n">
        <x:v>87.6</x:v>
      </x:c>
      <x:c r="R442" s="58" t="str">
        <x:v>X</x:v>
      </x:c>
      <x:c r="S442" s="60" t="n">
        <x:v>100</x:v>
      </x:c>
      <x:c r="T442" s="58" t="str">
        <x:v>IN TARGET BAND</x:v>
      </x:c>
      <x:c r="U442" s="58" t="str">
        <x:v>Yes</x:v>
      </x:c>
      <x:c r="V442" s="58" t="n">
        <x:v>1023</x:v>
      </x:c>
      <x:c r="W442" s="58" t="str">
        <x:v>Pasted text(59).txt</x:v>
      </x:c>
    </x:row>
    <x:row r="443">
      <x:c r="A443" s="58" t="str">
        <x:v>S14</x:v>
      </x:c>
      <x:c r="B443" s="58" t="str">
        <x:v>1.15 validation at 272 Hz</x:v>
      </x:c>
      <x:c r="C443" s="58" t="n">
        <x:v>1.15</x:v>
      </x:c>
      <x:c r="D443" s="58" t="n">
        <x:v>1</x:v>
      </x:c>
      <x:c r="E443" s="58" t="str">
        <x:v>PASS</x:v>
      </x:c>
      <x:c r="F443" s="58" t="n">
        <x:v>1</x:v>
      </x:c>
      <x:c r="G443" s="58" t="n">
        <x:v>2</x:v>
      </x:c>
      <x:c r="H443" s="59" t="n">
        <x:v>11.75</x:v>
      </x:c>
      <x:c r="I443" s="59" t="n">
        <x:v>1.22519</x:v>
      </x:c>
      <x:c r="J443" s="59" t="n">
        <x:v>1.21672</x:v>
      </x:c>
      <x:c r="K443" s="59" t="n">
        <x:v>0.6201</x:v>
      </x:c>
      <x:c r="L443" s="59" t="n">
        <x:v>0.28987</x:v>
      </x:c>
      <x:c r="M443" s="59" t="n">
        <x:v>1.39661</x:v>
      </x:c>
      <x:c r="N443" s="60" t="n">
        <x:v>6.54</x:v>
      </x:c>
      <x:c r="O443" s="60" t="n">
        <x:v>1.16</x:v>
      </x:c>
      <x:c r="P443" s="60" t="n">
        <x:v>1.93</x:v>
      </x:c>
      <x:c r="Q443" s="60" t="n">
        <x:v>88.2</x:v>
      </x:c>
      <x:c r="R443" s="58" t="str">
        <x:v>X</x:v>
      </x:c>
      <x:c r="S443" s="60" t="n">
        <x:v>100</x:v>
      </x:c>
      <x:c r="T443" s="58" t="str">
        <x:v>IN TARGET BAND</x:v>
      </x:c>
      <x:c r="U443" s="58" t="str">
        <x:v>Yes</x:v>
      </x:c>
      <x:c r="V443" s="58" t="n">
        <x:v>1024</x:v>
      </x:c>
      <x:c r="W443" s="58" t="str">
        <x:v>Pasted text(59).txt</x:v>
      </x:c>
    </x:row>
    <x:row r="444">
      <x:c r="A444" s="58" t="str">
        <x:v>S14</x:v>
      </x:c>
      <x:c r="B444" s="58" t="str">
        <x:v>1.15 validation at 272 Hz</x:v>
      </x:c>
      <x:c r="C444" s="58" t="n">
        <x:v>1.15</x:v>
      </x:c>
      <x:c r="D444" s="58" t="n">
        <x:v>1</x:v>
      </x:c>
      <x:c r="E444" s="58" t="str">
        <x:v>PASS</x:v>
      </x:c>
      <x:c r="F444" s="58" t="n">
        <x:v>1</x:v>
      </x:c>
      <x:c r="G444" s="58" t="n">
        <x:v>3</x:v>
      </x:c>
      <x:c r="H444" s="59" t="n">
        <x:v>11.75</x:v>
      </x:c>
      <x:c r="I444" s="59" t="n">
        <x:v>1.22564</x:v>
      </x:c>
      <x:c r="J444" s="59" t="n">
        <x:v>1.21197</x:v>
      </x:c>
      <x:c r="K444" s="59" t="n">
        <x:v>0.61581</x:v>
      </x:c>
      <x:c r="L444" s="59" t="n">
        <x:v>0.27704</x:v>
      </x:c>
      <x:c r="M444" s="59" t="n">
        <x:v>1.38771</x:v>
      </x:c>
      <x:c r="N444" s="60" t="n">
        <x:v>6.58</x:v>
      </x:c>
      <x:c r="O444" s="60" t="n">
        <x:v>1.93</x:v>
      </x:c>
      <x:c r="P444" s="60" t="n">
        <x:v>3.16</x:v>
      </x:c>
      <x:c r="Q444" s="60" t="n">
        <x:v>87.7</x:v>
      </x:c>
      <x:c r="R444" s="58" t="str">
        <x:v>X</x:v>
      </x:c>
      <x:c r="S444" s="60" t="n">
        <x:v>100</x:v>
      </x:c>
      <x:c r="T444" s="58" t="str">
        <x:v>IN TARGET BAND</x:v>
      </x:c>
      <x:c r="U444" s="58" t="str">
        <x:v>Yes</x:v>
      </x:c>
      <x:c r="V444" s="58" t="n">
        <x:v>1025</x:v>
      </x:c>
      <x:c r="W444" s="58" t="str">
        <x:v>Pasted text(59).txt</x:v>
      </x:c>
    </x:row>
    <x:row r="445">
      <x:c r="A445" s="58" t="str">
        <x:v>S14</x:v>
      </x:c>
      <x:c r="B445" s="58" t="str">
        <x:v>1.15 validation at 272 Hz</x:v>
      </x:c>
      <x:c r="C445" s="58" t="n">
        <x:v>1.15</x:v>
      </x:c>
      <x:c r="D445" s="58" t="n">
        <x:v>1</x:v>
      </x:c>
      <x:c r="E445" s="58" t="str">
        <x:v>PASS</x:v>
      </x:c>
      <x:c r="F445" s="58" t="n">
        <x:v>1</x:v>
      </x:c>
      <x:c r="G445" s="58" t="n">
        <x:v>4</x:v>
      </x:c>
      <x:c r="H445" s="59" t="n">
        <x:v>11.75</x:v>
      </x:c>
      <x:c r="I445" s="59" t="n">
        <x:v>1.22348</x:v>
      </x:c>
      <x:c r="J445" s="59" t="n">
        <x:v>1.21229</x:v>
      </x:c>
      <x:c r="K445" s="59" t="n">
        <x:v>0.62878</x:v>
      </x:c>
      <x:c r="L445" s="59" t="n">
        <x:v>0.28551</x:v>
      </x:c>
      <x:c r="M445" s="59" t="n">
        <x:v>1.39545</x:v>
      </x:c>
      <x:c r="N445" s="60" t="n">
        <x:v>6.39</x:v>
      </x:c>
      <x:c r="O445" s="60" t="n">
        <x:v>1.52</x:v>
      </x:c>
      <x:c r="P445" s="60" t="n">
        <x:v>2.55</x:v>
      </x:c>
      <x:c r="Q445" s="60" t="n">
        <x:v>87.5</x:v>
      </x:c>
      <x:c r="R445" s="58" t="str">
        <x:v>X</x:v>
      </x:c>
      <x:c r="S445" s="60" t="n">
        <x:v>100</x:v>
      </x:c>
      <x:c r="T445" s="58" t="str">
        <x:v>IN TARGET BAND</x:v>
      </x:c>
      <x:c r="U445" s="58" t="str">
        <x:v>Yes</x:v>
      </x:c>
      <x:c r="V445" s="58" t="n">
        <x:v>1026</x:v>
      </x:c>
      <x:c r="W445" s="58" t="str">
        <x:v>Pasted text(59).txt</x:v>
      </x:c>
    </x:row>
    <x:row r="446">
      <x:c r="A446" s="58" t="str">
        <x:v>S14</x:v>
      </x:c>
      <x:c r="B446" s="58" t="str">
        <x:v>1.15 validation at 272 Hz</x:v>
      </x:c>
      <x:c r="C446" s="58" t="n">
        <x:v>1.15</x:v>
      </x:c>
      <x:c r="D446" s="58" t="n">
        <x:v>1</x:v>
      </x:c>
      <x:c r="E446" s="58" t="str">
        <x:v>PASS</x:v>
      </x:c>
      <x:c r="F446" s="58" t="n">
        <x:v>1</x:v>
      </x:c>
      <x:c r="G446" s="58" t="n">
        <x:v>5</x:v>
      </x:c>
      <x:c r="H446" s="59" t="n">
        <x:v>11.75</x:v>
      </x:c>
      <x:c r="I446" s="59" t="n">
        <x:v>1.22025</x:v>
      </x:c>
      <x:c r="J446" s="59" t="n">
        <x:v>1.21799</x:v>
      </x:c>
      <x:c r="K446" s="59" t="n">
        <x:v>0.61653</x:v>
      </x:c>
      <x:c r="L446" s="59" t="n">
        <x:v>0.28759</x:v>
      </x:c>
      <x:c r="M446" s="59" t="n">
        <x:v>1.39576</x:v>
      </x:c>
      <x:c r="N446" s="60" t="n">
        <x:v>6.11</x:v>
      </x:c>
      <x:c r="O446" s="60" t="n">
        <x:v>3.23</x:v>
      </x:c>
      <x:c r="P446" s="60" t="n">
        <x:v>2.47</x:v>
      </x:c>
      <x:c r="Q446" s="60" t="n">
        <x:v>88</x:v>
      </x:c>
      <x:c r="R446" s="58" t="str">
        <x:v>X</x:v>
      </x:c>
      <x:c r="S446" s="60" t="n">
        <x:v>100</x:v>
      </x:c>
      <x:c r="T446" s="58" t="str">
        <x:v>IN TARGET BAND</x:v>
      </x:c>
      <x:c r="U446" s="58" t="str">
        <x:v>Yes</x:v>
      </x:c>
      <x:c r="V446" s="58" t="n">
        <x:v>1027</x:v>
      </x:c>
      <x:c r="W446" s="58" t="str">
        <x:v>Pasted text(59).txt</x:v>
      </x:c>
    </x:row>
    <x:row r="447">
      <x:c r="A447" s="58" t="str">
        <x:v>S14</x:v>
      </x:c>
      <x:c r="B447" s="58" t="str">
        <x:v>1.15 validation at 272 Hz</x:v>
      </x:c>
      <x:c r="C447" s="58" t="n">
        <x:v>1.15</x:v>
      </x:c>
      <x:c r="D447" s="58" t="n">
        <x:v>1</x:v>
      </x:c>
      <x:c r="E447" s="58" t="str">
        <x:v>PASS</x:v>
      </x:c>
      <x:c r="F447" s="58" t="n">
        <x:v>1</x:v>
      </x:c>
      <x:c r="G447" s="58" t="n">
        <x:v>6</x:v>
      </x:c>
      <x:c r="H447" s="59" t="n">
        <x:v>11.75</x:v>
      </x:c>
      <x:c r="I447" s="59" t="n">
        <x:v>1.2216</x:v>
      </x:c>
      <x:c r="J447" s="59" t="n">
        <x:v>1.20634</x:v>
      </x:c>
      <x:c r="K447" s="59" t="n">
        <x:v>0.61456</x:v>
      </x:c>
      <x:c r="L447" s="59" t="n">
        <x:v>0.29209</x:v>
      </x:c>
      <x:c r="M447" s="59" t="n">
        <x:v>1.38536</x:v>
      </x:c>
      <x:c r="N447" s="60" t="n">
        <x:v>6.23</x:v>
      </x:c>
      <x:c r="O447" s="60" t="n">
        <x:v>0.91</x:v>
      </x:c>
      <x:c r="P447" s="60" t="n">
        <x:v>2.75</x:v>
      </x:c>
      <x:c r="Q447" s="60" t="n">
        <x:v>87.4</x:v>
      </x:c>
      <x:c r="R447" s="58" t="str">
        <x:v>X</x:v>
      </x:c>
      <x:c r="S447" s="60" t="n">
        <x:v>100</x:v>
      </x:c>
      <x:c r="T447" s="58" t="str">
        <x:v>IN TARGET BAND</x:v>
      </x:c>
      <x:c r="U447" s="58" t="str">
        <x:v>Yes</x:v>
      </x:c>
      <x:c r="V447" s="58" t="n">
        <x:v>1028</x:v>
      </x:c>
      <x:c r="W447" s="58" t="str">
        <x:v>Pasted text(59).txt</x:v>
      </x:c>
    </x:row>
    <x:row r="448">
      <x:c r="A448" s="58" t="str">
        <x:v>S14</x:v>
      </x:c>
      <x:c r="B448" s="58" t="str">
        <x:v>1.15 validation at 272 Hz</x:v>
      </x:c>
      <x:c r="C448" s="58" t="n">
        <x:v>1.15</x:v>
      </x:c>
      <x:c r="D448" s="58" t="n">
        <x:v>1</x:v>
      </x:c>
      <x:c r="E448" s="58" t="str">
        <x:v>PASS</x:v>
      </x:c>
      <x:c r="F448" s="58" t="n">
        <x:v>1</x:v>
      </x:c>
      <x:c r="G448" s="58" t="n">
        <x:v>7</x:v>
      </x:c>
      <x:c r="H448" s="59" t="n">
        <x:v>11.75</x:v>
      </x:c>
      <x:c r="I448" s="59" t="n">
        <x:v>1.19536</x:v>
      </x:c>
      <x:c r="J448" s="59" t="n">
        <x:v>1.19344</x:v>
      </x:c>
      <x:c r="K448" s="59" t="n">
        <x:v>0.62199</x:v>
      </x:c>
      <x:c r="L448" s="59" t="n">
        <x:v>0.27598</x:v>
      </x:c>
      <x:c r="M448" s="59" t="n">
        <x:v>1.37401</x:v>
      </x:c>
      <x:c r="N448" s="60" t="n">
        <x:v>3.94</x:v>
      </x:c>
      <x:c r="O448" s="60" t="n">
        <x:v>1.12</x:v>
      </x:c>
      <x:c r="P448" s="60" t="n">
        <x:v>1</x:v>
      </x:c>
      <x:c r="Q448" s="60" t="n">
        <x:v>86.8</x:v>
      </x:c>
      <x:c r="R448" s="58" t="str">
        <x:v>X</x:v>
      </x:c>
      <x:c r="S448" s="60" t="n">
        <x:v>100</x:v>
      </x:c>
      <x:c r="T448" s="58" t="str">
        <x:v>IN TARGET BAND</x:v>
      </x:c>
      <x:c r="U448" s="58" t="str">
        <x:v>Yes</x:v>
      </x:c>
      <x:c r="V448" s="58" t="n">
        <x:v>1029</x:v>
      </x:c>
      <x:c r="W448" s="58" t="str">
        <x:v>Pasted text(59).txt</x:v>
      </x:c>
    </x:row>
    <x:row r="449">
      <x:c r="A449" s="58" t="str">
        <x:v>S14</x:v>
      </x:c>
      <x:c r="B449" s="58" t="str">
        <x:v>1.15 validation at 272 Hz</x:v>
      </x:c>
      <x:c r="C449" s="58" t="n">
        <x:v>1.15</x:v>
      </x:c>
      <x:c r="D449" s="58" t="n">
        <x:v>1</x:v>
      </x:c>
      <x:c r="E449" s="58" t="str">
        <x:v>PASS</x:v>
      </x:c>
      <x:c r="F449" s="58" t="n">
        <x:v>1</x:v>
      </x:c>
      <x:c r="G449" s="58" t="n">
        <x:v>8</x:v>
      </x:c>
      <x:c r="H449" s="59" t="n">
        <x:v>11.75</x:v>
      </x:c>
      <x:c r="I449" s="59" t="n">
        <x:v>1.21684</x:v>
      </x:c>
      <x:c r="J449" s="59" t="n">
        <x:v>1.21332</x:v>
      </x:c>
      <x:c r="K449" s="59" t="n">
        <x:v>0.60777</x:v>
      </x:c>
      <x:c r="L449" s="59" t="n">
        <x:v>0.27963</x:v>
      </x:c>
      <x:c r="M449" s="59" t="n">
        <x:v>1.38588</x:v>
      </x:c>
      <x:c r="N449" s="60" t="n">
        <x:v>5.81</x:v>
      </x:c>
      <x:c r="O449" s="60" t="n">
        <x:v>1.67</x:v>
      </x:c>
      <x:c r="P449" s="60" t="n">
        <x:v>1.59</x:v>
      </x:c>
      <x:c r="Q449" s="60" t="n">
        <x:v>88.1</x:v>
      </x:c>
      <x:c r="R449" s="58" t="str">
        <x:v>X</x:v>
      </x:c>
      <x:c r="S449" s="60" t="n">
        <x:v>100</x:v>
      </x:c>
      <x:c r="T449" s="58" t="str">
        <x:v>IN TARGET BAND</x:v>
      </x:c>
      <x:c r="U449" s="58" t="str">
        <x:v>Yes</x:v>
      </x:c>
      <x:c r="V449" s="58" t="n">
        <x:v>1030</x:v>
      </x:c>
      <x:c r="W449" s="58" t="str">
        <x:v>Pasted text(59).txt</x:v>
      </x:c>
    </x:row>
    <x:row r="450">
      <x:c r="A450" s="58" t="str">
        <x:v>S14</x:v>
      </x:c>
      <x:c r="B450" s="58" t="str">
        <x:v>1.15 validation at 272 Hz</x:v>
      </x:c>
      <x:c r="C450" s="58" t="n">
        <x:v>1.15</x:v>
      </x:c>
      <x:c r="D450" s="58" t="n">
        <x:v>1</x:v>
      </x:c>
      <x:c r="E450" s="58" t="str">
        <x:v>PASS</x:v>
      </x:c>
      <x:c r="F450" s="58" t="n">
        <x:v>1</x:v>
      </x:c>
      <x:c r="G450" s="58" t="n">
        <x:v>9</x:v>
      </x:c>
      <x:c r="H450" s="59" t="n">
        <x:v>11.75</x:v>
      </x:c>
      <x:c r="I450" s="59" t="n">
        <x:v>1.22282</x:v>
      </x:c>
      <x:c r="J450" s="59" t="n">
        <x:v>1.21908</x:v>
      </x:c>
      <x:c r="K450" s="59" t="n">
        <x:v>0.60819</x:v>
      </x:c>
      <x:c r="L450" s="59" t="n">
        <x:v>0.27966</x:v>
      </x:c>
      <x:c r="M450" s="59" t="n">
        <x:v>1.39084</x:v>
      </x:c>
      <x:c r="N450" s="60" t="n">
        <x:v>6.33</x:v>
      </x:c>
      <x:c r="O450" s="60" t="n">
        <x:v>1.58</x:v>
      </x:c>
      <x:c r="P450" s="60" t="n">
        <x:v>1.55</x:v>
      </x:c>
      <x:c r="Q450" s="60" t="n">
        <x:v>87.6</x:v>
      </x:c>
      <x:c r="R450" s="58" t="str">
        <x:v>X</x:v>
      </x:c>
      <x:c r="S450" s="60" t="n">
        <x:v>100</x:v>
      </x:c>
      <x:c r="T450" s="58" t="str">
        <x:v>IN TARGET BAND</x:v>
      </x:c>
      <x:c r="U450" s="58" t="str">
        <x:v>Yes</x:v>
      </x:c>
      <x:c r="V450" s="58" t="n">
        <x:v>1031</x:v>
      </x:c>
      <x:c r="W450" s="58" t="str">
        <x:v>Pasted text(59).txt</x:v>
      </x:c>
    </x:row>
    <x:row r="451">
      <x:c r="A451" s="58" t="str">
        <x:v>S14</x:v>
      </x:c>
      <x:c r="B451" s="58" t="str">
        <x:v>1.15 validation at 272 Hz</x:v>
      </x:c>
      <x:c r="C451" s="58" t="n">
        <x:v>1.15</x:v>
      </x:c>
      <x:c r="D451" s="58" t="n">
        <x:v>1</x:v>
      </x:c>
      <x:c r="E451" s="58" t="str">
        <x:v>PASS</x:v>
      </x:c>
      <x:c r="F451" s="58" t="n">
        <x:v>1</x:v>
      </x:c>
      <x:c r="G451" s="58" t="n">
        <x:v>10</x:v>
      </x:c>
      <x:c r="H451" s="59" t="n">
        <x:v>11.75</x:v>
      </x:c>
      <x:c r="I451" s="59" t="n">
        <x:v>1.20935</x:v>
      </x:c>
      <x:c r="J451" s="59" t="n">
        <x:v>1.20475</x:v>
      </x:c>
      <x:c r="K451" s="59" t="n">
        <x:v>0.61869</x:v>
      </x:c>
      <x:c r="L451" s="59" t="n">
        <x:v>0.29847</x:v>
      </x:c>
      <x:c r="M451" s="59" t="n">
        <x:v>1.3871</x:v>
      </x:c>
      <x:c r="N451" s="60" t="n">
        <x:v>5.16</x:v>
      </x:c>
      <x:c r="O451" s="60" t="n">
        <x:v>2.1</x:v>
      </x:c>
      <x:c r="P451" s="60" t="n">
        <x:v>2.02</x:v>
      </x:c>
      <x:c r="Q451" s="60" t="n">
        <x:v>87</x:v>
      </x:c>
      <x:c r="R451" s="58" t="str">
        <x:v>X</x:v>
      </x:c>
      <x:c r="S451" s="60" t="n">
        <x:v>100</x:v>
      </x:c>
      <x:c r="T451" s="58" t="str">
        <x:v>IN TARGET BAND</x:v>
      </x:c>
      <x:c r="U451" s="58" t="str">
        <x:v>Yes</x:v>
      </x:c>
      <x:c r="V451" s="58" t="n">
        <x:v>1032</x:v>
      </x:c>
      <x:c r="W451" s="58" t="str">
        <x:v>Pasted text(59).txt</x:v>
      </x:c>
    </x:row>
    <x:row r="452">
      <x:c r="A452" s="58" t="str">
        <x:v>S14</x:v>
      </x:c>
      <x:c r="B452" s="58" t="str">
        <x:v>1.15 validation at 272 Hz</x:v>
      </x:c>
      <x:c r="C452" s="58" t="n">
        <x:v>1.15</x:v>
      </x:c>
      <x:c r="D452" s="58" t="n">
        <x:v>2</x:v>
      </x:c>
      <x:c r="E452" s="58" t="str">
        <x:v>PASS</x:v>
      </x:c>
      <x:c r="F452" s="58" t="n">
        <x:v>1</x:v>
      </x:c>
      <x:c r="G452" s="58" t="n">
        <x:v>1</x:v>
      </x:c>
      <x:c r="H452" s="59" t="n">
        <x:v>11.5</x:v>
      </x:c>
      <x:c r="I452" s="59" t="n">
        <x:v>1.16325</x:v>
      </x:c>
      <x:c r="J452" s="59" t="n">
        <x:v>1.16189</x:v>
      </x:c>
      <x:c r="K452" s="59" t="n">
        <x:v>0.58485</x:v>
      </x:c>
      <x:c r="L452" s="59" t="n">
        <x:v>0.29039</x:v>
      </x:c>
      <x:c r="M452" s="59" t="n">
        <x:v>1.33303</x:v>
      </x:c>
      <x:c r="N452" s="60" t="n">
        <x:v>1.15</x:v>
      </x:c>
      <x:c r="O452" s="60" t="n">
        <x:v>3.13</x:v>
      </x:c>
      <x:c r="P452" s="60" t="n">
        <x:v>2.29</x:v>
      </x:c>
      <x:c r="Q452" s="60" t="n">
        <x:v>90</x:v>
      </x:c>
      <x:c r="R452" s="58" t="str">
        <x:v>X</x:v>
      </x:c>
      <x:c r="S452" s="60" t="n">
        <x:v>100</x:v>
      </x:c>
      <x:c r="T452" s="58" t="str">
        <x:v>IN TARGET BAND</x:v>
      </x:c>
      <x:c r="U452" s="58" t="str">
        <x:v>Yes</x:v>
      </x:c>
      <x:c r="V452" s="58" t="n">
        <x:v>1107</x:v>
      </x:c>
      <x:c r="W452" s="58" t="str">
        <x:v>Pasted text(59).txt</x:v>
      </x:c>
    </x:row>
    <x:row r="453">
      <x:c r="A453" s="58" t="str">
        <x:v>S14</x:v>
      </x:c>
      <x:c r="B453" s="58" t="str">
        <x:v>1.15 validation at 272 Hz</x:v>
      </x:c>
      <x:c r="C453" s="58" t="n">
        <x:v>1.15</x:v>
      </x:c>
      <x:c r="D453" s="58" t="n">
        <x:v>2</x:v>
      </x:c>
      <x:c r="E453" s="58" t="str">
        <x:v>PASS</x:v>
      </x:c>
      <x:c r="F453" s="58" t="n">
        <x:v>1</x:v>
      </x:c>
      <x:c r="G453" s="58" t="n">
        <x:v>2</x:v>
      </x:c>
      <x:c r="H453" s="59" t="n">
        <x:v>11.5</x:v>
      </x:c>
      <x:c r="I453" s="59" t="n">
        <x:v>1.15629</x:v>
      </x:c>
      <x:c r="J453" s="59" t="n">
        <x:v>1.15172</x:v>
      </x:c>
      <x:c r="K453" s="59" t="n">
        <x:v>0.60742</x:v>
      </x:c>
      <x:c r="L453" s="59" t="n">
        <x:v>0.27763</x:v>
      </x:c>
      <x:c r="M453" s="59" t="n">
        <x:v>1.33144</x:v>
      </x:c>
      <x:c r="N453" s="60" t="n">
        <x:v>0.55</x:v>
      </x:c>
      <x:c r="O453" s="60" t="n">
        <x:v>0.47</x:v>
      </x:c>
      <x:c r="P453" s="60" t="n">
        <x:v>0.97</x:v>
      </x:c>
      <x:c r="Q453" s="60" t="n">
        <x:v>89</x:v>
      </x:c>
      <x:c r="R453" s="58" t="str">
        <x:v>X</x:v>
      </x:c>
      <x:c r="S453" s="60" t="n">
        <x:v>100</x:v>
      </x:c>
      <x:c r="T453" s="58" t="str">
        <x:v>IN TARGET BAND</x:v>
      </x:c>
      <x:c r="U453" s="58" t="str">
        <x:v>Yes</x:v>
      </x:c>
      <x:c r="V453" s="58" t="n">
        <x:v>1108</x:v>
      </x:c>
      <x:c r="W453" s="58" t="str">
        <x:v>Pasted text(59).txt</x:v>
      </x:c>
    </x:row>
    <x:row r="454">
      <x:c r="A454" s="58" t="str">
        <x:v>S14</x:v>
      </x:c>
      <x:c r="B454" s="58" t="str">
        <x:v>1.15 validation at 272 Hz</x:v>
      </x:c>
      <x:c r="C454" s="58" t="n">
        <x:v>1.15</x:v>
      </x:c>
      <x:c r="D454" s="58" t="n">
        <x:v>2</x:v>
      </x:c>
      <x:c r="E454" s="58" t="str">
        <x:v>PASS</x:v>
      </x:c>
      <x:c r="F454" s="58" t="n">
        <x:v>1</x:v>
      </x:c>
      <x:c r="G454" s="58" t="n">
        <x:v>3</x:v>
      </x:c>
      <x:c r="H454" s="59" t="n">
        <x:v>11.5</x:v>
      </x:c>
      <x:c r="I454" s="59" t="n">
        <x:v>1.17549</x:v>
      </x:c>
      <x:c r="J454" s="59" t="n">
        <x:v>1.17568</x:v>
      </x:c>
      <x:c r="K454" s="59" t="n">
        <x:v>0.59275</x:v>
      </x:c>
      <x:c r="L454" s="59" t="n">
        <x:v>0.26356</x:v>
      </x:c>
      <x:c r="M454" s="59" t="n">
        <x:v>1.34323</x:v>
      </x:c>
      <x:c r="N454" s="60" t="n">
        <x:v>2.22</x:v>
      </x:c>
      <x:c r="O454" s="60" t="n">
        <x:v>0.29</x:v>
      </x:c>
      <x:c r="P454" s="60" t="n">
        <x:v>0.22</x:v>
      </x:c>
      <x:c r="Q454" s="60" t="n">
        <x:v>91.3</x:v>
      </x:c>
      <x:c r="R454" s="58" t="str">
        <x:v>X</x:v>
      </x:c>
      <x:c r="S454" s="60" t="n">
        <x:v>100</x:v>
      </x:c>
      <x:c r="T454" s="58" t="str">
        <x:v>IN TARGET BAND</x:v>
      </x:c>
      <x:c r="U454" s="58" t="str">
        <x:v>Yes</x:v>
      </x:c>
      <x:c r="V454" s="58" t="n">
        <x:v>1109</x:v>
      </x:c>
      <x:c r="W454" s="58" t="str">
        <x:v>Pasted text(59).txt</x:v>
      </x:c>
    </x:row>
    <x:row r="455">
      <x:c r="A455" s="58" t="str">
        <x:v>S14</x:v>
      </x:c>
      <x:c r="B455" s="58" t="str">
        <x:v>1.15 validation at 272 Hz</x:v>
      </x:c>
      <x:c r="C455" s="58" t="n">
        <x:v>1.15</x:v>
      </x:c>
      <x:c r="D455" s="58" t="n">
        <x:v>2</x:v>
      </x:c>
      <x:c r="E455" s="58" t="str">
        <x:v>PASS</x:v>
      </x:c>
      <x:c r="F455" s="58" t="n">
        <x:v>1</x:v>
      </x:c>
      <x:c r="G455" s="58" t="n">
        <x:v>4</x:v>
      </x:c>
      <x:c r="H455" s="59" t="n">
        <x:v>11.5</x:v>
      </x:c>
      <x:c r="I455" s="59" t="n">
        <x:v>1.15717</x:v>
      </x:c>
      <x:c r="J455" s="59" t="n">
        <x:v>1.16601</x:v>
      </x:c>
      <x:c r="K455" s="59" t="n">
        <x:v>0.59007</x:v>
      </x:c>
      <x:c r="L455" s="59" t="n">
        <x:v>0.28869</x:v>
      </x:c>
      <x:c r="M455" s="59" t="n">
        <x:v>1.33853</x:v>
      </x:c>
      <x:c r="N455" s="60" t="n">
        <x:v>0.62</x:v>
      </x:c>
      <x:c r="O455" s="60" t="n">
        <x:v>0.6</x:v>
      </x:c>
      <x:c r="P455" s="60" t="n">
        <x:v>1.67</x:v>
      </x:c>
      <x:c r="Q455" s="60" t="n">
        <x:v>89.6</x:v>
      </x:c>
      <x:c r="R455" s="58" t="str">
        <x:v>X</x:v>
      </x:c>
      <x:c r="S455" s="60" t="n">
        <x:v>100</x:v>
      </x:c>
      <x:c r="T455" s="58" t="str">
        <x:v>IN TARGET BAND</x:v>
      </x:c>
      <x:c r="U455" s="58" t="str">
        <x:v>Yes</x:v>
      </x:c>
      <x:c r="V455" s="58" t="n">
        <x:v>1110</x:v>
      </x:c>
      <x:c r="W455" s="58" t="str">
        <x:v>Pasted text(59).txt</x:v>
      </x:c>
    </x:row>
    <x:row r="456">
      <x:c r="A456" s="58" t="str">
        <x:v>S14</x:v>
      </x:c>
      <x:c r="B456" s="58" t="str">
        <x:v>1.15 validation at 272 Hz</x:v>
      </x:c>
      <x:c r="C456" s="58" t="n">
        <x:v>1.15</x:v>
      </x:c>
      <x:c r="D456" s="58" t="n">
        <x:v>2</x:v>
      </x:c>
      <x:c r="E456" s="58" t="str">
        <x:v>PASS</x:v>
      </x:c>
      <x:c r="F456" s="58" t="n">
        <x:v>1</x:v>
      </x:c>
      <x:c r="G456" s="58" t="n">
        <x:v>5</x:v>
      </x:c>
      <x:c r="H456" s="59" t="n">
        <x:v>11.5</x:v>
      </x:c>
      <x:c r="I456" s="59" t="n">
        <x:v>1.14425</x:v>
      </x:c>
      <x:c r="J456" s="59" t="n">
        <x:v>1.1508</x:v>
      </x:c>
      <x:c r="K456" s="59" t="n">
        <x:v>0.60196</x:v>
      </x:c>
      <x:c r="L456" s="59" t="n">
        <x:v>0.24847</x:v>
      </x:c>
      <x:c r="M456" s="59" t="n">
        <x:v>1.32248</x:v>
      </x:c>
      <x:c r="N456" s="60" t="n">
        <x:v>-0.5</x:v>
      </x:c>
      <x:c r="O456" s="60" t="n">
        <x:v>1.4</x:v>
      </x:c>
      <x:c r="P456" s="60" t="n">
        <x:v>1.86</x:v>
      </x:c>
      <x:c r="Q456" s="60" t="n">
        <x:v>88.7</x:v>
      </x:c>
      <x:c r="R456" s="58" t="str">
        <x:v>X</x:v>
      </x:c>
      <x:c r="S456" s="60" t="n">
        <x:v>100</x:v>
      </x:c>
      <x:c r="T456" s="58" t="str">
        <x:v>IN TARGET BAND</x:v>
      </x:c>
      <x:c r="U456" s="58" t="str">
        <x:v>Yes</x:v>
      </x:c>
      <x:c r="V456" s="58" t="n">
        <x:v>1111</x:v>
      </x:c>
      <x:c r="W456" s="58" t="str">
        <x:v>Pasted text(59).txt</x:v>
      </x:c>
    </x:row>
    <x:row r="457">
      <x:c r="A457" s="58" t="str">
        <x:v>S14</x:v>
      </x:c>
      <x:c r="B457" s="58" t="str">
        <x:v>1.15 validation at 272 Hz</x:v>
      </x:c>
      <x:c r="C457" s="58" t="n">
        <x:v>1.15</x:v>
      </x:c>
      <x:c r="D457" s="58" t="n">
        <x:v>2</x:v>
      </x:c>
      <x:c r="E457" s="58" t="str">
        <x:v>PASS</x:v>
      </x:c>
      <x:c r="F457" s="58" t="n">
        <x:v>1</x:v>
      </x:c>
      <x:c r="G457" s="58" t="n">
        <x:v>6</x:v>
      </x:c>
      <x:c r="H457" s="59" t="n">
        <x:v>11.5</x:v>
      </x:c>
      <x:c r="I457" s="59" t="n">
        <x:v>1.15795</x:v>
      </x:c>
      <x:c r="J457" s="59" t="n">
        <x:v>1.15791</x:v>
      </x:c>
      <x:c r="K457" s="59" t="n">
        <x:v>0.58197</x:v>
      </x:c>
      <x:c r="L457" s="59" t="n">
        <x:v>0.2692</x:v>
      </x:c>
      <x:c r="M457" s="59" t="n">
        <x:v>1.32364</x:v>
      </x:c>
      <x:c r="N457" s="60" t="n">
        <x:v>0.69</x:v>
      </x:c>
      <x:c r="O457" s="60" t="n">
        <x:v>0.81</x:v>
      </x:c>
      <x:c r="P457" s="60" t="n">
        <x:v>0.55</x:v>
      </x:c>
      <x:c r="Q457" s="60" t="n">
        <x:v>89</x:v>
      </x:c>
      <x:c r="R457" s="58" t="str">
        <x:v>X</x:v>
      </x:c>
      <x:c r="S457" s="60" t="n">
        <x:v>100</x:v>
      </x:c>
      <x:c r="T457" s="58" t="str">
        <x:v>IN TARGET BAND</x:v>
      </x:c>
      <x:c r="U457" s="58" t="str">
        <x:v>Yes</x:v>
      </x:c>
      <x:c r="V457" s="58" t="n">
        <x:v>1112</x:v>
      </x:c>
      <x:c r="W457" s="58" t="str">
        <x:v>Pasted text(59).txt</x:v>
      </x:c>
    </x:row>
    <x:row r="458">
      <x:c r="A458" s="58" t="str">
        <x:v>S14</x:v>
      </x:c>
      <x:c r="B458" s="58" t="str">
        <x:v>1.15 validation at 272 Hz</x:v>
      </x:c>
      <x:c r="C458" s="58" t="n">
        <x:v>1.15</x:v>
      </x:c>
      <x:c r="D458" s="58" t="n">
        <x:v>2</x:v>
      </x:c>
      <x:c r="E458" s="58" t="str">
        <x:v>PASS</x:v>
      </x:c>
      <x:c r="F458" s="58" t="n">
        <x:v>1</x:v>
      </x:c>
      <x:c r="G458" s="58" t="n">
        <x:v>7</x:v>
      </x:c>
      <x:c r="H458" s="59" t="n">
        <x:v>11.5</x:v>
      </x:c>
      <x:c r="I458" s="59" t="n">
        <x:v>1.15545</x:v>
      </x:c>
      <x:c r="J458" s="59" t="n">
        <x:v>1.15418</x:v>
      </x:c>
      <x:c r="K458" s="59" t="n">
        <x:v>0.59217</x:v>
      </x:c>
      <x:c r="L458" s="59" t="n">
        <x:v>0.27193</x:v>
      </x:c>
      <x:c r="M458" s="59" t="n">
        <x:v>1.32559</x:v>
      </x:c>
      <x:c r="N458" s="60" t="n">
        <x:v>0.47</x:v>
      </x:c>
      <x:c r="O458" s="60" t="n">
        <x:v>1.13</x:v>
      </x:c>
      <x:c r="P458" s="60" t="n">
        <x:v>0.93</x:v>
      </x:c>
      <x:c r="Q458" s="60" t="n">
        <x:v>89.2</x:v>
      </x:c>
      <x:c r="R458" s="58" t="str">
        <x:v>X</x:v>
      </x:c>
      <x:c r="S458" s="60" t="n">
        <x:v>100</x:v>
      </x:c>
      <x:c r="T458" s="58" t="str">
        <x:v>IN TARGET BAND</x:v>
      </x:c>
      <x:c r="U458" s="58" t="str">
        <x:v>Yes</x:v>
      </x:c>
      <x:c r="V458" s="58" t="n">
        <x:v>1113</x:v>
      </x:c>
      <x:c r="W458" s="58" t="str">
        <x:v>Pasted text(59).txt</x:v>
      </x:c>
    </x:row>
    <x:row r="459">
      <x:c r="A459" s="58" t="str">
        <x:v>S14</x:v>
      </x:c>
      <x:c r="B459" s="58" t="str">
        <x:v>1.15 validation at 272 Hz</x:v>
      </x:c>
      <x:c r="C459" s="58" t="n">
        <x:v>1.15</x:v>
      </x:c>
      <x:c r="D459" s="58" t="n">
        <x:v>2</x:v>
      </x:c>
      <x:c r="E459" s="58" t="str">
        <x:v>PASS</x:v>
      </x:c>
      <x:c r="F459" s="58" t="n">
        <x:v>1</x:v>
      </x:c>
      <x:c r="G459" s="58" t="n">
        <x:v>8</x:v>
      </x:c>
      <x:c r="H459" s="59" t="n">
        <x:v>11.5</x:v>
      </x:c>
      <x:c r="I459" s="59" t="n">
        <x:v>1.17657</x:v>
      </x:c>
      <x:c r="J459" s="59" t="n">
        <x:v>1.18207</x:v>
      </x:c>
      <x:c r="K459" s="59" t="n">
        <x:v>0.5945</x:v>
      </x:c>
      <x:c r="L459" s="59" t="n">
        <x:v>0.26026</x:v>
      </x:c>
      <x:c r="M459" s="59" t="n">
        <x:v>1.34867</x:v>
      </x:c>
      <x:c r="N459" s="60" t="n">
        <x:v>2.31</x:v>
      </x:c>
      <x:c r="O459" s="60" t="n">
        <x:v>1.34</x:v>
      </x:c>
      <x:c r="P459" s="60" t="n">
        <x:v>1.65</x:v>
      </x:c>
      <x:c r="Q459" s="60" t="n">
        <x:v>89.3</x:v>
      </x:c>
      <x:c r="R459" s="58" t="str">
        <x:v>X</x:v>
      </x:c>
      <x:c r="S459" s="60" t="n">
        <x:v>100</x:v>
      </x:c>
      <x:c r="T459" s="58" t="str">
        <x:v>IN TARGET BAND</x:v>
      </x:c>
      <x:c r="U459" s="58" t="str">
        <x:v>Yes</x:v>
      </x:c>
      <x:c r="V459" s="58" t="n">
        <x:v>1114</x:v>
      </x:c>
      <x:c r="W459" s="58" t="str">
        <x:v>Pasted text(59).txt</x:v>
      </x:c>
    </x:row>
    <x:row r="460">
      <x:c r="A460" s="58" t="str">
        <x:v>S14</x:v>
      </x:c>
      <x:c r="B460" s="58" t="str">
        <x:v>1.15 validation at 272 Hz</x:v>
      </x:c>
      <x:c r="C460" s="58" t="n">
        <x:v>1.15</x:v>
      </x:c>
      <x:c r="D460" s="58" t="n">
        <x:v>2</x:v>
      </x:c>
      <x:c r="E460" s="58" t="str">
        <x:v>PASS</x:v>
      </x:c>
      <x:c r="F460" s="58" t="n">
        <x:v>1</x:v>
      </x:c>
      <x:c r="G460" s="58" t="n">
        <x:v>9</x:v>
      </x:c>
      <x:c r="H460" s="59" t="n">
        <x:v>11.5</x:v>
      </x:c>
      <x:c r="I460" s="59" t="n">
        <x:v>1.15888</x:v>
      </x:c>
      <x:c r="J460" s="59" t="n">
        <x:v>1.16363</x:v>
      </x:c>
      <x:c r="K460" s="59" t="n">
        <x:v>0.60748</x:v>
      </x:c>
      <x:c r="L460" s="59" t="n">
        <x:v>0.27409</x:v>
      </x:c>
      <x:c r="M460" s="59" t="n">
        <x:v>1.34115</x:v>
      </x:c>
      <x:c r="N460" s="60" t="n">
        <x:v>0.77</x:v>
      </x:c>
      <x:c r="O460" s="60" t="n">
        <x:v>0.55</x:v>
      </x:c>
      <x:c r="P460" s="60" t="n">
        <x:v>1.05</x:v>
      </x:c>
      <x:c r="Q460" s="60" t="n">
        <x:v>88.8</x:v>
      </x:c>
      <x:c r="R460" s="58" t="str">
        <x:v>X</x:v>
      </x:c>
      <x:c r="S460" s="60" t="n">
        <x:v>100</x:v>
      </x:c>
      <x:c r="T460" s="58" t="str">
        <x:v>IN TARGET BAND</x:v>
      </x:c>
      <x:c r="U460" s="58" t="str">
        <x:v>Yes</x:v>
      </x:c>
      <x:c r="V460" s="58" t="n">
        <x:v>1115</x:v>
      </x:c>
      <x:c r="W460" s="58" t="str">
        <x:v>Pasted text(59).txt</x:v>
      </x:c>
    </x:row>
    <x:row r="461">
      <x:c r="A461" s="58" t="str">
        <x:v>S14</x:v>
      </x:c>
      <x:c r="B461" s="58" t="str">
        <x:v>1.15 validation at 272 Hz</x:v>
      </x:c>
      <x:c r="C461" s="58" t="n">
        <x:v>1.15</x:v>
      </x:c>
      <x:c r="D461" s="58" t="n">
        <x:v>2</x:v>
      </x:c>
      <x:c r="E461" s="58" t="str">
        <x:v>PASS</x:v>
      </x:c>
      <x:c r="F461" s="58" t="n">
        <x:v>1</x:v>
      </x:c>
      <x:c r="G461" s="58" t="n">
        <x:v>10</x:v>
      </x:c>
      <x:c r="H461" s="59" t="n">
        <x:v>11.5</x:v>
      </x:c>
      <x:c r="I461" s="59" t="n">
        <x:v>1.1659</x:v>
      </x:c>
      <x:c r="J461" s="59" t="n">
        <x:v>1.17185</x:v>
      </x:c>
      <x:c r="K461" s="59" t="n">
        <x:v>0.60048</x:v>
      </x:c>
      <x:c r="L461" s="59" t="n">
        <x:v>0.2727</x:v>
      </x:c>
      <x:c r="M461" s="59" t="n">
        <x:v>1.34506</x:v>
      </x:c>
      <x:c r="N461" s="60" t="n">
        <x:v>1.38</x:v>
      </x:c>
      <x:c r="O461" s="60" t="n">
        <x:v>1.84</x:v>
      </x:c>
      <x:c r="P461" s="60" t="n">
        <x:v>2.04</x:v>
      </x:c>
      <x:c r="Q461" s="60" t="n">
        <x:v>89.5</x:v>
      </x:c>
      <x:c r="R461" s="58" t="str">
        <x:v>X</x:v>
      </x:c>
      <x:c r="S461" s="60" t="n">
        <x:v>100</x:v>
      </x:c>
      <x:c r="T461" s="58" t="str">
        <x:v>IN TARGET BAND</x:v>
      </x:c>
      <x:c r="U461" s="58" t="str">
        <x:v>Yes</x:v>
      </x:c>
      <x:c r="V461" s="58" t="n">
        <x:v>1116</x:v>
      </x:c>
      <x:c r="W461" s="58" t="str">
        <x:v>Pasted text(59).txt</x:v>
      </x:c>
    </x:row>
    <x:row r="462">
      <x:c r="A462" s="58" t="str">
        <x:v>S14</x:v>
      </x:c>
      <x:c r="B462" s="58" t="str">
        <x:v>1.15 validation at 272 Hz</x:v>
      </x:c>
      <x:c r="C462" s="58" t="n">
        <x:v>1.15</x:v>
      </x:c>
      <x:c r="D462" s="58" t="n">
        <x:v>3</x:v>
      </x:c>
      <x:c r="E462" s="58" t="str">
        <x:v>PASS</x:v>
      </x:c>
      <x:c r="F462" s="58" t="n">
        <x:v>1</x:v>
      </x:c>
      <x:c r="G462" s="58" t="n">
        <x:v>1</x:v>
      </x:c>
      <x:c r="H462" s="59" t="n">
        <x:v>11.25</x:v>
      </x:c>
      <x:c r="I462" s="59" t="n">
        <x:v>1.13576</x:v>
      </x:c>
      <x:c r="J462" s="59" t="n">
        <x:v>1.12532</x:v>
      </x:c>
      <x:c r="K462" s="59" t="n">
        <x:v>0.52486</x:v>
      </x:c>
      <x:c r="L462" s="59" t="n">
        <x:v>0.29449</x:v>
      </x:c>
      <x:c r="M462" s="59" t="n">
        <x:v>1.27645</x:v>
      </x:c>
      <x:c r="N462" s="60" t="n">
        <x:v>-1.24</x:v>
      </x:c>
      <x:c r="O462" s="60" t="n">
        <x:v>1.5</x:v>
      </x:c>
      <x:c r="P462" s="60" t="n">
        <x:v>2.54</x:v>
      </x:c>
      <x:c r="Q462" s="60" t="n">
        <x:v>87</x:v>
      </x:c>
      <x:c r="R462" s="58" t="str">
        <x:v>X</x:v>
      </x:c>
      <x:c r="S462" s="60" t="n">
        <x:v>100</x:v>
      </x:c>
      <x:c r="T462" s="58" t="str">
        <x:v>IN TARGET BAND</x:v>
      </x:c>
      <x:c r="U462" s="58" t="str">
        <x:v>Yes</x:v>
      </x:c>
      <x:c r="V462" s="58" t="n">
        <x:v>1191</x:v>
      </x:c>
      <x:c r="W462" s="58" t="str">
        <x:v>Pasted text(59).txt</x:v>
      </x:c>
    </x:row>
    <x:row r="463">
      <x:c r="A463" s="58" t="str">
        <x:v>S14</x:v>
      </x:c>
      <x:c r="B463" s="58" t="str">
        <x:v>1.15 validation at 272 Hz</x:v>
      </x:c>
      <x:c r="C463" s="58" t="n">
        <x:v>1.15</x:v>
      </x:c>
      <x:c r="D463" s="58" t="n">
        <x:v>3</x:v>
      </x:c>
      <x:c r="E463" s="58" t="str">
        <x:v>PASS</x:v>
      </x:c>
      <x:c r="F463" s="58" t="n">
        <x:v>1</x:v>
      </x:c>
      <x:c r="G463" s="58" t="n">
        <x:v>2</x:v>
      </x:c>
      <x:c r="H463" s="59" t="n">
        <x:v>11.25</x:v>
      </x:c>
      <x:c r="I463" s="59" t="n">
        <x:v>1.15291</x:v>
      </x:c>
      <x:c r="J463" s="59" t="n">
        <x:v>1.15054</x:v>
      </x:c>
      <x:c r="K463" s="59" t="n">
        <x:v>0.48639</x:v>
      </x:c>
      <x:c r="L463" s="59" t="n">
        <x:v>0.31195</x:v>
      </x:c>
      <x:c r="M463" s="59" t="n">
        <x:v>1.28768</x:v>
      </x:c>
      <x:c r="N463" s="60" t="n">
        <x:v>0.25</x:v>
      </x:c>
      <x:c r="O463" s="60" t="n">
        <x:v>2.21</x:v>
      </x:c>
      <x:c r="P463" s="60" t="n">
        <x:v>1.81</x:v>
      </x:c>
      <x:c r="Q463" s="60" t="n">
        <x:v>88.6</x:v>
      </x:c>
      <x:c r="R463" s="58" t="str">
        <x:v>X</x:v>
      </x:c>
      <x:c r="S463" s="60" t="n">
        <x:v>100</x:v>
      </x:c>
      <x:c r="T463" s="58" t="str">
        <x:v>IN TARGET BAND</x:v>
      </x:c>
      <x:c r="U463" s="58" t="str">
        <x:v>Yes</x:v>
      </x:c>
      <x:c r="V463" s="58" t="n">
        <x:v>1192</x:v>
      </x:c>
      <x:c r="W463" s="58" t="str">
        <x:v>Pasted text(59).txt</x:v>
      </x:c>
    </x:row>
    <x:row r="464">
      <x:c r="A464" s="58" t="str">
        <x:v>S14</x:v>
      </x:c>
      <x:c r="B464" s="58" t="str">
        <x:v>1.15 validation at 272 Hz</x:v>
      </x:c>
      <x:c r="C464" s="58" t="n">
        <x:v>1.15</x:v>
      </x:c>
      <x:c r="D464" s="58" t="n">
        <x:v>3</x:v>
      </x:c>
      <x:c r="E464" s="58" t="str">
        <x:v>PASS</x:v>
      </x:c>
      <x:c r="F464" s="58" t="n">
        <x:v>1</x:v>
      </x:c>
      <x:c r="G464" s="58" t="n">
        <x:v>3</x:v>
      </x:c>
      <x:c r="H464" s="59" t="n">
        <x:v>11.25</x:v>
      </x:c>
      <x:c r="I464" s="59" t="n">
        <x:v>1.13169</x:v>
      </x:c>
      <x:c r="J464" s="59" t="n">
        <x:v>1.13761</x:v>
      </x:c>
      <x:c r="K464" s="59" t="n">
        <x:v>0.49892</x:v>
      </x:c>
      <x:c r="L464" s="59" t="n">
        <x:v>0.3003</x:v>
      </x:c>
      <x:c r="M464" s="59" t="n">
        <x:v>1.27839</x:v>
      </x:c>
      <x:c r="N464" s="60" t="n">
        <x:v>-1.59</x:v>
      </x:c>
      <x:c r="O464" s="60" t="n">
        <x:v>2.14</x:v>
      </x:c>
      <x:c r="P464" s="60" t="n">
        <x:v>2.26</x:v>
      </x:c>
      <x:c r="Q464" s="60" t="n">
        <x:v>87.4</x:v>
      </x:c>
      <x:c r="R464" s="58" t="str">
        <x:v>X</x:v>
      </x:c>
      <x:c r="S464" s="60" t="n">
        <x:v>100</x:v>
      </x:c>
      <x:c r="T464" s="58" t="str">
        <x:v>IN TARGET BAND</x:v>
      </x:c>
      <x:c r="U464" s="58" t="str">
        <x:v>Yes</x:v>
      </x:c>
      <x:c r="V464" s="58" t="n">
        <x:v>1193</x:v>
      </x:c>
      <x:c r="W464" s="58" t="str">
        <x:v>Pasted text(59).txt</x:v>
      </x:c>
    </x:row>
    <x:row r="465">
      <x:c r="A465" s="58" t="str">
        <x:v>S14</x:v>
      </x:c>
      <x:c r="B465" s="58" t="str">
        <x:v>1.15 validation at 272 Hz</x:v>
      </x:c>
      <x:c r="C465" s="58" t="n">
        <x:v>1.15</x:v>
      </x:c>
      <x:c r="D465" s="58" t="n">
        <x:v>3</x:v>
      </x:c>
      <x:c r="E465" s="58" t="str">
        <x:v>PASS</x:v>
      </x:c>
      <x:c r="F465" s="58" t="n">
        <x:v>1</x:v>
      </x:c>
      <x:c r="G465" s="58" t="n">
        <x:v>4</x:v>
      </x:c>
      <x:c r="H465" s="59" t="n">
        <x:v>11.25</x:v>
      </x:c>
      <x:c r="I465" s="59" t="n">
        <x:v>1.12785</x:v>
      </x:c>
      <x:c r="J465" s="59" t="n">
        <x:v>1.13133</x:v>
      </x:c>
      <x:c r="K465" s="59" t="n">
        <x:v>0.48773</x:v>
      </x:c>
      <x:c r="L465" s="59" t="n">
        <x:v>0.30523</x:v>
      </x:c>
      <x:c r="M465" s="59" t="n">
        <x:v>1.26943</x:v>
      </x:c>
      <x:c r="N465" s="60" t="n">
        <x:v>-1.93</x:v>
      </x:c>
      <x:c r="O465" s="60" t="n">
        <x:v>0.18</x:v>
      </x:c>
      <x:c r="P465" s="60" t="n">
        <x:v>0.64</x:v>
      </x:c>
      <x:c r="Q465" s="60" t="n">
        <x:v>87.7</x:v>
      </x:c>
      <x:c r="R465" s="58" t="str">
        <x:v>X</x:v>
      </x:c>
      <x:c r="S465" s="60" t="n">
        <x:v>100</x:v>
      </x:c>
      <x:c r="T465" s="58" t="str">
        <x:v>IN TARGET BAND</x:v>
      </x:c>
      <x:c r="U465" s="58" t="str">
        <x:v>Yes</x:v>
      </x:c>
      <x:c r="V465" s="58" t="n">
        <x:v>1194</x:v>
      </x:c>
      <x:c r="W465" s="58" t="str">
        <x:v>Pasted text(59).txt</x:v>
      </x:c>
    </x:row>
    <x:row r="466">
      <x:c r="A466" s="58" t="str">
        <x:v>S14</x:v>
      </x:c>
      <x:c r="B466" s="58" t="str">
        <x:v>1.15 validation at 272 Hz</x:v>
      </x:c>
      <x:c r="C466" s="58" t="n">
        <x:v>1.15</x:v>
      </x:c>
      <x:c r="D466" s="58" t="n">
        <x:v>3</x:v>
      </x:c>
      <x:c r="E466" s="58" t="str">
        <x:v>PASS</x:v>
      </x:c>
      <x:c r="F466" s="58" t="n">
        <x:v>1</x:v>
      </x:c>
      <x:c r="G466" s="58" t="n">
        <x:v>5</x:v>
      </x:c>
      <x:c r="H466" s="59" t="n">
        <x:v>11.25</x:v>
      </x:c>
      <x:c r="I466" s="59" t="n">
        <x:v>1.12593</x:v>
      </x:c>
      <x:c r="J466" s="59" t="n">
        <x:v>1.12455</x:v>
      </x:c>
      <x:c r="K466" s="59" t="n">
        <x:v>0.48852</x:v>
      </x:c>
      <x:c r="L466" s="59" t="n">
        <x:v>0.30616</x:v>
      </x:c>
      <x:c r="M466" s="59" t="n">
        <x:v>1.26381</x:v>
      </x:c>
      <x:c r="N466" s="60" t="n">
        <x:v>-2.09</x:v>
      </x:c>
      <x:c r="O466" s="60" t="n">
        <x:v>1.22</x:v>
      </x:c>
      <x:c r="P466" s="60" t="n">
        <x:v>1.01</x:v>
      </x:c>
      <x:c r="Q466" s="60" t="n">
        <x:v>87.4</x:v>
      </x:c>
      <x:c r="R466" s="58" t="str">
        <x:v>X</x:v>
      </x:c>
      <x:c r="S466" s="60" t="n">
        <x:v>100</x:v>
      </x:c>
      <x:c r="T466" s="58" t="str">
        <x:v>IN TARGET BAND</x:v>
      </x:c>
      <x:c r="U466" s="58" t="str">
        <x:v>Yes</x:v>
      </x:c>
      <x:c r="V466" s="58" t="n">
        <x:v>1195</x:v>
      </x:c>
      <x:c r="W466" s="58" t="str">
        <x:v>Pasted text(59).txt</x:v>
      </x:c>
    </x:row>
    <x:row r="467">
      <x:c r="A467" s="58" t="str">
        <x:v>S14</x:v>
      </x:c>
      <x:c r="B467" s="58" t="str">
        <x:v>1.15 validation at 272 Hz</x:v>
      </x:c>
      <x:c r="C467" s="58" t="n">
        <x:v>1.15</x:v>
      </x:c>
      <x:c r="D467" s="58" t="n">
        <x:v>3</x:v>
      </x:c>
      <x:c r="E467" s="58" t="str">
        <x:v>PASS</x:v>
      </x:c>
      <x:c r="F467" s="58" t="n">
        <x:v>1</x:v>
      </x:c>
      <x:c r="G467" s="58" t="n">
        <x:v>6</x:v>
      </x:c>
      <x:c r="H467" s="59" t="n">
        <x:v>11.25</x:v>
      </x:c>
      <x:c r="I467" s="59" t="n">
        <x:v>1.13221</x:v>
      </x:c>
      <x:c r="J467" s="59" t="n">
        <x:v>1.12878</x:v>
      </x:c>
      <x:c r="K467" s="59" t="n">
        <x:v>0.49004</x:v>
      </x:c>
      <x:c r="L467" s="59" t="n">
        <x:v>0.31141</x:v>
      </x:c>
      <x:c r="M467" s="59" t="n">
        <x:v>1.26946</x:v>
      </x:c>
      <x:c r="N467" s="60" t="n">
        <x:v>-1.55</x:v>
      </x:c>
      <x:c r="O467" s="60" t="n">
        <x:v>4.05</x:v>
      </x:c>
      <x:c r="P467" s="60" t="n">
        <x:v>3.21</x:v>
      </x:c>
      <x:c r="Q467" s="60" t="n">
        <x:v>88</x:v>
      </x:c>
      <x:c r="R467" s="58" t="str">
        <x:v>X</x:v>
      </x:c>
      <x:c r="S467" s="60" t="n">
        <x:v>100</x:v>
      </x:c>
      <x:c r="T467" s="58" t="str">
        <x:v>IN TARGET BAND</x:v>
      </x:c>
      <x:c r="U467" s="58" t="str">
        <x:v>Yes</x:v>
      </x:c>
      <x:c r="V467" s="58" t="n">
        <x:v>1196</x:v>
      </x:c>
      <x:c r="W467" s="58" t="str">
        <x:v>Pasted text(59).txt</x:v>
      </x:c>
    </x:row>
    <x:row r="468">
      <x:c r="A468" s="58" t="str">
        <x:v>S14</x:v>
      </x:c>
      <x:c r="B468" s="58" t="str">
        <x:v>1.15 validation at 272 Hz</x:v>
      </x:c>
      <x:c r="C468" s="58" t="n">
        <x:v>1.15</x:v>
      </x:c>
      <x:c r="D468" s="58" t="n">
        <x:v>3</x:v>
      </x:c>
      <x:c r="E468" s="58" t="str">
        <x:v>PASS</x:v>
      </x:c>
      <x:c r="F468" s="58" t="n">
        <x:v>1</x:v>
      </x:c>
      <x:c r="G468" s="58" t="n">
        <x:v>7</x:v>
      </x:c>
      <x:c r="H468" s="59" t="n">
        <x:v>11.25</x:v>
      </x:c>
      <x:c r="I468" s="59" t="n">
        <x:v>1.1399</x:v>
      </x:c>
      <x:c r="J468" s="59" t="n">
        <x:v>1.1331</x:v>
      </x:c>
      <x:c r="K468" s="59" t="n">
        <x:v>0.49084</x:v>
      </x:c>
      <x:c r="L468" s="59" t="n">
        <x:v>0.29621</x:v>
      </x:c>
      <x:c r="M468" s="59" t="n">
        <x:v>1.27001</x:v>
      </x:c>
      <x:c r="N468" s="60" t="n">
        <x:v>-0.88</x:v>
      </x:c>
      <x:c r="O468" s="60" t="n">
        <x:v>2.42</x:v>
      </x:c>
      <x:c r="P468" s="60" t="n">
        <x:v>2.59</x:v>
      </x:c>
      <x:c r="Q468" s="60" t="n">
        <x:v>88.1</x:v>
      </x:c>
      <x:c r="R468" s="58" t="str">
        <x:v>X</x:v>
      </x:c>
      <x:c r="S468" s="60" t="n">
        <x:v>100</x:v>
      </x:c>
      <x:c r="T468" s="58" t="str">
        <x:v>IN TARGET BAND</x:v>
      </x:c>
      <x:c r="U468" s="58" t="str">
        <x:v>Yes</x:v>
      </x:c>
      <x:c r="V468" s="58" t="n">
        <x:v>1197</x:v>
      </x:c>
      <x:c r="W468" s="58" t="str">
        <x:v>Pasted text(59).txt</x:v>
      </x:c>
    </x:row>
    <x:row r="469">
      <x:c r="A469" s="58" t="str">
        <x:v>S14</x:v>
      </x:c>
      <x:c r="B469" s="58" t="str">
        <x:v>1.15 validation at 272 Hz</x:v>
      </x:c>
      <x:c r="C469" s="58" t="n">
        <x:v>1.15</x:v>
      </x:c>
      <x:c r="D469" s="58" t="n">
        <x:v>3</x:v>
      </x:c>
      <x:c r="E469" s="58" t="str">
        <x:v>PASS</x:v>
      </x:c>
      <x:c r="F469" s="58" t="n">
        <x:v>1</x:v>
      </x:c>
      <x:c r="G469" s="58" t="n">
        <x:v>8</x:v>
      </x:c>
      <x:c r="H469" s="59" t="n">
        <x:v>11.25</x:v>
      </x:c>
      <x:c r="I469" s="59" t="n">
        <x:v>1.13394</x:v>
      </x:c>
      <x:c r="J469" s="59" t="n">
        <x:v>1.13586</x:v>
      </x:c>
      <x:c r="K469" s="59" t="n">
        <x:v>0.49087</x:v>
      </x:c>
      <x:c r="L469" s="59" t="n">
        <x:v>0.31076</x:v>
      </x:c>
      <x:c r="M469" s="59" t="n">
        <x:v>1.27605</x:v>
      </x:c>
      <x:c r="N469" s="60" t="n">
        <x:v>-1.4</x:v>
      </x:c>
      <x:c r="O469" s="60" t="n">
        <x:v>0.2</x:v>
      </x:c>
      <x:c r="P469" s="60" t="n">
        <x:v>0.41</x:v>
      </x:c>
      <x:c r="Q469" s="60" t="n">
        <x:v>88.8</x:v>
      </x:c>
      <x:c r="R469" s="58" t="str">
        <x:v>X</x:v>
      </x:c>
      <x:c r="S469" s="60" t="n">
        <x:v>100</x:v>
      </x:c>
      <x:c r="T469" s="58" t="str">
        <x:v>IN TARGET BAND</x:v>
      </x:c>
      <x:c r="U469" s="58" t="str">
        <x:v>Yes</x:v>
      </x:c>
      <x:c r="V469" s="58" t="n">
        <x:v>1198</x:v>
      </x:c>
      <x:c r="W469" s="58" t="str">
        <x:v>Pasted text(59).txt</x:v>
      </x:c>
    </x:row>
    <x:row r="470">
      <x:c r="A470" s="58" t="str">
        <x:v>S14</x:v>
      </x:c>
      <x:c r="B470" s="58" t="str">
        <x:v>1.15 validation at 272 Hz</x:v>
      </x:c>
      <x:c r="C470" s="58" t="n">
        <x:v>1.15</x:v>
      </x:c>
      <x:c r="D470" s="58" t="n">
        <x:v>3</x:v>
      </x:c>
      <x:c r="E470" s="58" t="str">
        <x:v>PASS</x:v>
      </x:c>
      <x:c r="F470" s="58" t="n">
        <x:v>1</x:v>
      </x:c>
      <x:c r="G470" s="58" t="n">
        <x:v>9</x:v>
      </x:c>
      <x:c r="H470" s="59" t="n">
        <x:v>11.25</x:v>
      </x:c>
      <x:c r="I470" s="59" t="n">
        <x:v>1.08607</x:v>
      </x:c>
      <x:c r="J470" s="59" t="n">
        <x:v>1.09883</x:v>
      </x:c>
      <x:c r="K470" s="59" t="n">
        <x:v>0.4876</x:v>
      </x:c>
      <x:c r="L470" s="59" t="n">
        <x:v>0.32207</x:v>
      </x:c>
      <x:c r="M470" s="59" t="n">
        <x:v>1.24534</x:v>
      </x:c>
      <x:c r="N470" s="60" t="n">
        <x:v>-5.56</x:v>
      </x:c>
      <x:c r="O470" s="60" t="n">
        <x:v>0.01</x:v>
      </x:c>
      <x:c r="P470" s="60" t="n">
        <x:v>2.01</x:v>
      </x:c>
      <x:c r="Q470" s="60" t="n">
        <x:v>86.4</x:v>
      </x:c>
      <x:c r="R470" s="58" t="str">
        <x:v>X</x:v>
      </x:c>
      <x:c r="S470" s="60" t="n">
        <x:v>100</x:v>
      </x:c>
      <x:c r="T470" s="58" t="str">
        <x:v>IN TARGET BAND</x:v>
      </x:c>
      <x:c r="U470" s="58" t="str">
        <x:v>Yes</x:v>
      </x:c>
      <x:c r="V470" s="58" t="n">
        <x:v>1199</x:v>
      </x:c>
      <x:c r="W470" s="58" t="str">
        <x:v>Pasted text(59).txt</x:v>
      </x:c>
    </x:row>
    <x:row r="471">
      <x:c r="A471" s="58" t="str">
        <x:v>S14</x:v>
      </x:c>
      <x:c r="B471" s="58" t="str">
        <x:v>1.15 validation at 272 Hz</x:v>
      </x:c>
      <x:c r="C471" s="58" t="n">
        <x:v>1.15</x:v>
      </x:c>
      <x:c r="D471" s="58" t="n">
        <x:v>3</x:v>
      </x:c>
      <x:c r="E471" s="58" t="str">
        <x:v>PASS</x:v>
      </x:c>
      <x:c r="F471" s="58" t="n">
        <x:v>1</x:v>
      </x:c>
      <x:c r="G471" s="58" t="n">
        <x:v>10</x:v>
      </x:c>
      <x:c r="H471" s="59" t="n">
        <x:v>11.25</x:v>
      </x:c>
      <x:c r="I471" s="59" t="n">
        <x:v>1.12341</x:v>
      </x:c>
      <x:c r="J471" s="59" t="n">
        <x:v>1.1191</x:v>
      </x:c>
      <x:c r="K471" s="59" t="n">
        <x:v>0.49305</x:v>
      </x:c>
      <x:c r="L471" s="59" t="n">
        <x:v>0.30944</x:v>
      </x:c>
      <x:c r="M471" s="59" t="n">
        <x:v>1.26147</x:v>
      </x:c>
      <x:c r="N471" s="60" t="n">
        <x:v>-2.31</x:v>
      </x:c>
      <x:c r="O471" s="60" t="n">
        <x:v>1.18</x:v>
      </x:c>
      <x:c r="P471" s="60" t="n">
        <x:v>1.42</x:v>
      </x:c>
      <x:c r="Q471" s="60" t="n">
        <x:v>87.3</x:v>
      </x:c>
      <x:c r="R471" s="58" t="str">
        <x:v>X</x:v>
      </x:c>
      <x:c r="S471" s="60" t="n">
        <x:v>100</x:v>
      </x:c>
      <x:c r="T471" s="58" t="str">
        <x:v>IN TARGET BAND</x:v>
      </x:c>
      <x:c r="U471" s="58" t="str">
        <x:v>Yes</x:v>
      </x:c>
      <x:c r="V471" s="58" t="n">
        <x:v>1200</x:v>
      </x:c>
      <x:c r="W471" s="58" t="str">
        <x:v>Pasted text(59).txt</x:v>
      </x:c>
    </x:row>
    <x:row r="472">
      <x:c r="A472" s="58" t="str">
        <x:v>S14</x:v>
      </x:c>
      <x:c r="B472" s="58" t="str">
        <x:v>1.15 validation at 272 Hz</x:v>
      </x:c>
      <x:c r="C472" s="58" t="n">
        <x:v>1.15</x:v>
      </x:c>
      <x:c r="D472" s="58" t="n">
        <x:v>4</x:v>
      </x:c>
      <x:c r="E472" s="58" t="str">
        <x:v>PASS</x:v>
      </x:c>
      <x:c r="F472" s="58" t="n">
        <x:v>1</x:v>
      </x:c>
      <x:c r="G472" s="58" t="n">
        <x:v>1</x:v>
      </x:c>
      <x:c r="H472" s="59" t="n">
        <x:v>11.25</x:v>
      </x:c>
      <x:c r="I472" s="59" t="n">
        <x:v>1.1459</x:v>
      </x:c>
      <x:c r="J472" s="59" t="n">
        <x:v>1.14215</x:v>
      </x:c>
      <x:c r="K472" s="59" t="n">
        <x:v>0.57214</x:v>
      </x:c>
      <x:c r="L472" s="59" t="n">
        <x:v>0.22865</x:v>
      </x:c>
      <x:c r="M472" s="59" t="n">
        <x:v>1.29792</x:v>
      </x:c>
      <x:c r="N472" s="60" t="n">
        <x:v>-0.36</x:v>
      </x:c>
      <x:c r="O472" s="60" t="n">
        <x:v>0.61</x:v>
      </x:c>
      <x:c r="P472" s="60" t="n">
        <x:v>0.95</x:v>
      </x:c>
      <x:c r="Q472" s="60" t="n">
        <x:v>88.4</x:v>
      </x:c>
      <x:c r="R472" s="58" t="str">
        <x:v>X</x:v>
      </x:c>
      <x:c r="S472" s="60" t="n">
        <x:v>100</x:v>
      </x:c>
      <x:c r="T472" s="58" t="str">
        <x:v>IN TARGET BAND</x:v>
      </x:c>
      <x:c r="U472" s="58" t="str">
        <x:v>Yes</x:v>
      </x:c>
      <x:c r="V472" s="58" t="n">
        <x:v>1274</x:v>
      </x:c>
      <x:c r="W472" s="58" t="str">
        <x:v>Pasted text(59).txt</x:v>
      </x:c>
    </x:row>
    <x:row r="473">
      <x:c r="A473" s="58" t="str">
        <x:v>S14</x:v>
      </x:c>
      <x:c r="B473" s="58" t="str">
        <x:v>1.15 validation at 272 Hz</x:v>
      </x:c>
      <x:c r="C473" s="58" t="n">
        <x:v>1.15</x:v>
      </x:c>
      <x:c r="D473" s="58" t="n">
        <x:v>4</x:v>
      </x:c>
      <x:c r="E473" s="58" t="str">
        <x:v>PASS</x:v>
      </x:c>
      <x:c r="F473" s="58" t="n">
        <x:v>1</x:v>
      </x:c>
      <x:c r="G473" s="58" t="n">
        <x:v>2</x:v>
      </x:c>
      <x:c r="H473" s="59" t="n">
        <x:v>11.25</x:v>
      </x:c>
      <x:c r="I473" s="59" t="n">
        <x:v>1.1411</x:v>
      </x:c>
      <x:c r="J473" s="59" t="n">
        <x:v>1.13777</x:v>
      </x:c>
      <x:c r="K473" s="59" t="n">
        <x:v>0.60084</x:v>
      </x:c>
      <x:c r="L473" s="59" t="n">
        <x:v>0.22477</x:v>
      </x:c>
      <x:c r="M473" s="59" t="n">
        <x:v>1.30629</x:v>
      </x:c>
      <x:c r="N473" s="60" t="n">
        <x:v>-0.77</x:v>
      </x:c>
      <x:c r="O473" s="60" t="n">
        <x:v>0.91</x:v>
      </x:c>
      <x:c r="P473" s="60" t="n">
        <x:v>1.08</x:v>
      </x:c>
      <x:c r="Q473" s="60" t="n">
        <x:v>89.1</x:v>
      </x:c>
      <x:c r="R473" s="58" t="str">
        <x:v>X</x:v>
      </x:c>
      <x:c r="S473" s="60" t="n">
        <x:v>100</x:v>
      </x:c>
      <x:c r="T473" s="58" t="str">
        <x:v>IN TARGET BAND</x:v>
      </x:c>
      <x:c r="U473" s="58" t="str">
        <x:v>Yes</x:v>
      </x:c>
      <x:c r="V473" s="58" t="n">
        <x:v>1275</x:v>
      </x:c>
      <x:c r="W473" s="58" t="str">
        <x:v>Pasted text(59).txt</x:v>
      </x:c>
    </x:row>
    <x:row r="474">
      <x:c r="A474" s="58" t="str">
        <x:v>S14</x:v>
      </x:c>
      <x:c r="B474" s="58" t="str">
        <x:v>1.15 validation at 272 Hz</x:v>
      </x:c>
      <x:c r="C474" s="58" t="n">
        <x:v>1.15</x:v>
      </x:c>
      <x:c r="D474" s="58" t="n">
        <x:v>4</x:v>
      </x:c>
      <x:c r="E474" s="58" t="str">
        <x:v>PASS</x:v>
      </x:c>
      <x:c r="F474" s="58" t="n">
        <x:v>1</x:v>
      </x:c>
      <x:c r="G474" s="58" t="n">
        <x:v>3</x:v>
      </x:c>
      <x:c r="H474" s="59" t="n">
        <x:v>11.25</x:v>
      </x:c>
      <x:c r="I474" s="59" t="n">
        <x:v>1.14683</x:v>
      </x:c>
      <x:c r="J474" s="59" t="n">
        <x:v>1.13948</x:v>
      </x:c>
      <x:c r="K474" s="59" t="n">
        <x:v>0.58948</x:v>
      </x:c>
      <x:c r="L474" s="59" t="n">
        <x:v>0.25968</x:v>
      </x:c>
      <x:c r="M474" s="59" t="n">
        <x:v>1.30924</x:v>
      </x:c>
      <x:c r="N474" s="60" t="n">
        <x:v>-0.28</x:v>
      </x:c>
      <x:c r="O474" s="60" t="n">
        <x:v>0.07</x:v>
      </x:c>
      <x:c r="P474" s="60" t="n">
        <x:v>1.16</x:v>
      </x:c>
      <x:c r="Q474" s="60" t="n">
        <x:v>88.9</x:v>
      </x:c>
      <x:c r="R474" s="58" t="str">
        <x:v>X</x:v>
      </x:c>
      <x:c r="S474" s="60" t="n">
        <x:v>100</x:v>
      </x:c>
      <x:c r="T474" s="58" t="str">
        <x:v>IN TARGET BAND</x:v>
      </x:c>
      <x:c r="U474" s="58" t="str">
        <x:v>Yes</x:v>
      </x:c>
      <x:c r="V474" s="58" t="n">
        <x:v>1276</x:v>
      </x:c>
      <x:c r="W474" s="58" t="str">
        <x:v>Pasted text(59).txt</x:v>
      </x:c>
    </x:row>
    <x:row r="475">
      <x:c r="A475" s="58" t="str">
        <x:v>S14</x:v>
      </x:c>
      <x:c r="B475" s="58" t="str">
        <x:v>1.15 validation at 272 Hz</x:v>
      </x:c>
      <x:c r="C475" s="58" t="n">
        <x:v>1.15</x:v>
      </x:c>
      <x:c r="D475" s="58" t="n">
        <x:v>4</x:v>
      </x:c>
      <x:c r="E475" s="58" t="str">
        <x:v>PASS</x:v>
      </x:c>
      <x:c r="F475" s="58" t="n">
        <x:v>1</x:v>
      </x:c>
      <x:c r="G475" s="58" t="n">
        <x:v>4</x:v>
      </x:c>
      <x:c r="H475" s="59" t="n">
        <x:v>11.25</x:v>
      </x:c>
      <x:c r="I475" s="59" t="n">
        <x:v>1.16077</x:v>
      </x:c>
      <x:c r="J475" s="59" t="n">
        <x:v>1.16206</x:v>
      </x:c>
      <x:c r="K475" s="59" t="n">
        <x:v>0.5802</x:v>
      </x:c>
      <x:c r="L475" s="59" t="n">
        <x:v>0.23238</x:v>
      </x:c>
      <x:c r="M475" s="59" t="n">
        <x:v>1.31964</x:v>
      </x:c>
      <x:c r="N475" s="60" t="n">
        <x:v>0.94</x:v>
      </x:c>
      <x:c r="O475" s="60" t="n">
        <x:v>0.88</x:v>
      </x:c>
      <x:c r="P475" s="60" t="n">
        <x:v>0.77</x:v>
      </x:c>
      <x:c r="Q475" s="60" t="n">
        <x:v>89.9</x:v>
      </x:c>
      <x:c r="R475" s="58" t="str">
        <x:v>X</x:v>
      </x:c>
      <x:c r="S475" s="60" t="n">
        <x:v>100</x:v>
      </x:c>
      <x:c r="T475" s="58" t="str">
        <x:v>IN TARGET BAND</x:v>
      </x:c>
      <x:c r="U475" s="58" t="str">
        <x:v>Yes</x:v>
      </x:c>
      <x:c r="V475" s="58" t="n">
        <x:v>1277</x:v>
      </x:c>
      <x:c r="W475" s="58" t="str">
        <x:v>Pasted text(59).txt</x:v>
      </x:c>
    </x:row>
    <x:row r="476">
      <x:c r="A476" s="58" t="str">
        <x:v>S14</x:v>
      </x:c>
      <x:c r="B476" s="58" t="str">
        <x:v>1.15 validation at 272 Hz</x:v>
      </x:c>
      <x:c r="C476" s="58" t="n">
        <x:v>1.15</x:v>
      </x:c>
      <x:c r="D476" s="58" t="n">
        <x:v>4</x:v>
      </x:c>
      <x:c r="E476" s="58" t="str">
        <x:v>PASS</x:v>
      </x:c>
      <x:c r="F476" s="58" t="n">
        <x:v>1</x:v>
      </x:c>
      <x:c r="G476" s="58" t="n">
        <x:v>5</x:v>
      </x:c>
      <x:c r="H476" s="59" t="n">
        <x:v>11.25</x:v>
      </x:c>
      <x:c r="I476" s="59" t="n">
        <x:v>1.1395</x:v>
      </x:c>
      <x:c r="J476" s="59" t="n">
        <x:v>1.14261</x:v>
      </x:c>
      <x:c r="K476" s="59" t="n">
        <x:v>0.56399</x:v>
      </x:c>
      <x:c r="L476" s="59" t="n">
        <x:v>0.2094</x:v>
      </x:c>
      <x:c r="M476" s="59" t="n">
        <x:v>1.29151</x:v>
      </x:c>
      <x:c r="N476" s="60" t="n">
        <x:v>-0.91</x:v>
      </x:c>
      <x:c r="O476" s="60" t="n">
        <x:v>0.02</x:v>
      </x:c>
      <x:c r="P476" s="60" t="n">
        <x:v>0.48</x:v>
      </x:c>
      <x:c r="Q476" s="60" t="n">
        <x:v>88.7</x:v>
      </x:c>
      <x:c r="R476" s="58" t="str">
        <x:v>X</x:v>
      </x:c>
      <x:c r="S476" s="60" t="n">
        <x:v>100</x:v>
      </x:c>
      <x:c r="T476" s="58" t="str">
        <x:v>IN TARGET BAND</x:v>
      </x:c>
      <x:c r="U476" s="58" t="str">
        <x:v>Yes</x:v>
      </x:c>
      <x:c r="V476" s="58" t="n">
        <x:v>1278</x:v>
      </x:c>
      <x:c r="W476" s="58" t="str">
        <x:v>Pasted text(59).txt</x:v>
      </x:c>
    </x:row>
    <x:row r="477">
      <x:c r="A477" s="58" t="str">
        <x:v>S14</x:v>
      </x:c>
      <x:c r="B477" s="58" t="str">
        <x:v>1.15 validation at 272 Hz</x:v>
      </x:c>
      <x:c r="C477" s="58" t="n">
        <x:v>1.15</x:v>
      </x:c>
      <x:c r="D477" s="58" t="n">
        <x:v>4</x:v>
      </x:c>
      <x:c r="E477" s="58" t="str">
        <x:v>PASS</x:v>
      </x:c>
      <x:c r="F477" s="58" t="n">
        <x:v>1</x:v>
      </x:c>
      <x:c r="G477" s="58" t="n">
        <x:v>6</x:v>
      </x:c>
      <x:c r="H477" s="59" t="n">
        <x:v>11.25</x:v>
      </x:c>
      <x:c r="I477" s="59" t="n">
        <x:v>1.1481</x:v>
      </x:c>
      <x:c r="J477" s="59" t="n">
        <x:v>1.13675</x:v>
      </x:c>
      <x:c r="K477" s="59" t="n">
        <x:v>0.57914</x:v>
      </x:c>
      <x:c r="L477" s="59" t="n">
        <x:v>0.21438</x:v>
      </x:c>
      <x:c r="M477" s="59" t="n">
        <x:v>1.29371</x:v>
      </x:c>
      <x:c r="N477" s="60" t="n">
        <x:v>-0.17</x:v>
      </x:c>
      <x:c r="O477" s="60" t="n">
        <x:v>0.18</x:v>
      </x:c>
      <x:c r="P477" s="60" t="n">
        <x:v>1.84</x:v>
      </x:c>
      <x:c r="Q477" s="60" t="n">
        <x:v>88.5</x:v>
      </x:c>
      <x:c r="R477" s="58" t="str">
        <x:v>X</x:v>
      </x:c>
      <x:c r="S477" s="60" t="n">
        <x:v>100</x:v>
      </x:c>
      <x:c r="T477" s="58" t="str">
        <x:v>IN TARGET BAND</x:v>
      </x:c>
      <x:c r="U477" s="58" t="str">
        <x:v>Yes</x:v>
      </x:c>
      <x:c r="V477" s="58" t="n">
        <x:v>1279</x:v>
      </x:c>
      <x:c r="W477" s="58" t="str">
        <x:v>Pasted text(59).txt</x:v>
      </x:c>
    </x:row>
    <x:row r="478">
      <x:c r="A478" s="58" t="str">
        <x:v>S14</x:v>
      </x:c>
      <x:c r="B478" s="58" t="str">
        <x:v>1.15 validation at 272 Hz</x:v>
      </x:c>
      <x:c r="C478" s="58" t="n">
        <x:v>1.15</x:v>
      </x:c>
      <x:c r="D478" s="58" t="n">
        <x:v>4</x:v>
      </x:c>
      <x:c r="E478" s="58" t="str">
        <x:v>PASS</x:v>
      </x:c>
      <x:c r="F478" s="58" t="n">
        <x:v>1</x:v>
      </x:c>
      <x:c r="G478" s="58" t="n">
        <x:v>7</x:v>
      </x:c>
      <x:c r="H478" s="59" t="n">
        <x:v>11.25</x:v>
      </x:c>
      <x:c r="I478" s="59" t="n">
        <x:v>1.1296</x:v>
      </x:c>
      <x:c r="J478" s="59" t="n">
        <x:v>1.13545</x:v>
      </x:c>
      <x:c r="K478" s="59" t="n">
        <x:v>0.59407</x:v>
      </x:c>
      <x:c r="L478" s="59" t="n">
        <x:v>0.23277</x:v>
      </x:c>
      <x:c r="M478" s="59" t="n">
        <x:v>1.30272</x:v>
      </x:c>
      <x:c r="N478" s="60" t="n">
        <x:v>-1.77</x:v>
      </x:c>
      <x:c r="O478" s="60" t="n">
        <x:v>1.26</x:v>
      </x:c>
      <x:c r="P478" s="60" t="n">
        <x:v>1.68</x:v>
      </x:c>
      <x:c r="Q478" s="60" t="n">
        <x:v>88.3</x:v>
      </x:c>
      <x:c r="R478" s="58" t="str">
        <x:v>X</x:v>
      </x:c>
      <x:c r="S478" s="60" t="n">
        <x:v>100</x:v>
      </x:c>
      <x:c r="T478" s="58" t="str">
        <x:v>IN TARGET BAND</x:v>
      </x:c>
      <x:c r="U478" s="58" t="str">
        <x:v>Yes</x:v>
      </x:c>
      <x:c r="V478" s="58" t="n">
        <x:v>1280</x:v>
      </x:c>
      <x:c r="W478" s="58" t="str">
        <x:v>Pasted text(59).txt</x:v>
      </x:c>
    </x:row>
    <x:row r="479">
      <x:c r="A479" s="58" t="str">
        <x:v>S14</x:v>
      </x:c>
      <x:c r="B479" s="58" t="str">
        <x:v>1.15 validation at 272 Hz</x:v>
      </x:c>
      <x:c r="C479" s="58" t="n">
        <x:v>1.15</x:v>
      </x:c>
      <x:c r="D479" s="58" t="n">
        <x:v>4</x:v>
      </x:c>
      <x:c r="E479" s="58" t="str">
        <x:v>PASS</x:v>
      </x:c>
      <x:c r="F479" s="58" t="n">
        <x:v>1</x:v>
      </x:c>
      <x:c r="G479" s="58" t="n">
        <x:v>8</x:v>
      </x:c>
      <x:c r="H479" s="59" t="n">
        <x:v>11.25</x:v>
      </x:c>
      <x:c r="I479" s="59" t="n">
        <x:v>1.15163</x:v>
      </x:c>
      <x:c r="J479" s="59" t="n">
        <x:v>1.14312</x:v>
      </x:c>
      <x:c r="K479" s="59" t="n">
        <x:v>0.57937</x:v>
      </x:c>
      <x:c r="L479" s="59" t="n">
        <x:v>0.23328</x:v>
      </x:c>
      <x:c r="M479" s="59" t="n">
        <x:v>1.30272</x:v>
      </x:c>
      <x:c r="N479" s="60" t="n">
        <x:v>0.14</x:v>
      </x:c>
      <x:c r="O479" s="60" t="n">
        <x:v>0.04</x:v>
      </x:c>
      <x:c r="P479" s="60" t="n">
        <x:v>1.31</x:v>
      </x:c>
      <x:c r="Q479" s="60" t="n">
        <x:v>89.8</x:v>
      </x:c>
      <x:c r="R479" s="58" t="str">
        <x:v>X</x:v>
      </x:c>
      <x:c r="S479" s="60" t="n">
        <x:v>100</x:v>
      </x:c>
      <x:c r="T479" s="58" t="str">
        <x:v>IN TARGET BAND</x:v>
      </x:c>
      <x:c r="U479" s="58" t="str">
        <x:v>Yes</x:v>
      </x:c>
      <x:c r="V479" s="58" t="n">
        <x:v>1281</x:v>
      </x:c>
      <x:c r="W479" s="58" t="str">
        <x:v>Pasted text(59).txt</x:v>
      </x:c>
    </x:row>
    <x:row r="480">
      <x:c r="A480" s="58" t="str">
        <x:v>S14</x:v>
      </x:c>
      <x:c r="B480" s="58" t="str">
        <x:v>1.15 validation at 272 Hz</x:v>
      </x:c>
      <x:c r="C480" s="58" t="n">
        <x:v>1.15</x:v>
      </x:c>
      <x:c r="D480" s="58" t="n">
        <x:v>4</x:v>
      </x:c>
      <x:c r="E480" s="58" t="str">
        <x:v>PASS</x:v>
      </x:c>
      <x:c r="F480" s="58" t="n">
        <x:v>1</x:v>
      </x:c>
      <x:c r="G480" s="58" t="n">
        <x:v>9</x:v>
      </x:c>
      <x:c r="H480" s="59" t="n">
        <x:v>11.25</x:v>
      </x:c>
      <x:c r="I480" s="59" t="n">
        <x:v>1.15136</x:v>
      </x:c>
      <x:c r="J480" s="59" t="n">
        <x:v>1.14574</x:v>
      </x:c>
      <x:c r="K480" s="59" t="n">
        <x:v>0.56788</x:v>
      </x:c>
      <x:c r="L480" s="59" t="n">
        <x:v>0.22847</x:v>
      </x:c>
      <x:c r="M480" s="59" t="n">
        <x:v>1.29911</x:v>
      </x:c>
      <x:c r="N480" s="60" t="n">
        <x:v>0.12</x:v>
      </x:c>
      <x:c r="O480" s="60" t="n">
        <x:v>0.44</x:v>
      </x:c>
      <x:c r="P480" s="60" t="n">
        <x:v>1.12</x:v>
      </x:c>
      <x:c r="Q480" s="60" t="n">
        <x:v>89</x:v>
      </x:c>
      <x:c r="R480" s="58" t="str">
        <x:v>X</x:v>
      </x:c>
      <x:c r="S480" s="60" t="n">
        <x:v>100</x:v>
      </x:c>
      <x:c r="T480" s="58" t="str">
        <x:v>IN TARGET BAND</x:v>
      </x:c>
      <x:c r="U480" s="58" t="str">
        <x:v>Yes</x:v>
      </x:c>
      <x:c r="V480" s="58" t="n">
        <x:v>1282</x:v>
      </x:c>
      <x:c r="W480" s="58" t="str">
        <x:v>Pasted text(59).txt</x:v>
      </x:c>
    </x:row>
    <x:row r="481">
      <x:c r="A481" s="58" t="str">
        <x:v>S14</x:v>
      </x:c>
      <x:c r="B481" s="58" t="str">
        <x:v>1.15 validation at 272 Hz</x:v>
      </x:c>
      <x:c r="C481" s="58" t="n">
        <x:v>1.15</x:v>
      </x:c>
      <x:c r="D481" s="58" t="n">
        <x:v>4</x:v>
      </x:c>
      <x:c r="E481" s="58" t="str">
        <x:v>PASS</x:v>
      </x:c>
      <x:c r="F481" s="58" t="n">
        <x:v>1</x:v>
      </x:c>
      <x:c r="G481" s="58" t="n">
        <x:v>10</x:v>
      </x:c>
      <x:c r="H481" s="59" t="n">
        <x:v>11.25</x:v>
      </x:c>
      <x:c r="I481" s="59" t="n">
        <x:v>1.11037</x:v>
      </x:c>
      <x:c r="J481" s="59" t="n">
        <x:v>1.10985</x:v>
      </x:c>
      <x:c r="K481" s="59" t="n">
        <x:v>0.59039</x:v>
      </x:c>
      <x:c r="L481" s="59" t="n">
        <x:v>0.25077</x:v>
      </x:c>
      <x:c r="M481" s="59" t="n">
        <x:v>1.28204</x:v>
      </x:c>
      <x:c r="N481" s="60" t="n">
        <x:v>-3.45</x:v>
      </x:c>
      <x:c r="O481" s="60" t="n">
        <x:v>1.12</x:v>
      </x:c>
      <x:c r="P481" s="60" t="n">
        <x:v>0.83</x:v>
      </x:c>
      <x:c r="Q481" s="60" t="n">
        <x:v>88</x:v>
      </x:c>
      <x:c r="R481" s="58" t="str">
        <x:v>X</x:v>
      </x:c>
      <x:c r="S481" s="60" t="n">
        <x:v>100</x:v>
      </x:c>
      <x:c r="T481" s="58" t="str">
        <x:v>IN TARGET BAND</x:v>
      </x:c>
      <x:c r="U481" s="58" t="str">
        <x:v>Yes</x:v>
      </x:c>
      <x:c r="V481" s="58" t="n">
        <x:v>1283</x:v>
      </x:c>
      <x:c r="W481" s="58" t="str">
        <x:v>Pasted text(59).txt</x:v>
      </x:c>
    </x:row>
    <x:row r="482">
      <x:c r="A482" s="58" t="str">
        <x:v>S14</x:v>
      </x:c>
      <x:c r="B482" s="58" t="str">
        <x:v>1.15 validation at 272 Hz</x:v>
      </x:c>
      <x:c r="C482" s="58" t="n">
        <x:v>1.15</x:v>
      </x:c>
      <x:c r="D482" s="58" t="n">
        <x:v>5</x:v>
      </x:c>
      <x:c r="E482" s="58" t="str">
        <x:v>PASS</x:v>
      </x:c>
      <x:c r="F482" s="58" t="n">
        <x:v>1</x:v>
      </x:c>
      <x:c r="G482" s="58" t="n">
        <x:v>1</x:v>
      </x:c>
      <x:c r="H482" s="59" t="n">
        <x:v>11.5</x:v>
      </x:c>
      <x:c r="I482" s="59" t="n">
        <x:v>1.14895</x:v>
      </x:c>
      <x:c r="J482" s="59" t="n">
        <x:v>1.14819</x:v>
      </x:c>
      <x:c r="K482" s="59" t="n">
        <x:v>0.57997</x:v>
      </x:c>
      <x:c r="L482" s="59" t="n">
        <x:v>0.22916</x:v>
      </x:c>
      <x:c r="M482" s="59" t="n">
        <x:v>1.30676</x:v>
      </x:c>
      <x:c r="N482" s="60" t="n">
        <x:v>-0.09</x:v>
      </x:c>
      <x:c r="O482" s="60" t="n">
        <x:v>1.18</x:v>
      </x:c>
      <x:c r="P482" s="60" t="n">
        <x:v>0.9</x:v>
      </x:c>
      <x:c r="Q482" s="60" t="n">
        <x:v>89.3</x:v>
      </x:c>
      <x:c r="R482" s="58" t="str">
        <x:v>X</x:v>
      </x:c>
      <x:c r="S482" s="60" t="n">
        <x:v>100</x:v>
      </x:c>
      <x:c r="T482" s="58" t="str">
        <x:v>IN TARGET BAND</x:v>
      </x:c>
      <x:c r="U482" s="58" t="str">
        <x:v>Yes</x:v>
      </x:c>
      <x:c r="V482" s="58" t="n">
        <x:v>1359</x:v>
      </x:c>
      <x:c r="W482" s="58" t="str">
        <x:v>Pasted text(59).txt</x:v>
      </x:c>
    </x:row>
    <x:row r="483">
      <x:c r="A483" s="58" t="str">
        <x:v>S14</x:v>
      </x:c>
      <x:c r="B483" s="58" t="str">
        <x:v>1.15 validation at 272 Hz</x:v>
      </x:c>
      <x:c r="C483" s="58" t="n">
        <x:v>1.15</x:v>
      </x:c>
      <x:c r="D483" s="58" t="n">
        <x:v>5</x:v>
      </x:c>
      <x:c r="E483" s="58" t="str">
        <x:v>PASS</x:v>
      </x:c>
      <x:c r="F483" s="58" t="n">
        <x:v>1</x:v>
      </x:c>
      <x:c r="G483" s="58" t="n">
        <x:v>2</x:v>
      </x:c>
      <x:c r="H483" s="59" t="n">
        <x:v>11.5</x:v>
      </x:c>
      <x:c r="I483" s="59" t="n">
        <x:v>1.1288</x:v>
      </x:c>
      <x:c r="J483" s="59" t="n">
        <x:v>1.13186</x:v>
      </x:c>
      <x:c r="K483" s="59" t="n">
        <x:v>0.58568</x:v>
      </x:c>
      <x:c r="L483" s="59" t="n">
        <x:v>0.24724</x:v>
      </x:c>
      <x:c r="M483" s="59" t="n">
        <x:v>1.29884</x:v>
      </x:c>
      <x:c r="N483" s="60" t="n">
        <x:v>-1.84</x:v>
      </x:c>
      <x:c r="O483" s="60" t="n">
        <x:v>0.81</x:v>
      </x:c>
      <x:c r="P483" s="60" t="n">
        <x:v>0.98</x:v>
      </x:c>
      <x:c r="Q483" s="60" t="n">
        <x:v>88.1</x:v>
      </x:c>
      <x:c r="R483" s="58" t="str">
        <x:v>X</x:v>
      </x:c>
      <x:c r="S483" s="60" t="n">
        <x:v>100</x:v>
      </x:c>
      <x:c r="T483" s="58" t="str">
        <x:v>IN TARGET BAND</x:v>
      </x:c>
      <x:c r="U483" s="58" t="str">
        <x:v>Yes</x:v>
      </x:c>
      <x:c r="V483" s="58" t="n">
        <x:v>1360</x:v>
      </x:c>
      <x:c r="W483" s="58" t="str">
        <x:v>Pasted text(59).txt</x:v>
      </x:c>
    </x:row>
    <x:row r="484">
      <x:c r="A484" s="58" t="str">
        <x:v>S14</x:v>
      </x:c>
      <x:c r="B484" s="58" t="str">
        <x:v>1.15 validation at 272 Hz</x:v>
      </x:c>
      <x:c r="C484" s="58" t="n">
        <x:v>1.15</x:v>
      </x:c>
      <x:c r="D484" s="58" t="n">
        <x:v>5</x:v>
      </x:c>
      <x:c r="E484" s="58" t="str">
        <x:v>PASS</x:v>
      </x:c>
      <x:c r="F484" s="58" t="n">
        <x:v>1</x:v>
      </x:c>
      <x:c r="G484" s="58" t="n">
        <x:v>3</x:v>
      </x:c>
      <x:c r="H484" s="59" t="n">
        <x:v>11.5</x:v>
      </x:c>
      <x:c r="I484" s="59" t="n">
        <x:v>1.13966</x:v>
      </x:c>
      <x:c r="J484" s="59" t="n">
        <x:v>1.13734</x:v>
      </x:c>
      <x:c r="K484" s="59" t="n">
        <x:v>0.5742</x:v>
      </x:c>
      <x:c r="L484" s="59" t="n">
        <x:v>0.2362</x:v>
      </x:c>
      <x:c r="M484" s="59" t="n">
        <x:v>1.29583</x:v>
      </x:c>
      <x:c r="N484" s="60" t="n">
        <x:v>-0.9</x:v>
      </x:c>
      <x:c r="O484" s="60" t="n">
        <x:v>0.08</x:v>
      </x:c>
      <x:c r="P484" s="60" t="n">
        <x:v>0.4</x:v>
      </x:c>
      <x:c r="Q484" s="60" t="n">
        <x:v>88.5</x:v>
      </x:c>
      <x:c r="R484" s="58" t="str">
        <x:v>X</x:v>
      </x:c>
      <x:c r="S484" s="60" t="n">
        <x:v>100</x:v>
      </x:c>
      <x:c r="T484" s="58" t="str">
        <x:v>IN TARGET BAND</x:v>
      </x:c>
      <x:c r="U484" s="58" t="str">
        <x:v>Yes</x:v>
      </x:c>
      <x:c r="V484" s="58" t="n">
        <x:v>1361</x:v>
      </x:c>
      <x:c r="W484" s="58" t="str">
        <x:v>Pasted text(59).txt</x:v>
      </x:c>
    </x:row>
    <x:row r="485">
      <x:c r="A485" s="58" t="str">
        <x:v>S14</x:v>
      </x:c>
      <x:c r="B485" s="58" t="str">
        <x:v>1.15 validation at 272 Hz</x:v>
      </x:c>
      <x:c r="C485" s="58" t="n">
        <x:v>1.15</x:v>
      </x:c>
      <x:c r="D485" s="58" t="n">
        <x:v>5</x:v>
      </x:c>
      <x:c r="E485" s="58" t="str">
        <x:v>PASS</x:v>
      </x:c>
      <x:c r="F485" s="58" t="n">
        <x:v>1</x:v>
      </x:c>
      <x:c r="G485" s="58" t="n">
        <x:v>4</x:v>
      </x:c>
      <x:c r="H485" s="59" t="n">
        <x:v>11.5</x:v>
      </x:c>
      <x:c r="I485" s="59" t="n">
        <x:v>1.12508</x:v>
      </x:c>
      <x:c r="J485" s="59" t="n">
        <x:v>1.12943</x:v>
      </x:c>
      <x:c r="K485" s="59" t="n">
        <x:v>0.61851</x:v>
      </x:c>
      <x:c r="L485" s="59" t="n">
        <x:v>0.24841</x:v>
      </x:c>
      <x:c r="M485" s="59" t="n">
        <x:v>1.31164</x:v>
      </x:c>
      <x:c r="N485" s="60" t="n">
        <x:v>-2.17</x:v>
      </x:c>
      <x:c r="O485" s="60" t="n">
        <x:v>1.84</x:v>
      </x:c>
      <x:c r="P485" s="60" t="n">
        <x:v>1.84</x:v>
      </x:c>
      <x:c r="Q485" s="60" t="n">
        <x:v>89.3</x:v>
      </x:c>
      <x:c r="R485" s="58" t="str">
        <x:v>X</x:v>
      </x:c>
      <x:c r="S485" s="60" t="n">
        <x:v>100</x:v>
      </x:c>
      <x:c r="T485" s="58" t="str">
        <x:v>IN TARGET BAND</x:v>
      </x:c>
      <x:c r="U485" s="58" t="str">
        <x:v>Yes</x:v>
      </x:c>
      <x:c r="V485" s="58" t="n">
        <x:v>1362</x:v>
      </x:c>
      <x:c r="W485" s="58" t="str">
        <x:v>Pasted text(59).txt</x:v>
      </x:c>
    </x:row>
    <x:row r="486">
      <x:c r="A486" s="58" t="str">
        <x:v>S14</x:v>
      </x:c>
      <x:c r="B486" s="58" t="str">
        <x:v>1.15 validation at 272 Hz</x:v>
      </x:c>
      <x:c r="C486" s="58" t="n">
        <x:v>1.15</x:v>
      </x:c>
      <x:c r="D486" s="58" t="n">
        <x:v>5</x:v>
      </x:c>
      <x:c r="E486" s="58" t="str">
        <x:v>PASS</x:v>
      </x:c>
      <x:c r="F486" s="58" t="n">
        <x:v>1</x:v>
      </x:c>
      <x:c r="G486" s="58" t="n">
        <x:v>5</x:v>
      </x:c>
      <x:c r="H486" s="59" t="n">
        <x:v>11.5</x:v>
      </x:c>
      <x:c r="I486" s="59" t="n">
        <x:v>1.15575</x:v>
      </x:c>
      <x:c r="J486" s="59" t="n">
        <x:v>1.1512</x:v>
      </x:c>
      <x:c r="K486" s="59" t="n">
        <x:v>0.60462</x:v>
      </x:c>
      <x:c r="L486" s="59" t="n">
        <x:v>0.24732</x:v>
      </x:c>
      <x:c r="M486" s="59" t="n">
        <x:v>1.32368</x:v>
      </x:c>
      <x:c r="N486" s="60" t="n">
        <x:v>0.5</x:v>
      </x:c>
      <x:c r="O486" s="60" t="n">
        <x:v>0.16</x:v>
      </x:c>
      <x:c r="P486" s="60" t="n">
        <x:v>0.78</x:v>
      </x:c>
      <x:c r="Q486" s="60" t="n">
        <x:v>89.6</x:v>
      </x:c>
      <x:c r="R486" s="58" t="str">
        <x:v>X</x:v>
      </x:c>
      <x:c r="S486" s="60" t="n">
        <x:v>100</x:v>
      </x:c>
      <x:c r="T486" s="58" t="str">
        <x:v>IN TARGET BAND</x:v>
      </x:c>
      <x:c r="U486" s="58" t="str">
        <x:v>Yes</x:v>
      </x:c>
      <x:c r="V486" s="58" t="n">
        <x:v>1363</x:v>
      </x:c>
      <x:c r="W486" s="58" t="str">
        <x:v>Pasted text(59).txt</x:v>
      </x:c>
    </x:row>
    <x:row r="487">
      <x:c r="A487" s="58" t="str">
        <x:v>S14</x:v>
      </x:c>
      <x:c r="B487" s="58" t="str">
        <x:v>1.15 validation at 272 Hz</x:v>
      </x:c>
      <x:c r="C487" s="58" t="n">
        <x:v>1.15</x:v>
      </x:c>
      <x:c r="D487" s="58" t="n">
        <x:v>5</x:v>
      </x:c>
      <x:c r="E487" s="58" t="str">
        <x:v>PASS</x:v>
      </x:c>
      <x:c r="F487" s="58" t="n">
        <x:v>1</x:v>
      </x:c>
      <x:c r="G487" s="58" t="n">
        <x:v>6</x:v>
      </x:c>
      <x:c r="H487" s="59" t="n">
        <x:v>11.5</x:v>
      </x:c>
      <x:c r="I487" s="59" t="n">
        <x:v>1.1269</x:v>
      </x:c>
      <x:c r="J487" s="59" t="n">
        <x:v>1.13234</x:v>
      </x:c>
      <x:c r="K487" s="59" t="n">
        <x:v>0.57645</x:v>
      </x:c>
      <x:c r="L487" s="59" t="n">
        <x:v>0.2383</x:v>
      </x:c>
      <x:c r="M487" s="59" t="n">
        <x:v>1.29357</x:v>
      </x:c>
      <x:c r="N487" s="60" t="n">
        <x:v>-2.01</x:v>
      </x:c>
      <x:c r="O487" s="60" t="n">
        <x:v>0.16</x:v>
      </x:c>
      <x:c r="P487" s="60" t="n">
        <x:v>0.93</x:v>
      </x:c>
      <x:c r="Q487" s="60" t="n">
        <x:v>89.3</x:v>
      </x:c>
      <x:c r="R487" s="58" t="str">
        <x:v>X</x:v>
      </x:c>
      <x:c r="S487" s="60" t="n">
        <x:v>100</x:v>
      </x:c>
      <x:c r="T487" s="58" t="str">
        <x:v>IN TARGET BAND</x:v>
      </x:c>
      <x:c r="U487" s="58" t="str">
        <x:v>Yes</x:v>
      </x:c>
      <x:c r="V487" s="58" t="n">
        <x:v>1364</x:v>
      </x:c>
      <x:c r="W487" s="58" t="str">
        <x:v>Pasted text(59).txt</x:v>
      </x:c>
    </x:row>
    <x:row r="488">
      <x:c r="A488" s="58" t="str">
        <x:v>S14</x:v>
      </x:c>
      <x:c r="B488" s="58" t="str">
        <x:v>1.15 validation at 272 Hz</x:v>
      </x:c>
      <x:c r="C488" s="58" t="n">
        <x:v>1.15</x:v>
      </x:c>
      <x:c r="D488" s="58" t="n">
        <x:v>5</x:v>
      </x:c>
      <x:c r="E488" s="58" t="str">
        <x:v>PASS</x:v>
      </x:c>
      <x:c r="F488" s="58" t="n">
        <x:v>1</x:v>
      </x:c>
      <x:c r="G488" s="58" t="n">
        <x:v>7</x:v>
      </x:c>
      <x:c r="H488" s="59" t="n">
        <x:v>11.5</x:v>
      </x:c>
      <x:c r="I488" s="59" t="n">
        <x:v>1.13861</x:v>
      </x:c>
      <x:c r="J488" s="59" t="n">
        <x:v>1.13971</x:v>
      </x:c>
      <x:c r="K488" s="59" t="n">
        <x:v>0.576</x:v>
      </x:c>
      <x:c r="L488" s="59" t="n">
        <x:v>0.24235</x:v>
      </x:c>
      <x:c r="M488" s="59" t="n">
        <x:v>1.30003</x:v>
      </x:c>
      <x:c r="N488" s="60" t="n">
        <x:v>-0.99</x:v>
      </x:c>
      <x:c r="O488" s="60" t="n">
        <x:v>0.68</x:v>
      </x:c>
      <x:c r="P488" s="60" t="n">
        <x:v>0.61</x:v>
      </x:c>
      <x:c r="Q488" s="60" t="n">
        <x:v>89.1</x:v>
      </x:c>
      <x:c r="R488" s="58" t="str">
        <x:v>X</x:v>
      </x:c>
      <x:c r="S488" s="60" t="n">
        <x:v>100</x:v>
      </x:c>
      <x:c r="T488" s="58" t="str">
        <x:v>IN TARGET BAND</x:v>
      </x:c>
      <x:c r="U488" s="58" t="str">
        <x:v>Yes</x:v>
      </x:c>
      <x:c r="V488" s="58" t="n">
        <x:v>1365</x:v>
      </x:c>
      <x:c r="W488" s="58" t="str">
        <x:v>Pasted text(59).txt</x:v>
      </x:c>
    </x:row>
    <x:row r="489">
      <x:c r="A489" s="58" t="str">
        <x:v>S14</x:v>
      </x:c>
      <x:c r="B489" s="58" t="str">
        <x:v>1.15 validation at 272 Hz</x:v>
      </x:c>
      <x:c r="C489" s="58" t="n">
        <x:v>1.15</x:v>
      </x:c>
      <x:c r="D489" s="58" t="n">
        <x:v>5</x:v>
      </x:c>
      <x:c r="E489" s="58" t="str">
        <x:v>PASS</x:v>
      </x:c>
      <x:c r="F489" s="58" t="n">
        <x:v>1</x:v>
      </x:c>
      <x:c r="G489" s="58" t="n">
        <x:v>8</x:v>
      </x:c>
      <x:c r="H489" s="59" t="n">
        <x:v>11.5</x:v>
      </x:c>
      <x:c r="I489" s="59" t="n">
        <x:v>1.16843</x:v>
      </x:c>
      <x:c r="J489" s="59" t="n">
        <x:v>1.16544</x:v>
      </x:c>
      <x:c r="K489" s="59" t="n">
        <x:v>0.55859</x:v>
      </x:c>
      <x:c r="L489" s="59" t="n">
        <x:v>0.22535</x:v>
      </x:c>
      <x:c r="M489" s="59" t="n">
        <x:v>1.31206</x:v>
      </x:c>
      <x:c r="N489" s="60" t="n">
        <x:v>1.6</x:v>
      </x:c>
      <x:c r="O489" s="60" t="n">
        <x:v>0.51</x:v>
      </x:c>
      <x:c r="P489" s="60" t="n">
        <x:v>0.76</x:v>
      </x:c>
      <x:c r="Q489" s="60" t="n">
        <x:v>89.5</x:v>
      </x:c>
      <x:c r="R489" s="58" t="str">
        <x:v>X</x:v>
      </x:c>
      <x:c r="S489" s="60" t="n">
        <x:v>100</x:v>
      </x:c>
      <x:c r="T489" s="58" t="str">
        <x:v>IN TARGET BAND</x:v>
      </x:c>
      <x:c r="U489" s="58" t="str">
        <x:v>Yes</x:v>
      </x:c>
      <x:c r="V489" s="58" t="n">
        <x:v>1366</x:v>
      </x:c>
      <x:c r="W489" s="58" t="str">
        <x:v>Pasted text(59).txt</x:v>
      </x:c>
    </x:row>
    <x:row r="490">
      <x:c r="A490" s="58" t="str">
        <x:v>S14</x:v>
      </x:c>
      <x:c r="B490" s="58" t="str">
        <x:v>1.15 validation at 272 Hz</x:v>
      </x:c>
      <x:c r="C490" s="58" t="n">
        <x:v>1.15</x:v>
      </x:c>
      <x:c r="D490" s="58" t="n">
        <x:v>5</x:v>
      </x:c>
      <x:c r="E490" s="58" t="str">
        <x:v>PASS</x:v>
      </x:c>
      <x:c r="F490" s="58" t="n">
        <x:v>1</x:v>
      </x:c>
      <x:c r="G490" s="58" t="n">
        <x:v>9</x:v>
      </x:c>
      <x:c r="H490" s="59" t="n">
        <x:v>11.5</x:v>
      </x:c>
      <x:c r="I490" s="59" t="n">
        <x:v>1.15874</x:v>
      </x:c>
      <x:c r="J490" s="59" t="n">
        <x:v>1.16058</x:v>
      </x:c>
      <x:c r="K490" s="59" t="n">
        <x:v>0.57561</x:v>
      </x:c>
      <x:c r="L490" s="59" t="n">
        <x:v>0.24484</x:v>
      </x:c>
      <x:c r="M490" s="59" t="n">
        <x:v>1.31883</x:v>
      </x:c>
      <x:c r="N490" s="60" t="n">
        <x:v>0.76</x:v>
      </x:c>
      <x:c r="O490" s="60" t="n">
        <x:v>0.83</x:v>
      </x:c>
      <x:c r="P490" s="60" t="n">
        <x:v>0.81</x:v>
      </x:c>
      <x:c r="Q490" s="60" t="n">
        <x:v>89.9</x:v>
      </x:c>
      <x:c r="R490" s="58" t="str">
        <x:v>X</x:v>
      </x:c>
      <x:c r="S490" s="60" t="n">
        <x:v>100</x:v>
      </x:c>
      <x:c r="T490" s="58" t="str">
        <x:v>IN TARGET BAND</x:v>
      </x:c>
      <x:c r="U490" s="58" t="str">
        <x:v>Yes</x:v>
      </x:c>
      <x:c r="V490" s="58" t="n">
        <x:v>1367</x:v>
      </x:c>
      <x:c r="W490" s="58" t="str">
        <x:v>Pasted text(59).txt</x:v>
      </x:c>
    </x:row>
    <x:row r="491">
      <x:c r="A491" s="58" t="str">
        <x:v>S14</x:v>
      </x:c>
      <x:c r="B491" s="58" t="str">
        <x:v>1.15 validation at 272 Hz</x:v>
      </x:c>
      <x:c r="C491" s="58" t="n">
        <x:v>1.15</x:v>
      </x:c>
      <x:c r="D491" s="58" t="n">
        <x:v>5</x:v>
      </x:c>
      <x:c r="E491" s="58" t="str">
        <x:v>PASS</x:v>
      </x:c>
      <x:c r="F491" s="58" t="n">
        <x:v>1</x:v>
      </x:c>
      <x:c r="G491" s="58" t="n">
        <x:v>10</x:v>
      </x:c>
      <x:c r="H491" s="59" t="n">
        <x:v>11.5</x:v>
      </x:c>
      <x:c r="I491" s="59" t="n">
        <x:v>1.16826</x:v>
      </x:c>
      <x:c r="J491" s="59" t="n">
        <x:v>1.17343</x:v>
      </x:c>
      <x:c r="K491" s="59" t="n">
        <x:v>0.5768</x:v>
      </x:c>
      <x:c r="L491" s="59" t="n">
        <x:v>0.23359</x:v>
      </x:c>
      <x:c r="M491" s="59" t="n">
        <x:v>1.32855</x:v>
      </x:c>
      <x:c r="N491" s="60" t="n">
        <x:v>1.59</x:v>
      </x:c>
      <x:c r="O491" s="60" t="n">
        <x:v>0.39</x:v>
      </x:c>
      <x:c r="P491" s="60" t="n">
        <x:v>1</x:v>
      </x:c>
      <x:c r="Q491" s="60" t="n">
        <x:v>90.5</x:v>
      </x:c>
      <x:c r="R491" s="58" t="str">
        <x:v>X</x:v>
      </x:c>
      <x:c r="S491" s="60" t="n">
        <x:v>100</x:v>
      </x:c>
      <x:c r="T491" s="58" t="str">
        <x:v>IN TARGET BAND</x:v>
      </x:c>
      <x:c r="U491" s="58" t="str">
        <x:v>Yes</x:v>
      </x:c>
      <x:c r="V491" s="58" t="n">
        <x:v>1368</x:v>
      </x:c>
      <x:c r="W491" s="58" t="str">
        <x:v>Pasted text(59).txt</x:v>
      </x:c>
    </x:row>
    <x:row r="492">
      <x:c r="A492" s="58" t="str">
        <x:v>S15</x:v>
      </x:c>
      <x:c r="B492" s="58" t="str">
        <x:v>0.60 validation at 268.9 Hz</x:v>
      </x:c>
      <x:c r="C492" s="58" t="n">
        <x:v>0.6</x:v>
      </x:c>
      <x:c r="D492" s="58" t="n">
        <x:v>1</x:v>
      </x:c>
      <x:c r="E492" s="58" t="str">
        <x:v>PASS</x:v>
      </x:c>
      <x:c r="F492" s="58" t="n">
        <x:v>1</x:v>
      </x:c>
      <x:c r="G492" s="58" t="n">
        <x:v>1</x:v>
      </x:c>
      <x:c r="H492" s="59" t="n">
        <x:v>7</x:v>
      </x:c>
      <x:c r="I492" s="59" t="n">
        <x:v>0.64713</x:v>
      </x:c>
      <x:c r="J492" s="59" t="n">
        <x:v>0.65348</x:v>
      </x:c>
      <x:c r="K492" s="59" t="n">
        <x:v>0.34084</x:v>
      </x:c>
      <x:c r="L492" s="59" t="n">
        <x:v>0.16298</x:v>
      </x:c>
      <x:c r="M492" s="59" t="n">
        <x:v>0.75497</x:v>
      </x:c>
      <x:c r="N492" s="60" t="n">
        <x:v>7.86</x:v>
      </x:c>
      <x:c r="O492" s="60" t="n">
        <x:v>2.05</x:v>
      </x:c>
      <x:c r="P492" s="60" t="n">
        <x:v>2.95</x:v>
      </x:c>
      <x:c r="Q492" s="60" t="n">
        <x:v>74.8</x:v>
      </x:c>
      <x:c r="R492" s="58" t="str">
        <x:v>X</x:v>
      </x:c>
      <x:c r="S492" s="60" t="n">
        <x:v>100</x:v>
      </x:c>
      <x:c r="T492" s="58" t="str">
        <x:v>VALID</x:v>
      </x:c>
      <x:c r="U492" s="58" t="str">
        <x:v>No</x:v>
      </x:c>
      <x:c r="V492" s="58" t="n">
        <x:v>1477</x:v>
      </x:c>
      <x:c r="W492" s="58" t="str">
        <x:v>Pasted text(59).txt</x:v>
      </x:c>
    </x:row>
    <x:row r="493">
      <x:c r="A493" s="58" t="str">
        <x:v>S15</x:v>
      </x:c>
      <x:c r="B493" s="58" t="str">
        <x:v>0.60 validation at 268.9 Hz</x:v>
      </x:c>
      <x:c r="C493" s="58" t="n">
        <x:v>0.6</x:v>
      </x:c>
      <x:c r="D493" s="58" t="n">
        <x:v>1</x:v>
      </x:c>
      <x:c r="E493" s="58" t="str">
        <x:v>PASS</x:v>
      </x:c>
      <x:c r="F493" s="58" t="n">
        <x:v>1</x:v>
      </x:c>
      <x:c r="G493" s="58" t="n">
        <x:v>2</x:v>
      </x:c>
      <x:c r="H493" s="59" t="n">
        <x:v>7</x:v>
      </x:c>
      <x:c r="I493" s="59" t="n">
        <x:v>0.62978</x:v>
      </x:c>
      <x:c r="J493" s="59" t="n">
        <x:v>0.63049</x:v>
      </x:c>
      <x:c r="K493" s="59" t="n">
        <x:v>0.35198</x:v>
      </x:c>
      <x:c r="L493" s="59" t="n">
        <x:v>0.15555</x:v>
      </x:c>
      <x:c r="M493" s="59" t="n">
        <x:v>0.73886</x:v>
      </x:c>
      <x:c r="N493" s="60" t="n">
        <x:v>4.96</x:v>
      </x:c>
      <x:c r="O493" s="60" t="n">
        <x:v>0.96</x:v>
      </x:c>
      <x:c r="P493" s="60" t="n">
        <x:v>0.82</x:v>
      </x:c>
      <x:c r="Q493" s="60" t="n">
        <x:v>74</x:v>
      </x:c>
      <x:c r="R493" s="58" t="str">
        <x:v>X</x:v>
      </x:c>
      <x:c r="S493" s="60" t="n">
        <x:v>100</x:v>
      </x:c>
      <x:c r="T493" s="58" t="str">
        <x:v>IN TARGET BAND</x:v>
      </x:c>
      <x:c r="U493" s="58" t="str">
        <x:v>Yes</x:v>
      </x:c>
      <x:c r="V493" s="58" t="n">
        <x:v>1478</x:v>
      </x:c>
      <x:c r="W493" s="58" t="str">
        <x:v>Pasted text(59).txt</x:v>
      </x:c>
    </x:row>
    <x:row r="494">
      <x:c r="A494" s="58" t="str">
        <x:v>S15</x:v>
      </x:c>
      <x:c r="B494" s="58" t="str">
        <x:v>0.60 validation at 268.9 Hz</x:v>
      </x:c>
      <x:c r="C494" s="58" t="n">
        <x:v>0.6</x:v>
      </x:c>
      <x:c r="D494" s="58" t="n">
        <x:v>1</x:v>
      </x:c>
      <x:c r="E494" s="58" t="str">
        <x:v>PASS</x:v>
      </x:c>
      <x:c r="F494" s="58" t="n">
        <x:v>1</x:v>
      </x:c>
      <x:c r="G494" s="58" t="n">
        <x:v>3</x:v>
      </x:c>
      <x:c r="H494" s="59" t="n">
        <x:v>7</x:v>
      </x:c>
      <x:c r="I494" s="59" t="n">
        <x:v>0.64443</x:v>
      </x:c>
      <x:c r="J494" s="59" t="n">
        <x:v>0.64052</x:v>
      </x:c>
      <x:c r="K494" s="59" t="n">
        <x:v>0.35177</x:v>
      </x:c>
      <x:c r="L494" s="59" t="n">
        <x:v>0.13252</x:v>
      </x:c>
      <x:c r="M494" s="59" t="n">
        <x:v>0.74316</x:v>
      </x:c>
      <x:c r="N494" s="60" t="n">
        <x:v>7.41</x:v>
      </x:c>
      <x:c r="O494" s="60" t="n">
        <x:v>1.53</x:v>
      </x:c>
      <x:c r="P494" s="60" t="n">
        <x:v>2.02</x:v>
      </x:c>
      <x:c r="Q494" s="60" t="n">
        <x:v>74.5</x:v>
      </x:c>
      <x:c r="R494" s="58" t="str">
        <x:v>X</x:v>
      </x:c>
      <x:c r="S494" s="60" t="n">
        <x:v>100</x:v>
      </x:c>
      <x:c r="T494" s="58" t="str">
        <x:v>IN TARGET BAND</x:v>
      </x:c>
      <x:c r="U494" s="58" t="str">
        <x:v>Yes</x:v>
      </x:c>
      <x:c r="V494" s="58" t="n">
        <x:v>1479</x:v>
      </x:c>
      <x:c r="W494" s="58" t="str">
        <x:v>Pasted text(59).txt</x:v>
      </x:c>
    </x:row>
    <x:row r="495">
      <x:c r="A495" s="58" t="str">
        <x:v>S15</x:v>
      </x:c>
      <x:c r="B495" s="58" t="str">
        <x:v>0.60 validation at 268.9 Hz</x:v>
      </x:c>
      <x:c r="C495" s="58" t="n">
        <x:v>0.6</x:v>
      </x:c>
      <x:c r="D495" s="58" t="n">
        <x:v>1</x:v>
      </x:c>
      <x:c r="E495" s="58" t="str">
        <x:v>PASS</x:v>
      </x:c>
      <x:c r="F495" s="58" t="n">
        <x:v>1</x:v>
      </x:c>
      <x:c r="G495" s="58" t="n">
        <x:v>4</x:v>
      </x:c>
      <x:c r="H495" s="59" t="n">
        <x:v>7</x:v>
      </x:c>
      <x:c r="I495" s="59" t="n">
        <x:v>0.63571</x:v>
      </x:c>
      <x:c r="J495" s="59" t="n">
        <x:v>0.63606</x:v>
      </x:c>
      <x:c r="K495" s="59" t="n">
        <x:v>0.34489</x:v>
      </x:c>
      <x:c r="L495" s="59" t="n">
        <x:v>0.15774</x:v>
      </x:c>
      <x:c r="M495" s="59" t="n">
        <x:v>0.7407</x:v>
      </x:c>
      <x:c r="N495" s="60" t="n">
        <x:v>5.95</x:v>
      </x:c>
      <x:c r="O495" s="60" t="n">
        <x:v>0.04</x:v>
      </x:c>
      <x:c r="P495" s="60" t="n">
        <x:v>0.12</x:v>
      </x:c>
      <x:c r="Q495" s="60" t="n">
        <x:v>73.5</x:v>
      </x:c>
      <x:c r="R495" s="58" t="str">
        <x:v>X</x:v>
      </x:c>
      <x:c r="S495" s="60" t="n">
        <x:v>100</x:v>
      </x:c>
      <x:c r="T495" s="58" t="str">
        <x:v>IN TARGET BAND</x:v>
      </x:c>
      <x:c r="U495" s="58" t="str">
        <x:v>Yes</x:v>
      </x:c>
      <x:c r="V495" s="58" t="n">
        <x:v>1480</x:v>
      </x:c>
      <x:c r="W495" s="58" t="str">
        <x:v>Pasted text(59).txt</x:v>
      </x:c>
    </x:row>
    <x:row r="496">
      <x:c r="A496" s="58" t="str">
        <x:v>S15</x:v>
      </x:c>
      <x:c r="B496" s="58" t="str">
        <x:v>0.60 validation at 268.9 Hz</x:v>
      </x:c>
      <x:c r="C496" s="58" t="n">
        <x:v>0.6</x:v>
      </x:c>
      <x:c r="D496" s="58" t="n">
        <x:v>1</x:v>
      </x:c>
      <x:c r="E496" s="58" t="str">
        <x:v>PASS</x:v>
      </x:c>
      <x:c r="F496" s="58" t="n">
        <x:v>1</x:v>
      </x:c>
      <x:c r="G496" s="58" t="n">
        <x:v>5</x:v>
      </x:c>
      <x:c r="H496" s="59" t="n">
        <x:v>7</x:v>
      </x:c>
      <x:c r="I496" s="59" t="n">
        <x:v>0.63014</x:v>
      </x:c>
      <x:c r="J496" s="59" t="n">
        <x:v>0.6369</x:v>
      </x:c>
      <x:c r="K496" s="59" t="n">
        <x:v>0.33862</x:v>
      </x:c>
      <x:c r="L496" s="59" t="n">
        <x:v>0.13326</x:v>
      </x:c>
      <x:c r="M496" s="59" t="n">
        <x:v>0.73426</x:v>
      </x:c>
      <x:c r="N496" s="60" t="n">
        <x:v>5.02</x:v>
      </x:c>
      <x:c r="O496" s="60" t="n">
        <x:v>0.96</x:v>
      </x:c>
      <x:c r="P496" s="60" t="n">
        <x:v>2.42</x:v>
      </x:c>
      <x:c r="Q496" s="60" t="n">
        <x:v>74.9</x:v>
      </x:c>
      <x:c r="R496" s="58" t="str">
        <x:v>X</x:v>
      </x:c>
      <x:c r="S496" s="60" t="n">
        <x:v>100</x:v>
      </x:c>
      <x:c r="T496" s="58" t="str">
        <x:v>IN TARGET BAND</x:v>
      </x:c>
      <x:c r="U496" s="58" t="str">
        <x:v>Yes</x:v>
      </x:c>
      <x:c r="V496" s="58" t="n">
        <x:v>1481</x:v>
      </x:c>
      <x:c r="W496" s="58" t="str">
        <x:v>Pasted text(59).txt</x:v>
      </x:c>
    </x:row>
    <x:row r="497">
      <x:c r="A497" s="58" t="str">
        <x:v>S15</x:v>
      </x:c>
      <x:c r="B497" s="58" t="str">
        <x:v>0.60 validation at 268.9 Hz</x:v>
      </x:c>
      <x:c r="C497" s="58" t="n">
        <x:v>0.6</x:v>
      </x:c>
      <x:c r="D497" s="58" t="n">
        <x:v>1</x:v>
      </x:c>
      <x:c r="E497" s="58" t="str">
        <x:v>PASS</x:v>
      </x:c>
      <x:c r="F497" s="58" t="n">
        <x:v>1</x:v>
      </x:c>
      <x:c r="G497" s="58" t="n">
        <x:v>6</x:v>
      </x:c>
      <x:c r="H497" s="59" t="n">
        <x:v>7</x:v>
      </x:c>
      <x:c r="I497" s="59" t="n">
        <x:v>0.65517</x:v>
      </x:c>
      <x:c r="J497" s="59" t="n">
        <x:v>0.6528</x:v>
      </x:c>
      <x:c r="K497" s="59" t="n">
        <x:v>0.32274</x:v>
      </x:c>
      <x:c r="L497" s="59" t="n">
        <x:v>0.12776</x:v>
      </x:c>
      <x:c r="M497" s="59" t="n">
        <x:v>0.73963</x:v>
      </x:c>
      <x:c r="N497" s="60" t="n">
        <x:v>9.2</x:v>
      </x:c>
      <x:c r="O497" s="60" t="n">
        <x:v>1.89</x:v>
      </x:c>
      <x:c r="P497" s="60" t="n">
        <x:v>1.86</x:v>
      </x:c>
      <x:c r="Q497" s="60" t="n">
        <x:v>75.6</x:v>
      </x:c>
      <x:c r="R497" s="58" t="str">
        <x:v>X</x:v>
      </x:c>
      <x:c r="S497" s="60" t="n">
        <x:v>100</x:v>
      </x:c>
      <x:c r="T497" s="58" t="str">
        <x:v>VALID</x:v>
      </x:c>
      <x:c r="U497" s="58" t="str">
        <x:v>No</x:v>
      </x:c>
      <x:c r="V497" s="58" t="n">
        <x:v>1482</x:v>
      </x:c>
      <x:c r="W497" s="58" t="str">
        <x:v>Pasted text(59).txt</x:v>
      </x:c>
    </x:row>
    <x:row r="498">
      <x:c r="A498" s="58" t="str">
        <x:v>S15</x:v>
      </x:c>
      <x:c r="B498" s="58" t="str">
        <x:v>0.60 validation at 268.9 Hz</x:v>
      </x:c>
      <x:c r="C498" s="58" t="n">
        <x:v>0.6</x:v>
      </x:c>
      <x:c r="D498" s="58" t="n">
        <x:v>1</x:v>
      </x:c>
      <x:c r="E498" s="58" t="str">
        <x:v>PASS</x:v>
      </x:c>
      <x:c r="F498" s="58" t="n">
        <x:v>1</x:v>
      </x:c>
      <x:c r="G498" s="58" t="n">
        <x:v>7</x:v>
      </x:c>
      <x:c r="H498" s="59" t="n">
        <x:v>7</x:v>
      </x:c>
      <x:c r="I498" s="59" t="n">
        <x:v>0.64268</x:v>
      </x:c>
      <x:c r="J498" s="59" t="n">
        <x:v>0.64085</x:v>
      </x:c>
      <x:c r="K498" s="59" t="n">
        <x:v>0.34899</x:v>
      </x:c>
      <x:c r="L498" s="59" t="n">
        <x:v>0.16265</x:v>
      </x:c>
      <x:c r="M498" s="59" t="n">
        <x:v>0.74766</x:v>
      </x:c>
      <x:c r="N498" s="60" t="n">
        <x:v>7.11</x:v>
      </x:c>
      <x:c r="O498" s="60" t="n">
        <x:v>0.25</x:v>
      </x:c>
      <x:c r="P498" s="60" t="n">
        <x:v>0.65</x:v>
      </x:c>
      <x:c r="Q498" s="60" t="n">
        <x:v>74.4</x:v>
      </x:c>
      <x:c r="R498" s="58" t="str">
        <x:v>X</x:v>
      </x:c>
      <x:c r="S498" s="60" t="n">
        <x:v>100</x:v>
      </x:c>
      <x:c r="T498" s="58" t="str">
        <x:v>IN TARGET BAND</x:v>
      </x:c>
      <x:c r="U498" s="58" t="str">
        <x:v>Yes</x:v>
      </x:c>
      <x:c r="V498" s="58" t="n">
        <x:v>1483</x:v>
      </x:c>
      <x:c r="W498" s="58" t="str">
        <x:v>Pasted text(59).txt</x:v>
      </x:c>
    </x:row>
    <x:row r="499">
      <x:c r="A499" s="58" t="str">
        <x:v>S15</x:v>
      </x:c>
      <x:c r="B499" s="58" t="str">
        <x:v>0.60 validation at 268.9 Hz</x:v>
      </x:c>
      <x:c r="C499" s="58" t="n">
        <x:v>0.6</x:v>
      </x:c>
      <x:c r="D499" s="58" t="n">
        <x:v>1</x:v>
      </x:c>
      <x:c r="E499" s="58" t="str">
        <x:v>PASS</x:v>
      </x:c>
      <x:c r="F499" s="58" t="n">
        <x:v>1</x:v>
      </x:c>
      <x:c r="G499" s="58" t="n">
        <x:v>8</x:v>
      </x:c>
      <x:c r="H499" s="59" t="n">
        <x:v>7</x:v>
      </x:c>
      <x:c r="I499" s="59" t="n">
        <x:v>0.65431</x:v>
      </x:c>
      <x:c r="J499" s="59" t="n">
        <x:v>0.65232</x:v>
      </x:c>
      <x:c r="K499" s="59" t="n">
        <x:v>0.34189</x:v>
      </x:c>
      <x:c r="L499" s="59" t="n">
        <x:v>0.14483</x:v>
      </x:c>
      <x:c r="M499" s="59" t="n">
        <x:v>0.75098</x:v>
      </x:c>
      <x:c r="N499" s="60" t="n">
        <x:v>9.05</x:v>
      </x:c>
      <x:c r="O499" s="60" t="n">
        <x:v>3.61</x:v>
      </x:c>
      <x:c r="P499" s="60" t="n">
        <x:v>2.92</x:v>
      </x:c>
      <x:c r="Q499" s="60" t="n">
        <x:v>76.4</x:v>
      </x:c>
      <x:c r="R499" s="58" t="str">
        <x:v>X</x:v>
      </x:c>
      <x:c r="S499" s="60" t="n">
        <x:v>100</x:v>
      </x:c>
      <x:c r="T499" s="58" t="str">
        <x:v>VALID</x:v>
      </x:c>
      <x:c r="U499" s="58" t="str">
        <x:v>No</x:v>
      </x:c>
      <x:c r="V499" s="58" t="n">
        <x:v>1484</x:v>
      </x:c>
      <x:c r="W499" s="58" t="str">
        <x:v>Pasted text(59).txt</x:v>
      </x:c>
    </x:row>
    <x:row r="500">
      <x:c r="A500" s="58" t="str">
        <x:v>S15</x:v>
      </x:c>
      <x:c r="B500" s="58" t="str">
        <x:v>0.60 validation at 268.9 Hz</x:v>
      </x:c>
      <x:c r="C500" s="58" t="n">
        <x:v>0.6</x:v>
      </x:c>
      <x:c r="D500" s="58" t="n">
        <x:v>1</x:v>
      </x:c>
      <x:c r="E500" s="58" t="str">
        <x:v>PASS</x:v>
      </x:c>
      <x:c r="F500" s="58" t="n">
        <x:v>1</x:v>
      </x:c>
      <x:c r="G500" s="58" t="n">
        <x:v>9</x:v>
      </x:c>
      <x:c r="H500" s="59" t="n">
        <x:v>7</x:v>
      </x:c>
      <x:c r="I500" s="59" t="n">
        <x:v>0.64598</x:v>
      </x:c>
      <x:c r="J500" s="59" t="n">
        <x:v>0.64969</x:v>
      </x:c>
      <x:c r="K500" s="59" t="n">
        <x:v>0.33149</x:v>
      </x:c>
      <x:c r="L500" s="59" t="n">
        <x:v>0.14898</x:v>
      </x:c>
      <x:c r="M500" s="59" t="n">
        <x:v>0.74473</x:v>
      </x:c>
      <x:c r="N500" s="60" t="n">
        <x:v>7.66</x:v>
      </x:c>
      <x:c r="O500" s="60" t="n">
        <x:v>0.8</x:v>
      </x:c>
      <x:c r="P500" s="60" t="n">
        <x:v>1.48</x:v>
      </x:c>
      <x:c r="Q500" s="60" t="n">
        <x:v>75.1</x:v>
      </x:c>
      <x:c r="R500" s="58" t="str">
        <x:v>X</x:v>
      </x:c>
      <x:c r="S500" s="60" t="n">
        <x:v>100</x:v>
      </x:c>
      <x:c r="T500" s="58" t="str">
        <x:v>VALID</x:v>
      </x:c>
      <x:c r="U500" s="58" t="str">
        <x:v>No</x:v>
      </x:c>
      <x:c r="V500" s="58" t="n">
        <x:v>1485</x:v>
      </x:c>
      <x:c r="W500" s="58" t="str">
        <x:v>Pasted text(59).txt</x:v>
      </x:c>
    </x:row>
    <x:row r="501">
      <x:c r="A501" s="58" t="str">
        <x:v>S15</x:v>
      </x:c>
      <x:c r="B501" s="58" t="str">
        <x:v>0.60 validation at 268.9 Hz</x:v>
      </x:c>
      <x:c r="C501" s="58" t="n">
        <x:v>0.6</x:v>
      </x:c>
      <x:c r="D501" s="58" t="n">
        <x:v>1</x:v>
      </x:c>
      <x:c r="E501" s="58" t="str">
        <x:v>PASS</x:v>
      </x:c>
      <x:c r="F501" s="58" t="n">
        <x:v>1</x:v>
      </x:c>
      <x:c r="G501" s="58" t="n">
        <x:v>10</x:v>
      </x:c>
      <x:c r="H501" s="59" t="n">
        <x:v>7</x:v>
      </x:c>
      <x:c r="I501" s="59" t="n">
        <x:v>0.65235</x:v>
      </x:c>
      <x:c r="J501" s="59" t="n">
        <x:v>0.64587</x:v>
      </x:c>
      <x:c r="K501" s="59" t="n">
        <x:v>0.33869</x:v>
      </x:c>
      <x:c r="L501" s="59" t="n">
        <x:v>0.14364</x:v>
      </x:c>
      <x:c r="M501" s="59" t="n">
        <x:v>0.74347</x:v>
      </x:c>
      <x:c r="N501" s="60" t="n">
        <x:v>8.72</x:v>
      </x:c>
      <x:c r="O501" s="60" t="n">
        <x:v>3.86</x:v>
      </x:c>
      <x:c r="P501" s="60" t="n">
        <x:v>4.22</x:v>
      </x:c>
      <x:c r="Q501" s="60" t="n">
        <x:v>75.5</x:v>
      </x:c>
      <x:c r="R501" s="58" t="str">
        <x:v>X</x:v>
      </x:c>
      <x:c r="S501" s="60" t="n">
        <x:v>100</x:v>
      </x:c>
      <x:c r="T501" s="58" t="str">
        <x:v>VALID</x:v>
      </x:c>
      <x:c r="U501" s="58" t="str">
        <x:v>No</x:v>
      </x:c>
      <x:c r="V501" s="58" t="n">
        <x:v>1486</x:v>
      </x:c>
      <x:c r="W501" s="58" t="str">
        <x:v>Pasted text(59).txt</x:v>
      </x:c>
    </x:row>
    <x:row r="502">
      <x:c r="A502" s="58" t="str">
        <x:v>S15</x:v>
      </x:c>
      <x:c r="B502" s="58" t="str">
        <x:v>0.60 validation at 268.9 Hz</x:v>
      </x:c>
      <x:c r="C502" s="58" t="n">
        <x:v>0.6</x:v>
      </x:c>
      <x:c r="D502" s="58" t="n">
        <x:v>1</x:v>
      </x:c>
      <x:c r="E502" s="58" t="str">
        <x:v>PASS</x:v>
      </x:c>
      <x:c r="F502" s="58" t="n">
        <x:v>2</x:v>
      </x:c>
      <x:c r="G502" s="58" t="n">
        <x:v>1</x:v>
      </x:c>
      <x:c r="H502" s="59" t="n">
        <x:v>7</x:v>
      </x:c>
      <x:c r="I502" s="59" t="n">
        <x:v>0.63021</x:v>
      </x:c>
      <x:c r="J502" s="59" t="n">
        <x:v>0.63183</x:v>
      </x:c>
      <x:c r="K502" s="59" t="n">
        <x:v>0.33956</x:v>
      </x:c>
      <x:c r="L502" s="59" t="n">
        <x:v>0.16105</x:v>
      </x:c>
      <x:c r="M502" s="59" t="n">
        <x:v>0.73529</x:v>
      </x:c>
      <x:c r="N502" s="60" t="n">
        <x:v>5.04</x:v>
      </x:c>
      <x:c r="O502" s="60" t="n">
        <x:v>2.12</x:v>
      </x:c>
      <x:c r="P502" s="60" t="n">
        <x:v>1.83</x:v>
      </x:c>
      <x:c r="Q502" s="60" t="n">
        <x:v>73.5</x:v>
      </x:c>
      <x:c r="R502" s="58" t="str">
        <x:v>X</x:v>
      </x:c>
      <x:c r="S502" s="60" t="n">
        <x:v>100</x:v>
      </x:c>
      <x:c r="T502" s="58" t="str">
        <x:v>IN TARGET BAND</x:v>
      </x:c>
      <x:c r="U502" s="58" t="str">
        <x:v>Yes</x:v>
      </x:c>
      <x:c r="V502" s="58" t="n">
        <x:v>1541</x:v>
      </x:c>
      <x:c r="W502" s="58" t="str">
        <x:v>Pasted text(59).txt</x:v>
      </x:c>
    </x:row>
    <x:row r="503">
      <x:c r="A503" s="58" t="str">
        <x:v>S15</x:v>
      </x:c>
      <x:c r="B503" s="58" t="str">
        <x:v>0.60 validation at 268.9 Hz</x:v>
      </x:c>
      <x:c r="C503" s="58" t="n">
        <x:v>0.6</x:v>
      </x:c>
      <x:c r="D503" s="58" t="n">
        <x:v>1</x:v>
      </x:c>
      <x:c r="E503" s="58" t="str">
        <x:v>PASS</x:v>
      </x:c>
      <x:c r="F503" s="58" t="n">
        <x:v>2</x:v>
      </x:c>
      <x:c r="G503" s="58" t="n">
        <x:v>2</x:v>
      </x:c>
      <x:c r="H503" s="59" t="n">
        <x:v>7</x:v>
      </x:c>
      <x:c r="I503" s="59" t="n">
        <x:v>0.64809</x:v>
      </x:c>
      <x:c r="J503" s="59" t="n">
        <x:v>0.65086</x:v>
      </x:c>
      <x:c r="K503" s="59" t="n">
        <x:v>0.32302</x:v>
      </x:c>
      <x:c r="L503" s="59" t="n">
        <x:v>0.14134</x:v>
      </x:c>
      <x:c r="M503" s="59" t="n">
        <x:v>0.74028</x:v>
      </x:c>
      <x:c r="N503" s="60" t="n">
        <x:v>8.02</x:v>
      </x:c>
      <x:c r="O503" s="60" t="n">
        <x:v>0.89</x:v>
      </x:c>
      <x:c r="P503" s="60" t="n">
        <x:v>1.29</x:v>
      </x:c>
      <x:c r="Q503" s="60" t="n">
        <x:v>74</x:v>
      </x:c>
      <x:c r="R503" s="58" t="str">
        <x:v>X</x:v>
      </x:c>
      <x:c r="S503" s="60" t="n">
        <x:v>100</x:v>
      </x:c>
      <x:c r="T503" s="58" t="str">
        <x:v>VALID</x:v>
      </x:c>
      <x:c r="U503" s="58" t="str">
        <x:v>No</x:v>
      </x:c>
      <x:c r="V503" s="58" t="n">
        <x:v>1542</x:v>
      </x:c>
      <x:c r="W503" s="58" t="str">
        <x:v>Pasted text(59).txt</x:v>
      </x:c>
    </x:row>
    <x:row r="504">
      <x:c r="A504" s="58" t="str">
        <x:v>S15</x:v>
      </x:c>
      <x:c r="B504" s="58" t="str">
        <x:v>0.60 validation at 268.9 Hz</x:v>
      </x:c>
      <x:c r="C504" s="58" t="n">
        <x:v>0.6</x:v>
      </x:c>
      <x:c r="D504" s="58" t="n">
        <x:v>1</x:v>
      </x:c>
      <x:c r="E504" s="58" t="str">
        <x:v>PASS</x:v>
      </x:c>
      <x:c r="F504" s="58" t="n">
        <x:v>2</x:v>
      </x:c>
      <x:c r="G504" s="58" t="n">
        <x:v>3</x:v>
      </x:c>
      <x:c r="H504" s="59" t="n">
        <x:v>7</x:v>
      </x:c>
      <x:c r="I504" s="59" t="n">
        <x:v>0.62058</x:v>
      </x:c>
      <x:c r="J504" s="59" t="n">
        <x:v>0.62982</x:v>
      </x:c>
      <x:c r="K504" s="59" t="n">
        <x:v>0.33354</x:v>
      </x:c>
      <x:c r="L504" s="59" t="n">
        <x:v>0.15046</x:v>
      </x:c>
      <x:c r="M504" s="59" t="n">
        <x:v>0.72878</x:v>
      </x:c>
      <x:c r="N504" s="60" t="n">
        <x:v>3.43</x:v>
      </x:c>
      <x:c r="O504" s="60" t="n">
        <x:v>0.48</x:v>
      </x:c>
      <x:c r="P504" s="60" t="n">
        <x:v>2.82</x:v>
      </x:c>
      <x:c r="Q504" s="60" t="n">
        <x:v>73.3</x:v>
      </x:c>
      <x:c r="R504" s="58" t="str">
        <x:v>X</x:v>
      </x:c>
      <x:c r="S504" s="60" t="n">
        <x:v>100</x:v>
      </x:c>
      <x:c r="T504" s="58" t="str">
        <x:v>IN TARGET BAND</x:v>
      </x:c>
      <x:c r="U504" s="58" t="str">
        <x:v>Yes</x:v>
      </x:c>
      <x:c r="V504" s="58" t="n">
        <x:v>1543</x:v>
      </x:c>
      <x:c r="W504" s="58" t="str">
        <x:v>Pasted text(59).txt</x:v>
      </x:c>
    </x:row>
    <x:row r="505">
      <x:c r="A505" s="58" t="str">
        <x:v>S15</x:v>
      </x:c>
      <x:c r="B505" s="58" t="str">
        <x:v>0.60 validation at 268.9 Hz</x:v>
      </x:c>
      <x:c r="C505" s="58" t="n">
        <x:v>0.6</x:v>
      </x:c>
      <x:c r="D505" s="58" t="n">
        <x:v>1</x:v>
      </x:c>
      <x:c r="E505" s="58" t="str">
        <x:v>PASS</x:v>
      </x:c>
      <x:c r="F505" s="58" t="n">
        <x:v>2</x:v>
      </x:c>
      <x:c r="G505" s="58" t="n">
        <x:v>4</x:v>
      </x:c>
      <x:c r="H505" s="59" t="n">
        <x:v>7</x:v>
      </x:c>
      <x:c r="I505" s="59" t="n">
        <x:v>0.64235</x:v>
      </x:c>
      <x:c r="J505" s="59" t="n">
        <x:v>0.64323</x:v>
      </x:c>
      <x:c r="K505" s="59" t="n">
        <x:v>0.33162</x:v>
      </x:c>
      <x:c r="L505" s="59" t="n">
        <x:v>0.15498</x:v>
      </x:c>
      <x:c r="M505" s="59" t="n">
        <x:v>0.74035</x:v>
      </x:c>
      <x:c r="N505" s="60" t="n">
        <x:v>7.06</x:v>
      </x:c>
      <x:c r="O505" s="60" t="n">
        <x:v>0.06</x:v>
      </x:c>
      <x:c r="P505" s="60" t="n">
        <x:v>0.27</x:v>
      </x:c>
      <x:c r="Q505" s="60" t="n">
        <x:v>74.7</x:v>
      </x:c>
      <x:c r="R505" s="58" t="str">
        <x:v>X</x:v>
      </x:c>
      <x:c r="S505" s="60" t="n">
        <x:v>100</x:v>
      </x:c>
      <x:c r="T505" s="58" t="str">
        <x:v>IN TARGET BAND</x:v>
      </x:c>
      <x:c r="U505" s="58" t="str">
        <x:v>Yes</x:v>
      </x:c>
      <x:c r="V505" s="58" t="n">
        <x:v>1544</x:v>
      </x:c>
      <x:c r="W505" s="58" t="str">
        <x:v>Pasted text(59).txt</x:v>
      </x:c>
    </x:row>
    <x:row r="506">
      <x:c r="A506" s="58" t="str">
        <x:v>S15</x:v>
      </x:c>
      <x:c r="B506" s="58" t="str">
        <x:v>0.60 validation at 268.9 Hz</x:v>
      </x:c>
      <x:c r="C506" s="58" t="n">
        <x:v>0.6</x:v>
      </x:c>
      <x:c r="D506" s="58" t="n">
        <x:v>1</x:v>
      </x:c>
      <x:c r="E506" s="58" t="str">
        <x:v>PASS</x:v>
      </x:c>
      <x:c r="F506" s="58" t="n">
        <x:v>2</x:v>
      </x:c>
      <x:c r="G506" s="58" t="n">
        <x:v>5</x:v>
      </x:c>
      <x:c r="H506" s="59" t="n">
        <x:v>7</x:v>
      </x:c>
      <x:c r="I506" s="59" t="n">
        <x:v>0.63424</x:v>
      </x:c>
      <x:c r="J506" s="59" t="n">
        <x:v>0.63593</x:v>
      </x:c>
      <x:c r="K506" s="59" t="n">
        <x:v>0.33579</x:v>
      </x:c>
      <x:c r="L506" s="59" t="n">
        <x:v>0.14836</x:v>
      </x:c>
      <x:c r="M506" s="59" t="n">
        <x:v>0.7348</x:v>
      </x:c>
      <x:c r="N506" s="60" t="n">
        <x:v>5.71</x:v>
      </x:c>
      <x:c r="O506" s="60" t="n">
        <x:v>0.79</x:v>
      </x:c>
      <x:c r="P506" s="60" t="n">
        <x:v>0.96</x:v>
      </x:c>
      <x:c r="Q506" s="60" t="n">
        <x:v>74.2</x:v>
      </x:c>
      <x:c r="R506" s="58" t="str">
        <x:v>X</x:v>
      </x:c>
      <x:c r="S506" s="60" t="n">
        <x:v>100</x:v>
      </x:c>
      <x:c r="T506" s="58" t="str">
        <x:v>IN TARGET BAND</x:v>
      </x:c>
      <x:c r="U506" s="58" t="str">
        <x:v>Yes</x:v>
      </x:c>
      <x:c r="V506" s="58" t="n">
        <x:v>1545</x:v>
      </x:c>
      <x:c r="W506" s="58" t="str">
        <x:v>Pasted text(59).txt</x:v>
      </x:c>
    </x:row>
    <x:row r="507">
      <x:c r="A507" s="58" t="str">
        <x:v>S15</x:v>
      </x:c>
      <x:c r="B507" s="58" t="str">
        <x:v>0.60 validation at 268.9 Hz</x:v>
      </x:c>
      <x:c r="C507" s="58" t="n">
        <x:v>0.6</x:v>
      </x:c>
      <x:c r="D507" s="58" t="n">
        <x:v>1</x:v>
      </x:c>
      <x:c r="E507" s="58" t="str">
        <x:v>PASS</x:v>
      </x:c>
      <x:c r="F507" s="58" t="n">
        <x:v>2</x:v>
      </x:c>
      <x:c r="G507" s="58" t="n">
        <x:v>6</x:v>
      </x:c>
      <x:c r="H507" s="59" t="n">
        <x:v>7</x:v>
      </x:c>
      <x:c r="I507" s="59" t="n">
        <x:v>0.62426</x:v>
      </x:c>
      <x:c r="J507" s="59" t="n">
        <x:v>0.63223</x:v>
      </x:c>
      <x:c r="K507" s="59" t="n">
        <x:v>0.339</x:v>
      </x:c>
      <x:c r="L507" s="59" t="n">
        <x:v>0.12796</x:v>
      </x:c>
      <x:c r="M507" s="59" t="n">
        <x:v>0.72885</x:v>
      </x:c>
      <x:c r="N507" s="60" t="n">
        <x:v>4.04</x:v>
      </x:c>
      <x:c r="O507" s="60" t="n">
        <x:v>1.46</x:v>
      </x:c>
      <x:c r="P507" s="60" t="n">
        <x:v>3.06</x:v>
      </x:c>
      <x:c r="Q507" s="60" t="n">
        <x:v>73.5</x:v>
      </x:c>
      <x:c r="R507" s="58" t="str">
        <x:v>X</x:v>
      </x:c>
      <x:c r="S507" s="60" t="n">
        <x:v>100</x:v>
      </x:c>
      <x:c r="T507" s="58" t="str">
        <x:v>IN TARGET BAND</x:v>
      </x:c>
      <x:c r="U507" s="58" t="str">
        <x:v>Yes</x:v>
      </x:c>
      <x:c r="V507" s="58" t="n">
        <x:v>1546</x:v>
      </x:c>
      <x:c r="W507" s="58" t="str">
        <x:v>Pasted text(59).txt</x:v>
      </x:c>
    </x:row>
    <x:row r="508">
      <x:c r="A508" s="58" t="str">
        <x:v>S15</x:v>
      </x:c>
      <x:c r="B508" s="58" t="str">
        <x:v>0.60 validation at 268.9 Hz</x:v>
      </x:c>
      <x:c r="C508" s="58" t="n">
        <x:v>0.6</x:v>
      </x:c>
      <x:c r="D508" s="58" t="n">
        <x:v>1</x:v>
      </x:c>
      <x:c r="E508" s="58" t="str">
        <x:v>PASS</x:v>
      </x:c>
      <x:c r="F508" s="58" t="n">
        <x:v>2</x:v>
      </x:c>
      <x:c r="G508" s="58" t="n">
        <x:v>7</x:v>
      </x:c>
      <x:c r="H508" s="59" t="n">
        <x:v>7</x:v>
      </x:c>
      <x:c r="I508" s="59" t="n">
        <x:v>0.63982</x:v>
      </x:c>
      <x:c r="J508" s="59" t="n">
        <x:v>0.64169</x:v>
      </x:c>
      <x:c r="K508" s="59" t="n">
        <x:v>0.33626</x:v>
      </x:c>
      <x:c r="L508" s="59" t="n">
        <x:v>0.12121</x:v>
      </x:c>
      <x:c r="M508" s="59" t="n">
        <x:v>0.73476</x:v>
      </x:c>
      <x:c r="N508" s="60" t="n">
        <x:v>6.64</x:v>
      </x:c>
      <x:c r="O508" s="60" t="n">
        <x:v>3.9</x:v>
      </x:c>
      <x:c r="P508" s="60" t="n">
        <x:v>3.07</x:v>
      </x:c>
      <x:c r="Q508" s="60" t="n">
        <x:v>74.2</x:v>
      </x:c>
      <x:c r="R508" s="58" t="str">
        <x:v>X</x:v>
      </x:c>
      <x:c r="S508" s="60" t="n">
        <x:v>100</x:v>
      </x:c>
      <x:c r="T508" s="58" t="str">
        <x:v>IN TARGET BAND</x:v>
      </x:c>
      <x:c r="U508" s="58" t="str">
        <x:v>Yes</x:v>
      </x:c>
      <x:c r="V508" s="58" t="n">
        <x:v>1547</x:v>
      </x:c>
      <x:c r="W508" s="58" t="str">
        <x:v>Pasted text(59).txt</x:v>
      </x:c>
    </x:row>
    <x:row r="509">
      <x:c r="A509" s="58" t="str">
        <x:v>S15</x:v>
      </x:c>
      <x:c r="B509" s="58" t="str">
        <x:v>0.60 validation at 268.9 Hz</x:v>
      </x:c>
      <x:c r="C509" s="58" t="n">
        <x:v>0.6</x:v>
      </x:c>
      <x:c r="D509" s="58" t="n">
        <x:v>1</x:v>
      </x:c>
      <x:c r="E509" s="58" t="str">
        <x:v>PASS</x:v>
      </x:c>
      <x:c r="F509" s="58" t="n">
        <x:v>2</x:v>
      </x:c>
      <x:c r="G509" s="58" t="n">
        <x:v>8</x:v>
      </x:c>
      <x:c r="H509" s="59" t="n">
        <x:v>7</x:v>
      </x:c>
      <x:c r="I509" s="59" t="n">
        <x:v>0.62607</x:v>
      </x:c>
      <x:c r="J509" s="59" t="n">
        <x:v>0.62727</x:v>
      </x:c>
      <x:c r="K509" s="59" t="n">
        <x:v>0.34377</x:v>
      </x:c>
      <x:c r="L509" s="59" t="n">
        <x:v>0.14796</x:v>
      </x:c>
      <x:c r="M509" s="59" t="n">
        <x:v>0.73113</x:v>
      </x:c>
      <x:c r="N509" s="60" t="n">
        <x:v>4.35</x:v>
      </x:c>
      <x:c r="O509" s="60" t="n">
        <x:v>2.77</x:v>
      </x:c>
      <x:c r="P509" s="60" t="n">
        <x:v>2.16</x:v>
      </x:c>
      <x:c r="Q509" s="60" t="n">
        <x:v>72.9</x:v>
      </x:c>
      <x:c r="R509" s="58" t="str">
        <x:v>X</x:v>
      </x:c>
      <x:c r="S509" s="60" t="n">
        <x:v>100</x:v>
      </x:c>
      <x:c r="T509" s="58" t="str">
        <x:v>IN TARGET BAND</x:v>
      </x:c>
      <x:c r="U509" s="58" t="str">
        <x:v>Yes</x:v>
      </x:c>
      <x:c r="V509" s="58" t="n">
        <x:v>1548</x:v>
      </x:c>
      <x:c r="W509" s="58" t="str">
        <x:v>Pasted text(59).txt</x:v>
      </x:c>
    </x:row>
    <x:row r="510">
      <x:c r="A510" s="58" t="str">
        <x:v>S15</x:v>
      </x:c>
      <x:c r="B510" s="58" t="str">
        <x:v>0.60 validation at 268.9 Hz</x:v>
      </x:c>
      <x:c r="C510" s="58" t="n">
        <x:v>0.6</x:v>
      </x:c>
      <x:c r="D510" s="58" t="n">
        <x:v>1</x:v>
      </x:c>
      <x:c r="E510" s="58" t="str">
        <x:v>PASS</x:v>
      </x:c>
      <x:c r="F510" s="58" t="n">
        <x:v>2</x:v>
      </x:c>
      <x:c r="G510" s="58" t="n">
        <x:v>9</x:v>
      </x:c>
      <x:c r="H510" s="59" t="n">
        <x:v>7</x:v>
      </x:c>
      <x:c r="I510" s="59" t="n">
        <x:v>0.62317</x:v>
      </x:c>
      <x:c r="J510" s="59" t="n">
        <x:v>0.6321</x:v>
      </x:c>
      <x:c r="K510" s="59" t="n">
        <x:v>0.34036</x:v>
      </x:c>
      <x:c r="L510" s="59" t="n">
        <x:v>0.14833</x:v>
      </x:c>
      <x:c r="M510" s="59" t="n">
        <x:v>0.73324</x:v>
      </x:c>
      <x:c r="N510" s="60" t="n">
        <x:v>3.86</x:v>
      </x:c>
      <x:c r="O510" s="60" t="n">
        <x:v>0.22</x:v>
      </x:c>
      <x:c r="P510" s="60" t="n">
        <x:v>2.57</x:v>
      </x:c>
      <x:c r="Q510" s="60" t="n">
        <x:v>74.3</x:v>
      </x:c>
      <x:c r="R510" s="58" t="str">
        <x:v>X</x:v>
      </x:c>
      <x:c r="S510" s="60" t="n">
        <x:v>100</x:v>
      </x:c>
      <x:c r="T510" s="58" t="str">
        <x:v>IN TARGET BAND</x:v>
      </x:c>
      <x:c r="U510" s="58" t="str">
        <x:v>Yes</x:v>
      </x:c>
      <x:c r="V510" s="58" t="n">
        <x:v>1549</x:v>
      </x:c>
      <x:c r="W510" s="58" t="str">
        <x:v>Pasted text(59).txt</x:v>
      </x:c>
    </x:row>
    <x:row r="511">
      <x:c r="A511" s="58" t="str">
        <x:v>S15</x:v>
      </x:c>
      <x:c r="B511" s="58" t="str">
        <x:v>0.60 validation at 268.9 Hz</x:v>
      </x:c>
      <x:c r="C511" s="58" t="n">
        <x:v>0.6</x:v>
      </x:c>
      <x:c r="D511" s="58" t="n">
        <x:v>1</x:v>
      </x:c>
      <x:c r="E511" s="58" t="str">
        <x:v>PASS</x:v>
      </x:c>
      <x:c r="F511" s="58" t="n">
        <x:v>2</x:v>
      </x:c>
      <x:c r="G511" s="58" t="n">
        <x:v>10</x:v>
      </x:c>
      <x:c r="H511" s="59" t="n">
        <x:v>7</x:v>
      </x:c>
      <x:c r="I511" s="59" t="n">
        <x:v>0.6501</x:v>
      </x:c>
      <x:c r="J511" s="59" t="n">
        <x:v>0.64347</x:v>
      </x:c>
      <x:c r="K511" s="59" t="n">
        <x:v>0.34691</x:v>
      </x:c>
      <x:c r="L511" s="59" t="n">
        <x:v>0.14037</x:v>
      </x:c>
      <x:c r="M511" s="59" t="n">
        <x:v>0.74536</x:v>
      </x:c>
      <x:c r="N511" s="60" t="n">
        <x:v>8.35</x:v>
      </x:c>
      <x:c r="O511" s="60" t="n">
        <x:v>0.44</x:v>
      </x:c>
      <x:c r="P511" s="60" t="n">
        <x:v>2.05</x:v>
      </x:c>
      <x:c r="Q511" s="60" t="n">
        <x:v>74.5</x:v>
      </x:c>
      <x:c r="R511" s="58" t="str">
        <x:v>X</x:v>
      </x:c>
      <x:c r="S511" s="60" t="n">
        <x:v>100</x:v>
      </x:c>
      <x:c r="T511" s="58" t="str">
        <x:v>VALID</x:v>
      </x:c>
      <x:c r="U511" s="58" t="str">
        <x:v>No</x:v>
      </x:c>
      <x:c r="V511" s="58" t="n">
        <x:v>1550</x:v>
      </x:c>
      <x:c r="W511" s="58" t="str">
        <x:v>Pasted text(59).txt</x:v>
      </x:c>
    </x:row>
    <x:row r="512">
      <x:c r="A512" s="58" t="str">
        <x:v>S15</x:v>
      </x:c>
      <x:c r="B512" s="58" t="str">
        <x:v>0.60 validation at 268.9 Hz</x:v>
      </x:c>
      <x:c r="C512" s="58" t="n">
        <x:v>0.6</x:v>
      </x:c>
      <x:c r="D512" s="58" t="n">
        <x:v>2</x:v>
      </x:c>
      <x:c r="E512" s="58" t="str">
        <x:v>PASS</x:v>
      </x:c>
      <x:c r="F512" s="58" t="n">
        <x:v>1</x:v>
      </x:c>
      <x:c r="G512" s="58" t="n">
        <x:v>1</x:v>
      </x:c>
      <x:c r="H512" s="59" t="n">
        <x:v>7</x:v>
      </x:c>
      <x:c r="I512" s="59" t="n">
        <x:v>0.62318</x:v>
      </x:c>
      <x:c r="J512" s="59" t="n">
        <x:v>0.63027</x:v>
      </x:c>
      <x:c r="K512" s="59" t="n">
        <x:v>0.35412</x:v>
      </x:c>
      <x:c r="L512" s="59" t="n">
        <x:v>0.15103</x:v>
      </x:c>
      <x:c r="M512" s="59" t="n">
        <x:v>0.73963</x:v>
      </x:c>
      <x:c r="N512" s="60" t="n">
        <x:v>3.86</x:v>
      </x:c>
      <x:c r="O512" s="60" t="n">
        <x:v>1.36</x:v>
      </x:c>
      <x:c r="P512" s="60" t="n">
        <x:v>2.77</x:v>
      </x:c>
      <x:c r="Q512" s="60" t="n">
        <x:v>74</x:v>
      </x:c>
      <x:c r="R512" s="58" t="str">
        <x:v>X</x:v>
      </x:c>
      <x:c r="S512" s="60" t="n">
        <x:v>100</x:v>
      </x:c>
      <x:c r="T512" s="58" t="str">
        <x:v>IN TARGET BAND</x:v>
      </x:c>
      <x:c r="U512" s="58" t="str">
        <x:v>Yes</x:v>
      </x:c>
      <x:c r="V512" s="58" t="n">
        <x:v>1619</x:v>
      </x:c>
      <x:c r="W512" s="58" t="str">
        <x:v>Pasted text(59).txt</x:v>
      </x:c>
    </x:row>
    <x:row r="513">
      <x:c r="A513" s="58" t="str">
        <x:v>S15</x:v>
      </x:c>
      <x:c r="B513" s="58" t="str">
        <x:v>0.60 validation at 268.9 Hz</x:v>
      </x:c>
      <x:c r="C513" s="58" t="n">
        <x:v>0.6</x:v>
      </x:c>
      <x:c r="D513" s="58" t="n">
        <x:v>2</x:v>
      </x:c>
      <x:c r="E513" s="58" t="str">
        <x:v>PASS</x:v>
      </x:c>
      <x:c r="F513" s="58" t="n">
        <x:v>1</x:v>
      </x:c>
      <x:c r="G513" s="58" t="n">
        <x:v>2</x:v>
      </x:c>
      <x:c r="H513" s="59" t="n">
        <x:v>7</x:v>
      </x:c>
      <x:c r="I513" s="59" t="n">
        <x:v>0.61083</x:v>
      </x:c>
      <x:c r="J513" s="59" t="n">
        <x:v>0.61712</x:v>
      </x:c>
      <x:c r="K513" s="59" t="n">
        <x:v>0.33663</x:v>
      </x:c>
      <x:c r="L513" s="59" t="n">
        <x:v>0.14214</x:v>
      </x:c>
      <x:c r="M513" s="59" t="n">
        <x:v>0.71736</x:v>
      </x:c>
      <x:c r="N513" s="60" t="n">
        <x:v>1.81</x:v>
      </x:c>
      <x:c r="O513" s="60" t="n">
        <x:v>3.29</x:v>
      </x:c>
      <x:c r="P513" s="60" t="n">
        <x:v>3.83</x:v>
      </x:c>
      <x:c r="Q513" s="60" t="n">
        <x:v>72.2</x:v>
      </x:c>
      <x:c r="R513" s="58" t="str">
        <x:v>X</x:v>
      </x:c>
      <x:c r="S513" s="60" t="n">
        <x:v>100</x:v>
      </x:c>
      <x:c r="T513" s="58" t="str">
        <x:v>IN TARGET BAND</x:v>
      </x:c>
      <x:c r="U513" s="58" t="str">
        <x:v>Yes</x:v>
      </x:c>
      <x:c r="V513" s="58" t="n">
        <x:v>1620</x:v>
      </x:c>
      <x:c r="W513" s="58" t="str">
        <x:v>Pasted text(59).txt</x:v>
      </x:c>
    </x:row>
    <x:row r="514">
      <x:c r="A514" s="58" t="str">
        <x:v>S15</x:v>
      </x:c>
      <x:c r="B514" s="58" t="str">
        <x:v>0.60 validation at 268.9 Hz</x:v>
      </x:c>
      <x:c r="C514" s="58" t="n">
        <x:v>0.6</x:v>
      </x:c>
      <x:c r="D514" s="58" t="n">
        <x:v>2</x:v>
      </x:c>
      <x:c r="E514" s="58" t="str">
        <x:v>PASS</x:v>
      </x:c>
      <x:c r="F514" s="58" t="n">
        <x:v>1</x:v>
      </x:c>
      <x:c r="G514" s="58" t="n">
        <x:v>3</x:v>
      </x:c>
      <x:c r="H514" s="59" t="n">
        <x:v>7</x:v>
      </x:c>
      <x:c r="I514" s="59" t="n">
        <x:v>0.6299</x:v>
      </x:c>
      <x:c r="J514" s="59" t="n">
        <x:v>0.62751</x:v>
      </x:c>
      <x:c r="K514" s="59" t="n">
        <x:v>0.34255</x:v>
      </x:c>
      <x:c r="L514" s="59" t="n">
        <x:v>0.1695</x:v>
      </x:c>
      <x:c r="M514" s="59" t="n">
        <x:v>0.73541</x:v>
      </x:c>
      <x:c r="N514" s="60" t="n">
        <x:v>4.98</x:v>
      </x:c>
      <x:c r="O514" s="60" t="n">
        <x:v>4.64</x:v>
      </x:c>
      <x:c r="P514" s="60" t="n">
        <x:v>3.73</x:v>
      </x:c>
      <x:c r="Q514" s="60" t="n">
        <x:v>74.7</x:v>
      </x:c>
      <x:c r="R514" s="58" t="str">
        <x:v>X</x:v>
      </x:c>
      <x:c r="S514" s="60" t="n">
        <x:v>100</x:v>
      </x:c>
      <x:c r="T514" s="58" t="str">
        <x:v>IN TARGET BAND</x:v>
      </x:c>
      <x:c r="U514" s="58" t="str">
        <x:v>Yes</x:v>
      </x:c>
      <x:c r="V514" s="58" t="n">
        <x:v>1621</x:v>
      </x:c>
      <x:c r="W514" s="58" t="str">
        <x:v>Pasted text(59).txt</x:v>
      </x:c>
    </x:row>
    <x:row r="515">
      <x:c r="A515" s="58" t="str">
        <x:v>S15</x:v>
      </x:c>
      <x:c r="B515" s="58" t="str">
        <x:v>0.60 validation at 268.9 Hz</x:v>
      </x:c>
      <x:c r="C515" s="58" t="n">
        <x:v>0.6</x:v>
      </x:c>
      <x:c r="D515" s="58" t="n">
        <x:v>2</x:v>
      </x:c>
      <x:c r="E515" s="58" t="str">
        <x:v>PASS</x:v>
      </x:c>
      <x:c r="F515" s="58" t="n">
        <x:v>1</x:v>
      </x:c>
      <x:c r="G515" s="58" t="n">
        <x:v>4</x:v>
      </x:c>
      <x:c r="H515" s="59" t="n">
        <x:v>7</x:v>
      </x:c>
      <x:c r="I515" s="59" t="n">
        <x:v>0.63006</x:v>
      </x:c>
      <x:c r="J515" s="59" t="n">
        <x:v>0.62291</x:v>
      </x:c>
      <x:c r="K515" s="59" t="n">
        <x:v>0.34046</x:v>
      </x:c>
      <x:c r="L515" s="59" t="n">
        <x:v>0.16259</x:v>
      </x:c>
      <x:c r="M515" s="59" t="n">
        <x:v>0.72882</x:v>
      </x:c>
      <x:c r="N515" s="60" t="n">
        <x:v>5.01</x:v>
      </x:c>
      <x:c r="O515" s="60" t="n">
        <x:v>1.89</x:v>
      </x:c>
      <x:c r="P515" s="60" t="n">
        <x:v>3.17</x:v>
      </x:c>
      <x:c r="Q515" s="60" t="n">
        <x:v>73.7</x:v>
      </x:c>
      <x:c r="R515" s="58" t="str">
        <x:v>X</x:v>
      </x:c>
      <x:c r="S515" s="60" t="n">
        <x:v>100</x:v>
      </x:c>
      <x:c r="T515" s="58" t="str">
        <x:v>IN TARGET BAND</x:v>
      </x:c>
      <x:c r="U515" s="58" t="str">
        <x:v>Yes</x:v>
      </x:c>
      <x:c r="V515" s="58" t="n">
        <x:v>1622</x:v>
      </x:c>
      <x:c r="W515" s="58" t="str">
        <x:v>Pasted text(59).txt</x:v>
      </x:c>
    </x:row>
    <x:row r="516">
      <x:c r="A516" s="58" t="str">
        <x:v>S15</x:v>
      </x:c>
      <x:c r="B516" s="58" t="str">
        <x:v>0.60 validation at 268.9 Hz</x:v>
      </x:c>
      <x:c r="C516" s="58" t="n">
        <x:v>0.6</x:v>
      </x:c>
      <x:c r="D516" s="58" t="n">
        <x:v>2</x:v>
      </x:c>
      <x:c r="E516" s="58" t="str">
        <x:v>PASS</x:v>
      </x:c>
      <x:c r="F516" s="58" t="n">
        <x:v>1</x:v>
      </x:c>
      <x:c r="G516" s="58" t="n">
        <x:v>5</x:v>
      </x:c>
      <x:c r="H516" s="59" t="n">
        <x:v>7</x:v>
      </x:c>
      <x:c r="I516" s="59" t="n">
        <x:v>0.60054</x:v>
      </x:c>
      <x:c r="J516" s="59" t="n">
        <x:v>0.60074</x:v>
      </x:c>
      <x:c r="K516" s="59" t="n">
        <x:v>0.3277</x:v>
      </x:c>
      <x:c r="L516" s="59" t="n">
        <x:v>0.13855</x:v>
      </x:c>
      <x:c r="M516" s="59" t="n">
        <x:v>0.69847</x:v>
      </x:c>
      <x:c r="N516" s="60" t="n">
        <x:v>0.09</x:v>
      </x:c>
      <x:c r="O516" s="60" t="n">
        <x:v>1.84</x:v>
      </x:c>
      <x:c r="P516" s="60" t="n">
        <x:v>1.29</x:v>
      </x:c>
      <x:c r="Q516" s="60" t="n">
        <x:v>71.1</x:v>
      </x:c>
      <x:c r="R516" s="58" t="str">
        <x:v>X</x:v>
      </x:c>
      <x:c r="S516" s="60" t="n">
        <x:v>100</x:v>
      </x:c>
      <x:c r="T516" s="58" t="str">
        <x:v>IN TARGET BAND</x:v>
      </x:c>
      <x:c r="U516" s="58" t="str">
        <x:v>Yes</x:v>
      </x:c>
      <x:c r="V516" s="58" t="n">
        <x:v>1623</x:v>
      </x:c>
      <x:c r="W516" s="58" t="str">
        <x:v>Pasted text(59).txt</x:v>
      </x:c>
    </x:row>
    <x:row r="517">
      <x:c r="A517" s="58" t="str">
        <x:v>S15</x:v>
      </x:c>
      <x:c r="B517" s="58" t="str">
        <x:v>0.60 validation at 268.9 Hz</x:v>
      </x:c>
      <x:c r="C517" s="58" t="n">
        <x:v>0.6</x:v>
      </x:c>
      <x:c r="D517" s="58" t="n">
        <x:v>2</x:v>
      </x:c>
      <x:c r="E517" s="58" t="str">
        <x:v>PASS</x:v>
      </x:c>
      <x:c r="F517" s="58" t="n">
        <x:v>1</x:v>
      </x:c>
      <x:c r="G517" s="58" t="n">
        <x:v>6</x:v>
      </x:c>
      <x:c r="H517" s="59" t="n">
        <x:v>7</x:v>
      </x:c>
      <x:c r="I517" s="59" t="n">
        <x:v>0.62397</x:v>
      </x:c>
      <x:c r="J517" s="59" t="n">
        <x:v>0.62246</x:v>
      </x:c>
      <x:c r="K517" s="59" t="n">
        <x:v>0.31615</x:v>
      </x:c>
      <x:c r="L517" s="59" t="n">
        <x:v>0.1381</x:v>
      </x:c>
      <x:c r="M517" s="59" t="n">
        <x:v>0.7124</x:v>
      </x:c>
      <x:c r="N517" s="60" t="n">
        <x:v>3.99</x:v>
      </x:c>
      <x:c r="O517" s="60" t="n">
        <x:v>2.74</x:v>
      </x:c>
      <x:c r="P517" s="60" t="n">
        <x:v>2.23</x:v>
      </x:c>
      <x:c r="Q517" s="60" t="n">
        <x:v>72.7</x:v>
      </x:c>
      <x:c r="R517" s="58" t="str">
        <x:v>X</x:v>
      </x:c>
      <x:c r="S517" s="60" t="n">
        <x:v>100</x:v>
      </x:c>
      <x:c r="T517" s="58" t="str">
        <x:v>IN TARGET BAND</x:v>
      </x:c>
      <x:c r="U517" s="58" t="str">
        <x:v>Yes</x:v>
      </x:c>
      <x:c r="V517" s="58" t="n">
        <x:v>1624</x:v>
      </x:c>
      <x:c r="W517" s="58" t="str">
        <x:v>Pasted text(59).txt</x:v>
      </x:c>
    </x:row>
    <x:row r="518">
      <x:c r="A518" s="58" t="str">
        <x:v>S15</x:v>
      </x:c>
      <x:c r="B518" s="58" t="str">
        <x:v>0.60 validation at 268.9 Hz</x:v>
      </x:c>
      <x:c r="C518" s="58" t="n">
        <x:v>0.6</x:v>
      </x:c>
      <x:c r="D518" s="58" t="n">
        <x:v>2</x:v>
      </x:c>
      <x:c r="E518" s="58" t="str">
        <x:v>PASS</x:v>
      </x:c>
      <x:c r="F518" s="58" t="n">
        <x:v>1</x:v>
      </x:c>
      <x:c r="G518" s="58" t="n">
        <x:v>7</x:v>
      </x:c>
      <x:c r="H518" s="59" t="n">
        <x:v>7</x:v>
      </x:c>
      <x:c r="I518" s="59" t="n">
        <x:v>0.61798</x:v>
      </x:c>
      <x:c r="J518" s="59" t="n">
        <x:v>0.61226</x:v>
      </x:c>
      <x:c r="K518" s="59" t="n">
        <x:v>0.33993</x:v>
      </x:c>
      <x:c r="L518" s="59" t="n">
        <x:v>0.14007</x:v>
      </x:c>
      <x:c r="M518" s="59" t="n">
        <x:v>0.71468</x:v>
      </x:c>
      <x:c r="N518" s="60" t="n">
        <x:v>3</x:v>
      </x:c>
      <x:c r="O518" s="60" t="n">
        <x:v>1.36</x:v>
      </x:c>
      <x:c r="P518" s="60" t="n">
        <x:v>2.46</x:v>
      </x:c>
      <x:c r="Q518" s="60" t="n">
        <x:v>72.9</x:v>
      </x:c>
      <x:c r="R518" s="58" t="str">
        <x:v>X</x:v>
      </x:c>
      <x:c r="S518" s="60" t="n">
        <x:v>100</x:v>
      </x:c>
      <x:c r="T518" s="58" t="str">
        <x:v>IN TARGET BAND</x:v>
      </x:c>
      <x:c r="U518" s="58" t="str">
        <x:v>Yes</x:v>
      </x:c>
      <x:c r="V518" s="58" t="n">
        <x:v>1625</x:v>
      </x:c>
      <x:c r="W518" s="58" t="str">
        <x:v>Pasted text(59).txt</x:v>
      </x:c>
    </x:row>
    <x:row r="519">
      <x:c r="A519" s="58" t="str">
        <x:v>S15</x:v>
      </x:c>
      <x:c r="B519" s="58" t="str">
        <x:v>0.60 validation at 268.9 Hz</x:v>
      </x:c>
      <x:c r="C519" s="58" t="n">
        <x:v>0.6</x:v>
      </x:c>
      <x:c r="D519" s="58" t="n">
        <x:v>2</x:v>
      </x:c>
      <x:c r="E519" s="58" t="str">
        <x:v>PASS</x:v>
      </x:c>
      <x:c r="F519" s="58" t="n">
        <x:v>1</x:v>
      </x:c>
      <x:c r="G519" s="58" t="n">
        <x:v>8</x:v>
      </x:c>
      <x:c r="H519" s="59" t="n">
        <x:v>7</x:v>
      </x:c>
      <x:c r="I519" s="59" t="n">
        <x:v>0.61024</x:v>
      </x:c>
      <x:c r="J519" s="59" t="n">
        <x:v>0.60935</x:v>
      </x:c>
      <x:c r="K519" s="59" t="n">
        <x:v>0.33553</x:v>
      </x:c>
      <x:c r="L519" s="59" t="n">
        <x:v>0.14177</x:v>
      </x:c>
      <x:c r="M519" s="59" t="n">
        <x:v>0.71006</x:v>
      </x:c>
      <x:c r="N519" s="60" t="n">
        <x:v>1.71</x:v>
      </x:c>
      <x:c r="O519" s="60" t="n">
        <x:v>0.87</x:v>
      </x:c>
      <x:c r="P519" s="60" t="n">
        <x:v>0.82</x:v>
      </x:c>
      <x:c r="Q519" s="60" t="n">
        <x:v>72.3</x:v>
      </x:c>
      <x:c r="R519" s="58" t="str">
        <x:v>X</x:v>
      </x:c>
      <x:c r="S519" s="60" t="n">
        <x:v>100</x:v>
      </x:c>
      <x:c r="T519" s="58" t="str">
        <x:v>IN TARGET BAND</x:v>
      </x:c>
      <x:c r="U519" s="58" t="str">
        <x:v>Yes</x:v>
      </x:c>
      <x:c r="V519" s="58" t="n">
        <x:v>1626</x:v>
      </x:c>
      <x:c r="W519" s="58" t="str">
        <x:v>Pasted text(59).txt</x:v>
      </x:c>
    </x:row>
    <x:row r="520">
      <x:c r="A520" s="58" t="str">
        <x:v>S15</x:v>
      </x:c>
      <x:c r="B520" s="58" t="str">
        <x:v>0.60 validation at 268.9 Hz</x:v>
      </x:c>
      <x:c r="C520" s="58" t="n">
        <x:v>0.6</x:v>
      </x:c>
      <x:c r="D520" s="58" t="n">
        <x:v>2</x:v>
      </x:c>
      <x:c r="E520" s="58" t="str">
        <x:v>PASS</x:v>
      </x:c>
      <x:c r="F520" s="58" t="n">
        <x:v>1</x:v>
      </x:c>
      <x:c r="G520" s="58" t="n">
        <x:v>9</x:v>
      </x:c>
      <x:c r="H520" s="59" t="n">
        <x:v>7</x:v>
      </x:c>
      <x:c r="I520" s="59" t="n">
        <x:v>0.62442</x:v>
      </x:c>
      <x:c r="J520" s="59" t="n">
        <x:v>0.62741</x:v>
      </x:c>
      <x:c r="K520" s="59" t="n">
        <x:v>0.33066</x:v>
      </x:c>
      <x:c r="L520" s="59" t="n">
        <x:v>0.15244</x:v>
      </x:c>
      <x:c r="M520" s="59" t="n">
        <x:v>0.72578</x:v>
      </x:c>
      <x:c r="N520" s="60" t="n">
        <x:v>4.07</x:v>
      </x:c>
      <x:c r="O520" s="60" t="n">
        <x:v>7.05</x:v>
      </x:c>
      <x:c r="P520" s="60" t="n">
        <x:v>5.46</x:v>
      </x:c>
      <x:c r="Q520" s="60" t="n">
        <x:v>73.5</x:v>
      </x:c>
      <x:c r="R520" s="58" t="str">
        <x:v>X</x:v>
      </x:c>
      <x:c r="S520" s="60" t="n">
        <x:v>100</x:v>
      </x:c>
      <x:c r="T520" s="58" t="str">
        <x:v>IN TARGET BAND</x:v>
      </x:c>
      <x:c r="U520" s="58" t="str">
        <x:v>Yes</x:v>
      </x:c>
      <x:c r="V520" s="58" t="n">
        <x:v>1627</x:v>
      </x:c>
      <x:c r="W520" s="58" t="str">
        <x:v>Pasted text(59).txt</x:v>
      </x:c>
    </x:row>
    <x:row r="521">
      <x:c r="A521" s="58" t="str">
        <x:v>S15</x:v>
      </x:c>
      <x:c r="B521" s="58" t="str">
        <x:v>0.60 validation at 268.9 Hz</x:v>
      </x:c>
      <x:c r="C521" s="58" t="n">
        <x:v>0.6</x:v>
      </x:c>
      <x:c r="D521" s="58" t="n">
        <x:v>2</x:v>
      </x:c>
      <x:c r="E521" s="58" t="str">
        <x:v>PASS</x:v>
      </x:c>
      <x:c r="F521" s="58" t="n">
        <x:v>1</x:v>
      </x:c>
      <x:c r="G521" s="58" t="n">
        <x:v>10</x:v>
      </x:c>
      <x:c r="H521" s="59" t="n">
        <x:v>7</x:v>
      </x:c>
      <x:c r="I521" s="59" t="n">
        <x:v>0.63573</x:v>
      </x:c>
      <x:c r="J521" s="59" t="n">
        <x:v>0.62566</x:v>
      </x:c>
      <x:c r="K521" s="59" t="n">
        <x:v>0.33701</x:v>
      </x:c>
      <x:c r="L521" s="59" t="n">
        <x:v>0.14347</x:v>
      </x:c>
      <x:c r="M521" s="59" t="n">
        <x:v>0.72538</x:v>
      </x:c>
      <x:c r="N521" s="60" t="n">
        <x:v>5.95</x:v>
      </x:c>
      <x:c r="O521" s="60" t="n">
        <x:v>4.4</x:v>
      </x:c>
      <x:c r="P521" s="60" t="n">
        <x:v>5.6</x:v>
      </x:c>
      <x:c r="Q521" s="60" t="n">
        <x:v>73</x:v>
      </x:c>
      <x:c r="R521" s="58" t="str">
        <x:v>X</x:v>
      </x:c>
      <x:c r="S521" s="60" t="n">
        <x:v>100</x:v>
      </x:c>
      <x:c r="T521" s="58" t="str">
        <x:v>IN TARGET BAND</x:v>
      </x:c>
      <x:c r="U521" s="58" t="str">
        <x:v>Yes</x:v>
      </x:c>
      <x:c r="V521" s="58" t="n">
        <x:v>1628</x:v>
      </x:c>
      <x:c r="W521" s="58" t="str">
        <x:v>Pasted text(59).txt</x:v>
      </x:c>
    </x:row>
    <x:row r="522">
      <x:c r="A522" s="58" t="str">
        <x:v>S15</x:v>
      </x:c>
      <x:c r="B522" s="58" t="str">
        <x:v>0.60 validation at 268.9 Hz</x:v>
      </x:c>
      <x:c r="C522" s="58" t="n">
        <x:v>0.6</x:v>
      </x:c>
      <x:c r="D522" s="58" t="n">
        <x:v>3</x:v>
      </x:c>
      <x:c r="E522" s="58" t="str">
        <x:v>PASS</x:v>
      </x:c>
      <x:c r="F522" s="58" t="n">
        <x:v>1</x:v>
      </x:c>
      <x:c r="G522" s="58" t="n">
        <x:v>1</x:v>
      </x:c>
      <x:c r="H522" s="59" t="n">
        <x:v>7</x:v>
      </x:c>
      <x:c r="I522" s="59" t="n">
        <x:v>0.62203</x:v>
      </x:c>
      <x:c r="J522" s="59" t="n">
        <x:v>0.62144</x:v>
      </x:c>
      <x:c r="K522" s="59" t="n">
        <x:v>0.35313</x:v>
      </x:c>
      <x:c r="L522" s="59" t="n">
        <x:v>0.12967</x:v>
      </x:c>
      <x:c r="M522" s="59" t="n">
        <x:v>0.72721</x:v>
      </x:c>
      <x:c r="N522" s="60" t="n">
        <x:v>3.67</x:v>
      </x:c>
      <x:c r="O522" s="60" t="n">
        <x:v>3.33</x:v>
      </x:c>
      <x:c r="P522" s="60" t="n">
        <x:v>2.39</x:v>
      </x:c>
      <x:c r="Q522" s="60" t="n">
        <x:v>73.5</x:v>
      </x:c>
      <x:c r="R522" s="58" t="str">
        <x:v>X</x:v>
      </x:c>
      <x:c r="S522" s="60" t="n">
        <x:v>100</x:v>
      </x:c>
      <x:c r="T522" s="58" t="str">
        <x:v>IN TARGET BAND</x:v>
      </x:c>
      <x:c r="U522" s="58" t="str">
        <x:v>Yes</x:v>
      </x:c>
      <x:c r="V522" s="58" t="n">
        <x:v>1697</x:v>
      </x:c>
      <x:c r="W522" s="58" t="str">
        <x:v>Pasted text(59).txt</x:v>
      </x:c>
    </x:row>
    <x:row r="523">
      <x:c r="A523" s="58" t="str">
        <x:v>S15</x:v>
      </x:c>
      <x:c r="B523" s="58" t="str">
        <x:v>0.60 validation at 268.9 Hz</x:v>
      </x:c>
      <x:c r="C523" s="58" t="n">
        <x:v>0.6</x:v>
      </x:c>
      <x:c r="D523" s="58" t="n">
        <x:v>3</x:v>
      </x:c>
      <x:c r="E523" s="58" t="str">
        <x:v>PASS</x:v>
      </x:c>
      <x:c r="F523" s="58" t="n">
        <x:v>1</x:v>
      </x:c>
      <x:c r="G523" s="58" t="n">
        <x:v>2</x:v>
      </x:c>
      <x:c r="H523" s="59" t="n">
        <x:v>7</x:v>
      </x:c>
      <x:c r="I523" s="59" t="n">
        <x:v>0.64257</x:v>
      </x:c>
      <x:c r="J523" s="59" t="n">
        <x:v>0.64444</x:v>
      </x:c>
      <x:c r="K523" s="59" t="n">
        <x:v>0.3277</x:v>
      </x:c>
      <x:c r="L523" s="59" t="n">
        <x:v>0.16366</x:v>
      </x:c>
      <x:c r="M523" s="59" t="n">
        <x:v>0.7417</x:v>
      </x:c>
      <x:c r="N523" s="60" t="n">
        <x:v>7.09</x:v>
      </x:c>
      <x:c r="O523" s="60" t="n">
        <x:v>2.85</x:v>
      </x:c>
      <x:c r="P523" s="60" t="n">
        <x:v>2.37</x:v>
      </x:c>
      <x:c r="Q523" s="60" t="n">
        <x:v>74.3</x:v>
      </x:c>
      <x:c r="R523" s="58" t="str">
        <x:v>X</x:v>
      </x:c>
      <x:c r="S523" s="60" t="n">
        <x:v>100</x:v>
      </x:c>
      <x:c r="T523" s="58" t="str">
        <x:v>IN TARGET BAND</x:v>
      </x:c>
      <x:c r="U523" s="58" t="str">
        <x:v>Yes</x:v>
      </x:c>
      <x:c r="V523" s="58" t="n">
        <x:v>1698</x:v>
      </x:c>
      <x:c r="W523" s="58" t="str">
        <x:v>Pasted text(59).txt</x:v>
      </x:c>
    </x:row>
    <x:row r="524">
      <x:c r="A524" s="58" t="str">
        <x:v>S15</x:v>
      </x:c>
      <x:c r="B524" s="58" t="str">
        <x:v>0.60 validation at 268.9 Hz</x:v>
      </x:c>
      <x:c r="C524" s="58" t="n">
        <x:v>0.6</x:v>
      </x:c>
      <x:c r="D524" s="58" t="n">
        <x:v>3</x:v>
      </x:c>
      <x:c r="E524" s="58" t="str">
        <x:v>PASS</x:v>
      </x:c>
      <x:c r="F524" s="58" t="n">
        <x:v>1</x:v>
      </x:c>
      <x:c r="G524" s="58" t="n">
        <x:v>3</x:v>
      </x:c>
      <x:c r="H524" s="59" t="n">
        <x:v>7</x:v>
      </x:c>
      <x:c r="I524" s="59" t="n">
        <x:v>0.61961</x:v>
      </x:c>
      <x:c r="J524" s="59" t="n">
        <x:v>0.61428</x:v>
      </x:c>
      <x:c r="K524" s="59" t="n">
        <x:v>0.325</x:v>
      </x:c>
      <x:c r="L524" s="59" t="n">
        <x:v>0.14317</x:v>
      </x:c>
      <x:c r="M524" s="59" t="n">
        <x:v>0.70985</x:v>
      </x:c>
      <x:c r="N524" s="60" t="n">
        <x:v>3.27</x:v>
      </x:c>
      <x:c r="O524" s="60" t="n">
        <x:v>0.57</x:v>
      </x:c>
      <x:c r="P524" s="60" t="n">
        <x:v>1.85</x:v>
      </x:c>
      <x:c r="Q524" s="60" t="n">
        <x:v>71.7</x:v>
      </x:c>
      <x:c r="R524" s="58" t="str">
        <x:v>X</x:v>
      </x:c>
      <x:c r="S524" s="60" t="n">
        <x:v>100</x:v>
      </x:c>
      <x:c r="T524" s="58" t="str">
        <x:v>IN TARGET BAND</x:v>
      </x:c>
      <x:c r="U524" s="58" t="str">
        <x:v>Yes</x:v>
      </x:c>
      <x:c r="V524" s="58" t="n">
        <x:v>1699</x:v>
      </x:c>
      <x:c r="W524" s="58" t="str">
        <x:v>Pasted text(59).txt</x:v>
      </x:c>
    </x:row>
    <x:row r="525">
      <x:c r="A525" s="58" t="str">
        <x:v>S15</x:v>
      </x:c>
      <x:c r="B525" s="58" t="str">
        <x:v>0.60 validation at 268.9 Hz</x:v>
      </x:c>
      <x:c r="C525" s="58" t="n">
        <x:v>0.6</x:v>
      </x:c>
      <x:c r="D525" s="58" t="n">
        <x:v>3</x:v>
      </x:c>
      <x:c r="E525" s="58" t="str">
        <x:v>PASS</x:v>
      </x:c>
      <x:c r="F525" s="58" t="n">
        <x:v>1</x:v>
      </x:c>
      <x:c r="G525" s="58" t="n">
        <x:v>4</x:v>
      </x:c>
      <x:c r="H525" s="59" t="n">
        <x:v>7</x:v>
      </x:c>
      <x:c r="I525" s="59" t="n">
        <x:v>0.62997</x:v>
      </x:c>
      <x:c r="J525" s="59" t="n">
        <x:v>0.6226</x:v>
      </x:c>
      <x:c r="K525" s="59" t="n">
        <x:v>0.32898</x:v>
      </x:c>
      <x:c r="L525" s="59" t="n">
        <x:v>0.14788</x:v>
      </x:c>
      <x:c r="M525" s="59" t="n">
        <x:v>0.72087</x:v>
      </x:c>
      <x:c r="N525" s="60" t="n">
        <x:v>5</x:v>
      </x:c>
      <x:c r="O525" s="60" t="n">
        <x:v>6.37</x:v>
      </x:c>
      <x:c r="P525" s="60" t="n">
        <x:v>6.21</x:v>
      </x:c>
      <x:c r="Q525" s="60" t="n">
        <x:v>73.5</x:v>
      </x:c>
      <x:c r="R525" s="58" t="str">
        <x:v>X</x:v>
      </x:c>
      <x:c r="S525" s="60" t="n">
        <x:v>100</x:v>
      </x:c>
      <x:c r="T525" s="58" t="str">
        <x:v>IN TARGET BAND</x:v>
      </x:c>
      <x:c r="U525" s="58" t="str">
        <x:v>Yes</x:v>
      </x:c>
      <x:c r="V525" s="58" t="n">
        <x:v>1700</x:v>
      </x:c>
      <x:c r="W525" s="58" t="str">
        <x:v>Pasted text(59).txt</x:v>
      </x:c>
    </x:row>
    <x:row r="526">
      <x:c r="A526" s="58" t="str">
        <x:v>S15</x:v>
      </x:c>
      <x:c r="B526" s="58" t="str">
        <x:v>0.60 validation at 268.9 Hz</x:v>
      </x:c>
      <x:c r="C526" s="58" t="n">
        <x:v>0.6</x:v>
      </x:c>
      <x:c r="D526" s="58" t="n">
        <x:v>3</x:v>
      </x:c>
      <x:c r="E526" s="58" t="str">
        <x:v>PASS</x:v>
      </x:c>
      <x:c r="F526" s="58" t="n">
        <x:v>1</x:v>
      </x:c>
      <x:c r="G526" s="58" t="n">
        <x:v>5</x:v>
      </x:c>
      <x:c r="H526" s="59" t="n">
        <x:v>7</x:v>
      </x:c>
      <x:c r="I526" s="59" t="n">
        <x:v>0.62302</x:v>
      </x:c>
      <x:c r="J526" s="59" t="n">
        <x:v>0.6189</x:v>
      </x:c>
      <x:c r="K526" s="59" t="n">
        <x:v>0.33934</x:v>
      </x:c>
      <x:c r="L526" s="59" t="n">
        <x:v>0.13659</x:v>
      </x:c>
      <x:c r="M526" s="59" t="n">
        <x:v>0.71941</x:v>
      </x:c>
      <x:c r="N526" s="60" t="n">
        <x:v>3.84</x:v>
      </x:c>
      <x:c r="O526" s="60" t="n">
        <x:v>3.46</x:v>
      </x:c>
      <x:c r="P526" s="60" t="n">
        <x:v>3.39</x:v>
      </x:c>
      <x:c r="Q526" s="60" t="n">
        <x:v>73.7</x:v>
      </x:c>
      <x:c r="R526" s="58" t="str">
        <x:v>X</x:v>
      </x:c>
      <x:c r="S526" s="60" t="n">
        <x:v>100</x:v>
      </x:c>
      <x:c r="T526" s="58" t="str">
        <x:v>IN TARGET BAND</x:v>
      </x:c>
      <x:c r="U526" s="58" t="str">
        <x:v>Yes</x:v>
      </x:c>
      <x:c r="V526" s="58" t="n">
        <x:v>1701</x:v>
      </x:c>
      <x:c r="W526" s="58" t="str">
        <x:v>Pasted text(59).txt</x:v>
      </x:c>
    </x:row>
    <x:row r="527">
      <x:c r="A527" s="58" t="str">
        <x:v>S15</x:v>
      </x:c>
      <x:c r="B527" s="58" t="str">
        <x:v>0.60 validation at 268.9 Hz</x:v>
      </x:c>
      <x:c r="C527" s="58" t="n">
        <x:v>0.6</x:v>
      </x:c>
      <x:c r="D527" s="58" t="n">
        <x:v>3</x:v>
      </x:c>
      <x:c r="E527" s="58" t="str">
        <x:v>PASS</x:v>
      </x:c>
      <x:c r="F527" s="58" t="n">
        <x:v>1</x:v>
      </x:c>
      <x:c r="G527" s="58" t="n">
        <x:v>6</x:v>
      </x:c>
      <x:c r="H527" s="59" t="n">
        <x:v>7</x:v>
      </x:c>
      <x:c r="I527" s="59" t="n">
        <x:v>0.62213</x:v>
      </x:c>
      <x:c r="J527" s="59" t="n">
        <x:v>0.61749</x:v>
      </x:c>
      <x:c r="K527" s="59" t="n">
        <x:v>0.33035</x:v>
      </x:c>
      <x:c r="L527" s="59" t="n">
        <x:v>0.14753</x:v>
      </x:c>
      <x:c r="M527" s="59" t="n">
        <x:v>0.71655</x:v>
      </x:c>
      <x:c r="N527" s="60" t="n">
        <x:v>3.69</x:v>
      </x:c>
      <x:c r="O527" s="60" t="n">
        <x:v>3.4</x:v>
      </x:c>
      <x:c r="P527" s="60" t="n">
        <x:v>3.49</x:v>
      </x:c>
      <x:c r="Q527" s="60" t="n">
        <x:v>73</x:v>
      </x:c>
      <x:c r="R527" s="58" t="str">
        <x:v>X</x:v>
      </x:c>
      <x:c r="S527" s="60" t="n">
        <x:v>100</x:v>
      </x:c>
      <x:c r="T527" s="58" t="str">
        <x:v>IN TARGET BAND</x:v>
      </x:c>
      <x:c r="U527" s="58" t="str">
        <x:v>Yes</x:v>
      </x:c>
      <x:c r="V527" s="58" t="n">
        <x:v>1702</x:v>
      </x:c>
      <x:c r="W527" s="58" t="str">
        <x:v>Pasted text(59).txt</x:v>
      </x:c>
    </x:row>
    <x:row r="528">
      <x:c r="A528" s="58" t="str">
        <x:v>S15</x:v>
      </x:c>
      <x:c r="B528" s="58" t="str">
        <x:v>0.60 validation at 268.9 Hz</x:v>
      </x:c>
      <x:c r="C528" s="58" t="n">
        <x:v>0.6</x:v>
      </x:c>
      <x:c r="D528" s="58" t="n">
        <x:v>3</x:v>
      </x:c>
      <x:c r="E528" s="58" t="str">
        <x:v>PASS</x:v>
      </x:c>
      <x:c r="F528" s="58" t="n">
        <x:v>1</x:v>
      </x:c>
      <x:c r="G528" s="58" t="n">
        <x:v>7</x:v>
      </x:c>
      <x:c r="H528" s="59" t="n">
        <x:v>7</x:v>
      </x:c>
      <x:c r="I528" s="59" t="n">
        <x:v>0.63074</x:v>
      </x:c>
      <x:c r="J528" s="59" t="n">
        <x:v>0.6327</x:v>
      </x:c>
      <x:c r="K528" s="59" t="n">
        <x:v>0.32418</x:v>
      </x:c>
      <x:c r="L528" s="59" t="n">
        <x:v>0.15946</x:v>
      </x:c>
      <x:c r="M528" s="59" t="n">
        <x:v>0.72915</x:v>
      </x:c>
      <x:c r="N528" s="60" t="n">
        <x:v>5.12</x:v>
      </x:c>
      <x:c r="O528" s="60" t="n">
        <x:v>1.12</x:v>
      </x:c>
      <x:c r="P528" s="60" t="n">
        <x:v>1.25</x:v>
      </x:c>
      <x:c r="Q528" s="60" t="n">
        <x:v>74.5</x:v>
      </x:c>
      <x:c r="R528" s="58" t="str">
        <x:v>X</x:v>
      </x:c>
      <x:c r="S528" s="60" t="n">
        <x:v>100</x:v>
      </x:c>
      <x:c r="T528" s="58" t="str">
        <x:v>IN TARGET BAND</x:v>
      </x:c>
      <x:c r="U528" s="58" t="str">
        <x:v>Yes</x:v>
      </x:c>
      <x:c r="V528" s="58" t="n">
        <x:v>1703</x:v>
      </x:c>
      <x:c r="W528" s="58" t="str">
        <x:v>Pasted text(59).txt</x:v>
      </x:c>
    </x:row>
    <x:row r="529">
      <x:c r="A529" s="58" t="str">
        <x:v>S15</x:v>
      </x:c>
      <x:c r="B529" s="58" t="str">
        <x:v>0.60 validation at 268.9 Hz</x:v>
      </x:c>
      <x:c r="C529" s="58" t="n">
        <x:v>0.6</x:v>
      </x:c>
      <x:c r="D529" s="58" t="n">
        <x:v>3</x:v>
      </x:c>
      <x:c r="E529" s="58" t="str">
        <x:v>PASS</x:v>
      </x:c>
      <x:c r="F529" s="58" t="n">
        <x:v>1</x:v>
      </x:c>
      <x:c r="G529" s="58" t="n">
        <x:v>8</x:v>
      </x:c>
      <x:c r="H529" s="59" t="n">
        <x:v>7</x:v>
      </x:c>
      <x:c r="I529" s="59" t="n">
        <x:v>0.61334</x:v>
      </x:c>
      <x:c r="J529" s="59" t="n">
        <x:v>0.61231</x:v>
      </x:c>
      <x:c r="K529" s="59" t="n">
        <x:v>0.34882</x:v>
      </x:c>
      <x:c r="L529" s="59" t="n">
        <x:v>0.12271</x:v>
      </x:c>
      <x:c r="M529" s="59" t="n">
        <x:v>0.71606</x:v>
      </x:c>
      <x:c r="N529" s="60" t="n">
        <x:v>2.22</x:v>
      </x:c>
      <x:c r="O529" s="60" t="n">
        <x:v>1.28</x:v>
      </x:c>
      <x:c r="P529" s="60" t="n">
        <x:v>1.12</x:v>
      </x:c>
      <x:c r="Q529" s="60" t="n">
        <x:v>72.4</x:v>
      </x:c>
      <x:c r="R529" s="58" t="str">
        <x:v>X</x:v>
      </x:c>
      <x:c r="S529" s="60" t="n">
        <x:v>100</x:v>
      </x:c>
      <x:c r="T529" s="58" t="str">
        <x:v>IN TARGET BAND</x:v>
      </x:c>
      <x:c r="U529" s="58" t="str">
        <x:v>Yes</x:v>
      </x:c>
      <x:c r="V529" s="58" t="n">
        <x:v>1704</x:v>
      </x:c>
      <x:c r="W529" s="58" t="str">
        <x:v>Pasted text(59).txt</x:v>
      </x:c>
    </x:row>
    <x:row r="530">
      <x:c r="A530" s="58" t="str">
        <x:v>S15</x:v>
      </x:c>
      <x:c r="B530" s="58" t="str">
        <x:v>0.60 validation at 268.9 Hz</x:v>
      </x:c>
      <x:c r="C530" s="58" t="n">
        <x:v>0.6</x:v>
      </x:c>
      <x:c r="D530" s="58" t="n">
        <x:v>3</x:v>
      </x:c>
      <x:c r="E530" s="58" t="str">
        <x:v>PASS</x:v>
      </x:c>
      <x:c r="F530" s="58" t="n">
        <x:v>1</x:v>
      </x:c>
      <x:c r="G530" s="58" t="n">
        <x:v>9</x:v>
      </x:c>
      <x:c r="H530" s="59" t="n">
        <x:v>7</x:v>
      </x:c>
      <x:c r="I530" s="59" t="n">
        <x:v>0.61497</x:v>
      </x:c>
      <x:c r="J530" s="59" t="n">
        <x:v>0.60757</x:v>
      </x:c>
      <x:c r="K530" s="59" t="n">
        <x:v>0.31986</x:v>
      </x:c>
      <x:c r="L530" s="59" t="n">
        <x:v>0.15799</x:v>
      </x:c>
      <x:c r="M530" s="59" t="n">
        <x:v>0.70508</x:v>
      </x:c>
      <x:c r="N530" s="60" t="n">
        <x:v>2.5</x:v>
      </x:c>
      <x:c r="O530" s="60" t="n">
        <x:v>1.94</x:v>
      </x:c>
      <x:c r="P530" s="60" t="n">
        <x:v>3.32</x:v>
      </x:c>
      <x:c r="Q530" s="60" t="n">
        <x:v>71.1</x:v>
      </x:c>
      <x:c r="R530" s="58" t="str">
        <x:v>X</x:v>
      </x:c>
      <x:c r="S530" s="60" t="n">
        <x:v>100</x:v>
      </x:c>
      <x:c r="T530" s="58" t="str">
        <x:v>IN TARGET BAND</x:v>
      </x:c>
      <x:c r="U530" s="58" t="str">
        <x:v>Yes</x:v>
      </x:c>
      <x:c r="V530" s="58" t="n">
        <x:v>1705</x:v>
      </x:c>
      <x:c r="W530" s="58" t="str">
        <x:v>Pasted text(59).txt</x:v>
      </x:c>
    </x:row>
    <x:row r="531">
      <x:c r="A531" s="58" t="str">
        <x:v>S15</x:v>
      </x:c>
      <x:c r="B531" s="58" t="str">
        <x:v>0.60 validation at 268.9 Hz</x:v>
      </x:c>
      <x:c r="C531" s="58" t="n">
        <x:v>0.6</x:v>
      </x:c>
      <x:c r="D531" s="58" t="n">
        <x:v>3</x:v>
      </x:c>
      <x:c r="E531" s="58" t="str">
        <x:v>PASS</x:v>
      </x:c>
      <x:c r="F531" s="58" t="n">
        <x:v>1</x:v>
      </x:c>
      <x:c r="G531" s="58" t="n">
        <x:v>10</x:v>
      </x:c>
      <x:c r="H531" s="59" t="n">
        <x:v>7</x:v>
      </x:c>
      <x:c r="I531" s="59" t="n">
        <x:v>0.62016</x:v>
      </x:c>
      <x:c r="J531" s="59" t="n">
        <x:v>0.62361</x:v>
      </x:c>
      <x:c r="K531" s="59" t="n">
        <x:v>0.31416</x:v>
      </x:c>
      <x:c r="L531" s="59" t="n">
        <x:v>0.13208</x:v>
      </x:c>
      <x:c r="M531" s="59" t="n">
        <x:v>0.71103</x:v>
      </x:c>
      <x:c r="N531" s="60" t="n">
        <x:v>3.36</x:v>
      </x:c>
      <x:c r="O531" s="60" t="n">
        <x:v>2.48</x:v>
      </x:c>
      <x:c r="P531" s="60" t="n">
        <x:v>2.54</x:v>
      </x:c>
      <x:c r="Q531" s="60" t="n">
        <x:v>73.6</x:v>
      </x:c>
      <x:c r="R531" s="58" t="str">
        <x:v>X</x:v>
      </x:c>
      <x:c r="S531" s="60" t="n">
        <x:v>100</x:v>
      </x:c>
      <x:c r="T531" s="58" t="str">
        <x:v>IN TARGET BAND</x:v>
      </x:c>
      <x:c r="U531" s="58" t="str">
        <x:v>Yes</x:v>
      </x:c>
      <x:c r="V531" s="58" t="n">
        <x:v>1706</x:v>
      </x:c>
      <x:c r="W531" s="58" t="str">
        <x:v>Pasted text(59).txt</x:v>
      </x:c>
    </x:row>
    <x:row r="532">
      <x:c r="A532" s="58" t="str">
        <x:v>S15</x:v>
      </x:c>
      <x:c r="B532" s="58" t="str">
        <x:v>0.60 validation at 268.9 Hz</x:v>
      </x:c>
      <x:c r="C532" s="58" t="n">
        <x:v>0.6</x:v>
      </x:c>
      <x:c r="D532" s="58" t="n">
        <x:v>4</x:v>
      </x:c>
      <x:c r="E532" s="58" t="str">
        <x:v>PASS</x:v>
      </x:c>
      <x:c r="F532" s="58" t="n">
        <x:v>1</x:v>
      </x:c>
      <x:c r="G532" s="58" t="n">
        <x:v>1</x:v>
      </x:c>
      <x:c r="H532" s="59" t="n">
        <x:v>6.75</x:v>
      </x:c>
      <x:c r="I532" s="59" t="n">
        <x:v>0.59392</x:v>
      </x:c>
      <x:c r="J532" s="59" t="n">
        <x:v>0.59607</x:v>
      </x:c>
      <x:c r="K532" s="59" t="n">
        <x:v>0.32383</x:v>
      </x:c>
      <x:c r="L532" s="59" t="n">
        <x:v>0.15593</x:v>
      </x:c>
      <x:c r="M532" s="59" t="n">
        <x:v>0.6965</x:v>
      </x:c>
      <x:c r="N532" s="60" t="n">
        <x:v>-1.01</x:v>
      </x:c>
      <x:c r="O532" s="60" t="n">
        <x:v>1.45</x:v>
      </x:c>
      <x:c r="P532" s="60" t="n">
        <x:v>1.55</x:v>
      </x:c>
      <x:c r="Q532" s="60" t="n">
        <x:v>68.7</x:v>
      </x:c>
      <x:c r="R532" s="58" t="str">
        <x:v>X</x:v>
      </x:c>
      <x:c r="S532" s="60" t="n">
        <x:v>100</x:v>
      </x:c>
      <x:c r="T532" s="58" t="str">
        <x:v>IN TARGET BAND</x:v>
      </x:c>
      <x:c r="U532" s="58" t="str">
        <x:v>Yes</x:v>
      </x:c>
      <x:c r="V532" s="58" t="n">
        <x:v>1776</x:v>
      </x:c>
      <x:c r="W532" s="58" t="str">
        <x:v>Pasted text(59).txt</x:v>
      </x:c>
    </x:row>
    <x:row r="533">
      <x:c r="A533" s="58" t="str">
        <x:v>S15</x:v>
      </x:c>
      <x:c r="B533" s="58" t="str">
        <x:v>0.60 validation at 268.9 Hz</x:v>
      </x:c>
      <x:c r="C533" s="58" t="n">
        <x:v>0.6</x:v>
      </x:c>
      <x:c r="D533" s="58" t="n">
        <x:v>4</x:v>
      </x:c>
      <x:c r="E533" s="58" t="str">
        <x:v>PASS</x:v>
      </x:c>
      <x:c r="F533" s="58" t="n">
        <x:v>1</x:v>
      </x:c>
      <x:c r="G533" s="58" t="n">
        <x:v>2</x:v>
      </x:c>
      <x:c r="H533" s="59" t="n">
        <x:v>6.75</x:v>
      </x:c>
      <x:c r="I533" s="59" t="n">
        <x:v>0.5945</x:v>
      </x:c>
      <x:c r="J533" s="59" t="n">
        <x:v>0.59378</x:v>
      </x:c>
      <x:c r="K533" s="59" t="n">
        <x:v>0.33256</x:v>
      </x:c>
      <x:c r="L533" s="59" t="n">
        <x:v>0.14111</x:v>
      </x:c>
      <x:c r="M533" s="59" t="n">
        <x:v>0.69569</x:v>
      </x:c>
      <x:c r="N533" s="60" t="n">
        <x:v>-0.92</x:v>
      </x:c>
      <x:c r="O533" s="60" t="n">
        <x:v>1.08</x:v>
      </x:c>
      <x:c r="P533" s="60" t="n">
        <x:v>0.91</x:v>
      </x:c>
      <x:c r="Q533" s="60" t="n">
        <x:v>67.9</x:v>
      </x:c>
      <x:c r="R533" s="58" t="str">
        <x:v>X</x:v>
      </x:c>
      <x:c r="S533" s="60" t="n">
        <x:v>100</x:v>
      </x:c>
      <x:c r="T533" s="58" t="str">
        <x:v>IN TARGET BAND</x:v>
      </x:c>
      <x:c r="U533" s="58" t="str">
        <x:v>Yes</x:v>
      </x:c>
      <x:c r="V533" s="58" t="n">
        <x:v>1777</x:v>
      </x:c>
      <x:c r="W533" s="58" t="str">
        <x:v>Pasted text(59).txt</x:v>
      </x:c>
    </x:row>
    <x:row r="534">
      <x:c r="A534" s="58" t="str">
        <x:v>S15</x:v>
      </x:c>
      <x:c r="B534" s="58" t="str">
        <x:v>0.60 validation at 268.9 Hz</x:v>
      </x:c>
      <x:c r="C534" s="58" t="n">
        <x:v>0.6</x:v>
      </x:c>
      <x:c r="D534" s="58" t="n">
        <x:v>4</x:v>
      </x:c>
      <x:c r="E534" s="58" t="str">
        <x:v>PASS</x:v>
      </x:c>
      <x:c r="F534" s="58" t="n">
        <x:v>1</x:v>
      </x:c>
      <x:c r="G534" s="58" t="n">
        <x:v>3</x:v>
      </x:c>
      <x:c r="H534" s="59" t="n">
        <x:v>6.75</x:v>
      </x:c>
      <x:c r="I534" s="59" t="n">
        <x:v>0.60523</x:v>
      </x:c>
      <x:c r="J534" s="59" t="n">
        <x:v>0.60815</x:v>
      </x:c>
      <x:c r="K534" s="59" t="n">
        <x:v>0.33262</x:v>
      </x:c>
      <x:c r="L534" s="59" t="n">
        <x:v>0.14328</x:v>
      </x:c>
      <x:c r="M534" s="59" t="n">
        <x:v>0.70833</x:v>
      </x:c>
      <x:c r="N534" s="60" t="n">
        <x:v>0.87</x:v>
      </x:c>
      <x:c r="O534" s="60" t="n">
        <x:v>3.6</x:v>
      </x:c>
      <x:c r="P534" s="60" t="n">
        <x:v>3.16</x:v>
      </x:c>
      <x:c r="Q534" s="60" t="n">
        <x:v>69</x:v>
      </x:c>
      <x:c r="R534" s="58" t="str">
        <x:v>X</x:v>
      </x:c>
      <x:c r="S534" s="60" t="n">
        <x:v>100</x:v>
      </x:c>
      <x:c r="T534" s="58" t="str">
        <x:v>IN TARGET BAND</x:v>
      </x:c>
      <x:c r="U534" s="58" t="str">
        <x:v>Yes</x:v>
      </x:c>
      <x:c r="V534" s="58" t="n">
        <x:v>1778</x:v>
      </x:c>
      <x:c r="W534" s="58" t="str">
        <x:v>Pasted text(59).txt</x:v>
      </x:c>
    </x:row>
    <x:row r="535">
      <x:c r="A535" s="58" t="str">
        <x:v>S15</x:v>
      </x:c>
      <x:c r="B535" s="58" t="str">
        <x:v>0.60 validation at 268.9 Hz</x:v>
      </x:c>
      <x:c r="C535" s="58" t="n">
        <x:v>0.6</x:v>
      </x:c>
      <x:c r="D535" s="58" t="n">
        <x:v>4</x:v>
      </x:c>
      <x:c r="E535" s="58" t="str">
        <x:v>PASS</x:v>
      </x:c>
      <x:c r="F535" s="58" t="n">
        <x:v>1</x:v>
      </x:c>
      <x:c r="G535" s="58" t="n">
        <x:v>4</x:v>
      </x:c>
      <x:c r="H535" s="59" t="n">
        <x:v>6.75</x:v>
      </x:c>
      <x:c r="I535" s="59" t="n">
        <x:v>0.58371</x:v>
      </x:c>
      <x:c r="J535" s="59" t="n">
        <x:v>0.5808</x:v>
      </x:c>
      <x:c r="K535" s="59" t="n">
        <x:v>0.34437</x:v>
      </x:c>
      <x:c r="L535" s="59" t="n">
        <x:v>0.14493</x:v>
      </x:c>
      <x:c r="M535" s="59" t="n">
        <x:v>0.69074</x:v>
      </x:c>
      <x:c r="N535" s="60" t="n">
        <x:v>-2.72</x:v>
      </x:c>
      <x:c r="O535" s="60" t="n">
        <x:v>2.4</x:v>
      </x:c>
      <x:c r="P535" s="60" t="n">
        <x:v>2.42</x:v>
      </x:c>
      <x:c r="Q535" s="60" t="n">
        <x:v>68.2</x:v>
      </x:c>
      <x:c r="R535" s="58" t="str">
        <x:v>X</x:v>
      </x:c>
      <x:c r="S535" s="60" t="n">
        <x:v>100</x:v>
      </x:c>
      <x:c r="T535" s="58" t="str">
        <x:v>IN TARGET BAND</x:v>
      </x:c>
      <x:c r="U535" s="58" t="str">
        <x:v>Yes</x:v>
      </x:c>
      <x:c r="V535" s="58" t="n">
        <x:v>1779</x:v>
      </x:c>
      <x:c r="W535" s="58" t="str">
        <x:v>Pasted text(59).txt</x:v>
      </x:c>
    </x:row>
    <x:row r="536">
      <x:c r="A536" s="58" t="str">
        <x:v>S15</x:v>
      </x:c>
      <x:c r="B536" s="58" t="str">
        <x:v>0.60 validation at 268.9 Hz</x:v>
      </x:c>
      <x:c r="C536" s="58" t="n">
        <x:v>0.6</x:v>
      </x:c>
      <x:c r="D536" s="58" t="n">
        <x:v>4</x:v>
      </x:c>
      <x:c r="E536" s="58" t="str">
        <x:v>PASS</x:v>
      </x:c>
      <x:c r="F536" s="58" t="n">
        <x:v>1</x:v>
      </x:c>
      <x:c r="G536" s="58" t="n">
        <x:v>5</x:v>
      </x:c>
      <x:c r="H536" s="59" t="n">
        <x:v>6.75</x:v>
      </x:c>
      <x:c r="I536" s="59" t="n">
        <x:v>0.58386</x:v>
      </x:c>
      <x:c r="J536" s="59" t="n">
        <x:v>0.58689</x:v>
      </x:c>
      <x:c r="K536" s="59" t="n">
        <x:v>0.33785</x:v>
      </x:c>
      <x:c r="L536" s="59" t="n">
        <x:v>0.14706</x:v>
      </x:c>
      <x:c r="M536" s="59" t="n">
        <x:v>0.69347</x:v>
      </x:c>
      <x:c r="N536" s="60" t="n">
        <x:v>-2.69</x:v>
      </x:c>
      <x:c r="O536" s="60" t="n">
        <x:v>2.42</x:v>
      </x:c>
      <x:c r="P536" s="60" t="n">
        <x:v>2.44</x:v>
      </x:c>
      <x:c r="Q536" s="60" t="n">
        <x:v>67.8</x:v>
      </x:c>
      <x:c r="R536" s="58" t="str">
        <x:v>X</x:v>
      </x:c>
      <x:c r="S536" s="60" t="n">
        <x:v>100</x:v>
      </x:c>
      <x:c r="T536" s="58" t="str">
        <x:v>IN TARGET BAND</x:v>
      </x:c>
      <x:c r="U536" s="58" t="str">
        <x:v>Yes</x:v>
      </x:c>
      <x:c r="V536" s="58" t="n">
        <x:v>1780</x:v>
      </x:c>
      <x:c r="W536" s="58" t="str">
        <x:v>Pasted text(59).txt</x:v>
      </x:c>
    </x:row>
    <x:row r="537">
      <x:c r="A537" s="58" t="str">
        <x:v>S15</x:v>
      </x:c>
      <x:c r="B537" s="58" t="str">
        <x:v>0.60 validation at 268.9 Hz</x:v>
      </x:c>
      <x:c r="C537" s="58" t="n">
        <x:v>0.6</x:v>
      </x:c>
      <x:c r="D537" s="58" t="n">
        <x:v>4</x:v>
      </x:c>
      <x:c r="E537" s="58" t="str">
        <x:v>PASS</x:v>
      </x:c>
      <x:c r="F537" s="58" t="n">
        <x:v>1</x:v>
      </x:c>
      <x:c r="G537" s="58" t="n">
        <x:v>6</x:v>
      </x:c>
      <x:c r="H537" s="59" t="n">
        <x:v>6.75</x:v>
      </x:c>
      <x:c r="I537" s="59" t="n">
        <x:v>0.61121</x:v>
      </x:c>
      <x:c r="J537" s="59" t="n">
        <x:v>0.61762</x:v>
      </x:c>
      <x:c r="K537" s="59" t="n">
        <x:v>0.3211</x:v>
      </x:c>
      <x:c r="L537" s="59" t="n">
        <x:v>0.15085</x:v>
      </x:c>
      <x:c r="M537" s="59" t="n">
        <x:v>0.7123</x:v>
      </x:c>
      <x:c r="N537" s="60" t="n">
        <x:v>1.87</x:v>
      </x:c>
      <x:c r="O537" s="60" t="n">
        <x:v>0.47</x:v>
      </x:c>
      <x:c r="P537" s="60" t="n">
        <x:v>2.07</x:v>
      </x:c>
      <x:c r="Q537" s="60" t="n">
        <x:v>70.6</x:v>
      </x:c>
      <x:c r="R537" s="58" t="str">
        <x:v>X</x:v>
      </x:c>
      <x:c r="S537" s="60" t="n">
        <x:v>100</x:v>
      </x:c>
      <x:c r="T537" s="58" t="str">
        <x:v>IN TARGET BAND</x:v>
      </x:c>
      <x:c r="U537" s="58" t="str">
        <x:v>Yes</x:v>
      </x:c>
      <x:c r="V537" s="58" t="n">
        <x:v>1781</x:v>
      </x:c>
      <x:c r="W537" s="58" t="str">
        <x:v>Pasted text(59).txt</x:v>
      </x:c>
    </x:row>
    <x:row r="538">
      <x:c r="A538" s="58" t="str">
        <x:v>S15</x:v>
      </x:c>
      <x:c r="B538" s="58" t="str">
        <x:v>0.60 validation at 268.9 Hz</x:v>
      </x:c>
      <x:c r="C538" s="58" t="n">
        <x:v>0.6</x:v>
      </x:c>
      <x:c r="D538" s="58" t="n">
        <x:v>4</x:v>
      </x:c>
      <x:c r="E538" s="58" t="str">
        <x:v>PASS</x:v>
      </x:c>
      <x:c r="F538" s="58" t="n">
        <x:v>1</x:v>
      </x:c>
      <x:c r="G538" s="58" t="n">
        <x:v>7</x:v>
      </x:c>
      <x:c r="H538" s="59" t="n">
        <x:v>6.75</x:v>
      </x:c>
      <x:c r="I538" s="59" t="n">
        <x:v>0.57992</x:v>
      </x:c>
      <x:c r="J538" s="59" t="n">
        <x:v>0.58334</x:v>
      </x:c>
      <x:c r="K538" s="59" t="n">
        <x:v>0.33652</x:v>
      </x:c>
      <x:c r="L538" s="59" t="n">
        <x:v>0.14294</x:v>
      </x:c>
      <x:c r="M538" s="59" t="n">
        <x:v>0.68847</x:v>
      </x:c>
      <x:c r="N538" s="60" t="n">
        <x:v>-3.35</x:v>
      </x:c>
      <x:c r="O538" s="60" t="n">
        <x:v>2.56</x:v>
      </x:c>
      <x:c r="P538" s="60" t="n">
        <x:v>2.64</x:v>
      </x:c>
      <x:c r="Q538" s="60" t="n">
        <x:v>67.4</x:v>
      </x:c>
      <x:c r="R538" s="58" t="str">
        <x:v>X</x:v>
      </x:c>
      <x:c r="S538" s="60" t="n">
        <x:v>100</x:v>
      </x:c>
      <x:c r="T538" s="58" t="str">
        <x:v>IN TARGET BAND</x:v>
      </x:c>
      <x:c r="U538" s="58" t="str">
        <x:v>Yes</x:v>
      </x:c>
      <x:c r="V538" s="58" t="n">
        <x:v>1782</x:v>
      </x:c>
      <x:c r="W538" s="58" t="str">
        <x:v>Pasted text(59).txt</x:v>
      </x:c>
    </x:row>
    <x:row r="539">
      <x:c r="A539" s="58" t="str">
        <x:v>S15</x:v>
      </x:c>
      <x:c r="B539" s="58" t="str">
        <x:v>0.60 validation at 268.9 Hz</x:v>
      </x:c>
      <x:c r="C539" s="58" t="n">
        <x:v>0.6</x:v>
      </x:c>
      <x:c r="D539" s="58" t="n">
        <x:v>4</x:v>
      </x:c>
      <x:c r="E539" s="58" t="str">
        <x:v>PASS</x:v>
      </x:c>
      <x:c r="F539" s="58" t="n">
        <x:v>1</x:v>
      </x:c>
      <x:c r="G539" s="58" t="n">
        <x:v>8</x:v>
      </x:c>
      <x:c r="H539" s="59" t="n">
        <x:v>6.75</x:v>
      </x:c>
      <x:c r="I539" s="59" t="n">
        <x:v>0.60794</x:v>
      </x:c>
      <x:c r="J539" s="59" t="n">
        <x:v>0.60119</x:v>
      </x:c>
      <x:c r="K539" s="59" t="n">
        <x:v>0.32194</x:v>
      </x:c>
      <x:c r="L539" s="59" t="n">
        <x:v>0.14099</x:v>
      </x:c>
      <x:c r="M539" s="59" t="n">
        <x:v>0.69753</x:v>
      </x:c>
      <x:c r="N539" s="60" t="n">
        <x:v>1.32</x:v>
      </x:c>
      <x:c r="O539" s="60" t="n">
        <x:v>1.17</x:v>
      </x:c>
      <x:c r="P539" s="60" t="n">
        <x:v>2.66</x:v>
      </x:c>
      <x:c r="Q539" s="60" t="n">
        <x:v>68</x:v>
      </x:c>
      <x:c r="R539" s="58" t="str">
        <x:v>X</x:v>
      </x:c>
      <x:c r="S539" s="60" t="n">
        <x:v>100</x:v>
      </x:c>
      <x:c r="T539" s="58" t="str">
        <x:v>IN TARGET BAND</x:v>
      </x:c>
      <x:c r="U539" s="58" t="str">
        <x:v>Yes</x:v>
      </x:c>
      <x:c r="V539" s="58" t="n">
        <x:v>1783</x:v>
      </x:c>
      <x:c r="W539" s="58" t="str">
        <x:v>Pasted text(59).txt</x:v>
      </x:c>
    </x:row>
    <x:row r="540">
      <x:c r="A540" s="58" t="str">
        <x:v>S15</x:v>
      </x:c>
      <x:c r="B540" s="58" t="str">
        <x:v>0.60 validation at 268.9 Hz</x:v>
      </x:c>
      <x:c r="C540" s="58" t="n">
        <x:v>0.6</x:v>
      </x:c>
      <x:c r="D540" s="58" t="n">
        <x:v>4</x:v>
      </x:c>
      <x:c r="E540" s="58" t="str">
        <x:v>PASS</x:v>
      </x:c>
      <x:c r="F540" s="58" t="n">
        <x:v>1</x:v>
      </x:c>
      <x:c r="G540" s="58" t="n">
        <x:v>9</x:v>
      </x:c>
      <x:c r="H540" s="59" t="n">
        <x:v>6.75</x:v>
      </x:c>
      <x:c r="I540" s="59" t="n">
        <x:v>0.62183</x:v>
      </x:c>
      <x:c r="J540" s="59" t="n">
        <x:v>0.61714</x:v>
      </x:c>
      <x:c r="K540" s="59" t="n">
        <x:v>0.32732</x:v>
      </x:c>
      <x:c r="L540" s="59" t="n">
        <x:v>0.14008</x:v>
      </x:c>
      <x:c r="M540" s="59" t="n">
        <x:v>0.71262</x:v>
      </x:c>
      <x:c r="N540" s="60" t="n">
        <x:v>3.64</x:v>
      </x:c>
      <x:c r="O540" s="60" t="n">
        <x:v>0.95</x:v>
      </x:c>
      <x:c r="P540" s="60" t="n">
        <x:v>1.9</x:v>
      </x:c>
      <x:c r="Q540" s="60" t="n">
        <x:v>70.7</x:v>
      </x:c>
      <x:c r="R540" s="58" t="str">
        <x:v>X</x:v>
      </x:c>
      <x:c r="S540" s="60" t="n">
        <x:v>100</x:v>
      </x:c>
      <x:c r="T540" s="58" t="str">
        <x:v>IN TARGET BAND</x:v>
      </x:c>
      <x:c r="U540" s="58" t="str">
        <x:v>Yes</x:v>
      </x:c>
      <x:c r="V540" s="58" t="n">
        <x:v>1784</x:v>
      </x:c>
      <x:c r="W540" s="58" t="str">
        <x:v>Pasted text(59).txt</x:v>
      </x:c>
    </x:row>
    <x:row r="541">
      <x:c r="A541" s="58" t="str">
        <x:v>S15</x:v>
      </x:c>
      <x:c r="B541" s="58" t="str">
        <x:v>0.60 validation at 268.9 Hz</x:v>
      </x:c>
      <x:c r="C541" s="58" t="n">
        <x:v>0.6</x:v>
      </x:c>
      <x:c r="D541" s="58" t="n">
        <x:v>4</x:v>
      </x:c>
      <x:c r="E541" s="58" t="str">
        <x:v>PASS</x:v>
      </x:c>
      <x:c r="F541" s="58" t="n">
        <x:v>1</x:v>
      </x:c>
      <x:c r="G541" s="58" t="n">
        <x:v>10</x:v>
      </x:c>
      <x:c r="H541" s="59" t="n">
        <x:v>6.75</x:v>
      </x:c>
      <x:c r="I541" s="59" t="n">
        <x:v>0.57832</x:v>
      </x:c>
      <x:c r="J541" s="59" t="n">
        <x:v>0.57132</x:v>
      </x:c>
      <x:c r="K541" s="59" t="n">
        <x:v>0.3385</x:v>
      </x:c>
      <x:c r="L541" s="59" t="n">
        <x:v>0.13324</x:v>
      </x:c>
      <x:c r="M541" s="59" t="n">
        <x:v>0.67757</x:v>
      </x:c>
      <x:c r="N541" s="60" t="n">
        <x:v>-3.61</x:v>
      </x:c>
      <x:c r="O541" s="60" t="n">
        <x:v>2.71</x:v>
      </x:c>
      <x:c r="P541" s="60" t="n">
        <x:v>3.84</x:v>
      </x:c>
      <x:c r="Q541" s="60" t="n">
        <x:v>67.3</x:v>
      </x:c>
      <x:c r="R541" s="58" t="str">
        <x:v>X</x:v>
      </x:c>
      <x:c r="S541" s="60" t="n">
        <x:v>100</x:v>
      </x:c>
      <x:c r="T541" s="58" t="str">
        <x:v>IN TARGET BAND</x:v>
      </x:c>
      <x:c r="U541" s="58" t="str">
        <x:v>Yes</x:v>
      </x:c>
      <x:c r="V541" s="58" t="n">
        <x:v>1785</x:v>
      </x:c>
      <x:c r="W541" s="58" t="str">
        <x:v>Pasted text(59).txt</x:v>
      </x:c>
    </x:row>
    <x:row r="542">
      <x:c r="A542" s="58" t="str">
        <x:v>S15</x:v>
      </x:c>
      <x:c r="B542" s="58" t="str">
        <x:v>0.60 validation at 268.9 Hz</x:v>
      </x:c>
      <x:c r="C542" s="58" t="n">
        <x:v>0.6</x:v>
      </x:c>
      <x:c r="D542" s="58" t="n">
        <x:v>5</x:v>
      </x:c>
      <x:c r="E542" s="58" t="str">
        <x:v>PASS</x:v>
      </x:c>
      <x:c r="F542" s="58" t="n">
        <x:v>1</x:v>
      </x:c>
      <x:c r="G542" s="58" t="n">
        <x:v>1</x:v>
      </x:c>
      <x:c r="H542" s="59" t="n">
        <x:v>7</x:v>
      </x:c>
      <x:c r="I542" s="59" t="n">
        <x:v>0.6178</x:v>
      </x:c>
      <x:c r="J542" s="59" t="n">
        <x:v>0.60983</x:v>
      </x:c>
      <x:c r="K542" s="59" t="n">
        <x:v>0.31994</x:v>
      </x:c>
      <x:c r="L542" s="59" t="n">
        <x:v>0.15181</x:v>
      </x:c>
      <x:c r="M542" s="59" t="n">
        <x:v>0.7061</x:v>
      </x:c>
      <x:c r="N542" s="60" t="n">
        <x:v>2.97</x:v>
      </x:c>
      <x:c r="O542" s="60" t="n">
        <x:v>1.98</x:v>
      </x:c>
      <x:c r="P542" s="60" t="n">
        <x:v>3.5</x:v>
      </x:c>
      <x:c r="Q542" s="60" t="n">
        <x:v>71.5</x:v>
      </x:c>
      <x:c r="R542" s="58" t="str">
        <x:v>X</x:v>
      </x:c>
      <x:c r="S542" s="60" t="n">
        <x:v>100</x:v>
      </x:c>
      <x:c r="T542" s="58" t="str">
        <x:v>IN TARGET BAND</x:v>
      </x:c>
      <x:c r="U542" s="58" t="str">
        <x:v>Yes</x:v>
      </x:c>
      <x:c r="V542" s="58" t="n">
        <x:v>1856</x:v>
      </x:c>
      <x:c r="W542" s="58" t="str">
        <x:v>Pasted text(59).txt</x:v>
      </x:c>
    </x:row>
    <x:row r="543">
      <x:c r="A543" s="58" t="str">
        <x:v>S15</x:v>
      </x:c>
      <x:c r="B543" s="58" t="str">
        <x:v>0.60 validation at 268.9 Hz</x:v>
      </x:c>
      <x:c r="C543" s="58" t="n">
        <x:v>0.6</x:v>
      </x:c>
      <x:c r="D543" s="58" t="n">
        <x:v>5</x:v>
      </x:c>
      <x:c r="E543" s="58" t="str">
        <x:v>PASS</x:v>
      </x:c>
      <x:c r="F543" s="58" t="n">
        <x:v>1</x:v>
      </x:c>
      <x:c r="G543" s="58" t="n">
        <x:v>2</x:v>
      </x:c>
      <x:c r="H543" s="59" t="n">
        <x:v>7</x:v>
      </x:c>
      <x:c r="I543" s="59" t="n">
        <x:v>0.60358</x:v>
      </x:c>
      <x:c r="J543" s="59" t="n">
        <x:v>0.60915</x:v>
      </x:c>
      <x:c r="K543" s="59" t="n">
        <x:v>0.32962</x:v>
      </x:c>
      <x:c r="L543" s="59" t="n">
        <x:v>0.11924</x:v>
      </x:c>
      <x:c r="M543" s="59" t="n">
        <x:v>0.70341</x:v>
      </x:c>
      <x:c r="N543" s="60" t="n">
        <x:v>0.6</x:v>
      </x:c>
      <x:c r="O543" s="60" t="n">
        <x:v>0.61</x:v>
      </x:c>
      <x:c r="P543" s="60" t="n">
        <x:v>1.95</x:v>
      </x:c>
      <x:c r="Q543" s="60" t="n">
        <x:v>72.3</x:v>
      </x:c>
      <x:c r="R543" s="58" t="str">
        <x:v>X</x:v>
      </x:c>
      <x:c r="S543" s="60" t="n">
        <x:v>100</x:v>
      </x:c>
      <x:c r="T543" s="58" t="str">
        <x:v>IN TARGET BAND</x:v>
      </x:c>
      <x:c r="U543" s="58" t="str">
        <x:v>Yes</x:v>
      </x:c>
      <x:c r="V543" s="58" t="n">
        <x:v>1857</x:v>
      </x:c>
      <x:c r="W543" s="58" t="str">
        <x:v>Pasted text(59).txt</x:v>
      </x:c>
    </x:row>
    <x:row r="544">
      <x:c r="A544" s="58" t="str">
        <x:v>S15</x:v>
      </x:c>
      <x:c r="B544" s="58" t="str">
        <x:v>0.60 validation at 268.9 Hz</x:v>
      </x:c>
      <x:c r="C544" s="58" t="n">
        <x:v>0.6</x:v>
      </x:c>
      <x:c r="D544" s="58" t="n">
        <x:v>5</x:v>
      </x:c>
      <x:c r="E544" s="58" t="str">
        <x:v>PASS</x:v>
      </x:c>
      <x:c r="F544" s="58" t="n">
        <x:v>1</x:v>
      </x:c>
      <x:c r="G544" s="58" t="n">
        <x:v>3</x:v>
      </x:c>
      <x:c r="H544" s="59" t="n">
        <x:v>7</x:v>
      </x:c>
      <x:c r="I544" s="59" t="n">
        <x:v>0.59831</x:v>
      </x:c>
      <x:c r="J544" s="59" t="n">
        <x:v>0.60284</x:v>
      </x:c>
      <x:c r="K544" s="59" t="n">
        <x:v>0.32764</x:v>
      </x:c>
      <x:c r="L544" s="59" t="n">
        <x:v>0.14834</x:v>
      </x:c>
      <x:c r="M544" s="59" t="n">
        <x:v>0.70221</x:v>
      </x:c>
      <x:c r="N544" s="60" t="n">
        <x:v>-0.28</x:v>
      </x:c>
      <x:c r="O544" s="60" t="n">
        <x:v>0.9</x:v>
      </x:c>
      <x:c r="P544" s="60" t="n">
        <x:v>1.85</x:v>
      </x:c>
      <x:c r="Q544" s="60" t="n">
        <x:v>71.3</x:v>
      </x:c>
      <x:c r="R544" s="58" t="str">
        <x:v>X</x:v>
      </x:c>
      <x:c r="S544" s="60" t="n">
        <x:v>100</x:v>
      </x:c>
      <x:c r="T544" s="58" t="str">
        <x:v>IN TARGET BAND</x:v>
      </x:c>
      <x:c r="U544" s="58" t="str">
        <x:v>Yes</x:v>
      </x:c>
      <x:c r="V544" s="58" t="n">
        <x:v>1858</x:v>
      </x:c>
      <x:c r="W544" s="58" t="str">
        <x:v>Pasted text(59).txt</x:v>
      </x:c>
    </x:row>
    <x:row r="545">
      <x:c r="A545" s="58" t="str">
        <x:v>S15</x:v>
      </x:c>
      <x:c r="B545" s="58" t="str">
        <x:v>0.60 validation at 268.9 Hz</x:v>
      </x:c>
      <x:c r="C545" s="58" t="n">
        <x:v>0.6</x:v>
      </x:c>
      <x:c r="D545" s="58" t="n">
        <x:v>5</x:v>
      </x:c>
      <x:c r="E545" s="58" t="str">
        <x:v>PASS</x:v>
      </x:c>
      <x:c r="F545" s="58" t="n">
        <x:v>1</x:v>
      </x:c>
      <x:c r="G545" s="58" t="n">
        <x:v>4</x:v>
      </x:c>
      <x:c r="H545" s="59" t="n">
        <x:v>7</x:v>
      </x:c>
      <x:c r="I545" s="59" t="n">
        <x:v>0.59142</x:v>
      </x:c>
      <x:c r="J545" s="59" t="n">
        <x:v>0.59321</x:v>
      </x:c>
      <x:c r="K545" s="59" t="n">
        <x:v>0.31756</x:v>
      </x:c>
      <x:c r="L545" s="59" t="n">
        <x:v>0.15288</x:v>
      </x:c>
      <x:c r="M545" s="59" t="n">
        <x:v>0.6905</x:v>
      </x:c>
      <x:c r="N545" s="60" t="n">
        <x:v>-1.43</x:v>
      </x:c>
      <x:c r="O545" s="60" t="n">
        <x:v>5.81</x:v>
      </x:c>
      <x:c r="P545" s="60" t="n">
        <x:v>4.37</x:v>
      </x:c>
      <x:c r="Q545" s="60" t="n">
        <x:v>71.4</x:v>
      </x:c>
      <x:c r="R545" s="58" t="str">
        <x:v>X</x:v>
      </x:c>
      <x:c r="S545" s="60" t="n">
        <x:v>100</x:v>
      </x:c>
      <x:c r="T545" s="58" t="str">
        <x:v>IN TARGET BAND</x:v>
      </x:c>
      <x:c r="U545" s="58" t="str">
        <x:v>Yes</x:v>
      </x:c>
      <x:c r="V545" s="58" t="n">
        <x:v>1859</x:v>
      </x:c>
      <x:c r="W545" s="58" t="str">
        <x:v>Pasted text(59).txt</x:v>
      </x:c>
    </x:row>
    <x:row r="546">
      <x:c r="A546" s="58" t="str">
        <x:v>S15</x:v>
      </x:c>
      <x:c r="B546" s="58" t="str">
        <x:v>0.60 validation at 268.9 Hz</x:v>
      </x:c>
      <x:c r="C546" s="58" t="n">
        <x:v>0.6</x:v>
      </x:c>
      <x:c r="D546" s="58" t="n">
        <x:v>5</x:v>
      </x:c>
      <x:c r="E546" s="58" t="str">
        <x:v>PASS</x:v>
      </x:c>
      <x:c r="F546" s="58" t="n">
        <x:v>1</x:v>
      </x:c>
      <x:c r="G546" s="58" t="n">
        <x:v>5</x:v>
      </x:c>
      <x:c r="H546" s="59" t="n">
        <x:v>7</x:v>
      </x:c>
      <x:c r="I546" s="59" t="n">
        <x:v>0.60858</x:v>
      </x:c>
      <x:c r="J546" s="59" t="n">
        <x:v>0.61021</x:v>
      </x:c>
      <x:c r="K546" s="59" t="n">
        <x:v>0.29833</x:v>
      </x:c>
      <x:c r="L546" s="59" t="n">
        <x:v>0.14114</x:v>
      </x:c>
      <x:c r="M546" s="59" t="n">
        <x:v>0.69382</x:v>
      </x:c>
      <x:c r="N546" s="60" t="n">
        <x:v>1.43</x:v>
      </x:c>
      <x:c r="O546" s="60" t="n">
        <x:v>1.13</x:v>
      </x:c>
      <x:c r="P546" s="60" t="n">
        <x:v>1.18</x:v>
      </x:c>
      <x:c r="Q546" s="60" t="n">
        <x:v>72.5</x:v>
      </x:c>
      <x:c r="R546" s="58" t="str">
        <x:v>X</x:v>
      </x:c>
      <x:c r="S546" s="60" t="n">
        <x:v>100</x:v>
      </x:c>
      <x:c r="T546" s="58" t="str">
        <x:v>IN TARGET BAND</x:v>
      </x:c>
      <x:c r="U546" s="58" t="str">
        <x:v>Yes</x:v>
      </x:c>
      <x:c r="V546" s="58" t="n">
        <x:v>1860</x:v>
      </x:c>
      <x:c r="W546" s="58" t="str">
        <x:v>Pasted text(59).txt</x:v>
      </x:c>
    </x:row>
    <x:row r="547">
      <x:c r="A547" s="58" t="str">
        <x:v>S15</x:v>
      </x:c>
      <x:c r="B547" s="58" t="str">
        <x:v>0.60 validation at 268.9 Hz</x:v>
      </x:c>
      <x:c r="C547" s="58" t="n">
        <x:v>0.6</x:v>
      </x:c>
      <x:c r="D547" s="58" t="n">
        <x:v>5</x:v>
      </x:c>
      <x:c r="E547" s="58" t="str">
        <x:v>PASS</x:v>
      </x:c>
      <x:c r="F547" s="58" t="n">
        <x:v>1</x:v>
      </x:c>
      <x:c r="G547" s="58" t="n">
        <x:v>6</x:v>
      </x:c>
      <x:c r="H547" s="59" t="n">
        <x:v>7</x:v>
      </x:c>
      <x:c r="I547" s="59" t="n">
        <x:v>0.62623</x:v>
      </x:c>
      <x:c r="J547" s="59" t="n">
        <x:v>0.63476</x:v>
      </x:c>
      <x:c r="K547" s="59" t="n">
        <x:v>0.31362</x:v>
      </x:c>
      <x:c r="L547" s="59" t="n">
        <x:v>0.13033</x:v>
      </x:c>
      <x:c r="M547" s="59" t="n">
        <x:v>0.72013</x:v>
      </x:c>
      <x:c r="N547" s="60" t="n">
        <x:v>4.37</x:v>
      </x:c>
      <x:c r="O547" s="60" t="n">
        <x:v>0.07</x:v>
      </x:c>
      <x:c r="P547" s="60" t="n">
        <x:v>2.37</x:v>
      </x:c>
      <x:c r="Q547" s="60" t="n">
        <x:v>73.3</x:v>
      </x:c>
      <x:c r="R547" s="58" t="str">
        <x:v>X</x:v>
      </x:c>
      <x:c r="S547" s="60" t="n">
        <x:v>100</x:v>
      </x:c>
      <x:c r="T547" s="58" t="str">
        <x:v>IN TARGET BAND</x:v>
      </x:c>
      <x:c r="U547" s="58" t="str">
        <x:v>Yes</x:v>
      </x:c>
      <x:c r="V547" s="58" t="n">
        <x:v>1861</x:v>
      </x:c>
      <x:c r="W547" s="58" t="str">
        <x:v>Pasted text(59).txt</x:v>
      </x:c>
    </x:row>
    <x:row r="548">
      <x:c r="A548" s="58" t="str">
        <x:v>S15</x:v>
      </x:c>
      <x:c r="B548" s="58" t="str">
        <x:v>0.60 validation at 268.9 Hz</x:v>
      </x:c>
      <x:c r="C548" s="58" t="n">
        <x:v>0.6</x:v>
      </x:c>
      <x:c r="D548" s="58" t="n">
        <x:v>5</x:v>
      </x:c>
      <x:c r="E548" s="58" t="str">
        <x:v>PASS</x:v>
      </x:c>
      <x:c r="F548" s="58" t="n">
        <x:v>1</x:v>
      </x:c>
      <x:c r="G548" s="58" t="n">
        <x:v>7</x:v>
      </x:c>
      <x:c r="H548" s="59" t="n">
        <x:v>7</x:v>
      </x:c>
      <x:c r="I548" s="59" t="n">
        <x:v>0.60693</x:v>
      </x:c>
      <x:c r="J548" s="59" t="n">
        <x:v>0.6061</x:v>
      </x:c>
      <x:c r="K548" s="59" t="n">
        <x:v>0.32956</x:v>
      </x:c>
      <x:c r="L548" s="59" t="n">
        <x:v>0.17031</x:v>
      </x:c>
      <x:c r="M548" s="59" t="n">
        <x:v>0.7111</x:v>
      </x:c>
      <x:c r="N548" s="60" t="n">
        <x:v>1.15</x:v>
      </x:c>
      <x:c r="O548" s="60" t="n">
        <x:v>2.14</x:v>
      </x:c>
      <x:c r="P548" s="60" t="n">
        <x:v>1.66</x:v>
      </x:c>
      <x:c r="Q548" s="60" t="n">
        <x:v>71.6</x:v>
      </x:c>
      <x:c r="R548" s="58" t="str">
        <x:v>X</x:v>
      </x:c>
      <x:c r="S548" s="60" t="n">
        <x:v>100</x:v>
      </x:c>
      <x:c r="T548" s="58" t="str">
        <x:v>IN TARGET BAND</x:v>
      </x:c>
      <x:c r="U548" s="58" t="str">
        <x:v>Yes</x:v>
      </x:c>
      <x:c r="V548" s="58" t="n">
        <x:v>1862</x:v>
      </x:c>
      <x:c r="W548" s="58" t="str">
        <x:v>Pasted text(59).txt</x:v>
      </x:c>
    </x:row>
    <x:row r="549">
      <x:c r="A549" s="58" t="str">
        <x:v>S15</x:v>
      </x:c>
      <x:c r="B549" s="58" t="str">
        <x:v>0.60 validation at 268.9 Hz</x:v>
      </x:c>
      <x:c r="C549" s="58" t="n">
        <x:v>0.6</x:v>
      </x:c>
      <x:c r="D549" s="58" t="n">
        <x:v>5</x:v>
      </x:c>
      <x:c r="E549" s="58" t="str">
        <x:v>PASS</x:v>
      </x:c>
      <x:c r="F549" s="58" t="n">
        <x:v>1</x:v>
      </x:c>
      <x:c r="G549" s="58" t="n">
        <x:v>8</x:v>
      </x:c>
      <x:c r="H549" s="59" t="n">
        <x:v>7</x:v>
      </x:c>
      <x:c r="I549" s="59" t="n">
        <x:v>0.62172</x:v>
      </x:c>
      <x:c r="J549" s="59" t="n">
        <x:v>0.61493</x:v>
      </x:c>
      <x:c r="K549" s="59" t="n">
        <x:v>0.33302</x:v>
      </x:c>
      <x:c r="L549" s="59" t="n">
        <x:v>0.13342</x:v>
      </x:c>
      <x:c r="M549" s="59" t="n">
        <x:v>0.71249</x:v>
      </x:c>
      <x:c r="N549" s="60" t="n">
        <x:v>3.62</x:v>
      </x:c>
      <x:c r="O549" s="60" t="n">
        <x:v>3.44</x:v>
      </x:c>
      <x:c r="P549" s="60" t="n">
        <x:v>4.12</x:v>
      </x:c>
      <x:c r="Q549" s="60" t="n">
        <x:v>72.7</x:v>
      </x:c>
      <x:c r="R549" s="58" t="str">
        <x:v>X</x:v>
      </x:c>
      <x:c r="S549" s="60" t="n">
        <x:v>100</x:v>
      </x:c>
      <x:c r="T549" s="58" t="str">
        <x:v>IN TARGET BAND</x:v>
      </x:c>
      <x:c r="U549" s="58" t="str">
        <x:v>Yes</x:v>
      </x:c>
      <x:c r="V549" s="58" t="n">
        <x:v>1863</x:v>
      </x:c>
      <x:c r="W549" s="58" t="str">
        <x:v>Pasted text(59).txt</x:v>
      </x:c>
    </x:row>
    <x:row r="550">
      <x:c r="A550" s="58" t="str">
        <x:v>S15</x:v>
      </x:c>
      <x:c r="B550" s="58" t="str">
        <x:v>0.60 validation at 268.9 Hz</x:v>
      </x:c>
      <x:c r="C550" s="58" t="n">
        <x:v>0.6</x:v>
      </x:c>
      <x:c r="D550" s="58" t="n">
        <x:v>5</x:v>
      </x:c>
      <x:c r="E550" s="58" t="str">
        <x:v>PASS</x:v>
      </x:c>
      <x:c r="F550" s="58" t="n">
        <x:v>1</x:v>
      </x:c>
      <x:c r="G550" s="58" t="n">
        <x:v>9</x:v>
      </x:c>
      <x:c r="H550" s="59" t="n">
        <x:v>7</x:v>
      </x:c>
      <x:c r="I550" s="59" t="n">
        <x:v>0.61368</x:v>
      </x:c>
      <x:c r="J550" s="59" t="n">
        <x:v>0.61066</x:v>
      </x:c>
      <x:c r="K550" s="59" t="n">
        <x:v>0.3437</x:v>
      </x:c>
      <x:c r="L550" s="59" t="n">
        <x:v>0.14322</x:v>
      </x:c>
      <x:c r="M550" s="59" t="n">
        <x:v>0.7156</x:v>
      </x:c>
      <x:c r="N550" s="60" t="n">
        <x:v>2.28</x:v>
      </x:c>
      <x:c r="O550" s="60" t="n">
        <x:v>0.97</x:v>
      </x:c>
      <x:c r="P550" s="60" t="n">
        <x:v>1.46</x:v>
      </x:c>
      <x:c r="Q550" s="60" t="n">
        <x:v>73.1</x:v>
      </x:c>
      <x:c r="R550" s="58" t="str">
        <x:v>X</x:v>
      </x:c>
      <x:c r="S550" s="60" t="n">
        <x:v>100</x:v>
      </x:c>
      <x:c r="T550" s="58" t="str">
        <x:v>IN TARGET BAND</x:v>
      </x:c>
      <x:c r="U550" s="58" t="str">
        <x:v>Yes</x:v>
      </x:c>
      <x:c r="V550" s="58" t="n">
        <x:v>1864</x:v>
      </x:c>
      <x:c r="W550" s="58" t="str">
        <x:v>Pasted text(59).txt</x:v>
      </x:c>
    </x:row>
    <x:row r="551">
      <x:c r="A551" s="58" t="str">
        <x:v>S15</x:v>
      </x:c>
      <x:c r="B551" s="58" t="str">
        <x:v>0.60 validation at 268.9 Hz</x:v>
      </x:c>
      <x:c r="C551" s="58" t="n">
        <x:v>0.6</x:v>
      </x:c>
      <x:c r="D551" s="58" t="n">
        <x:v>5</x:v>
      </x:c>
      <x:c r="E551" s="58" t="str">
        <x:v>PASS</x:v>
      </x:c>
      <x:c r="F551" s="58" t="n">
        <x:v>1</x:v>
      </x:c>
      <x:c r="G551" s="58" t="n">
        <x:v>10</x:v>
      </x:c>
      <x:c r="H551" s="59" t="n">
        <x:v>7</x:v>
      </x:c>
      <x:c r="I551" s="59" t="n">
        <x:v>0.60255</x:v>
      </x:c>
      <x:c r="J551" s="59" t="n">
        <x:v>0.61394</x:v>
      </x:c>
      <x:c r="K551" s="59" t="n">
        <x:v>0.32376</x:v>
      </x:c>
      <x:c r="L551" s="59" t="n">
        <x:v>0.1347</x:v>
      </x:c>
      <x:c r="M551" s="59" t="n">
        <x:v>0.70748</x:v>
      </x:c>
      <x:c r="N551" s="60" t="n">
        <x:v>0.43</x:v>
      </x:c>
      <x:c r="O551" s="60" t="n">
        <x:v>2.93</x:v>
      </x:c>
      <x:c r="P551" s="60" t="n">
        <x:v>4.99</x:v>
      </x:c>
      <x:c r="Q551" s="60" t="n">
        <x:v>73.2</x:v>
      </x:c>
      <x:c r="R551" s="58" t="str">
        <x:v>X</x:v>
      </x:c>
      <x:c r="S551" s="60" t="n">
        <x:v>100</x:v>
      </x:c>
      <x:c r="T551" s="58" t="str">
        <x:v>IN TARGET BAND</x:v>
      </x:c>
      <x:c r="U551" s="58" t="str">
        <x:v>Yes</x:v>
      </x:c>
      <x:c r="V551" s="58" t="n">
        <x:v>1865</x:v>
      </x:c>
      <x:c r="W551" s="58" t="str">
        <x:v>Pasted text(59).txt</x:v>
      </x:c>
    </x:row>
    <x:row r="552">
      <x:c r="A552" s="58" t="str">
        <x:v>S17</x:v>
      </x:c>
      <x:c r="B552" s="58" t="str">
        <x:v>0.75 validation at 268.8 Hz — high-gain/quantization limitation</x:v>
      </x:c>
      <x:c r="C552" s="58" t="n">
        <x:v>0.75</x:v>
      </x:c>
      <x:c r="D552" s="58" t="n">
        <x:v>2</x:v>
      </x:c>
      <x:c r="E552" s="58" t="str">
        <x:v>PASS</x:v>
      </x:c>
      <x:c r="F552" s="58" t="n">
        <x:v>2</x:v>
      </x:c>
      <x:c r="G552" s="58" t="n">
        <x:v>1</x:v>
      </x:c>
      <x:c r="H552" s="59" t="n">
        <x:v>3.25</x:v>
      </x:c>
      <x:c r="I552" s="59" t="n">
        <x:v>0.74403</x:v>
      </x:c>
      <x:c r="J552" s="59" t="n">
        <x:v>0.7463</x:v>
      </x:c>
      <x:c r="K552" s="59" t="n">
        <x:v>0.32105</x:v>
      </x:c>
      <x:c r="L552" s="59" t="n">
        <x:v>0.18102</x:v>
      </x:c>
      <x:c r="M552" s="59" t="n">
        <x:v>0.83362</x:v>
      </x:c>
      <x:c r="N552" s="60" t="n">
        <x:v>-0.8</x:v>
      </x:c>
      <x:c r="O552" s="60" t="n">
        <x:v>0.49</x:v>
      </x:c>
      <x:c r="P552" s="60" t="n">
        <x:v>0.83</x:v>
      </x:c>
      <x:c r="Q552" s="60" t="n">
        <x:v>60.9</x:v>
      </x:c>
      <x:c r="R552" s="58" t="str">
        <x:v>X</x:v>
      </x:c>
      <x:c r="S552" s="60" t="n">
        <x:v>100</x:v>
      </x:c>
      <x:c r="T552" s="58" t="str">
        <x:v>IN TARGET BAND</x:v>
      </x:c>
      <x:c r="U552" s="58" t="str">
        <x:v>Yes</x:v>
      </x:c>
      <x:c r="V552" s="58" t="n">
        <x:v>2147</x:v>
      </x:c>
      <x:c r="W552" s="58" t="str">
        <x:v>Pasted text(59).txt</x:v>
      </x:c>
    </x:row>
    <x:row r="553">
      <x:c r="A553" s="58" t="str">
        <x:v>S17</x:v>
      </x:c>
      <x:c r="B553" s="58" t="str">
        <x:v>0.75 validation at 268.8 Hz — high-gain/quantization limitation</x:v>
      </x:c>
      <x:c r="C553" s="58" t="n">
        <x:v>0.75</x:v>
      </x:c>
      <x:c r="D553" s="58" t="n">
        <x:v>2</x:v>
      </x:c>
      <x:c r="E553" s="58" t="str">
        <x:v>PASS</x:v>
      </x:c>
      <x:c r="F553" s="58" t="n">
        <x:v>2</x:v>
      </x:c>
      <x:c r="G553" s="58" t="n">
        <x:v>2</x:v>
      </x:c>
      <x:c r="H553" s="59" t="n">
        <x:v>3.25</x:v>
      </x:c>
      <x:c r="I553" s="59" t="n">
        <x:v>0.73148</x:v>
      </x:c>
      <x:c r="J553" s="59" t="n">
        <x:v>0.72512</x:v>
      </x:c>
      <x:c r="K553" s="59" t="n">
        <x:v>0.32266</x:v>
      </x:c>
      <x:c r="L553" s="59" t="n">
        <x:v>0.18498</x:v>
      </x:c>
      <x:c r="M553" s="59" t="n">
        <x:v>0.81588</x:v>
      </x:c>
      <x:c r="N553" s="60" t="n">
        <x:v>-2.47</x:v>
      </x:c>
      <x:c r="O553" s="60" t="n">
        <x:v>4.38</x:v>
      </x:c>
      <x:c r="P553" s="60" t="n">
        <x:v>4.36</x:v>
      </x:c>
      <x:c r="Q553" s="60" t="n">
        <x:v>59</x:v>
      </x:c>
      <x:c r="R553" s="58" t="str">
        <x:v>X</x:v>
      </x:c>
      <x:c r="S553" s="60" t="n">
        <x:v>100</x:v>
      </x:c>
      <x:c r="T553" s="58" t="str">
        <x:v>IN TARGET BAND</x:v>
      </x:c>
      <x:c r="U553" s="58" t="str">
        <x:v>Yes</x:v>
      </x:c>
      <x:c r="V553" s="58" t="n">
        <x:v>2148</x:v>
      </x:c>
      <x:c r="W553" s="58" t="str">
        <x:v>Pasted text(59).txt</x:v>
      </x:c>
    </x:row>
    <x:row r="554">
      <x:c r="A554" s="58" t="str">
        <x:v>S17</x:v>
      </x:c>
      <x:c r="B554" s="58" t="str">
        <x:v>0.75 validation at 268.8 Hz — high-gain/quantization limitation</x:v>
      </x:c>
      <x:c r="C554" s="58" t="n">
        <x:v>0.75</x:v>
      </x:c>
      <x:c r="D554" s="58" t="n">
        <x:v>2</x:v>
      </x:c>
      <x:c r="E554" s="58" t="str">
        <x:v>PASS</x:v>
      </x:c>
      <x:c r="F554" s="58" t="n">
        <x:v>2</x:v>
      </x:c>
      <x:c r="G554" s="58" t="n">
        <x:v>3</x:v>
      </x:c>
      <x:c r="H554" s="59" t="n">
        <x:v>3.25</x:v>
      </x:c>
      <x:c r="I554" s="59" t="n">
        <x:v>0.73933</x:v>
      </x:c>
      <x:c r="J554" s="59" t="n">
        <x:v>0.7327</x:v>
      </x:c>
      <x:c r="K554" s="59" t="n">
        <x:v>0.29989</x:v>
      </x:c>
      <x:c r="L554" s="59" t="n">
        <x:v>0.18622</x:v>
      </x:c>
      <x:c r="M554" s="59" t="n">
        <x:v>0.81413</x:v>
      </x:c>
      <x:c r="N554" s="60" t="n">
        <x:v>-1.42</x:v>
      </x:c>
      <x:c r="O554" s="60" t="n">
        <x:v>0.96</x:v>
      </x:c>
      <x:c r="P554" s="60" t="n">
        <x:v>2.16</x:v>
      </x:c>
      <x:c r="Q554" s="60" t="n">
        <x:v>59.9</x:v>
      </x:c>
      <x:c r="R554" s="58" t="str">
        <x:v>X</x:v>
      </x:c>
      <x:c r="S554" s="60" t="n">
        <x:v>100</x:v>
      </x:c>
      <x:c r="T554" s="58" t="str">
        <x:v>IN TARGET BAND</x:v>
      </x:c>
      <x:c r="U554" s="58" t="str">
        <x:v>Yes</x:v>
      </x:c>
      <x:c r="V554" s="58" t="n">
        <x:v>2149</x:v>
      </x:c>
      <x:c r="W554" s="58" t="str">
        <x:v>Pasted text(59).txt</x:v>
      </x:c>
    </x:row>
    <x:row r="555">
      <x:c r="A555" s="58" t="str">
        <x:v>S17</x:v>
      </x:c>
      <x:c r="B555" s="58" t="str">
        <x:v>0.75 validation at 268.8 Hz — high-gain/quantization limitation</x:v>
      </x:c>
      <x:c r="C555" s="58" t="n">
        <x:v>0.75</x:v>
      </x:c>
      <x:c r="D555" s="58" t="n">
        <x:v>2</x:v>
      </x:c>
      <x:c r="E555" s="58" t="str">
        <x:v>PASS</x:v>
      </x:c>
      <x:c r="F555" s="58" t="n">
        <x:v>2</x:v>
      </x:c>
      <x:c r="G555" s="58" t="n">
        <x:v>4</x:v>
      </x:c>
      <x:c r="H555" s="59" t="n">
        <x:v>3.25</x:v>
      </x:c>
      <x:c r="I555" s="59" t="n">
        <x:v>0.75524</x:v>
      </x:c>
      <x:c r="J555" s="59" t="n">
        <x:v>0.74683</x:v>
      </x:c>
      <x:c r="K555" s="59" t="n">
        <x:v>0.30254</x:v>
      </x:c>
      <x:c r="L555" s="59" t="n">
        <x:v>0.19288</x:v>
      </x:c>
      <x:c r="M555" s="59" t="n">
        <x:v>0.83</x:v>
      </x:c>
      <x:c r="N555" s="60" t="n">
        <x:v>0.7</x:v>
      </x:c>
      <x:c r="O555" s="60" t="n">
        <x:v>0.45</x:v>
      </x:c>
      <x:c r="P555" s="60" t="n">
        <x:v>2.22</x:v>
      </x:c>
      <x:c r="Q555" s="60" t="n">
        <x:v>61.2</x:v>
      </x:c>
      <x:c r="R555" s="58" t="str">
        <x:v>X</x:v>
      </x:c>
      <x:c r="S555" s="60" t="n">
        <x:v>100</x:v>
      </x:c>
      <x:c r="T555" s="58" t="str">
        <x:v>IN TARGET BAND</x:v>
      </x:c>
      <x:c r="U555" s="58" t="str">
        <x:v>Yes</x:v>
      </x:c>
      <x:c r="V555" s="58" t="n">
        <x:v>2150</x:v>
      </x:c>
      <x:c r="W555" s="58" t="str">
        <x:v>Pasted text(59).txt</x:v>
      </x:c>
    </x:row>
    <x:row r="556">
      <x:c r="A556" s="58" t="str">
        <x:v>S17</x:v>
      </x:c>
      <x:c r="B556" s="58" t="str">
        <x:v>0.75 validation at 268.8 Hz — high-gain/quantization limitation</x:v>
      </x:c>
      <x:c r="C556" s="58" t="n">
        <x:v>0.75</x:v>
      </x:c>
      <x:c r="D556" s="58" t="n">
        <x:v>2</x:v>
      </x:c>
      <x:c r="E556" s="58" t="str">
        <x:v>PASS</x:v>
      </x:c>
      <x:c r="F556" s="58" t="n">
        <x:v>2</x:v>
      </x:c>
      <x:c r="G556" s="58" t="n">
        <x:v>5</x:v>
      </x:c>
      <x:c r="H556" s="59" t="n">
        <x:v>3.25</x:v>
      </x:c>
      <x:c r="I556" s="59" t="n">
        <x:v>0.73801</x:v>
      </x:c>
      <x:c r="J556" s="59" t="n">
        <x:v>0.74386</x:v>
      </x:c>
      <x:c r="K556" s="59" t="n">
        <x:v>0.33215</x:v>
      </x:c>
      <x:c r="L556" s="59" t="n">
        <x:v>0.20581</x:v>
      </x:c>
      <x:c r="M556" s="59" t="n">
        <x:v>0.84162</x:v>
      </x:c>
      <x:c r="N556" s="60" t="n">
        <x:v>-1.6</x:v>
      </x:c>
      <x:c r="O556" s="60" t="n">
        <x:v>4.33</x:v>
      </x:c>
      <x:c r="P556" s="60" t="n">
        <x:v>4.13</x:v>
      </x:c>
      <x:c r="Q556" s="60" t="n">
        <x:v>60.8</x:v>
      </x:c>
      <x:c r="R556" s="58" t="str">
        <x:v>X</x:v>
      </x:c>
      <x:c r="S556" s="60" t="n">
        <x:v>100</x:v>
      </x:c>
      <x:c r="T556" s="58" t="str">
        <x:v>IN TARGET BAND</x:v>
      </x:c>
      <x:c r="U556" s="58" t="str">
        <x:v>Yes</x:v>
      </x:c>
      <x:c r="V556" s="58" t="n">
        <x:v>2151</x:v>
      </x:c>
      <x:c r="W556" s="58" t="str">
        <x:v>Pasted text(59).txt</x:v>
      </x:c>
    </x:row>
    <x:row r="557">
      <x:c r="A557" s="58" t="str">
        <x:v>S17</x:v>
      </x:c>
      <x:c r="B557" s="58" t="str">
        <x:v>0.75 validation at 268.8 Hz — high-gain/quantization limitation</x:v>
      </x:c>
      <x:c r="C557" s="58" t="n">
        <x:v>0.75</x:v>
      </x:c>
      <x:c r="D557" s="58" t="n">
        <x:v>2</x:v>
      </x:c>
      <x:c r="E557" s="58" t="str">
        <x:v>PASS</x:v>
      </x:c>
      <x:c r="F557" s="58" t="n">
        <x:v>2</x:v>
      </x:c>
      <x:c r="G557" s="58" t="n">
        <x:v>6</x:v>
      </x:c>
      <x:c r="H557" s="59" t="n">
        <x:v>3.25</x:v>
      </x:c>
      <x:c r="I557" s="59" t="n">
        <x:v>0.73378</x:v>
      </x:c>
      <x:c r="J557" s="59" t="n">
        <x:v>0.74575</x:v>
      </x:c>
      <x:c r="K557" s="59" t="n">
        <x:v>0.35129</x:v>
      </x:c>
      <x:c r="L557" s="59" t="n">
        <x:v>0.21764</x:v>
      </x:c>
      <x:c r="M557" s="59" t="n">
        <x:v>0.85387</x:v>
      </x:c>
      <x:c r="N557" s="60" t="n">
        <x:v>-2.16</x:v>
      </x:c>
      <x:c r="O557" s="60" t="n">
        <x:v>0.31</x:v>
      </x:c>
      <x:c r="P557" s="60" t="n">
        <x:v>2.96</x:v>
      </x:c>
      <x:c r="Q557" s="60" t="n">
        <x:v>60.6</x:v>
      </x:c>
      <x:c r="R557" s="58" t="str">
        <x:v>X</x:v>
      </x:c>
      <x:c r="S557" s="60" t="n">
        <x:v>100</x:v>
      </x:c>
      <x:c r="T557" s="58" t="str">
        <x:v>IN TARGET BAND</x:v>
      </x:c>
      <x:c r="U557" s="58" t="str">
        <x:v>Yes</x:v>
      </x:c>
      <x:c r="V557" s="58" t="n">
        <x:v>2152</x:v>
      </x:c>
      <x:c r="W557" s="58" t="str">
        <x:v>Pasted text(59).txt</x:v>
      </x:c>
    </x:row>
    <x:row r="558">
      <x:c r="A558" s="58" t="str">
        <x:v>S17</x:v>
      </x:c>
      <x:c r="B558" s="58" t="str">
        <x:v>0.75 validation at 268.8 Hz — high-gain/quantization limitation</x:v>
      </x:c>
      <x:c r="C558" s="58" t="n">
        <x:v>0.75</x:v>
      </x:c>
      <x:c r="D558" s="58" t="n">
        <x:v>2</x:v>
      </x:c>
      <x:c r="E558" s="58" t="str">
        <x:v>PASS</x:v>
      </x:c>
      <x:c r="F558" s="58" t="n">
        <x:v>2</x:v>
      </x:c>
      <x:c r="G558" s="58" t="n">
        <x:v>7</x:v>
      </x:c>
      <x:c r="H558" s="59" t="n">
        <x:v>3.25</x:v>
      </x:c>
      <x:c r="I558" s="59" t="n">
        <x:v>0.76112</x:v>
      </x:c>
      <x:c r="J558" s="59" t="n">
        <x:v>0.75495</x:v>
      </x:c>
      <x:c r="K558" s="59" t="n">
        <x:v>0.30316</x:v>
      </x:c>
      <x:c r="L558" s="59" t="n">
        <x:v>0.18821</x:v>
      </x:c>
      <x:c r="M558" s="59" t="n">
        <x:v>0.83581</x:v>
      </x:c>
      <x:c r="N558" s="60" t="n">
        <x:v>1.48</x:v>
      </x:c>
      <x:c r="O558" s="60" t="n">
        <x:v>0.81</x:v>
      </x:c>
      <x:c r="P558" s="60" t="n">
        <x:v>1.92</x:v>
      </x:c>
      <x:c r="Q558" s="60" t="n">
        <x:v>61</x:v>
      </x:c>
      <x:c r="R558" s="58" t="str">
        <x:v>X</x:v>
      </x:c>
      <x:c r="S558" s="60" t="n">
        <x:v>100</x:v>
      </x:c>
      <x:c r="T558" s="58" t="str">
        <x:v>IN TARGET BAND</x:v>
      </x:c>
      <x:c r="U558" s="58" t="str">
        <x:v>Yes</x:v>
      </x:c>
      <x:c r="V558" s="58" t="n">
        <x:v>2153</x:v>
      </x:c>
      <x:c r="W558" s="58" t="str">
        <x:v>Pasted text(59).txt</x:v>
      </x:c>
    </x:row>
    <x:row r="559">
      <x:c r="A559" s="58" t="str">
        <x:v>S17</x:v>
      </x:c>
      <x:c r="B559" s="58" t="str">
        <x:v>0.75 validation at 268.8 Hz — high-gain/quantization limitation</x:v>
      </x:c>
      <x:c r="C559" s="58" t="n">
        <x:v>0.75</x:v>
      </x:c>
      <x:c r="D559" s="58" t="n">
        <x:v>2</x:v>
      </x:c>
      <x:c r="E559" s="58" t="str">
        <x:v>PASS</x:v>
      </x:c>
      <x:c r="F559" s="58" t="n">
        <x:v>2</x:v>
      </x:c>
      <x:c r="G559" s="58" t="n">
        <x:v>8</x:v>
      </x:c>
      <x:c r="H559" s="59" t="n">
        <x:v>3.25</x:v>
      </x:c>
      <x:c r="I559" s="59" t="n">
        <x:v>0.73794</x:v>
      </x:c>
      <x:c r="J559" s="59" t="n">
        <x:v>0.74171</x:v>
      </x:c>
      <x:c r="K559" s="59" t="n">
        <x:v>0.31275</x:v>
      </x:c>
      <x:c r="L559" s="59" t="n">
        <x:v>0.17689</x:v>
      </x:c>
      <x:c r="M559" s="59" t="n">
        <x:v>0.82683</x:v>
      </x:c>
      <x:c r="N559" s="60" t="n">
        <x:v>-1.61</x:v>
      </x:c>
      <x:c r="O559" s="60" t="n">
        <x:v>0.36</x:v>
      </x:c>
      <x:c r="P559" s="60" t="n">
        <x:v>1.09</x:v>
      </x:c>
      <x:c r="Q559" s="60" t="n">
        <x:v>60.5</x:v>
      </x:c>
      <x:c r="R559" s="58" t="str">
        <x:v>X</x:v>
      </x:c>
      <x:c r="S559" s="60" t="n">
        <x:v>100</x:v>
      </x:c>
      <x:c r="T559" s="58" t="str">
        <x:v>IN TARGET BAND</x:v>
      </x:c>
      <x:c r="U559" s="58" t="str">
        <x:v>Yes</x:v>
      </x:c>
      <x:c r="V559" s="58" t="n">
        <x:v>2154</x:v>
      </x:c>
      <x:c r="W559" s="58" t="str">
        <x:v>Pasted text(59).txt</x:v>
      </x:c>
    </x:row>
    <x:row r="560">
      <x:c r="A560" s="58" t="str">
        <x:v>S17</x:v>
      </x:c>
      <x:c r="B560" s="58" t="str">
        <x:v>0.75 validation at 268.8 Hz — high-gain/quantization limitation</x:v>
      </x:c>
      <x:c r="C560" s="58" t="n">
        <x:v>0.75</x:v>
      </x:c>
      <x:c r="D560" s="58" t="n">
        <x:v>2</x:v>
      </x:c>
      <x:c r="E560" s="58" t="str">
        <x:v>PASS</x:v>
      </x:c>
      <x:c r="F560" s="58" t="n">
        <x:v>2</x:v>
      </x:c>
      <x:c r="G560" s="58" t="n">
        <x:v>9</x:v>
      </x:c>
      <x:c r="H560" s="59" t="n">
        <x:v>3.25</x:v>
      </x:c>
      <x:c r="I560" s="59" t="n">
        <x:v>0.73755</x:v>
      </x:c>
      <x:c r="J560" s="59" t="n">
        <x:v>0.73647</x:v>
      </x:c>
      <x:c r="K560" s="59" t="n">
        <x:v>0.34478</x:v>
      </x:c>
      <x:c r="L560" s="59" t="n">
        <x:v>0.17163</x:v>
      </x:c>
      <x:c r="M560" s="59" t="n">
        <x:v>0.83145</x:v>
      </x:c>
      <x:c r="N560" s="60" t="n">
        <x:v>-1.66</x:v>
      </x:c>
      <x:c r="O560" s="60" t="n">
        <x:v>1.29</x:v>
      </x:c>
      <x:c r="P560" s="60" t="n">
        <x:v>1.1</x:v>
      </x:c>
      <x:c r="Q560" s="60" t="n">
        <x:v>59.4</x:v>
      </x:c>
      <x:c r="R560" s="58" t="str">
        <x:v>X</x:v>
      </x:c>
      <x:c r="S560" s="60" t="n">
        <x:v>100</x:v>
      </x:c>
      <x:c r="T560" s="58" t="str">
        <x:v>IN TARGET BAND</x:v>
      </x:c>
      <x:c r="U560" s="58" t="str">
        <x:v>Yes</x:v>
      </x:c>
      <x:c r="V560" s="58" t="n">
        <x:v>2155</x:v>
      </x:c>
      <x:c r="W560" s="58" t="str">
        <x:v>Pasted text(59).txt</x:v>
      </x:c>
    </x:row>
    <x:row r="561">
      <x:c r="A561" s="58" t="str">
        <x:v>S17</x:v>
      </x:c>
      <x:c r="B561" s="58" t="str">
        <x:v>0.75 validation at 268.8 Hz — high-gain/quantization limitation</x:v>
      </x:c>
      <x:c r="C561" s="58" t="n">
        <x:v>0.75</x:v>
      </x:c>
      <x:c r="D561" s="58" t="n">
        <x:v>2</x:v>
      </x:c>
      <x:c r="E561" s="58" t="str">
        <x:v>PASS</x:v>
      </x:c>
      <x:c r="F561" s="58" t="n">
        <x:v>2</x:v>
      </x:c>
      <x:c r="G561" s="58" t="n">
        <x:v>10</x:v>
      </x:c>
      <x:c r="H561" s="59" t="n">
        <x:v>3.25</x:v>
      </x:c>
      <x:c r="I561" s="59" t="n">
        <x:v>0.77242</x:v>
      </x:c>
      <x:c r="J561" s="59" t="n">
        <x:v>0.77455</x:v>
      </x:c>
      <x:c r="K561" s="59" t="n">
        <x:v>0.32927</x:v>
      </x:c>
      <x:c r="L561" s="59" t="n">
        <x:v>0.18901</x:v>
      </x:c>
      <x:c r="M561" s="59" t="n">
        <x:v>0.86326</x:v>
      </x:c>
      <x:c r="N561" s="60" t="n">
        <x:v>2.99</x:v>
      </x:c>
      <x:c r="O561" s="60" t="n">
        <x:v>5.07</x:v>
      </x:c>
      <x:c r="P561" s="60" t="n">
        <x:v>3.83</x:v>
      </x:c>
      <x:c r="Q561" s="60" t="n">
        <x:v>62.6</x:v>
      </x:c>
      <x:c r="R561" s="58" t="str">
        <x:v>X</x:v>
      </x:c>
      <x:c r="S561" s="60" t="n">
        <x:v>100</x:v>
      </x:c>
      <x:c r="T561" s="58" t="str">
        <x:v>IN TARGET BAND</x:v>
      </x:c>
      <x:c r="U561" s="58" t="str">
        <x:v>Yes</x:v>
      </x:c>
      <x:c r="V561" s="58" t="n">
        <x:v>2156</x:v>
      </x:c>
      <x:c r="W561" s="58" t="str">
        <x:v>Pasted text(59).txt</x:v>
      </x:c>
    </x:row>
    <x:row r="562">
      <x:c r="A562" s="58" t="str">
        <x:v>S17</x:v>
      </x:c>
      <x:c r="B562" s="58" t="str">
        <x:v>0.75 validation at 268.8 Hz — high-gain/quantization limitation</x:v>
      </x:c>
      <x:c r="C562" s="58" t="n">
        <x:v>0.75</x:v>
      </x:c>
      <x:c r="D562" s="58" t="n">
        <x:v>4</x:v>
      </x:c>
      <x:c r="E562" s="58" t="str">
        <x:v>PASS</x:v>
      </x:c>
      <x:c r="F562" s="58" t="n">
        <x:v>1</x:v>
      </x:c>
      <x:c r="G562" s="58" t="n">
        <x:v>1</x:v>
      </x:c>
      <x:c r="H562" s="59" t="n">
        <x:v>3</x:v>
      </x:c>
      <x:c r="I562" s="59" t="n">
        <x:v>0.78775</x:v>
      </x:c>
      <x:c r="J562" s="59" t="n">
        <x:v>0.78758</x:v>
      </x:c>
      <x:c r="K562" s="59" t="n">
        <x:v>0.31073</x:v>
      </x:c>
      <x:c r="L562" s="59" t="n">
        <x:v>0.1789</x:v>
      </x:c>
      <x:c r="M562" s="59" t="n">
        <x:v>0.86803</x:v>
      </x:c>
      <x:c r="N562" s="60" t="n">
        <x:v>5.03</x:v>
      </x:c>
      <x:c r="O562" s="60" t="n">
        <x:v>0.45</x:v>
      </x:c>
      <x:c r="P562" s="60" t="n">
        <x:v>0.33</x:v>
      </x:c>
      <x:c r="Q562" s="60" t="n">
        <x:v>54.3</x:v>
      </x:c>
      <x:c r="R562" s="58" t="str">
        <x:v>X</x:v>
      </x:c>
      <x:c r="S562" s="60" t="n">
        <x:v>100</x:v>
      </x:c>
      <x:c r="T562" s="58" t="str">
        <x:v>IN TARGET BAND</x:v>
      </x:c>
      <x:c r="U562" s="58" t="str">
        <x:v>Yes</x:v>
      </x:c>
      <x:c r="V562" s="58" t="n">
        <x:v>2284</x:v>
      </x:c>
      <x:c r="W562" s="58" t="str">
        <x:v>Pasted text(59).txt</x:v>
      </x:c>
    </x:row>
    <x:row r="563">
      <x:c r="A563" s="58" t="str">
        <x:v>S17</x:v>
      </x:c>
      <x:c r="B563" s="58" t="str">
        <x:v>0.75 validation at 268.8 Hz — high-gain/quantization limitation</x:v>
      </x:c>
      <x:c r="C563" s="58" t="n">
        <x:v>0.75</x:v>
      </x:c>
      <x:c r="D563" s="58" t="n">
        <x:v>4</x:v>
      </x:c>
      <x:c r="E563" s="58" t="str">
        <x:v>PASS</x:v>
      </x:c>
      <x:c r="F563" s="58" t="n">
        <x:v>1</x:v>
      </x:c>
      <x:c r="G563" s="58" t="n">
        <x:v>2</x:v>
      </x:c>
      <x:c r="H563" s="59" t="n">
        <x:v>3</x:v>
      </x:c>
      <x:c r="I563" s="59" t="n">
        <x:v>0.76671</x:v>
      </x:c>
      <x:c r="J563" s="59" t="n">
        <x:v>0.78902</x:v>
      </x:c>
      <x:c r="K563" s="59" t="n">
        <x:v>0.29154</x:v>
      </x:c>
      <x:c r="L563" s="59" t="n">
        <x:v>0.18393</x:v>
      </x:c>
      <x:c r="M563" s="59" t="n">
        <x:v>0.8615</x:v>
      </x:c>
      <x:c r="N563" s="60" t="n">
        <x:v>2.23</x:v>
      </x:c>
      <x:c r="O563" s="60" t="n">
        <x:v>2.05</x:v>
      </x:c>
      <x:c r="P563" s="60" t="n">
        <x:v>6.09</x:v>
      </x:c>
      <x:c r="Q563" s="60" t="n">
        <x:v>53.9</x:v>
      </x:c>
      <x:c r="R563" s="58" t="str">
        <x:v>X</x:v>
      </x:c>
      <x:c r="S563" s="60" t="n">
        <x:v>100</x:v>
      </x:c>
      <x:c r="T563" s="58" t="str">
        <x:v>IN TARGET BAND</x:v>
      </x:c>
      <x:c r="U563" s="58" t="str">
        <x:v>Yes</x:v>
      </x:c>
      <x:c r="V563" s="58" t="n">
        <x:v>2285</x:v>
      </x:c>
      <x:c r="W563" s="58" t="str">
        <x:v>Pasted text(59).txt</x:v>
      </x:c>
    </x:row>
    <x:row r="564">
      <x:c r="A564" s="58" t="str">
        <x:v>S17</x:v>
      </x:c>
      <x:c r="B564" s="58" t="str">
        <x:v>0.75 validation at 268.8 Hz — high-gain/quantization limitation</x:v>
      </x:c>
      <x:c r="C564" s="58" t="n">
        <x:v>0.75</x:v>
      </x:c>
      <x:c r="D564" s="58" t="n">
        <x:v>4</x:v>
      </x:c>
      <x:c r="E564" s="58" t="str">
        <x:v>PASS</x:v>
      </x:c>
      <x:c r="F564" s="58" t="n">
        <x:v>1</x:v>
      </x:c>
      <x:c r="G564" s="58" t="n">
        <x:v>3</x:v>
      </x:c>
      <x:c r="H564" s="59" t="n">
        <x:v>3</x:v>
      </x:c>
      <x:c r="I564" s="59" t="n">
        <x:v>0.79221</x:v>
      </x:c>
      <x:c r="J564" s="59" t="n">
        <x:v>0.78771</x:v>
      </x:c>
      <x:c r="K564" s="59" t="n">
        <x:v>0.31604</x:v>
      </x:c>
      <x:c r="L564" s="59" t="n">
        <x:v>0.17751</x:v>
      </x:c>
      <x:c r="M564" s="59" t="n">
        <x:v>0.86807</x:v>
      </x:c>
      <x:c r="N564" s="60" t="n">
        <x:v>5.63</x:v>
      </x:c>
      <x:c r="O564" s="60" t="n">
        <x:v>1.3</x:v>
      </x:c>
      <x:c r="P564" s="60" t="n">
        <x:v>1.81</x:v>
      </x:c>
      <x:c r="Q564" s="60" t="n">
        <x:v>53.6</x:v>
      </x:c>
      <x:c r="R564" s="58" t="str">
        <x:v>X</x:v>
      </x:c>
      <x:c r="S564" s="60" t="n">
        <x:v>100</x:v>
      </x:c>
      <x:c r="T564" s="58" t="str">
        <x:v>IN TARGET BAND</x:v>
      </x:c>
      <x:c r="U564" s="58" t="str">
        <x:v>Yes</x:v>
      </x:c>
      <x:c r="V564" s="58" t="n">
        <x:v>2286</x:v>
      </x:c>
      <x:c r="W564" s="58" t="str">
        <x:v>Pasted text(59).txt</x:v>
      </x:c>
    </x:row>
    <x:row r="565">
      <x:c r="A565" s="58" t="str">
        <x:v>S17</x:v>
      </x:c>
      <x:c r="B565" s="58" t="str">
        <x:v>0.75 validation at 268.8 Hz — high-gain/quantization limitation</x:v>
      </x:c>
      <x:c r="C565" s="58" t="n">
        <x:v>0.75</x:v>
      </x:c>
      <x:c r="D565" s="58" t="n">
        <x:v>4</x:v>
      </x:c>
      <x:c r="E565" s="58" t="str">
        <x:v>PASS</x:v>
      </x:c>
      <x:c r="F565" s="58" t="n">
        <x:v>1</x:v>
      </x:c>
      <x:c r="G565" s="58" t="n">
        <x:v>4</x:v>
      </x:c>
      <x:c r="H565" s="59" t="n">
        <x:v>3</x:v>
      </x:c>
      <x:c r="I565" s="59" t="n">
        <x:v>0.77945</x:v>
      </x:c>
      <x:c r="J565" s="59" t="n">
        <x:v>0.77391</x:v>
      </x:c>
      <x:c r="K565" s="59" t="n">
        <x:v>0.33462</x:v>
      </x:c>
      <x:c r="L565" s="59" t="n">
        <x:v>0.19444</x:v>
      </x:c>
      <x:c r="M565" s="59" t="n">
        <x:v>0.86598</x:v>
      </x:c>
      <x:c r="N565" s="60" t="n">
        <x:v>3.93</x:v>
      </x:c>
      <x:c r="O565" s="60" t="n">
        <x:v>4.06</x:v>
      </x:c>
      <x:c r="P565" s="60" t="n">
        <x:v>3.88</x:v>
      </x:c>
      <x:c r="Q565" s="60" t="n">
        <x:v>53.3</x:v>
      </x:c>
      <x:c r="R565" s="58" t="str">
        <x:v>X</x:v>
      </x:c>
      <x:c r="S565" s="60" t="n">
        <x:v>100</x:v>
      </x:c>
      <x:c r="T565" s="58" t="str">
        <x:v>IN TARGET BAND</x:v>
      </x:c>
      <x:c r="U565" s="58" t="str">
        <x:v>Yes</x:v>
      </x:c>
      <x:c r="V565" s="58" t="n">
        <x:v>2287</x:v>
      </x:c>
      <x:c r="W565" s="58" t="str">
        <x:v>Pasted text(59).txt</x:v>
      </x:c>
    </x:row>
    <x:row r="566">
      <x:c r="A566" s="58" t="str">
        <x:v>S17</x:v>
      </x:c>
      <x:c r="B566" s="58" t="str">
        <x:v>0.75 validation at 268.8 Hz — high-gain/quantization limitation</x:v>
      </x:c>
      <x:c r="C566" s="58" t="n">
        <x:v>0.75</x:v>
      </x:c>
      <x:c r="D566" s="58" t="n">
        <x:v>4</x:v>
      </x:c>
      <x:c r="E566" s="58" t="str">
        <x:v>PASS</x:v>
      </x:c>
      <x:c r="F566" s="58" t="n">
        <x:v>1</x:v>
      </x:c>
      <x:c r="G566" s="58" t="n">
        <x:v>5</x:v>
      </x:c>
      <x:c r="H566" s="59" t="n">
        <x:v>3</x:v>
      </x:c>
      <x:c r="I566" s="59" t="n">
        <x:v>0.78469</x:v>
      </x:c>
      <x:c r="J566" s="59" t="n">
        <x:v>0.79399</x:v>
      </x:c>
      <x:c r="K566" s="59" t="n">
        <x:v>0.31114</x:v>
      </x:c>
      <x:c r="L566" s="59" t="n">
        <x:v>0.18684</x:v>
      </x:c>
      <x:c r="M566" s="59" t="n">
        <x:v>0.87549</x:v>
      </x:c>
      <x:c r="N566" s="60" t="n">
        <x:v>4.62</x:v>
      </x:c>
      <x:c r="O566" s="60" t="n">
        <x:v>2.94</x:v>
      </x:c>
      <x:c r="P566" s="60" t="n">
        <x:v>3.86</x:v>
      </x:c>
      <x:c r="Q566" s="60" t="n">
        <x:v>54</x:v>
      </x:c>
      <x:c r="R566" s="58" t="str">
        <x:v>X</x:v>
      </x:c>
      <x:c r="S566" s="60" t="n">
        <x:v>100</x:v>
      </x:c>
      <x:c r="T566" s="58" t="str">
        <x:v>IN TARGET BAND</x:v>
      </x:c>
      <x:c r="U566" s="58" t="str">
        <x:v>Yes</x:v>
      </x:c>
      <x:c r="V566" s="58" t="n">
        <x:v>2288</x:v>
      </x:c>
      <x:c r="W566" s="58" t="str">
        <x:v>Pasted text(59).txt</x:v>
      </x:c>
    </x:row>
    <x:row r="567">
      <x:c r="A567" s="58" t="str">
        <x:v>S17</x:v>
      </x:c>
      <x:c r="B567" s="58" t="str">
        <x:v>0.75 validation at 268.8 Hz — high-gain/quantization limitation</x:v>
      </x:c>
      <x:c r="C567" s="58" t="n">
        <x:v>0.75</x:v>
      </x:c>
      <x:c r="D567" s="58" t="n">
        <x:v>4</x:v>
      </x:c>
      <x:c r="E567" s="58" t="str">
        <x:v>PASS</x:v>
      </x:c>
      <x:c r="F567" s="58" t="n">
        <x:v>1</x:v>
      </x:c>
      <x:c r="G567" s="58" t="n">
        <x:v>6</x:v>
      </x:c>
      <x:c r="H567" s="59" t="n">
        <x:v>3</x:v>
      </x:c>
      <x:c r="I567" s="59" t="n">
        <x:v>0.77754</x:v>
      </x:c>
      <x:c r="J567" s="59" t="n">
        <x:v>0.78366</x:v>
      </x:c>
      <x:c r="K567" s="59" t="n">
        <x:v>0.32333</x:v>
      </x:c>
      <x:c r="L567" s="59" t="n">
        <x:v>0.2236</x:v>
      </x:c>
      <x:c r="M567" s="59" t="n">
        <x:v>0.87756</x:v>
      </x:c>
      <x:c r="N567" s="60" t="n">
        <x:v>3.67</x:v>
      </x:c>
      <x:c r="O567" s="60" t="n">
        <x:v>1.66</x:v>
      </x:c>
      <x:c r="P567" s="60" t="n">
        <x:v>2.38</x:v>
      </x:c>
      <x:c r="Q567" s="60" t="n">
        <x:v>53.1</x:v>
      </x:c>
      <x:c r="R567" s="58" t="str">
        <x:v>X</x:v>
      </x:c>
      <x:c r="S567" s="60" t="n">
        <x:v>100</x:v>
      </x:c>
      <x:c r="T567" s="58" t="str">
        <x:v>IN TARGET BAND</x:v>
      </x:c>
      <x:c r="U567" s="58" t="str">
        <x:v>Yes</x:v>
      </x:c>
      <x:c r="V567" s="58" t="n">
        <x:v>2289</x:v>
      </x:c>
      <x:c r="W567" s="58" t="str">
        <x:v>Pasted text(59).txt</x:v>
      </x:c>
    </x:row>
    <x:row r="568">
      <x:c r="A568" s="58" t="str">
        <x:v>S17</x:v>
      </x:c>
      <x:c r="B568" s="58" t="str">
        <x:v>0.75 validation at 268.8 Hz — high-gain/quantization limitation</x:v>
      </x:c>
      <x:c r="C568" s="58" t="n">
        <x:v>0.75</x:v>
      </x:c>
      <x:c r="D568" s="58" t="n">
        <x:v>4</x:v>
      </x:c>
      <x:c r="E568" s="58" t="str">
        <x:v>PASS</x:v>
      </x:c>
      <x:c r="F568" s="58" t="n">
        <x:v>1</x:v>
      </x:c>
      <x:c r="G568" s="58" t="n">
        <x:v>7</x:v>
      </x:c>
      <x:c r="H568" s="59" t="n">
        <x:v>3</x:v>
      </x:c>
      <x:c r="I568" s="59" t="n">
        <x:v>0.80478</x:v>
      </x:c>
      <x:c r="J568" s="59" t="n">
        <x:v>0.80235</x:v>
      </x:c>
      <x:c r="K568" s="59" t="n">
        <x:v>0.35737</x:v>
      </x:c>
      <x:c r="L568" s="59" t="n">
        <x:v>0.2065</x:v>
      </x:c>
      <x:c r="M568" s="59" t="n">
        <x:v>0.90394</x:v>
      </x:c>
      <x:c r="N568" s="60" t="n">
        <x:v>7.3</x:v>
      </x:c>
      <x:c r="O568" s="60" t="n">
        <x:v>2.21</x:v>
      </x:c>
      <x:c r="P568" s="60" t="n">
        <x:v>1.96</x:v>
      </x:c>
      <x:c r="Q568" s="60" t="n">
        <x:v>54.8</x:v>
      </x:c>
      <x:c r="R568" s="58" t="str">
        <x:v>X</x:v>
      </x:c>
      <x:c r="S568" s="60" t="n">
        <x:v>100</x:v>
      </x:c>
      <x:c r="T568" s="58" t="str">
        <x:v>IN TARGET BAND</x:v>
      </x:c>
      <x:c r="U568" s="58" t="str">
        <x:v>Yes</x:v>
      </x:c>
      <x:c r="V568" s="58" t="n">
        <x:v>2290</x:v>
      </x:c>
      <x:c r="W568" s="58" t="str">
        <x:v>Pasted text(59).txt</x:v>
      </x:c>
    </x:row>
    <x:row r="569">
      <x:c r="A569" s="58" t="str">
        <x:v>S17</x:v>
      </x:c>
      <x:c r="B569" s="58" t="str">
        <x:v>0.75 validation at 268.8 Hz — high-gain/quantization limitation</x:v>
      </x:c>
      <x:c r="C569" s="58" t="n">
        <x:v>0.75</x:v>
      </x:c>
      <x:c r="D569" s="58" t="n">
        <x:v>4</x:v>
      </x:c>
      <x:c r="E569" s="58" t="str">
        <x:v>PASS</x:v>
      </x:c>
      <x:c r="F569" s="58" t="n">
        <x:v>1</x:v>
      </x:c>
      <x:c r="G569" s="58" t="n">
        <x:v>8</x:v>
      </x:c>
      <x:c r="H569" s="59" t="n">
        <x:v>3</x:v>
      </x:c>
      <x:c r="I569" s="59" t="n">
        <x:v>0.75483</x:v>
      </x:c>
      <x:c r="J569" s="59" t="n">
        <x:v>0.77148</x:v>
      </x:c>
      <x:c r="K569" s="59" t="n">
        <x:v>0.31369</x:v>
      </x:c>
      <x:c r="L569" s="59" t="n">
        <x:v>0.18169</x:v>
      </x:c>
      <x:c r="M569" s="59" t="n">
        <x:v>0.85345</x:v>
      </x:c>
      <x:c r="N569" s="60" t="n">
        <x:v>0.64</x:v>
      </x:c>
      <x:c r="O569" s="60" t="n">
        <x:v>4.97</x:v>
      </x:c>
      <x:c r="P569" s="60" t="n">
        <x:v>6.78</x:v>
      </x:c>
      <x:c r="Q569" s="60" t="n">
        <x:v>54</x:v>
      </x:c>
      <x:c r="R569" s="58" t="str">
        <x:v>X</x:v>
      </x:c>
      <x:c r="S569" s="60" t="n">
        <x:v>100</x:v>
      </x:c>
      <x:c r="T569" s="58" t="str">
        <x:v>IN TARGET BAND</x:v>
      </x:c>
      <x:c r="U569" s="58" t="str">
        <x:v>Yes</x:v>
      </x:c>
      <x:c r="V569" s="58" t="n">
        <x:v>2291</x:v>
      </x:c>
      <x:c r="W569" s="58" t="str">
        <x:v>Pasted text(59).txt</x:v>
      </x:c>
    </x:row>
    <x:row r="570">
      <x:c r="A570" s="58" t="str">
        <x:v>S17</x:v>
      </x:c>
      <x:c r="B570" s="58" t="str">
        <x:v>0.75 validation at 268.8 Hz — high-gain/quantization limitation</x:v>
      </x:c>
      <x:c r="C570" s="58" t="n">
        <x:v>0.75</x:v>
      </x:c>
      <x:c r="D570" s="58" t="n">
        <x:v>4</x:v>
      </x:c>
      <x:c r="E570" s="58" t="str">
        <x:v>PASS</x:v>
      </x:c>
      <x:c r="F570" s="58" t="n">
        <x:v>1</x:v>
      </x:c>
      <x:c r="G570" s="58" t="n">
        <x:v>9</x:v>
      </x:c>
      <x:c r="H570" s="59" t="n">
        <x:v>3</x:v>
      </x:c>
      <x:c r="I570" s="59" t="n">
        <x:v>0.77254</x:v>
      </x:c>
      <x:c r="J570" s="59" t="n">
        <x:v>0.78307</x:v>
      </x:c>
      <x:c r="K570" s="59" t="n">
        <x:v>0.30639</x:v>
      </x:c>
      <x:c r="L570" s="59" t="n">
        <x:v>0.16779</x:v>
      </x:c>
      <x:c r="M570" s="59" t="n">
        <x:v>0.85784</x:v>
      </x:c>
      <x:c r="N570" s="60" t="n">
        <x:v>3.01</x:v>
      </x:c>
      <x:c r="O570" s="60" t="n">
        <x:v>6.12</x:v>
      </x:c>
      <x:c r="P570" s="60" t="n">
        <x:v>6.2</x:v>
      </x:c>
      <x:c r="Q570" s="60" t="n">
        <x:v>53.4</x:v>
      </x:c>
      <x:c r="R570" s="58" t="str">
        <x:v>X</x:v>
      </x:c>
      <x:c r="S570" s="60" t="n">
        <x:v>100</x:v>
      </x:c>
      <x:c r="T570" s="58" t="str">
        <x:v>IN TARGET BAND</x:v>
      </x:c>
      <x:c r="U570" s="58" t="str">
        <x:v>Yes</x:v>
      </x:c>
      <x:c r="V570" s="58" t="n">
        <x:v>2292</x:v>
      </x:c>
      <x:c r="W570" s="58" t="str">
        <x:v>Pasted text(59).txt</x:v>
      </x:c>
    </x:row>
    <x:row r="571">
      <x:c r="A571" s="58" t="str">
        <x:v>S17</x:v>
      </x:c>
      <x:c r="B571" s="58" t="str">
        <x:v>0.75 validation at 268.8 Hz — high-gain/quantization limitation</x:v>
      </x:c>
      <x:c r="C571" s="58" t="n">
        <x:v>0.75</x:v>
      </x:c>
      <x:c r="D571" s="58" t="n">
        <x:v>4</x:v>
      </x:c>
      <x:c r="E571" s="58" t="str">
        <x:v>PASS</x:v>
      </x:c>
      <x:c r="F571" s="58" t="n">
        <x:v>1</x:v>
      </x:c>
      <x:c r="G571" s="58" t="n">
        <x:v>10</x:v>
      </x:c>
      <x:c r="H571" s="59" t="n">
        <x:v>3</x:v>
      </x:c>
      <x:c r="I571" s="59" t="n">
        <x:v>0.8044</x:v>
      </x:c>
      <x:c r="J571" s="59" t="n">
        <x:v>0.80651</x:v>
      </x:c>
      <x:c r="K571" s="59" t="n">
        <x:v>0.33153</x:v>
      </x:c>
      <x:c r="L571" s="59" t="n">
        <x:v>0.17838</x:v>
      </x:c>
      <x:c r="M571" s="59" t="n">
        <x:v>0.89036</x:v>
      </x:c>
      <x:c r="N571" s="60" t="n">
        <x:v>7.25</x:v>
      </x:c>
      <x:c r="O571" s="60" t="n">
        <x:v>1.32</x:v>
      </x:c>
      <x:c r="P571" s="60" t="n">
        <x:v>1.3</x:v>
      </x:c>
      <x:c r="Q571" s="60" t="n">
        <x:v>55.4</x:v>
      </x:c>
      <x:c r="R571" s="58" t="str">
        <x:v>X</x:v>
      </x:c>
      <x:c r="S571" s="60" t="n">
        <x:v>100</x:v>
      </x:c>
      <x:c r="T571" s="58" t="str">
        <x:v>IN TARGET BAND</x:v>
      </x:c>
      <x:c r="U571" s="58" t="str">
        <x:v>Yes</x:v>
      </x:c>
      <x:c r="V571" s="58" t="n">
        <x:v>2293</x:v>
      </x:c>
      <x:c r="W571" s="58" t="str">
        <x:v>Pasted text(59).txt</x:v>
      </x:c>
    </x:row>
    <x:row r="572">
      <x:c r="A572" s="58" t="str">
        <x:v>S17</x:v>
      </x:c>
      <x:c r="B572" s="58" t="str">
        <x:v>0.75 validation at 268.8 Hz — high-gain/quantization limitation</x:v>
      </x:c>
      <x:c r="C572" s="58" t="n">
        <x:v>0.75</x:v>
      </x:c>
      <x:c r="D572" s="58" t="n">
        <x:v>5</x:v>
      </x:c>
      <x:c r="E572" s="58" t="str">
        <x:v>PASS</x:v>
      </x:c>
      <x:c r="F572" s="58" t="n">
        <x:v>2</x:v>
      </x:c>
      <x:c r="G572" s="58" t="n">
        <x:v>1</x:v>
      </x:c>
      <x:c r="H572" s="59" t="n">
        <x:v>3</x:v>
      </x:c>
      <x:c r="I572" s="59" t="n">
        <x:v>0.79867</x:v>
      </x:c>
      <x:c r="J572" s="59" t="n">
        <x:v>0.79682</x:v>
      </x:c>
      <x:c r="K572" s="59" t="n">
        <x:v>0.30149</x:v>
      </x:c>
      <x:c r="L572" s="59" t="n">
        <x:v>0.19143</x:v>
      </x:c>
      <x:c r="M572" s="59" t="n">
        <x:v>0.87438</x:v>
      </x:c>
      <x:c r="N572" s="60" t="n">
        <x:v>6.49</x:v>
      </x:c>
      <x:c r="O572" s="60" t="n">
        <x:v>1</x:v>
      </x:c>
      <x:c r="P572" s="60" t="n">
        <x:v>1.04</x:v>
      </x:c>
      <x:c r="Q572" s="60" t="n">
        <x:v>54.6</x:v>
      </x:c>
      <x:c r="R572" s="58" t="str">
        <x:v>X</x:v>
      </x:c>
      <x:c r="S572" s="60" t="n">
        <x:v>100</x:v>
      </x:c>
      <x:c r="T572" s="58" t="str">
        <x:v>IN TARGET BAND</x:v>
      </x:c>
      <x:c r="U572" s="58" t="str">
        <x:v>Yes</x:v>
      </x:c>
      <x:c r="V572" s="58" t="n">
        <x:v>2365</x:v>
      </x:c>
      <x:c r="W572" s="58" t="str">
        <x:v>Pasted text(59).txt</x:v>
      </x:c>
    </x:row>
    <x:row r="573">
      <x:c r="A573" s="58" t="str">
        <x:v>S17</x:v>
      </x:c>
      <x:c r="B573" s="58" t="str">
        <x:v>0.75 validation at 268.8 Hz — high-gain/quantization limitation</x:v>
      </x:c>
      <x:c r="C573" s="58" t="n">
        <x:v>0.75</x:v>
      </x:c>
      <x:c r="D573" s="58" t="n">
        <x:v>5</x:v>
      </x:c>
      <x:c r="E573" s="58" t="str">
        <x:v>PASS</x:v>
      </x:c>
      <x:c r="F573" s="58" t="n">
        <x:v>2</x:v>
      </x:c>
      <x:c r="G573" s="58" t="n">
        <x:v>2</x:v>
      </x:c>
      <x:c r="H573" s="59" t="n">
        <x:v>3</x:v>
      </x:c>
      <x:c r="I573" s="59" t="n">
        <x:v>0.7978</x:v>
      </x:c>
      <x:c r="J573" s="59" t="n">
        <x:v>0.78172</x:v>
      </x:c>
      <x:c r="K573" s="59" t="n">
        <x:v>0.29863</x:v>
      </x:c>
      <x:c r="L573" s="59" t="n">
        <x:v>0.1663</x:v>
      </x:c>
      <x:c r="M573" s="59" t="n">
        <x:v>0.85463</x:v>
      </x:c>
      <x:c r="N573" s="60" t="n">
        <x:v>6.37</x:v>
      </x:c>
      <x:c r="O573" s="60" t="n">
        <x:v>0.47</x:v>
      </x:c>
      <x:c r="P573" s="60" t="n">
        <x:v>3.84</x:v>
      </x:c>
      <x:c r="Q573" s="60" t="n">
        <x:v>54</x:v>
      </x:c>
      <x:c r="R573" s="58" t="str">
        <x:v>X</x:v>
      </x:c>
      <x:c r="S573" s="60" t="n">
        <x:v>100</x:v>
      </x:c>
      <x:c r="T573" s="58" t="str">
        <x:v>IN TARGET BAND</x:v>
      </x:c>
      <x:c r="U573" s="58" t="str">
        <x:v>Yes</x:v>
      </x:c>
      <x:c r="V573" s="58" t="n">
        <x:v>2366</x:v>
      </x:c>
      <x:c r="W573" s="58" t="str">
        <x:v>Pasted text(59).txt</x:v>
      </x:c>
    </x:row>
    <x:row r="574">
      <x:c r="A574" s="58" t="str">
        <x:v>S17</x:v>
      </x:c>
      <x:c r="B574" s="58" t="str">
        <x:v>0.75 validation at 268.8 Hz — high-gain/quantization limitation</x:v>
      </x:c>
      <x:c r="C574" s="58" t="n">
        <x:v>0.75</x:v>
      </x:c>
      <x:c r="D574" s="58" t="n">
        <x:v>5</x:v>
      </x:c>
      <x:c r="E574" s="58" t="str">
        <x:v>PASS</x:v>
      </x:c>
      <x:c r="F574" s="58" t="n">
        <x:v>2</x:v>
      </x:c>
      <x:c r="G574" s="58" t="n">
        <x:v>3</x:v>
      </x:c>
      <x:c r="H574" s="59" t="n">
        <x:v>3</x:v>
      </x:c>
      <x:c r="I574" s="59" t="n">
        <x:v>0.77286</x:v>
      </x:c>
      <x:c r="J574" s="59" t="n">
        <x:v>0.78328</x:v>
      </x:c>
      <x:c r="K574" s="59" t="n">
        <x:v>0.29176</x:v>
      </x:c>
      <x:c r="L574" s="59" t="n">
        <x:v>0.18435</x:v>
      </x:c>
      <x:c r="M574" s="59" t="n">
        <x:v>0.85707</x:v>
      </x:c>
      <x:c r="N574" s="60" t="n">
        <x:v>3.05</x:v>
      </x:c>
      <x:c r="O574" s="60" t="n">
        <x:v>1.52</x:v>
      </x:c>
      <x:c r="P574" s="60" t="n">
        <x:v>3.22</x:v>
      </x:c>
      <x:c r="Q574" s="60" t="n">
        <x:v>53.7</x:v>
      </x:c>
      <x:c r="R574" s="58" t="str">
        <x:v>X</x:v>
      </x:c>
      <x:c r="S574" s="60" t="n">
        <x:v>100</x:v>
      </x:c>
      <x:c r="T574" s="58" t="str">
        <x:v>IN TARGET BAND</x:v>
      </x:c>
      <x:c r="U574" s="58" t="str">
        <x:v>Yes</x:v>
      </x:c>
      <x:c r="V574" s="58" t="n">
        <x:v>2367</x:v>
      </x:c>
      <x:c r="W574" s="58" t="str">
        <x:v>Pasted text(59).txt</x:v>
      </x:c>
    </x:row>
    <x:row r="575">
      <x:c r="A575" s="58" t="str">
        <x:v>S17</x:v>
      </x:c>
      <x:c r="B575" s="58" t="str">
        <x:v>0.75 validation at 268.8 Hz — high-gain/quantization limitation</x:v>
      </x:c>
      <x:c r="C575" s="58" t="n">
        <x:v>0.75</x:v>
      </x:c>
      <x:c r="D575" s="58" t="n">
        <x:v>5</x:v>
      </x:c>
      <x:c r="E575" s="58" t="str">
        <x:v>PASS</x:v>
      </x:c>
      <x:c r="F575" s="58" t="n">
        <x:v>2</x:v>
      </x:c>
      <x:c r="G575" s="58" t="n">
        <x:v>4</x:v>
      </x:c>
      <x:c r="H575" s="59" t="n">
        <x:v>3</x:v>
      </x:c>
      <x:c r="I575" s="59" t="n">
        <x:v>0.74748</x:v>
      </x:c>
      <x:c r="J575" s="59" t="n">
        <x:v>0.76492</x:v>
      </x:c>
      <x:c r="K575" s="59" t="n">
        <x:v>0.29341</x:v>
      </x:c>
      <x:c r="L575" s="59" t="n">
        <x:v>0.20749</x:v>
      </x:c>
      <x:c r="M575" s="59" t="n">
        <x:v>0.84547</x:v>
      </x:c>
      <x:c r="N575" s="60" t="n">
        <x:v>-0.34</x:v>
      </x:c>
      <x:c r="O575" s="60" t="n">
        <x:v>1.29</x:v>
      </x:c>
      <x:c r="P575" s="60" t="n">
        <x:v>4.7</x:v>
      </x:c>
      <x:c r="Q575" s="60" t="n">
        <x:v>52.8</x:v>
      </x:c>
      <x:c r="R575" s="58" t="str">
        <x:v>X</x:v>
      </x:c>
      <x:c r="S575" s="60" t="n">
        <x:v>100</x:v>
      </x:c>
      <x:c r="T575" s="58" t="str">
        <x:v>IN TARGET BAND</x:v>
      </x:c>
      <x:c r="U575" s="58" t="str">
        <x:v>Yes</x:v>
      </x:c>
      <x:c r="V575" s="58" t="n">
        <x:v>2368</x:v>
      </x:c>
      <x:c r="W575" s="58" t="str">
        <x:v>Pasted text(59).txt</x:v>
      </x:c>
    </x:row>
    <x:row r="576">
      <x:c r="A576" s="58" t="str">
        <x:v>S17</x:v>
      </x:c>
      <x:c r="B576" s="58" t="str">
        <x:v>0.75 validation at 268.8 Hz — high-gain/quantization limitation</x:v>
      </x:c>
      <x:c r="C576" s="58" t="n">
        <x:v>0.75</x:v>
      </x:c>
      <x:c r="D576" s="58" t="n">
        <x:v>5</x:v>
      </x:c>
      <x:c r="E576" s="58" t="str">
        <x:v>PASS</x:v>
      </x:c>
      <x:c r="F576" s="58" t="n">
        <x:v>2</x:v>
      </x:c>
      <x:c r="G576" s="58" t="n">
        <x:v>5</x:v>
      </x:c>
      <x:c r="H576" s="59" t="n">
        <x:v>3</x:v>
      </x:c>
      <x:c r="I576" s="59" t="n">
        <x:v>0.77103</x:v>
      </x:c>
      <x:c r="J576" s="59" t="n">
        <x:v>0.78496</x:v>
      </x:c>
      <x:c r="K576" s="59" t="n">
        <x:v>0.29767</x:v>
      </x:c>
      <x:c r="L576" s="59" t="n">
        <x:v>0.1993</x:v>
      </x:c>
      <x:c r="M576" s="59" t="n">
        <x:v>0.86419</x:v>
      </x:c>
      <x:c r="N576" s="60" t="n">
        <x:v>2.8</x:v>
      </x:c>
      <x:c r="O576" s="60" t="n">
        <x:v>0.52</x:v>
      </x:c>
      <x:c r="P576" s="60" t="n">
        <x:v>3.38</x:v>
      </x:c>
      <x:c r="Q576" s="60" t="n">
        <x:v>54.3</x:v>
      </x:c>
      <x:c r="R576" s="58" t="str">
        <x:v>X</x:v>
      </x:c>
      <x:c r="S576" s="60" t="n">
        <x:v>100</x:v>
      </x:c>
      <x:c r="T576" s="58" t="str">
        <x:v>IN TARGET BAND</x:v>
      </x:c>
      <x:c r="U576" s="58" t="str">
        <x:v>Yes</x:v>
      </x:c>
      <x:c r="V576" s="58" t="n">
        <x:v>2369</x:v>
      </x:c>
      <x:c r="W576" s="58" t="str">
        <x:v>Pasted text(59).txt</x:v>
      </x:c>
    </x:row>
    <x:row r="577">
      <x:c r="A577" s="58" t="str">
        <x:v>S17</x:v>
      </x:c>
      <x:c r="B577" s="58" t="str">
        <x:v>0.75 validation at 268.8 Hz — high-gain/quantization limitation</x:v>
      </x:c>
      <x:c r="C577" s="58" t="n">
        <x:v>0.75</x:v>
      </x:c>
      <x:c r="D577" s="58" t="n">
        <x:v>5</x:v>
      </x:c>
      <x:c r="E577" s="58" t="str">
        <x:v>PASS</x:v>
      </x:c>
      <x:c r="F577" s="58" t="n">
        <x:v>2</x:v>
      </x:c>
      <x:c r="G577" s="58" t="n">
        <x:v>6</x:v>
      </x:c>
      <x:c r="H577" s="59" t="n">
        <x:v>3</x:v>
      </x:c>
      <x:c r="I577" s="59" t="n">
        <x:v>0.81971</x:v>
      </x:c>
      <x:c r="J577" s="59" t="n">
        <x:v>0.80476</x:v>
      </x:c>
      <x:c r="K577" s="59" t="n">
        <x:v>0.32933</x:v>
      </x:c>
      <x:c r="L577" s="59" t="n">
        <x:v>0.18896</x:v>
      </x:c>
      <x:c r="M577" s="59" t="n">
        <x:v>0.89022</x:v>
      </x:c>
      <x:c r="N577" s="60" t="n">
        <x:v>9.3</x:v>
      </x:c>
      <x:c r="O577" s="60" t="n">
        <x:v>2.13</x:v>
      </x:c>
      <x:c r="P577" s="60" t="n">
        <x:v>4.54</x:v>
      </x:c>
      <x:c r="Q577" s="60" t="n">
        <x:v>55.5</x:v>
      </x:c>
      <x:c r="R577" s="58" t="str">
        <x:v>X</x:v>
      </x:c>
      <x:c r="S577" s="60" t="n">
        <x:v>100</x:v>
      </x:c>
      <x:c r="T577" s="58" t="str">
        <x:v>VALID</x:v>
      </x:c>
      <x:c r="U577" s="58" t="str">
        <x:v>No</x:v>
      </x:c>
      <x:c r="V577" s="58" t="n">
        <x:v>2370</x:v>
      </x:c>
      <x:c r="W577" s="58" t="str">
        <x:v>Pasted text(59).txt</x:v>
      </x:c>
    </x:row>
    <x:row r="578">
      <x:c r="A578" s="58" t="str">
        <x:v>S17</x:v>
      </x:c>
      <x:c r="B578" s="58" t="str">
        <x:v>0.75 validation at 268.8 Hz — high-gain/quantization limitation</x:v>
      </x:c>
      <x:c r="C578" s="58" t="n">
        <x:v>0.75</x:v>
      </x:c>
      <x:c r="D578" s="58" t="n">
        <x:v>5</x:v>
      </x:c>
      <x:c r="E578" s="58" t="str">
        <x:v>PASS</x:v>
      </x:c>
      <x:c r="F578" s="58" t="n">
        <x:v>2</x:v>
      </x:c>
      <x:c r="G578" s="58" t="n">
        <x:v>7</x:v>
      </x:c>
      <x:c r="H578" s="59" t="n">
        <x:v>3</x:v>
      </x:c>
      <x:c r="I578" s="59" t="n">
        <x:v>0.76909</x:v>
      </x:c>
      <x:c r="J578" s="59" t="n">
        <x:v>0.7687</x:v>
      </x:c>
      <x:c r="K578" s="59" t="n">
        <x:v>0.28193</x:v>
      </x:c>
      <x:c r="L578" s="59" t="n">
        <x:v>0.1732</x:v>
      </x:c>
      <x:c r="M578" s="59" t="n">
        <x:v>0.83778</x:v>
      </x:c>
      <x:c r="N578" s="60" t="n">
        <x:v>2.55</x:v>
      </x:c>
      <x:c r="O578" s="60" t="n">
        <x:v>1.1</x:v>
      </x:c>
      <x:c r="P578" s="60" t="n">
        <x:v>0.82</x:v>
      </x:c>
      <x:c r="Q578" s="60" t="n">
        <x:v>52.5</x:v>
      </x:c>
      <x:c r="R578" s="58" t="str">
        <x:v>X</x:v>
      </x:c>
      <x:c r="S578" s="60" t="n">
        <x:v>100</x:v>
      </x:c>
      <x:c r="T578" s="58" t="str">
        <x:v>IN TARGET BAND</x:v>
      </x:c>
      <x:c r="U578" s="58" t="str">
        <x:v>Yes</x:v>
      </x:c>
      <x:c r="V578" s="58" t="n">
        <x:v>2371</x:v>
      </x:c>
      <x:c r="W578" s="58" t="str">
        <x:v>Pasted text(59).txt</x:v>
      </x:c>
    </x:row>
    <x:row r="579">
      <x:c r="A579" s="58" t="str">
        <x:v>S17</x:v>
      </x:c>
      <x:c r="B579" s="58" t="str">
        <x:v>0.75 validation at 268.8 Hz — high-gain/quantization limitation</x:v>
      </x:c>
      <x:c r="C579" s="58" t="n">
        <x:v>0.75</x:v>
      </x:c>
      <x:c r="D579" s="58" t="n">
        <x:v>5</x:v>
      </x:c>
      <x:c r="E579" s="58" t="str">
        <x:v>PASS</x:v>
      </x:c>
      <x:c r="F579" s="58" t="n">
        <x:v>2</x:v>
      </x:c>
      <x:c r="G579" s="58" t="n">
        <x:v>8</x:v>
      </x:c>
      <x:c r="H579" s="59" t="n">
        <x:v>3</x:v>
      </x:c>
      <x:c r="I579" s="59" t="n">
        <x:v>0.79083</x:v>
      </x:c>
      <x:c r="J579" s="59" t="n">
        <x:v>0.78756</x:v>
      </x:c>
      <x:c r="K579" s="59" t="n">
        <x:v>0.29374</x:v>
      </x:c>
      <x:c r="L579" s="59" t="n">
        <x:v>0.18254</x:v>
      </x:c>
      <x:c r="M579" s="59" t="n">
        <x:v>0.86054</x:v>
      </x:c>
      <x:c r="N579" s="60" t="n">
        <x:v>5.44</x:v>
      </x:c>
      <x:c r="O579" s="60" t="n">
        <x:v>4.64</x:v>
      </x:c>
      <x:c r="P579" s="60" t="n">
        <x:v>3.78</x:v>
      </x:c>
      <x:c r="Q579" s="60" t="n">
        <x:v>54.3</x:v>
      </x:c>
      <x:c r="R579" s="58" t="str">
        <x:v>X</x:v>
      </x:c>
      <x:c r="S579" s="60" t="n">
        <x:v>100</x:v>
      </x:c>
      <x:c r="T579" s="58" t="str">
        <x:v>IN TARGET BAND</x:v>
      </x:c>
      <x:c r="U579" s="58" t="str">
        <x:v>Yes</x:v>
      </x:c>
      <x:c r="V579" s="58" t="n">
        <x:v>2372</x:v>
      </x:c>
      <x:c r="W579" s="58" t="str">
        <x:v>Pasted text(59).txt</x:v>
      </x:c>
    </x:row>
    <x:row r="580">
      <x:c r="A580" s="58" t="str">
        <x:v>S17</x:v>
      </x:c>
      <x:c r="B580" s="58" t="str">
        <x:v>0.75 validation at 268.8 Hz — high-gain/quantization limitation</x:v>
      </x:c>
      <x:c r="C580" s="58" t="n">
        <x:v>0.75</x:v>
      </x:c>
      <x:c r="D580" s="58" t="n">
        <x:v>5</x:v>
      </x:c>
      <x:c r="E580" s="58" t="str">
        <x:v>PASS</x:v>
      </x:c>
      <x:c r="F580" s="58" t="n">
        <x:v>2</x:v>
      </x:c>
      <x:c r="G580" s="58" t="n">
        <x:v>9</x:v>
      </x:c>
      <x:c r="H580" s="59" t="n">
        <x:v>3</x:v>
      </x:c>
      <x:c r="I580" s="59" t="n">
        <x:v>0.78694</x:v>
      </x:c>
      <x:c r="J580" s="59" t="n">
        <x:v>0.79186</x:v>
      </x:c>
      <x:c r="K580" s="59" t="n">
        <x:v>0.3018</x:v>
      </x:c>
      <x:c r="L580" s="59" t="n">
        <x:v>0.18924</x:v>
      </x:c>
      <x:c r="M580" s="59" t="n">
        <x:v>0.86956</x:v>
      </x:c>
      <x:c r="N580" s="60" t="n">
        <x:v>4.93</x:v>
      </x:c>
      <x:c r="O580" s="60" t="n">
        <x:v>1.72</x:v>
      </x:c>
      <x:c r="P580" s="60" t="n">
        <x:v>2.15</x:v>
      </x:c>
      <x:c r="Q580" s="60" t="n">
        <x:v>54.5</x:v>
      </x:c>
      <x:c r="R580" s="58" t="str">
        <x:v>X</x:v>
      </x:c>
      <x:c r="S580" s="60" t="n">
        <x:v>100</x:v>
      </x:c>
      <x:c r="T580" s="58" t="str">
        <x:v>IN TARGET BAND</x:v>
      </x:c>
      <x:c r="U580" s="58" t="str">
        <x:v>Yes</x:v>
      </x:c>
      <x:c r="V580" s="58" t="n">
        <x:v>2373</x:v>
      </x:c>
      <x:c r="W580" s="58" t="str">
        <x:v>Pasted text(59).txt</x:v>
      </x:c>
    </x:row>
    <x:row r="581">
      <x:c r="A581" s="58" t="str">
        <x:v>S17</x:v>
      </x:c>
      <x:c r="B581" s="58" t="str">
        <x:v>0.75 validation at 268.8 Hz — high-gain/quantization limitation</x:v>
      </x:c>
      <x:c r="C581" s="58" t="n">
        <x:v>0.75</x:v>
      </x:c>
      <x:c r="D581" s="58" t="n">
        <x:v>5</x:v>
      </x:c>
      <x:c r="E581" s="58" t="str">
        <x:v>PASS</x:v>
      </x:c>
      <x:c r="F581" s="58" t="n">
        <x:v>2</x:v>
      </x:c>
      <x:c r="G581" s="58" t="n">
        <x:v>10</x:v>
      </x:c>
      <x:c r="H581" s="59" t="n">
        <x:v>3</x:v>
      </x:c>
      <x:c r="I581" s="59" t="n">
        <x:v>0.79673</x:v>
      </x:c>
      <x:c r="J581" s="59" t="n">
        <x:v>0.79927</x:v>
      </x:c>
      <x:c r="K581" s="59" t="n">
        <x:v>0.3341</x:v>
      </x:c>
      <x:c r="L581" s="59" t="n">
        <x:v>0.17063</x:v>
      </x:c>
      <x:c r="M581" s="59" t="n">
        <x:v>0.88338</x:v>
      </x:c>
      <x:c r="N581" s="60" t="n">
        <x:v>6.23</x:v>
      </x:c>
      <x:c r="O581" s="60" t="n">
        <x:v>5.21</x:v>
      </x:c>
      <x:c r="P581" s="60" t="n">
        <x:v>3.99</x:v>
      </x:c>
      <x:c r="Q581" s="60" t="n">
        <x:v>54.8</x:v>
      </x:c>
      <x:c r="R581" s="58" t="str">
        <x:v>X</x:v>
      </x:c>
      <x:c r="S581" s="60" t="n">
        <x:v>100</x:v>
      </x:c>
      <x:c r="T581" s="58" t="str">
        <x:v>IN TARGET BAND</x:v>
      </x:c>
      <x:c r="U581" s="58" t="str">
        <x:v>Yes</x:v>
      </x:c>
      <x:c r="V581" s="58" t="n">
        <x:v>2374</x:v>
      </x:c>
      <x:c r="W581" s="58" t="str">
        <x:v>Pasted text(59).txt</x:v>
      </x:c>
    </x:row>
    <x:row r="582">
      <x:c r="A582" s="58" t="str">
        <x:v>S18</x:v>
      </x:c>
      <x:c r="B582" s="58" t="str">
        <x:v>0.75 validated session at 268 Hz</x:v>
      </x:c>
      <x:c r="C582" s="58" t="n">
        <x:v>0.75</x:v>
      </x:c>
      <x:c r="D582" s="58" t="n">
        <x:v>1</x:v>
      </x:c>
      <x:c r="E582" s="58" t="str">
        <x:v>PASS</x:v>
      </x:c>
      <x:c r="F582" s="58" t="n">
        <x:v>2</x:v>
      </x:c>
      <x:c r="G582" s="58" t="n">
        <x:v>1</x:v>
      </x:c>
      <x:c r="H582" s="59" t="n">
        <x:v>6.75</x:v>
      </x:c>
      <x:c r="I582" s="59" t="n">
        <x:v>0.77159</x:v>
      </x:c>
      <x:c r="J582" s="59" t="n">
        <x:v>0.76087</x:v>
      </x:c>
      <x:c r="K582" s="59" t="n">
        <x:v>0.30889</x:v>
      </x:c>
      <x:c r="L582" s="59" t="n">
        <x:v>0.23873</x:v>
      </x:c>
      <x:c r="M582" s="59" t="n">
        <x:v>0.85532</x:v>
      </x:c>
      <x:c r="N582" s="60" t="n">
        <x:v>2.88</x:v>
      </x:c>
      <x:c r="O582" s="60" t="n">
        <x:v>0.99</x:v>
      </x:c>
      <x:c r="P582" s="60" t="n">
        <x:v>3.05</x:v>
      </x:c>
      <x:c r="Q582" s="60" t="n">
        <x:v>80.9</x:v>
      </x:c>
      <x:c r="R582" s="58" t="str">
        <x:v>X</x:v>
      </x:c>
      <x:c r="S582" s="60" t="n">
        <x:v>100</x:v>
      </x:c>
      <x:c r="T582" s="58" t="str">
        <x:v>IN TARGET BAND</x:v>
      </x:c>
      <x:c r="U582" s="58" t="str">
        <x:v>Yes</x:v>
      </x:c>
      <x:c r="V582" s="58" t="n">
        <x:v>2512</x:v>
      </x:c>
      <x:c r="W582" s="58" t="str">
        <x:v>Pasted text(59).txt</x:v>
      </x:c>
    </x:row>
    <x:row r="583">
      <x:c r="A583" s="58" t="str">
        <x:v>S18</x:v>
      </x:c>
      <x:c r="B583" s="58" t="str">
        <x:v>0.75 validated session at 268 Hz</x:v>
      </x:c>
      <x:c r="C583" s="58" t="n">
        <x:v>0.75</x:v>
      </x:c>
      <x:c r="D583" s="58" t="n">
        <x:v>1</x:v>
      </x:c>
      <x:c r="E583" s="58" t="str">
        <x:v>PASS</x:v>
      </x:c>
      <x:c r="F583" s="58" t="n">
        <x:v>2</x:v>
      </x:c>
      <x:c r="G583" s="58" t="n">
        <x:v>2</x:v>
      </x:c>
      <x:c r="H583" s="59" t="n">
        <x:v>6.75</x:v>
      </x:c>
      <x:c r="I583" s="59" t="n">
        <x:v>0.76109</x:v>
      </x:c>
      <x:c r="J583" s="59" t="n">
        <x:v>0.76536</x:v>
      </x:c>
      <x:c r="K583" s="59" t="n">
        <x:v>0.32239</x:v>
      </x:c>
      <x:c r="L583" s="59" t="n">
        <x:v>0.24853</x:v>
      </x:c>
      <x:c r="M583" s="59" t="n">
        <x:v>0.86699</x:v>
      </x:c>
      <x:c r="N583" s="60" t="n">
        <x:v>1.48</x:v>
      </x:c>
      <x:c r="O583" s="60" t="n">
        <x:v>0.86</x:v>
      </x:c>
      <x:c r="P583" s="60" t="n">
        <x:v>1.49</x:v>
      </x:c>
      <x:c r="Q583" s="60" t="n">
        <x:v>81.4</x:v>
      </x:c>
      <x:c r="R583" s="58" t="str">
        <x:v>X</x:v>
      </x:c>
      <x:c r="S583" s="60" t="n">
        <x:v>100</x:v>
      </x:c>
      <x:c r="T583" s="58" t="str">
        <x:v>IN TARGET BAND</x:v>
      </x:c>
      <x:c r="U583" s="58" t="str">
        <x:v>Yes</x:v>
      </x:c>
      <x:c r="V583" s="58" t="n">
        <x:v>2513</x:v>
      </x:c>
      <x:c r="W583" s="58" t="str">
        <x:v>Pasted text(59).txt</x:v>
      </x:c>
    </x:row>
    <x:row r="584">
      <x:c r="A584" s="58" t="str">
        <x:v>S18</x:v>
      </x:c>
      <x:c r="B584" s="58" t="str">
        <x:v>0.75 validated session at 268 Hz</x:v>
      </x:c>
      <x:c r="C584" s="58" t="n">
        <x:v>0.75</x:v>
      </x:c>
      <x:c r="D584" s="58" t="n">
        <x:v>1</x:v>
      </x:c>
      <x:c r="E584" s="58" t="str">
        <x:v>PASS</x:v>
      </x:c>
      <x:c r="F584" s="58" t="n">
        <x:v>2</x:v>
      </x:c>
      <x:c r="G584" s="58" t="n">
        <x:v>3</x:v>
      </x:c>
      <x:c r="H584" s="59" t="n">
        <x:v>6.75</x:v>
      </x:c>
      <x:c r="I584" s="59" t="n">
        <x:v>0.76634</x:v>
      </x:c>
      <x:c r="J584" s="59" t="n">
        <x:v>0.77408</x:v>
      </x:c>
      <x:c r="K584" s="59" t="n">
        <x:v>0.31107</x:v>
      </x:c>
      <x:c r="L584" s="59" t="n">
        <x:v>0.26426</x:v>
      </x:c>
      <x:c r="M584" s="59" t="n">
        <x:v>0.87538</x:v>
      </x:c>
      <x:c r="N584" s="60" t="n">
        <x:v>2.18</x:v>
      </x:c>
      <x:c r="O584" s="60" t="n">
        <x:v>2.62</x:v>
      </x:c>
      <x:c r="P584" s="60" t="n">
        <x:v>3.36</x:v>
      </x:c>
      <x:c r="Q584" s="60" t="n">
        <x:v>83.1</x:v>
      </x:c>
      <x:c r="R584" s="58" t="str">
        <x:v>X</x:v>
      </x:c>
      <x:c r="S584" s="60" t="n">
        <x:v>100</x:v>
      </x:c>
      <x:c r="T584" s="58" t="str">
        <x:v>IN TARGET BAND</x:v>
      </x:c>
      <x:c r="U584" s="58" t="str">
        <x:v>Yes</x:v>
      </x:c>
      <x:c r="V584" s="58" t="n">
        <x:v>2514</x:v>
      </x:c>
      <x:c r="W584" s="58" t="str">
        <x:v>Pasted text(59).txt</x:v>
      </x:c>
    </x:row>
    <x:row r="585">
      <x:c r="A585" s="58" t="str">
        <x:v>S18</x:v>
      </x:c>
      <x:c r="B585" s="58" t="str">
        <x:v>0.75 validated session at 268 Hz</x:v>
      </x:c>
      <x:c r="C585" s="58" t="n">
        <x:v>0.75</x:v>
      </x:c>
      <x:c r="D585" s="58" t="n">
        <x:v>1</x:v>
      </x:c>
      <x:c r="E585" s="58" t="str">
        <x:v>PASS</x:v>
      </x:c>
      <x:c r="F585" s="58" t="n">
        <x:v>2</x:v>
      </x:c>
      <x:c r="G585" s="58" t="n">
        <x:v>4</x:v>
      </x:c>
      <x:c r="H585" s="59" t="n">
        <x:v>6.75</x:v>
      </x:c>
      <x:c r="I585" s="59" t="n">
        <x:v>0.79699</x:v>
      </x:c>
      <x:c r="J585" s="59" t="n">
        <x:v>0.80251</x:v>
      </x:c>
      <x:c r="K585" s="59" t="n">
        <x:v>0.29586</x:v>
      </x:c>
      <x:c r="L585" s="59" t="n">
        <x:v>0.25815</x:v>
      </x:c>
      <x:c r="M585" s="59" t="n">
        <x:v>0.89373</x:v>
      </x:c>
      <x:c r="N585" s="60" t="n">
        <x:v>6.27</x:v>
      </x:c>
      <x:c r="O585" s="60" t="n">
        <x:v>0.61</x:v>
      </x:c>
      <x:c r="P585" s="60" t="n">
        <x:v>1.56</x:v>
      </x:c>
      <x:c r="Q585" s="60" t="n">
        <x:v>82.8</x:v>
      </x:c>
      <x:c r="R585" s="58" t="str">
        <x:v>X</x:v>
      </x:c>
      <x:c r="S585" s="60" t="n">
        <x:v>100</x:v>
      </x:c>
      <x:c r="T585" s="58" t="str">
        <x:v>IN TARGET BAND</x:v>
      </x:c>
      <x:c r="U585" s="58" t="str">
        <x:v>Yes</x:v>
      </x:c>
      <x:c r="V585" s="58" t="n">
        <x:v>2515</x:v>
      </x:c>
      <x:c r="W585" s="58" t="str">
        <x:v>Pasted text(59).txt</x:v>
      </x:c>
    </x:row>
    <x:row r="586">
      <x:c r="A586" s="58" t="str">
        <x:v>S18</x:v>
      </x:c>
      <x:c r="B586" s="58" t="str">
        <x:v>0.75 validated session at 268 Hz</x:v>
      </x:c>
      <x:c r="C586" s="58" t="n">
        <x:v>0.75</x:v>
      </x:c>
      <x:c r="D586" s="58" t="n">
        <x:v>1</x:v>
      </x:c>
      <x:c r="E586" s="58" t="str">
        <x:v>PASS</x:v>
      </x:c>
      <x:c r="F586" s="58" t="n">
        <x:v>2</x:v>
      </x:c>
      <x:c r="G586" s="58" t="n">
        <x:v>5</x:v>
      </x:c>
      <x:c r="H586" s="59" t="n">
        <x:v>6.75</x:v>
      </x:c>
      <x:c r="I586" s="59" t="n">
        <x:v>0.77412</x:v>
      </x:c>
      <x:c r="J586" s="59" t="n">
        <x:v>0.76896</x:v>
      </x:c>
      <x:c r="K586" s="59" t="n">
        <x:v>0.30697</x:v>
      </x:c>
      <x:c r="L586" s="59" t="n">
        <x:v>0.22044</x:v>
      </x:c>
      <x:c r="M586" s="59" t="n">
        <x:v>0.85693</x:v>
      </x:c>
      <x:c r="N586" s="60" t="n">
        <x:v>3.22</x:v>
      </x:c>
      <x:c r="O586" s="60" t="n">
        <x:v>1.05</x:v>
      </x:c>
      <x:c r="P586" s="60" t="n">
        <x:v>1.82</x:v>
      </x:c>
      <x:c r="Q586" s="60" t="n">
        <x:v>82.2</x:v>
      </x:c>
      <x:c r="R586" s="58" t="str">
        <x:v>X</x:v>
      </x:c>
      <x:c r="S586" s="60" t="n">
        <x:v>100</x:v>
      </x:c>
      <x:c r="T586" s="58" t="str">
        <x:v>IN TARGET BAND</x:v>
      </x:c>
      <x:c r="U586" s="58" t="str">
        <x:v>Yes</x:v>
      </x:c>
      <x:c r="V586" s="58" t="n">
        <x:v>2516</x:v>
      </x:c>
      <x:c r="W586" s="58" t="str">
        <x:v>Pasted text(59).txt</x:v>
      </x:c>
    </x:row>
    <x:row r="587">
      <x:c r="A587" s="58" t="str">
        <x:v>S18</x:v>
      </x:c>
      <x:c r="B587" s="58" t="str">
        <x:v>0.75 validated session at 268 Hz</x:v>
      </x:c>
      <x:c r="C587" s="58" t="n">
        <x:v>0.75</x:v>
      </x:c>
      <x:c r="D587" s="58" t="n">
        <x:v>1</x:v>
      </x:c>
      <x:c r="E587" s="58" t="str">
        <x:v>PASS</x:v>
      </x:c>
      <x:c r="F587" s="58" t="n">
        <x:v>2</x:v>
      </x:c>
      <x:c r="G587" s="58" t="n">
        <x:v>6</x:v>
      </x:c>
      <x:c r="H587" s="59" t="n">
        <x:v>6.75</x:v>
      </x:c>
      <x:c r="I587" s="59" t="n">
        <x:v>0.76425</x:v>
      </x:c>
      <x:c r="J587" s="59" t="n">
        <x:v>0.77048</x:v>
      </x:c>
      <x:c r="K587" s="59" t="n">
        <x:v>0.30973</x:v>
      </x:c>
      <x:c r="L587" s="59" t="n">
        <x:v>0.22693</x:v>
      </x:c>
      <x:c r="M587" s="59" t="n">
        <x:v>0.86091</x:v>
      </x:c>
      <x:c r="N587" s="60" t="n">
        <x:v>1.9</x:v>
      </x:c>
      <x:c r="O587" s="60" t="n">
        <x:v>1.16</x:v>
      </x:c>
      <x:c r="P587" s="60" t="n">
        <x:v>2.11</x:v>
      </x:c>
      <x:c r="Q587" s="60" t="n">
        <x:v>82.4</x:v>
      </x:c>
      <x:c r="R587" s="58" t="str">
        <x:v>X</x:v>
      </x:c>
      <x:c r="S587" s="60" t="n">
        <x:v>100</x:v>
      </x:c>
      <x:c r="T587" s="58" t="str">
        <x:v>IN TARGET BAND</x:v>
      </x:c>
      <x:c r="U587" s="58" t="str">
        <x:v>Yes</x:v>
      </x:c>
      <x:c r="V587" s="58" t="n">
        <x:v>2517</x:v>
      </x:c>
      <x:c r="W587" s="58" t="str">
        <x:v>Pasted text(59).txt</x:v>
      </x:c>
    </x:row>
    <x:row r="588">
      <x:c r="A588" s="58" t="str">
        <x:v>S18</x:v>
      </x:c>
      <x:c r="B588" s="58" t="str">
        <x:v>0.75 validated session at 268 Hz</x:v>
      </x:c>
      <x:c r="C588" s="58" t="n">
        <x:v>0.75</x:v>
      </x:c>
      <x:c r="D588" s="58" t="n">
        <x:v>1</x:v>
      </x:c>
      <x:c r="E588" s="58" t="str">
        <x:v>PASS</x:v>
      </x:c>
      <x:c r="F588" s="58" t="n">
        <x:v>2</x:v>
      </x:c>
      <x:c r="G588" s="58" t="n">
        <x:v>7</x:v>
      </x:c>
      <x:c r="H588" s="59" t="n">
        <x:v>6.75</x:v>
      </x:c>
      <x:c r="I588" s="59" t="n">
        <x:v>0.77278</x:v>
      </x:c>
      <x:c r="J588" s="59" t="n">
        <x:v>0.77005</x:v>
      </x:c>
      <x:c r="K588" s="59" t="n">
        <x:v>0.3047</x:v>
      </x:c>
      <x:c r="L588" s="59" t="n">
        <x:v>0.24467</x:v>
      </x:c>
      <x:c r="M588" s="59" t="n">
        <x:v>0.86391</x:v>
      </x:c>
      <x:c r="N588" s="60" t="n">
        <x:v>3.04</x:v>
      </x:c>
      <x:c r="O588" s="60" t="n">
        <x:v>0.79</x:v>
      </x:c>
      <x:c r="P588" s="60" t="n">
        <x:v>1.11</x:v>
      </x:c>
      <x:c r="Q588" s="60" t="n">
        <x:v>82.3</x:v>
      </x:c>
      <x:c r="R588" s="58" t="str">
        <x:v>X</x:v>
      </x:c>
      <x:c r="S588" s="60" t="n">
        <x:v>100</x:v>
      </x:c>
      <x:c r="T588" s="58" t="str">
        <x:v>IN TARGET BAND</x:v>
      </x:c>
      <x:c r="U588" s="58" t="str">
        <x:v>Yes</x:v>
      </x:c>
      <x:c r="V588" s="58" t="n">
        <x:v>2518</x:v>
      </x:c>
      <x:c r="W588" s="58" t="str">
        <x:v>Pasted text(59).txt</x:v>
      </x:c>
    </x:row>
    <x:row r="589">
      <x:c r="A589" s="58" t="str">
        <x:v>S18</x:v>
      </x:c>
      <x:c r="B589" s="58" t="str">
        <x:v>0.75 validated session at 268 Hz</x:v>
      </x:c>
      <x:c r="C589" s="58" t="n">
        <x:v>0.75</x:v>
      </x:c>
      <x:c r="D589" s="58" t="n">
        <x:v>1</x:v>
      </x:c>
      <x:c r="E589" s="58" t="str">
        <x:v>PASS</x:v>
      </x:c>
      <x:c r="F589" s="58" t="n">
        <x:v>2</x:v>
      </x:c>
      <x:c r="G589" s="58" t="n">
        <x:v>8</x:v>
      </x:c>
      <x:c r="H589" s="59" t="n">
        <x:v>6.75</x:v>
      </x:c>
      <x:c r="I589" s="59" t="n">
        <x:v>0.7717</x:v>
      </x:c>
      <x:c r="J589" s="59" t="n">
        <x:v>0.76899</x:v>
      </x:c>
      <x:c r="K589" s="59" t="n">
        <x:v>0.30786</x:v>
      </x:c>
      <x:c r="L589" s="59" t="n">
        <x:v>0.2292</x:v>
      </x:c>
      <x:c r="M589" s="59" t="n">
        <x:v>0.85965</x:v>
      </x:c>
      <x:c r="N589" s="60" t="n">
        <x:v>2.89</x:v>
      </x:c>
      <x:c r="O589" s="60" t="n">
        <x:v>1.41</x:v>
      </x:c>
      <x:c r="P589" s="60" t="n">
        <x:v>1.52</x:v>
      </x:c>
      <x:c r="Q589" s="60" t="n">
        <x:v>81.9</x:v>
      </x:c>
      <x:c r="R589" s="58" t="str">
        <x:v>X</x:v>
      </x:c>
      <x:c r="S589" s="60" t="n">
        <x:v>100</x:v>
      </x:c>
      <x:c r="T589" s="58" t="str">
        <x:v>IN TARGET BAND</x:v>
      </x:c>
      <x:c r="U589" s="58" t="str">
        <x:v>Yes</x:v>
      </x:c>
      <x:c r="V589" s="58" t="n">
        <x:v>2519</x:v>
      </x:c>
      <x:c r="W589" s="58" t="str">
        <x:v>Pasted text(59).txt</x:v>
      </x:c>
    </x:row>
    <x:row r="590">
      <x:c r="A590" s="58" t="str">
        <x:v>S18</x:v>
      </x:c>
      <x:c r="B590" s="58" t="str">
        <x:v>0.75 validated session at 268 Hz</x:v>
      </x:c>
      <x:c r="C590" s="58" t="n">
        <x:v>0.75</x:v>
      </x:c>
      <x:c r="D590" s="58" t="n">
        <x:v>1</x:v>
      </x:c>
      <x:c r="E590" s="58" t="str">
        <x:v>PASS</x:v>
      </x:c>
      <x:c r="F590" s="58" t="n">
        <x:v>2</x:v>
      </x:c>
      <x:c r="G590" s="58" t="n">
        <x:v>9</x:v>
      </x:c>
      <x:c r="H590" s="59" t="n">
        <x:v>6.75</x:v>
      </x:c>
      <x:c r="I590" s="59" t="n">
        <x:v>0.75931</x:v>
      </x:c>
      <x:c r="J590" s="59" t="n">
        <x:v>0.76271</x:v>
      </x:c>
      <x:c r="K590" s="59" t="n">
        <x:v>0.28652</x:v>
      </x:c>
      <x:c r="L590" s="59" t="n">
        <x:v>0.22938</x:v>
      </x:c>
      <x:c r="M590" s="59" t="n">
        <x:v>0.84713</x:v>
      </x:c>
      <x:c r="N590" s="60" t="n">
        <x:v>1.24</x:v>
      </x:c>
      <x:c r="O590" s="60" t="n">
        <x:v>4</x:v>
      </x:c>
      <x:c r="P590" s="60" t="n">
        <x:v>3.37</x:v>
      </x:c>
      <x:c r="Q590" s="60" t="n">
        <x:v>81.5</x:v>
      </x:c>
      <x:c r="R590" s="58" t="str">
        <x:v>X</x:v>
      </x:c>
      <x:c r="S590" s="60" t="n">
        <x:v>100</x:v>
      </x:c>
      <x:c r="T590" s="58" t="str">
        <x:v>IN TARGET BAND</x:v>
      </x:c>
      <x:c r="U590" s="58" t="str">
        <x:v>Yes</x:v>
      </x:c>
      <x:c r="V590" s="58" t="n">
        <x:v>2520</x:v>
      </x:c>
      <x:c r="W590" s="58" t="str">
        <x:v>Pasted text(59).txt</x:v>
      </x:c>
    </x:row>
    <x:row r="591">
      <x:c r="A591" s="58" t="str">
        <x:v>S18</x:v>
      </x:c>
      <x:c r="B591" s="58" t="str">
        <x:v>0.75 validated session at 268 Hz</x:v>
      </x:c>
      <x:c r="C591" s="58" t="n">
        <x:v>0.75</x:v>
      </x:c>
      <x:c r="D591" s="58" t="n">
        <x:v>1</x:v>
      </x:c>
      <x:c r="E591" s="58" t="str">
        <x:v>PASS</x:v>
      </x:c>
      <x:c r="F591" s="58" t="n">
        <x:v>2</x:v>
      </x:c>
      <x:c r="G591" s="58" t="n">
        <x:v>10</x:v>
      </x:c>
      <x:c r="H591" s="59" t="n">
        <x:v>6.75</x:v>
      </x:c>
      <x:c r="I591" s="59" t="n">
        <x:v>0.76007</x:v>
      </x:c>
      <x:c r="J591" s="59" t="n">
        <x:v>0.76072</x:v>
      </x:c>
      <x:c r="K591" s="59" t="n">
        <x:v>0.32086</x:v>
      </x:c>
      <x:c r="L591" s="59" t="n">
        <x:v>0.24524</x:v>
      </x:c>
      <x:c r="M591" s="59" t="n">
        <x:v>0.8615</x:v>
      </x:c>
      <x:c r="N591" s="60" t="n">
        <x:v>1.34</x:v>
      </x:c>
      <x:c r="O591" s="60" t="n">
        <x:v>0.25</x:v>
      </x:c>
      <x:c r="P591" s="60" t="n">
        <x:v>0.3</x:v>
      </x:c>
      <x:c r="Q591" s="60" t="n">
        <x:v>82.2</x:v>
      </x:c>
      <x:c r="R591" s="58" t="str">
        <x:v>X</x:v>
      </x:c>
      <x:c r="S591" s="60" t="n">
        <x:v>100</x:v>
      </x:c>
      <x:c r="T591" s="58" t="str">
        <x:v>IN TARGET BAND</x:v>
      </x:c>
      <x:c r="U591" s="58" t="str">
        <x:v>Yes</x:v>
      </x:c>
      <x:c r="V591" s="58" t="n">
        <x:v>2521</x:v>
      </x:c>
      <x:c r="W591" s="58" t="str">
        <x:v>Pasted text(59).txt</x:v>
      </x:c>
    </x:row>
    <x:row r="592">
      <x:c r="A592" s="58" t="str">
        <x:v>S18</x:v>
      </x:c>
      <x:c r="B592" s="58" t="str">
        <x:v>0.75 validated session at 268 Hz</x:v>
      </x:c>
      <x:c r="C592" s="58" t="n">
        <x:v>0.75</x:v>
      </x:c>
      <x:c r="D592" s="58" t="n">
        <x:v>2</x:v>
      </x:c>
      <x:c r="E592" s="58" t="str">
        <x:v>PASS</x:v>
      </x:c>
      <x:c r="F592" s="58" t="n">
        <x:v>1</x:v>
      </x:c>
      <x:c r="G592" s="58" t="n">
        <x:v>1</x:v>
      </x:c>
      <x:c r="H592" s="59" t="n">
        <x:v>7.75</x:v>
      </x:c>
      <x:c r="I592" s="59" t="n">
        <x:v>0.79198</x:v>
      </x:c>
      <x:c r="J592" s="59" t="n">
        <x:v>0.78916</x:v>
      </x:c>
      <x:c r="K592" s="59" t="n">
        <x:v>0.30796</x:v>
      </x:c>
      <x:c r="L592" s="59" t="n">
        <x:v>0.25117</x:v>
      </x:c>
      <x:c r="M592" s="59" t="n">
        <x:v>0.88443</x:v>
      </x:c>
      <x:c r="N592" s="60" t="n">
        <x:v>5.6</x:v>
      </x:c>
      <x:c r="O592" s="60" t="n">
        <x:v>1.55</x:v>
      </x:c>
      <x:c r="P592" s="60" t="n">
        <x:v>1.62</x:v>
      </x:c>
      <x:c r="Q592" s="60" t="n">
        <x:v>83.4</x:v>
      </x:c>
      <x:c r="R592" s="58" t="str">
        <x:v>X</x:v>
      </x:c>
      <x:c r="S592" s="60" t="n">
        <x:v>100</x:v>
      </x:c>
      <x:c r="T592" s="58" t="str">
        <x:v>IN TARGET BAND</x:v>
      </x:c>
      <x:c r="U592" s="58" t="str">
        <x:v>Yes</x:v>
      </x:c>
      <x:c r="V592" s="58" t="n">
        <x:v>2591</x:v>
      </x:c>
      <x:c r="W592" s="58" t="str">
        <x:v>Pasted text(59).txt</x:v>
      </x:c>
    </x:row>
    <x:row r="593">
      <x:c r="A593" s="58" t="str">
        <x:v>S18</x:v>
      </x:c>
      <x:c r="B593" s="58" t="str">
        <x:v>0.75 validated session at 268 Hz</x:v>
      </x:c>
      <x:c r="C593" s="58" t="n">
        <x:v>0.75</x:v>
      </x:c>
      <x:c r="D593" s="58" t="n">
        <x:v>2</x:v>
      </x:c>
      <x:c r="E593" s="58" t="str">
        <x:v>PASS</x:v>
      </x:c>
      <x:c r="F593" s="58" t="n">
        <x:v>1</x:v>
      </x:c>
      <x:c r="G593" s="58" t="n">
        <x:v>2</x:v>
      </x:c>
      <x:c r="H593" s="59" t="n">
        <x:v>7.75</x:v>
      </x:c>
      <x:c r="I593" s="59" t="n">
        <x:v>0.76703</x:v>
      </x:c>
      <x:c r="J593" s="59" t="n">
        <x:v>0.76522</x:v>
      </x:c>
      <x:c r="K593" s="59" t="n">
        <x:v>0.30698</x:v>
      </x:c>
      <x:c r="L593" s="59" t="n">
        <x:v>0.24345</x:v>
      </x:c>
      <x:c r="M593" s="59" t="n">
        <x:v>0.86001</x:v>
      </x:c>
      <x:c r="N593" s="60" t="n">
        <x:v>2.27</x:v>
      </x:c>
      <x:c r="O593" s="60" t="n">
        <x:v>1.07</x:v>
      </x:c>
      <x:c r="P593" s="60" t="n">
        <x:v>1.1</x:v>
      </x:c>
      <x:c r="Q593" s="60" t="n">
        <x:v>80.6</x:v>
      </x:c>
      <x:c r="R593" s="58" t="str">
        <x:v>X</x:v>
      </x:c>
      <x:c r="S593" s="60" t="n">
        <x:v>100</x:v>
      </x:c>
      <x:c r="T593" s="58" t="str">
        <x:v>IN TARGET BAND</x:v>
      </x:c>
      <x:c r="U593" s="58" t="str">
        <x:v>Yes</x:v>
      </x:c>
      <x:c r="V593" s="58" t="n">
        <x:v>2592</x:v>
      </x:c>
      <x:c r="W593" s="58" t="str">
        <x:v>Pasted text(59).txt</x:v>
      </x:c>
    </x:row>
    <x:row r="594">
      <x:c r="A594" s="58" t="str">
        <x:v>S18</x:v>
      </x:c>
      <x:c r="B594" s="58" t="str">
        <x:v>0.75 validated session at 268 Hz</x:v>
      </x:c>
      <x:c r="C594" s="58" t="n">
        <x:v>0.75</x:v>
      </x:c>
      <x:c r="D594" s="58" t="n">
        <x:v>2</x:v>
      </x:c>
      <x:c r="E594" s="58" t="str">
        <x:v>PASS</x:v>
      </x:c>
      <x:c r="F594" s="58" t="n">
        <x:v>1</x:v>
      </x:c>
      <x:c r="G594" s="58" t="n">
        <x:v>3</x:v>
      </x:c>
      <x:c r="H594" s="59" t="n">
        <x:v>7.75</x:v>
      </x:c>
      <x:c r="I594" s="59" t="n">
        <x:v>0.78375</x:v>
      </x:c>
      <x:c r="J594" s="59" t="n">
        <x:v>0.7887</x:v>
      </x:c>
      <x:c r="K594" s="59" t="n">
        <x:v>0.30157</x:v>
      </x:c>
      <x:c r="L594" s="59" t="n">
        <x:v>0.24376</x:v>
      </x:c>
      <x:c r="M594" s="59" t="n">
        <x:v>0.87902</x:v>
      </x:c>
      <x:c r="N594" s="60" t="n">
        <x:v>4.5</x:v>
      </x:c>
      <x:c r="O594" s="60" t="n">
        <x:v>0.66</x:v>
      </x:c>
      <x:c r="P594" s="60" t="n">
        <x:v>1.48</x:v>
      </x:c>
      <x:c r="Q594" s="60" t="n">
        <x:v>82.8</x:v>
      </x:c>
      <x:c r="R594" s="58" t="str">
        <x:v>X</x:v>
      </x:c>
      <x:c r="S594" s="60" t="n">
        <x:v>100</x:v>
      </x:c>
      <x:c r="T594" s="58" t="str">
        <x:v>IN TARGET BAND</x:v>
      </x:c>
      <x:c r="U594" s="58" t="str">
        <x:v>Yes</x:v>
      </x:c>
      <x:c r="V594" s="58" t="n">
        <x:v>2593</x:v>
      </x:c>
      <x:c r="W594" s="58" t="str">
        <x:v>Pasted text(59).txt</x:v>
      </x:c>
    </x:row>
    <x:row r="595">
      <x:c r="A595" s="58" t="str">
        <x:v>S18</x:v>
      </x:c>
      <x:c r="B595" s="58" t="str">
        <x:v>0.75 validated session at 268 Hz</x:v>
      </x:c>
      <x:c r="C595" s="58" t="n">
        <x:v>0.75</x:v>
      </x:c>
      <x:c r="D595" s="58" t="n">
        <x:v>2</x:v>
      </x:c>
      <x:c r="E595" s="58" t="str">
        <x:v>PASS</x:v>
      </x:c>
      <x:c r="F595" s="58" t="n">
        <x:v>1</x:v>
      </x:c>
      <x:c r="G595" s="58" t="n">
        <x:v>4</x:v>
      </x:c>
      <x:c r="H595" s="59" t="n">
        <x:v>7.75</x:v>
      </x:c>
      <x:c r="I595" s="59" t="n">
        <x:v>0.77938</x:v>
      </x:c>
      <x:c r="J595" s="59" t="n">
        <x:v>0.77119</x:v>
      </x:c>
      <x:c r="K595" s="59" t="n">
        <x:v>0.31018</x:v>
      </x:c>
      <x:c r="L595" s="59" t="n">
        <x:v>0.24556</x:v>
      </x:c>
      <x:c r="M595" s="59" t="n">
        <x:v>0.86744</x:v>
      </x:c>
      <x:c r="N595" s="60" t="n">
        <x:v>3.92</x:v>
      </x:c>
      <x:c r="O595" s="60" t="n">
        <x:v>1.61</x:v>
      </x:c>
      <x:c r="P595" s="60" t="n">
        <x:v>2.84</x:v>
      </x:c>
      <x:c r="Q595" s="60" t="n">
        <x:v>82.7</x:v>
      </x:c>
      <x:c r="R595" s="58" t="str">
        <x:v>X</x:v>
      </x:c>
      <x:c r="S595" s="60" t="n">
        <x:v>100</x:v>
      </x:c>
      <x:c r="T595" s="58" t="str">
        <x:v>IN TARGET BAND</x:v>
      </x:c>
      <x:c r="U595" s="58" t="str">
        <x:v>Yes</x:v>
      </x:c>
      <x:c r="V595" s="58" t="n">
        <x:v>2594</x:v>
      </x:c>
      <x:c r="W595" s="58" t="str">
        <x:v>Pasted text(59).txt</x:v>
      </x:c>
    </x:row>
    <x:row r="596">
      <x:c r="A596" s="58" t="str">
        <x:v>S18</x:v>
      </x:c>
      <x:c r="B596" s="58" t="str">
        <x:v>0.75 validated session at 268 Hz</x:v>
      </x:c>
      <x:c r="C596" s="58" t="n">
        <x:v>0.75</x:v>
      </x:c>
      <x:c r="D596" s="58" t="n">
        <x:v>2</x:v>
      </x:c>
      <x:c r="E596" s="58" t="str">
        <x:v>PASS</x:v>
      </x:c>
      <x:c r="F596" s="58" t="n">
        <x:v>1</x:v>
      </x:c>
      <x:c r="G596" s="58" t="n">
        <x:v>5</x:v>
      </x:c>
      <x:c r="H596" s="59" t="n">
        <x:v>7.75</x:v>
      </x:c>
      <x:c r="I596" s="59" t="n">
        <x:v>0.80288</x:v>
      </x:c>
      <x:c r="J596" s="59" t="n">
        <x:v>0.79905</x:v>
      </x:c>
      <x:c r="K596" s="59" t="n">
        <x:v>0.30885</x:v>
      </x:c>
      <x:c r="L596" s="59" t="n">
        <x:v>0.23663</x:v>
      </x:c>
      <x:c r="M596" s="59" t="n">
        <x:v>0.8889</x:v>
      </x:c>
      <x:c r="N596" s="60" t="n">
        <x:v>7.05</x:v>
      </x:c>
      <x:c r="O596" s="60" t="n">
        <x:v>0.43</x:v>
      </x:c>
      <x:c r="P596" s="60" t="n">
        <x:v>1.09</x:v>
      </x:c>
      <x:c r="Q596" s="60" t="n">
        <x:v>84.1</x:v>
      </x:c>
      <x:c r="R596" s="58" t="str">
        <x:v>X</x:v>
      </x:c>
      <x:c r="S596" s="60" t="n">
        <x:v>100</x:v>
      </x:c>
      <x:c r="T596" s="58" t="str">
        <x:v>IN TARGET BAND</x:v>
      </x:c>
      <x:c r="U596" s="58" t="str">
        <x:v>Yes</x:v>
      </x:c>
      <x:c r="V596" s="58" t="n">
        <x:v>2595</x:v>
      </x:c>
      <x:c r="W596" s="58" t="str">
        <x:v>Pasted text(59).txt</x:v>
      </x:c>
    </x:row>
    <x:row r="597">
      <x:c r="A597" s="58" t="str">
        <x:v>S18</x:v>
      </x:c>
      <x:c r="B597" s="58" t="str">
        <x:v>0.75 validated session at 268 Hz</x:v>
      </x:c>
      <x:c r="C597" s="58" t="n">
        <x:v>0.75</x:v>
      </x:c>
      <x:c r="D597" s="58" t="n">
        <x:v>2</x:v>
      </x:c>
      <x:c r="E597" s="58" t="str">
        <x:v>PASS</x:v>
      </x:c>
      <x:c r="F597" s="58" t="n">
        <x:v>1</x:v>
      </x:c>
      <x:c r="G597" s="58" t="n">
        <x:v>6</x:v>
      </x:c>
      <x:c r="H597" s="59" t="n">
        <x:v>7.75</x:v>
      </x:c>
      <x:c r="I597" s="59" t="n">
        <x:v>0.76461</x:v>
      </x:c>
      <x:c r="J597" s="59" t="n">
        <x:v>0.76485</x:v>
      </x:c>
      <x:c r="K597" s="59" t="n">
        <x:v>0.31984</x:v>
      </x:c>
      <x:c r="L597" s="59" t="n">
        <x:v>0.24811</x:v>
      </x:c>
      <x:c r="M597" s="59" t="n">
        <x:v>0.86551</x:v>
      </x:c>
      <x:c r="N597" s="60" t="n">
        <x:v>1.95</x:v>
      </x:c>
      <x:c r="O597" s="60" t="n">
        <x:v>1.15</x:v>
      </x:c>
      <x:c r="P597" s="60" t="n">
        <x:v>0.82</x:v>
      </x:c>
      <x:c r="Q597" s="60" t="n">
        <x:v>82.3</x:v>
      </x:c>
      <x:c r="R597" s="58" t="str">
        <x:v>X</x:v>
      </x:c>
      <x:c r="S597" s="60" t="n">
        <x:v>100</x:v>
      </x:c>
      <x:c r="T597" s="58" t="str">
        <x:v>IN TARGET BAND</x:v>
      </x:c>
      <x:c r="U597" s="58" t="str">
        <x:v>Yes</x:v>
      </x:c>
      <x:c r="V597" s="58" t="n">
        <x:v>2596</x:v>
      </x:c>
      <x:c r="W597" s="58" t="str">
        <x:v>Pasted text(59).txt</x:v>
      </x:c>
    </x:row>
    <x:row r="598">
      <x:c r="A598" s="58" t="str">
        <x:v>S18</x:v>
      </x:c>
      <x:c r="B598" s="58" t="str">
        <x:v>0.75 validated session at 268 Hz</x:v>
      </x:c>
      <x:c r="C598" s="58" t="n">
        <x:v>0.75</x:v>
      </x:c>
      <x:c r="D598" s="58" t="n">
        <x:v>2</x:v>
      </x:c>
      <x:c r="E598" s="58" t="str">
        <x:v>PASS</x:v>
      </x:c>
      <x:c r="F598" s="58" t="n">
        <x:v>1</x:v>
      </x:c>
      <x:c r="G598" s="58" t="n">
        <x:v>7</x:v>
      </x:c>
      <x:c r="H598" s="59" t="n">
        <x:v>7.75</x:v>
      </x:c>
      <x:c r="I598" s="59" t="n">
        <x:v>0.77493</x:v>
      </x:c>
      <x:c r="J598" s="59" t="n">
        <x:v>0.76698</x:v>
      </x:c>
      <x:c r="K598" s="59" t="n">
        <x:v>0.30419</x:v>
      </x:c>
      <x:c r="L598" s="59" t="n">
        <x:v>0.22358</x:v>
      </x:c>
      <x:c r="M598" s="59" t="n">
        <x:v>0.85517</x:v>
      </x:c>
      <x:c r="N598" s="60" t="n">
        <x:v>3.32</x:v>
      </x:c>
      <x:c r="O598" s="60" t="n">
        <x:v>0.93</x:v>
      </x:c>
      <x:c r="P598" s="60" t="n">
        <x:v>2.37</x:v>
      </x:c>
      <x:c r="Q598" s="60" t="n">
        <x:v>82.9</x:v>
      </x:c>
      <x:c r="R598" s="58" t="str">
        <x:v>X</x:v>
      </x:c>
      <x:c r="S598" s="60" t="n">
        <x:v>100</x:v>
      </x:c>
      <x:c r="T598" s="58" t="str">
        <x:v>IN TARGET BAND</x:v>
      </x:c>
      <x:c r="U598" s="58" t="str">
        <x:v>Yes</x:v>
      </x:c>
      <x:c r="V598" s="58" t="n">
        <x:v>2597</x:v>
      </x:c>
      <x:c r="W598" s="58" t="str">
        <x:v>Pasted text(59).txt</x:v>
      </x:c>
    </x:row>
    <x:row r="599">
      <x:c r="A599" s="58" t="str">
        <x:v>S18</x:v>
      </x:c>
      <x:c r="B599" s="58" t="str">
        <x:v>0.75 validated session at 268 Hz</x:v>
      </x:c>
      <x:c r="C599" s="58" t="n">
        <x:v>0.75</x:v>
      </x:c>
      <x:c r="D599" s="58" t="n">
        <x:v>2</x:v>
      </x:c>
      <x:c r="E599" s="58" t="str">
        <x:v>PASS</x:v>
      </x:c>
      <x:c r="F599" s="58" t="n">
        <x:v>1</x:v>
      </x:c>
      <x:c r="G599" s="58" t="n">
        <x:v>8</x:v>
      </x:c>
      <x:c r="H599" s="59" t="n">
        <x:v>7.75</x:v>
      </x:c>
      <x:c r="I599" s="59" t="n">
        <x:v>0.79438</x:v>
      </x:c>
      <x:c r="J599" s="59" t="n">
        <x:v>0.77353</x:v>
      </x:c>
      <x:c r="K599" s="59" t="n">
        <x:v>0.31076</x:v>
      </x:c>
      <x:c r="L599" s="59" t="n">
        <x:v>0.28048</x:v>
      </x:c>
      <x:c r="M599" s="59" t="n">
        <x:v>0.88</x:v>
      </x:c>
      <x:c r="N599" s="60" t="n">
        <x:v>5.92</x:v>
      </x:c>
      <x:c r="O599" s="60" t="n">
        <x:v>0.49</x:v>
      </x:c>
      <x:c r="P599" s="60" t="n">
        <x:v>4.97</x:v>
      </x:c>
      <x:c r="Q599" s="60" t="n">
        <x:v>81.3</x:v>
      </x:c>
      <x:c r="R599" s="58" t="str">
        <x:v>X</x:v>
      </x:c>
      <x:c r="S599" s="60" t="n">
        <x:v>100</x:v>
      </x:c>
      <x:c r="T599" s="58" t="str">
        <x:v>IN TARGET BAND</x:v>
      </x:c>
      <x:c r="U599" s="58" t="str">
        <x:v>Yes</x:v>
      </x:c>
      <x:c r="V599" s="58" t="n">
        <x:v>2598</x:v>
      </x:c>
      <x:c r="W599" s="58" t="str">
        <x:v>Pasted text(59).txt</x:v>
      </x:c>
    </x:row>
    <x:row r="600">
      <x:c r="A600" s="58" t="str">
        <x:v>S18</x:v>
      </x:c>
      <x:c r="B600" s="58" t="str">
        <x:v>0.75 validated session at 268 Hz</x:v>
      </x:c>
      <x:c r="C600" s="58" t="n">
        <x:v>0.75</x:v>
      </x:c>
      <x:c r="D600" s="58" t="n">
        <x:v>2</x:v>
      </x:c>
      <x:c r="E600" s="58" t="str">
        <x:v>PASS</x:v>
      </x:c>
      <x:c r="F600" s="58" t="n">
        <x:v>1</x:v>
      </x:c>
      <x:c r="G600" s="58" t="n">
        <x:v>9</x:v>
      </x:c>
      <x:c r="H600" s="59" t="n">
        <x:v>7.75</x:v>
      </x:c>
      <x:c r="I600" s="59" t="n">
        <x:v>0.76724</x:v>
      </x:c>
      <x:c r="J600" s="59" t="n">
        <x:v>0.76679</x:v>
      </x:c>
      <x:c r="K600" s="59" t="n">
        <x:v>0.29726</x:v>
      </x:c>
      <x:c r="L600" s="59" t="n">
        <x:v>0.25664</x:v>
      </x:c>
      <x:c r="M600" s="59" t="n">
        <x:v>0.86207</x:v>
      </x:c>
      <x:c r="N600" s="60" t="n">
        <x:v>2.3</x:v>
      </x:c>
      <x:c r="O600" s="60" t="n">
        <x:v>0.65</x:v>
      </x:c>
      <x:c r="P600" s="60" t="n">
        <x:v>0.53</x:v>
      </x:c>
      <x:c r="Q600" s="60" t="n">
        <x:v>81.5</x:v>
      </x:c>
      <x:c r="R600" s="58" t="str">
        <x:v>X</x:v>
      </x:c>
      <x:c r="S600" s="60" t="n">
        <x:v>100</x:v>
      </x:c>
      <x:c r="T600" s="58" t="str">
        <x:v>IN TARGET BAND</x:v>
      </x:c>
      <x:c r="U600" s="58" t="str">
        <x:v>Yes</x:v>
      </x:c>
      <x:c r="V600" s="58" t="n">
        <x:v>2599</x:v>
      </x:c>
      <x:c r="W600" s="58" t="str">
        <x:v>Pasted text(59).txt</x:v>
      </x:c>
    </x:row>
    <x:row r="601">
      <x:c r="A601" s="58" t="str">
        <x:v>S18</x:v>
      </x:c>
      <x:c r="B601" s="58" t="str">
        <x:v>0.75 validated session at 268 Hz</x:v>
      </x:c>
      <x:c r="C601" s="58" t="n">
        <x:v>0.75</x:v>
      </x:c>
      <x:c r="D601" s="58" t="n">
        <x:v>2</x:v>
      </x:c>
      <x:c r="E601" s="58" t="str">
        <x:v>PASS</x:v>
      </x:c>
      <x:c r="F601" s="58" t="n">
        <x:v>1</x:v>
      </x:c>
      <x:c r="G601" s="58" t="n">
        <x:v>10</x:v>
      </x:c>
      <x:c r="H601" s="59" t="n">
        <x:v>7.75</x:v>
      </x:c>
      <x:c r="I601" s="59" t="n">
        <x:v>0.77648</x:v>
      </x:c>
      <x:c r="J601" s="59" t="n">
        <x:v>0.78191</x:v>
      </x:c>
      <x:c r="K601" s="59" t="n">
        <x:v>0.27508</x:v>
      </x:c>
      <x:c r="L601" s="59" t="n">
        <x:v>0.25861</x:v>
      </x:c>
      <x:c r="M601" s="59" t="n">
        <x:v>0.8688</x:v>
      </x:c>
      <x:c r="N601" s="60" t="n">
        <x:v>3.53</x:v>
      </x:c>
      <x:c r="O601" s="60" t="n">
        <x:v>1.31</x:v>
      </x:c>
      <x:c r="P601" s="60" t="n">
        <x:v>2.01</x:v>
      </x:c>
      <x:c r="Q601" s="60" t="n">
        <x:v>83.4</x:v>
      </x:c>
      <x:c r="R601" s="58" t="str">
        <x:v>X</x:v>
      </x:c>
      <x:c r="S601" s="60" t="n">
        <x:v>100</x:v>
      </x:c>
      <x:c r="T601" s="58" t="str">
        <x:v>IN TARGET BAND</x:v>
      </x:c>
      <x:c r="U601" s="58" t="str">
        <x:v>Yes</x:v>
      </x:c>
      <x:c r="V601" s="58" t="n">
        <x:v>2600</x:v>
      </x:c>
      <x:c r="W601" s="58" t="str">
        <x:v>Pasted text(59).txt</x:v>
      </x:c>
    </x:row>
    <x:row r="602">
      <x:c r="A602" s="58" t="str">
        <x:v>S18</x:v>
      </x:c>
      <x:c r="B602" s="58" t="str">
        <x:v>0.75 validated session at 268 Hz</x:v>
      </x:c>
      <x:c r="C602" s="58" t="n">
        <x:v>0.75</x:v>
      </x:c>
      <x:c r="D602" s="58" t="n">
        <x:v>3</x:v>
      </x:c>
      <x:c r="E602" s="58" t="str">
        <x:v>PASS</x:v>
      </x:c>
      <x:c r="F602" s="58" t="n">
        <x:v>2</x:v>
      </x:c>
      <x:c r="G602" s="58" t="n">
        <x:v>1</x:v>
      </x:c>
      <x:c r="H602" s="59" t="n">
        <x:v>7.5</x:v>
      </x:c>
      <x:c r="I602" s="59" t="n">
        <x:v>0.74106</x:v>
      </x:c>
      <x:c r="J602" s="59" t="n">
        <x:v>0.74119</x:v>
      </x:c>
      <x:c r="K602" s="59" t="n">
        <x:v>0.26569</x:v>
      </x:c>
      <x:c r="L602" s="59" t="n">
        <x:v>0.22779</x:v>
      </x:c>
      <x:c r="M602" s="59" t="n">
        <x:v>0.81977</x:v>
      </x:c>
      <x:c r="N602" s="60" t="n">
        <x:v>-1.19</x:v>
      </x:c>
      <x:c r="O602" s="60" t="n">
        <x:v>2.41</x:v>
      </x:c>
      <x:c r="P602" s="60" t="n">
        <x:v>1.65</x:v>
      </x:c>
      <x:c r="Q602" s="60" t="n">
        <x:v>85.3</x:v>
      </x:c>
      <x:c r="R602" s="58" t="str">
        <x:v>X</x:v>
      </x:c>
      <x:c r="S602" s="60" t="n">
        <x:v>100</x:v>
      </x:c>
      <x:c r="T602" s="58" t="str">
        <x:v>IN TARGET BAND</x:v>
      </x:c>
      <x:c r="U602" s="58" t="str">
        <x:v>Yes</x:v>
      </x:c>
      <x:c r="V602" s="58" t="n">
        <x:v>2702</x:v>
      </x:c>
      <x:c r="W602" s="58" t="str">
        <x:v>Pasted text(59).txt</x:v>
      </x:c>
    </x:row>
    <x:row r="603">
      <x:c r="A603" s="58" t="str">
        <x:v>S18</x:v>
      </x:c>
      <x:c r="B603" s="58" t="str">
        <x:v>0.75 validated session at 268 Hz</x:v>
      </x:c>
      <x:c r="C603" s="58" t="n">
        <x:v>0.75</x:v>
      </x:c>
      <x:c r="D603" s="58" t="n">
        <x:v>3</x:v>
      </x:c>
      <x:c r="E603" s="58" t="str">
        <x:v>PASS</x:v>
      </x:c>
      <x:c r="F603" s="58" t="n">
        <x:v>2</x:v>
      </x:c>
      <x:c r="G603" s="58" t="n">
        <x:v>2</x:v>
      </x:c>
      <x:c r="H603" s="59" t="n">
        <x:v>7.5</x:v>
      </x:c>
      <x:c r="I603" s="59" t="n">
        <x:v>0.70467</x:v>
      </x:c>
      <x:c r="J603" s="59" t="n">
        <x:v>0.70256</x:v>
      </x:c>
      <x:c r="K603" s="59" t="n">
        <x:v>0.25447</x:v>
      </x:c>
      <x:c r="L603" s="59" t="n">
        <x:v>0.22773</x:v>
      </x:c>
      <x:c r="M603" s="59" t="n">
        <x:v>0.78159</x:v>
      </x:c>
      <x:c r="N603" s="60" t="n">
        <x:v>-6.04</x:v>
      </x:c>
      <x:c r="O603" s="60" t="n">
        <x:v>1.96</x:v>
      </x:c>
      <x:c r="P603" s="60" t="n">
        <x:v>1.8</x:v>
      </x:c>
      <x:c r="Q603" s="60" t="n">
        <x:v>83.7</x:v>
      </x:c>
      <x:c r="R603" s="58" t="str">
        <x:v>X</x:v>
      </x:c>
      <x:c r="S603" s="60" t="n">
        <x:v>100</x:v>
      </x:c>
      <x:c r="T603" s="58" t="str">
        <x:v>IN TARGET BAND</x:v>
      </x:c>
      <x:c r="U603" s="58" t="str">
        <x:v>Yes</x:v>
      </x:c>
      <x:c r="V603" s="58" t="n">
        <x:v>2703</x:v>
      </x:c>
      <x:c r="W603" s="58" t="str">
        <x:v>Pasted text(59).txt</x:v>
      </x:c>
    </x:row>
    <x:row r="604">
      <x:c r="A604" s="58" t="str">
        <x:v>S18</x:v>
      </x:c>
      <x:c r="B604" s="58" t="str">
        <x:v>0.75 validated session at 268 Hz</x:v>
      </x:c>
      <x:c r="C604" s="58" t="n">
        <x:v>0.75</x:v>
      </x:c>
      <x:c r="D604" s="58" t="n">
        <x:v>3</x:v>
      </x:c>
      <x:c r="E604" s="58" t="str">
        <x:v>PASS</x:v>
      </x:c>
      <x:c r="F604" s="58" t="n">
        <x:v>2</x:v>
      </x:c>
      <x:c r="G604" s="58" t="n">
        <x:v>3</x:v>
      </x:c>
      <x:c r="H604" s="59" t="n">
        <x:v>7.5</x:v>
      </x:c>
      <x:c r="I604" s="59" t="n">
        <x:v>0.69619</x:v>
      </x:c>
      <x:c r="J604" s="59" t="n">
        <x:v>0.69852</x:v>
      </x:c>
      <x:c r="K604" s="59" t="n">
        <x:v>0.28096</x:v>
      </x:c>
      <x:c r="L604" s="59" t="n">
        <x:v>0.26141</x:v>
      </x:c>
      <x:c r="M604" s="59" t="n">
        <x:v>0.79724</x:v>
      </x:c>
      <x:c r="N604" s="60" t="n">
        <x:v>-7.17</x:v>
      </x:c>
      <x:c r="O604" s="60" t="n">
        <x:v>1.64</x:v>
      </x:c>
      <x:c r="P604" s="60" t="n">
        <x:v>1.62</x:v>
      </x:c>
      <x:c r="Q604" s="60" t="n">
        <x:v>83.5</x:v>
      </x:c>
      <x:c r="R604" s="58" t="str">
        <x:v>X</x:v>
      </x:c>
      <x:c r="S604" s="60" t="n">
        <x:v>100</x:v>
      </x:c>
      <x:c r="T604" s="58" t="str">
        <x:v>IN TARGET BAND</x:v>
      </x:c>
      <x:c r="U604" s="58" t="str">
        <x:v>Yes</x:v>
      </x:c>
      <x:c r="V604" s="58" t="n">
        <x:v>2704</x:v>
      </x:c>
      <x:c r="W604" s="58" t="str">
        <x:v>Pasted text(59).txt</x:v>
      </x:c>
    </x:row>
    <x:row r="605">
      <x:c r="A605" s="58" t="str">
        <x:v>S18</x:v>
      </x:c>
      <x:c r="B605" s="58" t="str">
        <x:v>0.75 validated session at 268 Hz</x:v>
      </x:c>
      <x:c r="C605" s="58" t="n">
        <x:v>0.75</x:v>
      </x:c>
      <x:c r="D605" s="58" t="n">
        <x:v>3</x:v>
      </x:c>
      <x:c r="E605" s="58" t="str">
        <x:v>PASS</x:v>
      </x:c>
      <x:c r="F605" s="58" t="n">
        <x:v>2</x:v>
      </x:c>
      <x:c r="G605" s="58" t="n">
        <x:v>4</x:v>
      </x:c>
      <x:c r="H605" s="59" t="n">
        <x:v>7.5</x:v>
      </x:c>
      <x:c r="I605" s="59" t="n">
        <x:v>0.70476</x:v>
      </x:c>
      <x:c r="J605" s="59" t="n">
        <x:v>0.70713</x:v>
      </x:c>
      <x:c r="K605" s="59" t="n">
        <x:v>0.28718</x:v>
      </x:c>
      <x:c r="L605" s="59" t="n">
        <x:v>0.24991</x:v>
      </x:c>
      <x:c r="M605" s="59" t="n">
        <x:v>0.80327</x:v>
      </x:c>
      <x:c r="N605" s="60" t="n">
        <x:v>-6.03</x:v>
      </x:c>
      <x:c r="O605" s="60" t="n">
        <x:v>1.45</x:v>
      </x:c>
      <x:c r="P605" s="60" t="n">
        <x:v>1.5</x:v>
      </x:c>
      <x:c r="Q605" s="60" t="n">
        <x:v>84.6</x:v>
      </x:c>
      <x:c r="R605" s="58" t="str">
        <x:v>X</x:v>
      </x:c>
      <x:c r="S605" s="60" t="n">
        <x:v>100</x:v>
      </x:c>
      <x:c r="T605" s="58" t="str">
        <x:v>IN TARGET BAND</x:v>
      </x:c>
      <x:c r="U605" s="58" t="str">
        <x:v>Yes</x:v>
      </x:c>
      <x:c r="V605" s="58" t="n">
        <x:v>2705</x:v>
      </x:c>
      <x:c r="W605" s="58" t="str">
        <x:v>Pasted text(59).txt</x:v>
      </x:c>
    </x:row>
    <x:row r="606">
      <x:c r="A606" s="58" t="str">
        <x:v>S18</x:v>
      </x:c>
      <x:c r="B606" s="58" t="str">
        <x:v>0.75 validated session at 268 Hz</x:v>
      </x:c>
      <x:c r="C606" s="58" t="n">
        <x:v>0.75</x:v>
      </x:c>
      <x:c r="D606" s="58" t="n">
        <x:v>3</x:v>
      </x:c>
      <x:c r="E606" s="58" t="str">
        <x:v>PASS</x:v>
      </x:c>
      <x:c r="F606" s="58" t="n">
        <x:v>2</x:v>
      </x:c>
      <x:c r="G606" s="58" t="n">
        <x:v>5</x:v>
      </x:c>
      <x:c r="H606" s="59" t="n">
        <x:v>7.5</x:v>
      </x:c>
      <x:c r="I606" s="59" t="n">
        <x:v>0.7166</x:v>
      </x:c>
      <x:c r="J606" s="59" t="n">
        <x:v>0.72004</x:v>
      </x:c>
      <x:c r="K606" s="59" t="n">
        <x:v>0.28201</x:v>
      </x:c>
      <x:c r="L606" s="59" t="n">
        <x:v>0.24077</x:v>
      </x:c>
      <x:c r="M606" s="59" t="n">
        <x:v>0.81046</x:v>
      </x:c>
      <x:c r="N606" s="60" t="n">
        <x:v>-4.45</x:v>
      </x:c>
      <x:c r="O606" s="60" t="n">
        <x:v>0.17</x:v>
      </x:c>
      <x:c r="P606" s="60" t="n">
        <x:v>0.93</x:v>
      </x:c>
      <x:c r="Q606" s="60" t="n">
        <x:v>84.9</x:v>
      </x:c>
      <x:c r="R606" s="58" t="str">
        <x:v>X</x:v>
      </x:c>
      <x:c r="S606" s="60" t="n">
        <x:v>100</x:v>
      </x:c>
      <x:c r="T606" s="58" t="str">
        <x:v>IN TARGET BAND</x:v>
      </x:c>
      <x:c r="U606" s="58" t="str">
        <x:v>Yes</x:v>
      </x:c>
      <x:c r="V606" s="58" t="n">
        <x:v>2706</x:v>
      </x:c>
      <x:c r="W606" s="58" t="str">
        <x:v>Pasted text(59).txt</x:v>
      </x:c>
    </x:row>
    <x:row r="607">
      <x:c r="A607" s="58" t="str">
        <x:v>S18</x:v>
      </x:c>
      <x:c r="B607" s="58" t="str">
        <x:v>0.75 validated session at 268 Hz</x:v>
      </x:c>
      <x:c r="C607" s="58" t="n">
        <x:v>0.75</x:v>
      </x:c>
      <x:c r="D607" s="58" t="n">
        <x:v>3</x:v>
      </x:c>
      <x:c r="E607" s="58" t="str">
        <x:v>PASS</x:v>
      </x:c>
      <x:c r="F607" s="58" t="n">
        <x:v>2</x:v>
      </x:c>
      <x:c r="G607" s="58" t="n">
        <x:v>6</x:v>
      </x:c>
      <x:c r="H607" s="59" t="n">
        <x:v>7.5</x:v>
      </x:c>
      <x:c r="I607" s="59" t="n">
        <x:v>0.70508</x:v>
      </x:c>
      <x:c r="J607" s="59" t="n">
        <x:v>0.71007</x:v>
      </x:c>
      <x:c r="K607" s="59" t="n">
        <x:v>0.2757</x:v>
      </x:c>
      <x:c r="L607" s="59" t="n">
        <x:v>0.25003</x:v>
      </x:c>
      <x:c r="M607" s="59" t="n">
        <x:v>0.80211</x:v>
      </x:c>
      <x:c r="N607" s="60" t="n">
        <x:v>-5.99</x:v>
      </x:c>
      <x:c r="O607" s="60" t="n">
        <x:v>0.39</x:v>
      </x:c>
      <x:c r="P607" s="60" t="n">
        <x:v>1.45</x:v>
      </x:c>
      <x:c r="Q607" s="60" t="n">
        <x:v>83.4</x:v>
      </x:c>
      <x:c r="R607" s="58" t="str">
        <x:v>X</x:v>
      </x:c>
      <x:c r="S607" s="60" t="n">
        <x:v>100</x:v>
      </x:c>
      <x:c r="T607" s="58" t="str">
        <x:v>IN TARGET BAND</x:v>
      </x:c>
      <x:c r="U607" s="58" t="str">
        <x:v>Yes</x:v>
      </x:c>
      <x:c r="V607" s="58" t="n">
        <x:v>2707</x:v>
      </x:c>
      <x:c r="W607" s="58" t="str">
        <x:v>Pasted text(59).txt</x:v>
      </x:c>
    </x:row>
    <x:row r="608">
      <x:c r="A608" s="58" t="str">
        <x:v>S18</x:v>
      </x:c>
      <x:c r="B608" s="58" t="str">
        <x:v>0.75 validated session at 268 Hz</x:v>
      </x:c>
      <x:c r="C608" s="58" t="n">
        <x:v>0.75</x:v>
      </x:c>
      <x:c r="D608" s="58" t="n">
        <x:v>3</x:v>
      </x:c>
      <x:c r="E608" s="58" t="str">
        <x:v>PASS</x:v>
      </x:c>
      <x:c r="F608" s="58" t="n">
        <x:v>2</x:v>
      </x:c>
      <x:c r="G608" s="58" t="n">
        <x:v>7</x:v>
      </x:c>
      <x:c r="H608" s="59" t="n">
        <x:v>7.5</x:v>
      </x:c>
      <x:c r="I608" s="59" t="n">
        <x:v>0.71082</x:v>
      </x:c>
      <x:c r="J608" s="59" t="n">
        <x:v>0.71395</x:v>
      </x:c>
      <x:c r="K608" s="59" t="n">
        <x:v>0.28613</x:v>
      </x:c>
      <x:c r="L608" s="59" t="n">
        <x:v>0.25431</x:v>
      </x:c>
      <x:c r="M608" s="59" t="n">
        <x:v>0.81081</x:v>
      </x:c>
      <x:c r="N608" s="60" t="n">
        <x:v>-5.22</x:v>
      </x:c>
      <x:c r="O608" s="60" t="n">
        <x:v>4.91</x:v>
      </x:c>
      <x:c r="P608" s="60" t="n">
        <x:v>3.97</x:v>
      </x:c>
      <x:c r="Q608" s="60" t="n">
        <x:v>83.7</x:v>
      </x:c>
      <x:c r="R608" s="58" t="str">
        <x:v>X</x:v>
      </x:c>
      <x:c r="S608" s="60" t="n">
        <x:v>100</x:v>
      </x:c>
      <x:c r="T608" s="58" t="str">
        <x:v>IN TARGET BAND</x:v>
      </x:c>
      <x:c r="U608" s="58" t="str">
        <x:v>Yes</x:v>
      </x:c>
      <x:c r="V608" s="58" t="n">
        <x:v>2708</x:v>
      </x:c>
      <x:c r="W608" s="58" t="str">
        <x:v>Pasted text(59).txt</x:v>
      </x:c>
    </x:row>
    <x:row r="609">
      <x:c r="A609" s="58" t="str">
        <x:v>S18</x:v>
      </x:c>
      <x:c r="B609" s="58" t="str">
        <x:v>0.75 validated session at 268 Hz</x:v>
      </x:c>
      <x:c r="C609" s="58" t="n">
        <x:v>0.75</x:v>
      </x:c>
      <x:c r="D609" s="58" t="n">
        <x:v>3</x:v>
      </x:c>
      <x:c r="E609" s="58" t="str">
        <x:v>PASS</x:v>
      </x:c>
      <x:c r="F609" s="58" t="n">
        <x:v>2</x:v>
      </x:c>
      <x:c r="G609" s="58" t="n">
        <x:v>8</x:v>
      </x:c>
      <x:c r="H609" s="59" t="n">
        <x:v>7.5</x:v>
      </x:c>
      <x:c r="I609" s="59" t="n">
        <x:v>0.69334</x:v>
      </x:c>
      <x:c r="J609" s="59" t="n">
        <x:v>0.69032</x:v>
      </x:c>
      <x:c r="K609" s="59" t="n">
        <x:v>0.28397</x:v>
      </x:c>
      <x:c r="L609" s="59" t="n">
        <x:v>0.23396</x:v>
      </x:c>
      <x:c r="M609" s="59" t="n">
        <x:v>0.78317</x:v>
      </x:c>
      <x:c r="N609" s="60" t="n">
        <x:v>-7.55</x:v>
      </x:c>
      <x:c r="O609" s="60" t="n">
        <x:v>7.53</x:v>
      </x:c>
      <x:c r="P609" s="60" t="n">
        <x:v>5.77</x:v>
      </x:c>
      <x:c r="Q609" s="60" t="n">
        <x:v>82.8</x:v>
      </x:c>
      <x:c r="R609" s="58" t="str">
        <x:v>X</x:v>
      </x:c>
      <x:c r="S609" s="60" t="n">
        <x:v>100</x:v>
      </x:c>
      <x:c r="T609" s="58" t="str">
        <x:v>VALID</x:v>
      </x:c>
      <x:c r="U609" s="58" t="str">
        <x:v>No</x:v>
      </x:c>
      <x:c r="V609" s="58" t="n">
        <x:v>2709</x:v>
      </x:c>
      <x:c r="W609" s="58" t="str">
        <x:v>Pasted text(59).txt</x:v>
      </x:c>
    </x:row>
    <x:row r="610">
      <x:c r="A610" s="58" t="str">
        <x:v>S18</x:v>
      </x:c>
      <x:c r="B610" s="58" t="str">
        <x:v>0.75 validated session at 268 Hz</x:v>
      </x:c>
      <x:c r="C610" s="58" t="n">
        <x:v>0.75</x:v>
      </x:c>
      <x:c r="D610" s="58" t="n">
        <x:v>3</x:v>
      </x:c>
      <x:c r="E610" s="58" t="str">
        <x:v>PASS</x:v>
      </x:c>
      <x:c r="F610" s="58" t="n">
        <x:v>2</x:v>
      </x:c>
      <x:c r="G610" s="58" t="n">
        <x:v>9</x:v>
      </x:c>
      <x:c r="H610" s="59" t="n">
        <x:v>7.5</x:v>
      </x:c>
      <x:c r="I610" s="59" t="n">
        <x:v>0.72577</x:v>
      </x:c>
      <x:c r="J610" s="59" t="n">
        <x:v>0.71339</x:v>
      </x:c>
      <x:c r="K610" s="59" t="n">
        <x:v>0.27343</x:v>
      </x:c>
      <x:c r="L610" s="59" t="n">
        <x:v>0.23894</x:v>
      </x:c>
      <x:c r="M610" s="59" t="n">
        <x:v>0.80055</x:v>
      </x:c>
      <x:c r="N610" s="60" t="n">
        <x:v>-3.23</x:v>
      </x:c>
      <x:c r="O610" s="60" t="n">
        <x:v>3.22</x:v>
      </x:c>
      <x:c r="P610" s="60" t="n">
        <x:v>5.05</x:v>
      </x:c>
      <x:c r="Q610" s="60" t="n">
        <x:v>84.4</x:v>
      </x:c>
      <x:c r="R610" s="58" t="str">
        <x:v>X</x:v>
      </x:c>
      <x:c r="S610" s="60" t="n">
        <x:v>100</x:v>
      </x:c>
      <x:c r="T610" s="58" t="str">
        <x:v>IN TARGET BAND</x:v>
      </x:c>
      <x:c r="U610" s="58" t="str">
        <x:v>Yes</x:v>
      </x:c>
      <x:c r="V610" s="58" t="n">
        <x:v>2710</x:v>
      </x:c>
      <x:c r="W610" s="58" t="str">
        <x:v>Pasted text(59).txt</x:v>
      </x:c>
    </x:row>
    <x:row r="611">
      <x:c r="A611" s="58" t="str">
        <x:v>S18</x:v>
      </x:c>
      <x:c r="B611" s="58" t="str">
        <x:v>0.75 validated session at 268 Hz</x:v>
      </x:c>
      <x:c r="C611" s="58" t="n">
        <x:v>0.75</x:v>
      </x:c>
      <x:c r="D611" s="58" t="n">
        <x:v>3</x:v>
      </x:c>
      <x:c r="E611" s="58" t="str">
        <x:v>PASS</x:v>
      </x:c>
      <x:c r="F611" s="58" t="n">
        <x:v>2</x:v>
      </x:c>
      <x:c r="G611" s="58" t="n">
        <x:v>10</x:v>
      </x:c>
      <x:c r="H611" s="59" t="n">
        <x:v>7.5</x:v>
      </x:c>
      <x:c r="I611" s="59" t="n">
        <x:v>0.69765</x:v>
      </x:c>
      <x:c r="J611" s="59" t="n">
        <x:v>0.70337</x:v>
      </x:c>
      <x:c r="K611" s="59" t="n">
        <x:v>0.29853</x:v>
      </x:c>
      <x:c r="L611" s="59" t="n">
        <x:v>0.22913</x:v>
      </x:c>
      <x:c r="M611" s="59" t="n">
        <x:v>0.79804</x:v>
      </x:c>
      <x:c r="N611" s="60" t="n">
        <x:v>-6.98</x:v>
      </x:c>
      <x:c r="O611" s="60" t="n">
        <x:v>3.8</x:v>
      </x:c>
      <x:c r="P611" s="60" t="n">
        <x:v>3.83</x:v>
      </x:c>
      <x:c r="Q611" s="60" t="n">
        <x:v>83.7</x:v>
      </x:c>
      <x:c r="R611" s="58" t="str">
        <x:v>X</x:v>
      </x:c>
      <x:c r="S611" s="60" t="n">
        <x:v>100</x:v>
      </x:c>
      <x:c r="T611" s="58" t="str">
        <x:v>IN TARGET BAND</x:v>
      </x:c>
      <x:c r="U611" s="58" t="str">
        <x:v>Yes</x:v>
      </x:c>
      <x:c r="V611" s="58" t="n">
        <x:v>2711</x:v>
      </x:c>
      <x:c r="W611" s="58" t="str">
        <x:v>Pasted text(59).txt</x:v>
      </x:c>
    </x:row>
    <x:row r="612">
      <x:c r="A612" s="58" t="str">
        <x:v>S18</x:v>
      </x:c>
      <x:c r="B612" s="58" t="str">
        <x:v>0.75 validated session at 268 Hz</x:v>
      </x:c>
      <x:c r="C612" s="58" t="n">
        <x:v>0.75</x:v>
      </x:c>
      <x:c r="D612" s="58" t="n">
        <x:v>4</x:v>
      </x:c>
      <x:c r="E612" s="58" t="str">
        <x:v>PASS</x:v>
      </x:c>
      <x:c r="F612" s="58" t="n">
        <x:v>1</x:v>
      </x:c>
      <x:c r="G612" s="58" t="n">
        <x:v>1</x:v>
      </x:c>
      <x:c r="H612" s="59" t="n">
        <x:v>7.75</x:v>
      </x:c>
      <x:c r="I612" s="59" t="n">
        <x:v>0.76662</x:v>
      </x:c>
      <x:c r="J612" s="59" t="n">
        <x:v>0.77508</x:v>
      </x:c>
      <x:c r="K612" s="59" t="n">
        <x:v>0.2969</x:v>
      </x:c>
      <x:c r="L612" s="59" t="n">
        <x:v>0.2645</x:v>
      </x:c>
      <x:c r="M612" s="59" t="n">
        <x:v>0.87125</x:v>
      </x:c>
      <x:c r="N612" s="60" t="n">
        <x:v>2.22</x:v>
      </x:c>
      <x:c r="O612" s="60" t="n">
        <x:v>0.33</x:v>
      </x:c>
      <x:c r="P612" s="60" t="n">
        <x:v>2.08</x:v>
      </x:c>
      <x:c r="Q612" s="60" t="n">
        <x:v>83.1</x:v>
      </x:c>
      <x:c r="R612" s="58" t="str">
        <x:v>X</x:v>
      </x:c>
      <x:c r="S612" s="60" t="n">
        <x:v>100</x:v>
      </x:c>
      <x:c r="T612" s="58" t="str">
        <x:v>IN TARGET BAND</x:v>
      </x:c>
      <x:c r="U612" s="58" t="str">
        <x:v>Yes</x:v>
      </x:c>
      <x:c r="V612" s="58" t="n">
        <x:v>2782</x:v>
      </x:c>
      <x:c r="W612" s="58" t="str">
        <x:v>Pasted text(59).txt</x:v>
      </x:c>
    </x:row>
    <x:row r="613">
      <x:c r="A613" s="58" t="str">
        <x:v>S18</x:v>
      </x:c>
      <x:c r="B613" s="58" t="str">
        <x:v>0.75 validated session at 268 Hz</x:v>
      </x:c>
      <x:c r="C613" s="58" t="n">
        <x:v>0.75</x:v>
      </x:c>
      <x:c r="D613" s="58" t="n">
        <x:v>4</x:v>
      </x:c>
      <x:c r="E613" s="58" t="str">
        <x:v>PASS</x:v>
      </x:c>
      <x:c r="F613" s="58" t="n">
        <x:v>1</x:v>
      </x:c>
      <x:c r="G613" s="58" t="n">
        <x:v>2</x:v>
      </x:c>
      <x:c r="H613" s="59" t="n">
        <x:v>7.75</x:v>
      </x:c>
      <x:c r="I613" s="59" t="n">
        <x:v>0.76917</x:v>
      </x:c>
      <x:c r="J613" s="59" t="n">
        <x:v>0.77061</x:v>
      </x:c>
      <x:c r="K613" s="59" t="n">
        <x:v>0.27835</x:v>
      </x:c>
      <x:c r="L613" s="59" t="n">
        <x:v>0.26017</x:v>
      </x:c>
      <x:c r="M613" s="59" t="n">
        <x:v>0.86085</x:v>
      </x:c>
      <x:c r="N613" s="60" t="n">
        <x:v>2.56</x:v>
      </x:c>
      <x:c r="O613" s="60" t="n">
        <x:v>4.44</x:v>
      </x:c>
      <x:c r="P613" s="60" t="n">
        <x:v>3.27</x:v>
      </x:c>
      <x:c r="Q613" s="60" t="n">
        <x:v>83</x:v>
      </x:c>
      <x:c r="R613" s="58" t="str">
        <x:v>X</x:v>
      </x:c>
      <x:c r="S613" s="60" t="n">
        <x:v>100</x:v>
      </x:c>
      <x:c r="T613" s="58" t="str">
        <x:v>IN TARGET BAND</x:v>
      </x:c>
      <x:c r="U613" s="58" t="str">
        <x:v>Yes</x:v>
      </x:c>
      <x:c r="V613" s="58" t="n">
        <x:v>2783</x:v>
      </x:c>
      <x:c r="W613" s="58" t="str">
        <x:v>Pasted text(59).txt</x:v>
      </x:c>
    </x:row>
    <x:row r="614">
      <x:c r="A614" s="58" t="str">
        <x:v>S18</x:v>
      </x:c>
      <x:c r="B614" s="58" t="str">
        <x:v>0.75 validated session at 268 Hz</x:v>
      </x:c>
      <x:c r="C614" s="58" t="n">
        <x:v>0.75</x:v>
      </x:c>
      <x:c r="D614" s="58" t="n">
        <x:v>4</x:v>
      </x:c>
      <x:c r="E614" s="58" t="str">
        <x:v>PASS</x:v>
      </x:c>
      <x:c r="F614" s="58" t="n">
        <x:v>1</x:v>
      </x:c>
      <x:c r="G614" s="58" t="n">
        <x:v>3</x:v>
      </x:c>
      <x:c r="H614" s="59" t="n">
        <x:v>7.75</x:v>
      </x:c>
      <x:c r="I614" s="59" t="n">
        <x:v>0.76132</x:v>
      </x:c>
      <x:c r="J614" s="59" t="n">
        <x:v>0.76504</x:v>
      </x:c>
      <x:c r="K614" s="59" t="n">
        <x:v>0.29329</x:v>
      </x:c>
      <x:c r="L614" s="59" t="n">
        <x:v>0.21573</x:v>
      </x:c>
      <x:c r="M614" s="59" t="n">
        <x:v>0.84783</x:v>
      </x:c>
      <x:c r="N614" s="60" t="n">
        <x:v>1.51</x:v>
      </x:c>
      <x:c r="O614" s="60" t="n">
        <x:v>3.09</x:v>
      </x:c>
      <x:c r="P614" s="60" t="n">
        <x:v>2.83</x:v>
      </x:c>
      <x:c r="Q614" s="60" t="n">
        <x:v>82.4</x:v>
      </x:c>
      <x:c r="R614" s="58" t="str">
        <x:v>X</x:v>
      </x:c>
      <x:c r="S614" s="60" t="n">
        <x:v>100</x:v>
      </x:c>
      <x:c r="T614" s="58" t="str">
        <x:v>IN TARGET BAND</x:v>
      </x:c>
      <x:c r="U614" s="58" t="str">
        <x:v>Yes</x:v>
      </x:c>
      <x:c r="V614" s="58" t="n">
        <x:v>2784</x:v>
      </x:c>
      <x:c r="W614" s="58" t="str">
        <x:v>Pasted text(59).txt</x:v>
      </x:c>
    </x:row>
    <x:row r="615">
      <x:c r="A615" s="58" t="str">
        <x:v>S18</x:v>
      </x:c>
      <x:c r="B615" s="58" t="str">
        <x:v>0.75 validated session at 268 Hz</x:v>
      </x:c>
      <x:c r="C615" s="58" t="n">
        <x:v>0.75</x:v>
      </x:c>
      <x:c r="D615" s="58" t="n">
        <x:v>4</x:v>
      </x:c>
      <x:c r="E615" s="58" t="str">
        <x:v>PASS</x:v>
      </x:c>
      <x:c r="F615" s="58" t="n">
        <x:v>1</x:v>
      </x:c>
      <x:c r="G615" s="58" t="n">
        <x:v>4</x:v>
      </x:c>
      <x:c r="H615" s="59" t="n">
        <x:v>7.75</x:v>
      </x:c>
      <x:c r="I615" s="59" t="n">
        <x:v>0.76842</x:v>
      </x:c>
      <x:c r="J615" s="59" t="n">
        <x:v>0.77135</x:v>
      </x:c>
      <x:c r="K615" s="59" t="n">
        <x:v>0.28982</x:v>
      </x:c>
      <x:c r="L615" s="59" t="n">
        <x:v>0.29111</x:v>
      </x:c>
      <x:c r="M615" s="59" t="n">
        <x:v>0.87458</x:v>
      </x:c>
      <x:c r="N615" s="60" t="n">
        <x:v>2.46</x:v>
      </x:c>
      <x:c r="O615" s="60" t="n">
        <x:v>2.43</x:v>
      </x:c>
      <x:c r="P615" s="60" t="n">
        <x:v>2.23</x:v>
      </x:c>
      <x:c r="Q615" s="60" t="n">
        <x:v>83.3</x:v>
      </x:c>
      <x:c r="R615" s="58" t="str">
        <x:v>X</x:v>
      </x:c>
      <x:c r="S615" s="60" t="n">
        <x:v>100</x:v>
      </x:c>
      <x:c r="T615" s="58" t="str">
        <x:v>IN TARGET BAND</x:v>
      </x:c>
      <x:c r="U615" s="58" t="str">
        <x:v>Yes</x:v>
      </x:c>
      <x:c r="V615" s="58" t="n">
        <x:v>2785</x:v>
      </x:c>
      <x:c r="W615" s="58" t="str">
        <x:v>Pasted text(59).txt</x:v>
      </x:c>
    </x:row>
    <x:row r="616">
      <x:c r="A616" s="58" t="str">
        <x:v>S18</x:v>
      </x:c>
      <x:c r="B616" s="58" t="str">
        <x:v>0.75 validated session at 268 Hz</x:v>
      </x:c>
      <x:c r="C616" s="58" t="n">
        <x:v>0.75</x:v>
      </x:c>
      <x:c r="D616" s="58" t="n">
        <x:v>4</x:v>
      </x:c>
      <x:c r="E616" s="58" t="str">
        <x:v>PASS</x:v>
      </x:c>
      <x:c r="F616" s="58" t="n">
        <x:v>1</x:v>
      </x:c>
      <x:c r="G616" s="58" t="n">
        <x:v>5</x:v>
      </x:c>
      <x:c r="H616" s="59" t="n">
        <x:v>7.75</x:v>
      </x:c>
      <x:c r="I616" s="59" t="n">
        <x:v>0.79945</x:v>
      </x:c>
      <x:c r="J616" s="59" t="n">
        <x:v>0.79487</x:v>
      </x:c>
      <x:c r="K616" s="59" t="n">
        <x:v>0.31366</x:v>
      </x:c>
      <x:c r="L616" s="59" t="n">
        <x:v>0.25604</x:v>
      </x:c>
      <x:c r="M616" s="59" t="n">
        <x:v>0.89243</x:v>
      </x:c>
      <x:c r="N616" s="60" t="n">
        <x:v>6.59</x:v>
      </x:c>
      <x:c r="O616" s="60" t="n">
        <x:v>3.05</x:v>
      </x:c>
      <x:c r="P616" s="60" t="n">
        <x:v>2.98</x:v>
      </x:c>
      <x:c r="Q616" s="60" t="n">
        <x:v>85.5</x:v>
      </x:c>
      <x:c r="R616" s="58" t="str">
        <x:v>X</x:v>
      </x:c>
      <x:c r="S616" s="60" t="n">
        <x:v>100</x:v>
      </x:c>
      <x:c r="T616" s="58" t="str">
        <x:v>IN TARGET BAND</x:v>
      </x:c>
      <x:c r="U616" s="58" t="str">
        <x:v>Yes</x:v>
      </x:c>
      <x:c r="V616" s="58" t="n">
        <x:v>2786</x:v>
      </x:c>
      <x:c r="W616" s="58" t="str">
        <x:v>Pasted text(59).txt</x:v>
      </x:c>
    </x:row>
    <x:row r="617">
      <x:c r="A617" s="58" t="str">
        <x:v>S18</x:v>
      </x:c>
      <x:c r="B617" s="58" t="str">
        <x:v>0.75 validated session at 268 Hz</x:v>
      </x:c>
      <x:c r="C617" s="58" t="n">
        <x:v>0.75</x:v>
      </x:c>
      <x:c r="D617" s="58" t="n">
        <x:v>4</x:v>
      </x:c>
      <x:c r="E617" s="58" t="str">
        <x:v>PASS</x:v>
      </x:c>
      <x:c r="F617" s="58" t="n">
        <x:v>1</x:v>
      </x:c>
      <x:c r="G617" s="58" t="n">
        <x:v>6</x:v>
      </x:c>
      <x:c r="H617" s="59" t="n">
        <x:v>7.75</x:v>
      </x:c>
      <x:c r="I617" s="59" t="n">
        <x:v>0.76502</x:v>
      </x:c>
      <x:c r="J617" s="59" t="n">
        <x:v>0.76828</x:v>
      </x:c>
      <x:c r="K617" s="59" t="n">
        <x:v>0.32501</x:v>
      </x:c>
      <x:c r="L617" s="59" t="n">
        <x:v>0.2601</x:v>
      </x:c>
      <x:c r="M617" s="59" t="n">
        <x:v>0.87393</x:v>
      </x:c>
      <x:c r="N617" s="60" t="n">
        <x:v>2</x:v>
      </x:c>
      <x:c r="O617" s="60" t="n">
        <x:v>0.07</x:v>
      </x:c>
      <x:c r="P617" s="60" t="n">
        <x:v>0.78</x:v>
      </x:c>
      <x:c r="Q617" s="60" t="n">
        <x:v>82.1</x:v>
      </x:c>
      <x:c r="R617" s="58" t="str">
        <x:v>X</x:v>
      </x:c>
      <x:c r="S617" s="60" t="n">
        <x:v>100</x:v>
      </x:c>
      <x:c r="T617" s="58" t="str">
        <x:v>IN TARGET BAND</x:v>
      </x:c>
      <x:c r="U617" s="58" t="str">
        <x:v>Yes</x:v>
      </x:c>
      <x:c r="V617" s="58" t="n">
        <x:v>2787</x:v>
      </x:c>
      <x:c r="W617" s="58" t="str">
        <x:v>Pasted text(59).txt</x:v>
      </x:c>
    </x:row>
    <x:row r="618">
      <x:c r="A618" s="58" t="str">
        <x:v>S18</x:v>
      </x:c>
      <x:c r="B618" s="58" t="str">
        <x:v>0.75 validated session at 268 Hz</x:v>
      </x:c>
      <x:c r="C618" s="58" t="n">
        <x:v>0.75</x:v>
      </x:c>
      <x:c r="D618" s="58" t="n">
        <x:v>4</x:v>
      </x:c>
      <x:c r="E618" s="58" t="str">
        <x:v>PASS</x:v>
      </x:c>
      <x:c r="F618" s="58" t="n">
        <x:v>1</x:v>
      </x:c>
      <x:c r="G618" s="58" t="n">
        <x:v>7</x:v>
      </x:c>
      <x:c r="H618" s="59" t="n">
        <x:v>7.75</x:v>
      </x:c>
      <x:c r="I618" s="59" t="n">
        <x:v>0.78055</x:v>
      </x:c>
      <x:c r="J618" s="59" t="n">
        <x:v>0.77071</x:v>
      </x:c>
      <x:c r="K618" s="59" t="n">
        <x:v>0.28951</x:v>
      </x:c>
      <x:c r="L618" s="59" t="n">
        <x:v>0.24924</x:v>
      </x:c>
      <x:c r="M618" s="59" t="n">
        <x:v>0.86128</x:v>
      </x:c>
      <x:c r="N618" s="60" t="n">
        <x:v>4.07</x:v>
      </x:c>
      <x:c r="O618" s="60" t="n">
        <x:v>3.31</x:v>
      </x:c>
      <x:c r="P618" s="60" t="n">
        <x:v>4.32</x:v>
      </x:c>
      <x:c r="Q618" s="60" t="n">
        <x:v>82.7</x:v>
      </x:c>
      <x:c r="R618" s="58" t="str">
        <x:v>X</x:v>
      </x:c>
      <x:c r="S618" s="60" t="n">
        <x:v>100</x:v>
      </x:c>
      <x:c r="T618" s="58" t="str">
        <x:v>IN TARGET BAND</x:v>
      </x:c>
      <x:c r="U618" s="58" t="str">
        <x:v>Yes</x:v>
      </x:c>
      <x:c r="V618" s="58" t="n">
        <x:v>2788</x:v>
      </x:c>
      <x:c r="W618" s="58" t="str">
        <x:v>Pasted text(59).txt</x:v>
      </x:c>
    </x:row>
    <x:row r="619">
      <x:c r="A619" s="58" t="str">
        <x:v>S18</x:v>
      </x:c>
      <x:c r="B619" s="58" t="str">
        <x:v>0.75 validated session at 268 Hz</x:v>
      </x:c>
      <x:c r="C619" s="58" t="n">
        <x:v>0.75</x:v>
      </x:c>
      <x:c r="D619" s="58" t="n">
        <x:v>4</x:v>
      </x:c>
      <x:c r="E619" s="58" t="str">
        <x:v>PASS</x:v>
      </x:c>
      <x:c r="F619" s="58" t="n">
        <x:v>1</x:v>
      </x:c>
      <x:c r="G619" s="58" t="n">
        <x:v>8</x:v>
      </x:c>
      <x:c r="H619" s="59" t="n">
        <x:v>7.75</x:v>
      </x:c>
      <x:c r="I619" s="59" t="n">
        <x:v>0.79104</x:v>
      </x:c>
      <x:c r="J619" s="59" t="n">
        <x:v>0.77705</x:v>
      </x:c>
      <x:c r="K619" s="59" t="n">
        <x:v>0.29757</x:v>
      </x:c>
      <x:c r="L619" s="59" t="n">
        <x:v>0.25918</x:v>
      </x:c>
      <x:c r="M619" s="59" t="n">
        <x:v>0.87239</x:v>
      </x:c>
      <x:c r="N619" s="60" t="n">
        <x:v>5.47</x:v>
      </x:c>
      <x:c r="O619" s="60" t="n">
        <x:v>1.56</x:v>
      </x:c>
      <x:c r="P619" s="60" t="n">
        <x:v>4.08</x:v>
      </x:c>
      <x:c r="Q619" s="60" t="n">
        <x:v>82.1</x:v>
      </x:c>
      <x:c r="R619" s="58" t="str">
        <x:v>X</x:v>
      </x:c>
      <x:c r="S619" s="60" t="n">
        <x:v>100</x:v>
      </x:c>
      <x:c r="T619" s="58" t="str">
        <x:v>IN TARGET BAND</x:v>
      </x:c>
      <x:c r="U619" s="58" t="str">
        <x:v>Yes</x:v>
      </x:c>
      <x:c r="V619" s="58" t="n">
        <x:v>2789</x:v>
      </x:c>
      <x:c r="W619" s="58" t="str">
        <x:v>Pasted text(59).txt</x:v>
      </x:c>
    </x:row>
    <x:row r="620">
      <x:c r="A620" s="58" t="str">
        <x:v>S18</x:v>
      </x:c>
      <x:c r="B620" s="58" t="str">
        <x:v>0.75 validated session at 268 Hz</x:v>
      </x:c>
      <x:c r="C620" s="58" t="n">
        <x:v>0.75</x:v>
      </x:c>
      <x:c r="D620" s="58" t="n">
        <x:v>4</x:v>
      </x:c>
      <x:c r="E620" s="58" t="str">
        <x:v>PASS</x:v>
      </x:c>
      <x:c r="F620" s="58" t="n">
        <x:v>1</x:v>
      </x:c>
      <x:c r="G620" s="58" t="n">
        <x:v>9</x:v>
      </x:c>
      <x:c r="H620" s="59" t="n">
        <x:v>7.75</x:v>
      </x:c>
      <x:c r="I620" s="59" t="n">
        <x:v>0.76154</x:v>
      </x:c>
      <x:c r="J620" s="59" t="n">
        <x:v>0.76721</x:v>
      </x:c>
      <x:c r="K620" s="59" t="n">
        <x:v>0.30232</x:v>
      </x:c>
      <x:c r="L620" s="59" t="n">
        <x:v>0.25233</x:v>
      </x:c>
      <x:c r="M620" s="59" t="n">
        <x:v>0.86309</x:v>
      </x:c>
      <x:c r="N620" s="60" t="n">
        <x:v>1.54</x:v>
      </x:c>
      <x:c r="O620" s="60" t="n">
        <x:v>2.5</x:v>
      </x:c>
      <x:c r="P620" s="60" t="n">
        <x:v>2.86</x:v>
      </x:c>
      <x:c r="Q620" s="60" t="n">
        <x:v>84.1</x:v>
      </x:c>
      <x:c r="R620" s="58" t="str">
        <x:v>X</x:v>
      </x:c>
      <x:c r="S620" s="60" t="n">
        <x:v>100</x:v>
      </x:c>
      <x:c r="T620" s="58" t="str">
        <x:v>IN TARGET BAND</x:v>
      </x:c>
      <x:c r="U620" s="58" t="str">
        <x:v>Yes</x:v>
      </x:c>
      <x:c r="V620" s="58" t="n">
        <x:v>2790</x:v>
      </x:c>
      <x:c r="W620" s="58" t="str">
        <x:v>Pasted text(59).txt</x:v>
      </x:c>
    </x:row>
    <x:row r="621">
      <x:c r="A621" s="58" t="str">
        <x:v>S18</x:v>
      </x:c>
      <x:c r="B621" s="58" t="str">
        <x:v>0.75 validated session at 268 Hz</x:v>
      </x:c>
      <x:c r="C621" s="58" t="n">
        <x:v>0.75</x:v>
      </x:c>
      <x:c r="D621" s="58" t="n">
        <x:v>4</x:v>
      </x:c>
      <x:c r="E621" s="58" t="str">
        <x:v>PASS</x:v>
      </x:c>
      <x:c r="F621" s="58" t="n">
        <x:v>1</x:v>
      </x:c>
      <x:c r="G621" s="58" t="n">
        <x:v>10</x:v>
      </x:c>
      <x:c r="H621" s="59" t="n">
        <x:v>7.75</x:v>
      </x:c>
      <x:c r="I621" s="59" t="n">
        <x:v>0.74931</x:v>
      </x:c>
      <x:c r="J621" s="59" t="n">
        <x:v>0.75399</x:v>
      </x:c>
      <x:c r="K621" s="59" t="n">
        <x:v>0.28879</x:v>
      </x:c>
      <x:c r="L621" s="59" t="n">
        <x:v>0.26024</x:v>
      </x:c>
      <x:c r="M621" s="59" t="n">
        <x:v>0.84909</x:v>
      </x:c>
      <x:c r="N621" s="60" t="n">
        <x:v>-0.09</x:v>
      </x:c>
      <x:c r="O621" s="60" t="n">
        <x:v>1.74</x:v>
      </x:c>
      <x:c r="P621" s="60" t="n">
        <x:v>2.16</x:v>
      </x:c>
      <x:c r="Q621" s="60" t="n">
        <x:v>82.4</x:v>
      </x:c>
      <x:c r="R621" s="58" t="str">
        <x:v>X</x:v>
      </x:c>
      <x:c r="S621" s="60" t="n">
        <x:v>100</x:v>
      </x:c>
      <x:c r="T621" s="58" t="str">
        <x:v>IN TARGET BAND</x:v>
      </x:c>
      <x:c r="U621" s="58" t="str">
        <x:v>Yes</x:v>
      </x:c>
      <x:c r="V621" s="58" t="n">
        <x:v>2791</x:v>
      </x:c>
      <x:c r="W621" s="58" t="str">
        <x:v>Pasted text(59).txt</x:v>
      </x:c>
    </x:row>
    <x:row r="622">
      <x:c r="A622" s="58" t="str">
        <x:v>S18</x:v>
      </x:c>
      <x:c r="B622" s="58" t="str">
        <x:v>0.75 validated session at 268 Hz</x:v>
      </x:c>
      <x:c r="C622" s="58" t="n">
        <x:v>0.75</x:v>
      </x:c>
      <x:c r="D622" s="58" t="n">
        <x:v>5</x:v>
      </x:c>
      <x:c r="E622" s="58" t="str">
        <x:v>PASS</x:v>
      </x:c>
      <x:c r="F622" s="58" t="n">
        <x:v>1</x:v>
      </x:c>
      <x:c r="G622" s="58" t="n">
        <x:v>1</x:v>
      </x:c>
      <x:c r="H622" s="59" t="n">
        <x:v>7.75</x:v>
      </x:c>
      <x:c r="I622" s="59" t="n">
        <x:v>0.76886</x:v>
      </x:c>
      <x:c r="J622" s="59" t="n">
        <x:v>0.75968</x:v>
      </x:c>
      <x:c r="K622" s="59" t="n">
        <x:v>0.3026</x:v>
      </x:c>
      <x:c r="L622" s="59" t="n">
        <x:v>0.27284</x:v>
      </x:c>
      <x:c r="M622" s="59" t="n">
        <x:v>0.86257</x:v>
      </x:c>
      <x:c r="N622" s="60" t="n">
        <x:v>2.52</x:v>
      </x:c>
      <x:c r="O622" s="60" t="n">
        <x:v>1.63</x:v>
      </x:c>
      <x:c r="P622" s="60" t="n">
        <x:v>3.11</x:v>
      </x:c>
      <x:c r="Q622" s="60" t="n">
        <x:v>83</x:v>
      </x:c>
      <x:c r="R622" s="58" t="str">
        <x:v>X</x:v>
      </x:c>
      <x:c r="S622" s="60" t="n">
        <x:v>100</x:v>
      </x:c>
      <x:c r="T622" s="58" t="str">
        <x:v>IN TARGET BAND</x:v>
      </x:c>
      <x:c r="U622" s="58" t="str">
        <x:v>Yes</x:v>
      </x:c>
      <x:c r="V622" s="58" t="n">
        <x:v>2862</x:v>
      </x:c>
      <x:c r="W622" s="58" t="str">
        <x:v>Pasted text(59).txt</x:v>
      </x:c>
    </x:row>
    <x:row r="623">
      <x:c r="A623" s="58" t="str">
        <x:v>S18</x:v>
      </x:c>
      <x:c r="B623" s="58" t="str">
        <x:v>0.75 validated session at 268 Hz</x:v>
      </x:c>
      <x:c r="C623" s="58" t="n">
        <x:v>0.75</x:v>
      </x:c>
      <x:c r="D623" s="58" t="n">
        <x:v>5</x:v>
      </x:c>
      <x:c r="E623" s="58" t="str">
        <x:v>PASS</x:v>
      </x:c>
      <x:c r="F623" s="58" t="n">
        <x:v>1</x:v>
      </x:c>
      <x:c r="G623" s="58" t="n">
        <x:v>2</x:v>
      </x:c>
      <x:c r="H623" s="59" t="n">
        <x:v>7.75</x:v>
      </x:c>
      <x:c r="I623" s="59" t="n">
        <x:v>0.76274</x:v>
      </x:c>
      <x:c r="J623" s="59" t="n">
        <x:v>0.75963</x:v>
      </x:c>
      <x:c r="K623" s="59" t="n">
        <x:v>0.28521</x:v>
      </x:c>
      <x:c r="L623" s="59" t="n">
        <x:v>0.26068</x:v>
      </x:c>
      <x:c r="M623" s="59" t="n">
        <x:v>0.85238</x:v>
      </x:c>
      <x:c r="N623" s="60" t="n">
        <x:v>1.7</x:v>
      </x:c>
      <x:c r="O623" s="60" t="n">
        <x:v>1.93</x:v>
      </x:c>
      <x:c r="P623" s="60" t="n">
        <x:v>1.95</x:v>
      </x:c>
      <x:c r="Q623" s="60" t="n">
        <x:v>82</x:v>
      </x:c>
      <x:c r="R623" s="58" t="str">
        <x:v>X</x:v>
      </x:c>
      <x:c r="S623" s="60" t="n">
        <x:v>100</x:v>
      </x:c>
      <x:c r="T623" s="58" t="str">
        <x:v>IN TARGET BAND</x:v>
      </x:c>
      <x:c r="U623" s="58" t="str">
        <x:v>Yes</x:v>
      </x:c>
      <x:c r="V623" s="58" t="n">
        <x:v>2863</x:v>
      </x:c>
      <x:c r="W623" s="58" t="str">
        <x:v>Pasted text(59).txt</x:v>
      </x:c>
    </x:row>
    <x:row r="624">
      <x:c r="A624" s="58" t="str">
        <x:v>S18</x:v>
      </x:c>
      <x:c r="B624" s="58" t="str">
        <x:v>0.75 validated session at 268 Hz</x:v>
      </x:c>
      <x:c r="C624" s="58" t="n">
        <x:v>0.75</x:v>
      </x:c>
      <x:c r="D624" s="58" t="n">
        <x:v>5</x:v>
      </x:c>
      <x:c r="E624" s="58" t="str">
        <x:v>PASS</x:v>
      </x:c>
      <x:c r="F624" s="58" t="n">
        <x:v>1</x:v>
      </x:c>
      <x:c r="G624" s="58" t="n">
        <x:v>3</x:v>
      </x:c>
      <x:c r="H624" s="59" t="n">
        <x:v>7.75</x:v>
      </x:c>
      <x:c r="I624" s="59" t="n">
        <x:v>0.74962</x:v>
      </x:c>
      <x:c r="J624" s="59" t="n">
        <x:v>0.74858</x:v>
      </x:c>
      <x:c r="K624" s="59" t="n">
        <x:v>0.28116</x:v>
      </x:c>
      <x:c r="L624" s="59" t="n">
        <x:v>0.25671</x:v>
      </x:c>
      <x:c r="M624" s="59" t="n">
        <x:v>0.83995</x:v>
      </x:c>
      <x:c r="N624" s="60" t="n">
        <x:v>-0.05</x:v>
      </x:c>
      <x:c r="O624" s="60" t="n">
        <x:v>5.4</x:v>
      </x:c>
      <x:c r="P624" s="60" t="n">
        <x:v>3.86</x:v>
      </x:c>
      <x:c r="Q624" s="60" t="n">
        <x:v>82</x:v>
      </x:c>
      <x:c r="R624" s="58" t="str">
        <x:v>X</x:v>
      </x:c>
      <x:c r="S624" s="60" t="n">
        <x:v>100</x:v>
      </x:c>
      <x:c r="T624" s="58" t="str">
        <x:v>IN TARGET BAND</x:v>
      </x:c>
      <x:c r="U624" s="58" t="str">
        <x:v>Yes</x:v>
      </x:c>
      <x:c r="V624" s="58" t="n">
        <x:v>2864</x:v>
      </x:c>
      <x:c r="W624" s="58" t="str">
        <x:v>Pasted text(59).txt</x:v>
      </x:c>
    </x:row>
    <x:row r="625">
      <x:c r="A625" s="58" t="str">
        <x:v>S18</x:v>
      </x:c>
      <x:c r="B625" s="58" t="str">
        <x:v>0.75 validated session at 268 Hz</x:v>
      </x:c>
      <x:c r="C625" s="58" t="n">
        <x:v>0.75</x:v>
      </x:c>
      <x:c r="D625" s="58" t="n">
        <x:v>5</x:v>
      </x:c>
      <x:c r="E625" s="58" t="str">
        <x:v>PASS</x:v>
      </x:c>
      <x:c r="F625" s="58" t="n">
        <x:v>1</x:v>
      </x:c>
      <x:c r="G625" s="58" t="n">
        <x:v>4</x:v>
      </x:c>
      <x:c r="H625" s="59" t="n">
        <x:v>7.75</x:v>
      </x:c>
      <x:c r="I625" s="59" t="n">
        <x:v>0.77098</x:v>
      </x:c>
      <x:c r="J625" s="59" t="n">
        <x:v>0.76647</x:v>
      </x:c>
      <x:c r="K625" s="59" t="n">
        <x:v>0.31338</x:v>
      </x:c>
      <x:c r="L625" s="59" t="n">
        <x:v>0.25407</x:v>
      </x:c>
      <x:c r="M625" s="59" t="n">
        <x:v>0.86637</x:v>
      </x:c>
      <x:c r="N625" s="60" t="n">
        <x:v>2.8</x:v>
      </x:c>
      <x:c r="O625" s="60" t="n">
        <x:v>3.19</x:v>
      </x:c>
      <x:c r="P625" s="60" t="n">
        <x:v>3.09</x:v>
      </x:c>
      <x:c r="Q625" s="60" t="n">
        <x:v>84.4</x:v>
      </x:c>
      <x:c r="R625" s="58" t="str">
        <x:v>X</x:v>
      </x:c>
      <x:c r="S625" s="60" t="n">
        <x:v>100</x:v>
      </x:c>
      <x:c r="T625" s="58" t="str">
        <x:v>IN TARGET BAND</x:v>
      </x:c>
      <x:c r="U625" s="58" t="str">
        <x:v>Yes</x:v>
      </x:c>
      <x:c r="V625" s="58" t="n">
        <x:v>2865</x:v>
      </x:c>
      <x:c r="W625" s="58" t="str">
        <x:v>Pasted text(59).txt</x:v>
      </x:c>
    </x:row>
    <x:row r="626">
      <x:c r="A626" s="58" t="str">
        <x:v>S18</x:v>
      </x:c>
      <x:c r="B626" s="58" t="str">
        <x:v>0.75 validated session at 268 Hz</x:v>
      </x:c>
      <x:c r="C626" s="58" t="n">
        <x:v>0.75</x:v>
      </x:c>
      <x:c r="D626" s="58" t="n">
        <x:v>5</x:v>
      </x:c>
      <x:c r="E626" s="58" t="str">
        <x:v>PASS</x:v>
      </x:c>
      <x:c r="F626" s="58" t="n">
        <x:v>1</x:v>
      </x:c>
      <x:c r="G626" s="58" t="n">
        <x:v>5</x:v>
      </x:c>
      <x:c r="H626" s="59" t="n">
        <x:v>7.75</x:v>
      </x:c>
      <x:c r="I626" s="59" t="n">
        <x:v>0.7635</x:v>
      </x:c>
      <x:c r="J626" s="59" t="n">
        <x:v>0.76514</x:v>
      </x:c>
      <x:c r="K626" s="59" t="n">
        <x:v>0.27933</x:v>
      </x:c>
      <x:c r="L626" s="59" t="n">
        <x:v>0.27183</x:v>
      </x:c>
      <x:c r="M626" s="59" t="n">
        <x:v>0.85897</x:v>
      </x:c>
      <x:c r="N626" s="60" t="n">
        <x:v>1.8</x:v>
      </x:c>
      <x:c r="O626" s="60" t="n">
        <x:v>2.31</x:v>
      </x:c>
      <x:c r="P626" s="60" t="n">
        <x:v>1.89</x:v>
      </x:c>
      <x:c r="Q626" s="60" t="n">
        <x:v>82.8</x:v>
      </x:c>
      <x:c r="R626" s="58" t="str">
        <x:v>X</x:v>
      </x:c>
      <x:c r="S626" s="60" t="n">
        <x:v>100</x:v>
      </x:c>
      <x:c r="T626" s="58" t="str">
        <x:v>IN TARGET BAND</x:v>
      </x:c>
      <x:c r="U626" s="58" t="str">
        <x:v>Yes</x:v>
      </x:c>
      <x:c r="V626" s="58" t="n">
        <x:v>2866</x:v>
      </x:c>
      <x:c r="W626" s="58" t="str">
        <x:v>Pasted text(59).txt</x:v>
      </x:c>
    </x:row>
    <x:row r="627">
      <x:c r="A627" s="58" t="str">
        <x:v>S18</x:v>
      </x:c>
      <x:c r="B627" s="58" t="str">
        <x:v>0.75 validated session at 268 Hz</x:v>
      </x:c>
      <x:c r="C627" s="58" t="n">
        <x:v>0.75</x:v>
      </x:c>
      <x:c r="D627" s="58" t="n">
        <x:v>5</x:v>
      </x:c>
      <x:c r="E627" s="58" t="str">
        <x:v>PASS</x:v>
      </x:c>
      <x:c r="F627" s="58" t="n">
        <x:v>1</x:v>
      </x:c>
      <x:c r="G627" s="58" t="n">
        <x:v>6</x:v>
      </x:c>
      <x:c r="H627" s="59" t="n">
        <x:v>7.75</x:v>
      </x:c>
      <x:c r="I627" s="59" t="n">
        <x:v>0.77682</x:v>
      </x:c>
      <x:c r="J627" s="59" t="n">
        <x:v>0.76654</x:v>
      </x:c>
      <x:c r="K627" s="59" t="n">
        <x:v>0.30102</x:v>
      </x:c>
      <x:c r="L627" s="59" t="n">
        <x:v>0.26475</x:v>
      </x:c>
      <x:c r="M627" s="59" t="n">
        <x:v>0.86507</x:v>
      </x:c>
      <x:c r="N627" s="60" t="n">
        <x:v>3.58</x:v>
      </x:c>
      <x:c r="O627" s="60" t="n">
        <x:v>0.45</x:v>
      </x:c>
      <x:c r="P627" s="60" t="n">
        <x:v>2.59</x:v>
      </x:c>
      <x:c r="Q627" s="60" t="n">
        <x:v>83</x:v>
      </x:c>
      <x:c r="R627" s="58" t="str">
        <x:v>X</x:v>
      </x:c>
      <x:c r="S627" s="60" t="n">
        <x:v>100</x:v>
      </x:c>
      <x:c r="T627" s="58" t="str">
        <x:v>IN TARGET BAND</x:v>
      </x:c>
      <x:c r="U627" s="58" t="str">
        <x:v>Yes</x:v>
      </x:c>
      <x:c r="V627" s="58" t="n">
        <x:v>2867</x:v>
      </x:c>
      <x:c r="W627" s="58" t="str">
        <x:v>Pasted text(59).txt</x:v>
      </x:c>
    </x:row>
    <x:row r="628">
      <x:c r="A628" s="58" t="str">
        <x:v>S18</x:v>
      </x:c>
      <x:c r="B628" s="58" t="str">
        <x:v>0.75 validated session at 268 Hz</x:v>
      </x:c>
      <x:c r="C628" s="58" t="n">
        <x:v>0.75</x:v>
      </x:c>
      <x:c r="D628" s="58" t="n">
        <x:v>5</x:v>
      </x:c>
      <x:c r="E628" s="58" t="str">
        <x:v>PASS</x:v>
      </x:c>
      <x:c r="F628" s="58" t="n">
        <x:v>1</x:v>
      </x:c>
      <x:c r="G628" s="58" t="n">
        <x:v>7</x:v>
      </x:c>
      <x:c r="H628" s="59" t="n">
        <x:v>7.75</x:v>
      </x:c>
      <x:c r="I628" s="59" t="n">
        <x:v>0.76553</x:v>
      </x:c>
      <x:c r="J628" s="59" t="n">
        <x:v>0.75852</x:v>
      </x:c>
      <x:c r="K628" s="59" t="n">
        <x:v>0.30328</x:v>
      </x:c>
      <x:c r="L628" s="59" t="n">
        <x:v>0.25248</x:v>
      </x:c>
      <x:c r="M628" s="59" t="n">
        <x:v>0.85548</x:v>
      </x:c>
      <x:c r="N628" s="60" t="n">
        <x:v>2.07</x:v>
      </x:c>
      <x:c r="O628" s="60" t="n">
        <x:v>0.47</x:v>
      </x:c>
      <x:c r="P628" s="60" t="n">
        <x:v>1.89</x:v>
      </x:c>
      <x:c r="Q628" s="60" t="n">
        <x:v>83</x:v>
      </x:c>
      <x:c r="R628" s="58" t="str">
        <x:v>X</x:v>
      </x:c>
      <x:c r="S628" s="60" t="n">
        <x:v>100</x:v>
      </x:c>
      <x:c r="T628" s="58" t="str">
        <x:v>IN TARGET BAND</x:v>
      </x:c>
      <x:c r="U628" s="58" t="str">
        <x:v>Yes</x:v>
      </x:c>
      <x:c r="V628" s="58" t="n">
        <x:v>2868</x:v>
      </x:c>
      <x:c r="W628" s="58" t="str">
        <x:v>Pasted text(59).txt</x:v>
      </x:c>
    </x:row>
    <x:row r="629">
      <x:c r="A629" s="58" t="str">
        <x:v>S18</x:v>
      </x:c>
      <x:c r="B629" s="58" t="str">
        <x:v>0.75 validated session at 268 Hz</x:v>
      </x:c>
      <x:c r="C629" s="58" t="n">
        <x:v>0.75</x:v>
      </x:c>
      <x:c r="D629" s="58" t="n">
        <x:v>5</x:v>
      </x:c>
      <x:c r="E629" s="58" t="str">
        <x:v>PASS</x:v>
      </x:c>
      <x:c r="F629" s="58" t="n">
        <x:v>1</x:v>
      </x:c>
      <x:c r="G629" s="58" t="n">
        <x:v>8</x:v>
      </x:c>
      <x:c r="H629" s="59" t="n">
        <x:v>7.75</x:v>
      </x:c>
      <x:c r="I629" s="59" t="n">
        <x:v>0.75392</x:v>
      </x:c>
      <x:c r="J629" s="59" t="n">
        <x:v>0.75922</x:v>
      </x:c>
      <x:c r="K629" s="59" t="n">
        <x:v>0.28886</x:v>
      </x:c>
      <x:c r="L629" s="59" t="n">
        <x:v>0.25251</x:v>
      </x:c>
      <x:c r="M629" s="59" t="n">
        <x:v>0.85104</x:v>
      </x:c>
      <x:c r="N629" s="60" t="n">
        <x:v>0.52</x:v>
      </x:c>
      <x:c r="O629" s="60" t="n">
        <x:v>1.58</x:v>
      </x:c>
      <x:c r="P629" s="60" t="n">
        <x:v>2.19</x:v>
      </x:c>
      <x:c r="Q629" s="60" t="n">
        <x:v>81.7</x:v>
      </x:c>
      <x:c r="R629" s="58" t="str">
        <x:v>X</x:v>
      </x:c>
      <x:c r="S629" s="60" t="n">
        <x:v>100</x:v>
      </x:c>
      <x:c r="T629" s="58" t="str">
        <x:v>IN TARGET BAND</x:v>
      </x:c>
      <x:c r="U629" s="58" t="str">
        <x:v>Yes</x:v>
      </x:c>
      <x:c r="V629" s="58" t="n">
        <x:v>2869</x:v>
      </x:c>
      <x:c r="W629" s="58" t="str">
        <x:v>Pasted text(59).txt</x:v>
      </x:c>
    </x:row>
    <x:row r="630">
      <x:c r="A630" s="58" t="str">
        <x:v>S18</x:v>
      </x:c>
      <x:c r="B630" s="58" t="str">
        <x:v>0.75 validated session at 268 Hz</x:v>
      </x:c>
      <x:c r="C630" s="58" t="n">
        <x:v>0.75</x:v>
      </x:c>
      <x:c r="D630" s="58" t="n">
        <x:v>5</x:v>
      </x:c>
      <x:c r="E630" s="58" t="str">
        <x:v>PASS</x:v>
      </x:c>
      <x:c r="F630" s="58" t="n">
        <x:v>1</x:v>
      </x:c>
      <x:c r="G630" s="58" t="n">
        <x:v>9</x:v>
      </x:c>
      <x:c r="H630" s="59" t="n">
        <x:v>7.75</x:v>
      </x:c>
      <x:c r="I630" s="59" t="n">
        <x:v>0.76356</x:v>
      </x:c>
      <x:c r="J630" s="59" t="n">
        <x:v>0.77109</x:v>
      </x:c>
      <x:c r="K630" s="59" t="n">
        <x:v>0.27263</x:v>
      </x:c>
      <x:c r="L630" s="59" t="n">
        <x:v>0.29163</x:v>
      </x:c>
      <x:c r="M630" s="59" t="n">
        <x:v>0.86865</x:v>
      </x:c>
      <x:c r="N630" s="60" t="n">
        <x:v>1.81</x:v>
      </x:c>
      <x:c r="O630" s="60" t="n">
        <x:v>0.27</x:v>
      </x:c>
      <x:c r="P630" s="60" t="n">
        <x:v>1.85</x:v>
      </x:c>
      <x:c r="Q630" s="60" t="n">
        <x:v>81.7</x:v>
      </x:c>
      <x:c r="R630" s="58" t="str">
        <x:v>X</x:v>
      </x:c>
      <x:c r="S630" s="60" t="n">
        <x:v>100</x:v>
      </x:c>
      <x:c r="T630" s="58" t="str">
        <x:v>IN TARGET BAND</x:v>
      </x:c>
      <x:c r="U630" s="58" t="str">
        <x:v>Yes</x:v>
      </x:c>
      <x:c r="V630" s="58" t="n">
        <x:v>2870</x:v>
      </x:c>
      <x:c r="W630" s="58" t="str">
        <x:v>Pasted text(59).txt</x:v>
      </x:c>
    </x:row>
    <x:row r="631">
      <x:c r="A631" s="58" t="str">
        <x:v>S18</x:v>
      </x:c>
      <x:c r="B631" s="58" t="str">
        <x:v>0.75 validated session at 268 Hz</x:v>
      </x:c>
      <x:c r="C631" s="58" t="n">
        <x:v>0.75</x:v>
      </x:c>
      <x:c r="D631" s="58" t="n">
        <x:v>5</x:v>
      </x:c>
      <x:c r="E631" s="58" t="str">
        <x:v>PASS</x:v>
      </x:c>
      <x:c r="F631" s="58" t="n">
        <x:v>1</x:v>
      </x:c>
      <x:c r="G631" s="58" t="n">
        <x:v>10</x:v>
      </x:c>
      <x:c r="H631" s="59" t="n">
        <x:v>7.75</x:v>
      </x:c>
      <x:c r="I631" s="59" t="n">
        <x:v>0.74033</x:v>
      </x:c>
      <x:c r="J631" s="59" t="n">
        <x:v>0.74621</x:v>
      </x:c>
      <x:c r="K631" s="59" t="n">
        <x:v>0.28676</x:v>
      </x:c>
      <x:c r="L631" s="59" t="n">
        <x:v>0.25456</x:v>
      </x:c>
      <x:c r="M631" s="59" t="n">
        <x:v>0.8393</x:v>
      </x:c>
      <x:c r="N631" s="60" t="n">
        <x:v>-1.29</x:v>
      </x:c>
      <x:c r="O631" s="60" t="n">
        <x:v>1.16</x:v>
      </x:c>
      <x:c r="P631" s="60" t="n">
        <x:v>2.07</x:v>
      </x:c>
      <x:c r="Q631" s="60" t="n">
        <x:v>82.5</x:v>
      </x:c>
      <x:c r="R631" s="58" t="str">
        <x:v>X</x:v>
      </x:c>
      <x:c r="S631" s="60" t="n">
        <x:v>100</x:v>
      </x:c>
      <x:c r="T631" s="58" t="str">
        <x:v>IN TARGET BAND</x:v>
      </x:c>
      <x:c r="U631" s="58" t="str">
        <x:v>Yes</x:v>
      </x:c>
      <x:c r="V631" s="58" t="n">
        <x:v>2871</x:v>
      </x:c>
      <x:c r="W631" s="58" t="str">
        <x:v>Pasted text(59).txt</x:v>
      </x:c>
    </x:row>
    <x:row r="632">
      <x:c r="A632" s="58" t="str">
        <x:v>S19</x:v>
      </x:c>
      <x:c r="B632" s="58" t="str">
        <x:v>1.20 repeat-validation session at 268 Hz</x:v>
      </x:c>
      <x:c r="C632" s="58" t="n">
        <x:v>1.2</x:v>
      </x:c>
      <x:c r="D632" s="58" t="n">
        <x:v>1</x:v>
      </x:c>
      <x:c r="E632" s="58" t="str">
        <x:v>PASS</x:v>
      </x:c>
      <x:c r="F632" s="58" t="n">
        <x:v>1</x:v>
      </x:c>
      <x:c r="G632" s="58" t="n">
        <x:v>1</x:v>
      </x:c>
      <x:c r="H632" s="59" t="n">
        <x:v>11.75</x:v>
      </x:c>
      <x:c r="I632" s="59" t="n">
        <x:v>1.17505</x:v>
      </x:c>
      <x:c r="J632" s="59" t="n">
        <x:v>1.18811</x:v>
      </x:c>
      <x:c r="K632" s="59" t="n">
        <x:v>0.44634</x:v>
      </x:c>
      <x:c r="L632" s="59" t="n">
        <x:v>0.39223</x:v>
      </x:c>
      <x:c r="M632" s="59" t="n">
        <x:v>1.32851</x:v>
      </x:c>
      <x:c r="N632" s="60" t="n">
        <x:v>-2.08</x:v>
      </x:c>
      <x:c r="O632" s="60" t="n">
        <x:v>0.14</x:v>
      </x:c>
      <x:c r="P632" s="60" t="n">
        <x:v>1.98</x:v>
      </x:c>
      <x:c r="Q632" s="60" t="n">
        <x:v>88.8</x:v>
      </x:c>
      <x:c r="R632" s="58" t="str">
        <x:v>X</x:v>
      </x:c>
      <x:c r="S632" s="60" t="n">
        <x:v>100</x:v>
      </x:c>
      <x:c r="T632" s="58" t="str">
        <x:v>IN TARGET BAND</x:v>
      </x:c>
      <x:c r="U632" s="58" t="str">
        <x:v>Yes</x:v>
      </x:c>
      <x:c r="V632" s="58" t="n">
        <x:v>2985</x:v>
      </x:c>
      <x:c r="W632" s="58" t="str">
        <x:v>Pasted text(59).txt</x:v>
      </x:c>
    </x:row>
    <x:row r="633">
      <x:c r="A633" s="58" t="str">
        <x:v>S19</x:v>
      </x:c>
      <x:c r="B633" s="58" t="str">
        <x:v>1.20 repeat-validation session at 268 Hz</x:v>
      </x:c>
      <x:c r="C633" s="58" t="n">
        <x:v>1.2</x:v>
      </x:c>
      <x:c r="D633" s="58" t="n">
        <x:v>1</x:v>
      </x:c>
      <x:c r="E633" s="58" t="str">
        <x:v>PASS</x:v>
      </x:c>
      <x:c r="F633" s="58" t="n">
        <x:v>1</x:v>
      </x:c>
      <x:c r="G633" s="58" t="n">
        <x:v>2</x:v>
      </x:c>
      <x:c r="H633" s="59" t="n">
        <x:v>11.75</x:v>
      </x:c>
      <x:c r="I633" s="59" t="n">
        <x:v>1.20459</x:v>
      </x:c>
      <x:c r="J633" s="59" t="n">
        <x:v>1.21126</x:v>
      </x:c>
      <x:c r="K633" s="59" t="n">
        <x:v>0.45238</x:v>
      </x:c>
      <x:c r="L633" s="59" t="n">
        <x:v>0.39228</x:v>
      </x:c>
      <x:c r="M633" s="59" t="n">
        <x:v>1.35168</x:v>
      </x:c>
      <x:c r="N633" s="60" t="n">
        <x:v>0.38</x:v>
      </x:c>
      <x:c r="O633" s="60" t="n">
        <x:v>0.24</x:v>
      </x:c>
      <x:c r="P633" s="60" t="n">
        <x:v>1.1</x:v>
      </x:c>
      <x:c r="Q633" s="60" t="n">
        <x:v>89.6</x:v>
      </x:c>
      <x:c r="R633" s="58" t="str">
        <x:v>X</x:v>
      </x:c>
      <x:c r="S633" s="60" t="n">
        <x:v>100</x:v>
      </x:c>
      <x:c r="T633" s="58" t="str">
        <x:v>IN TARGET BAND</x:v>
      </x:c>
      <x:c r="U633" s="58" t="str">
        <x:v>Yes</x:v>
      </x:c>
      <x:c r="V633" s="58" t="n">
        <x:v>2986</x:v>
      </x:c>
      <x:c r="W633" s="58" t="str">
        <x:v>Pasted text(59).txt</x:v>
      </x:c>
    </x:row>
    <x:row r="634">
      <x:c r="A634" s="58" t="str">
        <x:v>S19</x:v>
      </x:c>
      <x:c r="B634" s="58" t="str">
        <x:v>1.20 repeat-validation session at 268 Hz</x:v>
      </x:c>
      <x:c r="C634" s="58" t="n">
        <x:v>1.2</x:v>
      </x:c>
      <x:c r="D634" s="58" t="n">
        <x:v>1</x:v>
      </x:c>
      <x:c r="E634" s="58" t="str">
        <x:v>PASS</x:v>
      </x:c>
      <x:c r="F634" s="58" t="n">
        <x:v>1</x:v>
      </x:c>
      <x:c r="G634" s="58" t="n">
        <x:v>3</x:v>
      </x:c>
      <x:c r="H634" s="59" t="n">
        <x:v>11.75</x:v>
      </x:c>
      <x:c r="I634" s="59" t="n">
        <x:v>1.22956</x:v>
      </x:c>
      <x:c r="J634" s="59" t="n">
        <x:v>1.22585</x:v>
      </x:c>
      <x:c r="K634" s="59" t="n">
        <x:v>0.46421</x:v>
      </x:c>
      <x:c r="L634" s="59" t="n">
        <x:v>0.41136</x:v>
      </x:c>
      <x:c r="M634" s="59" t="n">
        <x:v>1.37397</x:v>
      </x:c>
      <x:c r="N634" s="60" t="n">
        <x:v>2.46</x:v>
      </x:c>
      <x:c r="O634" s="60" t="n">
        <x:v>1.01</x:v>
      </x:c>
      <x:c r="P634" s="60" t="n">
        <x:v>1.17</x:v>
      </x:c>
      <x:c r="Q634" s="60" t="n">
        <x:v>90.8</x:v>
      </x:c>
      <x:c r="R634" s="58" t="str">
        <x:v>X</x:v>
      </x:c>
      <x:c r="S634" s="60" t="n">
        <x:v>100</x:v>
      </x:c>
      <x:c r="T634" s="58" t="str">
        <x:v>IN TARGET BAND</x:v>
      </x:c>
      <x:c r="U634" s="58" t="str">
        <x:v>Yes</x:v>
      </x:c>
      <x:c r="V634" s="58" t="n">
        <x:v>2987</x:v>
      </x:c>
      <x:c r="W634" s="58" t="str">
        <x:v>Pasted text(59).txt</x:v>
      </x:c>
    </x:row>
    <x:row r="635">
      <x:c r="A635" s="58" t="str">
        <x:v>S19</x:v>
      </x:c>
      <x:c r="B635" s="58" t="str">
        <x:v>1.20 repeat-validation session at 268 Hz</x:v>
      </x:c>
      <x:c r="C635" s="58" t="n">
        <x:v>1.2</x:v>
      </x:c>
      <x:c r="D635" s="58" t="n">
        <x:v>1</x:v>
      </x:c>
      <x:c r="E635" s="58" t="str">
        <x:v>PASS</x:v>
      </x:c>
      <x:c r="F635" s="58" t="n">
        <x:v>1</x:v>
      </x:c>
      <x:c r="G635" s="58" t="n">
        <x:v>4</x:v>
      </x:c>
      <x:c r="H635" s="59" t="n">
        <x:v>11.75</x:v>
      </x:c>
      <x:c r="I635" s="59" t="n">
        <x:v>1.20525</x:v>
      </x:c>
      <x:c r="J635" s="59" t="n">
        <x:v>1.2015</x:v>
      </x:c>
      <x:c r="K635" s="59" t="n">
        <x:v>0.44428</x:v>
      </x:c>
      <x:c r="L635" s="59" t="n">
        <x:v>0.39207</x:v>
      </x:c>
      <x:c r="M635" s="59" t="n">
        <x:v>1.33973</x:v>
      </x:c>
      <x:c r="N635" s="60" t="n">
        <x:v>0.44</x:v>
      </x:c>
      <x:c r="O635" s="60" t="n">
        <x:v>1.43</x:v>
      </x:c>
      <x:c r="P635" s="60" t="n">
        <x:v>1.46</x:v>
      </x:c>
      <x:c r="Q635" s="60" t="n">
        <x:v>89</x:v>
      </x:c>
      <x:c r="R635" s="58" t="str">
        <x:v>X</x:v>
      </x:c>
      <x:c r="S635" s="60" t="n">
        <x:v>100</x:v>
      </x:c>
      <x:c r="T635" s="58" t="str">
        <x:v>IN TARGET BAND</x:v>
      </x:c>
      <x:c r="U635" s="58" t="str">
        <x:v>Yes</x:v>
      </x:c>
      <x:c r="V635" s="58" t="n">
        <x:v>2988</x:v>
      </x:c>
      <x:c r="W635" s="58" t="str">
        <x:v>Pasted text(59).txt</x:v>
      </x:c>
    </x:row>
    <x:row r="636">
      <x:c r="A636" s="58" t="str">
        <x:v>S19</x:v>
      </x:c>
      <x:c r="B636" s="58" t="str">
        <x:v>1.20 repeat-validation session at 268 Hz</x:v>
      </x:c>
      <x:c r="C636" s="58" t="n">
        <x:v>1.2</x:v>
      </x:c>
      <x:c r="D636" s="58" t="n">
        <x:v>1</x:v>
      </x:c>
      <x:c r="E636" s="58" t="str">
        <x:v>PASS</x:v>
      </x:c>
      <x:c r="F636" s="58" t="n">
        <x:v>1</x:v>
      </x:c>
      <x:c r="G636" s="58" t="n">
        <x:v>5</x:v>
      </x:c>
      <x:c r="H636" s="59" t="n">
        <x:v>11.75</x:v>
      </x:c>
      <x:c r="I636" s="59" t="n">
        <x:v>1.21624</x:v>
      </x:c>
      <x:c r="J636" s="59" t="n">
        <x:v>1.21974</x:v>
      </x:c>
      <x:c r="K636" s="59" t="n">
        <x:v>0.47525</x:v>
      </x:c>
      <x:c r="L636" s="59" t="n">
        <x:v>0.37554</x:v>
      </x:c>
      <x:c r="M636" s="59" t="n">
        <x:v>1.36216</x:v>
      </x:c>
      <x:c r="N636" s="60" t="n">
        <x:v>1.35</x:v>
      </x:c>
      <x:c r="O636" s="60" t="n">
        <x:v>2.22</x:v>
      </x:c>
      <x:c r="P636" s="60" t="n">
        <x:v>1.94</x:v>
      </x:c>
      <x:c r="Q636" s="60" t="n">
        <x:v>90</x:v>
      </x:c>
      <x:c r="R636" s="58" t="str">
        <x:v>X</x:v>
      </x:c>
      <x:c r="S636" s="60" t="n">
        <x:v>100</x:v>
      </x:c>
      <x:c r="T636" s="58" t="str">
        <x:v>IN TARGET BAND</x:v>
      </x:c>
      <x:c r="U636" s="58" t="str">
        <x:v>Yes</x:v>
      </x:c>
      <x:c r="V636" s="58" t="n">
        <x:v>2989</x:v>
      </x:c>
      <x:c r="W636" s="58" t="str">
        <x:v>Pasted text(59).txt</x:v>
      </x:c>
    </x:row>
    <x:row r="637">
      <x:c r="A637" s="58" t="str">
        <x:v>S19</x:v>
      </x:c>
      <x:c r="B637" s="58" t="str">
        <x:v>1.20 repeat-validation session at 268 Hz</x:v>
      </x:c>
      <x:c r="C637" s="58" t="n">
        <x:v>1.2</x:v>
      </x:c>
      <x:c r="D637" s="58" t="n">
        <x:v>1</x:v>
      </x:c>
      <x:c r="E637" s="58" t="str">
        <x:v>PASS</x:v>
      </x:c>
      <x:c r="F637" s="58" t="n">
        <x:v>1</x:v>
      </x:c>
      <x:c r="G637" s="58" t="n">
        <x:v>6</x:v>
      </x:c>
      <x:c r="H637" s="59" t="n">
        <x:v>11.75</x:v>
      </x:c>
      <x:c r="I637" s="59" t="n">
        <x:v>1.21707</x:v>
      </x:c>
      <x:c r="J637" s="59" t="n">
        <x:v>1.21711</x:v>
      </x:c>
      <x:c r="K637" s="59" t="n">
        <x:v>0.46168</x:v>
      </x:c>
      <x:c r="L637" s="59" t="n">
        <x:v>0.39934</x:v>
      </x:c>
      <x:c r="M637" s="59" t="n">
        <x:v>1.36183</x:v>
      </x:c>
      <x:c r="N637" s="60" t="n">
        <x:v>1.42</x:v>
      </x:c>
      <x:c r="O637" s="60" t="n">
        <x:v>0.25</x:v>
      </x:c>
      <x:c r="P637" s="60" t="n">
        <x:v>0.17</x:v>
      </x:c>
      <x:c r="Q637" s="60" t="n">
        <x:v>89.7</x:v>
      </x:c>
      <x:c r="R637" s="58" t="str">
        <x:v>X</x:v>
      </x:c>
      <x:c r="S637" s="60" t="n">
        <x:v>100</x:v>
      </x:c>
      <x:c r="T637" s="58" t="str">
        <x:v>IN TARGET BAND</x:v>
      </x:c>
      <x:c r="U637" s="58" t="str">
        <x:v>Yes</x:v>
      </x:c>
      <x:c r="V637" s="58" t="n">
        <x:v>2990</x:v>
      </x:c>
      <x:c r="W637" s="58" t="str">
        <x:v>Pasted text(59).txt</x:v>
      </x:c>
    </x:row>
    <x:row r="638">
      <x:c r="A638" s="58" t="str">
        <x:v>S19</x:v>
      </x:c>
      <x:c r="B638" s="58" t="str">
        <x:v>1.20 repeat-validation session at 268 Hz</x:v>
      </x:c>
      <x:c r="C638" s="58" t="n">
        <x:v>1.2</x:v>
      </x:c>
      <x:c r="D638" s="58" t="n">
        <x:v>1</x:v>
      </x:c>
      <x:c r="E638" s="58" t="str">
        <x:v>PASS</x:v>
      </x:c>
      <x:c r="F638" s="58" t="n">
        <x:v>1</x:v>
      </x:c>
      <x:c r="G638" s="58" t="n">
        <x:v>7</x:v>
      </x:c>
      <x:c r="H638" s="59" t="n">
        <x:v>11.75</x:v>
      </x:c>
      <x:c r="I638" s="59" t="n">
        <x:v>1.20014</x:v>
      </x:c>
      <x:c r="J638" s="59" t="n">
        <x:v>1.2015</x:v>
      </x:c>
      <x:c r="K638" s="59" t="n">
        <x:v>0.45574</x:v>
      </x:c>
      <x:c r="L638" s="59" t="n">
        <x:v>0.40668</x:v>
      </x:c>
      <x:c r="M638" s="59" t="n">
        <x:v>1.34816</x:v>
      </x:c>
      <x:c r="N638" s="60" t="n">
        <x:v>0.01</x:v>
      </x:c>
      <x:c r="O638" s="60" t="n">
        <x:v>1.49</x:v>
      </x:c>
      <x:c r="P638" s="60" t="n">
        <x:v>1.18</x:v>
      </x:c>
      <x:c r="Q638" s="60" t="n">
        <x:v>90.4</x:v>
      </x:c>
      <x:c r="R638" s="58" t="str">
        <x:v>X</x:v>
      </x:c>
      <x:c r="S638" s="60" t="n">
        <x:v>100</x:v>
      </x:c>
      <x:c r="T638" s="58" t="str">
        <x:v>IN TARGET BAND</x:v>
      </x:c>
      <x:c r="U638" s="58" t="str">
        <x:v>Yes</x:v>
      </x:c>
      <x:c r="V638" s="58" t="n">
        <x:v>2991</x:v>
      </x:c>
      <x:c r="W638" s="58" t="str">
        <x:v>Pasted text(59).txt</x:v>
      </x:c>
    </x:row>
    <x:row r="639">
      <x:c r="A639" s="58" t="str">
        <x:v>S19</x:v>
      </x:c>
      <x:c r="B639" s="58" t="str">
        <x:v>1.20 repeat-validation session at 268 Hz</x:v>
      </x:c>
      <x:c r="C639" s="58" t="n">
        <x:v>1.2</x:v>
      </x:c>
      <x:c r="D639" s="58" t="n">
        <x:v>1</x:v>
      </x:c>
      <x:c r="E639" s="58" t="str">
        <x:v>PASS</x:v>
      </x:c>
      <x:c r="F639" s="58" t="n">
        <x:v>1</x:v>
      </x:c>
      <x:c r="G639" s="58" t="n">
        <x:v>8</x:v>
      </x:c>
      <x:c r="H639" s="59" t="n">
        <x:v>11.75</x:v>
      </x:c>
      <x:c r="I639" s="59" t="n">
        <x:v>1.22262</x:v>
      </x:c>
      <x:c r="J639" s="59" t="n">
        <x:v>1.22024</x:v>
      </x:c>
      <x:c r="K639" s="59" t="n">
        <x:v>0.46747</x:v>
      </x:c>
      <x:c r="L639" s="59" t="n">
        <x:v>0.42225</x:v>
      </x:c>
      <x:c r="M639" s="59" t="n">
        <x:v>1.37396</x:v>
      </x:c>
      <x:c r="N639" s="60" t="n">
        <x:v>1.88</x:v>
      </x:c>
      <x:c r="O639" s="60" t="n">
        <x:v>0.16</x:v>
      </x:c>
      <x:c r="P639" s="60" t="n">
        <x:v>0.43</x:v>
      </x:c>
      <x:c r="Q639" s="60" t="n">
        <x:v>89.9</x:v>
      </x:c>
      <x:c r="R639" s="58" t="str">
        <x:v>X</x:v>
      </x:c>
      <x:c r="S639" s="60" t="n">
        <x:v>100</x:v>
      </x:c>
      <x:c r="T639" s="58" t="str">
        <x:v>IN TARGET BAND</x:v>
      </x:c>
      <x:c r="U639" s="58" t="str">
        <x:v>Yes</x:v>
      </x:c>
      <x:c r="V639" s="58" t="n">
        <x:v>2992</x:v>
      </x:c>
      <x:c r="W639" s="58" t="str">
        <x:v>Pasted text(59).txt</x:v>
      </x:c>
    </x:row>
    <x:row r="640">
      <x:c r="A640" s="58" t="str">
        <x:v>S19</x:v>
      </x:c>
      <x:c r="B640" s="58" t="str">
        <x:v>1.20 repeat-validation session at 268 Hz</x:v>
      </x:c>
      <x:c r="C640" s="58" t="n">
        <x:v>1.2</x:v>
      </x:c>
      <x:c r="D640" s="58" t="n">
        <x:v>1</x:v>
      </x:c>
      <x:c r="E640" s="58" t="str">
        <x:v>PASS</x:v>
      </x:c>
      <x:c r="F640" s="58" t="n">
        <x:v>1</x:v>
      </x:c>
      <x:c r="G640" s="58" t="n">
        <x:v>9</x:v>
      </x:c>
      <x:c r="H640" s="59" t="n">
        <x:v>11.75</x:v>
      </x:c>
      <x:c r="I640" s="59" t="n">
        <x:v>1.20127</x:v>
      </x:c>
      <x:c r="J640" s="59" t="n">
        <x:v>1.20547</x:v>
      </x:c>
      <x:c r="K640" s="59" t="n">
        <x:v>0.44742</x:v>
      </x:c>
      <x:c r="L640" s="59" t="n">
        <x:v>0.41618</x:v>
      </x:c>
      <x:c r="M640" s="59" t="n">
        <x:v>1.35198</x:v>
      </x:c>
      <x:c r="N640" s="60" t="n">
        <x:v>0.11</x:v>
      </x:c>
      <x:c r="O640" s="60" t="n">
        <x:v>0.16</x:v>
      </x:c>
      <x:c r="P640" s="60" t="n">
        <x:v>0.7</x:v>
      </x:c>
      <x:c r="Q640" s="60" t="n">
        <x:v>89.9</x:v>
      </x:c>
      <x:c r="R640" s="58" t="str">
        <x:v>X</x:v>
      </x:c>
      <x:c r="S640" s="60" t="n">
        <x:v>100</x:v>
      </x:c>
      <x:c r="T640" s="58" t="str">
        <x:v>IN TARGET BAND</x:v>
      </x:c>
      <x:c r="U640" s="58" t="str">
        <x:v>Yes</x:v>
      </x:c>
      <x:c r="V640" s="58" t="n">
        <x:v>2993</x:v>
      </x:c>
      <x:c r="W640" s="58" t="str">
        <x:v>Pasted text(59).txt</x:v>
      </x:c>
    </x:row>
    <x:row r="641">
      <x:c r="A641" s="58" t="str">
        <x:v>S19</x:v>
      </x:c>
      <x:c r="B641" s="58" t="str">
        <x:v>1.20 repeat-validation session at 268 Hz</x:v>
      </x:c>
      <x:c r="C641" s="58" t="n">
        <x:v>1.2</x:v>
      </x:c>
      <x:c r="D641" s="58" t="n">
        <x:v>1</x:v>
      </x:c>
      <x:c r="E641" s="58" t="str">
        <x:v>PASS</x:v>
      </x:c>
      <x:c r="F641" s="58" t="n">
        <x:v>1</x:v>
      </x:c>
      <x:c r="G641" s="58" t="n">
        <x:v>10</x:v>
      </x:c>
      <x:c r="H641" s="59" t="n">
        <x:v>11.75</x:v>
      </x:c>
      <x:c r="I641" s="59" t="n">
        <x:v>1.22379</x:v>
      </x:c>
      <x:c r="J641" s="59" t="n">
        <x:v>1.21571</x:v>
      </x:c>
      <x:c r="K641" s="59" t="n">
        <x:v>0.45659</x:v>
      </x:c>
      <x:c r="L641" s="59" t="n">
        <x:v>0.3917</x:v>
      </x:c>
      <x:c r="M641" s="59" t="n">
        <x:v>1.35655</x:v>
      </x:c>
      <x:c r="N641" s="60" t="n">
        <x:v>1.98</x:v>
      </x:c>
      <x:c r="O641" s="60" t="n">
        <x:v>1.49</x:v>
      </x:c>
      <x:c r="P641" s="60" t="n">
        <x:v>2.09</x:v>
      </x:c>
      <x:c r="Q641" s="60" t="n">
        <x:v>89.3</x:v>
      </x:c>
      <x:c r="R641" s="58" t="str">
        <x:v>X</x:v>
      </x:c>
      <x:c r="S641" s="60" t="n">
        <x:v>100</x:v>
      </x:c>
      <x:c r="T641" s="58" t="str">
        <x:v>IN TARGET BAND</x:v>
      </x:c>
      <x:c r="U641" s="58" t="str">
        <x:v>Yes</x:v>
      </x:c>
      <x:c r="V641" s="58" t="n">
        <x:v>2994</x:v>
      </x:c>
      <x:c r="W641" s="58" t="str">
        <x:v>Pasted text(59).txt</x:v>
      </x:c>
    </x:row>
    <x:row r="642">
      <x:c r="A642" s="58" t="str">
        <x:v>S19</x:v>
      </x:c>
      <x:c r="B642" s="58" t="str">
        <x:v>1.20 repeat-validation session at 268 Hz</x:v>
      </x:c>
      <x:c r="C642" s="58" t="n">
        <x:v>1.2</x:v>
      </x:c>
      <x:c r="D642" s="58" t="n">
        <x:v>2</x:v>
      </x:c>
      <x:c r="E642" s="58" t="str">
        <x:v>PASS</x:v>
      </x:c>
      <x:c r="F642" s="58" t="n">
        <x:v>1</x:v>
      </x:c>
      <x:c r="G642" s="58" t="n">
        <x:v>1</x:v>
      </x:c>
      <x:c r="H642" s="59" t="n">
        <x:v>11.5</x:v>
      </x:c>
      <x:c r="I642" s="59" t="n">
        <x:v>1.14016</x:v>
      </x:c>
      <x:c r="J642" s="59" t="n">
        <x:v>1.14322</x:v>
      </x:c>
      <x:c r="K642" s="59" t="n">
        <x:v>0.41613</x:v>
      </x:c>
      <x:c r="L642" s="59" t="n">
        <x:v>0.3958</x:v>
      </x:c>
      <x:c r="M642" s="59" t="n">
        <x:v>1.27996</x:v>
      </x:c>
      <x:c r="N642" s="60" t="n">
        <x:v>-4.99</x:v>
      </x:c>
      <x:c r="O642" s="60" t="n">
        <x:v>0.4</x:v>
      </x:c>
      <x:c r="P642" s="60" t="n">
        <x:v>0.71</x:v>
      </x:c>
      <x:c r="Q642" s="60" t="n">
        <x:v>90.5</x:v>
      </x:c>
      <x:c r="R642" s="58" t="str">
        <x:v>X</x:v>
      </x:c>
      <x:c r="S642" s="60" t="n">
        <x:v>100</x:v>
      </x:c>
      <x:c r="T642" s="58" t="str">
        <x:v>IN TARGET BAND</x:v>
      </x:c>
      <x:c r="U642" s="58" t="str">
        <x:v>Yes</x:v>
      </x:c>
      <x:c r="V642" s="58" t="n">
        <x:v>3070</x:v>
      </x:c>
      <x:c r="W642" s="58" t="str">
        <x:v>Pasted text(59).txt</x:v>
      </x:c>
    </x:row>
    <x:row r="643">
      <x:c r="A643" s="58" t="str">
        <x:v>S19</x:v>
      </x:c>
      <x:c r="B643" s="58" t="str">
        <x:v>1.20 repeat-validation session at 268 Hz</x:v>
      </x:c>
      <x:c r="C643" s="58" t="n">
        <x:v>1.2</x:v>
      </x:c>
      <x:c r="D643" s="58" t="n">
        <x:v>2</x:v>
      </x:c>
      <x:c r="E643" s="58" t="str">
        <x:v>PASS</x:v>
      </x:c>
      <x:c r="F643" s="58" t="n">
        <x:v>1</x:v>
      </x:c>
      <x:c r="G643" s="58" t="n">
        <x:v>2</x:v>
      </x:c>
      <x:c r="H643" s="59" t="n">
        <x:v>11.5</x:v>
      </x:c>
      <x:c r="I643" s="59" t="n">
        <x:v>1.14048</x:v>
      </x:c>
      <x:c r="J643" s="59" t="n">
        <x:v>1.14084</x:v>
      </x:c>
      <x:c r="K643" s="59" t="n">
        <x:v>0.408</x:v>
      </x:c>
      <x:c r="L643" s="59" t="n">
        <x:v>0.40844</x:v>
      </x:c>
      <x:c r="M643" s="59" t="n">
        <x:v>1.27904</x:v>
      </x:c>
      <x:c r="N643" s="60" t="n">
        <x:v>-4.96</x:v>
      </x:c>
      <x:c r="O643" s="60" t="n">
        <x:v>1</x:v>
      </x:c>
      <x:c r="P643" s="60" t="n">
        <x:v>0.72</x:v>
      </x:c>
      <x:c r="Q643" s="60" t="n">
        <x:v>90.8</x:v>
      </x:c>
      <x:c r="R643" s="58" t="str">
        <x:v>X</x:v>
      </x:c>
      <x:c r="S643" s="60" t="n">
        <x:v>100</x:v>
      </x:c>
      <x:c r="T643" s="58" t="str">
        <x:v>IN TARGET BAND</x:v>
      </x:c>
      <x:c r="U643" s="58" t="str">
        <x:v>Yes</x:v>
      </x:c>
      <x:c r="V643" s="58" t="n">
        <x:v>3071</x:v>
      </x:c>
      <x:c r="W643" s="58" t="str">
        <x:v>Pasted text(59).txt</x:v>
      </x:c>
    </x:row>
    <x:row r="644">
      <x:c r="A644" s="58" t="str">
        <x:v>S19</x:v>
      </x:c>
      <x:c r="B644" s="58" t="str">
        <x:v>1.20 repeat-validation session at 268 Hz</x:v>
      </x:c>
      <x:c r="C644" s="58" t="n">
        <x:v>1.2</x:v>
      </x:c>
      <x:c r="D644" s="58" t="n">
        <x:v>2</x:v>
      </x:c>
      <x:c r="E644" s="58" t="str">
        <x:v>PASS</x:v>
      </x:c>
      <x:c r="F644" s="58" t="n">
        <x:v>1</x:v>
      </x:c>
      <x:c r="G644" s="58" t="n">
        <x:v>3</x:v>
      </x:c>
      <x:c r="H644" s="59" t="n">
        <x:v>11.5</x:v>
      </x:c>
      <x:c r="I644" s="59" t="n">
        <x:v>1.12084</x:v>
      </x:c>
      <x:c r="J644" s="59" t="n">
        <x:v>1.12556</x:v>
      </x:c>
      <x:c r="K644" s="59" t="n">
        <x:v>0.42592</x:v>
      </x:c>
      <x:c r="L644" s="59" t="n">
        <x:v>0.38629</x:v>
      </x:c>
      <x:c r="M644" s="59" t="n">
        <x:v>1.26455</x:v>
      </x:c>
      <x:c r="N644" s="60" t="n">
        <x:v>-6.6</x:v>
      </x:c>
      <x:c r="O644" s="60" t="n">
        <x:v>0.22</x:v>
      </x:c>
      <x:c r="P644" s="60" t="n">
        <x:v>0.86</x:v>
      </x:c>
      <x:c r="Q644" s="60" t="n">
        <x:v>88.7</x:v>
      </x:c>
      <x:c r="R644" s="58" t="str">
        <x:v>X</x:v>
      </x:c>
      <x:c r="S644" s="60" t="n">
        <x:v>100</x:v>
      </x:c>
      <x:c r="T644" s="58" t="str">
        <x:v>IN TARGET BAND</x:v>
      </x:c>
      <x:c r="U644" s="58" t="str">
        <x:v>Yes</x:v>
      </x:c>
      <x:c r="V644" s="58" t="n">
        <x:v>3072</x:v>
      </x:c>
      <x:c r="W644" s="58" t="str">
        <x:v>Pasted text(59).txt</x:v>
      </x:c>
    </x:row>
    <x:row r="645">
      <x:c r="A645" s="58" t="str">
        <x:v>S19</x:v>
      </x:c>
      <x:c r="B645" s="58" t="str">
        <x:v>1.20 repeat-validation session at 268 Hz</x:v>
      </x:c>
      <x:c r="C645" s="58" t="n">
        <x:v>1.2</x:v>
      </x:c>
      <x:c r="D645" s="58" t="n">
        <x:v>2</x:v>
      </x:c>
      <x:c r="E645" s="58" t="str">
        <x:v>PASS</x:v>
      </x:c>
      <x:c r="F645" s="58" t="n">
        <x:v>1</x:v>
      </x:c>
      <x:c r="G645" s="58" t="n">
        <x:v>4</x:v>
      </x:c>
      <x:c r="H645" s="59" t="n">
        <x:v>11.5</x:v>
      </x:c>
      <x:c r="I645" s="59" t="n">
        <x:v>1.1589</x:v>
      </x:c>
      <x:c r="J645" s="59" t="n">
        <x:v>1.15286</x:v>
      </x:c>
      <x:c r="K645" s="59" t="n">
        <x:v>0.41619</x:v>
      </x:c>
      <x:c r="L645" s="59" t="n">
        <x:v>0.37965</x:v>
      </x:c>
      <x:c r="M645" s="59" t="n">
        <x:v>1.28336</x:v>
      </x:c>
      <x:c r="N645" s="60" t="n">
        <x:v>-3.43</x:v>
      </x:c>
      <x:c r="O645" s="60" t="n">
        <x:v>3.16</x:v>
      </x:c>
      <x:c r="P645" s="60" t="n">
        <x:v>2.96</x:v>
      </x:c>
      <x:c r="Q645" s="60" t="n">
        <x:v>91</x:v>
      </x:c>
      <x:c r="R645" s="58" t="str">
        <x:v>X</x:v>
      </x:c>
      <x:c r="S645" s="60" t="n">
        <x:v>100</x:v>
      </x:c>
      <x:c r="T645" s="58" t="str">
        <x:v>IN TARGET BAND</x:v>
      </x:c>
      <x:c r="U645" s="58" t="str">
        <x:v>Yes</x:v>
      </x:c>
      <x:c r="V645" s="58" t="n">
        <x:v>3073</x:v>
      </x:c>
      <x:c r="W645" s="58" t="str">
        <x:v>Pasted text(59).txt</x:v>
      </x:c>
    </x:row>
    <x:row r="646">
      <x:c r="A646" s="58" t="str">
        <x:v>S19</x:v>
      </x:c>
      <x:c r="B646" s="58" t="str">
        <x:v>1.20 repeat-validation session at 268 Hz</x:v>
      </x:c>
      <x:c r="C646" s="58" t="n">
        <x:v>1.2</x:v>
      </x:c>
      <x:c r="D646" s="58" t="n">
        <x:v>2</x:v>
      </x:c>
      <x:c r="E646" s="58" t="str">
        <x:v>PASS</x:v>
      </x:c>
      <x:c r="F646" s="58" t="n">
        <x:v>1</x:v>
      </x:c>
      <x:c r="G646" s="58" t="n">
        <x:v>5</x:v>
      </x:c>
      <x:c r="H646" s="59" t="n">
        <x:v>11.5</x:v>
      </x:c>
      <x:c r="I646" s="59" t="n">
        <x:v>1.14419</x:v>
      </x:c>
      <x:c r="J646" s="59" t="n">
        <x:v>1.14121</x:v>
      </x:c>
      <x:c r="K646" s="59" t="n">
        <x:v>0.43686</x:v>
      </x:c>
      <x:c r="L646" s="59" t="n">
        <x:v>0.37738</x:v>
      </x:c>
      <x:c r="M646" s="59" t="n">
        <x:v>1.27895</x:v>
      </x:c>
      <x:c r="N646" s="60" t="n">
        <x:v>-4.65</x:v>
      </x:c>
      <x:c r="O646" s="60" t="n">
        <x:v>1.24</x:v>
      </x:c>
      <x:c r="P646" s="60" t="n">
        <x:v>1.25</x:v>
      </x:c>
      <x:c r="Q646" s="60" t="n">
        <x:v>90.8</x:v>
      </x:c>
      <x:c r="R646" s="58" t="str">
        <x:v>X</x:v>
      </x:c>
      <x:c r="S646" s="60" t="n">
        <x:v>100</x:v>
      </x:c>
      <x:c r="T646" s="58" t="str">
        <x:v>IN TARGET BAND</x:v>
      </x:c>
      <x:c r="U646" s="58" t="str">
        <x:v>Yes</x:v>
      </x:c>
      <x:c r="V646" s="58" t="n">
        <x:v>3074</x:v>
      </x:c>
      <x:c r="W646" s="58" t="str">
        <x:v>Pasted text(59).txt</x:v>
      </x:c>
    </x:row>
    <x:row r="647">
      <x:c r="A647" s="58" t="str">
        <x:v>S19</x:v>
      </x:c>
      <x:c r="B647" s="58" t="str">
        <x:v>1.20 repeat-validation session at 268 Hz</x:v>
      </x:c>
      <x:c r="C647" s="58" t="n">
        <x:v>1.2</x:v>
      </x:c>
      <x:c r="D647" s="58" t="n">
        <x:v>2</x:v>
      </x:c>
      <x:c r="E647" s="58" t="str">
        <x:v>PASS</x:v>
      </x:c>
      <x:c r="F647" s="58" t="n">
        <x:v>1</x:v>
      </x:c>
      <x:c r="G647" s="58" t="n">
        <x:v>6</x:v>
      </x:c>
      <x:c r="H647" s="59" t="n">
        <x:v>11.5</x:v>
      </x:c>
      <x:c r="I647" s="59" t="n">
        <x:v>1.17373</x:v>
      </x:c>
      <x:c r="J647" s="59" t="n">
        <x:v>1.16541</x:v>
      </x:c>
      <x:c r="K647" s="59" t="n">
        <x:v>0.42389</x:v>
      </x:c>
      <x:c r="L647" s="59" t="n">
        <x:v>0.3984</x:v>
      </x:c>
      <x:c r="M647" s="59" t="n">
        <x:v>1.30283</x:v>
      </x:c>
      <x:c r="N647" s="60" t="n">
        <x:v>-2.19</x:v>
      </x:c>
      <x:c r="O647" s="60" t="n">
        <x:v>0.29</x:v>
      </x:c>
      <x:c r="P647" s="60" t="n">
        <x:v>1.41</x:v>
      </x:c>
      <x:c r="Q647" s="60" t="n">
        <x:v>91</x:v>
      </x:c>
      <x:c r="R647" s="58" t="str">
        <x:v>X</x:v>
      </x:c>
      <x:c r="S647" s="60" t="n">
        <x:v>100</x:v>
      </x:c>
      <x:c r="T647" s="58" t="str">
        <x:v>IN TARGET BAND</x:v>
      </x:c>
      <x:c r="U647" s="58" t="str">
        <x:v>Yes</x:v>
      </x:c>
      <x:c r="V647" s="58" t="n">
        <x:v>3075</x:v>
      </x:c>
      <x:c r="W647" s="58" t="str">
        <x:v>Pasted text(59).txt</x:v>
      </x:c>
    </x:row>
    <x:row r="648">
      <x:c r="A648" s="58" t="str">
        <x:v>S19</x:v>
      </x:c>
      <x:c r="B648" s="58" t="str">
        <x:v>1.20 repeat-validation session at 268 Hz</x:v>
      </x:c>
      <x:c r="C648" s="58" t="n">
        <x:v>1.2</x:v>
      </x:c>
      <x:c r="D648" s="58" t="n">
        <x:v>2</x:v>
      </x:c>
      <x:c r="E648" s="58" t="str">
        <x:v>PASS</x:v>
      </x:c>
      <x:c r="F648" s="58" t="n">
        <x:v>1</x:v>
      </x:c>
      <x:c r="G648" s="58" t="n">
        <x:v>7</x:v>
      </x:c>
      <x:c r="H648" s="59" t="n">
        <x:v>11.5</x:v>
      </x:c>
      <x:c r="I648" s="59" t="n">
        <x:v>1.15021</x:v>
      </x:c>
      <x:c r="J648" s="59" t="n">
        <x:v>1.14569</x:v>
      </x:c>
      <x:c r="K648" s="59" t="n">
        <x:v>0.44133</x:v>
      </x:c>
      <x:c r="L648" s="59" t="n">
        <x:v>0.37593</x:v>
      </x:c>
      <x:c r="M648" s="59" t="n">
        <x:v>1.2842</x:v>
      </x:c>
      <x:c r="N648" s="60" t="n">
        <x:v>-4.15</x:v>
      </x:c>
      <x:c r="O648" s="60" t="n">
        <x:v>0.53</x:v>
      </x:c>
      <x:c r="P648" s="60" t="n">
        <x:v>1.01</x:v>
      </x:c>
      <x:c r="Q648" s="60" t="n">
        <x:v>90.8</x:v>
      </x:c>
      <x:c r="R648" s="58" t="str">
        <x:v>X</x:v>
      </x:c>
      <x:c r="S648" s="60" t="n">
        <x:v>100</x:v>
      </x:c>
      <x:c r="T648" s="58" t="str">
        <x:v>IN TARGET BAND</x:v>
      </x:c>
      <x:c r="U648" s="58" t="str">
        <x:v>Yes</x:v>
      </x:c>
      <x:c r="V648" s="58" t="n">
        <x:v>3076</x:v>
      </x:c>
      <x:c r="W648" s="58" t="str">
        <x:v>Pasted text(59).txt</x:v>
      </x:c>
    </x:row>
    <x:row r="649">
      <x:c r="A649" s="58" t="str">
        <x:v>S19</x:v>
      </x:c>
      <x:c r="B649" s="58" t="str">
        <x:v>1.20 repeat-validation session at 268 Hz</x:v>
      </x:c>
      <x:c r="C649" s="58" t="n">
        <x:v>1.2</x:v>
      </x:c>
      <x:c r="D649" s="58" t="n">
        <x:v>2</x:v>
      </x:c>
      <x:c r="E649" s="58" t="str">
        <x:v>PASS</x:v>
      </x:c>
      <x:c r="F649" s="58" t="n">
        <x:v>1</x:v>
      </x:c>
      <x:c r="G649" s="58" t="n">
        <x:v>8</x:v>
      </x:c>
      <x:c r="H649" s="59" t="n">
        <x:v>11.5</x:v>
      </x:c>
      <x:c r="I649" s="59" t="n">
        <x:v>1.16087</x:v>
      </x:c>
      <x:c r="J649" s="59" t="n">
        <x:v>1.16673</x:v>
      </x:c>
      <x:c r="K649" s="59" t="n">
        <x:v>0.43801</x:v>
      </x:c>
      <x:c r="L649" s="59" t="n">
        <x:v>0.39942</x:v>
      </x:c>
      <x:c r="M649" s="59" t="n">
        <x:v>1.30888</x:v>
      </x:c>
      <x:c r="N649" s="60" t="n">
        <x:v>-3.26</x:v>
      </x:c>
      <x:c r="O649" s="60" t="n">
        <x:v>1.96</x:v>
      </x:c>
      <x:c r="P649" s="60" t="n">
        <x:v>2.11</x:v>
      </x:c>
      <x:c r="Q649" s="60" t="n">
        <x:v>91.6</x:v>
      </x:c>
      <x:c r="R649" s="58" t="str">
        <x:v>X</x:v>
      </x:c>
      <x:c r="S649" s="60" t="n">
        <x:v>100</x:v>
      </x:c>
      <x:c r="T649" s="58" t="str">
        <x:v>IN TARGET BAND</x:v>
      </x:c>
      <x:c r="U649" s="58" t="str">
        <x:v>Yes</x:v>
      </x:c>
      <x:c r="V649" s="58" t="n">
        <x:v>3077</x:v>
      </x:c>
      <x:c r="W649" s="58" t="str">
        <x:v>Pasted text(59).txt</x:v>
      </x:c>
    </x:row>
    <x:row r="650">
      <x:c r="A650" s="58" t="str">
        <x:v>S19</x:v>
      </x:c>
      <x:c r="B650" s="58" t="str">
        <x:v>1.20 repeat-validation session at 268 Hz</x:v>
      </x:c>
      <x:c r="C650" s="58" t="n">
        <x:v>1.2</x:v>
      </x:c>
      <x:c r="D650" s="58" t="n">
        <x:v>2</x:v>
      </x:c>
      <x:c r="E650" s="58" t="str">
        <x:v>PASS</x:v>
      </x:c>
      <x:c r="F650" s="58" t="n">
        <x:v>1</x:v>
      </x:c>
      <x:c r="G650" s="58" t="n">
        <x:v>9</x:v>
      </x:c>
      <x:c r="H650" s="59" t="n">
        <x:v>11.5</x:v>
      </x:c>
      <x:c r="I650" s="59" t="n">
        <x:v>1.14246</x:v>
      </x:c>
      <x:c r="J650" s="59" t="n">
        <x:v>1.14755</x:v>
      </x:c>
      <x:c r="K650" s="59" t="n">
        <x:v>0.4268</x:v>
      </x:c>
      <x:c r="L650" s="59" t="n">
        <x:v>0.39193</x:v>
      </x:c>
      <x:c r="M650" s="59" t="n">
        <x:v>1.28578</x:v>
      </x:c>
      <x:c r="N650" s="60" t="n">
        <x:v>-4.8</x:v>
      </x:c>
      <x:c r="O650" s="60" t="n">
        <x:v>0.74</x:v>
      </x:c>
      <x:c r="P650" s="60" t="n">
        <x:v>1.23</x:v>
      </x:c>
      <x:c r="Q650" s="60" t="n">
        <x:v>91.2</x:v>
      </x:c>
      <x:c r="R650" s="58" t="str">
        <x:v>X</x:v>
      </x:c>
      <x:c r="S650" s="60" t="n">
        <x:v>100</x:v>
      </x:c>
      <x:c r="T650" s="58" t="str">
        <x:v>IN TARGET BAND</x:v>
      </x:c>
      <x:c r="U650" s="58" t="str">
        <x:v>Yes</x:v>
      </x:c>
      <x:c r="V650" s="58" t="n">
        <x:v>3078</x:v>
      </x:c>
      <x:c r="W650" s="58" t="str">
        <x:v>Pasted text(59).txt</x:v>
      </x:c>
    </x:row>
    <x:row r="651">
      <x:c r="A651" s="58" t="str">
        <x:v>S19</x:v>
      </x:c>
      <x:c r="B651" s="58" t="str">
        <x:v>1.20 repeat-validation session at 268 Hz</x:v>
      </x:c>
      <x:c r="C651" s="58" t="n">
        <x:v>1.2</x:v>
      </x:c>
      <x:c r="D651" s="58" t="n">
        <x:v>2</x:v>
      </x:c>
      <x:c r="E651" s="58" t="str">
        <x:v>PASS</x:v>
      </x:c>
      <x:c r="F651" s="58" t="n">
        <x:v>1</x:v>
      </x:c>
      <x:c r="G651" s="58" t="n">
        <x:v>10</x:v>
      </x:c>
      <x:c r="H651" s="59" t="n">
        <x:v>11.5</x:v>
      </x:c>
      <x:c r="I651" s="59" t="n">
        <x:v>1.12006</x:v>
      </x:c>
      <x:c r="J651" s="59" t="n">
        <x:v>1.12226</x:v>
      </x:c>
      <x:c r="K651" s="59" t="n">
        <x:v>0.40734</x:v>
      </x:c>
      <x:c r="L651" s="59" t="n">
        <x:v>0.39179</x:v>
      </x:c>
      <x:c r="M651" s="59" t="n">
        <x:v>1.2569</x:v>
      </x:c>
      <x:c r="N651" s="60" t="n">
        <x:v>-6.66</x:v>
      </x:c>
      <x:c r="O651" s="60" t="n">
        <x:v>1.28</x:v>
      </x:c>
      <x:c r="P651" s="60" t="n">
        <x:v>1.17</x:v>
      </x:c>
      <x:c r="Q651" s="60" t="n">
        <x:v>89.3</x:v>
      </x:c>
      <x:c r="R651" s="58" t="str">
        <x:v>X</x:v>
      </x:c>
      <x:c r="S651" s="60" t="n">
        <x:v>100</x:v>
      </x:c>
      <x:c r="T651" s="58" t="str">
        <x:v>IN TARGET BAND</x:v>
      </x:c>
      <x:c r="U651" s="58" t="str">
        <x:v>Yes</x:v>
      </x:c>
      <x:c r="V651" s="58" t="n">
        <x:v>3079</x:v>
      </x:c>
      <x:c r="W651" s="58" t="str">
        <x:v>Pasted text(59).txt</x:v>
      </x:c>
    </x:row>
    <x:row r="652">
      <x:c r="A652" s="58" t="str">
        <x:v>S19</x:v>
      </x:c>
      <x:c r="B652" s="58" t="str">
        <x:v>1.20 repeat-validation session at 268 Hz</x:v>
      </x:c>
      <x:c r="C652" s="58" t="n">
        <x:v>1.2</x:v>
      </x:c>
      <x:c r="D652" s="58" t="n">
        <x:v>3</x:v>
      </x:c>
      <x:c r="E652" s="58" t="str">
        <x:v>PASS</x:v>
      </x:c>
      <x:c r="F652" s="58" t="n">
        <x:v>1</x:v>
      </x:c>
      <x:c r="G652" s="58" t="n">
        <x:v>1</x:v>
      </x:c>
      <x:c r="H652" s="59" t="n">
        <x:v>11.75</x:v>
      </x:c>
      <x:c r="I652" s="59" t="n">
        <x:v>1.18747</x:v>
      </x:c>
      <x:c r="J652" s="59" t="n">
        <x:v>1.19604</x:v>
      </x:c>
      <x:c r="K652" s="59" t="n">
        <x:v>0.42175</x:v>
      </x:c>
      <x:c r="L652" s="59" t="n">
        <x:v>0.42016</x:v>
      </x:c>
      <x:c r="M652" s="59" t="n">
        <x:v>1.33606</x:v>
      </x:c>
      <x:c r="N652" s="60" t="n">
        <x:v>-1.04</x:v>
      </x:c>
      <x:c r="O652" s="60" t="n">
        <x:v>2.2</x:v>
      </x:c>
      <x:c r="P652" s="60" t="n">
        <x:v>2.62</x:v>
      </x:c>
      <x:c r="Q652" s="60" t="n">
        <x:v>90.1</x:v>
      </x:c>
      <x:c r="R652" s="58" t="str">
        <x:v>X</x:v>
      </x:c>
      <x:c r="S652" s="60" t="n">
        <x:v>100</x:v>
      </x:c>
      <x:c r="T652" s="58" t="str">
        <x:v>IN TARGET BAND</x:v>
      </x:c>
      <x:c r="U652" s="58" t="str">
        <x:v>Yes</x:v>
      </x:c>
      <x:c r="V652" s="58" t="n">
        <x:v>3153</x:v>
      </x:c>
      <x:c r="W652" s="58" t="str">
        <x:v>Pasted text(59).txt</x:v>
      </x:c>
    </x:row>
    <x:row r="653">
      <x:c r="A653" s="58" t="str">
        <x:v>S19</x:v>
      </x:c>
      <x:c r="B653" s="58" t="str">
        <x:v>1.20 repeat-validation session at 268 Hz</x:v>
      </x:c>
      <x:c r="C653" s="58" t="n">
        <x:v>1.2</x:v>
      </x:c>
      <x:c r="D653" s="58" t="n">
        <x:v>3</x:v>
      </x:c>
      <x:c r="E653" s="58" t="str">
        <x:v>PASS</x:v>
      </x:c>
      <x:c r="F653" s="58" t="n">
        <x:v>1</x:v>
      </x:c>
      <x:c r="G653" s="58" t="n">
        <x:v>2</x:v>
      </x:c>
      <x:c r="H653" s="59" t="n">
        <x:v>11.75</x:v>
      </x:c>
      <x:c r="I653" s="59" t="n">
        <x:v>1.17937</x:v>
      </x:c>
      <x:c r="J653" s="59" t="n">
        <x:v>1.18471</x:v>
      </x:c>
      <x:c r="K653" s="59" t="n">
        <x:v>0.45221</x:v>
      </x:c>
      <x:c r="L653" s="59" t="n">
        <x:v>0.4446</x:v>
      </x:c>
      <x:c r="M653" s="59" t="n">
        <x:v>1.34382</x:v>
      </x:c>
      <x:c r="N653" s="60" t="n">
        <x:v>-1.72</x:v>
      </x:c>
      <x:c r="O653" s="60" t="n">
        <x:v>0.59</x:v>
      </x:c>
      <x:c r="P653" s="60" t="n">
        <x:v>1.14</x:v>
      </x:c>
      <x:c r="Q653" s="60" t="n">
        <x:v>88.4</x:v>
      </x:c>
      <x:c r="R653" s="58" t="str">
        <x:v>X</x:v>
      </x:c>
      <x:c r="S653" s="60" t="n">
        <x:v>100</x:v>
      </x:c>
      <x:c r="T653" s="58" t="str">
        <x:v>IN TARGET BAND</x:v>
      </x:c>
      <x:c r="U653" s="58" t="str">
        <x:v>Yes</x:v>
      </x:c>
      <x:c r="V653" s="58" t="n">
        <x:v>3154</x:v>
      </x:c>
      <x:c r="W653" s="58" t="str">
        <x:v>Pasted text(59).txt</x:v>
      </x:c>
    </x:row>
    <x:row r="654">
      <x:c r="A654" s="58" t="str">
        <x:v>S19</x:v>
      </x:c>
      <x:c r="B654" s="58" t="str">
        <x:v>1.20 repeat-validation session at 268 Hz</x:v>
      </x:c>
      <x:c r="C654" s="58" t="n">
        <x:v>1.2</x:v>
      </x:c>
      <x:c r="D654" s="58" t="n">
        <x:v>3</x:v>
      </x:c>
      <x:c r="E654" s="58" t="str">
        <x:v>PASS</x:v>
      </x:c>
      <x:c r="F654" s="58" t="n">
        <x:v>1</x:v>
      </x:c>
      <x:c r="G654" s="58" t="n">
        <x:v>3</x:v>
      </x:c>
      <x:c r="H654" s="59" t="n">
        <x:v>11.75</x:v>
      </x:c>
      <x:c r="I654" s="59" t="n">
        <x:v>1.1814</x:v>
      </x:c>
      <x:c r="J654" s="59" t="n">
        <x:v>1.18484</x:v>
      </x:c>
      <x:c r="K654" s="59" t="n">
        <x:v>0.45537</x:v>
      </x:c>
      <x:c r="L654" s="59" t="n">
        <x:v>0.42957</x:v>
      </x:c>
      <x:c r="M654" s="59" t="n">
        <x:v>1.34025</x:v>
      </x:c>
      <x:c r="N654" s="60" t="n">
        <x:v>-1.55</x:v>
      </x:c>
      <x:c r="O654" s="60" t="n">
        <x:v>1.55</x:v>
      </x:c>
      <x:c r="P654" s="60" t="n">
        <x:v>1.5</x:v>
      </x:c>
      <x:c r="Q654" s="60" t="n">
        <x:v>89.3</x:v>
      </x:c>
      <x:c r="R654" s="58" t="str">
        <x:v>X</x:v>
      </x:c>
      <x:c r="S654" s="60" t="n">
        <x:v>100</x:v>
      </x:c>
      <x:c r="T654" s="58" t="str">
        <x:v>IN TARGET BAND</x:v>
      </x:c>
      <x:c r="U654" s="58" t="str">
        <x:v>Yes</x:v>
      </x:c>
      <x:c r="V654" s="58" t="n">
        <x:v>3155</x:v>
      </x:c>
      <x:c r="W654" s="58" t="str">
        <x:v>Pasted text(59).txt</x:v>
      </x:c>
    </x:row>
    <x:row r="655">
      <x:c r="A655" s="58" t="str">
        <x:v>S19</x:v>
      </x:c>
      <x:c r="B655" s="58" t="str">
        <x:v>1.20 repeat-validation session at 268 Hz</x:v>
      </x:c>
      <x:c r="C655" s="58" t="n">
        <x:v>1.2</x:v>
      </x:c>
      <x:c r="D655" s="58" t="n">
        <x:v>3</x:v>
      </x:c>
      <x:c r="E655" s="58" t="str">
        <x:v>PASS</x:v>
      </x:c>
      <x:c r="F655" s="58" t="n">
        <x:v>1</x:v>
      </x:c>
      <x:c r="G655" s="58" t="n">
        <x:v>4</x:v>
      </x:c>
      <x:c r="H655" s="59" t="n">
        <x:v>11.75</x:v>
      </x:c>
      <x:c r="I655" s="59" t="n">
        <x:v>1.19393</x:v>
      </x:c>
      <x:c r="J655" s="59" t="n">
        <x:v>1.19242</x:v>
      </x:c>
      <x:c r="K655" s="59" t="n">
        <x:v>0.41701</x:v>
      </x:c>
      <x:c r="L655" s="59" t="n">
        <x:v>0.42995</x:v>
      </x:c>
      <x:c r="M655" s="59" t="n">
        <x:v>1.3345</x:v>
      </x:c>
      <x:c r="N655" s="60" t="n">
        <x:v>-0.51</x:v>
      </x:c>
      <x:c r="O655" s="60" t="n">
        <x:v>0.99</x:v>
      </x:c>
      <x:c r="P655" s="60" t="n">
        <x:v>0.87</x:v>
      </x:c>
      <x:c r="Q655" s="60" t="n">
        <x:v>89.9</x:v>
      </x:c>
      <x:c r="R655" s="58" t="str">
        <x:v>X</x:v>
      </x:c>
      <x:c r="S655" s="60" t="n">
        <x:v>100</x:v>
      </x:c>
      <x:c r="T655" s="58" t="str">
        <x:v>IN TARGET BAND</x:v>
      </x:c>
      <x:c r="U655" s="58" t="str">
        <x:v>Yes</x:v>
      </x:c>
      <x:c r="V655" s="58" t="n">
        <x:v>3156</x:v>
      </x:c>
      <x:c r="W655" s="58" t="str">
        <x:v>Pasted text(59).txt</x:v>
      </x:c>
    </x:row>
    <x:row r="656">
      <x:c r="A656" s="58" t="str">
        <x:v>S19</x:v>
      </x:c>
      <x:c r="B656" s="58" t="str">
        <x:v>1.20 repeat-validation session at 268 Hz</x:v>
      </x:c>
      <x:c r="C656" s="58" t="n">
        <x:v>1.2</x:v>
      </x:c>
      <x:c r="D656" s="58" t="n">
        <x:v>3</x:v>
      </x:c>
      <x:c r="E656" s="58" t="str">
        <x:v>PASS</x:v>
      </x:c>
      <x:c r="F656" s="58" t="n">
        <x:v>1</x:v>
      </x:c>
      <x:c r="G656" s="58" t="n">
        <x:v>5</x:v>
      </x:c>
      <x:c r="H656" s="59" t="n">
        <x:v>11.75</x:v>
      </x:c>
      <x:c r="I656" s="59" t="n">
        <x:v>1.22339</x:v>
      </x:c>
      <x:c r="J656" s="59" t="n">
        <x:v>1.22328</x:v>
      </x:c>
      <x:c r="K656" s="59" t="n">
        <x:v>0.45358</x:v>
      </x:c>
      <x:c r="L656" s="59" t="n">
        <x:v>0.44412</x:v>
      </x:c>
      <x:c r="M656" s="59" t="n">
        <x:v>1.3784</x:v>
      </x:c>
      <x:c r="N656" s="60" t="n">
        <x:v>1.95</x:v>
      </x:c>
      <x:c r="O656" s="60" t="n">
        <x:v>0.18</x:v>
      </x:c>
      <x:c r="P656" s="60" t="n">
        <x:v>0.13</x:v>
      </x:c>
      <x:c r="Q656" s="60" t="n">
        <x:v>89.5</x:v>
      </x:c>
      <x:c r="R656" s="58" t="str">
        <x:v>X</x:v>
      </x:c>
      <x:c r="S656" s="60" t="n">
        <x:v>100</x:v>
      </x:c>
      <x:c r="T656" s="58" t="str">
        <x:v>IN TARGET BAND</x:v>
      </x:c>
      <x:c r="U656" s="58" t="str">
        <x:v>Yes</x:v>
      </x:c>
      <x:c r="V656" s="58" t="n">
        <x:v>3157</x:v>
      </x:c>
      <x:c r="W656" s="58" t="str">
        <x:v>Pasted text(59).txt</x:v>
      </x:c>
    </x:row>
    <x:row r="657">
      <x:c r="A657" s="58" t="str">
        <x:v>S19</x:v>
      </x:c>
      <x:c r="B657" s="58" t="str">
        <x:v>1.20 repeat-validation session at 268 Hz</x:v>
      </x:c>
      <x:c r="C657" s="58" t="n">
        <x:v>1.2</x:v>
      </x:c>
      <x:c r="D657" s="58" t="n">
        <x:v>3</x:v>
      </x:c>
      <x:c r="E657" s="58" t="str">
        <x:v>PASS</x:v>
      </x:c>
      <x:c r="F657" s="58" t="n">
        <x:v>1</x:v>
      </x:c>
      <x:c r="G657" s="58" t="n">
        <x:v>6</x:v>
      </x:c>
      <x:c r="H657" s="59" t="n">
        <x:v>11.75</x:v>
      </x:c>
      <x:c r="I657" s="59" t="n">
        <x:v>1.20638</x:v>
      </x:c>
      <x:c r="J657" s="59" t="n">
        <x:v>1.20726</x:v>
      </x:c>
      <x:c r="K657" s="59" t="n">
        <x:v>0.4403</x:v>
      </x:c>
      <x:c r="L657" s="59" t="n">
        <x:v>0.41015</x:v>
      </x:c>
      <x:c r="M657" s="59" t="n">
        <x:v>1.34934</x:v>
      </x:c>
      <x:c r="N657" s="60" t="n">
        <x:v>0.53</x:v>
      </x:c>
      <x:c r="O657" s="60" t="n">
        <x:v>3.48</x:v>
      </x:c>
      <x:c r="P657" s="60" t="n">
        <x:v>2.46</x:v>
      </x:c>
      <x:c r="Q657" s="60" t="n">
        <x:v>89.8</x:v>
      </x:c>
      <x:c r="R657" s="58" t="str">
        <x:v>X</x:v>
      </x:c>
      <x:c r="S657" s="60" t="n">
        <x:v>100</x:v>
      </x:c>
      <x:c r="T657" s="58" t="str">
        <x:v>IN TARGET BAND</x:v>
      </x:c>
      <x:c r="U657" s="58" t="str">
        <x:v>Yes</x:v>
      </x:c>
      <x:c r="V657" s="58" t="n">
        <x:v>3158</x:v>
      </x:c>
      <x:c r="W657" s="58" t="str">
        <x:v>Pasted text(59).txt</x:v>
      </x:c>
    </x:row>
    <x:row r="658">
      <x:c r="A658" s="58" t="str">
        <x:v>S19</x:v>
      </x:c>
      <x:c r="B658" s="58" t="str">
        <x:v>1.20 repeat-validation session at 268 Hz</x:v>
      </x:c>
      <x:c r="C658" s="58" t="n">
        <x:v>1.2</x:v>
      </x:c>
      <x:c r="D658" s="58" t="n">
        <x:v>3</x:v>
      </x:c>
      <x:c r="E658" s="58" t="str">
        <x:v>PASS</x:v>
      </x:c>
      <x:c r="F658" s="58" t="n">
        <x:v>1</x:v>
      </x:c>
      <x:c r="G658" s="58" t="n">
        <x:v>7</x:v>
      </x:c>
      <x:c r="H658" s="59" t="n">
        <x:v>11.75</x:v>
      </x:c>
      <x:c r="I658" s="59" t="n">
        <x:v>1.22309</x:v>
      </x:c>
      <x:c r="J658" s="59" t="n">
        <x:v>1.20038</x:v>
      </x:c>
      <x:c r="K658" s="59" t="n">
        <x:v>0.4425</x:v>
      </x:c>
      <x:c r="L658" s="59" t="n">
        <x:v>0.41685</x:v>
      </x:c>
      <x:c r="M658" s="59" t="n">
        <x:v>1.3456</x:v>
      </x:c>
      <x:c r="N658" s="60" t="n">
        <x:v>1.92</x:v>
      </x:c>
      <x:c r="O658" s="60" t="n">
        <x:v>1.58</x:v>
      </x:c>
      <x:c r="P658" s="60" t="n">
        <x:v>4.25</x:v>
      </x:c>
      <x:c r="Q658" s="60" t="n">
        <x:v>89.3</x:v>
      </x:c>
      <x:c r="R658" s="58" t="str">
        <x:v>X</x:v>
      </x:c>
      <x:c r="S658" s="60" t="n">
        <x:v>100</x:v>
      </x:c>
      <x:c r="T658" s="58" t="str">
        <x:v>IN TARGET BAND</x:v>
      </x:c>
      <x:c r="U658" s="58" t="str">
        <x:v>Yes</x:v>
      </x:c>
      <x:c r="V658" s="58" t="n">
        <x:v>3159</x:v>
      </x:c>
      <x:c r="W658" s="58" t="str">
        <x:v>Pasted text(59).txt</x:v>
      </x:c>
    </x:row>
    <x:row r="659">
      <x:c r="A659" s="58" t="str">
        <x:v>S19</x:v>
      </x:c>
      <x:c r="B659" s="58" t="str">
        <x:v>1.20 repeat-validation session at 268 Hz</x:v>
      </x:c>
      <x:c r="C659" s="58" t="n">
        <x:v>1.2</x:v>
      </x:c>
      <x:c r="D659" s="58" t="n">
        <x:v>3</x:v>
      </x:c>
      <x:c r="E659" s="58" t="str">
        <x:v>PASS</x:v>
      </x:c>
      <x:c r="F659" s="58" t="n">
        <x:v>1</x:v>
      </x:c>
      <x:c r="G659" s="58" t="n">
        <x:v>8</x:v>
      </x:c>
      <x:c r="H659" s="59" t="n">
        <x:v>11.75</x:v>
      </x:c>
      <x:c r="I659" s="59" t="n">
        <x:v>1.20349</x:v>
      </x:c>
      <x:c r="J659" s="59" t="n">
        <x:v>1.21284</x:v>
      </x:c>
      <x:c r="K659" s="59" t="n">
        <x:v>0.47575</x:v>
      </x:c>
      <x:c r="L659" s="59" t="n">
        <x:v>0.44844</x:v>
      </x:c>
      <x:c r="M659" s="59" t="n">
        <x:v>1.37811</x:v>
      </x:c>
      <x:c r="N659" s="60" t="n">
        <x:v>0.29</x:v>
      </x:c>
      <x:c r="O659" s="60" t="n">
        <x:v>0.43</x:v>
      </x:c>
      <x:c r="P659" s="60" t="n">
        <x:v>1.59</x:v>
      </x:c>
      <x:c r="Q659" s="60" t="n">
        <x:v>88.7</x:v>
      </x:c>
      <x:c r="R659" s="58" t="str">
        <x:v>X</x:v>
      </x:c>
      <x:c r="S659" s="60" t="n">
        <x:v>100</x:v>
      </x:c>
      <x:c r="T659" s="58" t="str">
        <x:v>IN TARGET BAND</x:v>
      </x:c>
      <x:c r="U659" s="58" t="str">
        <x:v>Yes</x:v>
      </x:c>
      <x:c r="V659" s="58" t="n">
        <x:v>3160</x:v>
      </x:c>
      <x:c r="W659" s="58" t="str">
        <x:v>Pasted text(59).txt</x:v>
      </x:c>
    </x:row>
    <x:row r="660">
      <x:c r="A660" s="58" t="str">
        <x:v>S19</x:v>
      </x:c>
      <x:c r="B660" s="58" t="str">
        <x:v>1.20 repeat-validation session at 268 Hz</x:v>
      </x:c>
      <x:c r="C660" s="58" t="n">
        <x:v>1.2</x:v>
      </x:c>
      <x:c r="D660" s="58" t="n">
        <x:v>3</x:v>
      </x:c>
      <x:c r="E660" s="58" t="str">
        <x:v>PASS</x:v>
      </x:c>
      <x:c r="F660" s="58" t="n">
        <x:v>1</x:v>
      </x:c>
      <x:c r="G660" s="58" t="n">
        <x:v>9</x:v>
      </x:c>
      <x:c r="H660" s="59" t="n">
        <x:v>11.75</x:v>
      </x:c>
      <x:c r="I660" s="59" t="n">
        <x:v>1.2056</x:v>
      </x:c>
      <x:c r="J660" s="59" t="n">
        <x:v>1.20848</x:v>
      </x:c>
      <x:c r="K660" s="59" t="n">
        <x:v>0.45856</x:v>
      </x:c>
      <x:c r="L660" s="59" t="n">
        <x:v>0.4319</x:v>
      </x:c>
      <x:c r="M660" s="59" t="n">
        <x:v>1.36292</x:v>
      </x:c>
      <x:c r="N660" s="60" t="n">
        <x:v>0.47</x:v>
      </x:c>
      <x:c r="O660" s="60" t="n">
        <x:v>3.25</x:v>
      </x:c>
      <x:c r="P660" s="60" t="n">
        <x:v>2.55</x:v>
      </x:c>
      <x:c r="Q660" s="60" t="n">
        <x:v>89.3</x:v>
      </x:c>
      <x:c r="R660" s="58" t="str">
        <x:v>X</x:v>
      </x:c>
      <x:c r="S660" s="60" t="n">
        <x:v>100</x:v>
      </x:c>
      <x:c r="T660" s="58" t="str">
        <x:v>IN TARGET BAND</x:v>
      </x:c>
      <x:c r="U660" s="58" t="str">
        <x:v>Yes</x:v>
      </x:c>
      <x:c r="V660" s="58" t="n">
        <x:v>3161</x:v>
      </x:c>
      <x:c r="W660" s="58" t="str">
        <x:v>Pasted text(59).txt</x:v>
      </x:c>
    </x:row>
    <x:row r="661">
      <x:c r="A661" s="58" t="str">
        <x:v>S19</x:v>
      </x:c>
      <x:c r="B661" s="58" t="str">
        <x:v>1.20 repeat-validation session at 268 Hz</x:v>
      </x:c>
      <x:c r="C661" s="58" t="n">
        <x:v>1.2</x:v>
      </x:c>
      <x:c r="D661" s="58" t="n">
        <x:v>3</x:v>
      </x:c>
      <x:c r="E661" s="58" t="str">
        <x:v>PASS</x:v>
      </x:c>
      <x:c r="F661" s="58" t="n">
        <x:v>1</x:v>
      </x:c>
      <x:c r="G661" s="58" t="n">
        <x:v>10</x:v>
      </x:c>
      <x:c r="H661" s="59" t="n">
        <x:v>11.75</x:v>
      </x:c>
      <x:c r="I661" s="59" t="n">
        <x:v>1.1901</x:v>
      </x:c>
      <x:c r="J661" s="59" t="n">
        <x:v>1.20168</x:v>
      </x:c>
      <x:c r="K661" s="59" t="n">
        <x:v>0.43133</x:v>
      </x:c>
      <x:c r="L661" s="59" t="n">
        <x:v>0.41679</x:v>
      </x:c>
      <x:c r="M661" s="59" t="n">
        <x:v>1.34338</x:v>
      </x:c>
      <x:c r="N661" s="60" t="n">
        <x:v>-0.82</x:v>
      </x:c>
      <x:c r="O661" s="60" t="n">
        <x:v>1.63</x:v>
      </x:c>
      <x:c r="P661" s="60" t="n">
        <x:v>2.67</x:v>
      </x:c>
      <x:c r="Q661" s="60" t="n">
        <x:v>89.9</x:v>
      </x:c>
      <x:c r="R661" s="58" t="str">
        <x:v>X</x:v>
      </x:c>
      <x:c r="S661" s="60" t="n">
        <x:v>100</x:v>
      </x:c>
      <x:c r="T661" s="58" t="str">
        <x:v>IN TARGET BAND</x:v>
      </x:c>
      <x:c r="U661" s="58" t="str">
        <x:v>Yes</x:v>
      </x:c>
      <x:c r="V661" s="58" t="n">
        <x:v>3162</x:v>
      </x:c>
      <x:c r="W661" s="58" t="str">
        <x:v>Pasted text(59).txt</x:v>
      </x:c>
    </x:row>
    <x:row r="662">
      <x:c r="A662" s="58" t="str">
        <x:v>S19</x:v>
      </x:c>
      <x:c r="B662" s="58" t="str">
        <x:v>1.20 repeat-validation session at 268 Hz</x:v>
      </x:c>
      <x:c r="C662" s="58" t="n">
        <x:v>1.2</x:v>
      </x:c>
      <x:c r="D662" s="58" t="n">
        <x:v>4</x:v>
      </x:c>
      <x:c r="E662" s="58" t="str">
        <x:v>PASS</x:v>
      </x:c>
      <x:c r="F662" s="58" t="n">
        <x:v>1</x:v>
      </x:c>
      <x:c r="G662" s="58" t="n">
        <x:v>1</x:v>
      </x:c>
      <x:c r="H662" s="59" t="n">
        <x:v>11.75</x:v>
      </x:c>
      <x:c r="I662" s="59" t="n">
        <x:v>1.1806</x:v>
      </x:c>
      <x:c r="J662" s="59" t="n">
        <x:v>1.16795</x:v>
      </x:c>
      <x:c r="K662" s="59" t="n">
        <x:v>0.44495</x:v>
      </x:c>
      <x:c r="L662" s="59" t="n">
        <x:v>0.41877</x:v>
      </x:c>
      <x:c r="M662" s="59" t="n">
        <x:v>1.31828</x:v>
      </x:c>
      <x:c r="N662" s="60" t="n">
        <x:v>-1.62</x:v>
      </x:c>
      <x:c r="O662" s="60" t="n">
        <x:v>1.29</x:v>
      </x:c>
      <x:c r="P662" s="60" t="n">
        <x:v>2.68</x:v>
      </x:c>
      <x:c r="Q662" s="60" t="n">
        <x:v>89.2</x:v>
      </x:c>
      <x:c r="R662" s="58" t="str">
        <x:v>X</x:v>
      </x:c>
      <x:c r="S662" s="60" t="n">
        <x:v>100</x:v>
      </x:c>
      <x:c r="T662" s="58" t="str">
        <x:v>IN TARGET BAND</x:v>
      </x:c>
      <x:c r="U662" s="58" t="str">
        <x:v>Yes</x:v>
      </x:c>
      <x:c r="V662" s="58" t="n">
        <x:v>3238</x:v>
      </x:c>
      <x:c r="W662" s="58" t="str">
        <x:v>Pasted text(59).txt</x:v>
      </x:c>
    </x:row>
    <x:row r="663">
      <x:c r="A663" s="58" t="str">
        <x:v>S19</x:v>
      </x:c>
      <x:c r="B663" s="58" t="str">
        <x:v>1.20 repeat-validation session at 268 Hz</x:v>
      </x:c>
      <x:c r="C663" s="58" t="n">
        <x:v>1.2</x:v>
      </x:c>
      <x:c r="D663" s="58" t="n">
        <x:v>4</x:v>
      </x:c>
      <x:c r="E663" s="58" t="str">
        <x:v>PASS</x:v>
      </x:c>
      <x:c r="F663" s="58" t="n">
        <x:v>1</x:v>
      </x:c>
      <x:c r="G663" s="58" t="n">
        <x:v>2</x:v>
      </x:c>
      <x:c r="H663" s="59" t="n">
        <x:v>11.75</x:v>
      </x:c>
      <x:c r="I663" s="59" t="n">
        <x:v>1.18792</x:v>
      </x:c>
      <x:c r="J663" s="59" t="n">
        <x:v>1.1868</x:v>
      </x:c>
      <x:c r="K663" s="59" t="n">
        <x:v>0.44336</x:v>
      </x:c>
      <x:c r="L663" s="59" t="n">
        <x:v>0.44731</x:v>
      </x:c>
      <x:c r="M663" s="59" t="n">
        <x:v>1.34393</x:v>
      </x:c>
      <x:c r="N663" s="60" t="n">
        <x:v>-1.01</x:v>
      </x:c>
      <x:c r="O663" s="60" t="n">
        <x:v>0.79</x:v>
      </x:c>
      <x:c r="P663" s="60" t="n">
        <x:v>0.68</x:v>
      </x:c>
      <x:c r="Q663" s="60" t="n">
        <x:v>89.7</x:v>
      </x:c>
      <x:c r="R663" s="58" t="str">
        <x:v>X</x:v>
      </x:c>
      <x:c r="S663" s="60" t="n">
        <x:v>100</x:v>
      </x:c>
      <x:c r="T663" s="58" t="str">
        <x:v>IN TARGET BAND</x:v>
      </x:c>
      <x:c r="U663" s="58" t="str">
        <x:v>Yes</x:v>
      </x:c>
      <x:c r="V663" s="58" t="n">
        <x:v>3239</x:v>
      </x:c>
      <x:c r="W663" s="58" t="str">
        <x:v>Pasted text(59).txt</x:v>
      </x:c>
    </x:row>
    <x:row r="664">
      <x:c r="A664" s="58" t="str">
        <x:v>S19</x:v>
      </x:c>
      <x:c r="B664" s="58" t="str">
        <x:v>1.20 repeat-validation session at 268 Hz</x:v>
      </x:c>
      <x:c r="C664" s="58" t="n">
        <x:v>1.2</x:v>
      </x:c>
      <x:c r="D664" s="58" t="n">
        <x:v>4</x:v>
      </x:c>
      <x:c r="E664" s="58" t="str">
        <x:v>PASS</x:v>
      </x:c>
      <x:c r="F664" s="58" t="n">
        <x:v>1</x:v>
      </x:c>
      <x:c r="G664" s="58" t="n">
        <x:v>3</x:v>
      </x:c>
      <x:c r="H664" s="59" t="n">
        <x:v>11.75</x:v>
      </x:c>
      <x:c r="I664" s="59" t="n">
        <x:v>1.21043</x:v>
      </x:c>
      <x:c r="J664" s="59" t="n">
        <x:v>1.2062</x:v>
      </x:c>
      <x:c r="K664" s="59" t="n">
        <x:v>0.45304</x:v>
      </x:c>
      <x:c r="L664" s="59" t="n">
        <x:v>0.42024</x:v>
      </x:c>
      <x:c r="M664" s="59" t="n">
        <x:v>1.35551</x:v>
      </x:c>
      <x:c r="N664" s="60" t="n">
        <x:v>0.87</x:v>
      </x:c>
      <x:c r="O664" s="60" t="n">
        <x:v>1.21</x:v>
      </x:c>
      <x:c r="P664" s="60" t="n">
        <x:v>1.38</x:v>
      </x:c>
      <x:c r="Q664" s="60" t="n">
        <x:v>89.9</x:v>
      </x:c>
      <x:c r="R664" s="58" t="str">
        <x:v>X</x:v>
      </x:c>
      <x:c r="S664" s="60" t="n">
        <x:v>100</x:v>
      </x:c>
      <x:c r="T664" s="58" t="str">
        <x:v>IN TARGET BAND</x:v>
      </x:c>
      <x:c r="U664" s="58" t="str">
        <x:v>Yes</x:v>
      </x:c>
      <x:c r="V664" s="58" t="n">
        <x:v>3240</x:v>
      </x:c>
      <x:c r="W664" s="58" t="str">
        <x:v>Pasted text(59).txt</x:v>
      </x:c>
    </x:row>
    <x:row r="665">
      <x:c r="A665" s="58" t="str">
        <x:v>S19</x:v>
      </x:c>
      <x:c r="B665" s="58" t="str">
        <x:v>1.20 repeat-validation session at 268 Hz</x:v>
      </x:c>
      <x:c r="C665" s="58" t="n">
        <x:v>1.2</x:v>
      </x:c>
      <x:c r="D665" s="58" t="n">
        <x:v>4</x:v>
      </x:c>
      <x:c r="E665" s="58" t="str">
        <x:v>PASS</x:v>
      </x:c>
      <x:c r="F665" s="58" t="n">
        <x:v>1</x:v>
      </x:c>
      <x:c r="G665" s="58" t="n">
        <x:v>4</x:v>
      </x:c>
      <x:c r="H665" s="59" t="n">
        <x:v>11.75</x:v>
      </x:c>
      <x:c r="I665" s="59" t="n">
        <x:v>1.18465</x:v>
      </x:c>
      <x:c r="J665" s="59" t="n">
        <x:v>1.18973</x:v>
      </x:c>
      <x:c r="K665" s="59" t="n">
        <x:v>0.4388</x:v>
      </x:c>
      <x:c r="L665" s="59" t="n">
        <x:v>0.42762</x:v>
      </x:c>
      <x:c r="M665" s="59" t="n">
        <x:v>1.33854</x:v>
      </x:c>
      <x:c r="N665" s="60" t="n">
        <x:v>-1.28</x:v>
      </x:c>
      <x:c r="O665" s="60" t="n">
        <x:v>1.59</x:v>
      </x:c>
      <x:c r="P665" s="60" t="n">
        <x:v>1.74</x:v>
      </x:c>
      <x:c r="Q665" s="60" t="n">
        <x:v>90.2</x:v>
      </x:c>
      <x:c r="R665" s="58" t="str">
        <x:v>X</x:v>
      </x:c>
      <x:c r="S665" s="60" t="n">
        <x:v>100</x:v>
      </x:c>
      <x:c r="T665" s="58" t="str">
        <x:v>IN TARGET BAND</x:v>
      </x:c>
      <x:c r="U665" s="58" t="str">
        <x:v>Yes</x:v>
      </x:c>
      <x:c r="V665" s="58" t="n">
        <x:v>3241</x:v>
      </x:c>
      <x:c r="W665" s="58" t="str">
        <x:v>Pasted text(59).txt</x:v>
      </x:c>
    </x:row>
    <x:row r="666">
      <x:c r="A666" s="58" t="str">
        <x:v>S19</x:v>
      </x:c>
      <x:c r="B666" s="58" t="str">
        <x:v>1.20 repeat-validation session at 268 Hz</x:v>
      </x:c>
      <x:c r="C666" s="58" t="n">
        <x:v>1.2</x:v>
      </x:c>
      <x:c r="D666" s="58" t="n">
        <x:v>4</x:v>
      </x:c>
      <x:c r="E666" s="58" t="str">
        <x:v>PASS</x:v>
      </x:c>
      <x:c r="F666" s="58" t="n">
        <x:v>1</x:v>
      </x:c>
      <x:c r="G666" s="58" t="n">
        <x:v>5</x:v>
      </x:c>
      <x:c r="H666" s="59" t="n">
        <x:v>11.75</x:v>
      </x:c>
      <x:c r="I666" s="59" t="n">
        <x:v>1.17177</x:v>
      </x:c>
      <x:c r="J666" s="59" t="n">
        <x:v>1.17496</x:v>
      </x:c>
      <x:c r="K666" s="59" t="n">
        <x:v>0.42123</x:v>
      </x:c>
      <x:c r="L666" s="59" t="n">
        <x:v>0.42694</x:v>
      </x:c>
      <x:c r="M666" s="59" t="n">
        <x:v>1.31924</x:v>
      </x:c>
      <x:c r="N666" s="60" t="n">
        <x:v>-2.35</x:v>
      </x:c>
      <x:c r="O666" s="60" t="n">
        <x:v>0.66</x:v>
      </x:c>
      <x:c r="P666" s="60" t="n">
        <x:v>0.88</x:v>
      </x:c>
      <x:c r="Q666" s="60" t="n">
        <x:v>90.3</x:v>
      </x:c>
      <x:c r="R666" s="58" t="str">
        <x:v>X</x:v>
      </x:c>
      <x:c r="S666" s="60" t="n">
        <x:v>100</x:v>
      </x:c>
      <x:c r="T666" s="58" t="str">
        <x:v>IN TARGET BAND</x:v>
      </x:c>
      <x:c r="U666" s="58" t="str">
        <x:v>Yes</x:v>
      </x:c>
      <x:c r="V666" s="58" t="n">
        <x:v>3242</x:v>
      </x:c>
      <x:c r="W666" s="58" t="str">
        <x:v>Pasted text(59).txt</x:v>
      </x:c>
    </x:row>
    <x:row r="667">
      <x:c r="A667" s="58" t="str">
        <x:v>S19</x:v>
      </x:c>
      <x:c r="B667" s="58" t="str">
        <x:v>1.20 repeat-validation session at 268 Hz</x:v>
      </x:c>
      <x:c r="C667" s="58" t="n">
        <x:v>1.2</x:v>
      </x:c>
      <x:c r="D667" s="58" t="n">
        <x:v>4</x:v>
      </x:c>
      <x:c r="E667" s="58" t="str">
        <x:v>PASS</x:v>
      </x:c>
      <x:c r="F667" s="58" t="n">
        <x:v>1</x:v>
      </x:c>
      <x:c r="G667" s="58" t="n">
        <x:v>6</x:v>
      </x:c>
      <x:c r="H667" s="59" t="n">
        <x:v>11.75</x:v>
      </x:c>
      <x:c r="I667" s="59" t="n">
        <x:v>1.15966</x:v>
      </x:c>
      <x:c r="J667" s="59" t="n">
        <x:v>1.15785</x:v>
      </x:c>
      <x:c r="K667" s="59" t="n">
        <x:v>0.44191</x:v>
      </x:c>
      <x:c r="L667" s="59" t="n">
        <x:v>0.43046</x:v>
      </x:c>
      <x:c r="M667" s="59" t="n">
        <x:v>1.31248</x:v>
      </x:c>
      <x:c r="N667" s="60" t="n">
        <x:v>-3.36</x:v>
      </x:c>
      <x:c r="O667" s="60" t="n">
        <x:v>1.87</x:v>
      </x:c>
      <x:c r="P667" s="60" t="n">
        <x:v>1.51</x:v>
      </x:c>
      <x:c r="Q667" s="60" t="n">
        <x:v>88.5</x:v>
      </x:c>
      <x:c r="R667" s="58" t="str">
        <x:v>X</x:v>
      </x:c>
      <x:c r="S667" s="60" t="n">
        <x:v>100</x:v>
      </x:c>
      <x:c r="T667" s="58" t="str">
        <x:v>IN TARGET BAND</x:v>
      </x:c>
      <x:c r="U667" s="58" t="str">
        <x:v>Yes</x:v>
      </x:c>
      <x:c r="V667" s="58" t="n">
        <x:v>3243</x:v>
      </x:c>
      <x:c r="W667" s="58" t="str">
        <x:v>Pasted text(59).txt</x:v>
      </x:c>
    </x:row>
    <x:row r="668">
      <x:c r="A668" s="58" t="str">
        <x:v>S19</x:v>
      </x:c>
      <x:c r="B668" s="58" t="str">
        <x:v>1.20 repeat-validation session at 268 Hz</x:v>
      </x:c>
      <x:c r="C668" s="58" t="n">
        <x:v>1.2</x:v>
      </x:c>
      <x:c r="D668" s="58" t="n">
        <x:v>4</x:v>
      </x:c>
      <x:c r="E668" s="58" t="str">
        <x:v>PASS</x:v>
      </x:c>
      <x:c r="F668" s="58" t="n">
        <x:v>1</x:v>
      </x:c>
      <x:c r="G668" s="58" t="n">
        <x:v>7</x:v>
      </x:c>
      <x:c r="H668" s="59" t="n">
        <x:v>11.75</x:v>
      </x:c>
      <x:c r="I668" s="59" t="n">
        <x:v>1.2058</x:v>
      </x:c>
      <x:c r="J668" s="59" t="n">
        <x:v>1.20788</x:v>
      </x:c>
      <x:c r="K668" s="59" t="n">
        <x:v>0.41896</x:v>
      </x:c>
      <x:c r="L668" s="59" t="n">
        <x:v>0.4184</x:v>
      </x:c>
      <x:c r="M668" s="59" t="n">
        <x:v>1.34526</x:v>
      </x:c>
      <x:c r="N668" s="60" t="n">
        <x:v>0.48</x:v>
      </x:c>
      <x:c r="O668" s="60" t="n">
        <x:v>0.67</x:v>
      </x:c>
      <x:c r="P668" s="60" t="n">
        <x:v>0.72</x:v>
      </x:c>
      <x:c r="Q668" s="60" t="n">
        <x:v>90.2</x:v>
      </x:c>
      <x:c r="R668" s="58" t="str">
        <x:v>X</x:v>
      </x:c>
      <x:c r="S668" s="60" t="n">
        <x:v>100</x:v>
      </x:c>
      <x:c r="T668" s="58" t="str">
        <x:v>IN TARGET BAND</x:v>
      </x:c>
      <x:c r="U668" s="58" t="str">
        <x:v>Yes</x:v>
      </x:c>
      <x:c r="V668" s="58" t="n">
        <x:v>3244</x:v>
      </x:c>
      <x:c r="W668" s="58" t="str">
        <x:v>Pasted text(59).txt</x:v>
      </x:c>
    </x:row>
    <x:row r="669">
      <x:c r="A669" s="58" t="str">
        <x:v>S19</x:v>
      </x:c>
      <x:c r="B669" s="58" t="str">
        <x:v>1.20 repeat-validation session at 268 Hz</x:v>
      </x:c>
      <x:c r="C669" s="58" t="n">
        <x:v>1.2</x:v>
      </x:c>
      <x:c r="D669" s="58" t="n">
        <x:v>4</x:v>
      </x:c>
      <x:c r="E669" s="58" t="str">
        <x:v>PASS</x:v>
      </x:c>
      <x:c r="F669" s="58" t="n">
        <x:v>1</x:v>
      </x:c>
      <x:c r="G669" s="58" t="n">
        <x:v>8</x:v>
      </x:c>
      <x:c r="H669" s="59" t="n">
        <x:v>11.75</x:v>
      </x:c>
      <x:c r="I669" s="59" t="n">
        <x:v>1.17874</x:v>
      </x:c>
      <x:c r="J669" s="59" t="n">
        <x:v>1.18176</x:v>
      </x:c>
      <x:c r="K669" s="59" t="n">
        <x:v>0.45217</x:v>
      </x:c>
      <x:c r="L669" s="59" t="n">
        <x:v>0.44501</x:v>
      </x:c>
      <x:c r="M669" s="59" t="n">
        <x:v>1.34147</x:v>
      </x:c>
      <x:c r="N669" s="60" t="n">
        <x:v>-1.77</x:v>
      </x:c>
      <x:c r="O669" s="60" t="n">
        <x:v>1.38</x:v>
      </x:c>
      <x:c r="P669" s="60" t="n">
        <x:v>1.33</x:v>
      </x:c>
      <x:c r="Q669" s="60" t="n">
        <x:v>88.8</x:v>
      </x:c>
      <x:c r="R669" s="58" t="str">
        <x:v>X</x:v>
      </x:c>
      <x:c r="S669" s="60" t="n">
        <x:v>100</x:v>
      </x:c>
      <x:c r="T669" s="58" t="str">
        <x:v>IN TARGET BAND</x:v>
      </x:c>
      <x:c r="U669" s="58" t="str">
        <x:v>Yes</x:v>
      </x:c>
      <x:c r="V669" s="58" t="n">
        <x:v>3245</x:v>
      </x:c>
      <x:c r="W669" s="58" t="str">
        <x:v>Pasted text(59).txt</x:v>
      </x:c>
    </x:row>
    <x:row r="670">
      <x:c r="A670" s="58" t="str">
        <x:v>S19</x:v>
      </x:c>
      <x:c r="B670" s="58" t="str">
        <x:v>1.20 repeat-validation session at 268 Hz</x:v>
      </x:c>
      <x:c r="C670" s="58" t="n">
        <x:v>1.2</x:v>
      </x:c>
      <x:c r="D670" s="58" t="n">
        <x:v>4</x:v>
      </x:c>
      <x:c r="E670" s="58" t="str">
        <x:v>PASS</x:v>
      </x:c>
      <x:c r="F670" s="58" t="n">
        <x:v>1</x:v>
      </x:c>
      <x:c r="G670" s="58" t="n">
        <x:v>9</x:v>
      </x:c>
      <x:c r="H670" s="59" t="n">
        <x:v>11.75</x:v>
      </x:c>
      <x:c r="I670" s="59" t="n">
        <x:v>1.20058</x:v>
      </x:c>
      <x:c r="J670" s="59" t="n">
        <x:v>1.20086</x:v>
      </x:c>
      <x:c r="K670" s="59" t="n">
        <x:v>0.44285</x:v>
      </x:c>
      <x:c r="L670" s="59" t="n">
        <x:v>0.42315</x:v>
      </x:c>
      <x:c r="M670" s="59" t="n">
        <x:v>1.3489</x:v>
      </x:c>
      <x:c r="N670" s="60" t="n">
        <x:v>0.05</x:v>
      </x:c>
      <x:c r="O670" s="60" t="n">
        <x:v>1.96</x:v>
      </x:c>
      <x:c r="P670" s="60" t="n">
        <x:v>1.36</x:v>
      </x:c>
      <x:c r="Q670" s="60" t="n">
        <x:v>89</x:v>
      </x:c>
      <x:c r="R670" s="58" t="str">
        <x:v>X</x:v>
      </x:c>
      <x:c r="S670" s="60" t="n">
        <x:v>100</x:v>
      </x:c>
      <x:c r="T670" s="58" t="str">
        <x:v>IN TARGET BAND</x:v>
      </x:c>
      <x:c r="U670" s="58" t="str">
        <x:v>Yes</x:v>
      </x:c>
      <x:c r="V670" s="58" t="n">
        <x:v>3246</x:v>
      </x:c>
      <x:c r="W670" s="58" t="str">
        <x:v>Pasted text(59).txt</x:v>
      </x:c>
    </x:row>
    <x:row r="671">
      <x:c r="A671" s="58" t="str">
        <x:v>S19</x:v>
      </x:c>
      <x:c r="B671" s="58" t="str">
        <x:v>1.20 repeat-validation session at 268 Hz</x:v>
      </x:c>
      <x:c r="C671" s="58" t="n">
        <x:v>1.2</x:v>
      </x:c>
      <x:c r="D671" s="58" t="n">
        <x:v>4</x:v>
      </x:c>
      <x:c r="E671" s="58" t="str">
        <x:v>PASS</x:v>
      </x:c>
      <x:c r="F671" s="58" t="n">
        <x:v>1</x:v>
      </x:c>
      <x:c r="G671" s="58" t="n">
        <x:v>10</x:v>
      </x:c>
      <x:c r="H671" s="59" t="n">
        <x:v>11.75</x:v>
      </x:c>
      <x:c r="I671" s="59" t="n">
        <x:v>1.18744</x:v>
      </x:c>
      <x:c r="J671" s="59" t="n">
        <x:v>1.1899</x:v>
      </x:c>
      <x:c r="K671" s="59" t="n">
        <x:v>0.42431</x:v>
      </x:c>
      <x:c r="L671" s="59" t="n">
        <x:v>0.4561</x:v>
      </x:c>
      <x:c r="M671" s="59" t="n">
        <x:v>1.34324</x:v>
      </x:c>
      <x:c r="N671" s="60" t="n">
        <x:v>-1.05</x:v>
      </x:c>
      <x:c r="O671" s="60" t="n">
        <x:v>1.95</x:v>
      </x:c>
      <x:c r="P671" s="60" t="n">
        <x:v>1.64</x:v>
      </x:c>
      <x:c r="Q671" s="60" t="n">
        <x:v>89.3</x:v>
      </x:c>
      <x:c r="R671" s="58" t="str">
        <x:v>X</x:v>
      </x:c>
      <x:c r="S671" s="60" t="n">
        <x:v>100</x:v>
      </x:c>
      <x:c r="T671" s="58" t="str">
        <x:v>IN TARGET BAND</x:v>
      </x:c>
      <x:c r="U671" s="58" t="str">
        <x:v>Yes</x:v>
      </x:c>
      <x:c r="V671" s="58" t="n">
        <x:v>3247</x:v>
      </x:c>
      <x:c r="W671" s="58" t="str">
        <x:v>Pasted text(59).txt</x:v>
      </x:c>
    </x:row>
    <x:row r="672">
      <x:c r="A672" s="58" t="str">
        <x:v>S19</x:v>
      </x:c>
      <x:c r="B672" s="58" t="str">
        <x:v>1.20 repeat-validation session at 268 Hz</x:v>
      </x:c>
      <x:c r="C672" s="58" t="n">
        <x:v>1.2</x:v>
      </x:c>
      <x:c r="D672" s="58" t="n">
        <x:v>5</x:v>
      </x:c>
      <x:c r="E672" s="58" t="str">
        <x:v>PASS</x:v>
      </x:c>
      <x:c r="F672" s="58" t="n">
        <x:v>1</x:v>
      </x:c>
      <x:c r="G672" s="58" t="n">
        <x:v>1</x:v>
      </x:c>
      <x:c r="H672" s="59" t="n">
        <x:v>12.25</x:v>
      </x:c>
      <x:c r="I672" s="59" t="n">
        <x:v>1.18815</x:v>
      </x:c>
      <x:c r="J672" s="59" t="n">
        <x:v>1.19855</x:v>
      </x:c>
      <x:c r="K672" s="59" t="n">
        <x:v>0.4113</x:v>
      </x:c>
      <x:c r="L672" s="59" t="n">
        <x:v>0.46914</x:v>
      </x:c>
      <x:c r="M672" s="59" t="n">
        <x:v>1.35144</x:v>
      </x:c>
      <x:c r="N672" s="60" t="n">
        <x:v>-0.99</x:v>
      </x:c>
      <x:c r="O672" s="60" t="n">
        <x:v>0.01</x:v>
      </x:c>
      <x:c r="P672" s="60" t="n">
        <x:v>1.51</x:v>
      </x:c>
      <x:c r="Q672" s="60" t="n">
        <x:v>91.2</x:v>
      </x:c>
      <x:c r="R672" s="58" t="str">
        <x:v>X</x:v>
      </x:c>
      <x:c r="S672" s="60" t="n">
        <x:v>100</x:v>
      </x:c>
      <x:c r="T672" s="58" t="str">
        <x:v>IN TARGET BAND</x:v>
      </x:c>
      <x:c r="U672" s="58" t="str">
        <x:v>Yes</x:v>
      </x:c>
      <x:c r="V672" s="58" t="n">
        <x:v>3322</x:v>
      </x:c>
      <x:c r="W672" s="58" t="str">
        <x:v>Pasted text(59).txt</x:v>
      </x:c>
    </x:row>
    <x:row r="673">
      <x:c r="A673" s="58" t="str">
        <x:v>S19</x:v>
      </x:c>
      <x:c r="B673" s="58" t="str">
        <x:v>1.20 repeat-validation session at 268 Hz</x:v>
      </x:c>
      <x:c r="C673" s="58" t="n">
        <x:v>1.2</x:v>
      </x:c>
      <x:c r="D673" s="58" t="n">
        <x:v>5</x:v>
      </x:c>
      <x:c r="E673" s="58" t="str">
        <x:v>PASS</x:v>
      </x:c>
      <x:c r="F673" s="58" t="n">
        <x:v>1</x:v>
      </x:c>
      <x:c r="G673" s="58" t="n">
        <x:v>2</x:v>
      </x:c>
      <x:c r="H673" s="59" t="n">
        <x:v>12.25</x:v>
      </x:c>
      <x:c r="I673" s="59" t="n">
        <x:v>1.14489</x:v>
      </x:c>
      <x:c r="J673" s="59" t="n">
        <x:v>1.15624</x:v>
      </x:c>
      <x:c r="K673" s="59" t="n">
        <x:v>0.39988</x:v>
      </x:c>
      <x:c r="L673" s="59" t="n">
        <x:v>0.46712</x:v>
      </x:c>
      <x:c r="M673" s="59" t="n">
        <x:v>1.30985</x:v>
      </x:c>
      <x:c r="N673" s="60" t="n">
        <x:v>-4.59</x:v>
      </x:c>
      <x:c r="O673" s="60" t="n">
        <x:v>0.71</x:v>
      </x:c>
      <x:c r="P673" s="60" t="n">
        <x:v>2.12</x:v>
      </x:c>
      <x:c r="Q673" s="60" t="n">
        <x:v>90.4</x:v>
      </x:c>
      <x:c r="R673" s="58" t="str">
        <x:v>X</x:v>
      </x:c>
      <x:c r="S673" s="60" t="n">
        <x:v>100</x:v>
      </x:c>
      <x:c r="T673" s="58" t="str">
        <x:v>IN TARGET BAND</x:v>
      </x:c>
      <x:c r="U673" s="58" t="str">
        <x:v>Yes</x:v>
      </x:c>
      <x:c r="V673" s="58" t="n">
        <x:v>3323</x:v>
      </x:c>
      <x:c r="W673" s="58" t="str">
        <x:v>Pasted text(59).txt</x:v>
      </x:c>
    </x:row>
    <x:row r="674">
      <x:c r="A674" s="58" t="str">
        <x:v>S19</x:v>
      </x:c>
      <x:c r="B674" s="58" t="str">
        <x:v>1.20 repeat-validation session at 268 Hz</x:v>
      </x:c>
      <x:c r="C674" s="58" t="n">
        <x:v>1.2</x:v>
      </x:c>
      <x:c r="D674" s="58" t="n">
        <x:v>5</x:v>
      </x:c>
      <x:c r="E674" s="58" t="str">
        <x:v>PASS</x:v>
      </x:c>
      <x:c r="F674" s="58" t="n">
        <x:v>1</x:v>
      </x:c>
      <x:c r="G674" s="58" t="n">
        <x:v>3</x:v>
      </x:c>
      <x:c r="H674" s="59" t="n">
        <x:v>12.25</x:v>
      </x:c>
      <x:c r="I674" s="59" t="n">
        <x:v>1.17441</x:v>
      </x:c>
      <x:c r="J674" s="59" t="n">
        <x:v>1.17431</x:v>
      </x:c>
      <x:c r="K674" s="59" t="n">
        <x:v>0.41845</x:v>
      </x:c>
      <x:c r="L674" s="59" t="n">
        <x:v>0.48408</x:v>
      </x:c>
      <x:c r="M674" s="59" t="n">
        <x:v>1.33744</x:v>
      </x:c>
      <x:c r="N674" s="60" t="n">
        <x:v>-2.13</x:v>
      </x:c>
      <x:c r="O674" s="60" t="n">
        <x:v>0.93</x:v>
      </x:c>
      <x:c r="P674" s="60" t="n">
        <x:v>0.64</x:v>
      </x:c>
      <x:c r="Q674" s="60" t="n">
        <x:v>90.9</x:v>
      </x:c>
      <x:c r="R674" s="58" t="str">
        <x:v>X</x:v>
      </x:c>
      <x:c r="S674" s="60" t="n">
        <x:v>100</x:v>
      </x:c>
      <x:c r="T674" s="58" t="str">
        <x:v>IN TARGET BAND</x:v>
      </x:c>
      <x:c r="U674" s="58" t="str">
        <x:v>Yes</x:v>
      </x:c>
      <x:c r="V674" s="58" t="n">
        <x:v>3324</x:v>
      </x:c>
      <x:c r="W674" s="58" t="str">
        <x:v>Pasted text(59).txt</x:v>
      </x:c>
    </x:row>
    <x:row r="675">
      <x:c r="A675" s="58" t="str">
        <x:v>S19</x:v>
      </x:c>
      <x:c r="B675" s="58" t="str">
        <x:v>1.20 repeat-validation session at 268 Hz</x:v>
      </x:c>
      <x:c r="C675" s="58" t="n">
        <x:v>1.2</x:v>
      </x:c>
      <x:c r="D675" s="58" t="n">
        <x:v>5</x:v>
      </x:c>
      <x:c r="E675" s="58" t="str">
        <x:v>PASS</x:v>
      </x:c>
      <x:c r="F675" s="58" t="n">
        <x:v>1</x:v>
      </x:c>
      <x:c r="G675" s="58" t="n">
        <x:v>4</x:v>
      </x:c>
      <x:c r="H675" s="59" t="n">
        <x:v>12.25</x:v>
      </x:c>
      <x:c r="I675" s="59" t="n">
        <x:v>1.16752</x:v>
      </x:c>
      <x:c r="J675" s="59" t="n">
        <x:v>1.18708</x:v>
      </x:c>
      <x:c r="K675" s="59" t="n">
        <x:v>0.41028</x:v>
      </x:c>
      <x:c r="L675" s="59" t="n">
        <x:v>0.4519</x:v>
      </x:c>
      <x:c r="M675" s="59" t="n">
        <x:v>1.33504</x:v>
      </x:c>
      <x:c r="N675" s="60" t="n">
        <x:v>-2.71</x:v>
      </x:c>
      <x:c r="O675" s="60" t="n">
        <x:v>0.73</x:v>
      </x:c>
      <x:c r="P675" s="60" t="n">
        <x:v>3.28</x:v>
      </x:c>
      <x:c r="Q675" s="60" t="n">
        <x:v>90.6</x:v>
      </x:c>
      <x:c r="R675" s="58" t="str">
        <x:v>X</x:v>
      </x:c>
      <x:c r="S675" s="60" t="n">
        <x:v>100</x:v>
      </x:c>
      <x:c r="T675" s="58" t="str">
        <x:v>IN TARGET BAND</x:v>
      </x:c>
      <x:c r="U675" s="58" t="str">
        <x:v>Yes</x:v>
      </x:c>
      <x:c r="V675" s="58" t="n">
        <x:v>3325</x:v>
      </x:c>
      <x:c r="W675" s="58" t="str">
        <x:v>Pasted text(59).txt</x:v>
      </x:c>
    </x:row>
    <x:row r="676">
      <x:c r="A676" s="58" t="str">
        <x:v>S19</x:v>
      </x:c>
      <x:c r="B676" s="58" t="str">
        <x:v>1.20 repeat-validation session at 268 Hz</x:v>
      </x:c>
      <x:c r="C676" s="58" t="n">
        <x:v>1.2</x:v>
      </x:c>
      <x:c r="D676" s="58" t="n">
        <x:v>5</x:v>
      </x:c>
      <x:c r="E676" s="58" t="str">
        <x:v>PASS</x:v>
      </x:c>
      <x:c r="F676" s="58" t="n">
        <x:v>1</x:v>
      </x:c>
      <x:c r="G676" s="58" t="n">
        <x:v>5</x:v>
      </x:c>
      <x:c r="H676" s="59" t="n">
        <x:v>12.25</x:v>
      </x:c>
      <x:c r="I676" s="59" t="n">
        <x:v>1.18616</x:v>
      </x:c>
      <x:c r="J676" s="59" t="n">
        <x:v>1.1841</x:v>
      </x:c>
      <x:c r="K676" s="59" t="n">
        <x:v>0.41</x:v>
      </x:c>
      <x:c r="L676" s="59" t="n">
        <x:v>0.4699</x:v>
      </x:c>
      <x:c r="M676" s="59" t="n">
        <x:v>1.33852</x:v>
      </x:c>
      <x:c r="N676" s="60" t="n">
        <x:v>-1.15</x:v>
      </x:c>
      <x:c r="O676" s="60" t="n">
        <x:v>2.79</x:v>
      </x:c>
      <x:c r="P676" s="60" t="n">
        <x:v>2.15</x:v>
      </x:c>
      <x:c r="Q676" s="60" t="n">
        <x:v>90.7</x:v>
      </x:c>
      <x:c r="R676" s="58" t="str">
        <x:v>X</x:v>
      </x:c>
      <x:c r="S676" s="60" t="n">
        <x:v>100</x:v>
      </x:c>
      <x:c r="T676" s="58" t="str">
        <x:v>IN TARGET BAND</x:v>
      </x:c>
      <x:c r="U676" s="58" t="str">
        <x:v>Yes</x:v>
      </x:c>
      <x:c r="V676" s="58" t="n">
        <x:v>3326</x:v>
      </x:c>
      <x:c r="W676" s="58" t="str">
        <x:v>Pasted text(59).txt</x:v>
      </x:c>
    </x:row>
    <x:row r="677">
      <x:c r="A677" s="58" t="str">
        <x:v>S19</x:v>
      </x:c>
      <x:c r="B677" s="58" t="str">
        <x:v>1.20 repeat-validation session at 268 Hz</x:v>
      </x:c>
      <x:c r="C677" s="58" t="n">
        <x:v>1.2</x:v>
      </x:c>
      <x:c r="D677" s="58" t="n">
        <x:v>5</x:v>
      </x:c>
      <x:c r="E677" s="58" t="str">
        <x:v>PASS</x:v>
      </x:c>
      <x:c r="F677" s="58" t="n">
        <x:v>1</x:v>
      </x:c>
      <x:c r="G677" s="58" t="n">
        <x:v>6</x:v>
      </x:c>
      <x:c r="H677" s="59" t="n">
        <x:v>12.25</x:v>
      </x:c>
      <x:c r="I677" s="59" t="n">
        <x:v>1.19001</x:v>
      </x:c>
      <x:c r="J677" s="59" t="n">
        <x:v>1.20009</x:v>
      </x:c>
      <x:c r="K677" s="59" t="n">
        <x:v>0.42628</x:v>
      </x:c>
      <x:c r="L677" s="59" t="n">
        <x:v>0.4707</x:v>
      </x:c>
      <x:c r="M677" s="59" t="n">
        <x:v>1.3579</x:v>
      </x:c>
      <x:c r="N677" s="60" t="n">
        <x:v>-0.83</x:v>
      </x:c>
      <x:c r="O677" s="60" t="n">
        <x:v>2.73</x:v>
      </x:c>
      <x:c r="P677" s="60" t="n">
        <x:v>3.17</x:v>
      </x:c>
      <x:c r="Q677" s="60" t="n">
        <x:v>91.3</x:v>
      </x:c>
      <x:c r="R677" s="58" t="str">
        <x:v>X</x:v>
      </x:c>
      <x:c r="S677" s="60" t="n">
        <x:v>100</x:v>
      </x:c>
      <x:c r="T677" s="58" t="str">
        <x:v>IN TARGET BAND</x:v>
      </x:c>
      <x:c r="U677" s="58" t="str">
        <x:v>Yes</x:v>
      </x:c>
      <x:c r="V677" s="58" t="n">
        <x:v>3327</x:v>
      </x:c>
      <x:c r="W677" s="58" t="str">
        <x:v>Pasted text(59).txt</x:v>
      </x:c>
    </x:row>
    <x:row r="678">
      <x:c r="A678" s="58" t="str">
        <x:v>S19</x:v>
      </x:c>
      <x:c r="B678" s="58" t="str">
        <x:v>1.20 repeat-validation session at 268 Hz</x:v>
      </x:c>
      <x:c r="C678" s="58" t="n">
        <x:v>1.2</x:v>
      </x:c>
      <x:c r="D678" s="58" t="n">
        <x:v>5</x:v>
      </x:c>
      <x:c r="E678" s="58" t="str">
        <x:v>PASS</x:v>
      </x:c>
      <x:c r="F678" s="58" t="n">
        <x:v>1</x:v>
      </x:c>
      <x:c r="G678" s="58" t="n">
        <x:v>7</x:v>
      </x:c>
      <x:c r="H678" s="59" t="n">
        <x:v>12.25</x:v>
      </x:c>
      <x:c r="I678" s="59" t="n">
        <x:v>1.21251</x:v>
      </x:c>
      <x:c r="J678" s="59" t="n">
        <x:v>1.21064</x:v>
      </x:c>
      <x:c r="K678" s="59" t="n">
        <x:v>0.43944</x:v>
      </x:c>
      <x:c r="L678" s="59" t="n">
        <x:v>0.47358</x:v>
      </x:c>
      <x:c r="M678" s="59" t="n">
        <x:v>1.37236</x:v>
      </x:c>
      <x:c r="N678" s="60" t="n">
        <x:v>1.04</x:v>
      </x:c>
      <x:c r="O678" s="60" t="n">
        <x:v>1.04</x:v>
      </x:c>
      <x:c r="P678" s="60" t="n">
        <x:v>0.94</x:v>
      </x:c>
      <x:c r="Q678" s="60" t="n">
        <x:v>91.7</x:v>
      </x:c>
      <x:c r="R678" s="58" t="str">
        <x:v>X</x:v>
      </x:c>
      <x:c r="S678" s="60" t="n">
        <x:v>100</x:v>
      </x:c>
      <x:c r="T678" s="58" t="str">
        <x:v>IN TARGET BAND</x:v>
      </x:c>
      <x:c r="U678" s="58" t="str">
        <x:v>Yes</x:v>
      </x:c>
      <x:c r="V678" s="58" t="n">
        <x:v>3328</x:v>
      </x:c>
      <x:c r="W678" s="58" t="str">
        <x:v>Pasted text(59).txt</x:v>
      </x:c>
    </x:row>
    <x:row r="679">
      <x:c r="A679" s="58" t="str">
        <x:v>S19</x:v>
      </x:c>
      <x:c r="B679" s="58" t="str">
        <x:v>1.20 repeat-validation session at 268 Hz</x:v>
      </x:c>
      <x:c r="C679" s="58" t="n">
        <x:v>1.2</x:v>
      </x:c>
      <x:c r="D679" s="58" t="n">
        <x:v>5</x:v>
      </x:c>
      <x:c r="E679" s="58" t="str">
        <x:v>PASS</x:v>
      </x:c>
      <x:c r="F679" s="58" t="n">
        <x:v>1</x:v>
      </x:c>
      <x:c r="G679" s="58" t="n">
        <x:v>8</x:v>
      </x:c>
      <x:c r="H679" s="59" t="n">
        <x:v>12.25</x:v>
      </x:c>
      <x:c r="I679" s="59" t="n">
        <x:v>1.23034</x:v>
      </x:c>
      <x:c r="J679" s="59" t="n">
        <x:v>1.22176</x:v>
      </x:c>
      <x:c r="K679" s="59" t="n">
        <x:v>0.41937</x:v>
      </x:c>
      <x:c r="L679" s="59" t="n">
        <x:v>0.48177</x:v>
      </x:c>
      <x:c r="M679" s="59" t="n">
        <x:v>1.37868</x:v>
      </x:c>
      <x:c r="N679" s="60" t="n">
        <x:v>2.53</x:v>
      </x:c>
      <x:c r="O679" s="60" t="n">
        <x:v>0.77</x:v>
      </x:c>
      <x:c r="P679" s="60" t="n">
        <x:v>1.69</x:v>
      </x:c>
      <x:c r="Q679" s="60" t="n">
        <x:v>92</x:v>
      </x:c>
      <x:c r="R679" s="58" t="str">
        <x:v>X</x:v>
      </x:c>
      <x:c r="S679" s="60" t="n">
        <x:v>100</x:v>
      </x:c>
      <x:c r="T679" s="58" t="str">
        <x:v>IN TARGET BAND</x:v>
      </x:c>
      <x:c r="U679" s="58" t="str">
        <x:v>Yes</x:v>
      </x:c>
      <x:c r="V679" s="58" t="n">
        <x:v>3329</x:v>
      </x:c>
      <x:c r="W679" s="58" t="str">
        <x:v>Pasted text(59).txt</x:v>
      </x:c>
    </x:row>
    <x:row r="680">
      <x:c r="A680" s="58" t="str">
        <x:v>S19</x:v>
      </x:c>
      <x:c r="B680" s="58" t="str">
        <x:v>1.20 repeat-validation session at 268 Hz</x:v>
      </x:c>
      <x:c r="C680" s="58" t="n">
        <x:v>1.2</x:v>
      </x:c>
      <x:c r="D680" s="58" t="n">
        <x:v>5</x:v>
      </x:c>
      <x:c r="E680" s="58" t="str">
        <x:v>PASS</x:v>
      </x:c>
      <x:c r="F680" s="58" t="n">
        <x:v>1</x:v>
      </x:c>
      <x:c r="G680" s="58" t="n">
        <x:v>9</x:v>
      </x:c>
      <x:c r="H680" s="59" t="n">
        <x:v>12.25</x:v>
      </x:c>
      <x:c r="I680" s="59" t="n">
        <x:v>1.22395</x:v>
      </x:c>
      <x:c r="J680" s="59" t="n">
        <x:v>1.22767</x:v>
      </x:c>
      <x:c r="K680" s="59" t="n">
        <x:v>0.42078</x:v>
      </x:c>
      <x:c r="L680" s="59" t="n">
        <x:v>0.48106</x:v>
      </x:c>
      <x:c r="M680" s="59" t="n">
        <x:v>1.38443</x:v>
      </x:c>
      <x:c r="N680" s="60" t="n">
        <x:v>2</x:v>
      </x:c>
      <x:c r="O680" s="60" t="n">
        <x:v>1.32</x:v>
      </x:c>
      <x:c r="P680" s="60" t="n">
        <x:v>1.37</x:v>
      </x:c>
      <x:c r="Q680" s="60" t="n">
        <x:v>91.9</x:v>
      </x:c>
      <x:c r="R680" s="58" t="str">
        <x:v>X</x:v>
      </x:c>
      <x:c r="S680" s="60" t="n">
        <x:v>100</x:v>
      </x:c>
      <x:c r="T680" s="58" t="str">
        <x:v>IN TARGET BAND</x:v>
      </x:c>
      <x:c r="U680" s="58" t="str">
        <x:v>Yes</x:v>
      </x:c>
      <x:c r="V680" s="58" t="n">
        <x:v>3330</x:v>
      </x:c>
      <x:c r="W680" s="58" t="str">
        <x:v>Pasted text(59).txt</x:v>
      </x:c>
    </x:row>
    <x:row r="681">
      <x:c r="A681" s="58" t="str">
        <x:v>S19</x:v>
      </x:c>
      <x:c r="B681" s="58" t="str">
        <x:v>1.20 repeat-validation session at 268 Hz</x:v>
      </x:c>
      <x:c r="C681" s="58" t="n">
        <x:v>1.2</x:v>
      </x:c>
      <x:c r="D681" s="58" t="n">
        <x:v>5</x:v>
      </x:c>
      <x:c r="E681" s="58" t="str">
        <x:v>PASS</x:v>
      </x:c>
      <x:c r="F681" s="58" t="n">
        <x:v>1</x:v>
      </x:c>
      <x:c r="G681" s="58" t="n">
        <x:v>10</x:v>
      </x:c>
      <x:c r="H681" s="59" t="n">
        <x:v>12.25</x:v>
      </x:c>
      <x:c r="I681" s="59" t="n">
        <x:v>1.19786</x:v>
      </x:c>
      <x:c r="J681" s="59" t="n">
        <x:v>1.20646</x:v>
      </x:c>
      <x:c r="K681" s="59" t="n">
        <x:v>0.412</x:v>
      </x:c>
      <x:c r="L681" s="59" t="n">
        <x:v>0.47942</x:v>
      </x:c>
      <x:c r="M681" s="59" t="n">
        <x:v>1.36266</x:v>
      </x:c>
      <x:c r="N681" s="60" t="n">
        <x:v>-0.18</x:v>
      </x:c>
      <x:c r="O681" s="60" t="n">
        <x:v>0.24</x:v>
      </x:c>
      <x:c r="P681" s="60" t="n">
        <x:v>1.38</x:v>
      </x:c>
      <x:c r="Q681" s="60" t="n">
        <x:v>90.9</x:v>
      </x:c>
      <x:c r="R681" s="58" t="str">
        <x:v>X</x:v>
      </x:c>
      <x:c r="S681" s="60" t="n">
        <x:v>100</x:v>
      </x:c>
      <x:c r="T681" s="58" t="str">
        <x:v>IN TARGET BAND</x:v>
      </x:c>
      <x:c r="U681" s="58" t="str">
        <x:v>Yes</x:v>
      </x:c>
      <x:c r="V681" s="58" t="n">
        <x:v>3331</x:v>
      </x:c>
      <x:c r="W681" s="58" t="str">
        <x:v>Pasted text(59).txt</x:v>
      </x:c>
    </x:row>
    <x:row r="682">
      <x:c r="A682" s="58" t="str">
        <x:v>S20</x:v>
      </x:c>
      <x:c r="B682" s="58" t="str">
        <x:v>0.65 repeat-validation session at 268 Hz</x:v>
      </x:c>
      <x:c r="C682" s="58" t="n">
        <x:v>0.65</x:v>
      </x:c>
      <x:c r="D682" s="58" t="n">
        <x:v>1</x:v>
      </x:c>
      <x:c r="E682" s="58" t="str">
        <x:v>PASS</x:v>
      </x:c>
      <x:c r="F682" s="58" t="n">
        <x:v>1</x:v>
      </x:c>
      <x:c r="G682" s="58" t="n">
        <x:v>1</x:v>
      </x:c>
      <x:c r="H682" s="59" t="n">
        <x:v>8</x:v>
      </x:c>
      <x:c r="I682" s="59" t="n">
        <x:v>0.69756</x:v>
      </x:c>
      <x:c r="J682" s="59" t="n">
        <x:v>0.67496</x:v>
      </x:c>
      <x:c r="K682" s="59" t="n">
        <x:v>0.19959</x:v>
      </x:c>
      <x:c r="L682" s="59" t="n">
        <x:v>0.3235</x:v>
      </x:c>
      <x:c r="M682" s="59" t="n">
        <x:v>0.77503</x:v>
      </x:c>
      <x:c r="N682" s="60" t="n">
        <x:v>7.32</x:v>
      </x:c>
      <x:c r="O682" s="60" t="n">
        <x:v>0.94</x:v>
      </x:c>
      <x:c r="P682" s="60" t="n">
        <x:v>6.37</x:v>
      </x:c>
      <x:c r="Q682" s="60" t="n">
        <x:v>84</x:v>
      </x:c>
      <x:c r="R682" s="58" t="str">
        <x:v>X</x:v>
      </x:c>
      <x:c r="S682" s="60" t="n">
        <x:v>100</x:v>
      </x:c>
      <x:c r="T682" s="58" t="str">
        <x:v>IN TARGET BAND</x:v>
      </x:c>
      <x:c r="U682" s="58" t="str">
        <x:v>Yes</x:v>
      </x:c>
      <x:c r="V682" s="58" t="n">
        <x:v>3441</x:v>
      </x:c>
      <x:c r="W682" s="58" t="str">
        <x:v>Pasted text(59).txt</x:v>
      </x:c>
    </x:row>
    <x:row r="683">
      <x:c r="A683" s="58" t="str">
        <x:v>S20</x:v>
      </x:c>
      <x:c r="B683" s="58" t="str">
        <x:v>0.65 repeat-validation session at 268 Hz</x:v>
      </x:c>
      <x:c r="C683" s="58" t="n">
        <x:v>0.65</x:v>
      </x:c>
      <x:c r="D683" s="58" t="n">
        <x:v>1</x:v>
      </x:c>
      <x:c r="E683" s="58" t="str">
        <x:v>PASS</x:v>
      </x:c>
      <x:c r="F683" s="58" t="n">
        <x:v>1</x:v>
      </x:c>
      <x:c r="G683" s="58" t="n">
        <x:v>2</x:v>
      </x:c>
      <x:c r="H683" s="59" t="n">
        <x:v>8</x:v>
      </x:c>
      <x:c r="I683" s="59" t="n">
        <x:v>0.67276</x:v>
      </x:c>
      <x:c r="J683" s="59" t="n">
        <x:v>0.67204</x:v>
      </x:c>
      <x:c r="K683" s="59" t="n">
        <x:v>0.19886</x:v>
      </x:c>
      <x:c r="L683" s="59" t="n">
        <x:v>0.32443</x:v>
      </x:c>
      <x:c r="M683" s="59" t="n">
        <x:v>0.77269</x:v>
      </x:c>
      <x:c r="N683" s="60" t="n">
        <x:v>3.5</x:v>
      </x:c>
      <x:c r="O683" s="60" t="n">
        <x:v>1.45</x:v>
      </x:c>
      <x:c r="P683" s="60" t="n">
        <x:v>1.15</x:v>
      </x:c>
      <x:c r="Q683" s="60" t="n">
        <x:v>84.3</x:v>
      </x:c>
      <x:c r="R683" s="58" t="str">
        <x:v>X</x:v>
      </x:c>
      <x:c r="S683" s="60" t="n">
        <x:v>100</x:v>
      </x:c>
      <x:c r="T683" s="58" t="str">
        <x:v>IN TARGET BAND</x:v>
      </x:c>
      <x:c r="U683" s="58" t="str">
        <x:v>Yes</x:v>
      </x:c>
      <x:c r="V683" s="58" t="n">
        <x:v>3442</x:v>
      </x:c>
      <x:c r="W683" s="58" t="str">
        <x:v>Pasted text(59).txt</x:v>
      </x:c>
    </x:row>
    <x:row r="684">
      <x:c r="A684" s="58" t="str">
        <x:v>S20</x:v>
      </x:c>
      <x:c r="B684" s="58" t="str">
        <x:v>0.65 repeat-validation session at 268 Hz</x:v>
      </x:c>
      <x:c r="C684" s="58" t="n">
        <x:v>0.65</x:v>
      </x:c>
      <x:c r="D684" s="58" t="n">
        <x:v>1</x:v>
      </x:c>
      <x:c r="E684" s="58" t="str">
        <x:v>PASS</x:v>
      </x:c>
      <x:c r="F684" s="58" t="n">
        <x:v>1</x:v>
      </x:c>
      <x:c r="G684" s="58" t="n">
        <x:v>3</x:v>
      </x:c>
      <x:c r="H684" s="59" t="n">
        <x:v>8</x:v>
      </x:c>
      <x:c r="I684" s="59" t="n">
        <x:v>0.69184</x:v>
      </x:c>
      <x:c r="J684" s="59" t="n">
        <x:v>0.68603</x:v>
      </x:c>
      <x:c r="K684" s="59" t="n">
        <x:v>0.18856</x:v>
      </x:c>
      <x:c r="L684" s="59" t="n">
        <x:v>0.33716</x:v>
      </x:c>
      <x:c r="M684" s="59" t="n">
        <x:v>0.78759</x:v>
      </x:c>
      <x:c r="N684" s="60" t="n">
        <x:v>6.44</x:v>
      </x:c>
      <x:c r="O684" s="60" t="n">
        <x:v>2.53</x:v>
      </x:c>
      <x:c r="P684" s="60" t="n">
        <x:v>3.08</x:v>
      </x:c>
      <x:c r="Q684" s="60" t="n">
        <x:v>83.4</x:v>
      </x:c>
      <x:c r="R684" s="58" t="str">
        <x:v>X</x:v>
      </x:c>
      <x:c r="S684" s="60" t="n">
        <x:v>100</x:v>
      </x:c>
      <x:c r="T684" s="58" t="str">
        <x:v>IN TARGET BAND</x:v>
      </x:c>
      <x:c r="U684" s="58" t="str">
        <x:v>Yes</x:v>
      </x:c>
      <x:c r="V684" s="58" t="n">
        <x:v>3443</x:v>
      </x:c>
      <x:c r="W684" s="58" t="str">
        <x:v>Pasted text(59).txt</x:v>
      </x:c>
    </x:row>
    <x:row r="685">
      <x:c r="A685" s="58" t="str">
        <x:v>S20</x:v>
      </x:c>
      <x:c r="B685" s="58" t="str">
        <x:v>0.65 repeat-validation session at 268 Hz</x:v>
      </x:c>
      <x:c r="C685" s="58" t="n">
        <x:v>0.65</x:v>
      </x:c>
      <x:c r="D685" s="58" t="n">
        <x:v>1</x:v>
      </x:c>
      <x:c r="E685" s="58" t="str">
        <x:v>PASS</x:v>
      </x:c>
      <x:c r="F685" s="58" t="n">
        <x:v>1</x:v>
      </x:c>
      <x:c r="G685" s="58" t="n">
        <x:v>4</x:v>
      </x:c>
      <x:c r="H685" s="59" t="n">
        <x:v>8</x:v>
      </x:c>
      <x:c r="I685" s="59" t="n">
        <x:v>0.67231</x:v>
      </x:c>
      <x:c r="J685" s="59" t="n">
        <x:v>0.67093</x:v>
      </x:c>
      <x:c r="K685" s="59" t="n">
        <x:v>0.21531</x:v>
      </x:c>
      <x:c r="L685" s="59" t="n">
        <x:v>0.33636</x:v>
      </x:c>
      <x:c r="M685" s="59" t="n">
        <x:v>0.78098</x:v>
      </x:c>
      <x:c r="N685" s="60" t="n">
        <x:v>3.43</x:v>
      </x:c>
      <x:c r="O685" s="60" t="n">
        <x:v>2.45</x:v>
      </x:c>
      <x:c r="P685" s="60" t="n">
        <x:v>1.97</x:v>
      </x:c>
      <x:c r="Q685" s="60" t="n">
        <x:v>81.4</x:v>
      </x:c>
      <x:c r="R685" s="58" t="str">
        <x:v>X</x:v>
      </x:c>
      <x:c r="S685" s="60" t="n">
        <x:v>100</x:v>
      </x:c>
      <x:c r="T685" s="58" t="str">
        <x:v>IN TARGET BAND</x:v>
      </x:c>
      <x:c r="U685" s="58" t="str">
        <x:v>Yes</x:v>
      </x:c>
      <x:c r="V685" s="58" t="n">
        <x:v>3444</x:v>
      </x:c>
      <x:c r="W685" s="58" t="str">
        <x:v>Pasted text(59).txt</x:v>
      </x:c>
    </x:row>
    <x:row r="686">
      <x:c r="A686" s="58" t="str">
        <x:v>S20</x:v>
      </x:c>
      <x:c r="B686" s="58" t="str">
        <x:v>0.65 repeat-validation session at 268 Hz</x:v>
      </x:c>
      <x:c r="C686" s="58" t="n">
        <x:v>0.65</x:v>
      </x:c>
      <x:c r="D686" s="58" t="n">
        <x:v>1</x:v>
      </x:c>
      <x:c r="E686" s="58" t="str">
        <x:v>PASS</x:v>
      </x:c>
      <x:c r="F686" s="58" t="n">
        <x:v>1</x:v>
      </x:c>
      <x:c r="G686" s="58" t="n">
        <x:v>5</x:v>
      </x:c>
      <x:c r="H686" s="59" t="n">
        <x:v>8</x:v>
      </x:c>
      <x:c r="I686" s="59" t="n">
        <x:v>0.70134</x:v>
      </x:c>
      <x:c r="J686" s="59" t="n">
        <x:v>0.69953</x:v>
      </x:c>
      <x:c r="K686" s="59" t="n">
        <x:v>0.24263</x:v>
      </x:c>
      <x:c r="L686" s="59" t="n">
        <x:v>0.35156</x:v>
      </x:c>
      <x:c r="M686" s="59" t="n">
        <x:v>0.82</x:v>
      </x:c>
      <x:c r="N686" s="60" t="n">
        <x:v>7.9</x:v>
      </x:c>
      <x:c r="O686" s="60" t="n">
        <x:v>0.85</x:v>
      </x:c>
      <x:c r="P686" s="60" t="n">
        <x:v>0.99</x:v>
      </x:c>
      <x:c r="Q686" s="60" t="n">
        <x:v>85.3</x:v>
      </x:c>
      <x:c r="R686" s="58" t="str">
        <x:v>X</x:v>
      </x:c>
      <x:c r="S686" s="60" t="n">
        <x:v>100</x:v>
      </x:c>
      <x:c r="T686" s="58" t="str">
        <x:v>VALID</x:v>
      </x:c>
      <x:c r="U686" s="58" t="str">
        <x:v>No</x:v>
      </x:c>
      <x:c r="V686" s="58" t="n">
        <x:v>3445</x:v>
      </x:c>
      <x:c r="W686" s="58" t="str">
        <x:v>Pasted text(59).txt</x:v>
      </x:c>
    </x:row>
    <x:row r="687">
      <x:c r="A687" s="58" t="str">
        <x:v>S20</x:v>
      </x:c>
      <x:c r="B687" s="58" t="str">
        <x:v>0.65 repeat-validation session at 268 Hz</x:v>
      </x:c>
      <x:c r="C687" s="58" t="n">
        <x:v>0.65</x:v>
      </x:c>
      <x:c r="D687" s="58" t="n">
        <x:v>1</x:v>
      </x:c>
      <x:c r="E687" s="58" t="str">
        <x:v>PASS</x:v>
      </x:c>
      <x:c r="F687" s="58" t="n">
        <x:v>1</x:v>
      </x:c>
      <x:c r="G687" s="58" t="n">
        <x:v>6</x:v>
      </x:c>
      <x:c r="H687" s="59" t="n">
        <x:v>8</x:v>
      </x:c>
      <x:c r="I687" s="59" t="n">
        <x:v>0.67707</x:v>
      </x:c>
      <x:c r="J687" s="59" t="n">
        <x:v>0.67781</x:v>
      </x:c>
      <x:c r="K687" s="59" t="n">
        <x:v>0.23182</x:v>
      </x:c>
      <x:c r="L687" s="59" t="n">
        <x:v>0.32979</x:v>
      </x:c>
      <x:c r="M687" s="59" t="n">
        <x:v>0.7889</x:v>
      </x:c>
      <x:c r="N687" s="60" t="n">
        <x:v>4.16</x:v>
      </x:c>
      <x:c r="O687" s="60" t="n">
        <x:v>2.48</x:v>
      </x:c>
      <x:c r="P687" s="60" t="n">
        <x:v>1.84</x:v>
      </x:c>
      <x:c r="Q687" s="60" t="n">
        <x:v>83.1</x:v>
      </x:c>
      <x:c r="R687" s="58" t="str">
        <x:v>X</x:v>
      </x:c>
      <x:c r="S687" s="60" t="n">
        <x:v>100</x:v>
      </x:c>
      <x:c r="T687" s="58" t="str">
        <x:v>IN TARGET BAND</x:v>
      </x:c>
      <x:c r="U687" s="58" t="str">
        <x:v>Yes</x:v>
      </x:c>
      <x:c r="V687" s="58" t="n">
        <x:v>3446</x:v>
      </x:c>
      <x:c r="W687" s="58" t="str">
        <x:v>Pasted text(59).txt</x:v>
      </x:c>
    </x:row>
    <x:row r="688">
      <x:c r="A688" s="58" t="str">
        <x:v>S20</x:v>
      </x:c>
      <x:c r="B688" s="58" t="str">
        <x:v>0.65 repeat-validation session at 268 Hz</x:v>
      </x:c>
      <x:c r="C688" s="58" t="n">
        <x:v>0.65</x:v>
      </x:c>
      <x:c r="D688" s="58" t="n">
        <x:v>1</x:v>
      </x:c>
      <x:c r="E688" s="58" t="str">
        <x:v>PASS</x:v>
      </x:c>
      <x:c r="F688" s="58" t="n">
        <x:v>1</x:v>
      </x:c>
      <x:c r="G688" s="58" t="n">
        <x:v>7</x:v>
      </x:c>
      <x:c r="H688" s="59" t="n">
        <x:v>8</x:v>
      </x:c>
      <x:c r="I688" s="59" t="n">
        <x:v>0.68057</x:v>
      </x:c>
      <x:c r="J688" s="59" t="n">
        <x:v>0.67519</x:v>
      </x:c>
      <x:c r="K688" s="59" t="n">
        <x:v>0.22894</x:v>
      </x:c>
      <x:c r="L688" s="59" t="n">
        <x:v>0.31224</x:v>
      </x:c>
      <x:c r="M688" s="59" t="n">
        <x:v>0.77833</x:v>
      </x:c>
      <x:c r="N688" s="60" t="n">
        <x:v>4.7</x:v>
      </x:c>
      <x:c r="O688" s="60" t="n">
        <x:v>1.83</x:v>
      </x:c>
      <x:c r="P688" s="60" t="n">
        <x:v>2.54</x:v>
      </x:c>
      <x:c r="Q688" s="60" t="n">
        <x:v>84</x:v>
      </x:c>
      <x:c r="R688" s="58" t="str">
        <x:v>X</x:v>
      </x:c>
      <x:c r="S688" s="60" t="n">
        <x:v>100</x:v>
      </x:c>
      <x:c r="T688" s="58" t="str">
        <x:v>IN TARGET BAND</x:v>
      </x:c>
      <x:c r="U688" s="58" t="str">
        <x:v>Yes</x:v>
      </x:c>
      <x:c r="V688" s="58" t="n">
        <x:v>3447</x:v>
      </x:c>
      <x:c r="W688" s="58" t="str">
        <x:v>Pasted text(59).txt</x:v>
      </x:c>
    </x:row>
    <x:row r="689">
      <x:c r="A689" s="58" t="str">
        <x:v>S20</x:v>
      </x:c>
      <x:c r="B689" s="58" t="str">
        <x:v>0.65 repeat-validation session at 268 Hz</x:v>
      </x:c>
      <x:c r="C689" s="58" t="n">
        <x:v>0.65</x:v>
      </x:c>
      <x:c r="D689" s="58" t="n">
        <x:v>1</x:v>
      </x:c>
      <x:c r="E689" s="58" t="str">
        <x:v>PASS</x:v>
      </x:c>
      <x:c r="F689" s="58" t="n">
        <x:v>1</x:v>
      </x:c>
      <x:c r="G689" s="58" t="n">
        <x:v>8</x:v>
      </x:c>
      <x:c r="H689" s="59" t="n">
        <x:v>8</x:v>
      </x:c>
      <x:c r="I689" s="59" t="n">
        <x:v>0.68458</x:v>
      </x:c>
      <x:c r="J689" s="59" t="n">
        <x:v>0.68128</x:v>
      </x:c>
      <x:c r="K689" s="59" t="n">
        <x:v>0.22584</x:v>
      </x:c>
      <x:c r="L689" s="59" t="n">
        <x:v>0.3497</x:v>
      </x:c>
      <x:c r="M689" s="59" t="n">
        <x:v>0.7986</x:v>
      </x:c>
      <x:c r="N689" s="60" t="n">
        <x:v>5.32</x:v>
      </x:c>
      <x:c r="O689" s="60" t="n">
        <x:v>0.73</x:v>
      </x:c>
      <x:c r="P689" s="60" t="n">
        <x:v>1.29</x:v>
      </x:c>
      <x:c r="Q689" s="60" t="n">
        <x:v>83.2</x:v>
      </x:c>
      <x:c r="R689" s="58" t="str">
        <x:v>X</x:v>
      </x:c>
      <x:c r="S689" s="60" t="n">
        <x:v>100</x:v>
      </x:c>
      <x:c r="T689" s="58" t="str">
        <x:v>IN TARGET BAND</x:v>
      </x:c>
      <x:c r="U689" s="58" t="str">
        <x:v>Yes</x:v>
      </x:c>
      <x:c r="V689" s="58" t="n">
        <x:v>3448</x:v>
      </x:c>
      <x:c r="W689" s="58" t="str">
        <x:v>Pasted text(59).txt</x:v>
      </x:c>
    </x:row>
    <x:row r="690">
      <x:c r="A690" s="58" t="str">
        <x:v>S20</x:v>
      </x:c>
      <x:c r="B690" s="58" t="str">
        <x:v>0.65 repeat-validation session at 268 Hz</x:v>
      </x:c>
      <x:c r="C690" s="58" t="n">
        <x:v>0.65</x:v>
      </x:c>
      <x:c r="D690" s="58" t="n">
        <x:v>1</x:v>
      </x:c>
      <x:c r="E690" s="58" t="str">
        <x:v>PASS</x:v>
      </x:c>
      <x:c r="F690" s="58" t="n">
        <x:v>1</x:v>
      </x:c>
      <x:c r="G690" s="58" t="n">
        <x:v>9</x:v>
      </x:c>
      <x:c r="H690" s="59" t="n">
        <x:v>8</x:v>
      </x:c>
      <x:c r="I690" s="59" t="n">
        <x:v>0.69494</x:v>
      </x:c>
      <x:c r="J690" s="59" t="n">
        <x:v>0.69267</x:v>
      </x:c>
      <x:c r="K690" s="59" t="n">
        <x:v>0.20615</x:v>
      </x:c>
      <x:c r="L690" s="59" t="n">
        <x:v>0.34326</x:v>
      </x:c>
      <x:c r="M690" s="59" t="n">
        <x:v>0.80021</x:v>
      </x:c>
      <x:c r="N690" s="60" t="n">
        <x:v>6.91</x:v>
      </x:c>
      <x:c r="O690" s="60" t="n">
        <x:v>4.23</x:v>
      </x:c>
      <x:c r="P690" s="60" t="n">
        <x:v>3.37</x:v>
      </x:c>
      <x:c r="Q690" s="60" t="n">
        <x:v>84.7</x:v>
      </x:c>
      <x:c r="R690" s="58" t="str">
        <x:v>X</x:v>
      </x:c>
      <x:c r="S690" s="60" t="n">
        <x:v>100</x:v>
      </x:c>
      <x:c r="T690" s="58" t="str">
        <x:v>IN TARGET BAND</x:v>
      </x:c>
      <x:c r="U690" s="58" t="str">
        <x:v>Yes</x:v>
      </x:c>
      <x:c r="V690" s="58" t="n">
        <x:v>3449</x:v>
      </x:c>
      <x:c r="W690" s="58" t="str">
        <x:v>Pasted text(59).txt</x:v>
      </x:c>
    </x:row>
    <x:row r="691">
      <x:c r="A691" s="58" t="str">
        <x:v>S20</x:v>
      </x:c>
      <x:c r="B691" s="58" t="str">
        <x:v>0.65 repeat-validation session at 268 Hz</x:v>
      </x:c>
      <x:c r="C691" s="58" t="n">
        <x:v>0.65</x:v>
      </x:c>
      <x:c r="D691" s="58" t="n">
        <x:v>1</x:v>
      </x:c>
      <x:c r="E691" s="58" t="str">
        <x:v>PASS</x:v>
      </x:c>
      <x:c r="F691" s="58" t="n">
        <x:v>1</x:v>
      </x:c>
      <x:c r="G691" s="58" t="n">
        <x:v>10</x:v>
      </x:c>
      <x:c r="H691" s="59" t="n">
        <x:v>8</x:v>
      </x:c>
      <x:c r="I691" s="59" t="n">
        <x:v>0.69275</x:v>
      </x:c>
      <x:c r="J691" s="59" t="n">
        <x:v>0.6891</x:v>
      </x:c>
      <x:c r="K691" s="59" t="n">
        <x:v>0.21485</x:v>
      </x:c>
      <x:c r="L691" s="59" t="n">
        <x:v>0.33763</x:v>
      </x:c>
      <x:c r="M691" s="59" t="n">
        <x:v>0.79756</x:v>
      </x:c>
      <x:c r="N691" s="60" t="n">
        <x:v>6.58</x:v>
      </x:c>
      <x:c r="O691" s="60" t="n">
        <x:v>1.62</x:v>
      </x:c>
      <x:c r="P691" s="60" t="n">
        <x:v>1.95</x:v>
      </x:c>
      <x:c r="Q691" s="60" t="n">
        <x:v>84.6</x:v>
      </x:c>
      <x:c r="R691" s="58" t="str">
        <x:v>X</x:v>
      </x:c>
      <x:c r="S691" s="60" t="n">
        <x:v>100</x:v>
      </x:c>
      <x:c r="T691" s="58" t="str">
        <x:v>IN TARGET BAND</x:v>
      </x:c>
      <x:c r="U691" s="58" t="str">
        <x:v>Yes</x:v>
      </x:c>
      <x:c r="V691" s="58" t="n">
        <x:v>3450</x:v>
      </x:c>
      <x:c r="W691" s="58" t="str">
        <x:v>Pasted text(59).txt</x:v>
      </x:c>
    </x:row>
    <x:row r="692">
      <x:c r="A692" s="58" t="str">
        <x:v>S20</x:v>
      </x:c>
      <x:c r="B692" s="58" t="str">
        <x:v>0.65 repeat-validation session at 268 Hz</x:v>
      </x:c>
      <x:c r="C692" s="58" t="n">
        <x:v>0.65</x:v>
      </x:c>
      <x:c r="D692" s="58" t="n">
        <x:v>2</x:v>
      </x:c>
      <x:c r="E692" s="58" t="str">
        <x:v>PASS</x:v>
      </x:c>
      <x:c r="F692" s="58" t="n">
        <x:v>1</x:v>
      </x:c>
      <x:c r="G692" s="58" t="n">
        <x:v>1</x:v>
      </x:c>
      <x:c r="H692" s="59" t="n">
        <x:v>8</x:v>
      </x:c>
      <x:c r="I692" s="59" t="n">
        <x:v>0.69501</x:v>
      </x:c>
      <x:c r="J692" s="59" t="n">
        <x:v>0.69132</x:v>
      </x:c>
      <x:c r="K692" s="59" t="n">
        <x:v>0.20182</x:v>
      </x:c>
      <x:c r="L692" s="59" t="n">
        <x:v>0.34626</x:v>
      </x:c>
      <x:c r="M692" s="59" t="n">
        <x:v>0.79966</x:v>
      </x:c>
      <x:c r="N692" s="60" t="n">
        <x:v>6.92</x:v>
      </x:c>
      <x:c r="O692" s="60" t="n">
        <x:v>0.34</x:v>
      </x:c>
      <x:c r="P692" s="60" t="n">
        <x:v>1.13</x:v>
      </x:c>
      <x:c r="Q692" s="60" t="n">
        <x:v>84.8</x:v>
      </x:c>
      <x:c r="R692" s="58" t="str">
        <x:v>X</x:v>
      </x:c>
      <x:c r="S692" s="60" t="n">
        <x:v>100</x:v>
      </x:c>
      <x:c r="T692" s="58" t="str">
        <x:v>IN TARGET BAND</x:v>
      </x:c>
      <x:c r="U692" s="58" t="str">
        <x:v>Yes</x:v>
      </x:c>
      <x:c r="V692" s="58" t="n">
        <x:v>3521</x:v>
      </x:c>
      <x:c r="W692" s="58" t="str">
        <x:v>Pasted text(59).txt</x:v>
      </x:c>
    </x:row>
    <x:row r="693">
      <x:c r="A693" s="58" t="str">
        <x:v>S20</x:v>
      </x:c>
      <x:c r="B693" s="58" t="str">
        <x:v>0.65 repeat-validation session at 268 Hz</x:v>
      </x:c>
      <x:c r="C693" s="58" t="n">
        <x:v>0.65</x:v>
      </x:c>
      <x:c r="D693" s="58" t="n">
        <x:v>2</x:v>
      </x:c>
      <x:c r="E693" s="58" t="str">
        <x:v>PASS</x:v>
      </x:c>
      <x:c r="F693" s="58" t="n">
        <x:v>1</x:v>
      </x:c>
      <x:c r="G693" s="58" t="n">
        <x:v>2</x:v>
      </x:c>
      <x:c r="H693" s="59" t="n">
        <x:v>8</x:v>
      </x:c>
      <x:c r="I693" s="59" t="n">
        <x:v>0.69385</x:v>
      </x:c>
      <x:c r="J693" s="59" t="n">
        <x:v>0.67975</x:v>
      </x:c>
      <x:c r="K693" s="59" t="n">
        <x:v>0.20606</x:v>
      </x:c>
      <x:c r="L693" s="59" t="n">
        <x:v>0.33043</x:v>
      </x:c>
      <x:c r="M693" s="59" t="n">
        <x:v>0.78346</x:v>
      </x:c>
      <x:c r="N693" s="60" t="n">
        <x:v>6.75</x:v>
      </x:c>
      <x:c r="O693" s="60" t="n">
        <x:v>0.06</x:v>
      </x:c>
      <x:c r="P693" s="60" t="n">
        <x:v>3.63</x:v>
      </x:c>
      <x:c r="Q693" s="60" t="n">
        <x:v>85</x:v>
      </x:c>
      <x:c r="R693" s="58" t="str">
        <x:v>X</x:v>
      </x:c>
      <x:c r="S693" s="60" t="n">
        <x:v>100</x:v>
      </x:c>
      <x:c r="T693" s="58" t="str">
        <x:v>IN TARGET BAND</x:v>
      </x:c>
      <x:c r="U693" s="58" t="str">
        <x:v>Yes</x:v>
      </x:c>
      <x:c r="V693" s="58" t="n">
        <x:v>3522</x:v>
      </x:c>
      <x:c r="W693" s="58" t="str">
        <x:v>Pasted text(59).txt</x:v>
      </x:c>
    </x:row>
    <x:row r="694">
      <x:c r="A694" s="58" t="str">
        <x:v>S20</x:v>
      </x:c>
      <x:c r="B694" s="58" t="str">
        <x:v>0.65 repeat-validation session at 268 Hz</x:v>
      </x:c>
      <x:c r="C694" s="58" t="n">
        <x:v>0.65</x:v>
      </x:c>
      <x:c r="D694" s="58" t="n">
        <x:v>2</x:v>
      </x:c>
      <x:c r="E694" s="58" t="str">
        <x:v>PASS</x:v>
      </x:c>
      <x:c r="F694" s="58" t="n">
        <x:v>1</x:v>
      </x:c>
      <x:c r="G694" s="58" t="n">
        <x:v>3</x:v>
      </x:c>
      <x:c r="H694" s="59" t="n">
        <x:v>8</x:v>
      </x:c>
      <x:c r="I694" s="59" t="n">
        <x:v>0.65794</x:v>
      </x:c>
      <x:c r="J694" s="59" t="n">
        <x:v>0.66421</x:v>
      </x:c>
      <x:c r="K694" s="59" t="n">
        <x:v>0.20583</x:v>
      </x:c>
      <x:c r="L694" s="59" t="n">
        <x:v>0.33295</x:v>
      </x:c>
      <x:c r="M694" s="59" t="n">
        <x:v>0.7716</x:v>
      </x:c>
      <x:c r="N694" s="60" t="n">
        <x:v>1.22</x:v>
      </x:c>
      <x:c r="O694" s="60" t="n">
        <x:v>4.72</x:v>
      </x:c>
      <x:c r="P694" s="60" t="n">
        <x:v>4.64</x:v>
      </x:c>
      <x:c r="Q694" s="60" t="n">
        <x:v>83.1</x:v>
      </x:c>
      <x:c r="R694" s="58" t="str">
        <x:v>X</x:v>
      </x:c>
      <x:c r="S694" s="60" t="n">
        <x:v>100</x:v>
      </x:c>
      <x:c r="T694" s="58" t="str">
        <x:v>IN TARGET BAND</x:v>
      </x:c>
      <x:c r="U694" s="58" t="str">
        <x:v>Yes</x:v>
      </x:c>
      <x:c r="V694" s="58" t="n">
        <x:v>3523</x:v>
      </x:c>
      <x:c r="W694" s="58" t="str">
        <x:v>Pasted text(59).txt</x:v>
      </x:c>
    </x:row>
    <x:row r="695">
      <x:c r="A695" s="58" t="str">
        <x:v>S20</x:v>
      </x:c>
      <x:c r="B695" s="58" t="str">
        <x:v>0.65 repeat-validation session at 268 Hz</x:v>
      </x:c>
      <x:c r="C695" s="58" t="n">
        <x:v>0.65</x:v>
      </x:c>
      <x:c r="D695" s="58" t="n">
        <x:v>2</x:v>
      </x:c>
      <x:c r="E695" s="58" t="str">
        <x:v>PASS</x:v>
      </x:c>
      <x:c r="F695" s="58" t="n">
        <x:v>1</x:v>
      </x:c>
      <x:c r="G695" s="58" t="n">
        <x:v>4</x:v>
      </x:c>
      <x:c r="H695" s="59" t="n">
        <x:v>8</x:v>
      </x:c>
      <x:c r="I695" s="59" t="n">
        <x:v>0.68399</x:v>
      </x:c>
      <x:c r="J695" s="59" t="n">
        <x:v>0.68474</x:v>
      </x:c>
      <x:c r="K695" s="59" t="n">
        <x:v>0.18812</x:v>
      </x:c>
      <x:c r="L695" s="59" t="n">
        <x:v>0.31717</x:v>
      </x:c>
      <x:c r="M695" s="59" t="n">
        <x:v>0.77786</x:v>
      </x:c>
      <x:c r="N695" s="60" t="n">
        <x:v>5.23</x:v>
      </x:c>
      <x:c r="O695" s="60" t="n">
        <x:v>2.68</x:v>
      </x:c>
      <x:c r="P695" s="60" t="n">
        <x:v>1.97</x:v>
      </x:c>
      <x:c r="Q695" s="60" t="n">
        <x:v>84.4</x:v>
      </x:c>
      <x:c r="R695" s="58" t="str">
        <x:v>X</x:v>
      </x:c>
      <x:c r="S695" s="60" t="n">
        <x:v>100</x:v>
      </x:c>
      <x:c r="T695" s="58" t="str">
        <x:v>IN TARGET BAND</x:v>
      </x:c>
      <x:c r="U695" s="58" t="str">
        <x:v>Yes</x:v>
      </x:c>
      <x:c r="V695" s="58" t="n">
        <x:v>3524</x:v>
      </x:c>
      <x:c r="W695" s="58" t="str">
        <x:v>Pasted text(59).txt</x:v>
      </x:c>
    </x:row>
    <x:row r="696">
      <x:c r="A696" s="58" t="str">
        <x:v>S20</x:v>
      </x:c>
      <x:c r="B696" s="58" t="str">
        <x:v>0.65 repeat-validation session at 268 Hz</x:v>
      </x:c>
      <x:c r="C696" s="58" t="n">
        <x:v>0.65</x:v>
      </x:c>
      <x:c r="D696" s="58" t="n">
        <x:v>2</x:v>
      </x:c>
      <x:c r="E696" s="58" t="str">
        <x:v>PASS</x:v>
      </x:c>
      <x:c r="F696" s="58" t="n">
        <x:v>1</x:v>
      </x:c>
      <x:c r="G696" s="58" t="n">
        <x:v>5</x:v>
      </x:c>
      <x:c r="H696" s="59" t="n">
        <x:v>8</x:v>
      </x:c>
      <x:c r="I696" s="59" t="n">
        <x:v>0.67383</x:v>
      </x:c>
      <x:c r="J696" s="59" t="n">
        <x:v>0.67739</x:v>
      </x:c>
      <x:c r="K696" s="59" t="n">
        <x:v>0.18062</x:v>
      </x:c>
      <x:c r="L696" s="59" t="n">
        <x:v>0.32048</x:v>
      </x:c>
      <x:c r="M696" s="59" t="n">
        <x:v>0.77176</x:v>
      </x:c>
      <x:c r="N696" s="60" t="n">
        <x:v>3.67</x:v>
      </x:c>
      <x:c r="O696" s="60" t="n">
        <x:v>1.73</x:v>
      </x:c>
      <x:c r="P696" s="60" t="n">
        <x:v>2</x:v>
      </x:c>
      <x:c r="Q696" s="60" t="n">
        <x:v>84.2</x:v>
      </x:c>
      <x:c r="R696" s="58" t="str">
        <x:v>X</x:v>
      </x:c>
      <x:c r="S696" s="60" t="n">
        <x:v>100</x:v>
      </x:c>
      <x:c r="T696" s="58" t="str">
        <x:v>IN TARGET BAND</x:v>
      </x:c>
      <x:c r="U696" s="58" t="str">
        <x:v>Yes</x:v>
      </x:c>
      <x:c r="V696" s="58" t="n">
        <x:v>3525</x:v>
      </x:c>
      <x:c r="W696" s="58" t="str">
        <x:v>Pasted text(59).txt</x:v>
      </x:c>
    </x:row>
    <x:row r="697">
      <x:c r="A697" s="58" t="str">
        <x:v>S20</x:v>
      </x:c>
      <x:c r="B697" s="58" t="str">
        <x:v>0.65 repeat-validation session at 268 Hz</x:v>
      </x:c>
      <x:c r="C697" s="58" t="n">
        <x:v>0.65</x:v>
      </x:c>
      <x:c r="D697" s="58" t="n">
        <x:v>2</x:v>
      </x:c>
      <x:c r="E697" s="58" t="str">
        <x:v>PASS</x:v>
      </x:c>
      <x:c r="F697" s="58" t="n">
        <x:v>1</x:v>
      </x:c>
      <x:c r="G697" s="58" t="n">
        <x:v>6</x:v>
      </x:c>
      <x:c r="H697" s="59" t="n">
        <x:v>8</x:v>
      </x:c>
      <x:c r="I697" s="59" t="n">
        <x:v>0.67778</x:v>
      </x:c>
      <x:c r="J697" s="59" t="n">
        <x:v>0.67811</x:v>
      </x:c>
      <x:c r="K697" s="59" t="n">
        <x:v>0.20156</x:v>
      </x:c>
      <x:c r="L697" s="59" t="n">
        <x:v>0.34203</x:v>
      </x:c>
      <x:c r="M697" s="59" t="n">
        <x:v>0.78653</x:v>
      </x:c>
      <x:c r="N697" s="60" t="n">
        <x:v>4.27</x:v>
      </x:c>
      <x:c r="O697" s="60" t="n">
        <x:v>0.57</x:v>
      </x:c>
      <x:c r="P697" s="60" t="n">
        <x:v>0.46</x:v>
      </x:c>
      <x:c r="Q697" s="60" t="n">
        <x:v>83.6</x:v>
      </x:c>
      <x:c r="R697" s="58" t="str">
        <x:v>X</x:v>
      </x:c>
      <x:c r="S697" s="60" t="n">
        <x:v>100</x:v>
      </x:c>
      <x:c r="T697" s="58" t="str">
        <x:v>IN TARGET BAND</x:v>
      </x:c>
      <x:c r="U697" s="58" t="str">
        <x:v>Yes</x:v>
      </x:c>
      <x:c r="V697" s="58" t="n">
        <x:v>3526</x:v>
      </x:c>
      <x:c r="W697" s="58" t="str">
        <x:v>Pasted text(59).txt</x:v>
      </x:c>
    </x:row>
    <x:row r="698">
      <x:c r="A698" s="58" t="str">
        <x:v>S20</x:v>
      </x:c>
      <x:c r="B698" s="58" t="str">
        <x:v>0.65 repeat-validation session at 268 Hz</x:v>
      </x:c>
      <x:c r="C698" s="58" t="n">
        <x:v>0.65</x:v>
      </x:c>
      <x:c r="D698" s="58" t="n">
        <x:v>2</x:v>
      </x:c>
      <x:c r="E698" s="58" t="str">
        <x:v>PASS</x:v>
      </x:c>
      <x:c r="F698" s="58" t="n">
        <x:v>1</x:v>
      </x:c>
      <x:c r="G698" s="58" t="n">
        <x:v>7</x:v>
      </x:c>
      <x:c r="H698" s="59" t="n">
        <x:v>8</x:v>
      </x:c>
      <x:c r="I698" s="59" t="n">
        <x:v>0.67192</x:v>
      </x:c>
      <x:c r="J698" s="59" t="n">
        <x:v>0.67284</x:v>
      </x:c>
      <x:c r="K698" s="59" t="n">
        <x:v>0.20931</x:v>
      </x:c>
      <x:c r="L698" s="59" t="n">
        <x:v>0.35252</x:v>
      </x:c>
      <x:c r="M698" s="59" t="n">
        <x:v>0.78889</x:v>
      </x:c>
      <x:c r="N698" s="60" t="n">
        <x:v>3.37</x:v>
      </x:c>
      <x:c r="O698" s="60" t="n">
        <x:v>2.74</x:v>
      </x:c>
      <x:c r="P698" s="60" t="n">
        <x:v>2.05</x:v>
      </x:c>
      <x:c r="Q698" s="60" t="n">
        <x:v>83.1</x:v>
      </x:c>
      <x:c r="R698" s="58" t="str">
        <x:v>X</x:v>
      </x:c>
      <x:c r="S698" s="60" t="n">
        <x:v>100</x:v>
      </x:c>
      <x:c r="T698" s="58" t="str">
        <x:v>IN TARGET BAND</x:v>
      </x:c>
      <x:c r="U698" s="58" t="str">
        <x:v>Yes</x:v>
      </x:c>
      <x:c r="V698" s="58" t="n">
        <x:v>3527</x:v>
      </x:c>
      <x:c r="W698" s="58" t="str">
        <x:v>Pasted text(59).txt</x:v>
      </x:c>
    </x:row>
    <x:row r="699">
      <x:c r="A699" s="58" t="str">
        <x:v>S20</x:v>
      </x:c>
      <x:c r="B699" s="58" t="str">
        <x:v>0.65 repeat-validation session at 268 Hz</x:v>
      </x:c>
      <x:c r="C699" s="58" t="n">
        <x:v>0.65</x:v>
      </x:c>
      <x:c r="D699" s="58" t="n">
        <x:v>2</x:v>
      </x:c>
      <x:c r="E699" s="58" t="str">
        <x:v>PASS</x:v>
      </x:c>
      <x:c r="F699" s="58" t="n">
        <x:v>1</x:v>
      </x:c>
      <x:c r="G699" s="58" t="n">
        <x:v>8</x:v>
      </x:c>
      <x:c r="H699" s="59" t="n">
        <x:v>8</x:v>
      </x:c>
      <x:c r="I699" s="59" t="n">
        <x:v>0.66628</x:v>
      </x:c>
      <x:c r="J699" s="59" t="n">
        <x:v>0.67145</x:v>
      </x:c>
      <x:c r="K699" s="59" t="n">
        <x:v>0.20099</x:v>
      </x:c>
      <x:c r="L699" s="59" t="n">
        <x:v>0.31757</x:v>
      </x:c>
      <x:c r="M699" s="59" t="n">
        <x:v>0.76981</x:v>
      </x:c>
      <x:c r="N699" s="60" t="n">
        <x:v>2.51</x:v>
      </x:c>
      <x:c r="O699" s="60" t="n">
        <x:v>1.45</x:v>
      </x:c>
      <x:c r="P699" s="60" t="n">
        <x:v>2.22</x:v>
      </x:c>
      <x:c r="Q699" s="60" t="n">
        <x:v>83.7</x:v>
      </x:c>
      <x:c r="R699" s="58" t="str">
        <x:v>X</x:v>
      </x:c>
      <x:c r="S699" s="60" t="n">
        <x:v>100</x:v>
      </x:c>
      <x:c r="T699" s="58" t="str">
        <x:v>IN TARGET BAND</x:v>
      </x:c>
      <x:c r="U699" s="58" t="str">
        <x:v>Yes</x:v>
      </x:c>
      <x:c r="V699" s="58" t="n">
        <x:v>3528</x:v>
      </x:c>
      <x:c r="W699" s="58" t="str">
        <x:v>Pasted text(59).txt</x:v>
      </x:c>
    </x:row>
    <x:row r="700">
      <x:c r="A700" s="58" t="str">
        <x:v>S20</x:v>
      </x:c>
      <x:c r="B700" s="58" t="str">
        <x:v>0.65 repeat-validation session at 268 Hz</x:v>
      </x:c>
      <x:c r="C700" s="58" t="n">
        <x:v>0.65</x:v>
      </x:c>
      <x:c r="D700" s="58" t="n">
        <x:v>2</x:v>
      </x:c>
      <x:c r="E700" s="58" t="str">
        <x:v>PASS</x:v>
      </x:c>
      <x:c r="F700" s="58" t="n">
        <x:v>1</x:v>
      </x:c>
      <x:c r="G700" s="58" t="n">
        <x:v>9</x:v>
      </x:c>
      <x:c r="H700" s="59" t="n">
        <x:v>8</x:v>
      </x:c>
      <x:c r="I700" s="59" t="n">
        <x:v>0.66621</x:v>
      </x:c>
      <x:c r="J700" s="59" t="n">
        <x:v>0.66614</x:v>
      </x:c>
      <x:c r="K700" s="59" t="n">
        <x:v>0.19735</x:v>
      </x:c>
      <x:c r="L700" s="59" t="n">
        <x:v>0.35035</x:v>
      </x:c>
      <x:c r="M700" s="59" t="n">
        <x:v>0.77835</x:v>
      </x:c>
      <x:c r="N700" s="60" t="n">
        <x:v>2.49</x:v>
      </x:c>
      <x:c r="O700" s="60" t="n">
        <x:v>0.95</x:v>
      </x:c>
      <x:c r="P700" s="60" t="n">
        <x:v>0.65</x:v>
      </x:c>
      <x:c r="Q700" s="60" t="n">
        <x:v>83.3</x:v>
      </x:c>
      <x:c r="R700" s="58" t="str">
        <x:v>X</x:v>
      </x:c>
      <x:c r="S700" s="60" t="n">
        <x:v>100</x:v>
      </x:c>
      <x:c r="T700" s="58" t="str">
        <x:v>IN TARGET BAND</x:v>
      </x:c>
      <x:c r="U700" s="58" t="str">
        <x:v>Yes</x:v>
      </x:c>
      <x:c r="V700" s="58" t="n">
        <x:v>3529</x:v>
      </x:c>
      <x:c r="W700" s="58" t="str">
        <x:v>Pasted text(59).txt</x:v>
      </x:c>
    </x:row>
    <x:row r="701">
      <x:c r="A701" s="58" t="str">
        <x:v>S20</x:v>
      </x:c>
      <x:c r="B701" s="58" t="str">
        <x:v>0.65 repeat-validation session at 268 Hz</x:v>
      </x:c>
      <x:c r="C701" s="58" t="n">
        <x:v>0.65</x:v>
      </x:c>
      <x:c r="D701" s="58" t="n">
        <x:v>2</x:v>
      </x:c>
      <x:c r="E701" s="58" t="str">
        <x:v>PASS</x:v>
      </x:c>
      <x:c r="F701" s="58" t="n">
        <x:v>1</x:v>
      </x:c>
      <x:c r="G701" s="58" t="n">
        <x:v>10</x:v>
      </x:c>
      <x:c r="H701" s="59" t="n">
        <x:v>8</x:v>
      </x:c>
      <x:c r="I701" s="59" t="n">
        <x:v>0.66366</x:v>
      </x:c>
      <x:c r="J701" s="59" t="n">
        <x:v>0.67306</x:v>
      </x:c>
      <x:c r="K701" s="59" t="n">
        <x:v>0.19632</x:v>
      </x:c>
      <x:c r="L701" s="59" t="n">
        <x:v>0.33232</x:v>
      </x:c>
      <x:c r="M701" s="59" t="n">
        <x:v>0.77633</x:v>
      </x:c>
      <x:c r="N701" s="60" t="n">
        <x:v>2.1</x:v>
      </x:c>
      <x:c r="O701" s="60" t="n">
        <x:v>0.44</x:v>
      </x:c>
      <x:c r="P701" s="60" t="n">
        <x:v>2.67</x:v>
      </x:c>
      <x:c r="Q701" s="60" t="n">
        <x:v>84.9</x:v>
      </x:c>
      <x:c r="R701" s="58" t="str">
        <x:v>X</x:v>
      </x:c>
      <x:c r="S701" s="60" t="n">
        <x:v>100</x:v>
      </x:c>
      <x:c r="T701" s="58" t="str">
        <x:v>IN TARGET BAND</x:v>
      </x:c>
      <x:c r="U701" s="58" t="str">
        <x:v>Yes</x:v>
      </x:c>
      <x:c r="V701" s="58" t="n">
        <x:v>3530</x:v>
      </x:c>
      <x:c r="W701" s="58" t="str">
        <x:v>Pasted text(59).txt</x:v>
      </x:c>
    </x:row>
    <x:row r="702">
      <x:c r="A702" s="58" t="str">
        <x:v>S20</x:v>
      </x:c>
      <x:c r="B702" s="58" t="str">
        <x:v>0.65 repeat-validation session at 268 Hz</x:v>
      </x:c>
      <x:c r="C702" s="58" t="n">
        <x:v>0.65</x:v>
      </x:c>
      <x:c r="D702" s="58" t="n">
        <x:v>3</x:v>
      </x:c>
      <x:c r="E702" s="58" t="str">
        <x:v>PASS</x:v>
      </x:c>
      <x:c r="F702" s="58" t="n">
        <x:v>1</x:v>
      </x:c>
      <x:c r="G702" s="58" t="n">
        <x:v>1</x:v>
      </x:c>
      <x:c r="H702" s="59" t="n">
        <x:v>8.25</x:v>
      </x:c>
      <x:c r="I702" s="59" t="n">
        <x:v>0.66862</x:v>
      </x:c>
      <x:c r="J702" s="59" t="n">
        <x:v>0.67607</x:v>
      </x:c>
      <x:c r="K702" s="59" t="n">
        <x:v>0.21857</x:v>
      </x:c>
      <x:c r="L702" s="59" t="n">
        <x:v>0.34583</x:v>
      </x:c>
      <x:c r="M702" s="59" t="n">
        <x:v>0.79024</x:v>
      </x:c>
      <x:c r="N702" s="60" t="n">
        <x:v>2.86</x:v>
      </x:c>
      <x:c r="O702" s="60" t="n">
        <x:v>1.24</x:v>
      </x:c>
      <x:c r="P702" s="60" t="n">
        <x:v>2.66</x:v>
      </x:c>
      <x:c r="Q702" s="60" t="n">
        <x:v>84.4</x:v>
      </x:c>
      <x:c r="R702" s="58" t="str">
        <x:v>X</x:v>
      </x:c>
      <x:c r="S702" s="60" t="n">
        <x:v>100</x:v>
      </x:c>
      <x:c r="T702" s="58" t="str">
        <x:v>IN TARGET BAND</x:v>
      </x:c>
      <x:c r="U702" s="58" t="str">
        <x:v>Yes</x:v>
      </x:c>
      <x:c r="V702" s="58" t="n">
        <x:v>3601</x:v>
      </x:c>
      <x:c r="W702" s="58" t="str">
        <x:v>Pasted text(59).txt</x:v>
      </x:c>
    </x:row>
    <x:row r="703">
      <x:c r="A703" s="58" t="str">
        <x:v>S20</x:v>
      </x:c>
      <x:c r="B703" s="58" t="str">
        <x:v>0.65 repeat-validation session at 268 Hz</x:v>
      </x:c>
      <x:c r="C703" s="58" t="n">
        <x:v>0.65</x:v>
      </x:c>
      <x:c r="D703" s="58" t="n">
        <x:v>3</x:v>
      </x:c>
      <x:c r="E703" s="58" t="str">
        <x:v>PASS</x:v>
      </x:c>
      <x:c r="F703" s="58" t="n">
        <x:v>1</x:v>
      </x:c>
      <x:c r="G703" s="58" t="n">
        <x:v>2</x:v>
      </x:c>
      <x:c r="H703" s="59" t="n">
        <x:v>8.25</x:v>
      </x:c>
      <x:c r="I703" s="59" t="n">
        <x:v>0.68071</x:v>
      </x:c>
      <x:c r="J703" s="59" t="n">
        <x:v>0.68734</x:v>
      </x:c>
      <x:c r="K703" s="59" t="n">
        <x:v>0.21836</x:v>
      </x:c>
      <x:c r="L703" s="59" t="n">
        <x:v>0.33259</x:v>
      </x:c>
      <x:c r="M703" s="59" t="n">
        <x:v>0.79478</x:v>
      </x:c>
      <x:c r="N703" s="60" t="n">
        <x:v>4.72</x:v>
      </x:c>
      <x:c r="O703" s="60" t="n">
        <x:v>0.14</x:v>
      </x:c>
      <x:c r="P703" s="60" t="n">
        <x:v>1.75</x:v>
      </x:c>
      <x:c r="Q703" s="60" t="n">
        <x:v>85.1</x:v>
      </x:c>
      <x:c r="R703" s="58" t="str">
        <x:v>X</x:v>
      </x:c>
      <x:c r="S703" s="60" t="n">
        <x:v>100</x:v>
      </x:c>
      <x:c r="T703" s="58" t="str">
        <x:v>IN TARGET BAND</x:v>
      </x:c>
      <x:c r="U703" s="58" t="str">
        <x:v>Yes</x:v>
      </x:c>
      <x:c r="V703" s="58" t="n">
        <x:v>3602</x:v>
      </x:c>
      <x:c r="W703" s="58" t="str">
        <x:v>Pasted text(59).txt</x:v>
      </x:c>
    </x:row>
    <x:row r="704">
      <x:c r="A704" s="58" t="str">
        <x:v>S20</x:v>
      </x:c>
      <x:c r="B704" s="58" t="str">
        <x:v>0.65 repeat-validation session at 268 Hz</x:v>
      </x:c>
      <x:c r="C704" s="58" t="n">
        <x:v>0.65</x:v>
      </x:c>
      <x:c r="D704" s="58" t="n">
        <x:v>3</x:v>
      </x:c>
      <x:c r="E704" s="58" t="str">
        <x:v>PASS</x:v>
      </x:c>
      <x:c r="F704" s="58" t="n">
        <x:v>1</x:v>
      </x:c>
      <x:c r="G704" s="58" t="n">
        <x:v>3</x:v>
      </x:c>
      <x:c r="H704" s="59" t="n">
        <x:v>8.25</x:v>
      </x:c>
      <x:c r="I704" s="59" t="n">
        <x:v>0.69878</x:v>
      </x:c>
      <x:c r="J704" s="59" t="n">
        <x:v>0.68941</x:v>
      </x:c>
      <x:c r="K704" s="59" t="n">
        <x:v>0.2113</x:v>
      </x:c>
      <x:c r="L704" s="59" t="n">
        <x:v>0.34462</x:v>
      </x:c>
      <x:c r="M704" s="59" t="n">
        <x:v>0.79962</x:v>
      </x:c>
      <x:c r="N704" s="60" t="n">
        <x:v>7.5</x:v>
      </x:c>
      <x:c r="O704" s="60" t="n">
        <x:v>4.24</x:v>
      </x:c>
      <x:c r="P704" s="60" t="n">
        <x:v>5.07</x:v>
      </x:c>
      <x:c r="Q704" s="60" t="n">
        <x:v>85.5</x:v>
      </x:c>
      <x:c r="R704" s="58" t="str">
        <x:v>X</x:v>
      </x:c>
      <x:c r="S704" s="60" t="n">
        <x:v>100</x:v>
      </x:c>
      <x:c r="T704" s="58" t="str">
        <x:v>VALID</x:v>
      </x:c>
      <x:c r="U704" s="58" t="str">
        <x:v>No</x:v>
      </x:c>
      <x:c r="V704" s="58" t="n">
        <x:v>3603</x:v>
      </x:c>
      <x:c r="W704" s="58" t="str">
        <x:v>Pasted text(59).txt</x:v>
      </x:c>
    </x:row>
    <x:row r="705">
      <x:c r="A705" s="58" t="str">
        <x:v>S20</x:v>
      </x:c>
      <x:c r="B705" s="58" t="str">
        <x:v>0.65 repeat-validation session at 268 Hz</x:v>
      </x:c>
      <x:c r="C705" s="58" t="n">
        <x:v>0.65</x:v>
      </x:c>
      <x:c r="D705" s="58" t="n">
        <x:v>3</x:v>
      </x:c>
      <x:c r="E705" s="58" t="str">
        <x:v>PASS</x:v>
      </x:c>
      <x:c r="F705" s="58" t="n">
        <x:v>1</x:v>
      </x:c>
      <x:c r="G705" s="58" t="n">
        <x:v>4</x:v>
      </x:c>
      <x:c r="H705" s="59" t="n">
        <x:v>8.25</x:v>
      </x:c>
      <x:c r="I705" s="59" t="n">
        <x:v>0.68415</x:v>
      </x:c>
      <x:c r="J705" s="59" t="n">
        <x:v>0.682</x:v>
      </x:c>
      <x:c r="K705" s="59" t="n">
        <x:v>0.21813</x:v>
      </x:c>
      <x:c r="L705" s="59" t="n">
        <x:v>0.37066</x:v>
      </x:c>
      <x:c r="M705" s="59" t="n">
        <x:v>0.80636</x:v>
      </x:c>
      <x:c r="N705" s="60" t="n">
        <x:v>5.25</x:v>
      </x:c>
      <x:c r="O705" s="60" t="n">
        <x:v>4.44</x:v>
      </x:c>
      <x:c r="P705" s="60" t="n">
        <x:v>3.49</x:v>
      </x:c>
      <x:c r="Q705" s="60" t="n">
        <x:v>85.1</x:v>
      </x:c>
      <x:c r="R705" s="58" t="str">
        <x:v>X</x:v>
      </x:c>
      <x:c r="S705" s="60" t="n">
        <x:v>100</x:v>
      </x:c>
      <x:c r="T705" s="58" t="str">
        <x:v>IN TARGET BAND</x:v>
      </x:c>
      <x:c r="U705" s="58" t="str">
        <x:v>Yes</x:v>
      </x:c>
      <x:c r="V705" s="58" t="n">
        <x:v>3604</x:v>
      </x:c>
      <x:c r="W705" s="58" t="str">
        <x:v>Pasted text(59).txt</x:v>
      </x:c>
    </x:row>
    <x:row r="706">
      <x:c r="A706" s="58" t="str">
        <x:v>S20</x:v>
      </x:c>
      <x:c r="B706" s="58" t="str">
        <x:v>0.65 repeat-validation session at 268 Hz</x:v>
      </x:c>
      <x:c r="C706" s="58" t="n">
        <x:v>0.65</x:v>
      </x:c>
      <x:c r="D706" s="58" t="n">
        <x:v>3</x:v>
      </x:c>
      <x:c r="E706" s="58" t="str">
        <x:v>PASS</x:v>
      </x:c>
      <x:c r="F706" s="58" t="n">
        <x:v>1</x:v>
      </x:c>
      <x:c r="G706" s="58" t="n">
        <x:v>5</x:v>
      </x:c>
      <x:c r="H706" s="59" t="n">
        <x:v>8.25</x:v>
      </x:c>
      <x:c r="I706" s="59" t="n">
        <x:v>0.687</x:v>
      </x:c>
      <x:c r="J706" s="59" t="n">
        <x:v>0.68766</x:v>
      </x:c>
      <x:c r="K706" s="59" t="n">
        <x:v>0.20595</x:v>
      </x:c>
      <x:c r="L706" s="59" t="n">
        <x:v>0.35182</x:v>
      </x:c>
      <x:c r="M706" s="59" t="n">
        <x:v>0.79971</x:v>
      </x:c>
      <x:c r="N706" s="60" t="n">
        <x:v>5.69</x:v>
      </x:c>
      <x:c r="O706" s="60" t="n">
        <x:v>0.96</x:v>
      </x:c>
      <x:c r="P706" s="60" t="n">
        <x:v>0.8</x:v>
      </x:c>
      <x:c r="Q706" s="60" t="n">
        <x:v>84.6</x:v>
      </x:c>
      <x:c r="R706" s="58" t="str">
        <x:v>X</x:v>
      </x:c>
      <x:c r="S706" s="60" t="n">
        <x:v>100</x:v>
      </x:c>
      <x:c r="T706" s="58" t="str">
        <x:v>IN TARGET BAND</x:v>
      </x:c>
      <x:c r="U706" s="58" t="str">
        <x:v>Yes</x:v>
      </x:c>
      <x:c r="V706" s="58" t="n">
        <x:v>3605</x:v>
      </x:c>
      <x:c r="W706" s="58" t="str">
        <x:v>Pasted text(59).txt</x:v>
      </x:c>
    </x:row>
    <x:row r="707">
      <x:c r="A707" s="58" t="str">
        <x:v>S20</x:v>
      </x:c>
      <x:c r="B707" s="58" t="str">
        <x:v>0.65 repeat-validation session at 268 Hz</x:v>
      </x:c>
      <x:c r="C707" s="58" t="n">
        <x:v>0.65</x:v>
      </x:c>
      <x:c r="D707" s="58" t="n">
        <x:v>3</x:v>
      </x:c>
      <x:c r="E707" s="58" t="str">
        <x:v>PASS</x:v>
      </x:c>
      <x:c r="F707" s="58" t="n">
        <x:v>1</x:v>
      </x:c>
      <x:c r="G707" s="58" t="n">
        <x:v>6</x:v>
      </x:c>
      <x:c r="H707" s="59" t="n">
        <x:v>8.25</x:v>
      </x:c>
      <x:c r="I707" s="59" t="n">
        <x:v>0.6667</x:v>
      </x:c>
      <x:c r="J707" s="59" t="n">
        <x:v>0.67134</x:v>
      </x:c>
      <x:c r="K707" s="59" t="n">
        <x:v>0.20934</x:v>
      </x:c>
      <x:c r="L707" s="59" t="n">
        <x:v>0.33956</x:v>
      </x:c>
      <x:c r="M707" s="59" t="n">
        <x:v>0.78142</x:v>
      </x:c>
      <x:c r="N707" s="60" t="n">
        <x:v>2.57</x:v>
      </x:c>
      <x:c r="O707" s="60" t="n">
        <x:v>5.64</x:v>
      </x:c>
      <x:c r="P707" s="60" t="n">
        <x:v>4.85</x:v>
      </x:c>
      <x:c r="Q707" s="60" t="n">
        <x:v>84.9</x:v>
      </x:c>
      <x:c r="R707" s="58" t="str">
        <x:v>X</x:v>
      </x:c>
      <x:c r="S707" s="60" t="n">
        <x:v>100</x:v>
      </x:c>
      <x:c r="T707" s="58" t="str">
        <x:v>IN TARGET BAND</x:v>
      </x:c>
      <x:c r="U707" s="58" t="str">
        <x:v>Yes</x:v>
      </x:c>
      <x:c r="V707" s="58" t="n">
        <x:v>3606</x:v>
      </x:c>
      <x:c r="W707" s="58" t="str">
        <x:v>Pasted text(59).txt</x:v>
      </x:c>
    </x:row>
    <x:row r="708">
      <x:c r="A708" s="58" t="str">
        <x:v>S20</x:v>
      </x:c>
      <x:c r="B708" s="58" t="str">
        <x:v>0.65 repeat-validation session at 268 Hz</x:v>
      </x:c>
      <x:c r="C708" s="58" t="n">
        <x:v>0.65</x:v>
      </x:c>
      <x:c r="D708" s="58" t="n">
        <x:v>3</x:v>
      </x:c>
      <x:c r="E708" s="58" t="str">
        <x:v>PASS</x:v>
      </x:c>
      <x:c r="F708" s="58" t="n">
        <x:v>1</x:v>
      </x:c>
      <x:c r="G708" s="58" t="n">
        <x:v>7</x:v>
      </x:c>
      <x:c r="H708" s="59" t="n">
        <x:v>8.25</x:v>
      </x:c>
      <x:c r="I708" s="59" t="n">
        <x:v>0.68453</x:v>
      </x:c>
      <x:c r="J708" s="59" t="n">
        <x:v>0.67679</x:v>
      </x:c>
      <x:c r="K708" s="59" t="n">
        <x:v>0.21885</x:v>
      </x:c>
      <x:c r="L708" s="59" t="n">
        <x:v>0.33966</x:v>
      </x:c>
      <x:c r="M708" s="59" t="n">
        <x:v>0.78864</x:v>
      </x:c>
      <x:c r="N708" s="60" t="n">
        <x:v>5.31</x:v>
      </x:c>
      <x:c r="O708" s="60" t="n">
        <x:v>1.13</x:v>
      </x:c>
      <x:c r="P708" s="60" t="n">
        <x:v>2.68</x:v>
      </x:c>
      <x:c r="Q708" s="60" t="n">
        <x:v>83.3</x:v>
      </x:c>
      <x:c r="R708" s="58" t="str">
        <x:v>X</x:v>
      </x:c>
      <x:c r="S708" s="60" t="n">
        <x:v>100</x:v>
      </x:c>
      <x:c r="T708" s="58" t="str">
        <x:v>IN TARGET BAND</x:v>
      </x:c>
      <x:c r="U708" s="58" t="str">
        <x:v>Yes</x:v>
      </x:c>
      <x:c r="V708" s="58" t="n">
        <x:v>3607</x:v>
      </x:c>
      <x:c r="W708" s="58" t="str">
        <x:v>Pasted text(59).txt</x:v>
      </x:c>
    </x:row>
    <x:row r="709">
      <x:c r="A709" s="58" t="str">
        <x:v>S20</x:v>
      </x:c>
      <x:c r="B709" s="58" t="str">
        <x:v>0.65 repeat-validation session at 268 Hz</x:v>
      </x:c>
      <x:c r="C709" s="58" t="n">
        <x:v>0.65</x:v>
      </x:c>
      <x:c r="D709" s="58" t="n">
        <x:v>3</x:v>
      </x:c>
      <x:c r="E709" s="58" t="str">
        <x:v>PASS</x:v>
      </x:c>
      <x:c r="F709" s="58" t="n">
        <x:v>1</x:v>
      </x:c>
      <x:c r="G709" s="58" t="n">
        <x:v>8</x:v>
      </x:c>
      <x:c r="H709" s="59" t="n">
        <x:v>8.25</x:v>
      </x:c>
      <x:c r="I709" s="59" t="n">
        <x:v>0.68649</x:v>
      </x:c>
      <x:c r="J709" s="59" t="n">
        <x:v>0.68594</x:v>
      </x:c>
      <x:c r="K709" s="59" t="n">
        <x:v>0.20532</x:v>
      </x:c>
      <x:c r="L709" s="59" t="n">
        <x:v>0.36492</x:v>
      </x:c>
      <x:c r="M709" s="59" t="n">
        <x:v>0.80435</x:v>
      </x:c>
      <x:c r="N709" s="60" t="n">
        <x:v>5.61</x:v>
      </x:c>
      <x:c r="O709" s="60" t="n">
        <x:v>1.31</x:v>
      </x:c>
      <x:c r="P709" s="60" t="n">
        <x:v>1.01</x:v>
      </x:c>
      <x:c r="Q709" s="60" t="n">
        <x:v>85</x:v>
      </x:c>
      <x:c r="R709" s="58" t="str">
        <x:v>X</x:v>
      </x:c>
      <x:c r="S709" s="60" t="n">
        <x:v>100</x:v>
      </x:c>
      <x:c r="T709" s="58" t="str">
        <x:v>IN TARGET BAND</x:v>
      </x:c>
      <x:c r="U709" s="58" t="str">
        <x:v>Yes</x:v>
      </x:c>
      <x:c r="V709" s="58" t="n">
        <x:v>3608</x:v>
      </x:c>
      <x:c r="W709" s="58" t="str">
        <x:v>Pasted text(59).txt</x:v>
      </x:c>
    </x:row>
    <x:row r="710">
      <x:c r="A710" s="58" t="str">
        <x:v>S20</x:v>
      </x:c>
      <x:c r="B710" s="58" t="str">
        <x:v>0.65 repeat-validation session at 268 Hz</x:v>
      </x:c>
      <x:c r="C710" s="58" t="n">
        <x:v>0.65</x:v>
      </x:c>
      <x:c r="D710" s="58" t="n">
        <x:v>3</x:v>
      </x:c>
      <x:c r="E710" s="58" t="str">
        <x:v>PASS</x:v>
      </x:c>
      <x:c r="F710" s="58" t="n">
        <x:v>1</x:v>
      </x:c>
      <x:c r="G710" s="58" t="n">
        <x:v>9</x:v>
      </x:c>
      <x:c r="H710" s="59" t="n">
        <x:v>8.25</x:v>
      </x:c>
      <x:c r="I710" s="59" t="n">
        <x:v>0.68067</x:v>
      </x:c>
      <x:c r="J710" s="59" t="n">
        <x:v>0.68619</x:v>
      </x:c>
      <x:c r="K710" s="59" t="n">
        <x:v>0.20824</x:v>
      </x:c>
      <x:c r="L710" s="59" t="n">
        <x:v>0.34707</x:v>
      </x:c>
      <x:c r="M710" s="59" t="n">
        <x:v>0.79713</x:v>
      </x:c>
      <x:c r="N710" s="60" t="n">
        <x:v>4.72</x:v>
      </x:c>
      <x:c r="O710" s="60" t="n">
        <x:v>3.21</x:v>
      </x:c>
      <x:c r="P710" s="60" t="n">
        <x:v>3.43</x:v>
      </x:c>
      <x:c r="Q710" s="60" t="n">
        <x:v>85.3</x:v>
      </x:c>
      <x:c r="R710" s="58" t="str">
        <x:v>X</x:v>
      </x:c>
      <x:c r="S710" s="60" t="n">
        <x:v>100</x:v>
      </x:c>
      <x:c r="T710" s="58" t="str">
        <x:v>IN TARGET BAND</x:v>
      </x:c>
      <x:c r="U710" s="58" t="str">
        <x:v>Yes</x:v>
      </x:c>
      <x:c r="V710" s="58" t="n">
        <x:v>3609</x:v>
      </x:c>
      <x:c r="W710" s="58" t="str">
        <x:v>Pasted text(59).txt</x:v>
      </x:c>
    </x:row>
    <x:row r="711">
      <x:c r="A711" s="58" t="str">
        <x:v>S20</x:v>
      </x:c>
      <x:c r="B711" s="58" t="str">
        <x:v>0.65 repeat-validation session at 268 Hz</x:v>
      </x:c>
      <x:c r="C711" s="58" t="n">
        <x:v>0.65</x:v>
      </x:c>
      <x:c r="D711" s="58" t="n">
        <x:v>3</x:v>
      </x:c>
      <x:c r="E711" s="58" t="str">
        <x:v>PASS</x:v>
      </x:c>
      <x:c r="F711" s="58" t="n">
        <x:v>1</x:v>
      </x:c>
      <x:c r="G711" s="58" t="n">
        <x:v>10</x:v>
      </x:c>
      <x:c r="H711" s="59" t="n">
        <x:v>8.25</x:v>
      </x:c>
      <x:c r="I711" s="59" t="n">
        <x:v>0.67375</x:v>
      </x:c>
      <x:c r="J711" s="59" t="n">
        <x:v>0.67179</x:v>
      </x:c>
      <x:c r="K711" s="59" t="n">
        <x:v>0.23125</x:v>
      </x:c>
      <x:c r="L711" s="59" t="n">
        <x:v>0.35143</x:v>
      </x:c>
      <x:c r="M711" s="59" t="n">
        <x:v>0.79311</x:v>
      </x:c>
      <x:c r="N711" s="60" t="n">
        <x:v>3.65</x:v>
      </x:c>
      <x:c r="O711" s="60" t="n">
        <x:v>1.87</x:v>
      </x:c>
      <x:c r="P711" s="60" t="n">
        <x:v>1.72</x:v>
      </x:c>
      <x:c r="Q711" s="60" t="n">
        <x:v>83.6</x:v>
      </x:c>
      <x:c r="R711" s="58" t="str">
        <x:v>X</x:v>
      </x:c>
      <x:c r="S711" s="60" t="n">
        <x:v>100</x:v>
      </x:c>
      <x:c r="T711" s="58" t="str">
        <x:v>IN TARGET BAND</x:v>
      </x:c>
      <x:c r="U711" s="58" t="str">
        <x:v>Yes</x:v>
      </x:c>
      <x:c r="V711" s="58" t="n">
        <x:v>3610</x:v>
      </x:c>
      <x:c r="W711" s="58" t="str">
        <x:v>Pasted text(59).txt</x:v>
      </x:c>
    </x:row>
    <x:row r="712">
      <x:c r="A712" s="58" t="str">
        <x:v>S20</x:v>
      </x:c>
      <x:c r="B712" s="58" t="str">
        <x:v>0.65 repeat-validation session at 268 Hz</x:v>
      </x:c>
      <x:c r="C712" s="58" t="n">
        <x:v>0.65</x:v>
      </x:c>
      <x:c r="D712" s="58" t="n">
        <x:v>4</x:v>
      </x:c>
      <x:c r="E712" s="58" t="str">
        <x:v>PASS</x:v>
      </x:c>
      <x:c r="F712" s="58" t="n">
        <x:v>1</x:v>
      </x:c>
      <x:c r="G712" s="58" t="n">
        <x:v>1</x:v>
      </x:c>
      <x:c r="H712" s="59" t="n">
        <x:v>8</x:v>
      </x:c>
      <x:c r="I712" s="59" t="n">
        <x:v>0.66075</x:v>
      </x:c>
      <x:c r="J712" s="59" t="n">
        <x:v>0.65993</x:v>
      </x:c>
      <x:c r="K712" s="59" t="n">
        <x:v>0.21591</x:v>
      </x:c>
      <x:c r="L712" s="59" t="n">
        <x:v>0.34009</x:v>
      </x:c>
      <x:c r="M712" s="59" t="n">
        <x:v>0.77346</x:v>
      </x:c>
      <x:c r="N712" s="60" t="n">
        <x:v>1.65</x:v>
      </x:c>
      <x:c r="O712" s="60" t="n">
        <x:v>0.65</x:v>
      </x:c>
      <x:c r="P712" s="60" t="n">
        <x:v>0.63</x:v>
      </x:c>
      <x:c r="Q712" s="60" t="n">
        <x:v>83</x:v>
      </x:c>
      <x:c r="R712" s="58" t="str">
        <x:v>X</x:v>
      </x:c>
      <x:c r="S712" s="60" t="n">
        <x:v>100</x:v>
      </x:c>
      <x:c r="T712" s="58" t="str">
        <x:v>IN TARGET BAND</x:v>
      </x:c>
      <x:c r="U712" s="58" t="str">
        <x:v>Yes</x:v>
      </x:c>
      <x:c r="V712" s="58" t="n">
        <x:v>3682</x:v>
      </x:c>
      <x:c r="W712" s="58" t="str">
        <x:v>Pasted text(59).txt</x:v>
      </x:c>
    </x:row>
    <x:row r="713">
      <x:c r="A713" s="58" t="str">
        <x:v>S20</x:v>
      </x:c>
      <x:c r="B713" s="58" t="str">
        <x:v>0.65 repeat-validation session at 268 Hz</x:v>
      </x:c>
      <x:c r="C713" s="58" t="n">
        <x:v>0.65</x:v>
      </x:c>
      <x:c r="D713" s="58" t="n">
        <x:v>4</x:v>
      </x:c>
      <x:c r="E713" s="58" t="str">
        <x:v>PASS</x:v>
      </x:c>
      <x:c r="F713" s="58" t="n">
        <x:v>1</x:v>
      </x:c>
      <x:c r="G713" s="58" t="n">
        <x:v>2</x:v>
      </x:c>
      <x:c r="H713" s="59" t="n">
        <x:v>8</x:v>
      </x:c>
      <x:c r="I713" s="59" t="n">
        <x:v>0.64001</x:v>
      </x:c>
      <x:c r="J713" s="59" t="n">
        <x:v>0.64496</x:v>
      </x:c>
      <x:c r="K713" s="59" t="n">
        <x:v>0.19861</x:v>
      </x:c>
      <x:c r="L713" s="59" t="n">
        <x:v>0.33066</x:v>
      </x:c>
      <x:c r="M713" s="59" t="n">
        <x:v>0.75178</x:v>
      </x:c>
      <x:c r="N713" s="60" t="n">
        <x:v>-1.54</x:v>
      </x:c>
      <x:c r="O713" s="60" t="n">
        <x:v>1.31</x:v>
      </x:c>
      <x:c r="P713" s="60" t="n">
        <x:v>2.14</x:v>
      </x:c>
      <x:c r="Q713" s="60" t="n">
        <x:v>83</x:v>
      </x:c>
      <x:c r="R713" s="58" t="str">
        <x:v>X</x:v>
      </x:c>
      <x:c r="S713" s="60" t="n">
        <x:v>100</x:v>
      </x:c>
      <x:c r="T713" s="58" t="str">
        <x:v>IN TARGET BAND</x:v>
      </x:c>
      <x:c r="U713" s="58" t="str">
        <x:v>Yes</x:v>
      </x:c>
      <x:c r="V713" s="58" t="n">
        <x:v>3683</x:v>
      </x:c>
      <x:c r="W713" s="58" t="str">
        <x:v>Pasted text(59).txt</x:v>
      </x:c>
    </x:row>
    <x:row r="714">
      <x:c r="A714" s="58" t="str">
        <x:v>S20</x:v>
      </x:c>
      <x:c r="B714" s="58" t="str">
        <x:v>0.65 repeat-validation session at 268 Hz</x:v>
      </x:c>
      <x:c r="C714" s="58" t="n">
        <x:v>0.65</x:v>
      </x:c>
      <x:c r="D714" s="58" t="n">
        <x:v>4</x:v>
      </x:c>
      <x:c r="E714" s="58" t="str">
        <x:v>PASS</x:v>
      </x:c>
      <x:c r="F714" s="58" t="n">
        <x:v>1</x:v>
      </x:c>
      <x:c r="G714" s="58" t="n">
        <x:v>3</x:v>
      </x:c>
      <x:c r="H714" s="59" t="n">
        <x:v>8</x:v>
      </x:c>
      <x:c r="I714" s="59" t="n">
        <x:v>0.62508</x:v>
      </x:c>
      <x:c r="J714" s="59" t="n">
        <x:v>0.63661</x:v>
      </x:c>
      <x:c r="K714" s="59" t="n">
        <x:v>0.18089</x:v>
      </x:c>
      <x:c r="L714" s="59" t="n">
        <x:v>0.31895</x:v>
      </x:c>
      <x:c r="M714" s="59" t="n">
        <x:v>0.73488</x:v>
      </x:c>
      <x:c r="N714" s="60" t="n">
        <x:v>-3.83</x:v>
      </x:c>
      <x:c r="O714" s="60" t="n">
        <x:v>1.58</x:v>
      </x:c>
      <x:c r="P714" s="60" t="n">
        <x:v>4.08</x:v>
      </x:c>
      <x:c r="Q714" s="60" t="n">
        <x:v>81.8</x:v>
      </x:c>
      <x:c r="R714" s="58" t="str">
        <x:v>X</x:v>
      </x:c>
      <x:c r="S714" s="60" t="n">
        <x:v>100</x:v>
      </x:c>
      <x:c r="T714" s="58" t="str">
        <x:v>IN TARGET BAND</x:v>
      </x:c>
      <x:c r="U714" s="58" t="str">
        <x:v>Yes</x:v>
      </x:c>
      <x:c r="V714" s="58" t="n">
        <x:v>3684</x:v>
      </x:c>
      <x:c r="W714" s="58" t="str">
        <x:v>Pasted text(59).txt</x:v>
      </x:c>
    </x:row>
    <x:row r="715">
      <x:c r="A715" s="58" t="str">
        <x:v>S20</x:v>
      </x:c>
      <x:c r="B715" s="58" t="str">
        <x:v>0.65 repeat-validation session at 268 Hz</x:v>
      </x:c>
      <x:c r="C715" s="58" t="n">
        <x:v>0.65</x:v>
      </x:c>
      <x:c r="D715" s="58" t="n">
        <x:v>4</x:v>
      </x:c>
      <x:c r="E715" s="58" t="str">
        <x:v>PASS</x:v>
      </x:c>
      <x:c r="F715" s="58" t="n">
        <x:v>1</x:v>
      </x:c>
      <x:c r="G715" s="58" t="n">
        <x:v>4</x:v>
      </x:c>
      <x:c r="H715" s="59" t="n">
        <x:v>8</x:v>
      </x:c>
      <x:c r="I715" s="59" t="n">
        <x:v>0.67063</x:v>
      </x:c>
      <x:c r="J715" s="59" t="n">
        <x:v>0.67407</x:v>
      </x:c>
      <x:c r="K715" s="59" t="n">
        <x:v>0.19203</x:v>
      </x:c>
      <x:c r="L715" s="59" t="n">
        <x:v>0.35847</x:v>
      </x:c>
      <x:c r="M715" s="59" t="n">
        <x:v>0.78759</x:v>
      </x:c>
      <x:c r="N715" s="60" t="n">
        <x:v>3.17</x:v>
      </x:c>
      <x:c r="O715" s="60" t="n">
        <x:v>1.15</x:v>
      </x:c>
      <x:c r="P715" s="60" t="n">
        <x:v>1.6</x:v>
      </x:c>
      <x:c r="Q715" s="60" t="n">
        <x:v>83.7</x:v>
      </x:c>
      <x:c r="R715" s="58" t="str">
        <x:v>X</x:v>
      </x:c>
      <x:c r="S715" s="60" t="n">
        <x:v>100</x:v>
      </x:c>
      <x:c r="T715" s="58" t="str">
        <x:v>IN TARGET BAND</x:v>
      </x:c>
      <x:c r="U715" s="58" t="str">
        <x:v>Yes</x:v>
      </x:c>
      <x:c r="V715" s="58" t="n">
        <x:v>3685</x:v>
      </x:c>
      <x:c r="W715" s="58" t="str">
        <x:v>Pasted text(59).txt</x:v>
      </x:c>
    </x:row>
    <x:row r="716">
      <x:c r="A716" s="58" t="str">
        <x:v>S20</x:v>
      </x:c>
      <x:c r="B716" s="58" t="str">
        <x:v>0.65 repeat-validation session at 268 Hz</x:v>
      </x:c>
      <x:c r="C716" s="58" t="n">
        <x:v>0.65</x:v>
      </x:c>
      <x:c r="D716" s="58" t="n">
        <x:v>4</x:v>
      </x:c>
      <x:c r="E716" s="58" t="str">
        <x:v>PASS</x:v>
      </x:c>
      <x:c r="F716" s="58" t="n">
        <x:v>1</x:v>
      </x:c>
      <x:c r="G716" s="58" t="n">
        <x:v>5</x:v>
      </x:c>
      <x:c r="H716" s="59" t="n">
        <x:v>8</x:v>
      </x:c>
      <x:c r="I716" s="59" t="n">
        <x:v>0.65747</x:v>
      </x:c>
      <x:c r="J716" s="59" t="n">
        <x:v>0.65088</x:v>
      </x:c>
      <x:c r="K716" s="59" t="n">
        <x:v>0.20404</x:v>
      </x:c>
      <x:c r="L716" s="59" t="n">
        <x:v>0.3406</x:v>
      </x:c>
      <x:c r="M716" s="59" t="n">
        <x:v>0.7627</x:v>
      </x:c>
      <x:c r="N716" s="60" t="n">
        <x:v>1.15</x:v>
      </x:c>
      <x:c r="O716" s="60" t="n">
        <x:v>4.43</x:v>
      </x:c>
      <x:c r="P716" s="60" t="n">
        <x:v>4.62</x:v>
      </x:c>
      <x:c r="Q716" s="60" t="n">
        <x:v>82.4</x:v>
      </x:c>
      <x:c r="R716" s="58" t="str">
        <x:v>X</x:v>
      </x:c>
      <x:c r="S716" s="60" t="n">
        <x:v>100</x:v>
      </x:c>
      <x:c r="T716" s="58" t="str">
        <x:v>IN TARGET BAND</x:v>
      </x:c>
      <x:c r="U716" s="58" t="str">
        <x:v>Yes</x:v>
      </x:c>
      <x:c r="V716" s="58" t="n">
        <x:v>3686</x:v>
      </x:c>
      <x:c r="W716" s="58" t="str">
        <x:v>Pasted text(59).txt</x:v>
      </x:c>
    </x:row>
    <x:row r="717">
      <x:c r="A717" s="58" t="str">
        <x:v>S20</x:v>
      </x:c>
      <x:c r="B717" s="58" t="str">
        <x:v>0.65 repeat-validation session at 268 Hz</x:v>
      </x:c>
      <x:c r="C717" s="58" t="n">
        <x:v>0.65</x:v>
      </x:c>
      <x:c r="D717" s="58" t="n">
        <x:v>4</x:v>
      </x:c>
      <x:c r="E717" s="58" t="str">
        <x:v>PASS</x:v>
      </x:c>
      <x:c r="F717" s="58" t="n">
        <x:v>1</x:v>
      </x:c>
      <x:c r="G717" s="58" t="n">
        <x:v>6</x:v>
      </x:c>
      <x:c r="H717" s="59" t="n">
        <x:v>8</x:v>
      </x:c>
      <x:c r="I717" s="59" t="n">
        <x:v>0.66851</x:v>
      </x:c>
      <x:c r="J717" s="59" t="n">
        <x:v>0.65933</x:v>
      </x:c>
      <x:c r="K717" s="59" t="n">
        <x:v>0.17357</x:v>
      </x:c>
      <x:c r="L717" s="59" t="n">
        <x:v>0.33214</x:v>
      </x:c>
      <x:c r="M717" s="59" t="n">
        <x:v>0.75875</x:v>
      </x:c>
      <x:c r="N717" s="60" t="n">
        <x:v>2.85</x:v>
      </x:c>
      <x:c r="O717" s="60" t="n">
        <x:v>0.73</x:v>
      </x:c>
      <x:c r="P717" s="60" t="n">
        <x:v>2.86</x:v>
      </x:c>
      <x:c r="Q717" s="60" t="n">
        <x:v>82.4</x:v>
      </x:c>
      <x:c r="R717" s="58" t="str">
        <x:v>X</x:v>
      </x:c>
      <x:c r="S717" s="60" t="n">
        <x:v>100</x:v>
      </x:c>
      <x:c r="T717" s="58" t="str">
        <x:v>IN TARGET BAND</x:v>
      </x:c>
      <x:c r="U717" s="58" t="str">
        <x:v>Yes</x:v>
      </x:c>
      <x:c r="V717" s="58" t="n">
        <x:v>3687</x:v>
      </x:c>
      <x:c r="W717" s="58" t="str">
        <x:v>Pasted text(59).txt</x:v>
      </x:c>
    </x:row>
    <x:row r="718">
      <x:c r="A718" s="58" t="str">
        <x:v>S20</x:v>
      </x:c>
      <x:c r="B718" s="58" t="str">
        <x:v>0.65 repeat-validation session at 268 Hz</x:v>
      </x:c>
      <x:c r="C718" s="58" t="n">
        <x:v>0.65</x:v>
      </x:c>
      <x:c r="D718" s="58" t="n">
        <x:v>4</x:v>
      </x:c>
      <x:c r="E718" s="58" t="str">
        <x:v>PASS</x:v>
      </x:c>
      <x:c r="F718" s="58" t="n">
        <x:v>1</x:v>
      </x:c>
      <x:c r="G718" s="58" t="n">
        <x:v>7</x:v>
      </x:c>
      <x:c r="H718" s="59" t="n">
        <x:v>8</x:v>
      </x:c>
      <x:c r="I718" s="59" t="n">
        <x:v>0.65255</x:v>
      </x:c>
      <x:c r="J718" s="59" t="n">
        <x:v>0.64612</x:v>
      </x:c>
      <x:c r="K718" s="59" t="n">
        <x:v>0.20244</x:v>
      </x:c>
      <x:c r="L718" s="59" t="n">
        <x:v>0.36563</x:v>
      </x:c>
      <x:c r="M718" s="59" t="n">
        <x:v>0.76975</x:v>
      </x:c>
      <x:c r="N718" s="60" t="n">
        <x:v>0.39</x:v>
      </x:c>
      <x:c r="O718" s="60" t="n">
        <x:v>1.14</x:v>
      </x:c>
      <x:c r="P718" s="60" t="n">
        <x:v>2.43</x:v>
      </x:c>
      <x:c r="Q718" s="60" t="n">
        <x:v>82.4</x:v>
      </x:c>
      <x:c r="R718" s="58" t="str">
        <x:v>X</x:v>
      </x:c>
      <x:c r="S718" s="60" t="n">
        <x:v>100</x:v>
      </x:c>
      <x:c r="T718" s="58" t="str">
        <x:v>IN TARGET BAND</x:v>
      </x:c>
      <x:c r="U718" s="58" t="str">
        <x:v>Yes</x:v>
      </x:c>
      <x:c r="V718" s="58" t="n">
        <x:v>3688</x:v>
      </x:c>
      <x:c r="W718" s="58" t="str">
        <x:v>Pasted text(59).txt</x:v>
      </x:c>
    </x:row>
    <x:row r="719">
      <x:c r="A719" s="58" t="str">
        <x:v>S20</x:v>
      </x:c>
      <x:c r="B719" s="58" t="str">
        <x:v>0.65 repeat-validation session at 268 Hz</x:v>
      </x:c>
      <x:c r="C719" s="58" t="n">
        <x:v>0.65</x:v>
      </x:c>
      <x:c r="D719" s="58" t="n">
        <x:v>4</x:v>
      </x:c>
      <x:c r="E719" s="58" t="str">
        <x:v>PASS</x:v>
      </x:c>
      <x:c r="F719" s="58" t="n">
        <x:v>1</x:v>
      </x:c>
      <x:c r="G719" s="58" t="n">
        <x:v>8</x:v>
      </x:c>
      <x:c r="H719" s="59" t="n">
        <x:v>8</x:v>
      </x:c>
      <x:c r="I719" s="59" t="n">
        <x:v>0.6783</x:v>
      </x:c>
      <x:c r="J719" s="59" t="n">
        <x:v>0.68001</x:v>
      </x:c>
      <x:c r="K719" s="59" t="n">
        <x:v>0.21324</x:v>
      </x:c>
      <x:c r="L719" s="59" t="n">
        <x:v>0.34211</x:v>
      </x:c>
      <x:c r="M719" s="59" t="n">
        <x:v>0.79087</x:v>
      </x:c>
      <x:c r="N719" s="60" t="n">
        <x:v>4.35</x:v>
      </x:c>
      <x:c r="O719" s="60" t="n">
        <x:v>1.28</x:v>
      </x:c>
      <x:c r="P719" s="60" t="n">
        <x:v>1.26</x:v>
      </x:c>
      <x:c r="Q719" s="60" t="n">
        <x:v>83.8</x:v>
      </x:c>
      <x:c r="R719" s="58" t="str">
        <x:v>X</x:v>
      </x:c>
      <x:c r="S719" s="60" t="n">
        <x:v>100</x:v>
      </x:c>
      <x:c r="T719" s="58" t="str">
        <x:v>IN TARGET BAND</x:v>
      </x:c>
      <x:c r="U719" s="58" t="str">
        <x:v>Yes</x:v>
      </x:c>
      <x:c r="V719" s="58" t="n">
        <x:v>3689</x:v>
      </x:c>
      <x:c r="W719" s="58" t="str">
        <x:v>Pasted text(59).txt</x:v>
      </x:c>
    </x:row>
    <x:row r="720">
      <x:c r="A720" s="58" t="str">
        <x:v>S20</x:v>
      </x:c>
      <x:c r="B720" s="58" t="str">
        <x:v>0.65 repeat-validation session at 268 Hz</x:v>
      </x:c>
      <x:c r="C720" s="58" t="n">
        <x:v>0.65</x:v>
      </x:c>
      <x:c r="D720" s="58" t="n">
        <x:v>4</x:v>
      </x:c>
      <x:c r="E720" s="58" t="str">
        <x:v>PASS</x:v>
      </x:c>
      <x:c r="F720" s="58" t="n">
        <x:v>1</x:v>
      </x:c>
      <x:c r="G720" s="58" t="n">
        <x:v>9</x:v>
      </x:c>
      <x:c r="H720" s="59" t="n">
        <x:v>8</x:v>
      </x:c>
      <x:c r="I720" s="59" t="n">
        <x:v>0.64448</x:v>
      </x:c>
      <x:c r="J720" s="59" t="n">
        <x:v>0.64578</x:v>
      </x:c>
      <x:c r="K720" s="59" t="n">
        <x:v>0.2081</x:v>
      </x:c>
      <x:c r="L720" s="59" t="n">
        <x:v>0.34766</x:v>
      </x:c>
      <x:c r="M720" s="59" t="n">
        <x:v>0.76265</x:v>
      </x:c>
      <x:c r="N720" s="60" t="n">
        <x:v>-0.85</x:v>
      </x:c>
      <x:c r="O720" s="60" t="n">
        <x:v>2.19</x:v>
      </x:c>
      <x:c r="P720" s="60" t="n">
        <x:v>1.79</x:v>
      </x:c>
      <x:c r="Q720" s="60" t="n">
        <x:v>83.4</x:v>
      </x:c>
      <x:c r="R720" s="58" t="str">
        <x:v>X</x:v>
      </x:c>
      <x:c r="S720" s="60" t="n">
        <x:v>100</x:v>
      </x:c>
      <x:c r="T720" s="58" t="str">
        <x:v>IN TARGET BAND</x:v>
      </x:c>
      <x:c r="U720" s="58" t="str">
        <x:v>Yes</x:v>
      </x:c>
      <x:c r="V720" s="58" t="n">
        <x:v>3690</x:v>
      </x:c>
      <x:c r="W720" s="58" t="str">
        <x:v>Pasted text(59).txt</x:v>
      </x:c>
    </x:row>
    <x:row r="721">
      <x:c r="A721" s="58" t="str">
        <x:v>S20</x:v>
      </x:c>
      <x:c r="B721" s="58" t="str">
        <x:v>0.65 repeat-validation session at 268 Hz</x:v>
      </x:c>
      <x:c r="C721" s="58" t="n">
        <x:v>0.65</x:v>
      </x:c>
      <x:c r="D721" s="58" t="n">
        <x:v>4</x:v>
      </x:c>
      <x:c r="E721" s="58" t="str">
        <x:v>PASS</x:v>
      </x:c>
      <x:c r="F721" s="58" t="n">
        <x:v>1</x:v>
      </x:c>
      <x:c r="G721" s="58" t="n">
        <x:v>10</x:v>
      </x:c>
      <x:c r="H721" s="59" t="n">
        <x:v>8</x:v>
      </x:c>
      <x:c r="I721" s="59" t="n">
        <x:v>0.6436</x:v>
      </x:c>
      <x:c r="J721" s="59" t="n">
        <x:v>0.64962</x:v>
      </x:c>
      <x:c r="K721" s="59" t="n">
        <x:v>0.21242</x:v>
      </x:c>
      <x:c r="L721" s="59" t="n">
        <x:v>0.36478</x:v>
      </x:c>
      <x:c r="M721" s="59" t="n">
        <x:v>0.77482</x:v>
      </x:c>
      <x:c r="N721" s="60" t="n">
        <x:v>-0.99</x:v>
      </x:c>
      <x:c r="O721" s="60" t="n">
        <x:v>0.11</x:v>
      </x:c>
      <x:c r="P721" s="60" t="n">
        <x:v>1.67</x:v>
      </x:c>
      <x:c r="Q721" s="60" t="n">
        <x:v>82.2</x:v>
      </x:c>
      <x:c r="R721" s="58" t="str">
        <x:v>X</x:v>
      </x:c>
      <x:c r="S721" s="60" t="n">
        <x:v>100</x:v>
      </x:c>
      <x:c r="T721" s="58" t="str">
        <x:v>IN TARGET BAND</x:v>
      </x:c>
      <x:c r="U721" s="58" t="str">
        <x:v>Yes</x:v>
      </x:c>
      <x:c r="V721" s="58" t="n">
        <x:v>3691</x:v>
      </x:c>
      <x:c r="W721" s="58" t="str">
        <x:v>Pasted text(59).txt</x:v>
      </x:c>
    </x:row>
    <x:row r="722">
      <x:c r="A722" s="58" t="str">
        <x:v>S20</x:v>
      </x:c>
      <x:c r="B722" s="58" t="str">
        <x:v>0.65 repeat-validation session at 268 Hz</x:v>
      </x:c>
      <x:c r="C722" s="58" t="n">
        <x:v>0.65</x:v>
      </x:c>
      <x:c r="D722" s="58" t="n">
        <x:v>5</x:v>
      </x:c>
      <x:c r="E722" s="58" t="str">
        <x:v>PASS</x:v>
      </x:c>
      <x:c r="F722" s="58" t="n">
        <x:v>1</x:v>
      </x:c>
      <x:c r="G722" s="58" t="n">
        <x:v>1</x:v>
      </x:c>
      <x:c r="H722" s="59" t="n">
        <x:v>8</x:v>
      </x:c>
      <x:c r="I722" s="59" t="n">
        <x:v>0.65578</x:v>
      </x:c>
      <x:c r="J722" s="59" t="n">
        <x:v>0.65496</x:v>
      </x:c>
      <x:c r="K722" s="59" t="n">
        <x:v>0.19714</x:v>
      </x:c>
      <x:c r="L722" s="59" t="n">
        <x:v>0.33135</x:v>
      </x:c>
      <x:c r="M722" s="59" t="n">
        <x:v>0.76044</x:v>
      </x:c>
      <x:c r="N722" s="60" t="n">
        <x:v>0.89</x:v>
      </x:c>
      <x:c r="O722" s="60" t="n">
        <x:v>2.66</x:v>
      </x:c>
      <x:c r="P722" s="60" t="n">
        <x:v>1.99</x:v>
      </x:c>
      <x:c r="Q722" s="60" t="n">
        <x:v>82.8</x:v>
      </x:c>
      <x:c r="R722" s="58" t="str">
        <x:v>X</x:v>
      </x:c>
      <x:c r="S722" s="60" t="n">
        <x:v>100</x:v>
      </x:c>
      <x:c r="T722" s="58" t="str">
        <x:v>IN TARGET BAND</x:v>
      </x:c>
      <x:c r="U722" s="58" t="str">
        <x:v>Yes</x:v>
      </x:c>
      <x:c r="V722" s="58" t="n">
        <x:v>3762</x:v>
      </x:c>
      <x:c r="W722" s="58" t="str">
        <x:v>Pasted text(59).txt</x:v>
      </x:c>
    </x:row>
    <x:row r="723">
      <x:c r="A723" s="58" t="str">
        <x:v>S20</x:v>
      </x:c>
      <x:c r="B723" s="58" t="str">
        <x:v>0.65 repeat-validation session at 268 Hz</x:v>
      </x:c>
      <x:c r="C723" s="58" t="n">
        <x:v>0.65</x:v>
      </x:c>
      <x:c r="D723" s="58" t="n">
        <x:v>5</x:v>
      </x:c>
      <x:c r="E723" s="58" t="str">
        <x:v>PASS</x:v>
      </x:c>
      <x:c r="F723" s="58" t="n">
        <x:v>1</x:v>
      </x:c>
      <x:c r="G723" s="58" t="n">
        <x:v>2</x:v>
      </x:c>
      <x:c r="H723" s="59" t="n">
        <x:v>8</x:v>
      </x:c>
      <x:c r="I723" s="59" t="n">
        <x:v>0.65555</x:v>
      </x:c>
      <x:c r="J723" s="59" t="n">
        <x:v>0.65674</x:v>
      </x:c>
      <x:c r="K723" s="59" t="n">
        <x:v>0.19652</x:v>
      </x:c>
      <x:c r="L723" s="59" t="n">
        <x:v>0.36325</x:v>
      </x:c>
      <x:c r="M723" s="59" t="n">
        <x:v>0.77644</x:v>
      </x:c>
      <x:c r="N723" s="60" t="n">
        <x:v>0.85</x:v>
      </x:c>
      <x:c r="O723" s="60" t="n">
        <x:v>0.8</x:v>
      </x:c>
      <x:c r="P723" s="60" t="n">
        <x:v>0.83</x:v>
      </x:c>
      <x:c r="Q723" s="60" t="n">
        <x:v>82.1</x:v>
      </x:c>
      <x:c r="R723" s="58" t="str">
        <x:v>X</x:v>
      </x:c>
      <x:c r="S723" s="60" t="n">
        <x:v>100</x:v>
      </x:c>
      <x:c r="T723" s="58" t="str">
        <x:v>IN TARGET BAND</x:v>
      </x:c>
      <x:c r="U723" s="58" t="str">
        <x:v>Yes</x:v>
      </x:c>
      <x:c r="V723" s="58" t="n">
        <x:v>3763</x:v>
      </x:c>
      <x:c r="W723" s="58" t="str">
        <x:v>Pasted text(59).txt</x:v>
      </x:c>
    </x:row>
    <x:row r="724">
      <x:c r="A724" s="58" t="str">
        <x:v>S20</x:v>
      </x:c>
      <x:c r="B724" s="58" t="str">
        <x:v>0.65 repeat-validation session at 268 Hz</x:v>
      </x:c>
      <x:c r="C724" s="58" t="n">
        <x:v>0.65</x:v>
      </x:c>
      <x:c r="D724" s="58" t="n">
        <x:v>5</x:v>
      </x:c>
      <x:c r="E724" s="58" t="str">
        <x:v>PASS</x:v>
      </x:c>
      <x:c r="F724" s="58" t="n">
        <x:v>1</x:v>
      </x:c>
      <x:c r="G724" s="58" t="n">
        <x:v>3</x:v>
      </x:c>
      <x:c r="H724" s="59" t="n">
        <x:v>8</x:v>
      </x:c>
      <x:c r="I724" s="59" t="n">
        <x:v>0.65841</x:v>
      </x:c>
      <x:c r="J724" s="59" t="n">
        <x:v>0.65437</x:v>
      </x:c>
      <x:c r="K724" s="59" t="n">
        <x:v>0.21756</x:v>
      </x:c>
      <x:c r="L724" s="59" t="n">
        <x:v>0.36477</x:v>
      </x:c>
      <x:c r="M724" s="59" t="n">
        <x:v>0.78081</x:v>
      </x:c>
      <x:c r="N724" s="60" t="n">
        <x:v>1.29</x:v>
      </x:c>
      <x:c r="O724" s="60" t="n">
        <x:v>0.28</x:v>
      </x:c>
      <x:c r="P724" s="60" t="n">
        <x:v>1.24</x:v>
      </x:c>
      <x:c r="Q724" s="60" t="n">
        <x:v>83.9</x:v>
      </x:c>
      <x:c r="R724" s="58" t="str">
        <x:v>X</x:v>
      </x:c>
      <x:c r="S724" s="60" t="n">
        <x:v>100</x:v>
      </x:c>
      <x:c r="T724" s="58" t="str">
        <x:v>IN TARGET BAND</x:v>
      </x:c>
      <x:c r="U724" s="58" t="str">
        <x:v>Yes</x:v>
      </x:c>
      <x:c r="V724" s="58" t="n">
        <x:v>3764</x:v>
      </x:c>
      <x:c r="W724" s="58" t="str">
        <x:v>Pasted text(59).txt</x:v>
      </x:c>
    </x:row>
    <x:row r="725">
      <x:c r="A725" s="58" t="str">
        <x:v>S20</x:v>
      </x:c>
      <x:c r="B725" s="58" t="str">
        <x:v>0.65 repeat-validation session at 268 Hz</x:v>
      </x:c>
      <x:c r="C725" s="58" t="n">
        <x:v>0.65</x:v>
      </x:c>
      <x:c r="D725" s="58" t="n">
        <x:v>5</x:v>
      </x:c>
      <x:c r="E725" s="58" t="str">
        <x:v>PASS</x:v>
      </x:c>
      <x:c r="F725" s="58" t="n">
        <x:v>1</x:v>
      </x:c>
      <x:c r="G725" s="58" t="n">
        <x:v>4</x:v>
      </x:c>
      <x:c r="H725" s="59" t="n">
        <x:v>8</x:v>
      </x:c>
      <x:c r="I725" s="59" t="n">
        <x:v>0.65463</x:v>
      </x:c>
      <x:c r="J725" s="59" t="n">
        <x:v>0.65421</x:v>
      </x:c>
      <x:c r="K725" s="59" t="n">
        <x:v>0.18647</x:v>
      </x:c>
      <x:c r="L725" s="59" t="n">
        <x:v>0.35041</x:v>
      </x:c>
      <x:c r="M725" s="59" t="n">
        <x:v>0.76547</x:v>
      </x:c>
      <x:c r="N725" s="60" t="n">
        <x:v>0.71</x:v>
      </x:c>
      <x:c r="O725" s="60" t="n">
        <x:v>0.63</x:v>
      </x:c>
      <x:c r="P725" s="60" t="n">
        <x:v>0.52</x:v>
      </x:c>
      <x:c r="Q725" s="60" t="n">
        <x:v>82.5</x:v>
      </x:c>
      <x:c r="R725" s="58" t="str">
        <x:v>X</x:v>
      </x:c>
      <x:c r="S725" s="60" t="n">
        <x:v>100</x:v>
      </x:c>
      <x:c r="T725" s="58" t="str">
        <x:v>IN TARGET BAND</x:v>
      </x:c>
      <x:c r="U725" s="58" t="str">
        <x:v>Yes</x:v>
      </x:c>
      <x:c r="V725" s="58" t="n">
        <x:v>3765</x:v>
      </x:c>
      <x:c r="W725" s="58" t="str">
        <x:v>Pasted text(59).txt</x:v>
      </x:c>
    </x:row>
    <x:row r="726">
      <x:c r="A726" s="58" t="str">
        <x:v>S20</x:v>
      </x:c>
      <x:c r="B726" s="58" t="str">
        <x:v>0.65 repeat-validation session at 268 Hz</x:v>
      </x:c>
      <x:c r="C726" s="58" t="n">
        <x:v>0.65</x:v>
      </x:c>
      <x:c r="D726" s="58" t="n">
        <x:v>5</x:v>
      </x:c>
      <x:c r="E726" s="58" t="str">
        <x:v>PASS</x:v>
      </x:c>
      <x:c r="F726" s="58" t="n">
        <x:v>1</x:v>
      </x:c>
      <x:c r="G726" s="58" t="n">
        <x:v>5</x:v>
      </x:c>
      <x:c r="H726" s="59" t="n">
        <x:v>8</x:v>
      </x:c>
      <x:c r="I726" s="59" t="n">
        <x:v>0.66176</x:v>
      </x:c>
      <x:c r="J726" s="59" t="n">
        <x:v>0.66026</x:v>
      </x:c>
      <x:c r="K726" s="59" t="n">
        <x:v>0.17951</x:v>
      </x:c>
      <x:c r="L726" s="59" t="n">
        <x:v>0.31626</x:v>
      </x:c>
      <x:c r="M726" s="59" t="n">
        <x:v>0.7539</x:v>
      </x:c>
      <x:c r="N726" s="60" t="n">
        <x:v>1.81</x:v>
      </x:c>
      <x:c r="O726" s="60" t="n">
        <x:v>1.7</x:v>
      </x:c>
      <x:c r="P726" s="60" t="n">
        <x:v>1.51</x:v>
      </x:c>
      <x:c r="Q726" s="60" t="n">
        <x:v>82.3</x:v>
      </x:c>
      <x:c r="R726" s="58" t="str">
        <x:v>X</x:v>
      </x:c>
      <x:c r="S726" s="60" t="n">
        <x:v>100</x:v>
      </x:c>
      <x:c r="T726" s="58" t="str">
        <x:v>IN TARGET BAND</x:v>
      </x:c>
      <x:c r="U726" s="58" t="str">
        <x:v>Yes</x:v>
      </x:c>
      <x:c r="V726" s="58" t="n">
        <x:v>3766</x:v>
      </x:c>
      <x:c r="W726" s="58" t="str">
        <x:v>Pasted text(59).txt</x:v>
      </x:c>
    </x:row>
    <x:row r="727">
      <x:c r="A727" s="58" t="str">
        <x:v>S20</x:v>
      </x:c>
      <x:c r="B727" s="58" t="str">
        <x:v>0.65 repeat-validation session at 268 Hz</x:v>
      </x:c>
      <x:c r="C727" s="58" t="n">
        <x:v>0.65</x:v>
      </x:c>
      <x:c r="D727" s="58" t="n">
        <x:v>5</x:v>
      </x:c>
      <x:c r="E727" s="58" t="str">
        <x:v>PASS</x:v>
      </x:c>
      <x:c r="F727" s="58" t="n">
        <x:v>1</x:v>
      </x:c>
      <x:c r="G727" s="58" t="n">
        <x:v>6</x:v>
      </x:c>
      <x:c r="H727" s="59" t="n">
        <x:v>8</x:v>
      </x:c>
      <x:c r="I727" s="59" t="n">
        <x:v>0.66209</x:v>
      </x:c>
      <x:c r="J727" s="59" t="n">
        <x:v>0.65848</x:v>
      </x:c>
      <x:c r="K727" s="59" t="n">
        <x:v>0.1847</x:v>
      </x:c>
      <x:c r="L727" s="59" t="n">
        <x:v>0.33118</x:v>
      </x:c>
      <x:c r="M727" s="59" t="n">
        <x:v>0.76033</x:v>
      </x:c>
      <x:c r="N727" s="60" t="n">
        <x:v>1.86</x:v>
      </x:c>
      <x:c r="O727" s="60" t="n">
        <x:v>3.22</x:v>
      </x:c>
      <x:c r="P727" s="60" t="n">
        <x:v>3.04</x:v>
      </x:c>
      <x:c r="Q727" s="60" t="n">
        <x:v>84.2</x:v>
      </x:c>
      <x:c r="R727" s="58" t="str">
        <x:v>X</x:v>
      </x:c>
      <x:c r="S727" s="60" t="n">
        <x:v>100</x:v>
      </x:c>
      <x:c r="T727" s="58" t="str">
        <x:v>IN TARGET BAND</x:v>
      </x:c>
      <x:c r="U727" s="58" t="str">
        <x:v>Yes</x:v>
      </x:c>
      <x:c r="V727" s="58" t="n">
        <x:v>3767</x:v>
      </x:c>
      <x:c r="W727" s="58" t="str">
        <x:v>Pasted text(59).txt</x:v>
      </x:c>
    </x:row>
    <x:row r="728">
      <x:c r="A728" s="58" t="str">
        <x:v>S20</x:v>
      </x:c>
      <x:c r="B728" s="58" t="str">
        <x:v>0.65 repeat-validation session at 268 Hz</x:v>
      </x:c>
      <x:c r="C728" s="58" t="n">
        <x:v>0.65</x:v>
      </x:c>
      <x:c r="D728" s="58" t="n">
        <x:v>5</x:v>
      </x:c>
      <x:c r="E728" s="58" t="str">
        <x:v>PASS</x:v>
      </x:c>
      <x:c r="F728" s="58" t="n">
        <x:v>1</x:v>
      </x:c>
      <x:c r="G728" s="58" t="n">
        <x:v>7</x:v>
      </x:c>
      <x:c r="H728" s="59" t="n">
        <x:v>8</x:v>
      </x:c>
      <x:c r="I728" s="59" t="n">
        <x:v>0.64474</x:v>
      </x:c>
      <x:c r="J728" s="59" t="n">
        <x:v>0.65659</x:v>
      </x:c>
      <x:c r="K728" s="59" t="n">
        <x:v>0.19275</x:v>
      </x:c>
      <x:c r="L728" s="59" t="n">
        <x:v>0.35203</x:v>
      </x:c>
      <x:c r="M728" s="59" t="n">
        <x:v>0.76995</x:v>
      </x:c>
      <x:c r="N728" s="60" t="n">
        <x:v>-0.81</x:v>
      </x:c>
      <x:c r="O728" s="60" t="n">
        <x:v>0.09</x:v>
      </x:c>
      <x:c r="P728" s="60" t="n">
        <x:v>3.18</x:v>
      </x:c>
      <x:c r="Q728" s="60" t="n">
        <x:v>82.6</x:v>
      </x:c>
      <x:c r="R728" s="58" t="str">
        <x:v>X</x:v>
      </x:c>
      <x:c r="S728" s="60" t="n">
        <x:v>100</x:v>
      </x:c>
      <x:c r="T728" s="58" t="str">
        <x:v>IN TARGET BAND</x:v>
      </x:c>
      <x:c r="U728" s="58" t="str">
        <x:v>Yes</x:v>
      </x:c>
      <x:c r="V728" s="58" t="n">
        <x:v>3768</x:v>
      </x:c>
      <x:c r="W728" s="58" t="str">
        <x:v>Pasted text(59).txt</x:v>
      </x:c>
    </x:row>
    <x:row r="729">
      <x:c r="A729" s="58" t="str">
        <x:v>S20</x:v>
      </x:c>
      <x:c r="B729" s="58" t="str">
        <x:v>0.65 repeat-validation session at 268 Hz</x:v>
      </x:c>
      <x:c r="C729" s="58" t="n">
        <x:v>0.65</x:v>
      </x:c>
      <x:c r="D729" s="58" t="n">
        <x:v>5</x:v>
      </x:c>
      <x:c r="E729" s="58" t="str">
        <x:v>PASS</x:v>
      </x:c>
      <x:c r="F729" s="58" t="n">
        <x:v>1</x:v>
      </x:c>
      <x:c r="G729" s="58" t="n">
        <x:v>8</x:v>
      </x:c>
      <x:c r="H729" s="59" t="n">
        <x:v>8</x:v>
      </x:c>
      <x:c r="I729" s="59" t="n">
        <x:v>0.67462</x:v>
      </x:c>
      <x:c r="J729" s="59" t="n">
        <x:v>0.66907</x:v>
      </x:c>
      <x:c r="K729" s="59" t="n">
        <x:v>0.21133</x:v>
      </x:c>
      <x:c r="L729" s="59" t="n">
        <x:v>0.36884</x:v>
      </x:c>
      <x:c r="M729" s="59" t="n">
        <x:v>0.79303</x:v>
      </x:c>
      <x:c r="N729" s="60" t="n">
        <x:v>3.79</x:v>
      </x:c>
      <x:c r="O729" s="60" t="n">
        <x:v>2.51</x:v>
      </x:c>
      <x:c r="P729" s="60" t="n">
        <x:v>3.04</x:v>
      </x:c>
      <x:c r="Q729" s="60" t="n">
        <x:v>84.3</x:v>
      </x:c>
      <x:c r="R729" s="58" t="str">
        <x:v>X</x:v>
      </x:c>
      <x:c r="S729" s="60" t="n">
        <x:v>100</x:v>
      </x:c>
      <x:c r="T729" s="58" t="str">
        <x:v>IN TARGET BAND</x:v>
      </x:c>
      <x:c r="U729" s="58" t="str">
        <x:v>Yes</x:v>
      </x:c>
      <x:c r="V729" s="58" t="n">
        <x:v>3769</x:v>
      </x:c>
      <x:c r="W729" s="58" t="str">
        <x:v>Pasted text(59).txt</x:v>
      </x:c>
    </x:row>
    <x:row r="730">
      <x:c r="A730" s="58" t="str">
        <x:v>S20</x:v>
      </x:c>
      <x:c r="B730" s="58" t="str">
        <x:v>0.65 repeat-validation session at 268 Hz</x:v>
      </x:c>
      <x:c r="C730" s="58" t="n">
        <x:v>0.65</x:v>
      </x:c>
      <x:c r="D730" s="58" t="n">
        <x:v>5</x:v>
      </x:c>
      <x:c r="E730" s="58" t="str">
        <x:v>PASS</x:v>
      </x:c>
      <x:c r="F730" s="58" t="n">
        <x:v>1</x:v>
      </x:c>
      <x:c r="G730" s="58" t="n">
        <x:v>9</x:v>
      </x:c>
      <x:c r="H730" s="59" t="n">
        <x:v>8</x:v>
      </x:c>
      <x:c r="I730" s="59" t="n">
        <x:v>0.64124</x:v>
      </x:c>
      <x:c r="J730" s="59" t="n">
        <x:v>0.64151</x:v>
      </x:c>
      <x:c r="K730" s="59" t="n">
        <x:v>0.21217</x:v>
      </x:c>
      <x:c r="L730" s="59" t="n">
        <x:v>0.32465</x:v>
      </x:c>
      <x:c r="M730" s="59" t="n">
        <x:v>0.75055</x:v>
      </x:c>
      <x:c r="N730" s="60" t="n">
        <x:v>-1.35</x:v>
      </x:c>
      <x:c r="O730" s="60" t="n">
        <x:v>1.48</x:v>
      </x:c>
      <x:c r="P730" s="60" t="n">
        <x:v>1.07</x:v>
      </x:c>
      <x:c r="Q730" s="60" t="n">
        <x:v>82.8</x:v>
      </x:c>
      <x:c r="R730" s="58" t="str">
        <x:v>X</x:v>
      </x:c>
      <x:c r="S730" s="60" t="n">
        <x:v>100</x:v>
      </x:c>
      <x:c r="T730" s="58" t="str">
        <x:v>IN TARGET BAND</x:v>
      </x:c>
      <x:c r="U730" s="58" t="str">
        <x:v>Yes</x:v>
      </x:c>
      <x:c r="V730" s="58" t="n">
        <x:v>3770</x:v>
      </x:c>
      <x:c r="W730" s="58" t="str">
        <x:v>Pasted text(59).txt</x:v>
      </x:c>
    </x:row>
    <x:row r="731">
      <x:c r="A731" s="58" t="str">
        <x:v>S20</x:v>
      </x:c>
      <x:c r="B731" s="58" t="str">
        <x:v>0.65 repeat-validation session at 268 Hz</x:v>
      </x:c>
      <x:c r="C731" s="58" t="n">
        <x:v>0.65</x:v>
      </x:c>
      <x:c r="D731" s="58" t="n">
        <x:v>5</x:v>
      </x:c>
      <x:c r="E731" s="58" t="str">
        <x:v>PASS</x:v>
      </x:c>
      <x:c r="F731" s="58" t="n">
        <x:v>1</x:v>
      </x:c>
      <x:c r="G731" s="58" t="n">
        <x:v>10</x:v>
      </x:c>
      <x:c r="H731" s="59" t="n">
        <x:v>8</x:v>
      </x:c>
      <x:c r="I731" s="59" t="n">
        <x:v>0.66327</x:v>
      </x:c>
      <x:c r="J731" s="59" t="n">
        <x:v>0.66655</x:v>
      </x:c>
      <x:c r="K731" s="59" t="n">
        <x:v>0.19267</x:v>
      </x:c>
      <x:c r="L731" s="59" t="n">
        <x:v>0.34743</x:v>
      </x:c>
      <x:c r="M731" s="59" t="n">
        <x:v>0.77638</x:v>
      </x:c>
      <x:c r="N731" s="60" t="n">
        <x:v>2.04</x:v>
      </x:c>
      <x:c r="O731" s="60" t="n">
        <x:v>1.7</x:v>
      </x:c>
      <x:c r="P731" s="60" t="n">
        <x:v>1.92</x:v>
      </x:c>
      <x:c r="Q731" s="60" t="n">
        <x:v>82.8</x:v>
      </x:c>
      <x:c r="R731" s="58" t="str">
        <x:v>X</x:v>
      </x:c>
      <x:c r="S731" s="60" t="n">
        <x:v>100</x:v>
      </x:c>
      <x:c r="T731" s="58" t="str">
        <x:v>IN TARGET BAND</x:v>
      </x:c>
      <x:c r="U731" s="58" t="str">
        <x:v>Yes</x:v>
      </x:c>
      <x:c r="V731" s="58" t="n">
        <x:v>3771</x:v>
      </x:c>
      <x:c r="W731" s="58" t="str">
        <x:v>Pasted text(59).txt</x:v>
      </x:c>
    </x:row>
  </x:sheetData>
  <x:conditionalFormatting sqref="T2:T381">
    <x:cfRule type="expression" dxfId="4" priority="1">
      <x:formula>T2="IN TARGET BAND"</x:formula>
    </x:cfRule>
    <x:cfRule type="expression" dxfId="5" priority="2">
      <x:formula>ISNUMBER(SEARCH("UNSTABLE",T2))</x:formula>
    </x:cfRule>
  </x:conditionalFormatting>
  <x:conditionalFormatting sqref="E2:E381">
    <x:cfRule type="expression" dxfId="6" priority="3">
      <x:formula>E2="FAIL"</x:formula>
    </x:cfRule>
  </x:conditionalFormatting>
  <x:conditionalFormatting sqref="I2:I381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{EED38BB5-683A-EC99-6271-440BBD7DF51F}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ED38BB5-683A-EC99-6271-440BBD7DF51F}">
            <x14:dataBar gradient="1">
              <x14:cfvo type="min"/>
              <x14:cfvo type="max"/>
              <x14:fillColor rgb="FF5B9BD5"/>
            </x14:dataBar>
          </x14:cfRule>
          <xm:sqref>I2:I381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1" hidden="0" customWidth="1"/>
    <x:col min="4" max="4" width="8" hidden="0" customWidth="1"/>
    <x:col min="5" max="5" width="9" hidden="0" customWidth="1"/>
    <x:col min="6" max="6" width="10" hidden="0" customWidth="1"/>
    <x:col min="7" max="7" width="9" hidden="0" customWidth="1"/>
    <x:col min="8" max="8" width="10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  <x:col min="14" max="14" width="11" hidden="0" customWidth="1"/>
    <x:col min="15" max="15" width="10" hidden="0" customWidth="1"/>
    <x:col min="16" max="16" width="10" hidden="0" customWidth="1"/>
    <x:col min="17" max="17" width="14" hidden="0" customWidth="1"/>
    <x:col min="18" max="18" width="12" hidden="0" customWidth="1"/>
    <x:col min="19" max="19" width="15" hidden="0" customWidth="1"/>
    <x:col min="20" max="20" width="32" hidden="0" customWidth="1"/>
    <x:col min="21" max="21" width="12" hidden="0" customWidth="1"/>
    <x:col min="22" max="22" width="24" hidden="0" customWidth="1"/>
  </x:cols>
  <x:sheetData>
    <x:row r="1">
      <x:c r="A1" s="49" t="str">
        <x:v>Session</x:v>
      </x:c>
      <x:c r="B1" s="49" t="str">
        <x:v>Test label</x:v>
      </x:c>
      <x:c r="C1" s="49" t="str">
        <x:v>Target</x:v>
      </x:c>
      <x:c r="D1" s="49" t="str">
        <x:v>Run</x:v>
      </x:c>
      <x:c r="E1" s="49" t="str">
        <x:v>Attempt</x:v>
      </x:c>
      <x:c r="F1" s="49" t="str">
        <x:v>Stage</x:v>
      </x:c>
      <x:c r="G1" s="49" t="str">
        <x:v>Point</x:v>
      </x:c>
      <x:c r="H1" s="49" t="str">
        <x:v>DAC</x:v>
      </x:c>
      <x:c r="I1" s="49" t="str">
        <x:v>CTRL X</x:v>
      </x:c>
      <x:c r="J1" s="49" t="str">
        <x:v>X</x:v>
      </x:c>
      <x:c r="K1" s="49" t="str">
        <x:v>Y</x:v>
      </x:c>
      <x:c r="L1" s="49" t="str">
        <x:v>Z</x:v>
      </x:c>
      <x:c r="M1" s="49" t="str">
        <x:v>Total</x:v>
      </x:c>
      <x:c r="N1" s="49" t="str">
        <x:v>Error (%)</x:v>
      </x:c>
      <x:c r="O1" s="49" t="str">
        <x:v>MAD (%)</x:v>
      </x:c>
      <x:c r="P1" s="49" t="str">
        <x:v>CV (%)</x:v>
      </x:c>
      <x:c r="Q1" s="49" t="str">
        <x:v>Coherence (%)</x:v>
      </x:c>
      <x:c r="R1" s="49" t="str">
        <x:v>Dominant axis</x:v>
      </x:c>
      <x:c r="S1" s="49" t="str">
        <x:v>Axis fraction (%)</x:v>
      </x:c>
      <x:c r="T1" s="49" t="str">
        <x:v>Status</x:v>
      </x:c>
      <x:c r="U1" s="49" t="str">
        <x:v>Source line</x:v>
      </x:c>
      <x:c r="V1" s="49" t="str">
        <x:v>Source file</x:v>
      </x:c>
      <x:c r="W1" s="82"/>
      <x:c r="X1" s="82"/>
      <x:c r="Y1" s="82"/>
      <x:c r="Z1" s="82"/>
      <x:c r="AA1" s="82"/>
    </x:row>
    <x:row r="2">
      <x:c r="A2" s="82" t="str">
        <x:v>S01</x:v>
      </x:c>
      <x:c r="B2" s="82" t="str">
        <x:v>1.10 initial validation – unstable response state</x:v>
      </x:c>
      <x:c r="C2" s="94" t="n">
        <x:v>1.1</x:v>
      </x:c>
      <x:c r="D2" s="82" t="n">
        <x:v>1</x:v>
      </x:c>
      <x:c r="E2" s="82" t="n">
        <x:v>1</x:v>
      </x:c>
      <x:c r="F2" s="82" t="str">
        <x:v>SEARCH</x:v>
      </x:c>
      <x:c r="G2" s="82" t="n">
        <x:v>1</x:v>
      </x:c>
      <x:c r="H2" s="94" t="n">
        <x:v>1</x:v>
      </x:c>
      <x:c r="I2" s="94" t="n">
        <x:v>0.03868</x:v>
      </x:c>
      <x:c r="J2" s="94" t="n">
        <x:v>0.03693</x:v>
      </x:c>
      <x:c r="K2" s="94" t="n">
        <x:v>0.06954</x:v>
      </x:c>
      <x:c r="L2" s="94" t="n">
        <x:v>0.03079</x:v>
      </x:c>
      <x:c r="M2" s="94" t="n">
        <x:v>0.08474</x:v>
      </x:c>
      <x:c r="N2" s="97" t="n">
        <x:v>-96.48</x:v>
      </x:c>
      <x:c r="O2" s="97" t="n">
        <x:v>2.2</x:v>
      </x:c>
      <x:c r="P2" s="97" t="n">
        <x:v>9.6</x:v>
      </x:c>
      <x:c r="Q2" s="97" t="n">
        <x:v>4.3</x:v>
      </x:c>
      <x:c r="R2" s="82" t="str">
        <x:v>Y</x:v>
      </x:c>
      <x:c r="S2" s="108" t="n">
        <x:v>53.1</x:v>
      </x:c>
      <x:c r="T2" s="82" t="str">
        <x:v>BELOW MEASUREMENT FLOOR — SEARCH CONTINUES</x:v>
      </x:c>
      <x:c r="U2" s="82" t="n">
        <x:v>85</x:v>
      </x:c>
      <x:c r="V2" s="82" t="str">
        <x:v>Pasted text(56).txt</x:v>
      </x:c>
      <x:c r="W2" s="82"/>
      <x:c r="X2" s="82"/>
      <x:c r="Y2" s="82"/>
      <x:c r="Z2" s="82"/>
      <x:c r="AA2" s="82"/>
    </x:row>
    <x:row r="3">
      <x:c r="A3" s="82" t="str">
        <x:v>S01</x:v>
      </x:c>
      <x:c r="B3" s="82" t="str">
        <x:v>1.10 initial validation – unstable response state</x:v>
      </x:c>
      <x:c r="C3" s="94" t="n">
        <x:v>1.1</x:v>
      </x:c>
      <x:c r="D3" s="82" t="n">
        <x:v>1</x:v>
      </x:c>
      <x:c r="E3" s="82" t="n">
        <x:v>1</x:v>
      </x:c>
      <x:c r="F3" s="82" t="str">
        <x:v>SEARCH</x:v>
      </x:c>
      <x:c r="G3" s="82" t="n">
        <x:v>2</x:v>
      </x:c>
      <x:c r="H3" s="94" t="n">
        <x:v>3</x:v>
      </x:c>
      <x:c r="I3" s="94" t="n">
        <x:v>1.09916</x:v>
      </x:c>
      <x:c r="J3" s="94" t="n">
        <x:v>1.10352</x:v>
      </x:c>
      <x:c r="K3" s="94" t="n">
        <x:v>0.47972</x:v>
      </x:c>
      <x:c r="L3" s="94" t="n">
        <x:v>0.29855</x:v>
      </x:c>
      <x:c r="M3" s="94" t="n">
        <x:v>1.24009</x:v>
      </x:c>
      <x:c r="N3" s="97" t="n">
        <x:v>-0.08</x:v>
      </x:c>
      <x:c r="O3" s="97" t="n">
        <x:v>0.45</x:v>
      </x:c>
      <x:c r="P3" s="97" t="n">
        <x:v>0.96</x:v>
      </x:c>
      <x:c r="Q3" s="97" t="n">
        <x:v>76.3</x:v>
      </x:c>
      <x:c r="R3" s="82" t="str">
        <x:v>X</x:v>
      </x:c>
      <x:c r="S3" s="108" t="n">
        <x:v>100</x:v>
      </x:c>
      <x:c r="T3" s="82" t="str">
        <x:v>IN TARGET BAND</x:v>
      </x:c>
      <x:c r="U3" s="82" t="n">
        <x:v>86</x:v>
      </x:c>
      <x:c r="V3" s="82" t="str">
        <x:v>Pasted text(56).txt</x:v>
      </x:c>
      <x:c r="W3" s="82"/>
      <x:c r="X3" s="82"/>
      <x:c r="Y3" s="82"/>
      <x:c r="Z3" s="82"/>
      <x:c r="AA3" s="82"/>
    </x:row>
    <x:row r="4">
      <x:c r="A4" s="82" t="str">
        <x:v>S01</x:v>
      </x:c>
      <x:c r="B4" s="82" t="str">
        <x:v>1.10 initial validation – unstable response state</x:v>
      </x:c>
      <x:c r="C4" s="94" t="n">
        <x:v>1.1</x:v>
      </x:c>
      <x:c r="D4" s="82" t="n">
        <x:v>1</x:v>
      </x:c>
      <x:c r="E4" s="82" t="n">
        <x:v>1</x:v>
      </x:c>
      <x:c r="F4" s="82" t="str">
        <x:v>FINE</x:v>
      </x:c>
      <x:c r="G4" s="82" t="n">
        <x:v>1</x:v>
      </x:c>
      <x:c r="H4" s="94" t="n">
        <x:v>2</x:v>
      </x:c>
      <x:c r="I4" s="94" t="n">
        <x:v>0.45322</x:v>
      </x:c>
      <x:c r="J4" s="94" t="n">
        <x:v>0.45752</x:v>
      </x:c>
      <x:c r="K4" s="94" t="n">
        <x:v>0.22454</x:v>
      </x:c>
      <x:c r="L4" s="94" t="n">
        <x:v>0.20102</x:v>
      </x:c>
      <x:c r="M4" s="94" t="n">
        <x:v>0.54806</x:v>
      </x:c>
      <x:c r="N4" s="97" t="n">
        <x:v>-58.8</x:v>
      </x:c>
      <x:c r="O4" s="97" t="n">
        <x:v>0.94</x:v>
      </x:c>
      <x:c r="P4" s="97" t="n">
        <x:v>2.2</x:v>
      </x:c>
      <x:c r="Q4" s="97" t="n">
        <x:v>44</x:v>
      </x:c>
      <x:c r="R4" s="82" t="str">
        <x:v>X</x:v>
      </x:c>
      <x:c r="S4" s="108" t="n">
        <x:v>100</x:v>
      </x:c>
      <x:c r="T4" s="82" t="str">
        <x:v>UNSTABLE — SEARCH CONTINUES</x:v>
      </x:c>
      <x:c r="U4" s="82" t="n">
        <x:v>90</x:v>
      </x:c>
      <x:c r="V4" s="82" t="str">
        <x:v>Pasted text(56).txt</x:v>
      </x:c>
      <x:c r="W4" s="82"/>
      <x:c r="X4" s="82"/>
      <x:c r="Y4" s="82"/>
      <x:c r="Z4" s="82"/>
      <x:c r="AA4" s="82"/>
    </x:row>
    <x:row r="5">
      <x:c r="A5" s="82" t="str">
        <x:v>S01</x:v>
      </x:c>
      <x:c r="B5" s="82" t="str">
        <x:v>1.10 initial validation – unstable response state</x:v>
      </x:c>
      <x:c r="C5" s="94" t="n">
        <x:v>1.1</x:v>
      </x:c>
      <x:c r="D5" s="82" t="n">
        <x:v>1</x:v>
      </x:c>
      <x:c r="E5" s="82" t="n">
        <x:v>1</x:v>
      </x:c>
      <x:c r="F5" s="82" t="str">
        <x:v>FINE</x:v>
      </x:c>
      <x:c r="G5" s="82" t="n">
        <x:v>2</x:v>
      </x:c>
      <x:c r="H5" s="94" t="n">
        <x:v>2.25</x:v>
      </x:c>
      <x:c r="I5" s="94" t="n">
        <x:v>0.53682</x:v>
      </x:c>
      <x:c r="J5" s="94" t="n">
        <x:v>0.53893</x:v>
      </x:c>
      <x:c r="K5" s="94" t="n">
        <x:v>0.21575</x:v>
      </x:c>
      <x:c r="L5" s="94" t="n">
        <x:v>0.17686</x:v>
      </x:c>
      <x:c r="M5" s="94" t="n">
        <x:v>0.607</x:v>
      </x:c>
      <x:c r="N5" s="97" t="n">
        <x:v>-51.2</x:v>
      </x:c>
      <x:c r="O5" s="97" t="n">
        <x:v>0.34</x:v>
      </x:c>
      <x:c r="P5" s="97" t="n">
        <x:v>0.88</x:v>
      </x:c>
      <x:c r="Q5" s="97" t="n">
        <x:v>48.5</x:v>
      </x:c>
      <x:c r="R5" s="82" t="str">
        <x:v>X</x:v>
      </x:c>
      <x:c r="S5" s="108" t="n">
        <x:v>100</x:v>
      </x:c>
      <x:c r="T5" s="82" t="str">
        <x:v>UNSTABLE — SEARCH CONTINUES</x:v>
      </x:c>
      <x:c r="U5" s="82" t="n">
        <x:v>91</x:v>
      </x:c>
      <x:c r="V5" s="82" t="str">
        <x:v>Pasted text(56).txt</x:v>
      </x:c>
      <x:c r="W5" s="82"/>
      <x:c r="X5" s="82"/>
      <x:c r="Y5" s="82"/>
      <x:c r="Z5" s="82"/>
      <x:c r="AA5" s="82"/>
    </x:row>
    <x:row r="6">
      <x:c r="A6" t="str">
        <x:v>S01</x:v>
      </x:c>
      <x:c r="B6" t="str">
        <x:v>1.10 initial validation – unstable response state</x:v>
      </x:c>
      <x:c r="C6" s="54" t="n">
        <x:v>1.1</x:v>
      </x:c>
      <x:c r="D6" t="n">
        <x:v>1</x:v>
      </x:c>
      <x:c r="E6" t="n">
        <x:v>1</x:v>
      </x:c>
      <x:c r="F6" t="str">
        <x:v>FINE</x:v>
      </x:c>
      <x:c r="G6" t="n">
        <x:v>3</x:v>
      </x:c>
      <x:c r="H6" s="54" t="n">
        <x:v>2.5</x:v>
      </x:c>
      <x:c r="I6" s="54" t="n">
        <x:v>0.60101</x:v>
      </x:c>
      <x:c r="J6" s="54" t="n">
        <x:v>0.60631</x:v>
      </x:c>
      <x:c r="K6" s="54" t="n">
        <x:v>0.28303</x:v>
      </x:c>
      <x:c r="L6" s="54" t="n">
        <x:v>0.23369</x:v>
      </x:c>
      <x:c r="M6" s="54" t="n">
        <x:v>0.70981</x:v>
      </x:c>
      <x:c r="N6" s="56" t="n">
        <x:v>-45.36</x:v>
      </x:c>
      <x:c r="O6" s="56" t="n">
        <x:v>4.24</x:v>
      </x:c>
      <x:c r="P6" s="56" t="n">
        <x:v>4.22</x:v>
      </x:c>
      <x:c r="Q6" s="56" t="n">
        <x:v>53</x:v>
      </x:c>
      <x:c r="R6" t="str">
        <x:v>X</x:v>
      </x:c>
      <x:c r="S6" s="102" t="n">
        <x:v>100</x:v>
      </x:c>
      <x:c r="T6" t="str">
        <x:v>VALID</x:v>
      </x:c>
      <x:c r="U6" t="n">
        <x:v>92</x:v>
      </x:c>
      <x:c r="V6" t="str">
        <x:v>Pasted text(56).txt</x:v>
      </x:c>
    </x:row>
    <x:row r="7">
      <x:c r="A7" t="str">
        <x:v>S01</x:v>
      </x:c>
      <x:c r="B7" t="str">
        <x:v>1.10 initial validation – unstable response state</x:v>
      </x:c>
      <x:c r="C7" s="54" t="n">
        <x:v>1.1</x:v>
      </x:c>
      <x:c r="D7" t="n">
        <x:v>1</x:v>
      </x:c>
      <x:c r="E7" t="n">
        <x:v>1</x:v>
      </x:c>
      <x:c r="F7" t="str">
        <x:v>FINE</x:v>
      </x:c>
      <x:c r="G7" t="n">
        <x:v>4</x:v>
      </x:c>
      <x:c r="H7" s="54" t="n">
        <x:v>2.75</x:v>
      </x:c>
      <x:c r="I7" s="54" t="n">
        <x:v>0.94049</x:v>
      </x:c>
      <x:c r="J7" s="54" t="n">
        <x:v>0.95214</x:v>
      </x:c>
      <x:c r="K7" s="54" t="n">
        <x:v>0.42356</x:v>
      </x:c>
      <x:c r="L7" s="54" t="n">
        <x:v>0.30932</x:v>
      </x:c>
      <x:c r="M7" s="54" t="n">
        <x:v>1.08729</x:v>
      </x:c>
      <x:c r="N7" s="56" t="n">
        <x:v>-14.5</x:v>
      </x:c>
      <x:c r="O7" s="56" t="n">
        <x:v>2.29</x:v>
      </x:c>
      <x:c r="P7" s="56" t="n">
        <x:v>3.52</x:v>
      </x:c>
      <x:c r="Q7" s="56" t="n">
        <x:v>72.8</x:v>
      </x:c>
      <x:c r="R7" t="str">
        <x:v>X</x:v>
      </x:c>
      <x:c r="S7" s="102" t="n">
        <x:v>100</x:v>
      </x:c>
      <x:c r="T7" t="str">
        <x:v>VALID</x:v>
      </x:c>
      <x:c r="U7" t="n">
        <x:v>93</x:v>
      </x:c>
      <x:c r="V7" t="str">
        <x:v>Pasted text(56).txt</x:v>
      </x:c>
    </x:row>
    <x:row r="8">
      <x:c r="A8" t="str">
        <x:v>S01</x:v>
      </x:c>
      <x:c r="B8" t="str">
        <x:v>1.10 initial validation – unstable response state</x:v>
      </x:c>
      <x:c r="C8" s="54" t="n">
        <x:v>1.1</x:v>
      </x:c>
      <x:c r="D8" t="n">
        <x:v>1</x:v>
      </x:c>
      <x:c r="E8" t="n">
        <x:v>1</x:v>
      </x:c>
      <x:c r="F8" t="str">
        <x:v>FINE</x:v>
      </x:c>
      <x:c r="G8" t="n">
        <x:v>5</x:v>
      </x:c>
      <x:c r="H8" s="54" t="n">
        <x:v>3</x:v>
      </x:c>
      <x:c r="I8" s="54" t="n">
        <x:v>0.98332</x:v>
      </x:c>
      <x:c r="J8" s="54" t="n">
        <x:v>0.97568</x:v>
      </x:c>
      <x:c r="K8" s="54" t="n">
        <x:v>0.52346</x:v>
      </x:c>
      <x:c r="L8" s="54" t="n">
        <x:v>0.43262</x:v>
      </x:c>
      <x:c r="M8" s="54" t="n">
        <x:v>1.19011</x:v>
      </x:c>
      <x:c r="N8" s="56" t="n">
        <x:v>-10.61</x:v>
      </x:c>
      <x:c r="O8" s="56" t="n">
        <x:v>6.09</x:v>
      </x:c>
      <x:c r="P8" s="56" t="n">
        <x:v>5.35</x:v>
      </x:c>
      <x:c r="Q8" s="56" t="n">
        <x:v>78.8</x:v>
      </x:c>
      <x:c r="R8" t="str">
        <x:v>X</x:v>
      </x:c>
      <x:c r="S8" s="102" t="n">
        <x:v>100</x:v>
      </x:c>
      <x:c r="T8" t="str">
        <x:v>VALID</x:v>
      </x:c>
      <x:c r="U8" t="n">
        <x:v>94</x:v>
      </x:c>
      <x:c r="V8" t="str">
        <x:v>Pasted text(56).txt</x:v>
      </x:c>
    </x:row>
    <x:row r="9">
      <x:c r="A9" t="str">
        <x:v>S01</x:v>
      </x:c>
      <x:c r="B9" t="str">
        <x:v>1.10 initial validation – unstable response state</x:v>
      </x:c>
      <x:c r="C9" s="54" t="n">
        <x:v>1.1</x:v>
      </x:c>
      <x:c r="D9" t="n">
        <x:v>1</x:v>
      </x:c>
      <x:c r="E9" t="n">
        <x:v>1</x:v>
      </x:c>
      <x:c r="F9" t="str">
        <x:v>FINE</x:v>
      </x:c>
      <x:c r="G9" t="n">
        <x:v>6</x:v>
      </x:c>
      <x:c r="H9" s="54" t="n">
        <x:v>3.25</x:v>
      </x:c>
      <x:c r="I9" s="54" t="n">
        <x:v>1.013</x:v>
      </x:c>
      <x:c r="J9" s="54" t="n">
        <x:v>1.00405</x:v>
      </x:c>
      <x:c r="K9" s="54" t="n">
        <x:v>0.56432</x:v>
      </x:c>
      <x:c r="L9" s="54" t="n">
        <x:v>0.49685</x:v>
      </x:c>
      <x:c r="M9" s="54" t="n">
        <x:v>1.25589</x:v>
      </x:c>
      <x:c r="N9" s="56" t="n">
        <x:v>-7.91</x:v>
      </x:c>
      <x:c r="O9" s="56" t="n">
        <x:v>8.9</x:v>
      </x:c>
      <x:c r="P9" s="56" t="n">
        <x:v>7.43</x:v>
      </x:c>
      <x:c r="Q9" s="56" t="n">
        <x:v>77.3</x:v>
      </x:c>
      <x:c r="R9" t="str">
        <x:v>X</x:v>
      </x:c>
      <x:c r="S9" s="102" t="n">
        <x:v>100</x:v>
      </x:c>
      <x:c r="T9" t="str">
        <x:v>VALID</x:v>
      </x:c>
      <x:c r="U9" t="n">
        <x:v>95</x:v>
      </x:c>
      <x:c r="V9" t="str">
        <x:v>Pasted text(56).txt</x:v>
      </x:c>
    </x:row>
    <x:row r="10">
      <x:c r="A10" t="str">
        <x:v>S01</x:v>
      </x:c>
      <x:c r="B10" t="str">
        <x:v>1.10 initial validation – unstable response state</x:v>
      </x:c>
      <x:c r="C10" s="54" t="n">
        <x:v>1.1</x:v>
      </x:c>
      <x:c r="D10" t="n">
        <x:v>1</x:v>
      </x:c>
      <x:c r="E10" t="n">
        <x:v>1</x:v>
      </x:c>
      <x:c r="F10" t="str">
        <x:v>FINE</x:v>
      </x:c>
      <x:c r="G10" t="n">
        <x:v>7</x:v>
      </x:c>
      <x:c r="H10" s="54" t="n">
        <x:v>3.5</x:v>
      </x:c>
      <x:c r="I10" s="54" t="n">
        <x:v>0.92963</x:v>
      </x:c>
      <x:c r="J10" s="54" t="n">
        <x:v>0.94422</x:v>
      </x:c>
      <x:c r="K10" s="54" t="n">
        <x:v>0.57231</x:v>
      </x:c>
      <x:c r="L10" s="54" t="n">
        <x:v>0.60739</x:v>
      </x:c>
      <x:c r="M10" s="54" t="n">
        <x:v>1.26119</x:v>
      </x:c>
      <x:c r="N10" s="56" t="n">
        <x:v>-15.49</x:v>
      </x:c>
      <x:c r="O10" s="56" t="n">
        <x:v>1.22</x:v>
      </x:c>
      <x:c r="P10" s="56" t="n">
        <x:v>3.4</x:v>
      </x:c>
      <x:c r="Q10" s="56" t="n">
        <x:v>76.9</x:v>
      </x:c>
      <x:c r="R10" t="str">
        <x:v>X</x:v>
      </x:c>
      <x:c r="S10" s="102" t="n">
        <x:v>100</x:v>
      </x:c>
      <x:c r="T10" t="str">
        <x:v>VALID</x:v>
      </x:c>
      <x:c r="U10" t="n">
        <x:v>96</x:v>
      </x:c>
      <x:c r="V10" t="str">
        <x:v>Pasted text(56).txt</x:v>
      </x:c>
    </x:row>
    <x:row r="11">
      <x:c r="A11" t="str">
        <x:v>S01</x:v>
      </x:c>
      <x:c r="B11" t="str">
        <x:v>1.10 initial validation – unstable response state</x:v>
      </x:c>
      <x:c r="C11" s="54" t="n">
        <x:v>1.1</x:v>
      </x:c>
      <x:c r="D11" t="n">
        <x:v>1</x:v>
      </x:c>
      <x:c r="E11" t="n">
        <x:v>1</x:v>
      </x:c>
      <x:c r="F11" t="str">
        <x:v>FINE</x:v>
      </x:c>
      <x:c r="G11" t="n">
        <x:v>8</x:v>
      </x:c>
      <x:c r="H11" s="54" t="n">
        <x:v>3.75</x:v>
      </x:c>
      <x:c r="I11" s="54" t="n">
        <x:v>1.0125</x:v>
      </x:c>
      <x:c r="J11" s="54" t="n">
        <x:v>0.9882</x:v>
      </x:c>
      <x:c r="K11" s="54" t="n">
        <x:v>0.8414</x:v>
      </x:c>
      <x:c r="L11" s="54" t="n">
        <x:v>0.65849</x:v>
      </x:c>
      <x:c r="M11" s="54" t="n">
        <x:v>1.45624</x:v>
      </x:c>
      <x:c r="N11" s="56" t="n">
        <x:v>-7.95</x:v>
      </x:c>
      <x:c r="O11" s="56" t="n">
        <x:v>15.93</x:v>
      </x:c>
      <x:c r="P11" s="56" t="n">
        <x:v>14.85</x:v>
      </x:c>
      <x:c r="Q11" s="56" t="n">
        <x:v>76.6</x:v>
      </x:c>
      <x:c r="R11" t="str">
        <x:v>X</x:v>
      </x:c>
      <x:c r="S11" s="102" t="n">
        <x:v>100</x:v>
      </x:c>
      <x:c r="T11" t="str">
        <x:v>UNSTABLE — SEARCH CONTINUES</x:v>
      </x:c>
      <x:c r="U11" t="n">
        <x:v>97</x:v>
      </x:c>
      <x:c r="V11" t="str">
        <x:v>Pasted text(56).txt</x:v>
      </x:c>
    </x:row>
    <x:row r="12">
      <x:c r="A12" t="str">
        <x:v>S01</x:v>
      </x:c>
      <x:c r="B12" t="str">
        <x:v>1.10 initial validation – unstable response state</x:v>
      </x:c>
      <x:c r="C12" s="54" t="n">
        <x:v>1.1</x:v>
      </x:c>
      <x:c r="D12" t="n">
        <x:v>1</x:v>
      </x:c>
      <x:c r="E12" t="n">
        <x:v>1</x:v>
      </x:c>
      <x:c r="F12" t="str">
        <x:v>FINE</x:v>
      </x:c>
      <x:c r="G12" t="n">
        <x:v>9</x:v>
      </x:c>
      <x:c r="H12" s="54" t="n">
        <x:v>4</x:v>
      </x:c>
      <x:c r="I12" s="54" t="n">
        <x:v>1.08222</x:v>
      </x:c>
      <x:c r="J12" s="54" t="n">
        <x:v>1.04971</x:v>
      </x:c>
      <x:c r="K12" s="54" t="n">
        <x:v>0.87642</x:v>
      </x:c>
      <x:c r="L12" s="54" t="n">
        <x:v>0.71599</x:v>
      </x:c>
      <x:c r="M12" s="54" t="n">
        <x:v>1.54744</x:v>
      </x:c>
      <x:c r="N12" s="56" t="n">
        <x:v>-1.62</x:v>
      </x:c>
      <x:c r="O12" s="56" t="n">
        <x:v>16.45</x:v>
      </x:c>
      <x:c r="P12" s="56" t="n">
        <x:v>16.3</x:v>
      </x:c>
      <x:c r="Q12" s="56" t="n">
        <x:v>79.1</x:v>
      </x:c>
      <x:c r="R12" t="str">
        <x:v>X</x:v>
      </x:c>
      <x:c r="S12" s="102" t="n">
        <x:v>100</x:v>
      </x:c>
      <x:c r="T12" t="str">
        <x:v>UNSTABLE — SEARCH CONTINUES</x:v>
      </x:c>
      <x:c r="U12" t="n">
        <x:v>98</x:v>
      </x:c>
      <x:c r="V12" t="str">
        <x:v>Pasted text(56).txt</x:v>
      </x:c>
    </x:row>
    <x:row r="13">
      <x:c r="A13" t="str">
        <x:v>S01</x:v>
      </x:c>
      <x:c r="B13" t="str">
        <x:v>1.10 initial validation – unstable response state</x:v>
      </x:c>
      <x:c r="C13" s="54" t="n">
        <x:v>1.1</x:v>
      </x:c>
      <x:c r="D13" t="n">
        <x:v>1</x:v>
      </x:c>
      <x:c r="E13" t="n">
        <x:v>2</x:v>
      </x:c>
      <x:c r="F13" t="str">
        <x:v>SEARCH</x:v>
      </x:c>
      <x:c r="G13" t="n">
        <x:v>1</x:v>
      </x:c>
      <x:c r="H13" s="54" t="n">
        <x:v>1</x:v>
      </x:c>
      <x:c r="I13" s="54" t="n">
        <x:v>0.02841</x:v>
      </x:c>
      <x:c r="J13" s="54" t="n">
        <x:v>0.02886</x:v>
      </x:c>
      <x:c r="K13" s="54" t="n">
        <x:v>0.01331</x:v>
      </x:c>
      <x:c r="L13" s="54" t="n">
        <x:v>0.01163</x:v>
      </x:c>
      <x:c r="M13" s="54" t="n">
        <x:v>0.03397</x:v>
      </x:c>
      <x:c r="N13" s="56" t="n">
        <x:v>-97.42</x:v>
      </x:c>
      <x:c r="O13" s="56" t="n">
        <x:v>4.68</x:v>
      </x:c>
      <x:c r="P13" s="56" t="n">
        <x:v>2.2</x:v>
      </x:c>
      <x:c r="Q13" s="56" t="n">
        <x:v>3.9</x:v>
      </x:c>
      <x:c r="R13" t="str">
        <x:v>X</x:v>
      </x:c>
      <x:c r="S13" s="102" t="n">
        <x:v>100</x:v>
      </x:c>
      <x:c r="T13" t="str">
        <x:v>BELOW MEASUREMENT FLOOR — SEARCH CONTINUES</x:v>
      </x:c>
      <x:c r="U13" t="n">
        <x:v>105</x:v>
      </x:c>
      <x:c r="V13" t="str">
        <x:v>Pasted text(56).txt</x:v>
      </x:c>
    </x:row>
    <x:row r="14">
      <x:c r="A14" t="str">
        <x:v>S01</x:v>
      </x:c>
      <x:c r="B14" t="str">
        <x:v>1.10 initial validation – unstable response state</x:v>
      </x:c>
      <x:c r="C14" s="54" t="n">
        <x:v>1.1</x:v>
      </x:c>
      <x:c r="D14" t="n">
        <x:v>1</x:v>
      </x:c>
      <x:c r="E14" t="n">
        <x:v>2</x:v>
      </x:c>
      <x:c r="F14" t="str">
        <x:v>SEARCH</x:v>
      </x:c>
      <x:c r="G14" t="n">
        <x:v>2</x:v>
      </x:c>
      <x:c r="H14" s="54" t="n">
        <x:v>3</x:v>
      </x:c>
      <x:c r="I14" s="54" t="n">
        <x:v>0.34997</x:v>
      </x:c>
      <x:c r="J14" s="54" t="n">
        <x:v>0.35756</x:v>
      </x:c>
      <x:c r="K14" s="54" t="n">
        <x:v>0.55892</x:v>
      </x:c>
      <x:c r="L14" s="54" t="n">
        <x:v>0.17003</x:v>
      </x:c>
      <x:c r="M14" s="54" t="n">
        <x:v>0.68612</x:v>
      </x:c>
      <x:c r="N14" s="56" t="n">
        <x:v>-68.18</x:v>
      </x:c>
      <x:c r="O14" s="56" t="n">
        <x:v>2.29</x:v>
      </x:c>
      <x:c r="P14" s="56" t="n">
        <x:v>5.04</x:v>
      </x:c>
      <x:c r="Q14" s="56" t="n">
        <x:v>47.5</x:v>
      </x:c>
      <x:c r="R14" t="str">
        <x:v>Y</x:v>
      </x:c>
      <x:c r="S14" s="102" t="n">
        <x:v>64</x:v>
      </x:c>
      <x:c r="T14" t="str">
        <x:v>UNSTABLE — SEARCH CONTINUES</x:v>
      </x:c>
      <x:c r="U14" t="n">
        <x:v>106</x:v>
      </x:c>
      <x:c r="V14" t="str">
        <x:v>Pasted text(56).txt</x:v>
      </x:c>
    </x:row>
    <x:row r="15">
      <x:c r="A15" t="str">
        <x:v>S01</x:v>
      </x:c>
      <x:c r="B15" t="str">
        <x:v>1.10 initial validation – unstable response state</x:v>
      </x:c>
      <x:c r="C15" s="54" t="n">
        <x:v>1.1</x:v>
      </x:c>
      <x:c r="D15" t="n">
        <x:v>1</x:v>
      </x:c>
      <x:c r="E15" t="n">
        <x:v>2</x:v>
      </x:c>
      <x:c r="F15" t="str">
        <x:v>SEARCH</x:v>
      </x:c>
      <x:c r="G15" t="n">
        <x:v>3</x:v>
      </x:c>
      <x:c r="H15" s="54" t="n">
        <x:v>4</x:v>
      </x:c>
      <x:c r="I15" s="54" t="n">
        <x:v>0.66943</x:v>
      </x:c>
      <x:c r="J15" s="54" t="n">
        <x:v>0.6792</x:v>
      </x:c>
      <x:c r="K15" s="54" t="n">
        <x:v>0.77127</x:v>
      </x:c>
      <x:c r="L15" s="54" t="n">
        <x:v>0.47108</x:v>
      </x:c>
      <x:c r="M15" s="54" t="n">
        <x:v>1.13135</x:v>
      </x:c>
      <x:c r="N15" s="56" t="n">
        <x:v>-39.14</x:v>
      </x:c>
      <x:c r="O15" s="56" t="n">
        <x:v>0.81</x:v>
      </x:c>
      <x:c r="P15" s="56" t="n">
        <x:v>2.97</x:v>
      </x:c>
      <x:c r="Q15" s="56" t="n">
        <x:v>67.5</x:v>
      </x:c>
      <x:c r="R15" t="str">
        <x:v>Y</x:v>
      </x:c>
      <x:c r="S15" s="102" t="n">
        <x:v>88.1</x:v>
      </x:c>
      <x:c r="T15" t="str">
        <x:v>VALID</x:v>
      </x:c>
      <x:c r="U15" t="n">
        <x:v>107</x:v>
      </x:c>
      <x:c r="V15" t="str">
        <x:v>Pasted text(56).txt</x:v>
      </x:c>
    </x:row>
    <x:row r="16">
      <x:c r="A16" t="str">
        <x:v>S01</x:v>
      </x:c>
      <x:c r="B16" t="str">
        <x:v>1.10 initial validation – unstable response state</x:v>
      </x:c>
      <x:c r="C16" s="54" t="n">
        <x:v>1.1</x:v>
      </x:c>
      <x:c r="D16" t="n">
        <x:v>1</x:v>
      </x:c>
      <x:c r="E16" t="n">
        <x:v>2</x:v>
      </x:c>
      <x:c r="F16" t="str">
        <x:v>SEARCH</x:v>
      </x:c>
      <x:c r="G16" t="n">
        <x:v>4</x:v>
      </x:c>
      <x:c r="H16" s="54" t="n">
        <x:v>4.5</x:v>
      </x:c>
      <x:c r="I16" s="54" t="n">
        <x:v>0.89767</x:v>
      </x:c>
      <x:c r="J16" s="54" t="n">
        <x:v>0.92917</x:v>
      </x:c>
      <x:c r="K16" s="54" t="n">
        <x:v>0.83575</x:v>
      </x:c>
      <x:c r="L16" s="54" t="n">
        <x:v>0.67721</x:v>
      </x:c>
      <x:c r="M16" s="54" t="n">
        <x:v>1.42333</x:v>
      </x:c>
      <x:c r="N16" s="56" t="n">
        <x:v>-18.39</x:v>
      </x:c>
      <x:c r="O16" s="56" t="n">
        <x:v>14.13</x:v>
      </x:c>
      <x:c r="P16" s="56" t="n">
        <x:v>14.59</x:v>
      </x:c>
      <x:c r="Q16" s="56" t="n">
        <x:v>77</x:v>
      </x:c>
      <x:c r="R16" t="str">
        <x:v>X</x:v>
      </x:c>
      <x:c r="S16" s="102" t="n">
        <x:v>100</x:v>
      </x:c>
      <x:c r="T16" t="str">
        <x:v>UNSTABLE — SEARCH CONTINUES</x:v>
      </x:c>
      <x:c r="U16" t="n">
        <x:v>108</x:v>
      </x:c>
      <x:c r="V16" t="str">
        <x:v>Pasted text(56).txt</x:v>
      </x:c>
    </x:row>
    <x:row r="17">
      <x:c r="A17" t="str">
        <x:v>S01</x:v>
      </x:c>
      <x:c r="B17" t="str">
        <x:v>1.10 initial validation – unstable response state</x:v>
      </x:c>
      <x:c r="C17" s="54" t="n">
        <x:v>1.1</x:v>
      </x:c>
      <x:c r="D17" t="n">
        <x:v>1</x:v>
      </x:c>
      <x:c r="E17" t="n">
        <x:v>2</x:v>
      </x:c>
      <x:c r="F17" t="str">
        <x:v>SEARCH</x:v>
      </x:c>
      <x:c r="G17" t="n">
        <x:v>5</x:v>
      </x:c>
      <x:c r="H17" s="54" t="n">
        <x:v>5.5</x:v>
      </x:c>
      <x:c r="I17" s="54" t="n">
        <x:v>1.14005</x:v>
      </x:c>
      <x:c r="J17" s="54" t="n">
        <x:v>1.14244</x:v>
      </x:c>
      <x:c r="K17" s="54" t="n">
        <x:v>1.06708</x:v>
      </x:c>
      <x:c r="L17" s="54" t="n">
        <x:v>0.86719</x:v>
      </x:c>
      <x:c r="M17" s="54" t="n">
        <x:v>1.79086</x:v>
      </x:c>
      <x:c r="N17" s="56" t="n">
        <x:v>3.64</x:v>
      </x:c>
      <x:c r="O17" s="56" t="n">
        <x:v>5.66</x:v>
      </x:c>
      <x:c r="P17" s="56" t="n">
        <x:v>4.13</x:v>
      </x:c>
      <x:c r="Q17" s="56" t="n">
        <x:v>79.5</x:v>
      </x:c>
      <x:c r="R17" t="str">
        <x:v>X</x:v>
      </x:c>
      <x:c r="S17" s="102" t="n">
        <x:v>100</x:v>
      </x:c>
      <x:c r="T17" t="str">
        <x:v>IN TARGET BAND</x:v>
      </x:c>
      <x:c r="U17" t="n">
        <x:v>109</x:v>
      </x:c>
      <x:c r="V17" t="str">
        <x:v>Pasted text(56).txt</x:v>
      </x:c>
    </x:row>
    <x:row r="18">
      <x:c r="A18" t="str">
        <x:v>S01</x:v>
      </x:c>
      <x:c r="B18" t="str">
        <x:v>1.10 initial validation – unstable response state</x:v>
      </x:c>
      <x:c r="C18" s="54" t="n">
        <x:v>1.1</x:v>
      </x:c>
      <x:c r="D18" t="n">
        <x:v>1</x:v>
      </x:c>
      <x:c r="E18" t="n">
        <x:v>2</x:v>
      </x:c>
      <x:c r="F18" t="str">
        <x:v>FINE</x:v>
      </x:c>
      <x:c r="G18" t="n">
        <x:v>1</x:v>
      </x:c>
      <x:c r="H18" s="54" t="n">
        <x:v>4.5</x:v>
      </x:c>
      <x:c r="I18" s="54" t="n">
        <x:v>0.79534</x:v>
      </x:c>
      <x:c r="J18" s="54" t="n">
        <x:v>0.77956</x:v>
      </x:c>
      <x:c r="K18" s="54" t="n">
        <x:v>0.8</x:v>
      </x:c>
      <x:c r="L18" s="54" t="n">
        <x:v>0.60994</x:v>
      </x:c>
      <x:c r="M18" s="54" t="n">
        <x:v>1.27339</x:v>
      </x:c>
      <x:c r="N18" s="56" t="n">
        <x:v>-27.7</x:v>
      </x:c>
      <x:c r="O18" s="56" t="n">
        <x:v>0.52</x:v>
      </x:c>
      <x:c r="P18" s="56" t="n">
        <x:v>3.82</x:v>
      </x:c>
      <x:c r="Q18" s="56" t="n">
        <x:v>68.9</x:v>
      </x:c>
      <x:c r="R18" t="str">
        <x:v>Y</x:v>
      </x:c>
      <x:c r="S18" s="102" t="n">
        <x:v>97.4</x:v>
      </x:c>
      <x:c r="T18" t="str">
        <x:v>VALID</x:v>
      </x:c>
      <x:c r="U18" t="n">
        <x:v>113</x:v>
      </x:c>
      <x:c r="V18" t="str">
        <x:v>Pasted text(56).txt</x:v>
      </x:c>
    </x:row>
    <x:row r="19">
      <x:c r="A19" t="str">
        <x:v>S01</x:v>
      </x:c>
      <x:c r="B19" t="str">
        <x:v>1.10 initial validation – unstable response state</x:v>
      </x:c>
      <x:c r="C19" s="54" t="n">
        <x:v>1.1</x:v>
      </x:c>
      <x:c r="D19" t="n">
        <x:v>1</x:v>
      </x:c>
      <x:c r="E19" t="n">
        <x:v>2</x:v>
      </x:c>
      <x:c r="F19" t="str">
        <x:v>FINE</x:v>
      </x:c>
      <x:c r="G19" t="n">
        <x:v>2</x:v>
      </x:c>
      <x:c r="H19" s="54" t="n">
        <x:v>4.75</x:v>
      </x:c>
      <x:c r="I19" s="54" t="n">
        <x:v>1.11785</x:v>
      </x:c>
      <x:c r="J19" s="54" t="n">
        <x:v>1.13049</x:v>
      </x:c>
      <x:c r="K19" s="54" t="n">
        <x:v>1.05008</x:v>
      </x:c>
      <x:c r="L19" s="54" t="n">
        <x:v>0.91654</x:v>
      </x:c>
      <x:c r="M19" s="54" t="n">
        <x:v>1.79481</x:v>
      </x:c>
      <x:c r="N19" s="56" t="n">
        <x:v>1.62</x:v>
      </x:c>
      <x:c r="O19" s="56" t="n">
        <x:v>4.62</x:v>
      </x:c>
      <x:c r="P19" s="56" t="n">
        <x:v>4.86</x:v>
      </x:c>
      <x:c r="Q19" s="56" t="n">
        <x:v>81.1</x:v>
      </x:c>
      <x:c r="R19" t="str">
        <x:v>X</x:v>
      </x:c>
      <x:c r="S19" s="102" t="n">
        <x:v>100</x:v>
      </x:c>
      <x:c r="T19" t="str">
        <x:v>IN TARGET BAND</x:v>
      </x:c>
      <x:c r="U19" t="n">
        <x:v>114</x:v>
      </x:c>
      <x:c r="V19" t="str">
        <x:v>Pasted text(56).txt</x:v>
      </x:c>
    </x:row>
    <x:row r="20">
      <x:c r="A20" t="str">
        <x:v>S01</x:v>
      </x:c>
      <x:c r="B20" t="str">
        <x:v>1.10 initial validation – unstable response state</x:v>
      </x:c>
      <x:c r="C20" s="54" t="n">
        <x:v>1.1</x:v>
      </x:c>
      <x:c r="D20" t="n">
        <x:v>1</x:v>
      </x:c>
      <x:c r="E20" t="n">
        <x:v>2</x:v>
      </x:c>
      <x:c r="F20" t="str">
        <x:v>FINE</x:v>
      </x:c>
      <x:c r="G20" t="n">
        <x:v>3</x:v>
      </x:c>
      <x:c r="H20" s="54" t="n">
        <x:v>5</x:v>
      </x:c>
      <x:c r="I20" s="54" t="n">
        <x:v>1.09959</x:v>
      </x:c>
      <x:c r="J20" s="54" t="n">
        <x:v>1.0693</x:v>
      </x:c>
      <x:c r="K20" s="54" t="n">
        <x:v>1.04642</x:v>
      </x:c>
      <x:c r="L20" s="54" t="n">
        <x:v>0.88266</x:v>
      </x:c>
      <x:c r="M20" s="54" t="n">
        <x:v>1.73728</x:v>
      </x:c>
      <x:c r="N20" s="56" t="n">
        <x:v>-0.04</x:v>
      </x:c>
      <x:c r="O20" s="56" t="n">
        <x:v>1.22</x:v>
      </x:c>
      <x:c r="P20" s="56" t="n">
        <x:v>5.65</x:v>
      </x:c>
      <x:c r="Q20" s="56" t="n">
        <x:v>80.4</x:v>
      </x:c>
      <x:c r="R20" t="str">
        <x:v>X</x:v>
      </x:c>
      <x:c r="S20" s="102" t="n">
        <x:v>100</x:v>
      </x:c>
      <x:c r="T20" t="str">
        <x:v>IN TARGET BAND</x:v>
      </x:c>
      <x:c r="U20" t="n">
        <x:v>115</x:v>
      </x:c>
      <x:c r="V20" t="str">
        <x:v>Pasted text(56).txt</x:v>
      </x:c>
    </x:row>
    <x:row r="21">
      <x:c r="A21" t="str">
        <x:v>S01</x:v>
      </x:c>
      <x:c r="B21" t="str">
        <x:v>1.10 initial validation – unstable response state</x:v>
      </x:c>
      <x:c r="C21" s="54" t="n">
        <x:v>1.1</x:v>
      </x:c>
      <x:c r="D21" t="n">
        <x:v>1</x:v>
      </x:c>
      <x:c r="E21" t="n">
        <x:v>2</x:v>
      </x:c>
      <x:c r="F21" t="str">
        <x:v>FINE</x:v>
      </x:c>
      <x:c r="G21" t="n">
        <x:v>4</x:v>
      </x:c>
      <x:c r="H21" s="54" t="n">
        <x:v>5.25</x:v>
      </x:c>
      <x:c r="I21" s="54" t="n">
        <x:v>1.12045</x:v>
      </x:c>
      <x:c r="J21" s="54" t="n">
        <x:v>1.12508</x:v>
      </x:c>
      <x:c r="K21" s="54" t="n">
        <x:v>1.09712</x:v>
      </x:c>
      <x:c r="L21" s="54" t="n">
        <x:v>0.91564</x:v>
      </x:c>
      <x:c r="M21" s="54" t="n">
        <x:v>1.81991</x:v>
      </x:c>
      <x:c r="N21" s="56" t="n">
        <x:v>1.86</x:v>
      </x:c>
      <x:c r="O21" s="56" t="n">
        <x:v>5.93</x:v>
      </x:c>
      <x:c r="P21" s="56" t="n">
        <x:v>4.61</x:v>
      </x:c>
      <x:c r="Q21" s="56" t="n">
        <x:v>82.8</x:v>
      </x:c>
      <x:c r="R21" t="str">
        <x:v>X</x:v>
      </x:c>
      <x:c r="S21" s="102" t="n">
        <x:v>100</x:v>
      </x:c>
      <x:c r="T21" t="str">
        <x:v>IN TARGET BAND</x:v>
      </x:c>
      <x:c r="U21" t="n">
        <x:v>116</x:v>
      </x:c>
      <x:c r="V21" t="str">
        <x:v>Pasted text(56).txt</x:v>
      </x:c>
    </x:row>
    <x:row r="22">
      <x:c r="A22" t="str">
        <x:v>S01</x:v>
      </x:c>
      <x:c r="B22" t="str">
        <x:v>1.10 initial validation – unstable response state</x:v>
      </x:c>
      <x:c r="C22" s="54" t="n">
        <x:v>1.1</x:v>
      </x:c>
      <x:c r="D22" t="n">
        <x:v>1</x:v>
      </x:c>
      <x:c r="E22" t="n">
        <x:v>2</x:v>
      </x:c>
      <x:c r="F22" t="str">
        <x:v>FINE</x:v>
      </x:c>
      <x:c r="G22" t="n">
        <x:v>5</x:v>
      </x:c>
      <x:c r="H22" s="54" t="n">
        <x:v>5.5</x:v>
      </x:c>
      <x:c r="I22" s="54" t="n">
        <x:v>1.51557</x:v>
      </x:c>
      <x:c r="J22" s="54" t="n">
        <x:v>1.46418</x:v>
      </x:c>
      <x:c r="K22" s="54" t="n">
        <x:v>1.19542</x:v>
      </x:c>
      <x:c r="L22" s="54" t="n">
        <x:v>1.09664</x:v>
      </x:c>
      <x:c r="M22" s="54" t="n">
        <x:v>2.188</x:v>
      </x:c>
      <x:c r="N22" s="56" t="n">
        <x:v>37.78</x:v>
      </x:c>
      <x:c r="O22" s="56" t="n">
        <x:v>3.18</x:v>
      </x:c>
      <x:c r="P22" s="56" t="n">
        <x:v>8.08</x:v>
      </x:c>
      <x:c r="Q22" s="56" t="n">
        <x:v>82.3</x:v>
      </x:c>
      <x:c r="R22" t="str">
        <x:v>X</x:v>
      </x:c>
      <x:c r="S22" s="102" t="n">
        <x:v>100</x:v>
      </x:c>
      <x:c r="T22" t="str">
        <x:v>VALID</x:v>
      </x:c>
      <x:c r="U22" t="n">
        <x:v>117</x:v>
      </x:c>
      <x:c r="V22" t="str">
        <x:v>Pasted text(56).txt</x:v>
      </x:c>
    </x:row>
    <x:row r="23">
      <x:c r="A23" t="str">
        <x:v>S01</x:v>
      </x:c>
      <x:c r="B23" t="str">
        <x:v>1.10 initial validation – unstable response state</x:v>
      </x:c>
      <x:c r="C23" s="54" t="n">
        <x:v>1.1</x:v>
      </x:c>
      <x:c r="D23" t="n">
        <x:v>1</x:v>
      </x:c>
      <x:c r="E23" t="n">
        <x:v>2</x:v>
      </x:c>
      <x:c r="F23" t="str">
        <x:v>FINE</x:v>
      </x:c>
      <x:c r="G23" t="n">
        <x:v>6</x:v>
      </x:c>
      <x:c r="H23" s="54" t="n">
        <x:v>5.75</x:v>
      </x:c>
      <x:c r="I23" s="54" t="n">
        <x:v>1.63584</x:v>
      </x:c>
      <x:c r="J23" s="54" t="n">
        <x:v>1.62771</x:v>
      </x:c>
      <x:c r="K23" s="54" t="n">
        <x:v>1.31309</x:v>
      </x:c>
      <x:c r="L23" s="54" t="n">
        <x:v>1.2339</x:v>
      </x:c>
      <x:c r="M23" s="54" t="n">
        <x:v>2.43435</x:v>
      </x:c>
      <x:c r="N23" s="56" t="n">
        <x:v>48.71</x:v>
      </x:c>
      <x:c r="O23" s="56" t="n">
        <x:v>11.83</x:v>
      </x:c>
      <x:c r="P23" s="56" t="n">
        <x:v>8.78</x:v>
      </x:c>
      <x:c r="Q23" s="56" t="n">
        <x:v>86.6</x:v>
      </x:c>
      <x:c r="R23" t="str">
        <x:v>X</x:v>
      </x:c>
      <x:c r="S23" s="102" t="n">
        <x:v>100</x:v>
      </x:c>
      <x:c r="T23" t="str">
        <x:v>VALID</x:v>
      </x:c>
      <x:c r="U23" t="n">
        <x:v>118</x:v>
      </x:c>
      <x:c r="V23" t="str">
        <x:v>Pasted text(56).txt</x:v>
      </x:c>
    </x:row>
    <x:row r="24">
      <x:c r="A24" t="str">
        <x:v>S01</x:v>
      </x:c>
      <x:c r="B24" t="str">
        <x:v>1.10 initial validation – unstable response state</x:v>
      </x:c>
      <x:c r="C24" s="54" t="n">
        <x:v>1.1</x:v>
      </x:c>
      <x:c r="D24" t="n">
        <x:v>1</x:v>
      </x:c>
      <x:c r="E24" t="n">
        <x:v>2</x:v>
      </x:c>
      <x:c r="F24" t="str">
        <x:v>FINE</x:v>
      </x:c>
      <x:c r="G24" t="n">
        <x:v>7</x:v>
      </x:c>
      <x:c r="H24" s="54" t="n">
        <x:v>6</x:v>
      </x:c>
      <x:c r="I24" s="54" t="n">
        <x:v>1.38954</x:v>
      </x:c>
      <x:c r="J24" s="54" t="n">
        <x:v>1.39612</x:v>
      </x:c>
      <x:c r="K24" s="54" t="n">
        <x:v>1.38005</x:v>
      </x:c>
      <x:c r="L24" s="54" t="n">
        <x:v>1.15094</x:v>
      </x:c>
      <x:c r="M24" s="54" t="n">
        <x:v>2.27568</x:v>
      </x:c>
      <x:c r="N24" s="56" t="n">
        <x:v>26.32</x:v>
      </x:c>
      <x:c r="O24" s="56" t="n">
        <x:v>3.12</x:v>
      </x:c>
      <x:c r="P24" s="56" t="n">
        <x:v>2.83</x:v>
      </x:c>
      <x:c r="Q24" s="56" t="n">
        <x:v>84.7</x:v>
      </x:c>
      <x:c r="R24" t="str">
        <x:v>X</x:v>
      </x:c>
      <x:c r="S24" s="102" t="n">
        <x:v>100</x:v>
      </x:c>
      <x:c r="T24" t="str">
        <x:v>VALID</x:v>
      </x:c>
      <x:c r="U24" t="n">
        <x:v>119</x:v>
      </x:c>
      <x:c r="V24" t="str">
        <x:v>Pasted text(56).txt</x:v>
      </x:c>
    </x:row>
    <x:row r="25">
      <x:c r="A25" t="str">
        <x:v>S01</x:v>
      </x:c>
      <x:c r="B25" t="str">
        <x:v>1.10 initial validation – unstable response state</x:v>
      </x:c>
      <x:c r="C25" s="54" t="n">
        <x:v>1.1</x:v>
      </x:c>
      <x:c r="D25" t="n">
        <x:v>1</x:v>
      </x:c>
      <x:c r="E25" t="n">
        <x:v>2</x:v>
      </x:c>
      <x:c r="F25" t="str">
        <x:v>FINE</x:v>
      </x:c>
      <x:c r="G25" t="n">
        <x:v>8</x:v>
      </x:c>
      <x:c r="H25" s="54" t="n">
        <x:v>6.25</x:v>
      </x:c>
      <x:c r="I25" s="54" t="n">
        <x:v>1.78006</x:v>
      </x:c>
      <x:c r="J25" s="54" t="n">
        <x:v>1.70486</x:v>
      </x:c>
      <x:c r="K25" s="54" t="n">
        <x:v>1.3323</x:v>
      </x:c>
      <x:c r="L25" s="54" t="n">
        <x:v>1.26568</x:v>
      </x:c>
      <x:c r="M25" s="54" t="n">
        <x:v>2.51209</x:v>
      </x:c>
      <x:c r="N25" s="56" t="n">
        <x:v>61.82</x:v>
      </x:c>
      <x:c r="O25" s="56" t="n">
        <x:v>2.5</x:v>
      </x:c>
      <x:c r="P25" s="56" t="n">
        <x:v>9.21</x:v>
      </x:c>
      <x:c r="Q25" s="56" t="n">
        <x:v>86.5</x:v>
      </x:c>
      <x:c r="R25" t="str">
        <x:v>X</x:v>
      </x:c>
      <x:c r="S25" s="102" t="n">
        <x:v>100</x:v>
      </x:c>
      <x:c r="T25" t="str">
        <x:v>VALID</x:v>
      </x:c>
      <x:c r="U25" t="n">
        <x:v>120</x:v>
      </x:c>
      <x:c r="V25" t="str">
        <x:v>Pasted text(56).txt</x:v>
      </x:c>
    </x:row>
    <x:row r="26">
      <x:c r="A26" t="str">
        <x:v>S01</x:v>
      </x:c>
      <x:c r="B26" t="str">
        <x:v>1.10 initial validation – unstable response state</x:v>
      </x:c>
      <x:c r="C26" s="54" t="n">
        <x:v>1.1</x:v>
      </x:c>
      <x:c r="D26" t="n">
        <x:v>1</x:v>
      </x:c>
      <x:c r="E26" t="n">
        <x:v>2</x:v>
      </x:c>
      <x:c r="F26" t="str">
        <x:v>FINE</x:v>
      </x:c>
      <x:c r="G26" t="n">
        <x:v>9</x:v>
      </x:c>
      <x:c r="H26" s="54" t="n">
        <x:v>6.5</x:v>
      </x:c>
      <x:c r="I26" s="54" t="n">
        <x:v>1.77545</x:v>
      </x:c>
      <x:c r="J26" s="54" t="n">
        <x:v>1.75969</x:v>
      </x:c>
      <x:c r="K26" s="54" t="n">
        <x:v>1.49612</x:v>
      </x:c>
      <x:c r="L26" s="54" t="n">
        <x:v>1.31083</x:v>
      </x:c>
      <x:c r="M26" s="54" t="n">
        <x:v>2.65963</x:v>
      </x:c>
      <x:c r="N26" s="56" t="n">
        <x:v>61.4</x:v>
      </x:c>
      <x:c r="O26" s="56" t="n">
        <x:v>6.29</x:v>
      </x:c>
      <x:c r="P26" s="56" t="n">
        <x:v>5.67</x:v>
      </x:c>
      <x:c r="Q26" s="56" t="n">
        <x:v>83.6</x:v>
      </x:c>
      <x:c r="R26" t="str">
        <x:v>X</x:v>
      </x:c>
      <x:c r="S26" s="102" t="n">
        <x:v>100</x:v>
      </x:c>
      <x:c r="T26" t="str">
        <x:v>VALID</x:v>
      </x:c>
      <x:c r="U26" t="n">
        <x:v>121</x:v>
      </x:c>
      <x:c r="V26" t="str">
        <x:v>Pasted text(56).txt</x:v>
      </x:c>
    </x:row>
    <x:row r="27">
      <x:c r="A27" t="str">
        <x:v>S01</x:v>
      </x:c>
      <x:c r="B27" t="str">
        <x:v>1.10 initial validation – unstable response state</x:v>
      </x:c>
      <x:c r="C27" s="54" t="n">
        <x:v>1.1</x:v>
      </x:c>
      <x:c r="D27" t="n">
        <x:v>1</x:v>
      </x:c>
      <x:c r="E27" t="n">
        <x:v>2</x:v>
      </x:c>
      <x:c r="F27" t="str">
        <x:v>FINAL</x:v>
      </x:c>
      <x:c r="G27" t="n">
        <x:v>1</x:v>
      </x:c>
      <x:c r="H27" s="54" t="n">
        <x:v>5</x:v>
      </x:c>
      <x:c r="I27" s="54" t="n">
        <x:v>1.05794</x:v>
      </x:c>
      <x:c r="J27" s="54" t="n">
        <x:v>1.05938</x:v>
      </x:c>
      <x:c r="K27" s="54" t="n">
        <x:v>1.10344</x:v>
      </x:c>
      <x:c r="L27" s="54" t="n">
        <x:v>0.84145</x:v>
      </x:c>
      <x:c r="M27" s="54" t="n">
        <x:v>1.74614</x:v>
      </x:c>
      <x:c r="N27" s="56" t="n">
        <x:v>-3.82</x:v>
      </x:c>
      <x:c r="O27" s="56" t="n">
        <x:v>1.57</x:v>
      </x:c>
      <x:c r="P27" s="56" t="n">
        <x:v>1.04</x:v>
      </x:c>
      <x:c r="Q27" s="56" t="n">
        <x:v>80.6</x:v>
      </x:c>
      <x:c r="R27" t="str">
        <x:v>Y</x:v>
      </x:c>
      <x:c r="S27" s="102" t="n">
        <x:v>96</x:v>
      </x:c>
      <x:c r="T27" t="str">
        <x:v>IN TARGET BAND</x:v>
      </x:c>
      <x:c r="U27" t="n">
        <x:v>124</x:v>
      </x:c>
      <x:c r="V27" t="str">
        <x:v>Pasted text(56).txt</x:v>
      </x:c>
    </x:row>
    <x:row r="28">
      <x:c r="A28" t="str">
        <x:v>S01</x:v>
      </x:c>
      <x:c r="B28" t="str">
        <x:v>1.10 initial validation – unstable response state</x:v>
      </x:c>
      <x:c r="C28" s="54" t="n">
        <x:v>1.1</x:v>
      </x:c>
      <x:c r="D28" t="n">
        <x:v>1</x:v>
      </x:c>
      <x:c r="E28" t="n">
        <x:v>2</x:v>
      </x:c>
      <x:c r="F28" t="str">
        <x:v>FINAL</x:v>
      </x:c>
      <x:c r="G28" t="n">
        <x:v>2</x:v>
      </x:c>
      <x:c r="H28" s="54" t="n">
        <x:v>5</x:v>
      </x:c>
      <x:c r="I28" s="54" t="n">
        <x:v>1.59223</x:v>
      </x:c>
      <x:c r="J28" s="54" t="n">
        <x:v>1.54003</x:v>
      </x:c>
      <x:c r="K28" s="54" t="n">
        <x:v>1.13561</x:v>
      </x:c>
      <x:c r="L28" s="54" t="n">
        <x:v>1.04148</x:v>
      </x:c>
      <x:c r="M28" s="54" t="n">
        <x:v>2.18197</x:v>
      </x:c>
      <x:c r="N28" s="56" t="n">
        <x:v>44.75</x:v>
      </x:c>
      <x:c r="O28" s="56" t="n">
        <x:v>9.52</x:v>
      </x:c>
      <x:c r="P28" s="56" t="n">
        <x:v>11.01</x:v>
      </x:c>
      <x:c r="Q28" s="56" t="n">
        <x:v>85.3</x:v>
      </x:c>
      <x:c r="R28" t="str">
        <x:v>X</x:v>
      </x:c>
      <x:c r="S28" s="102" t="n">
        <x:v>100</x:v>
      </x:c>
      <x:c r="T28" t="str">
        <x:v>UNSTABLE — SEARCH CONTINUES</x:v>
      </x:c>
      <x:c r="U28" t="n">
        <x:v>125</x:v>
      </x:c>
      <x:c r="V28" t="str">
        <x:v>Pasted text(56).txt</x:v>
      </x:c>
    </x:row>
    <x:row r="29">
      <x:c r="A29" t="str">
        <x:v>S01</x:v>
      </x:c>
      <x:c r="B29" t="str">
        <x:v>1.10 initial validation – unstable response state</x:v>
      </x:c>
      <x:c r="C29" s="54" t="n">
        <x:v>1.1</x:v>
      </x:c>
      <x:c r="D29" t="n">
        <x:v>1</x:v>
      </x:c>
      <x:c r="E29" t="n">
        <x:v>2</x:v>
      </x:c>
      <x:c r="F29" t="str">
        <x:v>FINAL</x:v>
      </x:c>
      <x:c r="G29" t="n">
        <x:v>3</x:v>
      </x:c>
      <x:c r="H29" s="54" t="n">
        <x:v>5</x:v>
      </x:c>
      <x:c r="I29" s="54" t="n">
        <x:v>1.03509</x:v>
      </x:c>
      <x:c r="J29" s="54" t="n">
        <x:v>1.0463</x:v>
      </x:c>
      <x:c r="K29" s="54" t="n">
        <x:v>1.07493</x:v>
      </x:c>
      <x:c r="L29" s="54" t="n">
        <x:v>0.86221</x:v>
      </x:c>
      <x:c r="M29" s="54" t="n">
        <x:v>1.73044</x:v>
      </x:c>
      <x:c r="N29" s="56" t="n">
        <x:v>-5.9</x:v>
      </x:c>
      <x:c r="O29" s="56" t="n">
        <x:v>1.26</x:v>
      </x:c>
      <x:c r="P29" s="56" t="n">
        <x:v>2.18</x:v>
      </x:c>
      <x:c r="Q29" s="56" t="n">
        <x:v>81.8</x:v>
      </x:c>
      <x:c r="R29" t="str">
        <x:v>Y</x:v>
      </x:c>
      <x:c r="S29" s="102" t="n">
        <x:v>97.3</x:v>
      </x:c>
      <x:c r="T29" t="str">
        <x:v>IN TARGET BAND</x:v>
      </x:c>
      <x:c r="U29" t="n">
        <x:v>126</x:v>
      </x:c>
      <x:c r="V29" t="str">
        <x:v>Pasted text(56).txt</x:v>
      </x:c>
    </x:row>
    <x:row r="30">
      <x:c r="A30" t="str">
        <x:v>S01</x:v>
      </x:c>
      <x:c r="B30" t="str">
        <x:v>1.10 initial validation – unstable response state</x:v>
      </x:c>
      <x:c r="C30" s="54" t="n">
        <x:v>1.1</x:v>
      </x:c>
      <x:c r="D30" t="n">
        <x:v>2</x:v>
      </x:c>
      <x:c r="E30" t="n">
        <x:v>1</x:v>
      </x:c>
      <x:c r="F30" t="str">
        <x:v>SEARCH</x:v>
      </x:c>
      <x:c r="G30" t="n">
        <x:v>1</x:v>
      </x:c>
      <x:c r="H30" s="54" t="n">
        <x:v>1</x:v>
      </x:c>
      <x:c r="I30" s="54" t="n">
        <x:v>0.05289</x:v>
      </x:c>
      <x:c r="J30" s="54" t="n">
        <x:v>0.05355</x:v>
      </x:c>
      <x:c r="K30" s="54" t="n">
        <x:v>0.05653</x:v>
      </x:c>
      <x:c r="L30" s="54" t="n">
        <x:v>0.03876</x:v>
      </x:c>
      <x:c r="M30" s="54" t="n">
        <x:v>0.0879</x:v>
      </x:c>
      <x:c r="N30" s="56" t="n">
        <x:v>-95.19</x:v>
      </x:c>
      <x:c r="O30" s="56" t="n">
        <x:v>57</x:v>
      </x:c>
      <x:c r="P30" s="56" t="n">
        <x:v>39.83</x:v>
      </x:c>
      <x:c r="Q30" s="56" t="n">
        <x:v>7</x:v>
      </x:c>
      <x:c r="R30" t="str">
        <x:v>Y</x:v>
      </x:c>
      <x:c r="S30" s="102" t="n">
        <x:v>94.7</x:v>
      </x:c>
      <x:c r="T30" t="str">
        <x:v>BELOW MEASUREMENT FLOOR — SEARCH CONTINUES</x:v>
      </x:c>
      <x:c r="U30" t="n">
        <x:v>182</x:v>
      </x:c>
      <x:c r="V30" t="str">
        <x:v>Pasted text(56).txt</x:v>
      </x:c>
    </x:row>
    <x:row r="31">
      <x:c r="A31" t="str">
        <x:v>S01</x:v>
      </x:c>
      <x:c r="B31" t="str">
        <x:v>1.10 initial validation – unstable response state</x:v>
      </x:c>
      <x:c r="C31" s="54" t="n">
        <x:v>1.1</x:v>
      </x:c>
      <x:c r="D31" t="n">
        <x:v>2</x:v>
      </x:c>
      <x:c r="E31" t="n">
        <x:v>1</x:v>
      </x:c>
      <x:c r="F31" t="str">
        <x:v>SEARCH</x:v>
      </x:c>
      <x:c r="G31" t="n">
        <x:v>2</x:v>
      </x:c>
      <x:c r="H31" s="54" t="n">
        <x:v>3</x:v>
      </x:c>
      <x:c r="I31" s="54" t="n">
        <x:v>1.07487</x:v>
      </x:c>
      <x:c r="J31" s="54" t="n">
        <x:v>1.07589</x:v>
      </x:c>
      <x:c r="K31" s="54" t="n">
        <x:v>0.48259</x:v>
      </x:c>
      <x:c r="L31" s="54" t="n">
        <x:v>0.36343</x:v>
      </x:c>
      <x:c r="M31" s="54" t="n">
        <x:v>1.2342</x:v>
      </x:c>
      <x:c r="N31" s="56" t="n">
        <x:v>-2.28</x:v>
      </x:c>
      <x:c r="O31" s="56" t="n">
        <x:v>2.97</x:v>
      </x:c>
      <x:c r="P31" s="56" t="n">
        <x:v>2.15</x:v>
      </x:c>
      <x:c r="Q31" s="56" t="n">
        <x:v>76.4</x:v>
      </x:c>
      <x:c r="R31" t="str">
        <x:v>X</x:v>
      </x:c>
      <x:c r="S31" s="102" t="n">
        <x:v>100</x:v>
      </x:c>
      <x:c r="T31" t="str">
        <x:v>IN TARGET BAND</x:v>
      </x:c>
      <x:c r="U31" t="n">
        <x:v>183</x:v>
      </x:c>
      <x:c r="V31" t="str">
        <x:v>Pasted text(56).txt</x:v>
      </x:c>
    </x:row>
    <x:row r="32">
      <x:c r="A32" t="str">
        <x:v>S01</x:v>
      </x:c>
      <x:c r="B32" t="str">
        <x:v>1.10 initial validation – unstable response state</x:v>
      </x:c>
      <x:c r="C32" s="54" t="n">
        <x:v>1.1</x:v>
      </x:c>
      <x:c r="D32" t="n">
        <x:v>2</x:v>
      </x:c>
      <x:c r="E32" t="n">
        <x:v>1</x:v>
      </x:c>
      <x:c r="F32" t="str">
        <x:v>FINE</x:v>
      </x:c>
      <x:c r="G32" t="n">
        <x:v>1</x:v>
      </x:c>
      <x:c r="H32" s="54" t="n">
        <x:v>2</x:v>
      </x:c>
      <x:c r="I32" s="54" t="n">
        <x:v>0.48042</x:v>
      </x:c>
      <x:c r="J32" s="54" t="n">
        <x:v>0.48305</x:v>
      </x:c>
      <x:c r="K32" s="54" t="n">
        <x:v>0.22124</x:v>
      </x:c>
      <x:c r="L32" s="54" t="n">
        <x:v>0.16242</x:v>
      </x:c>
      <x:c r="M32" s="54" t="n">
        <x:v>0.55667</x:v>
      </x:c>
      <x:c r="N32" s="56" t="n">
        <x:v>-56.33</x:v>
      </x:c>
      <x:c r="O32" s="56" t="n">
        <x:v>3.54</x:v>
      </x:c>
      <x:c r="P32" s="56" t="n">
        <x:v>3.23</x:v>
      </x:c>
      <x:c r="Q32" s="56" t="n">
        <x:v>48.9</x:v>
      </x:c>
      <x:c r="R32" t="str">
        <x:v>X</x:v>
      </x:c>
      <x:c r="S32" s="102" t="n">
        <x:v>100</x:v>
      </x:c>
      <x:c r="T32" t="str">
        <x:v>UNSTABLE — SEARCH CONTINUES</x:v>
      </x:c>
      <x:c r="U32" t="n">
        <x:v>187</x:v>
      </x:c>
      <x:c r="V32" t="str">
        <x:v>Pasted text(56).txt</x:v>
      </x:c>
    </x:row>
    <x:row r="33">
      <x:c r="A33" t="str">
        <x:v>S01</x:v>
      </x:c>
      <x:c r="B33" t="str">
        <x:v>1.10 initial validation – unstable response state</x:v>
      </x:c>
      <x:c r="C33" s="54" t="n">
        <x:v>1.1</x:v>
      </x:c>
      <x:c r="D33" t="n">
        <x:v>2</x:v>
      </x:c>
      <x:c r="E33" t="n">
        <x:v>1</x:v>
      </x:c>
      <x:c r="F33" t="str">
        <x:v>FINE</x:v>
      </x:c>
      <x:c r="G33" t="n">
        <x:v>2</x:v>
      </x:c>
      <x:c r="H33" s="54" t="n">
        <x:v>2.25</x:v>
      </x:c>
      <x:c r="I33" s="54" t="n">
        <x:v>0.5208</x:v>
      </x:c>
      <x:c r="J33" s="54" t="n">
        <x:v>0.52792</x:v>
      </x:c>
      <x:c r="K33" s="54" t="n">
        <x:v>0.27642</x:v>
      </x:c>
      <x:c r="L33" s="54" t="n">
        <x:v>0.17989</x:v>
      </x:c>
      <x:c r="M33" s="54" t="n">
        <x:v>0.62341</x:v>
      </x:c>
      <x:c r="N33" s="56" t="n">
        <x:v>-52.65</x:v>
      </x:c>
      <x:c r="O33" s="56" t="n">
        <x:v>0.42</x:v>
      </x:c>
      <x:c r="P33" s="56" t="n">
        <x:v>2.58</x:v>
      </x:c>
      <x:c r="Q33" s="56" t="n">
        <x:v>49.3</x:v>
      </x:c>
      <x:c r="R33" t="str">
        <x:v>X</x:v>
      </x:c>
      <x:c r="S33" s="102" t="n">
        <x:v>100</x:v>
      </x:c>
      <x:c r="T33" t="str">
        <x:v>UNSTABLE — SEARCH CONTINUES</x:v>
      </x:c>
      <x:c r="U33" t="n">
        <x:v>188</x:v>
      </x:c>
      <x:c r="V33" t="str">
        <x:v>Pasted text(56).txt</x:v>
      </x:c>
    </x:row>
    <x:row r="34">
      <x:c r="A34" t="str">
        <x:v>S01</x:v>
      </x:c>
      <x:c r="B34" t="str">
        <x:v>1.10 initial validation – unstable response state</x:v>
      </x:c>
      <x:c r="C34" s="54" t="n">
        <x:v>1.1</x:v>
      </x:c>
      <x:c r="D34" t="n">
        <x:v>2</x:v>
      </x:c>
      <x:c r="E34" t="n">
        <x:v>1</x:v>
      </x:c>
      <x:c r="F34" t="str">
        <x:v>FINE</x:v>
      </x:c>
      <x:c r="G34" t="n">
        <x:v>3</x:v>
      </x:c>
      <x:c r="H34" s="54" t="n">
        <x:v>2.5</x:v>
      </x:c>
      <x:c r="I34" s="54" t="n">
        <x:v>0.5757</x:v>
      </x:c>
      <x:c r="J34" s="54" t="n">
        <x:v>0.57728</x:v>
      </x:c>
      <x:c r="K34" s="54" t="n">
        <x:v>0.25054</x:v>
      </x:c>
      <x:c r="L34" s="54" t="n">
        <x:v>0.202</x:v>
      </x:c>
      <x:c r="M34" s="54" t="n">
        <x:v>0.66174</x:v>
      </x:c>
      <x:c r="N34" s="56" t="n">
        <x:v>-47.66</x:v>
      </x:c>
      <x:c r="O34" s="56" t="n">
        <x:v>3.32</x:v>
      </x:c>
      <x:c r="P34" s="56" t="n">
        <x:v>2.65</x:v>
      </x:c>
      <x:c r="Q34" s="56" t="n">
        <x:v>53.3</x:v>
      </x:c>
      <x:c r="R34" t="str">
        <x:v>X</x:v>
      </x:c>
      <x:c r="S34" s="102" t="n">
        <x:v>100</x:v>
      </x:c>
      <x:c r="T34" t="str">
        <x:v>VALID</x:v>
      </x:c>
      <x:c r="U34" t="n">
        <x:v>189</x:v>
      </x:c>
      <x:c r="V34" t="str">
        <x:v>Pasted text(56).txt</x:v>
      </x:c>
    </x:row>
    <x:row r="35">
      <x:c r="A35" t="str">
        <x:v>S01</x:v>
      </x:c>
      <x:c r="B35" t="str">
        <x:v>1.10 initial validation – unstable response state</x:v>
      </x:c>
      <x:c r="C35" s="54" t="n">
        <x:v>1.1</x:v>
      </x:c>
      <x:c r="D35" t="n">
        <x:v>2</x:v>
      </x:c>
      <x:c r="E35" t="n">
        <x:v>1</x:v>
      </x:c>
      <x:c r="F35" t="str">
        <x:v>FINE</x:v>
      </x:c>
      <x:c r="G35" t="n">
        <x:v>4</x:v>
      </x:c>
      <x:c r="H35" s="54" t="n">
        <x:v>2.75</x:v>
      </x:c>
      <x:c r="I35" s="54" t="n">
        <x:v>0.93712</x:v>
      </x:c>
      <x:c r="J35" s="54" t="n">
        <x:v>0.9355</x:v>
      </x:c>
      <x:c r="K35" s="54" t="n">
        <x:v>0.42966</x:v>
      </x:c>
      <x:c r="L35" s="54" t="n">
        <x:v>0.31982</x:v>
      </x:c>
      <x:c r="M35" s="54" t="n">
        <x:v>1.07828</x:v>
      </x:c>
      <x:c r="N35" s="56" t="n">
        <x:v>-14.81</x:v>
      </x:c>
      <x:c r="O35" s="56" t="n">
        <x:v>1.57</x:v>
      </x:c>
      <x:c r="P35" s="56" t="n">
        <x:v>1.33</x:v>
      </x:c>
      <x:c r="Q35" s="56" t="n">
        <x:v>73.9</x:v>
      </x:c>
      <x:c r="R35" t="str">
        <x:v>X</x:v>
      </x:c>
      <x:c r="S35" s="102" t="n">
        <x:v>100</x:v>
      </x:c>
      <x:c r="T35" t="str">
        <x:v>VALID</x:v>
      </x:c>
      <x:c r="U35" t="n">
        <x:v>190</x:v>
      </x:c>
      <x:c r="V35" t="str">
        <x:v>Pasted text(56).txt</x:v>
      </x:c>
    </x:row>
    <x:row r="36">
      <x:c r="A36" t="str">
        <x:v>S01</x:v>
      </x:c>
      <x:c r="B36" t="str">
        <x:v>1.10 initial validation – unstable response state</x:v>
      </x:c>
      <x:c r="C36" s="54" t="n">
        <x:v>1.1</x:v>
      </x:c>
      <x:c r="D36" t="n">
        <x:v>2</x:v>
      </x:c>
      <x:c r="E36" t="n">
        <x:v>1</x:v>
      </x:c>
      <x:c r="F36" t="str">
        <x:v>FINE</x:v>
      </x:c>
      <x:c r="G36" t="n">
        <x:v>5</x:v>
      </x:c>
      <x:c r="H36" s="54" t="n">
        <x:v>3</x:v>
      </x:c>
      <x:c r="I36" s="54" t="n">
        <x:v>1.06539</x:v>
      </x:c>
      <x:c r="J36" s="54" t="n">
        <x:v>1.05899</x:v>
      </x:c>
      <x:c r="K36" s="54" t="n">
        <x:v>0.45615</x:v>
      </x:c>
      <x:c r="L36" s="54" t="n">
        <x:v>0.34215</x:v>
      </x:c>
      <x:c r="M36" s="54" t="n">
        <x:v>1.20294</x:v>
      </x:c>
      <x:c r="N36" s="56" t="n">
        <x:v>-3.15</x:v>
      </x:c>
      <x:c r="O36" s="56" t="n">
        <x:v>2.03</x:v>
      </x:c>
      <x:c r="P36" s="56" t="n">
        <x:v>2.34</x:v>
      </x:c>
      <x:c r="Q36" s="56" t="n">
        <x:v>76.4</x:v>
      </x:c>
      <x:c r="R36" t="str">
        <x:v>X</x:v>
      </x:c>
      <x:c r="S36" s="102" t="n">
        <x:v>100</x:v>
      </x:c>
      <x:c r="T36" t="str">
        <x:v>IN TARGET BAND</x:v>
      </x:c>
      <x:c r="U36" t="n">
        <x:v>191</x:v>
      </x:c>
      <x:c r="V36" t="str">
        <x:v>Pasted text(56).txt</x:v>
      </x:c>
    </x:row>
    <x:row r="37">
      <x:c r="A37" t="str">
        <x:v>S01</x:v>
      </x:c>
      <x:c r="B37" t="str">
        <x:v>1.10 initial validation – unstable response state</x:v>
      </x:c>
      <x:c r="C37" s="54" t="n">
        <x:v>1.1</x:v>
      </x:c>
      <x:c r="D37" t="n">
        <x:v>2</x:v>
      </x:c>
      <x:c r="E37" t="n">
        <x:v>1</x:v>
      </x:c>
      <x:c r="F37" t="str">
        <x:v>FINE</x:v>
      </x:c>
      <x:c r="G37" t="n">
        <x:v>6</x:v>
      </x:c>
      <x:c r="H37" s="54" t="n">
        <x:v>3.25</x:v>
      </x:c>
      <x:c r="I37" s="54" t="n">
        <x:v>1.15661</x:v>
      </x:c>
      <x:c r="J37" s="54" t="n">
        <x:v>1.15349</x:v>
      </x:c>
      <x:c r="K37" s="54" t="n">
        <x:v>0.51679</x:v>
      </x:c>
      <x:c r="L37" s="54" t="n">
        <x:v>0.37222</x:v>
      </x:c>
      <x:c r="M37" s="54" t="n">
        <x:v>1.31803</x:v>
      </x:c>
      <x:c r="N37" s="56" t="n">
        <x:v>5.15</x:v>
      </x:c>
      <x:c r="O37" s="56" t="n">
        <x:v>1.46</x:v>
      </x:c>
      <x:c r="P37" s="56" t="n">
        <x:v>1.41</x:v>
      </x:c>
      <x:c r="Q37" s="56" t="n">
        <x:v>76.5</x:v>
      </x:c>
      <x:c r="R37" t="str">
        <x:v>X</x:v>
      </x:c>
      <x:c r="S37" s="102" t="n">
        <x:v>100</x:v>
      </x:c>
      <x:c r="T37" t="str">
        <x:v>IN TARGET BAND</x:v>
      </x:c>
      <x:c r="U37" t="n">
        <x:v>192</x:v>
      </x:c>
      <x:c r="V37" t="str">
        <x:v>Pasted text(56).txt</x:v>
      </x:c>
    </x:row>
    <x:row r="38">
      <x:c r="A38" t="str">
        <x:v>S01</x:v>
      </x:c>
      <x:c r="B38" t="str">
        <x:v>1.10 initial validation – unstable response state</x:v>
      </x:c>
      <x:c r="C38" s="54" t="n">
        <x:v>1.1</x:v>
      </x:c>
      <x:c r="D38" t="n">
        <x:v>2</x:v>
      </x:c>
      <x:c r="E38" t="n">
        <x:v>1</x:v>
      </x:c>
      <x:c r="F38" t="str">
        <x:v>FINE</x:v>
      </x:c>
      <x:c r="G38" t="n">
        <x:v>7</x:v>
      </x:c>
      <x:c r="H38" s="54" t="n">
        <x:v>3.5</x:v>
      </x:c>
      <x:c r="I38" s="54" t="n">
        <x:v>1.23505</x:v>
      </x:c>
      <x:c r="J38" s="54" t="n">
        <x:v>1.22791</x:v>
      </x:c>
      <x:c r="K38" s="54" t="n">
        <x:v>0.55187</x:v>
      </x:c>
      <x:c r="L38" s="54" t="n">
        <x:v>0.38697</x:v>
      </x:c>
      <x:c r="M38" s="54" t="n">
        <x:v>1.40092</x:v>
      </x:c>
      <x:c r="N38" s="56" t="n">
        <x:v>12.28</x:v>
      </x:c>
      <x:c r="O38" s="56" t="n">
        <x:v>2.05</x:v>
      </x:c>
      <x:c r="P38" s="56" t="n">
        <x:v>2.32</x:v>
      </x:c>
      <x:c r="Q38" s="56" t="n">
        <x:v>79.5</x:v>
      </x:c>
      <x:c r="R38" t="str">
        <x:v>X</x:v>
      </x:c>
      <x:c r="S38" s="102" t="n">
        <x:v>100</x:v>
      </x:c>
      <x:c r="T38" t="str">
        <x:v>VALID</x:v>
      </x:c>
      <x:c r="U38" t="n">
        <x:v>193</x:v>
      </x:c>
      <x:c r="V38" t="str">
        <x:v>Pasted text(56).txt</x:v>
      </x:c>
    </x:row>
    <x:row r="39">
      <x:c r="A39" t="str">
        <x:v>S01</x:v>
      </x:c>
      <x:c r="B39" t="str">
        <x:v>1.10 initial validation – unstable response state</x:v>
      </x:c>
      <x:c r="C39" s="54" t="n">
        <x:v>1.1</x:v>
      </x:c>
      <x:c r="D39" t="n">
        <x:v>2</x:v>
      </x:c>
      <x:c r="E39" t="n">
        <x:v>1</x:v>
      </x:c>
      <x:c r="F39" t="str">
        <x:v>FINE</x:v>
      </x:c>
      <x:c r="G39" t="n">
        <x:v>8</x:v>
      </x:c>
      <x:c r="H39" s="54" t="n">
        <x:v>3.75</x:v>
      </x:c>
      <x:c r="I39" s="54" t="n">
        <x:v>1.53792</x:v>
      </x:c>
      <x:c r="J39" s="54" t="n">
        <x:v>1.54835</x:v>
      </x:c>
      <x:c r="K39" s="54" t="n">
        <x:v>0.65992</x:v>
      </x:c>
      <x:c r="L39" s="54" t="n">
        <x:v>0.49455</x:v>
      </x:c>
      <x:c r="M39" s="54" t="n">
        <x:v>1.75435</x:v>
      </x:c>
      <x:c r="N39" s="56" t="n">
        <x:v>39.81</x:v>
      </x:c>
      <x:c r="O39" s="56" t="n">
        <x:v>0.14</x:v>
      </x:c>
      <x:c r="P39" s="56" t="n">
        <x:v>1.25</x:v>
      </x:c>
      <x:c r="Q39" s="56" t="n">
        <x:v>85.8</x:v>
      </x:c>
      <x:c r="R39" t="str">
        <x:v>X</x:v>
      </x:c>
      <x:c r="S39" s="102" t="n">
        <x:v>100</x:v>
      </x:c>
      <x:c r="T39" t="str">
        <x:v>VALID</x:v>
      </x:c>
      <x:c r="U39" t="n">
        <x:v>194</x:v>
      </x:c>
      <x:c r="V39" t="str">
        <x:v>Pasted text(56).txt</x:v>
      </x:c>
    </x:row>
    <x:row r="40">
      <x:c r="A40" t="str">
        <x:v>S01</x:v>
      </x:c>
      <x:c r="B40" t="str">
        <x:v>1.10 initial validation – unstable response state</x:v>
      </x:c>
      <x:c r="C40" s="54" t="n">
        <x:v>1.1</x:v>
      </x:c>
      <x:c r="D40" t="n">
        <x:v>2</x:v>
      </x:c>
      <x:c r="E40" t="n">
        <x:v>1</x:v>
      </x:c>
      <x:c r="F40" t="str">
        <x:v>FINE</x:v>
      </x:c>
      <x:c r="G40" t="n">
        <x:v>9</x:v>
      </x:c>
      <x:c r="H40" s="54" t="n">
        <x:v>4</x:v>
      </x:c>
      <x:c r="I40" s="54" t="n">
        <x:v>1.72038</x:v>
      </x:c>
      <x:c r="J40" s="54" t="n">
        <x:v>1.71977</x:v>
      </x:c>
      <x:c r="K40" s="54" t="n">
        <x:v>0.72806</x:v>
      </x:c>
      <x:c r="L40" s="54" t="n">
        <x:v>0.5303</x:v>
      </x:c>
      <x:c r="M40" s="54" t="n">
        <x:v>1.94148</x:v>
      </x:c>
      <x:c r="N40" s="56" t="n">
        <x:v>56.4</x:v>
      </x:c>
      <x:c r="O40" s="56" t="n">
        <x:v>1.94</x:v>
      </x:c>
      <x:c r="P40" s="56" t="n">
        <x:v>1.36</x:v>
      </x:c>
      <x:c r="Q40" s="56" t="n">
        <x:v>86.4</x:v>
      </x:c>
      <x:c r="R40" t="str">
        <x:v>X</x:v>
      </x:c>
      <x:c r="S40" s="102" t="n">
        <x:v>100</x:v>
      </x:c>
      <x:c r="T40" t="str">
        <x:v>VALID</x:v>
      </x:c>
      <x:c r="U40" t="n">
        <x:v>195</x:v>
      </x:c>
      <x:c r="V40" t="str">
        <x:v>Pasted text(56).txt</x:v>
      </x:c>
    </x:row>
    <x:row r="41">
      <x:c r="A41" t="str">
        <x:v>S01</x:v>
      </x:c>
      <x:c r="B41" t="str">
        <x:v>1.10 initial validation – unstable response state</x:v>
      </x:c>
      <x:c r="C41" s="54" t="n">
        <x:v>1.1</x:v>
      </x:c>
      <x:c r="D41" t="n">
        <x:v>2</x:v>
      </x:c>
      <x:c r="E41" t="n">
        <x:v>1</x:v>
      </x:c>
      <x:c r="F41" t="str">
        <x:v>FINAL</x:v>
      </x:c>
      <x:c r="G41" t="n">
        <x:v>1</x:v>
      </x:c>
      <x:c r="H41" s="54" t="n">
        <x:v>3</x:v>
      </x:c>
      <x:c r="I41" s="54" t="n">
        <x:v>1.04709</x:v>
      </x:c>
      <x:c r="J41" s="54" t="n">
        <x:v>1.0657</x:v>
      </x:c>
      <x:c r="K41" s="54" t="n">
        <x:v>0.47027</x:v>
      </x:c>
      <x:c r="L41" s="54" t="n">
        <x:v>0.33487</x:v>
      </x:c>
      <x:c r="M41" s="54" t="n">
        <x:v>1.21291</x:v>
      </x:c>
      <x:c r="N41" s="56" t="n">
        <x:v>-4.81</x:v>
      </x:c>
      <x:c r="O41" s="56" t="n">
        <x:v>0.76</x:v>
      </x:c>
      <x:c r="P41" s="56" t="n">
        <x:v>2.9</x:v>
      </x:c>
      <x:c r="Q41" s="56" t="n">
        <x:v>77.1</x:v>
      </x:c>
      <x:c r="R41" t="str">
        <x:v>X</x:v>
      </x:c>
      <x:c r="S41" s="102" t="n">
        <x:v>100</x:v>
      </x:c>
      <x:c r="T41" t="str">
        <x:v>IN TARGET BAND</x:v>
      </x:c>
      <x:c r="U41" t="n">
        <x:v>198</x:v>
      </x:c>
      <x:c r="V41" t="str">
        <x:v>Pasted text(56).txt</x:v>
      </x:c>
    </x:row>
    <x:row r="42">
      <x:c r="A42" t="str">
        <x:v>S01</x:v>
      </x:c>
      <x:c r="B42" t="str">
        <x:v>1.10 initial validation – unstable response state</x:v>
      </x:c>
      <x:c r="C42" s="54" t="n">
        <x:v>1.1</x:v>
      </x:c>
      <x:c r="D42" t="n">
        <x:v>2</x:v>
      </x:c>
      <x:c r="E42" t="n">
        <x:v>1</x:v>
      </x:c>
      <x:c r="F42" t="str">
        <x:v>FINAL</x:v>
      </x:c>
      <x:c r="G42" t="n">
        <x:v>2</x:v>
      </x:c>
      <x:c r="H42" s="54" t="n">
        <x:v>3</x:v>
      </x:c>
      <x:c r="I42" s="54" t="n">
        <x:v>1.05664</x:v>
      </x:c>
      <x:c r="J42" s="54" t="n">
        <x:v>1.05281</x:v>
      </x:c>
      <x:c r="K42" s="54" t="n">
        <x:v>0.47482</x:v>
      </x:c>
      <x:c r="L42" s="54" t="n">
        <x:v>0.34181</x:v>
      </x:c>
      <x:c r="M42" s="54" t="n">
        <x:v>1.20499</x:v>
      </x:c>
      <x:c r="N42" s="56" t="n">
        <x:v>-3.94</x:v>
      </x:c>
      <x:c r="O42" s="56" t="n">
        <x:v>0.25</x:v>
      </x:c>
      <x:c r="P42" s="56" t="n">
        <x:v>1.36</x:v>
      </x:c>
      <x:c r="Q42" s="56" t="n">
        <x:v>76.3</x:v>
      </x:c>
      <x:c r="R42" t="str">
        <x:v>X</x:v>
      </x:c>
      <x:c r="S42" s="102" t="n">
        <x:v>100</x:v>
      </x:c>
      <x:c r="T42" t="str">
        <x:v>IN TARGET BAND</x:v>
      </x:c>
      <x:c r="U42" t="n">
        <x:v>199</x:v>
      </x:c>
      <x:c r="V42" t="str">
        <x:v>Pasted text(56).txt</x:v>
      </x:c>
    </x:row>
    <x:row r="43">
      <x:c r="A43" t="str">
        <x:v>S01</x:v>
      </x:c>
      <x:c r="B43" t="str">
        <x:v>1.10 initial validation – unstable response state</x:v>
      </x:c>
      <x:c r="C43" s="54" t="n">
        <x:v>1.1</x:v>
      </x:c>
      <x:c r="D43" t="n">
        <x:v>3</x:v>
      </x:c>
      <x:c r="E43" t="n">
        <x:v>1</x:v>
      </x:c>
      <x:c r="F43" t="str">
        <x:v>SEARCH</x:v>
      </x:c>
      <x:c r="G43" t="n">
        <x:v>1</x:v>
      </x:c>
      <x:c r="H43" s="54" t="n">
        <x:v>1</x:v>
      </x:c>
      <x:c r="I43" s="54" t="n">
        <x:v>0.03969</x:v>
      </x:c>
      <x:c r="J43" s="54" t="n">
        <x:v>0.03607</x:v>
      </x:c>
      <x:c r="K43" s="54" t="n">
        <x:v>0.0181</x:v>
      </x:c>
      <x:c r="L43" s="54" t="n">
        <x:v>0.03193</x:v>
      </x:c>
      <x:c r="M43" s="54" t="n">
        <x:v>0.05322</x:v>
      </x:c>
      <x:c r="N43" s="56" t="n">
        <x:v>-96.39</x:v>
      </x:c>
      <x:c r="O43" s="56" t="n">
        <x:v>27.02</x:v>
      </x:c>
      <x:c r="P43" s="56" t="n">
        <x:v>14.18</x:v>
      </x:c>
      <x:c r="Q43" s="56" t="n">
        <x:v>4.8</x:v>
      </x:c>
      <x:c r="R43" t="str">
        <x:v>X</x:v>
      </x:c>
      <x:c r="S43" s="102" t="n">
        <x:v>100</x:v>
      </x:c>
      <x:c r="T43" t="str">
        <x:v>BELOW MEASUREMENT FLOOR — SEARCH CONTINUES</x:v>
      </x:c>
      <x:c r="U43" t="n">
        <x:v>255</x:v>
      </x:c>
      <x:c r="V43" t="str">
        <x:v>Pasted text(56).txt</x:v>
      </x:c>
    </x:row>
    <x:row r="44">
      <x:c r="A44" t="str">
        <x:v>S01</x:v>
      </x:c>
      <x:c r="B44" t="str">
        <x:v>1.10 initial validation – unstable response state</x:v>
      </x:c>
      <x:c r="C44" s="54" t="n">
        <x:v>1.1</x:v>
      </x:c>
      <x:c r="D44" t="n">
        <x:v>3</x:v>
      </x:c>
      <x:c r="E44" t="n">
        <x:v>1</x:v>
      </x:c>
      <x:c r="F44" t="str">
        <x:v>SEARCH</x:v>
      </x:c>
      <x:c r="G44" t="n">
        <x:v>2</x:v>
      </x:c>
      <x:c r="H44" s="54" t="n">
        <x:v>3</x:v>
      </x:c>
      <x:c r="I44" s="54" t="n">
        <x:v>1.07313</x:v>
      </x:c>
      <x:c r="J44" s="54" t="n">
        <x:v>1.07223</x:v>
      </x:c>
      <x:c r="K44" s="54" t="n">
        <x:v>0.47444</x:v>
      </x:c>
      <x:c r="L44" s="54" t="n">
        <x:v>0.36341</x:v>
      </x:c>
      <x:c r="M44" s="54" t="n">
        <x:v>1.22794</x:v>
      </x:c>
      <x:c r="N44" s="56" t="n">
        <x:v>-2.44</x:v>
      </x:c>
      <x:c r="O44" s="56" t="n">
        <x:v>0.43</x:v>
      </x:c>
      <x:c r="P44" s="56" t="n">
        <x:v>0.42</x:v>
      </x:c>
      <x:c r="Q44" s="56" t="n">
        <x:v>76.5</x:v>
      </x:c>
      <x:c r="R44" t="str">
        <x:v>X</x:v>
      </x:c>
      <x:c r="S44" s="102" t="n">
        <x:v>100</x:v>
      </x:c>
      <x:c r="T44" t="str">
        <x:v>IN TARGET BAND</x:v>
      </x:c>
      <x:c r="U44" t="n">
        <x:v>256</x:v>
      </x:c>
      <x:c r="V44" t="str">
        <x:v>Pasted text(56).txt</x:v>
      </x:c>
    </x:row>
    <x:row r="45">
      <x:c r="A45" t="str">
        <x:v>S01</x:v>
      </x:c>
      <x:c r="B45" t="str">
        <x:v>1.10 initial validation – unstable response state</x:v>
      </x:c>
      <x:c r="C45" s="54" t="n">
        <x:v>1.1</x:v>
      </x:c>
      <x:c r="D45" t="n">
        <x:v>3</x:v>
      </x:c>
      <x:c r="E45" t="n">
        <x:v>1</x:v>
      </x:c>
      <x:c r="F45" t="str">
        <x:v>FINE</x:v>
      </x:c>
      <x:c r="G45" t="n">
        <x:v>1</x:v>
      </x:c>
      <x:c r="H45" s="54" t="n">
        <x:v>2</x:v>
      </x:c>
      <x:c r="I45" s="54" t="n">
        <x:v>0.48555</x:v>
      </x:c>
      <x:c r="J45" s="54" t="n">
        <x:v>0.48082</x:v>
      </x:c>
      <x:c r="K45" s="54" t="n">
        <x:v>0.22646</x:v>
      </x:c>
      <x:c r="L45" s="54" t="n">
        <x:v>0.16471</x:v>
      </x:c>
      <x:c r="M45" s="54" t="n">
        <x:v>0.55875</x:v>
      </x:c>
      <x:c r="N45" s="56" t="n">
        <x:v>-55.86</x:v>
      </x:c>
      <x:c r="O45" s="56" t="n">
        <x:v>0.49</x:v>
      </x:c>
      <x:c r="P45" s="56" t="n">
        <x:v>1.99</x:v>
      </x:c>
      <x:c r="Q45" s="56" t="n">
        <x:v>49.6</x:v>
      </x:c>
      <x:c r="R45" t="str">
        <x:v>X</x:v>
      </x:c>
      <x:c r="S45" s="102" t="n">
        <x:v>100</x:v>
      </x:c>
      <x:c r="T45" t="str">
        <x:v>UNSTABLE — SEARCH CONTINUES</x:v>
      </x:c>
      <x:c r="U45" t="n">
        <x:v>260</x:v>
      </x:c>
      <x:c r="V45" t="str">
        <x:v>Pasted text(56).txt</x:v>
      </x:c>
    </x:row>
    <x:row r="46">
      <x:c r="A46" t="str">
        <x:v>S01</x:v>
      </x:c>
      <x:c r="B46" t="str">
        <x:v>1.10 initial validation – unstable response state</x:v>
      </x:c>
      <x:c r="C46" s="54" t="n">
        <x:v>1.1</x:v>
      </x:c>
      <x:c r="D46" t="n">
        <x:v>3</x:v>
      </x:c>
      <x:c r="E46" t="n">
        <x:v>1</x:v>
      </x:c>
      <x:c r="F46" t="str">
        <x:v>FINE</x:v>
      </x:c>
      <x:c r="G46" t="n">
        <x:v>2</x:v>
      </x:c>
      <x:c r="H46" s="54" t="n">
        <x:v>2.25</x:v>
      </x:c>
      <x:c r="I46" s="54" t="n">
        <x:v>0.52268</x:v>
      </x:c>
      <x:c r="J46" s="54" t="n">
        <x:v>0.53436</x:v>
      </x:c>
      <x:c r="K46" s="54" t="n">
        <x:v>0.24115</x:v>
      </x:c>
      <x:c r="L46" s="54" t="n">
        <x:v>0.18134</x:v>
      </x:c>
      <x:c r="M46" s="54" t="n">
        <x:v>0.61379</x:v>
      </x:c>
      <x:c r="N46" s="56" t="n">
        <x:v>-52.48</x:v>
      </x:c>
      <x:c r="O46" s="56" t="n">
        <x:v>3.08</x:v>
      </x:c>
      <x:c r="P46" s="56" t="n">
        <x:v>5.64</x:v>
      </x:c>
      <x:c r="Q46" s="56" t="n">
        <x:v>50.7</x:v>
      </x:c>
      <x:c r="R46" t="str">
        <x:v>X</x:v>
      </x:c>
      <x:c r="S46" s="102" t="n">
        <x:v>100</x:v>
      </x:c>
      <x:c r="T46" t="str">
        <x:v>UNSTABLE — SEARCH CONTINUES</x:v>
      </x:c>
      <x:c r="U46" t="n">
        <x:v>261</x:v>
      </x:c>
      <x:c r="V46" t="str">
        <x:v>Pasted text(56).txt</x:v>
      </x:c>
    </x:row>
    <x:row r="47">
      <x:c r="A47" t="str">
        <x:v>S01</x:v>
      </x:c>
      <x:c r="B47" t="str">
        <x:v>1.10 initial validation – unstable response state</x:v>
      </x:c>
      <x:c r="C47" s="54" t="n">
        <x:v>1.1</x:v>
      </x:c>
      <x:c r="D47" t="n">
        <x:v>3</x:v>
      </x:c>
      <x:c r="E47" t="n">
        <x:v>1</x:v>
      </x:c>
      <x:c r="F47" t="str">
        <x:v>FINE</x:v>
      </x:c>
      <x:c r="G47" t="n">
        <x:v>3</x:v>
      </x:c>
      <x:c r="H47" s="54" t="n">
        <x:v>2.5</x:v>
      </x:c>
      <x:c r="I47" s="54" t="n">
        <x:v>0.57759</x:v>
      </x:c>
      <x:c r="J47" s="54" t="n">
        <x:v>0.5768</x:v>
      </x:c>
      <x:c r="K47" s="54" t="n">
        <x:v>0.24809</x:v>
      </x:c>
      <x:c r="L47" s="54" t="n">
        <x:v>0.23163</x:v>
      </x:c>
      <x:c r="M47" s="54" t="n">
        <x:v>0.66997</x:v>
      </x:c>
      <x:c r="N47" s="56" t="n">
        <x:v>-47.49</x:v>
      </x:c>
      <x:c r="O47" s="56" t="n">
        <x:v>4.45</x:v>
      </x:c>
      <x:c r="P47" s="56" t="n">
        <x:v>3.21</x:v>
      </x:c>
      <x:c r="Q47" s="56" t="n">
        <x:v>53.1</x:v>
      </x:c>
      <x:c r="R47" t="str">
        <x:v>X</x:v>
      </x:c>
      <x:c r="S47" s="102" t="n">
        <x:v>100</x:v>
      </x:c>
      <x:c r="T47" t="str">
        <x:v>VALID</x:v>
      </x:c>
      <x:c r="U47" t="n">
        <x:v>262</x:v>
      </x:c>
      <x:c r="V47" t="str">
        <x:v>Pasted text(56).txt</x:v>
      </x:c>
    </x:row>
    <x:row r="48">
      <x:c r="A48" t="str">
        <x:v>S01</x:v>
      </x:c>
      <x:c r="B48" t="str">
        <x:v>1.10 initial validation – unstable response state</x:v>
      </x:c>
      <x:c r="C48" s="54" t="n">
        <x:v>1.1</x:v>
      </x:c>
      <x:c r="D48" t="n">
        <x:v>3</x:v>
      </x:c>
      <x:c r="E48" t="n">
        <x:v>1</x:v>
      </x:c>
      <x:c r="F48" t="str">
        <x:v>FINE</x:v>
      </x:c>
      <x:c r="G48" t="n">
        <x:v>4</x:v>
      </x:c>
      <x:c r="H48" s="54" t="n">
        <x:v>2.75</x:v>
      </x:c>
      <x:c r="I48" s="54" t="n">
        <x:v>0.96725</x:v>
      </x:c>
      <x:c r="J48" s="54" t="n">
        <x:v>0.95671</x:v>
      </x:c>
      <x:c r="K48" s="54" t="n">
        <x:v>0.39342</x:v>
      </x:c>
      <x:c r="L48" s="54" t="n">
        <x:v>0.32753</x:v>
      </x:c>
      <x:c r="M48" s="54" t="n">
        <x:v>1.08517</x:v>
      </x:c>
      <x:c r="N48" s="56" t="n">
        <x:v>-12.07</x:v>
      </x:c>
      <x:c r="O48" s="56" t="n">
        <x:v>0.11</x:v>
      </x:c>
      <x:c r="P48" s="56" t="n">
        <x:v>1.97</x:v>
      </x:c>
      <x:c r="Q48" s="56" t="n">
        <x:v>74.2</x:v>
      </x:c>
      <x:c r="R48" t="str">
        <x:v>X</x:v>
      </x:c>
      <x:c r="S48" s="102" t="n">
        <x:v>100</x:v>
      </x:c>
      <x:c r="T48" t="str">
        <x:v>VALID</x:v>
      </x:c>
      <x:c r="U48" t="n">
        <x:v>263</x:v>
      </x:c>
      <x:c r="V48" t="str">
        <x:v>Pasted text(56).txt</x:v>
      </x:c>
    </x:row>
    <x:row r="49">
      <x:c r="A49" t="str">
        <x:v>S01</x:v>
      </x:c>
      <x:c r="B49" t="str">
        <x:v>1.10 initial validation – unstable response state</x:v>
      </x:c>
      <x:c r="C49" s="54" t="n">
        <x:v>1.1</x:v>
      </x:c>
      <x:c r="D49" t="n">
        <x:v>3</x:v>
      </x:c>
      <x:c r="E49" t="n">
        <x:v>1</x:v>
      </x:c>
      <x:c r="F49" t="str">
        <x:v>FINE</x:v>
      </x:c>
      <x:c r="G49" t="n">
        <x:v>5</x:v>
      </x:c>
      <x:c r="H49" s="54" t="n">
        <x:v>3</x:v>
      </x:c>
      <x:c r="I49" s="54" t="n">
        <x:v>1.08133</x:v>
      </x:c>
      <x:c r="J49" s="54" t="n">
        <x:v>1.08201</x:v>
      </x:c>
      <x:c r="K49" s="54" t="n">
        <x:v>0.45298</x:v>
      </x:c>
      <x:c r="L49" s="54" t="n">
        <x:v>0.37281</x:v>
      </x:c>
      <x:c r="M49" s="54" t="n">
        <x:v>1.23102</x:v>
      </x:c>
      <x:c r="N49" s="56" t="n">
        <x:v>-1.7</x:v>
      </x:c>
      <x:c r="O49" s="56" t="n">
        <x:v>0.64</x:v>
      </x:c>
      <x:c r="P49" s="56" t="n">
        <x:v>0.53</x:v>
      </x:c>
      <x:c r="Q49" s="56" t="n">
        <x:v>77.1</x:v>
      </x:c>
      <x:c r="R49" t="str">
        <x:v>X</x:v>
      </x:c>
      <x:c r="S49" s="102" t="n">
        <x:v>100</x:v>
      </x:c>
      <x:c r="T49" t="str">
        <x:v>IN TARGET BAND</x:v>
      </x:c>
      <x:c r="U49" t="n">
        <x:v>264</x:v>
      </x:c>
      <x:c r="V49" t="str">
        <x:v>Pasted text(56).txt</x:v>
      </x:c>
    </x:row>
    <x:row r="50">
      <x:c r="A50" t="str">
        <x:v>S01</x:v>
      </x:c>
      <x:c r="B50" t="str">
        <x:v>1.10 initial validation – unstable response state</x:v>
      </x:c>
      <x:c r="C50" s="54" t="n">
        <x:v>1.1</x:v>
      </x:c>
      <x:c r="D50" t="n">
        <x:v>3</x:v>
      </x:c>
      <x:c r="E50" t="n">
        <x:v>1</x:v>
      </x:c>
      <x:c r="F50" t="str">
        <x:v>FINE</x:v>
      </x:c>
      <x:c r="G50" t="n">
        <x:v>6</x:v>
      </x:c>
      <x:c r="H50" s="54" t="n">
        <x:v>3.25</x:v>
      </x:c>
      <x:c r="I50" s="54" t="n">
        <x:v>1.1657</x:v>
      </x:c>
      <x:c r="J50" s="54" t="n">
        <x:v>1.1695</x:v>
      </x:c>
      <x:c r="K50" s="54" t="n">
        <x:v>0.45341</x:v>
      </x:c>
      <x:c r="L50" s="54" t="n">
        <x:v>0.37214</x:v>
      </x:c>
      <x:c r="M50" s="54" t="n">
        <x:v>1.30842</x:v>
      </x:c>
      <x:c r="N50" s="56" t="n">
        <x:v>5.97</x:v>
      </x:c>
      <x:c r="O50" s="56" t="n">
        <x:v>3.45</x:v>
      </x:c>
      <x:c r="P50" s="56" t="n">
        <x:v>2.82</x:v>
      </x:c>
      <x:c r="Q50" s="56" t="n">
        <x:v>78</x:v>
      </x:c>
      <x:c r="R50" t="str">
        <x:v>X</x:v>
      </x:c>
      <x:c r="S50" s="102" t="n">
        <x:v>100</x:v>
      </x:c>
      <x:c r="T50" t="str">
        <x:v>IN TARGET BAND</x:v>
      </x:c>
      <x:c r="U50" t="n">
        <x:v>265</x:v>
      </x:c>
      <x:c r="V50" t="str">
        <x:v>Pasted text(56).txt</x:v>
      </x:c>
    </x:row>
    <x:row r="51">
      <x:c r="A51" t="str">
        <x:v>S01</x:v>
      </x:c>
      <x:c r="B51" t="str">
        <x:v>1.10 initial validation – unstable response state</x:v>
      </x:c>
      <x:c r="C51" s="54" t="n">
        <x:v>1.1</x:v>
      </x:c>
      <x:c r="D51" t="n">
        <x:v>3</x:v>
      </x:c>
      <x:c r="E51" t="n">
        <x:v>1</x:v>
      </x:c>
      <x:c r="F51" t="str">
        <x:v>FINE</x:v>
      </x:c>
      <x:c r="G51" t="n">
        <x:v>7</x:v>
      </x:c>
      <x:c r="H51" s="54" t="n">
        <x:v>3.5</x:v>
      </x:c>
      <x:c r="I51" s="54" t="n">
        <x:v>1.26478</x:v>
      </x:c>
      <x:c r="J51" s="54" t="n">
        <x:v>1.25557</x:v>
      </x:c>
      <x:c r="K51" s="54" t="n">
        <x:v>0.4952</x:v>
      </x:c>
      <x:c r="L51" s="54" t="n">
        <x:v>0.40641</x:v>
      </x:c>
      <x:c r="M51" s="54" t="n">
        <x:v>1.40987</x:v>
      </x:c>
      <x:c r="N51" s="56" t="n">
        <x:v>14.98</x:v>
      </x:c>
      <x:c r="O51" s="56" t="n">
        <x:v>3.23</x:v>
      </x:c>
      <x:c r="P51" s="56" t="n">
        <x:v>3.36</x:v>
      </x:c>
      <x:c r="Q51" s="56" t="n">
        <x:v>81.4</x:v>
      </x:c>
      <x:c r="R51" t="str">
        <x:v>X</x:v>
      </x:c>
      <x:c r="S51" s="102" t="n">
        <x:v>100</x:v>
      </x:c>
      <x:c r="T51" t="str">
        <x:v>VALID</x:v>
      </x:c>
      <x:c r="U51" t="n">
        <x:v>266</x:v>
      </x:c>
      <x:c r="V51" t="str">
        <x:v>Pasted text(56).txt</x:v>
      </x:c>
    </x:row>
    <x:row r="52">
      <x:c r="A52" t="str">
        <x:v>S01</x:v>
      </x:c>
      <x:c r="B52" t="str">
        <x:v>1.10 initial validation – unstable response state</x:v>
      </x:c>
      <x:c r="C52" s="54" t="n">
        <x:v>1.1</x:v>
      </x:c>
      <x:c r="D52" t="n">
        <x:v>3</x:v>
      </x:c>
      <x:c r="E52" t="n">
        <x:v>1</x:v>
      </x:c>
      <x:c r="F52" t="str">
        <x:v>FINE</x:v>
      </x:c>
      <x:c r="G52" t="n">
        <x:v>8</x:v>
      </x:c>
      <x:c r="H52" s="54" t="n">
        <x:v>3.75</x:v>
      </x:c>
      <x:c r="I52" s="54" t="n">
        <x:v>1.57745</x:v>
      </x:c>
      <x:c r="J52" s="54" t="n">
        <x:v>1.57525</x:v>
      </x:c>
      <x:c r="K52" s="54" t="n">
        <x:v>0.69558</x:v>
      </x:c>
      <x:c r="L52" s="54" t="n">
        <x:v>0.49456</x:v>
      </x:c>
      <x:c r="M52" s="54" t="n">
        <x:v>1.79171</x:v>
      </x:c>
      <x:c r="N52" s="56" t="n">
        <x:v>43.4</x:v>
      </x:c>
      <x:c r="O52" s="56" t="n">
        <x:v>0.16</x:v>
      </x:c>
      <x:c r="P52" s="56" t="n">
        <x:v>0.34</x:v>
      </x:c>
      <x:c r="Q52" s="56" t="n">
        <x:v>85.6</x:v>
      </x:c>
      <x:c r="R52" t="str">
        <x:v>X</x:v>
      </x:c>
      <x:c r="S52" s="102" t="n">
        <x:v>100</x:v>
      </x:c>
      <x:c r="T52" t="str">
        <x:v>VALID</x:v>
      </x:c>
      <x:c r="U52" t="n">
        <x:v>267</x:v>
      </x:c>
      <x:c r="V52" t="str">
        <x:v>Pasted text(56).txt</x:v>
      </x:c>
    </x:row>
    <x:row r="53">
      <x:c r="A53" t="str">
        <x:v>S01</x:v>
      </x:c>
      <x:c r="B53" t="str">
        <x:v>1.10 initial validation – unstable response state</x:v>
      </x:c>
      <x:c r="C53" s="54" t="n">
        <x:v>1.1</x:v>
      </x:c>
      <x:c r="D53" t="n">
        <x:v>3</x:v>
      </x:c>
      <x:c r="E53" t="n">
        <x:v>1</x:v>
      </x:c>
      <x:c r="F53" t="str">
        <x:v>FINE</x:v>
      </x:c>
      <x:c r="G53" t="n">
        <x:v>9</x:v>
      </x:c>
      <x:c r="H53" s="54" t="n">
        <x:v>4</x:v>
      </x:c>
      <x:c r="I53" s="54" t="n">
        <x:v>1.69862</x:v>
      </x:c>
      <x:c r="J53" s="54" t="n">
        <x:v>1.71436</x:v>
      </x:c>
      <x:c r="K53" s="54" t="n">
        <x:v>0.6934</x:v>
      </x:c>
      <x:c r="L53" s="54" t="n">
        <x:v>0.52796</x:v>
      </x:c>
      <x:c r="M53" s="54" t="n">
        <x:v>1.92339</x:v>
      </x:c>
      <x:c r="N53" s="56" t="n">
        <x:v>54.42</x:v>
      </x:c>
      <x:c r="O53" s="56" t="n">
        <x:v>0.65</x:v>
      </x:c>
      <x:c r="P53" s="56" t="n">
        <x:v>1.98</x:v>
      </x:c>
      <x:c r="Q53" s="56" t="n">
        <x:v>87.1</x:v>
      </x:c>
      <x:c r="R53" t="str">
        <x:v>X</x:v>
      </x:c>
      <x:c r="S53" s="102" t="n">
        <x:v>100</x:v>
      </x:c>
      <x:c r="T53" t="str">
        <x:v>VALID</x:v>
      </x:c>
      <x:c r="U53" t="n">
        <x:v>268</x:v>
      </x:c>
      <x:c r="V53" t="str">
        <x:v>Pasted text(56).txt</x:v>
      </x:c>
    </x:row>
    <x:row r="54">
      <x:c r="A54" t="str">
        <x:v>S01</x:v>
      </x:c>
      <x:c r="B54" t="str">
        <x:v>1.10 initial validation – unstable response state</x:v>
      </x:c>
      <x:c r="C54" s="54" t="n">
        <x:v>1.1</x:v>
      </x:c>
      <x:c r="D54" t="n">
        <x:v>3</x:v>
      </x:c>
      <x:c r="E54" t="n">
        <x:v>1</x:v>
      </x:c>
      <x:c r="F54" t="str">
        <x:v>FINAL</x:v>
      </x:c>
      <x:c r="G54" t="n">
        <x:v>1</x:v>
      </x:c>
      <x:c r="H54" s="54" t="n">
        <x:v>3</x:v>
      </x:c>
      <x:c r="I54" s="54" t="n">
        <x:v>1.09037</x:v>
      </x:c>
      <x:c r="J54" s="54" t="n">
        <x:v>1.08487</x:v>
      </x:c>
      <x:c r="K54" s="54" t="n">
        <x:v>0.42569</x:v>
      </x:c>
      <x:c r="L54" s="54" t="n">
        <x:v>0.34279</x:v>
      </x:c>
      <x:c r="M54" s="54" t="n">
        <x:v>1.21515</x:v>
      </x:c>
      <x:c r="N54" s="56" t="n">
        <x:v>-0.88</x:v>
      </x:c>
      <x:c r="O54" s="56" t="n">
        <x:v>3.56</x:v>
      </x:c>
      <x:c r="P54" s="56" t="n">
        <x:v>2.44</x:v>
      </x:c>
      <x:c r="Q54" s="56" t="n">
        <x:v>78.6</x:v>
      </x:c>
      <x:c r="R54" t="str">
        <x:v>X</x:v>
      </x:c>
      <x:c r="S54" s="102" t="n">
        <x:v>100</x:v>
      </x:c>
      <x:c r="T54" t="str">
        <x:v>IN TARGET BAND</x:v>
      </x:c>
      <x:c r="U54" t="n">
        <x:v>271</x:v>
      </x:c>
      <x:c r="V54" t="str">
        <x:v>Pasted text(56).txt</x:v>
      </x:c>
    </x:row>
    <x:row r="55">
      <x:c r="A55" t="str">
        <x:v>S01</x:v>
      </x:c>
      <x:c r="B55" t="str">
        <x:v>1.10 initial validation – unstable response state</x:v>
      </x:c>
      <x:c r="C55" s="54" t="n">
        <x:v>1.1</x:v>
      </x:c>
      <x:c r="D55" t="n">
        <x:v>3</x:v>
      </x:c>
      <x:c r="E55" t="n">
        <x:v>1</x:v>
      </x:c>
      <x:c r="F55" t="str">
        <x:v>FINAL</x:v>
      </x:c>
      <x:c r="G55" t="n">
        <x:v>2</x:v>
      </x:c>
      <x:c r="H55" s="54" t="n">
        <x:v>3</x:v>
      </x:c>
      <x:c r="I55" s="54" t="n">
        <x:v>1.07323</x:v>
      </x:c>
      <x:c r="J55" s="54" t="n">
        <x:v>1.0656</x:v>
      </x:c>
      <x:c r="K55" s="54" t="n">
        <x:v>0.44521</x:v>
      </x:c>
      <x:c r="L55" s="54" t="n">
        <x:v>0.34736</x:v>
      </x:c>
      <x:c r="M55" s="54" t="n">
        <x:v>1.20685</x:v>
      </x:c>
      <x:c r="N55" s="56" t="n">
        <x:v>-2.43</x:v>
      </x:c>
      <x:c r="O55" s="56" t="n">
        <x:v>0.74</x:v>
      </x:c>
      <x:c r="P55" s="56" t="n">
        <x:v>1.35</x:v>
      </x:c>
      <x:c r="Q55" s="56" t="n">
        <x:v>77.3</x:v>
      </x:c>
      <x:c r="R55" t="str">
        <x:v>X</x:v>
      </x:c>
      <x:c r="S55" s="102" t="n">
        <x:v>100</x:v>
      </x:c>
      <x:c r="T55" t="str">
        <x:v>IN TARGET BAND</x:v>
      </x:c>
      <x:c r="U55" t="n">
        <x:v>272</x:v>
      </x:c>
      <x:c r="V55" t="str">
        <x:v>Pasted text(56).txt</x:v>
      </x:c>
    </x:row>
    <x:row r="56">
      <x:c r="A56" t="str">
        <x:v>S01</x:v>
      </x:c>
      <x:c r="B56" t="str">
        <x:v>1.10 initial validation – unstable response state</x:v>
      </x:c>
      <x:c r="C56" s="54" t="n">
        <x:v>1.1</x:v>
      </x:c>
      <x:c r="D56" t="n">
        <x:v>4</x:v>
      </x:c>
      <x:c r="E56" t="n">
        <x:v>1</x:v>
      </x:c>
      <x:c r="F56" t="str">
        <x:v>SEARCH</x:v>
      </x:c>
      <x:c r="G56" t="n">
        <x:v>1</x:v>
      </x:c>
      <x:c r="H56" s="54" t="n">
        <x:v>1</x:v>
      </x:c>
      <x:c r="I56" s="54" t="n">
        <x:v>0.0483</x:v>
      </x:c>
      <x:c r="J56" s="54" t="n">
        <x:v>0.05208</x:v>
      </x:c>
      <x:c r="K56" s="54" t="n">
        <x:v>0.0568</x:v>
      </x:c>
      <x:c r="L56" s="54" t="n">
        <x:v>0.02831</x:v>
      </x:c>
      <x:c r="M56" s="54" t="n">
        <x:v>0.08361</x:v>
      </x:c>
      <x:c r="N56" s="56" t="n">
        <x:v>-95.61</x:v>
      </x:c>
      <x:c r="O56" s="56" t="n">
        <x:v>23.17</x:v>
      </x:c>
      <x:c r="P56" s="56" t="n">
        <x:v>10.25</x:v>
      </x:c>
      <x:c r="Q56" s="56" t="n">
        <x:v>7</x:v>
      </x:c>
      <x:c r="R56" t="str">
        <x:v>Y</x:v>
      </x:c>
      <x:c r="S56" s="102" t="n">
        <x:v>91.7</x:v>
      </x:c>
      <x:c r="T56" t="str">
        <x:v>BELOW MEASUREMENT FLOOR — SEARCH CONTINUES</x:v>
      </x:c>
      <x:c r="U56" t="n">
        <x:v>328</x:v>
      </x:c>
      <x:c r="V56" t="str">
        <x:v>Pasted text(56).txt</x:v>
      </x:c>
    </x:row>
    <x:row r="57">
      <x:c r="A57" t="str">
        <x:v>S01</x:v>
      </x:c>
      <x:c r="B57" t="str">
        <x:v>1.10 initial validation – unstable response state</x:v>
      </x:c>
      <x:c r="C57" s="54" t="n">
        <x:v>1.1</x:v>
      </x:c>
      <x:c r="D57" t="n">
        <x:v>4</x:v>
      </x:c>
      <x:c r="E57" t="n">
        <x:v>1</x:v>
      </x:c>
      <x:c r="F57" t="str">
        <x:v>SEARCH</x:v>
      </x:c>
      <x:c r="G57" t="n">
        <x:v>2</x:v>
      </x:c>
      <x:c r="H57" s="54" t="n">
        <x:v>3</x:v>
      </x:c>
      <x:c r="I57" s="54" t="n">
        <x:v>1.07656</x:v>
      </x:c>
      <x:c r="J57" s="54" t="n">
        <x:v>1.06756</x:v>
      </x:c>
      <x:c r="K57" s="54" t="n">
        <x:v>0.44759</x:v>
      </x:c>
      <x:c r="L57" s="54" t="n">
        <x:v>0.36658</x:v>
      </x:c>
      <x:c r="M57" s="54" t="n">
        <x:v>1.21427</x:v>
      </x:c>
      <x:c r="N57" s="56" t="n">
        <x:v>-2.13</x:v>
      </x:c>
      <x:c r="O57" s="56" t="n">
        <x:v>0.02</x:v>
      </x:c>
      <x:c r="P57" s="56" t="n">
        <x:v>1.47</x:v>
      </x:c>
      <x:c r="Q57" s="56" t="n">
        <x:v>77.4</x:v>
      </x:c>
      <x:c r="R57" t="str">
        <x:v>X</x:v>
      </x:c>
      <x:c r="S57" s="102" t="n">
        <x:v>100</x:v>
      </x:c>
      <x:c r="T57" t="str">
        <x:v>IN TARGET BAND</x:v>
      </x:c>
      <x:c r="U57" t="n">
        <x:v>329</x:v>
      </x:c>
      <x:c r="V57" t="str">
        <x:v>Pasted text(56).txt</x:v>
      </x:c>
    </x:row>
    <x:row r="58">
      <x:c r="A58" t="str">
        <x:v>S01</x:v>
      </x:c>
      <x:c r="B58" t="str">
        <x:v>1.10 initial validation – unstable response state</x:v>
      </x:c>
      <x:c r="C58" s="54" t="n">
        <x:v>1.1</x:v>
      </x:c>
      <x:c r="D58" t="n">
        <x:v>4</x:v>
      </x:c>
      <x:c r="E58" t="n">
        <x:v>1</x:v>
      </x:c>
      <x:c r="F58" t="str">
        <x:v>FINE</x:v>
      </x:c>
      <x:c r="G58" t="n">
        <x:v>1</x:v>
      </x:c>
      <x:c r="H58" s="54" t="n">
        <x:v>2</x:v>
      </x:c>
      <x:c r="I58" s="54" t="n">
        <x:v>0.45885</x:v>
      </x:c>
      <x:c r="J58" s="54" t="n">
        <x:v>0.45768</x:v>
      </x:c>
      <x:c r="K58" s="54" t="n">
        <x:v>0.22952</x:v>
      </x:c>
      <x:c r="L58" s="54" t="n">
        <x:v>0.18913</x:v>
      </x:c>
      <x:c r="M58" s="54" t="n">
        <x:v>0.54659</x:v>
      </x:c>
      <x:c r="N58" s="56" t="n">
        <x:v>-58.29</x:v>
      </x:c>
      <x:c r="O58" s="56" t="n">
        <x:v>6.55</x:v>
      </x:c>
      <x:c r="P58" s="56" t="n">
        <x:v>4.82</x:v>
      </x:c>
      <x:c r="Q58" s="56" t="n">
        <x:v>47.5</x:v>
      </x:c>
      <x:c r="R58" t="str">
        <x:v>X</x:v>
      </x:c>
      <x:c r="S58" s="102" t="n">
        <x:v>100</x:v>
      </x:c>
      <x:c r="T58" t="str">
        <x:v>UNSTABLE — SEARCH CONTINUES</x:v>
      </x:c>
      <x:c r="U58" t="n">
        <x:v>333</x:v>
      </x:c>
      <x:c r="V58" t="str">
        <x:v>Pasted text(56).txt</x:v>
      </x:c>
    </x:row>
    <x:row r="59">
      <x:c r="A59" t="str">
        <x:v>S01</x:v>
      </x:c>
      <x:c r="B59" t="str">
        <x:v>1.10 initial validation – unstable response state</x:v>
      </x:c>
      <x:c r="C59" s="54" t="n">
        <x:v>1.1</x:v>
      </x:c>
      <x:c r="D59" t="n">
        <x:v>4</x:v>
      </x:c>
      <x:c r="E59" t="n">
        <x:v>1</x:v>
      </x:c>
      <x:c r="F59" t="str">
        <x:v>FINE</x:v>
      </x:c>
      <x:c r="G59" t="n">
        <x:v>2</x:v>
      </x:c>
      <x:c r="H59" s="54" t="n">
        <x:v>2.25</x:v>
      </x:c>
      <x:c r="I59" s="54" t="n">
        <x:v>0.5309</x:v>
      </x:c>
      <x:c r="J59" s="54" t="n">
        <x:v>0.53043</x:v>
      </x:c>
      <x:c r="K59" s="54" t="n">
        <x:v>0.23081</x:v>
      </x:c>
      <x:c r="L59" s="54" t="n">
        <x:v>0.16931</x:v>
      </x:c>
      <x:c r="M59" s="54" t="n">
        <x:v>0.60378</x:v>
      </x:c>
      <x:c r="N59" s="56" t="n">
        <x:v>-51.74</x:v>
      </x:c>
      <x:c r="O59" s="56" t="n">
        <x:v>1.9</x:v>
      </x:c>
      <x:c r="P59" s="56" t="n">
        <x:v>1.42</x:v>
      </x:c>
      <x:c r="Q59" s="56" t="n">
        <x:v>51.7</x:v>
      </x:c>
      <x:c r="R59" t="str">
        <x:v>X</x:v>
      </x:c>
      <x:c r="S59" s="102" t="n">
        <x:v>100</x:v>
      </x:c>
      <x:c r="T59" t="str">
        <x:v>UNSTABLE — SEARCH CONTINUES</x:v>
      </x:c>
      <x:c r="U59" t="n">
        <x:v>334</x:v>
      </x:c>
      <x:c r="V59" t="str">
        <x:v>Pasted text(56).txt</x:v>
      </x:c>
    </x:row>
    <x:row r="60">
      <x:c r="A60" t="str">
        <x:v>S01</x:v>
      </x:c>
      <x:c r="B60" t="str">
        <x:v>1.10 initial validation – unstable response state</x:v>
      </x:c>
      <x:c r="C60" s="54" t="n">
        <x:v>1.1</x:v>
      </x:c>
      <x:c r="D60" t="n">
        <x:v>4</x:v>
      </x:c>
      <x:c r="E60" t="n">
        <x:v>1</x:v>
      </x:c>
      <x:c r="F60" t="str">
        <x:v>FINE</x:v>
      </x:c>
      <x:c r="G60" t="n">
        <x:v>3</x:v>
      </x:c>
      <x:c r="H60" s="54" t="n">
        <x:v>2.5</x:v>
      </x:c>
      <x:c r="I60" s="54" t="n">
        <x:v>0.58685</x:v>
      </x:c>
      <x:c r="J60" s="54" t="n">
        <x:v>0.58598</x:v>
      </x:c>
      <x:c r="K60" s="54" t="n">
        <x:v>0.27384</x:v>
      </x:c>
      <x:c r="L60" s="54" t="n">
        <x:v>0.21856</x:v>
      </x:c>
      <x:c r="M60" s="54" t="n">
        <x:v>0.68391</x:v>
      </x:c>
      <x:c r="N60" s="56" t="n">
        <x:v>-46.65</x:v>
      </x:c>
      <x:c r="O60" s="56" t="n">
        <x:v>7.08</x:v>
      </x:c>
      <x:c r="P60" s="56" t="n">
        <x:v>5.01</x:v>
      </x:c>
      <x:c r="Q60" s="56" t="n">
        <x:v>54.1</x:v>
      </x:c>
      <x:c r="R60" t="str">
        <x:v>X</x:v>
      </x:c>
      <x:c r="S60" s="102" t="n">
        <x:v>100</x:v>
      </x:c>
      <x:c r="T60" t="str">
        <x:v>VALID</x:v>
      </x:c>
      <x:c r="U60" t="n">
        <x:v>335</x:v>
      </x:c>
      <x:c r="V60" t="str">
        <x:v>Pasted text(56).txt</x:v>
      </x:c>
    </x:row>
    <x:row r="61">
      <x:c r="A61" t="str">
        <x:v>S01</x:v>
      </x:c>
      <x:c r="B61" t="str">
        <x:v>1.10 initial validation – unstable response state</x:v>
      </x:c>
      <x:c r="C61" s="54" t="n">
        <x:v>1.1</x:v>
      </x:c>
      <x:c r="D61" t="n">
        <x:v>4</x:v>
      </x:c>
      <x:c r="E61" t="n">
        <x:v>1</x:v>
      </x:c>
      <x:c r="F61" t="str">
        <x:v>FINE</x:v>
      </x:c>
      <x:c r="G61" t="n">
        <x:v>4</x:v>
      </x:c>
      <x:c r="H61" s="54" t="n">
        <x:v>2.75</x:v>
      </x:c>
      <x:c r="I61" s="54" t="n">
        <x:v>0.95948</x:v>
      </x:c>
      <x:c r="J61" s="54" t="n">
        <x:v>0.9529</x:v>
      </x:c>
      <x:c r="K61" s="54" t="n">
        <x:v>0.40913</x:v>
      </x:c>
      <x:c r="L61" s="54" t="n">
        <x:v>0.34016</x:v>
      </x:c>
      <x:c r="M61" s="54" t="n">
        <x:v>1.09166</x:v>
      </x:c>
      <x:c r="N61" s="56" t="n">
        <x:v>-12.77</x:v>
      </x:c>
      <x:c r="O61" s="56" t="n">
        <x:v>0.02</x:v>
      </x:c>
      <x:c r="P61" s="56" t="n">
        <x:v>1.21</x:v>
      </x:c>
      <x:c r="Q61" s="56" t="n">
        <x:v>74.6</x:v>
      </x:c>
      <x:c r="R61" t="str">
        <x:v>X</x:v>
      </x:c>
      <x:c r="S61" s="102" t="n">
        <x:v>100</x:v>
      </x:c>
      <x:c r="T61" t="str">
        <x:v>VALID</x:v>
      </x:c>
      <x:c r="U61" t="n">
        <x:v>336</x:v>
      </x:c>
      <x:c r="V61" t="str">
        <x:v>Pasted text(56).txt</x:v>
      </x:c>
    </x:row>
    <x:row r="62">
      <x:c r="A62" t="str">
        <x:v>S01</x:v>
      </x:c>
      <x:c r="B62" t="str">
        <x:v>1.10 initial validation – unstable response state</x:v>
      </x:c>
      <x:c r="C62" s="54" t="n">
        <x:v>1.1</x:v>
      </x:c>
      <x:c r="D62" t="n">
        <x:v>4</x:v>
      </x:c>
      <x:c r="E62" t="n">
        <x:v>1</x:v>
      </x:c>
      <x:c r="F62" t="str">
        <x:v>FINE</x:v>
      </x:c>
      <x:c r="G62" t="n">
        <x:v>5</x:v>
      </x:c>
      <x:c r="H62" s="54" t="n">
        <x:v>3</x:v>
      </x:c>
      <x:c r="I62" s="54" t="n">
        <x:v>1.10136</x:v>
      </x:c>
      <x:c r="J62" s="54" t="n">
        <x:v>1.07713</x:v>
      </x:c>
      <x:c r="K62" s="54" t="n">
        <x:v>0.48236</x:v>
      </x:c>
      <x:c r="L62" s="54" t="n">
        <x:v>0.34331</x:v>
      </x:c>
      <x:c r="M62" s="54" t="n">
        <x:v>1.22957</x:v>
      </x:c>
      <x:c r="N62" s="56" t="n">
        <x:v>0.12</x:v>
      </x:c>
      <x:c r="O62" s="56" t="n">
        <x:v>0.34</x:v>
      </x:c>
      <x:c r="P62" s="56" t="n">
        <x:v>4.1</x:v>
      </x:c>
      <x:c r="Q62" s="56" t="n">
        <x:v>78.2</x:v>
      </x:c>
      <x:c r="R62" t="str">
        <x:v>X</x:v>
      </x:c>
      <x:c r="S62" s="102" t="n">
        <x:v>100</x:v>
      </x:c>
      <x:c r="T62" t="str">
        <x:v>IN TARGET BAND</x:v>
      </x:c>
      <x:c r="U62" t="n">
        <x:v>337</x:v>
      </x:c>
      <x:c r="V62" t="str">
        <x:v>Pasted text(56).txt</x:v>
      </x:c>
    </x:row>
    <x:row r="63">
      <x:c r="A63" t="str">
        <x:v>S01</x:v>
      </x:c>
      <x:c r="B63" t="str">
        <x:v>1.10 initial validation – unstable response state</x:v>
      </x:c>
      <x:c r="C63" s="54" t="n">
        <x:v>1.1</x:v>
      </x:c>
      <x:c r="D63" t="n">
        <x:v>4</x:v>
      </x:c>
      <x:c r="E63" t="n">
        <x:v>1</x:v>
      </x:c>
      <x:c r="F63" t="str">
        <x:v>FINE</x:v>
      </x:c>
      <x:c r="G63" t="n">
        <x:v>6</x:v>
      </x:c>
      <x:c r="H63" s="54" t="n">
        <x:v>3.25</x:v>
      </x:c>
      <x:c r="I63" s="54" t="n">
        <x:v>1.17451</x:v>
      </x:c>
      <x:c r="J63" s="54" t="n">
        <x:v>1.16393</x:v>
      </x:c>
      <x:c r="K63" s="54" t="n">
        <x:v>0.4564</x:v>
      </x:c>
      <x:c r="L63" s="54" t="n">
        <x:v>0.39202</x:v>
      </x:c>
      <x:c r="M63" s="54" t="n">
        <x:v>1.31061</x:v>
      </x:c>
      <x:c r="N63" s="56" t="n">
        <x:v>6.77</x:v>
      </x:c>
      <x:c r="O63" s="56" t="n">
        <x:v>0.15</x:v>
      </x:c>
      <x:c r="P63" s="56" t="n">
        <x:v>1.66</x:v>
      </x:c>
      <x:c r="Q63" s="56" t="n">
        <x:v>79.3</x:v>
      </x:c>
      <x:c r="R63" t="str">
        <x:v>X</x:v>
      </x:c>
      <x:c r="S63" s="102" t="n">
        <x:v>100</x:v>
      </x:c>
      <x:c r="T63" t="str">
        <x:v>IN TARGET BAND</x:v>
      </x:c>
      <x:c r="U63" t="n">
        <x:v>338</x:v>
      </x:c>
      <x:c r="V63" t="str">
        <x:v>Pasted text(56).txt</x:v>
      </x:c>
    </x:row>
    <x:row r="64">
      <x:c r="A64" t="str">
        <x:v>S01</x:v>
      </x:c>
      <x:c r="B64" t="str">
        <x:v>1.10 initial validation – unstable response state</x:v>
      </x:c>
      <x:c r="C64" s="54" t="n">
        <x:v>1.1</x:v>
      </x:c>
      <x:c r="D64" t="n">
        <x:v>4</x:v>
      </x:c>
      <x:c r="E64" t="n">
        <x:v>1</x:v>
      </x:c>
      <x:c r="F64" t="str">
        <x:v>FINE</x:v>
      </x:c>
      <x:c r="G64" t="n">
        <x:v>7</x:v>
      </x:c>
      <x:c r="H64" s="54" t="n">
        <x:v>3.5</x:v>
      </x:c>
      <x:c r="I64" s="54" t="n">
        <x:v>1.25412</x:v>
      </x:c>
      <x:c r="J64" s="54" t="n">
        <x:v>1.23801</x:v>
      </x:c>
      <x:c r="K64" s="54" t="n">
        <x:v>0.47551</x:v>
      </x:c>
      <x:c r="L64" s="54" t="n">
        <x:v>0.40956</x:v>
      </x:c>
      <x:c r="M64" s="54" t="n">
        <x:v>1.38834</x:v>
      </x:c>
      <x:c r="N64" s="56" t="n">
        <x:v>14.01</x:v>
      </x:c>
      <x:c r="O64" s="56" t="n">
        <x:v>0.54</x:v>
      </x:c>
      <x:c r="P64" s="56" t="n">
        <x:v>2.58</x:v>
      </x:c>
      <x:c r="Q64" s="56" t="n">
        <x:v>80.6</x:v>
      </x:c>
      <x:c r="R64" t="str">
        <x:v>X</x:v>
      </x:c>
      <x:c r="S64" s="102" t="n">
        <x:v>100</x:v>
      </x:c>
      <x:c r="T64" t="str">
        <x:v>VALID</x:v>
      </x:c>
      <x:c r="U64" t="n">
        <x:v>339</x:v>
      </x:c>
      <x:c r="V64" t="str">
        <x:v>Pasted text(56).txt</x:v>
      </x:c>
    </x:row>
    <x:row r="65">
      <x:c r="A65" t="str">
        <x:v>S01</x:v>
      </x:c>
      <x:c r="B65" t="str">
        <x:v>1.10 initial validation – unstable response state</x:v>
      </x:c>
      <x:c r="C65" s="54" t="n">
        <x:v>1.1</x:v>
      </x:c>
      <x:c r="D65" t="n">
        <x:v>4</x:v>
      </x:c>
      <x:c r="E65" t="n">
        <x:v>1</x:v>
      </x:c>
      <x:c r="F65" t="str">
        <x:v>FINE</x:v>
      </x:c>
      <x:c r="G65" t="n">
        <x:v>8</x:v>
      </x:c>
      <x:c r="H65" s="54" t="n">
        <x:v>3.75</x:v>
      </x:c>
      <x:c r="I65" s="54" t="n">
        <x:v>1.58769</x:v>
      </x:c>
      <x:c r="J65" s="54" t="n">
        <x:v>1.57315</x:v>
      </x:c>
      <x:c r="K65" s="54" t="n">
        <x:v>0.6267</x:v>
      </x:c>
      <x:c r="L65" s="54" t="n">
        <x:v>0.51642</x:v>
      </x:c>
      <x:c r="M65" s="54" t="n">
        <x:v>1.77067</x:v>
      </x:c>
      <x:c r="N65" s="56" t="n">
        <x:v>44.34</x:v>
      </x:c>
      <x:c r="O65" s="56" t="n">
        <x:v>0.22</x:v>
      </x:c>
      <x:c r="P65" s="56" t="n">
        <x:v>1.73</x:v>
      </x:c>
      <x:c r="Q65" s="56" t="n">
        <x:v>86.4</x:v>
      </x:c>
      <x:c r="R65" t="str">
        <x:v>X</x:v>
      </x:c>
      <x:c r="S65" s="102" t="n">
        <x:v>100</x:v>
      </x:c>
      <x:c r="T65" t="str">
        <x:v>VALID</x:v>
      </x:c>
      <x:c r="U65" t="n">
        <x:v>340</x:v>
      </x:c>
      <x:c r="V65" t="str">
        <x:v>Pasted text(56).txt</x:v>
      </x:c>
    </x:row>
    <x:row r="66">
      <x:c r="A66" t="str">
        <x:v>S01</x:v>
      </x:c>
      <x:c r="B66" t="str">
        <x:v>1.10 initial validation – unstable response state</x:v>
      </x:c>
      <x:c r="C66" s="54" t="n">
        <x:v>1.1</x:v>
      </x:c>
      <x:c r="D66" t="n">
        <x:v>4</x:v>
      </x:c>
      <x:c r="E66" t="n">
        <x:v>1</x:v>
      </x:c>
      <x:c r="F66" t="str">
        <x:v>FINE</x:v>
      </x:c>
      <x:c r="G66" t="n">
        <x:v>9</x:v>
      </x:c>
      <x:c r="H66" s="54" t="n">
        <x:v>4</x:v>
      </x:c>
      <x:c r="I66" s="54" t="n">
        <x:v>1.7005</x:v>
      </x:c>
      <x:c r="J66" s="54" t="n">
        <x:v>1.70108</x:v>
      </x:c>
      <x:c r="K66" s="54" t="n">
        <x:v>0.69504</x:v>
      </x:c>
      <x:c r="L66" s="54" t="n">
        <x:v>0.53112</x:v>
      </x:c>
      <x:c r="M66" s="54" t="n">
        <x:v>1.91292</x:v>
      </x:c>
      <x:c r="N66" s="56" t="n">
        <x:v>54.59</x:v>
      </x:c>
      <x:c r="O66" s="56" t="n">
        <x:v>1.12</x:v>
      </x:c>
      <x:c r="P66" s="56" t="n">
        <x:v>0.81</x:v>
      </x:c>
      <x:c r="Q66" s="56" t="n">
        <x:v>87.5</x:v>
      </x:c>
      <x:c r="R66" t="str">
        <x:v>X</x:v>
      </x:c>
      <x:c r="S66" s="102" t="n">
        <x:v>100</x:v>
      </x:c>
      <x:c r="T66" t="str">
        <x:v>VALID</x:v>
      </x:c>
      <x:c r="U66" t="n">
        <x:v>341</x:v>
      </x:c>
      <x:c r="V66" t="str">
        <x:v>Pasted text(56).txt</x:v>
      </x:c>
    </x:row>
    <x:row r="67">
      <x:c r="A67" t="str">
        <x:v>S01</x:v>
      </x:c>
      <x:c r="B67" t="str">
        <x:v>1.10 initial validation – unstable response state</x:v>
      </x:c>
      <x:c r="C67" s="54" t="n">
        <x:v>1.1</x:v>
      </x:c>
      <x:c r="D67" t="n">
        <x:v>4</x:v>
      </x:c>
      <x:c r="E67" t="n">
        <x:v>1</x:v>
      </x:c>
      <x:c r="F67" t="str">
        <x:v>FINAL</x:v>
      </x:c>
      <x:c r="G67" t="n">
        <x:v>1</x:v>
      </x:c>
      <x:c r="H67" s="54" t="n">
        <x:v>3</x:v>
      </x:c>
      <x:c r="I67" s="54" t="n">
        <x:v>1.0843</x:v>
      </x:c>
      <x:c r="J67" s="54" t="n">
        <x:v>1.08242</x:v>
      </x:c>
      <x:c r="K67" s="54" t="n">
        <x:v>0.42503</x:v>
      </x:c>
      <x:c r="L67" s="54" t="n">
        <x:v>0.36819</x:v>
      </x:c>
      <x:c r="M67" s="54" t="n">
        <x:v>1.22025</x:v>
      </x:c>
      <x:c r="N67" s="56" t="n">
        <x:v>-1.43</x:v>
      </x:c>
      <x:c r="O67" s="56" t="n">
        <x:v>1.75</x:v>
      </x:c>
      <x:c r="P67" s="56" t="n">
        <x:v>1.72</x:v>
      </x:c>
      <x:c r="Q67" s="56" t="n">
        <x:v>78.7</x:v>
      </x:c>
      <x:c r="R67" t="str">
        <x:v>X</x:v>
      </x:c>
      <x:c r="S67" s="102" t="n">
        <x:v>100</x:v>
      </x:c>
      <x:c r="T67" t="str">
        <x:v>IN TARGET BAND</x:v>
      </x:c>
      <x:c r="U67" t="n">
        <x:v>344</x:v>
      </x:c>
      <x:c r="V67" t="str">
        <x:v>Pasted text(56).txt</x:v>
      </x:c>
    </x:row>
    <x:row r="68">
      <x:c r="A68" t="str">
        <x:v>S01</x:v>
      </x:c>
      <x:c r="B68" t="str">
        <x:v>1.10 initial validation – unstable response state</x:v>
      </x:c>
      <x:c r="C68" s="54" t="n">
        <x:v>1.1</x:v>
      </x:c>
      <x:c r="D68" t="n">
        <x:v>4</x:v>
      </x:c>
      <x:c r="E68" t="n">
        <x:v>1</x:v>
      </x:c>
      <x:c r="F68" t="str">
        <x:v>FINAL</x:v>
      </x:c>
      <x:c r="G68" t="n">
        <x:v>2</x:v>
      </x:c>
      <x:c r="H68" s="54" t="n">
        <x:v>3</x:v>
      </x:c>
      <x:c r="I68" s="54" t="n">
        <x:v>1.05974</x:v>
      </x:c>
      <x:c r="J68" s="54" t="n">
        <x:v>1.06674</x:v>
      </x:c>
      <x:c r="K68" s="54" t="n">
        <x:v>0.4066</x:v>
      </x:c>
      <x:c r="L68" s="54" t="n">
        <x:v>0.33929</x:v>
      </x:c>
      <x:c r="M68" s="54" t="n">
        <x:v>1.19178</x:v>
      </x:c>
      <x:c r="N68" s="56" t="n">
        <x:v>-3.66</x:v>
      </x:c>
      <x:c r="O68" s="56" t="n">
        <x:v>3.63</x:v>
      </x:c>
      <x:c r="P68" s="56" t="n">
        <x:v>2.32</x:v>
      </x:c>
      <x:c r="Q68" s="56" t="n">
        <x:v>77.9</x:v>
      </x:c>
      <x:c r="R68" t="str">
        <x:v>X</x:v>
      </x:c>
      <x:c r="S68" s="102" t="n">
        <x:v>100</x:v>
      </x:c>
      <x:c r="T68" t="str">
        <x:v>IN TARGET BAND</x:v>
      </x:c>
      <x:c r="U68" t="n">
        <x:v>345</x:v>
      </x:c>
      <x:c r="V68" t="str">
        <x:v>Pasted text(56).txt</x:v>
      </x:c>
    </x:row>
    <x:row r="69">
      <x:c r="A69" t="str">
        <x:v>S01</x:v>
      </x:c>
      <x:c r="B69" t="str">
        <x:v>1.10 initial validation – unstable response state</x:v>
      </x:c>
      <x:c r="C69" s="54" t="n">
        <x:v>1.1</x:v>
      </x:c>
      <x:c r="D69" t="n">
        <x:v>4</x:v>
      </x:c>
      <x:c r="E69" t="n">
        <x:v>2</x:v>
      </x:c>
      <x:c r="F69" t="str">
        <x:v>SEARCH</x:v>
      </x:c>
      <x:c r="G69" t="n">
        <x:v>1</x:v>
      </x:c>
      <x:c r="H69" s="54" t="n">
        <x:v>1</x:v>
      </x:c>
      <x:c r="I69" s="54" t="n">
        <x:v>0.0462</x:v>
      </x:c>
      <x:c r="J69" s="54" t="n">
        <x:v>0.05001</x:v>
      </x:c>
      <x:c r="K69" s="54" t="n">
        <x:v>0.03744</x:v>
      </x:c>
      <x:c r="L69" s="54" t="n">
        <x:v>0.03313</x:v>
      </x:c>
      <x:c r="M69" s="54" t="n">
        <x:v>0.08201</x:v>
      </x:c>
      <x:c r="N69" s="56" t="n">
        <x:v>-95.8</x:v>
      </x:c>
      <x:c r="O69" s="56" t="n">
        <x:v>102.58</x:v>
      </x:c>
      <x:c r="P69" s="56" t="n">
        <x:v>75.64</x:v>
      </x:c>
      <x:c r="Q69" s="56" t="n">
        <x:v>5.2</x:v>
      </x:c>
      <x:c r="R69" t="str">
        <x:v>X</x:v>
      </x:c>
      <x:c r="S69" s="102" t="n">
        <x:v>100</x:v>
      </x:c>
      <x:c r="T69" t="str">
        <x:v>BELOW MEASUREMENT FLOOR — SEARCH CONTINUES</x:v>
      </x:c>
      <x:c r="U69" t="n">
        <x:v>386</x:v>
      </x:c>
      <x:c r="V69" t="str">
        <x:v>Pasted text(56).txt</x:v>
      </x:c>
    </x:row>
    <x:row r="70">
      <x:c r="A70" t="str">
        <x:v>S01</x:v>
      </x:c>
      <x:c r="B70" t="str">
        <x:v>1.10 initial validation – unstable response state</x:v>
      </x:c>
      <x:c r="C70" s="54" t="n">
        <x:v>1.1</x:v>
      </x:c>
      <x:c r="D70" t="n">
        <x:v>4</x:v>
      </x:c>
      <x:c r="E70" t="n">
        <x:v>2</x:v>
      </x:c>
      <x:c r="F70" t="str">
        <x:v>SEARCH</x:v>
      </x:c>
      <x:c r="G70" t="n">
        <x:v>2</x:v>
      </x:c>
      <x:c r="H70" s="54" t="n">
        <x:v>3</x:v>
      </x:c>
      <x:c r="I70" s="54" t="n">
        <x:v>1.45962</x:v>
      </x:c>
      <x:c r="J70" s="54" t="n">
        <x:v>1.47009</x:v>
      </x:c>
      <x:c r="K70" s="54" t="n">
        <x:v>0.63999</x:v>
      </x:c>
      <x:c r="L70" s="54" t="n">
        <x:v>0.45522</x:v>
      </x:c>
      <x:c r="M70" s="54" t="n">
        <x:v>1.66706</x:v>
      </x:c>
      <x:c r="N70" s="56" t="n">
        <x:v>32.69</x:v>
      </x:c>
      <x:c r="O70" s="56" t="n">
        <x:v>2.05</x:v>
      </x:c>
      <x:c r="P70" s="56" t="n">
        <x:v>2.52</x:v>
      </x:c>
      <x:c r="Q70" s="56" t="n">
        <x:v>79.5</x:v>
      </x:c>
      <x:c r="R70" t="str">
        <x:v>X</x:v>
      </x:c>
      <x:c r="S70" s="102" t="n">
        <x:v>100</x:v>
      </x:c>
      <x:c r="T70" t="str">
        <x:v>VALID</x:v>
      </x:c>
      <x:c r="U70" t="n">
        <x:v>387</x:v>
      </x:c>
      <x:c r="V70" t="str">
        <x:v>Pasted text(56).txt</x:v>
      </x:c>
    </x:row>
    <x:row r="71">
      <x:c r="A71" t="str">
        <x:v>S01</x:v>
      </x:c>
      <x:c r="B71" t="str">
        <x:v>1.10 initial validation – unstable response state</x:v>
      </x:c>
      <x:c r="C71" s="54" t="n">
        <x:v>1.1</x:v>
      </x:c>
      <x:c r="D71" t="n">
        <x:v>5</x:v>
      </x:c>
      <x:c r="E71" t="n">
        <x:v>1</x:v>
      </x:c>
      <x:c r="F71" t="str">
        <x:v>SEARCH</x:v>
      </x:c>
      <x:c r="G71" t="n">
        <x:v>1</x:v>
      </x:c>
      <x:c r="H71" s="54" t="n">
        <x:v>1</x:v>
      </x:c>
      <x:c r="I71" s="54" t="n">
        <x:v>0.04759</x:v>
      </x:c>
      <x:c r="J71" s="54" t="n">
        <x:v>0.03794</x:v>
      </x:c>
      <x:c r="K71" s="54" t="n">
        <x:v>0.01895</x:v>
      </x:c>
      <x:c r="L71" s="54" t="n">
        <x:v>0.05336</x:v>
      </x:c>
      <x:c r="M71" s="54" t="n">
        <x:v>0.07395</x:v>
      </x:c>
      <x:c r="N71" s="56" t="n">
        <x:v>-95.67</x:v>
      </x:c>
      <x:c r="O71" s="56" t="n">
        <x:v>52.74</x:v>
      </x:c>
      <x:c r="P71" s="56" t="n">
        <x:v>85.66</x:v>
      </x:c>
      <x:c r="Q71" s="56" t="n">
        <x:v>3.9</x:v>
      </x:c>
      <x:c r="R71" t="str">
        <x:v>Z</x:v>
      </x:c>
      <x:c r="S71" s="102" t="n">
        <x:v>71.1</x:v>
      </x:c>
      <x:c r="T71" t="str">
        <x:v>BELOW MEASUREMENT FLOOR — SEARCH CONTINUES</x:v>
      </x:c>
      <x:c r="U71" t="n">
        <x:v>406</x:v>
      </x:c>
      <x:c r="V71" t="str">
        <x:v>Pasted text(56).txt</x:v>
      </x:c>
    </x:row>
    <x:row r="72">
      <x:c r="A72" t="str">
        <x:v>S01</x:v>
      </x:c>
      <x:c r="B72" t="str">
        <x:v>1.10 initial validation – unstable response state</x:v>
      </x:c>
      <x:c r="C72" s="54" t="n">
        <x:v>1.1</x:v>
      </x:c>
      <x:c r="D72" t="n">
        <x:v>5</x:v>
      </x:c>
      <x:c r="E72" t="n">
        <x:v>1</x:v>
      </x:c>
      <x:c r="F72" t="str">
        <x:v>SEARCH</x:v>
      </x:c>
      <x:c r="G72" t="n">
        <x:v>2</x:v>
      </x:c>
      <x:c r="H72" s="54" t="n">
        <x:v>3</x:v>
      </x:c>
      <x:c r="I72" s="54" t="n">
        <x:v>1.45551</x:v>
      </x:c>
      <x:c r="J72" s="54" t="n">
        <x:v>1.46505</x:v>
      </x:c>
      <x:c r="K72" s="54" t="n">
        <x:v>0.61025</x:v>
      </x:c>
      <x:c r="L72" s="54" t="n">
        <x:v>0.46968</x:v>
      </x:c>
      <x:c r="M72" s="54" t="n">
        <x:v>1.65582</x:v>
      </x:c>
      <x:c r="N72" s="56" t="n">
        <x:v>32.32</x:v>
      </x:c>
      <x:c r="O72" s="56" t="n">
        <x:v>0.69</x:v>
      </x:c>
      <x:c r="P72" s="56" t="n">
        <x:v>1.55</x:v>
      </x:c>
      <x:c r="Q72" s="56" t="n">
        <x:v>79.4</x:v>
      </x:c>
      <x:c r="R72" t="str">
        <x:v>X</x:v>
      </x:c>
      <x:c r="S72" s="102" t="n">
        <x:v>100</x:v>
      </x:c>
      <x:c r="T72" t="str">
        <x:v>VALID</x:v>
      </x:c>
      <x:c r="U72" t="n">
        <x:v>407</x:v>
      </x:c>
      <x:c r="V72" t="str">
        <x:v>Pasted text(56).txt</x:v>
      </x:c>
    </x:row>
    <x:row r="73">
      <x:c r="A73" t="str">
        <x:v>S01</x:v>
      </x:c>
      <x:c r="B73" t="str">
        <x:v>1.10 initial validation – unstable response state</x:v>
      </x:c>
      <x:c r="C73" s="54" t="n">
        <x:v>1.1</x:v>
      </x:c>
      <x:c r="D73" t="n">
        <x:v>5</x:v>
      </x:c>
      <x:c r="E73" t="n">
        <x:v>2</x:v>
      </x:c>
      <x:c r="F73" t="str">
        <x:v>SEARCH</x:v>
      </x:c>
      <x:c r="G73" t="n">
        <x:v>1</x:v>
      </x:c>
      <x:c r="H73" s="54" t="n">
        <x:v>1</x:v>
      </x:c>
      <x:c r="I73" s="54" t="n">
        <x:v>0.07016</x:v>
      </x:c>
      <x:c r="J73" s="54" t="n">
        <x:v>0.07478</x:v>
      </x:c>
      <x:c r="K73" s="54" t="n">
        <x:v>0.02307</x:v>
      </x:c>
      <x:c r="L73" s="54" t="n">
        <x:v>0.03719</x:v>
      </x:c>
      <x:c r="M73" s="54" t="n">
        <x:v>0.09003</x:v>
      </x:c>
      <x:c r="N73" s="56" t="n">
        <x:v>-93.62</x:v>
      </x:c>
      <x:c r="O73" s="56" t="n">
        <x:v>19.49</x:v>
      </x:c>
      <x:c r="P73" s="56" t="n">
        <x:v>8.72</x:v>
      </x:c>
      <x:c r="Q73" s="56" t="n">
        <x:v>7.6</x:v>
      </x:c>
      <x:c r="R73" t="str">
        <x:v>X</x:v>
      </x:c>
      <x:c r="S73" s="102" t="n">
        <x:v>100</x:v>
      </x:c>
      <x:c r="T73" t="str">
        <x:v>BELOW MEASUREMENT FLOOR — SEARCH CONTINUES</x:v>
      </x:c>
      <x:c r="U73" t="n">
        <x:v>414</x:v>
      </x:c>
      <x:c r="V73" t="str">
        <x:v>Pasted text(56).txt</x:v>
      </x:c>
    </x:row>
    <x:row r="74">
      <x:c r="A74" t="str">
        <x:v>S01</x:v>
      </x:c>
      <x:c r="B74" t="str">
        <x:v>1.10 initial validation – unstable response state</x:v>
      </x:c>
      <x:c r="C74" s="54" t="n">
        <x:v>1.1</x:v>
      </x:c>
      <x:c r="D74" t="n">
        <x:v>5</x:v>
      </x:c>
      <x:c r="E74" t="n">
        <x:v>2</x:v>
      </x:c>
      <x:c r="F74" t="str">
        <x:v>SEARCH</x:v>
      </x:c>
      <x:c r="G74" t="n">
        <x:v>2</x:v>
      </x:c>
      <x:c r="H74" s="54" t="n">
        <x:v>3</x:v>
      </x:c>
      <x:c r="I74" s="54" t="n">
        <x:v>1.47962</x:v>
      </x:c>
      <x:c r="J74" s="54" t="n">
        <x:v>1.47936</x:v>
      </x:c>
      <x:c r="K74" s="54" t="n">
        <x:v>0.59854</x:v>
      </x:c>
      <x:c r="L74" s="54" t="n">
        <x:v>0.45327</x:v>
      </x:c>
      <x:c r="M74" s="54" t="n">
        <x:v>1.65948</x:v>
      </x:c>
      <x:c r="N74" s="56" t="n">
        <x:v>34.51</x:v>
      </x:c>
      <x:c r="O74" s="56" t="n">
        <x:v>0.08</x:v>
      </x:c>
      <x:c r="P74" s="56" t="n">
        <x:v>0.08</x:v>
      </x:c>
      <x:c r="Q74" s="56" t="n">
        <x:v>79.4</x:v>
      </x:c>
      <x:c r="R74" t="str">
        <x:v>X</x:v>
      </x:c>
      <x:c r="S74" s="102" t="n">
        <x:v>100</x:v>
      </x:c>
      <x:c r="T74" t="str">
        <x:v>VALID</x:v>
      </x:c>
      <x:c r="U74" t="n">
        <x:v>415</x:v>
      </x:c>
      <x:c r="V74" t="str">
        <x:v>Pasted text(56).txt</x:v>
      </x:c>
    </x:row>
    <x:row r="75">
      <x:c r="A75" t="str">
        <x:v>S02</x:v>
      </x:c>
      <x:c r="B75" t="str">
        <x:v>0.90 high-gain search limitation</x:v>
      </x:c>
      <x:c r="C75" s="54" t="n">
        <x:v>0.9</x:v>
      </x:c>
      <x:c r="D75" t="n">
        <x:v>1</x:v>
      </x:c>
      <x:c r="E75" t="n">
        <x:v>1</x:v>
      </x:c>
      <x:c r="F75" t="str">
        <x:v>SEARCH</x:v>
      </x:c>
      <x:c r="G75" t="n">
        <x:v>1</x:v>
      </x:c>
      <x:c r="H75" s="54" t="n">
        <x:v>1</x:v>
      </x:c>
      <x:c r="I75" s="54" t="n">
        <x:v>0.0535</x:v>
      </x:c>
      <x:c r="J75" s="54" t="n">
        <x:v>0.05292</x:v>
      </x:c>
      <x:c r="K75" s="54" t="n">
        <x:v>0.07121</x:v>
      </x:c>
      <x:c r="L75" s="54" t="n">
        <x:v>0.03334</x:v>
      </x:c>
      <x:c r="M75" s="54" t="n">
        <x:v>0.09777</x:v>
      </x:c>
      <x:c r="N75" s="56" t="n">
        <x:v>-94.06</x:v>
      </x:c>
      <x:c r="O75" s="56" t="n">
        <x:v>3.21</x:v>
      </x:c>
      <x:c r="P75" s="56" t="n">
        <x:v>1.55</x:v>
      </x:c>
      <x:c r="Q75" s="56" t="n">
        <x:v>5.6</x:v>
      </x:c>
      <x:c r="R75" t="str">
        <x:v>Y</x:v>
      </x:c>
      <x:c r="S75" s="102" t="n">
        <x:v>74.3</x:v>
      </x:c>
      <x:c r="T75" t="str">
        <x:v>BELOW MEASUREMENT FLOOR — SEARCH CONTINUES</x:v>
      </x:c>
      <x:c r="U75" t="n">
        <x:v>488</x:v>
      </x:c>
      <x:c r="V75" t="str">
        <x:v>Pasted text(56).txt</x:v>
      </x:c>
    </x:row>
    <x:row r="76">
      <x:c r="A76" t="str">
        <x:v>S02</x:v>
      </x:c>
      <x:c r="B76" t="str">
        <x:v>0.90 high-gain search limitation</x:v>
      </x:c>
      <x:c r="C76" s="54" t="n">
        <x:v>0.9</x:v>
      </x:c>
      <x:c r="D76" t="n">
        <x:v>1</x:v>
      </x:c>
      <x:c r="E76" t="n">
        <x:v>1</x:v>
      </x:c>
      <x:c r="F76" t="str">
        <x:v>SEARCH</x:v>
      </x:c>
      <x:c r="G76" t="n">
        <x:v>2</x:v>
      </x:c>
      <x:c r="H76" s="54" t="n">
        <x:v>3</x:v>
      </x:c>
      <x:c r="I76" s="54" t="n">
        <x:v>1.45758</x:v>
      </x:c>
      <x:c r="J76" s="54" t="n">
        <x:v>1.44962</x:v>
      </x:c>
      <x:c r="K76" s="54" t="n">
        <x:v>0.58133</x:v>
      </x:c>
      <x:c r="L76" s="54" t="n">
        <x:v>0.46691</x:v>
      </x:c>
      <x:c r="M76" s="54" t="n">
        <x:v>1.63042</x:v>
      </x:c>
      <x:c r="N76" s="56" t="n">
        <x:v>61.95</x:v>
      </x:c>
      <x:c r="O76" s="56" t="n">
        <x:v>1.07</x:v>
      </x:c>
      <x:c r="P76" s="56" t="n">
        <x:v>1.62</x:v>
      </x:c>
      <x:c r="Q76" s="56" t="n">
        <x:v>78.5</x:v>
      </x:c>
      <x:c r="R76" t="str">
        <x:v>X</x:v>
      </x:c>
      <x:c r="S76" s="102" t="n">
        <x:v>100</x:v>
      </x:c>
      <x:c r="T76" t="str">
        <x:v>VALID</x:v>
      </x:c>
      <x:c r="U76" t="n">
        <x:v>489</x:v>
      </x:c>
      <x:c r="V76" t="str">
        <x:v>Pasted text(56).txt</x:v>
      </x:c>
    </x:row>
    <x:row r="77">
      <x:c r="A77" t="str">
        <x:v>S02</x:v>
      </x:c>
      <x:c r="B77" t="str">
        <x:v>0.90 high-gain search limitation</x:v>
      </x:c>
      <x:c r="C77" s="54" t="n">
        <x:v>0.9</x:v>
      </x:c>
      <x:c r="D77" t="n">
        <x:v>1</x:v>
      </x:c>
      <x:c r="E77" t="n">
        <x:v>2</x:v>
      </x:c>
      <x:c r="F77" t="str">
        <x:v>SEARCH</x:v>
      </x:c>
      <x:c r="G77" t="n">
        <x:v>1</x:v>
      </x:c>
      <x:c r="H77" s="54" t="n">
        <x:v>1</x:v>
      </x:c>
      <x:c r="I77" s="54" t="n">
        <x:v>0.0602</x:v>
      </x:c>
      <x:c r="J77" s="54" t="n">
        <x:v>0.04885</x:v>
      </x:c>
      <x:c r="K77" s="54" t="n">
        <x:v>0.02688</x:v>
      </x:c>
      <x:c r="L77" s="54" t="n">
        <x:v>0.02641</x:v>
      </x:c>
      <x:c r="M77" s="54" t="n">
        <x:v>0.07225</x:v>
      </x:c>
      <x:c r="N77" s="56" t="n">
        <x:v>-93.31</x:v>
      </x:c>
      <x:c r="O77" s="56" t="n">
        <x:v>51.69</x:v>
      </x:c>
      <x:c r="P77" s="56" t="n">
        <x:v>80.36</x:v>
      </x:c>
      <x:c r="Q77" s="56" t="n">
        <x:v>5.2</x:v>
      </x:c>
      <x:c r="R77" t="str">
        <x:v>X</x:v>
      </x:c>
      <x:c r="S77" s="102" t="n">
        <x:v>100</x:v>
      </x:c>
      <x:c r="T77" t="str">
        <x:v>BELOW MEASUREMENT FLOOR — SEARCH CONTINUES</x:v>
      </x:c>
      <x:c r="U77" t="n">
        <x:v>496</x:v>
      </x:c>
      <x:c r="V77" t="str">
        <x:v>Pasted text(56).txt</x:v>
      </x:c>
    </x:row>
    <x:row r="78">
      <x:c r="A78" t="str">
        <x:v>S02</x:v>
      </x:c>
      <x:c r="B78" t="str">
        <x:v>0.90 high-gain search limitation</x:v>
      </x:c>
      <x:c r="C78" s="54" t="n">
        <x:v>0.9</x:v>
      </x:c>
      <x:c r="D78" t="n">
        <x:v>1</x:v>
      </x:c>
      <x:c r="E78" t="n">
        <x:v>2</x:v>
      </x:c>
      <x:c r="F78" t="str">
        <x:v>SEARCH</x:v>
      </x:c>
      <x:c r="G78" t="n">
        <x:v>2</x:v>
      </x:c>
      <x:c r="H78" s="54" t="n">
        <x:v>3</x:v>
      </x:c>
      <x:c r="I78" s="54" t="n">
        <x:v>1.4435</x:v>
      </x:c>
      <x:c r="J78" s="54" t="n">
        <x:v>1.44678</x:v>
      </x:c>
      <x:c r="K78" s="54" t="n">
        <x:v>0.57788</x:v>
      </x:c>
      <x:c r="L78" s="54" t="n">
        <x:v>0.48832</x:v>
      </x:c>
      <x:c r="M78" s="54" t="n">
        <x:v>1.6327</x:v>
      </x:c>
      <x:c r="N78" s="56" t="n">
        <x:v>60.39</x:v>
      </x:c>
      <x:c r="O78" s="56" t="n">
        <x:v>0.06</x:v>
      </x:c>
      <x:c r="P78" s="56" t="n">
        <x:v>0.43</x:v>
      </x:c>
      <x:c r="Q78" s="56" t="n">
        <x:v>78.7</x:v>
      </x:c>
      <x:c r="R78" t="str">
        <x:v>X</x:v>
      </x:c>
      <x:c r="S78" s="102" t="n">
        <x:v>100</x:v>
      </x:c>
      <x:c r="T78" t="str">
        <x:v>VALID</x:v>
      </x:c>
      <x:c r="U78" t="n">
        <x:v>497</x:v>
      </x:c>
      <x:c r="V78" t="str">
        <x:v>Pasted text(56).txt</x:v>
      </x:c>
    </x:row>
    <x:row r="79">
      <x:c r="A79" t="str">
        <x:v>S02</x:v>
      </x:c>
      <x:c r="B79" t="str">
        <x:v>0.90 high-gain search limitation</x:v>
      </x:c>
      <x:c r="C79" s="54" t="n">
        <x:v>0.9</x:v>
      </x:c>
      <x:c r="D79" t="n">
        <x:v>2</x:v>
      </x:c>
      <x:c r="E79" t="n">
        <x:v>1</x:v>
      </x:c>
      <x:c r="F79" t="str">
        <x:v>SEARCH</x:v>
      </x:c>
      <x:c r="G79" t="n">
        <x:v>1</x:v>
      </x:c>
      <x:c r="H79" s="54" t="n">
        <x:v>1</x:v>
      </x:c>
      <x:c r="I79" s="54" t="n">
        <x:v>0.0553</x:v>
      </x:c>
      <x:c r="J79" s="54" t="n">
        <x:v>0.0539</x:v>
      </x:c>
      <x:c r="K79" s="54" t="n">
        <x:v>0.03301</x:v>
      </x:c>
      <x:c r="L79" s="54" t="n">
        <x:v>0.02723</x:v>
      </x:c>
      <x:c r="M79" s="54" t="n">
        <x:v>0.07108</x:v>
      </x:c>
      <x:c r="N79" s="56" t="n">
        <x:v>-93.86</x:v>
      </x:c>
      <x:c r="O79" s="56" t="n">
        <x:v>12.21</x:v>
      </x:c>
      <x:c r="P79" s="56" t="n">
        <x:v>12.54</x:v>
      </x:c>
      <x:c r="Q79" s="56" t="n">
        <x:v>5.7</x:v>
      </x:c>
      <x:c r="R79" t="str">
        <x:v>X</x:v>
      </x:c>
      <x:c r="S79" s="102" t="n">
        <x:v>100</x:v>
      </x:c>
      <x:c r="T79" t="str">
        <x:v>BELOW MEASUREMENT FLOOR — SEARCH CONTINUES</x:v>
      </x:c>
      <x:c r="U79" t="n">
        <x:v>516</x:v>
      </x:c>
      <x:c r="V79" t="str">
        <x:v>Pasted text(56).txt</x:v>
      </x:c>
    </x:row>
    <x:row r="80">
      <x:c r="A80" t="str">
        <x:v>S02</x:v>
      </x:c>
      <x:c r="B80" t="str">
        <x:v>0.90 high-gain search limitation</x:v>
      </x:c>
      <x:c r="C80" s="54" t="n">
        <x:v>0.9</x:v>
      </x:c>
      <x:c r="D80" t="n">
        <x:v>2</x:v>
      </x:c>
      <x:c r="E80" t="n">
        <x:v>1</x:v>
      </x:c>
      <x:c r="F80" t="str">
        <x:v>SEARCH</x:v>
      </x:c>
      <x:c r="G80" t="n">
        <x:v>2</x:v>
      </x:c>
      <x:c r="H80" s="54" t="n">
        <x:v>3</x:v>
      </x:c>
      <x:c r="I80" s="54" t="n">
        <x:v>1.43053</x:v>
      </x:c>
      <x:c r="J80" s="54" t="n">
        <x:v>1.45085</x:v>
      </x:c>
      <x:c r="K80" s="54" t="n">
        <x:v>0.55081</x:v>
      </x:c>
      <x:c r="L80" s="54" t="n">
        <x:v>0.46634</x:v>
      </x:c>
      <x:c r="M80" s="54" t="n">
        <x:v>1.62059</x:v>
      </x:c>
      <x:c r="N80" s="56" t="n">
        <x:v>58.95</x:v>
      </x:c>
      <x:c r="O80" s="56" t="n">
        <x:v>0.09</x:v>
      </x:c>
      <x:c r="P80" s="56" t="n">
        <x:v>2.48</x:v>
      </x:c>
      <x:c r="Q80" s="56" t="n">
        <x:v>79.8</x:v>
      </x:c>
      <x:c r="R80" t="str">
        <x:v>X</x:v>
      </x:c>
      <x:c r="S80" s="102" t="n">
        <x:v>100</x:v>
      </x:c>
      <x:c r="T80" t="str">
        <x:v>VALID</x:v>
      </x:c>
      <x:c r="U80" t="n">
        <x:v>517</x:v>
      </x:c>
      <x:c r="V80" t="str">
        <x:v>Pasted text(56).txt</x:v>
      </x:c>
    </x:row>
    <x:row r="81">
      <x:c r="A81" t="str">
        <x:v>S02</x:v>
      </x:c>
      <x:c r="B81" t="str">
        <x:v>0.90 high-gain search limitation</x:v>
      </x:c>
      <x:c r="C81" s="54" t="n">
        <x:v>0.9</x:v>
      </x:c>
      <x:c r="D81" t="n">
        <x:v>2</x:v>
      </x:c>
      <x:c r="E81" t="n">
        <x:v>2</x:v>
      </x:c>
      <x:c r="F81" t="str">
        <x:v>SEARCH</x:v>
      </x:c>
      <x:c r="G81" t="n">
        <x:v>1</x:v>
      </x:c>
      <x:c r="H81" s="54" t="n">
        <x:v>1</x:v>
      </x:c>
      <x:c r="I81" s="54" t="n">
        <x:v>0.05672</x:v>
      </x:c>
      <x:c r="J81" s="54" t="n">
        <x:v>0.06061</x:v>
      </x:c>
      <x:c r="K81" s="54" t="n">
        <x:v>0.04039</x:v>
      </x:c>
      <x:c r="L81" s="54" t="n">
        <x:v>0.06507</x:v>
      </x:c>
      <x:c r="M81" s="54" t="n">
        <x:v>0.09969</x:v>
      </x:c>
      <x:c r="N81" s="56" t="n">
        <x:v>-93.7</x:v>
      </x:c>
      <x:c r="O81" s="56" t="n">
        <x:v>20.33</x:v>
      </x:c>
      <x:c r="P81" s="56" t="n">
        <x:v>9.07</x:v>
      </x:c>
      <x:c r="Q81" s="56" t="n">
        <x:v>6.4</x:v>
      </x:c>
      <x:c r="R81" t="str">
        <x:v>Z</x:v>
      </x:c>
      <x:c r="S81" s="102" t="n">
        <x:v>93.1</x:v>
      </x:c>
      <x:c r="T81" t="str">
        <x:v>BELOW MEASUREMENT FLOOR — SEARCH CONTINUES</x:v>
      </x:c>
      <x:c r="U81" t="n">
        <x:v>524</x:v>
      </x:c>
      <x:c r="V81" t="str">
        <x:v>Pasted text(56).txt</x:v>
      </x:c>
    </x:row>
    <x:row r="82">
      <x:c r="A82" t="str">
        <x:v>S02</x:v>
      </x:c>
      <x:c r="B82" t="str">
        <x:v>0.90 high-gain search limitation</x:v>
      </x:c>
      <x:c r="C82" s="54" t="n">
        <x:v>0.9</x:v>
      </x:c>
      <x:c r="D82" t="n">
        <x:v>2</x:v>
      </x:c>
      <x:c r="E82" t="n">
        <x:v>2</x:v>
      </x:c>
      <x:c r="F82" t="str">
        <x:v>SEARCH</x:v>
      </x:c>
      <x:c r="G82" t="n">
        <x:v>2</x:v>
      </x:c>
      <x:c r="H82" s="54" t="n">
        <x:v>3</x:v>
      </x:c>
      <x:c r="I82" s="54" t="n">
        <x:v>1.4806</x:v>
      </x:c>
      <x:c r="J82" s="54" t="n">
        <x:v>1.46371</x:v>
      </x:c>
      <x:c r="K82" s="54" t="n">
        <x:v>0.58553</x:v>
      </x:c>
      <x:c r="L82" s="54" t="n">
        <x:v>0.44644</x:v>
      </x:c>
      <x:c r="M82" s="54" t="n">
        <x:v>1.63922</x:v>
      </x:c>
      <x:c r="N82" s="56" t="n">
        <x:v>64.51</x:v>
      </x:c>
      <x:c r="O82" s="56" t="n">
        <x:v>0.98</x:v>
      </x:c>
      <x:c r="P82" s="56" t="n">
        <x:v>2.6</x:v>
      </x:c>
      <x:c r="Q82" s="56" t="n">
        <x:v>79.8</x:v>
      </x:c>
      <x:c r="R82" t="str">
        <x:v>X</x:v>
      </x:c>
      <x:c r="S82" s="102" t="n">
        <x:v>100</x:v>
      </x:c>
      <x:c r="T82" t="str">
        <x:v>VALID</x:v>
      </x:c>
      <x:c r="U82" t="n">
        <x:v>525</x:v>
      </x:c>
      <x:c r="V82" t="str">
        <x:v>Pasted text(56).txt</x:v>
      </x:c>
    </x:row>
    <x:row r="83">
      <x:c r="A83" t="str">
        <x:v>S02</x:v>
      </x:c>
      <x:c r="B83" t="str">
        <x:v>0.90 high-gain search limitation</x:v>
      </x:c>
      <x:c r="C83" s="54" t="n">
        <x:v>0.9</x:v>
      </x:c>
      <x:c r="D83" t="n">
        <x:v>3</x:v>
      </x:c>
      <x:c r="E83" t="n">
        <x:v>1</x:v>
      </x:c>
      <x:c r="F83" t="str">
        <x:v>SEARCH</x:v>
      </x:c>
      <x:c r="G83" t="n">
        <x:v>1</x:v>
      </x:c>
      <x:c r="H83" s="54" t="n">
        <x:v>1</x:v>
      </x:c>
      <x:c r="I83" s="54" t="n">
        <x:v>0.02913</x:v>
      </x:c>
      <x:c r="J83" s="54" t="n">
        <x:v>0.03857</x:v>
      </x:c>
      <x:c r="K83" s="54" t="n">
        <x:v>0.02268</x:v>
      </x:c>
      <x:c r="L83" s="54" t="n">
        <x:v>0.04036</x:v>
      </x:c>
      <x:c r="M83" s="54" t="n">
        <x:v>0.06531</x:v>
      </x:c>
      <x:c r="N83" s="56" t="n">
        <x:v>-96.76</x:v>
      </x:c>
      <x:c r="O83" s="56" t="n">
        <x:v>78.35</x:v>
      </x:c>
      <x:c r="P83" s="56" t="n">
        <x:v>79.5</x:v>
      </x:c>
      <x:c r="Q83" s="56" t="n">
        <x:v>4.1</x:v>
      </x:c>
      <x:c r="R83" t="str">
        <x:v>Z</x:v>
      </x:c>
      <x:c r="S83" s="102" t="n">
        <x:v>95.6</x:v>
      </x:c>
      <x:c r="T83" t="str">
        <x:v>BELOW MEASUREMENT FLOOR — SEARCH CONTINUES</x:v>
      </x:c>
      <x:c r="U83" t="n">
        <x:v>544</x:v>
      </x:c>
      <x:c r="V83" t="str">
        <x:v>Pasted text(56).txt</x:v>
      </x:c>
    </x:row>
    <x:row r="84">
      <x:c r="A84" t="str">
        <x:v>S02</x:v>
      </x:c>
      <x:c r="B84" t="str">
        <x:v>0.90 high-gain search limitation</x:v>
      </x:c>
      <x:c r="C84" s="54" t="n">
        <x:v>0.9</x:v>
      </x:c>
      <x:c r="D84" t="n">
        <x:v>3</x:v>
      </x:c>
      <x:c r="E84" t="n">
        <x:v>1</x:v>
      </x:c>
      <x:c r="F84" t="str">
        <x:v>SEARCH</x:v>
      </x:c>
      <x:c r="G84" t="n">
        <x:v>2</x:v>
      </x:c>
      <x:c r="H84" s="54" t="n">
        <x:v>3</x:v>
      </x:c>
      <x:c r="I84" s="54" t="n">
        <x:v>1.4404</x:v>
      </x:c>
      <x:c r="J84" s="54" t="n">
        <x:v>1.44063</x:v>
      </x:c>
      <x:c r="K84" s="54" t="n">
        <x:v>0.56716</x:v>
      </x:c>
      <x:c r="L84" s="54" t="n">
        <x:v>0.49052</x:v>
      </x:c>
      <x:c r="M84" s="54" t="n">
        <x:v>1.62457</x:v>
      </x:c>
      <x:c r="N84" s="56" t="n">
        <x:v>60.04</x:v>
      </x:c>
      <x:c r="O84" s="56" t="n">
        <x:v>0.94</x:v>
      </x:c>
      <x:c r="P84" s="56" t="n">
        <x:v>0.66</x:v>
      </x:c>
      <x:c r="Q84" s="56" t="n">
        <x:v>78.7</x:v>
      </x:c>
      <x:c r="R84" t="str">
        <x:v>X</x:v>
      </x:c>
      <x:c r="S84" s="102" t="n">
        <x:v>100</x:v>
      </x:c>
      <x:c r="T84" t="str">
        <x:v>VALID</x:v>
      </x:c>
      <x:c r="U84" t="n">
        <x:v>545</x:v>
      </x:c>
      <x:c r="V84" t="str">
        <x:v>Pasted text(56).txt</x:v>
      </x:c>
    </x:row>
    <x:row r="85">
      <x:c r="A85" t="str">
        <x:v>S02</x:v>
      </x:c>
      <x:c r="B85" t="str">
        <x:v>0.90 high-gain search limitation</x:v>
      </x:c>
      <x:c r="C85" s="54" t="n">
        <x:v>0.9</x:v>
      </x:c>
      <x:c r="D85" t="n">
        <x:v>3</x:v>
      </x:c>
      <x:c r="E85" t="n">
        <x:v>2</x:v>
      </x:c>
      <x:c r="F85" t="str">
        <x:v>SEARCH</x:v>
      </x:c>
      <x:c r="G85" t="n">
        <x:v>1</x:v>
      </x:c>
      <x:c r="H85" s="54" t="n">
        <x:v>1</x:v>
      </x:c>
      <x:c r="I85" s="54" t="n">
        <x:v>0.07728</x:v>
      </x:c>
      <x:c r="J85" s="54" t="n">
        <x:v>0.07321</x:v>
      </x:c>
      <x:c r="K85" s="54" t="n">
        <x:v>0.02423</x:v>
      </x:c>
      <x:c r="L85" s="54" t="n">
        <x:v>0.02944</x:v>
      </x:c>
      <x:c r="M85" s="54" t="n">
        <x:v>0.08299</x:v>
      </x:c>
      <x:c r="N85" s="56" t="n">
        <x:v>-91.41</x:v>
      </x:c>
      <x:c r="O85" s="56" t="n">
        <x:v>15.61</x:v>
      </x:c>
      <x:c r="P85" s="56" t="n">
        <x:v>7.86</x:v>
      </x:c>
      <x:c r="Q85" s="56" t="n">
        <x:v>7.7</x:v>
      </x:c>
      <x:c r="R85" t="str">
        <x:v>X</x:v>
      </x:c>
      <x:c r="S85" s="102" t="n">
        <x:v>100</x:v>
      </x:c>
      <x:c r="T85" t="str">
        <x:v>BELOW MEASUREMENT FLOOR — SEARCH CONTINUES</x:v>
      </x:c>
      <x:c r="U85" t="n">
        <x:v>552</x:v>
      </x:c>
      <x:c r="V85" t="str">
        <x:v>Pasted text(56).txt</x:v>
      </x:c>
    </x:row>
    <x:row r="86">
      <x:c r="A86" t="str">
        <x:v>S02</x:v>
      </x:c>
      <x:c r="B86" t="str">
        <x:v>0.90 high-gain search limitation</x:v>
      </x:c>
      <x:c r="C86" s="54" t="n">
        <x:v>0.9</x:v>
      </x:c>
      <x:c r="D86" t="n">
        <x:v>3</x:v>
      </x:c>
      <x:c r="E86" t="n">
        <x:v>2</x:v>
      </x:c>
      <x:c r="F86" t="str">
        <x:v>SEARCH</x:v>
      </x:c>
      <x:c r="G86" t="n">
        <x:v>2</x:v>
      </x:c>
      <x:c r="H86" s="54" t="n">
        <x:v>3</x:v>
      </x:c>
      <x:c r="I86" s="54" t="n">
        <x:v>1.44881</x:v>
      </x:c>
      <x:c r="J86" s="54" t="n">
        <x:v>1.45009</x:v>
      </x:c>
      <x:c r="K86" s="54" t="n">
        <x:v>0.57272</x:v>
      </x:c>
      <x:c r="L86" s="54" t="n">
        <x:v>0.44053</x:v>
      </x:c>
      <x:c r="M86" s="54" t="n">
        <x:v>1.62071</x:v>
      </x:c>
      <x:c r="N86" s="56" t="n">
        <x:v>60.98</x:v>
      </x:c>
      <x:c r="O86" s="56" t="n">
        <x:v>2.04</x:v>
      </x:c>
      <x:c r="P86" s="56" t="n">
        <x:v>1.51</x:v>
      </x:c>
      <x:c r="Q86" s="56" t="n">
        <x:v>79.9</x:v>
      </x:c>
      <x:c r="R86" t="str">
        <x:v>X</x:v>
      </x:c>
      <x:c r="S86" s="102" t="n">
        <x:v>100</x:v>
      </x:c>
      <x:c r="T86" t="str">
        <x:v>VALID</x:v>
      </x:c>
      <x:c r="U86" t="n">
        <x:v>553</x:v>
      </x:c>
      <x:c r="V86" t="str">
        <x:v>Pasted text(56).txt</x:v>
      </x:c>
    </x:row>
    <x:row r="87">
      <x:c r="A87" t="str">
        <x:v>S02</x:v>
      </x:c>
      <x:c r="B87" t="str">
        <x:v>0.90 high-gain search limitation</x:v>
      </x:c>
      <x:c r="C87" s="54" t="n">
        <x:v>0.9</x:v>
      </x:c>
      <x:c r="D87" t="n">
        <x:v>4</x:v>
      </x:c>
      <x:c r="E87" t="n">
        <x:v>1</x:v>
      </x:c>
      <x:c r="F87" t="str">
        <x:v>SEARCH</x:v>
      </x:c>
      <x:c r="G87" t="n">
        <x:v>1</x:v>
      </x:c>
      <x:c r="H87" s="54" t="n">
        <x:v>1</x:v>
      </x:c>
      <x:c r="I87" s="54" t="n">
        <x:v>0.07427</x:v>
      </x:c>
      <x:c r="J87" s="54" t="n">
        <x:v>0.07749</x:v>
      </x:c>
      <x:c r="K87" s="54" t="n">
        <x:v>0.05519</x:v>
      </x:c>
      <x:c r="L87" s="54" t="n">
        <x:v>0.03489</x:v>
      </x:c>
      <x:c r="M87" s="54" t="n">
        <x:v>0.10447</x:v>
      </x:c>
      <x:c r="N87" s="56" t="n">
        <x:v>-91.75</x:v>
      </x:c>
      <x:c r="O87" s="56" t="n">
        <x:v>12.88</x:v>
      </x:c>
      <x:c r="P87" s="56" t="n">
        <x:v>5.89</x:v>
      </x:c>
      <x:c r="Q87" s="56" t="n">
        <x:v>8.1</x:v>
      </x:c>
      <x:c r="R87" t="str">
        <x:v>X</x:v>
      </x:c>
      <x:c r="S87" s="102" t="n">
        <x:v>100</x:v>
      </x:c>
      <x:c r="T87" t="str">
        <x:v>BELOW MEASUREMENT FLOOR — SEARCH CONTINUES</x:v>
      </x:c>
      <x:c r="U87" t="n">
        <x:v>572</x:v>
      </x:c>
      <x:c r="V87" t="str">
        <x:v>Pasted text(56).txt</x:v>
      </x:c>
    </x:row>
    <x:row r="88">
      <x:c r="A88" t="str">
        <x:v>S02</x:v>
      </x:c>
      <x:c r="B88" t="str">
        <x:v>0.90 high-gain search limitation</x:v>
      </x:c>
      <x:c r="C88" s="54" t="n">
        <x:v>0.9</x:v>
      </x:c>
      <x:c r="D88" t="n">
        <x:v>4</x:v>
      </x:c>
      <x:c r="E88" t="n">
        <x:v>1</x:v>
      </x:c>
      <x:c r="F88" t="str">
        <x:v>SEARCH</x:v>
      </x:c>
      <x:c r="G88" t="n">
        <x:v>2</x:v>
      </x:c>
      <x:c r="H88" s="54" t="n">
        <x:v>3</x:v>
      </x:c>
      <x:c r="I88" s="54" t="n">
        <x:v>1.44993</x:v>
      </x:c>
      <x:c r="J88" s="54" t="n">
        <x:v>1.45584</x:v>
      </x:c>
      <x:c r="K88" s="54" t="n">
        <x:v>0.56783</x:v>
      </x:c>
      <x:c r="L88" s="54" t="n">
        <x:v>0.44295</x:v>
      </x:c>
      <x:c r="M88" s="54" t="n">
        <x:v>1.62465</x:v>
      </x:c>
      <x:c r="N88" s="56" t="n">
        <x:v>61.1</x:v>
      </x:c>
      <x:c r="O88" s="56" t="n">
        <x:v>1.29</x:v>
      </x:c>
      <x:c r="P88" s="56" t="n">
        <x:v>1.52</x:v>
      </x:c>
      <x:c r="Q88" s="56" t="n">
        <x:v>79.2</x:v>
      </x:c>
      <x:c r="R88" t="str">
        <x:v>X</x:v>
      </x:c>
      <x:c r="S88" s="102" t="n">
        <x:v>100</x:v>
      </x:c>
      <x:c r="T88" t="str">
        <x:v>VALID</x:v>
      </x:c>
      <x:c r="U88" t="n">
        <x:v>573</x:v>
      </x:c>
      <x:c r="V88" t="str">
        <x:v>Pasted text(56).txt</x:v>
      </x:c>
    </x:row>
    <x:row r="89">
      <x:c r="A89" t="str">
        <x:v>S02</x:v>
      </x:c>
      <x:c r="B89" t="str">
        <x:v>0.90 high-gain search limitation</x:v>
      </x:c>
      <x:c r="C89" s="54" t="n">
        <x:v>0.9</x:v>
      </x:c>
      <x:c r="D89" t="n">
        <x:v>4</x:v>
      </x:c>
      <x:c r="E89" t="n">
        <x:v>2</x:v>
      </x:c>
      <x:c r="F89" t="str">
        <x:v>SEARCH</x:v>
      </x:c>
      <x:c r="G89" t="n">
        <x:v>1</x:v>
      </x:c>
      <x:c r="H89" s="54" t="n">
        <x:v>1</x:v>
      </x:c>
      <x:c r="I89" s="54" t="n">
        <x:v>0.05312</x:v>
      </x:c>
      <x:c r="J89" s="54" t="n">
        <x:v>0.05512</x:v>
      </x:c>
      <x:c r="K89" s="54" t="n">
        <x:v>0.04018</x:v>
      </x:c>
      <x:c r="L89" s="54" t="n">
        <x:v>0.03249</x:v>
      </x:c>
      <x:c r="M89" s="54" t="n">
        <x:v>0.07768</x:v>
      </x:c>
      <x:c r="N89" s="56" t="n">
        <x:v>-94.1</x:v>
      </x:c>
      <x:c r="O89" s="56" t="n">
        <x:v>37.37</x:v>
      </x:c>
      <x:c r="P89" s="56" t="n">
        <x:v>29.9</x:v>
      </x:c>
      <x:c r="Q89" s="56" t="n">
        <x:v>5.7</x:v>
      </x:c>
      <x:c r="R89" t="str">
        <x:v>X</x:v>
      </x:c>
      <x:c r="S89" s="102" t="n">
        <x:v>100</x:v>
      </x:c>
      <x:c r="T89" t="str">
        <x:v>BELOW MEASUREMENT FLOOR — SEARCH CONTINUES</x:v>
      </x:c>
      <x:c r="U89" t="n">
        <x:v>580</x:v>
      </x:c>
      <x:c r="V89" t="str">
        <x:v>Pasted text(56).txt</x:v>
      </x:c>
    </x:row>
    <x:row r="90">
      <x:c r="A90" t="str">
        <x:v>S02</x:v>
      </x:c>
      <x:c r="B90" t="str">
        <x:v>0.90 high-gain search limitation</x:v>
      </x:c>
      <x:c r="C90" s="54" t="n">
        <x:v>0.9</x:v>
      </x:c>
      <x:c r="D90" t="n">
        <x:v>4</x:v>
      </x:c>
      <x:c r="E90" t="n">
        <x:v>2</x:v>
      </x:c>
      <x:c r="F90" t="str">
        <x:v>SEARCH</x:v>
      </x:c>
      <x:c r="G90" t="n">
        <x:v>2</x:v>
      </x:c>
      <x:c r="H90" s="54" t="n">
        <x:v>3</x:v>
      </x:c>
      <x:c r="I90" s="54" t="n">
        <x:v>1.44509</x:v>
      </x:c>
      <x:c r="J90" s="54" t="n">
        <x:v>1.44224</x:v>
      </x:c>
      <x:c r="K90" s="54" t="n">
        <x:v>0.57281</x:v>
      </x:c>
      <x:c r="L90" s="54" t="n">
        <x:v>0.45682</x:v>
      </x:c>
      <x:c r="M90" s="54" t="n">
        <x:v>1.61798</x:v>
      </x:c>
      <x:c r="N90" s="56" t="n">
        <x:v>60.57</x:v>
      </x:c>
      <x:c r="O90" s="56" t="n">
        <x:v>0.25</x:v>
      </x:c>
      <x:c r="P90" s="56" t="n">
        <x:v>0.49</x:v>
      </x:c>
      <x:c r="Q90" s="56" t="n">
        <x:v>79.2</x:v>
      </x:c>
      <x:c r="R90" t="str">
        <x:v>X</x:v>
      </x:c>
      <x:c r="S90" s="102" t="n">
        <x:v>100</x:v>
      </x:c>
      <x:c r="T90" t="str">
        <x:v>VALID</x:v>
      </x:c>
      <x:c r="U90" t="n">
        <x:v>581</x:v>
      </x:c>
      <x:c r="V90" t="str">
        <x:v>Pasted text(56).txt</x:v>
      </x:c>
    </x:row>
    <x:row r="91">
      <x:c r="A91" t="str">
        <x:v>S02</x:v>
      </x:c>
      <x:c r="B91" t="str">
        <x:v>0.90 high-gain search limitation</x:v>
      </x:c>
      <x:c r="C91" s="54" t="n">
        <x:v>0.9</x:v>
      </x:c>
      <x:c r="D91" t="n">
        <x:v>5</x:v>
      </x:c>
      <x:c r="E91" t="n">
        <x:v>1</x:v>
      </x:c>
      <x:c r="F91" t="str">
        <x:v>SEARCH</x:v>
      </x:c>
      <x:c r="G91" t="n">
        <x:v>1</x:v>
      </x:c>
      <x:c r="H91" s="54" t="n">
        <x:v>1</x:v>
      </x:c>
      <x:c r="I91" s="54" t="n">
        <x:v>0.04777</x:v>
      </x:c>
      <x:c r="J91" s="54" t="n">
        <x:v>0.04647</x:v>
      </x:c>
      <x:c r="K91" s="54" t="n">
        <x:v>0.03777</x:v>
      </x:c>
      <x:c r="L91" s="54" t="n">
        <x:v>0.02833</x:v>
      </x:c>
      <x:c r="M91" s="54" t="n">
        <x:v>0.0712</x:v>
      </x:c>
      <x:c r="N91" s="56" t="n">
        <x:v>-94.69</x:v>
      </x:c>
      <x:c r="O91" s="56" t="n">
        <x:v>8.06</x:v>
      </x:c>
      <x:c r="P91" s="56" t="n">
        <x:v>3.95</x:v>
      </x:c>
      <x:c r="Q91" s="56" t="n">
        <x:v>4.9</x:v>
      </x:c>
      <x:c r="R91" t="str">
        <x:v>X</x:v>
      </x:c>
      <x:c r="S91" s="102" t="n">
        <x:v>100</x:v>
      </x:c>
      <x:c r="T91" t="str">
        <x:v>BELOW MEASUREMENT FLOOR — SEARCH CONTINUES</x:v>
      </x:c>
      <x:c r="U91" t="n">
        <x:v>600</x:v>
      </x:c>
      <x:c r="V91" t="str">
        <x:v>Pasted text(56).txt</x:v>
      </x:c>
    </x:row>
    <x:row r="92">
      <x:c r="A92" t="str">
        <x:v>S02</x:v>
      </x:c>
      <x:c r="B92" t="str">
        <x:v>0.90 high-gain search limitation</x:v>
      </x:c>
      <x:c r="C92" s="54" t="n">
        <x:v>0.9</x:v>
      </x:c>
      <x:c r="D92" t="n">
        <x:v>5</x:v>
      </x:c>
      <x:c r="E92" t="n">
        <x:v>1</x:v>
      </x:c>
      <x:c r="F92" t="str">
        <x:v>SEARCH</x:v>
      </x:c>
      <x:c r="G92" t="n">
        <x:v>2</x:v>
      </x:c>
      <x:c r="H92" s="54" t="n">
        <x:v>3</x:v>
      </x:c>
      <x:c r="I92" s="54" t="n">
        <x:v>1.44275</x:v>
      </x:c>
      <x:c r="J92" s="54" t="n">
        <x:v>1.44441</x:v>
      </x:c>
      <x:c r="K92" s="54" t="n">
        <x:v>0.52819</x:v>
      </x:c>
      <x:c r="L92" s="54" t="n">
        <x:v>0.4801</x:v>
      </x:c>
      <x:c r="M92" s="54" t="n">
        <x:v>1.61154</x:v>
      </x:c>
      <x:c r="N92" s="56" t="n">
        <x:v>60.31</x:v>
      </x:c>
      <x:c r="O92" s="56" t="n">
        <x:v>1.87</x:v>
      </x:c>
      <x:c r="P92" s="56" t="n">
        <x:v>1.43</x:v>
      </x:c>
      <x:c r="Q92" s="56" t="n">
        <x:v>79</x:v>
      </x:c>
      <x:c r="R92" t="str">
        <x:v>X</x:v>
      </x:c>
      <x:c r="S92" s="102" t="n">
        <x:v>100</x:v>
      </x:c>
      <x:c r="T92" t="str">
        <x:v>VALID</x:v>
      </x:c>
      <x:c r="U92" t="n">
        <x:v>601</x:v>
      </x:c>
      <x:c r="V92" t="str">
        <x:v>Pasted text(56).txt</x:v>
      </x:c>
    </x:row>
    <x:row r="93">
      <x:c r="A93" t="str">
        <x:v>S02</x:v>
      </x:c>
      <x:c r="B93" t="str">
        <x:v>0.90 high-gain search limitation</x:v>
      </x:c>
      <x:c r="C93" s="54" t="n">
        <x:v>0.9</x:v>
      </x:c>
      <x:c r="D93" t="n">
        <x:v>5</x:v>
      </x:c>
      <x:c r="E93" t="n">
        <x:v>2</x:v>
      </x:c>
      <x:c r="F93" t="str">
        <x:v>SEARCH</x:v>
      </x:c>
      <x:c r="G93" t="n">
        <x:v>1</x:v>
      </x:c>
      <x:c r="H93" s="54" t="n">
        <x:v>1</x:v>
      </x:c>
      <x:c r="I93" s="54" t="n">
        <x:v>0.0641</x:v>
      </x:c>
      <x:c r="J93" s="54" t="n">
        <x:v>0.06046</x:v>
      </x:c>
      <x:c r="K93" s="54" t="n">
        <x:v>0.05406</x:v>
      </x:c>
      <x:c r="L93" s="54" t="n">
        <x:v>0.03365</x:v>
      </x:c>
      <x:c r="M93" s="54" t="n">
        <x:v>0.08861</x:v>
      </x:c>
      <x:c r="N93" s="56" t="n">
        <x:v>-92.88</x:v>
      </x:c>
      <x:c r="O93" s="56" t="n">
        <x:v>52.28</x:v>
      </x:c>
      <x:c r="P93" s="56" t="n">
        <x:v>46.72</x:v>
      </x:c>
      <x:c r="Q93" s="56" t="n">
        <x:v>6.3</x:v>
      </x:c>
      <x:c r="R93" t="str">
        <x:v>X</x:v>
      </x:c>
      <x:c r="S93" s="102" t="n">
        <x:v>100</x:v>
      </x:c>
      <x:c r="T93" t="str">
        <x:v>BELOW MEASUREMENT FLOOR — SEARCH CONTINUES</x:v>
      </x:c>
      <x:c r="U93" t="n">
        <x:v>608</x:v>
      </x:c>
      <x:c r="V93" t="str">
        <x:v>Pasted text(56).txt</x:v>
      </x:c>
    </x:row>
    <x:row r="94">
      <x:c r="A94" t="str">
        <x:v>S02</x:v>
      </x:c>
      <x:c r="B94" t="str">
        <x:v>0.90 high-gain search limitation</x:v>
      </x:c>
      <x:c r="C94" s="54" t="n">
        <x:v>0.9</x:v>
      </x:c>
      <x:c r="D94" t="n">
        <x:v>5</x:v>
      </x:c>
      <x:c r="E94" t="n">
        <x:v>2</x:v>
      </x:c>
      <x:c r="F94" t="str">
        <x:v>SEARCH</x:v>
      </x:c>
      <x:c r="G94" t="n">
        <x:v>2</x:v>
      </x:c>
      <x:c r="H94" s="54" t="n">
        <x:v>3</x:v>
      </x:c>
      <x:c r="I94" s="54" t="n">
        <x:v>1.46346</x:v>
      </x:c>
      <x:c r="J94" s="54" t="n">
        <x:v>1.45639</x:v>
      </x:c>
      <x:c r="K94" s="54" t="n">
        <x:v>0.55872</x:v>
      </x:c>
      <x:c r="L94" s="54" t="n">
        <x:v>0.46907</x:v>
      </x:c>
      <x:c r="M94" s="54" t="n">
        <x:v>1.62907</x:v>
      </x:c>
      <x:c r="N94" s="56" t="n">
        <x:v>62.61</x:v>
      </x:c>
      <x:c r="O94" s="56" t="n">
        <x:v>1.84</x:v>
      </x:c>
      <x:c r="P94" s="56" t="n">
        <x:v>2.02</x:v>
      </x:c>
      <x:c r="Q94" s="56" t="n">
        <x:v>79.5</x:v>
      </x:c>
      <x:c r="R94" t="str">
        <x:v>X</x:v>
      </x:c>
      <x:c r="S94" s="102" t="n">
        <x:v>100</x:v>
      </x:c>
      <x:c r="T94" t="str">
        <x:v>VALID</x:v>
      </x:c>
      <x:c r="U94" t="n">
        <x:v>609</x:v>
      </x:c>
      <x:c r="V94" t="str">
        <x:v>Pasted text(56).txt</x:v>
      </x:c>
    </x:row>
    <x:row r="95">
      <x:c r="A95" t="str">
        <x:v>S03</x:v>
      </x:c>
      <x:c r="B95" t="str">
        <x:v>0.90 validated five-run session</x:v>
      </x:c>
      <x:c r="C95" s="54" t="n">
        <x:v>0.9</x:v>
      </x:c>
      <x:c r="D95" t="n">
        <x:v>1</x:v>
      </x:c>
      <x:c r="E95" t="n">
        <x:v>1</x:v>
      </x:c>
      <x:c r="F95" t="str">
        <x:v>SEARCH</x:v>
      </x:c>
      <x:c r="G95" t="n">
        <x:v>1</x:v>
      </x:c>
      <x:c r="H95" s="54" t="n">
        <x:v>1</x:v>
      </x:c>
      <x:c r="I95" s="54" t="n">
        <x:v>0.00789</x:v>
      </x:c>
      <x:c r="J95" s="54" t="n">
        <x:v>0.0078</x:v>
      </x:c>
      <x:c r="K95" s="54" t="n">
        <x:v>0.01429</x:v>
      </x:c>
      <x:c r="L95" s="54" t="n">
        <x:v>0.02987</x:v>
      </x:c>
      <x:c r="M95" s="54" t="n">
        <x:v>0.03544</x:v>
      </x:c>
      <x:c r="N95" s="56" t="n">
        <x:v>-99.12</x:v>
      </x:c>
      <x:c r="O95" s="56" t="n">
        <x:v>3.42</x:v>
      </x:c>
      <x:c r="P95" s="56" t="n">
        <x:v>1.65</x:v>
      </x:c>
      <x:c r="Q95" s="56" t="n">
        <x:v>4.3</x:v>
      </x:c>
      <x:c r="R95" t="str">
        <x:v>Z</x:v>
      </x:c>
      <x:c r="S95" s="102" t="n">
        <x:v>26.1</x:v>
      </x:c>
      <x:c r="T95" t="str">
        <x:v>BELOW MEASUREMENT FLOOR — SEARCH CONTINUES</x:v>
      </x:c>
      <x:c r="U95" t="n">
        <x:v>658</x:v>
      </x:c>
      <x:c r="V95" t="str">
        <x:v>Pasted text(56).txt</x:v>
      </x:c>
    </x:row>
    <x:row r="96">
      <x:c r="A96" t="str">
        <x:v>S03</x:v>
      </x:c>
      <x:c r="B96" t="str">
        <x:v>0.90 validated five-run session</x:v>
      </x:c>
      <x:c r="C96" s="54" t="n">
        <x:v>0.9</x:v>
      </x:c>
      <x:c r="D96" t="n">
        <x:v>1</x:v>
      </x:c>
      <x:c r="E96" t="n">
        <x:v>1</x:v>
      </x:c>
      <x:c r="F96" t="str">
        <x:v>SEARCH</x:v>
      </x:c>
      <x:c r="G96" t="n">
        <x:v>2</x:v>
      </x:c>
      <x:c r="H96" s="54" t="n">
        <x:v>3</x:v>
      </x:c>
      <x:c r="I96" s="54" t="n">
        <x:v>0.14995</x:v>
      </x:c>
      <x:c r="J96" s="54" t="n">
        <x:v>0.1492</x:v>
      </x:c>
      <x:c r="K96" s="54" t="n">
        <x:v>0.05185</x:v>
      </x:c>
      <x:c r="L96" s="54" t="n">
        <x:v>0.0895</x:v>
      </x:c>
      <x:c r="M96" s="54" t="n">
        <x:v>0.18168</x:v>
      </x:c>
      <x:c r="N96" s="56" t="n">
        <x:v>-83.34</x:v>
      </x:c>
      <x:c r="O96" s="56" t="n">
        <x:v>1.49</x:v>
      </x:c>
      <x:c r="P96" s="56" t="n">
        <x:v>0.71</x:v>
      </x:c>
      <x:c r="Q96" s="56" t="n">
        <x:v>54.1</x:v>
      </x:c>
      <x:c r="R96" t="str">
        <x:v>X</x:v>
      </x:c>
      <x:c r="S96" s="102" t="n">
        <x:v>100</x:v>
      </x:c>
      <x:c r="T96" t="str">
        <x:v>VALID</x:v>
      </x:c>
      <x:c r="U96" t="n">
        <x:v>659</x:v>
      </x:c>
      <x:c r="V96" t="str">
        <x:v>Pasted text(56).txt</x:v>
      </x:c>
    </x:row>
    <x:row r="97">
      <x:c r="A97" t="str">
        <x:v>S03</x:v>
      </x:c>
      <x:c r="B97" t="str">
        <x:v>0.90 validated five-run session</x:v>
      </x:c>
      <x:c r="C97" s="54" t="n">
        <x:v>0.9</x:v>
      </x:c>
      <x:c r="D97" t="n">
        <x:v>1</x:v>
      </x:c>
      <x:c r="E97" t="n">
        <x:v>1</x:v>
      </x:c>
      <x:c r="F97" t="str">
        <x:v>SEARCH</x:v>
      </x:c>
      <x:c r="G97" t="n">
        <x:v>3</x:v>
      </x:c>
      <x:c r="H97" s="54" t="n">
        <x:v>5</x:v>
      </x:c>
      <x:c r="I97" s="54" t="n">
        <x:v>0.3652</x:v>
      </x:c>
      <x:c r="J97" s="54" t="n">
        <x:v>0.36783</x:v>
      </x:c>
      <x:c r="K97" s="54" t="n">
        <x:v>0.13227</x:v>
      </x:c>
      <x:c r="L97" s="54" t="n">
        <x:v>0.24528</x:v>
      </x:c>
      <x:c r="M97" s="54" t="n">
        <x:v>0.46157</x:v>
      </x:c>
      <x:c r="N97" s="56" t="n">
        <x:v>-59.42</x:v>
      </x:c>
      <x:c r="O97" s="56" t="n">
        <x:v>1.34</x:v>
      </x:c>
      <x:c r="P97" s="56" t="n">
        <x:v>2.07</x:v>
      </x:c>
      <x:c r="Q97" s="56" t="n">
        <x:v>78.6</x:v>
      </x:c>
      <x:c r="R97" t="str">
        <x:v>X</x:v>
      </x:c>
      <x:c r="S97" s="102" t="n">
        <x:v>100</x:v>
      </x:c>
      <x:c r="T97" t="str">
        <x:v>VALID</x:v>
      </x:c>
      <x:c r="U97" t="n">
        <x:v>660</x:v>
      </x:c>
      <x:c r="V97" t="str">
        <x:v>Pasted text(56).txt</x:v>
      </x:c>
    </x:row>
    <x:row r="98">
      <x:c r="A98" t="str">
        <x:v>S03</x:v>
      </x:c>
      <x:c r="B98" t="str">
        <x:v>0.90 validated five-run session</x:v>
      </x:c>
      <x:c r="C98" s="54" t="n">
        <x:v>0.9</x:v>
      </x:c>
      <x:c r="D98" t="n">
        <x:v>1</x:v>
      </x:c>
      <x:c r="E98" t="n">
        <x:v>1</x:v>
      </x:c>
      <x:c r="F98" t="str">
        <x:v>SEARCH</x:v>
      </x:c>
      <x:c r="G98" t="n">
        <x:v>4</x:v>
      </x:c>
      <x:c r="H98" s="54" t="n">
        <x:v>6</x:v>
      </x:c>
      <x:c r="I98" s="54" t="n">
        <x:v>0.4855</x:v>
      </x:c>
      <x:c r="J98" s="54" t="n">
        <x:v>0.48053</x:v>
      </x:c>
      <x:c r="K98" s="54" t="n">
        <x:v>0.18274</x:v>
      </x:c>
      <x:c r="L98" s="54" t="n">
        <x:v>0.32419</x:v>
      </x:c>
      <x:c r="M98" s="54" t="n">
        <x:v>0.60857</x:v>
      </x:c>
      <x:c r="N98" s="56" t="n">
        <x:v>-46.06</x:v>
      </x:c>
      <x:c r="O98" s="56" t="n">
        <x:v>6.55</x:v>
      </x:c>
      <x:c r="P98" s="56" t="n">
        <x:v>6.08</x:v>
      </x:c>
      <x:c r="Q98" s="56" t="n">
        <x:v>84.5</x:v>
      </x:c>
      <x:c r="R98" t="str">
        <x:v>X</x:v>
      </x:c>
      <x:c r="S98" s="102" t="n">
        <x:v>100</x:v>
      </x:c>
      <x:c r="T98" t="str">
        <x:v>VALID</x:v>
      </x:c>
      <x:c r="U98" t="n">
        <x:v>661</x:v>
      </x:c>
      <x:c r="V98" t="str">
        <x:v>Pasted text(56).txt</x:v>
      </x:c>
    </x:row>
    <x:row r="99">
      <x:c r="A99" t="str">
        <x:v>S03</x:v>
      </x:c>
      <x:c r="B99" t="str">
        <x:v>0.90 validated five-run session</x:v>
      </x:c>
      <x:c r="C99" s="54" t="n">
        <x:v>0.9</x:v>
      </x:c>
      <x:c r="D99" t="n">
        <x:v>1</x:v>
      </x:c>
      <x:c r="E99" t="n">
        <x:v>1</x:v>
      </x:c>
      <x:c r="F99" t="str">
        <x:v>SEARCH</x:v>
      </x:c>
      <x:c r="G99" t="n">
        <x:v>5</x:v>
      </x:c>
      <x:c r="H99" s="54" t="n">
        <x:v>7</x:v>
      </x:c>
      <x:c r="I99" s="54" t="n">
        <x:v>0.62569</x:v>
      </x:c>
      <x:c r="J99" s="54" t="n">
        <x:v>0.627</x:v>
      </x:c>
      <x:c r="K99" s="54" t="n">
        <x:v>0.24823</x:v>
      </x:c>
      <x:c r="L99" s="54" t="n">
        <x:v>0.38206</x:v>
      </x:c>
      <x:c r="M99" s="54" t="n">
        <x:v>0.77595</x:v>
      </x:c>
      <x:c r="N99" s="56" t="n">
        <x:v>-30.48</x:v>
      </x:c>
      <x:c r="O99" s="56" t="n">
        <x:v>3.92</x:v>
      </x:c>
      <x:c r="P99" s="56" t="n">
        <x:v>2.96</x:v>
      </x:c>
      <x:c r="Q99" s="56" t="n">
        <x:v>90.8</x:v>
      </x:c>
      <x:c r="R99" t="str">
        <x:v>X</x:v>
      </x:c>
      <x:c r="S99" s="102" t="n">
        <x:v>100</x:v>
      </x:c>
      <x:c r="T99" t="str">
        <x:v>VALID</x:v>
      </x:c>
      <x:c r="U99" t="n">
        <x:v>662</x:v>
      </x:c>
      <x:c r="V99" t="str">
        <x:v>Pasted text(56).txt</x:v>
      </x:c>
    </x:row>
    <x:row r="100">
      <x:c r="A100" t="str">
        <x:v>S03</x:v>
      </x:c>
      <x:c r="B100" t="str">
        <x:v>0.90 validated five-run session</x:v>
      </x:c>
      <x:c r="C100" s="54" t="n">
        <x:v>0.9</x:v>
      </x:c>
      <x:c r="D100" t="n">
        <x:v>1</x:v>
      </x:c>
      <x:c r="E100" t="n">
        <x:v>1</x:v>
      </x:c>
      <x:c r="F100" t="str">
        <x:v>SEARCH</x:v>
      </x:c>
      <x:c r="G100" t="n">
        <x:v>6</x:v>
      </x:c>
      <x:c r="H100" s="54" t="n">
        <x:v>7.5</x:v>
      </x:c>
      <x:c r="I100" s="54" t="n">
        <x:v>0.65683</x:v>
      </x:c>
      <x:c r="J100" s="54" t="n">
        <x:v>0.65882</x:v>
      </x:c>
      <x:c r="K100" s="54" t="n">
        <x:v>0.25496</x:v>
      </x:c>
      <x:c r="L100" s="54" t="n">
        <x:v>0.41882</x:v>
      </x:c>
      <x:c r="M100" s="54" t="n">
        <x:v>0.82139</x:v>
      </x:c>
      <x:c r="N100" s="56" t="n">
        <x:v>-27.02</x:v>
      </x:c>
      <x:c r="O100" s="56" t="n">
        <x:v>0.95</x:v>
      </x:c>
      <x:c r="P100" s="56" t="n">
        <x:v>1.12</x:v>
      </x:c>
      <x:c r="Q100" s="56" t="n">
        <x:v>89.1</x:v>
      </x:c>
      <x:c r="R100" t="str">
        <x:v>X</x:v>
      </x:c>
      <x:c r="S100" s="102" t="n">
        <x:v>100</x:v>
      </x:c>
      <x:c r="T100" t="str">
        <x:v>VALID</x:v>
      </x:c>
      <x:c r="U100" t="n">
        <x:v>663</x:v>
      </x:c>
      <x:c r="V100" t="str">
        <x:v>Pasted text(56).txt</x:v>
      </x:c>
    </x:row>
    <x:row r="101">
      <x:c r="A101" t="str">
        <x:v>S03</x:v>
      </x:c>
      <x:c r="B101" t="str">
        <x:v>0.90 validated five-run session</x:v>
      </x:c>
      <x:c r="C101" s="54" t="n">
        <x:v>0.9</x:v>
      </x:c>
      <x:c r="D101" t="n">
        <x:v>1</x:v>
      </x:c>
      <x:c r="E101" t="n">
        <x:v>1</x:v>
      </x:c>
      <x:c r="F101" t="str">
        <x:v>SEARCH</x:v>
      </x:c>
      <x:c r="G101" t="n">
        <x:v>7</x:v>
      </x:c>
      <x:c r="H101" s="54" t="n">
        <x:v>8</x:v>
      </x:c>
      <x:c r="I101" s="54" t="n">
        <x:v>0.73516</x:v>
      </x:c>
      <x:c r="J101" s="54" t="n">
        <x:v>0.73184</x:v>
      </x:c>
      <x:c r="K101" s="54" t="n">
        <x:v>0.26301</x:v>
      </x:c>
      <x:c r="L101" s="54" t="n">
        <x:v>0.45209</x:v>
      </x:c>
      <x:c r="M101" s="54" t="n">
        <x:v>0.89981</x:v>
      </x:c>
      <x:c r="N101" s="56" t="n">
        <x:v>-18.32</x:v>
      </x:c>
      <x:c r="O101" s="56" t="n">
        <x:v>0.52</x:v>
      </x:c>
      <x:c r="P101" s="56" t="n">
        <x:v>1.1</x:v>
      </x:c>
      <x:c r="Q101" s="56" t="n">
        <x:v>91.2</x:v>
      </x:c>
      <x:c r="R101" t="str">
        <x:v>X</x:v>
      </x:c>
      <x:c r="S101" s="102" t="n">
        <x:v>100</x:v>
      </x:c>
      <x:c r="T101" t="str">
        <x:v>VALID</x:v>
      </x:c>
      <x:c r="U101" t="n">
        <x:v>664</x:v>
      </x:c>
      <x:c r="V101" t="str">
        <x:v>Pasted text(56).txt</x:v>
      </x:c>
    </x:row>
    <x:row r="102">
      <x:c r="A102" t="str">
        <x:v>S03</x:v>
      </x:c>
      <x:c r="B102" t="str">
        <x:v>0.90 validated five-run session</x:v>
      </x:c>
      <x:c r="C102" s="54" t="n">
        <x:v>0.9</x:v>
      </x:c>
      <x:c r="D102" t="n">
        <x:v>1</x:v>
      </x:c>
      <x:c r="E102" t="n">
        <x:v>1</x:v>
      </x:c>
      <x:c r="F102" t="str">
        <x:v>SEARCH</x:v>
      </x:c>
      <x:c r="G102" t="n">
        <x:v>8</x:v>
      </x:c>
      <x:c r="H102" s="54" t="n">
        <x:v>8.5</x:v>
      </x:c>
      <x:c r="I102" s="54" t="n">
        <x:v>0.76161</x:v>
      </x:c>
      <x:c r="J102" s="54" t="n">
        <x:v>0.76844</x:v>
      </x:c>
      <x:c r="K102" s="54" t="n">
        <x:v>0.2806</x:v>
      </x:c>
      <x:c r="L102" s="54" t="n">
        <x:v>0.47269</x:v>
      </x:c>
      <x:c r="M102" s="54" t="n">
        <x:v>0.945</x:v>
      </x:c>
      <x:c r="N102" s="56" t="n">
        <x:v>-15.38</x:v>
      </x:c>
      <x:c r="O102" s="56" t="n">
        <x:v>1.29</x:v>
      </x:c>
      <x:c r="P102" s="56" t="n">
        <x:v>2.33</x:v>
      </x:c>
      <x:c r="Q102" s="56" t="n">
        <x:v>90.4</x:v>
      </x:c>
      <x:c r="R102" t="str">
        <x:v>X</x:v>
      </x:c>
      <x:c r="S102" s="102" t="n">
        <x:v>100</x:v>
      </x:c>
      <x:c r="T102" t="str">
        <x:v>VALID</x:v>
      </x:c>
      <x:c r="U102" t="n">
        <x:v>665</x:v>
      </x:c>
      <x:c r="V102" t="str">
        <x:v>Pasted text(56).txt</x:v>
      </x:c>
    </x:row>
    <x:row r="103">
      <x:c r="A103" t="str">
        <x:v>S03</x:v>
      </x:c>
      <x:c r="B103" t="str">
        <x:v>0.90 validated five-run session</x:v>
      </x:c>
      <x:c r="C103" s="54" t="n">
        <x:v>0.9</x:v>
      </x:c>
      <x:c r="D103" t="n">
        <x:v>1</x:v>
      </x:c>
      <x:c r="E103" t="n">
        <x:v>1</x:v>
      </x:c>
      <x:c r="F103" t="str">
        <x:v>SEARCH</x:v>
      </x:c>
      <x:c r="G103" t="n">
        <x:v>9</x:v>
      </x:c>
      <x:c r="H103" s="54" t="n">
        <x:v>9</x:v>
      </x:c>
      <x:c r="I103" s="54" t="n">
        <x:v>0.85264</x:v>
      </x:c>
      <x:c r="J103" s="54" t="n">
        <x:v>0.85175</x:v>
      </x:c>
      <x:c r="K103" s="54" t="n">
        <x:v>0.30675</x:v>
      </x:c>
      <x:c r="L103" s="54" t="n">
        <x:v>0.4923</x:v>
      </x:c>
      <x:c r="M103" s="54" t="n">
        <x:v>1.03066</x:v>
      </x:c>
      <x:c r="N103" s="56" t="n">
        <x:v>-5.26</x:v>
      </x:c>
      <x:c r="O103" s="56" t="n">
        <x:v>0.46</x:v>
      </x:c>
      <x:c r="P103" s="56" t="n">
        <x:v>0.48</x:v>
      </x:c>
      <x:c r="Q103" s="56" t="n">
        <x:v>91.7</x:v>
      </x:c>
      <x:c r="R103" t="str">
        <x:v>X</x:v>
      </x:c>
      <x:c r="S103" s="102" t="n">
        <x:v>100</x:v>
      </x:c>
      <x:c r="T103" t="str">
        <x:v>IN TARGET BAND</x:v>
      </x:c>
      <x:c r="U103" t="n">
        <x:v>666</x:v>
      </x:c>
      <x:c r="V103" t="str">
        <x:v>Pasted text(56).txt</x:v>
      </x:c>
    </x:row>
    <x:row r="104">
      <x:c r="A104" t="str">
        <x:v>S03</x:v>
      </x:c>
      <x:c r="B104" t="str">
        <x:v>0.90 validated five-run session</x:v>
      </x:c>
      <x:c r="C104" s="54" t="n">
        <x:v>0.9</x:v>
      </x:c>
      <x:c r="D104" t="n">
        <x:v>1</x:v>
      </x:c>
      <x:c r="E104" t="n">
        <x:v>1</x:v>
      </x:c>
      <x:c r="F104" t="str">
        <x:v>FINE</x:v>
      </x:c>
      <x:c r="G104" t="n">
        <x:v>1</x:v>
      </x:c>
      <x:c r="H104" s="54" t="n">
        <x:v>8</x:v>
      </x:c>
      <x:c r="I104" s="54" t="n">
        <x:v>0.73463</x:v>
      </x:c>
      <x:c r="J104" s="54" t="n">
        <x:v>0.72692</x:v>
      </x:c>
      <x:c r="K104" s="54" t="n">
        <x:v>0.27418</x:v>
      </x:c>
      <x:c r="L104" s="54" t="n">
        <x:v>0.44851</x:v>
      </x:c>
      <x:c r="M104" s="54" t="n">
        <x:v>0.89745</x:v>
      </x:c>
      <x:c r="N104" s="56" t="n">
        <x:v>-18.37</x:v>
      </x:c>
      <x:c r="O104" s="56" t="n">
        <x:v>0.17</x:v>
      </x:c>
      <x:c r="P104" s="56" t="n">
        <x:v>1.94</x:v>
      </x:c>
      <x:c r="Q104" s="56" t="n">
        <x:v>89.5</x:v>
      </x:c>
      <x:c r="R104" t="str">
        <x:v>X</x:v>
      </x:c>
      <x:c r="S104" s="102" t="n">
        <x:v>100</x:v>
      </x:c>
      <x:c r="T104" t="str">
        <x:v>VALID</x:v>
      </x:c>
      <x:c r="U104" t="n">
        <x:v>670</x:v>
      </x:c>
      <x:c r="V104" t="str">
        <x:v>Pasted text(56).txt</x:v>
      </x:c>
    </x:row>
    <x:row r="105">
      <x:c r="A105" t="str">
        <x:v>S03</x:v>
      </x:c>
      <x:c r="B105" t="str">
        <x:v>0.90 validated five-run session</x:v>
      </x:c>
      <x:c r="C105" s="54" t="n">
        <x:v>0.9</x:v>
      </x:c>
      <x:c r="D105" t="n">
        <x:v>1</x:v>
      </x:c>
      <x:c r="E105" t="n">
        <x:v>1</x:v>
      </x:c>
      <x:c r="F105" t="str">
        <x:v>FINE</x:v>
      </x:c>
      <x:c r="G105" t="n">
        <x:v>2</x:v>
      </x:c>
      <x:c r="H105" s="54" t="n">
        <x:v>8.25</x:v>
      </x:c>
      <x:c r="I105" s="54" t="n">
        <x:v>0.73894</x:v>
      </x:c>
      <x:c r="J105" s="54" t="n">
        <x:v>0.73832</x:v>
      </x:c>
      <x:c r="K105" s="54" t="n">
        <x:v>0.27638</x:v>
      </x:c>
      <x:c r="L105" s="54" t="n">
        <x:v>0.46785</x:v>
      </x:c>
      <x:c r="M105" s="54" t="n">
        <x:v>0.91694</x:v>
      </x:c>
      <x:c r="N105" s="56" t="n">
        <x:v>-17.9</x:v>
      </x:c>
      <x:c r="O105" s="56" t="n">
        <x:v>2.66</x:v>
      </x:c>
      <x:c r="P105" s="56" t="n">
        <x:v>1.93</x:v>
      </x:c>
      <x:c r="Q105" s="56" t="n">
        <x:v>89.6</x:v>
      </x:c>
      <x:c r="R105" t="str">
        <x:v>X</x:v>
      </x:c>
      <x:c r="S105" s="102" t="n">
        <x:v>100</x:v>
      </x:c>
      <x:c r="T105" t="str">
        <x:v>VALID</x:v>
      </x:c>
      <x:c r="U105" t="n">
        <x:v>671</x:v>
      </x:c>
      <x:c r="V105" t="str">
        <x:v>Pasted text(56).txt</x:v>
      </x:c>
    </x:row>
    <x:row r="106">
      <x:c r="A106" t="str">
        <x:v>S03</x:v>
      </x:c>
      <x:c r="B106" t="str">
        <x:v>0.90 validated five-run session</x:v>
      </x:c>
      <x:c r="C106" s="54" t="n">
        <x:v>0.9</x:v>
      </x:c>
      <x:c r="D106" t="n">
        <x:v>1</x:v>
      </x:c>
      <x:c r="E106" t="n">
        <x:v>1</x:v>
      </x:c>
      <x:c r="F106" t="str">
        <x:v>FINE</x:v>
      </x:c>
      <x:c r="G106" t="n">
        <x:v>3</x:v>
      </x:c>
      <x:c r="H106" s="54" t="n">
        <x:v>8.5</x:v>
      </x:c>
      <x:c r="I106" s="54" t="n">
        <x:v>0.76418</x:v>
      </x:c>
      <x:c r="J106" s="54" t="n">
        <x:v>0.76648</x:v>
      </x:c>
      <x:c r="K106" s="54" t="n">
        <x:v>0.28885</x:v>
      </x:c>
      <x:c r="L106" s="54" t="n">
        <x:v>0.44708</x:v>
      </x:c>
      <x:c r="M106" s="54" t="n">
        <x:v>0.9334</x:v>
      </x:c>
      <x:c r="N106" s="56" t="n">
        <x:v>-15.09</x:v>
      </x:c>
      <x:c r="O106" s="56" t="n">
        <x:v>0.64</x:v>
      </x:c>
      <x:c r="P106" s="56" t="n">
        <x:v>0.92</x:v>
      </x:c>
      <x:c r="Q106" s="56" t="n">
        <x:v>90.7</x:v>
      </x:c>
      <x:c r="R106" t="str">
        <x:v>X</x:v>
      </x:c>
      <x:c r="S106" s="102" t="n">
        <x:v>100</x:v>
      </x:c>
      <x:c r="T106" t="str">
        <x:v>VALID</x:v>
      </x:c>
      <x:c r="U106" t="n">
        <x:v>672</x:v>
      </x:c>
      <x:c r="V106" t="str">
        <x:v>Pasted text(56).txt</x:v>
      </x:c>
    </x:row>
    <x:row r="107">
      <x:c r="A107" t="str">
        <x:v>S03</x:v>
      </x:c>
      <x:c r="B107" t="str">
        <x:v>0.90 validated five-run session</x:v>
      </x:c>
      <x:c r="C107" s="54" t="n">
        <x:v>0.9</x:v>
      </x:c>
      <x:c r="D107" t="n">
        <x:v>1</x:v>
      </x:c>
      <x:c r="E107" t="n">
        <x:v>1</x:v>
      </x:c>
      <x:c r="F107" t="str">
        <x:v>FINE</x:v>
      </x:c>
      <x:c r="G107" t="n">
        <x:v>4</x:v>
      </x:c>
      <x:c r="H107" s="54" t="n">
        <x:v>8.75</x:v>
      </x:c>
      <x:c r="I107" s="54" t="n">
        <x:v>0.82106</x:v>
      </x:c>
      <x:c r="J107" s="54" t="n">
        <x:v>0.82133</x:v>
      </x:c>
      <x:c r="K107" s="54" t="n">
        <x:v>0.30323</x:v>
      </x:c>
      <x:c r="L107" s="54" t="n">
        <x:v>0.49914</x:v>
      </x:c>
      <x:c r="M107" s="54" t="n">
        <x:v>1.00796</x:v>
      </x:c>
      <x:c r="N107" s="56" t="n">
        <x:v>-8.77</x:v>
      </x:c>
      <x:c r="O107" s="56" t="n">
        <x:v>2.91</x:v>
      </x:c>
      <x:c r="P107" s="56" t="n">
        <x:v>2.01</x:v>
      </x:c>
      <x:c r="Q107" s="56" t="n">
        <x:v>91.3</x:v>
      </x:c>
      <x:c r="R107" t="str">
        <x:v>X</x:v>
      </x:c>
      <x:c r="S107" s="102" t="n">
        <x:v>100</x:v>
      </x:c>
      <x:c r="T107" t="str">
        <x:v>VALID</x:v>
      </x:c>
      <x:c r="U107" t="n">
        <x:v>673</x:v>
      </x:c>
      <x:c r="V107" t="str">
        <x:v>Pasted text(56).txt</x:v>
      </x:c>
    </x:row>
    <x:row r="108">
      <x:c r="A108" t="str">
        <x:v>S03</x:v>
      </x:c>
      <x:c r="B108" t="str">
        <x:v>0.90 validated five-run session</x:v>
      </x:c>
      <x:c r="C108" s="54" t="n">
        <x:v>0.9</x:v>
      </x:c>
      <x:c r="D108" t="n">
        <x:v>1</x:v>
      </x:c>
      <x:c r="E108" t="n">
        <x:v>1</x:v>
      </x:c>
      <x:c r="F108" t="str">
        <x:v>FINE</x:v>
      </x:c>
      <x:c r="G108" t="n">
        <x:v>5</x:v>
      </x:c>
      <x:c r="H108" s="54" t="n">
        <x:v>9</x:v>
      </x:c>
      <x:c r="I108" s="54" t="n">
        <x:v>0.854</x:v>
      </x:c>
      <x:c r="J108" s="54" t="n">
        <x:v>0.85269</x:v>
      </x:c>
      <x:c r="K108" s="54" t="n">
        <x:v>0.31424</x:v>
      </x:c>
      <x:c r="L108" s="54" t="n">
        <x:v>0.52208</x:v>
      </x:c>
      <x:c r="M108" s="54" t="n">
        <x:v>1.04824</x:v>
      </x:c>
      <x:c r="N108" s="56" t="n">
        <x:v>-5.11</x:v>
      </x:c>
      <x:c r="O108" s="56" t="n">
        <x:v>1.38</x:v>
      </x:c>
      <x:c r="P108" s="56" t="n">
        <x:v>1.17</x:v>
      </x:c>
      <x:c r="Q108" s="56" t="n">
        <x:v>91.5</x:v>
      </x:c>
      <x:c r="R108" t="str">
        <x:v>X</x:v>
      </x:c>
      <x:c r="S108" s="102" t="n">
        <x:v>100</x:v>
      </x:c>
      <x:c r="T108" t="str">
        <x:v>IN TARGET BAND</x:v>
      </x:c>
      <x:c r="U108" t="n">
        <x:v>674</x:v>
      </x:c>
      <x:c r="V108" t="str">
        <x:v>Pasted text(56).txt</x:v>
      </x:c>
    </x:row>
    <x:row r="109">
      <x:c r="A109" t="str">
        <x:v>S03</x:v>
      </x:c>
      <x:c r="B109" t="str">
        <x:v>0.90 validated five-run session</x:v>
      </x:c>
      <x:c r="C109" s="54" t="n">
        <x:v>0.9</x:v>
      </x:c>
      <x:c r="D109" t="n">
        <x:v>1</x:v>
      </x:c>
      <x:c r="E109" t="n">
        <x:v>1</x:v>
      </x:c>
      <x:c r="F109" t="str">
        <x:v>FINE</x:v>
      </x:c>
      <x:c r="G109" t="n">
        <x:v>6</x:v>
      </x:c>
      <x:c r="H109" s="54" t="n">
        <x:v>9.25</x:v>
      </x:c>
      <x:c r="I109" s="54" t="n">
        <x:v>0.86932</x:v>
      </x:c>
      <x:c r="J109" s="54" t="n">
        <x:v>0.8698</x:v>
      </x:c>
      <x:c r="K109" s="54" t="n">
        <x:v>0.31787</x:v>
      </x:c>
      <x:c r="L109" s="54" t="n">
        <x:v>0.50367</x:v>
      </x:c>
      <x:c r="M109" s="54" t="n">
        <x:v>1.05425</x:v>
      </x:c>
      <x:c r="N109" s="56" t="n">
        <x:v>-3.41</x:v>
      </x:c>
      <x:c r="O109" s="56" t="n">
        <x:v>1.7</x:v>
      </x:c>
      <x:c r="P109" s="56" t="n">
        <x:v>1.23</x:v>
      </x:c>
      <x:c r="Q109" s="56" t="n">
        <x:v>91.5</x:v>
      </x:c>
      <x:c r="R109" t="str">
        <x:v>X</x:v>
      </x:c>
      <x:c r="S109" s="102" t="n">
        <x:v>100</x:v>
      </x:c>
      <x:c r="T109" t="str">
        <x:v>IN TARGET BAND</x:v>
      </x:c>
      <x:c r="U109" t="n">
        <x:v>675</x:v>
      </x:c>
      <x:c r="V109" t="str">
        <x:v>Pasted text(56).txt</x:v>
      </x:c>
    </x:row>
    <x:row r="110">
      <x:c r="A110" t="str">
        <x:v>S03</x:v>
      </x:c>
      <x:c r="B110" t="str">
        <x:v>0.90 validated five-run session</x:v>
      </x:c>
      <x:c r="C110" s="54" t="n">
        <x:v>0.9</x:v>
      </x:c>
      <x:c r="D110" t="n">
        <x:v>1</x:v>
      </x:c>
      <x:c r="E110" t="n">
        <x:v>1</x:v>
      </x:c>
      <x:c r="F110" t="str">
        <x:v>FINE</x:v>
      </x:c>
      <x:c r="G110" t="n">
        <x:v>7</x:v>
      </x:c>
      <x:c r="H110" s="54" t="n">
        <x:v>9.5</x:v>
      </x:c>
      <x:c r="I110" s="54" t="n">
        <x:v>0.88999</x:v>
      </x:c>
      <x:c r="J110" s="54" t="n">
        <x:v>0.89253</x:v>
      </x:c>
      <x:c r="K110" s="54" t="n">
        <x:v>0.32978</x:v>
      </x:c>
      <x:c r="L110" s="54" t="n">
        <x:v>0.5356</x:v>
      </x:c>
      <x:c r="M110" s="54" t="n">
        <x:v>1.09199</x:v>
      </x:c>
      <x:c r="N110" s="56" t="n">
        <x:v>-1.11</x:v>
      </x:c>
      <x:c r="O110" s="56" t="n">
        <x:v>0.5</x:v>
      </x:c>
      <x:c r="P110" s="56" t="n">
        <x:v>0.8</x:v>
      </x:c>
      <x:c r="Q110" s="56" t="n">
        <x:v>90.2</x:v>
      </x:c>
      <x:c r="R110" t="str">
        <x:v>X</x:v>
      </x:c>
      <x:c r="S110" s="102" t="n">
        <x:v>100</x:v>
      </x:c>
      <x:c r="T110" t="str">
        <x:v>IN TARGET BAND</x:v>
      </x:c>
      <x:c r="U110" t="n">
        <x:v>676</x:v>
      </x:c>
      <x:c r="V110" t="str">
        <x:v>Pasted text(56).txt</x:v>
      </x:c>
    </x:row>
    <x:row r="111">
      <x:c r="A111" t="str">
        <x:v>S03</x:v>
      </x:c>
      <x:c r="B111" t="str">
        <x:v>0.90 validated five-run session</x:v>
      </x:c>
      <x:c r="C111" s="54" t="n">
        <x:v>0.9</x:v>
      </x:c>
      <x:c r="D111" t="n">
        <x:v>1</x:v>
      </x:c>
      <x:c r="E111" t="n">
        <x:v>1</x:v>
      </x:c>
      <x:c r="F111" t="str">
        <x:v>FINE</x:v>
      </x:c>
      <x:c r="G111" t="n">
        <x:v>8</x:v>
      </x:c>
      <x:c r="H111" s="54" t="n">
        <x:v>9.75</x:v>
      </x:c>
      <x:c r="I111" s="54" t="n">
        <x:v>0.96411</x:v>
      </x:c>
      <x:c r="J111" s="54" t="n">
        <x:v>0.96518</x:v>
      </x:c>
      <x:c r="K111" s="54" t="n">
        <x:v>0.34118</x:v>
      </x:c>
      <x:c r="L111" s="54" t="n">
        <x:v>0.55428</x:v>
      </x:c>
      <x:c r="M111" s="54" t="n">
        <x:v>1.16428</x:v>
      </x:c>
      <x:c r="N111" s="56" t="n">
        <x:v>7.12</x:v>
      </x:c>
      <x:c r="O111" s="56" t="n">
        <x:v>0.52</x:v>
      </x:c>
      <x:c r="P111" s="56" t="n">
        <x:v>0.53</x:v>
      </x:c>
      <x:c r="Q111" s="56" t="n">
        <x:v>92.6</x:v>
      </x:c>
      <x:c r="R111" t="str">
        <x:v>X</x:v>
      </x:c>
      <x:c r="S111" s="102" t="n">
        <x:v>100</x:v>
      </x:c>
      <x:c r="T111" t="str">
        <x:v>IN TARGET BAND</x:v>
      </x:c>
      <x:c r="U111" t="n">
        <x:v>677</x:v>
      </x:c>
      <x:c r="V111" t="str">
        <x:v>Pasted text(56).txt</x:v>
      </x:c>
    </x:row>
    <x:row r="112">
      <x:c r="A112" t="str">
        <x:v>S03</x:v>
      </x:c>
      <x:c r="B112" t="str">
        <x:v>0.90 validated five-run session</x:v>
      </x:c>
      <x:c r="C112" s="54" t="n">
        <x:v>0.9</x:v>
      </x:c>
      <x:c r="D112" t="n">
        <x:v>1</x:v>
      </x:c>
      <x:c r="E112" t="n">
        <x:v>1</x:v>
      </x:c>
      <x:c r="F112" t="str">
        <x:v>FINE</x:v>
      </x:c>
      <x:c r="G112" t="n">
        <x:v>9</x:v>
      </x:c>
      <x:c r="H112" s="54" t="n">
        <x:v>10</x:v>
      </x:c>
      <x:c r="I112" s="54" t="n">
        <x:v>0.97509</x:v>
      </x:c>
      <x:c r="J112" s="54" t="n">
        <x:v>0.97447</x:v>
      </x:c>
      <x:c r="K112" s="54" t="n">
        <x:v>0.34213</x:v>
      </x:c>
      <x:c r="L112" s="54" t="n">
        <x:v>0.56824</x:v>
      </x:c>
      <x:c r="M112" s="54" t="n">
        <x:v>1.17894</x:v>
      </x:c>
      <x:c r="N112" s="56" t="n">
        <x:v>8.34</x:v>
      </x:c>
      <x:c r="O112" s="56" t="n">
        <x:v>1.48</x:v>
      </x:c>
      <x:c r="P112" s="56" t="n">
        <x:v>1.09</x:v>
      </x:c>
      <x:c r="Q112" s="56" t="n">
        <x:v>91.8</x:v>
      </x:c>
      <x:c r="R112" t="str">
        <x:v>X</x:v>
      </x:c>
      <x:c r="S112" s="102" t="n">
        <x:v>100</x:v>
      </x:c>
      <x:c r="T112" t="str">
        <x:v>VALID</x:v>
      </x:c>
      <x:c r="U112" t="n">
        <x:v>678</x:v>
      </x:c>
      <x:c r="V112" t="str">
        <x:v>Pasted text(56).txt</x:v>
      </x:c>
    </x:row>
    <x:row r="113">
      <x:c r="A113" t="str">
        <x:v>S03</x:v>
      </x:c>
      <x:c r="B113" t="str">
        <x:v>0.90 validated five-run session</x:v>
      </x:c>
      <x:c r="C113" s="54" t="n">
        <x:v>0.9</x:v>
      </x:c>
      <x:c r="D113" t="n">
        <x:v>1</x:v>
      </x:c>
      <x:c r="E113" t="n">
        <x:v>1</x:v>
      </x:c>
      <x:c r="F113" t="str">
        <x:v>FINAL</x:v>
      </x:c>
      <x:c r="G113" t="n">
        <x:v>1</x:v>
      </x:c>
      <x:c r="H113" s="54" t="n">
        <x:v>9.5</x:v>
      </x:c>
      <x:c r="I113" s="54" t="n">
        <x:v>0.89455</x:v>
      </x:c>
      <x:c r="J113" s="54" t="n">
        <x:v>0.89415</x:v>
      </x:c>
      <x:c r="K113" s="54" t="n">
        <x:v>0.32391</x:v>
      </x:c>
      <x:c r="L113" s="54" t="n">
        <x:v>0.52794</x:v>
      </x:c>
      <x:c r="M113" s="54" t="n">
        <x:v>1.08807</x:v>
      </x:c>
      <x:c r="N113" s="56" t="n">
        <x:v>-0.61</x:v>
      </x:c>
      <x:c r="O113" s="56" t="n">
        <x:v>2.69</x:v>
      </x:c>
      <x:c r="P113" s="56" t="n">
        <x:v>2.45</x:v>
      </x:c>
      <x:c r="Q113" s="56" t="n">
        <x:v>91.2</x:v>
      </x:c>
      <x:c r="R113" t="str">
        <x:v>X</x:v>
      </x:c>
      <x:c r="S113" s="102" t="n">
        <x:v>100</x:v>
      </x:c>
      <x:c r="T113" t="str">
        <x:v>IN TARGET BAND</x:v>
      </x:c>
      <x:c r="U113" t="n">
        <x:v>681</x:v>
      </x:c>
      <x:c r="V113" t="str">
        <x:v>Pasted text(56).txt</x:v>
      </x:c>
    </x:row>
    <x:row r="114">
      <x:c r="A114" t="str">
        <x:v>S03</x:v>
      </x:c>
      <x:c r="B114" t="str">
        <x:v>0.90 validated five-run session</x:v>
      </x:c>
      <x:c r="C114" s="54" t="n">
        <x:v>0.9</x:v>
      </x:c>
      <x:c r="D114" t="n">
        <x:v>1</x:v>
      </x:c>
      <x:c r="E114" t="n">
        <x:v>1</x:v>
      </x:c>
      <x:c r="F114" t="str">
        <x:v>FINAL</x:v>
      </x:c>
      <x:c r="G114" t="n">
        <x:v>2</x:v>
      </x:c>
      <x:c r="H114" s="54" t="n">
        <x:v>9.5</x:v>
      </x:c>
      <x:c r="I114" s="54" t="n">
        <x:v>0.90382</x:v>
      </x:c>
      <x:c r="J114" s="54" t="n">
        <x:v>0.90295</x:v>
      </x:c>
      <x:c r="K114" s="54" t="n">
        <x:v>0.3211</x:v>
      </x:c>
      <x:c r="L114" s="54" t="n">
        <x:v>0.51793</x:v>
      </x:c>
      <x:c r="M114" s="54" t="n">
        <x:v>1.08954</x:v>
      </x:c>
      <x:c r="N114" s="56" t="n">
        <x:v>0.42</x:v>
      </x:c>
      <x:c r="O114" s="56" t="n">
        <x:v>2.17</x:v>
      </x:c>
      <x:c r="P114" s="56" t="n">
        <x:v>2.33</x:v>
      </x:c>
      <x:c r="Q114" s="56" t="n">
        <x:v>92.1</x:v>
      </x:c>
      <x:c r="R114" t="str">
        <x:v>X</x:v>
      </x:c>
      <x:c r="S114" s="102" t="n">
        <x:v>100</x:v>
      </x:c>
      <x:c r="T114" t="str">
        <x:v>IN TARGET BAND</x:v>
      </x:c>
      <x:c r="U114" t="n">
        <x:v>682</x:v>
      </x:c>
      <x:c r="V114" t="str">
        <x:v>Pasted text(56).txt</x:v>
      </x:c>
    </x:row>
    <x:row r="115">
      <x:c r="A115" t="str">
        <x:v>S03</x:v>
      </x:c>
      <x:c r="B115" t="str">
        <x:v>0.90 validated five-run session</x:v>
      </x:c>
      <x:c r="C115" s="54" t="n">
        <x:v>0.9</x:v>
      </x:c>
      <x:c r="D115" t="n">
        <x:v>2</x:v>
      </x:c>
      <x:c r="E115" t="n">
        <x:v>1</x:v>
      </x:c>
      <x:c r="F115" t="str">
        <x:v>SEARCH</x:v>
      </x:c>
      <x:c r="G115" t="n">
        <x:v>1</x:v>
      </x:c>
      <x:c r="H115" s="54" t="n">
        <x:v>1</x:v>
      </x:c>
      <x:c r="I115" s="54" t="n">
        <x:v>0.02796</x:v>
      </x:c>
      <x:c r="J115" s="54" t="n">
        <x:v>0.0292</x:v>
      </x:c>
      <x:c r="K115" s="54" t="n">
        <x:v>0.0138</x:v>
      </x:c>
      <x:c r="L115" s="54" t="n">
        <x:v>0.03129</x:v>
      </x:c>
      <x:c r="M115" s="54" t="n">
        <x:v>0.04633</x:v>
      </x:c>
      <x:c r="N115" s="56" t="n">
        <x:v>-96.89</x:v>
      </x:c>
      <x:c r="O115" s="56" t="n">
        <x:v>13.16</x:v>
      </x:c>
      <x:c r="P115" s="56" t="n">
        <x:v>6.01</x:v>
      </x:c>
      <x:c r="Q115" s="56" t="n">
        <x:v>15.3</x:v>
      </x:c>
      <x:c r="R115" t="str">
        <x:v>Z</x:v>
      </x:c>
      <x:c r="S115" s="102" t="n">
        <x:v>93.3</x:v>
      </x:c>
      <x:c r="T115" t="str">
        <x:v>BELOW MEASUREMENT FLOOR — SEARCH CONTINUES</x:v>
      </x:c>
      <x:c r="U115" t="n">
        <x:v>738</x:v>
      </x:c>
      <x:c r="V115" t="str">
        <x:v>Pasted text(56).txt</x:v>
      </x:c>
    </x:row>
    <x:row r="116">
      <x:c r="A116" t="str">
        <x:v>S03</x:v>
      </x:c>
      <x:c r="B116" t="str">
        <x:v>0.90 validated five-run session</x:v>
      </x:c>
      <x:c r="C116" s="54" t="n">
        <x:v>0.9</x:v>
      </x:c>
      <x:c r="D116" t="n">
        <x:v>2</x:v>
      </x:c>
      <x:c r="E116" t="n">
        <x:v>1</x:v>
      </x:c>
      <x:c r="F116" t="str">
        <x:v>SEARCH</x:v>
      </x:c>
      <x:c r="G116" t="n">
        <x:v>2</x:v>
      </x:c>
      <x:c r="H116" s="54" t="n">
        <x:v>3</x:v>
      </x:c>
      <x:c r="I116" s="54" t="n">
        <x:v>0.17259</x:v>
      </x:c>
      <x:c r="J116" s="54" t="n">
        <x:v>0.16516</x:v>
      </x:c>
      <x:c r="K116" s="54" t="n">
        <x:v>0.05921</x:v>
      </x:c>
      <x:c r="L116" s="54" t="n">
        <x:v>0.12699</x:v>
      </x:c>
      <x:c r="M116" s="54" t="n">
        <x:v>0.21756</x:v>
      </x:c>
      <x:c r="N116" s="56" t="n">
        <x:v>-80.82</x:v>
      </x:c>
      <x:c r="O116" s="56" t="n">
        <x:v>5.34</x:v>
      </x:c>
      <x:c r="P116" s="56" t="n">
        <x:v>11.21</x:v>
      </x:c>
      <x:c r="Q116" s="56" t="n">
        <x:v>57.7</x:v>
      </x:c>
      <x:c r="R116" t="str">
        <x:v>X</x:v>
      </x:c>
      <x:c r="S116" s="102" t="n">
        <x:v>100</x:v>
      </x:c>
      <x:c r="T116" t="str">
        <x:v>VALID</x:v>
      </x:c>
      <x:c r="U116" t="n">
        <x:v>739</x:v>
      </x:c>
      <x:c r="V116" t="str">
        <x:v>Pasted text(56).txt</x:v>
      </x:c>
    </x:row>
    <x:row r="117">
      <x:c r="A117" t="str">
        <x:v>S03</x:v>
      </x:c>
      <x:c r="B117" t="str">
        <x:v>0.90 validated five-run session</x:v>
      </x:c>
      <x:c r="C117" s="54" t="n">
        <x:v>0.9</x:v>
      </x:c>
      <x:c r="D117" t="n">
        <x:v>2</x:v>
      </x:c>
      <x:c r="E117" t="n">
        <x:v>1</x:v>
      </x:c>
      <x:c r="F117" t="str">
        <x:v>SEARCH</x:v>
      </x:c>
      <x:c r="G117" t="n">
        <x:v>3</x:v>
      </x:c>
      <x:c r="H117" s="54" t="n">
        <x:v>5</x:v>
      </x:c>
      <x:c r="I117" s="54" t="n">
        <x:v>0.39057</x:v>
      </x:c>
      <x:c r="J117" s="54" t="n">
        <x:v>0.39019</x:v>
      </x:c>
      <x:c r="K117" s="54" t="n">
        <x:v>0.15675</x:v>
      </x:c>
      <x:c r="L117" s="54" t="n">
        <x:v>0.251</x:v>
      </x:c>
      <x:c r="M117" s="54" t="n">
        <x:v>0.48994</x:v>
      </x:c>
      <x:c r="N117" s="56" t="n">
        <x:v>-56.6</x:v>
      </x:c>
      <x:c r="O117" s="56" t="n">
        <x:v>0.25</x:v>
      </x:c>
      <x:c r="P117" s="56" t="n">
        <x:v>0.33</x:v>
      </x:c>
      <x:c r="Q117" s="56" t="n">
        <x:v>81.9</x:v>
      </x:c>
      <x:c r="R117" t="str">
        <x:v>X</x:v>
      </x:c>
      <x:c r="S117" s="102" t="n">
        <x:v>100</x:v>
      </x:c>
      <x:c r="T117" t="str">
        <x:v>VALID</x:v>
      </x:c>
      <x:c r="U117" t="n">
        <x:v>740</x:v>
      </x:c>
      <x:c r="V117" t="str">
        <x:v>Pasted text(56).txt</x:v>
      </x:c>
    </x:row>
    <x:row r="118">
      <x:c r="A118" t="str">
        <x:v>S03</x:v>
      </x:c>
      <x:c r="B118" t="str">
        <x:v>0.90 validated five-run session</x:v>
      </x:c>
      <x:c r="C118" s="54" t="n">
        <x:v>0.9</x:v>
      </x:c>
      <x:c r="D118" t="n">
        <x:v>2</x:v>
      </x:c>
      <x:c r="E118" t="n">
        <x:v>1</x:v>
      </x:c>
      <x:c r="F118" t="str">
        <x:v>SEARCH</x:v>
      </x:c>
      <x:c r="G118" t="n">
        <x:v>4</x:v>
      </x:c>
      <x:c r="H118" s="54" t="n">
        <x:v>6</x:v>
      </x:c>
      <x:c r="I118" s="54" t="n">
        <x:v>0.50043</x:v>
      </x:c>
      <x:c r="J118" s="54" t="n">
        <x:v>0.5001</x:v>
      </x:c>
      <x:c r="K118" s="54" t="n">
        <x:v>0.17212</x:v>
      </x:c>
      <x:c r="L118" s="54" t="n">
        <x:v>0.31633</x:v>
      </x:c>
      <x:c r="M118" s="54" t="n">
        <x:v>0.61647</x:v>
      </x:c>
      <x:c r="N118" s="56" t="n">
        <x:v>-44.4</x:v>
      </x:c>
      <x:c r="O118" s="56" t="n">
        <x:v>4.23</x:v>
      </x:c>
      <x:c r="P118" s="56" t="n">
        <x:v>2.95</x:v>
      </x:c>
      <x:c r="Q118" s="56" t="n">
        <x:v>84.7</x:v>
      </x:c>
      <x:c r="R118" t="str">
        <x:v>X</x:v>
      </x:c>
      <x:c r="S118" s="102" t="n">
        <x:v>100</x:v>
      </x:c>
      <x:c r="T118" t="str">
        <x:v>VALID</x:v>
      </x:c>
      <x:c r="U118" t="n">
        <x:v>741</x:v>
      </x:c>
      <x:c r="V118" t="str">
        <x:v>Pasted text(56).txt</x:v>
      </x:c>
    </x:row>
    <x:row r="119">
      <x:c r="A119" t="str">
        <x:v>S03</x:v>
      </x:c>
      <x:c r="B119" t="str">
        <x:v>0.90 validated five-run session</x:v>
      </x:c>
      <x:c r="C119" s="54" t="n">
        <x:v>0.9</x:v>
      </x:c>
      <x:c r="D119" t="n">
        <x:v>2</x:v>
      </x:c>
      <x:c r="E119" t="n">
        <x:v>1</x:v>
      </x:c>
      <x:c r="F119" t="str">
        <x:v>SEARCH</x:v>
      </x:c>
      <x:c r="G119" t="n">
        <x:v>5</x:v>
      </x:c>
      <x:c r="H119" s="54" t="n">
        <x:v>7</x:v>
      </x:c>
      <x:c r="I119" s="54" t="n">
        <x:v>0.61855</x:v>
      </x:c>
      <x:c r="J119" s="54" t="n">
        <x:v>0.62063</x:v>
      </x:c>
      <x:c r="K119" s="54" t="n">
        <x:v>0.21873</x:v>
      </x:c>
      <x:c r="L119" s="54" t="n">
        <x:v>0.39687</x:v>
      </x:c>
      <x:c r="M119" s="54" t="n">
        <x:v>0.76856</x:v>
      </x:c>
      <x:c r="N119" s="56" t="n">
        <x:v>-31.27</x:v>
      </x:c>
      <x:c r="O119" s="56" t="n">
        <x:v>0.56</x:v>
      </x:c>
      <x:c r="P119" s="56" t="n">
        <x:v>0.93</x:v>
      </x:c>
      <x:c r="Q119" s="56" t="n">
        <x:v>89.8</x:v>
      </x:c>
      <x:c r="R119" t="str">
        <x:v>X</x:v>
      </x:c>
      <x:c r="S119" s="102" t="n">
        <x:v>100</x:v>
      </x:c>
      <x:c r="T119" t="str">
        <x:v>VALID</x:v>
      </x:c>
      <x:c r="U119" t="n">
        <x:v>742</x:v>
      </x:c>
      <x:c r="V119" t="str">
        <x:v>Pasted text(56).txt</x:v>
      </x:c>
    </x:row>
    <x:row r="120">
      <x:c r="A120" t="str">
        <x:v>S03</x:v>
      </x:c>
      <x:c r="B120" t="str">
        <x:v>0.90 validated five-run session</x:v>
      </x:c>
      <x:c r="C120" s="54" t="n">
        <x:v>0.9</x:v>
      </x:c>
      <x:c r="D120" t="n">
        <x:v>2</x:v>
      </x:c>
      <x:c r="E120" t="n">
        <x:v>1</x:v>
      </x:c>
      <x:c r="F120" t="str">
        <x:v>SEARCH</x:v>
      </x:c>
      <x:c r="G120" t="n">
        <x:v>6</x:v>
      </x:c>
      <x:c r="H120" s="54" t="n">
        <x:v>7.5</x:v>
      </x:c>
      <x:c r="I120" s="54" t="n">
        <x:v>0.68496</x:v>
      </x:c>
      <x:c r="J120" s="54" t="n">
        <x:v>0.67551</x:v>
      </x:c>
      <x:c r="K120" s="54" t="n">
        <x:v>0.24241</x:v>
      </x:c>
      <x:c r="L120" s="54" t="n">
        <x:v>0.42212</x:v>
      </x:c>
      <x:c r="M120" s="54" t="n">
        <x:v>0.83304</x:v>
      </x:c>
      <x:c r="N120" s="56" t="n">
        <x:v>-23.89</x:v>
      </x:c>
      <x:c r="O120" s="56" t="n">
        <x:v>1.19</x:v>
      </x:c>
      <x:c r="P120" s="56" t="n">
        <x:v>3.15</x:v>
      </x:c>
      <x:c r="Q120" s="56" t="n">
        <x:v>90.7</x:v>
      </x:c>
      <x:c r="R120" t="str">
        <x:v>X</x:v>
      </x:c>
      <x:c r="S120" s="102" t="n">
        <x:v>100</x:v>
      </x:c>
      <x:c r="T120" t="str">
        <x:v>VALID</x:v>
      </x:c>
      <x:c r="U120" t="n">
        <x:v>743</x:v>
      </x:c>
      <x:c r="V120" t="str">
        <x:v>Pasted text(56).txt</x:v>
      </x:c>
    </x:row>
    <x:row r="121">
      <x:c r="A121" t="str">
        <x:v>S03</x:v>
      </x:c>
      <x:c r="B121" t="str">
        <x:v>0.90 validated five-run session</x:v>
      </x:c>
      <x:c r="C121" s="54" t="n">
        <x:v>0.9</x:v>
      </x:c>
      <x:c r="D121" t="n">
        <x:v>2</x:v>
      </x:c>
      <x:c r="E121" t="n">
        <x:v>1</x:v>
      </x:c>
      <x:c r="F121" t="str">
        <x:v>SEARCH</x:v>
      </x:c>
      <x:c r="G121" t="n">
        <x:v>7</x:v>
      </x:c>
      <x:c r="H121" s="54" t="n">
        <x:v>8</x:v>
      </x:c>
      <x:c r="I121" s="54" t="n">
        <x:v>0.75324</x:v>
      </x:c>
      <x:c r="J121" s="54" t="n">
        <x:v>0.75958</x:v>
      </x:c>
      <x:c r="K121" s="54" t="n">
        <x:v>0.28541</x:v>
      </x:c>
      <x:c r="L121" s="54" t="n">
        <x:v>0.44812</x:v>
      </x:c>
      <x:c r="M121" s="54" t="n">
        <x:v>0.92783</x:v>
      </x:c>
      <x:c r="N121" s="56" t="n">
        <x:v>-16.31</x:v>
      </x:c>
      <x:c r="O121" s="56" t="n">
        <x:v>2.26</x:v>
      </x:c>
      <x:c r="P121" s="56" t="n">
        <x:v>2.86</x:v>
      </x:c>
      <x:c r="Q121" s="56" t="n">
        <x:v>90.5</x:v>
      </x:c>
      <x:c r="R121" t="str">
        <x:v>X</x:v>
      </x:c>
      <x:c r="S121" s="102" t="n">
        <x:v>100</x:v>
      </x:c>
      <x:c r="T121" t="str">
        <x:v>VALID</x:v>
      </x:c>
      <x:c r="U121" t="n">
        <x:v>744</x:v>
      </x:c>
      <x:c r="V121" t="str">
        <x:v>Pasted text(56).txt</x:v>
      </x:c>
    </x:row>
    <x:row r="122">
      <x:c r="A122" t="str">
        <x:v>S03</x:v>
      </x:c>
      <x:c r="B122" t="str">
        <x:v>0.90 validated five-run session</x:v>
      </x:c>
      <x:c r="C122" s="54" t="n">
        <x:v>0.9</x:v>
      </x:c>
      <x:c r="D122" t="n">
        <x:v>2</x:v>
      </x:c>
      <x:c r="E122" t="n">
        <x:v>1</x:v>
      </x:c>
      <x:c r="F122" t="str">
        <x:v>SEARCH</x:v>
      </x:c>
      <x:c r="G122" t="n">
        <x:v>8</x:v>
      </x:c>
      <x:c r="H122" s="54" t="n">
        <x:v>8.5</x:v>
      </x:c>
      <x:c r="I122" s="54" t="n">
        <x:v>0.76569</x:v>
      </x:c>
      <x:c r="J122" s="54" t="n">
        <x:v>0.76813</x:v>
      </x:c>
      <x:c r="K122" s="54" t="n">
        <x:v>0.26699</x:v>
      </x:c>
      <x:c r="L122" s="54" t="n">
        <x:v>0.45203</x:v>
      </x:c>
      <x:c r="M122" s="54" t="n">
        <x:v>0.93076</x:v>
      </x:c>
      <x:c r="N122" s="56" t="n">
        <x:v>-14.92</x:v>
      </x:c>
      <x:c r="O122" s="56" t="n">
        <x:v>0.31</x:v>
      </x:c>
      <x:c r="P122" s="56" t="n">
        <x:v>0.74</x:v>
      </x:c>
      <x:c r="Q122" s="56" t="n">
        <x:v>88.9</x:v>
      </x:c>
      <x:c r="R122" t="str">
        <x:v>X</x:v>
      </x:c>
      <x:c r="S122" s="102" t="n">
        <x:v>100</x:v>
      </x:c>
      <x:c r="T122" t="str">
        <x:v>VALID</x:v>
      </x:c>
      <x:c r="U122" t="n">
        <x:v>745</x:v>
      </x:c>
      <x:c r="V122" t="str">
        <x:v>Pasted text(56).txt</x:v>
      </x:c>
    </x:row>
    <x:row r="123">
      <x:c r="A123" t="str">
        <x:v>S03</x:v>
      </x:c>
      <x:c r="B123" t="str">
        <x:v>0.90 validated five-run session</x:v>
      </x:c>
      <x:c r="C123" s="54" t="n">
        <x:v>0.9</x:v>
      </x:c>
      <x:c r="D123" t="n">
        <x:v>2</x:v>
      </x:c>
      <x:c r="E123" t="n">
        <x:v>1</x:v>
      </x:c>
      <x:c r="F123" t="str">
        <x:v>SEARCH</x:v>
      </x:c>
      <x:c r="G123" t="n">
        <x:v>9</x:v>
      </x:c>
      <x:c r="H123" s="54" t="n">
        <x:v>8.75</x:v>
      </x:c>
      <x:c r="I123" s="54" t="n">
        <x:v>0.84742</x:v>
      </x:c>
      <x:c r="J123" s="54" t="n">
        <x:v>0.84624</x:v>
      </x:c>
      <x:c r="K123" s="54" t="n">
        <x:v>0.28764</x:v>
      </x:c>
      <x:c r="L123" s="54" t="n">
        <x:v>0.50859</x:v>
      </x:c>
      <x:c r="M123" s="54" t="n">
        <x:v>1.02847</x:v>
      </x:c>
      <x:c r="N123" s="56" t="n">
        <x:v>-5.84</x:v>
      </x:c>
      <x:c r="O123" s="56" t="n">
        <x:v>0.66</x:v>
      </x:c>
      <x:c r="P123" s="56" t="n">
        <x:v>0.67</x:v>
      </x:c>
      <x:c r="Q123" s="56" t="n">
        <x:v>92.3</x:v>
      </x:c>
      <x:c r="R123" t="str">
        <x:v>X</x:v>
      </x:c>
      <x:c r="S123" s="102" t="n">
        <x:v>100</x:v>
      </x:c>
      <x:c r="T123" t="str">
        <x:v>IN TARGET BAND</x:v>
      </x:c>
      <x:c r="U123" t="n">
        <x:v>746</x:v>
      </x:c>
      <x:c r="V123" t="str">
        <x:v>Pasted text(56).txt</x:v>
      </x:c>
    </x:row>
    <x:row r="124">
      <x:c r="A124" t="str">
        <x:v>S03</x:v>
      </x:c>
      <x:c r="B124" t="str">
        <x:v>0.90 validated five-run session</x:v>
      </x:c>
      <x:c r="C124" s="54" t="n">
        <x:v>0.9</x:v>
      </x:c>
      <x:c r="D124" t="n">
        <x:v>2</x:v>
      </x:c>
      <x:c r="E124" t="n">
        <x:v>1</x:v>
      </x:c>
      <x:c r="F124" t="str">
        <x:v>FINE</x:v>
      </x:c>
      <x:c r="G124" t="n">
        <x:v>1</x:v>
      </x:c>
      <x:c r="H124" s="54" t="n">
        <x:v>7.75</x:v>
      </x:c>
      <x:c r="I124" s="54" t="n">
        <x:v>0.70847</x:v>
      </x:c>
      <x:c r="J124" s="54" t="n">
        <x:v>0.70954</x:v>
      </x:c>
      <x:c r="K124" s="54" t="n">
        <x:v>0.25507</x:v>
      </x:c>
      <x:c r="L124" s="54" t="n">
        <x:v>0.41903</x:v>
      </x:c>
      <x:c r="M124" s="54" t="n">
        <x:v>0.86263</x:v>
      </x:c>
      <x:c r="N124" s="56" t="n">
        <x:v>-21.28</x:v>
      </x:c>
      <x:c r="O124" s="56" t="n">
        <x:v>1.65</x:v>
      </x:c>
      <x:c r="P124" s="56" t="n">
        <x:v>1.34</x:v>
      </x:c>
      <x:c r="Q124" s="56" t="n">
        <x:v>90.1</x:v>
      </x:c>
      <x:c r="R124" t="str">
        <x:v>X</x:v>
      </x:c>
      <x:c r="S124" s="102" t="n">
        <x:v>100</x:v>
      </x:c>
      <x:c r="T124" t="str">
        <x:v>VALID</x:v>
      </x:c>
      <x:c r="U124" t="n">
        <x:v>750</x:v>
      </x:c>
      <x:c r="V124" t="str">
        <x:v>Pasted text(56).txt</x:v>
      </x:c>
    </x:row>
    <x:row r="125">
      <x:c r="A125" t="str">
        <x:v>S03</x:v>
      </x:c>
      <x:c r="B125" t="str">
        <x:v>0.90 validated five-run session</x:v>
      </x:c>
      <x:c r="C125" s="54" t="n">
        <x:v>0.9</x:v>
      </x:c>
      <x:c r="D125" t="n">
        <x:v>2</x:v>
      </x:c>
      <x:c r="E125" t="n">
        <x:v>1</x:v>
      </x:c>
      <x:c r="F125" t="str">
        <x:v>FINE</x:v>
      </x:c>
      <x:c r="G125" t="n">
        <x:v>2</x:v>
      </x:c>
      <x:c r="H125" s="54" t="n">
        <x:v>8</x:v>
      </x:c>
      <x:c r="I125" s="54" t="n">
        <x:v>0.74135</x:v>
      </x:c>
      <x:c r="J125" s="54" t="n">
        <x:v>0.74171</x:v>
      </x:c>
      <x:c r="K125" s="54" t="n">
        <x:v>0.24653</x:v>
      </x:c>
      <x:c r="L125" s="54" t="n">
        <x:v>0.43601</x:v>
      </x:c>
      <x:c r="M125" s="54" t="n">
        <x:v>0.89557</x:v>
      </x:c>
      <x:c r="N125" s="56" t="n">
        <x:v>-17.63</x:v>
      </x:c>
      <x:c r="O125" s="56" t="n">
        <x:v>3.19</x:v>
      </x:c>
      <x:c r="P125" s="56" t="n">
        <x:v>2.22</x:v>
      </x:c>
      <x:c r="Q125" s="56" t="n">
        <x:v>90.7</x:v>
      </x:c>
      <x:c r="R125" t="str">
        <x:v>X</x:v>
      </x:c>
      <x:c r="S125" s="102" t="n">
        <x:v>100</x:v>
      </x:c>
      <x:c r="T125" t="str">
        <x:v>VALID</x:v>
      </x:c>
      <x:c r="U125" t="n">
        <x:v>751</x:v>
      </x:c>
      <x:c r="V125" t="str">
        <x:v>Pasted text(56).txt</x:v>
      </x:c>
    </x:row>
    <x:row r="126">
      <x:c r="A126" t="str">
        <x:v>S03</x:v>
      </x:c>
      <x:c r="B126" t="str">
        <x:v>0.90 validated five-run session</x:v>
      </x:c>
      <x:c r="C126" s="54" t="n">
        <x:v>0.9</x:v>
      </x:c>
      <x:c r="D126" t="n">
        <x:v>2</x:v>
      </x:c>
      <x:c r="E126" t="n">
        <x:v>1</x:v>
      </x:c>
      <x:c r="F126" t="str">
        <x:v>FINE</x:v>
      </x:c>
      <x:c r="G126" t="n">
        <x:v>3</x:v>
      </x:c>
      <x:c r="H126" s="54" t="n">
        <x:v>8.25</x:v>
      </x:c>
      <x:c r="I126" s="54" t="n">
        <x:v>0.74669</x:v>
      </x:c>
      <x:c r="J126" s="54" t="n">
        <x:v>0.74823</x:v>
      </x:c>
      <x:c r="K126" s="54" t="n">
        <x:v>0.26891</x:v>
      </x:c>
      <x:c r="L126" s="54" t="n">
        <x:v>0.45944</x:v>
      </x:c>
      <x:c r="M126" s="54" t="n">
        <x:v>0.9183</x:v>
      </x:c>
      <x:c r="N126" s="56" t="n">
        <x:v>-17.03</x:v>
      </x:c>
      <x:c r="O126" s="56" t="n">
        <x:v>3.35</x:v>
      </x:c>
      <x:c r="P126" s="56" t="n">
        <x:v>2.57</x:v>
      </x:c>
      <x:c r="Q126" s="56" t="n">
        <x:v>89.3</x:v>
      </x:c>
      <x:c r="R126" t="str">
        <x:v>X</x:v>
      </x:c>
      <x:c r="S126" s="102" t="n">
        <x:v>100</x:v>
      </x:c>
      <x:c r="T126" t="str">
        <x:v>VALID</x:v>
      </x:c>
      <x:c r="U126" t="n">
        <x:v>752</x:v>
      </x:c>
      <x:c r="V126" t="str">
        <x:v>Pasted text(56).txt</x:v>
      </x:c>
    </x:row>
    <x:row r="127">
      <x:c r="A127" t="str">
        <x:v>S03</x:v>
      </x:c>
      <x:c r="B127" t="str">
        <x:v>0.90 validated five-run session</x:v>
      </x:c>
      <x:c r="C127" s="54" t="n">
        <x:v>0.9</x:v>
      </x:c>
      <x:c r="D127" t="n">
        <x:v>2</x:v>
      </x:c>
      <x:c r="E127" t="n">
        <x:v>1</x:v>
      </x:c>
      <x:c r="F127" t="str">
        <x:v>FINE</x:v>
      </x:c>
      <x:c r="G127" t="n">
        <x:v>4</x:v>
      </x:c>
      <x:c r="H127" s="54" t="n">
        <x:v>8.5</x:v>
      </x:c>
      <x:c r="I127" s="54" t="n">
        <x:v>0.79132</x:v>
      </x:c>
      <x:c r="J127" s="54" t="n">
        <x:v>0.79202</x:v>
      </x:c>
      <x:c r="K127" s="54" t="n">
        <x:v>0.29006</x:v>
      </x:c>
      <x:c r="L127" s="54" t="n">
        <x:v>0.48274</x:v>
      </x:c>
      <x:c r="M127" s="54" t="n">
        <x:v>0.97187</x:v>
      </x:c>
      <x:c r="N127" s="56" t="n">
        <x:v>-12.08</x:v>
      </x:c>
      <x:c r="O127" s="56" t="n">
        <x:v>0.25</x:v>
      </x:c>
      <x:c r="P127" s="56" t="n">
        <x:v>0.31</x:v>
      </x:c>
      <x:c r="Q127" s="56" t="n">
        <x:v>90.5</x:v>
      </x:c>
      <x:c r="R127" t="str">
        <x:v>X</x:v>
      </x:c>
      <x:c r="S127" s="102" t="n">
        <x:v>100</x:v>
      </x:c>
      <x:c r="T127" t="str">
        <x:v>VALID</x:v>
      </x:c>
      <x:c r="U127" t="n">
        <x:v>753</x:v>
      </x:c>
      <x:c r="V127" t="str">
        <x:v>Pasted text(56).txt</x:v>
      </x:c>
    </x:row>
    <x:row r="128">
      <x:c r="A128" t="str">
        <x:v>S03</x:v>
      </x:c>
      <x:c r="B128" t="str">
        <x:v>0.90 validated five-run session</x:v>
      </x:c>
      <x:c r="C128" s="54" t="n">
        <x:v>0.9</x:v>
      </x:c>
      <x:c r="D128" t="n">
        <x:v>2</x:v>
      </x:c>
      <x:c r="E128" t="n">
        <x:v>1</x:v>
      </x:c>
      <x:c r="F128" t="str">
        <x:v>FINE</x:v>
      </x:c>
      <x:c r="G128" t="n">
        <x:v>5</x:v>
      </x:c>
      <x:c r="H128" s="54" t="n">
        <x:v>8.75</x:v>
      </x:c>
      <x:c r="I128" s="54" t="n">
        <x:v>0.84201</x:v>
      </x:c>
      <x:c r="J128" s="54" t="n">
        <x:v>0.84879</x:v>
      </x:c>
      <x:c r="K128" s="54" t="n">
        <x:v>0.29854</x:v>
      </x:c>
      <x:c r="L128" s="54" t="n">
        <x:v>0.50933</x:v>
      </x:c>
      <x:c r="M128" s="54" t="n">
        <x:v>1.03405</x:v>
      </x:c>
      <x:c r="N128" s="56" t="n">
        <x:v>-6.44</x:v>
      </x:c>
      <x:c r="O128" s="56" t="n">
        <x:v>2.06</x:v>
      </x:c>
      <x:c r="P128" s="56" t="n">
        <x:v>2.67</x:v>
      </x:c>
      <x:c r="Q128" s="56" t="n">
        <x:v>92.1</x:v>
      </x:c>
      <x:c r="R128" t="str">
        <x:v>X</x:v>
      </x:c>
      <x:c r="S128" s="102" t="n">
        <x:v>100</x:v>
      </x:c>
      <x:c r="T128" t="str">
        <x:v>IN TARGET BAND</x:v>
      </x:c>
      <x:c r="U128" t="n">
        <x:v>754</x:v>
      </x:c>
      <x:c r="V128" t="str">
        <x:v>Pasted text(56).txt</x:v>
      </x:c>
    </x:row>
    <x:row r="129">
      <x:c r="A129" t="str">
        <x:v>S03</x:v>
      </x:c>
      <x:c r="B129" t="str">
        <x:v>0.90 validated five-run session</x:v>
      </x:c>
      <x:c r="C129" s="54" t="n">
        <x:v>0.9</x:v>
      </x:c>
      <x:c r="D129" t="n">
        <x:v>2</x:v>
      </x:c>
      <x:c r="E129" t="n">
        <x:v>1</x:v>
      </x:c>
      <x:c r="F129" t="str">
        <x:v>FINE</x:v>
      </x:c>
      <x:c r="G129" t="n">
        <x:v>6</x:v>
      </x:c>
      <x:c r="H129" s="54" t="n">
        <x:v>9</x:v>
      </x:c>
      <x:c r="I129" s="54" t="n">
        <x:v>0.86896</x:v>
      </x:c>
      <x:c r="J129" s="54" t="n">
        <x:v>0.8673</x:v>
      </x:c>
      <x:c r="K129" s="54" t="n">
        <x:v>0.2945</x:v>
      </x:c>
      <x:c r="L129" s="54" t="n">
        <x:v>0.53425</x:v>
      </x:c>
      <x:c r="M129" s="54" t="n">
        <x:v>1.06041</x:v>
      </x:c>
      <x:c r="N129" s="56" t="n">
        <x:v>-3.45</x:v>
      </x:c>
      <x:c r="O129" s="56" t="n">
        <x:v>1.56</x:v>
      </x:c>
      <x:c r="P129" s="56" t="n">
        <x:v>1.35</x:v>
      </x:c>
      <x:c r="Q129" s="56" t="n">
        <x:v>91.8</x:v>
      </x:c>
      <x:c r="R129" t="str">
        <x:v>X</x:v>
      </x:c>
      <x:c r="S129" s="102" t="n">
        <x:v>100</x:v>
      </x:c>
      <x:c r="T129" t="str">
        <x:v>IN TARGET BAND</x:v>
      </x:c>
      <x:c r="U129" t="n">
        <x:v>755</x:v>
      </x:c>
      <x:c r="V129" t="str">
        <x:v>Pasted text(56).txt</x:v>
      </x:c>
    </x:row>
    <x:row r="130">
      <x:c r="A130" t="str">
        <x:v>S03</x:v>
      </x:c>
      <x:c r="B130" t="str">
        <x:v>0.90 validated five-run session</x:v>
      </x:c>
      <x:c r="C130" s="54" t="n">
        <x:v>0.9</x:v>
      </x:c>
      <x:c r="D130" t="n">
        <x:v>2</x:v>
      </x:c>
      <x:c r="E130" t="n">
        <x:v>1</x:v>
      </x:c>
      <x:c r="F130" t="str">
        <x:v>FINE</x:v>
      </x:c>
      <x:c r="G130" t="n">
        <x:v>7</x:v>
      </x:c>
      <x:c r="H130" s="54" t="n">
        <x:v>9.25</x:v>
      </x:c>
      <x:c r="I130" s="54" t="n">
        <x:v>0.87719</x:v>
      </x:c>
      <x:c r="J130" s="54" t="n">
        <x:v>0.87923</x:v>
      </x:c>
      <x:c r="K130" s="54" t="n">
        <x:v>0.30946</x:v>
      </x:c>
      <x:c r="L130" s="54" t="n">
        <x:v>0.51848</x:v>
      </x:c>
      <x:c r="M130" s="54" t="n">
        <x:v>1.06669</x:v>
      </x:c>
      <x:c r="N130" s="56" t="n">
        <x:v>-2.53</x:v>
      </x:c>
      <x:c r="O130" s="56" t="n">
        <x:v>1.42</x:v>
      </x:c>
      <x:c r="P130" s="56" t="n">
        <x:v>1.32</x:v>
      </x:c>
      <x:c r="Q130" s="56" t="n">
        <x:v>91.2</x:v>
      </x:c>
      <x:c r="R130" t="str">
        <x:v>X</x:v>
      </x:c>
      <x:c r="S130" s="102" t="n">
        <x:v>100</x:v>
      </x:c>
      <x:c r="T130" t="str">
        <x:v>IN TARGET BAND</x:v>
      </x:c>
      <x:c r="U130" t="n">
        <x:v>756</x:v>
      </x:c>
      <x:c r="V130" t="str">
        <x:v>Pasted text(56).txt</x:v>
      </x:c>
    </x:row>
    <x:row r="131">
      <x:c r="A131" t="str">
        <x:v>S03</x:v>
      </x:c>
      <x:c r="B131" t="str">
        <x:v>0.90 validated five-run session</x:v>
      </x:c>
      <x:c r="C131" s="54" t="n">
        <x:v>0.9</x:v>
      </x:c>
      <x:c r="D131" t="n">
        <x:v>2</x:v>
      </x:c>
      <x:c r="E131" t="n">
        <x:v>1</x:v>
      </x:c>
      <x:c r="F131" t="str">
        <x:v>FINE</x:v>
      </x:c>
      <x:c r="G131" t="n">
        <x:v>8</x:v>
      </x:c>
      <x:c r="H131" s="54" t="n">
        <x:v>9.5</x:v>
      </x:c>
      <x:c r="I131" s="54" t="n">
        <x:v>0.90485</x:v>
      </x:c>
      <x:c r="J131" s="54" t="n">
        <x:v>0.90041</x:v>
      </x:c>
      <x:c r="K131" s="54" t="n">
        <x:v>0.3175</x:v>
      </x:c>
      <x:c r="L131" s="54" t="n">
        <x:v>0.53465</x:v>
      </x:c>
      <x:c r="M131" s="54" t="n">
        <x:v>1.09472</x:v>
      </x:c>
      <x:c r="N131" s="56" t="n">
        <x:v>0.54</x:v>
      </x:c>
      <x:c r="O131" s="56" t="n">
        <x:v>0.22</x:v>
      </x:c>
      <x:c r="P131" s="56" t="n">
        <x:v>0.99</x:v>
      </x:c>
      <x:c r="Q131" s="56" t="n">
        <x:v>92.3</x:v>
      </x:c>
      <x:c r="R131" t="str">
        <x:v>X</x:v>
      </x:c>
      <x:c r="S131" s="102" t="n">
        <x:v>100</x:v>
      </x:c>
      <x:c r="T131" t="str">
        <x:v>IN TARGET BAND</x:v>
      </x:c>
      <x:c r="U131" t="n">
        <x:v>757</x:v>
      </x:c>
      <x:c r="V131" t="str">
        <x:v>Pasted text(56).txt</x:v>
      </x:c>
    </x:row>
    <x:row r="132">
      <x:c r="A132" t="str">
        <x:v>S03</x:v>
      </x:c>
      <x:c r="B132" t="str">
        <x:v>0.90 validated five-run session</x:v>
      </x:c>
      <x:c r="C132" s="54" t="n">
        <x:v>0.9</x:v>
      </x:c>
      <x:c r="D132" t="n">
        <x:v>2</x:v>
      </x:c>
      <x:c r="E132" t="n">
        <x:v>1</x:v>
      </x:c>
      <x:c r="F132" t="str">
        <x:v>FINE</x:v>
      </x:c>
      <x:c r="G132" t="n">
        <x:v>9</x:v>
      </x:c>
      <x:c r="H132" s="54" t="n">
        <x:v>9.75</x:v>
      </x:c>
      <x:c r="I132" s="54" t="n">
        <x:v>0.95565</x:v>
      </x:c>
      <x:c r="J132" s="54" t="n">
        <x:v>0.96895</x:v>
      </x:c>
      <x:c r="K132" s="54" t="n">
        <x:v>0.34044</x:v>
      </x:c>
      <x:c r="L132" s="54" t="n">
        <x:v>0.55805</x:v>
      </x:c>
      <x:c r="M132" s="54" t="n">
        <x:v>1.16967</x:v>
      </x:c>
      <x:c r="N132" s="56" t="n">
        <x:v>6.18</x:v>
      </x:c>
      <x:c r="O132" s="56" t="n">
        <x:v>1.3</x:v>
      </x:c>
      <x:c r="P132" s="56" t="n">
        <x:v>3.16</x:v>
      </x:c>
      <x:c r="Q132" s="56" t="n">
        <x:v>92</x:v>
      </x:c>
      <x:c r="R132" t="str">
        <x:v>X</x:v>
      </x:c>
      <x:c r="S132" s="102" t="n">
        <x:v>100</x:v>
      </x:c>
      <x:c r="T132" t="str">
        <x:v>IN TARGET BAND</x:v>
      </x:c>
      <x:c r="U132" t="n">
        <x:v>758</x:v>
      </x:c>
      <x:c r="V132" t="str">
        <x:v>Pasted text(56).txt</x:v>
      </x:c>
    </x:row>
    <x:row r="133">
      <x:c r="A133" t="str">
        <x:v>S03</x:v>
      </x:c>
      <x:c r="B133" t="str">
        <x:v>0.90 validated five-run session</x:v>
      </x:c>
      <x:c r="C133" s="54" t="n">
        <x:v>0.9</x:v>
      </x:c>
      <x:c r="D133" t="n">
        <x:v>2</x:v>
      </x:c>
      <x:c r="E133" t="n">
        <x:v>1</x:v>
      </x:c>
      <x:c r="F133" t="str">
        <x:v>FINAL</x:v>
      </x:c>
      <x:c r="G133" t="n">
        <x:v>1</x:v>
      </x:c>
      <x:c r="H133" s="54" t="n">
        <x:v>9.5</x:v>
      </x:c>
      <x:c r="I133" s="54" t="n">
        <x:v>0.90854</x:v>
      </x:c>
      <x:c r="J133" s="54" t="n">
        <x:v>0.91206</x:v>
      </x:c>
      <x:c r="K133" s="54" t="n">
        <x:v>0.32297</x:v>
      </x:c>
      <x:c r="L133" s="54" t="n">
        <x:v>0.54324</x:v>
      </x:c>
      <x:c r="M133" s="54" t="n">
        <x:v>1.10991</x:v>
      </x:c>
      <x:c r="N133" s="56" t="n">
        <x:v>0.95</x:v>
      </x:c>
      <x:c r="O133" s="56" t="n">
        <x:v>2.49</x:v>
      </x:c>
      <x:c r="P133" s="56" t="n">
        <x:v>1.71</x:v>
      </x:c>
      <x:c r="Q133" s="56" t="n">
        <x:v>91.6</x:v>
      </x:c>
      <x:c r="R133" t="str">
        <x:v>X</x:v>
      </x:c>
      <x:c r="S133" s="102" t="n">
        <x:v>100</x:v>
      </x:c>
      <x:c r="T133" t="str">
        <x:v>IN TARGET BAND</x:v>
      </x:c>
      <x:c r="U133" t="n">
        <x:v>761</x:v>
      </x:c>
      <x:c r="V133" t="str">
        <x:v>Pasted text(56).txt</x:v>
      </x:c>
    </x:row>
    <x:row r="134">
      <x:c r="A134" t="str">
        <x:v>S03</x:v>
      </x:c>
      <x:c r="B134" t="str">
        <x:v>0.90 validated five-run session</x:v>
      </x:c>
      <x:c r="C134" s="54" t="n">
        <x:v>0.9</x:v>
      </x:c>
      <x:c r="D134" t="n">
        <x:v>2</x:v>
      </x:c>
      <x:c r="E134" t="n">
        <x:v>1</x:v>
      </x:c>
      <x:c r="F134" t="str">
        <x:v>FINAL</x:v>
      </x:c>
      <x:c r="G134" t="n">
        <x:v>2</x:v>
      </x:c>
      <x:c r="H134" s="54" t="n">
        <x:v>9.5</x:v>
      </x:c>
      <x:c r="I134" s="54" t="n">
        <x:v>0.90544</x:v>
      </x:c>
      <x:c r="J134" s="54" t="n">
        <x:v>0.90457</x:v>
      </x:c>
      <x:c r="K134" s="54" t="n">
        <x:v>0.32934</x:v>
      </x:c>
      <x:c r="L134" s="54" t="n">
        <x:v>0.52977</x:v>
      </x:c>
      <x:c r="M134" s="54" t="n">
        <x:v>1.09913</x:v>
      </x:c>
      <x:c r="N134" s="56" t="n">
        <x:v>0.6</x:v>
      </x:c>
      <x:c r="O134" s="56" t="n">
        <x:v>1.21</x:v>
      </x:c>
      <x:c r="P134" s="56" t="n">
        <x:v>1.16</x:v>
      </x:c>
      <x:c r="Q134" s="56" t="n">
        <x:v>92</x:v>
      </x:c>
      <x:c r="R134" t="str">
        <x:v>X</x:v>
      </x:c>
      <x:c r="S134" s="102" t="n">
        <x:v>100</x:v>
      </x:c>
      <x:c r="T134" t="str">
        <x:v>IN TARGET BAND</x:v>
      </x:c>
      <x:c r="U134" t="n">
        <x:v>762</x:v>
      </x:c>
      <x:c r="V134" t="str">
        <x:v>Pasted text(56).txt</x:v>
      </x:c>
    </x:row>
    <x:row r="135">
      <x:c r="A135" t="str">
        <x:v>S03</x:v>
      </x:c>
      <x:c r="B135" t="str">
        <x:v>0.90 validated five-run session</x:v>
      </x:c>
      <x:c r="C135" s="54" t="n">
        <x:v>0.9</x:v>
      </x:c>
      <x:c r="D135" t="n">
        <x:v>3</x:v>
      </x:c>
      <x:c r="E135" t="n">
        <x:v>1</x:v>
      </x:c>
      <x:c r="F135" t="str">
        <x:v>SEARCH</x:v>
      </x:c>
      <x:c r="G135" t="n">
        <x:v>1</x:v>
      </x:c>
      <x:c r="H135" s="54" t="n">
        <x:v>1</x:v>
      </x:c>
      <x:c r="I135" s="54" t="n">
        <x:v>0.01348</x:v>
      </x:c>
      <x:c r="J135" s="54" t="n">
        <x:v>0.01449</x:v>
      </x:c>
      <x:c r="K135" s="54" t="n">
        <x:v>0.01926</x:v>
      </x:c>
      <x:c r="L135" s="54" t="n">
        <x:v>0.04162</x:v>
      </x:c>
      <x:c r="M135" s="54" t="n">
        <x:v>0.05041</x:v>
      </x:c>
      <x:c r="N135" s="56" t="n">
        <x:v>-98.5</x:v>
      </x:c>
      <x:c r="O135" s="56" t="n">
        <x:v>22.14</x:v>
      </x:c>
      <x:c r="P135" s="56" t="n">
        <x:v>9.83</x:v>
      </x:c>
      <x:c r="Q135" s="56" t="n">
        <x:v>7.9</x:v>
      </x:c>
      <x:c r="R135" t="str">
        <x:v>Z</x:v>
      </x:c>
      <x:c r="S135" s="102" t="n">
        <x:v>34.8</x:v>
      </x:c>
      <x:c r="T135" t="str">
        <x:v>BELOW MEASUREMENT FLOOR — SEARCH CONTINUES</x:v>
      </x:c>
      <x:c r="U135" t="n">
        <x:v>818</x:v>
      </x:c>
      <x:c r="V135" t="str">
        <x:v>Pasted text(56).txt</x:v>
      </x:c>
    </x:row>
    <x:row r="136">
      <x:c r="A136" t="str">
        <x:v>S03</x:v>
      </x:c>
      <x:c r="B136" t="str">
        <x:v>0.90 validated five-run session</x:v>
      </x:c>
      <x:c r="C136" s="54" t="n">
        <x:v>0.9</x:v>
      </x:c>
      <x:c r="D136" t="n">
        <x:v>3</x:v>
      </x:c>
      <x:c r="E136" t="n">
        <x:v>1</x:v>
      </x:c>
      <x:c r="F136" t="str">
        <x:v>SEARCH</x:v>
      </x:c>
      <x:c r="G136" t="n">
        <x:v>2</x:v>
      </x:c>
      <x:c r="H136" s="54" t="n">
        <x:v>3</x:v>
      </x:c>
      <x:c r="I136" s="54" t="n">
        <x:v>0.18618</x:v>
      </x:c>
      <x:c r="J136" s="54" t="n">
        <x:v>0.179</x:v>
      </x:c>
      <x:c r="K136" s="54" t="n">
        <x:v>0.07668</x:v>
      </x:c>
      <x:c r="L136" s="54" t="n">
        <x:v>0.13917</x:v>
      </x:c>
      <x:c r="M136" s="54" t="n">
        <x:v>0.2401</x:v>
      </x:c>
      <x:c r="N136" s="56" t="n">
        <x:v>-79.31</x:v>
      </x:c>
      <x:c r="O136" s="56" t="n">
        <x:v>1.2</x:v>
      </x:c>
      <x:c r="P136" s="56" t="n">
        <x:v>7.68</x:v>
      </x:c>
      <x:c r="Q136" s="56" t="n">
        <x:v>60.4</x:v>
      </x:c>
      <x:c r="R136" t="str">
        <x:v>X</x:v>
      </x:c>
      <x:c r="S136" s="102" t="n">
        <x:v>100</x:v>
      </x:c>
      <x:c r="T136" t="str">
        <x:v>VALID</x:v>
      </x:c>
      <x:c r="U136" t="n">
        <x:v>819</x:v>
      </x:c>
      <x:c r="V136" t="str">
        <x:v>Pasted text(56).txt</x:v>
      </x:c>
    </x:row>
    <x:row r="137">
      <x:c r="A137" t="str">
        <x:v>S03</x:v>
      </x:c>
      <x:c r="B137" t="str">
        <x:v>0.90 validated five-run session</x:v>
      </x:c>
      <x:c r="C137" s="54" t="n">
        <x:v>0.9</x:v>
      </x:c>
      <x:c r="D137" t="n">
        <x:v>3</x:v>
      </x:c>
      <x:c r="E137" t="n">
        <x:v>1</x:v>
      </x:c>
      <x:c r="F137" t="str">
        <x:v>SEARCH</x:v>
      </x:c>
      <x:c r="G137" t="n">
        <x:v>3</x:v>
      </x:c>
      <x:c r="H137" s="54" t="n">
        <x:v>5</x:v>
      </x:c>
      <x:c r="I137" s="54" t="n">
        <x:v>0.38545</x:v>
      </x:c>
      <x:c r="J137" s="54" t="n">
        <x:v>0.379</x:v>
      </x:c>
      <x:c r="K137" s="54" t="n">
        <x:v>0.13995</x:v>
      </x:c>
      <x:c r="L137" s="54" t="n">
        <x:v>0.25169</x:v>
      </x:c>
      <x:c r="M137" s="54" t="n">
        <x:v>0.47617</x:v>
      </x:c>
      <x:c r="N137" s="56" t="n">
        <x:v>-57.17</x:v>
      </x:c>
      <x:c r="O137" s="56" t="n">
        <x:v>2.7</x:v>
      </x:c>
      <x:c r="P137" s="56" t="n">
        <x:v>4.64</x:v>
      </x:c>
      <x:c r="Q137" s="56" t="n">
        <x:v>79.5</x:v>
      </x:c>
      <x:c r="R137" t="str">
        <x:v>X</x:v>
      </x:c>
      <x:c r="S137" s="102" t="n">
        <x:v>100</x:v>
      </x:c>
      <x:c r="T137" t="str">
        <x:v>VALID</x:v>
      </x:c>
      <x:c r="U137" t="n">
        <x:v>820</x:v>
      </x:c>
      <x:c r="V137" t="str">
        <x:v>Pasted text(56).txt</x:v>
      </x:c>
    </x:row>
    <x:row r="138">
      <x:c r="A138" t="str">
        <x:v>S03</x:v>
      </x:c>
      <x:c r="B138" t="str">
        <x:v>0.90 validated five-run session</x:v>
      </x:c>
      <x:c r="C138" s="54" t="n">
        <x:v>0.9</x:v>
      </x:c>
      <x:c r="D138" t="n">
        <x:v>3</x:v>
      </x:c>
      <x:c r="E138" t="n">
        <x:v>1</x:v>
      </x:c>
      <x:c r="F138" t="str">
        <x:v>SEARCH</x:v>
      </x:c>
      <x:c r="G138" t="n">
        <x:v>4</x:v>
      </x:c>
      <x:c r="H138" s="54" t="n">
        <x:v>6</x:v>
      </x:c>
      <x:c r="I138" s="54" t="n">
        <x:v>0.49441</x:v>
      </x:c>
      <x:c r="J138" s="54" t="n">
        <x:v>0.4979</x:v>
      </x:c>
      <x:c r="K138" s="54" t="n">
        <x:v>0.19188</x:v>
      </x:c>
      <x:c r="L138" s="54" t="n">
        <x:v>0.29725</x:v>
      </x:c>
      <x:c r="M138" s="54" t="n">
        <x:v>0.61094</x:v>
      </x:c>
      <x:c r="N138" s="56" t="n">
        <x:v>-45.07</x:v>
      </x:c>
      <x:c r="O138" s="56" t="n">
        <x:v>1.05</x:v>
      </x:c>
      <x:c r="P138" s="56" t="n">
        <x:v>1.85</x:v>
      </x:c>
      <x:c r="Q138" s="56" t="n">
        <x:v>85.9</x:v>
      </x:c>
      <x:c r="R138" t="str">
        <x:v>X</x:v>
      </x:c>
      <x:c r="S138" s="102" t="n">
        <x:v>100</x:v>
      </x:c>
      <x:c r="T138" t="str">
        <x:v>VALID</x:v>
      </x:c>
      <x:c r="U138" t="n">
        <x:v>821</x:v>
      </x:c>
      <x:c r="V138" t="str">
        <x:v>Pasted text(56).txt</x:v>
      </x:c>
    </x:row>
    <x:row r="139">
      <x:c r="A139" t="str">
        <x:v>S03</x:v>
      </x:c>
      <x:c r="B139" t="str">
        <x:v>0.90 validated five-run session</x:v>
      </x:c>
      <x:c r="C139" s="54" t="n">
        <x:v>0.9</x:v>
      </x:c>
      <x:c r="D139" t="n">
        <x:v>3</x:v>
      </x:c>
      <x:c r="E139" t="n">
        <x:v>1</x:v>
      </x:c>
      <x:c r="F139" t="str">
        <x:v>SEARCH</x:v>
      </x:c>
      <x:c r="G139" t="n">
        <x:v>5</x:v>
      </x:c>
      <x:c r="H139" s="54" t="n">
        <x:v>7</x:v>
      </x:c>
      <x:c r="I139" s="54" t="n">
        <x:v>0.63595</x:v>
      </x:c>
      <x:c r="J139" s="54" t="n">
        <x:v>0.6306</x:v>
      </x:c>
      <x:c r="K139" s="54" t="n">
        <x:v>0.24182</x:v>
      </x:c>
      <x:c r="L139" s="54" t="n">
        <x:v>0.37483</x:v>
      </x:c>
      <x:c r="M139" s="54" t="n">
        <x:v>0.77278</x:v>
      </x:c>
      <x:c r="N139" s="56" t="n">
        <x:v>-29.34</x:v>
      </x:c>
      <x:c r="O139" s="56" t="n">
        <x:v>4.7</x:v>
      </x:c>
      <x:c r="P139" s="56" t="n">
        <x:v>4.53</x:v>
      </x:c>
      <x:c r="Q139" s="56" t="n">
        <x:v>90.2</x:v>
      </x:c>
      <x:c r="R139" t="str">
        <x:v>X</x:v>
      </x:c>
      <x:c r="S139" s="102" t="n">
        <x:v>100</x:v>
      </x:c>
      <x:c r="T139" t="str">
        <x:v>VALID</x:v>
      </x:c>
      <x:c r="U139" t="n">
        <x:v>822</x:v>
      </x:c>
      <x:c r="V139" t="str">
        <x:v>Pasted text(56).txt</x:v>
      </x:c>
    </x:row>
    <x:row r="140">
      <x:c r="A140" t="str">
        <x:v>S03</x:v>
      </x:c>
      <x:c r="B140" t="str">
        <x:v>0.90 validated five-run session</x:v>
      </x:c>
      <x:c r="C140" s="54" t="n">
        <x:v>0.9</x:v>
      </x:c>
      <x:c r="D140" t="n">
        <x:v>3</x:v>
      </x:c>
      <x:c r="E140" t="n">
        <x:v>1</x:v>
      </x:c>
      <x:c r="F140" t="str">
        <x:v>SEARCH</x:v>
      </x:c>
      <x:c r="G140" t="n">
        <x:v>6</x:v>
      </x:c>
      <x:c r="H140" s="54" t="n">
        <x:v>7.5</x:v>
      </x:c>
      <x:c r="I140" s="54" t="n">
        <x:v>0.65994</x:v>
      </x:c>
      <x:c r="J140" s="54" t="n">
        <x:v>0.65639</x:v>
      </x:c>
      <x:c r="K140" s="54" t="n">
        <x:v>0.24805</x:v>
      </x:c>
      <x:c r="L140" s="54" t="n">
        <x:v>0.39887</x:v>
      </x:c>
      <x:c r="M140" s="54" t="n">
        <x:v>0.80745</x:v>
      </x:c>
      <x:c r="N140" s="56" t="n">
        <x:v>-26.67</x:v>
      </x:c>
      <x:c r="O140" s="56" t="n">
        <x:v>1.06</x:v>
      </x:c>
      <x:c r="P140" s="56" t="n">
        <x:v>1.6</x:v>
      </x:c>
      <x:c r="Q140" s="56" t="n">
        <x:v>89.2</x:v>
      </x:c>
      <x:c r="R140" t="str">
        <x:v>X</x:v>
      </x:c>
      <x:c r="S140" s="102" t="n">
        <x:v>100</x:v>
      </x:c>
      <x:c r="T140" t="str">
        <x:v>VALID</x:v>
      </x:c>
      <x:c r="U140" t="n">
        <x:v>823</x:v>
      </x:c>
      <x:c r="V140" t="str">
        <x:v>Pasted text(56).txt</x:v>
      </x:c>
    </x:row>
    <x:row r="141">
      <x:c r="A141" t="str">
        <x:v>S03</x:v>
      </x:c>
      <x:c r="B141" t="str">
        <x:v>0.90 validated five-run session</x:v>
      </x:c>
      <x:c r="C141" s="54" t="n">
        <x:v>0.9</x:v>
      </x:c>
      <x:c r="D141" t="n">
        <x:v>3</x:v>
      </x:c>
      <x:c r="E141" t="n">
        <x:v>1</x:v>
      </x:c>
      <x:c r="F141" t="str">
        <x:v>SEARCH</x:v>
      </x:c>
      <x:c r="G141" t="n">
        <x:v>7</x:v>
      </x:c>
      <x:c r="H141" s="54" t="n">
        <x:v>8</x:v>
      </x:c>
      <x:c r="I141" s="54" t="n">
        <x:v>0.76259</x:v>
      </x:c>
      <x:c r="J141" s="54" t="n">
        <x:v>0.75533</x:v>
      </x:c>
      <x:c r="K141" s="54" t="n">
        <x:v>0.27981</x:v>
      </x:c>
      <x:c r="L141" s="54" t="n">
        <x:v>0.4592</x:v>
      </x:c>
      <x:c r="M141" s="54" t="n">
        <x:v>0.92723</x:v>
      </x:c>
      <x:c r="N141" s="56" t="n">
        <x:v>-15.27</x:v>
      </x:c>
      <x:c r="O141" s="56" t="n">
        <x:v>1.08</x:v>
      </x:c>
      <x:c r="P141" s="56" t="n">
        <x:v>2.33</x:v>
      </x:c>
      <x:c r="Q141" s="56" t="n">
        <x:v>91</x:v>
      </x:c>
      <x:c r="R141" t="str">
        <x:v>X</x:v>
      </x:c>
      <x:c r="S141" s="102" t="n">
        <x:v>100</x:v>
      </x:c>
      <x:c r="T141" t="str">
        <x:v>VALID</x:v>
      </x:c>
      <x:c r="U141" t="n">
        <x:v>824</x:v>
      </x:c>
      <x:c r="V141" t="str">
        <x:v>Pasted text(56).txt</x:v>
      </x:c>
    </x:row>
    <x:row r="142">
      <x:c r="A142" t="str">
        <x:v>S03</x:v>
      </x:c>
      <x:c r="B142" t="str">
        <x:v>0.90 validated five-run session</x:v>
      </x:c>
      <x:c r="C142" s="54" t="n">
        <x:v>0.9</x:v>
      </x:c>
      <x:c r="D142" t="n">
        <x:v>3</x:v>
      </x:c>
      <x:c r="E142" t="n">
        <x:v>1</x:v>
      </x:c>
      <x:c r="F142" t="str">
        <x:v>SEARCH</x:v>
      </x:c>
      <x:c r="G142" t="n">
        <x:v>8</x:v>
      </x:c>
      <x:c r="H142" s="54" t="n">
        <x:v>8.5</x:v>
      </x:c>
      <x:c r="I142" s="54" t="n">
        <x:v>0.79408</x:v>
      </x:c>
      <x:c r="J142" s="54" t="n">
        <x:v>0.79209</x:v>
      </x:c>
      <x:c r="K142" s="54" t="n">
        <x:v>0.29104</x:v>
      </x:c>
      <x:c r="L142" s="54" t="n">
        <x:v>0.46719</x:v>
      </x:c>
      <x:c r="M142" s="54" t="n">
        <x:v>0.96486</x:v>
      </x:c>
      <x:c r="N142" s="56" t="n">
        <x:v>-11.77</x:v>
      </x:c>
      <x:c r="O142" s="56" t="n">
        <x:v>4.4</x:v>
      </x:c>
      <x:c r="P142" s="56" t="n">
        <x:v>3.36</x:v>
      </x:c>
      <x:c r="Q142" s="56" t="n">
        <x:v>91.3</x:v>
      </x:c>
      <x:c r="R142" t="str">
        <x:v>X</x:v>
      </x:c>
      <x:c r="S142" s="102" t="n">
        <x:v>100</x:v>
      </x:c>
      <x:c r="T142" t="str">
        <x:v>VALID</x:v>
      </x:c>
      <x:c r="U142" t="n">
        <x:v>825</x:v>
      </x:c>
      <x:c r="V142" t="str">
        <x:v>Pasted text(56).txt</x:v>
      </x:c>
    </x:row>
    <x:row r="143">
      <x:c r="A143" t="str">
        <x:v>S03</x:v>
      </x:c>
      <x:c r="B143" t="str">
        <x:v>0.90 validated five-run session</x:v>
      </x:c>
      <x:c r="C143" s="54" t="n">
        <x:v>0.9</x:v>
      </x:c>
      <x:c r="D143" t="n">
        <x:v>3</x:v>
      </x:c>
      <x:c r="E143" t="n">
        <x:v>1</x:v>
      </x:c>
      <x:c r="F143" t="str">
        <x:v>SEARCH</x:v>
      </x:c>
      <x:c r="G143" t="n">
        <x:v>9</x:v>
      </x:c>
      <x:c r="H143" s="54" t="n">
        <x:v>8.75</x:v>
      </x:c>
      <x:c r="I143" s="54" t="n">
        <x:v>0.84546</x:v>
      </x:c>
      <x:c r="J143" s="54" t="n">
        <x:v>0.84734</x:v>
      </x:c>
      <x:c r="K143" s="54" t="n">
        <x:v>0.30116</x:v>
      </x:c>
      <x:c r="L143" s="54" t="n">
        <x:v>0.50272</x:v>
      </x:c>
      <x:c r="M143" s="54" t="n">
        <x:v>1.03032</x:v>
      </x:c>
      <x:c r="N143" s="56" t="n">
        <x:v>-6.06</x:v>
      </x:c>
      <x:c r="O143" s="56" t="n">
        <x:v>1.95</x:v>
      </x:c>
      <x:c r="P143" s="56" t="n">
        <x:v>1.66</x:v>
      </x:c>
      <x:c r="Q143" s="56" t="n">
        <x:v>92.3</x:v>
      </x:c>
      <x:c r="R143" t="str">
        <x:v>X</x:v>
      </x:c>
      <x:c r="S143" s="102" t="n">
        <x:v>100</x:v>
      </x:c>
      <x:c r="T143" t="str">
        <x:v>IN TARGET BAND</x:v>
      </x:c>
      <x:c r="U143" t="n">
        <x:v>826</x:v>
      </x:c>
      <x:c r="V143" t="str">
        <x:v>Pasted text(56).txt</x:v>
      </x:c>
    </x:row>
    <x:row r="144">
      <x:c r="A144" t="str">
        <x:v>S03</x:v>
      </x:c>
      <x:c r="B144" t="str">
        <x:v>0.90 validated five-run session</x:v>
      </x:c>
      <x:c r="C144" s="54" t="n">
        <x:v>0.9</x:v>
      </x:c>
      <x:c r="D144" t="n">
        <x:v>3</x:v>
      </x:c>
      <x:c r="E144" t="n">
        <x:v>1</x:v>
      </x:c>
      <x:c r="F144" t="str">
        <x:v>FINE</x:v>
      </x:c>
      <x:c r="G144" t="n">
        <x:v>1</x:v>
      </x:c>
      <x:c r="H144" s="54" t="n">
        <x:v>7.75</x:v>
      </x:c>
      <x:c r="I144" s="54" t="n">
        <x:v>0.72944</x:v>
      </x:c>
      <x:c r="J144" s="54" t="n">
        <x:v>0.72532</x:v>
      </x:c>
      <x:c r="K144" s="54" t="n">
        <x:v>0.26306</x:v>
      </x:c>
      <x:c r="L144" s="54" t="n">
        <x:v>0.44265</x:v>
      </x:c>
      <x:c r="M144" s="54" t="n">
        <x:v>0.88965</x:v>
      </x:c>
      <x:c r="N144" s="56" t="n">
        <x:v>-18.95</x:v>
      </x:c>
      <x:c r="O144" s="56" t="n">
        <x:v>0.15</x:v>
      </x:c>
      <x:c r="P144" s="56" t="n">
        <x:v>1.07</x:v>
      </x:c>
      <x:c r="Q144" s="56" t="n">
        <x:v>91.5</x:v>
      </x:c>
      <x:c r="R144" t="str">
        <x:v>X</x:v>
      </x:c>
      <x:c r="S144" s="102" t="n">
        <x:v>100</x:v>
      </x:c>
      <x:c r="T144" t="str">
        <x:v>VALID</x:v>
      </x:c>
      <x:c r="U144" t="n">
        <x:v>830</x:v>
      </x:c>
      <x:c r="V144" t="str">
        <x:v>Pasted text(56).txt</x:v>
      </x:c>
    </x:row>
    <x:row r="145">
      <x:c r="A145" t="str">
        <x:v>S03</x:v>
      </x:c>
      <x:c r="B145" t="str">
        <x:v>0.90 validated five-run session</x:v>
      </x:c>
      <x:c r="C145" s="54" t="n">
        <x:v>0.9</x:v>
      </x:c>
      <x:c r="D145" t="n">
        <x:v>3</x:v>
      </x:c>
      <x:c r="E145" t="n">
        <x:v>1</x:v>
      </x:c>
      <x:c r="F145" t="str">
        <x:v>FINE</x:v>
      </x:c>
      <x:c r="G145" t="n">
        <x:v>2</x:v>
      </x:c>
      <x:c r="H145" s="54" t="n">
        <x:v>8</x:v>
      </x:c>
      <x:c r="I145" s="54" t="n">
        <x:v>0.74677</x:v>
      </x:c>
      <x:c r="J145" s="54" t="n">
        <x:v>0.73842</x:v>
      </x:c>
      <x:c r="K145" s="54" t="n">
        <x:v>0.24923</x:v>
      </x:c>
      <x:c r="L145" s="54" t="n">
        <x:v>0.44723</x:v>
      </x:c>
      <x:c r="M145" s="54" t="n">
        <x:v>0.89911</x:v>
      </x:c>
      <x:c r="N145" s="56" t="n">
        <x:v>-17.03</x:v>
      </x:c>
      <x:c r="O145" s="56" t="n">
        <x:v>2.46</x:v>
      </x:c>
      <x:c r="P145" s="56" t="n">
        <x:v>3.51</x:v>
      </x:c>
      <x:c r="Q145" s="56" t="n">
        <x:v>90</x:v>
      </x:c>
      <x:c r="R145" t="str">
        <x:v>X</x:v>
      </x:c>
      <x:c r="S145" s="102" t="n">
        <x:v>100</x:v>
      </x:c>
      <x:c r="T145" t="str">
        <x:v>VALID</x:v>
      </x:c>
      <x:c r="U145" t="n">
        <x:v>831</x:v>
      </x:c>
      <x:c r="V145" t="str">
        <x:v>Pasted text(56).txt</x:v>
      </x:c>
    </x:row>
    <x:row r="146">
      <x:c r="A146" t="str">
        <x:v>S03</x:v>
      </x:c>
      <x:c r="B146" t="str">
        <x:v>0.90 validated five-run session</x:v>
      </x:c>
      <x:c r="C146" s="54" t="n">
        <x:v>0.9</x:v>
      </x:c>
      <x:c r="D146" t="n">
        <x:v>3</x:v>
      </x:c>
      <x:c r="E146" t="n">
        <x:v>1</x:v>
      </x:c>
      <x:c r="F146" t="str">
        <x:v>FINE</x:v>
      </x:c>
      <x:c r="G146" t="n">
        <x:v>3</x:v>
      </x:c>
      <x:c r="H146" s="54" t="n">
        <x:v>8.25</x:v>
      </x:c>
      <x:c r="I146" s="54" t="n">
        <x:v>0.78923</x:v>
      </x:c>
      <x:c r="J146" s="54" t="n">
        <x:v>0.78923</x:v>
      </x:c>
      <x:c r="K146" s="54" t="n">
        <x:v>0.29141</x:v>
      </x:c>
      <x:c r="L146" s="54" t="n">
        <x:v>0.471</x:v>
      </x:c>
      <x:c r="M146" s="54" t="n">
        <x:v>0.9649</x:v>
      </x:c>
      <x:c r="N146" s="56" t="n">
        <x:v>-12.31</x:v>
      </x:c>
      <x:c r="O146" s="56" t="n">
        <x:v>4.35</x:v>
      </x:c>
      <x:c r="P146" s="56" t="n">
        <x:v>4.15</x:v>
      </x:c>
      <x:c r="Q146" s="56" t="n">
        <x:v>91.2</x:v>
      </x:c>
      <x:c r="R146" t="str">
        <x:v>X</x:v>
      </x:c>
      <x:c r="S146" s="102" t="n">
        <x:v>100</x:v>
      </x:c>
      <x:c r="T146" t="str">
        <x:v>RAW CLIPPING</x:v>
      </x:c>
      <x:c r="U146" t="n">
        <x:v>832</x:v>
      </x:c>
      <x:c r="V146" t="str">
        <x:v>Pasted text(56).txt</x:v>
      </x:c>
    </x:row>
    <x:row r="147">
      <x:c r="A147" t="str">
        <x:v>S03</x:v>
      </x:c>
      <x:c r="B147" t="str">
        <x:v>0.90 validated five-run session</x:v>
      </x:c>
      <x:c r="C147" s="54" t="n">
        <x:v>0.9</x:v>
      </x:c>
      <x:c r="D147" t="n">
        <x:v>3</x:v>
      </x:c>
      <x:c r="E147" t="n">
        <x:v>2</x:v>
      </x:c>
      <x:c r="F147" t="str">
        <x:v>SEARCH</x:v>
      </x:c>
      <x:c r="G147" t="n">
        <x:v>1</x:v>
      </x:c>
      <x:c r="H147" s="54" t="n">
        <x:v>1</x:v>
      </x:c>
      <x:c r="I147" s="54" t="n">
        <x:v>0.01975</x:v>
      </x:c>
      <x:c r="J147" s="54" t="n">
        <x:v>0.02108</x:v>
      </x:c>
      <x:c r="K147" s="54" t="n">
        <x:v>0.02269</x:v>
      </x:c>
      <x:c r="L147" s="54" t="n">
        <x:v>0.01906</x:v>
      </x:c>
      <x:c r="M147" s="54" t="n">
        <x:v>0.03725</x:v>
      </x:c>
      <x:c r="N147" s="56" t="n">
        <x:v>-97.81</x:v>
      </x:c>
      <x:c r="O147" s="56" t="n">
        <x:v>36.33</x:v>
      </x:c>
      <x:c r="P147" s="56" t="n">
        <x:v>32.88</x:v>
      </x:c>
      <x:c r="Q147" s="56" t="n">
        <x:v>10.3</x:v>
      </x:c>
      <x:c r="R147" t="str">
        <x:v>Y</x:v>
      </x:c>
      <x:c r="S147" s="102" t="n">
        <x:v>92.9</x:v>
      </x:c>
      <x:c r="T147" t="str">
        <x:v>BELOW MEASUREMENT FLOOR — SEARCH CONTINUES</x:v>
      </x:c>
      <x:c r="U147" t="n">
        <x:v>839</x:v>
      </x:c>
      <x:c r="V147" t="str">
        <x:v>Pasted text(56).txt</x:v>
      </x:c>
    </x:row>
    <x:row r="148">
      <x:c r="A148" t="str">
        <x:v>S03</x:v>
      </x:c>
      <x:c r="B148" t="str">
        <x:v>0.90 validated five-run session</x:v>
      </x:c>
      <x:c r="C148" s="54" t="n">
        <x:v>0.9</x:v>
      </x:c>
      <x:c r="D148" t="n">
        <x:v>3</x:v>
      </x:c>
      <x:c r="E148" t="n">
        <x:v>2</x:v>
      </x:c>
      <x:c r="F148" t="str">
        <x:v>SEARCH</x:v>
      </x:c>
      <x:c r="G148" t="n">
        <x:v>2</x:v>
      </x:c>
      <x:c r="H148" s="54" t="n">
        <x:v>3</x:v>
      </x:c>
      <x:c r="I148" s="54" t="n">
        <x:v>0.15966</x:v>
      </x:c>
      <x:c r="J148" s="54" t="n">
        <x:v>0.1552</x:v>
      </x:c>
      <x:c r="K148" s="54" t="n">
        <x:v>0.07245</x:v>
      </x:c>
      <x:c r="L148" s="54" t="n">
        <x:v>0.15234</x:v>
      </x:c>
      <x:c r="M148" s="54" t="n">
        <x:v>0.22956</x:v>
      </x:c>
      <x:c r="N148" s="56" t="n">
        <x:v>-82.26</x:v>
      </x:c>
      <x:c r="O148" s="56" t="n">
        <x:v>2.49</x:v>
      </x:c>
      <x:c r="P148" s="56" t="n">
        <x:v>6.53</x:v>
      </x:c>
      <x:c r="Q148" s="56" t="n">
        <x:v>54.4</x:v>
      </x:c>
      <x:c r="R148" t="str">
        <x:v>X</x:v>
      </x:c>
      <x:c r="S148" s="102" t="n">
        <x:v>100</x:v>
      </x:c>
      <x:c r="T148" t="str">
        <x:v>VALID</x:v>
      </x:c>
      <x:c r="U148" t="n">
        <x:v>840</x:v>
      </x:c>
      <x:c r="V148" t="str">
        <x:v>Pasted text(56).txt</x:v>
      </x:c>
    </x:row>
    <x:row r="149">
      <x:c r="A149" t="str">
        <x:v>S03</x:v>
      </x:c>
      <x:c r="B149" t="str">
        <x:v>0.90 validated five-run session</x:v>
      </x:c>
      <x:c r="C149" s="54" t="n">
        <x:v>0.9</x:v>
      </x:c>
      <x:c r="D149" t="n">
        <x:v>3</x:v>
      </x:c>
      <x:c r="E149" t="n">
        <x:v>2</x:v>
      </x:c>
      <x:c r="F149" t="str">
        <x:v>SEARCH</x:v>
      </x:c>
      <x:c r="G149" t="n">
        <x:v>3</x:v>
      </x:c>
      <x:c r="H149" s="54" t="n">
        <x:v>5</x:v>
      </x:c>
      <x:c r="I149" s="54" t="n">
        <x:v>0.41191</x:v>
      </x:c>
      <x:c r="J149" s="54" t="n">
        <x:v>0.40304</x:v>
      </x:c>
      <x:c r="K149" s="54" t="n">
        <x:v>0.12985</x:v>
      </x:c>
      <x:c r="L149" s="54" t="n">
        <x:v>0.24241</x:v>
      </x:c>
      <x:c r="M149" s="54" t="n">
        <x:v>0.48826</x:v>
      </x:c>
      <x:c r="N149" s="56" t="n">
        <x:v>-54.23</x:v>
      </x:c>
      <x:c r="O149" s="56" t="n">
        <x:v>5.22</x:v>
      </x:c>
      <x:c r="P149" s="56" t="n">
        <x:v>7.16</x:v>
      </x:c>
      <x:c r="Q149" s="56" t="n">
        <x:v>82.9</x:v>
      </x:c>
      <x:c r="R149" t="str">
        <x:v>X</x:v>
      </x:c>
      <x:c r="S149" s="102" t="n">
        <x:v>100</x:v>
      </x:c>
      <x:c r="T149" t="str">
        <x:v>VALID</x:v>
      </x:c>
      <x:c r="U149" t="n">
        <x:v>841</x:v>
      </x:c>
      <x:c r="V149" t="str">
        <x:v>Pasted text(56).txt</x:v>
      </x:c>
    </x:row>
    <x:row r="150">
      <x:c r="A150" t="str">
        <x:v>S03</x:v>
      </x:c>
      <x:c r="B150" t="str">
        <x:v>0.90 validated five-run session</x:v>
      </x:c>
      <x:c r="C150" s="54" t="n">
        <x:v>0.9</x:v>
      </x:c>
      <x:c r="D150" t="n">
        <x:v>3</x:v>
      </x:c>
      <x:c r="E150" t="n">
        <x:v>2</x:v>
      </x:c>
      <x:c r="F150" t="str">
        <x:v>SEARCH</x:v>
      </x:c>
      <x:c r="G150" t="n">
        <x:v>4</x:v>
      </x:c>
      <x:c r="H150" s="54" t="n">
        <x:v>6</x:v>
      </x:c>
      <x:c r="I150" s="54" t="n">
        <x:v>0.50621</x:v>
      </x:c>
      <x:c r="J150" s="54" t="n">
        <x:v>0.49638</x:v>
      </x:c>
      <x:c r="K150" s="54" t="n">
        <x:v>0.17119</x:v>
      </x:c>
      <x:c r="L150" s="54" t="n">
        <x:v>0.31915</x:v>
      </x:c>
      <x:c r="M150" s="54" t="n">
        <x:v>0.61536</x:v>
      </x:c>
      <x:c r="N150" s="56" t="n">
        <x:v>-43.75</x:v>
      </x:c>
      <x:c r="O150" s="56" t="n">
        <x:v>2.51</x:v>
      </x:c>
      <x:c r="P150" s="56" t="n">
        <x:v>5</x:v>
      </x:c>
      <x:c r="Q150" s="56" t="n">
        <x:v>85.8</x:v>
      </x:c>
      <x:c r="R150" t="str">
        <x:v>X</x:v>
      </x:c>
      <x:c r="S150" s="102" t="n">
        <x:v>100</x:v>
      </x:c>
      <x:c r="T150" t="str">
        <x:v>VALID</x:v>
      </x:c>
      <x:c r="U150" t="n">
        <x:v>842</x:v>
      </x:c>
      <x:c r="V150" t="str">
        <x:v>Pasted text(56).txt</x:v>
      </x:c>
    </x:row>
    <x:row r="151">
      <x:c r="A151" t="str">
        <x:v>S03</x:v>
      </x:c>
      <x:c r="B151" t="str">
        <x:v>0.90 validated five-run session</x:v>
      </x:c>
      <x:c r="C151" s="54" t="n">
        <x:v>0.9</x:v>
      </x:c>
      <x:c r="D151" t="n">
        <x:v>3</x:v>
      </x:c>
      <x:c r="E151" t="n">
        <x:v>2</x:v>
      </x:c>
      <x:c r="F151" t="str">
        <x:v>SEARCH</x:v>
      </x:c>
      <x:c r="G151" t="n">
        <x:v>5</x:v>
      </x:c>
      <x:c r="H151" s="54" t="n">
        <x:v>7</x:v>
      </x:c>
      <x:c r="I151" s="54" t="n">
        <x:v>0.61898</x:v>
      </x:c>
      <x:c r="J151" s="54" t="n">
        <x:v>0.62032</x:v>
      </x:c>
      <x:c r="K151" s="54" t="n">
        <x:v>0.2154</x:v>
      </x:c>
      <x:c r="L151" s="54" t="n">
        <x:v>0.37037</x:v>
      </x:c>
      <x:c r="M151" s="54" t="n">
        <x:v>0.75405</x:v>
      </x:c>
      <x:c r="N151" s="56" t="n">
        <x:v>-31.22</x:v>
      </x:c>
      <x:c r="O151" s="56" t="n">
        <x:v>1.59</x:v>
      </x:c>
      <x:c r="P151" s="56" t="n">
        <x:v>1.41</x:v>
      </x:c>
      <x:c r="Q151" s="56" t="n">
        <x:v>89.1</x:v>
      </x:c>
      <x:c r="R151" t="str">
        <x:v>X</x:v>
      </x:c>
      <x:c r="S151" s="102" t="n">
        <x:v>100</x:v>
      </x:c>
      <x:c r="T151" t="str">
        <x:v>VALID</x:v>
      </x:c>
      <x:c r="U151" t="n">
        <x:v>843</x:v>
      </x:c>
      <x:c r="V151" t="str">
        <x:v>Pasted text(56).txt</x:v>
      </x:c>
    </x:row>
    <x:row r="152">
      <x:c r="A152" t="str">
        <x:v>S03</x:v>
      </x:c>
      <x:c r="B152" t="str">
        <x:v>0.90 validated five-run session</x:v>
      </x:c>
      <x:c r="C152" s="54" t="n">
        <x:v>0.9</x:v>
      </x:c>
      <x:c r="D152" t="n">
        <x:v>3</x:v>
      </x:c>
      <x:c r="E152" t="n">
        <x:v>2</x:v>
      </x:c>
      <x:c r="F152" t="str">
        <x:v>SEARCH</x:v>
      </x:c>
      <x:c r="G152" t="n">
        <x:v>6</x:v>
      </x:c>
      <x:c r="H152" s="54" t="n">
        <x:v>7.5</x:v>
      </x:c>
      <x:c r="I152" s="54" t="n">
        <x:v>0.6748</x:v>
      </x:c>
      <x:c r="J152" s="54" t="n">
        <x:v>0.67157</x:v>
      </x:c>
      <x:c r="K152" s="54" t="n">
        <x:v>0.25735</x:v>
      </x:c>
      <x:c r="L152" s="54" t="n">
        <x:v>0.40903</x:v>
      </x:c>
      <x:c r="M152" s="54" t="n">
        <x:v>0.8277</x:v>
      </x:c>
      <x:c r="N152" s="56" t="n">
        <x:v>-25.02</x:v>
      </x:c>
      <x:c r="O152" s="56" t="n">
        <x:v>3.37</x:v>
      </x:c>
      <x:c r="P152" s="56" t="n">
        <x:v>3.04</x:v>
      </x:c>
      <x:c r="Q152" s="56" t="n">
        <x:v>88.7</x:v>
      </x:c>
      <x:c r="R152" t="str">
        <x:v>X</x:v>
      </x:c>
      <x:c r="S152" s="102" t="n">
        <x:v>100</x:v>
      </x:c>
      <x:c r="T152" t="str">
        <x:v>VALID</x:v>
      </x:c>
      <x:c r="U152" t="n">
        <x:v>844</x:v>
      </x:c>
      <x:c r="V152" t="str">
        <x:v>Pasted text(56).txt</x:v>
      </x:c>
    </x:row>
    <x:row r="153">
      <x:c r="A153" t="str">
        <x:v>S03</x:v>
      </x:c>
      <x:c r="B153" t="str">
        <x:v>0.90 validated five-run session</x:v>
      </x:c>
      <x:c r="C153" s="54" t="n">
        <x:v>0.9</x:v>
      </x:c>
      <x:c r="D153" t="n">
        <x:v>3</x:v>
      </x:c>
      <x:c r="E153" t="n">
        <x:v>2</x:v>
      </x:c>
      <x:c r="F153" t="str">
        <x:v>SEARCH</x:v>
      </x:c>
      <x:c r="G153" t="n">
        <x:v>7</x:v>
      </x:c>
      <x:c r="H153" s="54" t="n">
        <x:v>8</x:v>
      </x:c>
      <x:c r="I153" s="54" t="n">
        <x:v>0.74076</x:v>
      </x:c>
      <x:c r="J153" s="54" t="n">
        <x:v>0.74245</x:v>
      </x:c>
      <x:c r="K153" s="54" t="n">
        <x:v>0.26632</x:v>
      </x:c>
      <x:c r="L153" s="54" t="n">
        <x:v>0.46384</x:v>
      </x:c>
      <x:c r="M153" s="54" t="n">
        <x:v>0.91507</x:v>
      </x:c>
      <x:c r="N153" s="56" t="n">
        <x:v>-17.69</x:v>
      </x:c>
      <x:c r="O153" s="56" t="n">
        <x:v>1.02</x:v>
      </x:c>
      <x:c r="P153" s="56" t="n">
        <x:v>1.05</x:v>
      </x:c>
      <x:c r="Q153" s="56" t="n">
        <x:v>89.8</x:v>
      </x:c>
      <x:c r="R153" t="str">
        <x:v>X</x:v>
      </x:c>
      <x:c r="S153" s="102" t="n">
        <x:v>100</x:v>
      </x:c>
      <x:c r="T153" t="str">
        <x:v>VALID</x:v>
      </x:c>
      <x:c r="U153" t="n">
        <x:v>845</x:v>
      </x:c>
      <x:c r="V153" t="str">
        <x:v>Pasted text(56).txt</x:v>
      </x:c>
    </x:row>
    <x:row r="154">
      <x:c r="A154" t="str">
        <x:v>S03</x:v>
      </x:c>
      <x:c r="B154" t="str">
        <x:v>0.90 validated five-run session</x:v>
      </x:c>
      <x:c r="C154" s="54" t="n">
        <x:v>0.9</x:v>
      </x:c>
      <x:c r="D154" t="n">
        <x:v>3</x:v>
      </x:c>
      <x:c r="E154" t="n">
        <x:v>2</x:v>
      </x:c>
      <x:c r="F154" t="str">
        <x:v>SEARCH</x:v>
      </x:c>
      <x:c r="G154" t="n">
        <x:v>8</x:v>
      </x:c>
      <x:c r="H154" s="54" t="n">
        <x:v>8.5</x:v>
      </x:c>
      <x:c r="I154" s="54" t="n">
        <x:v>0.78407</x:v>
      </x:c>
      <x:c r="J154" s="54" t="n">
        <x:v>0.78588</x:v>
      </x:c>
      <x:c r="K154" s="54" t="n">
        <x:v>0.26383</x:v>
      </x:c>
      <x:c r="L154" s="54" t="n">
        <x:v>0.47364</x:v>
      </x:c>
      <x:c r="M154" s="54" t="n">
        <x:v>0.95487</x:v>
      </x:c>
      <x:c r="N154" s="56" t="n">
        <x:v>-12.88</x:v>
      </x:c>
      <x:c r="O154" s="56" t="n">
        <x:v>1.17</x:v>
      </x:c>
      <x:c r="P154" s="56" t="n">
        <x:v>1.15</x:v>
      </x:c>
      <x:c r="Q154" s="56" t="n">
        <x:v>89.3</x:v>
      </x:c>
      <x:c r="R154" t="str">
        <x:v>X</x:v>
      </x:c>
      <x:c r="S154" s="102" t="n">
        <x:v>100</x:v>
      </x:c>
      <x:c r="T154" t="str">
        <x:v>VALID</x:v>
      </x:c>
      <x:c r="U154" t="n">
        <x:v>846</x:v>
      </x:c>
      <x:c r="V154" t="str">
        <x:v>Pasted text(56).txt</x:v>
      </x:c>
    </x:row>
    <x:row r="155">
      <x:c r="A155" t="str">
        <x:v>S03</x:v>
      </x:c>
      <x:c r="B155" t="str">
        <x:v>0.90 validated five-run session</x:v>
      </x:c>
      <x:c r="C155" s="54" t="n">
        <x:v>0.9</x:v>
      </x:c>
      <x:c r="D155" t="n">
        <x:v>3</x:v>
      </x:c>
      <x:c r="E155" t="n">
        <x:v>2</x:v>
      </x:c>
      <x:c r="F155" t="str">
        <x:v>SEARCH</x:v>
      </x:c>
      <x:c r="G155" t="n">
        <x:v>9</x:v>
      </x:c>
      <x:c r="H155" s="54" t="n">
        <x:v>8.75</x:v>
      </x:c>
      <x:c r="I155" s="54" t="n">
        <x:v>0.84544</x:v>
      </x:c>
      <x:c r="J155" s="54" t="n">
        <x:v>0.85102</x:v>
      </x:c>
      <x:c r="K155" s="54" t="n">
        <x:v>0.2884</x:v>
      </x:c>
      <x:c r="L155" s="54" t="n">
        <x:v>0.50833</x:v>
      </x:c>
      <x:c r="M155" s="54" t="n">
        <x:v>1.03251</x:v>
      </x:c>
      <x:c r="N155" s="56" t="n">
        <x:v>-6.06</x:v>
      </x:c>
      <x:c r="O155" s="56" t="n">
        <x:v>0.48</x:v>
      </x:c>
      <x:c r="P155" s="56" t="n">
        <x:v>1.42</x:v>
      </x:c>
      <x:c r="Q155" s="56" t="n">
        <x:v>91.8</x:v>
      </x:c>
      <x:c r="R155" t="str">
        <x:v>X</x:v>
      </x:c>
      <x:c r="S155" s="102" t="n">
        <x:v>100</x:v>
      </x:c>
      <x:c r="T155" t="str">
        <x:v>IN TARGET BAND</x:v>
      </x:c>
      <x:c r="U155" t="n">
        <x:v>847</x:v>
      </x:c>
      <x:c r="V155" t="str">
        <x:v>Pasted text(56).txt</x:v>
      </x:c>
    </x:row>
    <x:row r="156">
      <x:c r="A156" t="str">
        <x:v>S03</x:v>
      </x:c>
      <x:c r="B156" t="str">
        <x:v>0.90 validated five-run session</x:v>
      </x:c>
      <x:c r="C156" s="54" t="n">
        <x:v>0.9</x:v>
      </x:c>
      <x:c r="D156" t="n">
        <x:v>3</x:v>
      </x:c>
      <x:c r="E156" t="n">
        <x:v>2</x:v>
      </x:c>
      <x:c r="F156" t="str">
        <x:v>FINE</x:v>
      </x:c>
      <x:c r="G156" t="n">
        <x:v>1</x:v>
      </x:c>
      <x:c r="H156" s="54" t="n">
        <x:v>7.75</x:v>
      </x:c>
      <x:c r="I156" s="54" t="n">
        <x:v>0.72533</x:v>
      </x:c>
      <x:c r="J156" s="54" t="n">
        <x:v>0.72622</x:v>
      </x:c>
      <x:c r="K156" s="54" t="n">
        <x:v>0.27136</x:v>
      </x:c>
      <x:c r="L156" s="54" t="n">
        <x:v>0.42434</x:v>
      </x:c>
      <x:c r="M156" s="54" t="n">
        <x:v>0.88405</x:v>
      </x:c>
      <x:c r="N156" s="56" t="n">
        <x:v>-19.41</x:v>
      </x:c>
      <x:c r="O156" s="56" t="n">
        <x:v>1.94</x:v>
      </x:c>
      <x:c r="P156" s="56" t="n">
        <x:v>1.5</x:v>
      </x:c>
      <x:c r="Q156" s="56" t="n">
        <x:v>91</x:v>
      </x:c>
      <x:c r="R156" t="str">
        <x:v>X</x:v>
      </x:c>
      <x:c r="S156" s="102" t="n">
        <x:v>100</x:v>
      </x:c>
      <x:c r="T156" t="str">
        <x:v>VALID</x:v>
      </x:c>
      <x:c r="U156" t="n">
        <x:v>851</x:v>
      </x:c>
      <x:c r="V156" t="str">
        <x:v>Pasted text(56).txt</x:v>
      </x:c>
    </x:row>
    <x:row r="157">
      <x:c r="A157" t="str">
        <x:v>S03</x:v>
      </x:c>
      <x:c r="B157" t="str">
        <x:v>0.90 validated five-run session</x:v>
      </x:c>
      <x:c r="C157" s="54" t="n">
        <x:v>0.9</x:v>
      </x:c>
      <x:c r="D157" t="n">
        <x:v>3</x:v>
      </x:c>
      <x:c r="E157" t="n">
        <x:v>2</x:v>
      </x:c>
      <x:c r="F157" t="str">
        <x:v>FINE</x:v>
      </x:c>
      <x:c r="G157" t="n">
        <x:v>2</x:v>
      </x:c>
      <x:c r="H157" s="54" t="n">
        <x:v>8</x:v>
      </x:c>
      <x:c r="I157" s="54" t="n">
        <x:v>0.7509</x:v>
      </x:c>
      <x:c r="J157" s="54" t="n">
        <x:v>0.75115</x:v>
      </x:c>
      <x:c r="K157" s="54" t="n">
        <x:v>0.27957</x:v>
      </x:c>
      <x:c r="L157" s="54" t="n">
        <x:v>0.44834</x:v>
      </x:c>
      <x:c r="M157" s="54" t="n">
        <x:v>0.91846</x:v>
      </x:c>
      <x:c r="N157" s="56" t="n">
        <x:v>-16.57</x:v>
      </x:c>
      <x:c r="O157" s="56" t="n">
        <x:v>1.54</x:v>
      </x:c>
      <x:c r="P157" s="56" t="n">
        <x:v>1.09</x:v>
      </x:c>
      <x:c r="Q157" s="56" t="n">
        <x:v>92.2</x:v>
      </x:c>
      <x:c r="R157" t="str">
        <x:v>X</x:v>
      </x:c>
      <x:c r="S157" s="102" t="n">
        <x:v>100</x:v>
      </x:c>
      <x:c r="T157" t="str">
        <x:v>VALID</x:v>
      </x:c>
      <x:c r="U157" t="n">
        <x:v>852</x:v>
      </x:c>
      <x:c r="V157" t="str">
        <x:v>Pasted text(56).txt</x:v>
      </x:c>
    </x:row>
    <x:row r="158">
      <x:c r="A158" t="str">
        <x:v>S03</x:v>
      </x:c>
      <x:c r="B158" t="str">
        <x:v>0.90 validated five-run session</x:v>
      </x:c>
      <x:c r="C158" s="54" t="n">
        <x:v>0.9</x:v>
      </x:c>
      <x:c r="D158" t="n">
        <x:v>3</x:v>
      </x:c>
      <x:c r="E158" t="n">
        <x:v>2</x:v>
      </x:c>
      <x:c r="F158" t="str">
        <x:v>FINE</x:v>
      </x:c>
      <x:c r="G158" t="n">
        <x:v>3</x:v>
      </x:c>
      <x:c r="H158" s="54" t="n">
        <x:v>8.25</x:v>
      </x:c>
      <x:c r="I158" s="54" t="n">
        <x:v>0.77804</x:v>
      </x:c>
      <x:c r="J158" s="54" t="n">
        <x:v>0.77355</x:v>
      </x:c>
      <x:c r="K158" s="54" t="n">
        <x:v>0.27724</x:v>
      </x:c>
      <x:c r="L158" s="54" t="n">
        <x:v>0.44956</x:v>
      </x:c>
      <x:c r="M158" s="54" t="n">
        <x:v>0.93684</x:v>
      </x:c>
      <x:c r="N158" s="56" t="n">
        <x:v>-13.55</x:v>
      </x:c>
      <x:c r="O158" s="56" t="n">
        <x:v>2.55</x:v>
      </x:c>
      <x:c r="P158" s="56" t="n">
        <x:v>2.65</x:v>
      </x:c>
      <x:c r="Q158" s="56" t="n">
        <x:v>90.8</x:v>
      </x:c>
      <x:c r="R158" t="str">
        <x:v>X</x:v>
      </x:c>
      <x:c r="S158" s="102" t="n">
        <x:v>100</x:v>
      </x:c>
      <x:c r="T158" t="str">
        <x:v>VALID</x:v>
      </x:c>
      <x:c r="U158" t="n">
        <x:v>853</x:v>
      </x:c>
      <x:c r="V158" t="str">
        <x:v>Pasted text(56).txt</x:v>
      </x:c>
    </x:row>
    <x:row r="159">
      <x:c r="A159" t="str">
        <x:v>S03</x:v>
      </x:c>
      <x:c r="B159" t="str">
        <x:v>0.90 validated five-run session</x:v>
      </x:c>
      <x:c r="C159" s="54" t="n">
        <x:v>0.9</x:v>
      </x:c>
      <x:c r="D159" t="n">
        <x:v>3</x:v>
      </x:c>
      <x:c r="E159" t="n">
        <x:v>2</x:v>
      </x:c>
      <x:c r="F159" t="str">
        <x:v>FINE</x:v>
      </x:c>
      <x:c r="G159" t="n">
        <x:v>4</x:v>
      </x:c>
      <x:c r="H159" s="54" t="n">
        <x:v>8.5</x:v>
      </x:c>
      <x:c r="I159" s="54" t="n">
        <x:v>0.7807</x:v>
      </x:c>
      <x:c r="J159" s="54" t="n">
        <x:v>0.77818</x:v>
      </x:c>
      <x:c r="K159" s="54" t="n">
        <x:v>0.27989</x:v>
      </x:c>
      <x:c r="L159" s="54" t="n">
        <x:v>0.47125</x:v>
      </x:c>
      <x:c r="M159" s="54" t="n">
        <x:v>0.95232</x:v>
      </x:c>
      <x:c r="N159" s="56" t="n">
        <x:v>-13.26</x:v>
      </x:c>
      <x:c r="O159" s="56" t="n">
        <x:v>2.01</x:v>
      </x:c>
      <x:c r="P159" s="56" t="n">
        <x:v>1.87</x:v>
      </x:c>
      <x:c r="Q159" s="56" t="n">
        <x:v>89.6</x:v>
      </x:c>
      <x:c r="R159" t="str">
        <x:v>X</x:v>
      </x:c>
      <x:c r="S159" s="102" t="n">
        <x:v>100</x:v>
      </x:c>
      <x:c r="T159" t="str">
        <x:v>VALID</x:v>
      </x:c>
      <x:c r="U159" t="n">
        <x:v>854</x:v>
      </x:c>
      <x:c r="V159" t="str">
        <x:v>Pasted text(56).txt</x:v>
      </x:c>
    </x:row>
    <x:row r="160">
      <x:c r="A160" t="str">
        <x:v>S03</x:v>
      </x:c>
      <x:c r="B160" t="str">
        <x:v>0.90 validated five-run session</x:v>
      </x:c>
      <x:c r="C160" s="54" t="n">
        <x:v>0.9</x:v>
      </x:c>
      <x:c r="D160" t="n">
        <x:v>3</x:v>
      </x:c>
      <x:c r="E160" t="n">
        <x:v>2</x:v>
      </x:c>
      <x:c r="F160" t="str">
        <x:v>FINE</x:v>
      </x:c>
      <x:c r="G160" t="n">
        <x:v>5</x:v>
      </x:c>
      <x:c r="H160" s="54" t="n">
        <x:v>8.75</x:v>
      </x:c>
      <x:c r="I160" s="54" t="n">
        <x:v>0.83806</x:v>
      </x:c>
      <x:c r="J160" s="54" t="n">
        <x:v>0.84515</x:v>
      </x:c>
      <x:c r="K160" s="54" t="n">
        <x:v>0.29831</x:v>
      </x:c>
      <x:c r="L160" s="54" t="n">
        <x:v>0.50475</x:v>
      </x:c>
      <x:c r="M160" s="54" t="n">
        <x:v>1.02868</x:v>
      </x:c>
      <x:c r="N160" s="56" t="n">
        <x:v>-6.88</x:v>
      </x:c>
      <x:c r="O160" s="56" t="n">
        <x:v>0.46</x:v>
      </x:c>
      <x:c r="P160" s="56" t="n">
        <x:v>1.73</x:v>
      </x:c>
      <x:c r="Q160" s="56" t="n">
        <x:v>90.9</x:v>
      </x:c>
      <x:c r="R160" t="str">
        <x:v>X</x:v>
      </x:c>
      <x:c r="S160" s="102" t="n">
        <x:v>100</x:v>
      </x:c>
      <x:c r="T160" t="str">
        <x:v>IN TARGET BAND</x:v>
      </x:c>
      <x:c r="U160" t="n">
        <x:v>855</x:v>
      </x:c>
      <x:c r="V160" t="str">
        <x:v>Pasted text(56).txt</x:v>
      </x:c>
    </x:row>
    <x:row r="161">
      <x:c r="A161" t="str">
        <x:v>S03</x:v>
      </x:c>
      <x:c r="B161" t="str">
        <x:v>0.90 validated five-run session</x:v>
      </x:c>
      <x:c r="C161" s="54" t="n">
        <x:v>0.9</x:v>
      </x:c>
      <x:c r="D161" t="n">
        <x:v>3</x:v>
      </x:c>
      <x:c r="E161" t="n">
        <x:v>2</x:v>
      </x:c>
      <x:c r="F161" t="str">
        <x:v>FINE</x:v>
      </x:c>
      <x:c r="G161" t="n">
        <x:v>6</x:v>
      </x:c>
      <x:c r="H161" s="54" t="n">
        <x:v>9</x:v>
      </x:c>
      <x:c r="I161" s="54" t="n">
        <x:v>0.8797</x:v>
      </x:c>
      <x:c r="J161" s="54" t="n">
        <x:v>0.88086</x:v>
      </x:c>
      <x:c r="K161" s="54" t="n">
        <x:v>0.30184</x:v>
      </x:c>
      <x:c r="L161" s="54" t="n">
        <x:v>0.51151</x:v>
      </x:c>
      <x:c r="M161" s="54" t="n">
        <x:v>1.06248</x:v>
      </x:c>
      <x:c r="N161" s="56" t="n">
        <x:v>-2.26</x:v>
      </x:c>
      <x:c r="O161" s="56" t="n">
        <x:v>1.7</x:v>
      </x:c>
      <x:c r="P161" s="56" t="n">
        <x:v>1.35</x:v>
      </x:c>
      <x:c r="Q161" s="56" t="n">
        <x:v>91.1</x:v>
      </x:c>
      <x:c r="R161" t="str">
        <x:v>X</x:v>
      </x:c>
      <x:c r="S161" s="102" t="n">
        <x:v>100</x:v>
      </x:c>
      <x:c r="T161" t="str">
        <x:v>IN TARGET BAND</x:v>
      </x:c>
      <x:c r="U161" t="n">
        <x:v>856</x:v>
      </x:c>
      <x:c r="V161" t="str">
        <x:v>Pasted text(56).txt</x:v>
      </x:c>
    </x:row>
    <x:row r="162">
      <x:c r="A162" t="str">
        <x:v>S03</x:v>
      </x:c>
      <x:c r="B162" t="str">
        <x:v>0.90 validated five-run session</x:v>
      </x:c>
      <x:c r="C162" s="54" t="n">
        <x:v>0.9</x:v>
      </x:c>
      <x:c r="D162" t="n">
        <x:v>3</x:v>
      </x:c>
      <x:c r="E162" t="n">
        <x:v>2</x:v>
      </x:c>
      <x:c r="F162" t="str">
        <x:v>FINE</x:v>
      </x:c>
      <x:c r="G162" t="n">
        <x:v>7</x:v>
      </x:c>
      <x:c r="H162" s="54" t="n">
        <x:v>9.25</x:v>
      </x:c>
      <x:c r="I162" s="54" t="n">
        <x:v>0.89979</x:v>
      </x:c>
      <x:c r="J162" s="54" t="n">
        <x:v>0.8987</x:v>
      </x:c>
      <x:c r="K162" s="54" t="n">
        <x:v>0.32486</x:v>
      </x:c>
      <x:c r="L162" s="54" t="n">
        <x:v>0.51087</x:v>
      </x:c>
      <x:c r="M162" s="54" t="n">
        <x:v>1.08382</x:v>
      </x:c>
      <x:c r="N162" s="56" t="n">
        <x:v>-0.02</x:v>
      </x:c>
      <x:c r="O162" s="56" t="n">
        <x:v>0.11</x:v>
      </x:c>
      <x:c r="P162" s="56" t="n">
        <x:v>0.28</x:v>
      </x:c>
      <x:c r="Q162" s="56" t="n">
        <x:v>91.9</x:v>
      </x:c>
      <x:c r="R162" t="str">
        <x:v>X</x:v>
      </x:c>
      <x:c r="S162" s="102" t="n">
        <x:v>100</x:v>
      </x:c>
      <x:c r="T162" t="str">
        <x:v>IN TARGET BAND</x:v>
      </x:c>
      <x:c r="U162" t="n">
        <x:v>857</x:v>
      </x:c>
      <x:c r="V162" t="str">
        <x:v>Pasted text(56).txt</x:v>
      </x:c>
    </x:row>
    <x:row r="163">
      <x:c r="A163" t="str">
        <x:v>S03</x:v>
      </x:c>
      <x:c r="B163" t="str">
        <x:v>0.90 validated five-run session</x:v>
      </x:c>
      <x:c r="C163" s="54" t="n">
        <x:v>0.9</x:v>
      </x:c>
      <x:c r="D163" t="n">
        <x:v>3</x:v>
      </x:c>
      <x:c r="E163" t="n">
        <x:v>2</x:v>
      </x:c>
      <x:c r="F163" t="str">
        <x:v>FINE</x:v>
      </x:c>
      <x:c r="G163" t="n">
        <x:v>8</x:v>
      </x:c>
      <x:c r="H163" s="54" t="n">
        <x:v>9.5</x:v>
      </x:c>
      <x:c r="I163" s="54" t="n">
        <x:v>0.92312</x:v>
      </x:c>
      <x:c r="J163" s="54" t="n">
        <x:v>0.92641</x:v>
      </x:c>
      <x:c r="K163" s="54" t="n">
        <x:v>0.31526</x:v>
      </x:c>
      <x:c r="L163" s="54" t="n">
        <x:v>0.5186</x:v>
      </x:c>
      <x:c r="M163" s="54" t="n">
        <x:v>1.10793</x:v>
      </x:c>
      <x:c r="N163" s="56" t="n">
        <x:v>2.57</x:v>
      </x:c>
      <x:c r="O163" s="56" t="n">
        <x:v>2.07</x:v>
      </x:c>
      <x:c r="P163" s="56" t="n">
        <x:v>1.95</x:v>
      </x:c>
      <x:c r="Q163" s="56" t="n">
        <x:v>92.8</x:v>
      </x:c>
      <x:c r="R163" t="str">
        <x:v>X</x:v>
      </x:c>
      <x:c r="S163" s="102" t="n">
        <x:v>100</x:v>
      </x:c>
      <x:c r="T163" t="str">
        <x:v>IN TARGET BAND</x:v>
      </x:c>
      <x:c r="U163" t="n">
        <x:v>858</x:v>
      </x:c>
      <x:c r="V163" t="str">
        <x:v>Pasted text(56).txt</x:v>
      </x:c>
    </x:row>
    <x:row r="164">
      <x:c r="A164" t="str">
        <x:v>S03</x:v>
      </x:c>
      <x:c r="B164" t="str">
        <x:v>0.90 validated five-run session</x:v>
      </x:c>
      <x:c r="C164" s="54" t="n">
        <x:v>0.9</x:v>
      </x:c>
      <x:c r="D164" t="n">
        <x:v>3</x:v>
      </x:c>
      <x:c r="E164" t="n">
        <x:v>2</x:v>
      </x:c>
      <x:c r="F164" t="str">
        <x:v>FINE</x:v>
      </x:c>
      <x:c r="G164" t="n">
        <x:v>9</x:v>
      </x:c>
      <x:c r="H164" s="54" t="n">
        <x:v>9.75</x:v>
      </x:c>
      <x:c r="I164" s="54" t="n">
        <x:v>0.96296</x:v>
      </x:c>
      <x:c r="J164" s="54" t="n">
        <x:v>0.96994</x:v>
      </x:c>
      <x:c r="K164" s="54" t="n">
        <x:v>0.33048</x:v>
      </x:c>
      <x:c r="L164" s="54" t="n">
        <x:v>0.56932</x:v>
      </x:c>
      <x:c r="M164" s="54" t="n">
        <x:v>1.17245</x:v>
      </x:c>
      <x:c r="N164" s="56" t="n">
        <x:v>7</x:v>
      </x:c>
      <x:c r="O164" s="56" t="n">
        <x:v>0.42</x:v>
      </x:c>
      <x:c r="P164" s="56" t="n">
        <x:v>1.5</x:v>
      </x:c>
      <x:c r="Q164" s="56" t="n">
        <x:v>91.9</x:v>
      </x:c>
      <x:c r="R164" t="str">
        <x:v>X</x:v>
      </x:c>
      <x:c r="S164" s="102" t="n">
        <x:v>100</x:v>
      </x:c>
      <x:c r="T164" t="str">
        <x:v>IN TARGET BAND</x:v>
      </x:c>
      <x:c r="U164" t="n">
        <x:v>859</x:v>
      </x:c>
      <x:c r="V164" t="str">
        <x:v>Pasted text(56).txt</x:v>
      </x:c>
    </x:row>
    <x:row r="165">
      <x:c r="A165" t="str">
        <x:v>S03</x:v>
      </x:c>
      <x:c r="B165" t="str">
        <x:v>0.90 validated five-run session</x:v>
      </x:c>
      <x:c r="C165" s="54" t="n">
        <x:v>0.9</x:v>
      </x:c>
      <x:c r="D165" t="n">
        <x:v>3</x:v>
      </x:c>
      <x:c r="E165" t="n">
        <x:v>2</x:v>
      </x:c>
      <x:c r="F165" t="str">
        <x:v>FINAL</x:v>
      </x:c>
      <x:c r="G165" t="n">
        <x:v>1</x:v>
      </x:c>
      <x:c r="H165" s="54" t="n">
        <x:v>9.25</x:v>
      </x:c>
      <x:c r="I165" s="54" t="n">
        <x:v>0.91107</x:v>
      </x:c>
      <x:c r="J165" s="54" t="n">
        <x:v>0.91056</x:v>
      </x:c>
      <x:c r="K165" s="54" t="n">
        <x:v>0.31071</x:v>
      </x:c>
      <x:c r="L165" s="54" t="n">
        <x:v>0.51833</x:v>
      </x:c>
      <x:c r="M165" s="54" t="n">
        <x:v>1.09309</x:v>
      </x:c>
      <x:c r="N165" s="56" t="n">
        <x:v>1.23</x:v>
      </x:c>
      <x:c r="O165" s="56" t="n">
        <x:v>0.48</x:v>
      </x:c>
      <x:c r="P165" s="56" t="n">
        <x:v>0.8</x:v>
      </x:c>
      <x:c r="Q165" s="56" t="n">
        <x:v>92.5</x:v>
      </x:c>
      <x:c r="R165" t="str">
        <x:v>X</x:v>
      </x:c>
      <x:c r="S165" s="102" t="n">
        <x:v>100</x:v>
      </x:c>
      <x:c r="T165" t="str">
        <x:v>IN TARGET BAND</x:v>
      </x:c>
      <x:c r="U165" t="n">
        <x:v>862</x:v>
      </x:c>
      <x:c r="V165" t="str">
        <x:v>Pasted text(56).txt</x:v>
      </x:c>
    </x:row>
    <x:row r="166">
      <x:c r="A166" t="str">
        <x:v>S03</x:v>
      </x:c>
      <x:c r="B166" t="str">
        <x:v>0.90 validated five-run session</x:v>
      </x:c>
      <x:c r="C166" s="54" t="n">
        <x:v>0.9</x:v>
      </x:c>
      <x:c r="D166" t="n">
        <x:v>3</x:v>
      </x:c>
      <x:c r="E166" t="n">
        <x:v>2</x:v>
      </x:c>
      <x:c r="F166" t="str">
        <x:v>FINAL</x:v>
      </x:c>
      <x:c r="G166" t="n">
        <x:v>2</x:v>
      </x:c>
      <x:c r="H166" s="54" t="n">
        <x:v>9.25</x:v>
      </x:c>
      <x:c r="I166" s="54" t="n">
        <x:v>0.8987</x:v>
      </x:c>
      <x:c r="J166" s="54" t="n">
        <x:v>0.90143</x:v>
      </x:c>
      <x:c r="K166" s="54" t="n">
        <x:v>0.31464</x:v>
      </x:c>
      <x:c r="L166" s="54" t="n">
        <x:v>0.52532</x:v>
      </x:c>
      <x:c r="M166" s="54" t="n">
        <x:v>1.08993</x:v>
      </x:c>
      <x:c r="N166" s="56" t="n">
        <x:v>-0.14</x:v>
      </x:c>
      <x:c r="O166" s="56" t="n">
        <x:v>1.12</x:v>
      </x:c>
      <x:c r="P166" s="56" t="n">
        <x:v>1.37</x:v>
      </x:c>
      <x:c r="Q166" s="56" t="n">
        <x:v>91.8</x:v>
      </x:c>
      <x:c r="R166" t="str">
        <x:v>X</x:v>
      </x:c>
      <x:c r="S166" s="102" t="n">
        <x:v>100</x:v>
      </x:c>
      <x:c r="T166" t="str">
        <x:v>IN TARGET BAND</x:v>
      </x:c>
      <x:c r="U166" t="n">
        <x:v>863</x:v>
      </x:c>
      <x:c r="V166" t="str">
        <x:v>Pasted text(56).txt</x:v>
      </x:c>
    </x:row>
    <x:row r="167">
      <x:c r="A167" t="str">
        <x:v>S03</x:v>
      </x:c>
      <x:c r="B167" t="str">
        <x:v>0.90 validated five-run session</x:v>
      </x:c>
      <x:c r="C167" s="54" t="n">
        <x:v>0.9</x:v>
      </x:c>
      <x:c r="D167" t="n">
        <x:v>4</x:v>
      </x:c>
      <x:c r="E167" t="n">
        <x:v>1</x:v>
      </x:c>
      <x:c r="F167" t="str">
        <x:v>SEARCH</x:v>
      </x:c>
      <x:c r="G167" t="n">
        <x:v>1</x:v>
      </x:c>
      <x:c r="H167" s="54" t="n">
        <x:v>1</x:v>
      </x:c>
      <x:c r="I167" s="54" t="n">
        <x:v>0.0089</x:v>
      </x:c>
      <x:c r="J167" s="54" t="n">
        <x:v>0.0085</x:v>
      </x:c>
      <x:c r="K167" s="54" t="n">
        <x:v>0.01843</x:v>
      </x:c>
      <x:c r="L167" s="54" t="n">
        <x:v>0.02606</x:v>
      </x:c>
      <x:c r="M167" s="54" t="n">
        <x:v>0.03413</x:v>
      </x:c>
      <x:c r="N167" s="56" t="n">
        <x:v>-99.01</x:v>
      </x:c>
      <x:c r="O167" s="56" t="n">
        <x:v>13.45</x:v>
      </x:c>
      <x:c r="P167" s="56" t="n">
        <x:v>6.72</x:v>
      </x:c>
      <x:c r="Q167" s="56" t="n">
        <x:v>4.9</x:v>
      </x:c>
      <x:c r="R167" t="str">
        <x:v>Z</x:v>
      </x:c>
      <x:c r="S167" s="102" t="n">
        <x:v>32.6</x:v>
      </x:c>
      <x:c r="T167" t="str">
        <x:v>BELOW MEASUREMENT FLOOR — SEARCH CONTINUES</x:v>
      </x:c>
      <x:c r="U167" t="n">
        <x:v>919</x:v>
      </x:c>
      <x:c r="V167" t="str">
        <x:v>Pasted text(56).txt</x:v>
      </x:c>
    </x:row>
    <x:row r="168">
      <x:c r="A168" t="str">
        <x:v>S03</x:v>
      </x:c>
      <x:c r="B168" t="str">
        <x:v>0.90 validated five-run session</x:v>
      </x:c>
      <x:c r="C168" s="54" t="n">
        <x:v>0.9</x:v>
      </x:c>
      <x:c r="D168" t="n">
        <x:v>4</x:v>
      </x:c>
      <x:c r="E168" t="n">
        <x:v>1</x:v>
      </x:c>
      <x:c r="F168" t="str">
        <x:v>SEARCH</x:v>
      </x:c>
      <x:c r="G168" t="n">
        <x:v>2</x:v>
      </x:c>
      <x:c r="H168" s="54" t="n">
        <x:v>3</x:v>
      </x:c>
      <x:c r="I168" s="54" t="n">
        <x:v>0.17916</x:v>
      </x:c>
      <x:c r="J168" s="54" t="n">
        <x:v>0.17139</x:v>
      </x:c>
      <x:c r="K168" s="54" t="n">
        <x:v>0.05614</x:v>
      </x:c>
      <x:c r="L168" s="54" t="n">
        <x:v>0.12701</x:v>
      </x:c>
      <x:c r="M168" s="54" t="n">
        <x:v>0.2212</x:v>
      </x:c>
      <x:c r="N168" s="56" t="n">
        <x:v>-80.09</x:v>
      </x:c>
      <x:c r="O168" s="56" t="n">
        <x:v>6.28</x:v>
      </x:c>
      <x:c r="P168" s="56" t="n">
        <x:v>11.9</x:v>
      </x:c>
      <x:c r="Q168" s="56" t="n">
        <x:v>57.9</x:v>
      </x:c>
      <x:c r="R168" t="str">
        <x:v>X</x:v>
      </x:c>
      <x:c r="S168" s="102" t="n">
        <x:v>100</x:v>
      </x:c>
      <x:c r="T168" t="str">
        <x:v>VALID</x:v>
      </x:c>
      <x:c r="U168" t="n">
        <x:v>920</x:v>
      </x:c>
      <x:c r="V168" t="str">
        <x:v>Pasted text(56).txt</x:v>
      </x:c>
    </x:row>
    <x:row r="169">
      <x:c r="A169" t="str">
        <x:v>S03</x:v>
      </x:c>
      <x:c r="B169" t="str">
        <x:v>0.90 validated five-run session</x:v>
      </x:c>
      <x:c r="C169" s="54" t="n">
        <x:v>0.9</x:v>
      </x:c>
      <x:c r="D169" t="n">
        <x:v>4</x:v>
      </x:c>
      <x:c r="E169" t="n">
        <x:v>1</x:v>
      </x:c>
      <x:c r="F169" t="str">
        <x:v>SEARCH</x:v>
      </x:c>
      <x:c r="G169" t="n">
        <x:v>3</x:v>
      </x:c>
      <x:c r="H169" s="54" t="n">
        <x:v>5</x:v>
      </x:c>
      <x:c r="I169" s="54" t="n">
        <x:v>0.37857</x:v>
      </x:c>
      <x:c r="J169" s="54" t="n">
        <x:v>0.38179</x:v>
      </x:c>
      <x:c r="K169" s="54" t="n">
        <x:v>0.15634</x:v>
      </x:c>
      <x:c r="L169" s="54" t="n">
        <x:v>0.28545</x:v>
      </x:c>
      <x:c r="M169" s="54" t="n">
        <x:v>0.50201</x:v>
      </x:c>
      <x:c r="N169" s="56" t="n">
        <x:v>-57.94</x:v>
      </x:c>
      <x:c r="O169" s="56" t="n">
        <x:v>4.06</x:v>
      </x:c>
      <x:c r="P169" s="56" t="n">
        <x:v>4.05</x:v>
      </x:c>
      <x:c r="Q169" s="56" t="n">
        <x:v>80</x:v>
      </x:c>
      <x:c r="R169" t="str">
        <x:v>X</x:v>
      </x:c>
      <x:c r="S169" s="102" t="n">
        <x:v>100</x:v>
      </x:c>
      <x:c r="T169" t="str">
        <x:v>VALID</x:v>
      </x:c>
      <x:c r="U169" t="n">
        <x:v>921</x:v>
      </x:c>
      <x:c r="V169" t="str">
        <x:v>Pasted text(56).txt</x:v>
      </x:c>
    </x:row>
    <x:row r="170">
      <x:c r="A170" t="str">
        <x:v>S03</x:v>
      </x:c>
      <x:c r="B170" t="str">
        <x:v>0.90 validated five-run session</x:v>
      </x:c>
      <x:c r="C170" s="54" t="n">
        <x:v>0.9</x:v>
      </x:c>
      <x:c r="D170" t="n">
        <x:v>4</x:v>
      </x:c>
      <x:c r="E170" t="n">
        <x:v>1</x:v>
      </x:c>
      <x:c r="F170" t="str">
        <x:v>SEARCH</x:v>
      </x:c>
      <x:c r="G170" t="n">
        <x:v>4</x:v>
      </x:c>
      <x:c r="H170" s="54" t="n">
        <x:v>6</x:v>
      </x:c>
      <x:c r="I170" s="54" t="n">
        <x:v>0.50904</x:v>
      </x:c>
      <x:c r="J170" s="54" t="n">
        <x:v>0.50389</x:v>
      </x:c>
      <x:c r="K170" s="54" t="n">
        <x:v>0.18684</x:v>
      </x:c>
      <x:c r="L170" s="54" t="n">
        <x:v>0.31797</x:v>
      </x:c>
      <x:c r="M170" s="54" t="n">
        <x:v>0.6246</x:v>
      </x:c>
      <x:c r="N170" s="56" t="n">
        <x:v>-43.44</x:v>
      </x:c>
      <x:c r="O170" s="56" t="n">
        <x:v>1.01</x:v>
      </x:c>
      <x:c r="P170" s="56" t="n">
        <x:v>2.39</x:v>
      </x:c>
      <x:c r="Q170" s="56" t="n">
        <x:v>86.5</x:v>
      </x:c>
      <x:c r="R170" t="str">
        <x:v>X</x:v>
      </x:c>
      <x:c r="S170" s="102" t="n">
        <x:v>100</x:v>
      </x:c>
      <x:c r="T170" t="str">
        <x:v>VALID</x:v>
      </x:c>
      <x:c r="U170" t="n">
        <x:v>922</x:v>
      </x:c>
      <x:c r="V170" t="str">
        <x:v>Pasted text(56).txt</x:v>
      </x:c>
    </x:row>
    <x:row r="171">
      <x:c r="A171" t="str">
        <x:v>S03</x:v>
      </x:c>
      <x:c r="B171" t="str">
        <x:v>0.90 validated five-run session</x:v>
      </x:c>
      <x:c r="C171" s="54" t="n">
        <x:v>0.9</x:v>
      </x:c>
      <x:c r="D171" t="n">
        <x:v>4</x:v>
      </x:c>
      <x:c r="E171" t="n">
        <x:v>1</x:v>
      </x:c>
      <x:c r="F171" t="str">
        <x:v>SEARCH</x:v>
      </x:c>
      <x:c r="G171" t="n">
        <x:v>5</x:v>
      </x:c>
      <x:c r="H171" s="54" t="n">
        <x:v>7</x:v>
      </x:c>
      <x:c r="I171" s="54" t="n">
        <x:v>0.63399</x:v>
      </x:c>
      <x:c r="J171" s="54" t="n">
        <x:v>0.62655</x:v>
      </x:c>
      <x:c r="K171" s="54" t="n">
        <x:v>0.21533</x:v>
      </x:c>
      <x:c r="L171" s="54" t="n">
        <x:v>0.38349</x:v>
      </x:c>
      <x:c r="M171" s="54" t="n">
        <x:v>0.76582</x:v>
      </x:c>
      <x:c r="N171" s="56" t="n">
        <x:v>-29.56</x:v>
      </x:c>
      <x:c r="O171" s="56" t="n">
        <x:v>1.03</x:v>
      </x:c>
      <x:c r="P171" s="56" t="n">
        <x:v>2.69</x:v>
      </x:c>
      <x:c r="Q171" s="56" t="n">
        <x:v>89.7</x:v>
      </x:c>
      <x:c r="R171" t="str">
        <x:v>X</x:v>
      </x:c>
      <x:c r="S171" s="102" t="n">
        <x:v>100</x:v>
      </x:c>
      <x:c r="T171" t="str">
        <x:v>VALID</x:v>
      </x:c>
      <x:c r="U171" t="n">
        <x:v>923</x:v>
      </x:c>
      <x:c r="V171" t="str">
        <x:v>Pasted text(56).txt</x:v>
      </x:c>
    </x:row>
    <x:row r="172">
      <x:c r="A172" t="str">
        <x:v>S03</x:v>
      </x:c>
      <x:c r="B172" t="str">
        <x:v>0.90 validated five-run session</x:v>
      </x:c>
      <x:c r="C172" s="54" t="n">
        <x:v>0.9</x:v>
      </x:c>
      <x:c r="D172" t="n">
        <x:v>4</x:v>
      </x:c>
      <x:c r="E172" t="n">
        <x:v>1</x:v>
      </x:c>
      <x:c r="F172" t="str">
        <x:v>SEARCH</x:v>
      </x:c>
      <x:c r="G172" t="n">
        <x:v>6</x:v>
      </x:c>
      <x:c r="H172" s="54" t="n">
        <x:v>7.5</x:v>
      </x:c>
      <x:c r="I172" s="54" t="n">
        <x:v>0.65985</x:v>
      </x:c>
      <x:c r="J172" s="54" t="n">
        <x:v>0.65663</x:v>
      </x:c>
      <x:c r="K172" s="54" t="n">
        <x:v>0.24294</x:v>
      </x:c>
      <x:c r="L172" s="54" t="n">
        <x:v>0.42519</x:v>
      </x:c>
      <x:c r="M172" s="54" t="n">
        <x:v>0.81935</x:v>
      </x:c>
      <x:c r="N172" s="56" t="n">
        <x:v>-26.68</x:v>
      </x:c>
      <x:c r="O172" s="56" t="n">
        <x:v>1.13</x:v>
      </x:c>
      <x:c r="P172" s="56" t="n">
        <x:v>1.56</x:v>
      </x:c>
      <x:c r="Q172" s="56" t="n">
        <x:v>88</x:v>
      </x:c>
      <x:c r="R172" t="str">
        <x:v>X</x:v>
      </x:c>
      <x:c r="S172" s="102" t="n">
        <x:v>100</x:v>
      </x:c>
      <x:c r="T172" t="str">
        <x:v>VALID</x:v>
      </x:c>
      <x:c r="U172" t="n">
        <x:v>924</x:v>
      </x:c>
      <x:c r="V172" t="str">
        <x:v>Pasted text(56).txt</x:v>
      </x:c>
    </x:row>
    <x:row r="173">
      <x:c r="A173" t="str">
        <x:v>S03</x:v>
      </x:c>
      <x:c r="B173" t="str">
        <x:v>0.90 validated five-run session</x:v>
      </x:c>
      <x:c r="C173" s="54" t="n">
        <x:v>0.9</x:v>
      </x:c>
      <x:c r="D173" t="n">
        <x:v>4</x:v>
      </x:c>
      <x:c r="E173" t="n">
        <x:v>1</x:v>
      </x:c>
      <x:c r="F173" t="str">
        <x:v>SEARCH</x:v>
      </x:c>
      <x:c r="G173" t="n">
        <x:v>7</x:v>
      </x:c>
      <x:c r="H173" s="54" t="n">
        <x:v>8</x:v>
      </x:c>
      <x:c r="I173" s="54" t="n">
        <x:v>0.74956</x:v>
      </x:c>
      <x:c r="J173" s="54" t="n">
        <x:v>0.74483</x:v>
      </x:c>
      <x:c r="K173" s="54" t="n">
        <x:v>0.2672</x:v>
      </x:c>
      <x:c r="L173" s="54" t="n">
        <x:v>0.4406</x:v>
      </x:c>
      <x:c r="M173" s="54" t="n">
        <x:v>0.906</x:v>
      </x:c>
      <x:c r="N173" s="56" t="n">
        <x:v>-16.72</x:v>
      </x:c>
      <x:c r="O173" s="56" t="n">
        <x:v>1.81</x:v>
      </x:c>
      <x:c r="P173" s="56" t="n">
        <x:v>2.25</x:v>
      </x:c>
      <x:c r="Q173" s="56" t="n">
        <x:v>90.5</x:v>
      </x:c>
      <x:c r="R173" t="str">
        <x:v>X</x:v>
      </x:c>
      <x:c r="S173" s="102" t="n">
        <x:v>100</x:v>
      </x:c>
      <x:c r="T173" t="str">
        <x:v>VALID</x:v>
      </x:c>
      <x:c r="U173" t="n">
        <x:v>925</x:v>
      </x:c>
      <x:c r="V173" t="str">
        <x:v>Pasted text(56).txt</x:v>
      </x:c>
    </x:row>
    <x:row r="174">
      <x:c r="A174" t="str">
        <x:v>S03</x:v>
      </x:c>
      <x:c r="B174" t="str">
        <x:v>0.90 validated five-run session</x:v>
      </x:c>
      <x:c r="C174" s="54" t="n">
        <x:v>0.9</x:v>
      </x:c>
      <x:c r="D174" t="n">
        <x:v>4</x:v>
      </x:c>
      <x:c r="E174" t="n">
        <x:v>1</x:v>
      </x:c>
      <x:c r="F174" t="str">
        <x:v>SEARCH</x:v>
      </x:c>
      <x:c r="G174" t="n">
        <x:v>8</x:v>
      </x:c>
      <x:c r="H174" s="54" t="n">
        <x:v>8.5</x:v>
      </x:c>
      <x:c r="I174" s="54" t="n">
        <x:v>0.78415</x:v>
      </x:c>
      <x:c r="J174" s="54" t="n">
        <x:v>0.78275</x:v>
      </x:c>
      <x:c r="K174" s="54" t="n">
        <x:v>0.27792</x:v>
      </x:c>
      <x:c r="L174" s="54" t="n">
        <x:v>0.48841</x:v>
      </x:c>
      <x:c r="M174" s="54" t="n">
        <x:v>0.96428</x:v>
      </x:c>
      <x:c r="N174" s="56" t="n">
        <x:v>-12.87</x:v>
      </x:c>
      <x:c r="O174" s="56" t="n">
        <x:v>5.94</x:v>
      </x:c>
      <x:c r="P174" s="56" t="n">
        <x:v>4.29</x:v>
      </x:c>
      <x:c r="Q174" s="56" t="n">
        <x:v>90.4</x:v>
      </x:c>
      <x:c r="R174" t="str">
        <x:v>X</x:v>
      </x:c>
      <x:c r="S174" s="102" t="n">
        <x:v>100</x:v>
      </x:c>
      <x:c r="T174" t="str">
        <x:v>VALID</x:v>
      </x:c>
      <x:c r="U174" t="n">
        <x:v>926</x:v>
      </x:c>
      <x:c r="V174" t="str">
        <x:v>Pasted text(56).txt</x:v>
      </x:c>
    </x:row>
    <x:row r="175">
      <x:c r="A175" t="str">
        <x:v>S03</x:v>
      </x:c>
      <x:c r="B175" t="str">
        <x:v>0.90 validated five-run session</x:v>
      </x:c>
      <x:c r="C175" s="54" t="n">
        <x:v>0.9</x:v>
      </x:c>
      <x:c r="D175" t="n">
        <x:v>4</x:v>
      </x:c>
      <x:c r="E175" t="n">
        <x:v>1</x:v>
      </x:c>
      <x:c r="F175" t="str">
        <x:v>SEARCH</x:v>
      </x:c>
      <x:c r="G175" t="n">
        <x:v>9</x:v>
      </x:c>
      <x:c r="H175" s="54" t="n">
        <x:v>8.75</x:v>
      </x:c>
      <x:c r="I175" s="54" t="n">
        <x:v>0.8535</x:v>
      </x:c>
      <x:c r="J175" s="54" t="n">
        <x:v>0.85907</x:v>
      </x:c>
      <x:c r="K175" s="54" t="n">
        <x:v>0.29771</x:v>
      </x:c>
      <x:c r="L175" s="54" t="n">
        <x:v>0.49815</x:v>
      </x:c>
      <x:c r="M175" s="54" t="n">
        <x:v>1.03687</x:v>
      </x:c>
      <x:c r="N175" s="56" t="n">
        <x:v>-5.17</x:v>
      </x:c>
      <x:c r="O175" s="56" t="n">
        <x:v>1.04</x:v>
      </x:c>
      <x:c r="P175" s="56" t="n">
        <x:v>1.76</x:v>
      </x:c>
      <x:c r="Q175" s="56" t="n">
        <x:v>92.1</x:v>
      </x:c>
      <x:c r="R175" t="str">
        <x:v>X</x:v>
      </x:c>
      <x:c r="S175" s="102" t="n">
        <x:v>100</x:v>
      </x:c>
      <x:c r="T175" t="str">
        <x:v>IN TARGET BAND</x:v>
      </x:c>
      <x:c r="U175" t="n">
        <x:v>927</x:v>
      </x:c>
      <x:c r="V175" t="str">
        <x:v>Pasted text(56).txt</x:v>
      </x:c>
    </x:row>
    <x:row r="176">
      <x:c r="A176" t="str">
        <x:v>S03</x:v>
      </x:c>
      <x:c r="B176" t="str">
        <x:v>0.90 validated five-run session</x:v>
      </x:c>
      <x:c r="C176" s="54" t="n">
        <x:v>0.9</x:v>
      </x:c>
      <x:c r="D176" t="n">
        <x:v>4</x:v>
      </x:c>
      <x:c r="E176" t="n">
        <x:v>1</x:v>
      </x:c>
      <x:c r="F176" t="str">
        <x:v>FINE</x:v>
      </x:c>
      <x:c r="G176" t="n">
        <x:v>1</x:v>
      </x:c>
      <x:c r="H176" s="54" t="n">
        <x:v>7.75</x:v>
      </x:c>
      <x:c r="I176" s="54" t="n">
        <x:v>0.70934</x:v>
      </x:c>
      <x:c r="J176" s="54" t="n">
        <x:v>0.71354</x:v>
      </x:c>
      <x:c r="K176" s="54" t="n">
        <x:v>0.26186</x:v>
      </x:c>
      <x:c r="L176" s="54" t="n">
        <x:v>0.4367</x:v>
      </x:c>
      <x:c r="M176" s="54" t="n">
        <x:v>0.87675</x:v>
      </x:c>
      <x:c r="N176" s="56" t="n">
        <x:v>-21.18</x:v>
      </x:c>
      <x:c r="O176" s="56" t="n">
        <x:v>2.82</x:v>
      </x:c>
      <x:c r="P176" s="56" t="n">
        <x:v>2.82</x:v>
      </x:c>
      <x:c r="Q176" s="56" t="n">
        <x:v>90.6</x:v>
      </x:c>
      <x:c r="R176" t="str">
        <x:v>X</x:v>
      </x:c>
      <x:c r="S176" s="102" t="n">
        <x:v>100</x:v>
      </x:c>
      <x:c r="T176" t="str">
        <x:v>VALID</x:v>
      </x:c>
      <x:c r="U176" t="n">
        <x:v>931</x:v>
      </x:c>
      <x:c r="V176" t="str">
        <x:v>Pasted text(56).txt</x:v>
      </x:c>
    </x:row>
    <x:row r="177">
      <x:c r="A177" t="str">
        <x:v>S03</x:v>
      </x:c>
      <x:c r="B177" t="str">
        <x:v>0.90 validated five-run session</x:v>
      </x:c>
      <x:c r="C177" s="54" t="n">
        <x:v>0.9</x:v>
      </x:c>
      <x:c r="D177" t="n">
        <x:v>4</x:v>
      </x:c>
      <x:c r="E177" t="n">
        <x:v>1</x:v>
      </x:c>
      <x:c r="F177" t="str">
        <x:v>FINE</x:v>
      </x:c>
      <x:c r="G177" t="n">
        <x:v>2</x:v>
      </x:c>
      <x:c r="H177" s="54" t="n">
        <x:v>8</x:v>
      </x:c>
      <x:c r="I177" s="54" t="n">
        <x:v>0.76209</x:v>
      </x:c>
      <x:c r="J177" s="54" t="n">
        <x:v>0.76178</x:v>
      </x:c>
      <x:c r="K177" s="54" t="n">
        <x:v>0.25521</x:v>
      </x:c>
      <x:c r="L177" s="54" t="n">
        <x:v>0.43255</x:v>
      </x:c>
      <x:c r="M177" s="54" t="n">
        <x:v>0.91253</x:v>
      </x:c>
      <x:c r="N177" s="56" t="n">
        <x:v>-15.32</x:v>
      </x:c>
      <x:c r="O177" s="56" t="n">
        <x:v>0.24</x:v>
      </x:c>
      <x:c r="P177" s="56" t="n">
        <x:v>0.23</x:v>
      </x:c>
      <x:c r="Q177" s="56" t="n">
        <x:v>92.1</x:v>
      </x:c>
      <x:c r="R177" t="str">
        <x:v>X</x:v>
      </x:c>
      <x:c r="S177" s="102" t="n">
        <x:v>100</x:v>
      </x:c>
      <x:c r="T177" t="str">
        <x:v>VALID</x:v>
      </x:c>
      <x:c r="U177" t="n">
        <x:v>932</x:v>
      </x:c>
      <x:c r="V177" t="str">
        <x:v>Pasted text(56).txt</x:v>
      </x:c>
    </x:row>
    <x:row r="178">
      <x:c r="A178" t="str">
        <x:v>S03</x:v>
      </x:c>
      <x:c r="B178" t="str">
        <x:v>0.90 validated five-run session</x:v>
      </x:c>
      <x:c r="C178" s="54" t="n">
        <x:v>0.9</x:v>
      </x:c>
      <x:c r="D178" t="n">
        <x:v>4</x:v>
      </x:c>
      <x:c r="E178" t="n">
        <x:v>1</x:v>
      </x:c>
      <x:c r="F178" t="str">
        <x:v>FINE</x:v>
      </x:c>
      <x:c r="G178" t="n">
        <x:v>3</x:v>
      </x:c>
      <x:c r="H178" s="54" t="n">
        <x:v>8.25</x:v>
      </x:c>
      <x:c r="I178" s="54" t="n">
        <x:v>0.77509</x:v>
      </x:c>
      <x:c r="J178" s="54" t="n">
        <x:v>0.76898</x:v>
      </x:c>
      <x:c r="K178" s="54" t="n">
        <x:v>0.26826</x:v>
      </x:c>
      <x:c r="L178" s="54" t="n">
        <x:v>0.4539</x:v>
      </x:c>
      <x:c r="M178" s="54" t="n">
        <x:v>0.93248</x:v>
      </x:c>
      <x:c r="N178" s="56" t="n">
        <x:v>-13.88</x:v>
      </x:c>
      <x:c r="O178" s="56" t="n">
        <x:v>4.02</x:v>
      </x:c>
      <x:c r="P178" s="56" t="n">
        <x:v>3.98</x:v>
      </x:c>
      <x:c r="Q178" s="56" t="n">
        <x:v>90.1</x:v>
      </x:c>
      <x:c r="R178" t="str">
        <x:v>X</x:v>
      </x:c>
      <x:c r="S178" s="102" t="n">
        <x:v>100</x:v>
      </x:c>
      <x:c r="T178" t="str">
        <x:v>VALID</x:v>
      </x:c>
      <x:c r="U178" t="n">
        <x:v>933</x:v>
      </x:c>
      <x:c r="V178" t="str">
        <x:v>Pasted text(56).txt</x:v>
      </x:c>
    </x:row>
    <x:row r="179">
      <x:c r="A179" t="str">
        <x:v>S03</x:v>
      </x:c>
      <x:c r="B179" t="str">
        <x:v>0.90 validated five-run session</x:v>
      </x:c>
      <x:c r="C179" s="54" t="n">
        <x:v>0.9</x:v>
      </x:c>
      <x:c r="D179" t="n">
        <x:v>4</x:v>
      </x:c>
      <x:c r="E179" t="n">
        <x:v>1</x:v>
      </x:c>
      <x:c r="F179" t="str">
        <x:v>FINE</x:v>
      </x:c>
      <x:c r="G179" t="n">
        <x:v>4</x:v>
      </x:c>
      <x:c r="H179" s="54" t="n">
        <x:v>8.5</x:v>
      </x:c>
      <x:c r="I179" s="54" t="n">
        <x:v>0.79357</x:v>
      </x:c>
      <x:c r="J179" s="54" t="n">
        <x:v>0.79596</x:v>
      </x:c>
      <x:c r="K179" s="54" t="n">
        <x:v>0.2764</x:v>
      </x:c>
      <x:c r="L179" s="54" t="n">
        <x:v>0.45403</x:v>
      </x:c>
      <x:c r="M179" s="54" t="n">
        <x:v>0.95721</x:v>
      </x:c>
      <x:c r="N179" s="56" t="n">
        <x:v>-11.83</x:v>
      </x:c>
      <x:c r="O179" s="56" t="n">
        <x:v>0.2</x:v>
      </x:c>
      <x:c r="P179" s="56" t="n">
        <x:v>0.64</x:v>
      </x:c>
      <x:c r="Q179" s="56" t="n">
        <x:v>91.1</x:v>
      </x:c>
      <x:c r="R179" t="str">
        <x:v>X</x:v>
      </x:c>
      <x:c r="S179" s="102" t="n">
        <x:v>100</x:v>
      </x:c>
      <x:c r="T179" t="str">
        <x:v>VALID</x:v>
      </x:c>
      <x:c r="U179" t="n">
        <x:v>934</x:v>
      </x:c>
      <x:c r="V179" t="str">
        <x:v>Pasted text(56).txt</x:v>
      </x:c>
    </x:row>
    <x:row r="180">
      <x:c r="A180" t="str">
        <x:v>S03</x:v>
      </x:c>
      <x:c r="B180" t="str">
        <x:v>0.90 validated five-run session</x:v>
      </x:c>
      <x:c r="C180" s="54" t="n">
        <x:v>0.9</x:v>
      </x:c>
      <x:c r="D180" t="n">
        <x:v>4</x:v>
      </x:c>
      <x:c r="E180" t="n">
        <x:v>1</x:v>
      </x:c>
      <x:c r="F180" t="str">
        <x:v>FINE</x:v>
      </x:c>
      <x:c r="G180" t="n">
        <x:v>5</x:v>
      </x:c>
      <x:c r="H180" s="54" t="n">
        <x:v>8.75</x:v>
      </x:c>
      <x:c r="I180" s="54" t="n">
        <x:v>0.84142</x:v>
      </x:c>
      <x:c r="J180" s="54" t="n">
        <x:v>0.84146</x:v>
      </x:c>
      <x:c r="K180" s="54" t="n">
        <x:v>0.29754</x:v>
      </x:c>
      <x:c r="L180" s="54" t="n">
        <x:v>0.49709</x:v>
      </x:c>
      <x:c r="M180" s="54" t="n">
        <x:v>1.02173</x:v>
      </x:c>
      <x:c r="N180" s="56" t="n">
        <x:v>-6.51</x:v>
      </x:c>
      <x:c r="O180" s="56" t="n">
        <x:v>0.04</x:v>
      </x:c>
      <x:c r="P180" s="56" t="n">
        <x:v>0.03</x:v>
      </x:c>
      <x:c r="Q180" s="56" t="n">
        <x:v>90.4</x:v>
      </x:c>
      <x:c r="R180" t="str">
        <x:v>X</x:v>
      </x:c>
      <x:c r="S180" s="102" t="n">
        <x:v>100</x:v>
      </x:c>
      <x:c r="T180" t="str">
        <x:v>IN TARGET BAND</x:v>
      </x:c>
      <x:c r="U180" t="n">
        <x:v>935</x:v>
      </x:c>
      <x:c r="V180" t="str">
        <x:v>Pasted text(56).txt</x:v>
      </x:c>
    </x:row>
    <x:row r="181">
      <x:c r="A181" t="str">
        <x:v>S03</x:v>
      </x:c>
      <x:c r="B181" t="str">
        <x:v>0.90 validated five-run session</x:v>
      </x:c>
      <x:c r="C181" s="54" t="n">
        <x:v>0.9</x:v>
      </x:c>
      <x:c r="D181" t="n">
        <x:v>4</x:v>
      </x:c>
      <x:c r="E181" t="n">
        <x:v>1</x:v>
      </x:c>
      <x:c r="F181" t="str">
        <x:v>FINE</x:v>
      </x:c>
      <x:c r="G181" t="n">
        <x:v>6</x:v>
      </x:c>
      <x:c r="H181" s="54" t="n">
        <x:v>9</x:v>
      </x:c>
      <x:c r="I181" s="54" t="n">
        <x:v>0.86588</x:v>
      </x:c>
      <x:c r="J181" s="54" t="n">
        <x:v>0.86993</x:v>
      </x:c>
      <x:c r="K181" s="54" t="n">
        <x:v>0.30186</x:v>
      </x:c>
      <x:c r="L181" s="54" t="n">
        <x:v>0.52152</x:v>
      </x:c>
      <x:c r="M181" s="54" t="n">
        <x:v>1.05838</x:v>
      </x:c>
      <x:c r="N181" s="56" t="n">
        <x:v>-3.79</x:v>
      </x:c>
      <x:c r="O181" s="56" t="n">
        <x:v>1.38</x:v>
      </x:c>
      <x:c r="P181" s="56" t="n">
        <x:v>1.67</x:v>
      </x:c>
      <x:c r="Q181" s="56" t="n">
        <x:v>90.5</x:v>
      </x:c>
      <x:c r="R181" t="str">
        <x:v>X</x:v>
      </x:c>
      <x:c r="S181" s="102" t="n">
        <x:v>100</x:v>
      </x:c>
      <x:c r="T181" t="str">
        <x:v>IN TARGET BAND</x:v>
      </x:c>
      <x:c r="U181" t="n">
        <x:v>936</x:v>
      </x:c>
      <x:c r="V181" t="str">
        <x:v>Pasted text(56).txt</x:v>
      </x:c>
    </x:row>
    <x:row r="182">
      <x:c r="A182" t="str">
        <x:v>S03</x:v>
      </x:c>
      <x:c r="B182" t="str">
        <x:v>0.90 validated five-run session</x:v>
      </x:c>
      <x:c r="C182" s="54" t="n">
        <x:v>0.9</x:v>
      </x:c>
      <x:c r="D182" t="n">
        <x:v>4</x:v>
      </x:c>
      <x:c r="E182" t="n">
        <x:v>1</x:v>
      </x:c>
      <x:c r="F182" t="str">
        <x:v>FINE</x:v>
      </x:c>
      <x:c r="G182" t="n">
        <x:v>7</x:v>
      </x:c>
      <x:c r="H182" s="54" t="n">
        <x:v>9.25</x:v>
      </x:c>
      <x:c r="I182" s="54" t="n">
        <x:v>0.90274</x:v>
      </x:c>
      <x:c r="J182" s="54" t="n">
        <x:v>0.90359</x:v>
      </x:c>
      <x:c r="K182" s="54" t="n">
        <x:v>0.32446</x:v>
      </x:c>
      <x:c r="L182" s="54" t="n">
        <x:v>0.54173</x:v>
      </x:c>
      <x:c r="M182" s="54" t="n">
        <x:v>1.10244</x:v>
      </x:c>
      <x:c r="N182" s="56" t="n">
        <x:v>0.3</x:v>
      </x:c>
      <x:c r="O182" s="56" t="n">
        <x:v>0.03</x:v>
      </x:c>
      <x:c r="P182" s="56" t="n">
        <x:v>0.18</x:v>
      </x:c>
      <x:c r="Q182" s="56" t="n">
        <x:v>91.5</x:v>
      </x:c>
      <x:c r="R182" t="str">
        <x:v>X</x:v>
      </x:c>
      <x:c r="S182" s="102" t="n">
        <x:v>100</x:v>
      </x:c>
      <x:c r="T182" t="str">
        <x:v>IN TARGET BAND</x:v>
      </x:c>
      <x:c r="U182" t="n">
        <x:v>937</x:v>
      </x:c>
      <x:c r="V182" t="str">
        <x:v>Pasted text(56).txt</x:v>
      </x:c>
    </x:row>
    <x:row r="183">
      <x:c r="A183" t="str">
        <x:v>S03</x:v>
      </x:c>
      <x:c r="B183" t="str">
        <x:v>0.90 validated five-run session</x:v>
      </x:c>
      <x:c r="C183" s="54" t="n">
        <x:v>0.9</x:v>
      </x:c>
      <x:c r="D183" t="n">
        <x:v>4</x:v>
      </x:c>
      <x:c r="E183" t="n">
        <x:v>1</x:v>
      </x:c>
      <x:c r="F183" t="str">
        <x:v>FINE</x:v>
      </x:c>
      <x:c r="G183" t="n">
        <x:v>8</x:v>
      </x:c>
      <x:c r="H183" s="54" t="n">
        <x:v>9.5</x:v>
      </x:c>
      <x:c r="I183" s="54" t="n">
        <x:v>0.92837</x:v>
      </x:c>
      <x:c r="J183" s="54" t="n">
        <x:v>0.93025</x:v>
      </x:c>
      <x:c r="K183" s="54" t="n">
        <x:v>0.33727</x:v>
      </x:c>
      <x:c r="L183" s="54" t="n">
        <x:v>0.54611</x:v>
      </x:c>
      <x:c r="M183" s="54" t="n">
        <x:v>1.13027</x:v>
      </x:c>
      <x:c r="N183" s="56" t="n">
        <x:v>3.15</x:v>
      </x:c>
      <x:c r="O183" s="56" t="n">
        <x:v>2.46</x:v>
      </x:c>
      <x:c r="P183" s="56" t="n">
        <x:v>1.97</x:v>
      </x:c>
      <x:c r="Q183" s="56" t="n">
        <x:v>91.4</x:v>
      </x:c>
      <x:c r="R183" t="str">
        <x:v>X</x:v>
      </x:c>
      <x:c r="S183" s="102" t="n">
        <x:v>100</x:v>
      </x:c>
      <x:c r="T183" t="str">
        <x:v>IN TARGET BAND</x:v>
      </x:c>
      <x:c r="U183" t="n">
        <x:v>938</x:v>
      </x:c>
      <x:c r="V183" t="str">
        <x:v>Pasted text(56).txt</x:v>
      </x:c>
    </x:row>
    <x:row r="184">
      <x:c r="A184" t="str">
        <x:v>S03</x:v>
      </x:c>
      <x:c r="B184" t="str">
        <x:v>0.90 validated five-run session</x:v>
      </x:c>
      <x:c r="C184" s="54" t="n">
        <x:v>0.9</x:v>
      </x:c>
      <x:c r="D184" t="n">
        <x:v>4</x:v>
      </x:c>
      <x:c r="E184" t="n">
        <x:v>1</x:v>
      </x:c>
      <x:c r="F184" t="str">
        <x:v>FINE</x:v>
      </x:c>
      <x:c r="G184" t="n">
        <x:v>9</x:v>
      </x:c>
      <x:c r="H184" s="54" t="n">
        <x:v>9.75</x:v>
      </x:c>
      <x:c r="I184" s="54" t="n">
        <x:v>0.9714</x:v>
      </x:c>
      <x:c r="J184" s="54" t="n">
        <x:v>0.97164</x:v>
      </x:c>
      <x:c r="K184" s="54" t="n">
        <x:v>0.32373</x:v>
      </x:c>
      <x:c r="L184" s="54" t="n">
        <x:v>0.55897</x:v>
      </x:c>
      <x:c r="M184" s="54" t="n">
        <x:v>1.16687</x:v>
      </x:c>
      <x:c r="N184" s="56" t="n">
        <x:v>7.93</x:v>
      </x:c>
      <x:c r="O184" s="56" t="n">
        <x:v>0.53</x:v>
      </x:c>
      <x:c r="P184" s="56" t="n">
        <x:v>0.39</x:v>
      </x:c>
      <x:c r="Q184" s="56" t="n">
        <x:v>92.6</x:v>
      </x:c>
      <x:c r="R184" t="str">
        <x:v>X</x:v>
      </x:c>
      <x:c r="S184" s="102" t="n">
        <x:v>100</x:v>
      </x:c>
      <x:c r="T184" t="str">
        <x:v>VALID</x:v>
      </x:c>
      <x:c r="U184" t="n">
        <x:v>939</x:v>
      </x:c>
      <x:c r="V184" t="str">
        <x:v>Pasted text(56).txt</x:v>
      </x:c>
    </x:row>
    <x:row r="185">
      <x:c r="A185" t="str">
        <x:v>S03</x:v>
      </x:c>
      <x:c r="B185" t="str">
        <x:v>0.90 validated five-run session</x:v>
      </x:c>
      <x:c r="C185" s="54" t="n">
        <x:v>0.9</x:v>
      </x:c>
      <x:c r="D185" t="n">
        <x:v>4</x:v>
      </x:c>
      <x:c r="E185" t="n">
        <x:v>1</x:v>
      </x:c>
      <x:c r="F185" t="str">
        <x:v>FINAL</x:v>
      </x:c>
      <x:c r="G185" t="n">
        <x:v>1</x:v>
      </x:c>
      <x:c r="H185" s="54" t="n">
        <x:v>9.25</x:v>
      </x:c>
      <x:c r="I185" s="54" t="n">
        <x:v>0.90838</x:v>
      </x:c>
      <x:c r="J185" s="54" t="n">
        <x:v>0.9059</x:v>
      </x:c>
      <x:c r="K185" s="54" t="n">
        <x:v>0.30549</x:v>
      </x:c>
      <x:c r="L185" s="54" t="n">
        <x:v>0.52317</x:v>
      </x:c>
      <x:c r="M185" s="54" t="n">
        <x:v>1.09015</x:v>
      </x:c>
      <x:c r="N185" s="56" t="n">
        <x:v>0.93</x:v>
      </x:c>
      <x:c r="O185" s="56" t="n">
        <x:v>0.73</x:v>
      </x:c>
      <x:c r="P185" s="56" t="n">
        <x:v>0.8</x:v>
      </x:c>
      <x:c r="Q185" s="56" t="n">
        <x:v>92.1</x:v>
      </x:c>
      <x:c r="R185" t="str">
        <x:v>X</x:v>
      </x:c>
      <x:c r="S185" s="102" t="n">
        <x:v>100</x:v>
      </x:c>
      <x:c r="T185" t="str">
        <x:v>IN TARGET BAND</x:v>
      </x:c>
      <x:c r="U185" t="n">
        <x:v>942</x:v>
      </x:c>
      <x:c r="V185" t="str">
        <x:v>Pasted text(56).txt</x:v>
      </x:c>
    </x:row>
    <x:row r="186">
      <x:c r="A186" t="str">
        <x:v>S03</x:v>
      </x:c>
      <x:c r="B186" t="str">
        <x:v>0.90 validated five-run session</x:v>
      </x:c>
      <x:c r="C186" s="54" t="n">
        <x:v>0.9</x:v>
      </x:c>
      <x:c r="D186" t="n">
        <x:v>4</x:v>
      </x:c>
      <x:c r="E186" t="n">
        <x:v>1</x:v>
      </x:c>
      <x:c r="F186" t="str">
        <x:v>FINAL</x:v>
      </x:c>
      <x:c r="G186" t="n">
        <x:v>2</x:v>
      </x:c>
      <x:c r="H186" s="54" t="n">
        <x:v>9.25</x:v>
      </x:c>
      <x:c r="I186" s="54" t="n">
        <x:v>0.89675</x:v>
      </x:c>
      <x:c r="J186" s="54" t="n">
        <x:v>0.89675</x:v>
      </x:c>
      <x:c r="K186" s="54" t="n">
        <x:v>0.32212</x:v>
      </x:c>
      <x:c r="L186" s="54" t="n">
        <x:v>0.51464</x:v>
      </x:c>
      <x:c r="M186" s="54" t="n">
        <x:v>1.08335</x:v>
      </x:c>
      <x:c r="N186" s="56" t="n">
        <x:v>-0.36</x:v>
      </x:c>
      <x:c r="O186" s="56" t="n">
        <x:v>1.81</x:v>
      </x:c>
      <x:c r="P186" s="56" t="n">
        <x:v>1.46</x:v>
      </x:c>
      <x:c r="Q186" s="56" t="n">
        <x:v>91.5</x:v>
      </x:c>
      <x:c r="R186" t="str">
        <x:v>X</x:v>
      </x:c>
      <x:c r="S186" s="102" t="n">
        <x:v>100</x:v>
      </x:c>
      <x:c r="T186" t="str">
        <x:v>IN TARGET BAND</x:v>
      </x:c>
      <x:c r="U186" t="n">
        <x:v>943</x:v>
      </x:c>
      <x:c r="V186" t="str">
        <x:v>Pasted text(56).txt</x:v>
      </x:c>
    </x:row>
    <x:row r="187">
      <x:c r="A187" t="str">
        <x:v>S03</x:v>
      </x:c>
      <x:c r="B187" t="str">
        <x:v>0.90 validated five-run session</x:v>
      </x:c>
      <x:c r="C187" s="54" t="n">
        <x:v>0.9</x:v>
      </x:c>
      <x:c r="D187" t="n">
        <x:v>5</x:v>
      </x:c>
      <x:c r="E187" t="n">
        <x:v>1</x:v>
      </x:c>
      <x:c r="F187" t="str">
        <x:v>SEARCH</x:v>
      </x:c>
      <x:c r="G187" t="n">
        <x:v>1</x:v>
      </x:c>
      <x:c r="H187" s="54" t="n">
        <x:v>1</x:v>
      </x:c>
      <x:c r="I187" s="54" t="n">
        <x:v>0.0107</x:v>
      </x:c>
      <x:c r="J187" s="54" t="n">
        <x:v>0.01071</x:v>
      </x:c>
      <x:c r="K187" s="54" t="n">
        <x:v>0.01504</x:v>
      </x:c>
      <x:c r="L187" s="54" t="n">
        <x:v>0.02539</x:v>
      </x:c>
      <x:c r="M187" s="54" t="n">
        <x:v>0.03526</x:v>
      </x:c>
      <x:c r="N187" s="56" t="n">
        <x:v>-98.81</x:v>
      </x:c>
      <x:c r="O187" s="56" t="n">
        <x:v>126.63</x:v>
      </x:c>
      <x:c r="P187" s="56" t="n">
        <x:v>85.49</x:v>
      </x:c>
      <x:c r="Q187" s="56" t="n">
        <x:v>5.8</x:v>
      </x:c>
      <x:c r="R187" t="str">
        <x:v>Z</x:v>
      </x:c>
      <x:c r="S187" s="102" t="n">
        <x:v>42.2</x:v>
      </x:c>
      <x:c r="T187" t="str">
        <x:v>BELOW MEASUREMENT FLOOR — SEARCH CONTINUES</x:v>
      </x:c>
      <x:c r="U187" t="n">
        <x:v>999</x:v>
      </x:c>
      <x:c r="V187" t="str">
        <x:v>Pasted text(56).txt</x:v>
      </x:c>
    </x:row>
    <x:row r="188">
      <x:c r="A188" t="str">
        <x:v>S03</x:v>
      </x:c>
      <x:c r="B188" t="str">
        <x:v>0.90 validated five-run session</x:v>
      </x:c>
      <x:c r="C188" s="54" t="n">
        <x:v>0.9</x:v>
      </x:c>
      <x:c r="D188" t="n">
        <x:v>5</x:v>
      </x:c>
      <x:c r="E188" t="n">
        <x:v>1</x:v>
      </x:c>
      <x:c r="F188" t="str">
        <x:v>SEARCH</x:v>
      </x:c>
      <x:c r="G188" t="n">
        <x:v>2</x:v>
      </x:c>
      <x:c r="H188" s="54" t="n">
        <x:v>3</x:v>
      </x:c>
      <x:c r="I188" s="54" t="n">
        <x:v>0.15836</x:v>
      </x:c>
      <x:c r="J188" s="54" t="n">
        <x:v>0.16004</x:v>
      </x:c>
      <x:c r="K188" s="54" t="n">
        <x:v>0.06774</x:v>
      </x:c>
      <x:c r="L188" s="54" t="n">
        <x:v>0.11188</x:v>
      </x:c>
      <x:c r="M188" s="54" t="n">
        <x:v>0.20714</x:v>
      </x:c>
      <x:c r="N188" s="56" t="n">
        <x:v>-82.4</x:v>
      </x:c>
      <x:c r="O188" s="56" t="n">
        <x:v>4.5</x:v>
      </x:c>
      <x:c r="P188" s="56" t="n">
        <x:v>4.67</x:v>
      </x:c>
      <x:c r="Q188" s="56" t="n">
        <x:v>56.8</x:v>
      </x:c>
      <x:c r="R188" t="str">
        <x:v>X</x:v>
      </x:c>
      <x:c r="S188" s="102" t="n">
        <x:v>100</x:v>
      </x:c>
      <x:c r="T188" t="str">
        <x:v>VALID</x:v>
      </x:c>
      <x:c r="U188" t="n">
        <x:v>1000</x:v>
      </x:c>
      <x:c r="V188" t="str">
        <x:v>Pasted text(56).txt</x:v>
      </x:c>
    </x:row>
    <x:row r="189">
      <x:c r="A189" t="str">
        <x:v>S03</x:v>
      </x:c>
      <x:c r="B189" t="str">
        <x:v>0.90 validated five-run session</x:v>
      </x:c>
      <x:c r="C189" s="54" t="n">
        <x:v>0.9</x:v>
      </x:c>
      <x:c r="D189" t="n">
        <x:v>5</x:v>
      </x:c>
      <x:c r="E189" t="n">
        <x:v>1</x:v>
      </x:c>
      <x:c r="F189" t="str">
        <x:v>SEARCH</x:v>
      </x:c>
      <x:c r="G189" t="n">
        <x:v>3</x:v>
      </x:c>
      <x:c r="H189" s="54" t="n">
        <x:v>5</x:v>
      </x:c>
      <x:c r="I189" s="54" t="n">
        <x:v>0.39439</x:v>
      </x:c>
      <x:c r="J189" s="54" t="n">
        <x:v>0.38902</x:v>
      </x:c>
      <x:c r="K189" s="54" t="n">
        <x:v>0.15328</x:v>
      </x:c>
      <x:c r="L189" s="54" t="n">
        <x:v>0.25992</x:v>
      </x:c>
      <x:c r="M189" s="54" t="n">
        <x:v>0.49279</x:v>
      </x:c>
      <x:c r="N189" s="56" t="n">
        <x:v>-56.18</x:v>
      </x:c>
      <x:c r="O189" s="56" t="n">
        <x:v>0.58</x:v>
      </x:c>
      <x:c r="P189" s="56" t="n">
        <x:v>2.74</x:v>
      </x:c>
      <x:c r="Q189" s="56" t="n">
        <x:v>81.6</x:v>
      </x:c>
      <x:c r="R189" t="str">
        <x:v>X</x:v>
      </x:c>
      <x:c r="S189" s="102" t="n">
        <x:v>100</x:v>
      </x:c>
      <x:c r="T189" t="str">
        <x:v>VALID</x:v>
      </x:c>
      <x:c r="U189" t="n">
        <x:v>1001</x:v>
      </x:c>
      <x:c r="V189" t="str">
        <x:v>Pasted text(56).txt</x:v>
      </x:c>
    </x:row>
    <x:row r="190">
      <x:c r="A190" t="str">
        <x:v>S03</x:v>
      </x:c>
      <x:c r="B190" t="str">
        <x:v>0.90 validated five-run session</x:v>
      </x:c>
      <x:c r="C190" s="54" t="n">
        <x:v>0.9</x:v>
      </x:c>
      <x:c r="D190" t="n">
        <x:v>5</x:v>
      </x:c>
      <x:c r="E190" t="n">
        <x:v>1</x:v>
      </x:c>
      <x:c r="F190" t="str">
        <x:v>SEARCH</x:v>
      </x:c>
      <x:c r="G190" t="n">
        <x:v>4</x:v>
      </x:c>
      <x:c r="H190" s="54" t="n">
        <x:v>6</x:v>
      </x:c>
      <x:c r="I190" s="54" t="n">
        <x:v>0.51302</x:v>
      </x:c>
      <x:c r="J190" s="54" t="n">
        <x:v>0.51207</x:v>
      </x:c>
      <x:c r="K190" s="54" t="n">
        <x:v>0.18632</x:v>
      </x:c>
      <x:c r="L190" s="54" t="n">
        <x:v>0.32149</x:v>
      </x:c>
      <x:c r="M190" s="54" t="n">
        <x:v>0.63273</x:v>
      </x:c>
      <x:c r="N190" s="56" t="n">
        <x:v>-43</x:v>
      </x:c>
      <x:c r="O190" s="56" t="n">
        <x:v>4.53</x:v>
      </x:c>
      <x:c r="P190" s="56" t="n">
        <x:v>3.34</x:v>
      </x:c>
      <x:c r="Q190" s="56" t="n">
        <x:v>86.6</x:v>
      </x:c>
      <x:c r="R190" t="str">
        <x:v>X</x:v>
      </x:c>
      <x:c r="S190" s="102" t="n">
        <x:v>100</x:v>
      </x:c>
      <x:c r="T190" t="str">
        <x:v>VALID</x:v>
      </x:c>
      <x:c r="U190" t="n">
        <x:v>1002</x:v>
      </x:c>
      <x:c r="V190" t="str">
        <x:v>Pasted text(56).txt</x:v>
      </x:c>
    </x:row>
    <x:row r="191">
      <x:c r="A191" t="str">
        <x:v>S03</x:v>
      </x:c>
      <x:c r="B191" t="str">
        <x:v>0.90 validated five-run session</x:v>
      </x:c>
      <x:c r="C191" s="54" t="n">
        <x:v>0.9</x:v>
      </x:c>
      <x:c r="D191" t="n">
        <x:v>5</x:v>
      </x:c>
      <x:c r="E191" t="n">
        <x:v>1</x:v>
      </x:c>
      <x:c r="F191" t="str">
        <x:v>SEARCH</x:v>
      </x:c>
      <x:c r="G191" t="n">
        <x:v>5</x:v>
      </x:c>
      <x:c r="H191" s="54" t="n">
        <x:v>7</x:v>
      </x:c>
      <x:c r="I191" s="54" t="n">
        <x:v>0.61401</x:v>
      </x:c>
      <x:c r="J191" s="54" t="n">
        <x:v>0.61441</x:v>
      </x:c>
      <x:c r="K191" s="54" t="n">
        <x:v>0.21241</x:v>
      </x:c>
      <x:c r="L191" s="54" t="n">
        <x:v>0.3924</x:v>
      </x:c>
      <x:c r="M191" s="54" t="n">
        <x:v>0.75955</x:v>
      </x:c>
      <x:c r="N191" s="56" t="n">
        <x:v>-31.78</x:v>
      </x:c>
      <x:c r="O191" s="56" t="n">
        <x:v>0.65</x:v>
      </x:c>
      <x:c r="P191" s="56" t="n">
        <x:v>0.54</x:v>
      </x:c>
      <x:c r="Q191" s="56" t="n">
        <x:v>89.1</x:v>
      </x:c>
      <x:c r="R191" t="str">
        <x:v>X</x:v>
      </x:c>
      <x:c r="S191" s="102" t="n">
        <x:v>100</x:v>
      </x:c>
      <x:c r="T191" t="str">
        <x:v>VALID</x:v>
      </x:c>
      <x:c r="U191" t="n">
        <x:v>1003</x:v>
      </x:c>
      <x:c r="V191" t="str">
        <x:v>Pasted text(56).txt</x:v>
      </x:c>
    </x:row>
    <x:row r="192">
      <x:c r="A192" t="str">
        <x:v>S03</x:v>
      </x:c>
      <x:c r="B192" t="str">
        <x:v>0.90 validated five-run session</x:v>
      </x:c>
      <x:c r="C192" s="54" t="n">
        <x:v>0.9</x:v>
      </x:c>
      <x:c r="D192" t="n">
        <x:v>5</x:v>
      </x:c>
      <x:c r="E192" t="n">
        <x:v>1</x:v>
      </x:c>
      <x:c r="F192" t="str">
        <x:v>SEARCH</x:v>
      </x:c>
      <x:c r="G192" t="n">
        <x:v>6</x:v>
      </x:c>
      <x:c r="H192" s="54" t="n">
        <x:v>7.5</x:v>
      </x:c>
      <x:c r="I192" s="54" t="n">
        <x:v>0.66746</x:v>
      </x:c>
      <x:c r="J192" s="54" t="n">
        <x:v>0.66503</x:v>
      </x:c>
      <x:c r="K192" s="54" t="n">
        <x:v>0.24789</x:v>
      </x:c>
      <x:c r="L192" s="54" t="n">
        <x:v>0.41307</x:v>
      </x:c>
      <x:c r="M192" s="54" t="n">
        <x:v>0.8217</x:v>
      </x:c>
      <x:c r="N192" s="56" t="n">
        <x:v>-25.84</x:v>
      </x:c>
      <x:c r="O192" s="56" t="n">
        <x:v>0.07</x:v>
      </x:c>
      <x:c r="P192" s="56" t="n">
        <x:v>0.68</x:v>
      </x:c>
      <x:c r="Q192" s="56" t="n">
        <x:v>89.5</x:v>
      </x:c>
      <x:c r="R192" t="str">
        <x:v>X</x:v>
      </x:c>
      <x:c r="S192" s="102" t="n">
        <x:v>100</x:v>
      </x:c>
      <x:c r="T192" t="str">
        <x:v>VALID</x:v>
      </x:c>
      <x:c r="U192" t="n">
        <x:v>1004</x:v>
      </x:c>
      <x:c r="V192" t="str">
        <x:v>Pasted text(56).txt</x:v>
      </x:c>
    </x:row>
    <x:row r="193">
      <x:c r="A193" t="str">
        <x:v>S03</x:v>
      </x:c>
      <x:c r="B193" t="str">
        <x:v>0.90 validated five-run session</x:v>
      </x:c>
      <x:c r="C193" s="54" t="n">
        <x:v>0.9</x:v>
      </x:c>
      <x:c r="D193" t="n">
        <x:v>5</x:v>
      </x:c>
      <x:c r="E193" t="n">
        <x:v>1</x:v>
      </x:c>
      <x:c r="F193" t="str">
        <x:v>SEARCH</x:v>
      </x:c>
      <x:c r="G193" t="n">
        <x:v>7</x:v>
      </x:c>
      <x:c r="H193" s="54" t="n">
        <x:v>8</x:v>
      </x:c>
      <x:c r="I193" s="54" t="n">
        <x:v>0.75142</x:v>
      </x:c>
      <x:c r="J193" s="54" t="n">
        <x:v>0.75236</x:v>
      </x:c>
      <x:c r="K193" s="54" t="n">
        <x:v>0.2564</x:v>
      </x:c>
      <x:c r="L193" s="54" t="n">
        <x:v>0.42672</x:v>
      </x:c>
      <x:c r="M193" s="54" t="n">
        <x:v>0.90228</x:v>
      </x:c>
      <x:c r="N193" s="56" t="n">
        <x:v>-16.51</x:v>
      </x:c>
      <x:c r="O193" s="56" t="n">
        <x:v>1.31</x:v>
      </x:c>
      <x:c r="P193" s="56" t="n">
        <x:v>1.08</x:v>
      </x:c>
      <x:c r="Q193" s="56" t="n">
        <x:v>91</x:v>
      </x:c>
      <x:c r="R193" t="str">
        <x:v>X</x:v>
      </x:c>
      <x:c r="S193" s="102" t="n">
        <x:v>100</x:v>
      </x:c>
      <x:c r="T193" t="str">
        <x:v>VALID</x:v>
      </x:c>
      <x:c r="U193" t="n">
        <x:v>1005</x:v>
      </x:c>
      <x:c r="V193" t="str">
        <x:v>Pasted text(56).txt</x:v>
      </x:c>
    </x:row>
    <x:row r="194">
      <x:c r="A194" t="str">
        <x:v>S03</x:v>
      </x:c>
      <x:c r="B194" t="str">
        <x:v>0.90 validated five-run session</x:v>
      </x:c>
      <x:c r="C194" s="54" t="n">
        <x:v>0.9</x:v>
      </x:c>
      <x:c r="D194" t="n">
        <x:v>5</x:v>
      </x:c>
      <x:c r="E194" t="n">
        <x:v>1</x:v>
      </x:c>
      <x:c r="F194" t="str">
        <x:v>SEARCH</x:v>
      </x:c>
      <x:c r="G194" t="n">
        <x:v>8</x:v>
      </x:c>
      <x:c r="H194" s="54" t="n">
        <x:v>8.5</x:v>
      </x:c>
      <x:c r="I194" s="54" t="n">
        <x:v>0.78799</x:v>
      </x:c>
      <x:c r="J194" s="54" t="n">
        <x:v>0.79477</x:v>
      </x:c>
      <x:c r="K194" s="54" t="n">
        <x:v>0.26909</x:v>
      </x:c>
      <x:c r="L194" s="54" t="n">
        <x:v>0.47543</x:v>
      </x:c>
      <x:c r="M194" s="54" t="n">
        <x:v>0.96451</x:v>
      </x:c>
      <x:c r="N194" s="56" t="n">
        <x:v>-12.45</x:v>
      </x:c>
      <x:c r="O194" s="56" t="n">
        <x:v>1.13</x:v>
      </x:c>
      <x:c r="P194" s="56" t="n">
        <x:v>2.16</x:v>
      </x:c>
      <x:c r="Q194" s="56" t="n">
        <x:v>90.9</x:v>
      </x:c>
      <x:c r="R194" t="str">
        <x:v>X</x:v>
      </x:c>
      <x:c r="S194" s="102" t="n">
        <x:v>100</x:v>
      </x:c>
      <x:c r="T194" t="str">
        <x:v>VALID</x:v>
      </x:c>
      <x:c r="U194" t="n">
        <x:v>1006</x:v>
      </x:c>
      <x:c r="V194" t="str">
        <x:v>Pasted text(56).txt</x:v>
      </x:c>
    </x:row>
    <x:row r="195">
      <x:c r="A195" t="str">
        <x:v>S03</x:v>
      </x:c>
      <x:c r="B195" t="str">
        <x:v>0.90 validated five-run session</x:v>
      </x:c>
      <x:c r="C195" s="54" t="n">
        <x:v>0.9</x:v>
      </x:c>
      <x:c r="D195" t="n">
        <x:v>5</x:v>
      </x:c>
      <x:c r="E195" t="n">
        <x:v>1</x:v>
      </x:c>
      <x:c r="F195" t="str">
        <x:v>SEARCH</x:v>
      </x:c>
      <x:c r="G195" t="n">
        <x:v>9</x:v>
      </x:c>
      <x:c r="H195" s="54" t="n">
        <x:v>8.75</x:v>
      </x:c>
      <x:c r="I195" s="54" t="n">
        <x:v>0.8549</x:v>
      </x:c>
      <x:c r="J195" s="54" t="n">
        <x:v>0.85503</x:v>
      </x:c>
      <x:c r="K195" s="54" t="n">
        <x:v>0.29186</x:v>
      </x:c>
      <x:c r="L195" s="54" t="n">
        <x:v>0.48285</x:v>
      </x:c>
      <x:c r="M195" s="54" t="n">
        <x:v>1.02449</x:v>
      </x:c>
      <x:c r="N195" s="56" t="n">
        <x:v>-5.01</x:v>
      </x:c>
      <x:c r="O195" s="56" t="n">
        <x:v>1.63</x:v>
      </x:c>
      <x:c r="P195" s="56" t="n">
        <x:v>1.13</x:v>
      </x:c>
      <x:c r="Q195" s="56" t="n">
        <x:v>91.6</x:v>
      </x:c>
      <x:c r="R195" t="str">
        <x:v>X</x:v>
      </x:c>
      <x:c r="S195" s="102" t="n">
        <x:v>100</x:v>
      </x:c>
      <x:c r="T195" t="str">
        <x:v>IN TARGET BAND</x:v>
      </x:c>
      <x:c r="U195" t="n">
        <x:v>1007</x:v>
      </x:c>
      <x:c r="V195" t="str">
        <x:v>Pasted text(56).txt</x:v>
      </x:c>
    </x:row>
    <x:row r="196">
      <x:c r="A196" t="str">
        <x:v>S03</x:v>
      </x:c>
      <x:c r="B196" t="str">
        <x:v>0.90 validated five-run session</x:v>
      </x:c>
      <x:c r="C196" s="54" t="n">
        <x:v>0.9</x:v>
      </x:c>
      <x:c r="D196" t="n">
        <x:v>5</x:v>
      </x:c>
      <x:c r="E196" t="n">
        <x:v>1</x:v>
      </x:c>
      <x:c r="F196" t="str">
        <x:v>FINE</x:v>
      </x:c>
      <x:c r="G196" t="n">
        <x:v>1</x:v>
      </x:c>
      <x:c r="H196" s="54" t="n">
        <x:v>7.75</x:v>
      </x:c>
      <x:c r="I196" s="54" t="n">
        <x:v>0.73106</x:v>
      </x:c>
      <x:c r="J196" s="54" t="n">
        <x:v>0.73004</x:v>
      </x:c>
      <x:c r="K196" s="54" t="n">
        <x:v>0.25269</x:v>
      </x:c>
      <x:c r="L196" s="54" t="n">
        <x:v>0.43504</x:v>
      </x:c>
      <x:c r="M196" s="54" t="n">
        <x:v>0.88689</x:v>
      </x:c>
      <x:c r="N196" s="56" t="n">
        <x:v>-18.77</x:v>
      </x:c>
      <x:c r="O196" s="56" t="n">
        <x:v>2.73</x:v>
      </x:c>
      <x:c r="P196" s="56" t="n">
        <x:v>2.06</x:v>
      </x:c>
      <x:c r="Q196" s="56" t="n">
        <x:v>90.2</x:v>
      </x:c>
      <x:c r="R196" t="str">
        <x:v>X</x:v>
      </x:c>
      <x:c r="S196" s="102" t="n">
        <x:v>100</x:v>
      </x:c>
      <x:c r="T196" t="str">
        <x:v>VALID</x:v>
      </x:c>
      <x:c r="U196" t="n">
        <x:v>1011</x:v>
      </x:c>
      <x:c r="V196" t="str">
        <x:v>Pasted text(56).txt</x:v>
      </x:c>
    </x:row>
    <x:row r="197">
      <x:c r="A197" t="str">
        <x:v>S03</x:v>
      </x:c>
      <x:c r="B197" t="str">
        <x:v>0.90 validated five-run session</x:v>
      </x:c>
      <x:c r="C197" s="54" t="n">
        <x:v>0.9</x:v>
      </x:c>
      <x:c r="D197" t="n">
        <x:v>5</x:v>
      </x:c>
      <x:c r="E197" t="n">
        <x:v>1</x:v>
      </x:c>
      <x:c r="F197" t="str">
        <x:v>FINE</x:v>
      </x:c>
      <x:c r="G197" t="n">
        <x:v>2</x:v>
      </x:c>
      <x:c r="H197" s="54" t="n">
        <x:v>8</x:v>
      </x:c>
      <x:c r="I197" s="54" t="n">
        <x:v>0.74304</x:v>
      </x:c>
      <x:c r="J197" s="54" t="n">
        <x:v>0.74331</x:v>
      </x:c>
      <x:c r="K197" s="54" t="n">
        <x:v>0.26835</x:v>
      </x:c>
      <x:c r="L197" s="54" t="n">
        <x:v>0.43956</x:v>
      </x:c>
      <x:c r="M197" s="54" t="n">
        <x:v>0.90451</x:v>
      </x:c>
      <x:c r="N197" s="56" t="n">
        <x:v>-17.44</x:v>
      </x:c>
      <x:c r="O197" s="56" t="n">
        <x:v>3.56</x:v>
      </x:c>
      <x:c r="P197" s="56" t="n">
        <x:v>2.46</x:v>
      </x:c>
      <x:c r="Q197" s="56" t="n">
        <x:v>90.3</x:v>
      </x:c>
      <x:c r="R197" t="str">
        <x:v>X</x:v>
      </x:c>
      <x:c r="S197" s="102" t="n">
        <x:v>100</x:v>
      </x:c>
      <x:c r="T197" t="str">
        <x:v>VALID</x:v>
      </x:c>
      <x:c r="U197" t="n">
        <x:v>1012</x:v>
      </x:c>
      <x:c r="V197" t="str">
        <x:v>Pasted text(56).txt</x:v>
      </x:c>
    </x:row>
    <x:row r="198">
      <x:c r="A198" t="str">
        <x:v>S03</x:v>
      </x:c>
      <x:c r="B198" t="str">
        <x:v>0.90 validated five-run session</x:v>
      </x:c>
      <x:c r="C198" s="54" t="n">
        <x:v>0.9</x:v>
      </x:c>
      <x:c r="D198" t="n">
        <x:v>5</x:v>
      </x:c>
      <x:c r="E198" t="n">
        <x:v>1</x:v>
      </x:c>
      <x:c r="F198" t="str">
        <x:v>FINE</x:v>
      </x:c>
      <x:c r="G198" t="n">
        <x:v>3</x:v>
      </x:c>
      <x:c r="H198" s="54" t="n">
        <x:v>8.25</x:v>
      </x:c>
      <x:c r="I198" s="54" t="n">
        <x:v>0.78293</x:v>
      </x:c>
      <x:c r="J198" s="54" t="n">
        <x:v>0.77826</x:v>
      </x:c>
      <x:c r="K198" s="54" t="n">
        <x:v>0.26759</x:v>
      </x:c>
      <x:c r="L198" s="54" t="n">
        <x:v>0.46398</x:v>
      </x:c>
      <x:c r="M198" s="54" t="n">
        <x:v>0.94516</x:v>
      </x:c>
      <x:c r="N198" s="56" t="n">
        <x:v>-13.01</x:v>
      </x:c>
      <x:c r="O198" s="56" t="n">
        <x:v>1.88</x:v>
      </x:c>
      <x:c r="P198" s="56" t="n">
        <x:v>2.24</x:v>
      </x:c>
      <x:c r="Q198" s="56" t="n">
        <x:v>91.6</x:v>
      </x:c>
      <x:c r="R198" t="str">
        <x:v>X</x:v>
      </x:c>
      <x:c r="S198" s="102" t="n">
        <x:v>100</x:v>
      </x:c>
      <x:c r="T198" t="str">
        <x:v>VALID</x:v>
      </x:c>
      <x:c r="U198" t="n">
        <x:v>1013</x:v>
      </x:c>
      <x:c r="V198" t="str">
        <x:v>Pasted text(56).txt</x:v>
      </x:c>
    </x:row>
    <x:row r="199">
      <x:c r="A199" t="str">
        <x:v>S03</x:v>
      </x:c>
      <x:c r="B199" t="str">
        <x:v>0.90 validated five-run session</x:v>
      </x:c>
      <x:c r="C199" s="54" t="n">
        <x:v>0.9</x:v>
      </x:c>
      <x:c r="D199" t="n">
        <x:v>5</x:v>
      </x:c>
      <x:c r="E199" t="n">
        <x:v>1</x:v>
      </x:c>
      <x:c r="F199" t="str">
        <x:v>FINE</x:v>
      </x:c>
      <x:c r="G199" t="n">
        <x:v>4</x:v>
      </x:c>
      <x:c r="H199" s="54" t="n">
        <x:v>8.5</x:v>
      </x:c>
      <x:c r="I199" s="54" t="n">
        <x:v>0.78289</x:v>
      </x:c>
      <x:c r="J199" s="54" t="n">
        <x:v>0.78087</x:v>
      </x:c>
      <x:c r="K199" s="54" t="n">
        <x:v>0.2833</x:v>
      </x:c>
      <x:c r="L199" s="54" t="n">
        <x:v>0.48184</x:v>
      </x:c>
      <x:c r="M199" s="54" t="n">
        <x:v>0.96052</x:v>
      </x:c>
      <x:c r="N199" s="56" t="n">
        <x:v>-13.01</x:v>
      </x:c>
      <x:c r="O199" s="56" t="n">
        <x:v>1.65</x:v>
      </x:c>
      <x:c r="P199" s="56" t="n">
        <x:v>1.52</x:v>
      </x:c>
      <x:c r="Q199" s="56" t="n">
        <x:v>90.2</x:v>
      </x:c>
      <x:c r="R199" t="str">
        <x:v>X</x:v>
      </x:c>
      <x:c r="S199" s="102" t="n">
        <x:v>100</x:v>
      </x:c>
      <x:c r="T199" t="str">
        <x:v>VALID</x:v>
      </x:c>
      <x:c r="U199" t="n">
        <x:v>1014</x:v>
      </x:c>
      <x:c r="V199" t="str">
        <x:v>Pasted text(56).txt</x:v>
      </x:c>
    </x:row>
    <x:row r="200">
      <x:c r="A200" t="str">
        <x:v>S03</x:v>
      </x:c>
      <x:c r="B200" t="str">
        <x:v>0.90 validated five-run session</x:v>
      </x:c>
      <x:c r="C200" s="54" t="n">
        <x:v>0.9</x:v>
      </x:c>
      <x:c r="D200" t="n">
        <x:v>5</x:v>
      </x:c>
      <x:c r="E200" t="n">
        <x:v>1</x:v>
      </x:c>
      <x:c r="F200" t="str">
        <x:v>FINE</x:v>
      </x:c>
      <x:c r="G200" t="n">
        <x:v>5</x:v>
      </x:c>
      <x:c r="H200" s="54" t="n">
        <x:v>8.75</x:v>
      </x:c>
      <x:c r="I200" s="54" t="n">
        <x:v>0.87194</x:v>
      </x:c>
      <x:c r="J200" s="54" t="n">
        <x:v>0.86428</x:v>
      </x:c>
      <x:c r="K200" s="54" t="n">
        <x:v>0.30316</x:v>
      </x:c>
      <x:c r="L200" s="54" t="n">
        <x:v>0.4866</x:v>
      </x:c>
      <x:c r="M200" s="54" t="n">
        <x:v>1.03716</x:v>
      </x:c>
      <x:c r="N200" s="56" t="n">
        <x:v>-3.12</x:v>
      </x:c>
      <x:c r="O200" s="56" t="n">
        <x:v>1.21</x:v>
      </x:c>
      <x:c r="P200" s="56" t="n">
        <x:v>2.29</x:v>
      </x:c>
      <x:c r="Q200" s="56" t="n">
        <x:v>93.6</x:v>
      </x:c>
      <x:c r="R200" t="str">
        <x:v>X</x:v>
      </x:c>
      <x:c r="S200" s="102" t="n">
        <x:v>100</x:v>
      </x:c>
      <x:c r="T200" t="str">
        <x:v>IN TARGET BAND</x:v>
      </x:c>
      <x:c r="U200" t="n">
        <x:v>1015</x:v>
      </x:c>
      <x:c r="V200" t="str">
        <x:v>Pasted text(56).txt</x:v>
      </x:c>
    </x:row>
    <x:row r="201">
      <x:c r="A201" t="str">
        <x:v>S03</x:v>
      </x:c>
      <x:c r="B201" t="str">
        <x:v>0.90 validated five-run session</x:v>
      </x:c>
      <x:c r="C201" s="54" t="n">
        <x:v>0.9</x:v>
      </x:c>
      <x:c r="D201" t="n">
        <x:v>5</x:v>
      </x:c>
      <x:c r="E201" t="n">
        <x:v>1</x:v>
      </x:c>
      <x:c r="F201" t="str">
        <x:v>FINE</x:v>
      </x:c>
      <x:c r="G201" t="n">
        <x:v>6</x:v>
      </x:c>
      <x:c r="H201" s="54" t="n">
        <x:v>9</x:v>
      </x:c>
      <x:c r="I201" s="54" t="n">
        <x:v>0.88681</x:v>
      </x:c>
      <x:c r="J201" s="54" t="n">
        <x:v>0.8834</x:v>
      </x:c>
      <x:c r="K201" s="54" t="n">
        <x:v>0.30452</x:v>
      </x:c>
      <x:c r="L201" s="54" t="n">
        <x:v>0.51489</x:v>
      </x:c>
      <x:c r="M201" s="54" t="n">
        <x:v>1.0671</x:v>
      </x:c>
      <x:c r="N201" s="56" t="n">
        <x:v>-1.47</x:v>
      </x:c>
      <x:c r="O201" s="56" t="n">
        <x:v>0.21</x:v>
      </x:c>
      <x:c r="P201" s="56" t="n">
        <x:v>0.79</x:v>
      </x:c>
      <x:c r="Q201" s="56" t="n">
        <x:v>91.8</x:v>
      </x:c>
      <x:c r="R201" t="str">
        <x:v>X</x:v>
      </x:c>
      <x:c r="S201" s="102" t="n">
        <x:v>100</x:v>
      </x:c>
      <x:c r="T201" t="str">
        <x:v>IN TARGET BAND</x:v>
      </x:c>
      <x:c r="U201" t="n">
        <x:v>1016</x:v>
      </x:c>
      <x:c r="V201" t="str">
        <x:v>Pasted text(56).txt</x:v>
      </x:c>
    </x:row>
    <x:row r="202">
      <x:c r="A202" t="str">
        <x:v>S03</x:v>
      </x:c>
      <x:c r="B202" t="str">
        <x:v>0.90 validated five-run session</x:v>
      </x:c>
      <x:c r="C202" s="54" t="n">
        <x:v>0.9</x:v>
      </x:c>
      <x:c r="D202" t="n">
        <x:v>5</x:v>
      </x:c>
      <x:c r="E202" t="n">
        <x:v>1</x:v>
      </x:c>
      <x:c r="F202" t="str">
        <x:v>FINE</x:v>
      </x:c>
      <x:c r="G202" t="n">
        <x:v>7</x:v>
      </x:c>
      <x:c r="H202" s="54" t="n">
        <x:v>9.25</x:v>
      </x:c>
      <x:c r="I202" s="54" t="n">
        <x:v>0.91739</x:v>
      </x:c>
      <x:c r="J202" s="54" t="n">
        <x:v>0.91498</x:v>
      </x:c>
      <x:c r="K202" s="54" t="n">
        <x:v>0.31502</x:v>
      </x:c>
      <x:c r="L202" s="54" t="n">
        <x:v>0.52506</x:v>
      </x:c>
      <x:c r="M202" s="54" t="n">
        <x:v>1.10119</x:v>
      </x:c>
      <x:c r="N202" s="56" t="n">
        <x:v>1.93</x:v>
      </x:c>
      <x:c r="O202" s="56" t="n">
        <x:v>0.77</x:v>
      </x:c>
      <x:c r="P202" s="56" t="n">
        <x:v>0.94</x:v>
      </x:c>
      <x:c r="Q202" s="56" t="n">
        <x:v>91.5</x:v>
      </x:c>
      <x:c r="R202" t="str">
        <x:v>X</x:v>
      </x:c>
      <x:c r="S202" s="102" t="n">
        <x:v>100</x:v>
      </x:c>
      <x:c r="T202" t="str">
        <x:v>IN TARGET BAND</x:v>
      </x:c>
      <x:c r="U202" t="n">
        <x:v>1017</x:v>
      </x:c>
      <x:c r="V202" t="str">
        <x:v>Pasted text(56).txt</x:v>
      </x:c>
    </x:row>
    <x:row r="203">
      <x:c r="A203" t="str">
        <x:v>S03</x:v>
      </x:c>
      <x:c r="B203" t="str">
        <x:v>0.90 validated five-run session</x:v>
      </x:c>
      <x:c r="C203" s="54" t="n">
        <x:v>0.9</x:v>
      </x:c>
      <x:c r="D203" t="n">
        <x:v>5</x:v>
      </x:c>
      <x:c r="E203" t="n">
        <x:v>1</x:v>
      </x:c>
      <x:c r="F203" t="str">
        <x:v>FINE</x:v>
      </x:c>
      <x:c r="G203" t="n">
        <x:v>8</x:v>
      </x:c>
      <x:c r="H203" s="54" t="n">
        <x:v>9.5</x:v>
      </x:c>
      <x:c r="I203" s="54" t="n">
        <x:v>0.93212</x:v>
      </x:c>
      <x:c r="J203" s="54" t="n">
        <x:v>0.93028</x:v>
      </x:c>
      <x:c r="K203" s="54" t="n">
        <x:v>0.31548</x:v>
      </x:c>
      <x:c r="L203" s="54" t="n">
        <x:v>0.54379</x:v>
      </x:c>
      <x:c r="M203" s="54" t="n">
        <x:v>1.12305</x:v>
      </x:c>
      <x:c r="N203" s="56" t="n">
        <x:v>3.57</x:v>
      </x:c>
      <x:c r="O203" s="56" t="n">
        <x:v>0.15</x:v>
      </x:c>
      <x:c r="P203" s="56" t="n">
        <x:v>0.43</x:v>
      </x:c>
      <x:c r="Q203" s="56" t="n">
        <x:v>93.3</x:v>
      </x:c>
      <x:c r="R203" t="str">
        <x:v>X</x:v>
      </x:c>
      <x:c r="S203" s="102" t="n">
        <x:v>100</x:v>
      </x:c>
      <x:c r="T203" t="str">
        <x:v>IN TARGET BAND</x:v>
      </x:c>
      <x:c r="U203" t="n">
        <x:v>1018</x:v>
      </x:c>
      <x:c r="V203" t="str">
        <x:v>Pasted text(56).txt</x:v>
      </x:c>
    </x:row>
    <x:row r="204">
      <x:c r="A204" t="str">
        <x:v>S03</x:v>
      </x:c>
      <x:c r="B204" t="str">
        <x:v>0.90 validated five-run session</x:v>
      </x:c>
      <x:c r="C204" s="54" t="n">
        <x:v>0.9</x:v>
      </x:c>
      <x:c r="D204" t="n">
        <x:v>5</x:v>
      </x:c>
      <x:c r="E204" t="n">
        <x:v>1</x:v>
      </x:c>
      <x:c r="F204" t="str">
        <x:v>FINE</x:v>
      </x:c>
      <x:c r="G204" t="n">
        <x:v>9</x:v>
      </x:c>
      <x:c r="H204" s="54" t="n">
        <x:v>9.75</x:v>
      </x:c>
      <x:c r="I204" s="54" t="n">
        <x:v>0.99063</x:v>
      </x:c>
      <x:c r="J204" s="54" t="n">
        <x:v>0.98911</x:v>
      </x:c>
      <x:c r="K204" s="54" t="n">
        <x:v>0.33718</x:v>
      </x:c>
      <x:c r="L204" s="54" t="n">
        <x:v>0.55909</x:v>
      </x:c>
      <x:c r="M204" s="54" t="n">
        <x:v>1.18519</x:v>
      </x:c>
      <x:c r="N204" s="56" t="n">
        <x:v>10.07</x:v>
      </x:c>
      <x:c r="O204" s="56" t="n">
        <x:v>0.52</x:v>
      </x:c>
      <x:c r="P204" s="56" t="n">
        <x:v>0.6</x:v>
      </x:c>
      <x:c r="Q204" s="56" t="n">
        <x:v>92.9</x:v>
      </x:c>
      <x:c r="R204" t="str">
        <x:v>X</x:v>
      </x:c>
      <x:c r="S204" s="102" t="n">
        <x:v>100</x:v>
      </x:c>
      <x:c r="T204" t="str">
        <x:v>VALID</x:v>
      </x:c>
      <x:c r="U204" t="n">
        <x:v>1019</x:v>
      </x:c>
      <x:c r="V204" t="str">
        <x:v>Pasted text(56).txt</x:v>
      </x:c>
    </x:row>
    <x:row r="205">
      <x:c r="A205" t="str">
        <x:v>S03</x:v>
      </x:c>
      <x:c r="B205" t="str">
        <x:v>0.90 validated five-run session</x:v>
      </x:c>
      <x:c r="C205" s="54" t="n">
        <x:v>0.9</x:v>
      </x:c>
      <x:c r="D205" t="n">
        <x:v>5</x:v>
      </x:c>
      <x:c r="E205" t="n">
        <x:v>1</x:v>
      </x:c>
      <x:c r="F205" t="str">
        <x:v>FINAL</x:v>
      </x:c>
      <x:c r="G205" t="n">
        <x:v>1</x:v>
      </x:c>
      <x:c r="H205" s="54" t="n">
        <x:v>9</x:v>
      </x:c>
      <x:c r="I205" s="54" t="n">
        <x:v>0.87991</x:v>
      </x:c>
      <x:c r="J205" s="54" t="n">
        <x:v>0.88838</x:v>
      </x:c>
      <x:c r="K205" s="54" t="n">
        <x:v>0.31072</x:v>
      </x:c>
      <x:c r="L205" s="54" t="n">
        <x:v>0.51305</x:v>
      </x:c>
      <x:c r="M205" s="54" t="n">
        <x:v>1.07227</x:v>
      </x:c>
      <x:c r="N205" s="56" t="n">
        <x:v>-2.23</x:v>
      </x:c>
      <x:c r="O205" s="56" t="n">
        <x:v>0.94</x:v>
      </x:c>
      <x:c r="P205" s="56" t="n">
        <x:v>2.28</x:v>
      </x:c>
      <x:c r="Q205" s="56" t="n">
        <x:v>91.5</x:v>
      </x:c>
      <x:c r="R205" t="str">
        <x:v>X</x:v>
      </x:c>
      <x:c r="S205" s="102" t="n">
        <x:v>100</x:v>
      </x:c>
      <x:c r="T205" t="str">
        <x:v>IN TARGET BAND</x:v>
      </x:c>
      <x:c r="U205" t="n">
        <x:v>1022</x:v>
      </x:c>
      <x:c r="V205" t="str">
        <x:v>Pasted text(56).txt</x:v>
      </x:c>
    </x:row>
    <x:row r="206">
      <x:c r="A206" t="str">
        <x:v>S03</x:v>
      </x:c>
      <x:c r="B206" t="str">
        <x:v>0.90 validated five-run session</x:v>
      </x:c>
      <x:c r="C206" s="54" t="n">
        <x:v>0.9</x:v>
      </x:c>
      <x:c r="D206" t="n">
        <x:v>5</x:v>
      </x:c>
      <x:c r="E206" t="n">
        <x:v>1</x:v>
      </x:c>
      <x:c r="F206" t="str">
        <x:v>FINAL</x:v>
      </x:c>
      <x:c r="G206" t="n">
        <x:v>2</x:v>
      </x:c>
      <x:c r="H206" s="54" t="n">
        <x:v>9</x:v>
      </x:c>
      <x:c r="I206" s="54" t="n">
        <x:v>0.88455</x:v>
      </x:c>
      <x:c r="J206" s="54" t="n">
        <x:v>0.88641</x:v>
      </x:c>
      <x:c r="K206" s="54" t="n">
        <x:v>0.29505</x:v>
      </x:c>
      <x:c r="L206" s="54" t="n">
        <x:v>0.51896</x:v>
      </x:c>
      <x:c r="M206" s="54" t="n">
        <x:v>1.06926</x:v>
      </x:c>
      <x:c r="N206" s="56" t="n">
        <x:v>-1.72</x:v>
      </x:c>
      <x:c r="O206" s="56" t="n">
        <x:v>1.26</x:v>
      </x:c>
      <x:c r="P206" s="56" t="n">
        <x:v>1.24</x:v>
      </x:c>
      <x:c r="Q206" s="56" t="n">
        <x:v>93</x:v>
      </x:c>
      <x:c r="R206" t="str">
        <x:v>X</x:v>
      </x:c>
      <x:c r="S206" s="102" t="n">
        <x:v>100</x:v>
      </x:c>
      <x:c r="T206" t="str">
        <x:v>IN TARGET BAND</x:v>
      </x:c>
      <x:c r="U206" t="n">
        <x:v>1023</x:v>
      </x:c>
      <x:c r="V206" t="str">
        <x:v>Pasted text(56).txt</x:v>
      </x:c>
    </x:row>
    <x:row r="207">
      <x:c r="A207" t="str">
        <x:v>S04</x:v>
      </x:c>
      <x:c r="B207" t="str">
        <x:v>1.20 validated five-run session</x:v>
      </x:c>
      <x:c r="C207" s="54" t="n">
        <x:v>1.2</x:v>
      </x:c>
      <x:c r="D207" t="n">
        <x:v>1</x:v>
      </x:c>
      <x:c r="E207" t="n">
        <x:v>1</x:v>
      </x:c>
      <x:c r="F207" t="str">
        <x:v>SEARCH</x:v>
      </x:c>
      <x:c r="G207" t="n">
        <x:v>1</x:v>
      </x:c>
      <x:c r="H207" s="54" t="n">
        <x:v>1</x:v>
      </x:c>
      <x:c r="I207" s="54" t="n">
        <x:v>0.00923</x:v>
      </x:c>
      <x:c r="J207" s="54" t="n">
        <x:v>0.01068</x:v>
      </x:c>
      <x:c r="K207" s="54" t="n">
        <x:v>0.01343</x:v>
      </x:c>
      <x:c r="L207" s="54" t="n">
        <x:v>0.01922</x:v>
      </x:c>
      <x:c r="M207" s="54" t="n">
        <x:v>0.02614</x:v>
      </x:c>
      <x:c r="N207" s="56" t="n">
        <x:v>-99.23</x:v>
      </x:c>
      <x:c r="O207" s="56" t="n">
        <x:v>70.93</x:v>
      </x:c>
      <x:c r="P207" s="56" t="n">
        <x:v>62.79</x:v>
      </x:c>
      <x:c r="Q207" s="56" t="n">
        <x:v>5.7</x:v>
      </x:c>
      <x:c r="R207" t="str">
        <x:v>Z</x:v>
      </x:c>
      <x:c r="S207" s="102" t="n">
        <x:v>55.6</x:v>
      </x:c>
      <x:c r="T207" t="str">
        <x:v>BELOW MEASUREMENT FLOOR — SEARCH CONTINUES</x:v>
      </x:c>
      <x:c r="U207" t="n">
        <x:v>1117</x:v>
      </x:c>
      <x:c r="V207" t="str">
        <x:v>Pasted text(56).txt</x:v>
      </x:c>
    </x:row>
    <x:row r="208">
      <x:c r="A208" t="str">
        <x:v>S04</x:v>
      </x:c>
      <x:c r="B208" t="str">
        <x:v>1.20 validated five-run session</x:v>
      </x:c>
      <x:c r="C208" s="54" t="n">
        <x:v>1.2</x:v>
      </x:c>
      <x:c r="D208" t="n">
        <x:v>1</x:v>
      </x:c>
      <x:c r="E208" t="n">
        <x:v>1</x:v>
      </x:c>
      <x:c r="F208" t="str">
        <x:v>SEARCH</x:v>
      </x:c>
      <x:c r="G208" t="n">
        <x:v>2</x:v>
      </x:c>
      <x:c r="H208" s="54" t="n">
        <x:v>3</x:v>
      </x:c>
      <x:c r="I208" s="54" t="n">
        <x:v>0.17307</x:v>
      </x:c>
      <x:c r="J208" s="54" t="n">
        <x:v>0.18077</x:v>
      </x:c>
      <x:c r="K208" s="54" t="n">
        <x:v>0.07169</x:v>
      </x:c>
      <x:c r="L208" s="54" t="n">
        <x:v>0.1244</x:v>
      </x:c>
      <x:c r="M208" s="54" t="n">
        <x:v>0.23133</x:v>
      </x:c>
      <x:c r="N208" s="56" t="n">
        <x:v>-85.58</x:v>
      </x:c>
      <x:c r="O208" s="56" t="n">
        <x:v>4.36</x:v>
      </x:c>
      <x:c r="P208" s="56" t="n">
        <x:v>9.92</x:v>
      </x:c>
      <x:c r="Q208" s="56" t="n">
        <x:v>61.3</x:v>
      </x:c>
      <x:c r="R208" t="str">
        <x:v>X</x:v>
      </x:c>
      <x:c r="S208" s="102" t="n">
        <x:v>100</x:v>
      </x:c>
      <x:c r="T208" t="str">
        <x:v>VALID</x:v>
      </x:c>
      <x:c r="U208" t="n">
        <x:v>1118</x:v>
      </x:c>
      <x:c r="V208" t="str">
        <x:v>Pasted text(56).txt</x:v>
      </x:c>
    </x:row>
    <x:row r="209">
      <x:c r="A209" t="str">
        <x:v>S04</x:v>
      </x:c>
      <x:c r="B209" t="str">
        <x:v>1.20 validated five-run session</x:v>
      </x:c>
      <x:c r="C209" s="54" t="n">
        <x:v>1.2</x:v>
      </x:c>
      <x:c r="D209" t="n">
        <x:v>1</x:v>
      </x:c>
      <x:c r="E209" t="n">
        <x:v>1</x:v>
      </x:c>
      <x:c r="F209" t="str">
        <x:v>SEARCH</x:v>
      </x:c>
      <x:c r="G209" t="n">
        <x:v>3</x:v>
      </x:c>
      <x:c r="H209" s="54" t="n">
        <x:v>5</x:v>
      </x:c>
      <x:c r="I209" s="54" t="n">
        <x:v>0.41575</x:v>
      </x:c>
      <x:c r="J209" s="54" t="n">
        <x:v>0.41404</x:v>
      </x:c>
      <x:c r="K209" s="54" t="n">
        <x:v>0.13409</x:v>
      </x:c>
      <x:c r="L209" s="54" t="n">
        <x:v>0.26659</x:v>
      </x:c>
      <x:c r="M209" s="54" t="n">
        <x:v>0.51052</x:v>
      </x:c>
      <x:c r="N209" s="56" t="n">
        <x:v>-65.35</x:v>
      </x:c>
      <x:c r="O209" s="56" t="n">
        <x:v>4.83</x:v>
      </x:c>
      <x:c r="P209" s="56" t="n">
        <x:v>3.91</x:v>
      </x:c>
      <x:c r="Q209" s="56" t="n">
        <x:v>84.6</x:v>
      </x:c>
      <x:c r="R209" t="str">
        <x:v>X</x:v>
      </x:c>
      <x:c r="S209" s="102" t="n">
        <x:v>100</x:v>
      </x:c>
      <x:c r="T209" t="str">
        <x:v>VALID</x:v>
      </x:c>
      <x:c r="U209" t="n">
        <x:v>1119</x:v>
      </x:c>
      <x:c r="V209" t="str">
        <x:v>Pasted text(56).txt</x:v>
      </x:c>
    </x:row>
    <x:row r="210">
      <x:c r="A210" t="str">
        <x:v>S04</x:v>
      </x:c>
      <x:c r="B210" t="str">
        <x:v>1.20 validated five-run session</x:v>
      </x:c>
      <x:c r="C210" s="54" t="n">
        <x:v>1.2</x:v>
      </x:c>
      <x:c r="D210" t="n">
        <x:v>1</x:v>
      </x:c>
      <x:c r="E210" t="n">
        <x:v>1</x:v>
      </x:c>
      <x:c r="F210" t="str">
        <x:v>SEARCH</x:v>
      </x:c>
      <x:c r="G210" t="n">
        <x:v>4</x:v>
      </x:c>
      <x:c r="H210" s="54" t="n">
        <x:v>6</x:v>
      </x:c>
      <x:c r="I210" s="54" t="n">
        <x:v>0.50901</x:v>
      </x:c>
      <x:c r="J210" s="54" t="n">
        <x:v>0.50777</x:v>
      </x:c>
      <x:c r="K210" s="54" t="n">
        <x:v>0.19467</x:v>
      </x:c>
      <x:c r="L210" s="54" t="n">
        <x:v>0.34704</x:v>
      </x:c>
      <x:c r="M210" s="54" t="n">
        <x:v>0.64544</x:v>
      </x:c>
      <x:c r="N210" s="56" t="n">
        <x:v>-57.58</x:v>
      </x:c>
      <x:c r="O210" s="56" t="n">
        <x:v>6.68</x:v>
      </x:c>
      <x:c r="P210" s="56" t="n">
        <x:v>4.88</x:v>
      </x:c>
      <x:c r="Q210" s="56" t="n">
        <x:v>86.8</x:v>
      </x:c>
      <x:c r="R210" t="str">
        <x:v>X</x:v>
      </x:c>
      <x:c r="S210" s="102" t="n">
        <x:v>100</x:v>
      </x:c>
      <x:c r="T210" t="str">
        <x:v>VALID</x:v>
      </x:c>
      <x:c r="U210" t="n">
        <x:v>1120</x:v>
      </x:c>
      <x:c r="V210" t="str">
        <x:v>Pasted text(56).txt</x:v>
      </x:c>
    </x:row>
    <x:row r="211">
      <x:c r="A211" t="str">
        <x:v>S04</x:v>
      </x:c>
      <x:c r="B211" t="str">
        <x:v>1.20 validated five-run session</x:v>
      </x:c>
      <x:c r="C211" s="54" t="n">
        <x:v>1.2</x:v>
      </x:c>
      <x:c r="D211" t="n">
        <x:v>1</x:v>
      </x:c>
      <x:c r="E211" t="n">
        <x:v>1</x:v>
      </x:c>
      <x:c r="F211" t="str">
        <x:v>SEARCH</x:v>
      </x:c>
      <x:c r="G211" t="n">
        <x:v>5</x:v>
      </x:c>
      <x:c r="H211" s="54" t="n">
        <x:v>7</x:v>
      </x:c>
      <x:c r="I211" s="54" t="n">
        <x:v>0.62757</x:v>
      </x:c>
      <x:c r="J211" s="54" t="n">
        <x:v>0.62644</x:v>
      </x:c>
      <x:c r="K211" s="54" t="n">
        <x:v>0.21744</x:v>
      </x:c>
      <x:c r="L211" s="54" t="n">
        <x:v>0.36478</x:v>
      </x:c>
      <x:c r="M211" s="54" t="n">
        <x:v>0.75696</x:v>
      </x:c>
      <x:c r="N211" s="56" t="n">
        <x:v>-47.7</x:v>
      </x:c>
      <x:c r="O211" s="56" t="n">
        <x:v>0.17</x:v>
      </x:c>
      <x:c r="P211" s="56" t="n">
        <x:v>0.42</x:v>
      </x:c>
      <x:c r="Q211" s="56" t="n">
        <x:v>90.7</x:v>
      </x:c>
      <x:c r="R211" t="str">
        <x:v>X</x:v>
      </x:c>
      <x:c r="S211" s="102" t="n">
        <x:v>100</x:v>
      </x:c>
      <x:c r="T211" t="str">
        <x:v>VALID</x:v>
      </x:c>
      <x:c r="U211" t="n">
        <x:v>1121</x:v>
      </x:c>
      <x:c r="V211" t="str">
        <x:v>Pasted text(56).txt</x:v>
      </x:c>
    </x:row>
    <x:row r="212">
      <x:c r="A212" t="str">
        <x:v>S04</x:v>
      </x:c>
      <x:c r="B212" t="str">
        <x:v>1.20 validated five-run session</x:v>
      </x:c>
      <x:c r="C212" s="54" t="n">
        <x:v>1.2</x:v>
      </x:c>
      <x:c r="D212" t="n">
        <x:v>1</x:v>
      </x:c>
      <x:c r="E212" t="n">
        <x:v>1</x:v>
      </x:c>
      <x:c r="F212" t="str">
        <x:v>SEARCH</x:v>
      </x:c>
      <x:c r="G212" t="n">
        <x:v>6</x:v>
      </x:c>
      <x:c r="H212" s="54" t="n">
        <x:v>8</x:v>
      </x:c>
      <x:c r="I212" s="54" t="n">
        <x:v>0.75781</x:v>
      </x:c>
      <x:c r="J212" s="54" t="n">
        <x:v>0.7604</x:v>
      </x:c>
      <x:c r="K212" s="54" t="n">
        <x:v>0.25227</x:v>
      </x:c>
      <x:c r="L212" s="54" t="n">
        <x:v>0.44557</x:v>
      </x:c>
      <x:c r="M212" s="54" t="n">
        <x:v>0.91678</x:v>
      </x:c>
      <x:c r="N212" s="56" t="n">
        <x:v>-36.85</x:v>
      </x:c>
      <x:c r="O212" s="56" t="n">
        <x:v>2.4</x:v>
      </x:c>
      <x:c r="P212" s="56" t="n">
        <x:v>2.14</x:v>
      </x:c>
      <x:c r="Q212" s="56" t="n">
        <x:v>91</x:v>
      </x:c>
      <x:c r="R212" t="str">
        <x:v>X</x:v>
      </x:c>
      <x:c r="S212" s="102" t="n">
        <x:v>100</x:v>
      </x:c>
      <x:c r="T212" t="str">
        <x:v>VALID</x:v>
      </x:c>
      <x:c r="U212" t="n">
        <x:v>1122</x:v>
      </x:c>
      <x:c r="V212" t="str">
        <x:v>Pasted text(56).txt</x:v>
      </x:c>
    </x:row>
    <x:row r="213">
      <x:c r="A213" t="str">
        <x:v>S04</x:v>
      </x:c>
      <x:c r="B213" t="str">
        <x:v>1.20 validated five-run session</x:v>
      </x:c>
      <x:c r="C213" s="54" t="n">
        <x:v>1.2</x:v>
      </x:c>
      <x:c r="D213" t="n">
        <x:v>1</x:v>
      </x:c>
      <x:c r="E213" t="n">
        <x:v>1</x:v>
      </x:c>
      <x:c r="F213" t="str">
        <x:v>SEARCH</x:v>
      </x:c>
      <x:c r="G213" t="n">
        <x:v>7</x:v>
      </x:c>
      <x:c r="H213" s="54" t="n">
        <x:v>8.5</x:v>
      </x:c>
      <x:c r="I213" s="54" t="n">
        <x:v>0.82436</x:v>
      </x:c>
      <x:c r="J213" s="54" t="n">
        <x:v>0.82422</x:v>
      </x:c>
      <x:c r="K213" s="54" t="n">
        <x:v>0.26832</x:v>
      </x:c>
      <x:c r="L213" s="54" t="n">
        <x:v>0.44982</x:v>
      </x:c>
      <x:c r="M213" s="54" t="n">
        <x:v>0.97677</x:v>
      </x:c>
      <x:c r="N213" s="56" t="n">
        <x:v>-31.3</x:v>
      </x:c>
      <x:c r="O213" s="56" t="n">
        <x:v>2.1</x:v>
      </x:c>
      <x:c r="P213" s="56" t="n">
        <x:v>1.44</x:v>
      </x:c>
      <x:c r="Q213" s="56" t="n">
        <x:v>91.4</x:v>
      </x:c>
      <x:c r="R213" t="str">
        <x:v>X</x:v>
      </x:c>
      <x:c r="S213" s="102" t="n">
        <x:v>100</x:v>
      </x:c>
      <x:c r="T213" t="str">
        <x:v>VALID</x:v>
      </x:c>
      <x:c r="U213" t="n">
        <x:v>1123</x:v>
      </x:c>
      <x:c r="V213" t="str">
        <x:v>Pasted text(56).txt</x:v>
      </x:c>
    </x:row>
    <x:row r="214">
      <x:c r="A214" t="str">
        <x:v>S04</x:v>
      </x:c>
      <x:c r="B214" t="str">
        <x:v>1.20 validated five-run session</x:v>
      </x:c>
      <x:c r="C214" s="54" t="n">
        <x:v>1.2</x:v>
      </x:c>
      <x:c r="D214" t="n">
        <x:v>1</x:v>
      </x:c>
      <x:c r="E214" t="n">
        <x:v>1</x:v>
      </x:c>
      <x:c r="F214" t="str">
        <x:v>SEARCH</x:v>
      </x:c>
      <x:c r="G214" t="n">
        <x:v>8</x:v>
      </x:c>
      <x:c r="H214" s="54" t="n">
        <x:v>9</x:v>
      </x:c>
      <x:c r="I214" s="54" t="n">
        <x:v>0.89907</x:v>
      </x:c>
      <x:c r="J214" s="54" t="n">
        <x:v>0.89113</x:v>
      </x:c>
      <x:c r="K214" s="54" t="n">
        <x:v>0.30071</x:v>
      </x:c>
      <x:c r="L214" s="54" t="n">
        <x:v>0.49472</x:v>
      </x:c>
      <x:c r="M214" s="54" t="n">
        <x:v>1.06271</x:v>
      </x:c>
      <x:c r="N214" s="56" t="n">
        <x:v>-25.08</x:v>
      </x:c>
      <x:c r="O214" s="56" t="n">
        <x:v>2.15</x:v>
      </x:c>
      <x:c r="P214" s="56" t="n">
        <x:v>2.9</x:v>
      </x:c>
      <x:c r="Q214" s="56" t="n">
        <x:v>91.7</x:v>
      </x:c>
      <x:c r="R214" t="str">
        <x:v>X</x:v>
      </x:c>
      <x:c r="S214" s="102" t="n">
        <x:v>100</x:v>
      </x:c>
      <x:c r="T214" t="str">
        <x:v>VALID</x:v>
      </x:c>
      <x:c r="U214" t="n">
        <x:v>1124</x:v>
      </x:c>
      <x:c r="V214" t="str">
        <x:v>Pasted text(56).txt</x:v>
      </x:c>
    </x:row>
    <x:row r="215">
      <x:c r="A215" t="str">
        <x:v>S04</x:v>
      </x:c>
      <x:c r="B215" t="str">
        <x:v>1.20 validated five-run session</x:v>
      </x:c>
      <x:c r="C215" s="54" t="n">
        <x:v>1.2</x:v>
      </x:c>
      <x:c r="D215" t="n">
        <x:v>1</x:v>
      </x:c>
      <x:c r="E215" t="n">
        <x:v>1</x:v>
      </x:c>
      <x:c r="F215" t="str">
        <x:v>SEARCH</x:v>
      </x:c>
      <x:c r="G215" t="n">
        <x:v>9</x:v>
      </x:c>
      <x:c r="H215" s="54" t="n">
        <x:v>9.5</x:v>
      </x:c>
      <x:c r="I215" s="54" t="n">
        <x:v>0.93717</x:v>
      </x:c>
      <x:c r="J215" s="54" t="n">
        <x:v>0.93877</x:v>
      </x:c>
      <x:c r="K215" s="54" t="n">
        <x:v>0.30288</x:v>
      </x:c>
      <x:c r="L215" s="54" t="n">
        <x:v>0.5138</x:v>
      </x:c>
      <x:c r="M215" s="54" t="n">
        <x:v>1.11236</x:v>
      </x:c>
      <x:c r="N215" s="56" t="n">
        <x:v>-21.9</x:v>
      </x:c>
      <x:c r="O215" s="56" t="n">
        <x:v>1.85</x:v>
      </x:c>
      <x:c r="P215" s="56" t="n">
        <x:v>1.51</x:v>
      </x:c>
      <x:c r="Q215" s="56" t="n">
        <x:v>91.2</x:v>
      </x:c>
      <x:c r="R215" t="str">
        <x:v>X</x:v>
      </x:c>
      <x:c r="S215" s="102" t="n">
        <x:v>100</x:v>
      </x:c>
      <x:c r="T215" t="str">
        <x:v>VALID</x:v>
      </x:c>
      <x:c r="U215" t="n">
        <x:v>1125</x:v>
      </x:c>
      <x:c r="V215" t="str">
        <x:v>Pasted text(56).txt</x:v>
      </x:c>
    </x:row>
    <x:row r="216">
      <x:c r="A216" t="str">
        <x:v>S04</x:v>
      </x:c>
      <x:c r="B216" t="str">
        <x:v>1.20 validated five-run session</x:v>
      </x:c>
      <x:c r="C216" s="54" t="n">
        <x:v>1.2</x:v>
      </x:c>
      <x:c r="D216" t="n">
        <x:v>1</x:v>
      </x:c>
      <x:c r="E216" t="n">
        <x:v>1</x:v>
      </x:c>
      <x:c r="F216" t="str">
        <x:v>SEARCH</x:v>
      </x:c>
      <x:c r="G216" t="n">
        <x:v>10</x:v>
      </x:c>
      <x:c r="H216" s="54" t="n">
        <x:v>10</x:v>
      </x:c>
      <x:c r="I216" s="54" t="n">
        <x:v>1.02228</x:v>
      </x:c>
      <x:c r="J216" s="54" t="n">
        <x:v>1.02364</x:v>
      </x:c>
      <x:c r="K216" s="54" t="n">
        <x:v>0.33767</x:v>
      </x:c>
      <x:c r="L216" s="54" t="n">
        <x:v>0.57338</x:v>
      </x:c>
      <x:c r="M216" s="54" t="n">
        <x:v>1.22096</x:v>
      </x:c>
      <x:c r="N216" s="56" t="n">
        <x:v>-14.81</x:v>
      </x:c>
      <x:c r="O216" s="56" t="n">
        <x:v>0.59</x:v>
      </x:c>
      <x:c r="P216" s="56" t="n">
        <x:v>0.6</x:v>
      </x:c>
      <x:c r="Q216" s="56" t="n">
        <x:v>93</x:v>
      </x:c>
      <x:c r="R216" t="str">
        <x:v>X</x:v>
      </x:c>
      <x:c r="S216" s="102" t="n">
        <x:v>100</x:v>
      </x:c>
      <x:c r="T216" t="str">
        <x:v>VALID</x:v>
      </x:c>
      <x:c r="U216" t="n">
        <x:v>1126</x:v>
      </x:c>
      <x:c r="V216" t="str">
        <x:v>Pasted text(56).txt</x:v>
      </x:c>
    </x:row>
    <x:row r="217">
      <x:c r="A217" t="str">
        <x:v>S04</x:v>
      </x:c>
      <x:c r="B217" t="str">
        <x:v>1.20 validated five-run session</x:v>
      </x:c>
      <x:c r="C217" s="54" t="n">
        <x:v>1.2</x:v>
      </x:c>
      <x:c r="D217" t="n">
        <x:v>1</x:v>
      </x:c>
      <x:c r="E217" t="n">
        <x:v>1</x:v>
      </x:c>
      <x:c r="F217" t="str">
        <x:v>SEARCH</x:v>
      </x:c>
      <x:c r="G217" t="n">
        <x:v>11</x:v>
      </x:c>
      <x:c r="H217" s="54" t="n">
        <x:v>10.25</x:v>
      </x:c>
      <x:c r="I217" s="54" t="n">
        <x:v>1.05896</x:v>
      </x:c>
      <x:c r="J217" s="54" t="n">
        <x:v>1.05814</x:v>
      </x:c>
      <x:c r="K217" s="54" t="n">
        <x:v>0.33522</x:v>
      </x:c>
      <x:c r="L217" s="54" t="n">
        <x:v>0.58394</x:v>
      </x:c>
      <x:c r="M217" s="54" t="n">
        <x:v>1.25423</x:v>
      </x:c>
      <x:c r="N217" s="56" t="n">
        <x:v>-11.75</x:v>
      </x:c>
      <x:c r="O217" s="56" t="n">
        <x:v>1.5</x:v>
      </x:c>
      <x:c r="P217" s="56" t="n">
        <x:v>1.13</x:v>
      </x:c>
      <x:c r="Q217" s="56" t="n">
        <x:v>92.7</x:v>
      </x:c>
      <x:c r="R217" t="str">
        <x:v>X</x:v>
      </x:c>
      <x:c r="S217" s="102" t="n">
        <x:v>100</x:v>
      </x:c>
      <x:c r="T217" t="str">
        <x:v>VALID</x:v>
      </x:c>
      <x:c r="U217" t="n">
        <x:v>1127</x:v>
      </x:c>
      <x:c r="V217" t="str">
        <x:v>Pasted text(56).txt</x:v>
      </x:c>
    </x:row>
    <x:row r="218">
      <x:c r="A218" t="str">
        <x:v>S04</x:v>
      </x:c>
      <x:c r="B218" t="str">
        <x:v>1.20 validated five-run session</x:v>
      </x:c>
      <x:c r="C218" s="54" t="n">
        <x:v>1.2</x:v>
      </x:c>
      <x:c r="D218" t="n">
        <x:v>1</x:v>
      </x:c>
      <x:c r="E218" t="n">
        <x:v>1</x:v>
      </x:c>
      <x:c r="F218" t="str">
        <x:v>SEARCH</x:v>
      </x:c>
      <x:c r="G218" t="n">
        <x:v>12</x:v>
      </x:c>
      <x:c r="H218" s="54" t="n">
        <x:v>10.5</x:v>
      </x:c>
      <x:c r="I218" s="54" t="n">
        <x:v>1.06851</x:v>
      </x:c>
      <x:c r="J218" s="54" t="n">
        <x:v>1.06725</x:v>
      </x:c>
      <x:c r="K218" s="54" t="n">
        <x:v>0.35185</x:v>
      </x:c>
      <x:c r="L218" s="54" t="n">
        <x:v>0.5644</x:v>
      </x:c>
      <x:c r="M218" s="54" t="n">
        <x:v>1.25775</x:v>
      </x:c>
      <x:c r="N218" s="56" t="n">
        <x:v>-10.96</x:v>
      </x:c>
      <x:c r="O218" s="56" t="n">
        <x:v>0.52</x:v>
      </x:c>
      <x:c r="P218" s="56" t="n">
        <x:v>0.54</x:v>
      </x:c>
      <x:c r="Q218" s="56" t="n">
        <x:v>93.6</x:v>
      </x:c>
      <x:c r="R218" t="str">
        <x:v>X</x:v>
      </x:c>
      <x:c r="S218" s="102" t="n">
        <x:v>100</x:v>
      </x:c>
      <x:c r="T218" t="str">
        <x:v>VALID</x:v>
      </x:c>
      <x:c r="U218" t="n">
        <x:v>1128</x:v>
      </x:c>
      <x:c r="V218" t="str">
        <x:v>Pasted text(56).txt</x:v>
      </x:c>
    </x:row>
    <x:row r="219">
      <x:c r="A219" t="str">
        <x:v>S04</x:v>
      </x:c>
      <x:c r="B219" t="str">
        <x:v>1.20 validated five-run session</x:v>
      </x:c>
      <x:c r="C219" s="54" t="n">
        <x:v>1.2</x:v>
      </x:c>
      <x:c r="D219" t="n">
        <x:v>1</x:v>
      </x:c>
      <x:c r="E219" t="n">
        <x:v>1</x:v>
      </x:c>
      <x:c r="F219" t="str">
        <x:v>SEARCH</x:v>
      </x:c>
      <x:c r="G219" t="n">
        <x:v>13</x:v>
      </x:c>
      <x:c r="H219" s="54" t="n">
        <x:v>10.75</x:v>
      </x:c>
      <x:c r="I219" s="54" t="n">
        <x:v>1.11876</x:v>
      </x:c>
      <x:c r="J219" s="54" t="n">
        <x:v>1.12271</x:v>
      </x:c>
      <x:c r="K219" s="54" t="n">
        <x:v>0.38408</x:v>
      </x:c>
      <x:c r="L219" s="54" t="n">
        <x:v>0.6112</x:v>
      </x:c>
      <x:c r="M219" s="54" t="n">
        <x:v>1.33483</x:v>
      </x:c>
      <x:c r="N219" s="56" t="n">
        <x:v>-6.77</x:v>
      </x:c>
      <x:c r="O219" s="56" t="n">
        <x:v>0.91</x:v>
      </x:c>
      <x:c r="P219" s="56" t="n">
        <x:v>1.18</x:v>
      </x:c>
      <x:c r="Q219" s="56" t="n">
        <x:v>93</x:v>
      </x:c>
      <x:c r="R219" t="str">
        <x:v>X</x:v>
      </x:c>
      <x:c r="S219" s="102" t="n">
        <x:v>100</x:v>
      </x:c>
      <x:c r="T219" t="str">
        <x:v>IN TARGET BAND</x:v>
      </x:c>
      <x:c r="U219" t="n">
        <x:v>1129</x:v>
      </x:c>
      <x:c r="V219" t="str">
        <x:v>Pasted text(56).txt</x:v>
      </x:c>
    </x:row>
    <x:row r="220">
      <x:c r="A220" t="str">
        <x:v>S04</x:v>
      </x:c>
      <x:c r="B220" t="str">
        <x:v>1.20 validated five-run session</x:v>
      </x:c>
      <x:c r="C220" s="54" t="n">
        <x:v>1.2</x:v>
      </x:c>
      <x:c r="D220" t="n">
        <x:v>1</x:v>
      </x:c>
      <x:c r="E220" t="n">
        <x:v>1</x:v>
      </x:c>
      <x:c r="F220" t="str">
        <x:v>FINE</x:v>
      </x:c>
      <x:c r="G220" t="n">
        <x:v>1</x:v>
      </x:c>
      <x:c r="H220" s="54" t="n">
        <x:v>9.75</x:v>
      </x:c>
      <x:c r="I220" s="54" t="n">
        <x:v>1.00358</x:v>
      </x:c>
      <x:c r="J220" s="54" t="n">
        <x:v>1.00069</x:v>
      </x:c>
      <x:c r="K220" s="54" t="n">
        <x:v>0.33481</x:v>
      </x:c>
      <x:c r="L220" s="54" t="n">
        <x:v>0.53882</x:v>
      </x:c>
      <x:c r="M220" s="54" t="n">
        <x:v>1.18488</x:v>
      </x:c>
      <x:c r="N220" s="56" t="n">
        <x:v>-16.37</x:v>
      </x:c>
      <x:c r="O220" s="56" t="n">
        <x:v>0.68</x:v>
      </x:c>
      <x:c r="P220" s="56" t="n">
        <x:v>0.93</x:v>
      </x:c>
      <x:c r="Q220" s="56" t="n">
        <x:v>93.3</x:v>
      </x:c>
      <x:c r="R220" t="str">
        <x:v>X</x:v>
      </x:c>
      <x:c r="S220" s="102" t="n">
        <x:v>100</x:v>
      </x:c>
      <x:c r="T220" t="str">
        <x:v>VALID</x:v>
      </x:c>
      <x:c r="U220" t="n">
        <x:v>1133</x:v>
      </x:c>
      <x:c r="V220" t="str">
        <x:v>Pasted text(56).txt</x:v>
      </x:c>
    </x:row>
    <x:row r="221">
      <x:c r="A221" t="str">
        <x:v>S04</x:v>
      </x:c>
      <x:c r="B221" t="str">
        <x:v>1.20 validated five-run session</x:v>
      </x:c>
      <x:c r="C221" s="54" t="n">
        <x:v>1.2</x:v>
      </x:c>
      <x:c r="D221" t="n">
        <x:v>1</x:v>
      </x:c>
      <x:c r="E221" t="n">
        <x:v>1</x:v>
      </x:c>
      <x:c r="F221" t="str">
        <x:v>FINE</x:v>
      </x:c>
      <x:c r="G221" t="n">
        <x:v>2</x:v>
      </x:c>
      <x:c r="H221" s="54" t="n">
        <x:v>10</x:v>
      </x:c>
      <x:c r="I221" s="54" t="n">
        <x:v>1.03656</x:v>
      </x:c>
      <x:c r="J221" s="54" t="n">
        <x:v>1.03236</x:v>
      </x:c>
      <x:c r="K221" s="54" t="n">
        <x:v>0.32915</x:v>
      </x:c>
      <x:c r="L221" s="54" t="n">
        <x:v>0.56291</x:v>
      </x:c>
      <x:c r="M221" s="54" t="n">
        <x:v>1.22112</x:v>
      </x:c>
      <x:c r="N221" s="56" t="n">
        <x:v>-13.62</x:v>
      </x:c>
      <x:c r="O221" s="56" t="n">
        <x:v>0.53</x:v>
      </x:c>
      <x:c r="P221" s="56" t="n">
        <x:v>1.03</x:v>
      </x:c>
      <x:c r="Q221" s="56" t="n">
        <x:v>93.1</x:v>
      </x:c>
      <x:c r="R221" t="str">
        <x:v>X</x:v>
      </x:c>
      <x:c r="S221" s="102" t="n">
        <x:v>100</x:v>
      </x:c>
      <x:c r="T221" t="str">
        <x:v>VALID</x:v>
      </x:c>
      <x:c r="U221" t="n">
        <x:v>1134</x:v>
      </x:c>
      <x:c r="V221" t="str">
        <x:v>Pasted text(56).txt</x:v>
      </x:c>
    </x:row>
    <x:row r="222">
      <x:c r="A222" t="str">
        <x:v>S04</x:v>
      </x:c>
      <x:c r="B222" t="str">
        <x:v>1.20 validated five-run session</x:v>
      </x:c>
      <x:c r="C222" s="54" t="n">
        <x:v>1.2</x:v>
      </x:c>
      <x:c r="D222" t="n">
        <x:v>1</x:v>
      </x:c>
      <x:c r="E222" t="n">
        <x:v>1</x:v>
      </x:c>
      <x:c r="F222" t="str">
        <x:v>FINE</x:v>
      </x:c>
      <x:c r="G222" t="n">
        <x:v>3</x:v>
      </x:c>
      <x:c r="H222" s="54" t="n">
        <x:v>10.25</x:v>
      </x:c>
      <x:c r="I222" s="54" t="n">
        <x:v>1.04828</x:v>
      </x:c>
      <x:c r="J222" s="54" t="n">
        <x:v>1.05174</x:v>
      </x:c>
      <x:c r="K222" s="54" t="n">
        <x:v>0.33539</x:v>
      </x:c>
      <x:c r="L222" s="54" t="n">
        <x:v>0.59534</x:v>
      </x:c>
      <x:c r="M222" s="54" t="n">
        <x:v>1.25435</x:v>
      </x:c>
      <x:c r="N222" s="56" t="n">
        <x:v>-12.64</x:v>
      </x:c>
      <x:c r="O222" s="56" t="n">
        <x:v>0.62</x:v>
      </x:c>
      <x:c r="P222" s="56" t="n">
        <x:v>0.96</x:v>
      </x:c>
      <x:c r="Q222" s="56" t="n">
        <x:v>92.5</x:v>
      </x:c>
      <x:c r="R222" t="str">
        <x:v>X</x:v>
      </x:c>
      <x:c r="S222" s="102" t="n">
        <x:v>100</x:v>
      </x:c>
      <x:c r="T222" t="str">
        <x:v>VALID</x:v>
      </x:c>
      <x:c r="U222" t="n">
        <x:v>1135</x:v>
      </x:c>
      <x:c r="V222" t="str">
        <x:v>Pasted text(56).txt</x:v>
      </x:c>
    </x:row>
    <x:row r="223">
      <x:c r="A223" t="str">
        <x:v>S04</x:v>
      </x:c>
      <x:c r="B223" t="str">
        <x:v>1.20 validated five-run session</x:v>
      </x:c>
      <x:c r="C223" s="54" t="n">
        <x:v>1.2</x:v>
      </x:c>
      <x:c r="D223" t="n">
        <x:v>1</x:v>
      </x:c>
      <x:c r="E223" t="n">
        <x:v>1</x:v>
      </x:c>
      <x:c r="F223" t="str">
        <x:v>FINE</x:v>
      </x:c>
      <x:c r="G223" t="n">
        <x:v>4</x:v>
      </x:c>
      <x:c r="H223" s="54" t="n">
        <x:v>10.5</x:v>
      </x:c>
      <x:c r="I223" s="54" t="n">
        <x:v>1.08191</x:v>
      </x:c>
      <x:c r="J223" s="54" t="n">
        <x:v>1.08142</x:v>
      </x:c>
      <x:c r="K223" s="54" t="n">
        <x:v>0.35024</x:v>
      </x:c>
      <x:c r="L223" s="54" t="n">
        <x:v>0.6007</x:v>
      </x:c>
      <x:c r="M223" s="54" t="n">
        <x:v>1.28579</x:v>
      </x:c>
      <x:c r="N223" s="56" t="n">
        <x:v>-9.84</x:v>
      </x:c>
      <x:c r="O223" s="56" t="n">
        <x:v>0.02</x:v>
      </x:c>
      <x:c r="P223" s="56" t="n">
        <x:v>0.09</x:v>
      </x:c>
      <x:c r="Q223" s="56" t="n">
        <x:v>93.1</x:v>
      </x:c>
      <x:c r="R223" t="str">
        <x:v>X</x:v>
      </x:c>
      <x:c r="S223" s="102" t="n">
        <x:v>100</x:v>
      </x:c>
      <x:c r="T223" t="str">
        <x:v>VALID</x:v>
      </x:c>
      <x:c r="U223" t="n">
        <x:v>1136</x:v>
      </x:c>
      <x:c r="V223" t="str">
        <x:v>Pasted text(56).txt</x:v>
      </x:c>
    </x:row>
    <x:row r="224">
      <x:c r="A224" t="str">
        <x:v>S04</x:v>
      </x:c>
      <x:c r="B224" t="str">
        <x:v>1.20 validated five-run session</x:v>
      </x:c>
      <x:c r="C224" s="54" t="n">
        <x:v>1.2</x:v>
      </x:c>
      <x:c r="D224" t="n">
        <x:v>1</x:v>
      </x:c>
      <x:c r="E224" t="n">
        <x:v>1</x:v>
      </x:c>
      <x:c r="F224" t="str">
        <x:v>FINE</x:v>
      </x:c>
      <x:c r="G224" t="n">
        <x:v>5</x:v>
      </x:c>
      <x:c r="H224" s="54" t="n">
        <x:v>10.75</x:v>
      </x:c>
      <x:c r="I224" s="54" t="n">
        <x:v>1.12219</x:v>
      </x:c>
      <x:c r="J224" s="54" t="n">
        <x:v>1.12697</x:v>
      </x:c>
      <x:c r="K224" s="54" t="n">
        <x:v>0.36188</x:v>
      </x:c>
      <x:c r="L224" s="54" t="n">
        <x:v>0.59491</x:v>
      </x:c>
      <x:c r="M224" s="54" t="n">
        <x:v>1.32483</x:v>
      </x:c>
      <x:c r="N224" s="56" t="n">
        <x:v>-6.48</x:v>
      </x:c>
      <x:c r="O224" s="56" t="n">
        <x:v>1.5</x:v>
      </x:c>
      <x:c r="P224" s="56" t="n">
        <x:v>1.68</x:v>
      </x:c>
      <x:c r="Q224" s="56" t="n">
        <x:v>93.8</x:v>
      </x:c>
      <x:c r="R224" t="str">
        <x:v>X</x:v>
      </x:c>
      <x:c r="S224" s="102" t="n">
        <x:v>100</x:v>
      </x:c>
      <x:c r="T224" t="str">
        <x:v>IN TARGET BAND</x:v>
      </x:c>
      <x:c r="U224" t="n">
        <x:v>1137</x:v>
      </x:c>
      <x:c r="V224" t="str">
        <x:v>Pasted text(56).txt</x:v>
      </x:c>
    </x:row>
    <x:row r="225">
      <x:c r="A225" t="str">
        <x:v>S04</x:v>
      </x:c>
      <x:c r="B225" t="str">
        <x:v>1.20 validated five-run session</x:v>
      </x:c>
      <x:c r="C225" s="54" t="n">
        <x:v>1.2</x:v>
      </x:c>
      <x:c r="D225" t="n">
        <x:v>1</x:v>
      </x:c>
      <x:c r="E225" t="n">
        <x:v>1</x:v>
      </x:c>
      <x:c r="F225" t="str">
        <x:v>FINE</x:v>
      </x:c>
      <x:c r="G225" t="n">
        <x:v>6</x:v>
      </x:c>
      <x:c r="H225" s="54" t="n">
        <x:v>11</x:v>
      </x:c>
      <x:c r="I225" s="54" t="n">
        <x:v>1.15071</x:v>
      </x:c>
      <x:c r="J225" s="54" t="n">
        <x:v>1.15344</x:v>
      </x:c>
      <x:c r="K225" s="54" t="n">
        <x:v>0.38544</x:v>
      </x:c>
      <x:c r="L225" s="54" t="n">
        <x:v>0.61415</x:v>
      </x:c>
      <x:c r="M225" s="54" t="n">
        <x:v>1.36253</x:v>
      </x:c>
      <x:c r="N225" s="56" t="n">
        <x:v>-4.11</x:v>
      </x:c>
      <x:c r="O225" s="56" t="n">
        <x:v>1.33</x:v>
      </x:c>
      <x:c r="P225" s="56" t="n">
        <x:v>1.27</x:v>
      </x:c>
      <x:c r="Q225" s="56" t="n">
        <x:v>92.4</x:v>
      </x:c>
      <x:c r="R225" t="str">
        <x:v>X</x:v>
      </x:c>
      <x:c r="S225" s="102" t="n">
        <x:v>100</x:v>
      </x:c>
      <x:c r="T225" t="str">
        <x:v>IN TARGET BAND</x:v>
      </x:c>
      <x:c r="U225" t="n">
        <x:v>1138</x:v>
      </x:c>
      <x:c r="V225" t="str">
        <x:v>Pasted text(56).txt</x:v>
      </x:c>
    </x:row>
    <x:row r="226">
      <x:c r="A226" t="str">
        <x:v>S04</x:v>
      </x:c>
      <x:c r="B226" t="str">
        <x:v>1.20 validated five-run session</x:v>
      </x:c>
      <x:c r="C226" s="54" t="n">
        <x:v>1.2</x:v>
      </x:c>
      <x:c r="D226" t="n">
        <x:v>1</x:v>
      </x:c>
      <x:c r="E226" t="n">
        <x:v>1</x:v>
      </x:c>
      <x:c r="F226" t="str">
        <x:v>FINE</x:v>
      </x:c>
      <x:c r="G226" t="n">
        <x:v>7</x:v>
      </x:c>
      <x:c r="H226" s="54" t="n">
        <x:v>11.25</x:v>
      </x:c>
      <x:c r="I226" s="54" t="n">
        <x:v>1.19178</x:v>
      </x:c>
      <x:c r="J226" s="54" t="n">
        <x:v>1.19869</x:v>
      </x:c>
      <x:c r="K226" s="54" t="n">
        <x:v>0.38909</x:v>
      </x:c>
      <x:c r="L226" s="54" t="n">
        <x:v>0.63596</x:v>
      </x:c>
      <x:c r="M226" s="54" t="n">
        <x:v>1.41207</x:v>
      </x:c>
      <x:c r="N226" s="56" t="n">
        <x:v>-0.68</x:v>
      </x:c>
      <x:c r="O226" s="56" t="n">
        <x:v>0.81</x:v>
      </x:c>
      <x:c r="P226" s="56" t="n">
        <x:v>1.49</x:v>
      </x:c>
      <x:c r="Q226" s="56" t="n">
        <x:v>94.5</x:v>
      </x:c>
      <x:c r="R226" t="str">
        <x:v>X</x:v>
      </x:c>
      <x:c r="S226" s="102" t="n">
        <x:v>100</x:v>
      </x:c>
      <x:c r="T226" t="str">
        <x:v>IN TARGET BAND</x:v>
      </x:c>
      <x:c r="U226" t="n">
        <x:v>1139</x:v>
      </x:c>
      <x:c r="V226" t="str">
        <x:v>Pasted text(56).txt</x:v>
      </x:c>
    </x:row>
    <x:row r="227">
      <x:c r="A227" t="str">
        <x:v>S04</x:v>
      </x:c>
      <x:c r="B227" t="str">
        <x:v>1.20 validated five-run session</x:v>
      </x:c>
      <x:c r="C227" s="54" t="n">
        <x:v>1.2</x:v>
      </x:c>
      <x:c r="D227" t="n">
        <x:v>1</x:v>
      </x:c>
      <x:c r="E227" t="n">
        <x:v>1</x:v>
      </x:c>
      <x:c r="F227" t="str">
        <x:v>FINE</x:v>
      </x:c>
      <x:c r="G227" t="n">
        <x:v>8</x:v>
      </x:c>
      <x:c r="H227" s="54" t="n">
        <x:v>11.5</x:v>
      </x:c>
      <x:c r="I227" s="54" t="n">
        <x:v>1.21496</x:v>
      </x:c>
      <x:c r="J227" s="54" t="n">
        <x:v>1.2103</x:v>
      </x:c>
      <x:c r="K227" s="54" t="n">
        <x:v>0.37302</x:v>
      </x:c>
      <x:c r="L227" s="54" t="n">
        <x:v>0.6407</x:v>
      </x:c>
      <x:c r="M227" s="54" t="n">
        <x:v>1.41943</x:v>
      </x:c>
      <x:c r="N227" s="56" t="n">
        <x:v>1.25</x:v>
      </x:c>
      <x:c r="O227" s="56" t="n">
        <x:v>0.01</x:v>
      </x:c>
      <x:c r="P227" s="56" t="n">
        <x:v>0.67</x:v>
      </x:c>
      <x:c r="Q227" s="56" t="n">
        <x:v>93.4</x:v>
      </x:c>
      <x:c r="R227" t="str">
        <x:v>X</x:v>
      </x:c>
      <x:c r="S227" s="102" t="n">
        <x:v>100</x:v>
      </x:c>
      <x:c r="T227" t="str">
        <x:v>IN TARGET BAND</x:v>
      </x:c>
      <x:c r="U227" t="n">
        <x:v>1140</x:v>
      </x:c>
      <x:c r="V227" t="str">
        <x:v>Pasted text(56).txt</x:v>
      </x:c>
    </x:row>
    <x:row r="228">
      <x:c r="A228" t="str">
        <x:v>S04</x:v>
      </x:c>
      <x:c r="B228" t="str">
        <x:v>1.20 validated five-run session</x:v>
      </x:c>
      <x:c r="C228" s="54" t="n">
        <x:v>1.2</x:v>
      </x:c>
      <x:c r="D228" t="n">
        <x:v>1</x:v>
      </x:c>
      <x:c r="E228" t="n">
        <x:v>1</x:v>
      </x:c>
      <x:c r="F228" t="str">
        <x:v>FINE</x:v>
      </x:c>
      <x:c r="G228" t="n">
        <x:v>9</x:v>
      </x:c>
      <x:c r="H228" s="54" t="n">
        <x:v>11.75</x:v>
      </x:c>
      <x:c r="I228" s="54" t="n">
        <x:v>1.25622</x:v>
      </x:c>
      <x:c r="J228" s="54" t="n">
        <x:v>1.26056</x:v>
      </x:c>
      <x:c r="K228" s="54" t="n">
        <x:v>0.39988</x:v>
      </x:c>
      <x:c r="L228" s="54" t="n">
        <x:v>0.66853</x:v>
      </x:c>
      <x:c r="M228" s="54" t="n">
        <x:v>1.48196</x:v>
      </x:c>
      <x:c r="N228" s="56" t="n">
        <x:v>4.68</x:v>
      </x:c>
      <x:c r="O228" s="56" t="n">
        <x:v>0.7</x:v>
      </x:c>
      <x:c r="P228" s="56" t="n">
        <x:v>1.03</x:v>
      </x:c>
      <x:c r="Q228" s="56" t="n">
        <x:v>94.2</x:v>
      </x:c>
      <x:c r="R228" t="str">
        <x:v>X</x:v>
      </x:c>
      <x:c r="S228" s="102" t="n">
        <x:v>100</x:v>
      </x:c>
      <x:c r="T228" t="str">
        <x:v>IN TARGET BAND</x:v>
      </x:c>
      <x:c r="U228" t="n">
        <x:v>1141</x:v>
      </x:c>
      <x:c r="V228" t="str">
        <x:v>Pasted text(56).txt</x:v>
      </x:c>
    </x:row>
    <x:row r="229">
      <x:c r="A229" t="str">
        <x:v>S04</x:v>
      </x:c>
      <x:c r="B229" t="str">
        <x:v>1.20 validated five-run session</x:v>
      </x:c>
      <x:c r="C229" s="54" t="n">
        <x:v>1.2</x:v>
      </x:c>
      <x:c r="D229" t="n">
        <x:v>1</x:v>
      </x:c>
      <x:c r="E229" t="n">
        <x:v>1</x:v>
      </x:c>
      <x:c r="F229" t="str">
        <x:v>FINAL</x:v>
      </x:c>
      <x:c r="G229" t="n">
        <x:v>1</x:v>
      </x:c>
      <x:c r="H229" s="54" t="n">
        <x:v>11.5</x:v>
      </x:c>
      <x:c r="I229" s="54" t="n">
        <x:v>1.20585</x:v>
      </x:c>
      <x:c r="J229" s="54" t="n">
        <x:v>1.20951</x:v>
      </x:c>
      <x:c r="K229" s="54" t="n">
        <x:v>0.39672</x:v>
      </x:c>
      <x:c r="L229" s="54" t="n">
        <x:v>0.65162</x:v>
      </x:c>
      <x:c r="M229" s="54" t="n">
        <x:v>1.4302</x:v>
      </x:c>
      <x:c r="N229" s="56" t="n">
        <x:v>0.49</x:v>
      </x:c>
      <x:c r="O229" s="56" t="n">
        <x:v>0.73</x:v>
      </x:c>
      <x:c r="P229" s="56" t="n">
        <x:v>1.15</x:v>
      </x:c>
      <x:c r="Q229" s="56" t="n">
        <x:v>93.9</x:v>
      </x:c>
      <x:c r="R229" t="str">
        <x:v>X</x:v>
      </x:c>
      <x:c r="S229" s="102" t="n">
        <x:v>100</x:v>
      </x:c>
      <x:c r="T229" t="str">
        <x:v>IN TARGET BAND</x:v>
      </x:c>
      <x:c r="U229" t="n">
        <x:v>1144</x:v>
      </x:c>
      <x:c r="V229" t="str">
        <x:v>Pasted text(56).txt</x:v>
      </x:c>
    </x:row>
    <x:row r="230">
      <x:c r="A230" t="str">
        <x:v>S04</x:v>
      </x:c>
      <x:c r="B230" t="str">
        <x:v>1.20 validated five-run session</x:v>
      </x:c>
      <x:c r="C230" s="54" t="n">
        <x:v>1.2</x:v>
      </x:c>
      <x:c r="D230" t="n">
        <x:v>1</x:v>
      </x:c>
      <x:c r="E230" t="n">
        <x:v>1</x:v>
      </x:c>
      <x:c r="F230" t="str">
        <x:v>FINAL</x:v>
      </x:c>
      <x:c r="G230" t="n">
        <x:v>2</x:v>
      </x:c>
      <x:c r="H230" s="54" t="n">
        <x:v>11.5</x:v>
      </x:c>
      <x:c r="I230" s="54" t="n">
        <x:v>1.20774</x:v>
      </x:c>
      <x:c r="J230" s="54" t="n">
        <x:v>1.20487</x:v>
      </x:c>
      <x:c r="K230" s="54" t="n">
        <x:v>0.38681</x:v>
      </x:c>
      <x:c r="L230" s="54" t="n">
        <x:v>0.64823</x:v>
      </x:c>
      <x:c r="M230" s="54" t="n">
        <x:v>1.42185</x:v>
      </x:c>
      <x:c r="N230" s="56" t="n">
        <x:v>0.64</x:v>
      </x:c>
      <x:c r="O230" s="56" t="n">
        <x:v>1.65</x:v>
      </x:c>
      <x:c r="P230" s="56" t="n">
        <x:v>1.39</x:v>
      </x:c>
      <x:c r="Q230" s="56" t="n">
        <x:v>93.5</x:v>
      </x:c>
      <x:c r="R230" t="str">
        <x:v>X</x:v>
      </x:c>
      <x:c r="S230" s="102" t="n">
        <x:v>100</x:v>
      </x:c>
      <x:c r="T230" t="str">
        <x:v>IN TARGET BAND</x:v>
      </x:c>
      <x:c r="U230" t="n">
        <x:v>1145</x:v>
      </x:c>
      <x:c r="V230" t="str">
        <x:v>Pasted text(56).txt</x:v>
      </x:c>
    </x:row>
    <x:row r="231">
      <x:c r="A231" t="str">
        <x:v>S04</x:v>
      </x:c>
      <x:c r="B231" t="str">
        <x:v>1.20 validated five-run session</x:v>
      </x:c>
      <x:c r="C231" s="54" t="n">
        <x:v>1.2</x:v>
      </x:c>
      <x:c r="D231" t="n">
        <x:v>2</x:v>
      </x:c>
      <x:c r="E231" t="n">
        <x:v>1</x:v>
      </x:c>
      <x:c r="F231" t="str">
        <x:v>SEARCH</x:v>
      </x:c>
      <x:c r="G231" t="n">
        <x:v>1</x:v>
      </x:c>
      <x:c r="H231" s="54" t="n">
        <x:v>1</x:v>
      </x:c>
      <x:c r="I231" s="54" t="n">
        <x:v>0.02258</x:v>
      </x:c>
      <x:c r="J231" s="54" t="n">
        <x:v>0.02056</x:v>
      </x:c>
      <x:c r="K231" s="54" t="n">
        <x:v>0.01133</x:v>
      </x:c>
      <x:c r="L231" s="54" t="n">
        <x:v>0.02117</x:v>
      </x:c>
      <x:c r="M231" s="54" t="n">
        <x:v>0.03398</x:v>
      </x:c>
      <x:c r="N231" s="56" t="n">
        <x:v>-98.12</x:v>
      </x:c>
      <x:c r="O231" s="56" t="n">
        <x:v>98.41</x:v>
      </x:c>
      <x:c r="P231" s="56" t="n">
        <x:v>88.08</x:v>
      </x:c>
      <x:c r="Q231" s="56" t="n">
        <x:v>8.9</x:v>
      </x:c>
      <x:c r="R231" t="str">
        <x:v>Z</x:v>
      </x:c>
      <x:c r="S231" s="102" t="n">
        <x:v>97.1</x:v>
      </x:c>
      <x:c r="T231" t="str">
        <x:v>BELOW MEASUREMENT FLOOR — SEARCH CONTINUES</x:v>
      </x:c>
      <x:c r="U231" t="n">
        <x:v>1201</x:v>
      </x:c>
      <x:c r="V231" t="str">
        <x:v>Pasted text(56).txt</x:v>
      </x:c>
    </x:row>
    <x:row r="232">
      <x:c r="A232" t="str">
        <x:v>S04</x:v>
      </x:c>
      <x:c r="B232" t="str">
        <x:v>1.20 validated five-run session</x:v>
      </x:c>
      <x:c r="C232" s="54" t="n">
        <x:v>1.2</x:v>
      </x:c>
      <x:c r="D232" t="n">
        <x:v>2</x:v>
      </x:c>
      <x:c r="E232" t="n">
        <x:v>1</x:v>
      </x:c>
      <x:c r="F232" t="str">
        <x:v>SEARCH</x:v>
      </x:c>
      <x:c r="G232" t="n">
        <x:v>2</x:v>
      </x:c>
      <x:c r="H232" s="54" t="n">
        <x:v>3</x:v>
      </x:c>
      <x:c r="I232" s="54" t="n">
        <x:v>0.14629</x:v>
      </x:c>
      <x:c r="J232" s="54" t="n">
        <x:v>0.14391</x:v>
      </x:c>
      <x:c r="K232" s="54" t="n">
        <x:v>0.0457</x:v>
      </x:c>
      <x:c r="L232" s="54" t="n">
        <x:v>0.14281</x:v>
      </x:c>
      <x:c r="M232" s="54" t="n">
        <x:v>0.20809</x:v>
      </x:c>
      <x:c r="N232" s="56" t="n">
        <x:v>-87.81</x:v>
      </x:c>
      <x:c r="O232" s="56" t="n">
        <x:v>5.35</x:v>
      </x:c>
      <x:c r="P232" s="56" t="n">
        <x:v>6.32</x:v>
      </x:c>
      <x:c r="Q232" s="56" t="n">
        <x:v>53.4</x:v>
      </x:c>
      <x:c r="R232" t="str">
        <x:v>X</x:v>
      </x:c>
      <x:c r="S232" s="102" t="n">
        <x:v>100</x:v>
      </x:c>
      <x:c r="T232" t="str">
        <x:v>VALID</x:v>
      </x:c>
      <x:c r="U232" t="n">
        <x:v>1202</x:v>
      </x:c>
      <x:c r="V232" t="str">
        <x:v>Pasted text(56).txt</x:v>
      </x:c>
    </x:row>
    <x:row r="233">
      <x:c r="A233" t="str">
        <x:v>S04</x:v>
      </x:c>
      <x:c r="B233" t="str">
        <x:v>1.20 validated five-run session</x:v>
      </x:c>
      <x:c r="C233" s="54" t="n">
        <x:v>1.2</x:v>
      </x:c>
      <x:c r="D233" t="n">
        <x:v>2</x:v>
      </x:c>
      <x:c r="E233" t="n">
        <x:v>1</x:v>
      </x:c>
      <x:c r="F233" t="str">
        <x:v>SEARCH</x:v>
      </x:c>
      <x:c r="G233" t="n">
        <x:v>3</x:v>
      </x:c>
      <x:c r="H233" s="54" t="n">
        <x:v>5</x:v>
      </x:c>
      <x:c r="I233" s="54" t="n">
        <x:v>0.38274</x:v>
      </x:c>
      <x:c r="J233" s="54" t="n">
        <x:v>0.3826</x:v>
      </x:c>
      <x:c r="K233" s="54" t="n">
        <x:v>0.14389</x:v>
      </x:c>
      <x:c r="L233" s="54" t="n">
        <x:v>0.25332</x:v>
      </x:c>
      <x:c r="M233" s="54" t="n">
        <x:v>0.48101</x:v>
      </x:c>
      <x:c r="N233" s="56" t="n">
        <x:v>-68.11</x:v>
      </x:c>
      <x:c r="O233" s="56" t="n">
        <x:v>0.07</x:v>
      </x:c>
      <x:c r="P233" s="56" t="n">
        <x:v>0.11</x:v>
      </x:c>
      <x:c r="Q233" s="56" t="n">
        <x:v>81.2</x:v>
      </x:c>
      <x:c r="R233" t="str">
        <x:v>X</x:v>
      </x:c>
      <x:c r="S233" s="102" t="n">
        <x:v>100</x:v>
      </x:c>
      <x:c r="T233" t="str">
        <x:v>VALID</x:v>
      </x:c>
      <x:c r="U233" t="n">
        <x:v>1203</x:v>
      </x:c>
      <x:c r="V233" t="str">
        <x:v>Pasted text(56).txt</x:v>
      </x:c>
    </x:row>
    <x:row r="234">
      <x:c r="A234" t="str">
        <x:v>S04</x:v>
      </x:c>
      <x:c r="B234" t="str">
        <x:v>1.20 validated five-run session</x:v>
      </x:c>
      <x:c r="C234" s="54" t="n">
        <x:v>1.2</x:v>
      </x:c>
      <x:c r="D234" t="n">
        <x:v>2</x:v>
      </x:c>
      <x:c r="E234" t="n">
        <x:v>1</x:v>
      </x:c>
      <x:c r="F234" t="str">
        <x:v>SEARCH</x:v>
      </x:c>
      <x:c r="G234" t="n">
        <x:v>4</x:v>
      </x:c>
      <x:c r="H234" s="54" t="n">
        <x:v>6</x:v>
      </x:c>
      <x:c r="I234" s="54" t="n">
        <x:v>0.51104</x:v>
      </x:c>
      <x:c r="J234" s="54" t="n">
        <x:v>0.51476</x:v>
      </x:c>
      <x:c r="K234" s="54" t="n">
        <x:v>0.18196</x:v>
      </x:c>
      <x:c r="L234" s="54" t="n">
        <x:v>0.31966</x:v>
      </x:c>
      <x:c r="M234" s="54" t="n">
        <x:v>0.63275</x:v>
      </x:c>
      <x:c r="N234" s="56" t="n">
        <x:v>-57.41</x:v>
      </x:c>
      <x:c r="O234" s="56" t="n">
        <x:v>0.92</x:v>
      </x:c>
      <x:c r="P234" s="56" t="n">
        <x:v>1.82</x:v>
      </x:c>
      <x:c r="Q234" s="56" t="n">
        <x:v>87.4</x:v>
      </x:c>
      <x:c r="R234" t="str">
        <x:v>X</x:v>
      </x:c>
      <x:c r="S234" s="102" t="n">
        <x:v>100</x:v>
      </x:c>
      <x:c r="T234" t="str">
        <x:v>VALID</x:v>
      </x:c>
      <x:c r="U234" t="n">
        <x:v>1204</x:v>
      </x:c>
      <x:c r="V234" t="str">
        <x:v>Pasted text(56).txt</x:v>
      </x:c>
    </x:row>
    <x:row r="235">
      <x:c r="A235" t="str">
        <x:v>S04</x:v>
      </x:c>
      <x:c r="B235" t="str">
        <x:v>1.20 validated five-run session</x:v>
      </x:c>
      <x:c r="C235" s="54" t="n">
        <x:v>1.2</x:v>
      </x:c>
      <x:c r="D235" t="n">
        <x:v>2</x:v>
      </x:c>
      <x:c r="E235" t="n">
        <x:v>1</x:v>
      </x:c>
      <x:c r="F235" t="str">
        <x:v>SEARCH</x:v>
      </x:c>
      <x:c r="G235" t="n">
        <x:v>5</x:v>
      </x:c>
      <x:c r="H235" s="54" t="n">
        <x:v>7</x:v>
      </x:c>
      <x:c r="I235" s="54" t="n">
        <x:v>0.63532</x:v>
      </x:c>
      <x:c r="J235" s="54" t="n">
        <x:v>0.63169</x:v>
      </x:c>
      <x:c r="K235" s="54" t="n">
        <x:v>0.23766</x:v>
      </x:c>
      <x:c r="L235" s="54" t="n">
        <x:v>0.36959</x:v>
      </x:c>
      <x:c r="M235" s="54" t="n">
        <x:v>0.76973</x:v>
      </x:c>
      <x:c r="N235" s="56" t="n">
        <x:v>-47.06</x:v>
      </x:c>
      <x:c r="O235" s="56" t="n">
        <x:v>0.82</x:v>
      </x:c>
      <x:c r="P235" s="56" t="n">
        <x:v>1.5</x:v>
      </x:c>
      <x:c r="Q235" s="56" t="n">
        <x:v>89.3</x:v>
      </x:c>
      <x:c r="R235" t="str">
        <x:v>X</x:v>
      </x:c>
      <x:c r="S235" s="102" t="n">
        <x:v>100</x:v>
      </x:c>
      <x:c r="T235" t="str">
        <x:v>VALID</x:v>
      </x:c>
      <x:c r="U235" t="n">
        <x:v>1205</x:v>
      </x:c>
      <x:c r="V235" t="str">
        <x:v>Pasted text(56).txt</x:v>
      </x:c>
    </x:row>
    <x:row r="236">
      <x:c r="A236" t="str">
        <x:v>S04</x:v>
      </x:c>
      <x:c r="B236" t="str">
        <x:v>1.20 validated five-run session</x:v>
      </x:c>
      <x:c r="C236" s="54" t="n">
        <x:v>1.2</x:v>
      </x:c>
      <x:c r="D236" t="n">
        <x:v>2</x:v>
      </x:c>
      <x:c r="E236" t="n">
        <x:v>1</x:v>
      </x:c>
      <x:c r="F236" t="str">
        <x:v>SEARCH</x:v>
      </x:c>
      <x:c r="G236" t="n">
        <x:v>6</x:v>
      </x:c>
      <x:c r="H236" s="54" t="n">
        <x:v>8</x:v>
      </x:c>
      <x:c r="I236" s="54" t="n">
        <x:v>0.75537</x:v>
      </x:c>
      <x:c r="J236" s="54" t="n">
        <x:v>0.7533</x:v>
      </x:c>
      <x:c r="K236" s="54" t="n">
        <x:v>0.26772</x:v>
      </x:c>
      <x:c r="L236" s="54" t="n">
        <x:v>0.44328</x:v>
      </x:c>
      <x:c r="M236" s="54" t="n">
        <x:v>0.91432</x:v>
      </x:c>
      <x:c r="N236" s="56" t="n">
        <x:v>-37.05</x:v>
      </x:c>
      <x:c r="O236" s="56" t="n">
        <x:v>1.55</x:v>
      </x:c>
      <x:c r="P236" s="56" t="n">
        <x:v>1.48</x:v>
      </x:c>
      <x:c r="Q236" s="56" t="n">
        <x:v>90.4</x:v>
      </x:c>
      <x:c r="R236" t="str">
        <x:v>X</x:v>
      </x:c>
      <x:c r="S236" s="102" t="n">
        <x:v>100</x:v>
      </x:c>
      <x:c r="T236" t="str">
        <x:v>VALID</x:v>
      </x:c>
      <x:c r="U236" t="n">
        <x:v>1206</x:v>
      </x:c>
      <x:c r="V236" t="str">
        <x:v>Pasted text(56).txt</x:v>
      </x:c>
    </x:row>
    <x:row r="237">
      <x:c r="A237" t="str">
        <x:v>S04</x:v>
      </x:c>
      <x:c r="B237" t="str">
        <x:v>1.20 validated five-run session</x:v>
      </x:c>
      <x:c r="C237" s="54" t="n">
        <x:v>1.2</x:v>
      </x:c>
      <x:c r="D237" t="n">
        <x:v>2</x:v>
      </x:c>
      <x:c r="E237" t="n">
        <x:v>1</x:v>
      </x:c>
      <x:c r="F237" t="str">
        <x:v>SEARCH</x:v>
      </x:c>
      <x:c r="G237" t="n">
        <x:v>7</x:v>
      </x:c>
      <x:c r="H237" s="54" t="n">
        <x:v>8.5</x:v>
      </x:c>
      <x:c r="I237" s="54" t="n">
        <x:v>0.82459</x:v>
      </x:c>
      <x:c r="J237" s="54" t="n">
        <x:v>0.8137</x:v>
      </x:c>
      <x:c r="K237" s="54" t="n">
        <x:v>0.27671</x:v>
      </x:c>
      <x:c r="L237" s="54" t="n">
        <x:v>0.45072</x:v>
      </x:c>
      <x:c r="M237" s="54" t="n">
        <x:v>0.97066</x:v>
      </x:c>
      <x:c r="N237" s="56" t="n">
        <x:v>-31.28</x:v>
      </x:c>
      <x:c r="O237" s="56" t="n">
        <x:v>0.51</x:v>
      </x:c>
      <x:c r="P237" s="56" t="n">
        <x:v>2.63</x:v>
      </x:c>
      <x:c r="Q237" s="56" t="n">
        <x:v>90.5</x:v>
      </x:c>
      <x:c r="R237" t="str">
        <x:v>X</x:v>
      </x:c>
      <x:c r="S237" s="102" t="n">
        <x:v>100</x:v>
      </x:c>
      <x:c r="T237" t="str">
        <x:v>VALID</x:v>
      </x:c>
      <x:c r="U237" t="n">
        <x:v>1207</x:v>
      </x:c>
      <x:c r="V237" t="str">
        <x:v>Pasted text(56).txt</x:v>
      </x:c>
    </x:row>
    <x:row r="238">
      <x:c r="A238" t="str">
        <x:v>S04</x:v>
      </x:c>
      <x:c r="B238" t="str">
        <x:v>1.20 validated five-run session</x:v>
      </x:c>
      <x:c r="C238" s="54" t="n">
        <x:v>1.2</x:v>
      </x:c>
      <x:c r="D238" t="n">
        <x:v>2</x:v>
      </x:c>
      <x:c r="E238" t="n">
        <x:v>1</x:v>
      </x:c>
      <x:c r="F238" t="str">
        <x:v>SEARCH</x:v>
      </x:c>
      <x:c r="G238" t="n">
        <x:v>8</x:v>
      </x:c>
      <x:c r="H238" s="54" t="n">
        <x:v>9</x:v>
      </x:c>
      <x:c r="I238" s="54" t="n">
        <x:v>0.89009</x:v>
      </x:c>
      <x:c r="J238" s="54" t="n">
        <x:v>0.8914</x:v>
      </x:c>
      <x:c r="K238" s="54" t="n">
        <x:v>0.31341</x:v>
      </x:c>
      <x:c r="L238" s="54" t="n">
        <x:v>0.49604</x:v>
      </x:c>
      <x:c r="M238" s="54" t="n">
        <x:v>1.06729</x:v>
      </x:c>
      <x:c r="N238" s="56" t="n">
        <x:v>-25.83</x:v>
      </x:c>
      <x:c r="O238" s="56" t="n">
        <x:v>0.36</x:v>
      </x:c>
      <x:c r="P238" s="56" t="n">
        <x:v>0.48</x:v>
      </x:c>
      <x:c r="Q238" s="56" t="n">
        <x:v>91.9</x:v>
      </x:c>
      <x:c r="R238" t="str">
        <x:v>X</x:v>
      </x:c>
      <x:c r="S238" s="102" t="n">
        <x:v>100</x:v>
      </x:c>
      <x:c r="T238" t="str">
        <x:v>VALID</x:v>
      </x:c>
      <x:c r="U238" t="n">
        <x:v>1208</x:v>
      </x:c>
      <x:c r="V238" t="str">
        <x:v>Pasted text(56).txt</x:v>
      </x:c>
    </x:row>
    <x:row r="239">
      <x:c r="A239" t="str">
        <x:v>S04</x:v>
      </x:c>
      <x:c r="B239" t="str">
        <x:v>1.20 validated five-run session</x:v>
      </x:c>
      <x:c r="C239" s="54" t="n">
        <x:v>1.2</x:v>
      </x:c>
      <x:c r="D239" t="n">
        <x:v>2</x:v>
      </x:c>
      <x:c r="E239" t="n">
        <x:v>1</x:v>
      </x:c>
      <x:c r="F239" t="str">
        <x:v>SEARCH</x:v>
      </x:c>
      <x:c r="G239" t="n">
        <x:v>9</x:v>
      </x:c>
      <x:c r="H239" s="54" t="n">
        <x:v>9.5</x:v>
      </x:c>
      <x:c r="I239" s="54" t="n">
        <x:v>0.93443</x:v>
      </x:c>
      <x:c r="J239" s="54" t="n">
        <x:v>0.93491</x:v>
      </x:c>
      <x:c r="K239" s="54" t="n">
        <x:v>0.30858</x:v>
      </x:c>
      <x:c r="L239" s="54" t="n">
        <x:v>0.51373</x:v>
      </x:c>
      <x:c r="M239" s="54" t="n">
        <x:v>1.11052</x:v>
      </x:c>
      <x:c r="N239" s="56" t="n">
        <x:v>-22.13</x:v>
      </x:c>
      <x:c r="O239" s="56" t="n">
        <x:v>3.42</x:v>
      </x:c>
      <x:c r="P239" s="56" t="n">
        <x:v>2.38</x:v>
      </x:c>
      <x:c r="Q239" s="56" t="n">
        <x:v>92.9</x:v>
      </x:c>
      <x:c r="R239" t="str">
        <x:v>X</x:v>
      </x:c>
      <x:c r="S239" s="102" t="n">
        <x:v>100</x:v>
      </x:c>
      <x:c r="T239" t="str">
        <x:v>VALID</x:v>
      </x:c>
      <x:c r="U239" t="n">
        <x:v>1209</x:v>
      </x:c>
      <x:c r="V239" t="str">
        <x:v>Pasted text(56).txt</x:v>
      </x:c>
    </x:row>
    <x:row r="240">
      <x:c r="A240" t="str">
        <x:v>S04</x:v>
      </x:c>
      <x:c r="B240" t="str">
        <x:v>1.20 validated five-run session</x:v>
      </x:c>
      <x:c r="C240" s="54" t="n">
        <x:v>1.2</x:v>
      </x:c>
      <x:c r="D240" t="n">
        <x:v>2</x:v>
      </x:c>
      <x:c r="E240" t="n">
        <x:v>1</x:v>
      </x:c>
      <x:c r="F240" t="str">
        <x:v>SEARCH</x:v>
      </x:c>
      <x:c r="G240" t="n">
        <x:v>10</x:v>
      </x:c>
      <x:c r="H240" s="54" t="n">
        <x:v>10</x:v>
      </x:c>
      <x:c r="I240" s="54" t="n">
        <x:v>1.01744</x:v>
      </x:c>
      <x:c r="J240" s="54" t="n">
        <x:v>1.01501</x:v>
      </x:c>
      <x:c r="K240" s="54" t="n">
        <x:v>0.3545</x:v>
      </x:c>
      <x:c r="L240" s="54" t="n">
        <x:v>0.56276</x:v>
      </x:c>
      <x:c r="M240" s="54" t="n">
        <x:v>1.21363</x:v>
      </x:c>
      <x:c r="N240" s="56" t="n">
        <x:v>-15.21</x:v>
      </x:c>
      <x:c r="O240" s="56" t="n">
        <x:v>0.8</x:v>
      </x:c>
      <x:c r="P240" s="56" t="n">
        <x:v>0.93</x:v>
      </x:c>
      <x:c r="Q240" s="56" t="n">
        <x:v>92.3</x:v>
      </x:c>
      <x:c r="R240" t="str">
        <x:v>X</x:v>
      </x:c>
      <x:c r="S240" s="102" t="n">
        <x:v>100</x:v>
      </x:c>
      <x:c r="T240" t="str">
        <x:v>VALID</x:v>
      </x:c>
      <x:c r="U240" t="n">
        <x:v>1210</x:v>
      </x:c>
      <x:c r="V240" t="str">
        <x:v>Pasted text(56).txt</x:v>
      </x:c>
    </x:row>
    <x:row r="241">
      <x:c r="A241" t="str">
        <x:v>S04</x:v>
      </x:c>
      <x:c r="B241" t="str">
        <x:v>1.20 validated five-run session</x:v>
      </x:c>
      <x:c r="C241" s="54" t="n">
        <x:v>1.2</x:v>
      </x:c>
      <x:c r="D241" t="n">
        <x:v>2</x:v>
      </x:c>
      <x:c r="E241" t="n">
        <x:v>1</x:v>
      </x:c>
      <x:c r="F241" t="str">
        <x:v>SEARCH</x:v>
      </x:c>
      <x:c r="G241" t="n">
        <x:v>11</x:v>
      </x:c>
      <x:c r="H241" s="54" t="n">
        <x:v>10.5</x:v>
      </x:c>
      <x:c r="I241" s="54" t="n">
        <x:v>1.06795</x:v>
      </x:c>
      <x:c r="J241" s="54" t="n">
        <x:v>1.06676</x:v>
      </x:c>
      <x:c r="K241" s="54" t="n">
        <x:v>0.36467</x:v>
      </x:c>
      <x:c r="L241" s="54" t="n">
        <x:v>0.58797</x:v>
      </x:c>
      <x:c r="M241" s="54" t="n">
        <x:v>1.27178</x:v>
      </x:c>
      <x:c r="N241" s="56" t="n">
        <x:v>-11</x:v>
      </x:c>
      <x:c r="O241" s="56" t="n">
        <x:v>0.16</x:v>
      </x:c>
      <x:c r="P241" s="56" t="n">
        <x:v>0.29</x:v>
      </x:c>
      <x:c r="Q241" s="56" t="n">
        <x:v>93</x:v>
      </x:c>
      <x:c r="R241" t="str">
        <x:v>X</x:v>
      </x:c>
      <x:c r="S241" s="102" t="n">
        <x:v>100</x:v>
      </x:c>
      <x:c r="T241" t="str">
        <x:v>VALID</x:v>
      </x:c>
      <x:c r="U241" t="n">
        <x:v>1211</x:v>
      </x:c>
      <x:c r="V241" t="str">
        <x:v>Pasted text(56).txt</x:v>
      </x:c>
    </x:row>
    <x:row r="242">
      <x:c r="A242" t="str">
        <x:v>S04</x:v>
      </x:c>
      <x:c r="B242" t="str">
        <x:v>1.20 validated five-run session</x:v>
      </x:c>
      <x:c r="C242" s="54" t="n">
        <x:v>1.2</x:v>
      </x:c>
      <x:c r="D242" t="n">
        <x:v>2</x:v>
      </x:c>
      <x:c r="E242" t="n">
        <x:v>1</x:v>
      </x:c>
      <x:c r="F242" t="str">
        <x:v>SEARCH</x:v>
      </x:c>
      <x:c r="G242" t="n">
        <x:v>12</x:v>
      </x:c>
      <x:c r="H242" s="54" t="n">
        <x:v>10.75</x:v>
      </x:c>
      <x:c r="I242" s="54" t="n">
        <x:v>1.08948</x:v>
      </x:c>
      <x:c r="J242" s="54" t="n">
        <x:v>1.09422</x:v>
      </x:c>
      <x:c r="K242" s="54" t="n">
        <x:v>0.36237</x:v>
      </x:c>
      <x:c r="L242" s="54" t="n">
        <x:v>0.60941</x:v>
      </x:c>
      <x:c r="M242" s="54" t="n">
        <x:v>1.30397</x:v>
      </x:c>
      <x:c r="N242" s="56" t="n">
        <x:v>-9.21</x:v>
      </x:c>
      <x:c r="O242" s="56" t="n">
        <x:v>0.88</x:v>
      </x:c>
      <x:c r="P242" s="56" t="n">
        <x:v>1.29</x:v>
      </x:c>
      <x:c r="Q242" s="56" t="n">
        <x:v>93.4</x:v>
      </x:c>
      <x:c r="R242" t="str">
        <x:v>X</x:v>
      </x:c>
      <x:c r="S242" s="102" t="n">
        <x:v>100</x:v>
      </x:c>
      <x:c r="T242" t="str">
        <x:v>VALID</x:v>
      </x:c>
      <x:c r="U242" t="n">
        <x:v>1212</x:v>
      </x:c>
      <x:c r="V242" t="str">
        <x:v>Pasted text(56).txt</x:v>
      </x:c>
    </x:row>
    <x:row r="243">
      <x:c r="A243" t="str">
        <x:v>S04</x:v>
      </x:c>
      <x:c r="B243" t="str">
        <x:v>1.20 validated five-run session</x:v>
      </x:c>
      <x:c r="C243" s="54" t="n">
        <x:v>1.2</x:v>
      </x:c>
      <x:c r="D243" t="n">
        <x:v>2</x:v>
      </x:c>
      <x:c r="E243" t="n">
        <x:v>1</x:v>
      </x:c>
      <x:c r="F243" t="str">
        <x:v>SEARCH</x:v>
      </x:c>
      <x:c r="G243" t="n">
        <x:v>13</x:v>
      </x:c>
      <x:c r="H243" s="54" t="n">
        <x:v>11</x:v>
      </x:c>
      <x:c r="I243" s="54" t="n">
        <x:v>1.15324</x:v>
      </x:c>
      <x:c r="J243" s="54" t="n">
        <x:v>1.15148</x:v>
      </x:c>
      <x:c r="K243" s="54" t="n">
        <x:v>0.39496</x:v>
      </x:c>
      <x:c r="L243" s="54" t="n">
        <x:v>0.62985</x:v>
      </x:c>
      <x:c r="M243" s="54" t="n">
        <x:v>1.37066</x:v>
      </x:c>
      <x:c r="N243" s="56" t="n">
        <x:v>-3.9</x:v>
      </x:c>
      <x:c r="O243" s="56" t="n">
        <x:v>0.27</x:v>
      </x:c>
      <x:c r="P243" s="56" t="n">
        <x:v>0.43</x:v>
      </x:c>
      <x:c r="Q243" s="56" t="n">
        <x:v>94.1</x:v>
      </x:c>
      <x:c r="R243" t="str">
        <x:v>X</x:v>
      </x:c>
      <x:c r="S243" s="102" t="n">
        <x:v>100</x:v>
      </x:c>
      <x:c r="T243" t="str">
        <x:v>IN TARGET BAND</x:v>
      </x:c>
      <x:c r="U243" t="n">
        <x:v>1213</x:v>
      </x:c>
      <x:c r="V243" t="str">
        <x:v>Pasted text(56).txt</x:v>
      </x:c>
    </x:row>
    <x:row r="244">
      <x:c r="A244" t="str">
        <x:v>S04</x:v>
      </x:c>
      <x:c r="B244" t="str">
        <x:v>1.20 validated five-run session</x:v>
      </x:c>
      <x:c r="C244" s="54" t="n">
        <x:v>1.2</x:v>
      </x:c>
      <x:c r="D244" t="n">
        <x:v>2</x:v>
      </x:c>
      <x:c r="E244" t="n">
        <x:v>1</x:v>
      </x:c>
      <x:c r="F244" t="str">
        <x:v>FINE</x:v>
      </x:c>
      <x:c r="G244" t="n">
        <x:v>1</x:v>
      </x:c>
      <x:c r="H244" s="54" t="n">
        <x:v>10</x:v>
      </x:c>
      <x:c r="I244" s="54" t="n">
        <x:v>1.01607</x:v>
      </x:c>
      <x:c r="J244" s="54" t="n">
        <x:v>1.01841</x:v>
      </x:c>
      <x:c r="K244" s="54" t="n">
        <x:v>0.34125</x:v>
      </x:c>
      <x:c r="L244" s="54" t="n">
        <x:v>0.56856</x:v>
      </x:c>
      <x:c r="M244" s="54" t="n">
        <x:v>1.2157</x:v>
      </x:c>
      <x:c r="N244" s="56" t="n">
        <x:v>-15.33</x:v>
      </x:c>
      <x:c r="O244" s="56" t="n">
        <x:v>0.28</x:v>
      </x:c>
      <x:c r="P244" s="56" t="n">
        <x:v>0.57</x:v>
      </x:c>
      <x:c r="Q244" s="56" t="n">
        <x:v>92.2</x:v>
      </x:c>
      <x:c r="R244" t="str">
        <x:v>X</x:v>
      </x:c>
      <x:c r="S244" s="102" t="n">
        <x:v>100</x:v>
      </x:c>
      <x:c r="T244" t="str">
        <x:v>VALID</x:v>
      </x:c>
      <x:c r="U244" t="n">
        <x:v>1217</x:v>
      </x:c>
      <x:c r="V244" t="str">
        <x:v>Pasted text(56).txt</x:v>
      </x:c>
    </x:row>
    <x:row r="245">
      <x:c r="A245" t="str">
        <x:v>S04</x:v>
      </x:c>
      <x:c r="B245" t="str">
        <x:v>1.20 validated five-run session</x:v>
      </x:c>
      <x:c r="C245" s="54" t="n">
        <x:v>1.2</x:v>
      </x:c>
      <x:c r="D245" t="n">
        <x:v>2</x:v>
      </x:c>
      <x:c r="E245" t="n">
        <x:v>1</x:v>
      </x:c>
      <x:c r="F245" t="str">
        <x:v>FINE</x:v>
      </x:c>
      <x:c r="G245" t="n">
        <x:v>2</x:v>
      </x:c>
      <x:c r="H245" s="54" t="n">
        <x:v>10.25</x:v>
      </x:c>
      <x:c r="I245" s="54" t="n">
        <x:v>1.04032</x:v>
      </x:c>
      <x:c r="J245" s="54" t="n">
        <x:v>1.03866</x:v>
      </x:c>
      <x:c r="K245" s="54" t="n">
        <x:v>0.348</x:v>
      </x:c>
      <x:c r="L245" s="54" t="n">
        <x:v>0.59071</x:v>
      </x:c>
      <x:c r="M245" s="54" t="n">
        <x:v>1.24485</x:v>
      </x:c>
      <x:c r="N245" s="56" t="n">
        <x:v>-13.31</x:v>
      </x:c>
      <x:c r="O245" s="56" t="n">
        <x:v>0.6</x:v>
      </x:c>
      <x:c r="P245" s="56" t="n">
        <x:v>0.66</x:v>
      </x:c>
      <x:c r="Q245" s="56" t="n">
        <x:v>92.8</x:v>
      </x:c>
      <x:c r="R245" t="str">
        <x:v>X</x:v>
      </x:c>
      <x:c r="S245" s="102" t="n">
        <x:v>100</x:v>
      </x:c>
      <x:c r="T245" t="str">
        <x:v>VALID</x:v>
      </x:c>
      <x:c r="U245" t="n">
        <x:v>1218</x:v>
      </x:c>
      <x:c r="V245" t="str">
        <x:v>Pasted text(56).txt</x:v>
      </x:c>
    </x:row>
    <x:row r="246">
      <x:c r="A246" t="str">
        <x:v>S04</x:v>
      </x:c>
      <x:c r="B246" t="str">
        <x:v>1.20 validated five-run session</x:v>
      </x:c>
      <x:c r="C246" s="54" t="n">
        <x:v>1.2</x:v>
      </x:c>
      <x:c r="D246" t="n">
        <x:v>2</x:v>
      </x:c>
      <x:c r="E246" t="n">
        <x:v>1</x:v>
      </x:c>
      <x:c r="F246" t="str">
        <x:v>FINE</x:v>
      </x:c>
      <x:c r="G246" t="n">
        <x:v>3</x:v>
      </x:c>
      <x:c r="H246" s="54" t="n">
        <x:v>10.5</x:v>
      </x:c>
      <x:c r="I246" s="54" t="n">
        <x:v>1.06199</x:v>
      </x:c>
      <x:c r="J246" s="54" t="n">
        <x:v>1.06663</x:v>
      </x:c>
      <x:c r="K246" s="54" t="n">
        <x:v>0.37223</x:v>
      </x:c>
      <x:c r="L246" s="54" t="n">
        <x:v>0.59134</x:v>
      </x:c>
      <x:c r="M246" s="54" t="n">
        <x:v>1.27534</x:v>
      </x:c>
      <x:c r="N246" s="56" t="n">
        <x:v>-11.5</x:v>
      </x:c>
      <x:c r="O246" s="56" t="n">
        <x:v>1.06</x:v>
      </x:c>
      <x:c r="P246" s="56" t="n">
        <x:v>1.41</x:v>
      </x:c>
      <x:c r="Q246" s="56" t="n">
        <x:v>93.5</x:v>
      </x:c>
      <x:c r="R246" t="str">
        <x:v>X</x:v>
      </x:c>
      <x:c r="S246" s="102" t="n">
        <x:v>100</x:v>
      </x:c>
      <x:c r="T246" t="str">
        <x:v>VALID</x:v>
      </x:c>
      <x:c r="U246" t="n">
        <x:v>1219</x:v>
      </x:c>
      <x:c r="V246" t="str">
        <x:v>Pasted text(56).txt</x:v>
      </x:c>
    </x:row>
    <x:row r="247">
      <x:c r="A247" t="str">
        <x:v>S04</x:v>
      </x:c>
      <x:c r="B247" t="str">
        <x:v>1.20 validated five-run session</x:v>
      </x:c>
      <x:c r="C247" s="54" t="n">
        <x:v>1.2</x:v>
      </x:c>
      <x:c r="D247" t="n">
        <x:v>2</x:v>
      </x:c>
      <x:c r="E247" t="n">
        <x:v>1</x:v>
      </x:c>
      <x:c r="F247" t="str">
        <x:v>FINE</x:v>
      </x:c>
      <x:c r="G247" t="n">
        <x:v>4</x:v>
      </x:c>
      <x:c r="H247" s="54" t="n">
        <x:v>10.75</x:v>
      </x:c>
      <x:c r="I247" s="54" t="n">
        <x:v>1.11543</x:v>
      </x:c>
      <x:c r="J247" s="54" t="n">
        <x:v>1.11541</x:v>
      </x:c>
      <x:c r="K247" s="54" t="n">
        <x:v>0.37785</x:v>
      </x:c>
      <x:c r="L247" s="54" t="n">
        <x:v>0.61908</x:v>
      </x:c>
      <x:c r="M247" s="54" t="n">
        <x:v>1.33054</x:v>
      </x:c>
      <x:c r="N247" s="56" t="n">
        <x:v>-7.05</x:v>
      </x:c>
      <x:c r="O247" s="56" t="n">
        <x:v>1.36</x:v>
      </x:c>
      <x:c r="P247" s="56" t="n">
        <x:v>0.92</x:v>
      </x:c>
      <x:c r="Q247" s="56" t="n">
        <x:v>93.3</x:v>
      </x:c>
      <x:c r="R247" t="str">
        <x:v>X</x:v>
      </x:c>
      <x:c r="S247" s="102" t="n">
        <x:v>100</x:v>
      </x:c>
      <x:c r="T247" t="str">
        <x:v>IN TARGET BAND</x:v>
      </x:c>
      <x:c r="U247" t="n">
        <x:v>1220</x:v>
      </x:c>
      <x:c r="V247" t="str">
        <x:v>Pasted text(56).txt</x:v>
      </x:c>
    </x:row>
    <x:row r="248">
      <x:c r="A248" t="str">
        <x:v>S04</x:v>
      </x:c>
      <x:c r="B248" t="str">
        <x:v>1.20 validated five-run session</x:v>
      </x:c>
      <x:c r="C248" s="54" t="n">
        <x:v>1.2</x:v>
      </x:c>
      <x:c r="D248" t="n">
        <x:v>2</x:v>
      </x:c>
      <x:c r="E248" t="n">
        <x:v>1</x:v>
      </x:c>
      <x:c r="F248" t="str">
        <x:v>FINE</x:v>
      </x:c>
      <x:c r="G248" t="n">
        <x:v>5</x:v>
      </x:c>
      <x:c r="H248" s="54" t="n">
        <x:v>11</x:v>
      </x:c>
      <x:c r="I248" s="54" t="n">
        <x:v>1.1618</x:v>
      </x:c>
      <x:c r="J248" s="54" t="n">
        <x:v>1.15117</x:v>
      </x:c>
      <x:c r="K248" s="54" t="n">
        <x:v>0.38503</x:v>
      </x:c>
      <x:c r="L248" s="54" t="n">
        <x:v>0.61964</x:v>
      </x:c>
      <x:c r="M248" s="54" t="n">
        <x:v>1.36293</x:v>
      </x:c>
      <x:c r="N248" s="56" t="n">
        <x:v>-3.18</x:v>
      </x:c>
      <x:c r="O248" s="56" t="n">
        <x:v>0.11</x:v>
      </x:c>
      <x:c r="P248" s="56" t="n">
        <x:v>1.67</x:v>
      </x:c>
      <x:c r="Q248" s="56" t="n">
        <x:v>94.2</x:v>
      </x:c>
      <x:c r="R248" t="str">
        <x:v>X</x:v>
      </x:c>
      <x:c r="S248" s="102" t="n">
        <x:v>100</x:v>
      </x:c>
      <x:c r="T248" t="str">
        <x:v>IN TARGET BAND</x:v>
      </x:c>
      <x:c r="U248" t="n">
        <x:v>1221</x:v>
      </x:c>
      <x:c r="V248" t="str">
        <x:v>Pasted text(56).txt</x:v>
      </x:c>
    </x:row>
    <x:row r="249">
      <x:c r="A249" t="str">
        <x:v>S04</x:v>
      </x:c>
      <x:c r="B249" t="str">
        <x:v>1.20 validated five-run session</x:v>
      </x:c>
      <x:c r="C249" s="54" t="n">
        <x:v>1.2</x:v>
      </x:c>
      <x:c r="D249" t="n">
        <x:v>2</x:v>
      </x:c>
      <x:c r="E249" t="n">
        <x:v>1</x:v>
      </x:c>
      <x:c r="F249" t="str">
        <x:v>FINE</x:v>
      </x:c>
      <x:c r="G249" t="n">
        <x:v>6</x:v>
      </x:c>
      <x:c r="H249" s="54" t="n">
        <x:v>11.25</x:v>
      </x:c>
      <x:c r="I249" s="54" t="n">
        <x:v>1.17684</x:v>
      </x:c>
      <x:c r="J249" s="54" t="n">
        <x:v>1.17516</x:v>
      </x:c>
      <x:c r="K249" s="54" t="n">
        <x:v>0.38018</x:v>
      </x:c>
      <x:c r="L249" s="54" t="n">
        <x:v>0.62859</x:v>
      </x:c>
      <x:c r="M249" s="54" t="n">
        <x:v>1.38597</x:v>
      </x:c>
      <x:c r="N249" s="56" t="n">
        <x:v>-1.93</x:v>
      </x:c>
      <x:c r="O249" s="56" t="n">
        <x:v>1.11</x:v>
      </x:c>
      <x:c r="P249" s="56" t="n">
        <x:v>0.97</x:v>
      </x:c>
      <x:c r="Q249" s="56" t="n">
        <x:v>93.3</x:v>
      </x:c>
      <x:c r="R249" t="str">
        <x:v>X</x:v>
      </x:c>
      <x:c r="S249" s="102" t="n">
        <x:v>100</x:v>
      </x:c>
      <x:c r="T249" t="str">
        <x:v>IN TARGET BAND</x:v>
      </x:c>
      <x:c r="U249" t="n">
        <x:v>1222</x:v>
      </x:c>
      <x:c r="V249" t="str">
        <x:v>Pasted text(56).txt</x:v>
      </x:c>
    </x:row>
    <x:row r="250">
      <x:c r="A250" t="str">
        <x:v>S04</x:v>
      </x:c>
      <x:c r="B250" t="str">
        <x:v>1.20 validated five-run session</x:v>
      </x:c>
      <x:c r="C250" s="54" t="n">
        <x:v>1.2</x:v>
      </x:c>
      <x:c r="D250" t="n">
        <x:v>2</x:v>
      </x:c>
      <x:c r="E250" t="n">
        <x:v>1</x:v>
      </x:c>
      <x:c r="F250" t="str">
        <x:v>FINE</x:v>
      </x:c>
      <x:c r="G250" t="n">
        <x:v>7</x:v>
      </x:c>
      <x:c r="H250" s="54" t="n">
        <x:v>11.5</x:v>
      </x:c>
      <x:c r="I250" s="54" t="n">
        <x:v>1.1988</x:v>
      </x:c>
      <x:c r="J250" s="54" t="n">
        <x:v>1.20088</x:v>
      </x:c>
      <x:c r="K250" s="54" t="n">
        <x:v>0.3973</x:v>
      </x:c>
      <x:c r="L250" s="54" t="n">
        <x:v>0.64586</x:v>
      </x:c>
      <x:c r="M250" s="54" t="n">
        <x:v>1.42029</x:v>
      </x:c>
      <x:c r="N250" s="56" t="n">
        <x:v>-0.1</x:v>
      </x:c>
      <x:c r="O250" s="56" t="n">
        <x:v>0.15</x:v>
      </x:c>
      <x:c r="P250" s="56" t="n">
        <x:v>0.39</x:v>
      </x:c>
      <x:c r="Q250" s="56" t="n">
        <x:v>93.5</x:v>
      </x:c>
      <x:c r="R250" t="str">
        <x:v>X</x:v>
      </x:c>
      <x:c r="S250" s="102" t="n">
        <x:v>100</x:v>
      </x:c>
      <x:c r="T250" t="str">
        <x:v>IN TARGET BAND</x:v>
      </x:c>
      <x:c r="U250" t="n">
        <x:v>1223</x:v>
      </x:c>
      <x:c r="V250" t="str">
        <x:v>Pasted text(56).txt</x:v>
      </x:c>
    </x:row>
    <x:row r="251">
      <x:c r="A251" t="str">
        <x:v>S04</x:v>
      </x:c>
      <x:c r="B251" t="str">
        <x:v>1.20 validated five-run session</x:v>
      </x:c>
      <x:c r="C251" s="54" t="n">
        <x:v>1.2</x:v>
      </x:c>
      <x:c r="D251" t="n">
        <x:v>2</x:v>
      </x:c>
      <x:c r="E251" t="n">
        <x:v>1</x:v>
      </x:c>
      <x:c r="F251" t="str">
        <x:v>FINE</x:v>
      </x:c>
      <x:c r="G251" t="n">
        <x:v>8</x:v>
      </x:c>
      <x:c r="H251" s="54" t="n">
        <x:v>11.75</x:v>
      </x:c>
      <x:c r="I251" s="54" t="n">
        <x:v>1.23857</x:v>
      </x:c>
      <x:c r="J251" s="54" t="n">
        <x:v>1.23908</x:v>
      </x:c>
      <x:c r="K251" s="54" t="n">
        <x:v>0.41019</x:v>
      </x:c>
      <x:c r="L251" s="54" t="n">
        <x:v>0.66308</x:v>
      </x:c>
      <x:c r="M251" s="54" t="n">
        <x:v>1.46399</x:v>
      </x:c>
      <x:c r="N251" s="56" t="n">
        <x:v>3.21</x:v>
      </x:c>
      <x:c r="O251" s="56" t="n">
        <x:v>0.54</x:v>
      </x:c>
      <x:c r="P251" s="56" t="n">
        <x:v>0.43</x:v>
      </x:c>
      <x:c r="Q251" s="56" t="n">
        <x:v>94</x:v>
      </x:c>
      <x:c r="R251" t="str">
        <x:v>X</x:v>
      </x:c>
      <x:c r="S251" s="102" t="n">
        <x:v>100</x:v>
      </x:c>
      <x:c r="T251" t="str">
        <x:v>IN TARGET BAND</x:v>
      </x:c>
      <x:c r="U251" t="n">
        <x:v>1224</x:v>
      </x:c>
      <x:c r="V251" t="str">
        <x:v>Pasted text(56).txt</x:v>
      </x:c>
    </x:row>
    <x:row r="252">
      <x:c r="A252" t="str">
        <x:v>S04</x:v>
      </x:c>
      <x:c r="B252" t="str">
        <x:v>1.20 validated five-run session</x:v>
      </x:c>
      <x:c r="C252" s="54" t="n">
        <x:v>1.2</x:v>
      </x:c>
      <x:c r="D252" t="n">
        <x:v>2</x:v>
      </x:c>
      <x:c r="E252" t="n">
        <x:v>1</x:v>
      </x:c>
      <x:c r="F252" t="str">
        <x:v>FINE</x:v>
      </x:c>
      <x:c r="G252" t="n">
        <x:v>9</x:v>
      </x:c>
      <x:c r="H252" s="54" t="n">
        <x:v>12</x:v>
      </x:c>
      <x:c r="I252" s="54" t="n">
        <x:v>1.26479</x:v>
      </x:c>
      <x:c r="J252" s="54" t="n">
        <x:v>1.2642</x:v>
      </x:c>
      <x:c r="K252" s="54" t="n">
        <x:v>0.40526</x:v>
      </x:c>
      <x:c r="L252" s="54" t="n">
        <x:v>0.68801</x:v>
      </x:c>
      <x:c r="M252" s="54" t="n">
        <x:v>1.49546</x:v>
      </x:c>
      <x:c r="N252" s="56" t="n">
        <x:v>5.4</x:v>
      </x:c>
      <x:c r="O252" s="56" t="n">
        <x:v>0.29</x:v>
      </x:c>
      <x:c r="P252" s="56" t="n">
        <x:v>0.27</x:v>
      </x:c>
      <x:c r="Q252" s="56" t="n">
        <x:v>94.1</x:v>
      </x:c>
      <x:c r="R252" t="str">
        <x:v>X</x:v>
      </x:c>
      <x:c r="S252" s="102" t="n">
        <x:v>100</x:v>
      </x:c>
      <x:c r="T252" t="str">
        <x:v>IN TARGET BAND</x:v>
      </x:c>
      <x:c r="U252" t="n">
        <x:v>1225</x:v>
      </x:c>
      <x:c r="V252" t="str">
        <x:v>Pasted text(56).txt</x:v>
      </x:c>
    </x:row>
    <x:row r="253">
      <x:c r="A253" t="str">
        <x:v>S04</x:v>
      </x:c>
      <x:c r="B253" t="str">
        <x:v>1.20 validated five-run session</x:v>
      </x:c>
      <x:c r="C253" s="54" t="n">
        <x:v>1.2</x:v>
      </x:c>
      <x:c r="D253" t="n">
        <x:v>2</x:v>
      </x:c>
      <x:c r="E253" t="n">
        <x:v>1</x:v>
      </x:c>
      <x:c r="F253" t="str">
        <x:v>FINAL</x:v>
      </x:c>
      <x:c r="G253" t="n">
        <x:v>1</x:v>
      </x:c>
      <x:c r="H253" s="54" t="n">
        <x:v>11.5</x:v>
      </x:c>
      <x:c r="I253" s="54" t="n">
        <x:v>1.19802</x:v>
      </x:c>
      <x:c r="J253" s="54" t="n">
        <x:v>1.19923</x:v>
      </x:c>
      <x:c r="K253" s="54" t="n">
        <x:v>0.39827</x:v>
      </x:c>
      <x:c r="L253" s="54" t="n">
        <x:v>0.63455</x:v>
      </x:c>
      <x:c r="M253" s="54" t="n">
        <x:v>1.41424</x:v>
      </x:c>
      <x:c r="N253" s="56" t="n">
        <x:v>-0.16</x:v>
      </x:c>
      <x:c r="O253" s="56" t="n">
        <x:v>1.34</x:v>
      </x:c>
      <x:c r="P253" s="56" t="n">
        <x:v>1.22</x:v>
      </x:c>
      <x:c r="Q253" s="56" t="n">
        <x:v>93.5</x:v>
      </x:c>
      <x:c r="R253" t="str">
        <x:v>X</x:v>
      </x:c>
      <x:c r="S253" s="102" t="n">
        <x:v>100</x:v>
      </x:c>
      <x:c r="T253" t="str">
        <x:v>IN TARGET BAND</x:v>
      </x:c>
      <x:c r="U253" t="n">
        <x:v>1228</x:v>
      </x:c>
      <x:c r="V253" t="str">
        <x:v>Pasted text(56).txt</x:v>
      </x:c>
    </x:row>
    <x:row r="254">
      <x:c r="A254" t="str">
        <x:v>S04</x:v>
      </x:c>
      <x:c r="B254" t="str">
        <x:v>1.20 validated five-run session</x:v>
      </x:c>
      <x:c r="C254" s="54" t="n">
        <x:v>1.2</x:v>
      </x:c>
      <x:c r="D254" t="n">
        <x:v>2</x:v>
      </x:c>
      <x:c r="E254" t="n">
        <x:v>1</x:v>
      </x:c>
      <x:c r="F254" t="str">
        <x:v>FINAL</x:v>
      </x:c>
      <x:c r="G254" t="n">
        <x:v>2</x:v>
      </x:c>
      <x:c r="H254" s="54" t="n">
        <x:v>11.5</x:v>
      </x:c>
      <x:c r="I254" s="54" t="n">
        <x:v>1.20038</x:v>
      </x:c>
      <x:c r="J254" s="54" t="n">
        <x:v>1.19903</x:v>
      </x:c>
      <x:c r="K254" s="54" t="n">
        <x:v>0.40077</x:v>
      </x:c>
      <x:c r="L254" s="54" t="n">
        <x:v>0.6481</x:v>
      </x:c>
      <x:c r="M254" s="54" t="n">
        <x:v>1.42092</x:v>
      </x:c>
      <x:c r="N254" s="56" t="n">
        <x:v>0.03</x:v>
      </x:c>
      <x:c r="O254" s="56" t="n">
        <x:v>1.93</x:v>
      </x:c>
      <x:c r="P254" s="56" t="n">
        <x:v>1.29</x:v>
      </x:c>
      <x:c r="Q254" s="56" t="n">
        <x:v>92.8</x:v>
      </x:c>
      <x:c r="R254" t="str">
        <x:v>X</x:v>
      </x:c>
      <x:c r="S254" s="102" t="n">
        <x:v>100</x:v>
      </x:c>
      <x:c r="T254" t="str">
        <x:v>IN TARGET BAND</x:v>
      </x:c>
      <x:c r="U254" t="n">
        <x:v>1229</x:v>
      </x:c>
      <x:c r="V254" t="str">
        <x:v>Pasted text(56).txt</x:v>
      </x:c>
    </x:row>
    <x:row r="255">
      <x:c r="A255" t="str">
        <x:v>S04</x:v>
      </x:c>
      <x:c r="B255" t="str">
        <x:v>1.20 validated five-run session</x:v>
      </x:c>
      <x:c r="C255" s="54" t="n">
        <x:v>1.2</x:v>
      </x:c>
      <x:c r="D255" t="n">
        <x:v>3</x:v>
      </x:c>
      <x:c r="E255" t="n">
        <x:v>1</x:v>
      </x:c>
      <x:c r="F255" t="str">
        <x:v>SEARCH</x:v>
      </x:c>
      <x:c r="G255" t="n">
        <x:v>1</x:v>
      </x:c>
      <x:c r="H255" s="54" t="n">
        <x:v>1</x:v>
      </x:c>
      <x:c r="I255" s="54" t="n">
        <x:v>0.0197</x:v>
      </x:c>
      <x:c r="J255" s="54" t="n">
        <x:v>0.01931</x:v>
      </x:c>
      <x:c r="K255" s="54" t="n">
        <x:v>0.01468</x:v>
      </x:c>
      <x:c r="L255" s="54" t="n">
        <x:v>0.02188</x:v>
      </x:c>
      <x:c r="M255" s="54" t="n">
        <x:v>0.03339</x:v>
      </x:c>
      <x:c r="N255" s="56" t="n">
        <x:v>-98.36</x:v>
      </x:c>
      <x:c r="O255" s="56" t="n">
        <x:v>70.01</x:v>
      </x:c>
      <x:c r="P255" s="56" t="n">
        <x:v>51.18</x:v>
      </x:c>
      <x:c r="Q255" s="56" t="n">
        <x:v>11.3</x:v>
      </x:c>
      <x:c r="R255" t="str">
        <x:v>Z</x:v>
      </x:c>
      <x:c r="S255" s="102" t="n">
        <x:v>88.3</x:v>
      </x:c>
      <x:c r="T255" t="str">
        <x:v>BELOW MEASUREMENT FLOOR — SEARCH CONTINUES</x:v>
      </x:c>
      <x:c r="U255" t="n">
        <x:v>1285</x:v>
      </x:c>
      <x:c r="V255" t="str">
        <x:v>Pasted text(56).txt</x:v>
      </x:c>
    </x:row>
    <x:row r="256">
      <x:c r="A256" t="str">
        <x:v>S04</x:v>
      </x:c>
      <x:c r="B256" t="str">
        <x:v>1.20 validated five-run session</x:v>
      </x:c>
      <x:c r="C256" s="54" t="n">
        <x:v>1.2</x:v>
      </x:c>
      <x:c r="D256" t="n">
        <x:v>3</x:v>
      </x:c>
      <x:c r="E256" t="n">
        <x:v>1</x:v>
      </x:c>
      <x:c r="F256" t="str">
        <x:v>SEARCH</x:v>
      </x:c>
      <x:c r="G256" t="n">
        <x:v>2</x:v>
      </x:c>
      <x:c r="H256" s="54" t="n">
        <x:v>3</x:v>
      </x:c>
      <x:c r="I256" s="54" t="n">
        <x:v>0.17934</x:v>
      </x:c>
      <x:c r="J256" s="54" t="n">
        <x:v>0.17959</x:v>
      </x:c>
      <x:c r="K256" s="54" t="n">
        <x:v>0.07442</x:v>
      </x:c>
      <x:c r="L256" s="54" t="n">
        <x:v>0.14531</x:v>
      </x:c>
      <x:c r="M256" s="54" t="n">
        <x:v>0.24313</x:v>
      </x:c>
      <x:c r="N256" s="56" t="n">
        <x:v>-85.06</x:v>
      </x:c>
      <x:c r="O256" s="56" t="n">
        <x:v>4.83</x:v>
      </x:c>
      <x:c r="P256" s="56" t="n">
        <x:v>3.46</x:v>
      </x:c>
      <x:c r="Q256" s="56" t="n">
        <x:v>61.6</x:v>
      </x:c>
      <x:c r="R256" t="str">
        <x:v>X</x:v>
      </x:c>
      <x:c r="S256" s="102" t="n">
        <x:v>100</x:v>
      </x:c>
      <x:c r="T256" t="str">
        <x:v>VALID</x:v>
      </x:c>
      <x:c r="U256" t="n">
        <x:v>1286</x:v>
      </x:c>
      <x:c r="V256" t="str">
        <x:v>Pasted text(56).txt</x:v>
      </x:c>
    </x:row>
    <x:row r="257">
      <x:c r="A257" t="str">
        <x:v>S04</x:v>
      </x:c>
      <x:c r="B257" t="str">
        <x:v>1.20 validated five-run session</x:v>
      </x:c>
      <x:c r="C257" s="54" t="n">
        <x:v>1.2</x:v>
      </x:c>
      <x:c r="D257" t="n">
        <x:v>3</x:v>
      </x:c>
      <x:c r="E257" t="n">
        <x:v>1</x:v>
      </x:c>
      <x:c r="F257" t="str">
        <x:v>SEARCH</x:v>
      </x:c>
      <x:c r="G257" t="n">
        <x:v>3</x:v>
      </x:c>
      <x:c r="H257" s="54" t="n">
        <x:v>5</x:v>
      </x:c>
      <x:c r="I257" s="54" t="n">
        <x:v>0.4074</x:v>
      </x:c>
      <x:c r="J257" s="54" t="n">
        <x:v>0.40524</x:v>
      </x:c>
      <x:c r="K257" s="54" t="n">
        <x:v>0.12617</x:v>
      </x:c>
      <x:c r="L257" s="54" t="n">
        <x:v>0.25993</x:v>
      </x:c>
      <x:c r="M257" s="54" t="n">
        <x:v>0.49788</x:v>
      </x:c>
      <x:c r="N257" s="56" t="n">
        <x:v>-66.05</x:v>
      </x:c>
      <x:c r="O257" s="56" t="n">
        <x:v>3.63</x:v>
      </x:c>
      <x:c r="P257" s="56" t="n">
        <x:v>3.29</x:v>
      </x:c>
      <x:c r="Q257" s="56" t="n">
        <x:v>83.8</x:v>
      </x:c>
      <x:c r="R257" t="str">
        <x:v>X</x:v>
      </x:c>
      <x:c r="S257" s="102" t="n">
        <x:v>100</x:v>
      </x:c>
      <x:c r="T257" t="str">
        <x:v>VALID</x:v>
      </x:c>
      <x:c r="U257" t="n">
        <x:v>1287</x:v>
      </x:c>
      <x:c r="V257" t="str">
        <x:v>Pasted text(56).txt</x:v>
      </x:c>
    </x:row>
    <x:row r="258">
      <x:c r="A258" t="str">
        <x:v>S04</x:v>
      </x:c>
      <x:c r="B258" t="str">
        <x:v>1.20 validated five-run session</x:v>
      </x:c>
      <x:c r="C258" s="54" t="n">
        <x:v>1.2</x:v>
      </x:c>
      <x:c r="D258" t="n">
        <x:v>3</x:v>
      </x:c>
      <x:c r="E258" t="n">
        <x:v>1</x:v>
      </x:c>
      <x:c r="F258" t="str">
        <x:v>SEARCH</x:v>
      </x:c>
      <x:c r="G258" t="n">
        <x:v>4</x:v>
      </x:c>
      <x:c r="H258" s="54" t="n">
        <x:v>6</x:v>
      </x:c>
      <x:c r="I258" s="54" t="n">
        <x:v>0.5196</x:v>
      </x:c>
      <x:c r="J258" s="54" t="n">
        <x:v>0.52469</x:v>
      </x:c>
      <x:c r="K258" s="54" t="n">
        <x:v>0.18244</x:v>
      </x:c>
      <x:c r="L258" s="54" t="n">
        <x:v>0.31122</x:v>
      </x:c>
      <x:c r="M258" s="54" t="n">
        <x:v>0.63738</x:v>
      </x:c>
      <x:c r="N258" s="56" t="n">
        <x:v>-56.7</x:v>
      </x:c>
      <x:c r="O258" s="56" t="n">
        <x:v>1.04</x:v>
      </x:c>
      <x:c r="P258" s="56" t="n">
        <x:v>2.31</x:v>
      </x:c>
      <x:c r="Q258" s="56" t="n">
        <x:v>87.1</x:v>
      </x:c>
      <x:c r="R258" t="str">
        <x:v>X</x:v>
      </x:c>
      <x:c r="S258" s="102" t="n">
        <x:v>100</x:v>
      </x:c>
      <x:c r="T258" t="str">
        <x:v>VALID</x:v>
      </x:c>
      <x:c r="U258" t="n">
        <x:v>1288</x:v>
      </x:c>
      <x:c r="V258" t="str">
        <x:v>Pasted text(56).txt</x:v>
      </x:c>
    </x:row>
    <x:row r="259">
      <x:c r="A259" t="str">
        <x:v>S04</x:v>
      </x:c>
      <x:c r="B259" t="str">
        <x:v>1.20 validated five-run session</x:v>
      </x:c>
      <x:c r="C259" s="54" t="n">
        <x:v>1.2</x:v>
      </x:c>
      <x:c r="D259" t="n">
        <x:v>3</x:v>
      </x:c>
      <x:c r="E259" t="n">
        <x:v>1</x:v>
      </x:c>
      <x:c r="F259" t="str">
        <x:v>SEARCH</x:v>
      </x:c>
      <x:c r="G259" t="n">
        <x:v>5</x:v>
      </x:c>
      <x:c r="H259" s="54" t="n">
        <x:v>7</x:v>
      </x:c>
      <x:c r="I259" s="54" t="n">
        <x:v>0.62667</x:v>
      </x:c>
      <x:c r="J259" s="54" t="n">
        <x:v>0.62078</x:v>
      </x:c>
      <x:c r="K259" s="54" t="n">
        <x:v>0.21361</x:v>
      </x:c>
      <x:c r="L259" s="54" t="n">
        <x:v>0.39066</x:v>
      </x:c>
      <x:c r="M259" s="54" t="n">
        <x:v>0.7641</x:v>
      </x:c>
      <x:c r="N259" s="56" t="n">
        <x:v>-47.78</x:v>
      </x:c>
      <x:c r="O259" s="56" t="n">
        <x:v>0.26</x:v>
      </x:c>
      <x:c r="P259" s="56" t="n">
        <x:v>1.8</x:v>
      </x:c>
      <x:c r="Q259" s="56" t="n">
        <x:v>89.2</x:v>
      </x:c>
      <x:c r="R259" t="str">
        <x:v>X</x:v>
      </x:c>
      <x:c r="S259" s="102" t="n">
        <x:v>100</x:v>
      </x:c>
      <x:c r="T259" t="str">
        <x:v>VALID</x:v>
      </x:c>
      <x:c r="U259" t="n">
        <x:v>1289</x:v>
      </x:c>
      <x:c r="V259" t="str">
        <x:v>Pasted text(56).txt</x:v>
      </x:c>
    </x:row>
    <x:row r="260">
      <x:c r="A260" t="str">
        <x:v>S04</x:v>
      </x:c>
      <x:c r="B260" t="str">
        <x:v>1.20 validated five-run session</x:v>
      </x:c>
      <x:c r="C260" s="54" t="n">
        <x:v>1.2</x:v>
      </x:c>
      <x:c r="D260" t="n">
        <x:v>3</x:v>
      </x:c>
      <x:c r="E260" t="n">
        <x:v>1</x:v>
      </x:c>
      <x:c r="F260" t="str">
        <x:v>SEARCH</x:v>
      </x:c>
      <x:c r="G260" t="n">
        <x:v>6</x:v>
      </x:c>
      <x:c r="H260" s="54" t="n">
        <x:v>8</x:v>
      </x:c>
      <x:c r="I260" s="54" t="n">
        <x:v>0.74811</x:v>
      </x:c>
      <x:c r="J260" s="54" t="n">
        <x:v>0.7616</x:v>
      </x:c>
      <x:c r="K260" s="54" t="n">
        <x:v>0.27174</x:v>
      </x:c>
      <x:c r="L260" s="54" t="n">
        <x:v>0.44965</x:v>
      </x:c>
      <x:c r="M260" s="54" t="n">
        <x:v>0.92539</x:v>
      </x:c>
      <x:c r="N260" s="56" t="n">
        <x:v>-37.66</x:v>
      </x:c>
      <x:c r="O260" s="56" t="n">
        <x:v>0.39</x:v>
      </x:c>
      <x:c r="P260" s="56" t="n">
        <x:v>3.29</x:v>
      </x:c>
      <x:c r="Q260" s="56" t="n">
        <x:v>91</x:v>
      </x:c>
      <x:c r="R260" t="str">
        <x:v>X</x:v>
      </x:c>
      <x:c r="S260" s="102" t="n">
        <x:v>100</x:v>
      </x:c>
      <x:c r="T260" t="str">
        <x:v>VALID</x:v>
      </x:c>
      <x:c r="U260" t="n">
        <x:v>1290</x:v>
      </x:c>
      <x:c r="V260" t="str">
        <x:v>Pasted text(56).txt</x:v>
      </x:c>
    </x:row>
    <x:row r="261">
      <x:c r="A261" t="str">
        <x:v>S04</x:v>
      </x:c>
      <x:c r="B261" t="str">
        <x:v>1.20 validated five-run session</x:v>
      </x:c>
      <x:c r="C261" s="54" t="n">
        <x:v>1.2</x:v>
      </x:c>
      <x:c r="D261" t="n">
        <x:v>3</x:v>
      </x:c>
      <x:c r="E261" t="n">
        <x:v>1</x:v>
      </x:c>
      <x:c r="F261" t="str">
        <x:v>SEARCH</x:v>
      </x:c>
      <x:c r="G261" t="n">
        <x:v>7</x:v>
      </x:c>
      <x:c r="H261" s="54" t="n">
        <x:v>8.5</x:v>
      </x:c>
      <x:c r="I261" s="54" t="n">
        <x:v>0.78626</x:v>
      </x:c>
      <x:c r="J261" s="54" t="n">
        <x:v>0.79149</x:v>
      </x:c>
      <x:c r="K261" s="54" t="n">
        <x:v>0.2698</x:v>
      </x:c>
      <x:c r="L261" s="54" t="n">
        <x:v>0.47236</x:v>
      </x:c>
      <x:c r="M261" s="54" t="n">
        <x:v>0.96081</x:v>
      </x:c>
      <x:c r="N261" s="56" t="n">
        <x:v>-34.48</x:v>
      </x:c>
      <x:c r="O261" s="56" t="n">
        <x:v>1.18</x:v>
      </x:c>
      <x:c r="P261" s="56" t="n">
        <x:v>1.87</x:v>
      </x:c>
      <x:c r="Q261" s="56" t="n">
        <x:v>90.1</x:v>
      </x:c>
      <x:c r="R261" t="str">
        <x:v>X</x:v>
      </x:c>
      <x:c r="S261" s="102" t="n">
        <x:v>100</x:v>
      </x:c>
      <x:c r="T261" t="str">
        <x:v>VALID</x:v>
      </x:c>
      <x:c r="U261" t="n">
        <x:v>1291</x:v>
      </x:c>
      <x:c r="V261" t="str">
        <x:v>Pasted text(56).txt</x:v>
      </x:c>
    </x:row>
    <x:row r="262">
      <x:c r="A262" t="str">
        <x:v>S04</x:v>
      </x:c>
      <x:c r="B262" t="str">
        <x:v>1.20 validated five-run session</x:v>
      </x:c>
      <x:c r="C262" s="54" t="n">
        <x:v>1.2</x:v>
      </x:c>
      <x:c r="D262" t="n">
        <x:v>3</x:v>
      </x:c>
      <x:c r="E262" t="n">
        <x:v>1</x:v>
      </x:c>
      <x:c r="F262" t="str">
        <x:v>SEARCH</x:v>
      </x:c>
      <x:c r="G262" t="n">
        <x:v>8</x:v>
      </x:c>
      <x:c r="H262" s="54" t="n">
        <x:v>9</x:v>
      </x:c>
      <x:c r="I262" s="54" t="n">
        <x:v>0.90094</x:v>
      </x:c>
      <x:c r="J262" s="54" t="n">
        <x:v>0.9007</x:v>
      </x:c>
      <x:c r="K262" s="54" t="n">
        <x:v>0.31593</x:v>
      </x:c>
      <x:c r="L262" s="54" t="n">
        <x:v>0.50892</x:v>
      </x:c>
      <x:c r="M262" s="54" t="n">
        <x:v>1.08191</x:v>
      </x:c>
      <x:c r="N262" s="56" t="n">
        <x:v>-24.92</x:v>
      </x:c>
      <x:c r="O262" s="56" t="n">
        <x:v>2.83</x:v>
      </x:c>
      <x:c r="P262" s="56" t="n">
        <x:v>1.95</x:v>
      </x:c>
      <x:c r="Q262" s="56" t="n">
        <x:v>92.4</x:v>
      </x:c>
      <x:c r="R262" t="str">
        <x:v>X</x:v>
      </x:c>
      <x:c r="S262" s="102" t="n">
        <x:v>100</x:v>
      </x:c>
      <x:c r="T262" t="str">
        <x:v>VALID</x:v>
      </x:c>
      <x:c r="U262" t="n">
        <x:v>1292</x:v>
      </x:c>
      <x:c r="V262" t="str">
        <x:v>Pasted text(56).txt</x:v>
      </x:c>
    </x:row>
    <x:row r="263">
      <x:c r="A263" t="str">
        <x:v>S04</x:v>
      </x:c>
      <x:c r="B263" t="str">
        <x:v>1.20 validated five-run session</x:v>
      </x:c>
      <x:c r="C263" s="54" t="n">
        <x:v>1.2</x:v>
      </x:c>
      <x:c r="D263" t="n">
        <x:v>3</x:v>
      </x:c>
      <x:c r="E263" t="n">
        <x:v>1</x:v>
      </x:c>
      <x:c r="F263" t="str">
        <x:v>SEARCH</x:v>
      </x:c>
      <x:c r="G263" t="n">
        <x:v>9</x:v>
      </x:c>
      <x:c r="H263" s="54" t="n">
        <x:v>9.5</x:v>
      </x:c>
      <x:c r="I263" s="54" t="n">
        <x:v>0.94536</x:v>
      </x:c>
      <x:c r="J263" s="54" t="n">
        <x:v>0.9349</x:v>
      </x:c>
      <x:c r="K263" s="54" t="n">
        <x:v>0.31731</x:v>
      </x:c>
      <x:c r="L263" s="54" t="n">
        <x:v>0.50849</x:v>
      </x:c>
      <x:c r="M263" s="54" t="n">
        <x:v>1.11055</x:v>
      </x:c>
      <x:c r="N263" s="56" t="n">
        <x:v>-21.22</x:v>
      </x:c>
      <x:c r="O263" s="56" t="n">
        <x:v>0.69</x:v>
      </x:c>
      <x:c r="P263" s="56" t="n">
        <x:v>2.35</x:v>
      </x:c>
      <x:c r="Q263" s="56" t="n">
        <x:v>90.9</x:v>
      </x:c>
      <x:c r="R263" t="str">
        <x:v>X</x:v>
      </x:c>
      <x:c r="S263" s="102" t="n">
        <x:v>100</x:v>
      </x:c>
      <x:c r="T263" t="str">
        <x:v>VALID</x:v>
      </x:c>
      <x:c r="U263" t="n">
        <x:v>1293</x:v>
      </x:c>
      <x:c r="V263" t="str">
        <x:v>Pasted text(56).txt</x:v>
      </x:c>
    </x:row>
    <x:row r="264">
      <x:c r="A264" t="str">
        <x:v>S04</x:v>
      </x:c>
      <x:c r="B264" t="str">
        <x:v>1.20 validated five-run session</x:v>
      </x:c>
      <x:c r="C264" s="54" t="n">
        <x:v>1.2</x:v>
      </x:c>
      <x:c r="D264" t="n">
        <x:v>3</x:v>
      </x:c>
      <x:c r="E264" t="n">
        <x:v>1</x:v>
      </x:c>
      <x:c r="F264" t="str">
        <x:v>SEARCH</x:v>
      </x:c>
      <x:c r="G264" t="n">
        <x:v>10</x:v>
      </x:c>
      <x:c r="H264" s="54" t="n">
        <x:v>10</x:v>
      </x:c>
      <x:c r="I264" s="54" t="n">
        <x:v>1.02776</x:v>
      </x:c>
      <x:c r="J264" s="54" t="n">
        <x:v>1.02941</x:v>
      </x:c>
      <x:c r="K264" s="54" t="n">
        <x:v>0.34869</x:v>
      </x:c>
      <x:c r="L264" s="54" t="n">
        <x:v>0.56505</x:v>
      </x:c>
      <x:c r="M264" s="54" t="n">
        <x:v>1.22508</x:v>
      </x:c>
      <x:c r="N264" s="56" t="n">
        <x:v>-14.35</x:v>
      </x:c>
      <x:c r="O264" s="56" t="n">
        <x:v>2.03</x:v>
      </x:c>
      <x:c r="P264" s="56" t="n">
        <x:v>1.61</x:v>
      </x:c>
      <x:c r="Q264" s="56" t="n">
        <x:v>91.4</x:v>
      </x:c>
      <x:c r="R264" t="str">
        <x:v>X</x:v>
      </x:c>
      <x:c r="S264" s="102" t="n">
        <x:v>100</x:v>
      </x:c>
      <x:c r="T264" t="str">
        <x:v>VALID</x:v>
      </x:c>
      <x:c r="U264" t="n">
        <x:v>1294</x:v>
      </x:c>
      <x:c r="V264" t="str">
        <x:v>Pasted text(56).txt</x:v>
      </x:c>
    </x:row>
    <x:row r="265">
      <x:c r="A265" t="str">
        <x:v>S04</x:v>
      </x:c>
      <x:c r="B265" t="str">
        <x:v>1.20 validated five-run session</x:v>
      </x:c>
      <x:c r="C265" s="54" t="n">
        <x:v>1.2</x:v>
      </x:c>
      <x:c r="D265" t="n">
        <x:v>3</x:v>
      </x:c>
      <x:c r="E265" t="n">
        <x:v>1</x:v>
      </x:c>
      <x:c r="F265" t="str">
        <x:v>SEARCH</x:v>
      </x:c>
      <x:c r="G265" t="n">
        <x:v>11</x:v>
      </x:c>
      <x:c r="H265" s="54" t="n">
        <x:v>10.25</x:v>
      </x:c>
      <x:c r="I265" s="54" t="n">
        <x:v>1.05961</x:v>
      </x:c>
      <x:c r="J265" s="54" t="n">
        <x:v>1.05443</x:v>
      </x:c>
      <x:c r="K265" s="54" t="n">
        <x:v>0.3554</x:v>
      </x:c>
      <x:c r="L265" s="54" t="n">
        <x:v>0.58972</x:v>
      </x:c>
      <x:c r="M265" s="54" t="n">
        <x:v>1.25935</x:v>
      </x:c>
      <x:c r="N265" s="56" t="n">
        <x:v>-11.7</x:v>
      </x:c>
      <x:c r="O265" s="56" t="n">
        <x:v>0.48</x:v>
      </x:c>
      <x:c r="P265" s="56" t="n">
        <x:v>1.14</x:v>
      </x:c>
      <x:c r="Q265" s="56" t="n">
        <x:v>92.8</x:v>
      </x:c>
      <x:c r="R265" t="str">
        <x:v>X</x:v>
      </x:c>
      <x:c r="S265" s="102" t="n">
        <x:v>100</x:v>
      </x:c>
      <x:c r="T265" t="str">
        <x:v>VALID</x:v>
      </x:c>
      <x:c r="U265" t="n">
        <x:v>1295</x:v>
      </x:c>
      <x:c r="V265" t="str">
        <x:v>Pasted text(56).txt</x:v>
      </x:c>
    </x:row>
    <x:row r="266">
      <x:c r="A266" t="str">
        <x:v>S04</x:v>
      </x:c>
      <x:c r="B266" t="str">
        <x:v>1.20 validated five-run session</x:v>
      </x:c>
      <x:c r="C266" s="54" t="n">
        <x:v>1.2</x:v>
      </x:c>
      <x:c r="D266" t="n">
        <x:v>3</x:v>
      </x:c>
      <x:c r="E266" t="n">
        <x:v>1</x:v>
      </x:c>
      <x:c r="F266" t="str">
        <x:v>SEARCH</x:v>
      </x:c>
      <x:c r="G266" t="n">
        <x:v>12</x:v>
      </x:c>
      <x:c r="H266" s="54" t="n">
        <x:v>10.5</x:v>
      </x:c>
      <x:c r="I266" s="54" t="n">
        <x:v>1.08496</x:v>
      </x:c>
      <x:c r="J266" s="54" t="n">
        <x:v>1.07203</x:v>
      </x:c>
      <x:c r="K266" s="54" t="n">
        <x:v>0.35995</x:v>
      </x:c>
      <x:c r="L266" s="54" t="n">
        <x:v>0.59243</x:v>
      </x:c>
      <x:c r="M266" s="54" t="n">
        <x:v>1.27676</x:v>
      </x:c>
      <x:c r="N266" s="56" t="n">
        <x:v>-9.59</x:v>
      </x:c>
      <x:c r="O266" s="56" t="n">
        <x:v>0.4</x:v>
      </x:c>
      <x:c r="P266" s="56" t="n">
        <x:v>2.33</x:v>
      </x:c>
      <x:c r="Q266" s="56" t="n">
        <x:v>93.1</x:v>
      </x:c>
      <x:c r="R266" t="str">
        <x:v>X</x:v>
      </x:c>
      <x:c r="S266" s="102" t="n">
        <x:v>100</x:v>
      </x:c>
      <x:c r="T266" t="str">
        <x:v>VALID</x:v>
      </x:c>
      <x:c r="U266" t="n">
        <x:v>1296</x:v>
      </x:c>
      <x:c r="V266" t="str">
        <x:v>Pasted text(56).txt</x:v>
      </x:c>
    </x:row>
    <x:row r="267">
      <x:c r="A267" t="str">
        <x:v>S04</x:v>
      </x:c>
      <x:c r="B267" t="str">
        <x:v>1.20 validated five-run session</x:v>
      </x:c>
      <x:c r="C267" s="54" t="n">
        <x:v>1.2</x:v>
      </x:c>
      <x:c r="D267" t="n">
        <x:v>3</x:v>
      </x:c>
      <x:c r="E267" t="n">
        <x:v>1</x:v>
      </x:c>
      <x:c r="F267" t="str">
        <x:v>SEARCH</x:v>
      </x:c>
      <x:c r="G267" t="n">
        <x:v>13</x:v>
      </x:c>
      <x:c r="H267" s="54" t="n">
        <x:v>10.75</x:v>
      </x:c>
      <x:c r="I267" s="54" t="n">
        <x:v>1.13345</x:v>
      </x:c>
      <x:c r="J267" s="54" t="n">
        <x:v>1.13132</x:v>
      </x:c>
      <x:c r="K267" s="54" t="n">
        <x:v>0.37268</x:v>
      </x:c>
      <x:c r="L267" s="54" t="n">
        <x:v>0.6061</x:v>
      </x:c>
      <x:c r="M267" s="54" t="n">
        <x:v>1.33658</x:v>
      </x:c>
      <x:c r="N267" s="56" t="n">
        <x:v>-5.55</x:v>
      </x:c>
      <x:c r="O267" s="56" t="n">
        <x:v>0.63</x:v>
      </x:c>
      <x:c r="P267" s="56" t="n">
        <x:v>0.73</x:v>
      </x:c>
      <x:c r="Q267" s="56" t="n">
        <x:v>93.6</x:v>
      </x:c>
      <x:c r="R267" t="str">
        <x:v>X</x:v>
      </x:c>
      <x:c r="S267" s="102" t="n">
        <x:v>100</x:v>
      </x:c>
      <x:c r="T267" t="str">
        <x:v>IN TARGET BAND</x:v>
      </x:c>
      <x:c r="U267" t="n">
        <x:v>1297</x:v>
      </x:c>
      <x:c r="V267" t="str">
        <x:v>Pasted text(56).txt</x:v>
      </x:c>
    </x:row>
    <x:row r="268">
      <x:c r="A268" t="str">
        <x:v>S04</x:v>
      </x:c>
      <x:c r="B268" t="str">
        <x:v>1.20 validated five-run session</x:v>
      </x:c>
      <x:c r="C268" s="54" t="n">
        <x:v>1.2</x:v>
      </x:c>
      <x:c r="D268" t="n">
        <x:v>3</x:v>
      </x:c>
      <x:c r="E268" t="n">
        <x:v>1</x:v>
      </x:c>
      <x:c r="F268" t="str">
        <x:v>FINE</x:v>
      </x:c>
      <x:c r="G268" t="n">
        <x:v>1</x:v>
      </x:c>
      <x:c r="H268" s="54" t="n">
        <x:v>9.75</x:v>
      </x:c>
      <x:c r="I268" s="54" t="n">
        <x:v>0.99088</x:v>
      </x:c>
      <x:c r="J268" s="54" t="n">
        <x:v>0.98917</x:v>
      </x:c>
      <x:c r="K268" s="54" t="n">
        <x:v>0.32706</x:v>
      </x:c>
      <x:c r="L268" s="54" t="n">
        <x:v>0.54772</x:v>
      </x:c>
      <x:c r="M268" s="54" t="n">
        <x:v>1.17728</x:v>
      </x:c>
      <x:c r="N268" s="56" t="n">
        <x:v>-17.43</x:v>
      </x:c>
      <x:c r="O268" s="56" t="n">
        <x:v>0.97</x:v>
      </x:c>
      <x:c r="P268" s="56" t="n">
        <x:v>0.93</x:v>
      </x:c>
      <x:c r="Q268" s="56" t="n">
        <x:v>92.6</x:v>
      </x:c>
      <x:c r="R268" t="str">
        <x:v>X</x:v>
      </x:c>
      <x:c r="S268" s="102" t="n">
        <x:v>100</x:v>
      </x:c>
      <x:c r="T268" t="str">
        <x:v>VALID</x:v>
      </x:c>
      <x:c r="U268" t="n">
        <x:v>1301</x:v>
      </x:c>
      <x:c r="V268" t="str">
        <x:v>Pasted text(56).txt</x:v>
      </x:c>
    </x:row>
    <x:row r="269">
      <x:c r="A269" t="str">
        <x:v>S04</x:v>
      </x:c>
      <x:c r="B269" t="str">
        <x:v>1.20 validated five-run session</x:v>
      </x:c>
      <x:c r="C269" s="54" t="n">
        <x:v>1.2</x:v>
      </x:c>
      <x:c r="D269" t="n">
        <x:v>3</x:v>
      </x:c>
      <x:c r="E269" t="n">
        <x:v>1</x:v>
      </x:c>
      <x:c r="F269" t="str">
        <x:v>FINE</x:v>
      </x:c>
      <x:c r="G269" t="n">
        <x:v>2</x:v>
      </x:c>
      <x:c r="H269" s="54" t="n">
        <x:v>10</x:v>
      </x:c>
      <x:c r="I269" s="54" t="n">
        <x:v>1.00804</x:v>
      </x:c>
      <x:c r="J269" s="54" t="n">
        <x:v>1.00891</x:v>
      </x:c>
      <x:c r="K269" s="54" t="n">
        <x:v>0.34176</x:v>
      </x:c>
      <x:c r="L269" s="54" t="n">
        <x:v>0.56343</x:v>
      </x:c>
      <x:c r="M269" s="54" t="n">
        <x:v>1.20515</x:v>
      </x:c>
      <x:c r="N269" s="56" t="n">
        <x:v>-16</x:v>
      </x:c>
      <x:c r="O269" s="56" t="n">
        <x:v>2.86</x:v>
      </x:c>
      <x:c r="P269" s="56" t="n">
        <x:v>2.06</x:v>
      </x:c>
      <x:c r="Q269" s="56" t="n">
        <x:v>91.1</x:v>
      </x:c>
      <x:c r="R269" t="str">
        <x:v>X</x:v>
      </x:c>
      <x:c r="S269" s="102" t="n">
        <x:v>100</x:v>
      </x:c>
      <x:c r="T269" t="str">
        <x:v>VALID</x:v>
      </x:c>
      <x:c r="U269" t="n">
        <x:v>1302</x:v>
      </x:c>
      <x:c r="V269" t="str">
        <x:v>Pasted text(56).txt</x:v>
      </x:c>
    </x:row>
    <x:row r="270">
      <x:c r="A270" t="str">
        <x:v>S04</x:v>
      </x:c>
      <x:c r="B270" t="str">
        <x:v>1.20 validated five-run session</x:v>
      </x:c>
      <x:c r="C270" s="54" t="n">
        <x:v>1.2</x:v>
      </x:c>
      <x:c r="D270" t="n">
        <x:v>3</x:v>
      </x:c>
      <x:c r="E270" t="n">
        <x:v>1</x:v>
      </x:c>
      <x:c r="F270" t="str">
        <x:v>FINE</x:v>
      </x:c>
      <x:c r="G270" t="n">
        <x:v>3</x:v>
      </x:c>
      <x:c r="H270" s="54" t="n">
        <x:v>10.25</x:v>
      </x:c>
      <x:c r="I270" s="54" t="n">
        <x:v>1.04413</x:v>
      </x:c>
      <x:c r="J270" s="54" t="n">
        <x:v>1.04165</x:v>
      </x:c>
      <x:c r="K270" s="54" t="n">
        <x:v>0.34392</x:v>
      </x:c>
      <x:c r="L270" s="54" t="n">
        <x:v>0.58699</x:v>
      </x:c>
      <x:c r="M270" s="54" t="n">
        <x:v>1.24431</x:v>
      </x:c>
      <x:c r="N270" s="56" t="n">
        <x:v>-12.99</x:v>
      </x:c>
      <x:c r="O270" s="56" t="n">
        <x:v>3.15</x:v>
      </x:c>
      <x:c r="P270" s="56" t="n">
        <x:v>2.5</x:v>
      </x:c>
      <x:c r="Q270" s="56" t="n">
        <x:v>93.2</x:v>
      </x:c>
      <x:c r="R270" t="str">
        <x:v>X</x:v>
      </x:c>
      <x:c r="S270" s="102" t="n">
        <x:v>100</x:v>
      </x:c>
      <x:c r="T270" t="str">
        <x:v>VALID</x:v>
      </x:c>
      <x:c r="U270" t="n">
        <x:v>1303</x:v>
      </x:c>
      <x:c r="V270" t="str">
        <x:v>Pasted text(56).txt</x:v>
      </x:c>
    </x:row>
    <x:row r="271">
      <x:c r="A271" t="str">
        <x:v>S04</x:v>
      </x:c>
      <x:c r="B271" t="str">
        <x:v>1.20 validated five-run session</x:v>
      </x:c>
      <x:c r="C271" s="54" t="n">
        <x:v>1.2</x:v>
      </x:c>
      <x:c r="D271" t="n">
        <x:v>3</x:v>
      </x:c>
      <x:c r="E271" t="n">
        <x:v>1</x:v>
      </x:c>
      <x:c r="F271" t="str">
        <x:v>FINE</x:v>
      </x:c>
      <x:c r="G271" t="n">
        <x:v>4</x:v>
      </x:c>
      <x:c r="H271" s="54" t="n">
        <x:v>10.5</x:v>
      </x:c>
      <x:c r="I271" s="54" t="n">
        <x:v>1.05422</x:v>
      </x:c>
      <x:c r="J271" s="54" t="n">
        <x:v>1.06507</x:v>
      </x:c>
      <x:c r="K271" s="54" t="n">
        <x:v>0.35281</x:v>
      </x:c>
      <x:c r="L271" s="54" t="n">
        <x:v>0.57798</x:v>
      </x:c>
      <x:c r="M271" s="54" t="n">
        <x:v>1.26222</x:v>
      </x:c>
      <x:c r="N271" s="56" t="n">
        <x:v>-12.15</x:v>
      </x:c>
      <x:c r="O271" s="56" t="n">
        <x:v>0.18</x:v>
      </x:c>
      <x:c r="P271" s="56" t="n">
        <x:v>1.87</x:v>
      </x:c>
      <x:c r="Q271" s="56" t="n">
        <x:v>94</x:v>
      </x:c>
      <x:c r="R271" t="str">
        <x:v>X</x:v>
      </x:c>
      <x:c r="S271" s="102" t="n">
        <x:v>100</x:v>
      </x:c>
      <x:c r="T271" t="str">
        <x:v>VALID</x:v>
      </x:c>
      <x:c r="U271" t="n">
        <x:v>1304</x:v>
      </x:c>
      <x:c r="V271" t="str">
        <x:v>Pasted text(56).txt</x:v>
      </x:c>
    </x:row>
    <x:row r="272">
      <x:c r="A272" t="str">
        <x:v>S04</x:v>
      </x:c>
      <x:c r="B272" t="str">
        <x:v>1.20 validated five-run session</x:v>
      </x:c>
      <x:c r="C272" s="54" t="n">
        <x:v>1.2</x:v>
      </x:c>
      <x:c r="D272" t="n">
        <x:v>3</x:v>
      </x:c>
      <x:c r="E272" t="n">
        <x:v>1</x:v>
      </x:c>
      <x:c r="F272" t="str">
        <x:v>FINE</x:v>
      </x:c>
      <x:c r="G272" t="n">
        <x:v>5</x:v>
      </x:c>
      <x:c r="H272" s="54" t="n">
        <x:v>10.75</x:v>
      </x:c>
      <x:c r="I272" s="54" t="n">
        <x:v>1.1366</x:v>
      </x:c>
      <x:c r="J272" s="54" t="n">
        <x:v>1.12494</x:v>
      </x:c>
      <x:c r="K272" s="54" t="n">
        <x:v>0.3664</x:v>
      </x:c>
      <x:c r="L272" s="54" t="n">
        <x:v>0.5925</x:v>
      </x:c>
      <x:c r="M272" s="54" t="n">
        <x:v>1.32322</x:v>
      </x:c>
      <x:c r="N272" s="56" t="n">
        <x:v>-5.28</x:v>
      </x:c>
      <x:c r="O272" s="56" t="n">
        <x:v>1.03</x:v>
      </x:c>
      <x:c r="P272" s="56" t="n">
        <x:v>2.43</x:v>
      </x:c>
      <x:c r="Q272" s="56" t="n">
        <x:v>93.5</x:v>
      </x:c>
      <x:c r="R272" t="str">
        <x:v>X</x:v>
      </x:c>
      <x:c r="S272" s="102" t="n">
        <x:v>100</x:v>
      </x:c>
      <x:c r="T272" t="str">
        <x:v>IN TARGET BAND</x:v>
      </x:c>
      <x:c r="U272" t="n">
        <x:v>1305</x:v>
      </x:c>
      <x:c r="V272" t="str">
        <x:v>Pasted text(56).txt</x:v>
      </x:c>
    </x:row>
    <x:row r="273">
      <x:c r="A273" t="str">
        <x:v>S04</x:v>
      </x:c>
      <x:c r="B273" t="str">
        <x:v>1.20 validated five-run session</x:v>
      </x:c>
      <x:c r="C273" s="54" t="n">
        <x:v>1.2</x:v>
      </x:c>
      <x:c r="D273" t="n">
        <x:v>3</x:v>
      </x:c>
      <x:c r="E273" t="n">
        <x:v>1</x:v>
      </x:c>
      <x:c r="F273" t="str">
        <x:v>FINE</x:v>
      </x:c>
      <x:c r="G273" t="n">
        <x:v>6</x:v>
      </x:c>
      <x:c r="H273" s="54" t="n">
        <x:v>11</x:v>
      </x:c>
      <x:c r="I273" s="54" t="n">
        <x:v>1.1494</x:v>
      </x:c>
      <x:c r="J273" s="54" t="n">
        <x:v>1.15659</x:v>
      </x:c>
      <x:c r="K273" s="54" t="n">
        <x:v>0.38011</x:v>
      </x:c>
      <x:c r="L273" s="54" t="n">
        <x:v>0.63321</x:v>
      </x:c>
      <x:c r="M273" s="54" t="n">
        <x:v>1.37238</x:v>
      </x:c>
      <x:c r="N273" s="56" t="n">
        <x:v>-4.22</x:v>
      </x:c>
      <x:c r="O273" s="56" t="n">
        <x:v>0.81</x:v>
      </x:c>
      <x:c r="P273" s="56" t="n">
        <x:v>1.57</x:v>
      </x:c>
      <x:c r="Q273" s="56" t="n">
        <x:v>93.2</x:v>
      </x:c>
      <x:c r="R273" t="str">
        <x:v>X</x:v>
      </x:c>
      <x:c r="S273" s="102" t="n">
        <x:v>100</x:v>
      </x:c>
      <x:c r="T273" t="str">
        <x:v>IN TARGET BAND</x:v>
      </x:c>
      <x:c r="U273" t="n">
        <x:v>1306</x:v>
      </x:c>
      <x:c r="V273" t="str">
        <x:v>Pasted text(56).txt</x:v>
      </x:c>
    </x:row>
    <x:row r="274">
      <x:c r="A274" t="str">
        <x:v>S04</x:v>
      </x:c>
      <x:c r="B274" t="str">
        <x:v>1.20 validated five-run session</x:v>
      </x:c>
      <x:c r="C274" s="54" t="n">
        <x:v>1.2</x:v>
      </x:c>
      <x:c r="D274" t="n">
        <x:v>3</x:v>
      </x:c>
      <x:c r="E274" t="n">
        <x:v>1</x:v>
      </x:c>
      <x:c r="F274" t="str">
        <x:v>FINE</x:v>
      </x:c>
      <x:c r="G274" t="n">
        <x:v>7</x:v>
      </x:c>
      <x:c r="H274" s="54" t="n">
        <x:v>11.25</x:v>
      </x:c>
      <x:c r="I274" s="54" t="n">
        <x:v>1.17253</x:v>
      </x:c>
      <x:c r="J274" s="54" t="n">
        <x:v>1.17249</x:v>
      </x:c>
      <x:c r="K274" s="54" t="n">
        <x:v>0.40406</x:v>
      </x:c>
      <x:c r="L274" s="54" t="n">
        <x:v>0.62987</x:v>
      </x:c>
      <x:c r="M274" s="54" t="n">
        <x:v>1.39126</x:v>
      </x:c>
      <x:c r="N274" s="56" t="n">
        <x:v>-2.29</x:v>
      </x:c>
      <x:c r="O274" s="56" t="n">
        <x:v>0.59</x:v>
      </x:c>
      <x:c r="P274" s="56" t="n">
        <x:v>0.4</x:v>
      </x:c>
      <x:c r="Q274" s="56" t="n">
        <x:v>93.3</x:v>
      </x:c>
      <x:c r="R274" t="str">
        <x:v>X</x:v>
      </x:c>
      <x:c r="S274" s="102" t="n">
        <x:v>100</x:v>
      </x:c>
      <x:c r="T274" t="str">
        <x:v>IN TARGET BAND</x:v>
      </x:c>
      <x:c r="U274" t="n">
        <x:v>1307</x:v>
      </x:c>
      <x:c r="V274" t="str">
        <x:v>Pasted text(56).txt</x:v>
      </x:c>
    </x:row>
    <x:row r="275">
      <x:c r="A275" t="str">
        <x:v>S04</x:v>
      </x:c>
      <x:c r="B275" t="str">
        <x:v>1.20 validated five-run session</x:v>
      </x:c>
      <x:c r="C275" s="54" t="n">
        <x:v>1.2</x:v>
      </x:c>
      <x:c r="D275" t="n">
        <x:v>3</x:v>
      </x:c>
      <x:c r="E275" t="n">
        <x:v>1</x:v>
      </x:c>
      <x:c r="F275" t="str">
        <x:v>FINE</x:v>
      </x:c>
      <x:c r="G275" t="n">
        <x:v>8</x:v>
      </x:c>
      <x:c r="H275" s="54" t="n">
        <x:v>11.5</x:v>
      </x:c>
      <x:c r="I275" s="54" t="n">
        <x:v>1.21311</x:v>
      </x:c>
      <x:c r="J275" s="54" t="n">
        <x:v>1.20397</x:v>
      </x:c>
      <x:c r="K275" s="54" t="n">
        <x:v>0.39673</x:v>
      </x:c>
      <x:c r="L275" s="54" t="n">
        <x:v>0.64722</x:v>
      </x:c>
      <x:c r="M275" s="54" t="n">
        <x:v>1.4234</x:v>
      </x:c>
      <x:c r="N275" s="56" t="n">
        <x:v>1.09</x:v>
      </x:c>
      <x:c r="O275" s="56" t="n">
        <x:v>1.79</x:v>
      </x:c>
      <x:c r="P275" s="56" t="n">
        <x:v>2.45</x:v>
      </x:c>
      <x:c r="Q275" s="56" t="n">
        <x:v>93.3</x:v>
      </x:c>
      <x:c r="R275" t="str">
        <x:v>X</x:v>
      </x:c>
      <x:c r="S275" s="102" t="n">
        <x:v>100</x:v>
      </x:c>
      <x:c r="T275" t="str">
        <x:v>IN TARGET BAND</x:v>
      </x:c>
      <x:c r="U275" t="n">
        <x:v>1308</x:v>
      </x:c>
      <x:c r="V275" t="str">
        <x:v>Pasted text(56).txt</x:v>
      </x:c>
    </x:row>
    <x:row r="276">
      <x:c r="A276" t="str">
        <x:v>S04</x:v>
      </x:c>
      <x:c r="B276" t="str">
        <x:v>1.20 validated five-run session</x:v>
      </x:c>
      <x:c r="C276" s="54" t="n">
        <x:v>1.2</x:v>
      </x:c>
      <x:c r="D276" t="n">
        <x:v>3</x:v>
      </x:c>
      <x:c r="E276" t="n">
        <x:v>1</x:v>
      </x:c>
      <x:c r="F276" t="str">
        <x:v>FINE</x:v>
      </x:c>
      <x:c r="G276" t="n">
        <x:v>9</x:v>
      </x:c>
      <x:c r="H276" s="54" t="n">
        <x:v>11.75</x:v>
      </x:c>
      <x:c r="I276" s="54" t="n">
        <x:v>1.26297</x:v>
      </x:c>
      <x:c r="J276" s="54" t="n">
        <x:v>1.25172</x:v>
      </x:c>
      <x:c r="K276" s="54" t="n">
        <x:v>0.40975</x:v>
      </x:c>
      <x:c r="L276" s="54" t="n">
        <x:v>0.66531</x:v>
      </x:c>
      <x:c r="M276" s="54" t="n">
        <x:v>1.4757</x:v>
      </x:c>
      <x:c r="N276" s="56" t="n">
        <x:v>5.25</x:v>
      </x:c>
      <x:c r="O276" s="56" t="n">
        <x:v>0.26</x:v>
      </x:c>
      <x:c r="P276" s="56" t="n">
        <x:v>1.71</x:v>
      </x:c>
      <x:c r="Q276" s="56" t="n">
        <x:v>93.9</x:v>
      </x:c>
      <x:c r="R276" t="str">
        <x:v>X</x:v>
      </x:c>
      <x:c r="S276" s="102" t="n">
        <x:v>100</x:v>
      </x:c>
      <x:c r="T276" t="str">
        <x:v>IN TARGET BAND</x:v>
      </x:c>
      <x:c r="U276" t="n">
        <x:v>1309</x:v>
      </x:c>
      <x:c r="V276" t="str">
        <x:v>Pasted text(56).txt</x:v>
      </x:c>
    </x:row>
    <x:row r="277">
      <x:c r="A277" t="str">
        <x:v>S04</x:v>
      </x:c>
      <x:c r="B277" t="str">
        <x:v>1.20 validated five-run session</x:v>
      </x:c>
      <x:c r="C277" s="54" t="n">
        <x:v>1.2</x:v>
      </x:c>
      <x:c r="D277" t="n">
        <x:v>3</x:v>
      </x:c>
      <x:c r="E277" t="n">
        <x:v>1</x:v>
      </x:c>
      <x:c r="F277" t="str">
        <x:v>FINAL</x:v>
      </x:c>
      <x:c r="G277" t="n">
        <x:v>1</x:v>
      </x:c>
      <x:c r="H277" s="54" t="n">
        <x:v>11.25</x:v>
      </x:c>
      <x:c r="I277" s="54" t="n">
        <x:v>1.19107</x:v>
      </x:c>
      <x:c r="J277" s="54" t="n">
        <x:v>1.1899</x:v>
      </x:c>
      <x:c r="K277" s="54" t="n">
        <x:v>0.39355</x:v>
      </x:c>
      <x:c r="L277" s="54" t="n">
        <x:v>0.63953</x:v>
      </x:c>
      <x:c r="M277" s="54" t="n">
        <x:v>1.40719</x:v>
      </x:c>
      <x:c r="N277" s="56" t="n">
        <x:v>-0.74</x:v>
      </x:c>
      <x:c r="O277" s="56" t="n">
        <x:v>0.4</x:v>
      </x:c>
      <x:c r="P277" s="56" t="n">
        <x:v>0.88</x:v>
      </x:c>
      <x:c r="Q277" s="56" t="n">
        <x:v>93.8</x:v>
      </x:c>
      <x:c r="R277" t="str">
        <x:v>X</x:v>
      </x:c>
      <x:c r="S277" s="102" t="n">
        <x:v>100</x:v>
      </x:c>
      <x:c r="T277" t="str">
        <x:v>IN TARGET BAND</x:v>
      </x:c>
      <x:c r="U277" t="n">
        <x:v>1312</x:v>
      </x:c>
      <x:c r="V277" t="str">
        <x:v>Pasted text(56).txt</x:v>
      </x:c>
    </x:row>
    <x:row r="278">
      <x:c r="A278" t="str">
        <x:v>S04</x:v>
      </x:c>
      <x:c r="B278" t="str">
        <x:v>1.20 validated five-run session</x:v>
      </x:c>
      <x:c r="C278" s="54" t="n">
        <x:v>1.2</x:v>
      </x:c>
      <x:c r="D278" t="n">
        <x:v>3</x:v>
      </x:c>
      <x:c r="E278" t="n">
        <x:v>1</x:v>
      </x:c>
      <x:c r="F278" t="str">
        <x:v>FINAL</x:v>
      </x:c>
      <x:c r="G278" t="n">
        <x:v>2</x:v>
      </x:c>
      <x:c r="H278" s="54" t="n">
        <x:v>11.25</x:v>
      </x:c>
      <x:c r="I278" s="54" t="n">
        <x:v>1.16177</x:v>
      </x:c>
      <x:c r="J278" s="54" t="n">
        <x:v>1.16152</x:v>
      </x:c>
      <x:c r="K278" s="54" t="n">
        <x:v>0.3883</x:v>
      </x:c>
      <x:c r="L278" s="54" t="n">
        <x:v>0.64063</x:v>
      </x:c>
      <x:c r="M278" s="54" t="n">
        <x:v>1.3823</x:v>
      </x:c>
      <x:c r="N278" s="56" t="n">
        <x:v>-3.19</x:v>
      </x:c>
      <x:c r="O278" s="56" t="n">
        <x:v>2.09</x:v>
      </x:c>
      <x:c r="P278" s="56" t="n">
        <x:v>1.55</x:v>
      </x:c>
      <x:c r="Q278" s="56" t="n">
        <x:v>92.5</x:v>
      </x:c>
      <x:c r="R278" t="str">
        <x:v>X</x:v>
      </x:c>
      <x:c r="S278" s="102" t="n">
        <x:v>100</x:v>
      </x:c>
      <x:c r="T278" t="str">
        <x:v>IN TARGET BAND</x:v>
      </x:c>
      <x:c r="U278" t="n">
        <x:v>1313</x:v>
      </x:c>
      <x:c r="V278" t="str">
        <x:v>Pasted text(56).txt</x:v>
      </x:c>
    </x:row>
    <x:row r="279">
      <x:c r="A279" t="str">
        <x:v>S04</x:v>
      </x:c>
      <x:c r="B279" t="str">
        <x:v>1.20 validated five-run session</x:v>
      </x:c>
      <x:c r="C279" s="54" t="n">
        <x:v>1.2</x:v>
      </x:c>
      <x:c r="D279" t="n">
        <x:v>4</x:v>
      </x:c>
      <x:c r="E279" t="n">
        <x:v>1</x:v>
      </x:c>
      <x:c r="F279" t="str">
        <x:v>SEARCH</x:v>
      </x:c>
      <x:c r="G279" t="n">
        <x:v>1</x:v>
      </x:c>
      <x:c r="H279" s="54" t="n">
        <x:v>1</x:v>
      </x:c>
      <x:c r="I279" s="54" t="n">
        <x:v>0.01948</x:v>
      </x:c>
      <x:c r="J279" s="54" t="n">
        <x:v>0.0209</x:v>
      </x:c>
      <x:c r="K279" s="54" t="n">
        <x:v>0.01069</x:v>
      </x:c>
      <x:c r="L279" s="54" t="n">
        <x:v>0.0229</x:v>
      </x:c>
      <x:c r="M279" s="54" t="n">
        <x:v>0.03288</x:v>
      </x:c>
      <x:c r="N279" s="56" t="n">
        <x:v>-98.38</x:v>
      </x:c>
      <x:c r="O279" s="56" t="n">
        <x:v>21.71</x:v>
      </x:c>
      <x:c r="P279" s="56" t="n">
        <x:v>9.65</x:v>
      </x:c>
      <x:c r="Q279" s="56" t="n">
        <x:v>10.3</x:v>
      </x:c>
      <x:c r="R279" t="str">
        <x:v>Z</x:v>
      </x:c>
      <x:c r="S279" s="102" t="n">
        <x:v>91.3</x:v>
      </x:c>
      <x:c r="T279" t="str">
        <x:v>BELOW MEASUREMENT FLOOR — SEARCH CONTINUES</x:v>
      </x:c>
      <x:c r="U279" t="n">
        <x:v>1369</x:v>
      </x:c>
      <x:c r="V279" t="str">
        <x:v>Pasted text(56).txt</x:v>
      </x:c>
    </x:row>
    <x:row r="280">
      <x:c r="A280" t="str">
        <x:v>S04</x:v>
      </x:c>
      <x:c r="B280" t="str">
        <x:v>1.20 validated five-run session</x:v>
      </x:c>
      <x:c r="C280" s="54" t="n">
        <x:v>1.2</x:v>
      </x:c>
      <x:c r="D280" t="n">
        <x:v>4</x:v>
      </x:c>
      <x:c r="E280" t="n">
        <x:v>1</x:v>
      </x:c>
      <x:c r="F280" t="str">
        <x:v>SEARCH</x:v>
      </x:c>
      <x:c r="G280" t="n">
        <x:v>2</x:v>
      </x:c>
      <x:c r="H280" s="54" t="n">
        <x:v>3</x:v>
      </x:c>
      <x:c r="I280" s="54" t="n">
        <x:v>0.16943</x:v>
      </x:c>
      <x:c r="J280" s="54" t="n">
        <x:v>0.16894</x:v>
      </x:c>
      <x:c r="K280" s="54" t="n">
        <x:v>0.06563</x:v>
      </x:c>
      <x:c r="L280" s="54" t="n">
        <x:v>0.11858</x:v>
      </x:c>
      <x:c r="M280" s="54" t="n">
        <x:v>0.2167</x:v>
      </x:c>
      <x:c r="N280" s="56" t="n">
        <x:v>-85.88</x:v>
      </x:c>
      <x:c r="O280" s="56" t="n">
        <x:v>0.85</x:v>
      </x:c>
      <x:c r="P280" s="56" t="n">
        <x:v>0.41</x:v>
      </x:c>
      <x:c r="Q280" s="56" t="n">
        <x:v>58.8</x:v>
      </x:c>
      <x:c r="R280" t="str">
        <x:v>X</x:v>
      </x:c>
      <x:c r="S280" s="102" t="n">
        <x:v>100</x:v>
      </x:c>
      <x:c r="T280" t="str">
        <x:v>VALID</x:v>
      </x:c>
      <x:c r="U280" t="n">
        <x:v>1370</x:v>
      </x:c>
      <x:c r="V280" t="str">
        <x:v>Pasted text(56).txt</x:v>
      </x:c>
    </x:row>
    <x:row r="281">
      <x:c r="A281" t="str">
        <x:v>S04</x:v>
      </x:c>
      <x:c r="B281" t="str">
        <x:v>1.20 validated five-run session</x:v>
      </x:c>
      <x:c r="C281" s="54" t="n">
        <x:v>1.2</x:v>
      </x:c>
      <x:c r="D281" t="n">
        <x:v>4</x:v>
      </x:c>
      <x:c r="E281" t="n">
        <x:v>1</x:v>
      </x:c>
      <x:c r="F281" t="str">
        <x:v>SEARCH</x:v>
      </x:c>
      <x:c r="G281" t="n">
        <x:v>3</x:v>
      </x:c>
      <x:c r="H281" s="54" t="n">
        <x:v>5</x:v>
      </x:c>
      <x:c r="I281" s="54" t="n">
        <x:v>0.39192</x:v>
      </x:c>
      <x:c r="J281" s="54" t="n">
        <x:v>0.39213</x:v>
      </x:c>
      <x:c r="K281" s="54" t="n">
        <x:v>0.12748</x:v>
      </x:c>
      <x:c r="L281" s="54" t="n">
        <x:v>0.2573</x:v>
      </x:c>
      <x:c r="M281" s="54" t="n">
        <x:v>0.48615</x:v>
      </x:c>
      <x:c r="N281" s="56" t="n">
        <x:v>-67.34</x:v>
      </x:c>
      <x:c r="O281" s="56" t="n">
        <x:v>2.15</x:v>
      </x:c>
      <x:c r="P281" s="56" t="n">
        <x:v>1.53</x:v>
      </x:c>
      <x:c r="Q281" s="56" t="n">
        <x:v>80.5</x:v>
      </x:c>
      <x:c r="R281" t="str">
        <x:v>X</x:v>
      </x:c>
      <x:c r="S281" s="102" t="n">
        <x:v>100</x:v>
      </x:c>
      <x:c r="T281" t="str">
        <x:v>VALID</x:v>
      </x:c>
      <x:c r="U281" t="n">
        <x:v>1371</x:v>
      </x:c>
      <x:c r="V281" t="str">
        <x:v>Pasted text(56).txt</x:v>
      </x:c>
    </x:row>
    <x:row r="282">
      <x:c r="A282" t="str">
        <x:v>S04</x:v>
      </x:c>
      <x:c r="B282" t="str">
        <x:v>1.20 validated five-run session</x:v>
      </x:c>
      <x:c r="C282" s="54" t="n">
        <x:v>1.2</x:v>
      </x:c>
      <x:c r="D282" t="n">
        <x:v>4</x:v>
      </x:c>
      <x:c r="E282" t="n">
        <x:v>1</x:v>
      </x:c>
      <x:c r="F282" t="str">
        <x:v>SEARCH</x:v>
      </x:c>
      <x:c r="G282" t="n">
        <x:v>4</x:v>
      </x:c>
      <x:c r="H282" s="54" t="n">
        <x:v>6</x:v>
      </x:c>
      <x:c r="I282" s="54" t="n">
        <x:v>0.52053</x:v>
      </x:c>
      <x:c r="J282" s="54" t="n">
        <x:v>0.51929</x:v>
      </x:c>
      <x:c r="K282" s="54" t="n">
        <x:v>0.19981</x:v>
      </x:c>
      <x:c r="L282" s="54" t="n">
        <x:v>0.32101</x:v>
      </x:c>
      <x:c r="M282" s="54" t="n">
        <x:v>0.64262</x:v>
      </x:c>
      <x:c r="N282" s="56" t="n">
        <x:v>-56.62</x:v>
      </x:c>
      <x:c r="O282" s="56" t="n">
        <x:v>2.83</x:v>
      </x:c>
      <x:c r="P282" s="56" t="n">
        <x:v>2.28</x:v>
      </x:c>
      <x:c r="Q282" s="56" t="n">
        <x:v>87.5</x:v>
      </x:c>
      <x:c r="R282" t="str">
        <x:v>X</x:v>
      </x:c>
      <x:c r="S282" s="102" t="n">
        <x:v>100</x:v>
      </x:c>
      <x:c r="T282" t="str">
        <x:v>VALID</x:v>
      </x:c>
      <x:c r="U282" t="n">
        <x:v>1372</x:v>
      </x:c>
      <x:c r="V282" t="str">
        <x:v>Pasted text(56).txt</x:v>
      </x:c>
    </x:row>
    <x:row r="283">
      <x:c r="A283" t="str">
        <x:v>S04</x:v>
      </x:c>
      <x:c r="B283" t="str">
        <x:v>1.20 validated five-run session</x:v>
      </x:c>
      <x:c r="C283" s="54" t="n">
        <x:v>1.2</x:v>
      </x:c>
      <x:c r="D283" t="n">
        <x:v>4</x:v>
      </x:c>
      <x:c r="E283" t="n">
        <x:v>1</x:v>
      </x:c>
      <x:c r="F283" t="str">
        <x:v>SEARCH</x:v>
      </x:c>
      <x:c r="G283" t="n">
        <x:v>5</x:v>
      </x:c>
      <x:c r="H283" s="54" t="n">
        <x:v>7</x:v>
      </x:c>
      <x:c r="I283" s="54" t="n">
        <x:v>0.64133</x:v>
      </x:c>
      <x:c r="J283" s="54" t="n">
        <x:v>0.63721</x:v>
      </x:c>
      <x:c r="K283" s="54" t="n">
        <x:v>0.22959</x:v>
      </x:c>
      <x:c r="L283" s="54" t="n">
        <x:v>0.38722</x:v>
      </x:c>
      <x:c r="M283" s="54" t="n">
        <x:v>0.7808</x:v>
      </x:c>
      <x:c r="N283" s="56" t="n">
        <x:v>-46.56</x:v>
      </x:c>
      <x:c r="O283" s="56" t="n">
        <x:v>1.38</x:v>
      </x:c>
      <x:c r="P283" s="56" t="n">
        <x:v>1.99</x:v>
      </x:c>
      <x:c r="Q283" s="56" t="n">
        <x:v>89.5</x:v>
      </x:c>
      <x:c r="R283" t="str">
        <x:v>X</x:v>
      </x:c>
      <x:c r="S283" s="102" t="n">
        <x:v>100</x:v>
      </x:c>
      <x:c r="T283" t="str">
        <x:v>VALID</x:v>
      </x:c>
      <x:c r="U283" t="n">
        <x:v>1373</x:v>
      </x:c>
      <x:c r="V283" t="str">
        <x:v>Pasted text(56).txt</x:v>
      </x:c>
    </x:row>
    <x:row r="284">
      <x:c r="A284" t="str">
        <x:v>S04</x:v>
      </x:c>
      <x:c r="B284" t="str">
        <x:v>1.20 validated five-run session</x:v>
      </x:c>
      <x:c r="C284" s="54" t="n">
        <x:v>1.2</x:v>
      </x:c>
      <x:c r="D284" t="n">
        <x:v>4</x:v>
      </x:c>
      <x:c r="E284" t="n">
        <x:v>1</x:v>
      </x:c>
      <x:c r="F284" t="str">
        <x:v>SEARCH</x:v>
      </x:c>
      <x:c r="G284" t="n">
        <x:v>6</x:v>
      </x:c>
      <x:c r="H284" s="54" t="n">
        <x:v>8</x:v>
      </x:c>
      <x:c r="I284" s="54" t="n">
        <x:v>0.74042</x:v>
      </x:c>
      <x:c r="J284" s="54" t="n">
        <x:v>0.75481</x:v>
      </x:c>
      <x:c r="K284" s="54" t="n">
        <x:v>0.26493</x:v>
      </x:c>
      <x:c r="L284" s="54" t="n">
        <x:v>0.44558</x:v>
      </x:c>
      <x:c r="M284" s="54" t="n">
        <x:v>0.91603</x:v>
      </x:c>
      <x:c r="N284" s="56" t="n">
        <x:v>-38.3</x:v>
      </x:c>
      <x:c r="O284" s="56" t="n">
        <x:v>0.55</x:v>
      </x:c>
      <x:c r="P284" s="56" t="n">
        <x:v>3.62</x:v>
      </x:c>
      <x:c r="Q284" s="56" t="n">
        <x:v>91.2</x:v>
      </x:c>
      <x:c r="R284" t="str">
        <x:v>X</x:v>
      </x:c>
      <x:c r="S284" s="102" t="n">
        <x:v>100</x:v>
      </x:c>
      <x:c r="T284" t="str">
        <x:v>VALID</x:v>
      </x:c>
      <x:c r="U284" t="n">
        <x:v>1374</x:v>
      </x:c>
      <x:c r="V284" t="str">
        <x:v>Pasted text(56).txt</x:v>
      </x:c>
    </x:row>
    <x:row r="285">
      <x:c r="A285" t="str">
        <x:v>S04</x:v>
      </x:c>
      <x:c r="B285" t="str">
        <x:v>1.20 validated five-run session</x:v>
      </x:c>
      <x:c r="C285" s="54" t="n">
        <x:v>1.2</x:v>
      </x:c>
      <x:c r="D285" t="n">
        <x:v>4</x:v>
      </x:c>
      <x:c r="E285" t="n">
        <x:v>1</x:v>
      </x:c>
      <x:c r="F285" t="str">
        <x:v>SEARCH</x:v>
      </x:c>
      <x:c r="G285" t="n">
        <x:v>7</x:v>
      </x:c>
      <x:c r="H285" s="54" t="n">
        <x:v>8.5</x:v>
      </x:c>
      <x:c r="I285" s="54" t="n">
        <x:v>0.79925</x:v>
      </x:c>
      <x:c r="J285" s="54" t="n">
        <x:v>0.79718</x:v>
      </x:c>
      <x:c r="K285" s="54" t="n">
        <x:v>0.27703</x:v>
      </x:c>
      <x:c r="L285" s="54" t="n">
        <x:v>0.45612</x:v>
      </x:c>
      <x:c r="M285" s="54" t="n">
        <x:v>0.95934</x:v>
      </x:c>
      <x:c r="N285" s="56" t="n">
        <x:v>-33.4</x:v>
      </x:c>
      <x:c r="O285" s="56" t="n">
        <x:v>1.21</x:v>
      </x:c>
      <x:c r="P285" s="56" t="n">
        <x:v>1.23</x:v>
      </x:c>
      <x:c r="Q285" s="56" t="n">
        <x:v>90.7</x:v>
      </x:c>
      <x:c r="R285" t="str">
        <x:v>X</x:v>
      </x:c>
      <x:c r="S285" s="102" t="n">
        <x:v>100</x:v>
      </x:c>
      <x:c r="T285" t="str">
        <x:v>VALID</x:v>
      </x:c>
      <x:c r="U285" t="n">
        <x:v>1375</x:v>
      </x:c>
      <x:c r="V285" t="str">
        <x:v>Pasted text(56).txt</x:v>
      </x:c>
    </x:row>
    <x:row r="286">
      <x:c r="A286" t="str">
        <x:v>S04</x:v>
      </x:c>
      <x:c r="B286" t="str">
        <x:v>1.20 validated five-run session</x:v>
      </x:c>
      <x:c r="C286" s="54" t="n">
        <x:v>1.2</x:v>
      </x:c>
      <x:c r="D286" t="n">
        <x:v>4</x:v>
      </x:c>
      <x:c r="E286" t="n">
        <x:v>1</x:v>
      </x:c>
      <x:c r="F286" t="str">
        <x:v>SEARCH</x:v>
      </x:c>
      <x:c r="G286" t="n">
        <x:v>8</x:v>
      </x:c>
      <x:c r="H286" s="54" t="n">
        <x:v>9</x:v>
      </x:c>
      <x:c r="I286" s="54" t="n">
        <x:v>0.89133</x:v>
      </x:c>
      <x:c r="J286" s="54" t="n">
        <x:v>0.89237</x:v>
      </x:c>
      <x:c r="K286" s="54" t="n">
        <x:v>0.29686</x:v>
      </x:c>
      <x:c r="L286" s="54" t="n">
        <x:v>0.50696</x:v>
      </x:c>
      <x:c r="M286" s="54" t="n">
        <x:v>1.06856</x:v>
      </x:c>
      <x:c r="N286" s="56" t="n">
        <x:v>-25.72</x:v>
      </x:c>
      <x:c r="O286" s="56" t="n">
        <x:v>1.8</x:v>
      </x:c>
      <x:c r="P286" s="56" t="n">
        <x:v>1.39</x:v>
      </x:c>
      <x:c r="Q286" s="56" t="n">
        <x:v>91.5</x:v>
      </x:c>
      <x:c r="R286" t="str">
        <x:v>X</x:v>
      </x:c>
      <x:c r="S286" s="102" t="n">
        <x:v>100</x:v>
      </x:c>
      <x:c r="T286" t="str">
        <x:v>VALID</x:v>
      </x:c>
      <x:c r="U286" t="n">
        <x:v>1376</x:v>
      </x:c>
      <x:c r="V286" t="str">
        <x:v>Pasted text(56).txt</x:v>
      </x:c>
    </x:row>
    <x:row r="287">
      <x:c r="A287" t="str">
        <x:v>S04</x:v>
      </x:c>
      <x:c r="B287" t="str">
        <x:v>1.20 validated five-run session</x:v>
      </x:c>
      <x:c r="C287" s="54" t="n">
        <x:v>1.2</x:v>
      </x:c>
      <x:c r="D287" t="n">
        <x:v>4</x:v>
      </x:c>
      <x:c r="E287" t="n">
        <x:v>1</x:v>
      </x:c>
      <x:c r="F287" t="str">
        <x:v>SEARCH</x:v>
      </x:c>
      <x:c r="G287" t="n">
        <x:v>9</x:v>
      </x:c>
      <x:c r="H287" s="54" t="n">
        <x:v>9.5</x:v>
      </x:c>
      <x:c r="I287" s="54" t="n">
        <x:v>0.93992</x:v>
      </x:c>
      <x:c r="J287" s="54" t="n">
        <x:v>0.93629</x:v>
      </x:c>
      <x:c r="K287" s="54" t="n">
        <x:v>0.32329</x:v>
      </x:c>
      <x:c r="L287" s="54" t="n">
        <x:v>0.51723</x:v>
      </x:c>
      <x:c r="M287" s="54" t="n">
        <x:v>1.11766</x:v>
      </x:c>
      <x:c r="N287" s="56" t="n">
        <x:v>-21.67</x:v>
      </x:c>
      <x:c r="O287" s="56" t="n">
        <x:v>1.17</x:v>
      </x:c>
      <x:c r="P287" s="56" t="n">
        <x:v>1.42</x:v>
      </x:c>
      <x:c r="Q287" s="56" t="n">
        <x:v>92</x:v>
      </x:c>
      <x:c r="R287" t="str">
        <x:v>X</x:v>
      </x:c>
      <x:c r="S287" s="102" t="n">
        <x:v>100</x:v>
      </x:c>
      <x:c r="T287" t="str">
        <x:v>VALID</x:v>
      </x:c>
      <x:c r="U287" t="n">
        <x:v>1377</x:v>
      </x:c>
      <x:c r="V287" t="str">
        <x:v>Pasted text(56).txt</x:v>
      </x:c>
    </x:row>
    <x:row r="288">
      <x:c r="A288" t="str">
        <x:v>S04</x:v>
      </x:c>
      <x:c r="B288" t="str">
        <x:v>1.20 validated five-run session</x:v>
      </x:c>
      <x:c r="C288" s="54" t="n">
        <x:v>1.2</x:v>
      </x:c>
      <x:c r="D288" t="n">
        <x:v>4</x:v>
      </x:c>
      <x:c r="E288" t="n">
        <x:v>1</x:v>
      </x:c>
      <x:c r="F288" t="str">
        <x:v>SEARCH</x:v>
      </x:c>
      <x:c r="G288" t="n">
        <x:v>10</x:v>
      </x:c>
      <x:c r="H288" s="54" t="n">
        <x:v>10</x:v>
      </x:c>
      <x:c r="I288" s="54" t="n">
        <x:v>1.02319</x:v>
      </x:c>
      <x:c r="J288" s="54" t="n">
        <x:v>1.02477</x:v>
      </x:c>
      <x:c r="K288" s="54" t="n">
        <x:v>0.32234</x:v>
      </x:c>
      <x:c r="L288" s="54" t="n">
        <x:v>0.57744</x:v>
      </x:c>
      <x:c r="M288" s="54" t="n">
        <x:v>1.21978</x:v>
      </x:c>
      <x:c r="N288" s="56" t="n">
        <x:v>-14.73</x:v>
      </x:c>
      <x:c r="O288" s="56" t="n">
        <x:v>0.48</x:v>
      </x:c>
      <x:c r="P288" s="56" t="n">
        <x:v>0.57</x:v>
      </x:c>
      <x:c r="Q288" s="56" t="n">
        <x:v>93.1</x:v>
      </x:c>
      <x:c r="R288" t="str">
        <x:v>X</x:v>
      </x:c>
      <x:c r="S288" s="102" t="n">
        <x:v>100</x:v>
      </x:c>
      <x:c r="T288" t="str">
        <x:v>VALID</x:v>
      </x:c>
      <x:c r="U288" t="n">
        <x:v>1378</x:v>
      </x:c>
      <x:c r="V288" t="str">
        <x:v>Pasted text(56).txt</x:v>
      </x:c>
    </x:row>
    <x:row r="289">
      <x:c r="A289" t="str">
        <x:v>S04</x:v>
      </x:c>
      <x:c r="B289" t="str">
        <x:v>1.20 validated five-run session</x:v>
      </x:c>
      <x:c r="C289" s="54" t="n">
        <x:v>1.2</x:v>
      </x:c>
      <x:c r="D289" t="n">
        <x:v>4</x:v>
      </x:c>
      <x:c r="E289" t="n">
        <x:v>1</x:v>
      </x:c>
      <x:c r="F289" t="str">
        <x:v>SEARCH</x:v>
      </x:c>
      <x:c r="G289" t="n">
        <x:v>11</x:v>
      </x:c>
      <x:c r="H289" s="54" t="n">
        <x:v>10.25</x:v>
      </x:c>
      <x:c r="I289" s="54" t="n">
        <x:v>1.05472</x:v>
      </x:c>
      <x:c r="J289" s="54" t="n">
        <x:v>1.05392</x:v>
      </x:c>
      <x:c r="K289" s="54" t="n">
        <x:v>0.34936</x:v>
      </x:c>
      <x:c r="L289" s="54" t="n">
        <x:v>0.56225</x:v>
      </x:c>
      <x:c r="M289" s="54" t="n">
        <x:v>1.24469</x:v>
      </x:c>
      <x:c r="N289" s="56" t="n">
        <x:v>-12.11</x:v>
      </x:c>
      <x:c r="O289" s="56" t="n">
        <x:v>0.24</x:v>
      </x:c>
      <x:c r="P289" s="56" t="n">
        <x:v>0.29</x:v>
      </x:c>
      <x:c r="Q289" s="56" t="n">
        <x:v>93.6</x:v>
      </x:c>
      <x:c r="R289" t="str">
        <x:v>X</x:v>
      </x:c>
      <x:c r="S289" s="102" t="n">
        <x:v>100</x:v>
      </x:c>
      <x:c r="T289" t="str">
        <x:v>VALID</x:v>
      </x:c>
      <x:c r="U289" t="n">
        <x:v>1379</x:v>
      </x:c>
      <x:c r="V289" t="str">
        <x:v>Pasted text(56).txt</x:v>
      </x:c>
    </x:row>
    <x:row r="290">
      <x:c r="A290" t="str">
        <x:v>S04</x:v>
      </x:c>
      <x:c r="B290" t="str">
        <x:v>1.20 validated five-run session</x:v>
      </x:c>
      <x:c r="C290" s="54" t="n">
        <x:v>1.2</x:v>
      </x:c>
      <x:c r="D290" t="n">
        <x:v>4</x:v>
      </x:c>
      <x:c r="E290" t="n">
        <x:v>1</x:v>
      </x:c>
      <x:c r="F290" t="str">
        <x:v>SEARCH</x:v>
      </x:c>
      <x:c r="G290" t="n">
        <x:v>12</x:v>
      </x:c>
      <x:c r="H290" s="54" t="n">
        <x:v>10.5</x:v>
      </x:c>
      <x:c r="I290" s="54" t="n">
        <x:v>1.07176</x:v>
      </x:c>
      <x:c r="J290" s="54" t="n">
        <x:v>1.07464</x:v>
      </x:c>
      <x:c r="K290" s="54" t="n">
        <x:v>0.37603</x:v>
      </x:c>
      <x:c r="L290" s="54" t="n">
        <x:v>0.59891</x:v>
      </x:c>
      <x:c r="M290" s="54" t="n">
        <x:v>1.28663</x:v>
      </x:c>
      <x:c r="N290" s="56" t="n">
        <x:v>-10.69</x:v>
      </x:c>
      <x:c r="O290" s="56" t="n">
        <x:v>0.67</x:v>
      </x:c>
      <x:c r="P290" s="56" t="n">
        <x:v>0.88</x:v>
      </x:c>
      <x:c r="Q290" s="56" t="n">
        <x:v>92.9</x:v>
      </x:c>
      <x:c r="R290" t="str">
        <x:v>X</x:v>
      </x:c>
      <x:c r="S290" s="102" t="n">
        <x:v>100</x:v>
      </x:c>
      <x:c r="T290" t="str">
        <x:v>VALID</x:v>
      </x:c>
      <x:c r="U290" t="n">
        <x:v>1380</x:v>
      </x:c>
      <x:c r="V290" t="str">
        <x:v>Pasted text(56).txt</x:v>
      </x:c>
    </x:row>
    <x:row r="291">
      <x:c r="A291" t="str">
        <x:v>S04</x:v>
      </x:c>
      <x:c r="B291" t="str">
        <x:v>1.20 validated five-run session</x:v>
      </x:c>
      <x:c r="C291" s="54" t="n">
        <x:v>1.2</x:v>
      </x:c>
      <x:c r="D291" t="n">
        <x:v>4</x:v>
      </x:c>
      <x:c r="E291" t="n">
        <x:v>1</x:v>
      </x:c>
      <x:c r="F291" t="str">
        <x:v>SEARCH</x:v>
      </x:c>
      <x:c r="G291" t="n">
        <x:v>13</x:v>
      </x:c>
      <x:c r="H291" s="54" t="n">
        <x:v>10.75</x:v>
      </x:c>
      <x:c r="I291" s="54" t="n">
        <x:v>1.11536</x:v>
      </x:c>
      <x:c r="J291" s="54" t="n">
        <x:v>1.11733</x:v>
      </x:c>
      <x:c r="K291" s="54" t="n">
        <x:v>0.37109</x:v>
      </x:c>
      <x:c r="L291" s="54" t="n">
        <x:v>0.61666</x:v>
      </x:c>
      <x:c r="M291" s="54" t="n">
        <x:v>1.32907</x:v>
      </x:c>
      <x:c r="N291" s="56" t="n">
        <x:v>-7.05</x:v>
      </x:c>
      <x:c r="O291" s="56" t="n">
        <x:v>0.45</x:v>
      </x:c>
      <x:c r="P291" s="56" t="n">
        <x:v>0.59</x:v>
      </x:c>
      <x:c r="Q291" s="56" t="n">
        <x:v>93</x:v>
      </x:c>
      <x:c r="R291" t="str">
        <x:v>X</x:v>
      </x:c>
      <x:c r="S291" s="102" t="n">
        <x:v>100</x:v>
      </x:c>
      <x:c r="T291" t="str">
        <x:v>IN TARGET BAND</x:v>
      </x:c>
      <x:c r="U291" t="n">
        <x:v>1381</x:v>
      </x:c>
      <x:c r="V291" t="str">
        <x:v>Pasted text(56).txt</x:v>
      </x:c>
    </x:row>
    <x:row r="292">
      <x:c r="A292" t="str">
        <x:v>S04</x:v>
      </x:c>
      <x:c r="B292" t="str">
        <x:v>1.20 validated five-run session</x:v>
      </x:c>
      <x:c r="C292" s="54" t="n">
        <x:v>1.2</x:v>
      </x:c>
      <x:c r="D292" t="n">
        <x:v>4</x:v>
      </x:c>
      <x:c r="E292" t="n">
        <x:v>1</x:v>
      </x:c>
      <x:c r="F292" t="str">
        <x:v>FINE</x:v>
      </x:c>
      <x:c r="G292" t="n">
        <x:v>1</x:v>
      </x:c>
      <x:c r="H292" s="54" t="n">
        <x:v>9.75</x:v>
      </x:c>
      <x:c r="I292" s="54" t="n">
        <x:v>0.9941</x:v>
      </x:c>
      <x:c r="J292" s="54" t="n">
        <x:v>0.99103</x:v>
      </x:c>
      <x:c r="K292" s="54" t="n">
        <x:v>0.33459</x:v>
      </x:c>
      <x:c r="L292" s="54" t="n">
        <x:v>0.56034</x:v>
      </x:c>
      <x:c r="M292" s="54" t="n">
        <x:v>1.18685</x:v>
      </x:c>
      <x:c r="N292" s="56" t="n">
        <x:v>-17.16</x:v>
      </x:c>
      <x:c r="O292" s="56" t="n">
        <x:v>1.65</x:v>
      </x:c>
      <x:c r="P292" s="56" t="n">
        <x:v>1.61</x:v>
      </x:c>
      <x:c r="Q292" s="56" t="n">
        <x:v>92.8</x:v>
      </x:c>
      <x:c r="R292" t="str">
        <x:v>X</x:v>
      </x:c>
      <x:c r="S292" s="102" t="n">
        <x:v>100</x:v>
      </x:c>
      <x:c r="T292" t="str">
        <x:v>VALID</x:v>
      </x:c>
      <x:c r="U292" t="n">
        <x:v>1385</x:v>
      </x:c>
      <x:c r="V292" t="str">
        <x:v>Pasted text(56).txt</x:v>
      </x:c>
    </x:row>
    <x:row r="293">
      <x:c r="A293" t="str">
        <x:v>S04</x:v>
      </x:c>
      <x:c r="B293" t="str">
        <x:v>1.20 validated five-run session</x:v>
      </x:c>
      <x:c r="C293" s="54" t="n">
        <x:v>1.2</x:v>
      </x:c>
      <x:c r="D293" t="n">
        <x:v>4</x:v>
      </x:c>
      <x:c r="E293" t="n">
        <x:v>1</x:v>
      </x:c>
      <x:c r="F293" t="str">
        <x:v>FINE</x:v>
      </x:c>
      <x:c r="G293" t="n">
        <x:v>2</x:v>
      </x:c>
      <x:c r="H293" s="54" t="n">
        <x:v>10</x:v>
      </x:c>
      <x:c r="I293" s="54" t="n">
        <x:v>1.03325</x:v>
      </x:c>
      <x:c r="J293" s="54" t="n">
        <x:v>1.02814</x:v>
      </x:c>
      <x:c r="K293" s="54" t="n">
        <x:v>0.33311</x:v>
      </x:c>
      <x:c r="L293" s="54" t="n">
        <x:v>0.54895</x:v>
      </x:c>
      <x:c r="M293" s="54" t="n">
        <x:v>1.21234</x:v>
      </x:c>
      <x:c r="N293" s="56" t="n">
        <x:v>-13.9</x:v>
      </x:c>
      <x:c r="O293" s="56" t="n">
        <x:v>2.77</x:v>
      </x:c>
      <x:c r="P293" s="56" t="n">
        <x:v>2.66</x:v>
      </x:c>
      <x:c r="Q293" s="56" t="n">
        <x:v>92.5</x:v>
      </x:c>
      <x:c r="R293" t="str">
        <x:v>X</x:v>
      </x:c>
      <x:c r="S293" s="102" t="n">
        <x:v>100</x:v>
      </x:c>
      <x:c r="T293" t="str">
        <x:v>VALID</x:v>
      </x:c>
      <x:c r="U293" t="n">
        <x:v>1386</x:v>
      </x:c>
      <x:c r="V293" t="str">
        <x:v>Pasted text(56).txt</x:v>
      </x:c>
    </x:row>
    <x:row r="294">
      <x:c r="A294" t="str">
        <x:v>S04</x:v>
      </x:c>
      <x:c r="B294" t="str">
        <x:v>1.20 validated five-run session</x:v>
      </x:c>
      <x:c r="C294" s="54" t="n">
        <x:v>1.2</x:v>
      </x:c>
      <x:c r="D294" t="n">
        <x:v>4</x:v>
      </x:c>
      <x:c r="E294" t="n">
        <x:v>1</x:v>
      </x:c>
      <x:c r="F294" t="str">
        <x:v>FINE</x:v>
      </x:c>
      <x:c r="G294" t="n">
        <x:v>3</x:v>
      </x:c>
      <x:c r="H294" s="54" t="n">
        <x:v>10.25</x:v>
      </x:c>
      <x:c r="I294" s="54" t="n">
        <x:v>1.066</x:v>
      </x:c>
      <x:c r="J294" s="54" t="n">
        <x:v>1.06276</x:v>
      </x:c>
      <x:c r="K294" s="54" t="n">
        <x:v>0.3659</x:v>
      </x:c>
      <x:c r="L294" s="54" t="n">
        <x:v>0.58009</x:v>
      </x:c>
      <x:c r="M294" s="54" t="n">
        <x:v>1.26492</x:v>
      </x:c>
      <x:c r="N294" s="56" t="n">
        <x:v>-11.17</x:v>
      </x:c>
      <x:c r="O294" s="56" t="n">
        <x:v>0.01</x:v>
      </x:c>
      <x:c r="P294" s="56" t="n">
        <x:v>0.54</x:v>
      </x:c>
      <x:c r="Q294" s="56" t="n">
        <x:v>94</x:v>
      </x:c>
      <x:c r="R294" t="str">
        <x:v>X</x:v>
      </x:c>
      <x:c r="S294" s="102" t="n">
        <x:v>100</x:v>
      </x:c>
      <x:c r="T294" t="str">
        <x:v>VALID</x:v>
      </x:c>
      <x:c r="U294" t="n">
        <x:v>1387</x:v>
      </x:c>
      <x:c r="V294" t="str">
        <x:v>Pasted text(56).txt</x:v>
      </x:c>
    </x:row>
    <x:row r="295">
      <x:c r="A295" t="str">
        <x:v>S04</x:v>
      </x:c>
      <x:c r="B295" t="str">
        <x:v>1.20 validated five-run session</x:v>
      </x:c>
      <x:c r="C295" s="54" t="n">
        <x:v>1.2</x:v>
      </x:c>
      <x:c r="D295" t="n">
        <x:v>4</x:v>
      </x:c>
      <x:c r="E295" t="n">
        <x:v>1</x:v>
      </x:c>
      <x:c r="F295" t="str">
        <x:v>FINE</x:v>
      </x:c>
      <x:c r="G295" t="n">
        <x:v>4</x:v>
      </x:c>
      <x:c r="H295" s="54" t="n">
        <x:v>10.5</x:v>
      </x:c>
      <x:c r="I295" s="54" t="n">
        <x:v>1.06559</x:v>
      </x:c>
      <x:c r="J295" s="54" t="n">
        <x:v>1.06615</x:v>
      </x:c>
      <x:c r="K295" s="54" t="n">
        <x:v>0.34784</x:v>
      </x:c>
      <x:c r="L295" s="54" t="n">
        <x:v>0.58433</x:v>
      </x:c>
      <x:c r="M295" s="54" t="n">
        <x:v>1.26464</x:v>
      </x:c>
      <x:c r="N295" s="56" t="n">
        <x:v>-11.2</x:v>
      </x:c>
      <x:c r="O295" s="56" t="n">
        <x:v>1.96</x:v>
      </x:c>
      <x:c r="P295" s="56" t="n">
        <x:v>1.4</x:v>
      </x:c>
      <x:c r="Q295" s="56" t="n">
        <x:v>91.8</x:v>
      </x:c>
      <x:c r="R295" t="str">
        <x:v>X</x:v>
      </x:c>
      <x:c r="S295" s="102" t="n">
        <x:v>100</x:v>
      </x:c>
      <x:c r="T295" t="str">
        <x:v>VALID</x:v>
      </x:c>
      <x:c r="U295" t="n">
        <x:v>1388</x:v>
      </x:c>
      <x:c r="V295" t="str">
        <x:v>Pasted text(56).txt</x:v>
      </x:c>
    </x:row>
    <x:row r="296">
      <x:c r="A296" t="str">
        <x:v>S04</x:v>
      </x:c>
      <x:c r="B296" t="str">
        <x:v>1.20 validated five-run session</x:v>
      </x:c>
      <x:c r="C296" s="54" t="n">
        <x:v>1.2</x:v>
      </x:c>
      <x:c r="D296" t="n">
        <x:v>4</x:v>
      </x:c>
      <x:c r="E296" t="n">
        <x:v>1</x:v>
      </x:c>
      <x:c r="F296" t="str">
        <x:v>FINE</x:v>
      </x:c>
      <x:c r="G296" t="n">
        <x:v>5</x:v>
      </x:c>
      <x:c r="H296" s="54" t="n">
        <x:v>10.75</x:v>
      </x:c>
      <x:c r="I296" s="54" t="n">
        <x:v>1.1286</x:v>
      </x:c>
      <x:c r="J296" s="54" t="n">
        <x:v>1.12534</x:v>
      </x:c>
      <x:c r="K296" s="54" t="n">
        <x:v>0.37294</x:v>
      </x:c>
      <x:c r="L296" s="54" t="n">
        <x:v>0.59196</x:v>
      </x:c>
      <x:c r="M296" s="54" t="n">
        <x:v>1.32535</x:v>
      </x:c>
      <x:c r="N296" s="56" t="n">
        <x:v>-5.95</x:v>
      </x:c>
      <x:c r="O296" s="56" t="n">
        <x:v>1.02</x:v>
      </x:c>
      <x:c r="P296" s="56" t="n">
        <x:v>1.15</x:v>
      </x:c>
      <x:c r="Q296" s="56" t="n">
        <x:v>93</x:v>
      </x:c>
      <x:c r="R296" t="str">
        <x:v>X</x:v>
      </x:c>
      <x:c r="S296" s="102" t="n">
        <x:v>100</x:v>
      </x:c>
      <x:c r="T296" t="str">
        <x:v>IN TARGET BAND</x:v>
      </x:c>
      <x:c r="U296" t="n">
        <x:v>1389</x:v>
      </x:c>
      <x:c r="V296" t="str">
        <x:v>Pasted text(56).txt</x:v>
      </x:c>
    </x:row>
    <x:row r="297">
      <x:c r="A297" t="str">
        <x:v>S04</x:v>
      </x:c>
      <x:c r="B297" t="str">
        <x:v>1.20 validated five-run session</x:v>
      </x:c>
      <x:c r="C297" s="54" t="n">
        <x:v>1.2</x:v>
      </x:c>
      <x:c r="D297" t="n">
        <x:v>4</x:v>
      </x:c>
      <x:c r="E297" t="n">
        <x:v>1</x:v>
      </x:c>
      <x:c r="F297" t="str">
        <x:v>FINE</x:v>
      </x:c>
      <x:c r="G297" t="n">
        <x:v>6</x:v>
      </x:c>
      <x:c r="H297" s="54" t="n">
        <x:v>11</x:v>
      </x:c>
      <x:c r="I297" s="54" t="n">
        <x:v>1.1415</x:v>
      </x:c>
      <x:c r="J297" s="54" t="n">
        <x:v>1.13849</x:v>
      </x:c>
      <x:c r="K297" s="54" t="n">
        <x:v>0.37697</x:v>
      </x:c>
      <x:c r="L297" s="54" t="n">
        <x:v>0.67087</x:v>
      </x:c>
      <x:c r="M297" s="54" t="n">
        <x:v>1.37454</x:v>
      </x:c>
      <x:c r="N297" s="56" t="n">
        <x:v>-4.87</x:v>
      </x:c>
      <x:c r="O297" s="56" t="n">
        <x:v>0.86</x:v>
      </x:c>
      <x:c r="P297" s="56" t="n">
        <x:v>1.01</x:v>
      </x:c>
      <x:c r="Q297" s="56" t="n">
        <x:v>92.2</x:v>
      </x:c>
      <x:c r="R297" t="str">
        <x:v>X</x:v>
      </x:c>
      <x:c r="S297" s="102" t="n">
        <x:v>100</x:v>
      </x:c>
      <x:c r="T297" t="str">
        <x:v>IN TARGET BAND</x:v>
      </x:c>
      <x:c r="U297" t="n">
        <x:v>1390</x:v>
      </x:c>
      <x:c r="V297" t="str">
        <x:v>Pasted text(56).txt</x:v>
      </x:c>
    </x:row>
    <x:row r="298">
      <x:c r="A298" t="str">
        <x:v>S04</x:v>
      </x:c>
      <x:c r="B298" t="str">
        <x:v>1.20 validated five-run session</x:v>
      </x:c>
      <x:c r="C298" s="54" t="n">
        <x:v>1.2</x:v>
      </x:c>
      <x:c r="D298" t="n">
        <x:v>4</x:v>
      </x:c>
      <x:c r="E298" t="n">
        <x:v>1</x:v>
      </x:c>
      <x:c r="F298" t="str">
        <x:v>FINE</x:v>
      </x:c>
      <x:c r="G298" t="n">
        <x:v>7</x:v>
      </x:c>
      <x:c r="H298" s="54" t="n">
        <x:v>11.25</x:v>
      </x:c>
      <x:c r="I298" s="54" t="n">
        <x:v>1.19013</x:v>
      </x:c>
      <x:c r="J298" s="54" t="n">
        <x:v>1.19161</x:v>
      </x:c>
      <x:c r="K298" s="54" t="n">
        <x:v>0.40472</x:v>
      </x:c>
      <x:c r="L298" s="54" t="n">
        <x:v>0.64054</x:v>
      </x:c>
      <x:c r="M298" s="54" t="n">
        <x:v>1.41232</x:v>
      </x:c>
      <x:c r="N298" s="56" t="n">
        <x:v>-0.82</x:v>
      </x:c>
      <x:c r="O298" s="56" t="n">
        <x:v>3.51</x:v>
      </x:c>
      <x:c r="P298" s="56" t="n">
        <x:v>2.55</x:v>
      </x:c>
      <x:c r="Q298" s="56" t="n">
        <x:v>93.2</x:v>
      </x:c>
      <x:c r="R298" t="str">
        <x:v>X</x:v>
      </x:c>
      <x:c r="S298" s="102" t="n">
        <x:v>100</x:v>
      </x:c>
      <x:c r="T298" t="str">
        <x:v>IN TARGET BAND</x:v>
      </x:c>
      <x:c r="U298" t="n">
        <x:v>1391</x:v>
      </x:c>
      <x:c r="V298" t="str">
        <x:v>Pasted text(56).txt</x:v>
      </x:c>
    </x:row>
    <x:row r="299">
      <x:c r="A299" t="str">
        <x:v>S04</x:v>
      </x:c>
      <x:c r="B299" t="str">
        <x:v>1.20 validated five-run session</x:v>
      </x:c>
      <x:c r="C299" s="54" t="n">
        <x:v>1.2</x:v>
      </x:c>
      <x:c r="D299" t="n">
        <x:v>4</x:v>
      </x:c>
      <x:c r="E299" t="n">
        <x:v>1</x:v>
      </x:c>
      <x:c r="F299" t="str">
        <x:v>FINE</x:v>
      </x:c>
      <x:c r="G299" t="n">
        <x:v>8</x:v>
      </x:c>
      <x:c r="H299" s="54" t="n">
        <x:v>11.5</x:v>
      </x:c>
      <x:c r="I299" s="54" t="n">
        <x:v>1.20927</x:v>
      </x:c>
      <x:c r="J299" s="54" t="n">
        <x:v>1.20727</x:v>
      </x:c>
      <x:c r="K299" s="54" t="n">
        <x:v>0.40125</x:v>
      </x:c>
      <x:c r="L299" s="54" t="n">
        <x:v>0.63201</x:v>
      </x:c>
      <x:c r="M299" s="54" t="n">
        <x:v>1.42069</x:v>
      </x:c>
      <x:c r="N299" s="56" t="n">
        <x:v>0.77</x:v>
      </x:c>
      <x:c r="O299" s="56" t="n">
        <x:v>1.44</x:v>
      </x:c>
      <x:c r="P299" s="56" t="n">
        <x:v>1.23</x:v>
      </x:c>
      <x:c r="Q299" s="56" t="n">
        <x:v>93.7</x:v>
      </x:c>
      <x:c r="R299" t="str">
        <x:v>X</x:v>
      </x:c>
      <x:c r="S299" s="102" t="n">
        <x:v>100</x:v>
      </x:c>
      <x:c r="T299" t="str">
        <x:v>IN TARGET BAND</x:v>
      </x:c>
      <x:c r="U299" t="n">
        <x:v>1392</x:v>
      </x:c>
      <x:c r="V299" t="str">
        <x:v>Pasted text(56).txt</x:v>
      </x:c>
    </x:row>
    <x:row r="300">
      <x:c r="A300" t="str">
        <x:v>S04</x:v>
      </x:c>
      <x:c r="B300" t="str">
        <x:v>1.20 validated five-run session</x:v>
      </x:c>
      <x:c r="C300" s="54" t="n">
        <x:v>1.2</x:v>
      </x:c>
      <x:c r="D300" t="n">
        <x:v>4</x:v>
      </x:c>
      <x:c r="E300" t="n">
        <x:v>1</x:v>
      </x:c>
      <x:c r="F300" t="str">
        <x:v>FINE</x:v>
      </x:c>
      <x:c r="G300" t="n">
        <x:v>9</x:v>
      </x:c>
      <x:c r="H300" s="54" t="n">
        <x:v>11.75</x:v>
      </x:c>
      <x:c r="I300" s="54" t="n">
        <x:v>1.26442</x:v>
      </x:c>
      <x:c r="J300" s="54" t="n">
        <x:v>1.26508</x:v>
      </x:c>
      <x:c r="K300" s="54" t="n">
        <x:v>0.4043</x:v>
      </x:c>
      <x:c r="L300" s="54" t="n">
        <x:v>0.65791</x:v>
      </x:c>
      <x:c r="M300" s="54" t="n">
        <x:v>1.48223</x:v>
      </x:c>
      <x:c r="N300" s="56" t="n">
        <x:v>5.37</x:v>
      </x:c>
      <x:c r="O300" s="56" t="n">
        <x:v>1.16</x:v>
      </x:c>
      <x:c r="P300" s="56" t="n">
        <x:v>0.86</x:v>
      </x:c>
      <x:c r="Q300" s="56" t="n">
        <x:v>92.9</x:v>
      </x:c>
      <x:c r="R300" t="str">
        <x:v>X</x:v>
      </x:c>
      <x:c r="S300" s="102" t="n">
        <x:v>100</x:v>
      </x:c>
      <x:c r="T300" t="str">
        <x:v>IN TARGET BAND</x:v>
      </x:c>
      <x:c r="U300" t="n">
        <x:v>1393</x:v>
      </x:c>
      <x:c r="V300" t="str">
        <x:v>Pasted text(56).txt</x:v>
      </x:c>
    </x:row>
    <x:row r="301">
      <x:c r="A301" t="str">
        <x:v>S04</x:v>
      </x:c>
      <x:c r="B301" t="str">
        <x:v>1.20 validated five-run session</x:v>
      </x:c>
      <x:c r="C301" s="54" t="n">
        <x:v>1.2</x:v>
      </x:c>
      <x:c r="D301" t="n">
        <x:v>4</x:v>
      </x:c>
      <x:c r="E301" t="n">
        <x:v>1</x:v>
      </x:c>
      <x:c r="F301" t="str">
        <x:v>FINAL</x:v>
      </x:c>
      <x:c r="G301" t="n">
        <x:v>1</x:v>
      </x:c>
      <x:c r="H301" s="54" t="n">
        <x:v>11.5</x:v>
      </x:c>
      <x:c r="I301" s="54" t="n">
        <x:v>1.20076</x:v>
      </x:c>
      <x:c r="J301" s="54" t="n">
        <x:v>1.1987</x:v>
      </x:c>
      <x:c r="K301" s="54" t="n">
        <x:v>0.38673</x:v>
      </x:c>
      <x:c r="L301" s="54" t="n">
        <x:v>0.62833</x:v>
      </x:c>
      <x:c r="M301" s="54" t="n">
        <x:v>1.40797</x:v>
      </x:c>
      <x:c r="N301" s="56" t="n">
        <x:v>0.06</x:v>
      </x:c>
      <x:c r="O301" s="56" t="n">
        <x:v>1.59</x:v>
      </x:c>
      <x:c r="P301" s="56" t="n">
        <x:v>2.21</x:v>
      </x:c>
      <x:c r="Q301" s="56" t="n">
        <x:v>93.2</x:v>
      </x:c>
      <x:c r="R301" t="str">
        <x:v>X</x:v>
      </x:c>
      <x:c r="S301" s="102" t="n">
        <x:v>100</x:v>
      </x:c>
      <x:c r="T301" t="str">
        <x:v>IN TARGET BAND</x:v>
      </x:c>
      <x:c r="U301" t="n">
        <x:v>1396</x:v>
      </x:c>
      <x:c r="V301" t="str">
        <x:v>Pasted text(56).txt</x:v>
      </x:c>
    </x:row>
    <x:row r="302">
      <x:c r="A302" t="str">
        <x:v>S04</x:v>
      </x:c>
      <x:c r="B302" t="str">
        <x:v>1.20 validated five-run session</x:v>
      </x:c>
      <x:c r="C302" s="54" t="n">
        <x:v>1.2</x:v>
      </x:c>
      <x:c r="D302" t="n">
        <x:v>4</x:v>
      </x:c>
      <x:c r="E302" t="n">
        <x:v>1</x:v>
      </x:c>
      <x:c r="F302" t="str">
        <x:v>FINAL</x:v>
      </x:c>
      <x:c r="G302" t="n">
        <x:v>2</x:v>
      </x:c>
      <x:c r="H302" s="54" t="n">
        <x:v>11.5</x:v>
      </x:c>
      <x:c r="I302" s="54" t="n">
        <x:v>1.20863</x:v>
      </x:c>
      <x:c r="J302" s="54" t="n">
        <x:v>1.21531</x:v>
      </x:c>
      <x:c r="K302" s="54" t="n">
        <x:v>0.40583</x:v>
      </x:c>
      <x:c r="L302" s="54" t="n">
        <x:v>0.65463</x:v>
      </x:c>
      <x:c r="M302" s="54" t="n">
        <x:v>1.4392</x:v>
      </x:c>
      <x:c r="N302" s="56" t="n">
        <x:v>0.72</x:v>
      </x:c>
      <x:c r="O302" s="56" t="n">
        <x:v>2.38</x:v>
      </x:c>
      <x:c r="P302" s="56" t="n">
        <x:v>2.05</x:v>
      </x:c>
      <x:c r="Q302" s="56" t="n">
        <x:v>93.3</x:v>
      </x:c>
      <x:c r="R302" t="str">
        <x:v>X</x:v>
      </x:c>
      <x:c r="S302" s="102" t="n">
        <x:v>100</x:v>
      </x:c>
      <x:c r="T302" t="str">
        <x:v>IN TARGET BAND</x:v>
      </x:c>
      <x:c r="U302" t="n">
        <x:v>1397</x:v>
      </x:c>
      <x:c r="V302" t="str">
        <x:v>Pasted text(56).txt</x:v>
      </x:c>
    </x:row>
    <x:row r="303">
      <x:c r="A303" t="str">
        <x:v>S04</x:v>
      </x:c>
      <x:c r="B303" t="str">
        <x:v>1.20 validated five-run session</x:v>
      </x:c>
      <x:c r="C303" s="54" t="n">
        <x:v>1.2</x:v>
      </x:c>
      <x:c r="D303" t="n">
        <x:v>5</x:v>
      </x:c>
      <x:c r="E303" t="n">
        <x:v>1</x:v>
      </x:c>
      <x:c r="F303" t="str">
        <x:v>SEARCH</x:v>
      </x:c>
      <x:c r="G303" t="n">
        <x:v>1</x:v>
      </x:c>
      <x:c r="H303" s="54" t="n">
        <x:v>1</x:v>
      </x:c>
      <x:c r="I303" s="54" t="n">
        <x:v>0.01258</x:v>
      </x:c>
      <x:c r="J303" s="54" t="n">
        <x:v>0.01424</x:v>
      </x:c>
      <x:c r="K303" s="54" t="n">
        <x:v>0.02223</x:v>
      </x:c>
      <x:c r="L303" s="54" t="n">
        <x:v>0.02701</x:v>
      </x:c>
      <x:c r="M303" s="54" t="n">
        <x:v>0.03847</x:v>
      </x:c>
      <x:c r="N303" s="56" t="n">
        <x:v>-98.95</x:v>
      </x:c>
      <x:c r="O303" s="56" t="n">
        <x:v>50.65</x:v>
      </x:c>
      <x:c r="P303" s="56" t="n">
        <x:v>48.76</x:v>
      </x:c>
      <x:c r="Q303" s="56" t="n">
        <x:v>7.6</x:v>
      </x:c>
      <x:c r="R303" t="str">
        <x:v>Z</x:v>
      </x:c>
      <x:c r="S303" s="102" t="n">
        <x:v>52.7</x:v>
      </x:c>
      <x:c r="T303" t="str">
        <x:v>BELOW MEASUREMENT FLOOR — SEARCH CONTINUES</x:v>
      </x:c>
      <x:c r="U303" t="n">
        <x:v>1453</x:v>
      </x:c>
      <x:c r="V303" t="str">
        <x:v>Pasted text(56).txt</x:v>
      </x:c>
    </x:row>
    <x:row r="304">
      <x:c r="A304" t="str">
        <x:v>S04</x:v>
      </x:c>
      <x:c r="B304" t="str">
        <x:v>1.20 validated five-run session</x:v>
      </x:c>
      <x:c r="C304" s="54" t="n">
        <x:v>1.2</x:v>
      </x:c>
      <x:c r="D304" t="n">
        <x:v>5</x:v>
      </x:c>
      <x:c r="E304" t="n">
        <x:v>1</x:v>
      </x:c>
      <x:c r="F304" t="str">
        <x:v>SEARCH</x:v>
      </x:c>
      <x:c r="G304" t="n">
        <x:v>2</x:v>
      </x:c>
      <x:c r="H304" s="54" t="n">
        <x:v>3</x:v>
      </x:c>
      <x:c r="I304" s="54" t="n">
        <x:v>0.14939</x:v>
      </x:c>
      <x:c r="J304" s="54" t="n">
        <x:v>0.14937</x:v>
      </x:c>
      <x:c r="K304" s="54" t="n">
        <x:v>0.07181</x:v>
      </x:c>
      <x:c r="L304" s="54" t="n">
        <x:v>0.12305</x:v>
      </x:c>
      <x:c r="M304" s="54" t="n">
        <x:v>0.20696</x:v>
      </x:c>
      <x:c r="N304" s="56" t="n">
        <x:v>-87.55</x:v>
      </x:c>
      <x:c r="O304" s="56" t="n">
        <x:v>18.97</x:v>
      </x:c>
      <x:c r="P304" s="56" t="n">
        <x:v>12.81</x:v>
      </x:c>
      <x:c r="Q304" s="56" t="n">
        <x:v>52.8</x:v>
      </x:c>
      <x:c r="R304" t="str">
        <x:v>X</x:v>
      </x:c>
      <x:c r="S304" s="102" t="n">
        <x:v>100</x:v>
      </x:c>
      <x:c r="T304" t="str">
        <x:v>UNSTABLE — SEARCH CONTINUES</x:v>
      </x:c>
      <x:c r="U304" t="n">
        <x:v>1454</x:v>
      </x:c>
      <x:c r="V304" t="str">
        <x:v>Pasted text(56).txt</x:v>
      </x:c>
    </x:row>
    <x:row r="305">
      <x:c r="A305" t="str">
        <x:v>S04</x:v>
      </x:c>
      <x:c r="B305" t="str">
        <x:v>1.20 validated five-run session</x:v>
      </x:c>
      <x:c r="C305" s="54" t="n">
        <x:v>1.2</x:v>
      </x:c>
      <x:c r="D305" t="n">
        <x:v>5</x:v>
      </x:c>
      <x:c r="E305" t="n">
        <x:v>1</x:v>
      </x:c>
      <x:c r="F305" t="str">
        <x:v>SEARCH</x:v>
      </x:c>
      <x:c r="G305" t="n">
        <x:v>3</x:v>
      </x:c>
      <x:c r="H305" s="54" t="n">
        <x:v>5</x:v>
      </x:c>
      <x:c r="I305" s="54" t="n">
        <x:v>0.39106</x:v>
      </x:c>
      <x:c r="J305" s="54" t="n">
        <x:v>0.39797</x:v>
      </x:c>
      <x:c r="K305" s="54" t="n">
        <x:v>0.1452</x:v>
      </x:c>
      <x:c r="L305" s="54" t="n">
        <x:v>0.24627</x:v>
      </x:c>
      <x:c r="M305" s="54" t="n">
        <x:v>0.49015</x:v>
      </x:c>
      <x:c r="N305" s="56" t="n">
        <x:v>-67.41</x:v>
      </x:c>
      <x:c r="O305" s="56" t="n">
        <x:v>1.58</x:v>
      </x:c>
      <x:c r="P305" s="56" t="n">
        <x:v>3.95</x:v>
      </x:c>
      <x:c r="Q305" s="56" t="n">
        <x:v>82.9</x:v>
      </x:c>
      <x:c r="R305" t="str">
        <x:v>X</x:v>
      </x:c>
      <x:c r="S305" s="102" t="n">
        <x:v>100</x:v>
      </x:c>
      <x:c r="T305" t="str">
        <x:v>VALID</x:v>
      </x:c>
      <x:c r="U305" t="n">
        <x:v>1455</x:v>
      </x:c>
      <x:c r="V305" t="str">
        <x:v>Pasted text(56).txt</x:v>
      </x:c>
    </x:row>
    <x:row r="306">
      <x:c r="A306" t="str">
        <x:v>S04</x:v>
      </x:c>
      <x:c r="B306" t="str">
        <x:v>1.20 validated five-run session</x:v>
      </x:c>
      <x:c r="C306" s="54" t="n">
        <x:v>1.2</x:v>
      </x:c>
      <x:c r="D306" t="n">
        <x:v>5</x:v>
      </x:c>
      <x:c r="E306" t="n">
        <x:v>1</x:v>
      </x:c>
      <x:c r="F306" t="str">
        <x:v>SEARCH</x:v>
      </x:c>
      <x:c r="G306" t="n">
        <x:v>4</x:v>
      </x:c>
      <x:c r="H306" s="54" t="n">
        <x:v>6</x:v>
      </x:c>
      <x:c r="I306" s="54" t="n">
        <x:v>0.52126</x:v>
      </x:c>
      <x:c r="J306" s="54" t="n">
        <x:v>0.51412</x:v>
      </x:c>
      <x:c r="K306" s="54" t="n">
        <x:v>0.1785</x:v>
      </x:c>
      <x:c r="L306" s="54" t="n">
        <x:v>0.32824</x:v>
      </x:c>
      <x:c r="M306" s="54" t="n">
        <x:v>0.63566</x:v>
      </x:c>
      <x:c r="N306" s="56" t="n">
        <x:v>-56.56</x:v>
      </x:c>
      <x:c r="O306" s="56" t="n">
        <x:v>1.26</x:v>
      </x:c>
      <x:c r="P306" s="56" t="n">
        <x:v>3.18</x:v>
      </x:c>
      <x:c r="Q306" s="56" t="n">
        <x:v>88.3</x:v>
      </x:c>
      <x:c r="R306" t="str">
        <x:v>X</x:v>
      </x:c>
      <x:c r="S306" s="102" t="n">
        <x:v>100</x:v>
      </x:c>
      <x:c r="T306" t="str">
        <x:v>VALID</x:v>
      </x:c>
      <x:c r="U306" t="n">
        <x:v>1456</x:v>
      </x:c>
      <x:c r="V306" t="str">
        <x:v>Pasted text(56).txt</x:v>
      </x:c>
    </x:row>
    <x:row r="307">
      <x:c r="A307" t="str">
        <x:v>S04</x:v>
      </x:c>
      <x:c r="B307" t="str">
        <x:v>1.20 validated five-run session</x:v>
      </x:c>
      <x:c r="C307" s="54" t="n">
        <x:v>1.2</x:v>
      </x:c>
      <x:c r="D307" t="n">
        <x:v>5</x:v>
      </x:c>
      <x:c r="E307" t="n">
        <x:v>1</x:v>
      </x:c>
      <x:c r="F307" t="str">
        <x:v>SEARCH</x:v>
      </x:c>
      <x:c r="G307" t="n">
        <x:v>5</x:v>
      </x:c>
      <x:c r="H307" s="54" t="n">
        <x:v>7</x:v>
      </x:c>
      <x:c r="I307" s="54" t="n">
        <x:v>0.62418</x:v>
      </x:c>
      <x:c r="J307" s="54" t="n">
        <x:v>0.63191</x:v>
      </x:c>
      <x:c r="K307" s="54" t="n">
        <x:v>0.22577</x:v>
      </x:c>
      <x:c r="L307" s="54" t="n">
        <x:v>0.37408</x:v>
      </x:c>
      <x:c r="M307" s="54" t="n">
        <x:v>0.76868</x:v>
      </x:c>
      <x:c r="N307" s="56" t="n">
        <x:v>-47.98</x:v>
      </x:c>
      <x:c r="O307" s="56" t="n">
        <x:v>2.19</x:v>
      </x:c>
      <x:c r="P307" s="56" t="n">
        <x:v>3.46</x:v>
      </x:c>
      <x:c r="Q307" s="56" t="n">
        <x:v>88.2</x:v>
      </x:c>
      <x:c r="R307" t="str">
        <x:v>X</x:v>
      </x:c>
      <x:c r="S307" s="102" t="n">
        <x:v>100</x:v>
      </x:c>
      <x:c r="T307" t="str">
        <x:v>VALID</x:v>
      </x:c>
      <x:c r="U307" t="n">
        <x:v>1457</x:v>
      </x:c>
      <x:c r="V307" t="str">
        <x:v>Pasted text(56).txt</x:v>
      </x:c>
    </x:row>
    <x:row r="308">
      <x:c r="A308" t="str">
        <x:v>S04</x:v>
      </x:c>
      <x:c r="B308" t="str">
        <x:v>1.20 validated five-run session</x:v>
      </x:c>
      <x:c r="C308" s="54" t="n">
        <x:v>1.2</x:v>
      </x:c>
      <x:c r="D308" t="n">
        <x:v>5</x:v>
      </x:c>
      <x:c r="E308" t="n">
        <x:v>1</x:v>
      </x:c>
      <x:c r="F308" t="str">
        <x:v>SEARCH</x:v>
      </x:c>
      <x:c r="G308" t="n">
        <x:v>6</x:v>
      </x:c>
      <x:c r="H308" s="54" t="n">
        <x:v>8</x:v>
      </x:c>
      <x:c r="I308" s="54" t="n">
        <x:v>0.76117</x:v>
      </x:c>
      <x:c r="J308" s="54" t="n">
        <x:v>0.76503</x:v>
      </x:c>
      <x:c r="K308" s="54" t="n">
        <x:v>0.25377</x:v>
      </x:c>
      <x:c r="L308" s="54" t="n">
        <x:v>0.45431</x:v>
      </x:c>
      <x:c r="M308" s="54" t="n">
        <x:v>0.92547</x:v>
      </x:c>
      <x:c r="N308" s="56" t="n">
        <x:v>-36.57</x:v>
      </x:c>
      <x:c r="O308" s="56" t="n">
        <x:v>0.19</x:v>
      </x:c>
      <x:c r="P308" s="56" t="n">
        <x:v>0.99</x:v>
      </x:c>
      <x:c r="Q308" s="56" t="n">
        <x:v>91.1</x:v>
      </x:c>
      <x:c r="R308" t="str">
        <x:v>X</x:v>
      </x:c>
      <x:c r="S308" s="102" t="n">
        <x:v>100</x:v>
      </x:c>
      <x:c r="T308" t="str">
        <x:v>VALID</x:v>
      </x:c>
      <x:c r="U308" t="n">
        <x:v>1458</x:v>
      </x:c>
      <x:c r="V308" t="str">
        <x:v>Pasted text(56).txt</x:v>
      </x:c>
    </x:row>
    <x:row r="309">
      <x:c r="A309" t="str">
        <x:v>S04</x:v>
      </x:c>
      <x:c r="B309" t="str">
        <x:v>1.20 validated five-run session</x:v>
      </x:c>
      <x:c r="C309" s="54" t="n">
        <x:v>1.2</x:v>
      </x:c>
      <x:c r="D309" t="n">
        <x:v>5</x:v>
      </x:c>
      <x:c r="E309" t="n">
        <x:v>1</x:v>
      </x:c>
      <x:c r="F309" t="str">
        <x:v>SEARCH</x:v>
      </x:c>
      <x:c r="G309" t="n">
        <x:v>7</x:v>
      </x:c>
      <x:c r="H309" s="54" t="n">
        <x:v>8.5</x:v>
      </x:c>
      <x:c r="I309" s="54" t="n">
        <x:v>0.79045</x:v>
      </x:c>
      <x:c r="J309" s="54" t="n">
        <x:v>0.79241</x:v>
      </x:c>
      <x:c r="K309" s="54" t="n">
        <x:v>0.2726</x:v>
      </x:c>
      <x:c r="L309" s="54" t="n">
        <x:v>0.46607</x:v>
      </x:c>
      <x:c r="M309" s="54" t="n">
        <x:v>0.95916</x:v>
      </x:c>
      <x:c r="N309" s="56" t="n">
        <x:v>-34.13</x:v>
      </x:c>
      <x:c r="O309" s="56" t="n">
        <x:v>1.01</x:v>
      </x:c>
      <x:c r="P309" s="56" t="n">
        <x:v>1.07</x:v>
      </x:c>
      <x:c r="Q309" s="56" t="n">
        <x:v>89.7</x:v>
      </x:c>
      <x:c r="R309" t="str">
        <x:v>X</x:v>
      </x:c>
      <x:c r="S309" s="102" t="n">
        <x:v>100</x:v>
      </x:c>
      <x:c r="T309" t="str">
        <x:v>VALID</x:v>
      </x:c>
      <x:c r="U309" t="n">
        <x:v>1459</x:v>
      </x:c>
      <x:c r="V309" t="str">
        <x:v>Pasted text(56).txt</x:v>
      </x:c>
    </x:row>
    <x:row r="310">
      <x:c r="A310" t="str">
        <x:v>S04</x:v>
      </x:c>
      <x:c r="B310" t="str">
        <x:v>1.20 validated five-run session</x:v>
      </x:c>
      <x:c r="C310" s="54" t="n">
        <x:v>1.2</x:v>
      </x:c>
      <x:c r="D310" t="n">
        <x:v>5</x:v>
      </x:c>
      <x:c r="E310" t="n">
        <x:v>1</x:v>
      </x:c>
      <x:c r="F310" t="str">
        <x:v>SEARCH</x:v>
      </x:c>
      <x:c r="G310" t="n">
        <x:v>8</x:v>
      </x:c>
      <x:c r="H310" s="54" t="n">
        <x:v>9</x:v>
      </x:c>
      <x:c r="I310" s="54" t="n">
        <x:v>0.88703</x:v>
      </x:c>
      <x:c r="J310" s="54" t="n">
        <x:v>0.8863</x:v>
      </x:c>
      <x:c r="K310" s="54" t="n">
        <x:v>0.32348</x:v>
      </x:c>
      <x:c r="L310" s="54" t="n">
        <x:v>0.47192</x:v>
      </x:c>
      <x:c r="M310" s="54" t="n">
        <x:v>1.05525</x:v>
      </x:c>
      <x:c r="N310" s="56" t="n">
        <x:v>-26.08</x:v>
      </x:c>
      <x:c r="O310" s="56" t="n">
        <x:v>3.63</x:v>
      </x:c>
      <x:c r="P310" s="56" t="n">
        <x:v>2.57</x:v>
      </x:c>
      <x:c r="Q310" s="56" t="n">
        <x:v>91.3</x:v>
      </x:c>
      <x:c r="R310" t="str">
        <x:v>X</x:v>
      </x:c>
      <x:c r="S310" s="102" t="n">
        <x:v>100</x:v>
      </x:c>
      <x:c r="T310" t="str">
        <x:v>VALID</x:v>
      </x:c>
      <x:c r="U310" t="n">
        <x:v>1460</x:v>
      </x:c>
      <x:c r="V310" t="str">
        <x:v>Pasted text(56).txt</x:v>
      </x:c>
    </x:row>
    <x:row r="311">
      <x:c r="A311" t="str">
        <x:v>S04</x:v>
      </x:c>
      <x:c r="B311" t="str">
        <x:v>1.20 validated five-run session</x:v>
      </x:c>
      <x:c r="C311" s="54" t="n">
        <x:v>1.2</x:v>
      </x:c>
      <x:c r="D311" t="n">
        <x:v>5</x:v>
      </x:c>
      <x:c r="E311" t="n">
        <x:v>1</x:v>
      </x:c>
      <x:c r="F311" t="str">
        <x:v>SEARCH</x:v>
      </x:c>
      <x:c r="G311" t="n">
        <x:v>9</x:v>
      </x:c>
      <x:c r="H311" s="54" t="n">
        <x:v>9.5</x:v>
      </x:c>
      <x:c r="I311" s="54" t="n">
        <x:v>0.92886</x:v>
      </x:c>
      <x:c r="J311" s="54" t="n">
        <x:v>0.93133</x:v>
      </x:c>
      <x:c r="K311" s="54" t="n">
        <x:v>0.30927</x:v>
      </x:c>
      <x:c r="L311" s="54" t="n">
        <x:v>0.51785</x:v>
      </x:c>
      <x:c r="M311" s="54" t="n">
        <x:v>1.10974</x:v>
      </x:c>
      <x:c r="N311" s="56" t="n">
        <x:v>-22.59</x:v>
      </x:c>
      <x:c r="O311" s="56" t="n">
        <x:v>1.21</x:v>
      </x:c>
      <x:c r="P311" s="56" t="n">
        <x:v>1.23</x:v>
      </x:c>
      <x:c r="Q311" s="56" t="n">
        <x:v>91.8</x:v>
      </x:c>
      <x:c r="R311" t="str">
        <x:v>X</x:v>
      </x:c>
      <x:c r="S311" s="102" t="n">
        <x:v>100</x:v>
      </x:c>
      <x:c r="T311" t="str">
        <x:v>VALID</x:v>
      </x:c>
      <x:c r="U311" t="n">
        <x:v>1461</x:v>
      </x:c>
      <x:c r="V311" t="str">
        <x:v>Pasted text(56).txt</x:v>
      </x:c>
    </x:row>
    <x:row r="312">
      <x:c r="A312" t="str">
        <x:v>S04</x:v>
      </x:c>
      <x:c r="B312" t="str">
        <x:v>1.20 validated five-run session</x:v>
      </x:c>
      <x:c r="C312" s="54" t="n">
        <x:v>1.2</x:v>
      </x:c>
      <x:c r="D312" t="n">
        <x:v>5</x:v>
      </x:c>
      <x:c r="E312" t="n">
        <x:v>1</x:v>
      </x:c>
      <x:c r="F312" t="str">
        <x:v>SEARCH</x:v>
      </x:c>
      <x:c r="G312" t="n">
        <x:v>10</x:v>
      </x:c>
      <x:c r="H312" s="54" t="n">
        <x:v>10</x:v>
      </x:c>
      <x:c r="I312" s="54" t="n">
        <x:v>1.03567</x:v>
      </x:c>
      <x:c r="J312" s="54" t="n">
        <x:v>1.03897</x:v>
      </x:c>
      <x:c r="K312" s="54" t="n">
        <x:v>0.3544</x:v>
      </x:c>
      <x:c r="L312" s="54" t="n">
        <x:v>0.53464</x:v>
      </x:c>
      <x:c r="M312" s="54" t="n">
        <x:v>1.22157</x:v>
      </x:c>
      <x:c r="N312" s="56" t="n">
        <x:v>-13.69</x:v>
      </x:c>
      <x:c r="O312" s="56" t="n">
        <x:v>1.88</x:v>
      </x:c>
      <x:c r="P312" s="56" t="n">
        <x:v>1.76</x:v>
      </x:c>
      <x:c r="Q312" s="56" t="n">
        <x:v>93.1</x:v>
      </x:c>
      <x:c r="R312" t="str">
        <x:v>X</x:v>
      </x:c>
      <x:c r="S312" s="102" t="n">
        <x:v>100</x:v>
      </x:c>
      <x:c r="T312" t="str">
        <x:v>VALID</x:v>
      </x:c>
      <x:c r="U312" t="n">
        <x:v>1462</x:v>
      </x:c>
      <x:c r="V312" t="str">
        <x:v>Pasted text(56).txt</x:v>
      </x:c>
    </x:row>
    <x:row r="313">
      <x:c r="A313" t="str">
        <x:v>S04</x:v>
      </x:c>
      <x:c r="B313" t="str">
        <x:v>1.20 validated five-run session</x:v>
      </x:c>
      <x:c r="C313" s="54" t="n">
        <x:v>1.2</x:v>
      </x:c>
      <x:c r="D313" t="n">
        <x:v>5</x:v>
      </x:c>
      <x:c r="E313" t="n">
        <x:v>1</x:v>
      </x:c>
      <x:c r="F313" t="str">
        <x:v>SEARCH</x:v>
      </x:c>
      <x:c r="G313" t="n">
        <x:v>11</x:v>
      </x:c>
      <x:c r="H313" s="54" t="n">
        <x:v>10.25</x:v>
      </x:c>
      <x:c r="I313" s="54" t="n">
        <x:v>1.0541</x:v>
      </x:c>
      <x:c r="J313" s="54" t="n">
        <x:v>1.06039</x:v>
      </x:c>
      <x:c r="K313" s="54" t="n">
        <x:v>0.33933</x:v>
      </x:c>
      <x:c r="L313" s="54" t="n">
        <x:v>0.5862</x:v>
      </x:c>
      <x:c r="M313" s="54" t="n">
        <x:v>1.2584</x:v>
      </x:c>
      <x:c r="N313" s="56" t="n">
        <x:v>-12.16</x:v>
      </x:c>
      <x:c r="O313" s="56" t="n">
        <x:v>0.9</x:v>
      </x:c>
      <x:c r="P313" s="56" t="n">
        <x:v>1.58</x:v>
      </x:c>
      <x:c r="Q313" s="56" t="n">
        <x:v>92.7</x:v>
      </x:c>
      <x:c r="R313" t="str">
        <x:v>X</x:v>
      </x:c>
      <x:c r="S313" s="102" t="n">
        <x:v>100</x:v>
      </x:c>
      <x:c r="T313" t="str">
        <x:v>VALID</x:v>
      </x:c>
      <x:c r="U313" t="n">
        <x:v>1463</x:v>
      </x:c>
      <x:c r="V313" t="str">
        <x:v>Pasted text(56).txt</x:v>
      </x:c>
    </x:row>
    <x:row r="314">
      <x:c r="A314" t="str">
        <x:v>S04</x:v>
      </x:c>
      <x:c r="B314" t="str">
        <x:v>1.20 validated five-run session</x:v>
      </x:c>
      <x:c r="C314" s="54" t="n">
        <x:v>1.2</x:v>
      </x:c>
      <x:c r="D314" t="n">
        <x:v>5</x:v>
      </x:c>
      <x:c r="E314" t="n">
        <x:v>1</x:v>
      </x:c>
      <x:c r="F314" t="str">
        <x:v>SEARCH</x:v>
      </x:c>
      <x:c r="G314" t="n">
        <x:v>12</x:v>
      </x:c>
      <x:c r="H314" s="54" t="n">
        <x:v>10.5</x:v>
      </x:c>
      <x:c r="I314" s="54" t="n">
        <x:v>1.07978</x:v>
      </x:c>
      <x:c r="J314" s="54" t="n">
        <x:v>1.07201</x:v>
      </x:c>
      <x:c r="K314" s="54" t="n">
        <x:v>0.3674</x:v>
      </x:c>
      <x:c r="L314" s="54" t="n">
        <x:v>0.59664</x:v>
      </x:c>
      <x:c r="M314" s="54" t="n">
        <x:v>1.28093</x:v>
      </x:c>
      <x:c r="N314" s="56" t="n">
        <x:v>-10.02</x:v>
      </x:c>
      <x:c r="O314" s="56" t="n">
        <x:v>0.25</x:v>
      </x:c>
      <x:c r="P314" s="56" t="n">
        <x:v>1.41</x:v>
      </x:c>
      <x:c r="Q314" s="56" t="n">
        <x:v>93.8</x:v>
      </x:c>
      <x:c r="R314" t="str">
        <x:v>X</x:v>
      </x:c>
      <x:c r="S314" s="102" t="n">
        <x:v>100</x:v>
      </x:c>
      <x:c r="T314" t="str">
        <x:v>VALID</x:v>
      </x:c>
      <x:c r="U314" t="n">
        <x:v>1464</x:v>
      </x:c>
      <x:c r="V314" t="str">
        <x:v>Pasted text(56).txt</x:v>
      </x:c>
    </x:row>
    <x:row r="315">
      <x:c r="A315" t="str">
        <x:v>S04</x:v>
      </x:c>
      <x:c r="B315" t="str">
        <x:v>1.20 validated five-run session</x:v>
      </x:c>
      <x:c r="C315" s="54" t="n">
        <x:v>1.2</x:v>
      </x:c>
      <x:c r="D315" t="n">
        <x:v>5</x:v>
      </x:c>
      <x:c r="E315" t="n">
        <x:v>1</x:v>
      </x:c>
      <x:c r="F315" t="str">
        <x:v>SEARCH</x:v>
      </x:c>
      <x:c r="G315" t="n">
        <x:v>13</x:v>
      </x:c>
      <x:c r="H315" s="54" t="n">
        <x:v>10.75</x:v>
      </x:c>
      <x:c r="I315" s="54" t="n">
        <x:v>1.12629</x:v>
      </x:c>
      <x:c r="J315" s="54" t="n">
        <x:v>1.12158</x:v>
      </x:c>
      <x:c r="K315" s="54" t="n">
        <x:v>0.35014</x:v>
      </x:c>
      <x:c r="L315" s="54" t="n">
        <x:v>0.60586</x:v>
      </x:c>
      <x:c r="M315" s="54" t="n">
        <x:v>1.32201</x:v>
      </x:c>
      <x:c r="N315" s="56" t="n">
        <x:v>-6.14</x:v>
      </x:c>
      <x:c r="O315" s="56" t="n">
        <x:v>0.84</x:v>
      </x:c>
      <x:c r="P315" s="56" t="n">
        <x:v>1.25</x:v>
      </x:c>
      <x:c r="Q315" s="56" t="n">
        <x:v>92.7</x:v>
      </x:c>
      <x:c r="R315" t="str">
        <x:v>X</x:v>
      </x:c>
      <x:c r="S315" s="102" t="n">
        <x:v>100</x:v>
      </x:c>
      <x:c r="T315" t="str">
        <x:v>IN TARGET BAND</x:v>
      </x:c>
      <x:c r="U315" t="n">
        <x:v>1465</x:v>
      </x:c>
      <x:c r="V315" t="str">
        <x:v>Pasted text(56).txt</x:v>
      </x:c>
    </x:row>
    <x:row r="316">
      <x:c r="A316" t="str">
        <x:v>S04</x:v>
      </x:c>
      <x:c r="B316" t="str">
        <x:v>1.20 validated five-run session</x:v>
      </x:c>
      <x:c r="C316" s="54" t="n">
        <x:v>1.2</x:v>
      </x:c>
      <x:c r="D316" t="n">
        <x:v>5</x:v>
      </x:c>
      <x:c r="E316" t="n">
        <x:v>1</x:v>
      </x:c>
      <x:c r="F316" t="str">
        <x:v>FINE</x:v>
      </x:c>
      <x:c r="G316" t="n">
        <x:v>1</x:v>
      </x:c>
      <x:c r="H316" s="54" t="n">
        <x:v>9.75</x:v>
      </x:c>
      <x:c r="I316" s="54" t="n">
        <x:v>1.00213</x:v>
      </x:c>
      <x:c r="J316" s="54" t="n">
        <x:v>0.98758</x:v>
      </x:c>
      <x:c r="K316" s="54" t="n">
        <x:v>0.32125</x:v>
      </x:c>
      <x:c r="L316" s="54" t="n">
        <x:v>0.54676</x:v>
      </x:c>
      <x:c r="M316" s="54" t="n">
        <x:v>1.1741</x:v>
      </x:c>
      <x:c r="N316" s="56" t="n">
        <x:v>-16.49</x:v>
      </x:c>
      <x:c r="O316" s="56" t="n">
        <x:v>0.18</x:v>
      </x:c>
      <x:c r="P316" s="56" t="n">
        <x:v>2.66</x:v>
      </x:c>
      <x:c r="Q316" s="56" t="n">
        <x:v>92.3</x:v>
      </x:c>
      <x:c r="R316" t="str">
        <x:v>X</x:v>
      </x:c>
      <x:c r="S316" s="102" t="n">
        <x:v>100</x:v>
      </x:c>
      <x:c r="T316" t="str">
        <x:v>VALID</x:v>
      </x:c>
      <x:c r="U316" t="n">
        <x:v>1469</x:v>
      </x:c>
      <x:c r="V316" t="str">
        <x:v>Pasted text(56).txt</x:v>
      </x:c>
    </x:row>
    <x:row r="317">
      <x:c r="A317" t="str">
        <x:v>S04</x:v>
      </x:c>
      <x:c r="B317" t="str">
        <x:v>1.20 validated five-run session</x:v>
      </x:c>
      <x:c r="C317" s="54" t="n">
        <x:v>1.2</x:v>
      </x:c>
      <x:c r="D317" t="n">
        <x:v>5</x:v>
      </x:c>
      <x:c r="E317" t="n">
        <x:v>1</x:v>
      </x:c>
      <x:c r="F317" t="str">
        <x:v>FINE</x:v>
      </x:c>
      <x:c r="G317" t="n">
        <x:v>2</x:v>
      </x:c>
      <x:c r="H317" s="54" t="n">
        <x:v>10</x:v>
      </x:c>
      <x:c r="I317" s="54" t="n">
        <x:v>1.02501</x:v>
      </x:c>
      <x:c r="J317" s="54" t="n">
        <x:v>1.02667</x:v>
      </x:c>
      <x:c r="K317" s="54" t="n">
        <x:v>0.35092</x:v>
      </x:c>
      <x:c r="L317" s="54" t="n">
        <x:v>0.57048</x:v>
      </x:c>
      <x:c r="M317" s="54" t="n">
        <x:v>1.2259</x:v>
      </x:c>
      <x:c r="N317" s="56" t="n">
        <x:v>-14.58</x:v>
      </x:c>
      <x:c r="O317" s="56" t="n">
        <x:v>0.38</x:v>
      </x:c>
      <x:c r="P317" s="56" t="n">
        <x:v>0.52</x:v>
      </x:c>
      <x:c r="Q317" s="56" t="n">
        <x:v>92.4</x:v>
      </x:c>
      <x:c r="R317" t="str">
        <x:v>X</x:v>
      </x:c>
      <x:c r="S317" s="102" t="n">
        <x:v>100</x:v>
      </x:c>
      <x:c r="T317" t="str">
        <x:v>VALID</x:v>
      </x:c>
      <x:c r="U317" t="n">
        <x:v>1470</x:v>
      </x:c>
      <x:c r="V317" t="str">
        <x:v>Pasted text(56).txt</x:v>
      </x:c>
    </x:row>
    <x:row r="318">
      <x:c r="A318" t="str">
        <x:v>S04</x:v>
      </x:c>
      <x:c r="B318" t="str">
        <x:v>1.20 validated five-run session</x:v>
      </x:c>
      <x:c r="C318" s="54" t="n">
        <x:v>1.2</x:v>
      </x:c>
      <x:c r="D318" t="n">
        <x:v>5</x:v>
      </x:c>
      <x:c r="E318" t="n">
        <x:v>1</x:v>
      </x:c>
      <x:c r="F318" t="str">
        <x:v>FINE</x:v>
      </x:c>
      <x:c r="G318" t="n">
        <x:v>3</x:v>
      </x:c>
      <x:c r="H318" s="54" t="n">
        <x:v>10.25</x:v>
      </x:c>
      <x:c r="I318" s="54" t="n">
        <x:v>1.05119</x:v>
      </x:c>
      <x:c r="J318" s="54" t="n">
        <x:v>1.04658</x:v>
      </x:c>
      <x:c r="K318" s="54" t="n">
        <x:v>0.36286</x:v>
      </x:c>
      <x:c r="L318" s="54" t="n">
        <x:v>0.56427</x:v>
      </x:c>
      <x:c r="M318" s="54" t="n">
        <x:v>1.24334</x:v>
      </x:c>
      <x:c r="N318" s="56" t="n">
        <x:v>-12.4</x:v>
      </x:c>
      <x:c r="O318" s="56" t="n">
        <x:v>1.57</x:v>
      </x:c>
      <x:c r="P318" s="56" t="n">
        <x:v>1.76</x:v>
      </x:c>
      <x:c r="Q318" s="56" t="n">
        <x:v>93.2</x:v>
      </x:c>
      <x:c r="R318" t="str">
        <x:v>X</x:v>
      </x:c>
      <x:c r="S318" s="102" t="n">
        <x:v>100</x:v>
      </x:c>
      <x:c r="T318" t="str">
        <x:v>VALID</x:v>
      </x:c>
      <x:c r="U318" t="n">
        <x:v>1471</x:v>
      </x:c>
      <x:c r="V318" t="str">
        <x:v>Pasted text(56).txt</x:v>
      </x:c>
    </x:row>
    <x:row r="319">
      <x:c r="A319" t="str">
        <x:v>S04</x:v>
      </x:c>
      <x:c r="B319" t="str">
        <x:v>1.20 validated five-run session</x:v>
      </x:c>
      <x:c r="C319" s="54" t="n">
        <x:v>1.2</x:v>
      </x:c>
      <x:c r="D319" t="n">
        <x:v>5</x:v>
      </x:c>
      <x:c r="E319" t="n">
        <x:v>1</x:v>
      </x:c>
      <x:c r="F319" t="str">
        <x:v>FINE</x:v>
      </x:c>
      <x:c r="G319" t="n">
        <x:v>4</x:v>
      </x:c>
      <x:c r="H319" s="54" t="n">
        <x:v>10.5</x:v>
      </x:c>
      <x:c r="I319" s="54" t="n">
        <x:v>1.07663</x:v>
      </x:c>
      <x:c r="J319" s="54" t="n">
        <x:v>1.07557</x:v>
      </x:c>
      <x:c r="K319" s="54" t="n">
        <x:v>0.36216</x:v>
      </x:c>
      <x:c r="L319" s="54" t="n">
        <x:v>0.56113</x:v>
      </x:c>
      <x:c r="M319" s="54" t="n">
        <x:v>1.26614</x:v>
      </x:c>
      <x:c r="N319" s="56" t="n">
        <x:v>-10.28</x:v>
      </x:c>
      <x:c r="O319" s="56" t="n">
        <x:v>2.65</x:v>
      </x:c>
      <x:c r="P319" s="56" t="n">
        <x:v>1.94</x:v>
      </x:c>
      <x:c r="Q319" s="56" t="n">
        <x:v>93.3</x:v>
      </x:c>
      <x:c r="R319" t="str">
        <x:v>X</x:v>
      </x:c>
      <x:c r="S319" s="102" t="n">
        <x:v>100</x:v>
      </x:c>
      <x:c r="T319" t="str">
        <x:v>VALID</x:v>
      </x:c>
      <x:c r="U319" t="n">
        <x:v>1472</x:v>
      </x:c>
      <x:c r="V319" t="str">
        <x:v>Pasted text(56).txt</x:v>
      </x:c>
    </x:row>
    <x:row r="320">
      <x:c r="A320" t="str">
        <x:v>S04</x:v>
      </x:c>
      <x:c r="B320" t="str">
        <x:v>1.20 validated five-run session</x:v>
      </x:c>
      <x:c r="C320" s="54" t="n">
        <x:v>1.2</x:v>
      </x:c>
      <x:c r="D320" t="n">
        <x:v>5</x:v>
      </x:c>
      <x:c r="E320" t="n">
        <x:v>1</x:v>
      </x:c>
      <x:c r="F320" t="str">
        <x:v>FINE</x:v>
      </x:c>
      <x:c r="G320" t="n">
        <x:v>5</x:v>
      </x:c>
      <x:c r="H320" s="54" t="n">
        <x:v>10.75</x:v>
      </x:c>
      <x:c r="I320" s="54" t="n">
        <x:v>1.12895</x:v>
      </x:c>
      <x:c r="J320" s="54" t="n">
        <x:v>1.12762</x:v>
      </x:c>
      <x:c r="K320" s="54" t="n">
        <x:v>0.37168</x:v>
      </x:c>
      <x:c r="L320" s="54" t="n">
        <x:v>0.60093</x:v>
      </x:c>
      <x:c r="M320" s="54" t="n">
        <x:v>1.33081</x:v>
      </x:c>
      <x:c r="N320" s="56" t="n">
        <x:v>-5.92</x:v>
      </x:c>
      <x:c r="O320" s="56" t="n">
        <x:v>1.66</x:v>
      </x:c>
      <x:c r="P320" s="56" t="n">
        <x:v>1.3</x:v>
      </x:c>
      <x:c r="Q320" s="56" t="n">
        <x:v>93.8</x:v>
      </x:c>
      <x:c r="R320" t="str">
        <x:v>X</x:v>
      </x:c>
      <x:c r="S320" s="102" t="n">
        <x:v>100</x:v>
      </x:c>
      <x:c r="T320" t="str">
        <x:v>IN TARGET BAND</x:v>
      </x:c>
      <x:c r="U320" t="n">
        <x:v>1473</x:v>
      </x:c>
      <x:c r="V320" t="str">
        <x:v>Pasted text(56).txt</x:v>
      </x:c>
    </x:row>
    <x:row r="321">
      <x:c r="A321" t="str">
        <x:v>S04</x:v>
      </x:c>
      <x:c r="B321" t="str">
        <x:v>1.20 validated five-run session</x:v>
      </x:c>
      <x:c r="C321" s="54" t="n">
        <x:v>1.2</x:v>
      </x:c>
      <x:c r="D321" t="n">
        <x:v>5</x:v>
      </x:c>
      <x:c r="E321" t="n">
        <x:v>1</x:v>
      </x:c>
      <x:c r="F321" t="str">
        <x:v>FINE</x:v>
      </x:c>
      <x:c r="G321" t="n">
        <x:v>6</x:v>
      </x:c>
      <x:c r="H321" s="54" t="n">
        <x:v>11</x:v>
      </x:c>
      <x:c r="I321" s="54" t="n">
        <x:v>1.16865</x:v>
      </x:c>
      <x:c r="J321" s="54" t="n">
        <x:v>1.1704</x:v>
      </x:c>
      <x:c r="K321" s="54" t="n">
        <x:v>0.38183</x:v>
      </x:c>
      <x:c r="L321" s="54" t="n">
        <x:v>0.6287</x:v>
      </x:c>
      <x:c r="M321" s="54" t="n">
        <x:v>1.38239</x:v>
      </x:c>
      <x:c r="N321" s="56" t="n">
        <x:v>-2.61</x:v>
      </x:c>
      <x:c r="O321" s="56" t="n">
        <x:v>0.12</x:v>
      </x:c>
      <x:c r="P321" s="56" t="n">
        <x:v>0.33</x:v>
      </x:c>
      <x:c r="Q321" s="56" t="n">
        <x:v>93.6</x:v>
      </x:c>
      <x:c r="R321" t="str">
        <x:v>X</x:v>
      </x:c>
      <x:c r="S321" s="102" t="n">
        <x:v>100</x:v>
      </x:c>
      <x:c r="T321" t="str">
        <x:v>IN TARGET BAND</x:v>
      </x:c>
      <x:c r="U321" t="n">
        <x:v>1474</x:v>
      </x:c>
      <x:c r="V321" t="str">
        <x:v>Pasted text(56).txt</x:v>
      </x:c>
    </x:row>
    <x:row r="322">
      <x:c r="A322" t="str">
        <x:v>S04</x:v>
      </x:c>
      <x:c r="B322" t="str">
        <x:v>1.20 validated five-run session</x:v>
      </x:c>
      <x:c r="C322" s="54" t="n">
        <x:v>1.2</x:v>
      </x:c>
      <x:c r="D322" t="n">
        <x:v>5</x:v>
      </x:c>
      <x:c r="E322" t="n">
        <x:v>1</x:v>
      </x:c>
      <x:c r="F322" t="str">
        <x:v>FINE</x:v>
      </x:c>
      <x:c r="G322" t="n">
        <x:v>7</x:v>
      </x:c>
      <x:c r="H322" s="54" t="n">
        <x:v>11.25</x:v>
      </x:c>
      <x:c r="I322" s="54" t="n">
        <x:v>1.19797</x:v>
      </x:c>
      <x:c r="J322" s="54" t="n">
        <x:v>1.19768</x:v>
      </x:c>
      <x:c r="K322" s="54" t="n">
        <x:v>0.39341</x:v>
      </x:c>
      <x:c r="L322" s="54" t="n">
        <x:v>0.64348</x:v>
      </x:c>
      <x:c r="M322" s="54" t="n">
        <x:v>1.41556</x:v>
      </x:c>
      <x:c r="N322" s="56" t="n">
        <x:v>-0.17</x:v>
      </x:c>
      <x:c r="O322" s="56" t="n">
        <x:v>0.69</x:v>
      </x:c>
      <x:c r="P322" s="56" t="n">
        <x:v>0.5</x:v>
      </x:c>
      <x:c r="Q322" s="56" t="n">
        <x:v>94.2</x:v>
      </x:c>
      <x:c r="R322" t="str">
        <x:v>X</x:v>
      </x:c>
      <x:c r="S322" s="102" t="n">
        <x:v>100</x:v>
      </x:c>
      <x:c r="T322" t="str">
        <x:v>IN TARGET BAND</x:v>
      </x:c>
      <x:c r="U322" t="n">
        <x:v>1475</x:v>
      </x:c>
      <x:c r="V322" t="str">
        <x:v>Pasted text(56).txt</x:v>
      </x:c>
    </x:row>
    <x:row r="323">
      <x:c r="A323" t="str">
        <x:v>S04</x:v>
      </x:c>
      <x:c r="B323" t="str">
        <x:v>1.20 validated five-run session</x:v>
      </x:c>
      <x:c r="C323" s="54" t="n">
        <x:v>1.2</x:v>
      </x:c>
      <x:c r="D323" t="n">
        <x:v>5</x:v>
      </x:c>
      <x:c r="E323" t="n">
        <x:v>1</x:v>
      </x:c>
      <x:c r="F323" t="str">
        <x:v>FINE</x:v>
      </x:c>
      <x:c r="G323" t="n">
        <x:v>8</x:v>
      </x:c>
      <x:c r="H323" s="54" t="n">
        <x:v>11.5</x:v>
      </x:c>
      <x:c r="I323" s="54" t="n">
        <x:v>1.19588</x:v>
      </x:c>
      <x:c r="J323" s="54" t="n">
        <x:v>1.20112</x:v>
      </x:c>
      <x:c r="K323" s="54" t="n">
        <x:v>0.39963</x:v>
      </x:c>
      <x:c r="L323" s="54" t="n">
        <x:v>0.64267</x:v>
      </x:c>
      <x:c r="M323" s="54" t="n">
        <x:v>1.41982</x:v>
      </x:c>
      <x:c r="N323" s="56" t="n">
        <x:v>-0.34</x:v>
      </x:c>
      <x:c r="O323" s="56" t="n">
        <x:v>0.47</x:v>
      </x:c>
      <x:c r="P323" s="56" t="n">
        <x:v>1.04</x:v>
      </x:c>
      <x:c r="Q323" s="56" t="n">
        <x:v>93.5</x:v>
      </x:c>
      <x:c r="R323" t="str">
        <x:v>X</x:v>
      </x:c>
      <x:c r="S323" s="102" t="n">
        <x:v>100</x:v>
      </x:c>
      <x:c r="T323" t="str">
        <x:v>IN TARGET BAND</x:v>
      </x:c>
      <x:c r="U323" t="n">
        <x:v>1476</x:v>
      </x:c>
      <x:c r="V323" t="str">
        <x:v>Pasted text(56).txt</x:v>
      </x:c>
    </x:row>
    <x:row r="324">
      <x:c r="A324" t="str">
        <x:v>S04</x:v>
      </x:c>
      <x:c r="B324" t="str">
        <x:v>1.20 validated five-run session</x:v>
      </x:c>
      <x:c r="C324" s="54" t="n">
        <x:v>1.2</x:v>
      </x:c>
      <x:c r="D324" t="n">
        <x:v>5</x:v>
      </x:c>
      <x:c r="E324" t="n">
        <x:v>1</x:v>
      </x:c>
      <x:c r="F324" t="str">
        <x:v>FINE</x:v>
      </x:c>
      <x:c r="G324" t="n">
        <x:v>9</x:v>
      </x:c>
      <x:c r="H324" s="54" t="n">
        <x:v>11.75</x:v>
      </x:c>
      <x:c r="I324" s="54" t="n">
        <x:v>1.2517</x:v>
      </x:c>
      <x:c r="J324" s="54" t="n">
        <x:v>1.24965</x:v>
      </x:c>
      <x:c r="K324" s="54" t="n">
        <x:v>0.41124</x:v>
      </x:c>
      <x:c r="L324" s="54" t="n">
        <x:v>0.64477</x:v>
      </x:c>
      <x:c r="M324" s="54" t="n">
        <x:v>1.46513</x:v>
      </x:c>
      <x:c r="N324" s="56" t="n">
        <x:v>4.31</x:v>
      </x:c>
      <x:c r="O324" s="56" t="n">
        <x:v>1.46</x:v>
      </x:c>
      <x:c r="P324" s="56" t="n">
        <x:v>1.24</x:v>
      </x:c>
      <x:c r="Q324" s="56" t="n">
        <x:v>93.1</x:v>
      </x:c>
      <x:c r="R324" t="str">
        <x:v>X</x:v>
      </x:c>
      <x:c r="S324" s="102" t="n">
        <x:v>100</x:v>
      </x:c>
      <x:c r="T324" t="str">
        <x:v>IN TARGET BAND</x:v>
      </x:c>
      <x:c r="U324" t="n">
        <x:v>1477</x:v>
      </x:c>
      <x:c r="V324" t="str">
        <x:v>Pasted text(56).txt</x:v>
      </x:c>
    </x:row>
    <x:row r="325">
      <x:c r="A325" t="str">
        <x:v>S04</x:v>
      </x:c>
      <x:c r="B325" t="str">
        <x:v>1.20 validated five-run session</x:v>
      </x:c>
      <x:c r="C325" s="54" t="n">
        <x:v>1.2</x:v>
      </x:c>
      <x:c r="D325" t="n">
        <x:v>5</x:v>
      </x:c>
      <x:c r="E325" t="n">
        <x:v>1</x:v>
      </x:c>
      <x:c r="F325" t="str">
        <x:v>FINAL</x:v>
      </x:c>
      <x:c r="G325" t="n">
        <x:v>1</x:v>
      </x:c>
      <x:c r="H325" s="54" t="n">
        <x:v>11.25</x:v>
      </x:c>
      <x:c r="I325" s="54" t="n">
        <x:v>1.1878</x:v>
      </x:c>
      <x:c r="J325" s="54" t="n">
        <x:v>1.19113</x:v>
      </x:c>
      <x:c r="K325" s="54" t="n">
        <x:v>0.39857</x:v>
      </x:c>
      <x:c r="L325" s="54" t="n">
        <x:v>0.61581</x:v>
      </x:c>
      <x:c r="M325" s="54" t="n">
        <x:v>1.39906</x:v>
      </x:c>
      <x:c r="N325" s="56" t="n">
        <x:v>-1.02</x:v>
      </x:c>
      <x:c r="O325" s="56" t="n">
        <x:v>2.76</x:v>
      </x:c>
      <x:c r="P325" s="56" t="n">
        <x:v>2.03</x:v>
      </x:c>
      <x:c r="Q325" s="56" t="n">
        <x:v>93.7</x:v>
      </x:c>
      <x:c r="R325" t="str">
        <x:v>X</x:v>
      </x:c>
      <x:c r="S325" s="102" t="n">
        <x:v>100</x:v>
      </x:c>
      <x:c r="T325" t="str">
        <x:v>IN TARGET BAND</x:v>
      </x:c>
      <x:c r="U325" t="n">
        <x:v>1480</x:v>
      </x:c>
      <x:c r="V325" t="str">
        <x:v>Pasted text(56).txt</x:v>
      </x:c>
    </x:row>
    <x:row r="326">
      <x:c r="A326" t="str">
        <x:v>S04</x:v>
      </x:c>
      <x:c r="B326" t="str">
        <x:v>1.20 validated five-run session</x:v>
      </x:c>
      <x:c r="C326" s="54" t="n">
        <x:v>1.2</x:v>
      </x:c>
      <x:c r="D326" t="n">
        <x:v>5</x:v>
      </x:c>
      <x:c r="E326" t="n">
        <x:v>1</x:v>
      </x:c>
      <x:c r="F326" t="str">
        <x:v>FINAL</x:v>
      </x:c>
      <x:c r="G326" t="n">
        <x:v>2</x:v>
      </x:c>
      <x:c r="H326" s="54" t="n">
        <x:v>11.25</x:v>
      </x:c>
      <x:c r="I326" s="54" t="n">
        <x:v>1.18338</x:v>
      </x:c>
      <x:c r="J326" s="54" t="n">
        <x:v>1.18642</x:v>
      </x:c>
      <x:c r="K326" s="54" t="n">
        <x:v>0.39887</x:v>
      </x:c>
      <x:c r="L326" s="54" t="n">
        <x:v>0.6161</x:v>
      </x:c>
      <x:c r="M326" s="54" t="n">
        <x:v>1.39533</x:v>
      </x:c>
      <x:c r="N326" s="56" t="n">
        <x:v>-1.39</x:v>
      </x:c>
      <x:c r="O326" s="56" t="n">
        <x:v>1.31</x:v>
      </x:c>
      <x:c r="P326" s="56" t="n">
        <x:v>1.2</x:v>
      </x:c>
      <x:c r="Q326" s="56" t="n">
        <x:v>93.6</x:v>
      </x:c>
      <x:c r="R326" t="str">
        <x:v>X</x:v>
      </x:c>
      <x:c r="S326" s="102" t="n">
        <x:v>100</x:v>
      </x:c>
      <x:c r="T326" t="str">
        <x:v>IN TARGET BAND</x:v>
      </x:c>
      <x:c r="U326" t="n">
        <x:v>1481</x:v>
      </x:c>
      <x:c r="V326" t="str">
        <x:v>Pasted text(56).txt</x:v>
      </x:c>
    </x:row>
    <x:row r="327">
      <x:c r="A327" t="str">
        <x:v>S05</x:v>
      </x:c>
      <x:c r="B327" t="str">
        <x:v>1.28 validated five-run session</x:v>
      </x:c>
      <x:c r="C327" s="54" t="n">
        <x:v>1.28</x:v>
      </x:c>
      <x:c r="D327" t="n">
        <x:v>1</x:v>
      </x:c>
      <x:c r="E327" t="n">
        <x:v>1</x:v>
      </x:c>
      <x:c r="F327" t="str">
        <x:v>SEARCH</x:v>
      </x:c>
      <x:c r="G327" t="n">
        <x:v>1</x:v>
      </x:c>
      <x:c r="H327" s="54" t="n">
        <x:v>1</x:v>
      </x:c>
      <x:c r="I327" s="54" t="n">
        <x:v>0.01442</x:v>
      </x:c>
      <x:c r="J327" s="54" t="n">
        <x:v>0.01501</x:v>
      </x:c>
      <x:c r="K327" s="54" t="n">
        <x:v>0.02213</x:v>
      </x:c>
      <x:c r="L327" s="54" t="n">
        <x:v>0.02295</x:v>
      </x:c>
      <x:c r="M327" s="54" t="n">
        <x:v>0.03532</x:v>
      </x:c>
      <x:c r="N327" s="56" t="n">
        <x:v>-98.87</x:v>
      </x:c>
      <x:c r="O327" s="56" t="n">
        <x:v>12.17</x:v>
      </x:c>
      <x:c r="P327" s="56" t="n">
        <x:v>5.58</x:v>
      </x:c>
      <x:c r="Q327" s="56" t="n">
        <x:v>8.2</x:v>
      </x:c>
      <x:c r="R327" t="str">
        <x:v>Z</x:v>
      </x:c>
      <x:c r="S327" s="102" t="n">
        <x:v>65.4</x:v>
      </x:c>
      <x:c r="T327" t="str">
        <x:v>BELOW MEASUREMENT FLOOR — SEARCH CONTINUES</x:v>
      </x:c>
      <x:c r="U327" t="n">
        <x:v>1592</x:v>
      </x:c>
      <x:c r="V327" t="str">
        <x:v>Pasted text(56).txt</x:v>
      </x:c>
    </x:row>
    <x:row r="328">
      <x:c r="A328" t="str">
        <x:v>S05</x:v>
      </x:c>
      <x:c r="B328" t="str">
        <x:v>1.28 validated five-run session</x:v>
      </x:c>
      <x:c r="C328" s="54" t="n">
        <x:v>1.28</x:v>
      </x:c>
      <x:c r="D328" t="n">
        <x:v>1</x:v>
      </x:c>
      <x:c r="E328" t="n">
        <x:v>1</x:v>
      </x:c>
      <x:c r="F328" t="str">
        <x:v>SEARCH</x:v>
      </x:c>
      <x:c r="G328" t="n">
        <x:v>2</x:v>
      </x:c>
      <x:c r="H328" s="54" t="n">
        <x:v>3</x:v>
      </x:c>
      <x:c r="I328" s="54" t="n">
        <x:v>0.17293</x:v>
      </x:c>
      <x:c r="J328" s="54" t="n">
        <x:v>0.17294</x:v>
      </x:c>
      <x:c r="K328" s="54" t="n">
        <x:v>0.0632</x:v>
      </x:c>
      <x:c r="L328" s="54" t="n">
        <x:v>0.13953</x:v>
      </x:c>
      <x:c r="M328" s="54" t="n">
        <x:v>0.2318</x:v>
      </x:c>
      <x:c r="N328" s="56" t="n">
        <x:v>-86.49</x:v>
      </x:c>
      <x:c r="O328" s="56" t="n">
        <x:v>0.11</x:v>
      </x:c>
      <x:c r="P328" s="56" t="n">
        <x:v>0.08</x:v>
      </x:c>
      <x:c r="Q328" s="56" t="n">
        <x:v>60.2</x:v>
      </x:c>
      <x:c r="R328" t="str">
        <x:v>X</x:v>
      </x:c>
      <x:c r="S328" s="102" t="n">
        <x:v>100</x:v>
      </x:c>
      <x:c r="T328" t="str">
        <x:v>VALID</x:v>
      </x:c>
      <x:c r="U328" t="n">
        <x:v>1593</x:v>
      </x:c>
      <x:c r="V328" t="str">
        <x:v>Pasted text(56).txt</x:v>
      </x:c>
    </x:row>
    <x:row r="329">
      <x:c r="A329" t="str">
        <x:v>S05</x:v>
      </x:c>
      <x:c r="B329" t="str">
        <x:v>1.28 validated five-run session</x:v>
      </x:c>
      <x:c r="C329" s="54" t="n">
        <x:v>1.28</x:v>
      </x:c>
      <x:c r="D329" t="n">
        <x:v>1</x:v>
      </x:c>
      <x:c r="E329" t="n">
        <x:v>1</x:v>
      </x:c>
      <x:c r="F329" t="str">
        <x:v>SEARCH</x:v>
      </x:c>
      <x:c r="G329" t="n">
        <x:v>3</x:v>
      </x:c>
      <x:c r="H329" s="54" t="n">
        <x:v>5</x:v>
      </x:c>
      <x:c r="I329" s="54" t="n">
        <x:v>0.40566</x:v>
      </x:c>
      <x:c r="J329" s="54" t="n">
        <x:v>0.39913</x:v>
      </x:c>
      <x:c r="K329" s="54" t="n">
        <x:v>0.14042</x:v>
      </x:c>
      <x:c r="L329" s="54" t="n">
        <x:v>0.26443</x:v>
      </x:c>
      <x:c r="M329" s="54" t="n">
        <x:v>0.49904</x:v>
      </x:c>
      <x:c r="N329" s="56" t="n">
        <x:v>-68.31</x:v>
      </x:c>
      <x:c r="O329" s="56" t="n">
        <x:v>1.9</x:v>
      </x:c>
      <x:c r="P329" s="56" t="n">
        <x:v>4.01</x:v>
      </x:c>
      <x:c r="Q329" s="56" t="n">
        <x:v>84.8</x:v>
      </x:c>
      <x:c r="R329" t="str">
        <x:v>X</x:v>
      </x:c>
      <x:c r="S329" s="102" t="n">
        <x:v>100</x:v>
      </x:c>
      <x:c r="T329" t="str">
        <x:v>VALID</x:v>
      </x:c>
      <x:c r="U329" t="n">
        <x:v>1594</x:v>
      </x:c>
      <x:c r="V329" t="str">
        <x:v>Pasted text(56).txt</x:v>
      </x:c>
    </x:row>
    <x:row r="330">
      <x:c r="A330" t="str">
        <x:v>S05</x:v>
      </x:c>
      <x:c r="B330" t="str">
        <x:v>1.28 validated five-run session</x:v>
      </x:c>
      <x:c r="C330" s="54" t="n">
        <x:v>1.28</x:v>
      </x:c>
      <x:c r="D330" t="n">
        <x:v>1</x:v>
      </x:c>
      <x:c r="E330" t="n">
        <x:v>1</x:v>
      </x:c>
      <x:c r="F330" t="str">
        <x:v>SEARCH</x:v>
      </x:c>
      <x:c r="G330" t="n">
        <x:v>4</x:v>
      </x:c>
      <x:c r="H330" s="54" t="n">
        <x:v>6</x:v>
      </x:c>
      <x:c r="I330" s="54" t="n">
        <x:v>0.51699</x:v>
      </x:c>
      <x:c r="J330" s="54" t="n">
        <x:v>0.50949</x:v>
      </x:c>
      <x:c r="K330" s="54" t="n">
        <x:v>0.18772</x:v>
      </x:c>
      <x:c r="L330" s="54" t="n">
        <x:v>0.30285</x:v>
      </x:c>
      <x:c r="M330" s="54" t="n">
        <x:v>0.62191</x:v>
      </x:c>
      <x:c r="N330" s="56" t="n">
        <x:v>-59.61</x:v>
      </x:c>
      <x:c r="O330" s="56" t="n">
        <x:v>0.13</x:v>
      </x:c>
      <x:c r="P330" s="56" t="n">
        <x:v>2.62</x:v>
      </x:c>
      <x:c r="Q330" s="56" t="n">
        <x:v>86.3</x:v>
      </x:c>
      <x:c r="R330" t="str">
        <x:v>X</x:v>
      </x:c>
      <x:c r="S330" s="102" t="n">
        <x:v>100</x:v>
      </x:c>
      <x:c r="T330" t="str">
        <x:v>VALID</x:v>
      </x:c>
      <x:c r="U330" t="n">
        <x:v>1595</x:v>
      </x:c>
      <x:c r="V330" t="str">
        <x:v>Pasted text(56).txt</x:v>
      </x:c>
    </x:row>
    <x:row r="331">
      <x:c r="A331" t="str">
        <x:v>S05</x:v>
      </x:c>
      <x:c r="B331" t="str">
        <x:v>1.28 validated five-run session</x:v>
      </x:c>
      <x:c r="C331" s="54" t="n">
        <x:v>1.28</x:v>
      </x:c>
      <x:c r="D331" t="n">
        <x:v>1</x:v>
      </x:c>
      <x:c r="E331" t="n">
        <x:v>1</x:v>
      </x:c>
      <x:c r="F331" t="str">
        <x:v>SEARCH</x:v>
      </x:c>
      <x:c r="G331" t="n">
        <x:v>5</x:v>
      </x:c>
      <x:c r="H331" s="54" t="n">
        <x:v>7</x:v>
      </x:c>
      <x:c r="I331" s="54" t="n">
        <x:v>0.63734</x:v>
      </x:c>
      <x:c r="J331" s="54" t="n">
        <x:v>0.63776</x:v>
      </x:c>
      <x:c r="K331" s="54" t="n">
        <x:v>0.23151</x:v>
      </x:c>
      <x:c r="L331" s="54" t="n">
        <x:v>0.35281</x:v>
      </x:c>
      <x:c r="M331" s="54" t="n">
        <x:v>0.76497</x:v>
      </x:c>
      <x:c r="N331" s="56" t="n">
        <x:v>-50.21</x:v>
      </x:c>
      <x:c r="O331" s="56" t="n">
        <x:v>1.35</x:v>
      </x:c>
      <x:c r="P331" s="56" t="n">
        <x:v>1.01</x:v>
      </x:c>
      <x:c r="Q331" s="56" t="n">
        <x:v>89.8</x:v>
      </x:c>
      <x:c r="R331" t="str">
        <x:v>X</x:v>
      </x:c>
      <x:c r="S331" s="102" t="n">
        <x:v>100</x:v>
      </x:c>
      <x:c r="T331" t="str">
        <x:v>VALID</x:v>
      </x:c>
      <x:c r="U331" t="n">
        <x:v>1596</x:v>
      </x:c>
      <x:c r="V331" t="str">
        <x:v>Pasted text(56).txt</x:v>
      </x:c>
    </x:row>
    <x:row r="332">
      <x:c r="A332" t="str">
        <x:v>S05</x:v>
      </x:c>
      <x:c r="B332" t="str">
        <x:v>1.28 validated five-run session</x:v>
      </x:c>
      <x:c r="C332" s="54" t="n">
        <x:v>1.28</x:v>
      </x:c>
      <x:c r="D332" t="n">
        <x:v>1</x:v>
      </x:c>
      <x:c r="E332" t="n">
        <x:v>1</x:v>
      </x:c>
      <x:c r="F332" t="str">
        <x:v>SEARCH</x:v>
      </x:c>
      <x:c r="G332" t="n">
        <x:v>6</x:v>
      </x:c>
      <x:c r="H332" s="54" t="n">
        <x:v>8</x:v>
      </x:c>
      <x:c r="I332" s="54" t="n">
        <x:v>0.7775</x:v>
      </x:c>
      <x:c r="J332" s="54" t="n">
        <x:v>0.77554</x:v>
      </x:c>
      <x:c r="K332" s="54" t="n">
        <x:v>0.2677</x:v>
      </x:c>
      <x:c r="L332" s="54" t="n">
        <x:v>0.43766</x:v>
      </x:c>
      <x:c r="M332" s="54" t="n">
        <x:v>0.93005</x:v>
      </x:c>
      <x:c r="N332" s="56" t="n">
        <x:v>-39.26</x:v>
      </x:c>
      <x:c r="O332" s="56" t="n">
        <x:v>1.95</x:v>
      </x:c>
      <x:c r="P332" s="56" t="n">
        <x:v>1.71</x:v>
      </x:c>
      <x:c r="Q332" s="56" t="n">
        <x:v>92</x:v>
      </x:c>
      <x:c r="R332" t="str">
        <x:v>X</x:v>
      </x:c>
      <x:c r="S332" s="102" t="n">
        <x:v>100</x:v>
      </x:c>
      <x:c r="T332" t="str">
        <x:v>VALID</x:v>
      </x:c>
      <x:c r="U332" t="n">
        <x:v>1597</x:v>
      </x:c>
      <x:c r="V332" t="str">
        <x:v>Pasted text(56).txt</x:v>
      </x:c>
    </x:row>
    <x:row r="333">
      <x:c r="A333" t="str">
        <x:v>S05</x:v>
      </x:c>
      <x:c r="B333" t="str">
        <x:v>1.28 validated five-run session</x:v>
      </x:c>
      <x:c r="C333" s="54" t="n">
        <x:v>1.28</x:v>
      </x:c>
      <x:c r="D333" t="n">
        <x:v>1</x:v>
      </x:c>
      <x:c r="E333" t="n">
        <x:v>1</x:v>
      </x:c>
      <x:c r="F333" t="str">
        <x:v>SEARCH</x:v>
      </x:c>
      <x:c r="G333" t="n">
        <x:v>7</x:v>
      </x:c>
      <x:c r="H333" s="54" t="n">
        <x:v>8.5</x:v>
      </x:c>
      <x:c r="I333" s="54" t="n">
        <x:v>0.83296</x:v>
      </x:c>
      <x:c r="J333" s="54" t="n">
        <x:v>0.82556</x:v>
      </x:c>
      <x:c r="K333" s="54" t="n">
        <x:v>0.29245</x:v>
      </x:c>
      <x:c r="L333" s="54" t="n">
        <x:v>0.4638</x:v>
      </x:c>
      <x:c r="M333" s="54" t="n">
        <x:v>0.99127</x:v>
      </x:c>
      <x:c r="N333" s="56" t="n">
        <x:v>-34.93</x:v>
      </x:c>
      <x:c r="O333" s="56" t="n">
        <x:v>0.69</x:v>
      </x:c>
      <x:c r="P333" s="56" t="n">
        <x:v>1.97</x:v>
      </x:c>
      <x:c r="Q333" s="56" t="n">
        <x:v>91.3</x:v>
      </x:c>
      <x:c r="R333" t="str">
        <x:v>X</x:v>
      </x:c>
      <x:c r="S333" s="102" t="n">
        <x:v>100</x:v>
      </x:c>
      <x:c r="T333" t="str">
        <x:v>VALID</x:v>
      </x:c>
      <x:c r="U333" t="n">
        <x:v>1598</x:v>
      </x:c>
      <x:c r="V333" t="str">
        <x:v>Pasted text(56).txt</x:v>
      </x:c>
    </x:row>
    <x:row r="334">
      <x:c r="A334" t="str">
        <x:v>S05</x:v>
      </x:c>
      <x:c r="B334" t="str">
        <x:v>1.28 validated five-run session</x:v>
      </x:c>
      <x:c r="C334" s="54" t="n">
        <x:v>1.28</x:v>
      </x:c>
      <x:c r="D334" t="n">
        <x:v>1</x:v>
      </x:c>
      <x:c r="E334" t="n">
        <x:v>1</x:v>
      </x:c>
      <x:c r="F334" t="str">
        <x:v>SEARCH</x:v>
      </x:c>
      <x:c r="G334" t="n">
        <x:v>8</x:v>
      </x:c>
      <x:c r="H334" s="54" t="n">
        <x:v>9</x:v>
      </x:c>
      <x:c r="I334" s="54" t="n">
        <x:v>0.88963</x:v>
      </x:c>
      <x:c r="J334" s="54" t="n">
        <x:v>0.89323</x:v>
      </x:c>
      <x:c r="K334" s="54" t="n">
        <x:v>0.301</x:v>
      </x:c>
      <x:c r="L334" s="54" t="n">
        <x:v>0.50282</x:v>
      </x:c>
      <x:c r="M334" s="54" t="n">
        <x:v>1.06837</x:v>
      </x:c>
      <x:c r="N334" s="56" t="n">
        <x:v>-30.5</x:v>
      </x:c>
      <x:c r="O334" s="56" t="n">
        <x:v>1.93</x:v>
      </x:c>
      <x:c r="P334" s="56" t="n">
        <x:v>1.93</x:v>
      </x:c>
      <x:c r="Q334" s="56" t="n">
        <x:v>91.7</x:v>
      </x:c>
      <x:c r="R334" t="str">
        <x:v>X</x:v>
      </x:c>
      <x:c r="S334" s="102" t="n">
        <x:v>100</x:v>
      </x:c>
      <x:c r="T334" t="str">
        <x:v>VALID</x:v>
      </x:c>
      <x:c r="U334" t="n">
        <x:v>1599</x:v>
      </x:c>
      <x:c r="V334" t="str">
        <x:v>Pasted text(56).txt</x:v>
      </x:c>
    </x:row>
    <x:row r="335">
      <x:c r="A335" t="str">
        <x:v>S05</x:v>
      </x:c>
      <x:c r="B335" t="str">
        <x:v>1.28 validated five-run session</x:v>
      </x:c>
      <x:c r="C335" s="54" t="n">
        <x:v>1.28</x:v>
      </x:c>
      <x:c r="D335" t="n">
        <x:v>1</x:v>
      </x:c>
      <x:c r="E335" t="n">
        <x:v>1</x:v>
      </x:c>
      <x:c r="F335" t="str">
        <x:v>SEARCH</x:v>
      </x:c>
      <x:c r="G335" t="n">
        <x:v>9</x:v>
      </x:c>
      <x:c r="H335" s="54" t="n">
        <x:v>9.5</x:v>
      </x:c>
      <x:c r="I335" s="54" t="n">
        <x:v>0.95104</x:v>
      </x:c>
      <x:c r="J335" s="54" t="n">
        <x:v>0.94407</x:v>
      </x:c>
      <x:c r="K335" s="54" t="n">
        <x:v>0.3043</x:v>
      </x:c>
      <x:c r="L335" s="54" t="n">
        <x:v>0.5254</x:v>
      </x:c>
      <x:c r="M335" s="54" t="n">
        <x:v>1.12261</x:v>
      </x:c>
      <x:c r="N335" s="56" t="n">
        <x:v>-25.7</x:v>
      </x:c>
      <x:c r="O335" s="56" t="n">
        <x:v>0.07</x:v>
      </x:c>
      <x:c r="P335" s="56" t="n">
        <x:v>1.32</x:v>
      </x:c>
      <x:c r="Q335" s="56" t="n">
        <x:v>93.5</x:v>
      </x:c>
      <x:c r="R335" t="str">
        <x:v>X</x:v>
      </x:c>
      <x:c r="S335" s="102" t="n">
        <x:v>100</x:v>
      </x:c>
      <x:c r="T335" t="str">
        <x:v>VALID</x:v>
      </x:c>
      <x:c r="U335" t="n">
        <x:v>1600</x:v>
      </x:c>
      <x:c r="V335" t="str">
        <x:v>Pasted text(56).txt</x:v>
      </x:c>
    </x:row>
    <x:row r="336">
      <x:c r="A336" t="str">
        <x:v>S05</x:v>
      </x:c>
      <x:c r="B336" t="str">
        <x:v>1.28 validated five-run session</x:v>
      </x:c>
      <x:c r="C336" s="54" t="n">
        <x:v>1.28</x:v>
      </x:c>
      <x:c r="D336" t="n">
        <x:v>1</x:v>
      </x:c>
      <x:c r="E336" t="n">
        <x:v>1</x:v>
      </x:c>
      <x:c r="F336" t="str">
        <x:v>SEARCH</x:v>
      </x:c>
      <x:c r="G336" t="n">
        <x:v>10</x:v>
      </x:c>
      <x:c r="H336" s="54" t="n">
        <x:v>10</x:v>
      </x:c>
      <x:c r="I336" s="54" t="n">
        <x:v>1.01795</x:v>
      </x:c>
      <x:c r="J336" s="54" t="n">
        <x:v>1.02177</x:v>
      </x:c>
      <x:c r="K336" s="54" t="n">
        <x:v>0.33702</x:v>
      </x:c>
      <x:c r="L336" s="54" t="n">
        <x:v>0.55693</x:v>
      </x:c>
      <x:c r="M336" s="54" t="n">
        <x:v>1.21183</x:v>
      </x:c>
      <x:c r="N336" s="56" t="n">
        <x:v>-20.47</x:v>
      </x:c>
      <x:c r="O336" s="56" t="n">
        <x:v>1.53</x:v>
      </x:c>
      <x:c r="P336" s="56" t="n">
        <x:v>1.62</x:v>
      </x:c>
      <x:c r="Q336" s="56" t="n">
        <x:v>92.5</x:v>
      </x:c>
      <x:c r="R336" t="str">
        <x:v>X</x:v>
      </x:c>
      <x:c r="S336" s="102" t="n">
        <x:v>100</x:v>
      </x:c>
      <x:c r="T336" t="str">
        <x:v>VALID</x:v>
      </x:c>
      <x:c r="U336" t="n">
        <x:v>1601</x:v>
      </x:c>
      <x:c r="V336" t="str">
        <x:v>Pasted text(56).txt</x:v>
      </x:c>
    </x:row>
    <x:row r="337">
      <x:c r="A337" t="str">
        <x:v>S05</x:v>
      </x:c>
      <x:c r="B337" t="str">
        <x:v>1.28 validated five-run session</x:v>
      </x:c>
      <x:c r="C337" s="54" t="n">
        <x:v>1.28</x:v>
      </x:c>
      <x:c r="D337" t="n">
        <x:v>1</x:v>
      </x:c>
      <x:c r="E337" t="n">
        <x:v>1</x:v>
      </x:c>
      <x:c r="F337" t="str">
        <x:v>SEARCH</x:v>
      </x:c>
      <x:c r="G337" t="n">
        <x:v>11</x:v>
      </x:c>
      <x:c r="H337" s="54" t="n">
        <x:v>10.5</x:v>
      </x:c>
      <x:c r="I337" s="54" t="n">
        <x:v>1.06518</x:v>
      </x:c>
      <x:c r="J337" s="54" t="n">
        <x:v>1.06524</x:v>
      </x:c>
      <x:c r="K337" s="54" t="n">
        <x:v>0.34154</x:v>
      </x:c>
      <x:c r="L337" s="54" t="n">
        <x:v>0.57205</x:v>
      </x:c>
      <x:c r="M337" s="54" t="n">
        <x:v>1.25658</x:v>
      </x:c>
      <x:c r="N337" s="56" t="n">
        <x:v>-16.78</x:v>
      </x:c>
      <x:c r="O337" s="56" t="n">
        <x:v>1.36</x:v>
      </x:c>
      <x:c r="P337" s="56" t="n">
        <x:v>0.93</x:v>
      </x:c>
      <x:c r="Q337" s="56" t="n">
        <x:v>92.6</x:v>
      </x:c>
      <x:c r="R337" t="str">
        <x:v>X</x:v>
      </x:c>
      <x:c r="S337" s="102" t="n">
        <x:v>100</x:v>
      </x:c>
      <x:c r="T337" t="str">
        <x:v>VALID</x:v>
      </x:c>
      <x:c r="U337" t="n">
        <x:v>1602</x:v>
      </x:c>
      <x:c r="V337" t="str">
        <x:v>Pasted text(56).txt</x:v>
      </x:c>
    </x:row>
    <x:row r="338">
      <x:c r="A338" t="str">
        <x:v>S05</x:v>
      </x:c>
      <x:c r="B338" t="str">
        <x:v>1.28 validated five-run session</x:v>
      </x:c>
      <x:c r="C338" s="54" t="n">
        <x:v>1.28</x:v>
      </x:c>
      <x:c r="D338" t="n">
        <x:v>1</x:v>
      </x:c>
      <x:c r="E338" t="n">
        <x:v>1</x:v>
      </x:c>
      <x:c r="F338" t="str">
        <x:v>SEARCH</x:v>
      </x:c>
      <x:c r="G338" t="n">
        <x:v>12</x:v>
      </x:c>
      <x:c r="H338" s="54" t="n">
        <x:v>11</x:v>
      </x:c>
      <x:c r="I338" s="54" t="n">
        <x:v>1.17847</x:v>
      </x:c>
      <x:c r="J338" s="54" t="n">
        <x:v>1.18076</x:v>
      </x:c>
      <x:c r="K338" s="54" t="n">
        <x:v>0.37326</x:v>
      </x:c>
      <x:c r="L338" s="54" t="n">
        <x:v>0.60751</x:v>
      </x:c>
      <x:c r="M338" s="54" t="n">
        <x:v>1.37935</x:v>
      </x:c>
      <x:c r="N338" s="56" t="n">
        <x:v>-7.93</x:v>
      </x:c>
      <x:c r="O338" s="56" t="n">
        <x:v>0.31</x:v>
      </x:c>
      <x:c r="P338" s="56" t="n">
        <x:v>0.52</x:v>
      </x:c>
      <x:c r="Q338" s="56" t="n">
        <x:v>94.4</x:v>
      </x:c>
      <x:c r="R338" t="str">
        <x:v>X</x:v>
      </x:c>
      <x:c r="S338" s="102" t="n">
        <x:v>100</x:v>
      </x:c>
      <x:c r="T338" t="str">
        <x:v>VALID</x:v>
      </x:c>
      <x:c r="U338" t="n">
        <x:v>1603</x:v>
      </x:c>
      <x:c r="V338" t="str">
        <x:v>Pasted text(56).txt</x:v>
      </x:c>
    </x:row>
    <x:row r="339">
      <x:c r="A339" t="str">
        <x:v>S05</x:v>
      </x:c>
      <x:c r="B339" t="str">
        <x:v>1.28 validated five-run session</x:v>
      </x:c>
      <x:c r="C339" s="54" t="n">
        <x:v>1.28</x:v>
      </x:c>
      <x:c r="D339" t="n">
        <x:v>1</x:v>
      </x:c>
      <x:c r="E339" t="n">
        <x:v>1</x:v>
      </x:c>
      <x:c r="F339" t="str">
        <x:v>SEARCH</x:v>
      </x:c>
      <x:c r="G339" t="n">
        <x:v>13</x:v>
      </x:c>
      <x:c r="H339" s="54" t="n">
        <x:v>11.25</x:v>
      </x:c>
      <x:c r="I339" s="54" t="n">
        <x:v>1.19205</x:v>
      </x:c>
      <x:c r="J339" s="54" t="n">
        <x:v>1.19238</x:v>
      </x:c>
      <x:c r="K339" s="54" t="n">
        <x:v>0.3828</x:v>
      </x:c>
      <x:c r="L339" s="54" t="n">
        <x:v>0.63149</x:v>
      </x:c>
      <x:c r="M339" s="54" t="n">
        <x:v>1.4028</x:v>
      </x:c>
      <x:c r="N339" s="56" t="n">
        <x:v>-6.87</x:v>
      </x:c>
      <x:c r="O339" s="56" t="n">
        <x:v>2.57</x:v>
      </x:c>
      <x:c r="P339" s="56" t="n">
        <x:v>1.77</x:v>
      </x:c>
      <x:c r="Q339" s="56" t="n">
        <x:v>93.7</x:v>
      </x:c>
      <x:c r="R339" t="str">
        <x:v>X</x:v>
      </x:c>
      <x:c r="S339" s="102" t="n">
        <x:v>100</x:v>
      </x:c>
      <x:c r="T339" t="str">
        <x:v>IN TARGET BAND</x:v>
      </x:c>
      <x:c r="U339" t="n">
        <x:v>1604</x:v>
      </x:c>
      <x:c r="V339" t="str">
        <x:v>Pasted text(56).txt</x:v>
      </x:c>
    </x:row>
    <x:row r="340">
      <x:c r="A340" t="str">
        <x:v>S05</x:v>
      </x:c>
      <x:c r="B340" t="str">
        <x:v>1.28 validated five-run session</x:v>
      </x:c>
      <x:c r="C340" s="54" t="n">
        <x:v>1.28</x:v>
      </x:c>
      <x:c r="D340" t="n">
        <x:v>1</x:v>
      </x:c>
      <x:c r="E340" t="n">
        <x:v>1</x:v>
      </x:c>
      <x:c r="F340" t="str">
        <x:v>FINE</x:v>
      </x:c>
      <x:c r="G340" t="n">
        <x:v>1</x:v>
      </x:c>
      <x:c r="H340" s="54" t="n">
        <x:v>10.25</x:v>
      </x:c>
      <x:c r="I340" s="54" t="n">
        <x:v>1.0529</x:v>
      </x:c>
      <x:c r="J340" s="54" t="n">
        <x:v>1.04734</x:v>
      </x:c>
      <x:c r="K340" s="54" t="n">
        <x:v>0.33364</x:v>
      </x:c>
      <x:c r="L340" s="54" t="n">
        <x:v>0.57451</x:v>
      </x:c>
      <x:c r="M340" s="54" t="n">
        <x:v>1.24043</x:v>
      </x:c>
      <x:c r="N340" s="56" t="n">
        <x:v>-17.74</x:v>
      </x:c>
      <x:c r="O340" s="56" t="n">
        <x:v>0.94</x:v>
      </x:c>
      <x:c r="P340" s="56" t="n">
        <x:v>1.5</x:v>
      </x:c>
      <x:c r="Q340" s="56" t="n">
        <x:v>92.2</x:v>
      </x:c>
      <x:c r="R340" t="str">
        <x:v>X</x:v>
      </x:c>
      <x:c r="S340" s="102" t="n">
        <x:v>100</x:v>
      </x:c>
      <x:c r="T340" t="str">
        <x:v>VALID</x:v>
      </x:c>
      <x:c r="U340" t="n">
        <x:v>1608</x:v>
      </x:c>
      <x:c r="V340" t="str">
        <x:v>Pasted text(56).txt</x:v>
      </x:c>
    </x:row>
    <x:row r="341">
      <x:c r="A341" t="str">
        <x:v>S05</x:v>
      </x:c>
      <x:c r="B341" t="str">
        <x:v>1.28 validated five-run session</x:v>
      </x:c>
      <x:c r="C341" s="54" t="n">
        <x:v>1.28</x:v>
      </x:c>
      <x:c r="D341" t="n">
        <x:v>1</x:v>
      </x:c>
      <x:c r="E341" t="n">
        <x:v>1</x:v>
      </x:c>
      <x:c r="F341" t="str">
        <x:v>FINE</x:v>
      </x:c>
      <x:c r="G341" t="n">
        <x:v>2</x:v>
      </x:c>
      <x:c r="H341" s="54" t="n">
        <x:v>10.5</x:v>
      </x:c>
      <x:c r="I341" s="54" t="n">
        <x:v>1.07216</x:v>
      </x:c>
      <x:c r="J341" s="54" t="n">
        <x:v>1.06671</x:v>
      </x:c>
      <x:c r="K341" s="54" t="n">
        <x:v>0.35851</x:v>
      </x:c>
      <x:c r="L341" s="54" t="n">
        <x:v>0.56183</x:v>
      </x:c>
      <x:c r="M341" s="54" t="n">
        <x:v>1.25822</x:v>
      </x:c>
      <x:c r="N341" s="56" t="n">
        <x:v>-16.24</x:v>
      </x:c>
      <x:c r="O341" s="56" t="n">
        <x:v>0.26</x:v>
      </x:c>
      <x:c r="P341" s="56" t="n">
        <x:v>1.04</x:v>
      </x:c>
      <x:c r="Q341" s="56" t="n">
        <x:v>92.4</x:v>
      </x:c>
      <x:c r="R341" t="str">
        <x:v>X</x:v>
      </x:c>
      <x:c r="S341" s="102" t="n">
        <x:v>100</x:v>
      </x:c>
      <x:c r="T341" t="str">
        <x:v>VALID</x:v>
      </x:c>
      <x:c r="U341" t="n">
        <x:v>1609</x:v>
      </x:c>
      <x:c r="V341" t="str">
        <x:v>Pasted text(56).txt</x:v>
      </x:c>
    </x:row>
    <x:row r="342">
      <x:c r="A342" t="str">
        <x:v>S05</x:v>
      </x:c>
      <x:c r="B342" t="str">
        <x:v>1.28 validated five-run session</x:v>
      </x:c>
      <x:c r="C342" s="54" t="n">
        <x:v>1.28</x:v>
      </x:c>
      <x:c r="D342" t="n">
        <x:v>1</x:v>
      </x:c>
      <x:c r="E342" t="n">
        <x:v>1</x:v>
      </x:c>
      <x:c r="F342" t="str">
        <x:v>FINE</x:v>
      </x:c>
      <x:c r="G342" t="n">
        <x:v>3</x:v>
      </x:c>
      <x:c r="H342" s="54" t="n">
        <x:v>10.75</x:v>
      </x:c>
      <x:c r="I342" s="54" t="n">
        <x:v>1.12551</x:v>
      </x:c>
      <x:c r="J342" s="54" t="n">
        <x:v>1.12431</x:v>
      </x:c>
      <x:c r="K342" s="54" t="n">
        <x:v>0.35789</x:v>
      </x:c>
      <x:c r="L342" s="54" t="n">
        <x:v>0.60154</x:v>
      </x:c>
      <x:c r="M342" s="54" t="n">
        <x:v>1.32443</x:v>
      </x:c>
      <x:c r="N342" s="56" t="n">
        <x:v>-12.07</x:v>
      </x:c>
      <x:c r="O342" s="56" t="n">
        <x:v>1.97</x:v>
      </x:c>
      <x:c r="P342" s="56" t="n">
        <x:v>1.49</x:v>
      </x:c>
      <x:c r="Q342" s="56" t="n">
        <x:v>92.9</x:v>
      </x:c>
      <x:c r="R342" t="str">
        <x:v>X</x:v>
      </x:c>
      <x:c r="S342" s="102" t="n">
        <x:v>100</x:v>
      </x:c>
      <x:c r="T342" t="str">
        <x:v>VALID</x:v>
      </x:c>
      <x:c r="U342" t="n">
        <x:v>1610</x:v>
      </x:c>
      <x:c r="V342" t="str">
        <x:v>Pasted text(56).txt</x:v>
      </x:c>
    </x:row>
    <x:row r="343">
      <x:c r="A343" t="str">
        <x:v>S05</x:v>
      </x:c>
      <x:c r="B343" t="str">
        <x:v>1.28 validated five-run session</x:v>
      </x:c>
      <x:c r="C343" s="54" t="n">
        <x:v>1.28</x:v>
      </x:c>
      <x:c r="D343" t="n">
        <x:v>1</x:v>
      </x:c>
      <x:c r="E343" t="n">
        <x:v>1</x:v>
      </x:c>
      <x:c r="F343" t="str">
        <x:v>FINE</x:v>
      </x:c>
      <x:c r="G343" t="n">
        <x:v>4</x:v>
      </x:c>
      <x:c r="H343" s="54" t="n">
        <x:v>11</x:v>
      </x:c>
      <x:c r="I343" s="54" t="n">
        <x:v>1.17569</x:v>
      </x:c>
      <x:c r="J343" s="54" t="n">
        <x:v>1.16771</x:v>
      </x:c>
      <x:c r="K343" s="54" t="n">
        <x:v>0.38028</x:v>
      </x:c>
      <x:c r="L343" s="54" t="n">
        <x:v>0.64286</x:v>
      </x:c>
      <x:c r="M343" s="54" t="n">
        <x:v>1.3865</x:v>
      </x:c>
      <x:c r="N343" s="56" t="n">
        <x:v>-8.15</x:v>
      </x:c>
      <x:c r="O343" s="56" t="n">
        <x:v>0.43</x:v>
      </x:c>
      <x:c r="P343" s="56" t="n">
        <x:v>1.44</x:v>
      </x:c>
      <x:c r="Q343" s="56" t="n">
        <x:v>93.5</x:v>
      </x:c>
      <x:c r="R343" t="str">
        <x:v>X</x:v>
      </x:c>
      <x:c r="S343" s="102" t="n">
        <x:v>100</x:v>
      </x:c>
      <x:c r="T343" t="str">
        <x:v>VALID</x:v>
      </x:c>
      <x:c r="U343" t="n">
        <x:v>1611</x:v>
      </x:c>
      <x:c r="V343" t="str">
        <x:v>Pasted text(56).txt</x:v>
      </x:c>
    </x:row>
    <x:row r="344">
      <x:c r="A344" t="str">
        <x:v>S05</x:v>
      </x:c>
      <x:c r="B344" t="str">
        <x:v>1.28 validated five-run session</x:v>
      </x:c>
      <x:c r="C344" s="54" t="n">
        <x:v>1.28</x:v>
      </x:c>
      <x:c r="D344" t="n">
        <x:v>1</x:v>
      </x:c>
      <x:c r="E344" t="n">
        <x:v>1</x:v>
      </x:c>
      <x:c r="F344" t="str">
        <x:v>FINE</x:v>
      </x:c>
      <x:c r="G344" t="n">
        <x:v>5</x:v>
      </x:c>
      <x:c r="H344" s="54" t="n">
        <x:v>11.25</x:v>
      </x:c>
      <x:c r="I344" s="54" t="n">
        <x:v>1.20043</x:v>
      </x:c>
      <x:c r="J344" s="54" t="n">
        <x:v>1.20104</x:v>
      </x:c>
      <x:c r="K344" s="54" t="n">
        <x:v>0.38769</x:v>
      </x:c>
      <x:c r="L344" s="54" t="n">
        <x:v>0.6426</x:v>
      </x:c>
      <x:c r="M344" s="54" t="n">
        <x:v>1.41652</x:v>
      </x:c>
      <x:c r="N344" s="56" t="n">
        <x:v>-6.22</x:v>
      </x:c>
      <x:c r="O344" s="56" t="n">
        <x:v>0.08</x:v>
      </x:c>
      <x:c r="P344" s="56" t="n">
        <x:v>0.14</x:v>
      </x:c>
      <x:c r="Q344" s="56" t="n">
        <x:v>94</x:v>
      </x:c>
      <x:c r="R344" t="str">
        <x:v>X</x:v>
      </x:c>
      <x:c r="S344" s="102" t="n">
        <x:v>100</x:v>
      </x:c>
      <x:c r="T344" t="str">
        <x:v>IN TARGET BAND</x:v>
      </x:c>
      <x:c r="U344" t="n">
        <x:v>1612</x:v>
      </x:c>
      <x:c r="V344" t="str">
        <x:v>Pasted text(56).txt</x:v>
      </x:c>
    </x:row>
    <x:row r="345">
      <x:c r="A345" t="str">
        <x:v>S05</x:v>
      </x:c>
      <x:c r="B345" t="str">
        <x:v>1.28 validated five-run session</x:v>
      </x:c>
      <x:c r="C345" s="54" t="n">
        <x:v>1.28</x:v>
      </x:c>
      <x:c r="D345" t="n">
        <x:v>1</x:v>
      </x:c>
      <x:c r="E345" t="n">
        <x:v>1</x:v>
      </x:c>
      <x:c r="F345" t="str">
        <x:v>FINE</x:v>
      </x:c>
      <x:c r="G345" t="n">
        <x:v>6</x:v>
      </x:c>
      <x:c r="H345" s="54" t="n">
        <x:v>11.5</x:v>
      </x:c>
      <x:c r="I345" s="54" t="n">
        <x:v>1.21612</x:v>
      </x:c>
      <x:c r="J345" s="54" t="n">
        <x:v>1.21254</x:v>
      </x:c>
      <x:c r="K345" s="54" t="n">
        <x:v>0.40017</x:v>
      </x:c>
      <x:c r="L345" s="54" t="n">
        <x:v>0.65808</x:v>
      </x:c>
      <x:c r="M345" s="54" t="n">
        <x:v>1.43664</x:v>
      </x:c>
      <x:c r="N345" s="56" t="n">
        <x:v>-4.99</x:v>
      </x:c>
      <x:c r="O345" s="56" t="n">
        <x:v>0.1</x:v>
      </x:c>
      <x:c r="P345" s="56" t="n">
        <x:v>0.57</x:v>
      </x:c>
      <x:c r="Q345" s="56" t="n">
        <x:v>93.8</x:v>
      </x:c>
      <x:c r="R345" t="str">
        <x:v>X</x:v>
      </x:c>
      <x:c r="S345" s="102" t="n">
        <x:v>100</x:v>
      </x:c>
      <x:c r="T345" t="str">
        <x:v>IN TARGET BAND</x:v>
      </x:c>
      <x:c r="U345" t="n">
        <x:v>1613</x:v>
      </x:c>
      <x:c r="V345" t="str">
        <x:v>Pasted text(56).txt</x:v>
      </x:c>
    </x:row>
    <x:row r="346">
      <x:c r="A346" t="str">
        <x:v>S05</x:v>
      </x:c>
      <x:c r="B346" t="str">
        <x:v>1.28 validated five-run session</x:v>
      </x:c>
      <x:c r="C346" s="54" t="n">
        <x:v>1.28</x:v>
      </x:c>
      <x:c r="D346" t="n">
        <x:v>1</x:v>
      </x:c>
      <x:c r="E346" t="n">
        <x:v>1</x:v>
      </x:c>
      <x:c r="F346" t="str">
        <x:v>FINE</x:v>
      </x:c>
      <x:c r="G346" t="n">
        <x:v>7</x:v>
      </x:c>
      <x:c r="H346" s="54" t="n">
        <x:v>11.75</x:v>
      </x:c>
      <x:c r="I346" s="54" t="n">
        <x:v>1.26279</x:v>
      </x:c>
      <x:c r="J346" s="54" t="n">
        <x:v>1.25785</x:v>
      </x:c>
      <x:c r="K346" s="54" t="n">
        <x:v>0.4005</x:v>
      </x:c>
      <x:c r="L346" s="54" t="n">
        <x:v>0.68269</x:v>
      </x:c>
      <x:c r="M346" s="54" t="n">
        <x:v>1.48632</x:v>
      </x:c>
      <x:c r="N346" s="56" t="n">
        <x:v>-1.34</x:v>
      </x:c>
      <x:c r="O346" s="56" t="n">
        <x:v>0.32</x:v>
      </x:c>
      <x:c r="P346" s="56" t="n">
        <x:v>0.88</x:v>
      </x:c>
      <x:c r="Q346" s="56" t="n">
        <x:v>92.9</x:v>
      </x:c>
      <x:c r="R346" t="str">
        <x:v>X</x:v>
      </x:c>
      <x:c r="S346" s="102" t="n">
        <x:v>100</x:v>
      </x:c>
      <x:c r="T346" t="str">
        <x:v>IN TARGET BAND</x:v>
      </x:c>
      <x:c r="U346" t="n">
        <x:v>1614</x:v>
      </x:c>
      <x:c r="V346" t="str">
        <x:v>Pasted text(56).txt</x:v>
      </x:c>
    </x:row>
    <x:row r="347">
      <x:c r="A347" t="str">
        <x:v>S05</x:v>
      </x:c>
      <x:c r="B347" t="str">
        <x:v>1.28 validated five-run session</x:v>
      </x:c>
      <x:c r="C347" s="54" t="n">
        <x:v>1.28</x:v>
      </x:c>
      <x:c r="D347" t="n">
        <x:v>1</x:v>
      </x:c>
      <x:c r="E347" t="n">
        <x:v>1</x:v>
      </x:c>
      <x:c r="F347" t="str">
        <x:v>FINE</x:v>
      </x:c>
      <x:c r="G347" t="n">
        <x:v>8</x:v>
      </x:c>
      <x:c r="H347" s="54" t="n">
        <x:v>12</x:v>
      </x:c>
      <x:c r="I347" s="54" t="n">
        <x:v>1.27568</x:v>
      </x:c>
      <x:c r="J347" s="54" t="n">
        <x:v>1.28809</x:v>
      </x:c>
      <x:c r="K347" s="54" t="n">
        <x:v>0.41487</x:v>
      </x:c>
      <x:c r="L347" s="54" t="n">
        <x:v>0.66452</x:v>
      </x:c>
      <x:c r="M347" s="54" t="n">
        <x:v>1.50765</x:v>
      </x:c>
      <x:c r="N347" s="56" t="n">
        <x:v>-0.34</x:v>
      </x:c>
      <x:c r="O347" s="56" t="n">
        <x:v>0.05</x:v>
      </x:c>
      <x:c r="P347" s="56" t="n">
        <x:v>1.7</x:v>
      </x:c>
      <x:c r="Q347" s="56" t="n">
        <x:v>93.8</x:v>
      </x:c>
      <x:c r="R347" t="str">
        <x:v>X</x:v>
      </x:c>
      <x:c r="S347" s="102" t="n">
        <x:v>100</x:v>
      </x:c>
      <x:c r="T347" t="str">
        <x:v>IN TARGET BAND</x:v>
      </x:c>
      <x:c r="U347" t="n">
        <x:v>1615</x:v>
      </x:c>
      <x:c r="V347" t="str">
        <x:v>Pasted text(56).txt</x:v>
      </x:c>
    </x:row>
    <x:row r="348">
      <x:c r="A348" t="str">
        <x:v>S05</x:v>
      </x:c>
      <x:c r="B348" t="str">
        <x:v>1.28 validated five-run session</x:v>
      </x:c>
      <x:c r="C348" s="54" t="n">
        <x:v>1.28</x:v>
      </x:c>
      <x:c r="D348" t="n">
        <x:v>1</x:v>
      </x:c>
      <x:c r="E348" t="n">
        <x:v>1</x:v>
      </x:c>
      <x:c r="F348" t="str">
        <x:v>FINE</x:v>
      </x:c>
      <x:c r="G348" t="n">
        <x:v>9</x:v>
      </x:c>
      <x:c r="H348" s="54" t="n">
        <x:v>12.25</x:v>
      </x:c>
      <x:c r="I348" s="54" t="n">
        <x:v>1.31622</x:v>
      </x:c>
      <x:c r="J348" s="54" t="n">
        <x:v>1.31726</x:v>
      </x:c>
      <x:c r="K348" s="54" t="n">
        <x:v>0.41822</x:v>
      </x:c>
      <x:c r="L348" s="54" t="n">
        <x:v>0.69192</x:v>
      </x:c>
      <x:c r="M348" s="54" t="n">
        <x:v>1.54567</x:v>
      </x:c>
      <x:c r="N348" s="56" t="n">
        <x:v>2.83</x:v>
      </x:c>
      <x:c r="O348" s="56" t="n">
        <x:v>1.5</x:v>
      </x:c>
      <x:c r="P348" s="56" t="n">
        <x:v>1.13</x:v>
      </x:c>
      <x:c r="Q348" s="56" t="n">
        <x:v>93.6</x:v>
      </x:c>
      <x:c r="R348" t="str">
        <x:v>X</x:v>
      </x:c>
      <x:c r="S348" s="102" t="n">
        <x:v>100</x:v>
      </x:c>
      <x:c r="T348" t="str">
        <x:v>IN TARGET BAND</x:v>
      </x:c>
      <x:c r="U348" t="n">
        <x:v>1616</x:v>
      </x:c>
      <x:c r="V348" t="str">
        <x:v>Pasted text(56).txt</x:v>
      </x:c>
    </x:row>
    <x:row r="349">
      <x:c r="A349" t="str">
        <x:v>S05</x:v>
      </x:c>
      <x:c r="B349" t="str">
        <x:v>1.28 validated five-run session</x:v>
      </x:c>
      <x:c r="C349" s="54" t="n">
        <x:v>1.28</x:v>
      </x:c>
      <x:c r="D349" t="n">
        <x:v>1</x:v>
      </x:c>
      <x:c r="E349" t="n">
        <x:v>1</x:v>
      </x:c>
      <x:c r="F349" t="str">
        <x:v>FINAL</x:v>
      </x:c>
      <x:c r="G349" t="n">
        <x:v>1</x:v>
      </x:c>
      <x:c r="H349" s="54" t="n">
        <x:v>12</x:v>
      </x:c>
      <x:c r="I349" s="54" t="n">
        <x:v>1.28862</x:v>
      </x:c>
      <x:c r="J349" s="54" t="n">
        <x:v>1.28017</x:v>
      </x:c>
      <x:c r="K349" s="54" t="n">
        <x:v>0.42786</x:v>
      </x:c>
      <x:c r="L349" s="54" t="n">
        <x:v>0.66769</x:v>
      </x:c>
      <x:c r="M349" s="54" t="n">
        <x:v>1.5061</x:v>
      </x:c>
      <x:c r="N349" s="56" t="n">
        <x:v>0.67</x:v>
      </x:c>
      <x:c r="O349" s="56" t="n">
        <x:v>1.87</x:v>
      </x:c>
      <x:c r="P349" s="56" t="n">
        <x:v>1.71</x:v>
      </x:c>
      <x:c r="Q349" s="56" t="n">
        <x:v>93.7</x:v>
      </x:c>
      <x:c r="R349" t="str">
        <x:v>X</x:v>
      </x:c>
      <x:c r="S349" s="102" t="n">
        <x:v>100</x:v>
      </x:c>
      <x:c r="T349" t="str">
        <x:v>IN TARGET BAND</x:v>
      </x:c>
      <x:c r="U349" t="n">
        <x:v>1619</x:v>
      </x:c>
      <x:c r="V349" t="str">
        <x:v>Pasted text(56).txt</x:v>
      </x:c>
    </x:row>
    <x:row r="350">
      <x:c r="A350" t="str">
        <x:v>S05</x:v>
      </x:c>
      <x:c r="B350" t="str">
        <x:v>1.28 validated five-run session</x:v>
      </x:c>
      <x:c r="C350" s="54" t="n">
        <x:v>1.28</x:v>
      </x:c>
      <x:c r="D350" t="n">
        <x:v>1</x:v>
      </x:c>
      <x:c r="E350" t="n">
        <x:v>1</x:v>
      </x:c>
      <x:c r="F350" t="str">
        <x:v>FINAL</x:v>
      </x:c>
      <x:c r="G350" t="n">
        <x:v>2</x:v>
      </x:c>
      <x:c r="H350" s="54" t="n">
        <x:v>12</x:v>
      </x:c>
      <x:c r="I350" s="54" t="n">
        <x:v>1.26164</x:v>
      </x:c>
      <x:c r="J350" s="54" t="n">
        <x:v>1.25251</x:v>
      </x:c>
      <x:c r="K350" s="54" t="n">
        <x:v>0.41485</x:v>
      </x:c>
      <x:c r="L350" s="54" t="n">
        <x:v>0.67161</x:v>
      </x:c>
      <x:c r="M350" s="54" t="n">
        <x:v>1.48061</x:v>
      </x:c>
      <x:c r="N350" s="56" t="n">
        <x:v>-1.43</x:v>
      </x:c>
      <x:c r="O350" s="56" t="n">
        <x:v>0.32</x:v>
      </x:c>
      <x:c r="P350" s="56" t="n">
        <x:v>1.18</x:v>
      </x:c>
      <x:c r="Q350" s="56" t="n">
        <x:v>93.3</x:v>
      </x:c>
      <x:c r="R350" t="str">
        <x:v>X</x:v>
      </x:c>
      <x:c r="S350" s="102" t="n">
        <x:v>100</x:v>
      </x:c>
      <x:c r="T350" t="str">
        <x:v>IN TARGET BAND</x:v>
      </x:c>
      <x:c r="U350" t="n">
        <x:v>1620</x:v>
      </x:c>
      <x:c r="V350" t="str">
        <x:v>Pasted text(56).txt</x:v>
      </x:c>
    </x:row>
    <x:row r="351">
      <x:c r="A351" t="str">
        <x:v>S05</x:v>
      </x:c>
      <x:c r="B351" t="str">
        <x:v>1.28 validated five-run session</x:v>
      </x:c>
      <x:c r="C351" s="54" t="n">
        <x:v>1.28</x:v>
      </x:c>
      <x:c r="D351" t="n">
        <x:v>2</x:v>
      </x:c>
      <x:c r="E351" t="n">
        <x:v>1</x:v>
      </x:c>
      <x:c r="F351" t="str">
        <x:v>SEARCH</x:v>
      </x:c>
      <x:c r="G351" t="n">
        <x:v>1</x:v>
      </x:c>
      <x:c r="H351" s="54" t="n">
        <x:v>1</x:v>
      </x:c>
      <x:c r="I351" s="54" t="n">
        <x:v>0.01478</x:v>
      </x:c>
      <x:c r="J351" s="54" t="n">
        <x:v>0.01575</x:v>
      </x:c>
      <x:c r="K351" s="54" t="n">
        <x:v>0.01848</x:v>
      </x:c>
      <x:c r="L351" s="54" t="n">
        <x:v>0.02523</x:v>
      </x:c>
      <x:c r="M351" s="54" t="n">
        <x:v>0.03785</x:v>
      </x:c>
      <x:c r="N351" s="56" t="n">
        <x:v>-98.85</x:v>
      </x:c>
      <x:c r="O351" s="56" t="n">
        <x:v>80.06</x:v>
      </x:c>
      <x:c r="P351" s="56" t="n">
        <x:v>60.12</x:v>
      </x:c>
      <x:c r="Q351" s="56" t="n">
        <x:v>8.4</x:v>
      </x:c>
      <x:c r="R351" t="str">
        <x:v>Z</x:v>
      </x:c>
      <x:c r="S351" s="102" t="n">
        <x:v>62.4</x:v>
      </x:c>
      <x:c r="T351" t="str">
        <x:v>BELOW MEASUREMENT FLOOR — SEARCH CONTINUES</x:v>
      </x:c>
      <x:c r="U351" t="n">
        <x:v>1676</x:v>
      </x:c>
      <x:c r="V351" t="str">
        <x:v>Pasted text(56).txt</x:v>
      </x:c>
    </x:row>
    <x:row r="352">
      <x:c r="A352" t="str">
        <x:v>S05</x:v>
      </x:c>
      <x:c r="B352" t="str">
        <x:v>1.28 validated five-run session</x:v>
      </x:c>
      <x:c r="C352" s="54" t="n">
        <x:v>1.28</x:v>
      </x:c>
      <x:c r="D352" t="n">
        <x:v>2</x:v>
      </x:c>
      <x:c r="E352" t="n">
        <x:v>1</x:v>
      </x:c>
      <x:c r="F352" t="str">
        <x:v>SEARCH</x:v>
      </x:c>
      <x:c r="G352" t="n">
        <x:v>2</x:v>
      </x:c>
      <x:c r="H352" s="54" t="n">
        <x:v>3</x:v>
      </x:c>
      <x:c r="I352" s="54" t="n">
        <x:v>0.17212</x:v>
      </x:c>
      <x:c r="J352" s="54" t="n">
        <x:v>0.1693</x:v>
      </x:c>
      <x:c r="K352" s="54" t="n">
        <x:v>0.07357</x:v>
      </x:c>
      <x:c r="L352" s="54" t="n">
        <x:v>0.1505</x:v>
      </x:c>
      <x:c r="M352" s="54" t="n">
        <x:v>0.23911</x:v>
      </x:c>
      <x:c r="N352" s="56" t="n">
        <x:v>-86.55</x:v>
      </x:c>
      <x:c r="O352" s="56" t="n">
        <x:v>1.35</x:v>
      </x:c>
      <x:c r="P352" s="56" t="n">
        <x:v>3.72</x:v>
      </x:c>
      <x:c r="Q352" s="56" t="n">
        <x:v>57.2</x:v>
      </x:c>
      <x:c r="R352" t="str">
        <x:v>X</x:v>
      </x:c>
      <x:c r="S352" s="102" t="n">
        <x:v>100</x:v>
      </x:c>
      <x:c r="T352" t="str">
        <x:v>VALID</x:v>
      </x:c>
      <x:c r="U352" t="n">
        <x:v>1677</x:v>
      </x:c>
      <x:c r="V352" t="str">
        <x:v>Pasted text(56).txt</x:v>
      </x:c>
    </x:row>
    <x:row r="353">
      <x:c r="A353" t="str">
        <x:v>S05</x:v>
      </x:c>
      <x:c r="B353" t="str">
        <x:v>1.28 validated five-run session</x:v>
      </x:c>
      <x:c r="C353" s="54" t="n">
        <x:v>1.28</x:v>
      </x:c>
      <x:c r="D353" t="n">
        <x:v>2</x:v>
      </x:c>
      <x:c r="E353" t="n">
        <x:v>1</x:v>
      </x:c>
      <x:c r="F353" t="str">
        <x:v>SEARCH</x:v>
      </x:c>
      <x:c r="G353" t="n">
        <x:v>3</x:v>
      </x:c>
      <x:c r="H353" s="54" t="n">
        <x:v>5</x:v>
      </x:c>
      <x:c r="I353" s="54" t="n">
        <x:v>0.40197</x:v>
      </x:c>
      <x:c r="J353" s="54" t="n">
        <x:v>0.40091</x:v>
      </x:c>
      <x:c r="K353" s="54" t="n">
        <x:v>0.16069</x:v>
      </x:c>
      <x:c r="L353" s="54" t="n">
        <x:v>0.26464</x:v>
      </x:c>
      <x:c r="M353" s="54" t="n">
        <x:v>0.50681</x:v>
      </x:c>
      <x:c r="N353" s="56" t="n">
        <x:v>-68.6</x:v>
      </x:c>
      <x:c r="O353" s="56" t="n">
        <x:v>3.96</x:v>
      </x:c>
      <x:c r="P353" s="56" t="n">
        <x:v>3.08</x:v>
      </x:c>
      <x:c r="Q353" s="56" t="n">
        <x:v>82</x:v>
      </x:c>
      <x:c r="R353" t="str">
        <x:v>X</x:v>
      </x:c>
      <x:c r="S353" s="102" t="n">
        <x:v>100</x:v>
      </x:c>
      <x:c r="T353" t="str">
        <x:v>VALID</x:v>
      </x:c>
      <x:c r="U353" t="n">
        <x:v>1678</x:v>
      </x:c>
      <x:c r="V353" t="str">
        <x:v>Pasted text(56).txt</x:v>
      </x:c>
    </x:row>
    <x:row r="354">
      <x:c r="A354" t="str">
        <x:v>S05</x:v>
      </x:c>
      <x:c r="B354" t="str">
        <x:v>1.28 validated five-run session</x:v>
      </x:c>
      <x:c r="C354" s="54" t="n">
        <x:v>1.28</x:v>
      </x:c>
      <x:c r="D354" t="n">
        <x:v>2</x:v>
      </x:c>
      <x:c r="E354" t="n">
        <x:v>1</x:v>
      </x:c>
      <x:c r="F354" t="str">
        <x:v>SEARCH</x:v>
      </x:c>
      <x:c r="G354" t="n">
        <x:v>4</x:v>
      </x:c>
      <x:c r="H354" s="54" t="n">
        <x:v>6</x:v>
      </x:c>
      <x:c r="I354" s="54" t="n">
        <x:v>0.50327</x:v>
      </x:c>
      <x:c r="J354" s="54" t="n">
        <x:v>0.50727</x:v>
      </x:c>
      <x:c r="K354" s="54" t="n">
        <x:v>0.19277</x:v>
      </x:c>
      <x:c r="L354" s="54" t="n">
        <x:v>0.31464</x:v>
      </x:c>
      <x:c r="M354" s="54" t="n">
        <x:v>0.62777</x:v>
      </x:c>
      <x:c r="N354" s="56" t="n">
        <x:v>-60.68</x:v>
      </x:c>
      <x:c r="O354" s="56" t="n">
        <x:v>0.16</x:v>
      </x:c>
      <x:c r="P354" s="56" t="n">
        <x:v>1.46</x:v>
      </x:c>
      <x:c r="Q354" s="56" t="n">
        <x:v>86.6</x:v>
      </x:c>
      <x:c r="R354" t="str">
        <x:v>X</x:v>
      </x:c>
      <x:c r="S354" s="102" t="n">
        <x:v>100</x:v>
      </x:c>
      <x:c r="T354" t="str">
        <x:v>VALID</x:v>
      </x:c>
      <x:c r="U354" t="n">
        <x:v>1679</x:v>
      </x:c>
      <x:c r="V354" t="str">
        <x:v>Pasted text(56).txt</x:v>
      </x:c>
    </x:row>
    <x:row r="355">
      <x:c r="A355" t="str">
        <x:v>S05</x:v>
      </x:c>
      <x:c r="B355" t="str">
        <x:v>1.28 validated five-run session</x:v>
      </x:c>
      <x:c r="C355" s="54" t="n">
        <x:v>1.28</x:v>
      </x:c>
      <x:c r="D355" t="n">
        <x:v>2</x:v>
      </x:c>
      <x:c r="E355" t="n">
        <x:v>1</x:v>
      </x:c>
      <x:c r="F355" t="str">
        <x:v>SEARCH</x:v>
      </x:c>
      <x:c r="G355" t="n">
        <x:v>5</x:v>
      </x:c>
      <x:c r="H355" s="54" t="n">
        <x:v>7</x:v>
      </x:c>
      <x:c r="I355" s="54" t="n">
        <x:v>0.60937</x:v>
      </x:c>
      <x:c r="J355" s="54" t="n">
        <x:v>0.60897</x:v>
      </x:c>
      <x:c r="K355" s="54" t="n">
        <x:v>0.2267</x:v>
      </x:c>
      <x:c r="L355" s="54" t="n">
        <x:v>0.38177</x:v>
      </x:c>
      <x:c r="M355" s="54" t="n">
        <x:v>0.75368</x:v>
      </x:c>
      <x:c r="N355" s="56" t="n">
        <x:v>-52.39</x:v>
      </x:c>
      <x:c r="O355" s="56" t="n">
        <x:v>1.67</x:v>
      </x:c>
      <x:c r="P355" s="56" t="n">
        <x:v>1.23</x:v>
      </x:c>
      <x:c r="Q355" s="56" t="n">
        <x:v>88.3</x:v>
      </x:c>
      <x:c r="R355" t="str">
        <x:v>X</x:v>
      </x:c>
      <x:c r="S355" s="102" t="n">
        <x:v>100</x:v>
      </x:c>
      <x:c r="T355" t="str">
        <x:v>VALID</x:v>
      </x:c>
      <x:c r="U355" t="n">
        <x:v>1680</x:v>
      </x:c>
      <x:c r="V355" t="str">
        <x:v>Pasted text(56).txt</x:v>
      </x:c>
    </x:row>
    <x:row r="356">
      <x:c r="A356" t="str">
        <x:v>S05</x:v>
      </x:c>
      <x:c r="B356" t="str">
        <x:v>1.28 validated five-run session</x:v>
      </x:c>
      <x:c r="C356" s="54" t="n">
        <x:v>1.28</x:v>
      </x:c>
      <x:c r="D356" t="n">
        <x:v>2</x:v>
      </x:c>
      <x:c r="E356" t="n">
        <x:v>1</x:v>
      </x:c>
      <x:c r="F356" t="str">
        <x:v>SEARCH</x:v>
      </x:c>
      <x:c r="G356" t="n">
        <x:v>6</x:v>
      </x:c>
      <x:c r="H356" s="54" t="n">
        <x:v>8</x:v>
      </x:c>
      <x:c r="I356" s="54" t="n">
        <x:v>0.75636</x:v>
      </x:c>
      <x:c r="J356" s="54" t="n">
        <x:v>0.75287</x:v>
      </x:c>
      <x:c r="K356" s="54" t="n">
        <x:v>0.25989</x:v>
      </x:c>
      <x:c r="L356" s="54" t="n">
        <x:v>0.45407</x:v>
      </x:c>
      <x:c r="M356" s="54" t="n">
        <x:v>0.91688</x:v>
      </x:c>
      <x:c r="N356" s="56" t="n">
        <x:v>-40.91</x:v>
      </x:c>
      <x:c r="O356" s="56" t="n">
        <x:v>1.49</x:v>
      </x:c>
      <x:c r="P356" s="56" t="n">
        <x:v>1.75</x:v>
      </x:c>
      <x:c r="Q356" s="56" t="n">
        <x:v>91.8</x:v>
      </x:c>
      <x:c r="R356" t="str">
        <x:v>X</x:v>
      </x:c>
      <x:c r="S356" s="102" t="n">
        <x:v>100</x:v>
      </x:c>
      <x:c r="T356" t="str">
        <x:v>VALID</x:v>
      </x:c>
      <x:c r="U356" t="n">
        <x:v>1681</x:v>
      </x:c>
      <x:c r="V356" t="str">
        <x:v>Pasted text(56).txt</x:v>
      </x:c>
    </x:row>
    <x:row r="357">
      <x:c r="A357" t="str">
        <x:v>S05</x:v>
      </x:c>
      <x:c r="B357" t="str">
        <x:v>1.28 validated five-run session</x:v>
      </x:c>
      <x:c r="C357" s="54" t="n">
        <x:v>1.28</x:v>
      </x:c>
      <x:c r="D357" t="n">
        <x:v>2</x:v>
      </x:c>
      <x:c r="E357" t="n">
        <x:v>1</x:v>
      </x:c>
      <x:c r="F357" t="str">
        <x:v>SEARCH</x:v>
      </x:c>
      <x:c r="G357" t="n">
        <x:v>7</x:v>
      </x:c>
      <x:c r="H357" s="54" t="n">
        <x:v>9</x:v>
      </x:c>
      <x:c r="I357" s="54" t="n">
        <x:v>0.87838</x:v>
      </x:c>
      <x:c r="J357" s="54" t="n">
        <x:v>0.87296</x:v>
      </x:c>
      <x:c r="K357" s="54" t="n">
        <x:v>0.30144</x:v>
      </x:c>
      <x:c r="L357" s="54" t="n">
        <x:v>0.4807</x:v>
      </x:c>
      <x:c r="M357" s="54" t="n">
        <x:v>1.04161</x:v>
      </x:c>
      <x:c r="N357" s="56" t="n">
        <x:v>-31.38</x:v>
      </x:c>
      <x:c r="O357" s="56" t="n">
        <x:v>0.06</x:v>
      </x:c>
      <x:c r="P357" s="56" t="n">
        <x:v>1.11</x:v>
      </x:c>
      <x:c r="Q357" s="56" t="n">
        <x:v>91.4</x:v>
      </x:c>
      <x:c r="R357" t="str">
        <x:v>X</x:v>
      </x:c>
      <x:c r="S357" s="102" t="n">
        <x:v>100</x:v>
      </x:c>
      <x:c r="T357" t="str">
        <x:v>VALID</x:v>
      </x:c>
      <x:c r="U357" t="n">
        <x:v>1682</x:v>
      </x:c>
      <x:c r="V357" t="str">
        <x:v>Pasted text(56).txt</x:v>
      </x:c>
    </x:row>
    <x:row r="358">
      <x:c r="A358" t="str">
        <x:v>S05</x:v>
      </x:c>
      <x:c r="B358" t="str">
        <x:v>1.28 validated five-run session</x:v>
      </x:c>
      <x:c r="C358" s="54" t="n">
        <x:v>1.28</x:v>
      </x:c>
      <x:c r="D358" t="n">
        <x:v>2</x:v>
      </x:c>
      <x:c r="E358" t="n">
        <x:v>1</x:v>
      </x:c>
      <x:c r="F358" t="str">
        <x:v>SEARCH</x:v>
      </x:c>
      <x:c r="G358" t="n">
        <x:v>8</x:v>
      </x:c>
      <x:c r="H358" s="54" t="n">
        <x:v>9.5</x:v>
      </x:c>
      <x:c r="I358" s="54" t="n">
        <x:v>0.93677</x:v>
      </x:c>
      <x:c r="J358" s="54" t="n">
        <x:v>0.9368</x:v>
      </x:c>
      <x:c r="K358" s="54" t="n">
        <x:v>0.31158</x:v>
      </x:c>
      <x:c r="L358" s="54" t="n">
        <x:v>0.50465</x:v>
      </x:c>
      <x:c r="M358" s="54" t="n">
        <x:v>1.10884</x:v>
      </x:c>
      <x:c r="N358" s="56" t="n">
        <x:v>-26.81</x:v>
      </x:c>
      <x:c r="O358" s="56" t="n">
        <x:v>0.8</x:v>
      </x:c>
      <x:c r="P358" s="56" t="n">
        <x:v>0.54</x:v>
      </x:c>
      <x:c r="Q358" s="56" t="n">
        <x:v>93.1</x:v>
      </x:c>
      <x:c r="R358" t="str">
        <x:v>X</x:v>
      </x:c>
      <x:c r="S358" s="102" t="n">
        <x:v>100</x:v>
      </x:c>
      <x:c r="T358" t="str">
        <x:v>VALID</x:v>
      </x:c>
      <x:c r="U358" t="n">
        <x:v>1683</x:v>
      </x:c>
      <x:c r="V358" t="str">
        <x:v>Pasted text(56).txt</x:v>
      </x:c>
    </x:row>
    <x:row r="359">
      <x:c r="A359" t="str">
        <x:v>S05</x:v>
      </x:c>
      <x:c r="B359" t="str">
        <x:v>1.28 validated five-run session</x:v>
      </x:c>
      <x:c r="C359" s="54" t="n">
        <x:v>1.28</x:v>
      </x:c>
      <x:c r="D359" t="n">
        <x:v>2</x:v>
      </x:c>
      <x:c r="E359" t="n">
        <x:v>1</x:v>
      </x:c>
      <x:c r="F359" t="str">
        <x:v>SEARCH</x:v>
      </x:c>
      <x:c r="G359" t="n">
        <x:v>9</x:v>
      </x:c>
      <x:c r="H359" s="54" t="n">
        <x:v>10</x:v>
      </x:c>
      <x:c r="I359" s="54" t="n">
        <x:v>1.01213</x:v>
      </x:c>
      <x:c r="J359" s="54" t="n">
        <x:v>1.00723</x:v>
      </x:c>
      <x:c r="K359" s="54" t="n">
        <x:v>0.34287</x:v>
      </x:c>
      <x:c r="L359" s="54" t="n">
        <x:v>0.54323</x:v>
      </x:c>
      <x:c r="M359" s="54" t="n">
        <x:v>1.19481</x:v>
      </x:c>
      <x:c r="N359" s="56" t="n">
        <x:v>-20.93</x:v>
      </x:c>
      <x:c r="O359" s="56" t="n">
        <x:v>3.02</x:v>
      </x:c>
      <x:c r="P359" s="56" t="n">
        <x:v>2.81</x:v>
      </x:c>
      <x:c r="Q359" s="56" t="n">
        <x:v>92.9</x:v>
      </x:c>
      <x:c r="R359" t="str">
        <x:v>X</x:v>
      </x:c>
      <x:c r="S359" s="102" t="n">
        <x:v>100</x:v>
      </x:c>
      <x:c r="T359" t="str">
        <x:v>VALID</x:v>
      </x:c>
      <x:c r="U359" t="n">
        <x:v>1684</x:v>
      </x:c>
      <x:c r="V359" t="str">
        <x:v>Pasted text(56).txt</x:v>
      </x:c>
    </x:row>
    <x:row r="360">
      <x:c r="A360" t="str">
        <x:v>S05</x:v>
      </x:c>
      <x:c r="B360" t="str">
        <x:v>1.28 validated five-run session</x:v>
      </x:c>
      <x:c r="C360" s="54" t="n">
        <x:v>1.28</x:v>
      </x:c>
      <x:c r="D360" t="n">
        <x:v>2</x:v>
      </x:c>
      <x:c r="E360" t="n">
        <x:v>1</x:v>
      </x:c>
      <x:c r="F360" t="str">
        <x:v>SEARCH</x:v>
      </x:c>
      <x:c r="G360" t="n">
        <x:v>10</x:v>
      </x:c>
      <x:c r="H360" s="54" t="n">
        <x:v>10.5</x:v>
      </x:c>
      <x:c r="I360" s="54" t="n">
        <x:v>1.04063</x:v>
      </x:c>
      <x:c r="J360" s="54" t="n">
        <x:v>1.04975</x:v>
      </x:c>
      <x:c r="K360" s="54" t="n">
        <x:v>0.35827</x:v>
      </x:c>
      <x:c r="L360" s="54" t="n">
        <x:v>0.57243</x:v>
      </x:c>
      <x:c r="M360" s="54" t="n">
        <x:v>1.2484</x:v>
      </x:c>
      <x:c r="N360" s="56" t="n">
        <x:v>-18.7</x:v>
      </x:c>
      <x:c r="O360" s="56" t="n">
        <x:v>0.26</x:v>
      </x:c>
      <x:c r="P360" s="56" t="n">
        <x:v>1.66</x:v>
      </x:c>
      <x:c r="Q360" s="56" t="n">
        <x:v>92.5</x:v>
      </x:c>
      <x:c r="R360" t="str">
        <x:v>X</x:v>
      </x:c>
      <x:c r="S360" s="102" t="n">
        <x:v>100</x:v>
      </x:c>
      <x:c r="T360" t="str">
        <x:v>VALID</x:v>
      </x:c>
      <x:c r="U360" t="n">
        <x:v>1685</x:v>
      </x:c>
      <x:c r="V360" t="str">
        <x:v>Pasted text(56).txt</x:v>
      </x:c>
    </x:row>
    <x:row r="361">
      <x:c r="A361" t="str">
        <x:v>S05</x:v>
      </x:c>
      <x:c r="B361" t="str">
        <x:v>1.28 validated five-run session</x:v>
      </x:c>
      <x:c r="C361" s="54" t="n">
        <x:v>1.28</x:v>
      </x:c>
      <x:c r="D361" t="n">
        <x:v>2</x:v>
      </x:c>
      <x:c r="E361" t="n">
        <x:v>1</x:v>
      </x:c>
      <x:c r="F361" t="str">
        <x:v>SEARCH</x:v>
      </x:c>
      <x:c r="G361" t="n">
        <x:v>11</x:v>
      </x:c>
      <x:c r="H361" s="54" t="n">
        <x:v>11</x:v>
      </x:c>
      <x:c r="I361" s="54" t="n">
        <x:v>1.12856</x:v>
      </x:c>
      <x:c r="J361" s="54" t="n">
        <x:v>1.12688</x:v>
      </x:c>
      <x:c r="K361" s="54" t="n">
        <x:v>0.38367</x:v>
      </x:c>
      <x:c r="L361" s="54" t="n">
        <x:v>0.61374</x:v>
      </x:c>
      <x:c r="M361" s="54" t="n">
        <x:v>1.33938</x:v>
      </x:c>
      <x:c r="N361" s="56" t="n">
        <x:v>-11.83</x:v>
      </x:c>
      <x:c r="O361" s="56" t="n">
        <x:v>0.92</x:v>
      </x:c>
      <x:c r="P361" s="56" t="n">
        <x:v>0.85</x:v>
      </x:c>
      <x:c r="Q361" s="56" t="n">
        <x:v>93.1</x:v>
      </x:c>
      <x:c r="R361" t="str">
        <x:v>X</x:v>
      </x:c>
      <x:c r="S361" s="102" t="n">
        <x:v>100</x:v>
      </x:c>
      <x:c r="T361" t="str">
        <x:v>VALID</x:v>
      </x:c>
      <x:c r="U361" t="n">
        <x:v>1686</x:v>
      </x:c>
      <x:c r="V361" t="str">
        <x:v>Pasted text(56).txt</x:v>
      </x:c>
    </x:row>
    <x:row r="362">
      <x:c r="A362" t="str">
        <x:v>S05</x:v>
      </x:c>
      <x:c r="B362" t="str">
        <x:v>1.28 validated five-run session</x:v>
      </x:c>
      <x:c r="C362" s="54" t="n">
        <x:v>1.28</x:v>
      </x:c>
      <x:c r="D362" t="n">
        <x:v>2</x:v>
      </x:c>
      <x:c r="E362" t="n">
        <x:v>1</x:v>
      </x:c>
      <x:c r="F362" t="str">
        <x:v>SEARCH</x:v>
      </x:c>
      <x:c r="G362" t="n">
        <x:v>12</x:v>
      </x:c>
      <x:c r="H362" s="54" t="n">
        <x:v>11.25</x:v>
      </x:c>
      <x:c r="I362" s="54" t="n">
        <x:v>1.14965</x:v>
      </x:c>
      <x:c r="J362" s="54" t="n">
        <x:v>1.14977</x:v>
      </x:c>
      <x:c r="K362" s="54" t="n">
        <x:v>0.38674</x:v>
      </x:c>
      <x:c r="L362" s="54" t="n">
        <x:v>0.63381</x:v>
      </x:c>
      <x:c r="M362" s="54" t="n">
        <x:v>1.36875</x:v>
      </x:c>
      <x:c r="N362" s="56" t="n">
        <x:v>-10.18</x:v>
      </x:c>
      <x:c r="O362" s="56" t="n">
        <x:v>0.8</x:v>
      </x:c>
      <x:c r="P362" s="56" t="n">
        <x:v>0.56</x:v>
      </x:c>
      <x:c r="Q362" s="56" t="n">
        <x:v>93</x:v>
      </x:c>
      <x:c r="R362" t="str">
        <x:v>X</x:v>
      </x:c>
      <x:c r="S362" s="102" t="n">
        <x:v>100</x:v>
      </x:c>
      <x:c r="T362" t="str">
        <x:v>VALID</x:v>
      </x:c>
      <x:c r="U362" t="n">
        <x:v>1687</x:v>
      </x:c>
      <x:c r="V362" t="str">
        <x:v>Pasted text(56).txt</x:v>
      </x:c>
    </x:row>
    <x:row r="363">
      <x:c r="A363" t="str">
        <x:v>S05</x:v>
      </x:c>
      <x:c r="B363" t="str">
        <x:v>1.28 validated five-run session</x:v>
      </x:c>
      <x:c r="C363" s="54" t="n">
        <x:v>1.28</x:v>
      </x:c>
      <x:c r="D363" t="n">
        <x:v>2</x:v>
      </x:c>
      <x:c r="E363" t="n">
        <x:v>1</x:v>
      </x:c>
      <x:c r="F363" t="str">
        <x:v>SEARCH</x:v>
      </x:c>
      <x:c r="G363" t="n">
        <x:v>13</x:v>
      </x:c>
      <x:c r="H363" s="54" t="n">
        <x:v>11.5</x:v>
      </x:c>
      <x:c r="I363" s="54" t="n">
        <x:v>1.18412</x:v>
      </x:c>
      <x:c r="J363" s="54" t="n">
        <x:v>1.18059</x:v>
      </x:c>
      <x:c r="K363" s="54" t="n">
        <x:v>0.39485</x:v>
      </x:c>
      <x:c r="L363" s="54" t="n">
        <x:v>0.64385</x:v>
      </x:c>
      <x:c r="M363" s="54" t="n">
        <x:v>1.40166</x:v>
      </x:c>
      <x:c r="N363" s="56" t="n">
        <x:v>-7.49</x:v>
      </x:c>
      <x:c r="O363" s="56" t="n">
        <x:v>1.34</x:v>
      </x:c>
      <x:c r="P363" s="56" t="n">
        <x:v>1.38</x:v>
      </x:c>
      <x:c r="Q363" s="56" t="n">
        <x:v>93.7</x:v>
      </x:c>
      <x:c r="R363" t="str">
        <x:v>X</x:v>
      </x:c>
      <x:c r="S363" s="102" t="n">
        <x:v>100</x:v>
      </x:c>
      <x:c r="T363" t="str">
        <x:v>IN TARGET BAND</x:v>
      </x:c>
      <x:c r="U363" t="n">
        <x:v>1688</x:v>
      </x:c>
      <x:c r="V363" t="str">
        <x:v>Pasted text(56).txt</x:v>
      </x:c>
    </x:row>
    <x:row r="364">
      <x:c r="A364" t="str">
        <x:v>S05</x:v>
      </x:c>
      <x:c r="B364" t="str">
        <x:v>1.28 validated five-run session</x:v>
      </x:c>
      <x:c r="C364" s="54" t="n">
        <x:v>1.28</x:v>
      </x:c>
      <x:c r="D364" t="n">
        <x:v>2</x:v>
      </x:c>
      <x:c r="E364" t="n">
        <x:v>1</x:v>
      </x:c>
      <x:c r="F364" t="str">
        <x:v>FINE</x:v>
      </x:c>
      <x:c r="G364" t="n">
        <x:v>1</x:v>
      </x:c>
      <x:c r="H364" s="54" t="n">
        <x:v>10.5</x:v>
      </x:c>
      <x:c r="I364" s="54" t="n">
        <x:v>1.03802</x:v>
      </x:c>
      <x:c r="J364" s="54" t="n">
        <x:v>1.03885</x:v>
      </x:c>
      <x:c r="K364" s="54" t="n">
        <x:v>0.34247</x:v>
      </x:c>
      <x:c r="L364" s="54" t="n">
        <x:v>0.58135</x:v>
      </x:c>
      <x:c r="M364" s="54" t="n">
        <x:v>1.23885</x:v>
      </x:c>
      <x:c r="N364" s="56" t="n">
        <x:v>-18.9</x:v>
      </x:c>
      <x:c r="O364" s="56" t="n">
        <x:v>1.05</x:v>
      </x:c>
      <x:c r="P364" s="56" t="n">
        <x:v>0.83</x:v>
      </x:c>
      <x:c r="Q364" s="56" t="n">
        <x:v>93.3</x:v>
      </x:c>
      <x:c r="R364" t="str">
        <x:v>X</x:v>
      </x:c>
      <x:c r="S364" s="102" t="n">
        <x:v>100</x:v>
      </x:c>
      <x:c r="T364" t="str">
        <x:v>VALID</x:v>
      </x:c>
      <x:c r="U364" t="n">
        <x:v>1692</x:v>
      </x:c>
      <x:c r="V364" t="str">
        <x:v>Pasted text(56).txt</x:v>
      </x:c>
    </x:row>
    <x:row r="365">
      <x:c r="A365" t="str">
        <x:v>S05</x:v>
      </x:c>
      <x:c r="B365" t="str">
        <x:v>1.28 validated five-run session</x:v>
      </x:c>
      <x:c r="C365" s="54" t="n">
        <x:v>1.28</x:v>
      </x:c>
      <x:c r="D365" t="n">
        <x:v>2</x:v>
      </x:c>
      <x:c r="E365" t="n">
        <x:v>1</x:v>
      </x:c>
      <x:c r="F365" t="str">
        <x:v>FINE</x:v>
      </x:c>
      <x:c r="G365" t="n">
        <x:v>2</x:v>
      </x:c>
      <x:c r="H365" s="54" t="n">
        <x:v>10.75</x:v>
      </x:c>
      <x:c r="I365" s="54" t="n">
        <x:v>1.08851</x:v>
      </x:c>
      <x:c r="J365" s="54" t="n">
        <x:v>1.09315</x:v>
      </x:c>
      <x:c r="K365" s="54" t="n">
        <x:v>0.37077</x:v>
      </x:c>
      <x:c r="L365" s="54" t="n">
        <x:v>0.58602</x:v>
      </x:c>
      <x:c r="M365" s="54" t="n">
        <x:v>1.29468</x:v>
      </x:c>
      <x:c r="N365" s="56" t="n">
        <x:v>-14.96</x:v>
      </x:c>
      <x:c r="O365" s="56" t="n">
        <x:v>0.07</x:v>
      </x:c>
      <x:c r="P365" s="56" t="n">
        <x:v>0.78</x:v>
      </x:c>
      <x:c r="Q365" s="56" t="n">
        <x:v>93</x:v>
      </x:c>
      <x:c r="R365" t="str">
        <x:v>X</x:v>
      </x:c>
      <x:c r="S365" s="102" t="n">
        <x:v>100</x:v>
      </x:c>
      <x:c r="T365" t="str">
        <x:v>VALID</x:v>
      </x:c>
      <x:c r="U365" t="n">
        <x:v>1693</x:v>
      </x:c>
      <x:c r="V365" t="str">
        <x:v>Pasted text(56).txt</x:v>
      </x:c>
    </x:row>
    <x:row r="366">
      <x:c r="A366" t="str">
        <x:v>S05</x:v>
      </x:c>
      <x:c r="B366" t="str">
        <x:v>1.28 validated five-run session</x:v>
      </x:c>
      <x:c r="C366" s="54" t="n">
        <x:v>1.28</x:v>
      </x:c>
      <x:c r="D366" t="n">
        <x:v>2</x:v>
      </x:c>
      <x:c r="E366" t="n">
        <x:v>1</x:v>
      </x:c>
      <x:c r="F366" t="str">
        <x:v>FINE</x:v>
      </x:c>
      <x:c r="G366" t="n">
        <x:v>3</x:v>
      </x:c>
      <x:c r="H366" s="54" t="n">
        <x:v>11</x:v>
      </x:c>
      <x:c r="I366" s="54" t="n">
        <x:v>1.12239</x:v>
      </x:c>
      <x:c r="J366" s="54" t="n">
        <x:v>1.114</x:v>
      </x:c>
      <x:c r="K366" s="54" t="n">
        <x:v>0.3783</x:v>
      </x:c>
      <x:c r="L366" s="54" t="n">
        <x:v>0.6188</x:v>
      </x:c>
      <x:c r="M366" s="54" t="n">
        <x:v>1.32934</x:v>
      </x:c>
      <x:c r="N366" s="56" t="n">
        <x:v>-12.31</x:v>
      </x:c>
      <x:c r="O366" s="56" t="n">
        <x:v>0.07</x:v>
      </x:c>
      <x:c r="P366" s="56" t="n">
        <x:v>1.35</x:v>
      </x:c>
      <x:c r="Q366" s="56" t="n">
        <x:v>92.3</x:v>
      </x:c>
      <x:c r="R366" t="str">
        <x:v>X</x:v>
      </x:c>
      <x:c r="S366" s="102" t="n">
        <x:v>100</x:v>
      </x:c>
      <x:c r="T366" t="str">
        <x:v>VALID</x:v>
      </x:c>
      <x:c r="U366" t="n">
        <x:v>1694</x:v>
      </x:c>
      <x:c r="V366" t="str">
        <x:v>Pasted text(56).txt</x:v>
      </x:c>
    </x:row>
    <x:row r="367">
      <x:c r="A367" t="str">
        <x:v>S05</x:v>
      </x:c>
      <x:c r="B367" t="str">
        <x:v>1.28 validated five-run session</x:v>
      </x:c>
      <x:c r="C367" s="54" t="n">
        <x:v>1.28</x:v>
      </x:c>
      <x:c r="D367" t="n">
        <x:v>2</x:v>
      </x:c>
      <x:c r="E367" t="n">
        <x:v>1</x:v>
      </x:c>
      <x:c r="F367" t="str">
        <x:v>FINE</x:v>
      </x:c>
      <x:c r="G367" t="n">
        <x:v>4</x:v>
      </x:c>
      <x:c r="H367" s="54" t="n">
        <x:v>11.25</x:v>
      </x:c>
      <x:c r="I367" s="54" t="n">
        <x:v>1.15518</x:v>
      </x:c>
      <x:c r="J367" s="54" t="n">
        <x:v>1.16341</x:v>
      </x:c>
      <x:c r="K367" s="54" t="n">
        <x:v>0.39354</x:v>
      </x:c>
      <x:c r="L367" s="54" t="n">
        <x:v>0.64435</x:v>
      </x:c>
      <x:c r="M367" s="54" t="n">
        <x:v>1.38708</x:v>
      </x:c>
      <x:c r="N367" s="56" t="n">
        <x:v>-9.75</x:v>
      </x:c>
      <x:c r="O367" s="56" t="n">
        <x:v>0.88</x:v>
      </x:c>
      <x:c r="P367" s="56" t="n">
        <x:v>1.76</x:v>
      </x:c>
      <x:c r="Q367" s="56" t="n">
        <x:v>93.7</x:v>
      </x:c>
      <x:c r="R367" t="str">
        <x:v>X</x:v>
      </x:c>
      <x:c r="S367" s="102" t="n">
        <x:v>100</x:v>
      </x:c>
      <x:c r="T367" t="str">
        <x:v>VALID</x:v>
      </x:c>
      <x:c r="U367" t="n">
        <x:v>1695</x:v>
      </x:c>
      <x:c r="V367" t="str">
        <x:v>Pasted text(56).txt</x:v>
      </x:c>
    </x:row>
    <x:row r="368">
      <x:c r="A368" t="str">
        <x:v>S05</x:v>
      </x:c>
      <x:c r="B368" t="str">
        <x:v>1.28 validated five-run session</x:v>
      </x:c>
      <x:c r="C368" s="54" t="n">
        <x:v>1.28</x:v>
      </x:c>
      <x:c r="D368" t="n">
        <x:v>2</x:v>
      </x:c>
      <x:c r="E368" t="n">
        <x:v>1</x:v>
      </x:c>
      <x:c r="F368" t="str">
        <x:v>FINE</x:v>
      </x:c>
      <x:c r="G368" t="n">
        <x:v>5</x:v>
      </x:c>
      <x:c r="H368" s="54" t="n">
        <x:v>11.5</x:v>
      </x:c>
      <x:c r="I368" s="54" t="n">
        <x:v>1.1728</x:v>
      </x:c>
      <x:c r="J368" s="54" t="n">
        <x:v>1.17209</x:v>
      </x:c>
      <x:c r="K368" s="54" t="n">
        <x:v>0.39919</x:v>
      </x:c>
      <x:c r="L368" s="54" t="n">
        <x:v>0.66402</x:v>
      </x:c>
      <x:c r="M368" s="54" t="n">
        <x:v>1.40506</x:v>
      </x:c>
      <x:c r="N368" s="56" t="n">
        <x:v>-8.38</x:v>
      </x:c>
      <x:c r="O368" s="56" t="n">
        <x:v>0.75</x:v>
      </x:c>
      <x:c r="P368" s="56" t="n">
        <x:v>0.6</x:v>
      </x:c>
      <x:c r="Q368" s="56" t="n">
        <x:v>93</x:v>
      </x:c>
      <x:c r="R368" t="str">
        <x:v>X</x:v>
      </x:c>
      <x:c r="S368" s="102" t="n">
        <x:v>100</x:v>
      </x:c>
      <x:c r="T368" t="str">
        <x:v>VALID</x:v>
      </x:c>
      <x:c r="U368" t="n">
        <x:v>1696</x:v>
      </x:c>
      <x:c r="V368" t="str">
        <x:v>Pasted text(56).txt</x:v>
      </x:c>
    </x:row>
    <x:row r="369">
      <x:c r="A369" t="str">
        <x:v>S05</x:v>
      </x:c>
      <x:c r="B369" t="str">
        <x:v>1.28 validated five-run session</x:v>
      </x:c>
      <x:c r="C369" s="54" t="n">
        <x:v>1.28</x:v>
      </x:c>
      <x:c r="D369" t="n">
        <x:v>2</x:v>
      </x:c>
      <x:c r="E369" t="n">
        <x:v>1</x:v>
      </x:c>
      <x:c r="F369" t="str">
        <x:v>FINE</x:v>
      </x:c>
      <x:c r="G369" t="n">
        <x:v>6</x:v>
      </x:c>
      <x:c r="H369" s="54" t="n">
        <x:v>11.75</x:v>
      </x:c>
      <x:c r="I369" s="54" t="n">
        <x:v>1.23819</x:v>
      </x:c>
      <x:c r="J369" s="54" t="n">
        <x:v>1.22799</x:v>
      </x:c>
      <x:c r="K369" s="54" t="n">
        <x:v>0.42658</x:v>
      </x:c>
      <x:c r="L369" s="54" t="n">
        <x:v>0.67573</x:v>
      </x:c>
      <x:c r="M369" s="54" t="n">
        <x:v>1.46523</x:v>
      </x:c>
      <x:c r="N369" s="56" t="n">
        <x:v>-3.27</x:v>
      </x:c>
      <x:c r="O369" s="56" t="n">
        <x:v>0.11</x:v>
      </x:c>
      <x:c r="P369" s="56" t="n">
        <x:v>1.51</x:v>
      </x:c>
      <x:c r="Q369" s="56" t="n">
        <x:v>93.6</x:v>
      </x:c>
      <x:c r="R369" t="str">
        <x:v>X</x:v>
      </x:c>
      <x:c r="S369" s="102" t="n">
        <x:v>100</x:v>
      </x:c>
      <x:c r="T369" t="str">
        <x:v>IN TARGET BAND</x:v>
      </x:c>
      <x:c r="U369" t="n">
        <x:v>1697</x:v>
      </x:c>
      <x:c r="V369" t="str">
        <x:v>Pasted text(56).txt</x:v>
      </x:c>
    </x:row>
    <x:row r="370">
      <x:c r="A370" t="str">
        <x:v>S05</x:v>
      </x:c>
      <x:c r="B370" t="str">
        <x:v>1.28 validated five-run session</x:v>
      </x:c>
      <x:c r="C370" s="54" t="n">
        <x:v>1.28</x:v>
      </x:c>
      <x:c r="D370" t="n">
        <x:v>2</x:v>
      </x:c>
      <x:c r="E370" t="n">
        <x:v>1</x:v>
      </x:c>
      <x:c r="F370" t="str">
        <x:v>FINE</x:v>
      </x:c>
      <x:c r="G370" t="n">
        <x:v>7</x:v>
      </x:c>
      <x:c r="H370" s="54" t="n">
        <x:v>12</x:v>
      </x:c>
      <x:c r="I370" s="54" t="n">
        <x:v>1.24367</x:v>
      </x:c>
      <x:c r="J370" s="54" t="n">
        <x:v>1.2356</x:v>
      </x:c>
      <x:c r="K370" s="54" t="n">
        <x:v>0.42535</x:v>
      </x:c>
      <x:c r="L370" s="54" t="n">
        <x:v>0.68596</x:v>
      </x:c>
      <x:c r="M370" s="54" t="n">
        <x:v>1.4759</x:v>
      </x:c>
      <x:c r="N370" s="56" t="n">
        <x:v>-2.84</x:v>
      </x:c>
      <x:c r="O370" s="56" t="n">
        <x:v>0.69</x:v>
      </x:c>
      <x:c r="P370" s="56" t="n">
        <x:v>1.55</x:v>
      </x:c>
      <x:c r="Q370" s="56" t="n">
        <x:v>93.1</x:v>
      </x:c>
      <x:c r="R370" t="str">
        <x:v>X</x:v>
      </x:c>
      <x:c r="S370" s="102" t="n">
        <x:v>100</x:v>
      </x:c>
      <x:c r="T370" t="str">
        <x:v>IN TARGET BAND</x:v>
      </x:c>
      <x:c r="U370" t="n">
        <x:v>1698</x:v>
      </x:c>
      <x:c r="V370" t="str">
        <x:v>Pasted text(56).txt</x:v>
      </x:c>
    </x:row>
    <x:row r="371">
      <x:c r="A371" t="str">
        <x:v>S05</x:v>
      </x:c>
      <x:c r="B371" t="str">
        <x:v>1.28 validated five-run session</x:v>
      </x:c>
      <x:c r="C371" s="54" t="n">
        <x:v>1.28</x:v>
      </x:c>
      <x:c r="D371" t="n">
        <x:v>2</x:v>
      </x:c>
      <x:c r="E371" t="n">
        <x:v>1</x:v>
      </x:c>
      <x:c r="F371" t="str">
        <x:v>FINE</x:v>
      </x:c>
      <x:c r="G371" t="n">
        <x:v>8</x:v>
      </x:c>
      <x:c r="H371" s="54" t="n">
        <x:v>12.25</x:v>
      </x:c>
      <x:c r="I371" s="54" t="n">
        <x:v>1.26856</x:v>
      </x:c>
      <x:c r="J371" s="54" t="n">
        <x:v>1.26824</x:v>
      </x:c>
      <x:c r="K371" s="54" t="n">
        <x:v>0.40541</x:v>
      </x:c>
      <x:c r="L371" s="54" t="n">
        <x:v>0.69838</x:v>
      </x:c>
      <x:c r="M371" s="54" t="n">
        <x:v>1.50398</x:v>
      </x:c>
      <x:c r="N371" s="56" t="n">
        <x:v>-0.89</x:v>
      </x:c>
      <x:c r="O371" s="56" t="n">
        <x:v>2.28</x:v>
      </x:c>
      <x:c r="P371" s="56" t="n">
        <x:v>1.58</x:v>
      </x:c>
      <x:c r="Q371" s="56" t="n">
        <x:v>93.3</x:v>
      </x:c>
      <x:c r="R371" t="str">
        <x:v>X</x:v>
      </x:c>
      <x:c r="S371" s="102" t="n">
        <x:v>100</x:v>
      </x:c>
      <x:c r="T371" t="str">
        <x:v>IN TARGET BAND</x:v>
      </x:c>
      <x:c r="U371" t="n">
        <x:v>1699</x:v>
      </x:c>
      <x:c r="V371" t="str">
        <x:v>Pasted text(56).txt</x:v>
      </x:c>
    </x:row>
    <x:row r="372">
      <x:c r="A372" t="str">
        <x:v>S05</x:v>
      </x:c>
      <x:c r="B372" t="str">
        <x:v>1.28 validated five-run session</x:v>
      </x:c>
      <x:c r="C372" s="54" t="n">
        <x:v>1.28</x:v>
      </x:c>
      <x:c r="D372" t="n">
        <x:v>2</x:v>
      </x:c>
      <x:c r="E372" t="n">
        <x:v>1</x:v>
      </x:c>
      <x:c r="F372" t="str">
        <x:v>FINE</x:v>
      </x:c>
      <x:c r="G372" t="n">
        <x:v>9</x:v>
      </x:c>
      <x:c r="H372" s="54" t="n">
        <x:v>12.5</x:v>
      </x:c>
      <x:c r="I372" s="54" t="n">
        <x:v>1.2929</x:v>
      </x:c>
      <x:c r="J372" s="54" t="n">
        <x:v>1.29448</x:v>
      </x:c>
      <x:c r="K372" s="54" t="n">
        <x:v>0.43274</x:v>
      </x:c>
      <x:c r="L372" s="54" t="n">
        <x:v>0.68892</x:v>
      </x:c>
      <x:c r="M372" s="54" t="n">
        <x:v>1.52911</x:v>
      </x:c>
      <x:c r="N372" s="56" t="n">
        <x:v>1.01</x:v>
      </x:c>
      <x:c r="O372" s="56" t="n">
        <x:v>0.82</x:v>
      </x:c>
      <x:c r="P372" s="56" t="n">
        <x:v>0.74</x:v>
      </x:c>
      <x:c r="Q372" s="56" t="n">
        <x:v>94.8</x:v>
      </x:c>
      <x:c r="R372" t="str">
        <x:v>X</x:v>
      </x:c>
      <x:c r="S372" s="102" t="n">
        <x:v>100</x:v>
      </x:c>
      <x:c r="T372" t="str">
        <x:v>IN TARGET BAND</x:v>
      </x:c>
      <x:c r="U372" t="n">
        <x:v>1700</x:v>
      </x:c>
      <x:c r="V372" t="str">
        <x:v>Pasted text(56).txt</x:v>
      </x:c>
    </x:row>
    <x:row r="373">
      <x:c r="A373" t="str">
        <x:v>S05</x:v>
      </x:c>
      <x:c r="B373" t="str">
        <x:v>1.28 validated five-run session</x:v>
      </x:c>
      <x:c r="C373" s="54" t="n">
        <x:v>1.28</x:v>
      </x:c>
      <x:c r="D373" t="n">
        <x:v>2</x:v>
      </x:c>
      <x:c r="E373" t="n">
        <x:v>1</x:v>
      </x:c>
      <x:c r="F373" t="str">
        <x:v>FINAL</x:v>
      </x:c>
      <x:c r="G373" t="n">
        <x:v>1</x:v>
      </x:c>
      <x:c r="H373" s="54" t="n">
        <x:v>12.5</x:v>
      </x:c>
      <x:c r="I373" s="54" t="n">
        <x:v>1.29045</x:v>
      </x:c>
      <x:c r="J373" s="54" t="n">
        <x:v>1.28855</x:v>
      </x:c>
      <x:c r="K373" s="54" t="n">
        <x:v>0.42406</x:v>
      </x:c>
      <x:c r="L373" s="54" t="n">
        <x:v>0.68565</x:v>
      </x:c>
      <x:c r="M373" s="54" t="n">
        <x:v>1.52019</x:v>
      </x:c>
      <x:c r="N373" s="56" t="n">
        <x:v>0.82</x:v>
      </x:c>
      <x:c r="O373" s="56" t="n">
        <x:v>1.15</x:v>
      </x:c>
      <x:c r="P373" s="56" t="n">
        <x:v>0.9</x:v>
      </x:c>
      <x:c r="Q373" s="56" t="n">
        <x:v>94.2</x:v>
      </x:c>
      <x:c r="R373" t="str">
        <x:v>X</x:v>
      </x:c>
      <x:c r="S373" s="102" t="n">
        <x:v>100</x:v>
      </x:c>
      <x:c r="T373" t="str">
        <x:v>IN TARGET BAND</x:v>
      </x:c>
      <x:c r="U373" t="n">
        <x:v>1703</x:v>
      </x:c>
      <x:c r="V373" t="str">
        <x:v>Pasted text(56).txt</x:v>
      </x:c>
    </x:row>
    <x:row r="374">
      <x:c r="A374" t="str">
        <x:v>S05</x:v>
      </x:c>
      <x:c r="B374" t="str">
        <x:v>1.28 validated five-run session</x:v>
      </x:c>
      <x:c r="C374" s="54" t="n">
        <x:v>1.28</x:v>
      </x:c>
      <x:c r="D374" t="n">
        <x:v>2</x:v>
      </x:c>
      <x:c r="E374" t="n">
        <x:v>1</x:v>
      </x:c>
      <x:c r="F374" t="str">
        <x:v>FINAL</x:v>
      </x:c>
      <x:c r="G374" t="n">
        <x:v>2</x:v>
      </x:c>
      <x:c r="H374" s="54" t="n">
        <x:v>12.5</x:v>
      </x:c>
      <x:c r="I374" s="54" t="n">
        <x:v>1.28991</x:v>
      </x:c>
      <x:c r="J374" s="54" t="n">
        <x:v>1.28845</x:v>
      </x:c>
      <x:c r="K374" s="54" t="n">
        <x:v>0.43128</x:v>
      </x:c>
      <x:c r="L374" s="54" t="n">
        <x:v>0.7018</x:v>
      </x:c>
      <x:c r="M374" s="54" t="n">
        <x:v>1.5294</x:v>
      </x:c>
      <x:c r="N374" s="56" t="n">
        <x:v>0.77</x:v>
      </x:c>
      <x:c r="O374" s="56" t="n">
        <x:v>1.2</x:v>
      </x:c>
      <x:c r="P374" s="56" t="n">
        <x:v>0.77</x:v>
      </x:c>
      <x:c r="Q374" s="56" t="n">
        <x:v>94.2</x:v>
      </x:c>
      <x:c r="R374" t="str">
        <x:v>X</x:v>
      </x:c>
      <x:c r="S374" s="102" t="n">
        <x:v>100</x:v>
      </x:c>
      <x:c r="T374" t="str">
        <x:v>IN TARGET BAND</x:v>
      </x:c>
      <x:c r="U374" t="n">
        <x:v>1704</x:v>
      </x:c>
      <x:c r="V374" t="str">
        <x:v>Pasted text(56).txt</x:v>
      </x:c>
    </x:row>
    <x:row r="375">
      <x:c r="A375" t="str">
        <x:v>S05</x:v>
      </x:c>
      <x:c r="B375" t="str">
        <x:v>1.28 validated five-run session</x:v>
      </x:c>
      <x:c r="C375" s="54" t="n">
        <x:v>1.28</x:v>
      </x:c>
      <x:c r="D375" t="n">
        <x:v>3</x:v>
      </x:c>
      <x:c r="E375" t="n">
        <x:v>1</x:v>
      </x:c>
      <x:c r="F375" t="str">
        <x:v>SEARCH</x:v>
      </x:c>
      <x:c r="G375" t="n">
        <x:v>1</x:v>
      </x:c>
      <x:c r="H375" s="54" t="n">
        <x:v>1</x:v>
      </x:c>
      <x:c r="I375" s="54" t="n">
        <x:v>0.01192</x:v>
      </x:c>
      <x:c r="J375" s="54" t="n">
        <x:v>0.01105</x:v>
      </x:c>
      <x:c r="K375" s="54" t="n">
        <x:v>0.02132</x:v>
      </x:c>
      <x:c r="L375" s="54" t="n">
        <x:v>0.02754</x:v>
      </x:c>
      <x:c r="M375" s="54" t="n">
        <x:v>0.03841</x:v>
      </x:c>
      <x:c r="N375" s="56" t="n">
        <x:v>-99.07</x:v>
      </x:c>
      <x:c r="O375" s="56" t="n">
        <x:v>21.68</x:v>
      </x:c>
      <x:c r="P375" s="56" t="n">
        <x:v>11.15</x:v>
      </x:c>
      <x:c r="Q375" s="56" t="n">
        <x:v>5.8</x:v>
      </x:c>
      <x:c r="R375" t="str">
        <x:v>Z</x:v>
      </x:c>
      <x:c r="S375" s="102" t="n">
        <x:v>40.1</x:v>
      </x:c>
      <x:c r="T375" t="str">
        <x:v>BELOW MEASUREMENT FLOOR — SEARCH CONTINUES</x:v>
      </x:c>
      <x:c r="U375" t="n">
        <x:v>1760</x:v>
      </x:c>
      <x:c r="V375" t="str">
        <x:v>Pasted text(56).txt</x:v>
      </x:c>
    </x:row>
    <x:row r="376">
      <x:c r="A376" t="str">
        <x:v>S05</x:v>
      </x:c>
      <x:c r="B376" t="str">
        <x:v>1.28 validated five-run session</x:v>
      </x:c>
      <x:c r="C376" s="54" t="n">
        <x:v>1.28</x:v>
      </x:c>
      <x:c r="D376" t="n">
        <x:v>3</x:v>
      </x:c>
      <x:c r="E376" t="n">
        <x:v>1</x:v>
      </x:c>
      <x:c r="F376" t="str">
        <x:v>SEARCH</x:v>
      </x:c>
      <x:c r="G376" t="n">
        <x:v>2</x:v>
      </x:c>
      <x:c r="H376" s="54" t="n">
        <x:v>3</x:v>
      </x:c>
      <x:c r="I376" s="54" t="n">
        <x:v>0.15733</x:v>
      </x:c>
      <x:c r="J376" s="54" t="n">
        <x:v>0.15935</x:v>
      </x:c>
      <x:c r="K376" s="54" t="n">
        <x:v>0.07248</x:v>
      </x:c>
      <x:c r="L376" s="54" t="n">
        <x:v>0.12001</x:v>
      </x:c>
      <x:c r="M376" s="54" t="n">
        <x:v>0.21713</x:v>
      </x:c>
      <x:c r="N376" s="56" t="n">
        <x:v>-87.71</x:v>
      </x:c>
      <x:c r="O376" s="56" t="n">
        <x:v>10.36</x:v>
      </x:c>
      <x:c r="P376" s="56" t="n">
        <x:v>8.87</x:v>
      </x:c>
      <x:c r="Q376" s="56" t="n">
        <x:v>54.1</x:v>
      </x:c>
      <x:c r="R376" t="str">
        <x:v>X</x:v>
      </x:c>
      <x:c r="S376" s="102" t="n">
        <x:v>100</x:v>
      </x:c>
      <x:c r="T376" t="str">
        <x:v>VALID</x:v>
      </x:c>
      <x:c r="U376" t="n">
        <x:v>1761</x:v>
      </x:c>
      <x:c r="V376" t="str">
        <x:v>Pasted text(56).txt</x:v>
      </x:c>
    </x:row>
    <x:row r="377">
      <x:c r="A377" t="str">
        <x:v>S05</x:v>
      </x:c>
      <x:c r="B377" t="str">
        <x:v>1.28 validated five-run session</x:v>
      </x:c>
      <x:c r="C377" s="54" t="n">
        <x:v>1.28</x:v>
      </x:c>
      <x:c r="D377" t="n">
        <x:v>3</x:v>
      </x:c>
      <x:c r="E377" t="n">
        <x:v>1</x:v>
      </x:c>
      <x:c r="F377" t="str">
        <x:v>SEARCH</x:v>
      </x:c>
      <x:c r="G377" t="n">
        <x:v>3</x:v>
      </x:c>
      <x:c r="H377" s="54" t="n">
        <x:v>5</x:v>
      </x:c>
      <x:c r="I377" s="54" t="n">
        <x:v>0.39417</x:v>
      </x:c>
      <x:c r="J377" s="54" t="n">
        <x:v>0.38927</x:v>
      </x:c>
      <x:c r="K377" s="54" t="n">
        <x:v>0.14992</x:v>
      </x:c>
      <x:c r="L377" s="54" t="n">
        <x:v>0.25457</x:v>
      </x:c>
      <x:c r="M377" s="54" t="n">
        <x:v>0.48914</x:v>
      </x:c>
      <x:c r="N377" s="56" t="n">
        <x:v>-69.21</x:v>
      </x:c>
      <x:c r="O377" s="56" t="n">
        <x:v>5.79</x:v>
      </x:c>
      <x:c r="P377" s="56" t="n">
        <x:v>5.95</x:v>
      </x:c>
      <x:c r="Q377" s="56" t="n">
        <x:v>82.9</x:v>
      </x:c>
      <x:c r="R377" t="str">
        <x:v>X</x:v>
      </x:c>
      <x:c r="S377" s="102" t="n">
        <x:v>100</x:v>
      </x:c>
      <x:c r="T377" t="str">
        <x:v>VALID</x:v>
      </x:c>
      <x:c r="U377" t="n">
        <x:v>1762</x:v>
      </x:c>
      <x:c r="V377" t="str">
        <x:v>Pasted text(56).txt</x:v>
      </x:c>
    </x:row>
    <x:row r="378">
      <x:c r="A378" t="str">
        <x:v>S05</x:v>
      </x:c>
      <x:c r="B378" t="str">
        <x:v>1.28 validated five-run session</x:v>
      </x:c>
      <x:c r="C378" s="54" t="n">
        <x:v>1.28</x:v>
      </x:c>
      <x:c r="D378" t="n">
        <x:v>3</x:v>
      </x:c>
      <x:c r="E378" t="n">
        <x:v>1</x:v>
      </x:c>
      <x:c r="F378" t="str">
        <x:v>SEARCH</x:v>
      </x:c>
      <x:c r="G378" t="n">
        <x:v>4</x:v>
      </x:c>
      <x:c r="H378" s="54" t="n">
        <x:v>6</x:v>
      </x:c>
      <x:c r="I378" s="54" t="n">
        <x:v>0.49526</x:v>
      </x:c>
      <x:c r="J378" s="54" t="n">
        <x:v>0.49741</x:v>
      </x:c>
      <x:c r="K378" s="54" t="n">
        <x:v>0.18863</x:v>
      </x:c>
      <x:c r="L378" s="54" t="n">
        <x:v>0.32305</x:v>
      </x:c>
      <x:c r="M378" s="54" t="n">
        <x:v>0.62266</x:v>
      </x:c>
      <x:c r="N378" s="56" t="n">
        <x:v>-61.31</x:v>
      </x:c>
      <x:c r="O378" s="56" t="n">
        <x:v>0.78</x:v>
      </x:c>
      <x:c r="P378" s="56" t="n">
        <x:v>1.23</x:v>
      </x:c>
      <x:c r="Q378" s="56" t="n">
        <x:v>86.9</x:v>
      </x:c>
      <x:c r="R378" t="str">
        <x:v>X</x:v>
      </x:c>
      <x:c r="S378" s="102" t="n">
        <x:v>100</x:v>
      </x:c>
      <x:c r="T378" t="str">
        <x:v>VALID</x:v>
      </x:c>
      <x:c r="U378" t="n">
        <x:v>1763</x:v>
      </x:c>
      <x:c r="V378" t="str">
        <x:v>Pasted text(56).txt</x:v>
      </x:c>
    </x:row>
    <x:row r="379">
      <x:c r="A379" t="str">
        <x:v>S05</x:v>
      </x:c>
      <x:c r="B379" t="str">
        <x:v>1.28 validated five-run session</x:v>
      </x:c>
      <x:c r="C379" s="54" t="n">
        <x:v>1.28</x:v>
      </x:c>
      <x:c r="D379" t="n">
        <x:v>3</x:v>
      </x:c>
      <x:c r="E379" t="n">
        <x:v>1</x:v>
      </x:c>
      <x:c r="F379" t="str">
        <x:v>SEARCH</x:v>
      </x:c>
      <x:c r="G379" t="n">
        <x:v>5</x:v>
      </x:c>
      <x:c r="H379" s="54" t="n">
        <x:v>7</x:v>
      </x:c>
      <x:c r="I379" s="54" t="n">
        <x:v>0.61546</x:v>
      </x:c>
      <x:c r="J379" s="54" t="n">
        <x:v>0.61037</x:v>
      </x:c>
      <x:c r="K379" s="54" t="n">
        <x:v>0.22472</x:v>
      </x:c>
      <x:c r="L379" s="54" t="n">
        <x:v>0.37539</x:v>
      </x:c>
      <x:c r="M379" s="54" t="n">
        <x:v>0.75148</x:v>
      </x:c>
      <x:c r="N379" s="56" t="n">
        <x:v>-51.92</x:v>
      </x:c>
      <x:c r="O379" s="56" t="n">
        <x:v>1.24</x:v>
      </x:c>
      <x:c r="P379" s="56" t="n">
        <x:v>2.22</x:v>
      </x:c>
      <x:c r="Q379" s="56" t="n">
        <x:v>88.4</x:v>
      </x:c>
      <x:c r="R379" t="str">
        <x:v>X</x:v>
      </x:c>
      <x:c r="S379" s="102" t="n">
        <x:v>100</x:v>
      </x:c>
      <x:c r="T379" t="str">
        <x:v>VALID</x:v>
      </x:c>
      <x:c r="U379" t="n">
        <x:v>1764</x:v>
      </x:c>
      <x:c r="V379" t="str">
        <x:v>Pasted text(56).txt</x:v>
      </x:c>
    </x:row>
    <x:row r="380">
      <x:c r="A380" t="str">
        <x:v>S05</x:v>
      </x:c>
      <x:c r="B380" t="str">
        <x:v>1.28 validated five-run session</x:v>
      </x:c>
      <x:c r="C380" s="54" t="n">
        <x:v>1.28</x:v>
      </x:c>
      <x:c r="D380" t="n">
        <x:v>3</x:v>
      </x:c>
      <x:c r="E380" t="n">
        <x:v>1</x:v>
      </x:c>
      <x:c r="F380" t="str">
        <x:v>SEARCH</x:v>
      </x:c>
      <x:c r="G380" t="n">
        <x:v>6</x:v>
      </x:c>
      <x:c r="H380" s="54" t="n">
        <x:v>8</x:v>
      </x:c>
      <x:c r="I380" s="54" t="n">
        <x:v>0.74603</x:v>
      </x:c>
      <x:c r="J380" s="54" t="n">
        <x:v>0.7408</x:v>
      </x:c>
      <x:c r="K380" s="54" t="n">
        <x:v>0.26388</x:v>
      </x:c>
      <x:c r="L380" s="54" t="n">
        <x:v>0.45559</x:v>
      </x:c>
      <x:c r="M380" s="54" t="n">
        <x:v>0.90901</x:v>
      </x:c>
      <x:c r="N380" s="56" t="n">
        <x:v>-41.72</x:v>
      </x:c>
      <x:c r="O380" s="56" t="n">
        <x:v>1.41</x:v>
      </x:c>
      <x:c r="P380" s="56" t="n">
        <x:v>2.11</x:v>
      </x:c>
      <x:c r="Q380" s="56" t="n">
        <x:v>90.8</x:v>
      </x:c>
      <x:c r="R380" t="str">
        <x:v>X</x:v>
      </x:c>
      <x:c r="S380" s="102" t="n">
        <x:v>100</x:v>
      </x:c>
      <x:c r="T380" t="str">
        <x:v>VALID</x:v>
      </x:c>
      <x:c r="U380" t="n">
        <x:v>1765</x:v>
      </x:c>
      <x:c r="V380" t="str">
        <x:v>Pasted text(56).txt</x:v>
      </x:c>
    </x:row>
    <x:row r="381">
      <x:c r="A381" t="str">
        <x:v>S05</x:v>
      </x:c>
      <x:c r="B381" t="str">
        <x:v>1.28 validated five-run session</x:v>
      </x:c>
      <x:c r="C381" s="54" t="n">
        <x:v>1.28</x:v>
      </x:c>
      <x:c r="D381" t="n">
        <x:v>3</x:v>
      </x:c>
      <x:c r="E381" t="n">
        <x:v>1</x:v>
      </x:c>
      <x:c r="F381" t="str">
        <x:v>SEARCH</x:v>
      </x:c>
      <x:c r="G381" t="n">
        <x:v>7</x:v>
      </x:c>
      <x:c r="H381" s="54" t="n">
        <x:v>9</x:v>
      </x:c>
      <x:c r="I381" s="54" t="n">
        <x:v>0.85862</x:v>
      </x:c>
      <x:c r="J381" s="54" t="n">
        <x:v>0.85509</x:v>
      </x:c>
      <x:c r="K381" s="54" t="n">
        <x:v>0.2999</x:v>
      </x:c>
      <x:c r="L381" s="54" t="n">
        <x:v>0.49223</x:v>
      </x:c>
      <x:c r="M381" s="54" t="n">
        <x:v>1.03129</x:v>
      </x:c>
      <x:c r="N381" s="56" t="n">
        <x:v>-32.92</x:v>
      </x:c>
      <x:c r="O381" s="56" t="n">
        <x:v>0.24</x:v>
      </x:c>
      <x:c r="P381" s="56" t="n">
        <x:v>0.86</x:v>
      </x:c>
      <x:c r="Q381" s="56" t="n">
        <x:v>90.9</x:v>
      </x:c>
      <x:c r="R381" t="str">
        <x:v>X</x:v>
      </x:c>
      <x:c r="S381" s="102" t="n">
        <x:v>100</x:v>
      </x:c>
      <x:c r="T381" t="str">
        <x:v>VALID</x:v>
      </x:c>
      <x:c r="U381" t="n">
        <x:v>1766</x:v>
      </x:c>
      <x:c r="V381" t="str">
        <x:v>Pasted text(56).txt</x:v>
      </x:c>
    </x:row>
    <x:row r="382">
      <x:c r="A382" t="str">
        <x:v>S05</x:v>
      </x:c>
      <x:c r="B382" t="str">
        <x:v>1.28 validated five-run session</x:v>
      </x:c>
      <x:c r="C382" s="54" t="n">
        <x:v>1.28</x:v>
      </x:c>
      <x:c r="D382" t="n">
        <x:v>3</x:v>
      </x:c>
      <x:c r="E382" t="n">
        <x:v>1</x:v>
      </x:c>
      <x:c r="F382" t="str">
        <x:v>SEARCH</x:v>
      </x:c>
      <x:c r="G382" t="n">
        <x:v>8</x:v>
      </x:c>
      <x:c r="H382" s="54" t="n">
        <x:v>9.5</x:v>
      </x:c>
      <x:c r="I382" s="54" t="n">
        <x:v>0.90089</x:v>
      </x:c>
      <x:c r="J382" s="54" t="n">
        <x:v>0.89812</x:v>
      </x:c>
      <x:c r="K382" s="54" t="n">
        <x:v>0.30692</x:v>
      </x:c>
      <x:c r="L382" s="54" t="n">
        <x:v>0.50395</x:v>
      </x:c>
      <x:c r="M382" s="54" t="n">
        <x:v>1.07494</x:v>
      </x:c>
      <x:c r="N382" s="56" t="n">
        <x:v>-29.62</x:v>
      </x:c>
      <x:c r="O382" s="56" t="n">
        <x:v>2.26</x:v>
      </x:c>
      <x:c r="P382" s="56" t="n">
        <x:v>2.01</x:v>
      </x:c>
      <x:c r="Q382" s="56" t="n">
        <x:v>91.2</x:v>
      </x:c>
      <x:c r="R382" t="str">
        <x:v>X</x:v>
      </x:c>
      <x:c r="S382" s="102" t="n">
        <x:v>100</x:v>
      </x:c>
      <x:c r="T382" t="str">
        <x:v>VALID</x:v>
      </x:c>
      <x:c r="U382" t="n">
        <x:v>1767</x:v>
      </x:c>
      <x:c r="V382" t="str">
        <x:v>Pasted text(56).txt</x:v>
      </x:c>
    </x:row>
    <x:row r="383">
      <x:c r="A383" t="str">
        <x:v>S05</x:v>
      </x:c>
      <x:c r="B383" t="str">
        <x:v>1.28 validated five-run session</x:v>
      </x:c>
      <x:c r="C383" s="54" t="n">
        <x:v>1.28</x:v>
      </x:c>
      <x:c r="D383" t="n">
        <x:v>3</x:v>
      </x:c>
      <x:c r="E383" t="n">
        <x:v>1</x:v>
      </x:c>
      <x:c r="F383" t="str">
        <x:v>SEARCH</x:v>
      </x:c>
      <x:c r="G383" t="n">
        <x:v>9</x:v>
      </x:c>
      <x:c r="H383" s="54" t="n">
        <x:v>10</x:v>
      </x:c>
      <x:c r="I383" s="54" t="n">
        <x:v>0.99157</x:v>
      </x:c>
      <x:c r="J383" s="54" t="n">
        <x:v>0.99117</x:v>
      </x:c>
      <x:c r="K383" s="54" t="n">
        <x:v>0.34408</x:v>
      </x:c>
      <x:c r="L383" s="54" t="n">
        <x:v>0.56171</x:v>
      </x:c>
      <x:c r="M383" s="54" t="n">
        <x:v>1.19017</x:v>
      </x:c>
      <x:c r="N383" s="56" t="n">
        <x:v>-22.53</x:v>
      </x:c>
      <x:c r="O383" s="56" t="n">
        <x:v>0.34</x:v>
      </x:c>
      <x:c r="P383" s="56" t="n">
        <x:v>0.29</x:v>
      </x:c>
      <x:c r="Q383" s="56" t="n">
        <x:v>92.6</x:v>
      </x:c>
      <x:c r="R383" t="str">
        <x:v>X</x:v>
      </x:c>
      <x:c r="S383" s="102" t="n">
        <x:v>100</x:v>
      </x:c>
      <x:c r="T383" t="str">
        <x:v>VALID</x:v>
      </x:c>
      <x:c r="U383" t="n">
        <x:v>1768</x:v>
      </x:c>
      <x:c r="V383" t="str">
        <x:v>Pasted text(56).txt</x:v>
      </x:c>
    </x:row>
    <x:row r="384">
      <x:c r="A384" t="str">
        <x:v>S05</x:v>
      </x:c>
      <x:c r="B384" t="str">
        <x:v>1.28 validated five-run session</x:v>
      </x:c>
      <x:c r="C384" s="54" t="n">
        <x:v>1.28</x:v>
      </x:c>
      <x:c r="D384" t="n">
        <x:v>3</x:v>
      </x:c>
      <x:c r="E384" t="n">
        <x:v>1</x:v>
      </x:c>
      <x:c r="F384" t="str">
        <x:v>SEARCH</x:v>
      </x:c>
      <x:c r="G384" t="n">
        <x:v>10</x:v>
      </x:c>
      <x:c r="H384" s="54" t="n">
        <x:v>10.5</x:v>
      </x:c>
      <x:c r="I384" s="54" t="n">
        <x:v>1.02109</x:v>
      </x:c>
      <x:c r="J384" s="54" t="n">
        <x:v>1.03099</x:v>
      </x:c>
      <x:c r="K384" s="54" t="n">
        <x:v>0.36392</x:v>
      </x:c>
      <x:c r="L384" s="54" t="n">
        <x:v>0.58503</x:v>
      </x:c>
      <x:c r="M384" s="54" t="n">
        <x:v>1.24038</x:v>
      </x:c>
      <x:c r="N384" s="56" t="n">
        <x:v>-20.23</x:v>
      </x:c>
      <x:c r="O384" s="56" t="n">
        <x:v>1.81</x:v>
      </x:c>
      <x:c r="P384" s="56" t="n">
        <x:v>2.78</x:v>
      </x:c>
      <x:c r="Q384" s="56" t="n">
        <x:v>91.8</x:v>
      </x:c>
      <x:c r="R384" t="str">
        <x:v>X</x:v>
      </x:c>
      <x:c r="S384" s="102" t="n">
        <x:v>100</x:v>
      </x:c>
      <x:c r="T384" t="str">
        <x:v>VALID</x:v>
      </x:c>
      <x:c r="U384" t="n">
        <x:v>1769</x:v>
      </x:c>
      <x:c r="V384" t="str">
        <x:v>Pasted text(56).txt</x:v>
      </x:c>
    </x:row>
    <x:row r="385">
      <x:c r="A385" t="str">
        <x:v>S05</x:v>
      </x:c>
      <x:c r="B385" t="str">
        <x:v>1.28 validated five-run session</x:v>
      </x:c>
      <x:c r="C385" s="54" t="n">
        <x:v>1.28</x:v>
      </x:c>
      <x:c r="D385" t="n">
        <x:v>3</x:v>
      </x:c>
      <x:c r="E385" t="n">
        <x:v>1</x:v>
      </x:c>
      <x:c r="F385" t="str">
        <x:v>SEARCH</x:v>
      </x:c>
      <x:c r="G385" t="n">
        <x:v>11</x:v>
      </x:c>
      <x:c r="H385" s="54" t="n">
        <x:v>11</x:v>
      </x:c>
      <x:c r="I385" s="54" t="n">
        <x:v>1.08932</x:v>
      </x:c>
      <x:c r="J385" s="54" t="n">
        <x:v>1.11281</x:v>
      </x:c>
      <x:c r="K385" s="54" t="n">
        <x:v>0.3897</x:v>
      </x:c>
      <x:c r="L385" s="54" t="n">
        <x:v>0.61711</x:v>
      </x:c>
      <x:c r="M385" s="54" t="n">
        <x:v>1.33132</x:v>
      </x:c>
      <x:c r="N385" s="56" t="n">
        <x:v>-14.9</x:v>
      </x:c>
      <x:c r="O385" s="56" t="n">
        <x:v>0.48</x:v>
      </x:c>
      <x:c r="P385" s="56" t="n">
        <x:v>3.93</x:v>
      </x:c>
      <x:c r="Q385" s="56" t="n">
        <x:v>92.7</x:v>
      </x:c>
      <x:c r="R385" t="str">
        <x:v>X</x:v>
      </x:c>
      <x:c r="S385" s="102" t="n">
        <x:v>100</x:v>
      </x:c>
      <x:c r="T385" t="str">
        <x:v>VALID</x:v>
      </x:c>
      <x:c r="U385" t="n">
        <x:v>1770</x:v>
      </x:c>
      <x:c r="V385" t="str">
        <x:v>Pasted text(56).txt</x:v>
      </x:c>
    </x:row>
    <x:row r="386">
      <x:c r="A386" t="str">
        <x:v>S05</x:v>
      </x:c>
      <x:c r="B386" t="str">
        <x:v>1.28 validated five-run session</x:v>
      </x:c>
      <x:c r="C386" s="54" t="n">
        <x:v>1.28</x:v>
      </x:c>
      <x:c r="D386" t="n">
        <x:v>3</x:v>
      </x:c>
      <x:c r="E386" t="n">
        <x:v>1</x:v>
      </x:c>
      <x:c r="F386" t="str">
        <x:v>SEARCH</x:v>
      </x:c>
      <x:c r="G386" t="n">
        <x:v>12</x:v>
      </x:c>
      <x:c r="H386" s="54" t="n">
        <x:v>11.25</x:v>
      </x:c>
      <x:c r="I386" s="54" t="n">
        <x:v>1.14286</x:v>
      </x:c>
      <x:c r="J386" s="54" t="n">
        <x:v>1.15769</x:v>
      </x:c>
      <x:c r="K386" s="54" t="n">
        <x:v>0.38693</x:v>
      </x:c>
      <x:c r="L386" s="54" t="n">
        <x:v>0.63865</x:v>
      </x:c>
      <x:c r="M386" s="54" t="n">
        <x:v>1.37802</x:v>
      </x:c>
      <x:c r="N386" s="56" t="n">
        <x:v>-10.71</x:v>
      </x:c>
      <x:c r="O386" s="56" t="n">
        <x:v>0.39</x:v>
      </x:c>
      <x:c r="P386" s="56" t="n">
        <x:v>2.45</x:v>
      </x:c>
      <x:c r="Q386" s="56" t="n">
        <x:v>93.4</x:v>
      </x:c>
      <x:c r="R386" t="str">
        <x:v>X</x:v>
      </x:c>
      <x:c r="S386" s="102" t="n">
        <x:v>100</x:v>
      </x:c>
      <x:c r="T386" t="str">
        <x:v>VALID</x:v>
      </x:c>
      <x:c r="U386" t="n">
        <x:v>1771</x:v>
      </x:c>
      <x:c r="V386" t="str">
        <x:v>Pasted text(56).txt</x:v>
      </x:c>
    </x:row>
    <x:row r="387">
      <x:c r="A387" t="str">
        <x:v>S05</x:v>
      </x:c>
      <x:c r="B387" t="str">
        <x:v>1.28 validated five-run session</x:v>
      </x:c>
      <x:c r="C387" s="54" t="n">
        <x:v>1.28</x:v>
      </x:c>
      <x:c r="D387" t="n">
        <x:v>3</x:v>
      </x:c>
      <x:c r="E387" t="n">
        <x:v>1</x:v>
      </x:c>
      <x:c r="F387" t="str">
        <x:v>SEARCH</x:v>
      </x:c>
      <x:c r="G387" t="n">
        <x:v>13</x:v>
      </x:c>
      <x:c r="H387" s="54" t="n">
        <x:v>11.5</x:v>
      </x:c>
      <x:c r="I387" s="54" t="n">
        <x:v>1.1811</x:v>
      </x:c>
      <x:c r="J387" s="54" t="n">
        <x:v>1.17143</x:v>
      </x:c>
      <x:c r="K387" s="54" t="n">
        <x:v>0.40578</x:v>
      </x:c>
      <x:c r="L387" s="54" t="n">
        <x:v>0.62926</x:v>
      </x:c>
      <x:c r="M387" s="54" t="n">
        <x:v>1.3905</x:v>
      </x:c>
      <x:c r="N387" s="56" t="n">
        <x:v>-7.73</x:v>
      </x:c>
      <x:c r="O387" s="56" t="n">
        <x:v>0.04</x:v>
      </x:c>
      <x:c r="P387" s="56" t="n">
        <x:v>1.45</x:v>
      </x:c>
      <x:c r="Q387" s="56" t="n">
        <x:v>93.2</x:v>
      </x:c>
      <x:c r="R387" t="str">
        <x:v>X</x:v>
      </x:c>
      <x:c r="S387" s="102" t="n">
        <x:v>100</x:v>
      </x:c>
      <x:c r="T387" t="str">
        <x:v>VALID</x:v>
      </x:c>
      <x:c r="U387" t="n">
        <x:v>1772</x:v>
      </x:c>
      <x:c r="V387" t="str">
        <x:v>Pasted text(56).txt</x:v>
      </x:c>
    </x:row>
    <x:row r="388">
      <x:c r="A388" t="str">
        <x:v>S05</x:v>
      </x:c>
      <x:c r="B388" t="str">
        <x:v>1.28 validated five-run session</x:v>
      </x:c>
      <x:c r="C388" s="54" t="n">
        <x:v>1.28</x:v>
      </x:c>
      <x:c r="D388" t="n">
        <x:v>3</x:v>
      </x:c>
      <x:c r="E388" t="n">
        <x:v>1</x:v>
      </x:c>
      <x:c r="F388" t="str">
        <x:v>SEARCH</x:v>
      </x:c>
      <x:c r="G388" t="n">
        <x:v>14</x:v>
      </x:c>
      <x:c r="H388" s="54" t="n">
        <x:v>11.75</x:v>
      </x:c>
      <x:c r="I388" s="54" t="n">
        <x:v>1.20808</x:v>
      </x:c>
      <x:c r="J388" s="54" t="n">
        <x:v>1.20846</x:v>
      </x:c>
      <x:c r="K388" s="54" t="n">
        <x:v>0.40812</x:v>
      </x:c>
      <x:c r="L388" s="54" t="n">
        <x:v>0.6812</x:v>
      </x:c>
      <x:c r="M388" s="54" t="n">
        <x:v>1.44624</x:v>
      </x:c>
      <x:c r="N388" s="56" t="n">
        <x:v>-5.62</x:v>
      </x:c>
      <x:c r="O388" s="56" t="n">
        <x:v>1.13</x:v>
      </x:c>
      <x:c r="P388" s="56" t="n">
        <x:v>0.81</x:v>
      </x:c>
      <x:c r="Q388" s="56" t="n">
        <x:v>93.1</x:v>
      </x:c>
      <x:c r="R388" t="str">
        <x:v>X</x:v>
      </x:c>
      <x:c r="S388" s="102" t="n">
        <x:v>100</x:v>
      </x:c>
      <x:c r="T388" t="str">
        <x:v>IN TARGET BAND</x:v>
      </x:c>
      <x:c r="U388" t="n">
        <x:v>1773</x:v>
      </x:c>
      <x:c r="V388" t="str">
        <x:v>Pasted text(56).txt</x:v>
      </x:c>
    </x:row>
    <x:row r="389">
      <x:c r="A389" t="str">
        <x:v>S05</x:v>
      </x:c>
      <x:c r="B389" t="str">
        <x:v>1.28 validated five-run session</x:v>
      </x:c>
      <x:c r="C389" s="54" t="n">
        <x:v>1.28</x:v>
      </x:c>
      <x:c r="D389" t="n">
        <x:v>3</x:v>
      </x:c>
      <x:c r="E389" t="n">
        <x:v>1</x:v>
      </x:c>
      <x:c r="F389" t="str">
        <x:v>FINE</x:v>
      </x:c>
      <x:c r="G389" t="n">
        <x:v>1</x:v>
      </x:c>
      <x:c r="H389" s="54" t="n">
        <x:v>10.75</x:v>
      </x:c>
      <x:c r="I389" s="54" t="n">
        <x:v>1.09342</x:v>
      </x:c>
      <x:c r="J389" s="54" t="n">
        <x:v>1.09037</x:v>
      </x:c>
      <x:c r="K389" s="54" t="n">
        <x:v>0.36926</x:v>
      </x:c>
      <x:c r="L389" s="54" t="n">
        <x:v>0.60823</x:v>
      </x:c>
      <x:c r="M389" s="54" t="n">
        <x:v>1.30217</x:v>
      </x:c>
      <x:c r="N389" s="56" t="n">
        <x:v>-14.58</x:v>
      </x:c>
      <x:c r="O389" s="56" t="n">
        <x:v>0.36</x:v>
      </x:c>
      <x:c r="P389" s="56" t="n">
        <x:v>0.71</x:v>
      </x:c>
      <x:c r="Q389" s="56" t="n">
        <x:v>93.4</x:v>
      </x:c>
      <x:c r="R389" t="str">
        <x:v>X</x:v>
      </x:c>
      <x:c r="S389" s="102" t="n">
        <x:v>100</x:v>
      </x:c>
      <x:c r="T389" t="str">
        <x:v>VALID</x:v>
      </x:c>
      <x:c r="U389" t="n">
        <x:v>1777</x:v>
      </x:c>
      <x:c r="V389" t="str">
        <x:v>Pasted text(56).txt</x:v>
      </x:c>
    </x:row>
    <x:row r="390">
      <x:c r="A390" t="str">
        <x:v>S05</x:v>
      </x:c>
      <x:c r="B390" t="str">
        <x:v>1.28 validated five-run session</x:v>
      </x:c>
      <x:c r="C390" s="54" t="n">
        <x:v>1.28</x:v>
      </x:c>
      <x:c r="D390" t="n">
        <x:v>3</x:v>
      </x:c>
      <x:c r="E390" t="n">
        <x:v>1</x:v>
      </x:c>
      <x:c r="F390" t="str">
        <x:v>FINE</x:v>
      </x:c>
      <x:c r="G390" t="n">
        <x:v>2</x:v>
      </x:c>
      <x:c r="H390" s="54" t="n">
        <x:v>11</x:v>
      </x:c>
      <x:c r="I390" s="54" t="n">
        <x:v>1.10826</x:v>
      </x:c>
      <x:c r="J390" s="54" t="n">
        <x:v>1.11226</x:v>
      </x:c>
      <x:c r="K390" s="54" t="n">
        <x:v>0.39703</x:v>
      </x:c>
      <x:c r="L390" s="54" t="n">
        <x:v>0.62859</x:v>
      </x:c>
      <x:c r="M390" s="54" t="n">
        <x:v>1.33795</x:v>
      </x:c>
      <x:c r="N390" s="56" t="n">
        <x:v>-13.42</x:v>
      </x:c>
      <x:c r="O390" s="56" t="n">
        <x:v>0.61</x:v>
      </x:c>
      <x:c r="P390" s="56" t="n">
        <x:v>1</x:v>
      </x:c>
      <x:c r="Q390" s="56" t="n">
        <x:v>92.2</x:v>
      </x:c>
      <x:c r="R390" t="str">
        <x:v>X</x:v>
      </x:c>
      <x:c r="S390" s="102" t="n">
        <x:v>100</x:v>
      </x:c>
      <x:c r="T390" t="str">
        <x:v>VALID</x:v>
      </x:c>
      <x:c r="U390" t="n">
        <x:v>1778</x:v>
      </x:c>
      <x:c r="V390" t="str">
        <x:v>Pasted text(56).txt</x:v>
      </x:c>
    </x:row>
    <x:row r="391">
      <x:c r="A391" t="str">
        <x:v>S05</x:v>
      </x:c>
      <x:c r="B391" t="str">
        <x:v>1.28 validated five-run session</x:v>
      </x:c>
      <x:c r="C391" s="54" t="n">
        <x:v>1.28</x:v>
      </x:c>
      <x:c r="D391" t="n">
        <x:v>3</x:v>
      </x:c>
      <x:c r="E391" t="n">
        <x:v>1</x:v>
      </x:c>
      <x:c r="F391" t="str">
        <x:v>FINE</x:v>
      </x:c>
      <x:c r="G391" t="n">
        <x:v>3</x:v>
      </x:c>
      <x:c r="H391" s="54" t="n">
        <x:v>11.25</x:v>
      </x:c>
      <x:c r="I391" s="54" t="n">
        <x:v>1.12619</x:v>
      </x:c>
      <x:c r="J391" s="54" t="n">
        <x:v>1.12054</x:v>
      </x:c>
      <x:c r="K391" s="54" t="n">
        <x:v>0.3886</x:v>
      </x:c>
      <x:c r="L391" s="54" t="n">
        <x:v>0.64117</x:v>
      </x:c>
      <x:c r="M391" s="54" t="n">
        <x:v>1.34823</x:v>
      </x:c>
      <x:c r="N391" s="56" t="n">
        <x:v>-12.02</x:v>
      </x:c>
      <x:c r="O391" s="56" t="n">
        <x:v>1.1</x:v>
      </x:c>
      <x:c r="P391" s="56" t="n">
        <x:v>1.57</x:v>
      </x:c>
      <x:c r="Q391" s="56" t="n">
        <x:v>92.4</x:v>
      </x:c>
      <x:c r="R391" t="str">
        <x:v>X</x:v>
      </x:c>
      <x:c r="S391" s="102" t="n">
        <x:v>100</x:v>
      </x:c>
      <x:c r="T391" t="str">
        <x:v>VALID</x:v>
      </x:c>
      <x:c r="U391" t="n">
        <x:v>1779</x:v>
      </x:c>
      <x:c r="V391" t="str">
        <x:v>Pasted text(56).txt</x:v>
      </x:c>
    </x:row>
    <x:row r="392">
      <x:c r="A392" t="str">
        <x:v>S05</x:v>
      </x:c>
      <x:c r="B392" t="str">
        <x:v>1.28 validated five-run session</x:v>
      </x:c>
      <x:c r="C392" s="54" t="n">
        <x:v>1.28</x:v>
      </x:c>
      <x:c r="D392" t="n">
        <x:v>3</x:v>
      </x:c>
      <x:c r="E392" t="n">
        <x:v>1</x:v>
      </x:c>
      <x:c r="F392" t="str">
        <x:v>FINE</x:v>
      </x:c>
      <x:c r="G392" t="n">
        <x:v>4</x:v>
      </x:c>
      <x:c r="H392" s="54" t="n">
        <x:v>11.5</x:v>
      </x:c>
      <x:c r="I392" s="54" t="n">
        <x:v>1.15142</x:v>
      </x:c>
      <x:c r="J392" s="54" t="n">
        <x:v>1.15277</x:v>
      </x:c>
      <x:c r="K392" s="54" t="n">
        <x:v>0.41646</x:v>
      </x:c>
      <x:c r="L392" s="54" t="n">
        <x:v>0.65478</x:v>
      </x:c>
      <x:c r="M392" s="54" t="n">
        <x:v>1.38966</x:v>
      </x:c>
      <x:c r="N392" s="56" t="n">
        <x:v>-10.05</x:v>
      </x:c>
      <x:c r="O392" s="56" t="n">
        <x:v>1.38</x:v>
      </x:c>
      <x:c r="P392" s="56" t="n">
        <x:v>1.11</x:v>
      </x:c>
      <x:c r="Q392" s="56" t="n">
        <x:v>92.9</x:v>
      </x:c>
      <x:c r="R392" t="str">
        <x:v>X</x:v>
      </x:c>
      <x:c r="S392" s="102" t="n">
        <x:v>100</x:v>
      </x:c>
      <x:c r="T392" t="str">
        <x:v>VALID</x:v>
      </x:c>
      <x:c r="U392" t="n">
        <x:v>1780</x:v>
      </x:c>
      <x:c r="V392" t="str">
        <x:v>Pasted text(56).txt</x:v>
      </x:c>
    </x:row>
    <x:row r="393">
      <x:c r="A393" t="str">
        <x:v>S05</x:v>
      </x:c>
      <x:c r="B393" t="str">
        <x:v>1.28 validated five-run session</x:v>
      </x:c>
      <x:c r="C393" s="54" t="n">
        <x:v>1.28</x:v>
      </x:c>
      <x:c r="D393" t="n">
        <x:v>3</x:v>
      </x:c>
      <x:c r="E393" t="n">
        <x:v>1</x:v>
      </x:c>
      <x:c r="F393" t="str">
        <x:v>FINE</x:v>
      </x:c>
      <x:c r="G393" t="n">
        <x:v>5</x:v>
      </x:c>
      <x:c r="H393" s="54" t="n">
        <x:v>11.75</x:v>
      </x:c>
      <x:c r="I393" s="54" t="n">
        <x:v>1.20011</x:v>
      </x:c>
      <x:c r="J393" s="54" t="n">
        <x:v>1.20611</x:v>
      </x:c>
      <x:c r="K393" s="54" t="n">
        <x:v>0.40406</x:v>
      </x:c>
      <x:c r="L393" s="54" t="n">
        <x:v>0.68533</x:v>
      </x:c>
      <x:c r="M393" s="54" t="n">
        <x:v>1.44493</x:v>
      </x:c>
      <x:c r="N393" s="56" t="n">
        <x:v>-6.24</x:v>
      </x:c>
      <x:c r="O393" s="56" t="n">
        <x:v>0.44</x:v>
      </x:c>
      <x:c r="P393" s="56" t="n">
        <x:v>1.12</x:v>
      </x:c>
      <x:c r="Q393" s="56" t="n">
        <x:v>93</x:v>
      </x:c>
      <x:c r="R393" t="str">
        <x:v>X</x:v>
      </x:c>
      <x:c r="S393" s="102" t="n">
        <x:v>100</x:v>
      </x:c>
      <x:c r="T393" t="str">
        <x:v>IN TARGET BAND</x:v>
      </x:c>
      <x:c r="U393" t="n">
        <x:v>1781</x:v>
      </x:c>
      <x:c r="V393" t="str">
        <x:v>Pasted text(56).txt</x:v>
      </x:c>
    </x:row>
    <x:row r="394">
      <x:c r="A394" t="str">
        <x:v>S05</x:v>
      </x:c>
      <x:c r="B394" t="str">
        <x:v>1.28 validated five-run session</x:v>
      </x:c>
      <x:c r="C394" s="54" t="n">
        <x:v>1.28</x:v>
      </x:c>
      <x:c r="D394" t="n">
        <x:v>3</x:v>
      </x:c>
      <x:c r="E394" t="n">
        <x:v>1</x:v>
      </x:c>
      <x:c r="F394" t="str">
        <x:v>FINE</x:v>
      </x:c>
      <x:c r="G394" t="n">
        <x:v>6</x:v>
      </x:c>
      <x:c r="H394" s="54" t="n">
        <x:v>12</x:v>
      </x:c>
      <x:c r="I394" s="54" t="n">
        <x:v>1.21622</x:v>
      </x:c>
      <x:c r="J394" s="54" t="n">
        <x:v>1.22764</x:v>
      </x:c>
      <x:c r="K394" s="54" t="n">
        <x:v>0.42038</x:v>
      </x:c>
      <x:c r="L394" s="54" t="n">
        <x:v>0.68432</x:v>
      </x:c>
      <x:c r="M394" s="54" t="n">
        <x:v>1.46712</x:v>
      </x:c>
      <x:c r="N394" s="56" t="n">
        <x:v>-4.98</x:v>
      </x:c>
      <x:c r="O394" s="56" t="n">
        <x:v>0.15</x:v>
      </x:c>
      <x:c r="P394" s="56" t="n">
        <x:v>1.7</x:v>
      </x:c>
      <x:c r="Q394" s="56" t="n">
        <x:v>92.9</x:v>
      </x:c>
      <x:c r="R394" t="str">
        <x:v>X</x:v>
      </x:c>
      <x:c r="S394" s="102" t="n">
        <x:v>100</x:v>
      </x:c>
      <x:c r="T394" t="str">
        <x:v>IN TARGET BAND</x:v>
      </x:c>
      <x:c r="U394" t="n">
        <x:v>1782</x:v>
      </x:c>
      <x:c r="V394" t="str">
        <x:v>Pasted text(56).txt</x:v>
      </x:c>
    </x:row>
    <x:row r="395">
      <x:c r="A395" t="str">
        <x:v>S05</x:v>
      </x:c>
      <x:c r="B395" t="str">
        <x:v>1.28 validated five-run session</x:v>
      </x:c>
      <x:c r="C395" s="54" t="n">
        <x:v>1.28</x:v>
      </x:c>
      <x:c r="D395" t="n">
        <x:v>3</x:v>
      </x:c>
      <x:c r="E395" t="n">
        <x:v>1</x:v>
      </x:c>
      <x:c r="F395" t="str">
        <x:v>FINE</x:v>
      </x:c>
      <x:c r="G395" t="n">
        <x:v>7</x:v>
      </x:c>
      <x:c r="H395" s="54" t="n">
        <x:v>12.25</x:v>
      </x:c>
      <x:c r="I395" s="54" t="n">
        <x:v>1.25173</x:v>
      </x:c>
      <x:c r="J395" s="54" t="n">
        <x:v>1.2624</x:v>
      </x:c>
      <x:c r="K395" s="54" t="n">
        <x:v>0.43591</x:v>
      </x:c>
      <x:c r="L395" s="54" t="n">
        <x:v>0.66747</x:v>
      </x:c>
      <x:c r="M395" s="54" t="n">
        <x:v>1.49309</x:v>
      </x:c>
      <x:c r="N395" s="56" t="n">
        <x:v>-2.21</x:v>
      </x:c>
      <x:c r="O395" s="56" t="n">
        <x:v>0.38</x:v>
      </x:c>
      <x:c r="P395" s="56" t="n">
        <x:v>1.69</x:v>
      </x:c>
      <x:c r="Q395" s="56" t="n">
        <x:v>93.6</x:v>
      </x:c>
      <x:c r="R395" t="str">
        <x:v>X</x:v>
      </x:c>
      <x:c r="S395" s="102" t="n">
        <x:v>100</x:v>
      </x:c>
      <x:c r="T395" t="str">
        <x:v>IN TARGET BAND</x:v>
      </x:c>
      <x:c r="U395" t="n">
        <x:v>1783</x:v>
      </x:c>
      <x:c r="V395" t="str">
        <x:v>Pasted text(56).txt</x:v>
      </x:c>
    </x:row>
    <x:row r="396">
      <x:c r="A396" t="str">
        <x:v>S05</x:v>
      </x:c>
      <x:c r="B396" t="str">
        <x:v>1.28 validated five-run session</x:v>
      </x:c>
      <x:c r="C396" s="54" t="n">
        <x:v>1.28</x:v>
      </x:c>
      <x:c r="D396" t="n">
        <x:v>3</x:v>
      </x:c>
      <x:c r="E396" t="n">
        <x:v>1</x:v>
      </x:c>
      <x:c r="F396" t="str">
        <x:v>FINE</x:v>
      </x:c>
      <x:c r="G396" t="n">
        <x:v>8</x:v>
      </x:c>
      <x:c r="H396" s="54" t="n">
        <x:v>12.5</x:v>
      </x:c>
      <x:c r="I396" s="54" t="n">
        <x:v>1.27122</x:v>
      </x:c>
      <x:c r="J396" s="54" t="n">
        <x:v>1.26738</x:v>
      </x:c>
      <x:c r="K396" s="54" t="n">
        <x:v>0.4198</x:v>
      </x:c>
      <x:c r="L396" s="54" t="n">
        <x:v>0.70696</x:v>
      </x:c>
      <x:c r="M396" s="54" t="n">
        <x:v>1.51076</x:v>
      </x:c>
      <x:c r="N396" s="56" t="n">
        <x:v>-0.69</x:v>
      </x:c>
      <x:c r="O396" s="56" t="n">
        <x:v>0.32</x:v>
      </x:c>
      <x:c r="P396" s="56" t="n">
        <x:v>0.72</x:v>
      </x:c>
      <x:c r="Q396" s="56" t="n">
        <x:v>94.1</x:v>
      </x:c>
      <x:c r="R396" t="str">
        <x:v>X</x:v>
      </x:c>
      <x:c r="S396" s="102" t="n">
        <x:v>100</x:v>
      </x:c>
      <x:c r="T396" t="str">
        <x:v>IN TARGET BAND</x:v>
      </x:c>
      <x:c r="U396" t="n">
        <x:v>1784</x:v>
      </x:c>
      <x:c r="V396" t="str">
        <x:v>Pasted text(56).txt</x:v>
      </x:c>
    </x:row>
    <x:row r="397">
      <x:c r="A397" t="str">
        <x:v>S05</x:v>
      </x:c>
      <x:c r="B397" t="str">
        <x:v>1.28 validated five-run session</x:v>
      </x:c>
      <x:c r="C397" s="54" t="n">
        <x:v>1.28</x:v>
      </x:c>
      <x:c r="D397" t="n">
        <x:v>3</x:v>
      </x:c>
      <x:c r="E397" t="n">
        <x:v>1</x:v>
      </x:c>
      <x:c r="F397" t="str">
        <x:v>FINE</x:v>
      </x:c>
      <x:c r="G397" t="n">
        <x:v>9</x:v>
      </x:c>
      <x:c r="H397" s="54" t="n">
        <x:v>12.75</x:v>
      </x:c>
      <x:c r="I397" s="54" t="n">
        <x:v>1.32905</x:v>
      </x:c>
      <x:c r="J397" s="54" t="n">
        <x:v>1.3291</x:v>
      </x:c>
      <x:c r="K397" s="54" t="n">
        <x:v>0.44541</x:v>
      </x:c>
      <x:c r="L397" s="54" t="n">
        <x:v>0.74858</x:v>
      </x:c>
      <x:c r="M397" s="54" t="n">
        <x:v>1.58919</x:v>
      </x:c>
      <x:c r="N397" s="56" t="n">
        <x:v>3.83</x:v>
      </x:c>
      <x:c r="O397" s="56" t="n">
        <x:v>1.27</x:v>
      </x:c>
      <x:c r="P397" s="56" t="n">
        <x:v>0.86</x:v>
      </x:c>
      <x:c r="Q397" s="56" t="n">
        <x:v>93.5</x:v>
      </x:c>
      <x:c r="R397" t="str">
        <x:v>X</x:v>
      </x:c>
      <x:c r="S397" s="102" t="n">
        <x:v>100</x:v>
      </x:c>
      <x:c r="T397" t="str">
        <x:v>IN TARGET BAND</x:v>
      </x:c>
      <x:c r="U397" t="n">
        <x:v>1785</x:v>
      </x:c>
      <x:c r="V397" t="str">
        <x:v>Pasted text(56).txt</x:v>
      </x:c>
    </x:row>
    <x:row r="398">
      <x:c r="A398" t="str">
        <x:v>S05</x:v>
      </x:c>
      <x:c r="B398" t="str">
        <x:v>1.28 validated five-run session</x:v>
      </x:c>
      <x:c r="C398" s="54" t="n">
        <x:v>1.28</x:v>
      </x:c>
      <x:c r="D398" t="n">
        <x:v>3</x:v>
      </x:c>
      <x:c r="E398" t="n">
        <x:v>1</x:v>
      </x:c>
      <x:c r="F398" t="str">
        <x:v>FINAL</x:v>
      </x:c>
      <x:c r="G398" t="n">
        <x:v>1</x:v>
      </x:c>
      <x:c r="H398" s="54" t="n">
        <x:v>12.5</x:v>
      </x:c>
      <x:c r="I398" s="54" t="n">
        <x:v>1.28668</x:v>
      </x:c>
      <x:c r="J398" s="54" t="n">
        <x:v>1.28301</x:v>
      </x:c>
      <x:c r="K398" s="54" t="n">
        <x:v>0.44077</x:v>
      </x:c>
      <x:c r="L398" s="54" t="n">
        <x:v>0.67858</x:v>
      </x:c>
      <x:c r="M398" s="54" t="n">
        <x:v>1.51701</x:v>
      </x:c>
      <x:c r="N398" s="56" t="n">
        <x:v>0.52</x:v>
      </x:c>
      <x:c r="O398" s="56" t="n">
        <x:v>2.13</x:v>
      </x:c>
      <x:c r="P398" s="56" t="n">
        <x:v>1.77</x:v>
      </x:c>
      <x:c r="Q398" s="56" t="n">
        <x:v>93.9</x:v>
      </x:c>
      <x:c r="R398" t="str">
        <x:v>X</x:v>
      </x:c>
      <x:c r="S398" s="102" t="n">
        <x:v>100</x:v>
      </x:c>
      <x:c r="T398" t="str">
        <x:v>IN TARGET BAND</x:v>
      </x:c>
      <x:c r="U398" t="n">
        <x:v>1788</x:v>
      </x:c>
      <x:c r="V398" t="str">
        <x:v>Pasted text(56).txt</x:v>
      </x:c>
    </x:row>
    <x:row r="399">
      <x:c r="A399" t="str">
        <x:v>S05</x:v>
      </x:c>
      <x:c r="B399" t="str">
        <x:v>1.28 validated five-run session</x:v>
      </x:c>
      <x:c r="C399" s="54" t="n">
        <x:v>1.28</x:v>
      </x:c>
      <x:c r="D399" t="n">
        <x:v>3</x:v>
      </x:c>
      <x:c r="E399" t="n">
        <x:v>1</x:v>
      </x:c>
      <x:c r="F399" t="str">
        <x:v>FINAL</x:v>
      </x:c>
      <x:c r="G399" t="n">
        <x:v>2</x:v>
      </x:c>
      <x:c r="H399" s="54" t="n">
        <x:v>12.5</x:v>
      </x:c>
      <x:c r="I399" s="54" t="n">
        <x:v>1.27693</x:v>
      </x:c>
      <x:c r="J399" s="54" t="n">
        <x:v>1.28036</x:v>
      </x:c>
      <x:c r="K399" s="54" t="n">
        <x:v>0.42554</x:v>
      </x:c>
      <x:c r="L399" s="54" t="n">
        <x:v>0.69751</x:v>
      </x:c>
      <x:c r="M399" s="54" t="n">
        <x:v>1.51913</x:v>
      </x:c>
      <x:c r="N399" s="56" t="n">
        <x:v>-0.24</x:v>
      </x:c>
      <x:c r="O399" s="56" t="n">
        <x:v>0.96</x:v>
      </x:c>
      <x:c r="P399" s="56" t="n">
        <x:v>1.52</x:v>
      </x:c>
      <x:c r="Q399" s="56" t="n">
        <x:v>93.9</x:v>
      </x:c>
      <x:c r="R399" t="str">
        <x:v>X</x:v>
      </x:c>
      <x:c r="S399" s="102" t="n">
        <x:v>100</x:v>
      </x:c>
      <x:c r="T399" t="str">
        <x:v>IN TARGET BAND</x:v>
      </x:c>
      <x:c r="U399" t="n">
        <x:v>1789</x:v>
      </x:c>
      <x:c r="V399" t="str">
        <x:v>Pasted text(56).txt</x:v>
      </x:c>
    </x:row>
    <x:row r="400">
      <x:c r="A400" t="str">
        <x:v>S05</x:v>
      </x:c>
      <x:c r="B400" t="str">
        <x:v>1.28 validated five-run session</x:v>
      </x:c>
      <x:c r="C400" s="54" t="n">
        <x:v>1.28</x:v>
      </x:c>
      <x:c r="D400" t="n">
        <x:v>4</x:v>
      </x:c>
      <x:c r="E400" t="n">
        <x:v>1</x:v>
      </x:c>
      <x:c r="F400" t="str">
        <x:v>SEARCH</x:v>
      </x:c>
      <x:c r="G400" t="n">
        <x:v>1</x:v>
      </x:c>
      <x:c r="H400" s="54" t="n">
        <x:v>1</x:v>
      </x:c>
      <x:c r="I400" s="54" t="n">
        <x:v>0.01567</x:v>
      </x:c>
      <x:c r="J400" s="54" t="n">
        <x:v>0.01586</x:v>
      </x:c>
      <x:c r="K400" s="54" t="n">
        <x:v>0.01789</x:v>
      </x:c>
      <x:c r="L400" s="54" t="n">
        <x:v>0.04766</x:v>
      </x:c>
      <x:c r="M400" s="54" t="n">
        <x:v>0.05356</x:v>
      </x:c>
      <x:c r="N400" s="56" t="n">
        <x:v>-98.78</x:v>
      </x:c>
      <x:c r="O400" s="56" t="n">
        <x:v>3.63</x:v>
      </x:c>
      <x:c r="P400" s="56" t="n">
        <x:v>1.71</x:v>
      </x:c>
      <x:c r="Q400" s="56" t="n">
        <x:v>8.6</x:v>
      </x:c>
      <x:c r="R400" t="str">
        <x:v>Z</x:v>
      </x:c>
      <x:c r="S400" s="102" t="n">
        <x:v>33.3</x:v>
      </x:c>
      <x:c r="T400" t="str">
        <x:v>BELOW MEASUREMENT FLOOR — SEARCH CONTINUES</x:v>
      </x:c>
      <x:c r="U400" t="n">
        <x:v>1845</x:v>
      </x:c>
      <x:c r="V400" t="str">
        <x:v>Pasted text(56).txt</x:v>
      </x:c>
    </x:row>
    <x:row r="401">
      <x:c r="A401" t="str">
        <x:v>S05</x:v>
      </x:c>
      <x:c r="B401" t="str">
        <x:v>1.28 validated five-run session</x:v>
      </x:c>
      <x:c r="C401" s="54" t="n">
        <x:v>1.28</x:v>
      </x:c>
      <x:c r="D401" t="n">
        <x:v>4</x:v>
      </x:c>
      <x:c r="E401" t="n">
        <x:v>1</x:v>
      </x:c>
      <x:c r="F401" t="str">
        <x:v>SEARCH</x:v>
      </x:c>
      <x:c r="G401" t="n">
        <x:v>2</x:v>
      </x:c>
      <x:c r="H401" s="54" t="n">
        <x:v>3</x:v>
      </x:c>
      <x:c r="I401" s="54" t="n">
        <x:v>0.17224</x:v>
      </x:c>
      <x:c r="J401" s="54" t="n">
        <x:v>0.16864</x:v>
      </x:c>
      <x:c r="K401" s="54" t="n">
        <x:v>0.05507</x:v>
      </x:c>
      <x:c r="L401" s="54" t="n">
        <x:v>0.12298</x:v>
      </x:c>
      <x:c r="M401" s="54" t="n">
        <x:v>0.21613</x:v>
      </x:c>
      <x:c r="N401" s="56" t="n">
        <x:v>-86.54</x:v>
      </x:c>
      <x:c r="O401" s="56" t="n">
        <x:v>3.16</x:v>
      </x:c>
      <x:c r="P401" s="56" t="n">
        <x:v>5.69</x:v>
      </x:c>
      <x:c r="Q401" s="56" t="n">
        <x:v>56.4</x:v>
      </x:c>
      <x:c r="R401" t="str">
        <x:v>X</x:v>
      </x:c>
      <x:c r="S401" s="102" t="n">
        <x:v>100</x:v>
      </x:c>
      <x:c r="T401" t="str">
        <x:v>VALID</x:v>
      </x:c>
      <x:c r="U401" t="n">
        <x:v>1846</x:v>
      </x:c>
      <x:c r="V401" t="str">
        <x:v>Pasted text(56).txt</x:v>
      </x:c>
    </x:row>
    <x:row r="402">
      <x:c r="A402" t="str">
        <x:v>S05</x:v>
      </x:c>
      <x:c r="B402" t="str">
        <x:v>1.28 validated five-run session</x:v>
      </x:c>
      <x:c r="C402" s="54" t="n">
        <x:v>1.28</x:v>
      </x:c>
      <x:c r="D402" t="n">
        <x:v>4</x:v>
      </x:c>
      <x:c r="E402" t="n">
        <x:v>1</x:v>
      </x:c>
      <x:c r="F402" t="str">
        <x:v>SEARCH</x:v>
      </x:c>
      <x:c r="G402" t="n">
        <x:v>3</x:v>
      </x:c>
      <x:c r="H402" s="54" t="n">
        <x:v>5</x:v>
      </x:c>
      <x:c r="I402" s="54" t="n">
        <x:v>0.39157</x:v>
      </x:c>
      <x:c r="J402" s="54" t="n">
        <x:v>0.39307</x:v>
      </x:c>
      <x:c r="K402" s="54" t="n">
        <x:v>0.1434</x:v>
      </x:c>
      <x:c r="L402" s="54" t="n">
        <x:v>0.24287</x:v>
      </x:c>
      <x:c r="M402" s="54" t="n">
        <x:v>0.48422</x:v>
      </x:c>
      <x:c r="N402" s="56" t="n">
        <x:v>-69.41</x:v>
      </x:c>
      <x:c r="O402" s="56" t="n">
        <x:v>4.84</x:v>
      </x:c>
      <x:c r="P402" s="56" t="n">
        <x:v>3.84</x:v>
      </x:c>
      <x:c r="Q402" s="56" t="n">
        <x:v>79.8</x:v>
      </x:c>
      <x:c r="R402" t="str">
        <x:v>X</x:v>
      </x:c>
      <x:c r="S402" s="102" t="n">
        <x:v>100</x:v>
      </x:c>
      <x:c r="T402" t="str">
        <x:v>VALID</x:v>
      </x:c>
      <x:c r="U402" t="n">
        <x:v>1847</x:v>
      </x:c>
      <x:c r="V402" t="str">
        <x:v>Pasted text(56).txt</x:v>
      </x:c>
    </x:row>
    <x:row r="403">
      <x:c r="A403" t="str">
        <x:v>S05</x:v>
      </x:c>
      <x:c r="B403" t="str">
        <x:v>1.28 validated five-run session</x:v>
      </x:c>
      <x:c r="C403" s="54" t="n">
        <x:v>1.28</x:v>
      </x:c>
      <x:c r="D403" t="n">
        <x:v>4</x:v>
      </x:c>
      <x:c r="E403" t="n">
        <x:v>1</x:v>
      </x:c>
      <x:c r="F403" t="str">
        <x:v>SEARCH</x:v>
      </x:c>
      <x:c r="G403" t="n">
        <x:v>4</x:v>
      </x:c>
      <x:c r="H403" s="54" t="n">
        <x:v>6</x:v>
      </x:c>
      <x:c r="I403" s="54" t="n">
        <x:v>0.49326</x:v>
      </x:c>
      <x:c r="J403" s="54" t="n">
        <x:v>0.49526</x:v>
      </x:c>
      <x:c r="K403" s="54" t="n">
        <x:v>0.19373</x:v>
      </x:c>
      <x:c r="L403" s="54" t="n">
        <x:v>0.33316</x:v>
      </x:c>
      <x:c r="M403" s="54" t="n">
        <x:v>0.62802</x:v>
      </x:c>
      <x:c r="N403" s="56" t="n">
        <x:v>-61.46</x:v>
      </x:c>
      <x:c r="O403" s="56" t="n">
        <x:v>2.99</x:v>
      </x:c>
      <x:c r="P403" s="56" t="n">
        <x:v>2.64</x:v>
      </x:c>
      <x:c r="Q403" s="56" t="n">
        <x:v>84.7</x:v>
      </x:c>
      <x:c r="R403" t="str">
        <x:v>X</x:v>
      </x:c>
      <x:c r="S403" s="102" t="n">
        <x:v>100</x:v>
      </x:c>
      <x:c r="T403" t="str">
        <x:v>VALID</x:v>
      </x:c>
      <x:c r="U403" t="n">
        <x:v>1848</x:v>
      </x:c>
      <x:c r="V403" t="str">
        <x:v>Pasted text(56).txt</x:v>
      </x:c>
    </x:row>
    <x:row r="404">
      <x:c r="A404" t="str">
        <x:v>S05</x:v>
      </x:c>
      <x:c r="B404" t="str">
        <x:v>1.28 validated five-run session</x:v>
      </x:c>
      <x:c r="C404" s="54" t="n">
        <x:v>1.28</x:v>
      </x:c>
      <x:c r="D404" t="n">
        <x:v>4</x:v>
      </x:c>
      <x:c r="E404" t="n">
        <x:v>1</x:v>
      </x:c>
      <x:c r="F404" t="str">
        <x:v>SEARCH</x:v>
      </x:c>
      <x:c r="G404" t="n">
        <x:v>5</x:v>
      </x:c>
      <x:c r="H404" s="54" t="n">
        <x:v>7</x:v>
      </x:c>
      <x:c r="I404" s="54" t="n">
        <x:v>0.60838</x:v>
      </x:c>
      <x:c r="J404" s="54" t="n">
        <x:v>0.60387</x:v>
      </x:c>
      <x:c r="K404" s="54" t="n">
        <x:v>0.23504</x:v>
      </x:c>
      <x:c r="L404" s="54" t="n">
        <x:v>0.37828</x:v>
      </x:c>
      <x:c r="M404" s="54" t="n">
        <x:v>0.75039</x:v>
      </x:c>
      <x:c r="N404" s="56" t="n">
        <x:v>-52.47</x:v>
      </x:c>
      <x:c r="O404" s="56" t="n">
        <x:v>4.27</x:v>
      </x:c>
      <x:c r="P404" s="56" t="n">
        <x:v>4.07</x:v>
      </x:c>
      <x:c r="Q404" s="56" t="n">
        <x:v>88.2</x:v>
      </x:c>
      <x:c r="R404" t="str">
        <x:v>X</x:v>
      </x:c>
      <x:c r="S404" s="102" t="n">
        <x:v>100</x:v>
      </x:c>
      <x:c r="T404" t="str">
        <x:v>VALID</x:v>
      </x:c>
      <x:c r="U404" t="n">
        <x:v>1849</x:v>
      </x:c>
      <x:c r="V404" t="str">
        <x:v>Pasted text(56).txt</x:v>
      </x:c>
    </x:row>
    <x:row r="405">
      <x:c r="A405" t="str">
        <x:v>S05</x:v>
      </x:c>
      <x:c r="B405" t="str">
        <x:v>1.28 validated five-run session</x:v>
      </x:c>
      <x:c r="C405" s="54" t="n">
        <x:v>1.28</x:v>
      </x:c>
      <x:c r="D405" t="n">
        <x:v>4</x:v>
      </x:c>
      <x:c r="E405" t="n">
        <x:v>1</x:v>
      </x:c>
      <x:c r="F405" t="str">
        <x:v>SEARCH</x:v>
      </x:c>
      <x:c r="G405" t="n">
        <x:v>6</x:v>
      </x:c>
      <x:c r="H405" s="54" t="n">
        <x:v>8</x:v>
      </x:c>
      <x:c r="I405" s="54" t="n">
        <x:v>0.73559</x:v>
      </x:c>
      <x:c r="J405" s="54" t="n">
        <x:v>0.72902</x:v>
      </x:c>
      <x:c r="K405" s="54" t="n">
        <x:v>0.25869</x:v>
      </x:c>
      <x:c r="L405" s="54" t="n">
        <x:v>0.4547</x:v>
      </x:c>
      <x:c r="M405" s="54" t="n">
        <x:v>0.89732</x:v>
      </x:c>
      <x:c r="N405" s="56" t="n">
        <x:v>-42.53</x:v>
      </x:c>
      <x:c r="O405" s="56" t="n">
        <x:v>1.23</x:v>
      </x:c>
      <x:c r="P405" s="56" t="n">
        <x:v>2.33</x:v>
      </x:c>
      <x:c r="Q405" s="56" t="n">
        <x:v>90.5</x:v>
      </x:c>
      <x:c r="R405" t="str">
        <x:v>X</x:v>
      </x:c>
      <x:c r="S405" s="102" t="n">
        <x:v>100</x:v>
      </x:c>
      <x:c r="T405" t="str">
        <x:v>VALID</x:v>
      </x:c>
      <x:c r="U405" t="n">
        <x:v>1850</x:v>
      </x:c>
      <x:c r="V405" t="str">
        <x:v>Pasted text(56).txt</x:v>
      </x:c>
    </x:row>
    <x:row r="406">
      <x:c r="A406" t="str">
        <x:v>S05</x:v>
      </x:c>
      <x:c r="B406" t="str">
        <x:v>1.28 validated five-run session</x:v>
      </x:c>
      <x:c r="C406" s="54" t="n">
        <x:v>1.28</x:v>
      </x:c>
      <x:c r="D406" t="n">
        <x:v>4</x:v>
      </x:c>
      <x:c r="E406" t="n">
        <x:v>1</x:v>
      </x:c>
      <x:c r="F406" t="str">
        <x:v>SEARCH</x:v>
      </x:c>
      <x:c r="G406" t="n">
        <x:v>7</x:v>
      </x:c>
      <x:c r="H406" s="54" t="n">
        <x:v>9</x:v>
      </x:c>
      <x:c r="I406" s="54" t="n">
        <x:v>0.84009</x:v>
      </x:c>
      <x:c r="J406" s="54" t="n">
        <x:v>0.84637</x:v>
      </x:c>
      <x:c r="K406" s="54" t="n">
        <x:v>0.30785</x:v>
      </x:c>
      <x:c r="L406" s="54" t="n">
        <x:v>0.51331</x:v>
      </x:c>
      <x:c r="M406" s="54" t="n">
        <x:v>1.03677</x:v>
      </x:c>
      <x:c r="N406" s="56" t="n">
        <x:v>-34.37</x:v>
      </x:c>
      <x:c r="O406" s="56" t="n">
        <x:v>0.01</x:v>
      </x:c>
      <x:c r="P406" s="56" t="n">
        <x:v>1.29</x:v>
      </x:c>
      <x:c r="Q406" s="56" t="n">
        <x:v>90.5</x:v>
      </x:c>
      <x:c r="R406" t="str">
        <x:v>X</x:v>
      </x:c>
      <x:c r="S406" s="102" t="n">
        <x:v>100</x:v>
      </x:c>
      <x:c r="T406" t="str">
        <x:v>VALID</x:v>
      </x:c>
      <x:c r="U406" t="n">
        <x:v>1851</x:v>
      </x:c>
      <x:c r="V406" t="str">
        <x:v>Pasted text(56).txt</x:v>
      </x:c>
    </x:row>
    <x:row r="407">
      <x:c r="A407" t="str">
        <x:v>S05</x:v>
      </x:c>
      <x:c r="B407" t="str">
        <x:v>1.28 validated five-run session</x:v>
      </x:c>
      <x:c r="C407" s="54" t="n">
        <x:v>1.28</x:v>
      </x:c>
      <x:c r="D407" t="n">
        <x:v>4</x:v>
      </x:c>
      <x:c r="E407" t="n">
        <x:v>1</x:v>
      </x:c>
      <x:c r="F407" t="str">
        <x:v>SEARCH</x:v>
      </x:c>
      <x:c r="G407" t="n">
        <x:v>8</x:v>
      </x:c>
      <x:c r="H407" s="54" t="n">
        <x:v>9.5</x:v>
      </x:c>
      <x:c r="I407" s="54" t="n">
        <x:v>0.91227</x:v>
      </x:c>
      <x:c r="J407" s="54" t="n">
        <x:v>0.91025</x:v>
      </x:c>
      <x:c r="K407" s="54" t="n">
        <x:v>0.31206</x:v>
      </x:c>
      <x:c r="L407" s="54" t="n">
        <x:v>0.52975</x:v>
      </x:c>
      <x:c r="M407" s="54" t="n">
        <x:v>1.09858</x:v>
      </x:c>
      <x:c r="N407" s="56" t="n">
        <x:v>-28.73</x:v>
      </x:c>
      <x:c r="O407" s="56" t="n">
        <x:v>3.16</x:v>
      </x:c>
      <x:c r="P407" s="56" t="n">
        <x:v>2.48</x:v>
      </x:c>
      <x:c r="Q407" s="56" t="n">
        <x:v>92.5</x:v>
      </x:c>
      <x:c r="R407" t="str">
        <x:v>X</x:v>
      </x:c>
      <x:c r="S407" s="102" t="n">
        <x:v>100</x:v>
      </x:c>
      <x:c r="T407" t="str">
        <x:v>VALID</x:v>
      </x:c>
      <x:c r="U407" t="n">
        <x:v>1852</x:v>
      </x:c>
      <x:c r="V407" t="str">
        <x:v>Pasted text(56).txt</x:v>
      </x:c>
    </x:row>
    <x:row r="408">
      <x:c r="A408" t="str">
        <x:v>S05</x:v>
      </x:c>
      <x:c r="B408" t="str">
        <x:v>1.28 validated five-run session</x:v>
      </x:c>
      <x:c r="C408" s="54" t="n">
        <x:v>1.28</x:v>
      </x:c>
      <x:c r="D408" t="n">
        <x:v>4</x:v>
      </x:c>
      <x:c r="E408" t="n">
        <x:v>1</x:v>
      </x:c>
      <x:c r="F408" t="str">
        <x:v>SEARCH</x:v>
      </x:c>
      <x:c r="G408" t="n">
        <x:v>9</x:v>
      </x:c>
      <x:c r="H408" s="54" t="n">
        <x:v>10</x:v>
      </x:c>
      <x:c r="I408" s="54" t="n">
        <x:v>0.97587</x:v>
      </x:c>
      <x:c r="J408" s="54" t="n">
        <x:v>0.97941</x:v>
      </x:c>
      <x:c r="K408" s="54" t="n">
        <x:v>0.33195</x:v>
      </x:c>
      <x:c r="L408" s="54" t="n">
        <x:v>0.55333</x:v>
      </x:c>
      <x:c r="M408" s="54" t="n">
        <x:v>1.17295</x:v>
      </x:c>
      <x:c r="N408" s="56" t="n">
        <x:v>-23.76</x:v>
      </x:c>
      <x:c r="O408" s="56" t="n">
        <x:v>1.35</x:v>
      </x:c>
      <x:c r="P408" s="56" t="n">
        <x:v>1.49</x:v>
      </x:c>
      <x:c r="Q408" s="56" t="n">
        <x:v>91.8</x:v>
      </x:c>
      <x:c r="R408" t="str">
        <x:v>X</x:v>
      </x:c>
      <x:c r="S408" s="102" t="n">
        <x:v>100</x:v>
      </x:c>
      <x:c r="T408" t="str">
        <x:v>VALID</x:v>
      </x:c>
      <x:c r="U408" t="n">
        <x:v>1853</x:v>
      </x:c>
      <x:c r="V408" t="str">
        <x:v>Pasted text(56).txt</x:v>
      </x:c>
    </x:row>
    <x:row r="409">
      <x:c r="A409" t="str">
        <x:v>S05</x:v>
      </x:c>
      <x:c r="B409" t="str">
        <x:v>1.28 validated five-run session</x:v>
      </x:c>
      <x:c r="C409" s="54" t="n">
        <x:v>1.28</x:v>
      </x:c>
      <x:c r="D409" t="n">
        <x:v>4</x:v>
      </x:c>
      <x:c r="E409" t="n">
        <x:v>1</x:v>
      </x:c>
      <x:c r="F409" t="str">
        <x:v>SEARCH</x:v>
      </x:c>
      <x:c r="G409" t="n">
        <x:v>10</x:v>
      </x:c>
      <x:c r="H409" s="54" t="n">
        <x:v>10.5</x:v>
      </x:c>
      <x:c r="I409" s="54" t="n">
        <x:v>1.03948</x:v>
      </x:c>
      <x:c r="J409" s="54" t="n">
        <x:v>1.04219</x:v>
      </x:c>
      <x:c r="K409" s="54" t="n">
        <x:v>0.35917</x:v>
      </x:c>
      <x:c r="L409" s="54" t="n">
        <x:v>0.60133</x:v>
      </x:c>
      <x:c r="M409" s="54" t="n">
        <x:v>1.25578</x:v>
      </x:c>
      <x:c r="N409" s="56" t="n">
        <x:v>-18.79</x:v>
      </x:c>
      <x:c r="O409" s="56" t="n">
        <x:v>2.41</x:v>
      </x:c>
      <x:c r="P409" s="56" t="n">
        <x:v>2.02</x:v>
      </x:c>
      <x:c r="Q409" s="56" t="n">
        <x:v>93.6</x:v>
      </x:c>
      <x:c r="R409" t="str">
        <x:v>X</x:v>
      </x:c>
      <x:c r="S409" s="102" t="n">
        <x:v>100</x:v>
      </x:c>
      <x:c r="T409" t="str">
        <x:v>VALID</x:v>
      </x:c>
      <x:c r="U409" t="n">
        <x:v>1854</x:v>
      </x:c>
      <x:c r="V409" t="str">
        <x:v>Pasted text(56).txt</x:v>
      </x:c>
    </x:row>
    <x:row r="410">
      <x:c r="A410" t="str">
        <x:v>S05</x:v>
      </x:c>
      <x:c r="B410" t="str">
        <x:v>1.28 validated five-run session</x:v>
      </x:c>
      <x:c r="C410" s="54" t="n">
        <x:v>1.28</x:v>
      </x:c>
      <x:c r="D410" t="n">
        <x:v>4</x:v>
      </x:c>
      <x:c r="E410" t="n">
        <x:v>1</x:v>
      </x:c>
      <x:c r="F410" t="str">
        <x:v>SEARCH</x:v>
      </x:c>
      <x:c r="G410" t="n">
        <x:v>11</x:v>
      </x:c>
      <x:c r="H410" s="54" t="n">
        <x:v>11</x:v>
      </x:c>
      <x:c r="I410" s="54" t="n">
        <x:v>1.14534</x:v>
      </x:c>
      <x:c r="J410" s="54" t="n">
        <x:v>1.139</x:v>
      </x:c>
      <x:c r="K410" s="54" t="n">
        <x:v>0.38036</x:v>
      </x:c>
      <x:c r="L410" s="54" t="n">
        <x:v>0.6183</x:v>
      </x:c>
      <x:c r="M410" s="54" t="n">
        <x:v>1.3507</x:v>
      </x:c>
      <x:c r="N410" s="56" t="n">
        <x:v>-10.52</x:v>
      </x:c>
      <x:c r="O410" s="56" t="n">
        <x:v>1.87</x:v>
      </x:c>
      <x:c r="P410" s="56" t="n">
        <x:v>2.16</x:v>
      </x:c>
      <x:c r="Q410" s="56" t="n">
        <x:v>94.2</x:v>
      </x:c>
      <x:c r="R410" t="str">
        <x:v>X</x:v>
      </x:c>
      <x:c r="S410" s="102" t="n">
        <x:v>100</x:v>
      </x:c>
      <x:c r="T410" t="str">
        <x:v>VALID</x:v>
      </x:c>
      <x:c r="U410" t="n">
        <x:v>1855</x:v>
      </x:c>
      <x:c r="V410" t="str">
        <x:v>Pasted text(56).txt</x:v>
      </x:c>
    </x:row>
    <x:row r="411">
      <x:c r="A411" t="str">
        <x:v>S05</x:v>
      </x:c>
      <x:c r="B411" t="str">
        <x:v>1.28 validated five-run session</x:v>
      </x:c>
      <x:c r="C411" s="54" t="n">
        <x:v>1.28</x:v>
      </x:c>
      <x:c r="D411" t="n">
        <x:v>4</x:v>
      </x:c>
      <x:c r="E411" t="n">
        <x:v>1</x:v>
      </x:c>
      <x:c r="F411" t="str">
        <x:v>SEARCH</x:v>
      </x:c>
      <x:c r="G411" t="n">
        <x:v>12</x:v>
      </x:c>
      <x:c r="H411" s="54" t="n">
        <x:v>11.25</x:v>
      </x:c>
      <x:c r="I411" s="54" t="n">
        <x:v>1.14092</x:v>
      </x:c>
      <x:c r="J411" s="54" t="n">
        <x:v>1.13814</x:v>
      </x:c>
      <x:c r="K411" s="54" t="n">
        <x:v>0.39981</x:v>
      </x:c>
      <x:c r="L411" s="54" t="n">
        <x:v>0.62614</x:v>
      </x:c>
      <x:c r="M411" s="54" t="n">
        <x:v>1.35915</x:v>
      </x:c>
      <x:c r="N411" s="56" t="n">
        <x:v>-10.87</x:v>
      </x:c>
      <x:c r="O411" s="56" t="n">
        <x:v>1.11</x:v>
      </x:c>
      <x:c r="P411" s="56" t="n">
        <x:v>1.14</x:v>
      </x:c>
      <x:c r="Q411" s="56" t="n">
        <x:v>93.3</x:v>
      </x:c>
      <x:c r="R411" t="str">
        <x:v>X</x:v>
      </x:c>
      <x:c r="S411" s="102" t="n">
        <x:v>100</x:v>
      </x:c>
      <x:c r="T411" t="str">
        <x:v>VALID</x:v>
      </x:c>
      <x:c r="U411" t="n">
        <x:v>1856</x:v>
      </x:c>
      <x:c r="V411" t="str">
        <x:v>Pasted text(56).txt</x:v>
      </x:c>
    </x:row>
    <x:row r="412">
      <x:c r="A412" t="str">
        <x:v>S05</x:v>
      </x:c>
      <x:c r="B412" t="str">
        <x:v>1.28 validated five-run session</x:v>
      </x:c>
      <x:c r="C412" s="54" t="n">
        <x:v>1.28</x:v>
      </x:c>
      <x:c r="D412" t="n">
        <x:v>4</x:v>
      </x:c>
      <x:c r="E412" t="n">
        <x:v>1</x:v>
      </x:c>
      <x:c r="F412" t="str">
        <x:v>SEARCH</x:v>
      </x:c>
      <x:c r="G412" t="n">
        <x:v>13</x:v>
      </x:c>
      <x:c r="H412" s="54" t="n">
        <x:v>11.5</x:v>
      </x:c>
      <x:c r="I412" s="54" t="n">
        <x:v>1.1823</x:v>
      </x:c>
      <x:c r="J412" s="54" t="n">
        <x:v>1.17742</x:v>
      </x:c>
      <x:c r="K412" s="54" t="n">
        <x:v>0.38014</x:v>
      </x:c>
      <x:c r="L412" s="54" t="n">
        <x:v>0.62106</x:v>
      </x:c>
      <x:c r="M412" s="54" t="n">
        <x:v>1.3846</x:v>
      </x:c>
      <x:c r="N412" s="56" t="n">
        <x:v>-7.63</x:v>
      </x:c>
      <x:c r="O412" s="56" t="n">
        <x:v>0.12</x:v>
      </x:c>
      <x:c r="P412" s="56" t="n">
        <x:v>0.79</x:v>
      </x:c>
      <x:c r="Q412" s="56" t="n">
        <x:v>94.2</x:v>
      </x:c>
      <x:c r="R412" t="str">
        <x:v>X</x:v>
      </x:c>
      <x:c r="S412" s="102" t="n">
        <x:v>100</x:v>
      </x:c>
      <x:c r="T412" t="str">
        <x:v>VALID</x:v>
      </x:c>
      <x:c r="U412" t="n">
        <x:v>1857</x:v>
      </x:c>
      <x:c r="V412" t="str">
        <x:v>Pasted text(56).txt</x:v>
      </x:c>
    </x:row>
    <x:row r="413">
      <x:c r="A413" t="str">
        <x:v>S05</x:v>
      </x:c>
      <x:c r="B413" t="str">
        <x:v>1.28 validated five-run session</x:v>
      </x:c>
      <x:c r="C413" s="54" t="n">
        <x:v>1.28</x:v>
      </x:c>
      <x:c r="D413" t="n">
        <x:v>4</x:v>
      </x:c>
      <x:c r="E413" t="n">
        <x:v>1</x:v>
      </x:c>
      <x:c r="F413" t="str">
        <x:v>SEARCH</x:v>
      </x:c>
      <x:c r="G413" t="n">
        <x:v>14</x:v>
      </x:c>
      <x:c r="H413" s="54" t="n">
        <x:v>11.75</x:v>
      </x:c>
      <x:c r="I413" s="54" t="n">
        <x:v>1.22487</x:v>
      </x:c>
      <x:c r="J413" s="54" t="n">
        <x:v>1.22801</x:v>
      </x:c>
      <x:c r="K413" s="54" t="n">
        <x:v>0.40989</x:v>
      </x:c>
      <x:c r="L413" s="54" t="n">
        <x:v>0.67352</x:v>
      </x:c>
      <x:c r="M413" s="54" t="n">
        <x:v>1.45964</x:v>
      </x:c>
      <x:c r="N413" s="56" t="n">
        <x:v>-4.31</x:v>
      </x:c>
      <x:c r="O413" s="56" t="n">
        <x:v>0.58</x:v>
      </x:c>
      <x:c r="P413" s="56" t="n">
        <x:v>0.81</x:v>
      </x:c>
      <x:c r="Q413" s="56" t="n">
        <x:v>94.2</x:v>
      </x:c>
      <x:c r="R413" t="str">
        <x:v>X</x:v>
      </x:c>
      <x:c r="S413" s="102" t="n">
        <x:v>100</x:v>
      </x:c>
      <x:c r="T413" t="str">
        <x:v>IN TARGET BAND</x:v>
      </x:c>
      <x:c r="U413" t="n">
        <x:v>1858</x:v>
      </x:c>
      <x:c r="V413" t="str">
        <x:v>Pasted text(56).txt</x:v>
      </x:c>
    </x:row>
    <x:row r="414">
      <x:c r="A414" t="str">
        <x:v>S05</x:v>
      </x:c>
      <x:c r="B414" t="str">
        <x:v>1.28 validated five-run session</x:v>
      </x:c>
      <x:c r="C414" s="54" t="n">
        <x:v>1.28</x:v>
      </x:c>
      <x:c r="D414" t="n">
        <x:v>4</x:v>
      </x:c>
      <x:c r="E414" t="n">
        <x:v>1</x:v>
      </x:c>
      <x:c r="F414" t="str">
        <x:v>FINE</x:v>
      </x:c>
      <x:c r="G414" t="n">
        <x:v>1</x:v>
      </x:c>
      <x:c r="H414" s="54" t="n">
        <x:v>10.75</x:v>
      </x:c>
      <x:c r="I414" s="54" t="n">
        <x:v>1.08865</x:v>
      </x:c>
      <x:c r="J414" s="54" t="n">
        <x:v>1.08891</x:v>
      </x:c>
      <x:c r="K414" s="54" t="n">
        <x:v>0.36543</x:v>
      </x:c>
      <x:c r="L414" s="54" t="n">
        <x:v>0.59842</x:v>
      </x:c>
      <x:c r="M414" s="54" t="n">
        <x:v>1.29518</x:v>
      </x:c>
      <x:c r="N414" s="56" t="n">
        <x:v>-14.95</x:v>
      </x:c>
      <x:c r="O414" s="56" t="n">
        <x:v>0.78</x:v>
      </x:c>
      <x:c r="P414" s="56" t="n">
        <x:v>0.56</x:v>
      </x:c>
      <x:c r="Q414" s="56" t="n">
        <x:v>92.8</x:v>
      </x:c>
      <x:c r="R414" t="str">
        <x:v>X</x:v>
      </x:c>
      <x:c r="S414" s="102" t="n">
        <x:v>100</x:v>
      </x:c>
      <x:c r="T414" t="str">
        <x:v>VALID</x:v>
      </x:c>
      <x:c r="U414" t="n">
        <x:v>1862</x:v>
      </x:c>
      <x:c r="V414" t="str">
        <x:v>Pasted text(56).txt</x:v>
      </x:c>
    </x:row>
    <x:row r="415">
      <x:c r="A415" t="str">
        <x:v>S05</x:v>
      </x:c>
      <x:c r="B415" t="str">
        <x:v>1.28 validated five-run session</x:v>
      </x:c>
      <x:c r="C415" s="54" t="n">
        <x:v>1.28</x:v>
      </x:c>
      <x:c r="D415" t="n">
        <x:v>4</x:v>
      </x:c>
      <x:c r="E415" t="n">
        <x:v>1</x:v>
      </x:c>
      <x:c r="F415" t="str">
        <x:v>FINE</x:v>
      </x:c>
      <x:c r="G415" t="n">
        <x:v>2</x:v>
      </x:c>
      <x:c r="H415" s="54" t="n">
        <x:v>11</x:v>
      </x:c>
      <x:c r="I415" s="54" t="n">
        <x:v>1.10785</x:v>
      </x:c>
      <x:c r="J415" s="54" t="n">
        <x:v>1.11083</x:v>
      </x:c>
      <x:c r="K415" s="54" t="n">
        <x:v>0.39198</x:v>
      </x:c>
      <x:c r="L415" s="54" t="n">
        <x:v>0.61266</x:v>
      </x:c>
      <x:c r="M415" s="54" t="n">
        <x:v>1.32781</x:v>
      </x:c>
      <x:c r="N415" s="56" t="n">
        <x:v>-13.45</x:v>
      </x:c>
      <x:c r="O415" s="56" t="n">
        <x:v>0.4</x:v>
      </x:c>
      <x:c r="P415" s="56" t="n">
        <x:v>0.71</x:v>
      </x:c>
      <x:c r="Q415" s="56" t="n">
        <x:v>92.9</x:v>
      </x:c>
      <x:c r="R415" t="str">
        <x:v>X</x:v>
      </x:c>
      <x:c r="S415" s="102" t="n">
        <x:v>100</x:v>
      </x:c>
      <x:c r="T415" t="str">
        <x:v>VALID</x:v>
      </x:c>
      <x:c r="U415" t="n">
        <x:v>1863</x:v>
      </x:c>
      <x:c r="V415" t="str">
        <x:v>Pasted text(56).txt</x:v>
      </x:c>
    </x:row>
    <x:row r="416">
      <x:c r="A416" t="str">
        <x:v>S05</x:v>
      </x:c>
      <x:c r="B416" t="str">
        <x:v>1.28 validated five-run session</x:v>
      </x:c>
      <x:c r="C416" s="54" t="n">
        <x:v>1.28</x:v>
      </x:c>
      <x:c r="D416" t="n">
        <x:v>4</x:v>
      </x:c>
      <x:c r="E416" t="n">
        <x:v>1</x:v>
      </x:c>
      <x:c r="F416" t="str">
        <x:v>FINE</x:v>
      </x:c>
      <x:c r="G416" t="n">
        <x:v>3</x:v>
      </x:c>
      <x:c r="H416" s="54" t="n">
        <x:v>11.25</x:v>
      </x:c>
      <x:c r="I416" s="54" t="n">
        <x:v>1.15136</x:v>
      </x:c>
      <x:c r="J416" s="54" t="n">
        <x:v>1.1592</x:v>
      </x:c>
      <x:c r="K416" s="54" t="n">
        <x:v>0.39981</x:v>
      </x:c>
      <x:c r="L416" s="54" t="n">
        <x:v>0.63221</x:v>
      </x:c>
      <x:c r="M416" s="54" t="n">
        <x:v>1.37972</x:v>
      </x:c>
      <x:c r="N416" s="56" t="n">
        <x:v>-10.05</x:v>
      </x:c>
      <x:c r="O416" s="56" t="n">
        <x:v>0.12</x:v>
      </x:c>
      <x:c r="P416" s="56" t="n">
        <x:v>1.24</x:v>
      </x:c>
      <x:c r="Q416" s="56" t="n">
        <x:v>94.1</x:v>
      </x:c>
      <x:c r="R416" t="str">
        <x:v>X</x:v>
      </x:c>
      <x:c r="S416" s="102" t="n">
        <x:v>100</x:v>
      </x:c>
      <x:c r="T416" t="str">
        <x:v>VALID</x:v>
      </x:c>
      <x:c r="U416" t="n">
        <x:v>1864</x:v>
      </x:c>
      <x:c r="V416" t="str">
        <x:v>Pasted text(56).txt</x:v>
      </x:c>
    </x:row>
    <x:row r="417">
      <x:c r="A417" t="str">
        <x:v>S05</x:v>
      </x:c>
      <x:c r="B417" t="str">
        <x:v>1.28 validated five-run session</x:v>
      </x:c>
      <x:c r="C417" s="54" t="n">
        <x:v>1.28</x:v>
      </x:c>
      <x:c r="D417" t="n">
        <x:v>4</x:v>
      </x:c>
      <x:c r="E417" t="n">
        <x:v>1</x:v>
      </x:c>
      <x:c r="F417" t="str">
        <x:v>FINE</x:v>
      </x:c>
      <x:c r="G417" t="n">
        <x:v>4</x:v>
      </x:c>
      <x:c r="H417" s="54" t="n">
        <x:v>11.5</x:v>
      </x:c>
      <x:c r="I417" s="54" t="n">
        <x:v>1.16666</x:v>
      </x:c>
      <x:c r="J417" s="54" t="n">
        <x:v>1.17676</x:v>
      </x:c>
      <x:c r="K417" s="54" t="n">
        <x:v>0.39818</x:v>
      </x:c>
      <x:c r="L417" s="54" t="n">
        <x:v>0.63278</x:v>
      </x:c>
      <x:c r="M417" s="54" t="n">
        <x:v>1.39421</x:v>
      </x:c>
      <x:c r="N417" s="56" t="n">
        <x:v>-8.85</x:v>
      </x:c>
      <x:c r="O417" s="56" t="n">
        <x:v>0.46</x:v>
      </x:c>
      <x:c r="P417" s="56" t="n">
        <x:v>1.76</x:v>
      </x:c>
      <x:c r="Q417" s="56" t="n">
        <x:v>93.8</x:v>
      </x:c>
      <x:c r="R417" t="str">
        <x:v>X</x:v>
      </x:c>
      <x:c r="S417" s="102" t="n">
        <x:v>100</x:v>
      </x:c>
      <x:c r="T417" t="str">
        <x:v>VALID</x:v>
      </x:c>
      <x:c r="U417" t="n">
        <x:v>1865</x:v>
      </x:c>
      <x:c r="V417" t="str">
        <x:v>Pasted text(56).txt</x:v>
      </x:c>
    </x:row>
    <x:row r="418">
      <x:c r="A418" t="str">
        <x:v>S05</x:v>
      </x:c>
      <x:c r="B418" t="str">
        <x:v>1.28 validated five-run session</x:v>
      </x:c>
      <x:c r="C418" s="54" t="n">
        <x:v>1.28</x:v>
      </x:c>
      <x:c r="D418" t="n">
        <x:v>4</x:v>
      </x:c>
      <x:c r="E418" t="n">
        <x:v>1</x:v>
      </x:c>
      <x:c r="F418" t="str">
        <x:v>FINE</x:v>
      </x:c>
      <x:c r="G418" t="n">
        <x:v>5</x:v>
      </x:c>
      <x:c r="H418" s="54" t="n">
        <x:v>11.75</x:v>
      </x:c>
      <x:c r="I418" s="54" t="n">
        <x:v>1.22296</x:v>
      </x:c>
      <x:c r="J418" s="54" t="n">
        <x:v>1.21532</x:v>
      </x:c>
      <x:c r="K418" s="54" t="n">
        <x:v>0.41507</x:v>
      </x:c>
      <x:c r="L418" s="54" t="n">
        <x:v>0.65624</x:v>
      </x:c>
      <x:c r="M418" s="54" t="n">
        <x:v>1.44229</x:v>
      </x:c>
      <x:c r="N418" s="56" t="n">
        <x:v>-4.46</x:v>
      </x:c>
      <x:c r="O418" s="56" t="n">
        <x:v>0.71</x:v>
      </x:c>
      <x:c r="P418" s="56" t="n">
        <x:v>1.53</x:v>
      </x:c>
      <x:c r="Q418" s="56" t="n">
        <x:v>93.2</x:v>
      </x:c>
      <x:c r="R418" t="str">
        <x:v>X</x:v>
      </x:c>
      <x:c r="S418" s="102" t="n">
        <x:v>100</x:v>
      </x:c>
      <x:c r="T418" t="str">
        <x:v>IN TARGET BAND</x:v>
      </x:c>
      <x:c r="U418" t="n">
        <x:v>1866</x:v>
      </x:c>
      <x:c r="V418" t="str">
        <x:v>Pasted text(56).txt</x:v>
      </x:c>
    </x:row>
    <x:row r="419">
      <x:c r="A419" t="str">
        <x:v>S05</x:v>
      </x:c>
      <x:c r="B419" t="str">
        <x:v>1.28 validated five-run session</x:v>
      </x:c>
      <x:c r="C419" s="54" t="n">
        <x:v>1.28</x:v>
      </x:c>
      <x:c r="D419" t="n">
        <x:v>4</x:v>
      </x:c>
      <x:c r="E419" t="n">
        <x:v>1</x:v>
      </x:c>
      <x:c r="F419" t="str">
        <x:v>FINE</x:v>
      </x:c>
      <x:c r="G419" t="n">
        <x:v>6</x:v>
      </x:c>
      <x:c r="H419" s="54" t="n">
        <x:v>12</x:v>
      </x:c>
      <x:c r="I419" s="54" t="n">
        <x:v>1.25863</x:v>
      </x:c>
      <x:c r="J419" s="54" t="n">
        <x:v>1.2541</x:v>
      </x:c>
      <x:c r="K419" s="54" t="n">
        <x:v>0.42411</x:v>
      </x:c>
      <x:c r="L419" s="54" t="n">
        <x:v>0.65194</x:v>
      </x:c>
      <x:c r="M419" s="54" t="n">
        <x:v>1.47591</x:v>
      </x:c>
      <x:c r="N419" s="56" t="n">
        <x:v>-1.67</x:v>
      </x:c>
      <x:c r="O419" s="56" t="n">
        <x:v>2.37</x:v>
      </x:c>
      <x:c r="P419" s="56" t="n">
        <x:v>2.17</x:v>
      </x:c>
      <x:c r="Q419" s="56" t="n">
        <x:v>94.1</x:v>
      </x:c>
      <x:c r="R419" t="str">
        <x:v>X</x:v>
      </x:c>
      <x:c r="S419" s="102" t="n">
        <x:v>100</x:v>
      </x:c>
      <x:c r="T419" t="str">
        <x:v>IN TARGET BAND</x:v>
      </x:c>
      <x:c r="U419" t="n">
        <x:v>1867</x:v>
      </x:c>
      <x:c r="V419" t="str">
        <x:v>Pasted text(56).txt</x:v>
      </x:c>
    </x:row>
    <x:row r="420">
      <x:c r="A420" t="str">
        <x:v>S05</x:v>
      </x:c>
      <x:c r="B420" t="str">
        <x:v>1.28 validated five-run session</x:v>
      </x:c>
      <x:c r="C420" s="54" t="n">
        <x:v>1.28</x:v>
      </x:c>
      <x:c r="D420" t="n">
        <x:v>4</x:v>
      </x:c>
      <x:c r="E420" t="n">
        <x:v>1</x:v>
      </x:c>
      <x:c r="F420" t="str">
        <x:v>FINE</x:v>
      </x:c>
      <x:c r="G420" t="n">
        <x:v>7</x:v>
      </x:c>
      <x:c r="H420" s="54" t="n">
        <x:v>12.25</x:v>
      </x:c>
      <x:c r="I420" s="54" t="n">
        <x:v>1.25984</x:v>
      </x:c>
      <x:c r="J420" s="54" t="n">
        <x:v>1.26114</x:v>
      </x:c>
      <x:c r="K420" s="54" t="n">
        <x:v>0.43047</x:v>
      </x:c>
      <x:c r="L420" s="54" t="n">
        <x:v>0.68483</x:v>
      </x:c>
      <x:c r="M420" s="54" t="n">
        <x:v>1.49833</x:v>
      </x:c>
      <x:c r="N420" s="56" t="n">
        <x:v>-1.58</x:v>
      </x:c>
      <x:c r="O420" s="56" t="n">
        <x:v>1.71</x:v>
      </x:c>
      <x:c r="P420" s="56" t="n">
        <x:v>1.31</x:v>
      </x:c>
      <x:c r="Q420" s="56" t="n">
        <x:v>94</x:v>
      </x:c>
      <x:c r="R420" t="str">
        <x:v>X</x:v>
      </x:c>
      <x:c r="S420" s="102" t="n">
        <x:v>100</x:v>
      </x:c>
      <x:c r="T420" t="str">
        <x:v>IN TARGET BAND</x:v>
      </x:c>
      <x:c r="U420" t="n">
        <x:v>1868</x:v>
      </x:c>
      <x:c r="V420" t="str">
        <x:v>Pasted text(56).txt</x:v>
      </x:c>
    </x:row>
    <x:row r="421">
      <x:c r="A421" t="str">
        <x:v>S05</x:v>
      </x:c>
      <x:c r="B421" t="str">
        <x:v>1.28 validated five-run session</x:v>
      </x:c>
      <x:c r="C421" s="54" t="n">
        <x:v>1.28</x:v>
      </x:c>
      <x:c r="D421" t="n">
        <x:v>4</x:v>
      </x:c>
      <x:c r="E421" t="n">
        <x:v>1</x:v>
      </x:c>
      <x:c r="F421" t="str">
        <x:v>FINE</x:v>
      </x:c>
      <x:c r="G421" t="n">
        <x:v>8</x:v>
      </x:c>
      <x:c r="H421" s="54" t="n">
        <x:v>12.5</x:v>
      </x:c>
      <x:c r="I421" s="54" t="n">
        <x:v>1.30296</x:v>
      </x:c>
      <x:c r="J421" s="54" t="n">
        <x:v>1.29324</x:v>
      </x:c>
      <x:c r="K421" s="54" t="n">
        <x:v>0.43328</x:v>
      </x:c>
      <x:c r="L421" s="54" t="n">
        <x:v>0.70766</x:v>
      </x:c>
      <x:c r="M421" s="54" t="n">
        <x:v>1.53657</x:v>
      </x:c>
      <x:c r="N421" s="56" t="n">
        <x:v>1.79</x:v>
      </x:c>
      <x:c r="O421" s="56" t="n">
        <x:v>2.1</x:v>
      </x:c>
      <x:c r="P421" s="56" t="n">
        <x:v>2.64</x:v>
      </x:c>
      <x:c r="Q421" s="56" t="n">
        <x:v>94.4</x:v>
      </x:c>
      <x:c r="R421" t="str">
        <x:v>X</x:v>
      </x:c>
      <x:c r="S421" s="102" t="n">
        <x:v>100</x:v>
      </x:c>
      <x:c r="T421" t="str">
        <x:v>IN TARGET BAND</x:v>
      </x:c>
      <x:c r="U421" t="n">
        <x:v>1869</x:v>
      </x:c>
      <x:c r="V421" t="str">
        <x:v>Pasted text(56).txt</x:v>
      </x:c>
    </x:row>
    <x:row r="422">
      <x:c r="A422" t="str">
        <x:v>S05</x:v>
      </x:c>
      <x:c r="B422" t="str">
        <x:v>1.28 validated five-run session</x:v>
      </x:c>
      <x:c r="C422" s="54" t="n">
        <x:v>1.28</x:v>
      </x:c>
      <x:c r="D422" t="n">
        <x:v>4</x:v>
      </x:c>
      <x:c r="E422" t="n">
        <x:v>1</x:v>
      </x:c>
      <x:c r="F422" t="str">
        <x:v>FINE</x:v>
      </x:c>
      <x:c r="G422" t="n">
        <x:v>9</x:v>
      </x:c>
      <x:c r="H422" s="54" t="n">
        <x:v>12.75</x:v>
      </x:c>
      <x:c r="I422" s="54" t="n">
        <x:v>1.32876</x:v>
      </x:c>
      <x:c r="J422" s="54" t="n">
        <x:v>1.33463</x:v>
      </x:c>
      <x:c r="K422" s="54" t="n">
        <x:v>0.45324</x:v>
      </x:c>
      <x:c r="L422" s="54" t="n">
        <x:v>0.72973</x:v>
      </x:c>
      <x:c r="M422" s="54" t="n">
        <x:v>1.58735</x:v>
      </x:c>
      <x:c r="N422" s="56" t="n">
        <x:v>3.81</x:v>
      </x:c>
      <x:c r="O422" s="56" t="n">
        <x:v>0.3</x:v>
      </x:c>
      <x:c r="P422" s="56" t="n">
        <x:v>0.94</x:v>
      </x:c>
      <x:c r="Q422" s="56" t="n">
        <x:v>93.4</x:v>
      </x:c>
      <x:c r="R422" t="str">
        <x:v>X</x:v>
      </x:c>
      <x:c r="S422" s="102" t="n">
        <x:v>100</x:v>
      </x:c>
      <x:c r="T422" t="str">
        <x:v>IN TARGET BAND</x:v>
      </x:c>
      <x:c r="U422" t="n">
        <x:v>1870</x:v>
      </x:c>
      <x:c r="V422" t="str">
        <x:v>Pasted text(56).txt</x:v>
      </x:c>
    </x:row>
    <x:row r="423">
      <x:c r="A423" t="str">
        <x:v>S05</x:v>
      </x:c>
      <x:c r="B423" t="str">
        <x:v>1.28 validated five-run session</x:v>
      </x:c>
      <x:c r="C423" s="54" t="n">
        <x:v>1.28</x:v>
      </x:c>
      <x:c r="D423" t="n">
        <x:v>4</x:v>
      </x:c>
      <x:c r="E423" t="n">
        <x:v>1</x:v>
      </x:c>
      <x:c r="F423" t="str">
        <x:v>FINAL</x:v>
      </x:c>
      <x:c r="G423" t="n">
        <x:v>1</x:v>
      </x:c>
      <x:c r="H423" s="54" t="n">
        <x:v>12.25</x:v>
      </x:c>
      <x:c r="I423" s="54" t="n">
        <x:v>1.2702</x:v>
      </x:c>
      <x:c r="J423" s="54" t="n">
        <x:v>1.2717</x:v>
      </x:c>
      <x:c r="K423" s="54" t="n">
        <x:v>0.4355</x:v>
      </x:c>
      <x:c r="L423" s="54" t="n">
        <x:v>0.69234</x:v>
      </x:c>
      <x:c r="M423" s="54" t="n">
        <x:v>1.51221</x:v>
      </x:c>
      <x:c r="N423" s="56" t="n">
        <x:v>-0.77</x:v>
      </x:c>
      <x:c r="O423" s="56" t="n">
        <x:v>0.78</x:v>
      </x:c>
      <x:c r="P423" s="56" t="n">
        <x:v>1.45</x:v>
      </x:c>
      <x:c r="Q423" s="56" t="n">
        <x:v>93.5</x:v>
      </x:c>
      <x:c r="R423" t="str">
        <x:v>X</x:v>
      </x:c>
      <x:c r="S423" s="102" t="n">
        <x:v>100</x:v>
      </x:c>
      <x:c r="T423" t="str">
        <x:v>IN TARGET BAND</x:v>
      </x:c>
      <x:c r="U423" t="n">
        <x:v>1873</x:v>
      </x:c>
      <x:c r="V423" t="str">
        <x:v>Pasted text(56).txt</x:v>
      </x:c>
    </x:row>
    <x:row r="424">
      <x:c r="A424" t="str">
        <x:v>S05</x:v>
      </x:c>
      <x:c r="B424" t="str">
        <x:v>1.28 validated five-run session</x:v>
      </x:c>
      <x:c r="C424" s="54" t="n">
        <x:v>1.28</x:v>
      </x:c>
      <x:c r="D424" t="n">
        <x:v>4</x:v>
      </x:c>
      <x:c r="E424" t="n">
        <x:v>1</x:v>
      </x:c>
      <x:c r="F424" t="str">
        <x:v>FINAL</x:v>
      </x:c>
      <x:c r="G424" t="n">
        <x:v>2</x:v>
      </x:c>
      <x:c r="H424" s="54" t="n">
        <x:v>12.25</x:v>
      </x:c>
      <x:c r="I424" s="54" t="n">
        <x:v>1.27084</x:v>
      </x:c>
      <x:c r="J424" s="54" t="n">
        <x:v>1.26548</x:v>
      </x:c>
      <x:c r="K424" s="54" t="n">
        <x:v>0.4457</x:v>
      </x:c>
      <x:c r="L424" s="54" t="n">
        <x:v>0.67588</x:v>
      </x:c>
      <x:c r="M424" s="54" t="n">
        <x:v>1.50244</x:v>
      </x:c>
      <x:c r="N424" s="56" t="n">
        <x:v>-0.72</x:v>
      </x:c>
      <x:c r="O424" s="56" t="n">
        <x:v>1.47</x:v>
      </x:c>
      <x:c r="P424" s="56" t="n">
        <x:v>1.43</x:v>
      </x:c>
      <x:c r="Q424" s="56" t="n">
        <x:v>93</x:v>
      </x:c>
      <x:c r="R424" t="str">
        <x:v>X</x:v>
      </x:c>
      <x:c r="S424" s="102" t="n">
        <x:v>100</x:v>
      </x:c>
      <x:c r="T424" t="str">
        <x:v>IN TARGET BAND</x:v>
      </x:c>
      <x:c r="U424" t="n">
        <x:v>1874</x:v>
      </x:c>
      <x:c r="V424" t="str">
        <x:v>Pasted text(56).txt</x:v>
      </x:c>
    </x:row>
    <x:row r="425">
      <x:c r="A425" t="str">
        <x:v>S05</x:v>
      </x:c>
      <x:c r="B425" t="str">
        <x:v>1.28 validated five-run session</x:v>
      </x:c>
      <x:c r="C425" s="54" t="n">
        <x:v>1.28</x:v>
      </x:c>
      <x:c r="D425" t="n">
        <x:v>5</x:v>
      </x:c>
      <x:c r="E425" t="n">
        <x:v>1</x:v>
      </x:c>
      <x:c r="F425" t="str">
        <x:v>SEARCH</x:v>
      </x:c>
      <x:c r="G425" t="n">
        <x:v>1</x:v>
      </x:c>
      <x:c r="H425" s="54" t="n">
        <x:v>1</x:v>
      </x:c>
      <x:c r="I425" s="54" t="n">
        <x:v>0.01267</x:v>
      </x:c>
      <x:c r="J425" s="54" t="n">
        <x:v>0.0148</x:v>
      </x:c>
      <x:c r="K425" s="54" t="n">
        <x:v>0.01907</x:v>
      </x:c>
      <x:c r="L425" s="54" t="n">
        <x:v>0.03804</x:v>
      </x:c>
      <x:c r="M425" s="54" t="n">
        <x:v>0.04625</x:v>
      </x:c>
      <x:c r="N425" s="56" t="n">
        <x:v>-99.01</x:v>
      </x:c>
      <x:c r="O425" s="56" t="n">
        <x:v>51.02</x:v>
      </x:c>
      <x:c r="P425" s="56" t="n">
        <x:v>52.58</x:v>
      </x:c>
      <x:c r="Q425" s="56" t="n">
        <x:v>8</x:v>
      </x:c>
      <x:c r="R425" t="str">
        <x:v>Z</x:v>
      </x:c>
      <x:c r="S425" s="102" t="n">
        <x:v>38.9</x:v>
      </x:c>
      <x:c r="T425" t="str">
        <x:v>BELOW MEASUREMENT FLOOR — SEARCH CONTINUES</x:v>
      </x:c>
      <x:c r="U425" t="n">
        <x:v>1930</x:v>
      </x:c>
      <x:c r="V425" t="str">
        <x:v>Pasted text(56).txt</x:v>
      </x:c>
    </x:row>
    <x:row r="426">
      <x:c r="A426" t="str">
        <x:v>S05</x:v>
      </x:c>
      <x:c r="B426" t="str">
        <x:v>1.28 validated five-run session</x:v>
      </x:c>
      <x:c r="C426" s="54" t="n">
        <x:v>1.28</x:v>
      </x:c>
      <x:c r="D426" t="n">
        <x:v>5</x:v>
      </x:c>
      <x:c r="E426" t="n">
        <x:v>1</x:v>
      </x:c>
      <x:c r="F426" t="str">
        <x:v>SEARCH</x:v>
      </x:c>
      <x:c r="G426" t="n">
        <x:v>2</x:v>
      </x:c>
      <x:c r="H426" s="54" t="n">
        <x:v>3</x:v>
      </x:c>
      <x:c r="I426" s="54" t="n">
        <x:v>0.17736</x:v>
      </x:c>
      <x:c r="J426" s="54" t="n">
        <x:v>0.174</x:v>
      </x:c>
      <x:c r="K426" s="54" t="n">
        <x:v>0.06593</x:v>
      </x:c>
      <x:c r="L426" s="54" t="n">
        <x:v>0.13284</x:v>
      </x:c>
      <x:c r="M426" s="54" t="n">
        <x:v>0.23057</x:v>
      </x:c>
      <x:c r="N426" s="56" t="n">
        <x:v>-86.14</x:v>
      </x:c>
      <x:c r="O426" s="56" t="n">
        <x:v>2.99</x:v>
      </x:c>
      <x:c r="P426" s="56" t="n">
        <x:v>5.22</x:v>
      </x:c>
      <x:c r="Q426" s="56" t="n">
        <x:v>59.2</x:v>
      </x:c>
      <x:c r="R426" t="str">
        <x:v>X</x:v>
      </x:c>
      <x:c r="S426" s="102" t="n">
        <x:v>100</x:v>
      </x:c>
      <x:c r="T426" t="str">
        <x:v>VALID</x:v>
      </x:c>
      <x:c r="U426" t="n">
        <x:v>1931</x:v>
      </x:c>
      <x:c r="V426" t="str">
        <x:v>Pasted text(56).txt</x:v>
      </x:c>
    </x:row>
    <x:row r="427">
      <x:c r="A427" t="str">
        <x:v>S05</x:v>
      </x:c>
      <x:c r="B427" t="str">
        <x:v>1.28 validated five-run session</x:v>
      </x:c>
      <x:c r="C427" s="54" t="n">
        <x:v>1.28</x:v>
      </x:c>
      <x:c r="D427" t="n">
        <x:v>5</x:v>
      </x:c>
      <x:c r="E427" t="n">
        <x:v>1</x:v>
      </x:c>
      <x:c r="F427" t="str">
        <x:v>SEARCH</x:v>
      </x:c>
      <x:c r="G427" t="n">
        <x:v>3</x:v>
      </x:c>
      <x:c r="H427" s="54" t="n">
        <x:v>5</x:v>
      </x:c>
      <x:c r="I427" s="54" t="n">
        <x:v>0.38352</x:v>
      </x:c>
      <x:c r="J427" s="54" t="n">
        <x:v>0.3889</x:v>
      </x:c>
      <x:c r="K427" s="54" t="n">
        <x:v>0.14982</x:v>
      </x:c>
      <x:c r="L427" s="54" t="n">
        <x:v>0.23424</x:v>
      </x:c>
      <x:c r="M427" s="54" t="n">
        <x:v>0.4785</x:v>
      </x:c>
      <x:c r="N427" s="56" t="n">
        <x:v>-70.04</x:v>
      </x:c>
      <x:c r="O427" s="56" t="n">
        <x:v>4.26</x:v>
      </x:c>
      <x:c r="P427" s="56" t="n">
        <x:v>5.05</x:v>
      </x:c>
      <x:c r="Q427" s="56" t="n">
        <x:v>83</x:v>
      </x:c>
      <x:c r="R427" t="str">
        <x:v>X</x:v>
      </x:c>
      <x:c r="S427" s="102" t="n">
        <x:v>100</x:v>
      </x:c>
      <x:c r="T427" t="str">
        <x:v>VALID</x:v>
      </x:c>
      <x:c r="U427" t="n">
        <x:v>1932</x:v>
      </x:c>
      <x:c r="V427" t="str">
        <x:v>Pasted text(56).txt</x:v>
      </x:c>
    </x:row>
    <x:row r="428">
      <x:c r="A428" t="str">
        <x:v>S05</x:v>
      </x:c>
      <x:c r="B428" t="str">
        <x:v>1.28 validated five-run session</x:v>
      </x:c>
      <x:c r="C428" s="54" t="n">
        <x:v>1.28</x:v>
      </x:c>
      <x:c r="D428" t="n">
        <x:v>5</x:v>
      </x:c>
      <x:c r="E428" t="n">
        <x:v>1</x:v>
      </x:c>
      <x:c r="F428" t="str">
        <x:v>SEARCH</x:v>
      </x:c>
      <x:c r="G428" t="n">
        <x:v>4</x:v>
      </x:c>
      <x:c r="H428" s="54" t="n">
        <x:v>6</x:v>
      </x:c>
      <x:c r="I428" s="54" t="n">
        <x:v>0.48975</x:v>
      </x:c>
      <x:c r="J428" s="54" t="n">
        <x:v>0.48762</x:v>
      </x:c>
      <x:c r="K428" s="54" t="n">
        <x:v>0.17947</x:v>
      </x:c>
      <x:c r="L428" s="54" t="n">
        <x:v>0.3155</x:v>
      </x:c>
      <x:c r="M428" s="54" t="n">
        <x:v>0.60803</x:v>
      </x:c>
      <x:c r="N428" s="56" t="n">
        <x:v>-61.74</x:v>
      </x:c>
      <x:c r="O428" s="56" t="n">
        <x:v>6.7</x:v>
      </x:c>
      <x:c r="P428" s="56" t="n">
        <x:v>5.2</x:v>
      </x:c>
      <x:c r="Q428" s="56" t="n">
        <x:v>85.2</x:v>
      </x:c>
      <x:c r="R428" t="str">
        <x:v>X</x:v>
      </x:c>
      <x:c r="S428" s="102" t="n">
        <x:v>100</x:v>
      </x:c>
      <x:c r="T428" t="str">
        <x:v>VALID</x:v>
      </x:c>
      <x:c r="U428" t="n">
        <x:v>1933</x:v>
      </x:c>
      <x:c r="V428" t="str">
        <x:v>Pasted text(56).txt</x:v>
      </x:c>
    </x:row>
    <x:row r="429">
      <x:c r="A429" t="str">
        <x:v>S05</x:v>
      </x:c>
      <x:c r="B429" t="str">
        <x:v>1.28 validated five-run session</x:v>
      </x:c>
      <x:c r="C429" s="54" t="n">
        <x:v>1.28</x:v>
      </x:c>
      <x:c r="D429" t="n">
        <x:v>5</x:v>
      </x:c>
      <x:c r="E429" t="n">
        <x:v>1</x:v>
      </x:c>
      <x:c r="F429" t="str">
        <x:v>SEARCH</x:v>
      </x:c>
      <x:c r="G429" t="n">
        <x:v>5</x:v>
      </x:c>
      <x:c r="H429" s="54" t="n">
        <x:v>7</x:v>
      </x:c>
      <x:c r="I429" s="54" t="n">
        <x:v>0.6085</x:v>
      </x:c>
      <x:c r="J429" s="54" t="n">
        <x:v>0.60644</x:v>
      </x:c>
      <x:c r="K429" s="54" t="n">
        <x:v>0.23478</x:v>
      </x:c>
      <x:c r="L429" s="54" t="n">
        <x:v>0.35146</x:v>
      </x:c>
      <x:c r="M429" s="54" t="n">
        <x:v>0.73961</x:v>
      </x:c>
      <x:c r="N429" s="56" t="n">
        <x:v>-52.46</x:v>
      </x:c>
      <x:c r="O429" s="56" t="n">
        <x:v>0.52</x:v>
      </x:c>
      <x:c r="P429" s="56" t="n">
        <x:v>0.91</x:v>
      </x:c>
      <x:c r="Q429" s="56" t="n">
        <x:v>88.6</x:v>
      </x:c>
      <x:c r="R429" t="str">
        <x:v>X</x:v>
      </x:c>
      <x:c r="S429" s="102" t="n">
        <x:v>100</x:v>
      </x:c>
      <x:c r="T429" t="str">
        <x:v>VALID</x:v>
      </x:c>
      <x:c r="U429" t="n">
        <x:v>1934</x:v>
      </x:c>
      <x:c r="V429" t="str">
        <x:v>Pasted text(56).txt</x:v>
      </x:c>
    </x:row>
    <x:row r="430">
      <x:c r="A430" t="str">
        <x:v>S05</x:v>
      </x:c>
      <x:c r="B430" t="str">
        <x:v>1.28 validated five-run session</x:v>
      </x:c>
      <x:c r="C430" s="54" t="n">
        <x:v>1.28</x:v>
      </x:c>
      <x:c r="D430" t="n">
        <x:v>5</x:v>
      </x:c>
      <x:c r="E430" t="n">
        <x:v>1</x:v>
      </x:c>
      <x:c r="F430" t="str">
        <x:v>SEARCH</x:v>
      </x:c>
      <x:c r="G430" t="n">
        <x:v>6</x:v>
      </x:c>
      <x:c r="H430" s="54" t="n">
        <x:v>8</x:v>
      </x:c>
      <x:c r="I430" s="54" t="n">
        <x:v>0.72392</x:v>
      </x:c>
      <x:c r="J430" s="54" t="n">
        <x:v>0.72837</x:v>
      </x:c>
      <x:c r="K430" s="54" t="n">
        <x:v>0.26176</x:v>
      </x:c>
      <x:c r="L430" s="54" t="n">
        <x:v>0.44769</x:v>
      </x:c>
      <x:c r="M430" s="54" t="n">
        <x:v>0.89429</x:v>
      </x:c>
      <x:c r="N430" s="56" t="n">
        <x:v>-43.44</x:v>
      </x:c>
      <x:c r="O430" s="56" t="n">
        <x:v>1.88</x:v>
      </x:c>
      <x:c r="P430" s="56" t="n">
        <x:v>2.24</x:v>
      </x:c>
      <x:c r="Q430" s="56" t="n">
        <x:v>90.8</x:v>
      </x:c>
      <x:c r="R430" t="str">
        <x:v>X</x:v>
      </x:c>
      <x:c r="S430" s="102" t="n">
        <x:v>100</x:v>
      </x:c>
      <x:c r="T430" t="str">
        <x:v>VALID</x:v>
      </x:c>
      <x:c r="U430" t="n">
        <x:v>1935</x:v>
      </x:c>
      <x:c r="V430" t="str">
        <x:v>Pasted text(56).txt</x:v>
      </x:c>
    </x:row>
    <x:row r="431">
      <x:c r="A431" t="str">
        <x:v>S05</x:v>
      </x:c>
      <x:c r="B431" t="str">
        <x:v>1.28 validated five-run session</x:v>
      </x:c>
      <x:c r="C431" s="54" t="n">
        <x:v>1.28</x:v>
      </x:c>
      <x:c r="D431" t="n">
        <x:v>5</x:v>
      </x:c>
      <x:c r="E431" t="n">
        <x:v>1</x:v>
      </x:c>
      <x:c r="F431" t="str">
        <x:v>SEARCH</x:v>
      </x:c>
      <x:c r="G431" t="n">
        <x:v>7</x:v>
      </x:c>
      <x:c r="H431" s="54" t="n">
        <x:v>9</x:v>
      </x:c>
      <x:c r="I431" s="54" t="n">
        <x:v>0.83453</x:v>
      </x:c>
      <x:c r="J431" s="54" t="n">
        <x:v>0.83407</x:v>
      </x:c>
      <x:c r="K431" s="54" t="n">
        <x:v>0.30209</x:v>
      </x:c>
      <x:c r="L431" s="54" t="n">
        <x:v>0.50474</x:v>
      </x:c>
      <x:c r="M431" s="54" t="n">
        <x:v>1.02083</x:v>
      </x:c>
      <x:c r="N431" s="56" t="n">
        <x:v>-34.8</x:v>
      </x:c>
      <x:c r="O431" s="56" t="n">
        <x:v>0.03</x:v>
      </x:c>
      <x:c r="P431" s="56" t="n">
        <x:v>0.12</x:v>
      </x:c>
      <x:c r="Q431" s="56" t="n">
        <x:v>90.1</x:v>
      </x:c>
      <x:c r="R431" t="str">
        <x:v>X</x:v>
      </x:c>
      <x:c r="S431" s="102" t="n">
        <x:v>100</x:v>
      </x:c>
      <x:c r="T431" t="str">
        <x:v>VALID</x:v>
      </x:c>
      <x:c r="U431" t="n">
        <x:v>1936</x:v>
      </x:c>
      <x:c r="V431" t="str">
        <x:v>Pasted text(56).txt</x:v>
      </x:c>
    </x:row>
    <x:row r="432">
      <x:c r="A432" t="str">
        <x:v>S05</x:v>
      </x:c>
      <x:c r="B432" t="str">
        <x:v>1.28 validated five-run session</x:v>
      </x:c>
      <x:c r="C432" s="54" t="n">
        <x:v>1.28</x:v>
      </x:c>
      <x:c r="D432" t="n">
        <x:v>5</x:v>
      </x:c>
      <x:c r="E432" t="n">
        <x:v>1</x:v>
      </x:c>
      <x:c r="F432" t="str">
        <x:v>SEARCH</x:v>
      </x:c>
      <x:c r="G432" t="n">
        <x:v>8</x:v>
      </x:c>
      <x:c r="H432" s="54" t="n">
        <x:v>9.5</x:v>
      </x:c>
      <x:c r="I432" s="54" t="n">
        <x:v>0.89213</x:v>
      </x:c>
      <x:c r="J432" s="54" t="n">
        <x:v>0.90009</x:v>
      </x:c>
      <x:c r="K432" s="54" t="n">
        <x:v>0.31182</x:v>
      </x:c>
      <x:c r="L432" s="54" t="n">
        <x:v>0.51265</x:v>
      </x:c>
      <x:c r="M432" s="54" t="n">
        <x:v>1.0818</x:v>
      </x:c>
      <x:c r="N432" s="56" t="n">
        <x:v>-30.3</x:v>
      </x:c>
      <x:c r="O432" s="56" t="n">
        <x:v>0.22</x:v>
      </x:c>
      <x:c r="P432" s="56" t="n">
        <x:v>1.66</x:v>
      </x:c>
      <x:c r="Q432" s="56" t="n">
        <x:v>91.7</x:v>
      </x:c>
      <x:c r="R432" t="str">
        <x:v>X</x:v>
      </x:c>
      <x:c r="S432" s="102" t="n">
        <x:v>100</x:v>
      </x:c>
      <x:c r="T432" t="str">
        <x:v>VALID</x:v>
      </x:c>
      <x:c r="U432" t="n">
        <x:v>1937</x:v>
      </x:c>
      <x:c r="V432" t="str">
        <x:v>Pasted text(56).txt</x:v>
      </x:c>
    </x:row>
    <x:row r="433">
      <x:c r="A433" t="str">
        <x:v>S05</x:v>
      </x:c>
      <x:c r="B433" t="str">
        <x:v>1.28 validated five-run session</x:v>
      </x:c>
      <x:c r="C433" s="54" t="n">
        <x:v>1.28</x:v>
      </x:c>
      <x:c r="D433" t="n">
        <x:v>5</x:v>
      </x:c>
      <x:c r="E433" t="n">
        <x:v>1</x:v>
      </x:c>
      <x:c r="F433" t="str">
        <x:v>SEARCH</x:v>
      </x:c>
      <x:c r="G433" t="n">
        <x:v>9</x:v>
      </x:c>
      <x:c r="H433" s="54" t="n">
        <x:v>10</x:v>
      </x:c>
      <x:c r="I433" s="54" t="n">
        <x:v>0.97762</x:v>
      </x:c>
      <x:c r="J433" s="54" t="n">
        <x:v>0.978</x:v>
      </x:c>
      <x:c r="K433" s="54" t="n">
        <x:v>0.34354</x:v>
      </x:c>
      <x:c r="L433" s="54" t="n">
        <x:v>0.5795</x:v>
      </x:c>
      <x:c r="M433" s="54" t="n">
        <x:v>1.18768</x:v>
      </x:c>
      <x:c r="N433" s="56" t="n">
        <x:v>-23.62</x:v>
      </x:c>
      <x:c r="O433" s="56" t="n">
        <x:v>1.87</x:v>
      </x:c>
      <x:c r="P433" s="56" t="n">
        <x:v>1.32</x:v>
      </x:c>
      <x:c r="Q433" s="56" t="n">
        <x:v>91.9</x:v>
      </x:c>
      <x:c r="R433" t="str">
        <x:v>X</x:v>
      </x:c>
      <x:c r="S433" s="102" t="n">
        <x:v>100</x:v>
      </x:c>
      <x:c r="T433" t="str">
        <x:v>VALID</x:v>
      </x:c>
      <x:c r="U433" t="n">
        <x:v>1938</x:v>
      </x:c>
      <x:c r="V433" t="str">
        <x:v>Pasted text(56).txt</x:v>
      </x:c>
    </x:row>
    <x:row r="434">
      <x:c r="A434" t="str">
        <x:v>S05</x:v>
      </x:c>
      <x:c r="B434" t="str">
        <x:v>1.28 validated five-run session</x:v>
      </x:c>
      <x:c r="C434" s="54" t="n">
        <x:v>1.28</x:v>
      </x:c>
      <x:c r="D434" t="n">
        <x:v>5</x:v>
      </x:c>
      <x:c r="E434" t="n">
        <x:v>1</x:v>
      </x:c>
      <x:c r="F434" t="str">
        <x:v>SEARCH</x:v>
      </x:c>
      <x:c r="G434" t="n">
        <x:v>10</x:v>
      </x:c>
      <x:c r="H434" s="54" t="n">
        <x:v>10.5</x:v>
      </x:c>
      <x:c r="I434" s="54" t="n">
        <x:v>1.02102</x:v>
      </x:c>
      <x:c r="J434" s="54" t="n">
        <x:v>1.02569</x:v>
      </x:c>
      <x:c r="K434" s="54" t="n">
        <x:v>0.36112</x:v>
      </x:c>
      <x:c r="L434" s="54" t="n">
        <x:v>0.5685</x:v>
      </x:c>
      <x:c r="M434" s="54" t="n">
        <x:v>1.22723</x:v>
      </x:c>
      <x:c r="N434" s="56" t="n">
        <x:v>-20.23</x:v>
      </x:c>
      <x:c r="O434" s="56" t="n">
        <x:v>0.45</x:v>
      </x:c>
      <x:c r="P434" s="56" t="n">
        <x:v>1.06</x:v>
      </x:c>
      <x:c r="Q434" s="56" t="n">
        <x:v>92.5</x:v>
      </x:c>
      <x:c r="R434" t="str">
        <x:v>X</x:v>
      </x:c>
      <x:c r="S434" s="102" t="n">
        <x:v>100</x:v>
      </x:c>
      <x:c r="T434" t="str">
        <x:v>VALID</x:v>
      </x:c>
      <x:c r="U434" t="n">
        <x:v>1939</x:v>
      </x:c>
      <x:c r="V434" t="str">
        <x:v>Pasted text(56).txt</x:v>
      </x:c>
    </x:row>
    <x:row r="435">
      <x:c r="A435" t="str">
        <x:v>S05</x:v>
      </x:c>
      <x:c r="B435" t="str">
        <x:v>1.28 validated five-run session</x:v>
      </x:c>
      <x:c r="C435" s="54" t="n">
        <x:v>1.28</x:v>
      </x:c>
      <x:c r="D435" t="n">
        <x:v>5</x:v>
      </x:c>
      <x:c r="E435" t="n">
        <x:v>1</x:v>
      </x:c>
      <x:c r="F435" t="str">
        <x:v>SEARCH</x:v>
      </x:c>
      <x:c r="G435" t="n">
        <x:v>11</x:v>
      </x:c>
      <x:c r="H435" s="54" t="n">
        <x:v>11</x:v>
      </x:c>
      <x:c r="I435" s="54" t="n">
        <x:v>1.10062</x:v>
      </x:c>
      <x:c r="J435" s="54" t="n">
        <x:v>1.10961</x:v>
      </x:c>
      <x:c r="K435" s="54" t="n">
        <x:v>0.36611</x:v>
      </x:c>
      <x:c r="L435" s="54" t="n">
        <x:v>0.60448</x:v>
      </x:c>
      <x:c r="M435" s="54" t="n">
        <x:v>1.31573</x:v>
      </x:c>
      <x:c r="N435" s="56" t="n">
        <x:v>-14.01</x:v>
      </x:c>
      <x:c r="O435" s="56" t="n">
        <x:v>0.09</x:v>
      </x:c>
      <x:c r="P435" s="56" t="n">
        <x:v>1.45</x:v>
      </x:c>
      <x:c r="Q435" s="56" t="n">
        <x:v>93.6</x:v>
      </x:c>
      <x:c r="R435" t="str">
        <x:v>X</x:v>
      </x:c>
      <x:c r="S435" s="102" t="n">
        <x:v>100</x:v>
      </x:c>
      <x:c r="T435" t="str">
        <x:v>VALID</x:v>
      </x:c>
      <x:c r="U435" t="n">
        <x:v>1940</x:v>
      </x:c>
      <x:c r="V435" t="str">
        <x:v>Pasted text(56).txt</x:v>
      </x:c>
    </x:row>
    <x:row r="436">
      <x:c r="A436" t="str">
        <x:v>S05</x:v>
      </x:c>
      <x:c r="B436" t="str">
        <x:v>1.28 validated five-run session</x:v>
      </x:c>
      <x:c r="C436" s="54" t="n">
        <x:v>1.28</x:v>
      </x:c>
      <x:c r="D436" t="n">
        <x:v>5</x:v>
      </x:c>
      <x:c r="E436" t="n">
        <x:v>1</x:v>
      </x:c>
      <x:c r="F436" t="str">
        <x:v>SEARCH</x:v>
      </x:c>
      <x:c r="G436" t="n">
        <x:v>12</x:v>
      </x:c>
      <x:c r="H436" s="54" t="n">
        <x:v>11.25</x:v>
      </x:c>
      <x:c r="I436" s="54" t="n">
        <x:v>1.11895</x:v>
      </x:c>
      <x:c r="J436" s="54" t="n">
        <x:v>1.12707</x:v>
      </x:c>
      <x:c r="K436" s="54" t="n">
        <x:v>0.39191</x:v>
      </x:c>
      <x:c r="L436" s="54" t="n">
        <x:v>0.63834</x:v>
      </x:c>
      <x:c r="M436" s="54" t="n">
        <x:v>1.35342</x:v>
      </x:c>
      <x:c r="N436" s="56" t="n">
        <x:v>-12.58</x:v>
      </x:c>
      <x:c r="O436" s="56" t="n">
        <x:v>0.55</x:v>
      </x:c>
      <x:c r="P436" s="56" t="n">
        <x:v>1.58</x:v>
      </x:c>
      <x:c r="Q436" s="56" t="n">
        <x:v>93</x:v>
      </x:c>
      <x:c r="R436" t="str">
        <x:v>X</x:v>
      </x:c>
      <x:c r="S436" s="102" t="n">
        <x:v>100</x:v>
      </x:c>
      <x:c r="T436" t="str">
        <x:v>VALID</x:v>
      </x:c>
      <x:c r="U436" t="n">
        <x:v>1941</x:v>
      </x:c>
      <x:c r="V436" t="str">
        <x:v>Pasted text(56).txt</x:v>
      </x:c>
    </x:row>
    <x:row r="437">
      <x:c r="A437" t="str">
        <x:v>S05</x:v>
      </x:c>
      <x:c r="B437" t="str">
        <x:v>1.28 validated five-run session</x:v>
      </x:c>
      <x:c r="C437" s="54" t="n">
        <x:v>1.28</x:v>
      </x:c>
      <x:c r="D437" t="n">
        <x:v>5</x:v>
      </x:c>
      <x:c r="E437" t="n">
        <x:v>1</x:v>
      </x:c>
      <x:c r="F437" t="str">
        <x:v>SEARCH</x:v>
      </x:c>
      <x:c r="G437" t="n">
        <x:v>13</x:v>
      </x:c>
      <x:c r="H437" s="54" t="n">
        <x:v>11.5</x:v>
      </x:c>
      <x:c r="I437" s="54" t="n">
        <x:v>1.14038</x:v>
      </x:c>
      <x:c r="J437" s="54" t="n">
        <x:v>1.14539</x:v>
      </x:c>
      <x:c r="K437" s="54" t="n">
        <x:v>0.40876</x:v>
      </x:c>
      <x:c r="L437" s="54" t="n">
        <x:v>0.6361</x:v>
      </x:c>
      <x:c r="M437" s="54" t="n">
        <x:v>1.37256</x:v>
      </x:c>
      <x:c r="N437" s="56" t="n">
        <x:v>-10.91</x:v>
      </x:c>
      <x:c r="O437" s="56" t="n">
        <x:v>0.23</x:v>
      </x:c>
      <x:c r="P437" s="56" t="n">
        <x:v>0.89</x:v>
      </x:c>
      <x:c r="Q437" s="56" t="n">
        <x:v>93.2</x:v>
      </x:c>
      <x:c r="R437" t="str">
        <x:v>X</x:v>
      </x:c>
      <x:c r="S437" s="102" t="n">
        <x:v>100</x:v>
      </x:c>
      <x:c r="T437" t="str">
        <x:v>VALID</x:v>
      </x:c>
      <x:c r="U437" t="n">
        <x:v>1942</x:v>
      </x:c>
      <x:c r="V437" t="str">
        <x:v>Pasted text(56).txt</x:v>
      </x:c>
    </x:row>
    <x:row r="438">
      <x:c r="A438" t="str">
        <x:v>S05</x:v>
      </x:c>
      <x:c r="B438" t="str">
        <x:v>1.28 validated five-run session</x:v>
      </x:c>
      <x:c r="C438" s="54" t="n">
        <x:v>1.28</x:v>
      </x:c>
      <x:c r="D438" t="n">
        <x:v>5</x:v>
      </x:c>
      <x:c r="E438" t="n">
        <x:v>1</x:v>
      </x:c>
      <x:c r="F438" t="str">
        <x:v>SEARCH</x:v>
      </x:c>
      <x:c r="G438" t="n">
        <x:v>14</x:v>
      </x:c>
      <x:c r="H438" s="54" t="n">
        <x:v>11.75</x:v>
      </x:c>
      <x:c r="I438" s="54" t="n">
        <x:v>1.18502</x:v>
      </x:c>
      <x:c r="J438" s="54" t="n">
        <x:v>1.19847</x:v>
      </x:c>
      <x:c r="K438" s="54" t="n">
        <x:v>0.41346</x:v>
      </x:c>
      <x:c r="L438" s="54" t="n">
        <x:v>0.67268</x:v>
      </x:c>
      <x:c r="M438" s="54" t="n">
        <x:v>1.43529</x:v>
      </x:c>
      <x:c r="N438" s="56" t="n">
        <x:v>-7.42</x:v>
      </x:c>
      <x:c r="O438" s="56" t="n">
        <x:v>0.46</x:v>
      </x:c>
      <x:c r="P438" s="56" t="n">
        <x:v>2.21</x:v>
      </x:c>
      <x:c r="Q438" s="56" t="n">
        <x:v>93</x:v>
      </x:c>
      <x:c r="R438" t="str">
        <x:v>X</x:v>
      </x:c>
      <x:c r="S438" s="102" t="n">
        <x:v>100</x:v>
      </x:c>
      <x:c r="T438" t="str">
        <x:v>IN TARGET BAND</x:v>
      </x:c>
      <x:c r="U438" t="n">
        <x:v>1943</x:v>
      </x:c>
      <x:c r="V438" t="str">
        <x:v>Pasted text(56).txt</x:v>
      </x:c>
    </x:row>
    <x:row r="439">
      <x:c r="A439" t="str">
        <x:v>S05</x:v>
      </x:c>
      <x:c r="B439" t="str">
        <x:v>1.28 validated five-run session</x:v>
      </x:c>
      <x:c r="C439" s="54" t="n">
        <x:v>1.28</x:v>
      </x:c>
      <x:c r="D439" t="n">
        <x:v>5</x:v>
      </x:c>
      <x:c r="E439" t="n">
        <x:v>1</x:v>
      </x:c>
      <x:c r="F439" t="str">
        <x:v>FINE</x:v>
      </x:c>
      <x:c r="G439" t="n">
        <x:v>1</x:v>
      </x:c>
      <x:c r="H439" s="54" t="n">
        <x:v>10.75</x:v>
      </x:c>
      <x:c r="I439" s="54" t="n">
        <x:v>1.08314</x:v>
      </x:c>
      <x:c r="J439" s="54" t="n">
        <x:v>1.07878</x:v>
      </x:c>
      <x:c r="K439" s="54" t="n">
        <x:v>0.39382</x:v>
      </x:c>
      <x:c r="L439" s="54" t="n">
        <x:v>0.59365</x:v>
      </x:c>
      <x:c r="M439" s="54" t="n">
        <x:v>1.29296</x:v>
      </x:c>
      <x:c r="N439" s="56" t="n">
        <x:v>-15.38</x:v>
      </x:c>
      <x:c r="O439" s="56" t="n">
        <x:v>1.19</x:v>
      </x:c>
      <x:c r="P439" s="56" t="n">
        <x:v>1.45</x:v>
      </x:c>
      <x:c r="Q439" s="56" t="n">
        <x:v>91.8</x:v>
      </x:c>
      <x:c r="R439" t="str">
        <x:v>X</x:v>
      </x:c>
      <x:c r="S439" s="102" t="n">
        <x:v>100</x:v>
      </x:c>
      <x:c r="T439" t="str">
        <x:v>VALID</x:v>
      </x:c>
      <x:c r="U439" t="n">
        <x:v>1947</x:v>
      </x:c>
      <x:c r="V439" t="str">
        <x:v>Pasted text(56).txt</x:v>
      </x:c>
    </x:row>
    <x:row r="440">
      <x:c r="A440" t="str">
        <x:v>S05</x:v>
      </x:c>
      <x:c r="B440" t="str">
        <x:v>1.28 validated five-run session</x:v>
      </x:c>
      <x:c r="C440" s="54" t="n">
        <x:v>1.28</x:v>
      </x:c>
      <x:c r="D440" t="n">
        <x:v>5</x:v>
      </x:c>
      <x:c r="E440" t="n">
        <x:v>1</x:v>
      </x:c>
      <x:c r="F440" t="str">
        <x:v>FINE</x:v>
      </x:c>
      <x:c r="G440" t="n">
        <x:v>2</x:v>
      </x:c>
      <x:c r="H440" s="54" t="n">
        <x:v>11</x:v>
      </x:c>
      <x:c r="I440" s="54" t="n">
        <x:v>1.12527</x:v>
      </x:c>
      <x:c r="J440" s="54" t="n">
        <x:v>1.11831</x:v>
      </x:c>
      <x:c r="K440" s="54" t="n">
        <x:v>0.37491</x:v>
      </x:c>
      <x:c r="L440" s="54" t="n">
        <x:v>0.61369</x:v>
      </x:c>
      <x:c r="M440" s="54" t="n">
        <x:v>1.32972</x:v>
      </x:c>
      <x:c r="N440" s="56" t="n">
        <x:v>-12.09</x:v>
      </x:c>
      <x:c r="O440" s="56" t="n">
        <x:v>0.09</x:v>
      </x:c>
      <x:c r="P440" s="56" t="n">
        <x:v>1.13</x:v>
      </x:c>
      <x:c r="Q440" s="56" t="n">
        <x:v>93.8</x:v>
      </x:c>
      <x:c r="R440" t="str">
        <x:v>X</x:v>
      </x:c>
      <x:c r="S440" s="102" t="n">
        <x:v>100</x:v>
      </x:c>
      <x:c r="T440" t="str">
        <x:v>VALID</x:v>
      </x:c>
      <x:c r="U440" t="n">
        <x:v>1948</x:v>
      </x:c>
      <x:c r="V440" t="str">
        <x:v>Pasted text(56).txt</x:v>
      </x:c>
    </x:row>
    <x:row r="441">
      <x:c r="A441" t="str">
        <x:v>S05</x:v>
      </x:c>
      <x:c r="B441" t="str">
        <x:v>1.28 validated five-run session</x:v>
      </x:c>
      <x:c r="C441" s="54" t="n">
        <x:v>1.28</x:v>
      </x:c>
      <x:c r="D441" t="n">
        <x:v>5</x:v>
      </x:c>
      <x:c r="E441" t="n">
        <x:v>1</x:v>
      </x:c>
      <x:c r="F441" t="str">
        <x:v>FINE</x:v>
      </x:c>
      <x:c r="G441" t="n">
        <x:v>3</x:v>
      </x:c>
      <x:c r="H441" s="54" t="n">
        <x:v>11.25</x:v>
      </x:c>
      <x:c r="I441" s="54" t="n">
        <x:v>1.13701</x:v>
      </x:c>
      <x:c r="J441" s="54" t="n">
        <x:v>1.13219</x:v>
      </x:c>
      <x:c r="K441" s="54" t="n">
        <x:v>0.3882</x:v>
      </x:c>
      <x:c r="L441" s="54" t="n">
        <x:v>0.60685</x:v>
      </x:c>
      <x:c r="M441" s="54" t="n">
        <x:v>1.34224</x:v>
      </x:c>
      <x:c r="N441" s="56" t="n">
        <x:v>-11.17</x:v>
      </x:c>
      <x:c r="O441" s="56" t="n">
        <x:v>1.12</x:v>
      </x:c>
      <x:c r="P441" s="56" t="n">
        <x:v>1.44</x:v>
      </x:c>
      <x:c r="Q441" s="56" t="n">
        <x:v>93.5</x:v>
      </x:c>
      <x:c r="R441" t="str">
        <x:v>X</x:v>
      </x:c>
      <x:c r="S441" s="102" t="n">
        <x:v>100</x:v>
      </x:c>
      <x:c r="T441" t="str">
        <x:v>VALID</x:v>
      </x:c>
      <x:c r="U441" t="n">
        <x:v>1949</x:v>
      </x:c>
      <x:c r="V441" t="str">
        <x:v>Pasted text(56).txt</x:v>
      </x:c>
    </x:row>
    <x:row r="442">
      <x:c r="A442" t="str">
        <x:v>S05</x:v>
      </x:c>
      <x:c r="B442" t="str">
        <x:v>1.28 validated five-run session</x:v>
      </x:c>
      <x:c r="C442" s="54" t="n">
        <x:v>1.28</x:v>
      </x:c>
      <x:c r="D442" t="n">
        <x:v>5</x:v>
      </x:c>
      <x:c r="E442" t="n">
        <x:v>1</x:v>
      </x:c>
      <x:c r="F442" t="str">
        <x:v>FINE</x:v>
      </x:c>
      <x:c r="G442" t="n">
        <x:v>4</x:v>
      </x:c>
      <x:c r="H442" s="54" t="n">
        <x:v>11.5</x:v>
      </x:c>
      <x:c r="I442" s="54" t="n">
        <x:v>1.15317</x:v>
      </x:c>
      <x:c r="J442" s="54" t="n">
        <x:v>1.15048</x:v>
      </x:c>
      <x:c r="K442" s="54" t="n">
        <x:v>0.40041</x:v>
      </x:c>
      <x:c r="L442" s="54" t="n">
        <x:v>0.64391</x:v>
      </x:c>
      <x:c r="M442" s="54" t="n">
        <x:v>1.37802</x:v>
      </x:c>
      <x:c r="N442" s="56" t="n">
        <x:v>-9.91</x:v>
      </x:c>
      <x:c r="O442" s="56" t="n">
        <x:v>0.66</x:v>
      </x:c>
      <x:c r="P442" s="56" t="n">
        <x:v>0.82</x:v>
      </x:c>
      <x:c r="Q442" s="56" t="n">
        <x:v>92.6</x:v>
      </x:c>
      <x:c r="R442" t="str">
        <x:v>X</x:v>
      </x:c>
      <x:c r="S442" s="102" t="n">
        <x:v>100</x:v>
      </x:c>
      <x:c r="T442" t="str">
        <x:v>VALID</x:v>
      </x:c>
      <x:c r="U442" t="n">
        <x:v>1950</x:v>
      </x:c>
      <x:c r="V442" t="str">
        <x:v>Pasted text(56).txt</x:v>
      </x:c>
    </x:row>
    <x:row r="443">
      <x:c r="A443" t="str">
        <x:v>S05</x:v>
      </x:c>
      <x:c r="B443" t="str">
        <x:v>1.28 validated five-run session</x:v>
      </x:c>
      <x:c r="C443" s="54" t="n">
        <x:v>1.28</x:v>
      </x:c>
      <x:c r="D443" t="n">
        <x:v>5</x:v>
      </x:c>
      <x:c r="E443" t="n">
        <x:v>1</x:v>
      </x:c>
      <x:c r="F443" t="str">
        <x:v>FINE</x:v>
      </x:c>
      <x:c r="G443" t="n">
        <x:v>5</x:v>
      </x:c>
      <x:c r="H443" s="54" t="n">
        <x:v>11.75</x:v>
      </x:c>
      <x:c r="I443" s="54" t="n">
        <x:v>1.20551</x:v>
      </x:c>
      <x:c r="J443" s="54" t="n">
        <x:v>1.20613</x:v>
      </x:c>
      <x:c r="K443" s="54" t="n">
        <x:v>0.40574</x:v>
      </x:c>
      <x:c r="L443" s="54" t="n">
        <x:v>0.67881</x:v>
      </x:c>
      <x:c r="M443" s="54" t="n">
        <x:v>1.44231</x:v>
      </x:c>
      <x:c r="N443" s="56" t="n">
        <x:v>-5.82</x:v>
      </x:c>
      <x:c r="O443" s="56" t="n">
        <x:v>1.17</x:v>
      </x:c>
      <x:c r="P443" s="56" t="n">
        <x:v>0.86</x:v>
      </x:c>
      <x:c r="Q443" s="56" t="n">
        <x:v>93.3</x:v>
      </x:c>
      <x:c r="R443" t="str">
        <x:v>X</x:v>
      </x:c>
      <x:c r="S443" s="102" t="n">
        <x:v>100</x:v>
      </x:c>
      <x:c r="T443" t="str">
        <x:v>IN TARGET BAND</x:v>
      </x:c>
      <x:c r="U443" t="n">
        <x:v>1951</x:v>
      </x:c>
      <x:c r="V443" t="str">
        <x:v>Pasted text(56).txt</x:v>
      </x:c>
    </x:row>
    <x:row r="444">
      <x:c r="A444" t="str">
        <x:v>S05</x:v>
      </x:c>
      <x:c r="B444" t="str">
        <x:v>1.28 validated five-run session</x:v>
      </x:c>
      <x:c r="C444" s="54" t="n">
        <x:v>1.28</x:v>
      </x:c>
      <x:c r="D444" t="n">
        <x:v>5</x:v>
      </x:c>
      <x:c r="E444" t="n">
        <x:v>1</x:v>
      </x:c>
      <x:c r="F444" t="str">
        <x:v>FINE</x:v>
      </x:c>
      <x:c r="G444" t="n">
        <x:v>6</x:v>
      </x:c>
      <x:c r="H444" s="54" t="n">
        <x:v>12</x:v>
      </x:c>
      <x:c r="I444" s="54" t="n">
        <x:v>1.24568</x:v>
      </x:c>
      <x:c r="J444" s="54" t="n">
        <x:v>1.24298</x:v>
      </x:c>
      <x:c r="K444" s="54" t="n">
        <x:v>0.41291</x:v>
      </x:c>
      <x:c r="L444" s="54" t="n">
        <x:v>0.67464</x:v>
      </x:c>
      <x:c r="M444" s="54" t="n">
        <x:v>1.47332</x:v>
      </x:c>
      <x:c r="N444" s="56" t="n">
        <x:v>-2.68</x:v>
      </x:c>
      <x:c r="O444" s="56" t="n">
        <x:v>0.77</x:v>
      </x:c>
      <x:c r="P444" s="56" t="n">
        <x:v>0.86</x:v>
      </x:c>
      <x:c r="Q444" s="56" t="n">
        <x:v>94.1</x:v>
      </x:c>
      <x:c r="R444" t="str">
        <x:v>X</x:v>
      </x:c>
      <x:c r="S444" s="102" t="n">
        <x:v>100</x:v>
      </x:c>
      <x:c r="T444" t="str">
        <x:v>IN TARGET BAND</x:v>
      </x:c>
      <x:c r="U444" t="n">
        <x:v>1952</x:v>
      </x:c>
      <x:c r="V444" t="str">
        <x:v>Pasted text(56).txt</x:v>
      </x:c>
    </x:row>
    <x:row r="445">
      <x:c r="A445" t="str">
        <x:v>S05</x:v>
      </x:c>
      <x:c r="B445" t="str">
        <x:v>1.28 validated five-run session</x:v>
      </x:c>
      <x:c r="C445" s="54" t="n">
        <x:v>1.28</x:v>
      </x:c>
      <x:c r="D445" t="n">
        <x:v>5</x:v>
      </x:c>
      <x:c r="E445" t="n">
        <x:v>1</x:v>
      </x:c>
      <x:c r="F445" t="str">
        <x:v>FINE</x:v>
      </x:c>
      <x:c r="G445" t="n">
        <x:v>7</x:v>
      </x:c>
      <x:c r="H445" s="54" t="n">
        <x:v>12.25</x:v>
      </x:c>
      <x:c r="I445" s="54" t="n">
        <x:v>1.25404</x:v>
      </x:c>
      <x:c r="J445" s="54" t="n">
        <x:v>1.25844</x:v>
      </x:c>
      <x:c r="K445" s="54" t="n">
        <x:v>0.41727</x:v>
      </x:c>
      <x:c r="L445" s="54" t="n">
        <x:v>0.67993</x:v>
      </x:c>
      <x:c r="M445" s="54" t="n">
        <x:v>1.4901</x:v>
      </x:c>
      <x:c r="N445" s="56" t="n">
        <x:v>-2.03</x:v>
      </x:c>
      <x:c r="O445" s="56" t="n">
        <x:v>0.72</x:v>
      </x:c>
      <x:c r="P445" s="56" t="n">
        <x:v>1.05</x:v>
      </x:c>
      <x:c r="Q445" s="56" t="n">
        <x:v>93.2</x:v>
      </x:c>
      <x:c r="R445" t="str">
        <x:v>X</x:v>
      </x:c>
      <x:c r="S445" s="102" t="n">
        <x:v>100</x:v>
      </x:c>
      <x:c r="T445" t="str">
        <x:v>IN TARGET BAND</x:v>
      </x:c>
      <x:c r="U445" t="n">
        <x:v>1953</x:v>
      </x:c>
      <x:c r="V445" t="str">
        <x:v>Pasted text(56).txt</x:v>
      </x:c>
    </x:row>
    <x:row r="446">
      <x:c r="A446" t="str">
        <x:v>S05</x:v>
      </x:c>
      <x:c r="B446" t="str">
        <x:v>1.28 validated five-run session</x:v>
      </x:c>
      <x:c r="C446" s="54" t="n">
        <x:v>1.28</x:v>
      </x:c>
      <x:c r="D446" t="n">
        <x:v>5</x:v>
      </x:c>
      <x:c r="E446" t="n">
        <x:v>1</x:v>
      </x:c>
      <x:c r="F446" t="str">
        <x:v>FINE</x:v>
      </x:c>
      <x:c r="G446" t="n">
        <x:v>8</x:v>
      </x:c>
      <x:c r="H446" s="54" t="n">
        <x:v>12.5</x:v>
      </x:c>
      <x:c r="I446" s="54" t="n">
        <x:v>1.27882</x:v>
      </x:c>
      <x:c r="J446" s="54" t="n">
        <x:v>1.28088</x:v>
      </x:c>
      <x:c r="K446" s="54" t="n">
        <x:v>0.43409</x:v>
      </x:c>
      <x:c r="L446" s="54" t="n">
        <x:v>0.69322</x:v>
      </x:c>
      <x:c r="M446" s="54" t="n">
        <x:v>1.51984</x:v>
      </x:c>
      <x:c r="N446" s="56" t="n">
        <x:v>-0.09</x:v>
      </x:c>
      <x:c r="O446" s="56" t="n">
        <x:v>1.24</x:v>
      </x:c>
      <x:c r="P446" s="56" t="n">
        <x:v>1.08</x:v>
      </x:c>
      <x:c r="Q446" s="56" t="n">
        <x:v>93.1</x:v>
      </x:c>
      <x:c r="R446" t="str">
        <x:v>X</x:v>
      </x:c>
      <x:c r="S446" s="102" t="n">
        <x:v>100</x:v>
      </x:c>
      <x:c r="T446" t="str">
        <x:v>IN TARGET BAND</x:v>
      </x:c>
      <x:c r="U446" t="n">
        <x:v>1954</x:v>
      </x:c>
      <x:c r="V446" t="str">
        <x:v>Pasted text(56).txt</x:v>
      </x:c>
    </x:row>
    <x:row r="447">
      <x:c r="A447" t="str">
        <x:v>S05</x:v>
      </x:c>
      <x:c r="B447" t="str">
        <x:v>1.28 validated five-run session</x:v>
      </x:c>
      <x:c r="C447" s="54" t="n">
        <x:v>1.28</x:v>
      </x:c>
      <x:c r="D447" t="n">
        <x:v>5</x:v>
      </x:c>
      <x:c r="E447" t="n">
        <x:v>1</x:v>
      </x:c>
      <x:c r="F447" t="str">
        <x:v>FINE</x:v>
      </x:c>
      <x:c r="G447" t="n">
        <x:v>9</x:v>
      </x:c>
      <x:c r="H447" s="54" t="n">
        <x:v>12.75</x:v>
      </x:c>
      <x:c r="I447" s="54" t="n">
        <x:v>1.3429</x:v>
      </x:c>
      <x:c r="J447" s="54" t="n">
        <x:v>1.34397</x:v>
      </x:c>
      <x:c r="K447" s="54" t="n">
        <x:v>0.43867</x:v>
      </x:c>
      <x:c r="L447" s="54" t="n">
        <x:v>0.74226</x:v>
      </x:c>
      <x:c r="M447" s="54" t="n">
        <x:v>1.59691</x:v>
      </x:c>
      <x:c r="N447" s="56" t="n">
        <x:v>4.91</x:v>
      </x:c>
      <x:c r="O447" s="56" t="n">
        <x:v>1.67</x:v>
      </x:c>
      <x:c r="P447" s="56" t="n">
        <x:v>1.25</x:v>
      </x:c>
      <x:c r="Q447" s="56" t="n">
        <x:v>94.2</x:v>
      </x:c>
      <x:c r="R447" t="str">
        <x:v>X</x:v>
      </x:c>
      <x:c r="S447" s="102" t="n">
        <x:v>100</x:v>
      </x:c>
      <x:c r="T447" t="str">
        <x:v>IN TARGET BAND</x:v>
      </x:c>
      <x:c r="U447" t="n">
        <x:v>1955</x:v>
      </x:c>
      <x:c r="V447" t="str">
        <x:v>Pasted text(56).txt</x:v>
      </x:c>
    </x:row>
    <x:row r="448">
      <x:c r="A448" t="str">
        <x:v>S05</x:v>
      </x:c>
      <x:c r="B448" t="str">
        <x:v>1.28 validated five-run session</x:v>
      </x:c>
      <x:c r="C448" s="54" t="n">
        <x:v>1.28</x:v>
      </x:c>
      <x:c r="D448" t="n">
        <x:v>5</x:v>
      </x:c>
      <x:c r="E448" t="n">
        <x:v>1</x:v>
      </x:c>
      <x:c r="F448" t="str">
        <x:v>FINAL</x:v>
      </x:c>
      <x:c r="G448" t="n">
        <x:v>1</x:v>
      </x:c>
      <x:c r="H448" s="54" t="n">
        <x:v>12.5</x:v>
      </x:c>
      <x:c r="I448" s="54" t="n">
        <x:v>1.26779</x:v>
      </x:c>
      <x:c r="J448" s="54" t="n">
        <x:v>1.26629</x:v>
      </x:c>
      <x:c r="K448" s="54" t="n">
        <x:v>0.4286</x:v>
      </x:c>
      <x:c r="L448" s="54" t="n">
        <x:v>0.69712</x:v>
      </x:c>
      <x:c r="M448" s="54" t="n">
        <x:v>1.50789</x:v>
      </x:c>
      <x:c r="N448" s="56" t="n">
        <x:v>-0.95</x:v>
      </x:c>
      <x:c r="O448" s="56" t="n">
        <x:v>0.41</x:v>
      </x:c>
      <x:c r="P448" s="56" t="n">
        <x:v>0.59</x:v>
      </x:c>
      <x:c r="Q448" s="56" t="n">
        <x:v>93.3</x:v>
      </x:c>
      <x:c r="R448" t="str">
        <x:v>X</x:v>
      </x:c>
      <x:c r="S448" s="102" t="n">
        <x:v>100</x:v>
      </x:c>
      <x:c r="T448" t="str">
        <x:v>IN TARGET BAND</x:v>
      </x:c>
      <x:c r="U448" t="n">
        <x:v>1958</x:v>
      </x:c>
      <x:c r="V448" t="str">
        <x:v>Pasted text(56).txt</x:v>
      </x:c>
    </x:row>
    <x:row r="449">
      <x:c r="A449" t="str">
        <x:v>S05</x:v>
      </x:c>
      <x:c r="B449" t="str">
        <x:v>1.28 validated five-run session</x:v>
      </x:c>
      <x:c r="C449" s="54" t="n">
        <x:v>1.28</x:v>
      </x:c>
      <x:c r="D449" t="n">
        <x:v>5</x:v>
      </x:c>
      <x:c r="E449" t="n">
        <x:v>1</x:v>
      </x:c>
      <x:c r="F449" t="str">
        <x:v>FINAL</x:v>
      </x:c>
      <x:c r="G449" t="n">
        <x:v>2</x:v>
      </x:c>
      <x:c r="H449" s="54" t="n">
        <x:v>12.5</x:v>
      </x:c>
      <x:c r="I449" s="54" t="n">
        <x:v>1.28899</x:v>
      </x:c>
      <x:c r="J449" s="54" t="n">
        <x:v>1.28736</x:v>
      </x:c>
      <x:c r="K449" s="54" t="n">
        <x:v>0.44811</x:v>
      </x:c>
      <x:c r="L449" s="54" t="n">
        <x:v>0.70383</x:v>
      </x:c>
      <x:c r="M449" s="54" t="n">
        <x:v>1.53428</x:v>
      </x:c>
      <x:c r="N449" s="56" t="n">
        <x:v>0.7</x:v>
      </x:c>
      <x:c r="O449" s="56" t="n">
        <x:v>1.41</x:v>
      </x:c>
      <x:c r="P449" s="56" t="n">
        <x:v>0.97</x:v>
      </x:c>
      <x:c r="Q449" s="56" t="n">
        <x:v>94.2</x:v>
      </x:c>
      <x:c r="R449" t="str">
        <x:v>X</x:v>
      </x:c>
      <x:c r="S449" s="102" t="n">
        <x:v>100</x:v>
      </x:c>
      <x:c r="T449" t="str">
        <x:v>IN TARGET BAND</x:v>
      </x:c>
      <x:c r="U449" t="n">
        <x:v>1959</x:v>
      </x:c>
      <x:c r="V449" t="str">
        <x:v>Pasted text(56).txt</x:v>
      </x:c>
    </x:row>
    <x:row r="450">
      <x:c r="A450" t="str">
        <x:v>S06</x:v>
      </x:c>
      <x:c r="B450" t="str">
        <x:v>0.30 low-amplitude limit validation</x:v>
      </x:c>
      <x:c r="C450" s="54" t="n">
        <x:v>0.3</x:v>
      </x:c>
      <x:c r="D450" t="n">
        <x:v>1</x:v>
      </x:c>
      <x:c r="E450" t="n">
        <x:v>1</x:v>
      </x:c>
      <x:c r="F450" t="str">
        <x:v>SEARCH</x:v>
      </x:c>
      <x:c r="G450" t="n">
        <x:v>1</x:v>
      </x:c>
      <x:c r="H450" s="54" t="n">
        <x:v>1</x:v>
      </x:c>
      <x:c r="I450" s="54" t="n">
        <x:v>0.01366</x:v>
      </x:c>
      <x:c r="J450" s="54" t="n">
        <x:v>0.01396</x:v>
      </x:c>
      <x:c r="K450" s="54" t="n">
        <x:v>0.0134</x:v>
      </x:c>
      <x:c r="L450" s="54" t="n">
        <x:v>0.0261</x:v>
      </x:c>
      <x:c r="M450" s="54" t="n">
        <x:v>0.03297</x:v>
      </x:c>
      <x:c r="N450" s="56" t="n">
        <x:v>-95.45</x:v>
      </x:c>
      <x:c r="O450" s="56" t="n">
        <x:v>6.64</x:v>
      </x:c>
      <x:c r="P450" s="56" t="n">
        <x:v>3.1</x:v>
      </x:c>
      <x:c r="Q450" s="56" t="n">
        <x:v>7.9</x:v>
      </x:c>
      <x:c r="R450" t="str">
        <x:v>Z</x:v>
      </x:c>
      <x:c r="S450" s="102" t="n">
        <x:v>53.5</x:v>
      </x:c>
      <x:c r="T450" t="str">
        <x:v>BELOW MEASUREMENT FLOOR — SEARCH CONTINUES</x:v>
      </x:c>
      <x:c r="U450" t="n">
        <x:v>2053</x:v>
      </x:c>
      <x:c r="V450" t="str">
        <x:v>Pasted text(56).txt</x:v>
      </x:c>
    </x:row>
    <x:row r="451">
      <x:c r="A451" t="str">
        <x:v>S06</x:v>
      </x:c>
      <x:c r="B451" t="str">
        <x:v>0.30 low-amplitude limit validation</x:v>
      </x:c>
      <x:c r="C451" s="54" t="n">
        <x:v>0.3</x:v>
      </x:c>
      <x:c r="D451" t="n">
        <x:v>1</x:v>
      </x:c>
      <x:c r="E451" t="n">
        <x:v>1</x:v>
      </x:c>
      <x:c r="F451" t="str">
        <x:v>SEARCH</x:v>
      </x:c>
      <x:c r="G451" t="n">
        <x:v>2</x:v>
      </x:c>
      <x:c r="H451" s="54" t="n">
        <x:v>3</x:v>
      </x:c>
      <x:c r="I451" s="54" t="n">
        <x:v>0.14475</x:v>
      </x:c>
      <x:c r="J451" s="54" t="n">
        <x:v>0.13833</x:v>
      </x:c>
      <x:c r="K451" s="54" t="n">
        <x:v>0.05146</x:v>
      </x:c>
      <x:c r="L451" s="54" t="n">
        <x:v>0.09999</x:v>
      </x:c>
      <x:c r="M451" s="54" t="n">
        <x:v>0.17858</x:v>
      </x:c>
      <x:c r="N451" s="56" t="n">
        <x:v>-51.75</x:v>
      </x:c>
      <x:c r="O451" s="56" t="n">
        <x:v>4.73</x:v>
      </x:c>
      <x:c r="P451" s="56" t="n">
        <x:v>11.06</x:v>
      </x:c>
      <x:c r="Q451" s="56" t="n">
        <x:v>57.4</x:v>
      </x:c>
      <x:c r="R451" t="str">
        <x:v>X</x:v>
      </x:c>
      <x:c r="S451" s="102" t="n">
        <x:v>100</x:v>
      </x:c>
      <x:c r="T451" t="str">
        <x:v>VALID</x:v>
      </x:c>
      <x:c r="U451" t="n">
        <x:v>2054</x:v>
      </x:c>
      <x:c r="V451" t="str">
        <x:v>Pasted text(56).txt</x:v>
      </x:c>
    </x:row>
    <x:row r="452">
      <x:c r="A452" t="str">
        <x:v>S06</x:v>
      </x:c>
      <x:c r="B452" t="str">
        <x:v>0.30 low-amplitude limit validation</x:v>
      </x:c>
      <x:c r="C452" s="54" t="n">
        <x:v>0.3</x:v>
      </x:c>
      <x:c r="D452" t="n">
        <x:v>1</x:v>
      </x:c>
      <x:c r="E452" t="n">
        <x:v>1</x:v>
      </x:c>
      <x:c r="F452" t="str">
        <x:v>SEARCH</x:v>
      </x:c>
      <x:c r="G452" t="n">
        <x:v>3</x:v>
      </x:c>
      <x:c r="H452" s="54" t="n">
        <x:v>4</x:v>
      </x:c>
      <x:c r="I452" s="54" t="n">
        <x:v>0.22566</x:v>
      </x:c>
      <x:c r="J452" s="54" t="n">
        <x:v>0.23028</x:v>
      </x:c>
      <x:c r="K452" s="54" t="n">
        <x:v>0.10409</x:v>
      </x:c>
      <x:c r="L452" s="54" t="n">
        <x:v>0.16124</x:v>
      </x:c>
      <x:c r="M452" s="54" t="n">
        <x:v>0.30013</x:v>
      </x:c>
      <x:c r="N452" s="56" t="n">
        <x:v>-24.78</x:v>
      </x:c>
      <x:c r="O452" s="56" t="n">
        <x:v>3.61</x:v>
      </x:c>
      <x:c r="P452" s="56" t="n">
        <x:v>5.67</x:v>
      </x:c>
      <x:c r="Q452" s="56" t="n">
        <x:v>72.8</x:v>
      </x:c>
      <x:c r="R452" t="str">
        <x:v>X</x:v>
      </x:c>
      <x:c r="S452" s="102" t="n">
        <x:v>100</x:v>
      </x:c>
      <x:c r="T452" t="str">
        <x:v>VALID</x:v>
      </x:c>
      <x:c r="U452" t="n">
        <x:v>2055</x:v>
      </x:c>
      <x:c r="V452" t="str">
        <x:v>Pasted text(56).txt</x:v>
      </x:c>
    </x:row>
    <x:row r="453">
      <x:c r="A453" t="str">
        <x:v>S06</x:v>
      </x:c>
      <x:c r="B453" t="str">
        <x:v>0.30 low-amplitude limit validation</x:v>
      </x:c>
      <x:c r="C453" s="54" t="n">
        <x:v>0.3</x:v>
      </x:c>
      <x:c r="D453" t="n">
        <x:v>1</x:v>
      </x:c>
      <x:c r="E453" t="n">
        <x:v>1</x:v>
      </x:c>
      <x:c r="F453" t="str">
        <x:v>SEARCH</x:v>
      </x:c>
      <x:c r="G453" t="n">
        <x:v>4</x:v>
      </x:c>
      <x:c r="H453" s="54" t="n">
        <x:v>4.5</x:v>
      </x:c>
      <x:c r="I453" s="54" t="n">
        <x:v>0.25294</x:v>
      </x:c>
      <x:c r="J453" s="54" t="n">
        <x:v>0.2493</x:v>
      </x:c>
      <x:c r="K453" s="54" t="n">
        <x:v>0.12225</x:v>
      </x:c>
      <x:c r="L453" s="54" t="n">
        <x:v>0.20357</x:v>
      </x:c>
      <x:c r="M453" s="54" t="n">
        <x:v>0.34449</x:v>
      </x:c>
      <x:c r="N453" s="56" t="n">
        <x:v>-15.69</x:v>
      </x:c>
      <x:c r="O453" s="56" t="n">
        <x:v>2.43</x:v>
      </x:c>
      <x:c r="P453" s="56" t="n">
        <x:v>4.06</x:v>
      </x:c>
      <x:c r="Q453" s="56" t="n">
        <x:v>73.7</x:v>
      </x:c>
      <x:c r="R453" t="str">
        <x:v>X</x:v>
      </x:c>
      <x:c r="S453" s="102" t="n">
        <x:v>100</x:v>
      </x:c>
      <x:c r="T453" t="str">
        <x:v>VALID</x:v>
      </x:c>
      <x:c r="U453" t="n">
        <x:v>2056</x:v>
      </x:c>
      <x:c r="V453" t="str">
        <x:v>Pasted text(56).txt</x:v>
      </x:c>
    </x:row>
    <x:row r="454">
      <x:c r="A454" t="str">
        <x:v>S06</x:v>
      </x:c>
      <x:c r="B454" t="str">
        <x:v>0.30 low-amplitude limit validation</x:v>
      </x:c>
      <x:c r="C454" s="54" t="n">
        <x:v>0.3</x:v>
      </x:c>
      <x:c r="D454" t="n">
        <x:v>1</x:v>
      </x:c>
      <x:c r="E454" t="n">
        <x:v>1</x:v>
      </x:c>
      <x:c r="F454" t="str">
        <x:v>SEARCH</x:v>
      </x:c>
      <x:c r="G454" t="n">
        <x:v>5</x:v>
      </x:c>
      <x:c r="H454" s="54" t="n">
        <x:v>5</x:v>
      </x:c>
      <x:c r="I454" s="54" t="n">
        <x:v>0.33779</x:v>
      </x:c>
      <x:c r="J454" s="54" t="n">
        <x:v>0.33679</x:v>
      </x:c>
      <x:c r="K454" s="54" t="n">
        <x:v>0.16536</x:v>
      </x:c>
      <x:c r="L454" s="54" t="n">
        <x:v>0.25841</x:v>
      </x:c>
      <x:c r="M454" s="54" t="n">
        <x:v>0.45634</x:v>
      </x:c>
      <x:c r="N454" s="56" t="n">
        <x:v>12.6</x:v>
      </x:c>
      <x:c r="O454" s="56" t="n">
        <x:v>4.18</x:v>
      </x:c>
      <x:c r="P454" s="56" t="n">
        <x:v>3.28</x:v>
      </x:c>
      <x:c r="Q454" s="56" t="n">
        <x:v>83.6</x:v>
      </x:c>
      <x:c r="R454" t="str">
        <x:v>X</x:v>
      </x:c>
      <x:c r="S454" s="102" t="n">
        <x:v>100</x:v>
      </x:c>
      <x:c r="T454" t="str">
        <x:v>VALID</x:v>
      </x:c>
      <x:c r="U454" t="n">
        <x:v>2057</x:v>
      </x:c>
      <x:c r="V454" t="str">
        <x:v>Pasted text(56).txt</x:v>
      </x:c>
    </x:row>
    <x:row r="455">
      <x:c r="A455" t="str">
        <x:v>S06</x:v>
      </x:c>
      <x:c r="B455" t="str">
        <x:v>0.30 low-amplitude limit validation</x:v>
      </x:c>
      <x:c r="C455" s="54" t="n">
        <x:v>0.3</x:v>
      </x:c>
      <x:c r="D455" t="n">
        <x:v>1</x:v>
      </x:c>
      <x:c r="E455" t="n">
        <x:v>1</x:v>
      </x:c>
      <x:c r="F455" t="str">
        <x:v>FINE</x:v>
      </x:c>
      <x:c r="G455" t="n">
        <x:v>1</x:v>
      </x:c>
      <x:c r="H455" s="54" t="n">
        <x:v>3.75</x:v>
      </x:c>
      <x:c r="I455" s="54" t="n">
        <x:v>0.20502</x:v>
      </x:c>
      <x:c r="J455" s="54" t="n">
        <x:v>0.21089</x:v>
      </x:c>
      <x:c r="K455" s="54" t="n">
        <x:v>0.12156</x:v>
      </x:c>
      <x:c r="L455" s="54" t="n">
        <x:v>0.18453</x:v>
      </x:c>
      <x:c r="M455" s="54" t="n">
        <x:v>0.30618</x:v>
      </x:c>
      <x:c r="N455" s="56" t="n">
        <x:v>-31.66</x:v>
      </x:c>
      <x:c r="O455" s="56" t="n">
        <x:v>8.5</x:v>
      </x:c>
      <x:c r="P455" s="56" t="n">
        <x:v>3.94</x:v>
      </x:c>
      <x:c r="Q455" s="56" t="n">
        <x:v>62</x:v>
      </x:c>
      <x:c r="R455" t="str">
        <x:v>X</x:v>
      </x:c>
      <x:c r="S455" s="102" t="n">
        <x:v>100</x:v>
      </x:c>
      <x:c r="T455" t="str">
        <x:v>VALID</x:v>
      </x:c>
      <x:c r="U455" t="n">
        <x:v>2062</x:v>
      </x:c>
      <x:c r="V455" t="str">
        <x:v>Pasted text(56).txt</x:v>
      </x:c>
    </x:row>
    <x:row r="456">
      <x:c r="A456" t="str">
        <x:v>S06</x:v>
      </x:c>
      <x:c r="B456" t="str">
        <x:v>0.30 low-amplitude limit validation</x:v>
      </x:c>
      <x:c r="C456" s="54" t="n">
        <x:v>0.3</x:v>
      </x:c>
      <x:c r="D456" t="n">
        <x:v>1</x:v>
      </x:c>
      <x:c r="E456" t="n">
        <x:v>1</x:v>
      </x:c>
      <x:c r="F456" t="str">
        <x:v>FINE</x:v>
      </x:c>
      <x:c r="G456" t="n">
        <x:v>2</x:v>
      </x:c>
      <x:c r="H456" s="54" t="n">
        <x:v>4</x:v>
      </x:c>
      <x:c r="I456" s="54" t="n">
        <x:v>0.25843</x:v>
      </x:c>
      <x:c r="J456" s="54" t="n">
        <x:v>0.25136</x:v>
      </x:c>
      <x:c r="K456" s="54" t="n">
        <x:v>0.11332</x:v>
      </x:c>
      <x:c r="L456" s="54" t="n">
        <x:v>0.17484</x:v>
      </x:c>
      <x:c r="M456" s="54" t="n">
        <x:v>0.32687</x:v>
      </x:c>
      <x:c r="N456" s="56" t="n">
        <x:v>-13.86</x:v>
      </x:c>
      <x:c r="O456" s="56" t="n">
        <x:v>1.53</x:v>
      </x:c>
      <x:c r="P456" s="56" t="n">
        <x:v>5.82</x:v>
      </x:c>
      <x:c r="Q456" s="56" t="n">
        <x:v>75.5</x:v>
      </x:c>
      <x:c r="R456" t="str">
        <x:v>X</x:v>
      </x:c>
      <x:c r="S456" s="102" t="n">
        <x:v>100</x:v>
      </x:c>
      <x:c r="T456" t="str">
        <x:v>VALID</x:v>
      </x:c>
      <x:c r="U456" t="n">
        <x:v>2063</x:v>
      </x:c>
      <x:c r="V456" t="str">
        <x:v>Pasted text(56).txt</x:v>
      </x:c>
    </x:row>
    <x:row r="457">
      <x:c r="A457" t="str">
        <x:v>S06</x:v>
      </x:c>
      <x:c r="B457" t="str">
        <x:v>0.30 low-amplitude limit validation</x:v>
      </x:c>
      <x:c r="C457" s="54" t="n">
        <x:v>0.3</x:v>
      </x:c>
      <x:c r="D457" t="n">
        <x:v>1</x:v>
      </x:c>
      <x:c r="E457" t="n">
        <x:v>1</x:v>
      </x:c>
      <x:c r="F457" t="str">
        <x:v>FINE</x:v>
      </x:c>
      <x:c r="G457" t="n">
        <x:v>3</x:v>
      </x:c>
      <x:c r="H457" s="54" t="n">
        <x:v>4.25</x:v>
      </x:c>
      <x:c r="I457" s="54" t="n">
        <x:v>0.25117</x:v>
      </x:c>
      <x:c r="J457" s="54" t="n">
        <x:v>0.26009</x:v>
      </x:c>
      <x:c r="K457" s="54" t="n">
        <x:v>0.1125</x:v>
      </x:c>
      <x:c r="L457" s="54" t="n">
        <x:v>0.17385</x:v>
      </x:c>
      <x:c r="M457" s="54" t="n">
        <x:v>0.33301</x:v>
      </x:c>
      <x:c r="N457" s="56" t="n">
        <x:v>-16.28</x:v>
      </x:c>
      <x:c r="O457" s="56" t="n">
        <x:v>1.23</x:v>
      </x:c>
      <x:c r="P457" s="56" t="n">
        <x:v>6.65</x:v>
      </x:c>
      <x:c r="Q457" s="56" t="n">
        <x:v>78</x:v>
      </x:c>
      <x:c r="R457" t="str">
        <x:v>X</x:v>
      </x:c>
      <x:c r="S457" s="102" t="n">
        <x:v>100</x:v>
      </x:c>
      <x:c r="T457" t="str">
        <x:v>VALID</x:v>
      </x:c>
      <x:c r="U457" t="n">
        <x:v>2064</x:v>
      </x:c>
      <x:c r="V457" t="str">
        <x:v>Pasted text(56).txt</x:v>
      </x:c>
    </x:row>
    <x:row r="458">
      <x:c r="A458" t="str">
        <x:v>S06</x:v>
      </x:c>
      <x:c r="B458" t="str">
        <x:v>0.30 low-amplitude limit validation</x:v>
      </x:c>
      <x:c r="C458" s="54" t="n">
        <x:v>0.3</x:v>
      </x:c>
      <x:c r="D458" t="n">
        <x:v>1</x:v>
      </x:c>
      <x:c r="E458" t="n">
        <x:v>1</x:v>
      </x:c>
      <x:c r="F458" t="str">
        <x:v>FINE</x:v>
      </x:c>
      <x:c r="G458" t="n">
        <x:v>4</x:v>
      </x:c>
      <x:c r="H458" s="54" t="n">
        <x:v>4.5</x:v>
      </x:c>
      <x:c r="I458" s="54" t="n">
        <x:v>0.27026</x:v>
      </x:c>
      <x:c r="J458" s="54" t="n">
        <x:v>0.27747</x:v>
      </x:c>
      <x:c r="K458" s="54" t="n">
        <x:v>0.13188</x:v>
      </x:c>
      <x:c r="L458" s="54" t="n">
        <x:v>0.19365</x:v>
      </x:c>
      <x:c r="M458" s="54" t="n">
        <x:v>0.36393</x:v>
      </x:c>
      <x:c r="N458" s="56" t="n">
        <x:v>-9.91</x:v>
      </x:c>
      <x:c r="O458" s="56" t="n">
        <x:v>1.38</x:v>
      </x:c>
      <x:c r="P458" s="56" t="n">
        <x:v>5.3</x:v>
      </x:c>
      <x:c r="Q458" s="56" t="n">
        <x:v>77.3</x:v>
      </x:c>
      <x:c r="R458" t="str">
        <x:v>X</x:v>
      </x:c>
      <x:c r="S458" s="102" t="n">
        <x:v>100</x:v>
      </x:c>
      <x:c r="T458" t="str">
        <x:v>VALID</x:v>
      </x:c>
      <x:c r="U458" t="n">
        <x:v>2065</x:v>
      </x:c>
      <x:c r="V458" t="str">
        <x:v>Pasted text(56).txt</x:v>
      </x:c>
    </x:row>
    <x:row r="459">
      <x:c r="A459" t="str">
        <x:v>S06</x:v>
      </x:c>
      <x:c r="B459" t="str">
        <x:v>0.30 low-amplitude limit validation</x:v>
      </x:c>
      <x:c r="C459" s="54" t="n">
        <x:v>0.3</x:v>
      </x:c>
      <x:c r="D459" t="n">
        <x:v>1</x:v>
      </x:c>
      <x:c r="E459" t="n">
        <x:v>1</x:v>
      </x:c>
      <x:c r="F459" t="str">
        <x:v>FINE</x:v>
      </x:c>
      <x:c r="G459" t="n">
        <x:v>5</x:v>
      </x:c>
      <x:c r="H459" s="54" t="n">
        <x:v>4.75</x:v>
      </x:c>
      <x:c r="I459" s="54" t="n">
        <x:v>0.32248</x:v>
      </x:c>
      <x:c r="J459" s="54" t="n">
        <x:v>0.32729</x:v>
      </x:c>
      <x:c r="K459" s="54" t="n">
        <x:v>0.14567</x:v>
      </x:c>
      <x:c r="L459" s="54" t="n">
        <x:v>0.22254</x:v>
      </x:c>
      <x:c r="M459" s="54" t="n">
        <x:v>0.42184</x:v>
      </x:c>
      <x:c r="N459" s="56" t="n">
        <x:v>7.49</x:v>
      </x:c>
      <x:c r="O459" s="56" t="n">
        <x:v>0.4</x:v>
      </x:c>
      <x:c r="P459" s="56" t="n">
        <x:v>2.78</x:v>
      </x:c>
      <x:c r="Q459" s="56" t="n">
        <x:v>80.1</x:v>
      </x:c>
      <x:c r="R459" t="str">
        <x:v>X</x:v>
      </x:c>
      <x:c r="S459" s="102" t="n">
        <x:v>100</x:v>
      </x:c>
      <x:c r="T459" t="str">
        <x:v>IN TARGET BAND</x:v>
      </x:c>
      <x:c r="U459" t="n">
        <x:v>2066</x:v>
      </x:c>
      <x:c r="V459" t="str">
        <x:v>Pasted text(56).txt</x:v>
      </x:c>
    </x:row>
    <x:row r="460">
      <x:c r="A460" t="str">
        <x:v>S06</x:v>
      </x:c>
      <x:c r="B460" t="str">
        <x:v>0.30 low-amplitude limit validation</x:v>
      </x:c>
      <x:c r="C460" s="54" t="n">
        <x:v>0.3</x:v>
      </x:c>
      <x:c r="D460" t="n">
        <x:v>1</x:v>
      </x:c>
      <x:c r="E460" t="n">
        <x:v>1</x:v>
      </x:c>
      <x:c r="F460" t="str">
        <x:v>FINE</x:v>
      </x:c>
      <x:c r="G460" t="n">
        <x:v>6</x:v>
      </x:c>
      <x:c r="H460" s="54" t="n">
        <x:v>5</x:v>
      </x:c>
      <x:c r="I460" s="54" t="n">
        <x:v>0.33104</x:v>
      </x:c>
      <x:c r="J460" s="54" t="n">
        <x:v>0.33195</x:v>
      </x:c>
      <x:c r="K460" s="54" t="n">
        <x:v>0.15355</x:v>
      </x:c>
      <x:c r="L460" s="54" t="n">
        <x:v>0.21505</x:v>
      </x:c>
      <x:c r="M460" s="54" t="n">
        <x:v>0.42443</x:v>
      </x:c>
      <x:c r="N460" s="56" t="n">
        <x:v>10.35</x:v>
      </x:c>
      <x:c r="O460" s="56" t="n">
        <x:v>1.02</x:v>
      </x:c>
      <x:c r="P460" s="56" t="n">
        <x:v>1.12</x:v>
      </x:c>
      <x:c r="Q460" s="56" t="n">
        <x:v>78.8</x:v>
      </x:c>
      <x:c r="R460" t="str">
        <x:v>X</x:v>
      </x:c>
      <x:c r="S460" s="102" t="n">
        <x:v>100</x:v>
      </x:c>
      <x:c r="T460" t="str">
        <x:v>VALID</x:v>
      </x:c>
      <x:c r="U460" t="n">
        <x:v>2067</x:v>
      </x:c>
      <x:c r="V460" t="str">
        <x:v>Pasted text(56).txt</x:v>
      </x:c>
    </x:row>
    <x:row r="461">
      <x:c r="A461" t="str">
        <x:v>S06</x:v>
      </x:c>
      <x:c r="B461" t="str">
        <x:v>0.30 low-amplitude limit validation</x:v>
      </x:c>
      <x:c r="C461" s="54" t="n">
        <x:v>0.3</x:v>
      </x:c>
      <x:c r="D461" t="n">
        <x:v>1</x:v>
      </x:c>
      <x:c r="E461" t="n">
        <x:v>1</x:v>
      </x:c>
      <x:c r="F461" t="str">
        <x:v>FINE</x:v>
      </x:c>
      <x:c r="G461" t="n">
        <x:v>7</x:v>
      </x:c>
      <x:c r="H461" s="54" t="n">
        <x:v>5.25</x:v>
      </x:c>
      <x:c r="I461" s="54" t="n">
        <x:v>0.3496</x:v>
      </x:c>
      <x:c r="J461" s="54" t="n">
        <x:v>0.35937</x:v>
      </x:c>
      <x:c r="K461" s="54" t="n">
        <x:v>0.15329</x:v>
      </x:c>
      <x:c r="L461" s="54" t="n">
        <x:v>0.22884</x:v>
      </x:c>
      <x:c r="M461" s="54" t="n">
        <x:v>0.45311</x:v>
      </x:c>
      <x:c r="N461" s="56" t="n">
        <x:v>16.53</x:v>
      </x:c>
      <x:c r="O461" s="56" t="n">
        <x:v>1.01</x:v>
      </x:c>
      <x:c r="P461" s="56" t="n">
        <x:v>5.3</x:v>
      </x:c>
      <x:c r="Q461" s="56" t="n">
        <x:v>81.6</x:v>
      </x:c>
      <x:c r="R461" t="str">
        <x:v>X</x:v>
      </x:c>
      <x:c r="S461" s="102" t="n">
        <x:v>100</x:v>
      </x:c>
      <x:c r="T461" t="str">
        <x:v>VALID</x:v>
      </x:c>
      <x:c r="U461" t="n">
        <x:v>2068</x:v>
      </x:c>
      <x:c r="V461" t="str">
        <x:v>Pasted text(56).txt</x:v>
      </x:c>
    </x:row>
    <x:row r="462">
      <x:c r="A462" t="str">
        <x:v>S06</x:v>
      </x:c>
      <x:c r="B462" t="str">
        <x:v>0.30 low-amplitude limit validation</x:v>
      </x:c>
      <x:c r="C462" s="54" t="n">
        <x:v>0.3</x:v>
      </x:c>
      <x:c r="D462" t="n">
        <x:v>1</x:v>
      </x:c>
      <x:c r="E462" t="n">
        <x:v>1</x:v>
      </x:c>
      <x:c r="F462" t="str">
        <x:v>FINE</x:v>
      </x:c>
      <x:c r="G462" t="n">
        <x:v>8</x:v>
      </x:c>
      <x:c r="H462" s="54" t="n">
        <x:v>5.5</x:v>
      </x:c>
      <x:c r="I462" s="54" t="n">
        <x:v>0.36885</x:v>
      </x:c>
      <x:c r="J462" s="54" t="n">
        <x:v>0.37234</x:v>
      </x:c>
      <x:c r="K462" s="54" t="n">
        <x:v>0.15249</x:v>
      </x:c>
      <x:c r="L462" s="54" t="n">
        <x:v>0.23216</x:v>
      </x:c>
      <x:c r="M462" s="54" t="n">
        <x:v>0.4646</x:v>
      </x:c>
      <x:c r="N462" s="56" t="n">
        <x:v>22.95</x:v>
      </x:c>
      <x:c r="O462" s="56" t="n">
        <x:v>0.32</x:v>
      </x:c>
      <x:c r="P462" s="56" t="n">
        <x:v>1.82</x:v>
      </x:c>
      <x:c r="Q462" s="56" t="n">
        <x:v>83.1</x:v>
      </x:c>
      <x:c r="R462" t="str">
        <x:v>X</x:v>
      </x:c>
      <x:c r="S462" s="102" t="n">
        <x:v>100</x:v>
      </x:c>
      <x:c r="T462" t="str">
        <x:v>VALID</x:v>
      </x:c>
      <x:c r="U462" t="n">
        <x:v>2069</x:v>
      </x:c>
      <x:c r="V462" t="str">
        <x:v>Pasted text(56).txt</x:v>
      </x:c>
    </x:row>
    <x:row r="463">
      <x:c r="A463" t="str">
        <x:v>S06</x:v>
      </x:c>
      <x:c r="B463" t="str">
        <x:v>0.30 low-amplitude limit validation</x:v>
      </x:c>
      <x:c r="C463" s="54" t="n">
        <x:v>0.3</x:v>
      </x:c>
      <x:c r="D463" t="n">
        <x:v>1</x:v>
      </x:c>
      <x:c r="E463" t="n">
        <x:v>1</x:v>
      </x:c>
      <x:c r="F463" t="str">
        <x:v>FINE</x:v>
      </x:c>
      <x:c r="G463" t="n">
        <x:v>9</x:v>
      </x:c>
      <x:c r="H463" s="54" t="n">
        <x:v>5.75</x:v>
      </x:c>
      <x:c r="I463" s="54" t="n">
        <x:v>0.41388</x:v>
      </x:c>
      <x:c r="J463" s="54" t="n">
        <x:v>0.41633</x:v>
      </x:c>
      <x:c r="K463" s="54" t="n">
        <x:v>0.18759</x:v>
      </x:c>
      <x:c r="L463" s="54" t="n">
        <x:v>0.28783</x:v>
      </x:c>
      <x:c r="M463" s="54" t="n">
        <x:v>0.53993</x:v>
      </x:c>
      <x:c r="N463" s="56" t="n">
        <x:v>37.96</x:v>
      </x:c>
      <x:c r="O463" s="56" t="n">
        <x:v>2.68</x:v>
      </x:c>
      <x:c r="P463" s="56" t="n">
        <x:v>2.73</x:v>
      </x:c>
      <x:c r="Q463" s="56" t="n">
        <x:v>84.8</x:v>
      </x:c>
      <x:c r="R463" t="str">
        <x:v>X</x:v>
      </x:c>
      <x:c r="S463" s="102" t="n">
        <x:v>100</x:v>
      </x:c>
      <x:c r="T463" t="str">
        <x:v>VALID</x:v>
      </x:c>
      <x:c r="U463" t="n">
        <x:v>2070</x:v>
      </x:c>
      <x:c r="V463" t="str">
        <x:v>Pasted text(56).txt</x:v>
      </x:c>
    </x:row>
    <x:row r="464">
      <x:c r="A464" t="str">
        <x:v>S06</x:v>
      </x:c>
      <x:c r="B464" t="str">
        <x:v>0.30 low-amplitude limit validation</x:v>
      </x:c>
      <x:c r="C464" s="54" t="n">
        <x:v>0.3</x:v>
      </x:c>
      <x:c r="D464" t="n">
        <x:v>1</x:v>
      </x:c>
      <x:c r="E464" t="n">
        <x:v>1</x:v>
      </x:c>
      <x:c r="F464" t="str">
        <x:v>FINAL</x:v>
      </x:c>
      <x:c r="G464" t="n">
        <x:v>1</x:v>
      </x:c>
      <x:c r="H464" s="54" t="n">
        <x:v>4.75</x:v>
      </x:c>
      <x:c r="I464" s="54" t="n">
        <x:v>0.32251</x:v>
      </x:c>
      <x:c r="J464" s="54" t="n">
        <x:v>0.31978</x:v>
      </x:c>
      <x:c r="K464" s="54" t="n">
        <x:v>0.12623</x:v>
      </x:c>
      <x:c r="L464" s="54" t="n">
        <x:v>0.20289</x:v>
      </x:c>
      <x:c r="M464" s="54" t="n">
        <x:v>0.39968</x:v>
      </x:c>
      <x:c r="N464" s="56" t="n">
        <x:v>7.5</x:v>
      </x:c>
      <x:c r="O464" s="56" t="n">
        <x:v>2.06</x:v>
      </x:c>
      <x:c r="P464" s="56" t="n">
        <x:v>2</x:v>
      </x:c>
      <x:c r="Q464" s="56" t="n">
        <x:v>79.9</x:v>
      </x:c>
      <x:c r="R464" t="str">
        <x:v>X</x:v>
      </x:c>
      <x:c r="S464" s="102" t="n">
        <x:v>100</x:v>
      </x:c>
      <x:c r="T464" t="str">
        <x:v>VALID</x:v>
      </x:c>
      <x:c r="U464" t="n">
        <x:v>2073</x:v>
      </x:c>
      <x:c r="V464" t="str">
        <x:v>Pasted text(56).txt</x:v>
      </x:c>
    </x:row>
    <x:row r="465">
      <x:c r="A465" t="str">
        <x:v>S06</x:v>
      </x:c>
      <x:c r="B465" t="str">
        <x:v>0.30 low-amplitude limit validation</x:v>
      </x:c>
      <x:c r="C465" s="54" t="n">
        <x:v>0.3</x:v>
      </x:c>
      <x:c r="D465" t="n">
        <x:v>1</x:v>
      </x:c>
      <x:c r="E465" t="n">
        <x:v>1</x:v>
      </x:c>
      <x:c r="F465" t="str">
        <x:v>FINAL</x:v>
      </x:c>
      <x:c r="G465" t="n">
        <x:v>2</x:v>
      </x:c>
      <x:c r="H465" s="54" t="n">
        <x:v>4.75</x:v>
      </x:c>
      <x:c r="I465" s="54" t="n">
        <x:v>0.30811</x:v>
      </x:c>
      <x:c r="J465" s="54" t="n">
        <x:v>0.31216</x:v>
      </x:c>
      <x:c r="K465" s="54" t="n">
        <x:v>0.12385</x:v>
      </x:c>
      <x:c r="L465" s="54" t="n">
        <x:v>0.21869</x:v>
      </x:c>
      <x:c r="M465" s="54" t="n">
        <x:v>0.40128</x:v>
      </x:c>
      <x:c r="N465" s="56" t="n">
        <x:v>2.7</x:v>
      </x:c>
      <x:c r="O465" s="56" t="n">
        <x:v>7.7</x:v>
      </x:c>
      <x:c r="P465" s="56" t="n">
        <x:v>5.93</x:v>
      </x:c>
      <x:c r="Q465" s="56" t="n">
        <x:v>78.9</x:v>
      </x:c>
      <x:c r="R465" t="str">
        <x:v>X</x:v>
      </x:c>
      <x:c r="S465" s="102" t="n">
        <x:v>100</x:v>
      </x:c>
      <x:c r="T465" t="str">
        <x:v>IN TARGET BAND</x:v>
      </x:c>
      <x:c r="U465" t="n">
        <x:v>2074</x:v>
      </x:c>
      <x:c r="V465" t="str">
        <x:v>Pasted text(56).txt</x:v>
      </x:c>
    </x:row>
    <x:row r="466">
      <x:c r="A466" t="str">
        <x:v>S06</x:v>
      </x:c>
      <x:c r="B466" t="str">
        <x:v>0.30 low-amplitude limit validation</x:v>
      </x:c>
      <x:c r="C466" s="54" t="n">
        <x:v>0.3</x:v>
      </x:c>
      <x:c r="D466" t="n">
        <x:v>1</x:v>
      </x:c>
      <x:c r="E466" t="n">
        <x:v>1</x:v>
      </x:c>
      <x:c r="F466" t="str">
        <x:v>FINAL</x:v>
      </x:c>
      <x:c r="G466" t="n">
        <x:v>3</x:v>
      </x:c>
      <x:c r="H466" s="54" t="n">
        <x:v>4.75</x:v>
      </x:c>
      <x:c r="I466" s="54" t="n">
        <x:v>0.30177</x:v>
      </x:c>
      <x:c r="J466" s="54" t="n">
        <x:v>0.30681</x:v>
      </x:c>
      <x:c r="K466" s="54" t="n">
        <x:v>0.12301</x:v>
      </x:c>
      <x:c r="L466" s="54" t="n">
        <x:v>0.22158</x:v>
      </x:c>
      <x:c r="M466" s="54" t="n">
        <x:v>0.39846</x:v>
      </x:c>
      <x:c r="N466" s="56" t="n">
        <x:v>0.59</x:v>
      </x:c>
      <x:c r="O466" s="56" t="n">
        <x:v>3.15</x:v>
      </x:c>
      <x:c r="P466" s="56" t="n">
        <x:v>4.43</x:v>
      </x:c>
      <x:c r="Q466" s="56" t="n">
        <x:v>79.5</x:v>
      </x:c>
      <x:c r="R466" t="str">
        <x:v>X</x:v>
      </x:c>
      <x:c r="S466" s="102" t="n">
        <x:v>100</x:v>
      </x:c>
      <x:c r="T466" t="str">
        <x:v>IN TARGET BAND</x:v>
      </x:c>
      <x:c r="U466" t="n">
        <x:v>2075</x:v>
      </x:c>
      <x:c r="V466" t="str">
        <x:v>Pasted text(56).txt</x:v>
      </x:c>
    </x:row>
    <x:row r="467">
      <x:c r="A467" t="str">
        <x:v>S06</x:v>
      </x:c>
      <x:c r="B467" t="str">
        <x:v>0.30 low-amplitude limit validation</x:v>
      </x:c>
      <x:c r="C467" s="54" t="n">
        <x:v>0.3</x:v>
      </x:c>
      <x:c r="D467" t="n">
        <x:v>2</x:v>
      </x:c>
      <x:c r="E467" t="n">
        <x:v>1</x:v>
      </x:c>
      <x:c r="F467" t="str">
        <x:v>SEARCH</x:v>
      </x:c>
      <x:c r="G467" t="n">
        <x:v>1</x:v>
      </x:c>
      <x:c r="H467" s="54" t="n">
        <x:v>1</x:v>
      </x:c>
      <x:c r="I467" s="54" t="n">
        <x:v>0.01882</x:v>
      </x:c>
      <x:c r="J467" s="54" t="n">
        <x:v>0.01739</x:v>
      </x:c>
      <x:c r="K467" s="54" t="n">
        <x:v>0.01374</x:v>
      </x:c>
      <x:c r="L467" s="54" t="n">
        <x:v>0.03788</x:v>
      </x:c>
      <x:c r="M467" s="54" t="n">
        <x:v>0.04416</x:v>
      </x:c>
      <x:c r="N467" s="56" t="n">
        <x:v>-93.73</x:v>
      </x:c>
      <x:c r="O467" s="56" t="n">
        <x:v>37.45</x:v>
      </x:c>
      <x:c r="P467" s="56" t="n">
        <x:v>40.26</x:v>
      </x:c>
      <x:c r="Q467" s="56" t="n">
        <x:v>10.6</x:v>
      </x:c>
      <x:c r="R467" t="str">
        <x:v>Z</x:v>
      </x:c>
      <x:c r="S467" s="102" t="n">
        <x:v>45.9</x:v>
      </x:c>
      <x:c r="T467" t="str">
        <x:v>BELOW MEASUREMENT FLOOR — SEARCH CONTINUES</x:v>
      </x:c>
      <x:c r="U467" t="n">
        <x:v>2131</x:v>
      </x:c>
      <x:c r="V467" t="str">
        <x:v>Pasted text(56).txt</x:v>
      </x:c>
    </x:row>
    <x:row r="468">
      <x:c r="A468" t="str">
        <x:v>S06</x:v>
      </x:c>
      <x:c r="B468" t="str">
        <x:v>0.30 low-amplitude limit validation</x:v>
      </x:c>
      <x:c r="C468" s="54" t="n">
        <x:v>0.3</x:v>
      </x:c>
      <x:c r="D468" t="n">
        <x:v>2</x:v>
      </x:c>
      <x:c r="E468" t="n">
        <x:v>1</x:v>
      </x:c>
      <x:c r="F468" t="str">
        <x:v>SEARCH</x:v>
      </x:c>
      <x:c r="G468" t="n">
        <x:v>2</x:v>
      </x:c>
      <x:c r="H468" s="54" t="n">
        <x:v>3</x:v>
      </x:c>
      <x:c r="I468" s="54" t="n">
        <x:v>0.138</x:v>
      </x:c>
      <x:c r="J468" s="54" t="n">
        <x:v>0.13707</x:v>
      </x:c>
      <x:c r="K468" s="54" t="n">
        <x:v>0.05923</x:v>
      </x:c>
      <x:c r="L468" s="54" t="n">
        <x:v>0.09484</x:v>
      </x:c>
      <x:c r="M468" s="54" t="n">
        <x:v>0.17856</x:v>
      </x:c>
      <x:c r="N468" s="56" t="n">
        <x:v>-54</x:v>
      </x:c>
      <x:c r="O468" s="56" t="n">
        <x:v>0.4</x:v>
      </x:c>
      <x:c r="P468" s="56" t="n">
        <x:v>1.41</x:v>
      </x:c>
      <x:c r="Q468" s="56" t="n">
        <x:v>54.7</x:v>
      </x:c>
      <x:c r="R468" t="str">
        <x:v>X</x:v>
      </x:c>
      <x:c r="S468" s="102" t="n">
        <x:v>100</x:v>
      </x:c>
      <x:c r="T468" t="str">
        <x:v>VALID</x:v>
      </x:c>
      <x:c r="U468" t="n">
        <x:v>2132</x:v>
      </x:c>
      <x:c r="V468" t="str">
        <x:v>Pasted text(56).txt</x:v>
      </x:c>
    </x:row>
    <x:row r="469">
      <x:c r="A469" t="str">
        <x:v>S06</x:v>
      </x:c>
      <x:c r="B469" t="str">
        <x:v>0.30 low-amplitude limit validation</x:v>
      </x:c>
      <x:c r="C469" s="54" t="n">
        <x:v>0.3</x:v>
      </x:c>
      <x:c r="D469" t="n">
        <x:v>2</x:v>
      </x:c>
      <x:c r="E469" t="n">
        <x:v>1</x:v>
      </x:c>
      <x:c r="F469" t="str">
        <x:v>SEARCH</x:v>
      </x:c>
      <x:c r="G469" t="n">
        <x:v>3</x:v>
      </x:c>
      <x:c r="H469" s="54" t="n">
        <x:v>4</x:v>
      </x:c>
      <x:c r="I469" s="54" t="n">
        <x:v>0.22789</x:v>
      </x:c>
      <x:c r="J469" s="54" t="n">
        <x:v>0.2261</x:v>
      </x:c>
      <x:c r="K469" s="54" t="n">
        <x:v>0.11621</x:v>
      </x:c>
      <x:c r="L469" s="54" t="n">
        <x:v>0.14821</x:v>
      </x:c>
      <x:c r="M469" s="54" t="n">
        <x:v>0.2944</x:v>
      </x:c>
      <x:c r="N469" s="56" t="n">
        <x:v>-24.04</x:v>
      </x:c>
      <x:c r="O469" s="56" t="n">
        <x:v>1.26</x:v>
      </x:c>
      <x:c r="P469" s="56" t="n">
        <x:v>2.16</x:v>
      </x:c>
      <x:c r="Q469" s="56" t="n">
        <x:v>73.2</x:v>
      </x:c>
      <x:c r="R469" t="str">
        <x:v>X</x:v>
      </x:c>
      <x:c r="S469" s="102" t="n">
        <x:v>100</x:v>
      </x:c>
      <x:c r="T469" t="str">
        <x:v>VALID</x:v>
      </x:c>
      <x:c r="U469" t="n">
        <x:v>2133</x:v>
      </x:c>
      <x:c r="V469" t="str">
        <x:v>Pasted text(56).txt</x:v>
      </x:c>
    </x:row>
    <x:row r="470">
      <x:c r="A470" t="str">
        <x:v>S06</x:v>
      </x:c>
      <x:c r="B470" t="str">
        <x:v>0.30 low-amplitude limit validation</x:v>
      </x:c>
      <x:c r="C470" s="54" t="n">
        <x:v>0.3</x:v>
      </x:c>
      <x:c r="D470" t="n">
        <x:v>2</x:v>
      </x:c>
      <x:c r="E470" t="n">
        <x:v>1</x:v>
      </x:c>
      <x:c r="F470" t="str">
        <x:v>SEARCH</x:v>
      </x:c>
      <x:c r="G470" t="n">
        <x:v>4</x:v>
      </x:c>
      <x:c r="H470" s="54" t="n">
        <x:v>4.5</x:v>
      </x:c>
      <x:c r="I470" s="54" t="n">
        <x:v>0.27475</x:v>
      </x:c>
      <x:c r="J470" s="54" t="n">
        <x:v>0.25927</x:v>
      </x:c>
      <x:c r="K470" s="54" t="n">
        <x:v>0.10269</x:v>
      </x:c>
      <x:c r="L470" s="54" t="n">
        <x:v>0.20507</x:v>
      </x:c>
      <x:c r="M470" s="54" t="n">
        <x:v>0.34643</x:v>
      </x:c>
      <x:c r="N470" s="56" t="n">
        <x:v>-8.42</x:v>
      </x:c>
      <x:c r="O470" s="56" t="n">
        <x:v>2.14</x:v>
      </x:c>
      <x:c r="P470" s="56" t="n">
        <x:v>11.69</x:v>
      </x:c>
      <x:c r="Q470" s="56" t="n">
        <x:v>73.8</x:v>
      </x:c>
      <x:c r="R470" t="str">
        <x:v>X</x:v>
      </x:c>
      <x:c r="S470" s="102" t="n">
        <x:v>100</x:v>
      </x:c>
      <x:c r="T470" t="str">
        <x:v>VALID</x:v>
      </x:c>
      <x:c r="U470" t="n">
        <x:v>2134</x:v>
      </x:c>
      <x:c r="V470" t="str">
        <x:v>Pasted text(56).txt</x:v>
      </x:c>
    </x:row>
    <x:row r="471">
      <x:c r="A471" t="str">
        <x:v>S06</x:v>
      </x:c>
      <x:c r="B471" t="str">
        <x:v>0.30 low-amplitude limit validation</x:v>
      </x:c>
      <x:c r="C471" s="54" t="n">
        <x:v>0.3</x:v>
      </x:c>
      <x:c r="D471" t="n">
        <x:v>2</x:v>
      </x:c>
      <x:c r="E471" t="n">
        <x:v>1</x:v>
      </x:c>
      <x:c r="F471" t="str">
        <x:v>SEARCH</x:v>
      </x:c>
      <x:c r="G471" t="n">
        <x:v>5</x:v>
      </x:c>
      <x:c r="H471" s="54" t="n">
        <x:v>4.75</x:v>
      </x:c>
      <x:c r="I471" s="54" t="n">
        <x:v>0.30991</x:v>
      </x:c>
      <x:c r="J471" s="54" t="n">
        <x:v>0.31012</x:v>
      </x:c>
      <x:c r="K471" s="54" t="n">
        <x:v>0.14284</x:v>
      </x:c>
      <x:c r="L471" s="54" t="n">
        <x:v>0.20602</x:v>
      </x:c>
      <x:c r="M471" s="54" t="n">
        <x:v>0.39927</x:v>
      </x:c>
      <x:c r="N471" s="56" t="n">
        <x:v>3.3</x:v>
      </x:c>
      <x:c r="O471" s="56" t="n">
        <x:v>1</x:v>
      </x:c>
      <x:c r="P471" s="56" t="n">
        <x:v>0.78</x:v>
      </x:c>
      <x:c r="Q471" s="56" t="n">
        <x:v>78.4</x:v>
      </x:c>
      <x:c r="R471" t="str">
        <x:v>X</x:v>
      </x:c>
      <x:c r="S471" s="102" t="n">
        <x:v>100</x:v>
      </x:c>
      <x:c r="T471" t="str">
        <x:v>IN TARGET BAND</x:v>
      </x:c>
      <x:c r="U471" t="n">
        <x:v>2135</x:v>
      </x:c>
      <x:c r="V471" t="str">
        <x:v>Pasted text(56).txt</x:v>
      </x:c>
    </x:row>
    <x:row r="472">
      <x:c r="A472" t="str">
        <x:v>S06</x:v>
      </x:c>
      <x:c r="B472" t="str">
        <x:v>0.30 low-amplitude limit validation</x:v>
      </x:c>
      <x:c r="C472" s="54" t="n">
        <x:v>0.3</x:v>
      </x:c>
      <x:c r="D472" t="n">
        <x:v>2</x:v>
      </x:c>
      <x:c r="E472" t="n">
        <x:v>1</x:v>
      </x:c>
      <x:c r="F472" t="str">
        <x:v>FINE</x:v>
      </x:c>
      <x:c r="G472" t="n">
        <x:v>1</x:v>
      </x:c>
      <x:c r="H472" s="54" t="n">
        <x:v>3.75</x:v>
      </x:c>
      <x:c r="I472" s="54" t="n">
        <x:v>0.19922</x:v>
      </x:c>
      <x:c r="J472" s="54" t="n">
        <x:v>0.20748</x:v>
      </x:c>
      <x:c r="K472" s="54" t="n">
        <x:v>0.09955</x:v>
      </x:c>
      <x:c r="L472" s="54" t="n">
        <x:v>0.16631</x:v>
      </x:c>
      <x:c r="M472" s="54" t="n">
        <x:v>0.28508</x:v>
      </x:c>
      <x:c r="N472" s="56" t="n">
        <x:v>-33.59</x:v>
      </x:c>
      <x:c r="O472" s="56" t="n">
        <x:v>2.96</x:v>
      </x:c>
      <x:c r="P472" s="56" t="n">
        <x:v>8.61</x:v>
      </x:c>
      <x:c r="Q472" s="56" t="n">
        <x:v>67.2</x:v>
      </x:c>
      <x:c r="R472" t="str">
        <x:v>X</x:v>
      </x:c>
      <x:c r="S472" s="102" t="n">
        <x:v>100</x:v>
      </x:c>
      <x:c r="T472" t="str">
        <x:v>VALID</x:v>
      </x:c>
      <x:c r="U472" t="n">
        <x:v>2139</x:v>
      </x:c>
      <x:c r="V472" t="str">
        <x:v>Pasted text(56).txt</x:v>
      </x:c>
    </x:row>
    <x:row r="473">
      <x:c r="A473" t="str">
        <x:v>S06</x:v>
      </x:c>
      <x:c r="B473" t="str">
        <x:v>0.30 low-amplitude limit validation</x:v>
      </x:c>
      <x:c r="C473" s="54" t="n">
        <x:v>0.3</x:v>
      </x:c>
      <x:c r="D473" t="n">
        <x:v>2</x:v>
      </x:c>
      <x:c r="E473" t="n">
        <x:v>1</x:v>
      </x:c>
      <x:c r="F473" t="str">
        <x:v>FINE</x:v>
      </x:c>
      <x:c r="G473" t="n">
        <x:v>2</x:v>
      </x:c>
      <x:c r="H473" s="54" t="n">
        <x:v>4</x:v>
      </x:c>
      <x:c r="I473" s="54" t="n">
        <x:v>0.24442</x:v>
      </x:c>
      <x:c r="J473" s="54" t="n">
        <x:v>0.24051</x:v>
      </x:c>
      <x:c r="K473" s="54" t="n">
        <x:v>0.10016</x:v>
      </x:c>
      <x:c r="L473" s="54" t="n">
        <x:v>0.15928</x:v>
      </x:c>
      <x:c r="M473" s="54" t="n">
        <x:v>0.30599</x:v>
      </x:c>
      <x:c r="N473" s="56" t="n">
        <x:v>-18.53</x:v>
      </x:c>
      <x:c r="O473" s="56" t="n">
        <x:v>1.21</x:v>
      </x:c>
      <x:c r="P473" s="56" t="n">
        <x:v>3.56</x:v>
      </x:c>
      <x:c r="Q473" s="56" t="n">
        <x:v>70.5</x:v>
      </x:c>
      <x:c r="R473" t="str">
        <x:v>X</x:v>
      </x:c>
      <x:c r="S473" s="102" t="n">
        <x:v>100</x:v>
      </x:c>
      <x:c r="T473" t="str">
        <x:v>VALID</x:v>
      </x:c>
      <x:c r="U473" t="n">
        <x:v>2140</x:v>
      </x:c>
      <x:c r="V473" t="str">
        <x:v>Pasted text(56).txt</x:v>
      </x:c>
    </x:row>
    <x:row r="474">
      <x:c r="A474" t="str">
        <x:v>S06</x:v>
      </x:c>
      <x:c r="B474" t="str">
        <x:v>0.30 low-amplitude limit validation</x:v>
      </x:c>
      <x:c r="C474" s="54" t="n">
        <x:v>0.3</x:v>
      </x:c>
      <x:c r="D474" t="n">
        <x:v>2</x:v>
      </x:c>
      <x:c r="E474" t="n">
        <x:v>1</x:v>
      </x:c>
      <x:c r="F474" t="str">
        <x:v>FINE</x:v>
      </x:c>
      <x:c r="G474" t="n">
        <x:v>3</x:v>
      </x:c>
      <x:c r="H474" s="54" t="n">
        <x:v>4.25</x:v>
      </x:c>
      <x:c r="I474" s="54" t="n">
        <x:v>0.24563</x:v>
      </x:c>
      <x:c r="J474" s="54" t="n">
        <x:v>0.2445</x:v>
      </x:c>
      <x:c r="K474" s="54" t="n">
        <x:v>0.10202</x:v>
      </x:c>
      <x:c r="L474" s="54" t="n">
        <x:v>0.16497</x:v>
      </x:c>
      <x:c r="M474" s="54" t="n">
        <x:v>0.31336</x:v>
      </x:c>
      <x:c r="N474" s="56" t="n">
        <x:v>-18.12</x:v>
      </x:c>
      <x:c r="O474" s="56" t="n">
        <x:v>3.67</x:v>
      </x:c>
      <x:c r="P474" s="56" t="n">
        <x:v>3.21</x:v>
      </x:c>
      <x:c r="Q474" s="56" t="n">
        <x:v>73.9</x:v>
      </x:c>
      <x:c r="R474" t="str">
        <x:v>X</x:v>
      </x:c>
      <x:c r="S474" s="102" t="n">
        <x:v>100</x:v>
      </x:c>
      <x:c r="T474" t="str">
        <x:v>VALID</x:v>
      </x:c>
      <x:c r="U474" t="n">
        <x:v>2141</x:v>
      </x:c>
      <x:c r="V474" t="str">
        <x:v>Pasted text(56).txt</x:v>
      </x:c>
    </x:row>
    <x:row r="475">
      <x:c r="A475" t="str">
        <x:v>S06</x:v>
      </x:c>
      <x:c r="B475" t="str">
        <x:v>0.30 low-amplitude limit validation</x:v>
      </x:c>
      <x:c r="C475" s="54" t="n">
        <x:v>0.3</x:v>
      </x:c>
      <x:c r="D475" t="n">
        <x:v>2</x:v>
      </x:c>
      <x:c r="E475" t="n">
        <x:v>1</x:v>
      </x:c>
      <x:c r="F475" t="str">
        <x:v>FINE</x:v>
      </x:c>
      <x:c r="G475" t="n">
        <x:v>4</x:v>
      </x:c>
      <x:c r="H475" s="54" t="n">
        <x:v>4.5</x:v>
      </x:c>
      <x:c r="I475" s="54" t="n">
        <x:v>0.26861</x:v>
      </x:c>
      <x:c r="J475" s="54" t="n">
        <x:v>0.26549</x:v>
      </x:c>
      <x:c r="K475" s="54" t="n">
        <x:v>0.10535</x:v>
      </x:c>
      <x:c r="L475" s="54" t="n">
        <x:v>0.19327</x:v>
      </x:c>
      <x:c r="M475" s="54" t="n">
        <x:v>0.34512</x:v>
      </x:c>
      <x:c r="N475" s="56" t="n">
        <x:v>-10.46</x:v>
      </x:c>
      <x:c r="O475" s="56" t="n">
        <x:v>9.99</x:v>
      </x:c>
      <x:c r="P475" s="56" t="n">
        <x:v>8.64</x:v>
      </x:c>
      <x:c r="Q475" s="56" t="n">
        <x:v>74.7</x:v>
      </x:c>
      <x:c r="R475" t="str">
        <x:v>X</x:v>
      </x:c>
      <x:c r="S475" s="102" t="n">
        <x:v>100</x:v>
      </x:c>
      <x:c r="T475" t="str">
        <x:v>VALID</x:v>
      </x:c>
      <x:c r="U475" t="n">
        <x:v>2142</x:v>
      </x:c>
      <x:c r="V475" t="str">
        <x:v>Pasted text(56).txt</x:v>
      </x:c>
    </x:row>
    <x:row r="476">
      <x:c r="A476" t="str">
        <x:v>S06</x:v>
      </x:c>
      <x:c r="B476" t="str">
        <x:v>0.30 low-amplitude limit validation</x:v>
      </x:c>
      <x:c r="C476" s="54" t="n">
        <x:v>0.3</x:v>
      </x:c>
      <x:c r="D476" t="n">
        <x:v>2</x:v>
      </x:c>
      <x:c r="E476" t="n">
        <x:v>1</x:v>
      </x:c>
      <x:c r="F476" t="str">
        <x:v>FINE</x:v>
      </x:c>
      <x:c r="G476" t="n">
        <x:v>5</x:v>
      </x:c>
      <x:c r="H476" s="54" t="n">
        <x:v>4.75</x:v>
      </x:c>
      <x:c r="I476" s="54" t="n">
        <x:v>0.32566</x:v>
      </x:c>
      <x:c r="J476" s="54" t="n">
        <x:v>0.32286</x:v>
      </x:c>
      <x:c r="K476" s="54" t="n">
        <x:v>0.14675</x:v>
      </x:c>
      <x:c r="L476" s="54" t="n">
        <x:v>0.23695</x:v>
      </x:c>
      <x:c r="M476" s="54" t="n">
        <x:v>0.4266</x:v>
      </x:c>
      <x:c r="N476" s="56" t="n">
        <x:v>8.55</x:v>
      </x:c>
      <x:c r="O476" s="56" t="n">
        <x:v>6.5</x:v>
      </x:c>
      <x:c r="P476" s="56" t="n">
        <x:v>5.78</x:v>
      </x:c>
      <x:c r="Q476" s="56" t="n">
        <x:v>79.7</x:v>
      </x:c>
      <x:c r="R476" t="str">
        <x:v>X</x:v>
      </x:c>
      <x:c r="S476" s="102" t="n">
        <x:v>100</x:v>
      </x:c>
      <x:c r="T476" t="str">
        <x:v>VALID</x:v>
      </x:c>
      <x:c r="U476" t="n">
        <x:v>2143</x:v>
      </x:c>
      <x:c r="V476" t="str">
        <x:v>Pasted text(56).txt</x:v>
      </x:c>
    </x:row>
    <x:row r="477">
      <x:c r="A477" t="str">
        <x:v>S06</x:v>
      </x:c>
      <x:c r="B477" t="str">
        <x:v>0.30 low-amplitude limit validation</x:v>
      </x:c>
      <x:c r="C477" s="54" t="n">
        <x:v>0.3</x:v>
      </x:c>
      <x:c r="D477" t="n">
        <x:v>2</x:v>
      </x:c>
      <x:c r="E477" t="n">
        <x:v>1</x:v>
      </x:c>
      <x:c r="F477" t="str">
        <x:v>FINE</x:v>
      </x:c>
      <x:c r="G477" t="n">
        <x:v>6</x:v>
      </x:c>
      <x:c r="H477" s="54" t="n">
        <x:v>5</x:v>
      </x:c>
      <x:c r="I477" s="54" t="n">
        <x:v>0.34402</x:v>
      </x:c>
      <x:c r="J477" s="54" t="n">
        <x:v>0.34569</x:v>
      </x:c>
      <x:c r="K477" s="54" t="n">
        <x:v>0.14237</x:v>
      </x:c>
      <x:c r="L477" s="54" t="n">
        <x:v>0.21872</x:v>
      </x:c>
      <x:c r="M477" s="54" t="n">
        <x:v>0.43332</x:v>
      </x:c>
      <x:c r="N477" s="56" t="n">
        <x:v>14.67</x:v>
      </x:c>
      <x:c r="O477" s="56" t="n">
        <x:v>2.84</x:v>
      </x:c>
      <x:c r="P477" s="56" t="n">
        <x:v>2.66</x:v>
      </x:c>
      <x:c r="Q477" s="56" t="n">
        <x:v>83.7</x:v>
      </x:c>
      <x:c r="R477" t="str">
        <x:v>X</x:v>
      </x:c>
      <x:c r="S477" s="102" t="n">
        <x:v>100</x:v>
      </x:c>
      <x:c r="T477" t="str">
        <x:v>VALID</x:v>
      </x:c>
      <x:c r="U477" t="n">
        <x:v>2144</x:v>
      </x:c>
      <x:c r="V477" t="str">
        <x:v>Pasted text(56).txt</x:v>
      </x:c>
    </x:row>
    <x:row r="478">
      <x:c r="A478" t="str">
        <x:v>S06</x:v>
      </x:c>
      <x:c r="B478" t="str">
        <x:v>0.30 low-amplitude limit validation</x:v>
      </x:c>
      <x:c r="C478" s="54" t="n">
        <x:v>0.3</x:v>
      </x:c>
      <x:c r="D478" t="n">
        <x:v>2</x:v>
      </x:c>
      <x:c r="E478" t="n">
        <x:v>1</x:v>
      </x:c>
      <x:c r="F478" t="str">
        <x:v>FINE</x:v>
      </x:c>
      <x:c r="G478" t="n">
        <x:v>7</x:v>
      </x:c>
      <x:c r="H478" s="54" t="n">
        <x:v>5.25</x:v>
      </x:c>
      <x:c r="I478" s="54" t="n">
        <x:v>0.36191</x:v>
      </x:c>
      <x:c r="J478" s="54" t="n">
        <x:v>0.36157</x:v>
      </x:c>
      <x:c r="K478" s="54" t="n">
        <x:v>0.1552</x:v>
      </x:c>
      <x:c r="L478" s="54" t="n">
        <x:v>0.21579</x:v>
      </x:c>
      <x:c r="M478" s="54" t="n">
        <x:v>0.44948</x:v>
      </x:c>
      <x:c r="N478" s="56" t="n">
        <x:v>20.64</x:v>
      </x:c>
      <x:c r="O478" s="56" t="n">
        <x:v>3.45</x:v>
      </x:c>
      <x:c r="P478" s="56" t="n">
        <x:v>2.47</x:v>
      </x:c>
      <x:c r="Q478" s="56" t="n">
        <x:v>84.3</x:v>
      </x:c>
      <x:c r="R478" t="str">
        <x:v>X</x:v>
      </x:c>
      <x:c r="S478" s="102" t="n">
        <x:v>100</x:v>
      </x:c>
      <x:c r="T478" t="str">
        <x:v>VALID</x:v>
      </x:c>
      <x:c r="U478" t="n">
        <x:v>2145</x:v>
      </x:c>
      <x:c r="V478" t="str">
        <x:v>Pasted text(56).txt</x:v>
      </x:c>
    </x:row>
    <x:row r="479">
      <x:c r="A479" t="str">
        <x:v>S06</x:v>
      </x:c>
      <x:c r="B479" t="str">
        <x:v>0.30 low-amplitude limit validation</x:v>
      </x:c>
      <x:c r="C479" s="54" t="n">
        <x:v>0.3</x:v>
      </x:c>
      <x:c r="D479" t="n">
        <x:v>2</x:v>
      </x:c>
      <x:c r="E479" t="n">
        <x:v>1</x:v>
      </x:c>
      <x:c r="F479" t="str">
        <x:v>FINE</x:v>
      </x:c>
      <x:c r="G479" t="n">
        <x:v>8</x:v>
      </x:c>
      <x:c r="H479" s="54" t="n">
        <x:v>5.5</x:v>
      </x:c>
      <x:c r="I479" s="54" t="n">
        <x:v>0.36598</x:v>
      </x:c>
      <x:c r="J479" s="54" t="n">
        <x:v>0.35872</x:v>
      </x:c>
      <x:c r="K479" s="54" t="n">
        <x:v>0.15473</x:v>
      </x:c>
      <x:c r="L479" s="54" t="n">
        <x:v>0.2577</x:v>
      </x:c>
      <x:c r="M479" s="54" t="n">
        <x:v>0.4687</x:v>
      </x:c>
      <x:c r="N479" s="56" t="n">
        <x:v>21.99</x:v>
      </x:c>
      <x:c r="O479" s="56" t="n">
        <x:v>3.75</x:v>
      </x:c>
      <x:c r="P479" s="56" t="n">
        <x:v>5.88</x:v>
      </x:c>
      <x:c r="Q479" s="56" t="n">
        <x:v>82.7</x:v>
      </x:c>
      <x:c r="R479" t="str">
        <x:v>X</x:v>
      </x:c>
      <x:c r="S479" s="102" t="n">
        <x:v>100</x:v>
      </x:c>
      <x:c r="T479" t="str">
        <x:v>VALID</x:v>
      </x:c>
      <x:c r="U479" t="n">
        <x:v>2146</x:v>
      </x:c>
      <x:c r="V479" t="str">
        <x:v>Pasted text(56).txt</x:v>
      </x:c>
    </x:row>
    <x:row r="480">
      <x:c r="A480" t="str">
        <x:v>S06</x:v>
      </x:c>
      <x:c r="B480" t="str">
        <x:v>0.30 low-amplitude limit validation</x:v>
      </x:c>
      <x:c r="C480" s="54" t="n">
        <x:v>0.3</x:v>
      </x:c>
      <x:c r="D480" t="n">
        <x:v>2</x:v>
      </x:c>
      <x:c r="E480" t="n">
        <x:v>1</x:v>
      </x:c>
      <x:c r="F480" t="str">
        <x:v>FINE</x:v>
      </x:c>
      <x:c r="G480" t="n">
        <x:v>9</x:v>
      </x:c>
      <x:c r="H480" s="54" t="n">
        <x:v>5.75</x:v>
      </x:c>
      <x:c r="I480" s="54" t="n">
        <x:v>0.40156</x:v>
      </x:c>
      <x:c r="J480" s="54" t="n">
        <x:v>0.40457</x:v>
      </x:c>
      <x:c r="K480" s="54" t="n">
        <x:v>0.15262</x:v>
      </x:c>
      <x:c r="L480" s="54" t="n">
        <x:v>0.27295</x:v>
      </x:c>
      <x:c r="M480" s="54" t="n">
        <x:v>0.51195</x:v>
      </x:c>
      <x:c r="N480" s="56" t="n">
        <x:v>33.85</x:v>
      </x:c>
      <x:c r="O480" s="56" t="n">
        <x:v>3.63</x:v>
      </x:c>
      <x:c r="P480" s="56" t="n">
        <x:v>3.61</x:v>
      </x:c>
      <x:c r="Q480" s="56" t="n">
        <x:v>83.9</x:v>
      </x:c>
      <x:c r="R480" t="str">
        <x:v>X</x:v>
      </x:c>
      <x:c r="S480" s="102" t="n">
        <x:v>100</x:v>
      </x:c>
      <x:c r="T480" t="str">
        <x:v>VALID</x:v>
      </x:c>
      <x:c r="U480" t="n">
        <x:v>2147</x:v>
      </x:c>
      <x:c r="V480" t="str">
        <x:v>Pasted text(56).txt</x:v>
      </x:c>
    </x:row>
    <x:row r="481">
      <x:c r="A481" t="str">
        <x:v>S06</x:v>
      </x:c>
      <x:c r="B481" t="str">
        <x:v>0.30 low-amplitude limit validation</x:v>
      </x:c>
      <x:c r="C481" s="54" t="n">
        <x:v>0.3</x:v>
      </x:c>
      <x:c r="D481" t="n">
        <x:v>2</x:v>
      </x:c>
      <x:c r="E481" t="n">
        <x:v>2</x:v>
      </x:c>
      <x:c r="F481" t="str">
        <x:v>SEARCH</x:v>
      </x:c>
      <x:c r="G481" t="n">
        <x:v>1</x:v>
      </x:c>
      <x:c r="H481" s="54" t="n">
        <x:v>1</x:v>
      </x:c>
      <x:c r="I481" s="54" t="n">
        <x:v>0.01538</x:v>
      </x:c>
      <x:c r="J481" s="54" t="n">
        <x:v>0.01423</x:v>
      </x:c>
      <x:c r="K481" s="54" t="n">
        <x:v>0.03127</x:v>
      </x:c>
      <x:c r="L481" s="54" t="n">
        <x:v>0.01295</x:v>
      </x:c>
      <x:c r="M481" s="54" t="n">
        <x:v>0.03706</x:v>
      </x:c>
      <x:c r="N481" s="56" t="n">
        <x:v>-94.87</x:v>
      </x:c>
      <x:c r="O481" s="56" t="n">
        <x:v>22.1</x:v>
      </x:c>
      <x:c r="P481" s="56" t="n">
        <x:v>11.39</x:v>
      </x:c>
      <x:c r="Q481" s="56" t="n">
        <x:v>9.7</x:v>
      </x:c>
      <x:c r="R481" t="str">
        <x:v>Y</x:v>
      </x:c>
      <x:c r="S481" s="102" t="n">
        <x:v>45.5</x:v>
      </x:c>
      <x:c r="T481" t="str">
        <x:v>BELOW MEASUREMENT FLOOR — SEARCH CONTINUES</x:v>
      </x:c>
      <x:c r="U481" t="n">
        <x:v>2154</x:v>
      </x:c>
      <x:c r="V481" t="str">
        <x:v>Pasted text(56).txt</x:v>
      </x:c>
    </x:row>
    <x:row r="482">
      <x:c r="A482" t="str">
        <x:v>S06</x:v>
      </x:c>
      <x:c r="B482" t="str">
        <x:v>0.30 low-amplitude limit validation</x:v>
      </x:c>
      <x:c r="C482" s="54" t="n">
        <x:v>0.3</x:v>
      </x:c>
      <x:c r="D482" t="n">
        <x:v>2</x:v>
      </x:c>
      <x:c r="E482" t="n">
        <x:v>2</x:v>
      </x:c>
      <x:c r="F482" t="str">
        <x:v>SEARCH</x:v>
      </x:c>
      <x:c r="G482" t="n">
        <x:v>2</x:v>
      </x:c>
      <x:c r="H482" s="54" t="n">
        <x:v>3</x:v>
      </x:c>
      <x:c r="I482" s="54" t="n">
        <x:v>0.12793</x:v>
      </x:c>
      <x:c r="J482" s="54" t="n">
        <x:v>0.12775</x:v>
      </x:c>
      <x:c r="K482" s="54" t="n">
        <x:v>0.05397</x:v>
      </x:c>
      <x:c r="L482" s="54" t="n">
        <x:v>0.10017</x:v>
      </x:c>
      <x:c r="M482" s="54" t="n">
        <x:v>0.17216</x:v>
      </x:c>
      <x:c r="N482" s="56" t="n">
        <x:v>-57.36</x:v>
      </x:c>
      <x:c r="O482" s="56" t="n">
        <x:v>6.55</x:v>
      </x:c>
      <x:c r="P482" s="56" t="n">
        <x:v>4.64</x:v>
      </x:c>
      <x:c r="Q482" s="56" t="n">
        <x:v>49.1</x:v>
      </x:c>
      <x:c r="R482" t="str">
        <x:v>X</x:v>
      </x:c>
      <x:c r="S482" s="102" t="n">
        <x:v>100</x:v>
      </x:c>
      <x:c r="T482" t="str">
        <x:v>UNSTABLE — SEARCH CONTINUES</x:v>
      </x:c>
      <x:c r="U482" t="n">
        <x:v>2155</x:v>
      </x:c>
      <x:c r="V482" t="str">
        <x:v>Pasted text(56).txt</x:v>
      </x:c>
    </x:row>
    <x:row r="483">
      <x:c r="A483" t="str">
        <x:v>S06</x:v>
      </x:c>
      <x:c r="B483" t="str">
        <x:v>0.30 low-amplitude limit validation</x:v>
      </x:c>
      <x:c r="C483" s="54" t="n">
        <x:v>0.3</x:v>
      </x:c>
      <x:c r="D483" t="n">
        <x:v>2</x:v>
      </x:c>
      <x:c r="E483" t="n">
        <x:v>2</x:v>
      </x:c>
      <x:c r="F483" t="str">
        <x:v>SEARCH</x:v>
      </x:c>
      <x:c r="G483" t="n">
        <x:v>3</x:v>
      </x:c>
      <x:c r="H483" s="54" t="n">
        <x:v>4</x:v>
      </x:c>
      <x:c r="I483" s="54" t="n">
        <x:v>0.25098</x:v>
      </x:c>
      <x:c r="J483" s="54" t="n">
        <x:v>0.24803</x:v>
      </x:c>
      <x:c r="K483" s="54" t="n">
        <x:v>0.10439</x:v>
      </x:c>
      <x:c r="L483" s="54" t="n">
        <x:v>0.17228</x:v>
      </x:c>
      <x:c r="M483" s="54" t="n">
        <x:v>0.32025</x:v>
      </x:c>
      <x:c r="N483" s="56" t="n">
        <x:v>-16.34</x:v>
      </x:c>
      <x:c r="O483" s="56" t="n">
        <x:v>0.29</x:v>
      </x:c>
      <x:c r="P483" s="56" t="n">
        <x:v>2.23</x:v>
      </x:c>
      <x:c r="Q483" s="56" t="n">
        <x:v>72.9</x:v>
      </x:c>
      <x:c r="R483" t="str">
        <x:v>X</x:v>
      </x:c>
      <x:c r="S483" s="102" t="n">
        <x:v>100</x:v>
      </x:c>
      <x:c r="T483" t="str">
        <x:v>VALID</x:v>
      </x:c>
      <x:c r="U483" t="n">
        <x:v>2156</x:v>
      </x:c>
      <x:c r="V483" t="str">
        <x:v>Pasted text(56).txt</x:v>
      </x:c>
    </x:row>
    <x:row r="484">
      <x:c r="A484" t="str">
        <x:v>S06</x:v>
      </x:c>
      <x:c r="B484" t="str">
        <x:v>0.30 low-amplitude limit validation</x:v>
      </x:c>
      <x:c r="C484" s="54" t="n">
        <x:v>0.3</x:v>
      </x:c>
      <x:c r="D484" t="n">
        <x:v>2</x:v>
      </x:c>
      <x:c r="E484" t="n">
        <x:v>2</x:v>
      </x:c>
      <x:c r="F484" t="str">
        <x:v>SEARCH</x:v>
      </x:c>
      <x:c r="G484" t="n">
        <x:v>4</x:v>
      </x:c>
      <x:c r="H484" s="54" t="n">
        <x:v>4.5</x:v>
      </x:c>
      <x:c r="I484" s="54" t="n">
        <x:v>0.257</x:v>
      </x:c>
      <x:c r="J484" s="54" t="n">
        <x:v>0.26534</x:v>
      </x:c>
      <x:c r="K484" s="54" t="n">
        <x:v>0.1105</x:v>
      </x:c>
      <x:c r="L484" s="54" t="n">
        <x:v>0.18237</x:v>
      </x:c>
      <x:c r="M484" s="54" t="n">
        <x:v>0.34088</x:v>
      </x:c>
      <x:c r="N484" s="56" t="n">
        <x:v>-14.33</x:v>
      </x:c>
      <x:c r="O484" s="56" t="n">
        <x:v>4.39</x:v>
      </x:c>
      <x:c r="P484" s="56" t="n">
        <x:v>8.06</x:v>
      </x:c>
      <x:c r="Q484" s="56" t="n">
        <x:v>74.8</x:v>
      </x:c>
      <x:c r="R484" t="str">
        <x:v>X</x:v>
      </x:c>
      <x:c r="S484" s="102" t="n">
        <x:v>100</x:v>
      </x:c>
      <x:c r="T484" t="str">
        <x:v>VALID</x:v>
      </x:c>
      <x:c r="U484" t="n">
        <x:v>2157</x:v>
      </x:c>
      <x:c r="V484" t="str">
        <x:v>Pasted text(56).txt</x:v>
      </x:c>
    </x:row>
    <x:row r="485">
      <x:c r="A485" t="str">
        <x:v>S06</x:v>
      </x:c>
      <x:c r="B485" t="str">
        <x:v>0.30 low-amplitude limit validation</x:v>
      </x:c>
      <x:c r="C485" s="54" t="n">
        <x:v>0.3</x:v>
      </x:c>
      <x:c r="D485" t="n">
        <x:v>2</x:v>
      </x:c>
      <x:c r="E485" t="n">
        <x:v>2</x:v>
      </x:c>
      <x:c r="F485" t="str">
        <x:v>SEARCH</x:v>
      </x:c>
      <x:c r="G485" t="n">
        <x:v>5</x:v>
      </x:c>
      <x:c r="H485" s="54" t="n">
        <x:v>4.75</x:v>
      </x:c>
      <x:c r="I485" s="54" t="n">
        <x:v>0.30164</x:v>
      </x:c>
      <x:c r="J485" s="54" t="n">
        <x:v>0.30386</x:v>
      </x:c>
      <x:c r="K485" s="54" t="n">
        <x:v>0.11442</x:v>
      </x:c>
      <x:c r="L485" s="54" t="n">
        <x:v>0.21772</x:v>
      </x:c>
      <x:c r="M485" s="54" t="n">
        <x:v>0.3911</x:v>
      </x:c>
      <x:c r="N485" s="56" t="n">
        <x:v>0.55</x:v>
      </x:c>
      <x:c r="O485" s="56" t="n">
        <x:v>1.98</x:v>
      </x:c>
      <x:c r="P485" s="56" t="n">
        <x:v>2.5</x:v>
      </x:c>
      <x:c r="Q485" s="56" t="n">
        <x:v>76.5</x:v>
      </x:c>
      <x:c r="R485" t="str">
        <x:v>X</x:v>
      </x:c>
      <x:c r="S485" s="102" t="n">
        <x:v>100</x:v>
      </x:c>
      <x:c r="T485" t="str">
        <x:v>IN TARGET BAND</x:v>
      </x:c>
      <x:c r="U485" t="n">
        <x:v>2158</x:v>
      </x:c>
      <x:c r="V485" t="str">
        <x:v>Pasted text(56).txt</x:v>
      </x:c>
    </x:row>
    <x:row r="486">
      <x:c r="A486" t="str">
        <x:v>S06</x:v>
      </x:c>
      <x:c r="B486" t="str">
        <x:v>0.30 low-amplitude limit validation</x:v>
      </x:c>
      <x:c r="C486" s="54" t="n">
        <x:v>0.3</x:v>
      </x:c>
      <x:c r="D486" t="n">
        <x:v>2</x:v>
      </x:c>
      <x:c r="E486" t="n">
        <x:v>2</x:v>
      </x:c>
      <x:c r="F486" t="str">
        <x:v>FINE</x:v>
      </x:c>
      <x:c r="G486" t="n">
        <x:v>1</x:v>
      </x:c>
      <x:c r="H486" s="54" t="n">
        <x:v>3.75</x:v>
      </x:c>
      <x:c r="I486" s="54" t="n">
        <x:v>0.19921</x:v>
      </x:c>
      <x:c r="J486" s="54" t="n">
        <x:v>0.19936</x:v>
      </x:c>
      <x:c r="K486" s="54" t="n">
        <x:v>0.07982</x:v>
      </x:c>
      <x:c r="L486" s="54" t="n">
        <x:v>0.1419</x:v>
      </x:c>
      <x:c r="M486" s="54" t="n">
        <x:v>0.2582</x:v>
      </x:c>
      <x:c r="N486" s="56" t="n">
        <x:v>-33.6</x:v>
      </x:c>
      <x:c r="O486" s="56" t="n">
        <x:v>6.87</x:v>
      </x:c>
      <x:c r="P486" s="56" t="n">
        <x:v>4.75</x:v>
      </x:c>
      <x:c r="Q486" s="56" t="n">
        <x:v>66</x:v>
      </x:c>
      <x:c r="R486" t="str">
        <x:v>X</x:v>
      </x:c>
      <x:c r="S486" s="102" t="n">
        <x:v>100</x:v>
      </x:c>
      <x:c r="T486" t="str">
        <x:v>VALID</x:v>
      </x:c>
      <x:c r="U486" t="n">
        <x:v>2162</x:v>
      </x:c>
      <x:c r="V486" t="str">
        <x:v>Pasted text(56).txt</x:v>
      </x:c>
    </x:row>
    <x:row r="487">
      <x:c r="A487" t="str">
        <x:v>S06</x:v>
      </x:c>
      <x:c r="B487" t="str">
        <x:v>0.30 low-amplitude limit validation</x:v>
      </x:c>
      <x:c r="C487" s="54" t="n">
        <x:v>0.3</x:v>
      </x:c>
      <x:c r="D487" t="n">
        <x:v>2</x:v>
      </x:c>
      <x:c r="E487" t="n">
        <x:v>2</x:v>
      </x:c>
      <x:c r="F487" t="str">
        <x:v>FINE</x:v>
      </x:c>
      <x:c r="G487" t="n">
        <x:v>2</x:v>
      </x:c>
      <x:c r="H487" s="54" t="n">
        <x:v>4</x:v>
      </x:c>
      <x:c r="I487" s="54" t="n">
        <x:v>0.23117</x:v>
      </x:c>
      <x:c r="J487" s="54" t="n">
        <x:v>0.23729</x:v>
      </x:c>
      <x:c r="K487" s="54" t="n">
        <x:v>0.11127</x:v>
      </x:c>
      <x:c r="L487" s="54" t="n">
        <x:v>0.16319</x:v>
      </x:c>
      <x:c r="M487" s="54" t="n">
        <x:v>0.30986</x:v>
      </x:c>
      <x:c r="N487" s="56" t="n">
        <x:v>-22.94</x:v>
      </x:c>
      <x:c r="O487" s="56" t="n">
        <x:v>4.31</x:v>
      </x:c>
      <x:c r="P487" s="56" t="n">
        <x:v>7.07</x:v>
      </x:c>
      <x:c r="Q487" s="56" t="n">
        <x:v>74.2</x:v>
      </x:c>
      <x:c r="R487" t="str">
        <x:v>X</x:v>
      </x:c>
      <x:c r="S487" s="102" t="n">
        <x:v>100</x:v>
      </x:c>
      <x:c r="T487" t="str">
        <x:v>VALID</x:v>
      </x:c>
      <x:c r="U487" t="n">
        <x:v>2163</x:v>
      </x:c>
      <x:c r="V487" t="str">
        <x:v>Pasted text(56).txt</x:v>
      </x:c>
    </x:row>
    <x:row r="488">
      <x:c r="A488" t="str">
        <x:v>S06</x:v>
      </x:c>
      <x:c r="B488" t="str">
        <x:v>0.30 low-amplitude limit validation</x:v>
      </x:c>
      <x:c r="C488" s="54" t="n">
        <x:v>0.3</x:v>
      </x:c>
      <x:c r="D488" t="n">
        <x:v>2</x:v>
      </x:c>
      <x:c r="E488" t="n">
        <x:v>2</x:v>
      </x:c>
      <x:c r="F488" t="str">
        <x:v>FINE</x:v>
      </x:c>
      <x:c r="G488" t="n">
        <x:v>3</x:v>
      </x:c>
      <x:c r="H488" s="54" t="n">
        <x:v>4.25</x:v>
      </x:c>
      <x:c r="I488" s="54" t="n">
        <x:v>0.23771</x:v>
      </x:c>
      <x:c r="J488" s="54" t="n">
        <x:v>0.24147</x:v>
      </x:c>
      <x:c r="K488" s="54" t="n">
        <x:v>0.09907</x:v>
      </x:c>
      <x:c r="L488" s="54" t="n">
        <x:v>0.17136</x:v>
      </x:c>
      <x:c r="M488" s="54" t="n">
        <x:v>0.31248</x:v>
      </x:c>
      <x:c r="N488" s="56" t="n">
        <x:v>-20.76</x:v>
      </x:c>
      <x:c r="O488" s="56" t="n">
        <x:v>0.21</x:v>
      </x:c>
      <x:c r="P488" s="56" t="n">
        <x:v>2.82</x:v>
      </x:c>
      <x:c r="Q488" s="56" t="n">
        <x:v>72.9</x:v>
      </x:c>
      <x:c r="R488" t="str">
        <x:v>X</x:v>
      </x:c>
      <x:c r="S488" s="102" t="n">
        <x:v>100</x:v>
      </x:c>
      <x:c r="T488" t="str">
        <x:v>VALID</x:v>
      </x:c>
      <x:c r="U488" t="n">
        <x:v>2164</x:v>
      </x:c>
      <x:c r="V488" t="str">
        <x:v>Pasted text(56).txt</x:v>
      </x:c>
    </x:row>
    <x:row r="489">
      <x:c r="A489" t="str">
        <x:v>S06</x:v>
      </x:c>
      <x:c r="B489" t="str">
        <x:v>0.30 low-amplitude limit validation</x:v>
      </x:c>
      <x:c r="C489" s="54" t="n">
        <x:v>0.3</x:v>
      </x:c>
      <x:c r="D489" t="n">
        <x:v>2</x:v>
      </x:c>
      <x:c r="E489" t="n">
        <x:v>2</x:v>
      </x:c>
      <x:c r="F489" t="str">
        <x:v>FINE</x:v>
      </x:c>
      <x:c r="G489" t="n">
        <x:v>4</x:v>
      </x:c>
      <x:c r="H489" s="54" t="n">
        <x:v>4.5</x:v>
      </x:c>
      <x:c r="I489" s="54" t="n">
        <x:v>0.25972</x:v>
      </x:c>
      <x:c r="J489" s="54" t="n">
        <x:v>0.26237</x:v>
      </x:c>
      <x:c r="K489" s="54" t="n">
        <x:v>0.09688</x:v>
      </x:c>
      <x:c r="L489" s="54" t="n">
        <x:v>0.19326</x:v>
      </x:c>
      <x:c r="M489" s="54" t="n">
        <x:v>0.34073</x:v>
      </x:c>
      <x:c r="N489" s="56" t="n">
        <x:v>-13.43</x:v>
      </x:c>
      <x:c r="O489" s="56" t="n">
        <x:v>0.01</x:v>
      </x:c>
      <x:c r="P489" s="56" t="n">
        <x:v>1.75</x:v>
      </x:c>
      <x:c r="Q489" s="56" t="n">
        <x:v>72.7</x:v>
      </x:c>
      <x:c r="R489" t="str">
        <x:v>X</x:v>
      </x:c>
      <x:c r="S489" s="102" t="n">
        <x:v>100</x:v>
      </x:c>
      <x:c r="T489" t="str">
        <x:v>VALID</x:v>
      </x:c>
      <x:c r="U489" t="n">
        <x:v>2165</x:v>
      </x:c>
      <x:c r="V489" t="str">
        <x:v>Pasted text(56).txt</x:v>
      </x:c>
    </x:row>
    <x:row r="490">
      <x:c r="A490" t="str">
        <x:v>S06</x:v>
      </x:c>
      <x:c r="B490" t="str">
        <x:v>0.30 low-amplitude limit validation</x:v>
      </x:c>
      <x:c r="C490" s="54" t="n">
        <x:v>0.3</x:v>
      </x:c>
      <x:c r="D490" t="n">
        <x:v>2</x:v>
      </x:c>
      <x:c r="E490" t="n">
        <x:v>2</x:v>
      </x:c>
      <x:c r="F490" t="str">
        <x:v>FINE</x:v>
      </x:c>
      <x:c r="G490" t="n">
        <x:v>5</x:v>
      </x:c>
      <x:c r="H490" s="54" t="n">
        <x:v>4.75</x:v>
      </x:c>
      <x:c r="I490" s="54" t="n">
        <x:v>0.31228</x:v>
      </x:c>
      <x:c r="J490" s="54" t="n">
        <x:v>0.31249</x:v>
      </x:c>
      <x:c r="K490" s="54" t="n">
        <x:v>0.12927</x:v>
      </x:c>
      <x:c r="L490" s="54" t="n">
        <x:v>0.19095</x:v>
      </x:c>
      <x:c r="M490" s="54" t="n">
        <x:v>0.38956</x:v>
      </x:c>
      <x:c r="N490" s="56" t="n">
        <x:v>4.09</x:v>
      </x:c>
      <x:c r="O490" s="56" t="n">
        <x:v>9.37</x:v>
      </x:c>
      <x:c r="P490" s="56" t="n">
        <x:v>6.42</x:v>
      </x:c>
      <x:c r="Q490" s="56" t="n">
        <x:v>78.8</x:v>
      </x:c>
      <x:c r="R490" t="str">
        <x:v>X</x:v>
      </x:c>
      <x:c r="S490" s="102" t="n">
        <x:v>100</x:v>
      </x:c>
      <x:c r="T490" t="str">
        <x:v>IN TARGET BAND</x:v>
      </x:c>
      <x:c r="U490" t="n">
        <x:v>2166</x:v>
      </x:c>
      <x:c r="V490" t="str">
        <x:v>Pasted text(56).txt</x:v>
      </x:c>
    </x:row>
    <x:row r="491">
      <x:c r="A491" t="str">
        <x:v>S06</x:v>
      </x:c>
      <x:c r="B491" t="str">
        <x:v>0.30 low-amplitude limit validation</x:v>
      </x:c>
      <x:c r="C491" s="54" t="n">
        <x:v>0.3</x:v>
      </x:c>
      <x:c r="D491" t="n">
        <x:v>2</x:v>
      </x:c>
      <x:c r="E491" t="n">
        <x:v>2</x:v>
      </x:c>
      <x:c r="F491" t="str">
        <x:v>FINE</x:v>
      </x:c>
      <x:c r="G491" t="n">
        <x:v>6</x:v>
      </x:c>
      <x:c r="H491" s="54" t="n">
        <x:v>5</x:v>
      </x:c>
      <x:c r="I491" s="54" t="n">
        <x:v>0.32963</x:v>
      </x:c>
      <x:c r="J491" s="54" t="n">
        <x:v>0.33062</x:v>
      </x:c>
      <x:c r="K491" s="54" t="n">
        <x:v>0.13361</x:v>
      </x:c>
      <x:c r="L491" s="54" t="n">
        <x:v>0.21997</x:v>
      </x:c>
      <x:c r="M491" s="54" t="n">
        <x:v>0.41917</x:v>
      </x:c>
      <x:c r="N491" s="56" t="n">
        <x:v>9.88</x:v>
      </x:c>
      <x:c r="O491" s="56" t="n">
        <x:v>1.33</x:v>
      </x:c>
      <x:c r="P491" s="56" t="n">
        <x:v>1.37</x:v>
      </x:c>
      <x:c r="Q491" s="56" t="n">
        <x:v>81.2</x:v>
      </x:c>
      <x:c r="R491" t="str">
        <x:v>X</x:v>
      </x:c>
      <x:c r="S491" s="102" t="n">
        <x:v>100</x:v>
      </x:c>
      <x:c r="T491" t="str">
        <x:v>VALID</x:v>
      </x:c>
      <x:c r="U491" t="n">
        <x:v>2167</x:v>
      </x:c>
      <x:c r="V491" t="str">
        <x:v>Pasted text(56).txt</x:v>
      </x:c>
    </x:row>
    <x:row r="492">
      <x:c r="A492" t="str">
        <x:v>S06</x:v>
      </x:c>
      <x:c r="B492" t="str">
        <x:v>0.30 low-amplitude limit validation</x:v>
      </x:c>
      <x:c r="C492" s="54" t="n">
        <x:v>0.3</x:v>
      </x:c>
      <x:c r="D492" t="n">
        <x:v>2</x:v>
      </x:c>
      <x:c r="E492" t="n">
        <x:v>2</x:v>
      </x:c>
      <x:c r="F492" t="str">
        <x:v>FINE</x:v>
      </x:c>
      <x:c r="G492" t="n">
        <x:v>7</x:v>
      </x:c>
      <x:c r="H492" s="54" t="n">
        <x:v>5.25</x:v>
      </x:c>
      <x:c r="I492" s="54" t="n">
        <x:v>0.32051</x:v>
      </x:c>
      <x:c r="J492" s="54" t="n">
        <x:v>0.33166</x:v>
      </x:c>
      <x:c r="K492" s="54" t="n">
        <x:v>0.14471</x:v>
      </x:c>
      <x:c r="L492" s="54" t="n">
        <x:v>0.25441</x:v>
      </x:c>
      <x:c r="M492" s="54" t="n">
        <x:v>0.44326</x:v>
      </x:c>
      <x:c r="N492" s="56" t="n">
        <x:v>6.84</x:v>
      </x:c>
      <x:c r="O492" s="56" t="n">
        <x:v>1.79</x:v>
      </x:c>
      <x:c r="P492" s="56" t="n">
        <x:v>6.86</x:v>
      </x:c>
      <x:c r="Q492" s="56" t="n">
        <x:v>79.9</x:v>
      </x:c>
      <x:c r="R492" t="str">
        <x:v>X</x:v>
      </x:c>
      <x:c r="S492" s="102" t="n">
        <x:v>100</x:v>
      </x:c>
      <x:c r="T492" t="str">
        <x:v>IN TARGET BAND</x:v>
      </x:c>
      <x:c r="U492" t="n">
        <x:v>2168</x:v>
      </x:c>
      <x:c r="V492" t="str">
        <x:v>Pasted text(56).txt</x:v>
      </x:c>
    </x:row>
    <x:row r="493">
      <x:c r="A493" t="str">
        <x:v>S06</x:v>
      </x:c>
      <x:c r="B493" t="str">
        <x:v>0.30 low-amplitude limit validation</x:v>
      </x:c>
      <x:c r="C493" s="54" t="n">
        <x:v>0.3</x:v>
      </x:c>
      <x:c r="D493" t="n">
        <x:v>2</x:v>
      </x:c>
      <x:c r="E493" t="n">
        <x:v>2</x:v>
      </x:c>
      <x:c r="F493" t="str">
        <x:v>FINE</x:v>
      </x:c>
      <x:c r="G493" t="n">
        <x:v>8</x:v>
      </x:c>
      <x:c r="H493" s="54" t="n">
        <x:v>5.5</x:v>
      </x:c>
      <x:c r="I493" s="54" t="n">
        <x:v>0.36862</x:v>
      </x:c>
      <x:c r="J493" s="54" t="n">
        <x:v>0.36892</x:v>
      </x:c>
      <x:c r="K493" s="54" t="n">
        <x:v>0.1419</x:v>
      </x:c>
      <x:c r="L493" s="54" t="n">
        <x:v>0.24117</x:v>
      </x:c>
      <x:c r="M493" s="54" t="n">
        <x:v>0.4637</x:v>
      </x:c>
      <x:c r="N493" s="56" t="n">
        <x:v>22.87</x:v>
      </x:c>
      <x:c r="O493" s="56" t="n">
        <x:v>6.99</x:v>
      </x:c>
      <x:c r="P493" s="56" t="n">
        <x:v>4.84</x:v>
      </x:c>
      <x:c r="Q493" s="56" t="n">
        <x:v>85.1</x:v>
      </x:c>
      <x:c r="R493" t="str">
        <x:v>X</x:v>
      </x:c>
      <x:c r="S493" s="102" t="n">
        <x:v>100</x:v>
      </x:c>
      <x:c r="T493" t="str">
        <x:v>VALID</x:v>
      </x:c>
      <x:c r="U493" t="n">
        <x:v>2169</x:v>
      </x:c>
      <x:c r="V493" t="str">
        <x:v>Pasted text(56).txt</x:v>
      </x:c>
    </x:row>
    <x:row r="494">
      <x:c r="A494" t="str">
        <x:v>S06</x:v>
      </x:c>
      <x:c r="B494" t="str">
        <x:v>0.30 low-amplitude limit validation</x:v>
      </x:c>
      <x:c r="C494" s="54" t="n">
        <x:v>0.3</x:v>
      </x:c>
      <x:c r="D494" t="n">
        <x:v>2</x:v>
      </x:c>
      <x:c r="E494" t="n">
        <x:v>2</x:v>
      </x:c>
      <x:c r="F494" t="str">
        <x:v>FINE</x:v>
      </x:c>
      <x:c r="G494" t="n">
        <x:v>9</x:v>
      </x:c>
      <x:c r="H494" s="54" t="n">
        <x:v>5.75</x:v>
      </x:c>
      <x:c r="I494" s="54" t="n">
        <x:v>0.39184</x:v>
      </x:c>
      <x:c r="J494" s="54" t="n">
        <x:v>0.3933</x:v>
      </x:c>
      <x:c r="K494" s="54" t="n">
        <x:v>0.17571</x:v>
      </x:c>
      <x:c r="L494" s="54" t="n">
        <x:v>0.28472</x:v>
      </x:c>
      <x:c r="M494" s="54" t="n">
        <x:v>0.5172</x:v>
      </x:c>
      <x:c r="N494" s="56" t="n">
        <x:v>30.61</x:v>
      </x:c>
      <x:c r="O494" s="56" t="n">
        <x:v>4.3</x:v>
      </x:c>
      <x:c r="P494" s="56" t="n">
        <x:v>3.46</x:v>
      </x:c>
      <x:c r="Q494" s="56" t="n">
        <x:v>84.3</x:v>
      </x:c>
      <x:c r="R494" t="str">
        <x:v>X</x:v>
      </x:c>
      <x:c r="S494" s="102" t="n">
        <x:v>100</x:v>
      </x:c>
      <x:c r="T494" t="str">
        <x:v>VALID</x:v>
      </x:c>
      <x:c r="U494" t="n">
        <x:v>2170</x:v>
      </x:c>
      <x:c r="V494" t="str">
        <x:v>Pasted text(56).txt</x:v>
      </x:c>
    </x:row>
    <x:row r="495">
      <x:c r="A495" t="str">
        <x:v>S06</x:v>
      </x:c>
      <x:c r="B495" t="str">
        <x:v>0.30 low-amplitude limit validation</x:v>
      </x:c>
      <x:c r="C495" s="54" t="n">
        <x:v>0.3</x:v>
      </x:c>
      <x:c r="D495" t="n">
        <x:v>2</x:v>
      </x:c>
      <x:c r="E495" t="n">
        <x:v>2</x:v>
      </x:c>
      <x:c r="F495" t="str">
        <x:v>FINAL</x:v>
      </x:c>
      <x:c r="G495" t="n">
        <x:v>1</x:v>
      </x:c>
      <x:c r="H495" s="54" t="n">
        <x:v>5.25</x:v>
      </x:c>
      <x:c r="I495" s="54" t="n">
        <x:v>0.33923</x:v>
      </x:c>
      <x:c r="J495" s="54" t="n">
        <x:v>0.34331</x:v>
      </x:c>
      <x:c r="K495" s="54" t="n">
        <x:v>0.14439</x:v>
      </x:c>
      <x:c r="L495" s="54" t="n">
        <x:v>0.22629</x:v>
      </x:c>
      <x:c r="M495" s="54" t="n">
        <x:v>0.4366</x:v>
      </x:c>
      <x:c r="N495" s="56" t="n">
        <x:v>13.08</x:v>
      </x:c>
      <x:c r="O495" s="56" t="n">
        <x:v>4.61</x:v>
      </x:c>
      <x:c r="P495" s="56" t="n">
        <x:v>3.54</x:v>
      </x:c>
      <x:c r="Q495" s="56" t="n">
        <x:v>81.9</x:v>
      </x:c>
      <x:c r="R495" t="str">
        <x:v>X</x:v>
      </x:c>
      <x:c r="S495" s="102" t="n">
        <x:v>100</x:v>
      </x:c>
      <x:c r="T495" t="str">
        <x:v>VALID</x:v>
      </x:c>
      <x:c r="U495" t="n">
        <x:v>2173</x:v>
      </x:c>
      <x:c r="V495" t="str">
        <x:v>Pasted text(56).txt</x:v>
      </x:c>
    </x:row>
    <x:row r="496">
      <x:c r="A496" t="str">
        <x:v>S06</x:v>
      </x:c>
      <x:c r="B496" t="str">
        <x:v>0.30 low-amplitude limit validation</x:v>
      </x:c>
      <x:c r="C496" s="54" t="n">
        <x:v>0.3</x:v>
      </x:c>
      <x:c r="D496" t="n">
        <x:v>2</x:v>
      </x:c>
      <x:c r="E496" t="n">
        <x:v>2</x:v>
      </x:c>
      <x:c r="F496" t="str">
        <x:v>FINAL</x:v>
      </x:c>
      <x:c r="G496" t="n">
        <x:v>2</x:v>
      </x:c>
      <x:c r="H496" s="54" t="n">
        <x:v>5.25</x:v>
      </x:c>
      <x:c r="I496" s="54" t="n">
        <x:v>0.34719</x:v>
      </x:c>
      <x:c r="J496" s="54" t="n">
        <x:v>0.35082</x:v>
      </x:c>
      <x:c r="K496" s="54" t="n">
        <x:v>0.15501</x:v>
      </x:c>
      <x:c r="L496" s="54" t="n">
        <x:v>0.22591</x:v>
      </x:c>
      <x:c r="M496" s="54" t="n">
        <x:v>0.44544</x:v>
      </x:c>
      <x:c r="N496" s="56" t="n">
        <x:v>15.73</x:v>
      </x:c>
      <x:c r="O496" s="56" t="n">
        <x:v>4.13</x:v>
      </x:c>
      <x:c r="P496" s="56" t="n">
        <x:v>3.24</x:v>
      </x:c>
      <x:c r="Q496" s="56" t="n">
        <x:v>82.3</x:v>
      </x:c>
      <x:c r="R496" t="str">
        <x:v>X</x:v>
      </x:c>
      <x:c r="S496" s="102" t="n">
        <x:v>100</x:v>
      </x:c>
      <x:c r="T496" t="str">
        <x:v>VALID</x:v>
      </x:c>
      <x:c r="U496" t="n">
        <x:v>2174</x:v>
      </x:c>
      <x:c r="V496" t="str">
        <x:v>Pasted text(56).txt</x:v>
      </x:c>
    </x:row>
    <x:row r="497">
      <x:c r="A497" t="str">
        <x:v>S06</x:v>
      </x:c>
      <x:c r="B497" t="str">
        <x:v>0.30 low-amplitude limit validation</x:v>
      </x:c>
      <x:c r="C497" s="54" t="n">
        <x:v>0.3</x:v>
      </x:c>
      <x:c r="D497" t="n">
        <x:v>2</x:v>
      </x:c>
      <x:c r="E497" t="n">
        <x:v>2</x:v>
      </x:c>
      <x:c r="F497" t="str">
        <x:v>FINAL</x:v>
      </x:c>
      <x:c r="G497" t="n">
        <x:v>3</x:v>
      </x:c>
      <x:c r="H497" s="54" t="n">
        <x:v>5.25</x:v>
      </x:c>
      <x:c r="I497" s="54" t="n">
        <x:v>0.34308</x:v>
      </x:c>
      <x:c r="J497" s="54" t="n">
        <x:v>0.34514</x:v>
      </x:c>
      <x:c r="K497" s="54" t="n">
        <x:v>0.14831</x:v>
      </x:c>
      <x:c r="L497" s="54" t="n">
        <x:v>0.22845</x:v>
      </x:c>
      <x:c r="M497" s="54" t="n">
        <x:v>0.44075</x:v>
      </x:c>
      <x:c r="N497" s="56" t="n">
        <x:v>14.36</x:v>
      </x:c>
      <x:c r="O497" s="56" t="n">
        <x:v>5.26</x:v>
      </x:c>
      <x:c r="P497" s="56" t="n">
        <x:v>3.32</x:v>
      </x:c>
      <x:c r="Q497" s="56" t="n">
        <x:v>84.1</x:v>
      </x:c>
      <x:c r="R497" t="str">
        <x:v>X</x:v>
      </x:c>
      <x:c r="S497" s="102" t="n">
        <x:v>100</x:v>
      </x:c>
      <x:c r="T497" t="str">
        <x:v>VALID</x:v>
      </x:c>
      <x:c r="U497" t="n">
        <x:v>2175</x:v>
      </x:c>
      <x:c r="V497" t="str">
        <x:v>Pasted text(56).txt</x:v>
      </x:c>
    </x:row>
    <x:row r="498">
      <x:c r="A498" t="str">
        <x:v>S06</x:v>
      </x:c>
      <x:c r="B498" t="str">
        <x:v>0.30 low-amplitude limit validation</x:v>
      </x:c>
      <x:c r="C498" s="54" t="n">
        <x:v>0.3</x:v>
      </x:c>
      <x:c r="D498" t="n">
        <x:v>2</x:v>
      </x:c>
      <x:c r="E498" t="n">
        <x:v>2</x:v>
      </x:c>
      <x:c r="F498" t="str">
        <x:v>FINAL</x:v>
      </x:c>
      <x:c r="G498" t="n">
        <x:v>1</x:v>
      </x:c>
      <x:c r="H498" s="54" t="n">
        <x:v>4.75</x:v>
      </x:c>
      <x:c r="I498" s="54" t="n">
        <x:v>0.30656</x:v>
      </x:c>
      <x:c r="J498" s="54" t="n">
        <x:v>0.30879</x:v>
      </x:c>
      <x:c r="K498" s="54" t="n">
        <x:v>0.11094</x:v>
      </x:c>
      <x:c r="L498" s="54" t="n">
        <x:v>0.20384</x:v>
      </x:c>
      <x:c r="M498" s="54" t="n">
        <x:v>0.38662</x:v>
      </x:c>
      <x:c r="N498" s="56" t="n">
        <x:v>2.19</x:v>
      </x:c>
      <x:c r="O498" s="56" t="n">
        <x:v>6.51</x:v>
      </x:c>
      <x:c r="P498" s="56" t="n">
        <x:v>6.14</x:v>
      </x:c>
      <x:c r="Q498" s="56" t="n">
        <x:v>78.9</x:v>
      </x:c>
      <x:c r="R498" t="str">
        <x:v>X</x:v>
      </x:c>
      <x:c r="S498" s="102" t="n">
        <x:v>100</x:v>
      </x:c>
      <x:c r="T498" t="str">
        <x:v>IN TARGET BAND</x:v>
      </x:c>
      <x:c r="U498" t="n">
        <x:v>2179</x:v>
      </x:c>
      <x:c r="V498" t="str">
        <x:v>Pasted text(56).txt</x:v>
      </x:c>
    </x:row>
    <x:row r="499">
      <x:c r="A499" t="str">
        <x:v>S06</x:v>
      </x:c>
      <x:c r="B499" t="str">
        <x:v>0.30 low-amplitude limit validation</x:v>
      </x:c>
      <x:c r="C499" s="54" t="n">
        <x:v>0.3</x:v>
      </x:c>
      <x:c r="D499" t="n">
        <x:v>2</x:v>
      </x:c>
      <x:c r="E499" t="n">
        <x:v>2</x:v>
      </x:c>
      <x:c r="F499" t="str">
        <x:v>FINAL</x:v>
      </x:c>
      <x:c r="G499" t="n">
        <x:v>2</x:v>
      </x:c>
      <x:c r="H499" s="54" t="n">
        <x:v>4.75</x:v>
      </x:c>
      <x:c r="I499" s="54" t="n">
        <x:v>0.29972</x:v>
      </x:c>
      <x:c r="J499" s="54" t="n">
        <x:v>0.30308</x:v>
      </x:c>
      <x:c r="K499" s="54" t="n">
        <x:v>0.12527</x:v>
      </x:c>
      <x:c r="L499" s="54" t="n">
        <x:v>0.22063</x:v>
      </x:c>
      <x:c r="M499" s="54" t="n">
        <x:v>0.39714</x:v>
      </x:c>
      <x:c r="N499" s="56" t="n">
        <x:v>-0.09</x:v>
      </x:c>
      <x:c r="O499" s="56" t="n">
        <x:v>5.52</x:v>
      </x:c>
      <x:c r="P499" s="56" t="n">
        <x:v>6.36</x:v>
      </x:c>
      <x:c r="Q499" s="56" t="n">
        <x:v>76.9</x:v>
      </x:c>
      <x:c r="R499" t="str">
        <x:v>X</x:v>
      </x:c>
      <x:c r="S499" s="102" t="n">
        <x:v>100</x:v>
      </x:c>
      <x:c r="T499" t="str">
        <x:v>IN TARGET BAND</x:v>
      </x:c>
      <x:c r="U499" t="n">
        <x:v>2180</x:v>
      </x:c>
      <x:c r="V499" t="str">
        <x:v>Pasted text(56).txt</x:v>
      </x:c>
    </x:row>
    <x:row r="500">
      <x:c r="A500" t="str">
        <x:v>S06</x:v>
      </x:c>
      <x:c r="B500" t="str">
        <x:v>0.30 low-amplitude limit validation</x:v>
      </x:c>
      <x:c r="C500" s="54" t="n">
        <x:v>0.3</x:v>
      </x:c>
      <x:c r="D500" t="n">
        <x:v>3</x:v>
      </x:c>
      <x:c r="E500" t="n">
        <x:v>1</x:v>
      </x:c>
      <x:c r="F500" t="str">
        <x:v>SEARCH</x:v>
      </x:c>
      <x:c r="G500" t="n">
        <x:v>1</x:v>
      </x:c>
      <x:c r="H500" s="54" t="n">
        <x:v>1</x:v>
      </x:c>
      <x:c r="I500" s="54" t="n">
        <x:v>0.01506</x:v>
      </x:c>
      <x:c r="J500" s="54" t="n">
        <x:v>0.01571</x:v>
      </x:c>
      <x:c r="K500" s="54" t="n">
        <x:v>0.02067</x:v>
      </x:c>
      <x:c r="L500" s="54" t="n">
        <x:v>0.01645</x:v>
      </x:c>
      <x:c r="M500" s="54" t="n">
        <x:v>0.03159</x:v>
      </x:c>
      <x:c r="N500" s="56" t="n">
        <x:v>-94.98</x:v>
      </x:c>
      <x:c r="O500" s="56" t="n">
        <x:v>59.29</x:v>
      </x:c>
      <x:c r="P500" s="56" t="n">
        <x:v>44.64</x:v>
      </x:c>
      <x:c r="Q500" s="56" t="n">
        <x:v>10</x:v>
      </x:c>
      <x:c r="R500" t="str">
        <x:v>Y</x:v>
      </x:c>
      <x:c r="S500" s="102" t="n">
        <x:v>76</x:v>
      </x:c>
      <x:c r="T500" t="str">
        <x:v>BELOW MEASUREMENT FLOOR — SEARCH CONTINUES</x:v>
      </x:c>
      <x:c r="U500" t="n">
        <x:v>2236</x:v>
      </x:c>
      <x:c r="V500" t="str">
        <x:v>Pasted text(56).txt</x:v>
      </x:c>
    </x:row>
    <x:row r="501">
      <x:c r="A501" t="str">
        <x:v>S06</x:v>
      </x:c>
      <x:c r="B501" t="str">
        <x:v>0.30 low-amplitude limit validation</x:v>
      </x:c>
      <x:c r="C501" s="54" t="n">
        <x:v>0.3</x:v>
      </x:c>
      <x:c r="D501" t="n">
        <x:v>3</x:v>
      </x:c>
      <x:c r="E501" t="n">
        <x:v>1</x:v>
      </x:c>
      <x:c r="F501" t="str">
        <x:v>SEARCH</x:v>
      </x:c>
      <x:c r="G501" t="n">
        <x:v>2</x:v>
      </x:c>
      <x:c r="H501" s="54" t="n">
        <x:v>3</x:v>
      </x:c>
      <x:c r="I501" s="54" t="n">
        <x:v>0.13864</x:v>
      </x:c>
      <x:c r="J501" s="54" t="n">
        <x:v>0.13391</x:v>
      </x:c>
      <x:c r="K501" s="54" t="n">
        <x:v>0.06242</x:v>
      </x:c>
      <x:c r="L501" s="54" t="n">
        <x:v>0.11717</x:v>
      </x:c>
      <x:c r="M501" s="54" t="n">
        <x:v>0.18961</x:v>
      </x:c>
      <x:c r="N501" s="56" t="n">
        <x:v>-53.79</x:v>
      </x:c>
      <x:c r="O501" s="56" t="n">
        <x:v>1.58</x:v>
      </x:c>
      <x:c r="P501" s="56" t="n">
        <x:v>7.1</x:v>
      </x:c>
      <x:c r="Q501" s="56" t="n">
        <x:v>52.1</x:v>
      </x:c>
      <x:c r="R501" t="str">
        <x:v>X</x:v>
      </x:c>
      <x:c r="S501" s="102" t="n">
        <x:v>100</x:v>
      </x:c>
      <x:c r="T501" t="str">
        <x:v>VALID</x:v>
      </x:c>
      <x:c r="U501" t="n">
        <x:v>2237</x:v>
      </x:c>
      <x:c r="V501" t="str">
        <x:v>Pasted text(56).txt</x:v>
      </x:c>
    </x:row>
    <x:row r="502">
      <x:c r="A502" t="str">
        <x:v>S06</x:v>
      </x:c>
      <x:c r="B502" t="str">
        <x:v>0.30 low-amplitude limit validation</x:v>
      </x:c>
      <x:c r="C502" s="54" t="n">
        <x:v>0.3</x:v>
      </x:c>
      <x:c r="D502" t="n">
        <x:v>3</x:v>
      </x:c>
      <x:c r="E502" t="n">
        <x:v>1</x:v>
      </x:c>
      <x:c r="F502" t="str">
        <x:v>SEARCH</x:v>
      </x:c>
      <x:c r="G502" t="n">
        <x:v>3</x:v>
      </x:c>
      <x:c r="H502" s="54" t="n">
        <x:v>4</x:v>
      </x:c>
      <x:c r="I502" s="54" t="n">
        <x:v>0.218</x:v>
      </x:c>
      <x:c r="J502" s="54" t="n">
        <x:v>0.22306</x:v>
      </x:c>
      <x:c r="K502" s="54" t="n">
        <x:v>0.09876</x:v>
      </x:c>
      <x:c r="L502" s="54" t="n">
        <x:v>0.17411</x:v>
      </x:c>
      <x:c r="M502" s="54" t="n">
        <x:v>0.30015</x:v>
      </x:c>
      <x:c r="N502" s="56" t="n">
        <x:v>-27.33</x:v>
      </x:c>
      <x:c r="O502" s="56" t="n">
        <x:v>0.73</x:v>
      </x:c>
      <x:c r="P502" s="56" t="n">
        <x:v>4.35</x:v>
      </x:c>
      <x:c r="Q502" s="56" t="n">
        <x:v>69.2</x:v>
      </x:c>
      <x:c r="R502" t="str">
        <x:v>X</x:v>
      </x:c>
      <x:c r="S502" s="102" t="n">
        <x:v>100</x:v>
      </x:c>
      <x:c r="T502" t="str">
        <x:v>VALID</x:v>
      </x:c>
      <x:c r="U502" t="n">
        <x:v>2238</x:v>
      </x:c>
      <x:c r="V502" t="str">
        <x:v>Pasted text(56).txt</x:v>
      </x:c>
    </x:row>
    <x:row r="503">
      <x:c r="A503" t="str">
        <x:v>S06</x:v>
      </x:c>
      <x:c r="B503" t="str">
        <x:v>0.30 low-amplitude limit validation</x:v>
      </x:c>
      <x:c r="C503" s="54" t="n">
        <x:v>0.3</x:v>
      </x:c>
      <x:c r="D503" t="n">
        <x:v>3</x:v>
      </x:c>
      <x:c r="E503" t="n">
        <x:v>1</x:v>
      </x:c>
      <x:c r="F503" t="str">
        <x:v>SEARCH</x:v>
      </x:c>
      <x:c r="G503" t="n">
        <x:v>4</x:v>
      </x:c>
      <x:c r="H503" s="54" t="n">
        <x:v>4.5</x:v>
      </x:c>
      <x:c r="I503" s="54" t="n">
        <x:v>0.25993</x:v>
      </x:c>
      <x:c r="J503" s="54" t="n">
        <x:v>0.26578</x:v>
      </x:c>
      <x:c r="K503" s="54" t="n">
        <x:v>0.10453</x:v>
      </x:c>
      <x:c r="L503" s="54" t="n">
        <x:v>0.18703</x:v>
      </x:c>
      <x:c r="M503" s="54" t="n">
        <x:v>0.34225</x:v>
      </x:c>
      <x:c r="N503" s="56" t="n">
        <x:v>-13.36</x:v>
      </x:c>
      <x:c r="O503" s="56" t="n">
        <x:v>2.09</x:v>
      </x:c>
      <x:c r="P503" s="56" t="n">
        <x:v>5.05</x:v>
      </x:c>
      <x:c r="Q503" s="56" t="n">
        <x:v>77.5</x:v>
      </x:c>
      <x:c r="R503" t="str">
        <x:v>X</x:v>
      </x:c>
      <x:c r="S503" s="102" t="n">
        <x:v>100</x:v>
      </x:c>
      <x:c r="T503" t="str">
        <x:v>VALID</x:v>
      </x:c>
      <x:c r="U503" t="n">
        <x:v>2239</x:v>
      </x:c>
      <x:c r="V503" t="str">
        <x:v>Pasted text(56).txt</x:v>
      </x:c>
    </x:row>
    <x:row r="504">
      <x:c r="A504" t="str">
        <x:v>S06</x:v>
      </x:c>
      <x:c r="B504" t="str">
        <x:v>0.30 low-amplitude limit validation</x:v>
      </x:c>
      <x:c r="C504" s="54" t="n">
        <x:v>0.3</x:v>
      </x:c>
      <x:c r="D504" t="n">
        <x:v>3</x:v>
      </x:c>
      <x:c r="E504" t="n">
        <x:v>1</x:v>
      </x:c>
      <x:c r="F504" t="str">
        <x:v>SEARCH</x:v>
      </x:c>
      <x:c r="G504" t="n">
        <x:v>5</x:v>
      </x:c>
      <x:c r="H504" s="54" t="n">
        <x:v>4.75</x:v>
      </x:c>
      <x:c r="I504" s="54" t="n">
        <x:v>0.29197</x:v>
      </x:c>
      <x:c r="J504" s="54" t="n">
        <x:v>0.29084</x:v>
      </x:c>
      <x:c r="K504" s="54" t="n">
        <x:v>0.13079</x:v>
      </x:c>
      <x:c r="L504" s="54" t="n">
        <x:v>0.21275</x:v>
      </x:c>
      <x:c r="M504" s="54" t="n">
        <x:v>0.38358</x:v>
      </x:c>
      <x:c r="N504" s="56" t="n">
        <x:v>-2.68</x:v>
      </x:c>
      <x:c r="O504" s="56" t="n">
        <x:v>0.14</x:v>
      </x:c>
      <x:c r="P504" s="56" t="n">
        <x:v>0.76</x:v>
      </x:c>
      <x:c r="Q504" s="56" t="n">
        <x:v>75.9</x:v>
      </x:c>
      <x:c r="R504" t="str">
        <x:v>X</x:v>
      </x:c>
      <x:c r="S504" s="102" t="n">
        <x:v>100</x:v>
      </x:c>
      <x:c r="T504" t="str">
        <x:v>IN TARGET BAND</x:v>
      </x:c>
      <x:c r="U504" t="n">
        <x:v>2240</x:v>
      </x:c>
      <x:c r="V504" t="str">
        <x:v>Pasted text(56).txt</x:v>
      </x:c>
    </x:row>
    <x:row r="505">
      <x:c r="A505" t="str">
        <x:v>S06</x:v>
      </x:c>
      <x:c r="B505" t="str">
        <x:v>0.30 low-amplitude limit validation</x:v>
      </x:c>
      <x:c r="C505" s="54" t="n">
        <x:v>0.3</x:v>
      </x:c>
      <x:c r="D505" t="n">
        <x:v>3</x:v>
      </x:c>
      <x:c r="E505" t="n">
        <x:v>1</x:v>
      </x:c>
      <x:c r="F505" t="str">
        <x:v>FINE</x:v>
      </x:c>
      <x:c r="G505" t="n">
        <x:v>1</x:v>
      </x:c>
      <x:c r="H505" s="54" t="n">
        <x:v>3.75</x:v>
      </x:c>
      <x:c r="I505" s="54" t="n">
        <x:v>0.21803</x:v>
      </x:c>
      <x:c r="J505" s="54" t="n">
        <x:v>0.21359</x:v>
      </x:c>
      <x:c r="K505" s="54" t="n">
        <x:v>0.09043</x:v>
      </x:c>
      <x:c r="L505" s="54" t="n">
        <x:v>0.14321</x:v>
      </x:c>
      <x:c r="M505" s="54" t="n">
        <x:v>0.27293</x:v>
      </x:c>
      <x:c r="N505" s="56" t="n">
        <x:v>-27.32</x:v>
      </x:c>
      <x:c r="O505" s="56" t="n">
        <x:v>5.53</x:v>
      </x:c>
      <x:c r="P505" s="56" t="n">
        <x:v>7.16</x:v>
      </x:c>
      <x:c r="Q505" s="56" t="n">
        <x:v>65.3</x:v>
      </x:c>
      <x:c r="R505" t="str">
        <x:v>X</x:v>
      </x:c>
      <x:c r="S505" s="102" t="n">
        <x:v>100</x:v>
      </x:c>
      <x:c r="T505" t="str">
        <x:v>VALID</x:v>
      </x:c>
      <x:c r="U505" t="n">
        <x:v>2244</x:v>
      </x:c>
      <x:c r="V505" t="str">
        <x:v>Pasted text(56).txt</x:v>
      </x:c>
    </x:row>
    <x:row r="506">
      <x:c r="A506" t="str">
        <x:v>S06</x:v>
      </x:c>
      <x:c r="B506" t="str">
        <x:v>0.30 low-amplitude limit validation</x:v>
      </x:c>
      <x:c r="C506" s="54" t="n">
        <x:v>0.3</x:v>
      </x:c>
      <x:c r="D506" t="n">
        <x:v>3</x:v>
      </x:c>
      <x:c r="E506" t="n">
        <x:v>1</x:v>
      </x:c>
      <x:c r="F506" t="str">
        <x:v>FINE</x:v>
      </x:c>
      <x:c r="G506" t="n">
        <x:v>2</x:v>
      </x:c>
      <x:c r="H506" s="54" t="n">
        <x:v>4</x:v>
      </x:c>
      <x:c r="I506" s="54" t="n">
        <x:v>0.22725</x:v>
      </x:c>
      <x:c r="J506" s="54" t="n">
        <x:v>0.23824</x:v>
      </x:c>
      <x:c r="K506" s="54" t="n">
        <x:v>0.09736</x:v>
      </x:c>
      <x:c r="L506" s="54" t="n">
        <x:v>0.16493</x:v>
      </x:c>
      <x:c r="M506" s="54" t="n">
        <x:v>0.306</x:v>
      </x:c>
      <x:c r="N506" s="56" t="n">
        <x:v>-24.25</x:v>
      </x:c>
      <x:c r="O506" s="56" t="n">
        <x:v>1.78</x:v>
      </x:c>
      <x:c r="P506" s="56" t="n">
        <x:v>9</x:v>
      </x:c>
      <x:c r="Q506" s="56" t="n">
        <x:v>73.4</x:v>
      </x:c>
      <x:c r="R506" t="str">
        <x:v>X</x:v>
      </x:c>
      <x:c r="S506" s="102" t="n">
        <x:v>100</x:v>
      </x:c>
      <x:c r="T506" t="str">
        <x:v>VALID</x:v>
      </x:c>
      <x:c r="U506" t="n">
        <x:v>2245</x:v>
      </x:c>
      <x:c r="V506" t="str">
        <x:v>Pasted text(56).txt</x:v>
      </x:c>
    </x:row>
    <x:row r="507">
      <x:c r="A507" t="str">
        <x:v>S06</x:v>
      </x:c>
      <x:c r="B507" t="str">
        <x:v>0.30 low-amplitude limit validation</x:v>
      </x:c>
      <x:c r="C507" s="54" t="n">
        <x:v>0.3</x:v>
      </x:c>
      <x:c r="D507" t="n">
        <x:v>3</x:v>
      </x:c>
      <x:c r="E507" t="n">
        <x:v>1</x:v>
      </x:c>
      <x:c r="F507" t="str">
        <x:v>FINE</x:v>
      </x:c>
      <x:c r="G507" t="n">
        <x:v>3</x:v>
      </x:c>
      <x:c r="H507" s="54" t="n">
        <x:v>4.25</x:v>
      </x:c>
      <x:c r="I507" s="54" t="n">
        <x:v>0.24472</x:v>
      </x:c>
      <x:c r="J507" s="54" t="n">
        <x:v>0.24681</x:v>
      </x:c>
      <x:c r="K507" s="54" t="n">
        <x:v>0.09541</x:v>
      </x:c>
      <x:c r="L507" s="54" t="n">
        <x:v>0.1541</x:v>
      </x:c>
      <x:c r="M507" s="54" t="n">
        <x:v>0.30642</x:v>
      </x:c>
      <x:c r="N507" s="56" t="n">
        <x:v>-18.43</x:v>
      </x:c>
      <x:c r="O507" s="56" t="n">
        <x:v>0.11</x:v>
      </x:c>
      <x:c r="P507" s="56" t="n">
        <x:v>1.53</x:v>
      </x:c>
      <x:c r="Q507" s="56" t="n">
        <x:v>72.5</x:v>
      </x:c>
      <x:c r="R507" t="str">
        <x:v>X</x:v>
      </x:c>
      <x:c r="S507" s="102" t="n">
        <x:v>100</x:v>
      </x:c>
      <x:c r="T507" t="str">
        <x:v>VALID</x:v>
      </x:c>
      <x:c r="U507" t="n">
        <x:v>2246</x:v>
      </x:c>
      <x:c r="V507" t="str">
        <x:v>Pasted text(56).txt</x:v>
      </x:c>
    </x:row>
    <x:row r="508">
      <x:c r="A508" t="str">
        <x:v>S06</x:v>
      </x:c>
      <x:c r="B508" t="str">
        <x:v>0.30 low-amplitude limit validation</x:v>
      </x:c>
      <x:c r="C508" s="54" t="n">
        <x:v>0.3</x:v>
      </x:c>
      <x:c r="D508" t="n">
        <x:v>3</x:v>
      </x:c>
      <x:c r="E508" t="n">
        <x:v>1</x:v>
      </x:c>
      <x:c r="F508" t="str">
        <x:v>FINE</x:v>
      </x:c>
      <x:c r="G508" t="n">
        <x:v>4</x:v>
      </x:c>
      <x:c r="H508" s="54" t="n">
        <x:v>4.5</x:v>
      </x:c>
      <x:c r="I508" s="54" t="n">
        <x:v>0.26561</x:v>
      </x:c>
      <x:c r="J508" s="54" t="n">
        <x:v>0.26657</x:v>
      </x:c>
      <x:c r="K508" s="54" t="n">
        <x:v>0.10798</x:v>
      </x:c>
      <x:c r="L508" s="54" t="n">
        <x:v>0.18175</x:v>
      </x:c>
      <x:c r="M508" s="54" t="n">
        <x:v>0.34038</x:v>
      </x:c>
      <x:c r="N508" s="56" t="n">
        <x:v>-11.46</x:v>
      </x:c>
      <x:c r="O508" s="56" t="n">
        <x:v>6.7</x:v>
      </x:c>
      <x:c r="P508" s="56" t="n">
        <x:v>5.05</x:v>
      </x:c>
      <x:c r="Q508" s="56" t="n">
        <x:v>74.2</x:v>
      </x:c>
      <x:c r="R508" t="str">
        <x:v>X</x:v>
      </x:c>
      <x:c r="S508" s="102" t="n">
        <x:v>100</x:v>
      </x:c>
      <x:c r="T508" t="str">
        <x:v>VALID</x:v>
      </x:c>
      <x:c r="U508" t="n">
        <x:v>2247</x:v>
      </x:c>
      <x:c r="V508" t="str">
        <x:v>Pasted text(56).txt</x:v>
      </x:c>
    </x:row>
    <x:row r="509">
      <x:c r="A509" t="str">
        <x:v>S06</x:v>
      </x:c>
      <x:c r="B509" t="str">
        <x:v>0.30 low-amplitude limit validation</x:v>
      </x:c>
      <x:c r="C509" s="54" t="n">
        <x:v>0.3</x:v>
      </x:c>
      <x:c r="D509" t="n">
        <x:v>3</x:v>
      </x:c>
      <x:c r="E509" t="n">
        <x:v>1</x:v>
      </x:c>
      <x:c r="F509" t="str">
        <x:v>FINE</x:v>
      </x:c>
      <x:c r="G509" t="n">
        <x:v>5</x:v>
      </x:c>
      <x:c r="H509" s="54" t="n">
        <x:v>4.75</x:v>
      </x:c>
      <x:c r="I509" s="54" t="n">
        <x:v>0.31683</x:v>
      </x:c>
      <x:c r="J509" s="54" t="n">
        <x:v>0.30442</x:v>
      </x:c>
      <x:c r="K509" s="54" t="n">
        <x:v>0.13223</x:v>
      </x:c>
      <x:c r="L509" s="54" t="n">
        <x:v>0.18874</x:v>
      </x:c>
      <x:c r="M509" s="54" t="n">
        <x:v>0.38212</x:v>
      </x:c>
      <x:c r="N509" s="56" t="n">
        <x:v>5.61</x:v>
      </x:c>
      <x:c r="O509" s="56" t="n">
        <x:v>2.74</x:v>
      </x:c>
      <x:c r="P509" s="56" t="n">
        <x:v>8.78</x:v>
      </x:c>
      <x:c r="Q509" s="56" t="n">
        <x:v>78.1</x:v>
      </x:c>
      <x:c r="R509" t="str">
        <x:v>X</x:v>
      </x:c>
      <x:c r="S509" s="102" t="n">
        <x:v>100</x:v>
      </x:c>
      <x:c r="T509" t="str">
        <x:v>IN TARGET BAND</x:v>
      </x:c>
      <x:c r="U509" t="n">
        <x:v>2248</x:v>
      </x:c>
      <x:c r="V509" t="str">
        <x:v>Pasted text(56).txt</x:v>
      </x:c>
    </x:row>
    <x:row r="510">
      <x:c r="A510" t="str">
        <x:v>S06</x:v>
      </x:c>
      <x:c r="B510" t="str">
        <x:v>0.30 low-amplitude limit validation</x:v>
      </x:c>
      <x:c r="C510" s="54" t="n">
        <x:v>0.3</x:v>
      </x:c>
      <x:c r="D510" t="n">
        <x:v>3</x:v>
      </x:c>
      <x:c r="E510" t="n">
        <x:v>1</x:v>
      </x:c>
      <x:c r="F510" t="str">
        <x:v>FINE</x:v>
      </x:c>
      <x:c r="G510" t="n">
        <x:v>6</x:v>
      </x:c>
      <x:c r="H510" s="54" t="n">
        <x:v>5</x:v>
      </x:c>
      <x:c r="I510" s="54" t="n">
        <x:v>0.32852</x:v>
      </x:c>
      <x:c r="J510" s="54" t="n">
        <x:v>0.33259</x:v>
      </x:c>
      <x:c r="K510" s="54" t="n">
        <x:v>0.12763</x:v>
      </x:c>
      <x:c r="L510" s="54" t="n">
        <x:v>0.22541</x:v>
      </x:c>
      <x:c r="M510" s="54" t="n">
        <x:v>0.4223</x:v>
      </x:c>
      <x:c r="N510" s="56" t="n">
        <x:v>9.51</x:v>
      </x:c>
      <x:c r="O510" s="56" t="n">
        <x:v>1.65</x:v>
      </x:c>
      <x:c r="P510" s="56" t="n">
        <x:v>3.12</x:v>
      </x:c>
      <x:c r="Q510" s="56" t="n">
        <x:v>80.9</x:v>
      </x:c>
      <x:c r="R510" t="str">
        <x:v>X</x:v>
      </x:c>
      <x:c r="S510" s="102" t="n">
        <x:v>100</x:v>
      </x:c>
      <x:c r="T510" t="str">
        <x:v>VALID</x:v>
      </x:c>
      <x:c r="U510" t="n">
        <x:v>2249</x:v>
      </x:c>
      <x:c r="V510" t="str">
        <x:v>Pasted text(56).txt</x:v>
      </x:c>
    </x:row>
    <x:row r="511">
      <x:c r="A511" t="str">
        <x:v>S06</x:v>
      </x:c>
      <x:c r="B511" t="str">
        <x:v>0.30 low-amplitude limit validation</x:v>
      </x:c>
      <x:c r="C511" s="54" t="n">
        <x:v>0.3</x:v>
      </x:c>
      <x:c r="D511" t="n">
        <x:v>3</x:v>
      </x:c>
      <x:c r="E511" t="n">
        <x:v>1</x:v>
      </x:c>
      <x:c r="F511" t="str">
        <x:v>FINE</x:v>
      </x:c>
      <x:c r="G511" t="n">
        <x:v>7</x:v>
      </x:c>
      <x:c r="H511" s="54" t="n">
        <x:v>5.25</x:v>
      </x:c>
      <x:c r="I511" s="54" t="n">
        <x:v>0.3525</x:v>
      </x:c>
      <x:c r="J511" s="54" t="n">
        <x:v>0.35112</x:v>
      </x:c>
      <x:c r="K511" s="54" t="n">
        <x:v>0.1476</x:v>
      </x:c>
      <x:c r="L511" s="54" t="n">
        <x:v>0.229</x:v>
      </x:c>
      <x:c r="M511" s="54" t="n">
        <x:v>0.4445</x:v>
      </x:c>
      <x:c r="N511" s="56" t="n">
        <x:v>17.5</x:v>
      </x:c>
      <x:c r="O511" s="56" t="n">
        <x:v>2.23</x:v>
      </x:c>
      <x:c r="P511" s="56" t="n">
        <x:v>2.13</x:v>
      </x:c>
      <x:c r="Q511" s="56" t="n">
        <x:v>84.2</x:v>
      </x:c>
      <x:c r="R511" t="str">
        <x:v>X</x:v>
      </x:c>
      <x:c r="S511" s="102" t="n">
        <x:v>100</x:v>
      </x:c>
      <x:c r="T511" t="str">
        <x:v>VALID</x:v>
      </x:c>
      <x:c r="U511" t="n">
        <x:v>2250</x:v>
      </x:c>
      <x:c r="V511" t="str">
        <x:v>Pasted text(56).txt</x:v>
      </x:c>
    </x:row>
    <x:row r="512">
      <x:c r="A512" t="str">
        <x:v>S06</x:v>
      </x:c>
      <x:c r="B512" t="str">
        <x:v>0.30 low-amplitude limit validation</x:v>
      </x:c>
      <x:c r="C512" s="54" t="n">
        <x:v>0.3</x:v>
      </x:c>
      <x:c r="D512" t="n">
        <x:v>3</x:v>
      </x:c>
      <x:c r="E512" t="n">
        <x:v>1</x:v>
      </x:c>
      <x:c r="F512" t="str">
        <x:v>FINE</x:v>
      </x:c>
      <x:c r="G512" t="n">
        <x:v>8</x:v>
      </x:c>
      <x:c r="H512" s="54" t="n">
        <x:v>5.5</x:v>
      </x:c>
      <x:c r="I512" s="54" t="n">
        <x:v>0.3612</x:v>
      </x:c>
      <x:c r="J512" s="54" t="n">
        <x:v>0.36007</x:v>
      </x:c>
      <x:c r="K512" s="54" t="n">
        <x:v>0.13568</x:v>
      </x:c>
      <x:c r="L512" s="54" t="n">
        <x:v>0.24267</x:v>
      </x:c>
      <x:c r="M512" s="54" t="n">
        <x:v>0.45525</x:v>
      </x:c>
      <x:c r="N512" s="56" t="n">
        <x:v>20.4</x:v>
      </x:c>
      <x:c r="O512" s="56" t="n">
        <x:v>1.35</x:v>
      </x:c>
      <x:c r="P512" s="56" t="n">
        <x:v>1.41</x:v>
      </x:c>
      <x:c r="Q512" s="56" t="n">
        <x:v>81.5</x:v>
      </x:c>
      <x:c r="R512" t="str">
        <x:v>X</x:v>
      </x:c>
      <x:c r="S512" s="102" t="n">
        <x:v>100</x:v>
      </x:c>
      <x:c r="T512" t="str">
        <x:v>VALID</x:v>
      </x:c>
      <x:c r="U512" t="n">
        <x:v>2251</x:v>
      </x:c>
      <x:c r="V512" t="str">
        <x:v>Pasted text(56).txt</x:v>
      </x:c>
    </x:row>
    <x:row r="513">
      <x:c r="A513" t="str">
        <x:v>S06</x:v>
      </x:c>
      <x:c r="B513" t="str">
        <x:v>0.30 low-amplitude limit validation</x:v>
      </x:c>
      <x:c r="C513" s="54" t="n">
        <x:v>0.3</x:v>
      </x:c>
      <x:c r="D513" t="n">
        <x:v>3</x:v>
      </x:c>
      <x:c r="E513" t="n">
        <x:v>1</x:v>
      </x:c>
      <x:c r="F513" t="str">
        <x:v>FINE</x:v>
      </x:c>
      <x:c r="G513" t="n">
        <x:v>9</x:v>
      </x:c>
      <x:c r="H513" s="54" t="n">
        <x:v>5.75</x:v>
      </x:c>
      <x:c r="I513" s="54" t="n">
        <x:v>0.41442</x:v>
      </x:c>
      <x:c r="J513" s="54" t="n">
        <x:v>0.41521</x:v>
      </x:c>
      <x:c r="K513" s="54" t="n">
        <x:v>0.17605</x:v>
      </x:c>
      <x:c r="L513" s="54" t="n">
        <x:v>0.26707</x:v>
      </x:c>
      <x:c r="M513" s="54" t="n">
        <x:v>0.52432</x:v>
      </x:c>
      <x:c r="N513" s="56" t="n">
        <x:v>38.14</x:v>
      </x:c>
      <x:c r="O513" s="56" t="n">
        <x:v>3.33</x:v>
      </x:c>
      <x:c r="P513" s="56" t="n">
        <x:v>2.53</x:v>
      </x:c>
      <x:c r="Q513" s="56" t="n">
        <x:v>85.5</x:v>
      </x:c>
      <x:c r="R513" t="str">
        <x:v>X</x:v>
      </x:c>
      <x:c r="S513" s="102" t="n">
        <x:v>100</x:v>
      </x:c>
      <x:c r="T513" t="str">
        <x:v>VALID</x:v>
      </x:c>
      <x:c r="U513" t="n">
        <x:v>2252</x:v>
      </x:c>
      <x:c r="V513" t="str">
        <x:v>Pasted text(56).txt</x:v>
      </x:c>
    </x:row>
    <x:row r="514">
      <x:c r="A514" t="str">
        <x:v>S06</x:v>
      </x:c>
      <x:c r="B514" t="str">
        <x:v>0.30 low-amplitude limit validation</x:v>
      </x:c>
      <x:c r="C514" s="54" t="n">
        <x:v>0.3</x:v>
      </x:c>
      <x:c r="D514" t="n">
        <x:v>3</x:v>
      </x:c>
      <x:c r="E514" t="n">
        <x:v>1</x:v>
      </x:c>
      <x:c r="F514" t="str">
        <x:v>FINAL</x:v>
      </x:c>
      <x:c r="G514" t="n">
        <x:v>1</x:v>
      </x:c>
      <x:c r="H514" s="54" t="n">
        <x:v>4.75</x:v>
      </x:c>
      <x:c r="I514" s="54" t="n">
        <x:v>0.30991</x:v>
      </x:c>
      <x:c r="J514" s="54" t="n">
        <x:v>0.30939</x:v>
      </x:c>
      <x:c r="K514" s="54" t="n">
        <x:v>0.12249</x:v>
      </x:c>
      <x:c r="L514" s="54" t="n">
        <x:v>0.20039</x:v>
      </x:c>
      <x:c r="M514" s="54" t="n">
        <x:v>0.38943</x:v>
      </x:c>
      <x:c r="N514" s="56" t="n">
        <x:v>3.3</x:v>
      </x:c>
      <x:c r="O514" s="56" t="n">
        <x:v>0.9</x:v>
      </x:c>
      <x:c r="P514" s="56" t="n">
        <x:v>1.45</x:v>
      </x:c>
      <x:c r="Q514" s="56" t="n">
        <x:v>77.7</x:v>
      </x:c>
      <x:c r="R514" t="str">
        <x:v>X</x:v>
      </x:c>
      <x:c r="S514" s="102" t="n">
        <x:v>100</x:v>
      </x:c>
      <x:c r="T514" t="str">
        <x:v>IN TARGET BAND</x:v>
      </x:c>
      <x:c r="U514" t="n">
        <x:v>2255</x:v>
      </x:c>
      <x:c r="V514" t="str">
        <x:v>Pasted text(56).txt</x:v>
      </x:c>
    </x:row>
    <x:row r="515">
      <x:c r="A515" t="str">
        <x:v>S06</x:v>
      </x:c>
      <x:c r="B515" t="str">
        <x:v>0.30 low-amplitude limit validation</x:v>
      </x:c>
      <x:c r="C515" s="54" t="n">
        <x:v>0.3</x:v>
      </x:c>
      <x:c r="D515" t="n">
        <x:v>3</x:v>
      </x:c>
      <x:c r="E515" t="n">
        <x:v>1</x:v>
      </x:c>
      <x:c r="F515" t="str">
        <x:v>FINAL</x:v>
      </x:c>
      <x:c r="G515" t="n">
        <x:v>2</x:v>
      </x:c>
      <x:c r="H515" s="54" t="n">
        <x:v>4.75</x:v>
      </x:c>
      <x:c r="I515" s="54" t="n">
        <x:v>0.30702</x:v>
      </x:c>
      <x:c r="J515" s="54" t="n">
        <x:v>0.30592</x:v>
      </x:c>
      <x:c r="K515" s="54" t="n">
        <x:v>0.12707</x:v>
      </x:c>
      <x:c r="L515" s="54" t="n">
        <x:v>0.21909</x:v>
      </x:c>
      <x:c r="M515" s="54" t="n">
        <x:v>0.39801</x:v>
      </x:c>
      <x:c r="N515" s="56" t="n">
        <x:v>2.34</x:v>
      </x:c>
      <x:c r="O515" s="56" t="n">
        <x:v>4.8</x:v>
      </x:c>
      <x:c r="P515" s="56" t="n">
        <x:v>4.11</x:v>
      </x:c>
      <x:c r="Q515" s="56" t="n">
        <x:v>76</x:v>
      </x:c>
      <x:c r="R515" t="str">
        <x:v>X</x:v>
      </x:c>
      <x:c r="S515" s="102" t="n">
        <x:v>100</x:v>
      </x:c>
      <x:c r="T515" t="str">
        <x:v>IN TARGET BAND</x:v>
      </x:c>
      <x:c r="U515" t="n">
        <x:v>2256</x:v>
      </x:c>
      <x:c r="V515" t="str">
        <x:v>Pasted text(56).txt</x:v>
      </x:c>
    </x:row>
    <x:row r="516">
      <x:c r="A516" t="str">
        <x:v>S06</x:v>
      </x:c>
      <x:c r="B516" t="str">
        <x:v>0.30 low-amplitude limit validation</x:v>
      </x:c>
      <x:c r="C516" s="54" t="n">
        <x:v>0.3</x:v>
      </x:c>
      <x:c r="D516" t="n">
        <x:v>4</x:v>
      </x:c>
      <x:c r="E516" t="n">
        <x:v>1</x:v>
      </x:c>
      <x:c r="F516" t="str">
        <x:v>SEARCH</x:v>
      </x:c>
      <x:c r="G516" t="n">
        <x:v>1</x:v>
      </x:c>
      <x:c r="H516" s="54" t="n">
        <x:v>1</x:v>
      </x:c>
      <x:c r="I516" s="54" t="n">
        <x:v>0.01636</x:v>
      </x:c>
      <x:c r="J516" s="54" t="n">
        <x:v>0.01468</x:v>
      </x:c>
      <x:c r="K516" s="54" t="n">
        <x:v>0.01976</x:v>
      </x:c>
      <x:c r="L516" s="54" t="n">
        <x:v>0.01781</x:v>
      </x:c>
      <x:c r="M516" s="54" t="n">
        <x:v>0.0318</x:v>
      </x:c>
      <x:c r="N516" s="56" t="n">
        <x:v>-94.55</x:v>
      </x:c>
      <x:c r="O516" s="56" t="n">
        <x:v>30.46</x:v>
      </x:c>
      <x:c r="P516" s="56" t="n">
        <x:v>16.19</x:v>
      </x:c>
      <x:c r="Q516" s="56" t="n">
        <x:v>7.7</x:v>
      </x:c>
      <x:c r="R516" t="str">
        <x:v>Y</x:v>
      </x:c>
      <x:c r="S516" s="102" t="n">
        <x:v>74.3</x:v>
      </x:c>
      <x:c r="T516" t="str">
        <x:v>BELOW MEASUREMENT FLOOR — SEARCH CONTINUES</x:v>
      </x:c>
      <x:c r="U516" t="n">
        <x:v>2312</x:v>
      </x:c>
      <x:c r="V516" t="str">
        <x:v>Pasted text(56).txt</x:v>
      </x:c>
    </x:row>
    <x:row r="517">
      <x:c r="A517" t="str">
        <x:v>S06</x:v>
      </x:c>
      <x:c r="B517" t="str">
        <x:v>0.30 low-amplitude limit validation</x:v>
      </x:c>
      <x:c r="C517" s="54" t="n">
        <x:v>0.3</x:v>
      </x:c>
      <x:c r="D517" t="n">
        <x:v>4</x:v>
      </x:c>
      <x:c r="E517" t="n">
        <x:v>1</x:v>
      </x:c>
      <x:c r="F517" t="str">
        <x:v>SEARCH</x:v>
      </x:c>
      <x:c r="G517" t="n">
        <x:v>2</x:v>
      </x:c>
      <x:c r="H517" s="54" t="n">
        <x:v>3</x:v>
      </x:c>
      <x:c r="I517" s="54" t="n">
        <x:v>0.14699</x:v>
      </x:c>
      <x:c r="J517" s="54" t="n">
        <x:v>0.14188</x:v>
      </x:c>
      <x:c r="K517" s="54" t="n">
        <x:v>0.05332</x:v>
      </x:c>
      <x:c r="L517" s="54" t="n">
        <x:v>0.0975</x:v>
      </x:c>
      <x:c r="M517" s="54" t="n">
        <x:v>0.18134</x:v>
      </x:c>
      <x:c r="N517" s="56" t="n">
        <x:v>-51</x:v>
      </x:c>
      <x:c r="O517" s="56" t="n">
        <x:v>5.07</x:v>
      </x:c>
      <x:c r="P517" s="56" t="n">
        <x:v>9.47</x:v>
      </x:c>
      <x:c r="Q517" s="56" t="n">
        <x:v>55.2</x:v>
      </x:c>
      <x:c r="R517" t="str">
        <x:v>X</x:v>
      </x:c>
      <x:c r="S517" s="102" t="n">
        <x:v>100</x:v>
      </x:c>
      <x:c r="T517" t="str">
        <x:v>VALID</x:v>
      </x:c>
      <x:c r="U517" t="n">
        <x:v>2313</x:v>
      </x:c>
      <x:c r="V517" t="str">
        <x:v>Pasted text(56).txt</x:v>
      </x:c>
    </x:row>
    <x:row r="518">
      <x:c r="A518" t="str">
        <x:v>S06</x:v>
      </x:c>
      <x:c r="B518" t="str">
        <x:v>0.30 low-amplitude limit validation</x:v>
      </x:c>
      <x:c r="C518" s="54" t="n">
        <x:v>0.3</x:v>
      </x:c>
      <x:c r="D518" t="n">
        <x:v>4</x:v>
      </x:c>
      <x:c r="E518" t="n">
        <x:v>1</x:v>
      </x:c>
      <x:c r="F518" t="str">
        <x:v>SEARCH</x:v>
      </x:c>
      <x:c r="G518" t="n">
        <x:v>3</x:v>
      </x:c>
      <x:c r="H518" s="54" t="n">
        <x:v>4</x:v>
      </x:c>
      <x:c r="I518" s="54" t="n">
        <x:v>0.24893</x:v>
      </x:c>
      <x:c r="J518" s="54" t="n">
        <x:v>0.24085</x:v>
      </x:c>
      <x:c r="K518" s="54" t="n">
        <x:v>0.09951</x:v>
      </x:c>
      <x:c r="L518" s="54" t="n">
        <x:v>0.17037</x:v>
      </x:c>
      <x:c r="M518" s="54" t="n">
        <x:v>0.31181</x:v>
      </x:c>
      <x:c r="N518" s="56" t="n">
        <x:v>-17.02</x:v>
      </x:c>
      <x:c r="O518" s="56" t="n">
        <x:v>3.07</x:v>
      </x:c>
      <x:c r="P518" s="56" t="n">
        <x:v>7.73</x:v>
      </x:c>
      <x:c r="Q518" s="56" t="n">
        <x:v>73.3</x:v>
      </x:c>
      <x:c r="R518" t="str">
        <x:v>X</x:v>
      </x:c>
      <x:c r="S518" s="102" t="n">
        <x:v>100</x:v>
      </x:c>
      <x:c r="T518" t="str">
        <x:v>VALID</x:v>
      </x:c>
      <x:c r="U518" t="n">
        <x:v>2314</x:v>
      </x:c>
      <x:c r="V518" t="str">
        <x:v>Pasted text(56).txt</x:v>
      </x:c>
    </x:row>
    <x:row r="519">
      <x:c r="A519" t="str">
        <x:v>S06</x:v>
      </x:c>
      <x:c r="B519" t="str">
        <x:v>0.30 low-amplitude limit validation</x:v>
      </x:c>
      <x:c r="C519" s="54" t="n">
        <x:v>0.3</x:v>
      </x:c>
      <x:c r="D519" t="n">
        <x:v>4</x:v>
      </x:c>
      <x:c r="E519" t="n">
        <x:v>1</x:v>
      </x:c>
      <x:c r="F519" t="str">
        <x:v>SEARCH</x:v>
      </x:c>
      <x:c r="G519" t="n">
        <x:v>4</x:v>
      </x:c>
      <x:c r="H519" s="54" t="n">
        <x:v>4.5</x:v>
      </x:c>
      <x:c r="I519" s="54" t="n">
        <x:v>0.27213</x:v>
      </x:c>
      <x:c r="J519" s="54" t="n">
        <x:v>0.27201</x:v>
      </x:c>
      <x:c r="K519" s="54" t="n">
        <x:v>0.11085</x:v>
      </x:c>
      <x:c r="L519" s="54" t="n">
        <x:v>0.17732</x:v>
      </x:c>
      <x:c r="M519" s="54" t="n">
        <x:v>0.34314</x:v>
      </x:c>
      <x:c r="N519" s="56" t="n">
        <x:v>-9.29</x:v>
      </x:c>
      <x:c r="O519" s="56" t="n">
        <x:v>1.36</x:v>
      </x:c>
      <x:c r="P519" s="56" t="n">
        <x:v>0.99</x:v>
      </x:c>
      <x:c r="Q519" s="56" t="n">
        <x:v>74.5</x:v>
      </x:c>
      <x:c r="R519" t="str">
        <x:v>X</x:v>
      </x:c>
      <x:c r="S519" s="102" t="n">
        <x:v>100</x:v>
      </x:c>
      <x:c r="T519" t="str">
        <x:v>VALID</x:v>
      </x:c>
      <x:c r="U519" t="n">
        <x:v>2315</x:v>
      </x:c>
      <x:c r="V519" t="str">
        <x:v>Pasted text(56).txt</x:v>
      </x:c>
    </x:row>
    <x:row r="520">
      <x:c r="A520" t="str">
        <x:v>S06</x:v>
      </x:c>
      <x:c r="B520" t="str">
        <x:v>0.30 low-amplitude limit validation</x:v>
      </x:c>
      <x:c r="C520" s="54" t="n">
        <x:v>0.3</x:v>
      </x:c>
      <x:c r="D520" t="n">
        <x:v>4</x:v>
      </x:c>
      <x:c r="E520" t="n">
        <x:v>1</x:v>
      </x:c>
      <x:c r="F520" t="str">
        <x:v>SEARCH</x:v>
      </x:c>
      <x:c r="G520" t="n">
        <x:v>5</x:v>
      </x:c>
      <x:c r="H520" s="54" t="n">
        <x:v>4.75</x:v>
      </x:c>
      <x:c r="I520" s="54" t="n">
        <x:v>0.31235</x:v>
      </x:c>
      <x:c r="J520" s="54" t="n">
        <x:v>0.31402</x:v>
      </x:c>
      <x:c r="K520" s="54" t="n">
        <x:v>0.13794</x:v>
      </x:c>
      <x:c r="L520" s="54" t="n">
        <x:v>0.20508</x:v>
      </x:c>
      <x:c r="M520" s="54" t="n">
        <x:v>0.39986</x:v>
      </x:c>
      <x:c r="N520" s="56" t="n">
        <x:v>4.12</x:v>
      </x:c>
      <x:c r="O520" s="56" t="n">
        <x:v>2.13</x:v>
      </x:c>
      <x:c r="P520" s="56" t="n">
        <x:v>2.27</x:v>
      </x:c>
      <x:c r="Q520" s="56" t="n">
        <x:v>75.3</x:v>
      </x:c>
      <x:c r="R520" t="str">
        <x:v>X</x:v>
      </x:c>
      <x:c r="S520" s="102" t="n">
        <x:v>100</x:v>
      </x:c>
      <x:c r="T520" t="str">
        <x:v>IN TARGET BAND</x:v>
      </x:c>
      <x:c r="U520" t="n">
        <x:v>2316</x:v>
      </x:c>
      <x:c r="V520" t="str">
        <x:v>Pasted text(56).txt</x:v>
      </x:c>
    </x:row>
    <x:row r="521">
      <x:c r="A521" t="str">
        <x:v>S06</x:v>
      </x:c>
      <x:c r="B521" t="str">
        <x:v>0.30 low-amplitude limit validation</x:v>
      </x:c>
      <x:c r="C521" s="54" t="n">
        <x:v>0.3</x:v>
      </x:c>
      <x:c r="D521" t="n">
        <x:v>4</x:v>
      </x:c>
      <x:c r="E521" t="n">
        <x:v>1</x:v>
      </x:c>
      <x:c r="F521" t="str">
        <x:v>FINE</x:v>
      </x:c>
      <x:c r="G521" t="n">
        <x:v>1</x:v>
      </x:c>
      <x:c r="H521" s="54" t="n">
        <x:v>3.75</x:v>
      </x:c>
      <x:c r="I521" s="54" t="n">
        <x:v>0.22488</x:v>
      </x:c>
      <x:c r="J521" s="54" t="n">
        <x:v>0.22438</x:v>
      </x:c>
      <x:c r="K521" s="54" t="n">
        <x:v>0.10502</x:v>
      </x:c>
      <x:c r="L521" s="54" t="n">
        <x:v>0.15671</x:v>
      </x:c>
      <x:c r="M521" s="54" t="n">
        <x:v>0.29468</x:v>
      </x:c>
      <x:c r="N521" s="56" t="n">
        <x:v>-25.04</x:v>
      </x:c>
      <x:c r="O521" s="56" t="n">
        <x:v>10.96</x:v>
      </x:c>
      <x:c r="P521" s="56" t="n">
        <x:v>7.75</x:v>
      </x:c>
      <x:c r="Q521" s="56" t="n">
        <x:v>66.7</x:v>
      </x:c>
      <x:c r="R521" t="str">
        <x:v>X</x:v>
      </x:c>
      <x:c r="S521" s="102" t="n">
        <x:v>100</x:v>
      </x:c>
      <x:c r="T521" t="str">
        <x:v>VALID</x:v>
      </x:c>
      <x:c r="U521" t="n">
        <x:v>2320</x:v>
      </x:c>
      <x:c r="V521" t="str">
        <x:v>Pasted text(56).txt</x:v>
      </x:c>
    </x:row>
    <x:row r="522">
      <x:c r="A522" t="str">
        <x:v>S06</x:v>
      </x:c>
      <x:c r="B522" t="str">
        <x:v>0.30 low-amplitude limit validation</x:v>
      </x:c>
      <x:c r="C522" s="54" t="n">
        <x:v>0.3</x:v>
      </x:c>
      <x:c r="D522" t="n">
        <x:v>4</x:v>
      </x:c>
      <x:c r="E522" t="n">
        <x:v>1</x:v>
      </x:c>
      <x:c r="F522" t="str">
        <x:v>FINE</x:v>
      </x:c>
      <x:c r="G522" t="n">
        <x:v>2</x:v>
      </x:c>
      <x:c r="H522" s="54" t="n">
        <x:v>4</x:v>
      </x:c>
      <x:c r="I522" s="54" t="n">
        <x:v>0.22254</x:v>
      </x:c>
      <x:c r="J522" s="54" t="n">
        <x:v>0.23418</x:v>
      </x:c>
      <x:c r="K522" s="54" t="n">
        <x:v>0.09366</x:v>
      </x:c>
      <x:c r="L522" s="54" t="n">
        <x:v>0.1665</x:v>
      </x:c>
      <x:c r="M522" s="54" t="n">
        <x:v>0.3027</x:v>
      </x:c>
      <x:c r="N522" s="56" t="n">
        <x:v>-25.82</x:v>
      </x:c>
      <x:c r="O522" s="56" t="n">
        <x:v>3.09</x:v>
      </x:c>
      <x:c r="P522" s="56" t="n">
        <x:v>10.37</x:v>
      </x:c>
      <x:c r="Q522" s="56" t="n">
        <x:v>69.8</x:v>
      </x:c>
      <x:c r="R522" t="str">
        <x:v>X</x:v>
      </x:c>
      <x:c r="S522" s="102" t="n">
        <x:v>100</x:v>
      </x:c>
      <x:c r="T522" t="str">
        <x:v>VALID</x:v>
      </x:c>
      <x:c r="U522" t="n">
        <x:v>2321</x:v>
      </x:c>
      <x:c r="V522" t="str">
        <x:v>Pasted text(56).txt</x:v>
      </x:c>
    </x:row>
    <x:row r="523">
      <x:c r="A523" t="str">
        <x:v>S06</x:v>
      </x:c>
      <x:c r="B523" t="str">
        <x:v>0.30 low-amplitude limit validation</x:v>
      </x:c>
      <x:c r="C523" s="54" t="n">
        <x:v>0.3</x:v>
      </x:c>
      <x:c r="D523" t="n">
        <x:v>4</x:v>
      </x:c>
      <x:c r="E523" t="n">
        <x:v>1</x:v>
      </x:c>
      <x:c r="F523" t="str">
        <x:v>FINE</x:v>
      </x:c>
      <x:c r="G523" t="n">
        <x:v>3</x:v>
      </x:c>
      <x:c r="H523" s="54" t="n">
        <x:v>4.25</x:v>
      </x:c>
      <x:c r="I523" s="54" t="n">
        <x:v>0.27801</x:v>
      </x:c>
      <x:c r="J523" s="54" t="n">
        <x:v>0.28269</x:v>
      </x:c>
      <x:c r="K523" s="54" t="n">
        <x:v>0.13021</x:v>
      </x:c>
      <x:c r="L523" s="54" t="n">
        <x:v>0.16546</x:v>
      </x:c>
      <x:c r="M523" s="54" t="n">
        <x:v>0.35277</x:v>
      </x:c>
      <x:c r="N523" s="56" t="n">
        <x:v>-7.33</x:v>
      </x:c>
      <x:c r="O523" s="56" t="n">
        <x:v>3.5</x:v>
      </x:c>
      <x:c r="P523" s="56" t="n">
        <x:v>5.01</x:v>
      </x:c>
      <x:c r="Q523" s="56" t="n">
        <x:v>78.9</x:v>
      </x:c>
      <x:c r="R523" t="str">
        <x:v>X</x:v>
      </x:c>
      <x:c r="S523" s="102" t="n">
        <x:v>100</x:v>
      </x:c>
      <x:c r="T523" t="str">
        <x:v>IN TARGET BAND</x:v>
      </x:c>
      <x:c r="U523" t="n">
        <x:v>2322</x:v>
      </x:c>
      <x:c r="V523" t="str">
        <x:v>Pasted text(56).txt</x:v>
      </x:c>
    </x:row>
    <x:row r="524">
      <x:c r="A524" t="str">
        <x:v>S06</x:v>
      </x:c>
      <x:c r="B524" t="str">
        <x:v>0.30 low-amplitude limit validation</x:v>
      </x:c>
      <x:c r="C524" s="54" t="n">
        <x:v>0.3</x:v>
      </x:c>
      <x:c r="D524" t="n">
        <x:v>4</x:v>
      </x:c>
      <x:c r="E524" t="n">
        <x:v>1</x:v>
      </x:c>
      <x:c r="F524" t="str">
        <x:v>FINE</x:v>
      </x:c>
      <x:c r="G524" t="n">
        <x:v>4</x:v>
      </x:c>
      <x:c r="H524" s="54" t="n">
        <x:v>4.5</x:v>
      </x:c>
      <x:c r="I524" s="54" t="n">
        <x:v>0.28161</x:v>
      </x:c>
      <x:c r="J524" s="54" t="n">
        <x:v>0.28091</x:v>
      </x:c>
      <x:c r="K524" s="54" t="n">
        <x:v>0.11752</x:v>
      </x:c>
      <x:c r="L524" s="54" t="n">
        <x:v>0.15885</x:v>
      </x:c>
      <x:c r="M524" s="54" t="n">
        <x:v>0.34368</x:v>
      </x:c>
      <x:c r="N524" s="56" t="n">
        <x:v>-6.13</x:v>
      </x:c>
      <x:c r="O524" s="56" t="n">
        <x:v>10.52</x:v>
      </x:c>
      <x:c r="P524" s="56" t="n">
        <x:v>7.49</x:v>
      </x:c>
      <x:c r="Q524" s="56" t="n">
        <x:v>75.4</x:v>
      </x:c>
      <x:c r="R524" t="str">
        <x:v>X</x:v>
      </x:c>
      <x:c r="S524" s="102" t="n">
        <x:v>100</x:v>
      </x:c>
      <x:c r="T524" t="str">
        <x:v>IN TARGET BAND</x:v>
      </x:c>
      <x:c r="U524" t="n">
        <x:v>2323</x:v>
      </x:c>
      <x:c r="V524" t="str">
        <x:v>Pasted text(56).txt</x:v>
      </x:c>
    </x:row>
    <x:row r="525">
      <x:c r="A525" t="str">
        <x:v>S06</x:v>
      </x:c>
      <x:c r="B525" t="str">
        <x:v>0.30 low-amplitude limit validation</x:v>
      </x:c>
      <x:c r="C525" s="54" t="n">
        <x:v>0.3</x:v>
      </x:c>
      <x:c r="D525" t="n">
        <x:v>4</x:v>
      </x:c>
      <x:c r="E525" t="n">
        <x:v>1</x:v>
      </x:c>
      <x:c r="F525" t="str">
        <x:v>FINE</x:v>
      </x:c>
      <x:c r="G525" t="n">
        <x:v>5</x:v>
      </x:c>
      <x:c r="H525" s="54" t="n">
        <x:v>4.75</x:v>
      </x:c>
      <x:c r="I525" s="54" t="n">
        <x:v>0.33457</x:v>
      </x:c>
      <x:c r="J525" s="54" t="n">
        <x:v>0.33655</x:v>
      </x:c>
      <x:c r="K525" s="54" t="n">
        <x:v>0.12857</x:v>
      </x:c>
      <x:c r="L525" s="54" t="n">
        <x:v>0.22426</x:v>
      </x:c>
      <x:c r="M525" s="54" t="n">
        <x:v>0.42518</x:v>
      </x:c>
      <x:c r="N525" s="56" t="n">
        <x:v>11.52</x:v>
      </x:c>
      <x:c r="O525" s="56" t="n">
        <x:v>1.51</x:v>
      </x:c>
      <x:c r="P525" s="56" t="n">
        <x:v>1.97</x:v>
      </x:c>
      <x:c r="Q525" s="56" t="n">
        <x:v>78.8</x:v>
      </x:c>
      <x:c r="R525" t="str">
        <x:v>X</x:v>
      </x:c>
      <x:c r="S525" s="102" t="n">
        <x:v>100</x:v>
      </x:c>
      <x:c r="T525" t="str">
        <x:v>VALID</x:v>
      </x:c>
      <x:c r="U525" t="n">
        <x:v>2324</x:v>
      </x:c>
      <x:c r="V525" t="str">
        <x:v>Pasted text(56).txt</x:v>
      </x:c>
    </x:row>
    <x:row r="526">
      <x:c r="A526" t="str">
        <x:v>S06</x:v>
      </x:c>
      <x:c r="B526" t="str">
        <x:v>0.30 low-amplitude limit validation</x:v>
      </x:c>
      <x:c r="C526" s="54" t="n">
        <x:v>0.3</x:v>
      </x:c>
      <x:c r="D526" t="n">
        <x:v>4</x:v>
      </x:c>
      <x:c r="E526" t="n">
        <x:v>1</x:v>
      </x:c>
      <x:c r="F526" t="str">
        <x:v>FINE</x:v>
      </x:c>
      <x:c r="G526" t="n">
        <x:v>6</x:v>
      </x:c>
      <x:c r="H526" s="54" t="n">
        <x:v>5</x:v>
      </x:c>
      <x:c r="I526" s="54" t="n">
        <x:v>0.3218</x:v>
      </x:c>
      <x:c r="J526" s="54" t="n">
        <x:v>0.3274</x:v>
      </x:c>
      <x:c r="K526" s="54" t="n">
        <x:v>0.13938</x:v>
      </x:c>
      <x:c r="L526" s="54" t="n">
        <x:v>0.21486</x:v>
      </x:c>
      <x:c r="M526" s="54" t="n">
        <x:v>0.41591</x:v>
      </x:c>
      <x:c r="N526" s="56" t="n">
        <x:v>7.27</x:v>
      </x:c>
      <x:c r="O526" s="56" t="n">
        <x:v>1.32</x:v>
      </x:c>
      <x:c r="P526" s="56" t="n">
        <x:v>3.75</x:v>
      </x:c>
      <x:c r="Q526" s="56" t="n">
        <x:v>79.3</x:v>
      </x:c>
      <x:c r="R526" t="str">
        <x:v>X</x:v>
      </x:c>
      <x:c r="S526" s="102" t="n">
        <x:v>100</x:v>
      </x:c>
      <x:c r="T526" t="str">
        <x:v>IN TARGET BAND</x:v>
      </x:c>
      <x:c r="U526" t="n">
        <x:v>2325</x:v>
      </x:c>
      <x:c r="V526" t="str">
        <x:v>Pasted text(56).txt</x:v>
      </x:c>
    </x:row>
    <x:row r="527">
      <x:c r="A527" t="str">
        <x:v>S06</x:v>
      </x:c>
      <x:c r="B527" t="str">
        <x:v>0.30 low-amplitude limit validation</x:v>
      </x:c>
      <x:c r="C527" s="54" t="n">
        <x:v>0.3</x:v>
      </x:c>
      <x:c r="D527" t="n">
        <x:v>4</x:v>
      </x:c>
      <x:c r="E527" t="n">
        <x:v>1</x:v>
      </x:c>
      <x:c r="F527" t="str">
        <x:v>FINE</x:v>
      </x:c>
      <x:c r="G527" t="n">
        <x:v>7</x:v>
      </x:c>
      <x:c r="H527" s="54" t="n">
        <x:v>5.25</x:v>
      </x:c>
      <x:c r="I527" s="54" t="n">
        <x:v>0.36468</x:v>
      </x:c>
      <x:c r="J527" s="54" t="n">
        <x:v>0.37023</x:v>
      </x:c>
      <x:c r="K527" s="54" t="n">
        <x:v>0.14551</x:v>
      </x:c>
      <x:c r="L527" s="54" t="n">
        <x:v>0.22904</x:v>
      </x:c>
      <x:c r="M527" s="54" t="n">
        <x:v>0.45985</x:v>
      </x:c>
      <x:c r="N527" s="56" t="n">
        <x:v>21.56</x:v>
      </x:c>
      <x:c r="O527" s="56" t="n">
        <x:v>7.96</x:v>
      </x:c>
      <x:c r="P527" s="56" t="n">
        <x:v>7.65</x:v>
      </x:c>
      <x:c r="Q527" s="56" t="n">
        <x:v>83.5</x:v>
      </x:c>
      <x:c r="R527" t="str">
        <x:v>X</x:v>
      </x:c>
      <x:c r="S527" s="102" t="n">
        <x:v>100</x:v>
      </x:c>
      <x:c r="T527" t="str">
        <x:v>VALID</x:v>
      </x:c>
      <x:c r="U527" t="n">
        <x:v>2326</x:v>
      </x:c>
      <x:c r="V527" t="str">
        <x:v>Pasted text(56).txt</x:v>
      </x:c>
    </x:row>
    <x:row r="528">
      <x:c r="A528" t="str">
        <x:v>S06</x:v>
      </x:c>
      <x:c r="B528" t="str">
        <x:v>0.30 low-amplitude limit validation</x:v>
      </x:c>
      <x:c r="C528" s="54" t="n">
        <x:v>0.3</x:v>
      </x:c>
      <x:c r="D528" t="n">
        <x:v>4</x:v>
      </x:c>
      <x:c r="E528" t="n">
        <x:v>1</x:v>
      </x:c>
      <x:c r="F528" t="str">
        <x:v>FINE</x:v>
      </x:c>
      <x:c r="G528" t="n">
        <x:v>8</x:v>
      </x:c>
      <x:c r="H528" s="54" t="n">
        <x:v>5.5</x:v>
      </x:c>
      <x:c r="I528" s="54" t="n">
        <x:v>0.37229</x:v>
      </x:c>
      <x:c r="J528" s="54" t="n">
        <x:v>0.36967</x:v>
      </x:c>
      <x:c r="K528" s="54" t="n">
        <x:v>0.15438</x:v>
      </x:c>
      <x:c r="L528" s="54" t="n">
        <x:v>0.22845</x:v>
      </x:c>
      <x:c r="M528" s="54" t="n">
        <x:v>0.4616</x:v>
      </x:c>
      <x:c r="N528" s="56" t="n">
        <x:v>24.1</x:v>
      </x:c>
      <x:c r="O528" s="56" t="n">
        <x:v>4.43</x:v>
      </x:c>
      <x:c r="P528" s="56" t="n">
        <x:v>4.12</x:v>
      </x:c>
      <x:c r="Q528" s="56" t="n">
        <x:v>81.4</x:v>
      </x:c>
      <x:c r="R528" t="str">
        <x:v>X</x:v>
      </x:c>
      <x:c r="S528" s="102" t="n">
        <x:v>100</x:v>
      </x:c>
      <x:c r="T528" t="str">
        <x:v>VALID</x:v>
      </x:c>
      <x:c r="U528" t="n">
        <x:v>2327</x:v>
      </x:c>
      <x:c r="V528" t="str">
        <x:v>Pasted text(56).txt</x:v>
      </x:c>
    </x:row>
    <x:row r="529">
      <x:c r="A529" t="str">
        <x:v>S06</x:v>
      </x:c>
      <x:c r="B529" t="str">
        <x:v>0.30 low-amplitude limit validation</x:v>
      </x:c>
      <x:c r="C529" s="54" t="n">
        <x:v>0.3</x:v>
      </x:c>
      <x:c r="D529" t="n">
        <x:v>4</x:v>
      </x:c>
      <x:c r="E529" t="n">
        <x:v>1</x:v>
      </x:c>
      <x:c r="F529" t="str">
        <x:v>FINE</x:v>
      </x:c>
      <x:c r="G529" t="n">
        <x:v>9</x:v>
      </x:c>
      <x:c r="H529" s="54" t="n">
        <x:v>5.75</x:v>
      </x:c>
      <x:c r="I529" s="54" t="n">
        <x:v>0.4155</x:v>
      </x:c>
      <x:c r="J529" s="54" t="n">
        <x:v>0.41747</x:v>
      </x:c>
      <x:c r="K529" s="54" t="n">
        <x:v>0.18229</x:v>
      </x:c>
      <x:c r="L529" s="54" t="n">
        <x:v>0.27319</x:v>
      </x:c>
      <x:c r="M529" s="54" t="n">
        <x:v>0.53124</x:v>
      </x:c>
      <x:c r="N529" s="56" t="n">
        <x:v>38.5</x:v>
      </x:c>
      <x:c r="O529" s="56" t="n">
        <x:v>2.14</x:v>
      </x:c>
      <x:c r="P529" s="56" t="n">
        <x:v>2.18</x:v>
      </x:c>
      <x:c r="Q529" s="56" t="n">
        <x:v>83.1</x:v>
      </x:c>
      <x:c r="R529" t="str">
        <x:v>X</x:v>
      </x:c>
      <x:c r="S529" s="102" t="n">
        <x:v>100</x:v>
      </x:c>
      <x:c r="T529" t="str">
        <x:v>VALID</x:v>
      </x:c>
      <x:c r="U529" t="n">
        <x:v>2328</x:v>
      </x:c>
      <x:c r="V529" t="str">
        <x:v>Pasted text(56).txt</x:v>
      </x:c>
    </x:row>
    <x:row r="530">
      <x:c r="A530" t="str">
        <x:v>S06</x:v>
      </x:c>
      <x:c r="B530" t="str">
        <x:v>0.30 low-amplitude limit validation</x:v>
      </x:c>
      <x:c r="C530" s="54" t="n">
        <x:v>0.3</x:v>
      </x:c>
      <x:c r="D530" t="n">
        <x:v>4</x:v>
      </x:c>
      <x:c r="E530" t="n">
        <x:v>1</x:v>
      </x:c>
      <x:c r="F530" t="str">
        <x:v>FINAL</x:v>
      </x:c>
      <x:c r="G530" t="n">
        <x:v>1</x:v>
      </x:c>
      <x:c r="H530" s="54" t="n">
        <x:v>5</x:v>
      </x:c>
      <x:c r="I530" s="54" t="n">
        <x:v>0.34674</x:v>
      </x:c>
      <x:c r="J530" s="54" t="n">
        <x:v>0.3507</x:v>
      </x:c>
      <x:c r="K530" s="54" t="n">
        <x:v>0.14808</x:v>
      </x:c>
      <x:c r="L530" s="54" t="n">
        <x:v>0.21915</x:v>
      </x:c>
      <x:c r="M530" s="54" t="n">
        <x:v>0.44031</x:v>
      </x:c>
      <x:c r="N530" s="56" t="n">
        <x:v>15.58</x:v>
      </x:c>
      <x:c r="O530" s="56" t="n">
        <x:v>1.61</x:v>
      </x:c>
      <x:c r="P530" s="56" t="n">
        <x:v>4.3</x:v>
      </x:c>
      <x:c r="Q530" s="56" t="n">
        <x:v>82.6</x:v>
      </x:c>
      <x:c r="R530" t="str">
        <x:v>X</x:v>
      </x:c>
      <x:c r="S530" s="102" t="n">
        <x:v>100</x:v>
      </x:c>
      <x:c r="T530" t="str">
        <x:v>VALID</x:v>
      </x:c>
      <x:c r="U530" t="n">
        <x:v>2331</x:v>
      </x:c>
      <x:c r="V530" t="str">
        <x:v>Pasted text(56).txt</x:v>
      </x:c>
    </x:row>
    <x:row r="531">
      <x:c r="A531" t="str">
        <x:v>S06</x:v>
      </x:c>
      <x:c r="B531" t="str">
        <x:v>0.30 low-amplitude limit validation</x:v>
      </x:c>
      <x:c r="C531" s="54" t="n">
        <x:v>0.3</x:v>
      </x:c>
      <x:c r="D531" t="n">
        <x:v>4</x:v>
      </x:c>
      <x:c r="E531" t="n">
        <x:v>1</x:v>
      </x:c>
      <x:c r="F531" t="str">
        <x:v>FINAL</x:v>
      </x:c>
      <x:c r="G531" t="n">
        <x:v>2</x:v>
      </x:c>
      <x:c r="H531" s="54" t="n">
        <x:v>5</x:v>
      </x:c>
      <x:c r="I531" s="54" t="n">
        <x:v>0.33465</x:v>
      </x:c>
      <x:c r="J531" s="54" t="n">
        <x:v>0.3347</x:v>
      </x:c>
      <x:c r="K531" s="54" t="n">
        <x:v>0.15041</x:v>
      </x:c>
      <x:c r="L531" s="54" t="n">
        <x:v>0.21633</x:v>
      </x:c>
      <x:c r="M531" s="54" t="n">
        <x:v>0.42627</x:v>
      </x:c>
      <x:c r="N531" s="56" t="n">
        <x:v>11.55</x:v>
      </x:c>
      <x:c r="O531" s="56" t="n">
        <x:v>3.43</x:v>
      </x:c>
      <x:c r="P531" s="56" t="n">
        <x:v>2.92</x:v>
      </x:c>
      <x:c r="Q531" s="56" t="n">
        <x:v>80.1</x:v>
      </x:c>
      <x:c r="R531" t="str">
        <x:v>X</x:v>
      </x:c>
      <x:c r="S531" s="102" t="n">
        <x:v>100</x:v>
      </x:c>
      <x:c r="T531" t="str">
        <x:v>VALID</x:v>
      </x:c>
      <x:c r="U531" t="n">
        <x:v>2332</x:v>
      </x:c>
      <x:c r="V531" t="str">
        <x:v>Pasted text(56).txt</x:v>
      </x:c>
    </x:row>
    <x:row r="532">
      <x:c r="A532" t="str">
        <x:v>S06</x:v>
      </x:c>
      <x:c r="B532" t="str">
        <x:v>0.30 low-amplitude limit validation</x:v>
      </x:c>
      <x:c r="C532" s="54" t="n">
        <x:v>0.3</x:v>
      </x:c>
      <x:c r="D532" t="n">
        <x:v>4</x:v>
      </x:c>
      <x:c r="E532" t="n">
        <x:v>1</x:v>
      </x:c>
      <x:c r="F532" t="str">
        <x:v>FINAL</x:v>
      </x:c>
      <x:c r="G532" t="n">
        <x:v>3</x:v>
      </x:c>
      <x:c r="H532" s="54" t="n">
        <x:v>5</x:v>
      </x:c>
      <x:c r="I532" s="54" t="n">
        <x:v>0.34342</x:v>
      </x:c>
      <x:c r="J532" s="54" t="n">
        <x:v>0.34321</x:v>
      </x:c>
      <x:c r="K532" s="54" t="n">
        <x:v>0.14409</x:v>
      </x:c>
      <x:c r="L532" s="54" t="n">
        <x:v>0.18864</x:v>
      </x:c>
      <x:c r="M532" s="54" t="n">
        <x:v>0.41846</x:v>
      </x:c>
      <x:c r="N532" s="56" t="n">
        <x:v>14.47</x:v>
      </x:c>
      <x:c r="O532" s="56" t="n">
        <x:v>1.13</x:v>
      </x:c>
      <x:c r="P532" s="56" t="n">
        <x:v>1.07</x:v>
      </x:c>
      <x:c r="Q532" s="56" t="n">
        <x:v>80.5</x:v>
      </x:c>
      <x:c r="R532" t="str">
        <x:v>X</x:v>
      </x:c>
      <x:c r="S532" s="102" t="n">
        <x:v>100</x:v>
      </x:c>
      <x:c r="T532" t="str">
        <x:v>VALID</x:v>
      </x:c>
      <x:c r="U532" t="n">
        <x:v>2333</x:v>
      </x:c>
      <x:c r="V532" t="str">
        <x:v>Pasted text(56).txt</x:v>
      </x:c>
    </x:row>
    <x:row r="533">
      <x:c r="A533" t="str">
        <x:v>S06</x:v>
      </x:c>
      <x:c r="B533" t="str">
        <x:v>0.30 low-amplitude limit validation</x:v>
      </x:c>
      <x:c r="C533" s="54" t="n">
        <x:v>0.3</x:v>
      </x:c>
      <x:c r="D533" t="n">
        <x:v>4</x:v>
      </x:c>
      <x:c r="E533" t="n">
        <x:v>1</x:v>
      </x:c>
      <x:c r="F533" t="str">
        <x:v>FINAL</x:v>
      </x:c>
      <x:c r="G533" t="n">
        <x:v>1</x:v>
      </x:c>
      <x:c r="H533" s="54" t="n">
        <x:v>4.5</x:v>
      </x:c>
      <x:c r="I533" s="54" t="n">
        <x:v>0.25025</x:v>
      </x:c>
      <x:c r="J533" s="54" t="n">
        <x:v>0.25411</x:v>
      </x:c>
      <x:c r="K533" s="54" t="n">
        <x:v>0.11485</x:v>
      </x:c>
      <x:c r="L533" s="54" t="n">
        <x:v>0.18367</x:v>
      </x:c>
      <x:c r="M533" s="54" t="n">
        <x:v>0.33423</x:v>
      </x:c>
      <x:c r="N533" s="56" t="n">
        <x:v>-16.58</x:v>
      </x:c>
      <x:c r="O533" s="56" t="n">
        <x:v>4.21</x:v>
      </x:c>
      <x:c r="P533" s="56" t="n">
        <x:v>4.68</x:v>
      </x:c>
      <x:c r="Q533" s="56" t="n">
        <x:v>73.8</x:v>
      </x:c>
      <x:c r="R533" t="str">
        <x:v>X</x:v>
      </x:c>
      <x:c r="S533" s="102" t="n">
        <x:v>100</x:v>
      </x:c>
      <x:c r="T533" t="str">
        <x:v>VALID</x:v>
      </x:c>
      <x:c r="U533" t="n">
        <x:v>2337</x:v>
      </x:c>
      <x:c r="V533" t="str">
        <x:v>Pasted text(56).txt</x:v>
      </x:c>
    </x:row>
    <x:row r="534">
      <x:c r="A534" t="str">
        <x:v>S06</x:v>
      </x:c>
      <x:c r="B534" t="str">
        <x:v>0.30 low-amplitude limit validation</x:v>
      </x:c>
      <x:c r="C534" s="54" t="n">
        <x:v>0.3</x:v>
      </x:c>
      <x:c r="D534" t="n">
        <x:v>4</x:v>
      </x:c>
      <x:c r="E534" t="n">
        <x:v>1</x:v>
      </x:c>
      <x:c r="F534" t="str">
        <x:v>FINAL</x:v>
      </x:c>
      <x:c r="G534" t="n">
        <x:v>2</x:v>
      </x:c>
      <x:c r="H534" s="54" t="n">
        <x:v>4.5</x:v>
      </x:c>
      <x:c r="I534" s="54" t="n">
        <x:v>0.26821</x:v>
      </x:c>
      <x:c r="J534" s="54" t="n">
        <x:v>0.27326</x:v>
      </x:c>
      <x:c r="K534" s="54" t="n">
        <x:v>0.1234</x:v>
      </x:c>
      <x:c r="L534" s="54" t="n">
        <x:v>0.18028</x:v>
      </x:c>
      <x:c r="M534" s="54" t="n">
        <x:v>0.3502</x:v>
      </x:c>
      <x:c r="N534" s="56" t="n">
        <x:v>-10.6</x:v>
      </x:c>
      <x:c r="O534" s="56" t="n">
        <x:v>2.66</x:v>
      </x:c>
      <x:c r="P534" s="56" t="n">
        <x:v>3.85</x:v>
      </x:c>
      <x:c r="Q534" s="56" t="n">
        <x:v>73.2</x:v>
      </x:c>
      <x:c r="R534" t="str">
        <x:v>X</x:v>
      </x:c>
      <x:c r="S534" s="102" t="n">
        <x:v>100</x:v>
      </x:c>
      <x:c r="T534" t="str">
        <x:v>VALID</x:v>
      </x:c>
      <x:c r="U534" t="n">
        <x:v>2338</x:v>
      </x:c>
      <x:c r="V534" t="str">
        <x:v>Pasted text(56).txt</x:v>
      </x:c>
    </x:row>
    <x:row r="535">
      <x:c r="A535" t="str">
        <x:v>S06</x:v>
      </x:c>
      <x:c r="B535" t="str">
        <x:v>0.30 low-amplitude limit validation</x:v>
      </x:c>
      <x:c r="C535" s="54" t="n">
        <x:v>0.3</x:v>
      </x:c>
      <x:c r="D535" t="n">
        <x:v>4</x:v>
      </x:c>
      <x:c r="E535" t="n">
        <x:v>1</x:v>
      </x:c>
      <x:c r="F535" t="str">
        <x:v>FINAL</x:v>
      </x:c>
      <x:c r="G535" t="n">
        <x:v>3</x:v>
      </x:c>
      <x:c r="H535" s="54" t="n">
        <x:v>4.5</x:v>
      </x:c>
      <x:c r="I535" s="54" t="n">
        <x:v>0.27796</x:v>
      </x:c>
      <x:c r="J535" s="54" t="n">
        <x:v>0.27937</x:v>
      </x:c>
      <x:c r="K535" s="54" t="n">
        <x:v>0.13089</x:v>
      </x:c>
      <x:c r="L535" s="54" t="n">
        <x:v>0.19521</x:v>
      </x:c>
      <x:c r="M535" s="54" t="n">
        <x:v>0.36584</x:v>
      </x:c>
      <x:c r="N535" s="56" t="n">
        <x:v>-7.35</x:v>
      </x:c>
      <x:c r="O535" s="56" t="n">
        <x:v>0.76</x:v>
      </x:c>
      <x:c r="P535" s="56" t="n">
        <x:v>3.85</x:v>
      </x:c>
      <x:c r="Q535" s="56" t="n">
        <x:v>75</x:v>
      </x:c>
      <x:c r="R535" t="str">
        <x:v>X</x:v>
      </x:c>
      <x:c r="S535" s="102" t="n">
        <x:v>100</x:v>
      </x:c>
      <x:c r="T535" t="str">
        <x:v>IN TARGET BAND</x:v>
      </x:c>
      <x:c r="U535" t="n">
        <x:v>2339</x:v>
      </x:c>
      <x:c r="V535" t="str">
        <x:v>Pasted text(56).txt</x:v>
      </x:c>
    </x:row>
    <x:row r="536">
      <x:c r="A536" t="str">
        <x:v>S06</x:v>
      </x:c>
      <x:c r="B536" t="str">
        <x:v>0.30 low-amplitude limit validation</x:v>
      </x:c>
      <x:c r="C536" s="54" t="n">
        <x:v>0.3</x:v>
      </x:c>
      <x:c r="D536" t="n">
        <x:v>4</x:v>
      </x:c>
      <x:c r="E536" t="n">
        <x:v>2</x:v>
      </x:c>
      <x:c r="F536" t="str">
        <x:v>SEARCH</x:v>
      </x:c>
      <x:c r="G536" t="n">
        <x:v>1</x:v>
      </x:c>
      <x:c r="H536" s="54" t="n">
        <x:v>1</x:v>
      </x:c>
      <x:c r="I536" s="54" t="n">
        <x:v>0.01813</x:v>
      </x:c>
      <x:c r="J536" s="54" t="n">
        <x:v>0.01789</x:v>
      </x:c>
      <x:c r="K536" s="54" t="n">
        <x:v>0.01218</x:v>
      </x:c>
      <x:c r="L536" s="54" t="n">
        <x:v>0.01734</x:v>
      </x:c>
      <x:c r="M536" s="54" t="n">
        <x:v>0.02786</x:v>
      </x:c>
      <x:c r="N536" s="56" t="n">
        <x:v>-93.96</x:v>
      </x:c>
      <x:c r="O536" s="56" t="n">
        <x:v>54.17</x:v>
      </x:c>
      <x:c r="P536" s="56" t="n">
        <x:v>39.02</x:v>
      </x:c>
      <x:c r="Q536" s="56" t="n">
        <x:v>10.4</x:v>
      </x:c>
      <x:c r="R536" t="str">
        <x:v>X</x:v>
      </x:c>
      <x:c r="S536" s="102" t="n">
        <x:v>100</x:v>
      </x:c>
      <x:c r="T536" t="str">
        <x:v>BELOW MEASUREMENT FLOOR — SEARCH CONTINUES</x:v>
      </x:c>
      <x:c r="U536" t="n">
        <x:v>2346</x:v>
      </x:c>
      <x:c r="V536" t="str">
        <x:v>Pasted text(56).txt</x:v>
      </x:c>
    </x:row>
    <x:row r="537">
      <x:c r="A537" t="str">
        <x:v>S06</x:v>
      </x:c>
      <x:c r="B537" t="str">
        <x:v>0.30 low-amplitude limit validation</x:v>
      </x:c>
      <x:c r="C537" s="54" t="n">
        <x:v>0.3</x:v>
      </x:c>
      <x:c r="D537" t="n">
        <x:v>4</x:v>
      </x:c>
      <x:c r="E537" t="n">
        <x:v>2</x:v>
      </x:c>
      <x:c r="F537" t="str">
        <x:v>SEARCH</x:v>
      </x:c>
      <x:c r="G537" t="n">
        <x:v>2</x:v>
      </x:c>
      <x:c r="H537" s="54" t="n">
        <x:v>3</x:v>
      </x:c>
      <x:c r="I537" s="54" t="n">
        <x:v>0.1388</x:v>
      </x:c>
      <x:c r="J537" s="54" t="n">
        <x:v>0.14435</x:v>
      </x:c>
      <x:c r="K537" s="54" t="n">
        <x:v>0.06989</x:v>
      </x:c>
      <x:c r="L537" s="54" t="n">
        <x:v>0.09187</x:v>
      </x:c>
      <x:c r="M537" s="54" t="n">
        <x:v>0.1854</x:v>
      </x:c>
      <x:c r="N537" s="56" t="n">
        <x:v>-53.73</x:v>
      </x:c>
      <x:c r="O537" s="56" t="n">
        <x:v>10.38</x:v>
      </x:c>
      <x:c r="P537" s="56" t="n">
        <x:v>12.93</x:v>
      </x:c>
      <x:c r="Q537" s="56" t="n">
        <x:v>53.9</x:v>
      </x:c>
      <x:c r="R537" t="str">
        <x:v>X</x:v>
      </x:c>
      <x:c r="S537" s="102" t="n">
        <x:v>100</x:v>
      </x:c>
      <x:c r="T537" t="str">
        <x:v>VALID</x:v>
      </x:c>
      <x:c r="U537" t="n">
        <x:v>2347</x:v>
      </x:c>
      <x:c r="V537" t="str">
        <x:v>Pasted text(56).txt</x:v>
      </x:c>
    </x:row>
    <x:row r="538">
      <x:c r="A538" t="str">
        <x:v>S06</x:v>
      </x:c>
      <x:c r="B538" t="str">
        <x:v>0.30 low-amplitude limit validation</x:v>
      </x:c>
      <x:c r="C538" s="54" t="n">
        <x:v>0.3</x:v>
      </x:c>
      <x:c r="D538" t="n">
        <x:v>4</x:v>
      </x:c>
      <x:c r="E538" t="n">
        <x:v>2</x:v>
      </x:c>
      <x:c r="F538" t="str">
        <x:v>SEARCH</x:v>
      </x:c>
      <x:c r="G538" t="n">
        <x:v>3</x:v>
      </x:c>
      <x:c r="H538" s="54" t="n">
        <x:v>4</x:v>
      </x:c>
      <x:c r="I538" s="54" t="n">
        <x:v>0.24489</x:v>
      </x:c>
      <x:c r="J538" s="54" t="n">
        <x:v>0.24294</x:v>
      </x:c>
      <x:c r="K538" s="54" t="n">
        <x:v>0.09798</x:v>
      </x:c>
      <x:c r="L538" s="54" t="n">
        <x:v>0.17957</x:v>
      </x:c>
      <x:c r="M538" s="54" t="n">
        <x:v>0.31869</x:v>
      </x:c>
      <x:c r="N538" s="56" t="n">
        <x:v>-18.37</x:v>
      </x:c>
      <x:c r="O538" s="56" t="n">
        <x:v>1.02</x:v>
      </x:c>
      <x:c r="P538" s="56" t="n">
        <x:v>2.02</x:v>
      </x:c>
      <x:c r="Q538" s="56" t="n">
        <x:v>70.4</x:v>
      </x:c>
      <x:c r="R538" t="str">
        <x:v>X</x:v>
      </x:c>
      <x:c r="S538" s="102" t="n">
        <x:v>100</x:v>
      </x:c>
      <x:c r="T538" t="str">
        <x:v>VALID</x:v>
      </x:c>
      <x:c r="U538" t="n">
        <x:v>2348</x:v>
      </x:c>
      <x:c r="V538" t="str">
        <x:v>Pasted text(56).txt</x:v>
      </x:c>
    </x:row>
    <x:row r="539">
      <x:c r="A539" t="str">
        <x:v>S06</x:v>
      </x:c>
      <x:c r="B539" t="str">
        <x:v>0.30 low-amplitude limit validation</x:v>
      </x:c>
      <x:c r="C539" s="54" t="n">
        <x:v>0.3</x:v>
      </x:c>
      <x:c r="D539" t="n">
        <x:v>4</x:v>
      </x:c>
      <x:c r="E539" t="n">
        <x:v>2</x:v>
      </x:c>
      <x:c r="F539" t="str">
        <x:v>SEARCH</x:v>
      </x:c>
      <x:c r="G539" t="n">
        <x:v>4</x:v>
      </x:c>
      <x:c r="H539" s="54" t="n">
        <x:v>4.5</x:v>
      </x:c>
      <x:c r="I539" s="54" t="n">
        <x:v>0.27854</x:v>
      </x:c>
      <x:c r="J539" s="54" t="n">
        <x:v>0.27899</x:v>
      </x:c>
      <x:c r="K539" s="54" t="n">
        <x:v>0.10684</x:v>
      </x:c>
      <x:c r="L539" s="54" t="n">
        <x:v>0.19358</x:v>
      </x:c>
      <x:c r="M539" s="54" t="n">
        <x:v>0.35682</x:v>
      </x:c>
      <x:c r="N539" s="56" t="n">
        <x:v>-7.15</x:v>
      </x:c>
      <x:c r="O539" s="56" t="n">
        <x:v>3.74</x:v>
      </x:c>
      <x:c r="P539" s="56" t="n">
        <x:v>2.76</x:v>
      </x:c>
      <x:c r="Q539" s="56" t="n">
        <x:v>71.7</x:v>
      </x:c>
      <x:c r="R539" t="str">
        <x:v>X</x:v>
      </x:c>
      <x:c r="S539" s="102" t="n">
        <x:v>100</x:v>
      </x:c>
      <x:c r="T539" t="str">
        <x:v>IN TARGET BAND</x:v>
      </x:c>
      <x:c r="U539" t="n">
        <x:v>2349</x:v>
      </x:c>
      <x:c r="V539" t="str">
        <x:v>Pasted text(56).txt</x:v>
      </x:c>
    </x:row>
    <x:row r="540">
      <x:c r="A540" t="str">
        <x:v>S06</x:v>
      </x:c>
      <x:c r="B540" t="str">
        <x:v>0.30 low-amplitude limit validation</x:v>
      </x:c>
      <x:c r="C540" s="54" t="n">
        <x:v>0.3</x:v>
      </x:c>
      <x:c r="D540" t="n">
        <x:v>4</x:v>
      </x:c>
      <x:c r="E540" t="n">
        <x:v>2</x:v>
      </x:c>
      <x:c r="F540" t="str">
        <x:v>FINE</x:v>
      </x:c>
      <x:c r="G540" t="n">
        <x:v>1</x:v>
      </x:c>
      <x:c r="H540" s="54" t="n">
        <x:v>3.5</x:v>
      </x:c>
      <x:c r="I540" s="54" t="n">
        <x:v>0.1626</x:v>
      </x:c>
      <x:c r="J540" s="54" t="n">
        <x:v>0.15705</x:v>
      </x:c>
      <x:c r="K540" s="54" t="n">
        <x:v>0.07303</x:v>
      </x:c>
      <x:c r="L540" s="54" t="n">
        <x:v>0.10387</x:v>
      </x:c>
      <x:c r="M540" s="54" t="n">
        <x:v>0.20254</x:v>
      </x:c>
      <x:c r="N540" s="56" t="n">
        <x:v>-45.8</x:v>
      </x:c>
      <x:c r="O540" s="56" t="n">
        <x:v>5.01</x:v>
      </x:c>
      <x:c r="P540" s="56" t="n">
        <x:v>9.31</x:v>
      </x:c>
      <x:c r="Q540" s="56" t="n">
        <x:v>57.9</x:v>
      </x:c>
      <x:c r="R540" t="str">
        <x:v>X</x:v>
      </x:c>
      <x:c r="S540" s="102" t="n">
        <x:v>100</x:v>
      </x:c>
      <x:c r="T540" t="str">
        <x:v>VALID</x:v>
      </x:c>
      <x:c r="U540" t="n">
        <x:v>2353</x:v>
      </x:c>
      <x:c r="V540" t="str">
        <x:v>Pasted text(56).txt</x:v>
      </x:c>
    </x:row>
    <x:row r="541">
      <x:c r="A541" t="str">
        <x:v>S06</x:v>
      </x:c>
      <x:c r="B541" t="str">
        <x:v>0.30 low-amplitude limit validation</x:v>
      </x:c>
      <x:c r="C541" s="54" t="n">
        <x:v>0.3</x:v>
      </x:c>
      <x:c r="D541" t="n">
        <x:v>4</x:v>
      </x:c>
      <x:c r="E541" t="n">
        <x:v>2</x:v>
      </x:c>
      <x:c r="F541" t="str">
        <x:v>FINE</x:v>
      </x:c>
      <x:c r="G541" t="n">
        <x:v>2</x:v>
      </x:c>
      <x:c r="H541" s="54" t="n">
        <x:v>3.75</x:v>
      </x:c>
      <x:c r="I541" s="54" t="n">
        <x:v>0.19965</x:v>
      </x:c>
      <x:c r="J541" s="54" t="n">
        <x:v>0.20609</x:v>
      </x:c>
      <x:c r="K541" s="54" t="n">
        <x:v>0.08211</x:v>
      </x:c>
      <x:c r="L541" s="54" t="n">
        <x:v>0.16722</x:v>
      </x:c>
      <x:c r="M541" s="54" t="n">
        <x:v>0.27813</x:v>
      </x:c>
      <x:c r="N541" s="56" t="n">
        <x:v>-33.45</x:v>
      </x:c>
      <x:c r="O541" s="56" t="n">
        <x:v>0.47</x:v>
      </x:c>
      <x:c r="P541" s="56" t="n">
        <x:v>5.68</x:v>
      </x:c>
      <x:c r="Q541" s="56" t="n">
        <x:v>63</x:v>
      </x:c>
      <x:c r="R541" t="str">
        <x:v>X</x:v>
      </x:c>
      <x:c r="S541" s="102" t="n">
        <x:v>100</x:v>
      </x:c>
      <x:c r="T541" t="str">
        <x:v>VALID</x:v>
      </x:c>
      <x:c r="U541" t="n">
        <x:v>2354</x:v>
      </x:c>
      <x:c r="V541" t="str">
        <x:v>Pasted text(56).txt</x:v>
      </x:c>
    </x:row>
    <x:row r="542">
      <x:c r="A542" t="str">
        <x:v>S06</x:v>
      </x:c>
      <x:c r="B542" t="str">
        <x:v>0.30 low-amplitude limit validation</x:v>
      </x:c>
      <x:c r="C542" s="54" t="n">
        <x:v>0.3</x:v>
      </x:c>
      <x:c r="D542" t="n">
        <x:v>4</x:v>
      </x:c>
      <x:c r="E542" t="n">
        <x:v>2</x:v>
      </x:c>
      <x:c r="F542" t="str">
        <x:v>FINE</x:v>
      </x:c>
      <x:c r="G542" t="n">
        <x:v>3</x:v>
      </x:c>
      <x:c r="H542" s="54" t="n">
        <x:v>4</x:v>
      </x:c>
      <x:c r="I542" s="54" t="n">
        <x:v>0.24528</x:v>
      </x:c>
      <x:c r="J542" s="54" t="n">
        <x:v>0.24372</x:v>
      </x:c>
      <x:c r="K542" s="54" t="n">
        <x:v>0.117</x:v>
      </x:c>
      <x:c r="L542" s="54" t="n">
        <x:v>0.15828</x:v>
      </x:c>
      <x:c r="M542" s="54" t="n">
        <x:v>0.31367</x:v>
      </x:c>
      <x:c r="N542" s="56" t="n">
        <x:v>-18.24</x:v>
      </x:c>
      <x:c r="O542" s="56" t="n">
        <x:v>7.54</x:v>
      </x:c>
      <x:c r="P542" s="56" t="n">
        <x:v>6.1</x:v>
      </x:c>
      <x:c r="Q542" s="56" t="n">
        <x:v>72.8</x:v>
      </x:c>
      <x:c r="R542" t="str">
        <x:v>X</x:v>
      </x:c>
      <x:c r="S542" s="102" t="n">
        <x:v>100</x:v>
      </x:c>
      <x:c r="T542" t="str">
        <x:v>VALID</x:v>
      </x:c>
      <x:c r="U542" t="n">
        <x:v>2355</x:v>
      </x:c>
      <x:c r="V542" t="str">
        <x:v>Pasted text(56).txt</x:v>
      </x:c>
    </x:row>
    <x:row r="543">
      <x:c r="A543" t="str">
        <x:v>S06</x:v>
      </x:c>
      <x:c r="B543" t="str">
        <x:v>0.30 low-amplitude limit validation</x:v>
      </x:c>
      <x:c r="C543" s="54" t="n">
        <x:v>0.3</x:v>
      </x:c>
      <x:c r="D543" t="n">
        <x:v>4</x:v>
      </x:c>
      <x:c r="E543" t="n">
        <x:v>2</x:v>
      </x:c>
      <x:c r="F543" t="str">
        <x:v>FINE</x:v>
      </x:c>
      <x:c r="G543" t="n">
        <x:v>4</x:v>
      </x:c>
      <x:c r="H543" s="54" t="n">
        <x:v>4.25</x:v>
      </x:c>
      <x:c r="I543" s="54" t="n">
        <x:v>0.25359</x:v>
      </x:c>
      <x:c r="J543" s="54" t="n">
        <x:v>0.25329</x:v>
      </x:c>
      <x:c r="K543" s="54" t="n">
        <x:v>0.10102</x:v>
      </x:c>
      <x:c r="L543" s="54" t="n">
        <x:v>0.16645</x:v>
      </x:c>
      <x:c r="M543" s="54" t="n">
        <x:v>0.32008</x:v>
      </x:c>
      <x:c r="N543" s="56" t="n">
        <x:v>-15.47</x:v>
      </x:c>
      <x:c r="O543" s="56" t="n">
        <x:v>2.32</x:v>
      </x:c>
      <x:c r="P543" s="56" t="n">
        <x:v>1.75</x:v>
      </x:c>
      <x:c r="Q543" s="56" t="n">
        <x:v>70.2</x:v>
      </x:c>
      <x:c r="R543" t="str">
        <x:v>X</x:v>
      </x:c>
      <x:c r="S543" s="102" t="n">
        <x:v>100</x:v>
      </x:c>
      <x:c r="T543" t="str">
        <x:v>VALID</x:v>
      </x:c>
      <x:c r="U543" t="n">
        <x:v>2356</x:v>
      </x:c>
      <x:c r="V543" t="str">
        <x:v>Pasted text(56).txt</x:v>
      </x:c>
    </x:row>
    <x:row r="544">
      <x:c r="A544" t="str">
        <x:v>S06</x:v>
      </x:c>
      <x:c r="B544" t="str">
        <x:v>0.30 low-amplitude limit validation</x:v>
      </x:c>
      <x:c r="C544" s="54" t="n">
        <x:v>0.3</x:v>
      </x:c>
      <x:c r="D544" t="n">
        <x:v>4</x:v>
      </x:c>
      <x:c r="E544" t="n">
        <x:v>2</x:v>
      </x:c>
      <x:c r="F544" t="str">
        <x:v>FINE</x:v>
      </x:c>
      <x:c r="G544" t="n">
        <x:v>5</x:v>
      </x:c>
      <x:c r="H544" s="54" t="n">
        <x:v>4.5</x:v>
      </x:c>
      <x:c r="I544" s="54" t="n">
        <x:v>0.28106</x:v>
      </x:c>
      <x:c r="J544" s="54" t="n">
        <x:v>0.2814</x:v>
      </x:c>
      <x:c r="K544" s="54" t="n">
        <x:v>0.10627</x:v>
      </x:c>
      <x:c r="L544" s="54" t="n">
        <x:v>0.15641</x:v>
      </x:c>
      <x:c r="M544" s="54" t="n">
        <x:v>0.33975</x:v>
      </x:c>
      <x:c r="N544" s="56" t="n">
        <x:v>-6.31</x:v>
      </x:c>
      <x:c r="O544" s="56" t="n">
        <x:v>7.36</x:v>
      </x:c>
      <x:c r="P544" s="56" t="n">
        <x:v>5.14</x:v>
      </x:c>
      <x:c r="Q544" s="56" t="n">
        <x:v>75.3</x:v>
      </x:c>
      <x:c r="R544" t="str">
        <x:v>X</x:v>
      </x:c>
      <x:c r="S544" s="102" t="n">
        <x:v>100</x:v>
      </x:c>
      <x:c r="T544" t="str">
        <x:v>IN TARGET BAND</x:v>
      </x:c>
      <x:c r="U544" t="n">
        <x:v>2357</x:v>
      </x:c>
      <x:c r="V544" t="str">
        <x:v>Pasted text(56).txt</x:v>
      </x:c>
    </x:row>
    <x:row r="545">
      <x:c r="A545" t="str">
        <x:v>S06</x:v>
      </x:c>
      <x:c r="B545" t="str">
        <x:v>0.30 low-amplitude limit validation</x:v>
      </x:c>
      <x:c r="C545" s="54" t="n">
        <x:v>0.3</x:v>
      </x:c>
      <x:c r="D545" t="n">
        <x:v>4</x:v>
      </x:c>
      <x:c r="E545" t="n">
        <x:v>2</x:v>
      </x:c>
      <x:c r="F545" t="str">
        <x:v>FINE</x:v>
      </x:c>
      <x:c r="G545" t="n">
        <x:v>6</x:v>
      </x:c>
      <x:c r="H545" s="54" t="n">
        <x:v>4.75</x:v>
      </x:c>
      <x:c r="I545" s="54" t="n">
        <x:v>0.32354</x:v>
      </x:c>
      <x:c r="J545" s="54" t="n">
        <x:v>0.32013</x:v>
      </x:c>
      <x:c r="K545" s="54" t="n">
        <x:v>0.14968</x:v>
      </x:c>
      <x:c r="L545" s="54" t="n">
        <x:v>0.23107</x:v>
      </x:c>
      <x:c r="M545" s="54" t="n">
        <x:v>0.42306</x:v>
      </x:c>
      <x:c r="N545" s="56" t="n">
        <x:v>7.85</x:v>
      </x:c>
      <x:c r="O545" s="56" t="n">
        <x:v>1.48</x:v>
      </x:c>
      <x:c r="P545" s="56" t="n">
        <x:v>2.76</x:v>
      </x:c>
      <x:c r="Q545" s="56" t="n">
        <x:v>76.9</x:v>
      </x:c>
      <x:c r="R545" t="str">
        <x:v>X</x:v>
      </x:c>
      <x:c r="S545" s="102" t="n">
        <x:v>100</x:v>
      </x:c>
      <x:c r="T545" t="str">
        <x:v>VALID</x:v>
      </x:c>
      <x:c r="U545" t="n">
        <x:v>2358</x:v>
      </x:c>
      <x:c r="V545" t="str">
        <x:v>Pasted text(56).txt</x:v>
      </x:c>
    </x:row>
    <x:row r="546">
      <x:c r="A546" t="str">
        <x:v>S06</x:v>
      </x:c>
      <x:c r="B546" t="str">
        <x:v>0.30 low-amplitude limit validation</x:v>
      </x:c>
      <x:c r="C546" s="54" t="n">
        <x:v>0.3</x:v>
      </x:c>
      <x:c r="D546" t="n">
        <x:v>4</x:v>
      </x:c>
      <x:c r="E546" t="n">
        <x:v>2</x:v>
      </x:c>
      <x:c r="F546" t="str">
        <x:v>FINE</x:v>
      </x:c>
      <x:c r="G546" t="n">
        <x:v>7</x:v>
      </x:c>
      <x:c r="H546" s="54" t="n">
        <x:v>5</x:v>
      </x:c>
      <x:c r="I546" s="54" t="n">
        <x:v>0.3424</x:v>
      </x:c>
      <x:c r="J546" s="54" t="n">
        <x:v>0.34022</x:v>
      </x:c>
      <x:c r="K546" s="54" t="n">
        <x:v>0.13322</x:v>
      </x:c>
      <x:c r="L546" s="54" t="n">
        <x:v>0.21161</x:v>
      </x:c>
      <x:c r="M546" s="54" t="n">
        <x:v>0.42251</x:v>
      </x:c>
      <x:c r="N546" s="56" t="n">
        <x:v>14.13</x:v>
      </x:c>
      <x:c r="O546" s="56" t="n">
        <x:v>0.19</x:v>
      </x:c>
      <x:c r="P546" s="56" t="n">
        <x:v>1.22</x:v>
      </x:c>
      <x:c r="Q546" s="56" t="n">
        <x:v>79.4</x:v>
      </x:c>
      <x:c r="R546" t="str">
        <x:v>X</x:v>
      </x:c>
      <x:c r="S546" s="102" t="n">
        <x:v>100</x:v>
      </x:c>
      <x:c r="T546" t="str">
        <x:v>VALID</x:v>
      </x:c>
      <x:c r="U546" t="n">
        <x:v>2359</x:v>
      </x:c>
      <x:c r="V546" t="str">
        <x:v>Pasted text(56).txt</x:v>
      </x:c>
    </x:row>
    <x:row r="547">
      <x:c r="A547" t="str">
        <x:v>S06</x:v>
      </x:c>
      <x:c r="B547" t="str">
        <x:v>0.30 low-amplitude limit validation</x:v>
      </x:c>
      <x:c r="C547" s="54" t="n">
        <x:v>0.3</x:v>
      </x:c>
      <x:c r="D547" t="n">
        <x:v>4</x:v>
      </x:c>
      <x:c r="E547" t="n">
        <x:v>2</x:v>
      </x:c>
      <x:c r="F547" t="str">
        <x:v>FINE</x:v>
      </x:c>
      <x:c r="G547" t="n">
        <x:v>8</x:v>
      </x:c>
      <x:c r="H547" s="54" t="n">
        <x:v>5.25</x:v>
      </x:c>
      <x:c r="I547" s="54" t="n">
        <x:v>0.34935</x:v>
      </x:c>
      <x:c r="J547" s="54" t="n">
        <x:v>0.35177</x:v>
      </x:c>
      <x:c r="K547" s="54" t="n">
        <x:v>0.15993</x:v>
      </x:c>
      <x:c r="L547" s="54" t="n">
        <x:v>0.24301</x:v>
      </x:c>
      <x:c r="M547" s="54" t="n">
        <x:v>0.45662</x:v>
      </x:c>
      <x:c r="N547" s="56" t="n">
        <x:v>16.45</x:v>
      </x:c>
      <x:c r="O547" s="56" t="n">
        <x:v>0.61</x:v>
      </x:c>
      <x:c r="P547" s="56" t="n">
        <x:v>1.56</x:v>
      </x:c>
      <x:c r="Q547" s="56" t="n">
        <x:v>82.4</x:v>
      </x:c>
      <x:c r="R547" t="str">
        <x:v>X</x:v>
      </x:c>
      <x:c r="S547" s="102" t="n">
        <x:v>100</x:v>
      </x:c>
      <x:c r="T547" t="str">
        <x:v>VALID</x:v>
      </x:c>
      <x:c r="U547" t="n">
        <x:v>2360</x:v>
      </x:c>
      <x:c r="V547" t="str">
        <x:v>Pasted text(56).txt</x:v>
      </x:c>
    </x:row>
    <x:row r="548">
      <x:c r="A548" t="str">
        <x:v>S06</x:v>
      </x:c>
      <x:c r="B548" t="str">
        <x:v>0.30 low-amplitude limit validation</x:v>
      </x:c>
      <x:c r="C548" s="54" t="n">
        <x:v>0.3</x:v>
      </x:c>
      <x:c r="D548" t="n">
        <x:v>4</x:v>
      </x:c>
      <x:c r="E548" t="n">
        <x:v>2</x:v>
      </x:c>
      <x:c r="F548" t="str">
        <x:v>FINE</x:v>
      </x:c>
      <x:c r="G548" t="n">
        <x:v>9</x:v>
      </x:c>
      <x:c r="H548" s="54" t="n">
        <x:v>5.5</x:v>
      </x:c>
      <x:c r="I548" s="54" t="n">
        <x:v>0.36451</x:v>
      </x:c>
      <x:c r="J548" s="54" t="n">
        <x:v>0.36627</x:v>
      </x:c>
      <x:c r="K548" s="54" t="n">
        <x:v>0.13929</x:v>
      </x:c>
      <x:c r="L548" s="54" t="n">
        <x:v>0.23566</x:v>
      </x:c>
      <x:c r="M548" s="54" t="n">
        <x:v>0.45796</x:v>
      </x:c>
      <x:c r="N548" s="56" t="n">
        <x:v>21.5</x:v>
      </x:c>
      <x:c r="O548" s="56" t="n">
        <x:v>5.29</x:v>
      </x:c>
      <x:c r="P548" s="56" t="n">
        <x:v>4.29</x:v>
      </x:c>
      <x:c r="Q548" s="56" t="n">
        <x:v>82.8</x:v>
      </x:c>
      <x:c r="R548" t="str">
        <x:v>X</x:v>
      </x:c>
      <x:c r="S548" s="102" t="n">
        <x:v>100</x:v>
      </x:c>
      <x:c r="T548" t="str">
        <x:v>VALID</x:v>
      </x:c>
      <x:c r="U548" t="n">
        <x:v>2361</x:v>
      </x:c>
      <x:c r="V548" t="str">
        <x:v>Pasted text(56).txt</x:v>
      </x:c>
    </x:row>
    <x:row r="549">
      <x:c r="A549" t="str">
        <x:v>S06</x:v>
      </x:c>
      <x:c r="B549" t="str">
        <x:v>0.30 low-amplitude limit validation</x:v>
      </x:c>
      <x:c r="C549" s="54" t="n">
        <x:v>0.3</x:v>
      </x:c>
      <x:c r="D549" t="n">
        <x:v>4</x:v>
      </x:c>
      <x:c r="E549" t="n">
        <x:v>2</x:v>
      </x:c>
      <x:c r="F549" t="str">
        <x:v>FINAL</x:v>
      </x:c>
      <x:c r="G549" t="n">
        <x:v>1</x:v>
      </x:c>
      <x:c r="H549" s="54" t="n">
        <x:v>4.5</x:v>
      </x:c>
      <x:c r="I549" s="54" t="n">
        <x:v>0.26943</x:v>
      </x:c>
      <x:c r="J549" s="54" t="n">
        <x:v>0.26646</x:v>
      </x:c>
      <x:c r="K549" s="54" t="n">
        <x:v>0.1141</x:v>
      </x:c>
      <x:c r="L549" s="54" t="n">
        <x:v>0.18498</x:v>
      </x:c>
      <x:c r="M549" s="54" t="n">
        <x:v>0.34443</x:v>
      </x:c>
      <x:c r="N549" s="56" t="n">
        <x:v>-10.19</x:v>
      </x:c>
      <x:c r="O549" s="56" t="n">
        <x:v>4.91</x:v>
      </x:c>
      <x:c r="P549" s="56" t="n">
        <x:v>5.02</x:v>
      </x:c>
      <x:c r="Q549" s="56" t="n">
        <x:v>73.9</x:v>
      </x:c>
      <x:c r="R549" t="str">
        <x:v>X</x:v>
      </x:c>
      <x:c r="S549" s="102" t="n">
        <x:v>100</x:v>
      </x:c>
      <x:c r="T549" t="str">
        <x:v>VALID</x:v>
      </x:c>
      <x:c r="U549" t="n">
        <x:v>2364</x:v>
      </x:c>
      <x:c r="V549" t="str">
        <x:v>Pasted text(56).txt</x:v>
      </x:c>
    </x:row>
    <x:row r="550">
      <x:c r="A550" t="str">
        <x:v>S06</x:v>
      </x:c>
      <x:c r="B550" t="str">
        <x:v>0.30 low-amplitude limit validation</x:v>
      </x:c>
      <x:c r="C550" s="54" t="n">
        <x:v>0.3</x:v>
      </x:c>
      <x:c r="D550" t="n">
        <x:v>4</x:v>
      </x:c>
      <x:c r="E550" t="n">
        <x:v>2</x:v>
      </x:c>
      <x:c r="F550" t="str">
        <x:v>FINAL</x:v>
      </x:c>
      <x:c r="G550" t="n">
        <x:v>2</x:v>
      </x:c>
      <x:c r="H550" s="54" t="n">
        <x:v>4.5</x:v>
      </x:c>
      <x:c r="I550" s="54" t="n">
        <x:v>0.27053</x:v>
      </x:c>
      <x:c r="J550" s="54" t="n">
        <x:v>0.27257</x:v>
      </x:c>
      <x:c r="K550" s="54" t="n">
        <x:v>0.12205</x:v>
      </x:c>
      <x:c r="L550" s="54" t="n">
        <x:v>0.17902</x:v>
      </x:c>
      <x:c r="M550" s="54" t="n">
        <x:v>0.34903</x:v>
      </x:c>
      <x:c r="N550" s="56" t="n">
        <x:v>-9.82</x:v>
      </x:c>
      <x:c r="O550" s="56" t="n">
        <x:v>4.25</x:v>
      </x:c>
      <x:c r="P550" s="56" t="n">
        <x:v>6.14</x:v>
      </x:c>
      <x:c r="Q550" s="56" t="n">
        <x:v>73.9</x:v>
      </x:c>
      <x:c r="R550" t="str">
        <x:v>X</x:v>
      </x:c>
      <x:c r="S550" s="102" t="n">
        <x:v>100</x:v>
      </x:c>
      <x:c r="T550" t="str">
        <x:v>VALID</x:v>
      </x:c>
      <x:c r="U550" t="n">
        <x:v>2365</x:v>
      </x:c>
      <x:c r="V550" t="str">
        <x:v>Pasted text(56).txt</x:v>
      </x:c>
    </x:row>
    <x:row r="551">
      <x:c r="A551" t="str">
        <x:v>S06</x:v>
      </x:c>
      <x:c r="B551" t="str">
        <x:v>0.30 low-amplitude limit validation</x:v>
      </x:c>
      <x:c r="C551" s="54" t="n">
        <x:v>0.3</x:v>
      </x:c>
      <x:c r="D551" t="n">
        <x:v>4</x:v>
      </x:c>
      <x:c r="E551" t="n">
        <x:v>2</x:v>
      </x:c>
      <x:c r="F551" t="str">
        <x:v>FINAL</x:v>
      </x:c>
      <x:c r="G551" t="n">
        <x:v>3</x:v>
      </x:c>
      <x:c r="H551" s="54" t="n">
        <x:v>4.5</x:v>
      </x:c>
      <x:c r="I551" s="54" t="n">
        <x:v>0.26961</x:v>
      </x:c>
      <x:c r="J551" s="54" t="n">
        <x:v>0.27272</x:v>
      </x:c>
      <x:c r="K551" s="54" t="n">
        <x:v>0.10605</x:v>
      </x:c>
      <x:c r="L551" s="54" t="n">
        <x:v>0.18599</x:v>
      </x:c>
      <x:c r="M551" s="54" t="n">
        <x:v>0.3468</x:v>
      </x:c>
      <x:c r="N551" s="56" t="n">
        <x:v>-10.13</x:v>
      </x:c>
      <x:c r="O551" s="56" t="n">
        <x:v>3.85</x:v>
      </x:c>
      <x:c r="P551" s="56" t="n">
        <x:v>4.87</x:v>
      </x:c>
      <x:c r="Q551" s="56" t="n">
        <x:v>74.7</x:v>
      </x:c>
      <x:c r="R551" t="str">
        <x:v>X</x:v>
      </x:c>
      <x:c r="S551" s="102" t="n">
        <x:v>100</x:v>
      </x:c>
      <x:c r="T551" t="str">
        <x:v>VALID</x:v>
      </x:c>
      <x:c r="U551" t="n">
        <x:v>2366</x:v>
      </x:c>
      <x:c r="V551" t="str">
        <x:v>Pasted text(56).txt</x:v>
      </x:c>
    </x:row>
    <x:row r="552">
      <x:c r="A552" t="str">
        <x:v>S06</x:v>
      </x:c>
      <x:c r="B552" t="str">
        <x:v>0.30 low-amplitude limit validation</x:v>
      </x:c>
      <x:c r="C552" s="54" t="n">
        <x:v>0.3</x:v>
      </x:c>
      <x:c r="D552" t="n">
        <x:v>4</x:v>
      </x:c>
      <x:c r="E552" t="n">
        <x:v>2</x:v>
      </x:c>
      <x:c r="F552" t="str">
        <x:v>FINAL</x:v>
      </x:c>
      <x:c r="G552" t="n">
        <x:v>1</x:v>
      </x:c>
      <x:c r="H552" s="54" t="n">
        <x:v>4.75</x:v>
      </x:c>
      <x:c r="I552" s="54" t="n">
        <x:v>0.30965</x:v>
      </x:c>
      <x:c r="J552" s="54" t="n">
        <x:v>0.31061</x:v>
      </x:c>
      <x:c r="K552" s="54" t="n">
        <x:v>0.13894</x:v>
      </x:c>
      <x:c r="L552" s="54" t="n">
        <x:v>0.19155</x:v>
      </x:c>
      <x:c r="M552" s="54" t="n">
        <x:v>0.39166</x:v>
      </x:c>
      <x:c r="N552" s="56" t="n">
        <x:v>3.22</x:v>
      </x:c>
      <x:c r="O552" s="56" t="n">
        <x:v>1.35</x:v>
      </x:c>
      <x:c r="P552" s="56" t="n">
        <x:v>1.82</x:v>
      </x:c>
      <x:c r="Q552" s="56" t="n">
        <x:v>74.3</x:v>
      </x:c>
      <x:c r="R552" t="str">
        <x:v>X</x:v>
      </x:c>
      <x:c r="S552" s="102" t="n">
        <x:v>100</x:v>
      </x:c>
      <x:c r="T552" t="str">
        <x:v>IN TARGET BAND</x:v>
      </x:c>
      <x:c r="U552" t="n">
        <x:v>2370</x:v>
      </x:c>
      <x:c r="V552" t="str">
        <x:v>Pasted text(56).txt</x:v>
      </x:c>
    </x:row>
    <x:row r="553">
      <x:c r="A553" t="str">
        <x:v>S06</x:v>
      </x:c>
      <x:c r="B553" t="str">
        <x:v>0.30 low-amplitude limit validation</x:v>
      </x:c>
      <x:c r="C553" s="54" t="n">
        <x:v>0.3</x:v>
      </x:c>
      <x:c r="D553" t="n">
        <x:v>4</x:v>
      </x:c>
      <x:c r="E553" t="n">
        <x:v>2</x:v>
      </x:c>
      <x:c r="F553" t="str">
        <x:v>FINAL</x:v>
      </x:c>
      <x:c r="G553" t="n">
        <x:v>2</x:v>
      </x:c>
      <x:c r="H553" s="54" t="n">
        <x:v>4.75</x:v>
      </x:c>
      <x:c r="I553" s="54" t="n">
        <x:v>0.32534</x:v>
      </x:c>
      <x:c r="J553" s="54" t="n">
        <x:v>0.32372</x:v>
      </x:c>
      <x:c r="K553" s="54" t="n">
        <x:v>0.13878</x:v>
      </x:c>
      <x:c r="L553" s="54" t="n">
        <x:v>0.22474</x:v>
      </x:c>
      <x:c r="M553" s="54" t="n">
        <x:v>0.41856</x:v>
      </x:c>
      <x:c r="N553" s="56" t="n">
        <x:v>8.45</x:v>
      </x:c>
      <x:c r="O553" s="56" t="n">
        <x:v>2.92</x:v>
      </x:c>
      <x:c r="P553" s="56" t="n">
        <x:v>2.81</x:v>
      </x:c>
      <x:c r="Q553" s="56" t="n">
        <x:v>76.2</x:v>
      </x:c>
      <x:c r="R553" t="str">
        <x:v>X</x:v>
      </x:c>
      <x:c r="S553" s="102" t="n">
        <x:v>100</x:v>
      </x:c>
      <x:c r="T553" t="str">
        <x:v>VALID</x:v>
      </x:c>
      <x:c r="U553" t="n">
        <x:v>2371</x:v>
      </x:c>
      <x:c r="V553" t="str">
        <x:v>Pasted text(56).txt</x:v>
      </x:c>
    </x:row>
    <x:row r="554">
      <x:c r="A554" t="str">
        <x:v>S06</x:v>
      </x:c>
      <x:c r="B554" t="str">
        <x:v>0.30 low-amplitude limit validation</x:v>
      </x:c>
      <x:c r="C554" s="54" t="n">
        <x:v>0.3</x:v>
      </x:c>
      <x:c r="D554" t="n">
        <x:v>4</x:v>
      </x:c>
      <x:c r="E554" t="n">
        <x:v>2</x:v>
      </x:c>
      <x:c r="F554" t="str">
        <x:v>FINAL</x:v>
      </x:c>
      <x:c r="G554" t="n">
        <x:v>3</x:v>
      </x:c>
      <x:c r="H554" s="54" t="n">
        <x:v>4.75</x:v>
      </x:c>
      <x:c r="I554" s="54" t="n">
        <x:v>0.32076</x:v>
      </x:c>
      <x:c r="J554" s="54" t="n">
        <x:v>0.31795</x:v>
      </x:c>
      <x:c r="K554" s="54" t="n">
        <x:v>0.13124</x:v>
      </x:c>
      <x:c r="L554" s="54" t="n">
        <x:v>0.21733</x:v>
      </x:c>
      <x:c r="M554" s="54" t="n">
        <x:v>0.40752</x:v>
      </x:c>
      <x:c r="N554" s="56" t="n">
        <x:v>6.92</x:v>
      </x:c>
      <x:c r="O554" s="56" t="n">
        <x:v>2.33</x:v>
      </x:c>
      <x:c r="P554" s="56" t="n">
        <x:v>3.83</x:v>
      </x:c>
      <x:c r="Q554" s="56" t="n">
        <x:v>73.3</x:v>
      </x:c>
      <x:c r="R554" t="str">
        <x:v>X</x:v>
      </x:c>
      <x:c r="S554" s="102" t="n">
        <x:v>100</x:v>
      </x:c>
      <x:c r="T554" t="str">
        <x:v>IN TARGET BAND</x:v>
      </x:c>
      <x:c r="U554" t="n">
        <x:v>2372</x:v>
      </x:c>
      <x:c r="V554" t="str">
        <x:v>Pasted text(56).txt</x:v>
      </x:c>
    </x:row>
    <x:row r="555">
      <x:c r="A555" t="str">
        <x:v>S06</x:v>
      </x:c>
      <x:c r="B555" t="str">
        <x:v>0.30 low-amplitude limit validation</x:v>
      </x:c>
      <x:c r="C555" s="54" t="n">
        <x:v>0.3</x:v>
      </x:c>
      <x:c r="D555" t="n">
        <x:v>5</x:v>
      </x:c>
      <x:c r="E555" t="n">
        <x:v>1</x:v>
      </x:c>
      <x:c r="F555" t="str">
        <x:v>SEARCH</x:v>
      </x:c>
      <x:c r="G555" t="n">
        <x:v>1</x:v>
      </x:c>
      <x:c r="H555" s="54" t="n">
        <x:v>1</x:v>
      </x:c>
      <x:c r="I555" s="54" t="n">
        <x:v>0.0163</x:v>
      </x:c>
      <x:c r="J555" s="54" t="n">
        <x:v>0.01678</x:v>
      </x:c>
      <x:c r="K555" s="54" t="n">
        <x:v>0.00967</x:v>
      </x:c>
      <x:c r="L555" s="54" t="n">
        <x:v>0.03832</x:v>
      </x:c>
      <x:c r="M555" s="54" t="n">
        <x:v>0.04383</x:v>
      </x:c>
      <x:c r="N555" s="56" t="n">
        <x:v>-94.57</x:v>
      </x:c>
      <x:c r="O555" s="56" t="n">
        <x:v>8.69</x:v>
      </x:c>
      <x:c r="P555" s="56" t="n">
        <x:v>4.03</x:v>
      </x:c>
      <x:c r="Q555" s="56" t="n">
        <x:v>8.1</x:v>
      </x:c>
      <x:c r="R555" t="str">
        <x:v>Z</x:v>
      </x:c>
      <x:c r="S555" s="102" t="n">
        <x:v>43.8</x:v>
      </x:c>
      <x:c r="T555" t="str">
        <x:v>BELOW MEASUREMENT FLOOR — SEARCH CONTINUES</x:v>
      </x:c>
      <x:c r="U555" t="n">
        <x:v>2425</x:v>
      </x:c>
      <x:c r="V555" t="str">
        <x:v>Pasted text(56).txt</x:v>
      </x:c>
    </x:row>
    <x:row r="556">
      <x:c r="A556" t="str">
        <x:v>S06</x:v>
      </x:c>
      <x:c r="B556" t="str">
        <x:v>0.30 low-amplitude limit validation</x:v>
      </x:c>
      <x:c r="C556" s="54" t="n">
        <x:v>0.3</x:v>
      </x:c>
      <x:c r="D556" t="n">
        <x:v>5</x:v>
      </x:c>
      <x:c r="E556" t="n">
        <x:v>1</x:v>
      </x:c>
      <x:c r="F556" t="str">
        <x:v>SEARCH</x:v>
      </x:c>
      <x:c r="G556" t="n">
        <x:v>2</x:v>
      </x:c>
      <x:c r="H556" s="54" t="n">
        <x:v>3</x:v>
      </x:c>
      <x:c r="I556" s="54" t="n">
        <x:v>0.14437</x:v>
      </x:c>
      <x:c r="J556" s="54" t="n">
        <x:v>0.14514</x:v>
      </x:c>
      <x:c r="K556" s="54" t="n">
        <x:v>0.07035</x:v>
      </x:c>
      <x:c r="L556" s="54" t="n">
        <x:v>0.10437</x:v>
      </x:c>
      <x:c r="M556" s="54" t="n">
        <x:v>0.19415</x:v>
      </x:c>
      <x:c r="N556" s="56" t="n">
        <x:v>-51.88</x:v>
      </x:c>
      <x:c r="O556" s="56" t="n">
        <x:v>3.56</x:v>
      </x:c>
      <x:c r="P556" s="56" t="n">
        <x:v>3.22</x:v>
      </x:c>
      <x:c r="Q556" s="56" t="n">
        <x:v>50.1</x:v>
      </x:c>
      <x:c r="R556" t="str">
        <x:v>X</x:v>
      </x:c>
      <x:c r="S556" s="102" t="n">
        <x:v>100</x:v>
      </x:c>
      <x:c r="T556" t="str">
        <x:v>UNSTABLE — SEARCH CONTINUES</x:v>
      </x:c>
      <x:c r="U556" t="n">
        <x:v>2426</x:v>
      </x:c>
      <x:c r="V556" t="str">
        <x:v>Pasted text(56).txt</x:v>
      </x:c>
    </x:row>
    <x:row r="557">
      <x:c r="A557" t="str">
        <x:v>S06</x:v>
      </x:c>
      <x:c r="B557" t="str">
        <x:v>0.30 low-amplitude limit validation</x:v>
      </x:c>
      <x:c r="C557" s="54" t="n">
        <x:v>0.3</x:v>
      </x:c>
      <x:c r="D557" t="n">
        <x:v>5</x:v>
      </x:c>
      <x:c r="E557" t="n">
        <x:v>1</x:v>
      </x:c>
      <x:c r="F557" t="str">
        <x:v>SEARCH</x:v>
      </x:c>
      <x:c r="G557" t="n">
        <x:v>3</x:v>
      </x:c>
      <x:c r="H557" s="54" t="n">
        <x:v>4</x:v>
      </x:c>
      <x:c r="I557" s="54" t="n">
        <x:v>0.25689</x:v>
      </x:c>
      <x:c r="J557" s="54" t="n">
        <x:v>0.25585</x:v>
      </x:c>
      <x:c r="K557" s="54" t="n">
        <x:v>0.11163</x:v>
      </x:c>
      <x:c r="L557" s="54" t="n">
        <x:v>0.16521</x:v>
      </x:c>
      <x:c r="M557" s="54" t="n">
        <x:v>0.32495</x:v>
      </x:c>
      <x:c r="N557" s="56" t="n">
        <x:v>-14.37</x:v>
      </x:c>
      <x:c r="O557" s="56" t="n">
        <x:v>0.95</x:v>
      </x:c>
      <x:c r="P557" s="56" t="n">
        <x:v>1.3</x:v>
      </x:c>
      <x:c r="Q557" s="56" t="n">
        <x:v>69.8</x:v>
      </x:c>
      <x:c r="R557" t="str">
        <x:v>X</x:v>
      </x:c>
      <x:c r="S557" s="102" t="n">
        <x:v>100</x:v>
      </x:c>
      <x:c r="T557" t="str">
        <x:v>VALID</x:v>
      </x:c>
      <x:c r="U557" t="n">
        <x:v>2427</x:v>
      </x:c>
      <x:c r="V557" t="str">
        <x:v>Pasted text(56).txt</x:v>
      </x:c>
    </x:row>
    <x:row r="558">
      <x:c r="A558" t="str">
        <x:v>S06</x:v>
      </x:c>
      <x:c r="B558" t="str">
        <x:v>0.30 low-amplitude limit validation</x:v>
      </x:c>
      <x:c r="C558" s="54" t="n">
        <x:v>0.3</x:v>
      </x:c>
      <x:c r="D558" t="n">
        <x:v>5</x:v>
      </x:c>
      <x:c r="E558" t="n">
        <x:v>1</x:v>
      </x:c>
      <x:c r="F558" t="str">
        <x:v>SEARCH</x:v>
      </x:c>
      <x:c r="G558" t="n">
        <x:v>4</x:v>
      </x:c>
      <x:c r="H558" s="54" t="n">
        <x:v>4.25</x:v>
      </x:c>
      <x:c r="I558" s="54" t="n">
        <x:v>0.25383</x:v>
      </x:c>
      <x:c r="J558" s="54" t="n">
        <x:v>0.26119</x:v>
      </x:c>
      <x:c r="K558" s="54" t="n">
        <x:v>0.12909</x:v>
      </x:c>
      <x:c r="L558" s="54" t="n">
        <x:v>0.1817</x:v>
      </x:c>
      <x:c r="M558" s="54" t="n">
        <x:v>0.34371</x:v>
      </x:c>
      <x:c r="N558" s="56" t="n">
        <x:v>-15.39</x:v>
      </x:c>
      <x:c r="O558" s="56" t="n">
        <x:v>2.76</x:v>
      </x:c>
      <x:c r="P558" s="56" t="n">
        <x:v>6.51</x:v>
      </x:c>
      <x:c r="Q558" s="56" t="n">
        <x:v>70.3</x:v>
      </x:c>
      <x:c r="R558" t="str">
        <x:v>X</x:v>
      </x:c>
      <x:c r="S558" s="102" t="n">
        <x:v>100</x:v>
      </x:c>
      <x:c r="T558" t="str">
        <x:v>VALID</x:v>
      </x:c>
      <x:c r="U558" t="n">
        <x:v>2428</x:v>
      </x:c>
      <x:c r="V558" t="str">
        <x:v>Pasted text(56).txt</x:v>
      </x:c>
    </x:row>
    <x:row r="559">
      <x:c r="A559" t="str">
        <x:v>S06</x:v>
      </x:c>
      <x:c r="B559" t="str">
        <x:v>0.30 low-amplitude limit validation</x:v>
      </x:c>
      <x:c r="C559" s="54" t="n">
        <x:v>0.3</x:v>
      </x:c>
      <x:c r="D559" t="n">
        <x:v>5</x:v>
      </x:c>
      <x:c r="E559" t="n">
        <x:v>1</x:v>
      </x:c>
      <x:c r="F559" t="str">
        <x:v>SEARCH</x:v>
      </x:c>
      <x:c r="G559" t="n">
        <x:v>5</x:v>
      </x:c>
      <x:c r="H559" s="54" t="n">
        <x:v>4.75</x:v>
      </x:c>
      <x:c r="I559" s="54" t="n">
        <x:v>0.33099</x:v>
      </x:c>
      <x:c r="J559" s="54" t="n">
        <x:v>0.33292</x:v>
      </x:c>
      <x:c r="K559" s="54" t="n">
        <x:v>0.14119</x:v>
      </x:c>
      <x:c r="L559" s="54" t="n">
        <x:v>0.19702</x:v>
      </x:c>
      <x:c r="M559" s="54" t="n">
        <x:v>0.4123</x:v>
      </x:c>
      <x:c r="N559" s="56" t="n">
        <x:v>10.33</x:v>
      </x:c>
      <x:c r="O559" s="56" t="n">
        <x:v>4.69</x:v>
      </x:c>
      <x:c r="P559" s="56" t="n">
        <x:v>4.04</x:v>
      </x:c>
      <x:c r="Q559" s="56" t="n">
        <x:v>72</x:v>
      </x:c>
      <x:c r="R559" t="str">
        <x:v>X</x:v>
      </x:c>
      <x:c r="S559" s="102" t="n">
        <x:v>100</x:v>
      </x:c>
      <x:c r="T559" t="str">
        <x:v>VALID</x:v>
      </x:c>
      <x:c r="U559" t="n">
        <x:v>2429</x:v>
      </x:c>
      <x:c r="V559" t="str">
        <x:v>Pasted text(56).txt</x:v>
      </x:c>
    </x:row>
    <x:row r="560">
      <x:c r="A560" t="str">
        <x:v>S06</x:v>
      </x:c>
      <x:c r="B560" t="str">
        <x:v>0.30 low-amplitude limit validation</x:v>
      </x:c>
      <x:c r="C560" s="54" t="n">
        <x:v>0.3</x:v>
      </x:c>
      <x:c r="D560" t="n">
        <x:v>5</x:v>
      </x:c>
      <x:c r="E560" t="n">
        <x:v>1</x:v>
      </x:c>
      <x:c r="F560" t="str">
        <x:v>FINE</x:v>
      </x:c>
      <x:c r="G560" t="n">
        <x:v>1</x:v>
      </x:c>
      <x:c r="H560" s="54" t="n">
        <x:v>3.5</x:v>
      </x:c>
      <x:c r="I560" s="54" t="n">
        <x:v>0.17683</x:v>
      </x:c>
      <x:c r="J560" s="54" t="n">
        <x:v>0.16492</x:v>
      </x:c>
      <x:c r="K560" s="54" t="n">
        <x:v>0.07083</x:v>
      </x:c>
      <x:c r="L560" s="54" t="n">
        <x:v>0.12417</x:v>
      </x:c>
      <x:c r="M560" s="54" t="n">
        <x:v>0.21843</x:v>
      </x:c>
      <x:c r="N560" s="56" t="n">
        <x:v>-41.06</x:v>
      </x:c>
      <x:c r="O560" s="56" t="n">
        <x:v>0.21</x:v>
      </x:c>
      <x:c r="P560" s="56" t="n">
        <x:v>12.64</x:v>
      </x:c>
      <x:c r="Q560" s="56" t="n">
        <x:v>49.9</x:v>
      </x:c>
      <x:c r="R560" t="str">
        <x:v>X</x:v>
      </x:c>
      <x:c r="S560" s="102" t="n">
        <x:v>100</x:v>
      </x:c>
      <x:c r="T560" t="str">
        <x:v>UNSTABLE — SEARCH CONTINUES</x:v>
      </x:c>
      <x:c r="U560" t="n">
        <x:v>2434</x:v>
      </x:c>
      <x:c r="V560" t="str">
        <x:v>Pasted text(56).txt</x:v>
      </x:c>
    </x:row>
    <x:row r="561">
      <x:c r="A561" t="str">
        <x:v>S06</x:v>
      </x:c>
      <x:c r="B561" t="str">
        <x:v>0.30 low-amplitude limit validation</x:v>
      </x:c>
      <x:c r="C561" s="54" t="n">
        <x:v>0.3</x:v>
      </x:c>
      <x:c r="D561" t="n">
        <x:v>5</x:v>
      </x:c>
      <x:c r="E561" t="n">
        <x:v>1</x:v>
      </x:c>
      <x:c r="F561" t="str">
        <x:v>FINE</x:v>
      </x:c>
      <x:c r="G561" t="n">
        <x:v>2</x:v>
      </x:c>
      <x:c r="H561" s="54" t="n">
        <x:v>3.75</x:v>
      </x:c>
      <x:c r="I561" s="54" t="n">
        <x:v>0.22505</x:v>
      </x:c>
      <x:c r="J561" s="54" t="n">
        <x:v>0.22404</x:v>
      </x:c>
      <x:c r="K561" s="54" t="n">
        <x:v>0.10755</x:v>
      </x:c>
      <x:c r="L561" s="54" t="n">
        <x:v>0.15027</x:v>
      </x:c>
      <x:c r="M561" s="54" t="n">
        <x:v>0.29128</x:v>
      </x:c>
      <x:c r="N561" s="56" t="n">
        <x:v>-24.98</x:v>
      </x:c>
      <x:c r="O561" s="56" t="n">
        <x:v>16.38</x:v>
      </x:c>
      <x:c r="P561" s="56" t="n">
        <x:v>11.78</x:v>
      </x:c>
      <x:c r="Q561" s="56" t="n">
        <x:v>57.8</x:v>
      </x:c>
      <x:c r="R561" t="str">
        <x:v>X</x:v>
      </x:c>
      <x:c r="S561" s="102" t="n">
        <x:v>100</x:v>
      </x:c>
      <x:c r="T561" t="str">
        <x:v>UNSTABLE — SEARCH CONTINUES</x:v>
      </x:c>
      <x:c r="U561" t="n">
        <x:v>2435</x:v>
      </x:c>
      <x:c r="V561" t="str">
        <x:v>Pasted text(56).txt</x:v>
      </x:c>
    </x:row>
    <x:row r="562">
      <x:c r="A562" t="str">
        <x:v>S06</x:v>
      </x:c>
      <x:c r="B562" t="str">
        <x:v>0.30 low-amplitude limit validation</x:v>
      </x:c>
      <x:c r="C562" s="54" t="n">
        <x:v>0.3</x:v>
      </x:c>
      <x:c r="D562" t="n">
        <x:v>5</x:v>
      </x:c>
      <x:c r="E562" t="n">
        <x:v>1</x:v>
      </x:c>
      <x:c r="F562" t="str">
        <x:v>FINE</x:v>
      </x:c>
      <x:c r="G562" t="n">
        <x:v>3</x:v>
      </x:c>
      <x:c r="H562" s="54" t="n">
        <x:v>4</x:v>
      </x:c>
      <x:c r="I562" s="54" t="n">
        <x:v>0.26714</x:v>
      </x:c>
      <x:c r="J562" s="54" t="n">
        <x:v>0.26662</x:v>
      </x:c>
      <x:c r="K562" s="54" t="n">
        <x:v>0.12028</x:v>
      </x:c>
      <x:c r="L562" s="54" t="n">
        <x:v>0.15834</x:v>
      </x:c>
      <x:c r="M562" s="54" t="n">
        <x:v>0.33331</x:v>
      </x:c>
      <x:c r="N562" s="56" t="n">
        <x:v>-10.95</x:v>
      </x:c>
      <x:c r="O562" s="56" t="n">
        <x:v>2.18</x:v>
      </x:c>
      <x:c r="P562" s="56" t="n">
        <x:v>1.77</x:v>
      </x:c>
      <x:c r="Q562" s="56" t="n">
        <x:v>70.3</x:v>
      </x:c>
      <x:c r="R562" t="str">
        <x:v>X</x:v>
      </x:c>
      <x:c r="S562" s="102" t="n">
        <x:v>100</x:v>
      </x:c>
      <x:c r="T562" t="str">
        <x:v>VALID</x:v>
      </x:c>
      <x:c r="U562" t="n">
        <x:v>2436</x:v>
      </x:c>
      <x:c r="V562" t="str">
        <x:v>Pasted text(56).txt</x:v>
      </x:c>
    </x:row>
    <x:row r="563">
      <x:c r="A563" t="str">
        <x:v>S06</x:v>
      </x:c>
      <x:c r="B563" t="str">
        <x:v>0.30 low-amplitude limit validation</x:v>
      </x:c>
      <x:c r="C563" s="54" t="n">
        <x:v>0.3</x:v>
      </x:c>
      <x:c r="D563" t="n">
        <x:v>5</x:v>
      </x:c>
      <x:c r="E563" t="n">
        <x:v>1</x:v>
      </x:c>
      <x:c r="F563" t="str">
        <x:v>FINE</x:v>
      </x:c>
      <x:c r="G563" t="n">
        <x:v>4</x:v>
      </x:c>
      <x:c r="H563" s="54" t="n">
        <x:v>4.25</x:v>
      </x:c>
      <x:c r="I563" s="54" t="n">
        <x:v>0.27509</x:v>
      </x:c>
      <x:c r="J563" s="54" t="n">
        <x:v>0.2696</x:v>
      </x:c>
      <x:c r="K563" s="54" t="n">
        <x:v>0.11085</x:v>
      </x:c>
      <x:c r="L563" s="54" t="n">
        <x:v>0.17222</x:v>
      </x:c>
      <x:c r="M563" s="54" t="n">
        <x:v>0.33903</x:v>
      </x:c>
      <x:c r="N563" s="56" t="n">
        <x:v>-8.3</x:v>
      </x:c>
      <x:c r="O563" s="56" t="n">
        <x:v>2.58</x:v>
      </x:c>
      <x:c r="P563" s="56" t="n">
        <x:v>5.14</x:v>
      </x:c>
      <x:c r="Q563" s="56" t="n">
        <x:v>71.8</x:v>
      </x:c>
      <x:c r="R563" t="str">
        <x:v>X</x:v>
      </x:c>
      <x:c r="S563" s="102" t="n">
        <x:v>100</x:v>
      </x:c>
      <x:c r="T563" t="str">
        <x:v>VALID</x:v>
      </x:c>
      <x:c r="U563" t="n">
        <x:v>2437</x:v>
      </x:c>
      <x:c r="V563" t="str">
        <x:v>Pasted text(56).txt</x:v>
      </x:c>
    </x:row>
    <x:row r="564">
      <x:c r="A564" t="str">
        <x:v>S06</x:v>
      </x:c>
      <x:c r="B564" t="str">
        <x:v>0.30 low-amplitude limit validation</x:v>
      </x:c>
      <x:c r="C564" s="54" t="n">
        <x:v>0.3</x:v>
      </x:c>
      <x:c r="D564" t="n">
        <x:v>5</x:v>
      </x:c>
      <x:c r="E564" t="n">
        <x:v>1</x:v>
      </x:c>
      <x:c r="F564" t="str">
        <x:v>FINE</x:v>
      </x:c>
      <x:c r="G564" t="n">
        <x:v>5</x:v>
      </x:c>
      <x:c r="H564" s="54" t="n">
        <x:v>4.5</x:v>
      </x:c>
      <x:c r="I564" s="54" t="n">
        <x:v>0.29072</x:v>
      </x:c>
      <x:c r="J564" s="54" t="n">
        <x:v>0.29154</x:v>
      </x:c>
      <x:c r="K564" s="54" t="n">
        <x:v>0.10639</x:v>
      </x:c>
      <x:c r="L564" s="54" t="n">
        <x:v>0.15829</x:v>
      </x:c>
      <x:c r="M564" s="54" t="n">
        <x:v>0.35015</x:v>
      </x:c>
      <x:c r="N564" s="56" t="n">
        <x:v>-3.09</x:v>
      </x:c>
      <x:c r="O564" s="56" t="n">
        <x:v>3.73</x:v>
      </x:c>
      <x:c r="P564" s="56" t="n">
        <x:v>2.94</x:v>
      </x:c>
      <x:c r="Q564" s="56" t="n">
        <x:v>72.8</x:v>
      </x:c>
      <x:c r="R564" t="str">
        <x:v>X</x:v>
      </x:c>
      <x:c r="S564" s="102" t="n">
        <x:v>100</x:v>
      </x:c>
      <x:c r="T564" t="str">
        <x:v>IN TARGET BAND</x:v>
      </x:c>
      <x:c r="U564" t="n">
        <x:v>2438</x:v>
      </x:c>
      <x:c r="V564" t="str">
        <x:v>Pasted text(56).txt</x:v>
      </x:c>
    </x:row>
    <x:row r="565">
      <x:c r="A565" t="str">
        <x:v>S06</x:v>
      </x:c>
      <x:c r="B565" t="str">
        <x:v>0.30 low-amplitude limit validation</x:v>
      </x:c>
      <x:c r="C565" s="54" t="n">
        <x:v>0.3</x:v>
      </x:c>
      <x:c r="D565" t="n">
        <x:v>5</x:v>
      </x:c>
      <x:c r="E565" t="n">
        <x:v>1</x:v>
      </x:c>
      <x:c r="F565" t="str">
        <x:v>FINE</x:v>
      </x:c>
      <x:c r="G565" t="n">
        <x:v>6</x:v>
      </x:c>
      <x:c r="H565" s="54" t="n">
        <x:v>4.75</x:v>
      </x:c>
      <x:c r="I565" s="54" t="n">
        <x:v>0.33017</x:v>
      </x:c>
      <x:c r="J565" s="54" t="n">
        <x:v>0.3279</x:v>
      </x:c>
      <x:c r="K565" s="54" t="n">
        <x:v>0.13875</x:v>
      </x:c>
      <x:c r="L565" s="54" t="n">
        <x:v>0.19436</x:v>
      </x:c>
      <x:c r="M565" s="54" t="n">
        <x:v>0.40569</x:v>
      </x:c>
      <x:c r="N565" s="56" t="n">
        <x:v>10.06</x:v>
      </x:c>
      <x:c r="O565" s="56" t="n">
        <x:v>0.31</x:v>
      </x:c>
      <x:c r="P565" s="56" t="n">
        <x:v>1.39</x:v>
      </x:c>
      <x:c r="Q565" s="56" t="n">
        <x:v>71.9</x:v>
      </x:c>
      <x:c r="R565" t="str">
        <x:v>X</x:v>
      </x:c>
      <x:c r="S565" s="102" t="n">
        <x:v>100</x:v>
      </x:c>
      <x:c r="T565" t="str">
        <x:v>VALID</x:v>
      </x:c>
      <x:c r="U565" t="n">
        <x:v>2439</x:v>
      </x:c>
      <x:c r="V565" t="str">
        <x:v>Pasted text(56).txt</x:v>
      </x:c>
    </x:row>
    <x:row r="566">
      <x:c r="A566" t="str">
        <x:v>S06</x:v>
      </x:c>
      <x:c r="B566" t="str">
        <x:v>0.30 low-amplitude limit validation</x:v>
      </x:c>
      <x:c r="C566" s="54" t="n">
        <x:v>0.3</x:v>
      </x:c>
      <x:c r="D566" t="n">
        <x:v>5</x:v>
      </x:c>
      <x:c r="E566" t="n">
        <x:v>1</x:v>
      </x:c>
      <x:c r="F566" t="str">
        <x:v>FINE</x:v>
      </x:c>
      <x:c r="G566" t="n">
        <x:v>7</x:v>
      </x:c>
      <x:c r="H566" s="54" t="n">
        <x:v>5</x:v>
      </x:c>
      <x:c r="I566" s="54" t="n">
        <x:v>0.35103</x:v>
      </x:c>
      <x:c r="J566" s="54" t="n">
        <x:v>0.35253</x:v>
      </x:c>
      <x:c r="K566" s="54" t="n">
        <x:v>0.13917</x:v>
      </x:c>
      <x:c r="L566" s="54" t="n">
        <x:v>0.2396</x:v>
      </x:c>
      <x:c r="M566" s="54" t="n">
        <x:v>0.44866</x:v>
      </x:c>
      <x:c r="N566" s="56" t="n">
        <x:v>17.01</x:v>
      </x:c>
      <x:c r="O566" s="56" t="n">
        <x:v>4.56</x:v>
      </x:c>
      <x:c r="P566" s="56" t="n">
        <x:v>3.72</x:v>
      </x:c>
      <x:c r="Q566" s="56" t="n">
        <x:v>78</x:v>
      </x:c>
      <x:c r="R566" t="str">
        <x:v>X</x:v>
      </x:c>
      <x:c r="S566" s="102" t="n">
        <x:v>100</x:v>
      </x:c>
      <x:c r="T566" t="str">
        <x:v>VALID</x:v>
      </x:c>
      <x:c r="U566" t="n">
        <x:v>2440</x:v>
      </x:c>
      <x:c r="V566" t="str">
        <x:v>Pasted text(56).txt</x:v>
      </x:c>
    </x:row>
    <x:row r="567">
      <x:c r="A567" t="str">
        <x:v>S06</x:v>
      </x:c>
      <x:c r="B567" t="str">
        <x:v>0.30 low-amplitude limit validation</x:v>
      </x:c>
      <x:c r="C567" s="54" t="n">
        <x:v>0.3</x:v>
      </x:c>
      <x:c r="D567" t="n">
        <x:v>5</x:v>
      </x:c>
      <x:c r="E567" t="n">
        <x:v>1</x:v>
      </x:c>
      <x:c r="F567" t="str">
        <x:v>FINE</x:v>
      </x:c>
      <x:c r="G567" t="n">
        <x:v>8</x:v>
      </x:c>
      <x:c r="H567" s="54" t="n">
        <x:v>5.25</x:v>
      </x:c>
      <x:c r="I567" s="54" t="n">
        <x:v>0.37008</x:v>
      </x:c>
      <x:c r="J567" s="54" t="n">
        <x:v>0.36815</x:v>
      </x:c>
      <x:c r="K567" s="54" t="n">
        <x:v>0.16169</x:v>
      </x:c>
      <x:c r="L567" s="54" t="n">
        <x:v>0.22856</x:v>
      </x:c>
      <x:c r="M567" s="54" t="n">
        <x:v>0.46311</x:v>
      </x:c>
      <x:c r="N567" s="56" t="n">
        <x:v>23.36</x:v>
      </x:c>
      <x:c r="O567" s="56" t="n">
        <x:v>6.26</x:v>
      </x:c>
      <x:c r="P567" s="56" t="n">
        <x:v>5.05</x:v>
      </x:c>
      <x:c r="Q567" s="56" t="n">
        <x:v>77.9</x:v>
      </x:c>
      <x:c r="R567" t="str">
        <x:v>X</x:v>
      </x:c>
      <x:c r="S567" s="102" t="n">
        <x:v>100</x:v>
      </x:c>
      <x:c r="T567" t="str">
        <x:v>VALID</x:v>
      </x:c>
      <x:c r="U567" t="n">
        <x:v>2441</x:v>
      </x:c>
      <x:c r="V567" t="str">
        <x:v>Pasted text(56).txt</x:v>
      </x:c>
    </x:row>
    <x:row r="568">
      <x:c r="A568" t="str">
        <x:v>S06</x:v>
      </x:c>
      <x:c r="B568" t="str">
        <x:v>0.30 low-amplitude limit validation</x:v>
      </x:c>
      <x:c r="C568" s="54" t="n">
        <x:v>0.3</x:v>
      </x:c>
      <x:c r="D568" t="n">
        <x:v>5</x:v>
      </x:c>
      <x:c r="E568" t="n">
        <x:v>1</x:v>
      </x:c>
      <x:c r="F568" t="str">
        <x:v>FINE</x:v>
      </x:c>
      <x:c r="G568" t="n">
        <x:v>9</x:v>
      </x:c>
      <x:c r="H568" s="54" t="n">
        <x:v>5.5</x:v>
      </x:c>
      <x:c r="I568" s="54" t="n">
        <x:v>0.371</x:v>
      </x:c>
      <x:c r="J568" s="54" t="n">
        <x:v>0.37601</x:v>
      </x:c>
      <x:c r="K568" s="54" t="n">
        <x:v>0.1535</x:v>
      </x:c>
      <x:c r="L568" s="54" t="n">
        <x:v>0.24424</x:v>
      </x:c>
      <x:c r="M568" s="54" t="n">
        <x:v>0.47453</x:v>
      </x:c>
      <x:c r="N568" s="56" t="n">
        <x:v>23.67</x:v>
      </x:c>
      <x:c r="O568" s="56" t="n">
        <x:v>1.19</x:v>
      </x:c>
      <x:c r="P568" s="56" t="n">
        <x:v>3.02</x:v>
      </x:c>
      <x:c r="Q568" s="56" t="n">
        <x:v>73.8</x:v>
      </x:c>
      <x:c r="R568" t="str">
        <x:v>X</x:v>
      </x:c>
      <x:c r="S568" s="102" t="n">
        <x:v>100</x:v>
      </x:c>
      <x:c r="T568" t="str">
        <x:v>VALID</x:v>
      </x:c>
      <x:c r="U568" t="n">
        <x:v>2442</x:v>
      </x:c>
      <x:c r="V568" t="str">
        <x:v>Pasted text(56).txt</x:v>
      </x:c>
    </x:row>
    <x:row r="569">
      <x:c r="A569" t="str">
        <x:v>S06</x:v>
      </x:c>
      <x:c r="B569" t="str">
        <x:v>0.30 low-amplitude limit validation</x:v>
      </x:c>
      <x:c r="C569" s="54" t="n">
        <x:v>0.3</x:v>
      </x:c>
      <x:c r="D569" t="n">
        <x:v>5</x:v>
      </x:c>
      <x:c r="E569" t="n">
        <x:v>1</x:v>
      </x:c>
      <x:c r="F569" t="str">
        <x:v>FINAL</x:v>
      </x:c>
      <x:c r="G569" t="n">
        <x:v>1</x:v>
      </x:c>
      <x:c r="H569" s="54" t="n">
        <x:v>4.5</x:v>
      </x:c>
      <x:c r="I569" s="54" t="n">
        <x:v>0.28108</x:v>
      </x:c>
      <x:c r="J569" s="54" t="n">
        <x:v>0.2847</x:v>
      </x:c>
      <x:c r="K569" s="54" t="n">
        <x:v>0.11913</x:v>
      </x:c>
      <x:c r="L569" s="54" t="n">
        <x:v>0.19225</x:v>
      </x:c>
      <x:c r="M569" s="54" t="n">
        <x:v>0.36433</x:v>
      </x:c>
      <x:c r="N569" s="56" t="n">
        <x:v>-6.31</x:v>
      </x:c>
      <x:c r="O569" s="56" t="n">
        <x:v>4.71</x:v>
      </x:c>
      <x:c r="P569" s="56" t="n">
        <x:v>3.56</x:v>
      </x:c>
      <x:c r="Q569" s="56" t="n">
        <x:v>70</x:v>
      </x:c>
      <x:c r="R569" t="str">
        <x:v>X</x:v>
      </x:c>
      <x:c r="S569" s="102" t="n">
        <x:v>100</x:v>
      </x:c>
      <x:c r="T569" t="str">
        <x:v>IN TARGET BAND</x:v>
      </x:c>
      <x:c r="U569" t="n">
        <x:v>2445</x:v>
      </x:c>
      <x:c r="V569" t="str">
        <x:v>Pasted text(56).txt</x:v>
      </x:c>
    </x:row>
    <x:row r="570">
      <x:c r="A570" t="str">
        <x:v>S06</x:v>
      </x:c>
      <x:c r="B570" t="str">
        <x:v>0.30 low-amplitude limit validation</x:v>
      </x:c>
      <x:c r="C570" s="54" t="n">
        <x:v>0.3</x:v>
      </x:c>
      <x:c r="D570" t="n">
        <x:v>5</x:v>
      </x:c>
      <x:c r="E570" t="n">
        <x:v>1</x:v>
      </x:c>
      <x:c r="F570" t="str">
        <x:v>FINAL</x:v>
      </x:c>
      <x:c r="G570" t="n">
        <x:v>2</x:v>
      </x:c>
      <x:c r="H570" s="54" t="n">
        <x:v>4.5</x:v>
      </x:c>
      <x:c r="I570" s="54" t="n">
        <x:v>0.29601</x:v>
      </x:c>
      <x:c r="J570" s="54" t="n">
        <x:v>0.29211</x:v>
      </x:c>
      <x:c r="K570" s="54" t="n">
        <x:v>0.12652</x:v>
      </x:c>
      <x:c r="L570" s="54" t="n">
        <x:v>0.19874</x:v>
      </x:c>
      <x:c r="M570" s="54" t="n">
        <x:v>0.37647</x:v>
      </x:c>
      <x:c r="N570" s="56" t="n">
        <x:v>-1.33</x:v>
      </x:c>
      <x:c r="O570" s="56" t="n">
        <x:v>7.5</x:v>
      </x:c>
      <x:c r="P570" s="56" t="n">
        <x:v>6.8</x:v>
      </x:c>
      <x:c r="Q570" s="56" t="n">
        <x:v>70.8</x:v>
      </x:c>
      <x:c r="R570" t="str">
        <x:v>X</x:v>
      </x:c>
      <x:c r="S570" s="102" t="n">
        <x:v>100</x:v>
      </x:c>
      <x:c r="T570" t="str">
        <x:v>IN TARGET BAND</x:v>
      </x:c>
      <x:c r="U570" t="n">
        <x:v>2446</x:v>
      </x:c>
      <x:c r="V570" t="str">
        <x:v>Pasted text(56).txt</x:v>
      </x:c>
    </x:row>
    <x:row r="571">
      <x:c r="A571" t="str">
        <x:v>S07</x:v>
      </x:c>
      <x:c r="B571" t="str">
        <x:v>0.65 preliminary single-run failure</x:v>
      </x:c>
      <x:c r="C571" s="54" t="n">
        <x:v>0.65</x:v>
      </x:c>
      <x:c r="D571" t="n">
        <x:v>1</x:v>
      </x:c>
      <x:c r="E571" t="n">
        <x:v>1</x:v>
      </x:c>
      <x:c r="F571" t="str">
        <x:v>SEARCH</x:v>
      </x:c>
      <x:c r="G571" t="n">
        <x:v>1</x:v>
      </x:c>
      <x:c r="H571" s="54" t="n">
        <x:v>1</x:v>
      </x:c>
      <x:c r="I571" s="54" t="n">
        <x:v>0.01032</x:v>
      </x:c>
      <x:c r="J571" s="54" t="n">
        <x:v>0.01357</x:v>
      </x:c>
      <x:c r="K571" s="54" t="n">
        <x:v>0.01597</x:v>
      </x:c>
      <x:c r="L571" s="54" t="n">
        <x:v>0.03007</x:v>
      </x:c>
      <x:c r="M571" s="54" t="n">
        <x:v>0.03809</x:v>
      </x:c>
      <x:c r="N571" s="56" t="n">
        <x:v>-98.41</x:v>
      </x:c>
      <x:c r="O571" s="56" t="n">
        <x:v>74.94</x:v>
      </x:c>
      <x:c r="P571" s="56" t="n">
        <x:v>77.25</x:v>
      </x:c>
      <x:c r="Q571" s="56" t="n">
        <x:v>8.7</x:v>
      </x:c>
      <x:c r="R571" t="str">
        <x:v>Z</x:v>
      </x:c>
      <x:c r="S571" s="102" t="n">
        <x:v>45.1</x:v>
      </x:c>
      <x:c r="T571" t="str">
        <x:v>BELOW MEASUREMENT FLOOR — SEARCH CONTINUES</x:v>
      </x:c>
      <x:c r="U571" t="n">
        <x:v>2540</x:v>
      </x:c>
      <x:c r="V571" t="str">
        <x:v>Pasted text(56).txt</x:v>
      </x:c>
    </x:row>
    <x:row r="572">
      <x:c r="A572" t="str">
        <x:v>S07</x:v>
      </x:c>
      <x:c r="B572" t="str">
        <x:v>0.65 preliminary single-run failure</x:v>
      </x:c>
      <x:c r="C572" s="54" t="n">
        <x:v>0.65</x:v>
      </x:c>
      <x:c r="D572" t="n">
        <x:v>1</x:v>
      </x:c>
      <x:c r="E572" t="n">
        <x:v>1</x:v>
      </x:c>
      <x:c r="F572" t="str">
        <x:v>SEARCH</x:v>
      </x:c>
      <x:c r="G572" t="n">
        <x:v>2</x:v>
      </x:c>
      <x:c r="H572" s="54" t="n">
        <x:v>3</x:v>
      </x:c>
      <x:c r="I572" s="54" t="n">
        <x:v>0.01699</x:v>
      </x:c>
      <x:c r="J572" s="54" t="n">
        <x:v>0.01823</x:v>
      </x:c>
      <x:c r="K572" s="54" t="n">
        <x:v>0.01388</x:v>
      </x:c>
      <x:c r="L572" s="54" t="n">
        <x:v>0.03292</x:v>
      </x:c>
      <x:c r="M572" s="54" t="n">
        <x:v>0.04053</x:v>
      </x:c>
      <x:c r="N572" s="56" t="n">
        <x:v>-97.39</x:v>
      </x:c>
      <x:c r="O572" s="56" t="n">
        <x:v>21.62</x:v>
      </x:c>
      <x:c r="P572" s="56" t="n">
        <x:v>9.61</x:v>
      </x:c>
      <x:c r="Q572" s="56" t="n">
        <x:v>12.7</x:v>
      </x:c>
      <x:c r="R572" t="str">
        <x:v>Z</x:v>
      </x:c>
      <x:c r="S572" s="102" t="n">
        <x:v>55.4</x:v>
      </x:c>
      <x:c r="T572" t="str">
        <x:v>BELOW MEASUREMENT FLOOR — SEARCH CONTINUES</x:v>
      </x:c>
      <x:c r="U572" t="n">
        <x:v>2541</x:v>
      </x:c>
      <x:c r="V572" t="str">
        <x:v>Pasted text(56).txt</x:v>
      </x:c>
    </x:row>
    <x:row r="573">
      <x:c r="A573" t="str">
        <x:v>S07</x:v>
      </x:c>
      <x:c r="B573" t="str">
        <x:v>0.65 preliminary single-run failure</x:v>
      </x:c>
      <x:c r="C573" s="54" t="n">
        <x:v>0.65</x:v>
      </x:c>
      <x:c r="D573" t="n">
        <x:v>1</x:v>
      </x:c>
      <x:c r="E573" t="n">
        <x:v>1</x:v>
      </x:c>
      <x:c r="F573" t="str">
        <x:v>SEARCH</x:v>
      </x:c>
      <x:c r="G573" t="n">
        <x:v>3</x:v>
      </x:c>
      <x:c r="H573" s="54" t="n">
        <x:v>5</x:v>
      </x:c>
      <x:c r="I573" s="54" t="n">
        <x:v>0.01569</x:v>
      </x:c>
      <x:c r="J573" s="54" t="n">
        <x:v>0.01578</x:v>
      </x:c>
      <x:c r="K573" s="54" t="n">
        <x:v>0.00944</x:v>
      </x:c>
      <x:c r="L573" s="54" t="n">
        <x:v>0.01288</x:v>
      </x:c>
      <x:c r="M573" s="54" t="n">
        <x:v>0.02291</x:v>
      </x:c>
      <x:c r="N573" s="56" t="n">
        <x:v>-97.59</x:v>
      </x:c>
      <x:c r="O573" s="56" t="n">
        <x:v>1.7</x:v>
      </x:c>
      <x:c r="P573" s="56" t="n">
        <x:v>0.81</x:v>
      </x:c>
      <x:c r="Q573" s="56" t="n">
        <x:v>11.3</x:v>
      </x:c>
      <x:c r="R573" t="str">
        <x:v>X</x:v>
      </x:c>
      <x:c r="S573" s="102" t="n">
        <x:v>100</x:v>
      </x:c>
      <x:c r="T573" t="str">
        <x:v>BELOW MEASUREMENT FLOOR — SEARCH CONTINUES</x:v>
      </x:c>
      <x:c r="U573" t="n">
        <x:v>2542</x:v>
      </x:c>
      <x:c r="V573" t="str">
        <x:v>Pasted text(56).txt</x:v>
      </x:c>
    </x:row>
    <x:row r="574">
      <x:c r="A574" t="str">
        <x:v>S07</x:v>
      </x:c>
      <x:c r="B574" t="str">
        <x:v>0.65 preliminary single-run failure</x:v>
      </x:c>
      <x:c r="C574" s="54" t="n">
        <x:v>0.65</x:v>
      </x:c>
      <x:c r="D574" t="n">
        <x:v>1</x:v>
      </x:c>
      <x:c r="E574" t="n">
        <x:v>1</x:v>
      </x:c>
      <x:c r="F574" t="str">
        <x:v>SEARCH</x:v>
      </x:c>
      <x:c r="G574" t="n">
        <x:v>4</x:v>
      </x:c>
      <x:c r="H574" s="54" t="n">
        <x:v>7</x:v>
      </x:c>
      <x:c r="I574" s="54" t="n">
        <x:v>0.00943</x:v>
      </x:c>
      <x:c r="J574" s="54" t="n">
        <x:v>0.00804</x:v>
      </x:c>
      <x:c r="K574" s="54" t="n">
        <x:v>0.01265</x:v>
      </x:c>
      <x:c r="L574" s="54" t="n">
        <x:v>0.01674</x:v>
      </x:c>
      <x:c r="M574" s="54" t="n">
        <x:v>0.02393</x:v>
      </x:c>
      <x:c r="N574" s="56" t="n">
        <x:v>-98.55</x:v>
      </x:c>
      <x:c r="O574" s="56" t="n">
        <x:v>67.79</x:v>
      </x:c>
      <x:c r="P574" s="56" t="n">
        <x:v>80.83</x:v>
      </x:c>
      <x:c r="Q574" s="56" t="n">
        <x:v>5.2</x:v>
      </x:c>
      <x:c r="R574" t="str">
        <x:v>Z</x:v>
      </x:c>
      <x:c r="S574" s="102" t="n">
        <x:v>48</x:v>
      </x:c>
      <x:c r="T574" t="str">
        <x:v>BELOW MEASUREMENT FLOOR — SEARCH CONTINUES</x:v>
      </x:c>
      <x:c r="U574" t="n">
        <x:v>2543</x:v>
      </x:c>
      <x:c r="V574" t="str">
        <x:v>Pasted text(56).txt</x:v>
      </x:c>
    </x:row>
    <x:row r="575">
      <x:c r="A575" t="str">
        <x:v>S07</x:v>
      </x:c>
      <x:c r="B575" t="str">
        <x:v>0.65 preliminary single-run failure</x:v>
      </x:c>
      <x:c r="C575" s="54" t="n">
        <x:v>0.65</x:v>
      </x:c>
      <x:c r="D575" t="n">
        <x:v>1</x:v>
      </x:c>
      <x:c r="E575" t="n">
        <x:v>1</x:v>
      </x:c>
      <x:c r="F575" t="str">
        <x:v>SEARCH</x:v>
      </x:c>
      <x:c r="G575" t="n">
        <x:v>5</x:v>
      </x:c>
      <x:c r="H575" s="54" t="n">
        <x:v>9</x:v>
      </x:c>
      <x:c r="I575" s="54" t="n">
        <x:v>0.01312</x:v>
      </x:c>
      <x:c r="J575" s="54" t="n">
        <x:v>0.02108</x:v>
      </x:c>
      <x:c r="K575" s="54" t="n">
        <x:v>0.01683</x:v>
      </x:c>
      <x:c r="L575" s="54" t="n">
        <x:v>0.02523</x:v>
      </x:c>
      <x:c r="M575" s="54" t="n">
        <x:v>0.03836</x:v>
      </x:c>
      <x:c r="N575" s="56" t="n">
        <x:v>-97.98</x:v>
      </x:c>
      <x:c r="O575" s="56" t="n">
        <x:v>41.04</x:v>
      </x:c>
      <x:c r="P575" s="56" t="n">
        <x:v>80.79</x:v>
      </x:c>
      <x:c r="Q575" s="56" t="n">
        <x:v>11.7</x:v>
      </x:c>
      <x:c r="R575" t="str">
        <x:v>Z</x:v>
      </x:c>
      <x:c r="S575" s="102" t="n">
        <x:v>83.6</x:v>
      </x:c>
      <x:c r="T575" t="str">
        <x:v>BELOW MEASUREMENT FLOOR — SEARCH CONTINUES</x:v>
      </x:c>
      <x:c r="U575" t="n">
        <x:v>2544</x:v>
      </x:c>
      <x:c r="V575" t="str">
        <x:v>Pasted text(56).txt</x:v>
      </x:c>
    </x:row>
    <x:row r="576">
      <x:c r="A576" t="str">
        <x:v>S07</x:v>
      </x:c>
      <x:c r="B576" t="str">
        <x:v>0.65 preliminary single-run failure</x:v>
      </x:c>
      <x:c r="C576" s="54" t="n">
        <x:v>0.65</x:v>
      </x:c>
      <x:c r="D576" t="n">
        <x:v>1</x:v>
      </x:c>
      <x:c r="E576" t="n">
        <x:v>1</x:v>
      </x:c>
      <x:c r="F576" t="str">
        <x:v>SEARCH</x:v>
      </x:c>
      <x:c r="G576" t="n">
        <x:v>6</x:v>
      </x:c>
      <x:c r="H576" s="54" t="n">
        <x:v>11</x:v>
      </x:c>
      <x:c r="I576" s="54" t="n">
        <x:v>0.01505</x:v>
      </x:c>
      <x:c r="J576" s="54" t="n">
        <x:v>0.01563</x:v>
      </x:c>
      <x:c r="K576" s="54" t="n">
        <x:v>0.02013</x:v>
      </x:c>
      <x:c r="L576" s="54" t="n">
        <x:v>0.05043</x:v>
      </x:c>
      <x:c r="M576" s="54" t="n">
        <x:v>0.05798</x:v>
      </x:c>
      <x:c r="N576" s="56" t="n">
        <x:v>-97.68</x:v>
      </x:c>
      <x:c r="O576" s="56" t="n">
        <x:v>2.03</x:v>
      </x:c>
      <x:c r="P576" s="56" t="n">
        <x:v>7.6</x:v>
      </x:c>
      <x:c r="Q576" s="56" t="n">
        <x:v>9.9</x:v>
      </x:c>
      <x:c r="R576" t="str">
        <x:v>Z</x:v>
      </x:c>
      <x:c r="S576" s="102" t="n">
        <x:v>31</x:v>
      </x:c>
      <x:c r="T576" t="str">
        <x:v>BELOW MEASUREMENT FLOOR — SEARCH CONTINUES</x:v>
      </x:c>
      <x:c r="U576" t="n">
        <x:v>2545</x:v>
      </x:c>
      <x:c r="V576" t="str">
        <x:v>Pasted text(56).txt</x:v>
      </x:c>
    </x:row>
    <x:row r="577">
      <x:c r="A577" t="str">
        <x:v>S07</x:v>
      </x:c>
      <x:c r="B577" t="str">
        <x:v>0.65 preliminary single-run failure</x:v>
      </x:c>
      <x:c r="C577" s="54" t="n">
        <x:v>0.65</x:v>
      </x:c>
      <x:c r="D577" t="n">
        <x:v>1</x:v>
      </x:c>
      <x:c r="E577" t="n">
        <x:v>1</x:v>
      </x:c>
      <x:c r="F577" t="str">
        <x:v>SEARCH</x:v>
      </x:c>
      <x:c r="G577" t="n">
        <x:v>7</x:v>
      </x:c>
      <x:c r="H577" s="54" t="n">
        <x:v>13</x:v>
      </x:c>
      <x:c r="I577" s="54" t="n">
        <x:v>0.01653</x:v>
      </x:c>
      <x:c r="J577" s="54" t="n">
        <x:v>0.01631</x:v>
      </x:c>
      <x:c r="K577" s="54" t="n">
        <x:v>0.01444</x:v>
      </x:c>
      <x:c r="L577" s="54" t="n">
        <x:v>0.03356</x:v>
      </x:c>
      <x:c r="M577" s="54" t="n">
        <x:v>0.04219</x:v>
      </x:c>
      <x:c r="N577" s="56" t="n">
        <x:v>-97.46</x:v>
      </x:c>
      <x:c r="O577" s="56" t="n">
        <x:v>3.93</x:v>
      </x:c>
      <x:c r="P577" s="56" t="n">
        <x:v>1.9</x:v>
      </x:c>
      <x:c r="Q577" s="56" t="n">
        <x:v>11.1</x:v>
      </x:c>
      <x:c r="R577" t="str">
        <x:v>Z</x:v>
      </x:c>
      <x:c r="S577" s="102" t="n">
        <x:v>48.6</x:v>
      </x:c>
      <x:c r="T577" t="str">
        <x:v>BELOW MEASUREMENT FLOOR — SEARCH CONTINUES</x:v>
      </x:c>
      <x:c r="U577" t="n">
        <x:v>2546</x:v>
      </x:c>
      <x:c r="V577" t="str">
        <x:v>Pasted text(56).txt</x:v>
      </x:c>
    </x:row>
    <x:row r="578">
      <x:c r="A578" t="str">
        <x:v>S07</x:v>
      </x:c>
      <x:c r="B578" t="str">
        <x:v>0.65 preliminary single-run failure</x:v>
      </x:c>
      <x:c r="C578" s="54" t="n">
        <x:v>0.65</x:v>
      </x:c>
      <x:c r="D578" t="n">
        <x:v>1</x:v>
      </x:c>
      <x:c r="E578" t="n">
        <x:v>1</x:v>
      </x:c>
      <x:c r="F578" t="str">
        <x:v>SEARCH</x:v>
      </x:c>
      <x:c r="G578" t="n">
        <x:v>8</x:v>
      </x:c>
      <x:c r="H578" s="54" t="n">
        <x:v>15</x:v>
      </x:c>
      <x:c r="I578" s="54" t="n">
        <x:v>0.00741</x:v>
      </x:c>
      <x:c r="J578" s="54" t="n">
        <x:v>0.00768</x:v>
      </x:c>
      <x:c r="K578" s="54" t="n">
        <x:v>0.01605</x:v>
      </x:c>
      <x:c r="L578" s="54" t="n">
        <x:v>0.0187</x:v>
      </x:c>
      <x:c r="M578" s="54" t="n">
        <x:v>0.02731</x:v>
      </x:c>
      <x:c r="N578" s="56" t="n">
        <x:v>-98.86</x:v>
      </x:c>
      <x:c r="O578" s="56" t="n">
        <x:v>14.38</x:v>
      </x:c>
      <x:c r="P578" s="56" t="n">
        <x:v>14.83</x:v>
      </x:c>
      <x:c r="Q578" s="56" t="n">
        <x:v>5.7</x:v>
      </x:c>
      <x:c r="R578" t="str">
        <x:v>Z</x:v>
      </x:c>
      <x:c r="S578" s="102" t="n">
        <x:v>41.1</x:v>
      </x:c>
      <x:c r="T578" t="str">
        <x:v>BELOW MEASUREMENT FLOOR — SEARCH CONTINUES</x:v>
      </x:c>
      <x:c r="U578" t="n">
        <x:v>2547</x:v>
      </x:c>
      <x:c r="V578" t="str">
        <x:v>Pasted text(56).txt</x:v>
      </x:c>
    </x:row>
    <x:row r="579">
      <x:c r="A579" t="str">
        <x:v>S07</x:v>
      </x:c>
      <x:c r="B579" t="str">
        <x:v>0.65 preliminary single-run failure</x:v>
      </x:c>
      <x:c r="C579" s="54" t="n">
        <x:v>0.65</x:v>
      </x:c>
      <x:c r="D579" t="n">
        <x:v>1</x:v>
      </x:c>
      <x:c r="E579" t="n">
        <x:v>1</x:v>
      </x:c>
      <x:c r="F579" t="str">
        <x:v>SEARCH</x:v>
      </x:c>
      <x:c r="G579" t="n">
        <x:v>9</x:v>
      </x:c>
      <x:c r="H579" s="54" t="n">
        <x:v>17</x:v>
      </x:c>
      <x:c r="I579" s="54" t="n">
        <x:v>0.01739</x:v>
      </x:c>
      <x:c r="J579" s="54" t="n">
        <x:v>0.0169</x:v>
      </x:c>
      <x:c r="K579" s="54" t="n">
        <x:v>0.01288</x:v>
      </x:c>
      <x:c r="L579" s="54" t="n">
        <x:v>0.02968</x:v>
      </x:c>
      <x:c r="M579" s="54" t="n">
        <x:v>0.03754</x:v>
      </x:c>
      <x:c r="N579" s="56" t="n">
        <x:v>-97.33</x:v>
      </x:c>
      <x:c r="O579" s="56" t="n">
        <x:v>40.99</x:v>
      </x:c>
      <x:c r="P579" s="56" t="n">
        <x:v>32.9</x:v>
      </x:c>
      <x:c r="Q579" s="56" t="n">
        <x:v>10.4</x:v>
      </x:c>
      <x:c r="R579" t="str">
        <x:v>Z</x:v>
      </x:c>
      <x:c r="S579" s="102" t="n">
        <x:v>56.9</x:v>
      </x:c>
      <x:c r="T579" t="str">
        <x:v>BELOW MEASUREMENT FLOOR — SEARCH CONTINUES</x:v>
      </x:c>
      <x:c r="U579" t="n">
        <x:v>2548</x:v>
      </x:c>
      <x:c r="V579" t="str">
        <x:v>Pasted text(56).txt</x:v>
      </x:c>
    </x:row>
    <x:row r="580">
      <x:c r="A580" t="str">
        <x:v>S07</x:v>
      </x:c>
      <x:c r="B580" t="str">
        <x:v>0.65 preliminary single-run failure</x:v>
      </x:c>
      <x:c r="C580" s="54" t="n">
        <x:v>0.65</x:v>
      </x:c>
      <x:c r="D580" t="n">
        <x:v>1</x:v>
      </x:c>
      <x:c r="E580" t="n">
        <x:v>1</x:v>
      </x:c>
      <x:c r="F580" t="str">
        <x:v>SEARCH</x:v>
      </x:c>
      <x:c r="G580" t="n">
        <x:v>10</x:v>
      </x:c>
      <x:c r="H580" s="54" t="n">
        <x:v>19</x:v>
      </x:c>
      <x:c r="I580" s="54" t="n">
        <x:v>0.02028</x:v>
      </x:c>
      <x:c r="J580" s="54" t="n">
        <x:v>0.01832</x:v>
      </x:c>
      <x:c r="K580" s="54" t="n">
        <x:v>0.01974</x:v>
      </x:c>
      <x:c r="L580" s="54" t="n">
        <x:v>0.02233</x:v>
      </x:c>
      <x:c r="M580" s="54" t="n">
        <x:v>0.03803</x:v>
      </x:c>
      <x:c r="N580" s="56" t="n">
        <x:v>-96.88</x:v>
      </x:c>
      <x:c r="O580" s="56" t="n">
        <x:v>65.47</x:v>
      </x:c>
      <x:c r="P580" s="56" t="n">
        <x:v>65.65</x:v>
      </x:c>
      <x:c r="Q580" s="56" t="n">
        <x:v>12.8</x:v>
      </x:c>
      <x:c r="R580" t="str">
        <x:v>Z</x:v>
      </x:c>
      <x:c r="S580" s="102" t="n">
        <x:v>82.1</x:v>
      </x:c>
      <x:c r="T580" t="str">
        <x:v>BELOW MEASUREMENT FLOOR — SEARCH CONTINUES</x:v>
      </x:c>
      <x:c r="U580" t="n">
        <x:v>2549</x:v>
      </x:c>
      <x:c r="V580" t="str">
        <x:v>Pasted text(56).txt</x:v>
      </x:c>
    </x:row>
    <x:row r="581">
      <x:c r="A581" t="str">
        <x:v>S07</x:v>
      </x:c>
      <x:c r="B581" t="str">
        <x:v>0.65 preliminary single-run failure</x:v>
      </x:c>
      <x:c r="C581" s="54" t="n">
        <x:v>0.65</x:v>
      </x:c>
      <x:c r="D581" t="n">
        <x:v>1</x:v>
      </x:c>
      <x:c r="E581" t="n">
        <x:v>1</x:v>
      </x:c>
      <x:c r="F581" t="str">
        <x:v>SEARCH</x:v>
      </x:c>
      <x:c r="G581" t="n">
        <x:v>11</x:v>
      </x:c>
      <x:c r="H581" s="54" t="n">
        <x:v>21</x:v>
      </x:c>
      <x:c r="I581" s="54" t="n">
        <x:v>0.01555</x:v>
      </x:c>
      <x:c r="J581" s="54" t="n">
        <x:v>0.01884</x:v>
      </x:c>
      <x:c r="K581" s="54" t="n">
        <x:v>0.01973</x:v>
      </x:c>
      <x:c r="L581" s="54" t="n">
        <x:v>0.02881</x:v>
      </x:c>
      <x:c r="M581" s="54" t="n">
        <x:v>0.04304</x:v>
      </x:c>
      <x:c r="N581" s="56" t="n">
        <x:v>-97.61</x:v>
      </x:c>
      <x:c r="O581" s="56" t="n">
        <x:v>75.86</x:v>
      </x:c>
      <x:c r="P581" s="56" t="n">
        <x:v>70.06</x:v>
      </x:c>
      <x:c r="Q581" s="56" t="n">
        <x:v>11.2</x:v>
      </x:c>
      <x:c r="R581" t="str">
        <x:v>Z</x:v>
      </x:c>
      <x:c r="S581" s="102" t="n">
        <x:v>65.4</x:v>
      </x:c>
      <x:c r="T581" t="str">
        <x:v>BELOW MEASUREMENT FLOOR — SEARCH CONTINUES</x:v>
      </x:c>
      <x:c r="U581" t="n">
        <x:v>2550</x:v>
      </x:c>
      <x:c r="V581" t="str">
        <x:v>Pasted text(56).txt</x:v>
      </x:c>
    </x:row>
    <x:row r="582">
      <x:c r="A582" t="str">
        <x:v>S07</x:v>
      </x:c>
      <x:c r="B582" t="str">
        <x:v>0.65 preliminary single-run failure</x:v>
      </x:c>
      <x:c r="C582" s="54" t="n">
        <x:v>0.65</x:v>
      </x:c>
      <x:c r="D582" t="n">
        <x:v>1</x:v>
      </x:c>
      <x:c r="E582" t="n">
        <x:v>1</x:v>
      </x:c>
      <x:c r="F582" t="str">
        <x:v>SEARCH</x:v>
      </x:c>
      <x:c r="G582" t="n">
        <x:v>12</x:v>
      </x:c>
      <x:c r="H582" s="54" t="n">
        <x:v>23</x:v>
      </x:c>
      <x:c r="I582" s="54" t="n">
        <x:v>0.01145</x:v>
      </x:c>
      <x:c r="J582" s="54" t="n">
        <x:v>0.01226</x:v>
      </x:c>
      <x:c r="K582" s="54" t="n">
        <x:v>0.02356</x:v>
      </x:c>
      <x:c r="L582" s="54" t="n">
        <x:v>0.03364</x:v>
      </x:c>
      <x:c r="M582" s="54" t="n">
        <x:v>0.04293</x:v>
      </x:c>
      <x:c r="N582" s="56" t="n">
        <x:v>-98.24</x:v>
      </x:c>
      <x:c r="O582" s="56" t="n">
        <x:v>21.07</x:v>
      </x:c>
      <x:c r="P582" s="56" t="n">
        <x:v>9.38</x:v>
      </x:c>
      <x:c r="Q582" s="56" t="n">
        <x:v>8.5</x:v>
      </x:c>
      <x:c r="R582" t="str">
        <x:v>Z</x:v>
      </x:c>
      <x:c r="S582" s="102" t="n">
        <x:v>36.5</x:v>
      </x:c>
      <x:c r="T582" t="str">
        <x:v>BELOW MEASUREMENT FLOOR — SEARCH CONTINUES</x:v>
      </x:c>
      <x:c r="U582" t="n">
        <x:v>2551</x:v>
      </x:c>
      <x:c r="V582" t="str">
        <x:v>Pasted text(56).txt</x:v>
      </x:c>
    </x:row>
    <x:row r="583">
      <x:c r="A583" t="str">
        <x:v>S07</x:v>
      </x:c>
      <x:c r="B583" t="str">
        <x:v>0.65 preliminary single-run failure</x:v>
      </x:c>
      <x:c r="C583" s="54" t="n">
        <x:v>0.65</x:v>
      </x:c>
      <x:c r="D583" t="n">
        <x:v>1</x:v>
      </x:c>
      <x:c r="E583" t="n">
        <x:v>1</x:v>
      </x:c>
      <x:c r="F583" t="str">
        <x:v>SEARCH</x:v>
      </x:c>
      <x:c r="G583" t="n">
        <x:v>13</x:v>
      </x:c>
      <x:c r="H583" s="54" t="n">
        <x:v>25</x:v>
      </x:c>
      <x:c r="I583" s="54" t="n">
        <x:v>0.01096</x:v>
      </x:c>
      <x:c r="J583" s="54" t="n">
        <x:v>0.01096</x:v>
      </x:c>
      <x:c r="K583" s="54" t="n">
        <x:v>0.03803</x:v>
      </x:c>
      <x:c r="L583" s="54" t="n">
        <x:v>0.02387</x:v>
      </x:c>
      <x:c r="M583" s="54" t="n">
        <x:v>0.04635</x:v>
      </x:c>
      <x:c r="N583" s="56" t="n">
        <x:v>-98.31</x:v>
      </x:c>
      <x:c r="O583" s="56" t="n">
        <x:v>54.06</x:v>
      </x:c>
      <x:c r="P583" s="56" t="n">
        <x:v>36.51</x:v>
      </x:c>
      <x:c r="Q583" s="56" t="n">
        <x:v>7.6</x:v>
      </x:c>
      <x:c r="R583" t="str">
        <x:v>Y</x:v>
      </x:c>
      <x:c r="S583" s="102" t="n">
        <x:v>28.8</x:v>
      </x:c>
      <x:c r="T583" t="str">
        <x:v>BELOW MEASUREMENT FLOOR — SEARCH CONTINUES</x:v>
      </x:c>
      <x:c r="U583" t="n">
        <x:v>2552</x:v>
      </x:c>
      <x:c r="V583" t="str">
        <x:v>Pasted text(56).txt</x:v>
      </x:c>
    </x:row>
    <x:row r="584">
      <x:c r="A584" t="str">
        <x:v>S07</x:v>
      </x:c>
      <x:c r="B584" t="str">
        <x:v>0.65 preliminary single-run failure</x:v>
      </x:c>
      <x:c r="C584" s="54" t="n">
        <x:v>0.65</x:v>
      </x:c>
      <x:c r="D584" t="n">
        <x:v>1</x:v>
      </x:c>
      <x:c r="E584" t="n">
        <x:v>1</x:v>
      </x:c>
      <x:c r="F584" t="str">
        <x:v>SEARCH</x:v>
      </x:c>
      <x:c r="G584" t="n">
        <x:v>14</x:v>
      </x:c>
      <x:c r="H584" s="54" t="n">
        <x:v>27</x:v>
      </x:c>
      <x:c r="I584" s="54" t="n">
        <x:v>0.01117</x:v>
      </x:c>
      <x:c r="J584" s="54" t="n">
        <x:v>0.01222</x:v>
      </x:c>
      <x:c r="K584" s="54" t="n">
        <x:v>0.01382</x:v>
      </x:c>
      <x:c r="L584" s="54" t="n">
        <x:v>0.04116</x:v>
      </x:c>
      <x:c r="M584" s="54" t="n">
        <x:v>0.04567</x:v>
      </x:c>
      <x:c r="N584" s="56" t="n">
        <x:v>-98.28</x:v>
      </x:c>
      <x:c r="O584" s="56" t="n">
        <x:v>39.33</x:v>
      </x:c>
      <x:c r="P584" s="56" t="n">
        <x:v>37.95</x:v>
      </x:c>
      <x:c r="Q584" s="56" t="n">
        <x:v>8.6</x:v>
      </x:c>
      <x:c r="R584" t="str">
        <x:v>Z</x:v>
      </x:c>
      <x:c r="S584" s="102" t="n">
        <x:v>29.7</x:v>
      </x:c>
      <x:c r="T584" t="str">
        <x:v>BELOW MEASUREMENT FLOOR — SEARCH CONTINUES</x:v>
      </x:c>
      <x:c r="U584" t="n">
        <x:v>2553</x:v>
      </x:c>
      <x:c r="V584" t="str">
        <x:v>Pasted text(56).txt</x:v>
      </x:c>
    </x:row>
    <x:row r="585">
      <x:c r="A585" t="str">
        <x:v>S07</x:v>
      </x:c>
      <x:c r="B585" t="str">
        <x:v>0.65 preliminary single-run failure</x:v>
      </x:c>
      <x:c r="C585" s="54" t="n">
        <x:v>0.65</x:v>
      </x:c>
      <x:c r="D585" t="n">
        <x:v>1</x:v>
      </x:c>
      <x:c r="E585" t="n">
        <x:v>1</x:v>
      </x:c>
      <x:c r="F585" t="str">
        <x:v>SEARCH</x:v>
      </x:c>
      <x:c r="G585" t="n">
        <x:v>15</x:v>
      </x:c>
      <x:c r="H585" s="54" t="n">
        <x:v>29</x:v>
      </x:c>
      <x:c r="I585" s="54" t="n">
        <x:v>0.01165</x:v>
      </x:c>
      <x:c r="J585" s="54" t="n">
        <x:v>0.01537</x:v>
      </x:c>
      <x:c r="K585" s="54" t="n">
        <x:v>0.01189</x:v>
      </x:c>
      <x:c r="L585" s="54" t="n">
        <x:v>0.03397</x:v>
      </x:c>
      <x:c r="M585" s="54" t="n">
        <x:v>0.03952</x:v>
      </x:c>
      <x:c r="N585" s="56" t="n">
        <x:v>-98.21</x:v>
      </x:c>
      <x:c r="O585" s="56" t="n">
        <x:v>38.26</x:v>
      </x:c>
      <x:c r="P585" s="56" t="n">
        <x:v>59.74</x:v>
      </x:c>
      <x:c r="Q585" s="56" t="n">
        <x:v>10.5</x:v>
      </x:c>
      <x:c r="R585" t="str">
        <x:v>Z</x:v>
      </x:c>
      <x:c r="S585" s="102" t="n">
        <x:v>45.3</x:v>
      </x:c>
      <x:c r="T585" t="str">
        <x:v>BELOW MEASUREMENT FLOOR — SEARCH CONTINUES</x:v>
      </x:c>
      <x:c r="U585" t="n">
        <x:v>2554</x:v>
      </x:c>
      <x:c r="V585" t="str">
        <x:v>Pasted text(56).txt</x:v>
      </x:c>
    </x:row>
    <x:row r="586">
      <x:c r="A586" t="str">
        <x:v>S07</x:v>
      </x:c>
      <x:c r="B586" t="str">
        <x:v>0.65 preliminary single-run failure</x:v>
      </x:c>
      <x:c r="C586" s="54" t="n">
        <x:v>0.65</x:v>
      </x:c>
      <x:c r="D586" t="n">
        <x:v>1</x:v>
      </x:c>
      <x:c r="E586" t="n">
        <x:v>2</x:v>
      </x:c>
      <x:c r="F586" t="str">
        <x:v>SEARCH</x:v>
      </x:c>
      <x:c r="G586" t="n">
        <x:v>1</x:v>
      </x:c>
      <x:c r="H586" s="54" t="n">
        <x:v>1</x:v>
      </x:c>
      <x:c r="I586" s="54" t="n">
        <x:v>0.03234</x:v>
      </x:c>
      <x:c r="J586" s="54" t="n">
        <x:v>0.04435</x:v>
      </x:c>
      <x:c r="K586" s="54" t="n">
        <x:v>0.01639</x:v>
      </x:c>
      <x:c r="L586" s="54" t="n">
        <x:v>0.01364</x:v>
      </x:c>
      <x:c r="M586" s="54" t="n">
        <x:v>0.05175</x:v>
      </x:c>
      <x:c r="N586" s="56" t="n">
        <x:v>-95.02</x:v>
      </x:c>
      <x:c r="O586" s="56" t="n">
        <x:v>62.56</x:v>
      </x:c>
      <x:c r="P586" s="56" t="n">
        <x:v>75.14</x:v>
      </x:c>
      <x:c r="Q586" s="56" t="n">
        <x:v>11.9</x:v>
      </x:c>
      <x:c r="R586" t="str">
        <x:v>X</x:v>
      </x:c>
      <x:c r="S586" s="102" t="n">
        <x:v>100</x:v>
      </x:c>
      <x:c r="T586" t="str">
        <x:v>BELOW MEASUREMENT FLOOR — SEARCH CONTINUES</x:v>
      </x:c>
      <x:c r="U586" t="n">
        <x:v>2561</x:v>
      </x:c>
      <x:c r="V586" t="str">
        <x:v>Pasted text(56).txt</x:v>
      </x:c>
    </x:row>
    <x:row r="587">
      <x:c r="A587" t="str">
        <x:v>S07</x:v>
      </x:c>
      <x:c r="B587" t="str">
        <x:v>0.65 preliminary single-run failure</x:v>
      </x:c>
      <x:c r="C587" s="54" t="n">
        <x:v>0.65</x:v>
      </x:c>
      <x:c r="D587" t="n">
        <x:v>1</x:v>
      </x:c>
      <x:c r="E587" t="n">
        <x:v>2</x:v>
      </x:c>
      <x:c r="F587" t="str">
        <x:v>SEARCH</x:v>
      </x:c>
      <x:c r="G587" t="n">
        <x:v>2</x:v>
      </x:c>
      <x:c r="H587" s="54" t="n">
        <x:v>3</x:v>
      </x:c>
      <x:c r="I587" s="54" t="n">
        <x:v>0.0271</x:v>
      </x:c>
      <x:c r="J587" s="54" t="n">
        <x:v>0.02413</x:v>
      </x:c>
      <x:c r="K587" s="54" t="n">
        <x:v>0.016</x:v>
      </x:c>
      <x:c r="L587" s="54" t="n">
        <x:v>0.02107</x:v>
      </x:c>
      <x:c r="M587" s="54" t="n">
        <x:v>0.0359</x:v>
      </x:c>
      <x:c r="N587" s="56" t="n">
        <x:v>-95.83</x:v>
      </x:c>
      <x:c r="O587" s="56" t="n">
        <x:v>32.52</x:v>
      </x:c>
      <x:c r="P587" s="56" t="n">
        <x:v>17.42</x:v>
      </x:c>
      <x:c r="Q587" s="56" t="n">
        <x:v>12</x:v>
      </x:c>
      <x:c r="R587" t="str">
        <x:v>X</x:v>
      </x:c>
      <x:c r="S587" s="102" t="n">
        <x:v>100</x:v>
      </x:c>
      <x:c r="T587" t="str">
        <x:v>BELOW MEASUREMENT FLOOR — SEARCH CONTINUES</x:v>
      </x:c>
      <x:c r="U587" t="n">
        <x:v>2562</x:v>
      </x:c>
      <x:c r="V587" t="str">
        <x:v>Pasted text(56).txt</x:v>
      </x:c>
    </x:row>
    <x:row r="588">
      <x:c r="A588" t="str">
        <x:v>S07</x:v>
      </x:c>
      <x:c r="B588" t="str">
        <x:v>0.65 preliminary single-run failure</x:v>
      </x:c>
      <x:c r="C588" s="54" t="n">
        <x:v>0.65</x:v>
      </x:c>
      <x:c r="D588" t="n">
        <x:v>1</x:v>
      </x:c>
      <x:c r="E588" t="n">
        <x:v>2</x:v>
      </x:c>
      <x:c r="F588" t="str">
        <x:v>SEARCH</x:v>
      </x:c>
      <x:c r="G588" t="n">
        <x:v>3</x:v>
      </x:c>
      <x:c r="H588" s="54" t="n">
        <x:v>5</x:v>
      </x:c>
      <x:c r="I588" s="54" t="n">
        <x:v>0.00744</x:v>
      </x:c>
      <x:c r="J588" s="54" t="n">
        <x:v>0.01449</x:v>
      </x:c>
      <x:c r="K588" s="54" t="n">
        <x:v>0.02512</x:v>
      </x:c>
      <x:c r="L588" s="54" t="n">
        <x:v>0.02831</x:v>
      </x:c>
      <x:c r="M588" s="54" t="n">
        <x:v>0.04617</x:v>
      </x:c>
      <x:c r="N588" s="56" t="n">
        <x:v>-98.86</x:v>
      </x:c>
      <x:c r="O588" s="56" t="n">
        <x:v>80.27</x:v>
      </x:c>
      <x:c r="P588" s="56" t="n">
        <x:v>109.24</x:v>
      </x:c>
      <x:c r="Q588" s="56" t="n">
        <x:v>4.5</x:v>
      </x:c>
      <x:c r="R588" t="str">
        <x:v>Z</x:v>
      </x:c>
      <x:c r="S588" s="102" t="n">
        <x:v>51.2</x:v>
      </x:c>
      <x:c r="T588" t="str">
        <x:v>BELOW MEASUREMENT FLOOR — SEARCH CONTINUES</x:v>
      </x:c>
      <x:c r="U588" t="n">
        <x:v>2563</x:v>
      </x:c>
      <x:c r="V588" t="str">
        <x:v>Pasted text(56).txt</x:v>
      </x:c>
    </x:row>
    <x:row r="589">
      <x:c r="A589" t="str">
        <x:v>S07</x:v>
      </x:c>
      <x:c r="B589" t="str">
        <x:v>0.65 preliminary single-run failure</x:v>
      </x:c>
      <x:c r="C589" s="54" t="n">
        <x:v>0.65</x:v>
      </x:c>
      <x:c r="D589" t="n">
        <x:v>1</x:v>
      </x:c>
      <x:c r="E589" t="n">
        <x:v>2</x:v>
      </x:c>
      <x:c r="F589" t="str">
        <x:v>SEARCH</x:v>
      </x:c>
      <x:c r="G589" t="n">
        <x:v>4</x:v>
      </x:c>
      <x:c r="H589" s="54" t="n">
        <x:v>7</x:v>
      </x:c>
      <x:c r="I589" s="54" t="n">
        <x:v>0.02369</x:v>
      </x:c>
      <x:c r="J589" s="54" t="n">
        <x:v>0.02621</x:v>
      </x:c>
      <x:c r="K589" s="54" t="n">
        <x:v>0.02706</x:v>
      </x:c>
      <x:c r="L589" s="54" t="n">
        <x:v>0.03647</x:v>
      </x:c>
      <x:c r="M589" s="54" t="n">
        <x:v>0.05259</x:v>
      </x:c>
      <x:c r="N589" s="56" t="n">
        <x:v>-96.36</x:v>
      </x:c>
      <x:c r="O589" s="56" t="n">
        <x:v>31.61</x:v>
      </x:c>
      <x:c r="P589" s="56" t="n">
        <x:v>13.62</x:v>
      </x:c>
      <x:c r="Q589" s="56" t="n">
        <x:v>14.7</x:v>
      </x:c>
      <x:c r="R589" t="str">
        <x:v>Z</x:v>
      </x:c>
      <x:c r="S589" s="102" t="n">
        <x:v>71.9</x:v>
      </x:c>
      <x:c r="T589" t="str">
        <x:v>BELOW MEASUREMENT FLOOR — SEARCH CONTINUES</x:v>
      </x:c>
      <x:c r="U589" t="n">
        <x:v>2564</x:v>
      </x:c>
      <x:c r="V589" t="str">
        <x:v>Pasted text(56).txt</x:v>
      </x:c>
    </x:row>
    <x:row r="590">
      <x:c r="A590" t="str">
        <x:v>S07</x:v>
      </x:c>
      <x:c r="B590" t="str">
        <x:v>0.65 preliminary single-run failure</x:v>
      </x:c>
      <x:c r="C590" s="54" t="n">
        <x:v>0.65</x:v>
      </x:c>
      <x:c r="D590" t="n">
        <x:v>1</x:v>
      </x:c>
      <x:c r="E590" t="n">
        <x:v>2</x:v>
      </x:c>
      <x:c r="F590" t="str">
        <x:v>SEARCH</x:v>
      </x:c>
      <x:c r="G590" t="n">
        <x:v>5</x:v>
      </x:c>
      <x:c r="H590" s="54" t="n">
        <x:v>9</x:v>
      </x:c>
      <x:c r="I590" s="54" t="n">
        <x:v>0.02278</x:v>
      </x:c>
      <x:c r="J590" s="54" t="n">
        <x:v>0.02517</x:v>
      </x:c>
      <x:c r="K590" s="54" t="n">
        <x:v>0.00693</x:v>
      </x:c>
      <x:c r="L590" s="54" t="n">
        <x:v>0.04324</x:v>
      </x:c>
      <x:c r="M590" s="54" t="n">
        <x:v>0.05057</x:v>
      </x:c>
      <x:c r="N590" s="56" t="n">
        <x:v>-96.49</x:v>
      </x:c>
      <x:c r="O590" s="56" t="n">
        <x:v>31.08</x:v>
      </x:c>
      <x:c r="P590" s="56" t="n">
        <x:v>13.42</x:v>
      </x:c>
      <x:c r="Q590" s="56" t="n">
        <x:v>13.4</x:v>
      </x:c>
      <x:c r="R590" t="str">
        <x:v>Z</x:v>
      </x:c>
      <x:c r="S590" s="102" t="n">
        <x:v>58.2</x:v>
      </x:c>
      <x:c r="T590" t="str">
        <x:v>BELOW MEASUREMENT FLOOR — SEARCH CONTINUES</x:v>
      </x:c>
      <x:c r="U590" t="n">
        <x:v>2565</x:v>
      </x:c>
      <x:c r="V590" t="str">
        <x:v>Pasted text(56).txt</x:v>
      </x:c>
    </x:row>
    <x:row r="591">
      <x:c r="A591" t="str">
        <x:v>S07</x:v>
      </x:c>
      <x:c r="B591" t="str">
        <x:v>0.65 preliminary single-run failure</x:v>
      </x:c>
      <x:c r="C591" s="54" t="n">
        <x:v>0.65</x:v>
      </x:c>
      <x:c r="D591" t="n">
        <x:v>1</x:v>
      </x:c>
      <x:c r="E591" t="n">
        <x:v>2</x:v>
      </x:c>
      <x:c r="F591" t="str">
        <x:v>SEARCH</x:v>
      </x:c>
      <x:c r="G591" t="n">
        <x:v>6</x:v>
      </x:c>
      <x:c r="H591" s="54" t="n">
        <x:v>11</x:v>
      </x:c>
      <x:c r="I591" s="54" t="n">
        <x:v>0.01279</x:v>
      </x:c>
      <x:c r="J591" s="54" t="n">
        <x:v>0.01263</x:v>
      </x:c>
      <x:c r="K591" s="54" t="n">
        <x:v>0.02405</x:v>
      </x:c>
      <x:c r="L591" s="54" t="n">
        <x:v>0.01819</x:v>
      </x:c>
      <x:c r="M591" s="54" t="n">
        <x:v>0.03379</x:v>
      </x:c>
      <x:c r="N591" s="56" t="n">
        <x:v>-98.03</x:v>
      </x:c>
      <x:c r="O591" s="56" t="n">
        <x:v>3.64</x:v>
      </x:c>
      <x:c r="P591" s="56" t="n">
        <x:v>1.76</x:v>
      </x:c>
      <x:c r="Q591" s="56" t="n">
        <x:v>7.9</x:v>
      </x:c>
      <x:c r="R591" t="str">
        <x:v>Y</x:v>
      </x:c>
      <x:c r="S591" s="102" t="n">
        <x:v>52.5</x:v>
      </x:c>
      <x:c r="T591" t="str">
        <x:v>BELOW MEASUREMENT FLOOR — SEARCH CONTINUES</x:v>
      </x:c>
      <x:c r="U591" t="n">
        <x:v>2566</x:v>
      </x:c>
      <x:c r="V591" t="str">
        <x:v>Pasted text(56).txt</x:v>
      </x:c>
    </x:row>
    <x:row r="592">
      <x:c r="A592" t="str">
        <x:v>S07</x:v>
      </x:c>
      <x:c r="B592" t="str">
        <x:v>0.65 preliminary single-run failure</x:v>
      </x:c>
      <x:c r="C592" s="54" t="n">
        <x:v>0.65</x:v>
      </x:c>
      <x:c r="D592" t="n">
        <x:v>1</x:v>
      </x:c>
      <x:c r="E592" t="n">
        <x:v>2</x:v>
      </x:c>
      <x:c r="F592" t="str">
        <x:v>SEARCH</x:v>
      </x:c>
      <x:c r="G592" t="n">
        <x:v>7</x:v>
      </x:c>
      <x:c r="H592" s="54" t="n">
        <x:v>13</x:v>
      </x:c>
      <x:c r="I592" s="54" t="n">
        <x:v>0.01248</x:v>
      </x:c>
      <x:c r="J592" s="54" t="n">
        <x:v>0.11047</x:v>
      </x:c>
      <x:c r="K592" s="54" t="n">
        <x:v>0.03757</x:v>
      </x:c>
      <x:c r="L592" s="54" t="n">
        <x:v>0.04201</x:v>
      </x:c>
      <x:c r="M592" s="54" t="n">
        <x:v>0.12979</x:v>
      </x:c>
      <x:c r="N592" s="56" t="n">
        <x:v>-98.08</x:v>
      </x:c>
      <x:c r="O592" s="56" t="n">
        <x:v>62.09</x:v>
      </x:c>
      <x:c r="P592" s="56" t="n">
        <x:v>157.75</x:v>
      </x:c>
      <x:c r="Q592" s="56" t="n">
        <x:v>27</x:v>
      </x:c>
      <x:c r="R592" t="str">
        <x:v>X</x:v>
      </x:c>
      <x:c r="S592" s="102" t="n">
        <x:v>100</x:v>
      </x:c>
      <x:c r="T592" t="str">
        <x:v>BELOW MEASUREMENT FLOOR — SEARCH CONTINUES</x:v>
      </x:c>
      <x:c r="U592" t="n">
        <x:v>2567</x:v>
      </x:c>
      <x:c r="V592" t="str">
        <x:v>Pasted text(56).txt</x:v>
      </x:c>
    </x:row>
    <x:row r="593">
      <x:c r="A593" t="str">
        <x:v>S07</x:v>
      </x:c>
      <x:c r="B593" t="str">
        <x:v>0.65 preliminary single-run failure</x:v>
      </x:c>
      <x:c r="C593" s="54" t="n">
        <x:v>0.65</x:v>
      </x:c>
      <x:c r="D593" t="n">
        <x:v>1</x:v>
      </x:c>
      <x:c r="E593" t="n">
        <x:v>2</x:v>
      </x:c>
      <x:c r="F593" t="str">
        <x:v>SEARCH</x:v>
      </x:c>
      <x:c r="G593" t="n">
        <x:v>8</x:v>
      </x:c>
      <x:c r="H593" s="54" t="n">
        <x:v>15</x:v>
      </x:c>
      <x:c r="I593" s="54" t="n">
        <x:v>0.78654</x:v>
      </x:c>
      <x:c r="J593" s="54" t="n">
        <x:v>0.77846</x:v>
      </x:c>
      <x:c r="K593" s="54" t="n">
        <x:v>0.3784</x:v>
      </x:c>
      <x:c r="L593" s="54" t="n">
        <x:v>0.4069</x:v>
      </x:c>
      <x:c r="M593" s="54" t="n">
        <x:v>0.95688</x:v>
      </x:c>
      <x:c r="N593" s="56" t="n">
        <x:v>21.01</x:v>
      </x:c>
      <x:c r="O593" s="56" t="n">
        <x:v>61.75</x:v>
      </x:c>
      <x:c r="P593" s="56" t="n">
        <x:v>43.65</x:v>
      </x:c>
      <x:c r="Q593" s="56" t="n">
        <x:v>88.6</x:v>
      </x:c>
      <x:c r="R593" t="str">
        <x:v>X</x:v>
      </x:c>
      <x:c r="S593" s="102" t="n">
        <x:v>100</x:v>
      </x:c>
      <x:c r="T593" t="str">
        <x:v>UNSTABLE — SEARCH CONTINUES</x:v>
      </x:c>
      <x:c r="U593" t="n">
        <x:v>2568</x:v>
      </x:c>
      <x:c r="V593" t="str">
        <x:v>Pasted text(56).txt</x:v>
      </x:c>
    </x:row>
    <x:row r="594">
      <x:c r="A594" t="str">
        <x:v>S07</x:v>
      </x:c>
      <x:c r="B594" t="str">
        <x:v>0.65 preliminary single-run failure</x:v>
      </x:c>
      <x:c r="C594" s="54" t="n">
        <x:v>0.65</x:v>
      </x:c>
      <x:c r="D594" t="n">
        <x:v>1</x:v>
      </x:c>
      <x:c r="E594" t="n">
        <x:v>2</x:v>
      </x:c>
      <x:c r="F594" t="str">
        <x:v>SEARCH</x:v>
      </x:c>
      <x:c r="G594" t="n">
        <x:v>9</x:v>
      </x:c>
      <x:c r="H594" s="54" t="n">
        <x:v>16</x:v>
      </x:c>
      <x:c r="I594" s="54" t="n">
        <x:v>0.95882</x:v>
      </x:c>
      <x:c r="J594" s="54" t="n">
        <x:v>0.85999</x:v>
      </x:c>
      <x:c r="K594" s="54" t="n">
        <x:v>0.36698</x:v>
      </x:c>
      <x:c r="L594" s="54" t="n">
        <x:v>0.40173</x:v>
      </x:c>
      <x:c r="M594" s="54" t="n">
        <x:v>1.01948</x:v>
      </x:c>
      <x:c r="N594" s="56" t="n">
        <x:v>47.51</x:v>
      </x:c>
      <x:c r="O594" s="56" t="n">
        <x:v>43.38</x:v>
      </x:c>
      <x:c r="P594" s="56" t="n">
        <x:v>50.84</x:v>
      </x:c>
      <x:c r="Q594" s="56" t="n">
        <x:v>76.4</x:v>
      </x:c>
      <x:c r="R594" t="str">
        <x:v>X</x:v>
      </x:c>
      <x:c r="S594" s="102" t="n">
        <x:v>100</x:v>
      </x:c>
      <x:c r="T594" t="str">
        <x:v>UNSTABLE — SEARCH CONTINUES</x:v>
      </x:c>
      <x:c r="U594" t="n">
        <x:v>2569</x:v>
      </x:c>
      <x:c r="V594" t="str">
        <x:v>Pasted text(56).txt</x:v>
      </x:c>
    </x:row>
    <x:row r="595">
      <x:c r="A595" t="str">
        <x:v>S07</x:v>
      </x:c>
      <x:c r="B595" t="str">
        <x:v>0.65 preliminary single-run failure</x:v>
      </x:c>
      <x:c r="C595" s="54" t="n">
        <x:v>0.65</x:v>
      </x:c>
      <x:c r="D595" t="n">
        <x:v>1</x:v>
      </x:c>
      <x:c r="E595" t="n">
        <x:v>2</x:v>
      </x:c>
      <x:c r="F595" t="str">
        <x:v>SEARCH</x:v>
      </x:c>
      <x:c r="G595" t="n">
        <x:v>10</x:v>
      </x:c>
      <x:c r="H595" s="54" t="n">
        <x:v>17</x:v>
      </x:c>
      <x:c r="I595" s="54" t="n">
        <x:v>0.99481</x:v>
      </x:c>
      <x:c r="J595" s="54" t="n">
        <x:v>0.98946</x:v>
      </x:c>
      <x:c r="K595" s="54" t="n">
        <x:v>0.44236</x:v>
      </x:c>
      <x:c r="L595" s="54" t="n">
        <x:v>0.47687</x:v>
      </x:c>
      <x:c r="M595" s="54" t="n">
        <x:v>1.18425</x:v>
      </x:c>
      <x:c r="N595" s="56" t="n">
        <x:v>53.05</x:v>
      </x:c>
      <x:c r="O595" s="56" t="n">
        <x:v>1.59</x:v>
      </x:c>
      <x:c r="P595" s="56" t="n">
        <x:v>0.76</x:v>
      </x:c>
      <x:c r="Q595" s="56" t="n">
        <x:v>92.9</x:v>
      </x:c>
      <x:c r="R595" t="str">
        <x:v>X</x:v>
      </x:c>
      <x:c r="S595" s="102" t="n">
        <x:v>100</x:v>
      </x:c>
      <x:c r="T595" t="str">
        <x:v>VALID</x:v>
      </x:c>
      <x:c r="U595" t="n">
        <x:v>2570</x:v>
      </x:c>
      <x:c r="V595" t="str">
        <x:v>Pasted text(56).txt</x:v>
      </x:c>
    </x:row>
    <x:row r="596">
      <x:c r="A596" t="str">
        <x:v>S08</x:v>
      </x:c>
      <x:c r="B596" t="str">
        <x:v>0.65 five-run validation</x:v>
      </x:c>
      <x:c r="C596" s="54" t="n">
        <x:v>0.65</x:v>
      </x:c>
      <x:c r="D596" t="n">
        <x:v>1</x:v>
      </x:c>
      <x:c r="E596" t="n">
        <x:v>1</x:v>
      </x:c>
      <x:c r="F596" t="str">
        <x:v>SEARCH</x:v>
      </x:c>
      <x:c r="G596" t="n">
        <x:v>1</x:v>
      </x:c>
      <x:c r="H596" s="54" t="n">
        <x:v>1</x:v>
      </x:c>
      <x:c r="I596" s="54" t="n">
        <x:v>0.0165</x:v>
      </x:c>
      <x:c r="J596" s="54" t="n">
        <x:v>0.01496</x:v>
      </x:c>
      <x:c r="K596" s="54" t="n">
        <x:v>0.02752</x:v>
      </x:c>
      <x:c r="L596" s="54" t="n">
        <x:v>0.02804</x:v>
      </x:c>
      <x:c r="M596" s="54" t="n">
        <x:v>0.04705</x:v>
      </x:c>
      <x:c r="N596" s="56" t="n">
        <x:v>-97.46</x:v>
      </x:c>
      <x:c r="O596" s="56" t="n">
        <x:v>27.67</x:v>
      </x:c>
      <x:c r="P596" s="56" t="n">
        <x:v>14.55</x:v>
      </x:c>
      <x:c r="Q596" s="56" t="n">
        <x:v>8.2</x:v>
      </x:c>
      <x:c r="R596" t="str">
        <x:v>Z</x:v>
      </x:c>
      <x:c r="S596" s="102" t="n">
        <x:v>53.3</x:v>
      </x:c>
      <x:c r="T596" t="str">
        <x:v>BELOW MEASUREMENT FLOOR — SEARCH CONTINUES</x:v>
      </x:c>
      <x:c r="U596" t="n">
        <x:v>2620</x:v>
      </x:c>
      <x:c r="V596" t="str">
        <x:v>Pasted text(56).txt</x:v>
      </x:c>
    </x:row>
    <x:row r="597">
      <x:c r="A597" t="str">
        <x:v>S08</x:v>
      </x:c>
      <x:c r="B597" t="str">
        <x:v>0.65 five-run validation</x:v>
      </x:c>
      <x:c r="C597" s="54" t="n">
        <x:v>0.65</x:v>
      </x:c>
      <x:c r="D597" t="n">
        <x:v>1</x:v>
      </x:c>
      <x:c r="E597" t="n">
        <x:v>1</x:v>
      </x:c>
      <x:c r="F597" t="str">
        <x:v>SEARCH</x:v>
      </x:c>
      <x:c r="G597" t="n">
        <x:v>2</x:v>
      </x:c>
      <x:c r="H597" s="54" t="n">
        <x:v>3</x:v>
      </x:c>
      <x:c r="I597" s="54" t="n">
        <x:v>0.05362</x:v>
      </x:c>
      <x:c r="J597" s="54" t="n">
        <x:v>0.05133</x:v>
      </x:c>
      <x:c r="K597" s="54" t="n">
        <x:v>0.07299</x:v>
      </x:c>
      <x:c r="L597" s="54" t="n">
        <x:v>0.06144</x:v>
      </x:c>
      <x:c r="M597" s="54" t="n">
        <x:v>0.10852</x:v>
      </x:c>
      <x:c r="N597" s="56" t="n">
        <x:v>-91.75</x:v>
      </x:c>
      <x:c r="O597" s="56" t="n">
        <x:v>2.82</x:v>
      </x:c>
      <x:c r="P597" s="56" t="n">
        <x:v>9.49</x:v>
      </x:c>
      <x:c r="Q597" s="56" t="n">
        <x:v>25.1</x:v>
      </x:c>
      <x:c r="R597" t="str">
        <x:v>Y</x:v>
      </x:c>
      <x:c r="S597" s="102" t="n">
        <x:v>70.3</x:v>
      </x:c>
      <x:c r="T597" t="str">
        <x:v>BELOW MEASUREMENT FLOOR — SEARCH CONTINUES</x:v>
      </x:c>
      <x:c r="U597" t="n">
        <x:v>2621</x:v>
      </x:c>
      <x:c r="V597" t="str">
        <x:v>Pasted text(56).txt</x:v>
      </x:c>
    </x:row>
    <x:row r="598">
      <x:c r="A598" t="str">
        <x:v>S08</x:v>
      </x:c>
      <x:c r="B598" t="str">
        <x:v>0.65 five-run validation</x:v>
      </x:c>
      <x:c r="C598" s="54" t="n">
        <x:v>0.65</x:v>
      </x:c>
      <x:c r="D598" t="n">
        <x:v>1</x:v>
      </x:c>
      <x:c r="E598" t="n">
        <x:v>1</x:v>
      </x:c>
      <x:c r="F598" t="str">
        <x:v>SEARCH</x:v>
      </x:c>
      <x:c r="G598" t="n">
        <x:v>3</x:v>
      </x:c>
      <x:c r="H598" s="54" t="n">
        <x:v>5</x:v>
      </x:c>
      <x:c r="I598" s="54" t="n">
        <x:v>0.08565</x:v>
      </x:c>
      <x:c r="J598" s="54" t="n">
        <x:v>0.08987</x:v>
      </x:c>
      <x:c r="K598" s="54" t="n">
        <x:v>0.11651</x:v>
      </x:c>
      <x:c r="L598" s="54" t="n">
        <x:v>0.17617</x:v>
      </x:c>
      <x:c r="M598" s="54" t="n">
        <x:v>0.22999</x:v>
      </x:c>
      <x:c r="N598" s="56" t="n">
        <x:v>-86.82</x:v>
      </x:c>
      <x:c r="O598" s="56" t="n">
        <x:v>4.99</x:v>
      </x:c>
      <x:c r="P598" s="56" t="n">
        <x:v>11.03</x:v>
      </x:c>
      <x:c r="Q598" s="56" t="n">
        <x:v>42.6</x:v>
      </x:c>
      <x:c r="R598" t="str">
        <x:v>Z</x:v>
      </x:c>
      <x:c r="S598" s="102" t="n">
        <x:v>51</x:v>
      </x:c>
      <x:c r="T598" t="str">
        <x:v>UNSTABLE — SEARCH CONTINUES</x:v>
      </x:c>
      <x:c r="U598" t="n">
        <x:v>2622</x:v>
      </x:c>
      <x:c r="V598" t="str">
        <x:v>Pasted text(56).txt</x:v>
      </x:c>
    </x:row>
    <x:row r="599">
      <x:c r="A599" t="str">
        <x:v>S08</x:v>
      </x:c>
      <x:c r="B599" t="str">
        <x:v>0.65 five-run validation</x:v>
      </x:c>
      <x:c r="C599" s="54" t="n">
        <x:v>0.65</x:v>
      </x:c>
      <x:c r="D599" t="n">
        <x:v>1</x:v>
      </x:c>
      <x:c r="E599" t="n">
        <x:v>1</x:v>
      </x:c>
      <x:c r="F599" t="str">
        <x:v>SEARCH</x:v>
      </x:c>
      <x:c r="G599" t="n">
        <x:v>4</x:v>
      </x:c>
      <x:c r="H599" s="54" t="n">
        <x:v>7</x:v>
      </x:c>
      <x:c r="I599" s="54" t="n">
        <x:v>0.16394</x:v>
      </x:c>
      <x:c r="J599" s="54" t="n">
        <x:v>0.17114</x:v>
      </x:c>
      <x:c r="K599" s="54" t="n">
        <x:v>0.18421</x:v>
      </x:c>
      <x:c r="L599" s="54" t="n">
        <x:v>0.23518</x:v>
      </x:c>
      <x:c r="M599" s="54" t="n">
        <x:v>0.34515</x:v>
      </x:c>
      <x:c r="N599" s="56" t="n">
        <x:v>-74.78</x:v>
      </x:c>
      <x:c r="O599" s="56" t="n">
        <x:v>4.53</x:v>
      </x:c>
      <x:c r="P599" s="56" t="n">
        <x:v>9.93</x:v>
      </x:c>
      <x:c r="Q599" s="56" t="n">
        <x:v>61.5</x:v>
      </x:c>
      <x:c r="R599" t="str">
        <x:v>Z</x:v>
      </x:c>
      <x:c r="S599" s="102" t="n">
        <x:v>72.8</x:v>
      </x:c>
      <x:c r="T599" t="str">
        <x:v>VALID</x:v>
      </x:c>
      <x:c r="U599" t="n">
        <x:v>2623</x:v>
      </x:c>
      <x:c r="V599" t="str">
        <x:v>Pasted text(56).txt</x:v>
      </x:c>
    </x:row>
    <x:row r="600">
      <x:c r="A600" t="str">
        <x:v>S08</x:v>
      </x:c>
      <x:c r="B600" t="str">
        <x:v>0.65 five-run validation</x:v>
      </x:c>
      <x:c r="C600" s="54" t="n">
        <x:v>0.65</x:v>
      </x:c>
      <x:c r="D600" t="n">
        <x:v>1</x:v>
      </x:c>
      <x:c r="E600" t="n">
        <x:v>1</x:v>
      </x:c>
      <x:c r="F600" t="str">
        <x:v>SEARCH</x:v>
      </x:c>
      <x:c r="G600" t="n">
        <x:v>5</x:v>
      </x:c>
      <x:c r="H600" s="54" t="n">
        <x:v>8</x:v>
      </x:c>
      <x:c r="I600" s="54" t="n">
        <x:v>0.42624</x:v>
      </x:c>
      <x:c r="J600" s="54" t="n">
        <x:v>0.42443</x:v>
      </x:c>
      <x:c r="K600" s="54" t="n">
        <x:v>0.09481</x:v>
      </x:c>
      <x:c r="L600" s="54" t="n">
        <x:v>0.02434</x:v>
      </x:c>
      <x:c r="M600" s="54" t="n">
        <x:v>0.43559</x:v>
      </x:c>
      <x:c r="N600" s="56" t="n">
        <x:v>-34.42</x:v>
      </x:c>
      <x:c r="O600" s="56" t="n">
        <x:v>1.26</x:v>
      </x:c>
      <x:c r="P600" s="56" t="n">
        <x:v>0.6</x:v>
      </x:c>
      <x:c r="Q600" s="56" t="n">
        <x:v>83.9</x:v>
      </x:c>
      <x:c r="R600" t="str">
        <x:v>X</x:v>
      </x:c>
      <x:c r="S600" s="102" t="n">
        <x:v>100</x:v>
      </x:c>
      <x:c r="T600" t="str">
        <x:v>VALID</x:v>
      </x:c>
      <x:c r="U600" t="n">
        <x:v>2624</x:v>
      </x:c>
      <x:c r="V600" t="str">
        <x:v>Pasted text(56).txt</x:v>
      </x:c>
    </x:row>
    <x:row r="601">
      <x:c r="A601" t="str">
        <x:v>S08</x:v>
      </x:c>
      <x:c r="B601" t="str">
        <x:v>0.65 five-run validation</x:v>
      </x:c>
      <x:c r="C601" s="54" t="n">
        <x:v>0.65</x:v>
      </x:c>
      <x:c r="D601" t="n">
        <x:v>1</x:v>
      </x:c>
      <x:c r="E601" t="n">
        <x:v>1</x:v>
      </x:c>
      <x:c r="F601" t="str">
        <x:v>SEARCH</x:v>
      </x:c>
      <x:c r="G601" t="n">
        <x:v>6</x:v>
      </x:c>
      <x:c r="H601" s="54" t="n">
        <x:v>8.5</x:v>
      </x:c>
      <x:c r="I601" s="54" t="n">
        <x:v>0.72958</x:v>
      </x:c>
      <x:c r="J601" s="54" t="n">
        <x:v>0.72146</x:v>
      </x:c>
      <x:c r="K601" s="54" t="n">
        <x:v>0.1477</x:v>
      </x:c>
      <x:c r="L601" s="54" t="n">
        <x:v>0.3112</x:v>
      </x:c>
      <x:c r="M601" s="54" t="n">
        <x:v>0.79978</x:v>
      </x:c>
      <x:c r="N601" s="56" t="n">
        <x:v>12.24</x:v>
      </x:c>
      <x:c r="O601" s="56" t="n">
        <x:v>0.35</x:v>
      </x:c>
      <x:c r="P601" s="56" t="n">
        <x:v>2.16</x:v>
      </x:c>
      <x:c r="Q601" s="56" t="n">
        <x:v>90.7</x:v>
      </x:c>
      <x:c r="R601" t="str">
        <x:v>X</x:v>
      </x:c>
      <x:c r="S601" s="102" t="n">
        <x:v>100</x:v>
      </x:c>
      <x:c r="T601" t="str">
        <x:v>VALID</x:v>
      </x:c>
      <x:c r="U601" t="n">
        <x:v>2625</x:v>
      </x:c>
      <x:c r="V601" t="str">
        <x:v>Pasted text(56).txt</x:v>
      </x:c>
    </x:row>
    <x:row r="602">
      <x:c r="A602" t="str">
        <x:v>S08</x:v>
      </x:c>
      <x:c r="B602" t="str">
        <x:v>0.65 five-run validation</x:v>
      </x:c>
      <x:c r="C602" s="54" t="n">
        <x:v>0.65</x:v>
      </x:c>
      <x:c r="D602" t="n">
        <x:v>1</x:v>
      </x:c>
      <x:c r="E602" t="n">
        <x:v>1</x:v>
      </x:c>
      <x:c r="F602" t="str">
        <x:v>FINE</x:v>
      </x:c>
      <x:c r="G602" t="n">
        <x:v>1</x:v>
      </x:c>
      <x:c r="H602" s="54" t="n">
        <x:v>7.25</x:v>
      </x:c>
      <x:c r="I602" s="54" t="n">
        <x:v>0.58676</x:v>
      </x:c>
      <x:c r="J602" s="54" t="n">
        <x:v>0.58514</x:v>
      </x:c>
      <x:c r="K602" s="54" t="n">
        <x:v>0.12198</x:v>
      </x:c>
      <x:c r="L602" s="54" t="n">
        <x:v>0.25909</x:v>
      </x:c>
      <x:c r="M602" s="54" t="n">
        <x:v>0.65167</x:v>
      </x:c>
      <x:c r="N602" s="56" t="n">
        <x:v>-9.73</x:v>
      </x:c>
      <x:c r="O602" s="56" t="n">
        <x:v>0.47</x:v>
      </x:c>
      <x:c r="P602" s="56" t="n">
        <x:v>0.77</x:v>
      </x:c>
      <x:c r="Q602" s="56" t="n">
        <x:v>88.2</x:v>
      </x:c>
      <x:c r="R602" t="str">
        <x:v>X</x:v>
      </x:c>
      <x:c r="S602" s="102" t="n">
        <x:v>100</x:v>
      </x:c>
      <x:c r="T602" t="str">
        <x:v>VALID</x:v>
      </x:c>
      <x:c r="U602" t="n">
        <x:v>2630</x:v>
      </x:c>
      <x:c r="V602" t="str">
        <x:v>Pasted text(56).txt</x:v>
      </x:c>
    </x:row>
    <x:row r="603">
      <x:c r="A603" t="str">
        <x:v>S08</x:v>
      </x:c>
      <x:c r="B603" t="str">
        <x:v>0.65 five-run validation</x:v>
      </x:c>
      <x:c r="C603" s="54" t="n">
        <x:v>0.65</x:v>
      </x:c>
      <x:c r="D603" t="n">
        <x:v>1</x:v>
      </x:c>
      <x:c r="E603" t="n">
        <x:v>1</x:v>
      </x:c>
      <x:c r="F603" t="str">
        <x:v>FINE</x:v>
      </x:c>
      <x:c r="G603" t="n">
        <x:v>2</x:v>
      </x:c>
      <x:c r="H603" s="54" t="n">
        <x:v>7.5</x:v>
      </x:c>
      <x:c r="I603" s="54" t="n">
        <x:v>0.60462</x:v>
      </x:c>
      <x:c r="J603" s="54" t="n">
        <x:v>0.60239</x:v>
      </x:c>
      <x:c r="K603" s="54" t="n">
        <x:v>0.12061</x:v>
      </x:c>
      <x:c r="L603" s="54" t="n">
        <x:v>0.27346</x:v>
      </x:c>
      <x:c r="M603" s="54" t="n">
        <x:v>0.67272</x:v>
      </x:c>
      <x:c r="N603" s="56" t="n">
        <x:v>-6.98</x:v>
      </x:c>
      <x:c r="O603" s="56" t="n">
        <x:v>2.84</x:v>
      </x:c>
      <x:c r="P603" s="56" t="n">
        <x:v>2.5</x:v>
      </x:c>
      <x:c r="Q603" s="56" t="n">
        <x:v>88.1</x:v>
      </x:c>
      <x:c r="R603" t="str">
        <x:v>X</x:v>
      </x:c>
      <x:c r="S603" s="102" t="n">
        <x:v>100</x:v>
      </x:c>
      <x:c r="T603" t="str">
        <x:v>IN TARGET BAND</x:v>
      </x:c>
      <x:c r="U603" t="n">
        <x:v>2631</x:v>
      </x:c>
      <x:c r="V603" t="str">
        <x:v>Pasted text(56).txt</x:v>
      </x:c>
    </x:row>
    <x:row r="604">
      <x:c r="A604" t="str">
        <x:v>S08</x:v>
      </x:c>
      <x:c r="B604" t="str">
        <x:v>0.65 five-run validation</x:v>
      </x:c>
      <x:c r="C604" s="54" t="n">
        <x:v>0.65</x:v>
      </x:c>
      <x:c r="D604" t="n">
        <x:v>1</x:v>
      </x:c>
      <x:c r="E604" t="n">
        <x:v>1</x:v>
      </x:c>
      <x:c r="F604" t="str">
        <x:v>FINE</x:v>
      </x:c>
      <x:c r="G604" t="n">
        <x:v>3</x:v>
      </x:c>
      <x:c r="H604" s="54" t="n">
        <x:v>7.75</x:v>
      </x:c>
      <x:c r="I604" s="54" t="n">
        <x:v>0.63582</x:v>
      </x:c>
      <x:c r="J604" s="54" t="n">
        <x:v>0.6358</x:v>
      </x:c>
      <x:c r="K604" s="54" t="n">
        <x:v>0.12479</x:v>
      </x:c>
      <x:c r="L604" s="54" t="n">
        <x:v>0.29142</x:v>
      </x:c>
      <x:c r="M604" s="54" t="n">
        <x:v>0.71065</x:v>
      </x:c>
      <x:c r="N604" s="56" t="n">
        <x:v>-2.18</x:v>
      </x:c>
      <x:c r="O604" s="56" t="n">
        <x:v>2.18</x:v>
      </x:c>
      <x:c r="P604" s="56" t="n">
        <x:v>1.48</x:v>
      </x:c>
      <x:c r="Q604" s="56" t="n">
        <x:v>88.9</x:v>
      </x:c>
      <x:c r="R604" t="str">
        <x:v>X</x:v>
      </x:c>
      <x:c r="S604" s="102" t="n">
        <x:v>100</x:v>
      </x:c>
      <x:c r="T604" t="str">
        <x:v>IN TARGET BAND</x:v>
      </x:c>
      <x:c r="U604" t="n">
        <x:v>2632</x:v>
      </x:c>
      <x:c r="V604" t="str">
        <x:v>Pasted text(56).txt</x:v>
      </x:c>
    </x:row>
    <x:row r="605">
      <x:c r="A605" t="str">
        <x:v>S08</x:v>
      </x:c>
      <x:c r="B605" t="str">
        <x:v>0.65 five-run validation</x:v>
      </x:c>
      <x:c r="C605" s="54" t="n">
        <x:v>0.65</x:v>
      </x:c>
      <x:c r="D605" t="n">
        <x:v>1</x:v>
      </x:c>
      <x:c r="E605" t="n">
        <x:v>1</x:v>
      </x:c>
      <x:c r="F605" t="str">
        <x:v>FINE</x:v>
      </x:c>
      <x:c r="G605" t="n">
        <x:v>4</x:v>
      </x:c>
      <x:c r="H605" s="54" t="n">
        <x:v>8</x:v>
      </x:c>
      <x:c r="I605" s="54" t="n">
        <x:v>0.67014</x:v>
      </x:c>
      <x:c r="J605" s="54" t="n">
        <x:v>0.66683</x:v>
      </x:c>
      <x:c r="K605" s="54" t="n">
        <x:v>0.13597</x:v>
      </x:c>
      <x:c r="L605" s="54" t="n">
        <x:v>0.30496</x:v>
      </x:c>
      <x:c r="M605" s="54" t="n">
        <x:v>0.74587</x:v>
      </x:c>
      <x:c r="N605" s="56" t="n">
        <x:v>3.1</x:v>
      </x:c>
      <x:c r="O605" s="56" t="n">
        <x:v>1.64</x:v>
      </x:c>
      <x:c r="P605" s="56" t="n">
        <x:v>1.91</x:v>
      </x:c>
      <x:c r="Q605" s="56" t="n">
        <x:v>90.5</x:v>
      </x:c>
      <x:c r="R605" t="str">
        <x:v>X</x:v>
      </x:c>
      <x:c r="S605" s="102" t="n">
        <x:v>100</x:v>
      </x:c>
      <x:c r="T605" t="str">
        <x:v>IN TARGET BAND</x:v>
      </x:c>
      <x:c r="U605" t="n">
        <x:v>2633</x:v>
      </x:c>
      <x:c r="V605" t="str">
        <x:v>Pasted text(56).txt</x:v>
      </x:c>
    </x:row>
    <x:row r="606">
      <x:c r="A606" t="str">
        <x:v>S08</x:v>
      </x:c>
      <x:c r="B606" t="str">
        <x:v>0.65 five-run validation</x:v>
      </x:c>
      <x:c r="C606" s="54" t="n">
        <x:v>0.65</x:v>
      </x:c>
      <x:c r="D606" t="n">
        <x:v>1</x:v>
      </x:c>
      <x:c r="E606" t="n">
        <x:v>1</x:v>
      </x:c>
      <x:c r="F606" t="str">
        <x:v>FINE</x:v>
      </x:c>
      <x:c r="G606" t="n">
        <x:v>5</x:v>
      </x:c>
      <x:c r="H606" s="54" t="n">
        <x:v>8.25</x:v>
      </x:c>
      <x:c r="I606" s="54" t="n">
        <x:v>0.67752</x:v>
      </x:c>
      <x:c r="J606" s="54" t="n">
        <x:v>0.67917</x:v>
      </x:c>
      <x:c r="K606" s="54" t="n">
        <x:v>0.13619</x:v>
      </x:c>
      <x:c r="L606" s="54" t="n">
        <x:v>0.33919</x:v>
      </x:c>
      <x:c r="M606" s="54" t="n">
        <x:v>0.7713</x:v>
      </x:c>
      <x:c r="N606" s="56" t="n">
        <x:v>4.23</x:v>
      </x:c>
      <x:c r="O606" s="56" t="n">
        <x:v>0.84</x:v>
      </x:c>
      <x:c r="P606" s="56" t="n">
        <x:v>0.95</x:v>
      </x:c>
      <x:c r="Q606" s="56" t="n">
        <x:v>90.1</x:v>
      </x:c>
      <x:c r="R606" t="str">
        <x:v>X</x:v>
      </x:c>
      <x:c r="S606" s="102" t="n">
        <x:v>100</x:v>
      </x:c>
      <x:c r="T606" t="str">
        <x:v>IN TARGET BAND</x:v>
      </x:c>
      <x:c r="U606" t="n">
        <x:v>2634</x:v>
      </x:c>
      <x:c r="V606" t="str">
        <x:v>Pasted text(56).txt</x:v>
      </x:c>
    </x:row>
    <x:row r="607">
      <x:c r="A607" t="str">
        <x:v>S08</x:v>
      </x:c>
      <x:c r="B607" t="str">
        <x:v>0.65 five-run validation</x:v>
      </x:c>
      <x:c r="C607" s="54" t="n">
        <x:v>0.65</x:v>
      </x:c>
      <x:c r="D607" t="n">
        <x:v>1</x:v>
      </x:c>
      <x:c r="E607" t="n">
        <x:v>1</x:v>
      </x:c>
      <x:c r="F607" t="str">
        <x:v>FINE</x:v>
      </x:c>
      <x:c r="G607" t="n">
        <x:v>6</x:v>
      </x:c>
      <x:c r="H607" s="54" t="n">
        <x:v>8.5</x:v>
      </x:c>
      <x:c r="I607" s="54" t="n">
        <x:v>0.70242</x:v>
      </x:c>
      <x:c r="J607" s="54" t="n">
        <x:v>0.69848</x:v>
      </x:c>
      <x:c r="K607" s="54" t="n">
        <x:v>0.13868</x:v>
      </x:c>
      <x:c r="L607" s="54" t="n">
        <x:v>0.31707</x:v>
      </x:c>
      <x:c r="M607" s="54" t="n">
        <x:v>0.77968</x:v>
      </x:c>
      <x:c r="N607" s="56" t="n">
        <x:v>8.06</x:v>
      </x:c>
      <x:c r="O607" s="56" t="n">
        <x:v>0.41</x:v>
      </x:c>
      <x:c r="P607" s="56" t="n">
        <x:v>1.23</x:v>
      </x:c>
      <x:c r="Q607" s="56" t="n">
        <x:v>89.9</x:v>
      </x:c>
      <x:c r="R607" t="str">
        <x:v>X</x:v>
      </x:c>
      <x:c r="S607" s="102" t="n">
        <x:v>100</x:v>
      </x:c>
      <x:c r="T607" t="str">
        <x:v>VALID</x:v>
      </x:c>
      <x:c r="U607" t="n">
        <x:v>2635</x:v>
      </x:c>
      <x:c r="V607" t="str">
        <x:v>Pasted text(56).txt</x:v>
      </x:c>
    </x:row>
    <x:row r="608">
      <x:c r="A608" t="str">
        <x:v>S08</x:v>
      </x:c>
      <x:c r="B608" t="str">
        <x:v>0.65 five-run validation</x:v>
      </x:c>
      <x:c r="C608" s="54" t="n">
        <x:v>0.65</x:v>
      </x:c>
      <x:c r="D608" t="n">
        <x:v>1</x:v>
      </x:c>
      <x:c r="E608" t="n">
        <x:v>1</x:v>
      </x:c>
      <x:c r="F608" t="str">
        <x:v>FINE</x:v>
      </x:c>
      <x:c r="G608" t="n">
        <x:v>7</x:v>
      </x:c>
      <x:c r="H608" s="54" t="n">
        <x:v>8.75</x:v>
      </x:c>
      <x:c r="I608" s="54" t="n">
        <x:v>0.74694</x:v>
      </x:c>
      <x:c r="J608" s="54" t="n">
        <x:v>0.74207</x:v>
      </x:c>
      <x:c r="K608" s="54" t="n">
        <x:v>0.15526</x:v>
      </x:c>
      <x:c r="L608" s="54" t="n">
        <x:v>0.34017</x:v>
      </x:c>
      <x:c r="M608" s="54" t="n">
        <x:v>0.83167</x:v>
      </x:c>
      <x:c r="N608" s="56" t="n">
        <x:v>14.91</x:v>
      </x:c>
      <x:c r="O608" s="56" t="n">
        <x:v>1.85</x:v>
      </x:c>
      <x:c r="P608" s="56" t="n">
        <x:v>2.31</x:v>
      </x:c>
      <x:c r="Q608" s="56" t="n">
        <x:v>91.4</x:v>
      </x:c>
      <x:c r="R608" t="str">
        <x:v>X</x:v>
      </x:c>
      <x:c r="S608" s="102" t="n">
        <x:v>100</x:v>
      </x:c>
      <x:c r="T608" t="str">
        <x:v>VALID</x:v>
      </x:c>
      <x:c r="U608" t="n">
        <x:v>2636</x:v>
      </x:c>
      <x:c r="V608" t="str">
        <x:v>Pasted text(56).txt</x:v>
      </x:c>
    </x:row>
    <x:row r="609">
      <x:c r="A609" t="str">
        <x:v>S08</x:v>
      </x:c>
      <x:c r="B609" t="str">
        <x:v>0.65 five-run validation</x:v>
      </x:c>
      <x:c r="C609" s="54" t="n">
        <x:v>0.65</x:v>
      </x:c>
      <x:c r="D609" t="n">
        <x:v>1</x:v>
      </x:c>
      <x:c r="E609" t="n">
        <x:v>1</x:v>
      </x:c>
      <x:c r="F609" t="str">
        <x:v>FINE</x:v>
      </x:c>
      <x:c r="G609" t="n">
        <x:v>8</x:v>
      </x:c>
      <x:c r="H609" s="54" t="n">
        <x:v>9</x:v>
      </x:c>
      <x:c r="I609" s="54" t="n">
        <x:v>0.74148</x:v>
      </x:c>
      <x:c r="J609" s="54" t="n">
        <x:v>0.73978</x:v>
      </x:c>
      <x:c r="K609" s="54" t="n">
        <x:v>0.14972</x:v>
      </x:c>
      <x:c r="L609" s="54" t="n">
        <x:v>0.37553</x:v>
      </x:c>
      <x:c r="M609" s="54" t="n">
        <x:v>0.84322</x:v>
      </x:c>
      <x:c r="N609" s="56" t="n">
        <x:v>14.07</x:v>
      </x:c>
      <x:c r="O609" s="56" t="n">
        <x:v>1.76</x:v>
      </x:c>
      <x:c r="P609" s="56" t="n">
        <x:v>1.55</x:v>
      </x:c>
      <x:c r="Q609" s="56" t="n">
        <x:v>89.8</x:v>
      </x:c>
      <x:c r="R609" t="str">
        <x:v>X</x:v>
      </x:c>
      <x:c r="S609" s="102" t="n">
        <x:v>100</x:v>
      </x:c>
      <x:c r="T609" t="str">
        <x:v>VALID</x:v>
      </x:c>
      <x:c r="U609" t="n">
        <x:v>2637</x:v>
      </x:c>
      <x:c r="V609" t="str">
        <x:v>Pasted text(56).txt</x:v>
      </x:c>
    </x:row>
    <x:row r="610">
      <x:c r="A610" t="str">
        <x:v>S08</x:v>
      </x:c>
      <x:c r="B610" t="str">
        <x:v>0.65 five-run validation</x:v>
      </x:c>
      <x:c r="C610" s="54" t="n">
        <x:v>0.65</x:v>
      </x:c>
      <x:c r="D610" t="n">
        <x:v>1</x:v>
      </x:c>
      <x:c r="E610" t="n">
        <x:v>1</x:v>
      </x:c>
      <x:c r="F610" t="str">
        <x:v>FINE</x:v>
      </x:c>
      <x:c r="G610" t="n">
        <x:v>9</x:v>
      </x:c>
      <x:c r="H610" s="54" t="n">
        <x:v>9.25</x:v>
      </x:c>
      <x:c r="I610" s="54" t="n">
        <x:v>0.77126</x:v>
      </x:c>
      <x:c r="J610" s="54" t="n">
        <x:v>0.77242</x:v>
      </x:c>
      <x:c r="K610" s="54" t="n">
        <x:v>0.14973</x:v>
      </x:c>
      <x:c r="L610" s="54" t="n">
        <x:v>0.3297</x:v>
      </x:c>
      <x:c r="M610" s="54" t="n">
        <x:v>0.85336</x:v>
      </x:c>
      <x:c r="N610" s="56" t="n">
        <x:v>18.66</x:v>
      </x:c>
      <x:c r="O610" s="56" t="n">
        <x:v>0.59</x:v>
      </x:c>
      <x:c r="P610" s="56" t="n">
        <x:v>0.63</x:v>
      </x:c>
      <x:c r="Q610" s="56" t="n">
        <x:v>90.6</x:v>
      </x:c>
      <x:c r="R610" t="str">
        <x:v>X</x:v>
      </x:c>
      <x:c r="S610" s="102" t="n">
        <x:v>100</x:v>
      </x:c>
      <x:c r="T610" t="str">
        <x:v>VALID</x:v>
      </x:c>
      <x:c r="U610" t="n">
        <x:v>2638</x:v>
      </x:c>
      <x:c r="V610" t="str">
        <x:v>Pasted text(56).txt</x:v>
      </x:c>
    </x:row>
    <x:row r="611">
      <x:c r="A611" t="str">
        <x:v>S08</x:v>
      </x:c>
      <x:c r="B611" t="str">
        <x:v>0.65 five-run validation</x:v>
      </x:c>
      <x:c r="C611" s="54" t="n">
        <x:v>0.65</x:v>
      </x:c>
      <x:c r="D611" t="n">
        <x:v>1</x:v>
      </x:c>
      <x:c r="E611" t="n">
        <x:v>1</x:v>
      </x:c>
      <x:c r="F611" t="str">
        <x:v>FINAL</x:v>
      </x:c>
      <x:c r="G611" t="n">
        <x:v>1</x:v>
      </x:c>
      <x:c r="H611" s="54" t="n">
        <x:v>8.25</x:v>
      </x:c>
      <x:c r="I611" s="54" t="n">
        <x:v>0.66188</x:v>
      </x:c>
      <x:c r="J611" s="54" t="n">
        <x:v>0.66245</x:v>
      </x:c>
      <x:c r="K611" s="54" t="n">
        <x:v>0.14142</x:v>
      </x:c>
      <x:c r="L611" s="54" t="n">
        <x:v>0.32076</x:v>
      </x:c>
      <x:c r="M611" s="54" t="n">
        <x:v>0.74964</x:v>
      </x:c>
      <x:c r="N611" s="56" t="n">
        <x:v>1.83</x:v>
      </x:c>
      <x:c r="O611" s="56" t="n">
        <x:v>1.32</x:v>
      </x:c>
      <x:c r="P611" s="56" t="n">
        <x:v>1.74</x:v>
      </x:c>
      <x:c r="Q611" s="56" t="n">
        <x:v>89.9</x:v>
      </x:c>
      <x:c r="R611" t="str">
        <x:v>X</x:v>
      </x:c>
      <x:c r="S611" s="102" t="n">
        <x:v>100</x:v>
      </x:c>
      <x:c r="T611" t="str">
        <x:v>IN TARGET BAND</x:v>
      </x:c>
      <x:c r="U611" t="n">
        <x:v>2641</x:v>
      </x:c>
      <x:c r="V611" t="str">
        <x:v>Pasted text(56).txt</x:v>
      </x:c>
    </x:row>
    <x:row r="612">
      <x:c r="A612" t="str">
        <x:v>S08</x:v>
      </x:c>
      <x:c r="B612" t="str">
        <x:v>0.65 five-run validation</x:v>
      </x:c>
      <x:c r="C612" s="54" t="n">
        <x:v>0.65</x:v>
      </x:c>
      <x:c r="D612" t="n">
        <x:v>1</x:v>
      </x:c>
      <x:c r="E612" t="n">
        <x:v>1</x:v>
      </x:c>
      <x:c r="F612" t="str">
        <x:v>FINAL</x:v>
      </x:c>
      <x:c r="G612" t="n">
        <x:v>2</x:v>
      </x:c>
      <x:c r="H612" s="54" t="n">
        <x:v>8.25</x:v>
      </x:c>
      <x:c r="I612" s="54" t="n">
        <x:v>0.66954</x:v>
      </x:c>
      <x:c r="J612" s="54" t="n">
        <x:v>0.66335</x:v>
      </x:c>
      <x:c r="K612" s="54" t="n">
        <x:v>0.13134</x:v>
      </x:c>
      <x:c r="L612" s="54" t="n">
        <x:v>0.31707</x:v>
      </x:c>
      <x:c r="M612" s="54" t="n">
        <x:v>0.74738</x:v>
      </x:c>
      <x:c r="N612" s="56" t="n">
        <x:v>3.01</x:v>
      </x:c>
      <x:c r="O612" s="56" t="n">
        <x:v>2.23</x:v>
      </x:c>
      <x:c r="P612" s="56" t="n">
        <x:v>2.66</x:v>
      </x:c>
      <x:c r="Q612" s="56" t="n">
        <x:v>91.1</x:v>
      </x:c>
      <x:c r="R612" t="str">
        <x:v>X</x:v>
      </x:c>
      <x:c r="S612" s="102" t="n">
        <x:v>100</x:v>
      </x:c>
      <x:c r="T612" t="str">
        <x:v>IN TARGET BAND</x:v>
      </x:c>
      <x:c r="U612" t="n">
        <x:v>2642</x:v>
      </x:c>
      <x:c r="V612" t="str">
        <x:v>Pasted text(56).txt</x:v>
      </x:c>
    </x:row>
    <x:row r="613">
      <x:c r="A613" t="str">
        <x:v>S08</x:v>
      </x:c>
      <x:c r="B613" t="str">
        <x:v>0.65 five-run validation</x:v>
      </x:c>
      <x:c r="C613" s="54" t="n">
        <x:v>0.65</x:v>
      </x:c>
      <x:c r="D613" t="n">
        <x:v>2</x:v>
      </x:c>
      <x:c r="E613" t="n">
        <x:v>1</x:v>
      </x:c>
      <x:c r="F613" t="str">
        <x:v>SEARCH</x:v>
      </x:c>
      <x:c r="G613" t="n">
        <x:v>1</x:v>
      </x:c>
      <x:c r="H613" s="54" t="n">
        <x:v>1</x:v>
      </x:c>
      <x:c r="I613" s="54" t="n">
        <x:v>0.01904</x:v>
      </x:c>
      <x:c r="J613" s="54" t="n">
        <x:v>0.02101</x:v>
      </x:c>
      <x:c r="K613" s="54" t="n">
        <x:v>0.0161</x:v>
      </x:c>
      <x:c r="L613" s="54" t="n">
        <x:v>0.02298</x:v>
      </x:c>
      <x:c r="M613" s="54" t="n">
        <x:v>0.03607</x:v>
      </x:c>
      <x:c r="N613" s="56" t="n">
        <x:v>-97.07</x:v>
      </x:c>
      <x:c r="O613" s="56" t="n">
        <x:v>58.74</x:v>
      </x:c>
      <x:c r="P613" s="56" t="n">
        <x:v>50.63</x:v>
      </x:c>
      <x:c r="Q613" s="56" t="n">
        <x:v>12.1</x:v>
      </x:c>
      <x:c r="R613" t="str">
        <x:v>Z</x:v>
      </x:c>
      <x:c r="S613" s="102" t="n">
        <x:v>91.4</x:v>
      </x:c>
      <x:c r="T613" t="str">
        <x:v>BELOW MEASUREMENT FLOOR — SEARCH CONTINUES</x:v>
      </x:c>
      <x:c r="U613" t="n">
        <x:v>2698</x:v>
      </x:c>
      <x:c r="V613" t="str">
        <x:v>Pasted text(56).txt</x:v>
      </x:c>
    </x:row>
    <x:row r="614">
      <x:c r="A614" t="str">
        <x:v>S08</x:v>
      </x:c>
      <x:c r="B614" t="str">
        <x:v>0.65 five-run validation</x:v>
      </x:c>
      <x:c r="C614" s="54" t="n">
        <x:v>0.65</x:v>
      </x:c>
      <x:c r="D614" t="n">
        <x:v>2</x:v>
      </x:c>
      <x:c r="E614" t="n">
        <x:v>1</x:v>
      </x:c>
      <x:c r="F614" t="str">
        <x:v>SEARCH</x:v>
      </x:c>
      <x:c r="G614" t="n">
        <x:v>2</x:v>
      </x:c>
      <x:c r="H614" s="54" t="n">
        <x:v>3</x:v>
      </x:c>
      <x:c r="I614" s="54" t="n">
        <x:v>0.13488</x:v>
      </x:c>
      <x:c r="J614" s="54" t="n">
        <x:v>0.13812</x:v>
      </x:c>
      <x:c r="K614" s="54" t="n">
        <x:v>0.04357</x:v>
      </x:c>
      <x:c r="L614" s="54" t="n">
        <x:v>0.07053</x:v>
      </x:c>
      <x:c r="M614" s="54" t="n">
        <x:v>0.1632</x:v>
      </x:c>
      <x:c r="N614" s="56" t="n">
        <x:v>-79.25</x:v>
      </x:c>
      <x:c r="O614" s="56" t="n">
        <x:v>0.97</x:v>
      </x:c>
      <x:c r="P614" s="56" t="n">
        <x:v>4.63</x:v>
      </x:c>
      <x:c r="Q614" s="56" t="n">
        <x:v>60</x:v>
      </x:c>
      <x:c r="R614" t="str">
        <x:v>X</x:v>
      </x:c>
      <x:c r="S614" s="102" t="n">
        <x:v>100</x:v>
      </x:c>
      <x:c r="T614" t="str">
        <x:v>VALID</x:v>
      </x:c>
      <x:c r="U614" t="n">
        <x:v>2699</x:v>
      </x:c>
      <x:c r="V614" t="str">
        <x:v>Pasted text(56).txt</x:v>
      </x:c>
    </x:row>
    <x:row r="615">
      <x:c r="A615" t="str">
        <x:v>S08</x:v>
      </x:c>
      <x:c r="B615" t="str">
        <x:v>0.65 five-run validation</x:v>
      </x:c>
      <x:c r="C615" s="54" t="n">
        <x:v>0.65</x:v>
      </x:c>
      <x:c r="D615" t="n">
        <x:v>2</x:v>
      </x:c>
      <x:c r="E615" t="n">
        <x:v>1</x:v>
      </x:c>
      <x:c r="F615" t="str">
        <x:v>SEARCH</x:v>
      </x:c>
      <x:c r="G615" t="n">
        <x:v>3</x:v>
      </x:c>
      <x:c r="H615" s="54" t="n">
        <x:v>5</x:v>
      </x:c>
      <x:c r="I615" s="54" t="n">
        <x:v>0.33412</x:v>
      </x:c>
      <x:c r="J615" s="54" t="n">
        <x:v>0.32278</x:v>
      </x:c>
      <x:c r="K615" s="54" t="n">
        <x:v>0.07893</x:v>
      </x:c>
      <x:c r="L615" s="54" t="n">
        <x:v>0.18132</x:v>
      </x:c>
      <x:c r="M615" s="54" t="n">
        <x:v>0.37972</x:v>
      </x:c>
      <x:c r="N615" s="56" t="n">
        <x:v>-48.6</x:v>
      </x:c>
      <x:c r="O615" s="56" t="n">
        <x:v>2.96</x:v>
      </x:c>
      <x:c r="P615" s="56" t="n">
        <x:v>7.95</x:v>
      </x:c>
      <x:c r="Q615" s="56" t="n">
        <x:v>77.1</x:v>
      </x:c>
      <x:c r="R615" t="str">
        <x:v>X</x:v>
      </x:c>
      <x:c r="S615" s="102" t="n">
        <x:v>100</x:v>
      </x:c>
      <x:c r="T615" t="str">
        <x:v>VALID</x:v>
      </x:c>
      <x:c r="U615" t="n">
        <x:v>2700</x:v>
      </x:c>
      <x:c r="V615" t="str">
        <x:v>Pasted text(56).txt</x:v>
      </x:c>
    </x:row>
    <x:row r="616">
      <x:c r="A616" t="str">
        <x:v>S08</x:v>
      </x:c>
      <x:c r="B616" t="str">
        <x:v>0.65 five-run validation</x:v>
      </x:c>
      <x:c r="C616" s="54" t="n">
        <x:v>0.65</x:v>
      </x:c>
      <x:c r="D616" t="n">
        <x:v>2</x:v>
      </x:c>
      <x:c r="E616" t="n">
        <x:v>1</x:v>
      </x:c>
      <x:c r="F616" t="str">
        <x:v>SEARCH</x:v>
      </x:c>
      <x:c r="G616" t="n">
        <x:v>4</x:v>
      </x:c>
      <x:c r="H616" s="54" t="n">
        <x:v>6</x:v>
      </x:c>
      <x:c r="I616" s="54" t="n">
        <x:v>0.42787</x:v>
      </x:c>
      <x:c r="J616" s="54" t="n">
        <x:v>0.42514</x:v>
      </x:c>
      <x:c r="K616" s="54" t="n">
        <x:v>0.11501</x:v>
      </x:c>
      <x:c r="L616" s="54" t="n">
        <x:v>0.23738</x:v>
      </x:c>
      <x:c r="M616" s="54" t="n">
        <x:v>0.50034</x:v>
      </x:c>
      <x:c r="N616" s="56" t="n">
        <x:v>-34.17</x:v>
      </x:c>
      <x:c r="O616" s="56" t="n">
        <x:v>0.13</x:v>
      </x:c>
      <x:c r="P616" s="56" t="n">
        <x:v>1.19</x:v>
      </x:c>
      <x:c r="Q616" s="56" t="n">
        <x:v>86.3</x:v>
      </x:c>
      <x:c r="R616" t="str">
        <x:v>X</x:v>
      </x:c>
      <x:c r="S616" s="102" t="n">
        <x:v>100</x:v>
      </x:c>
      <x:c r="T616" t="str">
        <x:v>VALID</x:v>
      </x:c>
      <x:c r="U616" t="n">
        <x:v>2701</x:v>
      </x:c>
      <x:c r="V616" t="str">
        <x:v>Pasted text(56).txt</x:v>
      </x:c>
    </x:row>
    <x:row r="617">
      <x:c r="A617" t="str">
        <x:v>S08</x:v>
      </x:c>
      <x:c r="B617" t="str">
        <x:v>0.65 five-run validation</x:v>
      </x:c>
      <x:c r="C617" s="54" t="n">
        <x:v>0.65</x:v>
      </x:c>
      <x:c r="D617" t="n">
        <x:v>2</x:v>
      </x:c>
      <x:c r="E617" t="n">
        <x:v>1</x:v>
      </x:c>
      <x:c r="F617" t="str">
        <x:v>SEARCH</x:v>
      </x:c>
      <x:c r="G617" t="n">
        <x:v>5</x:v>
      </x:c>
      <x:c r="H617" s="54" t="n">
        <x:v>6.5</x:v>
      </x:c>
      <x:c r="I617" s="54" t="n">
        <x:v>0.43465</x:v>
      </x:c>
      <x:c r="J617" s="54" t="n">
        <x:v>0.43795</x:v>
      </x:c>
      <x:c r="K617" s="54" t="n">
        <x:v>0.09502</x:v>
      </x:c>
      <x:c r="L617" s="54" t="n">
        <x:v>0.25877</x:v>
      </x:c>
      <x:c r="M617" s="54" t="n">
        <x:v>0.51851</x:v>
      </x:c>
      <x:c r="N617" s="56" t="n">
        <x:v>-33.13</x:v>
      </x:c>
      <x:c r="O617" s="56" t="n">
        <x:v>5.12</x:v>
      </x:c>
      <x:c r="P617" s="56" t="n">
        <x:v>4.61</x:v>
      </x:c>
      <x:c r="Q617" s="56" t="n">
        <x:v>84.2</x:v>
      </x:c>
      <x:c r="R617" t="str">
        <x:v>X</x:v>
      </x:c>
      <x:c r="S617" s="102" t="n">
        <x:v>100</x:v>
      </x:c>
      <x:c r="T617" t="str">
        <x:v>VALID</x:v>
      </x:c>
      <x:c r="U617" t="n">
        <x:v>2702</x:v>
      </x:c>
      <x:c r="V617" t="str">
        <x:v>Pasted text(56).txt</x:v>
      </x:c>
    </x:row>
    <x:row r="618">
      <x:c r="A618" t="str">
        <x:v>S08</x:v>
      </x:c>
      <x:c r="B618" t="str">
        <x:v>0.65 five-run validation</x:v>
      </x:c>
      <x:c r="C618" s="54" t="n">
        <x:v>0.65</x:v>
      </x:c>
      <x:c r="D618" t="n">
        <x:v>2</x:v>
      </x:c>
      <x:c r="E618" t="n">
        <x:v>1</x:v>
      </x:c>
      <x:c r="F618" t="str">
        <x:v>SEARCH</x:v>
      </x:c>
      <x:c r="G618" t="n">
        <x:v>6</x:v>
      </x:c>
      <x:c r="H618" s="54" t="n">
        <x:v>7</x:v>
      </x:c>
      <x:c r="I618" s="54" t="n">
        <x:v>0.51996</x:v>
      </x:c>
      <x:c r="J618" s="54" t="n">
        <x:v>0.52971</x:v>
      </x:c>
      <x:c r="K618" s="54" t="n">
        <x:v>0.11873</x:v>
      </x:c>
      <x:c r="L618" s="54" t="n">
        <x:v>0.28215</x:v>
      </x:c>
      <x:c r="M618" s="54" t="n">
        <x:v>0.61253</x:v>
      </x:c>
      <x:c r="N618" s="56" t="n">
        <x:v>-20.01</x:v>
      </x:c>
      <x:c r="O618" s="56" t="n">
        <x:v>2.47</x:v>
      </x:c>
      <x:c r="P618" s="56" t="n">
        <x:v>4.67</x:v>
      </x:c>
      <x:c r="Q618" s="56" t="n">
        <x:v>89.3</x:v>
      </x:c>
      <x:c r="R618" t="str">
        <x:v>X</x:v>
      </x:c>
      <x:c r="S618" s="102" t="n">
        <x:v>100</x:v>
      </x:c>
      <x:c r="T618" t="str">
        <x:v>VALID</x:v>
      </x:c>
      <x:c r="U618" t="n">
        <x:v>2703</x:v>
      </x:c>
      <x:c r="V618" t="str">
        <x:v>Pasted text(56).txt</x:v>
      </x:c>
    </x:row>
    <x:row r="619">
      <x:c r="A619" t="str">
        <x:v>S08</x:v>
      </x:c>
      <x:c r="B619" t="str">
        <x:v>0.65 five-run validation</x:v>
      </x:c>
      <x:c r="C619" s="54" t="n">
        <x:v>0.65</x:v>
      </x:c>
      <x:c r="D619" t="n">
        <x:v>2</x:v>
      </x:c>
      <x:c r="E619" t="n">
        <x:v>1</x:v>
      </x:c>
      <x:c r="F619" t="str">
        <x:v>SEARCH</x:v>
      </x:c>
      <x:c r="G619" t="n">
        <x:v>7</x:v>
      </x:c>
      <x:c r="H619" s="54" t="n">
        <x:v>7.5</x:v>
      </x:c>
      <x:c r="I619" s="54" t="n">
        <x:v>0.56816</x:v>
      </x:c>
      <x:c r="J619" s="54" t="n">
        <x:v>0.56174</x:v>
      </x:c>
      <x:c r="K619" s="54" t="n">
        <x:v>0.13948</x:v>
      </x:c>
      <x:c r="L619" s="54" t="n">
        <x:v>0.30957</x:v>
      </x:c>
      <x:c r="M619" s="54" t="n">
        <x:v>0.65662</x:v>
      </x:c>
      <x:c r="N619" s="56" t="n">
        <x:v>-12.59</x:v>
      </x:c>
      <x:c r="O619" s="56" t="n">
        <x:v>1.03</x:v>
      </x:c>
      <x:c r="P619" s="56" t="n">
        <x:v>2.62</x:v>
      </x:c>
      <x:c r="Q619" s="56" t="n">
        <x:v>88.7</x:v>
      </x:c>
      <x:c r="R619" t="str">
        <x:v>X</x:v>
      </x:c>
      <x:c r="S619" s="102" t="n">
        <x:v>100</x:v>
      </x:c>
      <x:c r="T619" t="str">
        <x:v>VALID</x:v>
      </x:c>
      <x:c r="U619" t="n">
        <x:v>2704</x:v>
      </x:c>
      <x:c r="V619" t="str">
        <x:v>Pasted text(56).txt</x:v>
      </x:c>
    </x:row>
    <x:row r="620">
      <x:c r="A620" t="str">
        <x:v>S08</x:v>
      </x:c>
      <x:c r="B620" t="str">
        <x:v>0.65 five-run validation</x:v>
      </x:c>
      <x:c r="C620" s="54" t="n">
        <x:v>0.65</x:v>
      </x:c>
      <x:c r="D620" t="n">
        <x:v>2</x:v>
      </x:c>
      <x:c r="E620" t="n">
        <x:v>1</x:v>
      </x:c>
      <x:c r="F620" t="str">
        <x:v>SEARCH</x:v>
      </x:c>
      <x:c r="G620" t="n">
        <x:v>8</x:v>
      </x:c>
      <x:c r="H620" s="54" t="n">
        <x:v>7.75</x:v>
      </x:c>
      <x:c r="I620" s="54" t="n">
        <x:v>0.60222</x:v>
      </x:c>
      <x:c r="J620" s="54" t="n">
        <x:v>0.60653</x:v>
      </x:c>
      <x:c r="K620" s="54" t="n">
        <x:v>0.12929</x:v>
      </x:c>
      <x:c r="L620" s="54" t="n">
        <x:v>0.31622</x:v>
      </x:c>
      <x:c r="M620" s="54" t="n">
        <x:v>0.69626</x:v>
      </x:c>
      <x:c r="N620" s="56" t="n">
        <x:v>-7.35</x:v>
      </x:c>
      <x:c r="O620" s="56" t="n">
        <x:v>0.59</x:v>
      </x:c>
      <x:c r="P620" s="56" t="n">
        <x:v>1.58</x:v>
      </x:c>
      <x:c r="Q620" s="56" t="n">
        <x:v>88.9</x:v>
      </x:c>
      <x:c r="R620" t="str">
        <x:v>X</x:v>
      </x:c>
      <x:c r="S620" s="102" t="n">
        <x:v>100</x:v>
      </x:c>
      <x:c r="T620" t="str">
        <x:v>IN TARGET BAND</x:v>
      </x:c>
      <x:c r="U620" t="n">
        <x:v>2705</x:v>
      </x:c>
      <x:c r="V620" t="str">
        <x:v>Pasted text(56).txt</x:v>
      </x:c>
    </x:row>
    <x:row r="621">
      <x:c r="A621" t="str">
        <x:v>S08</x:v>
      </x:c>
      <x:c r="B621" t="str">
        <x:v>0.65 five-run validation</x:v>
      </x:c>
      <x:c r="C621" s="54" t="n">
        <x:v>0.65</x:v>
      </x:c>
      <x:c r="D621" t="n">
        <x:v>2</x:v>
      </x:c>
      <x:c r="E621" t="n">
        <x:v>1</x:v>
      </x:c>
      <x:c r="F621" t="str">
        <x:v>FINE</x:v>
      </x:c>
      <x:c r="G621" t="n">
        <x:v>1</x:v>
      </x:c>
      <x:c r="H621" s="54" t="n">
        <x:v>6.75</x:v>
      </x:c>
      <x:c r="I621" s="54" t="n">
        <x:v>0.51076</x:v>
      </x:c>
      <x:c r="J621" s="54" t="n">
        <x:v>0.51017</x:v>
      </x:c>
      <x:c r="K621" s="54" t="n">
        <x:v>0.10748</x:v>
      </x:c>
      <x:c r="L621" s="54" t="n">
        <x:v>0.27156</x:v>
      </x:c>
      <x:c r="M621" s="54" t="n">
        <x:v>0.58845</x:v>
      </x:c>
      <x:c r="N621" s="56" t="n">
        <x:v>-21.42</x:v>
      </x:c>
      <x:c r="O621" s="56" t="n">
        <x:v>6.05</x:v>
      </x:c>
      <x:c r="P621" s="56" t="n">
        <x:v>4.26</x:v>
      </x:c>
      <x:c r="Q621" s="56" t="n">
        <x:v>88.4</x:v>
      </x:c>
      <x:c r="R621" t="str">
        <x:v>X</x:v>
      </x:c>
      <x:c r="S621" s="102" t="n">
        <x:v>100</x:v>
      </x:c>
      <x:c r="T621" t="str">
        <x:v>VALID</x:v>
      </x:c>
      <x:c r="U621" t="n">
        <x:v>2709</x:v>
      </x:c>
      <x:c r="V621" t="str">
        <x:v>Pasted text(56).txt</x:v>
      </x:c>
    </x:row>
    <x:row r="622">
      <x:c r="A622" t="str">
        <x:v>S08</x:v>
      </x:c>
      <x:c r="B622" t="str">
        <x:v>0.65 five-run validation</x:v>
      </x:c>
      <x:c r="C622" s="54" t="n">
        <x:v>0.65</x:v>
      </x:c>
      <x:c r="D622" t="n">
        <x:v>2</x:v>
      </x:c>
      <x:c r="E622" t="n">
        <x:v>1</x:v>
      </x:c>
      <x:c r="F622" t="str">
        <x:v>FINE</x:v>
      </x:c>
      <x:c r="G622" t="n">
        <x:v>2</x:v>
      </x:c>
      <x:c r="H622" s="54" t="n">
        <x:v>7</x:v>
      </x:c>
      <x:c r="I622" s="54" t="n">
        <x:v>0.53564</x:v>
      </x:c>
      <x:c r="J622" s="54" t="n">
        <x:v>0.53525</x:v>
      </x:c>
      <x:c r="K622" s="54" t="n">
        <x:v>0.1341</x:v>
      </x:c>
      <x:c r="L622" s="54" t="n">
        <x:v>0.29237</x:v>
      </x:c>
      <x:c r="M622" s="54" t="n">
        <x:v>0.6247</x:v>
      </x:c>
      <x:c r="N622" s="56" t="n">
        <x:v>-17.59</x:v>
      </x:c>
      <x:c r="O622" s="56" t="n">
        <x:v>3.27</x:v>
      </x:c>
      <x:c r="P622" s="56" t="n">
        <x:v>2.32</x:v>
      </x:c>
      <x:c r="Q622" s="56" t="n">
        <x:v>89</x:v>
      </x:c>
      <x:c r="R622" t="str">
        <x:v>X</x:v>
      </x:c>
      <x:c r="S622" s="102" t="n">
        <x:v>100</x:v>
      </x:c>
      <x:c r="T622" t="str">
        <x:v>VALID</x:v>
      </x:c>
      <x:c r="U622" t="n">
        <x:v>2710</x:v>
      </x:c>
      <x:c r="V622" t="str">
        <x:v>Pasted text(56).txt</x:v>
      </x:c>
    </x:row>
    <x:row r="623">
      <x:c r="A623" t="str">
        <x:v>S08</x:v>
      </x:c>
      <x:c r="B623" t="str">
        <x:v>0.65 five-run validation</x:v>
      </x:c>
      <x:c r="C623" s="54" t="n">
        <x:v>0.65</x:v>
      </x:c>
      <x:c r="D623" t="n">
        <x:v>2</x:v>
      </x:c>
      <x:c r="E623" t="n">
        <x:v>1</x:v>
      </x:c>
      <x:c r="F623" t="str">
        <x:v>FINE</x:v>
      </x:c>
      <x:c r="G623" t="n">
        <x:v>3</x:v>
      </x:c>
      <x:c r="H623" s="54" t="n">
        <x:v>7.25</x:v>
      </x:c>
      <x:c r="I623" s="54" t="n">
        <x:v>0.52589</x:v>
      </x:c>
      <x:c r="J623" s="54" t="n">
        <x:v>0.52621</x:v>
      </x:c>
      <x:c r="K623" s="54" t="n">
        <x:v>0.12565</x:v>
      </x:c>
      <x:c r="L623" s="54" t="n">
        <x:v>0.28575</x:v>
      </x:c>
      <x:c r="M623" s="54" t="n">
        <x:v>0.61187</x:v>
      </x:c>
      <x:c r="N623" s="56" t="n">
        <x:v>-19.09</x:v>
      </x:c>
      <x:c r="O623" s="56" t="n">
        <x:v>3.85</x:v>
      </x:c>
      <x:c r="P623" s="56" t="n">
        <x:v>2.69</x:v>
      </x:c>
      <x:c r="Q623" s="56" t="n">
        <x:v>87.3</x:v>
      </x:c>
      <x:c r="R623" t="str">
        <x:v>X</x:v>
      </x:c>
      <x:c r="S623" s="102" t="n">
        <x:v>100</x:v>
      </x:c>
      <x:c r="T623" t="str">
        <x:v>VALID</x:v>
      </x:c>
      <x:c r="U623" t="n">
        <x:v>2711</x:v>
      </x:c>
      <x:c r="V623" t="str">
        <x:v>Pasted text(56).txt</x:v>
      </x:c>
    </x:row>
    <x:row r="624">
      <x:c r="A624" t="str">
        <x:v>S08</x:v>
      </x:c>
      <x:c r="B624" t="str">
        <x:v>0.65 five-run validation</x:v>
      </x:c>
      <x:c r="C624" s="54" t="n">
        <x:v>0.65</x:v>
      </x:c>
      <x:c r="D624" t="n">
        <x:v>2</x:v>
      </x:c>
      <x:c r="E624" t="n">
        <x:v>1</x:v>
      </x:c>
      <x:c r="F624" t="str">
        <x:v>FINE</x:v>
      </x:c>
      <x:c r="G624" t="n">
        <x:v>4</x:v>
      </x:c>
      <x:c r="H624" s="54" t="n">
        <x:v>7.5</x:v>
      </x:c>
      <x:c r="I624" s="54" t="n">
        <x:v>0.55203</x:v>
      </x:c>
      <x:c r="J624" s="54" t="n">
        <x:v>0.56116</x:v>
      </x:c>
      <x:c r="K624" s="54" t="n">
        <x:v>0.12457</x:v>
      </x:c>
      <x:c r="L624" s="54" t="n">
        <x:v>0.31408</x:v>
      </x:c>
      <x:c r="M624" s="54" t="n">
        <x:v>0.65518</x:v>
      </x:c>
      <x:c r="N624" s="56" t="n">
        <x:v>-15.07</x:v>
      </x:c>
      <x:c r="O624" s="56" t="n">
        <x:v>0.51</x:v>
      </x:c>
      <x:c r="P624" s="56" t="n">
        <x:v>3.12</x:v>
      </x:c>
      <x:c r="Q624" s="56" t="n">
        <x:v>88.1</x:v>
      </x:c>
      <x:c r="R624" t="str">
        <x:v>X</x:v>
      </x:c>
      <x:c r="S624" s="102" t="n">
        <x:v>100</x:v>
      </x:c>
      <x:c r="T624" t="str">
        <x:v>VALID</x:v>
      </x:c>
      <x:c r="U624" t="n">
        <x:v>2712</x:v>
      </x:c>
      <x:c r="V624" t="str">
        <x:v>Pasted text(56).txt</x:v>
      </x:c>
    </x:row>
    <x:row r="625">
      <x:c r="A625" t="str">
        <x:v>S08</x:v>
      </x:c>
      <x:c r="B625" t="str">
        <x:v>0.65 five-run validation</x:v>
      </x:c>
      <x:c r="C625" s="54" t="n">
        <x:v>0.65</x:v>
      </x:c>
      <x:c r="D625" t="n">
        <x:v>2</x:v>
      </x:c>
      <x:c r="E625" t="n">
        <x:v>1</x:v>
      </x:c>
      <x:c r="F625" t="str">
        <x:v>FINE</x:v>
      </x:c>
      <x:c r="G625" t="n">
        <x:v>5</x:v>
      </x:c>
      <x:c r="H625" s="54" t="n">
        <x:v>7.75</x:v>
      </x:c>
      <x:c r="I625" s="54" t="n">
        <x:v>0.59889</x:v>
      </x:c>
      <x:c r="J625" s="54" t="n">
        <x:v>0.60637</x:v>
      </x:c>
      <x:c r="K625" s="54" t="n">
        <x:v>0.14709</x:v>
      </x:c>
      <x:c r="L625" s="54" t="n">
        <x:v>0.30294</x:v>
      </x:c>
      <x:c r="M625" s="54" t="n">
        <x:v>0.69421</x:v>
      </x:c>
      <x:c r="N625" s="56" t="n">
        <x:v>-7.86</x:v>
      </x:c>
      <x:c r="O625" s="56" t="n">
        <x:v>4.49</x:v>
      </x:c>
      <x:c r="P625" s="56" t="n">
        <x:v>4.96</x:v>
      </x:c>
      <x:c r="Q625" s="56" t="n">
        <x:v>89.3</x:v>
      </x:c>
      <x:c r="R625" t="str">
        <x:v>X</x:v>
      </x:c>
      <x:c r="S625" s="102" t="n">
        <x:v>100</x:v>
      </x:c>
      <x:c r="T625" t="str">
        <x:v>VALID</x:v>
      </x:c>
      <x:c r="U625" t="n">
        <x:v>2713</x:v>
      </x:c>
      <x:c r="V625" t="str">
        <x:v>Pasted text(56).txt</x:v>
      </x:c>
    </x:row>
    <x:row r="626">
      <x:c r="A626" t="str">
        <x:v>S08</x:v>
      </x:c>
      <x:c r="B626" t="str">
        <x:v>0.65 five-run validation</x:v>
      </x:c>
      <x:c r="C626" s="54" t="n">
        <x:v>0.65</x:v>
      </x:c>
      <x:c r="D626" t="n">
        <x:v>2</x:v>
      </x:c>
      <x:c r="E626" t="n">
        <x:v>1</x:v>
      </x:c>
      <x:c r="F626" t="str">
        <x:v>FINE</x:v>
      </x:c>
      <x:c r="G626" t="n">
        <x:v>6</x:v>
      </x:c>
      <x:c r="H626" s="54" t="n">
        <x:v>8</x:v>
      </x:c>
      <x:c r="I626" s="54" t="n">
        <x:v>0.63529</x:v>
      </x:c>
      <x:c r="J626" s="54" t="n">
        <x:v>0.63007</x:v>
      </x:c>
      <x:c r="K626" s="54" t="n">
        <x:v>0.14684</x:v>
      </x:c>
      <x:c r="L626" s="54" t="n">
        <x:v>0.32005</x:v>
      </x:c>
      <x:c r="M626" s="54" t="n">
        <x:v>0.72197</x:v>
      </x:c>
      <x:c r="N626" s="56" t="n">
        <x:v>-2.26</x:v>
      </x:c>
      <x:c r="O626" s="56" t="n">
        <x:v>1.8</x:v>
      </x:c>
      <x:c r="P626" s="56" t="n">
        <x:v>2.57</x:v>
      </x:c>
      <x:c r="Q626" s="56" t="n">
        <x:v>90.3</x:v>
      </x:c>
      <x:c r="R626" t="str">
        <x:v>X</x:v>
      </x:c>
      <x:c r="S626" s="102" t="n">
        <x:v>100</x:v>
      </x:c>
      <x:c r="T626" t="str">
        <x:v>IN TARGET BAND</x:v>
      </x:c>
      <x:c r="U626" t="n">
        <x:v>2714</x:v>
      </x:c>
      <x:c r="V626" t="str">
        <x:v>Pasted text(56).txt</x:v>
      </x:c>
    </x:row>
    <x:row r="627">
      <x:c r="A627" t="str">
        <x:v>S08</x:v>
      </x:c>
      <x:c r="B627" t="str">
        <x:v>0.65 five-run validation</x:v>
      </x:c>
      <x:c r="C627" s="54" t="n">
        <x:v>0.65</x:v>
      </x:c>
      <x:c r="D627" t="n">
        <x:v>2</x:v>
      </x:c>
      <x:c r="E627" t="n">
        <x:v>1</x:v>
      </x:c>
      <x:c r="F627" t="str">
        <x:v>FINE</x:v>
      </x:c>
      <x:c r="G627" t="n">
        <x:v>7</x:v>
      </x:c>
      <x:c r="H627" s="54" t="n">
        <x:v>8.25</x:v>
      </x:c>
      <x:c r="I627" s="54" t="n">
        <x:v>0.65205</x:v>
      </x:c>
      <x:c r="J627" s="54" t="n">
        <x:v>0.65138</x:v>
      </x:c>
      <x:c r="K627" s="54" t="n">
        <x:v>0.15632</x:v>
      </x:c>
      <x:c r="L627" s="54" t="n">
        <x:v>0.34913</x:v>
      </x:c>
      <x:c r="M627" s="54" t="n">
        <x:v>0.75611</x:v>
      </x:c>
      <x:c r="N627" s="56" t="n">
        <x:v>0.32</x:v>
      </x:c>
      <x:c r="O627" s="56" t="n">
        <x:v>1.52</x:v>
      </x:c>
      <x:c r="P627" s="56" t="n">
        <x:v>1.18</x:v>
      </x:c>
      <x:c r="Q627" s="56" t="n">
        <x:v>89.9</x:v>
      </x:c>
      <x:c r="R627" t="str">
        <x:v>X</x:v>
      </x:c>
      <x:c r="S627" s="102" t="n">
        <x:v>100</x:v>
      </x:c>
      <x:c r="T627" t="str">
        <x:v>IN TARGET BAND</x:v>
      </x:c>
      <x:c r="U627" t="n">
        <x:v>2715</x:v>
      </x:c>
      <x:c r="V627" t="str">
        <x:v>Pasted text(56).txt</x:v>
      </x:c>
    </x:row>
    <x:row r="628">
      <x:c r="A628" t="str">
        <x:v>S08</x:v>
      </x:c>
      <x:c r="B628" t="str">
        <x:v>0.65 five-run validation</x:v>
      </x:c>
      <x:c r="C628" s="54" t="n">
        <x:v>0.65</x:v>
      </x:c>
      <x:c r="D628" t="n">
        <x:v>2</x:v>
      </x:c>
      <x:c r="E628" t="n">
        <x:v>1</x:v>
      </x:c>
      <x:c r="F628" t="str">
        <x:v>FINE</x:v>
      </x:c>
      <x:c r="G628" t="n">
        <x:v>8</x:v>
      </x:c>
      <x:c r="H628" s="54" t="n">
        <x:v>8.5</x:v>
      </x:c>
      <x:c r="I628" s="54" t="n">
        <x:v>0.67236</x:v>
      </x:c>
      <x:c r="J628" s="54" t="n">
        <x:v>0.6761</x:v>
      </x:c>
      <x:c r="K628" s="54" t="n">
        <x:v>0.16443</x:v>
      </x:c>
      <x:c r="L628" s="54" t="n">
        <x:v>0.33336</x:v>
      </x:c>
      <x:c r="M628" s="54" t="n">
        <x:v>0.77183</x:v>
      </x:c>
      <x:c r="N628" s="56" t="n">
        <x:v>3.44</x:v>
      </x:c>
      <x:c r="O628" s="56" t="n">
        <x:v>0.62</x:v>
      </x:c>
      <x:c r="P628" s="56" t="n">
        <x:v>1.34</x:v>
      </x:c>
      <x:c r="Q628" s="56" t="n">
        <x:v>91.2</x:v>
      </x:c>
      <x:c r="R628" t="str">
        <x:v>X</x:v>
      </x:c>
      <x:c r="S628" s="102" t="n">
        <x:v>100</x:v>
      </x:c>
      <x:c r="T628" t="str">
        <x:v>IN TARGET BAND</x:v>
      </x:c>
      <x:c r="U628" t="n">
        <x:v>2716</x:v>
      </x:c>
      <x:c r="V628" t="str">
        <x:v>Pasted text(56).txt</x:v>
      </x:c>
    </x:row>
    <x:row r="629">
      <x:c r="A629" t="str">
        <x:v>S08</x:v>
      </x:c>
      <x:c r="B629" t="str">
        <x:v>0.65 five-run validation</x:v>
      </x:c>
      <x:c r="C629" s="54" t="n">
        <x:v>0.65</x:v>
      </x:c>
      <x:c r="D629" t="n">
        <x:v>2</x:v>
      </x:c>
      <x:c r="E629" t="n">
        <x:v>1</x:v>
      </x:c>
      <x:c r="F629" t="str">
        <x:v>FINE</x:v>
      </x:c>
      <x:c r="G629" t="n">
        <x:v>9</x:v>
      </x:c>
      <x:c r="H629" s="54" t="n">
        <x:v>8.75</x:v>
      </x:c>
      <x:c r="I629" s="54" t="n">
        <x:v>0.69686</x:v>
      </x:c>
      <x:c r="J629" s="54" t="n">
        <x:v>0.69392</x:v>
      </x:c>
      <x:c r="K629" s="54" t="n">
        <x:v>0.15707</x:v>
      </x:c>
      <x:c r="L629" s="54" t="n">
        <x:v>0.35085</x:v>
      </x:c>
      <x:c r="M629" s="54" t="n">
        <x:v>0.79334</x:v>
      </x:c>
      <x:c r="N629" s="56" t="n">
        <x:v>7.21</x:v>
      </x:c>
      <x:c r="O629" s="56" t="n">
        <x:v>3.56</x:v>
      </x:c>
      <x:c r="P629" s="56" t="n">
        <x:v>3.07</x:v>
      </x:c>
      <x:c r="Q629" s="56" t="n">
        <x:v>90.8</x:v>
      </x:c>
      <x:c r="R629" t="str">
        <x:v>X</x:v>
      </x:c>
      <x:c r="S629" s="102" t="n">
        <x:v>100</x:v>
      </x:c>
      <x:c r="T629" t="str">
        <x:v>IN TARGET BAND</x:v>
      </x:c>
      <x:c r="U629" t="n">
        <x:v>2717</x:v>
      </x:c>
      <x:c r="V629" t="str">
        <x:v>Pasted text(56).txt</x:v>
      </x:c>
    </x:row>
    <x:row r="630">
      <x:c r="A630" t="str">
        <x:v>S08</x:v>
      </x:c>
      <x:c r="B630" t="str">
        <x:v>0.65 five-run validation</x:v>
      </x:c>
      <x:c r="C630" s="54" t="n">
        <x:v>0.65</x:v>
      </x:c>
      <x:c r="D630" t="n">
        <x:v>2</x:v>
      </x:c>
      <x:c r="E630" t="n">
        <x:v>1</x:v>
      </x:c>
      <x:c r="F630" t="str">
        <x:v>FINAL</x:v>
      </x:c>
      <x:c r="G630" t="n">
        <x:v>1</x:v>
      </x:c>
      <x:c r="H630" s="54" t="n">
        <x:v>8.25</x:v>
      </x:c>
      <x:c r="I630" s="54" t="n">
        <x:v>0.65578</x:v>
      </x:c>
      <x:c r="J630" s="54" t="n">
        <x:v>0.65513</x:v>
      </x:c>
      <x:c r="K630" s="54" t="n">
        <x:v>0.15065</x:v>
      </x:c>
      <x:c r="L630" s="54" t="n">
        <x:v>0.34229</x:v>
      </x:c>
      <x:c r="M630" s="54" t="n">
        <x:v>0.75442</x:v>
      </x:c>
      <x:c r="N630" s="56" t="n">
        <x:v>0.89</x:v>
      </x:c>
      <x:c r="O630" s="56" t="n">
        <x:v>1.09</x:v>
      </x:c>
      <x:c r="P630" s="56" t="n">
        <x:v>2.08</x:v>
      </x:c>
      <x:c r="Q630" s="56" t="n">
        <x:v>91.2</x:v>
      </x:c>
      <x:c r="R630" t="str">
        <x:v>X</x:v>
      </x:c>
      <x:c r="S630" s="102" t="n">
        <x:v>100</x:v>
      </x:c>
      <x:c r="T630" t="str">
        <x:v>IN TARGET BAND</x:v>
      </x:c>
      <x:c r="U630" t="n">
        <x:v>2720</x:v>
      </x:c>
      <x:c r="V630" t="str">
        <x:v>Pasted text(56).txt</x:v>
      </x:c>
    </x:row>
    <x:row r="631">
      <x:c r="A631" t="str">
        <x:v>S08</x:v>
      </x:c>
      <x:c r="B631" t="str">
        <x:v>0.65 five-run validation</x:v>
      </x:c>
      <x:c r="C631" s="54" t="n">
        <x:v>0.65</x:v>
      </x:c>
      <x:c r="D631" t="n">
        <x:v>2</x:v>
      </x:c>
      <x:c r="E631" t="n">
        <x:v>1</x:v>
      </x:c>
      <x:c r="F631" t="str">
        <x:v>FINAL</x:v>
      </x:c>
      <x:c r="G631" t="n">
        <x:v>2</x:v>
      </x:c>
      <x:c r="H631" s="54" t="n">
        <x:v>8.25</x:v>
      </x:c>
      <x:c r="I631" s="54" t="n">
        <x:v>0.64549</x:v>
      </x:c>
      <x:c r="J631" s="54" t="n">
        <x:v>0.64508</x:v>
      </x:c>
      <x:c r="K631" s="54" t="n">
        <x:v>0.13885</x:v>
      </x:c>
      <x:c r="L631" s="54" t="n">
        <x:v>0.3308</x:v>
      </x:c>
      <x:c r="M631" s="54" t="n">
        <x:v>0.73832</x:v>
      </x:c>
      <x:c r="N631" s="56" t="n">
        <x:v>-0.69</x:v>
      </x:c>
      <x:c r="O631" s="56" t="n">
        <x:v>0.91</x:v>
      </x:c>
      <x:c r="P631" s="56" t="n">
        <x:v>1.16</x:v>
      </x:c>
      <x:c r="Q631" s="56" t="n">
        <x:v>90.5</x:v>
      </x:c>
      <x:c r="R631" t="str">
        <x:v>X</x:v>
      </x:c>
      <x:c r="S631" s="102" t="n">
        <x:v>100</x:v>
      </x:c>
      <x:c r="T631" t="str">
        <x:v>IN TARGET BAND</x:v>
      </x:c>
      <x:c r="U631" t="n">
        <x:v>2721</x:v>
      </x:c>
      <x:c r="V631" t="str">
        <x:v>Pasted text(56).txt</x:v>
      </x:c>
    </x:row>
    <x:row r="632">
      <x:c r="A632" t="str">
        <x:v>S08</x:v>
      </x:c>
      <x:c r="B632" t="str">
        <x:v>0.65 five-run validation</x:v>
      </x:c>
      <x:c r="C632" s="54" t="n">
        <x:v>0.65</x:v>
      </x:c>
      <x:c r="D632" t="n">
        <x:v>3</x:v>
      </x:c>
      <x:c r="E632" t="n">
        <x:v>1</x:v>
      </x:c>
      <x:c r="F632" t="str">
        <x:v>SEARCH</x:v>
      </x:c>
      <x:c r="G632" t="n">
        <x:v>1</x:v>
      </x:c>
      <x:c r="H632" s="54" t="n">
        <x:v>1</x:v>
      </x:c>
      <x:c r="I632" s="54" t="n">
        <x:v>0.01391</x:v>
      </x:c>
      <x:c r="J632" s="54" t="n">
        <x:v>0.01393</x:v>
      </x:c>
      <x:c r="K632" s="54" t="n">
        <x:v>0.02341</x:v>
      </x:c>
      <x:c r="L632" s="54" t="n">
        <x:v>0.03773</x:v>
      </x:c>
      <x:c r="M632" s="54" t="n">
        <x:v>0.04673</x:v>
      </x:c>
      <x:c r="N632" s="56" t="n">
        <x:v>-97.86</x:v>
      </x:c>
      <x:c r="O632" s="56" t="n">
        <x:v>0.58</x:v>
      </x:c>
      <x:c r="P632" s="56" t="n">
        <x:v>0.27</x:v>
      </x:c>
      <x:c r="Q632" s="56" t="n">
        <x:v>8.4</x:v>
      </x:c>
      <x:c r="R632" t="str">
        <x:v>Z</x:v>
      </x:c>
      <x:c r="S632" s="102" t="n">
        <x:v>36.9</x:v>
      </x:c>
      <x:c r="T632" t="str">
        <x:v>BELOW MEASUREMENT FLOOR — SEARCH CONTINUES</x:v>
      </x:c>
      <x:c r="U632" t="n">
        <x:v>2777</x:v>
      </x:c>
      <x:c r="V632" t="str">
        <x:v>Pasted text(56).txt</x:v>
      </x:c>
    </x:row>
    <x:row r="633">
      <x:c r="A633" t="str">
        <x:v>S08</x:v>
      </x:c>
      <x:c r="B633" t="str">
        <x:v>0.65 five-run validation</x:v>
      </x:c>
      <x:c r="C633" s="54" t="n">
        <x:v>0.65</x:v>
      </x:c>
      <x:c r="D633" t="n">
        <x:v>3</x:v>
      </x:c>
      <x:c r="E633" t="n">
        <x:v>1</x:v>
      </x:c>
      <x:c r="F633" t="str">
        <x:v>SEARCH</x:v>
      </x:c>
      <x:c r="G633" t="n">
        <x:v>2</x:v>
      </x:c>
      <x:c r="H633" s="54" t="n">
        <x:v>3</x:v>
      </x:c>
      <x:c r="I633" s="54" t="n">
        <x:v>0.14124</x:v>
      </x:c>
      <x:c r="J633" s="54" t="n">
        <x:v>0.13923</x:v>
      </x:c>
      <x:c r="K633" s="54" t="n">
        <x:v>0.03972</x:v>
      </x:c>
      <x:c r="L633" s="54" t="n">
        <x:v>0.09877</x:v>
      </x:c>
      <x:c r="M633" s="54" t="n">
        <x:v>0.17658</x:v>
      </x:c>
      <x:c r="N633" s="56" t="n">
        <x:v>-78.27</x:v>
      </x:c>
      <x:c r="O633" s="56" t="n">
        <x:v>4.84</x:v>
      </x:c>
      <x:c r="P633" s="56" t="n">
        <x:v>5.62</x:v>
      </x:c>
      <x:c r="Q633" s="56" t="n">
        <x:v>55.2</x:v>
      </x:c>
      <x:c r="R633" t="str">
        <x:v>X</x:v>
      </x:c>
      <x:c r="S633" s="102" t="n">
        <x:v>100</x:v>
      </x:c>
      <x:c r="T633" t="str">
        <x:v>VALID</x:v>
      </x:c>
      <x:c r="U633" t="n">
        <x:v>2778</x:v>
      </x:c>
      <x:c r="V633" t="str">
        <x:v>Pasted text(56).txt</x:v>
      </x:c>
    </x:row>
    <x:row r="634">
      <x:c r="A634" t="str">
        <x:v>S08</x:v>
      </x:c>
      <x:c r="B634" t="str">
        <x:v>0.65 five-run validation</x:v>
      </x:c>
      <x:c r="C634" s="54" t="n">
        <x:v>0.65</x:v>
      </x:c>
      <x:c r="D634" t="n">
        <x:v>3</x:v>
      </x:c>
      <x:c r="E634" t="n">
        <x:v>1</x:v>
      </x:c>
      <x:c r="F634" t="str">
        <x:v>SEARCH</x:v>
      </x:c>
      <x:c r="G634" t="n">
        <x:v>3</x:v>
      </x:c>
      <x:c r="H634" s="54" t="n">
        <x:v>5</x:v>
      </x:c>
      <x:c r="I634" s="54" t="n">
        <x:v>0.31179</x:v>
      </x:c>
      <x:c r="J634" s="54" t="n">
        <x:v>0.31119</x:v>
      </x:c>
      <x:c r="K634" s="54" t="n">
        <x:v>0.07198</x:v>
      </x:c>
      <x:c r="L634" s="54" t="n">
        <x:v>0.2093</x:v>
      </x:c>
      <x:c r="M634" s="54" t="n">
        <x:v>0.38225</x:v>
      </x:c>
      <x:c r="N634" s="56" t="n">
        <x:v>-52.03</x:v>
      </x:c>
      <x:c r="O634" s="56" t="n">
        <x:v>0.11</x:v>
      </x:c>
      <x:c r="P634" s="56" t="n">
        <x:v>0.4</x:v>
      </x:c>
      <x:c r="Q634" s="56" t="n">
        <x:v>82.2</x:v>
      </x:c>
      <x:c r="R634" t="str">
        <x:v>X</x:v>
      </x:c>
      <x:c r="S634" s="102" t="n">
        <x:v>100</x:v>
      </x:c>
      <x:c r="T634" t="str">
        <x:v>VALID</x:v>
      </x:c>
      <x:c r="U634" t="n">
        <x:v>2779</x:v>
      </x:c>
      <x:c r="V634" t="str">
        <x:v>Pasted text(56).txt</x:v>
      </x:c>
    </x:row>
    <x:row r="635">
      <x:c r="A635" t="str">
        <x:v>S08</x:v>
      </x:c>
      <x:c r="B635" t="str">
        <x:v>0.65 five-run validation</x:v>
      </x:c>
      <x:c r="C635" s="54" t="n">
        <x:v>0.65</x:v>
      </x:c>
      <x:c r="D635" t="n">
        <x:v>3</x:v>
      </x:c>
      <x:c r="E635" t="n">
        <x:v>1</x:v>
      </x:c>
      <x:c r="F635" t="str">
        <x:v>SEARCH</x:v>
      </x:c>
      <x:c r="G635" t="n">
        <x:v>4</x:v>
      </x:c>
      <x:c r="H635" s="54" t="n">
        <x:v>6</x:v>
      </x:c>
      <x:c r="I635" s="54" t="n">
        <x:v>0.40938</x:v>
      </x:c>
      <x:c r="J635" s="54" t="n">
        <x:v>0.42025</x:v>
      </x:c>
      <x:c r="K635" s="54" t="n">
        <x:v>0.114</x:v>
      </x:c>
      <x:c r="L635" s="54" t="n">
        <x:v>0.24925</x:v>
      </x:c>
      <x:c r="M635" s="54" t="n">
        <x:v>0.50183</x:v>
      </x:c>
      <x:c r="N635" s="56" t="n">
        <x:v>-37.02</x:v>
      </x:c>
      <x:c r="O635" s="56" t="n">
        <x:v>0.7</x:v>
      </x:c>
      <x:c r="P635" s="56" t="n">
        <x:v>4.88</x:v>
      </x:c>
      <x:c r="Q635" s="56" t="n">
        <x:v>86.8</x:v>
      </x:c>
      <x:c r="R635" t="str">
        <x:v>X</x:v>
      </x:c>
      <x:c r="S635" s="102" t="n">
        <x:v>100</x:v>
      </x:c>
      <x:c r="T635" t="str">
        <x:v>VALID</x:v>
      </x:c>
      <x:c r="U635" t="n">
        <x:v>2780</x:v>
      </x:c>
      <x:c r="V635" t="str">
        <x:v>Pasted text(56).txt</x:v>
      </x:c>
    </x:row>
    <x:row r="636">
      <x:c r="A636" t="str">
        <x:v>S08</x:v>
      </x:c>
      <x:c r="B636" t="str">
        <x:v>0.65 five-run validation</x:v>
      </x:c>
      <x:c r="C636" s="54" t="n">
        <x:v>0.65</x:v>
      </x:c>
      <x:c r="D636" t="n">
        <x:v>3</x:v>
      </x:c>
      <x:c r="E636" t="n">
        <x:v>1</x:v>
      </x:c>
      <x:c r="F636" t="str">
        <x:v>SEARCH</x:v>
      </x:c>
      <x:c r="G636" t="n">
        <x:v>5</x:v>
      </x:c>
      <x:c r="H636" s="54" t="n">
        <x:v>6.5</x:v>
      </x:c>
      <x:c r="I636" s="54" t="n">
        <x:v>0.43784</x:v>
      </x:c>
      <x:c r="J636" s="54" t="n">
        <x:v>0.44008</x:v>
      </x:c>
      <x:c r="K636" s="54" t="n">
        <x:v>0.10761</x:v>
      </x:c>
      <x:c r="L636" s="54" t="n">
        <x:v>0.24761</x:v>
      </x:c>
      <x:c r="M636" s="54" t="n">
        <x:v>0.51642</x:v>
      </x:c>
      <x:c r="N636" s="56" t="n">
        <x:v>-32.64</x:v>
      </x:c>
      <x:c r="O636" s="56" t="n">
        <x:v>0.06</x:v>
      </x:c>
      <x:c r="P636" s="56" t="n">
        <x:v>0.92</x:v>
      </x:c>
      <x:c r="Q636" s="56" t="n">
        <x:v>85.2</x:v>
      </x:c>
      <x:c r="R636" t="str">
        <x:v>X</x:v>
      </x:c>
      <x:c r="S636" s="102" t="n">
        <x:v>100</x:v>
      </x:c>
      <x:c r="T636" t="str">
        <x:v>VALID</x:v>
      </x:c>
      <x:c r="U636" t="n">
        <x:v>2781</x:v>
      </x:c>
      <x:c r="V636" t="str">
        <x:v>Pasted text(56).txt</x:v>
      </x:c>
    </x:row>
    <x:row r="637">
      <x:c r="A637" t="str">
        <x:v>S08</x:v>
      </x:c>
      <x:c r="B637" t="str">
        <x:v>0.65 five-run validation</x:v>
      </x:c>
      <x:c r="C637" s="54" t="n">
        <x:v>0.65</x:v>
      </x:c>
      <x:c r="D637" t="n">
        <x:v>3</x:v>
      </x:c>
      <x:c r="E637" t="n">
        <x:v>1</x:v>
      </x:c>
      <x:c r="F637" t="str">
        <x:v>SEARCH</x:v>
      </x:c>
      <x:c r="G637" t="n">
        <x:v>6</x:v>
      </x:c>
      <x:c r="H637" s="54" t="n">
        <x:v>7</x:v>
      </x:c>
      <x:c r="I637" s="54" t="n">
        <x:v>0.51741</x:v>
      </x:c>
      <x:c r="J637" s="54" t="n">
        <x:v>0.52366</x:v>
      </x:c>
      <x:c r="K637" s="54" t="n">
        <x:v>0.10828</x:v>
      </x:c>
      <x:c r="L637" s="54" t="n">
        <x:v>0.31612</x:v>
      </x:c>
      <x:c r="M637" s="54" t="n">
        <x:v>0.62152</x:v>
      </x:c>
      <x:c r="N637" s="56" t="n">
        <x:v>-20.4</x:v>
      </x:c>
      <x:c r="O637" s="56" t="n">
        <x:v>3.77</x:v>
      </x:c>
      <x:c r="P637" s="56" t="n">
        <x:v>4.42</x:v>
      </x:c>
      <x:c r="Q637" s="56" t="n">
        <x:v>88.1</x:v>
      </x:c>
      <x:c r="R637" t="str">
        <x:v>X</x:v>
      </x:c>
      <x:c r="S637" s="102" t="n">
        <x:v>100</x:v>
      </x:c>
      <x:c r="T637" t="str">
        <x:v>VALID</x:v>
      </x:c>
      <x:c r="U637" t="n">
        <x:v>2782</x:v>
      </x:c>
      <x:c r="V637" t="str">
        <x:v>Pasted text(56).txt</x:v>
      </x:c>
    </x:row>
    <x:row r="638">
      <x:c r="A638" t="str">
        <x:v>S08</x:v>
      </x:c>
      <x:c r="B638" t="str">
        <x:v>0.65 five-run validation</x:v>
      </x:c>
      <x:c r="C638" s="54" t="n">
        <x:v>0.65</x:v>
      </x:c>
      <x:c r="D638" t="n">
        <x:v>3</x:v>
      </x:c>
      <x:c r="E638" t="n">
        <x:v>1</x:v>
      </x:c>
      <x:c r="F638" t="str">
        <x:v>SEARCH</x:v>
      </x:c>
      <x:c r="G638" t="n">
        <x:v>7</x:v>
      </x:c>
      <x:c r="H638" s="54" t="n">
        <x:v>7.5</x:v>
      </x:c>
      <x:c r="I638" s="54" t="n">
        <x:v>0.55903</x:v>
      </x:c>
      <x:c r="J638" s="54" t="n">
        <x:v>0.55277</x:v>
      </x:c>
      <x:c r="K638" s="54" t="n">
        <x:v>0.12584</x:v>
      </x:c>
      <x:c r="L638" s="54" t="n">
        <x:v>0.28497</x:v>
      </x:c>
      <x:c r="M638" s="54" t="n">
        <x:v>0.63478</x:v>
      </x:c>
      <x:c r="N638" s="56" t="n">
        <x:v>-14</x:v>
      </x:c>
      <x:c r="O638" s="56" t="n">
        <x:v>1.97</x:v>
      </x:c>
      <x:c r="P638" s="56" t="n">
        <x:v>3.19</x:v>
      </x:c>
      <x:c r="Q638" s="56" t="n">
        <x:v>88.3</x:v>
      </x:c>
      <x:c r="R638" t="str">
        <x:v>X</x:v>
      </x:c>
      <x:c r="S638" s="102" t="n">
        <x:v>100</x:v>
      </x:c>
      <x:c r="T638" t="str">
        <x:v>VALID</x:v>
      </x:c>
      <x:c r="U638" t="n">
        <x:v>2783</x:v>
      </x:c>
      <x:c r="V638" t="str">
        <x:v>Pasted text(56).txt</x:v>
      </x:c>
    </x:row>
    <x:row r="639">
      <x:c r="A639" t="str">
        <x:v>S08</x:v>
      </x:c>
      <x:c r="B639" t="str">
        <x:v>0.65 five-run validation</x:v>
      </x:c>
      <x:c r="C639" s="54" t="n">
        <x:v>0.65</x:v>
      </x:c>
      <x:c r="D639" t="n">
        <x:v>3</x:v>
      </x:c>
      <x:c r="E639" t="n">
        <x:v>1</x:v>
      </x:c>
      <x:c r="F639" t="str">
        <x:v>SEARCH</x:v>
      </x:c>
      <x:c r="G639" t="n">
        <x:v>8</x:v>
      </x:c>
      <x:c r="H639" s="54" t="n">
        <x:v>7.75</x:v>
      </x:c>
      <x:c r="I639" s="54" t="n">
        <x:v>0.59588</x:v>
      </x:c>
      <x:c r="J639" s="54" t="n">
        <x:v>0.58947</x:v>
      </x:c>
      <x:c r="K639" s="54" t="n">
        <x:v>0.13881</x:v>
      </x:c>
      <x:c r="L639" s="54" t="n">
        <x:v>0.30145</x:v>
      </x:c>
      <x:c r="M639" s="54" t="n">
        <x:v>0.67678</x:v>
      </x:c>
      <x:c r="N639" s="56" t="n">
        <x:v>-8.33</x:v>
      </x:c>
      <x:c r="O639" s="56" t="n">
        <x:v>1.96</x:v>
      </x:c>
      <x:c r="P639" s="56" t="n">
        <x:v>3.12</x:v>
      </x:c>
      <x:c r="Q639" s="56" t="n">
        <x:v>89.6</x:v>
      </x:c>
      <x:c r="R639" t="str">
        <x:v>X</x:v>
      </x:c>
      <x:c r="S639" s="102" t="n">
        <x:v>100</x:v>
      </x:c>
      <x:c r="T639" t="str">
        <x:v>VALID</x:v>
      </x:c>
      <x:c r="U639" t="n">
        <x:v>2784</x:v>
      </x:c>
      <x:c r="V639" t="str">
        <x:v>Pasted text(56).txt</x:v>
      </x:c>
    </x:row>
    <x:row r="640">
      <x:c r="A640" t="str">
        <x:v>S08</x:v>
      </x:c>
      <x:c r="B640" t="str">
        <x:v>0.65 five-run validation</x:v>
      </x:c>
      <x:c r="C640" s="54" t="n">
        <x:v>0.65</x:v>
      </x:c>
      <x:c r="D640" t="n">
        <x:v>3</x:v>
      </x:c>
      <x:c r="E640" t="n">
        <x:v>1</x:v>
      </x:c>
      <x:c r="F640" t="str">
        <x:v>SEARCH</x:v>
      </x:c>
      <x:c r="G640" t="n">
        <x:v>9</x:v>
      </x:c>
      <x:c r="H640" s="54" t="n">
        <x:v>8</x:v>
      </x:c>
      <x:c r="I640" s="54" t="n">
        <x:v>0.61096</x:v>
      </x:c>
      <x:c r="J640" s="54" t="n">
        <x:v>0.61937</x:v>
      </x:c>
      <x:c r="K640" s="54" t="n">
        <x:v>0.13649</x:v>
      </x:c>
      <x:c r="L640" s="54" t="n">
        <x:v>0.34088</x:v>
      </x:c>
      <x:c r="M640" s="54" t="n">
        <x:v>0.72052</x:v>
      </x:c>
      <x:c r="N640" s="56" t="n">
        <x:v>-6.01</x:v>
      </x:c>
      <x:c r="O640" s="56" t="n">
        <x:v>0.01</x:v>
      </x:c>
      <x:c r="P640" s="56" t="n">
        <x:v>2.35</x:v>
      </x:c>
      <x:c r="Q640" s="56" t="n">
        <x:v>90.3</x:v>
      </x:c>
      <x:c r="R640" t="str">
        <x:v>X</x:v>
      </x:c>
      <x:c r="S640" s="102" t="n">
        <x:v>100</x:v>
      </x:c>
      <x:c r="T640" t="str">
        <x:v>IN TARGET BAND</x:v>
      </x:c>
      <x:c r="U640" t="n">
        <x:v>2785</x:v>
      </x:c>
      <x:c r="V640" t="str">
        <x:v>Pasted text(56).txt</x:v>
      </x:c>
    </x:row>
    <x:row r="641">
      <x:c r="A641" t="str">
        <x:v>S08</x:v>
      </x:c>
      <x:c r="B641" t="str">
        <x:v>0.65 five-run validation</x:v>
      </x:c>
      <x:c r="C641" s="54" t="n">
        <x:v>0.65</x:v>
      </x:c>
      <x:c r="D641" t="n">
        <x:v>3</x:v>
      </x:c>
      <x:c r="E641" t="n">
        <x:v>1</x:v>
      </x:c>
      <x:c r="F641" t="str">
        <x:v>FINE</x:v>
      </x:c>
      <x:c r="G641" t="n">
        <x:v>1</x:v>
      </x:c>
      <x:c r="H641" s="54" t="n">
        <x:v>7</x:v>
      </x:c>
      <x:c r="I641" s="54" t="n">
        <x:v>0.52355</x:v>
      </x:c>
      <x:c r="J641" s="54" t="n">
        <x:v>0.52513</x:v>
      </x:c>
      <x:c r="K641" s="54" t="n">
        <x:v>0.11509</x:v>
      </x:c>
      <x:c r="L641" s="54" t="n">
        <x:v>0.31191</x:v>
      </x:c>
      <x:c r="M641" s="54" t="n">
        <x:v>0.62203</x:v>
      </x:c>
      <x:c r="N641" s="56" t="n">
        <x:v>-19.45</x:v>
      </x:c>
      <x:c r="O641" s="56" t="n">
        <x:v>5.13</x:v>
      </x:c>
      <x:c r="P641" s="56" t="n">
        <x:v>3.91</x:v>
      </x:c>
      <x:c r="Q641" s="56" t="n">
        <x:v>89.2</x:v>
      </x:c>
      <x:c r="R641" t="str">
        <x:v>X</x:v>
      </x:c>
      <x:c r="S641" s="102" t="n">
        <x:v>100</x:v>
      </x:c>
      <x:c r="T641" t="str">
        <x:v>VALID</x:v>
      </x:c>
      <x:c r="U641" t="n">
        <x:v>2789</x:v>
      </x:c>
      <x:c r="V641" t="str">
        <x:v>Pasted text(56).txt</x:v>
      </x:c>
    </x:row>
    <x:row r="642">
      <x:c r="A642" t="str">
        <x:v>S08</x:v>
      </x:c>
      <x:c r="B642" t="str">
        <x:v>0.65 five-run validation</x:v>
      </x:c>
      <x:c r="C642" s="54" t="n">
        <x:v>0.65</x:v>
      </x:c>
      <x:c r="D642" t="n">
        <x:v>3</x:v>
      </x:c>
      <x:c r="E642" t="n">
        <x:v>1</x:v>
      </x:c>
      <x:c r="F642" t="str">
        <x:v>FINE</x:v>
      </x:c>
      <x:c r="G642" t="n">
        <x:v>2</x:v>
      </x:c>
      <x:c r="H642" s="54" t="n">
        <x:v>7.25</x:v>
      </x:c>
      <x:c r="I642" s="54" t="n">
        <x:v>0.54477</x:v>
      </x:c>
      <x:c r="J642" s="54" t="n">
        <x:v>0.54</x:v>
      </x:c>
      <x:c r="K642" s="54" t="n">
        <x:v>0.12242</x:v>
      </x:c>
      <x:c r="L642" s="54" t="n">
        <x:v>0.28773</x:v>
      </x:c>
      <x:c r="M642" s="54" t="n">
        <x:v>0.62415</x:v>
      </x:c>
      <x:c r="N642" s="56" t="n">
        <x:v>-16.19</x:v>
      </x:c>
      <x:c r="O642" s="56" t="n">
        <x:v>0.55</x:v>
      </x:c>
      <x:c r="P642" s="56" t="n">
        <x:v>1.87</x:v>
      </x:c>
      <x:c r="Q642" s="56" t="n">
        <x:v>89.6</x:v>
      </x:c>
      <x:c r="R642" t="str">
        <x:v>X</x:v>
      </x:c>
      <x:c r="S642" s="102" t="n">
        <x:v>100</x:v>
      </x:c>
      <x:c r="T642" t="str">
        <x:v>VALID</x:v>
      </x:c>
      <x:c r="U642" t="n">
        <x:v>2790</x:v>
      </x:c>
      <x:c r="V642" t="str">
        <x:v>Pasted text(56).txt</x:v>
      </x:c>
    </x:row>
    <x:row r="643">
      <x:c r="A643" t="str">
        <x:v>S08</x:v>
      </x:c>
      <x:c r="B643" t="str">
        <x:v>0.65 five-run validation</x:v>
      </x:c>
      <x:c r="C643" s="54" t="n">
        <x:v>0.65</x:v>
      </x:c>
      <x:c r="D643" t="n">
        <x:v>3</x:v>
      </x:c>
      <x:c r="E643" t="n">
        <x:v>1</x:v>
      </x:c>
      <x:c r="F643" t="str">
        <x:v>FINE</x:v>
      </x:c>
      <x:c r="G643" t="n">
        <x:v>3</x:v>
      </x:c>
      <x:c r="H643" s="54" t="n">
        <x:v>7.5</x:v>
      </x:c>
      <x:c r="I643" s="54" t="n">
        <x:v>0.5667</x:v>
      </x:c>
      <x:c r="J643" s="54" t="n">
        <x:v>0.55442</x:v>
      </x:c>
      <x:c r="K643" s="54" t="n">
        <x:v>0.14098</x:v>
      </x:c>
      <x:c r="L643" s="54" t="n">
        <x:v>0.31879</x:v>
      </x:c>
      <x:c r="M643" s="54" t="n">
        <x:v>0.65506</x:v>
      </x:c>
      <x:c r="N643" s="56" t="n">
        <x:v>-12.82</x:v>
      </x:c>
      <x:c r="O643" s="56" t="n">
        <x:v>0.53</x:v>
      </x:c>
      <x:c r="P643" s="56" t="n">
        <x:v>4.16</x:v>
      </x:c>
      <x:c r="Q643" s="56" t="n">
        <x:v>88.9</x:v>
      </x:c>
      <x:c r="R643" t="str">
        <x:v>X</x:v>
      </x:c>
      <x:c r="S643" s="102" t="n">
        <x:v>100</x:v>
      </x:c>
      <x:c r="T643" t="str">
        <x:v>VALID</x:v>
      </x:c>
      <x:c r="U643" t="n">
        <x:v>2791</x:v>
      </x:c>
      <x:c r="V643" t="str">
        <x:v>Pasted text(56).txt</x:v>
      </x:c>
    </x:row>
    <x:row r="644">
      <x:c r="A644" t="str">
        <x:v>S08</x:v>
      </x:c>
      <x:c r="B644" t="str">
        <x:v>0.65 five-run validation</x:v>
      </x:c>
      <x:c r="C644" s="54" t="n">
        <x:v>0.65</x:v>
      </x:c>
      <x:c r="D644" t="n">
        <x:v>3</x:v>
      </x:c>
      <x:c r="E644" t="n">
        <x:v>1</x:v>
      </x:c>
      <x:c r="F644" t="str">
        <x:v>FINE</x:v>
      </x:c>
      <x:c r="G644" t="n">
        <x:v>4</x:v>
      </x:c>
      <x:c r="H644" s="54" t="n">
        <x:v>7.75</x:v>
      </x:c>
      <x:c r="I644" s="54" t="n">
        <x:v>0.59856</x:v>
      </x:c>
      <x:c r="J644" s="54" t="n">
        <x:v>0.59609</x:v>
      </x:c>
      <x:c r="K644" s="54" t="n">
        <x:v>0.15074</x:v>
      </x:c>
      <x:c r="L644" s="54" t="n">
        <x:v>0.32979</x:v>
      </x:c>
      <x:c r="M644" s="54" t="n">
        <x:v>0.69776</x:v>
      </x:c>
      <x:c r="N644" s="56" t="n">
        <x:v>-7.91</x:v>
      </x:c>
      <x:c r="O644" s="56" t="n">
        <x:v>0.89</x:v>
      </x:c>
      <x:c r="P644" s="56" t="n">
        <x:v>1.27</x:v>
      </x:c>
      <x:c r="Q644" s="56" t="n">
        <x:v>91.1</x:v>
      </x:c>
      <x:c r="R644" t="str">
        <x:v>X</x:v>
      </x:c>
      <x:c r="S644" s="102" t="n">
        <x:v>100</x:v>
      </x:c>
      <x:c r="T644" t="str">
        <x:v>VALID</x:v>
      </x:c>
      <x:c r="U644" t="n">
        <x:v>2792</x:v>
      </x:c>
      <x:c r="V644" t="str">
        <x:v>Pasted text(56).txt</x:v>
      </x:c>
    </x:row>
    <x:row r="645">
      <x:c r="A645" t="str">
        <x:v>S08</x:v>
      </x:c>
      <x:c r="B645" t="str">
        <x:v>0.65 five-run validation</x:v>
      </x:c>
      <x:c r="C645" s="54" t="n">
        <x:v>0.65</x:v>
      </x:c>
      <x:c r="D645" t="n">
        <x:v>3</x:v>
      </x:c>
      <x:c r="E645" t="n">
        <x:v>1</x:v>
      </x:c>
      <x:c r="F645" t="str">
        <x:v>FINE</x:v>
      </x:c>
      <x:c r="G645" t="n">
        <x:v>5</x:v>
      </x:c>
      <x:c r="H645" s="54" t="n">
        <x:v>8</x:v>
      </x:c>
      <x:c r="I645" s="54" t="n">
        <x:v>0.6103</x:v>
      </x:c>
      <x:c r="J645" s="54" t="n">
        <x:v>0.60457</x:v>
      </x:c>
      <x:c r="K645" s="54" t="n">
        <x:v>0.15596</x:v>
      </x:c>
      <x:c r="L645" s="54" t="n">
        <x:v>0.3608</x:v>
      </x:c>
      <x:c r="M645" s="54" t="n">
        <x:v>0.72184</x:v>
      </x:c>
      <x:c r="N645" s="56" t="n">
        <x:v>-6.11</x:v>
      </x:c>
      <x:c r="O645" s="56" t="n">
        <x:v>2.27</x:v>
      </x:c>
      <x:c r="P645" s="56" t="n">
        <x:v>3.08</x:v>
      </x:c>
      <x:c r="Q645" s="56" t="n">
        <x:v>89.1</x:v>
      </x:c>
      <x:c r="R645" t="str">
        <x:v>X</x:v>
      </x:c>
      <x:c r="S645" s="102" t="n">
        <x:v>100</x:v>
      </x:c>
      <x:c r="T645" t="str">
        <x:v>IN TARGET BAND</x:v>
      </x:c>
      <x:c r="U645" t="n">
        <x:v>2793</x:v>
      </x:c>
      <x:c r="V645" t="str">
        <x:v>Pasted text(56).txt</x:v>
      </x:c>
    </x:row>
    <x:row r="646">
      <x:c r="A646" t="str">
        <x:v>S08</x:v>
      </x:c>
      <x:c r="B646" t="str">
        <x:v>0.65 five-run validation</x:v>
      </x:c>
      <x:c r="C646" s="54" t="n">
        <x:v>0.65</x:v>
      </x:c>
      <x:c r="D646" t="n">
        <x:v>3</x:v>
      </x:c>
      <x:c r="E646" t="n">
        <x:v>1</x:v>
      </x:c>
      <x:c r="F646" t="str">
        <x:v>FINE</x:v>
      </x:c>
      <x:c r="G646" t="n">
        <x:v>6</x:v>
      </x:c>
      <x:c r="H646" s="54" t="n">
        <x:v>8.25</x:v>
      </x:c>
      <x:c r="I646" s="54" t="n">
        <x:v>0.63983</x:v>
      </x:c>
      <x:c r="J646" s="54" t="n">
        <x:v>0.63899</x:v>
      </x:c>
      <x:c r="K646" s="54" t="n">
        <x:v>0.15663</x:v>
      </x:c>
      <x:c r="L646" s="54" t="n">
        <x:v>0.3371</x:v>
      </x:c>
      <x:c r="M646" s="54" t="n">
        <x:v>0.73926</x:v>
      </x:c>
      <x:c r="N646" s="56" t="n">
        <x:v>-1.57</x:v>
      </x:c>
      <x:c r="O646" s="56" t="n">
        <x:v>0.4</x:v>
      </x:c>
      <x:c r="P646" s="56" t="n">
        <x:v>0.48</x:v>
      </x:c>
      <x:c r="Q646" s="56" t="n">
        <x:v>90.8</x:v>
      </x:c>
      <x:c r="R646" t="str">
        <x:v>X</x:v>
      </x:c>
      <x:c r="S646" s="102" t="n">
        <x:v>100</x:v>
      </x:c>
      <x:c r="T646" t="str">
        <x:v>IN TARGET BAND</x:v>
      </x:c>
      <x:c r="U646" t="n">
        <x:v>2794</x:v>
      </x:c>
      <x:c r="V646" t="str">
        <x:v>Pasted text(56).txt</x:v>
      </x:c>
    </x:row>
    <x:row r="647">
      <x:c r="A647" t="str">
        <x:v>S08</x:v>
      </x:c>
      <x:c r="B647" t="str">
        <x:v>0.65 five-run validation</x:v>
      </x:c>
      <x:c r="C647" s="54" t="n">
        <x:v>0.65</x:v>
      </x:c>
      <x:c r="D647" t="n">
        <x:v>3</x:v>
      </x:c>
      <x:c r="E647" t="n">
        <x:v>1</x:v>
      </x:c>
      <x:c r="F647" t="str">
        <x:v>FINE</x:v>
      </x:c>
      <x:c r="G647" t="n">
        <x:v>7</x:v>
      </x:c>
      <x:c r="H647" s="54" t="n">
        <x:v>8.5</x:v>
      </x:c>
      <x:c r="I647" s="54" t="n">
        <x:v>0.64564</x:v>
      </x:c>
      <x:c r="J647" s="54" t="n">
        <x:v>0.64558</x:v>
      </x:c>
      <x:c r="K647" s="54" t="n">
        <x:v>0.14584</x:v>
      </x:c>
      <x:c r="L647" s="54" t="n">
        <x:v>0.34947</x:v>
      </x:c>
      <x:c r="M647" s="54" t="n">
        <x:v>0.74851</x:v>
      </x:c>
      <x:c r="N647" s="56" t="n">
        <x:v>-0.67</x:v>
      </x:c>
      <x:c r="O647" s="56" t="n">
        <x:v>0.46</x:v>
      </x:c>
      <x:c r="P647" s="56" t="n">
        <x:v>0.33</x:v>
      </x:c>
      <x:c r="Q647" s="56" t="n">
        <x:v>90.8</x:v>
      </x:c>
      <x:c r="R647" t="str">
        <x:v>X</x:v>
      </x:c>
      <x:c r="S647" s="102" t="n">
        <x:v>100</x:v>
      </x:c>
      <x:c r="T647" t="str">
        <x:v>IN TARGET BAND</x:v>
      </x:c>
      <x:c r="U647" t="n">
        <x:v>2795</x:v>
      </x:c>
      <x:c r="V647" t="str">
        <x:v>Pasted text(56).txt</x:v>
      </x:c>
    </x:row>
    <x:row r="648">
      <x:c r="A648" t="str">
        <x:v>S08</x:v>
      </x:c>
      <x:c r="B648" t="str">
        <x:v>0.65 five-run validation</x:v>
      </x:c>
      <x:c r="C648" s="54" t="n">
        <x:v>0.65</x:v>
      </x:c>
      <x:c r="D648" t="n">
        <x:v>3</x:v>
      </x:c>
      <x:c r="E648" t="n">
        <x:v>1</x:v>
      </x:c>
      <x:c r="F648" t="str">
        <x:v>FINE</x:v>
      </x:c>
      <x:c r="G648" t="n">
        <x:v>8</x:v>
      </x:c>
      <x:c r="H648" s="54" t="n">
        <x:v>8.75</x:v>
      </x:c>
      <x:c r="I648" s="54" t="n">
        <x:v>0.68417</x:v>
      </x:c>
      <x:c r="J648" s="54" t="n">
        <x:v>0.67834</x:v>
      </x:c>
      <x:c r="K648" s="54" t="n">
        <x:v>0.166</x:v>
      </x:c>
      <x:c r="L648" s="54" t="n">
        <x:v>0.36522</x:v>
      </x:c>
      <x:c r="M648" s="54" t="n">
        <x:v>0.78866</x:v>
      </x:c>
      <x:c r="N648" s="56" t="n">
        <x:v>5.26</x:v>
      </x:c>
      <x:c r="O648" s="56" t="n">
        <x:v>0.65</x:v>
      </x:c>
      <x:c r="P648" s="56" t="n">
        <x:v>1.89</x:v>
      </x:c>
      <x:c r="Q648" s="56" t="n">
        <x:v>90.1</x:v>
      </x:c>
      <x:c r="R648" t="str">
        <x:v>X</x:v>
      </x:c>
      <x:c r="S648" s="102" t="n">
        <x:v>100</x:v>
      </x:c>
      <x:c r="T648" t="str">
        <x:v>IN TARGET BAND</x:v>
      </x:c>
      <x:c r="U648" t="n">
        <x:v>2796</x:v>
      </x:c>
      <x:c r="V648" t="str">
        <x:v>Pasted text(56).txt</x:v>
      </x:c>
    </x:row>
    <x:row r="649">
      <x:c r="A649" t="str">
        <x:v>S08</x:v>
      </x:c>
      <x:c r="B649" t="str">
        <x:v>0.65 five-run validation</x:v>
      </x:c>
      <x:c r="C649" s="54" t="n">
        <x:v>0.65</x:v>
      </x:c>
      <x:c r="D649" t="n">
        <x:v>3</x:v>
      </x:c>
      <x:c r="E649" t="n">
        <x:v>1</x:v>
      </x:c>
      <x:c r="F649" t="str">
        <x:v>FINE</x:v>
      </x:c>
      <x:c r="G649" t="n">
        <x:v>9</x:v>
      </x:c>
      <x:c r="H649" s="54" t="n">
        <x:v>9</x:v>
      </x:c>
      <x:c r="I649" s="54" t="n">
        <x:v>0.70884</x:v>
      </x:c>
      <x:c r="J649" s="54" t="n">
        <x:v>0.72471</x:v>
      </x:c>
      <x:c r="K649" s="54" t="n">
        <x:v>0.16897</x:v>
      </x:c>
      <x:c r="L649" s="54" t="n">
        <x:v>0.35584</x:v>
      </x:c>
      <x:c r="M649" s="54" t="n">
        <x:v>0.82497</x:v>
      </x:c>
      <x:c r="N649" s="56" t="n">
        <x:v>9.05</x:v>
      </x:c>
      <x:c r="O649" s="56" t="n">
        <x:v>0.27</x:v>
      </x:c>
      <x:c r="P649" s="56" t="n">
        <x:v>3.95</x:v>
      </x:c>
      <x:c r="Q649" s="56" t="n">
        <x:v>91.7</x:v>
      </x:c>
      <x:c r="R649" t="str">
        <x:v>X</x:v>
      </x:c>
      <x:c r="S649" s="102" t="n">
        <x:v>100</x:v>
      </x:c>
      <x:c r="T649" t="str">
        <x:v>VALID</x:v>
      </x:c>
      <x:c r="U649" t="n">
        <x:v>2797</x:v>
      </x:c>
      <x:c r="V649" t="str">
        <x:v>Pasted text(56).txt</x:v>
      </x:c>
    </x:row>
    <x:row r="650">
      <x:c r="A650" t="str">
        <x:v>S08</x:v>
      </x:c>
      <x:c r="B650" t="str">
        <x:v>0.65 five-run validation</x:v>
      </x:c>
      <x:c r="C650" s="54" t="n">
        <x:v>0.65</x:v>
      </x:c>
      <x:c r="D650" t="n">
        <x:v>3</x:v>
      </x:c>
      <x:c r="E650" t="n">
        <x:v>1</x:v>
      </x:c>
      <x:c r="F650" t="str">
        <x:v>FINAL</x:v>
      </x:c>
      <x:c r="G650" t="n">
        <x:v>1</x:v>
      </x:c>
      <x:c r="H650" s="54" t="n">
        <x:v>8.5</x:v>
      </x:c>
      <x:c r="I650" s="54" t="n">
        <x:v>0.65103</x:v>
      </x:c>
      <x:c r="J650" s="54" t="n">
        <x:v>0.65424</x:v>
      </x:c>
      <x:c r="K650" s="54" t="n">
        <x:v>0.16441</x:v>
      </x:c>
      <x:c r="L650" s="54" t="n">
        <x:v>0.36205</x:v>
      </x:c>
      <x:c r="M650" s="54" t="n">
        <x:v>0.7663</x:v>
      </x:c>
      <x:c r="N650" s="56" t="n">
        <x:v>0.16</x:v>
      </x:c>
      <x:c r="O650" s="56" t="n">
        <x:v>2.75</x:v>
      </x:c>
      <x:c r="P650" s="56" t="n">
        <x:v>2.07</x:v>
      </x:c>
      <x:c r="Q650" s="56" t="n">
        <x:v>89.5</x:v>
      </x:c>
      <x:c r="R650" t="str">
        <x:v>X</x:v>
      </x:c>
      <x:c r="S650" s="102" t="n">
        <x:v>100</x:v>
      </x:c>
      <x:c r="T650" t="str">
        <x:v>IN TARGET BAND</x:v>
      </x:c>
      <x:c r="U650" t="n">
        <x:v>2800</x:v>
      </x:c>
      <x:c r="V650" t="str">
        <x:v>Pasted text(56).txt</x:v>
      </x:c>
    </x:row>
    <x:row r="651">
      <x:c r="A651" t="str">
        <x:v>S08</x:v>
      </x:c>
      <x:c r="B651" t="str">
        <x:v>0.65 five-run validation</x:v>
      </x:c>
      <x:c r="C651" s="54" t="n">
        <x:v>0.65</x:v>
      </x:c>
      <x:c r="D651" t="n">
        <x:v>3</x:v>
      </x:c>
      <x:c r="E651" t="n">
        <x:v>1</x:v>
      </x:c>
      <x:c r="F651" t="str">
        <x:v>FINAL</x:v>
      </x:c>
      <x:c r="G651" t="n">
        <x:v>2</x:v>
      </x:c>
      <x:c r="H651" s="54" t="n">
        <x:v>8.5</x:v>
      </x:c>
      <x:c r="I651" s="54" t="n">
        <x:v>0.64064</x:v>
      </x:c>
      <x:c r="J651" s="54" t="n">
        <x:v>0.64345</x:v>
      </x:c>
      <x:c r="K651" s="54" t="n">
        <x:v>0.16017</x:v>
      </x:c>
      <x:c r="L651" s="54" t="n">
        <x:v>0.34832</x:v>
      </x:c>
      <x:c r="M651" s="54" t="n">
        <x:v>0.74919</x:v>
      </x:c>
      <x:c r="N651" s="56" t="n">
        <x:v>-1.44</x:v>
      </x:c>
      <x:c r="O651" s="56" t="n">
        <x:v>1.28</x:v>
      </x:c>
      <x:c r="P651" s="56" t="n">
        <x:v>2.47</x:v>
      </x:c>
      <x:c r="Q651" s="56" t="n">
        <x:v>89.9</x:v>
      </x:c>
      <x:c r="R651" t="str">
        <x:v>X</x:v>
      </x:c>
      <x:c r="S651" s="102" t="n">
        <x:v>100</x:v>
      </x:c>
      <x:c r="T651" t="str">
        <x:v>IN TARGET BAND</x:v>
      </x:c>
      <x:c r="U651" t="n">
        <x:v>2801</x:v>
      </x:c>
      <x:c r="V651" t="str">
        <x:v>Pasted text(56).txt</x:v>
      </x:c>
    </x:row>
    <x:row r="652">
      <x:c r="A652" t="str">
        <x:v>S08</x:v>
      </x:c>
      <x:c r="B652" t="str">
        <x:v>0.65 five-run validation</x:v>
      </x:c>
      <x:c r="C652" s="54" t="n">
        <x:v>0.65</x:v>
      </x:c>
      <x:c r="D652" t="n">
        <x:v>4</x:v>
      </x:c>
      <x:c r="E652" t="n">
        <x:v>1</x:v>
      </x:c>
      <x:c r="F652" t="str">
        <x:v>SEARCH</x:v>
      </x:c>
      <x:c r="G652" t="n">
        <x:v>1</x:v>
      </x:c>
      <x:c r="H652" s="54" t="n">
        <x:v>1</x:v>
      </x:c>
      <x:c r="I652" s="54" t="n">
        <x:v>0.02231</x:v>
      </x:c>
      <x:c r="J652" s="54" t="n">
        <x:v>0.01998</x:v>
      </x:c>
      <x:c r="K652" s="54" t="n">
        <x:v>0.01592</x:v>
      </x:c>
      <x:c r="L652" s="54" t="n">
        <x:v>0.02912</x:v>
      </x:c>
      <x:c r="M652" s="54" t="n">
        <x:v>0.03899</x:v>
      </x:c>
      <x:c r="N652" s="56" t="n">
        <x:v>-96.57</x:v>
      </x:c>
      <x:c r="O652" s="56" t="n">
        <x:v>30.97</x:v>
      </x:c>
      <x:c r="P652" s="56" t="n">
        <x:v>16.5</x:v>
      </x:c>
      <x:c r="Q652" s="56" t="n">
        <x:v>10.2</x:v>
      </x:c>
      <x:c r="R652" t="str">
        <x:v>Z</x:v>
      </x:c>
      <x:c r="S652" s="102" t="n">
        <x:v>68.6</x:v>
      </x:c>
      <x:c r="T652" t="str">
        <x:v>BELOW MEASUREMENT FLOOR — SEARCH CONTINUES</x:v>
      </x:c>
      <x:c r="U652" t="n">
        <x:v>2857</x:v>
      </x:c>
      <x:c r="V652" t="str">
        <x:v>Pasted text(56).txt</x:v>
      </x:c>
    </x:row>
    <x:row r="653">
      <x:c r="A653" t="str">
        <x:v>S08</x:v>
      </x:c>
      <x:c r="B653" t="str">
        <x:v>0.65 five-run validation</x:v>
      </x:c>
      <x:c r="C653" s="54" t="n">
        <x:v>0.65</x:v>
      </x:c>
      <x:c r="D653" t="n">
        <x:v>4</x:v>
      </x:c>
      <x:c r="E653" t="n">
        <x:v>1</x:v>
      </x:c>
      <x:c r="F653" t="str">
        <x:v>SEARCH</x:v>
      </x:c>
      <x:c r="G653" t="n">
        <x:v>2</x:v>
      </x:c>
      <x:c r="H653" s="54" t="n">
        <x:v>3</x:v>
      </x:c>
      <x:c r="I653" s="54" t="n">
        <x:v>0.07346</x:v>
      </x:c>
      <x:c r="J653" s="54" t="n">
        <x:v>0.07219</x:v>
      </x:c>
      <x:c r="K653" s="54" t="n">
        <x:v>0.06471</x:v>
      </x:c>
      <x:c r="L653" s="54" t="n">
        <x:v>0.11838</x:v>
      </x:c>
      <x:c r="M653" s="54" t="n">
        <x:v>0.15533</x:v>
      </x:c>
      <x:c r="N653" s="56" t="n">
        <x:v>-88.7</x:v>
      </x:c>
      <x:c r="O653" s="56" t="n">
        <x:v>37.18</x:v>
      </x:c>
      <x:c r="P653" s="56" t="n">
        <x:v>28.19</x:v>
      </x:c>
      <x:c r="Q653" s="56" t="n">
        <x:v>27.8</x:v>
      </x:c>
      <x:c r="R653" t="str">
        <x:v>Z</x:v>
      </x:c>
      <x:c r="S653" s="102" t="n">
        <x:v>61</x:v>
      </x:c>
      <x:c r="T653" t="str">
        <x:v>UNSTABLE — SEARCH CONTINUES</x:v>
      </x:c>
      <x:c r="U653" t="n">
        <x:v>2858</x:v>
      </x:c>
      <x:c r="V653" t="str">
        <x:v>Pasted text(56).txt</x:v>
      </x:c>
    </x:row>
    <x:row r="654">
      <x:c r="A654" t="str">
        <x:v>S08</x:v>
      </x:c>
      <x:c r="B654" t="str">
        <x:v>0.65 five-run validation</x:v>
      </x:c>
      <x:c r="C654" s="54" t="n">
        <x:v>0.65</x:v>
      </x:c>
      <x:c r="D654" t="n">
        <x:v>4</x:v>
      </x:c>
      <x:c r="E654" t="n">
        <x:v>1</x:v>
      </x:c>
      <x:c r="F654" t="str">
        <x:v>SEARCH</x:v>
      </x:c>
      <x:c r="G654" t="n">
        <x:v>3</x:v>
      </x:c>
      <x:c r="H654" s="54" t="n">
        <x:v>5</x:v>
      </x:c>
      <x:c r="I654" s="54" t="n">
        <x:v>0.15835</x:v>
      </x:c>
      <x:c r="J654" s="54" t="n">
        <x:v>0.14983</x:v>
      </x:c>
      <x:c r="K654" s="54" t="n">
        <x:v>0.13233</x:v>
      </x:c>
      <x:c r="L654" s="54" t="n">
        <x:v>0.24307</x:v>
      </x:c>
      <x:c r="M654" s="54" t="n">
        <x:v>0.31638</x:v>
      </x:c>
      <x:c r="N654" s="56" t="n">
        <x:v>-75.64</x:v>
      </x:c>
      <x:c r="O654" s="56" t="n">
        <x:v>2.73</x:v>
      </x:c>
      <x:c r="P654" s="56" t="n">
        <x:v>11.57</x:v>
      </x:c>
      <x:c r="Q654" s="56" t="n">
        <x:v>48.9</x:v>
      </x:c>
      <x:c r="R654" t="str">
        <x:v>Z</x:v>
      </x:c>
      <x:c r="S654" s="102" t="n">
        <x:v>61.6</x:v>
      </x:c>
      <x:c r="T654" t="str">
        <x:v>UNSTABLE — SEARCH CONTINUES</x:v>
      </x:c>
      <x:c r="U654" t="n">
        <x:v>2859</x:v>
      </x:c>
      <x:c r="V654" t="str">
        <x:v>Pasted text(56).txt</x:v>
      </x:c>
    </x:row>
    <x:row r="655">
      <x:c r="A655" t="str">
        <x:v>S08</x:v>
      </x:c>
      <x:c r="B655" t="str">
        <x:v>0.65 five-run validation</x:v>
      </x:c>
      <x:c r="C655" s="54" t="n">
        <x:v>0.65</x:v>
      </x:c>
      <x:c r="D655" t="n">
        <x:v>4</x:v>
      </x:c>
      <x:c r="E655" t="n">
        <x:v>1</x:v>
      </x:c>
      <x:c r="F655" t="str">
        <x:v>SEARCH</x:v>
      </x:c>
      <x:c r="G655" t="n">
        <x:v>4</x:v>
      </x:c>
      <x:c r="H655" s="54" t="n">
        <x:v>7</x:v>
      </x:c>
      <x:c r="I655" s="54" t="n">
        <x:v>0.2523</x:v>
      </x:c>
      <x:c r="J655" s="54" t="n">
        <x:v>0.25211</x:v>
      </x:c>
      <x:c r="K655" s="54" t="n">
        <x:v>0.21268</x:v>
      </x:c>
      <x:c r="L655" s="54" t="n">
        <x:v>0.37623</x:v>
      </x:c>
      <x:c r="M655" s="54" t="n">
        <x:v>0.50065</x:v>
      </x:c>
      <x:c r="N655" s="56" t="n">
        <x:v>-61.18</x:v>
      </x:c>
      <x:c r="O655" s="56" t="n">
        <x:v>1.18</x:v>
      </x:c>
      <x:c r="P655" s="56" t="n">
        <x:v>0.91</x:v>
      </x:c>
      <x:c r="Q655" s="56" t="n">
        <x:v>70.1</x:v>
      </x:c>
      <x:c r="R655" t="str">
        <x:v>Z</x:v>
      </x:c>
      <x:c r="S655" s="102" t="n">
        <x:v>67</x:v>
      </x:c>
      <x:c r="T655" t="str">
        <x:v>VALID</x:v>
      </x:c>
      <x:c r="U655" t="n">
        <x:v>2860</x:v>
      </x:c>
      <x:c r="V655" t="str">
        <x:v>Pasted text(56).txt</x:v>
      </x:c>
    </x:row>
    <x:row r="656">
      <x:c r="A656" t="str">
        <x:v>S08</x:v>
      </x:c>
      <x:c r="B656" t="str">
        <x:v>0.65 five-run validation</x:v>
      </x:c>
      <x:c r="C656" s="54" t="n">
        <x:v>0.65</x:v>
      </x:c>
      <x:c r="D656" t="n">
        <x:v>4</x:v>
      </x:c>
      <x:c r="E656" t="n">
        <x:v>1</x:v>
      </x:c>
      <x:c r="F656" t="str">
        <x:v>SEARCH</x:v>
      </x:c>
      <x:c r="G656" t="n">
        <x:v>5</x:v>
      </x:c>
      <x:c r="H656" s="54" t="n">
        <x:v>8</x:v>
      </x:c>
      <x:c r="I656" s="54" t="n">
        <x:v>0.29109</x:v>
      </x:c>
      <x:c r="J656" s="54" t="n">
        <x:v>0.28536</x:v>
      </x:c>
      <x:c r="K656" s="54" t="n">
        <x:v>0.24445</x:v>
      </x:c>
      <x:c r="L656" s="54" t="n">
        <x:v>0.43883</x:v>
      </x:c>
      <x:c r="M656" s="54" t="n">
        <x:v>0.57781</x:v>
      </x:c>
      <x:c r="N656" s="56" t="n">
        <x:v>-55.22</x:v>
      </x:c>
      <x:c r="O656" s="56" t="n">
        <x:v>0.27</x:v>
      </x:c>
      <x:c r="P656" s="56" t="n">
        <x:v>3.64</x:v>
      </x:c>
      <x:c r="Q656" s="56" t="n">
        <x:v>72.6</x:v>
      </x:c>
      <x:c r="R656" t="str">
        <x:v>Z</x:v>
      </x:c>
      <x:c r="S656" s="102" t="n">
        <x:v>65</x:v>
      </x:c>
      <x:c r="T656" t="str">
        <x:v>VALID</x:v>
      </x:c>
      <x:c r="U656" t="n">
        <x:v>2861</x:v>
      </x:c>
      <x:c r="V656" t="str">
        <x:v>Pasted text(56).txt</x:v>
      </x:c>
    </x:row>
    <x:row r="657">
      <x:c r="A657" t="str">
        <x:v>S08</x:v>
      </x:c>
      <x:c r="B657" t="str">
        <x:v>0.65 five-run validation</x:v>
      </x:c>
      <x:c r="C657" s="54" t="n">
        <x:v>0.65</x:v>
      </x:c>
      <x:c r="D657" t="n">
        <x:v>4</x:v>
      </x:c>
      <x:c r="E657" t="n">
        <x:v>1</x:v>
      </x:c>
      <x:c r="F657" t="str">
        <x:v>SEARCH</x:v>
      </x:c>
      <x:c r="G657" t="n">
        <x:v>6</x:v>
      </x:c>
      <x:c r="H657" s="54" t="n">
        <x:v>9</x:v>
      </x:c>
      <x:c r="I657" s="54" t="n">
        <x:v>0.31985</x:v>
      </x:c>
      <x:c r="J657" s="54" t="n">
        <x:v>0.31612</x:v>
      </x:c>
      <x:c r="K657" s="54" t="n">
        <x:v>0.26921</x:v>
      </x:c>
      <x:c r="L657" s="54" t="n">
        <x:v>0.44891</x:v>
      </x:c>
      <x:c r="M657" s="54" t="n">
        <x:v>0.61168</x:v>
      </x:c>
      <x:c r="N657" s="56" t="n">
        <x:v>-50.79</x:v>
      </x:c>
      <x:c r="O657" s="56" t="n">
        <x:v>0.55</x:v>
      </x:c>
      <x:c r="P657" s="56" t="n">
        <x:v>2.37</x:v>
      </x:c>
      <x:c r="Q657" s="56" t="n">
        <x:v>74.3</x:v>
      </x:c>
      <x:c r="R657" t="str">
        <x:v>Z</x:v>
      </x:c>
      <x:c r="S657" s="102" t="n">
        <x:v>70.4</x:v>
      </x:c>
      <x:c r="T657" t="str">
        <x:v>VALID</x:v>
      </x:c>
      <x:c r="U657" t="n">
        <x:v>2862</x:v>
      </x:c>
      <x:c r="V657" t="str">
        <x:v>Pasted text(56).txt</x:v>
      </x:c>
    </x:row>
    <x:row r="658">
      <x:c r="A658" t="str">
        <x:v>S08</x:v>
      </x:c>
      <x:c r="B658" t="str">
        <x:v>0.65 five-run validation</x:v>
      </x:c>
      <x:c r="C658" s="54" t="n">
        <x:v>0.65</x:v>
      </x:c>
      <x:c r="D658" t="n">
        <x:v>4</x:v>
      </x:c>
      <x:c r="E658" t="n">
        <x:v>1</x:v>
      </x:c>
      <x:c r="F658" t="str">
        <x:v>SEARCH</x:v>
      </x:c>
      <x:c r="G658" t="n">
        <x:v>7</x:v>
      </x:c>
      <x:c r="H658" s="54" t="n">
        <x:v>10</x:v>
      </x:c>
      <x:c r="I658" s="54" t="n">
        <x:v>0.37735</x:v>
      </x:c>
      <x:c r="J658" s="54" t="n">
        <x:v>0.37749</x:v>
      </x:c>
      <x:c r="K658" s="54" t="n">
        <x:v>0.31155</x:v>
      </x:c>
      <x:c r="L658" s="54" t="n">
        <x:v>0.52135</x:v>
      </x:c>
      <x:c r="M658" s="54" t="n">
        <x:v>0.71529</x:v>
      </x:c>
      <x:c r="N658" s="56" t="n">
        <x:v>-41.95</x:v>
      </x:c>
      <x:c r="O658" s="56" t="n">
        <x:v>7.37</x:v>
      </x:c>
      <x:c r="P658" s="56" t="n">
        <x:v>5.02</x:v>
      </x:c>
      <x:c r="Q658" s="56" t="n">
        <x:v>82</x:v>
      </x:c>
      <x:c r="R658" t="str">
        <x:v>Z</x:v>
      </x:c>
      <x:c r="S658" s="102" t="n">
        <x:v>72.4</x:v>
      </x:c>
      <x:c r="T658" t="str">
        <x:v>VALID</x:v>
      </x:c>
      <x:c r="U658" t="n">
        <x:v>2863</x:v>
      </x:c>
      <x:c r="V658" t="str">
        <x:v>Pasted text(56).txt</x:v>
      </x:c>
    </x:row>
    <x:row r="659">
      <x:c r="A659" t="str">
        <x:v>S08</x:v>
      </x:c>
      <x:c r="B659" t="str">
        <x:v>0.65 five-run validation</x:v>
      </x:c>
      <x:c r="C659" s="54" t="n">
        <x:v>0.65</x:v>
      </x:c>
      <x:c r="D659" t="n">
        <x:v>4</x:v>
      </x:c>
      <x:c r="E659" t="n">
        <x:v>1</x:v>
      </x:c>
      <x:c r="F659" t="str">
        <x:v>SEARCH</x:v>
      </x:c>
      <x:c r="G659" t="n">
        <x:v>8</x:v>
      </x:c>
      <x:c r="H659" s="54" t="n">
        <x:v>11</x:v>
      </x:c>
      <x:c r="I659" s="54" t="n">
        <x:v>0.41477</x:v>
      </x:c>
      <x:c r="J659" s="54" t="n">
        <x:v>0.40365</x:v>
      </x:c>
      <x:c r="K659" s="54" t="n">
        <x:v>0.35236</x:v>
      </x:c>
      <x:c r="L659" s="54" t="n">
        <x:v>0.5684</x:v>
      </x:c>
      <x:c r="M659" s="54" t="n">
        <x:v>0.78149</x:v>
      </x:c>
      <x:c r="N659" s="56" t="n">
        <x:v>-36.19</x:v>
      </x:c>
      <x:c r="O659" s="56" t="n">
        <x:v>0.47</x:v>
      </x:c>
      <x:c r="P659" s="56" t="n">
        <x:v>5.06</x:v>
      </x:c>
      <x:c r="Q659" s="56" t="n">
        <x:v>79.8</x:v>
      </x:c>
      <x:c r="R659" t="str">
        <x:v>Z</x:v>
      </x:c>
      <x:c r="S659" s="102" t="n">
        <x:v>71</x:v>
      </x:c>
      <x:c r="T659" t="str">
        <x:v>VALID</x:v>
      </x:c>
      <x:c r="U659" t="n">
        <x:v>2864</x:v>
      </x:c>
      <x:c r="V659" t="str">
        <x:v>Pasted text(56).txt</x:v>
      </x:c>
    </x:row>
    <x:row r="660">
      <x:c r="A660" t="str">
        <x:v>S08</x:v>
      </x:c>
      <x:c r="B660" t="str">
        <x:v>0.65 five-run validation</x:v>
      </x:c>
      <x:c r="C660" s="54" t="n">
        <x:v>0.65</x:v>
      </x:c>
      <x:c r="D660" t="n">
        <x:v>4</x:v>
      </x:c>
      <x:c r="E660" t="n">
        <x:v>1</x:v>
      </x:c>
      <x:c r="F660" t="str">
        <x:v>SEARCH</x:v>
      </x:c>
      <x:c r="G660" t="n">
        <x:v>9</x:v>
      </x:c>
      <x:c r="H660" s="54" t="n">
        <x:v>11.5</x:v>
      </x:c>
      <x:c r="I660" s="54" t="n">
        <x:v>0.42239</x:v>
      </x:c>
      <x:c r="J660" s="54" t="n">
        <x:v>0.42343</x:v>
      </x:c>
      <x:c r="K660" s="54" t="n">
        <x:v>0.36603</x:v>
      </x:c>
      <x:c r="L660" s="54" t="n">
        <x:v>0.60521</x:v>
      </x:c>
      <x:c r="M660" s="54" t="n">
        <x:v>0.82438</x:v>
      </x:c>
      <x:c r="N660" s="56" t="n">
        <x:v>-35.02</x:v>
      </x:c>
      <x:c r="O660" s="56" t="n">
        <x:v>2.19</x:v>
      </x:c>
      <x:c r="P660" s="56" t="n">
        <x:v>1.85</x:v>
      </x:c>
      <x:c r="Q660" s="56" t="n">
        <x:v>84.6</x:v>
      </x:c>
      <x:c r="R660" t="str">
        <x:v>Z</x:v>
      </x:c>
      <x:c r="S660" s="102" t="n">
        <x:v>70</x:v>
      </x:c>
      <x:c r="T660" t="str">
        <x:v>VALID</x:v>
      </x:c>
      <x:c r="U660" t="n">
        <x:v>2865</x:v>
      </x:c>
      <x:c r="V660" t="str">
        <x:v>Pasted text(56).txt</x:v>
      </x:c>
    </x:row>
    <x:row r="661">
      <x:c r="A661" t="str">
        <x:v>S08</x:v>
      </x:c>
      <x:c r="B661" t="str">
        <x:v>0.65 five-run validation</x:v>
      </x:c>
      <x:c r="C661" s="54" t="n">
        <x:v>0.65</x:v>
      </x:c>
      <x:c r="D661" t="n">
        <x:v>4</x:v>
      </x:c>
      <x:c r="E661" t="n">
        <x:v>1</x:v>
      </x:c>
      <x:c r="F661" t="str">
        <x:v>SEARCH</x:v>
      </x:c>
      <x:c r="G661" t="n">
        <x:v>10</x:v>
      </x:c>
      <x:c r="H661" s="54" t="n">
        <x:v>12</x:v>
      </x:c>
      <x:c r="I661" s="54" t="n">
        <x:v>0.45142</x:v>
      </x:c>
      <x:c r="J661" s="54" t="n">
        <x:v>0.44571</x:v>
      </x:c>
      <x:c r="K661" s="54" t="n">
        <x:v>0.36505</x:v>
      </x:c>
      <x:c r="L661" s="54" t="n">
        <x:v>0.63272</x:v>
      </x:c>
      <x:c r="M661" s="54" t="n">
        <x:v>0.85596</x:v>
      </x:c>
      <x:c r="N661" s="56" t="n">
        <x:v>-30.55</x:v>
      </x:c>
      <x:c r="O661" s="56" t="n">
        <x:v>4.97</x:v>
      </x:c>
      <x:c r="P661" s="56" t="n">
        <x:v>5.43</x:v>
      </x:c>
      <x:c r="Q661" s="56" t="n">
        <x:v>83.2</x:v>
      </x:c>
      <x:c r="R661" t="str">
        <x:v>Z</x:v>
      </x:c>
      <x:c r="S661" s="102" t="n">
        <x:v>70.4</x:v>
      </x:c>
      <x:c r="T661" t="str">
        <x:v>VALID</x:v>
      </x:c>
      <x:c r="U661" t="n">
        <x:v>2866</x:v>
      </x:c>
      <x:c r="V661" t="str">
        <x:v>Pasted text(56).txt</x:v>
      </x:c>
    </x:row>
    <x:row r="662">
      <x:c r="A662" t="str">
        <x:v>S08</x:v>
      </x:c>
      <x:c r="B662" t="str">
        <x:v>0.65 five-run validation</x:v>
      </x:c>
      <x:c r="C662" s="54" t="n">
        <x:v>0.65</x:v>
      </x:c>
      <x:c r="D662" t="n">
        <x:v>4</x:v>
      </x:c>
      <x:c r="E662" t="n">
        <x:v>1</x:v>
      </x:c>
      <x:c r="F662" t="str">
        <x:v>SEARCH</x:v>
      </x:c>
      <x:c r="G662" t="n">
        <x:v>11</x:v>
      </x:c>
      <x:c r="H662" s="54" t="n">
        <x:v>12.5</x:v>
      </x:c>
      <x:c r="I662" s="54" t="n">
        <x:v>0.45808</x:v>
      </x:c>
      <x:c r="J662" s="54" t="n">
        <x:v>0.45693</x:v>
      </x:c>
      <x:c r="K662" s="54" t="n">
        <x:v>0.38535</x:v>
      </x:c>
      <x:c r="L662" s="54" t="n">
        <x:v>0.64173</x:v>
      </x:c>
      <x:c r="M662" s="54" t="n">
        <x:v>0.87715</x:v>
      </x:c>
      <x:c r="N662" s="56" t="n">
        <x:v>-29.53</x:v>
      </x:c>
      <x:c r="O662" s="56" t="n">
        <x:v>2.47</x:v>
      </x:c>
      <x:c r="P662" s="56" t="n">
        <x:v>2.06</x:v>
      </x:c>
      <x:c r="Q662" s="56" t="n">
        <x:v>85.7</x:v>
      </x:c>
      <x:c r="R662" t="str">
        <x:v>Z</x:v>
      </x:c>
      <x:c r="S662" s="102" t="n">
        <x:v>71.2</x:v>
      </x:c>
      <x:c r="T662" t="str">
        <x:v>VALID</x:v>
      </x:c>
      <x:c r="U662" t="n">
        <x:v>2867</x:v>
      </x:c>
      <x:c r="V662" t="str">
        <x:v>Pasted text(56).txt</x:v>
      </x:c>
    </x:row>
    <x:row r="663">
      <x:c r="A663" t="str">
        <x:v>S08</x:v>
      </x:c>
      <x:c r="B663" t="str">
        <x:v>0.65 five-run validation</x:v>
      </x:c>
      <x:c r="C663" s="54" t="n">
        <x:v>0.65</x:v>
      </x:c>
      <x:c r="D663" t="n">
        <x:v>4</x:v>
      </x:c>
      <x:c r="E663" t="n">
        <x:v>1</x:v>
      </x:c>
      <x:c r="F663" t="str">
        <x:v>SEARCH</x:v>
      </x:c>
      <x:c r="G663" t="n">
        <x:v>12</x:v>
      </x:c>
      <x:c r="H663" s="54" t="n">
        <x:v>13</x:v>
      </x:c>
      <x:c r="I663" s="54" t="n">
        <x:v>0.48023</x:v>
      </x:c>
      <x:c r="J663" s="54" t="n">
        <x:v>0.48059</x:v>
      </x:c>
      <x:c r="K663" s="54" t="n">
        <x:v>0.3849</x:v>
      </x:c>
      <x:c r="L663" s="54" t="n">
        <x:v>0.69186</x:v>
      </x:c>
      <x:c r="M663" s="54" t="n">
        <x:v>0.92636</x:v>
      </x:c>
      <x:c r="N663" s="56" t="n">
        <x:v>-26.12</x:v>
      </x:c>
      <x:c r="O663" s="56" t="n">
        <x:v>3.2</x:v>
      </x:c>
      <x:c r="P663" s="56" t="n">
        <x:v>2.27</x:v>
      </x:c>
      <x:c r="Q663" s="56" t="n">
        <x:v>84.1</x:v>
      </x:c>
      <x:c r="R663" t="str">
        <x:v>Z</x:v>
      </x:c>
      <x:c r="S663" s="102" t="n">
        <x:v>69.5</x:v>
      </x:c>
      <x:c r="T663" t="str">
        <x:v>VALID</x:v>
      </x:c>
      <x:c r="U663" t="n">
        <x:v>2868</x:v>
      </x:c>
      <x:c r="V663" t="str">
        <x:v>Pasted text(56).txt</x:v>
      </x:c>
    </x:row>
    <x:row r="664">
      <x:c r="A664" t="str">
        <x:v>S08</x:v>
      </x:c>
      <x:c r="B664" t="str">
        <x:v>0.65 five-run validation</x:v>
      </x:c>
      <x:c r="C664" s="54" t="n">
        <x:v>0.65</x:v>
      </x:c>
      <x:c r="D664" t="n">
        <x:v>4</x:v>
      </x:c>
      <x:c r="E664" t="n">
        <x:v>1</x:v>
      </x:c>
      <x:c r="F664" t="str">
        <x:v>SEARCH</x:v>
      </x:c>
      <x:c r="G664" t="n">
        <x:v>13</x:v>
      </x:c>
      <x:c r="H664" s="54" t="n">
        <x:v>13.5</x:v>
      </x:c>
      <x:c r="I664" s="54" t="n">
        <x:v>0.49673</x:v>
      </x:c>
      <x:c r="J664" s="54" t="n">
        <x:v>0.49596</x:v>
      </x:c>
      <x:c r="K664" s="54" t="n">
        <x:v>0.40653</x:v>
      </x:c>
      <x:c r="L664" s="54" t="n">
        <x:v>0.64621</x:v>
      </x:c>
      <x:c r="M664" s="54" t="n">
        <x:v>0.91088</x:v>
      </x:c>
      <x:c r="N664" s="56" t="n">
        <x:v>-23.58</x:v>
      </x:c>
      <x:c r="O664" s="56" t="n">
        <x:v>6.12</x:v>
      </x:c>
      <x:c r="P664" s="56" t="n">
        <x:v>4.37</x:v>
      </x:c>
      <x:c r="Q664" s="56" t="n">
        <x:v>86.4</x:v>
      </x:c>
      <x:c r="R664" t="str">
        <x:v>Z</x:v>
      </x:c>
      <x:c r="S664" s="102" t="n">
        <x:v>76.7</x:v>
      </x:c>
      <x:c r="T664" t="str">
        <x:v>VALID</x:v>
      </x:c>
      <x:c r="U664" t="n">
        <x:v>2869</x:v>
      </x:c>
      <x:c r="V664" t="str">
        <x:v>Pasted text(56).txt</x:v>
      </x:c>
    </x:row>
    <x:row r="665">
      <x:c r="A665" t="str">
        <x:v>S08</x:v>
      </x:c>
      <x:c r="B665" t="str">
        <x:v>0.65 five-run validation</x:v>
      </x:c>
      <x:c r="C665" s="54" t="n">
        <x:v>0.65</x:v>
      </x:c>
      <x:c r="D665" t="n">
        <x:v>4</x:v>
      </x:c>
      <x:c r="E665" t="n">
        <x:v>1</x:v>
      </x:c>
      <x:c r="F665" t="str">
        <x:v>SEARCH</x:v>
      </x:c>
      <x:c r="G665" t="n">
        <x:v>14</x:v>
      </x:c>
      <x:c r="H665" s="54" t="n">
        <x:v>14</x:v>
      </x:c>
      <x:c r="I665" s="54" t="n">
        <x:v>0.52197</x:v>
      </x:c>
      <x:c r="J665" s="54" t="n">
        <x:v>0.50563</x:v>
      </x:c>
      <x:c r="K665" s="54" t="n">
        <x:v>0.37067</x:v>
      </x:c>
      <x:c r="L665" s="54" t="n">
        <x:v>0.60429</x:v>
      </x:c>
      <x:c r="M665" s="54" t="n">
        <x:v>0.87089</x:v>
      </x:c>
      <x:c r="N665" s="56" t="n">
        <x:v>-19.7</x:v>
      </x:c>
      <x:c r="O665" s="56" t="n">
        <x:v>0.24</x:v>
      </x:c>
      <x:c r="P665" s="56" t="n">
        <x:v>5.74</x:v>
      </x:c>
      <x:c r="Q665" s="56" t="n">
        <x:v>86.3</x:v>
      </x:c>
      <x:c r="R665" t="str">
        <x:v>Z</x:v>
      </x:c>
      <x:c r="S665" s="102" t="n">
        <x:v>83.7</x:v>
      </x:c>
      <x:c r="T665" t="str">
        <x:v>VALID</x:v>
      </x:c>
      <x:c r="U665" t="n">
        <x:v>2870</x:v>
      </x:c>
      <x:c r="V665" t="str">
        <x:v>Pasted text(56).txt</x:v>
      </x:c>
    </x:row>
    <x:row r="666">
      <x:c r="A666" t="str">
        <x:v>S08</x:v>
      </x:c>
      <x:c r="B666" t="str">
        <x:v>0.65 five-run validation</x:v>
      </x:c>
      <x:c r="C666" s="54" t="n">
        <x:v>0.65</x:v>
      </x:c>
      <x:c r="D666" t="n">
        <x:v>4</x:v>
      </x:c>
      <x:c r="E666" t="n">
        <x:v>1</x:v>
      </x:c>
      <x:c r="F666" t="str">
        <x:v>SEARCH</x:v>
      </x:c>
      <x:c r="G666" t="n">
        <x:v>15</x:v>
      </x:c>
      <x:c r="H666" s="54" t="n">
        <x:v>14.5</x:v>
      </x:c>
      <x:c r="I666" s="54" t="n">
        <x:v>1.14899</x:v>
      </x:c>
      <x:c r="J666" s="54" t="n">
        <x:v>1.23793</x:v>
      </x:c>
      <x:c r="K666" s="54" t="n">
        <x:v>0.40796</x:v>
      </x:c>
      <x:c r="L666" s="54" t="n">
        <x:v>0.38842</x:v>
      </x:c>
      <x:c r="M666" s="54" t="n">
        <x:v>1.36186</x:v>
      </x:c>
      <x:c r="N666" s="56" t="n">
        <x:v>76.77</x:v>
      </x:c>
      <x:c r="O666" s="56" t="n">
        <x:v>22.95</x:v>
      </x:c>
      <x:c r="P666" s="56" t="n">
        <x:v>10.16</x:v>
      </x:c>
      <x:c r="Q666" s="56" t="n">
        <x:v>93.2</x:v>
      </x:c>
      <x:c r="R666" t="str">
        <x:v>X</x:v>
      </x:c>
      <x:c r="S666" s="102" t="n">
        <x:v>100</x:v>
      </x:c>
      <x:c r="T666" t="str">
        <x:v>UNSTABLE — SEARCH CONTINUES</x:v>
      </x:c>
      <x:c r="U666" t="n">
        <x:v>2871</x:v>
      </x:c>
      <x:c r="V666" t="str">
        <x:v>Pasted text(56).txt</x:v>
      </x:c>
    </x:row>
    <x:row r="667">
      <x:c r="A667" t="str">
        <x:v>S08</x:v>
      </x:c>
      <x:c r="B667" t="str">
        <x:v>0.65 five-run validation</x:v>
      </x:c>
      <x:c r="C667" s="54" t="n">
        <x:v>0.65</x:v>
      </x:c>
      <x:c r="D667" t="n">
        <x:v>4</x:v>
      </x:c>
      <x:c r="E667" t="n">
        <x:v>1</x:v>
      </x:c>
      <x:c r="F667" t="str">
        <x:v>SEARCH</x:v>
      </x:c>
      <x:c r="G667" t="n">
        <x:v>16</x:v>
      </x:c>
      <x:c r="H667" s="54" t="n">
        <x:v>15.5</x:v>
      </x:c>
      <x:c r="I667" s="54" t="n">
        <x:v>1.42176</x:v>
      </x:c>
      <x:c r="J667" s="54" t="n">
        <x:v>1.42174</x:v>
      </x:c>
      <x:c r="K667" s="54" t="n">
        <x:v>0.34608</x:v>
      </x:c>
      <x:c r="L667" s="54" t="n">
        <x:v>0.48381</x:v>
      </x:c>
      <x:c r="M667" s="54" t="n">
        <x:v>1.54131</x:v>
      </x:c>
      <x:c r="N667" s="56" t="n">
        <x:v>118.73</x:v>
      </x:c>
      <x:c r="O667" s="56" t="n">
        <x:v>0.58</x:v>
      </x:c>
      <x:c r="P667" s="56" t="n">
        <x:v>0.39</x:v>
      </x:c>
      <x:c r="Q667" s="56" t="n">
        <x:v>93.6</x:v>
      </x:c>
      <x:c r="R667" t="str">
        <x:v>X</x:v>
      </x:c>
      <x:c r="S667" s="102" t="n">
        <x:v>100</x:v>
      </x:c>
      <x:c r="T667" t="str">
        <x:v>VALID</x:v>
      </x:c>
      <x:c r="U667" t="n">
        <x:v>2872</x:v>
      </x:c>
      <x:c r="V667" t="str">
        <x:v>Pasted text(56).txt</x:v>
      </x:c>
    </x:row>
    <x:row r="668">
      <x:c r="A668" t="str">
        <x:v>S08</x:v>
      </x:c>
      <x:c r="B668" t="str">
        <x:v>0.65 five-run validation</x:v>
      </x:c>
      <x:c r="C668" s="54" t="n">
        <x:v>0.65</x:v>
      </x:c>
      <x:c r="D668" t="n">
        <x:v>4</x:v>
      </x:c>
      <x:c r="E668" t="n">
        <x:v>1</x:v>
      </x:c>
      <x:c r="F668" t="str">
        <x:v>FINE</x:v>
      </x:c>
      <x:c r="G668" t="n">
        <x:v>1</x:v>
      </x:c>
      <x:c r="H668" s="54" t="n">
        <x:v>13.25</x:v>
      </x:c>
      <x:c r="I668" s="54" t="n">
        <x:v>1.19721</x:v>
      </x:c>
      <x:c r="J668" s="54" t="n">
        <x:v>1.19521</x:v>
      </x:c>
      <x:c r="K668" s="54" t="n">
        <x:v>0.28246</x:v>
      </x:c>
      <x:c r="L668" s="54" t="n">
        <x:v>0.45746</x:v>
      </x:c>
      <x:c r="M668" s="54" t="n">
        <x:v>1.31068</x:v>
      </x:c>
      <x:c r="N668" s="56" t="n">
        <x:v>84.19</x:v>
      </x:c>
      <x:c r="O668" s="56" t="n">
        <x:v>0.9</x:v>
      </x:c>
      <x:c r="P668" s="56" t="n">
        <x:v>0.87</x:v>
      </x:c>
      <x:c r="Q668" s="56" t="n">
        <x:v>94</x:v>
      </x:c>
      <x:c r="R668" t="str">
        <x:v>X</x:v>
      </x:c>
      <x:c r="S668" s="102" t="n">
        <x:v>100</x:v>
      </x:c>
      <x:c r="T668" t="str">
        <x:v>VALID</x:v>
      </x:c>
      <x:c r="U668" t="n">
        <x:v>2877</x:v>
      </x:c>
      <x:c r="V668" t="str">
        <x:v>Pasted text(56).txt</x:v>
      </x:c>
    </x:row>
    <x:row r="669">
      <x:c r="A669" t="str">
        <x:v>S08</x:v>
      </x:c>
      <x:c r="B669" t="str">
        <x:v>0.65 five-run validation</x:v>
      </x:c>
      <x:c r="C669" s="54" t="n">
        <x:v>0.65</x:v>
      </x:c>
      <x:c r="D669" t="n">
        <x:v>4</x:v>
      </x:c>
      <x:c r="E669" t="n">
        <x:v>1</x:v>
      </x:c>
      <x:c r="F669" t="str">
        <x:v>FINE</x:v>
      </x:c>
      <x:c r="G669" t="n">
        <x:v>2</x:v>
      </x:c>
      <x:c r="H669" s="54" t="n">
        <x:v>13.5</x:v>
      </x:c>
      <x:c r="I669" s="54" t="n">
        <x:v>1.2308</x:v>
      </x:c>
      <x:c r="J669" s="54" t="n">
        <x:v>1.22551</x:v>
      </x:c>
      <x:c r="K669" s="54" t="n">
        <x:v>0.29265</x:v>
      </x:c>
      <x:c r="L669" s="54" t="n">
        <x:v>0.45139</x:v>
      </x:c>
      <x:c r="M669" s="54" t="n">
        <x:v>1.33841</x:v>
      </x:c>
      <x:c r="N669" s="56" t="n">
        <x:v>89.35</x:v>
      </x:c>
      <x:c r="O669" s="56" t="n">
        <x:v>0.37</x:v>
      </x:c>
      <x:c r="P669" s="56" t="n">
        <x:v>0.97</x:v>
      </x:c>
      <x:c r="Q669" s="56" t="n">
        <x:v>93.8</x:v>
      </x:c>
      <x:c r="R669" t="str">
        <x:v>X</x:v>
      </x:c>
      <x:c r="S669" s="102" t="n">
        <x:v>100</x:v>
      </x:c>
      <x:c r="T669" t="str">
        <x:v>VALID</x:v>
      </x:c>
      <x:c r="U669" t="n">
        <x:v>2878</x:v>
      </x:c>
      <x:c r="V669" t="str">
        <x:v>Pasted text(56).txt</x:v>
      </x:c>
    </x:row>
    <x:row r="670">
      <x:c r="A670" t="str">
        <x:v>S08</x:v>
      </x:c>
      <x:c r="B670" t="str">
        <x:v>0.65 five-run validation</x:v>
      </x:c>
      <x:c r="C670" s="54" t="n">
        <x:v>0.65</x:v>
      </x:c>
      <x:c r="D670" t="n">
        <x:v>4</x:v>
      </x:c>
      <x:c r="E670" t="n">
        <x:v>1</x:v>
      </x:c>
      <x:c r="F670" t="str">
        <x:v>FINE</x:v>
      </x:c>
      <x:c r="G670" t="n">
        <x:v>3</x:v>
      </x:c>
      <x:c r="H670" s="54" t="n">
        <x:v>13.75</x:v>
      </x:c>
      <x:c r="I670" s="54" t="n">
        <x:v>1.23597</x:v>
      </x:c>
      <x:c r="J670" s="54" t="n">
        <x:v>1.2434</x:v>
      </x:c>
      <x:c r="K670" s="54" t="n">
        <x:v>0.31099</x:v>
      </x:c>
      <x:c r="L670" s="54" t="n">
        <x:v>0.45758</x:v>
      </x:c>
      <x:c r="M670" s="54" t="n">
        <x:v>1.36094</x:v>
      </x:c>
      <x:c r="N670" s="56" t="n">
        <x:v>90.15</x:v>
      </x:c>
      <x:c r="O670" s="56" t="n">
        <x:v>0.53</x:v>
      </x:c>
      <x:c r="P670" s="56" t="n">
        <x:v>1.36</x:v>
      </x:c>
      <x:c r="Q670" s="56" t="n">
        <x:v>93</x:v>
      </x:c>
      <x:c r="R670" t="str">
        <x:v>X</x:v>
      </x:c>
      <x:c r="S670" s="102" t="n">
        <x:v>100</x:v>
      </x:c>
      <x:c r="T670" t="str">
        <x:v>VALID</x:v>
      </x:c>
      <x:c r="U670" t="n">
        <x:v>2879</x:v>
      </x:c>
      <x:c r="V670" t="str">
        <x:v>Pasted text(56).txt</x:v>
      </x:c>
    </x:row>
    <x:row r="671">
      <x:c r="A671" t="str">
        <x:v>S08</x:v>
      </x:c>
      <x:c r="B671" t="str">
        <x:v>0.65 five-run validation</x:v>
      </x:c>
      <x:c r="C671" s="54" t="n">
        <x:v>0.65</x:v>
      </x:c>
      <x:c r="D671" t="n">
        <x:v>4</x:v>
      </x:c>
      <x:c r="E671" t="n">
        <x:v>1</x:v>
      </x:c>
      <x:c r="F671" t="str">
        <x:v>FINE</x:v>
      </x:c>
      <x:c r="G671" t="n">
        <x:v>4</x:v>
      </x:c>
      <x:c r="H671" s="54" t="n">
        <x:v>14</x:v>
      </x:c>
      <x:c r="I671" s="54" t="n">
        <x:v>1.27935</x:v>
      </x:c>
      <x:c r="J671" s="54" t="n">
        <x:v>1.27577</x:v>
      </x:c>
      <x:c r="K671" s="54" t="n">
        <x:v>0.31453</x:v>
      </x:c>
      <x:c r="L671" s="54" t="n">
        <x:v>0.5003</x:v>
      </x:c>
      <x:c r="M671" s="54" t="n">
        <x:v>1.40605</x:v>
      </x:c>
      <x:c r="N671" s="56" t="n">
        <x:v>96.82</x:v>
      </x:c>
      <x:c r="O671" s="56" t="n">
        <x:v>0.73</x:v>
      </x:c>
      <x:c r="P671" s="56" t="n">
        <x:v>0.94</x:v>
      </x:c>
      <x:c r="Q671" s="56" t="n">
        <x:v>93.1</x:v>
      </x:c>
      <x:c r="R671" t="str">
        <x:v>X</x:v>
      </x:c>
      <x:c r="S671" s="102" t="n">
        <x:v>100</x:v>
      </x:c>
      <x:c r="T671" t="str">
        <x:v>VALID</x:v>
      </x:c>
      <x:c r="U671" t="n">
        <x:v>2880</x:v>
      </x:c>
      <x:c r="V671" t="str">
        <x:v>Pasted text(56).txt</x:v>
      </x:c>
    </x:row>
    <x:row r="672">
      <x:c r="A672" t="str">
        <x:v>S08</x:v>
      </x:c>
      <x:c r="B672" t="str">
        <x:v>0.65 five-run validation</x:v>
      </x:c>
      <x:c r="C672" s="54" t="n">
        <x:v>0.65</x:v>
      </x:c>
      <x:c r="D672" t="n">
        <x:v>4</x:v>
      </x:c>
      <x:c r="E672" t="n">
        <x:v>1</x:v>
      </x:c>
      <x:c r="F672" t="str">
        <x:v>FINE</x:v>
      </x:c>
      <x:c r="G672" t="n">
        <x:v>5</x:v>
      </x:c>
      <x:c r="H672" s="54" t="n">
        <x:v>14.25</x:v>
      </x:c>
      <x:c r="I672" s="54" t="n">
        <x:v>1.32874</x:v>
      </x:c>
      <x:c r="J672" s="54" t="n">
        <x:v>1.3202</x:v>
      </x:c>
      <x:c r="K672" s="54" t="n">
        <x:v>0.31657</x:v>
      </x:c>
      <x:c r="L672" s="54" t="n">
        <x:v>0.45075</x:v>
      </x:c>
      <x:c r="M672" s="54" t="n">
        <x:v>1.43074</x:v>
      </x:c>
      <x:c r="N672" s="56" t="n">
        <x:v>104.42</x:v>
      </x:c>
      <x:c r="O672" s="56" t="n">
        <x:v>0.4</x:v>
      </x:c>
      <x:c r="P672" s="56" t="n">
        <x:v>1.36</x:v>
      </x:c>
      <x:c r="Q672" s="56" t="n">
        <x:v>94.3</x:v>
      </x:c>
      <x:c r="R672" t="str">
        <x:v>X</x:v>
      </x:c>
      <x:c r="S672" s="102" t="n">
        <x:v>100</x:v>
      </x:c>
      <x:c r="T672" t="str">
        <x:v>VALID</x:v>
      </x:c>
      <x:c r="U672" t="n">
        <x:v>2881</x:v>
      </x:c>
      <x:c r="V672" t="str">
        <x:v>Pasted text(56).txt</x:v>
      </x:c>
    </x:row>
    <x:row r="673">
      <x:c r="A673" t="str">
        <x:v>S08</x:v>
      </x:c>
      <x:c r="B673" t="str">
        <x:v>0.65 five-run validation</x:v>
      </x:c>
      <x:c r="C673" s="54" t="n">
        <x:v>0.65</x:v>
      </x:c>
      <x:c r="D673" t="n">
        <x:v>4</x:v>
      </x:c>
      <x:c r="E673" t="n">
        <x:v>1</x:v>
      </x:c>
      <x:c r="F673" t="str">
        <x:v>FINE</x:v>
      </x:c>
      <x:c r="G673" t="n">
        <x:v>6</x:v>
      </x:c>
      <x:c r="H673" s="54" t="n">
        <x:v>14.5</x:v>
      </x:c>
      <x:c r="I673" s="54" t="n">
        <x:v>1.33649</x:v>
      </x:c>
      <x:c r="J673" s="54" t="n">
        <x:v>1.32633</x:v>
      </x:c>
      <x:c r="K673" s="54" t="n">
        <x:v>0.32269</x:v>
      </x:c>
      <x:c r="L673" s="54" t="n">
        <x:v>0.51557</x:v>
      </x:c>
      <x:c r="M673" s="54" t="n">
        <x:v>1.45926</x:v>
      </x:c>
      <x:c r="N673" s="56" t="n">
        <x:v>105.61</x:v>
      </x:c>
      <x:c r="O673" s="56" t="n">
        <x:v>0.12</x:v>
      </x:c>
      <x:c r="P673" s="56" t="n">
        <x:v>1.4</x:v>
      </x:c>
      <x:c r="Q673" s="56" t="n">
        <x:v>93.9</x:v>
      </x:c>
      <x:c r="R673" t="str">
        <x:v>X</x:v>
      </x:c>
      <x:c r="S673" s="102" t="n">
        <x:v>100</x:v>
      </x:c>
      <x:c r="T673" t="str">
        <x:v>VALID</x:v>
      </x:c>
      <x:c r="U673" t="n">
        <x:v>2882</x:v>
      </x:c>
      <x:c r="V673" t="str">
        <x:v>Pasted text(56).txt</x:v>
      </x:c>
    </x:row>
    <x:row r="674">
      <x:c r="A674" t="str">
        <x:v>S08</x:v>
      </x:c>
      <x:c r="B674" t="str">
        <x:v>0.65 five-run validation</x:v>
      </x:c>
      <x:c r="C674" s="54" t="n">
        <x:v>0.65</x:v>
      </x:c>
      <x:c r="D674" t="n">
        <x:v>4</x:v>
      </x:c>
      <x:c r="E674" t="n">
        <x:v>1</x:v>
      </x:c>
      <x:c r="F674" t="str">
        <x:v>FINE</x:v>
      </x:c>
      <x:c r="G674" t="n">
        <x:v>7</x:v>
      </x:c>
      <x:c r="H674" s="54" t="n">
        <x:v>14.75</x:v>
      </x:c>
      <x:c r="I674" s="54" t="n">
        <x:v>1.34855</x:v>
      </x:c>
      <x:c r="J674" s="54" t="n">
        <x:v>1.34804</x:v>
      </x:c>
      <x:c r="K674" s="54" t="n">
        <x:v>0.32369</x:v>
      </x:c>
      <x:c r="L674" s="54" t="n">
        <x:v>0.51593</x:v>
      </x:c>
      <x:c r="M674" s="54" t="n">
        <x:v>1.47939</x:v>
      </x:c>
      <x:c r="N674" s="56" t="n">
        <x:v>107.47</x:v>
      </x:c>
      <x:c r="O674" s="56" t="n">
        <x:v>0.73</x:v>
      </x:c>
      <x:c r="P674" s="56" t="n">
        <x:v>0.55</x:v>
      </x:c>
      <x:c r="Q674" s="56" t="n">
        <x:v>93.9</x:v>
      </x:c>
      <x:c r="R674" t="str">
        <x:v>X</x:v>
      </x:c>
      <x:c r="S674" s="102" t="n">
        <x:v>100</x:v>
      </x:c>
      <x:c r="T674" t="str">
        <x:v>VALID</x:v>
      </x:c>
      <x:c r="U674" t="n">
        <x:v>2883</x:v>
      </x:c>
      <x:c r="V674" t="str">
        <x:v>Pasted text(56).txt</x:v>
      </x:c>
    </x:row>
    <x:row r="675">
      <x:c r="A675" t="str">
        <x:v>S08</x:v>
      </x:c>
      <x:c r="B675" t="str">
        <x:v>0.65 five-run validation</x:v>
      </x:c>
      <x:c r="C675" s="54" t="n">
        <x:v>0.65</x:v>
      </x:c>
      <x:c r="D675" t="n">
        <x:v>4</x:v>
      </x:c>
      <x:c r="E675" t="n">
        <x:v>1</x:v>
      </x:c>
      <x:c r="F675" t="str">
        <x:v>FINE</x:v>
      </x:c>
      <x:c r="G675" t="n">
        <x:v>8</x:v>
      </x:c>
      <x:c r="H675" s="54" t="n">
        <x:v>15</x:v>
      </x:c>
      <x:c r="I675" s="54" t="n">
        <x:v>1.38888</x:v>
      </x:c>
      <x:c r="J675" s="54" t="n">
        <x:v>1.38943</x:v>
      </x:c>
      <x:c r="K675" s="54" t="n">
        <x:v>0.33075</x:v>
      </x:c>
      <x:c r="L675" s="54" t="n">
        <x:v>0.5285</x:v>
      </x:c>
      <x:c r="M675" s="54" t="n">
        <x:v>1.52303</x:v>
      </x:c>
      <x:c r="N675" s="56" t="n">
        <x:v>113.67</x:v>
      </x:c>
      <x:c r="O675" s="56" t="n">
        <x:v>0.02</x:v>
      </x:c>
      <x:c r="P675" s="56" t="n">
        <x:v>0.08</x:v>
      </x:c>
      <x:c r="Q675" s="56" t="n">
        <x:v>94</x:v>
      </x:c>
      <x:c r="R675" t="str">
        <x:v>X</x:v>
      </x:c>
      <x:c r="S675" s="102" t="n">
        <x:v>100</x:v>
      </x:c>
      <x:c r="T675" t="str">
        <x:v>VALID</x:v>
      </x:c>
      <x:c r="U675" t="n">
        <x:v>2884</x:v>
      </x:c>
      <x:c r="V675" t="str">
        <x:v>Pasted text(56).txt</x:v>
      </x:c>
    </x:row>
    <x:row r="676">
      <x:c r="A676" t="str">
        <x:v>S08</x:v>
      </x:c>
      <x:c r="B676" t="str">
        <x:v>0.65 five-run validation</x:v>
      </x:c>
      <x:c r="C676" s="54" t="n">
        <x:v>0.65</x:v>
      </x:c>
      <x:c r="D676" t="n">
        <x:v>4</x:v>
      </x:c>
      <x:c r="E676" t="n">
        <x:v>1</x:v>
      </x:c>
      <x:c r="F676" t="str">
        <x:v>FINE</x:v>
      </x:c>
      <x:c r="G676" t="n">
        <x:v>9</x:v>
      </x:c>
      <x:c r="H676" s="54" t="n">
        <x:v>15.25</x:v>
      </x:c>
      <x:c r="I676" s="54" t="n">
        <x:v>1.40595</x:v>
      </x:c>
      <x:c r="J676" s="54" t="n">
        <x:v>1.3991</x:v>
      </x:c>
      <x:c r="K676" s="54" t="n">
        <x:v>0.32616</x:v>
      </x:c>
      <x:c r="L676" s="54" t="n">
        <x:v>0.53821</x:v>
      </x:c>
      <x:c r="M676" s="54" t="n">
        <x:v>1.53414</x:v>
      </x:c>
      <x:c r="N676" s="56" t="n">
        <x:v>116.3</x:v>
      </x:c>
      <x:c r="O676" s="56" t="n">
        <x:v>1.04</x:v>
      </x:c>
      <x:c r="P676" s="56" t="n">
        <x:v>1.5</x:v>
      </x:c>
      <x:c r="Q676" s="56" t="n">
        <x:v>94</x:v>
      </x:c>
      <x:c r="R676" t="str">
        <x:v>X</x:v>
      </x:c>
      <x:c r="S676" s="102" t="n">
        <x:v>100</x:v>
      </x:c>
      <x:c r="T676" t="str">
        <x:v>VALID</x:v>
      </x:c>
      <x:c r="U676" t="n">
        <x:v>2885</x:v>
      </x:c>
      <x:c r="V676" t="str">
        <x:v>Pasted text(56).txt</x:v>
      </x:c>
    </x:row>
    <x:row r="677">
      <x:c r="A677" t="str">
        <x:v>S08</x:v>
      </x:c>
      <x:c r="B677" t="str">
        <x:v>0.65 five-run validation</x:v>
      </x:c>
      <x:c r="C677" s="54" t="n">
        <x:v>0.65</x:v>
      </x:c>
      <x:c r="D677" t="n">
        <x:v>4</x:v>
      </x:c>
      <x:c r="E677" t="n">
        <x:v>2</x:v>
      </x:c>
      <x:c r="F677" t="str">
        <x:v>SEARCH</x:v>
      </x:c>
      <x:c r="G677" t="n">
        <x:v>1</x:v>
      </x:c>
      <x:c r="H677" s="54" t="n">
        <x:v>1</x:v>
      </x:c>
      <x:c r="I677" s="54" t="n">
        <x:v>0.02281</x:v>
      </x:c>
      <x:c r="J677" s="54" t="n">
        <x:v>0.02258</x:v>
      </x:c>
      <x:c r="K677" s="54" t="n">
        <x:v>0.01896</x:v>
      </x:c>
      <x:c r="L677" s="54" t="n">
        <x:v>0.02632</x:v>
      </x:c>
      <x:c r="M677" s="54" t="n">
        <x:v>0.04298</x:v>
      </x:c>
      <x:c r="N677" s="56" t="n">
        <x:v>-96.49</x:v>
      </x:c>
      <x:c r="O677" s="56" t="n">
        <x:v>2.63</x:v>
      </x:c>
      <x:c r="P677" s="56" t="n">
        <x:v>3.41</x:v>
      </x:c>
      <x:c r="Q677" s="56" t="n">
        <x:v>13.7</x:v>
      </x:c>
      <x:c r="R677" t="str">
        <x:v>Z</x:v>
      </x:c>
      <x:c r="S677" s="102" t="n">
        <x:v>85.8</x:v>
      </x:c>
      <x:c r="T677" t="str">
        <x:v>BELOW MEASUREMENT FLOOR — SEARCH CONTINUES</x:v>
      </x:c>
      <x:c r="U677" t="n">
        <x:v>2892</x:v>
      </x:c>
      <x:c r="V677" t="str">
        <x:v>Pasted text(56).txt</x:v>
      </x:c>
    </x:row>
    <x:row r="678">
      <x:c r="A678" t="str">
        <x:v>S08</x:v>
      </x:c>
      <x:c r="B678" t="str">
        <x:v>0.65 five-run validation</x:v>
      </x:c>
      <x:c r="C678" s="54" t="n">
        <x:v>0.65</x:v>
      </x:c>
      <x:c r="D678" t="n">
        <x:v>4</x:v>
      </x:c>
      <x:c r="E678" t="n">
        <x:v>2</x:v>
      </x:c>
      <x:c r="F678" t="str">
        <x:v>SEARCH</x:v>
      </x:c>
      <x:c r="G678" t="n">
        <x:v>2</x:v>
      </x:c>
      <x:c r="H678" s="54" t="n">
        <x:v>3</x:v>
      </x:c>
      <x:c r="I678" s="54" t="n">
        <x:v>0.08002</x:v>
      </x:c>
      <x:c r="J678" s="54" t="n">
        <x:v>0.07471</x:v>
      </x:c>
      <x:c r="K678" s="54" t="n">
        <x:v>0.07246</x:v>
      </x:c>
      <x:c r="L678" s="54" t="n">
        <x:v>0.07267</x:v>
      </x:c>
      <x:c r="M678" s="54" t="n">
        <x:v>0.1293</x:v>
      </x:c>
      <x:c r="N678" s="56" t="n">
        <x:v>-87.69</x:v>
      </x:c>
      <x:c r="O678" s="56" t="n">
        <x:v>45.71</x:v>
      </x:c>
      <x:c r="P678" s="56" t="n">
        <x:v>44.11</x:v>
      </x:c>
      <x:c r="Q678" s="56" t="n">
        <x:v>33.1</x:v>
      </x:c>
      <x:c r="R678" t="str">
        <x:v>X</x:v>
      </x:c>
      <x:c r="S678" s="102" t="n">
        <x:v>100</x:v>
      </x:c>
      <x:c r="T678" t="str">
        <x:v>UNSTABLE — SEARCH CONTINUES</x:v>
      </x:c>
      <x:c r="U678" t="n">
        <x:v>2893</x:v>
      </x:c>
      <x:c r="V678" t="str">
        <x:v>Pasted text(56).txt</x:v>
      </x:c>
    </x:row>
    <x:row r="679">
      <x:c r="A679" t="str">
        <x:v>S08</x:v>
      </x:c>
      <x:c r="B679" t="str">
        <x:v>0.65 five-run validation</x:v>
      </x:c>
      <x:c r="C679" s="54" t="n">
        <x:v>0.65</x:v>
      </x:c>
      <x:c r="D679" t="n">
        <x:v>4</x:v>
      </x:c>
      <x:c r="E679" t="n">
        <x:v>2</x:v>
      </x:c>
      <x:c r="F679" t="str">
        <x:v>SEARCH</x:v>
      </x:c>
      <x:c r="G679" t="n">
        <x:v>3</x:v>
      </x:c>
      <x:c r="H679" s="54" t="n">
        <x:v>5</x:v>
      </x:c>
      <x:c r="I679" s="54" t="n">
        <x:v>0.16608</x:v>
      </x:c>
      <x:c r="J679" s="54" t="n">
        <x:v>0.17396</x:v>
      </x:c>
      <x:c r="K679" s="54" t="n">
        <x:v>0.12879</x:v>
      </x:c>
      <x:c r="L679" s="54" t="n">
        <x:v>0.12254</x:v>
      </x:c>
      <x:c r="M679" s="54" t="n">
        <x:v>0.24966</x:v>
      </x:c>
      <x:c r="N679" s="56" t="n">
        <x:v>-74.45</x:v>
      </x:c>
      <x:c r="O679" s="56" t="n">
        <x:v>5.09</x:v>
      </x:c>
      <x:c r="P679" s="56" t="n">
        <x:v>10.81</x:v>
      </x:c>
      <x:c r="Q679" s="56" t="n">
        <x:v>62.7</x:v>
      </x:c>
      <x:c r="R679" t="str">
        <x:v>X</x:v>
      </x:c>
      <x:c r="S679" s="102" t="n">
        <x:v>100</x:v>
      </x:c>
      <x:c r="T679" t="str">
        <x:v>VALID</x:v>
      </x:c>
      <x:c r="U679" t="n">
        <x:v>2894</x:v>
      </x:c>
      <x:c r="V679" t="str">
        <x:v>Pasted text(56).txt</x:v>
      </x:c>
    </x:row>
    <x:row r="680">
      <x:c r="A680" t="str">
        <x:v>S08</x:v>
      </x:c>
      <x:c r="B680" t="str">
        <x:v>0.65 five-run validation</x:v>
      </x:c>
      <x:c r="C680" s="54" t="n">
        <x:v>0.65</x:v>
      </x:c>
      <x:c r="D680" t="n">
        <x:v>4</x:v>
      </x:c>
      <x:c r="E680" t="n">
        <x:v>2</x:v>
      </x:c>
      <x:c r="F680" t="str">
        <x:v>SEARCH</x:v>
      </x:c>
      <x:c r="G680" t="n">
        <x:v>4</x:v>
      </x:c>
      <x:c r="H680" s="54" t="n">
        <x:v>6</x:v>
      </x:c>
      <x:c r="I680" s="54" t="n">
        <x:v>0.2529</x:v>
      </x:c>
      <x:c r="J680" s="54" t="n">
        <x:v>0.24766</x:v>
      </x:c>
      <x:c r="K680" s="54" t="n">
        <x:v>0.1499</x:v>
      </x:c>
      <x:c r="L680" s="54" t="n">
        <x:v>0.17258</x:v>
      </x:c>
      <x:c r="M680" s="54" t="n">
        <x:v>0.3377</x:v>
      </x:c>
      <x:c r="N680" s="56" t="n">
        <x:v>-61.09</x:v>
      </x:c>
      <x:c r="O680" s="56" t="n">
        <x:v>9.55</x:v>
      </x:c>
      <x:c r="P680" s="56" t="n">
        <x:v>9.92</x:v>
      </x:c>
      <x:c r="Q680" s="56" t="n">
        <x:v>72.9</x:v>
      </x:c>
      <x:c r="R680" t="str">
        <x:v>X</x:v>
      </x:c>
      <x:c r="S680" s="102" t="n">
        <x:v>100</x:v>
      </x:c>
      <x:c r="T680" t="str">
        <x:v>VALID</x:v>
      </x:c>
      <x:c r="U680" t="n">
        <x:v>2895</x:v>
      </x:c>
      <x:c r="V680" t="str">
        <x:v>Pasted text(56).txt</x:v>
      </x:c>
    </x:row>
    <x:row r="681">
      <x:c r="A681" t="str">
        <x:v>S08</x:v>
      </x:c>
      <x:c r="B681" t="str">
        <x:v>0.65 five-run validation</x:v>
      </x:c>
      <x:c r="C681" s="54" t="n">
        <x:v>0.65</x:v>
      </x:c>
      <x:c r="D681" t="n">
        <x:v>4</x:v>
      </x:c>
      <x:c r="E681" t="n">
        <x:v>2</x:v>
      </x:c>
      <x:c r="F681" t="str">
        <x:v>SEARCH</x:v>
      </x:c>
      <x:c r="G681" t="n">
        <x:v>5</x:v>
      </x:c>
      <x:c r="H681" s="54" t="n">
        <x:v>7</x:v>
      </x:c>
      <x:c r="I681" s="54" t="n">
        <x:v>0.34216</x:v>
      </x:c>
      <x:c r="J681" s="54" t="n">
        <x:v>0.33788</x:v>
      </x:c>
      <x:c r="K681" s="54" t="n">
        <x:v>0.18992</x:v>
      </x:c>
      <x:c r="L681" s="54" t="n">
        <x:v>0.20616</x:v>
      </x:c>
      <x:c r="M681" s="54" t="n">
        <x:v>0.43962</x:v>
      </x:c>
      <x:c r="N681" s="56" t="n">
        <x:v>-47.36</x:v>
      </x:c>
      <x:c r="O681" s="56" t="n">
        <x:v>10.07</x:v>
      </x:c>
      <x:c r="P681" s="56" t="n">
        <x:v>8.84</x:v>
      </x:c>
      <x:c r="Q681" s="56" t="n">
        <x:v>81.5</x:v>
      </x:c>
      <x:c r="R681" t="str">
        <x:v>X</x:v>
      </x:c>
      <x:c r="S681" s="102" t="n">
        <x:v>100</x:v>
      </x:c>
      <x:c r="T681" t="str">
        <x:v>VALID</x:v>
      </x:c>
      <x:c r="U681" t="n">
        <x:v>2896</x:v>
      </x:c>
      <x:c r="V681" t="str">
        <x:v>Pasted text(56).txt</x:v>
      </x:c>
    </x:row>
    <x:row r="682">
      <x:c r="A682" t="str">
        <x:v>S08</x:v>
      </x:c>
      <x:c r="B682" t="str">
        <x:v>0.65 five-run validation</x:v>
      </x:c>
      <x:c r="C682" s="54" t="n">
        <x:v>0.65</x:v>
      </x:c>
      <x:c r="D682" t="n">
        <x:v>4</x:v>
      </x:c>
      <x:c r="E682" t="n">
        <x:v>2</x:v>
      </x:c>
      <x:c r="F682" t="str">
        <x:v>SEARCH</x:v>
      </x:c>
      <x:c r="G682" t="n">
        <x:v>6</x:v>
      </x:c>
      <x:c r="H682" s="54" t="n">
        <x:v>8</x:v>
      </x:c>
      <x:c r="I682" s="54" t="n">
        <x:v>0.32031</x:v>
      </x:c>
      <x:c r="J682" s="54" t="n">
        <x:v>0.32145</x:v>
      </x:c>
      <x:c r="K682" s="54" t="n">
        <x:v>0.20212</x:v>
      </x:c>
      <x:c r="L682" s="54" t="n">
        <x:v>0.23372</x:v>
      </x:c>
      <x:c r="M682" s="54" t="n">
        <x:v>0.44608</x:v>
      </x:c>
      <x:c r="N682" s="56" t="n">
        <x:v>-50.72</x:v>
      </x:c>
      <x:c r="O682" s="56" t="n">
        <x:v>5.08</x:v>
      </x:c>
      <x:c r="P682" s="56" t="n">
        <x:v>3.96</x:v>
      </x:c>
      <x:c r="Q682" s="56" t="n">
        <x:v>83.3</x:v>
      </x:c>
      <x:c r="R682" t="str">
        <x:v>X</x:v>
      </x:c>
      <x:c r="S682" s="102" t="n">
        <x:v>100</x:v>
      </x:c>
      <x:c r="T682" t="str">
        <x:v>VALID</x:v>
      </x:c>
      <x:c r="U682" t="n">
        <x:v>2897</x:v>
      </x:c>
      <x:c r="V682" t="str">
        <x:v>Pasted text(56).txt</x:v>
      </x:c>
    </x:row>
    <x:row r="683">
      <x:c r="A683" t="str">
        <x:v>S08</x:v>
      </x:c>
      <x:c r="B683" t="str">
        <x:v>0.65 five-run validation</x:v>
      </x:c>
      <x:c r="C683" s="54" t="n">
        <x:v>0.65</x:v>
      </x:c>
      <x:c r="D683" t="n">
        <x:v>4</x:v>
      </x:c>
      <x:c r="E683" t="n">
        <x:v>2</x:v>
      </x:c>
      <x:c r="F683" t="str">
        <x:v>SEARCH</x:v>
      </x:c>
      <x:c r="G683" t="n">
        <x:v>7</x:v>
      </x:c>
      <x:c r="H683" s="54" t="n">
        <x:v>9</x:v>
      </x:c>
      <x:c r="I683" s="54" t="n">
        <x:v>0.32888</x:v>
      </x:c>
      <x:c r="J683" s="54" t="n">
        <x:v>0.32271</x:v>
      </x:c>
      <x:c r="K683" s="54" t="n">
        <x:v>0.2692</x:v>
      </x:c>
      <x:c r="L683" s="54" t="n">
        <x:v>0.2252</x:v>
      </x:c>
      <x:c r="M683" s="54" t="n">
        <x:v>0.47734</x:v>
      </x:c>
      <x:c r="N683" s="56" t="n">
        <x:v>-49.4</x:v>
      </x:c>
      <x:c r="O683" s="56" t="n">
        <x:v>1.84</x:v>
      </x:c>
      <x:c r="P683" s="56" t="n">
        <x:v>4.45</x:v>
      </x:c>
      <x:c r="Q683" s="56" t="n">
        <x:v>79.1</x:v>
      </x:c>
      <x:c r="R683" t="str">
        <x:v>X</x:v>
      </x:c>
      <x:c r="S683" s="102" t="n">
        <x:v>100</x:v>
      </x:c>
      <x:c r="T683" t="str">
        <x:v>VALID</x:v>
      </x:c>
      <x:c r="U683" t="n">
        <x:v>2898</x:v>
      </x:c>
      <x:c r="V683" t="str">
        <x:v>Pasted text(56).txt</x:v>
      </x:c>
    </x:row>
    <x:row r="684">
      <x:c r="A684" t="str">
        <x:v>S08</x:v>
      </x:c>
      <x:c r="B684" t="str">
        <x:v>0.65 five-run validation</x:v>
      </x:c>
      <x:c r="C684" s="54" t="n">
        <x:v>0.65</x:v>
      </x:c>
      <x:c r="D684" t="n">
        <x:v>4</x:v>
      </x:c>
      <x:c r="E684" t="n">
        <x:v>2</x:v>
      </x:c>
      <x:c r="F684" t="str">
        <x:v>SEARCH</x:v>
      </x:c>
      <x:c r="G684" t="n">
        <x:v>8</x:v>
      </x:c>
      <x:c r="H684" s="54" t="n">
        <x:v>10</x:v>
      </x:c>
      <x:c r="I684" s="54" t="n">
        <x:v>0.40854</x:v>
      </x:c>
      <x:c r="J684" s="54" t="n">
        <x:v>0.40686</x:v>
      </x:c>
      <x:c r="K684" s="54" t="n">
        <x:v>0.30543</x:v>
      </x:c>
      <x:c r="L684" s="54" t="n">
        <x:v>0.30025</x:v>
      </x:c>
      <x:c r="M684" s="54" t="n">
        <x:v>0.59103</x:v>
      </x:c>
      <x:c r="N684" s="56" t="n">
        <x:v>-37.15</x:v>
      </x:c>
      <x:c r="O684" s="56" t="n">
        <x:v>1.11</x:v>
      </x:c>
      <x:c r="P684" s="56" t="n">
        <x:v>1.42</x:v>
      </x:c>
      <x:c r="Q684" s="56" t="n">
        <x:v>85.7</x:v>
      </x:c>
      <x:c r="R684" t="str">
        <x:v>X</x:v>
      </x:c>
      <x:c r="S684" s="102" t="n">
        <x:v>100</x:v>
      </x:c>
      <x:c r="T684" t="str">
        <x:v>VALID</x:v>
      </x:c>
      <x:c r="U684" t="n">
        <x:v>2899</x:v>
      </x:c>
      <x:c r="V684" t="str">
        <x:v>Pasted text(56).txt</x:v>
      </x:c>
    </x:row>
    <x:row r="685">
      <x:c r="A685" t="str">
        <x:v>S08</x:v>
      </x:c>
      <x:c r="B685" t="str">
        <x:v>0.65 five-run validation</x:v>
      </x:c>
      <x:c r="C685" s="54" t="n">
        <x:v>0.65</x:v>
      </x:c>
      <x:c r="D685" t="n">
        <x:v>4</x:v>
      </x:c>
      <x:c r="E685" t="n">
        <x:v>2</x:v>
      </x:c>
      <x:c r="F685" t="str">
        <x:v>SEARCH</x:v>
      </x:c>
      <x:c r="G685" t="n">
        <x:v>9</x:v>
      </x:c>
      <x:c r="H685" s="54" t="n">
        <x:v>10.5</x:v>
      </x:c>
      <x:c r="I685" s="54" t="n">
        <x:v>0.46176</x:v>
      </x:c>
      <x:c r="J685" s="54" t="n">
        <x:v>0.46964</x:v>
      </x:c>
      <x:c r="K685" s="54" t="n">
        <x:v>0.2653</x:v>
      </x:c>
      <x:c r="L685" s="54" t="n">
        <x:v>0.36325</x:v>
      </x:c>
      <x:c r="M685" s="54" t="n">
        <x:v>0.65222</x:v>
      </x:c>
      <x:c r="N685" s="56" t="n">
        <x:v>-28.96</x:v>
      </x:c>
      <x:c r="O685" s="56" t="n">
        <x:v>4.73</x:v>
      </x:c>
      <x:c r="P685" s="56" t="n">
        <x:v>5.84</x:v>
      </x:c>
      <x:c r="Q685" s="56" t="n">
        <x:v>88.9</x:v>
      </x:c>
      <x:c r="R685" t="str">
        <x:v>X</x:v>
      </x:c>
      <x:c r="S685" s="102" t="n">
        <x:v>100</x:v>
      </x:c>
      <x:c r="T685" t="str">
        <x:v>VALID</x:v>
      </x:c>
      <x:c r="U685" t="n">
        <x:v>2900</x:v>
      </x:c>
      <x:c r="V685" t="str">
        <x:v>Pasted text(56).txt</x:v>
      </x:c>
    </x:row>
    <x:row r="686">
      <x:c r="A686" t="str">
        <x:v>S08</x:v>
      </x:c>
      <x:c r="B686" t="str">
        <x:v>0.65 five-run validation</x:v>
      </x:c>
      <x:c r="C686" s="54" t="n">
        <x:v>0.65</x:v>
      </x:c>
      <x:c r="D686" t="n">
        <x:v>4</x:v>
      </x:c>
      <x:c r="E686" t="n">
        <x:v>2</x:v>
      </x:c>
      <x:c r="F686" t="str">
        <x:v>SEARCH</x:v>
      </x:c>
      <x:c r="G686" t="n">
        <x:v>10</x:v>
      </x:c>
      <x:c r="H686" s="54" t="n">
        <x:v>11</x:v>
      </x:c>
      <x:c r="I686" s="54" t="n">
        <x:v>0.47558</x:v>
      </x:c>
      <x:c r="J686" s="54" t="n">
        <x:v>0.48724</x:v>
      </x:c>
      <x:c r="K686" s="54" t="n">
        <x:v>0.30455</x:v>
      </x:c>
      <x:c r="L686" s="54" t="n">
        <x:v>0.44123</x:v>
      </x:c>
      <x:c r="M686" s="54" t="n">
        <x:v>0.72565</x:v>
      </x:c>
      <x:c r="N686" s="56" t="n">
        <x:v>-26.83</x:v>
      </x:c>
      <x:c r="O686" s="56" t="n">
        <x:v>0.28</x:v>
      </x:c>
      <x:c r="P686" s="56" t="n">
        <x:v>4.31</x:v>
      </x:c>
      <x:c r="Q686" s="56" t="n">
        <x:v>87.3</x:v>
      </x:c>
      <x:c r="R686" t="str">
        <x:v>X</x:v>
      </x:c>
      <x:c r="S686" s="102" t="n">
        <x:v>100</x:v>
      </x:c>
      <x:c r="T686" t="str">
        <x:v>VALID</x:v>
      </x:c>
      <x:c r="U686" t="n">
        <x:v>2901</x:v>
      </x:c>
      <x:c r="V686" t="str">
        <x:v>Pasted text(56).txt</x:v>
      </x:c>
    </x:row>
    <x:row r="687">
      <x:c r="A687" t="str">
        <x:v>S08</x:v>
      </x:c>
      <x:c r="B687" t="str">
        <x:v>0.65 five-run validation</x:v>
      </x:c>
      <x:c r="C687" s="54" t="n">
        <x:v>0.65</x:v>
      </x:c>
      <x:c r="D687" t="n">
        <x:v>4</x:v>
      </x:c>
      <x:c r="E687" t="n">
        <x:v>2</x:v>
      </x:c>
      <x:c r="F687" t="str">
        <x:v>SEARCH</x:v>
      </x:c>
      <x:c r="G687" t="n">
        <x:v>11</x:v>
      </x:c>
      <x:c r="H687" s="54" t="n">
        <x:v>11.5</x:v>
      </x:c>
      <x:c r="I687" s="54" t="n">
        <x:v>0.4823</x:v>
      </x:c>
      <x:c r="J687" s="54" t="n">
        <x:v>0.48235</x:v>
      </x:c>
      <x:c r="K687" s="54" t="n">
        <x:v>0.30983</x:v>
      </x:c>
      <x:c r="L687" s="54" t="n">
        <x:v>0.4623</x:v>
      </x:c>
      <x:c r="M687" s="54" t="n">
        <x:v>0.73686</x:v>
      </x:c>
      <x:c r="N687" s="56" t="n">
        <x:v>-25.8</x:v>
      </x:c>
      <x:c r="O687" s="56" t="n">
        <x:v>4.73</x:v>
      </x:c>
      <x:c r="P687" s="56" t="n">
        <x:v>3.21</x:v>
      </x:c>
      <x:c r="Q687" s="56" t="n">
        <x:v>88.3</x:v>
      </x:c>
      <x:c r="R687" t="str">
        <x:v>X</x:v>
      </x:c>
      <x:c r="S687" s="102" t="n">
        <x:v>100</x:v>
      </x:c>
      <x:c r="T687" t="str">
        <x:v>VALID</x:v>
      </x:c>
      <x:c r="U687" t="n">
        <x:v>2902</x:v>
      </x:c>
      <x:c r="V687" t="str">
        <x:v>Pasted text(56).txt</x:v>
      </x:c>
    </x:row>
    <x:row r="688">
      <x:c r="A688" t="str">
        <x:v>S08</x:v>
      </x:c>
      <x:c r="B688" t="str">
        <x:v>0.65 five-run validation</x:v>
      </x:c>
      <x:c r="C688" s="54" t="n">
        <x:v>0.65</x:v>
      </x:c>
      <x:c r="D688" t="n">
        <x:v>4</x:v>
      </x:c>
      <x:c r="E688" t="n">
        <x:v>2</x:v>
      </x:c>
      <x:c r="F688" t="str">
        <x:v>SEARCH</x:v>
      </x:c>
      <x:c r="G688" t="n">
        <x:v>12</x:v>
      </x:c>
      <x:c r="H688" s="54" t="n">
        <x:v>12</x:v>
      </x:c>
      <x:c r="I688" s="54" t="n">
        <x:v>0.51735</x:v>
      </x:c>
      <x:c r="J688" s="54" t="n">
        <x:v>0.54081</x:v>
      </x:c>
      <x:c r="K688" s="54" t="n">
        <x:v>0.30747</x:v>
      </x:c>
      <x:c r="L688" s="54" t="n">
        <x:v>0.4153</x:v>
      </x:c>
      <x:c r="M688" s="54" t="n">
        <x:v>0.74904</x:v>
      </x:c>
      <x:c r="N688" s="56" t="n">
        <x:v>-20.41</x:v>
      </x:c>
      <x:c r="O688" s="56" t="n">
        <x:v>0</x:v>
      </x:c>
      <x:c r="P688" s="56" t="n">
        <x:v>7.51</x:v>
      </x:c>
      <x:c r="Q688" s="56" t="n">
        <x:v>87.3</x:v>
      </x:c>
      <x:c r="R688" t="str">
        <x:v>X</x:v>
      </x:c>
      <x:c r="S688" s="102" t="n">
        <x:v>100</x:v>
      </x:c>
      <x:c r="T688" t="str">
        <x:v>VALID</x:v>
      </x:c>
      <x:c r="U688" t="n">
        <x:v>2903</x:v>
      </x:c>
      <x:c r="V688" t="str">
        <x:v>Pasted text(56).txt</x:v>
      </x:c>
    </x:row>
    <x:row r="689">
      <x:c r="A689" t="str">
        <x:v>S08</x:v>
      </x:c>
      <x:c r="B689" t="str">
        <x:v>0.65 five-run validation</x:v>
      </x:c>
      <x:c r="C689" s="54" t="n">
        <x:v>0.65</x:v>
      </x:c>
      <x:c r="D689" t="n">
        <x:v>4</x:v>
      </x:c>
      <x:c r="E689" t="n">
        <x:v>2</x:v>
      </x:c>
      <x:c r="F689" t="str">
        <x:v>SEARCH</x:v>
      </x:c>
      <x:c r="G689" t="n">
        <x:v>13</x:v>
      </x:c>
      <x:c r="H689" s="54" t="n">
        <x:v>12.5</x:v>
      </x:c>
      <x:c r="I689" s="54" t="n">
        <x:v>0.52282</x:v>
      </x:c>
      <x:c r="J689" s="54" t="n">
        <x:v>0.53302</x:v>
      </x:c>
      <x:c r="K689" s="54" t="n">
        <x:v>0.35531</x:v>
      </x:c>
      <x:c r="L689" s="54" t="n">
        <x:v>0.50869</x:v>
      </x:c>
      <x:c r="M689" s="54" t="n">
        <x:v>0.81848</x:v>
      </x:c>
      <x:c r="N689" s="56" t="n">
        <x:v>-19.57</x:v>
      </x:c>
      <x:c r="O689" s="56" t="n">
        <x:v>2.19</x:v>
      </x:c>
      <x:c r="P689" s="56" t="n">
        <x:v>4.62</x:v>
      </x:c>
      <x:c r="Q689" s="56" t="n">
        <x:v>86.5</x:v>
      </x:c>
      <x:c r="R689" t="str">
        <x:v>X</x:v>
      </x:c>
      <x:c r="S689" s="102" t="n">
        <x:v>100</x:v>
      </x:c>
      <x:c r="T689" t="str">
        <x:v>VALID</x:v>
      </x:c>
      <x:c r="U689" t="n">
        <x:v>2904</x:v>
      </x:c>
      <x:c r="V689" t="str">
        <x:v>Pasted text(56).txt</x:v>
      </x:c>
    </x:row>
    <x:row r="690">
      <x:c r="A690" t="str">
        <x:v>S08</x:v>
      </x:c>
      <x:c r="B690" t="str">
        <x:v>0.65 five-run validation</x:v>
      </x:c>
      <x:c r="C690" s="54" t="n">
        <x:v>0.65</x:v>
      </x:c>
      <x:c r="D690" t="n">
        <x:v>4</x:v>
      </x:c>
      <x:c r="E690" t="n">
        <x:v>2</x:v>
      </x:c>
      <x:c r="F690" t="str">
        <x:v>SEARCH</x:v>
      </x:c>
      <x:c r="G690" t="n">
        <x:v>14</x:v>
      </x:c>
      <x:c r="H690" s="54" t="n">
        <x:v>13</x:v>
      </x:c>
      <x:c r="I690" s="54" t="n">
        <x:v>0.48021</x:v>
      </x:c>
      <x:c r="J690" s="54" t="n">
        <x:v>0.48147</x:v>
      </x:c>
      <x:c r="K690" s="54" t="n">
        <x:v>0.37133</x:v>
      </x:c>
      <x:c r="L690" s="54" t="n">
        <x:v>0.56708</x:v>
      </x:c>
      <x:c r="M690" s="54" t="n">
        <x:v>0.83188</x:v>
      </x:c>
      <x:c r="N690" s="56" t="n">
        <x:v>-26.12</x:v>
      </x:c>
      <x:c r="O690" s="56" t="n">
        <x:v>4.96</x:v>
      </x:c>
      <x:c r="P690" s="56" t="n">
        <x:v>3.74</x:v>
      </x:c>
      <x:c r="Q690" s="56" t="n">
        <x:v>84</x:v>
      </x:c>
      <x:c r="R690" t="str">
        <x:v>Z</x:v>
      </x:c>
      <x:c r="S690" s="102" t="n">
        <x:v>84.9</x:v>
      </x:c>
      <x:c r="T690" t="str">
        <x:v>VALID</x:v>
      </x:c>
      <x:c r="U690" t="n">
        <x:v>2905</x:v>
      </x:c>
      <x:c r="V690" t="str">
        <x:v>Pasted text(56).txt</x:v>
      </x:c>
    </x:row>
    <x:row r="691">
      <x:c r="A691" t="str">
        <x:v>S08</x:v>
      </x:c>
      <x:c r="B691" t="str">
        <x:v>0.65 five-run validation</x:v>
      </x:c>
      <x:c r="C691" s="54" t="n">
        <x:v>0.65</x:v>
      </x:c>
      <x:c r="D691" t="n">
        <x:v>4</x:v>
      </x:c>
      <x:c r="E691" t="n">
        <x:v>2</x:v>
      </x:c>
      <x:c r="F691" t="str">
        <x:v>SEARCH</x:v>
      </x:c>
      <x:c r="G691" t="n">
        <x:v>15</x:v>
      </x:c>
      <x:c r="H691" s="54" t="n">
        <x:v>13.5</x:v>
      </x:c>
      <x:c r="I691" s="54" t="n">
        <x:v>0.50513</x:v>
      </x:c>
      <x:c r="J691" s="54" t="n">
        <x:v>0.50867</x:v>
      </x:c>
      <x:c r="K691" s="54" t="n">
        <x:v>0.37429</x:v>
      </x:c>
      <x:c r="L691" s="54" t="n">
        <x:v>0.61715</x:v>
      </x:c>
      <x:c r="M691" s="54" t="n">
        <x:v>0.88366</x:v>
      </x:c>
      <x:c r="N691" s="56" t="n">
        <x:v>-22.29</x:v>
      </x:c>
      <x:c r="O691" s="56" t="n">
        <x:v>1.79</x:v>
      </x:c>
      <x:c r="P691" s="56" t="n">
        <x:v>2.32</x:v>
      </x:c>
      <x:c r="Q691" s="56" t="n">
        <x:v>87.7</x:v>
      </x:c>
      <x:c r="R691" t="str">
        <x:v>Z</x:v>
      </x:c>
      <x:c r="S691" s="102" t="n">
        <x:v>82.4</x:v>
      </x:c>
      <x:c r="T691" t="str">
        <x:v>VALID</x:v>
      </x:c>
      <x:c r="U691" t="n">
        <x:v>2906</x:v>
      </x:c>
      <x:c r="V691" t="str">
        <x:v>Pasted text(56).txt</x:v>
      </x:c>
    </x:row>
    <x:row r="692">
      <x:c r="A692" t="str">
        <x:v>S08</x:v>
      </x:c>
      <x:c r="B692" t="str">
        <x:v>0.65 five-run validation</x:v>
      </x:c>
      <x:c r="C692" s="54" t="n">
        <x:v>0.65</x:v>
      </x:c>
      <x:c r="D692" t="n">
        <x:v>4</x:v>
      </x:c>
      <x:c r="E692" t="n">
        <x:v>2</x:v>
      </x:c>
      <x:c r="F692" t="str">
        <x:v>SEARCH</x:v>
      </x:c>
      <x:c r="G692" t="n">
        <x:v>16</x:v>
      </x:c>
      <x:c r="H692" s="54" t="n">
        <x:v>14</x:v>
      </x:c>
      <x:c r="I692" s="54" t="n">
        <x:v>0.57346</x:v>
      </x:c>
      <x:c r="J692" s="54" t="n">
        <x:v>0.58161</x:v>
      </x:c>
      <x:c r="K692" s="54" t="n">
        <x:v>0.39685</x:v>
      </x:c>
      <x:c r="L692" s="54" t="n">
        <x:v>0.61847</x:v>
      </x:c>
      <x:c r="M692" s="54" t="n">
        <x:v>0.93735</x:v>
      </x:c>
      <x:c r="N692" s="56" t="n">
        <x:v>-11.78</x:v>
      </x:c>
      <x:c r="O692" s="56" t="n">
        <x:v>0.63</x:v>
      </x:c>
      <x:c r="P692" s="56" t="n">
        <x:v>2.8</x:v>
      </x:c>
      <x:c r="Q692" s="56" t="n">
        <x:v>89.2</x:v>
      </x:c>
      <x:c r="R692" t="str">
        <x:v>Z</x:v>
      </x:c>
      <x:c r="S692" s="102" t="n">
        <x:v>94</x:v>
      </x:c>
      <x:c r="T692" t="str">
        <x:v>VALID</x:v>
      </x:c>
      <x:c r="U692" t="n">
        <x:v>2907</x:v>
      </x:c>
      <x:c r="V692" t="str">
        <x:v>Pasted text(56).txt</x:v>
      </x:c>
    </x:row>
    <x:row r="693">
      <x:c r="A693" t="str">
        <x:v>S08</x:v>
      </x:c>
      <x:c r="B693" t="str">
        <x:v>0.65 five-run validation</x:v>
      </x:c>
      <x:c r="C693" s="54" t="n">
        <x:v>0.65</x:v>
      </x:c>
      <x:c r="D693" t="n">
        <x:v>4</x:v>
      </x:c>
      <x:c r="E693" t="n">
        <x:v>2</x:v>
      </x:c>
      <x:c r="F693" t="str">
        <x:v>SEARCH</x:v>
      </x:c>
      <x:c r="G693" t="n">
        <x:v>17</x:v>
      </x:c>
      <x:c r="H693" s="54" t="n">
        <x:v>14.25</x:v>
      </x:c>
      <x:c r="I693" s="54" t="n">
        <x:v>0.58533</x:v>
      </x:c>
      <x:c r="J693" s="54" t="n">
        <x:v>0.58855</x:v>
      </x:c>
      <x:c r="K693" s="54" t="n">
        <x:v>0.40618</x:v>
      </x:c>
      <x:c r="L693" s="54" t="n">
        <x:v>0.63772</x:v>
      </x:c>
      <x:c r="M693" s="54" t="n">
        <x:v>0.95831</x:v>
      </x:c>
      <x:c r="N693" s="56" t="n">
        <x:v>-9.95</x:v>
      </x:c>
      <x:c r="O693" s="56" t="n">
        <x:v>1.96</x:v>
      </x:c>
      <x:c r="P693" s="56" t="n">
        <x:v>2.19</x:v>
      </x:c>
      <x:c r="Q693" s="56" t="n">
        <x:v>89.6</x:v>
      </x:c>
      <x:c r="R693" t="str">
        <x:v>Z</x:v>
      </x:c>
      <x:c r="S693" s="102" t="n">
        <x:v>92.3</x:v>
      </x:c>
      <x:c r="T693" t="str">
        <x:v>VALID</x:v>
      </x:c>
      <x:c r="U693" t="n">
        <x:v>2908</x:v>
      </x:c>
      <x:c r="V693" t="str">
        <x:v>Pasted text(56).txt</x:v>
      </x:c>
    </x:row>
    <x:row r="694">
      <x:c r="A694" t="str">
        <x:v>S08</x:v>
      </x:c>
      <x:c r="B694" t="str">
        <x:v>0.65 five-run validation</x:v>
      </x:c>
      <x:c r="C694" s="54" t="n">
        <x:v>0.65</x:v>
      </x:c>
      <x:c r="D694" t="n">
        <x:v>4</x:v>
      </x:c>
      <x:c r="E694" t="n">
        <x:v>2</x:v>
      </x:c>
      <x:c r="F694" t="str">
        <x:v>SEARCH</x:v>
      </x:c>
      <x:c r="G694" t="n">
        <x:v>18</x:v>
      </x:c>
      <x:c r="H694" s="54" t="n">
        <x:v>14.5</x:v>
      </x:c>
      <x:c r="I694" s="54" t="n">
        <x:v>0.63151</x:v>
      </x:c>
      <x:c r="J694" s="54" t="n">
        <x:v>0.63883</x:v>
      </x:c>
      <x:c r="K694" s="54" t="n">
        <x:v>0.4031</x:v>
      </x:c>
      <x:c r="L694" s="54" t="n">
        <x:v>0.62125</x:v>
      </x:c>
      <x:c r="M694" s="54" t="n">
        <x:v>0.97814</x:v>
      </x:c>
      <x:c r="N694" s="56" t="n">
        <x:v>-2.85</x:v>
      </x:c>
      <x:c r="O694" s="56" t="n">
        <x:v>2.14</x:v>
      </x:c>
      <x:c r="P694" s="56" t="n">
        <x:v>3.3</x:v>
      </x:c>
      <x:c r="Q694" s="56" t="n">
        <x:v>89.7</x:v>
      </x:c>
      <x:c r="R694" t="str">
        <x:v>X</x:v>
      </x:c>
      <x:c r="S694" s="102" t="n">
        <x:v>100</x:v>
      </x:c>
      <x:c r="T694" t="str">
        <x:v>IN TARGET BAND</x:v>
      </x:c>
      <x:c r="U694" t="n">
        <x:v>2909</x:v>
      </x:c>
      <x:c r="V694" t="str">
        <x:v>Pasted text(56).txt</x:v>
      </x:c>
    </x:row>
    <x:row r="695">
      <x:c r="A695" t="str">
        <x:v>S08</x:v>
      </x:c>
      <x:c r="B695" t="str">
        <x:v>0.65 five-run validation</x:v>
      </x:c>
      <x:c r="C695" s="54" t="n">
        <x:v>0.65</x:v>
      </x:c>
      <x:c r="D695" t="n">
        <x:v>4</x:v>
      </x:c>
      <x:c r="E695" t="n">
        <x:v>2</x:v>
      </x:c>
      <x:c r="F695" t="str">
        <x:v>FINE</x:v>
      </x:c>
      <x:c r="G695" t="n">
        <x:v>1</x:v>
      </x:c>
      <x:c r="H695" s="54" t="n">
        <x:v>13.5</x:v>
      </x:c>
      <x:c r="I695" s="54" t="n">
        <x:v>0.60434</x:v>
      </x:c>
      <x:c r="J695" s="54" t="n">
        <x:v>0.5873</x:v>
      </x:c>
      <x:c r="K695" s="54" t="n">
        <x:v>0.38282</x:v>
      </x:c>
      <x:c r="L695" s="54" t="n">
        <x:v>0.57959</x:v>
      </x:c>
      <x:c r="M695" s="54" t="n">
        <x:v>0.91117</x:v>
      </x:c>
      <x:c r="N695" s="56" t="n">
        <x:v>-7.02</x:v>
      </x:c>
      <x:c r="O695" s="56" t="n">
        <x:v>3.72</x:v>
      </x:c>
      <x:c r="P695" s="56" t="n">
        <x:v>7.38</x:v>
      </x:c>
      <x:c r="Q695" s="56" t="n">
        <x:v>90.1</x:v>
      </x:c>
      <x:c r="R695" t="str">
        <x:v>X</x:v>
      </x:c>
      <x:c r="S695" s="102" t="n">
        <x:v>100</x:v>
      </x:c>
      <x:c r="T695" t="str">
        <x:v>IN TARGET BAND</x:v>
      </x:c>
      <x:c r="U695" t="n">
        <x:v>2913</x:v>
      </x:c>
      <x:c r="V695" t="str">
        <x:v>Pasted text(56).txt</x:v>
      </x:c>
    </x:row>
    <x:row r="696">
      <x:c r="A696" t="str">
        <x:v>S08</x:v>
      </x:c>
      <x:c r="B696" t="str">
        <x:v>0.65 five-run validation</x:v>
      </x:c>
      <x:c r="C696" s="54" t="n">
        <x:v>0.65</x:v>
      </x:c>
      <x:c r="D696" t="n">
        <x:v>4</x:v>
      </x:c>
      <x:c r="E696" t="n">
        <x:v>2</x:v>
      </x:c>
      <x:c r="F696" t="str">
        <x:v>FINE</x:v>
      </x:c>
      <x:c r="G696" t="n">
        <x:v>2</x:v>
      </x:c>
      <x:c r="H696" s="54" t="n">
        <x:v>13.75</x:v>
      </x:c>
      <x:c r="I696" s="54" t="n">
        <x:v>0.54155</x:v>
      </x:c>
      <x:c r="J696" s="54" t="n">
        <x:v>0.5373</x:v>
      </x:c>
      <x:c r="K696" s="54" t="n">
        <x:v>0.37852</x:v>
      </x:c>
      <x:c r="L696" s="54" t="n">
        <x:v>0.61018</x:v>
      </x:c>
      <x:c r="M696" s="54" t="n">
        <x:v>0.89709</x:v>
      </x:c>
      <x:c r="N696" s="56" t="n">
        <x:v>-16.68</x:v>
      </x:c>
      <x:c r="O696" s="56" t="n">
        <x:v>4.89</x:v>
      </x:c>
      <x:c r="P696" s="56" t="n">
        <x:v>4.56</x:v>
      </x:c>
      <x:c r="Q696" s="56" t="n">
        <x:v>86.3</x:v>
      </x:c>
      <x:c r="R696" t="str">
        <x:v>Z</x:v>
      </x:c>
      <x:c r="S696" s="102" t="n">
        <x:v>88.1</x:v>
      </x:c>
      <x:c r="T696" t="str">
        <x:v>VALID</x:v>
      </x:c>
      <x:c r="U696" t="n">
        <x:v>2914</x:v>
      </x:c>
      <x:c r="V696" t="str">
        <x:v>Pasted text(56).txt</x:v>
      </x:c>
    </x:row>
    <x:row r="697">
      <x:c r="A697" t="str">
        <x:v>S08</x:v>
      </x:c>
      <x:c r="B697" t="str">
        <x:v>0.65 five-run validation</x:v>
      </x:c>
      <x:c r="C697" s="54" t="n">
        <x:v>0.65</x:v>
      </x:c>
      <x:c r="D697" t="n">
        <x:v>4</x:v>
      </x:c>
      <x:c r="E697" t="n">
        <x:v>2</x:v>
      </x:c>
      <x:c r="F697" t="str">
        <x:v>FINE</x:v>
      </x:c>
      <x:c r="G697" t="n">
        <x:v>3</x:v>
      </x:c>
      <x:c r="H697" s="54" t="n">
        <x:v>14</x:v>
      </x:c>
      <x:c r="I697" s="54" t="n">
        <x:v>0.53403</x:v>
      </x:c>
      <x:c r="J697" s="54" t="n">
        <x:v>0.52983</x:v>
      </x:c>
      <x:c r="K697" s="54" t="n">
        <x:v>0.39748</x:v>
      </x:c>
      <x:c r="L697" s="54" t="n">
        <x:v>0.60874</x:v>
      </x:c>
      <x:c r="M697" s="54" t="n">
        <x:v>0.89983</x:v>
      </x:c>
      <x:c r="N697" s="56" t="n">
        <x:v>-17.84</x:v>
      </x:c>
      <x:c r="O697" s="56" t="n">
        <x:v>1.03</x:v>
      </x:c>
      <x:c r="P697" s="56" t="n">
        <x:v>2.01</x:v>
      </x:c>
      <x:c r="Q697" s="56" t="n">
        <x:v>85.9</x:v>
      </x:c>
      <x:c r="R697" t="str">
        <x:v>Z</x:v>
      </x:c>
      <x:c r="S697" s="102" t="n">
        <x:v>87</x:v>
      </x:c>
      <x:c r="T697" t="str">
        <x:v>VALID</x:v>
      </x:c>
      <x:c r="U697" t="n">
        <x:v>2915</x:v>
      </x:c>
      <x:c r="V697" t="str">
        <x:v>Pasted text(56).txt</x:v>
      </x:c>
    </x:row>
    <x:row r="698">
      <x:c r="A698" t="str">
        <x:v>S08</x:v>
      </x:c>
      <x:c r="B698" t="str">
        <x:v>0.65 five-run validation</x:v>
      </x:c>
      <x:c r="C698" s="54" t="n">
        <x:v>0.65</x:v>
      </x:c>
      <x:c r="D698" t="n">
        <x:v>4</x:v>
      </x:c>
      <x:c r="E698" t="n">
        <x:v>2</x:v>
      </x:c>
      <x:c r="F698" t="str">
        <x:v>FINE</x:v>
      </x:c>
      <x:c r="G698" t="n">
        <x:v>4</x:v>
      </x:c>
      <x:c r="H698" s="54" t="n">
        <x:v>14.25</x:v>
      </x:c>
      <x:c r="I698" s="54" t="n">
        <x:v>0.55059</x:v>
      </x:c>
      <x:c r="J698" s="54" t="n">
        <x:v>0.54719</x:v>
      </x:c>
      <x:c r="K698" s="54" t="n">
        <x:v>0.39981</x:v>
      </x:c>
      <x:c r="L698" s="54" t="n">
        <x:v>0.64244</x:v>
      </x:c>
      <x:c r="M698" s="54" t="n">
        <x:v>0.9339</x:v>
      </x:c>
      <x:c r="N698" s="56" t="n">
        <x:v>-15.29</x:v>
      </x:c>
      <x:c r="O698" s="56" t="n">
        <x:v>1.67</x:v>
      </x:c>
      <x:c r="P698" s="56" t="n">
        <x:v>2.13</x:v>
      </x:c>
      <x:c r="Q698" s="56" t="n">
        <x:v>87.5</x:v>
      </x:c>
      <x:c r="R698" t="str">
        <x:v>Z</x:v>
      </x:c>
      <x:c r="S698" s="102" t="n">
        <x:v>85.2</x:v>
      </x:c>
      <x:c r="T698" t="str">
        <x:v>VALID</x:v>
      </x:c>
      <x:c r="U698" t="n">
        <x:v>2916</x:v>
      </x:c>
      <x:c r="V698" t="str">
        <x:v>Pasted text(56).txt</x:v>
      </x:c>
    </x:row>
    <x:row r="699">
      <x:c r="A699" t="str">
        <x:v>S08</x:v>
      </x:c>
      <x:c r="B699" t="str">
        <x:v>0.65 five-run validation</x:v>
      </x:c>
      <x:c r="C699" s="54" t="n">
        <x:v>0.65</x:v>
      </x:c>
      <x:c r="D699" t="n">
        <x:v>4</x:v>
      </x:c>
      <x:c r="E699" t="n">
        <x:v>2</x:v>
      </x:c>
      <x:c r="F699" t="str">
        <x:v>FINE</x:v>
      </x:c>
      <x:c r="G699" t="n">
        <x:v>5</x:v>
      </x:c>
      <x:c r="H699" s="54" t="n">
        <x:v>14.5</x:v>
      </x:c>
      <x:c r="I699" s="54" t="n">
        <x:v>0.58477</x:v>
      </x:c>
      <x:c r="J699" s="54" t="n">
        <x:v>0.5753</x:v>
      </x:c>
      <x:c r="K699" s="54" t="n">
        <x:v>0.3981</x:v>
      </x:c>
      <x:c r="L699" s="54" t="n">
        <x:v>0.65845</x:v>
      </x:c>
      <x:c r="M699" s="54" t="n">
        <x:v>0.96086</x:v>
      </x:c>
      <x:c r="N699" s="56" t="n">
        <x:v>-10.04</x:v>
      </x:c>
      <x:c r="O699" s="56" t="n">
        <x:v>1.23</x:v>
      </x:c>
      <x:c r="P699" s="56" t="n">
        <x:v>3.6</x:v>
      </x:c>
      <x:c r="Q699" s="56" t="n">
        <x:v>89.2</x:v>
      </x:c>
      <x:c r="R699" t="str">
        <x:v>Z</x:v>
      </x:c>
      <x:c r="S699" s="102" t="n">
        <x:v>87.4</x:v>
      </x:c>
      <x:c r="T699" t="str">
        <x:v>VALID</x:v>
      </x:c>
      <x:c r="U699" t="n">
        <x:v>2917</x:v>
      </x:c>
      <x:c r="V699" t="str">
        <x:v>Pasted text(56).txt</x:v>
      </x:c>
    </x:row>
    <x:row r="700">
      <x:c r="A700" t="str">
        <x:v>S08</x:v>
      </x:c>
      <x:c r="B700" t="str">
        <x:v>0.65 five-run validation</x:v>
      </x:c>
      <x:c r="C700" s="54" t="n">
        <x:v>0.65</x:v>
      </x:c>
      <x:c r="D700" t="n">
        <x:v>4</x:v>
      </x:c>
      <x:c r="E700" t="n">
        <x:v>2</x:v>
      </x:c>
      <x:c r="F700" t="str">
        <x:v>FINE</x:v>
      </x:c>
      <x:c r="G700" t="n">
        <x:v>6</x:v>
      </x:c>
      <x:c r="H700" s="54" t="n">
        <x:v>14.75</x:v>
      </x:c>
      <x:c r="I700" s="54" t="n">
        <x:v>0.58956</x:v>
      </x:c>
      <x:c r="J700" s="54" t="n">
        <x:v>0.58396</x:v>
      </x:c>
      <x:c r="K700" s="54" t="n">
        <x:v>0.39573</x:v>
      </x:c>
      <x:c r="L700" s="54" t="n">
        <x:v>0.60839</x:v>
      </x:c>
      <x:c r="M700" s="54" t="n">
        <x:v>0.93157</x:v>
      </x:c>
      <x:c r="N700" s="56" t="n">
        <x:v>-9.3</x:v>
      </x:c>
      <x:c r="O700" s="56" t="n">
        <x:v>2.82</x:v>
      </x:c>
      <x:c r="P700" s="56" t="n">
        <x:v>1.36</x:v>
      </x:c>
      <x:c r="Q700" s="56" t="n">
        <x:v>87.7</x:v>
      </x:c>
      <x:c r="R700" t="str">
        <x:v>Z</x:v>
      </x:c>
      <x:c r="S700" s="102" t="n">
        <x:v>96</x:v>
      </x:c>
      <x:c r="T700" t="str">
        <x:v>VALID</x:v>
      </x:c>
      <x:c r="U700" t="n">
        <x:v>2918</x:v>
      </x:c>
      <x:c r="V700" t="str">
        <x:v>Pasted text(56).txt</x:v>
      </x:c>
    </x:row>
    <x:row r="701">
      <x:c r="A701" t="str">
        <x:v>S08</x:v>
      </x:c>
      <x:c r="B701" t="str">
        <x:v>0.65 five-run validation</x:v>
      </x:c>
      <x:c r="C701" s="54" t="n">
        <x:v>0.65</x:v>
      </x:c>
      <x:c r="D701" t="n">
        <x:v>4</x:v>
      </x:c>
      <x:c r="E701" t="n">
        <x:v>2</x:v>
      </x:c>
      <x:c r="F701" t="str">
        <x:v>FINE</x:v>
      </x:c>
      <x:c r="G701" t="n">
        <x:v>7</x:v>
      </x:c>
      <x:c r="H701" s="54" t="n">
        <x:v>15</x:v>
      </x:c>
      <x:c r="I701" s="54" t="n">
        <x:v>0.60509</x:v>
      </x:c>
      <x:c r="J701" s="54" t="n">
        <x:v>0.60444</x:v>
      </x:c>
      <x:c r="K701" s="54" t="n">
        <x:v>0.37124</x:v>
      </x:c>
      <x:c r="L701" s="54" t="n">
        <x:v>0.54629</x:v>
      </x:c>
      <x:c r="M701" s="54" t="n">
        <x:v>0.89556</x:v>
      </x:c>
      <x:c r="N701" s="56" t="n">
        <x:v>-6.91</x:v>
      </x:c>
      <x:c r="O701" s="56" t="n">
        <x:v>0.32</x:v>
      </x:c>
      <x:c r="P701" s="56" t="n">
        <x:v>0.15</x:v>
      </x:c>
      <x:c r="Q701" s="56" t="n">
        <x:v>88.7</x:v>
      </x:c>
      <x:c r="R701" t="str">
        <x:v>X</x:v>
      </x:c>
      <x:c r="S701" s="102" t="n">
        <x:v>100</x:v>
      </x:c>
      <x:c r="T701" t="str">
        <x:v>IN TARGET BAND</x:v>
      </x:c>
      <x:c r="U701" t="n">
        <x:v>2919</x:v>
      </x:c>
      <x:c r="V701" t="str">
        <x:v>Pasted text(56).txt</x:v>
      </x:c>
    </x:row>
    <x:row r="702">
      <x:c r="A702" t="str">
        <x:v>S08</x:v>
      </x:c>
      <x:c r="B702" t="str">
        <x:v>0.65 five-run validation</x:v>
      </x:c>
      <x:c r="C702" s="54" t="n">
        <x:v>0.65</x:v>
      </x:c>
      <x:c r="D702" t="n">
        <x:v>4</x:v>
      </x:c>
      <x:c r="E702" t="n">
        <x:v>2</x:v>
      </x:c>
      <x:c r="F702" t="str">
        <x:v>FINE</x:v>
      </x:c>
      <x:c r="G702" t="n">
        <x:v>8</x:v>
      </x:c>
      <x:c r="H702" s="54" t="n">
        <x:v>15.25</x:v>
      </x:c>
      <x:c r="I702" s="54" t="n">
        <x:v>1.02375</x:v>
      </x:c>
      <x:c r="J702" s="54" t="n">
        <x:v>1.03157</x:v>
      </x:c>
      <x:c r="K702" s="54" t="n">
        <x:v>0.39683</x:v>
      </x:c>
      <x:c r="L702" s="54" t="n">
        <x:v>0.4844</x:v>
      </x:c>
      <x:c r="M702" s="54" t="n">
        <x:v>1.2074</x:v>
      </x:c>
      <x:c r="N702" s="56" t="n">
        <x:v>57.5</x:v>
      </x:c>
      <x:c r="O702" s="56" t="n">
        <x:v>6.37</x:v>
      </x:c>
      <x:c r="P702" s="56" t="n">
        <x:v>5.44</x:v>
      </x:c>
      <x:c r="Q702" s="56" t="n">
        <x:v>92.4</x:v>
      </x:c>
      <x:c r="R702" t="str">
        <x:v>X</x:v>
      </x:c>
      <x:c r="S702" s="102" t="n">
        <x:v>100</x:v>
      </x:c>
      <x:c r="T702" t="str">
        <x:v>VALID</x:v>
      </x:c>
      <x:c r="U702" t="n">
        <x:v>2920</x:v>
      </x:c>
      <x:c r="V702" t="str">
        <x:v>Pasted text(56).txt</x:v>
      </x:c>
    </x:row>
    <x:row r="703">
      <x:c r="A703" t="str">
        <x:v>S08</x:v>
      </x:c>
      <x:c r="B703" t="str">
        <x:v>0.65 five-run validation</x:v>
      </x:c>
      <x:c r="C703" s="54" t="n">
        <x:v>0.65</x:v>
      </x:c>
      <x:c r="D703" t="n">
        <x:v>4</x:v>
      </x:c>
      <x:c r="E703" t="n">
        <x:v>2</x:v>
      </x:c>
      <x:c r="F703" t="str">
        <x:v>FINE</x:v>
      </x:c>
      <x:c r="G703" t="n">
        <x:v>9</x:v>
      </x:c>
      <x:c r="H703" s="54" t="n">
        <x:v>15.5</x:v>
      </x:c>
      <x:c r="I703" s="54" t="n">
        <x:v>0.96735</x:v>
      </x:c>
      <x:c r="J703" s="54" t="n">
        <x:v>0.99479</x:v>
      </x:c>
      <x:c r="K703" s="54" t="n">
        <x:v>0.3938</x:v>
      </x:c>
      <x:c r="L703" s="54" t="n">
        <x:v>0.43071</x:v>
      </x:c>
      <x:c r="M703" s="54" t="n">
        <x:v>1.15407</x:v>
      </x:c>
      <x:c r="N703" s="56" t="n">
        <x:v>48.82</x:v>
      </x:c>
      <x:c r="O703" s="56" t="n">
        <x:v>0.69</x:v>
      </x:c>
      <x:c r="P703" s="56" t="n">
        <x:v>5.17</x:v>
      </x:c>
      <x:c r="Q703" s="56" t="n">
        <x:v>93.2</x:v>
      </x:c>
      <x:c r="R703" t="str">
        <x:v>X</x:v>
      </x:c>
      <x:c r="S703" s="102" t="n">
        <x:v>100</x:v>
      </x:c>
      <x:c r="T703" t="str">
        <x:v>VALID</x:v>
      </x:c>
      <x:c r="U703" t="n">
        <x:v>2921</x:v>
      </x:c>
      <x:c r="V703" t="str">
        <x:v>Pasted text(56).txt</x:v>
      </x:c>
    </x:row>
    <x:row r="704">
      <x:c r="A704" t="str">
        <x:v>S08</x:v>
      </x:c>
      <x:c r="B704" t="str">
        <x:v>0.65 five-run validation</x:v>
      </x:c>
      <x:c r="C704" s="54" t="n">
        <x:v>0.65</x:v>
      </x:c>
      <x:c r="D704" t="n">
        <x:v>4</x:v>
      </x:c>
      <x:c r="E704" t="n">
        <x:v>2</x:v>
      </x:c>
      <x:c r="F704" t="str">
        <x:v>FINAL</x:v>
      </x:c>
      <x:c r="G704" t="n">
        <x:v>1</x:v>
      </x:c>
      <x:c r="H704" s="54" t="n">
        <x:v>15</x:v>
      </x:c>
      <x:c r="I704" s="54" t="n">
        <x:v>0.91147</x:v>
      </x:c>
      <x:c r="J704" s="54" t="n">
        <x:v>0.90123</x:v>
      </x:c>
      <x:c r="K704" s="54" t="n">
        <x:v>0.39951</x:v>
      </x:c>
      <x:c r="L704" s="54" t="n">
        <x:v>0.51258</x:v>
      </x:c>
      <x:c r="M704" s="54" t="n">
        <x:v>1.11163</x:v>
      </x:c>
      <x:c r="N704" s="56" t="n">
        <x:v>40.23</x:v>
      </x:c>
      <x:c r="O704" s="56" t="n">
        <x:v>7.59</x:v>
      </x:c>
      <x:c r="P704" s="56" t="n">
        <x:v>6.23</x:v>
      </x:c>
      <x:c r="Q704" s="56" t="n">
        <x:v>92.1</x:v>
      </x:c>
      <x:c r="R704" t="str">
        <x:v>X</x:v>
      </x:c>
      <x:c r="S704" s="102" t="n">
        <x:v>100</x:v>
      </x:c>
      <x:c r="T704" t="str">
        <x:v>VALID</x:v>
      </x:c>
      <x:c r="U704" t="n">
        <x:v>2924</x:v>
      </x:c>
      <x:c r="V704" t="str">
        <x:v>Pasted text(56).txt</x:v>
      </x:c>
    </x:row>
    <x:row r="705">
      <x:c r="A705" t="str">
        <x:v>S08</x:v>
      </x:c>
      <x:c r="B705" t="str">
        <x:v>0.65 five-run validation</x:v>
      </x:c>
      <x:c r="C705" s="54" t="n">
        <x:v>0.65</x:v>
      </x:c>
      <x:c r="D705" t="n">
        <x:v>4</x:v>
      </x:c>
      <x:c r="E705" t="n">
        <x:v>2</x:v>
      </x:c>
      <x:c r="F705" t="str">
        <x:v>FINAL</x:v>
      </x:c>
      <x:c r="G705" t="n">
        <x:v>2</x:v>
      </x:c>
      <x:c r="H705" s="54" t="n">
        <x:v>15</x:v>
      </x:c>
      <x:c r="I705" s="54" t="n">
        <x:v>0.81084</x:v>
      </x:c>
      <x:c r="J705" s="54" t="n">
        <x:v>0.81054</x:v>
      </x:c>
      <x:c r="K705" s="54" t="n">
        <x:v>0.19678</x:v>
      </x:c>
      <x:c r="L705" s="54" t="n">
        <x:v>0.25279</x:v>
      </x:c>
      <x:c r="M705" s="54" t="n">
        <x:v>0.87261</x:v>
      </x:c>
      <x:c r="N705" s="56" t="n">
        <x:v>24.75</x:v>
      </x:c>
      <x:c r="O705" s="56" t="n">
        <x:v>4.4</x:v>
      </x:c>
      <x:c r="P705" s="56" t="n">
        <x:v>5.04</x:v>
      </x:c>
      <x:c r="Q705" s="56" t="n">
        <x:v>90.7</x:v>
      </x:c>
      <x:c r="R705" t="str">
        <x:v>X</x:v>
      </x:c>
      <x:c r="S705" s="102" t="n">
        <x:v>100</x:v>
      </x:c>
      <x:c r="T705" t="str">
        <x:v>VALID</x:v>
      </x:c>
      <x:c r="U705" t="n">
        <x:v>2925</x:v>
      </x:c>
      <x:c r="V705" t="str">
        <x:v>Pasted text(56).txt</x:v>
      </x:c>
    </x:row>
    <x:row r="706">
      <x:c r="A706" t="str">
        <x:v>S08</x:v>
      </x:c>
      <x:c r="B706" t="str">
        <x:v>0.65 five-run validation</x:v>
      </x:c>
      <x:c r="C706" s="54" t="n">
        <x:v>0.65</x:v>
      </x:c>
      <x:c r="D706" t="n">
        <x:v>4</x:v>
      </x:c>
      <x:c r="E706" t="n">
        <x:v>2</x:v>
      </x:c>
      <x:c r="F706" t="str">
        <x:v>FINAL</x:v>
      </x:c>
      <x:c r="G706" t="n">
        <x:v>3</x:v>
      </x:c>
      <x:c r="H706" s="54" t="n">
        <x:v>15</x:v>
      </x:c>
      <x:c r="I706" s="54" t="n">
        <x:v>0.61238</x:v>
      </x:c>
      <x:c r="J706" s="54" t="n">
        <x:v>0.61838</x:v>
      </x:c>
      <x:c r="K706" s="54" t="n">
        <x:v>0.34317</x:v>
      </x:c>
      <x:c r="L706" s="54" t="n">
        <x:v>0.54154</x:v>
      </x:c>
      <x:c r="M706" s="54" t="n">
        <x:v>0.8914</x:v>
      </x:c>
      <x:c r="N706" s="56" t="n">
        <x:v>-5.79</x:v>
      </x:c>
      <x:c r="O706" s="56" t="n">
        <x:v>12.04</x:v>
      </x:c>
      <x:c r="P706" s="56" t="n">
        <x:v>8.85</x:v>
      </x:c>
      <x:c r="Q706" s="56" t="n">
        <x:v>89.7</x:v>
      </x:c>
      <x:c r="R706" t="str">
        <x:v>X</x:v>
      </x:c>
      <x:c r="S706" s="102" t="n">
        <x:v>100</x:v>
      </x:c>
      <x:c r="T706" t="str">
        <x:v>UNSTABLE — SEARCH CONTINUES</x:v>
      </x:c>
      <x:c r="U706" t="n">
        <x:v>2926</x:v>
      </x:c>
      <x:c r="V706" t="str">
        <x:v>Pasted text(56).txt</x:v>
      </x:c>
    </x:row>
    <x:row r="707">
      <x:c r="A707" t="str">
        <x:v>S08</x:v>
      </x:c>
      <x:c r="B707" t="str">
        <x:v>0.65 five-run validation</x:v>
      </x:c>
      <x:c r="C707" s="54" t="n">
        <x:v>0.65</x:v>
      </x:c>
      <x:c r="D707" t="n">
        <x:v>4</x:v>
      </x:c>
      <x:c r="E707" t="n">
        <x:v>2</x:v>
      </x:c>
      <x:c r="F707" t="str">
        <x:v>FINAL</x:v>
      </x:c>
      <x:c r="G707" t="n">
        <x:v>1</x:v>
      </x:c>
      <x:c r="H707" s="54" t="n">
        <x:v>14.5</x:v>
      </x:c>
      <x:c r="I707" s="54" t="n">
        <x:v>0.53655</x:v>
      </x:c>
      <x:c r="J707" s="54" t="n">
        <x:v>0.54102</x:v>
      </x:c>
      <x:c r="K707" s="54" t="n">
        <x:v>0.3499</x:v>
      </x:c>
      <x:c r="L707" s="54" t="n">
        <x:v>0.53167</x:v>
      </x:c>
      <x:c r="M707" s="54" t="n">
        <x:v>0.836</x:v>
      </x:c>
      <x:c r="N707" s="56" t="n">
        <x:v>-17.45</x:v>
      </x:c>
      <x:c r="O707" s="56" t="n">
        <x:v>3.57</x:v>
      </x:c>
      <x:c r="P707" s="56" t="n">
        <x:v>3.62</x:v>
      </x:c>
      <x:c r="Q707" s="56" t="n">
        <x:v>88.3</x:v>
      </x:c>
      <x:c r="R707" t="str">
        <x:v>X</x:v>
      </x:c>
      <x:c r="S707" s="102" t="n">
        <x:v>100</x:v>
      </x:c>
      <x:c r="T707" t="str">
        <x:v>VALID</x:v>
      </x:c>
      <x:c r="U707" t="n">
        <x:v>2930</x:v>
      </x:c>
      <x:c r="V707" t="str">
        <x:v>Pasted text(56).txt</x:v>
      </x:c>
    </x:row>
    <x:row r="708">
      <x:c r="A708" t="str">
        <x:v>S08</x:v>
      </x:c>
      <x:c r="B708" t="str">
        <x:v>0.65 five-run validation</x:v>
      </x:c>
      <x:c r="C708" s="54" t="n">
        <x:v>0.65</x:v>
      </x:c>
      <x:c r="D708" t="n">
        <x:v>4</x:v>
      </x:c>
      <x:c r="E708" t="n">
        <x:v>2</x:v>
      </x:c>
      <x:c r="F708" t="str">
        <x:v>FINAL</x:v>
      </x:c>
      <x:c r="G708" t="n">
        <x:v>2</x:v>
      </x:c>
      <x:c r="H708" s="54" t="n">
        <x:v>14.5</x:v>
      </x:c>
      <x:c r="I708" s="54" t="n">
        <x:v>0.59399</x:v>
      </x:c>
      <x:c r="J708" s="54" t="n">
        <x:v>0.58692</x:v>
      </x:c>
      <x:c r="K708" s="54" t="n">
        <x:v>0.33647</x:v>
      </x:c>
      <x:c r="L708" s="54" t="n">
        <x:v>0.5421</x:v>
      </x:c>
      <x:c r="M708" s="54" t="n">
        <x:v>0.86715</x:v>
      </x:c>
      <x:c r="N708" s="56" t="n">
        <x:v>-8.62</x:v>
      </x:c>
      <x:c r="O708" s="56" t="n">
        <x:v>3.69</x:v>
      </x:c>
      <x:c r="P708" s="56" t="n">
        <x:v>4.08</x:v>
      </x:c>
      <x:c r="Q708" s="56" t="n">
        <x:v>88.7</x:v>
      </x:c>
      <x:c r="R708" t="str">
        <x:v>X</x:v>
      </x:c>
      <x:c r="S708" s="102" t="n">
        <x:v>100</x:v>
      </x:c>
      <x:c r="T708" t="str">
        <x:v>VALID</x:v>
      </x:c>
      <x:c r="U708" t="n">
        <x:v>2931</x:v>
      </x:c>
      <x:c r="V708" t="str">
        <x:v>Pasted text(56).txt</x:v>
      </x:c>
    </x:row>
    <x:row r="709">
      <x:c r="A709" t="str">
        <x:v>S08</x:v>
      </x:c>
      <x:c r="B709" t="str">
        <x:v>0.65 five-run validation</x:v>
      </x:c>
      <x:c r="C709" s="54" t="n">
        <x:v>0.65</x:v>
      </x:c>
      <x:c r="D709" t="n">
        <x:v>4</x:v>
      </x:c>
      <x:c r="E709" t="n">
        <x:v>2</x:v>
      </x:c>
      <x:c r="F709" t="str">
        <x:v>FINAL</x:v>
      </x:c>
      <x:c r="G709" t="n">
        <x:v>3</x:v>
      </x:c>
      <x:c r="H709" s="54" t="n">
        <x:v>14.5</x:v>
      </x:c>
      <x:c r="I709" s="54" t="n">
        <x:v>0.82589</x:v>
      </x:c>
      <x:c r="J709" s="54" t="n">
        <x:v>0.95615</x:v>
      </x:c>
      <x:c r="K709" s="54" t="n">
        <x:v>0.34235</x:v>
      </x:c>
      <x:c r="L709" s="54" t="n">
        <x:v>0.39729</x:v>
      </x:c>
      <x:c r="M709" s="54" t="n">
        <x:v>1.10833</x:v>
      </x:c>
      <x:c r="N709" s="56" t="n">
        <x:v>27.06</x:v>
      </x:c>
      <x:c r="O709" s="56" t="n">
        <x:v>33.15</x:v>
      </x:c>
      <x:c r="P709" s="56" t="n">
        <x:v>34.83</x:v>
      </x:c>
      <x:c r="Q709" s="56" t="n">
        <x:v>89.4</x:v>
      </x:c>
      <x:c r="R709" t="str">
        <x:v>X</x:v>
      </x:c>
      <x:c r="S709" s="102" t="n">
        <x:v>100</x:v>
      </x:c>
      <x:c r="T709" t="str">
        <x:v>UNSTABLE — SEARCH CONTINUES</x:v>
      </x:c>
      <x:c r="U709" t="n">
        <x:v>2932</x:v>
      </x:c>
      <x:c r="V709" t="str">
        <x:v>Pasted text(56).txt</x:v>
      </x:c>
    </x:row>
    <x:row r="710">
      <x:c r="A710" t="str">
        <x:v>S08</x:v>
      </x:c>
      <x:c r="B710" t="str">
        <x:v>0.65 five-run validation</x:v>
      </x:c>
      <x:c r="C710" s="54" t="n">
        <x:v>0.65</x:v>
      </x:c>
      <x:c r="D710" t="n">
        <x:v>5</x:v>
      </x:c>
      <x:c r="E710" t="n">
        <x:v>1</x:v>
      </x:c>
      <x:c r="F710" t="str">
        <x:v>SEARCH</x:v>
      </x:c>
      <x:c r="G710" t="n">
        <x:v>1</x:v>
      </x:c>
      <x:c r="H710" s="54" t="n">
        <x:v>1</x:v>
      </x:c>
      <x:c r="I710" s="54" t="n">
        <x:v>0.01824</x:v>
      </x:c>
      <x:c r="J710" s="54" t="n">
        <x:v>0.01773</x:v>
      </x:c>
      <x:c r="K710" s="54" t="n">
        <x:v>0.02346</x:v>
      </x:c>
      <x:c r="L710" s="54" t="n">
        <x:v>0.04211</x:v>
      </x:c>
      <x:c r="M710" s="54" t="n">
        <x:v>0.0522</x:v>
      </x:c>
      <x:c r="N710" s="56" t="n">
        <x:v>-97.19</x:v>
      </x:c>
      <x:c r="O710" s="56" t="n">
        <x:v>6.43</x:v>
      </x:c>
      <x:c r="P710" s="56" t="n">
        <x:v>9.06</x:v>
      </x:c>
      <x:c r="Q710" s="56" t="n">
        <x:v>10.3</x:v>
      </x:c>
      <x:c r="R710" t="str">
        <x:v>Z</x:v>
      </x:c>
      <x:c r="S710" s="102" t="n">
        <x:v>42.1</x:v>
      </x:c>
      <x:c r="T710" t="str">
        <x:v>BELOW MEASUREMENT FLOOR — SEARCH CONTINUES</x:v>
      </x:c>
      <x:c r="U710" t="n">
        <x:v>2951</x:v>
      </x:c>
      <x:c r="V710" t="str">
        <x:v>Pasted text(56).txt</x:v>
      </x:c>
    </x:row>
    <x:row r="711">
      <x:c r="A711" t="str">
        <x:v>S08</x:v>
      </x:c>
      <x:c r="B711" t="str">
        <x:v>0.65 five-run validation</x:v>
      </x:c>
      <x:c r="C711" s="54" t="n">
        <x:v>0.65</x:v>
      </x:c>
      <x:c r="D711" t="n">
        <x:v>5</x:v>
      </x:c>
      <x:c r="E711" t="n">
        <x:v>1</x:v>
      </x:c>
      <x:c r="F711" t="str">
        <x:v>SEARCH</x:v>
      </x:c>
      <x:c r="G711" t="n">
        <x:v>2</x:v>
      </x:c>
      <x:c r="H711" s="54" t="n">
        <x:v>3</x:v>
      </x:c>
      <x:c r="I711" s="54" t="n">
        <x:v>0.15977</x:v>
      </x:c>
      <x:c r="J711" s="54" t="n">
        <x:v>0.16007</x:v>
      </x:c>
      <x:c r="K711" s="54" t="n">
        <x:v>0.04045</x:v>
      </x:c>
      <x:c r="L711" s="54" t="n">
        <x:v>0.08331</x:v>
      </x:c>
      <x:c r="M711" s="54" t="n">
        <x:v>0.18581</x:v>
      </x:c>
      <x:c r="N711" s="56" t="n">
        <x:v>-75.42</x:v>
      </x:c>
      <x:c r="O711" s="56" t="n">
        <x:v>14.63</x:v>
      </x:c>
      <x:c r="P711" s="56" t="n">
        <x:v>10.13</x:v>
      </x:c>
      <x:c r="Q711" s="56" t="n">
        <x:v>61.2</x:v>
      </x:c>
      <x:c r="R711" t="str">
        <x:v>X</x:v>
      </x:c>
      <x:c r="S711" s="102" t="n">
        <x:v>100</x:v>
      </x:c>
      <x:c r="T711" t="str">
        <x:v>UNSTABLE — SEARCH CONTINUES</x:v>
      </x:c>
      <x:c r="U711" t="n">
        <x:v>2952</x:v>
      </x:c>
      <x:c r="V711" t="str">
        <x:v>Pasted text(56).txt</x:v>
      </x:c>
    </x:row>
    <x:row r="712">
      <x:c r="A712" t="str">
        <x:v>S08</x:v>
      </x:c>
      <x:c r="B712" t="str">
        <x:v>0.65 five-run validation</x:v>
      </x:c>
      <x:c r="C712" s="54" t="n">
        <x:v>0.65</x:v>
      </x:c>
      <x:c r="D712" t="n">
        <x:v>5</x:v>
      </x:c>
      <x:c r="E712" t="n">
        <x:v>1</x:v>
      </x:c>
      <x:c r="F712" t="str">
        <x:v>SEARCH</x:v>
      </x:c>
      <x:c r="G712" t="n">
        <x:v>3</x:v>
      </x:c>
      <x:c r="H712" s="54" t="n">
        <x:v>5</x:v>
      </x:c>
      <x:c r="I712" s="54" t="n">
        <x:v>0.39531</x:v>
      </x:c>
      <x:c r="J712" s="54" t="n">
        <x:v>0.38199</x:v>
      </x:c>
      <x:c r="K712" s="54" t="n">
        <x:v>0.10335</x:v>
      </x:c>
      <x:c r="L712" s="54" t="n">
        <x:v>0.1898</x:v>
      </x:c>
      <x:c r="M712" s="54" t="n">
        <x:v>0.43946</x:v>
      </x:c>
      <x:c r="N712" s="56" t="n">
        <x:v>-39.18</x:v>
      </x:c>
      <x:c r="O712" s="56" t="n">
        <x:v>1.26</x:v>
      </x:c>
      <x:c r="P712" s="56" t="n">
        <x:v>6.81</x:v>
      </x:c>
      <x:c r="Q712" s="56" t="n">
        <x:v>84.1</x:v>
      </x:c>
      <x:c r="R712" t="str">
        <x:v>X</x:v>
      </x:c>
      <x:c r="S712" s="102" t="n">
        <x:v>100</x:v>
      </x:c>
      <x:c r="T712" t="str">
        <x:v>VALID</x:v>
      </x:c>
      <x:c r="U712" t="n">
        <x:v>2953</x:v>
      </x:c>
      <x:c r="V712" t="str">
        <x:v>Pasted text(56).txt</x:v>
      </x:c>
    </x:row>
    <x:row r="713">
      <x:c r="A713" t="str">
        <x:v>S08</x:v>
      </x:c>
      <x:c r="B713" t="str">
        <x:v>0.65 five-run validation</x:v>
      </x:c>
      <x:c r="C713" s="54" t="n">
        <x:v>0.65</x:v>
      </x:c>
      <x:c r="D713" t="n">
        <x:v>5</x:v>
      </x:c>
      <x:c r="E713" t="n">
        <x:v>1</x:v>
      </x:c>
      <x:c r="F713" t="str">
        <x:v>SEARCH</x:v>
      </x:c>
      <x:c r="G713" t="n">
        <x:v>4</x:v>
      </x:c>
      <x:c r="H713" s="54" t="n">
        <x:v>5.5</x:v>
      </x:c>
      <x:c r="I713" s="54" t="n">
        <x:v>0.42356</x:v>
      </x:c>
      <x:c r="J713" s="54" t="n">
        <x:v>0.42621</x:v>
      </x:c>
      <x:c r="K713" s="54" t="n">
        <x:v>0.10192</x:v>
      </x:c>
      <x:c r="L713" s="54" t="n">
        <x:v>0.16747</x:v>
      </x:c>
      <x:c r="M713" s="54" t="n">
        <x:v>0.46947</x:v>
      </x:c>
      <x:c r="N713" s="56" t="n">
        <x:v>-34.84</x:v>
      </x:c>
      <x:c r="O713" s="56" t="n">
        <x:v>2.38</x:v>
      </x:c>
      <x:c r="P713" s="56" t="n">
        <x:v>2.58</x:v>
      </x:c>
      <x:c r="Q713" s="56" t="n">
        <x:v>86.2</x:v>
      </x:c>
      <x:c r="R713" t="str">
        <x:v>X</x:v>
      </x:c>
      <x:c r="S713" s="102" t="n">
        <x:v>100</x:v>
      </x:c>
      <x:c r="T713" t="str">
        <x:v>VALID</x:v>
      </x:c>
      <x:c r="U713" t="n">
        <x:v>2954</x:v>
      </x:c>
      <x:c r="V713" t="str">
        <x:v>Pasted text(56).txt</x:v>
      </x:c>
    </x:row>
    <x:row r="714">
      <x:c r="A714" t="str">
        <x:v>S08</x:v>
      </x:c>
      <x:c r="B714" t="str">
        <x:v>0.65 five-run validation</x:v>
      </x:c>
      <x:c r="C714" s="54" t="n">
        <x:v>0.65</x:v>
      </x:c>
      <x:c r="D714" t="n">
        <x:v>5</x:v>
      </x:c>
      <x:c r="E714" t="n">
        <x:v>1</x:v>
      </x:c>
      <x:c r="F714" t="str">
        <x:v>SEARCH</x:v>
      </x:c>
      <x:c r="G714" t="n">
        <x:v>5</x:v>
      </x:c>
      <x:c r="H714" s="54" t="n">
        <x:v>6</x:v>
      </x:c>
      <x:c r="I714" s="54" t="n">
        <x:v>0.50021</x:v>
      </x:c>
      <x:c r="J714" s="54" t="n">
        <x:v>0.50326</x:v>
      </x:c>
      <x:c r="K714" s="54" t="n">
        <x:v>0.13683</x:v>
      </x:c>
      <x:c r="L714" s="54" t="n">
        <x:v>0.22644</x:v>
      </x:c>
      <x:c r="M714" s="54" t="n">
        <x:v>0.56923</x:v>
      </x:c>
      <x:c r="N714" s="56" t="n">
        <x:v>-23.04</x:v>
      </x:c>
      <x:c r="O714" s="56" t="n">
        <x:v>1.66</x:v>
      </x:c>
      <x:c r="P714" s="56" t="n">
        <x:v>2.09</x:v>
      </x:c>
      <x:c r="Q714" s="56" t="n">
        <x:v>89.3</x:v>
      </x:c>
      <x:c r="R714" t="str">
        <x:v>X</x:v>
      </x:c>
      <x:c r="S714" s="102" t="n">
        <x:v>100</x:v>
      </x:c>
      <x:c r="T714" t="str">
        <x:v>VALID</x:v>
      </x:c>
      <x:c r="U714" t="n">
        <x:v>2955</x:v>
      </x:c>
      <x:c r="V714" t="str">
        <x:v>Pasted text(56).txt</x:v>
      </x:c>
    </x:row>
    <x:row r="715">
      <x:c r="A715" t="str">
        <x:v>S08</x:v>
      </x:c>
      <x:c r="B715" t="str">
        <x:v>0.65 five-run validation</x:v>
      </x:c>
      <x:c r="C715" s="54" t="n">
        <x:v>0.65</x:v>
      </x:c>
      <x:c r="D715" t="n">
        <x:v>5</x:v>
      </x:c>
      <x:c r="E715" t="n">
        <x:v>1</x:v>
      </x:c>
      <x:c r="F715" t="str">
        <x:v>SEARCH</x:v>
      </x:c>
      <x:c r="G715" t="n">
        <x:v>6</x:v>
      </x:c>
      <x:c r="H715" s="54" t="n">
        <x:v>6.5</x:v>
      </x:c>
      <x:c r="I715" s="54" t="n">
        <x:v>0.53669</x:v>
      </x:c>
      <x:c r="J715" s="54" t="n">
        <x:v>0.52754</x:v>
      </x:c>
      <x:c r="K715" s="54" t="n">
        <x:v>0.13409</x:v>
      </x:c>
      <x:c r="L715" s="54" t="n">
        <x:v>0.24323</x:v>
      </x:c>
      <x:c r="M715" s="54" t="n">
        <x:v>0.59693</x:v>
      </x:c>
      <x:c r="N715" s="56" t="n">
        <x:v>-17.43</x:v>
      </x:c>
      <x:c r="O715" s="56" t="n">
        <x:v>3.5</x:v>
      </x:c>
      <x:c r="P715" s="56" t="n">
        <x:v>5.23</x:v>
      </x:c>
      <x:c r="Q715" s="56" t="n">
        <x:v>86.9</x:v>
      </x:c>
      <x:c r="R715" t="str">
        <x:v>X</x:v>
      </x:c>
      <x:c r="S715" s="102" t="n">
        <x:v>100</x:v>
      </x:c>
      <x:c r="T715" t="str">
        <x:v>VALID</x:v>
      </x:c>
      <x:c r="U715" t="n">
        <x:v>2956</x:v>
      </x:c>
      <x:c r="V715" t="str">
        <x:v>Pasted text(56).txt</x:v>
      </x:c>
    </x:row>
    <x:row r="716">
      <x:c r="A716" t="str">
        <x:v>S08</x:v>
      </x:c>
      <x:c r="B716" t="str">
        <x:v>0.65 five-run validation</x:v>
      </x:c>
      <x:c r="C716" s="54" t="n">
        <x:v>0.65</x:v>
      </x:c>
      <x:c r="D716" t="n">
        <x:v>5</x:v>
      </x:c>
      <x:c r="E716" t="n">
        <x:v>1</x:v>
      </x:c>
      <x:c r="F716" t="str">
        <x:v>SEARCH</x:v>
      </x:c>
      <x:c r="G716" t="n">
        <x:v>7</x:v>
      </x:c>
      <x:c r="H716" s="54" t="n">
        <x:v>7</x:v>
      </x:c>
      <x:c r="I716" s="54" t="n">
        <x:v>0.59466</x:v>
      </x:c>
      <x:c r="J716" s="54" t="n">
        <x:v>0.59942</x:v>
      </x:c>
      <x:c r="K716" s="54" t="n">
        <x:v>0.1365</x:v>
      </x:c>
      <x:c r="L716" s="54" t="n">
        <x:v>0.27962</x:v>
      </x:c>
      <x:c r="M716" s="54" t="n">
        <x:v>0.67563</x:v>
      </x:c>
      <x:c r="N716" s="56" t="n">
        <x:v>-8.51</x:v>
      </x:c>
      <x:c r="O716" s="56" t="n">
        <x:v>0.91</x:v>
      </x:c>
      <x:c r="P716" s="56" t="n">
        <x:v>1.93</x:v>
      </x:c>
      <x:c r="Q716" s="56" t="n">
        <x:v>88.4</x:v>
      </x:c>
      <x:c r="R716" t="str">
        <x:v>X</x:v>
      </x:c>
      <x:c r="S716" s="102" t="n">
        <x:v>100</x:v>
      </x:c>
      <x:c r="T716" t="str">
        <x:v>VALID</x:v>
      </x:c>
      <x:c r="U716" t="n">
        <x:v>2957</x:v>
      </x:c>
      <x:c r="V716" t="str">
        <x:v>Pasted text(56).txt</x:v>
      </x:c>
    </x:row>
    <x:row r="717">
      <x:c r="A717" t="str">
        <x:v>S08</x:v>
      </x:c>
      <x:c r="B717" t="str">
        <x:v>0.65 five-run validation</x:v>
      </x:c>
      <x:c r="C717" s="54" t="n">
        <x:v>0.65</x:v>
      </x:c>
      <x:c r="D717" t="n">
        <x:v>5</x:v>
      </x:c>
      <x:c r="E717" t="n">
        <x:v>1</x:v>
      </x:c>
      <x:c r="F717" t="str">
        <x:v>SEARCH</x:v>
      </x:c>
      <x:c r="G717" t="n">
        <x:v>8</x:v>
      </x:c>
      <x:c r="H717" s="54" t="n">
        <x:v>7.25</x:v>
      </x:c>
      <x:c r="I717" s="54" t="n">
        <x:v>0.64303</x:v>
      </x:c>
      <x:c r="J717" s="54" t="n">
        <x:v>0.64559</x:v>
      </x:c>
      <x:c r="K717" s="54" t="n">
        <x:v>0.14631</x:v>
      </x:c>
      <x:c r="L717" s="54" t="n">
        <x:v>0.27554</x:v>
      </x:c>
      <x:c r="M717" s="54" t="n">
        <x:v>0.71718</x:v>
      </x:c>
      <x:c r="N717" s="56" t="n">
        <x:v>-1.07</x:v>
      </x:c>
      <x:c r="O717" s="56" t="n">
        <x:v>0.65</x:v>
      </x:c>
      <x:c r="P717" s="56" t="n">
        <x:v>1.09</x:v>
      </x:c>
      <x:c r="Q717" s="56" t="n">
        <x:v>89.9</x:v>
      </x:c>
      <x:c r="R717" t="str">
        <x:v>X</x:v>
      </x:c>
      <x:c r="S717" s="102" t="n">
        <x:v>100</x:v>
      </x:c>
      <x:c r="T717" t="str">
        <x:v>IN TARGET BAND</x:v>
      </x:c>
      <x:c r="U717" t="n">
        <x:v>2958</x:v>
      </x:c>
      <x:c r="V717" t="str">
        <x:v>Pasted text(56).txt</x:v>
      </x:c>
    </x:row>
    <x:row r="718">
      <x:c r="A718" t="str">
        <x:v>S08</x:v>
      </x:c>
      <x:c r="B718" t="str">
        <x:v>0.65 five-run validation</x:v>
      </x:c>
      <x:c r="C718" s="54" t="n">
        <x:v>0.65</x:v>
      </x:c>
      <x:c r="D718" t="n">
        <x:v>5</x:v>
      </x:c>
      <x:c r="E718" t="n">
        <x:v>1</x:v>
      </x:c>
      <x:c r="F718" t="str">
        <x:v>FINE</x:v>
      </x:c>
      <x:c r="G718" t="n">
        <x:v>1</x:v>
      </x:c>
      <x:c r="H718" s="54" t="n">
        <x:v>6.25</x:v>
      </x:c>
      <x:c r="I718" s="54" t="n">
        <x:v>0.52088</x:v>
      </x:c>
      <x:c r="J718" s="54" t="n">
        <x:v>0.51731</x:v>
      </x:c>
      <x:c r="K718" s="54" t="n">
        <x:v>0.1142</x:v>
      </x:c>
      <x:c r="L718" s="54" t="n">
        <x:v>0.27028</x:v>
      </x:c>
      <x:c r="M718" s="54" t="n">
        <x:v>0.59501</x:v>
      </x:c>
      <x:c r="N718" s="56" t="n">
        <x:v>-19.86</x:v>
      </x:c>
      <x:c r="O718" s="56" t="n">
        <x:v>3.21</x:v>
      </x:c>
      <x:c r="P718" s="56" t="n">
        <x:v>3.27</x:v>
      </x:c>
      <x:c r="Q718" s="56" t="n">
        <x:v>88.1</x:v>
      </x:c>
      <x:c r="R718" t="str">
        <x:v>X</x:v>
      </x:c>
      <x:c r="S718" s="102" t="n">
        <x:v>100</x:v>
      </x:c>
      <x:c r="T718" t="str">
        <x:v>VALID</x:v>
      </x:c>
      <x:c r="U718" t="n">
        <x:v>2962</x:v>
      </x:c>
      <x:c r="V718" t="str">
        <x:v>Pasted text(56).txt</x:v>
      </x:c>
    </x:row>
    <x:row r="719">
      <x:c r="A719" t="str">
        <x:v>S08</x:v>
      </x:c>
      <x:c r="B719" t="str">
        <x:v>0.65 five-run validation</x:v>
      </x:c>
      <x:c r="C719" s="54" t="n">
        <x:v>0.65</x:v>
      </x:c>
      <x:c r="D719" t="n">
        <x:v>5</x:v>
      </x:c>
      <x:c r="E719" t="n">
        <x:v>1</x:v>
      </x:c>
      <x:c r="F719" t="str">
        <x:v>FINE</x:v>
      </x:c>
      <x:c r="G719" t="n">
        <x:v>2</x:v>
      </x:c>
      <x:c r="H719" s="54" t="n">
        <x:v>6.5</x:v>
      </x:c>
      <x:c r="I719" s="54" t="n">
        <x:v>0.53869</x:v>
      </x:c>
      <x:c r="J719" s="54" t="n">
        <x:v>0.53829</x:v>
      </x:c>
      <x:c r="K719" s="54" t="n">
        <x:v>0.13159</x:v>
      </x:c>
      <x:c r="L719" s="54" t="n">
        <x:v>0.24705</x:v>
      </x:c>
      <x:c r="M719" s="54" t="n">
        <x:v>0.60702</x:v>
      </x:c>
      <x:c r="N719" s="56" t="n">
        <x:v>-17.12</x:v>
      </x:c>
      <x:c r="O719" s="56" t="n">
        <x:v>4.22</x:v>
      </x:c>
      <x:c r="P719" s="56" t="n">
        <x:v>2.96</x:v>
      </x:c>
      <x:c r="Q719" s="56" t="n">
        <x:v>89.7</x:v>
      </x:c>
      <x:c r="R719" t="str">
        <x:v>X</x:v>
      </x:c>
      <x:c r="S719" s="102" t="n">
        <x:v>100</x:v>
      </x:c>
      <x:c r="T719" t="str">
        <x:v>VALID</x:v>
      </x:c>
      <x:c r="U719" t="n">
        <x:v>2963</x:v>
      </x:c>
      <x:c r="V719" t="str">
        <x:v>Pasted text(56).txt</x:v>
      </x:c>
    </x:row>
    <x:row r="720">
      <x:c r="A720" t="str">
        <x:v>S08</x:v>
      </x:c>
      <x:c r="B720" t="str">
        <x:v>0.65 five-run validation</x:v>
      </x:c>
      <x:c r="C720" s="54" t="n">
        <x:v>0.65</x:v>
      </x:c>
      <x:c r="D720" t="n">
        <x:v>5</x:v>
      </x:c>
      <x:c r="E720" t="n">
        <x:v>1</x:v>
      </x:c>
      <x:c r="F720" t="str">
        <x:v>FINE</x:v>
      </x:c>
      <x:c r="G720" t="n">
        <x:v>3</x:v>
      </x:c>
      <x:c r="H720" s="54" t="n">
        <x:v>6.75</x:v>
      </x:c>
      <x:c r="I720" s="54" t="n">
        <x:v>0.58924</x:v>
      </x:c>
      <x:c r="J720" s="54" t="n">
        <x:v>0.58804</x:v>
      </x:c>
      <x:c r="K720" s="54" t="n">
        <x:v>0.14843</x:v>
      </x:c>
      <x:c r="L720" s="54" t="n">
        <x:v>0.27817</x:v>
      </x:c>
      <x:c r="M720" s="54" t="n">
        <x:v>0.66765</x:v>
      </x:c>
      <x:c r="N720" s="56" t="n">
        <x:v>-9.35</x:v>
      </x:c>
      <x:c r="O720" s="56" t="n">
        <x:v>5</x:v>
      </x:c>
      <x:c r="P720" s="56" t="n">
        <x:v>3.69</x:v>
      </x:c>
      <x:c r="Q720" s="56" t="n">
        <x:v>89.3</x:v>
      </x:c>
      <x:c r="R720" t="str">
        <x:v>X</x:v>
      </x:c>
      <x:c r="S720" s="102" t="n">
        <x:v>100</x:v>
      </x:c>
      <x:c r="T720" t="str">
        <x:v>VALID</x:v>
      </x:c>
      <x:c r="U720" t="n">
        <x:v>2964</x:v>
      </x:c>
      <x:c r="V720" t="str">
        <x:v>Pasted text(56).txt</x:v>
      </x:c>
    </x:row>
    <x:row r="721">
      <x:c r="A721" t="str">
        <x:v>S08</x:v>
      </x:c>
      <x:c r="B721" t="str">
        <x:v>0.65 five-run validation</x:v>
      </x:c>
      <x:c r="C721" s="54" t="n">
        <x:v>0.65</x:v>
      </x:c>
      <x:c r="D721" t="n">
        <x:v>5</x:v>
      </x:c>
      <x:c r="E721" t="n">
        <x:v>1</x:v>
      </x:c>
      <x:c r="F721" t="str">
        <x:v>FINE</x:v>
      </x:c>
      <x:c r="G721" t="n">
        <x:v>4</x:v>
      </x:c>
      <x:c r="H721" s="54" t="n">
        <x:v>7</x:v>
      </x:c>
      <x:c r="I721" s="54" t="n">
        <x:v>0.60776</x:v>
      </x:c>
      <x:c r="J721" s="54" t="n">
        <x:v>0.60302</x:v>
      </x:c>
      <x:c r="K721" s="54" t="n">
        <x:v>0.1517</x:v>
      </x:c>
      <x:c r="L721" s="54" t="n">
        <x:v>0.29777</x:v>
      </x:c>
      <x:c r="M721" s="54" t="n">
        <x:v>0.68975</x:v>
      </x:c>
      <x:c r="N721" s="56" t="n">
        <x:v>-6.5</x:v>
      </x:c>
      <x:c r="O721" s="56" t="n">
        <x:v>3.21</x:v>
      </x:c>
      <x:c r="P721" s="56" t="n">
        <x:v>3.43</x:v>
      </x:c>
      <x:c r="Q721" s="56" t="n">
        <x:v>89.4</x:v>
      </x:c>
      <x:c r="R721" t="str">
        <x:v>X</x:v>
      </x:c>
      <x:c r="S721" s="102" t="n">
        <x:v>100</x:v>
      </x:c>
      <x:c r="T721" t="str">
        <x:v>IN TARGET BAND</x:v>
      </x:c>
      <x:c r="U721" t="n">
        <x:v>2965</x:v>
      </x:c>
      <x:c r="V721" t="str">
        <x:v>Pasted text(56).txt</x:v>
      </x:c>
    </x:row>
    <x:row r="722">
      <x:c r="A722" t="str">
        <x:v>S08</x:v>
      </x:c>
      <x:c r="B722" t="str">
        <x:v>0.65 five-run validation</x:v>
      </x:c>
      <x:c r="C722" s="54" t="n">
        <x:v>0.65</x:v>
      </x:c>
      <x:c r="D722" t="n">
        <x:v>5</x:v>
      </x:c>
      <x:c r="E722" t="n">
        <x:v>1</x:v>
      </x:c>
      <x:c r="F722" t="str">
        <x:v>FINE</x:v>
      </x:c>
      <x:c r="G722" t="n">
        <x:v>5</x:v>
      </x:c>
      <x:c r="H722" s="54" t="n">
        <x:v>7.25</x:v>
      </x:c>
      <x:c r="I722" s="54" t="n">
        <x:v>0.62516</x:v>
      </x:c>
      <x:c r="J722" s="54" t="n">
        <x:v>0.63587</x:v>
      </x:c>
      <x:c r="K722" s="54" t="n">
        <x:v>0.14346</x:v>
      </x:c>
      <x:c r="L722" s="54" t="n">
        <x:v>0.2866</x:v>
      </x:c>
      <x:c r="M722" s="54" t="n">
        <x:v>0.71262</x:v>
      </x:c>
      <x:c r="N722" s="56" t="n">
        <x:v>-3.82</x:v>
      </x:c>
      <x:c r="O722" s="56" t="n">
        <x:v>2.38</x:v>
      </x:c>
      <x:c r="P722" s="56" t="n">
        <x:v>4.35</x:v>
      </x:c>
      <x:c r="Q722" s="56" t="n">
        <x:v>91.1</x:v>
      </x:c>
      <x:c r="R722" t="str">
        <x:v>X</x:v>
      </x:c>
      <x:c r="S722" s="102" t="n">
        <x:v>100</x:v>
      </x:c>
      <x:c r="T722" t="str">
        <x:v>IN TARGET BAND</x:v>
      </x:c>
      <x:c r="U722" t="n">
        <x:v>2966</x:v>
      </x:c>
      <x:c r="V722" t="str">
        <x:v>Pasted text(56).txt</x:v>
      </x:c>
    </x:row>
    <x:row r="723">
      <x:c r="A723" t="str">
        <x:v>S08</x:v>
      </x:c>
      <x:c r="B723" t="str">
        <x:v>0.65 five-run validation</x:v>
      </x:c>
      <x:c r="C723" s="54" t="n">
        <x:v>0.65</x:v>
      </x:c>
      <x:c r="D723" t="n">
        <x:v>5</x:v>
      </x:c>
      <x:c r="E723" t="n">
        <x:v>1</x:v>
      </x:c>
      <x:c r="F723" t="str">
        <x:v>FINE</x:v>
      </x:c>
      <x:c r="G723" t="n">
        <x:v>6</x:v>
      </x:c>
      <x:c r="H723" s="54" t="n">
        <x:v>7.5</x:v>
      </x:c>
      <x:c r="I723" s="54" t="n">
        <x:v>0.65718</x:v>
      </x:c>
      <x:c r="J723" s="54" t="n">
        <x:v>0.64954</x:v>
      </x:c>
      <x:c r="K723" s="54" t="n">
        <x:v>0.14822</x:v>
      </x:c>
      <x:c r="L723" s="54" t="n">
        <x:v>0.30521</x:v>
      </x:c>
      <x:c r="M723" s="54" t="n">
        <x:v>0.7329</x:v>
      </x:c>
      <x:c r="N723" s="56" t="n">
        <x:v>1.1</x:v>
      </x:c>
      <x:c r="O723" s="56" t="n">
        <x:v>1.89</x:v>
      </x:c>
      <x:c r="P723" s="56" t="n">
        <x:v>3.22</x:v>
      </x:c>
      <x:c r="Q723" s="56" t="n">
        <x:v>90.6</x:v>
      </x:c>
      <x:c r="R723" t="str">
        <x:v>X</x:v>
      </x:c>
      <x:c r="S723" s="102" t="n">
        <x:v>100</x:v>
      </x:c>
      <x:c r="T723" t="str">
        <x:v>IN TARGET BAND</x:v>
      </x:c>
      <x:c r="U723" t="n">
        <x:v>2967</x:v>
      </x:c>
      <x:c r="V723" t="str">
        <x:v>Pasted text(56).txt</x:v>
      </x:c>
    </x:row>
    <x:row r="724">
      <x:c r="A724" t="str">
        <x:v>S08</x:v>
      </x:c>
      <x:c r="B724" t="str">
        <x:v>0.65 five-run validation</x:v>
      </x:c>
      <x:c r="C724" s="54" t="n">
        <x:v>0.65</x:v>
      </x:c>
      <x:c r="D724" t="n">
        <x:v>5</x:v>
      </x:c>
      <x:c r="E724" t="n">
        <x:v>1</x:v>
      </x:c>
      <x:c r="F724" t="str">
        <x:v>FINE</x:v>
      </x:c>
      <x:c r="G724" t="n">
        <x:v>7</x:v>
      </x:c>
      <x:c r="H724" s="54" t="n">
        <x:v>7.75</x:v>
      </x:c>
      <x:c r="I724" s="54" t="n">
        <x:v>0.68858</x:v>
      </x:c>
      <x:c r="J724" s="54" t="n">
        <x:v>0.69305</x:v>
      </x:c>
      <x:c r="K724" s="54" t="n">
        <x:v>0.15902</x:v>
      </x:c>
      <x:c r="L724" s="54" t="n">
        <x:v>0.323</x:v>
      </x:c>
      <x:c r="M724" s="54" t="n">
        <x:v>0.78102</x:v>
      </x:c>
      <x:c r="N724" s="56" t="n">
        <x:v>5.94</x:v>
      </x:c>
      <x:c r="O724" s="56" t="n">
        <x:v>1.58</x:v>
      </x:c>
      <x:c r="P724" s="56" t="n">
        <x:v>2.1</x:v>
      </x:c>
      <x:c r="Q724" s="56" t="n">
        <x:v>90</x:v>
      </x:c>
      <x:c r="R724" t="str">
        <x:v>X</x:v>
      </x:c>
      <x:c r="S724" s="102" t="n">
        <x:v>100</x:v>
      </x:c>
      <x:c r="T724" t="str">
        <x:v>IN TARGET BAND</x:v>
      </x:c>
      <x:c r="U724" t="n">
        <x:v>2968</x:v>
      </x:c>
      <x:c r="V724" t="str">
        <x:v>Pasted text(56).txt</x:v>
      </x:c>
    </x:row>
    <x:row r="725">
      <x:c r="A725" t="str">
        <x:v>S08</x:v>
      </x:c>
      <x:c r="B725" t="str">
        <x:v>0.65 five-run validation</x:v>
      </x:c>
      <x:c r="C725" s="54" t="n">
        <x:v>0.65</x:v>
      </x:c>
      <x:c r="D725" t="n">
        <x:v>5</x:v>
      </x:c>
      <x:c r="E725" t="n">
        <x:v>1</x:v>
      </x:c>
      <x:c r="F725" t="str">
        <x:v>FINE</x:v>
      </x:c>
      <x:c r="G725" t="n">
        <x:v>8</x:v>
      </x:c>
      <x:c r="H725" s="54" t="n">
        <x:v>8</x:v>
      </x:c>
      <x:c r="I725" s="54" t="n">
        <x:v>0.70763</x:v>
      </x:c>
      <x:c r="J725" s="54" t="n">
        <x:v>0.71012</x:v>
      </x:c>
      <x:c r="K725" s="54" t="n">
        <x:v>0.16423</x:v>
      </x:c>
      <x:c r="L725" s="54" t="n">
        <x:v>0.32746</x:v>
      </x:c>
      <x:c r="M725" s="54" t="n">
        <x:v>0.79942</x:v>
      </x:c>
      <x:c r="N725" s="56" t="n">
        <x:v>8.87</x:v>
      </x:c>
      <x:c r="O725" s="56" t="n">
        <x:v>2.59</x:v>
      </x:c>
      <x:c r="P725" s="56" t="n">
        <x:v>2.29</x:v>
      </x:c>
      <x:c r="Q725" s="56" t="n">
        <x:v>90.7</x:v>
      </x:c>
      <x:c r="R725" t="str">
        <x:v>X</x:v>
      </x:c>
      <x:c r="S725" s="102" t="n">
        <x:v>100</x:v>
      </x:c>
      <x:c r="T725" t="str">
        <x:v>VALID</x:v>
      </x:c>
      <x:c r="U725" t="n">
        <x:v>2969</x:v>
      </x:c>
      <x:c r="V725" t="str">
        <x:v>Pasted text(56).txt</x:v>
      </x:c>
    </x:row>
    <x:row r="726">
      <x:c r="A726" t="str">
        <x:v>S08</x:v>
      </x:c>
      <x:c r="B726" t="str">
        <x:v>0.65 five-run validation</x:v>
      </x:c>
      <x:c r="C726" s="54" t="n">
        <x:v>0.65</x:v>
      </x:c>
      <x:c r="D726" t="n">
        <x:v>5</x:v>
      </x:c>
      <x:c r="E726" t="n">
        <x:v>1</x:v>
      </x:c>
      <x:c r="F726" t="str">
        <x:v>FINE</x:v>
      </x:c>
      <x:c r="G726" t="n">
        <x:v>9</x:v>
      </x:c>
      <x:c r="H726" s="54" t="n">
        <x:v>8.25</x:v>
      </x:c>
      <x:c r="I726" s="54" t="n">
        <x:v>0.75088</x:v>
      </x:c>
      <x:c r="J726" s="54" t="n">
        <x:v>0.75001</x:v>
      </x:c>
      <x:c r="K726" s="54" t="n">
        <x:v>0.16841</x:v>
      </x:c>
      <x:c r="L726" s="54" t="n">
        <x:v>0.3372</x:v>
      </x:c>
      <x:c r="M726" s="54" t="n">
        <x:v>0.83964</x:v>
      </x:c>
      <x:c r="N726" s="56" t="n">
        <x:v>15.52</x:v>
      </x:c>
      <x:c r="O726" s="56" t="n">
        <x:v>3.09</x:v>
      </x:c>
      <x:c r="P726" s="56" t="n">
        <x:v>2.26</x:v>
      </x:c>
      <x:c r="Q726" s="56" t="n">
        <x:v>91.7</x:v>
      </x:c>
      <x:c r="R726" t="str">
        <x:v>X</x:v>
      </x:c>
      <x:c r="S726" s="102" t="n">
        <x:v>100</x:v>
      </x:c>
      <x:c r="T726" t="str">
        <x:v>VALID</x:v>
      </x:c>
      <x:c r="U726" t="n">
        <x:v>2970</x:v>
      </x:c>
      <x:c r="V726" t="str">
        <x:v>Pasted text(56).txt</x:v>
      </x:c>
    </x:row>
    <x:row r="727">
      <x:c r="A727" t="str">
        <x:v>S08</x:v>
      </x:c>
      <x:c r="B727" t="str">
        <x:v>0.65 five-run validation</x:v>
      </x:c>
      <x:c r="C727" s="54" t="n">
        <x:v>0.65</x:v>
      </x:c>
      <x:c r="D727" t="n">
        <x:v>5</x:v>
      </x:c>
      <x:c r="E727" t="n">
        <x:v>1</x:v>
      </x:c>
      <x:c r="F727" t="str">
        <x:v>FINAL</x:v>
      </x:c>
      <x:c r="G727" t="n">
        <x:v>1</x:v>
      </x:c>
      <x:c r="H727" s="54" t="n">
        <x:v>7.5</x:v>
      </x:c>
      <x:c r="I727" s="54" t="n">
        <x:v>0.62103</x:v>
      </x:c>
      <x:c r="J727" s="54" t="n">
        <x:v>0.62311</x:v>
      </x:c>
      <x:c r="K727" s="54" t="n">
        <x:v>0.14777</x:v>
      </x:c>
      <x:c r="L727" s="54" t="n">
        <x:v>0.30963</x:v>
      </x:c>
      <x:c r="M727" s="54" t="n">
        <x:v>0.71177</x:v>
      </x:c>
      <x:c r="N727" s="56" t="n">
        <x:v>-4.46</x:v>
      </x:c>
      <x:c r="O727" s="56" t="n">
        <x:v>2.07</x:v>
      </x:c>
      <x:c r="P727" s="56" t="n">
        <x:v>2.81</x:v>
      </x:c>
      <x:c r="Q727" s="56" t="n">
        <x:v>90</x:v>
      </x:c>
      <x:c r="R727" t="str">
        <x:v>X</x:v>
      </x:c>
      <x:c r="S727" s="102" t="n">
        <x:v>100</x:v>
      </x:c>
      <x:c r="T727" t="str">
        <x:v>IN TARGET BAND</x:v>
      </x:c>
      <x:c r="U727" t="n">
        <x:v>2973</x:v>
      </x:c>
      <x:c r="V727" t="str">
        <x:v>Pasted text(56).txt</x:v>
      </x:c>
    </x:row>
    <x:row r="728">
      <x:c r="A728" t="str">
        <x:v>S08</x:v>
      </x:c>
      <x:c r="B728" t="str">
        <x:v>0.65 five-run validation</x:v>
      </x:c>
      <x:c r="C728" s="54" t="n">
        <x:v>0.65</x:v>
      </x:c>
      <x:c r="D728" t="n">
        <x:v>5</x:v>
      </x:c>
      <x:c r="E728" t="n">
        <x:v>1</x:v>
      </x:c>
      <x:c r="F728" t="str">
        <x:v>FINAL</x:v>
      </x:c>
      <x:c r="G728" t="n">
        <x:v>2</x:v>
      </x:c>
      <x:c r="H728" s="54" t="n">
        <x:v>7.5</x:v>
      </x:c>
      <x:c r="I728" s="54" t="n">
        <x:v>0.63293</x:v>
      </x:c>
      <x:c r="J728" s="54" t="n">
        <x:v>0.62932</x:v>
      </x:c>
      <x:c r="K728" s="54" t="n">
        <x:v>0.14947</x:v>
      </x:c>
      <x:c r="L728" s="54" t="n">
        <x:v>0.29973</x:v>
      </x:c>
      <x:c r="M728" s="54" t="n">
        <x:v>0.71332</x:v>
      </x:c>
      <x:c r="N728" s="56" t="n">
        <x:v>-2.63</x:v>
      </x:c>
      <x:c r="O728" s="56" t="n">
        <x:v>0.31</x:v>
      </x:c>
      <x:c r="P728" s="56" t="n">
        <x:v>1.98</x:v>
      </x:c>
      <x:c r="Q728" s="56" t="n">
        <x:v>89.8</x:v>
      </x:c>
      <x:c r="R728" t="str">
        <x:v>X</x:v>
      </x:c>
      <x:c r="S728" s="102" t="n">
        <x:v>100</x:v>
      </x:c>
      <x:c r="T728" t="str">
        <x:v>IN TARGET BAND</x:v>
      </x:c>
      <x:c r="U728" t="n">
        <x:v>2974</x:v>
      </x:c>
      <x:c r="V728" t="str">
        <x:v>Pasted text(56).txt</x:v>
      </x:c>
    </x:row>
    <x:row r="729">
      <x:c r="A729" t="str">
        <x:v>S09</x:v>
      </x:c>
      <x:c r="B729" t="str">
        <x:v>1.15 validated five-run session</x:v>
      </x:c>
      <x:c r="C729" s="54" t="n">
        <x:v>1.15</x:v>
      </x:c>
      <x:c r="D729" t="n">
        <x:v>1</x:v>
      </x:c>
      <x:c r="E729" t="n">
        <x:v>1</x:v>
      </x:c>
      <x:c r="F729" t="str">
        <x:v>SEARCH</x:v>
      </x:c>
      <x:c r="G729" t="n">
        <x:v>1</x:v>
      </x:c>
      <x:c r="H729" s="54" t="n">
        <x:v>1</x:v>
      </x:c>
      <x:c r="I729" s="54" t="n">
        <x:v>0.01083</x:v>
      </x:c>
      <x:c r="J729" s="54" t="n">
        <x:v>0.01222</x:v>
      </x:c>
      <x:c r="K729" s="54" t="n">
        <x:v>0.01292</x:v>
      </x:c>
      <x:c r="L729" s="54" t="n">
        <x:v>0.01459</x:v>
      </x:c>
      <x:c r="M729" s="54" t="n">
        <x:v>0.02477</x:v>
      </x:c>
      <x:c r="N729" s="56" t="n">
        <x:v>-99.06</x:v>
      </x:c>
      <x:c r="O729" s="56" t="n">
        <x:v>32.95</x:v>
      </x:c>
      <x:c r="P729" s="56" t="n">
        <x:v>38.11</x:v>
      </x:c>
      <x:c r="Q729" s="56" t="n">
        <x:v>6.9</x:v>
      </x:c>
      <x:c r="R729" t="str">
        <x:v>Z</x:v>
      </x:c>
      <x:c r="S729" s="102" t="n">
        <x:v>83.8</x:v>
      </x:c>
      <x:c r="T729" t="str">
        <x:v>BELOW MEASUREMENT FLOOR — SEARCH CONTINUES</x:v>
      </x:c>
      <x:c r="U729" t="n">
        <x:v>3085</x:v>
      </x:c>
      <x:c r="V729" t="str">
        <x:v>Pasted text(56).txt</x:v>
      </x:c>
    </x:row>
    <x:row r="730">
      <x:c r="A730" t="str">
        <x:v>S09</x:v>
      </x:c>
      <x:c r="B730" t="str">
        <x:v>1.15 validated five-run session</x:v>
      </x:c>
      <x:c r="C730" s="54" t="n">
        <x:v>1.15</x:v>
      </x:c>
      <x:c r="D730" t="n">
        <x:v>1</x:v>
      </x:c>
      <x:c r="E730" t="n">
        <x:v>1</x:v>
      </x:c>
      <x:c r="F730" t="str">
        <x:v>SEARCH</x:v>
      </x:c>
      <x:c r="G730" t="n">
        <x:v>2</x:v>
      </x:c>
      <x:c r="H730" s="54" t="n">
        <x:v>3</x:v>
      </x:c>
      <x:c r="I730" s="54" t="n">
        <x:v>0.15514</x:v>
      </x:c>
      <x:c r="J730" s="54" t="n">
        <x:v>0.15365</x:v>
      </x:c>
      <x:c r="K730" s="54" t="n">
        <x:v>0.04608</x:v>
      </x:c>
      <x:c r="L730" s="54" t="n">
        <x:v>0.08169</x:v>
      </x:c>
      <x:c r="M730" s="54" t="n">
        <x:v>0.18073</x:v>
      </x:c>
      <x:c r="N730" s="56" t="n">
        <x:v>-86.51</x:v>
      </x:c>
      <x:c r="O730" s="56" t="n">
        <x:v>12.4</x:v>
      </x:c>
      <x:c r="P730" s="56" t="n">
        <x:v>9.94</x:v>
      </x:c>
      <x:c r="Q730" s="56" t="n">
        <x:v>59</x:v>
      </x:c>
      <x:c r="R730" t="str">
        <x:v>X</x:v>
      </x:c>
      <x:c r="S730" s="102" t="n">
        <x:v>100</x:v>
      </x:c>
      <x:c r="T730" t="str">
        <x:v>VALID</x:v>
      </x:c>
      <x:c r="U730" t="n">
        <x:v>3086</x:v>
      </x:c>
      <x:c r="V730" t="str">
        <x:v>Pasted text(56).txt</x:v>
      </x:c>
    </x:row>
    <x:row r="731">
      <x:c r="A731" t="str">
        <x:v>S09</x:v>
      </x:c>
      <x:c r="B731" t="str">
        <x:v>1.15 validated five-run session</x:v>
      </x:c>
      <x:c r="C731" s="54" t="n">
        <x:v>1.15</x:v>
      </x:c>
      <x:c r="D731" t="n">
        <x:v>1</x:v>
      </x:c>
      <x:c r="E731" t="n">
        <x:v>1</x:v>
      </x:c>
      <x:c r="F731" t="str">
        <x:v>SEARCH</x:v>
      </x:c>
      <x:c r="G731" t="n">
        <x:v>3</x:v>
      </x:c>
      <x:c r="H731" s="54" t="n">
        <x:v>5</x:v>
      </x:c>
      <x:c r="I731" s="54" t="n">
        <x:v>0.34905</x:v>
      </x:c>
      <x:c r="J731" s="54" t="n">
        <x:v>0.35026</x:v>
      </x:c>
      <x:c r="K731" s="54" t="n">
        <x:v>0.0888</x:v>
      </x:c>
      <x:c r="L731" s="54" t="n">
        <x:v>0.20873</x:v>
      </x:c>
      <x:c r="M731" s="54" t="n">
        <x:v>0.41769</x:v>
      </x:c>
      <x:c r="N731" s="56" t="n">
        <x:v>-69.65</x:v>
      </x:c>
      <x:c r="O731" s="56" t="n">
        <x:v>5</x:v>
      </x:c>
      <x:c r="P731" s="56" t="n">
        <x:v>3.89</x:v>
      </x:c>
      <x:c r="Q731" s="56" t="n">
        <x:v>80.5</x:v>
      </x:c>
      <x:c r="R731" t="str">
        <x:v>X</x:v>
      </x:c>
      <x:c r="S731" s="102" t="n">
        <x:v>100</x:v>
      </x:c>
      <x:c r="T731" t="str">
        <x:v>VALID</x:v>
      </x:c>
      <x:c r="U731" t="n">
        <x:v>3087</x:v>
      </x:c>
      <x:c r="V731" t="str">
        <x:v>Pasted text(56).txt</x:v>
      </x:c>
    </x:row>
    <x:row r="732">
      <x:c r="A732" t="str">
        <x:v>S09</x:v>
      </x:c>
      <x:c r="B732" t="str">
        <x:v>1.15 validated five-run session</x:v>
      </x:c>
      <x:c r="C732" s="54" t="n">
        <x:v>1.15</x:v>
      </x:c>
      <x:c r="D732" t="n">
        <x:v>1</x:v>
      </x:c>
      <x:c r="E732" t="n">
        <x:v>1</x:v>
      </x:c>
      <x:c r="F732" t="str">
        <x:v>SEARCH</x:v>
      </x:c>
      <x:c r="G732" t="n">
        <x:v>4</x:v>
      </x:c>
      <x:c r="H732" s="54" t="n">
        <x:v>6</x:v>
      </x:c>
      <x:c r="I732" s="54" t="n">
        <x:v>0.48051</x:v>
      </x:c>
      <x:c r="J732" s="54" t="n">
        <x:v>0.48252</x:v>
      </x:c>
      <x:c r="K732" s="54" t="n">
        <x:v>0.11327</x:v>
      </x:c>
      <x:c r="L732" s="54" t="n">
        <x:v>0.25254</x:v>
      </x:c>
      <x:c r="M732" s="54" t="n">
        <x:v>0.55663</x:v>
      </x:c>
      <x:c r="N732" s="56" t="n">
        <x:v>-58.22</x:v>
      </x:c>
      <x:c r="O732" s="56" t="n">
        <x:v>0.67</x:v>
      </x:c>
      <x:c r="P732" s="56" t="n">
        <x:v>1.13</x:v>
      </x:c>
      <x:c r="Q732" s="56" t="n">
        <x:v>88.3</x:v>
      </x:c>
      <x:c r="R732" t="str">
        <x:v>X</x:v>
      </x:c>
      <x:c r="S732" s="102" t="n">
        <x:v>100</x:v>
      </x:c>
      <x:c r="T732" t="str">
        <x:v>VALID</x:v>
      </x:c>
      <x:c r="U732" t="n">
        <x:v>3088</x:v>
      </x:c>
      <x:c r="V732" t="str">
        <x:v>Pasted text(56).txt</x:v>
      </x:c>
    </x:row>
    <x:row r="733">
      <x:c r="A733" t="str">
        <x:v>S09</x:v>
      </x:c>
      <x:c r="B733" t="str">
        <x:v>1.15 validated five-run session</x:v>
      </x:c>
      <x:c r="C733" s="54" t="n">
        <x:v>1.15</x:v>
      </x:c>
      <x:c r="D733" t="n">
        <x:v>1</x:v>
      </x:c>
      <x:c r="E733" t="n">
        <x:v>1</x:v>
      </x:c>
      <x:c r="F733" t="str">
        <x:v>SEARCH</x:v>
      </x:c>
      <x:c r="G733" t="n">
        <x:v>5</x:v>
      </x:c>
      <x:c r="H733" s="54" t="n">
        <x:v>7</x:v>
      </x:c>
      <x:c r="I733" s="54" t="n">
        <x:v>0.5765</x:v>
      </x:c>
      <x:c r="J733" s="54" t="n">
        <x:v>0.5761</x:v>
      </x:c>
      <x:c r="K733" s="54" t="n">
        <x:v>0.14319</x:v>
      </x:c>
      <x:c r="L733" s="54" t="n">
        <x:v>0.28952</x:v>
      </x:c>
      <x:c r="M733" s="54" t="n">
        <x:v>0.66078</x:v>
      </x:c>
      <x:c r="N733" s="56" t="n">
        <x:v>-49.87</x:v>
      </x:c>
      <x:c r="O733" s="56" t="n">
        <x:v>0.64</x:v>
      </x:c>
      <x:c r="P733" s="56" t="n">
        <x:v>0.54</x:v>
      </x:c>
      <x:c r="Q733" s="56" t="n">
        <x:v>90</x:v>
      </x:c>
      <x:c r="R733" t="str">
        <x:v>X</x:v>
      </x:c>
      <x:c r="S733" s="102" t="n">
        <x:v>100</x:v>
      </x:c>
      <x:c r="T733" t="str">
        <x:v>VALID</x:v>
      </x:c>
      <x:c r="U733" t="n">
        <x:v>3089</x:v>
      </x:c>
      <x:c r="V733" t="str">
        <x:v>Pasted text(56).txt</x:v>
      </x:c>
    </x:row>
    <x:row r="734">
      <x:c r="A734" t="str">
        <x:v>S09</x:v>
      </x:c>
      <x:c r="B734" t="str">
        <x:v>1.15 validated five-run session</x:v>
      </x:c>
      <x:c r="C734" s="54" t="n">
        <x:v>1.15</x:v>
      </x:c>
      <x:c r="D734" t="n">
        <x:v>1</x:v>
      </x:c>
      <x:c r="E734" t="n">
        <x:v>1</x:v>
      </x:c>
      <x:c r="F734" t="str">
        <x:v>SEARCH</x:v>
      </x:c>
      <x:c r="G734" t="n">
        <x:v>6</x:v>
      </x:c>
      <x:c r="H734" s="54" t="n">
        <x:v>8</x:v>
      </x:c>
      <x:c r="I734" s="54" t="n">
        <x:v>0.68464</x:v>
      </x:c>
      <x:c r="J734" s="54" t="n">
        <x:v>0.68653</x:v>
      </x:c>
      <x:c r="K734" s="54" t="n">
        <x:v>0.14703</x:v>
      </x:c>
      <x:c r="L734" s="54" t="n">
        <x:v>0.35133</x:v>
      </x:c>
      <x:c r="M734" s="54" t="n">
        <x:v>0.78602</x:v>
      </x:c>
      <x:c r="N734" s="56" t="n">
        <x:v>-40.47</x:v>
      </x:c>
      <x:c r="O734" s="56" t="n">
        <x:v>6.62</x:v>
      </x:c>
      <x:c r="P734" s="56" t="n">
        <x:v>4.87</x:v>
      </x:c>
      <x:c r="Q734" s="56" t="n">
        <x:v>90.9</x:v>
      </x:c>
      <x:c r="R734" t="str">
        <x:v>X</x:v>
      </x:c>
      <x:c r="S734" s="102" t="n">
        <x:v>100</x:v>
      </x:c>
      <x:c r="T734" t="str">
        <x:v>VALID</x:v>
      </x:c>
      <x:c r="U734" t="n">
        <x:v>3090</x:v>
      </x:c>
      <x:c r="V734" t="str">
        <x:v>Pasted text(56).txt</x:v>
      </x:c>
    </x:row>
    <x:row r="735">
      <x:c r="A735" t="str">
        <x:v>S09</x:v>
      </x:c>
      <x:c r="B735" t="str">
        <x:v>1.15 validated five-run session</x:v>
      </x:c>
      <x:c r="C735" s="54" t="n">
        <x:v>1.15</x:v>
      </x:c>
      <x:c r="D735" t="n">
        <x:v>1</x:v>
      </x:c>
      <x:c r="E735" t="n">
        <x:v>1</x:v>
      </x:c>
      <x:c r="F735" t="str">
        <x:v>SEARCH</x:v>
      </x:c>
      <x:c r="G735" t="n">
        <x:v>7</x:v>
      </x:c>
      <x:c r="H735" s="54" t="n">
        <x:v>9</x:v>
      </x:c>
      <x:c r="I735" s="54" t="n">
        <x:v>0.78679</x:v>
      </x:c>
      <x:c r="J735" s="54" t="n">
        <x:v>0.78517</x:v>
      </x:c>
      <x:c r="K735" s="54" t="n">
        <x:v>0.18289</x:v>
      </x:c>
      <x:c r="L735" s="54" t="n">
        <x:v>0.3781</x:v>
      </x:c>
      <x:c r="M735" s="54" t="n">
        <x:v>0.8905</x:v>
      </x:c>
      <x:c r="N735" s="56" t="n">
        <x:v>-31.58</x:v>
      </x:c>
      <x:c r="O735" s="56" t="n">
        <x:v>0.48</x:v>
      </x:c>
      <x:c r="P735" s="56" t="n">
        <x:v>0.66</x:v>
      </x:c>
      <x:c r="Q735" s="56" t="n">
        <x:v>91.4</x:v>
      </x:c>
      <x:c r="R735" t="str">
        <x:v>X</x:v>
      </x:c>
      <x:c r="S735" s="102" t="n">
        <x:v>100</x:v>
      </x:c>
      <x:c r="T735" t="str">
        <x:v>VALID</x:v>
      </x:c>
      <x:c r="U735" t="n">
        <x:v>3091</x:v>
      </x:c>
      <x:c r="V735" t="str">
        <x:v>Pasted text(56).txt</x:v>
      </x:c>
    </x:row>
    <x:row r="736">
      <x:c r="A736" t="str">
        <x:v>S09</x:v>
      </x:c>
      <x:c r="B736" t="str">
        <x:v>1.15 validated five-run session</x:v>
      </x:c>
      <x:c r="C736" s="54" t="n">
        <x:v>1.15</x:v>
      </x:c>
      <x:c r="D736" t="n">
        <x:v>1</x:v>
      </x:c>
      <x:c r="E736" t="n">
        <x:v>1</x:v>
      </x:c>
      <x:c r="F736" t="str">
        <x:v>SEARCH</x:v>
      </x:c>
      <x:c r="G736" t="n">
        <x:v>8</x:v>
      </x:c>
      <x:c r="H736" s="54" t="n">
        <x:v>9.5</x:v>
      </x:c>
      <x:c r="I736" s="54" t="n">
        <x:v>0.83417</x:v>
      </x:c>
      <x:c r="J736" s="54" t="n">
        <x:v>0.83366</x:v>
      </x:c>
      <x:c r="K736" s="54" t="n">
        <x:v>0.18255</x:v>
      </x:c>
      <x:c r="L736" s="54" t="n">
        <x:v>0.43079</x:v>
      </x:c>
      <x:c r="M736" s="54" t="n">
        <x:v>0.95618</x:v>
      </x:c>
      <x:c r="N736" s="56" t="n">
        <x:v>-27.46</x:v>
      </x:c>
      <x:c r="O736" s="56" t="n">
        <x:v>0.66</x:v>
      </x:c>
      <x:c r="P736" s="56" t="n">
        <x:v>0.54</x:v>
      </x:c>
      <x:c r="Q736" s="56" t="n">
        <x:v>93.4</x:v>
      </x:c>
      <x:c r="R736" t="str">
        <x:v>X</x:v>
      </x:c>
      <x:c r="S736" s="102" t="n">
        <x:v>100</x:v>
      </x:c>
      <x:c r="T736" t="str">
        <x:v>VALID</x:v>
      </x:c>
      <x:c r="U736" t="n">
        <x:v>3092</x:v>
      </x:c>
      <x:c r="V736" t="str">
        <x:v>Pasted text(56).txt</x:v>
      </x:c>
    </x:row>
    <x:row r="737">
      <x:c r="A737" t="str">
        <x:v>S09</x:v>
      </x:c>
      <x:c r="B737" t="str">
        <x:v>1.15 validated five-run session</x:v>
      </x:c>
      <x:c r="C737" s="54" t="n">
        <x:v>1.15</x:v>
      </x:c>
      <x:c r="D737" t="n">
        <x:v>1</x:v>
      </x:c>
      <x:c r="E737" t="n">
        <x:v>1</x:v>
      </x:c>
      <x:c r="F737" t="str">
        <x:v>SEARCH</x:v>
      </x:c>
      <x:c r="G737" t="n">
        <x:v>9</x:v>
      </x:c>
      <x:c r="H737" s="54" t="n">
        <x:v>10</x:v>
      </x:c>
      <x:c r="I737" s="54" t="n">
        <x:v>0.8992</x:v>
      </x:c>
      <x:c r="J737" s="54" t="n">
        <x:v>0.90693</x:v>
      </x:c>
      <x:c r="K737" s="54" t="n">
        <x:v>0.19804</x:v>
      </x:c>
      <x:c r="L737" s="54" t="n">
        <x:v>0.42525</x:v>
      </x:c>
      <x:c r="M737" s="54" t="n">
        <x:v>1.02111</x:v>
      </x:c>
      <x:c r="N737" s="56" t="n">
        <x:v>-21.81</x:v>
      </x:c>
      <x:c r="O737" s="56" t="n">
        <x:v>0.46</x:v>
      </x:c>
      <x:c r="P737" s="56" t="n">
        <x:v>1.75</x:v>
      </x:c>
      <x:c r="Q737" s="56" t="n">
        <x:v>92.9</x:v>
      </x:c>
      <x:c r="R737" t="str">
        <x:v>X</x:v>
      </x:c>
      <x:c r="S737" s="102" t="n">
        <x:v>100</x:v>
      </x:c>
      <x:c r="T737" t="str">
        <x:v>VALID</x:v>
      </x:c>
      <x:c r="U737" t="n">
        <x:v>3093</x:v>
      </x:c>
      <x:c r="V737" t="str">
        <x:v>Pasted text(56).txt</x:v>
      </x:c>
    </x:row>
    <x:row r="738">
      <x:c r="A738" t="str">
        <x:v>S09</x:v>
      </x:c>
      <x:c r="B738" t="str">
        <x:v>1.15 validated five-run session</x:v>
      </x:c>
      <x:c r="C738" s="54" t="n">
        <x:v>1.15</x:v>
      </x:c>
      <x:c r="D738" t="n">
        <x:v>1</x:v>
      </x:c>
      <x:c r="E738" t="n">
        <x:v>1</x:v>
      </x:c>
      <x:c r="F738" t="str">
        <x:v>SEARCH</x:v>
      </x:c>
      <x:c r="G738" t="n">
        <x:v>10</x:v>
      </x:c>
      <x:c r="H738" s="54" t="n">
        <x:v>10.5</x:v>
      </x:c>
      <x:c r="I738" s="54" t="n">
        <x:v>0.94984</x:v>
      </x:c>
      <x:c r="J738" s="54" t="n">
        <x:v>0.9577</x:v>
      </x:c>
      <x:c r="K738" s="54" t="n">
        <x:v>0.243</x:v>
      </x:c>
      <x:c r="L738" s="54" t="n">
        <x:v>0.43841</x:v>
      </x:c>
      <x:c r="M738" s="54" t="n">
        <x:v>1.08105</x:v>
      </x:c>
      <x:c r="N738" s="56" t="n">
        <x:v>-17.41</x:v>
      </x:c>
      <x:c r="O738" s="56" t="n">
        <x:v>0.25</x:v>
      </x:c>
      <x:c r="P738" s="56" t="n">
        <x:v>1.57</x:v>
      </x:c>
      <x:c r="Q738" s="56" t="n">
        <x:v>93.7</x:v>
      </x:c>
      <x:c r="R738" t="str">
        <x:v>X</x:v>
      </x:c>
      <x:c r="S738" s="102" t="n">
        <x:v>100</x:v>
      </x:c>
      <x:c r="T738" t="str">
        <x:v>VALID</x:v>
      </x:c>
      <x:c r="U738" t="n">
        <x:v>3094</x:v>
      </x:c>
      <x:c r="V738" t="str">
        <x:v>Pasted text(56).txt</x:v>
      </x:c>
    </x:row>
    <x:row r="739">
      <x:c r="A739" t="str">
        <x:v>S09</x:v>
      </x:c>
      <x:c r="B739" t="str">
        <x:v>1.15 validated five-run session</x:v>
      </x:c>
      <x:c r="C739" s="54" t="n">
        <x:v>1.15</x:v>
      </x:c>
      <x:c r="D739" t="n">
        <x:v>1</x:v>
      </x:c>
      <x:c r="E739" t="n">
        <x:v>1</x:v>
      </x:c>
      <x:c r="F739" t="str">
        <x:v>SEARCH</x:v>
      </x:c>
      <x:c r="G739" t="n">
        <x:v>11</x:v>
      </x:c>
      <x:c r="H739" s="54" t="n">
        <x:v>11</x:v>
      </x:c>
      <x:c r="I739" s="54" t="n">
        <x:v>0.99105</x:v>
      </x:c>
      <x:c r="J739" s="54" t="n">
        <x:v>0.98846</x:v>
      </x:c>
      <x:c r="K739" s="54" t="n">
        <x:v>0.22879</x:v>
      </x:c>
      <x:c r="L739" s="54" t="n">
        <x:v>0.45912</x:v>
      </x:c>
      <x:c r="M739" s="54" t="n">
        <x:v>1.11369</x:v>
      </x:c>
      <x:c r="N739" s="56" t="n">
        <x:v>-13.82</x:v>
      </x:c>
      <x:c r="O739" s="56" t="n">
        <x:v>0.04</x:v>
      </x:c>
      <x:c r="P739" s="56" t="n">
        <x:v>0.48</x:v>
      </x:c>
      <x:c r="Q739" s="56" t="n">
        <x:v>92.9</x:v>
      </x:c>
      <x:c r="R739" t="str">
        <x:v>X</x:v>
      </x:c>
      <x:c r="S739" s="102" t="n">
        <x:v>100</x:v>
      </x:c>
      <x:c r="T739" t="str">
        <x:v>VALID</x:v>
      </x:c>
      <x:c r="U739" t="n">
        <x:v>3095</x:v>
      </x:c>
      <x:c r="V739" t="str">
        <x:v>Pasted text(56).txt</x:v>
      </x:c>
    </x:row>
    <x:row r="740">
      <x:c r="A740" t="str">
        <x:v>S09</x:v>
      </x:c>
      <x:c r="B740" t="str">
        <x:v>1.15 validated five-run session</x:v>
      </x:c>
      <x:c r="C740" s="54" t="n">
        <x:v>1.15</x:v>
      </x:c>
      <x:c r="D740" t="n">
        <x:v>1</x:v>
      </x:c>
      <x:c r="E740" t="n">
        <x:v>1</x:v>
      </x:c>
      <x:c r="F740" t="str">
        <x:v>SEARCH</x:v>
      </x:c>
      <x:c r="G740" t="n">
        <x:v>12</x:v>
      </x:c>
      <x:c r="H740" s="54" t="n">
        <x:v>11.25</x:v>
      </x:c>
      <x:c r="I740" s="54" t="n">
        <x:v>1.015</x:v>
      </x:c>
      <x:c r="J740" s="54" t="n">
        <x:v>1.01198</x:v>
      </x:c>
      <x:c r="K740" s="54" t="n">
        <x:v>0.24313</x:v>
      </x:c>
      <x:c r="L740" s="54" t="n">
        <x:v>0.49715</x:v>
      </x:c>
      <x:c r="M740" s="54" t="n">
        <x:v>1.1536</x:v>
      </x:c>
      <x:c r="N740" s="56" t="n">
        <x:v>-11.74</x:v>
      </x:c>
      <x:c r="O740" s="56" t="n">
        <x:v>0.87</x:v>
      </x:c>
      <x:c r="P740" s="56" t="n">
        <x:v>1.07</x:v>
      </x:c>
      <x:c r="Q740" s="56" t="n">
        <x:v>92.5</x:v>
      </x:c>
      <x:c r="R740" t="str">
        <x:v>X</x:v>
      </x:c>
      <x:c r="S740" s="102" t="n">
        <x:v>100</x:v>
      </x:c>
      <x:c r="T740" t="str">
        <x:v>VALID</x:v>
      </x:c>
      <x:c r="U740" t="n">
        <x:v>3096</x:v>
      </x:c>
      <x:c r="V740" t="str">
        <x:v>Pasted text(56).txt</x:v>
      </x:c>
    </x:row>
    <x:row r="741">
      <x:c r="A741" t="str">
        <x:v>S09</x:v>
      </x:c>
      <x:c r="B741" t="str">
        <x:v>1.15 validated five-run session</x:v>
      </x:c>
      <x:c r="C741" s="54" t="n">
        <x:v>1.15</x:v>
      </x:c>
      <x:c r="D741" t="n">
        <x:v>1</x:v>
      </x:c>
      <x:c r="E741" t="n">
        <x:v>1</x:v>
      </x:c>
      <x:c r="F741" t="str">
        <x:v>SEARCH</x:v>
      </x:c>
      <x:c r="G741" t="n">
        <x:v>13</x:v>
      </x:c>
      <x:c r="H741" s="54" t="n">
        <x:v>11.5</x:v>
      </x:c>
      <x:c r="I741" s="54" t="n">
        <x:v>1.03779</x:v>
      </x:c>
      <x:c r="J741" s="54" t="n">
        <x:v>1.04087</x:v>
      </x:c>
      <x:c r="K741" s="54" t="n">
        <x:v>0.247</x:v>
      </x:c>
      <x:c r="L741" s="54" t="n">
        <x:v>0.47874</x:v>
      </x:c>
      <x:c r="M741" s="54" t="n">
        <x:v>1.17228</x:v>
      </x:c>
      <x:c r="N741" s="56" t="n">
        <x:v>-9.76</x:v>
      </x:c>
      <x:c r="O741" s="56" t="n">
        <x:v>1.86</x:v>
      </x:c>
      <x:c r="P741" s="56" t="n">
        <x:v>1.71</x:v>
      </x:c>
      <x:c r="Q741" s="56" t="n">
        <x:v>92.7</x:v>
      </x:c>
      <x:c r="R741" t="str">
        <x:v>X</x:v>
      </x:c>
      <x:c r="S741" s="102" t="n">
        <x:v>100</x:v>
      </x:c>
      <x:c r="T741" t="str">
        <x:v>VALID</x:v>
      </x:c>
      <x:c r="U741" t="n">
        <x:v>3097</x:v>
      </x:c>
      <x:c r="V741" t="str">
        <x:v>Pasted text(56).txt</x:v>
      </x:c>
    </x:row>
    <x:row r="742">
      <x:c r="A742" t="str">
        <x:v>S09</x:v>
      </x:c>
      <x:c r="B742" t="str">
        <x:v>1.15 validated five-run session</x:v>
      </x:c>
      <x:c r="C742" s="54" t="n">
        <x:v>1.15</x:v>
      </x:c>
      <x:c r="D742" t="n">
        <x:v>1</x:v>
      </x:c>
      <x:c r="E742" t="n">
        <x:v>1</x:v>
      </x:c>
      <x:c r="F742" t="str">
        <x:v>SEARCH</x:v>
      </x:c>
      <x:c r="G742" t="n">
        <x:v>14</x:v>
      </x:c>
      <x:c r="H742" s="54" t="n">
        <x:v>11.75</x:v>
      </x:c>
      <x:c r="I742" s="54" t="n">
        <x:v>1.05571</x:v>
      </x:c>
      <x:c r="J742" s="54" t="n">
        <x:v>1.05847</x:v>
      </x:c>
      <x:c r="K742" s="54" t="n">
        <x:v>0.25372</x:v>
      </x:c>
      <x:c r="L742" s="54" t="n">
        <x:v>0.50772</x:v>
      </x:c>
      <x:c r="M742" s="54" t="n">
        <x:v>1.2013</x:v>
      </x:c>
      <x:c r="N742" s="56" t="n">
        <x:v>-8.2</x:v>
      </x:c>
      <x:c r="O742" s="56" t="n">
        <x:v>1.33</x:v>
      </x:c>
      <x:c r="P742" s="56" t="n">
        <x:v>1.3</x:v>
      </x:c>
      <x:c r="Q742" s="56" t="n">
        <x:v>92.4</x:v>
      </x:c>
      <x:c r="R742" t="str">
        <x:v>X</x:v>
      </x:c>
      <x:c r="S742" s="102" t="n">
        <x:v>100</x:v>
      </x:c>
      <x:c r="T742" t="str">
        <x:v>VALID</x:v>
      </x:c>
      <x:c r="U742" t="n">
        <x:v>3098</x:v>
      </x:c>
      <x:c r="V742" t="str">
        <x:v>Pasted text(56).txt</x:v>
      </x:c>
    </x:row>
    <x:row r="743">
      <x:c r="A743" t="str">
        <x:v>S09</x:v>
      </x:c>
      <x:c r="B743" t="str">
        <x:v>1.15 validated five-run session</x:v>
      </x:c>
      <x:c r="C743" s="54" t="n">
        <x:v>1.15</x:v>
      </x:c>
      <x:c r="D743" t="n">
        <x:v>1</x:v>
      </x:c>
      <x:c r="E743" t="n">
        <x:v>1</x:v>
      </x:c>
      <x:c r="F743" t="str">
        <x:v>SEARCH</x:v>
      </x:c>
      <x:c r="G743" t="n">
        <x:v>15</x:v>
      </x:c>
      <x:c r="H743" s="54" t="n">
        <x:v>12</x:v>
      </x:c>
      <x:c r="I743" s="54" t="n">
        <x:v>1.10111</x:v>
      </x:c>
      <x:c r="J743" s="54" t="n">
        <x:v>1.10888</x:v>
      </x:c>
      <x:c r="K743" s="54" t="n">
        <x:v>0.25263</x:v>
      </x:c>
      <x:c r="L743" s="54" t="n">
        <x:v>0.49873</x:v>
      </x:c>
      <x:c r="M743" s="54" t="n">
        <x:v>1.2423</x:v>
      </x:c>
      <x:c r="N743" s="56" t="n">
        <x:v>-4.25</x:v>
      </x:c>
      <x:c r="O743" s="56" t="n">
        <x:v>0.28</x:v>
      </x:c>
      <x:c r="P743" s="56" t="n">
        <x:v>1.38</x:v>
      </x:c>
      <x:c r="Q743" s="56" t="n">
        <x:v>92.8</x:v>
      </x:c>
      <x:c r="R743" t="str">
        <x:v>X</x:v>
      </x:c>
      <x:c r="S743" s="102" t="n">
        <x:v>100</x:v>
      </x:c>
      <x:c r="T743" t="str">
        <x:v>IN TARGET BAND</x:v>
      </x:c>
      <x:c r="U743" t="n">
        <x:v>3099</x:v>
      </x:c>
      <x:c r="V743" t="str">
        <x:v>Pasted text(56).txt</x:v>
      </x:c>
    </x:row>
    <x:row r="744">
      <x:c r="A744" t="str">
        <x:v>S09</x:v>
      </x:c>
      <x:c r="B744" t="str">
        <x:v>1.15 validated five-run session</x:v>
      </x:c>
      <x:c r="C744" s="54" t="n">
        <x:v>1.15</x:v>
      </x:c>
      <x:c r="D744" t="n">
        <x:v>1</x:v>
      </x:c>
      <x:c r="E744" t="n">
        <x:v>1</x:v>
      </x:c>
      <x:c r="F744" t="str">
        <x:v>FINE</x:v>
      </x:c>
      <x:c r="G744" t="n">
        <x:v>1</x:v>
      </x:c>
      <x:c r="H744" s="54" t="n">
        <x:v>11</x:v>
      </x:c>
      <x:c r="I744" s="54" t="n">
        <x:v>0.98639</x:v>
      </x:c>
      <x:c r="J744" s="54" t="n">
        <x:v>0.9892</x:v>
      </x:c>
      <x:c r="K744" s="54" t="n">
        <x:v>0.22762</x:v>
      </x:c>
      <x:c r="L744" s="54" t="n">
        <x:v>0.46451</x:v>
      </x:c>
      <x:c r="M744" s="54" t="n">
        <x:v>1.1163</x:v>
      </x:c>
      <x:c r="N744" s="56" t="n">
        <x:v>-14.23</x:v>
      </x:c>
      <x:c r="O744" s="56" t="n">
        <x:v>0.07</x:v>
      </x:c>
      <x:c r="P744" s="56" t="n">
        <x:v>0.53</x:v>
      </x:c>
      <x:c r="Q744" s="56" t="n">
        <x:v>93</x:v>
      </x:c>
      <x:c r="R744" t="str">
        <x:v>X</x:v>
      </x:c>
      <x:c r="S744" s="102" t="n">
        <x:v>100</x:v>
      </x:c>
      <x:c r="T744" t="str">
        <x:v>VALID</x:v>
      </x:c>
      <x:c r="U744" t="n">
        <x:v>3103</x:v>
      </x:c>
      <x:c r="V744" t="str">
        <x:v>Pasted text(56).txt</x:v>
      </x:c>
    </x:row>
    <x:row r="745">
      <x:c r="A745" t="str">
        <x:v>S09</x:v>
      </x:c>
      <x:c r="B745" t="str">
        <x:v>1.15 validated five-run session</x:v>
      </x:c>
      <x:c r="C745" s="54" t="n">
        <x:v>1.15</x:v>
      </x:c>
      <x:c r="D745" t="n">
        <x:v>1</x:v>
      </x:c>
      <x:c r="E745" t="n">
        <x:v>1</x:v>
      </x:c>
      <x:c r="F745" t="str">
        <x:v>FINE</x:v>
      </x:c>
      <x:c r="G745" t="n">
        <x:v>2</x:v>
      </x:c>
      <x:c r="H745" s="54" t="n">
        <x:v>11.25</x:v>
      </x:c>
      <x:c r="I745" s="54" t="n">
        <x:v>1.03876</x:v>
      </x:c>
      <x:c r="J745" s="54" t="n">
        <x:v>1.03753</x:v>
      </x:c>
      <x:c r="K745" s="54" t="n">
        <x:v>0.23833</x:v>
      </x:c>
      <x:c r="L745" s="54" t="n">
        <x:v>0.44318</x:v>
      </x:c>
      <x:c r="M745" s="54" t="n">
        <x:v>1.1534</x:v>
      </x:c>
      <x:c r="N745" s="56" t="n">
        <x:v>-9.67</x:v>
      </x:c>
      <x:c r="O745" s="56" t="n">
        <x:v>0.46</x:v>
      </x:c>
      <x:c r="P745" s="56" t="n">
        <x:v>0.5</x:v>
      </x:c>
      <x:c r="Q745" s="56" t="n">
        <x:v>93.5</x:v>
      </x:c>
      <x:c r="R745" t="str">
        <x:v>X</x:v>
      </x:c>
      <x:c r="S745" s="102" t="n">
        <x:v>100</x:v>
      </x:c>
      <x:c r="T745" t="str">
        <x:v>VALID</x:v>
      </x:c>
      <x:c r="U745" t="n">
        <x:v>3104</x:v>
      </x:c>
      <x:c r="V745" t="str">
        <x:v>Pasted text(56).txt</x:v>
      </x:c>
    </x:row>
    <x:row r="746">
      <x:c r="A746" t="str">
        <x:v>S09</x:v>
      </x:c>
      <x:c r="B746" t="str">
        <x:v>1.15 validated five-run session</x:v>
      </x:c>
      <x:c r="C746" s="54" t="n">
        <x:v>1.15</x:v>
      </x:c>
      <x:c r="D746" t="n">
        <x:v>1</x:v>
      </x:c>
      <x:c r="E746" t="n">
        <x:v>1</x:v>
      </x:c>
      <x:c r="F746" t="str">
        <x:v>FINE</x:v>
      </x:c>
      <x:c r="G746" t="n">
        <x:v>3</x:v>
      </x:c>
      <x:c r="H746" s="54" t="n">
        <x:v>11.5</x:v>
      </x:c>
      <x:c r="I746" s="54" t="n">
        <x:v>1.03625</x:v>
      </x:c>
      <x:c r="J746" s="54" t="n">
        <x:v>1.02931</x:v>
      </x:c>
      <x:c r="K746" s="54" t="n">
        <x:v>0.23112</x:v>
      </x:c>
      <x:c r="L746" s="54" t="n">
        <x:v>0.49119</x:v>
      </x:c>
      <x:c r="M746" s="54" t="n">
        <x:v>1.16414</x:v>
      </x:c>
      <x:c r="N746" s="56" t="n">
        <x:v>-9.89</x:v>
      </x:c>
      <x:c r="O746" s="56" t="n">
        <x:v>1.57</x:v>
      </x:c>
      <x:c r="P746" s="56" t="n">
        <x:v>2.16</x:v>
      </x:c>
      <x:c r="Q746" s="56" t="n">
        <x:v>93.1</x:v>
      </x:c>
      <x:c r="R746" t="str">
        <x:v>X</x:v>
      </x:c>
      <x:c r="S746" s="102" t="n">
        <x:v>100</x:v>
      </x:c>
      <x:c r="T746" t="str">
        <x:v>VALID</x:v>
      </x:c>
      <x:c r="U746" t="n">
        <x:v>3105</x:v>
      </x:c>
      <x:c r="V746" t="str">
        <x:v>Pasted text(56).txt</x:v>
      </x:c>
    </x:row>
    <x:row r="747">
      <x:c r="A747" t="str">
        <x:v>S09</x:v>
      </x:c>
      <x:c r="B747" t="str">
        <x:v>1.15 validated five-run session</x:v>
      </x:c>
      <x:c r="C747" s="54" t="n">
        <x:v>1.15</x:v>
      </x:c>
      <x:c r="D747" t="n">
        <x:v>1</x:v>
      </x:c>
      <x:c r="E747" t="n">
        <x:v>1</x:v>
      </x:c>
      <x:c r="F747" t="str">
        <x:v>FINE</x:v>
      </x:c>
      <x:c r="G747" t="n">
        <x:v>4</x:v>
      </x:c>
      <x:c r="H747" s="54" t="n">
        <x:v>11.75</x:v>
      </x:c>
      <x:c r="I747" s="54" t="n">
        <x:v>1.09383</x:v>
      </x:c>
      <x:c r="J747" s="54" t="n">
        <x:v>1.08283</x:v>
      </x:c>
      <x:c r="K747" s="54" t="n">
        <x:v>0.25022</x:v>
      </x:c>
      <x:c r="L747" s="54" t="n">
        <x:v>0.4839</x:v>
      </x:c>
      <x:c r="M747" s="54" t="n">
        <x:v>1.2123</x:v>
      </x:c>
      <x:c r="N747" s="56" t="n">
        <x:v>-4.88</x:v>
      </x:c>
      <x:c r="O747" s="56" t="n">
        <x:v>0.54</x:v>
      </x:c>
      <x:c r="P747" s="56" t="n">
        <x:v>2.09</x:v>
      </x:c>
      <x:c r="Q747" s="56" t="n">
        <x:v>93.2</x:v>
      </x:c>
      <x:c r="R747" t="str">
        <x:v>X</x:v>
      </x:c>
      <x:c r="S747" s="102" t="n">
        <x:v>100</x:v>
      </x:c>
      <x:c r="T747" t="str">
        <x:v>IN TARGET BAND</x:v>
      </x:c>
      <x:c r="U747" t="n">
        <x:v>3106</x:v>
      </x:c>
      <x:c r="V747" t="str">
        <x:v>Pasted text(56).txt</x:v>
      </x:c>
    </x:row>
    <x:row r="748">
      <x:c r="A748" t="str">
        <x:v>S09</x:v>
      </x:c>
      <x:c r="B748" t="str">
        <x:v>1.15 validated five-run session</x:v>
      </x:c>
      <x:c r="C748" s="54" t="n">
        <x:v>1.15</x:v>
      </x:c>
      <x:c r="D748" t="n">
        <x:v>1</x:v>
      </x:c>
      <x:c r="E748" t="n">
        <x:v>1</x:v>
      </x:c>
      <x:c r="F748" t="str">
        <x:v>FINE</x:v>
      </x:c>
      <x:c r="G748" t="n">
        <x:v>5</x:v>
      </x:c>
      <x:c r="H748" s="54" t="n">
        <x:v>12</x:v>
      </x:c>
      <x:c r="I748" s="54" t="n">
        <x:v>1.10726</x:v>
      </x:c>
      <x:c r="J748" s="54" t="n">
        <x:v>1.10252</x:v>
      </x:c>
      <x:c r="K748" s="54" t="n">
        <x:v>0.24978</x:v>
      </x:c>
      <x:c r="L748" s="54" t="n">
        <x:v>0.48903</x:v>
      </x:c>
      <x:c r="M748" s="54" t="n">
        <x:v>1.23185</x:v>
      </x:c>
      <x:c r="N748" s="56" t="n">
        <x:v>-3.72</x:v>
      </x:c>
      <x:c r="O748" s="56" t="n">
        <x:v>1.76</x:v>
      </x:c>
      <x:c r="P748" s="56" t="n">
        <x:v>1.88</x:v>
      </x:c>
      <x:c r="Q748" s="56" t="n">
        <x:v>93.3</x:v>
      </x:c>
      <x:c r="R748" t="str">
        <x:v>X</x:v>
      </x:c>
      <x:c r="S748" s="102" t="n">
        <x:v>100</x:v>
      </x:c>
      <x:c r="T748" t="str">
        <x:v>IN TARGET BAND</x:v>
      </x:c>
      <x:c r="U748" t="n">
        <x:v>3107</x:v>
      </x:c>
      <x:c r="V748" t="str">
        <x:v>Pasted text(56).txt</x:v>
      </x:c>
    </x:row>
    <x:row r="749">
      <x:c r="A749" t="str">
        <x:v>S09</x:v>
      </x:c>
      <x:c r="B749" t="str">
        <x:v>1.15 validated five-run session</x:v>
      </x:c>
      <x:c r="C749" s="54" t="n">
        <x:v>1.15</x:v>
      </x:c>
      <x:c r="D749" t="n">
        <x:v>1</x:v>
      </x:c>
      <x:c r="E749" t="n">
        <x:v>1</x:v>
      </x:c>
      <x:c r="F749" t="str">
        <x:v>FINE</x:v>
      </x:c>
      <x:c r="G749" t="n">
        <x:v>6</x:v>
      </x:c>
      <x:c r="H749" s="54" t="n">
        <x:v>12.25</x:v>
      </x:c>
      <x:c r="I749" s="54" t="n">
        <x:v>1.12486</x:v>
      </x:c>
      <x:c r="J749" s="54" t="n">
        <x:v>1.12151</x:v>
      </x:c>
      <x:c r="K749" s="54" t="n">
        <x:v>0.25498</x:v>
      </x:c>
      <x:c r="L749" s="54" t="n">
        <x:v>0.51153</x:v>
      </x:c>
      <x:c r="M749" s="54" t="n">
        <x:v>1.25887</x:v>
      </x:c>
      <x:c r="N749" s="56" t="n">
        <x:v>-2.19</x:v>
      </x:c>
      <x:c r="O749" s="56" t="n">
        <x:v>0.25</x:v>
      </x:c>
      <x:c r="P749" s="56" t="n">
        <x:v>0.67</x:v>
      </x:c>
      <x:c r="Q749" s="56" t="n">
        <x:v>93</x:v>
      </x:c>
      <x:c r="R749" t="str">
        <x:v>X</x:v>
      </x:c>
      <x:c r="S749" s="102" t="n">
        <x:v>100</x:v>
      </x:c>
      <x:c r="T749" t="str">
        <x:v>IN TARGET BAND</x:v>
      </x:c>
      <x:c r="U749" t="n">
        <x:v>3108</x:v>
      </x:c>
      <x:c r="V749" t="str">
        <x:v>Pasted text(56).txt</x:v>
      </x:c>
    </x:row>
    <x:row r="750">
      <x:c r="A750" t="str">
        <x:v>S09</x:v>
      </x:c>
      <x:c r="B750" t="str">
        <x:v>1.15 validated five-run session</x:v>
      </x:c>
      <x:c r="C750" s="54" t="n">
        <x:v>1.15</x:v>
      </x:c>
      <x:c r="D750" t="n">
        <x:v>1</x:v>
      </x:c>
      <x:c r="E750" t="n">
        <x:v>1</x:v>
      </x:c>
      <x:c r="F750" t="str">
        <x:v>FINE</x:v>
      </x:c>
      <x:c r="G750" t="n">
        <x:v>7</x:v>
      </x:c>
      <x:c r="H750" s="54" t="n">
        <x:v>12.5</x:v>
      </x:c>
      <x:c r="I750" s="54" t="n">
        <x:v>1.13465</x:v>
      </x:c>
      <x:c r="J750" s="54" t="n">
        <x:v>1.13654</x:v>
      </x:c>
      <x:c r="K750" s="54" t="n">
        <x:v>0.27329</x:v>
      </x:c>
      <x:c r="L750" s="54" t="n">
        <x:v>0.55402</x:v>
      </x:c>
      <x:c r="M750" s="54" t="n">
        <x:v>1.29388</x:v>
      </x:c>
      <x:c r="N750" s="56" t="n">
        <x:v>-1.33</x:v>
      </x:c>
      <x:c r="O750" s="56" t="n">
        <x:v>0.2</x:v>
      </x:c>
      <x:c r="P750" s="56" t="n">
        <x:v>0.41</x:v>
      </x:c>
      <x:c r="Q750" s="56" t="n">
        <x:v>93.2</x:v>
      </x:c>
      <x:c r="R750" t="str">
        <x:v>X</x:v>
      </x:c>
      <x:c r="S750" s="102" t="n">
        <x:v>100</x:v>
      </x:c>
      <x:c r="T750" t="str">
        <x:v>IN TARGET BAND</x:v>
      </x:c>
      <x:c r="U750" t="n">
        <x:v>3109</x:v>
      </x:c>
      <x:c r="V750" t="str">
        <x:v>Pasted text(56).txt</x:v>
      </x:c>
    </x:row>
    <x:row r="751">
      <x:c r="A751" t="str">
        <x:v>S09</x:v>
      </x:c>
      <x:c r="B751" t="str">
        <x:v>1.15 validated five-run session</x:v>
      </x:c>
      <x:c r="C751" s="54" t="n">
        <x:v>1.15</x:v>
      </x:c>
      <x:c r="D751" t="n">
        <x:v>1</x:v>
      </x:c>
      <x:c r="E751" t="n">
        <x:v>1</x:v>
      </x:c>
      <x:c r="F751" t="str">
        <x:v>FINE</x:v>
      </x:c>
      <x:c r="G751" t="n">
        <x:v>8</x:v>
      </x:c>
      <x:c r="H751" s="54" t="n">
        <x:v>12.75</x:v>
      </x:c>
      <x:c r="I751" s="54" t="n">
        <x:v>1.19624</x:v>
      </x:c>
      <x:c r="J751" s="54" t="n">
        <x:v>1.19944</x:v>
      </x:c>
      <x:c r="K751" s="54" t="n">
        <x:v>0.2794</x:v>
      </x:c>
      <x:c r="L751" s="54" t="n">
        <x:v>0.52139</x:v>
      </x:c>
      <x:c r="M751" s="54" t="n">
        <x:v>1.33778</x:v>
      </x:c>
      <x:c r="N751" s="56" t="n">
        <x:v>4.02</x:v>
      </x:c>
      <x:c r="O751" s="56" t="n">
        <x:v>0.06</x:v>
      </x:c>
      <x:c r="P751" s="56" t="n">
        <x:v>0.5</x:v>
      </x:c>
      <x:c r="Q751" s="56" t="n">
        <x:v>93.4</x:v>
      </x:c>
      <x:c r="R751" t="str">
        <x:v>X</x:v>
      </x:c>
      <x:c r="S751" s="102" t="n">
        <x:v>100</x:v>
      </x:c>
      <x:c r="T751" t="str">
        <x:v>IN TARGET BAND</x:v>
      </x:c>
      <x:c r="U751" t="n">
        <x:v>3110</x:v>
      </x:c>
      <x:c r="V751" t="str">
        <x:v>Pasted text(56).txt</x:v>
      </x:c>
    </x:row>
    <x:row r="752">
      <x:c r="A752" t="str">
        <x:v>S09</x:v>
      </x:c>
      <x:c r="B752" t="str">
        <x:v>1.15 validated five-run session</x:v>
      </x:c>
      <x:c r="C752" s="54" t="n">
        <x:v>1.15</x:v>
      </x:c>
      <x:c r="D752" t="n">
        <x:v>1</x:v>
      </x:c>
      <x:c r="E752" t="n">
        <x:v>1</x:v>
      </x:c>
      <x:c r="F752" t="str">
        <x:v>FINE</x:v>
      </x:c>
      <x:c r="G752" t="n">
        <x:v>9</x:v>
      </x:c>
      <x:c r="H752" s="54" t="n">
        <x:v>13</x:v>
      </x:c>
      <x:c r="I752" s="54" t="n">
        <x:v>1.23159</x:v>
      </x:c>
      <x:c r="J752" s="54" t="n">
        <x:v>1.22566</x:v>
      </x:c>
      <x:c r="K752" s="54" t="n">
        <x:v>0.2749</x:v>
      </x:c>
      <x:c r="L752" s="54" t="n">
        <x:v>0.51035</x:v>
      </x:c>
      <x:c r="M752" s="54" t="n">
        <x:v>1.35606</x:v>
      </x:c>
      <x:c r="N752" s="56" t="n">
        <x:v>7.09</x:v>
      </x:c>
      <x:c r="O752" s="56" t="n">
        <x:v>0.39</x:v>
      </x:c>
      <x:c r="P752" s="56" t="n">
        <x:v>1.07</x:v>
      </x:c>
      <x:c r="Q752" s="56" t="n">
        <x:v>94.1</x:v>
      </x:c>
      <x:c r="R752" t="str">
        <x:v>X</x:v>
      </x:c>
      <x:c r="S752" s="102" t="n">
        <x:v>100</x:v>
      </x:c>
      <x:c r="T752" t="str">
        <x:v>IN TARGET BAND</x:v>
      </x:c>
      <x:c r="U752" t="n">
        <x:v>3111</x:v>
      </x:c>
      <x:c r="V752" t="str">
        <x:v>Pasted text(56).txt</x:v>
      </x:c>
    </x:row>
    <x:row r="753">
      <x:c r="A753" t="str">
        <x:v>S09</x:v>
      </x:c>
      <x:c r="B753" t="str">
        <x:v>1.15 validated five-run session</x:v>
      </x:c>
      <x:c r="C753" s="54" t="n">
        <x:v>1.15</x:v>
      </x:c>
      <x:c r="D753" t="n">
        <x:v>1</x:v>
      </x:c>
      <x:c r="E753" t="n">
        <x:v>1</x:v>
      </x:c>
      <x:c r="F753" t="str">
        <x:v>FINAL</x:v>
      </x:c>
      <x:c r="G753" t="n">
        <x:v>1</x:v>
      </x:c>
      <x:c r="H753" s="54" t="n">
        <x:v>12.5</x:v>
      </x:c>
      <x:c r="I753" s="54" t="n">
        <x:v>1.17202</x:v>
      </x:c>
      <x:c r="J753" s="54" t="n">
        <x:v>1.16887</x:v>
      </x:c>
      <x:c r="K753" s="54" t="n">
        <x:v>0.27948</x:v>
      </x:c>
      <x:c r="L753" s="54" t="n">
        <x:v>0.50568</x:v>
      </x:c>
      <x:c r="M753" s="54" t="n">
        <x:v>1.30414</x:v>
      </x:c>
      <x:c r="N753" s="56" t="n">
        <x:v>1.91</x:v>
      </x:c>
      <x:c r="O753" s="56" t="n">
        <x:v>1.08</x:v>
      </x:c>
      <x:c r="P753" s="56" t="n">
        <x:v>0.92</x:v>
      </x:c>
      <x:c r="Q753" s="56" t="n">
        <x:v>93.5</x:v>
      </x:c>
      <x:c r="R753" t="str">
        <x:v>X</x:v>
      </x:c>
      <x:c r="S753" s="102" t="n">
        <x:v>100</x:v>
      </x:c>
      <x:c r="T753" t="str">
        <x:v>IN TARGET BAND</x:v>
      </x:c>
      <x:c r="U753" t="n">
        <x:v>3114</x:v>
      </x:c>
      <x:c r="V753" t="str">
        <x:v>Pasted text(56).txt</x:v>
      </x:c>
    </x:row>
    <x:row r="754">
      <x:c r="A754" t="str">
        <x:v>S09</x:v>
      </x:c>
      <x:c r="B754" t="str">
        <x:v>1.15 validated five-run session</x:v>
      </x:c>
      <x:c r="C754" s="54" t="n">
        <x:v>1.15</x:v>
      </x:c>
      <x:c r="D754" t="n">
        <x:v>1</x:v>
      </x:c>
      <x:c r="E754" t="n">
        <x:v>1</x:v>
      </x:c>
      <x:c r="F754" t="str">
        <x:v>FINAL</x:v>
      </x:c>
      <x:c r="G754" t="n">
        <x:v>2</x:v>
      </x:c>
      <x:c r="H754" s="54" t="n">
        <x:v>12.5</x:v>
      </x:c>
      <x:c r="I754" s="54" t="n">
        <x:v>1.15114</x:v>
      </x:c>
      <x:c r="J754" s="54" t="n">
        <x:v>1.15693</x:v>
      </x:c>
      <x:c r="K754" s="54" t="n">
        <x:v>0.26831</x:v>
      </x:c>
      <x:c r="L754" s="54" t="n">
        <x:v>0.51014</x:v>
      </x:c>
      <x:c r="M754" s="54" t="n">
        <x:v>1.293</x:v>
      </x:c>
      <x:c r="N754" s="56" t="n">
        <x:v>0.1</x:v>
      </x:c>
      <x:c r="O754" s="56" t="n">
        <x:v>1.09</x:v>
      </x:c>
      <x:c r="P754" s="56" t="n">
        <x:v>1.28</x:v>
      </x:c>
      <x:c r="Q754" s="56" t="n">
        <x:v>93.5</x:v>
      </x:c>
      <x:c r="R754" t="str">
        <x:v>X</x:v>
      </x:c>
      <x:c r="S754" s="102" t="n">
        <x:v>100</x:v>
      </x:c>
      <x:c r="T754" t="str">
        <x:v>IN TARGET BAND</x:v>
      </x:c>
      <x:c r="U754" t="n">
        <x:v>3115</x:v>
      </x:c>
      <x:c r="V754" t="str">
        <x:v>Pasted text(56).txt</x:v>
      </x:c>
    </x:row>
    <x:row r="755">
      <x:c r="A755" t="str">
        <x:v>S09</x:v>
      </x:c>
      <x:c r="B755" t="str">
        <x:v>1.15 validated five-run session</x:v>
      </x:c>
      <x:c r="C755" s="54" t="n">
        <x:v>1.15</x:v>
      </x:c>
      <x:c r="D755" t="n">
        <x:v>2</x:v>
      </x:c>
      <x:c r="E755" t="n">
        <x:v>1</x:v>
      </x:c>
      <x:c r="F755" t="str">
        <x:v>SEARCH</x:v>
      </x:c>
      <x:c r="G755" t="n">
        <x:v>1</x:v>
      </x:c>
      <x:c r="H755" s="54" t="n">
        <x:v>1</x:v>
      </x:c>
      <x:c r="I755" s="54" t="n">
        <x:v>0.01446</x:v>
      </x:c>
      <x:c r="J755" s="54" t="n">
        <x:v>0.01407</x:v>
      </x:c>
      <x:c r="K755" s="54" t="n">
        <x:v>0.02182</x:v>
      </x:c>
      <x:c r="L755" s="54" t="n">
        <x:v>0.03129</x:v>
      </x:c>
      <x:c r="M755" s="54" t="n">
        <x:v>0.04186</x:v>
      </x:c>
      <x:c r="N755" s="56" t="n">
        <x:v>-98.74</x:v>
      </x:c>
      <x:c r="O755" s="56" t="n">
        <x:v>7.56</x:v>
      </x:c>
      <x:c r="P755" s="56" t="n">
        <x:v>9.64</x:v>
      </x:c>
      <x:c r="Q755" s="56" t="n">
        <x:v>8.9</x:v>
      </x:c>
      <x:c r="R755" t="str">
        <x:v>Z</x:v>
      </x:c>
      <x:c r="S755" s="102" t="n">
        <x:v>45</x:v>
      </x:c>
      <x:c r="T755" t="str">
        <x:v>BELOW MEASUREMENT FLOOR — SEARCH CONTINUES</x:v>
      </x:c>
      <x:c r="U755" t="n">
        <x:v>3171</x:v>
      </x:c>
      <x:c r="V755" t="str">
        <x:v>Pasted text(56).txt</x:v>
      </x:c>
    </x:row>
    <x:row r="756">
      <x:c r="A756" t="str">
        <x:v>S09</x:v>
      </x:c>
      <x:c r="B756" t="str">
        <x:v>1.15 validated five-run session</x:v>
      </x:c>
      <x:c r="C756" s="54" t="n">
        <x:v>1.15</x:v>
      </x:c>
      <x:c r="D756" t="n">
        <x:v>2</x:v>
      </x:c>
      <x:c r="E756" t="n">
        <x:v>1</x:v>
      </x:c>
      <x:c r="F756" t="str">
        <x:v>SEARCH</x:v>
      </x:c>
      <x:c r="G756" t="n">
        <x:v>2</x:v>
      </x:c>
      <x:c r="H756" s="54" t="n">
        <x:v>3</x:v>
      </x:c>
      <x:c r="I756" s="54" t="n">
        <x:v>0.15012</x:v>
      </x:c>
      <x:c r="J756" s="54" t="n">
        <x:v>0.15016</x:v>
      </x:c>
      <x:c r="K756" s="54" t="n">
        <x:v>0.0522</x:v>
      </x:c>
      <x:c r="L756" s="54" t="n">
        <x:v>0.09733</x:v>
      </x:c>
      <x:c r="M756" s="54" t="n">
        <x:v>0.18685</x:v>
      </x:c>
      <x:c r="N756" s="56" t="n">
        <x:v>-86.95</x:v>
      </x:c>
      <x:c r="O756" s="56" t="n">
        <x:v>12.18</x:v>
      </x:c>
      <x:c r="P756" s="56" t="n">
        <x:v>8.25</x:v>
      </x:c>
      <x:c r="Q756" s="56" t="n">
        <x:v>61.2</x:v>
      </x:c>
      <x:c r="R756" t="str">
        <x:v>X</x:v>
      </x:c>
      <x:c r="S756" s="102" t="n">
        <x:v>100</x:v>
      </x:c>
      <x:c r="T756" t="str">
        <x:v>VALID</x:v>
      </x:c>
      <x:c r="U756" t="n">
        <x:v>3172</x:v>
      </x:c>
      <x:c r="V756" t="str">
        <x:v>Pasted text(56).txt</x:v>
      </x:c>
    </x:row>
    <x:row r="757">
      <x:c r="A757" t="str">
        <x:v>S09</x:v>
      </x:c>
      <x:c r="B757" t="str">
        <x:v>1.15 validated five-run session</x:v>
      </x:c>
      <x:c r="C757" s="54" t="n">
        <x:v>1.15</x:v>
      </x:c>
      <x:c r="D757" t="n">
        <x:v>2</x:v>
      </x:c>
      <x:c r="E757" t="n">
        <x:v>1</x:v>
      </x:c>
      <x:c r="F757" t="str">
        <x:v>SEARCH</x:v>
      </x:c>
      <x:c r="G757" t="n">
        <x:v>3</x:v>
      </x:c>
      <x:c r="H757" s="54" t="n">
        <x:v>5</x:v>
      </x:c>
      <x:c r="I757" s="54" t="n">
        <x:v>0.36317</x:v>
      </x:c>
      <x:c r="J757" s="54" t="n">
        <x:v>0.35501</x:v>
      </x:c>
      <x:c r="K757" s="54" t="n">
        <x:v>0.0974</x:v>
      </x:c>
      <x:c r="L757" s="54" t="n">
        <x:v>0.18616</x:v>
      </x:c>
      <x:c r="M757" s="54" t="n">
        <x:v>0.41265</x:v>
      </x:c>
      <x:c r="N757" s="56" t="n">
        <x:v>-68.42</x:v>
      </x:c>
      <x:c r="O757" s="56" t="n">
        <x:v>3.8</x:v>
      </x:c>
      <x:c r="P757" s="56" t="n">
        <x:v>6.39</x:v>
      </x:c>
      <x:c r="Q757" s="56" t="n">
        <x:v>82.5</x:v>
      </x:c>
      <x:c r="R757" t="str">
        <x:v>X</x:v>
      </x:c>
      <x:c r="S757" s="102" t="n">
        <x:v>100</x:v>
      </x:c>
      <x:c r="T757" t="str">
        <x:v>VALID</x:v>
      </x:c>
      <x:c r="U757" t="n">
        <x:v>3173</x:v>
      </x:c>
      <x:c r="V757" t="str">
        <x:v>Pasted text(56).txt</x:v>
      </x:c>
    </x:row>
    <x:row r="758">
      <x:c r="A758" t="str">
        <x:v>S09</x:v>
      </x:c>
      <x:c r="B758" t="str">
        <x:v>1.15 validated five-run session</x:v>
      </x:c>
      <x:c r="C758" s="54" t="n">
        <x:v>1.15</x:v>
      </x:c>
      <x:c r="D758" t="n">
        <x:v>2</x:v>
      </x:c>
      <x:c r="E758" t="n">
        <x:v>1</x:v>
      </x:c>
      <x:c r="F758" t="str">
        <x:v>SEARCH</x:v>
      </x:c>
      <x:c r="G758" t="n">
        <x:v>4</x:v>
      </x:c>
      <x:c r="H758" s="54" t="n">
        <x:v>6</x:v>
      </x:c>
      <x:c r="I758" s="54" t="n">
        <x:v>0.47099</x:v>
      </x:c>
      <x:c r="J758" s="54" t="n">
        <x:v>0.47566</x:v>
      </x:c>
      <x:c r="K758" s="54" t="n">
        <x:v>0.12211</x:v>
      </x:c>
      <x:c r="L758" s="54" t="n">
        <x:v>0.23107</x:v>
      </x:c>
      <x:c r="M758" s="54" t="n">
        <x:v>0.54281</x:v>
      </x:c>
      <x:c r="N758" s="56" t="n">
        <x:v>-59.04</x:v>
      </x:c>
      <x:c r="O758" s="56" t="n">
        <x:v>1.98</x:v>
      </x:c>
      <x:c r="P758" s="56" t="n">
        <x:v>2.92</x:v>
      </x:c>
      <x:c r="Q758" s="56" t="n">
        <x:v>86.8</x:v>
      </x:c>
      <x:c r="R758" t="str">
        <x:v>X</x:v>
      </x:c>
      <x:c r="S758" s="102" t="n">
        <x:v>100</x:v>
      </x:c>
      <x:c r="T758" t="str">
        <x:v>VALID</x:v>
      </x:c>
      <x:c r="U758" t="n">
        <x:v>3174</x:v>
      </x:c>
      <x:c r="V758" t="str">
        <x:v>Pasted text(56).txt</x:v>
      </x:c>
    </x:row>
    <x:row r="759">
      <x:c r="A759" t="str">
        <x:v>S09</x:v>
      </x:c>
      <x:c r="B759" t="str">
        <x:v>1.15 validated five-run session</x:v>
      </x:c>
      <x:c r="C759" s="54" t="n">
        <x:v>1.15</x:v>
      </x:c>
      <x:c r="D759" t="n">
        <x:v>2</x:v>
      </x:c>
      <x:c r="E759" t="n">
        <x:v>1</x:v>
      </x:c>
      <x:c r="F759" t="str">
        <x:v>SEARCH</x:v>
      </x:c>
      <x:c r="G759" t="n">
        <x:v>5</x:v>
      </x:c>
      <x:c r="H759" s="54" t="n">
        <x:v>7</x:v>
      </x:c>
      <x:c r="I759" s="54" t="n">
        <x:v>0.57494</x:v>
      </x:c>
      <x:c r="J759" s="54" t="n">
        <x:v>0.57115</x:v>
      </x:c>
      <x:c r="K759" s="54" t="n">
        <x:v>0.15342</x:v>
      </x:c>
      <x:c r="L759" s="54" t="n">
        <x:v>0.29718</x:v>
      </x:c>
      <x:c r="M759" s="54" t="n">
        <x:v>0.66211</x:v>
      </x:c>
      <x:c r="N759" s="56" t="n">
        <x:v>-50.01</x:v>
      </x:c>
      <x:c r="O759" s="56" t="n">
        <x:v>4.19</x:v>
      </x:c>
      <x:c r="P759" s="56" t="n">
        <x:v>3.89</x:v>
      </x:c>
      <x:c r="Q759" s="56" t="n">
        <x:v>88.7</x:v>
      </x:c>
      <x:c r="R759" t="str">
        <x:v>X</x:v>
      </x:c>
      <x:c r="S759" s="102" t="n">
        <x:v>100</x:v>
      </x:c>
      <x:c r="T759" t="str">
        <x:v>VALID</x:v>
      </x:c>
      <x:c r="U759" t="n">
        <x:v>3175</x:v>
      </x:c>
      <x:c r="V759" t="str">
        <x:v>Pasted text(56).txt</x:v>
      </x:c>
    </x:row>
    <x:row r="760">
      <x:c r="A760" t="str">
        <x:v>S09</x:v>
      </x:c>
      <x:c r="B760" t="str">
        <x:v>1.15 validated five-run session</x:v>
      </x:c>
      <x:c r="C760" s="54" t="n">
        <x:v>1.15</x:v>
      </x:c>
      <x:c r="D760" t="n">
        <x:v>2</x:v>
      </x:c>
      <x:c r="E760" t="n">
        <x:v>1</x:v>
      </x:c>
      <x:c r="F760" t="str">
        <x:v>SEARCH</x:v>
      </x:c>
      <x:c r="G760" t="n">
        <x:v>6</x:v>
      </x:c>
      <x:c r="H760" s="54" t="n">
        <x:v>8</x:v>
      </x:c>
      <x:c r="I760" s="54" t="n">
        <x:v>0.69929</x:v>
      </x:c>
      <x:c r="J760" s="54" t="n">
        <x:v>0.69923</x:v>
      </x:c>
      <x:c r="K760" s="54" t="n">
        <x:v>0.16806</x:v>
      </x:c>
      <x:c r="L760" s="54" t="n">
        <x:v>0.35282</x:v>
      </x:c>
      <x:c r="M760" s="54" t="n">
        <x:v>0.80116</x:v>
      </x:c>
      <x:c r="N760" s="56" t="n">
        <x:v>-39.19</x:v>
      </x:c>
      <x:c r="O760" s="56" t="n">
        <x:v>3.17</x:v>
      </x:c>
      <x:c r="P760" s="56" t="n">
        <x:v>2.15</x:v>
      </x:c>
      <x:c r="Q760" s="56" t="n">
        <x:v>91.6</x:v>
      </x:c>
      <x:c r="R760" t="str">
        <x:v>X</x:v>
      </x:c>
      <x:c r="S760" s="102" t="n">
        <x:v>100</x:v>
      </x:c>
      <x:c r="T760" t="str">
        <x:v>VALID</x:v>
      </x:c>
      <x:c r="U760" t="n">
        <x:v>3176</x:v>
      </x:c>
      <x:c r="V760" t="str">
        <x:v>Pasted text(56).txt</x:v>
      </x:c>
    </x:row>
    <x:row r="761">
      <x:c r="A761" t="str">
        <x:v>S09</x:v>
      </x:c>
      <x:c r="B761" t="str">
        <x:v>1.15 validated five-run session</x:v>
      </x:c>
      <x:c r="C761" s="54" t="n">
        <x:v>1.15</x:v>
      </x:c>
      <x:c r="D761" t="n">
        <x:v>2</x:v>
      </x:c>
      <x:c r="E761" t="n">
        <x:v>1</x:v>
      </x:c>
      <x:c r="F761" t="str">
        <x:v>SEARCH</x:v>
      </x:c>
      <x:c r="G761" t="n">
        <x:v>7</x:v>
      </x:c>
      <x:c r="H761" s="54" t="n">
        <x:v>8.5</x:v>
      </x:c>
      <x:c r="I761" s="54" t="n">
        <x:v>0.72268</x:v>
      </x:c>
      <x:c r="J761" s="54" t="n">
        <x:v>0.7216</x:v>
      </x:c>
      <x:c r="K761" s="54" t="n">
        <x:v>0.19272</x:v>
      </x:c>
      <x:c r="L761" s="54" t="n">
        <x:v>0.34544</x:v>
      </x:c>
      <x:c r="M761" s="54" t="n">
        <x:v>0.82299</x:v>
      </x:c>
      <x:c r="N761" s="56" t="n">
        <x:v>-37.16</x:v>
      </x:c>
      <x:c r="O761" s="56" t="n">
        <x:v>3.24</x:v>
      </x:c>
      <x:c r="P761" s="56" t="n">
        <x:v>2.42</x:v>
      </x:c>
      <x:c r="Q761" s="56" t="n">
        <x:v>90.2</x:v>
      </x:c>
      <x:c r="R761" t="str">
        <x:v>X</x:v>
      </x:c>
      <x:c r="S761" s="102" t="n">
        <x:v>100</x:v>
      </x:c>
      <x:c r="T761" t="str">
        <x:v>VALID</x:v>
      </x:c>
      <x:c r="U761" t="n">
        <x:v>3177</x:v>
      </x:c>
      <x:c r="V761" t="str">
        <x:v>Pasted text(56).txt</x:v>
      </x:c>
    </x:row>
    <x:row r="762">
      <x:c r="A762" t="str">
        <x:v>S09</x:v>
      </x:c>
      <x:c r="B762" t="str">
        <x:v>1.15 validated five-run session</x:v>
      </x:c>
      <x:c r="C762" s="54" t="n">
        <x:v>1.15</x:v>
      </x:c>
      <x:c r="D762" t="n">
        <x:v>2</x:v>
      </x:c>
      <x:c r="E762" t="n">
        <x:v>1</x:v>
      </x:c>
      <x:c r="F762" t="str">
        <x:v>SEARCH</x:v>
      </x:c>
      <x:c r="G762" t="n">
        <x:v>8</x:v>
      </x:c>
      <x:c r="H762" s="54" t="n">
        <x:v>9</x:v>
      </x:c>
      <x:c r="I762" s="54" t="n">
        <x:v>0.80179</x:v>
      </x:c>
      <x:c r="J762" s="54" t="n">
        <x:v>0.80347</x:v>
      </x:c>
      <x:c r="K762" s="54" t="n">
        <x:v>0.20866</x:v>
      </x:c>
      <x:c r="L762" s="54" t="n">
        <x:v>0.38264</x:v>
      </x:c>
      <x:c r="M762" s="54" t="n">
        <x:v>0.91428</x:v>
      </x:c>
      <x:c r="N762" s="56" t="n">
        <x:v>-30.28</x:v>
      </x:c>
      <x:c r="O762" s="56" t="n">
        <x:v>2.51</x:v>
      </x:c>
      <x:c r="P762" s="56" t="n">
        <x:v>2.01</x:v>
      </x:c>
      <x:c r="Q762" s="56" t="n">
        <x:v>92.2</x:v>
      </x:c>
      <x:c r="R762" t="str">
        <x:v>X</x:v>
      </x:c>
      <x:c r="S762" s="102" t="n">
        <x:v>100</x:v>
      </x:c>
      <x:c r="T762" t="str">
        <x:v>VALID</x:v>
      </x:c>
      <x:c r="U762" t="n">
        <x:v>3178</x:v>
      </x:c>
      <x:c r="V762" t="str">
        <x:v>Pasted text(56).txt</x:v>
      </x:c>
    </x:row>
    <x:row r="763">
      <x:c r="A763" t="str">
        <x:v>S09</x:v>
      </x:c>
      <x:c r="B763" t="str">
        <x:v>1.15 validated five-run session</x:v>
      </x:c>
      <x:c r="C763" s="54" t="n">
        <x:v>1.15</x:v>
      </x:c>
      <x:c r="D763" t="n">
        <x:v>2</x:v>
      </x:c>
      <x:c r="E763" t="n">
        <x:v>1</x:v>
      </x:c>
      <x:c r="F763" t="str">
        <x:v>SEARCH</x:v>
      </x:c>
      <x:c r="G763" t="n">
        <x:v>9</x:v>
      </x:c>
      <x:c r="H763" s="54" t="n">
        <x:v>9.5</x:v>
      </x:c>
      <x:c r="I763" s="54" t="n">
        <x:v>0.82482</x:v>
      </x:c>
      <x:c r="J763" s="54" t="n">
        <x:v>0.82262</x:v>
      </x:c>
      <x:c r="K763" s="54" t="n">
        <x:v>0.19757</x:v>
      </x:c>
      <x:c r="L763" s="54" t="n">
        <x:v>0.39365</x:v>
      </x:c>
      <x:c r="M763" s="54" t="n">
        <x:v>0.93312</x:v>
      </x:c>
      <x:c r="N763" s="56" t="n">
        <x:v>-28.28</x:v>
      </x:c>
      <x:c r="O763" s="56" t="n">
        <x:v>0.08</x:v>
      </x:c>
      <x:c r="P763" s="56" t="n">
        <x:v>0.51</x:v>
      </x:c>
      <x:c r="Q763" s="56" t="n">
        <x:v>92.1</x:v>
      </x:c>
      <x:c r="R763" t="str">
        <x:v>X</x:v>
      </x:c>
      <x:c r="S763" s="102" t="n">
        <x:v>100</x:v>
      </x:c>
      <x:c r="T763" t="str">
        <x:v>VALID</x:v>
      </x:c>
      <x:c r="U763" t="n">
        <x:v>3179</x:v>
      </x:c>
      <x:c r="V763" t="str">
        <x:v>Pasted text(56).txt</x:v>
      </x:c>
    </x:row>
    <x:row r="764">
      <x:c r="A764" t="str">
        <x:v>S09</x:v>
      </x:c>
      <x:c r="B764" t="str">
        <x:v>1.15 validated five-run session</x:v>
      </x:c>
      <x:c r="C764" s="54" t="n">
        <x:v>1.15</x:v>
      </x:c>
      <x:c r="D764" t="n">
        <x:v>2</x:v>
      </x:c>
      <x:c r="E764" t="n">
        <x:v>1</x:v>
      </x:c>
      <x:c r="F764" t="str">
        <x:v>SEARCH</x:v>
      </x:c>
      <x:c r="G764" t="n">
        <x:v>10</x:v>
      </x:c>
      <x:c r="H764" s="54" t="n">
        <x:v>10</x:v>
      </x:c>
      <x:c r="I764" s="54" t="n">
        <x:v>0.91672</x:v>
      </x:c>
      <x:c r="J764" s="54" t="n">
        <x:v>0.91658</x:v>
      </x:c>
      <x:c r="K764" s="54" t="n">
        <x:v>0.23804</x:v>
      </x:c>
      <x:c r="L764" s="54" t="n">
        <x:v>0.43049</x:v>
      </x:c>
      <x:c r="M764" s="54" t="n">
        <x:v>1.0404</x:v>
      </x:c>
      <x:c r="N764" s="56" t="n">
        <x:v>-20.28</x:v>
      </x:c>
      <x:c r="O764" s="56" t="n">
        <x:v>0.17</x:v>
      </x:c>
      <x:c r="P764" s="56" t="n">
        <x:v>0.14</x:v>
      </x:c>
      <x:c r="Q764" s="56" t="n">
        <x:v>92.8</x:v>
      </x:c>
      <x:c r="R764" t="str">
        <x:v>X</x:v>
      </x:c>
      <x:c r="S764" s="102" t="n">
        <x:v>100</x:v>
      </x:c>
      <x:c r="T764" t="str">
        <x:v>VALID</x:v>
      </x:c>
      <x:c r="U764" t="n">
        <x:v>3180</x:v>
      </x:c>
      <x:c r="V764" t="str">
        <x:v>Pasted text(56).txt</x:v>
      </x:c>
    </x:row>
    <x:row r="765">
      <x:c r="A765" t="str">
        <x:v>S09</x:v>
      </x:c>
      <x:c r="B765" t="str">
        <x:v>1.15 validated five-run session</x:v>
      </x:c>
      <x:c r="C765" s="54" t="n">
        <x:v>1.15</x:v>
      </x:c>
      <x:c r="D765" t="n">
        <x:v>2</x:v>
      </x:c>
      <x:c r="E765" t="n">
        <x:v>1</x:v>
      </x:c>
      <x:c r="F765" t="str">
        <x:v>SEARCH</x:v>
      </x:c>
      <x:c r="G765" t="n">
        <x:v>11</x:v>
      </x:c>
      <x:c r="H765" s="54" t="n">
        <x:v>10.5</x:v>
      </x:c>
      <x:c r="I765" s="54" t="n">
        <x:v>0.95565</x:v>
      </x:c>
      <x:c r="J765" s="54" t="n">
        <x:v>0.95442</x:v>
      </x:c>
      <x:c r="K765" s="54" t="n">
        <x:v>0.25035</x:v>
      </x:c>
      <x:c r="L765" s="54" t="n">
        <x:v>0.44263</x:v>
      </x:c>
      <x:c r="M765" s="54" t="n">
        <x:v>1.08151</x:v>
      </x:c>
      <x:c r="N765" s="56" t="n">
        <x:v>-16.9</x:v>
      </x:c>
      <x:c r="O765" s="56" t="n">
        <x:v>0.14</x:v>
      </x:c>
      <x:c r="P765" s="56" t="n">
        <x:v>0.31</x:v>
      </x:c>
      <x:c r="Q765" s="56" t="n">
        <x:v>93.1</x:v>
      </x:c>
      <x:c r="R765" t="str">
        <x:v>X</x:v>
      </x:c>
      <x:c r="S765" s="102" t="n">
        <x:v>100</x:v>
      </x:c>
      <x:c r="T765" t="str">
        <x:v>VALID</x:v>
      </x:c>
      <x:c r="U765" t="n">
        <x:v>3181</x:v>
      </x:c>
      <x:c r="V765" t="str">
        <x:v>Pasted text(56).txt</x:v>
      </x:c>
    </x:row>
    <x:row r="766">
      <x:c r="A766" t="str">
        <x:v>S09</x:v>
      </x:c>
      <x:c r="B766" t="str">
        <x:v>1.15 validated five-run session</x:v>
      </x:c>
      <x:c r="C766" s="54" t="n">
        <x:v>1.15</x:v>
      </x:c>
      <x:c r="D766" t="n">
        <x:v>2</x:v>
      </x:c>
      <x:c r="E766" t="n">
        <x:v>1</x:v>
      </x:c>
      <x:c r="F766" t="str">
        <x:v>SEARCH</x:v>
      </x:c>
      <x:c r="G766" t="n">
        <x:v>12</x:v>
      </x:c>
      <x:c r="H766" s="54" t="n">
        <x:v>11</x:v>
      </x:c>
      <x:c r="I766" s="54" t="n">
        <x:v>1.02052</x:v>
      </x:c>
      <x:c r="J766" s="54" t="n">
        <x:v>1.0237</x:v>
      </x:c>
      <x:c r="K766" s="54" t="n">
        <x:v>0.24162</x:v>
      </x:c>
      <x:c r="L766" s="54" t="n">
        <x:v>0.45931</x:v>
      </x:c>
      <x:c r="M766" s="54" t="n">
        <x:v>1.14791</x:v>
      </x:c>
      <x:c r="N766" s="56" t="n">
        <x:v>-11.26</x:v>
      </x:c>
      <x:c r="O766" s="56" t="n">
        <x:v>2.12</x:v>
      </x:c>
      <x:c r="P766" s="56" t="n">
        <x:v>1.91</x:v>
      </x:c>
      <x:c r="Q766" s="56" t="n">
        <x:v>92.9</x:v>
      </x:c>
      <x:c r="R766" t="str">
        <x:v>X</x:v>
      </x:c>
      <x:c r="S766" s="102" t="n">
        <x:v>100</x:v>
      </x:c>
      <x:c r="T766" t="str">
        <x:v>VALID</x:v>
      </x:c>
      <x:c r="U766" t="n">
        <x:v>3182</x:v>
      </x:c>
      <x:c r="V766" t="str">
        <x:v>Pasted text(56).txt</x:v>
      </x:c>
    </x:row>
    <x:row r="767">
      <x:c r="A767" t="str">
        <x:v>S09</x:v>
      </x:c>
      <x:c r="B767" t="str">
        <x:v>1.15 validated five-run session</x:v>
      </x:c>
      <x:c r="C767" s="54" t="n">
        <x:v>1.15</x:v>
      </x:c>
      <x:c r="D767" t="n">
        <x:v>2</x:v>
      </x:c>
      <x:c r="E767" t="n">
        <x:v>1</x:v>
      </x:c>
      <x:c r="F767" t="str">
        <x:v>SEARCH</x:v>
      </x:c>
      <x:c r="G767" t="n">
        <x:v>13</x:v>
      </x:c>
      <x:c r="H767" s="54" t="n">
        <x:v>11.25</x:v>
      </x:c>
      <x:c r="I767" s="54" t="n">
        <x:v>1.04092</x:v>
      </x:c>
      <x:c r="J767" s="54" t="n">
        <x:v>1.04068</x:v>
      </x:c>
      <x:c r="K767" s="54" t="n">
        <x:v>0.25045</x:v>
      </x:c>
      <x:c r="L767" s="54" t="n">
        <x:v>0.47431</x:v>
      </x:c>
      <x:c r="M767" s="54" t="n">
        <x:v>1.17116</x:v>
      </x:c>
      <x:c r="N767" s="56" t="n">
        <x:v>-9.49</x:v>
      </x:c>
      <x:c r="O767" s="56" t="n">
        <x:v>0.43</x:v>
      </x:c>
      <x:c r="P767" s="56" t="n">
        <x:v>0.33</x:v>
      </x:c>
      <x:c r="Q767" s="56" t="n">
        <x:v>92.5</x:v>
      </x:c>
      <x:c r="R767" t="str">
        <x:v>X</x:v>
      </x:c>
      <x:c r="S767" s="102" t="n">
        <x:v>100</x:v>
      </x:c>
      <x:c r="T767" t="str">
        <x:v>VALID</x:v>
      </x:c>
      <x:c r="U767" t="n">
        <x:v>3183</x:v>
      </x:c>
      <x:c r="V767" t="str">
        <x:v>Pasted text(56).txt</x:v>
      </x:c>
    </x:row>
    <x:row r="768">
      <x:c r="A768" t="str">
        <x:v>S09</x:v>
      </x:c>
      <x:c r="B768" t="str">
        <x:v>1.15 validated five-run session</x:v>
      </x:c>
      <x:c r="C768" s="54" t="n">
        <x:v>1.15</x:v>
      </x:c>
      <x:c r="D768" t="n">
        <x:v>2</x:v>
      </x:c>
      <x:c r="E768" t="n">
        <x:v>1</x:v>
      </x:c>
      <x:c r="F768" t="str">
        <x:v>SEARCH</x:v>
      </x:c>
      <x:c r="G768" t="n">
        <x:v>14</x:v>
      </x:c>
      <x:c r="H768" s="54" t="n">
        <x:v>11.5</x:v>
      </x:c>
      <x:c r="I768" s="54" t="n">
        <x:v>1.08119</x:v>
      </x:c>
      <x:c r="J768" s="54" t="n">
        <x:v>1.07585</x:v>
      </x:c>
      <x:c r="K768" s="54" t="n">
        <x:v>0.27175</x:v>
      </x:c>
      <x:c r="L768" s="54" t="n">
        <x:v>0.4499</x:v>
      </x:c>
      <x:c r="M768" s="54" t="n">
        <x:v>1.19795</x:v>
      </x:c>
      <x:c r="N768" s="56" t="n">
        <x:v>-5.98</x:v>
      </x:c>
      <x:c r="O768" s="56" t="n">
        <x:v>0.27</x:v>
      </x:c>
      <x:c r="P768" s="56" t="n">
        <x:v>1.02</x:v>
      </x:c>
      <x:c r="Q768" s="56" t="n">
        <x:v>92.8</x:v>
      </x:c>
      <x:c r="R768" t="str">
        <x:v>X</x:v>
      </x:c>
      <x:c r="S768" s="102" t="n">
        <x:v>100</x:v>
      </x:c>
      <x:c r="T768" t="str">
        <x:v>IN TARGET BAND</x:v>
      </x:c>
      <x:c r="U768" t="n">
        <x:v>3184</x:v>
      </x:c>
      <x:c r="V768" t="str">
        <x:v>Pasted text(56).txt</x:v>
      </x:c>
    </x:row>
    <x:row r="769">
      <x:c r="A769" t="str">
        <x:v>S09</x:v>
      </x:c>
      <x:c r="B769" t="str">
        <x:v>1.15 validated five-run session</x:v>
      </x:c>
      <x:c r="C769" s="54" t="n">
        <x:v>1.15</x:v>
      </x:c>
      <x:c r="D769" t="n">
        <x:v>2</x:v>
      </x:c>
      <x:c r="E769" t="n">
        <x:v>1</x:v>
      </x:c>
      <x:c r="F769" t="str">
        <x:v>FINE</x:v>
      </x:c>
      <x:c r="G769" t="n">
        <x:v>1</x:v>
      </x:c>
      <x:c r="H769" s="54" t="n">
        <x:v>10.5</x:v>
      </x:c>
      <x:c r="I769" s="54" t="n">
        <x:v>0.96146</x:v>
      </x:c>
      <x:c r="J769" s="54" t="n">
        <x:v>0.96021</x:v>
      </x:c>
      <x:c r="K769" s="54" t="n">
        <x:v>0.23831</x:v>
      </x:c>
      <x:c r="L769" s="54" t="n">
        <x:v>0.40299</x:v>
      </x:c>
      <x:c r="M769" s="54" t="n">
        <x:v>1.06871</x:v>
      </x:c>
      <x:c r="N769" s="56" t="n">
        <x:v>-16.39</x:v>
      </x:c>
      <x:c r="O769" s="56" t="n">
        <x:v>2.22</x:v>
      </x:c>
      <x:c r="P769" s="56" t="n">
        <x:v>1.7</x:v>
      </x:c>
      <x:c r="Q769" s="56" t="n">
        <x:v>93.6</x:v>
      </x:c>
      <x:c r="R769" t="str">
        <x:v>X</x:v>
      </x:c>
      <x:c r="S769" s="102" t="n">
        <x:v>100</x:v>
      </x:c>
      <x:c r="T769" t="str">
        <x:v>VALID</x:v>
      </x:c>
      <x:c r="U769" t="n">
        <x:v>3188</x:v>
      </x:c>
      <x:c r="V769" t="str">
        <x:v>Pasted text(56).txt</x:v>
      </x:c>
    </x:row>
    <x:row r="770">
      <x:c r="A770" t="str">
        <x:v>S09</x:v>
      </x:c>
      <x:c r="B770" t="str">
        <x:v>1.15 validated five-run session</x:v>
      </x:c>
      <x:c r="C770" s="54" t="n">
        <x:v>1.15</x:v>
      </x:c>
      <x:c r="D770" t="n">
        <x:v>2</x:v>
      </x:c>
      <x:c r="E770" t="n">
        <x:v>1</x:v>
      </x:c>
      <x:c r="F770" t="str">
        <x:v>FINE</x:v>
      </x:c>
      <x:c r="G770" t="n">
        <x:v>2</x:v>
      </x:c>
      <x:c r="H770" s="54" t="n">
        <x:v>10.75</x:v>
      </x:c>
      <x:c r="I770" s="54" t="n">
        <x:v>1.00687</x:v>
      </x:c>
      <x:c r="J770" s="54" t="n">
        <x:v>1.00666</x:v>
      </x:c>
      <x:c r="K770" s="54" t="n">
        <x:v>0.25016</x:v>
      </x:c>
      <x:c r="L770" s="54" t="n">
        <x:v>0.47941</x:v>
      </x:c>
      <x:c r="M770" s="54" t="n">
        <x:v>1.14276</x:v>
      </x:c>
      <x:c r="N770" s="56" t="n">
        <x:v>-12.45</x:v>
      </x:c>
      <x:c r="O770" s="56" t="n">
        <x:v>0.88</x:v>
      </x:c>
      <x:c r="P770" s="56" t="n">
        <x:v>0.63</x:v>
      </x:c>
      <x:c r="Q770" s="56" t="n">
        <x:v>93.3</x:v>
      </x:c>
      <x:c r="R770" t="str">
        <x:v>X</x:v>
      </x:c>
      <x:c r="S770" s="102" t="n">
        <x:v>100</x:v>
      </x:c>
      <x:c r="T770" t="str">
        <x:v>VALID</x:v>
      </x:c>
      <x:c r="U770" t="n">
        <x:v>3189</x:v>
      </x:c>
      <x:c r="V770" t="str">
        <x:v>Pasted text(56).txt</x:v>
      </x:c>
    </x:row>
    <x:row r="771">
      <x:c r="A771" t="str">
        <x:v>S09</x:v>
      </x:c>
      <x:c r="B771" t="str">
        <x:v>1.15 validated five-run session</x:v>
      </x:c>
      <x:c r="C771" s="54" t="n">
        <x:v>1.15</x:v>
      </x:c>
      <x:c r="D771" t="n">
        <x:v>2</x:v>
      </x:c>
      <x:c r="E771" t="n">
        <x:v>1</x:v>
      </x:c>
      <x:c r="F771" t="str">
        <x:v>FINE</x:v>
      </x:c>
      <x:c r="G771" t="n">
        <x:v>3</x:v>
      </x:c>
      <x:c r="H771" s="54" t="n">
        <x:v>11</x:v>
      </x:c>
      <x:c r="I771" s="54" t="n">
        <x:v>1.03381</x:v>
      </x:c>
      <x:c r="J771" s="54" t="n">
        <x:v>1.02708</x:v>
      </x:c>
      <x:c r="K771" s="54" t="n">
        <x:v>0.25353</x:v>
      </x:c>
      <x:c r="L771" s="54" t="n">
        <x:v>0.46092</x:v>
      </x:c>
      <x:c r="M771" s="54" t="n">
        <x:v>1.154</x:v>
      </x:c>
      <x:c r="N771" s="56" t="n">
        <x:v>-10.1</x:v>
      </x:c>
      <x:c r="O771" s="56" t="n">
        <x:v>0.8</x:v>
      </x:c>
      <x:c r="P771" s="56" t="n">
        <x:v>1.63</x:v>
      </x:c>
      <x:c r="Q771" s="56" t="n">
        <x:v>93.8</x:v>
      </x:c>
      <x:c r="R771" t="str">
        <x:v>X</x:v>
      </x:c>
      <x:c r="S771" s="102" t="n">
        <x:v>100</x:v>
      </x:c>
      <x:c r="T771" t="str">
        <x:v>VALID</x:v>
      </x:c>
      <x:c r="U771" t="n">
        <x:v>3190</x:v>
      </x:c>
      <x:c r="V771" t="str">
        <x:v>Pasted text(56).txt</x:v>
      </x:c>
    </x:row>
    <x:row r="772">
      <x:c r="A772" t="str">
        <x:v>S09</x:v>
      </x:c>
      <x:c r="B772" t="str">
        <x:v>1.15 validated five-run session</x:v>
      </x:c>
      <x:c r="C772" s="54" t="n">
        <x:v>1.15</x:v>
      </x:c>
      <x:c r="D772" t="n">
        <x:v>2</x:v>
      </x:c>
      <x:c r="E772" t="n">
        <x:v>1</x:v>
      </x:c>
      <x:c r="F772" t="str">
        <x:v>FINE</x:v>
      </x:c>
      <x:c r="G772" t="n">
        <x:v>4</x:v>
      </x:c>
      <x:c r="H772" s="54" t="n">
        <x:v>11.25</x:v>
      </x:c>
      <x:c r="I772" s="54" t="n">
        <x:v>1.0611</x:v>
      </x:c>
      <x:c r="J772" s="54" t="n">
        <x:v>1.0579</x:v>
      </x:c>
      <x:c r="K772" s="54" t="n">
        <x:v>0.26902</x:v>
      </x:c>
      <x:c r="L772" s="54" t="n">
        <x:v>0.46498</x:v>
      </x:c>
      <x:c r="M772" s="54" t="n">
        <x:v>1.18664</x:v>
      </x:c>
      <x:c r="N772" s="56" t="n">
        <x:v>-7.73</x:v>
      </x:c>
      <x:c r="O772" s="56" t="n">
        <x:v>1.05</x:v>
      </x:c>
      <x:c r="P772" s="56" t="n">
        <x:v>1.19</x:v>
      </x:c>
      <x:c r="Q772" s="56" t="n">
        <x:v>93.3</x:v>
      </x:c>
      <x:c r="R772" t="str">
        <x:v>X</x:v>
      </x:c>
      <x:c r="S772" s="102" t="n">
        <x:v>100</x:v>
      </x:c>
      <x:c r="T772" t="str">
        <x:v>VALID</x:v>
      </x:c>
      <x:c r="U772" t="n">
        <x:v>3191</x:v>
      </x:c>
      <x:c r="V772" t="str">
        <x:v>Pasted text(56).txt</x:v>
      </x:c>
    </x:row>
    <x:row r="773">
      <x:c r="A773" t="str">
        <x:v>S09</x:v>
      </x:c>
      <x:c r="B773" t="str">
        <x:v>1.15 validated five-run session</x:v>
      </x:c>
      <x:c r="C773" s="54" t="n">
        <x:v>1.15</x:v>
      </x:c>
      <x:c r="D773" t="n">
        <x:v>2</x:v>
      </x:c>
      <x:c r="E773" t="n">
        <x:v>1</x:v>
      </x:c>
      <x:c r="F773" t="str">
        <x:v>FINE</x:v>
      </x:c>
      <x:c r="G773" t="n">
        <x:v>5</x:v>
      </x:c>
      <x:c r="H773" s="54" t="n">
        <x:v>11.5</x:v>
      </x:c>
      <x:c r="I773" s="54" t="n">
        <x:v>1.07953</x:v>
      </x:c>
      <x:c r="J773" s="54" t="n">
        <x:v>1.07757</x:v>
      </x:c>
      <x:c r="K773" s="54" t="n">
        <x:v>0.2757</x:v>
      </x:c>
      <x:c r="L773" s="54" t="n">
        <x:v>0.47528</x:v>
      </x:c>
      <x:c r="M773" s="54" t="n">
        <x:v>1.20999</x:v>
      </x:c>
      <x:c r="N773" s="56" t="n">
        <x:v>-6.13</x:v>
      </x:c>
      <x:c r="O773" s="56" t="n">
        <x:v>0.04</x:v>
      </x:c>
      <x:c r="P773" s="56" t="n">
        <x:v>0.34</x:v>
      </x:c>
      <x:c r="Q773" s="56" t="n">
        <x:v>92.6</x:v>
      </x:c>
      <x:c r="R773" t="str">
        <x:v>X</x:v>
      </x:c>
      <x:c r="S773" s="102" t="n">
        <x:v>100</x:v>
      </x:c>
      <x:c r="T773" t="str">
        <x:v>IN TARGET BAND</x:v>
      </x:c>
      <x:c r="U773" t="n">
        <x:v>3192</x:v>
      </x:c>
      <x:c r="V773" t="str">
        <x:v>Pasted text(56).txt</x:v>
      </x:c>
    </x:row>
    <x:row r="774">
      <x:c r="A774" t="str">
        <x:v>S09</x:v>
      </x:c>
      <x:c r="B774" t="str">
        <x:v>1.15 validated five-run session</x:v>
      </x:c>
      <x:c r="C774" s="54" t="n">
        <x:v>1.15</x:v>
      </x:c>
      <x:c r="D774" t="n">
        <x:v>2</x:v>
      </x:c>
      <x:c r="E774" t="n">
        <x:v>1</x:v>
      </x:c>
      <x:c r="F774" t="str">
        <x:v>FINE</x:v>
      </x:c>
      <x:c r="G774" t="n">
        <x:v>6</x:v>
      </x:c>
      <x:c r="H774" s="54" t="n">
        <x:v>11.75</x:v>
      </x:c>
      <x:c r="I774" s="54" t="n">
        <x:v>1.11093</x:v>
      </x:c>
      <x:c r="J774" s="54" t="n">
        <x:v>1.11177</x:v>
      </x:c>
      <x:c r="K774" s="54" t="n">
        <x:v>0.26691</x:v>
      </x:c>
      <x:c r="L774" s="54" t="n">
        <x:v>0.47501</x:v>
      </x:c>
      <x:c r="M774" s="54" t="n">
        <x:v>1.23853</x:v>
      </x:c>
      <x:c r="N774" s="56" t="n">
        <x:v>-3.4</x:v>
      </x:c>
      <x:c r="O774" s="56" t="n">
        <x:v>0.81</x:v>
      </x:c>
      <x:c r="P774" s="56" t="n">
        <x:v>0.66</x:v>
      </x:c>
      <x:c r="Q774" s="56" t="n">
        <x:v>93.3</x:v>
      </x:c>
      <x:c r="R774" t="str">
        <x:v>X</x:v>
      </x:c>
      <x:c r="S774" s="102" t="n">
        <x:v>100</x:v>
      </x:c>
      <x:c r="T774" t="str">
        <x:v>IN TARGET BAND</x:v>
      </x:c>
      <x:c r="U774" t="n">
        <x:v>3193</x:v>
      </x:c>
      <x:c r="V774" t="str">
        <x:v>Pasted text(56).txt</x:v>
      </x:c>
    </x:row>
    <x:row r="775">
      <x:c r="A775" t="str">
        <x:v>S09</x:v>
      </x:c>
      <x:c r="B775" t="str">
        <x:v>1.15 validated five-run session</x:v>
      </x:c>
      <x:c r="C775" s="54" t="n">
        <x:v>1.15</x:v>
      </x:c>
      <x:c r="D775" t="n">
        <x:v>2</x:v>
      </x:c>
      <x:c r="E775" t="n">
        <x:v>1</x:v>
      </x:c>
      <x:c r="F775" t="str">
        <x:v>FINE</x:v>
      </x:c>
      <x:c r="G775" t="n">
        <x:v>7</x:v>
      </x:c>
      <x:c r="H775" s="54" t="n">
        <x:v>12</x:v>
      </x:c>
      <x:c r="I775" s="54" t="n">
        <x:v>1.12804</x:v>
      </x:c>
      <x:c r="J775" s="54" t="n">
        <x:v>1.12865</x:v>
      </x:c>
      <x:c r="K775" s="54" t="n">
        <x:v>0.26804</x:v>
      </x:c>
      <x:c r="L775" s="54" t="n">
        <x:v>0.50521</x:v>
      </x:c>
      <x:c r="M775" s="54" t="n">
        <x:v>1.26567</x:v>
      </x:c>
      <x:c r="N775" s="56" t="n">
        <x:v>-1.91</x:v>
      </x:c>
      <x:c r="O775" s="56" t="n">
        <x:v>1.56</x:v>
      </x:c>
      <x:c r="P775" s="56" t="n">
        <x:v>1.13</x:v>
      </x:c>
      <x:c r="Q775" s="56" t="n">
        <x:v>93</x:v>
      </x:c>
      <x:c r="R775" t="str">
        <x:v>X</x:v>
      </x:c>
      <x:c r="S775" s="102" t="n">
        <x:v>100</x:v>
      </x:c>
      <x:c r="T775" t="str">
        <x:v>IN TARGET BAND</x:v>
      </x:c>
      <x:c r="U775" t="n">
        <x:v>3194</x:v>
      </x:c>
      <x:c r="V775" t="str">
        <x:v>Pasted text(56).txt</x:v>
      </x:c>
    </x:row>
    <x:row r="776">
      <x:c r="A776" t="str">
        <x:v>S09</x:v>
      </x:c>
      <x:c r="B776" t="str">
        <x:v>1.15 validated five-run session</x:v>
      </x:c>
      <x:c r="C776" s="54" t="n">
        <x:v>1.15</x:v>
      </x:c>
      <x:c r="D776" t="n">
        <x:v>2</x:v>
      </x:c>
      <x:c r="E776" t="n">
        <x:v>1</x:v>
      </x:c>
      <x:c r="F776" t="str">
        <x:v>FINE</x:v>
      </x:c>
      <x:c r="G776" t="n">
        <x:v>8</x:v>
      </x:c>
      <x:c r="H776" s="54" t="n">
        <x:v>12.25</x:v>
      </x:c>
      <x:c r="I776" s="54" t="n">
        <x:v>1.16167</x:v>
      </x:c>
      <x:c r="J776" s="54" t="n">
        <x:v>1.17213</x:v>
      </x:c>
      <x:c r="K776" s="54" t="n">
        <x:v>0.26727</x:v>
      </x:c>
      <x:c r="L776" s="54" t="n">
        <x:v>0.51557</x:v>
      </x:c>
      <x:c r="M776" s="54" t="n">
        <x:v>1.30847</x:v>
      </x:c>
      <x:c r="N776" s="56" t="n">
        <x:v>1.01</x:v>
      </x:c>
      <x:c r="O776" s="56" t="n">
        <x:v>1.31</x:v>
      </x:c>
      <x:c r="P776" s="56" t="n">
        <x:v>2.35</x:v>
      </x:c>
      <x:c r="Q776" s="56" t="n">
        <x:v>94.2</x:v>
      </x:c>
      <x:c r="R776" t="str">
        <x:v>X</x:v>
      </x:c>
      <x:c r="S776" s="102" t="n">
        <x:v>100</x:v>
      </x:c>
      <x:c r="T776" t="str">
        <x:v>IN TARGET BAND</x:v>
      </x:c>
      <x:c r="U776" t="n">
        <x:v>3195</x:v>
      </x:c>
      <x:c r="V776" t="str">
        <x:v>Pasted text(56).txt</x:v>
      </x:c>
    </x:row>
    <x:row r="777">
      <x:c r="A777" t="str">
        <x:v>S09</x:v>
      </x:c>
      <x:c r="B777" t="str">
        <x:v>1.15 validated five-run session</x:v>
      </x:c>
      <x:c r="C777" s="54" t="n">
        <x:v>1.15</x:v>
      </x:c>
      <x:c r="D777" t="n">
        <x:v>2</x:v>
      </x:c>
      <x:c r="E777" t="n">
        <x:v>1</x:v>
      </x:c>
      <x:c r="F777" t="str">
        <x:v>FINE</x:v>
      </x:c>
      <x:c r="G777" t="n">
        <x:v>9</x:v>
      </x:c>
      <x:c r="H777" s="54" t="n">
        <x:v>12.5</x:v>
      </x:c>
      <x:c r="I777" s="54" t="n">
        <x:v>1.18119</x:v>
      </x:c>
      <x:c r="J777" s="54" t="n">
        <x:v>1.18885</x:v>
      </x:c>
      <x:c r="K777" s="54" t="n">
        <x:v>0.29328</x:v>
      </x:c>
      <x:c r="L777" s="54" t="n">
        <x:v>0.51701</x:v>
      </x:c>
      <x:c r="M777" s="54" t="n">
        <x:v>1.32926</x:v>
      </x:c>
      <x:c r="N777" s="56" t="n">
        <x:v>2.71</x:v>
      </x:c>
      <x:c r="O777" s="56" t="n">
        <x:v>0.76</x:v>
      </x:c>
      <x:c r="P777" s="56" t="n">
        <x:v>1.58</x:v>
      </x:c>
      <x:c r="Q777" s="56" t="n">
        <x:v>94</x:v>
      </x:c>
      <x:c r="R777" t="str">
        <x:v>X</x:v>
      </x:c>
      <x:c r="S777" s="102" t="n">
        <x:v>100</x:v>
      </x:c>
      <x:c r="T777" t="str">
        <x:v>IN TARGET BAND</x:v>
      </x:c>
      <x:c r="U777" t="n">
        <x:v>3196</x:v>
      </x:c>
      <x:c r="V777" t="str">
        <x:v>Pasted text(56).txt</x:v>
      </x:c>
    </x:row>
    <x:row r="778">
      <x:c r="A778" t="str">
        <x:v>S09</x:v>
      </x:c>
      <x:c r="B778" t="str">
        <x:v>1.15 validated five-run session</x:v>
      </x:c>
      <x:c r="C778" s="54" t="n">
        <x:v>1.15</x:v>
      </x:c>
      <x:c r="D778" t="n">
        <x:v>2</x:v>
      </x:c>
      <x:c r="E778" t="n">
        <x:v>1</x:v>
      </x:c>
      <x:c r="F778" t="str">
        <x:v>FINAL</x:v>
      </x:c>
      <x:c r="G778" t="n">
        <x:v>1</x:v>
      </x:c>
      <x:c r="H778" s="54" t="n">
        <x:v>12.25</x:v>
      </x:c>
      <x:c r="I778" s="54" t="n">
        <x:v>1.15959</x:v>
      </x:c>
      <x:c r="J778" s="54" t="n">
        <x:v>1.16397</x:v>
      </x:c>
      <x:c r="K778" s="54" t="n">
        <x:v>0.2885</x:v>
      </x:c>
      <x:c r="L778" s="54" t="n">
        <x:v>0.49131</x:v>
      </x:c>
      <x:c r="M778" s="54" t="n">
        <x:v>1.29599</x:v>
      </x:c>
      <x:c r="N778" s="56" t="n">
        <x:v>0.83</x:v>
      </x:c>
      <x:c r="O778" s="56" t="n">
        <x:v>0.71</x:v>
      </x:c>
      <x:c r="P778" s="56" t="n">
        <x:v>1.01</x:v>
      </x:c>
      <x:c r="Q778" s="56" t="n">
        <x:v>93.4</x:v>
      </x:c>
      <x:c r="R778" t="str">
        <x:v>X</x:v>
      </x:c>
      <x:c r="S778" s="102" t="n">
        <x:v>100</x:v>
      </x:c>
      <x:c r="T778" t="str">
        <x:v>IN TARGET BAND</x:v>
      </x:c>
      <x:c r="U778" t="n">
        <x:v>3199</x:v>
      </x:c>
      <x:c r="V778" t="str">
        <x:v>Pasted text(56).txt</x:v>
      </x:c>
    </x:row>
    <x:row r="779">
      <x:c r="A779" t="str">
        <x:v>S09</x:v>
      </x:c>
      <x:c r="B779" t="str">
        <x:v>1.15 validated five-run session</x:v>
      </x:c>
      <x:c r="C779" s="54" t="n">
        <x:v>1.15</x:v>
      </x:c>
      <x:c r="D779" t="n">
        <x:v>2</x:v>
      </x:c>
      <x:c r="E779" t="n">
        <x:v>1</x:v>
      </x:c>
      <x:c r="F779" t="str">
        <x:v>FINAL</x:v>
      </x:c>
      <x:c r="G779" t="n">
        <x:v>2</x:v>
      </x:c>
      <x:c r="H779" s="54" t="n">
        <x:v>12.25</x:v>
      </x:c>
      <x:c r="I779" s="54" t="n">
        <x:v>1.16339</x:v>
      </x:c>
      <x:c r="J779" s="54" t="n">
        <x:v>1.16111</x:v>
      </x:c>
      <x:c r="K779" s="54" t="n">
        <x:v>0.28495</x:v>
      </x:c>
      <x:c r="L779" s="54" t="n">
        <x:v>0.50115</x:v>
      </x:c>
      <x:c r="M779" s="54" t="n">
        <x:v>1.29673</x:v>
      </x:c>
      <x:c r="N779" s="56" t="n">
        <x:v>1.16</x:v>
      </x:c>
      <x:c r="O779" s="56" t="n">
        <x:v>1.79</x:v>
      </x:c>
      <x:c r="P779" s="56" t="n">
        <x:v>1.11</x:v>
      </x:c>
      <x:c r="Q779" s="56" t="n">
        <x:v>93.3</x:v>
      </x:c>
      <x:c r="R779" t="str">
        <x:v>X</x:v>
      </x:c>
      <x:c r="S779" s="102" t="n">
        <x:v>100</x:v>
      </x:c>
      <x:c r="T779" t="str">
        <x:v>IN TARGET BAND</x:v>
      </x:c>
      <x:c r="U779" t="n">
        <x:v>3200</x:v>
      </x:c>
      <x:c r="V779" t="str">
        <x:v>Pasted text(56).txt</x:v>
      </x:c>
    </x:row>
    <x:row r="780">
      <x:c r="A780" t="str">
        <x:v>S09</x:v>
      </x:c>
      <x:c r="B780" t="str">
        <x:v>1.15 validated five-run session</x:v>
      </x:c>
      <x:c r="C780" s="54" t="n">
        <x:v>1.15</x:v>
      </x:c>
      <x:c r="D780" t="n">
        <x:v>3</x:v>
      </x:c>
      <x:c r="E780" t="n">
        <x:v>1</x:v>
      </x:c>
      <x:c r="F780" t="str">
        <x:v>SEARCH</x:v>
      </x:c>
      <x:c r="G780" t="n">
        <x:v>1</x:v>
      </x:c>
      <x:c r="H780" s="54" t="n">
        <x:v>1</x:v>
      </x:c>
      <x:c r="I780" s="54" t="n">
        <x:v>0.01506</x:v>
      </x:c>
      <x:c r="J780" s="54" t="n">
        <x:v>0.01419</x:v>
      </x:c>
      <x:c r="K780" s="54" t="n">
        <x:v>0.00766</x:v>
      </x:c>
      <x:c r="L780" s="54" t="n">
        <x:v>0.03645</x:v>
      </x:c>
      <x:c r="M780" s="54" t="n">
        <x:v>0.04104</x:v>
      </x:c>
      <x:c r="N780" s="56" t="n">
        <x:v>-98.69</x:v>
      </x:c>
      <x:c r="O780" s="56" t="n">
        <x:v>5.55</x:v>
      </x:c>
      <x:c r="P780" s="56" t="n">
        <x:v>14.22</x:v>
      </x:c>
      <x:c r="Q780" s="56" t="n">
        <x:v>8</x:v>
      </x:c>
      <x:c r="R780" t="str">
        <x:v>Z</x:v>
      </x:c>
      <x:c r="S780" s="102" t="n">
        <x:v>38.9</x:v>
      </x:c>
      <x:c r="T780" t="str">
        <x:v>BELOW MEASUREMENT FLOOR — SEARCH CONTINUES</x:v>
      </x:c>
      <x:c r="U780" t="n">
        <x:v>3256</x:v>
      </x:c>
      <x:c r="V780" t="str">
        <x:v>Pasted text(56).txt</x:v>
      </x:c>
    </x:row>
    <x:row r="781">
      <x:c r="A781" t="str">
        <x:v>S09</x:v>
      </x:c>
      <x:c r="B781" t="str">
        <x:v>1.15 validated five-run session</x:v>
      </x:c>
      <x:c r="C781" s="54" t="n">
        <x:v>1.15</x:v>
      </x:c>
      <x:c r="D781" t="n">
        <x:v>3</x:v>
      </x:c>
      <x:c r="E781" t="n">
        <x:v>1</x:v>
      </x:c>
      <x:c r="F781" t="str">
        <x:v>SEARCH</x:v>
      </x:c>
      <x:c r="G781" t="n">
        <x:v>2</x:v>
      </x:c>
      <x:c r="H781" s="54" t="n">
        <x:v>3</x:v>
      </x:c>
      <x:c r="I781" s="54" t="n">
        <x:v>0.14211</x:v>
      </x:c>
      <x:c r="J781" s="54" t="n">
        <x:v>0.14334</x:v>
      </x:c>
      <x:c r="K781" s="54" t="n">
        <x:v>0.052</x:v>
      </x:c>
      <x:c r="L781" s="54" t="n">
        <x:v>0.12344</x:v>
      </x:c>
      <x:c r="M781" s="54" t="n">
        <x:v>0.19759</x:v>
      </x:c>
      <x:c r="N781" s="56" t="n">
        <x:v>-87.64</x:v>
      </x:c>
      <x:c r="O781" s="56" t="n">
        <x:v>2.38</x:v>
      </x:c>
      <x:c r="P781" s="56" t="n">
        <x:v>2.97</x:v>
      </x:c>
      <x:c r="Q781" s="56" t="n">
        <x:v>57.6</x:v>
      </x:c>
      <x:c r="R781" t="str">
        <x:v>X</x:v>
      </x:c>
      <x:c r="S781" s="102" t="n">
        <x:v>100</x:v>
      </x:c>
      <x:c r="T781" t="str">
        <x:v>VALID</x:v>
      </x:c>
      <x:c r="U781" t="n">
        <x:v>3257</x:v>
      </x:c>
      <x:c r="V781" t="str">
        <x:v>Pasted text(56).txt</x:v>
      </x:c>
    </x:row>
    <x:row r="782">
      <x:c r="A782" t="str">
        <x:v>S09</x:v>
      </x:c>
      <x:c r="B782" t="str">
        <x:v>1.15 validated five-run session</x:v>
      </x:c>
      <x:c r="C782" s="54" t="n">
        <x:v>1.15</x:v>
      </x:c>
      <x:c r="D782" t="n">
        <x:v>3</x:v>
      </x:c>
      <x:c r="E782" t="n">
        <x:v>1</x:v>
      </x:c>
      <x:c r="F782" t="str">
        <x:v>SEARCH</x:v>
      </x:c>
      <x:c r="G782" t="n">
        <x:v>3</x:v>
      </x:c>
      <x:c r="H782" s="54" t="n">
        <x:v>5</x:v>
      </x:c>
      <x:c r="I782" s="54" t="n">
        <x:v>0.34889</x:v>
      </x:c>
      <x:c r="J782" s="54" t="n">
        <x:v>0.3518</x:v>
      </x:c>
      <x:c r="K782" s="54" t="n">
        <x:v>0.11131</x:v>
      </x:c>
      <x:c r="L782" s="54" t="n">
        <x:v>0.19849</x:v>
      </x:c>
      <x:c r="M782" s="54" t="n">
        <x:v>0.41935</x:v>
      </x:c>
      <x:c r="N782" s="56" t="n">
        <x:v>-69.66</x:v>
      </x:c>
      <x:c r="O782" s="56" t="n">
        <x:v>1.39</x:v>
      </x:c>
      <x:c r="P782" s="56" t="n">
        <x:v>2.28</x:v>
      </x:c>
      <x:c r="Q782" s="56" t="n">
        <x:v>82.3</x:v>
      </x:c>
      <x:c r="R782" t="str">
        <x:v>X</x:v>
      </x:c>
      <x:c r="S782" s="102" t="n">
        <x:v>100</x:v>
      </x:c>
      <x:c r="T782" t="str">
        <x:v>VALID</x:v>
      </x:c>
      <x:c r="U782" t="n">
        <x:v>3258</x:v>
      </x:c>
      <x:c r="V782" t="str">
        <x:v>Pasted text(56).txt</x:v>
      </x:c>
    </x:row>
    <x:row r="783">
      <x:c r="A783" t="str">
        <x:v>S09</x:v>
      </x:c>
      <x:c r="B783" t="str">
        <x:v>1.15 validated five-run session</x:v>
      </x:c>
      <x:c r="C783" s="54" t="n">
        <x:v>1.15</x:v>
      </x:c>
      <x:c r="D783" t="n">
        <x:v>3</x:v>
      </x:c>
      <x:c r="E783" t="n">
        <x:v>1</x:v>
      </x:c>
      <x:c r="F783" t="str">
        <x:v>SEARCH</x:v>
      </x:c>
      <x:c r="G783" t="n">
        <x:v>4</x:v>
      </x:c>
      <x:c r="H783" s="54" t="n">
        <x:v>6</x:v>
      </x:c>
      <x:c r="I783" s="54" t="n">
        <x:v>0.47043</x:v>
      </x:c>
      <x:c r="J783" s="54" t="n">
        <x:v>0.46727</x:v>
      </x:c>
      <x:c r="K783" s="54" t="n">
        <x:v>0.12549</x:v>
      </x:c>
      <x:c r="L783" s="54" t="n">
        <x:v>0.24595</x:v>
      </x:c>
      <x:c r="M783" s="54" t="n">
        <x:v>0.54311</x:v>
      </x:c>
      <x:c r="N783" s="56" t="n">
        <x:v>-59.09</x:v>
      </x:c>
      <x:c r="O783" s="56" t="n">
        <x:v>1.99</x:v>
      </x:c>
      <x:c r="P783" s="56" t="n">
        <x:v>2.44</x:v>
      </x:c>
      <x:c r="Q783" s="56" t="n">
        <x:v>87.8</x:v>
      </x:c>
      <x:c r="R783" t="str">
        <x:v>X</x:v>
      </x:c>
      <x:c r="S783" s="102" t="n">
        <x:v>100</x:v>
      </x:c>
      <x:c r="T783" t="str">
        <x:v>VALID</x:v>
      </x:c>
      <x:c r="U783" t="n">
        <x:v>3259</x:v>
      </x:c>
      <x:c r="V783" t="str">
        <x:v>Pasted text(56).txt</x:v>
      </x:c>
    </x:row>
    <x:row r="784">
      <x:c r="A784" t="str">
        <x:v>S09</x:v>
      </x:c>
      <x:c r="B784" t="str">
        <x:v>1.15 validated five-run session</x:v>
      </x:c>
      <x:c r="C784" s="54" t="n">
        <x:v>1.15</x:v>
      </x:c>
      <x:c r="D784" t="n">
        <x:v>3</x:v>
      </x:c>
      <x:c r="E784" t="n">
        <x:v>1</x:v>
      </x:c>
      <x:c r="F784" t="str">
        <x:v>SEARCH</x:v>
      </x:c>
      <x:c r="G784" t="n">
        <x:v>5</x:v>
      </x:c>
      <x:c r="H784" s="54" t="n">
        <x:v>7</x:v>
      </x:c>
      <x:c r="I784" s="54" t="n">
        <x:v>0.5746</x:v>
      </x:c>
      <x:c r="J784" s="54" t="n">
        <x:v>0.57729</x:v>
      </x:c>
      <x:c r="K784" s="54" t="n">
        <x:v>0.15189</x:v>
      </x:c>
      <x:c r="L784" s="54" t="n">
        <x:v>0.29648</x:v>
      </x:c>
      <x:c r="M784" s="54" t="n">
        <x:v>0.6666</x:v>
      </x:c>
      <x:c r="N784" s="56" t="n">
        <x:v>-50.03</x:v>
      </x:c>
      <x:c r="O784" s="56" t="n">
        <x:v>2.08</x:v>
      </x:c>
      <x:c r="P784" s="56" t="n">
        <x:v>2.13</x:v>
      </x:c>
      <x:c r="Q784" s="56" t="n">
        <x:v>89.4</x:v>
      </x:c>
      <x:c r="R784" t="str">
        <x:v>X</x:v>
      </x:c>
      <x:c r="S784" s="102" t="n">
        <x:v>100</x:v>
      </x:c>
      <x:c r="T784" t="str">
        <x:v>VALID</x:v>
      </x:c>
      <x:c r="U784" t="n">
        <x:v>3260</x:v>
      </x:c>
      <x:c r="V784" t="str">
        <x:v>Pasted text(56).txt</x:v>
      </x:c>
    </x:row>
    <x:row r="785">
      <x:c r="A785" t="str">
        <x:v>S09</x:v>
      </x:c>
      <x:c r="B785" t="str">
        <x:v>1.15 validated five-run session</x:v>
      </x:c>
      <x:c r="C785" s="54" t="n">
        <x:v>1.15</x:v>
      </x:c>
      <x:c r="D785" t="n">
        <x:v>3</x:v>
      </x:c>
      <x:c r="E785" t="n">
        <x:v>1</x:v>
      </x:c>
      <x:c r="F785" t="str">
        <x:v>SEARCH</x:v>
      </x:c>
      <x:c r="G785" t="n">
        <x:v>6</x:v>
      </x:c>
      <x:c r="H785" s="54" t="n">
        <x:v>8</x:v>
      </x:c>
      <x:c r="I785" s="54" t="n">
        <x:v>0.68305</x:v>
      </x:c>
      <x:c r="J785" s="54" t="n">
        <x:v>0.68133</x:v>
      </x:c>
      <x:c r="K785" s="54" t="n">
        <x:v>0.17057</x:v>
      </x:c>
      <x:c r="L785" s="54" t="n">
        <x:v>0.33774</x:v>
      </x:c>
      <x:c r="M785" s="54" t="n">
        <x:v>0.77954</x:v>
      </x:c>
      <x:c r="N785" s="56" t="n">
        <x:v>-40.6</x:v>
      </x:c>
      <x:c r="O785" s="56" t="n">
        <x:v>2.68</x:v>
      </x:c>
      <x:c r="P785" s="56" t="n">
        <x:v>2.2</x:v>
      </x:c>
      <x:c r="Q785" s="56" t="n">
        <x:v>90.7</x:v>
      </x:c>
      <x:c r="R785" t="str">
        <x:v>X</x:v>
      </x:c>
      <x:c r="S785" s="102" t="n">
        <x:v>100</x:v>
      </x:c>
      <x:c r="T785" t="str">
        <x:v>VALID</x:v>
      </x:c>
      <x:c r="U785" t="n">
        <x:v>3261</x:v>
      </x:c>
      <x:c r="V785" t="str">
        <x:v>Pasted text(56).txt</x:v>
      </x:c>
    </x:row>
    <x:row r="786">
      <x:c r="A786" t="str">
        <x:v>S09</x:v>
      </x:c>
      <x:c r="B786" t="str">
        <x:v>1.15 validated five-run session</x:v>
      </x:c>
      <x:c r="C786" s="54" t="n">
        <x:v>1.15</x:v>
      </x:c>
      <x:c r="D786" t="n">
        <x:v>3</x:v>
      </x:c>
      <x:c r="E786" t="n">
        <x:v>1</x:v>
      </x:c>
      <x:c r="F786" t="str">
        <x:v>SEARCH</x:v>
      </x:c>
      <x:c r="G786" t="n">
        <x:v>7</x:v>
      </x:c>
      <x:c r="H786" s="54" t="n">
        <x:v>9</x:v>
      </x:c>
      <x:c r="I786" s="54" t="n">
        <x:v>0.78529</x:v>
      </x:c>
      <x:c r="J786" s="54" t="n">
        <x:v>0.79482</x:v>
      </x:c>
      <x:c r="K786" s="54" t="n">
        <x:v>0.20346</x:v>
      </x:c>
      <x:c r="L786" s="54" t="n">
        <x:v>0.37497</x:v>
      </x:c>
      <x:c r="M786" s="54" t="n">
        <x:v>0.90229</x:v>
      </x:c>
      <x:c r="N786" s="56" t="n">
        <x:v>-31.71</x:v>
      </x:c>
      <x:c r="O786" s="56" t="n">
        <x:v>1.49</x:v>
      </x:c>
      <x:c r="P786" s="56" t="n">
        <x:v>2.98</x:v>
      </x:c>
      <x:c r="Q786" s="56" t="n">
        <x:v>91.4</x:v>
      </x:c>
      <x:c r="R786" t="str">
        <x:v>X</x:v>
      </x:c>
      <x:c r="S786" s="102" t="n">
        <x:v>100</x:v>
      </x:c>
      <x:c r="T786" t="str">
        <x:v>VALID</x:v>
      </x:c>
      <x:c r="U786" t="n">
        <x:v>3262</x:v>
      </x:c>
      <x:c r="V786" t="str">
        <x:v>Pasted text(56).txt</x:v>
      </x:c>
    </x:row>
    <x:row r="787">
      <x:c r="A787" t="str">
        <x:v>S09</x:v>
      </x:c>
      <x:c r="B787" t="str">
        <x:v>1.15 validated five-run session</x:v>
      </x:c>
      <x:c r="C787" s="54" t="n">
        <x:v>1.15</x:v>
      </x:c>
      <x:c r="D787" t="n">
        <x:v>3</x:v>
      </x:c>
      <x:c r="E787" t="n">
        <x:v>1</x:v>
      </x:c>
      <x:c r="F787" t="str">
        <x:v>SEARCH</x:v>
      </x:c>
      <x:c r="G787" t="n">
        <x:v>8</x:v>
      </x:c>
      <x:c r="H787" s="54" t="n">
        <x:v>9.5</x:v>
      </x:c>
      <x:c r="I787" s="54" t="n">
        <x:v>0.83867</x:v>
      </x:c>
      <x:c r="J787" s="54" t="n">
        <x:v>0.83719</x:v>
      </x:c>
      <x:c r="K787" s="54" t="n">
        <x:v>0.20333</x:v>
      </x:c>
      <x:c r="L787" s="54" t="n">
        <x:v>0.37269</x:v>
      </x:c>
      <x:c r="M787" s="54" t="n">
        <x:v>0.93874</x:v>
      </x:c>
      <x:c r="N787" s="56" t="n">
        <x:v>-27.07</x:v>
      </x:c>
      <x:c r="O787" s="56" t="n">
        <x:v>1.06</x:v>
      </x:c>
      <x:c r="P787" s="56" t="n">
        <x:v>0.99</x:v>
      </x:c>
      <x:c r="Q787" s="56" t="n">
        <x:v>93.3</x:v>
      </x:c>
      <x:c r="R787" t="str">
        <x:v>X</x:v>
      </x:c>
      <x:c r="S787" s="102" t="n">
        <x:v>100</x:v>
      </x:c>
      <x:c r="T787" t="str">
        <x:v>VALID</x:v>
      </x:c>
      <x:c r="U787" t="n">
        <x:v>3263</x:v>
      </x:c>
      <x:c r="V787" t="str">
        <x:v>Pasted text(56).txt</x:v>
      </x:c>
    </x:row>
    <x:row r="788">
      <x:c r="A788" t="str">
        <x:v>S09</x:v>
      </x:c>
      <x:c r="B788" t="str">
        <x:v>1.15 validated five-run session</x:v>
      </x:c>
      <x:c r="C788" s="54" t="n">
        <x:v>1.15</x:v>
      </x:c>
      <x:c r="D788" t="n">
        <x:v>3</x:v>
      </x:c>
      <x:c r="E788" t="n">
        <x:v>1</x:v>
      </x:c>
      <x:c r="F788" t="str">
        <x:v>SEARCH</x:v>
      </x:c>
      <x:c r="G788" t="n">
        <x:v>9</x:v>
      </x:c>
      <x:c r="H788" s="54" t="n">
        <x:v>10</x:v>
      </x:c>
      <x:c r="I788" s="54" t="n">
        <x:v>0.92842</x:v>
      </x:c>
      <x:c r="J788" s="54" t="n">
        <x:v>0.91323</x:v>
      </x:c>
      <x:c r="K788" s="54" t="n">
        <x:v>0.22295</x:v>
      </x:c>
      <x:c r="L788" s="54" t="n">
        <x:v>0.40793</x:v>
      </x:c>
      <x:c r="M788" s="54" t="n">
        <x:v>1.02512</x:v>
      </x:c>
      <x:c r="N788" s="56" t="n">
        <x:v>-19.27</x:v>
      </x:c>
      <x:c r="O788" s="56" t="n">
        <x:v>0.08</x:v>
      </x:c>
      <x:c r="P788" s="56" t="n">
        <x:v>2.93</x:v>
      </x:c>
      <x:c r="Q788" s="56" t="n">
        <x:v>92.4</x:v>
      </x:c>
      <x:c r="R788" t="str">
        <x:v>X</x:v>
      </x:c>
      <x:c r="S788" s="102" t="n">
        <x:v>100</x:v>
      </x:c>
      <x:c r="T788" t="str">
        <x:v>VALID</x:v>
      </x:c>
      <x:c r="U788" t="n">
        <x:v>3264</x:v>
      </x:c>
      <x:c r="V788" t="str">
        <x:v>Pasted text(56).txt</x:v>
      </x:c>
    </x:row>
    <x:row r="789">
      <x:c r="A789" t="str">
        <x:v>S09</x:v>
      </x:c>
      <x:c r="B789" t="str">
        <x:v>1.15 validated five-run session</x:v>
      </x:c>
      <x:c r="C789" s="54" t="n">
        <x:v>1.15</x:v>
      </x:c>
      <x:c r="D789" t="n">
        <x:v>3</x:v>
      </x:c>
      <x:c r="E789" t="n">
        <x:v>1</x:v>
      </x:c>
      <x:c r="F789" t="str">
        <x:v>SEARCH</x:v>
      </x:c>
      <x:c r="G789" t="n">
        <x:v>10</x:v>
      </x:c>
      <x:c r="H789" s="54" t="n">
        <x:v>10.5</x:v>
      </x:c>
      <x:c r="I789" s="54" t="n">
        <x:v>0.94071</x:v>
      </x:c>
      <x:c r="J789" s="54" t="n">
        <x:v>0.94129</x:v>
      </x:c>
      <x:c r="K789" s="54" t="n">
        <x:v>0.23283</x:v>
      </x:c>
      <x:c r="L789" s="54" t="n">
        <x:v>0.43032</x:v>
      </x:c>
      <x:c r="M789" s="54" t="n">
        <x:v>1.06105</x:v>
      </x:c>
      <x:c r="N789" s="56" t="n">
        <x:v>-18.2</x:v>
      </x:c>
      <x:c r="O789" s="56" t="n">
        <x:v>0.97</x:v>
      </x:c>
      <x:c r="P789" s="56" t="n">
        <x:v>0.75</x:v>
      </x:c>
      <x:c r="Q789" s="56" t="n">
        <x:v>93.1</x:v>
      </x:c>
      <x:c r="R789" t="str">
        <x:v>X</x:v>
      </x:c>
      <x:c r="S789" s="102" t="n">
        <x:v>100</x:v>
      </x:c>
      <x:c r="T789" t="str">
        <x:v>VALID</x:v>
      </x:c>
      <x:c r="U789" t="n">
        <x:v>3265</x:v>
      </x:c>
      <x:c r="V789" t="str">
        <x:v>Pasted text(56).txt</x:v>
      </x:c>
    </x:row>
    <x:row r="790">
      <x:c r="A790" t="str">
        <x:v>S09</x:v>
      </x:c>
      <x:c r="B790" t="str">
        <x:v>1.15 validated five-run session</x:v>
      </x:c>
      <x:c r="C790" s="54" t="n">
        <x:v>1.15</x:v>
      </x:c>
      <x:c r="D790" t="n">
        <x:v>3</x:v>
      </x:c>
      <x:c r="E790" t="n">
        <x:v>1</x:v>
      </x:c>
      <x:c r="F790" t="str">
        <x:v>SEARCH</x:v>
      </x:c>
      <x:c r="G790" t="n">
        <x:v>11</x:v>
      </x:c>
      <x:c r="H790" s="54" t="n">
        <x:v>11</x:v>
      </x:c>
      <x:c r="I790" s="54" t="n">
        <x:v>1.02712</x:v>
      </x:c>
      <x:c r="J790" s="54" t="n">
        <x:v>1.02888</x:v>
      </x:c>
      <x:c r="K790" s="54" t="n">
        <x:v>0.26125</x:v>
      </x:c>
      <x:c r="L790" s="54" t="n">
        <x:v>0.45894</x:v>
      </x:c>
      <x:c r="M790" s="54" t="n">
        <x:v>1.15669</x:v>
      </x:c>
      <x:c r="N790" s="56" t="n">
        <x:v>-10.68</x:v>
      </x:c>
      <x:c r="O790" s="56" t="n">
        <x:v>0.51</x:v>
      </x:c>
      <x:c r="P790" s="56" t="n">
        <x:v>0.62</x:v>
      </x:c>
      <x:c r="Q790" s="56" t="n">
        <x:v>93.9</x:v>
      </x:c>
      <x:c r="R790" t="str">
        <x:v>X</x:v>
      </x:c>
      <x:c r="S790" s="102" t="n">
        <x:v>100</x:v>
      </x:c>
      <x:c r="T790" t="str">
        <x:v>VALID</x:v>
      </x:c>
      <x:c r="U790" t="n">
        <x:v>3266</x:v>
      </x:c>
      <x:c r="V790" t="str">
        <x:v>Pasted text(56).txt</x:v>
      </x:c>
    </x:row>
    <x:row r="791">
      <x:c r="A791" t="str">
        <x:v>S09</x:v>
      </x:c>
      <x:c r="B791" t="str">
        <x:v>1.15 validated five-run session</x:v>
      </x:c>
      <x:c r="C791" s="54" t="n">
        <x:v>1.15</x:v>
      </x:c>
      <x:c r="D791" t="n">
        <x:v>3</x:v>
      </x:c>
      <x:c r="E791" t="n">
        <x:v>1</x:v>
      </x:c>
      <x:c r="F791" t="str">
        <x:v>SEARCH</x:v>
      </x:c>
      <x:c r="G791" t="n">
        <x:v>12</x:v>
      </x:c>
      <x:c r="H791" s="54" t="n">
        <x:v>11.25</x:v>
      </x:c>
      <x:c r="I791" s="54" t="n">
        <x:v>1.04697</x:v>
      </x:c>
      <x:c r="J791" s="54" t="n">
        <x:v>1.04444</x:v>
      </x:c>
      <x:c r="K791" s="54" t="n">
        <x:v>0.26326</x:v>
      </x:c>
      <x:c r="L791" s="54" t="n">
        <x:v>0.45715</x:v>
      </x:c>
      <x:c r="M791" s="54" t="n">
        <x:v>1.17023</x:v>
      </x:c>
      <x:c r="N791" s="56" t="n">
        <x:v>-8.96</x:v>
      </x:c>
      <x:c r="O791" s="56" t="n">
        <x:v>1.42</x:v>
      </x:c>
      <x:c r="P791" s="56" t="n">
        <x:v>1.34</x:v>
      </x:c>
      <x:c r="Q791" s="56" t="n">
        <x:v>93.4</x:v>
      </x:c>
      <x:c r="R791" t="str">
        <x:v>X</x:v>
      </x:c>
      <x:c r="S791" s="102" t="n">
        <x:v>100</x:v>
      </x:c>
      <x:c r="T791" t="str">
        <x:v>VALID</x:v>
      </x:c>
      <x:c r="U791" t="n">
        <x:v>3267</x:v>
      </x:c>
      <x:c r="V791" t="str">
        <x:v>Pasted text(56).txt</x:v>
      </x:c>
    </x:row>
    <x:row r="792">
      <x:c r="A792" t="str">
        <x:v>S09</x:v>
      </x:c>
      <x:c r="B792" t="str">
        <x:v>1.15 validated five-run session</x:v>
      </x:c>
      <x:c r="C792" s="54" t="n">
        <x:v>1.15</x:v>
      </x:c>
      <x:c r="D792" t="n">
        <x:v>3</x:v>
      </x:c>
      <x:c r="E792" t="n">
        <x:v>1</x:v>
      </x:c>
      <x:c r="F792" t="str">
        <x:v>SEARCH</x:v>
      </x:c>
      <x:c r="G792" t="n">
        <x:v>13</x:v>
      </x:c>
      <x:c r="H792" s="54" t="n">
        <x:v>11.5</x:v>
      </x:c>
      <x:c r="I792" s="54" t="n">
        <x:v>1.06244</x:v>
      </x:c>
      <x:c r="J792" s="54" t="n">
        <x:v>1.06547</x:v>
      </x:c>
      <x:c r="K792" s="54" t="n">
        <x:v>0.25945</x:v>
      </x:c>
      <x:c r="L792" s="54" t="n">
        <x:v>0.47629</x:v>
      </x:c>
      <x:c r="M792" s="54" t="n">
        <x:v>1.1957</x:v>
      </x:c>
      <x:c r="N792" s="56" t="n">
        <x:v>-7.61</x:v>
      </x:c>
      <x:c r="O792" s="56" t="n">
        <x:v>0.48</x:v>
      </x:c>
      <x:c r="P792" s="56" t="n">
        <x:v>0.79</x:v>
      </x:c>
      <x:c r="Q792" s="56" t="n">
        <x:v>92.9</x:v>
      </x:c>
      <x:c r="R792" t="str">
        <x:v>X</x:v>
      </x:c>
      <x:c r="S792" s="102" t="n">
        <x:v>100</x:v>
      </x:c>
      <x:c r="T792" t="str">
        <x:v>VALID</x:v>
      </x:c>
      <x:c r="U792" t="n">
        <x:v>3268</x:v>
      </x:c>
      <x:c r="V792" t="str">
        <x:v>Pasted text(56).txt</x:v>
      </x:c>
    </x:row>
    <x:row r="793">
      <x:c r="A793" t="str">
        <x:v>S09</x:v>
      </x:c>
      <x:c r="B793" t="str">
        <x:v>1.15 validated five-run session</x:v>
      </x:c>
      <x:c r="C793" s="54" t="n">
        <x:v>1.15</x:v>
      </x:c>
      <x:c r="D793" t="n">
        <x:v>3</x:v>
      </x:c>
      <x:c r="E793" t="n">
        <x:v>1</x:v>
      </x:c>
      <x:c r="F793" t="str">
        <x:v>SEARCH</x:v>
      </x:c>
      <x:c r="G793" t="n">
        <x:v>14</x:v>
      </x:c>
      <x:c r="H793" s="54" t="n">
        <x:v>11.75</x:v>
      </x:c>
      <x:c r="I793" s="54" t="n">
        <x:v>1.1102</x:v>
      </x:c>
      <x:c r="J793" s="54" t="n">
        <x:v>1.10922</x:v>
      </x:c>
      <x:c r="K793" s="54" t="n">
        <x:v>0.26472</x:v>
      </x:c>
      <x:c r="L793" s="54" t="n">
        <x:v>0.49648</x:v>
      </x:c>
      <x:c r="M793" s="54" t="n">
        <x:v>1.24392</x:v>
      </x:c>
      <x:c r="N793" s="56" t="n">
        <x:v>-3.46</x:v>
      </x:c>
      <x:c r="O793" s="56" t="n">
        <x:v>0.11</x:v>
      </x:c>
      <x:c r="P793" s="56" t="n">
        <x:v>0.22</x:v>
      </x:c>
      <x:c r="Q793" s="56" t="n">
        <x:v>93.2</x:v>
      </x:c>
      <x:c r="R793" t="str">
        <x:v>X</x:v>
      </x:c>
      <x:c r="S793" s="102" t="n">
        <x:v>100</x:v>
      </x:c>
      <x:c r="T793" t="str">
        <x:v>IN TARGET BAND</x:v>
      </x:c>
      <x:c r="U793" t="n">
        <x:v>3269</x:v>
      </x:c>
      <x:c r="V793" t="str">
        <x:v>Pasted text(56).txt</x:v>
      </x:c>
    </x:row>
    <x:row r="794">
      <x:c r="A794" t="str">
        <x:v>S09</x:v>
      </x:c>
      <x:c r="B794" t="str">
        <x:v>1.15 validated five-run session</x:v>
      </x:c>
      <x:c r="C794" s="54" t="n">
        <x:v>1.15</x:v>
      </x:c>
      <x:c r="D794" t="n">
        <x:v>3</x:v>
      </x:c>
      <x:c r="E794" t="n">
        <x:v>1</x:v>
      </x:c>
      <x:c r="F794" t="str">
        <x:v>FINE</x:v>
      </x:c>
      <x:c r="G794" t="n">
        <x:v>1</x:v>
      </x:c>
      <x:c r="H794" s="54" t="n">
        <x:v>10.75</x:v>
      </x:c>
      <x:c r="I794" s="54" t="n">
        <x:v>0.97522</x:v>
      </x:c>
      <x:c r="J794" s="54" t="n">
        <x:v>0.97984</x:v>
      </x:c>
      <x:c r="K794" s="54" t="n">
        <x:v>0.26396</x:v>
      </x:c>
      <x:c r="L794" s="54" t="n">
        <x:v>0.48214</x:v>
      </x:c>
      <x:c r="M794" s="54" t="n">
        <x:v>1.1242</x:v>
      </x:c>
      <x:c r="N794" s="56" t="n">
        <x:v>-15.2</x:v>
      </x:c>
      <x:c r="O794" s="56" t="n">
        <x:v>0.36</x:v>
      </x:c>
      <x:c r="P794" s="56" t="n">
        <x:v>1.03</x:v>
      </x:c>
      <x:c r="Q794" s="56" t="n">
        <x:v>92</x:v>
      </x:c>
      <x:c r="R794" t="str">
        <x:v>X</x:v>
      </x:c>
      <x:c r="S794" s="102" t="n">
        <x:v>100</x:v>
      </x:c>
      <x:c r="T794" t="str">
        <x:v>VALID</x:v>
      </x:c>
      <x:c r="U794" t="n">
        <x:v>3273</x:v>
      </x:c>
      <x:c r="V794" t="str">
        <x:v>Pasted text(56).txt</x:v>
      </x:c>
    </x:row>
    <x:row r="795">
      <x:c r="A795" t="str">
        <x:v>S09</x:v>
      </x:c>
      <x:c r="B795" t="str">
        <x:v>1.15 validated five-run session</x:v>
      </x:c>
      <x:c r="C795" s="54" t="n">
        <x:v>1.15</x:v>
      </x:c>
      <x:c r="D795" t="n">
        <x:v>3</x:v>
      </x:c>
      <x:c r="E795" t="n">
        <x:v>1</x:v>
      </x:c>
      <x:c r="F795" t="str">
        <x:v>FINE</x:v>
      </x:c>
      <x:c r="G795" t="n">
        <x:v>2</x:v>
      </x:c>
      <x:c r="H795" s="54" t="n">
        <x:v>11</x:v>
      </x:c>
      <x:c r="I795" s="54" t="n">
        <x:v>1.0156</x:v>
      </x:c>
      <x:c r="J795" s="54" t="n">
        <x:v>1.0194</x:v>
      </x:c>
      <x:c r="K795" s="54" t="n">
        <x:v>0.2764</x:v>
      </x:c>
      <x:c r="L795" s="54" t="n">
        <x:v>0.44056</x:v>
      </x:c>
      <x:c r="M795" s="54" t="n">
        <x:v>1.14492</x:v>
      </x:c>
      <x:c r="N795" s="56" t="n">
        <x:v>-11.69</x:v>
      </x:c>
      <x:c r="O795" s="56" t="n">
        <x:v>0.6</x:v>
      </x:c>
      <x:c r="P795" s="56" t="n">
        <x:v>1.01</x:v>
      </x:c>
      <x:c r="Q795" s="56" t="n">
        <x:v>92.4</x:v>
      </x:c>
      <x:c r="R795" t="str">
        <x:v>X</x:v>
      </x:c>
      <x:c r="S795" s="102" t="n">
        <x:v>100</x:v>
      </x:c>
      <x:c r="T795" t="str">
        <x:v>VALID</x:v>
      </x:c>
      <x:c r="U795" t="n">
        <x:v>3274</x:v>
      </x:c>
      <x:c r="V795" t="str">
        <x:v>Pasted text(56).txt</x:v>
      </x:c>
    </x:row>
    <x:row r="796">
      <x:c r="A796" t="str">
        <x:v>S09</x:v>
      </x:c>
      <x:c r="B796" t="str">
        <x:v>1.15 validated five-run session</x:v>
      </x:c>
      <x:c r="C796" s="54" t="n">
        <x:v>1.15</x:v>
      </x:c>
      <x:c r="D796" t="n">
        <x:v>3</x:v>
      </x:c>
      <x:c r="E796" t="n">
        <x:v>1</x:v>
      </x:c>
      <x:c r="F796" t="str">
        <x:v>FINE</x:v>
      </x:c>
      <x:c r="G796" t="n">
        <x:v>3</x:v>
      </x:c>
      <x:c r="H796" s="54" t="n">
        <x:v>11.25</x:v>
      </x:c>
      <x:c r="I796" s="54" t="n">
        <x:v>1.05465</x:v>
      </x:c>
      <x:c r="J796" s="54" t="n">
        <x:v>1.05107</x:v>
      </x:c>
      <x:c r="K796" s="54" t="n">
        <x:v>0.26574</x:v>
      </x:c>
      <x:c r="L796" s="54" t="n">
        <x:v>0.44995</x:v>
      </x:c>
      <x:c r="M796" s="54" t="n">
        <x:v>1.17394</x:v>
      </x:c>
      <x:c r="N796" s="56" t="n">
        <x:v>-8.29</x:v>
      </x:c>
      <x:c r="O796" s="56" t="n">
        <x:v>0.55</x:v>
      </x:c>
      <x:c r="P796" s="56" t="n">
        <x:v>0.93</x:v>
      </x:c>
      <x:c r="Q796" s="56" t="n">
        <x:v>92.8</x:v>
      </x:c>
      <x:c r="R796" t="str">
        <x:v>X</x:v>
      </x:c>
      <x:c r="S796" s="102" t="n">
        <x:v>100</x:v>
      </x:c>
      <x:c r="T796" t="str">
        <x:v>VALID</x:v>
      </x:c>
      <x:c r="U796" t="n">
        <x:v>3275</x:v>
      </x:c>
      <x:c r="V796" t="str">
        <x:v>Pasted text(56).txt</x:v>
      </x:c>
    </x:row>
    <x:row r="797">
      <x:c r="A797" t="str">
        <x:v>S09</x:v>
      </x:c>
      <x:c r="B797" t="str">
        <x:v>1.15 validated five-run session</x:v>
      </x:c>
      <x:c r="C797" s="54" t="n">
        <x:v>1.15</x:v>
      </x:c>
      <x:c r="D797" t="n">
        <x:v>3</x:v>
      </x:c>
      <x:c r="E797" t="n">
        <x:v>1</x:v>
      </x:c>
      <x:c r="F797" t="str">
        <x:v>FINE</x:v>
      </x:c>
      <x:c r="G797" t="n">
        <x:v>4</x:v>
      </x:c>
      <x:c r="H797" s="54" t="n">
        <x:v>11.5</x:v>
      </x:c>
      <x:c r="I797" s="54" t="n">
        <x:v>1.05622</x:v>
      </x:c>
      <x:c r="J797" s="54" t="n">
        <x:v>1.05856</x:v>
      </x:c>
      <x:c r="K797" s="54" t="n">
        <x:v>0.27084</x:v>
      </x:c>
      <x:c r="L797" s="54" t="n">
        <x:v>0.48537</x:v>
      </x:c>
      <x:c r="M797" s="54" t="n">
        <x:v>1.1957</x:v>
      </x:c>
      <x:c r="N797" s="56" t="n">
        <x:v>-8.15</x:v>
      </x:c>
      <x:c r="O797" s="56" t="n">
        <x:v>1.34</x:v>
      </x:c>
      <x:c r="P797" s="56" t="n">
        <x:v>1.25</x:v>
      </x:c>
      <x:c r="Q797" s="56" t="n">
        <x:v>92.9</x:v>
      </x:c>
      <x:c r="R797" t="str">
        <x:v>X</x:v>
      </x:c>
      <x:c r="S797" s="102" t="n">
        <x:v>100</x:v>
      </x:c>
      <x:c r="T797" t="str">
        <x:v>VALID</x:v>
      </x:c>
      <x:c r="U797" t="n">
        <x:v>3276</x:v>
      </x:c>
      <x:c r="V797" t="str">
        <x:v>Pasted text(56).txt</x:v>
      </x:c>
    </x:row>
    <x:row r="798">
      <x:c r="A798" t="str">
        <x:v>S09</x:v>
      </x:c>
      <x:c r="B798" t="str">
        <x:v>1.15 validated five-run session</x:v>
      </x:c>
      <x:c r="C798" s="54" t="n">
        <x:v>1.15</x:v>
      </x:c>
      <x:c r="D798" t="n">
        <x:v>3</x:v>
      </x:c>
      <x:c r="E798" t="n">
        <x:v>1</x:v>
      </x:c>
      <x:c r="F798" t="str">
        <x:v>FINE</x:v>
      </x:c>
      <x:c r="G798" t="n">
        <x:v>5</x:v>
      </x:c>
      <x:c r="H798" s="54" t="n">
        <x:v>11.75</x:v>
      </x:c>
      <x:c r="I798" s="54" t="n">
        <x:v>1.09779</x:v>
      </x:c>
      <x:c r="J798" s="54" t="n">
        <x:v>1.09523</x:v>
      </x:c>
      <x:c r="K798" s="54" t="n">
        <x:v>0.26877</x:v>
      </x:c>
      <x:c r="L798" s="54" t="n">
        <x:v>0.46566</x:v>
      </x:c>
      <x:c r="M798" s="54" t="n">
        <x:v>1.22054</x:v>
      </x:c>
      <x:c r="N798" s="56" t="n">
        <x:v>-4.54</x:v>
      </x:c>
      <x:c r="O798" s="56" t="n">
        <x:v>0.02</x:v>
      </x:c>
      <x:c r="P798" s="56" t="n">
        <x:v>0.41</x:v>
      </x:c>
      <x:c r="Q798" s="56" t="n">
        <x:v>93.4</x:v>
      </x:c>
      <x:c r="R798" t="str">
        <x:v>X</x:v>
      </x:c>
      <x:c r="S798" s="102" t="n">
        <x:v>100</x:v>
      </x:c>
      <x:c r="T798" t="str">
        <x:v>IN TARGET BAND</x:v>
      </x:c>
      <x:c r="U798" t="n">
        <x:v>3277</x:v>
      </x:c>
      <x:c r="V798" t="str">
        <x:v>Pasted text(56).txt</x:v>
      </x:c>
    </x:row>
    <x:row r="799">
      <x:c r="A799" t="str">
        <x:v>S09</x:v>
      </x:c>
      <x:c r="B799" t="str">
        <x:v>1.15 validated five-run session</x:v>
      </x:c>
      <x:c r="C799" s="54" t="n">
        <x:v>1.15</x:v>
      </x:c>
      <x:c r="D799" t="n">
        <x:v>3</x:v>
      </x:c>
      <x:c r="E799" t="n">
        <x:v>1</x:v>
      </x:c>
      <x:c r="F799" t="str">
        <x:v>FINE</x:v>
      </x:c>
      <x:c r="G799" t="n">
        <x:v>6</x:v>
      </x:c>
      <x:c r="H799" s="54" t="n">
        <x:v>12</x:v>
      </x:c>
      <x:c r="I799" s="54" t="n">
        <x:v>1.13392</x:v>
      </x:c>
      <x:c r="J799" s="54" t="n">
        <x:v>1.12595</x:v>
      </x:c>
      <x:c r="K799" s="54" t="n">
        <x:v>0.2683</x:v>
      </x:c>
      <x:c r="L799" s="54" t="n">
        <x:v>0.49523</x:v>
      </x:c>
      <x:c r="M799" s="54" t="n">
        <x:v>1.25914</x:v>
      </x:c>
      <x:c r="N799" s="56" t="n">
        <x:v>-1.4</x:v>
      </x:c>
      <x:c r="O799" s="56" t="n">
        <x:v>2.38</x:v>
      </x:c>
      <x:c r="P799" s="56" t="n">
        <x:v>2.75</x:v>
      </x:c>
      <x:c r="Q799" s="56" t="n">
        <x:v>93.5</x:v>
      </x:c>
      <x:c r="R799" t="str">
        <x:v>X</x:v>
      </x:c>
      <x:c r="S799" s="102" t="n">
        <x:v>100</x:v>
      </x:c>
      <x:c r="T799" t="str">
        <x:v>IN TARGET BAND</x:v>
      </x:c>
      <x:c r="U799" t="n">
        <x:v>3278</x:v>
      </x:c>
      <x:c r="V799" t="str">
        <x:v>Pasted text(56).txt</x:v>
      </x:c>
    </x:row>
    <x:row r="800">
      <x:c r="A800" t="str">
        <x:v>S09</x:v>
      </x:c>
      <x:c r="B800" t="str">
        <x:v>1.15 validated five-run session</x:v>
      </x:c>
      <x:c r="C800" s="54" t="n">
        <x:v>1.15</x:v>
      </x:c>
      <x:c r="D800" t="n">
        <x:v>3</x:v>
      </x:c>
      <x:c r="E800" t="n">
        <x:v>1</x:v>
      </x:c>
      <x:c r="F800" t="str">
        <x:v>FINE</x:v>
      </x:c>
      <x:c r="G800" t="n">
        <x:v>7</x:v>
      </x:c>
      <x:c r="H800" s="54" t="n">
        <x:v>12.25</x:v>
      </x:c>
      <x:c r="I800" s="54" t="n">
        <x:v>1.16822</x:v>
      </x:c>
      <x:c r="J800" s="54" t="n">
        <x:v>1.18121</x:v>
      </x:c>
      <x:c r="K800" s="54" t="n">
        <x:v>0.28432</x:v>
      </x:c>
      <x:c r="L800" s="54" t="n">
        <x:v>0.50588</x:v>
      </x:c>
      <x:c r="M800" s="54" t="n">
        <x:v>1.31632</x:v>
      </x:c>
      <x:c r="N800" s="56" t="n">
        <x:v>1.58</x:v>
      </x:c>
      <x:c r="O800" s="56" t="n">
        <x:v>0.34</x:v>
      </x:c>
      <x:c r="P800" s="56" t="n">
        <x:v>2.11</x:v>
      </x:c>
      <x:c r="Q800" s="56" t="n">
        <x:v>93.9</x:v>
      </x:c>
      <x:c r="R800" t="str">
        <x:v>X</x:v>
      </x:c>
      <x:c r="S800" s="102" t="n">
        <x:v>100</x:v>
      </x:c>
      <x:c r="T800" t="str">
        <x:v>IN TARGET BAND</x:v>
      </x:c>
      <x:c r="U800" t="n">
        <x:v>3279</x:v>
      </x:c>
      <x:c r="V800" t="str">
        <x:v>Pasted text(56).txt</x:v>
      </x:c>
    </x:row>
    <x:row r="801">
      <x:c r="A801" t="str">
        <x:v>S09</x:v>
      </x:c>
      <x:c r="B801" t="str">
        <x:v>1.15 validated five-run session</x:v>
      </x:c>
      <x:c r="C801" s="54" t="n">
        <x:v>1.15</x:v>
      </x:c>
      <x:c r="D801" t="n">
        <x:v>3</x:v>
      </x:c>
      <x:c r="E801" t="n">
        <x:v>1</x:v>
      </x:c>
      <x:c r="F801" t="str">
        <x:v>FINE</x:v>
      </x:c>
      <x:c r="G801" t="n">
        <x:v>8</x:v>
      </x:c>
      <x:c r="H801" s="54" t="n">
        <x:v>12.5</x:v>
      </x:c>
      <x:c r="I801" s="54" t="n">
        <x:v>1.17532</x:v>
      </x:c>
      <x:c r="J801" s="54" t="n">
        <x:v>1.17458</x:v>
      </x:c>
      <x:c r="K801" s="54" t="n">
        <x:v>0.28329</x:v>
      </x:c>
      <x:c r="L801" s="54" t="n">
        <x:v>0.51985</x:v>
      </x:c>
      <x:c r="M801" s="54" t="n">
        <x:v>1.31544</x:v>
      </x:c>
      <x:c r="N801" s="56" t="n">
        <x:v>2.2</x:v>
      </x:c>
      <x:c r="O801" s="56" t="n">
        <x:v>1.24</x:v>
      </x:c>
      <x:c r="P801" s="56" t="n">
        <x:v>0.93</x:v>
      </x:c>
      <x:c r="Q801" s="56" t="n">
        <x:v>93.7</x:v>
      </x:c>
      <x:c r="R801" t="str">
        <x:v>X</x:v>
      </x:c>
      <x:c r="S801" s="102" t="n">
        <x:v>100</x:v>
      </x:c>
      <x:c r="T801" t="str">
        <x:v>IN TARGET BAND</x:v>
      </x:c>
      <x:c r="U801" t="n">
        <x:v>3280</x:v>
      </x:c>
      <x:c r="V801" t="str">
        <x:v>Pasted text(56).txt</x:v>
      </x:c>
    </x:row>
    <x:row r="802">
      <x:c r="A802" t="str">
        <x:v>S09</x:v>
      </x:c>
      <x:c r="B802" t="str">
        <x:v>1.15 validated five-run session</x:v>
      </x:c>
      <x:c r="C802" s="54" t="n">
        <x:v>1.15</x:v>
      </x:c>
      <x:c r="D802" t="n">
        <x:v>3</x:v>
      </x:c>
      <x:c r="E802" t="n">
        <x:v>1</x:v>
      </x:c>
      <x:c r="F802" t="str">
        <x:v>FINE</x:v>
      </x:c>
      <x:c r="G802" t="n">
        <x:v>9</x:v>
      </x:c>
      <x:c r="H802" s="54" t="n">
        <x:v>12.75</x:v>
      </x:c>
      <x:c r="I802" s="54" t="n">
        <x:v>1.21096</x:v>
      </x:c>
      <x:c r="J802" s="54" t="n">
        <x:v>1.21562</x:v>
      </x:c>
      <x:c r="K802" s="54" t="n">
        <x:v>0.29497</x:v>
      </x:c>
      <x:c r="L802" s="54" t="n">
        <x:v>0.54162</x:v>
      </x:c>
      <x:c r="M802" s="54" t="n">
        <x:v>1.36313</x:v>
      </x:c>
      <x:c r="N802" s="56" t="n">
        <x:v>5.3</x:v>
      </x:c>
      <x:c r="O802" s="56" t="n">
        <x:v>0.63</x:v>
      </x:c>
      <x:c r="P802" s="56" t="n">
        <x:v>1.05</x:v>
      </x:c>
      <x:c r="Q802" s="56" t="n">
        <x:v>93.5</x:v>
      </x:c>
      <x:c r="R802" t="str">
        <x:v>X</x:v>
      </x:c>
      <x:c r="S802" s="102" t="n">
        <x:v>100</x:v>
      </x:c>
      <x:c r="T802" t="str">
        <x:v>IN TARGET BAND</x:v>
      </x:c>
      <x:c r="U802" t="n">
        <x:v>3281</x:v>
      </x:c>
      <x:c r="V802" t="str">
        <x:v>Pasted text(56).txt</x:v>
      </x:c>
    </x:row>
    <x:row r="803">
      <x:c r="A803" t="str">
        <x:v>S09</x:v>
      </x:c>
      <x:c r="B803" t="str">
        <x:v>1.15 validated five-run session</x:v>
      </x:c>
      <x:c r="C803" s="54" t="n">
        <x:v>1.15</x:v>
      </x:c>
      <x:c r="D803" t="n">
        <x:v>3</x:v>
      </x:c>
      <x:c r="E803" t="n">
        <x:v>1</x:v>
      </x:c>
      <x:c r="F803" t="str">
        <x:v>FINAL</x:v>
      </x:c>
      <x:c r="G803" t="n">
        <x:v>1</x:v>
      </x:c>
      <x:c r="H803" s="54" t="n">
        <x:v>12.25</x:v>
      </x:c>
      <x:c r="I803" s="54" t="n">
        <x:v>1.15337</x:v>
      </x:c>
      <x:c r="J803" s="54" t="n">
        <x:v>1.15463</x:v>
      </x:c>
      <x:c r="K803" s="54" t="n">
        <x:v>0.30041</x:v>
      </x:c>
      <x:c r="L803" s="54" t="n">
        <x:v>0.50886</x:v>
      </x:c>
      <x:c r="M803" s="54" t="n">
        <x:v>1.29746</x:v>
      </x:c>
      <x:c r="N803" s="56" t="n">
        <x:v>0.29</x:v>
      </x:c>
      <x:c r="O803" s="56" t="n">
        <x:v>0.52</x:v>
      </x:c>
      <x:c r="P803" s="56" t="n">
        <x:v>1.23</x:v>
      </x:c>
      <x:c r="Q803" s="56" t="n">
        <x:v>93.5</x:v>
      </x:c>
      <x:c r="R803" t="str">
        <x:v>X</x:v>
      </x:c>
      <x:c r="S803" s="102" t="n">
        <x:v>100</x:v>
      </x:c>
      <x:c r="T803" t="str">
        <x:v>IN TARGET BAND</x:v>
      </x:c>
      <x:c r="U803" t="n">
        <x:v>3284</x:v>
      </x:c>
      <x:c r="V803" t="str">
        <x:v>Pasted text(56).txt</x:v>
      </x:c>
    </x:row>
    <x:row r="804">
      <x:c r="A804" t="str">
        <x:v>S09</x:v>
      </x:c>
      <x:c r="B804" t="str">
        <x:v>1.15 validated five-run session</x:v>
      </x:c>
      <x:c r="C804" s="54" t="n">
        <x:v>1.15</x:v>
      </x:c>
      <x:c r="D804" t="n">
        <x:v>3</x:v>
      </x:c>
      <x:c r="E804" t="n">
        <x:v>1</x:v>
      </x:c>
      <x:c r="F804" t="str">
        <x:v>FINAL</x:v>
      </x:c>
      <x:c r="G804" t="n">
        <x:v>2</x:v>
      </x:c>
      <x:c r="H804" s="54" t="n">
        <x:v>12.25</x:v>
      </x:c>
      <x:c r="I804" s="54" t="n">
        <x:v>1.1471</x:v>
      </x:c>
      <x:c r="J804" s="54" t="n">
        <x:v>1.15075</x:v>
      </x:c>
      <x:c r="K804" s="54" t="n">
        <x:v>0.2907</x:v>
      </x:c>
      <x:c r="L804" s="54" t="n">
        <x:v>0.5118</x:v>
      </x:c>
      <x:c r="M804" s="54" t="n">
        <x:v>1.29283</x:v>
      </x:c>
      <x:c r="N804" s="56" t="n">
        <x:v>-0.25</x:v>
      </x:c>
      <x:c r="O804" s="56" t="n">
        <x:v>0.4</x:v>
      </x:c>
      <x:c r="P804" s="56" t="n">
        <x:v>0.67</x:v>
      </x:c>
      <x:c r="Q804" s="56" t="n">
        <x:v>93.7</x:v>
      </x:c>
      <x:c r="R804" t="str">
        <x:v>X</x:v>
      </x:c>
      <x:c r="S804" s="102" t="n">
        <x:v>100</x:v>
      </x:c>
      <x:c r="T804" t="str">
        <x:v>IN TARGET BAND</x:v>
      </x:c>
      <x:c r="U804" t="n">
        <x:v>3285</x:v>
      </x:c>
      <x:c r="V804" t="str">
        <x:v>Pasted text(56).txt</x:v>
      </x:c>
    </x:row>
    <x:row r="805">
      <x:c r="A805" t="str">
        <x:v>S09</x:v>
      </x:c>
      <x:c r="B805" t="str">
        <x:v>1.15 validated five-run session</x:v>
      </x:c>
      <x:c r="C805" s="54" t="n">
        <x:v>1.15</x:v>
      </x:c>
      <x:c r="D805" t="n">
        <x:v>4</x:v>
      </x:c>
      <x:c r="E805" t="n">
        <x:v>1</x:v>
      </x:c>
      <x:c r="F805" t="str">
        <x:v>SEARCH</x:v>
      </x:c>
      <x:c r="G805" t="n">
        <x:v>1</x:v>
      </x:c>
      <x:c r="H805" s="54" t="n">
        <x:v>1</x:v>
      </x:c>
      <x:c r="I805" s="54" t="n">
        <x:v>0.01069</x:v>
      </x:c>
      <x:c r="J805" s="54" t="n">
        <x:v>0.01241</x:v>
      </x:c>
      <x:c r="K805" s="54" t="n">
        <x:v>0.0275</x:v>
      </x:c>
      <x:c r="L805" s="54" t="n">
        <x:v>0.02885</x:v>
      </x:c>
      <x:c r="M805" s="54" t="n">
        <x:v>0.04442</x:v>
      </x:c>
      <x:c r="N805" s="56" t="n">
        <x:v>-99.07</x:v>
      </x:c>
      <x:c r="O805" s="56" t="n">
        <x:v>73.22</x:v>
      </x:c>
      <x:c r="P805" s="56" t="n">
        <x:v>64.48</x:v>
      </x:c>
      <x:c r="Q805" s="56" t="n">
        <x:v>6.7</x:v>
      </x:c>
      <x:c r="R805" t="str">
        <x:v>Z</x:v>
      </x:c>
      <x:c r="S805" s="102" t="n">
        <x:v>43</x:v>
      </x:c>
      <x:c r="T805" t="str">
        <x:v>BELOW MEASUREMENT FLOOR — SEARCH CONTINUES</x:v>
      </x:c>
      <x:c r="U805" t="n">
        <x:v>3341</x:v>
      </x:c>
      <x:c r="V805" t="str">
        <x:v>Pasted text(56).txt</x:v>
      </x:c>
    </x:row>
    <x:row r="806">
      <x:c r="A806" t="str">
        <x:v>S09</x:v>
      </x:c>
      <x:c r="B806" t="str">
        <x:v>1.15 validated five-run session</x:v>
      </x:c>
      <x:c r="C806" s="54" t="n">
        <x:v>1.15</x:v>
      </x:c>
      <x:c r="D806" t="n">
        <x:v>4</x:v>
      </x:c>
      <x:c r="E806" t="n">
        <x:v>1</x:v>
      </x:c>
      <x:c r="F806" t="str">
        <x:v>SEARCH</x:v>
      </x:c>
      <x:c r="G806" t="n">
        <x:v>2</x:v>
      </x:c>
      <x:c r="H806" s="54" t="n">
        <x:v>3</x:v>
      </x:c>
      <x:c r="I806" s="54" t="n">
        <x:v>0.14561</x:v>
      </x:c>
      <x:c r="J806" s="54" t="n">
        <x:v>0.14526</x:v>
      </x:c>
      <x:c r="K806" s="54" t="n">
        <x:v>0.05427</x:v>
      </x:c>
      <x:c r="L806" s="54" t="n">
        <x:v>0.10803</x:v>
      </x:c>
      <x:c r="M806" s="54" t="n">
        <x:v>0.18921</x:v>
      </x:c>
      <x:c r="N806" s="56" t="n">
        <x:v>-87.34</x:v>
      </x:c>
      <x:c r="O806" s="56" t="n">
        <x:v>10.57</x:v>
      </x:c>
      <x:c r="P806" s="56" t="n">
        <x:v>7.52</x:v>
      </x:c>
      <x:c r="Q806" s="56" t="n">
        <x:v>56.9</x:v>
      </x:c>
      <x:c r="R806" t="str">
        <x:v>X</x:v>
      </x:c>
      <x:c r="S806" s="102" t="n">
        <x:v>100</x:v>
      </x:c>
      <x:c r="T806" t="str">
        <x:v>VALID</x:v>
      </x:c>
      <x:c r="U806" t="n">
        <x:v>3342</x:v>
      </x:c>
      <x:c r="V806" t="str">
        <x:v>Pasted text(56).txt</x:v>
      </x:c>
    </x:row>
    <x:row r="807">
      <x:c r="A807" t="str">
        <x:v>S09</x:v>
      </x:c>
      <x:c r="B807" t="str">
        <x:v>1.15 validated five-run session</x:v>
      </x:c>
      <x:c r="C807" s="54" t="n">
        <x:v>1.15</x:v>
      </x:c>
      <x:c r="D807" t="n">
        <x:v>4</x:v>
      </x:c>
      <x:c r="E807" t="n">
        <x:v>1</x:v>
      </x:c>
      <x:c r="F807" t="str">
        <x:v>SEARCH</x:v>
      </x:c>
      <x:c r="G807" t="n">
        <x:v>3</x:v>
      </x:c>
      <x:c r="H807" s="54" t="n">
        <x:v>5</x:v>
      </x:c>
      <x:c r="I807" s="54" t="n">
        <x:v>0.36998</x:v>
      </x:c>
      <x:c r="J807" s="54" t="n">
        <x:v>0.35908</x:v>
      </x:c>
      <x:c r="K807" s="54" t="n">
        <x:v>0.10507</x:v>
      </x:c>
      <x:c r="L807" s="54" t="n">
        <x:v>0.19895</x:v>
      </x:c>
      <x:c r="M807" s="54" t="n">
        <x:v>0.42417</x:v>
      </x:c>
      <x:c r="N807" s="56" t="n">
        <x:v>-67.83</x:v>
      </x:c>
      <x:c r="O807" s="56" t="n">
        <x:v>0.96</x:v>
      </x:c>
      <x:c r="P807" s="56" t="n">
        <x:v>5.85</x:v>
      </x:c>
      <x:c r="Q807" s="56" t="n">
        <x:v>83.4</x:v>
      </x:c>
      <x:c r="R807" t="str">
        <x:v>X</x:v>
      </x:c>
      <x:c r="S807" s="102" t="n">
        <x:v>100</x:v>
      </x:c>
      <x:c r="T807" t="str">
        <x:v>VALID</x:v>
      </x:c>
      <x:c r="U807" t="n">
        <x:v>3343</x:v>
      </x:c>
      <x:c r="V807" t="str">
        <x:v>Pasted text(56).txt</x:v>
      </x:c>
    </x:row>
    <x:row r="808">
      <x:c r="A808" t="str">
        <x:v>S09</x:v>
      </x:c>
      <x:c r="B808" t="str">
        <x:v>1.15 validated five-run session</x:v>
      </x:c>
      <x:c r="C808" s="54" t="n">
        <x:v>1.15</x:v>
      </x:c>
      <x:c r="D808" t="n">
        <x:v>4</x:v>
      </x:c>
      <x:c r="E808" t="n">
        <x:v>1</x:v>
      </x:c>
      <x:c r="F808" t="str">
        <x:v>SEARCH</x:v>
      </x:c>
      <x:c r="G808" t="n">
        <x:v>4</x:v>
      </x:c>
      <x:c r="H808" s="54" t="n">
        <x:v>6</x:v>
      </x:c>
      <x:c r="I808" s="54" t="n">
        <x:v>0.45028</x:v>
      </x:c>
      <x:c r="J808" s="54" t="n">
        <x:v>0.45248</x:v>
      </x:c>
      <x:c r="K808" s="54" t="n">
        <x:v>0.12569</x:v>
      </x:c>
      <x:c r="L808" s="54" t="n">
        <x:v>0.25038</x:v>
      </x:c>
      <x:c r="M808" s="54" t="n">
        <x:v>0.5326</x:v>
      </x:c>
      <x:c r="N808" s="56" t="n">
        <x:v>-60.85</x:v>
      </x:c>
      <x:c r="O808" s="56" t="n">
        <x:v>2.48</x:v>
      </x:c>
      <x:c r="P808" s="56" t="n">
        <x:v>2.43</x:v>
      </x:c>
      <x:c r="Q808" s="56" t="n">
        <x:v>86.2</x:v>
      </x:c>
      <x:c r="R808" t="str">
        <x:v>X</x:v>
      </x:c>
      <x:c r="S808" s="102" t="n">
        <x:v>100</x:v>
      </x:c>
      <x:c r="T808" t="str">
        <x:v>VALID</x:v>
      </x:c>
      <x:c r="U808" t="n">
        <x:v>3344</x:v>
      </x:c>
      <x:c r="V808" t="str">
        <x:v>Pasted text(56).txt</x:v>
      </x:c>
    </x:row>
    <x:row r="809">
      <x:c r="A809" t="str">
        <x:v>S09</x:v>
      </x:c>
      <x:c r="B809" t="str">
        <x:v>1.15 validated five-run session</x:v>
      </x:c>
      <x:c r="C809" s="54" t="n">
        <x:v>1.15</x:v>
      </x:c>
      <x:c r="D809" t="n">
        <x:v>4</x:v>
      </x:c>
      <x:c r="E809" t="n">
        <x:v>1</x:v>
      </x:c>
      <x:c r="F809" t="str">
        <x:v>SEARCH</x:v>
      </x:c>
      <x:c r="G809" t="n">
        <x:v>5</x:v>
      </x:c>
      <x:c r="H809" s="54" t="n">
        <x:v>7</x:v>
      </x:c>
      <x:c r="I809" s="54" t="n">
        <x:v>0.58294</x:v>
      </x:c>
      <x:c r="J809" s="54" t="n">
        <x:v>0.57357</x:v>
      </x:c>
      <x:c r="K809" s="54" t="n">
        <x:v>0.1633</x:v>
      </x:c>
      <x:c r="L809" s="54" t="n">
        <x:v>0.31746</x:v>
      </x:c>
      <x:c r="M809" s="54" t="n">
        <x:v>0.67579</x:v>
      </x:c>
      <x:c r="N809" s="56" t="n">
        <x:v>-49.31</x:v>
      </x:c>
      <x:c r="O809" s="56" t="n">
        <x:v>1.8</x:v>
      </x:c>
      <x:c r="P809" s="56" t="n">
        <x:v>3.94</x:v>
      </x:c>
      <x:c r="Q809" s="56" t="n">
        <x:v>88.8</x:v>
      </x:c>
      <x:c r="R809" t="str">
        <x:v>X</x:v>
      </x:c>
      <x:c r="S809" s="102" t="n">
        <x:v>100</x:v>
      </x:c>
      <x:c r="T809" t="str">
        <x:v>VALID</x:v>
      </x:c>
      <x:c r="U809" t="n">
        <x:v>3345</x:v>
      </x:c>
      <x:c r="V809" t="str">
        <x:v>Pasted text(56).txt</x:v>
      </x:c>
    </x:row>
    <x:row r="810">
      <x:c r="A810" t="str">
        <x:v>S09</x:v>
      </x:c>
      <x:c r="B810" t="str">
        <x:v>1.15 validated five-run session</x:v>
      </x:c>
      <x:c r="C810" s="54" t="n">
        <x:v>1.15</x:v>
      </x:c>
      <x:c r="D810" t="n">
        <x:v>4</x:v>
      </x:c>
      <x:c r="E810" t="n">
        <x:v>1</x:v>
      </x:c>
      <x:c r="F810" t="str">
        <x:v>SEARCH</x:v>
      </x:c>
      <x:c r="G810" t="n">
        <x:v>6</x:v>
      </x:c>
      <x:c r="H810" s="54" t="n">
        <x:v>8</x:v>
      </x:c>
      <x:c r="I810" s="54" t="n">
        <x:v>0.66924</x:v>
      </x:c>
      <x:c r="J810" s="54" t="n">
        <x:v>0.66397</x:v>
      </x:c>
      <x:c r="K810" s="54" t="n">
        <x:v>0.18288</x:v>
      </x:c>
      <x:c r="L810" s="54" t="n">
        <x:v>0.31113</x:v>
      </x:c>
      <x:c r="M810" s="54" t="n">
        <x:v>0.75592</x:v>
      </x:c>
      <x:c r="N810" s="56" t="n">
        <x:v>-41.81</x:v>
      </x:c>
      <x:c r="O810" s="56" t="n">
        <x:v>0.81</x:v>
      </x:c>
      <x:c r="P810" s="56" t="n">
        <x:v>1.88</x:v>
      </x:c>
      <x:c r="Q810" s="56" t="n">
        <x:v>89.8</x:v>
      </x:c>
      <x:c r="R810" t="str">
        <x:v>X</x:v>
      </x:c>
      <x:c r="S810" s="102" t="n">
        <x:v>100</x:v>
      </x:c>
      <x:c r="T810" t="str">
        <x:v>VALID</x:v>
      </x:c>
      <x:c r="U810" t="n">
        <x:v>3346</x:v>
      </x:c>
      <x:c r="V810" t="str">
        <x:v>Pasted text(56).txt</x:v>
      </x:c>
    </x:row>
    <x:row r="811">
      <x:c r="A811" t="str">
        <x:v>S09</x:v>
      </x:c>
      <x:c r="B811" t="str">
        <x:v>1.15 validated five-run session</x:v>
      </x:c>
      <x:c r="C811" s="54" t="n">
        <x:v>1.15</x:v>
      </x:c>
      <x:c r="D811" t="n">
        <x:v>4</x:v>
      </x:c>
      <x:c r="E811" t="n">
        <x:v>1</x:v>
      </x:c>
      <x:c r="F811" t="str">
        <x:v>SEARCH</x:v>
      </x:c>
      <x:c r="G811" t="n">
        <x:v>7</x:v>
      </x:c>
      <x:c r="H811" s="54" t="n">
        <x:v>9</x:v>
      </x:c>
      <x:c r="I811" s="54" t="n">
        <x:v>0.77538</x:v>
      </x:c>
      <x:c r="J811" s="54" t="n">
        <x:v>0.77014</x:v>
      </x:c>
      <x:c r="K811" s="54" t="n">
        <x:v>0.19749</x:v>
      </x:c>
      <x:c r="L811" s="54" t="n">
        <x:v>0.36743</x:v>
      </x:c>
      <x:c r="M811" s="54" t="n">
        <x:v>0.87612</x:v>
      </x:c>
      <x:c r="N811" s="56" t="n">
        <x:v>-32.58</x:v>
      </x:c>
      <x:c r="O811" s="56" t="n">
        <x:v>0.34</x:v>
      </x:c>
      <x:c r="P811" s="56" t="n">
        <x:v>1.38</x:v>
      </x:c>
      <x:c r="Q811" s="56" t="n">
        <x:v>91.9</x:v>
      </x:c>
      <x:c r="R811" t="str">
        <x:v>X</x:v>
      </x:c>
      <x:c r="S811" s="102" t="n">
        <x:v>100</x:v>
      </x:c>
      <x:c r="T811" t="str">
        <x:v>VALID</x:v>
      </x:c>
      <x:c r="U811" t="n">
        <x:v>3347</x:v>
      </x:c>
      <x:c r="V811" t="str">
        <x:v>Pasted text(56).txt</x:v>
      </x:c>
    </x:row>
    <x:row r="812">
      <x:c r="A812" t="str">
        <x:v>S09</x:v>
      </x:c>
      <x:c r="B812" t="str">
        <x:v>1.15 validated five-run session</x:v>
      </x:c>
      <x:c r="C812" s="54" t="n">
        <x:v>1.15</x:v>
      </x:c>
      <x:c r="D812" t="n">
        <x:v>4</x:v>
      </x:c>
      <x:c r="E812" t="n">
        <x:v>1</x:v>
      </x:c>
      <x:c r="F812" t="str">
        <x:v>SEARCH</x:v>
      </x:c>
      <x:c r="G812" t="n">
        <x:v>8</x:v>
      </x:c>
      <x:c r="H812" s="54" t="n">
        <x:v>9.5</x:v>
      </x:c>
      <x:c r="I812" s="54" t="n">
        <x:v>0.82085</x:v>
      </x:c>
      <x:c r="J812" s="54" t="n">
        <x:v>0.81812</x:v>
      </x:c>
      <x:c r="K812" s="54" t="n">
        <x:v>0.20838</x:v>
      </x:c>
      <x:c r="L812" s="54" t="n">
        <x:v>0.39401</x:v>
      </x:c>
      <x:c r="M812" s="54" t="n">
        <x:v>0.93208</x:v>
      </x:c>
      <x:c r="N812" s="56" t="n">
        <x:v>-28.62</x:v>
      </x:c>
      <x:c r="O812" s="56" t="n">
        <x:v>0.88</x:v>
      </x:c>
      <x:c r="P812" s="56" t="n">
        <x:v>1.13</x:v>
      </x:c>
      <x:c r="Q812" s="56" t="n">
        <x:v>90.2</x:v>
      </x:c>
      <x:c r="R812" t="str">
        <x:v>X</x:v>
      </x:c>
      <x:c r="S812" s="102" t="n">
        <x:v>100</x:v>
      </x:c>
      <x:c r="T812" t="str">
        <x:v>VALID</x:v>
      </x:c>
      <x:c r="U812" t="n">
        <x:v>3348</x:v>
      </x:c>
      <x:c r="V812" t="str">
        <x:v>Pasted text(56).txt</x:v>
      </x:c>
    </x:row>
    <x:row r="813">
      <x:c r="A813" t="str">
        <x:v>S09</x:v>
      </x:c>
      <x:c r="B813" t="str">
        <x:v>1.15 validated five-run session</x:v>
      </x:c>
      <x:c r="C813" s="54" t="n">
        <x:v>1.15</x:v>
      </x:c>
      <x:c r="D813" t="n">
        <x:v>4</x:v>
      </x:c>
      <x:c r="E813" t="n">
        <x:v>1</x:v>
      </x:c>
      <x:c r="F813" t="str">
        <x:v>SEARCH</x:v>
      </x:c>
      <x:c r="G813" t="n">
        <x:v>9</x:v>
      </x:c>
      <x:c r="H813" s="54" t="n">
        <x:v>10</x:v>
      </x:c>
      <x:c r="I813" s="54" t="n">
        <x:v>0.90994</x:v>
      </x:c>
      <x:c r="J813" s="54" t="n">
        <x:v>0.90008</x:v>
      </x:c>
      <x:c r="K813" s="54" t="n">
        <x:v>0.21472</x:v>
      </x:c>
      <x:c r="L813" s="54" t="n">
        <x:v>0.46432</x:v>
      </x:c>
      <x:c r="M813" s="54" t="n">
        <x:v>1.03532</x:v>
      </x:c>
      <x:c r="N813" s="56" t="n">
        <x:v>-20.88</x:v>
      </x:c>
      <x:c r="O813" s="56" t="n">
        <x:v>0.28</x:v>
      </x:c>
      <x:c r="P813" s="56" t="n">
        <x:v>2.06</x:v>
      </x:c>
      <x:c r="Q813" s="56" t="n">
        <x:v>93</x:v>
      </x:c>
      <x:c r="R813" t="str">
        <x:v>X</x:v>
      </x:c>
      <x:c r="S813" s="102" t="n">
        <x:v>100</x:v>
      </x:c>
      <x:c r="T813" t="str">
        <x:v>VALID</x:v>
      </x:c>
      <x:c r="U813" t="n">
        <x:v>3349</x:v>
      </x:c>
      <x:c r="V813" t="str">
        <x:v>Pasted text(56).txt</x:v>
      </x:c>
    </x:row>
    <x:row r="814">
      <x:c r="A814" t="str">
        <x:v>S09</x:v>
      </x:c>
      <x:c r="B814" t="str">
        <x:v>1.15 validated five-run session</x:v>
      </x:c>
      <x:c r="C814" s="54" t="n">
        <x:v>1.15</x:v>
      </x:c>
      <x:c r="D814" t="n">
        <x:v>4</x:v>
      </x:c>
      <x:c r="E814" t="n">
        <x:v>1</x:v>
      </x:c>
      <x:c r="F814" t="str">
        <x:v>SEARCH</x:v>
      </x:c>
      <x:c r="G814" t="n">
        <x:v>10</x:v>
      </x:c>
      <x:c r="H814" s="54" t="n">
        <x:v>10.5</x:v>
      </x:c>
      <x:c r="I814" s="54" t="n">
        <x:v>0.94052</x:v>
      </x:c>
      <x:c r="J814" s="54" t="n">
        <x:v>0.94409</x:v>
      </x:c>
      <x:c r="K814" s="54" t="n">
        <x:v>0.23605</x:v>
      </x:c>
      <x:c r="L814" s="54" t="n">
        <x:v>0.42015</x:v>
      </x:c>
      <x:c r="M814" s="54" t="n">
        <x:v>1.06004</x:v>
      </x:c>
      <x:c r="N814" s="56" t="n">
        <x:v>-18.22</x:v>
      </x:c>
      <x:c r="O814" s="56" t="n">
        <x:v>1.84</x:v>
      </x:c>
      <x:c r="P814" s="56" t="n">
        <x:v>1.83</x:v>
      </x:c>
      <x:c r="Q814" s="56" t="n">
        <x:v>92.6</x:v>
      </x:c>
      <x:c r="R814" t="str">
        <x:v>X</x:v>
      </x:c>
      <x:c r="S814" s="102" t="n">
        <x:v>100</x:v>
      </x:c>
      <x:c r="T814" t="str">
        <x:v>VALID</x:v>
      </x:c>
      <x:c r="U814" t="n">
        <x:v>3350</x:v>
      </x:c>
      <x:c r="V814" t="str">
        <x:v>Pasted text(56).txt</x:v>
      </x:c>
    </x:row>
    <x:row r="815">
      <x:c r="A815" t="str">
        <x:v>S09</x:v>
      </x:c>
      <x:c r="B815" t="str">
        <x:v>1.15 validated five-run session</x:v>
      </x:c>
      <x:c r="C815" s="54" t="n">
        <x:v>1.15</x:v>
      </x:c>
      <x:c r="D815" t="n">
        <x:v>4</x:v>
      </x:c>
      <x:c r="E815" t="n">
        <x:v>1</x:v>
      </x:c>
      <x:c r="F815" t="str">
        <x:v>SEARCH</x:v>
      </x:c>
      <x:c r="G815" t="n">
        <x:v>11</x:v>
      </x:c>
      <x:c r="H815" s="54" t="n">
        <x:v>11</x:v>
      </x:c>
      <x:c r="I815" s="54" t="n">
        <x:v>1.02588</x:v>
      </x:c>
      <x:c r="J815" s="54" t="n">
        <x:v>1.0257</x:v>
      </x:c>
      <x:c r="K815" s="54" t="n">
        <x:v>0.25571</x:v>
      </x:c>
      <x:c r="L815" s="54" t="n">
        <x:v>0.45978</x:v>
      </x:c>
      <x:c r="M815" s="54" t="n">
        <x:v>1.15328</x:v>
      </x:c>
      <x:c r="N815" s="56" t="n">
        <x:v>-10.79</x:v>
      </x:c>
      <x:c r="O815" s="56" t="n">
        <x:v>1.28</x:v>
      </x:c>
      <x:c r="P815" s="56" t="n">
        <x:v>0.89</x:v>
      </x:c>
      <x:c r="Q815" s="56" t="n">
        <x:v>93.2</x:v>
      </x:c>
      <x:c r="R815" t="str">
        <x:v>X</x:v>
      </x:c>
      <x:c r="S815" s="102" t="n">
        <x:v>100</x:v>
      </x:c>
      <x:c r="T815" t="str">
        <x:v>VALID</x:v>
      </x:c>
      <x:c r="U815" t="n">
        <x:v>3351</x:v>
      </x:c>
      <x:c r="V815" t="str">
        <x:v>Pasted text(56).txt</x:v>
      </x:c>
    </x:row>
    <x:row r="816">
      <x:c r="A816" t="str">
        <x:v>S09</x:v>
      </x:c>
      <x:c r="B816" t="str">
        <x:v>1.15 validated five-run session</x:v>
      </x:c>
      <x:c r="C816" s="54" t="n">
        <x:v>1.15</x:v>
      </x:c>
      <x:c r="D816" t="n">
        <x:v>4</x:v>
      </x:c>
      <x:c r="E816" t="n">
        <x:v>1</x:v>
      </x:c>
      <x:c r="F816" t="str">
        <x:v>SEARCH</x:v>
      </x:c>
      <x:c r="G816" t="n">
        <x:v>12</x:v>
      </x:c>
      <x:c r="H816" s="54" t="n">
        <x:v>11.25</x:v>
      </x:c>
      <x:c r="I816" s="54" t="n">
        <x:v>1.03861</x:v>
      </x:c>
      <x:c r="J816" s="54" t="n">
        <x:v>1.03872</x:v>
      </x:c>
      <x:c r="K816" s="54" t="n">
        <x:v>0.25308</x:v>
      </x:c>
      <x:c r="L816" s="54" t="n">
        <x:v>0.45905</x:v>
      </x:c>
      <x:c r="M816" s="54" t="n">
        <x:v>1.16359</x:v>
      </x:c>
      <x:c r="N816" s="56" t="n">
        <x:v>-9.69</x:v>
      </x:c>
      <x:c r="O816" s="56" t="n">
        <x:v>0.51</x:v>
      </x:c>
      <x:c r="P816" s="56" t="n">
        <x:v>0.36</x:v>
      </x:c>
      <x:c r="Q816" s="56" t="n">
        <x:v>92.5</x:v>
      </x:c>
      <x:c r="R816" t="str">
        <x:v>X</x:v>
      </x:c>
      <x:c r="S816" s="102" t="n">
        <x:v>100</x:v>
      </x:c>
      <x:c r="T816" t="str">
        <x:v>VALID</x:v>
      </x:c>
      <x:c r="U816" t="n">
        <x:v>3352</x:v>
      </x:c>
      <x:c r="V816" t="str">
        <x:v>Pasted text(56).txt</x:v>
      </x:c>
    </x:row>
    <x:row r="817">
      <x:c r="A817" t="str">
        <x:v>S09</x:v>
      </x:c>
      <x:c r="B817" t="str">
        <x:v>1.15 validated five-run session</x:v>
      </x:c>
      <x:c r="C817" s="54" t="n">
        <x:v>1.15</x:v>
      </x:c>
      <x:c r="D817" t="n">
        <x:v>4</x:v>
      </x:c>
      <x:c r="E817" t="n">
        <x:v>1</x:v>
      </x:c>
      <x:c r="F817" t="str">
        <x:v>SEARCH</x:v>
      </x:c>
      <x:c r="G817" t="n">
        <x:v>13</x:v>
      </x:c>
      <x:c r="H817" s="54" t="n">
        <x:v>11.5</x:v>
      </x:c>
      <x:c r="I817" s="54" t="n">
        <x:v>1.07136</x:v>
      </x:c>
      <x:c r="J817" s="54" t="n">
        <x:v>1.07079</x:v>
      </x:c>
      <x:c r="K817" s="54" t="n">
        <x:v>0.27512</x:v>
      </x:c>
      <x:c r="L817" s="54" t="n">
        <x:v>0.48456</x:v>
      </x:c>
      <x:c r="M817" s="54" t="n">
        <x:v>1.20719</x:v>
      </x:c>
      <x:c r="N817" s="56" t="n">
        <x:v>-6.84</x:v>
      </x:c>
      <x:c r="O817" s="56" t="n">
        <x:v>1.95</x:v>
      </x:c>
      <x:c r="P817" s="56" t="n">
        <x:v>1.39</x:v>
      </x:c>
      <x:c r="Q817" s="56" t="n">
        <x:v>93.3</x:v>
      </x:c>
      <x:c r="R817" t="str">
        <x:v>X</x:v>
      </x:c>
      <x:c r="S817" s="102" t="n">
        <x:v>100</x:v>
      </x:c>
      <x:c r="T817" t="str">
        <x:v>IN TARGET BAND</x:v>
      </x:c>
      <x:c r="U817" t="n">
        <x:v>3353</x:v>
      </x:c>
      <x:c r="V817" t="str">
        <x:v>Pasted text(56).txt</x:v>
      </x:c>
    </x:row>
    <x:row r="818">
      <x:c r="A818" t="str">
        <x:v>S09</x:v>
      </x:c>
      <x:c r="B818" t="str">
        <x:v>1.15 validated five-run session</x:v>
      </x:c>
      <x:c r="C818" s="54" t="n">
        <x:v>1.15</x:v>
      </x:c>
      <x:c r="D818" t="n">
        <x:v>4</x:v>
      </x:c>
      <x:c r="E818" t="n">
        <x:v>1</x:v>
      </x:c>
      <x:c r="F818" t="str">
        <x:v>FINE</x:v>
      </x:c>
      <x:c r="G818" t="n">
        <x:v>1</x:v>
      </x:c>
      <x:c r="H818" s="54" t="n">
        <x:v>10.5</x:v>
      </x:c>
      <x:c r="I818" s="54" t="n">
        <x:v>0.96402</x:v>
      </x:c>
      <x:c r="J818" s="54" t="n">
        <x:v>0.96565</x:v>
      </x:c>
      <x:c r="K818" s="54" t="n">
        <x:v>0.26639</x:v>
      </x:c>
      <x:c r="L818" s="54" t="n">
        <x:v>0.43428</x:v>
      </x:c>
      <x:c r="M818" s="54" t="n">
        <x:v>1.0919</x:v>
      </x:c>
      <x:c r="N818" s="56" t="n">
        <x:v>-16.17</x:v>
      </x:c>
      <x:c r="O818" s="56" t="n">
        <x:v>0.45</x:v>
      </x:c>
      <x:c r="P818" s="56" t="n">
        <x:v>0.58</x:v>
      </x:c>
      <x:c r="Q818" s="56" t="n">
        <x:v>94</x:v>
      </x:c>
      <x:c r="R818" t="str">
        <x:v>X</x:v>
      </x:c>
      <x:c r="S818" s="102" t="n">
        <x:v>100</x:v>
      </x:c>
      <x:c r="T818" t="str">
        <x:v>VALID</x:v>
      </x:c>
      <x:c r="U818" t="n">
        <x:v>3357</x:v>
      </x:c>
      <x:c r="V818" t="str">
        <x:v>Pasted text(56).txt</x:v>
      </x:c>
    </x:row>
    <x:row r="819">
      <x:c r="A819" t="str">
        <x:v>S09</x:v>
      </x:c>
      <x:c r="B819" t="str">
        <x:v>1.15 validated five-run session</x:v>
      </x:c>
      <x:c r="C819" s="54" t="n">
        <x:v>1.15</x:v>
      </x:c>
      <x:c r="D819" t="n">
        <x:v>4</x:v>
      </x:c>
      <x:c r="E819" t="n">
        <x:v>1</x:v>
      </x:c>
      <x:c r="F819" t="str">
        <x:v>FINE</x:v>
      </x:c>
      <x:c r="G819" t="n">
        <x:v>2</x:v>
      </x:c>
      <x:c r="H819" s="54" t="n">
        <x:v>10.75</x:v>
      </x:c>
      <x:c r="I819" s="54" t="n">
        <x:v>0.98569</x:v>
      </x:c>
      <x:c r="J819" s="54" t="n">
        <x:v>0.99023</x:v>
      </x:c>
      <x:c r="K819" s="54" t="n">
        <x:v>0.24114</x:v>
      </x:c>
      <x:c r="L819" s="54" t="n">
        <x:v>0.43561</x:v>
      </x:c>
      <x:c r="M819" s="54" t="n">
        <x:v>1.10854</x:v>
      </x:c>
      <x:c r="N819" s="56" t="n">
        <x:v>-14.29</x:v>
      </x:c>
      <x:c r="O819" s="56" t="n">
        <x:v>1.3</x:v>
      </x:c>
      <x:c r="P819" s="56" t="n">
        <x:v>1.61</x:v>
      </x:c>
      <x:c r="Q819" s="56" t="n">
        <x:v>93.1</x:v>
      </x:c>
      <x:c r="R819" t="str">
        <x:v>X</x:v>
      </x:c>
      <x:c r="S819" s="102" t="n">
        <x:v>100</x:v>
      </x:c>
      <x:c r="T819" t="str">
        <x:v>VALID</x:v>
      </x:c>
      <x:c r="U819" t="n">
        <x:v>3358</x:v>
      </x:c>
      <x:c r="V819" t="str">
        <x:v>Pasted text(56).txt</x:v>
      </x:c>
    </x:row>
    <x:row r="820">
      <x:c r="A820" t="str">
        <x:v>S09</x:v>
      </x:c>
      <x:c r="B820" t="str">
        <x:v>1.15 validated five-run session</x:v>
      </x:c>
      <x:c r="C820" s="54" t="n">
        <x:v>1.15</x:v>
      </x:c>
      <x:c r="D820" t="n">
        <x:v>4</x:v>
      </x:c>
      <x:c r="E820" t="n">
        <x:v>1</x:v>
      </x:c>
      <x:c r="F820" t="str">
        <x:v>FINE</x:v>
      </x:c>
      <x:c r="G820" t="n">
        <x:v>3</x:v>
      </x:c>
      <x:c r="H820" s="54" t="n">
        <x:v>11</x:v>
      </x:c>
      <x:c r="I820" s="54" t="n">
        <x:v>1.00693</x:v>
      </x:c>
      <x:c r="J820" s="54" t="n">
        <x:v>1.01239</x:v>
      </x:c>
      <x:c r="K820" s="54" t="n">
        <x:v>0.27696</x:v>
      </x:c>
      <x:c r="L820" s="54" t="n">
        <x:v>0.49542</x:v>
      </x:c>
      <x:c r="M820" s="54" t="n">
        <x:v>1.16071</x:v>
      </x:c>
      <x:c r="N820" s="56" t="n">
        <x:v>-12.44</x:v>
      </x:c>
      <x:c r="O820" s="56" t="n">
        <x:v>1.04</x:v>
      </x:c>
      <x:c r="P820" s="56" t="n">
        <x:v>1.58</x:v>
      </x:c>
      <x:c r="Q820" s="56" t="n">
        <x:v>93.9</x:v>
      </x:c>
      <x:c r="R820" t="str">
        <x:v>X</x:v>
      </x:c>
      <x:c r="S820" s="102" t="n">
        <x:v>100</x:v>
      </x:c>
      <x:c r="T820" t="str">
        <x:v>VALID</x:v>
      </x:c>
      <x:c r="U820" t="n">
        <x:v>3359</x:v>
      </x:c>
      <x:c r="V820" t="str">
        <x:v>Pasted text(56).txt</x:v>
      </x:c>
    </x:row>
    <x:row r="821">
      <x:c r="A821" t="str">
        <x:v>S09</x:v>
      </x:c>
      <x:c r="B821" t="str">
        <x:v>1.15 validated five-run session</x:v>
      </x:c>
      <x:c r="C821" s="54" t="n">
        <x:v>1.15</x:v>
      </x:c>
      <x:c r="D821" t="n">
        <x:v>4</x:v>
      </x:c>
      <x:c r="E821" t="n">
        <x:v>1</x:v>
      </x:c>
      <x:c r="F821" t="str">
        <x:v>FINE</x:v>
      </x:c>
      <x:c r="G821" t="n">
        <x:v>4</x:v>
      </x:c>
      <x:c r="H821" s="54" t="n">
        <x:v>11.25</x:v>
      </x:c>
      <x:c r="I821" s="54" t="n">
        <x:v>1.04887</x:v>
      </x:c>
      <x:c r="J821" s="54" t="n">
        <x:v>1.0488</x:v>
      </x:c>
      <x:c r="K821" s="54" t="n">
        <x:v>0.26472</x:v>
      </x:c>
      <x:c r="L821" s="54" t="n">
        <x:v>0.47171</x:v>
      </x:c>
      <x:c r="M821" s="54" t="n">
        <x:v>1.18028</x:v>
      </x:c>
      <x:c r="N821" s="56" t="n">
        <x:v>-8.79</x:v>
      </x:c>
      <x:c r="O821" s="56" t="n">
        <x:v>1.18</x:v>
      </x:c>
      <x:c r="P821" s="56" t="n">
        <x:v>0.81</x:v>
      </x:c>
      <x:c r="Q821" s="56" t="n">
        <x:v>92.9</x:v>
      </x:c>
      <x:c r="R821" t="str">
        <x:v>X</x:v>
      </x:c>
      <x:c r="S821" s="102" t="n">
        <x:v>100</x:v>
      </x:c>
      <x:c r="T821" t="str">
        <x:v>VALID</x:v>
      </x:c>
      <x:c r="U821" t="n">
        <x:v>3360</x:v>
      </x:c>
      <x:c r="V821" t="str">
        <x:v>Pasted text(56).txt</x:v>
      </x:c>
    </x:row>
    <x:row r="822">
      <x:c r="A822" t="str">
        <x:v>S09</x:v>
      </x:c>
      <x:c r="B822" t="str">
        <x:v>1.15 validated five-run session</x:v>
      </x:c>
      <x:c r="C822" s="54" t="n">
        <x:v>1.15</x:v>
      </x:c>
      <x:c r="D822" t="n">
        <x:v>4</x:v>
      </x:c>
      <x:c r="E822" t="n">
        <x:v>1</x:v>
      </x:c>
      <x:c r="F822" t="str">
        <x:v>FINE</x:v>
      </x:c>
      <x:c r="G822" t="n">
        <x:v>5</x:v>
      </x:c>
      <x:c r="H822" s="54" t="n">
        <x:v>11.5</x:v>
      </x:c>
      <x:c r="I822" s="54" t="n">
        <x:v>1.06661</x:v>
      </x:c>
      <x:c r="J822" s="54" t="n">
        <x:v>1.06458</x:v>
      </x:c>
      <x:c r="K822" s="54" t="n">
        <x:v>0.26108</x:v>
      </x:c>
      <x:c r="L822" s="54" t="n">
        <x:v>0.45929</x:v>
      </x:c>
      <x:c r="M822" s="54" t="n">
        <x:v>1.18877</x:v>
      </x:c>
      <x:c r="N822" s="56" t="n">
        <x:v>-7.25</x:v>
      </x:c>
      <x:c r="O822" s="56" t="n">
        <x:v>1.93</x:v>
      </x:c>
      <x:c r="P822" s="56" t="n">
        <x:v>1.6</x:v>
      </x:c>
      <x:c r="Q822" s="56" t="n">
        <x:v>93.2</x:v>
      </x:c>
      <x:c r="R822" t="str">
        <x:v>X</x:v>
      </x:c>
      <x:c r="S822" s="102" t="n">
        <x:v>100</x:v>
      </x:c>
      <x:c r="T822" t="str">
        <x:v>IN TARGET BAND</x:v>
      </x:c>
      <x:c r="U822" t="n">
        <x:v>3361</x:v>
      </x:c>
      <x:c r="V822" t="str">
        <x:v>Pasted text(56).txt</x:v>
      </x:c>
    </x:row>
    <x:row r="823">
      <x:c r="A823" t="str">
        <x:v>S09</x:v>
      </x:c>
      <x:c r="B823" t="str">
        <x:v>1.15 validated five-run session</x:v>
      </x:c>
      <x:c r="C823" s="54" t="n">
        <x:v>1.15</x:v>
      </x:c>
      <x:c r="D823" t="n">
        <x:v>4</x:v>
      </x:c>
      <x:c r="E823" t="n">
        <x:v>1</x:v>
      </x:c>
      <x:c r="F823" t="str">
        <x:v>FINE</x:v>
      </x:c>
      <x:c r="G823" t="n">
        <x:v>6</x:v>
      </x:c>
      <x:c r="H823" s="54" t="n">
        <x:v>11.75</x:v>
      </x:c>
      <x:c r="I823" s="54" t="n">
        <x:v>1.11725</x:v>
      </x:c>
      <x:c r="J823" s="54" t="n">
        <x:v>1.11371</x:v>
      </x:c>
      <x:c r="K823" s="54" t="n">
        <x:v>0.26774</x:v>
      </x:c>
      <x:c r="L823" s="54" t="n">
        <x:v>0.49003</x:v>
      </x:c>
      <x:c r="M823" s="54" t="n">
        <x:v>1.24597</x:v>
      </x:c>
      <x:c r="N823" s="56" t="n">
        <x:v>-2.85</x:v>
      </x:c>
      <x:c r="O823" s="56" t="n">
        <x:v>2.9</x:v>
      </x:c>
      <x:c r="P823" s="56" t="n">
        <x:v>2.45</x:v>
      </x:c>
      <x:c r="Q823" s="56" t="n">
        <x:v>93.6</x:v>
      </x:c>
      <x:c r="R823" t="str">
        <x:v>X</x:v>
      </x:c>
      <x:c r="S823" s="102" t="n">
        <x:v>100</x:v>
      </x:c>
      <x:c r="T823" t="str">
        <x:v>IN TARGET BAND</x:v>
      </x:c>
      <x:c r="U823" t="n">
        <x:v>3362</x:v>
      </x:c>
      <x:c r="V823" t="str">
        <x:v>Pasted text(56).txt</x:v>
      </x:c>
    </x:row>
    <x:row r="824">
      <x:c r="A824" t="str">
        <x:v>S09</x:v>
      </x:c>
      <x:c r="B824" t="str">
        <x:v>1.15 validated five-run session</x:v>
      </x:c>
      <x:c r="C824" s="54" t="n">
        <x:v>1.15</x:v>
      </x:c>
      <x:c r="D824" t="n">
        <x:v>4</x:v>
      </x:c>
      <x:c r="E824" t="n">
        <x:v>1</x:v>
      </x:c>
      <x:c r="F824" t="str">
        <x:v>FINE</x:v>
      </x:c>
      <x:c r="G824" t="n">
        <x:v>7</x:v>
      </x:c>
      <x:c r="H824" s="54" t="n">
        <x:v>12</x:v>
      </x:c>
      <x:c r="I824" s="54" t="n">
        <x:v>1.12241</x:v>
      </x:c>
      <x:c r="J824" s="54" t="n">
        <x:v>1.11793</x:v>
      </x:c>
      <x:c r="K824" s="54" t="n">
        <x:v>0.28321</x:v>
      </x:c>
      <x:c r="L824" s="54" t="n">
        <x:v>0.48266</x:v>
      </x:c>
      <x:c r="M824" s="54" t="n">
        <x:v>1.25049</x:v>
      </x:c>
      <x:c r="N824" s="56" t="n">
        <x:v>-2.4</x:v>
      </x:c>
      <x:c r="O824" s="56" t="n">
        <x:v>1.01</x:v>
      </x:c>
      <x:c r="P824" s="56" t="n">
        <x:v>1.33</x:v>
      </x:c>
      <x:c r="Q824" s="56" t="n">
        <x:v>93.6</x:v>
      </x:c>
      <x:c r="R824" t="str">
        <x:v>X</x:v>
      </x:c>
      <x:c r="S824" s="102" t="n">
        <x:v>100</x:v>
      </x:c>
      <x:c r="T824" t="str">
        <x:v>IN TARGET BAND</x:v>
      </x:c>
      <x:c r="U824" t="n">
        <x:v>3363</x:v>
      </x:c>
      <x:c r="V824" t="str">
        <x:v>Pasted text(56).txt</x:v>
      </x:c>
    </x:row>
    <x:row r="825">
      <x:c r="A825" t="str">
        <x:v>S09</x:v>
      </x:c>
      <x:c r="B825" t="str">
        <x:v>1.15 validated five-run session</x:v>
      </x:c>
      <x:c r="C825" s="54" t="n">
        <x:v>1.15</x:v>
      </x:c>
      <x:c r="D825" t="n">
        <x:v>4</x:v>
      </x:c>
      <x:c r="E825" t="n">
        <x:v>1</x:v>
      </x:c>
      <x:c r="F825" t="str">
        <x:v>FINE</x:v>
      </x:c>
      <x:c r="G825" t="n">
        <x:v>8</x:v>
      </x:c>
      <x:c r="H825" s="54" t="n">
        <x:v>12.25</x:v>
      </x:c>
      <x:c r="I825" s="54" t="n">
        <x:v>1.14963</x:v>
      </x:c>
      <x:c r="J825" s="54" t="n">
        <x:v>1.15478</x:v>
      </x:c>
      <x:c r="K825" s="54" t="n">
        <x:v>0.28309</x:v>
      </x:c>
      <x:c r="L825" s="54" t="n">
        <x:v>0.50051</x:v>
      </x:c>
      <x:c r="M825" s="54" t="n">
        <x:v>1.29031</x:v>
      </x:c>
      <x:c r="N825" s="56" t="n">
        <x:v>-0.03</x:v>
      </x:c>
      <x:c r="O825" s="56" t="n">
        <x:v>0.33</x:v>
      </x:c>
      <x:c r="P825" s="56" t="n">
        <x:v>0.97</x:v>
      </x:c>
      <x:c r="Q825" s="56" t="n">
        <x:v>93</x:v>
      </x:c>
      <x:c r="R825" t="str">
        <x:v>X</x:v>
      </x:c>
      <x:c r="S825" s="102" t="n">
        <x:v>100</x:v>
      </x:c>
      <x:c r="T825" t="str">
        <x:v>IN TARGET BAND</x:v>
      </x:c>
      <x:c r="U825" t="n">
        <x:v>3364</x:v>
      </x:c>
      <x:c r="V825" t="str">
        <x:v>Pasted text(56).txt</x:v>
      </x:c>
    </x:row>
    <x:row r="826">
      <x:c r="A826" t="str">
        <x:v>S09</x:v>
      </x:c>
      <x:c r="B826" t="str">
        <x:v>1.15 validated five-run session</x:v>
      </x:c>
      <x:c r="C826" s="54" t="n">
        <x:v>1.15</x:v>
      </x:c>
      <x:c r="D826" t="n">
        <x:v>4</x:v>
      </x:c>
      <x:c r="E826" t="n">
        <x:v>1</x:v>
      </x:c>
      <x:c r="F826" t="str">
        <x:v>FINE</x:v>
      </x:c>
      <x:c r="G826" t="n">
        <x:v>9</x:v>
      </x:c>
      <x:c r="H826" s="54" t="n">
        <x:v>12.5</x:v>
      </x:c>
      <x:c r="I826" s="54" t="n">
        <x:v>1.19014</x:v>
      </x:c>
      <x:c r="J826" s="54" t="n">
        <x:v>1.18749</x:v>
      </x:c>
      <x:c r="K826" s="54" t="n">
        <x:v>0.31775</x:v>
      </x:c>
      <x:c r="L826" s="54" t="n">
        <x:v>0.50973</x:v>
      </x:c>
      <x:c r="M826" s="54" t="n">
        <x:v>1.33154</x:v>
      </x:c>
      <x:c r="N826" s="56" t="n">
        <x:v>3.49</x:v>
      </x:c>
      <x:c r="O826" s="56" t="n">
        <x:v>1.53</x:v>
      </x:c>
      <x:c r="P826" s="56" t="n">
        <x:v>1.39</x:v>
      </x:c>
      <x:c r="Q826" s="56" t="n">
        <x:v>94.7</x:v>
      </x:c>
      <x:c r="R826" t="str">
        <x:v>X</x:v>
      </x:c>
      <x:c r="S826" s="102" t="n">
        <x:v>100</x:v>
      </x:c>
      <x:c r="T826" t="str">
        <x:v>IN TARGET BAND</x:v>
      </x:c>
      <x:c r="U826" t="n">
        <x:v>3365</x:v>
      </x:c>
      <x:c r="V826" t="str">
        <x:v>Pasted text(56).txt</x:v>
      </x:c>
    </x:row>
    <x:row r="827">
      <x:c r="A827" t="str">
        <x:v>S09</x:v>
      </x:c>
      <x:c r="B827" t="str">
        <x:v>1.15 validated five-run session</x:v>
      </x:c>
      <x:c r="C827" s="54" t="n">
        <x:v>1.15</x:v>
      </x:c>
      <x:c r="D827" t="n">
        <x:v>4</x:v>
      </x:c>
      <x:c r="E827" t="n">
        <x:v>1</x:v>
      </x:c>
      <x:c r="F827" t="str">
        <x:v>FINAL</x:v>
      </x:c>
      <x:c r="G827" t="n">
        <x:v>1</x:v>
      </x:c>
      <x:c r="H827" s="54" t="n">
        <x:v>12.25</x:v>
      </x:c>
      <x:c r="I827" s="54" t="n">
        <x:v>1.16291</x:v>
      </x:c>
      <x:c r="J827" s="54" t="n">
        <x:v>1.15451</x:v>
      </x:c>
      <x:c r="K827" s="54" t="n">
        <x:v>0.28631</x:v>
      </x:c>
      <x:c r="L827" s="54" t="n">
        <x:v>0.5265</x:v>
      </x:c>
      <x:c r="M827" s="54" t="n">
        <x:v>1.30103</x:v>
      </x:c>
      <x:c r="N827" s="56" t="n">
        <x:v>1.12</x:v>
      </x:c>
      <x:c r="O827" s="56" t="n">
        <x:v>0.99</x:v>
      </x:c>
      <x:c r="P827" s="56" t="n">
        <x:v>1.58</x:v>
      </x:c>
      <x:c r="Q827" s="56" t="n">
        <x:v>93.4</x:v>
      </x:c>
      <x:c r="R827" t="str">
        <x:v>X</x:v>
      </x:c>
      <x:c r="S827" s="102" t="n">
        <x:v>100</x:v>
      </x:c>
      <x:c r="T827" t="str">
        <x:v>IN TARGET BAND</x:v>
      </x:c>
      <x:c r="U827" t="n">
        <x:v>3368</x:v>
      </x:c>
      <x:c r="V827" t="str">
        <x:v>Pasted text(56).txt</x:v>
      </x:c>
    </x:row>
    <x:row r="828">
      <x:c r="A828" t="str">
        <x:v>S09</x:v>
      </x:c>
      <x:c r="B828" t="str">
        <x:v>1.15 validated five-run session</x:v>
      </x:c>
      <x:c r="C828" s="54" t="n">
        <x:v>1.15</x:v>
      </x:c>
      <x:c r="D828" t="n">
        <x:v>4</x:v>
      </x:c>
      <x:c r="E828" t="n">
        <x:v>1</x:v>
      </x:c>
      <x:c r="F828" t="str">
        <x:v>FINAL</x:v>
      </x:c>
      <x:c r="G828" t="n">
        <x:v>2</x:v>
      </x:c>
      <x:c r="H828" s="54" t="n">
        <x:v>12.25</x:v>
      </x:c>
      <x:c r="I828" s="54" t="n">
        <x:v>1.16352</x:v>
      </x:c>
      <x:c r="J828" s="54" t="n">
        <x:v>1.15582</x:v>
      </x:c>
      <x:c r="K828" s="54" t="n">
        <x:v>0.29376</x:v>
      </x:c>
      <x:c r="L828" s="54" t="n">
        <x:v>0.4883</x:v>
      </x:c>
      <x:c r="M828" s="54" t="n">
        <x:v>1.28891</x:v>
      </x:c>
      <x:c r="N828" s="56" t="n">
        <x:v>1.18</x:v>
      </x:c>
      <x:c r="O828" s="56" t="n">
        <x:v>1.26</x:v>
      </x:c>
      <x:c r="P828" s="56" t="n">
        <x:v>1.55</x:v>
      </x:c>
      <x:c r="Q828" s="56" t="n">
        <x:v>93.6</x:v>
      </x:c>
      <x:c r="R828" t="str">
        <x:v>X</x:v>
      </x:c>
      <x:c r="S828" s="102" t="n">
        <x:v>100</x:v>
      </x:c>
      <x:c r="T828" t="str">
        <x:v>IN TARGET BAND</x:v>
      </x:c>
      <x:c r="U828" t="n">
        <x:v>3369</x:v>
      </x:c>
      <x:c r="V828" t="str">
        <x:v>Pasted text(56).txt</x:v>
      </x:c>
    </x:row>
    <x:row r="829">
      <x:c r="A829" t="str">
        <x:v>S09</x:v>
      </x:c>
      <x:c r="B829" t="str">
        <x:v>1.15 validated five-run session</x:v>
      </x:c>
      <x:c r="C829" s="54" t="n">
        <x:v>1.15</x:v>
      </x:c>
      <x:c r="D829" t="n">
        <x:v>5</x:v>
      </x:c>
      <x:c r="E829" t="n">
        <x:v>1</x:v>
      </x:c>
      <x:c r="F829" t="str">
        <x:v>SEARCH</x:v>
      </x:c>
      <x:c r="G829" t="n">
        <x:v>1</x:v>
      </x:c>
      <x:c r="H829" s="54" t="n">
        <x:v>1</x:v>
      </x:c>
      <x:c r="I829" s="54" t="n">
        <x:v>0.02983</x:v>
      </x:c>
      <x:c r="J829" s="54" t="n">
        <x:v>0.03072</x:v>
      </x:c>
      <x:c r="K829" s="54" t="n">
        <x:v>0.01137</x:v>
      </x:c>
      <x:c r="L829" s="54" t="n">
        <x:v>0.01831</x:v>
      </x:c>
      <x:c r="M829" s="54" t="n">
        <x:v>0.03758</x:v>
      </x:c>
      <x:c r="N829" s="56" t="n">
        <x:v>-97.41</x:v>
      </x:c>
      <x:c r="O829" s="56" t="n">
        <x:v>8.87</x:v>
      </x:c>
      <x:c r="P829" s="56" t="n">
        <x:v>4.11</x:v>
      </x:c>
      <x:c r="Q829" s="56" t="n">
        <x:v>17.8</x:v>
      </x:c>
      <x:c r="R829" t="str">
        <x:v>X</x:v>
      </x:c>
      <x:c r="S829" s="102" t="n">
        <x:v>100</x:v>
      </x:c>
      <x:c r="T829" t="str">
        <x:v>BELOW MEASUREMENT FLOOR — SEARCH CONTINUES</x:v>
      </x:c>
      <x:c r="U829" t="n">
        <x:v>3425</x:v>
      </x:c>
      <x:c r="V829" t="str">
        <x:v>Pasted text(56).txt</x:v>
      </x:c>
    </x:row>
    <x:row r="830">
      <x:c r="A830" t="str">
        <x:v>S09</x:v>
      </x:c>
      <x:c r="B830" t="str">
        <x:v>1.15 validated five-run session</x:v>
      </x:c>
      <x:c r="C830" s="54" t="n">
        <x:v>1.15</x:v>
      </x:c>
      <x:c r="D830" t="n">
        <x:v>5</x:v>
      </x:c>
      <x:c r="E830" t="n">
        <x:v>1</x:v>
      </x:c>
      <x:c r="F830" t="str">
        <x:v>SEARCH</x:v>
      </x:c>
      <x:c r="G830" t="n">
        <x:v>2</x:v>
      </x:c>
      <x:c r="H830" s="54" t="n">
        <x:v>3</x:v>
      </x:c>
      <x:c r="I830" s="54" t="n">
        <x:v>0.16023</x:v>
      </x:c>
      <x:c r="J830" s="54" t="n">
        <x:v>0.15331</x:v>
      </x:c>
      <x:c r="K830" s="54" t="n">
        <x:v>0.06885</x:v>
      </x:c>
      <x:c r="L830" s="54" t="n">
        <x:v>0.08732</x:v>
      </x:c>
      <x:c r="M830" s="54" t="n">
        <x:v>0.19085</x:v>
      </x:c>
      <x:c r="N830" s="56" t="n">
        <x:v>-86.07</x:v>
      </x:c>
      <x:c r="O830" s="56" t="n">
        <x:v>1.21</x:v>
      </x:c>
      <x:c r="P830" s="56" t="n">
        <x:v>8.56</x:v>
      </x:c>
      <x:c r="Q830" s="56" t="n">
        <x:v>62.6</x:v>
      </x:c>
      <x:c r="R830" t="str">
        <x:v>X</x:v>
      </x:c>
      <x:c r="S830" s="102" t="n">
        <x:v>100</x:v>
      </x:c>
      <x:c r="T830" t="str">
        <x:v>VALID</x:v>
      </x:c>
      <x:c r="U830" t="n">
        <x:v>3426</x:v>
      </x:c>
      <x:c r="V830" t="str">
        <x:v>Pasted text(56).txt</x:v>
      </x:c>
    </x:row>
    <x:row r="831">
      <x:c r="A831" t="str">
        <x:v>S09</x:v>
      </x:c>
      <x:c r="B831" t="str">
        <x:v>1.15 validated five-run session</x:v>
      </x:c>
      <x:c r="C831" s="54" t="n">
        <x:v>1.15</x:v>
      </x:c>
      <x:c r="D831" t="n">
        <x:v>5</x:v>
      </x:c>
      <x:c r="E831" t="n">
        <x:v>1</x:v>
      </x:c>
      <x:c r="F831" t="str">
        <x:v>SEARCH</x:v>
      </x:c>
      <x:c r="G831" t="n">
        <x:v>3</x:v>
      </x:c>
      <x:c r="H831" s="54" t="n">
        <x:v>5</x:v>
      </x:c>
      <x:c r="I831" s="54" t="n">
        <x:v>0.34527</x:v>
      </x:c>
      <x:c r="J831" s="54" t="n">
        <x:v>0.34531</x:v>
      </x:c>
      <x:c r="K831" s="54" t="n">
        <x:v>0.10577</x:v>
      </x:c>
      <x:c r="L831" s="54" t="n">
        <x:v>0.22839</x:v>
      </x:c>
      <x:c r="M831" s="54" t="n">
        <x:v>0.4275</x:v>
      </x:c>
      <x:c r="N831" s="56" t="n">
        <x:v>-69.98</x:v>
      </x:c>
      <x:c r="O831" s="56" t="n">
        <x:v>4.05</x:v>
      </x:c>
      <x:c r="P831" s="56" t="n">
        <x:v>2.75</x:v>
      </x:c>
      <x:c r="Q831" s="56" t="n">
        <x:v>82.3</x:v>
      </x:c>
      <x:c r="R831" t="str">
        <x:v>X</x:v>
      </x:c>
      <x:c r="S831" s="102" t="n">
        <x:v>100</x:v>
      </x:c>
      <x:c r="T831" t="str">
        <x:v>VALID</x:v>
      </x:c>
      <x:c r="U831" t="n">
        <x:v>3427</x:v>
      </x:c>
      <x:c r="V831" t="str">
        <x:v>Pasted text(56).txt</x:v>
      </x:c>
    </x:row>
    <x:row r="832">
      <x:c r="A832" t="str">
        <x:v>S09</x:v>
      </x:c>
      <x:c r="B832" t="str">
        <x:v>1.15 validated five-run session</x:v>
      </x:c>
      <x:c r="C832" s="54" t="n">
        <x:v>1.15</x:v>
      </x:c>
      <x:c r="D832" t="n">
        <x:v>5</x:v>
      </x:c>
      <x:c r="E832" t="n">
        <x:v>1</x:v>
      </x:c>
      <x:c r="F832" t="str">
        <x:v>SEARCH</x:v>
      </x:c>
      <x:c r="G832" t="n">
        <x:v>4</x:v>
      </x:c>
      <x:c r="H832" s="54" t="n">
        <x:v>6</x:v>
      </x:c>
      <x:c r="I832" s="54" t="n">
        <x:v>0.4464</x:v>
      </x:c>
      <x:c r="J832" s="54" t="n">
        <x:v>0.44589</x:v>
      </x:c>
      <x:c r="K832" s="54" t="n">
        <x:v>0.13108</x:v>
      </x:c>
      <x:c r="L832" s="54" t="n">
        <x:v>0.2434</x:v>
      </x:c>
      <x:c r="M832" s="54" t="n">
        <x:v>0.52485</x:v>
      </x:c>
      <x:c r="N832" s="56" t="n">
        <x:v>-61.18</x:v>
      </x:c>
      <x:c r="O832" s="56" t="n">
        <x:v>1.96</x:v>
      </x:c>
      <x:c r="P832" s="56" t="n">
        <x:v>1.5</x:v>
      </x:c>
      <x:c r="Q832" s="56" t="n">
        <x:v>85.7</x:v>
      </x:c>
      <x:c r="R832" t="str">
        <x:v>X</x:v>
      </x:c>
      <x:c r="S832" s="102" t="n">
        <x:v>100</x:v>
      </x:c>
      <x:c r="T832" t="str">
        <x:v>VALID</x:v>
      </x:c>
      <x:c r="U832" t="n">
        <x:v>3428</x:v>
      </x:c>
      <x:c r="V832" t="str">
        <x:v>Pasted text(56).txt</x:v>
      </x:c>
    </x:row>
    <x:row r="833">
      <x:c r="A833" t="str">
        <x:v>S09</x:v>
      </x:c>
      <x:c r="B833" t="str">
        <x:v>1.15 validated five-run session</x:v>
      </x:c>
      <x:c r="C833" s="54" t="n">
        <x:v>1.15</x:v>
      </x:c>
      <x:c r="D833" t="n">
        <x:v>5</x:v>
      </x:c>
      <x:c r="E833" t="n">
        <x:v>1</x:v>
      </x:c>
      <x:c r="F833" t="str">
        <x:v>SEARCH</x:v>
      </x:c>
      <x:c r="G833" t="n">
        <x:v>5</x:v>
      </x:c>
      <x:c r="H833" s="54" t="n">
        <x:v>7</x:v>
      </x:c>
      <x:c r="I833" s="54" t="n">
        <x:v>0.57729</x:v>
      </x:c>
      <x:c r="J833" s="54" t="n">
        <x:v>0.57164</x:v>
      </x:c>
      <x:c r="K833" s="54" t="n">
        <x:v>0.17036</x:v>
      </x:c>
      <x:c r="L833" s="54" t="n">
        <x:v>0.29579</x:v>
      </x:c>
      <x:c r="M833" s="54" t="n">
        <x:v>0.66649</x:v>
      </x:c>
      <x:c r="N833" s="56" t="n">
        <x:v>-49.8</x:v>
      </x:c>
      <x:c r="O833" s="56" t="n">
        <x:v>0.05</x:v>
      </x:c>
      <x:c r="P833" s="56" t="n">
        <x:v>1.74</x:v>
      </x:c>
      <x:c r="Q833" s="56" t="n">
        <x:v>90.5</x:v>
      </x:c>
      <x:c r="R833" t="str">
        <x:v>X</x:v>
      </x:c>
      <x:c r="S833" s="102" t="n">
        <x:v>100</x:v>
      </x:c>
      <x:c r="T833" t="str">
        <x:v>VALID</x:v>
      </x:c>
      <x:c r="U833" t="n">
        <x:v>3429</x:v>
      </x:c>
      <x:c r="V833" t="str">
        <x:v>Pasted text(56).txt</x:v>
      </x:c>
    </x:row>
    <x:row r="834">
      <x:c r="A834" t="str">
        <x:v>S09</x:v>
      </x:c>
      <x:c r="B834" t="str">
        <x:v>1.15 validated five-run session</x:v>
      </x:c>
      <x:c r="C834" s="54" t="n">
        <x:v>1.15</x:v>
      </x:c>
      <x:c r="D834" t="n">
        <x:v>5</x:v>
      </x:c>
      <x:c r="E834" t="n">
        <x:v>1</x:v>
      </x:c>
      <x:c r="F834" t="str">
        <x:v>SEARCH</x:v>
      </x:c>
      <x:c r="G834" t="n">
        <x:v>6</x:v>
      </x:c>
      <x:c r="H834" s="54" t="n">
        <x:v>8</x:v>
      </x:c>
      <x:c r="I834" s="54" t="n">
        <x:v>0.65603</x:v>
      </x:c>
      <x:c r="J834" s="54" t="n">
        <x:v>0.66281</x:v>
      </x:c>
      <x:c r="K834" s="54" t="n">
        <x:v>0.16905</x:v>
      </x:c>
      <x:c r="L834" s="54" t="n">
        <x:v>0.33089</x:v>
      </x:c>
      <x:c r="M834" s="54" t="n">
        <x:v>0.75996</x:v>
      </x:c>
      <x:c r="N834" s="56" t="n">
        <x:v>-42.95</x:v>
      </x:c>
      <x:c r="O834" s="56" t="n">
        <x:v>1.19</x:v>
      </x:c>
      <x:c r="P834" s="56" t="n">
        <x:v>2.5</x:v>
      </x:c>
      <x:c r="Q834" s="56" t="n">
        <x:v>89.3</x:v>
      </x:c>
      <x:c r="R834" t="str">
        <x:v>X</x:v>
      </x:c>
      <x:c r="S834" s="102" t="n">
        <x:v>100</x:v>
      </x:c>
      <x:c r="T834" t="str">
        <x:v>VALID</x:v>
      </x:c>
      <x:c r="U834" t="n">
        <x:v>3430</x:v>
      </x:c>
      <x:c r="V834" t="str">
        <x:v>Pasted text(56).txt</x:v>
      </x:c>
    </x:row>
    <x:row r="835">
      <x:c r="A835" t="str">
        <x:v>S09</x:v>
      </x:c>
      <x:c r="B835" t="str">
        <x:v>1.15 validated five-run session</x:v>
      </x:c>
      <x:c r="C835" s="54" t="n">
        <x:v>1.15</x:v>
      </x:c>
      <x:c r="D835" t="n">
        <x:v>5</x:v>
      </x:c>
      <x:c r="E835" t="n">
        <x:v>1</x:v>
      </x:c>
      <x:c r="F835" t="str">
        <x:v>SEARCH</x:v>
      </x:c>
      <x:c r="G835" t="n">
        <x:v>7</x:v>
      </x:c>
      <x:c r="H835" s="54" t="n">
        <x:v>9</x:v>
      </x:c>
      <x:c r="I835" s="54" t="n">
        <x:v>0.7915</x:v>
      </x:c>
      <x:c r="J835" s="54" t="n">
        <x:v>0.78921</x:v>
      </x:c>
      <x:c r="K835" s="54" t="n">
        <x:v>0.20711</x:v>
      </x:c>
      <x:c r="L835" s="54" t="n">
        <x:v>0.38969</x:v>
      </x:c>
      <x:c r="M835" s="54" t="n">
        <x:v>0.90444</x:v>
      </x:c>
      <x:c r="N835" s="56" t="n">
        <x:v>-31.17</x:v>
      </x:c>
      <x:c r="O835" s="56" t="n">
        <x:v>0.41</x:v>
      </x:c>
      <x:c r="P835" s="56" t="n">
        <x:v>0.75</x:v>
      </x:c>
      <x:c r="Q835" s="56" t="n">
        <x:v>92</x:v>
      </x:c>
      <x:c r="R835" t="str">
        <x:v>X</x:v>
      </x:c>
      <x:c r="S835" s="102" t="n">
        <x:v>100</x:v>
      </x:c>
      <x:c r="T835" t="str">
        <x:v>VALID</x:v>
      </x:c>
      <x:c r="U835" t="n">
        <x:v>3431</x:v>
      </x:c>
      <x:c r="V835" t="str">
        <x:v>Pasted text(56).txt</x:v>
      </x:c>
    </x:row>
    <x:row r="836">
      <x:c r="A836" t="str">
        <x:v>S09</x:v>
      </x:c>
      <x:c r="B836" t="str">
        <x:v>1.15 validated five-run session</x:v>
      </x:c>
      <x:c r="C836" s="54" t="n">
        <x:v>1.15</x:v>
      </x:c>
      <x:c r="D836" t="n">
        <x:v>5</x:v>
      </x:c>
      <x:c r="E836" t="n">
        <x:v>1</x:v>
      </x:c>
      <x:c r="F836" t="str">
        <x:v>SEARCH</x:v>
      </x:c>
      <x:c r="G836" t="n">
        <x:v>8</x:v>
      </x:c>
      <x:c r="H836" s="54" t="n">
        <x:v>9.5</x:v>
      </x:c>
      <x:c r="I836" s="54" t="n">
        <x:v>0.81658</x:v>
      </x:c>
      <x:c r="J836" s="54" t="n">
        <x:v>0.81478</x:v>
      </x:c>
      <x:c r="K836" s="54" t="n">
        <x:v>0.21488</x:v>
      </x:c>
      <x:c r="L836" s="54" t="n">
        <x:v>0.39076</x:v>
      </x:c>
      <x:c r="M836" s="54" t="n">
        <x:v>0.92904</x:v>
      </x:c>
      <x:c r="N836" s="56" t="n">
        <x:v>-28.99</x:v>
      </x:c>
      <x:c r="O836" s="56" t="n">
        <x:v>0.7</x:v>
      </x:c>
      <x:c r="P836" s="56" t="n">
        <x:v>0.83</x:v>
      </x:c>
      <x:c r="Q836" s="56" t="n">
        <x:v>90.6</x:v>
      </x:c>
      <x:c r="R836" t="str">
        <x:v>X</x:v>
      </x:c>
      <x:c r="S836" s="102" t="n">
        <x:v>100</x:v>
      </x:c>
      <x:c r="T836" t="str">
        <x:v>VALID</x:v>
      </x:c>
      <x:c r="U836" t="n">
        <x:v>3432</x:v>
      </x:c>
      <x:c r="V836" t="str">
        <x:v>Pasted text(56).txt</x:v>
      </x:c>
    </x:row>
    <x:row r="837">
      <x:c r="A837" t="str">
        <x:v>S09</x:v>
      </x:c>
      <x:c r="B837" t="str">
        <x:v>1.15 validated five-run session</x:v>
      </x:c>
      <x:c r="C837" s="54" t="n">
        <x:v>1.15</x:v>
      </x:c>
      <x:c r="D837" t="n">
        <x:v>5</x:v>
      </x:c>
      <x:c r="E837" t="n">
        <x:v>1</x:v>
      </x:c>
      <x:c r="F837" t="str">
        <x:v>SEARCH</x:v>
      </x:c>
      <x:c r="G837" t="n">
        <x:v>9</x:v>
      </x:c>
      <x:c r="H837" s="54" t="n">
        <x:v>10</x:v>
      </x:c>
      <x:c r="I837" s="54" t="n">
        <x:v>0.8814</x:v>
      </x:c>
      <x:c r="J837" s="54" t="n">
        <x:v>0.88712</x:v>
      </x:c>
      <x:c r="K837" s="54" t="n">
        <x:v>0.23236</x:v>
      </x:c>
      <x:c r="L837" s="54" t="n">
        <x:v>0.41909</x:v>
      </x:c>
      <x:c r="M837" s="54" t="n">
        <x:v>1.00836</x:v>
      </x:c>
      <x:c r="N837" s="56" t="n">
        <x:v>-23.36</x:v>
      </x:c>
      <x:c r="O837" s="56" t="n">
        <x:v>1.93</x:v>
      </x:c>
      <x:c r="P837" s="56" t="n">
        <x:v>2.33</x:v>
      </x:c>
      <x:c r="Q837" s="56" t="n">
        <x:v>93.2</x:v>
      </x:c>
      <x:c r="R837" t="str">
        <x:v>X</x:v>
      </x:c>
      <x:c r="S837" s="102" t="n">
        <x:v>100</x:v>
      </x:c>
      <x:c r="T837" t="str">
        <x:v>VALID</x:v>
      </x:c>
      <x:c r="U837" t="n">
        <x:v>3433</x:v>
      </x:c>
      <x:c r="V837" t="str">
        <x:v>Pasted text(56).txt</x:v>
      </x:c>
    </x:row>
    <x:row r="838">
      <x:c r="A838" t="str">
        <x:v>S09</x:v>
      </x:c>
      <x:c r="B838" t="str">
        <x:v>1.15 validated five-run session</x:v>
      </x:c>
      <x:c r="C838" s="54" t="n">
        <x:v>1.15</x:v>
      </x:c>
      <x:c r="D838" t="n">
        <x:v>5</x:v>
      </x:c>
      <x:c r="E838" t="n">
        <x:v>1</x:v>
      </x:c>
      <x:c r="F838" t="str">
        <x:v>SEARCH</x:v>
      </x:c>
      <x:c r="G838" t="n">
        <x:v>10</x:v>
      </x:c>
      <x:c r="H838" s="54" t="n">
        <x:v>10.5</x:v>
      </x:c>
      <x:c r="I838" s="54" t="n">
        <x:v>0.93777</x:v>
      </x:c>
      <x:c r="J838" s="54" t="n">
        <x:v>0.93505</x:v>
      </x:c>
      <x:c r="K838" s="54" t="n">
        <x:v>0.23114</x:v>
      </x:c>
      <x:c r="L838" s="54" t="n">
        <x:v>0.43134</x:v>
      </x:c>
      <x:c r="M838" s="54" t="n">
        <x:v>1.05572</x:v>
      </x:c>
      <x:c r="N838" s="56" t="n">
        <x:v>-18.45</x:v>
      </x:c>
      <x:c r="O838" s="56" t="n">
        <x:v>2.4</x:v>
      </x:c>
      <x:c r="P838" s="56" t="n">
        <x:v>2.07</x:v>
      </x:c>
      <x:c r="Q838" s="56" t="n">
        <x:v>93.1</x:v>
      </x:c>
      <x:c r="R838" t="str">
        <x:v>X</x:v>
      </x:c>
      <x:c r="S838" s="102" t="n">
        <x:v>100</x:v>
      </x:c>
      <x:c r="T838" t="str">
        <x:v>VALID</x:v>
      </x:c>
      <x:c r="U838" t="n">
        <x:v>3434</x:v>
      </x:c>
      <x:c r="V838" t="str">
        <x:v>Pasted text(56).txt</x:v>
      </x:c>
    </x:row>
    <x:row r="839">
      <x:c r="A839" t="str">
        <x:v>S09</x:v>
      </x:c>
      <x:c r="B839" t="str">
        <x:v>1.15 validated five-run session</x:v>
      </x:c>
      <x:c r="C839" s="54" t="n">
        <x:v>1.15</x:v>
      </x:c>
      <x:c r="D839" t="n">
        <x:v>5</x:v>
      </x:c>
      <x:c r="E839" t="n">
        <x:v>1</x:v>
      </x:c>
      <x:c r="F839" t="str">
        <x:v>SEARCH</x:v>
      </x:c>
      <x:c r="G839" t="n">
        <x:v>11</x:v>
      </x:c>
      <x:c r="H839" s="54" t="n">
        <x:v>11</x:v>
      </x:c>
      <x:c r="I839" s="54" t="n">
        <x:v>1.01248</x:v>
      </x:c>
      <x:c r="J839" s="54" t="n">
        <x:v>1.00511</x:v>
      </x:c>
      <x:c r="K839" s="54" t="n">
        <x:v>0.25338</x:v>
      </x:c>
      <x:c r="L839" s="54" t="n">
        <x:v>0.47959</x:v>
      </x:c>
      <x:c r="M839" s="54" t="n">
        <x:v>1.14226</x:v>
      </x:c>
      <x:c r="N839" s="56" t="n">
        <x:v>-11.96</x:v>
      </x:c>
      <x:c r="O839" s="56" t="n">
        <x:v>0.02</x:v>
      </x:c>
      <x:c r="P839" s="56" t="n">
        <x:v>1.28</x:v>
      </x:c>
      <x:c r="Q839" s="56" t="n">
        <x:v>92.5</x:v>
      </x:c>
      <x:c r="R839" t="str">
        <x:v>X</x:v>
      </x:c>
      <x:c r="S839" s="102" t="n">
        <x:v>100</x:v>
      </x:c>
      <x:c r="T839" t="str">
        <x:v>VALID</x:v>
      </x:c>
      <x:c r="U839" t="n">
        <x:v>3435</x:v>
      </x:c>
      <x:c r="V839" t="str">
        <x:v>Pasted text(56).txt</x:v>
      </x:c>
    </x:row>
    <x:row r="840">
      <x:c r="A840" t="str">
        <x:v>S09</x:v>
      </x:c>
      <x:c r="B840" t="str">
        <x:v>1.15 validated five-run session</x:v>
      </x:c>
      <x:c r="C840" s="54" t="n">
        <x:v>1.15</x:v>
      </x:c>
      <x:c r="D840" t="n">
        <x:v>5</x:v>
      </x:c>
      <x:c r="E840" t="n">
        <x:v>1</x:v>
      </x:c>
      <x:c r="F840" t="str">
        <x:v>SEARCH</x:v>
      </x:c>
      <x:c r="G840" t="n">
        <x:v>12</x:v>
      </x:c>
      <x:c r="H840" s="54" t="n">
        <x:v>11.25</x:v>
      </x:c>
      <x:c r="I840" s="54" t="n">
        <x:v>1.04498</x:v>
      </x:c>
      <x:c r="J840" s="54" t="n">
        <x:v>1.0494</x:v>
      </x:c>
      <x:c r="K840" s="54" t="n">
        <x:v>0.27213</x:v>
      </x:c>
      <x:c r="L840" s="54" t="n">
        <x:v>0.48687</x:v>
      </x:c>
      <x:c r="M840" s="54" t="n">
        <x:v>1.18848</x:v>
      </x:c>
      <x:c r="N840" s="56" t="n">
        <x:v>-9.13</x:v>
      </x:c>
      <x:c r="O840" s="56" t="n">
        <x:v>2.47</x:v>
      </x:c>
      <x:c r="P840" s="56" t="n">
        <x:v>2.32</x:v>
      </x:c>
      <x:c r="Q840" s="56" t="n">
        <x:v>93.6</x:v>
      </x:c>
      <x:c r="R840" t="str">
        <x:v>X</x:v>
      </x:c>
      <x:c r="S840" s="102" t="n">
        <x:v>100</x:v>
      </x:c>
      <x:c r="T840" t="str">
        <x:v>VALID</x:v>
      </x:c>
      <x:c r="U840" t="n">
        <x:v>3436</x:v>
      </x:c>
      <x:c r="V840" t="str">
        <x:v>Pasted text(56).txt</x:v>
      </x:c>
    </x:row>
    <x:row r="841">
      <x:c r="A841" t="str">
        <x:v>S09</x:v>
      </x:c>
      <x:c r="B841" t="str">
        <x:v>1.15 validated five-run session</x:v>
      </x:c>
      <x:c r="C841" s="54" t="n">
        <x:v>1.15</x:v>
      </x:c>
      <x:c r="D841" t="n">
        <x:v>5</x:v>
      </x:c>
      <x:c r="E841" t="n">
        <x:v>1</x:v>
      </x:c>
      <x:c r="F841" t="str">
        <x:v>SEARCH</x:v>
      </x:c>
      <x:c r="G841" t="n">
        <x:v>13</x:v>
      </x:c>
      <x:c r="H841" s="54" t="n">
        <x:v>11.5</x:v>
      </x:c>
      <x:c r="I841" s="54" t="n">
        <x:v>1.05749</x:v>
      </x:c>
      <x:c r="J841" s="54" t="n">
        <x:v>1.06068</x:v>
      </x:c>
      <x:c r="K841" s="54" t="n">
        <x:v>0.26715</x:v>
      </x:c>
      <x:c r="L841" s="54" t="n">
        <x:v>0.47817</x:v>
      </x:c>
      <x:c r="M841" s="54" t="n">
        <x:v>1.19396</x:v>
      </x:c>
      <x:c r="N841" s="56" t="n">
        <x:v>-8.04</x:v>
      </x:c>
      <x:c r="O841" s="56" t="n">
        <x:v>1.34</x:v>
      </x:c>
      <x:c r="P841" s="56" t="n">
        <x:v>1.38</x:v>
      </x:c>
      <x:c r="Q841" s="56" t="n">
        <x:v>93</x:v>
      </x:c>
      <x:c r="R841" t="str">
        <x:v>X</x:v>
      </x:c>
      <x:c r="S841" s="102" t="n">
        <x:v>100</x:v>
      </x:c>
      <x:c r="T841" t="str">
        <x:v>VALID</x:v>
      </x:c>
      <x:c r="U841" t="n">
        <x:v>3437</x:v>
      </x:c>
      <x:c r="V841" t="str">
        <x:v>Pasted text(56).txt</x:v>
      </x:c>
    </x:row>
    <x:row r="842">
      <x:c r="A842" t="str">
        <x:v>S09</x:v>
      </x:c>
      <x:c r="B842" t="str">
        <x:v>1.15 validated five-run session</x:v>
      </x:c>
      <x:c r="C842" s="54" t="n">
        <x:v>1.15</x:v>
      </x:c>
      <x:c r="D842" t="n">
        <x:v>5</x:v>
      </x:c>
      <x:c r="E842" t="n">
        <x:v>1</x:v>
      </x:c>
      <x:c r="F842" t="str">
        <x:v>SEARCH</x:v>
      </x:c>
      <x:c r="G842" t="n">
        <x:v>14</x:v>
      </x:c>
      <x:c r="H842" s="54" t="n">
        <x:v>11.75</x:v>
      </x:c>
      <x:c r="I842" s="54" t="n">
        <x:v>1.11333</x:v>
      </x:c>
      <x:c r="J842" s="54" t="n">
        <x:v>1.10523</x:v>
      </x:c>
      <x:c r="K842" s="54" t="n">
        <x:v>0.29097</x:v>
      </x:c>
      <x:c r="L842" s="54" t="n">
        <x:v>0.49441</x:v>
      </x:c>
      <x:c r="M842" s="54" t="n">
        <x:v>1.24562</x:v>
      </x:c>
      <x:c r="N842" s="56" t="n">
        <x:v>-3.19</x:v>
      </x:c>
      <x:c r="O842" s="56" t="n">
        <x:v>2.13</x:v>
      </x:c>
      <x:c r="P842" s="56" t="n">
        <x:v>2.63</x:v>
      </x:c>
      <x:c r="Q842" s="56" t="n">
        <x:v>93.9</x:v>
      </x:c>
      <x:c r="R842" t="str">
        <x:v>X</x:v>
      </x:c>
      <x:c r="S842" s="102" t="n">
        <x:v>100</x:v>
      </x:c>
      <x:c r="T842" t="str">
        <x:v>IN TARGET BAND</x:v>
      </x:c>
      <x:c r="U842" t="n">
        <x:v>3438</x:v>
      </x:c>
      <x:c r="V842" t="str">
        <x:v>Pasted text(56).txt</x:v>
      </x:c>
    </x:row>
    <x:row r="843">
      <x:c r="A843" t="str">
        <x:v>S09</x:v>
      </x:c>
      <x:c r="B843" t="str">
        <x:v>1.15 validated five-run session</x:v>
      </x:c>
      <x:c r="C843" s="54" t="n">
        <x:v>1.15</x:v>
      </x:c>
      <x:c r="D843" t="n">
        <x:v>5</x:v>
      </x:c>
      <x:c r="E843" t="n">
        <x:v>1</x:v>
      </x:c>
      <x:c r="F843" t="str">
        <x:v>FINE</x:v>
      </x:c>
      <x:c r="G843" t="n">
        <x:v>1</x:v>
      </x:c>
      <x:c r="H843" s="54" t="n">
        <x:v>10.75</x:v>
      </x:c>
      <x:c r="I843" s="54" t="n">
        <x:v>0.97627</x:v>
      </x:c>
      <x:c r="J843" s="54" t="n">
        <x:v>0.98093</x:v>
      </x:c>
      <x:c r="K843" s="54" t="n">
        <x:v>0.24124</x:v>
      </x:c>
      <x:c r="L843" s="54" t="n">
        <x:v>0.44764</x:v>
      </x:c>
      <x:c r="M843" s="54" t="n">
        <x:v>1.10493</x:v>
      </x:c>
      <x:c r="N843" s="56" t="n">
        <x:v>-15.11</x:v>
      </x:c>
      <x:c r="O843" s="56" t="n">
        <x:v>0.86</x:v>
      </x:c>
      <x:c r="P843" s="56" t="n">
        <x:v>1.35</x:v>
      </x:c>
      <x:c r="Q843" s="56" t="n">
        <x:v>93.1</x:v>
      </x:c>
      <x:c r="R843" t="str">
        <x:v>X</x:v>
      </x:c>
      <x:c r="S843" s="102" t="n">
        <x:v>100</x:v>
      </x:c>
      <x:c r="T843" t="str">
        <x:v>VALID</x:v>
      </x:c>
      <x:c r="U843" t="n">
        <x:v>3442</x:v>
      </x:c>
      <x:c r="V843" t="str">
        <x:v>Pasted text(56).txt</x:v>
      </x:c>
    </x:row>
    <x:row r="844">
      <x:c r="A844" t="str">
        <x:v>S09</x:v>
      </x:c>
      <x:c r="B844" t="str">
        <x:v>1.15 validated five-run session</x:v>
      </x:c>
      <x:c r="C844" s="54" t="n">
        <x:v>1.15</x:v>
      </x:c>
      <x:c r="D844" t="n">
        <x:v>5</x:v>
      </x:c>
      <x:c r="E844" t="n">
        <x:v>1</x:v>
      </x:c>
      <x:c r="F844" t="str">
        <x:v>FINE</x:v>
      </x:c>
      <x:c r="G844" t="n">
        <x:v>2</x:v>
      </x:c>
      <x:c r="H844" s="54" t="n">
        <x:v>11</x:v>
      </x:c>
      <x:c r="I844" s="54" t="n">
        <x:v>1.02943</x:v>
      </x:c>
      <x:c r="J844" s="54" t="n">
        <x:v>1.01656</x:v>
      </x:c>
      <x:c r="K844" s="54" t="n">
        <x:v>0.26528</x:v>
      </x:c>
      <x:c r="L844" s="54" t="n">
        <x:v>0.47892</x:v>
      </x:c>
      <x:c r="M844" s="54" t="n">
        <x:v>1.15494</x:v>
      </x:c>
      <x:c r="N844" s="56" t="n">
        <x:v>-10.48</x:v>
      </x:c>
      <x:c r="O844" s="56" t="n">
        <x:v>0.75</x:v>
      </x:c>
      <x:c r="P844" s="56" t="n">
        <x:v>2.65</x:v>
      </x:c>
      <x:c r="Q844" s="56" t="n">
        <x:v>92.7</x:v>
      </x:c>
      <x:c r="R844" t="str">
        <x:v>X</x:v>
      </x:c>
      <x:c r="S844" s="102" t="n">
        <x:v>100</x:v>
      </x:c>
      <x:c r="T844" t="str">
        <x:v>VALID</x:v>
      </x:c>
      <x:c r="U844" t="n">
        <x:v>3443</x:v>
      </x:c>
      <x:c r="V844" t="str">
        <x:v>Pasted text(56).txt</x:v>
      </x:c>
    </x:row>
    <x:row r="845">
      <x:c r="A845" t="str">
        <x:v>S09</x:v>
      </x:c>
      <x:c r="B845" t="str">
        <x:v>1.15 validated five-run session</x:v>
      </x:c>
      <x:c r="C845" s="54" t="n">
        <x:v>1.15</x:v>
      </x:c>
      <x:c r="D845" t="n">
        <x:v>5</x:v>
      </x:c>
      <x:c r="E845" t="n">
        <x:v>1</x:v>
      </x:c>
      <x:c r="F845" t="str">
        <x:v>FINE</x:v>
      </x:c>
      <x:c r="G845" t="n">
        <x:v>3</x:v>
      </x:c>
      <x:c r="H845" s="54" t="n">
        <x:v>11.25</x:v>
      </x:c>
      <x:c r="I845" s="54" t="n">
        <x:v>1.04926</x:v>
      </x:c>
      <x:c r="J845" s="54" t="n">
        <x:v>1.05319</x:v>
      </x:c>
      <x:c r="K845" s="54" t="n">
        <x:v>0.27298</x:v>
      </x:c>
      <x:c r="L845" s="54" t="n">
        <x:v>0.47307</x:v>
      </x:c>
      <x:c r="M845" s="54" t="n">
        <x:v>1.18717</x:v>
      </x:c>
      <x:c r="N845" s="56" t="n">
        <x:v>-8.76</x:v>
      </x:c>
      <x:c r="O845" s="56" t="n">
        <x:v>1.66</x:v>
      </x:c>
      <x:c r="P845" s="56" t="n">
        <x:v>1.71</x:v>
      </x:c>
      <x:c r="Q845" s="56" t="n">
        <x:v>93.3</x:v>
      </x:c>
      <x:c r="R845" t="str">
        <x:v>X</x:v>
      </x:c>
      <x:c r="S845" s="102" t="n">
        <x:v>100</x:v>
      </x:c>
      <x:c r="T845" t="str">
        <x:v>VALID</x:v>
      </x:c>
      <x:c r="U845" t="n">
        <x:v>3444</x:v>
      </x:c>
      <x:c r="V845" t="str">
        <x:v>Pasted text(56).txt</x:v>
      </x:c>
    </x:row>
    <x:row r="846">
      <x:c r="A846" t="str">
        <x:v>S09</x:v>
      </x:c>
      <x:c r="B846" t="str">
        <x:v>1.15 validated five-run session</x:v>
      </x:c>
      <x:c r="C846" s="54" t="n">
        <x:v>1.15</x:v>
      </x:c>
      <x:c r="D846" t="n">
        <x:v>5</x:v>
      </x:c>
      <x:c r="E846" t="n">
        <x:v>1</x:v>
      </x:c>
      <x:c r="F846" t="str">
        <x:v>FINE</x:v>
      </x:c>
      <x:c r="G846" t="n">
        <x:v>4</x:v>
      </x:c>
      <x:c r="H846" s="54" t="n">
        <x:v>11.5</x:v>
      </x:c>
      <x:c r="I846" s="54" t="n">
        <x:v>1.06957</x:v>
      </x:c>
      <x:c r="J846" s="54" t="n">
        <x:v>1.06629</x:v>
      </x:c>
      <x:c r="K846" s="54" t="n">
        <x:v>0.27513</x:v>
      </x:c>
      <x:c r="L846" s="54" t="n">
        <x:v>0.48008</x:v>
      </x:c>
      <x:c r="M846" s="54" t="n">
        <x:v>1.20149</x:v>
      </x:c>
      <x:c r="N846" s="56" t="n">
        <x:v>-6.99</x:v>
      </x:c>
      <x:c r="O846" s="56" t="n">
        <x:v>0.08</x:v>
      </x:c>
      <x:c r="P846" s="56" t="n">
        <x:v>0.58</x:v>
      </x:c>
      <x:c r="Q846" s="56" t="n">
        <x:v>93.9</x:v>
      </x:c>
      <x:c r="R846" t="str">
        <x:v>X</x:v>
      </x:c>
      <x:c r="S846" s="102" t="n">
        <x:v>100</x:v>
      </x:c>
      <x:c r="T846" t="str">
        <x:v>IN TARGET BAND</x:v>
      </x:c>
      <x:c r="U846" t="n">
        <x:v>3445</x:v>
      </x:c>
      <x:c r="V846" t="str">
        <x:v>Pasted text(56).txt</x:v>
      </x:c>
    </x:row>
    <x:row r="847">
      <x:c r="A847" t="str">
        <x:v>S09</x:v>
      </x:c>
      <x:c r="B847" t="str">
        <x:v>1.15 validated five-run session</x:v>
      </x:c>
      <x:c r="C847" s="54" t="n">
        <x:v>1.15</x:v>
      </x:c>
      <x:c r="D847" t="n">
        <x:v>5</x:v>
      </x:c>
      <x:c r="E847" t="n">
        <x:v>1</x:v>
      </x:c>
      <x:c r="F847" t="str">
        <x:v>FINE</x:v>
      </x:c>
      <x:c r="G847" t="n">
        <x:v>5</x:v>
      </x:c>
      <x:c r="H847" s="54" t="n">
        <x:v>11.75</x:v>
      </x:c>
      <x:c r="I847" s="54" t="n">
        <x:v>1.11897</x:v>
      </x:c>
      <x:c r="J847" s="54" t="n">
        <x:v>1.11464</x:v>
      </x:c>
      <x:c r="K847" s="54" t="n">
        <x:v>0.27424</x:v>
      </x:c>
      <x:c r="L847" s="54" t="n">
        <x:v>0.49133</x:v>
      </x:c>
      <x:c r="M847" s="54" t="n">
        <x:v>1.24895</x:v>
      </x:c>
      <x:c r="N847" s="56" t="n">
        <x:v>-2.7</x:v>
      </x:c>
      <x:c r="O847" s="56" t="n">
        <x:v>1.18</x:v>
      </x:c>
      <x:c r="P847" s="56" t="n">
        <x:v>1.42</x:v>
      </x:c>
      <x:c r="Q847" s="56" t="n">
        <x:v>93.8</x:v>
      </x:c>
      <x:c r="R847" t="str">
        <x:v>X</x:v>
      </x:c>
      <x:c r="S847" s="102" t="n">
        <x:v>100</x:v>
      </x:c>
      <x:c r="T847" t="str">
        <x:v>IN TARGET BAND</x:v>
      </x:c>
      <x:c r="U847" t="n">
        <x:v>3446</x:v>
      </x:c>
      <x:c r="V847" t="str">
        <x:v>Pasted text(56).txt</x:v>
      </x:c>
    </x:row>
    <x:row r="848">
      <x:c r="A848" t="str">
        <x:v>S09</x:v>
      </x:c>
      <x:c r="B848" t="str">
        <x:v>1.15 validated five-run session</x:v>
      </x:c>
      <x:c r="C848" s="54" t="n">
        <x:v>1.15</x:v>
      </x:c>
      <x:c r="D848" t="n">
        <x:v>5</x:v>
      </x:c>
      <x:c r="E848" t="n">
        <x:v>1</x:v>
      </x:c>
      <x:c r="F848" t="str">
        <x:v>FINE</x:v>
      </x:c>
      <x:c r="G848" t="n">
        <x:v>6</x:v>
      </x:c>
      <x:c r="H848" s="54" t="n">
        <x:v>12</x:v>
      </x:c>
      <x:c r="I848" s="54" t="n">
        <x:v>1.12252</x:v>
      </x:c>
      <x:c r="J848" s="54" t="n">
        <x:v>1.11549</x:v>
      </x:c>
      <x:c r="K848" s="54" t="n">
        <x:v>0.27591</x:v>
      </x:c>
      <x:c r="L848" s="54" t="n">
        <x:v>0.51215</x:v>
      </x:c>
      <x:c r="M848" s="54" t="n">
        <x:v>1.2585</x:v>
      </x:c>
      <x:c r="N848" s="56" t="n">
        <x:v>-2.39</x:v>
      </x:c>
      <x:c r="O848" s="56" t="n">
        <x:v>0.5</x:v>
      </x:c>
      <x:c r="P848" s="56" t="n">
        <x:v>1.4</x:v>
      </x:c>
      <x:c r="Q848" s="56" t="n">
        <x:v>93.5</x:v>
      </x:c>
      <x:c r="R848" t="str">
        <x:v>X</x:v>
      </x:c>
      <x:c r="S848" s="102" t="n">
        <x:v>100</x:v>
      </x:c>
      <x:c r="T848" t="str">
        <x:v>IN TARGET BAND</x:v>
      </x:c>
      <x:c r="U848" t="n">
        <x:v>3447</x:v>
      </x:c>
      <x:c r="V848" t="str">
        <x:v>Pasted text(56).txt</x:v>
      </x:c>
    </x:row>
    <x:row r="849">
      <x:c r="A849" t="str">
        <x:v>S09</x:v>
      </x:c>
      <x:c r="B849" t="str">
        <x:v>1.15 validated five-run session</x:v>
      </x:c>
      <x:c r="C849" s="54" t="n">
        <x:v>1.15</x:v>
      </x:c>
      <x:c r="D849" t="n">
        <x:v>5</x:v>
      </x:c>
      <x:c r="E849" t="n">
        <x:v>1</x:v>
      </x:c>
      <x:c r="F849" t="str">
        <x:v>FINE</x:v>
      </x:c>
      <x:c r="G849" t="n">
        <x:v>7</x:v>
      </x:c>
      <x:c r="H849" s="54" t="n">
        <x:v>12.25</x:v>
      </x:c>
      <x:c r="I849" s="54" t="n">
        <x:v>1.15164</x:v>
      </x:c>
      <x:c r="J849" s="54" t="n">
        <x:v>1.15142</x:v>
      </x:c>
      <x:c r="K849" s="54" t="n">
        <x:v>0.28472</x:v>
      </x:c>
      <x:c r="L849" s="54" t="n">
        <x:v>0.51007</x:v>
      </x:c>
      <x:c r="M849" s="54" t="n">
        <x:v>1.2913</x:v>
      </x:c>
      <x:c r="N849" s="56" t="n">
        <x:v>0.14</x:v>
      </x:c>
      <x:c r="O849" s="56" t="n">
        <x:v>0.66</x:v>
      </x:c>
      <x:c r="P849" s="56" t="n">
        <x:v>0.47</x:v>
      </x:c>
      <x:c r="Q849" s="56" t="n">
        <x:v>93.9</x:v>
      </x:c>
      <x:c r="R849" t="str">
        <x:v>X</x:v>
      </x:c>
      <x:c r="S849" s="102" t="n">
        <x:v>100</x:v>
      </x:c>
      <x:c r="T849" t="str">
        <x:v>IN TARGET BAND</x:v>
      </x:c>
      <x:c r="U849" t="n">
        <x:v>3448</x:v>
      </x:c>
      <x:c r="V849" t="str">
        <x:v>Pasted text(56).txt</x:v>
      </x:c>
    </x:row>
    <x:row r="850">
      <x:c r="A850" t="str">
        <x:v>S09</x:v>
      </x:c>
      <x:c r="B850" t="str">
        <x:v>1.15 validated five-run session</x:v>
      </x:c>
      <x:c r="C850" s="54" t="n">
        <x:v>1.15</x:v>
      </x:c>
      <x:c r="D850" t="n">
        <x:v>5</x:v>
      </x:c>
      <x:c r="E850" t="n">
        <x:v>1</x:v>
      </x:c>
      <x:c r="F850" t="str">
        <x:v>FINE</x:v>
      </x:c>
      <x:c r="G850" t="n">
        <x:v>8</x:v>
      </x:c>
      <x:c r="H850" s="54" t="n">
        <x:v>12.5</x:v>
      </x:c>
      <x:c r="I850" s="54" t="n">
        <x:v>1.15717</x:v>
      </x:c>
      <x:c r="J850" s="54" t="n">
        <x:v>1.16202</x:v>
      </x:c>
      <x:c r="K850" s="54" t="n">
        <x:v>0.28124</x:v>
      </x:c>
      <x:c r="L850" s="54" t="n">
        <x:v>0.50309</x:v>
      </x:c>
      <x:c r="M850" s="54" t="n">
        <x:v>1.29736</x:v>
      </x:c>
      <x:c r="N850" s="56" t="n">
        <x:v>0.62</x:v>
      </x:c>
      <x:c r="O850" s="56" t="n">
        <x:v>0.01</x:v>
      </x:c>
      <x:c r="P850" s="56" t="n">
        <x:v>0.73</x:v>
      </x:c>
      <x:c r="Q850" s="56" t="n">
        <x:v>93.3</x:v>
      </x:c>
      <x:c r="R850" t="str">
        <x:v>X</x:v>
      </x:c>
      <x:c r="S850" s="102" t="n">
        <x:v>100</x:v>
      </x:c>
      <x:c r="T850" t="str">
        <x:v>IN TARGET BAND</x:v>
      </x:c>
      <x:c r="U850" t="n">
        <x:v>3449</x:v>
      </x:c>
      <x:c r="V850" t="str">
        <x:v>Pasted text(56).txt</x:v>
      </x:c>
    </x:row>
    <x:row r="851">
      <x:c r="A851" t="str">
        <x:v>S09</x:v>
      </x:c>
      <x:c r="B851" t="str">
        <x:v>1.15 validated five-run session</x:v>
      </x:c>
      <x:c r="C851" s="54" t="n">
        <x:v>1.15</x:v>
      </x:c>
      <x:c r="D851" t="n">
        <x:v>5</x:v>
      </x:c>
      <x:c r="E851" t="n">
        <x:v>1</x:v>
      </x:c>
      <x:c r="F851" t="str">
        <x:v>FINE</x:v>
      </x:c>
      <x:c r="G851" t="n">
        <x:v>9</x:v>
      </x:c>
      <x:c r="H851" s="54" t="n">
        <x:v>12.75</x:v>
      </x:c>
      <x:c r="I851" s="54" t="n">
        <x:v>1.21366</x:v>
      </x:c>
      <x:c r="J851" s="54" t="n">
        <x:v>1.21929</x:v>
      </x:c>
      <x:c r="K851" s="54" t="n">
        <x:v>0.29957</x:v>
      </x:c>
      <x:c r="L851" s="54" t="n">
        <x:v>0.51669</x:v>
      </x:c>
      <x:c r="M851" s="54" t="n">
        <x:v>1.35789</x:v>
      </x:c>
      <x:c r="N851" s="56" t="n">
        <x:v>5.54</x:v>
      </x:c>
      <x:c r="O851" s="56" t="n">
        <x:v>0.32</x:v>
      </x:c>
      <x:c r="P851" s="56" t="n">
        <x:v>0.99</x:v>
      </x:c>
      <x:c r="Q851" s="56" t="n">
        <x:v>93.7</x:v>
      </x:c>
      <x:c r="R851" t="str">
        <x:v>X</x:v>
      </x:c>
      <x:c r="S851" s="102" t="n">
        <x:v>100</x:v>
      </x:c>
      <x:c r="T851" t="str">
        <x:v>IN TARGET BAND</x:v>
      </x:c>
      <x:c r="U851" t="n">
        <x:v>3450</x:v>
      </x:c>
      <x:c r="V851" t="str">
        <x:v>Pasted text(56).txt</x:v>
      </x:c>
    </x:row>
    <x:row r="852">
      <x:c r="A852" t="str">
        <x:v>S09</x:v>
      </x:c>
      <x:c r="B852" t="str">
        <x:v>1.15 validated five-run session</x:v>
      </x:c>
      <x:c r="C852" s="54" t="n">
        <x:v>1.15</x:v>
      </x:c>
      <x:c r="D852" t="n">
        <x:v>5</x:v>
      </x:c>
      <x:c r="E852" t="n">
        <x:v>1</x:v>
      </x:c>
      <x:c r="F852" t="str">
        <x:v>FINAL</x:v>
      </x:c>
      <x:c r="G852" t="n">
        <x:v>1</x:v>
      </x:c>
      <x:c r="H852" s="54" t="n">
        <x:v>12.5</x:v>
      </x:c>
      <x:c r="I852" s="54" t="n">
        <x:v>1.17964</x:v>
      </x:c>
      <x:c r="J852" s="54" t="n">
        <x:v>1.17557</x:v>
      </x:c>
      <x:c r="K852" s="54" t="n">
        <x:v>0.29748</x:v>
      </x:c>
      <x:c r="L852" s="54" t="n">
        <x:v>0.51108</x:v>
      </x:c>
      <x:c r="M852" s="54" t="n">
        <x:v>1.31615</x:v>
      </x:c>
      <x:c r="N852" s="56" t="n">
        <x:v>2.58</x:v>
      </x:c>
      <x:c r="O852" s="56" t="n">
        <x:v>1.52</x:v>
      </x:c>
      <x:c r="P852" s="56" t="n">
        <x:v>1.15</x:v>
      </x:c>
      <x:c r="Q852" s="56" t="n">
        <x:v>94.2</x:v>
      </x:c>
      <x:c r="R852" t="str">
        <x:v>X</x:v>
      </x:c>
      <x:c r="S852" s="102" t="n">
        <x:v>100</x:v>
      </x:c>
      <x:c r="T852" t="str">
        <x:v>IN TARGET BAND</x:v>
      </x:c>
      <x:c r="U852" t="n">
        <x:v>3453</x:v>
      </x:c>
      <x:c r="V852" t="str">
        <x:v>Pasted text(56).txt</x:v>
      </x:c>
    </x:row>
    <x:row r="853">
      <x:c r="A853" t="str">
        <x:v>S09</x:v>
      </x:c>
      <x:c r="B853" t="str">
        <x:v>1.15 validated five-run session</x:v>
      </x:c>
      <x:c r="C853" s="54" t="n">
        <x:v>1.15</x:v>
      </x:c>
      <x:c r="D853" t="n">
        <x:v>5</x:v>
      </x:c>
      <x:c r="E853" t="n">
        <x:v>1</x:v>
      </x:c>
      <x:c r="F853" t="str">
        <x:v>FINAL</x:v>
      </x:c>
      <x:c r="G853" t="n">
        <x:v>2</x:v>
      </x:c>
      <x:c r="H853" s="54" t="n">
        <x:v>12.5</x:v>
      </x:c>
      <x:c r="I853" s="54" t="n">
        <x:v>1.18529</x:v>
      </x:c>
      <x:c r="J853" s="54" t="n">
        <x:v>1.17746</x:v>
      </x:c>
      <x:c r="K853" s="54" t="n">
        <x:v>0.29314</x:v>
      </x:c>
      <x:c r="L853" s="54" t="n">
        <x:v>0.52783</x:v>
      </x:c>
      <x:c r="M853" s="54" t="n">
        <x:v>1.32355</x:v>
      </x:c>
      <x:c r="N853" s="56" t="n">
        <x:v>3.07</x:v>
      </x:c>
      <x:c r="O853" s="56" t="n">
        <x:v>0.69</x:v>
      </x:c>
      <x:c r="P853" s="56" t="n">
        <x:v>1.48</x:v>
      </x:c>
      <x:c r="Q853" s="56" t="n">
        <x:v>93.9</x:v>
      </x:c>
      <x:c r="R853" t="str">
        <x:v>X</x:v>
      </x:c>
      <x:c r="S853" s="102" t="n">
        <x:v>100</x:v>
      </x:c>
      <x:c r="T853" t="str">
        <x:v>IN TARGET BAND</x:v>
      </x:c>
      <x:c r="U853" t="n">
        <x:v>3454</x:v>
      </x:c>
      <x:c r="V853" t="str">
        <x:v>Pasted text(56).txt</x:v>
      </x:c>
    </x:row>
    <x:row r="854">
      <x:c r="A854" t="str">
        <x:v>S10</x:v>
      </x:c>
      <x:c r="B854" t="str">
        <x:v>0.89 repeat-confirmation session</x:v>
      </x:c>
      <x:c r="C854" s="54" t="n">
        <x:v>0.89</x:v>
      </x:c>
      <x:c r="D854" t="n">
        <x:v>1</x:v>
      </x:c>
      <x:c r="E854" t="n">
        <x:v>1</x:v>
      </x:c>
      <x:c r="F854" t="str">
        <x:v>SEARCH</x:v>
      </x:c>
      <x:c r="G854" t="n">
        <x:v>1</x:v>
      </x:c>
      <x:c r="H854" s="54" t="n">
        <x:v>1</x:v>
      </x:c>
      <x:c r="I854" s="54" t="n">
        <x:v>0.00854</x:v>
      </x:c>
      <x:c r="J854" s="54" t="n">
        <x:v>0.00768</x:v>
      </x:c>
      <x:c r="K854" s="54" t="n">
        <x:v>0.01969</x:v>
      </x:c>
      <x:c r="L854" s="54" t="n">
        <x:v>0.06066</x:v>
      </x:c>
      <x:c r="M854" s="54" t="n">
        <x:v>0.06473</x:v>
      </x:c>
      <x:c r="N854" s="56" t="n">
        <x:v>-99.04</x:v>
      </x:c>
      <x:c r="O854" s="56" t="n">
        <x:v>30.05</x:v>
      </x:c>
      <x:c r="P854" s="56" t="n">
        <x:v>15.95</x:v>
      </x:c>
      <x:c r="Q854" s="56" t="n">
        <x:v>4.2</x:v>
      </x:c>
      <x:c r="R854" t="str">
        <x:v>Z</x:v>
      </x:c>
      <x:c r="S854" s="102" t="n">
        <x:v>12.7</x:v>
      </x:c>
      <x:c r="T854" t="str">
        <x:v>BELOW MEASUREMENT FLOOR — SEARCH CONTINUES</x:v>
      </x:c>
      <x:c r="U854" t="n">
        <x:v>3548</x:v>
      </x:c>
      <x:c r="V854" t="str">
        <x:v>Pasted text(56).txt</x:v>
      </x:c>
    </x:row>
    <x:row r="855">
      <x:c r="A855" t="str">
        <x:v>S10</x:v>
      </x:c>
      <x:c r="B855" t="str">
        <x:v>0.89 repeat-confirmation session</x:v>
      </x:c>
      <x:c r="C855" s="54" t="n">
        <x:v>0.89</x:v>
      </x:c>
      <x:c r="D855" t="n">
        <x:v>1</x:v>
      </x:c>
      <x:c r="E855" t="n">
        <x:v>1</x:v>
      </x:c>
      <x:c r="F855" t="str">
        <x:v>SEARCH</x:v>
      </x:c>
      <x:c r="G855" t="n">
        <x:v>2</x:v>
      </x:c>
      <x:c r="H855" s="54" t="n">
        <x:v>3</x:v>
      </x:c>
      <x:c r="I855" s="54" t="n">
        <x:v>0.14145</x:v>
      </x:c>
      <x:c r="J855" s="54" t="n">
        <x:v>0.1379</x:v>
      </x:c>
      <x:c r="K855" s="54" t="n">
        <x:v>0.04781</x:v>
      </x:c>
      <x:c r="L855" s="54" t="n">
        <x:v>0.08846</x:v>
      </x:c>
      <x:c r="M855" s="54" t="n">
        <x:v>0.17089</x:v>
      </x:c>
      <x:c r="N855" s="56" t="n">
        <x:v>-84.11</x:v>
      </x:c>
      <x:c r="O855" s="56" t="n">
        <x:v>7.45</x:v>
      </x:c>
      <x:c r="P855" s="56" t="n">
        <x:v>3.64</x:v>
      </x:c>
      <x:c r="Q855" s="56" t="n">
        <x:v>51.2</x:v>
      </x:c>
      <x:c r="R855" t="str">
        <x:v>X</x:v>
      </x:c>
      <x:c r="S855" s="102" t="n">
        <x:v>100</x:v>
      </x:c>
      <x:c r="T855" t="str">
        <x:v>UNSTABLE — SEARCH CONTINUES</x:v>
      </x:c>
      <x:c r="U855" t="n">
        <x:v>3549</x:v>
      </x:c>
      <x:c r="V855" t="str">
        <x:v>Pasted text(56).txt</x:v>
      </x:c>
    </x:row>
    <x:row r="856">
      <x:c r="A856" t="str">
        <x:v>S10</x:v>
      </x:c>
      <x:c r="B856" t="str">
        <x:v>0.89 repeat-confirmation session</x:v>
      </x:c>
      <x:c r="C856" s="54" t="n">
        <x:v>0.89</x:v>
      </x:c>
      <x:c r="D856" t="n">
        <x:v>1</x:v>
      </x:c>
      <x:c r="E856" t="n">
        <x:v>1</x:v>
      </x:c>
      <x:c r="F856" t="str">
        <x:v>SEARCH</x:v>
      </x:c>
      <x:c r="G856" t="n">
        <x:v>3</x:v>
      </x:c>
      <x:c r="H856" s="54" t="n">
        <x:v>5</x:v>
      </x:c>
      <x:c r="I856" s="54" t="n">
        <x:v>0.34886</x:v>
      </x:c>
      <x:c r="J856" s="54" t="n">
        <x:v>0.34902</x:v>
      </x:c>
      <x:c r="K856" s="54" t="n">
        <x:v>0.09647</x:v>
      </x:c>
      <x:c r="L856" s="54" t="n">
        <x:v>0.2065</x:v>
      </x:c>
      <x:c r="M856" s="54" t="n">
        <x:v>0.41699</x:v>
      </x:c>
      <x:c r="N856" s="56" t="n">
        <x:v>-60.8</x:v>
      </x:c>
      <x:c r="O856" s="56" t="n">
        <x:v>1.84</x:v>
      </x:c>
      <x:c r="P856" s="56" t="n">
        <x:v>1.31</x:v>
      </x:c>
      <x:c r="Q856" s="56" t="n">
        <x:v>83.3</x:v>
      </x:c>
      <x:c r="R856" t="str">
        <x:v>X</x:v>
      </x:c>
      <x:c r="S856" s="102" t="n">
        <x:v>100</x:v>
      </x:c>
      <x:c r="T856" t="str">
        <x:v>VALID</x:v>
      </x:c>
      <x:c r="U856" t="n">
        <x:v>3550</x:v>
      </x:c>
      <x:c r="V856" t="str">
        <x:v>Pasted text(56).txt</x:v>
      </x:c>
    </x:row>
    <x:row r="857">
      <x:c r="A857" t="str">
        <x:v>S10</x:v>
      </x:c>
      <x:c r="B857" t="str">
        <x:v>0.89 repeat-confirmation session</x:v>
      </x:c>
      <x:c r="C857" s="54" t="n">
        <x:v>0.89</x:v>
      </x:c>
      <x:c r="D857" t="n">
        <x:v>1</x:v>
      </x:c>
      <x:c r="E857" t="n">
        <x:v>1</x:v>
      </x:c>
      <x:c r="F857" t="str">
        <x:v>SEARCH</x:v>
      </x:c>
      <x:c r="G857" t="n">
        <x:v>4</x:v>
      </x:c>
      <x:c r="H857" s="54" t="n">
        <x:v>6</x:v>
      </x:c>
      <x:c r="I857" s="54" t="n">
        <x:v>0.46194</x:v>
      </x:c>
      <x:c r="J857" s="54" t="n">
        <x:v>0.46025</x:v>
      </x:c>
      <x:c r="K857" s="54" t="n">
        <x:v>0.13595</x:v>
      </x:c>
      <x:c r="L857" s="54" t="n">
        <x:v>0.24499</x:v>
      </x:c>
      <x:c r="M857" s="54" t="n">
        <x:v>0.53951</x:v>
      </x:c>
      <x:c r="N857" s="56" t="n">
        <x:v>-48.1</x:v>
      </x:c>
      <x:c r="O857" s="56" t="n">
        <x:v>1.38</x:v>
      </x:c>
      <x:c r="P857" s="56" t="n">
        <x:v>1.52</x:v>
      </x:c>
      <x:c r="Q857" s="56" t="n">
        <x:v>86.4</x:v>
      </x:c>
      <x:c r="R857" t="str">
        <x:v>X</x:v>
      </x:c>
      <x:c r="S857" s="102" t="n">
        <x:v>100</x:v>
      </x:c>
      <x:c r="T857" t="str">
        <x:v>VALID</x:v>
      </x:c>
      <x:c r="U857" t="n">
        <x:v>3551</x:v>
      </x:c>
      <x:c r="V857" t="str">
        <x:v>Pasted text(56).txt</x:v>
      </x:c>
    </x:row>
    <x:row r="858">
      <x:c r="A858" t="str">
        <x:v>S10</x:v>
      </x:c>
      <x:c r="B858" t="str">
        <x:v>0.89 repeat-confirmation session</x:v>
      </x:c>
      <x:c r="C858" s="54" t="n">
        <x:v>0.89</x:v>
      </x:c>
      <x:c r="D858" t="n">
        <x:v>1</x:v>
      </x:c>
      <x:c r="E858" t="n">
        <x:v>1</x:v>
      </x:c>
      <x:c r="F858" t="str">
        <x:v>SEARCH</x:v>
      </x:c>
      <x:c r="G858" t="n">
        <x:v>5</x:v>
      </x:c>
      <x:c r="H858" s="54" t="n">
        <x:v>7</x:v>
      </x:c>
      <x:c r="I858" s="54" t="n">
        <x:v>0.55644</x:v>
      </x:c>
      <x:c r="J858" s="54" t="n">
        <x:v>0.55246</x:v>
      </x:c>
      <x:c r="K858" s="54" t="n">
        <x:v>0.16761</x:v>
      </x:c>
      <x:c r="L858" s="54" t="n">
        <x:v>0.30446</x:v>
      </x:c>
      <x:c r="M858" s="54" t="n">
        <x:v>0.65275</x:v>
      </x:c>
      <x:c r="N858" s="56" t="n">
        <x:v>-37.48</x:v>
      </x:c>
      <x:c r="O858" s="56" t="n">
        <x:v>0.33</x:v>
      </x:c>
      <x:c r="P858" s="56" t="n">
        <x:v>1.45</x:v>
      </x:c>
      <x:c r="Q858" s="56" t="n">
        <x:v>89.2</x:v>
      </x:c>
      <x:c r="R858" t="str">
        <x:v>X</x:v>
      </x:c>
      <x:c r="S858" s="102" t="n">
        <x:v>100</x:v>
      </x:c>
      <x:c r="T858" t="str">
        <x:v>VALID</x:v>
      </x:c>
      <x:c r="U858" t="n">
        <x:v>3552</x:v>
      </x:c>
      <x:c r="V858" t="str">
        <x:v>Pasted text(56).txt</x:v>
      </x:c>
    </x:row>
    <x:row r="859">
      <x:c r="A859" t="str">
        <x:v>S10</x:v>
      </x:c>
      <x:c r="B859" t="str">
        <x:v>0.89 repeat-confirmation session</x:v>
      </x:c>
      <x:c r="C859" s="54" t="n">
        <x:v>0.89</x:v>
      </x:c>
      <x:c r="D859" t="n">
        <x:v>1</x:v>
      </x:c>
      <x:c r="E859" t="n">
        <x:v>1</x:v>
      </x:c>
      <x:c r="F859" t="str">
        <x:v>SEARCH</x:v>
      </x:c>
      <x:c r="G859" t="n">
        <x:v>6</x:v>
      </x:c>
      <x:c r="H859" s="54" t="n">
        <x:v>7.5</x:v>
      </x:c>
      <x:c r="I859" s="54" t="n">
        <x:v>0.58943</x:v>
      </x:c>
      <x:c r="J859" s="54" t="n">
        <x:v>0.59584</x:v>
      </x:c>
      <x:c r="K859" s="54" t="n">
        <x:v>0.16533</x:v>
      </x:c>
      <x:c r="L859" s="54" t="n">
        <x:v>0.3195</x:v>
      </x:c>
      <x:c r="M859" s="54" t="n">
        <x:v>0.69622</x:v>
      </x:c>
      <x:c r="N859" s="56" t="n">
        <x:v>-33.77</x:v>
      </x:c>
      <x:c r="O859" s="56" t="n">
        <x:v>0.3</x:v>
      </x:c>
      <x:c r="P859" s="56" t="n">
        <x:v>2.04</x:v>
      </x:c>
      <x:c r="Q859" s="56" t="n">
        <x:v>90</x:v>
      </x:c>
      <x:c r="R859" t="str">
        <x:v>X</x:v>
      </x:c>
      <x:c r="S859" s="102" t="n">
        <x:v>100</x:v>
      </x:c>
      <x:c r="T859" t="str">
        <x:v>VALID</x:v>
      </x:c>
      <x:c r="U859" t="n">
        <x:v>3553</x:v>
      </x:c>
      <x:c r="V859" t="str">
        <x:v>Pasted text(56).txt</x:v>
      </x:c>
    </x:row>
    <x:row r="860">
      <x:c r="A860" t="str">
        <x:v>S10</x:v>
      </x:c>
      <x:c r="B860" t="str">
        <x:v>0.89 repeat-confirmation session</x:v>
      </x:c>
      <x:c r="C860" s="54" t="n">
        <x:v>0.89</x:v>
      </x:c>
      <x:c r="D860" t="n">
        <x:v>1</x:v>
      </x:c>
      <x:c r="E860" t="n">
        <x:v>1</x:v>
      </x:c>
      <x:c r="F860" t="str">
        <x:v>SEARCH</x:v>
      </x:c>
      <x:c r="G860" t="n">
        <x:v>7</x:v>
      </x:c>
      <x:c r="H860" s="54" t="n">
        <x:v>8</x:v>
      </x:c>
      <x:c r="I860" s="54" t="n">
        <x:v>0.68818</x:v>
      </x:c>
      <x:c r="J860" s="54" t="n">
        <x:v>0.68103</x:v>
      </x:c>
      <x:c r="K860" s="54" t="n">
        <x:v>0.19239</x:v>
      </x:c>
      <x:c r="L860" s="54" t="n">
        <x:v>0.34305</x:v>
      </x:c>
      <x:c r="M860" s="54" t="n">
        <x:v>0.78685</x:v>
      </x:c>
      <x:c r="N860" s="56" t="n">
        <x:v>-22.68</x:v>
      </x:c>
      <x:c r="O860" s="56" t="n">
        <x:v>3.23</x:v>
      </x:c>
      <x:c r="P860" s="56" t="n">
        <x:v>3.89</x:v>
      </x:c>
      <x:c r="Q860" s="56" t="n">
        <x:v>90.4</x:v>
      </x:c>
      <x:c r="R860" t="str">
        <x:v>X</x:v>
      </x:c>
      <x:c r="S860" s="102" t="n">
        <x:v>100</x:v>
      </x:c>
      <x:c r="T860" t="str">
        <x:v>VALID</x:v>
      </x:c>
      <x:c r="U860" t="n">
        <x:v>3554</x:v>
      </x:c>
      <x:c r="V860" t="str">
        <x:v>Pasted text(56).txt</x:v>
      </x:c>
    </x:row>
    <x:row r="861">
      <x:c r="A861" t="str">
        <x:v>S10</x:v>
      </x:c>
      <x:c r="B861" t="str">
        <x:v>0.89 repeat-confirmation session</x:v>
      </x:c>
      <x:c r="C861" s="54" t="n">
        <x:v>0.89</x:v>
      </x:c>
      <x:c r="D861" t="n">
        <x:v>1</x:v>
      </x:c>
      <x:c r="E861" t="n">
        <x:v>1</x:v>
      </x:c>
      <x:c r="F861" t="str">
        <x:v>SEARCH</x:v>
      </x:c>
      <x:c r="G861" t="n">
        <x:v>8</x:v>
      </x:c>
      <x:c r="H861" s="54" t="n">
        <x:v>8.5</x:v>
      </x:c>
      <x:c r="I861" s="54" t="n">
        <x:v>0.69909</x:v>
      </x:c>
      <x:c r="J861" s="54" t="n">
        <x:v>0.69979</x:v>
      </x:c>
      <x:c r="K861" s="54" t="n">
        <x:v>0.19299</x:v>
      </x:c>
      <x:c r="L861" s="54" t="n">
        <x:v>0.35462</x:v>
      </x:c>
      <x:c r="M861" s="54" t="n">
        <x:v>0.80839</x:v>
      </x:c>
      <x:c r="N861" s="56" t="n">
        <x:v>-21.45</x:v>
      </x:c>
      <x:c r="O861" s="56" t="n">
        <x:v>0.03</x:v>
      </x:c>
      <x:c r="P861" s="56" t="n">
        <x:v>0.19</x:v>
      </x:c>
      <x:c r="Q861" s="56" t="n">
        <x:v>90.5</x:v>
      </x:c>
      <x:c r="R861" t="str">
        <x:v>X</x:v>
      </x:c>
      <x:c r="S861" s="102" t="n">
        <x:v>100</x:v>
      </x:c>
      <x:c r="T861" t="str">
        <x:v>VALID</x:v>
      </x:c>
      <x:c r="U861" t="n">
        <x:v>3555</x:v>
      </x:c>
      <x:c r="V861" t="str">
        <x:v>Pasted text(56).txt</x:v>
      </x:c>
    </x:row>
    <x:row r="862">
      <x:c r="A862" t="str">
        <x:v>S10</x:v>
      </x:c>
      <x:c r="B862" t="str">
        <x:v>0.89 repeat-confirmation session</x:v>
      </x:c>
      <x:c r="C862" s="54" t="n">
        <x:v>0.89</x:v>
      </x:c>
      <x:c r="D862" t="n">
        <x:v>1</x:v>
      </x:c>
      <x:c r="E862" t="n">
        <x:v>1</x:v>
      </x:c>
      <x:c r="F862" t="str">
        <x:v>SEARCH</x:v>
      </x:c>
      <x:c r="G862" t="n">
        <x:v>9</x:v>
      </x:c>
      <x:c r="H862" s="54" t="n">
        <x:v>9</x:v>
      </x:c>
      <x:c r="I862" s="54" t="n">
        <x:v>0.7979</x:v>
      </x:c>
      <x:c r="J862" s="54" t="n">
        <x:v>0.78817</x:v>
      </x:c>
      <x:c r="K862" s="54" t="n">
        <x:v>0.21644</x:v>
      </x:c>
      <x:c r="L862" s="54" t="n">
        <x:v>0.36506</x:v>
      </x:c>
      <x:c r="M862" s="54" t="n">
        <x:v>0.89539</x:v>
      </x:c>
      <x:c r="N862" s="56" t="n">
        <x:v>-10.35</x:v>
      </x:c>
      <x:c r="O862" s="56" t="n">
        <x:v>0.71</x:v>
      </x:c>
      <x:c r="P862" s="56" t="n">
        <x:v>2.57</x:v>
      </x:c>
      <x:c r="Q862" s="56" t="n">
        <x:v>92.9</x:v>
      </x:c>
      <x:c r="R862" t="str">
        <x:v>X</x:v>
      </x:c>
      <x:c r="S862" s="102" t="n">
        <x:v>100</x:v>
      </x:c>
      <x:c r="T862" t="str">
        <x:v>VALID</x:v>
      </x:c>
      <x:c r="U862" t="n">
        <x:v>3556</x:v>
      </x:c>
      <x:c r="V862" t="str">
        <x:v>Pasted text(56).txt</x:v>
      </x:c>
    </x:row>
    <x:row r="863">
      <x:c r="A863" t="str">
        <x:v>S10</x:v>
      </x:c>
      <x:c r="B863" t="str">
        <x:v>0.89 repeat-confirmation session</x:v>
      </x:c>
      <x:c r="C863" s="54" t="n">
        <x:v>0.89</x:v>
      </x:c>
      <x:c r="D863" t="n">
        <x:v>1</x:v>
      </x:c>
      <x:c r="E863" t="n">
        <x:v>1</x:v>
      </x:c>
      <x:c r="F863" t="str">
        <x:v>SEARCH</x:v>
      </x:c>
      <x:c r="G863" t="n">
        <x:v>10</x:v>
      </x:c>
      <x:c r="H863" s="54" t="n">
        <x:v>9.25</x:v>
      </x:c>
      <x:c r="I863" s="54" t="n">
        <x:v>0.78307</x:v>
      </x:c>
      <x:c r="J863" s="54" t="n">
        <x:v>0.78501</x:v>
      </x:c>
      <x:c r="K863" s="54" t="n">
        <x:v>0.20171</x:v>
      </x:c>
      <x:c r="L863" s="54" t="n">
        <x:v>0.37518</x:v>
      </x:c>
      <x:c r="M863" s="54" t="n">
        <x:v>0.89329</x:v>
      </x:c>
      <x:c r="N863" s="56" t="n">
        <x:v>-12.01</x:v>
      </x:c>
      <x:c r="O863" s="56" t="n">
        <x:v>0.21</x:v>
      </x:c>
      <x:c r="P863" s="56" t="n">
        <x:v>0.56</x:v>
      </x:c>
      <x:c r="Q863" s="56" t="n">
        <x:v>90.6</x:v>
      </x:c>
      <x:c r="R863" t="str">
        <x:v>X</x:v>
      </x:c>
      <x:c r="S863" s="102" t="n">
        <x:v>100</x:v>
      </x:c>
      <x:c r="T863" t="str">
        <x:v>VALID</x:v>
      </x:c>
      <x:c r="U863" t="n">
        <x:v>3557</x:v>
      </x:c>
      <x:c r="V863" t="str">
        <x:v>Pasted text(56).txt</x:v>
      </x:c>
    </x:row>
    <x:row r="864">
      <x:c r="A864" t="str">
        <x:v>S10</x:v>
      </x:c>
      <x:c r="B864" t="str">
        <x:v>0.89 repeat-confirmation session</x:v>
      </x:c>
      <x:c r="C864" s="54" t="n">
        <x:v>0.89</x:v>
      </x:c>
      <x:c r="D864" t="n">
        <x:v>1</x:v>
      </x:c>
      <x:c r="E864" t="n">
        <x:v>1</x:v>
      </x:c>
      <x:c r="F864" t="str">
        <x:v>SEARCH</x:v>
      </x:c>
      <x:c r="G864" t="n">
        <x:v>11</x:v>
      </x:c>
      <x:c r="H864" s="54" t="n">
        <x:v>9.5</x:v>
      </x:c>
      <x:c r="I864" s="54" t="n">
        <x:v>0.80237</x:v>
      </x:c>
      <x:c r="J864" s="54" t="n">
        <x:v>0.80083</x:v>
      </x:c>
      <x:c r="K864" s="54" t="n">
        <x:v>0.1984</x:v>
      </x:c>
      <x:c r="L864" s="54" t="n">
        <x:v>0.39782</x:v>
      </x:c>
      <x:c r="M864" s="54" t="n">
        <x:v>0.91614</x:v>
      </x:c>
      <x:c r="N864" s="56" t="n">
        <x:v>-9.85</x:v>
      </x:c>
      <x:c r="O864" s="56" t="n">
        <x:v>0.23</x:v>
      </x:c>
      <x:c r="P864" s="56" t="n">
        <x:v>0.47</x:v>
      </x:c>
      <x:c r="Q864" s="56" t="n">
        <x:v>90.6</x:v>
      </x:c>
      <x:c r="R864" t="str">
        <x:v>X</x:v>
      </x:c>
      <x:c r="S864" s="102" t="n">
        <x:v>100</x:v>
      </x:c>
      <x:c r="T864" t="str">
        <x:v>VALID</x:v>
      </x:c>
      <x:c r="U864" t="n">
        <x:v>3558</x:v>
      </x:c>
      <x:c r="V864" t="str">
        <x:v>Pasted text(56).txt</x:v>
      </x:c>
    </x:row>
    <x:row r="865">
      <x:c r="A865" t="str">
        <x:v>S10</x:v>
      </x:c>
      <x:c r="B865" t="str">
        <x:v>0.89 repeat-confirmation session</x:v>
      </x:c>
      <x:c r="C865" s="54" t="n">
        <x:v>0.89</x:v>
      </x:c>
      <x:c r="D865" t="n">
        <x:v>1</x:v>
      </x:c>
      <x:c r="E865" t="n">
        <x:v>1</x:v>
      </x:c>
      <x:c r="F865" t="str">
        <x:v>SEARCH</x:v>
      </x:c>
      <x:c r="G865" t="n">
        <x:v>12</x:v>
      </x:c>
      <x:c r="H865" s="54" t="n">
        <x:v>9.75</x:v>
      </x:c>
      <x:c r="I865" s="54" t="n">
        <x:v>0.86029</x:v>
      </x:c>
      <x:c r="J865" s="54" t="n">
        <x:v>0.86371</x:v>
      </x:c>
      <x:c r="K865" s="54" t="n">
        <x:v>0.22013</x:v>
      </x:c>
      <x:c r="L865" s="54" t="n">
        <x:v>0.41482</x:v>
      </x:c>
      <x:c r="M865" s="54" t="n">
        <x:v>0.98323</x:v>
      </x:c>
      <x:c r="N865" s="56" t="n">
        <x:v>-3.34</x:v>
      </x:c>
      <x:c r="O865" s="56" t="n">
        <x:v>1.81</x:v>
      </x:c>
      <x:c r="P865" s="56" t="n">
        <x:v>1.84</x:v>
      </x:c>
      <x:c r="Q865" s="56" t="n">
        <x:v>92.6</x:v>
      </x:c>
      <x:c r="R865" t="str">
        <x:v>X</x:v>
      </x:c>
      <x:c r="S865" s="102" t="n">
        <x:v>100</x:v>
      </x:c>
      <x:c r="T865" t="str">
        <x:v>IN TARGET BAND</x:v>
      </x:c>
      <x:c r="U865" t="n">
        <x:v>3559</x:v>
      </x:c>
      <x:c r="V865" t="str">
        <x:v>Pasted text(56).txt</x:v>
      </x:c>
    </x:row>
    <x:row r="866">
      <x:c r="A866" t="str">
        <x:v>S10</x:v>
      </x:c>
      <x:c r="B866" t="str">
        <x:v>0.89 repeat-confirmation session</x:v>
      </x:c>
      <x:c r="C866" s="54" t="n">
        <x:v>0.89</x:v>
      </x:c>
      <x:c r="D866" t="n">
        <x:v>1</x:v>
      </x:c>
      <x:c r="E866" t="n">
        <x:v>1</x:v>
      </x:c>
      <x:c r="F866" t="str">
        <x:v>FINE</x:v>
      </x:c>
      <x:c r="G866" t="n">
        <x:v>1</x:v>
      </x:c>
      <x:c r="H866" s="54" t="n">
        <x:v>8.75</x:v>
      </x:c>
      <x:c r="I866" s="54" t="n">
        <x:v>0.744</x:v>
      </x:c>
      <x:c r="J866" s="54" t="n">
        <x:v>0.74885</x:v>
      </x:c>
      <x:c r="K866" s="54" t="n">
        <x:v>0.21209</x:v>
      </x:c>
      <x:c r="L866" s="54" t="n">
        <x:v>0.37319</x:v>
      </x:c>
      <x:c r="M866" s="54" t="n">
        <x:v>0.8637</x:v>
      </x:c>
      <x:c r="N866" s="56" t="n">
        <x:v>-16.4</x:v>
      </x:c>
      <x:c r="O866" s="56" t="n">
        <x:v>1.51</x:v>
      </x:c>
      <x:c r="P866" s="56" t="n">
        <x:v>2.06</x:v>
      </x:c>
      <x:c r="Q866" s="56" t="n">
        <x:v>91</x:v>
      </x:c>
      <x:c r="R866" t="str">
        <x:v>X</x:v>
      </x:c>
      <x:c r="S866" s="102" t="n">
        <x:v>100</x:v>
      </x:c>
      <x:c r="T866" t="str">
        <x:v>VALID</x:v>
      </x:c>
      <x:c r="U866" t="n">
        <x:v>3563</x:v>
      </x:c>
      <x:c r="V866" t="str">
        <x:v>Pasted text(56).txt</x:v>
      </x:c>
    </x:row>
    <x:row r="867">
      <x:c r="A867" t="str">
        <x:v>S10</x:v>
      </x:c>
      <x:c r="B867" t="str">
        <x:v>0.89 repeat-confirmation session</x:v>
      </x:c>
      <x:c r="C867" s="54" t="n">
        <x:v>0.89</x:v>
      </x:c>
      <x:c r="D867" t="n">
        <x:v>1</x:v>
      </x:c>
      <x:c r="E867" t="n">
        <x:v>1</x:v>
      </x:c>
      <x:c r="F867" t="str">
        <x:v>FINE</x:v>
      </x:c>
      <x:c r="G867" t="n">
        <x:v>2</x:v>
      </x:c>
      <x:c r="H867" s="54" t="n">
        <x:v>9</x:v>
      </x:c>
      <x:c r="I867" s="54" t="n">
        <x:v>0.77863</x:v>
      </x:c>
      <x:c r="J867" s="54" t="n">
        <x:v>0.78285</x:v>
      </x:c>
      <x:c r="K867" s="54" t="n">
        <x:v>0.21145</x:v>
      </x:c>
      <x:c r="L867" s="54" t="n">
        <x:v>0.39005</x:v>
      </x:c>
      <x:c r="M867" s="54" t="n">
        <x:v>0.90003</x:v>
      </x:c>
      <x:c r="N867" s="56" t="n">
        <x:v>-12.51</x:v>
      </x:c>
      <x:c r="O867" s="56" t="n">
        <x:v>0.78</x:v>
      </x:c>
      <x:c r="P867" s="56" t="n">
        <x:v>1.41</x:v>
      </x:c>
      <x:c r="Q867" s="56" t="n">
        <x:v>93.7</x:v>
      </x:c>
      <x:c r="R867" t="str">
        <x:v>X</x:v>
      </x:c>
      <x:c r="S867" s="102" t="n">
        <x:v>100</x:v>
      </x:c>
      <x:c r="T867" t="str">
        <x:v>VALID</x:v>
      </x:c>
      <x:c r="U867" t="n">
        <x:v>3564</x:v>
      </x:c>
      <x:c r="V867" t="str">
        <x:v>Pasted text(56).txt</x:v>
      </x:c>
    </x:row>
    <x:row r="868">
      <x:c r="A868" t="str">
        <x:v>S10</x:v>
      </x:c>
      <x:c r="B868" t="str">
        <x:v>0.89 repeat-confirmation session</x:v>
      </x:c>
      <x:c r="C868" s="54" t="n">
        <x:v>0.89</x:v>
      </x:c>
      <x:c r="D868" t="n">
        <x:v>1</x:v>
      </x:c>
      <x:c r="E868" t="n">
        <x:v>1</x:v>
      </x:c>
      <x:c r="F868" t="str">
        <x:v>FINE</x:v>
      </x:c>
      <x:c r="G868" t="n">
        <x:v>3</x:v>
      </x:c>
      <x:c r="H868" s="54" t="n">
        <x:v>9.25</x:v>
      </x:c>
      <x:c r="I868" s="54" t="n">
        <x:v>0.79886</x:v>
      </x:c>
      <x:c r="J868" s="54" t="n">
        <x:v>0.79932</x:v>
      </x:c>
      <x:c r="K868" s="54" t="n">
        <x:v>0.22453</x:v>
      </x:c>
      <x:c r="L868" s="54" t="n">
        <x:v>0.38865</x:v>
      </x:c>
      <x:c r="M868" s="54" t="n">
        <x:v>0.91679</x:v>
      </x:c>
      <x:c r="N868" s="56" t="n">
        <x:v>-10.24</x:v>
      </x:c>
      <x:c r="O868" s="56" t="n">
        <x:v>1.6</x:v>
      </x:c>
      <x:c r="P868" s="56" t="n">
        <x:v>1.16</x:v>
      </x:c>
      <x:c r="Q868" s="56" t="n">
        <x:v>92.3</x:v>
      </x:c>
      <x:c r="R868" t="str">
        <x:v>X</x:v>
      </x:c>
      <x:c r="S868" s="102" t="n">
        <x:v>100</x:v>
      </x:c>
      <x:c r="T868" t="str">
        <x:v>VALID</x:v>
      </x:c>
      <x:c r="U868" t="n">
        <x:v>3565</x:v>
      </x:c>
      <x:c r="V868" t="str">
        <x:v>Pasted text(56).txt</x:v>
      </x:c>
    </x:row>
    <x:row r="869">
      <x:c r="A869" t="str">
        <x:v>S10</x:v>
      </x:c>
      <x:c r="B869" t="str">
        <x:v>0.89 repeat-confirmation session</x:v>
      </x:c>
      <x:c r="C869" s="54" t="n">
        <x:v>0.89</x:v>
      </x:c>
      <x:c r="D869" t="n">
        <x:v>1</x:v>
      </x:c>
      <x:c r="E869" t="n">
        <x:v>1</x:v>
      </x:c>
      <x:c r="F869" t="str">
        <x:v>FINE</x:v>
      </x:c>
      <x:c r="G869" t="n">
        <x:v>4</x:v>
      </x:c>
      <x:c r="H869" s="54" t="n">
        <x:v>9.5</x:v>
      </x:c>
      <x:c r="I869" s="54" t="n">
        <x:v>0.81522</x:v>
      </x:c>
      <x:c r="J869" s="54" t="n">
        <x:v>0.82501</x:v>
      </x:c>
      <x:c r="K869" s="54" t="n">
        <x:v>0.2172</x:v>
      </x:c>
      <x:c r="L869" s="54" t="n">
        <x:v>0.3809</x:v>
      </x:c>
      <x:c r="M869" s="54" t="n">
        <x:v>0.93462</x:v>
      </x:c>
      <x:c r="N869" s="56" t="n">
        <x:v>-8.4</x:v>
      </x:c>
      <x:c r="O869" s="56" t="n">
        <x:v>1.02</x:v>
      </x:c>
      <x:c r="P869" s="56" t="n">
        <x:v>2.67</x:v>
      </x:c>
      <x:c r="Q869" s="56" t="n">
        <x:v>91.8</x:v>
      </x:c>
      <x:c r="R869" t="str">
        <x:v>X</x:v>
      </x:c>
      <x:c r="S869" s="102" t="n">
        <x:v>100</x:v>
      </x:c>
      <x:c r="T869" t="str">
        <x:v>VALID</x:v>
      </x:c>
      <x:c r="U869" t="n">
        <x:v>3566</x:v>
      </x:c>
      <x:c r="V869" t="str">
        <x:v>Pasted text(56).txt</x:v>
      </x:c>
    </x:row>
    <x:row r="870">
      <x:c r="A870" t="str">
        <x:v>S10</x:v>
      </x:c>
      <x:c r="B870" t="str">
        <x:v>0.89 repeat-confirmation session</x:v>
      </x:c>
      <x:c r="C870" s="54" t="n">
        <x:v>0.89</x:v>
      </x:c>
      <x:c r="D870" t="n">
        <x:v>1</x:v>
      </x:c>
      <x:c r="E870" t="n">
        <x:v>1</x:v>
      </x:c>
      <x:c r="F870" t="str">
        <x:v>FINE</x:v>
      </x:c>
      <x:c r="G870" t="n">
        <x:v>5</x:v>
      </x:c>
      <x:c r="H870" s="54" t="n">
        <x:v>9.75</x:v>
      </x:c>
      <x:c r="I870" s="54" t="n">
        <x:v>0.85473</x:v>
      </x:c>
      <x:c r="J870" s="54" t="n">
        <x:v>0.86333</x:v>
      </x:c>
      <x:c r="K870" s="54" t="n">
        <x:v>0.23166</x:v>
      </x:c>
      <x:c r="L870" s="54" t="n">
        <x:v>0.42787</x:v>
      </x:c>
      <x:c r="M870" s="54" t="n">
        <x:v>0.9912</x:v>
      </x:c>
      <x:c r="N870" s="56" t="n">
        <x:v>-3.96</x:v>
      </x:c>
      <x:c r="O870" s="56" t="n">
        <x:v>0.99</x:v>
      </x:c>
      <x:c r="P870" s="56" t="n">
        <x:v>2.32</x:v>
      </x:c>
      <x:c r="Q870" s="56" t="n">
        <x:v>92.3</x:v>
      </x:c>
      <x:c r="R870" t="str">
        <x:v>X</x:v>
      </x:c>
      <x:c r="S870" s="102" t="n">
        <x:v>100</x:v>
      </x:c>
      <x:c r="T870" t="str">
        <x:v>IN TARGET BAND</x:v>
      </x:c>
      <x:c r="U870" t="n">
        <x:v>3567</x:v>
      </x:c>
      <x:c r="V870" t="str">
        <x:v>Pasted text(56).txt</x:v>
      </x:c>
    </x:row>
    <x:row r="871">
      <x:c r="A871" t="str">
        <x:v>S10</x:v>
      </x:c>
      <x:c r="B871" t="str">
        <x:v>0.89 repeat-confirmation session</x:v>
      </x:c>
      <x:c r="C871" s="54" t="n">
        <x:v>0.89</x:v>
      </x:c>
      <x:c r="D871" t="n">
        <x:v>1</x:v>
      </x:c>
      <x:c r="E871" t="n">
        <x:v>1</x:v>
      </x:c>
      <x:c r="F871" t="str">
        <x:v>FINE</x:v>
      </x:c>
      <x:c r="G871" t="n">
        <x:v>6</x:v>
      </x:c>
      <x:c r="H871" s="54" t="n">
        <x:v>10</x:v>
      </x:c>
      <x:c r="I871" s="54" t="n">
        <x:v>0.89391</x:v>
      </x:c>
      <x:c r="J871" s="54" t="n">
        <x:v>0.88747</x:v>
      </x:c>
      <x:c r="K871" s="54" t="n">
        <x:v>0.23088</x:v>
      </x:c>
      <x:c r="L871" s="54" t="n">
        <x:v>0.42485</x:v>
      </x:c>
      <x:c r="M871" s="54" t="n">
        <x:v>1.01096</x:v>
      </x:c>
      <x:c r="N871" s="56" t="n">
        <x:v>0.44</x:v>
      </x:c>
      <x:c r="O871" s="56" t="n">
        <x:v>0.85</x:v>
      </x:c>
      <x:c r="P871" s="56" t="n">
        <x:v>1.78</x:v>
      </x:c>
      <x:c r="Q871" s="56" t="n">
        <x:v>92.2</x:v>
      </x:c>
      <x:c r="R871" t="str">
        <x:v>X</x:v>
      </x:c>
      <x:c r="S871" s="102" t="n">
        <x:v>100</x:v>
      </x:c>
      <x:c r="T871" t="str">
        <x:v>IN TARGET BAND</x:v>
      </x:c>
      <x:c r="U871" t="n">
        <x:v>3568</x:v>
      </x:c>
      <x:c r="V871" t="str">
        <x:v>Pasted text(56).txt</x:v>
      </x:c>
    </x:row>
    <x:row r="872">
      <x:c r="A872" t="str">
        <x:v>S10</x:v>
      </x:c>
      <x:c r="B872" t="str">
        <x:v>0.89 repeat-confirmation session</x:v>
      </x:c>
      <x:c r="C872" s="54" t="n">
        <x:v>0.89</x:v>
      </x:c>
      <x:c r="D872" t="n">
        <x:v>1</x:v>
      </x:c>
      <x:c r="E872" t="n">
        <x:v>1</x:v>
      </x:c>
      <x:c r="F872" t="str">
        <x:v>FINE</x:v>
      </x:c>
      <x:c r="G872" t="n">
        <x:v>7</x:v>
      </x:c>
      <x:c r="H872" s="54" t="n">
        <x:v>10.25</x:v>
      </x:c>
      <x:c r="I872" s="54" t="n">
        <x:v>0.92062</x:v>
      </x:c>
      <x:c r="J872" s="54" t="n">
        <x:v>0.9185</x:v>
      </x:c>
      <x:c r="K872" s="54" t="n">
        <x:v>0.25279</x:v>
      </x:c>
      <x:c r="L872" s="54" t="n">
        <x:v>0.42909</x:v>
      </x:c>
      <x:c r="M872" s="54" t="n">
        <x:v>1.04547</x:v>
      </x:c>
      <x:c r="N872" s="56" t="n">
        <x:v>3.44</x:v>
      </x:c>
      <x:c r="O872" s="56" t="n">
        <x:v>1.72</x:v>
      </x:c>
      <x:c r="P872" s="56" t="n">
        <x:v>1.52</x:v>
      </x:c>
      <x:c r="Q872" s="56" t="n">
        <x:v>92.6</x:v>
      </x:c>
      <x:c r="R872" t="str">
        <x:v>X</x:v>
      </x:c>
      <x:c r="S872" s="102" t="n">
        <x:v>100</x:v>
      </x:c>
      <x:c r="T872" t="str">
        <x:v>IN TARGET BAND</x:v>
      </x:c>
      <x:c r="U872" t="n">
        <x:v>3569</x:v>
      </x:c>
      <x:c r="V872" t="str">
        <x:v>Pasted text(56).txt</x:v>
      </x:c>
    </x:row>
    <x:row r="873">
      <x:c r="A873" t="str">
        <x:v>S10</x:v>
      </x:c>
      <x:c r="B873" t="str">
        <x:v>0.89 repeat-confirmation session</x:v>
      </x:c>
      <x:c r="C873" s="54" t="n">
        <x:v>0.89</x:v>
      </x:c>
      <x:c r="D873" t="n">
        <x:v>1</x:v>
      </x:c>
      <x:c r="E873" t="n">
        <x:v>1</x:v>
      </x:c>
      <x:c r="F873" t="str">
        <x:v>FINE</x:v>
      </x:c>
      <x:c r="G873" t="n">
        <x:v>8</x:v>
      </x:c>
      <x:c r="H873" s="54" t="n">
        <x:v>10.5</x:v>
      </x:c>
      <x:c r="I873" s="54" t="n">
        <x:v>0.92484</x:v>
      </x:c>
      <x:c r="J873" s="54" t="n">
        <x:v>0.93382</x:v>
      </x:c>
      <x:c r="K873" s="54" t="n">
        <x:v>0.2476</x:v>
      </x:c>
      <x:c r="L873" s="54" t="n">
        <x:v>0.454</x:v>
      </x:c>
      <x:c r="M873" s="54" t="n">
        <x:v>1.06755</x:v>
      </x:c>
      <x:c r="N873" s="56" t="n">
        <x:v>3.91</x:v>
      </x:c>
      <x:c r="O873" s="56" t="n">
        <x:v>0.33</x:v>
      </x:c>
      <x:c r="P873" s="56" t="n">
        <x:v>1.86</x:v>
      </x:c>
      <x:c r="Q873" s="56" t="n">
        <x:v>93.4</x:v>
      </x:c>
      <x:c r="R873" t="str">
        <x:v>X</x:v>
      </x:c>
      <x:c r="S873" s="102" t="n">
        <x:v>100</x:v>
      </x:c>
      <x:c r="T873" t="str">
        <x:v>IN TARGET BAND</x:v>
      </x:c>
      <x:c r="U873" t="n">
        <x:v>3570</x:v>
      </x:c>
      <x:c r="V873" t="str">
        <x:v>Pasted text(56).txt</x:v>
      </x:c>
    </x:row>
    <x:row r="874">
      <x:c r="A874" t="str">
        <x:v>S10</x:v>
      </x:c>
      <x:c r="B874" t="str">
        <x:v>0.89 repeat-confirmation session</x:v>
      </x:c>
      <x:c r="C874" s="54" t="n">
        <x:v>0.89</x:v>
      </x:c>
      <x:c r="D874" t="n">
        <x:v>1</x:v>
      </x:c>
      <x:c r="E874" t="n">
        <x:v>1</x:v>
      </x:c>
      <x:c r="F874" t="str">
        <x:v>FINE</x:v>
      </x:c>
      <x:c r="G874" t="n">
        <x:v>9</x:v>
      </x:c>
      <x:c r="H874" s="54" t="n">
        <x:v>10.75</x:v>
      </x:c>
      <x:c r="I874" s="54" t="n">
        <x:v>0.97655</x:v>
      </x:c>
      <x:c r="J874" s="54" t="n">
        <x:v>0.97285</x:v>
      </x:c>
      <x:c r="K874" s="54" t="n">
        <x:v>0.24736</x:v>
      </x:c>
      <x:c r="L874" s="54" t="n">
        <x:v>0.46008</x:v>
      </x:c>
      <x:c r="M874" s="54" t="n">
        <x:v>1.10433</x:v>
      </x:c>
      <x:c r="N874" s="56" t="n">
        <x:v>9.72</x:v>
      </x:c>
      <x:c r="O874" s="56" t="n">
        <x:v>1.53</x:v>
      </x:c>
      <x:c r="P874" s="56" t="n">
        <x:v>1.64</x:v>
      </x:c>
      <x:c r="Q874" s="56" t="n">
        <x:v>93.8</x:v>
      </x:c>
      <x:c r="R874" t="str">
        <x:v>X</x:v>
      </x:c>
      <x:c r="S874" s="102" t="n">
        <x:v>100</x:v>
      </x:c>
      <x:c r="T874" t="str">
        <x:v>VALID</x:v>
      </x:c>
      <x:c r="U874" t="n">
        <x:v>3571</x:v>
      </x:c>
      <x:c r="V874" t="str">
        <x:v>Pasted text(56).txt</x:v>
      </x:c>
    </x:row>
    <x:row r="875">
      <x:c r="A875" t="str">
        <x:v>S10</x:v>
      </x:c>
      <x:c r="B875" t="str">
        <x:v>0.89 repeat-confirmation session</x:v>
      </x:c>
      <x:c r="C875" s="54" t="n">
        <x:v>0.89</x:v>
      </x:c>
      <x:c r="D875" t="n">
        <x:v>1</x:v>
      </x:c>
      <x:c r="E875" t="n">
        <x:v>1</x:v>
      </x:c>
      <x:c r="F875" t="str">
        <x:v>FINAL</x:v>
      </x:c>
      <x:c r="G875" t="n">
        <x:v>1</x:v>
      </x:c>
      <x:c r="H875" s="54" t="n">
        <x:v>10</x:v>
      </x:c>
      <x:c r="I875" s="54" t="n">
        <x:v>0.88771</x:v>
      </x:c>
      <x:c r="J875" s="54" t="n">
        <x:v>0.8897</x:v>
      </x:c>
      <x:c r="K875" s="54" t="n">
        <x:v>0.23435</x:v>
      </x:c>
      <x:c r="L875" s="54" t="n">
        <x:v>0.41394</x:v>
      </x:c>
      <x:c r="M875" s="54" t="n">
        <x:v>1.00921</x:v>
      </x:c>
      <x:c r="N875" s="56" t="n">
        <x:v>-0.26</x:v>
      </x:c>
      <x:c r="O875" s="56" t="n">
        <x:v>2.76</x:v>
      </x:c>
      <x:c r="P875" s="56" t="n">
        <x:v>1.76</x:v>
      </x:c>
      <x:c r="Q875" s="56" t="n">
        <x:v>92.3</x:v>
      </x:c>
      <x:c r="R875" t="str">
        <x:v>X</x:v>
      </x:c>
      <x:c r="S875" s="102" t="n">
        <x:v>100</x:v>
      </x:c>
      <x:c r="T875" t="str">
        <x:v>IN TARGET BAND</x:v>
      </x:c>
      <x:c r="U875" t="n">
        <x:v>3574</x:v>
      </x:c>
      <x:c r="V875" t="str">
        <x:v>Pasted text(56).txt</x:v>
      </x:c>
    </x:row>
    <x:row r="876">
      <x:c r="A876" t="str">
        <x:v>S10</x:v>
      </x:c>
      <x:c r="B876" t="str">
        <x:v>0.89 repeat-confirmation session</x:v>
      </x:c>
      <x:c r="C876" s="54" t="n">
        <x:v>0.89</x:v>
      </x:c>
      <x:c r="D876" t="n">
        <x:v>1</x:v>
      </x:c>
      <x:c r="E876" t="n">
        <x:v>1</x:v>
      </x:c>
      <x:c r="F876" t="str">
        <x:v>FINAL</x:v>
      </x:c>
      <x:c r="G876" t="n">
        <x:v>2</x:v>
      </x:c>
      <x:c r="H876" s="54" t="n">
        <x:v>10</x:v>
      </x:c>
      <x:c r="I876" s="54" t="n">
        <x:v>0.88307</x:v>
      </x:c>
      <x:c r="J876" s="54" t="n">
        <x:v>0.88396</x:v>
      </x:c>
      <x:c r="K876" s="54" t="n">
        <x:v>0.23513</x:v>
      </x:c>
      <x:c r="L876" s="54" t="n">
        <x:v>0.40887</x:v>
      </x:c>
      <x:c r="M876" s="54" t="n">
        <x:v>1.00232</x:v>
      </x:c>
      <x:c r="N876" s="56" t="n">
        <x:v>-0.78</x:v>
      </x:c>
      <x:c r="O876" s="56" t="n">
        <x:v>1.79</x:v>
      </x:c>
      <x:c r="P876" s="56" t="n">
        <x:v>1.39</x:v>
      </x:c>
      <x:c r="Q876" s="56" t="n">
        <x:v>91.6</x:v>
      </x:c>
      <x:c r="R876" t="str">
        <x:v>X</x:v>
      </x:c>
      <x:c r="S876" s="102" t="n">
        <x:v>100</x:v>
      </x:c>
      <x:c r="T876" t="str">
        <x:v>IN TARGET BAND</x:v>
      </x:c>
      <x:c r="U876" t="n">
        <x:v>3575</x:v>
      </x:c>
      <x:c r="V876" t="str">
        <x:v>Pasted text(56).txt</x:v>
      </x:c>
    </x:row>
    <x:row r="877">
      <x:c r="A877" t="str">
        <x:v>S10</x:v>
      </x:c>
      <x:c r="B877" t="str">
        <x:v>0.89 repeat-confirmation session</x:v>
      </x:c>
      <x:c r="C877" s="54" t="n">
        <x:v>0.89</x:v>
      </x:c>
      <x:c r="D877" t="n">
        <x:v>2</x:v>
      </x:c>
      <x:c r="E877" t="n">
        <x:v>1</x:v>
      </x:c>
      <x:c r="F877" t="str">
        <x:v>SEARCH</x:v>
      </x:c>
      <x:c r="G877" t="n">
        <x:v>1</x:v>
      </x:c>
      <x:c r="H877" s="54" t="n">
        <x:v>1</x:v>
      </x:c>
      <x:c r="I877" s="54" t="n">
        <x:v>0.01333</x:v>
      </x:c>
      <x:c r="J877" s="54" t="n">
        <x:v>0.01293</x:v>
      </x:c>
      <x:c r="K877" s="54" t="n">
        <x:v>0.02566</x:v>
      </x:c>
      <x:c r="L877" s="54" t="n">
        <x:v>0.0185</x:v>
      </x:c>
      <x:c r="M877" s="54" t="n">
        <x:v>0.03444</x:v>
      </x:c>
      <x:c r="N877" s="56" t="n">
        <x:v>-98.5</x:v>
      </x:c>
      <x:c r="O877" s="56" t="n">
        <x:v>8.92</x:v>
      </x:c>
      <x:c r="P877" s="56" t="n">
        <x:v>4.39</x:v>
      </x:c>
      <x:c r="Q877" s="56" t="n">
        <x:v>7.6</x:v>
      </x:c>
      <x:c r="R877" t="str">
        <x:v>Y</x:v>
      </x:c>
      <x:c r="S877" s="102" t="n">
        <x:v>50.4</x:v>
      </x:c>
      <x:c r="T877" t="str">
        <x:v>BELOW MEASUREMENT FLOOR — SEARCH CONTINUES</x:v>
      </x:c>
      <x:c r="U877" t="n">
        <x:v>3631</x:v>
      </x:c>
      <x:c r="V877" t="str">
        <x:v>Pasted text(56).txt</x:v>
      </x:c>
    </x:row>
    <x:row r="878">
      <x:c r="A878" t="str">
        <x:v>S10</x:v>
      </x:c>
      <x:c r="B878" t="str">
        <x:v>0.89 repeat-confirmation session</x:v>
      </x:c>
      <x:c r="C878" s="54" t="n">
        <x:v>0.89</x:v>
      </x:c>
      <x:c r="D878" t="n">
        <x:v>2</x:v>
      </x:c>
      <x:c r="E878" t="n">
        <x:v>1</x:v>
      </x:c>
      <x:c r="F878" t="str">
        <x:v>SEARCH</x:v>
      </x:c>
      <x:c r="G878" t="n">
        <x:v>2</x:v>
      </x:c>
      <x:c r="H878" s="54" t="n">
        <x:v>3</x:v>
      </x:c>
      <x:c r="I878" s="54" t="n">
        <x:v>0.16026</x:v>
      </x:c>
      <x:c r="J878" s="54" t="n">
        <x:v>0.15669</x:v>
      </x:c>
      <x:c r="K878" s="54" t="n">
        <x:v>0.07215</x:v>
      </x:c>
      <x:c r="L878" s="54" t="n">
        <x:v>0.08209</x:v>
      </x:c>
      <x:c r="M878" s="54" t="n">
        <x:v>0.19241</x:v>
      </x:c>
      <x:c r="N878" s="56" t="n">
        <x:v>-81.99</x:v>
      </x:c>
      <x:c r="O878" s="56" t="n">
        <x:v>9.88</x:v>
      </x:c>
      <x:c r="P878" s="56" t="n">
        <x:v>10.41</x:v>
      </x:c>
      <x:c r="Q878" s="56" t="n">
        <x:v>63.4</x:v>
      </x:c>
      <x:c r="R878" t="str">
        <x:v>X</x:v>
      </x:c>
      <x:c r="S878" s="102" t="n">
        <x:v>100</x:v>
      </x:c>
      <x:c r="T878" t="str">
        <x:v>VALID</x:v>
      </x:c>
      <x:c r="U878" t="n">
        <x:v>3632</x:v>
      </x:c>
      <x:c r="V878" t="str">
        <x:v>Pasted text(56).txt</x:v>
      </x:c>
    </x:row>
    <x:row r="879">
      <x:c r="A879" t="str">
        <x:v>S10</x:v>
      </x:c>
      <x:c r="B879" t="str">
        <x:v>0.89 repeat-confirmation session</x:v>
      </x:c>
      <x:c r="C879" s="54" t="n">
        <x:v>0.89</x:v>
      </x:c>
      <x:c r="D879" t="n">
        <x:v>2</x:v>
      </x:c>
      <x:c r="E879" t="n">
        <x:v>1</x:v>
      </x:c>
      <x:c r="F879" t="str">
        <x:v>SEARCH</x:v>
      </x:c>
      <x:c r="G879" t="n">
        <x:v>3</x:v>
      </x:c>
      <x:c r="H879" s="54" t="n">
        <x:v>5</x:v>
      </x:c>
      <x:c r="I879" s="54" t="n">
        <x:v>0.34584</x:v>
      </x:c>
      <x:c r="J879" s="54" t="n">
        <x:v>0.3435</x:v>
      </x:c>
      <x:c r="K879" s="54" t="n">
        <x:v>0.08942</x:v>
      </x:c>
      <x:c r="L879" s="54" t="n">
        <x:v>0.20758</x:v>
      </x:c>
      <x:c r="M879" s="54" t="n">
        <x:v>0.41191</x:v>
      </x:c>
      <x:c r="N879" s="56" t="n">
        <x:v>-61.14</x:v>
      </x:c>
      <x:c r="O879" s="56" t="n">
        <x:v>2.34</x:v>
      </x:c>
      <x:c r="P879" s="56" t="n">
        <x:v>2.68</x:v>
      </x:c>
      <x:c r="Q879" s="56" t="n">
        <x:v>81.6</x:v>
      </x:c>
      <x:c r="R879" t="str">
        <x:v>X</x:v>
      </x:c>
      <x:c r="S879" s="102" t="n">
        <x:v>100</x:v>
      </x:c>
      <x:c r="T879" t="str">
        <x:v>VALID</x:v>
      </x:c>
      <x:c r="U879" t="n">
        <x:v>3633</x:v>
      </x:c>
      <x:c r="V879" t="str">
        <x:v>Pasted text(56).txt</x:v>
      </x:c>
    </x:row>
    <x:row r="880">
      <x:c r="A880" t="str">
        <x:v>S10</x:v>
      </x:c>
      <x:c r="B880" t="str">
        <x:v>0.89 repeat-confirmation session</x:v>
      </x:c>
      <x:c r="C880" s="54" t="n">
        <x:v>0.89</x:v>
      </x:c>
      <x:c r="D880" t="n">
        <x:v>2</x:v>
      </x:c>
      <x:c r="E880" t="n">
        <x:v>1</x:v>
      </x:c>
      <x:c r="F880" t="str">
        <x:v>SEARCH</x:v>
      </x:c>
      <x:c r="G880" t="n">
        <x:v>4</x:v>
      </x:c>
      <x:c r="H880" s="54" t="n">
        <x:v>6</x:v>
      </x:c>
      <x:c r="I880" s="54" t="n">
        <x:v>0.45392</x:v>
      </x:c>
      <x:c r="J880" s="54" t="n">
        <x:v>0.4571</x:v>
      </x:c>
      <x:c r="K880" s="54" t="n">
        <x:v>0.13195</x:v>
      </x:c>
      <x:c r="L880" s="54" t="n">
        <x:v>0.24284</x:v>
      </x:c>
      <x:c r="M880" s="54" t="n">
        <x:v>0.53446</x:v>
      </x:c>
      <x:c r="N880" s="56" t="n">
        <x:v>-49</x:v>
      </x:c>
      <x:c r="O880" s="56" t="n">
        <x:v>1.74</x:v>
      </x:c>
      <x:c r="P880" s="56" t="n">
        <x:v>2.29</x:v>
      </x:c>
      <x:c r="Q880" s="56" t="n">
        <x:v>86.6</x:v>
      </x:c>
      <x:c r="R880" t="str">
        <x:v>X</x:v>
      </x:c>
      <x:c r="S880" s="102" t="n">
        <x:v>100</x:v>
      </x:c>
      <x:c r="T880" t="str">
        <x:v>VALID</x:v>
      </x:c>
      <x:c r="U880" t="n">
        <x:v>3634</x:v>
      </x:c>
      <x:c r="V880" t="str">
        <x:v>Pasted text(56).txt</x:v>
      </x:c>
    </x:row>
    <x:row r="881">
      <x:c r="A881" t="str">
        <x:v>S10</x:v>
      </x:c>
      <x:c r="B881" t="str">
        <x:v>0.89 repeat-confirmation session</x:v>
      </x:c>
      <x:c r="C881" s="54" t="n">
        <x:v>0.89</x:v>
      </x:c>
      <x:c r="D881" t="n">
        <x:v>2</x:v>
      </x:c>
      <x:c r="E881" t="n">
        <x:v>1</x:v>
      </x:c>
      <x:c r="F881" t="str">
        <x:v>SEARCH</x:v>
      </x:c>
      <x:c r="G881" t="n">
        <x:v>5</x:v>
      </x:c>
      <x:c r="H881" s="54" t="n">
        <x:v>7</x:v>
      </x:c>
      <x:c r="I881" s="54" t="n">
        <x:v>0.56182</x:v>
      </x:c>
      <x:c r="J881" s="54" t="n">
        <x:v>0.56199</x:v>
      </x:c>
      <x:c r="K881" s="54" t="n">
        <x:v>0.15349</x:v>
      </x:c>
      <x:c r="L881" s="54" t="n">
        <x:v>0.32593</x:v>
      </x:c>
      <x:c r="M881" s="54" t="n">
        <x:v>0.66937</x:v>
      </x:c>
      <x:c r="N881" s="56" t="n">
        <x:v>-36.87</x:v>
      </x:c>
      <x:c r="O881" s="56" t="n">
        <x:v>5.39</x:v>
      </x:c>
      <x:c r="P881" s="56" t="n">
        <x:v>3.68</x:v>
      </x:c>
      <x:c r="Q881" s="56" t="n">
        <x:v>88.8</x:v>
      </x:c>
      <x:c r="R881" t="str">
        <x:v>X</x:v>
      </x:c>
      <x:c r="S881" s="102" t="n">
        <x:v>100</x:v>
      </x:c>
      <x:c r="T881" t="str">
        <x:v>VALID</x:v>
      </x:c>
      <x:c r="U881" t="n">
        <x:v>3635</x:v>
      </x:c>
      <x:c r="V881" t="str">
        <x:v>Pasted text(56).txt</x:v>
      </x:c>
    </x:row>
    <x:row r="882">
      <x:c r="A882" t="str">
        <x:v>S10</x:v>
      </x:c>
      <x:c r="B882" t="str">
        <x:v>0.89 repeat-confirmation session</x:v>
      </x:c>
      <x:c r="C882" s="54" t="n">
        <x:v>0.89</x:v>
      </x:c>
      <x:c r="D882" t="n">
        <x:v>2</x:v>
      </x:c>
      <x:c r="E882" t="n">
        <x:v>1</x:v>
      </x:c>
      <x:c r="F882" t="str">
        <x:v>SEARCH</x:v>
      </x:c>
      <x:c r="G882" t="n">
        <x:v>6</x:v>
      </x:c>
      <x:c r="H882" s="54" t="n">
        <x:v>7.5</x:v>
      </x:c>
      <x:c r="I882" s="54" t="n">
        <x:v>0.58612</x:v>
      </x:c>
      <x:c r="J882" s="54" t="n">
        <x:v>0.58814</x:v>
      </x:c>
      <x:c r="K882" s="54" t="n">
        <x:v>0.15267</x:v>
      </x:c>
      <x:c r="L882" s="54" t="n">
        <x:v>0.31415</x:v>
      </x:c>
      <x:c r="M882" s="54" t="n">
        <x:v>0.68405</x:v>
      </x:c>
      <x:c r="N882" s="56" t="n">
        <x:v>-34.14</x:v>
      </x:c>
      <x:c r="O882" s="56" t="n">
        <x:v>0.35</x:v>
      </x:c>
      <x:c r="P882" s="56" t="n">
        <x:v>0.81</x:v>
      </x:c>
      <x:c r="Q882" s="56" t="n">
        <x:v>87.9</x:v>
      </x:c>
      <x:c r="R882" t="str">
        <x:v>X</x:v>
      </x:c>
      <x:c r="S882" s="102" t="n">
        <x:v>100</x:v>
      </x:c>
      <x:c r="T882" t="str">
        <x:v>VALID</x:v>
      </x:c>
      <x:c r="U882" t="n">
        <x:v>3636</x:v>
      </x:c>
      <x:c r="V882" t="str">
        <x:v>Pasted text(56).txt</x:v>
      </x:c>
    </x:row>
    <x:row r="883">
      <x:c r="A883" t="str">
        <x:v>S10</x:v>
      </x:c>
      <x:c r="B883" t="str">
        <x:v>0.89 repeat-confirmation session</x:v>
      </x:c>
      <x:c r="C883" s="54" t="n">
        <x:v>0.89</x:v>
      </x:c>
      <x:c r="D883" t="n">
        <x:v>2</x:v>
      </x:c>
      <x:c r="E883" t="n">
        <x:v>1</x:v>
      </x:c>
      <x:c r="F883" t="str">
        <x:v>SEARCH</x:v>
      </x:c>
      <x:c r="G883" t="n">
        <x:v>7</x:v>
      </x:c>
      <x:c r="H883" s="54" t="n">
        <x:v>8</x:v>
      </x:c>
      <x:c r="I883" s="54" t="n">
        <x:v>0.67208</x:v>
      </x:c>
      <x:c r="J883" s="54" t="n">
        <x:v>0.67761</x:v>
      </x:c>
      <x:c r="K883" s="54" t="n">
        <x:v>0.17911</x:v>
      </x:c>
      <x:c r="L883" s="54" t="n">
        <x:v>0.35139</x:v>
      </x:c>
      <x:c r="M883" s="54" t="n">
        <x:v>0.78423</x:v>
      </x:c>
      <x:c r="N883" s="56" t="n">
        <x:v>-24.49</x:v>
      </x:c>
      <x:c r="O883" s="56" t="n">
        <x:v>1.35</x:v>
      </x:c>
      <x:c r="P883" s="56" t="n">
        <x:v>2.24</x:v>
      </x:c>
      <x:c r="Q883" s="56" t="n">
        <x:v>91.4</x:v>
      </x:c>
      <x:c r="R883" t="str">
        <x:v>X</x:v>
      </x:c>
      <x:c r="S883" s="102" t="n">
        <x:v>100</x:v>
      </x:c>
      <x:c r="T883" t="str">
        <x:v>VALID</x:v>
      </x:c>
      <x:c r="U883" t="n">
        <x:v>3637</x:v>
      </x:c>
      <x:c r="V883" t="str">
        <x:v>Pasted text(56).txt</x:v>
      </x:c>
    </x:row>
    <x:row r="884">
      <x:c r="A884" t="str">
        <x:v>S10</x:v>
      </x:c>
      <x:c r="B884" t="str">
        <x:v>0.89 repeat-confirmation session</x:v>
      </x:c>
      <x:c r="C884" s="54" t="n">
        <x:v>0.89</x:v>
      </x:c>
      <x:c r="D884" t="n">
        <x:v>2</x:v>
      </x:c>
      <x:c r="E884" t="n">
        <x:v>1</x:v>
      </x:c>
      <x:c r="F884" t="str">
        <x:v>SEARCH</x:v>
      </x:c>
      <x:c r="G884" t="n">
        <x:v>8</x:v>
      </x:c>
      <x:c r="H884" s="54" t="n">
        <x:v>8.5</x:v>
      </x:c>
      <x:c r="I884" s="54" t="n">
        <x:v>0.70692</x:v>
      </x:c>
      <x:c r="J884" s="54" t="n">
        <x:v>0.71161</x:v>
      </x:c>
      <x:c r="K884" s="54" t="n">
        <x:v>0.18503</x:v>
      </x:c>
      <x:c r="L884" s="54" t="n">
        <x:v>0.36292</x:v>
      </x:c>
      <x:c r="M884" s="54" t="n">
        <x:v>0.82024</x:v>
      </x:c>
      <x:c r="N884" s="56" t="n">
        <x:v>-20.57</x:v>
      </x:c>
      <x:c r="O884" s="56" t="n">
        <x:v>0.77</x:v>
      </x:c>
      <x:c r="P884" s="56" t="n">
        <x:v>1.61</x:v>
      </x:c>
      <x:c r="Q884" s="56" t="n">
        <x:v>90.7</x:v>
      </x:c>
      <x:c r="R884" t="str">
        <x:v>X</x:v>
      </x:c>
      <x:c r="S884" s="102" t="n">
        <x:v>100</x:v>
      </x:c>
      <x:c r="T884" t="str">
        <x:v>VALID</x:v>
      </x:c>
      <x:c r="U884" t="n">
        <x:v>3638</x:v>
      </x:c>
      <x:c r="V884" t="str">
        <x:v>Pasted text(56).txt</x:v>
      </x:c>
    </x:row>
    <x:row r="885">
      <x:c r="A885" t="str">
        <x:v>S10</x:v>
      </x:c>
      <x:c r="B885" t="str">
        <x:v>0.89 repeat-confirmation session</x:v>
      </x:c>
      <x:c r="C885" s="54" t="n">
        <x:v>0.89</x:v>
      </x:c>
      <x:c r="D885" t="n">
        <x:v>2</x:v>
      </x:c>
      <x:c r="E885" t="n">
        <x:v>1</x:v>
      </x:c>
      <x:c r="F885" t="str">
        <x:v>SEARCH</x:v>
      </x:c>
      <x:c r="G885" t="n">
        <x:v>9</x:v>
      </x:c>
      <x:c r="H885" s="54" t="n">
        <x:v>9</x:v>
      </x:c>
      <x:c r="I885" s="54" t="n">
        <x:v>0.76907</x:v>
      </x:c>
      <x:c r="J885" s="54" t="n">
        <x:v>0.76588</x:v>
      </x:c>
      <x:c r="K885" s="54" t="n">
        <x:v>0.219</x:v>
      </x:c>
      <x:c r="L885" s="54" t="n">
        <x:v>0.4124</x:v>
      </x:c>
      <x:c r="M885" s="54" t="n">
        <x:v>0.89752</x:v>
      </x:c>
      <x:c r="N885" s="56" t="n">
        <x:v>-13.59</x:v>
      </x:c>
      <x:c r="O885" s="56" t="n">
        <x:v>0.9</x:v>
      </x:c>
      <x:c r="P885" s="56" t="n">
        <x:v>1.29</x:v>
      </x:c>
      <x:c r="Q885" s="56" t="n">
        <x:v>90.9</x:v>
      </x:c>
      <x:c r="R885" t="str">
        <x:v>X</x:v>
      </x:c>
      <x:c r="S885" s="102" t="n">
        <x:v>100</x:v>
      </x:c>
      <x:c r="T885" t="str">
        <x:v>VALID</x:v>
      </x:c>
      <x:c r="U885" t="n">
        <x:v>3639</x:v>
      </x:c>
      <x:c r="V885" t="str">
        <x:v>Pasted text(56).txt</x:v>
      </x:c>
    </x:row>
    <x:row r="886">
      <x:c r="A886" t="str">
        <x:v>S10</x:v>
      </x:c>
      <x:c r="B886" t="str">
        <x:v>0.89 repeat-confirmation session</x:v>
      </x:c>
      <x:c r="C886" s="54" t="n">
        <x:v>0.89</x:v>
      </x:c>
      <x:c r="D886" t="n">
        <x:v>2</x:v>
      </x:c>
      <x:c r="E886" t="n">
        <x:v>1</x:v>
      </x:c>
      <x:c r="F886" t="str">
        <x:v>SEARCH</x:v>
      </x:c>
      <x:c r="G886" t="n">
        <x:v>10</x:v>
      </x:c>
      <x:c r="H886" s="54" t="n">
        <x:v>9.25</x:v>
      </x:c>
      <x:c r="I886" s="54" t="n">
        <x:v>0.79214</x:v>
      </x:c>
      <x:c r="J886" s="54" t="n">
        <x:v>0.79109</x:v>
      </x:c>
      <x:c r="K886" s="54" t="n">
        <x:v>0.21318</x:v>
      </x:c>
      <x:c r="L886" s="54" t="n">
        <x:v>0.39512</x:v>
      </x:c>
      <x:c r="M886" s="54" t="n">
        <x:v>0.90967</x:v>
      </x:c>
      <x:c r="N886" s="56" t="n">
        <x:v>-11</x:v>
      </x:c>
      <x:c r="O886" s="56" t="n">
        <x:v>2.54</x:v>
      </x:c>
      <x:c r="P886" s="56" t="n">
        <x:v>1.92</x:v>
      </x:c>
      <x:c r="Q886" s="56" t="n">
        <x:v>91.2</x:v>
      </x:c>
      <x:c r="R886" t="str">
        <x:v>X</x:v>
      </x:c>
      <x:c r="S886" s="102" t="n">
        <x:v>100</x:v>
      </x:c>
      <x:c r="T886" t="str">
        <x:v>VALID</x:v>
      </x:c>
      <x:c r="U886" t="n">
        <x:v>3640</x:v>
      </x:c>
      <x:c r="V886" t="str">
        <x:v>Pasted text(56).txt</x:v>
      </x:c>
    </x:row>
    <x:row r="887">
      <x:c r="A887" t="str">
        <x:v>S10</x:v>
      </x:c>
      <x:c r="B887" t="str">
        <x:v>0.89 repeat-confirmation session</x:v>
      </x:c>
      <x:c r="C887" s="54" t="n">
        <x:v>0.89</x:v>
      </x:c>
      <x:c r="D887" t="n">
        <x:v>2</x:v>
      </x:c>
      <x:c r="E887" t="n">
        <x:v>1</x:v>
      </x:c>
      <x:c r="F887" t="str">
        <x:v>SEARCH</x:v>
      </x:c>
      <x:c r="G887" t="n">
        <x:v>11</x:v>
      </x:c>
      <x:c r="H887" s="54" t="n">
        <x:v>9.5</x:v>
      </x:c>
      <x:c r="I887" s="54" t="n">
        <x:v>0.83671</x:v>
      </x:c>
      <x:c r="J887" s="54" t="n">
        <x:v>0.83349</x:v>
      </x:c>
      <x:c r="K887" s="54" t="n">
        <x:v>0.23588</x:v>
      </x:c>
      <x:c r="L887" s="54" t="n">
        <x:v>0.381</x:v>
      </x:c>
      <x:c r="M887" s="54" t="n">
        <x:v>0.94662</x:v>
      </x:c>
      <x:c r="N887" s="56" t="n">
        <x:v>-5.99</x:v>
      </x:c>
      <x:c r="O887" s="56" t="n">
        <x:v>0.07</x:v>
      </x:c>
      <x:c r="P887" s="56" t="n">
        <x:v>0.71</x:v>
      </x:c>
      <x:c r="Q887" s="56" t="n">
        <x:v>94.3</x:v>
      </x:c>
      <x:c r="R887" t="str">
        <x:v>X</x:v>
      </x:c>
      <x:c r="S887" s="102" t="n">
        <x:v>100</x:v>
      </x:c>
      <x:c r="T887" t="str">
        <x:v>IN TARGET BAND</x:v>
      </x:c>
      <x:c r="U887" t="n">
        <x:v>3641</x:v>
      </x:c>
      <x:c r="V887" t="str">
        <x:v>Pasted text(56).txt</x:v>
      </x:c>
    </x:row>
    <x:row r="888">
      <x:c r="A888" t="str">
        <x:v>S10</x:v>
      </x:c>
      <x:c r="B888" t="str">
        <x:v>0.89 repeat-confirmation session</x:v>
      </x:c>
      <x:c r="C888" s="54" t="n">
        <x:v>0.89</x:v>
      </x:c>
      <x:c r="D888" t="n">
        <x:v>2</x:v>
      </x:c>
      <x:c r="E888" t="n">
        <x:v>1</x:v>
      </x:c>
      <x:c r="F888" t="str">
        <x:v>FINE</x:v>
      </x:c>
      <x:c r="G888" t="n">
        <x:v>1</x:v>
      </x:c>
      <x:c r="H888" s="54" t="n">
        <x:v>8.5</x:v>
      </x:c>
      <x:c r="I888" s="54" t="n">
        <x:v>0.70815</x:v>
      </x:c>
      <x:c r="J888" s="54" t="n">
        <x:v>0.7046</x:v>
      </x:c>
      <x:c r="K888" s="54" t="n">
        <x:v>0.19229</x:v>
      </x:c>
      <x:c r="L888" s="54" t="n">
        <x:v>0.3548</x:v>
      </x:c>
      <x:c r="M888" s="54" t="n">
        <x:v>0.81226</x:v>
      </x:c>
      <x:c r="N888" s="56" t="n">
        <x:v>-20.43</x:v>
      </x:c>
      <x:c r="O888" s="56" t="n">
        <x:v>0.85</x:v>
      </x:c>
      <x:c r="P888" s="56" t="n">
        <x:v>1.4</x:v>
      </x:c>
      <x:c r="Q888" s="56" t="n">
        <x:v>90.5</x:v>
      </x:c>
      <x:c r="R888" t="str">
        <x:v>X</x:v>
      </x:c>
      <x:c r="S888" s="102" t="n">
        <x:v>100</x:v>
      </x:c>
      <x:c r="T888" t="str">
        <x:v>VALID</x:v>
      </x:c>
      <x:c r="U888" t="n">
        <x:v>3645</x:v>
      </x:c>
      <x:c r="V888" t="str">
        <x:v>Pasted text(56).txt</x:v>
      </x:c>
    </x:row>
    <x:row r="889">
      <x:c r="A889" t="str">
        <x:v>S10</x:v>
      </x:c>
      <x:c r="B889" t="str">
        <x:v>0.89 repeat-confirmation session</x:v>
      </x:c>
      <x:c r="C889" s="54" t="n">
        <x:v>0.89</x:v>
      </x:c>
      <x:c r="D889" t="n">
        <x:v>2</x:v>
      </x:c>
      <x:c r="E889" t="n">
        <x:v>1</x:v>
      </x:c>
      <x:c r="F889" t="str">
        <x:v>FINE</x:v>
      </x:c>
      <x:c r="G889" t="n">
        <x:v>2</x:v>
      </x:c>
      <x:c r="H889" s="54" t="n">
        <x:v>8.75</x:v>
      </x:c>
      <x:c r="I889" s="54" t="n">
        <x:v>0.74192</x:v>
      </x:c>
      <x:c r="J889" s="54" t="n">
        <x:v>0.74121</x:v>
      </x:c>
      <x:c r="K889" s="54" t="n">
        <x:v>0.19381</x:v>
      </x:c>
      <x:c r="L889" s="54" t="n">
        <x:v>0.37573</x:v>
      </x:c>
      <x:c r="M889" s="54" t="n">
        <x:v>0.85371</x:v>
      </x:c>
      <x:c r="N889" s="56" t="n">
        <x:v>-16.64</x:v>
      </x:c>
      <x:c r="O889" s="56" t="n">
        <x:v>0.7</x:v>
      </x:c>
      <x:c r="P889" s="56" t="n">
        <x:v>0.63</x:v>
      </x:c>
      <x:c r="Q889" s="56" t="n">
        <x:v>91.1</x:v>
      </x:c>
      <x:c r="R889" t="str">
        <x:v>X</x:v>
      </x:c>
      <x:c r="S889" s="102" t="n">
        <x:v>100</x:v>
      </x:c>
      <x:c r="T889" t="str">
        <x:v>VALID</x:v>
      </x:c>
      <x:c r="U889" t="n">
        <x:v>3646</x:v>
      </x:c>
      <x:c r="V889" t="str">
        <x:v>Pasted text(56).txt</x:v>
      </x:c>
    </x:row>
    <x:row r="890">
      <x:c r="A890" t="str">
        <x:v>S10</x:v>
      </x:c>
      <x:c r="B890" t="str">
        <x:v>0.89 repeat-confirmation session</x:v>
      </x:c>
      <x:c r="C890" s="54" t="n">
        <x:v>0.89</x:v>
      </x:c>
      <x:c r="D890" t="n">
        <x:v>2</x:v>
      </x:c>
      <x:c r="E890" t="n">
        <x:v>1</x:v>
      </x:c>
      <x:c r="F890" t="str">
        <x:v>FINE</x:v>
      </x:c>
      <x:c r="G890" t="n">
        <x:v>3</x:v>
      </x:c>
      <x:c r="H890" s="54" t="n">
        <x:v>9</x:v>
      </x:c>
      <x:c r="I890" s="54" t="n">
        <x:v>0.77248</x:v>
      </x:c>
      <x:c r="J890" s="54" t="n">
        <x:v>0.77152</x:v>
      </x:c>
      <x:c r="K890" s="54" t="n">
        <x:v>0.20367</x:v>
      </x:c>
      <x:c r="L890" s="54" t="n">
        <x:v>0.37859</x:v>
      </x:c>
      <x:c r="M890" s="54" t="n">
        <x:v>0.8833</x:v>
      </x:c>
      <x:c r="N890" s="56" t="n">
        <x:v>-13.2</x:v>
      </x:c>
      <x:c r="O890" s="56" t="n">
        <x:v>1.98</x:v>
      </x:c>
      <x:c r="P890" s="56" t="n">
        <x:v>1.53</x:v>
      </x:c>
      <x:c r="Q890" s="56" t="n">
        <x:v>90.3</x:v>
      </x:c>
      <x:c r="R890" t="str">
        <x:v>X</x:v>
      </x:c>
      <x:c r="S890" s="102" t="n">
        <x:v>100</x:v>
      </x:c>
      <x:c r="T890" t="str">
        <x:v>VALID</x:v>
      </x:c>
      <x:c r="U890" t="n">
        <x:v>3647</x:v>
      </x:c>
      <x:c r="V890" t="str">
        <x:v>Pasted text(56).txt</x:v>
      </x:c>
    </x:row>
    <x:row r="891">
      <x:c r="A891" t="str">
        <x:v>S10</x:v>
      </x:c>
      <x:c r="B891" t="str">
        <x:v>0.89 repeat-confirmation session</x:v>
      </x:c>
      <x:c r="C891" s="54" t="n">
        <x:v>0.89</x:v>
      </x:c>
      <x:c r="D891" t="n">
        <x:v>2</x:v>
      </x:c>
      <x:c r="E891" t="n">
        <x:v>1</x:v>
      </x:c>
      <x:c r="F891" t="str">
        <x:v>FINE</x:v>
      </x:c>
      <x:c r="G891" t="n">
        <x:v>4</x:v>
      </x:c>
      <x:c r="H891" s="54" t="n">
        <x:v>9.25</x:v>
      </x:c>
      <x:c r="I891" s="54" t="n">
        <x:v>0.81014</x:v>
      </x:c>
      <x:c r="J891" s="54" t="n">
        <x:v>0.81059</x:v>
      </x:c>
      <x:c r="K891" s="54" t="n">
        <x:v>0.23345</x:v>
      </x:c>
      <x:c r="L891" s="54" t="n">
        <x:v>0.38014</x:v>
      </x:c>
      <x:c r="M891" s="54" t="n">
        <x:v>0.92543</x:v>
      </x:c>
      <x:c r="N891" s="56" t="n">
        <x:v>-8.97</x:v>
      </x:c>
      <x:c r="O891" s="56" t="n">
        <x:v>0.1</x:v>
      </x:c>
      <x:c r="P891" s="56" t="n">
        <x:v>0.16</x:v>
      </x:c>
      <x:c r="Q891" s="56" t="n">
        <x:v>93.2</x:v>
      </x:c>
      <x:c r="R891" t="str">
        <x:v>X</x:v>
      </x:c>
      <x:c r="S891" s="102" t="n">
        <x:v>100</x:v>
      </x:c>
      <x:c r="T891" t="str">
        <x:v>VALID</x:v>
      </x:c>
      <x:c r="U891" t="n">
        <x:v>3648</x:v>
      </x:c>
      <x:c r="V891" t="str">
        <x:v>Pasted text(56).txt</x:v>
      </x:c>
    </x:row>
    <x:row r="892">
      <x:c r="A892" t="str">
        <x:v>S10</x:v>
      </x:c>
      <x:c r="B892" t="str">
        <x:v>0.89 repeat-confirmation session</x:v>
      </x:c>
      <x:c r="C892" s="54" t="n">
        <x:v>0.89</x:v>
      </x:c>
      <x:c r="D892" t="n">
        <x:v>2</x:v>
      </x:c>
      <x:c r="E892" t="n">
        <x:v>1</x:v>
      </x:c>
      <x:c r="F892" t="str">
        <x:v>FINE</x:v>
      </x:c>
      <x:c r="G892" t="n">
        <x:v>5</x:v>
      </x:c>
      <x:c r="H892" s="54" t="n">
        <x:v>9.5</x:v>
      </x:c>
      <x:c r="I892" s="54" t="n">
        <x:v>0.80415</x:v>
      </x:c>
      <x:c r="J892" s="54" t="n">
        <x:v>0.80766</x:v>
      </x:c>
      <x:c r="K892" s="54" t="n">
        <x:v>0.22356</x:v>
      </x:c>
      <x:c r="L892" s="54" t="n">
        <x:v>0.38625</x:v>
      </x:c>
      <x:c r="M892" s="54" t="n">
        <x:v>0.9231</x:v>
      </x:c>
      <x:c r="N892" s="56" t="n">
        <x:v>-9.65</x:v>
      </x:c>
      <x:c r="O892" s="56" t="n">
        <x:v>0.78</x:v>
      </x:c>
      <x:c r="P892" s="56" t="n">
        <x:v>1.23</x:v>
      </x:c>
      <x:c r="Q892" s="56" t="n">
        <x:v>92.4</x:v>
      </x:c>
      <x:c r="R892" t="str">
        <x:v>X</x:v>
      </x:c>
      <x:c r="S892" s="102" t="n">
        <x:v>100</x:v>
      </x:c>
      <x:c r="T892" t="str">
        <x:v>VALID</x:v>
      </x:c>
      <x:c r="U892" t="n">
        <x:v>3649</x:v>
      </x:c>
      <x:c r="V892" t="str">
        <x:v>Pasted text(56).txt</x:v>
      </x:c>
    </x:row>
    <x:row r="893">
      <x:c r="A893" t="str">
        <x:v>S10</x:v>
      </x:c>
      <x:c r="B893" t="str">
        <x:v>0.89 repeat-confirmation session</x:v>
      </x:c>
      <x:c r="C893" s="54" t="n">
        <x:v>0.89</x:v>
      </x:c>
      <x:c r="D893" t="n">
        <x:v>2</x:v>
      </x:c>
      <x:c r="E893" t="n">
        <x:v>1</x:v>
      </x:c>
      <x:c r="F893" t="str">
        <x:v>FINE</x:v>
      </x:c>
      <x:c r="G893" t="n">
        <x:v>6</x:v>
      </x:c>
      <x:c r="H893" s="54" t="n">
        <x:v>9.75</x:v>
      </x:c>
      <x:c r="I893" s="54" t="n">
        <x:v>0.73451</x:v>
      </x:c>
      <x:c r="J893" s="54" t="n">
        <x:v>0.76188</x:v>
      </x:c>
      <x:c r="K893" s="54" t="n">
        <x:v>0.21535</x:v>
      </x:c>
      <x:c r="L893" s="54" t="n">
        <x:v>0.37572</x:v>
      </x:c>
      <x:c r="M893" s="54" t="n">
        <x:v>0.87648</x:v>
      </x:c>
      <x:c r="N893" s="56" t="n">
        <x:v>-17.47</x:v>
      </x:c>
      <x:c r="O893" s="56" t="n">
        <x:v>3.05</x:v>
      </x:c>
      <x:c r="P893" s="56" t="n">
        <x:v>8</x:v>
      </x:c>
      <x:c r="Q893" s="56" t="n">
        <x:v>92.1</x:v>
      </x:c>
      <x:c r="R893" t="str">
        <x:v>X</x:v>
      </x:c>
      <x:c r="S893" s="102" t="n">
        <x:v>100</x:v>
      </x:c>
      <x:c r="T893" t="str">
        <x:v>VALID</x:v>
      </x:c>
      <x:c r="U893" t="n">
        <x:v>3650</x:v>
      </x:c>
      <x:c r="V893" t="str">
        <x:v>Pasted text(56).txt</x:v>
      </x:c>
    </x:row>
    <x:row r="894">
      <x:c r="A894" t="str">
        <x:v>S10</x:v>
      </x:c>
      <x:c r="B894" t="str">
        <x:v>0.89 repeat-confirmation session</x:v>
      </x:c>
      <x:c r="C894" s="54" t="n">
        <x:v>0.89</x:v>
      </x:c>
      <x:c r="D894" t="n">
        <x:v>2</x:v>
      </x:c>
      <x:c r="E894" t="n">
        <x:v>1</x:v>
      </x:c>
      <x:c r="F894" t="str">
        <x:v>FINE</x:v>
      </x:c>
      <x:c r="G894" t="n">
        <x:v>7</x:v>
      </x:c>
      <x:c r="H894" s="54" t="n">
        <x:v>10</x:v>
      </x:c>
      <x:c r="I894" s="54" t="n">
        <x:v>0.72652</x:v>
      </x:c>
      <x:c r="J894" s="54" t="n">
        <x:v>0.72596</x:v>
      </x:c>
      <x:c r="K894" s="54" t="n">
        <x:v>0.23912</x:v>
      </x:c>
      <x:c r="L894" s="54" t="n">
        <x:v>0.36576</x:v>
      </x:c>
      <x:c r="M894" s="54" t="n">
        <x:v>0.84742</x:v>
      </x:c>
      <x:c r="N894" s="56" t="n">
        <x:v>-18.37</x:v>
      </x:c>
      <x:c r="O894" s="56" t="n">
        <x:v>0.42</x:v>
      </x:c>
      <x:c r="P894" s="56" t="n">
        <x:v>0.4</x:v>
      </x:c>
      <x:c r="Q894" s="56" t="n">
        <x:v>91.4</x:v>
      </x:c>
      <x:c r="R894" t="str">
        <x:v>X</x:v>
      </x:c>
      <x:c r="S894" s="102" t="n">
        <x:v>100</x:v>
      </x:c>
      <x:c r="T894" t="str">
        <x:v>VALID</x:v>
      </x:c>
      <x:c r="U894" t="n">
        <x:v>3651</x:v>
      </x:c>
      <x:c r="V894" t="str">
        <x:v>Pasted text(56).txt</x:v>
      </x:c>
    </x:row>
    <x:row r="895">
      <x:c r="A895" t="str">
        <x:v>S10</x:v>
      </x:c>
      <x:c r="B895" t="str">
        <x:v>0.89 repeat-confirmation session</x:v>
      </x:c>
      <x:c r="C895" s="54" t="n">
        <x:v>0.89</x:v>
      </x:c>
      <x:c r="D895" t="n">
        <x:v>2</x:v>
      </x:c>
      <x:c r="E895" t="n">
        <x:v>1</x:v>
      </x:c>
      <x:c r="F895" t="str">
        <x:v>FINE</x:v>
      </x:c>
      <x:c r="G895" t="n">
        <x:v>8</x:v>
      </x:c>
      <x:c r="H895" s="54" t="n">
        <x:v>10.25</x:v>
      </x:c>
      <x:c r="I895" s="54" t="n">
        <x:v>0.56714</x:v>
      </x:c>
      <x:c r="J895" s="54" t="n">
        <x:v>0.55765</x:v>
      </x:c>
      <x:c r="K895" s="54" t="n">
        <x:v>0.2667</x:v>
      </x:c>
      <x:c r="L895" s="54" t="n">
        <x:v>0.25704</x:v>
      </x:c>
      <x:c r="M895" s="54" t="n">
        <x:v>0.66986</x:v>
      </x:c>
      <x:c r="N895" s="56" t="n">
        <x:v>-36.28</x:v>
      </x:c>
      <x:c r="O895" s="56" t="n">
        <x:v>4.96</x:v>
      </x:c>
      <x:c r="P895" s="56" t="n">
        <x:v>2.41</x:v>
      </x:c>
      <x:c r="Q895" s="56" t="n">
        <x:v>85.3</x:v>
      </x:c>
      <x:c r="R895" t="str">
        <x:v>X</x:v>
      </x:c>
      <x:c r="S895" s="102" t="n">
        <x:v>100</x:v>
      </x:c>
      <x:c r="T895" t="str">
        <x:v>VALID</x:v>
      </x:c>
      <x:c r="U895" t="n">
        <x:v>3652</x:v>
      </x:c>
      <x:c r="V895" t="str">
        <x:v>Pasted text(56).txt</x:v>
      </x:c>
    </x:row>
    <x:row r="896">
      <x:c r="A896" t="str">
        <x:v>S10</x:v>
      </x:c>
      <x:c r="B896" t="str">
        <x:v>0.89 repeat-confirmation session</x:v>
      </x:c>
      <x:c r="C896" s="54" t="n">
        <x:v>0.89</x:v>
      </x:c>
      <x:c r="D896" t="n">
        <x:v>2</x:v>
      </x:c>
      <x:c r="E896" t="n">
        <x:v>1</x:v>
      </x:c>
      <x:c r="F896" t="str">
        <x:v>FINE</x:v>
      </x:c>
      <x:c r="G896" t="n">
        <x:v>9</x:v>
      </x:c>
      <x:c r="H896" s="54" t="n">
        <x:v>10.5</x:v>
      </x:c>
      <x:c r="I896" s="54" t="n">
        <x:v>0.51903</x:v>
      </x:c>
      <x:c r="J896" s="54" t="n">
        <x:v>0.51356</x:v>
      </x:c>
      <x:c r="K896" s="54" t="n">
        <x:v>0.2472</x:v>
      </x:c>
      <x:c r="L896" s="54" t="n">
        <x:v>0.21095</x:v>
      </x:c>
      <x:c r="M896" s="54" t="n">
        <x:v>0.60939</x:v>
      </x:c>
      <x:c r="N896" s="56" t="n">
        <x:v>-41.68</x:v>
      </x:c>
      <x:c r="O896" s="56" t="n">
        <x:v>3.12</x:v>
      </x:c>
      <x:c r="P896" s="56" t="n">
        <x:v>1.51</x:v>
      </x:c>
      <x:c r="Q896" s="56" t="n">
        <x:v>87.9</x:v>
      </x:c>
      <x:c r="R896" t="str">
        <x:v>X</x:v>
      </x:c>
      <x:c r="S896" s="102" t="n">
        <x:v>100</x:v>
      </x:c>
      <x:c r="T896" t="str">
        <x:v>VALID</x:v>
      </x:c>
      <x:c r="U896" t="n">
        <x:v>3653</x:v>
      </x:c>
      <x:c r="V896" t="str">
        <x:v>Pasted text(56).txt</x:v>
      </x:c>
    </x:row>
    <x:row r="897">
      <x:c r="A897" t="str">
        <x:v>S10</x:v>
      </x:c>
      <x:c r="B897" t="str">
        <x:v>0.89 repeat-confirmation session</x:v>
      </x:c>
      <x:c r="C897" s="54" t="n">
        <x:v>0.89</x:v>
      </x:c>
      <x:c r="D897" t="n">
        <x:v>2</x:v>
      </x:c>
      <x:c r="E897" t="n">
        <x:v>2</x:v>
      </x:c>
      <x:c r="F897" t="str">
        <x:v>SEARCH</x:v>
      </x:c>
      <x:c r="G897" t="n">
        <x:v>1</x:v>
      </x:c>
      <x:c r="H897" s="54" t="n">
        <x:v>1</x:v>
      </x:c>
      <x:c r="I897" s="54" t="n">
        <x:v>0.01272</x:v>
      </x:c>
      <x:c r="J897" s="54" t="n">
        <x:v>0.01352</x:v>
      </x:c>
      <x:c r="K897" s="54" t="n">
        <x:v>0.01433</x:v>
      </x:c>
      <x:c r="L897" s="54" t="n">
        <x:v>0.02639</x:v>
      </x:c>
      <x:c r="M897" s="54" t="n">
        <x:v>0.03302</x:v>
      </x:c>
      <x:c r="N897" s="56" t="n">
        <x:v>-98.57</x:v>
      </x:c>
      <x:c r="O897" s="56" t="n">
        <x:v>18.72</x:v>
      </x:c>
      <x:c r="P897" s="56" t="n">
        <x:v>8.4</x:v>
      </x:c>
      <x:c r="Q897" s="56" t="n">
        <x:v>7.8</x:v>
      </x:c>
      <x:c r="R897" t="str">
        <x:v>Z</x:v>
      </x:c>
      <x:c r="S897" s="102" t="n">
        <x:v>51.2</x:v>
      </x:c>
      <x:c r="T897" t="str">
        <x:v>BELOW MEASUREMENT FLOOR — SEARCH CONTINUES</x:v>
      </x:c>
      <x:c r="U897" t="n">
        <x:v>3660</x:v>
      </x:c>
      <x:c r="V897" t="str">
        <x:v>Pasted text(56).txt</x:v>
      </x:c>
    </x:row>
    <x:row r="898">
      <x:c r="A898" t="str">
        <x:v>S10</x:v>
      </x:c>
      <x:c r="B898" t="str">
        <x:v>0.89 repeat-confirmation session</x:v>
      </x:c>
      <x:c r="C898" s="54" t="n">
        <x:v>0.89</x:v>
      </x:c>
      <x:c r="D898" t="n">
        <x:v>2</x:v>
      </x:c>
      <x:c r="E898" t="n">
        <x:v>2</x:v>
      </x:c>
      <x:c r="F898" t="str">
        <x:v>SEARCH</x:v>
      </x:c>
      <x:c r="G898" t="n">
        <x:v>2</x:v>
      </x:c>
      <x:c r="H898" s="54" t="n">
        <x:v>3</x:v>
      </x:c>
      <x:c r="I898" s="54" t="n">
        <x:v>0.063</x:v>
      </x:c>
      <x:c r="J898" s="54" t="n">
        <x:v>0.05619</x:v>
      </x:c>
      <x:c r="K898" s="54" t="n">
        <x:v>0.05322</x:v>
      </x:c>
      <x:c r="L898" s="54" t="n">
        <x:v>0.04259</x:v>
      </x:c>
      <x:c r="M898" s="54" t="n">
        <x:v>0.08915</x:v>
      </x:c>
      <x:c r="N898" s="56" t="n">
        <x:v>-92.92</x:v>
      </x:c>
      <x:c r="O898" s="56" t="n">
        <x:v>32.08</x:v>
      </x:c>
      <x:c r="P898" s="56" t="n">
        <x:v>17.15</x:v>
      </x:c>
      <x:c r="Q898" s="56" t="n">
        <x:v>26.5</x:v>
      </x:c>
      <x:c r="R898" t="str">
        <x:v>X</x:v>
      </x:c>
      <x:c r="S898" s="102" t="n">
        <x:v>100</x:v>
      </x:c>
      <x:c r="T898" t="str">
        <x:v>BELOW MEASUREMENT FLOOR — SEARCH CONTINUES</x:v>
      </x:c>
      <x:c r="U898" t="n">
        <x:v>3661</x:v>
      </x:c>
      <x:c r="V898" t="str">
        <x:v>Pasted text(56).txt</x:v>
      </x:c>
    </x:row>
    <x:row r="899">
      <x:c r="A899" t="str">
        <x:v>S10</x:v>
      </x:c>
      <x:c r="B899" t="str">
        <x:v>0.89 repeat-confirmation session</x:v>
      </x:c>
      <x:c r="C899" s="54" t="n">
        <x:v>0.89</x:v>
      </x:c>
      <x:c r="D899" t="n">
        <x:v>2</x:v>
      </x:c>
      <x:c r="E899" t="n">
        <x:v>2</x:v>
      </x:c>
      <x:c r="F899" t="str">
        <x:v>SEARCH</x:v>
      </x:c>
      <x:c r="G899" t="n">
        <x:v>3</x:v>
      </x:c>
      <x:c r="H899" s="54" t="n">
        <x:v>5</x:v>
      </x:c>
      <x:c r="I899" s="54" t="n">
        <x:v>0.19245</x:v>
      </x:c>
      <x:c r="J899" s="54" t="n">
        <x:v>0.18746</x:v>
      </x:c>
      <x:c r="K899" s="54" t="n">
        <x:v>0.10825</x:v>
      </x:c>
      <x:c r="L899" s="54" t="n">
        <x:v>0.15364</x:v>
      </x:c>
      <x:c r="M899" s="54" t="n">
        <x:v>0.26616</x:v>
      </x:c>
      <x:c r="N899" s="56" t="n">
        <x:v>-78.38</x:v>
      </x:c>
      <x:c r="O899" s="56" t="n">
        <x:v>5.6</x:v>
      </x:c>
      <x:c r="P899" s="56" t="n">
        <x:v>8.21</x:v>
      </x:c>
      <x:c r="Q899" s="56" t="n">
        <x:v>62.6</x:v>
      </x:c>
      <x:c r="R899" t="str">
        <x:v>X</x:v>
      </x:c>
      <x:c r="S899" s="102" t="n">
        <x:v>100</x:v>
      </x:c>
      <x:c r="T899" t="str">
        <x:v>VALID</x:v>
      </x:c>
      <x:c r="U899" t="n">
        <x:v>3662</x:v>
      </x:c>
      <x:c r="V899" t="str">
        <x:v>Pasted text(56).txt</x:v>
      </x:c>
    </x:row>
    <x:row r="900">
      <x:c r="A900" t="str">
        <x:v>S10</x:v>
      </x:c>
      <x:c r="B900" t="str">
        <x:v>0.89 repeat-confirmation session</x:v>
      </x:c>
      <x:c r="C900" s="54" t="n">
        <x:v>0.89</x:v>
      </x:c>
      <x:c r="D900" t="n">
        <x:v>2</x:v>
      </x:c>
      <x:c r="E900" t="n">
        <x:v>2</x:v>
      </x:c>
      <x:c r="F900" t="str">
        <x:v>SEARCH</x:v>
      </x:c>
      <x:c r="G900" t="n">
        <x:v>4</x:v>
      </x:c>
      <x:c r="H900" s="54" t="n">
        <x:v>7</x:v>
      </x:c>
      <x:c r="I900" s="54" t="n">
        <x:v>0.32947</x:v>
      </x:c>
      <x:c r="J900" s="54" t="n">
        <x:v>0.34485</x:v>
      </x:c>
      <x:c r="K900" s="54" t="n">
        <x:v>0.16771</x:v>
      </x:c>
      <x:c r="L900" s="54" t="n">
        <x:v>0.16357</x:v>
      </x:c>
      <x:c r="M900" s="54" t="n">
        <x:v>0.42834</x:v>
      </x:c>
      <x:c r="N900" s="56" t="n">
        <x:v>-62.98</x:v>
      </x:c>
      <x:c r="O900" s="56" t="n">
        <x:v>6.11</x:v>
      </x:c>
      <x:c r="P900" s="56" t="n">
        <x:v>11.3</x:v>
      </x:c>
      <x:c r="Q900" s="56" t="n">
        <x:v>79.9</x:v>
      </x:c>
      <x:c r="R900" t="str">
        <x:v>X</x:v>
      </x:c>
      <x:c r="S900" s="102" t="n">
        <x:v>100</x:v>
      </x:c>
      <x:c r="T900" t="str">
        <x:v>VALID</x:v>
      </x:c>
      <x:c r="U900" t="n">
        <x:v>3663</x:v>
      </x:c>
      <x:c r="V900" t="str">
        <x:v>Pasted text(56).txt</x:v>
      </x:c>
    </x:row>
    <x:row r="901">
      <x:c r="A901" t="str">
        <x:v>S10</x:v>
      </x:c>
      <x:c r="B901" t="str">
        <x:v>0.89 repeat-confirmation session</x:v>
      </x:c>
      <x:c r="C901" s="54" t="n">
        <x:v>0.89</x:v>
      </x:c>
      <x:c r="D901" t="n">
        <x:v>2</x:v>
      </x:c>
      <x:c r="E901" t="n">
        <x:v>2</x:v>
      </x:c>
      <x:c r="F901" t="str">
        <x:v>SEARCH</x:v>
      </x:c>
      <x:c r="G901" t="n">
        <x:v>5</x:v>
      </x:c>
      <x:c r="H901" s="54" t="n">
        <x:v>8</x:v>
      </x:c>
      <x:c r="I901" s="54" t="n">
        <x:v>0.67388</x:v>
      </x:c>
      <x:c r="J901" s="54" t="n">
        <x:v>0.64966</x:v>
      </x:c>
      <x:c r="K901" s="54" t="n">
        <x:v>0.16818</x:v>
      </x:c>
      <x:c r="L901" s="54" t="n">
        <x:v>0.27139</x:v>
      </x:c>
      <x:c r="M901" s="54" t="n">
        <x:v>0.72424</x:v>
      </x:c>
      <x:c r="N901" s="56" t="n">
        <x:v>-24.28</x:v>
      </x:c>
      <x:c r="O901" s="56" t="n">
        <x:v>0.3</x:v>
      </x:c>
      <x:c r="P901" s="56" t="n">
        <x:v>6.64</x:v>
      </x:c>
      <x:c r="Q901" s="56" t="n">
        <x:v>90.4</x:v>
      </x:c>
      <x:c r="R901" t="str">
        <x:v>X</x:v>
      </x:c>
      <x:c r="S901" s="102" t="n">
        <x:v>100</x:v>
      </x:c>
      <x:c r="T901" t="str">
        <x:v>VALID</x:v>
      </x:c>
      <x:c r="U901" t="n">
        <x:v>3664</x:v>
      </x:c>
      <x:c r="V901" t="str">
        <x:v>Pasted text(56).txt</x:v>
      </x:c>
    </x:row>
    <x:row r="902">
      <x:c r="A902" t="str">
        <x:v>S10</x:v>
      </x:c>
      <x:c r="B902" t="str">
        <x:v>0.89 repeat-confirmation session</x:v>
      </x:c>
      <x:c r="C902" s="54" t="n">
        <x:v>0.89</x:v>
      </x:c>
      <x:c r="D902" t="n">
        <x:v>2</x:v>
      </x:c>
      <x:c r="E902" t="n">
        <x:v>2</x:v>
      </x:c>
      <x:c r="F902" t="str">
        <x:v>SEARCH</x:v>
      </x:c>
      <x:c r="G902" t="n">
        <x:v>6</x:v>
      </x:c>
      <x:c r="H902" s="54" t="n">
        <x:v>8.5</x:v>
      </x:c>
      <x:c r="I902" s="54" t="n">
        <x:v>0.7158</x:v>
      </x:c>
      <x:c r="J902" s="54" t="n">
        <x:v>0.71667</x:v>
      </x:c>
      <x:c r="K902" s="54" t="n">
        <x:v>0.16769</x:v>
      </x:c>
      <x:c r="L902" s="54" t="n">
        <x:v>0.30437</x:v>
      </x:c>
      <x:c r="M902" s="54" t="n">
        <x:v>0.79658</x:v>
      </x:c>
      <x:c r="N902" s="56" t="n">
        <x:v>-19.57</x:v>
      </x:c>
      <x:c r="O902" s="56" t="n">
        <x:v>0.43</x:v>
      </x:c>
      <x:c r="P902" s="56" t="n">
        <x:v>0.48</x:v>
      </x:c>
      <x:c r="Q902" s="56" t="n">
        <x:v>91.6</x:v>
      </x:c>
      <x:c r="R902" t="str">
        <x:v>X</x:v>
      </x:c>
      <x:c r="S902" s="102" t="n">
        <x:v>100</x:v>
      </x:c>
      <x:c r="T902" t="str">
        <x:v>VALID</x:v>
      </x:c>
      <x:c r="U902" t="n">
        <x:v>3665</x:v>
      </x:c>
      <x:c r="V902" t="str">
        <x:v>Pasted text(56).txt</x:v>
      </x:c>
    </x:row>
    <x:row r="903">
      <x:c r="A903" t="str">
        <x:v>S10</x:v>
      </x:c>
      <x:c r="B903" t="str">
        <x:v>0.89 repeat-confirmation session</x:v>
      </x:c>
      <x:c r="C903" s="54" t="n">
        <x:v>0.89</x:v>
      </x:c>
      <x:c r="D903" t="n">
        <x:v>2</x:v>
      </x:c>
      <x:c r="E903" t="n">
        <x:v>2</x:v>
      </x:c>
      <x:c r="F903" t="str">
        <x:v>SEARCH</x:v>
      </x:c>
      <x:c r="G903" t="n">
        <x:v>7</x:v>
      </x:c>
      <x:c r="H903" s="54" t="n">
        <x:v>9</x:v>
      </x:c>
      <x:c r="I903" s="54" t="n">
        <x:v>0.78427</x:v>
      </x:c>
      <x:c r="J903" s="54" t="n">
        <x:v>0.78639</x:v>
      </x:c>
      <x:c r="K903" s="54" t="n">
        <x:v>0.18647</x:v>
      </x:c>
      <x:c r="L903" s="54" t="n">
        <x:v>0.35743</x:v>
      </x:c>
      <x:c r="M903" s="54" t="n">
        <x:v>0.88383</x:v>
      </x:c>
      <x:c r="N903" s="56" t="n">
        <x:v>-11.88</x:v>
      </x:c>
      <x:c r="O903" s="56" t="n">
        <x:v>3.03</x:v>
      </x:c>
      <x:c r="P903" s="56" t="n">
        <x:v>2.45</x:v>
      </x:c>
      <x:c r="Q903" s="56" t="n">
        <x:v>92.1</x:v>
      </x:c>
      <x:c r="R903" t="str">
        <x:v>X</x:v>
      </x:c>
      <x:c r="S903" s="102" t="n">
        <x:v>100</x:v>
      </x:c>
      <x:c r="T903" t="str">
        <x:v>VALID</x:v>
      </x:c>
      <x:c r="U903" t="n">
        <x:v>3666</x:v>
      </x:c>
      <x:c r="V903" t="str">
        <x:v>Pasted text(56).txt</x:v>
      </x:c>
    </x:row>
    <x:row r="904">
      <x:c r="A904" t="str">
        <x:v>S10</x:v>
      </x:c>
      <x:c r="B904" t="str">
        <x:v>0.89 repeat-confirmation session</x:v>
      </x:c>
      <x:c r="C904" s="54" t="n">
        <x:v>0.89</x:v>
      </x:c>
      <x:c r="D904" t="n">
        <x:v>2</x:v>
      </x:c>
      <x:c r="E904" t="n">
        <x:v>2</x:v>
      </x:c>
      <x:c r="F904" t="str">
        <x:v>SEARCH</x:v>
      </x:c>
      <x:c r="G904" t="n">
        <x:v>8</x:v>
      </x:c>
      <x:c r="H904" s="54" t="n">
        <x:v>9.25</x:v>
      </x:c>
      <x:c r="I904" s="54" t="n">
        <x:v>0.78965</x:v>
      </x:c>
      <x:c r="J904" s="54" t="n">
        <x:v>0.78899</x:v>
      </x:c>
      <x:c r="K904" s="54" t="n">
        <x:v>0.19306</x:v>
      </x:c>
      <x:c r="L904" s="54" t="n">
        <x:v>0.34962</x:v>
      </x:c>
      <x:c r="M904" s="54" t="n">
        <x:v>0.88436</x:v>
      </x:c>
      <x:c r="N904" s="56" t="n">
        <x:v>-11.28</x:v>
      </x:c>
      <x:c r="O904" s="56" t="n">
        <x:v>1.76</x:v>
      </x:c>
      <x:c r="P904" s="56" t="n">
        <x:v>1.32</x:v>
      </x:c>
      <x:c r="Q904" s="56" t="n">
        <x:v>91.8</x:v>
      </x:c>
      <x:c r="R904" t="str">
        <x:v>X</x:v>
      </x:c>
      <x:c r="S904" s="102" t="n">
        <x:v>100</x:v>
      </x:c>
      <x:c r="T904" t="str">
        <x:v>VALID</x:v>
      </x:c>
      <x:c r="U904" t="n">
        <x:v>3667</x:v>
      </x:c>
      <x:c r="V904" t="str">
        <x:v>Pasted text(56).txt</x:v>
      </x:c>
    </x:row>
    <x:row r="905">
      <x:c r="A905" t="str">
        <x:v>S10</x:v>
      </x:c>
      <x:c r="B905" t="str">
        <x:v>0.89 repeat-confirmation session</x:v>
      </x:c>
      <x:c r="C905" s="54" t="n">
        <x:v>0.89</x:v>
      </x:c>
      <x:c r="D905" t="n">
        <x:v>2</x:v>
      </x:c>
      <x:c r="E905" t="n">
        <x:v>2</x:v>
      </x:c>
      <x:c r="F905" t="str">
        <x:v>SEARCH</x:v>
      </x:c>
      <x:c r="G905" t="n">
        <x:v>9</x:v>
      </x:c>
      <x:c r="H905" s="54" t="n">
        <x:v>9.5</x:v>
      </x:c>
      <x:c r="I905" s="54" t="n">
        <x:v>0.80244</x:v>
      </x:c>
      <x:c r="J905" s="54" t="n">
        <x:v>0.80532</x:v>
      </x:c>
      <x:c r="K905" s="54" t="n">
        <x:v>0.17895</x:v>
      </x:c>
      <x:c r="L905" s="54" t="n">
        <x:v>0.36931</x:v>
      </x:c>
      <x:c r="M905" s="54" t="n">
        <x:v>0.9042</x:v>
      </x:c>
      <x:c r="N905" s="56" t="n">
        <x:v>-9.84</x:v>
      </x:c>
      <x:c r="O905" s="56" t="n">
        <x:v>1.13</x:v>
      </x:c>
      <x:c r="P905" s="56" t="n">
        <x:v>1.33</x:v>
      </x:c>
      <x:c r="Q905" s="56" t="n">
        <x:v>90.7</x:v>
      </x:c>
      <x:c r="R905" t="str">
        <x:v>X</x:v>
      </x:c>
      <x:c r="S905" s="102" t="n">
        <x:v>100</x:v>
      </x:c>
      <x:c r="T905" t="str">
        <x:v>VALID</x:v>
      </x:c>
      <x:c r="U905" t="n">
        <x:v>3668</x:v>
      </x:c>
      <x:c r="V905" t="str">
        <x:v>Pasted text(56).txt</x:v>
      </x:c>
    </x:row>
    <x:row r="906">
      <x:c r="A906" t="str">
        <x:v>S10</x:v>
      </x:c>
      <x:c r="B906" t="str">
        <x:v>0.89 repeat-confirmation session</x:v>
      </x:c>
      <x:c r="C906" s="54" t="n">
        <x:v>0.89</x:v>
      </x:c>
      <x:c r="D906" t="n">
        <x:v>2</x:v>
      </x:c>
      <x:c r="E906" t="n">
        <x:v>2</x:v>
      </x:c>
      <x:c r="F906" t="str">
        <x:v>SEARCH</x:v>
      </x:c>
      <x:c r="G906" t="n">
        <x:v>10</x:v>
      </x:c>
      <x:c r="H906" s="54" t="n">
        <x:v>9.75</x:v>
      </x:c>
      <x:c r="I906" s="54" t="n">
        <x:v>0.85954</x:v>
      </x:c>
      <x:c r="J906" s="54" t="n">
        <x:v>0.86314</x:v>
      </x:c>
      <x:c r="K906" s="54" t="n">
        <x:v>0.21345</x:v>
      </x:c>
      <x:c r="L906" s="54" t="n">
        <x:v>0.37442</x:v>
      </x:c>
      <x:c r="M906" s="54" t="n">
        <x:v>0.9649</x:v>
      </x:c>
      <x:c r="N906" s="56" t="n">
        <x:v>-3.42</x:v>
      </x:c>
      <x:c r="O906" s="56" t="n">
        <x:v>0.53</x:v>
      </x:c>
      <x:c r="P906" s="56" t="n">
        <x:v>1.04</x:v>
      </x:c>
      <x:c r="Q906" s="56" t="n">
        <x:v>92.8</x:v>
      </x:c>
      <x:c r="R906" t="str">
        <x:v>X</x:v>
      </x:c>
      <x:c r="S906" s="102" t="n">
        <x:v>100</x:v>
      </x:c>
      <x:c r="T906" t="str">
        <x:v>IN TARGET BAND</x:v>
      </x:c>
      <x:c r="U906" t="n">
        <x:v>3669</x:v>
      </x:c>
      <x:c r="V906" t="str">
        <x:v>Pasted text(56).txt</x:v>
      </x:c>
    </x:row>
    <x:row r="907">
      <x:c r="A907" t="str">
        <x:v>S10</x:v>
      </x:c>
      <x:c r="B907" t="str">
        <x:v>0.89 repeat-confirmation session</x:v>
      </x:c>
      <x:c r="C907" s="54" t="n">
        <x:v>0.89</x:v>
      </x:c>
      <x:c r="D907" t="n">
        <x:v>2</x:v>
      </x:c>
      <x:c r="E907" t="n">
        <x:v>2</x:v>
      </x:c>
      <x:c r="F907" t="str">
        <x:v>FINE</x:v>
      </x:c>
      <x:c r="G907" t="n">
        <x:v>1</x:v>
      </x:c>
      <x:c r="H907" s="54" t="n">
        <x:v>8.75</x:v>
      </x:c>
      <x:c r="I907" s="54" t="n">
        <x:v>0.74569</x:v>
      </x:c>
      <x:c r="J907" s="54" t="n">
        <x:v>0.74834</x:v>
      </x:c>
      <x:c r="K907" s="54" t="n">
        <x:v>0.19371</x:v>
      </x:c>
      <x:c r="L907" s="54" t="n">
        <x:v>0.34062</x:v>
      </x:c>
      <x:c r="M907" s="54" t="n">
        <x:v>0.84523</x:v>
      </x:c>
      <x:c r="N907" s="56" t="n">
        <x:v>-16.21</x:v>
      </x:c>
      <x:c r="O907" s="56" t="n">
        <x:v>2.09</x:v>
      </x:c>
      <x:c r="P907" s="56" t="n">
        <x:v>1.96</x:v>
      </x:c>
      <x:c r="Q907" s="56" t="n">
        <x:v>90.8</x:v>
      </x:c>
      <x:c r="R907" t="str">
        <x:v>X</x:v>
      </x:c>
      <x:c r="S907" s="102" t="n">
        <x:v>100</x:v>
      </x:c>
      <x:c r="T907" t="str">
        <x:v>VALID</x:v>
      </x:c>
      <x:c r="U907" t="n">
        <x:v>3673</x:v>
      </x:c>
      <x:c r="V907" t="str">
        <x:v>Pasted text(56).txt</x:v>
      </x:c>
    </x:row>
    <x:row r="908">
      <x:c r="A908" t="str">
        <x:v>S10</x:v>
      </x:c>
      <x:c r="B908" t="str">
        <x:v>0.89 repeat-confirmation session</x:v>
      </x:c>
      <x:c r="C908" s="54" t="n">
        <x:v>0.89</x:v>
      </x:c>
      <x:c r="D908" t="n">
        <x:v>2</x:v>
      </x:c>
      <x:c r="E908" t="n">
        <x:v>2</x:v>
      </x:c>
      <x:c r="F908" t="str">
        <x:v>FINE</x:v>
      </x:c>
      <x:c r="G908" t="n">
        <x:v>2</x:v>
      </x:c>
      <x:c r="H908" s="54" t="n">
        <x:v>9</x:v>
      </x:c>
      <x:c r="I908" s="54" t="n">
        <x:v>0.78457</x:v>
      </x:c>
      <x:c r="J908" s="54" t="n">
        <x:v>0.7869</x:v>
      </x:c>
      <x:c r="K908" s="54" t="n">
        <x:v>0.18828</x:v>
      </x:c>
      <x:c r="L908" s="54" t="n">
        <x:v>0.38844</x:v>
      </x:c>
      <x:c r="M908" s="54" t="n">
        <x:v>0.89783</x:v>
      </x:c>
      <x:c r="N908" s="56" t="n">
        <x:v>-11.85</x:v>
      </x:c>
      <x:c r="O908" s="56" t="n">
        <x:v>0.16</x:v>
      </x:c>
      <x:c r="P908" s="56" t="n">
        <x:v>0.61</x:v>
      </x:c>
      <x:c r="Q908" s="56" t="n">
        <x:v>91.8</x:v>
      </x:c>
      <x:c r="R908" t="str">
        <x:v>X</x:v>
      </x:c>
      <x:c r="S908" s="102" t="n">
        <x:v>100</x:v>
      </x:c>
      <x:c r="T908" t="str">
        <x:v>VALID</x:v>
      </x:c>
      <x:c r="U908" t="n">
        <x:v>3674</x:v>
      </x:c>
      <x:c r="V908" t="str">
        <x:v>Pasted text(56).txt</x:v>
      </x:c>
    </x:row>
    <x:row r="909">
      <x:c r="A909" t="str">
        <x:v>S10</x:v>
      </x:c>
      <x:c r="B909" t="str">
        <x:v>0.89 repeat-confirmation session</x:v>
      </x:c>
      <x:c r="C909" s="54" t="n">
        <x:v>0.89</x:v>
      </x:c>
      <x:c r="D909" t="n">
        <x:v>2</x:v>
      </x:c>
      <x:c r="E909" t="n">
        <x:v>2</x:v>
      </x:c>
      <x:c r="F909" t="str">
        <x:v>FINE</x:v>
      </x:c>
      <x:c r="G909" t="n">
        <x:v>3</x:v>
      </x:c>
      <x:c r="H909" s="54" t="n">
        <x:v>9.25</x:v>
      </x:c>
      <x:c r="I909" s="54" t="n">
        <x:v>0.79059</x:v>
      </x:c>
      <x:c r="J909" s="54" t="n">
        <x:v>0.79078</x:v>
      </x:c>
      <x:c r="K909" s="54" t="n">
        <x:v>0.19815</x:v>
      </x:c>
      <x:c r="L909" s="54" t="n">
        <x:v>0.3834</x:v>
      </x:c>
      <x:c r="M909" s="54" t="n">
        <x:v>0.90097</x:v>
      </x:c>
      <x:c r="N909" s="56" t="n">
        <x:v>-11.17</x:v>
      </x:c>
      <x:c r="O909" s="56" t="n">
        <x:v>0.44</x:v>
      </x:c>
      <x:c r="P909" s="56" t="n">
        <x:v>0.33</x:v>
      </x:c>
      <x:c r="Q909" s="56" t="n">
        <x:v>92.6</x:v>
      </x:c>
      <x:c r="R909" t="str">
        <x:v>X</x:v>
      </x:c>
      <x:c r="S909" s="102" t="n">
        <x:v>100</x:v>
      </x:c>
      <x:c r="T909" t="str">
        <x:v>VALID</x:v>
      </x:c>
      <x:c r="U909" t="n">
        <x:v>3675</x:v>
      </x:c>
      <x:c r="V909" t="str">
        <x:v>Pasted text(56).txt</x:v>
      </x:c>
    </x:row>
    <x:row r="910">
      <x:c r="A910" t="str">
        <x:v>S10</x:v>
      </x:c>
      <x:c r="B910" t="str">
        <x:v>0.89 repeat-confirmation session</x:v>
      </x:c>
      <x:c r="C910" s="54" t="n">
        <x:v>0.89</x:v>
      </x:c>
      <x:c r="D910" t="n">
        <x:v>2</x:v>
      </x:c>
      <x:c r="E910" t="n">
        <x:v>2</x:v>
      </x:c>
      <x:c r="F910" t="str">
        <x:v>FINE</x:v>
      </x:c>
      <x:c r="G910" t="n">
        <x:v>4</x:v>
      </x:c>
      <x:c r="H910" s="54" t="n">
        <x:v>9.5</x:v>
      </x:c>
      <x:c r="I910" s="54" t="n">
        <x:v>0.82278</x:v>
      </x:c>
      <x:c r="J910" s="54" t="n">
        <x:v>0.8208</x:v>
      </x:c>
      <x:c r="K910" s="54" t="n">
        <x:v>0.21556</x:v>
      </x:c>
      <x:c r="L910" s="54" t="n">
        <x:v>0.37475</x:v>
      </x:c>
      <x:c r="M910" s="54" t="n">
        <x:v>0.92837</x:v>
      </x:c>
      <x:c r="N910" s="56" t="n">
        <x:v>-7.55</x:v>
      </x:c>
      <x:c r="O910" s="56" t="n">
        <x:v>4.26</x:v>
      </x:c>
      <x:c r="P910" s="56" t="n">
        <x:v>3.25</x:v>
      </x:c>
      <x:c r="Q910" s="56" t="n">
        <x:v>93</x:v>
      </x:c>
      <x:c r="R910" t="str">
        <x:v>X</x:v>
      </x:c>
      <x:c r="S910" s="102" t="n">
        <x:v>100</x:v>
      </x:c>
      <x:c r="T910" t="str">
        <x:v>VALID</x:v>
      </x:c>
      <x:c r="U910" t="n">
        <x:v>3676</x:v>
      </x:c>
      <x:c r="V910" t="str">
        <x:v>Pasted text(56).txt</x:v>
      </x:c>
    </x:row>
    <x:row r="911">
      <x:c r="A911" t="str">
        <x:v>S10</x:v>
      </x:c>
      <x:c r="B911" t="str">
        <x:v>0.89 repeat-confirmation session</x:v>
      </x:c>
      <x:c r="C911" s="54" t="n">
        <x:v>0.89</x:v>
      </x:c>
      <x:c r="D911" t="n">
        <x:v>2</x:v>
      </x:c>
      <x:c r="E911" t="n">
        <x:v>2</x:v>
      </x:c>
      <x:c r="F911" t="str">
        <x:v>FINE</x:v>
      </x:c>
      <x:c r="G911" t="n">
        <x:v>5</x:v>
      </x:c>
      <x:c r="H911" s="54" t="n">
        <x:v>9.75</x:v>
      </x:c>
      <x:c r="I911" s="54" t="n">
        <x:v>0.85988</x:v>
      </x:c>
      <x:c r="J911" s="54" t="n">
        <x:v>0.86376</x:v>
      </x:c>
      <x:c r="K911" s="54" t="n">
        <x:v>0.21123</x:v>
      </x:c>
      <x:c r="L911" s="54" t="n">
        <x:v>0.39214</x:v>
      </x:c>
      <x:c r="M911" s="54" t="n">
        <x:v>0.97205</x:v>
      </x:c>
      <x:c r="N911" s="56" t="n">
        <x:v>-3.38</x:v>
      </x:c>
      <x:c r="O911" s="56" t="n">
        <x:v>4.15</x:v>
      </x:c>
      <x:c r="P911" s="56" t="n">
        <x:v>3.48</x:v>
      </x:c>
      <x:c r="Q911" s="56" t="n">
        <x:v>92.6</x:v>
      </x:c>
      <x:c r="R911" t="str">
        <x:v>X</x:v>
      </x:c>
      <x:c r="S911" s="102" t="n">
        <x:v>100</x:v>
      </x:c>
      <x:c r="T911" t="str">
        <x:v>IN TARGET BAND</x:v>
      </x:c>
      <x:c r="U911" t="n">
        <x:v>3677</x:v>
      </x:c>
      <x:c r="V911" t="str">
        <x:v>Pasted text(56).txt</x:v>
      </x:c>
    </x:row>
    <x:row r="912">
      <x:c r="A912" t="str">
        <x:v>S10</x:v>
      </x:c>
      <x:c r="B912" t="str">
        <x:v>0.89 repeat-confirmation session</x:v>
      </x:c>
      <x:c r="C912" s="54" t="n">
        <x:v>0.89</x:v>
      </x:c>
      <x:c r="D912" t="n">
        <x:v>2</x:v>
      </x:c>
      <x:c r="E912" t="n">
        <x:v>2</x:v>
      </x:c>
      <x:c r="F912" t="str">
        <x:v>FINE</x:v>
      </x:c>
      <x:c r="G912" t="n">
        <x:v>6</x:v>
      </x:c>
      <x:c r="H912" s="54" t="n">
        <x:v>10</x:v>
      </x:c>
      <x:c r="I912" s="54" t="n">
        <x:v>0.88073</x:v>
      </x:c>
      <x:c r="J912" s="54" t="n">
        <x:v>0.87825</x:v>
      </x:c>
      <x:c r="K912" s="54" t="n">
        <x:v>0.21106</x:v>
      </x:c>
      <x:c r="L912" s="54" t="n">
        <x:v>0.4206</x:v>
      </x:c>
      <x:c r="M912" s="54" t="n">
        <x:v>0.99668</x:v>
      </x:c>
      <x:c r="N912" s="56" t="n">
        <x:v>-1.04</x:v>
      </x:c>
      <x:c r="O912" s="56" t="n">
        <x:v>0.16</x:v>
      </x:c>
      <x:c r="P912" s="56" t="n">
        <x:v>0.59</x:v>
      </x:c>
      <x:c r="Q912" s="56" t="n">
        <x:v>92.2</x:v>
      </x:c>
      <x:c r="R912" t="str">
        <x:v>X</x:v>
      </x:c>
      <x:c r="S912" s="102" t="n">
        <x:v>100</x:v>
      </x:c>
      <x:c r="T912" t="str">
        <x:v>IN TARGET BAND</x:v>
      </x:c>
      <x:c r="U912" t="n">
        <x:v>3678</x:v>
      </x:c>
      <x:c r="V912" t="str">
        <x:v>Pasted text(56).txt</x:v>
      </x:c>
    </x:row>
    <x:row r="913">
      <x:c r="A913" t="str">
        <x:v>S10</x:v>
      </x:c>
      <x:c r="B913" t="str">
        <x:v>0.89 repeat-confirmation session</x:v>
      </x:c>
      <x:c r="C913" s="54" t="n">
        <x:v>0.89</x:v>
      </x:c>
      <x:c r="D913" t="n">
        <x:v>2</x:v>
      </x:c>
      <x:c r="E913" t="n">
        <x:v>2</x:v>
      </x:c>
      <x:c r="F913" t="str">
        <x:v>FINE</x:v>
      </x:c>
      <x:c r="G913" t="n">
        <x:v>7</x:v>
      </x:c>
      <x:c r="H913" s="54" t="n">
        <x:v>10.25</x:v>
      </x:c>
      <x:c r="I913" s="54" t="n">
        <x:v>0.90949</x:v>
      </x:c>
      <x:c r="J913" s="54" t="n">
        <x:v>0.903</x:v>
      </x:c>
      <x:c r="K913" s="54" t="n">
        <x:v>0.23993</x:v>
      </x:c>
      <x:c r="L913" s="54" t="n">
        <x:v>0.41518</x:v>
      </x:c>
      <x:c r="M913" s="54" t="n">
        <x:v>1.02269</x:v>
      </x:c>
      <x:c r="N913" s="56" t="n">
        <x:v>2.19</x:v>
      </x:c>
      <x:c r="O913" s="56" t="n">
        <x:v>0.65</x:v>
      </x:c>
      <x:c r="P913" s="56" t="n">
        <x:v>1.64</x:v>
      </x:c>
      <x:c r="Q913" s="56" t="n">
        <x:v>92.2</x:v>
      </x:c>
      <x:c r="R913" t="str">
        <x:v>X</x:v>
      </x:c>
      <x:c r="S913" s="102" t="n">
        <x:v>100</x:v>
      </x:c>
      <x:c r="T913" t="str">
        <x:v>IN TARGET BAND</x:v>
      </x:c>
      <x:c r="U913" t="n">
        <x:v>3679</x:v>
      </x:c>
      <x:c r="V913" t="str">
        <x:v>Pasted text(56).txt</x:v>
      </x:c>
    </x:row>
    <x:row r="914">
      <x:c r="A914" t="str">
        <x:v>S10</x:v>
      </x:c>
      <x:c r="B914" t="str">
        <x:v>0.89 repeat-confirmation session</x:v>
      </x:c>
      <x:c r="C914" s="54" t="n">
        <x:v>0.89</x:v>
      </x:c>
      <x:c r="D914" t="n">
        <x:v>2</x:v>
      </x:c>
      <x:c r="E914" t="n">
        <x:v>2</x:v>
      </x:c>
      <x:c r="F914" t="str">
        <x:v>FINE</x:v>
      </x:c>
      <x:c r="G914" t="n">
        <x:v>8</x:v>
      </x:c>
      <x:c r="H914" s="54" t="n">
        <x:v>10.5</x:v>
      </x:c>
      <x:c r="I914" s="54" t="n">
        <x:v>0.92335</x:v>
      </x:c>
      <x:c r="J914" s="54" t="n">
        <x:v>0.91881</x:v>
      </x:c>
      <x:c r="K914" s="54" t="n">
        <x:v>0.22078</x:v>
      </x:c>
      <x:c r="L914" s="54" t="n">
        <x:v>0.42752</x:v>
      </x:c>
      <x:c r="M914" s="54" t="n">
        <x:v>1.03739</x:v>
      </x:c>
      <x:c r="N914" s="56" t="n">
        <x:v>3.75</x:v>
      </x:c>
      <x:c r="O914" s="56" t="n">
        <x:v>0.79</x:v>
      </x:c>
      <x:c r="P914" s="56" t="n">
        <x:v>1.35</x:v>
      </x:c>
      <x:c r="Q914" s="56" t="n">
        <x:v>92.1</x:v>
      </x:c>
      <x:c r="R914" t="str">
        <x:v>X</x:v>
      </x:c>
      <x:c r="S914" s="102" t="n">
        <x:v>100</x:v>
      </x:c>
      <x:c r="T914" t="str">
        <x:v>IN TARGET BAND</x:v>
      </x:c>
      <x:c r="U914" t="n">
        <x:v>3680</x:v>
      </x:c>
      <x:c r="V914" t="str">
        <x:v>Pasted text(56).txt</x:v>
      </x:c>
    </x:row>
    <x:row r="915">
      <x:c r="A915" t="str">
        <x:v>S10</x:v>
      </x:c>
      <x:c r="B915" t="str">
        <x:v>0.89 repeat-confirmation session</x:v>
      </x:c>
      <x:c r="C915" s="54" t="n">
        <x:v>0.89</x:v>
      </x:c>
      <x:c r="D915" t="n">
        <x:v>2</x:v>
      </x:c>
      <x:c r="E915" t="n">
        <x:v>2</x:v>
      </x:c>
      <x:c r="F915" t="str">
        <x:v>FINE</x:v>
      </x:c>
      <x:c r="G915" t="n">
        <x:v>9</x:v>
      </x:c>
      <x:c r="H915" s="54" t="n">
        <x:v>10.75</x:v>
      </x:c>
      <x:c r="I915" s="54" t="n">
        <x:v>0.98181</x:v>
      </x:c>
      <x:c r="J915" s="54" t="n">
        <x:v>0.98263</x:v>
      </x:c>
      <x:c r="K915" s="54" t="n">
        <x:v>0.24966</x:v>
      </x:c>
      <x:c r="L915" s="54" t="n">
        <x:v>0.41786</x:v>
      </x:c>
      <x:c r="M915" s="54" t="n">
        <x:v>1.09672</x:v>
      </x:c>
      <x:c r="N915" s="56" t="n">
        <x:v>10.32</x:v>
      </x:c>
      <x:c r="O915" s="56" t="n">
        <x:v>0.76</x:v>
      </x:c>
      <x:c r="P915" s="56" t="n">
        <x:v>0.64</x:v>
      </x:c>
      <x:c r="Q915" s="56" t="n">
        <x:v>93.3</x:v>
      </x:c>
      <x:c r="R915" t="str">
        <x:v>X</x:v>
      </x:c>
      <x:c r="S915" s="102" t="n">
        <x:v>100</x:v>
      </x:c>
      <x:c r="T915" t="str">
        <x:v>VALID</x:v>
      </x:c>
      <x:c r="U915" t="n">
        <x:v>3681</x:v>
      </x:c>
      <x:c r="V915" t="str">
        <x:v>Pasted text(56).txt</x:v>
      </x:c>
    </x:row>
    <x:row r="916">
      <x:c r="A916" t="str">
        <x:v>S10</x:v>
      </x:c>
      <x:c r="B916" t="str">
        <x:v>0.89 repeat-confirmation session</x:v>
      </x:c>
      <x:c r="C916" s="54" t="n">
        <x:v>0.89</x:v>
      </x:c>
      <x:c r="D916" t="n">
        <x:v>2</x:v>
      </x:c>
      <x:c r="E916" t="n">
        <x:v>2</x:v>
      </x:c>
      <x:c r="F916" t="str">
        <x:v>FINAL</x:v>
      </x:c>
      <x:c r="G916" t="n">
        <x:v>1</x:v>
      </x:c>
      <x:c r="H916" s="54" t="n">
        <x:v>10</x:v>
      </x:c>
      <x:c r="I916" s="54" t="n">
        <x:v>0.87886</x:v>
      </x:c>
      <x:c r="J916" s="54" t="n">
        <x:v>0.87796</x:v>
      </x:c>
      <x:c r="K916" s="54" t="n">
        <x:v>0.22487</x:v>
      </x:c>
      <x:c r="L916" s="54" t="n">
        <x:v>0.40611</x:v>
      </x:c>
      <x:c r="M916" s="54" t="n">
        <x:v>0.99365</x:v>
      </x:c>
      <x:c r="N916" s="56" t="n">
        <x:v>-1.25</x:v>
      </x:c>
      <x:c r="O916" s="56" t="n">
        <x:v>1.15</x:v>
      </x:c>
      <x:c r="P916" s="56" t="n">
        <x:v>1.95</x:v>
      </x:c>
      <x:c r="Q916" s="56" t="n">
        <x:v>92.2</x:v>
      </x:c>
      <x:c r="R916" t="str">
        <x:v>X</x:v>
      </x:c>
      <x:c r="S916" s="102" t="n">
        <x:v>100</x:v>
      </x:c>
      <x:c r="T916" t="str">
        <x:v>IN TARGET BAND</x:v>
      </x:c>
      <x:c r="U916" t="n">
        <x:v>3684</x:v>
      </x:c>
      <x:c r="V916" t="str">
        <x:v>Pasted text(56).txt</x:v>
      </x:c>
    </x:row>
    <x:row r="917">
      <x:c r="A917" t="str">
        <x:v>S10</x:v>
      </x:c>
      <x:c r="B917" t="str">
        <x:v>0.89 repeat-confirmation session</x:v>
      </x:c>
      <x:c r="C917" s="54" t="n">
        <x:v>0.89</x:v>
      </x:c>
      <x:c r="D917" t="n">
        <x:v>2</x:v>
      </x:c>
      <x:c r="E917" t="n">
        <x:v>2</x:v>
      </x:c>
      <x:c r="F917" t="str">
        <x:v>FINAL</x:v>
      </x:c>
      <x:c r="G917" t="n">
        <x:v>2</x:v>
      </x:c>
      <x:c r="H917" s="54" t="n">
        <x:v>10</x:v>
      </x:c>
      <x:c r="I917" s="54" t="n">
        <x:v>0.88904</x:v>
      </x:c>
      <x:c r="J917" s="54" t="n">
        <x:v>0.88952</x:v>
      </x:c>
      <x:c r="K917" s="54" t="n">
        <x:v>0.22533</x:v>
      </x:c>
      <x:c r="L917" s="54" t="n">
        <x:v>0.39575</x:v>
      </x:c>
      <x:c r="M917" s="54" t="n">
        <x:v>0.99959</x:v>
      </x:c>
      <x:c r="N917" s="56" t="n">
        <x:v>-0.11</x:v>
      </x:c>
      <x:c r="O917" s="56" t="n">
        <x:v>0.7</x:v>
      </x:c>
      <x:c r="P917" s="56" t="n">
        <x:v>0.82</x:v>
      </x:c>
      <x:c r="Q917" s="56" t="n">
        <x:v>93</x:v>
      </x:c>
      <x:c r="R917" t="str">
        <x:v>X</x:v>
      </x:c>
      <x:c r="S917" s="102" t="n">
        <x:v>100</x:v>
      </x:c>
      <x:c r="T917" t="str">
        <x:v>IN TARGET BAND</x:v>
      </x:c>
      <x:c r="U917" t="n">
        <x:v>3685</x:v>
      </x:c>
      <x:c r="V917" t="str">
        <x:v>Pasted text(56).txt</x:v>
      </x:c>
    </x:row>
    <x:row r="918">
      <x:c r="A918" t="str">
        <x:v>S10</x:v>
      </x:c>
      <x:c r="B918" t="str">
        <x:v>0.89 repeat-confirmation session</x:v>
      </x:c>
      <x:c r="C918" s="54" t="n">
        <x:v>0.89</x:v>
      </x:c>
      <x:c r="D918" t="n">
        <x:v>3</x:v>
      </x:c>
      <x:c r="E918" t="n">
        <x:v>1</x:v>
      </x:c>
      <x:c r="F918" t="str">
        <x:v>SEARCH</x:v>
      </x:c>
      <x:c r="G918" t="n">
        <x:v>1</x:v>
      </x:c>
      <x:c r="H918" s="54" t="n">
        <x:v>1</x:v>
      </x:c>
      <x:c r="I918" s="54" t="n">
        <x:v>0.02075</x:v>
      </x:c>
      <x:c r="J918" s="54" t="n">
        <x:v>0.01991</x:v>
      </x:c>
      <x:c r="K918" s="54" t="n">
        <x:v>0.00851</x:v>
      </x:c>
      <x:c r="L918" s="54" t="n">
        <x:v>0.04973</x:v>
      </x:c>
      <x:c r="M918" s="54" t="n">
        <x:v>0.05467</x:v>
      </x:c>
      <x:c r="N918" s="56" t="n">
        <x:v>-97.67</x:v>
      </x:c>
      <x:c r="O918" s="56" t="n">
        <x:v>12.08</x:v>
      </x:c>
      <x:c r="P918" s="56" t="n">
        <x:v>6.01</x:v>
      </x:c>
      <x:c r="Q918" s="56" t="n">
        <x:v>11</x:v>
      </x:c>
      <x:c r="R918" t="str">
        <x:v>Z</x:v>
      </x:c>
      <x:c r="S918" s="102" t="n">
        <x:v>40</x:v>
      </x:c>
      <x:c r="T918" t="str">
        <x:v>BELOW MEASUREMENT FLOOR — SEARCH CONTINUES</x:v>
      </x:c>
      <x:c r="U918" t="n">
        <x:v>3741</x:v>
      </x:c>
      <x:c r="V918" t="str">
        <x:v>Pasted text(56).txt</x:v>
      </x:c>
    </x:row>
    <x:row r="919">
      <x:c r="A919" t="str">
        <x:v>S10</x:v>
      </x:c>
      <x:c r="B919" t="str">
        <x:v>0.89 repeat-confirmation session</x:v>
      </x:c>
      <x:c r="C919" s="54" t="n">
        <x:v>0.89</x:v>
      </x:c>
      <x:c r="D919" t="n">
        <x:v>3</x:v>
      </x:c>
      <x:c r="E919" t="n">
        <x:v>1</x:v>
      </x:c>
      <x:c r="F919" t="str">
        <x:v>SEARCH</x:v>
      </x:c>
      <x:c r="G919" t="n">
        <x:v>2</x:v>
      </x:c>
      <x:c r="H919" s="54" t="n">
        <x:v>3</x:v>
      </x:c>
      <x:c r="I919" s="54" t="n">
        <x:v>0.15118</x:v>
      </x:c>
      <x:c r="J919" s="54" t="n">
        <x:v>0.15144</x:v>
      </x:c>
      <x:c r="K919" s="54" t="n">
        <x:v>0.06253</x:v>
      </x:c>
      <x:c r="L919" s="54" t="n">
        <x:v>0.09326</x:v>
      </x:c>
      <x:c r="M919" s="54" t="n">
        <x:v>0.19021</x:v>
      </x:c>
      <x:c r="N919" s="56" t="n">
        <x:v>-83.01</x:v>
      </x:c>
      <x:c r="O919" s="56" t="n">
        <x:v>1.4</x:v>
      </x:c>
      <x:c r="P919" s="56" t="n">
        <x:v>1.21</x:v>
      </x:c>
      <x:c r="Q919" s="56" t="n">
        <x:v>59.8</x:v>
      </x:c>
      <x:c r="R919" t="str">
        <x:v>X</x:v>
      </x:c>
      <x:c r="S919" s="102" t="n">
        <x:v>100</x:v>
      </x:c>
      <x:c r="T919" t="str">
        <x:v>VALID</x:v>
      </x:c>
      <x:c r="U919" t="n">
        <x:v>3742</x:v>
      </x:c>
      <x:c r="V919" t="str">
        <x:v>Pasted text(56).txt</x:v>
      </x:c>
    </x:row>
    <x:row r="920">
      <x:c r="A920" t="str">
        <x:v>S10</x:v>
      </x:c>
      <x:c r="B920" t="str">
        <x:v>0.89 repeat-confirmation session</x:v>
      </x:c>
      <x:c r="C920" s="54" t="n">
        <x:v>0.89</x:v>
      </x:c>
      <x:c r="D920" t="n">
        <x:v>3</x:v>
      </x:c>
      <x:c r="E920" t="n">
        <x:v>1</x:v>
      </x:c>
      <x:c r="F920" t="str">
        <x:v>SEARCH</x:v>
      </x:c>
      <x:c r="G920" t="n">
        <x:v>3</x:v>
      </x:c>
      <x:c r="H920" s="54" t="n">
        <x:v>5</x:v>
      </x:c>
      <x:c r="I920" s="54" t="n">
        <x:v>0.34489</x:v>
      </x:c>
      <x:c r="J920" s="54" t="n">
        <x:v>0.34297</x:v>
      </x:c>
      <x:c r="K920" s="54" t="n">
        <x:v>0.10446</x:v>
      </x:c>
      <x:c r="L920" s="54" t="n">
        <x:v>0.21593</x:v>
      </x:c>
      <x:c r="M920" s="54" t="n">
        <x:v>0.41885</x:v>
      </x:c>
      <x:c r="N920" s="56" t="n">
        <x:v>-61.25</x:v>
      </x:c>
      <x:c r="O920" s="56" t="n">
        <x:v>1.43</x:v>
      </x:c>
      <x:c r="P920" s="56" t="n">
        <x:v>1.88</x:v>
      </x:c>
      <x:c r="Q920" s="56" t="n">
        <x:v>81.6</x:v>
      </x:c>
      <x:c r="R920" t="str">
        <x:v>X</x:v>
      </x:c>
      <x:c r="S920" s="102" t="n">
        <x:v>100</x:v>
      </x:c>
      <x:c r="T920" t="str">
        <x:v>VALID</x:v>
      </x:c>
      <x:c r="U920" t="n">
        <x:v>3743</x:v>
      </x:c>
      <x:c r="V920" t="str">
        <x:v>Pasted text(56).txt</x:v>
      </x:c>
    </x:row>
    <x:row r="921">
      <x:c r="A921" t="str">
        <x:v>S10</x:v>
      </x:c>
      <x:c r="B921" t="str">
        <x:v>0.89 repeat-confirmation session</x:v>
      </x:c>
      <x:c r="C921" s="54" t="n">
        <x:v>0.89</x:v>
      </x:c>
      <x:c r="D921" t="n">
        <x:v>3</x:v>
      </x:c>
      <x:c r="E921" t="n">
        <x:v>1</x:v>
      </x:c>
      <x:c r="F921" t="str">
        <x:v>SEARCH</x:v>
      </x:c>
      <x:c r="G921" t="n">
        <x:v>4</x:v>
      </x:c>
      <x:c r="H921" s="54" t="n">
        <x:v>6</x:v>
      </x:c>
      <x:c r="I921" s="54" t="n">
        <x:v>0.43184</x:v>
      </x:c>
      <x:c r="J921" s="54" t="n">
        <x:v>0.42751</x:v>
      </x:c>
      <x:c r="K921" s="54" t="n">
        <x:v>0.10286</x:v>
      </x:c>
      <x:c r="L921" s="54" t="n">
        <x:v>0.26219</x:v>
      </x:c>
      <x:c r="M921" s="54" t="n">
        <x:v>0.51268</x:v>
      </x:c>
      <x:c r="N921" s="56" t="n">
        <x:v>-51.48</x:v>
      </x:c>
      <x:c r="O921" s="56" t="n">
        <x:v>2.11</x:v>
      </x:c>
      <x:c r="P921" s="56" t="n">
        <x:v>3.08</x:v>
      </x:c>
      <x:c r="Q921" s="56" t="n">
        <x:v>83</x:v>
      </x:c>
      <x:c r="R921" t="str">
        <x:v>X</x:v>
      </x:c>
      <x:c r="S921" s="102" t="n">
        <x:v>100</x:v>
      </x:c>
      <x:c r="T921" t="str">
        <x:v>VALID</x:v>
      </x:c>
      <x:c r="U921" t="n">
        <x:v>3744</x:v>
      </x:c>
      <x:c r="V921" t="str">
        <x:v>Pasted text(56).txt</x:v>
      </x:c>
    </x:row>
    <x:row r="922">
      <x:c r="A922" t="str">
        <x:v>S10</x:v>
      </x:c>
      <x:c r="B922" t="str">
        <x:v>0.89 repeat-confirmation session</x:v>
      </x:c>
      <x:c r="C922" s="54" t="n">
        <x:v>0.89</x:v>
      </x:c>
      <x:c r="D922" t="n">
        <x:v>3</x:v>
      </x:c>
      <x:c r="E922" t="n">
        <x:v>1</x:v>
      </x:c>
      <x:c r="F922" t="str">
        <x:v>SEARCH</x:v>
      </x:c>
      <x:c r="G922" t="n">
        <x:v>5</x:v>
      </x:c>
      <x:c r="H922" s="54" t="n">
        <x:v>7</x:v>
      </x:c>
      <x:c r="I922" s="54" t="n">
        <x:v>0.5656</x:v>
      </x:c>
      <x:c r="J922" s="54" t="n">
        <x:v>0.56489</x:v>
      </x:c>
      <x:c r="K922" s="54" t="n">
        <x:v>0.14922</x:v>
      </x:c>
      <x:c r="L922" s="54" t="n">
        <x:v>0.28983</x:v>
      </x:c>
      <x:c r="M922" s="54" t="n">
        <x:v>0.65234</x:v>
      </x:c>
      <x:c r="N922" s="56" t="n">
        <x:v>-36.45</x:v>
      </x:c>
      <x:c r="O922" s="56" t="n">
        <x:v>2.3</x:v>
      </x:c>
      <x:c r="P922" s="56" t="n">
        <x:v>1.74</x:v>
      </x:c>
      <x:c r="Q922" s="56" t="n">
        <x:v>89.9</x:v>
      </x:c>
      <x:c r="R922" t="str">
        <x:v>X</x:v>
      </x:c>
      <x:c r="S922" s="102" t="n">
        <x:v>100</x:v>
      </x:c>
      <x:c r="T922" t="str">
        <x:v>VALID</x:v>
      </x:c>
      <x:c r="U922" t="n">
        <x:v>3745</x:v>
      </x:c>
      <x:c r="V922" t="str">
        <x:v>Pasted text(56).txt</x:v>
      </x:c>
    </x:row>
    <x:row r="923">
      <x:c r="A923" t="str">
        <x:v>S10</x:v>
      </x:c>
      <x:c r="B923" t="str">
        <x:v>0.89 repeat-confirmation session</x:v>
      </x:c>
      <x:c r="C923" s="54" t="n">
        <x:v>0.89</x:v>
      </x:c>
      <x:c r="D923" t="n">
        <x:v>3</x:v>
      </x:c>
      <x:c r="E923" t="n">
        <x:v>1</x:v>
      </x:c>
      <x:c r="F923" t="str">
        <x:v>SEARCH</x:v>
      </x:c>
      <x:c r="G923" t="n">
        <x:v>6</x:v>
      </x:c>
      <x:c r="H923" s="54" t="n">
        <x:v>7.5</x:v>
      </x:c>
      <x:c r="I923" s="54" t="n">
        <x:v>0.588</x:v>
      </x:c>
      <x:c r="J923" s="54" t="n">
        <x:v>0.58866</x:v>
      </x:c>
      <x:c r="K923" s="54" t="n">
        <x:v>0.16387</x:v>
      </x:c>
      <x:c r="L923" s="54" t="n">
        <x:v>0.29002</x:v>
      </x:c>
      <x:c r="M923" s="54" t="n">
        <x:v>0.67668</x:v>
      </x:c>
      <x:c r="N923" s="56" t="n">
        <x:v>-33.93</x:v>
      </x:c>
      <x:c r="O923" s="56" t="n">
        <x:v>1.73</x:v>
      </x:c>
      <x:c r="P923" s="56" t="n">
        <x:v>1.34</x:v>
      </x:c>
      <x:c r="Q923" s="56" t="n">
        <x:v>89.4</x:v>
      </x:c>
      <x:c r="R923" t="str">
        <x:v>X</x:v>
      </x:c>
      <x:c r="S923" s="102" t="n">
        <x:v>100</x:v>
      </x:c>
      <x:c r="T923" t="str">
        <x:v>VALID</x:v>
      </x:c>
      <x:c r="U923" t="n">
        <x:v>3746</x:v>
      </x:c>
      <x:c r="V923" t="str">
        <x:v>Pasted text(56).txt</x:v>
      </x:c>
    </x:row>
    <x:row r="924">
      <x:c r="A924" t="str">
        <x:v>S10</x:v>
      </x:c>
      <x:c r="B924" t="str">
        <x:v>0.89 repeat-confirmation session</x:v>
      </x:c>
      <x:c r="C924" s="54" t="n">
        <x:v>0.89</x:v>
      </x:c>
      <x:c r="D924" t="n">
        <x:v>3</x:v>
      </x:c>
      <x:c r="E924" t="n">
        <x:v>1</x:v>
      </x:c>
      <x:c r="F924" t="str">
        <x:v>SEARCH</x:v>
      </x:c>
      <x:c r="G924" t="n">
        <x:v>7</x:v>
      </x:c>
      <x:c r="H924" s="54" t="n">
        <x:v>8</x:v>
      </x:c>
      <x:c r="I924" s="54" t="n">
        <x:v>0.68058</x:v>
      </x:c>
      <x:c r="J924" s="54" t="n">
        <x:v>0.67382</x:v>
      </x:c>
      <x:c r="K924" s="54" t="n">
        <x:v>0.16754</x:v>
      </x:c>
      <x:c r="L924" s="54" t="n">
        <x:v>0.32546</x:v>
      </x:c>
      <x:c r="M924" s="54" t="n">
        <x:v>0.76722</x:v>
      </x:c>
      <x:c r="N924" s="56" t="n">
        <x:v>-23.53</x:v>
      </x:c>
      <x:c r="O924" s="56" t="n">
        <x:v>0.25</x:v>
      </x:c>
      <x:c r="P924" s="56" t="n">
        <x:v>1.88</x:v>
      </x:c>
      <x:c r="Q924" s="56" t="n">
        <x:v>90.3</x:v>
      </x:c>
      <x:c r="R924" t="str">
        <x:v>X</x:v>
      </x:c>
      <x:c r="S924" s="102" t="n">
        <x:v>100</x:v>
      </x:c>
      <x:c r="T924" t="str">
        <x:v>VALID</x:v>
      </x:c>
      <x:c r="U924" t="n">
        <x:v>3747</x:v>
      </x:c>
      <x:c r="V924" t="str">
        <x:v>Pasted text(56).txt</x:v>
      </x:c>
    </x:row>
    <x:row r="925">
      <x:c r="A925" t="str">
        <x:v>S10</x:v>
      </x:c>
      <x:c r="B925" t="str">
        <x:v>0.89 repeat-confirmation session</x:v>
      </x:c>
      <x:c r="C925" s="54" t="n">
        <x:v>0.89</x:v>
      </x:c>
      <x:c r="D925" t="n">
        <x:v>3</x:v>
      </x:c>
      <x:c r="E925" t="n">
        <x:v>1</x:v>
      </x:c>
      <x:c r="F925" t="str">
        <x:v>SEARCH</x:v>
      </x:c>
      <x:c r="G925" t="n">
        <x:v>8</x:v>
      </x:c>
      <x:c r="H925" s="54" t="n">
        <x:v>8.5</x:v>
      </x:c>
      <x:c r="I925" s="54" t="n">
        <x:v>0.71409</x:v>
      </x:c>
      <x:c r="J925" s="54" t="n">
        <x:v>0.71509</x:v>
      </x:c>
      <x:c r="K925" s="54" t="n">
        <x:v>0.19584</x:v>
      </x:c>
      <x:c r="L925" s="54" t="n">
        <x:v>0.35224</x:v>
      </x:c>
      <x:c r="M925" s="54" t="n">
        <x:v>0.82099</x:v>
      </x:c>
      <x:c r="N925" s="56" t="n">
        <x:v>-19.77</x:v>
      </x:c>
      <x:c r="O925" s="56" t="n">
        <x:v>1.23</x:v>
      </x:c>
      <x:c r="P925" s="56" t="n">
        <x:v>1.04</x:v>
      </x:c>
      <x:c r="Q925" s="56" t="n">
        <x:v>91.8</x:v>
      </x:c>
      <x:c r="R925" t="str">
        <x:v>X</x:v>
      </x:c>
      <x:c r="S925" s="102" t="n">
        <x:v>100</x:v>
      </x:c>
      <x:c r="T925" t="str">
        <x:v>VALID</x:v>
      </x:c>
      <x:c r="U925" t="n">
        <x:v>3748</x:v>
      </x:c>
      <x:c r="V925" t="str">
        <x:v>Pasted text(56).txt</x:v>
      </x:c>
    </x:row>
    <x:row r="926">
      <x:c r="A926" t="str">
        <x:v>S10</x:v>
      </x:c>
      <x:c r="B926" t="str">
        <x:v>0.89 repeat-confirmation session</x:v>
      </x:c>
      <x:c r="C926" s="54" t="n">
        <x:v>0.89</x:v>
      </x:c>
      <x:c r="D926" t="n">
        <x:v>3</x:v>
      </x:c>
      <x:c r="E926" t="n">
        <x:v>1</x:v>
      </x:c>
      <x:c r="F926" t="str">
        <x:v>SEARCH</x:v>
      </x:c>
      <x:c r="G926" t="n">
        <x:v>9</x:v>
      </x:c>
      <x:c r="H926" s="54" t="n">
        <x:v>9</x:v>
      </x:c>
      <x:c r="I926" s="54" t="n">
        <x:v>0.76152</x:v>
      </x:c>
      <x:c r="J926" s="54" t="n">
        <x:v>0.76712</x:v>
      </x:c>
      <x:c r="K926" s="54" t="n">
        <x:v>0.19757</x:v>
      </x:c>
      <x:c r="L926" s="54" t="n">
        <x:v>0.37128</x:v>
      </x:c>
      <x:c r="M926" s="54" t="n">
        <x:v>0.87533</x:v>
      </x:c>
      <x:c r="N926" s="56" t="n">
        <x:v>-14.44</x:v>
      </x:c>
      <x:c r="O926" s="56" t="n">
        <x:v>0.2</x:v>
      </x:c>
      <x:c r="P926" s="56" t="n">
        <x:v>1.38</x:v>
      </x:c>
      <x:c r="Q926" s="56" t="n">
        <x:v>91.5</x:v>
      </x:c>
      <x:c r="R926" t="str">
        <x:v>X</x:v>
      </x:c>
      <x:c r="S926" s="102" t="n">
        <x:v>100</x:v>
      </x:c>
      <x:c r="T926" t="str">
        <x:v>VALID</x:v>
      </x:c>
      <x:c r="U926" t="n">
        <x:v>3749</x:v>
      </x:c>
      <x:c r="V926" t="str">
        <x:v>Pasted text(56).txt</x:v>
      </x:c>
    </x:row>
    <x:row r="927">
      <x:c r="A927" t="str">
        <x:v>S10</x:v>
      </x:c>
      <x:c r="B927" t="str">
        <x:v>0.89 repeat-confirmation session</x:v>
      </x:c>
      <x:c r="C927" s="54" t="n">
        <x:v>0.89</x:v>
      </x:c>
      <x:c r="D927" t="n">
        <x:v>3</x:v>
      </x:c>
      <x:c r="E927" t="n">
        <x:v>1</x:v>
      </x:c>
      <x:c r="F927" t="str">
        <x:v>SEARCH</x:v>
      </x:c>
      <x:c r="G927" t="n">
        <x:v>10</x:v>
      </x:c>
      <x:c r="H927" s="54" t="n">
        <x:v>9.25</x:v>
      </x:c>
      <x:c r="I927" s="54" t="n">
        <x:v>0.78817</x:v>
      </x:c>
      <x:c r="J927" s="54" t="n">
        <x:v>0.78822</x:v>
      </x:c>
      <x:c r="K927" s="54" t="n">
        <x:v>0.21708</x:v>
      </x:c>
      <x:c r="L927" s="54" t="n">
        <x:v>0.39878</x:v>
      </x:c>
      <x:c r="M927" s="54" t="n">
        <x:v>0.90984</x:v>
      </x:c>
      <x:c r="N927" s="56" t="n">
        <x:v>-11.44</x:v>
      </x:c>
      <x:c r="O927" s="56" t="n">
        <x:v>1.6</x:v>
      </x:c>
      <x:c r="P927" s="56" t="n">
        <x:v>1.09</x:v>
      </x:c>
      <x:c r="Q927" s="56" t="n">
        <x:v>92</x:v>
      </x:c>
      <x:c r="R927" t="str">
        <x:v>X</x:v>
      </x:c>
      <x:c r="S927" s="102" t="n">
        <x:v>100</x:v>
      </x:c>
      <x:c r="T927" t="str">
        <x:v>VALID</x:v>
      </x:c>
      <x:c r="U927" t="n">
        <x:v>3750</x:v>
      </x:c>
      <x:c r="V927" t="str">
        <x:v>Pasted text(56).txt</x:v>
      </x:c>
    </x:row>
    <x:row r="928">
      <x:c r="A928" t="str">
        <x:v>S10</x:v>
      </x:c>
      <x:c r="B928" t="str">
        <x:v>0.89 repeat-confirmation session</x:v>
      </x:c>
      <x:c r="C928" s="54" t="n">
        <x:v>0.89</x:v>
      </x:c>
      <x:c r="D928" t="n">
        <x:v>3</x:v>
      </x:c>
      <x:c r="E928" t="n">
        <x:v>1</x:v>
      </x:c>
      <x:c r="F928" t="str">
        <x:v>SEARCH</x:v>
      </x:c>
      <x:c r="G928" t="n">
        <x:v>11</x:v>
      </x:c>
      <x:c r="H928" s="54" t="n">
        <x:v>9.5</x:v>
      </x:c>
      <x:c r="I928" s="54" t="n">
        <x:v>0.80636</x:v>
      </x:c>
      <x:c r="J928" s="54" t="n">
        <x:v>0.79848</x:v>
      </x:c>
      <x:c r="K928" s="54" t="n">
        <x:v>0.2103</x:v>
      </x:c>
      <x:c r="L928" s="54" t="n">
        <x:v>0.39231</x:v>
      </x:c>
      <x:c r="M928" s="54" t="n">
        <x:v>0.91426</x:v>
      </x:c>
      <x:c r="N928" s="56" t="n">
        <x:v>-9.4</x:v>
      </x:c>
      <x:c r="O928" s="56" t="n">
        <x:v>0.76</x:v>
      </x:c>
      <x:c r="P928" s="56" t="n">
        <x:v>2.17</x:v>
      </x:c>
      <x:c r="Q928" s="56" t="n">
        <x:v>91</x:v>
      </x:c>
      <x:c r="R928" t="str">
        <x:v>X</x:v>
      </x:c>
      <x:c r="S928" s="102" t="n">
        <x:v>100</x:v>
      </x:c>
      <x:c r="T928" t="str">
        <x:v>VALID</x:v>
      </x:c>
      <x:c r="U928" t="n">
        <x:v>3751</x:v>
      </x:c>
      <x:c r="V928" t="str">
        <x:v>Pasted text(56).txt</x:v>
      </x:c>
    </x:row>
    <x:row r="929">
      <x:c r="A929" t="str">
        <x:v>S10</x:v>
      </x:c>
      <x:c r="B929" t="str">
        <x:v>0.89 repeat-confirmation session</x:v>
      </x:c>
      <x:c r="C929" s="54" t="n">
        <x:v>0.89</x:v>
      </x:c>
      <x:c r="D929" t="n">
        <x:v>3</x:v>
      </x:c>
      <x:c r="E929" t="n">
        <x:v>1</x:v>
      </x:c>
      <x:c r="F929" t="str">
        <x:v>SEARCH</x:v>
      </x:c>
      <x:c r="G929" t="n">
        <x:v>12</x:v>
      </x:c>
      <x:c r="H929" s="54" t="n">
        <x:v>9.75</x:v>
      </x:c>
      <x:c r="I929" s="54" t="n">
        <x:v>0.85383</x:v>
      </x:c>
      <x:c r="J929" s="54" t="n">
        <x:v>0.85242</x:v>
      </x:c>
      <x:c r="K929" s="54" t="n">
        <x:v>0.21677</x:v>
      </x:c>
      <x:c r="L929" s="54" t="n">
        <x:v>0.40969</x:v>
      </x:c>
      <x:c r="M929" s="54" t="n">
        <x:v>0.97091</x:v>
      </x:c>
      <x:c r="N929" s="56" t="n">
        <x:v>-4.06</x:v>
      </x:c>
      <x:c r="O929" s="56" t="n">
        <x:v>2.71</x:v>
      </x:c>
      <x:c r="P929" s="56" t="n">
        <x:v>2.08</x:v>
      </x:c>
      <x:c r="Q929" s="56" t="n">
        <x:v>93</x:v>
      </x:c>
      <x:c r="R929" t="str">
        <x:v>X</x:v>
      </x:c>
      <x:c r="S929" s="102" t="n">
        <x:v>100</x:v>
      </x:c>
      <x:c r="T929" t="str">
        <x:v>IN TARGET BAND</x:v>
      </x:c>
      <x:c r="U929" t="n">
        <x:v>3752</x:v>
      </x:c>
      <x:c r="V929" t="str">
        <x:v>Pasted text(56).txt</x:v>
      </x:c>
    </x:row>
    <x:row r="930">
      <x:c r="A930" t="str">
        <x:v>S10</x:v>
      </x:c>
      <x:c r="B930" t="str">
        <x:v>0.89 repeat-confirmation session</x:v>
      </x:c>
      <x:c r="C930" s="54" t="n">
        <x:v>0.89</x:v>
      </x:c>
      <x:c r="D930" t="n">
        <x:v>3</x:v>
      </x:c>
      <x:c r="E930" t="n">
        <x:v>1</x:v>
      </x:c>
      <x:c r="F930" t="str">
        <x:v>FINE</x:v>
      </x:c>
      <x:c r="G930" t="n">
        <x:v>1</x:v>
      </x:c>
      <x:c r="H930" s="54" t="n">
        <x:v>8.75</x:v>
      </x:c>
      <x:c r="I930" s="54" t="n">
        <x:v>0.78035</x:v>
      </x:c>
      <x:c r="J930" s="54" t="n">
        <x:v>0.76239</x:v>
      </x:c>
      <x:c r="K930" s="54" t="n">
        <x:v>0.21105</x:v>
      </x:c>
      <x:c r="L930" s="54" t="n">
        <x:v>0.36393</x:v>
      </x:c>
      <x:c r="M930" s="54" t="n">
        <x:v>0.871</x:v>
      </x:c>
      <x:c r="N930" s="56" t="n">
        <x:v>-12.32</x:v>
      </x:c>
      <x:c r="O930" s="56" t="n">
        <x:v>0.73</x:v>
      </x:c>
      <x:c r="P930" s="56" t="n">
        <x:v>4.52</x:v>
      </x:c>
      <x:c r="Q930" s="56" t="n">
        <x:v>92.5</x:v>
      </x:c>
      <x:c r="R930" t="str">
        <x:v>X</x:v>
      </x:c>
      <x:c r="S930" s="102" t="n">
        <x:v>100</x:v>
      </x:c>
      <x:c r="T930" t="str">
        <x:v>VALID</x:v>
      </x:c>
      <x:c r="U930" t="n">
        <x:v>3756</x:v>
      </x:c>
      <x:c r="V930" t="str">
        <x:v>Pasted text(56).txt</x:v>
      </x:c>
    </x:row>
    <x:row r="931">
      <x:c r="A931" t="str">
        <x:v>S10</x:v>
      </x:c>
      <x:c r="B931" t="str">
        <x:v>0.89 repeat-confirmation session</x:v>
      </x:c>
      <x:c r="C931" s="54" t="n">
        <x:v>0.89</x:v>
      </x:c>
      <x:c r="D931" t="n">
        <x:v>3</x:v>
      </x:c>
      <x:c r="E931" t="n">
        <x:v>1</x:v>
      </x:c>
      <x:c r="F931" t="str">
        <x:v>FINE</x:v>
      </x:c>
      <x:c r="G931" t="n">
        <x:v>2</x:v>
      </x:c>
      <x:c r="H931" s="54" t="n">
        <x:v>9</x:v>
      </x:c>
      <x:c r="I931" s="54" t="n">
        <x:v>0.76027</x:v>
      </x:c>
      <x:c r="J931" s="54" t="n">
        <x:v>0.76027</x:v>
      </x:c>
      <x:c r="K931" s="54" t="n">
        <x:v>0.20293</x:v>
      </x:c>
      <x:c r="L931" s="54" t="n">
        <x:v>0.39679</x:v>
      </x:c>
      <x:c r="M931" s="54" t="n">
        <x:v>0.8813</x:v>
      </x:c>
      <x:c r="N931" s="56" t="n">
        <x:v>-14.58</x:v>
      </x:c>
      <x:c r="O931" s="56" t="n">
        <x:v>0.27</x:v>
      </x:c>
      <x:c r="P931" s="56" t="n">
        <x:v>0.19</x:v>
      </x:c>
      <x:c r="Q931" s="56" t="n">
        <x:v>90.9</x:v>
      </x:c>
      <x:c r="R931" t="str">
        <x:v>X</x:v>
      </x:c>
      <x:c r="S931" s="102" t="n">
        <x:v>100</x:v>
      </x:c>
      <x:c r="T931" t="str">
        <x:v>VALID</x:v>
      </x:c>
      <x:c r="U931" t="n">
        <x:v>3757</x:v>
      </x:c>
      <x:c r="V931" t="str">
        <x:v>Pasted text(56).txt</x:v>
      </x:c>
    </x:row>
    <x:row r="932">
      <x:c r="A932" t="str">
        <x:v>S10</x:v>
      </x:c>
      <x:c r="B932" t="str">
        <x:v>0.89 repeat-confirmation session</x:v>
      </x:c>
      <x:c r="C932" s="54" t="n">
        <x:v>0.89</x:v>
      </x:c>
      <x:c r="D932" t="n">
        <x:v>3</x:v>
      </x:c>
      <x:c r="E932" t="n">
        <x:v>1</x:v>
      </x:c>
      <x:c r="F932" t="str">
        <x:v>FINE</x:v>
      </x:c>
      <x:c r="G932" t="n">
        <x:v>3</x:v>
      </x:c>
      <x:c r="H932" s="54" t="n">
        <x:v>9.25</x:v>
      </x:c>
      <x:c r="I932" s="54" t="n">
        <x:v>0.78659</x:v>
      </x:c>
      <x:c r="J932" s="54" t="n">
        <x:v>0.78872</x:v>
      </x:c>
      <x:c r="K932" s="54" t="n">
        <x:v>0.20894</x:v>
      </x:c>
      <x:c r="L932" s="54" t="n">
        <x:v>0.35356</x:v>
      </x:c>
      <x:c r="M932" s="54" t="n">
        <x:v>0.88938</x:v>
      </x:c>
      <x:c r="N932" s="56" t="n">
        <x:v>-11.62</x:v>
      </x:c>
      <x:c r="O932" s="56" t="n">
        <x:v>2.23</x:v>
      </x:c>
      <x:c r="P932" s="56" t="n">
        <x:v>1.92</x:v>
      </x:c>
      <x:c r="Q932" s="56" t="n">
        <x:v>90.6</x:v>
      </x:c>
      <x:c r="R932" t="str">
        <x:v>X</x:v>
      </x:c>
      <x:c r="S932" s="102" t="n">
        <x:v>100</x:v>
      </x:c>
      <x:c r="T932" t="str">
        <x:v>VALID</x:v>
      </x:c>
      <x:c r="U932" t="n">
        <x:v>3758</x:v>
      </x:c>
      <x:c r="V932" t="str">
        <x:v>Pasted text(56).txt</x:v>
      </x:c>
    </x:row>
    <x:row r="933">
      <x:c r="A933" t="str">
        <x:v>S10</x:v>
      </x:c>
      <x:c r="B933" t="str">
        <x:v>0.89 repeat-confirmation session</x:v>
      </x:c>
      <x:c r="C933" s="54" t="n">
        <x:v>0.89</x:v>
      </x:c>
      <x:c r="D933" t="n">
        <x:v>3</x:v>
      </x:c>
      <x:c r="E933" t="n">
        <x:v>1</x:v>
      </x:c>
      <x:c r="F933" t="str">
        <x:v>FINE</x:v>
      </x:c>
      <x:c r="G933" t="n">
        <x:v>4</x:v>
      </x:c>
      <x:c r="H933" s="54" t="n">
        <x:v>9.5</x:v>
      </x:c>
      <x:c r="I933" s="54" t="n">
        <x:v>0.8118</x:v>
      </x:c>
      <x:c r="J933" s="54" t="n">
        <x:v>0.8156</x:v>
      </x:c>
      <x:c r="K933" s="54" t="n">
        <x:v>0.21221</x:v>
      </x:c>
      <x:c r="L933" s="54" t="n">
        <x:v>0.38556</x:v>
      </x:c>
      <x:c r="M933" s="54" t="n">
        <x:v>0.92707</x:v>
      </x:c>
      <x:c r="N933" s="56" t="n">
        <x:v>-8.79</x:v>
      </x:c>
      <x:c r="O933" s="56" t="n">
        <x:v>1.27</x:v>
      </x:c>
      <x:c r="P933" s="56" t="n">
        <x:v>1.6</x:v>
      </x:c>
      <x:c r="Q933" s="56" t="n">
        <x:v>92.8</x:v>
      </x:c>
      <x:c r="R933" t="str">
        <x:v>X</x:v>
      </x:c>
      <x:c r="S933" s="102" t="n">
        <x:v>100</x:v>
      </x:c>
      <x:c r="T933" t="str">
        <x:v>VALID</x:v>
      </x:c>
      <x:c r="U933" t="n">
        <x:v>3759</x:v>
      </x:c>
      <x:c r="V933" t="str">
        <x:v>Pasted text(56).txt</x:v>
      </x:c>
    </x:row>
    <x:row r="934">
      <x:c r="A934" t="str">
        <x:v>S10</x:v>
      </x:c>
      <x:c r="B934" t="str">
        <x:v>0.89 repeat-confirmation session</x:v>
      </x:c>
      <x:c r="C934" s="54" t="n">
        <x:v>0.89</x:v>
      </x:c>
      <x:c r="D934" t="n">
        <x:v>3</x:v>
      </x:c>
      <x:c r="E934" t="n">
        <x:v>1</x:v>
      </x:c>
      <x:c r="F934" t="str">
        <x:v>FINE</x:v>
      </x:c>
      <x:c r="G934" t="n">
        <x:v>5</x:v>
      </x:c>
      <x:c r="H934" s="54" t="n">
        <x:v>9.75</x:v>
      </x:c>
      <x:c r="I934" s="54" t="n">
        <x:v>0.84935</x:v>
      </x:c>
      <x:c r="J934" s="54" t="n">
        <x:v>0.84642</x:v>
      </x:c>
      <x:c r="K934" s="54" t="n">
        <x:v>0.21714</x:v>
      </x:c>
      <x:c r="L934" s="54" t="n">
        <x:v>0.39023</x:v>
      </x:c>
      <x:c r="M934" s="54" t="n">
        <x:v>0.95706</x:v>
      </x:c>
      <x:c r="N934" s="56" t="n">
        <x:v>-4.57</x:v>
      </x:c>
      <x:c r="O934" s="56" t="n">
        <x:v>0.13</x:v>
      </x:c>
      <x:c r="P934" s="56" t="n">
        <x:v>0.68</x:v>
      </x:c>
      <x:c r="Q934" s="56" t="n">
        <x:v>92.6</x:v>
      </x:c>
      <x:c r="R934" t="str">
        <x:v>X</x:v>
      </x:c>
      <x:c r="S934" s="102" t="n">
        <x:v>100</x:v>
      </x:c>
      <x:c r="T934" t="str">
        <x:v>IN TARGET BAND</x:v>
      </x:c>
      <x:c r="U934" t="n">
        <x:v>3760</x:v>
      </x:c>
      <x:c r="V934" t="str">
        <x:v>Pasted text(56).txt</x:v>
      </x:c>
    </x:row>
    <x:row r="935">
      <x:c r="A935" t="str">
        <x:v>S10</x:v>
      </x:c>
      <x:c r="B935" t="str">
        <x:v>0.89 repeat-confirmation session</x:v>
      </x:c>
      <x:c r="C935" s="54" t="n">
        <x:v>0.89</x:v>
      </x:c>
      <x:c r="D935" t="n">
        <x:v>3</x:v>
      </x:c>
      <x:c r="E935" t="n">
        <x:v>1</x:v>
      </x:c>
      <x:c r="F935" t="str">
        <x:v>FINE</x:v>
      </x:c>
      <x:c r="G935" t="n">
        <x:v>6</x:v>
      </x:c>
      <x:c r="H935" s="54" t="n">
        <x:v>10</x:v>
      </x:c>
      <x:c r="I935" s="54" t="n">
        <x:v>0.88771</x:v>
      </x:c>
      <x:c r="J935" s="54" t="n">
        <x:v>0.88408</x:v>
      </x:c>
      <x:c r="K935" s="54" t="n">
        <x:v>0.22539</x:v>
      </x:c>
      <x:c r="L935" s="54" t="n">
        <x:v>0.43228</x:v>
      </x:c>
      <x:c r="M935" s="54" t="n">
        <x:v>1.00962</x:v>
      </x:c>
      <x:c r="N935" s="56" t="n">
        <x:v>-0.26</x:v>
      </x:c>
      <x:c r="O935" s="56" t="n">
        <x:v>0.35</x:v>
      </x:c>
      <x:c r="P935" s="56" t="n">
        <x:v>0.93</x:v>
      </x:c>
      <x:c r="Q935" s="56" t="n">
        <x:v>92.4</x:v>
      </x:c>
      <x:c r="R935" t="str">
        <x:v>X</x:v>
      </x:c>
      <x:c r="S935" s="102" t="n">
        <x:v>100</x:v>
      </x:c>
      <x:c r="T935" t="str">
        <x:v>IN TARGET BAND</x:v>
      </x:c>
      <x:c r="U935" t="n">
        <x:v>3761</x:v>
      </x:c>
      <x:c r="V935" t="str">
        <x:v>Pasted text(56).txt</x:v>
      </x:c>
    </x:row>
    <x:row r="936">
      <x:c r="A936" t="str">
        <x:v>S10</x:v>
      </x:c>
      <x:c r="B936" t="str">
        <x:v>0.89 repeat-confirmation session</x:v>
      </x:c>
      <x:c r="C936" s="54" t="n">
        <x:v>0.89</x:v>
      </x:c>
      <x:c r="D936" t="n">
        <x:v>3</x:v>
      </x:c>
      <x:c r="E936" t="n">
        <x:v>1</x:v>
      </x:c>
      <x:c r="F936" t="str">
        <x:v>FINE</x:v>
      </x:c>
      <x:c r="G936" t="n">
        <x:v>7</x:v>
      </x:c>
      <x:c r="H936" s="54" t="n">
        <x:v>10.25</x:v>
      </x:c>
      <x:c r="I936" s="54" t="n">
        <x:v>0.90268</x:v>
      </x:c>
      <x:c r="J936" s="54" t="n">
        <x:v>0.90635</x:v>
      </x:c>
      <x:c r="K936" s="54" t="n">
        <x:v>0.24433</x:v>
      </x:c>
      <x:c r="L936" s="54" t="n">
        <x:v>0.43397</x:v>
      </x:c>
      <x:c r="M936" s="54" t="n">
        <x:v>1.03419</x:v>
      </x:c>
      <x:c r="N936" s="56" t="n">
        <x:v>1.42</x:v>
      </x:c>
      <x:c r="O936" s="56" t="n">
        <x:v>0.12</x:v>
      </x:c>
      <x:c r="P936" s="56" t="n">
        <x:v>0.77</x:v>
      </x:c>
      <x:c r="Q936" s="56" t="n">
        <x:v>92</x:v>
      </x:c>
      <x:c r="R936" t="str">
        <x:v>X</x:v>
      </x:c>
      <x:c r="S936" s="102" t="n">
        <x:v>100</x:v>
      </x:c>
      <x:c r="T936" t="str">
        <x:v>IN TARGET BAND</x:v>
      </x:c>
      <x:c r="U936" t="n">
        <x:v>3762</x:v>
      </x:c>
      <x:c r="V936" t="str">
        <x:v>Pasted text(56).txt</x:v>
      </x:c>
    </x:row>
    <x:row r="937">
      <x:c r="A937" t="str">
        <x:v>S10</x:v>
      </x:c>
      <x:c r="B937" t="str">
        <x:v>0.89 repeat-confirmation session</x:v>
      </x:c>
      <x:c r="C937" s="54" t="n">
        <x:v>0.89</x:v>
      </x:c>
      <x:c r="D937" t="n">
        <x:v>3</x:v>
      </x:c>
      <x:c r="E937" t="n">
        <x:v>1</x:v>
      </x:c>
      <x:c r="F937" t="str">
        <x:v>FINE</x:v>
      </x:c>
      <x:c r="G937" t="n">
        <x:v>8</x:v>
      </x:c>
      <x:c r="H937" s="54" t="n">
        <x:v>10.5</x:v>
      </x:c>
      <x:c r="I937" s="54" t="n">
        <x:v>0.94196</x:v>
      </x:c>
      <x:c r="J937" s="54" t="n">
        <x:v>0.93855</x:v>
      </x:c>
      <x:c r="K937" s="54" t="n">
        <x:v>0.23266</x:v>
      </x:c>
      <x:c r="L937" s="54" t="n">
        <x:v>0.42352</x:v>
      </x:c>
      <x:c r="M937" s="54" t="n">
        <x:v>1.05591</x:v>
      </x:c>
      <x:c r="N937" s="56" t="n">
        <x:v>5.84</x:v>
      </x:c>
      <x:c r="O937" s="56" t="n">
        <x:v>0.95</x:v>
      </x:c>
      <x:c r="P937" s="56" t="n">
        <x:v>1.23</x:v>
      </x:c>
      <x:c r="Q937" s="56" t="n">
        <x:v>93.5</x:v>
      </x:c>
      <x:c r="R937" t="str">
        <x:v>X</x:v>
      </x:c>
      <x:c r="S937" s="102" t="n">
        <x:v>100</x:v>
      </x:c>
      <x:c r="T937" t="str">
        <x:v>IN TARGET BAND</x:v>
      </x:c>
      <x:c r="U937" t="n">
        <x:v>3763</x:v>
      </x:c>
      <x:c r="V937" t="str">
        <x:v>Pasted text(56).txt</x:v>
      </x:c>
    </x:row>
    <x:row r="938">
      <x:c r="A938" t="str">
        <x:v>S10</x:v>
      </x:c>
      <x:c r="B938" t="str">
        <x:v>0.89 repeat-confirmation session</x:v>
      </x:c>
      <x:c r="C938" s="54" t="n">
        <x:v>0.89</x:v>
      </x:c>
      <x:c r="D938" t="n">
        <x:v>3</x:v>
      </x:c>
      <x:c r="E938" t="n">
        <x:v>1</x:v>
      </x:c>
      <x:c r="F938" t="str">
        <x:v>FINE</x:v>
      </x:c>
      <x:c r="G938" t="n">
        <x:v>9</x:v>
      </x:c>
      <x:c r="H938" s="54" t="n">
        <x:v>10.75</x:v>
      </x:c>
      <x:c r="I938" s="54" t="n">
        <x:v>0.97005</x:v>
      </x:c>
      <x:c r="J938" s="54" t="n">
        <x:v>0.97218</x:v>
      </x:c>
      <x:c r="K938" s="54" t="n">
        <x:v>0.25287</x:v>
      </x:c>
      <x:c r="L938" s="54" t="n">
        <x:v>0.44437</x:v>
      </x:c>
      <x:c r="M938" s="54" t="n">
        <x:v>1.09848</x:v>
      </x:c>
      <x:c r="N938" s="56" t="n">
        <x:v>8.99</x:v>
      </x:c>
      <x:c r="O938" s="56" t="n">
        <x:v>1.18</x:v>
      </x:c>
      <x:c r="P938" s="56" t="n">
        <x:v>1.14</x:v>
      </x:c>
      <x:c r="Q938" s="56" t="n">
        <x:v>94.4</x:v>
      </x:c>
      <x:c r="R938" t="str">
        <x:v>X</x:v>
      </x:c>
      <x:c r="S938" s="102" t="n">
        <x:v>100</x:v>
      </x:c>
      <x:c r="T938" t="str">
        <x:v>VALID</x:v>
      </x:c>
      <x:c r="U938" t="n">
        <x:v>3764</x:v>
      </x:c>
      <x:c r="V938" t="str">
        <x:v>Pasted text(56).txt</x:v>
      </x:c>
    </x:row>
    <x:row r="939">
      <x:c r="A939" t="str">
        <x:v>S10</x:v>
      </x:c>
      <x:c r="B939" t="str">
        <x:v>0.89 repeat-confirmation session</x:v>
      </x:c>
      <x:c r="C939" s="54" t="n">
        <x:v>0.89</x:v>
      </x:c>
      <x:c r="D939" t="n">
        <x:v>3</x:v>
      </x:c>
      <x:c r="E939" t="n">
        <x:v>1</x:v>
      </x:c>
      <x:c r="F939" t="str">
        <x:v>FINAL</x:v>
      </x:c>
      <x:c r="G939" t="n">
        <x:v>1</x:v>
      </x:c>
      <x:c r="H939" s="54" t="n">
        <x:v>10</x:v>
      </x:c>
      <x:c r="I939" s="54" t="n">
        <x:v>0.87261</x:v>
      </x:c>
      <x:c r="J939" s="54" t="n">
        <x:v>0.8753</x:v>
      </x:c>
      <x:c r="K939" s="54" t="n">
        <x:v>0.22342</x:v>
      </x:c>
      <x:c r="L939" s="54" t="n">
        <x:v>0.41591</x:v>
      </x:c>
      <x:c r="M939" s="54" t="n">
        <x:v>0.99463</x:v>
      </x:c>
      <x:c r="N939" s="56" t="n">
        <x:v>-1.95</x:v>
      </x:c>
      <x:c r="O939" s="56" t="n">
        <x:v>0.59</x:v>
      </x:c>
      <x:c r="P939" s="56" t="n">
        <x:v>1</x:v>
      </x:c>
      <x:c r="Q939" s="56" t="n">
        <x:v>92.8</x:v>
      </x:c>
      <x:c r="R939" t="str">
        <x:v>X</x:v>
      </x:c>
      <x:c r="S939" s="102" t="n">
        <x:v>100</x:v>
      </x:c>
      <x:c r="T939" t="str">
        <x:v>IN TARGET BAND</x:v>
      </x:c>
      <x:c r="U939" t="n">
        <x:v>3767</x:v>
      </x:c>
      <x:c r="V939" t="str">
        <x:v>Pasted text(56).txt</x:v>
      </x:c>
    </x:row>
    <x:row r="940">
      <x:c r="A940" t="str">
        <x:v>S10</x:v>
      </x:c>
      <x:c r="B940" t="str">
        <x:v>0.89 repeat-confirmation session</x:v>
      </x:c>
      <x:c r="C940" s="54" t="n">
        <x:v>0.89</x:v>
      </x:c>
      <x:c r="D940" t="n">
        <x:v>3</x:v>
      </x:c>
      <x:c r="E940" t="n">
        <x:v>1</x:v>
      </x:c>
      <x:c r="F940" t="str">
        <x:v>FINAL</x:v>
      </x:c>
      <x:c r="G940" t="n">
        <x:v>2</x:v>
      </x:c>
      <x:c r="H940" s="54" t="n">
        <x:v>10</x:v>
      </x:c>
      <x:c r="I940" s="54" t="n">
        <x:v>0.87327</x:v>
      </x:c>
      <x:c r="J940" s="54" t="n">
        <x:v>0.86949</x:v>
      </x:c>
      <x:c r="K940" s="54" t="n">
        <x:v>0.23388</x:v>
      </x:c>
      <x:c r="L940" s="54" t="n">
        <x:v>0.42366</x:v>
      </x:c>
      <x:c r="M940" s="54" t="n">
        <x:v>0.99522</x:v>
      </x:c>
      <x:c r="N940" s="56" t="n">
        <x:v>-1.88</x:v>
      </x:c>
      <x:c r="O940" s="56" t="n">
        <x:v>0.85</x:v>
      </x:c>
      <x:c r="P940" s="56" t="n">
        <x:v>2.27</x:v>
      </x:c>
      <x:c r="Q940" s="56" t="n">
        <x:v>91.8</x:v>
      </x:c>
      <x:c r="R940" t="str">
        <x:v>X</x:v>
      </x:c>
      <x:c r="S940" s="102" t="n">
        <x:v>100</x:v>
      </x:c>
      <x:c r="T940" t="str">
        <x:v>IN TARGET BAND</x:v>
      </x:c>
      <x:c r="U940" t="n">
        <x:v>3768</x:v>
      </x:c>
      <x:c r="V940" t="str">
        <x:v>Pasted text(56).txt</x:v>
      </x:c>
    </x:row>
    <x:row r="941">
      <x:c r="A941" t="str">
        <x:v>S10</x:v>
      </x:c>
      <x:c r="B941" t="str">
        <x:v>0.89 repeat-confirmation session</x:v>
      </x:c>
      <x:c r="C941" s="54" t="n">
        <x:v>0.89</x:v>
      </x:c>
      <x:c r="D941" t="n">
        <x:v>4</x:v>
      </x:c>
      <x:c r="E941" t="n">
        <x:v>1</x:v>
      </x:c>
      <x:c r="F941" t="str">
        <x:v>SEARCH</x:v>
      </x:c>
      <x:c r="G941" t="n">
        <x:v>1</x:v>
      </x:c>
      <x:c r="H941" s="54" t="n">
        <x:v>1</x:v>
      </x:c>
      <x:c r="I941" s="54" t="n">
        <x:v>0.00986</x:v>
      </x:c>
      <x:c r="J941" s="54" t="n">
        <x:v>0.00935</x:v>
      </x:c>
      <x:c r="K941" s="54" t="n">
        <x:v>0.00683</x:v>
      </x:c>
      <x:c r="L941" s="54" t="n">
        <x:v>0.01294</x:v>
      </x:c>
      <x:c r="M941" s="54" t="n">
        <x:v>0.01862</x:v>
      </x:c>
      <x:c r="N941" s="56" t="n">
        <x:v>-98.89</x:v>
      </x:c>
      <x:c r="O941" s="56" t="n">
        <x:v>15.26</x:v>
      </x:c>
      <x:c r="P941" s="56" t="n">
        <x:v>7.67</x:v>
      </x:c>
      <x:c r="Q941" s="56" t="n">
        <x:v>5.5</x:v>
      </x:c>
      <x:c r="R941" t="str">
        <x:v>Z</x:v>
      </x:c>
      <x:c r="S941" s="102" t="n">
        <x:v>72.3</x:v>
      </x:c>
      <x:c r="T941" t="str">
        <x:v>BELOW MEASUREMENT FLOOR — SEARCH CONTINUES</x:v>
      </x:c>
      <x:c r="U941" t="n">
        <x:v>3824</x:v>
      </x:c>
      <x:c r="V941" t="str">
        <x:v>Pasted text(56).txt</x:v>
      </x:c>
    </x:row>
    <x:row r="942">
      <x:c r="A942" t="str">
        <x:v>S10</x:v>
      </x:c>
      <x:c r="B942" t="str">
        <x:v>0.89 repeat-confirmation session</x:v>
      </x:c>
      <x:c r="C942" s="54" t="n">
        <x:v>0.89</x:v>
      </x:c>
      <x:c r="D942" t="n">
        <x:v>4</x:v>
      </x:c>
      <x:c r="E942" t="n">
        <x:v>1</x:v>
      </x:c>
      <x:c r="F942" t="str">
        <x:v>SEARCH</x:v>
      </x:c>
      <x:c r="G942" t="n">
        <x:v>2</x:v>
      </x:c>
      <x:c r="H942" s="54" t="n">
        <x:v>3</x:v>
      </x:c>
      <x:c r="I942" s="54" t="n">
        <x:v>0.15109</x:v>
      </x:c>
      <x:c r="J942" s="54" t="n">
        <x:v>0.14791</x:v>
      </x:c>
      <x:c r="K942" s="54" t="n">
        <x:v>0.06488</x:v>
      </x:c>
      <x:c r="L942" s="54" t="n">
        <x:v>0.11031</x:v>
      </x:c>
      <x:c r="M942" s="54" t="n">
        <x:v>0.19644</x:v>
      </x:c>
      <x:c r="N942" s="56" t="n">
        <x:v>-83.02</x:v>
      </x:c>
      <x:c r="O942" s="56" t="n">
        <x:v>6.15</x:v>
      </x:c>
      <x:c r="P942" s="56" t="n">
        <x:v>7.69</x:v>
      </x:c>
      <x:c r="Q942" s="56" t="n">
        <x:v>61.1</x:v>
      </x:c>
      <x:c r="R942" t="str">
        <x:v>X</x:v>
      </x:c>
      <x:c r="S942" s="102" t="n">
        <x:v>100</x:v>
      </x:c>
      <x:c r="T942" t="str">
        <x:v>VALID</x:v>
      </x:c>
      <x:c r="U942" t="n">
        <x:v>3825</x:v>
      </x:c>
      <x:c r="V942" t="str">
        <x:v>Pasted text(56).txt</x:v>
      </x:c>
    </x:row>
    <x:row r="943">
      <x:c r="A943" t="str">
        <x:v>S10</x:v>
      </x:c>
      <x:c r="B943" t="str">
        <x:v>0.89 repeat-confirmation session</x:v>
      </x:c>
      <x:c r="C943" s="54" t="n">
        <x:v>0.89</x:v>
      </x:c>
      <x:c r="D943" t="n">
        <x:v>4</x:v>
      </x:c>
      <x:c r="E943" t="n">
        <x:v>1</x:v>
      </x:c>
      <x:c r="F943" t="str">
        <x:v>SEARCH</x:v>
      </x:c>
      <x:c r="G943" t="n">
        <x:v>3</x:v>
      </x:c>
      <x:c r="H943" s="54" t="n">
        <x:v>5</x:v>
      </x:c>
      <x:c r="I943" s="54" t="n">
        <x:v>0.34335</x:v>
      </x:c>
      <x:c r="J943" s="54" t="n">
        <x:v>0.34319</x:v>
      </x:c>
      <x:c r="K943" s="54" t="n">
        <x:v>0.09447</x:v>
      </x:c>
      <x:c r="L943" s="54" t="n">
        <x:v>0.21133</x:v>
      </x:c>
      <x:c r="M943" s="54" t="n">
        <x:v>0.41437</x:v>
      </x:c>
      <x:c r="N943" s="56" t="n">
        <x:v>-61.42</x:v>
      </x:c>
      <x:c r="O943" s="56" t="n">
        <x:v>1.31</x:v>
      </x:c>
      <x:c r="P943" s="56" t="n">
        <x:v>0.95</x:v>
      </x:c>
      <x:c r="Q943" s="56" t="n">
        <x:v>82.6</x:v>
      </x:c>
      <x:c r="R943" t="str">
        <x:v>X</x:v>
      </x:c>
      <x:c r="S943" s="102" t="n">
        <x:v>100</x:v>
      </x:c>
      <x:c r="T943" t="str">
        <x:v>VALID</x:v>
      </x:c>
      <x:c r="U943" t="n">
        <x:v>3826</x:v>
      </x:c>
      <x:c r="V943" t="str">
        <x:v>Pasted text(56).txt</x:v>
      </x:c>
    </x:row>
    <x:row r="944">
      <x:c r="A944" t="str">
        <x:v>S10</x:v>
      </x:c>
      <x:c r="B944" t="str">
        <x:v>0.89 repeat-confirmation session</x:v>
      </x:c>
      <x:c r="C944" s="54" t="n">
        <x:v>0.89</x:v>
      </x:c>
      <x:c r="D944" t="n">
        <x:v>4</x:v>
      </x:c>
      <x:c r="E944" t="n">
        <x:v>1</x:v>
      </x:c>
      <x:c r="F944" t="str">
        <x:v>SEARCH</x:v>
      </x:c>
      <x:c r="G944" t="n">
        <x:v>4</x:v>
      </x:c>
      <x:c r="H944" s="54" t="n">
        <x:v>6</x:v>
      </x:c>
      <x:c r="I944" s="54" t="n">
        <x:v>0.42155</x:v>
      </x:c>
      <x:c r="J944" s="54" t="n">
        <x:v>0.42943</x:v>
      </x:c>
      <x:c r="K944" s="54" t="n">
        <x:v>0.12297</x:v>
      </x:c>
      <x:c r="L944" s="54" t="n">
        <x:v>0.25258</x:v>
      </x:c>
      <x:c r="M944" s="54" t="n">
        <x:v>0.51318</x:v>
      </x:c>
      <x:c r="N944" s="56" t="n">
        <x:v>-52.63</x:v>
      </x:c>
      <x:c r="O944" s="56" t="n">
        <x:v>3.28</x:v>
      </x:c>
      <x:c r="P944" s="56" t="n">
        <x:v>5.17</x:v>
      </x:c>
      <x:c r="Q944" s="56" t="n">
        <x:v>84.4</x:v>
      </x:c>
      <x:c r="R944" t="str">
        <x:v>X</x:v>
      </x:c>
      <x:c r="S944" s="102" t="n">
        <x:v>100</x:v>
      </x:c>
      <x:c r="T944" t="str">
        <x:v>VALID</x:v>
      </x:c>
      <x:c r="U944" t="n">
        <x:v>3827</x:v>
      </x:c>
      <x:c r="V944" t="str">
        <x:v>Pasted text(56).txt</x:v>
      </x:c>
    </x:row>
    <x:row r="945">
      <x:c r="A945" t="str">
        <x:v>S10</x:v>
      </x:c>
      <x:c r="B945" t="str">
        <x:v>0.89 repeat-confirmation session</x:v>
      </x:c>
      <x:c r="C945" s="54" t="n">
        <x:v>0.89</x:v>
      </x:c>
      <x:c r="D945" t="n">
        <x:v>4</x:v>
      </x:c>
      <x:c r="E945" t="n">
        <x:v>1</x:v>
      </x:c>
      <x:c r="F945" t="str">
        <x:v>SEARCH</x:v>
      </x:c>
      <x:c r="G945" t="n">
        <x:v>5</x:v>
      </x:c>
      <x:c r="H945" s="54" t="n">
        <x:v>7</x:v>
      </x:c>
      <x:c r="I945" s="54" t="n">
        <x:v>0.56096</x:v>
      </x:c>
      <x:c r="J945" s="54" t="n">
        <x:v>0.55353</x:v>
      </x:c>
      <x:c r="K945" s="54" t="n">
        <x:v>0.15843</x:v>
      </x:c>
      <x:c r="L945" s="54" t="n">
        <x:v>0.28922</x:v>
      </x:c>
      <x:c r="M945" s="54" t="n">
        <x:v>0.64462</x:v>
      </x:c>
      <x:c r="N945" s="56" t="n">
        <x:v>-36.97</x:v>
      </x:c>
      <x:c r="O945" s="56" t="n">
        <x:v>0.21</x:v>
      </x:c>
      <x:c r="P945" s="56" t="n">
        <x:v>2.45</x:v>
      </x:c>
      <x:c r="Q945" s="56" t="n">
        <x:v>87.5</x:v>
      </x:c>
      <x:c r="R945" t="str">
        <x:v>X</x:v>
      </x:c>
      <x:c r="S945" s="102" t="n">
        <x:v>100</x:v>
      </x:c>
      <x:c r="T945" t="str">
        <x:v>VALID</x:v>
      </x:c>
      <x:c r="U945" t="n">
        <x:v>3828</x:v>
      </x:c>
      <x:c r="V945" t="str">
        <x:v>Pasted text(56).txt</x:v>
      </x:c>
    </x:row>
    <x:row r="946">
      <x:c r="A946" t="str">
        <x:v>S10</x:v>
      </x:c>
      <x:c r="B946" t="str">
        <x:v>0.89 repeat-confirmation session</x:v>
      </x:c>
      <x:c r="C946" s="54" t="n">
        <x:v>0.89</x:v>
      </x:c>
      <x:c r="D946" t="n">
        <x:v>4</x:v>
      </x:c>
      <x:c r="E946" t="n">
        <x:v>1</x:v>
      </x:c>
      <x:c r="F946" t="str">
        <x:v>SEARCH</x:v>
      </x:c>
      <x:c r="G946" t="n">
        <x:v>6</x:v>
      </x:c>
      <x:c r="H946" s="54" t="n">
        <x:v>7.5</x:v>
      </x:c>
      <x:c r="I946" s="54" t="n">
        <x:v>0.59628</x:v>
      </x:c>
      <x:c r="J946" s="54" t="n">
        <x:v>0.59798</x:v>
      </x:c>
      <x:c r="K946" s="54" t="n">
        <x:v>0.16771</x:v>
      </x:c>
      <x:c r="L946" s="54" t="n">
        <x:v>0.3043</x:v>
      </x:c>
      <x:c r="M946" s="54" t="n">
        <x:v>0.69163</x:v>
      </x:c>
      <x:c r="N946" s="56" t="n">
        <x:v>-33</x:v>
      </x:c>
      <x:c r="O946" s="56" t="n">
        <x:v>1.14</x:v>
      </x:c>
      <x:c r="P946" s="56" t="n">
        <x:v>1.22</x:v>
      </x:c>
      <x:c r="Q946" s="56" t="n">
        <x:v>90.8</x:v>
      </x:c>
      <x:c r="R946" t="str">
        <x:v>X</x:v>
      </x:c>
      <x:c r="S946" s="102" t="n">
        <x:v>100</x:v>
      </x:c>
      <x:c r="T946" t="str">
        <x:v>VALID</x:v>
      </x:c>
      <x:c r="U946" t="n">
        <x:v>3829</x:v>
      </x:c>
      <x:c r="V946" t="str">
        <x:v>Pasted text(56).txt</x:v>
      </x:c>
    </x:row>
    <x:row r="947">
      <x:c r="A947" t="str">
        <x:v>S10</x:v>
      </x:c>
      <x:c r="B947" t="str">
        <x:v>0.89 repeat-confirmation session</x:v>
      </x:c>
      <x:c r="C947" s="54" t="n">
        <x:v>0.89</x:v>
      </x:c>
      <x:c r="D947" t="n">
        <x:v>4</x:v>
      </x:c>
      <x:c r="E947" t="n">
        <x:v>1</x:v>
      </x:c>
      <x:c r="F947" t="str">
        <x:v>SEARCH</x:v>
      </x:c>
      <x:c r="G947" t="n">
        <x:v>7</x:v>
      </x:c>
      <x:c r="H947" s="54" t="n">
        <x:v>8</x:v>
      </x:c>
      <x:c r="I947" s="54" t="n">
        <x:v>0.66934</x:v>
      </x:c>
      <x:c r="J947" s="54" t="n">
        <x:v>0.66519</x:v>
      </x:c>
      <x:c r="K947" s="54" t="n">
        <x:v>0.17008</x:v>
      </x:c>
      <x:c r="L947" s="54" t="n">
        <x:v>0.34523</x:v>
      </x:c>
      <x:c r="M947" s="54" t="n">
        <x:v>0.76865</x:v>
      </x:c>
      <x:c r="N947" s="56" t="n">
        <x:v>-24.79</x:v>
      </x:c>
      <x:c r="O947" s="56" t="n">
        <x:v>1.28</x:v>
      </x:c>
      <x:c r="P947" s="56" t="n">
        <x:v>1.89</x:v>
      </x:c>
      <x:c r="Q947" s="56" t="n">
        <x:v>92.2</x:v>
      </x:c>
      <x:c r="R947" t="str">
        <x:v>X</x:v>
      </x:c>
      <x:c r="S947" s="102" t="n">
        <x:v>100</x:v>
      </x:c>
      <x:c r="T947" t="str">
        <x:v>VALID</x:v>
      </x:c>
      <x:c r="U947" t="n">
        <x:v>3830</x:v>
      </x:c>
      <x:c r="V947" t="str">
        <x:v>Pasted text(56).txt</x:v>
      </x:c>
    </x:row>
    <x:row r="948">
      <x:c r="A948" t="str">
        <x:v>S10</x:v>
      </x:c>
      <x:c r="B948" t="str">
        <x:v>0.89 repeat-confirmation session</x:v>
      </x:c>
      <x:c r="C948" s="54" t="n">
        <x:v>0.89</x:v>
      </x:c>
      <x:c r="D948" t="n">
        <x:v>4</x:v>
      </x:c>
      <x:c r="E948" t="n">
        <x:v>1</x:v>
      </x:c>
      <x:c r="F948" t="str">
        <x:v>SEARCH</x:v>
      </x:c>
      <x:c r="G948" t="n">
        <x:v>8</x:v>
      </x:c>
      <x:c r="H948" s="54" t="n">
        <x:v>8.5</x:v>
      </x:c>
      <x:c r="I948" s="54" t="n">
        <x:v>0.70874</x:v>
      </x:c>
      <x:c r="J948" s="54" t="n">
        <x:v>0.70414</x:v>
      </x:c>
      <x:c r="K948" s="54" t="n">
        <x:v>0.18088</x:v>
      </x:c>
      <x:c r="L948" s="54" t="n">
        <x:v>0.35829</x:v>
      </x:c>
      <x:c r="M948" s="54" t="n">
        <x:v>0.81095</x:v>
      </x:c>
      <x:c r="N948" s="56" t="n">
        <x:v>-20.37</x:v>
      </x:c>
      <x:c r="O948" s="56" t="n">
        <x:v>0.22</x:v>
      </x:c>
      <x:c r="P948" s="56" t="n">
        <x:v>1.26</x:v>
      </x:c>
      <x:c r="Q948" s="56" t="n">
        <x:v>90.5</x:v>
      </x:c>
      <x:c r="R948" t="str">
        <x:v>X</x:v>
      </x:c>
      <x:c r="S948" s="102" t="n">
        <x:v>100</x:v>
      </x:c>
      <x:c r="T948" t="str">
        <x:v>VALID</x:v>
      </x:c>
      <x:c r="U948" t="n">
        <x:v>3831</x:v>
      </x:c>
      <x:c r="V948" t="str">
        <x:v>Pasted text(56).txt</x:v>
      </x:c>
    </x:row>
    <x:row r="949">
      <x:c r="A949" t="str">
        <x:v>S10</x:v>
      </x:c>
      <x:c r="B949" t="str">
        <x:v>0.89 repeat-confirmation session</x:v>
      </x:c>
      <x:c r="C949" s="54" t="n">
        <x:v>0.89</x:v>
      </x:c>
      <x:c r="D949" t="n">
        <x:v>4</x:v>
      </x:c>
      <x:c r="E949" t="n">
        <x:v>1</x:v>
      </x:c>
      <x:c r="F949" t="str">
        <x:v>SEARCH</x:v>
      </x:c>
      <x:c r="G949" t="n">
        <x:v>9</x:v>
      </x:c>
      <x:c r="H949" s="54" t="n">
        <x:v>9</x:v>
      </x:c>
      <x:c r="I949" s="54" t="n">
        <x:v>0.75253</x:v>
      </x:c>
      <x:c r="J949" s="54" t="n">
        <x:v>0.75371</x:v>
      </x:c>
      <x:c r="K949" s="54" t="n">
        <x:v>0.18672</x:v>
      </x:c>
      <x:c r="L949" s="54" t="n">
        <x:v>0.37701</x:v>
      </x:c>
      <x:c r="M949" s="54" t="n">
        <x:v>0.86359</x:v>
      </x:c>
      <x:c r="N949" s="56" t="n">
        <x:v>-15.45</x:v>
      </x:c>
      <x:c r="O949" s="56" t="n">
        <x:v>0.45</x:v>
      </x:c>
      <x:c r="P949" s="56" t="n">
        <x:v>0.56</x:v>
      </x:c>
      <x:c r="Q949" s="56" t="n">
        <x:v>89.4</x:v>
      </x:c>
      <x:c r="R949" t="str">
        <x:v>X</x:v>
      </x:c>
      <x:c r="S949" s="102" t="n">
        <x:v>100</x:v>
      </x:c>
      <x:c r="T949" t="str">
        <x:v>VALID</x:v>
      </x:c>
      <x:c r="U949" t="n">
        <x:v>3832</x:v>
      </x:c>
      <x:c r="V949" t="str">
        <x:v>Pasted text(56).txt</x:v>
      </x:c>
    </x:row>
    <x:row r="950">
      <x:c r="A950" t="str">
        <x:v>S10</x:v>
      </x:c>
      <x:c r="B950" t="str">
        <x:v>0.89 repeat-confirmation session</x:v>
      </x:c>
      <x:c r="C950" s="54" t="n">
        <x:v>0.89</x:v>
      </x:c>
      <x:c r="D950" t="n">
        <x:v>4</x:v>
      </x:c>
      <x:c r="E950" t="n">
        <x:v>1</x:v>
      </x:c>
      <x:c r="F950" t="str">
        <x:v>SEARCH</x:v>
      </x:c>
      <x:c r="G950" t="n">
        <x:v>10</x:v>
      </x:c>
      <x:c r="H950" s="54" t="n">
        <x:v>9.5</x:v>
      </x:c>
      <x:c r="I950" s="54" t="n">
        <x:v>0.79206</x:v>
      </x:c>
      <x:c r="J950" s="54" t="n">
        <x:v>0.79883</x:v>
      </x:c>
      <x:c r="K950" s="54" t="n">
        <x:v>0.1965</x:v>
      </x:c>
      <x:c r="L950" s="54" t="n">
        <x:v>0.40356</x:v>
      </x:c>
      <x:c r="M950" s="54" t="n">
        <x:v>0.91641</x:v>
      </x:c>
      <x:c r="N950" s="56" t="n">
        <x:v>-11</x:v>
      </x:c>
      <x:c r="O950" s="56" t="n">
        <x:v>1.52</x:v>
      </x:c>
      <x:c r="P950" s="56" t="n">
        <x:v>2.4</x:v>
      </x:c>
      <x:c r="Q950" s="56" t="n">
        <x:v>91.6</x:v>
      </x:c>
      <x:c r="R950" t="str">
        <x:v>X</x:v>
      </x:c>
      <x:c r="S950" s="102" t="n">
        <x:v>100</x:v>
      </x:c>
      <x:c r="T950" t="str">
        <x:v>VALID</x:v>
      </x:c>
      <x:c r="U950" t="n">
        <x:v>3833</x:v>
      </x:c>
      <x:c r="V950" t="str">
        <x:v>Pasted text(56).txt</x:v>
      </x:c>
    </x:row>
    <x:row r="951">
      <x:c r="A951" t="str">
        <x:v>S10</x:v>
      </x:c>
      <x:c r="B951" t="str">
        <x:v>0.89 repeat-confirmation session</x:v>
      </x:c>
      <x:c r="C951" s="54" t="n">
        <x:v>0.89</x:v>
      </x:c>
      <x:c r="D951" t="n">
        <x:v>4</x:v>
      </x:c>
      <x:c r="E951" t="n">
        <x:v>1</x:v>
      </x:c>
      <x:c r="F951" t="str">
        <x:v>SEARCH</x:v>
      </x:c>
      <x:c r="G951" t="n">
        <x:v>11</x:v>
      </x:c>
      <x:c r="H951" s="54" t="n">
        <x:v>9.75</x:v>
      </x:c>
      <x:c r="I951" s="54" t="n">
        <x:v>0.85636</x:v>
      </x:c>
      <x:c r="J951" s="54" t="n">
        <x:v>0.86141</x:v>
      </x:c>
      <x:c r="K951" s="54" t="n">
        <x:v>0.21493</x:v>
      </x:c>
      <x:c r="L951" s="54" t="n">
        <x:v>0.41046</x:v>
      </x:c>
      <x:c r="M951" s="54" t="n">
        <x:v>0.97853</x:v>
      </x:c>
      <x:c r="N951" s="56" t="n">
        <x:v>-3.78</x:v>
      </x:c>
      <x:c r="O951" s="56" t="n">
        <x:v>0.56</x:v>
      </x:c>
      <x:c r="P951" s="56" t="n">
        <x:v>1.35</x:v>
      </x:c>
      <x:c r="Q951" s="56" t="n">
        <x:v>92.2</x:v>
      </x:c>
      <x:c r="R951" t="str">
        <x:v>X</x:v>
      </x:c>
      <x:c r="S951" s="102" t="n">
        <x:v>100</x:v>
      </x:c>
      <x:c r="T951" t="str">
        <x:v>IN TARGET BAND</x:v>
      </x:c>
      <x:c r="U951" t="n">
        <x:v>3834</x:v>
      </x:c>
      <x:c r="V951" t="str">
        <x:v>Pasted text(56).txt</x:v>
      </x:c>
    </x:row>
    <x:row r="952">
      <x:c r="A952" t="str">
        <x:v>S10</x:v>
      </x:c>
      <x:c r="B952" t="str">
        <x:v>0.89 repeat-confirmation session</x:v>
      </x:c>
      <x:c r="C952" s="54" t="n">
        <x:v>0.89</x:v>
      </x:c>
      <x:c r="D952" t="n">
        <x:v>4</x:v>
      </x:c>
      <x:c r="E952" t="n">
        <x:v>1</x:v>
      </x:c>
      <x:c r="F952" t="str">
        <x:v>FINE</x:v>
      </x:c>
      <x:c r="G952" t="n">
        <x:v>1</x:v>
      </x:c>
      <x:c r="H952" s="54" t="n">
        <x:v>8.75</x:v>
      </x:c>
      <x:c r="I952" s="54" t="n">
        <x:v>0.76054</x:v>
      </x:c>
      <x:c r="J952" s="54" t="n">
        <x:v>0.7457</x:v>
      </x:c>
      <x:c r="K952" s="54" t="n">
        <x:v>0.20399</x:v>
      </x:c>
      <x:c r="L952" s="54" t="n">
        <x:v>0.37489</x:v>
      </x:c>
      <x:c r="M952" s="54" t="n">
        <x:v>0.85968</x:v>
      </x:c>
      <x:c r="N952" s="56" t="n">
        <x:v>-14.55</x:v>
      </x:c>
      <x:c r="O952" s="56" t="n">
        <x:v>0.57</x:v>
      </x:c>
      <x:c r="P952" s="56" t="n">
        <x:v>3.79</x:v>
      </x:c>
      <x:c r="Q952" s="56" t="n">
        <x:v>92.2</x:v>
      </x:c>
      <x:c r="R952" t="str">
        <x:v>X</x:v>
      </x:c>
      <x:c r="S952" s="102" t="n">
        <x:v>100</x:v>
      </x:c>
      <x:c r="T952" t="str">
        <x:v>VALID</x:v>
      </x:c>
      <x:c r="U952" t="n">
        <x:v>3838</x:v>
      </x:c>
      <x:c r="V952" t="str">
        <x:v>Pasted text(56).txt</x:v>
      </x:c>
    </x:row>
    <x:row r="953">
      <x:c r="A953" t="str">
        <x:v>S10</x:v>
      </x:c>
      <x:c r="B953" t="str">
        <x:v>0.89 repeat-confirmation session</x:v>
      </x:c>
      <x:c r="C953" s="54" t="n">
        <x:v>0.89</x:v>
      </x:c>
      <x:c r="D953" t="n">
        <x:v>4</x:v>
      </x:c>
      <x:c r="E953" t="n">
        <x:v>1</x:v>
      </x:c>
      <x:c r="F953" t="str">
        <x:v>FINE</x:v>
      </x:c>
      <x:c r="G953" t="n">
        <x:v>2</x:v>
      </x:c>
      <x:c r="H953" s="54" t="n">
        <x:v>9</x:v>
      </x:c>
      <x:c r="I953" s="54" t="n">
        <x:v>0.76781</x:v>
      </x:c>
      <x:c r="J953" s="54" t="n">
        <x:v>0.76905</x:v>
      </x:c>
      <x:c r="K953" s="54" t="n">
        <x:v>0.19576</x:v>
      </x:c>
      <x:c r="L953" s="54" t="n">
        <x:v>0.36735</x:v>
      </x:c>
      <x:c r="M953" s="54" t="n">
        <x:v>0.87472</x:v>
      </x:c>
      <x:c r="N953" s="56" t="n">
        <x:v>-13.73</x:v>
      </x:c>
      <x:c r="O953" s="56" t="n">
        <x:v>0.43</x:v>
      </x:c>
      <x:c r="P953" s="56" t="n">
        <x:v>0.55</x:v>
      </x:c>
      <x:c r="Q953" s="56" t="n">
        <x:v>92</x:v>
      </x:c>
      <x:c r="R953" t="str">
        <x:v>X</x:v>
      </x:c>
      <x:c r="S953" s="102" t="n">
        <x:v>100</x:v>
      </x:c>
      <x:c r="T953" t="str">
        <x:v>VALID</x:v>
      </x:c>
      <x:c r="U953" t="n">
        <x:v>3839</x:v>
      </x:c>
      <x:c r="V953" t="str">
        <x:v>Pasted text(56).txt</x:v>
      </x:c>
    </x:row>
    <x:row r="954">
      <x:c r="A954" t="str">
        <x:v>S10</x:v>
      </x:c>
      <x:c r="B954" t="str">
        <x:v>0.89 repeat-confirmation session</x:v>
      </x:c>
      <x:c r="C954" s="54" t="n">
        <x:v>0.89</x:v>
      </x:c>
      <x:c r="D954" t="n">
        <x:v>4</x:v>
      </x:c>
      <x:c r="E954" t="n">
        <x:v>1</x:v>
      </x:c>
      <x:c r="F954" t="str">
        <x:v>FINE</x:v>
      </x:c>
      <x:c r="G954" t="n">
        <x:v>3</x:v>
      </x:c>
      <x:c r="H954" s="54" t="n">
        <x:v>9.25</x:v>
      </x:c>
      <x:c r="I954" s="54" t="n">
        <x:v>0.79527</x:v>
      </x:c>
      <x:c r="J954" s="54" t="n">
        <x:v>0.79159</x:v>
      </x:c>
      <x:c r="K954" s="54" t="n">
        <x:v>0.20452</x:v>
      </x:c>
      <x:c r="L954" s="54" t="n">
        <x:v>0.38207</x:v>
      </x:c>
      <x:c r="M954" s="54" t="n">
        <x:v>0.90254</x:v>
      </x:c>
      <x:c r="N954" s="56" t="n">
        <x:v>-10.64</x:v>
      </x:c>
      <x:c r="O954" s="56" t="n">
        <x:v>2.42</x:v>
      </x:c>
      <x:c r="P954" s="56" t="n">
        <x:v>2.37</x:v>
      </x:c>
      <x:c r="Q954" s="56" t="n">
        <x:v>91.1</x:v>
      </x:c>
      <x:c r="R954" t="str">
        <x:v>X</x:v>
      </x:c>
      <x:c r="S954" s="102" t="n">
        <x:v>100</x:v>
      </x:c>
      <x:c r="T954" t="str">
        <x:v>VALID</x:v>
      </x:c>
      <x:c r="U954" t="n">
        <x:v>3840</x:v>
      </x:c>
      <x:c r="V954" t="str">
        <x:v>Pasted text(56).txt</x:v>
      </x:c>
    </x:row>
    <x:row r="955">
      <x:c r="A955" t="str">
        <x:v>S10</x:v>
      </x:c>
      <x:c r="B955" t="str">
        <x:v>0.89 repeat-confirmation session</x:v>
      </x:c>
      <x:c r="C955" s="54" t="n">
        <x:v>0.89</x:v>
      </x:c>
      <x:c r="D955" t="n">
        <x:v>4</x:v>
      </x:c>
      <x:c r="E955" t="n">
        <x:v>1</x:v>
      </x:c>
      <x:c r="F955" t="str">
        <x:v>FINE</x:v>
      </x:c>
      <x:c r="G955" t="n">
        <x:v>4</x:v>
      </x:c>
      <x:c r="H955" s="54" t="n">
        <x:v>9.5</x:v>
      </x:c>
      <x:c r="I955" s="54" t="n">
        <x:v>0.79857</x:v>
      </x:c>
      <x:c r="J955" s="54" t="n">
        <x:v>0.80504</x:v>
      </x:c>
      <x:c r="K955" s="54" t="n">
        <x:v>0.22901</x:v>
      </x:c>
      <x:c r="L955" s="54" t="n">
        <x:v>0.38469</x:v>
      </x:c>
      <x:c r="M955" s="54" t="n">
        <x:v>0.92145</x:v>
      </x:c>
      <x:c r="N955" s="56" t="n">
        <x:v>-10.27</x:v>
      </x:c>
      <x:c r="O955" s="56" t="n">
        <x:v>0.88</x:v>
      </x:c>
      <x:c r="P955" s="56" t="n">
        <x:v>1.93</x:v>
      </x:c>
      <x:c r="Q955" s="56" t="n">
        <x:v>92.2</x:v>
      </x:c>
      <x:c r="R955" t="str">
        <x:v>X</x:v>
      </x:c>
      <x:c r="S955" s="102" t="n">
        <x:v>100</x:v>
      </x:c>
      <x:c r="T955" t="str">
        <x:v>VALID</x:v>
      </x:c>
      <x:c r="U955" t="n">
        <x:v>3841</x:v>
      </x:c>
      <x:c r="V955" t="str">
        <x:v>Pasted text(56).txt</x:v>
      </x:c>
    </x:row>
    <x:row r="956">
      <x:c r="A956" t="str">
        <x:v>S10</x:v>
      </x:c>
      <x:c r="B956" t="str">
        <x:v>0.89 repeat-confirmation session</x:v>
      </x:c>
      <x:c r="C956" s="54" t="n">
        <x:v>0.89</x:v>
      </x:c>
      <x:c r="D956" t="n">
        <x:v>4</x:v>
      </x:c>
      <x:c r="E956" t="n">
        <x:v>1</x:v>
      </x:c>
      <x:c r="F956" t="str">
        <x:v>FINE</x:v>
      </x:c>
      <x:c r="G956" t="n">
        <x:v>5</x:v>
      </x:c>
      <x:c r="H956" s="54" t="n">
        <x:v>9.75</x:v>
      </x:c>
      <x:c r="I956" s="54" t="n">
        <x:v>0.86446</x:v>
      </x:c>
      <x:c r="J956" s="54" t="n">
        <x:v>0.86107</x:v>
      </x:c>
      <x:c r="K956" s="54" t="n">
        <x:v>0.21974</x:v>
      </x:c>
      <x:c r="L956" s="54" t="n">
        <x:v>0.40477</x:v>
      </x:c>
      <x:c r="M956" s="54" t="n">
        <x:v>0.97652</x:v>
      </x:c>
      <x:c r="N956" s="56" t="n">
        <x:v>-2.87</x:v>
      </x:c>
      <x:c r="O956" s="56" t="n">
        <x:v>0.53</x:v>
      </x:c>
      <x:c r="P956" s="56" t="n">
        <x:v>1.01</x:v>
      </x:c>
      <x:c r="Q956" s="56" t="n">
        <x:v>92.4</x:v>
      </x:c>
      <x:c r="R956" t="str">
        <x:v>X</x:v>
      </x:c>
      <x:c r="S956" s="102" t="n">
        <x:v>100</x:v>
      </x:c>
      <x:c r="T956" t="str">
        <x:v>IN TARGET BAND</x:v>
      </x:c>
      <x:c r="U956" t="n">
        <x:v>3842</x:v>
      </x:c>
      <x:c r="V956" t="str">
        <x:v>Pasted text(56).txt</x:v>
      </x:c>
    </x:row>
    <x:row r="957">
      <x:c r="A957" t="str">
        <x:v>S10</x:v>
      </x:c>
      <x:c r="B957" t="str">
        <x:v>0.89 repeat-confirmation session</x:v>
      </x:c>
      <x:c r="C957" s="54" t="n">
        <x:v>0.89</x:v>
      </x:c>
      <x:c r="D957" t="n">
        <x:v>4</x:v>
      </x:c>
      <x:c r="E957" t="n">
        <x:v>1</x:v>
      </x:c>
      <x:c r="F957" t="str">
        <x:v>FINE</x:v>
      </x:c>
      <x:c r="G957" t="n">
        <x:v>6</x:v>
      </x:c>
      <x:c r="H957" s="54" t="n">
        <x:v>10</x:v>
      </x:c>
      <x:c r="I957" s="54" t="n">
        <x:v>0.88202</x:v>
      </x:c>
      <x:c r="J957" s="54" t="n">
        <x:v>0.88603</x:v>
      </x:c>
      <x:c r="K957" s="54" t="n">
        <x:v>0.22924</x:v>
      </x:c>
      <x:c r="L957" s="54" t="n">
        <x:v>0.42562</x:v>
      </x:c>
      <x:c r="M957" s="54" t="n">
        <x:v>1.00958</x:v>
      </x:c>
      <x:c r="N957" s="56" t="n">
        <x:v>-0.9</x:v>
      </x:c>
      <x:c r="O957" s="56" t="n">
        <x:v>0.23</x:v>
      </x:c>
      <x:c r="P957" s="56" t="n">
        <x:v>0.92</x:v>
      </x:c>
      <x:c r="Q957" s="56" t="n">
        <x:v>91.5</x:v>
      </x:c>
      <x:c r="R957" t="str">
        <x:v>X</x:v>
      </x:c>
      <x:c r="S957" s="102" t="n">
        <x:v>100</x:v>
      </x:c>
      <x:c r="T957" t="str">
        <x:v>IN TARGET BAND</x:v>
      </x:c>
      <x:c r="U957" t="n">
        <x:v>3843</x:v>
      </x:c>
      <x:c r="V957" t="str">
        <x:v>Pasted text(56).txt</x:v>
      </x:c>
    </x:row>
    <x:row r="958">
      <x:c r="A958" t="str">
        <x:v>S10</x:v>
      </x:c>
      <x:c r="B958" t="str">
        <x:v>0.89 repeat-confirmation session</x:v>
      </x:c>
      <x:c r="C958" s="54" t="n">
        <x:v>0.89</x:v>
      </x:c>
      <x:c r="D958" t="n">
        <x:v>4</x:v>
      </x:c>
      <x:c r="E958" t="n">
        <x:v>1</x:v>
      </x:c>
      <x:c r="F958" t="str">
        <x:v>FINE</x:v>
      </x:c>
      <x:c r="G958" t="n">
        <x:v>7</x:v>
      </x:c>
      <x:c r="H958" s="54" t="n">
        <x:v>10.25</x:v>
      </x:c>
      <x:c r="I958" s="54" t="n">
        <x:v>0.91818</x:v>
      </x:c>
      <x:c r="J958" s="54" t="n">
        <x:v>0.91947</x:v>
      </x:c>
      <x:c r="K958" s="54" t="n">
        <x:v>0.23774</x:v>
      </x:c>
      <x:c r="L958" s="54" t="n">
        <x:v>0.4377</x:v>
      </x:c>
      <x:c r="M958" s="54" t="n">
        <x:v>1.04601</x:v>
      </x:c>
      <x:c r="N958" s="56" t="n">
        <x:v>3.17</x:v>
      </x:c>
      <x:c r="O958" s="56" t="n">
        <x:v>0.3</x:v>
      </x:c>
      <x:c r="P958" s="56" t="n">
        <x:v>0.43</x:v>
      </x:c>
      <x:c r="Q958" s="56" t="n">
        <x:v>93.6</x:v>
      </x:c>
      <x:c r="R958" t="str">
        <x:v>X</x:v>
      </x:c>
      <x:c r="S958" s="102" t="n">
        <x:v>100</x:v>
      </x:c>
      <x:c r="T958" t="str">
        <x:v>IN TARGET BAND</x:v>
      </x:c>
      <x:c r="U958" t="n">
        <x:v>3844</x:v>
      </x:c>
      <x:c r="V958" t="str">
        <x:v>Pasted text(56).txt</x:v>
      </x:c>
    </x:row>
    <x:row r="959">
      <x:c r="A959" t="str">
        <x:v>S10</x:v>
      </x:c>
      <x:c r="B959" t="str">
        <x:v>0.89 repeat-confirmation session</x:v>
      </x:c>
      <x:c r="C959" s="54" t="n">
        <x:v>0.89</x:v>
      </x:c>
      <x:c r="D959" t="n">
        <x:v>4</x:v>
      </x:c>
      <x:c r="E959" t="n">
        <x:v>1</x:v>
      </x:c>
      <x:c r="F959" t="str">
        <x:v>FINE</x:v>
      </x:c>
      <x:c r="G959" t="n">
        <x:v>8</x:v>
      </x:c>
      <x:c r="H959" s="54" t="n">
        <x:v>10.5</x:v>
      </x:c>
      <x:c r="I959" s="54" t="n">
        <x:v>0.91616</x:v>
      </x:c>
      <x:c r="J959" s="54" t="n">
        <x:v>0.91828</x:v>
      </x:c>
      <x:c r="K959" s="54" t="n">
        <x:v>0.24264</x:v>
      </x:c>
      <x:c r="L959" s="54" t="n">
        <x:v>0.44428</x:v>
      </x:c>
      <x:c r="M959" s="54" t="n">
        <x:v>1.04874</x:v>
      </x:c>
      <x:c r="N959" s="56" t="n">
        <x:v>2.94</x:v>
      </x:c>
      <x:c r="O959" s="56" t="n">
        <x:v>1.66</x:v>
      </x:c>
      <x:c r="P959" s="56" t="n">
        <x:v>1.48</x:v>
      </x:c>
      <x:c r="Q959" s="56" t="n">
        <x:v>92.7</x:v>
      </x:c>
      <x:c r="R959" t="str">
        <x:v>X</x:v>
      </x:c>
      <x:c r="S959" s="102" t="n">
        <x:v>100</x:v>
      </x:c>
      <x:c r="T959" t="str">
        <x:v>IN TARGET BAND</x:v>
      </x:c>
      <x:c r="U959" t="n">
        <x:v>3845</x:v>
      </x:c>
      <x:c r="V959" t="str">
        <x:v>Pasted text(56).txt</x:v>
      </x:c>
    </x:row>
    <x:row r="960">
      <x:c r="A960" t="str">
        <x:v>S10</x:v>
      </x:c>
      <x:c r="B960" t="str">
        <x:v>0.89 repeat-confirmation session</x:v>
      </x:c>
      <x:c r="C960" s="54" t="n">
        <x:v>0.89</x:v>
      </x:c>
      <x:c r="D960" t="n">
        <x:v>4</x:v>
      </x:c>
      <x:c r="E960" t="n">
        <x:v>1</x:v>
      </x:c>
      <x:c r="F960" t="str">
        <x:v>FINE</x:v>
      </x:c>
      <x:c r="G960" t="n">
        <x:v>9</x:v>
      </x:c>
      <x:c r="H960" s="54" t="n">
        <x:v>10.75</x:v>
      </x:c>
      <x:c r="I960" s="54" t="n">
        <x:v>0.97203</x:v>
      </x:c>
      <x:c r="J960" s="54" t="n">
        <x:v>0.96619</x:v>
      </x:c>
      <x:c r="K960" s="54" t="n">
        <x:v>0.25318</x:v>
      </x:c>
      <x:c r="L960" s="54" t="n">
        <x:v>0.44966</x:v>
      </x:c>
      <x:c r="M960" s="54" t="n">
        <x:v>1.0955</x:v>
      </x:c>
      <x:c r="N960" s="56" t="n">
        <x:v>9.22</x:v>
      </x:c>
      <x:c r="O960" s="56" t="n">
        <x:v>0.07</x:v>
      </x:c>
      <x:c r="P960" s="56" t="n">
        <x:v>1.09</x:v>
      </x:c>
      <x:c r="Q960" s="56" t="n">
        <x:v>92.7</x:v>
      </x:c>
      <x:c r="R960" t="str">
        <x:v>X</x:v>
      </x:c>
      <x:c r="S960" s="102" t="n">
        <x:v>100</x:v>
      </x:c>
      <x:c r="T960" t="str">
        <x:v>VALID</x:v>
      </x:c>
      <x:c r="U960" t="n">
        <x:v>3846</x:v>
      </x:c>
      <x:c r="V960" t="str">
        <x:v>Pasted text(56).txt</x:v>
      </x:c>
    </x:row>
    <x:row r="961">
      <x:c r="A961" t="str">
        <x:v>S10</x:v>
      </x:c>
      <x:c r="B961" t="str">
        <x:v>0.89 repeat-confirmation session</x:v>
      </x:c>
      <x:c r="C961" s="54" t="n">
        <x:v>0.89</x:v>
      </x:c>
      <x:c r="D961" t="n">
        <x:v>4</x:v>
      </x:c>
      <x:c r="E961" t="n">
        <x:v>1</x:v>
      </x:c>
      <x:c r="F961" t="str">
        <x:v>FINAL</x:v>
      </x:c>
      <x:c r="G961" t="n">
        <x:v>1</x:v>
      </x:c>
      <x:c r="H961" s="54" t="n">
        <x:v>10</x:v>
      </x:c>
      <x:c r="I961" s="54" t="n">
        <x:v>0.83068</x:v>
      </x:c>
      <x:c r="J961" s="54" t="n">
        <x:v>0.81941</x:v>
      </x:c>
      <x:c r="K961" s="54" t="n">
        <x:v>0.2211</x:v>
      </x:c>
      <x:c r="L961" s="54" t="n">
        <x:v>0.39634</x:v>
      </x:c>
      <x:c r="M961" s="54" t="n">
        <x:v>0.93693</x:v>
      </x:c>
      <x:c r="N961" s="56" t="n">
        <x:v>-6.67</x:v>
      </x:c>
      <x:c r="O961" s="56" t="n">
        <x:v>9.94</x:v>
      </x:c>
      <x:c r="P961" s="56" t="n">
        <x:v>12.08</x:v>
      </x:c>
      <x:c r="Q961" s="56" t="n">
        <x:v>91.3</x:v>
      </x:c>
      <x:c r="R961" t="str">
        <x:v>X</x:v>
      </x:c>
      <x:c r="S961" s="102" t="n">
        <x:v>100</x:v>
      </x:c>
      <x:c r="T961" t="str">
        <x:v>UNSTABLE — SEARCH CONTINUES</x:v>
      </x:c>
      <x:c r="U961" t="n">
        <x:v>3849</x:v>
      </x:c>
      <x:c r="V961" t="str">
        <x:v>Pasted text(56).txt</x:v>
      </x:c>
    </x:row>
    <x:row r="962">
      <x:c r="A962" t="str">
        <x:v>S10</x:v>
      </x:c>
      <x:c r="B962" t="str">
        <x:v>0.89 repeat-confirmation session</x:v>
      </x:c>
      <x:c r="C962" s="54" t="n">
        <x:v>0.89</x:v>
      </x:c>
      <x:c r="D962" t="n">
        <x:v>4</x:v>
      </x:c>
      <x:c r="E962" t="n">
        <x:v>1</x:v>
      </x:c>
      <x:c r="F962" t="str">
        <x:v>FINAL</x:v>
      </x:c>
      <x:c r="G962" t="n">
        <x:v>2</x:v>
      </x:c>
      <x:c r="H962" s="54" t="n">
        <x:v>10</x:v>
      </x:c>
      <x:c r="I962" s="54" t="n">
        <x:v>0.55675</x:v>
      </x:c>
      <x:c r="J962" s="54" t="n">
        <x:v>0.57393</x:v>
      </x:c>
      <x:c r="K962" s="54" t="n">
        <x:v>0.26615</x:v>
      </x:c>
      <x:c r="L962" s="54" t="n">
        <x:v>0.28642</x:v>
      </x:c>
      <x:c r="M962" s="54" t="n">
        <x:v>0.69715</x:v>
      </x:c>
      <x:c r="N962" s="56" t="n">
        <x:v>-37.44</x:v>
      </x:c>
      <x:c r="O962" s="56" t="n">
        <x:v>36.22</x:v>
      </x:c>
      <x:c r="P962" s="56" t="n">
        <x:v>24.8</x:v>
      </x:c>
      <x:c r="Q962" s="56" t="n">
        <x:v>85.4</x:v>
      </x:c>
      <x:c r="R962" t="str">
        <x:v>X</x:v>
      </x:c>
      <x:c r="S962" s="102" t="n">
        <x:v>100</x:v>
      </x:c>
      <x:c r="T962" t="str">
        <x:v>UNSTABLE — SEARCH CONTINUES</x:v>
      </x:c>
      <x:c r="U962" t="n">
        <x:v>3850</x:v>
      </x:c>
      <x:c r="V962" t="str">
        <x:v>Pasted text(56).txt</x:v>
      </x:c>
    </x:row>
    <x:row r="963">
      <x:c r="A963" t="str">
        <x:v>S10</x:v>
      </x:c>
      <x:c r="B963" t="str">
        <x:v>0.89 repeat-confirmation session</x:v>
      </x:c>
      <x:c r="C963" s="54" t="n">
        <x:v>0.89</x:v>
      </x:c>
      <x:c r="D963" t="n">
        <x:v>4</x:v>
      </x:c>
      <x:c r="E963" t="n">
        <x:v>1</x:v>
      </x:c>
      <x:c r="F963" t="str">
        <x:v>FINAL</x:v>
      </x:c>
      <x:c r="G963" t="n">
        <x:v>3</x:v>
      </x:c>
      <x:c r="H963" s="54" t="n">
        <x:v>10</x:v>
      </x:c>
      <x:c r="I963" s="54" t="n">
        <x:v>0.88328</x:v>
      </x:c>
      <x:c r="J963" s="54" t="n">
        <x:v>0.87031</x:v>
      </x:c>
      <x:c r="K963" s="54" t="n">
        <x:v>0.24179</x:v>
      </x:c>
      <x:c r="L963" s="54" t="n">
        <x:v>0.3809</x:v>
      </x:c>
      <x:c r="M963" s="54" t="n">
        <x:v>0.98043</x:v>
      </x:c>
      <x:c r="N963" s="56" t="n">
        <x:v>-0.76</x:v>
      </x:c>
      <x:c r="O963" s="56" t="n">
        <x:v>1.91</x:v>
      </x:c>
      <x:c r="P963" s="56" t="n">
        <x:v>4.49</x:v>
      </x:c>
      <x:c r="Q963" s="56" t="n">
        <x:v>92.5</x:v>
      </x:c>
      <x:c r="R963" t="str">
        <x:v>X</x:v>
      </x:c>
      <x:c r="S963" s="102" t="n">
        <x:v>100</x:v>
      </x:c>
      <x:c r="T963" t="str">
        <x:v>IN TARGET BAND</x:v>
      </x:c>
      <x:c r="U963" t="n">
        <x:v>3851</x:v>
      </x:c>
      <x:c r="V963" t="str">
        <x:v>Pasted text(56).txt</x:v>
      </x:c>
    </x:row>
    <x:row r="964">
      <x:c r="A964" t="str">
        <x:v>S10</x:v>
      </x:c>
      <x:c r="B964" t="str">
        <x:v>0.89 repeat-confirmation session</x:v>
      </x:c>
      <x:c r="C964" s="54" t="n">
        <x:v>0.89</x:v>
      </x:c>
      <x:c r="D964" t="n">
        <x:v>4</x:v>
      </x:c>
      <x:c r="E964" t="n">
        <x:v>2</x:v>
      </x:c>
      <x:c r="F964" t="str">
        <x:v>SEARCH</x:v>
      </x:c>
      <x:c r="G964" t="n">
        <x:v>1</x:v>
      </x:c>
      <x:c r="H964" s="54" t="n">
        <x:v>1</x:v>
      </x:c>
      <x:c r="I964" s="54" t="n">
        <x:v>0.00922</x:v>
      </x:c>
      <x:c r="J964" s="54" t="n">
        <x:v>0.00852</x:v>
      </x:c>
      <x:c r="K964" s="54" t="n">
        <x:v>0.01211</x:v>
      </x:c>
      <x:c r="L964" s="54" t="n">
        <x:v>0.03344</x:v>
      </x:c>
      <x:c r="M964" s="54" t="n">
        <x:v>0.0392</x:v>
      </x:c>
      <x:c r="N964" s="56" t="n">
        <x:v>-98.96</x:v>
      </x:c>
      <x:c r="O964" s="56" t="n">
        <x:v>22.4</x:v>
      </x:c>
      <x:c r="P964" s="56" t="n">
        <x:v>11.56</x:v>
      </x:c>
      <x:c r="Q964" s="56" t="n">
        <x:v>5.1</x:v>
      </x:c>
      <x:c r="R964" t="str">
        <x:v>Z</x:v>
      </x:c>
      <x:c r="S964" s="102" t="n">
        <x:v>25.5</x:v>
      </x:c>
      <x:c r="T964" t="str">
        <x:v>BELOW MEASUREMENT FLOOR — SEARCH CONTINUES</x:v>
      </x:c>
      <x:c r="U964" t="n">
        <x:v>3858</x:v>
      </x:c>
      <x:c r="V964" t="str">
        <x:v>Pasted text(56).txt</x:v>
      </x:c>
    </x:row>
    <x:row r="965">
      <x:c r="A965" t="str">
        <x:v>S10</x:v>
      </x:c>
      <x:c r="B965" t="str">
        <x:v>0.89 repeat-confirmation session</x:v>
      </x:c>
      <x:c r="C965" s="54" t="n">
        <x:v>0.89</x:v>
      </x:c>
      <x:c r="D965" t="n">
        <x:v>4</x:v>
      </x:c>
      <x:c r="E965" t="n">
        <x:v>2</x:v>
      </x:c>
      <x:c r="F965" t="str">
        <x:v>SEARCH</x:v>
      </x:c>
      <x:c r="G965" t="n">
        <x:v>2</x:v>
      </x:c>
      <x:c r="H965" s="54" t="n">
        <x:v>3</x:v>
      </x:c>
      <x:c r="I965" s="54" t="n">
        <x:v>0.15817</x:v>
      </x:c>
      <x:c r="J965" s="54" t="n">
        <x:v>0.1598</x:v>
      </x:c>
      <x:c r="K965" s="54" t="n">
        <x:v>0.05584</x:v>
      </x:c>
      <x:c r="L965" s="54" t="n">
        <x:v>0.10727</x:v>
      </x:c>
      <x:c r="M965" s="54" t="n">
        <x:v>0.20235</x:v>
      </x:c>
      <x:c r="N965" s="56" t="n">
        <x:v>-82.23</x:v>
      </x:c>
      <x:c r="O965" s="56" t="n">
        <x:v>3.06</x:v>
      </x:c>
      <x:c r="P965" s="56" t="n">
        <x:v>1.44</x:v>
      </x:c>
      <x:c r="Q965" s="56" t="n">
        <x:v>64</x:v>
      </x:c>
      <x:c r="R965" t="str">
        <x:v>X</x:v>
      </x:c>
      <x:c r="S965" s="102" t="n">
        <x:v>100</x:v>
      </x:c>
      <x:c r="T965" t="str">
        <x:v>VALID</x:v>
      </x:c>
      <x:c r="U965" t="n">
        <x:v>3859</x:v>
      </x:c>
      <x:c r="V965" t="str">
        <x:v>Pasted text(56).txt</x:v>
      </x:c>
    </x:row>
    <x:row r="966">
      <x:c r="A966" t="str">
        <x:v>S10</x:v>
      </x:c>
      <x:c r="B966" t="str">
        <x:v>0.89 repeat-confirmation session</x:v>
      </x:c>
      <x:c r="C966" s="54" t="n">
        <x:v>0.89</x:v>
      </x:c>
      <x:c r="D966" t="n">
        <x:v>4</x:v>
      </x:c>
      <x:c r="E966" t="n">
        <x:v>2</x:v>
      </x:c>
      <x:c r="F966" t="str">
        <x:v>SEARCH</x:v>
      </x:c>
      <x:c r="G966" t="n">
        <x:v>3</x:v>
      </x:c>
      <x:c r="H966" s="54" t="n">
        <x:v>5</x:v>
      </x:c>
      <x:c r="I966" s="54" t="n">
        <x:v>0.34964</x:v>
      </x:c>
      <x:c r="J966" s="54" t="n">
        <x:v>0.34468</x:v>
      </x:c>
      <x:c r="K966" s="54" t="n">
        <x:v>0.10326</x:v>
      </x:c>
      <x:c r="L966" s="54" t="n">
        <x:v>0.18752</x:v>
      </x:c>
      <x:c r="M966" s="54" t="n">
        <x:v>0.40613</x:v>
      </x:c>
      <x:c r="N966" s="56" t="n">
        <x:v>-60.71</x:v>
      </x:c>
      <x:c r="O966" s="56" t="n">
        <x:v>0.88</x:v>
      </x:c>
      <x:c r="P966" s="56" t="n">
        <x:v>3.03</x:v>
      </x:c>
      <x:c r="Q966" s="56" t="n">
        <x:v>81.8</x:v>
      </x:c>
      <x:c r="R966" t="str">
        <x:v>X</x:v>
      </x:c>
      <x:c r="S966" s="102" t="n">
        <x:v>100</x:v>
      </x:c>
      <x:c r="T966" t="str">
        <x:v>VALID</x:v>
      </x:c>
      <x:c r="U966" t="n">
        <x:v>3860</x:v>
      </x:c>
      <x:c r="V966" t="str">
        <x:v>Pasted text(56).txt</x:v>
      </x:c>
    </x:row>
    <x:row r="967">
      <x:c r="A967" t="str">
        <x:v>S10</x:v>
      </x:c>
      <x:c r="B967" t="str">
        <x:v>0.89 repeat-confirmation session</x:v>
      </x:c>
      <x:c r="C967" s="54" t="n">
        <x:v>0.89</x:v>
      </x:c>
      <x:c r="D967" t="n">
        <x:v>4</x:v>
      </x:c>
      <x:c r="E967" t="n">
        <x:v>2</x:v>
      </x:c>
      <x:c r="F967" t="str">
        <x:v>SEARCH</x:v>
      </x:c>
      <x:c r="G967" t="n">
        <x:v>4</x:v>
      </x:c>
      <x:c r="H967" s="54" t="n">
        <x:v>6</x:v>
      </x:c>
      <x:c r="I967" s="54" t="n">
        <x:v>0.43791</x:v>
      </x:c>
      <x:c r="J967" s="54" t="n">
        <x:v>0.44256</x:v>
      </x:c>
      <x:c r="K967" s="54" t="n">
        <x:v>0.1292</x:v>
      </x:c>
      <x:c r="L967" s="54" t="n">
        <x:v>0.23791</x:v>
      </x:c>
      <x:c r="M967" s="54" t="n">
        <x:v>0.51909</x:v>
      </x:c>
      <x:c r="N967" s="56" t="n">
        <x:v>-50.8</x:v>
      </x:c>
      <x:c r="O967" s="56" t="n">
        <x:v>2.45</x:v>
      </x:c>
      <x:c r="P967" s="56" t="n">
        <x:v>3.34</x:v>
      </x:c>
      <x:c r="Q967" s="56" t="n">
        <x:v>85.2</x:v>
      </x:c>
      <x:c r="R967" t="str">
        <x:v>X</x:v>
      </x:c>
      <x:c r="S967" s="102" t="n">
        <x:v>100</x:v>
      </x:c>
      <x:c r="T967" t="str">
        <x:v>VALID</x:v>
      </x:c>
      <x:c r="U967" t="n">
        <x:v>3861</x:v>
      </x:c>
      <x:c r="V967" t="str">
        <x:v>Pasted text(56).txt</x:v>
      </x:c>
    </x:row>
    <x:row r="968">
      <x:c r="A968" t="str">
        <x:v>S10</x:v>
      </x:c>
      <x:c r="B968" t="str">
        <x:v>0.89 repeat-confirmation session</x:v>
      </x:c>
      <x:c r="C968" s="54" t="n">
        <x:v>0.89</x:v>
      </x:c>
      <x:c r="D968" t="n">
        <x:v>4</x:v>
      </x:c>
      <x:c r="E968" t="n">
        <x:v>2</x:v>
      </x:c>
      <x:c r="F968" t="str">
        <x:v>SEARCH</x:v>
      </x:c>
      <x:c r="G968" t="n">
        <x:v>5</x:v>
      </x:c>
      <x:c r="H968" s="54" t="n">
        <x:v>7</x:v>
      </x:c>
      <x:c r="I968" s="54" t="n">
        <x:v>0.56534</x:v>
      </x:c>
      <x:c r="J968" s="54" t="n">
        <x:v>0.56133</x:v>
      </x:c>
      <x:c r="K968" s="54" t="n">
        <x:v>0.16408</x:v>
      </x:c>
      <x:c r="L968" s="54" t="n">
        <x:v>0.2819</x:v>
      </x:c>
      <x:c r="M968" s="54" t="n">
        <x:v>0.6494</x:v>
      </x:c>
      <x:c r="N968" s="56" t="n">
        <x:v>-36.48</x:v>
      </x:c>
      <x:c r="O968" s="56" t="n">
        <x:v>1.48</x:v>
      </x:c>
      <x:c r="P968" s="56" t="n">
        <x:v>2.17</x:v>
      </x:c>
      <x:c r="Q968" s="56" t="n">
        <x:v>89.9</x:v>
      </x:c>
      <x:c r="R968" t="str">
        <x:v>X</x:v>
      </x:c>
      <x:c r="S968" s="102" t="n">
        <x:v>100</x:v>
      </x:c>
      <x:c r="T968" t="str">
        <x:v>VALID</x:v>
      </x:c>
      <x:c r="U968" t="n">
        <x:v>3862</x:v>
      </x:c>
      <x:c r="V968" t="str">
        <x:v>Pasted text(56).txt</x:v>
      </x:c>
    </x:row>
    <x:row r="969">
      <x:c r="A969" t="str">
        <x:v>S10</x:v>
      </x:c>
      <x:c r="B969" t="str">
        <x:v>0.89 repeat-confirmation session</x:v>
      </x:c>
      <x:c r="C969" s="54" t="n">
        <x:v>0.89</x:v>
      </x:c>
      <x:c r="D969" t="n">
        <x:v>4</x:v>
      </x:c>
      <x:c r="E969" t="n">
        <x:v>2</x:v>
      </x:c>
      <x:c r="F969" t="str">
        <x:v>SEARCH</x:v>
      </x:c>
      <x:c r="G969" t="n">
        <x:v>6</x:v>
      </x:c>
      <x:c r="H969" s="54" t="n">
        <x:v>7.5</x:v>
      </x:c>
      <x:c r="I969" s="54" t="n">
        <x:v>0.58923</x:v>
      </x:c>
      <x:c r="J969" s="54" t="n">
        <x:v>0.5874</x:v>
      </x:c>
      <x:c r="K969" s="54" t="n">
        <x:v>0.1687</x:v>
      </x:c>
      <x:c r="L969" s="54" t="n">
        <x:v>0.28973</x:v>
      </x:c>
      <x:c r="M969" s="54" t="n">
        <x:v>0.67681</x:v>
      </x:c>
      <x:c r="N969" s="56" t="n">
        <x:v>-33.79</x:v>
      </x:c>
      <x:c r="O969" s="56" t="n">
        <x:v>0.7</x:v>
      </x:c>
      <x:c r="P969" s="56" t="n">
        <x:v>0.98</x:v>
      </x:c>
      <x:c r="Q969" s="56" t="n">
        <x:v>88.9</x:v>
      </x:c>
      <x:c r="R969" t="str">
        <x:v>X</x:v>
      </x:c>
      <x:c r="S969" s="102" t="n">
        <x:v>100</x:v>
      </x:c>
      <x:c r="T969" t="str">
        <x:v>VALID</x:v>
      </x:c>
      <x:c r="U969" t="n">
        <x:v>3863</x:v>
      </x:c>
      <x:c r="V969" t="str">
        <x:v>Pasted text(56).txt</x:v>
      </x:c>
    </x:row>
    <x:row r="970">
      <x:c r="A970" t="str">
        <x:v>S10</x:v>
      </x:c>
      <x:c r="B970" t="str">
        <x:v>0.89 repeat-confirmation session</x:v>
      </x:c>
      <x:c r="C970" s="54" t="n">
        <x:v>0.89</x:v>
      </x:c>
      <x:c r="D970" t="n">
        <x:v>4</x:v>
      </x:c>
      <x:c r="E970" t="n">
        <x:v>2</x:v>
      </x:c>
      <x:c r="F970" t="str">
        <x:v>SEARCH</x:v>
      </x:c>
      <x:c r="G970" t="n">
        <x:v>7</x:v>
      </x:c>
      <x:c r="H970" s="54" t="n">
        <x:v>8</x:v>
      </x:c>
      <x:c r="I970" s="54" t="n">
        <x:v>0.67683</x:v>
      </x:c>
      <x:c r="J970" s="54" t="n">
        <x:v>0.67497</x:v>
      </x:c>
      <x:c r="K970" s="54" t="n">
        <x:v>0.18588</x:v>
      </x:c>
      <x:c r="L970" s="54" t="n">
        <x:v>0.31905</x:v>
      </x:c>
      <x:c r="M970" s="54" t="n">
        <x:v>0.76985</x:v>
      </x:c>
      <x:c r="N970" s="56" t="n">
        <x:v>-23.95</x:v>
      </x:c>
      <x:c r="O970" s="56" t="n">
        <x:v>0.36</x:v>
      </x:c>
      <x:c r="P970" s="56" t="n">
        <x:v>0.7</x:v>
      </x:c>
      <x:c r="Q970" s="56" t="n">
        <x:v>92.2</x:v>
      </x:c>
      <x:c r="R970" t="str">
        <x:v>X</x:v>
      </x:c>
      <x:c r="S970" s="102" t="n">
        <x:v>100</x:v>
      </x:c>
      <x:c r="T970" t="str">
        <x:v>VALID</x:v>
      </x:c>
      <x:c r="U970" t="n">
        <x:v>3864</x:v>
      </x:c>
      <x:c r="V970" t="str">
        <x:v>Pasted text(56).txt</x:v>
      </x:c>
    </x:row>
    <x:row r="971">
      <x:c r="A971" t="str">
        <x:v>S10</x:v>
      </x:c>
      <x:c r="B971" t="str">
        <x:v>0.89 repeat-confirmation session</x:v>
      </x:c>
      <x:c r="C971" s="54" t="n">
        <x:v>0.89</x:v>
      </x:c>
      <x:c r="D971" t="n">
        <x:v>4</x:v>
      </x:c>
      <x:c r="E971" t="n">
        <x:v>2</x:v>
      </x:c>
      <x:c r="F971" t="str">
        <x:v>SEARCH</x:v>
      </x:c>
      <x:c r="G971" t="n">
        <x:v>8</x:v>
      </x:c>
      <x:c r="H971" s="54" t="n">
        <x:v>8.5</x:v>
      </x:c>
      <x:c r="I971" s="54" t="n">
        <x:v>0.70079</x:v>
      </x:c>
      <x:c r="J971" s="54" t="n">
        <x:v>0.69989</x:v>
      </x:c>
      <x:c r="K971" s="54" t="n">
        <x:v>0.18356</x:v>
      </x:c>
      <x:c r="L971" s="54" t="n">
        <x:v>0.32961</x:v>
      </x:c>
      <x:c r="M971" s="54" t="n">
        <x:v>0.79554</x:v>
      </x:c>
      <x:c r="N971" s="56" t="n">
        <x:v>-21.26</x:v>
      </x:c>
      <x:c r="O971" s="56" t="n">
        <x:v>1.31</x:v>
      </x:c>
      <x:c r="P971" s="56" t="n">
        <x:v>1.09</x:v>
      </x:c>
      <x:c r="Q971" s="56" t="n">
        <x:v>90.6</x:v>
      </x:c>
      <x:c r="R971" t="str">
        <x:v>X</x:v>
      </x:c>
      <x:c r="S971" s="102" t="n">
        <x:v>100</x:v>
      </x:c>
      <x:c r="T971" t="str">
        <x:v>VALID</x:v>
      </x:c>
      <x:c r="U971" t="n">
        <x:v>3865</x:v>
      </x:c>
      <x:c r="V971" t="str">
        <x:v>Pasted text(56).txt</x:v>
      </x:c>
    </x:row>
    <x:row r="972">
      <x:c r="A972" t="str">
        <x:v>S10</x:v>
      </x:c>
      <x:c r="B972" t="str">
        <x:v>0.89 repeat-confirmation session</x:v>
      </x:c>
      <x:c r="C972" s="54" t="n">
        <x:v>0.89</x:v>
      </x:c>
      <x:c r="D972" t="n">
        <x:v>4</x:v>
      </x:c>
      <x:c r="E972" t="n">
        <x:v>2</x:v>
      </x:c>
      <x:c r="F972" t="str">
        <x:v>SEARCH</x:v>
      </x:c>
      <x:c r="G972" t="n">
        <x:v>9</x:v>
      </x:c>
      <x:c r="H972" s="54" t="n">
        <x:v>9</x:v>
      </x:c>
      <x:c r="I972" s="54" t="n">
        <x:v>0.76499</x:v>
      </x:c>
      <x:c r="J972" s="54" t="n">
        <x:v>0.76561</x:v>
      </x:c>
      <x:c r="K972" s="54" t="n">
        <x:v>0.20117</x:v>
      </x:c>
      <x:c r="L972" s="54" t="n">
        <x:v>0.34979</x:v>
      </x:c>
      <x:c r="M972" s="54" t="n">
        <x:v>0.86555</x:v>
      </x:c>
      <x:c r="N972" s="56" t="n">
        <x:v>-14.05</x:v>
      </x:c>
      <x:c r="O972" s="56" t="n">
        <x:v>0</x:v>
      </x:c>
      <x:c r="P972" s="56" t="n">
        <x:v>0.14</x:v>
      </x:c>
      <x:c r="Q972" s="56" t="n">
        <x:v>92</x:v>
      </x:c>
      <x:c r="R972" t="str">
        <x:v>X</x:v>
      </x:c>
      <x:c r="S972" s="102" t="n">
        <x:v>100</x:v>
      </x:c>
      <x:c r="T972" t="str">
        <x:v>VALID</x:v>
      </x:c>
      <x:c r="U972" t="n">
        <x:v>3866</x:v>
      </x:c>
      <x:c r="V972" t="str">
        <x:v>Pasted text(56).txt</x:v>
      </x:c>
    </x:row>
    <x:row r="973">
      <x:c r="A973" t="str">
        <x:v>S10</x:v>
      </x:c>
      <x:c r="B973" t="str">
        <x:v>0.89 repeat-confirmation session</x:v>
      </x:c>
      <x:c r="C973" s="54" t="n">
        <x:v>0.89</x:v>
      </x:c>
      <x:c r="D973" t="n">
        <x:v>4</x:v>
      </x:c>
      <x:c r="E973" t="n">
        <x:v>2</x:v>
      </x:c>
      <x:c r="F973" t="str">
        <x:v>SEARCH</x:v>
      </x:c>
      <x:c r="G973" t="n">
        <x:v>10</x:v>
      </x:c>
      <x:c r="H973" s="54" t="n">
        <x:v>9.25</x:v>
      </x:c>
      <x:c r="I973" s="54" t="n">
        <x:v>0.80457</x:v>
      </x:c>
      <x:c r="J973" s="54" t="n">
        <x:v>0.80281</x:v>
      </x:c>
      <x:c r="K973" s="54" t="n">
        <x:v>0.22459</x:v>
      </x:c>
      <x:c r="L973" s="54" t="n">
        <x:v>0.36635</x:v>
      </x:c>
      <x:c r="M973" s="54" t="n">
        <x:v>0.91084</x:v>
      </x:c>
      <x:c r="N973" s="56" t="n">
        <x:v>-9.6</x:v>
      </x:c>
      <x:c r="O973" s="56" t="n">
        <x:v>1.26</x:v>
      </x:c>
      <x:c r="P973" s="56" t="n">
        <x:v>1.2</x:v>
      </x:c>
      <x:c r="Q973" s="56" t="n">
        <x:v>92</x:v>
      </x:c>
      <x:c r="R973" t="str">
        <x:v>X</x:v>
      </x:c>
      <x:c r="S973" s="102" t="n">
        <x:v>100</x:v>
      </x:c>
      <x:c r="T973" t="str">
        <x:v>VALID</x:v>
      </x:c>
      <x:c r="U973" t="n">
        <x:v>3867</x:v>
      </x:c>
      <x:c r="V973" t="str">
        <x:v>Pasted text(56).txt</x:v>
      </x:c>
    </x:row>
    <x:row r="974">
      <x:c r="A974" t="str">
        <x:v>S10</x:v>
      </x:c>
      <x:c r="B974" t="str">
        <x:v>0.89 repeat-confirmation session</x:v>
      </x:c>
      <x:c r="C974" s="54" t="n">
        <x:v>0.89</x:v>
      </x:c>
      <x:c r="D974" t="n">
        <x:v>4</x:v>
      </x:c>
      <x:c r="E974" t="n">
        <x:v>2</x:v>
      </x:c>
      <x:c r="F974" t="str">
        <x:v>SEARCH</x:v>
      </x:c>
      <x:c r="G974" t="n">
        <x:v>11</x:v>
      </x:c>
      <x:c r="H974" s="54" t="n">
        <x:v>9.5</x:v>
      </x:c>
      <x:c r="I974" s="54" t="n">
        <x:v>0.80581</x:v>
      </x:c>
      <x:c r="J974" s="54" t="n">
        <x:v>0.8022</x:v>
      </x:c>
      <x:c r="K974" s="54" t="n">
        <x:v>0.20971</x:v>
      </x:c>
      <x:c r="L974" s="54" t="n">
        <x:v>0.35886</x:v>
      </x:c>
      <x:c r="M974" s="54" t="n">
        <x:v>0.90358</x:v>
      </x:c>
      <x:c r="N974" s="56" t="n">
        <x:v>-9.46</x:v>
      </x:c>
      <x:c r="O974" s="56" t="n">
        <x:v>0.09</x:v>
      </x:c>
      <x:c r="P974" s="56" t="n">
        <x:v>0.84</x:v>
      </x:c>
      <x:c r="Q974" s="56" t="n">
        <x:v>91.2</x:v>
      </x:c>
      <x:c r="R974" t="str">
        <x:v>X</x:v>
      </x:c>
      <x:c r="S974" s="102" t="n">
        <x:v>100</x:v>
      </x:c>
      <x:c r="T974" t="str">
        <x:v>VALID</x:v>
      </x:c>
      <x:c r="U974" t="n">
        <x:v>3868</x:v>
      </x:c>
      <x:c r="V974" t="str">
        <x:v>Pasted text(56).txt</x:v>
      </x:c>
    </x:row>
    <x:row r="975">
      <x:c r="A975" t="str">
        <x:v>S10</x:v>
      </x:c>
      <x:c r="B975" t="str">
        <x:v>0.89 repeat-confirmation session</x:v>
      </x:c>
      <x:c r="C975" s="54" t="n">
        <x:v>0.89</x:v>
      </x:c>
      <x:c r="D975" t="n">
        <x:v>4</x:v>
      </x:c>
      <x:c r="E975" t="n">
        <x:v>2</x:v>
      </x:c>
      <x:c r="F975" t="str">
        <x:v>SEARCH</x:v>
      </x:c>
      <x:c r="G975" t="n">
        <x:v>12</x:v>
      </x:c>
      <x:c r="H975" s="54" t="n">
        <x:v>9.75</x:v>
      </x:c>
      <x:c r="I975" s="54" t="n">
        <x:v>0.87711</x:v>
      </x:c>
      <x:c r="J975" s="54" t="n">
        <x:v>0.87239</x:v>
      </x:c>
      <x:c r="K975" s="54" t="n">
        <x:v>0.2296</x:v>
      </x:c>
      <x:c r="L975" s="54" t="n">
        <x:v>0.3809</x:v>
      </x:c>
      <x:c r="M975" s="54" t="n">
        <x:v>0.97981</x:v>
      </x:c>
      <x:c r="N975" s="56" t="n">
        <x:v>-1.45</x:v>
      </x:c>
      <x:c r="O975" s="56" t="n">
        <x:v>1.53</x:v>
      </x:c>
      <x:c r="P975" s="56" t="n">
        <x:v>1.91</x:v>
      </x:c>
      <x:c r="Q975" s="56" t="n">
        <x:v>92.8</x:v>
      </x:c>
      <x:c r="R975" t="str">
        <x:v>X</x:v>
      </x:c>
      <x:c r="S975" s="102" t="n">
        <x:v>100</x:v>
      </x:c>
      <x:c r="T975" t="str">
        <x:v>IN TARGET BAND</x:v>
      </x:c>
      <x:c r="U975" t="n">
        <x:v>3869</x:v>
      </x:c>
      <x:c r="V975" t="str">
        <x:v>Pasted text(56).txt</x:v>
      </x:c>
    </x:row>
    <x:row r="976">
      <x:c r="A976" t="str">
        <x:v>S10</x:v>
      </x:c>
      <x:c r="B976" t="str">
        <x:v>0.89 repeat-confirmation session</x:v>
      </x:c>
      <x:c r="C976" s="54" t="n">
        <x:v>0.89</x:v>
      </x:c>
      <x:c r="D976" t="n">
        <x:v>4</x:v>
      </x:c>
      <x:c r="E976" t="n">
        <x:v>2</x:v>
      </x:c>
      <x:c r="F976" t="str">
        <x:v>FINE</x:v>
      </x:c>
      <x:c r="G976" t="n">
        <x:v>1</x:v>
      </x:c>
      <x:c r="H976" s="54" t="n">
        <x:v>8.75</x:v>
      </x:c>
      <x:c r="I976" s="54" t="n">
        <x:v>0.75032</x:v>
      </x:c>
      <x:c r="J976" s="54" t="n">
        <x:v>0.75227</x:v>
      </x:c>
      <x:c r="K976" s="54" t="n">
        <x:v>0.20452</x:v>
      </x:c>
      <x:c r="L976" s="54" t="n">
        <x:v>0.3484</x:v>
      </x:c>
      <x:c r="M976" s="54" t="n">
        <x:v>0.85414</x:v>
      </x:c>
      <x:c r="N976" s="56" t="n">
        <x:v>-15.69</x:v>
      </x:c>
      <x:c r="O976" s="56" t="n">
        <x:v>0.93</x:v>
      </x:c>
      <x:c r="P976" s="56" t="n">
        <x:v>1.04</x:v>
      </x:c>
      <x:c r="Q976" s="56" t="n">
        <x:v>92.8</x:v>
      </x:c>
      <x:c r="R976" t="str">
        <x:v>X</x:v>
      </x:c>
      <x:c r="S976" s="102" t="n">
        <x:v>100</x:v>
      </x:c>
      <x:c r="T976" t="str">
        <x:v>VALID</x:v>
      </x:c>
      <x:c r="U976" t="n">
        <x:v>3873</x:v>
      </x:c>
      <x:c r="V976" t="str">
        <x:v>Pasted text(56).txt</x:v>
      </x:c>
    </x:row>
    <x:row r="977">
      <x:c r="A977" t="str">
        <x:v>S10</x:v>
      </x:c>
      <x:c r="B977" t="str">
        <x:v>0.89 repeat-confirmation session</x:v>
      </x:c>
      <x:c r="C977" s="54" t="n">
        <x:v>0.89</x:v>
      </x:c>
      <x:c r="D977" t="n">
        <x:v>4</x:v>
      </x:c>
      <x:c r="E977" t="n">
        <x:v>2</x:v>
      </x:c>
      <x:c r="F977" t="str">
        <x:v>FINE</x:v>
      </x:c>
      <x:c r="G977" t="n">
        <x:v>2</x:v>
      </x:c>
      <x:c r="H977" s="54" t="n">
        <x:v>9</x:v>
      </x:c>
      <x:c r="I977" s="54" t="n">
        <x:v>0.76878</x:v>
      </x:c>
      <x:c r="J977" s="54" t="n">
        <x:v>0.76699</x:v>
      </x:c>
      <x:c r="K977" s="54" t="n">
        <x:v>0.21398</x:v>
      </x:c>
      <x:c r="L977" s="54" t="n">
        <x:v>0.36698</x:v>
      </x:c>
      <x:c r="M977" s="54" t="n">
        <x:v>0.87715</x:v>
      </x:c>
      <x:c r="N977" s="56" t="n">
        <x:v>-13.62</x:v>
      </x:c>
      <x:c r="O977" s="56" t="n">
        <x:v>3.11</x:v>
      </x:c>
      <x:c r="P977" s="56" t="n">
        <x:v>2.46</x:v>
      </x:c>
      <x:c r="Q977" s="56" t="n">
        <x:v>91.1</x:v>
      </x:c>
      <x:c r="R977" t="str">
        <x:v>X</x:v>
      </x:c>
      <x:c r="S977" s="102" t="n">
        <x:v>100</x:v>
      </x:c>
      <x:c r="T977" t="str">
        <x:v>VALID</x:v>
      </x:c>
      <x:c r="U977" t="n">
        <x:v>3874</x:v>
      </x:c>
      <x:c r="V977" t="str">
        <x:v>Pasted text(56).txt</x:v>
      </x:c>
    </x:row>
    <x:row r="978">
      <x:c r="A978" t="str">
        <x:v>S10</x:v>
      </x:c>
      <x:c r="B978" t="str">
        <x:v>0.89 repeat-confirmation session</x:v>
      </x:c>
      <x:c r="C978" s="54" t="n">
        <x:v>0.89</x:v>
      </x:c>
      <x:c r="D978" t="n">
        <x:v>4</x:v>
      </x:c>
      <x:c r="E978" t="n">
        <x:v>2</x:v>
      </x:c>
      <x:c r="F978" t="str">
        <x:v>FINE</x:v>
      </x:c>
      <x:c r="G978" t="n">
        <x:v>3</x:v>
      </x:c>
      <x:c r="H978" s="54" t="n">
        <x:v>9.25</x:v>
      </x:c>
      <x:c r="I978" s="54" t="n">
        <x:v>0.80434</x:v>
      </x:c>
      <x:c r="J978" s="54" t="n">
        <x:v>0.80838</x:v>
      </x:c>
      <x:c r="K978" s="54" t="n">
        <x:v>0.21443</x:v>
      </x:c>
      <x:c r="L978" s="54" t="n">
        <x:v>0.35706</x:v>
      </x:c>
      <x:c r="M978" s="54" t="n">
        <x:v>0.90991</x:v>
      </x:c>
      <x:c r="N978" s="56" t="n">
        <x:v>-9.62</x:v>
      </x:c>
      <x:c r="O978" s="56" t="n">
        <x:v>1.17</x:v>
      </x:c>
      <x:c r="P978" s="56" t="n">
        <x:v>1.59</x:v>
      </x:c>
      <x:c r="Q978" s="56" t="n">
        <x:v>92.1</x:v>
      </x:c>
      <x:c r="R978" t="str">
        <x:v>X</x:v>
      </x:c>
      <x:c r="S978" s="102" t="n">
        <x:v>100</x:v>
      </x:c>
      <x:c r="T978" t="str">
        <x:v>VALID</x:v>
      </x:c>
      <x:c r="U978" t="n">
        <x:v>3875</x:v>
      </x:c>
      <x:c r="V978" t="str">
        <x:v>Pasted text(56).txt</x:v>
      </x:c>
    </x:row>
    <x:row r="979">
      <x:c r="A979" t="str">
        <x:v>S10</x:v>
      </x:c>
      <x:c r="B979" t="str">
        <x:v>0.89 repeat-confirmation session</x:v>
      </x:c>
      <x:c r="C979" s="54" t="n">
        <x:v>0.89</x:v>
      </x:c>
      <x:c r="D979" t="n">
        <x:v>4</x:v>
      </x:c>
      <x:c r="E979" t="n">
        <x:v>2</x:v>
      </x:c>
      <x:c r="F979" t="str">
        <x:v>FINE</x:v>
      </x:c>
      <x:c r="G979" t="n">
        <x:v>4</x:v>
      </x:c>
      <x:c r="H979" s="54" t="n">
        <x:v>9.5</x:v>
      </x:c>
      <x:c r="I979" s="54" t="n">
        <x:v>0.80954</x:v>
      </x:c>
      <x:c r="J979" s="54" t="n">
        <x:v>0.80752</x:v>
      </x:c>
      <x:c r="K979" s="54" t="n">
        <x:v>0.22975</x:v>
      </x:c>
      <x:c r="L979" s="54" t="n">
        <x:v>0.35756</x:v>
      </x:c>
      <x:c r="M979" s="54" t="n">
        <x:v>0.91287</x:v>
      </x:c>
      <x:c r="N979" s="56" t="n">
        <x:v>-9.04</x:v>
      </x:c>
      <x:c r="O979" s="56" t="n">
        <x:v>1.04</x:v>
      </x:c>
      <x:c r="P979" s="56" t="n">
        <x:v>1.1</x:v>
      </x:c>
      <x:c r="Q979" s="56" t="n">
        <x:v>92.8</x:v>
      </x:c>
      <x:c r="R979" t="str">
        <x:v>X</x:v>
      </x:c>
      <x:c r="S979" s="102" t="n">
        <x:v>100</x:v>
      </x:c>
      <x:c r="T979" t="str">
        <x:v>VALID</x:v>
      </x:c>
      <x:c r="U979" t="n">
        <x:v>3876</x:v>
      </x:c>
      <x:c r="V979" t="str">
        <x:v>Pasted text(56).txt</x:v>
      </x:c>
    </x:row>
    <x:row r="980">
      <x:c r="A980" t="str">
        <x:v>S10</x:v>
      </x:c>
      <x:c r="B980" t="str">
        <x:v>0.89 repeat-confirmation session</x:v>
      </x:c>
      <x:c r="C980" s="54" t="n">
        <x:v>0.89</x:v>
      </x:c>
      <x:c r="D980" t="n">
        <x:v>4</x:v>
      </x:c>
      <x:c r="E980" t="n">
        <x:v>2</x:v>
      </x:c>
      <x:c r="F980" t="str">
        <x:v>FINE</x:v>
      </x:c>
      <x:c r="G980" t="n">
        <x:v>5</x:v>
      </x:c>
      <x:c r="H980" s="54" t="n">
        <x:v>9.75</x:v>
      </x:c>
      <x:c r="I980" s="54" t="n">
        <x:v>0.84695</x:v>
      </x:c>
      <x:c r="J980" s="54" t="n">
        <x:v>0.8453</x:v>
      </x:c>
      <x:c r="K980" s="54" t="n">
        <x:v>0.21767</x:v>
      </x:c>
      <x:c r="L980" s="54" t="n">
        <x:v>0.42359</x:v>
      </x:c>
      <x:c r="M980" s="54" t="n">
        <x:v>0.97039</x:v>
      </x:c>
      <x:c r="N980" s="56" t="n">
        <x:v>-4.84</x:v>
      </x:c>
      <x:c r="O980" s="56" t="n">
        <x:v>0.12</x:v>
      </x:c>
      <x:c r="P980" s="56" t="n">
        <x:v>0.41</x:v>
      </x:c>
      <x:c r="Q980" s="56" t="n">
        <x:v>92.5</x:v>
      </x:c>
      <x:c r="R980" t="str">
        <x:v>X</x:v>
      </x:c>
      <x:c r="S980" s="102" t="n">
        <x:v>100</x:v>
      </x:c>
      <x:c r="T980" t="str">
        <x:v>IN TARGET BAND</x:v>
      </x:c>
      <x:c r="U980" t="n">
        <x:v>3877</x:v>
      </x:c>
      <x:c r="V980" t="str">
        <x:v>Pasted text(56).txt</x:v>
      </x:c>
    </x:row>
    <x:row r="981">
      <x:c r="A981" t="str">
        <x:v>S10</x:v>
      </x:c>
      <x:c r="B981" t="str">
        <x:v>0.89 repeat-confirmation session</x:v>
      </x:c>
      <x:c r="C981" s="54" t="n">
        <x:v>0.89</x:v>
      </x:c>
      <x:c r="D981" t="n">
        <x:v>4</x:v>
      </x:c>
      <x:c r="E981" t="n">
        <x:v>2</x:v>
      </x:c>
      <x:c r="F981" t="str">
        <x:v>FINE</x:v>
      </x:c>
      <x:c r="G981" t="n">
        <x:v>6</x:v>
      </x:c>
      <x:c r="H981" s="54" t="n">
        <x:v>10</x:v>
      </x:c>
      <x:c r="I981" s="54" t="n">
        <x:v>0.87324</x:v>
      </x:c>
      <x:c r="J981" s="54" t="n">
        <x:v>0.87631</x:v>
      </x:c>
      <x:c r="K981" s="54" t="n">
        <x:v>0.23184</x:v>
      </x:c>
      <x:c r="L981" s="54" t="n">
        <x:v>0.39609</x:v>
      </x:c>
      <x:c r="M981" s="54" t="n">
        <x:v>0.98956</x:v>
      </x:c>
      <x:c r="N981" s="56" t="n">
        <x:v>-1.88</x:v>
      </x:c>
      <x:c r="O981" s="56" t="n">
        <x:v>0.25</x:v>
      </x:c>
      <x:c r="P981" s="56" t="n">
        <x:v>0.76</x:v>
      </x:c>
      <x:c r="Q981" s="56" t="n">
        <x:v>92.1</x:v>
      </x:c>
      <x:c r="R981" t="str">
        <x:v>X</x:v>
      </x:c>
      <x:c r="S981" s="102" t="n">
        <x:v>100</x:v>
      </x:c>
      <x:c r="T981" t="str">
        <x:v>IN TARGET BAND</x:v>
      </x:c>
      <x:c r="U981" t="n">
        <x:v>3878</x:v>
      </x:c>
      <x:c r="V981" t="str">
        <x:v>Pasted text(56).txt</x:v>
      </x:c>
    </x:row>
    <x:row r="982">
      <x:c r="A982" t="str">
        <x:v>S10</x:v>
      </x:c>
      <x:c r="B982" t="str">
        <x:v>0.89 repeat-confirmation session</x:v>
      </x:c>
      <x:c r="C982" s="54" t="n">
        <x:v>0.89</x:v>
      </x:c>
      <x:c r="D982" t="n">
        <x:v>4</x:v>
      </x:c>
      <x:c r="E982" t="n">
        <x:v>2</x:v>
      </x:c>
      <x:c r="F982" t="str">
        <x:v>FINE</x:v>
      </x:c>
      <x:c r="G982" t="n">
        <x:v>7</x:v>
      </x:c>
      <x:c r="H982" s="54" t="n">
        <x:v>10.25</x:v>
      </x:c>
      <x:c r="I982" s="54" t="n">
        <x:v>0.91624</x:v>
      </x:c>
      <x:c r="J982" s="54" t="n">
        <x:v>0.90729</x:v>
      </x:c>
      <x:c r="K982" s="54" t="n">
        <x:v>0.25428</x:v>
      </x:c>
      <x:c r="L982" s="54" t="n">
        <x:v>0.4022</x:v>
      </x:c>
      <x:c r="M982" s="54" t="n">
        <x:v>1.02488</x:v>
      </x:c>
      <x:c r="N982" s="56" t="n">
        <x:v>2.95</x:v>
      </x:c>
      <x:c r="O982" s="56" t="n">
        <x:v>0.28</x:v>
      </x:c>
      <x:c r="P982" s="56" t="n">
        <x:v>1.88</x:v>
      </x:c>
      <x:c r="Q982" s="56" t="n">
        <x:v>93</x:v>
      </x:c>
      <x:c r="R982" t="str">
        <x:v>X</x:v>
      </x:c>
      <x:c r="S982" s="102" t="n">
        <x:v>100</x:v>
      </x:c>
      <x:c r="T982" t="str">
        <x:v>IN TARGET BAND</x:v>
      </x:c>
      <x:c r="U982" t="n">
        <x:v>3879</x:v>
      </x:c>
      <x:c r="V982" t="str">
        <x:v>Pasted text(56).txt</x:v>
      </x:c>
    </x:row>
    <x:row r="983">
      <x:c r="A983" t="str">
        <x:v>S10</x:v>
      </x:c>
      <x:c r="B983" t="str">
        <x:v>0.89 repeat-confirmation session</x:v>
      </x:c>
      <x:c r="C983" s="54" t="n">
        <x:v>0.89</x:v>
      </x:c>
      <x:c r="D983" t="n">
        <x:v>4</x:v>
      </x:c>
      <x:c r="E983" t="n">
        <x:v>2</x:v>
      </x:c>
      <x:c r="F983" t="str">
        <x:v>FINE</x:v>
      </x:c>
      <x:c r="G983" t="n">
        <x:v>8</x:v>
      </x:c>
      <x:c r="H983" s="54" t="n">
        <x:v>10.5</x:v>
      </x:c>
      <x:c r="I983" s="54" t="n">
        <x:v>0.91875</x:v>
      </x:c>
      <x:c r="J983" s="54" t="n">
        <x:v>0.92208</x:v>
      </x:c>
      <x:c r="K983" s="54" t="n">
        <x:v>0.25397</x:v>
      </x:c>
      <x:c r="L983" s="54" t="n">
        <x:v>0.41348</x:v>
      </x:c>
      <x:c r="M983" s="54" t="n">
        <x:v>1.04231</x:v>
      </x:c>
      <x:c r="N983" s="56" t="n">
        <x:v>3.23</x:v>
      </x:c>
      <x:c r="O983" s="56" t="n">
        <x:v>0.36</x:v>
      </x:c>
      <x:c r="P983" s="56" t="n">
        <x:v>0.84</x:v>
      </x:c>
      <x:c r="Q983" s="56" t="n">
        <x:v>92.6</x:v>
      </x:c>
      <x:c r="R983" t="str">
        <x:v>X</x:v>
      </x:c>
      <x:c r="S983" s="102" t="n">
        <x:v>100</x:v>
      </x:c>
      <x:c r="T983" t="str">
        <x:v>IN TARGET BAND</x:v>
      </x:c>
      <x:c r="U983" t="n">
        <x:v>3880</x:v>
      </x:c>
      <x:c r="V983" t="str">
        <x:v>Pasted text(56).txt</x:v>
      </x:c>
    </x:row>
    <x:row r="984">
      <x:c r="A984" t="str">
        <x:v>S10</x:v>
      </x:c>
      <x:c r="B984" t="str">
        <x:v>0.89 repeat-confirmation session</x:v>
      </x:c>
      <x:c r="C984" s="54" t="n">
        <x:v>0.89</x:v>
      </x:c>
      <x:c r="D984" t="n">
        <x:v>4</x:v>
      </x:c>
      <x:c r="E984" t="n">
        <x:v>2</x:v>
      </x:c>
      <x:c r="F984" t="str">
        <x:v>FINE</x:v>
      </x:c>
      <x:c r="G984" t="n">
        <x:v>9</x:v>
      </x:c>
      <x:c r="H984" s="54" t="n">
        <x:v>10.75</x:v>
      </x:c>
      <x:c r="I984" s="54" t="n">
        <x:v>0.98583</x:v>
      </x:c>
      <x:c r="J984" s="54" t="n">
        <x:v>0.98449</x:v>
      </x:c>
      <x:c r="K984" s="54" t="n">
        <x:v>0.25878</x:v>
      </x:c>
      <x:c r="L984" s="54" t="n">
        <x:v>0.43467</x:v>
      </x:c>
      <x:c r="M984" s="54" t="n">
        <x:v>1.10709</x:v>
      </x:c>
      <x:c r="N984" s="56" t="n">
        <x:v>10.77</x:v>
      </x:c>
      <x:c r="O984" s="56" t="n">
        <x:v>2.89</x:v>
      </x:c>
      <x:c r="P984" s="56" t="n">
        <x:v>2.16</x:v>
      </x:c>
      <x:c r="Q984" s="56" t="n">
        <x:v>93.9</x:v>
      </x:c>
      <x:c r="R984" t="str">
        <x:v>X</x:v>
      </x:c>
      <x:c r="S984" s="102" t="n">
        <x:v>100</x:v>
      </x:c>
      <x:c r="T984" t="str">
        <x:v>VALID</x:v>
      </x:c>
      <x:c r="U984" t="n">
        <x:v>3881</x:v>
      </x:c>
      <x:c r="V984" t="str">
        <x:v>Pasted text(56).txt</x:v>
      </x:c>
    </x:row>
    <x:row r="985">
      <x:c r="A985" t="str">
        <x:v>S10</x:v>
      </x:c>
      <x:c r="B985" t="str">
        <x:v>0.89 repeat-confirmation session</x:v>
      </x:c>
      <x:c r="C985" s="54" t="n">
        <x:v>0.89</x:v>
      </x:c>
      <x:c r="D985" t="n">
        <x:v>4</x:v>
      </x:c>
      <x:c r="E985" t="n">
        <x:v>2</x:v>
      </x:c>
      <x:c r="F985" t="str">
        <x:v>FINAL</x:v>
      </x:c>
      <x:c r="G985" t="n">
        <x:v>1</x:v>
      </x:c>
      <x:c r="H985" s="54" t="n">
        <x:v>10</x:v>
      </x:c>
      <x:c r="I985" s="54" t="n">
        <x:v>0.87419</x:v>
      </x:c>
      <x:c r="J985" s="54" t="n">
        <x:v>0.87764</x:v>
      </x:c>
      <x:c r="K985" s="54" t="n">
        <x:v>0.23109</x:v>
      </x:c>
      <x:c r="L985" s="54" t="n">
        <x:v>0.39071</x:v>
      </x:c>
      <x:c r="M985" s="54" t="n">
        <x:v>0.98836</x:v>
      </x:c>
      <x:c r="N985" s="56" t="n">
        <x:v>-1.78</x:v>
      </x:c>
      <x:c r="O985" s="56" t="n">
        <x:v>2.77</x:v>
      </x:c>
      <x:c r="P985" s="56" t="n">
        <x:v>1.79</x:v>
      </x:c>
      <x:c r="Q985" s="56" t="n">
        <x:v>91.9</x:v>
      </x:c>
      <x:c r="R985" t="str">
        <x:v>X</x:v>
      </x:c>
      <x:c r="S985" s="102" t="n">
        <x:v>100</x:v>
      </x:c>
      <x:c r="T985" t="str">
        <x:v>IN TARGET BAND</x:v>
      </x:c>
      <x:c r="U985" t="n">
        <x:v>3884</x:v>
      </x:c>
      <x:c r="V985" t="str">
        <x:v>Pasted text(56).txt</x:v>
      </x:c>
    </x:row>
    <x:row r="986">
      <x:c r="A986" t="str">
        <x:v>S10</x:v>
      </x:c>
      <x:c r="B986" t="str">
        <x:v>0.89 repeat-confirmation session</x:v>
      </x:c>
      <x:c r="C986" s="54" t="n">
        <x:v>0.89</x:v>
      </x:c>
      <x:c r="D986" t="n">
        <x:v>4</x:v>
      </x:c>
      <x:c r="E986" t="n">
        <x:v>2</x:v>
      </x:c>
      <x:c r="F986" t="str">
        <x:v>FINAL</x:v>
      </x:c>
      <x:c r="G986" t="n">
        <x:v>2</x:v>
      </x:c>
      <x:c r="H986" s="54" t="n">
        <x:v>10</x:v>
      </x:c>
      <x:c r="I986" s="54" t="n">
        <x:v>0.89471</x:v>
      </x:c>
      <x:c r="J986" s="54" t="n">
        <x:v>0.89499</x:v>
      </x:c>
      <x:c r="K986" s="54" t="n">
        <x:v>0.24692</x:v>
      </x:c>
      <x:c r="L986" s="54" t="n">
        <x:v>0.40235</x:v>
      </x:c>
      <x:c r="M986" s="54" t="n">
        <x:v>1.01215</x:v>
      </x:c>
      <x:c r="N986" s="56" t="n">
        <x:v>0.53</x:v>
      </x:c>
      <x:c r="O986" s="56" t="n">
        <x:v>1.42</x:v>
      </x:c>
      <x:c r="P986" s="56" t="n">
        <x:v>1.85</x:v>
      </x:c>
      <x:c r="Q986" s="56" t="n">
        <x:v>93</x:v>
      </x:c>
      <x:c r="R986" t="str">
        <x:v>X</x:v>
      </x:c>
      <x:c r="S986" s="102" t="n">
        <x:v>100</x:v>
      </x:c>
      <x:c r="T986" t="str">
        <x:v>IN TARGET BAND</x:v>
      </x:c>
      <x:c r="U986" t="n">
        <x:v>3885</x:v>
      </x:c>
      <x:c r="V986" t="str">
        <x:v>Pasted text(56).txt</x:v>
      </x:c>
    </x:row>
    <x:row r="987">
      <x:c r="A987" t="str">
        <x:v>S10</x:v>
      </x:c>
      <x:c r="B987" t="str">
        <x:v>0.89 repeat-confirmation session</x:v>
      </x:c>
      <x:c r="C987" s="54" t="n">
        <x:v>0.89</x:v>
      </x:c>
      <x:c r="D987" t="n">
        <x:v>5</x:v>
      </x:c>
      <x:c r="E987" t="n">
        <x:v>1</x:v>
      </x:c>
      <x:c r="F987" t="str">
        <x:v>SEARCH</x:v>
      </x:c>
      <x:c r="G987" t="n">
        <x:v>1</x:v>
      </x:c>
      <x:c r="H987" s="54" t="n">
        <x:v>1</x:v>
      </x:c>
      <x:c r="I987" s="54" t="n">
        <x:v>0.00942</x:v>
      </x:c>
      <x:c r="J987" s="54" t="n">
        <x:v>0.00977</x:v>
      </x:c>
      <x:c r="K987" s="54" t="n">
        <x:v>0.01442</x:v>
      </x:c>
      <x:c r="L987" s="54" t="n">
        <x:v>0.01821</x:v>
      </x:c>
      <x:c r="M987" s="54" t="n">
        <x:v>0.02654</x:v>
      </x:c>
      <x:c r="N987" s="56" t="n">
        <x:v>-98.94</x:v>
      </x:c>
      <x:c r="O987" s="56" t="n">
        <x:v>60.2</x:v>
      </x:c>
      <x:c r="P987" s="56" t="n">
        <x:v>44.65</x:v>
      </x:c>
      <x:c r="Q987" s="56" t="n">
        <x:v>5.9</x:v>
      </x:c>
      <x:c r="R987" t="str">
        <x:v>Z</x:v>
      </x:c>
      <x:c r="S987" s="102" t="n">
        <x:v>53.7</x:v>
      </x:c>
      <x:c r="T987" t="str">
        <x:v>BELOW MEASUREMENT FLOOR — SEARCH CONTINUES</x:v>
      </x:c>
      <x:c r="U987" t="n">
        <x:v>3941</x:v>
      </x:c>
      <x:c r="V987" t="str">
        <x:v>Pasted text(56).txt</x:v>
      </x:c>
    </x:row>
    <x:row r="988">
      <x:c r="A988" t="str">
        <x:v>S10</x:v>
      </x:c>
      <x:c r="B988" t="str">
        <x:v>0.89 repeat-confirmation session</x:v>
      </x:c>
      <x:c r="C988" s="54" t="n">
        <x:v>0.89</x:v>
      </x:c>
      <x:c r="D988" t="n">
        <x:v>5</x:v>
      </x:c>
      <x:c r="E988" t="n">
        <x:v>1</x:v>
      </x:c>
      <x:c r="F988" t="str">
        <x:v>SEARCH</x:v>
      </x:c>
      <x:c r="G988" t="n">
        <x:v>2</x:v>
      </x:c>
      <x:c r="H988" s="54" t="n">
        <x:v>3</x:v>
      </x:c>
      <x:c r="I988" s="54" t="n">
        <x:v>0.14788</x:v>
      </x:c>
      <x:c r="J988" s="54" t="n">
        <x:v>0.14362</x:v>
      </x:c>
      <x:c r="K988" s="54" t="n">
        <x:v>0.05703</x:v>
      </x:c>
      <x:c r="L988" s="54" t="n">
        <x:v>0.10707</x:v>
      </x:c>
      <x:c r="M988" s="54" t="n">
        <x:v>0.18908</x:v>
      </x:c>
      <x:c r="N988" s="56" t="n">
        <x:v>-83.38</x:v>
      </x:c>
      <x:c r="O988" s="56" t="n">
        <x:v>6.53</x:v>
      </x:c>
      <x:c r="P988" s="56" t="n">
        <x:v>9.33</x:v>
      </x:c>
      <x:c r="Q988" s="56" t="n">
        <x:v>58</x:v>
      </x:c>
      <x:c r="R988" t="str">
        <x:v>X</x:v>
      </x:c>
      <x:c r="S988" s="102" t="n">
        <x:v>100</x:v>
      </x:c>
      <x:c r="T988" t="str">
        <x:v>VALID</x:v>
      </x:c>
      <x:c r="U988" t="n">
        <x:v>3942</x:v>
      </x:c>
      <x:c r="V988" t="str">
        <x:v>Pasted text(56).txt</x:v>
      </x:c>
    </x:row>
    <x:row r="989">
      <x:c r="A989" t="str">
        <x:v>S10</x:v>
      </x:c>
      <x:c r="B989" t="str">
        <x:v>0.89 repeat-confirmation session</x:v>
      </x:c>
      <x:c r="C989" s="54" t="n">
        <x:v>0.89</x:v>
      </x:c>
      <x:c r="D989" t="n">
        <x:v>5</x:v>
      </x:c>
      <x:c r="E989" t="n">
        <x:v>1</x:v>
      </x:c>
      <x:c r="F989" t="str">
        <x:v>SEARCH</x:v>
      </x:c>
      <x:c r="G989" t="n">
        <x:v>3</x:v>
      </x:c>
      <x:c r="H989" s="54" t="n">
        <x:v>5</x:v>
      </x:c>
      <x:c r="I989" s="54" t="n">
        <x:v>0.33026</x:v>
      </x:c>
      <x:c r="J989" s="54" t="n">
        <x:v>0.33559</x:v>
      </x:c>
      <x:c r="K989" s="54" t="n">
        <x:v>0.11662</x:v>
      </x:c>
      <x:c r="L989" s="54" t="n">
        <x:v>0.20753</x:v>
      </x:c>
      <x:c r="M989" s="54" t="n">
        <x:v>0.41258</x:v>
      </x:c>
      <x:c r="N989" s="56" t="n">
        <x:v>-62.89</x:v>
      </x:c>
      <x:c r="O989" s="56" t="n">
        <x:v>4.74</x:v>
      </x:c>
      <x:c r="P989" s="56" t="n">
        <x:v>5.69</x:v>
      </x:c>
      <x:c r="Q989" s="56" t="n">
        <x:v>80.9</x:v>
      </x:c>
      <x:c r="R989" t="str">
        <x:v>X</x:v>
      </x:c>
      <x:c r="S989" s="102" t="n">
        <x:v>100</x:v>
      </x:c>
      <x:c r="T989" t="str">
        <x:v>VALID</x:v>
      </x:c>
      <x:c r="U989" t="n">
        <x:v>3943</x:v>
      </x:c>
      <x:c r="V989" t="str">
        <x:v>Pasted text(56).txt</x:v>
      </x:c>
    </x:row>
    <x:row r="990">
      <x:c r="A990" t="str">
        <x:v>S10</x:v>
      </x:c>
      <x:c r="B990" t="str">
        <x:v>0.89 repeat-confirmation session</x:v>
      </x:c>
      <x:c r="C990" s="54" t="n">
        <x:v>0.89</x:v>
      </x:c>
      <x:c r="D990" t="n">
        <x:v>5</x:v>
      </x:c>
      <x:c r="E990" t="n">
        <x:v>1</x:v>
      </x:c>
      <x:c r="F990" t="str">
        <x:v>SEARCH</x:v>
      </x:c>
      <x:c r="G990" t="n">
        <x:v>4</x:v>
      </x:c>
      <x:c r="H990" s="54" t="n">
        <x:v>6</x:v>
      </x:c>
      <x:c r="I990" s="54" t="n">
        <x:v>0.4458</x:v>
      </x:c>
      <x:c r="J990" s="54" t="n">
        <x:v>0.45317</x:v>
      </x:c>
      <x:c r="K990" s="54" t="n">
        <x:v>0.13531</x:v>
      </x:c>
      <x:c r="L990" s="54" t="n">
        <x:v>0.246</x:v>
      </x:c>
      <x:c r="M990" s="54" t="n">
        <x:v>0.53433</x:v>
      </x:c>
      <x:c r="N990" s="56" t="n">
        <x:v>-49.91</x:v>
      </x:c>
      <x:c r="O990" s="56" t="n">
        <x:v>0.15</x:v>
      </x:c>
      <x:c r="P990" s="56" t="n">
        <x:v>2.9</x:v>
      </x:c>
      <x:c r="Q990" s="56" t="n">
        <x:v>88.4</x:v>
      </x:c>
      <x:c r="R990" t="str">
        <x:v>X</x:v>
      </x:c>
      <x:c r="S990" s="102" t="n">
        <x:v>100</x:v>
      </x:c>
      <x:c r="T990" t="str">
        <x:v>VALID</x:v>
      </x:c>
      <x:c r="U990" t="n">
        <x:v>3944</x:v>
      </x:c>
      <x:c r="V990" t="str">
        <x:v>Pasted text(56).txt</x:v>
      </x:c>
    </x:row>
    <x:row r="991">
      <x:c r="A991" t="str">
        <x:v>S10</x:v>
      </x:c>
      <x:c r="B991" t="str">
        <x:v>0.89 repeat-confirmation session</x:v>
      </x:c>
      <x:c r="C991" s="54" t="n">
        <x:v>0.89</x:v>
      </x:c>
      <x:c r="D991" t="n">
        <x:v>5</x:v>
      </x:c>
      <x:c r="E991" t="n">
        <x:v>1</x:v>
      </x:c>
      <x:c r="F991" t="str">
        <x:v>SEARCH</x:v>
      </x:c>
      <x:c r="G991" t="n">
        <x:v>5</x:v>
      </x:c>
      <x:c r="H991" s="54" t="n">
        <x:v>7</x:v>
      </x:c>
      <x:c r="I991" s="54" t="n">
        <x:v>0.57242</x:v>
      </x:c>
      <x:c r="J991" s="54" t="n">
        <x:v>0.57726</x:v>
      </x:c>
      <x:c r="K991" s="54" t="n">
        <x:v>0.15601</x:v>
      </x:c>
      <x:c r="L991" s="54" t="n">
        <x:v>0.30015</x:v>
      </x:c>
      <x:c r="M991" s="54" t="n">
        <x:v>0.66919</x:v>
      </x:c>
      <x:c r="N991" s="56" t="n">
        <x:v>-35.68</x:v>
      </x:c>
      <x:c r="O991" s="56" t="n">
        <x:v>1.09</x:v>
      </x:c>
      <x:c r="P991" s="56" t="n">
        <x:v>2.12</x:v>
      </x:c>
      <x:c r="Q991" s="56" t="n">
        <x:v>92</x:v>
      </x:c>
      <x:c r="R991" t="str">
        <x:v>X</x:v>
      </x:c>
      <x:c r="S991" s="102" t="n">
        <x:v>100</x:v>
      </x:c>
      <x:c r="T991" t="str">
        <x:v>VALID</x:v>
      </x:c>
      <x:c r="U991" t="n">
        <x:v>3945</x:v>
      </x:c>
      <x:c r="V991" t="str">
        <x:v>Pasted text(56).txt</x:v>
      </x:c>
    </x:row>
    <x:row r="992">
      <x:c r="A992" t="str">
        <x:v>S10</x:v>
      </x:c>
      <x:c r="B992" t="str">
        <x:v>0.89 repeat-confirmation session</x:v>
      </x:c>
      <x:c r="C992" s="54" t="n">
        <x:v>0.89</x:v>
      </x:c>
      <x:c r="D992" t="n">
        <x:v>5</x:v>
      </x:c>
      <x:c r="E992" t="n">
        <x:v>1</x:v>
      </x:c>
      <x:c r="F992" t="str">
        <x:v>SEARCH</x:v>
      </x:c>
      <x:c r="G992" t="n">
        <x:v>6</x:v>
      </x:c>
      <x:c r="H992" s="54" t="n">
        <x:v>7.5</x:v>
      </x:c>
      <x:c r="I992" s="54" t="n">
        <x:v>0.58449</x:v>
      </x:c>
      <x:c r="J992" s="54" t="n">
        <x:v>0.59164</x:v>
      </x:c>
      <x:c r="K992" s="54" t="n">
        <x:v>0.17193</x:v>
      </x:c>
      <x:c r="L992" s="54" t="n">
        <x:v>0.31652</x:v>
      </x:c>
      <x:c r="M992" s="54" t="n">
        <x:v>0.69299</x:v>
      </x:c>
      <x:c r="N992" s="56" t="n">
        <x:v>-34.33</x:v>
      </x:c>
      <x:c r="O992" s="56" t="n">
        <x:v>1.88</x:v>
      </x:c>
      <x:c r="P992" s="56" t="n">
        <x:v>3.24</x:v>
      </x:c>
      <x:c r="Q992" s="56" t="n">
        <x:v>89.4</x:v>
      </x:c>
      <x:c r="R992" t="str">
        <x:v>X</x:v>
      </x:c>
      <x:c r="S992" s="102" t="n">
        <x:v>100</x:v>
      </x:c>
      <x:c r="T992" t="str">
        <x:v>VALID</x:v>
      </x:c>
      <x:c r="U992" t="n">
        <x:v>3946</x:v>
      </x:c>
      <x:c r="V992" t="str">
        <x:v>Pasted text(56).txt</x:v>
      </x:c>
    </x:row>
    <x:row r="993">
      <x:c r="A993" t="str">
        <x:v>S10</x:v>
      </x:c>
      <x:c r="B993" t="str">
        <x:v>0.89 repeat-confirmation session</x:v>
      </x:c>
      <x:c r="C993" s="54" t="n">
        <x:v>0.89</x:v>
      </x:c>
      <x:c r="D993" t="n">
        <x:v>5</x:v>
      </x:c>
      <x:c r="E993" t="n">
        <x:v>1</x:v>
      </x:c>
      <x:c r="F993" t="str">
        <x:v>SEARCH</x:v>
      </x:c>
      <x:c r="G993" t="n">
        <x:v>7</x:v>
      </x:c>
      <x:c r="H993" s="54" t="n">
        <x:v>8</x:v>
      </x:c>
      <x:c r="I993" s="54" t="n">
        <x:v>0.64277</x:v>
      </x:c>
      <x:c r="J993" s="54" t="n">
        <x:v>0.64407</x:v>
      </x:c>
      <x:c r="K993" s="54" t="n">
        <x:v>0.17118</x:v>
      </x:c>
      <x:c r="L993" s="54" t="n">
        <x:v>0.3354</x:v>
      </x:c>
      <x:c r="M993" s="54" t="n">
        <x:v>0.74646</x:v>
      </x:c>
      <x:c r="N993" s="56" t="n">
        <x:v>-27.78</x:v>
      </x:c>
      <x:c r="O993" s="56" t="n">
        <x:v>0.57</x:v>
      </x:c>
      <x:c r="P993" s="56" t="n">
        <x:v>0.71</x:v>
      </x:c>
      <x:c r="Q993" s="56" t="n">
        <x:v>90.3</x:v>
      </x:c>
      <x:c r="R993" t="str">
        <x:v>X</x:v>
      </x:c>
      <x:c r="S993" s="102" t="n">
        <x:v>100</x:v>
      </x:c>
      <x:c r="T993" t="str">
        <x:v>VALID</x:v>
      </x:c>
      <x:c r="U993" t="n">
        <x:v>3947</x:v>
      </x:c>
      <x:c r="V993" t="str">
        <x:v>Pasted text(56).txt</x:v>
      </x:c>
    </x:row>
    <x:row r="994">
      <x:c r="A994" t="str">
        <x:v>S10</x:v>
      </x:c>
      <x:c r="B994" t="str">
        <x:v>0.89 repeat-confirmation session</x:v>
      </x:c>
      <x:c r="C994" s="54" t="n">
        <x:v>0.89</x:v>
      </x:c>
      <x:c r="D994" t="n">
        <x:v>5</x:v>
      </x:c>
      <x:c r="E994" t="n">
        <x:v>1</x:v>
      </x:c>
      <x:c r="F994" t="str">
        <x:v>SEARCH</x:v>
      </x:c>
      <x:c r="G994" t="n">
        <x:v>8</x:v>
      </x:c>
      <x:c r="H994" s="54" t="n">
        <x:v>8.5</x:v>
      </x:c>
      <x:c r="I994" s="54" t="n">
        <x:v>0.71095</x:v>
      </x:c>
      <x:c r="J994" s="54" t="n">
        <x:v>0.71004</x:v>
      </x:c>
      <x:c r="K994" s="54" t="n">
        <x:v>0.19305</x:v>
      </x:c>
      <x:c r="L994" s="54" t="n">
        <x:v>0.34961</x:v>
      </x:c>
      <x:c r="M994" s="54" t="n">
        <x:v>0.81469</x:v>
      </x:c>
      <x:c r="N994" s="56" t="n">
        <x:v>-20.12</x:v>
      </x:c>
      <x:c r="O994" s="56" t="n">
        <x:v>1.09</x:v>
      </x:c>
      <x:c r="P994" s="56" t="n">
        <x:v>0.93</x:v>
      </x:c>
      <x:c r="Q994" s="56" t="n">
        <x:v>91.1</x:v>
      </x:c>
      <x:c r="R994" t="str">
        <x:v>X</x:v>
      </x:c>
      <x:c r="S994" s="102" t="n">
        <x:v>100</x:v>
      </x:c>
      <x:c r="T994" t="str">
        <x:v>VALID</x:v>
      </x:c>
      <x:c r="U994" t="n">
        <x:v>3948</x:v>
      </x:c>
      <x:c r="V994" t="str">
        <x:v>Pasted text(56).txt</x:v>
      </x:c>
    </x:row>
    <x:row r="995">
      <x:c r="A995" t="str">
        <x:v>S10</x:v>
      </x:c>
      <x:c r="B995" t="str">
        <x:v>0.89 repeat-confirmation session</x:v>
      </x:c>
      <x:c r="C995" s="54" t="n">
        <x:v>0.89</x:v>
      </x:c>
      <x:c r="D995" t="n">
        <x:v>5</x:v>
      </x:c>
      <x:c r="E995" t="n">
        <x:v>1</x:v>
      </x:c>
      <x:c r="F995" t="str">
        <x:v>SEARCH</x:v>
      </x:c>
      <x:c r="G995" t="n">
        <x:v>9</x:v>
      </x:c>
      <x:c r="H995" s="54" t="n">
        <x:v>9</x:v>
      </x:c>
      <x:c r="I995" s="54" t="n">
        <x:v>0.77011</x:v>
      </x:c>
      <x:c r="J995" s="54" t="n">
        <x:v>0.77006</x:v>
      </x:c>
      <x:c r="K995" s="54" t="n">
        <x:v>0.22346</x:v>
      </x:c>
      <x:c r="L995" s="54" t="n">
        <x:v>0.35334</x:v>
      </x:c>
      <x:c r="M995" s="54" t="n">
        <x:v>0.87638</x:v>
      </x:c>
      <x:c r="N995" s="56" t="n">
        <x:v>-13.47</x:v>
      </x:c>
      <x:c r="O995" s="56" t="n">
        <x:v>0.59</x:v>
      </x:c>
      <x:c r="P995" s="56" t="n">
        <x:v>0.4</x:v>
      </x:c>
      <x:c r="Q995" s="56" t="n">
        <x:v>91.9</x:v>
      </x:c>
      <x:c r="R995" t="str">
        <x:v>X</x:v>
      </x:c>
      <x:c r="S995" s="102" t="n">
        <x:v>100</x:v>
      </x:c>
      <x:c r="T995" t="str">
        <x:v>VALID</x:v>
      </x:c>
      <x:c r="U995" t="n">
        <x:v>3949</x:v>
      </x:c>
      <x:c r="V995" t="str">
        <x:v>Pasted text(56).txt</x:v>
      </x:c>
    </x:row>
    <x:row r="996">
      <x:c r="A996" t="str">
        <x:v>S10</x:v>
      </x:c>
      <x:c r="B996" t="str">
        <x:v>0.89 repeat-confirmation session</x:v>
      </x:c>
      <x:c r="C996" s="54" t="n">
        <x:v>0.89</x:v>
      </x:c>
      <x:c r="D996" t="n">
        <x:v>5</x:v>
      </x:c>
      <x:c r="E996" t="n">
        <x:v>1</x:v>
      </x:c>
      <x:c r="F996" t="str">
        <x:v>SEARCH</x:v>
      </x:c>
      <x:c r="G996" t="n">
        <x:v>10</x:v>
      </x:c>
      <x:c r="H996" s="54" t="n">
        <x:v>9.25</x:v>
      </x:c>
      <x:c r="I996" s="54" t="n">
        <x:v>0.78767</x:v>
      </x:c>
      <x:c r="J996" s="54" t="n">
        <x:v>0.79205</x:v>
      </x:c>
      <x:c r="K996" s="54" t="n">
        <x:v>0.21998</x:v>
      </x:c>
      <x:c r="L996" s="54" t="n">
        <x:v>0.38187</x:v>
      </x:c>
      <x:c r="M996" s="54" t="n">
        <x:v>0.90644</x:v>
      </x:c>
      <x:c r="N996" s="56" t="n">
        <x:v>-11.5</x:v>
      </x:c>
      <x:c r="O996" s="56" t="n">
        <x:v>2.95</x:v>
      </x:c>
      <x:c r="P996" s="56" t="n">
        <x:v>2.85</x:v>
      </x:c>
      <x:c r="Q996" s="56" t="n">
        <x:v>92.1</x:v>
      </x:c>
      <x:c r="R996" t="str">
        <x:v>X</x:v>
      </x:c>
      <x:c r="S996" s="102" t="n">
        <x:v>100</x:v>
      </x:c>
      <x:c r="T996" t="str">
        <x:v>VALID</x:v>
      </x:c>
      <x:c r="U996" t="n">
        <x:v>3950</x:v>
      </x:c>
      <x:c r="V996" t="str">
        <x:v>Pasted text(56).txt</x:v>
      </x:c>
    </x:row>
    <x:row r="997">
      <x:c r="A997" t="str">
        <x:v>S10</x:v>
      </x:c>
      <x:c r="B997" t="str">
        <x:v>0.89 repeat-confirmation session</x:v>
      </x:c>
      <x:c r="C997" s="54" t="n">
        <x:v>0.89</x:v>
      </x:c>
      <x:c r="D997" t="n">
        <x:v>5</x:v>
      </x:c>
      <x:c r="E997" t="n">
        <x:v>1</x:v>
      </x:c>
      <x:c r="F997" t="str">
        <x:v>SEARCH</x:v>
      </x:c>
      <x:c r="G997" t="n">
        <x:v>11</x:v>
      </x:c>
      <x:c r="H997" s="54" t="n">
        <x:v>9.5</x:v>
      </x:c>
      <x:c r="I997" s="54" t="n">
        <x:v>0.8051</x:v>
      </x:c>
      <x:c r="J997" s="54" t="n">
        <x:v>0.79769</x:v>
      </x:c>
      <x:c r="K997" s="54" t="n">
        <x:v>0.21204</x:v>
      </x:c>
      <x:c r="L997" s="54" t="n">
        <x:v>0.38878</x:v>
      </x:c>
      <x:c r="M997" s="54" t="n">
        <x:v>0.91252</x:v>
      </x:c>
      <x:c r="N997" s="56" t="n">
        <x:v>-9.54</x:v>
      </x:c>
      <x:c r="O997" s="56" t="n">
        <x:v>0.33</x:v>
      </x:c>
      <x:c r="P997" s="56" t="n">
        <x:v>1.81</x:v>
      </x:c>
      <x:c r="Q997" s="56" t="n">
        <x:v>91.7</x:v>
      </x:c>
      <x:c r="R997" t="str">
        <x:v>X</x:v>
      </x:c>
      <x:c r="S997" s="102" t="n">
        <x:v>100</x:v>
      </x:c>
      <x:c r="T997" t="str">
        <x:v>VALID</x:v>
      </x:c>
      <x:c r="U997" t="n">
        <x:v>3951</x:v>
      </x:c>
      <x:c r="V997" t="str">
        <x:v>Pasted text(56).txt</x:v>
      </x:c>
    </x:row>
    <x:row r="998">
      <x:c r="A998" t="str">
        <x:v>S10</x:v>
      </x:c>
      <x:c r="B998" t="str">
        <x:v>0.89 repeat-confirmation session</x:v>
      </x:c>
      <x:c r="C998" s="54" t="n">
        <x:v>0.89</x:v>
      </x:c>
      <x:c r="D998" t="n">
        <x:v>5</x:v>
      </x:c>
      <x:c r="E998" t="n">
        <x:v>1</x:v>
      </x:c>
      <x:c r="F998" t="str">
        <x:v>SEARCH</x:v>
      </x:c>
      <x:c r="G998" t="n">
        <x:v>12</x:v>
      </x:c>
      <x:c r="H998" s="54" t="n">
        <x:v>9.75</x:v>
      </x:c>
      <x:c r="I998" s="54" t="n">
        <x:v>0.85504</x:v>
      </x:c>
      <x:c r="J998" s="54" t="n">
        <x:v>0.84587</x:v>
      </x:c>
      <x:c r="K998" s="54" t="n">
        <x:v>0.22499</x:v>
      </x:c>
      <x:c r="L998" s="54" t="n">
        <x:v>0.39684</x:v>
      </x:c>
      <x:c r="M998" s="54" t="n">
        <x:v>0.96132</x:v>
      </x:c>
      <x:c r="N998" s="56" t="n">
        <x:v>-3.93</x:v>
      </x:c>
      <x:c r="O998" s="56" t="n">
        <x:v>0.12</x:v>
      </x:c>
      <x:c r="P998" s="56" t="n">
        <x:v>1.95</x:v>
      </x:c>
      <x:c r="Q998" s="56" t="n">
        <x:v>91.9</x:v>
      </x:c>
      <x:c r="R998" t="str">
        <x:v>X</x:v>
      </x:c>
      <x:c r="S998" s="102" t="n">
        <x:v>100</x:v>
      </x:c>
      <x:c r="T998" t="str">
        <x:v>IN TARGET BAND</x:v>
      </x:c>
      <x:c r="U998" t="n">
        <x:v>3952</x:v>
      </x:c>
      <x:c r="V998" t="str">
        <x:v>Pasted text(56).txt</x:v>
      </x:c>
    </x:row>
    <x:row r="999">
      <x:c r="A999" t="str">
        <x:v>S10</x:v>
      </x:c>
      <x:c r="B999" t="str">
        <x:v>0.89 repeat-confirmation session</x:v>
      </x:c>
      <x:c r="C999" s="54" t="n">
        <x:v>0.89</x:v>
      </x:c>
      <x:c r="D999" t="n">
        <x:v>5</x:v>
      </x:c>
      <x:c r="E999" t="n">
        <x:v>1</x:v>
      </x:c>
      <x:c r="F999" t="str">
        <x:v>FINE</x:v>
      </x:c>
      <x:c r="G999" t="n">
        <x:v>1</x:v>
      </x:c>
      <x:c r="H999" s="54" t="n">
        <x:v>8.75</x:v>
      </x:c>
      <x:c r="I999" s="54" t="n">
        <x:v>0.74019</x:v>
      </x:c>
      <x:c r="J999" s="54" t="n">
        <x:v>0.74072</x:v>
      </x:c>
      <x:c r="K999" s="54" t="n">
        <x:v>0.2038</x:v>
      </x:c>
      <x:c r="L999" s="54" t="n">
        <x:v>0.32667</x:v>
      </x:c>
      <x:c r="M999" s="54" t="n">
        <x:v>0.83522</x:v>
      </x:c>
      <x:c r="N999" s="56" t="n">
        <x:v>-16.83</x:v>
      </x:c>
      <x:c r="O999" s="56" t="n">
        <x:v>3.72</x:v>
      </x:c>
      <x:c r="P999" s="56" t="n">
        <x:v>2.62</x:v>
      </x:c>
      <x:c r="Q999" s="56" t="n">
        <x:v>91.6</x:v>
      </x:c>
      <x:c r="R999" t="str">
        <x:v>X</x:v>
      </x:c>
      <x:c r="S999" s="102" t="n">
        <x:v>100</x:v>
      </x:c>
      <x:c r="T999" t="str">
        <x:v>VALID</x:v>
      </x:c>
      <x:c r="U999" t="n">
        <x:v>3956</x:v>
      </x:c>
      <x:c r="V999" t="str">
        <x:v>Pasted text(56).txt</x:v>
      </x:c>
    </x:row>
    <x:row r="1000">
      <x:c r="A1000" t="str">
        <x:v>S10</x:v>
      </x:c>
      <x:c r="B1000" t="str">
        <x:v>0.89 repeat-confirmation session</x:v>
      </x:c>
      <x:c r="C1000" s="54" t="n">
        <x:v>0.89</x:v>
      </x:c>
      <x:c r="D1000" t="n">
        <x:v>5</x:v>
      </x:c>
      <x:c r="E1000" t="n">
        <x:v>1</x:v>
      </x:c>
      <x:c r="F1000" t="str">
        <x:v>FINE</x:v>
      </x:c>
      <x:c r="G1000" t="n">
        <x:v>2</x:v>
      </x:c>
      <x:c r="H1000" s="54" t="n">
        <x:v>9</x:v>
      </x:c>
      <x:c r="I1000" s="54" t="n">
        <x:v>0.7621</x:v>
      </x:c>
      <x:c r="J1000" s="54" t="n">
        <x:v>0.76715</x:v>
      </x:c>
      <x:c r="K1000" s="54" t="n">
        <x:v>0.22426</x:v>
      </x:c>
      <x:c r="L1000" s="54" t="n">
        <x:v>0.34661</x:v>
      </x:c>
      <x:c r="M1000" s="54" t="n">
        <x:v>0.87148</x:v>
      </x:c>
      <x:c r="N1000" s="56" t="n">
        <x:v>-14.37</x:v>
      </x:c>
      <x:c r="O1000" s="56" t="n">
        <x:v>0.17</x:v>
      </x:c>
      <x:c r="P1000" s="56" t="n">
        <x:v>1.24</x:v>
      </x:c>
      <x:c r="Q1000" s="56" t="n">
        <x:v>91.7</x:v>
      </x:c>
      <x:c r="R1000" t="str">
        <x:v>X</x:v>
      </x:c>
      <x:c r="S1000" s="102" t="n">
        <x:v>100</x:v>
      </x:c>
      <x:c r="T1000" t="str">
        <x:v>VALID</x:v>
      </x:c>
      <x:c r="U1000" t="n">
        <x:v>3957</x:v>
      </x:c>
      <x:c r="V1000" t="str">
        <x:v>Pasted text(56).txt</x:v>
      </x:c>
    </x:row>
    <x:row r="1001">
      <x:c r="A1001" t="str">
        <x:v>S10</x:v>
      </x:c>
      <x:c r="B1001" t="str">
        <x:v>0.89 repeat-confirmation session</x:v>
      </x:c>
      <x:c r="C1001" s="54" t="n">
        <x:v>0.89</x:v>
      </x:c>
      <x:c r="D1001" t="n">
        <x:v>5</x:v>
      </x:c>
      <x:c r="E1001" t="n">
        <x:v>1</x:v>
      </x:c>
      <x:c r="F1001" t="str">
        <x:v>FINE</x:v>
      </x:c>
      <x:c r="G1001" t="n">
        <x:v>3</x:v>
      </x:c>
      <x:c r="H1001" s="54" t="n">
        <x:v>9.25</x:v>
      </x:c>
      <x:c r="I1001" s="54" t="n">
        <x:v>0.78153</x:v>
      </x:c>
      <x:c r="J1001" s="54" t="n">
        <x:v>0.78039</x:v>
      </x:c>
      <x:c r="K1001" s="54" t="n">
        <x:v>0.21346</x:v>
      </x:c>
      <x:c r="L1001" s="54" t="n">
        <x:v>0.38415</x:v>
      </x:c>
      <x:c r="M1001" s="54" t="n">
        <x:v>0.89577</x:v>
      </x:c>
      <x:c r="N1001" s="56" t="n">
        <x:v>-12.19</x:v>
      </x:c>
      <x:c r="O1001" s="56" t="n">
        <x:v>2.89</x:v>
      </x:c>
      <x:c r="P1001" s="56" t="n">
        <x:v>2.18</x:v>
      </x:c>
      <x:c r="Q1001" s="56" t="n">
        <x:v>90.6</x:v>
      </x:c>
      <x:c r="R1001" t="str">
        <x:v>X</x:v>
      </x:c>
      <x:c r="S1001" s="102" t="n">
        <x:v>100</x:v>
      </x:c>
      <x:c r="T1001" t="str">
        <x:v>VALID</x:v>
      </x:c>
      <x:c r="U1001" t="n">
        <x:v>3958</x:v>
      </x:c>
      <x:c r="V1001" t="str">
        <x:v>Pasted text(56).txt</x:v>
      </x:c>
    </x:row>
    <x:row r="1002">
      <x:c r="A1002" t="str">
        <x:v>S10</x:v>
      </x:c>
      <x:c r="B1002" t="str">
        <x:v>0.89 repeat-confirmation session</x:v>
      </x:c>
      <x:c r="C1002" s="54" t="n">
        <x:v>0.89</x:v>
      </x:c>
      <x:c r="D1002" t="n">
        <x:v>5</x:v>
      </x:c>
      <x:c r="E1002" t="n">
        <x:v>1</x:v>
      </x:c>
      <x:c r="F1002" t="str">
        <x:v>FINE</x:v>
      </x:c>
      <x:c r="G1002" t="n">
        <x:v>4</x:v>
      </x:c>
      <x:c r="H1002" s="54" t="n">
        <x:v>9.5</x:v>
      </x:c>
      <x:c r="I1002" s="54" t="n">
        <x:v>0.78755</x:v>
      </x:c>
      <x:c r="J1002" s="54" t="n">
        <x:v>0.78712</x:v>
      </x:c>
      <x:c r="K1002" s="54" t="n">
        <x:v>0.19258</x:v>
      </x:c>
      <x:c r="L1002" s="54" t="n">
        <x:v>0.37361</x:v>
      </x:c>
      <x:c r="M1002" s="54" t="n">
        <x:v>0.89272</x:v>
      </x:c>
      <x:c r="N1002" s="56" t="n">
        <x:v>-11.51</x:v>
      </x:c>
      <x:c r="O1002" s="56" t="n">
        <x:v>2.22</x:v>
      </x:c>
      <x:c r="P1002" s="56" t="n">
        <x:v>1.58</x:v>
      </x:c>
      <x:c r="Q1002" s="56" t="n">
        <x:v>90.4</x:v>
      </x:c>
      <x:c r="R1002" t="str">
        <x:v>X</x:v>
      </x:c>
      <x:c r="S1002" s="102" t="n">
        <x:v>100</x:v>
      </x:c>
      <x:c r="T1002" t="str">
        <x:v>VALID</x:v>
      </x:c>
      <x:c r="U1002" t="n">
        <x:v>3959</x:v>
      </x:c>
      <x:c r="V1002" t="str">
        <x:v>Pasted text(56).txt</x:v>
      </x:c>
    </x:row>
    <x:row r="1003">
      <x:c r="A1003" t="str">
        <x:v>S10</x:v>
      </x:c>
      <x:c r="B1003" t="str">
        <x:v>0.89 repeat-confirmation session</x:v>
      </x:c>
      <x:c r="C1003" s="54" t="n">
        <x:v>0.89</x:v>
      </x:c>
      <x:c r="D1003" t="n">
        <x:v>5</x:v>
      </x:c>
      <x:c r="E1003" t="n">
        <x:v>1</x:v>
      </x:c>
      <x:c r="F1003" t="str">
        <x:v>FINE</x:v>
      </x:c>
      <x:c r="G1003" t="n">
        <x:v>5</x:v>
      </x:c>
      <x:c r="H1003" s="54" t="n">
        <x:v>9.75</x:v>
      </x:c>
      <x:c r="I1003" s="54" t="n">
        <x:v>0.85296</x:v>
      </x:c>
      <x:c r="J1003" s="54" t="n">
        <x:v>0.85235</x:v>
      </x:c>
      <x:c r="K1003" s="54" t="n">
        <x:v>0.22436</x:v>
      </x:c>
      <x:c r="L1003" s="54" t="n">
        <x:v>0.41392</x:v>
      </x:c>
      <x:c r="M1003" s="54" t="n">
        <x:v>0.97403</x:v>
      </x:c>
      <x:c r="N1003" s="56" t="n">
        <x:v>-4.16</x:v>
      </x:c>
      <x:c r="O1003" s="56" t="n">
        <x:v>2.92</x:v>
      </x:c>
      <x:c r="P1003" s="56" t="n">
        <x:v>2.08</x:v>
      </x:c>
      <x:c r="Q1003" s="56" t="n">
        <x:v>91.9</x:v>
      </x:c>
      <x:c r="R1003" t="str">
        <x:v>X</x:v>
      </x:c>
      <x:c r="S1003" s="102" t="n">
        <x:v>100</x:v>
      </x:c>
      <x:c r="T1003" t="str">
        <x:v>IN TARGET BAND</x:v>
      </x:c>
      <x:c r="U1003" t="n">
        <x:v>3960</x:v>
      </x:c>
      <x:c r="V1003" t="str">
        <x:v>Pasted text(56).txt</x:v>
      </x:c>
    </x:row>
    <x:row r="1004">
      <x:c r="A1004" t="str">
        <x:v>S10</x:v>
      </x:c>
      <x:c r="B1004" t="str">
        <x:v>0.89 repeat-confirmation session</x:v>
      </x:c>
      <x:c r="C1004" s="54" t="n">
        <x:v>0.89</x:v>
      </x:c>
      <x:c r="D1004" t="n">
        <x:v>5</x:v>
      </x:c>
      <x:c r="E1004" t="n">
        <x:v>1</x:v>
      </x:c>
      <x:c r="F1004" t="str">
        <x:v>FINE</x:v>
      </x:c>
      <x:c r="G1004" t="n">
        <x:v>6</x:v>
      </x:c>
      <x:c r="H1004" s="54" t="n">
        <x:v>10</x:v>
      </x:c>
      <x:c r="I1004" s="54" t="n">
        <x:v>0.89056</x:v>
      </x:c>
      <x:c r="J1004" s="54" t="n">
        <x:v>0.88818</x:v>
      </x:c>
      <x:c r="K1004" s="54" t="n">
        <x:v>0.23084</x:v>
      </x:c>
      <x:c r="L1004" s="54" t="n">
        <x:v>0.40048</x:v>
      </x:c>
      <x:c r="M1004" s="54" t="n">
        <x:v>1.0015</x:v>
      </x:c>
      <x:c r="N1004" s="56" t="n">
        <x:v>0.06</x:v>
      </x:c>
      <x:c r="O1004" s="56" t="n">
        <x:v>0.56</x:v>
      </x:c>
      <x:c r="P1004" s="56" t="n">
        <x:v>0.82</x:v>
      </x:c>
      <x:c r="Q1004" s="56" t="n">
        <x:v>93.5</x:v>
      </x:c>
      <x:c r="R1004" t="str">
        <x:v>X</x:v>
      </x:c>
      <x:c r="S1004" s="102" t="n">
        <x:v>100</x:v>
      </x:c>
      <x:c r="T1004" t="str">
        <x:v>IN TARGET BAND</x:v>
      </x:c>
      <x:c r="U1004" t="n">
        <x:v>3961</x:v>
      </x:c>
      <x:c r="V1004" t="str">
        <x:v>Pasted text(56).txt</x:v>
      </x:c>
    </x:row>
    <x:row r="1005">
      <x:c r="A1005" t="str">
        <x:v>S10</x:v>
      </x:c>
      <x:c r="B1005" t="str">
        <x:v>0.89 repeat-confirmation session</x:v>
      </x:c>
      <x:c r="C1005" s="54" t="n">
        <x:v>0.89</x:v>
      </x:c>
      <x:c r="D1005" t="n">
        <x:v>5</x:v>
      </x:c>
      <x:c r="E1005" t="n">
        <x:v>1</x:v>
      </x:c>
      <x:c r="F1005" t="str">
        <x:v>FINE</x:v>
      </x:c>
      <x:c r="G1005" t="n">
        <x:v>7</x:v>
      </x:c>
      <x:c r="H1005" s="54" t="n">
        <x:v>10.25</x:v>
      </x:c>
      <x:c r="I1005" s="54" t="n">
        <x:v>0.90691</x:v>
      </x:c>
      <x:c r="J1005" s="54" t="n">
        <x:v>0.90864</x:v>
      </x:c>
      <x:c r="K1005" s="54" t="n">
        <x:v>0.24239</x:v>
      </x:c>
      <x:c r="L1005" s="54" t="n">
        <x:v>0.40574</x:v>
      </x:c>
      <x:c r="M1005" s="54" t="n">
        <x:v>1.02423</x:v>
      </x:c>
      <x:c r="N1005" s="56" t="n">
        <x:v>1.9</x:v>
      </x:c>
      <x:c r="O1005" s="56" t="n">
        <x:v>0.66</x:v>
      </x:c>
      <x:c r="P1005" s="56" t="n">
        <x:v>0.75</x:v>
      </x:c>
      <x:c r="Q1005" s="56" t="n">
        <x:v>93.2</x:v>
      </x:c>
      <x:c r="R1005" t="str">
        <x:v>X</x:v>
      </x:c>
      <x:c r="S1005" s="102" t="n">
        <x:v>100</x:v>
      </x:c>
      <x:c r="T1005" t="str">
        <x:v>IN TARGET BAND</x:v>
      </x:c>
      <x:c r="U1005" t="n">
        <x:v>3962</x:v>
      </x:c>
      <x:c r="V1005" t="str">
        <x:v>Pasted text(56).txt</x:v>
      </x:c>
    </x:row>
    <x:row r="1006">
      <x:c r="A1006" t="str">
        <x:v>S10</x:v>
      </x:c>
      <x:c r="B1006" t="str">
        <x:v>0.89 repeat-confirmation session</x:v>
      </x:c>
      <x:c r="C1006" s="54" t="n">
        <x:v>0.89</x:v>
      </x:c>
      <x:c r="D1006" t="n">
        <x:v>5</x:v>
      </x:c>
      <x:c r="E1006" t="n">
        <x:v>1</x:v>
      </x:c>
      <x:c r="F1006" t="str">
        <x:v>FINE</x:v>
      </x:c>
      <x:c r="G1006" t="n">
        <x:v>8</x:v>
      </x:c>
      <x:c r="H1006" s="54" t="n">
        <x:v>10.5</x:v>
      </x:c>
      <x:c r="I1006" s="54" t="n">
        <x:v>0.91134</x:v>
      </x:c>
      <x:c r="J1006" s="54" t="n">
        <x:v>0.91722</x:v>
      </x:c>
      <x:c r="K1006" s="54" t="n">
        <x:v>0.23727</x:v>
      </x:c>
      <x:c r="L1006" s="54" t="n">
        <x:v>0.41734</x:v>
      </x:c>
      <x:c r="M1006" s="54" t="n">
        <x:v>1.03544</x:v>
      </x:c>
      <x:c r="N1006" s="56" t="n">
        <x:v>2.4</x:v>
      </x:c>
      <x:c r="O1006" s="56" t="n">
        <x:v>0.13</x:v>
      </x:c>
      <x:c r="P1006" s="56" t="n">
        <x:v>1.19</x:v>
      </x:c>
      <x:c r="Q1006" s="56" t="n">
        <x:v>91.3</x:v>
      </x:c>
      <x:c r="R1006" t="str">
        <x:v>X</x:v>
      </x:c>
      <x:c r="S1006" s="102" t="n">
        <x:v>100</x:v>
      </x:c>
      <x:c r="T1006" t="str">
        <x:v>IN TARGET BAND</x:v>
      </x:c>
      <x:c r="U1006" t="n">
        <x:v>3963</x:v>
      </x:c>
      <x:c r="V1006" t="str">
        <x:v>Pasted text(56).txt</x:v>
      </x:c>
    </x:row>
    <x:row r="1007">
      <x:c r="A1007" t="str">
        <x:v>S10</x:v>
      </x:c>
      <x:c r="B1007" t="str">
        <x:v>0.89 repeat-confirmation session</x:v>
      </x:c>
      <x:c r="C1007" s="54" t="n">
        <x:v>0.89</x:v>
      </x:c>
      <x:c r="D1007" t="n">
        <x:v>5</x:v>
      </x:c>
      <x:c r="E1007" t="n">
        <x:v>1</x:v>
      </x:c>
      <x:c r="F1007" t="str">
        <x:v>FINE</x:v>
      </x:c>
      <x:c r="G1007" t="n">
        <x:v>9</x:v>
      </x:c>
      <x:c r="H1007" s="54" t="n">
        <x:v>10.75</x:v>
      </x:c>
      <x:c r="I1007" s="54" t="n">
        <x:v>0.9729</x:v>
      </x:c>
      <x:c r="J1007" s="54" t="n">
        <x:v>0.96747</x:v>
      </x:c>
      <x:c r="K1007" s="54" t="n">
        <x:v>0.25791</x:v>
      </x:c>
      <x:c r="L1007" s="54" t="n">
        <x:v>0.44625</x:v>
      </x:c>
      <x:c r="M1007" s="54" t="n">
        <x:v>1.09632</x:v>
      </x:c>
      <x:c r="N1007" s="56" t="n">
        <x:v>9.31</x:v>
      </x:c>
      <x:c r="O1007" s="56" t="n">
        <x:v>0.5</x:v>
      </x:c>
      <x:c r="P1007" s="56" t="n">
        <x:v>1.27</x:v>
      </x:c>
      <x:c r="Q1007" s="56" t="n">
        <x:v>93.1</x:v>
      </x:c>
      <x:c r="R1007" t="str">
        <x:v>X</x:v>
      </x:c>
      <x:c r="S1007" s="102" t="n">
        <x:v>100</x:v>
      </x:c>
      <x:c r="T1007" t="str">
        <x:v>VALID</x:v>
      </x:c>
      <x:c r="U1007" t="n">
        <x:v>3964</x:v>
      </x:c>
      <x:c r="V1007" t="str">
        <x:v>Pasted text(56).txt</x:v>
      </x:c>
    </x:row>
    <x:row r="1008">
      <x:c r="A1008" t="str">
        <x:v>S10</x:v>
      </x:c>
      <x:c r="B1008" t="str">
        <x:v>0.89 repeat-confirmation session</x:v>
      </x:c>
      <x:c r="C1008" s="54" t="n">
        <x:v>0.89</x:v>
      </x:c>
      <x:c r="D1008" t="n">
        <x:v>5</x:v>
      </x:c>
      <x:c r="E1008" t="n">
        <x:v>1</x:v>
      </x:c>
      <x:c r="F1008" t="str">
        <x:v>FINAL</x:v>
      </x:c>
      <x:c r="G1008" t="n">
        <x:v>1</x:v>
      </x:c>
      <x:c r="H1008" s="54" t="n">
        <x:v>10</x:v>
      </x:c>
      <x:c r="I1008" s="54" t="n">
        <x:v>0.87942</x:v>
      </x:c>
      <x:c r="J1008" s="54" t="n">
        <x:v>0.88141</x:v>
      </x:c>
      <x:c r="K1008" s="54" t="n">
        <x:v>0.24059</x:v>
      </x:c>
      <x:c r="L1008" s="54" t="n">
        <x:v>0.38275</x:v>
      </x:c>
      <x:c r="M1008" s="54" t="n">
        <x:v>0.99113</x:v>
      </x:c>
      <x:c r="N1008" s="56" t="n">
        <x:v>-1.19</x:v>
      </x:c>
      <x:c r="O1008" s="56" t="n">
        <x:v>0.72</x:v>
      </x:c>
      <x:c r="P1008" s="56" t="n">
        <x:v>1.11</x:v>
      </x:c>
      <x:c r="Q1008" s="56" t="n">
        <x:v>92.7</x:v>
      </x:c>
      <x:c r="R1008" t="str">
        <x:v>X</x:v>
      </x:c>
      <x:c r="S1008" s="102" t="n">
        <x:v>100</x:v>
      </x:c>
      <x:c r="T1008" t="str">
        <x:v>IN TARGET BAND</x:v>
      </x:c>
      <x:c r="U1008" t="n">
        <x:v>3967</x:v>
      </x:c>
      <x:c r="V1008" t="str">
        <x:v>Pasted text(56).txt</x:v>
      </x:c>
    </x:row>
    <x:row r="1009">
      <x:c r="A1009" t="str">
        <x:v>S10</x:v>
      </x:c>
      <x:c r="B1009" t="str">
        <x:v>0.89 repeat-confirmation session</x:v>
      </x:c>
      <x:c r="C1009" s="54" t="n">
        <x:v>0.89</x:v>
      </x:c>
      <x:c r="D1009" t="n">
        <x:v>5</x:v>
      </x:c>
      <x:c r="E1009" t="n">
        <x:v>1</x:v>
      </x:c>
      <x:c r="F1009" t="str">
        <x:v>FINAL</x:v>
      </x:c>
      <x:c r="G1009" t="n">
        <x:v>2</x:v>
      </x:c>
      <x:c r="H1009" s="54" t="n">
        <x:v>10</x:v>
      </x:c>
      <x:c r="I1009" s="54" t="n">
        <x:v>0.88401</x:v>
      </x:c>
      <x:c r="J1009" s="54" t="n">
        <x:v>0.88187</x:v>
      </x:c>
      <x:c r="K1009" s="54" t="n">
        <x:v>0.23881</x:v>
      </x:c>
      <x:c r="L1009" s="54" t="n">
        <x:v>0.39546</x:v>
      </x:c>
      <x:c r="M1009" s="54" t="n">
        <x:v>0.99587</x:v>
      </x:c>
      <x:c r="N1009" s="56" t="n">
        <x:v>-0.67</x:v>
      </x:c>
      <x:c r="O1009" s="56" t="n">
        <x:v>1.4</x:v>
      </x:c>
      <x:c r="P1009" s="56" t="n">
        <x:v>1.19</x:v>
      </x:c>
      <x:c r="Q1009" s="56" t="n">
        <x:v>92.7</x:v>
      </x:c>
      <x:c r="R1009" t="str">
        <x:v>X</x:v>
      </x:c>
      <x:c r="S1009" s="102" t="n">
        <x:v>100</x:v>
      </x:c>
      <x:c r="T1009" t="str">
        <x:v>IN TARGET BAND</x:v>
      </x:c>
      <x:c r="U1009" t="n">
        <x:v>3968</x:v>
      </x:c>
      <x:c r="V1009" t="str">
        <x:v>Pasted text(56).txt</x:v>
      </x:c>
    </x:row>
    <x:row r="1010">
      <x:c r="A1010" s="58" t="str">
        <x:v>S11</x:v>
      </x:c>
      <x:c r="B1010" s="58" t="str">
        <x:v>1.15 instability and response-collapse session</x:v>
      </x:c>
      <x:c r="C1010" s="58" t="n">
        <x:v>1.15</x:v>
      </x:c>
      <x:c r="D1010" s="58" t="n">
        <x:v>1</x:v>
      </x:c>
      <x:c r="E1010" s="58" t="n">
        <x:v>1</x:v>
      </x:c>
      <x:c r="F1010" s="58" t="str">
        <x:v>SEARCH</x:v>
      </x:c>
      <x:c r="G1010" s="58" t="n">
        <x:v>1</x:v>
      </x:c>
      <x:c r="H1010" s="59" t="n">
        <x:v>1</x:v>
      </x:c>
      <x:c r="I1010" s="59" t="n">
        <x:v>0.02129</x:v>
      </x:c>
      <x:c r="J1010" s="59" t="n">
        <x:v>0.0187</x:v>
      </x:c>
      <x:c r="K1010" s="59" t="n">
        <x:v>0.01714</x:v>
      </x:c>
      <x:c r="L1010" s="59" t="n">
        <x:v>0.01278</x:v>
      </x:c>
      <x:c r="M1010" s="59" t="n">
        <x:v>0.02918</x:v>
      </x:c>
      <x:c r="N1010" s="60" t="n">
        <x:v>-98.15</x:v>
      </x:c>
      <x:c r="O1010" s="60" t="n">
        <x:v>45.49</x:v>
      </x:c>
      <x:c r="P1010" s="60" t="n">
        <x:v>57.04</x:v>
      </x:c>
      <x:c r="Q1010" s="60" t="n">
        <x:v>6.7</x:v>
      </x:c>
      <x:c r="R1010" s="58" t="str">
        <x:v>X</x:v>
      </x:c>
      <x:c r="S1010" s="60" t="n">
        <x:v>100</x:v>
      </x:c>
      <x:c r="T1010" s="58" t="str">
        <x:v>BELOW MEASUREMENT FLOOR — SEARCH CONTINUES</x:v>
      </x:c>
      <x:c r="U1010" s="58" t="n">
        <x:v>86</x:v>
      </x:c>
      <x:c r="V1010" s="58" t="str">
        <x:v>Pasted text(59).txt</x:v>
      </x:c>
    </x:row>
    <x:row r="1011">
      <x:c r="A1011" s="58" t="str">
        <x:v>S11</x:v>
      </x:c>
      <x:c r="B1011" s="58" t="str">
        <x:v>1.15 instability and response-collapse session</x:v>
      </x:c>
      <x:c r="C1011" s="58" t="n">
        <x:v>1.15</x:v>
      </x:c>
      <x:c r="D1011" s="58" t="n">
        <x:v>1</x:v>
      </x:c>
      <x:c r="E1011" s="58" t="n">
        <x:v>1</x:v>
      </x:c>
      <x:c r="F1011" s="58" t="str">
        <x:v>SEARCH</x:v>
      </x:c>
      <x:c r="G1011" s="58" t="n">
        <x:v>2</x:v>
      </x:c>
      <x:c r="H1011" s="59" t="n">
        <x:v>3</x:v>
      </x:c>
      <x:c r="I1011" s="59" t="n">
        <x:v>0.10739</x:v>
      </x:c>
      <x:c r="J1011" s="59" t="n">
        <x:v>0.10949</x:v>
      </x:c>
      <x:c r="K1011" s="59" t="n">
        <x:v>0.09165</x:v>
      </x:c>
      <x:c r="L1011" s="59" t="n">
        <x:v>0.0796</x:v>
      </x:c>
      <x:c r="M1011" s="59" t="n">
        <x:v>0.16452</x:v>
      </x:c>
      <x:c r="N1011" s="60" t="n">
        <x:v>-90.66</x:v>
      </x:c>
      <x:c r="O1011" s="60" t="n">
        <x:v>3.29</x:v>
      </x:c>
      <x:c r="P1011" s="60" t="n">
        <x:v>5.32</x:v>
      </x:c>
      <x:c r="Q1011" s="60" t="n">
        <x:v>27</x:v>
      </x:c>
      <x:c r="R1011" s="58" t="str">
        <x:v>X</x:v>
      </x:c>
      <x:c r="S1011" s="60" t="n">
        <x:v>100</x:v>
      </x:c>
      <x:c r="T1011" s="58" t="str">
        <x:v>BELOW MEASUREMENT FLOOR — SEARCH CONTINUES</x:v>
      </x:c>
      <x:c r="U1011" s="58" t="n">
        <x:v>87</x:v>
      </x:c>
      <x:c r="V1011" s="58" t="str">
        <x:v>Pasted text(59).txt</x:v>
      </x:c>
    </x:row>
    <x:row r="1012">
      <x:c r="A1012" s="58" t="str">
        <x:v>S11</x:v>
      </x:c>
      <x:c r="B1012" s="58" t="str">
        <x:v>1.15 instability and response-collapse session</x:v>
      </x:c>
      <x:c r="C1012" s="58" t="n">
        <x:v>1.15</x:v>
      </x:c>
      <x:c r="D1012" s="58" t="n">
        <x:v>1</x:v>
      </x:c>
      <x:c r="E1012" s="58" t="n">
        <x:v>1</x:v>
      </x:c>
      <x:c r="F1012" s="58" t="str">
        <x:v>SEARCH</x:v>
      </x:c>
      <x:c r="G1012" s="58" t="n">
        <x:v>3</x:v>
      </x:c>
      <x:c r="H1012" s="59" t="n">
        <x:v>5</x:v>
      </x:c>
      <x:c r="I1012" s="59" t="n">
        <x:v>0.19657</x:v>
      </x:c>
      <x:c r="J1012" s="59" t="n">
        <x:v>0.2012</x:v>
      </x:c>
      <x:c r="K1012" s="59" t="n">
        <x:v>0.15409</x:v>
      </x:c>
      <x:c r="L1012" s="59" t="n">
        <x:v>0.13041</x:v>
      </x:c>
      <x:c r="M1012" s="59" t="n">
        <x:v>0.28671</x:v>
      </x:c>
      <x:c r="N1012" s="60" t="n">
        <x:v>-82.91</x:v>
      </x:c>
      <x:c r="O1012" s="60" t="n">
        <x:v>4.01</x:v>
      </x:c>
      <x:c r="P1012" s="60" t="n">
        <x:v>6.41</x:v>
      </x:c>
      <x:c r="Q1012" s="60" t="n">
        <x:v>44.3</x:v>
      </x:c>
      <x:c r="R1012" s="58" t="str">
        <x:v>X</x:v>
      </x:c>
      <x:c r="S1012" s="60" t="n">
        <x:v>100</x:v>
      </x:c>
      <x:c r="T1012" s="58" t="str">
        <x:v>UNSTABLE — SEARCH CONTINUES</x:v>
      </x:c>
      <x:c r="U1012" s="58" t="n">
        <x:v>88</x:v>
      </x:c>
      <x:c r="V1012" s="58" t="str">
        <x:v>Pasted text(59).txt</x:v>
      </x:c>
    </x:row>
    <x:row r="1013">
      <x:c r="A1013" s="58" t="str">
        <x:v>S11</x:v>
      </x:c>
      <x:c r="B1013" s="58" t="str">
        <x:v>1.15 instability and response-collapse session</x:v>
      </x:c>
      <x:c r="C1013" s="58" t="n">
        <x:v>1.15</x:v>
      </x:c>
      <x:c r="D1013" s="58" t="n">
        <x:v>1</x:v>
      </x:c>
      <x:c r="E1013" s="58" t="n">
        <x:v>1</x:v>
      </x:c>
      <x:c r="F1013" s="58" t="str">
        <x:v>SEARCH</x:v>
      </x:c>
      <x:c r="G1013" s="58" t="n">
        <x:v>4</x:v>
      </x:c>
      <x:c r="H1013" s="59" t="n">
        <x:v>7</x:v>
      </x:c>
      <x:c r="I1013" s="59" t="n">
        <x:v>0.27961</x:v>
      </x:c>
      <x:c r="J1013" s="59" t="n">
        <x:v>0.28548</x:v>
      </x:c>
      <x:c r="K1013" s="59" t="n">
        <x:v>0.22462</x:v>
      </x:c>
      <x:c r="L1013" s="59" t="n">
        <x:v>0.21097</x:v>
      </x:c>
      <x:c r="M1013" s="59" t="n">
        <x:v>0.42031</x:v>
      </x:c>
      <x:c r="N1013" s="60" t="n">
        <x:v>-75.69</x:v>
      </x:c>
      <x:c r="O1013" s="60" t="n">
        <x:v>2.87</x:v>
      </x:c>
      <x:c r="P1013" s="60" t="n">
        <x:v>5.29</x:v>
      </x:c>
      <x:c r="Q1013" s="60" t="n">
        <x:v>55</x:v>
      </x:c>
      <x:c r="R1013" s="58" t="str">
        <x:v>X</x:v>
      </x:c>
      <x:c r="S1013" s="60" t="n">
        <x:v>100</x:v>
      </x:c>
      <x:c r="T1013" s="58" t="str">
        <x:v>VALID</x:v>
      </x:c>
      <x:c r="U1013" s="58" t="n">
        <x:v>89</x:v>
      </x:c>
      <x:c r="V1013" s="58" t="str">
        <x:v>Pasted text(59).txt</x:v>
      </x:c>
    </x:row>
    <x:row r="1014">
      <x:c r="A1014" s="58" t="str">
        <x:v>S11</x:v>
      </x:c>
      <x:c r="B1014" s="58" t="str">
        <x:v>1.15 instability and response-collapse session</x:v>
      </x:c>
      <x:c r="C1014" s="58" t="n">
        <x:v>1.15</x:v>
      </x:c>
      <x:c r="D1014" s="58" t="n">
        <x:v>1</x:v>
      </x:c>
      <x:c r="E1014" s="58" t="n">
        <x:v>1</x:v>
      </x:c>
      <x:c r="F1014" s="58" t="str">
        <x:v>SEARCH</x:v>
      </x:c>
      <x:c r="G1014" s="58" t="n">
        <x:v>5</x:v>
      </x:c>
      <x:c r="H1014" s="59" t="n">
        <x:v>9</x:v>
      </x:c>
      <x:c r="I1014" s="59" t="n">
        <x:v>0.36524</x:v>
      </x:c>
      <x:c r="J1014" s="59" t="n">
        <x:v>0.3719</x:v>
      </x:c>
      <x:c r="K1014" s="59" t="n">
        <x:v>0.27826</x:v>
      </x:c>
      <x:c r="L1014" s="59" t="n">
        <x:v>0.26228</x:v>
      </x:c>
      <x:c r="M1014" s="59" t="n">
        <x:v>0.53374</x:v>
      </x:c>
      <x:c r="N1014" s="60" t="n">
        <x:v>-68.24</x:v>
      </x:c>
      <x:c r="O1014" s="60" t="n">
        <x:v>1.49</x:v>
      </x:c>
      <x:c r="P1014" s="60" t="n">
        <x:v>3.98</x:v>
      </x:c>
      <x:c r="Q1014" s="60" t="n">
        <x:v>61.9</x:v>
      </x:c>
      <x:c r="R1014" s="58" t="str">
        <x:v>X</x:v>
      </x:c>
      <x:c r="S1014" s="60" t="n">
        <x:v>100</x:v>
      </x:c>
      <x:c r="T1014" s="58" t="str">
        <x:v>VALID</x:v>
      </x:c>
      <x:c r="U1014" s="58" t="n">
        <x:v>90</x:v>
      </x:c>
      <x:c r="V1014" s="58" t="str">
        <x:v>Pasted text(59).txt</x:v>
      </x:c>
    </x:row>
    <x:row r="1015">
      <x:c r="A1015" s="58" t="str">
        <x:v>S11</x:v>
      </x:c>
      <x:c r="B1015" s="58" t="str">
        <x:v>1.15 instability and response-collapse session</x:v>
      </x:c>
      <x:c r="C1015" s="58" t="n">
        <x:v>1.15</x:v>
      </x:c>
      <x:c r="D1015" s="58" t="n">
        <x:v>1</x:v>
      </x:c>
      <x:c r="E1015" s="58" t="n">
        <x:v>1</x:v>
      </x:c>
      <x:c r="F1015" s="58" t="str">
        <x:v>SEARCH</x:v>
      </x:c>
      <x:c r="G1015" s="58" t="n">
        <x:v>6</x:v>
      </x:c>
      <x:c r="H1015" s="59" t="n">
        <x:v>10</x:v>
      </x:c>
      <x:c r="I1015" s="59" t="n">
        <x:v>0.42822</x:v>
      </x:c>
      <x:c r="J1015" s="59" t="n">
        <x:v>0.42741</x:v>
      </x:c>
      <x:c r="K1015" s="59" t="n">
        <x:v>0.30194</x:v>
      </x:c>
      <x:c r="L1015" s="59" t="n">
        <x:v>0.2499</x:v>
      </x:c>
      <x:c r="M1015" s="59" t="n">
        <x:v>0.5805</x:v>
      </x:c>
      <x:c r="N1015" s="60" t="n">
        <x:v>-62.76</x:v>
      </x:c>
      <x:c r="O1015" s="60" t="n">
        <x:v>0.39</x:v>
      </x:c>
      <x:c r="P1015" s="60" t="n">
        <x:v>0.57</x:v>
      </x:c>
      <x:c r="Q1015" s="60" t="n">
        <x:v>65.3</x:v>
      </x:c>
      <x:c r="R1015" s="58" t="str">
        <x:v>X</x:v>
      </x:c>
      <x:c r="S1015" s="60" t="n">
        <x:v>100</x:v>
      </x:c>
      <x:c r="T1015" s="58" t="str">
        <x:v>VALID</x:v>
      </x:c>
      <x:c r="U1015" s="58" t="n">
        <x:v>91</x:v>
      </x:c>
      <x:c r="V1015" s="58" t="str">
        <x:v>Pasted text(59).txt</x:v>
      </x:c>
    </x:row>
    <x:row r="1016">
      <x:c r="A1016" s="58" t="str">
        <x:v>S11</x:v>
      </x:c>
      <x:c r="B1016" s="58" t="str">
        <x:v>1.15 instability and response-collapse session</x:v>
      </x:c>
      <x:c r="C1016" s="58" t="n">
        <x:v>1.15</x:v>
      </x:c>
      <x:c r="D1016" s="58" t="n">
        <x:v>1</x:v>
      </x:c>
      <x:c r="E1016" s="58" t="n">
        <x:v>1</x:v>
      </x:c>
      <x:c r="F1016" s="58" t="str">
        <x:v>SEARCH</x:v>
      </x:c>
      <x:c r="G1016" s="58" t="n">
        <x:v>7</x:v>
      </x:c>
      <x:c r="H1016" s="59" t="n">
        <x:v>11</x:v>
      </x:c>
      <x:c r="I1016" s="59" t="n">
        <x:v>0.4642</x:v>
      </x:c>
      <x:c r="J1016" s="59" t="n">
        <x:v>0.46546</x:v>
      </x:c>
      <x:c r="K1016" s="59" t="n">
        <x:v>0.31775</x:v>
      </x:c>
      <x:c r="L1016" s="59" t="n">
        <x:v>0.2872</x:v>
      </x:c>
      <x:c r="M1016" s="59" t="n">
        <x:v>0.633</x:v>
      </x:c>
      <x:c r="N1016" s="60" t="n">
        <x:v>-59.63</x:v>
      </x:c>
      <x:c r="O1016" s="60" t="n">
        <x:v>2.06</x:v>
      </x:c>
      <x:c r="P1016" s="60" t="n">
        <x:v>1.81</x:v>
      </x:c>
      <x:c r="Q1016" s="60" t="n">
        <x:v>66</x:v>
      </x:c>
      <x:c r="R1016" s="58" t="str">
        <x:v>X</x:v>
      </x:c>
      <x:c r="S1016" s="60" t="n">
        <x:v>100</x:v>
      </x:c>
      <x:c r="T1016" s="58" t="str">
        <x:v>VALID</x:v>
      </x:c>
      <x:c r="U1016" s="58" t="n">
        <x:v>92</x:v>
      </x:c>
      <x:c r="V1016" s="58" t="str">
        <x:v>Pasted text(59).txt</x:v>
      </x:c>
    </x:row>
    <x:row r="1017">
      <x:c r="A1017" s="58" t="str">
        <x:v>S11</x:v>
      </x:c>
      <x:c r="B1017" s="58" t="str">
        <x:v>1.15 instability and response-collapse session</x:v>
      </x:c>
      <x:c r="C1017" s="58" t="n">
        <x:v>1.15</x:v>
      </x:c>
      <x:c r="D1017" s="58" t="n">
        <x:v>1</x:v>
      </x:c>
      <x:c r="E1017" s="58" t="n">
        <x:v>1</x:v>
      </x:c>
      <x:c r="F1017" s="58" t="str">
        <x:v>SEARCH</x:v>
      </x:c>
      <x:c r="G1017" s="58" t="n">
        <x:v>8</x:v>
      </x:c>
      <x:c r="H1017" s="59" t="n">
        <x:v>12</x:v>
      </x:c>
      <x:c r="I1017" s="59" t="n">
        <x:v>0.51967</x:v>
      </x:c>
      <x:c r="J1017" s="59" t="n">
        <x:v>0.52213</x:v>
      </x:c>
      <x:c r="K1017" s="59" t="n">
        <x:v>0.34227</x:v>
      </x:c>
      <x:c r="L1017" s="59" t="n">
        <x:v>0.30977</x:v>
      </x:c>
      <x:c r="M1017" s="59" t="n">
        <x:v>0.69698</x:v>
      </x:c>
      <x:c r="N1017" s="60" t="n">
        <x:v>-54.81</x:v>
      </x:c>
      <x:c r="O1017" s="60" t="n">
        <x:v>1.02</x:v>
      </x:c>
      <x:c r="P1017" s="60" t="n">
        <x:v>1.45</x:v>
      </x:c>
      <x:c r="Q1017" s="60" t="n">
        <x:v>68.9</x:v>
      </x:c>
      <x:c r="R1017" s="58" t="str">
        <x:v>X</x:v>
      </x:c>
      <x:c r="S1017" s="60" t="n">
        <x:v>100</x:v>
      </x:c>
      <x:c r="T1017" s="58" t="str">
        <x:v>VALID</x:v>
      </x:c>
      <x:c r="U1017" s="58" t="n">
        <x:v>93</x:v>
      </x:c>
      <x:c r="V1017" s="58" t="str">
        <x:v>Pasted text(59).txt</x:v>
      </x:c>
    </x:row>
    <x:row r="1018">
      <x:c r="A1018" s="58" t="str">
        <x:v>S11</x:v>
      </x:c>
      <x:c r="B1018" s="58" t="str">
        <x:v>1.15 instability and response-collapse session</x:v>
      </x:c>
      <x:c r="C1018" s="58" t="n">
        <x:v>1.15</x:v>
      </x:c>
      <x:c r="D1018" s="58" t="n">
        <x:v>1</x:v>
      </x:c>
      <x:c r="E1018" s="58" t="n">
        <x:v>1</x:v>
      </x:c>
      <x:c r="F1018" s="58" t="str">
        <x:v>SEARCH</x:v>
      </x:c>
      <x:c r="G1018" s="58" t="n">
        <x:v>9</x:v>
      </x:c>
      <x:c r="H1018" s="59" t="n">
        <x:v>13</x:v>
      </x:c>
      <x:c r="I1018" s="59" t="n">
        <x:v>0.58331</x:v>
      </x:c>
      <x:c r="J1018" s="59" t="n">
        <x:v>0.57717</x:v>
      </x:c>
      <x:c r="K1018" s="59" t="n">
        <x:v>0.33607</x:v>
      </x:c>
      <x:c r="L1018" s="59" t="n">
        <x:v>0.29843</x:v>
      </x:c>
      <x:c r="M1018" s="59" t="n">
        <x:v>0.73167</x:v>
      </x:c>
      <x:c r="N1018" s="60" t="n">
        <x:v>-49.28</x:v>
      </x:c>
      <x:c r="O1018" s="60" t="n">
        <x:v>0.25</x:v>
      </x:c>
      <x:c r="P1018" s="60" t="n">
        <x:v>1.99</x:v>
      </x:c>
      <x:c r="Q1018" s="60" t="n">
        <x:v>70</x:v>
      </x:c>
      <x:c r="R1018" s="58" t="str">
        <x:v>X</x:v>
      </x:c>
      <x:c r="S1018" s="60" t="n">
        <x:v>100</x:v>
      </x:c>
      <x:c r="T1018" s="58" t="str">
        <x:v>VALID</x:v>
      </x:c>
      <x:c r="U1018" s="58" t="n">
        <x:v>94</x:v>
      </x:c>
      <x:c r="V1018" s="58" t="str">
        <x:v>Pasted text(59).txt</x:v>
      </x:c>
    </x:row>
    <x:row r="1019">
      <x:c r="A1019" s="58" t="str">
        <x:v>S11</x:v>
      </x:c>
      <x:c r="B1019" s="58" t="str">
        <x:v>1.15 instability and response-collapse session</x:v>
      </x:c>
      <x:c r="C1019" s="58" t="n">
        <x:v>1.15</x:v>
      </x:c>
      <x:c r="D1019" s="58" t="n">
        <x:v>1</x:v>
      </x:c>
      <x:c r="E1019" s="58" t="n">
        <x:v>1</x:v>
      </x:c>
      <x:c r="F1019" s="58" t="str">
        <x:v>SEARCH</x:v>
      </x:c>
      <x:c r="G1019" s="58" t="n">
        <x:v>10</x:v>
      </x:c>
      <x:c r="H1019" s="59" t="n">
        <x:v>14</x:v>
      </x:c>
      <x:c r="I1019" s="59" t="n">
        <x:v>0.7949</x:v>
      </x:c>
      <x:c r="J1019" s="59" t="n">
        <x:v>0.80394</x:v>
      </x:c>
      <x:c r="K1019" s="59" t="n">
        <x:v>0.38208</x:v>
      </x:c>
      <x:c r="L1019" s="59" t="n">
        <x:v>0.07667</x:v>
      </x:c>
      <x:c r="M1019" s="59" t="n">
        <x:v>0.89381</x:v>
      </x:c>
      <x:c r="N1019" s="60" t="n">
        <x:v>-30.88</x:v>
      </x:c>
      <x:c r="O1019" s="60" t="n">
        <x:v>0.51</x:v>
      </x:c>
      <x:c r="P1019" s="60" t="n">
        <x:v>2.25</x:v>
      </x:c>
      <x:c r="Q1019" s="60" t="n">
        <x:v>79.5</x:v>
      </x:c>
      <x:c r="R1019" s="58" t="str">
        <x:v>X</x:v>
      </x:c>
      <x:c r="S1019" s="60" t="n">
        <x:v>100</x:v>
      </x:c>
      <x:c r="T1019" s="58" t="str">
        <x:v>VALID</x:v>
      </x:c>
      <x:c r="U1019" s="58" t="n">
        <x:v>95</x:v>
      </x:c>
      <x:c r="V1019" s="58" t="str">
        <x:v>Pasted text(59).txt</x:v>
      </x:c>
    </x:row>
    <x:row r="1020">
      <x:c r="A1020" s="58" t="str">
        <x:v>S11</x:v>
      </x:c>
      <x:c r="B1020" s="58" t="str">
        <x:v>1.15 instability and response-collapse session</x:v>
      </x:c>
      <x:c r="C1020" s="58" t="n">
        <x:v>1.15</x:v>
      </x:c>
      <x:c r="D1020" s="58" t="n">
        <x:v>1</x:v>
      </x:c>
      <x:c r="E1020" s="58" t="n">
        <x:v>1</x:v>
      </x:c>
      <x:c r="F1020" s="58" t="str">
        <x:v>SEARCH</x:v>
      </x:c>
      <x:c r="G1020" s="58" t="n">
        <x:v>11</x:v>
      </x:c>
      <x:c r="H1020" s="59" t="n">
        <x:v>14.5</x:v>
      </x:c>
      <x:c r="I1020" s="59" t="n">
        <x:v>0.8674</x:v>
      </x:c>
      <x:c r="J1020" s="59" t="n">
        <x:v>0.8661</x:v>
      </x:c>
      <x:c r="K1020" s="59" t="n">
        <x:v>0.45354</x:v>
      </x:c>
      <x:c r="L1020" s="59" t="n">
        <x:v>0.05292</x:v>
      </x:c>
      <x:c r="M1020" s="59" t="n">
        <x:v>0.97922</x:v>
      </x:c>
      <x:c r="N1020" s="60" t="n">
        <x:v>-24.57</x:v>
      </x:c>
      <x:c r="O1020" s="60" t="n">
        <x:v>3.11</x:v>
      </x:c>
      <x:c r="P1020" s="60" t="n">
        <x:v>2.33</x:v>
      </x:c>
      <x:c r="Q1020" s="60" t="n">
        <x:v>83.4</x:v>
      </x:c>
      <x:c r="R1020" s="58" t="str">
        <x:v>X</x:v>
      </x:c>
      <x:c r="S1020" s="60" t="n">
        <x:v>100</x:v>
      </x:c>
      <x:c r="T1020" s="58" t="str">
        <x:v>VALID</x:v>
      </x:c>
      <x:c r="U1020" s="58" t="n">
        <x:v>96</x:v>
      </x:c>
      <x:c r="V1020" s="58" t="str">
        <x:v>Pasted text(59).txt</x:v>
      </x:c>
    </x:row>
    <x:row r="1021">
      <x:c r="A1021" s="58" t="str">
        <x:v>S11</x:v>
      </x:c>
      <x:c r="B1021" s="58" t="str">
        <x:v>1.15 instability and response-collapse session</x:v>
      </x:c>
      <x:c r="C1021" s="58" t="n">
        <x:v>1.15</x:v>
      </x:c>
      <x:c r="D1021" s="58" t="n">
        <x:v>1</x:v>
      </x:c>
      <x:c r="E1021" s="58" t="n">
        <x:v>1</x:v>
      </x:c>
      <x:c r="F1021" s="58" t="str">
        <x:v>SEARCH</x:v>
      </x:c>
      <x:c r="G1021" s="58" t="n">
        <x:v>12</x:v>
      </x:c>
      <x:c r="H1021" s="59" t="n">
        <x:v>15</x:v>
      </x:c>
      <x:c r="I1021" s="59" t="n">
        <x:v>0.87657</x:v>
      </x:c>
      <x:c r="J1021" s="59" t="n">
        <x:v>0.87873</x:v>
      </x:c>
      <x:c r="K1021" s="59" t="n">
        <x:v>0.49935</x:v>
      </x:c>
      <x:c r="L1021" s="59" t="n">
        <x:v>0.07079</x:v>
      </x:c>
      <x:c r="M1021" s="59" t="n">
        <x:v>1.01412</x:v>
      </x:c>
      <x:c r="N1021" s="60" t="n">
        <x:v>-23.78</x:v>
      </x:c>
      <x:c r="O1021" s="60" t="n">
        <x:v>3.39</x:v>
      </x:c>
      <x:c r="P1021" s="60" t="n">
        <x:v>2.66</x:v>
      </x:c>
      <x:c r="Q1021" s="60" t="n">
        <x:v>79.6</x:v>
      </x:c>
      <x:c r="R1021" s="58" t="str">
        <x:v>X</x:v>
      </x:c>
      <x:c r="S1021" s="60" t="n">
        <x:v>100</x:v>
      </x:c>
      <x:c r="T1021" s="58" t="str">
        <x:v>VALID</x:v>
      </x:c>
      <x:c r="U1021" s="58" t="n">
        <x:v>97</x:v>
      </x:c>
      <x:c r="V1021" s="58" t="str">
        <x:v>Pasted text(59).txt</x:v>
      </x:c>
    </x:row>
    <x:row r="1022">
      <x:c r="A1022" s="58" t="str">
        <x:v>S11</x:v>
      </x:c>
      <x:c r="B1022" s="58" t="str">
        <x:v>1.15 instability and response-collapse session</x:v>
      </x:c>
      <x:c r="C1022" s="58" t="n">
        <x:v>1.15</x:v>
      </x:c>
      <x:c r="D1022" s="58" t="n">
        <x:v>1</x:v>
      </x:c>
      <x:c r="E1022" s="58" t="n">
        <x:v>1</x:v>
      </x:c>
      <x:c r="F1022" s="58" t="str">
        <x:v>SEARCH</x:v>
      </x:c>
      <x:c r="G1022" s="58" t="n">
        <x:v>13</x:v>
      </x:c>
      <x:c r="H1022" s="59" t="n">
        <x:v>15.5</x:v>
      </x:c>
      <x:c r="I1022" s="59" t="n">
        <x:v>0.93389</x:v>
      </x:c>
      <x:c r="J1022" s="59" t="n">
        <x:v>0.92867</x:v>
      </x:c>
      <x:c r="K1022" s="59" t="n">
        <x:v>0.55061</x:v>
      </x:c>
      <x:c r="L1022" s="59" t="n">
        <x:v>0.1121</x:v>
      </x:c>
      <x:c r="M1022" s="59" t="n">
        <x:v>1.08571</x:v>
      </x:c>
      <x:c r="N1022" s="60" t="n">
        <x:v>-18.79</x:v>
      </x:c>
      <x:c r="O1022" s="60" t="n">
        <x:v>0.82</x:v>
      </x:c>
      <x:c r="P1022" s="60" t="n">
        <x:v>1.48</x:v>
      </x:c>
      <x:c r="Q1022" s="60" t="n">
        <x:v>80.7</x:v>
      </x:c>
      <x:c r="R1022" s="58" t="str">
        <x:v>X</x:v>
      </x:c>
      <x:c r="S1022" s="60" t="n">
        <x:v>100</x:v>
      </x:c>
      <x:c r="T1022" s="58" t="str">
        <x:v>VALID</x:v>
      </x:c>
      <x:c r="U1022" s="58" t="n">
        <x:v>98</x:v>
      </x:c>
      <x:c r="V1022" s="58" t="str">
        <x:v>Pasted text(59).txt</x:v>
      </x:c>
    </x:row>
    <x:row r="1023">
      <x:c r="A1023" s="58" t="str">
        <x:v>S11</x:v>
      </x:c>
      <x:c r="B1023" s="58" t="str">
        <x:v>1.15 instability and response-collapse session</x:v>
      </x:c>
      <x:c r="C1023" s="58" t="n">
        <x:v>1.15</x:v>
      </x:c>
      <x:c r="D1023" s="58" t="n">
        <x:v>1</x:v>
      </x:c>
      <x:c r="E1023" s="58" t="n">
        <x:v>1</x:v>
      </x:c>
      <x:c r="F1023" s="58" t="str">
        <x:v>SEARCH</x:v>
      </x:c>
      <x:c r="G1023" s="58" t="n">
        <x:v>14</x:v>
      </x:c>
      <x:c r="H1023" s="59" t="n">
        <x:v>16</x:v>
      </x:c>
      <x:c r="I1023" s="59" t="n">
        <x:v>1.00736</x:v>
      </x:c>
      <x:c r="J1023" s="59" t="n">
        <x:v>1.01693</x:v>
      </x:c>
      <x:c r="K1023" s="59" t="n">
        <x:v>0.56305</x:v>
      </x:c>
      <x:c r="L1023" s="59" t="n">
        <x:v>0.15326</x:v>
      </x:c>
      <x:c r="M1023" s="59" t="n">
        <x:v>1.17314</x:v>
      </x:c>
      <x:c r="N1023" s="60" t="n">
        <x:v>-12.4</x:v>
      </x:c>
      <x:c r="O1023" s="60" t="n">
        <x:v>1.17</x:v>
      </x:c>
      <x:c r="P1023" s="60" t="n">
        <x:v>2.34</x:v>
      </x:c>
      <x:c r="Q1023" s="60" t="n">
        <x:v>80.6</x:v>
      </x:c>
      <x:c r="R1023" s="58" t="str">
        <x:v>X</x:v>
      </x:c>
      <x:c r="S1023" s="60" t="n">
        <x:v>100</x:v>
      </x:c>
      <x:c r="T1023" s="58" t="str">
        <x:v>VALID</x:v>
      </x:c>
      <x:c r="U1023" s="58" t="n">
        <x:v>99</x:v>
      </x:c>
      <x:c r="V1023" s="58" t="str">
        <x:v>Pasted text(59).txt</x:v>
      </x:c>
    </x:row>
    <x:row r="1024">
      <x:c r="A1024" s="58" t="str">
        <x:v>S11</x:v>
      </x:c>
      <x:c r="B1024" s="58" t="str">
        <x:v>1.15 instability and response-collapse session</x:v>
      </x:c>
      <x:c r="C1024" s="58" t="n">
        <x:v>1.15</x:v>
      </x:c>
      <x:c r="D1024" s="58" t="n">
        <x:v>1</x:v>
      </x:c>
      <x:c r="E1024" s="58" t="n">
        <x:v>1</x:v>
      </x:c>
      <x:c r="F1024" s="58" t="str">
        <x:v>SEARCH</x:v>
      </x:c>
      <x:c r="G1024" s="58" t="n">
        <x:v>15</x:v>
      </x:c>
      <x:c r="H1024" s="59" t="n">
        <x:v>16.25</x:v>
      </x:c>
      <x:c r="I1024" s="59" t="n">
        <x:v>1.05113</x:v>
      </x:c>
      <x:c r="J1024" s="59" t="n">
        <x:v>1.04537</x:v>
      </x:c>
      <x:c r="K1024" s="59" t="n">
        <x:v>0.56118</x:v>
      </x:c>
      <x:c r="L1024" s="59" t="n">
        <x:v>0.20707</x:v>
      </x:c>
      <x:c r="M1024" s="59" t="n">
        <x:v>1.20448</x:v>
      </x:c>
      <x:c r="N1024" s="60" t="n">
        <x:v>-8.6</x:v>
      </x:c>
      <x:c r="O1024" s="60" t="n">
        <x:v>1.25</x:v>
      </x:c>
      <x:c r="P1024" s="60" t="n">
        <x:v>1.74</x:v>
      </x:c>
      <x:c r="Q1024" s="60" t="n">
        <x:v>80</x:v>
      </x:c>
      <x:c r="R1024" s="58" t="str">
        <x:v>X</x:v>
      </x:c>
      <x:c r="S1024" s="60" t="n">
        <x:v>100</x:v>
      </x:c>
      <x:c r="T1024" s="58" t="str">
        <x:v>VALID</x:v>
      </x:c>
      <x:c r="U1024" s="58" t="n">
        <x:v>100</x:v>
      </x:c>
      <x:c r="V1024" s="58" t="str">
        <x:v>Pasted text(59).txt</x:v>
      </x:c>
    </x:row>
    <x:row r="1025">
      <x:c r="A1025" s="58" t="str">
        <x:v>S11</x:v>
      </x:c>
      <x:c r="B1025" s="58" t="str">
        <x:v>1.15 instability and response-collapse session</x:v>
      </x:c>
      <x:c r="C1025" s="58" t="n">
        <x:v>1.15</x:v>
      </x:c>
      <x:c r="D1025" s="58" t="n">
        <x:v>1</x:v>
      </x:c>
      <x:c r="E1025" s="58" t="n">
        <x:v>1</x:v>
      </x:c>
      <x:c r="F1025" s="58" t="str">
        <x:v>SEARCH</x:v>
      </x:c>
      <x:c r="G1025" s="58" t="n">
        <x:v>16</x:v>
      </x:c>
      <x:c r="H1025" s="59" t="n">
        <x:v>16.5</x:v>
      </x:c>
      <x:c r="I1025" s="59" t="n">
        <x:v>1.05774</x:v>
      </x:c>
      <x:c r="J1025" s="59" t="n">
        <x:v>1.05813</x:v>
      </x:c>
      <x:c r="K1025" s="59" t="n">
        <x:v>0.60174</x:v>
      </x:c>
      <x:c r="L1025" s="59" t="n">
        <x:v>0.22573</x:v>
      </x:c>
      <x:c r="M1025" s="59" t="n">
        <x:v>1.23809</x:v>
      </x:c>
      <x:c r="N1025" s="60" t="n">
        <x:v>-8.02</x:v>
      </x:c>
      <x:c r="O1025" s="60" t="n">
        <x:v>1.52</x:v>
      </x:c>
      <x:c r="P1025" s="60" t="n">
        <x:v>1.08</x:v>
      </x:c>
      <x:c r="Q1025" s="60" t="n">
        <x:v>81</x:v>
      </x:c>
      <x:c r="R1025" s="58" t="str">
        <x:v>X</x:v>
      </x:c>
      <x:c r="S1025" s="60" t="n">
        <x:v>100</x:v>
      </x:c>
      <x:c r="T1025" s="58" t="str">
        <x:v>VALID</x:v>
      </x:c>
      <x:c r="U1025" s="58" t="n">
        <x:v>101</x:v>
      </x:c>
      <x:c r="V1025" s="58" t="str">
        <x:v>Pasted text(59).txt</x:v>
      </x:c>
    </x:row>
    <x:row r="1026">
      <x:c r="A1026" s="58" t="str">
        <x:v>S11</x:v>
      </x:c>
      <x:c r="B1026" s="58" t="str">
        <x:v>1.15 instability and response-collapse session</x:v>
      </x:c>
      <x:c r="C1026" s="58" t="n">
        <x:v>1.15</x:v>
      </x:c>
      <x:c r="D1026" s="58" t="n">
        <x:v>1</x:v>
      </x:c>
      <x:c r="E1026" s="58" t="n">
        <x:v>1</x:v>
      </x:c>
      <x:c r="F1026" s="58" t="str">
        <x:v>SEARCH</x:v>
      </x:c>
      <x:c r="G1026" s="58" t="n">
        <x:v>17</x:v>
      </x:c>
      <x:c r="H1026" s="59" t="n">
        <x:v>16.75</x:v>
      </x:c>
      <x:c r="I1026" s="59" t="n">
        <x:v>1.04211</x:v>
      </x:c>
      <x:c r="J1026" s="59" t="n">
        <x:v>1.03969</x:v>
      </x:c>
      <x:c r="K1026" s="59" t="n">
        <x:v>0.64989</x:v>
      </x:c>
      <x:c r="L1026" s="59" t="n">
        <x:v>0.16724</x:v>
      </x:c>
      <x:c r="M1026" s="59" t="n">
        <x:v>1.23787</x:v>
      </x:c>
      <x:c r="N1026" s="60" t="n">
        <x:v>-9.38</x:v>
      </x:c>
      <x:c r="O1026" s="60" t="n">
        <x:v>1.33</x:v>
      </x:c>
      <x:c r="P1026" s="60" t="n">
        <x:v>1.26</x:v>
      </x:c>
      <x:c r="Q1026" s="60" t="n">
        <x:v>78.1</x:v>
      </x:c>
      <x:c r="R1026" s="58" t="str">
        <x:v>X</x:v>
      </x:c>
      <x:c r="S1026" s="60" t="n">
        <x:v>100</x:v>
      </x:c>
      <x:c r="T1026" s="58" t="str">
        <x:v>VALID</x:v>
      </x:c>
      <x:c r="U1026" s="58" t="n">
        <x:v>102</x:v>
      </x:c>
      <x:c r="V1026" s="58" t="str">
        <x:v>Pasted text(59).txt</x:v>
      </x:c>
    </x:row>
    <x:row r="1027">
      <x:c r="A1027" s="58" t="str">
        <x:v>S11</x:v>
      </x:c>
      <x:c r="B1027" s="58" t="str">
        <x:v>1.15 instability and response-collapse session</x:v>
      </x:c>
      <x:c r="C1027" s="58" t="n">
        <x:v>1.15</x:v>
      </x:c>
      <x:c r="D1027" s="58" t="n">
        <x:v>1</x:v>
      </x:c>
      <x:c r="E1027" s="58" t="n">
        <x:v>1</x:v>
      </x:c>
      <x:c r="F1027" s="58" t="str">
        <x:v>SEARCH</x:v>
      </x:c>
      <x:c r="G1027" s="58" t="n">
        <x:v>18</x:v>
      </x:c>
      <x:c r="H1027" s="59" t="n">
        <x:v>17</x:v>
      </x:c>
      <x:c r="I1027" s="59" t="n">
        <x:v>1.04798</x:v>
      </x:c>
      <x:c r="J1027" s="59" t="n">
        <x:v>1.04739</x:v>
      </x:c>
      <x:c r="K1027" s="59" t="n">
        <x:v>0.70625</x:v>
      </x:c>
      <x:c r="L1027" s="59" t="n">
        <x:v>0.14043</x:v>
      </x:c>
      <x:c r="M1027" s="59" t="n">
        <x:v>1.27129</x:v>
      </x:c>
      <x:c r="N1027" s="60" t="n">
        <x:v>-8.87</x:v>
      </x:c>
      <x:c r="O1027" s="60" t="n">
        <x:v>0.6</x:v>
      </x:c>
      <x:c r="P1027" s="60" t="n">
        <x:v>0.49</x:v>
      </x:c>
      <x:c r="Q1027" s="60" t="n">
        <x:v>78.1</x:v>
      </x:c>
      <x:c r="R1027" s="58" t="str">
        <x:v>X</x:v>
      </x:c>
      <x:c r="S1027" s="60" t="n">
        <x:v>100</x:v>
      </x:c>
      <x:c r="T1027" s="58" t="str">
        <x:v>VALID</x:v>
      </x:c>
      <x:c r="U1027" s="58" t="n">
        <x:v>103</x:v>
      </x:c>
      <x:c r="V1027" s="58" t="str">
        <x:v>Pasted text(59).txt</x:v>
      </x:c>
    </x:row>
    <x:row r="1028">
      <x:c r="A1028" s="58" t="str">
        <x:v>S11</x:v>
      </x:c>
      <x:c r="B1028" s="58" t="str">
        <x:v>1.15 instability and response-collapse session</x:v>
      </x:c>
      <x:c r="C1028" s="58" t="n">
        <x:v>1.15</x:v>
      </x:c>
      <x:c r="D1028" s="58" t="n">
        <x:v>1</x:v>
      </x:c>
      <x:c r="E1028" s="58" t="n">
        <x:v>1</x:v>
      </x:c>
      <x:c r="F1028" s="58" t="str">
        <x:v>SEARCH</x:v>
      </x:c>
      <x:c r="G1028" s="58" t="n">
        <x:v>19</x:v>
      </x:c>
      <x:c r="H1028" s="59" t="n">
        <x:v>17.25</x:v>
      </x:c>
      <x:c r="I1028" s="59" t="n">
        <x:v>1.06984</x:v>
      </x:c>
      <x:c r="J1028" s="59" t="n">
        <x:v>1.07382</x:v>
      </x:c>
      <x:c r="K1028" s="59" t="n">
        <x:v>0.73752</x:v>
      </x:c>
      <x:c r="L1028" s="59" t="n">
        <x:v>0.18416</x:v>
      </x:c>
      <x:c r="M1028" s="59" t="n">
        <x:v>1.31571</x:v>
      </x:c>
      <x:c r="N1028" s="60" t="n">
        <x:v>-6.97</x:v>
      </x:c>
      <x:c r="O1028" s="60" t="n">
        <x:v>0.32</x:v>
      </x:c>
      <x:c r="P1028" s="60" t="n">
        <x:v>0.83</x:v>
      </x:c>
      <x:c r="Q1028" s="60" t="n">
        <x:v>78.1</x:v>
      </x:c>
      <x:c r="R1028" s="58" t="str">
        <x:v>X</x:v>
      </x:c>
      <x:c r="S1028" s="60" t="n">
        <x:v>100</x:v>
      </x:c>
      <x:c r="T1028" s="58" t="str">
        <x:v>IN TARGET BAND</x:v>
      </x:c>
      <x:c r="U1028" s="58" t="n">
        <x:v>104</x:v>
      </x:c>
      <x:c r="V1028" s="58" t="str">
        <x:v>Pasted text(59).txt</x:v>
      </x:c>
    </x:row>
    <x:row r="1029">
      <x:c r="A1029" s="58" t="str">
        <x:v>S11</x:v>
      </x:c>
      <x:c r="B1029" s="58" t="str">
        <x:v>1.15 instability and response-collapse session</x:v>
      </x:c>
      <x:c r="C1029" s="58" t="n">
        <x:v>1.15</x:v>
      </x:c>
      <x:c r="D1029" s="58" t="n">
        <x:v>1</x:v>
      </x:c>
      <x:c r="E1029" s="58" t="n">
        <x:v>1</x:v>
      </x:c>
      <x:c r="F1029" s="58" t="str">
        <x:v>FINE</x:v>
      </x:c>
      <x:c r="G1029" s="58" t="n">
        <x:v>1</x:v>
      </x:c>
      <x:c r="H1029" s="59" t="n">
        <x:v>16.25</x:v>
      </x:c>
      <x:c r="I1029" s="59" t="n">
        <x:v>1.02745</x:v>
      </x:c>
      <x:c r="J1029" s="59" t="n">
        <x:v>1.01996</x:v>
      </x:c>
      <x:c r="K1029" s="59" t="n">
        <x:v>0.72721</x:v>
      </x:c>
      <x:c r="L1029" s="59" t="n">
        <x:v>0.17069</x:v>
      </x:c>
      <x:c r="M1029" s="59" t="n">
        <x:v>1.26435</x:v>
      </x:c>
      <x:c r="N1029" s="60" t="n">
        <x:v>-10.66</x:v>
      </x:c>
      <x:c r="O1029" s="60" t="n">
        <x:v>0.09</x:v>
      </x:c>
      <x:c r="P1029" s="60" t="n">
        <x:v>1.33</x:v>
      </x:c>
      <x:c r="Q1029" s="60" t="n">
        <x:v>79.3</x:v>
      </x:c>
      <x:c r="R1029" s="58" t="str">
        <x:v>X</x:v>
      </x:c>
      <x:c r="S1029" s="60" t="n">
        <x:v>100</x:v>
      </x:c>
      <x:c r="T1029" s="58" t="str">
        <x:v>VALID</x:v>
      </x:c>
      <x:c r="U1029" s="58" t="n">
        <x:v>108</x:v>
      </x:c>
      <x:c r="V1029" s="58" t="str">
        <x:v>Pasted text(59).txt</x:v>
      </x:c>
    </x:row>
    <x:row r="1030">
      <x:c r="A1030" s="58" t="str">
        <x:v>S11</x:v>
      </x:c>
      <x:c r="B1030" s="58" t="str">
        <x:v>1.15 instability and response-collapse session</x:v>
      </x:c>
      <x:c r="C1030" s="58" t="n">
        <x:v>1.15</x:v>
      </x:c>
      <x:c r="D1030" s="58" t="n">
        <x:v>1</x:v>
      </x:c>
      <x:c r="E1030" s="58" t="n">
        <x:v>1</x:v>
      </x:c>
      <x:c r="F1030" s="58" t="str">
        <x:v>FINE</x:v>
      </x:c>
      <x:c r="G1030" s="58" t="n">
        <x:v>2</x:v>
      </x:c>
      <x:c r="H1030" s="59" t="n">
        <x:v>16.5</x:v>
      </x:c>
      <x:c r="I1030" s="59" t="n">
        <x:v>0.99841</x:v>
      </x:c>
      <x:c r="J1030" s="59" t="n">
        <x:v>1.00044</x:v>
      </x:c>
      <x:c r="K1030" s="59" t="n">
        <x:v>0.73572</x:v>
      </x:c>
      <x:c r="L1030" s="59" t="n">
        <x:v>0.2034</x:v>
      </x:c>
      <x:c r="M1030" s="59" t="n">
        <x:v>1.25861</x:v>
      </x:c>
      <x:c r="N1030" s="60" t="n">
        <x:v>-13.18</x:v>
      </x:c>
      <x:c r="O1030" s="60" t="n">
        <x:v>3.62</x:v>
      </x:c>
      <x:c r="P1030" s="60" t="n">
        <x:v>2.75</x:v>
      </x:c>
      <x:c r="Q1030" s="60" t="n">
        <x:v>78.5</x:v>
      </x:c>
      <x:c r="R1030" s="58" t="str">
        <x:v>X</x:v>
      </x:c>
      <x:c r="S1030" s="60" t="n">
        <x:v>100</x:v>
      </x:c>
      <x:c r="T1030" s="58" t="str">
        <x:v>VALID</x:v>
      </x:c>
      <x:c r="U1030" s="58" t="n">
        <x:v>109</x:v>
      </x:c>
      <x:c r="V1030" s="58" t="str">
        <x:v>Pasted text(59).txt</x:v>
      </x:c>
    </x:row>
    <x:row r="1031">
      <x:c r="A1031" s="58" t="str">
        <x:v>S11</x:v>
      </x:c>
      <x:c r="B1031" s="58" t="str">
        <x:v>1.15 instability and response-collapse session</x:v>
      </x:c>
      <x:c r="C1031" s="58" t="n">
        <x:v>1.15</x:v>
      </x:c>
      <x:c r="D1031" s="58" t="n">
        <x:v>1</x:v>
      </x:c>
      <x:c r="E1031" s="58" t="n">
        <x:v>1</x:v>
      </x:c>
      <x:c r="F1031" s="58" t="str">
        <x:v>FINE</x:v>
      </x:c>
      <x:c r="G1031" s="58" t="n">
        <x:v>3</x:v>
      </x:c>
      <x:c r="H1031" s="59" t="n">
        <x:v>16.75</x:v>
      </x:c>
      <x:c r="I1031" s="59" t="n">
        <x:v>1.05772</x:v>
      </x:c>
      <x:c r="J1031" s="59" t="n">
        <x:v>1.06232</x:v>
      </x:c>
      <x:c r="K1031" s="59" t="n">
        <x:v>0.76748</x:v>
      </x:c>
      <x:c r="L1031" s="59" t="n">
        <x:v>0.19374</x:v>
      </x:c>
      <x:c r="M1031" s="59" t="n">
        <x:v>1.32494</x:v>
      </x:c>
      <x:c r="N1031" s="60" t="n">
        <x:v>-8.02</x:v>
      </x:c>
      <x:c r="O1031" s="60" t="n">
        <x:v>0.41</x:v>
      </x:c>
      <x:c r="P1031" s="60" t="n">
        <x:v>1</x:v>
      </x:c>
      <x:c r="Q1031" s="60" t="n">
        <x:v>80.2</x:v>
      </x:c>
      <x:c r="R1031" s="58" t="str">
        <x:v>X</x:v>
      </x:c>
      <x:c r="S1031" s="60" t="n">
        <x:v>100</x:v>
      </x:c>
      <x:c r="T1031" s="58" t="str">
        <x:v>VALID</x:v>
      </x:c>
      <x:c r="U1031" s="58" t="n">
        <x:v>110</x:v>
      </x:c>
      <x:c r="V1031" s="58" t="str">
        <x:v>Pasted text(59).txt</x:v>
      </x:c>
    </x:row>
    <x:row r="1032">
      <x:c r="A1032" s="58" t="str">
        <x:v>S11</x:v>
      </x:c>
      <x:c r="B1032" s="58" t="str">
        <x:v>1.15 instability and response-collapse session</x:v>
      </x:c>
      <x:c r="C1032" s="58" t="n">
        <x:v>1.15</x:v>
      </x:c>
      <x:c r="D1032" s="58" t="n">
        <x:v>1</x:v>
      </x:c>
      <x:c r="E1032" s="58" t="n">
        <x:v>1</x:v>
      </x:c>
      <x:c r="F1032" s="58" t="str">
        <x:v>FINE</x:v>
      </x:c>
      <x:c r="G1032" s="58" t="n">
        <x:v>4</x:v>
      </x:c>
      <x:c r="H1032" s="59" t="n">
        <x:v>17</x:v>
      </x:c>
      <x:c r="I1032" s="59" t="n">
        <x:v>1.11841</x:v>
      </x:c>
      <x:c r="J1032" s="59" t="n">
        <x:v>1.10376</x:v>
      </x:c>
      <x:c r="K1032" s="59" t="n">
        <x:v>0.75365</x:v>
      </x:c>
      <x:c r="L1032" s="59" t="n">
        <x:v>0.21194</x:v>
      </x:c>
      <x:c r="M1032" s="59" t="n">
        <x:v>1.35356</x:v>
      </x:c>
      <x:c r="N1032" s="60" t="n">
        <x:v>-2.75</x:v>
      </x:c>
      <x:c r="O1032" s="60" t="n">
        <x:v>0.35</x:v>
      </x:c>
      <x:c r="P1032" s="60" t="n">
        <x:v>2.51</x:v>
      </x:c>
      <x:c r="Q1032" s="60" t="n">
        <x:v>80.5</x:v>
      </x:c>
      <x:c r="R1032" s="58" t="str">
        <x:v>X</x:v>
      </x:c>
      <x:c r="S1032" s="60" t="n">
        <x:v>100</x:v>
      </x:c>
      <x:c r="T1032" s="58" t="str">
        <x:v>IN TARGET BAND</x:v>
      </x:c>
      <x:c r="U1032" s="58" t="n">
        <x:v>111</x:v>
      </x:c>
      <x:c r="V1032" s="58" t="str">
        <x:v>Pasted text(59).txt</x:v>
      </x:c>
    </x:row>
    <x:row r="1033">
      <x:c r="A1033" s="58" t="str">
        <x:v>S11</x:v>
      </x:c>
      <x:c r="B1033" s="58" t="str">
        <x:v>1.15 instability and response-collapse session</x:v>
      </x:c>
      <x:c r="C1033" s="58" t="n">
        <x:v>1.15</x:v>
      </x:c>
      <x:c r="D1033" s="58" t="n">
        <x:v>1</x:v>
      </x:c>
      <x:c r="E1033" s="58" t="n">
        <x:v>1</x:v>
      </x:c>
      <x:c r="F1033" s="58" t="str">
        <x:v>FINE</x:v>
      </x:c>
      <x:c r="G1033" s="58" t="n">
        <x:v>5</x:v>
      </x:c>
      <x:c r="H1033" s="59" t="n">
        <x:v>17.25</x:v>
      </x:c>
      <x:c r="I1033" s="59" t="n">
        <x:v>1.11145</x:v>
      </x:c>
      <x:c r="J1033" s="59" t="n">
        <x:v>1.10642</x:v>
      </x:c>
      <x:c r="K1033" s="59" t="n">
        <x:v>0.77276</x:v>
      </x:c>
      <x:c r="L1033" s="59" t="n">
        <x:v>0.2156</x:v>
      </x:c>
      <x:c r="M1033" s="59" t="n">
        <x:v>1.36705</x:v>
      </x:c>
      <x:c r="N1033" s="60" t="n">
        <x:v>-3.35</x:v>
      </x:c>
      <x:c r="O1033" s="60" t="n">
        <x:v>3.1</x:v>
      </x:c>
      <x:c r="P1033" s="60" t="n">
        <x:v>2.81</x:v>
      </x:c>
      <x:c r="Q1033" s="60" t="n">
        <x:v>81.1</x:v>
      </x:c>
      <x:c r="R1033" s="58" t="str">
        <x:v>X</x:v>
      </x:c>
      <x:c r="S1033" s="60" t="n">
        <x:v>100</x:v>
      </x:c>
      <x:c r="T1033" s="58" t="str">
        <x:v>IN TARGET BAND</x:v>
      </x:c>
      <x:c r="U1033" s="58" t="n">
        <x:v>112</x:v>
      </x:c>
      <x:c r="V1033" s="58" t="str">
        <x:v>Pasted text(59).txt</x:v>
      </x:c>
    </x:row>
    <x:row r="1034">
      <x:c r="A1034" s="58" t="str">
        <x:v>S11</x:v>
      </x:c>
      <x:c r="B1034" s="58" t="str">
        <x:v>1.15 instability and response-collapse session</x:v>
      </x:c>
      <x:c r="C1034" s="58" t="n">
        <x:v>1.15</x:v>
      </x:c>
      <x:c r="D1034" s="58" t="n">
        <x:v>1</x:v>
      </x:c>
      <x:c r="E1034" s="58" t="n">
        <x:v>1</x:v>
      </x:c>
      <x:c r="F1034" s="58" t="str">
        <x:v>FINE</x:v>
      </x:c>
      <x:c r="G1034" s="58" t="n">
        <x:v>6</x:v>
      </x:c>
      <x:c r="H1034" s="59" t="n">
        <x:v>17.5</x:v>
      </x:c>
      <x:c r="I1034" s="59" t="n">
        <x:v>1.11928</x:v>
      </x:c>
      <x:c r="J1034" s="59" t="n">
        <x:v>1.11636</x:v>
      </x:c>
      <x:c r="K1034" s="59" t="n">
        <x:v>0.78528</x:v>
      </x:c>
      <x:c r="L1034" s="59" t="n">
        <x:v>0.23155</x:v>
      </x:c>
      <x:c r="M1034" s="59" t="n">
        <x:v>1.38466</x:v>
      </x:c>
      <x:c r="N1034" s="60" t="n">
        <x:v>-2.67</x:v>
      </x:c>
      <x:c r="O1034" s="60" t="n">
        <x:v>0.73</x:v>
      </x:c>
      <x:c r="P1034" s="60" t="n">
        <x:v>0.91</x:v>
      </x:c>
      <x:c r="Q1034" s="60" t="n">
        <x:v>79.8</x:v>
      </x:c>
      <x:c r="R1034" s="58" t="str">
        <x:v>X</x:v>
      </x:c>
      <x:c r="S1034" s="60" t="n">
        <x:v>100</x:v>
      </x:c>
      <x:c r="T1034" s="58" t="str">
        <x:v>IN TARGET BAND</x:v>
      </x:c>
      <x:c r="U1034" s="58" t="n">
        <x:v>113</x:v>
      </x:c>
      <x:c r="V1034" s="58" t="str">
        <x:v>Pasted text(59).txt</x:v>
      </x:c>
    </x:row>
    <x:row r="1035">
      <x:c r="A1035" s="58" t="str">
        <x:v>S11</x:v>
      </x:c>
      <x:c r="B1035" s="58" t="str">
        <x:v>1.15 instability and response-collapse session</x:v>
      </x:c>
      <x:c r="C1035" s="58" t="n">
        <x:v>1.15</x:v>
      </x:c>
      <x:c r="D1035" s="58" t="n">
        <x:v>1</x:v>
      </x:c>
      <x:c r="E1035" s="58" t="n">
        <x:v>1</x:v>
      </x:c>
      <x:c r="F1035" s="58" t="str">
        <x:v>FINE</x:v>
      </x:c>
      <x:c r="G1035" s="58" t="n">
        <x:v>7</x:v>
      </x:c>
      <x:c r="H1035" s="59" t="n">
        <x:v>17.75</x:v>
      </x:c>
      <x:c r="I1035" s="59" t="n">
        <x:v>1.13854</x:v>
      </x:c>
      <x:c r="J1035" s="59" t="n">
        <x:v>1.1349</x:v>
      </x:c>
      <x:c r="K1035" s="59" t="n">
        <x:v>0.80992</x:v>
      </x:c>
      <x:c r="L1035" s="59" t="n">
        <x:v>0.24468</x:v>
      </x:c>
      <x:c r="M1035" s="59" t="n">
        <x:v>1.416</x:v>
      </x:c>
      <x:c r="N1035" s="60" t="n">
        <x:v>-1</x:v>
      </x:c>
      <x:c r="O1035" s="60" t="n">
        <x:v>0.89</x:v>
      </x:c>
      <x:c r="P1035" s="60" t="n">
        <x:v>1.12</x:v>
      </x:c>
      <x:c r="Q1035" s="60" t="n">
        <x:v>80</x:v>
      </x:c>
      <x:c r="R1035" s="58" t="str">
        <x:v>X</x:v>
      </x:c>
      <x:c r="S1035" s="60" t="n">
        <x:v>100</x:v>
      </x:c>
      <x:c r="T1035" s="58" t="str">
        <x:v>IN TARGET BAND</x:v>
      </x:c>
      <x:c r="U1035" s="58" t="n">
        <x:v>114</x:v>
      </x:c>
      <x:c r="V1035" s="58" t="str">
        <x:v>Pasted text(59).txt</x:v>
      </x:c>
    </x:row>
    <x:row r="1036">
      <x:c r="A1036" s="58" t="str">
        <x:v>S11</x:v>
      </x:c>
      <x:c r="B1036" s="58" t="str">
        <x:v>1.15 instability and response-collapse session</x:v>
      </x:c>
      <x:c r="C1036" s="58" t="n">
        <x:v>1.15</x:v>
      </x:c>
      <x:c r="D1036" s="58" t="n">
        <x:v>1</x:v>
      </x:c>
      <x:c r="E1036" s="58" t="n">
        <x:v>1</x:v>
      </x:c>
      <x:c r="F1036" s="58" t="str">
        <x:v>FINE</x:v>
      </x:c>
      <x:c r="G1036" s="58" t="n">
        <x:v>8</x:v>
      </x:c>
      <x:c r="H1036" s="59" t="n">
        <x:v>18</x:v>
      </x:c>
      <x:c r="I1036" s="59" t="n">
        <x:v>1.14858</x:v>
      </x:c>
      <x:c r="J1036" s="59" t="n">
        <x:v>1.15056</x:v>
      </x:c>
      <x:c r="K1036" s="59" t="n">
        <x:v>0.8056</x:v>
      </x:c>
      <x:c r="L1036" s="59" t="n">
        <x:v>0.26642</x:v>
      </x:c>
      <x:c r="M1036" s="59" t="n">
        <x:v>1.42977</x:v>
      </x:c>
      <x:c r="N1036" s="60" t="n">
        <x:v>-0.12</x:v>
      </x:c>
      <x:c r="O1036" s="60" t="n">
        <x:v>1.22</x:v>
      </x:c>
      <x:c r="P1036" s="60" t="n">
        <x:v>1.09</x:v>
      </x:c>
      <x:c r="Q1036" s="60" t="n">
        <x:v>79.8</x:v>
      </x:c>
      <x:c r="R1036" s="58" t="str">
        <x:v>X</x:v>
      </x:c>
      <x:c r="S1036" s="60" t="n">
        <x:v>100</x:v>
      </x:c>
      <x:c r="T1036" s="58" t="str">
        <x:v>IN TARGET BAND</x:v>
      </x:c>
      <x:c r="U1036" s="58" t="n">
        <x:v>115</x:v>
      </x:c>
      <x:c r="V1036" s="58" t="str">
        <x:v>Pasted text(59).txt</x:v>
      </x:c>
    </x:row>
    <x:row r="1037">
      <x:c r="A1037" s="58" t="str">
        <x:v>S11</x:v>
      </x:c>
      <x:c r="B1037" s="58" t="str">
        <x:v>1.15 instability and response-collapse session</x:v>
      </x:c>
      <x:c r="C1037" s="58" t="n">
        <x:v>1.15</x:v>
      </x:c>
      <x:c r="D1037" s="58" t="n">
        <x:v>1</x:v>
      </x:c>
      <x:c r="E1037" s="58" t="n">
        <x:v>1</x:v>
      </x:c>
      <x:c r="F1037" s="58" t="str">
        <x:v>FINE</x:v>
      </x:c>
      <x:c r="G1037" s="58" t="n">
        <x:v>9</x:v>
      </x:c>
      <x:c r="H1037" s="59" t="n">
        <x:v>18.25</x:v>
      </x:c>
      <x:c r="I1037" s="59" t="n">
        <x:v>1.16176</x:v>
      </x:c>
      <x:c r="J1037" s="59" t="n">
        <x:v>1.15964</x:v>
      </x:c>
      <x:c r="K1037" s="59" t="n">
        <x:v>0.80913</x:v>
      </x:c>
      <x:c r="L1037" s="59" t="n">
        <x:v>0.27743</x:v>
      </x:c>
      <x:c r="M1037" s="59" t="n">
        <x:v>1.44118</x:v>
      </x:c>
      <x:c r="N1037" s="60" t="n">
        <x:v>1.02</x:v>
      </x:c>
      <x:c r="O1037" s="60" t="n">
        <x:v>0.09</x:v>
      </x:c>
      <x:c r="P1037" s="60" t="n">
        <x:v>0.37</x:v>
      </x:c>
      <x:c r="Q1037" s="60" t="n">
        <x:v>80.2</x:v>
      </x:c>
      <x:c r="R1037" s="58" t="str">
        <x:v>X</x:v>
      </x:c>
      <x:c r="S1037" s="60" t="n">
        <x:v>100</x:v>
      </x:c>
      <x:c r="T1037" s="58" t="str">
        <x:v>IN TARGET BAND</x:v>
      </x:c>
      <x:c r="U1037" s="58" t="n">
        <x:v>116</x:v>
      </x:c>
      <x:c r="V1037" s="58" t="str">
        <x:v>Pasted text(59).txt</x:v>
      </x:c>
    </x:row>
    <x:row r="1038">
      <x:c r="A1038" s="58" t="str">
        <x:v>S11</x:v>
      </x:c>
      <x:c r="B1038" s="58" t="str">
        <x:v>1.15 instability and response-collapse session</x:v>
      </x:c>
      <x:c r="C1038" s="58" t="n">
        <x:v>1.15</x:v>
      </x:c>
      <x:c r="D1038" s="58" t="n">
        <x:v>1</x:v>
      </x:c>
      <x:c r="E1038" s="58" t="n">
        <x:v>1</x:v>
      </x:c>
      <x:c r="F1038" s="58" t="str">
        <x:v>FINAL</x:v>
      </x:c>
      <x:c r="G1038" s="58" t="n">
        <x:v>1</x:v>
      </x:c>
      <x:c r="H1038" s="59" t="n">
        <x:v>18.25</x:v>
      </x:c>
      <x:c r="I1038" s="59" t="n">
        <x:v>1.16832</x:v>
      </x:c>
      <x:c r="J1038" s="59" t="n">
        <x:v>1.15592</x:v>
      </x:c>
      <x:c r="K1038" s="59" t="n">
        <x:v>0.82319</x:v>
      </x:c>
      <x:c r="L1038" s="59" t="n">
        <x:v>0.2678</x:v>
      </x:c>
      <x:c r="M1038" s="59" t="n">
        <x:v>1.44444</x:v>
      </x:c>
      <x:c r="N1038" s="60" t="n">
        <x:v>1.59</x:v>
      </x:c>
      <x:c r="O1038" s="60" t="n">
        <x:v>1.37</x:v>
      </x:c>
      <x:c r="P1038" s="60" t="n">
        <x:v>2.27</x:v>
      </x:c>
      <x:c r="Q1038" s="60" t="n">
        <x:v>79.1</x:v>
      </x:c>
      <x:c r="R1038" s="58" t="str">
        <x:v>X</x:v>
      </x:c>
      <x:c r="S1038" s="60" t="n">
        <x:v>100</x:v>
      </x:c>
      <x:c r="T1038" s="58" t="str">
        <x:v>IN TARGET BAND</x:v>
      </x:c>
      <x:c r="U1038" s="58" t="n">
        <x:v>119</x:v>
      </x:c>
      <x:c r="V1038" s="58" t="str">
        <x:v>Pasted text(59).txt</x:v>
      </x:c>
    </x:row>
    <x:row r="1039">
      <x:c r="A1039" s="58" t="str">
        <x:v>S11</x:v>
      </x:c>
      <x:c r="B1039" s="58" t="str">
        <x:v>1.15 instability and response-collapse session</x:v>
      </x:c>
      <x:c r="C1039" s="58" t="n">
        <x:v>1.15</x:v>
      </x:c>
      <x:c r="D1039" s="58" t="n">
        <x:v>1</x:v>
      </x:c>
      <x:c r="E1039" s="58" t="n">
        <x:v>1</x:v>
      </x:c>
      <x:c r="F1039" s="58" t="str">
        <x:v>FINAL</x:v>
      </x:c>
      <x:c r="G1039" s="58" t="n">
        <x:v>2</x:v>
      </x:c>
      <x:c r="H1039" s="59" t="n">
        <x:v>18.25</x:v>
      </x:c>
      <x:c r="I1039" s="59" t="n">
        <x:v>1.12151</x:v>
      </x:c>
      <x:c r="J1039" s="59" t="n">
        <x:v>1.12305</x:v>
      </x:c>
      <x:c r="K1039" s="59" t="n">
        <x:v>0.83883</x:v>
      </x:c>
      <x:c r="L1039" s="59" t="n">
        <x:v>0.27356</x:v>
      </x:c>
      <x:c r="M1039" s="59" t="n">
        <x:v>1.42828</x:v>
      </x:c>
      <x:c r="N1039" s="60" t="n">
        <x:v>-2.48</x:v>
      </x:c>
      <x:c r="O1039" s="60" t="n">
        <x:v>0.56</x:v>
      </x:c>
      <x:c r="P1039" s="60" t="n">
        <x:v>0.58</x:v>
      </x:c>
      <x:c r="Q1039" s="60" t="n">
        <x:v>79.2</x:v>
      </x:c>
      <x:c r="R1039" s="58" t="str">
        <x:v>X</x:v>
      </x:c>
      <x:c r="S1039" s="60" t="n">
        <x:v>100</x:v>
      </x:c>
      <x:c r="T1039" s="58" t="str">
        <x:v>IN TARGET BAND</x:v>
      </x:c>
      <x:c r="U1039" s="58" t="n">
        <x:v>120</x:v>
      </x:c>
      <x:c r="V1039" s="58" t="str">
        <x:v>Pasted text(59).txt</x:v>
      </x:c>
    </x:row>
    <x:row r="1040">
      <x:c r="A1040" s="58" t="str">
        <x:v>S11</x:v>
      </x:c>
      <x:c r="B1040" s="58" t="str">
        <x:v>1.15 instability and response-collapse session</x:v>
      </x:c>
      <x:c r="C1040" s="58" t="n">
        <x:v>1.15</x:v>
      </x:c>
      <x:c r="D1040" s="58" t="n">
        <x:v>1</x:v>
      </x:c>
      <x:c r="E1040" s="58" t="n">
        <x:v>2</x:v>
      </x:c>
      <x:c r="F1040" s="58" t="str">
        <x:v>SEARCH</x:v>
      </x:c>
      <x:c r="G1040" s="58" t="n">
        <x:v>1</x:v>
      </x:c>
      <x:c r="H1040" s="59" t="n">
        <x:v>1</x:v>
      </x:c>
      <x:c r="I1040" s="59" t="n">
        <x:v>0.00785</x:v>
      </x:c>
      <x:c r="J1040" s="59" t="n">
        <x:v>0.00787</x:v>
      </x:c>
      <x:c r="K1040" s="59" t="n">
        <x:v>0.01441</x:v>
      </x:c>
      <x:c r="L1040" s="59" t="n">
        <x:v>0.02822</x:v>
      </x:c>
      <x:c r="M1040" s="59" t="n">
        <x:v>0.03457</x:v>
      </x:c>
      <x:c r="N1040" s="60" t="n">
        <x:v>-99.32</x:v>
      </x:c>
      <x:c r="O1040" s="60" t="n">
        <x:v>0.95</x:v>
      </x:c>
      <x:c r="P1040" s="60" t="n">
        <x:v>0.45</x:v>
      </x:c>
      <x:c r="Q1040" s="60" t="n">
        <x:v>2.9</x:v>
      </x:c>
      <x:c r="R1040" s="58" t="str">
        <x:v>Z</x:v>
      </x:c>
      <x:c r="S1040" s="60" t="n">
        <x:v>27.9</x:v>
      </x:c>
      <x:c r="T1040" s="58" t="str">
        <x:v>BELOW MEASUREMENT FLOOR — SEARCH CONTINUES</x:v>
      </x:c>
      <x:c r="U1040" s="58" t="n">
        <x:v>161</x:v>
      </x:c>
      <x:c r="V1040" s="58" t="str">
        <x:v>Pasted text(59).txt</x:v>
      </x:c>
    </x:row>
    <x:row r="1041">
      <x:c r="A1041" s="58" t="str">
        <x:v>S11</x:v>
      </x:c>
      <x:c r="B1041" s="58" t="str">
        <x:v>1.15 instability and response-collapse session</x:v>
      </x:c>
      <x:c r="C1041" s="58" t="n">
        <x:v>1.15</x:v>
      </x:c>
      <x:c r="D1041" s="58" t="n">
        <x:v>1</x:v>
      </x:c>
      <x:c r="E1041" s="58" t="n">
        <x:v>2</x:v>
      </x:c>
      <x:c r="F1041" s="58" t="str">
        <x:v>SEARCH</x:v>
      </x:c>
      <x:c r="G1041" s="58" t="n">
        <x:v>2</x:v>
      </x:c>
      <x:c r="H1041" s="59" t="n">
        <x:v>3</x:v>
      </x:c>
      <x:c r="I1041" s="59" t="n">
        <x:v>0.13188</x:v>
      </x:c>
      <x:c r="J1041" s="59" t="n">
        <x:v>0.12778</x:v>
      </x:c>
      <x:c r="K1041" s="59" t="n">
        <x:v>0.1191</x:v>
      </x:c>
      <x:c r="L1041" s="59" t="n">
        <x:v>0.06293</x:v>
      </x:c>
      <x:c r="M1041" s="59" t="n">
        <x:v>0.18723</x:v>
      </x:c>
      <x:c r="N1041" s="60" t="n">
        <x:v>-88.53</x:v>
      </x:c>
      <x:c r="O1041" s="60" t="n">
        <x:v>0.05</x:v>
      </x:c>
      <x:c r="P1041" s="60" t="n">
        <x:v>5.58</x:v>
      </x:c>
      <x:c r="Q1041" s="60" t="n">
        <x:v>29.1</x:v>
      </x:c>
      <x:c r="R1041" s="58" t="str">
        <x:v>X</x:v>
      </x:c>
      <x:c r="S1041" s="60" t="n">
        <x:v>100</x:v>
      </x:c>
      <x:c r="T1041" s="58" t="str">
        <x:v>UNSTABLE — SEARCH CONTINUES</x:v>
      </x:c>
      <x:c r="U1041" s="58" t="n">
        <x:v>162</x:v>
      </x:c>
      <x:c r="V1041" s="58" t="str">
        <x:v>Pasted text(59).txt</x:v>
      </x:c>
    </x:row>
    <x:row r="1042">
      <x:c r="A1042" s="58" t="str">
        <x:v>S11</x:v>
      </x:c>
      <x:c r="B1042" s="58" t="str">
        <x:v>1.15 instability and response-collapse session</x:v>
      </x:c>
      <x:c r="C1042" s="58" t="n">
        <x:v>1.15</x:v>
      </x:c>
      <x:c r="D1042" s="58" t="n">
        <x:v>1</x:v>
      </x:c>
      <x:c r="E1042" s="58" t="n">
        <x:v>2</x:v>
      </x:c>
      <x:c r="F1042" s="58" t="str">
        <x:v>SEARCH</x:v>
      </x:c>
      <x:c r="G1042" s="58" t="n">
        <x:v>3</x:v>
      </x:c>
      <x:c r="H1042" s="59" t="n">
        <x:v>5</x:v>
      </x:c>
      <x:c r="I1042" s="59" t="n">
        <x:v>0.29099</x:v>
      </x:c>
      <x:c r="J1042" s="59" t="n">
        <x:v>0.28321</x:v>
      </x:c>
      <x:c r="K1042" s="59" t="n">
        <x:v>0.20679</x:v>
      </x:c>
      <x:c r="L1042" s="59" t="n">
        <x:v>0.09769</x:v>
      </x:c>
      <x:c r="M1042" s="59" t="n">
        <x:v>0.36517</x:v>
      </x:c>
      <x:c r="N1042" s="60" t="n">
        <x:v>-74.7</x:v>
      </x:c>
      <x:c r="O1042" s="60" t="n">
        <x:v>1.26</x:v>
      </x:c>
      <x:c r="P1042" s="60" t="n">
        <x:v>5.53</x:v>
      </x:c>
      <x:c r="Q1042" s="60" t="n">
        <x:v>52.7</x:v>
      </x:c>
      <x:c r="R1042" s="58" t="str">
        <x:v>X</x:v>
      </x:c>
      <x:c r="S1042" s="60" t="n">
        <x:v>100</x:v>
      </x:c>
      <x:c r="T1042" s="58" t="str">
        <x:v>VALID</x:v>
      </x:c>
      <x:c r="U1042" s="58" t="n">
        <x:v>163</x:v>
      </x:c>
      <x:c r="V1042" s="58" t="str">
        <x:v>Pasted text(59).txt</x:v>
      </x:c>
    </x:row>
    <x:row r="1043">
      <x:c r="A1043" s="58" t="str">
        <x:v>S11</x:v>
      </x:c>
      <x:c r="B1043" s="58" t="str">
        <x:v>1.15 instability and response-collapse session</x:v>
      </x:c>
      <x:c r="C1043" s="58" t="n">
        <x:v>1.15</x:v>
      </x:c>
      <x:c r="D1043" s="58" t="n">
        <x:v>1</x:v>
      </x:c>
      <x:c r="E1043" s="58" t="n">
        <x:v>2</x:v>
      </x:c>
      <x:c r="F1043" s="58" t="str">
        <x:v>SEARCH</x:v>
      </x:c>
      <x:c r="G1043" s="58" t="n">
        <x:v>4</x:v>
      </x:c>
      <x:c r="H1043" s="59" t="n">
        <x:v>6</x:v>
      </x:c>
      <x:c r="I1043" s="59" t="n">
        <x:v>0.34642</x:v>
      </x:c>
      <x:c r="J1043" s="59" t="n">
        <x:v>0.35442</x:v>
      </x:c>
      <x:c r="K1043" s="59" t="n">
        <x:v>0.26104</x:v>
      </x:c>
      <x:c r="L1043" s="59" t="n">
        <x:v>0.11043</x:v>
      </x:c>
      <x:c r="M1043" s="59" t="n">
        <x:v>0.45466</x:v>
      </x:c>
      <x:c r="N1043" s="60" t="n">
        <x:v>-69.88</x:v>
      </x:c>
      <x:c r="O1043" s="60" t="n">
        <x:v>2.65</x:v>
      </x:c>
      <x:c r="P1043" s="60" t="n">
        <x:v>5.49</x:v>
      </x:c>
      <x:c r="Q1043" s="60" t="n">
        <x:v>62.3</x:v>
      </x:c>
      <x:c r="R1043" s="58" t="str">
        <x:v>X</x:v>
      </x:c>
      <x:c r="S1043" s="60" t="n">
        <x:v>100</x:v>
      </x:c>
      <x:c r="T1043" s="58" t="str">
        <x:v>VALID</x:v>
      </x:c>
      <x:c r="U1043" s="58" t="n">
        <x:v>164</x:v>
      </x:c>
      <x:c r="V1043" s="58" t="str">
        <x:v>Pasted text(59).txt</x:v>
      </x:c>
    </x:row>
    <x:row r="1044">
      <x:c r="A1044" s="58" t="str">
        <x:v>S11</x:v>
      </x:c>
      <x:c r="B1044" s="58" t="str">
        <x:v>1.15 instability and response-collapse session</x:v>
      </x:c>
      <x:c r="C1044" s="58" t="n">
        <x:v>1.15</x:v>
      </x:c>
      <x:c r="D1044" s="58" t="n">
        <x:v>1</x:v>
      </x:c>
      <x:c r="E1044" s="58" t="n">
        <x:v>2</x:v>
      </x:c>
      <x:c r="F1044" s="58" t="str">
        <x:v>SEARCH</x:v>
      </x:c>
      <x:c r="G1044" s="58" t="n">
        <x:v>5</x:v>
      </x:c>
      <x:c r="H1044" s="59" t="n">
        <x:v>7</x:v>
      </x:c>
      <x:c r="I1044" s="59" t="n">
        <x:v>0.44731</x:v>
      </x:c>
      <x:c r="J1044" s="59" t="n">
        <x:v>0.4364</x:v>
      </x:c>
      <x:c r="K1044" s="59" t="n">
        <x:v>0.3214</x:v>
      </x:c>
      <x:c r="L1044" s="59" t="n">
        <x:v>0.13669</x:v>
      </x:c>
      <x:c r="M1044" s="59" t="n">
        <x:v>0.55969</x:v>
      </x:c>
      <x:c r="N1044" s="60" t="n">
        <x:v>-61.1</x:v>
      </x:c>
      <x:c r="O1044" s="60" t="n">
        <x:v>2.33</x:v>
      </x:c>
      <x:c r="P1044" s="60" t="n">
        <x:v>5.78</x:v>
      </x:c>
      <x:c r="Q1044" s="60" t="n">
        <x:v>70.4</x:v>
      </x:c>
      <x:c r="R1044" s="58" t="str">
        <x:v>X</x:v>
      </x:c>
      <x:c r="S1044" s="60" t="n">
        <x:v>100</x:v>
      </x:c>
      <x:c r="T1044" s="58" t="str">
        <x:v>VALID</x:v>
      </x:c>
      <x:c r="U1044" s="58" t="n">
        <x:v>165</x:v>
      </x:c>
      <x:c r="V1044" s="58" t="str">
        <x:v>Pasted text(59).txt</x:v>
      </x:c>
    </x:row>
    <x:row r="1045">
      <x:c r="A1045" s="58" t="str">
        <x:v>S11</x:v>
      </x:c>
      <x:c r="B1045" s="58" t="str">
        <x:v>1.15 instability and response-collapse session</x:v>
      </x:c>
      <x:c r="C1045" s="58" t="n">
        <x:v>1.15</x:v>
      </x:c>
      <x:c r="D1045" s="58" t="n">
        <x:v>1</x:v>
      </x:c>
      <x:c r="E1045" s="58" t="n">
        <x:v>2</x:v>
      </x:c>
      <x:c r="F1045" s="58" t="str">
        <x:v>SEARCH</x:v>
      </x:c>
      <x:c r="G1045" s="58" t="n">
        <x:v>6</x:v>
      </x:c>
      <x:c r="H1045" s="59" t="n">
        <x:v>8</x:v>
      </x:c>
      <x:c r="I1045" s="59" t="n">
        <x:v>0.46691</x:v>
      </x:c>
      <x:c r="J1045" s="59" t="n">
        <x:v>0.47261</x:v>
      </x:c>
      <x:c r="K1045" s="59" t="n">
        <x:v>0.37667</x:v>
      </x:c>
      <x:c r="L1045" s="59" t="n">
        <x:v>0.13917</x:v>
      </x:c>
      <x:c r="M1045" s="59" t="n">
        <x:v>0.6205</x:v>
      </x:c>
      <x:c r="N1045" s="60" t="n">
        <x:v>-59.4</x:v>
      </x:c>
      <x:c r="O1045" s="60" t="n">
        <x:v>1.04</x:v>
      </x:c>
      <x:c r="P1045" s="60" t="n">
        <x:v>2.71</x:v>
      </x:c>
      <x:c r="Q1045" s="60" t="n">
        <x:v>71.6</x:v>
      </x:c>
      <x:c r="R1045" s="58" t="str">
        <x:v>X</x:v>
      </x:c>
      <x:c r="S1045" s="60" t="n">
        <x:v>100</x:v>
      </x:c>
      <x:c r="T1045" s="58" t="str">
        <x:v>VALID</x:v>
      </x:c>
      <x:c r="U1045" s="58" t="n">
        <x:v>166</x:v>
      </x:c>
      <x:c r="V1045" s="58" t="str">
        <x:v>Pasted text(59).txt</x:v>
      </x:c>
    </x:row>
    <x:row r="1046">
      <x:c r="A1046" s="58" t="str">
        <x:v>S11</x:v>
      </x:c>
      <x:c r="B1046" s="58" t="str">
        <x:v>1.15 instability and response-collapse session</x:v>
      </x:c>
      <x:c r="C1046" s="58" t="n">
        <x:v>1.15</x:v>
      </x:c>
      <x:c r="D1046" s="58" t="n">
        <x:v>1</x:v>
      </x:c>
      <x:c r="E1046" s="58" t="n">
        <x:v>2</x:v>
      </x:c>
      <x:c r="F1046" s="58" t="str">
        <x:v>SEARCH</x:v>
      </x:c>
      <x:c r="G1046" s="58" t="n">
        <x:v>7</x:v>
      </x:c>
      <x:c r="H1046" s="59" t="n">
        <x:v>9</x:v>
      </x:c>
      <x:c r="I1046" s="59" t="n">
        <x:v>0.50602</x:v>
      </x:c>
      <x:c r="J1046" s="59" t="n">
        <x:v>0.50926</x:v>
      </x:c>
      <x:c r="K1046" s="59" t="n">
        <x:v>0.41151</x:v>
      </x:c>
      <x:c r="L1046" s="59" t="n">
        <x:v>0.1437</x:v>
      </x:c>
      <x:c r="M1046" s="59" t="n">
        <x:v>0.67055</x:v>
      </x:c>
      <x:c r="N1046" s="60" t="n">
        <x:v>-56</x:v>
      </x:c>
      <x:c r="O1046" s="60" t="n">
        <x:v>4.14</x:v>
      </x:c>
      <x:c r="P1046" s="60" t="n">
        <x:v>3.77</x:v>
      </x:c>
      <x:c r="Q1046" s="60" t="n">
        <x:v>74.1</x:v>
      </x:c>
      <x:c r="R1046" s="58" t="str">
        <x:v>X</x:v>
      </x:c>
      <x:c r="S1046" s="60" t="n">
        <x:v>100</x:v>
      </x:c>
      <x:c r="T1046" s="58" t="str">
        <x:v>VALID</x:v>
      </x:c>
      <x:c r="U1046" s="58" t="n">
        <x:v>167</x:v>
      </x:c>
      <x:c r="V1046" s="58" t="str">
        <x:v>Pasted text(59).txt</x:v>
      </x:c>
    </x:row>
    <x:row r="1047">
      <x:c r="A1047" s="58" t="str">
        <x:v>S11</x:v>
      </x:c>
      <x:c r="B1047" s="58" t="str">
        <x:v>1.15 instability and response-collapse session</x:v>
      </x:c>
      <x:c r="C1047" s="58" t="n">
        <x:v>1.15</x:v>
      </x:c>
      <x:c r="D1047" s="58" t="n">
        <x:v>1</x:v>
      </x:c>
      <x:c r="E1047" s="58" t="n">
        <x:v>2</x:v>
      </x:c>
      <x:c r="F1047" s="58" t="str">
        <x:v>SEARCH</x:v>
      </x:c>
      <x:c r="G1047" s="58" t="n">
        <x:v>8</x:v>
      </x:c>
      <x:c r="H1047" s="59" t="n">
        <x:v>10</x:v>
      </x:c>
      <x:c r="I1047" s="59" t="n">
        <x:v>0.57819</x:v>
      </x:c>
      <x:c r="J1047" s="59" t="n">
        <x:v>0.57143</x:v>
      </x:c>
      <x:c r="K1047" s="59" t="n">
        <x:v>0.46933</x:v>
      </x:c>
      <x:c r="L1047" s="59" t="n">
        <x:v>0.157</x:v>
      </x:c>
      <x:c r="M1047" s="59" t="n">
        <x:v>0.75665</x:v>
      </x:c>
      <x:c r="N1047" s="60" t="n">
        <x:v>-49.72</x:v>
      </x:c>
      <x:c r="O1047" s="60" t="n">
        <x:v>1.05</x:v>
      </x:c>
      <x:c r="P1047" s="60" t="n">
        <x:v>2.69</x:v>
      </x:c>
      <x:c r="Q1047" s="60" t="n">
        <x:v>77.3</x:v>
      </x:c>
      <x:c r="R1047" s="58" t="str">
        <x:v>X</x:v>
      </x:c>
      <x:c r="S1047" s="60" t="n">
        <x:v>100</x:v>
      </x:c>
      <x:c r="T1047" s="58" t="str">
        <x:v>VALID</x:v>
      </x:c>
      <x:c r="U1047" s="58" t="n">
        <x:v>168</x:v>
      </x:c>
      <x:c r="V1047" s="58" t="str">
        <x:v>Pasted text(59).txt</x:v>
      </x:c>
    </x:row>
    <x:row r="1048">
      <x:c r="A1048" s="58" t="str">
        <x:v>S11</x:v>
      </x:c>
      <x:c r="B1048" s="58" t="str">
        <x:v>1.15 instability and response-collapse session</x:v>
      </x:c>
      <x:c r="C1048" s="58" t="n">
        <x:v>1.15</x:v>
      </x:c>
      <x:c r="D1048" s="58" t="n">
        <x:v>1</x:v>
      </x:c>
      <x:c r="E1048" s="58" t="n">
        <x:v>2</x:v>
      </x:c>
      <x:c r="F1048" s="58" t="str">
        <x:v>SEARCH</x:v>
      </x:c>
      <x:c r="G1048" s="58" t="n">
        <x:v>9</x:v>
      </x:c>
      <x:c r="H1048" s="59" t="n">
        <x:v>11</x:v>
      </x:c>
      <x:c r="I1048" s="59" t="n">
        <x:v>0.6285</x:v>
      </x:c>
      <x:c r="J1048" s="59" t="n">
        <x:v>0.62797</x:v>
      </x:c>
      <x:c r="K1048" s="59" t="n">
        <x:v>0.55296</x:v>
      </x:c>
      <x:c r="L1048" s="59" t="n">
        <x:v>0.17311</x:v>
      </x:c>
      <x:c r="M1048" s="59" t="n">
        <x:v>0.85489</x:v>
      </x:c>
      <x:c r="N1048" s="60" t="n">
        <x:v>-45.35</x:v>
      </x:c>
      <x:c r="O1048" s="60" t="n">
        <x:v>1.53</x:v>
      </x:c>
      <x:c r="P1048" s="60" t="n">
        <x:v>1.16</x:v>
      </x:c>
      <x:c r="Q1048" s="60" t="n">
        <x:v>76.7</x:v>
      </x:c>
      <x:c r="R1048" s="58" t="str">
        <x:v>X</x:v>
      </x:c>
      <x:c r="S1048" s="60" t="n">
        <x:v>100</x:v>
      </x:c>
      <x:c r="T1048" s="58" t="str">
        <x:v>VALID</x:v>
      </x:c>
      <x:c r="U1048" s="58" t="n">
        <x:v>169</x:v>
      </x:c>
      <x:c r="V1048" s="58" t="str">
        <x:v>Pasted text(59).txt</x:v>
      </x:c>
    </x:row>
    <x:row r="1049">
      <x:c r="A1049" s="58" t="str">
        <x:v>S11</x:v>
      </x:c>
      <x:c r="B1049" s="58" t="str">
        <x:v>1.15 instability and response-collapse session</x:v>
      </x:c>
      <x:c r="C1049" s="58" t="n">
        <x:v>1.15</x:v>
      </x:c>
      <x:c r="D1049" s="58" t="n">
        <x:v>1</x:v>
      </x:c>
      <x:c r="E1049" s="58" t="n">
        <x:v>2</x:v>
      </x:c>
      <x:c r="F1049" s="58" t="str">
        <x:v>SEARCH</x:v>
      </x:c>
      <x:c r="G1049" s="58" t="n">
        <x:v>10</x:v>
      </x:c>
      <x:c r="H1049" s="59" t="n">
        <x:v>12</x:v>
      </x:c>
      <x:c r="I1049" s="59" t="n">
        <x:v>0.62505</x:v>
      </x:c>
      <x:c r="J1049" s="59" t="n">
        <x:v>0.64041</x:v>
      </x:c>
      <x:c r="K1049" s="59" t="n">
        <x:v>0.25253</x:v>
      </x:c>
      <x:c r="L1049" s="59" t="n">
        <x:v>0.08766</x:v>
      </x:c>
      <x:c r="M1049" s="59" t="n">
        <x:v>0.72644</x:v>
      </x:c>
      <x:c r="N1049" s="60" t="n">
        <x:v>-45.65</x:v>
      </x:c>
      <x:c r="O1049" s="60" t="n">
        <x:v>7.28</x:v>
      </x:c>
      <x:c r="P1049" s="60" t="n">
        <x:v>3.39</x:v>
      </x:c>
      <x:c r="Q1049" s="60" t="n">
        <x:v>26.4</x:v>
      </x:c>
      <x:c r="R1049" s="58" t="str">
        <x:v>X</x:v>
      </x:c>
      <x:c r="S1049" s="60" t="n">
        <x:v>100</x:v>
      </x:c>
      <x:c r="T1049" s="58" t="str">
        <x:v>UNSTABLE — SEARCH CONTINUES</x:v>
      </x:c>
      <x:c r="U1049" s="58" t="n">
        <x:v>170</x:v>
      </x:c>
      <x:c r="V1049" s="58" t="str">
        <x:v>Pasted text(59).txt</x:v>
      </x:c>
    </x:row>
    <x:row r="1050">
      <x:c r="A1050" s="58" t="str">
        <x:v>S11</x:v>
      </x:c>
      <x:c r="B1050" s="58" t="str">
        <x:v>1.15 instability and response-collapse session</x:v>
      </x:c>
      <x:c r="C1050" s="58" t="n">
        <x:v>1.15</x:v>
      </x:c>
      <x:c r="D1050" s="58" t="n">
        <x:v>1</x:v>
      </x:c>
      <x:c r="E1050" s="58" t="n">
        <x:v>2</x:v>
      </x:c>
      <x:c r="F1050" s="58" t="str">
        <x:v>SEARCH</x:v>
      </x:c>
      <x:c r="G1050" s="58" t="n">
        <x:v>11</x:v>
      </x:c>
      <x:c r="H1050" s="59" t="n">
        <x:v>13</x:v>
      </x:c>
      <x:c r="I1050" s="59" t="n">
        <x:v>0.19633</x:v>
      </x:c>
      <x:c r="J1050" s="59" t="n">
        <x:v>0.37261</x:v>
      </x:c>
      <x:c r="K1050" s="59" t="n">
        <x:v>0.35406</x:v>
      </x:c>
      <x:c r="L1050" s="59" t="n">
        <x:v>0.24506</x:v>
      </x:c>
      <x:c r="M1050" s="59" t="n">
        <x:v>0.61521</x:v>
      </x:c>
      <x:c r="N1050" s="60" t="n">
        <x:v>-82.93</x:v>
      </x:c>
      <x:c r="O1050" s="60" t="n">
        <x:v>93.28</x:v>
      </x:c>
      <x:c r="P1050" s="60" t="n">
        <x:v>111.88</x:v>
      </x:c>
      <x:c r="Q1050" s="60" t="n">
        <x:v>32.8</x:v>
      </x:c>
      <x:c r="R1050" s="58" t="str">
        <x:v>X</x:v>
      </x:c>
      <x:c r="S1050" s="60" t="n">
        <x:v>100</x:v>
      </x:c>
      <x:c r="T1050" s="58" t="str">
        <x:v>UNSTABLE — SEARCH CONTINUES</x:v>
      </x:c>
      <x:c r="U1050" s="58" t="n">
        <x:v>171</x:v>
      </x:c>
      <x:c r="V1050" s="58" t="str">
        <x:v>Pasted text(59).txt</x:v>
      </x:c>
    </x:row>
    <x:row r="1051">
      <x:c r="A1051" s="58" t="str">
        <x:v>S11</x:v>
      </x:c>
      <x:c r="B1051" s="58" t="str">
        <x:v>1.15 instability and response-collapse session</x:v>
      </x:c>
      <x:c r="C1051" s="58" t="n">
        <x:v>1.15</x:v>
      </x:c>
      <x:c r="D1051" s="58" t="n">
        <x:v>1</x:v>
      </x:c>
      <x:c r="E1051" s="58" t="n">
        <x:v>2</x:v>
      </x:c>
      <x:c r="F1051" s="58" t="str">
        <x:v>SEARCH</x:v>
      </x:c>
      <x:c r="G1051" s="58" t="n">
        <x:v>12</x:v>
      </x:c>
      <x:c r="H1051" s="59" t="n">
        <x:v>15</x:v>
      </x:c>
      <x:c r="I1051" s="59" t="n">
        <x:v>0.31481</x:v>
      </x:c>
      <x:c r="J1051" s="59" t="n">
        <x:v>0.33537</x:v>
      </x:c>
      <x:c r="K1051" s="59" t="n">
        <x:v>0.37908</x:v>
      </x:c>
      <x:c r="L1051" s="59" t="n">
        <x:v>0.31258</x:v>
      </x:c>
      <x:c r="M1051" s="59" t="n">
        <x:v>0.59671</x:v>
      </x:c>
      <x:c r="N1051" s="60" t="n">
        <x:v>-72.63</x:v>
      </x:c>
      <x:c r="O1051" s="60" t="n">
        <x:v>19.36</x:v>
      </x:c>
      <x:c r="P1051" s="60" t="n">
        <x:v>8.67</x:v>
      </x:c>
      <x:c r="Q1051" s="60" t="n">
        <x:v>42.3</x:v>
      </x:c>
      <x:c r="R1051" s="58" t="str">
        <x:v>Y</x:v>
      </x:c>
      <x:c r="S1051" s="60" t="n">
        <x:v>88.5</x:v>
      </x:c>
      <x:c r="T1051" s="58" t="str">
        <x:v>UNSTABLE — SEARCH CONTINUES</x:v>
      </x:c>
      <x:c r="U1051" s="58" t="n">
        <x:v>172</x:v>
      </x:c>
      <x:c r="V1051" s="58" t="str">
        <x:v>Pasted text(59).txt</x:v>
      </x:c>
    </x:row>
    <x:row r="1052">
      <x:c r="A1052" s="58" t="str">
        <x:v>S11</x:v>
      </x:c>
      <x:c r="B1052" s="58" t="str">
        <x:v>1.15 instability and response-collapse session</x:v>
      </x:c>
      <x:c r="C1052" s="58" t="n">
        <x:v>1.15</x:v>
      </x:c>
      <x:c r="D1052" s="58" t="n">
        <x:v>1</x:v>
      </x:c>
      <x:c r="E1052" s="58" t="n">
        <x:v>2</x:v>
      </x:c>
      <x:c r="F1052" s="58" t="str">
        <x:v>SEARCH</x:v>
      </x:c>
      <x:c r="G1052" s="58" t="n">
        <x:v>13</x:v>
      </x:c>
      <x:c r="H1052" s="59" t="n">
        <x:v>16</x:v>
      </x:c>
      <x:c r="I1052" s="59" t="n">
        <x:v>0.38242</x:v>
      </x:c>
      <x:c r="J1052" s="59" t="n">
        <x:v>0.37518</x:v>
      </x:c>
      <x:c r="K1052" s="59" t="n">
        <x:v>0.42331</x:v>
      </x:c>
      <x:c r="L1052" s="59" t="n">
        <x:v>0.29954</x:v>
      </x:c>
      <x:c r="M1052" s="59" t="n">
        <x:v>0.64588</x:v>
      </x:c>
      <x:c r="N1052" s="60" t="n">
        <x:v>-66.75</x:v>
      </x:c>
      <x:c r="O1052" s="60" t="n">
        <x:v>4.92</x:v>
      </x:c>
      <x:c r="P1052" s="60" t="n">
        <x:v>6.5</x:v>
      </x:c>
      <x:c r="Q1052" s="60" t="n">
        <x:v>36.8</x:v>
      </x:c>
      <x:c r="R1052" s="58" t="str">
        <x:v>Y</x:v>
      </x:c>
      <x:c r="S1052" s="60" t="n">
        <x:v>88.6</x:v>
      </x:c>
      <x:c r="T1052" s="58" t="str">
        <x:v>UNSTABLE — SEARCH CONTINUES</x:v>
      </x:c>
      <x:c r="U1052" s="58" t="n">
        <x:v>173</x:v>
      </x:c>
      <x:c r="V1052" s="58" t="str">
        <x:v>Pasted text(59).txt</x:v>
      </x:c>
    </x:row>
    <x:row r="1053">
      <x:c r="A1053" s="58" t="str">
        <x:v>S11</x:v>
      </x:c>
      <x:c r="B1053" s="58" t="str">
        <x:v>1.15 instability and response-collapse session</x:v>
      </x:c>
      <x:c r="C1053" s="58" t="n">
        <x:v>1.15</x:v>
      </x:c>
      <x:c r="D1053" s="58" t="n">
        <x:v>1</x:v>
      </x:c>
      <x:c r="E1053" s="58" t="n">
        <x:v>2</x:v>
      </x:c>
      <x:c r="F1053" s="58" t="str">
        <x:v>SEARCH</x:v>
      </x:c>
      <x:c r="G1053" s="58" t="n">
        <x:v>14</x:v>
      </x:c>
      <x:c r="H1053" s="59" t="n">
        <x:v>17</x:v>
      </x:c>
      <x:c r="I1053" s="59" t="n">
        <x:v>0.44473</x:v>
      </x:c>
      <x:c r="J1053" s="59" t="n">
        <x:v>0.45463</x:v>
      </x:c>
      <x:c r="K1053" s="59" t="n">
        <x:v>0.56666</x:v>
      </x:c>
      <x:c r="L1053" s="59" t="n">
        <x:v>0.3577</x:v>
      </x:c>
      <x:c r="M1053" s="59" t="n">
        <x:v>0.81015</x:v>
      </x:c>
      <x:c r="N1053" s="60" t="n">
        <x:v>-61.33</x:v>
      </x:c>
      <x:c r="O1053" s="60" t="n">
        <x:v>9.88</x:v>
      </x:c>
      <x:c r="P1053" s="60" t="n">
        <x:v>9.96</x:v>
      </x:c>
      <x:c r="Q1053" s="60" t="n">
        <x:v>45.7</x:v>
      </x:c>
      <x:c r="R1053" s="58" t="str">
        <x:v>Y</x:v>
      </x:c>
      <x:c r="S1053" s="60" t="n">
        <x:v>80.2</x:v>
      </x:c>
      <x:c r="T1053" s="58" t="str">
        <x:v>UNSTABLE — SEARCH CONTINUES</x:v>
      </x:c>
      <x:c r="U1053" s="58" t="n">
        <x:v>174</x:v>
      </x:c>
      <x:c r="V1053" s="58" t="str">
        <x:v>Pasted text(59).txt</x:v>
      </x:c>
    </x:row>
    <x:row r="1054">
      <x:c r="A1054" s="58" t="str">
        <x:v>S11</x:v>
      </x:c>
      <x:c r="B1054" s="58" t="str">
        <x:v>1.15 instability and response-collapse session</x:v>
      </x:c>
      <x:c r="C1054" s="58" t="n">
        <x:v>1.15</x:v>
      </x:c>
      <x:c r="D1054" s="58" t="n">
        <x:v>1</x:v>
      </x:c>
      <x:c r="E1054" s="58" t="n">
        <x:v>2</x:v>
      </x:c>
      <x:c r="F1054" s="58" t="str">
        <x:v>SEARCH</x:v>
      </x:c>
      <x:c r="G1054" s="58" t="n">
        <x:v>15</x:v>
      </x:c>
      <x:c r="H1054" s="59" t="n">
        <x:v>18</x:v>
      </x:c>
      <x:c r="I1054" s="59" t="n">
        <x:v>0.41621</x:v>
      </x:c>
      <x:c r="J1054" s="59" t="n">
        <x:v>0.42116</x:v>
      </x:c>
      <x:c r="K1054" s="59" t="n">
        <x:v>0.48149</x:v>
      </x:c>
      <x:c r="L1054" s="59" t="n">
        <x:v>0.39351</x:v>
      </x:c>
      <x:c r="M1054" s="59" t="n">
        <x:v>0.75139</x:v>
      </x:c>
      <x:c r="N1054" s="60" t="n">
        <x:v>-63.81</x:v>
      </x:c>
      <x:c r="O1054" s="60" t="n">
        <x:v>1.33</x:v>
      </x:c>
      <x:c r="P1054" s="60" t="n">
        <x:v>2.84</x:v>
      </x:c>
      <x:c r="Q1054" s="60" t="n">
        <x:v>49.8</x:v>
      </x:c>
      <x:c r="R1054" s="58" t="str">
        <x:v>Y</x:v>
      </x:c>
      <x:c r="S1054" s="60" t="n">
        <x:v>87.5</x:v>
      </x:c>
      <x:c r="T1054" s="58" t="str">
        <x:v>UNSTABLE — SEARCH CONTINUES</x:v>
      </x:c>
      <x:c r="U1054" s="58" t="n">
        <x:v>175</x:v>
      </x:c>
      <x:c r="V1054" s="58" t="str">
        <x:v>Pasted text(59).txt</x:v>
      </x:c>
    </x:row>
    <x:row r="1055">
      <x:c r="A1055" s="58" t="str">
        <x:v>S11</x:v>
      </x:c>
      <x:c r="B1055" s="58" t="str">
        <x:v>1.15 instability and response-collapse session</x:v>
      </x:c>
      <x:c r="C1055" s="58" t="n">
        <x:v>1.15</x:v>
      </x:c>
      <x:c r="D1055" s="58" t="n">
        <x:v>1</x:v>
      </x:c>
      <x:c r="E1055" s="58" t="n">
        <x:v>2</x:v>
      </x:c>
      <x:c r="F1055" s="58" t="str">
        <x:v>SEARCH</x:v>
      </x:c>
      <x:c r="G1055" s="58" t="n">
        <x:v>16</x:v>
      </x:c>
      <x:c r="H1055" s="59" t="n">
        <x:v>19</x:v>
      </x:c>
      <x:c r="I1055" s="59" t="n">
        <x:v>0.27553</x:v>
      </x:c>
      <x:c r="J1055" s="59" t="n">
        <x:v>0.28748</x:v>
      </x:c>
      <x:c r="K1055" s="59" t="n">
        <x:v>0.33155</x:v>
      </x:c>
      <x:c r="L1055" s="59" t="n">
        <x:v>0.29876</x:v>
      </x:c>
      <x:c r="M1055" s="59" t="n">
        <x:v>0.53169</x:v>
      </x:c>
      <x:c r="N1055" s="60" t="n">
        <x:v>-76.04</x:v>
      </x:c>
      <x:c r="O1055" s="60" t="n">
        <x:v>3.41</x:v>
      </x:c>
      <x:c r="P1055" s="60" t="n">
        <x:v>9.17</x:v>
      </x:c>
      <x:c r="Q1055" s="60" t="n">
        <x:v>78.8</x:v>
      </x:c>
      <x:c r="R1055" s="58" t="str">
        <x:v>Y</x:v>
      </x:c>
      <x:c r="S1055" s="60" t="n">
        <x:v>86.7</x:v>
      </x:c>
      <x:c r="T1055" s="58" t="str">
        <x:v>VALID</x:v>
      </x:c>
      <x:c r="U1055" s="58" t="n">
        <x:v>176</x:v>
      </x:c>
      <x:c r="V1055" s="58" t="str">
        <x:v>Pasted text(59).txt</x:v>
      </x:c>
    </x:row>
    <x:row r="1056">
      <x:c r="A1056" s="58" t="str">
        <x:v>S11</x:v>
      </x:c>
      <x:c r="B1056" s="58" t="str">
        <x:v>1.15 instability and response-collapse session</x:v>
      </x:c>
      <x:c r="C1056" s="58" t="n">
        <x:v>1.15</x:v>
      </x:c>
      <x:c r="D1056" s="58" t="n">
        <x:v>1</x:v>
      </x:c>
      <x:c r="E1056" s="58" t="n">
        <x:v>2</x:v>
      </x:c>
      <x:c r="F1056" s="58" t="str">
        <x:v>DROP-CHECK</x:v>
      </x:c>
      <x:c r="G1056" s="58" t="n">
        <x:v>16</x:v>
      </x:c>
      <x:c r="H1056" s="59" t="n">
        <x:v>19</x:v>
      </x:c>
      <x:c r="I1056" s="59" t="n">
        <x:v>0.3201</x:v>
      </x:c>
      <x:c r="J1056" s="59" t="n">
        <x:v>0.31354</x:v>
      </x:c>
      <x:c r="K1056" s="59" t="n">
        <x:v>0.36103</x:v>
      </x:c>
      <x:c r="L1056" s="59" t="n">
        <x:v>0.35052</x:v>
      </x:c>
      <x:c r="M1056" s="59" t="n">
        <x:v>0.59327</x:v>
      </x:c>
      <x:c r="N1056" s="60" t="n">
        <x:v>-72.17</x:v>
      </x:c>
      <x:c r="O1056" s="60" t="n">
        <x:v>2.87</x:v>
      </x:c>
      <x:c r="P1056" s="60" t="n">
        <x:v>4.47</x:v>
      </x:c>
      <x:c r="Q1056" s="60" t="n">
        <x:v>82.8</x:v>
      </x:c>
      <x:c r="R1056" s="58" t="str">
        <x:v>Y</x:v>
      </x:c>
      <x:c r="S1056" s="60" t="n">
        <x:v>86.8</x:v>
      </x:c>
      <x:c r="T1056" s="58" t="str">
        <x:v>VALID</x:v>
      </x:c>
      <x:c r="U1056" s="58" t="n">
        <x:v>178</x:v>
      </x:c>
      <x:c r="V1056" s="58" t="str">
        <x:v>Pasted text(59).txt</x:v>
      </x:c>
    </x:row>
    <x:row r="1057">
      <x:c r="A1057" s="58" t="str">
        <x:v>S11</x:v>
      </x:c>
      <x:c r="B1057" s="58" t="str">
        <x:v>1.15 instability and response-collapse session</x:v>
      </x:c>
      <x:c r="C1057" s="58" t="n">
        <x:v>1.15</x:v>
      </x:c>
      <x:c r="D1057" s="58" t="n">
        <x:v>2</x:v>
      </x:c>
      <x:c r="E1057" s="58" t="n">
        <x:v>1</x:v>
      </x:c>
      <x:c r="F1057" s="58" t="str">
        <x:v>SEARCH</x:v>
      </x:c>
      <x:c r="G1057" s="58" t="n">
        <x:v>1</x:v>
      </x:c>
      <x:c r="H1057" s="59" t="n">
        <x:v>1</x:v>
      </x:c>
      <x:c r="I1057" s="59" t="n">
        <x:v>0.03183</x:v>
      </x:c>
      <x:c r="J1057" s="59" t="n">
        <x:v>0.05179</x:v>
      </x:c>
      <x:c r="K1057" s="59" t="n">
        <x:v>0.0576</x:v>
      </x:c>
      <x:c r="L1057" s="59" t="n">
        <x:v>0.05618</x:v>
      </x:c>
      <x:c r="M1057" s="59" t="n">
        <x:v>0.10534</x:v>
      </x:c>
      <x:c r="N1057" s="60" t="n">
        <x:v>-97.23</x:v>
      </x:c>
      <x:c r="O1057" s="60" t="n">
        <x:v>55.12</x:v>
      </x:c>
      <x:c r="P1057" s="60" t="n">
        <x:v>87.28</x:v>
      </x:c>
      <x:c r="Q1057" s="60" t="n">
        <x:v>8.3</x:v>
      </x:c>
      <x:c r="R1057" s="58" t="str">
        <x:v>Y</x:v>
      </x:c>
      <x:c r="S1057" s="60" t="n">
        <x:v>89.9</x:v>
      </x:c>
      <x:c r="T1057" s="58" t="str">
        <x:v>BELOW MEASUREMENT FLOOR — SEARCH CONTINUES</x:v>
      </x:c>
      <x:c r="U1057" s="58" t="n">
        <x:v>195</x:v>
      </x:c>
      <x:c r="V1057" s="58" t="str">
        <x:v>Pasted text(59).txt</x:v>
      </x:c>
    </x:row>
    <x:row r="1058">
      <x:c r="A1058" s="58" t="str">
        <x:v>S11</x:v>
      </x:c>
      <x:c r="B1058" s="58" t="str">
        <x:v>1.15 instability and response-collapse session</x:v>
      </x:c>
      <x:c r="C1058" s="58" t="n">
        <x:v>1.15</x:v>
      </x:c>
      <x:c r="D1058" s="58" t="n">
        <x:v>2</x:v>
      </x:c>
      <x:c r="E1058" s="58" t="n">
        <x:v>1</x:v>
      </x:c>
      <x:c r="F1058" s="58" t="str">
        <x:v>SEARCH</x:v>
      </x:c>
      <x:c r="G1058" s="58" t="n">
        <x:v>2</x:v>
      </x:c>
      <x:c r="H1058" s="59" t="n">
        <x:v>3</x:v>
      </x:c>
      <x:c r="I1058" s="59" t="n">
        <x:v>0.01122</x:v>
      </x:c>
      <x:c r="J1058" s="59" t="n">
        <x:v>0.01039</x:v>
      </x:c>
      <x:c r="K1058" s="59" t="n">
        <x:v>0.01697</x:v>
      </x:c>
      <x:c r="L1058" s="59" t="n">
        <x:v>0.03977</x:v>
      </x:c>
      <x:c r="M1058" s="59" t="n">
        <x:v>0.04563</x:v>
      </x:c>
      <x:c r="N1058" s="60" t="n">
        <x:v>-99.02</x:v>
      </x:c>
      <x:c r="O1058" s="60" t="n">
        <x:v>71.51</x:v>
      </x:c>
      <x:c r="P1058" s="60" t="n">
        <x:v>64.47</x:v>
      </x:c>
      <x:c r="Q1058" s="60" t="n">
        <x:v>5.1</x:v>
      </x:c>
      <x:c r="R1058" s="58" t="str">
        <x:v>Z</x:v>
      </x:c>
      <x:c r="S1058" s="60" t="n">
        <x:v>26.1</x:v>
      </x:c>
      <x:c r="T1058" s="58" t="str">
        <x:v>BELOW MEASUREMENT FLOOR — SEARCH CONTINUES</x:v>
      </x:c>
      <x:c r="U1058" s="58" t="n">
        <x:v>196</x:v>
      </x:c>
      <x:c r="V1058" s="58" t="str">
        <x:v>Pasted text(59).txt</x:v>
      </x:c>
    </x:row>
    <x:row r="1059">
      <x:c r="A1059" s="58" t="str">
        <x:v>S11</x:v>
      </x:c>
      <x:c r="B1059" s="58" t="str">
        <x:v>1.15 instability and response-collapse session</x:v>
      </x:c>
      <x:c r="C1059" s="58" t="n">
        <x:v>1.15</x:v>
      </x:c>
      <x:c r="D1059" s="58" t="n">
        <x:v>2</x:v>
      </x:c>
      <x:c r="E1059" s="58" t="n">
        <x:v>1</x:v>
      </x:c>
      <x:c r="F1059" s="58" t="str">
        <x:v>SEARCH</x:v>
      </x:c>
      <x:c r="G1059" s="58" t="n">
        <x:v>3</x:v>
      </x:c>
      <x:c r="H1059" s="59" t="n">
        <x:v>5</x:v>
      </x:c>
      <x:c r="I1059" s="59" t="n">
        <x:v>0.00573</x:v>
      </x:c>
      <x:c r="J1059" s="59" t="n">
        <x:v>0.00539</x:v>
      </x:c>
      <x:c r="K1059" s="59" t="n">
        <x:v>0.02044</x:v>
      </x:c>
      <x:c r="L1059" s="59" t="n">
        <x:v>0.02582</x:v>
      </x:c>
      <x:c r="M1059" s="59" t="n">
        <x:v>0.03357</x:v>
      </x:c>
      <x:c r="N1059" s="60" t="n">
        <x:v>-99.5</x:v>
      </x:c>
      <x:c r="O1059" s="60" t="n">
        <x:v>17.46</x:v>
      </x:c>
      <x:c r="P1059" s="60" t="n">
        <x:v>8.85</x:v>
      </x:c>
      <x:c r="Q1059" s="60" t="n">
        <x:v>2.8</x:v>
      </x:c>
      <x:c r="R1059" s="58" t="str">
        <x:v>Z</x:v>
      </x:c>
      <x:c r="S1059" s="60" t="n">
        <x:v>20.9</x:v>
      </x:c>
      <x:c r="T1059" s="58" t="str">
        <x:v>BELOW MEASUREMENT FLOOR — SEARCH CONTINUES</x:v>
      </x:c>
      <x:c r="U1059" s="58" t="n">
        <x:v>197</x:v>
      </x:c>
      <x:c r="V1059" s="58" t="str">
        <x:v>Pasted text(59).txt</x:v>
      </x:c>
    </x:row>
    <x:row r="1060">
      <x:c r="A1060" s="58" t="str">
        <x:v>S11</x:v>
      </x:c>
      <x:c r="B1060" s="58" t="str">
        <x:v>1.15 instability and response-collapse session</x:v>
      </x:c>
      <x:c r="C1060" s="58" t="n">
        <x:v>1.15</x:v>
      </x:c>
      <x:c r="D1060" s="58" t="n">
        <x:v>2</x:v>
      </x:c>
      <x:c r="E1060" s="58" t="n">
        <x:v>1</x:v>
      </x:c>
      <x:c r="F1060" s="58" t="str">
        <x:v>SEARCH</x:v>
      </x:c>
      <x:c r="G1060" s="58" t="n">
        <x:v>4</x:v>
      </x:c>
      <x:c r="H1060" s="59" t="n">
        <x:v>7</x:v>
      </x:c>
      <x:c r="I1060" s="59" t="n">
        <x:v>0.01188</x:v>
      </x:c>
      <x:c r="J1060" s="59" t="n">
        <x:v>0.01191</x:v>
      </x:c>
      <x:c r="K1060" s="59" t="n">
        <x:v>0.01775</x:v>
      </x:c>
      <x:c r="L1060" s="59" t="n">
        <x:v>0.01952</x:v>
      </x:c>
      <x:c r="M1060" s="59" t="n">
        <x:v>0.02956</x:v>
      </x:c>
      <x:c r="N1060" s="60" t="n">
        <x:v>-98.97</x:v>
      </x:c>
      <x:c r="O1060" s="60" t="n">
        <x:v>69.87</x:v>
      </x:c>
      <x:c r="P1060" s="60" t="n">
        <x:v>47.34</x:v>
      </x:c>
      <x:c r="Q1060" s="60" t="n">
        <x:v>5.9</x:v>
      </x:c>
      <x:c r="R1060" s="58" t="str">
        <x:v>Z</x:v>
      </x:c>
      <x:c r="S1060" s="60" t="n">
        <x:v>61</x:v>
      </x:c>
      <x:c r="T1060" s="58" t="str">
        <x:v>BELOW MEASUREMENT FLOOR — SEARCH CONTINUES</x:v>
      </x:c>
      <x:c r="U1060" s="58" t="n">
        <x:v>198</x:v>
      </x:c>
      <x:c r="V1060" s="58" t="str">
        <x:v>Pasted text(59).txt</x:v>
      </x:c>
    </x:row>
    <x:row r="1061">
      <x:c r="A1061" s="58" t="str">
        <x:v>S11</x:v>
      </x:c>
      <x:c r="B1061" s="58" t="str">
        <x:v>1.15 instability and response-collapse session</x:v>
      </x:c>
      <x:c r="C1061" s="58" t="n">
        <x:v>1.15</x:v>
      </x:c>
      <x:c r="D1061" s="58" t="n">
        <x:v>2</x:v>
      </x:c>
      <x:c r="E1061" s="58" t="n">
        <x:v>1</x:v>
      </x:c>
      <x:c r="F1061" s="58" t="str">
        <x:v>SEARCH</x:v>
      </x:c>
      <x:c r="G1061" s="58" t="n">
        <x:v>5</x:v>
      </x:c>
      <x:c r="H1061" s="59" t="n">
        <x:v>9</x:v>
      </x:c>
      <x:c r="I1061" s="59" t="n">
        <x:v>0.03243</x:v>
      </x:c>
      <x:c r="J1061" s="59" t="n">
        <x:v>0.03463</x:v>
      </x:c>
      <x:c r="K1061" s="59" t="n">
        <x:v>0.02598</x:v>
      </x:c>
      <x:c r="L1061" s="59" t="n">
        <x:v>0.03678</x:v>
      </x:c>
      <x:c r="M1061" s="59" t="n">
        <x:v>0.05821</x:v>
      </x:c>
      <x:c r="N1061" s="60" t="n">
        <x:v>-97.18</x:v>
      </x:c>
      <x:c r="O1061" s="60" t="n">
        <x:v>20.14</x:v>
      </x:c>
      <x:c r="P1061" s="60" t="n">
        <x:v>8.99</x:v>
      </x:c>
      <x:c r="Q1061" s="60" t="n">
        <x:v>17.2</x:v>
      </x:c>
      <x:c r="R1061" s="58" t="str">
        <x:v>Z</x:v>
      </x:c>
      <x:c r="S1061" s="60" t="n">
        <x:v>94.2</x:v>
      </x:c>
      <x:c r="T1061" s="58" t="str">
        <x:v>BELOW MEASUREMENT FLOOR — SEARCH CONTINUES</x:v>
      </x:c>
      <x:c r="U1061" s="58" t="n">
        <x:v>199</x:v>
      </x:c>
      <x:c r="V1061" s="58" t="str">
        <x:v>Pasted text(59).txt</x:v>
      </x:c>
    </x:row>
    <x:row r="1062">
      <x:c r="A1062" s="58" t="str">
        <x:v>S11</x:v>
      </x:c>
      <x:c r="B1062" s="58" t="str">
        <x:v>1.15 instability and response-collapse session</x:v>
      </x:c>
      <x:c r="C1062" s="58" t="n">
        <x:v>1.15</x:v>
      </x:c>
      <x:c r="D1062" s="58" t="n">
        <x:v>2</x:v>
      </x:c>
      <x:c r="E1062" s="58" t="n">
        <x:v>1</x:v>
      </x:c>
      <x:c r="F1062" s="58" t="str">
        <x:v>SEARCH</x:v>
      </x:c>
      <x:c r="G1062" s="58" t="n">
        <x:v>6</x:v>
      </x:c>
      <x:c r="H1062" s="59" t="n">
        <x:v>11</x:v>
      </x:c>
      <x:c r="I1062" s="59" t="n">
        <x:v>0.01861</x:v>
      </x:c>
      <x:c r="J1062" s="59" t="n">
        <x:v>0.019</x:v>
      </x:c>
      <x:c r="K1062" s="59" t="n">
        <x:v>0.01796</x:v>
      </x:c>
      <x:c r="L1062" s="59" t="n">
        <x:v>0.02157</x:v>
      </x:c>
      <x:c r="M1062" s="59" t="n">
        <x:v>0.03394</x:v>
      </x:c>
      <x:c r="N1062" s="60" t="n">
        <x:v>-98.38</x:v>
      </x:c>
      <x:c r="O1062" s="60" t="n">
        <x:v>6.23</x:v>
      </x:c>
      <x:c r="P1062" s="60" t="n">
        <x:v>2.91</x:v>
      </x:c>
      <x:c r="Q1062" s="60" t="n">
        <x:v>10.3</x:v>
      </x:c>
      <x:c r="R1062" s="58" t="str">
        <x:v>Z</x:v>
      </x:c>
      <x:c r="S1062" s="60" t="n">
        <x:v>88.1</x:v>
      </x:c>
      <x:c r="T1062" s="58" t="str">
        <x:v>BELOW MEASUREMENT FLOOR — SEARCH CONTINUES</x:v>
      </x:c>
      <x:c r="U1062" s="58" t="n">
        <x:v>200</x:v>
      </x:c>
      <x:c r="V1062" s="58" t="str">
        <x:v>Pasted text(59).txt</x:v>
      </x:c>
    </x:row>
    <x:row r="1063">
      <x:c r="A1063" s="58" t="str">
        <x:v>S11</x:v>
      </x:c>
      <x:c r="B1063" s="58" t="str">
        <x:v>1.15 instability and response-collapse session</x:v>
      </x:c>
      <x:c r="C1063" s="58" t="n">
        <x:v>1.15</x:v>
      </x:c>
      <x:c r="D1063" s="58" t="n">
        <x:v>2</x:v>
      </x:c>
      <x:c r="E1063" s="58" t="n">
        <x:v>1</x:v>
      </x:c>
      <x:c r="F1063" s="58" t="str">
        <x:v>SEARCH</x:v>
      </x:c>
      <x:c r="G1063" s="58" t="n">
        <x:v>7</x:v>
      </x:c>
      <x:c r="H1063" s="59" t="n">
        <x:v>13</x:v>
      </x:c>
      <x:c r="I1063" s="59" t="n">
        <x:v>0.02264</x:v>
      </x:c>
      <x:c r="J1063" s="59" t="n">
        <x:v>0.02454</x:v>
      </x:c>
      <x:c r="K1063" s="59" t="n">
        <x:v>0.02377</x:v>
      </x:c>
      <x:c r="L1063" s="59" t="n">
        <x:v>0.02753</x:v>
      </x:c>
      <x:c r="M1063" s="59" t="n">
        <x:v>0.04938</x:v>
      </x:c>
      <x:c r="N1063" s="60" t="n">
        <x:v>-98.03</x:v>
      </x:c>
      <x:c r="O1063" s="60" t="n">
        <x:v>75.5</x:v>
      </x:c>
      <x:c r="P1063" s="60" t="n">
        <x:v>59</x:v>
      </x:c>
      <x:c r="Q1063" s="60" t="n">
        <x:v>13</x:v>
      </x:c>
      <x:c r="R1063" s="58" t="str">
        <x:v>Z</x:v>
      </x:c>
      <x:c r="S1063" s="60" t="n">
        <x:v>89.1</x:v>
      </x:c>
      <x:c r="T1063" s="58" t="str">
        <x:v>BELOW MEASUREMENT FLOOR — SEARCH CONTINUES</x:v>
      </x:c>
      <x:c r="U1063" s="58" t="n">
        <x:v>201</x:v>
      </x:c>
      <x:c r="V1063" s="58" t="str">
        <x:v>Pasted text(59).txt</x:v>
      </x:c>
    </x:row>
    <x:row r="1064">
      <x:c r="A1064" s="58" t="str">
        <x:v>S11</x:v>
      </x:c>
      <x:c r="B1064" s="58" t="str">
        <x:v>1.15 instability and response-collapse session</x:v>
      </x:c>
      <x:c r="C1064" s="58" t="n">
        <x:v>1.15</x:v>
      </x:c>
      <x:c r="D1064" s="58" t="n">
        <x:v>2</x:v>
      </x:c>
      <x:c r="E1064" s="58" t="n">
        <x:v>1</x:v>
      </x:c>
      <x:c r="F1064" s="58" t="str">
        <x:v>SEARCH</x:v>
      </x:c>
      <x:c r="G1064" s="58" t="n">
        <x:v>8</x:v>
      </x:c>
      <x:c r="H1064" s="59" t="n">
        <x:v>15</x:v>
      </x:c>
      <x:c r="I1064" s="59" t="n">
        <x:v>0.01493</x:v>
      </x:c>
      <x:c r="J1064" s="59" t="n">
        <x:v>0.01519</x:v>
      </x:c>
      <x:c r="K1064" s="59" t="n">
        <x:v>0.02426</x:v>
      </x:c>
      <x:c r="L1064" s="59" t="n">
        <x:v>0.03863</x:v>
      </x:c>
      <x:c r="M1064" s="59" t="n">
        <x:v>0.04861</x:v>
      </x:c>
      <x:c r="N1064" s="60" t="n">
        <x:v>-98.7</x:v>
      </x:c>
      <x:c r="O1064" s="60" t="n">
        <x:v>46.63</x:v>
      </x:c>
      <x:c r="P1064" s="60" t="n">
        <x:v>33.58</x:v>
      </x:c>
      <x:c r="Q1064" s="60" t="n">
        <x:v>7.7</x:v>
      </x:c>
      <x:c r="R1064" s="58" t="str">
        <x:v>Z</x:v>
      </x:c>
      <x:c r="S1064" s="60" t="n">
        <x:v>39.3</x:v>
      </x:c>
      <x:c r="T1064" s="58" t="str">
        <x:v>BELOW MEASUREMENT FLOOR — SEARCH CONTINUES</x:v>
      </x:c>
      <x:c r="U1064" s="58" t="n">
        <x:v>202</x:v>
      </x:c>
      <x:c r="V1064" s="58" t="str">
        <x:v>Pasted text(59).txt</x:v>
      </x:c>
    </x:row>
    <x:row r="1065">
      <x:c r="A1065" s="58" t="str">
        <x:v>S11</x:v>
      </x:c>
      <x:c r="B1065" s="58" t="str">
        <x:v>1.15 instability and response-collapse session</x:v>
      </x:c>
      <x:c r="C1065" s="58" t="n">
        <x:v>1.15</x:v>
      </x:c>
      <x:c r="D1065" s="58" t="n">
        <x:v>2</x:v>
      </x:c>
      <x:c r="E1065" s="58" t="n">
        <x:v>1</x:v>
      </x:c>
      <x:c r="F1065" s="58" t="str">
        <x:v>SEARCH</x:v>
      </x:c>
      <x:c r="G1065" s="58" t="n">
        <x:v>9</x:v>
      </x:c>
      <x:c r="H1065" s="59" t="n">
        <x:v>17</x:v>
      </x:c>
      <x:c r="I1065" s="59" t="n">
        <x:v>0.0159</x:v>
      </x:c>
      <x:c r="J1065" s="59" t="n">
        <x:v>0.01468</x:v>
      </x:c>
      <x:c r="K1065" s="59" t="n">
        <x:v>0.01534</x:v>
      </x:c>
      <x:c r="L1065" s="59" t="n">
        <x:v>0.01554</x:v>
      </x:c>
      <x:c r="M1065" s="59" t="n">
        <x:v>0.02776</x:v>
      </x:c>
      <x:c r="N1065" s="60" t="n">
        <x:v>-98.62</x:v>
      </x:c>
      <x:c r="O1065" s="60" t="n">
        <x:v>22.81</x:v>
      </x:c>
      <x:c r="P1065" s="60" t="n">
        <x:v>11.79</x:v>
      </x:c>
      <x:c r="Q1065" s="60" t="n">
        <x:v>8.5</x:v>
      </x:c>
      <x:c r="R1065" s="58" t="str">
        <x:v>Z</x:v>
      </x:c>
      <x:c r="S1065" s="60" t="n">
        <x:v>94.4</x:v>
      </x:c>
      <x:c r="T1065" s="58" t="str">
        <x:v>BELOW MEASUREMENT FLOOR — SEARCH CONTINUES</x:v>
      </x:c>
      <x:c r="U1065" s="58" t="n">
        <x:v>203</x:v>
      </x:c>
      <x:c r="V1065" s="58" t="str">
        <x:v>Pasted text(59).txt</x:v>
      </x:c>
    </x:row>
    <x:row r="1066">
      <x:c r="A1066" s="58" t="str">
        <x:v>S11</x:v>
      </x:c>
      <x:c r="B1066" s="58" t="str">
        <x:v>1.15 instability and response-collapse session</x:v>
      </x:c>
      <x:c r="C1066" s="58" t="n">
        <x:v>1.15</x:v>
      </x:c>
      <x:c r="D1066" s="58" t="n">
        <x:v>2</x:v>
      </x:c>
      <x:c r="E1066" s="58" t="n">
        <x:v>1</x:v>
      </x:c>
      <x:c r="F1066" s="58" t="str">
        <x:v>SEARCH</x:v>
      </x:c>
      <x:c r="G1066" s="58" t="n">
        <x:v>10</x:v>
      </x:c>
      <x:c r="H1066" s="59" t="n">
        <x:v>19</x:v>
      </x:c>
      <x:c r="I1066" s="59" t="n">
        <x:v>0.09738</x:v>
      </x:c>
      <x:c r="J1066" s="59" t="n">
        <x:v>0.09231</x:v>
      </x:c>
      <x:c r="K1066" s="59" t="n">
        <x:v>0.11561</x:v>
      </x:c>
      <x:c r="L1066" s="59" t="n">
        <x:v>0.57901</x:v>
      </x:c>
      <x:c r="M1066" s="59" t="n">
        <x:v>0.60011</x:v>
      </x:c>
      <x:c r="N1066" s="60" t="n">
        <x:v>-91.53</x:v>
      </x:c>
      <x:c r="O1066" s="60" t="n">
        <x:v>15.43</x:v>
      </x:c>
      <x:c r="P1066" s="60" t="n">
        <x:v>7.77</x:v>
      </x:c>
      <x:c r="Q1066" s="60" t="n">
        <x:v>32.9</x:v>
      </x:c>
      <x:c r="R1066" s="58" t="str">
        <x:v>Z</x:v>
      </x:c>
      <x:c r="S1066" s="60" t="n">
        <x:v>15.9</x:v>
      </x:c>
      <x:c r="T1066" s="58" t="str">
        <x:v>BELOW MEASUREMENT FLOOR — SEARCH CONTINUES</x:v>
      </x:c>
      <x:c r="U1066" s="58" t="n">
        <x:v>204</x:v>
      </x:c>
      <x:c r="V1066" s="58" t="str">
        <x:v>Pasted text(59).txt</x:v>
      </x:c>
    </x:row>
    <x:row r="1067">
      <x:c r="A1067" s="58" t="str">
        <x:v>S11</x:v>
      </x:c>
      <x:c r="B1067" s="58" t="str">
        <x:v>1.15 instability and response-collapse session</x:v>
      </x:c>
      <x:c r="C1067" s="58" t="n">
        <x:v>1.15</x:v>
      </x:c>
      <x:c r="D1067" s="58" t="n">
        <x:v>2</x:v>
      </x:c>
      <x:c r="E1067" s="58" t="n">
        <x:v>1</x:v>
      </x:c>
      <x:c r="F1067" s="58" t="str">
        <x:v>SEARCH</x:v>
      </x:c>
      <x:c r="G1067" s="58" t="n">
        <x:v>11</x:v>
      </x:c>
      <x:c r="H1067" s="59" t="n">
        <x:v>21</x:v>
      </x:c>
      <x:c r="I1067" s="59" t="n">
        <x:v>0.18563</x:v>
      </x:c>
      <x:c r="J1067" s="59" t="n">
        <x:v>0.18825</x:v>
      </x:c>
      <x:c r="K1067" s="59" t="n">
        <x:v>0.13819</x:v>
      </x:c>
      <x:c r="L1067" s="59" t="n">
        <x:v>0.17615</x:v>
      </x:c>
      <x:c r="M1067" s="59" t="n">
        <x:v>0.29375</x:v>
      </x:c>
      <x:c r="N1067" s="60" t="n">
        <x:v>-83.86</x:v>
      </x:c>
      <x:c r="O1067" s="60" t="n">
        <x:v>26.19</x:v>
      </x:c>
      <x:c r="P1067" s="60" t="n">
        <x:v>19.54</x:v>
      </x:c>
      <x:c r="Q1067" s="60" t="n">
        <x:v>56.7</x:v>
      </x:c>
      <x:c r="R1067" s="58" t="str">
        <x:v>X</x:v>
      </x:c>
      <x:c r="S1067" s="60" t="n">
        <x:v>100</x:v>
      </x:c>
      <x:c r="T1067" s="58" t="str">
        <x:v>UNSTABLE — SEARCH CONTINUES</x:v>
      </x:c>
      <x:c r="U1067" s="58" t="n">
        <x:v>205</x:v>
      </x:c>
      <x:c r="V1067" s="58" t="str">
        <x:v>Pasted text(59).txt</x:v>
      </x:c>
    </x:row>
    <x:row r="1068">
      <x:c r="A1068" s="58" t="str">
        <x:v>S11</x:v>
      </x:c>
      <x:c r="B1068" s="58" t="str">
        <x:v>1.15 instability and response-collapse session</x:v>
      </x:c>
      <x:c r="C1068" s="58" t="n">
        <x:v>1.15</x:v>
      </x:c>
      <x:c r="D1068" s="58" t="n">
        <x:v>2</x:v>
      </x:c>
      <x:c r="E1068" s="58" t="n">
        <x:v>1</x:v>
      </x:c>
      <x:c r="F1068" s="58" t="str">
        <x:v>SEARCH</x:v>
      </x:c>
      <x:c r="G1068" s="58" t="n">
        <x:v>12</x:v>
      </x:c>
      <x:c r="H1068" s="59" t="n">
        <x:v>23</x:v>
      </x:c>
      <x:c r="I1068" s="59" t="n">
        <x:v>0.0961</x:v>
      </x:c>
      <x:c r="J1068" s="59" t="n">
        <x:v>0.09096</x:v>
      </x:c>
      <x:c r="K1068" s="59" t="n">
        <x:v>0.04298</x:v>
      </x:c>
      <x:c r="L1068" s="59" t="n">
        <x:v>0.80075</x:v>
      </x:c>
      <x:c r="M1068" s="59" t="n">
        <x:v>0.80728</x:v>
      </x:c>
      <x:c r="N1068" s="60" t="n">
        <x:v>-91.64</x:v>
      </x:c>
      <x:c r="O1068" s="60" t="n">
        <x:v>15.85</x:v>
      </x:c>
      <x:c r="P1068" s="60" t="n">
        <x:v>7.99</x:v>
      </x:c>
      <x:c r="Q1068" s="60" t="n">
        <x:v>36.5</x:v>
      </x:c>
      <x:c r="R1068" s="58" t="str">
        <x:v>Z</x:v>
      </x:c>
      <x:c r="S1068" s="60" t="n">
        <x:v>11.4</x:v>
      </x:c>
      <x:c r="T1068" s="58" t="str">
        <x:v>BELOW MEASUREMENT FLOOR — SEARCH CONTINUES</x:v>
      </x:c>
      <x:c r="U1068" s="58" t="n">
        <x:v>206</x:v>
      </x:c>
      <x:c r="V1068" s="58" t="str">
        <x:v>Pasted text(59).txt</x:v>
      </x:c>
    </x:row>
    <x:row r="1069">
      <x:c r="A1069" s="58" t="str">
        <x:v>S11</x:v>
      </x:c>
      <x:c r="B1069" s="58" t="str">
        <x:v>1.15 instability and response-collapse session</x:v>
      </x:c>
      <x:c r="C1069" s="58" t="n">
        <x:v>1.15</x:v>
      </x:c>
      <x:c r="D1069" s="58" t="n">
        <x:v>2</x:v>
      </x:c>
      <x:c r="E1069" s="58" t="n">
        <x:v>1</x:v>
      </x:c>
      <x:c r="F1069" s="58" t="str">
        <x:v>SEARCH</x:v>
      </x:c>
      <x:c r="G1069" s="58" t="n">
        <x:v>13</x:v>
      </x:c>
      <x:c r="H1069" s="59" t="n">
        <x:v>25</x:v>
      </x:c>
      <x:c r="I1069" s="59" t="n">
        <x:v>0.16139</x:v>
      </x:c>
      <x:c r="J1069" s="59" t="n">
        <x:v>0.16897</x:v>
      </x:c>
      <x:c r="K1069" s="59" t="n">
        <x:v>0.18705</x:v>
      </x:c>
      <x:c r="L1069" s="59" t="n">
        <x:v>0.82399</x:v>
      </x:c>
      <x:c r="M1069" s="59" t="n">
        <x:v>0.86183</x:v>
      </x:c>
      <x:c r="N1069" s="60" t="n">
        <x:v>-85.97</x:v>
      </x:c>
      <x:c r="O1069" s="60" t="n">
        <x:v>13.92</x:v>
      </x:c>
      <x:c r="P1069" s="60" t="n">
        <x:v>6.34</x:v>
      </x:c>
      <x:c r="Q1069" s="60" t="n">
        <x:v>55.3</x:v>
      </x:c>
      <x:c r="R1069" s="58" t="str">
        <x:v>Z</x:v>
      </x:c>
      <x:c r="S1069" s="60" t="n">
        <x:v>20.5</x:v>
      </x:c>
      <x:c r="T1069" s="58" t="str">
        <x:v>VALID</x:v>
      </x:c>
      <x:c r="U1069" s="58" t="n">
        <x:v>207</x:v>
      </x:c>
      <x:c r="V1069" s="58" t="str">
        <x:v>Pasted text(59).txt</x:v>
      </x:c>
    </x:row>
    <x:row r="1070">
      <x:c r="A1070" s="58" t="str">
        <x:v>S11</x:v>
      </x:c>
      <x:c r="B1070" s="58" t="str">
        <x:v>1.15 instability and response-collapse session</x:v>
      </x:c>
      <x:c r="C1070" s="58" t="n">
        <x:v>1.15</x:v>
      </x:c>
      <x:c r="D1070" s="58" t="n">
        <x:v>2</x:v>
      </x:c>
      <x:c r="E1070" s="58" t="n">
        <x:v>1</x:v>
      </x:c>
      <x:c r="F1070" s="58" t="str">
        <x:v>SEARCH</x:v>
      </x:c>
      <x:c r="G1070" s="58" t="n">
        <x:v>14</x:v>
      </x:c>
      <x:c r="H1070" s="59" t="n">
        <x:v>27</x:v>
      </x:c>
      <x:c r="I1070" s="59" t="n">
        <x:v>0.50971</x:v>
      </x:c>
      <x:c r="J1070" s="59" t="n">
        <x:v>0.60103</x:v>
      </x:c>
      <x:c r="K1070" s="59" t="n">
        <x:v>0.41461</x:v>
      </x:c>
      <x:c r="L1070" s="59" t="n">
        <x:v>0.53651</x:v>
      </x:c>
      <x:c r="M1070" s="59" t="n">
        <x:v>0.9195</x:v>
      </x:c>
      <x:c r="N1070" s="60" t="n">
        <x:v>-55.68</x:v>
      </x:c>
      <x:c r="O1070" s="60" t="n">
        <x:v>36.18</x:v>
      </x:c>
      <x:c r="P1070" s="60" t="n">
        <x:v>45.43</x:v>
      </x:c>
      <x:c r="Q1070" s="60" t="n">
        <x:v>71.1</x:v>
      </x:c>
      <x:c r="R1070" s="58" t="str">
        <x:v>X</x:v>
      </x:c>
      <x:c r="S1070" s="60" t="n">
        <x:v>100</x:v>
      </x:c>
      <x:c r="T1070" s="58" t="str">
        <x:v>UNSTABLE — SEARCH CONTINUES</x:v>
      </x:c>
      <x:c r="U1070" s="58" t="n">
        <x:v>208</x:v>
      </x:c>
      <x:c r="V1070" s="58" t="str">
        <x:v>Pasted text(59).txt</x:v>
      </x:c>
    </x:row>
    <x:row r="1071">
      <x:c r="A1071" s="58" t="str">
        <x:v>S11</x:v>
      </x:c>
      <x:c r="B1071" s="58" t="str">
        <x:v>1.15 instability and response-collapse session</x:v>
      </x:c>
      <x:c r="C1071" s="58" t="n">
        <x:v>1.15</x:v>
      </x:c>
      <x:c r="D1071" s="58" t="n">
        <x:v>2</x:v>
      </x:c>
      <x:c r="E1071" s="58" t="n">
        <x:v>1</x:v>
      </x:c>
      <x:c r="F1071" s="58" t="str">
        <x:v>SEARCH</x:v>
      </x:c>
      <x:c r="G1071" s="58" t="n">
        <x:v>15</x:v>
      </x:c>
      <x:c r="H1071" s="59" t="n">
        <x:v>28</x:v>
      </x:c>
      <x:c r="I1071" s="59" t="n">
        <x:v>0.68808</x:v>
      </x:c>
      <x:c r="J1071" s="59" t="n">
        <x:v>0.67923</x:v>
      </x:c>
      <x:c r="K1071" s="59" t="n">
        <x:v>0.55707</x:v>
      </x:c>
      <x:c r="L1071" s="59" t="n">
        <x:v>0.63886</x:v>
      </x:c>
      <x:c r="M1071" s="59" t="n">
        <x:v>1.08692</x:v>
      </x:c>
      <x:c r="N1071" s="60" t="n">
        <x:v>-40.17</x:v>
      </x:c>
      <x:c r="O1071" s="60" t="n">
        <x:v>1.73</x:v>
      </x:c>
      <x:c r="P1071" s="60" t="n">
        <x:v>3.33</x:v>
      </x:c>
      <x:c r="Q1071" s="60" t="n">
        <x:v>91.3</x:v>
      </x:c>
      <x:c r="R1071" s="58" t="str">
        <x:v>X</x:v>
      </x:c>
      <x:c r="S1071" s="60" t="n">
        <x:v>100</x:v>
      </x:c>
      <x:c r="T1071" s="58" t="str">
        <x:v>VALID</x:v>
      </x:c>
      <x:c r="U1071" s="58" t="n">
        <x:v>209</x:v>
      </x:c>
      <x:c r="V1071" s="58" t="str">
        <x:v>Pasted text(59).txt</x:v>
      </x:c>
    </x:row>
    <x:row r="1072">
      <x:c r="A1072" s="58" t="str">
        <x:v>S11</x:v>
      </x:c>
      <x:c r="B1072" s="58" t="str">
        <x:v>1.15 instability and response-collapse session</x:v>
      </x:c>
      <x:c r="C1072" s="58" t="n">
        <x:v>1.15</x:v>
      </x:c>
      <x:c r="D1072" s="58" t="n">
        <x:v>2</x:v>
      </x:c>
      <x:c r="E1072" s="58" t="n">
        <x:v>1</x:v>
      </x:c>
      <x:c r="F1072" s="58" t="str">
        <x:v>SEARCH</x:v>
      </x:c>
      <x:c r="G1072" s="58" t="n">
        <x:v>16</x:v>
      </x:c>
      <x:c r="H1072" s="59" t="n">
        <x:v>29</x:v>
      </x:c>
      <x:c r="I1072" s="59" t="n">
        <x:v>0.68141</x:v>
      </x:c>
      <x:c r="J1072" s="59" t="n">
        <x:v>0.68836</x:v>
      </x:c>
      <x:c r="K1072" s="59" t="n">
        <x:v>0.54107</x:v>
      </x:c>
      <x:c r="L1072" s="59" t="n">
        <x:v>0.65834</x:v>
      </x:c>
      <x:c r="M1072" s="59" t="n">
        <x:v>1.09561</x:v>
      </x:c>
      <x:c r="N1072" s="60" t="n">
        <x:v>-40.75</x:v>
      </x:c>
      <x:c r="O1072" s="60" t="n">
        <x:v>1.68</x:v>
      </x:c>
      <x:c r="P1072" s="60" t="n">
        <x:v>2.78</x:v>
      </x:c>
      <x:c r="Q1072" s="60" t="n">
        <x:v>91.7</x:v>
      </x:c>
      <x:c r="R1072" s="58" t="str">
        <x:v>X</x:v>
      </x:c>
      <x:c r="S1072" s="60" t="n">
        <x:v>100</x:v>
      </x:c>
      <x:c r="T1072" s="58" t="str">
        <x:v>VALID</x:v>
      </x:c>
      <x:c r="U1072" s="58" t="n">
        <x:v>210</x:v>
      </x:c>
      <x:c r="V1072" s="58" t="str">
        <x:v>Pasted text(59).txt</x:v>
      </x:c>
    </x:row>
    <x:row r="1073">
      <x:c r="A1073" s="58" t="str">
        <x:v>S11</x:v>
      </x:c>
      <x:c r="B1073" s="58" t="str">
        <x:v>1.15 instability and response-collapse session</x:v>
      </x:c>
      <x:c r="C1073" s="58" t="n">
        <x:v>1.15</x:v>
      </x:c>
      <x:c r="D1073" s="58" t="n">
        <x:v>2</x:v>
      </x:c>
      <x:c r="E1073" s="58" t="n">
        <x:v>1</x:v>
      </x:c>
      <x:c r="F1073" s="58" t="str">
        <x:v>SEARCH</x:v>
      </x:c>
      <x:c r="G1073" s="58" t="n">
        <x:v>17</x:v>
      </x:c>
      <x:c r="H1073" s="59" t="n">
        <x:v>30</x:v>
      </x:c>
      <x:c r="I1073" s="59" t="n">
        <x:v>0.70552</x:v>
      </x:c>
      <x:c r="J1073" s="59" t="n">
        <x:v>0.70243</x:v>
      </x:c>
      <x:c r="K1073" s="59" t="n">
        <x:v>0.50786</x:v>
      </x:c>
      <x:c r="L1073" s="59" t="n">
        <x:v>0.63147</x:v>
      </x:c>
      <x:c r="M1073" s="59" t="n">
        <x:v>1.0733</x:v>
      </x:c>
      <x:c r="N1073" s="60" t="n">
        <x:v>-38.65</x:v>
      </x:c>
      <x:c r="O1073" s="60" t="n">
        <x:v>6.34</x:v>
      </x:c>
      <x:c r="P1073" s="60" t="n">
        <x:v>4.97</x:v>
      </x:c>
      <x:c r="Q1073" s="60" t="n">
        <x:v>88.5</x:v>
      </x:c>
      <x:c r="R1073" s="58" t="str">
        <x:v>X</x:v>
      </x:c>
      <x:c r="S1073" s="60" t="n">
        <x:v>100</x:v>
      </x:c>
      <x:c r="T1073" s="58" t="str">
        <x:v>VALID</x:v>
      </x:c>
      <x:c r="U1073" s="58" t="n">
        <x:v>211</x:v>
      </x:c>
      <x:c r="V1073" s="58" t="str">
        <x:v>Pasted text(59).txt</x:v>
      </x:c>
    </x:row>
    <x:row r="1074">
      <x:c r="A1074" s="58" t="str">
        <x:v>S11</x:v>
      </x:c>
      <x:c r="B1074" s="58" t="str">
        <x:v>1.15 instability and response-collapse session</x:v>
      </x:c>
      <x:c r="C1074" s="58" t="n">
        <x:v>1.15</x:v>
      </x:c>
      <x:c r="D1074" s="58" t="n">
        <x:v>2</x:v>
      </x:c>
      <x:c r="E1074" s="58" t="n">
        <x:v>2</x:v>
      </x:c>
      <x:c r="F1074" s="58" t="str">
        <x:v>SEARCH</x:v>
      </x:c>
      <x:c r="G1074" s="58" t="n">
        <x:v>1</x:v>
      </x:c>
      <x:c r="H1074" s="59" t="n">
        <x:v>1</x:v>
      </x:c>
      <x:c r="I1074" s="59" t="n">
        <x:v>0.01474</x:v>
      </x:c>
      <x:c r="J1074" s="59" t="n">
        <x:v>0.01847</x:v>
      </x:c>
      <x:c r="K1074" s="59" t="n">
        <x:v>0.02141</x:v>
      </x:c>
      <x:c r="L1074" s="59" t="n">
        <x:v>0.01922</x:v>
      </x:c>
      <x:c r="M1074" s="59" t="n">
        <x:v>0.03721</x:v>
      </x:c>
      <x:c r="N1074" s="60" t="n">
        <x:v>-98.72</x:v>
      </x:c>
      <x:c r="O1074" s="60" t="n">
        <x:v>80.49</x:v>
      </x:c>
      <x:c r="P1074" s="60" t="n">
        <x:v>75.69</x:v>
      </x:c>
      <x:c r="Q1074" s="60" t="n">
        <x:v>8.7</x:v>
      </x:c>
      <x:c r="R1074" s="58" t="str">
        <x:v>Y</x:v>
      </x:c>
      <x:c r="S1074" s="60" t="n">
        <x:v>86.3</x:v>
      </x:c>
      <x:c r="T1074" s="58" t="str">
        <x:v>BELOW MEASUREMENT FLOOR — SEARCH CONTINUES</x:v>
      </x:c>
      <x:c r="U1074" s="58" t="n">
        <x:v>218</x:v>
      </x:c>
      <x:c r="V1074" s="58" t="str">
        <x:v>Pasted text(59).txt</x:v>
      </x:c>
    </x:row>
    <x:row r="1075">
      <x:c r="A1075" s="58" t="str">
        <x:v>S12</x:v>
      </x:c>
      <x:c r="B1075" s="58" t="str">
        <x:v>1.15 safety-guard failure session</x:v>
      </x:c>
      <x:c r="C1075" s="58" t="n">
        <x:v>1.15</x:v>
      </x:c>
      <x:c r="D1075" s="58" t="n">
        <x:v>1</x:v>
      </x:c>
      <x:c r="E1075" s="58" t="n">
        <x:v>1</x:v>
      </x:c>
      <x:c r="F1075" s="58" t="str">
        <x:v>SEARCH</x:v>
      </x:c>
      <x:c r="G1075" s="58" t="n">
        <x:v>1</x:v>
      </x:c>
      <x:c r="H1075" s="59" t="n">
        <x:v>1</x:v>
      </x:c>
      <x:c r="I1075" s="59" t="n">
        <x:v>0.01135</x:v>
      </x:c>
      <x:c r="J1075" s="59" t="n">
        <x:v>0.02659</x:v>
      </x:c>
      <x:c r="K1075" s="59" t="n">
        <x:v>0.03085</x:v>
      </x:c>
      <x:c r="L1075" s="59" t="n">
        <x:v>0.02741</x:v>
      </x:c>
      <x:c r="M1075" s="59" t="n">
        <x:v>0.0563</x:v>
      </x:c>
      <x:c r="N1075" s="60" t="n">
        <x:v>-99.01</x:v>
      </x:c>
      <x:c r="O1075" s="60" t="n">
        <x:v>62.71</x:v>
      </x:c>
      <x:c r="P1075" s="60" t="n">
        <x:v>115.25</x:v>
      </x:c>
      <x:c r="Q1075" s="60" t="n">
        <x:v>11.2</x:v>
      </x:c>
      <x:c r="R1075" s="58" t="str">
        <x:v>Y</x:v>
      </x:c>
      <x:c r="S1075" s="60" t="n">
        <x:v>86.2</x:v>
      </x:c>
      <x:c r="T1075" s="58" t="str">
        <x:v>BELOW MEASUREMENT FLOOR — SEARCH CONTINUES</x:v>
      </x:c>
      <x:c r="U1075" s="58" t="n">
        <x:v>266</x:v>
      </x:c>
      <x:c r="V1075" s="58" t="str">
        <x:v>Pasted text(59).txt</x:v>
      </x:c>
    </x:row>
    <x:row r="1076">
      <x:c r="A1076" s="58" t="str">
        <x:v>S12</x:v>
      </x:c>
      <x:c r="B1076" s="58" t="str">
        <x:v>1.15 safety-guard failure session</x:v>
      </x:c>
      <x:c r="C1076" s="58" t="n">
        <x:v>1.15</x:v>
      </x:c>
      <x:c r="D1076" s="58" t="n">
        <x:v>1</x:v>
      </x:c>
      <x:c r="E1076" s="58" t="n">
        <x:v>1</x:v>
      </x:c>
      <x:c r="F1076" s="58" t="str">
        <x:v>SEARCH</x:v>
      </x:c>
      <x:c r="G1076" s="58" t="n">
        <x:v>2</x:v>
      </x:c>
      <x:c r="H1076" s="59" t="n">
        <x:v>3</x:v>
      </x:c>
      <x:c r="I1076" s="59" t="n">
        <x:v>0.02476</x:v>
      </x:c>
      <x:c r="J1076" s="59" t="n">
        <x:v>0.02166</x:v>
      </x:c>
      <x:c r="K1076" s="59" t="n">
        <x:v>0.036</x:v>
      </x:c>
      <x:c r="L1076" s="59" t="n">
        <x:v>0.02709</x:v>
      </x:c>
      <x:c r="M1076" s="59" t="n">
        <x:v>0.05223</x:v>
      </x:c>
      <x:c r="N1076" s="60" t="n">
        <x:v>-97.85</x:v>
      </x:c>
      <x:c r="O1076" s="60" t="n">
        <x:v>51.94</x:v>
      </x:c>
      <x:c r="P1076" s="60" t="n">
        <x:v>62.74</x:v>
      </x:c>
      <x:c r="Q1076" s="60" t="n">
        <x:v>7.6</x:v>
      </x:c>
      <x:c r="R1076" s="58" t="str">
        <x:v>Y</x:v>
      </x:c>
      <x:c r="S1076" s="60" t="n">
        <x:v>60.2</x:v>
      </x:c>
      <x:c r="T1076" s="58" t="str">
        <x:v>BELOW MEASUREMENT FLOOR — SEARCH CONTINUES</x:v>
      </x:c>
      <x:c r="U1076" s="58" t="n">
        <x:v>267</x:v>
      </x:c>
      <x:c r="V1076" s="58" t="str">
        <x:v>Pasted text(59).txt</x:v>
      </x:c>
    </x:row>
    <x:row r="1077">
      <x:c r="A1077" s="58" t="str">
        <x:v>S12</x:v>
      </x:c>
      <x:c r="B1077" s="58" t="str">
        <x:v>1.15 safety-guard failure session</x:v>
      </x:c>
      <x:c r="C1077" s="58" t="n">
        <x:v>1.15</x:v>
      </x:c>
      <x:c r="D1077" s="58" t="n">
        <x:v>1</x:v>
      </x:c>
      <x:c r="E1077" s="58" t="n">
        <x:v>1</x:v>
      </x:c>
      <x:c r="F1077" s="58" t="str">
        <x:v>SEARCH</x:v>
      </x:c>
      <x:c r="G1077" s="58" t="n">
        <x:v>3</x:v>
      </x:c>
      <x:c r="H1077" s="59" t="n">
        <x:v>5</x:v>
      </x:c>
      <x:c r="I1077" s="59" t="n">
        <x:v>0.05929</x:v>
      </x:c>
      <x:c r="J1077" s="59" t="n">
        <x:v>0.05407</x:v>
      </x:c>
      <x:c r="K1077" s="59" t="n">
        <x:v>0.04167</x:v>
      </x:c>
      <x:c r="L1077" s="59" t="n">
        <x:v>0.05814</x:v>
      </x:c>
      <x:c r="M1077" s="59" t="n">
        <x:v>0.0919</x:v>
      </x:c>
      <x:c r="N1077" s="60" t="n">
        <x:v>-94.84</x:v>
      </x:c>
      <x:c r="O1077" s="60" t="n">
        <x:v>26.08</x:v>
      </x:c>
      <x:c r="P1077" s="60" t="n">
        <x:v>13.64</x:v>
      </x:c>
      <x:c r="Q1077" s="60" t="n">
        <x:v>17.3</x:v>
      </x:c>
      <x:c r="R1077" s="58" t="str">
        <x:v>Z</x:v>
      </x:c>
      <x:c r="S1077" s="60" t="n">
        <x:v>93</x:v>
      </x:c>
      <x:c r="T1077" s="58" t="str">
        <x:v>BELOW MEASUREMENT FLOOR — SEARCH CONTINUES</x:v>
      </x:c>
      <x:c r="U1077" s="58" t="n">
        <x:v>268</x:v>
      </x:c>
      <x:c r="V1077" s="58" t="str">
        <x:v>Pasted text(59).txt</x:v>
      </x:c>
    </x:row>
    <x:row r="1078">
      <x:c r="A1078" s="58" t="str">
        <x:v>S12</x:v>
      </x:c>
      <x:c r="B1078" s="58" t="str">
        <x:v>1.15 safety-guard failure session</x:v>
      </x:c>
      <x:c r="C1078" s="58" t="n">
        <x:v>1.15</x:v>
      </x:c>
      <x:c r="D1078" s="58" t="n">
        <x:v>1</x:v>
      </x:c>
      <x:c r="E1078" s="58" t="n">
        <x:v>1</x:v>
      </x:c>
      <x:c r="F1078" s="58" t="str">
        <x:v>SEARCH</x:v>
      </x:c>
      <x:c r="G1078" s="58" t="n">
        <x:v>4</x:v>
      </x:c>
      <x:c r="H1078" s="59" t="n">
        <x:v>7</x:v>
      </x:c>
      <x:c r="I1078" s="59" t="n">
        <x:v>0.09132</x:v>
      </x:c>
      <x:c r="J1078" s="59" t="n">
        <x:v>0.09394</x:v>
      </x:c>
      <x:c r="K1078" s="59" t="n">
        <x:v>0.09416</x:v>
      </x:c>
      <x:c r="L1078" s="59" t="n">
        <x:v>0.09077</x:v>
      </x:c>
      <x:c r="M1078" s="59" t="n">
        <x:v>0.16111</x:v>
      </x:c>
      <x:c r="N1078" s="60" t="n">
        <x:v>-92.06</x:v>
      </x:c>
      <x:c r="O1078" s="60" t="n">
        <x:v>8.53</x:v>
      </x:c>
      <x:c r="P1078" s="60" t="n">
        <x:v>3.95</x:v>
      </x:c>
      <x:c r="Q1078" s="60" t="n">
        <x:v>32.6</x:v>
      </x:c>
      <x:c r="R1078" s="58" t="str">
        <x:v>Y</x:v>
      </x:c>
      <x:c r="S1078" s="60" t="n">
        <x:v>99.8</x:v>
      </x:c>
      <x:c r="T1078" s="58" t="str">
        <x:v>BELOW MEASUREMENT FLOOR — SEARCH CONTINUES</x:v>
      </x:c>
      <x:c r="U1078" s="58" t="n">
        <x:v>269</x:v>
      </x:c>
      <x:c r="V1078" s="58" t="str">
        <x:v>Pasted text(59).txt</x:v>
      </x:c>
    </x:row>
    <x:row r="1079">
      <x:c r="A1079" s="58" t="str">
        <x:v>S12</x:v>
      </x:c>
      <x:c r="B1079" s="58" t="str">
        <x:v>1.15 safety-guard failure session</x:v>
      </x:c>
      <x:c r="C1079" s="58" t="n">
        <x:v>1.15</x:v>
      </x:c>
      <x:c r="D1079" s="58" t="n">
        <x:v>1</x:v>
      </x:c>
      <x:c r="E1079" s="58" t="n">
        <x:v>1</x:v>
      </x:c>
      <x:c r="F1079" s="58" t="str">
        <x:v>SEARCH</x:v>
      </x:c>
      <x:c r="G1079" s="58" t="n">
        <x:v>5</x:v>
      </x:c>
      <x:c r="H1079" s="59" t="n">
        <x:v>9</x:v>
      </x:c>
      <x:c r="I1079" s="59" t="n">
        <x:v>0.13194</x:v>
      </x:c>
      <x:c r="J1079" s="59" t="n">
        <x:v>0.13426</x:v>
      </x:c>
      <x:c r="K1079" s="59" t="n">
        <x:v>0.12919</x:v>
      </x:c>
      <x:c r="L1079" s="59" t="n">
        <x:v>0.10231</x:v>
      </x:c>
      <x:c r="M1079" s="59" t="n">
        <x:v>0.21381</x:v>
      </x:c>
      <x:c r="N1079" s="60" t="n">
        <x:v>-88.53</x:v>
      </x:c>
      <x:c r="O1079" s="60" t="n">
        <x:v>11.78</x:v>
      </x:c>
      <x:c r="P1079" s="60" t="n">
        <x:v>10.51</x:v>
      </x:c>
      <x:c r="Q1079" s="60" t="n">
        <x:v>40.7</x:v>
      </x:c>
      <x:c r="R1079" s="58" t="str">
        <x:v>X</x:v>
      </x:c>
      <x:c r="S1079" s="60" t="n">
        <x:v>100</x:v>
      </x:c>
      <x:c r="T1079" s="58" t="str">
        <x:v>UNSTABLE — SEARCH CONTINUES</x:v>
      </x:c>
      <x:c r="U1079" s="58" t="n">
        <x:v>270</x:v>
      </x:c>
      <x:c r="V1079" s="58" t="str">
        <x:v>Pasted text(59).txt</x:v>
      </x:c>
    </x:row>
    <x:row r="1080">
      <x:c r="A1080" s="58" t="str">
        <x:v>S12</x:v>
      </x:c>
      <x:c r="B1080" s="58" t="str">
        <x:v>1.15 safety-guard failure session</x:v>
      </x:c>
      <x:c r="C1080" s="58" t="n">
        <x:v>1.15</x:v>
      </x:c>
      <x:c r="D1080" s="58" t="n">
        <x:v>1</x:v>
      </x:c>
      <x:c r="E1080" s="58" t="n">
        <x:v>1</x:v>
      </x:c>
      <x:c r="F1080" s="58" t="str">
        <x:v>SEARCH</x:v>
      </x:c>
      <x:c r="G1080" s="58" t="n">
        <x:v>6</x:v>
      </x:c>
      <x:c r="H1080" s="59" t="n">
        <x:v>11</x:v>
      </x:c>
      <x:c r="I1080" s="59" t="n">
        <x:v>0.14615</x:v>
      </x:c>
      <x:c r="J1080" s="59" t="n">
        <x:v>0.15228</x:v>
      </x:c>
      <x:c r="K1080" s="59" t="n">
        <x:v>0.14729</x:v>
      </x:c>
      <x:c r="L1080" s="59" t="n">
        <x:v>0.10662</x:v>
      </x:c>
      <x:c r="M1080" s="59" t="n">
        <x:v>0.23812</x:v>
      </x:c>
      <x:c r="N1080" s="60" t="n">
        <x:v>-87.29</x:v>
      </x:c>
      <x:c r="O1080" s="60" t="n">
        <x:v>4.73</x:v>
      </x:c>
      <x:c r="P1080" s="60" t="n">
        <x:v>9.75</x:v>
      </x:c>
      <x:c r="Q1080" s="60" t="n">
        <x:v>44.3</x:v>
      </x:c>
      <x:c r="R1080" s="58" t="str">
        <x:v>X</x:v>
      </x:c>
      <x:c r="S1080" s="60" t="n">
        <x:v>100</x:v>
      </x:c>
      <x:c r="T1080" s="58" t="str">
        <x:v>UNSTABLE — SEARCH CONTINUES</x:v>
      </x:c>
      <x:c r="U1080" s="58" t="n">
        <x:v>271</x:v>
      </x:c>
      <x:c r="V1080" s="58" t="str">
        <x:v>Pasted text(59).txt</x:v>
      </x:c>
    </x:row>
    <x:row r="1081">
      <x:c r="A1081" s="58" t="str">
        <x:v>S12</x:v>
      </x:c>
      <x:c r="B1081" s="58" t="str">
        <x:v>1.15 safety-guard failure session</x:v>
      </x:c>
      <x:c r="C1081" s="58" t="n">
        <x:v>1.15</x:v>
      </x:c>
      <x:c r="D1081" s="58" t="n">
        <x:v>1</x:v>
      </x:c>
      <x:c r="E1081" s="58" t="n">
        <x:v>1</x:v>
      </x:c>
      <x:c r="F1081" s="58" t="str">
        <x:v>SEARCH</x:v>
      </x:c>
      <x:c r="G1081" s="58" t="n">
        <x:v>7</x:v>
      </x:c>
      <x:c r="H1081" s="59" t="n">
        <x:v>13</x:v>
      </x:c>
      <x:c r="I1081" s="59" t="n">
        <x:v>0.18575</x:v>
      </x:c>
      <x:c r="J1081" s="59" t="n">
        <x:v>0.18018</x:v>
      </x:c>
      <x:c r="K1081" s="59" t="n">
        <x:v>0.18398</x:v>
      </x:c>
      <x:c r="L1081" s="59" t="n">
        <x:v>0.14748</x:v>
      </x:c>
      <x:c r="M1081" s="59" t="n">
        <x:v>0.29717</x:v>
      </x:c>
      <x:c r="N1081" s="60" t="n">
        <x:v>-83.85</x:v>
      </x:c>
      <x:c r="O1081" s="60" t="n">
        <x:v>1.48</x:v>
      </x:c>
      <x:c r="P1081" s="60" t="n">
        <x:v>6.26</x:v>
      </x:c>
      <x:c r="Q1081" s="60" t="n">
        <x:v>49.5</x:v>
      </x:c>
      <x:c r="R1081" s="58" t="str">
        <x:v>Y</x:v>
      </x:c>
      <x:c r="S1081" s="60" t="n">
        <x:v>97.9</x:v>
      </x:c>
      <x:c r="T1081" s="58" t="str">
        <x:v>UNSTABLE — SEARCH CONTINUES</x:v>
      </x:c>
      <x:c r="U1081" s="58" t="n">
        <x:v>272</x:v>
      </x:c>
      <x:c r="V1081" s="58" t="str">
        <x:v>Pasted text(59).txt</x:v>
      </x:c>
    </x:row>
    <x:row r="1082">
      <x:c r="A1082" s="58" t="str">
        <x:v>S12</x:v>
      </x:c>
      <x:c r="B1082" s="58" t="str">
        <x:v>1.15 safety-guard failure session</x:v>
      </x:c>
      <x:c r="C1082" s="58" t="n">
        <x:v>1.15</x:v>
      </x:c>
      <x:c r="D1082" s="58" t="n">
        <x:v>1</x:v>
      </x:c>
      <x:c r="E1082" s="58" t="n">
        <x:v>1</x:v>
      </x:c>
      <x:c r="F1082" s="58" t="str">
        <x:v>SEARCH</x:v>
      </x:c>
      <x:c r="G1082" s="58" t="n">
        <x:v>8</x:v>
      </x:c>
      <x:c r="H1082" s="59" t="n">
        <x:v>15</x:v>
      </x:c>
      <x:c r="I1082" s="59" t="n">
        <x:v>0.1962</x:v>
      </x:c>
      <x:c r="J1082" s="59" t="n">
        <x:v>0.18436</x:v>
      </x:c>
      <x:c r="K1082" s="59" t="n">
        <x:v>0.21622</x:v>
      </x:c>
      <x:c r="L1082" s="59" t="n">
        <x:v>0.19191</x:v>
      </x:c>
      <x:c r="M1082" s="59" t="n">
        <x:v>0.34387</x:v>
      </x:c>
      <x:c r="N1082" s="60" t="n">
        <x:v>-82.94</x:v>
      </x:c>
      <x:c r="O1082" s="60" t="n">
        <x:v>2.22</x:v>
      </x:c>
      <x:c r="P1082" s="60" t="n">
        <x:v>12.53</x:v>
      </x:c>
      <x:c r="Q1082" s="60" t="n">
        <x:v>48.7</x:v>
      </x:c>
      <x:c r="R1082" s="58" t="str">
        <x:v>Y</x:v>
      </x:c>
      <x:c r="S1082" s="60" t="n">
        <x:v>85.3</x:v>
      </x:c>
      <x:c r="T1082" s="58" t="str">
        <x:v>UNSTABLE — SEARCH CONTINUES</x:v>
      </x:c>
      <x:c r="U1082" s="58" t="n">
        <x:v>273</x:v>
      </x:c>
      <x:c r="V1082" s="58" t="str">
        <x:v>Pasted text(59).txt</x:v>
      </x:c>
    </x:row>
    <x:row r="1083">
      <x:c r="A1083" s="58" t="str">
        <x:v>S12</x:v>
      </x:c>
      <x:c r="B1083" s="58" t="str">
        <x:v>1.15 safety-guard failure session</x:v>
      </x:c>
      <x:c r="C1083" s="58" t="n">
        <x:v>1.15</x:v>
      </x:c>
      <x:c r="D1083" s="58" t="n">
        <x:v>1</x:v>
      </x:c>
      <x:c r="E1083" s="58" t="n">
        <x:v>1</x:v>
      </x:c>
      <x:c r="F1083" s="58" t="str">
        <x:v>SEARCH</x:v>
      </x:c>
      <x:c r="G1083" s="58" t="n">
        <x:v>9</x:v>
      </x:c>
      <x:c r="H1083" s="59" t="n">
        <x:v>17</x:v>
      </x:c>
      <x:c r="I1083" s="59" t="n">
        <x:v>0.22441</x:v>
      </x:c>
      <x:c r="J1083" s="59" t="n">
        <x:v>0.2192</x:v>
      </x:c>
      <x:c r="K1083" s="59" t="n">
        <x:v>0.2582</x:v>
      </x:c>
      <x:c r="L1083" s="59" t="n">
        <x:v>0.19221</x:v>
      </x:c>
      <x:c r="M1083" s="59" t="n">
        <x:v>0.38973</x:v>
      </x:c>
      <x:c r="N1083" s="60" t="n">
        <x:v>-80.49</x:v>
      </x:c>
      <x:c r="O1083" s="60" t="n">
        <x:v>1.01</x:v>
      </x:c>
      <x:c r="P1083" s="60" t="n">
        <x:v>4.74</x:v>
      </x:c>
      <x:c r="Q1083" s="60" t="n">
        <x:v>54.1</x:v>
      </x:c>
      <x:c r="R1083" s="58" t="str">
        <x:v>Y</x:v>
      </x:c>
      <x:c r="S1083" s="60" t="n">
        <x:v>84.9</x:v>
      </x:c>
      <x:c r="T1083" s="58" t="str">
        <x:v>VALID</x:v>
      </x:c>
      <x:c r="U1083" s="58" t="n">
        <x:v>274</x:v>
      </x:c>
      <x:c r="V1083" s="58" t="str">
        <x:v>Pasted text(59).txt</x:v>
      </x:c>
    </x:row>
    <x:row r="1084">
      <x:c r="A1084" s="58" t="str">
        <x:v>S12</x:v>
      </x:c>
      <x:c r="B1084" s="58" t="str">
        <x:v>1.15 safety-guard failure session</x:v>
      </x:c>
      <x:c r="C1084" s="58" t="n">
        <x:v>1.15</x:v>
      </x:c>
      <x:c r="D1084" s="58" t="n">
        <x:v>1</x:v>
      </x:c>
      <x:c r="E1084" s="58" t="n">
        <x:v>1</x:v>
      </x:c>
      <x:c r="F1084" s="58" t="str">
        <x:v>SEARCH</x:v>
      </x:c>
      <x:c r="G1084" s="58" t="n">
        <x:v>10</x:v>
      </x:c>
      <x:c r="H1084" s="59" t="n">
        <x:v>19</x:v>
      </x:c>
      <x:c r="I1084" s="59" t="n">
        <x:v>0.22993</x:v>
      </x:c>
      <x:c r="J1084" s="59" t="n">
        <x:v>0.23612</x:v>
      </x:c>
      <x:c r="K1084" s="59" t="n">
        <x:v>0.28141</x:v>
      </x:c>
      <x:c r="L1084" s="59" t="n">
        <x:v>0.25541</x:v>
      </x:c>
      <x:c r="M1084" s="59" t="n">
        <x:v>0.44784</x:v>
      </x:c>
      <x:c r="N1084" s="60" t="n">
        <x:v>-80.01</x:v>
      </x:c>
      <x:c r="O1084" s="60" t="n">
        <x:v>0.91</x:v>
      </x:c>
      <x:c r="P1084" s="60" t="n">
        <x:v>5.07</x:v>
      </x:c>
      <x:c r="Q1084" s="60" t="n">
        <x:v>57</x:v>
      </x:c>
      <x:c r="R1084" s="58" t="str">
        <x:v>Y</x:v>
      </x:c>
      <x:c r="S1084" s="60" t="n">
        <x:v>83.9</x:v>
      </x:c>
      <x:c r="T1084" s="58" t="str">
        <x:v>VALID</x:v>
      </x:c>
      <x:c r="U1084" s="58" t="n">
        <x:v>275</x:v>
      </x:c>
      <x:c r="V1084" s="58" t="str">
        <x:v>Pasted text(59).txt</x:v>
      </x:c>
    </x:row>
    <x:row r="1085">
      <x:c r="A1085" s="58" t="str">
        <x:v>S12</x:v>
      </x:c>
      <x:c r="B1085" s="58" t="str">
        <x:v>1.15 safety-guard failure session</x:v>
      </x:c>
      <x:c r="C1085" s="58" t="n">
        <x:v>1.15</x:v>
      </x:c>
      <x:c r="D1085" s="58" t="n">
        <x:v>1</x:v>
      </x:c>
      <x:c r="E1085" s="58" t="n">
        <x:v>1</x:v>
      </x:c>
      <x:c r="F1085" s="58" t="str">
        <x:v>SEARCH</x:v>
      </x:c>
      <x:c r="G1085" s="58" t="n">
        <x:v>11</x:v>
      </x:c>
      <x:c r="H1085" s="59" t="n">
        <x:v>21</x:v>
      </x:c>
      <x:c r="I1085" s="59" t="n">
        <x:v>0.28018</x:v>
      </x:c>
      <x:c r="J1085" s="59" t="n">
        <x:v>0.27672</x:v>
      </x:c>
      <x:c r="K1085" s="59" t="n">
        <x:v>0.29992</x:v>
      </x:c>
      <x:c r="L1085" s="59" t="n">
        <x:v>0.25204</x:v>
      </x:c>
      <x:c r="M1085" s="59" t="n">
        <x:v>0.47973</x:v>
      </x:c>
      <x:c r="N1085" s="60" t="n">
        <x:v>-75.64</x:v>
      </x:c>
      <x:c r="O1085" s="60" t="n">
        <x:v>1.49</x:v>
      </x:c>
      <x:c r="P1085" s="60" t="n">
        <x:v>3.09</x:v>
      </x:c>
      <x:c r="Q1085" s="60" t="n">
        <x:v>63.9</x:v>
      </x:c>
      <x:c r="R1085" s="58" t="str">
        <x:v>Y</x:v>
      </x:c>
      <x:c r="S1085" s="60" t="n">
        <x:v>92.3</x:v>
      </x:c>
      <x:c r="T1085" s="58" t="str">
        <x:v>VALID</x:v>
      </x:c>
      <x:c r="U1085" s="58" t="n">
        <x:v>276</x:v>
      </x:c>
      <x:c r="V1085" s="58" t="str">
        <x:v>Pasted text(59).txt</x:v>
      </x:c>
    </x:row>
    <x:row r="1086">
      <x:c r="A1086" s="58" t="str">
        <x:v>S12</x:v>
      </x:c>
      <x:c r="B1086" s="58" t="str">
        <x:v>1.15 safety-guard failure session</x:v>
      </x:c>
      <x:c r="C1086" s="58" t="n">
        <x:v>1.15</x:v>
      </x:c>
      <x:c r="D1086" s="58" t="n">
        <x:v>1</x:v>
      </x:c>
      <x:c r="E1086" s="58" t="n">
        <x:v>1</x:v>
      </x:c>
      <x:c r="F1086" s="58" t="str">
        <x:v>SEARCH</x:v>
      </x:c>
      <x:c r="G1086" s="58" t="n">
        <x:v>12</x:v>
      </x:c>
      <x:c r="H1086" s="59" t="n">
        <x:v>23</x:v>
      </x:c>
      <x:c r="I1086" s="59" t="n">
        <x:v>0.32307</x:v>
      </x:c>
      <x:c r="J1086" s="59" t="n">
        <x:v>0.321</x:v>
      </x:c>
      <x:c r="K1086" s="59" t="n">
        <x:v>0.32264</x:v>
      </x:c>
      <x:c r="L1086" s="59" t="n">
        <x:v>0.25781</x:v>
      </x:c>
      <x:c r="M1086" s="59" t="n">
        <x:v>0.52318</x:v>
      </x:c>
      <x:c r="N1086" s="60" t="n">
        <x:v>-71.91</x:v>
      </x:c>
      <x:c r="O1086" s="60" t="n">
        <x:v>4.09</x:v>
      </x:c>
      <x:c r="P1086" s="60" t="n">
        <x:v>3.78</x:v>
      </x:c>
      <x:c r="Q1086" s="60" t="n">
        <x:v>69.9</x:v>
      </x:c>
      <x:c r="R1086" s="58" t="str">
        <x:v>Y</x:v>
      </x:c>
      <x:c r="S1086" s="60" t="n">
        <x:v>99.5</x:v>
      </x:c>
      <x:c r="T1086" s="58" t="str">
        <x:v>VALID</x:v>
      </x:c>
      <x:c r="U1086" s="58" t="n">
        <x:v>277</x:v>
      </x:c>
      <x:c r="V1086" s="58" t="str">
        <x:v>Pasted text(59).txt</x:v>
      </x:c>
    </x:row>
    <x:row r="1087">
      <x:c r="A1087" s="58" t="str">
        <x:v>S12</x:v>
      </x:c>
      <x:c r="B1087" s="58" t="str">
        <x:v>1.15 safety-guard failure session</x:v>
      </x:c>
      <x:c r="C1087" s="58" t="n">
        <x:v>1.15</x:v>
      </x:c>
      <x:c r="D1087" s="58" t="n">
        <x:v>1</x:v>
      </x:c>
      <x:c r="E1087" s="58" t="n">
        <x:v>1</x:v>
      </x:c>
      <x:c r="F1087" s="58" t="str">
        <x:v>SEARCH</x:v>
      </x:c>
      <x:c r="G1087" s="58" t="n">
        <x:v>13</x:v>
      </x:c>
      <x:c r="H1087" s="59" t="n">
        <x:v>24</x:v>
      </x:c>
      <x:c r="I1087" s="59" t="n">
        <x:v>0.32713</x:v>
      </x:c>
      <x:c r="J1087" s="59" t="n">
        <x:v>0.32293</x:v>
      </x:c>
      <x:c r="K1087" s="59" t="n">
        <x:v>0.34888</x:v>
      </x:c>
      <x:c r="L1087" s="59" t="n">
        <x:v>0.27861</x:v>
      </x:c>
      <x:c r="M1087" s="59" t="n">
        <x:v>0.55217</x:v>
      </x:c>
      <x:c r="N1087" s="60" t="n">
        <x:v>-71.55</x:v>
      </x:c>
      <x:c r="O1087" s="60" t="n">
        <x:v>7.95</x:v>
      </x:c>
      <x:c r="P1087" s="60" t="n">
        <x:v>7.47</x:v>
      </x:c>
      <x:c r="Q1087" s="60" t="n">
        <x:v>69.9</x:v>
      </x:c>
      <x:c r="R1087" s="58" t="str">
        <x:v>Y</x:v>
      </x:c>
      <x:c r="S1087" s="60" t="n">
        <x:v>92.6</x:v>
      </x:c>
      <x:c r="T1087" s="58" t="str">
        <x:v>VALID</x:v>
      </x:c>
      <x:c r="U1087" s="58" t="n">
        <x:v>278</x:v>
      </x:c>
      <x:c r="V1087" s="58" t="str">
        <x:v>Pasted text(59).txt</x:v>
      </x:c>
    </x:row>
    <x:row r="1088">
      <x:c r="A1088" s="58" t="str">
        <x:v>S12</x:v>
      </x:c>
      <x:c r="B1088" s="58" t="str">
        <x:v>1.15 safety-guard failure session</x:v>
      </x:c>
      <x:c r="C1088" s="58" t="n">
        <x:v>1.15</x:v>
      </x:c>
      <x:c r="D1088" s="58" t="n">
        <x:v>1</x:v>
      </x:c>
      <x:c r="E1088" s="58" t="n">
        <x:v>1</x:v>
      </x:c>
      <x:c r="F1088" s="58" t="str">
        <x:v>SEARCH</x:v>
      </x:c>
      <x:c r="G1088" s="58" t="n">
        <x:v>14</x:v>
      </x:c>
      <x:c r="H1088" s="59" t="n">
        <x:v>25</x:v>
      </x:c>
      <x:c r="I1088" s="59" t="n">
        <x:v>0.36996</x:v>
      </x:c>
      <x:c r="J1088" s="59" t="n">
        <x:v>0.36391</x:v>
      </x:c>
      <x:c r="K1088" s="59" t="n">
        <x:v>0.36806</x:v>
      </x:c>
      <x:c r="L1088" s="59" t="n">
        <x:v>0.24136</x:v>
      </x:c>
      <x:c r="M1088" s="59" t="n">
        <x:v>0.57176</x:v>
      </x:c>
      <x:c r="N1088" s="60" t="n">
        <x:v>-67.83</x:v>
      </x:c>
      <x:c r="O1088" s="60" t="n">
        <x:v>8.56</x:v>
      </x:c>
      <x:c r="P1088" s="60" t="n">
        <x:v>8.49</x:v>
      </x:c>
      <x:c r="Q1088" s="60" t="n">
        <x:v>76.6</x:v>
      </x:c>
      <x:c r="R1088" s="58" t="str">
        <x:v>Y</x:v>
      </x:c>
      <x:c r="S1088" s="60" t="n">
        <x:v>98.9</x:v>
      </x:c>
      <x:c r="T1088" s="58" t="str">
        <x:v>VALID</x:v>
      </x:c>
      <x:c r="U1088" s="58" t="n">
        <x:v>279</x:v>
      </x:c>
      <x:c r="V1088" s="58" t="str">
        <x:v>Pasted text(59).txt</x:v>
      </x:c>
    </x:row>
    <x:row r="1089">
      <x:c r="A1089" s="58" t="str">
        <x:v>S12</x:v>
      </x:c>
      <x:c r="B1089" s="58" t="str">
        <x:v>1.15 safety-guard failure session</x:v>
      </x:c>
      <x:c r="C1089" s="58" t="n">
        <x:v>1.15</x:v>
      </x:c>
      <x:c r="D1089" s="58" t="n">
        <x:v>1</x:v>
      </x:c>
      <x:c r="E1089" s="58" t="n">
        <x:v>1</x:v>
      </x:c>
      <x:c r="F1089" s="58" t="str">
        <x:v>SEARCH</x:v>
      </x:c>
      <x:c r="G1089" s="58" t="n">
        <x:v>15</x:v>
      </x:c>
      <x:c r="H1089" s="59" t="n">
        <x:v>26</x:v>
      </x:c>
      <x:c r="I1089" s="59" t="n">
        <x:v>0.39064</x:v>
      </x:c>
      <x:c r="J1089" s="59" t="n">
        <x:v>0.39101</x:v>
      </x:c>
      <x:c r="K1089" s="59" t="n">
        <x:v>0.35367</x:v>
      </x:c>
      <x:c r="L1089" s="59" t="n">
        <x:v>0.26605</x:v>
      </x:c>
      <x:c r="M1089" s="59" t="n">
        <x:v>0.59156</x:v>
      </x:c>
      <x:c r="N1089" s="60" t="n">
        <x:v>-66.03</x:v>
      </x:c>
      <x:c r="O1089" s="60" t="n">
        <x:v>9.79</x:v>
      </x:c>
      <x:c r="P1089" s="60" t="n">
        <x:v>6.74</x:v>
      </x:c>
      <x:c r="Q1089" s="60" t="n">
        <x:v>80.5</x:v>
      </x:c>
      <x:c r="R1089" s="58" t="str">
        <x:v>X</x:v>
      </x:c>
      <x:c r="S1089" s="60" t="n">
        <x:v>100</x:v>
      </x:c>
      <x:c r="T1089" s="58" t="str">
        <x:v>VALID</x:v>
      </x:c>
      <x:c r="U1089" s="58" t="n">
        <x:v>280</x:v>
      </x:c>
      <x:c r="V1089" s="58" t="str">
        <x:v>Pasted text(59).txt</x:v>
      </x:c>
    </x:row>
    <x:row r="1090">
      <x:c r="A1090" s="58" t="str">
        <x:v>S12</x:v>
      </x:c>
      <x:c r="B1090" s="58" t="str">
        <x:v>1.15 safety-guard failure session</x:v>
      </x:c>
      <x:c r="C1090" s="58" t="n">
        <x:v>1.15</x:v>
      </x:c>
      <x:c r="D1090" s="58" t="n">
        <x:v>1</x:v>
      </x:c>
      <x:c r="E1090" s="58" t="n">
        <x:v>1</x:v>
      </x:c>
      <x:c r="F1090" s="58" t="str">
        <x:v>SEARCH</x:v>
      </x:c>
      <x:c r="G1090" s="58" t="n">
        <x:v>16</x:v>
      </x:c>
      <x:c r="H1090" s="59" t="n">
        <x:v>27</x:v>
      </x:c>
      <x:c r="I1090" s="59" t="n">
        <x:v>0.42539</x:v>
      </x:c>
      <x:c r="J1090" s="59" t="n">
        <x:v>0.40842</x:v>
      </x:c>
      <x:c r="K1090" s="59" t="n">
        <x:v>0.36095</x:v>
      </x:c>
      <x:c r="L1090" s="59" t="n">
        <x:v>0.24945</x:v>
      </x:c>
      <x:c r="M1090" s="59" t="n">
        <x:v>0.60031</x:v>
      </x:c>
      <x:c r="N1090" s="60" t="n">
        <x:v>-63.01</x:v>
      </x:c>
      <x:c r="O1090" s="60" t="n">
        <x:v>1.67</x:v>
      </x:c>
      <x:c r="P1090" s="60" t="n">
        <x:v>8.23</x:v>
      </x:c>
      <x:c r="Q1090" s="60" t="n">
        <x:v>81.4</x:v>
      </x:c>
      <x:c r="R1090" s="58" t="str">
        <x:v>X</x:v>
      </x:c>
      <x:c r="S1090" s="60" t="n">
        <x:v>100</x:v>
      </x:c>
      <x:c r="T1090" s="58" t="str">
        <x:v>VALID</x:v>
      </x:c>
      <x:c r="U1090" s="58" t="n">
        <x:v>281</x:v>
      </x:c>
      <x:c r="V1090" s="58" t="str">
        <x:v>Pasted text(59).txt</x:v>
      </x:c>
    </x:row>
    <x:row r="1091">
      <x:c r="A1091" s="58" t="str">
        <x:v>S12</x:v>
      </x:c>
      <x:c r="B1091" s="58" t="str">
        <x:v>1.15 safety-guard failure session</x:v>
      </x:c>
      <x:c r="C1091" s="58" t="n">
        <x:v>1.15</x:v>
      </x:c>
      <x:c r="D1091" s="58" t="n">
        <x:v>1</x:v>
      </x:c>
      <x:c r="E1091" s="58" t="n">
        <x:v>1</x:v>
      </x:c>
      <x:c r="F1091" s="58" t="str">
        <x:v>SEARCH</x:v>
      </x:c>
      <x:c r="G1091" s="58" t="n">
        <x:v>17</x:v>
      </x:c>
      <x:c r="H1091" s="59" t="n">
        <x:v>28</x:v>
      </x:c>
      <x:c r="I1091" s="59" t="n">
        <x:v>0.42145</x:v>
      </x:c>
      <x:c r="J1091" s="59" t="n">
        <x:v>0.4194</x:v>
      </x:c>
      <x:c r="K1091" s="59" t="n">
        <x:v>0.36567</x:v>
      </x:c>
      <x:c r="L1091" s="59" t="n">
        <x:v>0.24194</x:v>
      </x:c>
      <x:c r="M1091" s="59" t="n">
        <x:v>0.60715</x:v>
      </x:c>
      <x:c r="N1091" s="60" t="n">
        <x:v>-63.35</x:v>
      </x:c>
      <x:c r="O1091" s="60" t="n">
        <x:v>10.84</x:v>
      </x:c>
      <x:c r="P1091" s="60" t="n">
        <x:v>8.09</x:v>
      </x:c>
      <x:c r="Q1091" s="60" t="n">
        <x:v>81.2</x:v>
      </x:c>
      <x:c r="R1091" s="58" t="str">
        <x:v>X</x:v>
      </x:c>
      <x:c r="S1091" s="60" t="n">
        <x:v>100</x:v>
      </x:c>
      <x:c r="T1091" s="58" t="str">
        <x:v>VALID</x:v>
      </x:c>
      <x:c r="U1091" s="58" t="n">
        <x:v>282</x:v>
      </x:c>
      <x:c r="V1091" s="58" t="str">
        <x:v>Pasted text(59).txt</x:v>
      </x:c>
    </x:row>
    <x:row r="1092">
      <x:c r="A1092" s="58" t="str">
        <x:v>S12</x:v>
      </x:c>
      <x:c r="B1092" s="58" t="str">
        <x:v>1.15 safety-guard failure session</x:v>
      </x:c>
      <x:c r="C1092" s="58" t="n">
        <x:v>1.15</x:v>
      </x:c>
      <x:c r="D1092" s="58" t="n">
        <x:v>1</x:v>
      </x:c>
      <x:c r="E1092" s="58" t="n">
        <x:v>1</x:v>
      </x:c>
      <x:c r="F1092" s="58" t="str">
        <x:v>SEARCH</x:v>
      </x:c>
      <x:c r="G1092" s="58" t="n">
        <x:v>18</x:v>
      </x:c>
      <x:c r="H1092" s="59" t="n">
        <x:v>29</x:v>
      </x:c>
      <x:c r="I1092" s="59" t="n">
        <x:v>0.43123</x:v>
      </x:c>
      <x:c r="J1092" s="59" t="n">
        <x:v>0.43112</x:v>
      </x:c>
      <x:c r="K1092" s="59" t="n">
        <x:v>0.36811</x:v>
      </x:c>
      <x:c r="L1092" s="59" t="n">
        <x:v>0.26349</x:v>
      </x:c>
      <x:c r="M1092" s="59" t="n">
        <x:v>0.62553</x:v>
      </x:c>
      <x:c r="N1092" s="60" t="n">
        <x:v>-62.5</x:v>
      </x:c>
      <x:c r="O1092" s="60" t="n">
        <x:v>8.02</x:v>
      </x:c>
      <x:c r="P1092" s="60" t="n">
        <x:v>5.45</x:v>
      </x:c>
      <x:c r="Q1092" s="60" t="n">
        <x:v>82.1</x:v>
      </x:c>
      <x:c r="R1092" s="58" t="str">
        <x:v>X</x:v>
      </x:c>
      <x:c r="S1092" s="60" t="n">
        <x:v>100</x:v>
      </x:c>
      <x:c r="T1092" s="58" t="str">
        <x:v>VALID</x:v>
      </x:c>
      <x:c r="U1092" s="58" t="n">
        <x:v>283</x:v>
      </x:c>
      <x:c r="V1092" s="58" t="str">
        <x:v>Pasted text(59).txt</x:v>
      </x:c>
    </x:row>
    <x:row r="1093">
      <x:c r="A1093" s="58" t="str">
        <x:v>S12</x:v>
      </x:c>
      <x:c r="B1093" s="58" t="str">
        <x:v>1.15 safety-guard failure session</x:v>
      </x:c>
      <x:c r="C1093" s="58" t="n">
        <x:v>1.15</x:v>
      </x:c>
      <x:c r="D1093" s="58" t="n">
        <x:v>1</x:v>
      </x:c>
      <x:c r="E1093" s="58" t="n">
        <x:v>1</x:v>
      </x:c>
      <x:c r="F1093" s="58" t="str">
        <x:v>SEARCH</x:v>
      </x:c>
      <x:c r="G1093" s="58" t="n">
        <x:v>19</x:v>
      </x:c>
      <x:c r="H1093" s="59" t="n">
        <x:v>30</x:v>
      </x:c>
      <x:c r="I1093" s="59" t="n">
        <x:v>0.45621</x:v>
      </x:c>
      <x:c r="J1093" s="59" t="n">
        <x:v>0.44584</x:v>
      </x:c>
      <x:c r="K1093" s="59" t="n">
        <x:v>0.38613</x:v>
      </x:c>
      <x:c r="L1093" s="59" t="n">
        <x:v>0.28653</x:v>
      </x:c>
      <x:c r="M1093" s="59" t="n">
        <x:v>0.65619</x:v>
      </x:c>
      <x:c r="N1093" s="60" t="n">
        <x:v>-60.33</x:v>
      </x:c>
      <x:c r="O1093" s="60" t="n">
        <x:v>5.39</x:v>
      </x:c>
      <x:c r="P1093" s="60" t="n">
        <x:v>7.49</x:v>
      </x:c>
      <x:c r="Q1093" s="60" t="n">
        <x:v>84.1</x:v>
      </x:c>
      <x:c r="R1093" s="58" t="str">
        <x:v>X</x:v>
      </x:c>
      <x:c r="S1093" s="60" t="n">
        <x:v>100</x:v>
      </x:c>
      <x:c r="T1093" s="58" t="str">
        <x:v>VALID</x:v>
      </x:c>
      <x:c r="U1093" s="58" t="n">
        <x:v>284</x:v>
      </x:c>
      <x:c r="V1093" s="58" t="str">
        <x:v>Pasted text(59).txt</x:v>
      </x:c>
    </x:row>
    <x:row r="1094">
      <x:c r="A1094" s="58" t="str">
        <x:v>S12</x:v>
      </x:c>
      <x:c r="B1094" s="58" t="str">
        <x:v>1.15 safety-guard failure session</x:v>
      </x:c>
      <x:c r="C1094" s="58" t="n">
        <x:v>1.15</x:v>
      </x:c>
      <x:c r="D1094" s="58" t="n">
        <x:v>1</x:v>
      </x:c>
      <x:c r="E1094" s="58" t="n">
        <x:v>2</x:v>
      </x:c>
      <x:c r="F1094" s="58" t="str">
        <x:v>SEARCH</x:v>
      </x:c>
      <x:c r="G1094" s="58" t="n">
        <x:v>1</x:v>
      </x:c>
      <x:c r="H1094" s="59" t="n">
        <x:v>1</x:v>
      </x:c>
      <x:c r="I1094" s="59" t="n">
        <x:v>0.01018</x:v>
      </x:c>
      <x:c r="J1094" s="59" t="n">
        <x:v>0.00962</x:v>
      </x:c>
      <x:c r="K1094" s="59" t="n">
        <x:v>0.0232</x:v>
      </x:c>
      <x:c r="L1094" s="59" t="n">
        <x:v>0.03342</x:v>
      </x:c>
      <x:c r="M1094" s="59" t="n">
        <x:v>0.04199</x:v>
      </x:c>
      <x:c r="N1094" s="60" t="n">
        <x:v>-99.11</x:v>
      </x:c>
      <x:c r="O1094" s="60" t="n">
        <x:v>16.26</x:v>
      </x:c>
      <x:c r="P1094" s="60" t="n">
        <x:v>8.21</x:v>
      </x:c>
      <x:c r="Q1094" s="60" t="n">
        <x:v>4.6</x:v>
      </x:c>
      <x:c r="R1094" s="58" t="str">
        <x:v>Z</x:v>
      </x:c>
      <x:c r="S1094" s="60" t="n">
        <x:v>28.8</x:v>
      </x:c>
      <x:c r="T1094" s="58" t="str">
        <x:v>BELOW MEASUREMENT FLOOR — SEARCH CONTINUES</x:v>
      </x:c>
      <x:c r="U1094" s="58" t="n">
        <x:v>291</x:v>
      </x:c>
      <x:c r="V1094" s="58" t="str">
        <x:v>Pasted text(59).txt</x:v>
      </x:c>
    </x:row>
    <x:row r="1095">
      <x:c r="A1095" s="58" t="str">
        <x:v>S12</x:v>
      </x:c>
      <x:c r="B1095" s="58" t="str">
        <x:v>1.15 safety-guard failure session</x:v>
      </x:c>
      <x:c r="C1095" s="58" t="n">
        <x:v>1.15</x:v>
      </x:c>
      <x:c r="D1095" s="58" t="n">
        <x:v>1</x:v>
      </x:c>
      <x:c r="E1095" s="58" t="n">
        <x:v>2</x:v>
      </x:c>
      <x:c r="F1095" s="58" t="str">
        <x:v>SEARCH</x:v>
      </x:c>
      <x:c r="G1095" s="58" t="n">
        <x:v>2</x:v>
      </x:c>
      <x:c r="H1095" s="59" t="n">
        <x:v>3</x:v>
      </x:c>
      <x:c r="I1095" s="59" t="n">
        <x:v>0.00761</x:v>
      </x:c>
      <x:c r="J1095" s="59" t="n">
        <x:v>0.01016</x:v>
      </x:c>
      <x:c r="K1095" s="59" t="n">
        <x:v>0.03843</x:v>
      </x:c>
      <x:c r="L1095" s="59" t="n">
        <x:v>0.03667</x:v>
      </x:c>
      <x:c r="M1095" s="59" t="n">
        <x:v>0.05815</x:v>
      </x:c>
      <x:c r="N1095" s="60" t="n">
        <x:v>-99.34</x:v>
      </x:c>
      <x:c r="O1095" s="60" t="n">
        <x:v>39.81</x:v>
      </x:c>
      <x:c r="P1095" s="60" t="n">
        <x:v>61.73</x:v>
      </x:c>
      <x:c r="Q1095" s="60" t="n">
        <x:v>3.8</x:v>
      </x:c>
      <x:c r="R1095" s="58" t="str">
        <x:v>Y</x:v>
      </x:c>
      <x:c r="S1095" s="60" t="n">
        <x:v>26.4</x:v>
      </x:c>
      <x:c r="T1095" s="58" t="str">
        <x:v>BELOW MEASUREMENT FLOOR — SEARCH CONTINUES</x:v>
      </x:c>
      <x:c r="U1095" s="58" t="n">
        <x:v>292</x:v>
      </x:c>
      <x:c r="V1095" s="58" t="str">
        <x:v>Pasted text(59).txt</x:v>
      </x:c>
    </x:row>
    <x:row r="1096">
      <x:c r="A1096" s="58" t="str">
        <x:v>S12</x:v>
      </x:c>
      <x:c r="B1096" s="58" t="str">
        <x:v>1.15 safety-guard failure session</x:v>
      </x:c>
      <x:c r="C1096" s="58" t="n">
        <x:v>1.15</x:v>
      </x:c>
      <x:c r="D1096" s="58" t="n">
        <x:v>1</x:v>
      </x:c>
      <x:c r="E1096" s="58" t="n">
        <x:v>2</x:v>
      </x:c>
      <x:c r="F1096" s="58" t="str">
        <x:v>SEARCH</x:v>
      </x:c>
      <x:c r="G1096" s="58" t="n">
        <x:v>3</x:v>
      </x:c>
      <x:c r="H1096" s="59" t="n">
        <x:v>5</x:v>
      </x:c>
      <x:c r="I1096" s="59" t="n">
        <x:v>0.07153</x:v>
      </x:c>
      <x:c r="J1096" s="59" t="n">
        <x:v>0.0655</x:v>
      </x:c>
      <x:c r="K1096" s="59" t="n">
        <x:v>0.05604</x:v>
      </x:c>
      <x:c r="L1096" s="59" t="n">
        <x:v>0.06358</x:v>
      </x:c>
      <x:c r="M1096" s="59" t="n">
        <x:v>0.11237</x:v>
      </x:c>
      <x:c r="N1096" s="60" t="n">
        <x:v>-93.78</x:v>
      </x:c>
      <x:c r="O1096" s="60" t="n">
        <x:v>40.09</x:v>
      </x:c>
      <x:c r="P1096" s="60" t="n">
        <x:v>44.07</x:v>
      </x:c>
      <x:c r="Q1096" s="60" t="n">
        <x:v>21.9</x:v>
      </x:c>
      <x:c r="R1096" s="58" t="str">
        <x:v>X</x:v>
      </x:c>
      <x:c r="S1096" s="60" t="n">
        <x:v>100</x:v>
      </x:c>
      <x:c r="T1096" s="58" t="str">
        <x:v>BELOW MEASUREMENT FLOOR — SEARCH CONTINUES</x:v>
      </x:c>
      <x:c r="U1096" s="58" t="n">
        <x:v>293</x:v>
      </x:c>
      <x:c r="V1096" s="58" t="str">
        <x:v>Pasted text(59).txt</x:v>
      </x:c>
    </x:row>
    <x:row r="1097">
      <x:c r="A1097" s="58" t="str">
        <x:v>S12</x:v>
      </x:c>
      <x:c r="B1097" s="58" t="str">
        <x:v>1.15 safety-guard failure session</x:v>
      </x:c>
      <x:c r="C1097" s="58" t="n">
        <x:v>1.15</x:v>
      </x:c>
      <x:c r="D1097" s="58" t="n">
        <x:v>1</x:v>
      </x:c>
      <x:c r="E1097" s="58" t="n">
        <x:v>2</x:v>
      </x:c>
      <x:c r="F1097" s="58" t="str">
        <x:v>SEARCH</x:v>
      </x:c>
      <x:c r="G1097" s="58" t="n">
        <x:v>4</x:v>
      </x:c>
      <x:c r="H1097" s="59" t="n">
        <x:v>7</x:v>
      </x:c>
      <x:c r="I1097" s="59" t="n">
        <x:v>0.22705</x:v>
      </x:c>
      <x:c r="J1097" s="59" t="n">
        <x:v>0.23516</x:v>
      </x:c>
      <x:c r="K1097" s="59" t="n">
        <x:v>0.14776</x:v>
      </x:c>
      <x:c r="L1097" s="59" t="n">
        <x:v>0.16059</x:v>
      </x:c>
      <x:c r="M1097" s="59" t="n">
        <x:v>0.32112</x:v>
      </x:c>
      <x:c r="N1097" s="60" t="n">
        <x:v>-80.26</x:v>
      </x:c>
      <x:c r="O1097" s="60" t="n">
        <x:v>1.74</x:v>
      </x:c>
      <x:c r="P1097" s="60" t="n">
        <x:v>6.98</x:v>
      </x:c>
      <x:c r="Q1097" s="60" t="n">
        <x:v>58.5</x:v>
      </x:c>
      <x:c r="R1097" s="58" t="str">
        <x:v>X</x:v>
      </x:c>
      <x:c r="S1097" s="60" t="n">
        <x:v>100</x:v>
      </x:c>
      <x:c r="T1097" s="58" t="str">
        <x:v>VALID</x:v>
      </x:c>
      <x:c r="U1097" s="58" t="n">
        <x:v>294</x:v>
      </x:c>
      <x:c r="V1097" s="58" t="str">
        <x:v>Pasted text(59).txt</x:v>
      </x:c>
    </x:row>
    <x:row r="1098">
      <x:c r="A1098" s="58" t="str">
        <x:v>S12</x:v>
      </x:c>
      <x:c r="B1098" s="58" t="str">
        <x:v>1.15 safety-guard failure session</x:v>
      </x:c>
      <x:c r="C1098" s="58" t="n">
        <x:v>1.15</x:v>
      </x:c>
      <x:c r="D1098" s="58" t="n">
        <x:v>1</x:v>
      </x:c>
      <x:c r="E1098" s="58" t="n">
        <x:v>2</x:v>
      </x:c>
      <x:c r="F1098" s="58" t="str">
        <x:v>SEARCH</x:v>
      </x:c>
      <x:c r="G1098" s="58" t="n">
        <x:v>5</x:v>
      </x:c>
      <x:c r="H1098" s="59" t="n">
        <x:v>9</x:v>
      </x:c>
      <x:c r="I1098" s="59" t="n">
        <x:v>0.21688</x:v>
      </x:c>
      <x:c r="J1098" s="59" t="n">
        <x:v>0.2134</x:v>
      </x:c>
      <x:c r="K1098" s="59" t="n">
        <x:v>0.1396</x:v>
      </x:c>
      <x:c r="L1098" s="59" t="n">
        <x:v>0.1408</x:v>
      </x:c>
      <x:c r="M1098" s="59" t="n">
        <x:v>0.29246</x:v>
      </x:c>
      <x:c r="N1098" s="60" t="n">
        <x:v>-81.14</x:v>
      </x:c>
      <x:c r="O1098" s="60" t="n">
        <x:v>0.15</x:v>
      </x:c>
      <x:c r="P1098" s="60" t="n">
        <x:v>2.91</x:v>
      </x:c>
      <x:c r="Q1098" s="60" t="n">
        <x:v>53</x:v>
      </x:c>
      <x:c r="R1098" s="58" t="str">
        <x:v>X</x:v>
      </x:c>
      <x:c r="S1098" s="60" t="n">
        <x:v>100</x:v>
      </x:c>
      <x:c r="T1098" s="58" t="str">
        <x:v>VALID</x:v>
      </x:c>
      <x:c r="U1098" s="58" t="n">
        <x:v>295</x:v>
      </x:c>
      <x:c r="V1098" s="58" t="str">
        <x:v>Pasted text(59).txt</x:v>
      </x:c>
    </x:row>
    <x:row r="1099">
      <x:c r="A1099" s="58" t="str">
        <x:v>S12</x:v>
      </x:c>
      <x:c r="B1099" s="58" t="str">
        <x:v>1.15 safety-guard failure session</x:v>
      </x:c>
      <x:c r="C1099" s="58" t="n">
        <x:v>1.15</x:v>
      </x:c>
      <x:c r="D1099" s="58" t="n">
        <x:v>1</x:v>
      </x:c>
      <x:c r="E1099" s="58" t="n">
        <x:v>2</x:v>
      </x:c>
      <x:c r="F1099" s="58" t="str">
        <x:v>SEARCH</x:v>
      </x:c>
      <x:c r="G1099" s="58" t="n">
        <x:v>6</x:v>
      </x:c>
      <x:c r="H1099" s="59" t="n">
        <x:v>11</x:v>
      </x:c>
      <x:c r="I1099" s="59" t="n">
        <x:v>0.27684</x:v>
      </x:c>
      <x:c r="J1099" s="59" t="n">
        <x:v>0.29032</x:v>
      </x:c>
      <x:c r="K1099" s="59" t="n">
        <x:v>0.21659</x:v>
      </x:c>
      <x:c r="L1099" s="59" t="n">
        <x:v>0.19415</x:v>
      </x:c>
      <x:c r="M1099" s="59" t="n">
        <x:v>0.4118</x:v>
      </x:c>
      <x:c r="N1099" s="60" t="n">
        <x:v>-75.93</x:v>
      </x:c>
      <x:c r="O1099" s="60" t="n">
        <x:v>0.07</x:v>
      </x:c>
      <x:c r="P1099" s="60" t="n">
        <x:v>8.08</x:v>
      </x:c>
      <x:c r="Q1099" s="60" t="n">
        <x:v>66.7</x:v>
      </x:c>
      <x:c r="R1099" s="58" t="str">
        <x:v>X</x:v>
      </x:c>
      <x:c r="S1099" s="60" t="n">
        <x:v>100</x:v>
      </x:c>
      <x:c r="T1099" s="58" t="str">
        <x:v>VALID</x:v>
      </x:c>
      <x:c r="U1099" s="58" t="n">
        <x:v>296</x:v>
      </x:c>
      <x:c r="V1099" s="58" t="str">
        <x:v>Pasted text(59).txt</x:v>
      </x:c>
    </x:row>
    <x:row r="1100">
      <x:c r="A1100" s="58" t="str">
        <x:v>S12</x:v>
      </x:c>
      <x:c r="B1100" s="58" t="str">
        <x:v>1.15 safety-guard failure session</x:v>
      </x:c>
      <x:c r="C1100" s="58" t="n">
        <x:v>1.15</x:v>
      </x:c>
      <x:c r="D1100" s="58" t="n">
        <x:v>1</x:v>
      </x:c>
      <x:c r="E1100" s="58" t="n">
        <x:v>2</x:v>
      </x:c>
      <x:c r="F1100" s="58" t="str">
        <x:v>SEARCH</x:v>
      </x:c>
      <x:c r="G1100" s="58" t="n">
        <x:v>7</x:v>
      </x:c>
      <x:c r="H1100" s="59" t="n">
        <x:v>13</x:v>
      </x:c>
      <x:c r="I1100" s="59" t="n">
        <x:v>0.33525</x:v>
      </x:c>
      <x:c r="J1100" s="59" t="n">
        <x:v>0.33697</x:v>
      </x:c>
      <x:c r="K1100" s="59" t="n">
        <x:v>0.26144</x:v>
      </x:c>
      <x:c r="L1100" s="59" t="n">
        <x:v>0.23527</x:v>
      </x:c>
      <x:c r="M1100" s="59" t="n">
        <x:v>0.48731</x:v>
      </x:c>
      <x:c r="N1100" s="60" t="n">
        <x:v>-70.85</x:v>
      </x:c>
      <x:c r="O1100" s="60" t="n">
        <x:v>7.79</x:v>
      </x:c>
      <x:c r="P1100" s="60" t="n">
        <x:v>6.01</x:v>
      </x:c>
      <x:c r="Q1100" s="60" t="n">
        <x:v>71.5</x:v>
      </x:c>
      <x:c r="R1100" s="58" t="str">
        <x:v>X</x:v>
      </x:c>
      <x:c r="S1100" s="60" t="n">
        <x:v>100</x:v>
      </x:c>
      <x:c r="T1100" s="58" t="str">
        <x:v>VALID</x:v>
      </x:c>
      <x:c r="U1100" s="58" t="n">
        <x:v>297</x:v>
      </x:c>
      <x:c r="V1100" s="58" t="str">
        <x:v>Pasted text(59).txt</x:v>
      </x:c>
    </x:row>
    <x:row r="1101">
      <x:c r="A1101" s="58" t="str">
        <x:v>S12</x:v>
      </x:c>
      <x:c r="B1101" s="58" t="str">
        <x:v>1.15 safety-guard failure session</x:v>
      </x:c>
      <x:c r="C1101" s="58" t="n">
        <x:v>1.15</x:v>
      </x:c>
      <x:c r="D1101" s="58" t="n">
        <x:v>1</x:v>
      </x:c>
      <x:c r="E1101" s="58" t="n">
        <x:v>2</x:v>
      </x:c>
      <x:c r="F1101" s="58" t="str">
        <x:v>SEARCH</x:v>
      </x:c>
      <x:c r="G1101" s="58" t="n">
        <x:v>8</x:v>
      </x:c>
      <x:c r="H1101" s="59" t="n">
        <x:v>14</x:v>
      </x:c>
      <x:c r="I1101" s="59" t="n">
        <x:v>0.36264</x:v>
      </x:c>
      <x:c r="J1101" s="59" t="n">
        <x:v>0.36362</x:v>
      </x:c>
      <x:c r="K1101" s="59" t="n">
        <x:v>0.28566</x:v>
      </x:c>
      <x:c r="L1101" s="59" t="n">
        <x:v>0.27979</x:v>
      </x:c>
      <x:c r="M1101" s="59" t="n">
        <x:v>0.54093</x:v>
      </x:c>
      <x:c r="N1101" s="60" t="n">
        <x:v>-68.47</x:v>
      </x:c>
      <x:c r="O1101" s="60" t="n">
        <x:v>1.86</x:v>
      </x:c>
      <x:c r="P1101" s="60" t="n">
        <x:v>1.67</x:v>
      </x:c>
      <x:c r="Q1101" s="60" t="n">
        <x:v>74.6</x:v>
      </x:c>
      <x:c r="R1101" s="58" t="str">
        <x:v>X</x:v>
      </x:c>
      <x:c r="S1101" s="60" t="n">
        <x:v>100</x:v>
      </x:c>
      <x:c r="T1101" s="58" t="str">
        <x:v>VALID</x:v>
      </x:c>
      <x:c r="U1101" s="58" t="n">
        <x:v>298</x:v>
      </x:c>
      <x:c r="V1101" s="58" t="str">
        <x:v>Pasted text(59).txt</x:v>
      </x:c>
    </x:row>
    <x:row r="1102">
      <x:c r="A1102" s="58" t="str">
        <x:v>S12</x:v>
      </x:c>
      <x:c r="B1102" s="58" t="str">
        <x:v>1.15 safety-guard failure session</x:v>
      </x:c>
      <x:c r="C1102" s="58" t="n">
        <x:v>1.15</x:v>
      </x:c>
      <x:c r="D1102" s="58" t="n">
        <x:v>1</x:v>
      </x:c>
      <x:c r="E1102" s="58" t="n">
        <x:v>2</x:v>
      </x:c>
      <x:c r="F1102" s="58" t="str">
        <x:v>SEARCH</x:v>
      </x:c>
      <x:c r="G1102" s="58" t="n">
        <x:v>9</x:v>
      </x:c>
      <x:c r="H1102" s="59" t="n">
        <x:v>15</x:v>
      </x:c>
      <x:c r="I1102" s="59" t="n">
        <x:v>0.3987</x:v>
      </x:c>
      <x:c r="J1102" s="59" t="n">
        <x:v>0.39627</x:v>
      </x:c>
      <x:c r="K1102" s="59" t="n">
        <x:v>0.28474</x:v>
      </x:c>
      <x:c r="L1102" s="59" t="n">
        <x:v>0.29692</x:v>
      </x:c>
      <x:c r="M1102" s="59" t="n">
        <x:v>0.57159</x:v>
      </x:c>
      <x:c r="N1102" s="60" t="n">
        <x:v>-65.33</x:v>
      </x:c>
      <x:c r="O1102" s="60" t="n">
        <x:v>5.05</x:v>
      </x:c>
      <x:c r="P1102" s="60" t="n">
        <x:v>4.38</x:v>
      </x:c>
      <x:c r="Q1102" s="60" t="n">
        <x:v>76.9</x:v>
      </x:c>
      <x:c r="R1102" s="58" t="str">
        <x:v>X</x:v>
      </x:c>
      <x:c r="S1102" s="60" t="n">
        <x:v>100</x:v>
      </x:c>
      <x:c r="T1102" s="58" t="str">
        <x:v>VALID</x:v>
      </x:c>
      <x:c r="U1102" s="58" t="n">
        <x:v>299</x:v>
      </x:c>
      <x:c r="V1102" s="58" t="str">
        <x:v>Pasted text(59).txt</x:v>
      </x:c>
    </x:row>
    <x:row r="1103">
      <x:c r="A1103" s="58" t="str">
        <x:v>S12</x:v>
      </x:c>
      <x:c r="B1103" s="58" t="str">
        <x:v>1.15 safety-guard failure session</x:v>
      </x:c>
      <x:c r="C1103" s="58" t="n">
        <x:v>1.15</x:v>
      </x:c>
      <x:c r="D1103" s="58" t="n">
        <x:v>1</x:v>
      </x:c>
      <x:c r="E1103" s="58" t="n">
        <x:v>2</x:v>
      </x:c>
      <x:c r="F1103" s="58" t="str">
        <x:v>SEARCH</x:v>
      </x:c>
      <x:c r="G1103" s="58" t="n">
        <x:v>10</x:v>
      </x:c>
      <x:c r="H1103" s="59" t="n">
        <x:v>16</x:v>
      </x:c>
      <x:c r="I1103" s="59" t="n">
        <x:v>0.40955</x:v>
      </x:c>
      <x:c r="J1103" s="59" t="n">
        <x:v>0.40927</x:v>
      </x:c>
      <x:c r="K1103" s="59" t="n">
        <x:v>0.30324</x:v>
      </x:c>
      <x:c r="L1103" s="59" t="n">
        <x:v>0.32398</x:v>
      </x:c>
      <x:c r="M1103" s="59" t="n">
        <x:v>0.60408</x:v>
      </x:c>
      <x:c r="N1103" s="60" t="n">
        <x:v>-64.39</x:v>
      </x:c>
      <x:c r="O1103" s="60" t="n">
        <x:v>1.57</x:v>
      </x:c>
      <x:c r="P1103" s="60" t="n">
        <x:v>1.16</x:v>
      </x:c>
      <x:c r="Q1103" s="60" t="n">
        <x:v>77.9</x:v>
      </x:c>
      <x:c r="R1103" s="58" t="str">
        <x:v>X</x:v>
      </x:c>
      <x:c r="S1103" s="60" t="n">
        <x:v>100</x:v>
      </x:c>
      <x:c r="T1103" s="58" t="str">
        <x:v>VALID</x:v>
      </x:c>
      <x:c r="U1103" s="58" t="n">
        <x:v>300</x:v>
      </x:c>
      <x:c r="V1103" s="58" t="str">
        <x:v>Pasted text(59).txt</x:v>
      </x:c>
    </x:row>
    <x:row r="1104">
      <x:c r="A1104" s="58" t="str">
        <x:v>S12</x:v>
      </x:c>
      <x:c r="B1104" s="58" t="str">
        <x:v>1.15 safety-guard failure session</x:v>
      </x:c>
      <x:c r="C1104" s="58" t="n">
        <x:v>1.15</x:v>
      </x:c>
      <x:c r="D1104" s="58" t="n">
        <x:v>1</x:v>
      </x:c>
      <x:c r="E1104" s="58" t="n">
        <x:v>2</x:v>
      </x:c>
      <x:c r="F1104" s="58" t="str">
        <x:v>SEARCH</x:v>
      </x:c>
      <x:c r="G1104" s="58" t="n">
        <x:v>11</x:v>
      </x:c>
      <x:c r="H1104" s="59" t="n">
        <x:v>17</x:v>
      </x:c>
      <x:c r="I1104" s="59" t="n">
        <x:v>0.41432</x:v>
      </x:c>
      <x:c r="J1104" s="59" t="n">
        <x:v>0.42328</x:v>
      </x:c>
      <x:c r="K1104" s="59" t="n">
        <x:v>0.32256</x:v>
      </x:c>
      <x:c r="L1104" s="59" t="n">
        <x:v>0.30702</x:v>
      </x:c>
      <x:c r="M1104" s="59" t="n">
        <x:v>0.61584</x:v>
      </x:c>
      <x:c r="N1104" s="60" t="n">
        <x:v>-63.97</x:v>
      </x:c>
      <x:c r="O1104" s="60" t="n">
        <x:v>5.13</x:v>
      </x:c>
      <x:c r="P1104" s="60" t="n">
        <x:v>6.81</x:v>
      </x:c>
      <x:c r="Q1104" s="60" t="n">
        <x:v>80.2</x:v>
      </x:c>
      <x:c r="R1104" s="58" t="str">
        <x:v>X</x:v>
      </x:c>
      <x:c r="S1104" s="60" t="n">
        <x:v>100</x:v>
      </x:c>
      <x:c r="T1104" s="58" t="str">
        <x:v>VALID</x:v>
      </x:c>
      <x:c r="U1104" s="58" t="n">
        <x:v>301</x:v>
      </x:c>
      <x:c r="V1104" s="58" t="str">
        <x:v>Pasted text(59).txt</x:v>
      </x:c>
    </x:row>
    <x:row r="1105">
      <x:c r="A1105" s="58" t="str">
        <x:v>S12</x:v>
      </x:c>
      <x:c r="B1105" s="58" t="str">
        <x:v>1.15 safety-guard failure session</x:v>
      </x:c>
      <x:c r="C1105" s="58" t="n">
        <x:v>1.15</x:v>
      </x:c>
      <x:c r="D1105" s="58" t="n">
        <x:v>1</x:v>
      </x:c>
      <x:c r="E1105" s="58" t="n">
        <x:v>2</x:v>
      </x:c>
      <x:c r="F1105" s="58" t="str">
        <x:v>SEARCH</x:v>
      </x:c>
      <x:c r="G1105" s="58" t="n">
        <x:v>12</x:v>
      </x:c>
      <x:c r="H1105" s="59" t="n">
        <x:v>18</x:v>
      </x:c>
      <x:c r="I1105" s="59" t="n">
        <x:v>0.43843</x:v>
      </x:c>
      <x:c r="J1105" s="59" t="n">
        <x:v>0.43775</x:v>
      </x:c>
      <x:c r="K1105" s="59" t="n">
        <x:v>0.34068</x:v>
      </x:c>
      <x:c r="L1105" s="59" t="n">
        <x:v>0.33518</x:v>
      </x:c>
      <x:c r="M1105" s="59" t="n">
        <x:v>0.64819</x:v>
      </x:c>
      <x:c r="N1105" s="60" t="n">
        <x:v>-61.88</x:v>
      </x:c>
      <x:c r="O1105" s="60" t="n">
        <x:v>1.5</x:v>
      </x:c>
      <x:c r="P1105" s="60" t="n">
        <x:v>1.25</x:v>
      </x:c>
      <x:c r="Q1105" s="60" t="n">
        <x:v>78.2</x:v>
      </x:c>
      <x:c r="R1105" s="58" t="str">
        <x:v>X</x:v>
      </x:c>
      <x:c r="S1105" s="60" t="n">
        <x:v>100</x:v>
      </x:c>
      <x:c r="T1105" s="58" t="str">
        <x:v>VALID</x:v>
      </x:c>
      <x:c r="U1105" s="58" t="n">
        <x:v>302</x:v>
      </x:c>
      <x:c r="V1105" s="58" t="str">
        <x:v>Pasted text(59).txt</x:v>
      </x:c>
    </x:row>
    <x:row r="1106">
      <x:c r="A1106" s="58" t="str">
        <x:v>S12</x:v>
      </x:c>
      <x:c r="B1106" s="58" t="str">
        <x:v>1.15 safety-guard failure session</x:v>
      </x:c>
      <x:c r="C1106" s="58" t="n">
        <x:v>1.15</x:v>
      </x:c>
      <x:c r="D1106" s="58" t="n">
        <x:v>1</x:v>
      </x:c>
      <x:c r="E1106" s="58" t="n">
        <x:v>2</x:v>
      </x:c>
      <x:c r="F1106" s="58" t="str">
        <x:v>SEARCH</x:v>
      </x:c>
      <x:c r="G1106" s="58" t="n">
        <x:v>13</x:v>
      </x:c>
      <x:c r="H1106" s="59" t="n">
        <x:v>19</x:v>
      </x:c>
      <x:c r="I1106" s="59" t="n">
        <x:v>0.47529</x:v>
      </x:c>
      <x:c r="J1106" s="59" t="n">
        <x:v>0.48214</x:v>
      </x:c>
      <x:c r="K1106" s="59" t="n">
        <x:v>0.38304</x:v>
      </x:c>
      <x:c r="L1106" s="59" t="n">
        <x:v>0.36406</x:v>
      </x:c>
      <x:c r="M1106" s="59" t="n">
        <x:v>0.71585</x:v>
      </x:c>
      <x:c r="N1106" s="60" t="n">
        <x:v>-58.67</x:v>
      </x:c>
      <x:c r="O1106" s="60" t="n">
        <x:v>2.19</x:v>
      </x:c>
      <x:c r="P1106" s="60" t="n">
        <x:v>3.79</x:v>
      </x:c>
      <x:c r="Q1106" s="60" t="n">
        <x:v>84.1</x:v>
      </x:c>
      <x:c r="R1106" s="58" t="str">
        <x:v>X</x:v>
      </x:c>
      <x:c r="S1106" s="60" t="n">
        <x:v>100</x:v>
      </x:c>
      <x:c r="T1106" s="58" t="str">
        <x:v>VALID</x:v>
      </x:c>
      <x:c r="U1106" s="58" t="n">
        <x:v>303</x:v>
      </x:c>
      <x:c r="V1106" s="58" t="str">
        <x:v>Pasted text(59).txt</x:v>
      </x:c>
    </x:row>
    <x:row r="1107">
      <x:c r="A1107" s="58" t="str">
        <x:v>S12</x:v>
      </x:c>
      <x:c r="B1107" s="58" t="str">
        <x:v>1.15 safety-guard failure session</x:v>
      </x:c>
      <x:c r="C1107" s="58" t="n">
        <x:v>1.15</x:v>
      </x:c>
      <x:c r="D1107" s="58" t="n">
        <x:v>1</x:v>
      </x:c>
      <x:c r="E1107" s="58" t="n">
        <x:v>2</x:v>
      </x:c>
      <x:c r="F1107" s="58" t="str">
        <x:v>SEARCH</x:v>
      </x:c>
      <x:c r="G1107" s="58" t="n">
        <x:v>14</x:v>
      </x:c>
      <x:c r="H1107" s="59" t="n">
        <x:v>20</x:v>
      </x:c>
      <x:c r="I1107" s="59" t="n">
        <x:v>0.48539</x:v>
      </x:c>
      <x:c r="J1107" s="59" t="n">
        <x:v>0.48278</x:v>
      </x:c>
      <x:c r="K1107" s="59" t="n">
        <x:v>0.38828</x:v>
      </x:c>
      <x:c r="L1107" s="59" t="n">
        <x:v>0.36645</x:v>
      </x:c>
      <x:c r="M1107" s="59" t="n">
        <x:v>0.72001</x:v>
      </x:c>
      <x:c r="N1107" s="60" t="n">
        <x:v>-57.79</x:v>
      </x:c>
      <x:c r="O1107" s="60" t="n">
        <x:v>0.5</x:v>
      </x:c>
      <x:c r="P1107" s="60" t="n">
        <x:v>1.24</x:v>
      </x:c>
      <x:c r="Q1107" s="60" t="n">
        <x:v>79.7</x:v>
      </x:c>
      <x:c r="R1107" s="58" t="str">
        <x:v>X</x:v>
      </x:c>
      <x:c r="S1107" s="60" t="n">
        <x:v>100</x:v>
      </x:c>
      <x:c r="T1107" s="58" t="str">
        <x:v>VALID</x:v>
      </x:c>
      <x:c r="U1107" s="58" t="n">
        <x:v>304</x:v>
      </x:c>
      <x:c r="V1107" s="58" t="str">
        <x:v>Pasted text(59).txt</x:v>
      </x:c>
    </x:row>
    <x:row r="1108">
      <x:c r="A1108" s="58" t="str">
        <x:v>S12</x:v>
      </x:c>
      <x:c r="B1108" s="58" t="str">
        <x:v>1.15 safety-guard failure session</x:v>
      </x:c>
      <x:c r="C1108" s="58" t="n">
        <x:v>1.15</x:v>
      </x:c>
      <x:c r="D1108" s="58" t="n">
        <x:v>1</x:v>
      </x:c>
      <x:c r="E1108" s="58" t="n">
        <x:v>2</x:v>
      </x:c>
      <x:c r="F1108" s="58" t="str">
        <x:v>SEARCH</x:v>
      </x:c>
      <x:c r="G1108" s="58" t="n">
        <x:v>15</x:v>
      </x:c>
      <x:c r="H1108" s="59" t="n">
        <x:v>21</x:v>
      </x:c>
      <x:c r="I1108" s="59" t="n">
        <x:v>0.51042</x:v>
      </x:c>
      <x:c r="J1108" s="59" t="n">
        <x:v>0.51128</x:v>
      </x:c>
      <x:c r="K1108" s="59" t="n">
        <x:v>0.41251</x:v>
      </x:c>
      <x:c r="L1108" s="59" t="n">
        <x:v>0.33528</x:v>
      </x:c>
      <x:c r="M1108" s="59" t="n">
        <x:v>0.73781</x:v>
      </x:c>
      <x:c r="N1108" s="60" t="n">
        <x:v>-55.62</x:v>
      </x:c>
      <x:c r="O1108" s="60" t="n">
        <x:v>3.4</x:v>
      </x:c>
      <x:c r="P1108" s="60" t="n">
        <x:v>2.54</x:v>
      </x:c>
      <x:c r="Q1108" s="60" t="n">
        <x:v>84.5</x:v>
      </x:c>
      <x:c r="R1108" s="58" t="str">
        <x:v>X</x:v>
      </x:c>
      <x:c r="S1108" s="60" t="n">
        <x:v>100</x:v>
      </x:c>
      <x:c r="T1108" s="58" t="str">
        <x:v>VALID</x:v>
      </x:c>
      <x:c r="U1108" s="58" t="n">
        <x:v>305</x:v>
      </x:c>
      <x:c r="V1108" s="58" t="str">
        <x:v>Pasted text(59).txt</x:v>
      </x:c>
    </x:row>
    <x:row r="1109">
      <x:c r="A1109" s="58" t="str">
        <x:v>S12</x:v>
      </x:c>
      <x:c r="B1109" s="58" t="str">
        <x:v>1.15 safety-guard failure session</x:v>
      </x:c>
      <x:c r="C1109" s="58" t="n">
        <x:v>1.15</x:v>
      </x:c>
      <x:c r="D1109" s="58" t="n">
        <x:v>1</x:v>
      </x:c>
      <x:c r="E1109" s="58" t="n">
        <x:v>2</x:v>
      </x:c>
      <x:c r="F1109" s="58" t="str">
        <x:v>SEARCH</x:v>
      </x:c>
      <x:c r="G1109" s="58" t="n">
        <x:v>16</x:v>
      </x:c>
      <x:c r="H1109" s="59" t="n">
        <x:v>22</x:v>
      </x:c>
      <x:c r="I1109" s="59" t="n">
        <x:v>0.5322</x:v>
      </x:c>
      <x:c r="J1109" s="59" t="n">
        <x:v>0.52994</x:v>
      </x:c>
      <x:c r="K1109" s="59" t="n">
        <x:v>0.422</x:v>
      </x:c>
      <x:c r="L1109" s="59" t="n">
        <x:v>0.39046</x:v>
      </x:c>
      <x:c r="M1109" s="59" t="n">
        <x:v>0.78266</x:v>
      </x:c>
      <x:c r="N1109" s="60" t="n">
        <x:v>-53.72</x:v>
      </x:c>
      <x:c r="O1109" s="60" t="n">
        <x:v>4.16</x:v>
      </x:c>
      <x:c r="P1109" s="60" t="n">
        <x:v>3.48</x:v>
      </x:c>
      <x:c r="Q1109" s="60" t="n">
        <x:v>82.5</x:v>
      </x:c>
      <x:c r="R1109" s="58" t="str">
        <x:v>X</x:v>
      </x:c>
      <x:c r="S1109" s="60" t="n">
        <x:v>100</x:v>
      </x:c>
      <x:c r="T1109" s="58" t="str">
        <x:v>VALID</x:v>
      </x:c>
      <x:c r="U1109" s="58" t="n">
        <x:v>306</x:v>
      </x:c>
      <x:c r="V1109" s="58" t="str">
        <x:v>Pasted text(59).txt</x:v>
      </x:c>
    </x:row>
    <x:row r="1110">
      <x:c r="A1110" s="58" t="str">
        <x:v>S12</x:v>
      </x:c>
      <x:c r="B1110" s="58" t="str">
        <x:v>1.15 safety-guard failure session</x:v>
      </x:c>
      <x:c r="C1110" s="58" t="n">
        <x:v>1.15</x:v>
      </x:c>
      <x:c r="D1110" s="58" t="n">
        <x:v>1</x:v>
      </x:c>
      <x:c r="E1110" s="58" t="n">
        <x:v>2</x:v>
      </x:c>
      <x:c r="F1110" s="58" t="str">
        <x:v>SEARCH</x:v>
      </x:c>
      <x:c r="G1110" s="58" t="n">
        <x:v>17</x:v>
      </x:c>
      <x:c r="H1110" s="59" t="n">
        <x:v>23</x:v>
      </x:c>
      <x:c r="I1110" s="59" t="n">
        <x:v>0.56946</x:v>
      </x:c>
      <x:c r="J1110" s="59" t="n">
        <x:v>0.58957</x:v>
      </x:c>
      <x:c r="K1110" s="59" t="n">
        <x:v>0.4198</x:v>
      </x:c>
      <x:c r="L1110" s="59" t="n">
        <x:v>0.31416</x:v>
      </x:c>
      <x:c r="M1110" s="59" t="n">
        <x:v>0.79766</x:v>
      </x:c>
      <x:c r="N1110" s="60" t="n">
        <x:v>-50.48</x:v>
      </x:c>
      <x:c r="O1110" s="60" t="n">
        <x:v>0.52</x:v>
      </x:c>
      <x:c r="P1110" s="60" t="n">
        <x:v>6.21</x:v>
      </x:c>
      <x:c r="Q1110" s="60" t="n">
        <x:v>82.6</x:v>
      </x:c>
      <x:c r="R1110" s="58" t="str">
        <x:v>X</x:v>
      </x:c>
      <x:c r="S1110" s="60" t="n">
        <x:v>100</x:v>
      </x:c>
      <x:c r="T1110" s="58" t="str">
        <x:v>VALID</x:v>
      </x:c>
      <x:c r="U1110" s="58" t="n">
        <x:v>307</x:v>
      </x:c>
      <x:c r="V1110" s="58" t="str">
        <x:v>Pasted text(59).txt</x:v>
      </x:c>
    </x:row>
    <x:row r="1111">
      <x:c r="A1111" s="58" t="str">
        <x:v>S12</x:v>
      </x:c>
      <x:c r="B1111" s="58" t="str">
        <x:v>1.15 safety-guard failure session</x:v>
      </x:c>
      <x:c r="C1111" s="58" t="n">
        <x:v>1.15</x:v>
      </x:c>
      <x:c r="D1111" s="58" t="n">
        <x:v>1</x:v>
      </x:c>
      <x:c r="E1111" s="58" t="n">
        <x:v>2</x:v>
      </x:c>
      <x:c r="F1111" s="58" t="str">
        <x:v>SEARCH</x:v>
      </x:c>
      <x:c r="G1111" s="58" t="n">
        <x:v>18</x:v>
      </x:c>
      <x:c r="H1111" s="59" t="n">
        <x:v>24</x:v>
      </x:c>
      <x:c r="I1111" s="59" t="n">
        <x:v>0.53567</x:v>
      </x:c>
      <x:c r="J1111" s="59" t="n">
        <x:v>0.53094</x:v>
      </x:c>
      <x:c r="K1111" s="59" t="n">
        <x:v>0.50372</x:v>
      </x:c>
      <x:c r="L1111" s="59" t="n">
        <x:v>0.11409</x:v>
      </x:c>
      <x:c r="M1111" s="59" t="n">
        <x:v>0.74123</x:v>
      </x:c>
      <x:c r="N1111" s="60" t="n">
        <x:v>-53.42</x:v>
      </x:c>
      <x:c r="O1111" s="60" t="n">
        <x:v>1.57</x:v>
      </x:c>
      <x:c r="P1111" s="60" t="n">
        <x:v>2.53</x:v>
      </x:c>
      <x:c r="Q1111" s="60" t="n">
        <x:v>84.6</x:v>
      </x:c>
      <x:c r="R1111" s="58" t="str">
        <x:v>X</x:v>
      </x:c>
      <x:c r="S1111" s="60" t="n">
        <x:v>100</x:v>
      </x:c>
      <x:c r="T1111" s="58" t="str">
        <x:v>VALID</x:v>
      </x:c>
      <x:c r="U1111" s="58" t="n">
        <x:v>308</x:v>
      </x:c>
      <x:c r="V1111" s="58" t="str">
        <x:v>Pasted text(59).txt</x:v>
      </x:c>
    </x:row>
    <x:row r="1112">
      <x:c r="A1112" s="58" t="str">
        <x:v>S12</x:v>
      </x:c>
      <x:c r="B1112" s="58" t="str">
        <x:v>1.15 safety-guard failure session</x:v>
      </x:c>
      <x:c r="C1112" s="58" t="n">
        <x:v>1.15</x:v>
      </x:c>
      <x:c r="D1112" s="58" t="n">
        <x:v>1</x:v>
      </x:c>
      <x:c r="E1112" s="58" t="n">
        <x:v>2</x:v>
      </x:c>
      <x:c r="F1112" s="58" t="str">
        <x:v>SEARCH</x:v>
      </x:c>
      <x:c r="G1112" s="58" t="n">
        <x:v>19</x:v>
      </x:c>
      <x:c r="H1112" s="59" t="n">
        <x:v>25</x:v>
      </x:c>
      <x:c r="I1112" s="59" t="n">
        <x:v>0.54795</x:v>
      </x:c>
      <x:c r="J1112" s="59" t="n">
        <x:v>0.5517</x:v>
      </x:c>
      <x:c r="K1112" s="59" t="n">
        <x:v>0.54377</x:v>
      </x:c>
      <x:c r="L1112" s="59" t="n">
        <x:v>0.15466</x:v>
      </x:c>
      <x:c r="M1112" s="59" t="n">
        <x:v>0.79016</x:v>
      </x:c>
      <x:c r="N1112" s="60" t="n">
        <x:v>-52.35</x:v>
      </x:c>
      <x:c r="O1112" s="60" t="n">
        <x:v>1.47</x:v>
      </x:c>
      <x:c r="P1112" s="60" t="n">
        <x:v>2.09</x:v>
      </x:c>
      <x:c r="Q1112" s="60" t="n">
        <x:v>85</x:v>
      </x:c>
      <x:c r="R1112" s="58" t="str">
        <x:v>X</x:v>
      </x:c>
      <x:c r="S1112" s="60" t="n">
        <x:v>100</x:v>
      </x:c>
      <x:c r="T1112" s="58" t="str">
        <x:v>VALID</x:v>
      </x:c>
      <x:c r="U1112" s="58" t="n">
        <x:v>309</x:v>
      </x:c>
      <x:c r="V1112" s="58" t="str">
        <x:v>Pasted text(59).txt</x:v>
      </x:c>
    </x:row>
    <x:row r="1113">
      <x:c r="A1113" s="58" t="str">
        <x:v>S12</x:v>
      </x:c>
      <x:c r="B1113" s="58" t="str">
        <x:v>1.15 safety-guard failure session</x:v>
      </x:c>
      <x:c r="C1113" s="58" t="n">
        <x:v>1.15</x:v>
      </x:c>
      <x:c r="D1113" s="58" t="n">
        <x:v>1</x:v>
      </x:c>
      <x:c r="E1113" s="58" t="n">
        <x:v>2</x:v>
      </x:c>
      <x:c r="F1113" s="58" t="str">
        <x:v>SEARCH</x:v>
      </x:c>
      <x:c r="G1113" s="58" t="n">
        <x:v>20</x:v>
      </x:c>
      <x:c r="H1113" s="59" t="n">
        <x:v>26</x:v>
      </x:c>
      <x:c r="I1113" s="59" t="n">
        <x:v>0.58011</x:v>
      </x:c>
      <x:c r="J1113" s="59" t="n">
        <x:v>0.57327</x:v>
      </x:c>
      <x:c r="K1113" s="59" t="n">
        <x:v>0.54395</x:v>
      </x:c>
      <x:c r="L1113" s="59" t="n">
        <x:v>0.11639</x:v>
      </x:c>
      <x:c r="M1113" s="59" t="n">
        <x:v>0.7989</x:v>
      </x:c>
      <x:c r="N1113" s="60" t="n">
        <x:v>-49.56</x:v>
      </x:c>
      <x:c r="O1113" s="60" t="n">
        <x:v>0.88</x:v>
      </x:c>
      <x:c r="P1113" s="60" t="n">
        <x:v>2.6</x:v>
      </x:c>
      <x:c r="Q1113" s="60" t="n">
        <x:v>83.9</x:v>
      </x:c>
      <x:c r="R1113" s="58" t="str">
        <x:v>X</x:v>
      </x:c>
      <x:c r="S1113" s="60" t="n">
        <x:v>100</x:v>
      </x:c>
      <x:c r="T1113" s="58" t="str">
        <x:v>VALID</x:v>
      </x:c>
      <x:c r="U1113" s="58" t="n">
        <x:v>310</x:v>
      </x:c>
      <x:c r="V1113" s="58" t="str">
        <x:v>Pasted text(59).txt</x:v>
      </x:c>
    </x:row>
    <x:row r="1114">
      <x:c r="A1114" s="58" t="str">
        <x:v>S12</x:v>
      </x:c>
      <x:c r="B1114" s="58" t="str">
        <x:v>1.15 safety-guard failure session</x:v>
      </x:c>
      <x:c r="C1114" s="58" t="n">
        <x:v>1.15</x:v>
      </x:c>
      <x:c r="D1114" s="58" t="n">
        <x:v>1</x:v>
      </x:c>
      <x:c r="E1114" s="58" t="n">
        <x:v>2</x:v>
      </x:c>
      <x:c r="F1114" s="58" t="str">
        <x:v>SEARCH</x:v>
      </x:c>
      <x:c r="G1114" s="58" t="n">
        <x:v>21</x:v>
      </x:c>
      <x:c r="H1114" s="59" t="n">
        <x:v>27</x:v>
      </x:c>
      <x:c r="I1114" s="59" t="n">
        <x:v>0.57513</x:v>
      </x:c>
      <x:c r="J1114" s="59" t="n">
        <x:v>0.57635</x:v>
      </x:c>
      <x:c r="K1114" s="59" t="n">
        <x:v>0.56598</x:v>
      </x:c>
      <x:c r="L1114" s="59" t="n">
        <x:v>0.13387</x:v>
      </x:c>
      <x:c r="M1114" s="59" t="n">
        <x:v>0.8194</x:v>
      </x:c>
      <x:c r="N1114" s="60" t="n">
        <x:v>-49.99</x:v>
      </x:c>
      <x:c r="O1114" s="60" t="n">
        <x:v>3.96</x:v>
      </x:c>
      <x:c r="P1114" s="60" t="n">
        <x:v>2.99</x:v>
      </x:c>
      <x:c r="Q1114" s="60" t="n">
        <x:v>81.3</x:v>
      </x:c>
      <x:c r="R1114" s="58" t="str">
        <x:v>X</x:v>
      </x:c>
      <x:c r="S1114" s="60" t="n">
        <x:v>100</x:v>
      </x:c>
      <x:c r="T1114" s="58" t="str">
        <x:v>VALID</x:v>
      </x:c>
      <x:c r="U1114" s="58" t="n">
        <x:v>311</x:v>
      </x:c>
      <x:c r="V1114" s="58" t="str">
        <x:v>Pasted text(59).txt</x:v>
      </x:c>
    </x:row>
    <x:row r="1115">
      <x:c r="A1115" s="58" t="str">
        <x:v>S12</x:v>
      </x:c>
      <x:c r="B1115" s="58" t="str">
        <x:v>1.15 safety-guard failure session</x:v>
      </x:c>
      <x:c r="C1115" s="58" t="n">
        <x:v>1.15</x:v>
      </x:c>
      <x:c r="D1115" s="58" t="n">
        <x:v>1</x:v>
      </x:c>
      <x:c r="E1115" s="58" t="n">
        <x:v>2</x:v>
      </x:c>
      <x:c r="F1115" s="58" t="str">
        <x:v>SEARCH</x:v>
      </x:c>
      <x:c r="G1115" s="58" t="n">
        <x:v>22</x:v>
      </x:c>
      <x:c r="H1115" s="59" t="n">
        <x:v>28</x:v>
      </x:c>
      <x:c r="I1115" s="59" t="n">
        <x:v>0.60586</x:v>
      </x:c>
      <x:c r="J1115" s="59" t="n">
        <x:v>0.60664</x:v>
      </x:c>
      <x:c r="K1115" s="59" t="n">
        <x:v>0.59897</x:v>
      </x:c>
      <x:c r="L1115" s="59" t="n">
        <x:v>0.15834</x:v>
      </x:c>
      <x:c r="M1115" s="59" t="n">
        <x:v>0.86724</x:v>
      </x:c>
      <x:c r="N1115" s="60" t="n">
        <x:v>-47.32</x:v>
      </x:c>
      <x:c r="O1115" s="60" t="n">
        <x:v>1.53</x:v>
      </x:c>
      <x:c r="P1115" s="60" t="n">
        <x:v>1.23</x:v>
      </x:c>
      <x:c r="Q1115" s="60" t="n">
        <x:v>84</x:v>
      </x:c>
      <x:c r="R1115" s="58" t="str">
        <x:v>X</x:v>
      </x:c>
      <x:c r="S1115" s="60" t="n">
        <x:v>100</x:v>
      </x:c>
      <x:c r="T1115" s="58" t="str">
        <x:v>VALID</x:v>
      </x:c>
      <x:c r="U1115" s="58" t="n">
        <x:v>312</x:v>
      </x:c>
      <x:c r="V1115" s="58" t="str">
        <x:v>Pasted text(59).txt</x:v>
      </x:c>
    </x:row>
    <x:row r="1116">
      <x:c r="A1116" s="58" t="str">
        <x:v>S12</x:v>
      </x:c>
      <x:c r="B1116" s="58" t="str">
        <x:v>1.15 safety-guard failure session</x:v>
      </x:c>
      <x:c r="C1116" s="58" t="n">
        <x:v>1.15</x:v>
      </x:c>
      <x:c r="D1116" s="58" t="n">
        <x:v>1</x:v>
      </x:c>
      <x:c r="E1116" s="58" t="n">
        <x:v>2</x:v>
      </x:c>
      <x:c r="F1116" s="58" t="str">
        <x:v>SEARCH</x:v>
      </x:c>
      <x:c r="G1116" s="58" t="n">
        <x:v>23</x:v>
      </x:c>
      <x:c r="H1116" s="59" t="n">
        <x:v>29</x:v>
      </x:c>
      <x:c r="I1116" s="59" t="n">
        <x:v>0.66863</x:v>
      </x:c>
      <x:c r="J1116" s="59" t="n">
        <x:v>0.66947</x:v>
      </x:c>
      <x:c r="K1116" s="59" t="n">
        <x:v>0.66261</x:v>
      </x:c>
      <x:c r="L1116" s="59" t="n">
        <x:v>0.14179</x:v>
      </x:c>
      <x:c r="M1116" s="59" t="n">
        <x:v>0.95279</x:v>
      </x:c>
      <x:c r="N1116" s="60" t="n">
        <x:v>-41.86</x:v>
      </x:c>
      <x:c r="O1116" s="60" t="n">
        <x:v>1.66</x:v>
      </x:c>
      <x:c r="P1116" s="60" t="n">
        <x:v>1.31</x:v>
      </x:c>
      <x:c r="Q1116" s="60" t="n">
        <x:v>86.3</x:v>
      </x:c>
      <x:c r="R1116" s="58" t="str">
        <x:v>X</x:v>
      </x:c>
      <x:c r="S1116" s="60" t="n">
        <x:v>100</x:v>
      </x:c>
      <x:c r="T1116" s="58" t="str">
        <x:v>VALID</x:v>
      </x:c>
      <x:c r="U1116" s="58" t="n">
        <x:v>313</x:v>
      </x:c>
      <x:c r="V1116" s="58" t="str">
        <x:v>Pasted text(59).txt</x:v>
      </x:c>
    </x:row>
    <x:row r="1117">
      <x:c r="A1117" s="58" t="str">
        <x:v>S12</x:v>
      </x:c>
      <x:c r="B1117" s="58" t="str">
        <x:v>1.15 safety-guard failure session</x:v>
      </x:c>
      <x:c r="C1117" s="58" t="n">
        <x:v>1.15</x:v>
      </x:c>
      <x:c r="D1117" s="58" t="n">
        <x:v>1</x:v>
      </x:c>
      <x:c r="E1117" s="58" t="n">
        <x:v>2</x:v>
      </x:c>
      <x:c r="F1117" s="58" t="str">
        <x:v>SEARCH</x:v>
      </x:c>
      <x:c r="G1117" s="58" t="n">
        <x:v>24</x:v>
      </x:c>
      <x:c r="H1117" s="59" t="n">
        <x:v>30</x:v>
      </x:c>
      <x:c r="I1117" s="59" t="n">
        <x:v>0.68704</x:v>
      </x:c>
      <x:c r="J1117" s="59" t="n">
        <x:v>0.69301</x:v>
      </x:c>
      <x:c r="K1117" s="59" t="n">
        <x:v>0.69965</x:v>
      </x:c>
      <x:c r="L1117" s="59" t="n">
        <x:v>0.10914</x:v>
      </x:c>
      <x:c r="M1117" s="59" t="n">
        <x:v>0.99131</x:v>
      </x:c>
      <x:c r="N1117" s="60" t="n">
        <x:v>-40.26</x:v>
      </x:c>
      <x:c r="O1117" s="60" t="n">
        <x:v>2.11</x:v>
      </x:c>
      <x:c r="P1117" s="60" t="n">
        <x:v>2.8</x:v>
      </x:c>
      <x:c r="Q1117" s="60" t="n">
        <x:v>83.8</x:v>
      </x:c>
      <x:c r="R1117" s="58" t="str">
        <x:v>Y</x:v>
      </x:c>
      <x:c r="S1117" s="60" t="n">
        <x:v>99.1</x:v>
      </x:c>
      <x:c r="T1117" s="58" t="str">
        <x:v>VALID</x:v>
      </x:c>
      <x:c r="U1117" s="58" t="n">
        <x:v>314</x:v>
      </x:c>
      <x:c r="V1117" s="58" t="str">
        <x:v>Pasted text(59).txt</x:v>
      </x:c>
    </x:row>
    <x:row r="1118">
      <x:c r="A1118" s="58" t="str">
        <x:v>S12</x:v>
      </x:c>
      <x:c r="B1118" s="58" t="str">
        <x:v>1.15 safety-guard failure session</x:v>
      </x:c>
      <x:c r="C1118" s="58" t="n">
        <x:v>1.15</x:v>
      </x:c>
      <x:c r="D1118" s="58" t="n">
        <x:v>2</x:v>
      </x:c>
      <x:c r="E1118" s="58" t="n">
        <x:v>1</x:v>
      </x:c>
      <x:c r="F1118" s="58" t="str">
        <x:v>SEARCH</x:v>
      </x:c>
      <x:c r="G1118" s="58" t="n">
        <x:v>1</x:v>
      </x:c>
      <x:c r="H1118" s="59" t="n">
        <x:v>1</x:v>
      </x:c>
      <x:c r="I1118" s="59" t="n">
        <x:v>0.01835</x:v>
      </x:c>
      <x:c r="J1118" s="59" t="n">
        <x:v>0.01681</x:v>
      </x:c>
      <x:c r="K1118" s="59" t="n">
        <x:v>0.02112</x:v>
      </x:c>
      <x:c r="L1118" s="59" t="n">
        <x:v>0.04269</x:v>
      </x:c>
      <x:c r="M1118" s="59" t="n">
        <x:v>0.05055</x:v>
      </x:c>
      <x:c r="N1118" s="60" t="n">
        <x:v>-98.4</x:v>
      </x:c>
      <x:c r="O1118" s="60" t="n">
        <x:v>25</x:v>
      </x:c>
      <x:c r="P1118" s="60" t="n">
        <x:v>13.02</x:v>
      </x:c>
      <x:c r="Q1118" s="60" t="n">
        <x:v>6.7</x:v>
      </x:c>
      <x:c r="R1118" s="58" t="str">
        <x:v>Z</x:v>
      </x:c>
      <x:c r="S1118" s="60" t="n">
        <x:v>39.4</x:v>
      </x:c>
      <x:c r="T1118" s="58" t="str">
        <x:v>BELOW MEASUREMENT FLOOR — SEARCH CONTINUES</x:v>
      </x:c>
      <x:c r="U1118" s="58" t="n">
        <x:v>333</x:v>
      </x:c>
      <x:c r="V1118" s="58" t="str">
        <x:v>Pasted text(59).txt</x:v>
      </x:c>
    </x:row>
    <x:row r="1119">
      <x:c r="A1119" s="58" t="str">
        <x:v>S12</x:v>
      </x:c>
      <x:c r="B1119" s="58" t="str">
        <x:v>1.15 safety-guard failure session</x:v>
      </x:c>
      <x:c r="C1119" s="58" t="n">
        <x:v>1.15</x:v>
      </x:c>
      <x:c r="D1119" s="58" t="n">
        <x:v>2</x:v>
      </x:c>
      <x:c r="E1119" s="58" t="n">
        <x:v>1</x:v>
      </x:c>
      <x:c r="F1119" s="58" t="str">
        <x:v>SEARCH</x:v>
      </x:c>
      <x:c r="G1119" s="58" t="n">
        <x:v>2</x:v>
      </x:c>
      <x:c r="H1119" s="59" t="n">
        <x:v>3</x:v>
      </x:c>
      <x:c r="I1119" s="59" t="n">
        <x:v>0.04223</x:v>
      </x:c>
      <x:c r="J1119" s="59" t="n">
        <x:v>0.04006</x:v>
      </x:c>
      <x:c r="K1119" s="59" t="n">
        <x:v>0.06746</x:v>
      </x:c>
      <x:c r="L1119" s="59" t="n">
        <x:v>0.10152</x:v>
      </x:c>
      <x:c r="M1119" s="59" t="n">
        <x:v>0.12992</x:v>
      </x:c>
      <x:c r="N1119" s="60" t="n">
        <x:v>-96.33</x:v>
      </x:c>
      <x:c r="O1119" s="60" t="n">
        <x:v>15.23</x:v>
      </x:c>
      <x:c r="P1119" s="60" t="n">
        <x:v>7.66</x:v>
      </x:c>
      <x:c r="Q1119" s="60" t="n">
        <x:v>11.9</x:v>
      </x:c>
      <x:c r="R1119" s="58" t="str">
        <x:v>Z</x:v>
      </x:c>
      <x:c r="S1119" s="60" t="n">
        <x:v>39.5</x:v>
      </x:c>
      <x:c r="T1119" s="58" t="str">
        <x:v>BELOW MEASUREMENT FLOOR — SEARCH CONTINUES</x:v>
      </x:c>
      <x:c r="U1119" s="58" t="n">
        <x:v>334</x:v>
      </x:c>
      <x:c r="V1119" s="58" t="str">
        <x:v>Pasted text(59).txt</x:v>
      </x:c>
    </x:row>
    <x:row r="1120">
      <x:c r="A1120" s="58" t="str">
        <x:v>S12</x:v>
      </x:c>
      <x:c r="B1120" s="58" t="str">
        <x:v>1.15 safety-guard failure session</x:v>
      </x:c>
      <x:c r="C1120" s="58" t="n">
        <x:v>1.15</x:v>
      </x:c>
      <x:c r="D1120" s="58" t="n">
        <x:v>2</x:v>
      </x:c>
      <x:c r="E1120" s="58" t="n">
        <x:v>1</x:v>
      </x:c>
      <x:c r="F1120" s="58" t="str">
        <x:v>SEARCH</x:v>
      </x:c>
      <x:c r="G1120" s="58" t="n">
        <x:v>3</x:v>
      </x:c>
      <x:c r="H1120" s="59" t="n">
        <x:v>5</x:v>
      </x:c>
      <x:c r="I1120" s="59" t="n">
        <x:v>0.1285</x:v>
      </x:c>
      <x:c r="J1120" s="59" t="n">
        <x:v>0.12926</x:v>
      </x:c>
      <x:c r="K1120" s="59" t="n">
        <x:v>0.10021</x:v>
      </x:c>
      <x:c r="L1120" s="59" t="n">
        <x:v>0.12909</x:v>
      </x:c>
      <x:c r="M1120" s="59" t="n">
        <x:v>0.20989</x:v>
      </x:c>
      <x:c r="N1120" s="60" t="n">
        <x:v>-88.83</x:v>
      </x:c>
      <x:c r="O1120" s="60" t="n">
        <x:v>10.91</x:v>
      </x:c>
      <x:c r="P1120" s="60" t="n">
        <x:v>8.22</x:v>
      </x:c>
      <x:c r="Q1120" s="60" t="n">
        <x:v>32.9</x:v>
      </x:c>
      <x:c r="R1120" s="58" t="str">
        <x:v>X</x:v>
      </x:c>
      <x:c r="S1120" s="60" t="n">
        <x:v>100</x:v>
      </x:c>
      <x:c r="T1120" s="58" t="str">
        <x:v>UNSTABLE — SEARCH CONTINUES</x:v>
      </x:c>
      <x:c r="U1120" s="58" t="n">
        <x:v>335</x:v>
      </x:c>
      <x:c r="V1120" s="58" t="str">
        <x:v>Pasted text(59).txt</x:v>
      </x:c>
    </x:row>
    <x:row r="1121">
      <x:c r="A1121" s="58" t="str">
        <x:v>S12</x:v>
      </x:c>
      <x:c r="B1121" s="58" t="str">
        <x:v>1.15 safety-guard failure session</x:v>
      </x:c>
      <x:c r="C1121" s="58" t="n">
        <x:v>1.15</x:v>
      </x:c>
      <x:c r="D1121" s="58" t="n">
        <x:v>2</x:v>
      </x:c>
      <x:c r="E1121" s="58" t="n">
        <x:v>1</x:v>
      </x:c>
      <x:c r="F1121" s="58" t="str">
        <x:v>SEARCH</x:v>
      </x:c>
      <x:c r="G1121" s="58" t="n">
        <x:v>4</x:v>
      </x:c>
      <x:c r="H1121" s="59" t="n">
        <x:v>7</x:v>
      </x:c>
      <x:c r="I1121" s="59" t="n">
        <x:v>0.17993</x:v>
      </x:c>
      <x:c r="J1121" s="59" t="n">
        <x:v>0.1787</x:v>
      </x:c>
      <x:c r="K1121" s="59" t="n">
        <x:v>0.16384</x:v>
      </x:c>
      <x:c r="L1121" s="59" t="n">
        <x:v>0.16207</x:v>
      </x:c>
      <x:c r="M1121" s="59" t="n">
        <x:v>0.29327</x:v>
      </x:c>
      <x:c r="N1121" s="60" t="n">
        <x:v>-84.35</x:v>
      </x:c>
      <x:c r="O1121" s="60" t="n">
        <x:v>5.92</x:v>
      </x:c>
      <x:c r="P1121" s="60" t="n">
        <x:v>5.09</x:v>
      </x:c>
      <x:c r="Q1121" s="60" t="n">
        <x:v>40.6</x:v>
      </x:c>
      <x:c r="R1121" s="58" t="str">
        <x:v>X</x:v>
      </x:c>
      <x:c r="S1121" s="60" t="n">
        <x:v>100</x:v>
      </x:c>
      <x:c r="T1121" s="58" t="str">
        <x:v>UNSTABLE — SEARCH CONTINUES</x:v>
      </x:c>
      <x:c r="U1121" s="58" t="n">
        <x:v>336</x:v>
      </x:c>
      <x:c r="V1121" s="58" t="str">
        <x:v>Pasted text(59).txt</x:v>
      </x:c>
    </x:row>
    <x:row r="1122">
      <x:c r="A1122" s="58" t="str">
        <x:v>S12</x:v>
      </x:c>
      <x:c r="B1122" s="58" t="str">
        <x:v>1.15 safety-guard failure session</x:v>
      </x:c>
      <x:c r="C1122" s="58" t="n">
        <x:v>1.15</x:v>
      </x:c>
      <x:c r="D1122" s="58" t="n">
        <x:v>2</x:v>
      </x:c>
      <x:c r="E1122" s="58" t="n">
        <x:v>1</x:v>
      </x:c>
      <x:c r="F1122" s="58" t="str">
        <x:v>SEARCH</x:v>
      </x:c>
      <x:c r="G1122" s="58" t="n">
        <x:v>5</x:v>
      </x:c>
      <x:c r="H1122" s="59" t="n">
        <x:v>9</x:v>
      </x:c>
      <x:c r="I1122" s="59" t="n">
        <x:v>0.23661</x:v>
      </x:c>
      <x:c r="J1122" s="59" t="n">
        <x:v>0.23439</x:v>
      </x:c>
      <x:c r="K1122" s="59" t="n">
        <x:v>0.22177</x:v>
      </x:c>
      <x:c r="L1122" s="59" t="n">
        <x:v>0.20211</x:v>
      </x:c>
      <x:c r="M1122" s="59" t="n">
        <x:v>0.38084</x:v>
      </x:c>
      <x:c r="N1122" s="60" t="n">
        <x:v>-79.43</x:v>
      </x:c>
      <x:c r="O1122" s="60" t="n">
        <x:v>1.6</x:v>
      </x:c>
      <x:c r="P1122" s="60" t="n">
        <x:v>2.64</x:v>
      </x:c>
      <x:c r="Q1122" s="60" t="n">
        <x:v>49.6</x:v>
      </x:c>
      <x:c r="R1122" s="58" t="str">
        <x:v>X</x:v>
      </x:c>
      <x:c r="S1122" s="60" t="n">
        <x:v>100</x:v>
      </x:c>
      <x:c r="T1122" s="58" t="str">
        <x:v>UNSTABLE — SEARCH CONTINUES</x:v>
      </x:c>
      <x:c r="U1122" s="58" t="n">
        <x:v>337</x:v>
      </x:c>
      <x:c r="V1122" s="58" t="str">
        <x:v>Pasted text(59).txt</x:v>
      </x:c>
    </x:row>
    <x:row r="1123">
      <x:c r="A1123" s="58" t="str">
        <x:v>S12</x:v>
      </x:c>
      <x:c r="B1123" s="58" t="str">
        <x:v>1.15 safety-guard failure session</x:v>
      </x:c>
      <x:c r="C1123" s="58" t="n">
        <x:v>1.15</x:v>
      </x:c>
      <x:c r="D1123" s="58" t="n">
        <x:v>2</x:v>
      </x:c>
      <x:c r="E1123" s="58" t="n">
        <x:v>1</x:v>
      </x:c>
      <x:c r="F1123" s="58" t="str">
        <x:v>SEARCH</x:v>
      </x:c>
      <x:c r="G1123" s="58" t="n">
        <x:v>6</x:v>
      </x:c>
      <x:c r="H1123" s="59" t="n">
        <x:v>11</x:v>
      </x:c>
      <x:c r="I1123" s="59" t="n">
        <x:v>0.28341</x:v>
      </x:c>
      <x:c r="J1123" s="59" t="n">
        <x:v>0.28819</x:v>
      </x:c>
      <x:c r="K1123" s="59" t="n">
        <x:v>0.2713</x:v>
      </x:c>
      <x:c r="L1123" s="59" t="n">
        <x:v>0.21887</x:v>
      </x:c>
      <x:c r="M1123" s="59" t="n">
        <x:v>0.45345</x:v>
      </x:c>
      <x:c r="N1123" s="60" t="n">
        <x:v>-75.36</x:v>
      </x:c>
      <x:c r="O1123" s="60" t="n">
        <x:v>5.26</x:v>
      </x:c>
      <x:c r="P1123" s="60" t="n">
        <x:v>6.15</x:v>
      </x:c>
      <x:c r="Q1123" s="60" t="n">
        <x:v>57.7</x:v>
      </x:c>
      <x:c r="R1123" s="58" t="str">
        <x:v>X</x:v>
      </x:c>
      <x:c r="S1123" s="60" t="n">
        <x:v>100</x:v>
      </x:c>
      <x:c r="T1123" s="58" t="str">
        <x:v>VALID</x:v>
      </x:c>
      <x:c r="U1123" s="58" t="n">
        <x:v>338</x:v>
      </x:c>
      <x:c r="V1123" s="58" t="str">
        <x:v>Pasted text(59).txt</x:v>
      </x:c>
    </x:row>
    <x:row r="1124">
      <x:c r="A1124" s="58" t="str">
        <x:v>S12</x:v>
      </x:c>
      <x:c r="B1124" s="58" t="str">
        <x:v>1.15 safety-guard failure session</x:v>
      </x:c>
      <x:c r="C1124" s="58" t="n">
        <x:v>1.15</x:v>
      </x:c>
      <x:c r="D1124" s="58" t="n">
        <x:v>2</x:v>
      </x:c>
      <x:c r="E1124" s="58" t="n">
        <x:v>1</x:v>
      </x:c>
      <x:c r="F1124" s="58" t="str">
        <x:v>SEARCH</x:v>
      </x:c>
      <x:c r="G1124" s="58" t="n">
        <x:v>7</x:v>
      </x:c>
      <x:c r="H1124" s="59" t="n">
        <x:v>13</x:v>
      </x:c>
      <x:c r="I1124" s="59" t="n">
        <x:v>0.32497</x:v>
      </x:c>
      <x:c r="J1124" s="59" t="n">
        <x:v>0.32611</x:v>
      </x:c>
      <x:c r="K1124" s="59" t="n">
        <x:v>0.30412</x:v>
      </x:c>
      <x:c r="L1124" s="59" t="n">
        <x:v>0.23728</x:v>
      </x:c>
      <x:c r="M1124" s="59" t="n">
        <x:v>0.50609</x:v>
      </x:c>
      <x:c r="N1124" s="60" t="n">
        <x:v>-71.74</x:v>
      </x:c>
      <x:c r="O1124" s="60" t="n">
        <x:v>7.67</x:v>
      </x:c>
      <x:c r="P1124" s="60" t="n">
        <x:v>5.68</x:v>
      </x:c>
      <x:c r="Q1124" s="60" t="n">
        <x:v>60.1</x:v>
      </x:c>
      <x:c r="R1124" s="58" t="str">
        <x:v>X</x:v>
      </x:c>
      <x:c r="S1124" s="60" t="n">
        <x:v>100</x:v>
      </x:c>
      <x:c r="T1124" s="58" t="str">
        <x:v>VALID</x:v>
      </x:c>
      <x:c r="U1124" s="58" t="n">
        <x:v>339</x:v>
      </x:c>
      <x:c r="V1124" s="58" t="str">
        <x:v>Pasted text(59).txt</x:v>
      </x:c>
    </x:row>
    <x:row r="1125">
      <x:c r="A1125" s="58" t="str">
        <x:v>S12</x:v>
      </x:c>
      <x:c r="B1125" s="58" t="str">
        <x:v>1.15 safety-guard failure session</x:v>
      </x:c>
      <x:c r="C1125" s="58" t="n">
        <x:v>1.15</x:v>
      </x:c>
      <x:c r="D1125" s="58" t="n">
        <x:v>2</x:v>
      </x:c>
      <x:c r="E1125" s="58" t="n">
        <x:v>1</x:v>
      </x:c>
      <x:c r="F1125" s="58" t="str">
        <x:v>SEARCH</x:v>
      </x:c>
      <x:c r="G1125" s="58" t="n">
        <x:v>8</x:v>
      </x:c>
      <x:c r="H1125" s="59" t="n">
        <x:v>14</x:v>
      </x:c>
      <x:c r="I1125" s="59" t="n">
        <x:v>0.37447</x:v>
      </x:c>
      <x:c r="J1125" s="59" t="n">
        <x:v>0.38097</x:v>
      </x:c>
      <x:c r="K1125" s="59" t="n">
        <x:v>0.33083</x:v>
      </x:c>
      <x:c r="L1125" s="59" t="n">
        <x:v>0.22699</x:v>
      </x:c>
      <x:c r="M1125" s="59" t="n">
        <x:v>0.55329</x:v>
      </x:c>
      <x:c r="N1125" s="60" t="n">
        <x:v>-67.44</x:v>
      </x:c>
      <x:c r="O1125" s="60" t="n">
        <x:v>3.87</x:v>
      </x:c>
      <x:c r="P1125" s="60" t="n">
        <x:v>5.33</x:v>
      </x:c>
      <x:c r="Q1125" s="60" t="n">
        <x:v>67.3</x:v>
      </x:c>
      <x:c r="R1125" s="58" t="str">
        <x:v>X</x:v>
      </x:c>
      <x:c r="S1125" s="60" t="n">
        <x:v>100</x:v>
      </x:c>
      <x:c r="T1125" s="58" t="str">
        <x:v>VALID</x:v>
      </x:c>
      <x:c r="U1125" s="58" t="n">
        <x:v>340</x:v>
      </x:c>
      <x:c r="V1125" s="58" t="str">
        <x:v>Pasted text(59).txt</x:v>
      </x:c>
    </x:row>
    <x:row r="1126">
      <x:c r="A1126" s="58" t="str">
        <x:v>S12</x:v>
      </x:c>
      <x:c r="B1126" s="58" t="str">
        <x:v>1.15 safety-guard failure session</x:v>
      </x:c>
      <x:c r="C1126" s="58" t="n">
        <x:v>1.15</x:v>
      </x:c>
      <x:c r="D1126" s="58" t="n">
        <x:v>2</x:v>
      </x:c>
      <x:c r="E1126" s="58" t="n">
        <x:v>1</x:v>
      </x:c>
      <x:c r="F1126" s="58" t="str">
        <x:v>SEARCH</x:v>
      </x:c>
      <x:c r="G1126" s="58" t="n">
        <x:v>9</x:v>
      </x:c>
      <x:c r="H1126" s="59" t="n">
        <x:v>15</x:v>
      </x:c>
      <x:c r="I1126" s="59" t="n">
        <x:v>0.37972</x:v>
      </x:c>
      <x:c r="J1126" s="59" t="n">
        <x:v>0.39249</x:v>
      </x:c>
      <x:c r="K1126" s="59" t="n">
        <x:v>0.35952</x:v>
      </x:c>
      <x:c r="L1126" s="59" t="n">
        <x:v>0.26424</x:v>
      </x:c>
      <x:c r="M1126" s="59" t="n">
        <x:v>0.59448</x:v>
      </x:c>
      <x:c r="N1126" s="60" t="n">
        <x:v>-66.98</x:v>
      </x:c>
      <x:c r="O1126" s="60" t="n">
        <x:v>0.71</x:v>
      </x:c>
      <x:c r="P1126" s="60" t="n">
        <x:v>6.04</x:v>
      </x:c>
      <x:c r="Q1126" s="60" t="n">
        <x:v>69.1</x:v>
      </x:c>
      <x:c r="R1126" s="58" t="str">
        <x:v>X</x:v>
      </x:c>
      <x:c r="S1126" s="60" t="n">
        <x:v>100</x:v>
      </x:c>
      <x:c r="T1126" s="58" t="str">
        <x:v>VALID</x:v>
      </x:c>
      <x:c r="U1126" s="58" t="n">
        <x:v>341</x:v>
      </x:c>
      <x:c r="V1126" s="58" t="str">
        <x:v>Pasted text(59).txt</x:v>
      </x:c>
    </x:row>
    <x:row r="1127">
      <x:c r="A1127" s="58" t="str">
        <x:v>S12</x:v>
      </x:c>
      <x:c r="B1127" s="58" t="str">
        <x:v>1.15 safety-guard failure session</x:v>
      </x:c>
      <x:c r="C1127" s="58" t="n">
        <x:v>1.15</x:v>
      </x:c>
      <x:c r="D1127" s="58" t="n">
        <x:v>2</x:v>
      </x:c>
      <x:c r="E1127" s="58" t="n">
        <x:v>1</x:v>
      </x:c>
      <x:c r="F1127" s="58" t="str">
        <x:v>SEARCH</x:v>
      </x:c>
      <x:c r="G1127" s="58" t="n">
        <x:v>10</x:v>
      </x:c>
      <x:c r="H1127" s="59" t="n">
        <x:v>16</x:v>
      </x:c>
      <x:c r="I1127" s="59" t="n">
        <x:v>0.42616</x:v>
      </x:c>
      <x:c r="J1127" s="59" t="n">
        <x:v>0.42376</x:v>
      </x:c>
      <x:c r="K1127" s="59" t="n">
        <x:v>0.38721</x:v>
      </x:c>
      <x:c r="L1127" s="59" t="n">
        <x:v>0.25194</x:v>
      </x:c>
      <x:c r="M1127" s="59" t="n">
        <x:v>0.62696</x:v>
      </x:c>
      <x:c r="N1127" s="60" t="n">
        <x:v>-62.94</x:v>
      </x:c>
      <x:c r="O1127" s="60" t="n">
        <x:v>3.66</x:v>
      </x:c>
      <x:c r="P1127" s="60" t="n">
        <x:v>3.37</x:v>
      </x:c>
      <x:c r="Q1127" s="60" t="n">
        <x:v>72.7</x:v>
      </x:c>
      <x:c r="R1127" s="58" t="str">
        <x:v>X</x:v>
      </x:c>
      <x:c r="S1127" s="60" t="n">
        <x:v>100</x:v>
      </x:c>
      <x:c r="T1127" s="58" t="str">
        <x:v>VALID</x:v>
      </x:c>
      <x:c r="U1127" s="58" t="n">
        <x:v>342</x:v>
      </x:c>
      <x:c r="V1127" s="58" t="str">
        <x:v>Pasted text(59).txt</x:v>
      </x:c>
    </x:row>
    <x:row r="1128">
      <x:c r="A1128" s="58" t="str">
        <x:v>S12</x:v>
      </x:c>
      <x:c r="B1128" s="58" t="str">
        <x:v>1.15 safety-guard failure session</x:v>
      </x:c>
      <x:c r="C1128" s="58" t="n">
        <x:v>1.15</x:v>
      </x:c>
      <x:c r="D1128" s="58" t="n">
        <x:v>2</x:v>
      </x:c>
      <x:c r="E1128" s="58" t="n">
        <x:v>1</x:v>
      </x:c>
      <x:c r="F1128" s="58" t="str">
        <x:v>SEARCH</x:v>
      </x:c>
      <x:c r="G1128" s="58" t="n">
        <x:v>11</x:v>
      </x:c>
      <x:c r="H1128" s="59" t="n">
        <x:v>17</x:v>
      </x:c>
      <x:c r="I1128" s="59" t="n">
        <x:v>0.44308</x:v>
      </x:c>
      <x:c r="J1128" s="59" t="n">
        <x:v>0.44366</x:v>
      </x:c>
      <x:c r="K1128" s="59" t="n">
        <x:v>0.42479</x:v>
      </x:c>
      <x:c r="L1128" s="59" t="n">
        <x:v>0.25896</x:v>
      </x:c>
      <x:c r="M1128" s="59" t="n">
        <x:v>0.66677</x:v>
      </x:c>
      <x:c r="N1128" s="60" t="n">
        <x:v>-61.47</x:v>
      </x:c>
      <x:c r="O1128" s="60" t="n">
        <x:v>5.13</x:v>
      </x:c>
      <x:c r="P1128" s="60" t="n">
        <x:v>3.66</x:v>
      </x:c>
      <x:c r="Q1128" s="60" t="n">
        <x:v>72.3</x:v>
      </x:c>
      <x:c r="R1128" s="58" t="str">
        <x:v>X</x:v>
      </x:c>
      <x:c r="S1128" s="60" t="n">
        <x:v>100</x:v>
      </x:c>
      <x:c r="T1128" s="58" t="str">
        <x:v>VALID</x:v>
      </x:c>
      <x:c r="U1128" s="58" t="n">
        <x:v>343</x:v>
      </x:c>
      <x:c r="V1128" s="58" t="str">
        <x:v>Pasted text(59).txt</x:v>
      </x:c>
    </x:row>
    <x:row r="1129">
      <x:c r="A1129" s="58" t="str">
        <x:v>S12</x:v>
      </x:c>
      <x:c r="B1129" s="58" t="str">
        <x:v>1.15 safety-guard failure session</x:v>
      </x:c>
      <x:c r="C1129" s="58" t="n">
        <x:v>1.15</x:v>
      </x:c>
      <x:c r="D1129" s="58" t="n">
        <x:v>2</x:v>
      </x:c>
      <x:c r="E1129" s="58" t="n">
        <x:v>1</x:v>
      </x:c>
      <x:c r="F1129" s="58" t="str">
        <x:v>SEARCH</x:v>
      </x:c>
      <x:c r="G1129" s="58" t="n">
        <x:v>12</x:v>
      </x:c>
      <x:c r="H1129" s="59" t="n">
        <x:v>18</x:v>
      </x:c>
      <x:c r="I1129" s="59" t="n">
        <x:v>0.44883</x:v>
      </x:c>
      <x:c r="J1129" s="59" t="n">
        <x:v>0.44788</x:v>
      </x:c>
      <x:c r="K1129" s="59" t="n">
        <x:v>0.43761</x:v>
      </x:c>
      <x:c r="L1129" s="59" t="n">
        <x:v>0.27848</x:v>
      </x:c>
      <x:c r="M1129" s="59" t="n">
        <x:v>0.68612</x:v>
      </x:c>
      <x:c r="N1129" s="60" t="n">
        <x:v>-60.97</x:v>
      </x:c>
      <x:c r="O1129" s="60" t="n">
        <x:v>6.41</x:v>
      </x:c>
      <x:c r="P1129" s="60" t="n">
        <x:v>4.66</x:v>
      </x:c>
      <x:c r="Q1129" s="60" t="n">
        <x:v>71.7</x:v>
      </x:c>
      <x:c r="R1129" s="58" t="str">
        <x:v>X</x:v>
      </x:c>
      <x:c r="S1129" s="60" t="n">
        <x:v>100</x:v>
      </x:c>
      <x:c r="T1129" s="58" t="str">
        <x:v>VALID</x:v>
      </x:c>
      <x:c r="U1129" s="58" t="n">
        <x:v>344</x:v>
      </x:c>
      <x:c r="V1129" s="58" t="str">
        <x:v>Pasted text(59).txt</x:v>
      </x:c>
    </x:row>
    <x:row r="1130">
      <x:c r="A1130" s="58" t="str">
        <x:v>S12</x:v>
      </x:c>
      <x:c r="B1130" s="58" t="str">
        <x:v>1.15 safety-guard failure session</x:v>
      </x:c>
      <x:c r="C1130" s="58" t="n">
        <x:v>1.15</x:v>
      </x:c>
      <x:c r="D1130" s="58" t="n">
        <x:v>2</x:v>
      </x:c>
      <x:c r="E1130" s="58" t="n">
        <x:v>1</x:v>
      </x:c>
      <x:c r="F1130" s="58" t="str">
        <x:v>SEARCH</x:v>
      </x:c>
      <x:c r="G1130" s="58" t="n">
        <x:v>13</x:v>
      </x:c>
      <x:c r="H1130" s="59" t="n">
        <x:v>19</x:v>
      </x:c>
      <x:c r="I1130" s="59" t="n">
        <x:v>0.5037</x:v>
      </x:c>
      <x:c r="J1130" s="59" t="n">
        <x:v>0.49917</x:v>
      </x:c>
      <x:c r="K1130" s="59" t="n">
        <x:v>0.46005</x:v>
      </x:c>
      <x:c r="L1130" s="59" t="n">
        <x:v>0.26426</x:v>
      </x:c>
      <x:c r="M1130" s="59" t="n">
        <x:v>0.72908</x:v>
      </x:c>
      <x:c r="N1130" s="60" t="n">
        <x:v>-56.2</x:v>
      </x:c>
      <x:c r="O1130" s="60" t="n">
        <x:v>0.17</x:v>
      </x:c>
      <x:c r="P1130" s="60" t="n">
        <x:v>1.67</x:v>
      </x:c>
      <x:c r="Q1130" s="60" t="n">
        <x:v>78.7</x:v>
      </x:c>
      <x:c r="R1130" s="58" t="str">
        <x:v>X</x:v>
      </x:c>
      <x:c r="S1130" s="60" t="n">
        <x:v>100</x:v>
      </x:c>
      <x:c r="T1130" s="58" t="str">
        <x:v>VALID</x:v>
      </x:c>
      <x:c r="U1130" s="58" t="n">
        <x:v>345</x:v>
      </x:c>
      <x:c r="V1130" s="58" t="str">
        <x:v>Pasted text(59).txt</x:v>
      </x:c>
    </x:row>
    <x:row r="1131">
      <x:c r="A1131" s="58" t="str">
        <x:v>S12</x:v>
      </x:c>
      <x:c r="B1131" s="58" t="str">
        <x:v>1.15 safety-guard failure session</x:v>
      </x:c>
      <x:c r="C1131" s="58" t="n">
        <x:v>1.15</x:v>
      </x:c>
      <x:c r="D1131" s="58" t="n">
        <x:v>2</x:v>
      </x:c>
      <x:c r="E1131" s="58" t="n">
        <x:v>1</x:v>
      </x:c>
      <x:c r="F1131" s="58" t="str">
        <x:v>SEARCH</x:v>
      </x:c>
      <x:c r="G1131" s="58" t="n">
        <x:v>14</x:v>
      </x:c>
      <x:c r="H1131" s="59" t="n">
        <x:v>20</x:v>
      </x:c>
      <x:c r="I1131" s="59" t="n">
        <x:v>0.49039</x:v>
      </x:c>
      <x:c r="J1131" s="59" t="n">
        <x:v>0.49201</x:v>
      </x:c>
      <x:c r="K1131" s="59" t="n">
        <x:v>0.47761</x:v>
      </x:c>
      <x:c r="L1131" s="59" t="n">
        <x:v>0.28982</x:v>
      </x:c>
      <x:c r="M1131" s="59" t="n">
        <x:v>0.74464</x:v>
      </x:c>
      <x:c r="N1131" s="60" t="n">
        <x:v>-57.36</x:v>
      </x:c>
      <x:c r="O1131" s="60" t="n">
        <x:v>4.22</x:v>
      </x:c>
      <x:c r="P1131" s="60" t="n">
        <x:v>3.34</x:v>
      </x:c>
      <x:c r="Q1131" s="60" t="n">
        <x:v>76</x:v>
      </x:c>
      <x:c r="R1131" s="58" t="str">
        <x:v>X</x:v>
      </x:c>
      <x:c r="S1131" s="60" t="n">
        <x:v>100</x:v>
      </x:c>
      <x:c r="T1131" s="58" t="str">
        <x:v>VALID</x:v>
      </x:c>
      <x:c r="U1131" s="58" t="n">
        <x:v>346</x:v>
      </x:c>
      <x:c r="V1131" s="58" t="str">
        <x:v>Pasted text(59).txt</x:v>
      </x:c>
    </x:row>
    <x:row r="1132">
      <x:c r="A1132" s="58" t="str">
        <x:v>S12</x:v>
      </x:c>
      <x:c r="B1132" s="58" t="str">
        <x:v>1.15 safety-guard failure session</x:v>
      </x:c>
      <x:c r="C1132" s="58" t="n">
        <x:v>1.15</x:v>
      </x:c>
      <x:c r="D1132" s="58" t="n">
        <x:v>2</x:v>
      </x:c>
      <x:c r="E1132" s="58" t="n">
        <x:v>1</x:v>
      </x:c>
      <x:c r="F1132" s="58" t="str">
        <x:v>SEARCH</x:v>
      </x:c>
      <x:c r="G1132" s="58" t="n">
        <x:v>15</x:v>
      </x:c>
      <x:c r="H1132" s="59" t="n">
        <x:v>21</x:v>
      </x:c>
      <x:c r="I1132" s="59" t="n">
        <x:v>0.51884</x:v>
      </x:c>
      <x:c r="J1132" s="59" t="n">
        <x:v>0.51715</x:v>
      </x:c>
      <x:c r="K1132" s="59" t="n">
        <x:v>0.51089</x:v>
      </x:c>
      <x:c r="L1132" s="59" t="n">
        <x:v>0.26875</x:v>
      </x:c>
      <x:c r="M1132" s="59" t="n">
        <x:v>0.77526</x:v>
      </x:c>
      <x:c r="N1132" s="60" t="n">
        <x:v>-54.88</x:v>
      </x:c>
      <x:c r="O1132" s="60" t="n">
        <x:v>4.15</x:v>
      </x:c>
      <x:c r="P1132" s="60" t="n">
        <x:v>3.31</x:v>
      </x:c>
      <x:c r="Q1132" s="60" t="n">
        <x:v>81.2</x:v>
      </x:c>
      <x:c r="R1132" s="58" t="str">
        <x:v>X</x:v>
      </x:c>
      <x:c r="S1132" s="60" t="n">
        <x:v>100</x:v>
      </x:c>
      <x:c r="T1132" s="58" t="str">
        <x:v>VALID</x:v>
      </x:c>
      <x:c r="U1132" s="58" t="n">
        <x:v>347</x:v>
      </x:c>
      <x:c r="V1132" s="58" t="str">
        <x:v>Pasted text(59).txt</x:v>
      </x:c>
    </x:row>
    <x:row r="1133">
      <x:c r="A1133" s="58" t="str">
        <x:v>S12</x:v>
      </x:c>
      <x:c r="B1133" s="58" t="str">
        <x:v>1.15 safety-guard failure session</x:v>
      </x:c>
      <x:c r="C1133" s="58" t="n">
        <x:v>1.15</x:v>
      </x:c>
      <x:c r="D1133" s="58" t="n">
        <x:v>2</x:v>
      </x:c>
      <x:c r="E1133" s="58" t="n">
        <x:v>1</x:v>
      </x:c>
      <x:c r="F1133" s="58" t="str">
        <x:v>SEARCH</x:v>
      </x:c>
      <x:c r="G1133" s="58" t="n">
        <x:v>16</x:v>
      </x:c>
      <x:c r="H1133" s="59" t="n">
        <x:v>22</x:v>
      </x:c>
      <x:c r="I1133" s="59" t="n">
        <x:v>0.54704</x:v>
      </x:c>
      <x:c r="J1133" s="59" t="n">
        <x:v>0.54503</x:v>
      </x:c>
      <x:c r="K1133" s="59" t="n">
        <x:v>0.53002</x:v>
      </x:c>
      <x:c r="L1133" s="59" t="n">
        <x:v>0.27017</x:v>
      </x:c>
      <x:c r="M1133" s="59" t="n">
        <x:v>0.80712</x:v>
      </x:c>
      <x:c r="N1133" s="60" t="n">
        <x:v>-52.43</x:v>
      </x:c>
      <x:c r="O1133" s="60" t="n">
        <x:v>2.69</x:v>
      </x:c>
      <x:c r="P1133" s="60" t="n">
        <x:v>2.39</x:v>
      </x:c>
      <x:c r="Q1133" s="60" t="n">
        <x:v>82.9</x:v>
      </x:c>
      <x:c r="R1133" s="58" t="str">
        <x:v>X</x:v>
      </x:c>
      <x:c r="S1133" s="60" t="n">
        <x:v>100</x:v>
      </x:c>
      <x:c r="T1133" s="58" t="str">
        <x:v>VALID</x:v>
      </x:c>
      <x:c r="U1133" s="58" t="n">
        <x:v>348</x:v>
      </x:c>
      <x:c r="V1133" s="58" t="str">
        <x:v>Pasted text(59).txt</x:v>
      </x:c>
    </x:row>
    <x:row r="1134">
      <x:c r="A1134" s="58" t="str">
        <x:v>S12</x:v>
      </x:c>
      <x:c r="B1134" s="58" t="str">
        <x:v>1.15 safety-guard failure session</x:v>
      </x:c>
      <x:c r="C1134" s="58" t="n">
        <x:v>1.15</x:v>
      </x:c>
      <x:c r="D1134" s="58" t="n">
        <x:v>2</x:v>
      </x:c>
      <x:c r="E1134" s="58" t="n">
        <x:v>1</x:v>
      </x:c>
      <x:c r="F1134" s="58" t="str">
        <x:v>SEARCH</x:v>
      </x:c>
      <x:c r="G1134" s="58" t="n">
        <x:v>17</x:v>
      </x:c>
      <x:c r="H1134" s="59" t="n">
        <x:v>23</x:v>
      </x:c>
      <x:c r="I1134" s="59" t="n">
        <x:v>0.58626</x:v>
      </x:c>
      <x:c r="J1134" s="59" t="n">
        <x:v>0.58741</x:v>
      </x:c>
      <x:c r="K1134" s="59" t="n">
        <x:v>0.56239</x:v>
      </x:c>
      <x:c r="L1134" s="59" t="n">
        <x:v>0.24911</x:v>
      </x:c>
      <x:c r="M1134" s="59" t="n">
        <x:v>0.85107</x:v>
      </x:c>
      <x:c r="N1134" s="60" t="n">
        <x:v>-49.02</x:v>
      </x:c>
      <x:c r="O1134" s="60" t="n">
        <x:v>0.52</x:v>
      </x:c>
      <x:c r="P1134" s="60" t="n">
        <x:v>0.67</x:v>
      </x:c>
      <x:c r="Q1134" s="60" t="n">
        <x:v>86.2</x:v>
      </x:c>
      <x:c r="R1134" s="58" t="str">
        <x:v>X</x:v>
      </x:c>
      <x:c r="S1134" s="60" t="n">
        <x:v>100</x:v>
      </x:c>
      <x:c r="T1134" s="58" t="str">
        <x:v>VALID</x:v>
      </x:c>
      <x:c r="U1134" s="58" t="n">
        <x:v>349</x:v>
      </x:c>
      <x:c r="V1134" s="58" t="str">
        <x:v>Pasted text(59).txt</x:v>
      </x:c>
    </x:row>
    <x:row r="1135">
      <x:c r="A1135" s="58" t="str">
        <x:v>S12</x:v>
      </x:c>
      <x:c r="B1135" s="58" t="str">
        <x:v>1.15 safety-guard failure session</x:v>
      </x:c>
      <x:c r="C1135" s="58" t="n">
        <x:v>1.15</x:v>
      </x:c>
      <x:c r="D1135" s="58" t="n">
        <x:v>2</x:v>
      </x:c>
      <x:c r="E1135" s="58" t="n">
        <x:v>1</x:v>
      </x:c>
      <x:c r="F1135" s="58" t="str">
        <x:v>SEARCH</x:v>
      </x:c>
      <x:c r="G1135" s="58" t="n">
        <x:v>18</x:v>
      </x:c>
      <x:c r="H1135" s="59" t="n">
        <x:v>24</x:v>
      </x:c>
      <x:c r="I1135" s="59" t="n">
        <x:v>0.60022</x:v>
      </x:c>
      <x:c r="J1135" s="59" t="n">
        <x:v>0.59572</x:v>
      </x:c>
      <x:c r="K1135" s="59" t="n">
        <x:v>0.57978</x:v>
      </x:c>
      <x:c r="L1135" s="59" t="n">
        <x:v>0.24763</x:v>
      </x:c>
      <x:c r="M1135" s="59" t="n">
        <x:v>0.86762</x:v>
      </x:c>
      <x:c r="N1135" s="60" t="n">
        <x:v>-47.81</x:v>
      </x:c>
      <x:c r="O1135" s="60" t="n">
        <x:v>0.35</x:v>
      </x:c>
      <x:c r="P1135" s="60" t="n">
        <x:v>1.52</x:v>
      </x:c>
      <x:c r="Q1135" s="60" t="n">
        <x:v>85.4</x:v>
      </x:c>
      <x:c r="R1135" s="58" t="str">
        <x:v>X</x:v>
      </x:c>
      <x:c r="S1135" s="60" t="n">
        <x:v>100</x:v>
      </x:c>
      <x:c r="T1135" s="58" t="str">
        <x:v>VALID</x:v>
      </x:c>
      <x:c r="U1135" s="58" t="n">
        <x:v>350</x:v>
      </x:c>
      <x:c r="V1135" s="58" t="str">
        <x:v>Pasted text(59).txt</x:v>
      </x:c>
    </x:row>
    <x:row r="1136">
      <x:c r="A1136" s="58" t="str">
        <x:v>S12</x:v>
      </x:c>
      <x:c r="B1136" s="58" t="str">
        <x:v>1.15 safety-guard failure session</x:v>
      </x:c>
      <x:c r="C1136" s="58" t="n">
        <x:v>1.15</x:v>
      </x:c>
      <x:c r="D1136" s="58" t="n">
        <x:v>2</x:v>
      </x:c>
      <x:c r="E1136" s="58" t="n">
        <x:v>1</x:v>
      </x:c>
      <x:c r="F1136" s="58" t="str">
        <x:v>SEARCH</x:v>
      </x:c>
      <x:c r="G1136" s="58" t="n">
        <x:v>19</x:v>
      </x:c>
      <x:c r="H1136" s="59" t="n">
        <x:v>25</x:v>
      </x:c>
      <x:c r="I1136" s="59" t="n">
        <x:v>0.65014</x:v>
      </x:c>
      <x:c r="J1136" s="59" t="n">
        <x:v>0.64469</x:v>
      </x:c>
      <x:c r="K1136" s="59" t="n">
        <x:v>0.62886</x:v>
      </x:c>
      <x:c r="L1136" s="59" t="n">
        <x:v>0.24882</x:v>
      </x:c>
      <x:c r="M1136" s="59" t="n">
        <x:v>0.93517</x:v>
      </x:c>
      <x:c r="N1136" s="60" t="n">
        <x:v>-43.47</x:v>
      </x:c>
      <x:c r="O1136" s="60" t="n">
        <x:v>0.55</x:v>
      </x:c>
      <x:c r="P1136" s="60" t="n">
        <x:v>1.8</x:v>
      </x:c>
      <x:c r="Q1136" s="60" t="n">
        <x:v>87.6</x:v>
      </x:c>
      <x:c r="R1136" s="58" t="str">
        <x:v>X</x:v>
      </x:c>
      <x:c r="S1136" s="60" t="n">
        <x:v>100</x:v>
      </x:c>
      <x:c r="T1136" s="58" t="str">
        <x:v>VALID</x:v>
      </x:c>
      <x:c r="U1136" s="58" t="n">
        <x:v>351</x:v>
      </x:c>
      <x:c r="V1136" s="58" t="str">
        <x:v>Pasted text(59).txt</x:v>
      </x:c>
    </x:row>
    <x:row r="1137">
      <x:c r="A1137" s="58" t="str">
        <x:v>S12</x:v>
      </x:c>
      <x:c r="B1137" s="58" t="str">
        <x:v>1.15 safety-guard failure session</x:v>
      </x:c>
      <x:c r="C1137" s="58" t="n">
        <x:v>1.15</x:v>
      </x:c>
      <x:c r="D1137" s="58" t="n">
        <x:v>2</x:v>
      </x:c>
      <x:c r="E1137" s="58" t="n">
        <x:v>1</x:v>
      </x:c>
      <x:c r="F1137" s="58" t="str">
        <x:v>SEARCH</x:v>
      </x:c>
      <x:c r="G1137" s="58" t="n">
        <x:v>20</x:v>
      </x:c>
      <x:c r="H1137" s="59" t="n">
        <x:v>26</x:v>
      </x:c>
      <x:c r="I1137" s="59" t="n">
        <x:v>0.64546</x:v>
      </x:c>
      <x:c r="J1137" s="59" t="n">
        <x:v>0.6456</x:v>
      </x:c>
      <x:c r="K1137" s="59" t="n">
        <x:v>0.63078</x:v>
      </x:c>
      <x:c r="L1137" s="59" t="n">
        <x:v>0.26103</x:v>
      </x:c>
      <x:c r="M1137" s="59" t="n">
        <x:v>0.93969</x:v>
      </x:c>
      <x:c r="N1137" s="60" t="n">
        <x:v>-43.87</x:v>
      </x:c>
      <x:c r="O1137" s="60" t="n">
        <x:v>1.3</x:v>
      </x:c>
      <x:c r="P1137" s="60" t="n">
        <x:v>0.91</x:v>
      </x:c>
      <x:c r="Q1137" s="60" t="n">
        <x:v>86.7</x:v>
      </x:c>
      <x:c r="R1137" s="58" t="str">
        <x:v>X</x:v>
      </x:c>
      <x:c r="S1137" s="60" t="n">
        <x:v>100</x:v>
      </x:c>
      <x:c r="T1137" s="58" t="str">
        <x:v>VALID</x:v>
      </x:c>
      <x:c r="U1137" s="58" t="n">
        <x:v>352</x:v>
      </x:c>
      <x:c r="V1137" s="58" t="str">
        <x:v>Pasted text(59).txt</x:v>
      </x:c>
    </x:row>
    <x:row r="1138">
      <x:c r="A1138" s="58" t="str">
        <x:v>S12</x:v>
      </x:c>
      <x:c r="B1138" s="58" t="str">
        <x:v>1.15 safety-guard failure session</x:v>
      </x:c>
      <x:c r="C1138" s="58" t="n">
        <x:v>1.15</x:v>
      </x:c>
      <x:c r="D1138" s="58" t="n">
        <x:v>2</x:v>
      </x:c>
      <x:c r="E1138" s="58" t="n">
        <x:v>1</x:v>
      </x:c>
      <x:c r="F1138" s="58" t="str">
        <x:v>SEARCH</x:v>
      </x:c>
      <x:c r="G1138" s="58" t="n">
        <x:v>21</x:v>
      </x:c>
      <x:c r="H1138" s="59" t="n">
        <x:v>27</x:v>
      </x:c>
      <x:c r="I1138" s="59" t="n">
        <x:v>0.65546</x:v>
      </x:c>
      <x:c r="J1138" s="59" t="n">
        <x:v>0.66429</x:v>
      </x:c>
      <x:c r="K1138" s="59" t="n">
        <x:v>0.65011</x:v>
      </x:c>
      <x:c r="L1138" s="59" t="n">
        <x:v>0.1929</x:v>
      </x:c>
      <x:c r="M1138" s="59" t="n">
        <x:v>0.94941</x:v>
      </x:c>
      <x:c r="N1138" s="60" t="n">
        <x:v>-43</x:v>
      </x:c>
      <x:c r="O1138" s="60" t="n">
        <x:v>1.48</x:v>
      </x:c>
      <x:c r="P1138" s="60" t="n">
        <x:v>3.19</x:v>
      </x:c>
      <x:c r="Q1138" s="60" t="n">
        <x:v>86.9</x:v>
      </x:c>
      <x:c r="R1138" s="58" t="str">
        <x:v>X</x:v>
      </x:c>
      <x:c r="S1138" s="60" t="n">
        <x:v>100</x:v>
      </x:c>
      <x:c r="T1138" s="58" t="str">
        <x:v>VALID</x:v>
      </x:c>
      <x:c r="U1138" s="58" t="n">
        <x:v>353</x:v>
      </x:c>
      <x:c r="V1138" s="58" t="str">
        <x:v>Pasted text(59).txt</x:v>
      </x:c>
    </x:row>
    <x:row r="1139">
      <x:c r="A1139" s="58" t="str">
        <x:v>S12</x:v>
      </x:c>
      <x:c r="B1139" s="58" t="str">
        <x:v>1.15 safety-guard failure session</x:v>
      </x:c>
      <x:c r="C1139" s="58" t="n">
        <x:v>1.15</x:v>
      </x:c>
      <x:c r="D1139" s="58" t="n">
        <x:v>2</x:v>
      </x:c>
      <x:c r="E1139" s="58" t="n">
        <x:v>1</x:v>
      </x:c>
      <x:c r="F1139" s="58" t="str">
        <x:v>SEARCH</x:v>
      </x:c>
      <x:c r="G1139" s="58" t="n">
        <x:v>22</x:v>
      </x:c>
      <x:c r="H1139" s="59" t="n">
        <x:v>28</x:v>
      </x:c>
      <x:c r="I1139" s="59" t="n">
        <x:v>0.69426</x:v>
      </x:c>
      <x:c r="J1139" s="59" t="n">
        <x:v>0.69935</x:v>
      </x:c>
      <x:c r="K1139" s="59" t="n">
        <x:v>0.64995</x:v>
      </x:c>
      <x:c r="L1139" s="59" t="n">
        <x:v>0.14958</x:v>
      </x:c>
      <x:c r="M1139" s="59" t="n">
        <x:v>0.96946</x:v>
      </x:c>
      <x:c r="N1139" s="60" t="n">
        <x:v>-39.63</x:v>
      </x:c>
      <x:c r="O1139" s="60" t="n">
        <x:v>3.3</x:v>
      </x:c>
      <x:c r="P1139" s="60" t="n">
        <x:v>3.36</x:v>
      </x:c>
      <x:c r="Q1139" s="60" t="n">
        <x:v>86.7</x:v>
      </x:c>
      <x:c r="R1139" s="58" t="str">
        <x:v>X</x:v>
      </x:c>
      <x:c r="S1139" s="60" t="n">
        <x:v>100</x:v>
      </x:c>
      <x:c r="T1139" s="58" t="str">
        <x:v>VALID</x:v>
      </x:c>
      <x:c r="U1139" s="58" t="n">
        <x:v>354</x:v>
      </x:c>
      <x:c r="V1139" s="58" t="str">
        <x:v>Pasted text(59).txt</x:v>
      </x:c>
    </x:row>
    <x:row r="1140">
      <x:c r="A1140" s="58" t="str">
        <x:v>S12</x:v>
      </x:c>
      <x:c r="B1140" s="58" t="str">
        <x:v>1.15 safety-guard failure session</x:v>
      </x:c>
      <x:c r="C1140" s="58" t="n">
        <x:v>1.15</x:v>
      </x:c>
      <x:c r="D1140" s="58" t="n">
        <x:v>2</x:v>
      </x:c>
      <x:c r="E1140" s="58" t="n">
        <x:v>1</x:v>
      </x:c>
      <x:c r="F1140" s="58" t="str">
        <x:v>SEARCH</x:v>
      </x:c>
      <x:c r="G1140" s="58" t="n">
        <x:v>23</x:v>
      </x:c>
      <x:c r="H1140" s="59" t="n">
        <x:v>28.5</x:v>
      </x:c>
      <x:c r="I1140" s="59" t="n">
        <x:v>0.68153</x:v>
      </x:c>
      <x:c r="J1140" s="59" t="n">
        <x:v>0.68366</x:v>
      </x:c>
      <x:c r="K1140" s="59" t="n">
        <x:v>0.68797</x:v>
      </x:c>
      <x:c r="L1140" s="59" t="n">
        <x:v>0.23582</x:v>
      </x:c>
      <x:c r="M1140" s="59" t="n">
        <x:v>0.99876</x:v>
      </x:c>
      <x:c r="N1140" s="60" t="n">
        <x:v>-40.74</x:v>
      </x:c>
      <x:c r="O1140" s="60" t="n">
        <x:v>0.49</x:v>
      </x:c>
      <x:c r="P1140" s="60" t="n">
        <x:v>0.84</x:v>
      </x:c>
      <x:c r="Q1140" s="60" t="n">
        <x:v>84.6</x:v>
      </x:c>
      <x:c r="R1140" s="58" t="str">
        <x:v>Y</x:v>
      </x:c>
      <x:c r="S1140" s="60" t="n">
        <x:v>99.4</x:v>
      </x:c>
      <x:c r="T1140" s="58" t="str">
        <x:v>VALID</x:v>
      </x:c>
      <x:c r="U1140" s="58" t="n">
        <x:v>355</x:v>
      </x:c>
      <x:c r="V1140" s="58" t="str">
        <x:v>Pasted text(59).txt</x:v>
      </x:c>
    </x:row>
    <x:row r="1141">
      <x:c r="A1141" s="58" t="str">
        <x:v>S12</x:v>
      </x:c>
      <x:c r="B1141" s="58" t="str">
        <x:v>1.15 safety-guard failure session</x:v>
      </x:c>
      <x:c r="C1141" s="58" t="n">
        <x:v>1.15</x:v>
      </x:c>
      <x:c r="D1141" s="58" t="n">
        <x:v>2</x:v>
      </x:c>
      <x:c r="E1141" s="58" t="n">
        <x:v>1</x:v>
      </x:c>
      <x:c r="F1141" s="58" t="str">
        <x:v>SEARCH</x:v>
      </x:c>
      <x:c r="G1141" s="58" t="n">
        <x:v>24</x:v>
      </x:c>
      <x:c r="H1141" s="59" t="n">
        <x:v>29.5</x:v>
      </x:c>
      <x:c r="I1141" s="59" t="n">
        <x:v>0.72171</x:v>
      </x:c>
      <x:c r="J1141" s="59" t="n">
        <x:v>0.70772</x:v>
      </x:c>
      <x:c r="K1141" s="59" t="n">
        <x:v>0.723</x:v>
      </x:c>
      <x:c r="L1141" s="59" t="n">
        <x:v>0.20874</x:v>
      </x:c>
      <x:c r="M1141" s="59" t="n">
        <x:v>1.03389</x:v>
      </x:c>
      <x:c r="N1141" s="60" t="n">
        <x:v>-37.24</x:v>
      </x:c>
      <x:c r="O1141" s="60" t="n">
        <x:v>0.32</x:v>
      </x:c>
      <x:c r="P1141" s="60" t="n">
        <x:v>3.62</x:v>
      </x:c>
      <x:c r="Q1141" s="60" t="n">
        <x:v>87.8</x:v>
      </x:c>
      <x:c r="R1141" s="58" t="str">
        <x:v>Y</x:v>
      </x:c>
      <x:c r="S1141" s="60" t="n">
        <x:v>97.9</x:v>
      </x:c>
      <x:c r="T1141" s="58" t="str">
        <x:v>VALID</x:v>
      </x:c>
      <x:c r="U1141" s="58" t="n">
        <x:v>356</x:v>
      </x:c>
      <x:c r="V1141" s="58" t="str">
        <x:v>Pasted text(59).txt</x:v>
      </x:c>
    </x:row>
    <x:row r="1142">
      <x:c r="A1142" s="58" t="str">
        <x:v>S12</x:v>
      </x:c>
      <x:c r="B1142" s="58" t="str">
        <x:v>1.15 safety-guard failure session</x:v>
      </x:c>
      <x:c r="C1142" s="58" t="n">
        <x:v>1.15</x:v>
      </x:c>
      <x:c r="D1142" s="58" t="n">
        <x:v>2</x:v>
      </x:c>
      <x:c r="E1142" s="58" t="n">
        <x:v>1</x:v>
      </x:c>
      <x:c r="F1142" s="58" t="str">
        <x:v>SEARCH</x:v>
      </x:c>
      <x:c r="G1142" s="58" t="n">
        <x:v>25</x:v>
      </x:c>
      <x:c r="H1142" s="59" t="n">
        <x:v>30</x:v>
      </x:c>
      <x:c r="I1142" s="59" t="n">
        <x:v>0.7358</x:v>
      </x:c>
      <x:c r="J1142" s="59" t="n">
        <x:v>0.75287</x:v>
      </x:c>
      <x:c r="K1142" s="59" t="n">
        <x:v>0.73315</x:v>
      </x:c>
      <x:c r="L1142" s="59" t="n">
        <x:v>0.19481</x:v>
      </x:c>
      <x:c r="M1142" s="59" t="n">
        <x:v>1.0692</x:v>
      </x:c>
      <x:c r="N1142" s="60" t="n">
        <x:v>-36.02</x:v>
      </x:c>
      <x:c r="O1142" s="60" t="n">
        <x:v>1.87</x:v>
      </x:c>
      <x:c r="P1142" s="60" t="n">
        <x:v>5.03</x:v>
      </x:c>
      <x:c r="Q1142" s="60" t="n">
        <x:v>87</x:v>
      </x:c>
      <x:c r="R1142" s="58" t="str">
        <x:v>X</x:v>
      </x:c>
      <x:c r="S1142" s="60" t="n">
        <x:v>100</x:v>
      </x:c>
      <x:c r="T1142" s="58" t="str">
        <x:v>VALID</x:v>
      </x:c>
      <x:c r="U1142" s="58" t="n">
        <x:v>357</x:v>
      </x:c>
      <x:c r="V1142" s="58" t="str">
        <x:v>Pasted text(59).txt</x:v>
      </x:c>
    </x:row>
    <x:row r="1143">
      <x:c r="A1143" s="58" t="str">
        <x:v>S12</x:v>
      </x:c>
      <x:c r="B1143" s="58" t="str">
        <x:v>1.15 safety-guard failure session</x:v>
      </x:c>
      <x:c r="C1143" s="58" t="n">
        <x:v>1.15</x:v>
      </x:c>
      <x:c r="D1143" s="58" t="n">
        <x:v>2</x:v>
      </x:c>
      <x:c r="E1143" s="58" t="n">
        <x:v>2</x:v>
      </x:c>
      <x:c r="F1143" s="58" t="str">
        <x:v>SEARCH</x:v>
      </x:c>
      <x:c r="G1143" s="58" t="n">
        <x:v>1</x:v>
      </x:c>
      <x:c r="H1143" s="59" t="n">
        <x:v>1</x:v>
      </x:c>
      <x:c r="I1143" s="59" t="n">
        <x:v>0.01676</x:v>
      </x:c>
      <x:c r="J1143" s="59" t="n">
        <x:v>0.01708</x:v>
      </x:c>
      <x:c r="K1143" s="59" t="n">
        <x:v>0.02113</x:v>
      </x:c>
      <x:c r="L1143" s="59" t="n">
        <x:v>0.03053</x:v>
      </x:c>
      <x:c r="M1143" s="59" t="n">
        <x:v>0.04236</x:v>
      </x:c>
      <x:c r="N1143" s="60" t="n">
        <x:v>-98.54</x:v>
      </x:c>
      <x:c r="O1143" s="60" t="n">
        <x:v>39.88</x:v>
      </x:c>
      <x:c r="P1143" s="60" t="n">
        <x:v>29.31</x:v>
      </x:c>
      <x:c r="Q1143" s="60" t="n">
        <x:v>6.8</x:v>
      </x:c>
      <x:c r="R1143" s="58" t="str">
        <x:v>Z</x:v>
      </x:c>
      <x:c r="S1143" s="60" t="n">
        <x:v>56</x:v>
      </x:c>
      <x:c r="T1143" s="58" t="str">
        <x:v>BELOW MEASUREMENT FLOOR — SEARCH CONTINUES</x:v>
      </x:c>
      <x:c r="U1143" s="58" t="n">
        <x:v>364</x:v>
      </x:c>
      <x:c r="V1143" s="58" t="str">
        <x:v>Pasted text(59).txt</x:v>
      </x:c>
    </x:row>
    <x:row r="1144">
      <x:c r="A1144" s="58" t="str">
        <x:v>S12</x:v>
      </x:c>
      <x:c r="B1144" s="58" t="str">
        <x:v>1.15 safety-guard failure session</x:v>
      </x:c>
      <x:c r="C1144" s="58" t="n">
        <x:v>1.15</x:v>
      </x:c>
      <x:c r="D1144" s="58" t="n">
        <x:v>2</x:v>
      </x:c>
      <x:c r="E1144" s="58" t="n">
        <x:v>2</x:v>
      </x:c>
      <x:c r="F1144" s="58" t="str">
        <x:v>SEARCH</x:v>
      </x:c>
      <x:c r="G1144" s="58" t="n">
        <x:v>2</x:v>
      </x:c>
      <x:c r="H1144" s="59" t="n">
        <x:v>3</x:v>
      </x:c>
      <x:c r="I1144" s="59" t="n">
        <x:v>0.06158</x:v>
      </x:c>
      <x:c r="J1144" s="59" t="n">
        <x:v>0.05995</x:v>
      </x:c>
      <x:c r="K1144" s="59" t="n">
        <x:v>0.04797</x:v>
      </x:c>
      <x:c r="L1144" s="59" t="n">
        <x:v>0.0698</x:v>
      </x:c>
      <x:c r="M1144" s="59" t="n">
        <x:v>0.105</x:v>
      </x:c>
      <x:c r="N1144" s="60" t="n">
        <x:v>-94.65</x:v>
      </x:c>
      <x:c r="O1144" s="60" t="n">
        <x:v>7.45</x:v>
      </x:c>
      <x:c r="P1144" s="60" t="n">
        <x:v>9.54</x:v>
      </x:c>
      <x:c r="Q1144" s="60" t="n">
        <x:v>16.7</x:v>
      </x:c>
      <x:c r="R1144" s="58" t="str">
        <x:v>Z</x:v>
      </x:c>
      <x:c r="S1144" s="60" t="n">
        <x:v>85.9</x:v>
      </x:c>
      <x:c r="T1144" s="58" t="str">
        <x:v>BELOW MEASUREMENT FLOOR — SEARCH CONTINUES</x:v>
      </x:c>
      <x:c r="U1144" s="58" t="n">
        <x:v>365</x:v>
      </x:c>
      <x:c r="V1144" s="58" t="str">
        <x:v>Pasted text(59).txt</x:v>
      </x:c>
    </x:row>
    <x:row r="1145">
      <x:c r="A1145" s="58" t="str">
        <x:v>S12</x:v>
      </x:c>
      <x:c r="B1145" s="58" t="str">
        <x:v>1.15 safety-guard failure session</x:v>
      </x:c>
      <x:c r="C1145" s="58" t="n">
        <x:v>1.15</x:v>
      </x:c>
      <x:c r="D1145" s="58" t="n">
        <x:v>2</x:v>
      </x:c>
      <x:c r="E1145" s="58" t="n">
        <x:v>2</x:v>
      </x:c>
      <x:c r="F1145" s="58" t="str">
        <x:v>SEARCH</x:v>
      </x:c>
      <x:c r="G1145" s="58" t="n">
        <x:v>3</x:v>
      </x:c>
      <x:c r="H1145" s="59" t="n">
        <x:v>5</x:v>
      </x:c>
      <x:c r="I1145" s="59" t="n">
        <x:v>0.11727</x:v>
      </x:c>
      <x:c r="J1145" s="59" t="n">
        <x:v>0.11127</x:v>
      </x:c>
      <x:c r="K1145" s="59" t="n">
        <x:v>0.09956</x:v>
      </x:c>
      <x:c r="L1145" s="59" t="n">
        <x:v>0.12935</x:v>
      </x:c>
      <x:c r="M1145" s="59" t="n">
        <x:v>0.19815</x:v>
      </x:c>
      <x:c r="N1145" s="60" t="n">
        <x:v>-89.8</x:v>
      </x:c>
      <x:c r="O1145" s="60" t="n">
        <x:v>2.16</x:v>
      </x:c>
      <x:c r="P1145" s="60" t="n">
        <x:v>10.68</x:v>
      </x:c>
      <x:c r="Q1145" s="60" t="n">
        <x:v>29.2</x:v>
      </x:c>
      <x:c r="R1145" s="58" t="str">
        <x:v>Z</x:v>
      </x:c>
      <x:c r="S1145" s="60" t="n">
        <x:v>86</x:v>
      </x:c>
      <x:c r="T1145" s="58" t="str">
        <x:v>UNSTABLE — SEARCH CONTINUES</x:v>
      </x:c>
      <x:c r="U1145" s="58" t="n">
        <x:v>366</x:v>
      </x:c>
      <x:c r="V1145" s="58" t="str">
        <x:v>Pasted text(59).txt</x:v>
      </x:c>
    </x:row>
    <x:row r="1146">
      <x:c r="A1146" s="58" t="str">
        <x:v>S12</x:v>
      </x:c>
      <x:c r="B1146" s="58" t="str">
        <x:v>1.15 safety-guard failure session</x:v>
      </x:c>
      <x:c r="C1146" s="58" t="n">
        <x:v>1.15</x:v>
      </x:c>
      <x:c r="D1146" s="58" t="n">
        <x:v>2</x:v>
      </x:c>
      <x:c r="E1146" s="58" t="n">
        <x:v>2</x:v>
      </x:c>
      <x:c r="F1146" s="58" t="str">
        <x:v>SEARCH</x:v>
      </x:c>
      <x:c r="G1146" s="58" t="n">
        <x:v>4</x:v>
      </x:c>
      <x:c r="H1146" s="59" t="n">
        <x:v>7</x:v>
      </x:c>
      <x:c r="I1146" s="59" t="n">
        <x:v>0.18575</x:v>
      </x:c>
      <x:c r="J1146" s="59" t="n">
        <x:v>0.18568</x:v>
      </x:c>
      <x:c r="K1146" s="59" t="n">
        <x:v>0.16591</x:v>
      </x:c>
      <x:c r="L1146" s="59" t="n">
        <x:v>0.18187</x:v>
      </x:c>
      <x:c r="M1146" s="59" t="n">
        <x:v>0.30875</x:v>
      </x:c>
      <x:c r="N1146" s="60" t="n">
        <x:v>-83.85</x:v>
      </x:c>
      <x:c r="O1146" s="60" t="n">
        <x:v>6.02</x:v>
      </x:c>
      <x:c r="P1146" s="60" t="n">
        <x:v>4.12</x:v>
      </x:c>
      <x:c r="Q1146" s="60" t="n">
        <x:v>44.7</x:v>
      </x:c>
      <x:c r="R1146" s="58" t="str">
        <x:v>X</x:v>
      </x:c>
      <x:c r="S1146" s="60" t="n">
        <x:v>100</x:v>
      </x:c>
      <x:c r="T1146" s="58" t="str">
        <x:v>UNSTABLE — SEARCH CONTINUES</x:v>
      </x:c>
      <x:c r="U1146" s="58" t="n">
        <x:v>367</x:v>
      </x:c>
      <x:c r="V1146" s="58" t="str">
        <x:v>Pasted text(59).txt</x:v>
      </x:c>
    </x:row>
    <x:row r="1147">
      <x:c r="A1147" s="58" t="str">
        <x:v>S12</x:v>
      </x:c>
      <x:c r="B1147" s="58" t="str">
        <x:v>1.15 safety-guard failure session</x:v>
      </x:c>
      <x:c r="C1147" s="58" t="n">
        <x:v>1.15</x:v>
      </x:c>
      <x:c r="D1147" s="58" t="n">
        <x:v>2</x:v>
      </x:c>
      <x:c r="E1147" s="58" t="n">
        <x:v>2</x:v>
      </x:c>
      <x:c r="F1147" s="58" t="str">
        <x:v>SEARCH</x:v>
      </x:c>
      <x:c r="G1147" s="58" t="n">
        <x:v>5</x:v>
      </x:c>
      <x:c r="H1147" s="59" t="n">
        <x:v>9</x:v>
      </x:c>
      <x:c r="I1147" s="59" t="n">
        <x:v>0.24033</x:v>
      </x:c>
      <x:c r="J1147" s="59" t="n">
        <x:v>0.23558</x:v>
      </x:c>
      <x:c r="K1147" s="59" t="n">
        <x:v>0.22946</x:v>
      </x:c>
      <x:c r="L1147" s="59" t="n">
        <x:v>0.21222</x:v>
      </x:c>
      <x:c r="M1147" s="59" t="n">
        <x:v>0.3917</x:v>
      </x:c>
      <x:c r="N1147" s="60" t="n">
        <x:v>-79.1</x:v>
      </x:c>
      <x:c r="O1147" s="60" t="n">
        <x:v>6.89</x:v>
      </x:c>
      <x:c r="P1147" s="60" t="n">
        <x:v>7.96</x:v>
      </x:c>
      <x:c r="Q1147" s="60" t="n">
        <x:v>47.7</x:v>
      </x:c>
      <x:c r="R1147" s="58" t="str">
        <x:v>X</x:v>
      </x:c>
      <x:c r="S1147" s="60" t="n">
        <x:v>100</x:v>
      </x:c>
      <x:c r="T1147" s="58" t="str">
        <x:v>UNSTABLE — SEARCH CONTINUES</x:v>
      </x:c>
      <x:c r="U1147" s="58" t="n">
        <x:v>368</x:v>
      </x:c>
      <x:c r="V1147" s="58" t="str">
        <x:v>Pasted text(59).txt</x:v>
      </x:c>
    </x:row>
    <x:row r="1148">
      <x:c r="A1148" s="58" t="str">
        <x:v>S12</x:v>
      </x:c>
      <x:c r="B1148" s="58" t="str">
        <x:v>1.15 safety-guard failure session</x:v>
      </x:c>
      <x:c r="C1148" s="58" t="n">
        <x:v>1.15</x:v>
      </x:c>
      <x:c r="D1148" s="58" t="n">
        <x:v>2</x:v>
      </x:c>
      <x:c r="E1148" s="58" t="n">
        <x:v>2</x:v>
      </x:c>
      <x:c r="F1148" s="58" t="str">
        <x:v>SEARCH</x:v>
      </x:c>
      <x:c r="G1148" s="58" t="n">
        <x:v>6</x:v>
      </x:c>
      <x:c r="H1148" s="59" t="n">
        <x:v>11</x:v>
      </x:c>
      <x:c r="I1148" s="59" t="n">
        <x:v>0.30904</x:v>
      </x:c>
      <x:c r="J1148" s="59" t="n">
        <x:v>0.30628</x:v>
      </x:c>
      <x:c r="K1148" s="59" t="n">
        <x:v>0.28562</x:v>
      </x:c>
      <x:c r="L1148" s="59" t="n">
        <x:v>0.2549</x:v>
      </x:c>
      <x:c r="M1148" s="59" t="n">
        <x:v>0.49052</x:v>
      </x:c>
      <x:c r="N1148" s="60" t="n">
        <x:v>-73.13</x:v>
      </x:c>
      <x:c r="O1148" s="60" t="n">
        <x:v>1.19</x:v>
      </x:c>
      <x:c r="P1148" s="60" t="n">
        <x:v>2.3</x:v>
      </x:c>
      <x:c r="Q1148" s="60" t="n">
        <x:v>59.2</x:v>
      </x:c>
      <x:c r="R1148" s="58" t="str">
        <x:v>X</x:v>
      </x:c>
      <x:c r="S1148" s="60" t="n">
        <x:v>100</x:v>
      </x:c>
      <x:c r="T1148" s="58" t="str">
        <x:v>VALID</x:v>
      </x:c>
      <x:c r="U1148" s="58" t="n">
        <x:v>369</x:v>
      </x:c>
      <x:c r="V1148" s="58" t="str">
        <x:v>Pasted text(59).txt</x:v>
      </x:c>
    </x:row>
    <x:row r="1149">
      <x:c r="A1149" s="58" t="str">
        <x:v>S12</x:v>
      </x:c>
      <x:c r="B1149" s="58" t="str">
        <x:v>1.15 safety-guard failure session</x:v>
      </x:c>
      <x:c r="C1149" s="58" t="n">
        <x:v>1.15</x:v>
      </x:c>
      <x:c r="D1149" s="58" t="n">
        <x:v>2</x:v>
      </x:c>
      <x:c r="E1149" s="58" t="n">
        <x:v>2</x:v>
      </x:c>
      <x:c r="F1149" s="58" t="str">
        <x:v>SEARCH</x:v>
      </x:c>
      <x:c r="G1149" s="58" t="n">
        <x:v>7</x:v>
      </x:c>
      <x:c r="H1149" s="59" t="n">
        <x:v>12</x:v>
      </x:c>
      <x:c r="I1149" s="59" t="n">
        <x:v>0.31176</x:v>
      </x:c>
      <x:c r="J1149" s="59" t="n">
        <x:v>0.31996</x:v>
      </x:c>
      <x:c r="K1149" s="59" t="n">
        <x:v>0.27363</x:v>
      </x:c>
      <x:c r="L1149" s="59" t="n">
        <x:v>0.32643</x:v>
      </x:c>
      <x:c r="M1149" s="59" t="n">
        <x:v>0.53486</x:v>
      </x:c>
      <x:c r="N1149" s="60" t="n">
        <x:v>-72.89</x:v>
      </x:c>
      <x:c r="O1149" s="60" t="n">
        <x:v>6.68</x:v>
      </x:c>
      <x:c r="P1149" s="60" t="n">
        <x:v>8.52</x:v>
      </x:c>
      <x:c r="Q1149" s="60" t="n">
        <x:v>57.4</x:v>
      </x:c>
      <x:c r="R1149" s="58" t="str">
        <x:v>Z</x:v>
      </x:c>
      <x:c r="S1149" s="60" t="n">
        <x:v>98</x:v>
      </x:c>
      <x:c r="T1149" s="58" t="str">
        <x:v>VALID</x:v>
      </x:c>
      <x:c r="U1149" s="58" t="n">
        <x:v>370</x:v>
      </x:c>
      <x:c r="V1149" s="58" t="str">
        <x:v>Pasted text(59).txt</x:v>
      </x:c>
    </x:row>
    <x:row r="1150">
      <x:c r="A1150" s="58" t="str">
        <x:v>S12</x:v>
      </x:c>
      <x:c r="B1150" s="58" t="str">
        <x:v>1.15 safety-guard failure session</x:v>
      </x:c>
      <x:c r="C1150" s="58" t="n">
        <x:v>1.15</x:v>
      </x:c>
      <x:c r="D1150" s="58" t="n">
        <x:v>2</x:v>
      </x:c>
      <x:c r="E1150" s="58" t="n">
        <x:v>2</x:v>
      </x:c>
      <x:c r="F1150" s="58" t="str">
        <x:v>SEARCH</x:v>
      </x:c>
      <x:c r="G1150" s="58" t="n">
        <x:v>8</x:v>
      </x:c>
      <x:c r="H1150" s="59" t="n">
        <x:v>13</x:v>
      </x:c>
      <x:c r="I1150" s="59" t="n">
        <x:v>0.32792</x:v>
      </x:c>
      <x:c r="J1150" s="59" t="n">
        <x:v>0.32756</x:v>
      </x:c>
      <x:c r="K1150" s="59" t="n">
        <x:v>0.31126</x:v>
      </x:c>
      <x:c r="L1150" s="59" t="n">
        <x:v>0.25791</x:v>
      </x:c>
      <x:c r="M1150" s="59" t="n">
        <x:v>0.52187</x:v>
      </x:c>
      <x:c r="N1150" s="60" t="n">
        <x:v>-71.49</x:v>
      </x:c>
      <x:c r="O1150" s="60" t="n">
        <x:v>0.83</x:v>
      </x:c>
      <x:c r="P1150" s="60" t="n">
        <x:v>0.73</x:v>
      </x:c>
      <x:c r="Q1150" s="60" t="n">
        <x:v>59.1</x:v>
      </x:c>
      <x:c r="R1150" s="58" t="str">
        <x:v>X</x:v>
      </x:c>
      <x:c r="S1150" s="60" t="n">
        <x:v>100</x:v>
      </x:c>
      <x:c r="T1150" s="58" t="str">
        <x:v>VALID</x:v>
      </x:c>
      <x:c r="U1150" s="58" t="n">
        <x:v>371</x:v>
      </x:c>
      <x:c r="V1150" s="58" t="str">
        <x:v>Pasted text(59).txt</x:v>
      </x:c>
    </x:row>
    <x:row r="1151">
      <x:c r="A1151" s="58" t="str">
        <x:v>S12</x:v>
      </x:c>
      <x:c r="B1151" s="58" t="str">
        <x:v>1.15 safety-guard failure session</x:v>
      </x:c>
      <x:c r="C1151" s="58" t="n">
        <x:v>1.15</x:v>
      </x:c>
      <x:c r="D1151" s="58" t="n">
        <x:v>2</x:v>
      </x:c>
      <x:c r="E1151" s="58" t="n">
        <x:v>2</x:v>
      </x:c>
      <x:c r="F1151" s="58" t="str">
        <x:v>SEARCH</x:v>
      </x:c>
      <x:c r="G1151" s="58" t="n">
        <x:v>9</x:v>
      </x:c>
      <x:c r="H1151" s="59" t="n">
        <x:v>14</x:v>
      </x:c>
      <x:c r="I1151" s="59" t="n">
        <x:v>0.19976</x:v>
      </x:c>
      <x:c r="J1151" s="59" t="n">
        <x:v>0.21329</x:v>
      </x:c>
      <x:c r="K1151" s="59" t="n">
        <x:v>0.32424</x:v>
      </x:c>
      <x:c r="L1151" s="59" t="n">
        <x:v>0.3723</x:v>
      </x:c>
      <x:c r="M1151" s="59" t="n">
        <x:v>0.53958</x:v>
      </x:c>
      <x:c r="N1151" s="60" t="n">
        <x:v>-82.63</x:v>
      </x:c>
      <x:c r="O1151" s="60" t="n">
        <x:v>1.83</x:v>
      </x:c>
      <x:c r="P1151" s="60" t="n">
        <x:v>12</x:v>
      </x:c>
      <x:c r="Q1151" s="60" t="n">
        <x:v>54.6</x:v>
      </x:c>
      <x:c r="R1151" s="58" t="str">
        <x:v>Z</x:v>
      </x:c>
      <x:c r="S1151" s="60" t="n">
        <x:v>57.3</x:v>
      </x:c>
      <x:c r="T1151" s="58" t="str">
        <x:v>VALID</x:v>
      </x:c>
      <x:c r="U1151" s="58" t="n">
        <x:v>372</x:v>
      </x:c>
      <x:c r="V1151" s="58" t="str">
        <x:v>Pasted text(59).txt</x:v>
      </x:c>
    </x:row>
    <x:row r="1152">
      <x:c r="A1152" s="58" t="str">
        <x:v>S12</x:v>
      </x:c>
      <x:c r="B1152" s="58" t="str">
        <x:v>1.15 safety-guard failure session</x:v>
      </x:c>
      <x:c r="C1152" s="58" t="n">
        <x:v>1.15</x:v>
      </x:c>
      <x:c r="D1152" s="58" t="n">
        <x:v>2</x:v>
      </x:c>
      <x:c r="E1152" s="58" t="n">
        <x:v>2</x:v>
      </x:c>
      <x:c r="F1152" s="58" t="str">
        <x:v>SEARCH</x:v>
      </x:c>
      <x:c r="G1152" s="58" t="n">
        <x:v>10</x:v>
      </x:c>
      <x:c r="H1152" s="59" t="n">
        <x:v>16</x:v>
      </x:c>
      <x:c r="I1152" s="59" t="n">
        <x:v>0.3138</x:v>
      </x:c>
      <x:c r="J1152" s="59" t="n">
        <x:v>0.3139</x:v>
      </x:c>
      <x:c r="K1152" s="59" t="n">
        <x:v>0.4022</x:v>
      </x:c>
      <x:c r="L1152" s="59" t="n">
        <x:v>0.53197</x:v>
      </x:c>
      <x:c r="M1152" s="59" t="n">
        <x:v>0.73723</x:v>
      </x:c>
      <x:c r="N1152" s="60" t="n">
        <x:v>-72.71</x:v>
      </x:c>
      <x:c r="O1152" s="60" t="n">
        <x:v>1.86</x:v>
      </x:c>
      <x:c r="P1152" s="60" t="n">
        <x:v>1.3</x:v>
      </x:c>
      <x:c r="Q1152" s="60" t="n">
        <x:v>73.4</x:v>
      </x:c>
      <x:c r="R1152" s="58" t="str">
        <x:v>Z</x:v>
      </x:c>
      <x:c r="S1152" s="60" t="n">
        <x:v>59</x:v>
      </x:c>
      <x:c r="T1152" s="58" t="str">
        <x:v>VALID</x:v>
      </x:c>
      <x:c r="U1152" s="58" t="n">
        <x:v>373</x:v>
      </x:c>
      <x:c r="V1152" s="58" t="str">
        <x:v>Pasted text(59).txt</x:v>
      </x:c>
    </x:row>
    <x:row r="1153">
      <x:c r="A1153" s="58" t="str">
        <x:v>S12</x:v>
      </x:c>
      <x:c r="B1153" s="58" t="str">
        <x:v>1.15 safety-guard failure session</x:v>
      </x:c>
      <x:c r="C1153" s="58" t="n">
        <x:v>1.15</x:v>
      </x:c>
      <x:c r="D1153" s="58" t="n">
        <x:v>2</x:v>
      </x:c>
      <x:c r="E1153" s="58" t="n">
        <x:v>2</x:v>
      </x:c>
      <x:c r="F1153" s="58" t="str">
        <x:v>SEARCH</x:v>
      </x:c>
      <x:c r="G1153" s="58" t="n">
        <x:v>11</x:v>
      </x:c>
      <x:c r="H1153" s="59" t="n">
        <x:v>17</x:v>
      </x:c>
      <x:c r="I1153" s="59" t="n">
        <x:v>0.33268</x:v>
      </x:c>
      <x:c r="J1153" s="59" t="n">
        <x:v>0.33853</x:v>
      </x:c>
      <x:c r="K1153" s="59" t="n">
        <x:v>0.42431</x:v>
      </x:c>
      <x:c r="L1153" s="59" t="n">
        <x:v>0.57307</x:v>
      </x:c>
      <x:c r="M1153" s="59" t="n">
        <x:v>0.78962</x:v>
      </x:c>
      <x:c r="N1153" s="60" t="n">
        <x:v>-71.07</x:v>
      </x:c>
      <x:c r="O1153" s="60" t="n">
        <x:v>0.38</x:v>
      </x:c>
      <x:c r="P1153" s="60" t="n">
        <x:v>3.21</x:v>
      </x:c>
      <x:c r="Q1153" s="60" t="n">
        <x:v>75.1</x:v>
      </x:c>
      <x:c r="R1153" s="58" t="str">
        <x:v>Z</x:v>
      </x:c>
      <x:c r="S1153" s="60" t="n">
        <x:v>59.1</x:v>
      </x:c>
      <x:c r="T1153" s="58" t="str">
        <x:v>VALID</x:v>
      </x:c>
      <x:c r="U1153" s="58" t="n">
        <x:v>374</x:v>
      </x:c>
      <x:c r="V1153" s="58" t="str">
        <x:v>Pasted text(59).txt</x:v>
      </x:c>
    </x:row>
    <x:row r="1154">
      <x:c r="A1154" s="58" t="str">
        <x:v>S12</x:v>
      </x:c>
      <x:c r="B1154" s="58" t="str">
        <x:v>1.15 safety-guard failure session</x:v>
      </x:c>
      <x:c r="C1154" s="58" t="n">
        <x:v>1.15</x:v>
      </x:c>
      <x:c r="D1154" s="58" t="n">
        <x:v>2</x:v>
      </x:c>
      <x:c r="E1154" s="58" t="n">
        <x:v>2</x:v>
      </x:c>
      <x:c r="F1154" s="58" t="str">
        <x:v>SEARCH</x:v>
      </x:c>
      <x:c r="G1154" s="58" t="n">
        <x:v>12</x:v>
      </x:c>
      <x:c r="H1154" s="59" t="n">
        <x:v>18</x:v>
      </x:c>
      <x:c r="I1154" s="59" t="n">
        <x:v>0.33216</x:v>
      </x:c>
      <x:c r="J1154" s="59" t="n">
        <x:v>0.34545</x:v>
      </x:c>
      <x:c r="K1154" s="59" t="n">
        <x:v>0.43057</x:v>
      </x:c>
      <x:c r="L1154" s="59" t="n">
        <x:v>0.60671</x:v>
      </x:c>
      <x:c r="M1154" s="59" t="n">
        <x:v>0.82059</x:v>
      </x:c>
      <x:c r="N1154" s="60" t="n">
        <x:v>-71.12</x:v>
      </x:c>
      <x:c r="O1154" s="60" t="n">
        <x:v>0.1</x:v>
      </x:c>
      <x:c r="P1154" s="60" t="n">
        <x:v>6.72</x:v>
      </x:c>
      <x:c r="Q1154" s="60" t="n">
        <x:v>74.6</x:v>
      </x:c>
      <x:c r="R1154" s="58" t="str">
        <x:v>Z</x:v>
      </x:c>
      <x:c r="S1154" s="60" t="n">
        <x:v>56.9</x:v>
      </x:c>
      <x:c r="T1154" s="58" t="str">
        <x:v>VALID</x:v>
      </x:c>
      <x:c r="U1154" s="58" t="n">
        <x:v>375</x:v>
      </x:c>
      <x:c r="V1154" s="58" t="str">
        <x:v>Pasted text(59).txt</x:v>
      </x:c>
    </x:row>
    <x:row r="1155">
      <x:c r="A1155" s="58" t="str">
        <x:v>S12</x:v>
      </x:c>
      <x:c r="B1155" s="58" t="str">
        <x:v>1.15 safety-guard failure session</x:v>
      </x:c>
      <x:c r="C1155" s="58" t="n">
        <x:v>1.15</x:v>
      </x:c>
      <x:c r="D1155" s="58" t="n">
        <x:v>2</x:v>
      </x:c>
      <x:c r="E1155" s="58" t="n">
        <x:v>2</x:v>
      </x:c>
      <x:c r="F1155" s="58" t="str">
        <x:v>SEARCH</x:v>
      </x:c>
      <x:c r="G1155" s="58" t="n">
        <x:v>13</x:v>
      </x:c>
      <x:c r="H1155" s="59" t="n">
        <x:v>19</x:v>
      </x:c>
      <x:c r="I1155" s="59" t="n">
        <x:v>0.37828</x:v>
      </x:c>
      <x:c r="J1155" s="59" t="n">
        <x:v>0.37544</x:v>
      </x:c>
      <x:c r="K1155" s="59" t="n">
        <x:v>0.47279</x:v>
      </x:c>
      <x:c r="L1155" s="59" t="n">
        <x:v>0.66344</x:v>
      </x:c>
      <x:c r="M1155" s="59" t="n">
        <x:v>0.89743</x:v>
      </x:c>
      <x:c r="N1155" s="60" t="n">
        <x:v>-67.11</x:v>
      </x:c>
      <x:c r="O1155" s="60" t="n">
        <x:v>2.86</x:v>
      </x:c>
      <x:c r="P1155" s="60" t="n">
        <x:v>3.14</x:v>
      </x:c>
      <x:c r="Q1155" s="60" t="n">
        <x:v>80.7</x:v>
      </x:c>
      <x:c r="R1155" s="58" t="str">
        <x:v>Z</x:v>
      </x:c>
      <x:c r="S1155" s="60" t="n">
        <x:v>56.6</x:v>
      </x:c>
      <x:c r="T1155" s="58" t="str">
        <x:v>VALID</x:v>
      </x:c>
      <x:c r="U1155" s="58" t="n">
        <x:v>376</x:v>
      </x:c>
      <x:c r="V1155" s="58" t="str">
        <x:v>Pasted text(59).txt</x:v>
      </x:c>
    </x:row>
    <x:row r="1156">
      <x:c r="A1156" s="58" t="str">
        <x:v>S12</x:v>
      </x:c>
      <x:c r="B1156" s="58" t="str">
        <x:v>1.15 safety-guard failure session</x:v>
      </x:c>
      <x:c r="C1156" s="58" t="n">
        <x:v>1.15</x:v>
      </x:c>
      <x:c r="D1156" s="58" t="n">
        <x:v>2</x:v>
      </x:c>
      <x:c r="E1156" s="58" t="n">
        <x:v>2</x:v>
      </x:c>
      <x:c r="F1156" s="58" t="str">
        <x:v>SEARCH</x:v>
      </x:c>
      <x:c r="G1156" s="58" t="n">
        <x:v>14</x:v>
      </x:c>
      <x:c r="H1156" s="59" t="n">
        <x:v>20</x:v>
      </x:c>
      <x:c r="I1156" s="59" t="n">
        <x:v>0.38089</x:v>
      </x:c>
      <x:c r="J1156" s="59" t="n">
        <x:v>0.38408</x:v>
      </x:c>
      <x:c r="K1156" s="59" t="n">
        <x:v>0.47597</x:v>
      </x:c>
      <x:c r="L1156" s="59" t="n">
        <x:v>0.68094</x:v>
      </x:c>
      <x:c r="M1156" s="59" t="n">
        <x:v>0.91542</x:v>
      </x:c>
      <x:c r="N1156" s="60" t="n">
        <x:v>-66.88</x:v>
      </x:c>
      <x:c r="O1156" s="60" t="n">
        <x:v>4.34</x:v>
      </x:c>
      <x:c r="P1156" s="60" t="n">
        <x:v>4.2</x:v>
      </x:c>
      <x:c r="Q1156" s="60" t="n">
        <x:v>79</x:v>
      </x:c>
      <x:c r="R1156" s="58" t="str">
        <x:v>Z</x:v>
      </x:c>
      <x:c r="S1156" s="60" t="n">
        <x:v>56.4</x:v>
      </x:c>
      <x:c r="T1156" s="58" t="str">
        <x:v>VALID</x:v>
      </x:c>
      <x:c r="U1156" s="58" t="n">
        <x:v>377</x:v>
      </x:c>
      <x:c r="V1156" s="58" t="str">
        <x:v>Pasted text(59).txt</x:v>
      </x:c>
    </x:row>
    <x:row r="1157">
      <x:c r="A1157" s="58" t="str">
        <x:v>S12</x:v>
      </x:c>
      <x:c r="B1157" s="58" t="str">
        <x:v>1.15 safety-guard failure session</x:v>
      </x:c>
      <x:c r="C1157" s="58" t="n">
        <x:v>1.15</x:v>
      </x:c>
      <x:c r="D1157" s="58" t="n">
        <x:v>2</x:v>
      </x:c>
      <x:c r="E1157" s="58" t="n">
        <x:v>2</x:v>
      </x:c>
      <x:c r="F1157" s="58" t="str">
        <x:v>SEARCH</x:v>
      </x:c>
      <x:c r="G1157" s="58" t="n">
        <x:v>15</x:v>
      </x:c>
      <x:c r="H1157" s="59" t="n">
        <x:v>21</x:v>
      </x:c>
      <x:c r="I1157" s="59" t="n">
        <x:v>0.41315</x:v>
      </x:c>
      <x:c r="J1157" s="59" t="n">
        <x:v>0.40708</x:v>
      </x:c>
      <x:c r="K1157" s="59" t="n">
        <x:v>0.51749</x:v>
      </x:c>
      <x:c r="L1157" s="59" t="n">
        <x:v>0.7368</x:v>
      </x:c>
      <x:c r="M1157" s="59" t="n">
        <x:v>0.98821</x:v>
      </x:c>
      <x:c r="N1157" s="60" t="n">
        <x:v>-64.07</x:v>
      </x:c>
      <x:c r="O1157" s="60" t="n">
        <x:v>0.64</x:v>
      </x:c>
      <x:c r="P1157" s="60" t="n">
        <x:v>2.97</x:v>
      </x:c>
      <x:c r="Q1157" s="60" t="n">
        <x:v>86.2</x:v>
      </x:c>
      <x:c r="R1157" s="58" t="str">
        <x:v>Z</x:v>
      </x:c>
      <x:c r="S1157" s="60" t="n">
        <x:v>55.2</x:v>
      </x:c>
      <x:c r="T1157" s="58" t="str">
        <x:v>VALID</x:v>
      </x:c>
      <x:c r="U1157" s="58" t="n">
        <x:v>378</x:v>
      </x:c>
      <x:c r="V1157" s="58" t="str">
        <x:v>Pasted text(59).txt</x:v>
      </x:c>
    </x:row>
    <x:row r="1158">
      <x:c r="A1158" s="58" t="str">
        <x:v>S12</x:v>
      </x:c>
      <x:c r="B1158" s="58" t="str">
        <x:v>1.15 safety-guard failure session</x:v>
      </x:c>
      <x:c r="C1158" s="58" t="n">
        <x:v>1.15</x:v>
      </x:c>
      <x:c r="D1158" s="58" t="n">
        <x:v>2</x:v>
      </x:c>
      <x:c r="E1158" s="58" t="n">
        <x:v>2</x:v>
      </x:c>
      <x:c r="F1158" s="58" t="str">
        <x:v>SEARCH</x:v>
      </x:c>
      <x:c r="G1158" s="58" t="n">
        <x:v>16</x:v>
      </x:c>
      <x:c r="H1158" s="59" t="n">
        <x:v>22</x:v>
      </x:c>
      <x:c r="I1158" s="59" t="n">
        <x:v>0.35085</x:v>
      </x:c>
      <x:c r="J1158" s="59" t="n">
        <x:v>0.34771</x:v>
      </x:c>
      <x:c r="K1158" s="59" t="n">
        <x:v>0.49771</x:v>
      </x:c>
      <x:c r="L1158" s="59" t="n">
        <x:v>0.62954</x:v>
      </x:c>
      <x:c r="M1158" s="59" t="n">
        <x:v>0.87527</x:v>
      </x:c>
      <x:c r="N1158" s="60" t="n">
        <x:v>-69.49</x:v>
      </x:c>
      <x:c r="O1158" s="60" t="n">
        <x:v>10.75</x:v>
      </x:c>
      <x:c r="P1158" s="60" t="n">
        <x:v>8.71</x:v>
      </x:c>
      <x:c r="Q1158" s="60" t="n">
        <x:v>72.1</x:v>
      </x:c>
      <x:c r="R1158" s="58" t="str">
        <x:v>Z</x:v>
      </x:c>
      <x:c r="S1158" s="60" t="n">
        <x:v>55.2</x:v>
      </x:c>
      <x:c r="T1158" s="58" t="str">
        <x:v>VALID</x:v>
      </x:c>
      <x:c r="U1158" s="58" t="n">
        <x:v>379</x:v>
      </x:c>
      <x:c r="V1158" s="58" t="str">
        <x:v>Pasted text(59).txt</x:v>
      </x:c>
    </x:row>
    <x:row r="1159">
      <x:c r="A1159" s="58" t="str">
        <x:v>S12</x:v>
      </x:c>
      <x:c r="B1159" s="58" t="str">
        <x:v>1.15 safety-guard failure session</x:v>
      </x:c>
      <x:c r="C1159" s="58" t="n">
        <x:v>1.15</x:v>
      </x:c>
      <x:c r="D1159" s="58" t="n">
        <x:v>2</x:v>
      </x:c>
      <x:c r="E1159" s="58" t="n">
        <x:v>2</x:v>
      </x:c>
      <x:c r="F1159" s="58" t="str">
        <x:v>SEARCH</x:v>
      </x:c>
      <x:c r="G1159" s="58" t="n">
        <x:v>17</x:v>
      </x:c>
      <x:c r="H1159" s="59" t="n">
        <x:v>23</x:v>
      </x:c>
      <x:c r="I1159" s="59" t="n">
        <x:v>0.40775</x:v>
      </x:c>
      <x:c r="J1159" s="59" t="n">
        <x:v>0.39899</x:v>
      </x:c>
      <x:c r="K1159" s="59" t="n">
        <x:v>0.55464</x:v>
      </x:c>
      <x:c r="L1159" s="59" t="n">
        <x:v>0.68285</x:v>
      </x:c>
      <x:c r="M1159" s="59" t="n">
        <x:v>0.96672</x:v>
      </x:c>
      <x:c r="N1159" s="60" t="n">
        <x:v>-64.54</x:v>
      </x:c>
      <x:c r="O1159" s="60" t="n">
        <x:v>6.61</x:v>
      </x:c>
      <x:c r="P1159" s="60" t="n">
        <x:v>8.08</x:v>
      </x:c>
      <x:c r="Q1159" s="60" t="n">
        <x:v>74.7</x:v>
      </x:c>
      <x:c r="R1159" s="58" t="str">
        <x:v>Z</x:v>
      </x:c>
      <x:c r="S1159" s="60" t="n">
        <x:v>58.4</x:v>
      </x:c>
      <x:c r="T1159" s="58" t="str">
        <x:v>VALID</x:v>
      </x:c>
      <x:c r="U1159" s="58" t="n">
        <x:v>380</x:v>
      </x:c>
      <x:c r="V1159" s="58" t="str">
        <x:v>Pasted text(59).txt</x:v>
      </x:c>
    </x:row>
    <x:row r="1160">
      <x:c r="A1160" s="58" t="str">
        <x:v>S12</x:v>
      </x:c>
      <x:c r="B1160" s="58" t="str">
        <x:v>1.15 safety-guard failure session</x:v>
      </x:c>
      <x:c r="C1160" s="58" t="n">
        <x:v>1.15</x:v>
      </x:c>
      <x:c r="D1160" s="58" t="n">
        <x:v>2</x:v>
      </x:c>
      <x:c r="E1160" s="58" t="n">
        <x:v>2</x:v>
      </x:c>
      <x:c r="F1160" s="58" t="str">
        <x:v>SEARCH</x:v>
      </x:c>
      <x:c r="G1160" s="58" t="n">
        <x:v>18</x:v>
      </x:c>
      <x:c r="H1160" s="59" t="n">
        <x:v>24</x:v>
      </x:c>
      <x:c r="I1160" s="59" t="n">
        <x:v>0.43174</x:v>
      </x:c>
      <x:c r="J1160" s="59" t="n">
        <x:v>0.41752</x:v>
      </x:c>
      <x:c r="K1160" s="59" t="n">
        <x:v>0.56275</x:v>
      </x:c>
      <x:c r="L1160" s="59" t="n">
        <x:v>0.77191</x:v>
      </x:c>
      <x:c r="M1160" s="59" t="n">
        <x:v>1.04275</x:v>
      </x:c>
      <x:c r="N1160" s="60" t="n">
        <x:v>-62.46</x:v>
      </x:c>
      <x:c r="O1160" s="60" t="n">
        <x:v>4.89</x:v>
      </x:c>
      <x:c r="P1160" s="60" t="n">
        <x:v>9.01</x:v>
      </x:c>
      <x:c r="Q1160" s="60" t="n">
        <x:v>71.2</x:v>
      </x:c>
      <x:c r="R1160" s="58" t="str">
        <x:v>Z</x:v>
      </x:c>
      <x:c r="S1160" s="60" t="n">
        <x:v>54.1</x:v>
      </x:c>
      <x:c r="T1160" s="58" t="str">
        <x:v>VALID</x:v>
      </x:c>
      <x:c r="U1160" s="58" t="n">
        <x:v>381</x:v>
      </x:c>
      <x:c r="V1160" s="58" t="str">
        <x:v>Pasted text(59).txt</x:v>
      </x:c>
    </x:row>
    <x:row r="1161">
      <x:c r="A1161" s="58" t="str">
        <x:v>S12</x:v>
      </x:c>
      <x:c r="B1161" s="58" t="str">
        <x:v>1.15 safety-guard failure session</x:v>
      </x:c>
      <x:c r="C1161" s="58" t="n">
        <x:v>1.15</x:v>
      </x:c>
      <x:c r="D1161" s="58" t="n">
        <x:v>2</x:v>
      </x:c>
      <x:c r="E1161" s="58" t="n">
        <x:v>2</x:v>
      </x:c>
      <x:c r="F1161" s="58" t="str">
        <x:v>SEARCH</x:v>
      </x:c>
      <x:c r="G1161" s="58" t="n">
        <x:v>19</x:v>
      </x:c>
      <x:c r="H1161" s="59" t="n">
        <x:v>25</x:v>
      </x:c>
      <x:c r="I1161" s="59" t="n">
        <x:v>0.43679</x:v>
      </x:c>
      <x:c r="J1161" s="59" t="n">
        <x:v>0.43861</x:v>
      </x:c>
      <x:c r="K1161" s="59" t="n">
        <x:v>0.6335</x:v>
      </x:c>
      <x:c r="L1161" s="59" t="n">
        <x:v>0.8151</x:v>
      </x:c>
      <x:c r="M1161" s="59" t="n">
        <x:v>1.12169</x:v>
      </x:c>
      <x:c r="N1161" s="60" t="n">
        <x:v>-62.02</x:v>
      </x:c>
      <x:c r="O1161" s="60" t="n">
        <x:v>4.37</x:v>
      </x:c>
      <x:c r="P1161" s="60" t="n">
        <x:v>3.58</x:v>
      </x:c>
      <x:c r="Q1161" s="60" t="n">
        <x:v>71.6</x:v>
      </x:c>
      <x:c r="R1161" s="58" t="str">
        <x:v>Z</x:v>
      </x:c>
      <x:c r="S1161" s="60" t="n">
        <x:v>53.8</x:v>
      </x:c>
      <x:c r="T1161" s="58" t="str">
        <x:v>VALID</x:v>
      </x:c>
      <x:c r="U1161" s="58" t="n">
        <x:v>382</x:v>
      </x:c>
      <x:c r="V1161" s="58" t="str">
        <x:v>Pasted text(59).txt</x:v>
      </x:c>
    </x:row>
    <x:row r="1162">
      <x:c r="A1162" s="58" t="str">
        <x:v>S12</x:v>
      </x:c>
      <x:c r="B1162" s="58" t="str">
        <x:v>1.15 safety-guard failure session</x:v>
      </x:c>
      <x:c r="C1162" s="58" t="n">
        <x:v>1.15</x:v>
      </x:c>
      <x:c r="D1162" s="58" t="n">
        <x:v>2</x:v>
      </x:c>
      <x:c r="E1162" s="58" t="n">
        <x:v>2</x:v>
      </x:c>
      <x:c r="F1162" s="58" t="str">
        <x:v>SEARCH</x:v>
      </x:c>
      <x:c r="G1162" s="58" t="n">
        <x:v>20</x:v>
      </x:c>
      <x:c r="H1162" s="59" t="n">
        <x:v>26</x:v>
      </x:c>
      <x:c r="I1162" s="59" t="n">
        <x:v>0.47126</x:v>
      </x:c>
      <x:c r="J1162" s="59" t="n">
        <x:v>0.47194</x:v>
      </x:c>
      <x:c r="K1162" s="59" t="n">
        <x:v>0.63815</x:v>
      </x:c>
      <x:c r="L1162" s="59" t="n">
        <x:v>0.8276</x:v>
      </x:c>
      <x:c r="M1162" s="59" t="n">
        <x:v>1.14674</x:v>
      </x:c>
      <x:c r="N1162" s="60" t="n">
        <x:v>-59.02</x:v>
      </x:c>
      <x:c r="O1162" s="60" t="n">
        <x:v>1.59</x:v>
      </x:c>
      <x:c r="P1162" s="60" t="n">
        <x:v>1.29</x:v>
      </x:c>
      <x:c r="Q1162" s="60" t="n">
        <x:v>70</x:v>
      </x:c>
      <x:c r="R1162" s="58" t="str">
        <x:v>Z</x:v>
      </x:c>
      <x:c r="S1162" s="60" t="n">
        <x:v>57</x:v>
      </x:c>
      <x:c r="T1162" s="58" t="str">
        <x:v>VALID</x:v>
      </x:c>
      <x:c r="U1162" s="58" t="n">
        <x:v>383</x:v>
      </x:c>
      <x:c r="V1162" s="58" t="str">
        <x:v>Pasted text(59).txt</x:v>
      </x:c>
    </x:row>
    <x:row r="1163">
      <x:c r="A1163" s="58" t="str">
        <x:v>S12</x:v>
      </x:c>
      <x:c r="B1163" s="58" t="str">
        <x:v>1.15 safety-guard failure session</x:v>
      </x:c>
      <x:c r="C1163" s="58" t="n">
        <x:v>1.15</x:v>
      </x:c>
      <x:c r="D1163" s="58" t="n">
        <x:v>2</x:v>
      </x:c>
      <x:c r="E1163" s="58" t="n">
        <x:v>2</x:v>
      </x:c>
      <x:c r="F1163" s="58" t="str">
        <x:v>SEARCH</x:v>
      </x:c>
      <x:c r="G1163" s="58" t="n">
        <x:v>21</x:v>
      </x:c>
      <x:c r="H1163" s="59" t="n">
        <x:v>27</x:v>
      </x:c>
      <x:c r="I1163" s="59" t="n">
        <x:v>0.4958</x:v>
      </x:c>
      <x:c r="J1163" s="59" t="n">
        <x:v>0.49506</x:v>
      </x:c>
      <x:c r="K1163" s="59" t="n">
        <x:v>0.65712</x:v>
      </x:c>
      <x:c r="L1163" s="59" t="n">
        <x:v>0.84839</x:v>
      </x:c>
      <x:c r="M1163" s="59" t="n">
        <x:v>1.18183</x:v>
      </x:c>
      <x:c r="N1163" s="60" t="n">
        <x:v>-56.89</x:v>
      </x:c>
      <x:c r="O1163" s="60" t="n">
        <x:v>1.2</x:v>
      </x:c>
      <x:c r="P1163" s="60" t="n">
        <x:v>1.04</x:v>
      </x:c>
      <x:c r="Q1163" s="60" t="n">
        <x:v>70.3</x:v>
      </x:c>
      <x:c r="R1163" s="58" t="str">
        <x:v>Z</x:v>
      </x:c>
      <x:c r="S1163" s="60" t="n">
        <x:v>58.4</x:v>
      </x:c>
      <x:c r="T1163" s="58" t="str">
        <x:v>VALID</x:v>
      </x:c>
      <x:c r="U1163" s="58" t="n">
        <x:v>384</x:v>
      </x:c>
      <x:c r="V1163" s="58" t="str">
        <x:v>Pasted text(59).txt</x:v>
      </x:c>
    </x:row>
    <x:row r="1164">
      <x:c r="A1164" s="58" t="str">
        <x:v>S12</x:v>
      </x:c>
      <x:c r="B1164" s="58" t="str">
        <x:v>1.15 safety-guard failure session</x:v>
      </x:c>
      <x:c r="C1164" s="58" t="n">
        <x:v>1.15</x:v>
      </x:c>
      <x:c r="D1164" s="58" t="n">
        <x:v>2</x:v>
      </x:c>
      <x:c r="E1164" s="58" t="n">
        <x:v>2</x:v>
      </x:c>
      <x:c r="F1164" s="58" t="str">
        <x:v>SEARCH</x:v>
      </x:c>
      <x:c r="G1164" s="58" t="n">
        <x:v>22</x:v>
      </x:c>
      <x:c r="H1164" s="59" t="n">
        <x:v>28</x:v>
      </x:c>
      <x:c r="I1164" s="59" t="n">
        <x:v>0.53765</x:v>
      </x:c>
      <x:c r="J1164" s="59" t="n">
        <x:v>0.53661</x:v>
      </x:c>
      <x:c r="K1164" s="59" t="n">
        <x:v>0.67072</x:v>
      </x:c>
      <x:c r="L1164" s="59" t="n">
        <x:v>0.87293</x:v>
      </x:c>
      <x:c r="M1164" s="59" t="n">
        <x:v>1.22479</x:v>
      </x:c>
      <x:c r="N1164" s="60" t="n">
        <x:v>-53.25</x:v>
      </x:c>
      <x:c r="O1164" s="60" t="n">
        <x:v>2.28</x:v>
      </x:c>
      <x:c r="P1164" s="60" t="n">
        <x:v>1.84</x:v>
      </x:c>
      <x:c r="Q1164" s="60" t="n">
        <x:v>68.8</x:v>
      </x:c>
      <x:c r="R1164" s="58" t="str">
        <x:v>Z</x:v>
      </x:c>
      <x:c r="S1164" s="60" t="n">
        <x:v>61.5</x:v>
      </x:c>
      <x:c r="T1164" s="58" t="str">
        <x:v>VALID</x:v>
      </x:c>
      <x:c r="U1164" s="58" t="n">
        <x:v>385</x:v>
      </x:c>
      <x:c r="V1164" s="58" t="str">
        <x:v>Pasted text(59).txt</x:v>
      </x:c>
    </x:row>
    <x:row r="1165">
      <x:c r="A1165" s="58" t="str">
        <x:v>S12</x:v>
      </x:c>
      <x:c r="B1165" s="58" t="str">
        <x:v>1.15 safety-guard failure session</x:v>
      </x:c>
      <x:c r="C1165" s="58" t="n">
        <x:v>1.15</x:v>
      </x:c>
      <x:c r="D1165" s="58" t="n">
        <x:v>2</x:v>
      </x:c>
      <x:c r="E1165" s="58" t="n">
        <x:v>2</x:v>
      </x:c>
      <x:c r="F1165" s="58" t="str">
        <x:v>SEARCH</x:v>
      </x:c>
      <x:c r="G1165" s="58" t="n">
        <x:v>23</x:v>
      </x:c>
      <x:c r="H1165" s="59" t="n">
        <x:v>29</x:v>
      </x:c>
      <x:c r="I1165" s="59" t="n">
        <x:v>0.53106</x:v>
      </x:c>
      <x:c r="J1165" s="59" t="n">
        <x:v>0.53041</x:v>
      </x:c>
      <x:c r="K1165" s="59" t="n">
        <x:v>0.72796</x:v>
      </x:c>
      <x:c r="L1165" s="59" t="n">
        <x:v>0.88574</x:v>
      </x:c>
      <x:c r="M1165" s="59" t="n">
        <x:v>1.26327</x:v>
      </x:c>
      <x:c r="N1165" s="60" t="n">
        <x:v>-53.82</x:v>
      </x:c>
      <x:c r="O1165" s="60" t="n">
        <x:v>2.11</x:v>
      </x:c>
      <x:c r="P1165" s="60" t="n">
        <x:v>1.61</x:v>
      </x:c>
      <x:c r="Q1165" s="60" t="n">
        <x:v>65.3</x:v>
      </x:c>
      <x:c r="R1165" s="58" t="str">
        <x:v>Z</x:v>
      </x:c>
      <x:c r="S1165" s="60" t="n">
        <x:v>59.9</x:v>
      </x:c>
      <x:c r="T1165" s="58" t="str">
        <x:v>VALID</x:v>
      </x:c>
      <x:c r="U1165" s="58" t="n">
        <x:v>386</x:v>
      </x:c>
      <x:c r="V1165" s="58" t="str">
        <x:v>Pasted text(59).txt</x:v>
      </x:c>
    </x:row>
    <x:row r="1166">
      <x:c r="A1166" s="58" t="str">
        <x:v>S12</x:v>
      </x:c>
      <x:c r="B1166" s="58" t="str">
        <x:v>1.15 safety-guard failure session</x:v>
      </x:c>
      <x:c r="C1166" s="58" t="n">
        <x:v>1.15</x:v>
      </x:c>
      <x:c r="D1166" s="58" t="n">
        <x:v>2</x:v>
      </x:c>
      <x:c r="E1166" s="58" t="n">
        <x:v>2</x:v>
      </x:c>
      <x:c r="F1166" s="58" t="str">
        <x:v>SEARCH</x:v>
      </x:c>
      <x:c r="G1166" s="58" t="n">
        <x:v>24</x:v>
      </x:c>
      <x:c r="H1166" s="59" t="n">
        <x:v>30</x:v>
      </x:c>
      <x:c r="I1166" s="59" t="n">
        <x:v>0.5896</x:v>
      </x:c>
      <x:c r="J1166" s="59" t="n">
        <x:v>0.59793</x:v>
      </x:c>
      <x:c r="K1166" s="59" t="n">
        <x:v>0.75741</x:v>
      </x:c>
      <x:c r="L1166" s="59" t="n">
        <x:v>0.89007</x:v>
      </x:c>
      <x:c r="M1166" s="59" t="n">
        <x:v>1.31321</x:v>
      </x:c>
      <x:c r="N1166" s="60" t="n">
        <x:v>-48.73</x:v>
      </x:c>
      <x:c r="O1166" s="60" t="n">
        <x:v>0.76</x:v>
      </x:c>
      <x:c r="P1166" s="60" t="n">
        <x:v>2.87</x:v>
      </x:c>
      <x:c r="Q1166" s="60" t="n">
        <x:v>65.5</x:v>
      </x:c>
      <x:c r="R1166" s="58" t="str">
        <x:v>Z</x:v>
      </x:c>
      <x:c r="S1166" s="60" t="n">
        <x:v>67.2</x:v>
      </x:c>
      <x:c r="T1166" s="58" t="str">
        <x:v>VALID</x:v>
      </x:c>
      <x:c r="U1166" s="58" t="n">
        <x:v>387</x:v>
      </x:c>
      <x:c r="V1166" s="58" t="str">
        <x:v>Pasted text(59).txt</x:v>
      </x:c>
    </x:row>
    <x:row r="1167">
      <x:c r="A1167" s="58" t="str">
        <x:v>S12</x:v>
      </x:c>
      <x:c r="B1167" s="58" t="str">
        <x:v>1.15 safety-guard failure session</x:v>
      </x:c>
      <x:c r="C1167" s="58" t="n">
        <x:v>1.15</x:v>
      </x:c>
      <x:c r="D1167" s="58" t="n">
        <x:v>3</x:v>
      </x:c>
      <x:c r="E1167" s="58" t="n">
        <x:v>1</x:v>
      </x:c>
      <x:c r="F1167" s="58" t="str">
        <x:v>SEARCH</x:v>
      </x:c>
      <x:c r="G1167" s="58" t="n">
        <x:v>1</x:v>
      </x:c>
      <x:c r="H1167" s="59" t="n">
        <x:v>1</x:v>
      </x:c>
      <x:c r="I1167" s="59" t="n">
        <x:v>0.01171</x:v>
      </x:c>
      <x:c r="J1167" s="59" t="n">
        <x:v>0.01053</x:v>
      </x:c>
      <x:c r="K1167" s="59" t="n">
        <x:v>0.0197</x:v>
      </x:c>
      <x:c r="L1167" s="59" t="n">
        <x:v>0.05506</x:v>
      </x:c>
      <x:c r="M1167" s="59" t="n">
        <x:v>0.06139</x:v>
      </x:c>
      <x:c r="N1167" s="60" t="n">
        <x:v>-98.98</x:v>
      </x:c>
      <x:c r="O1167" s="60" t="n">
        <x:v>30.02</x:v>
      </x:c>
      <x:c r="P1167" s="60" t="n">
        <x:v>15.93</x:v>
      </x:c>
      <x:c r="Q1167" s="60" t="n">
        <x:v>4.2</x:v>
      </x:c>
      <x:c r="R1167" s="58" t="str">
        <x:v>Z</x:v>
      </x:c>
      <x:c r="S1167" s="60" t="n">
        <x:v>19.1</x:v>
      </x:c>
      <x:c r="T1167" s="58" t="str">
        <x:v>BELOW MEASUREMENT FLOOR — SEARCH CONTINUES</x:v>
      </x:c>
      <x:c r="U1167" s="58" t="n">
        <x:v>406</x:v>
      </x:c>
      <x:c r="V1167" s="58" t="str">
        <x:v>Pasted text(59).txt</x:v>
      </x:c>
    </x:row>
    <x:row r="1168">
      <x:c r="A1168" s="58" t="str">
        <x:v>S12</x:v>
      </x:c>
      <x:c r="B1168" s="58" t="str">
        <x:v>1.15 safety-guard failure session</x:v>
      </x:c>
      <x:c r="C1168" s="58" t="n">
        <x:v>1.15</x:v>
      </x:c>
      <x:c r="D1168" s="58" t="n">
        <x:v>3</x:v>
      </x:c>
      <x:c r="E1168" s="58" t="n">
        <x:v>1</x:v>
      </x:c>
      <x:c r="F1168" s="58" t="str">
        <x:v>SEARCH</x:v>
      </x:c>
      <x:c r="G1168" s="58" t="n">
        <x:v>2</x:v>
      </x:c>
      <x:c r="H1168" s="59" t="n">
        <x:v>3</x:v>
      </x:c>
      <x:c r="I1168" s="59" t="n">
        <x:v>0.04447</x:v>
      </x:c>
      <x:c r="J1168" s="59" t="n">
        <x:v>0.04068</x:v>
      </x:c>
      <x:c r="K1168" s="59" t="n">
        <x:v>0.05701</x:v>
      </x:c>
      <x:c r="L1168" s="59" t="n">
        <x:v>0.10053</x:v>
      </x:c>
      <x:c r="M1168" s="59" t="n">
        <x:v>0.12326</x:v>
      </x:c>
      <x:c r="N1168" s="60" t="n">
        <x:v>-96.13</x:v>
      </x:c>
      <x:c r="O1168" s="60" t="n">
        <x:v>25.25</x:v>
      </x:c>
      <x:c r="P1168" s="60" t="n">
        <x:v>13.16</x:v>
      </x:c>
      <x:c r="Q1168" s="60" t="n">
        <x:v>13.1</x:v>
      </x:c>
      <x:c r="R1168" s="58" t="str">
        <x:v>Z</x:v>
      </x:c>
      <x:c r="S1168" s="60" t="n">
        <x:v>40.5</x:v>
      </x:c>
      <x:c r="T1168" s="58" t="str">
        <x:v>BELOW MEASUREMENT FLOOR — SEARCH CONTINUES</x:v>
      </x:c>
      <x:c r="U1168" s="58" t="n">
        <x:v>407</x:v>
      </x:c>
      <x:c r="V1168" s="58" t="str">
        <x:v>Pasted text(59).txt</x:v>
      </x:c>
    </x:row>
    <x:row r="1169">
      <x:c r="A1169" s="58" t="str">
        <x:v>S12</x:v>
      </x:c>
      <x:c r="B1169" s="58" t="str">
        <x:v>1.15 safety-guard failure session</x:v>
      </x:c>
      <x:c r="C1169" s="58" t="n">
        <x:v>1.15</x:v>
      </x:c>
      <x:c r="D1169" s="58" t="n">
        <x:v>3</x:v>
      </x:c>
      <x:c r="E1169" s="58" t="n">
        <x:v>1</x:v>
      </x:c>
      <x:c r="F1169" s="58" t="str">
        <x:v>SEARCH</x:v>
      </x:c>
      <x:c r="G1169" s="58" t="n">
        <x:v>3</x:v>
      </x:c>
      <x:c r="H1169" s="59" t="n">
        <x:v>5</x:v>
      </x:c>
      <x:c r="I1169" s="59" t="n">
        <x:v>0.12583</x:v>
      </x:c>
      <x:c r="J1169" s="59" t="n">
        <x:v>0.11616</x:v>
      </x:c>
      <x:c r="K1169" s="59" t="n">
        <x:v>0.13152</x:v>
      </x:c>
      <x:c r="L1169" s="59" t="n">
        <x:v>0.19499</x:v>
      </x:c>
      <x:c r="M1169" s="59" t="n">
        <x:v>0.26384</x:v>
      </x:c>
      <x:c r="N1169" s="60" t="n">
        <x:v>-89.06</x:v>
      </x:c>
      <x:c r="O1169" s="60" t="n">
        <x:v>22.77</x:v>
      </x:c>
      <x:c r="P1169" s="60" t="n">
        <x:v>11.77</x:v>
      </x:c>
      <x:c r="Q1169" s="60" t="n">
        <x:v>33.1</x:v>
      </x:c>
      <x:c r="R1169" s="58" t="str">
        <x:v>Z</x:v>
      </x:c>
      <x:c r="S1169" s="60" t="n">
        <x:v>59.6</x:v>
      </x:c>
      <x:c r="T1169" s="58" t="str">
        <x:v>UNSTABLE — SEARCH CONTINUES</x:v>
      </x:c>
      <x:c r="U1169" s="58" t="n">
        <x:v>408</x:v>
      </x:c>
      <x:c r="V1169" s="58" t="str">
        <x:v>Pasted text(59).txt</x:v>
      </x:c>
    </x:row>
    <x:row r="1170">
      <x:c r="A1170" s="58" t="str">
        <x:v>S12</x:v>
      </x:c>
      <x:c r="B1170" s="58" t="str">
        <x:v>1.15 safety-guard failure session</x:v>
      </x:c>
      <x:c r="C1170" s="58" t="n">
        <x:v>1.15</x:v>
      </x:c>
      <x:c r="D1170" s="58" t="n">
        <x:v>3</x:v>
      </x:c>
      <x:c r="E1170" s="58" t="n">
        <x:v>1</x:v>
      </x:c>
      <x:c r="F1170" s="58" t="str">
        <x:v>SEARCH</x:v>
      </x:c>
      <x:c r="G1170" s="58" t="n">
        <x:v>4</x:v>
      </x:c>
      <x:c r="H1170" s="59" t="n">
        <x:v>7</x:v>
      </x:c>
      <x:c r="I1170" s="59" t="n">
        <x:v>0.19013</x:v>
      </x:c>
      <x:c r="J1170" s="59" t="n">
        <x:v>0.19126</x:v>
      </x:c>
      <x:c r="K1170" s="59" t="n">
        <x:v>0.17212</x:v>
      </x:c>
      <x:c r="L1170" s="59" t="n">
        <x:v>0.29628</x:v>
      </x:c>
      <x:c r="M1170" s="59" t="n">
        <x:v>0.39316</x:v>
      </x:c>
      <x:c r="N1170" s="60" t="n">
        <x:v>-83.47</x:v>
      </x:c>
      <x:c r="O1170" s="60" t="n">
        <x:v>0.37</x:v>
      </x:c>
      <x:c r="P1170" s="60" t="n">
        <x:v>1.24</x:v>
      </x:c>
      <x:c r="Q1170" s="60" t="n">
        <x:v>51.4</x:v>
      </x:c>
      <x:c r="R1170" s="58" t="str">
        <x:v>Z</x:v>
      </x:c>
      <x:c r="S1170" s="60" t="n">
        <x:v>64.6</x:v>
      </x:c>
      <x:c r="T1170" s="58" t="str">
        <x:v>UNSTABLE — SEARCH CONTINUES</x:v>
      </x:c>
      <x:c r="U1170" s="58" t="n">
        <x:v>409</x:v>
      </x:c>
      <x:c r="V1170" s="58" t="str">
        <x:v>Pasted text(59).txt</x:v>
      </x:c>
    </x:row>
    <x:row r="1171">
      <x:c r="A1171" s="58" t="str">
        <x:v>S12</x:v>
      </x:c>
      <x:c r="B1171" s="58" t="str">
        <x:v>1.15 safety-guard failure session</x:v>
      </x:c>
      <x:c r="C1171" s="58" t="n">
        <x:v>1.15</x:v>
      </x:c>
      <x:c r="D1171" s="58" t="n">
        <x:v>3</x:v>
      </x:c>
      <x:c r="E1171" s="58" t="n">
        <x:v>1</x:v>
      </x:c>
      <x:c r="F1171" s="58" t="str">
        <x:v>SEARCH</x:v>
      </x:c>
      <x:c r="G1171" s="58" t="n">
        <x:v>5</x:v>
      </x:c>
      <x:c r="H1171" s="59" t="n">
        <x:v>9</x:v>
      </x:c>
      <x:c r="I1171" s="59" t="n">
        <x:v>0.2308</x:v>
      </x:c>
      <x:c r="J1171" s="59" t="n">
        <x:v>0.23441</x:v>
      </x:c>
      <x:c r="K1171" s="59" t="n">
        <x:v>0.24079</x:v>
      </x:c>
      <x:c r="L1171" s="59" t="n">
        <x:v>0.41517</x:v>
      </x:c>
      <x:c r="M1171" s="59" t="n">
        <x:v>0.53458</x:v>
      </x:c>
      <x:c r="N1171" s="60" t="n">
        <x:v>-79.93</x:v>
      </x:c>
      <x:c r="O1171" s="60" t="n">
        <x:v>1.54</x:v>
      </x:c>
      <x:c r="P1171" s="60" t="n">
        <x:v>3.59</x:v>
      </x:c>
      <x:c r="Q1171" s="60" t="n">
        <x:v>56.6</x:v>
      </x:c>
      <x:c r="R1171" s="58" t="str">
        <x:v>Z</x:v>
      </x:c>
      <x:c r="S1171" s="60" t="n">
        <x:v>56.5</x:v>
      </x:c>
      <x:c r="T1171" s="58" t="str">
        <x:v>VALID</x:v>
      </x:c>
      <x:c r="U1171" s="58" t="n">
        <x:v>410</x:v>
      </x:c>
      <x:c r="V1171" s="58" t="str">
        <x:v>Pasted text(59).txt</x:v>
      </x:c>
    </x:row>
    <x:row r="1172">
      <x:c r="A1172" s="58" t="str">
        <x:v>S12</x:v>
      </x:c>
      <x:c r="B1172" s="58" t="str">
        <x:v>1.15 safety-guard failure session</x:v>
      </x:c>
      <x:c r="C1172" s="58" t="n">
        <x:v>1.15</x:v>
      </x:c>
      <x:c r="D1172" s="58" t="n">
        <x:v>3</x:v>
      </x:c>
      <x:c r="E1172" s="58" t="n">
        <x:v>1</x:v>
      </x:c>
      <x:c r="F1172" s="58" t="str">
        <x:v>SEARCH</x:v>
      </x:c>
      <x:c r="G1172" s="58" t="n">
        <x:v>6</x:v>
      </x:c>
      <x:c r="H1172" s="59" t="n">
        <x:v>11</x:v>
      </x:c>
      <x:c r="I1172" s="59" t="n">
        <x:v>0.27355</x:v>
      </x:c>
      <x:c r="J1172" s="59" t="n">
        <x:v>0.27724</x:v>
      </x:c>
      <x:c r="K1172" s="59" t="n">
        <x:v>0.29803</x:v>
      </x:c>
      <x:c r="L1172" s="59" t="n">
        <x:v>0.48757</x:v>
      </x:c>
      <x:c r="M1172" s="59" t="n">
        <x:v>0.63523</x:v>
      </x:c>
      <x:c r="N1172" s="60" t="n">
        <x:v>-76.21</x:v>
      </x:c>
      <x:c r="O1172" s="60" t="n">
        <x:v>3.87</x:v>
      </x:c>
      <x:c r="P1172" s="60" t="n">
        <x:v>4.72</x:v>
      </x:c>
      <x:c r="Q1172" s="60" t="n">
        <x:v>61.2</x:v>
      </x:c>
      <x:c r="R1172" s="58" t="str">
        <x:v>Z</x:v>
      </x:c>
      <x:c r="S1172" s="60" t="n">
        <x:v>56.9</x:v>
      </x:c>
      <x:c r="T1172" s="58" t="str">
        <x:v>VALID</x:v>
      </x:c>
      <x:c r="U1172" s="58" t="n">
        <x:v>411</x:v>
      </x:c>
      <x:c r="V1172" s="58" t="str">
        <x:v>Pasted text(59).txt</x:v>
      </x:c>
    </x:row>
    <x:row r="1173">
      <x:c r="A1173" s="58" t="str">
        <x:v>S12</x:v>
      </x:c>
      <x:c r="B1173" s="58" t="str">
        <x:v>1.15 safety-guard failure session</x:v>
      </x:c>
      <x:c r="C1173" s="58" t="n">
        <x:v>1.15</x:v>
      </x:c>
      <x:c r="D1173" s="58" t="n">
        <x:v>3</x:v>
      </x:c>
      <x:c r="E1173" s="58" t="n">
        <x:v>1</x:v>
      </x:c>
      <x:c r="F1173" s="58" t="str">
        <x:v>SEARCH</x:v>
      </x:c>
      <x:c r="G1173" s="58" t="n">
        <x:v>7</x:v>
      </x:c>
      <x:c r="H1173" s="59" t="n">
        <x:v>13</x:v>
      </x:c>
      <x:c r="I1173" s="59" t="n">
        <x:v>0.3266</x:v>
      </x:c>
      <x:c r="J1173" s="59" t="n">
        <x:v>0.32389</x:v>
      </x:c>
      <x:c r="K1173" s="59" t="n">
        <x:v>0.35384</x:v>
      </x:c>
      <x:c r="L1173" s="59" t="n">
        <x:v>0.53575</x:v>
      </x:c>
      <x:c r="M1173" s="59" t="n">
        <x:v>0.71942</x:v>
      </x:c>
      <x:c r="N1173" s="60" t="n">
        <x:v>-71.6</x:v>
      </x:c>
      <x:c r="O1173" s="60" t="n">
        <x:v>5.42</x:v>
      </x:c>
      <x:c r="P1173" s="60" t="n">
        <x:v>4.99</x:v>
      </x:c>
      <x:c r="Q1173" s="60" t="n">
        <x:v>67.3</x:v>
      </x:c>
      <x:c r="R1173" s="58" t="str">
        <x:v>Z</x:v>
      </x:c>
      <x:c r="S1173" s="60" t="n">
        <x:v>60.5</x:v>
      </x:c>
      <x:c r="T1173" s="58" t="str">
        <x:v>VALID</x:v>
      </x:c>
      <x:c r="U1173" s="58" t="n">
        <x:v>412</x:v>
      </x:c>
      <x:c r="V1173" s="58" t="str">
        <x:v>Pasted text(59).txt</x:v>
      </x:c>
    </x:row>
    <x:row r="1174">
      <x:c r="A1174" s="58" t="str">
        <x:v>S12</x:v>
      </x:c>
      <x:c r="B1174" s="58" t="str">
        <x:v>1.15 safety-guard failure session</x:v>
      </x:c>
      <x:c r="C1174" s="58" t="n">
        <x:v>1.15</x:v>
      </x:c>
      <x:c r="D1174" s="58" t="n">
        <x:v>3</x:v>
      </x:c>
      <x:c r="E1174" s="58" t="n">
        <x:v>1</x:v>
      </x:c>
      <x:c r="F1174" s="58" t="str">
        <x:v>SEARCH</x:v>
      </x:c>
      <x:c r="G1174" s="58" t="n">
        <x:v>8</x:v>
      </x:c>
      <x:c r="H1174" s="59" t="n">
        <x:v>14</x:v>
      </x:c>
      <x:c r="I1174" s="59" t="n">
        <x:v>0.35356</x:v>
      </x:c>
      <x:c r="J1174" s="59" t="n">
        <x:v>0.35391</x:v>
      </x:c>
      <x:c r="K1174" s="59" t="n">
        <x:v>0.35681</x:v>
      </x:c>
      <x:c r="L1174" s="59" t="n">
        <x:v>0.577</x:v>
      </x:c>
      <x:c r="M1174" s="59" t="n">
        <x:v>0.76535</x:v>
      </x:c>
      <x:c r="N1174" s="60" t="n">
        <x:v>-69.26</x:v>
      </x:c>
      <x:c r="O1174" s="60" t="n">
        <x:v>4.76</x:v>
      </x:c>
      <x:c r="P1174" s="60" t="n">
        <x:v>3.36</x:v>
      </x:c>
      <x:c r="Q1174" s="60" t="n">
        <x:v>70.4</x:v>
      </x:c>
      <x:c r="R1174" s="58" t="str">
        <x:v>Z</x:v>
      </x:c>
      <x:c r="S1174" s="60" t="n">
        <x:v>61.3</x:v>
      </x:c>
      <x:c r="T1174" s="58" t="str">
        <x:v>VALID</x:v>
      </x:c>
      <x:c r="U1174" s="58" t="n">
        <x:v>413</x:v>
      </x:c>
      <x:c r="V1174" s="58" t="str">
        <x:v>Pasted text(59).txt</x:v>
      </x:c>
    </x:row>
    <x:row r="1175">
      <x:c r="A1175" s="58" t="str">
        <x:v>S12</x:v>
      </x:c>
      <x:c r="B1175" s="58" t="str">
        <x:v>1.15 safety-guard failure session</x:v>
      </x:c>
      <x:c r="C1175" s="58" t="n">
        <x:v>1.15</x:v>
      </x:c>
      <x:c r="D1175" s="58" t="n">
        <x:v>3</x:v>
      </x:c>
      <x:c r="E1175" s="58" t="n">
        <x:v>1</x:v>
      </x:c>
      <x:c r="F1175" s="58" t="str">
        <x:v>SEARCH</x:v>
      </x:c>
      <x:c r="G1175" s="58" t="n">
        <x:v>9</x:v>
      </x:c>
      <x:c r="H1175" s="59" t="n">
        <x:v>15</x:v>
      </x:c>
      <x:c r="I1175" s="59" t="n">
        <x:v>0.35978</x:v>
      </x:c>
      <x:c r="J1175" s="59" t="n">
        <x:v>0.35663</x:v>
      </x:c>
      <x:c r="K1175" s="59" t="n">
        <x:v>0.4157</x:v>
      </x:c>
      <x:c r="L1175" s="59" t="n">
        <x:v>0.65156</x:v>
      </x:c>
      <x:c r="M1175" s="59" t="n">
        <x:v>0.85129</x:v>
      </x:c>
      <x:c r="N1175" s="60" t="n">
        <x:v>-68.71</x:v>
      </x:c>
      <x:c r="O1175" s="60" t="n">
        <x:v>1.52</x:v>
      </x:c>
      <x:c r="P1175" s="60" t="n">
        <x:v>2.48</x:v>
      </x:c>
      <x:c r="Q1175" s="60" t="n">
        <x:v>72.7</x:v>
      </x:c>
      <x:c r="R1175" s="58" t="str">
        <x:v>Z</x:v>
      </x:c>
      <x:c r="S1175" s="60" t="n">
        <x:v>54.7</x:v>
      </x:c>
      <x:c r="T1175" s="58" t="str">
        <x:v>VALID</x:v>
      </x:c>
      <x:c r="U1175" s="58" t="n">
        <x:v>414</x:v>
      </x:c>
      <x:c r="V1175" s="58" t="str">
        <x:v>Pasted text(59).txt</x:v>
      </x:c>
    </x:row>
    <x:row r="1176">
      <x:c r="A1176" s="58" t="str">
        <x:v>S12</x:v>
      </x:c>
      <x:c r="B1176" s="58" t="str">
        <x:v>1.15 safety-guard failure session</x:v>
      </x:c>
      <x:c r="C1176" s="58" t="n">
        <x:v>1.15</x:v>
      </x:c>
      <x:c r="D1176" s="58" t="n">
        <x:v>3</x:v>
      </x:c>
      <x:c r="E1176" s="58" t="n">
        <x:v>1</x:v>
      </x:c>
      <x:c r="F1176" s="58" t="str">
        <x:v>SEARCH</x:v>
      </x:c>
      <x:c r="G1176" s="58" t="n">
        <x:v>10</x:v>
      </x:c>
      <x:c r="H1176" s="59" t="n">
        <x:v>16</x:v>
      </x:c>
      <x:c r="I1176" s="59" t="n">
        <x:v>0.37228</x:v>
      </x:c>
      <x:c r="J1176" s="59" t="n">
        <x:v>0.37417</x:v>
      </x:c>
      <x:c r="K1176" s="59" t="n">
        <x:v>0.4118</x:v>
      </x:c>
      <x:c r="L1176" s="59" t="n">
        <x:v>0.67218</x:v>
      </x:c>
      <x:c r="M1176" s="59" t="n">
        <x:v>0.87275</x:v>
      </x:c>
      <x:c r="N1176" s="60" t="n">
        <x:v>-67.63</x:v>
      </x:c>
      <x:c r="O1176" s="60" t="n">
        <x:v>2.57</x:v>
      </x:c>
      <x:c r="P1176" s="60" t="n">
        <x:v>2.52</x:v>
      </x:c>
      <x:c r="Q1176" s="60" t="n">
        <x:v>74.8</x:v>
      </x:c>
      <x:c r="R1176" s="58" t="str">
        <x:v>Z</x:v>
      </x:c>
      <x:c r="S1176" s="60" t="n">
        <x:v>55.7</x:v>
      </x:c>
      <x:c r="T1176" s="58" t="str">
        <x:v>VALID</x:v>
      </x:c>
      <x:c r="U1176" s="58" t="n">
        <x:v>415</x:v>
      </x:c>
      <x:c r="V1176" s="58" t="str">
        <x:v>Pasted text(59).txt</x:v>
      </x:c>
    </x:row>
    <x:row r="1177">
      <x:c r="A1177" s="58" t="str">
        <x:v>S12</x:v>
      </x:c>
      <x:c r="B1177" s="58" t="str">
        <x:v>1.15 safety-guard failure session</x:v>
      </x:c>
      <x:c r="C1177" s="58" t="n">
        <x:v>1.15</x:v>
      </x:c>
      <x:c r="D1177" s="58" t="n">
        <x:v>3</x:v>
      </x:c>
      <x:c r="E1177" s="58" t="n">
        <x:v>1</x:v>
      </x:c>
      <x:c r="F1177" s="58" t="str">
        <x:v>SEARCH</x:v>
      </x:c>
      <x:c r="G1177" s="58" t="n">
        <x:v>11</x:v>
      </x:c>
      <x:c r="H1177" s="59" t="n">
        <x:v>17</x:v>
      </x:c>
      <x:c r="I1177" s="59" t="n">
        <x:v>0.37974</x:v>
      </x:c>
      <x:c r="J1177" s="59" t="n">
        <x:v>0.37964</x:v>
      </x:c>
      <x:c r="K1177" s="59" t="n">
        <x:v>0.43376</x:v>
      </x:c>
      <x:c r="L1177" s="59" t="n">
        <x:v>0.71859</x:v>
      </x:c>
      <x:c r="M1177" s="59" t="n">
        <x:v>0.92153</x:v>
      </x:c>
      <x:c r="N1177" s="60" t="n">
        <x:v>-66.98</x:v>
      </x:c>
      <x:c r="O1177" s="60" t="n">
        <x:v>5.98</x:v>
      </x:c>
      <x:c r="P1177" s="60" t="n">
        <x:v>4.07</x:v>
      </x:c>
      <x:c r="Q1177" s="60" t="n">
        <x:v>74.5</x:v>
      </x:c>
      <x:c r="R1177" s="58" t="str">
        <x:v>Z</x:v>
      </x:c>
      <x:c r="S1177" s="60" t="n">
        <x:v>52.8</x:v>
      </x:c>
      <x:c r="T1177" s="58" t="str">
        <x:v>VALID</x:v>
      </x:c>
      <x:c r="U1177" s="58" t="n">
        <x:v>416</x:v>
      </x:c>
      <x:c r="V1177" s="58" t="str">
        <x:v>Pasted text(59).txt</x:v>
      </x:c>
    </x:row>
    <x:row r="1178">
      <x:c r="A1178" s="58" t="str">
        <x:v>S12</x:v>
      </x:c>
      <x:c r="B1178" s="58" t="str">
        <x:v>1.15 safety-guard failure session</x:v>
      </x:c>
      <x:c r="C1178" s="58" t="n">
        <x:v>1.15</x:v>
      </x:c>
      <x:c r="D1178" s="58" t="n">
        <x:v>3</x:v>
      </x:c>
      <x:c r="E1178" s="58" t="n">
        <x:v>1</x:v>
      </x:c>
      <x:c r="F1178" s="58" t="str">
        <x:v>SEARCH</x:v>
      </x:c>
      <x:c r="G1178" s="58" t="n">
        <x:v>12</x:v>
      </x:c>
      <x:c r="H1178" s="59" t="n">
        <x:v>18</x:v>
      </x:c>
      <x:c r="I1178" s="59" t="n">
        <x:v>0.38618</x:v>
      </x:c>
      <x:c r="J1178" s="59" t="n">
        <x:v>0.38641</x:v>
      </x:c>
      <x:c r="K1178" s="59" t="n">
        <x:v>0.46854</x:v>
      </x:c>
      <x:c r="L1178" s="59" t="n">
        <x:v>0.74211</x:v>
      </x:c>
      <x:c r="M1178" s="59" t="n">
        <x:v>0.95901</x:v>
      </x:c>
      <x:c r="N1178" s="60" t="n">
        <x:v>-66.42</x:v>
      </x:c>
      <x:c r="O1178" s="60" t="n">
        <x:v>4.24</x:v>
      </x:c>
      <x:c r="P1178" s="60" t="n">
        <x:v>2.95</x:v>
      </x:c>
      <x:c r="Q1178" s="60" t="n">
        <x:v>72.6</x:v>
      </x:c>
      <x:c r="R1178" s="58" t="str">
        <x:v>Z</x:v>
      </x:c>
      <x:c r="S1178" s="60" t="n">
        <x:v>52.1</x:v>
      </x:c>
      <x:c r="T1178" s="58" t="str">
        <x:v>VALID</x:v>
      </x:c>
      <x:c r="U1178" s="58" t="n">
        <x:v>417</x:v>
      </x:c>
      <x:c r="V1178" s="58" t="str">
        <x:v>Pasted text(59).txt</x:v>
      </x:c>
    </x:row>
    <x:row r="1179">
      <x:c r="A1179" s="58" t="str">
        <x:v>S12</x:v>
      </x:c>
      <x:c r="B1179" s="58" t="str">
        <x:v>1.15 safety-guard failure session</x:v>
      </x:c>
      <x:c r="C1179" s="58" t="n">
        <x:v>1.15</x:v>
      </x:c>
      <x:c r="D1179" s="58" t="n">
        <x:v>3</x:v>
      </x:c>
      <x:c r="E1179" s="58" t="n">
        <x:v>1</x:v>
      </x:c>
      <x:c r="F1179" s="58" t="str">
        <x:v>SEARCH</x:v>
      </x:c>
      <x:c r="G1179" s="58" t="n">
        <x:v>13</x:v>
      </x:c>
      <x:c r="H1179" s="59" t="n">
        <x:v>19</x:v>
      </x:c>
      <x:c r="I1179" s="59" t="n">
        <x:v>0.41597</x:v>
      </x:c>
      <x:c r="J1179" s="59" t="n">
        <x:v>0.41356</x:v>
      </x:c>
      <x:c r="K1179" s="59" t="n">
        <x:v>0.48591</x:v>
      </x:c>
      <x:c r="L1179" s="59" t="n">
        <x:v>0.76323</x:v>
      </x:c>
      <x:c r="M1179" s="59" t="n">
        <x:v>0.99499</x:v>
      </x:c>
      <x:c r="N1179" s="60" t="n">
        <x:v>-63.83</x:v>
      </x:c>
      <x:c r="O1179" s="60" t="n">
        <x:v>8.72</x:v>
      </x:c>
      <x:c r="P1179" s="60" t="n">
        <x:v>6.81</x:v>
      </x:c>
      <x:c r="Q1179" s="60" t="n">
        <x:v>74.8</x:v>
      </x:c>
      <x:c r="R1179" s="58" t="str">
        <x:v>Z</x:v>
      </x:c>
      <x:c r="S1179" s="60" t="n">
        <x:v>54.2</x:v>
      </x:c>
      <x:c r="T1179" s="58" t="str">
        <x:v>VALID</x:v>
      </x:c>
      <x:c r="U1179" s="58" t="n">
        <x:v>418</x:v>
      </x:c>
      <x:c r="V1179" s="58" t="str">
        <x:v>Pasted text(59).txt</x:v>
      </x:c>
    </x:row>
    <x:row r="1180">
      <x:c r="A1180" s="58" t="str">
        <x:v>S12</x:v>
      </x:c>
      <x:c r="B1180" s="58" t="str">
        <x:v>1.15 safety-guard failure session</x:v>
      </x:c>
      <x:c r="C1180" s="58" t="n">
        <x:v>1.15</x:v>
      </x:c>
      <x:c r="D1180" s="58" t="n">
        <x:v>3</x:v>
      </x:c>
      <x:c r="E1180" s="58" t="n">
        <x:v>1</x:v>
      </x:c>
      <x:c r="F1180" s="58" t="str">
        <x:v>SEARCH</x:v>
      </x:c>
      <x:c r="G1180" s="58" t="n">
        <x:v>14</x:v>
      </x:c>
      <x:c r="H1180" s="59" t="n">
        <x:v>20</x:v>
      </x:c>
      <x:c r="I1180" s="59" t="n">
        <x:v>0.41218</x:v>
      </x:c>
      <x:c r="J1180" s="59" t="n">
        <x:v>0.41104</x:v>
      </x:c>
      <x:c r="K1180" s="59" t="n">
        <x:v>0.52439</x:v>
      </x:c>
      <x:c r="L1180" s="59" t="n">
        <x:v>0.80743</x:v>
      </x:c>
      <x:c r="M1180" s="59" t="n">
        <x:v>1.04696</x:v>
      </x:c>
      <x:c r="N1180" s="60" t="n">
        <x:v>-64.16</x:v>
      </x:c>
      <x:c r="O1180" s="60" t="n">
        <x:v>4.16</x:v>
      </x:c>
      <x:c r="P1180" s="60" t="n">
        <x:v>3.24</x:v>
      </x:c>
      <x:c r="Q1180" s="60" t="n">
        <x:v>70.5</x:v>
      </x:c>
      <x:c r="R1180" s="58" t="str">
        <x:v>Z</x:v>
      </x:c>
      <x:c r="S1180" s="60" t="n">
        <x:v>50.9</x:v>
      </x:c>
      <x:c r="T1180" s="58" t="str">
        <x:v>VALID</x:v>
      </x:c>
      <x:c r="U1180" s="58" t="n">
        <x:v>419</x:v>
      </x:c>
      <x:c r="V1180" s="58" t="str">
        <x:v>Pasted text(59).txt</x:v>
      </x:c>
    </x:row>
    <x:row r="1181">
      <x:c r="A1181" s="58" t="str">
        <x:v>S12</x:v>
      </x:c>
      <x:c r="B1181" s="58" t="str">
        <x:v>1.15 safety-guard failure session</x:v>
      </x:c>
      <x:c r="C1181" s="58" t="n">
        <x:v>1.15</x:v>
      </x:c>
      <x:c r="D1181" s="58" t="n">
        <x:v>3</x:v>
      </x:c>
      <x:c r="E1181" s="58" t="n">
        <x:v>1</x:v>
      </x:c>
      <x:c r="F1181" s="58" t="str">
        <x:v>SEARCH</x:v>
      </x:c>
      <x:c r="G1181" s="58" t="n">
        <x:v>15</x:v>
      </x:c>
      <x:c r="H1181" s="59" t="n">
        <x:v>21</x:v>
      </x:c>
      <x:c r="I1181" s="59" t="n">
        <x:v>0.47917</x:v>
      </x:c>
      <x:c r="J1181" s="59" t="n">
        <x:v>0.46647</x:v>
      </x:c>
      <x:c r="K1181" s="59" t="n">
        <x:v>0.54672</x:v>
      </x:c>
      <x:c r="L1181" s="59" t="n">
        <x:v>0.80623</x:v>
      </x:c>
      <x:c r="M1181" s="59" t="n">
        <x:v>1.0805</x:v>
      </x:c>
      <x:c r="N1181" s="60" t="n">
        <x:v>-58.33</x:v>
      </x:c>
      <x:c r="O1181" s="60" t="n">
        <x:v>3.89</x:v>
      </x:c>
      <x:c r="P1181" s="60" t="n">
        <x:v>7.18</x:v>
      </x:c>
      <x:c r="Q1181" s="60" t="n">
        <x:v>76.2</x:v>
      </x:c>
      <x:c r="R1181" s="58" t="str">
        <x:v>Z</x:v>
      </x:c>
      <x:c r="S1181" s="60" t="n">
        <x:v>57.9</x:v>
      </x:c>
      <x:c r="T1181" s="58" t="str">
        <x:v>VALID</x:v>
      </x:c>
      <x:c r="U1181" s="58" t="n">
        <x:v>420</x:v>
      </x:c>
      <x:c r="V1181" s="58" t="str">
        <x:v>Pasted text(59).txt</x:v>
      </x:c>
    </x:row>
    <x:row r="1182">
      <x:c r="A1182" s="58" t="str">
        <x:v>S12</x:v>
      </x:c>
      <x:c r="B1182" s="58" t="str">
        <x:v>1.15 safety-guard failure session</x:v>
      </x:c>
      <x:c r="C1182" s="58" t="n">
        <x:v>1.15</x:v>
      </x:c>
      <x:c r="D1182" s="58" t="n">
        <x:v>3</x:v>
      </x:c>
      <x:c r="E1182" s="58" t="n">
        <x:v>1</x:v>
      </x:c>
      <x:c r="F1182" s="58" t="str">
        <x:v>SEARCH</x:v>
      </x:c>
      <x:c r="G1182" s="58" t="n">
        <x:v>16</x:v>
      </x:c>
      <x:c r="H1182" s="59" t="n">
        <x:v>22</x:v>
      </x:c>
      <x:c r="I1182" s="59" t="n">
        <x:v>0.49074</x:v>
      </x:c>
      <x:c r="J1182" s="59" t="n">
        <x:v>0.48694</x:v>
      </x:c>
      <x:c r="K1182" s="59" t="n">
        <x:v>0.5738</x:v>
      </x:c>
      <x:c r="L1182" s="59" t="n">
        <x:v>0.82151</x:v>
      </x:c>
      <x:c r="M1182" s="59" t="n">
        <x:v>1.11425</x:v>
      </x:c>
      <x:c r="N1182" s="60" t="n">
        <x:v>-57.33</x:v>
      </x:c>
      <x:c r="O1182" s="60" t="n">
        <x:v>0.3</x:v>
      </x:c>
      <x:c r="P1182" s="60" t="n">
        <x:v>1.53</x:v>
      </x:c>
      <x:c r="Q1182" s="60" t="n">
        <x:v>74.9</x:v>
      </x:c>
      <x:c r="R1182" s="58" t="str">
        <x:v>Z</x:v>
      </x:c>
      <x:c r="S1182" s="60" t="n">
        <x:v>59.3</x:v>
      </x:c>
      <x:c r="T1182" s="58" t="str">
        <x:v>VALID</x:v>
      </x:c>
      <x:c r="U1182" s="58" t="n">
        <x:v>421</x:v>
      </x:c>
      <x:c r="V1182" s="58" t="str">
        <x:v>Pasted text(59).txt</x:v>
      </x:c>
    </x:row>
    <x:row r="1183">
      <x:c r="A1183" s="58" t="str">
        <x:v>S12</x:v>
      </x:c>
      <x:c r="B1183" s="58" t="str">
        <x:v>1.15 safety-guard failure session</x:v>
      </x:c>
      <x:c r="C1183" s="58" t="n">
        <x:v>1.15</x:v>
      </x:c>
      <x:c r="D1183" s="58" t="n">
        <x:v>3</x:v>
      </x:c>
      <x:c r="E1183" s="58" t="n">
        <x:v>1</x:v>
      </x:c>
      <x:c r="F1183" s="58" t="str">
        <x:v>SEARCH</x:v>
      </x:c>
      <x:c r="G1183" s="58" t="n">
        <x:v>17</x:v>
      </x:c>
      <x:c r="H1183" s="59" t="n">
        <x:v>23</x:v>
      </x:c>
      <x:c r="I1183" s="59" t="n">
        <x:v>0.47372</x:v>
      </x:c>
      <x:c r="J1183" s="59" t="n">
        <x:v>0.47504</x:v>
      </x:c>
      <x:c r="K1183" s="59" t="n">
        <x:v>0.58868</x:v>
      </x:c>
      <x:c r="L1183" s="59" t="n">
        <x:v>0.84509</x:v>
      </x:c>
      <x:c r="M1183" s="59" t="n">
        <x:v>1.13426</x:v>
      </x:c>
      <x:c r="N1183" s="60" t="n">
        <x:v>-58.81</x:v>
      </x:c>
      <x:c r="O1183" s="60" t="n">
        <x:v>4.48</x:v>
      </x:c>
      <x:c r="P1183" s="60" t="n">
        <x:v>3.44</x:v>
      </x:c>
      <x:c r="Q1183" s="60" t="n">
        <x:v>73.3</x:v>
      </x:c>
      <x:c r="R1183" s="58" t="str">
        <x:v>Z</x:v>
      </x:c>
      <x:c r="S1183" s="60" t="n">
        <x:v>56.2</x:v>
      </x:c>
      <x:c r="T1183" s="58" t="str">
        <x:v>VALID</x:v>
      </x:c>
      <x:c r="U1183" s="58" t="n">
        <x:v>422</x:v>
      </x:c>
      <x:c r="V1183" s="58" t="str">
        <x:v>Pasted text(59).txt</x:v>
      </x:c>
    </x:row>
    <x:row r="1184">
      <x:c r="A1184" s="58" t="str">
        <x:v>S12</x:v>
      </x:c>
      <x:c r="B1184" s="58" t="str">
        <x:v>1.15 safety-guard failure session</x:v>
      </x:c>
      <x:c r="C1184" s="58" t="n">
        <x:v>1.15</x:v>
      </x:c>
      <x:c r="D1184" s="58" t="n">
        <x:v>3</x:v>
      </x:c>
      <x:c r="E1184" s="58" t="n">
        <x:v>1</x:v>
      </x:c>
      <x:c r="F1184" s="58" t="str">
        <x:v>SEARCH</x:v>
      </x:c>
      <x:c r="G1184" s="58" t="n">
        <x:v>18</x:v>
      </x:c>
      <x:c r="H1184" s="59" t="n">
        <x:v>24</x:v>
      </x:c>
      <x:c r="I1184" s="59" t="n">
        <x:v>0</x:v>
      </x:c>
      <x:c r="J1184" s="59" t="n">
        <x:v>0</x:v>
      </x:c>
      <x:c r="K1184" s="59" t="n">
        <x:v>0</x:v>
      </x:c>
      <x:c r="L1184" s="59" t="n">
        <x:v>0</x:v>
      </x:c>
      <x:c r="M1184" s="59" t="n">
        <x:v>0</x:v>
      </x:c>
      <x:c r="N1184" s="60" t="n">
        <x:v>-100</x:v>
      </x:c>
      <x:c r="O1184" s="60" t="n">
        <x:v>0</x:v>
      </x:c>
      <x:c r="P1184" s="60" t="n">
        <x:v>0</x:v>
      </x:c>
      <x:c r="Q1184" s="60" t="n">
        <x:v>0</x:v>
      </x:c>
      <x:c r="R1184" s="58" t="str">
        <x:v>?</x:v>
      </x:c>
      <x:c r="S1184" s="60" t="n">
        <x:v>0</x:v>
      </x:c>
      <x:c r="T1184" s="58" t="str">
        <x:v>SAFETY GUARD</x:v>
      </x:c>
      <x:c r="U1184" s="58" t="n">
        <x:v>423</x:v>
      </x:c>
      <x:c r="V1184" s="58" t="str">
        <x:v>Pasted text(59).txt</x:v>
      </x:c>
    </x:row>
    <x:row r="1185">
      <x:c r="A1185" s="58" t="str">
        <x:v>S12</x:v>
      </x:c>
      <x:c r="B1185" s="58" t="str">
        <x:v>1.15 safety-guard failure session</x:v>
      </x:c>
      <x:c r="C1185" s="58" t="n">
        <x:v>1.15</x:v>
      </x:c>
      <x:c r="D1185" s="58" t="n">
        <x:v>4</x:v>
      </x:c>
      <x:c r="E1185" s="58" t="n">
        <x:v>1</x:v>
      </x:c>
      <x:c r="F1185" s="58" t="str">
        <x:v>SEARCH</x:v>
      </x:c>
      <x:c r="G1185" s="58" t="n">
        <x:v>1</x:v>
      </x:c>
      <x:c r="H1185" s="59" t="n">
        <x:v>1</x:v>
      </x:c>
      <x:c r="I1185" s="59" t="n">
        <x:v>0.01812</x:v>
      </x:c>
      <x:c r="J1185" s="59" t="n">
        <x:v>0.01785</x:v>
      </x:c>
      <x:c r="K1185" s="59" t="n">
        <x:v>0.01801</x:v>
      </x:c>
      <x:c r="L1185" s="59" t="n">
        <x:v>0.02527</x:v>
      </x:c>
      <x:c r="M1185" s="59" t="n">
        <x:v>0.03597</x:v>
      </x:c>
      <x:c r="N1185" s="60" t="n">
        <x:v>-98.42</x:v>
      </x:c>
      <x:c r="O1185" s="60" t="n">
        <x:v>4.46</x:v>
      </x:c>
      <x:c r="P1185" s="60" t="n">
        <x:v>2.16</x:v>
      </x:c>
      <x:c r="Q1185" s="60" t="n">
        <x:v>8.2</x:v>
      </x:c>
      <x:c r="R1185" s="58" t="str">
        <x:v>Z</x:v>
      </x:c>
      <x:c r="S1185" s="60" t="n">
        <x:v>70.6</x:v>
      </x:c>
      <x:c r="T1185" s="58" t="str">
        <x:v>BELOW MEASUREMENT FLOOR — SEARCH CONTINUES</x:v>
      </x:c>
      <x:c r="U1185" s="58" t="n">
        <x:v>440</x:v>
      </x:c>
      <x:c r="V1185" s="58" t="str">
        <x:v>Pasted text(59).txt</x:v>
      </x:c>
    </x:row>
    <x:row r="1186">
      <x:c r="A1186" s="58" t="str">
        <x:v>S12</x:v>
      </x:c>
      <x:c r="B1186" s="58" t="str">
        <x:v>1.15 safety-guard failure session</x:v>
      </x:c>
      <x:c r="C1186" s="58" t="n">
        <x:v>1.15</x:v>
      </x:c>
      <x:c r="D1186" s="58" t="n">
        <x:v>4</x:v>
      </x:c>
      <x:c r="E1186" s="58" t="n">
        <x:v>1</x:v>
      </x:c>
      <x:c r="F1186" s="58" t="str">
        <x:v>SEARCH</x:v>
      </x:c>
      <x:c r="G1186" s="58" t="n">
        <x:v>2</x:v>
      </x:c>
      <x:c r="H1186" s="59" t="n">
        <x:v>3</x:v>
      </x:c>
      <x:c r="I1186" s="59" t="n">
        <x:v>0.02135</x:v>
      </x:c>
      <x:c r="J1186" s="59" t="n">
        <x:v>0.0226</x:v>
      </x:c>
      <x:c r="K1186" s="59" t="n">
        <x:v>0.03352</x:v>
      </x:c>
      <x:c r="L1186" s="59" t="n">
        <x:v>0.01754</x:v>
      </x:c>
      <x:c r="M1186" s="59" t="n">
        <x:v>0.04466</x:v>
      </x:c>
      <x:c r="N1186" s="60" t="n">
        <x:v>-98.14</x:v>
      </x:c>
      <x:c r="O1186" s="60" t="n">
        <x:v>82.02</x:v>
      </x:c>
      <x:c r="P1186" s="60" t="n">
        <x:v>60.76</x:v>
      </x:c>
      <x:c r="Q1186" s="60" t="n">
        <x:v>10.4</x:v>
      </x:c>
      <x:c r="R1186" s="58" t="str">
        <x:v>Y</x:v>
      </x:c>
      <x:c r="S1186" s="60" t="n">
        <x:v>67.4</x:v>
      </x:c>
      <x:c r="T1186" s="58" t="str">
        <x:v>BELOW MEASUREMENT FLOOR — SEARCH CONTINUES</x:v>
      </x:c>
      <x:c r="U1186" s="58" t="n">
        <x:v>441</x:v>
      </x:c>
      <x:c r="V1186" s="58" t="str">
        <x:v>Pasted text(59).txt</x:v>
      </x:c>
    </x:row>
    <x:row r="1187">
      <x:c r="A1187" s="58" t="str">
        <x:v>S12</x:v>
      </x:c>
      <x:c r="B1187" s="58" t="str">
        <x:v>1.15 safety-guard failure session</x:v>
      </x:c>
      <x:c r="C1187" s="58" t="n">
        <x:v>1.15</x:v>
      </x:c>
      <x:c r="D1187" s="58" t="n">
        <x:v>4</x:v>
      </x:c>
      <x:c r="E1187" s="58" t="n">
        <x:v>1</x:v>
      </x:c>
      <x:c r="F1187" s="58" t="str">
        <x:v>SEARCH</x:v>
      </x:c>
      <x:c r="G1187" s="58" t="n">
        <x:v>3</x:v>
      </x:c>
      <x:c r="H1187" s="59" t="n">
        <x:v>5</x:v>
      </x:c>
      <x:c r="I1187" s="59" t="n">
        <x:v>0.0167</x:v>
      </x:c>
      <x:c r="J1187" s="59" t="n">
        <x:v>0.01633</x:v>
      </x:c>
      <x:c r="K1187" s="59" t="n">
        <x:v>0.12441</x:v>
      </x:c>
      <x:c r="L1187" s="59" t="n">
        <x:v>0.30774</x:v>
      </x:c>
      <x:c r="M1187" s="59" t="n">
        <x:v>0.33451</x:v>
      </x:c>
      <x:c r="N1187" s="60" t="n">
        <x:v>-98.55</x:v>
      </x:c>
      <x:c r="O1187" s="60" t="n">
        <x:v>6.45</x:v>
      </x:c>
      <x:c r="P1187" s="60" t="n">
        <x:v>3.15</x:v>
      </x:c>
      <x:c r="Q1187" s="60" t="n">
        <x:v>6.5</x:v>
      </x:c>
      <x:c r="R1187" s="58" t="str">
        <x:v>Z</x:v>
      </x:c>
      <x:c r="S1187" s="60" t="n">
        <x:v>5.3</x:v>
      </x:c>
      <x:c r="T1187" s="58" t="str">
        <x:v>BELOW MEASUREMENT FLOOR — SEARCH CONTINUES</x:v>
      </x:c>
      <x:c r="U1187" s="58" t="n">
        <x:v>442</x:v>
      </x:c>
      <x:c r="V1187" s="58" t="str">
        <x:v>Pasted text(59).txt</x:v>
      </x:c>
    </x:row>
    <x:row r="1188">
      <x:c r="A1188" s="58" t="str">
        <x:v>S12</x:v>
      </x:c>
      <x:c r="B1188" s="58" t="str">
        <x:v>1.15 safety-guard failure session</x:v>
      </x:c>
      <x:c r="C1188" s="58" t="n">
        <x:v>1.15</x:v>
      </x:c>
      <x:c r="D1188" s="58" t="n">
        <x:v>4</x:v>
      </x:c>
      <x:c r="E1188" s="58" t="n">
        <x:v>1</x:v>
      </x:c>
      <x:c r="F1188" s="58" t="str">
        <x:v>SEARCH</x:v>
      </x:c>
      <x:c r="G1188" s="58" t="n">
        <x:v>4</x:v>
      </x:c>
      <x:c r="H1188" s="59" t="n">
        <x:v>7</x:v>
      </x:c>
      <x:c r="I1188" s="59" t="n">
        <x:v>0</x:v>
      </x:c>
      <x:c r="J1188" s="59" t="n">
        <x:v>0</x:v>
      </x:c>
      <x:c r="K1188" s="59" t="n">
        <x:v>0</x:v>
      </x:c>
      <x:c r="L1188" s="59" t="n">
        <x:v>0</x:v>
      </x:c>
      <x:c r="M1188" s="59" t="n">
        <x:v>0</x:v>
      </x:c>
      <x:c r="N1188" s="60" t="n">
        <x:v>-100</x:v>
      </x:c>
      <x:c r="O1188" s="60" t="n">
        <x:v>0</x:v>
      </x:c>
      <x:c r="P1188" s="60" t="n">
        <x:v>0</x:v>
      </x:c>
      <x:c r="Q1188" s="60" t="n">
        <x:v>0</x:v>
      </x:c>
      <x:c r="R1188" s="58" t="str">
        <x:v>?</x:v>
      </x:c>
      <x:c r="S1188" s="60" t="n">
        <x:v>0</x:v>
      </x:c>
      <x:c r="T1188" s="58" t="str">
        <x:v>SAFETY GUARD</x:v>
      </x:c>
      <x:c r="U1188" s="58" t="n">
        <x:v>443</x:v>
      </x:c>
      <x:c r="V1188" s="58" t="str">
        <x:v>Pasted text(59).txt</x:v>
      </x:c>
    </x:row>
    <x:row r="1189">
      <x:c r="A1189" s="58" t="str">
        <x:v>S12</x:v>
      </x:c>
      <x:c r="B1189" s="58" t="str">
        <x:v>1.15 safety-guard failure session</x:v>
      </x:c>
      <x:c r="C1189" s="58" t="n">
        <x:v>1.15</x:v>
      </x:c>
      <x:c r="D1189" s="58" t="n">
        <x:v>5</x:v>
      </x:c>
      <x:c r="E1189" s="58" t="n">
        <x:v>1</x:v>
      </x:c>
      <x:c r="F1189" s="58" t="str">
        <x:v>SEARCH</x:v>
      </x:c>
      <x:c r="G1189" s="58" t="n">
        <x:v>1</x:v>
      </x:c>
      <x:c r="H1189" s="59" t="n">
        <x:v>1</x:v>
      </x:c>
      <x:c r="I1189" s="59" t="n">
        <x:v>0.13953</x:v>
      </x:c>
      <x:c r="J1189" s="59" t="n">
        <x:v>0.32698</x:v>
      </x:c>
      <x:c r="K1189" s="59" t="n">
        <x:v>0.79542</x:v>
      </x:c>
      <x:c r="L1189" s="59" t="n">
        <x:v>0.97519</x:v>
      </x:c>
      <x:c r="M1189" s="59" t="n">
        <x:v>1.30877</x:v>
      </x:c>
      <x:c r="N1189" s="60" t="n">
        <x:v>-87.87</x:v>
      </x:c>
      <x:c r="O1189" s="60" t="n">
        <x:v>68.6</x:v>
      </x:c>
      <x:c r="P1189" s="60" t="n">
        <x:v>116.81</x:v>
      </x:c>
      <x:c r="Q1189" s="60" t="n">
        <x:v>9.1</x:v>
      </x:c>
      <x:c r="R1189" s="58" t="str">
        <x:v>Z</x:v>
      </x:c>
      <x:c r="S1189" s="60" t="n">
        <x:v>33.5</x:v>
      </x:c>
      <x:c r="T1189" s="58" t="str">
        <x:v>UNSTABLE — SEARCH CONTINUES</x:v>
      </x:c>
      <x:c r="U1189" s="58" t="n">
        <x:v>460</x:v>
      </x:c>
      <x:c r="V1189" s="58" t="str">
        <x:v>Pasted text(59).txt</x:v>
      </x:c>
    </x:row>
    <x:row r="1190">
      <x:c r="A1190" s="58" t="str">
        <x:v>S12</x:v>
      </x:c>
      <x:c r="B1190" s="58" t="str">
        <x:v>1.15 safety-guard failure session</x:v>
      </x:c>
      <x:c r="C1190" s="58" t="n">
        <x:v>1.15</x:v>
      </x:c>
      <x:c r="D1190" s="58" t="n">
        <x:v>5</x:v>
      </x:c>
      <x:c r="E1190" s="58" t="n">
        <x:v>1</x:v>
      </x:c>
      <x:c r="F1190" s="58" t="str">
        <x:v>SEARCH</x:v>
      </x:c>
      <x:c r="G1190" s="58" t="n">
        <x:v>2</x:v>
      </x:c>
      <x:c r="H1190" s="59" t="n">
        <x:v>3</x:v>
      </x:c>
      <x:c r="I1190" s="59" t="n">
        <x:v>0</x:v>
      </x:c>
      <x:c r="J1190" s="59" t="n">
        <x:v>0</x:v>
      </x:c>
      <x:c r="K1190" s="59" t="n">
        <x:v>0</x:v>
      </x:c>
      <x:c r="L1190" s="59" t="n">
        <x:v>0</x:v>
      </x:c>
      <x:c r="M1190" s="59" t="n">
        <x:v>0</x:v>
      </x:c>
      <x:c r="N1190" s="60" t="n">
        <x:v>-100</x:v>
      </x:c>
      <x:c r="O1190" s="60" t="n">
        <x:v>0</x:v>
      </x:c>
      <x:c r="P1190" s="60" t="n">
        <x:v>0</x:v>
      </x:c>
      <x:c r="Q1190" s="60" t="n">
        <x:v>0</x:v>
      </x:c>
      <x:c r="R1190" s="58" t="str">
        <x:v>?</x:v>
      </x:c>
      <x:c r="S1190" s="60" t="n">
        <x:v>0</x:v>
      </x:c>
      <x:c r="T1190" s="58" t="str">
        <x:v>SAFETY GUARD</x:v>
      </x:c>
      <x:c r="U1190" s="58" t="n">
        <x:v>461</x:v>
      </x:c>
      <x:c r="V1190" s="58" t="str">
        <x:v>Pasted text(59).txt</x:v>
      </x:c>
    </x:row>
    <x:row r="1191">
      <x:c r="A1191" s="58" t="str">
        <x:v>S13</x:v>
      </x:c>
      <x:c r="B1191" s="58" t="str">
        <x:v>1.00 validated five-run session</x:v>
      </x:c>
      <x:c r="C1191" s="58" t="n">
        <x:v>1</x:v>
      </x:c>
      <x:c r="D1191" s="58" t="n">
        <x:v>1</x:v>
      </x:c>
      <x:c r="E1191" s="58" t="n">
        <x:v>1</x:v>
      </x:c>
      <x:c r="F1191" s="58" t="str">
        <x:v>SEARCH</x:v>
      </x:c>
      <x:c r="G1191" s="58" t="n">
        <x:v>1</x:v>
      </x:c>
      <x:c r="H1191" s="59" t="n">
        <x:v>1</x:v>
      </x:c>
      <x:c r="I1191" s="59" t="n">
        <x:v>0.0878</x:v>
      </x:c>
      <x:c r="J1191" s="59" t="n">
        <x:v>0.07762</x:v>
      </x:c>
      <x:c r="K1191" s="59" t="n">
        <x:v>0.07874</x:v>
      </x:c>
      <x:c r="L1191" s="59" t="n">
        <x:v>0.05406</x:v>
      </x:c>
      <x:c r="M1191" s="59" t="n">
        <x:v>0.13071</x:v>
      </x:c>
      <x:c r="N1191" s="60" t="n">
        <x:v>-91.22</x:v>
      </x:c>
      <x:c r="O1191" s="60" t="n">
        <x:v>77.34</x:v>
      </x:c>
      <x:c r="P1191" s="60" t="n">
        <x:v>79.48</x:v>
      </x:c>
      <x:c r="Q1191" s="60" t="n">
        <x:v>5.5</x:v>
      </x:c>
      <x:c r="R1191" s="58" t="str">
        <x:v>Y</x:v>
      </x:c>
      <x:c r="S1191" s="60" t="n">
        <x:v>98.6</x:v>
      </x:c>
      <x:c r="T1191" s="58" t="str">
        <x:v>BELOW MEASUREMENT FLOOR — SEARCH CONTINUES</x:v>
      </x:c>
      <x:c r="U1191" s="58" t="n">
        <x:v>526</x:v>
      </x:c>
      <x:c r="V1191" s="58" t="str">
        <x:v>Pasted text(59).txt</x:v>
      </x:c>
    </x:row>
    <x:row r="1192">
      <x:c r="A1192" s="58" t="str">
        <x:v>S13</x:v>
      </x:c>
      <x:c r="B1192" s="58" t="str">
        <x:v>1.00 validated five-run session</x:v>
      </x:c>
      <x:c r="C1192" s="58" t="n">
        <x:v>1</x:v>
      </x:c>
      <x:c r="D1192" s="58" t="n">
        <x:v>1</x:v>
      </x:c>
      <x:c r="E1192" s="58" t="n">
        <x:v>1</x:v>
      </x:c>
      <x:c r="F1192" s="58" t="str">
        <x:v>SEARCH</x:v>
      </x:c>
      <x:c r="G1192" s="58" t="n">
        <x:v>2</x:v>
      </x:c>
      <x:c r="H1192" s="59" t="n">
        <x:v>3</x:v>
      </x:c>
      <x:c r="I1192" s="59" t="n">
        <x:v>0.16348</x:v>
      </x:c>
      <x:c r="J1192" s="59" t="n">
        <x:v>0.17624</x:v>
      </x:c>
      <x:c r="K1192" s="59" t="n">
        <x:v>0.06461</x:v>
      </x:c>
      <x:c r="L1192" s="59" t="n">
        <x:v>0.01696</x:v>
      </x:c>
      <x:c r="M1192" s="59" t="n">
        <x:v>0.18874</x:v>
      </x:c>
      <x:c r="N1192" s="60" t="n">
        <x:v>-83.65</x:v>
      </x:c>
      <x:c r="O1192" s="60" t="n">
        <x:v>23.15</x:v>
      </x:c>
      <x:c r="P1192" s="60" t="n">
        <x:v>10.24</x:v>
      </x:c>
      <x:c r="Q1192" s="60" t="n">
        <x:v>41.4</x:v>
      </x:c>
      <x:c r="R1192" s="58" t="str">
        <x:v>X</x:v>
      </x:c>
      <x:c r="S1192" s="60" t="n">
        <x:v>100</x:v>
      </x:c>
      <x:c r="T1192" s="58" t="str">
        <x:v>UNSTABLE — SEARCH CONTINUES</x:v>
      </x:c>
      <x:c r="U1192" s="58" t="n">
        <x:v>527</x:v>
      </x:c>
      <x:c r="V1192" s="58" t="str">
        <x:v>Pasted text(59).txt</x:v>
      </x:c>
    </x:row>
    <x:row r="1193">
      <x:c r="A1193" s="58" t="str">
        <x:v>S13</x:v>
      </x:c>
      <x:c r="B1193" s="58" t="str">
        <x:v>1.00 validated five-run session</x:v>
      </x:c>
      <x:c r="C1193" s="58" t="n">
        <x:v>1</x:v>
      </x:c>
      <x:c r="D1193" s="58" t="n">
        <x:v>1</x:v>
      </x:c>
      <x:c r="E1193" s="58" t="n">
        <x:v>1</x:v>
      </x:c>
      <x:c r="F1193" s="58" t="str">
        <x:v>SEARCH</x:v>
      </x:c>
      <x:c r="G1193" s="58" t="n">
        <x:v>3</x:v>
      </x:c>
      <x:c r="H1193" s="59" t="n">
        <x:v>5</x:v>
      </x:c>
      <x:c r="I1193" s="59" t="n">
        <x:v>0.32307</x:v>
      </x:c>
      <x:c r="J1193" s="59" t="n">
        <x:v>0.31521</x:v>
      </x:c>
      <x:c r="K1193" s="59" t="n">
        <x:v>0.09658</x:v>
      </x:c>
      <x:c r="L1193" s="59" t="n">
        <x:v>0.06084</x:v>
      </x:c>
      <x:c r="M1193" s="59" t="n">
        <x:v>0.33556</x:v>
      </x:c>
      <x:c r="N1193" s="60" t="n">
        <x:v>-67.69</x:v>
      </x:c>
      <x:c r="O1193" s="60" t="n">
        <x:v>5.34</x:v>
      </x:c>
      <x:c r="P1193" s="60" t="n">
        <x:v>7.74</x:v>
      </x:c>
      <x:c r="Q1193" s="60" t="n">
        <x:v>66.9</x:v>
      </x:c>
      <x:c r="R1193" s="58" t="str">
        <x:v>X</x:v>
      </x:c>
      <x:c r="S1193" s="60" t="n">
        <x:v>100</x:v>
      </x:c>
      <x:c r="T1193" s="58" t="str">
        <x:v>VALID</x:v>
      </x:c>
      <x:c r="U1193" s="58" t="n">
        <x:v>528</x:v>
      </x:c>
      <x:c r="V1193" s="58" t="str">
        <x:v>Pasted text(59).txt</x:v>
      </x:c>
    </x:row>
    <x:row r="1194">
      <x:c r="A1194" s="58" t="str">
        <x:v>S13</x:v>
      </x:c>
      <x:c r="B1194" s="58" t="str">
        <x:v>1.00 validated five-run session</x:v>
      </x:c>
      <x:c r="C1194" s="58" t="n">
        <x:v>1</x:v>
      </x:c>
      <x:c r="D1194" s="58" t="n">
        <x:v>1</x:v>
      </x:c>
      <x:c r="E1194" s="58" t="n">
        <x:v>1</x:v>
      </x:c>
      <x:c r="F1194" s="58" t="str">
        <x:v>SEARCH</x:v>
      </x:c>
      <x:c r="G1194" s="58" t="n">
        <x:v>4</x:v>
      </x:c>
      <x:c r="H1194" s="59" t="n">
        <x:v>6</x:v>
      </x:c>
      <x:c r="I1194" s="59" t="n">
        <x:v>0.36269</x:v>
      </x:c>
      <x:c r="J1194" s="59" t="n">
        <x:v>0.36283</x:v>
      </x:c>
      <x:c r="K1194" s="59" t="n">
        <x:v>0.10674</x:v>
      </x:c>
      <x:c r="L1194" s="59" t="n">
        <x:v>0.06104</x:v>
      </x:c>
      <x:c r="M1194" s="59" t="n">
        <x:v>0.38377</x:v>
      </x:c>
      <x:c r="N1194" s="60" t="n">
        <x:v>-63.73</x:v>
      </x:c>
      <x:c r="O1194" s="60" t="n">
        <x:v>7.38</x:v>
      </x:c>
      <x:c r="P1194" s="60" t="n">
        <x:v>5.04</x:v>
      </x:c>
      <x:c r="Q1194" s="60" t="n">
        <x:v>71.7</x:v>
      </x:c>
      <x:c r="R1194" s="58" t="str">
        <x:v>X</x:v>
      </x:c>
      <x:c r="S1194" s="60" t="n">
        <x:v>100</x:v>
      </x:c>
      <x:c r="T1194" s="58" t="str">
        <x:v>VALID</x:v>
      </x:c>
      <x:c r="U1194" s="58" t="n">
        <x:v>529</x:v>
      </x:c>
      <x:c r="V1194" s="58" t="str">
        <x:v>Pasted text(59).txt</x:v>
      </x:c>
    </x:row>
    <x:row r="1195">
      <x:c r="A1195" s="58" t="str">
        <x:v>S13</x:v>
      </x:c>
      <x:c r="B1195" s="58" t="str">
        <x:v>1.00 validated five-run session</x:v>
      </x:c>
      <x:c r="C1195" s="58" t="n">
        <x:v>1</x:v>
      </x:c>
      <x:c r="D1195" s="58" t="n">
        <x:v>1</x:v>
      </x:c>
      <x:c r="E1195" s="58" t="n">
        <x:v>1</x:v>
      </x:c>
      <x:c r="F1195" s="58" t="str">
        <x:v>SEARCH</x:v>
      </x:c>
      <x:c r="G1195" s="58" t="n">
        <x:v>5</x:v>
      </x:c>
      <x:c r="H1195" s="59" t="n">
        <x:v>7</x:v>
      </x:c>
      <x:c r="I1195" s="59" t="n">
        <x:v>0.50749</x:v>
      </x:c>
      <x:c r="J1195" s="59" t="n">
        <x:v>0.53052</x:v>
      </x:c>
      <x:c r="K1195" s="59" t="n">
        <x:v>0.19801</x:v>
      </x:c>
      <x:c r="L1195" s="59" t="n">
        <x:v>0.11749</x:v>
      </x:c>
      <x:c r="M1195" s="59" t="n">
        <x:v>0.57969</x:v>
      </x:c>
      <x:c r="N1195" s="60" t="n">
        <x:v>-49.25</x:v>
      </x:c>
      <x:c r="O1195" s="60" t="n">
        <x:v>5.14</x:v>
      </x:c>
      <x:c r="P1195" s="60" t="n">
        <x:v>10.52</x:v>
      </x:c>
      <x:c r="Q1195" s="60" t="n">
        <x:v>79.7</x:v>
      </x:c>
      <x:c r="R1195" s="58" t="str">
        <x:v>X</x:v>
      </x:c>
      <x:c r="S1195" s="60" t="n">
        <x:v>100</x:v>
      </x:c>
      <x:c r="T1195" s="58" t="str">
        <x:v>VALID</x:v>
      </x:c>
      <x:c r="U1195" s="58" t="n">
        <x:v>530</x:v>
      </x:c>
      <x:c r="V1195" s="58" t="str">
        <x:v>Pasted text(59).txt</x:v>
      </x:c>
    </x:row>
    <x:row r="1196">
      <x:c r="A1196" s="58" t="str">
        <x:v>S13</x:v>
      </x:c>
      <x:c r="B1196" s="58" t="str">
        <x:v>1.00 validated five-run session</x:v>
      </x:c>
      <x:c r="C1196" s="58" t="n">
        <x:v>1</x:v>
      </x:c>
      <x:c r="D1196" s="58" t="n">
        <x:v>1</x:v>
      </x:c>
      <x:c r="E1196" s="58" t="n">
        <x:v>1</x:v>
      </x:c>
      <x:c r="F1196" s="58" t="str">
        <x:v>SEARCH</x:v>
      </x:c>
      <x:c r="G1196" s="58" t="n">
        <x:v>6</x:v>
      </x:c>
      <x:c r="H1196" s="59" t="n">
        <x:v>8</x:v>
      </x:c>
      <x:c r="I1196" s="59" t="n">
        <x:v>0.60842</x:v>
      </x:c>
      <x:c r="J1196" s="59" t="n">
        <x:v>0.6133</x:v>
      </x:c>
      <x:c r="K1196" s="59" t="n">
        <x:v>0.21359</x:v>
      </x:c>
      <x:c r="L1196" s="59" t="n">
        <x:v>0.13156</x:v>
      </x:c>
      <x:c r="M1196" s="59" t="n">
        <x:v>0.66274</x:v>
      </x:c>
      <x:c r="N1196" s="60" t="n">
        <x:v>-39.16</x:v>
      </x:c>
      <x:c r="O1196" s="60" t="n">
        <x:v>2.83</x:v>
      </x:c>
      <x:c r="P1196" s="60" t="n">
        <x:v>3.16</x:v>
      </x:c>
      <x:c r="Q1196" s="60" t="n">
        <x:v>83</x:v>
      </x:c>
      <x:c r="R1196" s="58" t="str">
        <x:v>X</x:v>
      </x:c>
      <x:c r="S1196" s="60" t="n">
        <x:v>100</x:v>
      </x:c>
      <x:c r="T1196" s="58" t="str">
        <x:v>VALID</x:v>
      </x:c>
      <x:c r="U1196" s="58" t="n">
        <x:v>531</x:v>
      </x:c>
      <x:c r="V1196" s="58" t="str">
        <x:v>Pasted text(59).txt</x:v>
      </x:c>
    </x:row>
    <x:row r="1197">
      <x:c r="A1197" s="58" t="str">
        <x:v>S13</x:v>
      </x:c>
      <x:c r="B1197" s="58" t="str">
        <x:v>1.00 validated five-run session</x:v>
      </x:c>
      <x:c r="C1197" s="58" t="n">
        <x:v>1</x:v>
      </x:c>
      <x:c r="D1197" s="58" t="n">
        <x:v>1</x:v>
      </x:c>
      <x:c r="E1197" s="58" t="n">
        <x:v>1</x:v>
      </x:c>
      <x:c r="F1197" s="58" t="str">
        <x:v>SEARCH</x:v>
      </x:c>
      <x:c r="G1197" s="58" t="n">
        <x:v>7</x:v>
      </x:c>
      <x:c r="H1197" s="59" t="n">
        <x:v>8.5</x:v>
      </x:c>
      <x:c r="I1197" s="59" t="n">
        <x:v>0.67021</x:v>
      </x:c>
      <x:c r="J1197" s="59" t="n">
        <x:v>0.69619</x:v>
      </x:c>
      <x:c r="K1197" s="59" t="n">
        <x:v>0.24456</x:v>
      </x:c>
      <x:c r="L1197" s="59" t="n">
        <x:v>0.14905</x:v>
      </x:c>
      <x:c r="M1197" s="59" t="n">
        <x:v>0.75304</x:v>
      </x:c>
      <x:c r="N1197" s="60" t="n">
        <x:v>-32.98</x:v>
      </x:c>
      <x:c r="O1197" s="60" t="n">
        <x:v>2.79</x:v>
      </x:c>
      <x:c r="P1197" s="60" t="n">
        <x:v>8.08</x:v>
      </x:c>
      <x:c r="Q1197" s="60" t="n">
        <x:v>85.5</x:v>
      </x:c>
      <x:c r="R1197" s="58" t="str">
        <x:v>X</x:v>
      </x:c>
      <x:c r="S1197" s="60" t="n">
        <x:v>100</x:v>
      </x:c>
      <x:c r="T1197" s="58" t="str">
        <x:v>VALID</x:v>
      </x:c>
      <x:c r="U1197" s="58" t="n">
        <x:v>532</x:v>
      </x:c>
      <x:c r="V1197" s="58" t="str">
        <x:v>Pasted text(59).txt</x:v>
      </x:c>
    </x:row>
    <x:row r="1198">
      <x:c r="A1198" s="58" t="str">
        <x:v>S13</x:v>
      </x:c>
      <x:c r="B1198" s="58" t="str">
        <x:v>1.00 validated five-run session</x:v>
      </x:c>
      <x:c r="C1198" s="58" t="n">
        <x:v>1</x:v>
      </x:c>
      <x:c r="D1198" s="58" t="n">
        <x:v>1</x:v>
      </x:c>
      <x:c r="E1198" s="58" t="n">
        <x:v>1</x:v>
      </x:c>
      <x:c r="F1198" s="58" t="str">
        <x:v>SEARCH</x:v>
      </x:c>
      <x:c r="G1198" s="58" t="n">
        <x:v>8</x:v>
      </x:c>
      <x:c r="H1198" s="59" t="n">
        <x:v>9</x:v>
      </x:c>
      <x:c r="I1198" s="59" t="n">
        <x:v>0.88899</x:v>
      </x:c>
      <x:c r="J1198" s="59" t="n">
        <x:v>0.88993</x:v>
      </x:c>
      <x:c r="K1198" s="59" t="n">
        <x:v>0.32378</x:v>
      </x:c>
      <x:c r="L1198" s="59" t="n">
        <x:v>0.21223</x:v>
      </x:c>
      <x:c r="M1198" s="59" t="n">
        <x:v>0.97117</x:v>
      </x:c>
      <x:c r="N1198" s="60" t="n">
        <x:v>-11.1</x:v>
      </x:c>
      <x:c r="O1198" s="60" t="n">
        <x:v>2.58</x:v>
      </x:c>
      <x:c r="P1198" s="60" t="n">
        <x:v>1.9</x:v>
      </x:c>
      <x:c r="Q1198" s="60" t="n">
        <x:v>85.2</x:v>
      </x:c>
      <x:c r="R1198" s="58" t="str">
        <x:v>X</x:v>
      </x:c>
      <x:c r="S1198" s="60" t="n">
        <x:v>100</x:v>
      </x:c>
      <x:c r="T1198" s="58" t="str">
        <x:v>VALID</x:v>
      </x:c>
      <x:c r="U1198" s="58" t="n">
        <x:v>533</x:v>
      </x:c>
      <x:c r="V1198" s="58" t="str">
        <x:v>Pasted text(59).txt</x:v>
      </x:c>
    </x:row>
    <x:row r="1199">
      <x:c r="A1199" s="58" t="str">
        <x:v>S13</x:v>
      </x:c>
      <x:c r="B1199" s="58" t="str">
        <x:v>1.00 validated five-run session</x:v>
      </x:c>
      <x:c r="C1199" s="58" t="n">
        <x:v>1</x:v>
      </x:c>
      <x:c r="D1199" s="58" t="n">
        <x:v>1</x:v>
      </x:c>
      <x:c r="E1199" s="58" t="n">
        <x:v>1</x:v>
      </x:c>
      <x:c r="F1199" s="58" t="str">
        <x:v>SEARCH</x:v>
      </x:c>
      <x:c r="G1199" s="58" t="n">
        <x:v>9</x:v>
      </x:c>
      <x:c r="H1199" s="59" t="n">
        <x:v>9.25</x:v>
      </x:c>
      <x:c r="I1199" s="59" t="n">
        <x:v>0.90362</x:v>
      </x:c>
      <x:c r="J1199" s="59" t="n">
        <x:v>0.89611</x:v>
      </x:c>
      <x:c r="K1199" s="59" t="n">
        <x:v>0.3509</x:v>
      </x:c>
      <x:c r="L1199" s="59" t="n">
        <x:v>0.22521</x:v>
      </x:c>
      <x:c r="M1199" s="59" t="n">
        <x:v>0.98849</x:v>
      </x:c>
      <x:c r="N1199" s="60" t="n">
        <x:v>-9.64</x:v>
      </x:c>
      <x:c r="O1199" s="60" t="n">
        <x:v>0.74</x:v>
      </x:c>
      <x:c r="P1199" s="60" t="n">
        <x:v>1.9</x:v>
      </x:c>
      <x:c r="Q1199" s="60" t="n">
        <x:v>85.8</x:v>
      </x:c>
      <x:c r="R1199" s="58" t="str">
        <x:v>X</x:v>
      </x:c>
      <x:c r="S1199" s="60" t="n">
        <x:v>100</x:v>
      </x:c>
      <x:c r="T1199" s="58" t="str">
        <x:v>VALID</x:v>
      </x:c>
      <x:c r="U1199" s="58" t="n">
        <x:v>534</x:v>
      </x:c>
      <x:c r="V1199" s="58" t="str">
        <x:v>Pasted text(59).txt</x:v>
      </x:c>
    </x:row>
    <x:row r="1200">
      <x:c r="A1200" s="58" t="str">
        <x:v>S13</x:v>
      </x:c>
      <x:c r="B1200" s="58" t="str">
        <x:v>1.00 validated five-run session</x:v>
      </x:c>
      <x:c r="C1200" s="58" t="n">
        <x:v>1</x:v>
      </x:c>
      <x:c r="D1200" s="58" t="n">
        <x:v>1</x:v>
      </x:c>
      <x:c r="E1200" s="58" t="n">
        <x:v>1</x:v>
      </x:c>
      <x:c r="F1200" s="58" t="str">
        <x:v>SEARCH</x:v>
      </x:c>
      <x:c r="G1200" s="58" t="n">
        <x:v>10</x:v>
      </x:c>
      <x:c r="H1200" s="59" t="n">
        <x:v>9.5</x:v>
      </x:c>
      <x:c r="I1200" s="59" t="n">
        <x:v>1.03216</x:v>
      </x:c>
      <x:c r="J1200" s="59" t="n">
        <x:v>1.01791</x:v>
      </x:c>
      <x:c r="K1200" s="59" t="n">
        <x:v>0.38371</x:v>
      </x:c>
      <x:c r="L1200" s="59" t="n">
        <x:v>0.19271</x:v>
      </x:c>
      <x:c r="M1200" s="59" t="n">
        <x:v>1.10503</x:v>
      </x:c>
      <x:c r="N1200" s="60" t="n">
        <x:v>3.22</x:v>
      </x:c>
      <x:c r="O1200" s="60" t="n">
        <x:v>0.24</x:v>
      </x:c>
      <x:c r="P1200" s="60" t="n">
        <x:v>2.57</x:v>
      </x:c>
      <x:c r="Q1200" s="60" t="n">
        <x:v>87.5</x:v>
      </x:c>
      <x:c r="R1200" s="58" t="str">
        <x:v>X</x:v>
      </x:c>
      <x:c r="S1200" s="60" t="n">
        <x:v>100</x:v>
      </x:c>
      <x:c r="T1200" s="58" t="str">
        <x:v>IN TARGET BAND</x:v>
      </x:c>
      <x:c r="U1200" s="58" t="n">
        <x:v>535</x:v>
      </x:c>
      <x:c r="V1200" s="58" t="str">
        <x:v>Pasted text(59).txt</x:v>
      </x:c>
    </x:row>
    <x:row r="1201">
      <x:c r="A1201" s="58" t="str">
        <x:v>S13</x:v>
      </x:c>
      <x:c r="B1201" s="58" t="str">
        <x:v>1.00 validated five-run session</x:v>
      </x:c>
      <x:c r="C1201" s="58" t="n">
        <x:v>1</x:v>
      </x:c>
      <x:c r="D1201" s="58" t="n">
        <x:v>1</x:v>
      </x:c>
      <x:c r="E1201" s="58" t="n">
        <x:v>1</x:v>
      </x:c>
      <x:c r="F1201" s="58" t="str">
        <x:v>FINE</x:v>
      </x:c>
      <x:c r="G1201" s="58" t="n">
        <x:v>1</x:v>
      </x:c>
      <x:c r="H1201" s="59" t="n">
        <x:v>8.5</x:v>
      </x:c>
      <x:c r="I1201" s="59" t="n">
        <x:v>0.89074</x:v>
      </x:c>
      <x:c r="J1201" s="59" t="n">
        <x:v>0.89309</x:v>
      </x:c>
      <x:c r="K1201" s="59" t="n">
        <x:v>0.33564</x:v>
      </x:c>
      <x:c r="L1201" s="59" t="n">
        <x:v>0.19185</x:v>
      </x:c>
      <x:c r="M1201" s="59" t="n">
        <x:v>0.97394</x:v>
      </x:c>
      <x:c r="N1201" s="60" t="n">
        <x:v>-10.93</x:v>
      </x:c>
      <x:c r="O1201" s="60" t="n">
        <x:v>3.12</x:v>
      </x:c>
      <x:c r="P1201" s="60" t="n">
        <x:v>2.5</x:v>
      </x:c>
      <x:c r="Q1201" s="60" t="n">
        <x:v>84.1</x:v>
      </x:c>
      <x:c r="R1201" s="58" t="str">
        <x:v>X</x:v>
      </x:c>
      <x:c r="S1201" s="60" t="n">
        <x:v>100</x:v>
      </x:c>
      <x:c r="T1201" s="58" t="str">
        <x:v>VALID</x:v>
      </x:c>
      <x:c r="U1201" s="58" t="n">
        <x:v>539</x:v>
      </x:c>
      <x:c r="V1201" s="58" t="str">
        <x:v>Pasted text(59).txt</x:v>
      </x:c>
    </x:row>
    <x:row r="1202">
      <x:c r="A1202" s="58" t="str">
        <x:v>S13</x:v>
      </x:c>
      <x:c r="B1202" s="58" t="str">
        <x:v>1.00 validated five-run session</x:v>
      </x:c>
      <x:c r="C1202" s="58" t="n">
        <x:v>1</x:v>
      </x:c>
      <x:c r="D1202" s="58" t="n">
        <x:v>1</x:v>
      </x:c>
      <x:c r="E1202" s="58" t="n">
        <x:v>1</x:v>
      </x:c>
      <x:c r="F1202" s="58" t="str">
        <x:v>FINE</x:v>
      </x:c>
      <x:c r="G1202" s="58" t="n">
        <x:v>2</x:v>
      </x:c>
      <x:c r="H1202" s="59" t="n">
        <x:v>8.75</x:v>
      </x:c>
      <x:c r="I1202" s="59" t="n">
        <x:v>0.96394</x:v>
      </x:c>
      <x:c r="J1202" s="59" t="n">
        <x:v>0.95776</x:v>
      </x:c>
      <x:c r="K1202" s="59" t="n">
        <x:v>0.35138</x:v>
      </x:c>
      <x:c r="L1202" s="59" t="n">
        <x:v>0.2237</x:v>
      </x:c>
      <x:c r="M1202" s="59" t="n">
        <x:v>1.04567</x:v>
      </x:c>
      <x:c r="N1202" s="60" t="n">
        <x:v>-3.61</x:v>
      </x:c>
      <x:c r="O1202" s="60" t="n">
        <x:v>2.18</x:v>
      </x:c>
      <x:c r="P1202" s="60" t="n">
        <x:v>2.51</x:v>
      </x:c>
      <x:c r="Q1202" s="60" t="n">
        <x:v>83.3</x:v>
      </x:c>
      <x:c r="R1202" s="58" t="str">
        <x:v>X</x:v>
      </x:c>
      <x:c r="S1202" s="60" t="n">
        <x:v>100</x:v>
      </x:c>
      <x:c r="T1202" s="58" t="str">
        <x:v>IN TARGET BAND</x:v>
      </x:c>
      <x:c r="U1202" s="58" t="n">
        <x:v>540</x:v>
      </x:c>
      <x:c r="V1202" s="58" t="str">
        <x:v>Pasted text(59).txt</x:v>
      </x:c>
    </x:row>
    <x:row r="1203">
      <x:c r="A1203" s="58" t="str">
        <x:v>S13</x:v>
      </x:c>
      <x:c r="B1203" s="58" t="str">
        <x:v>1.00 validated five-run session</x:v>
      </x:c>
      <x:c r="C1203" s="58" t="n">
        <x:v>1</x:v>
      </x:c>
      <x:c r="D1203" s="58" t="n">
        <x:v>1</x:v>
      </x:c>
      <x:c r="E1203" s="58" t="n">
        <x:v>1</x:v>
      </x:c>
      <x:c r="F1203" s="58" t="str">
        <x:v>FINE</x:v>
      </x:c>
      <x:c r="G1203" s="58" t="n">
        <x:v>3</x:v>
      </x:c>
      <x:c r="H1203" s="59" t="n">
        <x:v>9</x:v>
      </x:c>
      <x:c r="I1203" s="59" t="n">
        <x:v>0.98662</x:v>
      </x:c>
      <x:c r="J1203" s="59" t="n">
        <x:v>0.99183</x:v>
      </x:c>
      <x:c r="K1203" s="59" t="n">
        <x:v>0.36782</x:v>
      </x:c>
      <x:c r="L1203" s="59" t="n">
        <x:v>0.22618</x:v>
      </x:c>
      <x:c r="M1203" s="59" t="n">
        <x:v>1.08228</x:v>
      </x:c>
      <x:c r="N1203" s="60" t="n">
        <x:v>-1.34</x:v>
      </x:c>
      <x:c r="O1203" s="60" t="n">
        <x:v>5.16</x:v>
      </x:c>
      <x:c r="P1203" s="60" t="n">
        <x:v>4.27</x:v>
      </x:c>
      <x:c r="Q1203" s="60" t="n">
        <x:v>85.6</x:v>
      </x:c>
      <x:c r="R1203" s="58" t="str">
        <x:v>X</x:v>
      </x:c>
      <x:c r="S1203" s="60" t="n">
        <x:v>100</x:v>
      </x:c>
      <x:c r="T1203" s="58" t="str">
        <x:v>IN TARGET BAND</x:v>
      </x:c>
      <x:c r="U1203" s="58" t="n">
        <x:v>541</x:v>
      </x:c>
      <x:c r="V1203" s="58" t="str">
        <x:v>Pasted text(59).txt</x:v>
      </x:c>
    </x:row>
    <x:row r="1204">
      <x:c r="A1204" s="58" t="str">
        <x:v>S13</x:v>
      </x:c>
      <x:c r="B1204" s="58" t="str">
        <x:v>1.00 validated five-run session</x:v>
      </x:c>
      <x:c r="C1204" s="58" t="n">
        <x:v>1</x:v>
      </x:c>
      <x:c r="D1204" s="58" t="n">
        <x:v>1</x:v>
      </x:c>
      <x:c r="E1204" s="58" t="n">
        <x:v>1</x:v>
      </x:c>
      <x:c r="F1204" s="58" t="str">
        <x:v>FINE</x:v>
      </x:c>
      <x:c r="G1204" s="58" t="n">
        <x:v>4</x:v>
      </x:c>
      <x:c r="H1204" s="59" t="n">
        <x:v>9.25</x:v>
      </x:c>
      <x:c r="I1204" s="59" t="n">
        <x:v>1.02617</x:v>
      </x:c>
      <x:c r="J1204" s="59" t="n">
        <x:v>1.02327</x:v>
      </x:c>
      <x:c r="K1204" s="59" t="n">
        <x:v>0.39807</x:v>
      </x:c>
      <x:c r="L1204" s="59" t="n">
        <x:v>0.23513</x:v>
      </x:c>
      <x:c r="M1204" s="59" t="n">
        <x:v>1.12354</x:v>
      </x:c>
      <x:c r="N1204" s="60" t="n">
        <x:v>2.62</x:v>
      </x:c>
      <x:c r="O1204" s="60" t="n">
        <x:v>0.22</x:v>
      </x:c>
      <x:c r="P1204" s="60" t="n">
        <x:v>0.62</x:v>
      </x:c>
      <x:c r="Q1204" s="60" t="n">
        <x:v>85.6</x:v>
      </x:c>
      <x:c r="R1204" s="58" t="str">
        <x:v>X</x:v>
      </x:c>
      <x:c r="S1204" s="60" t="n">
        <x:v>100</x:v>
      </x:c>
      <x:c r="T1204" s="58" t="str">
        <x:v>IN TARGET BAND</x:v>
      </x:c>
      <x:c r="U1204" s="58" t="n">
        <x:v>542</x:v>
      </x:c>
      <x:c r="V1204" s="58" t="str">
        <x:v>Pasted text(59).txt</x:v>
      </x:c>
    </x:row>
    <x:row r="1205">
      <x:c r="A1205" s="58" t="str">
        <x:v>S13</x:v>
      </x:c>
      <x:c r="B1205" s="58" t="str">
        <x:v>1.00 validated five-run session</x:v>
      </x:c>
      <x:c r="C1205" s="58" t="n">
        <x:v>1</x:v>
      </x:c>
      <x:c r="D1205" s="58" t="n">
        <x:v>1</x:v>
      </x:c>
      <x:c r="E1205" s="58" t="n">
        <x:v>1</x:v>
      </x:c>
      <x:c r="F1205" s="58" t="str">
        <x:v>FINE</x:v>
      </x:c>
      <x:c r="G1205" s="58" t="n">
        <x:v>5</x:v>
      </x:c>
      <x:c r="H1205" s="59" t="n">
        <x:v>9.5</x:v>
      </x:c>
      <x:c r="I1205" s="59" t="n">
        <x:v>1.03325</x:v>
      </x:c>
      <x:c r="J1205" s="59" t="n">
        <x:v>1.03339</x:v>
      </x:c>
      <x:c r="K1205" s="59" t="n">
        <x:v>0.37724</x:v>
      </x:c>
      <x:c r="L1205" s="59" t="n">
        <x:v>0.24693</x:v>
      </x:c>
      <x:c r="M1205" s="59" t="n">
        <x:v>1.12763</x:v>
      </x:c>
      <x:c r="N1205" s="60" t="n">
        <x:v>3.32</x:v>
      </x:c>
      <x:c r="O1205" s="60" t="n">
        <x:v>2.08</x:v>
      </x:c>
      <x:c r="P1205" s="60" t="n">
        <x:v>1.43</x:v>
      </x:c>
      <x:c r="Q1205" s="60" t="n">
        <x:v>87.2</x:v>
      </x:c>
      <x:c r="R1205" s="58" t="str">
        <x:v>X</x:v>
      </x:c>
      <x:c r="S1205" s="60" t="n">
        <x:v>100</x:v>
      </x:c>
      <x:c r="T1205" s="58" t="str">
        <x:v>IN TARGET BAND</x:v>
      </x:c>
      <x:c r="U1205" s="58" t="n">
        <x:v>543</x:v>
      </x:c>
      <x:c r="V1205" s="58" t="str">
        <x:v>Pasted text(59).txt</x:v>
      </x:c>
    </x:row>
    <x:row r="1206">
      <x:c r="A1206" s="58" t="str">
        <x:v>S13</x:v>
      </x:c>
      <x:c r="B1206" s="58" t="str">
        <x:v>1.00 validated five-run session</x:v>
      </x:c>
      <x:c r="C1206" s="58" t="n">
        <x:v>1</x:v>
      </x:c>
      <x:c r="D1206" s="58" t="n">
        <x:v>1</x:v>
      </x:c>
      <x:c r="E1206" s="58" t="n">
        <x:v>1</x:v>
      </x:c>
      <x:c r="F1206" s="58" t="str">
        <x:v>FINE</x:v>
      </x:c>
      <x:c r="G1206" s="58" t="n">
        <x:v>6</x:v>
      </x:c>
      <x:c r="H1206" s="59" t="n">
        <x:v>9.75</x:v>
      </x:c>
      <x:c r="I1206" s="59" t="n">
        <x:v>1.12904</x:v>
      </x:c>
      <x:c r="J1206" s="59" t="n">
        <x:v>1.13543</x:v>
      </x:c>
      <x:c r="K1206" s="59" t="n">
        <x:v>0.43104</x:v>
      </x:c>
      <x:c r="L1206" s="59" t="n">
        <x:v>0.24726</x:v>
      </x:c>
      <x:c r="M1206" s="59" t="n">
        <x:v>1.24049</x:v>
      </x:c>
      <x:c r="N1206" s="60" t="n">
        <x:v>12.9</x:v>
      </x:c>
      <x:c r="O1206" s="60" t="n">
        <x:v>0.17</x:v>
      </x:c>
      <x:c r="P1206" s="60" t="n">
        <x:v>1.08</x:v>
      </x:c>
      <x:c r="Q1206" s="60" t="n">
        <x:v>87.5</x:v>
      </x:c>
      <x:c r="R1206" s="58" t="str">
        <x:v>X</x:v>
      </x:c>
      <x:c r="S1206" s="60" t="n">
        <x:v>100</x:v>
      </x:c>
      <x:c r="T1206" s="58" t="str">
        <x:v>VALID</x:v>
      </x:c>
      <x:c r="U1206" s="58" t="n">
        <x:v>544</x:v>
      </x:c>
      <x:c r="V1206" s="58" t="str">
        <x:v>Pasted text(59).txt</x:v>
      </x:c>
    </x:row>
    <x:row r="1207">
      <x:c r="A1207" s="58" t="str">
        <x:v>S13</x:v>
      </x:c>
      <x:c r="B1207" s="58" t="str">
        <x:v>1.00 validated five-run session</x:v>
      </x:c>
      <x:c r="C1207" s="58" t="n">
        <x:v>1</x:v>
      </x:c>
      <x:c r="D1207" s="58" t="n">
        <x:v>1</x:v>
      </x:c>
      <x:c r="E1207" s="58" t="n">
        <x:v>1</x:v>
      </x:c>
      <x:c r="F1207" s="58" t="str">
        <x:v>FINE</x:v>
      </x:c>
      <x:c r="G1207" s="58" t="n">
        <x:v>7</x:v>
      </x:c>
      <x:c r="H1207" s="59" t="n">
        <x:v>10</x:v>
      </x:c>
      <x:c r="I1207" s="59" t="n">
        <x:v>1.11763</x:v>
      </x:c>
      <x:c r="J1207" s="59" t="n">
        <x:v>1.12128</x:v>
      </x:c>
      <x:c r="K1207" s="59" t="n">
        <x:v>0.43827</x:v>
      </x:c>
      <x:c r="L1207" s="59" t="n">
        <x:v>0.2762</x:v>
      </x:c>
      <x:c r="M1207" s="59" t="n">
        <x:v>1.23546</x:v>
      </x:c>
      <x:c r="N1207" s="60" t="n">
        <x:v>11.76</x:v>
      </x:c>
      <x:c r="O1207" s="60" t="n">
        <x:v>0.83</x:v>
      </x:c>
      <x:c r="P1207" s="60" t="n">
        <x:v>1.08</x:v>
      </x:c>
      <x:c r="Q1207" s="60" t="n">
        <x:v>85.6</x:v>
      </x:c>
      <x:c r="R1207" s="58" t="str">
        <x:v>X</x:v>
      </x:c>
      <x:c r="S1207" s="60" t="n">
        <x:v>100</x:v>
      </x:c>
      <x:c r="T1207" s="58" t="str">
        <x:v>VALID</x:v>
      </x:c>
      <x:c r="U1207" s="58" t="n">
        <x:v>545</x:v>
      </x:c>
      <x:c r="V1207" s="58" t="str">
        <x:v>Pasted text(59).txt</x:v>
      </x:c>
    </x:row>
    <x:row r="1208">
      <x:c r="A1208" s="58" t="str">
        <x:v>S13</x:v>
      </x:c>
      <x:c r="B1208" s="58" t="str">
        <x:v>1.00 validated five-run session</x:v>
      </x:c>
      <x:c r="C1208" s="58" t="n">
        <x:v>1</x:v>
      </x:c>
      <x:c r="D1208" s="58" t="n">
        <x:v>1</x:v>
      </x:c>
      <x:c r="E1208" s="58" t="n">
        <x:v>1</x:v>
      </x:c>
      <x:c r="F1208" s="58" t="str">
        <x:v>FINE</x:v>
      </x:c>
      <x:c r="G1208" s="58" t="n">
        <x:v>8</x:v>
      </x:c>
      <x:c r="H1208" s="59" t="n">
        <x:v>10.25</x:v>
      </x:c>
      <x:c r="I1208" s="59" t="n">
        <x:v>1.18374</x:v>
      </x:c>
      <x:c r="J1208" s="59" t="n">
        <x:v>1.18213</x:v>
      </x:c>
      <x:c r="K1208" s="59" t="n">
        <x:v>0.43239</x:v>
      </x:c>
      <x:c r="L1208" s="59" t="n">
        <x:v>0.30389</x:v>
      </x:c>
      <x:c r="M1208" s="59" t="n">
        <x:v>1.29537</x:v>
      </x:c>
      <x:c r="N1208" s="60" t="n">
        <x:v>18.37</x:v>
      </x:c>
      <x:c r="O1208" s="60" t="n">
        <x:v>3.24</x:v>
      </x:c>
      <x:c r="P1208" s="60" t="n">
        <x:v>2.4</x:v>
      </x:c>
      <x:c r="Q1208" s="60" t="n">
        <x:v>88.9</x:v>
      </x:c>
      <x:c r="R1208" s="58" t="str">
        <x:v>X</x:v>
      </x:c>
      <x:c r="S1208" s="60" t="n">
        <x:v>100</x:v>
      </x:c>
      <x:c r="T1208" s="58" t="str">
        <x:v>VALID</x:v>
      </x:c>
      <x:c r="U1208" s="58" t="n">
        <x:v>546</x:v>
      </x:c>
      <x:c r="V1208" s="58" t="str">
        <x:v>Pasted text(59).txt</x:v>
      </x:c>
    </x:row>
    <x:row r="1209">
      <x:c r="A1209" s="58" t="str">
        <x:v>S13</x:v>
      </x:c>
      <x:c r="B1209" s="58" t="str">
        <x:v>1.00 validated five-run session</x:v>
      </x:c>
      <x:c r="C1209" s="58" t="n">
        <x:v>1</x:v>
      </x:c>
      <x:c r="D1209" s="58" t="n">
        <x:v>1</x:v>
      </x:c>
      <x:c r="E1209" s="58" t="n">
        <x:v>1</x:v>
      </x:c>
      <x:c r="F1209" s="58" t="str">
        <x:v>FINE</x:v>
      </x:c>
      <x:c r="G1209" s="58" t="n">
        <x:v>9</x:v>
      </x:c>
      <x:c r="H1209" s="59" t="n">
        <x:v>10.5</x:v>
      </x:c>
      <x:c r="I1209" s="59" t="n">
        <x:v>1.21258</x:v>
      </x:c>
      <x:c r="J1209" s="59" t="n">
        <x:v>1.21407</x:v>
      </x:c>
      <x:c r="K1209" s="59" t="n">
        <x:v>0.45687</x:v>
      </x:c>
      <x:c r="L1209" s="59" t="n">
        <x:v>0.23625</x:v>
      </x:c>
      <x:c r="M1209" s="59" t="n">
        <x:v>1.31921</x:v>
      </x:c>
      <x:c r="N1209" s="60" t="n">
        <x:v>21.26</x:v>
      </x:c>
      <x:c r="O1209" s="60" t="n">
        <x:v>0.22</x:v>
      </x:c>
      <x:c r="P1209" s="60" t="n">
        <x:v>0.35</x:v>
      </x:c>
      <x:c r="Q1209" s="60" t="n">
        <x:v>90.8</x:v>
      </x:c>
      <x:c r="R1209" s="58" t="str">
        <x:v>X</x:v>
      </x:c>
      <x:c r="S1209" s="60" t="n">
        <x:v>100</x:v>
      </x:c>
      <x:c r="T1209" s="58" t="str">
        <x:v>VALID</x:v>
      </x:c>
      <x:c r="U1209" s="58" t="n">
        <x:v>547</x:v>
      </x:c>
      <x:c r="V1209" s="58" t="str">
        <x:v>Pasted text(59).txt</x:v>
      </x:c>
    </x:row>
    <x:row r="1210">
      <x:c r="A1210" s="58" t="str">
        <x:v>S13</x:v>
      </x:c>
      <x:c r="B1210" s="58" t="str">
        <x:v>1.00 validated five-run session</x:v>
      </x:c>
      <x:c r="C1210" s="58" t="n">
        <x:v>1</x:v>
      </x:c>
      <x:c r="D1210" s="58" t="n">
        <x:v>1</x:v>
      </x:c>
      <x:c r="E1210" s="58" t="n">
        <x:v>1</x:v>
      </x:c>
      <x:c r="F1210" s="58" t="str">
        <x:v>FINAL</x:v>
      </x:c>
      <x:c r="G1210" s="58" t="n">
        <x:v>1</x:v>
      </x:c>
      <x:c r="H1210" s="59" t="n">
        <x:v>9.25</x:v>
      </x:c>
      <x:c r="I1210" s="59" t="n">
        <x:v>1.02562</x:v>
      </x:c>
      <x:c r="J1210" s="59" t="n">
        <x:v>1.0275</x:v>
      </x:c>
      <x:c r="K1210" s="59" t="n">
        <x:v>0.40139</x:v>
      </x:c>
      <x:c r="L1210" s="59" t="n">
        <x:v>0.26992</x:v>
      </x:c>
      <x:c r="M1210" s="59" t="n">
        <x:v>1.13582</x:v>
      </x:c>
      <x:c r="N1210" s="60" t="n">
        <x:v>2.56</x:v>
      </x:c>
      <x:c r="O1210" s="60" t="n">
        <x:v>1.34</x:v>
      </x:c>
      <x:c r="P1210" s="60" t="n">
        <x:v>1.58</x:v>
      </x:c>
      <x:c r="Q1210" s="60" t="n">
        <x:v>85.3</x:v>
      </x:c>
      <x:c r="R1210" s="58" t="str">
        <x:v>X</x:v>
      </x:c>
      <x:c r="S1210" s="60" t="n">
        <x:v>100</x:v>
      </x:c>
      <x:c r="T1210" s="58" t="str">
        <x:v>IN TARGET BAND</x:v>
      </x:c>
      <x:c r="U1210" s="58" t="n">
        <x:v>550</x:v>
      </x:c>
      <x:c r="V1210" s="58" t="str">
        <x:v>Pasted text(59).txt</x:v>
      </x:c>
    </x:row>
    <x:row r="1211">
      <x:c r="A1211" s="58" t="str">
        <x:v>S13</x:v>
      </x:c>
      <x:c r="B1211" s="58" t="str">
        <x:v>1.00 validated five-run session</x:v>
      </x:c>
      <x:c r="C1211" s="58" t="n">
        <x:v>1</x:v>
      </x:c>
      <x:c r="D1211" s="58" t="n">
        <x:v>1</x:v>
      </x:c>
      <x:c r="E1211" s="58" t="n">
        <x:v>1</x:v>
      </x:c>
      <x:c r="F1211" s="58" t="str">
        <x:v>FINAL</x:v>
      </x:c>
      <x:c r="G1211" s="58" t="n">
        <x:v>2</x:v>
      </x:c>
      <x:c r="H1211" s="59" t="n">
        <x:v>9.25</x:v>
      </x:c>
      <x:c r="I1211" s="59" t="n">
        <x:v>1.01518</x:v>
      </x:c>
      <x:c r="J1211" s="59" t="n">
        <x:v>1.01818</x:v>
      </x:c>
      <x:c r="K1211" s="59" t="n">
        <x:v>0.39674</x:v>
      </x:c>
      <x:c r="L1211" s="59" t="n">
        <x:v>0.24399</x:v>
      </x:c>
      <x:c r="M1211" s="59" t="n">
        <x:v>1.11993</x:v>
      </x:c>
      <x:c r="N1211" s="60" t="n">
        <x:v>1.52</x:v>
      </x:c>
      <x:c r="O1211" s="60" t="n">
        <x:v>0.59</x:v>
      </x:c>
      <x:c r="P1211" s="60" t="n">
        <x:v>0.71</x:v>
      </x:c>
      <x:c r="Q1211" s="60" t="n">
        <x:v>85.4</x:v>
      </x:c>
      <x:c r="R1211" s="58" t="str">
        <x:v>X</x:v>
      </x:c>
      <x:c r="S1211" s="60" t="n">
        <x:v>100</x:v>
      </x:c>
      <x:c r="T1211" s="58" t="str">
        <x:v>IN TARGET BAND</x:v>
      </x:c>
      <x:c r="U1211" s="58" t="n">
        <x:v>551</x:v>
      </x:c>
      <x:c r="V1211" s="58" t="str">
        <x:v>Pasted text(59).txt</x:v>
      </x:c>
    </x:row>
    <x:row r="1212">
      <x:c r="A1212" s="58" t="str">
        <x:v>S13</x:v>
      </x:c>
      <x:c r="B1212" s="58" t="str">
        <x:v>1.00 validated five-run session</x:v>
      </x:c>
      <x:c r="C1212" s="58" t="n">
        <x:v>1</x:v>
      </x:c>
      <x:c r="D1212" s="58" t="n">
        <x:v>2</x:v>
      </x:c>
      <x:c r="E1212" s="58" t="n">
        <x:v>1</x:v>
      </x:c>
      <x:c r="F1212" s="58" t="str">
        <x:v>SEARCH</x:v>
      </x:c>
      <x:c r="G1212" s="58" t="n">
        <x:v>1</x:v>
      </x:c>
      <x:c r="H1212" s="59" t="n">
        <x:v>1</x:v>
      </x:c>
      <x:c r="I1212" s="59" t="n">
        <x:v>0.02525</x:v>
      </x:c>
      <x:c r="J1212" s="59" t="n">
        <x:v>0.0278</x:v>
      </x:c>
      <x:c r="K1212" s="59" t="n">
        <x:v>0.02202</x:v>
      </x:c>
      <x:c r="L1212" s="59" t="n">
        <x:v>0.01808</x:v>
      </x:c>
      <x:c r="M1212" s="59" t="n">
        <x:v>0.04074</x:v>
      </x:c>
      <x:c r="N1212" s="60" t="n">
        <x:v>-97.47</x:v>
      </x:c>
      <x:c r="O1212" s="60" t="n">
        <x:v>29.96</x:v>
      </x:c>
      <x:c r="P1212" s="60" t="n">
        <x:v>12.98</x:v>
      </x:c>
      <x:c r="Q1212" s="60" t="n">
        <x:v>8.3</x:v>
      </x:c>
      <x:c r="R1212" s="58" t="str">
        <x:v>X</x:v>
      </x:c>
      <x:c r="S1212" s="60" t="n">
        <x:v>100</x:v>
      </x:c>
      <x:c r="T1212" s="58" t="str">
        <x:v>BELOW MEASUREMENT FLOOR — SEARCH CONTINUES</x:v>
      </x:c>
      <x:c r="U1212" s="58" t="n">
        <x:v>607</x:v>
      </x:c>
      <x:c r="V1212" s="58" t="str">
        <x:v>Pasted text(59).txt</x:v>
      </x:c>
    </x:row>
    <x:row r="1213">
      <x:c r="A1213" s="58" t="str">
        <x:v>S13</x:v>
      </x:c>
      <x:c r="B1213" s="58" t="str">
        <x:v>1.00 validated five-run session</x:v>
      </x:c>
      <x:c r="C1213" s="58" t="n">
        <x:v>1</x:v>
      </x:c>
      <x:c r="D1213" s="58" t="n">
        <x:v>2</x:v>
      </x:c>
      <x:c r="E1213" s="58" t="n">
        <x:v>1</x:v>
      </x:c>
      <x:c r="F1213" s="58" t="str">
        <x:v>SEARCH</x:v>
      </x:c>
      <x:c r="G1213" s="58" t="n">
        <x:v>2</x:v>
      </x:c>
      <x:c r="H1213" s="59" t="n">
        <x:v>3</x:v>
      </x:c>
      <x:c r="I1213" s="59" t="n">
        <x:v>0.24642</x:v>
      </x:c>
      <x:c r="J1213" s="59" t="n">
        <x:v>0.23786</x:v>
      </x:c>
      <x:c r="K1213" s="59" t="n">
        <x:v>0.0967</x:v>
      </x:c>
      <x:c r="L1213" s="59" t="n">
        <x:v>0.05632</x:v>
      </x:c>
      <x:c r="M1213" s="59" t="n">
        <x:v>0.26332</x:v>
      </x:c>
      <x:c r="N1213" s="60" t="n">
        <x:v>-75.36</x:v>
      </x:c>
      <x:c r="O1213" s="60" t="n">
        <x:v>2.37</x:v>
      </x:c>
      <x:c r="P1213" s="60" t="n">
        <x:v>7.71</x:v>
      </x:c>
      <x:c r="Q1213" s="60" t="n">
        <x:v>33.3</x:v>
      </x:c>
      <x:c r="R1213" s="58" t="str">
        <x:v>X</x:v>
      </x:c>
      <x:c r="S1213" s="60" t="n">
        <x:v>100</x:v>
      </x:c>
      <x:c r="T1213" s="58" t="str">
        <x:v>UNSTABLE — SEARCH CONTINUES</x:v>
      </x:c>
      <x:c r="U1213" s="58" t="n">
        <x:v>608</x:v>
      </x:c>
      <x:c r="V1213" s="58" t="str">
        <x:v>Pasted text(59).txt</x:v>
      </x:c>
    </x:row>
    <x:row r="1214">
      <x:c r="A1214" s="58" t="str">
        <x:v>S13</x:v>
      </x:c>
      <x:c r="B1214" s="58" t="str">
        <x:v>1.00 validated five-run session</x:v>
      </x:c>
      <x:c r="C1214" s="58" t="n">
        <x:v>1</x:v>
      </x:c>
      <x:c r="D1214" s="58" t="n">
        <x:v>2</x:v>
      </x:c>
      <x:c r="E1214" s="58" t="n">
        <x:v>1</x:v>
      </x:c>
      <x:c r="F1214" s="58" t="str">
        <x:v>SEARCH</x:v>
      </x:c>
      <x:c r="G1214" s="58" t="n">
        <x:v>3</x:v>
      </x:c>
      <x:c r="H1214" s="59" t="n">
        <x:v>5</x:v>
      </x:c>
      <x:c r="I1214" s="59" t="n">
        <x:v>0.46446</x:v>
      </x:c>
      <x:c r="J1214" s="59" t="n">
        <x:v>0.47263</x:v>
      </x:c>
      <x:c r="K1214" s="59" t="n">
        <x:v>0.20655</x:v>
      </x:c>
      <x:c r="L1214" s="59" t="n">
        <x:v>0.07408</x:v>
      </x:c>
      <x:c r="M1214" s="59" t="n">
        <x:v>0.52208</x:v>
      </x:c>
      <x:c r="N1214" s="60" t="n">
        <x:v>-53.55</x:v>
      </x:c>
      <x:c r="O1214" s="60" t="n">
        <x:v>0.26</x:v>
      </x:c>
      <x:c r="P1214" s="60" t="n">
        <x:v>3.14</x:v>
      </x:c>
      <x:c r="Q1214" s="60" t="n">
        <x:v>57.8</x:v>
      </x:c>
      <x:c r="R1214" s="58" t="str">
        <x:v>X</x:v>
      </x:c>
      <x:c r="S1214" s="60" t="n">
        <x:v>100</x:v>
      </x:c>
      <x:c r="T1214" s="58" t="str">
        <x:v>VALID</x:v>
      </x:c>
      <x:c r="U1214" s="58" t="n">
        <x:v>609</x:v>
      </x:c>
      <x:c r="V1214" s="58" t="str">
        <x:v>Pasted text(59).txt</x:v>
      </x:c>
    </x:row>
    <x:row r="1215">
      <x:c r="A1215" s="58" t="str">
        <x:v>S13</x:v>
      </x:c>
      <x:c r="B1215" s="58" t="str">
        <x:v>1.00 validated five-run session</x:v>
      </x:c>
      <x:c r="C1215" s="58" t="n">
        <x:v>1</x:v>
      </x:c>
      <x:c r="D1215" s="58" t="n">
        <x:v>2</x:v>
      </x:c>
      <x:c r="E1215" s="58" t="n">
        <x:v>1</x:v>
      </x:c>
      <x:c r="F1215" s="58" t="str">
        <x:v>SEARCH</x:v>
      </x:c>
      <x:c r="G1215" s="58" t="n">
        <x:v>4</x:v>
      </x:c>
      <x:c r="H1215" s="59" t="n">
        <x:v>6</x:v>
      </x:c>
      <x:c r="I1215" s="59" t="n">
        <x:v>0.57615</x:v>
      </x:c>
      <x:c r="J1215" s="59" t="n">
        <x:v>0.57667</x:v>
      </x:c>
      <x:c r="K1215" s="59" t="n">
        <x:v>0.26781</x:v>
      </x:c>
      <x:c r="L1215" s="59" t="n">
        <x:v>0.13193</x:v>
      </x:c>
      <x:c r="M1215" s="59" t="n">
        <x:v>0.64952</x:v>
      </x:c>
      <x:c r="N1215" s="60" t="n">
        <x:v>-42.39</x:v>
      </x:c>
      <x:c r="O1215" s="60" t="n">
        <x:v>6.06</x:v>
      </x:c>
      <x:c r="P1215" s="60" t="n">
        <x:v>4.22</x:v>
      </x:c>
      <x:c r="Q1215" s="60" t="n">
        <x:v>66</x:v>
      </x:c>
      <x:c r="R1215" s="58" t="str">
        <x:v>X</x:v>
      </x:c>
      <x:c r="S1215" s="60" t="n">
        <x:v>100</x:v>
      </x:c>
      <x:c r="T1215" s="58" t="str">
        <x:v>VALID</x:v>
      </x:c>
      <x:c r="U1215" s="58" t="n">
        <x:v>610</x:v>
      </x:c>
      <x:c r="V1215" s="58" t="str">
        <x:v>Pasted text(59).txt</x:v>
      </x:c>
    </x:row>
    <x:row r="1216">
      <x:c r="A1216" s="58" t="str">
        <x:v>S13</x:v>
      </x:c>
      <x:c r="B1216" s="58" t="str">
        <x:v>1.00 validated five-run session</x:v>
      </x:c>
      <x:c r="C1216" s="58" t="n">
        <x:v>1</x:v>
      </x:c>
      <x:c r="D1216" s="58" t="n">
        <x:v>2</x:v>
      </x:c>
      <x:c r="E1216" s="58" t="n">
        <x:v>1</x:v>
      </x:c>
      <x:c r="F1216" s="58" t="str">
        <x:v>SEARCH</x:v>
      </x:c>
      <x:c r="G1216" s="58" t="n">
        <x:v>5</x:v>
      </x:c>
      <x:c r="H1216" s="59" t="n">
        <x:v>7</x:v>
      </x:c>
      <x:c r="I1216" s="59" t="n">
        <x:v>0.68534</x:v>
      </x:c>
      <x:c r="J1216" s="59" t="n">
        <x:v>0.68497</x:v>
      </x:c>
      <x:c r="K1216" s="59" t="n">
        <x:v>0.27717</x:v>
      </x:c>
      <x:c r="L1216" s="59" t="n">
        <x:v>0.17399</x:v>
      </x:c>
      <x:c r="M1216" s="59" t="n">
        <x:v>0.75971</x:v>
      </x:c>
      <x:c r="N1216" s="60" t="n">
        <x:v>-31.47</x:v>
      </x:c>
      <x:c r="O1216" s="60" t="n">
        <x:v>0.88</x:v>
      </x:c>
      <x:c r="P1216" s="60" t="n">
        <x:v>0.68</x:v>
      </x:c>
      <x:c r="Q1216" s="60" t="n">
        <x:v>73.5</x:v>
      </x:c>
      <x:c r="R1216" s="58" t="str">
        <x:v>X</x:v>
      </x:c>
      <x:c r="S1216" s="60" t="n">
        <x:v>100</x:v>
      </x:c>
      <x:c r="T1216" s="58" t="str">
        <x:v>VALID</x:v>
      </x:c>
      <x:c r="U1216" s="58" t="n">
        <x:v>611</x:v>
      </x:c>
      <x:c r="V1216" s="58" t="str">
        <x:v>Pasted text(59).txt</x:v>
      </x:c>
    </x:row>
    <x:row r="1217">
      <x:c r="A1217" s="58" t="str">
        <x:v>S13</x:v>
      </x:c>
      <x:c r="B1217" s="58" t="str">
        <x:v>1.00 validated five-run session</x:v>
      </x:c>
      <x:c r="C1217" s="58" t="n">
        <x:v>1</x:v>
      </x:c>
      <x:c r="D1217" s="58" t="n">
        <x:v>2</x:v>
      </x:c>
      <x:c r="E1217" s="58" t="n">
        <x:v>1</x:v>
      </x:c>
      <x:c r="F1217" s="58" t="str">
        <x:v>SEARCH</x:v>
      </x:c>
      <x:c r="G1217" s="58" t="n">
        <x:v>6</x:v>
      </x:c>
      <x:c r="H1217" s="59" t="n">
        <x:v>7.5</x:v>
      </x:c>
      <x:c r="I1217" s="59" t="n">
        <x:v>0.72629</x:v>
      </x:c>
      <x:c r="J1217" s="59" t="n">
        <x:v>0.72052</x:v>
      </x:c>
      <x:c r="K1217" s="59" t="n">
        <x:v>0.29829</x:v>
      </x:c>
      <x:c r="L1217" s="59" t="n">
        <x:v>0.2029</x:v>
      </x:c>
      <x:c r="M1217" s="59" t="n">
        <x:v>0.80679</x:v>
      </x:c>
      <x:c r="N1217" s="60" t="n">
        <x:v>-27.37</x:v>
      </x:c>
      <x:c r="O1217" s="60" t="n">
        <x:v>6.12</x:v>
      </x:c>
      <x:c r="P1217" s="60" t="n">
        <x:v>5.4</x:v>
      </x:c>
      <x:c r="Q1217" s="60" t="n">
        <x:v>79.4</x:v>
      </x:c>
      <x:c r="R1217" s="58" t="str">
        <x:v>X</x:v>
      </x:c>
      <x:c r="S1217" s="60" t="n">
        <x:v>100</x:v>
      </x:c>
      <x:c r="T1217" s="58" t="str">
        <x:v>VALID</x:v>
      </x:c>
      <x:c r="U1217" s="58" t="n">
        <x:v>612</x:v>
      </x:c>
      <x:c r="V1217" s="58" t="str">
        <x:v>Pasted text(59).txt</x:v>
      </x:c>
    </x:row>
    <x:row r="1218">
      <x:c r="A1218" s="58" t="str">
        <x:v>S13</x:v>
      </x:c>
      <x:c r="B1218" s="58" t="str">
        <x:v>1.00 validated five-run session</x:v>
      </x:c>
      <x:c r="C1218" s="58" t="n">
        <x:v>1</x:v>
      </x:c>
      <x:c r="D1218" s="58" t="n">
        <x:v>2</x:v>
      </x:c>
      <x:c r="E1218" s="58" t="n">
        <x:v>1</x:v>
      </x:c>
      <x:c r="F1218" s="58" t="str">
        <x:v>SEARCH</x:v>
      </x:c>
      <x:c r="G1218" s="58" t="n">
        <x:v>7</x:v>
      </x:c>
      <x:c r="H1218" s="59" t="n">
        <x:v>8</x:v>
      </x:c>
      <x:c r="I1218" s="59" t="n">
        <x:v>0.80415</x:v>
      </x:c>
      <x:c r="J1218" s="59" t="n">
        <x:v>0.80863</x:v>
      </x:c>
      <x:c r="K1218" s="59" t="n">
        <x:v>0.3427</x:v>
      </x:c>
      <x:c r="L1218" s="59" t="n">
        <x:v>0.26075</x:v>
      </x:c>
      <x:c r="M1218" s="59" t="n">
        <x:v>0.91665</x:v>
      </x:c>
      <x:c r="N1218" s="60" t="n">
        <x:v>-19.59</x:v>
      </x:c>
      <x:c r="O1218" s="60" t="n">
        <x:v>0.84</x:v>
      </x:c>
      <x:c r="P1218" s="60" t="n">
        <x:v>1.48</x:v>
      </x:c>
      <x:c r="Q1218" s="60" t="n">
        <x:v>78.5</x:v>
      </x:c>
      <x:c r="R1218" s="58" t="str">
        <x:v>X</x:v>
      </x:c>
      <x:c r="S1218" s="60" t="n">
        <x:v>100</x:v>
      </x:c>
      <x:c r="T1218" s="58" t="str">
        <x:v>VALID</x:v>
      </x:c>
      <x:c r="U1218" s="58" t="n">
        <x:v>613</x:v>
      </x:c>
      <x:c r="V1218" s="58" t="str">
        <x:v>Pasted text(59).txt</x:v>
      </x:c>
    </x:row>
    <x:row r="1219">
      <x:c r="A1219" s="58" t="str">
        <x:v>S13</x:v>
      </x:c>
      <x:c r="B1219" s="58" t="str">
        <x:v>1.00 validated five-run session</x:v>
      </x:c>
      <x:c r="C1219" s="58" t="n">
        <x:v>1</x:v>
      </x:c>
      <x:c r="D1219" s="58" t="n">
        <x:v>2</x:v>
      </x:c>
      <x:c r="E1219" s="58" t="n">
        <x:v>1</x:v>
      </x:c>
      <x:c r="F1219" s="58" t="str">
        <x:v>SEARCH</x:v>
      </x:c>
      <x:c r="G1219" s="58" t="n">
        <x:v>8</x:v>
      </x:c>
      <x:c r="H1219" s="59" t="n">
        <x:v>8.5</x:v>
      </x:c>
      <x:c r="I1219" s="59" t="n">
        <x:v>0.88263</x:v>
      </x:c>
      <x:c r="J1219" s="59" t="n">
        <x:v>0.8831</x:v>
      </x:c>
      <x:c r="K1219" s="59" t="n">
        <x:v>0.34355</x:v>
      </x:c>
      <x:c r="L1219" s="59" t="n">
        <x:v>0.23821</x:v>
      </x:c>
      <x:c r="M1219" s="59" t="n">
        <x:v>0.97734</x:v>
      </x:c>
      <x:c r="N1219" s="60" t="n">
        <x:v>-11.74</x:v>
      </x:c>
      <x:c r="O1219" s="60" t="n">
        <x:v>0.09</x:v>
      </x:c>
      <x:c r="P1219" s="60" t="n">
        <x:v>0.15</x:v>
      </x:c>
      <x:c r="Q1219" s="60" t="n">
        <x:v>83.6</x:v>
      </x:c>
      <x:c r="R1219" s="58" t="str">
        <x:v>X</x:v>
      </x:c>
      <x:c r="S1219" s="60" t="n">
        <x:v>100</x:v>
      </x:c>
      <x:c r="T1219" s="58" t="str">
        <x:v>VALID</x:v>
      </x:c>
      <x:c r="U1219" s="58" t="n">
        <x:v>614</x:v>
      </x:c>
      <x:c r="V1219" s="58" t="str">
        <x:v>Pasted text(59).txt</x:v>
      </x:c>
    </x:row>
    <x:row r="1220">
      <x:c r="A1220" s="58" t="str">
        <x:v>S13</x:v>
      </x:c>
      <x:c r="B1220" s="58" t="str">
        <x:v>1.00 validated five-run session</x:v>
      </x:c>
      <x:c r="C1220" s="58" t="n">
        <x:v>1</x:v>
      </x:c>
      <x:c r="D1220" s="58" t="n">
        <x:v>2</x:v>
      </x:c>
      <x:c r="E1220" s="58" t="n">
        <x:v>1</x:v>
      </x:c>
      <x:c r="F1220" s="58" t="str">
        <x:v>SEARCH</x:v>
      </x:c>
      <x:c r="G1220" s="58" t="n">
        <x:v>9</x:v>
      </x:c>
      <x:c r="H1220" s="59" t="n">
        <x:v>8.75</x:v>
      </x:c>
      <x:c r="I1220" s="59" t="n">
        <x:v>0.92268</x:v>
      </x:c>
      <x:c r="J1220" s="59" t="n">
        <x:v>0.91757</x:v>
      </x:c>
      <x:c r="K1220" s="59" t="n">
        <x:v>0.3713</x:v>
      </x:c>
      <x:c r="L1220" s="59" t="n">
        <x:v>0.24441</x:v>
      </x:c>
      <x:c r="M1220" s="59" t="n">
        <x:v>1.01993</x:v>
      </x:c>
      <x:c r="N1220" s="60" t="n">
        <x:v>-7.73</x:v>
      </x:c>
      <x:c r="O1220" s="60" t="n">
        <x:v>1.64</x:v>
      </x:c>
      <x:c r="P1220" s="60" t="n">
        <x:v>2.01</x:v>
      </x:c>
      <x:c r="Q1220" s="60" t="n">
        <x:v>79.2</x:v>
      </x:c>
      <x:c r="R1220" s="58" t="str">
        <x:v>X</x:v>
      </x:c>
      <x:c r="S1220" s="60" t="n">
        <x:v>100</x:v>
      </x:c>
      <x:c r="T1220" s="58" t="str">
        <x:v>VALID</x:v>
      </x:c>
      <x:c r="U1220" s="58" t="n">
        <x:v>615</x:v>
      </x:c>
      <x:c r="V1220" s="58" t="str">
        <x:v>Pasted text(59).txt</x:v>
      </x:c>
    </x:row>
    <x:row r="1221">
      <x:c r="A1221" s="58" t="str">
        <x:v>S13</x:v>
      </x:c>
      <x:c r="B1221" s="58" t="str">
        <x:v>1.00 validated five-run session</x:v>
      </x:c>
      <x:c r="C1221" s="58" t="n">
        <x:v>1</x:v>
      </x:c>
      <x:c r="D1221" s="58" t="n">
        <x:v>2</x:v>
      </x:c>
      <x:c r="E1221" s="58" t="n">
        <x:v>1</x:v>
      </x:c>
      <x:c r="F1221" s="58" t="str">
        <x:v>SEARCH</x:v>
      </x:c>
      <x:c r="G1221" s="58" t="n">
        <x:v>10</x:v>
      </x:c>
      <x:c r="H1221" s="59" t="n">
        <x:v>9</x:v>
      </x:c>
      <x:c r="I1221" s="59" t="n">
        <x:v>0.9878</x:v>
      </x:c>
      <x:c r="J1221" s="59" t="n">
        <x:v>0.97812</x:v>
      </x:c>
      <x:c r="K1221" s="59" t="n">
        <x:v>0.40431</x:v>
      </x:c>
      <x:c r="L1221" s="59" t="n">
        <x:v>0.26055</x:v>
      </x:c>
      <x:c r="M1221" s="59" t="n">
        <x:v>1.09052</x:v>
      </x:c>
      <x:c r="N1221" s="60" t="n">
        <x:v>-1.22</x:v>
      </x:c>
      <x:c r="O1221" s="60" t="n">
        <x:v>0.13</x:v>
      </x:c>
      <x:c r="P1221" s="60" t="n">
        <x:v>1.79</x:v>
      </x:c>
      <x:c r="Q1221" s="60" t="n">
        <x:v>82</x:v>
      </x:c>
      <x:c r="R1221" s="58" t="str">
        <x:v>X</x:v>
      </x:c>
      <x:c r="S1221" s="60" t="n">
        <x:v>100</x:v>
      </x:c>
      <x:c r="T1221" s="58" t="str">
        <x:v>IN TARGET BAND</x:v>
      </x:c>
      <x:c r="U1221" s="58" t="n">
        <x:v>616</x:v>
      </x:c>
      <x:c r="V1221" s="58" t="str">
        <x:v>Pasted text(59).txt</x:v>
      </x:c>
    </x:row>
    <x:row r="1222">
      <x:c r="A1222" s="58" t="str">
        <x:v>S13</x:v>
      </x:c>
      <x:c r="B1222" s="58" t="str">
        <x:v>1.00 validated five-run session</x:v>
      </x:c>
      <x:c r="C1222" s="58" t="n">
        <x:v>1</x:v>
      </x:c>
      <x:c r="D1222" s="58" t="n">
        <x:v>2</x:v>
      </x:c>
      <x:c r="E1222" s="58" t="n">
        <x:v>1</x:v>
      </x:c>
      <x:c r="F1222" s="58" t="str">
        <x:v>FINE</x:v>
      </x:c>
      <x:c r="G1222" s="58" t="n">
        <x:v>1</x:v>
      </x:c>
      <x:c r="H1222" s="59" t="n">
        <x:v>8</x:v>
      </x:c>
      <x:c r="I1222" s="59" t="n">
        <x:v>0.79203</x:v>
      </x:c>
      <x:c r="J1222" s="59" t="n">
        <x:v>0.79797</x:v>
      </x:c>
      <x:c r="K1222" s="59" t="n">
        <x:v>0.33115</x:v>
      </x:c>
      <x:c r="L1222" s="59" t="n">
        <x:v>0.24129</x:v>
      </x:c>
      <x:c r="M1222" s="59" t="n">
        <x:v>0.89735</x:v>
      </x:c>
      <x:c r="N1222" s="60" t="n">
        <x:v>-20.8</x:v>
      </x:c>
      <x:c r="O1222" s="60" t="n">
        <x:v>0.59</x:v>
      </x:c>
      <x:c r="P1222" s="60" t="n">
        <x:v>1.64</x:v>
      </x:c>
      <x:c r="Q1222" s="60" t="n">
        <x:v>78.3</x:v>
      </x:c>
      <x:c r="R1222" s="58" t="str">
        <x:v>X</x:v>
      </x:c>
      <x:c r="S1222" s="60" t="n">
        <x:v>100</x:v>
      </x:c>
      <x:c r="T1222" s="58" t="str">
        <x:v>VALID</x:v>
      </x:c>
      <x:c r="U1222" s="58" t="n">
        <x:v>620</x:v>
      </x:c>
      <x:c r="V1222" s="58" t="str">
        <x:v>Pasted text(59).txt</x:v>
      </x:c>
    </x:row>
    <x:row r="1223">
      <x:c r="A1223" s="58" t="str">
        <x:v>S13</x:v>
      </x:c>
      <x:c r="B1223" s="58" t="str">
        <x:v>1.00 validated five-run session</x:v>
      </x:c>
      <x:c r="C1223" s="58" t="n">
        <x:v>1</x:v>
      </x:c>
      <x:c r="D1223" s="58" t="n">
        <x:v>2</x:v>
      </x:c>
      <x:c r="E1223" s="58" t="n">
        <x:v>1</x:v>
      </x:c>
      <x:c r="F1223" s="58" t="str">
        <x:v>FINE</x:v>
      </x:c>
      <x:c r="G1223" s="58" t="n">
        <x:v>2</x:v>
      </x:c>
      <x:c r="H1223" s="59" t="n">
        <x:v>8.25</x:v>
      </x:c>
      <x:c r="I1223" s="59" t="n">
        <x:v>0.8019</x:v>
      </x:c>
      <x:c r="J1223" s="59" t="n">
        <x:v>0.81412</x:v>
      </x:c>
      <x:c r="K1223" s="59" t="n">
        <x:v>0.3397</x:v>
      </x:c>
      <x:c r="L1223" s="59" t="n">
        <x:v>0.25512</x:v>
      </x:c>
      <x:c r="M1223" s="59" t="n">
        <x:v>0.91845</x:v>
      </x:c>
      <x:c r="N1223" s="60" t="n">
        <x:v>-19.81</x:v>
      </x:c>
      <x:c r="O1223" s="60" t="n">
        <x:v>0.82</x:v>
      </x:c>
      <x:c r="P1223" s="60" t="n">
        <x:v>3.08</x:v>
      </x:c>
      <x:c r="Q1223" s="60" t="n">
        <x:v>79.4</x:v>
      </x:c>
      <x:c r="R1223" s="58" t="str">
        <x:v>X</x:v>
      </x:c>
      <x:c r="S1223" s="60" t="n">
        <x:v>100</x:v>
      </x:c>
      <x:c r="T1223" s="58" t="str">
        <x:v>VALID</x:v>
      </x:c>
      <x:c r="U1223" s="58" t="n">
        <x:v>621</x:v>
      </x:c>
      <x:c r="V1223" s="58" t="str">
        <x:v>Pasted text(59).txt</x:v>
      </x:c>
    </x:row>
    <x:row r="1224">
      <x:c r="A1224" s="58" t="str">
        <x:v>S13</x:v>
      </x:c>
      <x:c r="B1224" s="58" t="str">
        <x:v>1.00 validated five-run session</x:v>
      </x:c>
      <x:c r="C1224" s="58" t="n">
        <x:v>1</x:v>
      </x:c>
      <x:c r="D1224" s="58" t="n">
        <x:v>2</x:v>
      </x:c>
      <x:c r="E1224" s="58" t="n">
        <x:v>1</x:v>
      </x:c>
      <x:c r="F1224" s="58" t="str">
        <x:v>FINE</x:v>
      </x:c>
      <x:c r="G1224" s="58" t="n">
        <x:v>3</x:v>
      </x:c>
      <x:c r="H1224" s="59" t="n">
        <x:v>8.5</x:v>
      </x:c>
      <x:c r="I1224" s="59" t="n">
        <x:v>0.83741</x:v>
      </x:c>
      <x:c r="J1224" s="59" t="n">
        <x:v>0.84384</x:v>
      </x:c>
      <x:c r="K1224" s="59" t="n">
        <x:v>0.33598</x:v>
      </x:c>
      <x:c r="L1224" s="59" t="n">
        <x:v>0.23406</x:v>
      </x:c>
      <x:c r="M1224" s="59" t="n">
        <x:v>0.93851</x:v>
      </x:c>
      <x:c r="N1224" s="60" t="n">
        <x:v>-16.26</x:v>
      </x:c>
      <x:c r="O1224" s="60" t="n">
        <x:v>1.53</x:v>
      </x:c>
      <x:c r="P1224" s="60" t="n">
        <x:v>2.27</x:v>
      </x:c>
      <x:c r="Q1224" s="60" t="n">
        <x:v>82.2</x:v>
      </x:c>
      <x:c r="R1224" s="58" t="str">
        <x:v>X</x:v>
      </x:c>
      <x:c r="S1224" s="60" t="n">
        <x:v>100</x:v>
      </x:c>
      <x:c r="T1224" s="58" t="str">
        <x:v>VALID</x:v>
      </x:c>
      <x:c r="U1224" s="58" t="n">
        <x:v>622</x:v>
      </x:c>
      <x:c r="V1224" s="58" t="str">
        <x:v>Pasted text(59).txt</x:v>
      </x:c>
    </x:row>
    <x:row r="1225">
      <x:c r="A1225" s="58" t="str">
        <x:v>S13</x:v>
      </x:c>
      <x:c r="B1225" s="58" t="str">
        <x:v>1.00 validated five-run session</x:v>
      </x:c>
      <x:c r="C1225" s="58" t="n">
        <x:v>1</x:v>
      </x:c>
      <x:c r="D1225" s="58" t="n">
        <x:v>2</x:v>
      </x:c>
      <x:c r="E1225" s="58" t="n">
        <x:v>1</x:v>
      </x:c>
      <x:c r="F1225" s="58" t="str">
        <x:v>FINE</x:v>
      </x:c>
      <x:c r="G1225" s="58" t="n">
        <x:v>4</x:v>
      </x:c>
      <x:c r="H1225" s="59" t="n">
        <x:v>8.75</x:v>
      </x:c>
      <x:c r="I1225" s="59" t="n">
        <x:v>0.89347</x:v>
      </x:c>
      <x:c r="J1225" s="59" t="n">
        <x:v>0.89172</x:v>
      </x:c>
      <x:c r="K1225" s="59" t="n">
        <x:v>0.36655</x:v>
      </x:c>
      <x:c r="L1225" s="59" t="n">
        <x:v>0.26701</x:v>
      </x:c>
      <x:c r="M1225" s="59" t="n">
        <x:v>1.00048</x:v>
      </x:c>
      <x:c r="N1225" s="60" t="n">
        <x:v>-10.65</x:v>
      </x:c>
      <x:c r="O1225" s="60" t="n">
        <x:v>0.42</x:v>
      </x:c>
      <x:c r="P1225" s="60" t="n">
        <x:v>0.61</x:v>
      </x:c>
      <x:c r="Q1225" s="60" t="n">
        <x:v>79.8</x:v>
      </x:c>
      <x:c r="R1225" s="58" t="str">
        <x:v>X</x:v>
      </x:c>
      <x:c r="S1225" s="60" t="n">
        <x:v>100</x:v>
      </x:c>
      <x:c r="T1225" s="58" t="str">
        <x:v>VALID</x:v>
      </x:c>
      <x:c r="U1225" s="58" t="n">
        <x:v>623</x:v>
      </x:c>
      <x:c r="V1225" s="58" t="str">
        <x:v>Pasted text(59).txt</x:v>
      </x:c>
    </x:row>
    <x:row r="1226">
      <x:c r="A1226" s="58" t="str">
        <x:v>S13</x:v>
      </x:c>
      <x:c r="B1226" s="58" t="str">
        <x:v>1.00 validated five-run session</x:v>
      </x:c>
      <x:c r="C1226" s="58" t="n">
        <x:v>1</x:v>
      </x:c>
      <x:c r="D1226" s="58" t="n">
        <x:v>2</x:v>
      </x:c>
      <x:c r="E1226" s="58" t="n">
        <x:v>1</x:v>
      </x:c>
      <x:c r="F1226" s="58" t="str">
        <x:v>FINE</x:v>
      </x:c>
      <x:c r="G1226" s="58" t="n">
        <x:v>5</x:v>
      </x:c>
      <x:c r="H1226" s="59" t="n">
        <x:v>9</x:v>
      </x:c>
      <x:c r="I1226" s="59" t="n">
        <x:v>0.88196</x:v>
      </x:c>
      <x:c r="J1226" s="59" t="n">
        <x:v>0.88257</x:v>
      </x:c>
      <x:c r="K1226" s="59" t="n">
        <x:v>0.41297</x:v>
      </x:c>
      <x:c r="L1226" s="59" t="n">
        <x:v>0.25501</x:v>
      </x:c>
      <x:c r="M1226" s="59" t="n">
        <x:v>1.0073</x:v>
      </x:c>
      <x:c r="N1226" s="60" t="n">
        <x:v>-11.8</x:v>
      </x:c>
      <x:c r="O1226" s="60" t="n">
        <x:v>0.7</x:v>
      </x:c>
      <x:c r="P1226" s="60" t="n">
        <x:v>0.58</x:v>
      </x:c>
      <x:c r="Q1226" s="60" t="n">
        <x:v>79.3</x:v>
      </x:c>
      <x:c r="R1226" s="58" t="str">
        <x:v>X</x:v>
      </x:c>
      <x:c r="S1226" s="60" t="n">
        <x:v>100</x:v>
      </x:c>
      <x:c r="T1226" s="58" t="str">
        <x:v>VALID</x:v>
      </x:c>
      <x:c r="U1226" s="58" t="n">
        <x:v>624</x:v>
      </x:c>
      <x:c r="V1226" s="58" t="str">
        <x:v>Pasted text(59).txt</x:v>
      </x:c>
    </x:row>
    <x:row r="1227">
      <x:c r="A1227" s="58" t="str">
        <x:v>S13</x:v>
      </x:c>
      <x:c r="B1227" s="58" t="str">
        <x:v>1.00 validated five-run session</x:v>
      </x:c>
      <x:c r="C1227" s="58" t="n">
        <x:v>1</x:v>
      </x:c>
      <x:c r="D1227" s="58" t="n">
        <x:v>2</x:v>
      </x:c>
      <x:c r="E1227" s="58" t="n">
        <x:v>1</x:v>
      </x:c>
      <x:c r="F1227" s="58" t="str">
        <x:v>FINE</x:v>
      </x:c>
      <x:c r="G1227" s="58" t="n">
        <x:v>6</x:v>
      </x:c>
      <x:c r="H1227" s="59" t="n">
        <x:v>9.25</x:v>
      </x:c>
      <x:c r="I1227" s="59" t="n">
        <x:v>0.91358</x:v>
      </x:c>
      <x:c r="J1227" s="59" t="n">
        <x:v>0.91465</x:v>
      </x:c>
      <x:c r="K1227" s="59" t="n">
        <x:v>0.40563</x:v>
      </x:c>
      <x:c r="L1227" s="59" t="n">
        <x:v>0.25009</x:v>
      </x:c>
      <x:c r="M1227" s="59" t="n">
        <x:v>1.03147</x:v>
      </x:c>
      <x:c r="N1227" s="60" t="n">
        <x:v>-8.64</x:v>
      </x:c>
      <x:c r="O1227" s="60" t="n">
        <x:v>0.56</x:v>
      </x:c>
      <x:c r="P1227" s="60" t="n">
        <x:v>0.56</x:v>
      </x:c>
      <x:c r="Q1227" s="60" t="n">
        <x:v>83.8</x:v>
      </x:c>
      <x:c r="R1227" s="58" t="str">
        <x:v>X</x:v>
      </x:c>
      <x:c r="S1227" s="60" t="n">
        <x:v>100</x:v>
      </x:c>
      <x:c r="T1227" s="58" t="str">
        <x:v>VALID</x:v>
      </x:c>
      <x:c r="U1227" s="58" t="n">
        <x:v>625</x:v>
      </x:c>
      <x:c r="V1227" s="58" t="str">
        <x:v>Pasted text(59).txt</x:v>
      </x:c>
    </x:row>
    <x:row r="1228">
      <x:c r="A1228" s="58" t="str">
        <x:v>S13</x:v>
      </x:c>
      <x:c r="B1228" s="58" t="str">
        <x:v>1.00 validated five-run session</x:v>
      </x:c>
      <x:c r="C1228" s="58" t="n">
        <x:v>1</x:v>
      </x:c>
      <x:c r="D1228" s="58" t="n">
        <x:v>2</x:v>
      </x:c>
      <x:c r="E1228" s="58" t="n">
        <x:v>1</x:v>
      </x:c>
      <x:c r="F1228" s="58" t="str">
        <x:v>FINE</x:v>
      </x:c>
      <x:c r="G1228" s="58" t="n">
        <x:v>7</x:v>
      </x:c>
      <x:c r="H1228" s="59" t="n">
        <x:v>9.5</x:v>
      </x:c>
      <x:c r="I1228" s="59" t="n">
        <x:v>0.94054</x:v>
      </x:c>
      <x:c r="J1228" s="59" t="n">
        <x:v>0.94019</x:v>
      </x:c>
      <x:c r="K1228" s="59" t="n">
        <x:v>0.39785</x:v>
      </x:c>
      <x:c r="L1228" s="59" t="n">
        <x:v>0.28124</x:v>
      </x:c>
      <x:c r="M1228" s="59" t="n">
        <x:v>1.05947</x:v>
      </x:c>
      <x:c r="N1228" s="60" t="n">
        <x:v>-5.95</x:v>
      </x:c>
      <x:c r="O1228" s="60" t="n">
        <x:v>2.07</x:v>
      </x:c>
      <x:c r="P1228" s="60" t="n">
        <x:v>1.46</x:v>
      </x:c>
      <x:c r="Q1228" s="60" t="n">
        <x:v>84.1</x:v>
      </x:c>
      <x:c r="R1228" s="58" t="str">
        <x:v>X</x:v>
      </x:c>
      <x:c r="S1228" s="60" t="n">
        <x:v>100</x:v>
      </x:c>
      <x:c r="T1228" s="58" t="str">
        <x:v>IN TARGET BAND</x:v>
      </x:c>
      <x:c r="U1228" s="58" t="n">
        <x:v>626</x:v>
      </x:c>
      <x:c r="V1228" s="58" t="str">
        <x:v>Pasted text(59).txt</x:v>
      </x:c>
    </x:row>
    <x:row r="1229">
      <x:c r="A1229" s="58" t="str">
        <x:v>S13</x:v>
      </x:c>
      <x:c r="B1229" s="58" t="str">
        <x:v>1.00 validated five-run session</x:v>
      </x:c>
      <x:c r="C1229" s="58" t="n">
        <x:v>1</x:v>
      </x:c>
      <x:c r="D1229" s="58" t="n">
        <x:v>2</x:v>
      </x:c>
      <x:c r="E1229" s="58" t="n">
        <x:v>1</x:v>
      </x:c>
      <x:c r="F1229" s="58" t="str">
        <x:v>FINE</x:v>
      </x:c>
      <x:c r="G1229" s="58" t="n">
        <x:v>8</x:v>
      </x:c>
      <x:c r="H1229" s="59" t="n">
        <x:v>9.75</x:v>
      </x:c>
      <x:c r="I1229" s="59" t="n">
        <x:v>0.99415</x:v>
      </x:c>
      <x:c r="J1229" s="59" t="n">
        <x:v>0.99189</x:v>
      </x:c>
      <x:c r="K1229" s="59" t="n">
        <x:v>0.41744</x:v>
      </x:c>
      <x:c r="L1229" s="59" t="n">
        <x:v>0.28133</x:v>
      </x:c>
      <x:c r="M1229" s="59" t="n">
        <x:v>1.11278</x:v>
      </x:c>
      <x:c r="N1229" s="60" t="n">
        <x:v>-0.59</x:v>
      </x:c>
      <x:c r="O1229" s="60" t="n">
        <x:v>0.16</x:v>
      </x:c>
      <x:c r="P1229" s="60" t="n">
        <x:v>0.49</x:v>
      </x:c>
      <x:c r="Q1229" s="60" t="n">
        <x:v>82.3</x:v>
      </x:c>
      <x:c r="R1229" s="58" t="str">
        <x:v>X</x:v>
      </x:c>
      <x:c r="S1229" s="60" t="n">
        <x:v>100</x:v>
      </x:c>
      <x:c r="T1229" s="58" t="str">
        <x:v>IN TARGET BAND</x:v>
      </x:c>
      <x:c r="U1229" s="58" t="n">
        <x:v>627</x:v>
      </x:c>
      <x:c r="V1229" s="58" t="str">
        <x:v>Pasted text(59).txt</x:v>
      </x:c>
    </x:row>
    <x:row r="1230">
      <x:c r="A1230" s="58" t="str">
        <x:v>S13</x:v>
      </x:c>
      <x:c r="B1230" s="58" t="str">
        <x:v>1.00 validated five-run session</x:v>
      </x:c>
      <x:c r="C1230" s="58" t="n">
        <x:v>1</x:v>
      </x:c>
      <x:c r="D1230" s="58" t="n">
        <x:v>2</x:v>
      </x:c>
      <x:c r="E1230" s="58" t="n">
        <x:v>1</x:v>
      </x:c>
      <x:c r="F1230" s="58" t="str">
        <x:v>FINE</x:v>
      </x:c>
      <x:c r="G1230" s="58" t="n">
        <x:v>9</x:v>
      </x:c>
      <x:c r="H1230" s="59" t="n">
        <x:v>10</x:v>
      </x:c>
      <x:c r="I1230" s="59" t="n">
        <x:v>1.0091</x:v>
      </x:c>
      <x:c r="J1230" s="59" t="n">
        <x:v>1.01294</x:v>
      </x:c>
      <x:c r="K1230" s="59" t="n">
        <x:v>0.42379</x:v>
      </x:c>
      <x:c r="L1230" s="59" t="n">
        <x:v>0.27318</x:v>
      </x:c>
      <x:c r="M1230" s="59" t="n">
        <x:v>1.13162</x:v>
      </x:c>
      <x:c r="N1230" s="60" t="n">
        <x:v>0.91</x:v>
      </x:c>
      <x:c r="O1230" s="60" t="n">
        <x:v>2.62</x:v>
      </x:c>
      <x:c r="P1230" s="60" t="n">
        <x:v>2.35</x:v>
      </x:c>
      <x:c r="Q1230" s="60" t="n">
        <x:v>83.1</x:v>
      </x:c>
      <x:c r="R1230" s="58" t="str">
        <x:v>X</x:v>
      </x:c>
      <x:c r="S1230" s="60" t="n">
        <x:v>100</x:v>
      </x:c>
      <x:c r="T1230" s="58" t="str">
        <x:v>IN TARGET BAND</x:v>
      </x:c>
      <x:c r="U1230" s="58" t="n">
        <x:v>628</x:v>
      </x:c>
      <x:c r="V1230" s="58" t="str">
        <x:v>Pasted text(59).txt</x:v>
      </x:c>
    </x:row>
    <x:row r="1231">
      <x:c r="A1231" s="58" t="str">
        <x:v>S13</x:v>
      </x:c>
      <x:c r="B1231" s="58" t="str">
        <x:v>1.00 validated five-run session</x:v>
      </x:c>
      <x:c r="C1231" s="58" t="n">
        <x:v>1</x:v>
      </x:c>
      <x:c r="D1231" s="58" t="n">
        <x:v>2</x:v>
      </x:c>
      <x:c r="E1231" s="58" t="n">
        <x:v>1</x:v>
      </x:c>
      <x:c r="F1231" s="58" t="str">
        <x:v>FINAL</x:v>
      </x:c>
      <x:c r="G1231" s="58" t="n">
        <x:v>1</x:v>
      </x:c>
      <x:c r="H1231" s="59" t="n">
        <x:v>9.75</x:v>
      </x:c>
      <x:c r="I1231" s="59" t="n">
        <x:v>0.95498</x:v>
      </x:c>
      <x:c r="J1231" s="59" t="n">
        <x:v>0.9613</x:v>
      </x:c>
      <x:c r="K1231" s="59" t="n">
        <x:v>0.42039</x:v>
      </x:c>
      <x:c r="L1231" s="59" t="n">
        <x:v>0.277</x:v>
      </x:c>
      <x:c r="M1231" s="59" t="n">
        <x:v>1.08613</x:v>
      </x:c>
      <x:c r="N1231" s="60" t="n">
        <x:v>-4.5</x:v>
      </x:c>
      <x:c r="O1231" s="60" t="n">
        <x:v>2.04</x:v>
      </x:c>
      <x:c r="P1231" s="60" t="n">
        <x:v>2.25</x:v>
      </x:c>
      <x:c r="Q1231" s="60" t="n">
        <x:v>81.2</x:v>
      </x:c>
      <x:c r="R1231" s="58" t="str">
        <x:v>X</x:v>
      </x:c>
      <x:c r="S1231" s="60" t="n">
        <x:v>100</x:v>
      </x:c>
      <x:c r="T1231" s="58" t="str">
        <x:v>IN TARGET BAND</x:v>
      </x:c>
      <x:c r="U1231" s="58" t="n">
        <x:v>631</x:v>
      </x:c>
      <x:c r="V1231" s="58" t="str">
        <x:v>Pasted text(59).txt</x:v>
      </x:c>
    </x:row>
    <x:row r="1232">
      <x:c r="A1232" s="58" t="str">
        <x:v>S13</x:v>
      </x:c>
      <x:c r="B1232" s="58" t="str">
        <x:v>1.00 validated five-run session</x:v>
      </x:c>
      <x:c r="C1232" s="58" t="n">
        <x:v>1</x:v>
      </x:c>
      <x:c r="D1232" s="58" t="n">
        <x:v>2</x:v>
      </x:c>
      <x:c r="E1232" s="58" t="n">
        <x:v>1</x:v>
      </x:c>
      <x:c r="F1232" s="58" t="str">
        <x:v>FINAL</x:v>
      </x:c>
      <x:c r="G1232" s="58" t="n">
        <x:v>2</x:v>
      </x:c>
      <x:c r="H1232" s="59" t="n">
        <x:v>9.75</x:v>
      </x:c>
      <x:c r="I1232" s="59" t="n">
        <x:v>0.97743</x:v>
      </x:c>
      <x:c r="J1232" s="59" t="n">
        <x:v>0.97829</x:v>
      </x:c>
      <x:c r="K1232" s="59" t="n">
        <x:v>0.42748</x:v>
      </x:c>
      <x:c r="L1232" s="59" t="n">
        <x:v>0.26263</x:v>
      </x:c>
      <x:c r="M1232" s="59" t="n">
        <x:v>1.09988</x:v>
      </x:c>
      <x:c r="N1232" s="60" t="n">
        <x:v>-2.26</x:v>
      </x:c>
      <x:c r="O1232" s="60" t="n">
        <x:v>2.23</x:v>
      </x:c>
      <x:c r="P1232" s="60" t="n">
        <x:v>2.09</x:v>
      </x:c>
      <x:c r="Q1232" s="60" t="n">
        <x:v>82.1</x:v>
      </x:c>
      <x:c r="R1232" s="58" t="str">
        <x:v>X</x:v>
      </x:c>
      <x:c r="S1232" s="60" t="n">
        <x:v>100</x:v>
      </x:c>
      <x:c r="T1232" s="58" t="str">
        <x:v>IN TARGET BAND</x:v>
      </x:c>
      <x:c r="U1232" s="58" t="n">
        <x:v>632</x:v>
      </x:c>
      <x:c r="V1232" s="58" t="str">
        <x:v>Pasted text(59).txt</x:v>
      </x:c>
    </x:row>
    <x:row r="1233">
      <x:c r="A1233" s="58" t="str">
        <x:v>S13</x:v>
      </x:c>
      <x:c r="B1233" s="58" t="str">
        <x:v>1.00 validated five-run session</x:v>
      </x:c>
      <x:c r="C1233" s="58" t="n">
        <x:v>1</x:v>
      </x:c>
      <x:c r="D1233" s="58" t="n">
        <x:v>3</x:v>
      </x:c>
      <x:c r="E1233" s="58" t="n">
        <x:v>1</x:v>
      </x:c>
      <x:c r="F1233" s="58" t="str">
        <x:v>SEARCH</x:v>
      </x:c>
      <x:c r="G1233" s="58" t="n">
        <x:v>1</x:v>
      </x:c>
      <x:c r="H1233" s="59" t="n">
        <x:v>1</x:v>
      </x:c>
      <x:c r="I1233" s="59" t="n">
        <x:v>0.0349</x:v>
      </x:c>
      <x:c r="J1233" s="59" t="n">
        <x:v>0.03517</x:v>
      </x:c>
      <x:c r="K1233" s="59" t="n">
        <x:v>0.04802</x:v>
      </x:c>
      <x:c r="L1233" s="59" t="n">
        <x:v>0.04789</x:v>
      </x:c>
      <x:c r="M1233" s="59" t="n">
        <x:v>0.07925</x:v>
      </x:c>
      <x:c r="N1233" s="60" t="n">
        <x:v>-96.51</x:v>
      </x:c>
      <x:c r="O1233" s="60" t="n">
        <x:v>2.3</x:v>
      </x:c>
      <x:c r="P1233" s="60" t="n">
        <x:v>1.09</x:v>
      </x:c>
      <x:c r="Q1233" s="60" t="n">
        <x:v>10.7</x:v>
      </x:c>
      <x:c r="R1233" s="58" t="str">
        <x:v>Y</x:v>
      </x:c>
      <x:c r="S1233" s="60" t="n">
        <x:v>73.2</x:v>
      </x:c>
      <x:c r="T1233" s="58" t="str">
        <x:v>BELOW MEASUREMENT FLOOR — SEARCH CONTINUES</x:v>
      </x:c>
      <x:c r="U1233" s="58" t="n">
        <x:v>688</x:v>
      </x:c>
      <x:c r="V1233" s="58" t="str">
        <x:v>Pasted text(59).txt</x:v>
      </x:c>
    </x:row>
    <x:row r="1234">
      <x:c r="A1234" s="58" t="str">
        <x:v>S13</x:v>
      </x:c>
      <x:c r="B1234" s="58" t="str">
        <x:v>1.00 validated five-run session</x:v>
      </x:c>
      <x:c r="C1234" s="58" t="n">
        <x:v>1</x:v>
      </x:c>
      <x:c r="D1234" s="58" t="n">
        <x:v>3</x:v>
      </x:c>
      <x:c r="E1234" s="58" t="n">
        <x:v>1</x:v>
      </x:c>
      <x:c r="F1234" s="58" t="str">
        <x:v>SEARCH</x:v>
      </x:c>
      <x:c r="G1234" s="58" t="n">
        <x:v>2</x:v>
      </x:c>
      <x:c r="H1234" s="59" t="n">
        <x:v>3</x:v>
      </x:c>
      <x:c r="I1234" s="59" t="n">
        <x:v>0.22566</x:v>
      </x:c>
      <x:c r="J1234" s="59" t="n">
        <x:v>0.21869</x:v>
      </x:c>
      <x:c r="K1234" s="59" t="n">
        <x:v>0.1089</x:v>
      </x:c>
      <x:c r="L1234" s="59" t="n">
        <x:v>0.04561</x:v>
      </x:c>
      <x:c r="M1234" s="59" t="n">
        <x:v>0.24983</x:v>
      </x:c>
      <x:c r="N1234" s="60" t="n">
        <x:v>-77.43</x:v>
      </x:c>
      <x:c r="O1234" s="60" t="n">
        <x:v>7.56</x:v>
      </x:c>
      <x:c r="P1234" s="60" t="n">
        <x:v>10.41</x:v>
      </x:c>
      <x:c r="Q1234" s="60" t="n">
        <x:v>32.1</x:v>
      </x:c>
      <x:c r="R1234" s="58" t="str">
        <x:v>X</x:v>
      </x:c>
      <x:c r="S1234" s="60" t="n">
        <x:v>100</x:v>
      </x:c>
      <x:c r="T1234" s="58" t="str">
        <x:v>UNSTABLE — SEARCH CONTINUES</x:v>
      </x:c>
      <x:c r="U1234" s="58" t="n">
        <x:v>689</x:v>
      </x:c>
      <x:c r="V1234" s="58" t="str">
        <x:v>Pasted text(59).txt</x:v>
      </x:c>
    </x:row>
    <x:row r="1235">
      <x:c r="A1235" s="58" t="str">
        <x:v>S13</x:v>
      </x:c>
      <x:c r="B1235" s="58" t="str">
        <x:v>1.00 validated five-run session</x:v>
      </x:c>
      <x:c r="C1235" s="58" t="n">
        <x:v>1</x:v>
      </x:c>
      <x:c r="D1235" s="58" t="n">
        <x:v>3</x:v>
      </x:c>
      <x:c r="E1235" s="58" t="n">
        <x:v>1</x:v>
      </x:c>
      <x:c r="F1235" s="58" t="str">
        <x:v>SEARCH</x:v>
      </x:c>
      <x:c r="G1235" s="58" t="n">
        <x:v>3</x:v>
      </x:c>
      <x:c r="H1235" s="59" t="n">
        <x:v>5</x:v>
      </x:c>
      <x:c r="I1235" s="59" t="n">
        <x:v>0.41095</x:v>
      </x:c>
      <x:c r="J1235" s="59" t="n">
        <x:v>0.42098</x:v>
      </x:c>
      <x:c r="K1235" s="59" t="n">
        <x:v>0.22195</x:v>
      </x:c>
      <x:c r="L1235" s="59" t="n">
        <x:v>0.06466</x:v>
      </x:c>
      <x:c r="M1235" s="59" t="n">
        <x:v>0.48088</x:v>
      </x:c>
      <x:c r="N1235" s="60" t="n">
        <x:v>-58.91</x:v>
      </x:c>
      <x:c r="O1235" s="60" t="n">
        <x:v>0.14</x:v>
      </x:c>
      <x:c r="P1235" s="60" t="n">
        <x:v>4.21</x:v>
      </x:c>
      <x:c r="Q1235" s="60" t="n">
        <x:v>54.2</x:v>
      </x:c>
      <x:c r="R1235" s="58" t="str">
        <x:v>X</x:v>
      </x:c>
      <x:c r="S1235" s="60" t="n">
        <x:v>100</x:v>
      </x:c>
      <x:c r="T1235" s="58" t="str">
        <x:v>VALID</x:v>
      </x:c>
      <x:c r="U1235" s="58" t="n">
        <x:v>690</x:v>
      </x:c>
      <x:c r="V1235" s="58" t="str">
        <x:v>Pasted text(59).txt</x:v>
      </x:c>
    </x:row>
    <x:row r="1236">
      <x:c r="A1236" s="58" t="str">
        <x:v>S13</x:v>
      </x:c>
      <x:c r="B1236" s="58" t="str">
        <x:v>1.00 validated five-run session</x:v>
      </x:c>
      <x:c r="C1236" s="58" t="n">
        <x:v>1</x:v>
      </x:c>
      <x:c r="D1236" s="58" t="n">
        <x:v>3</x:v>
      </x:c>
      <x:c r="E1236" s="58" t="n">
        <x:v>1</x:v>
      </x:c>
      <x:c r="F1236" s="58" t="str">
        <x:v>SEARCH</x:v>
      </x:c>
      <x:c r="G1236" s="58" t="n">
        <x:v>4</x:v>
      </x:c>
      <x:c r="H1236" s="59" t="n">
        <x:v>6</x:v>
      </x:c>
      <x:c r="I1236" s="59" t="n">
        <x:v>0.56013</x:v>
      </x:c>
      <x:c r="J1236" s="59" t="n">
        <x:v>0.5734</x:v>
      </x:c>
      <x:c r="K1236" s="59" t="n">
        <x:v>0.28206</x:v>
      </x:c>
      <x:c r="L1236" s="59" t="n">
        <x:v>0.12695</x:v>
      </x:c>
      <x:c r="M1236" s="59" t="n">
        <x:v>0.65297</x:v>
      </x:c>
      <x:c r="N1236" s="60" t="n">
        <x:v>-43.99</x:v>
      </x:c>
      <x:c r="O1236" s="60" t="n">
        <x:v>0.2</x:v>
      </x:c>
      <x:c r="P1236" s="60" t="n">
        <x:v>4.13</x:v>
      </x:c>
      <x:c r="Q1236" s="60" t="n">
        <x:v>67.6</x:v>
      </x:c>
      <x:c r="R1236" s="58" t="str">
        <x:v>X</x:v>
      </x:c>
      <x:c r="S1236" s="60" t="n">
        <x:v>100</x:v>
      </x:c>
      <x:c r="T1236" s="58" t="str">
        <x:v>VALID</x:v>
      </x:c>
      <x:c r="U1236" s="58" t="n">
        <x:v>691</x:v>
      </x:c>
      <x:c r="V1236" s="58" t="str">
        <x:v>Pasted text(59).txt</x:v>
      </x:c>
    </x:row>
    <x:row r="1237">
      <x:c r="A1237" s="58" t="str">
        <x:v>S13</x:v>
      </x:c>
      <x:c r="B1237" s="58" t="str">
        <x:v>1.00 validated five-run session</x:v>
      </x:c>
      <x:c r="C1237" s="58" t="n">
        <x:v>1</x:v>
      </x:c>
      <x:c r="D1237" s="58" t="n">
        <x:v>3</x:v>
      </x:c>
      <x:c r="E1237" s="58" t="n">
        <x:v>1</x:v>
      </x:c>
      <x:c r="F1237" s="58" t="str">
        <x:v>SEARCH</x:v>
      </x:c>
      <x:c r="G1237" s="58" t="n">
        <x:v>5</x:v>
      </x:c>
      <x:c r="H1237" s="59" t="n">
        <x:v>7</x:v>
      </x:c>
      <x:c r="I1237" s="59" t="n">
        <x:v>0.68899</x:v>
      </x:c>
      <x:c r="J1237" s="59" t="n">
        <x:v>0.68525</x:v>
      </x:c>
      <x:c r="K1237" s="59" t="n">
        <x:v>0.34992</x:v>
      </x:c>
      <x:c r="L1237" s="59" t="n">
        <x:v>0.13215</x:v>
      </x:c>
      <x:c r="M1237" s="59" t="n">
        <x:v>0.78088</x:v>
      </x:c>
      <x:c r="N1237" s="60" t="n">
        <x:v>-31.1</x:v>
      </x:c>
      <x:c r="O1237" s="60" t="n">
        <x:v>2.59</x:v>
      </x:c>
      <x:c r="P1237" s="60" t="n">
        <x:v>2.62</x:v>
      </x:c>
      <x:c r="Q1237" s="60" t="n">
        <x:v>75.4</x:v>
      </x:c>
      <x:c r="R1237" s="58" t="str">
        <x:v>X</x:v>
      </x:c>
      <x:c r="S1237" s="60" t="n">
        <x:v>100</x:v>
      </x:c>
      <x:c r="T1237" s="58" t="str">
        <x:v>VALID</x:v>
      </x:c>
      <x:c r="U1237" s="58" t="n">
        <x:v>692</x:v>
      </x:c>
      <x:c r="V1237" s="58" t="str">
        <x:v>Pasted text(59).txt</x:v>
      </x:c>
    </x:row>
    <x:row r="1238">
      <x:c r="A1238" s="58" t="str">
        <x:v>S13</x:v>
      </x:c>
      <x:c r="B1238" s="58" t="str">
        <x:v>1.00 validated five-run session</x:v>
      </x:c>
      <x:c r="C1238" s="58" t="n">
        <x:v>1</x:v>
      </x:c>
      <x:c r="D1238" s="58" t="n">
        <x:v>3</x:v>
      </x:c>
      <x:c r="E1238" s="58" t="n">
        <x:v>1</x:v>
      </x:c>
      <x:c r="F1238" s="58" t="str">
        <x:v>SEARCH</x:v>
      </x:c>
      <x:c r="G1238" s="58" t="n">
        <x:v>6</x:v>
      </x:c>
      <x:c r="H1238" s="59" t="n">
        <x:v>7.5</x:v>
      </x:c>
      <x:c r="I1238" s="59" t="n">
        <x:v>0.72315</x:v>
      </x:c>
      <x:c r="J1238" s="59" t="n">
        <x:v>0.71377</x:v>
      </x:c>
      <x:c r="K1238" s="59" t="n">
        <x:v>0.33695</x:v>
      </x:c>
      <x:c r="L1238" s="59" t="n">
        <x:v>0.14379</x:v>
      </x:c>
      <x:c r="M1238" s="59" t="n">
        <x:v>0.8024</x:v>
      </x:c>
      <x:c r="N1238" s="60" t="n">
        <x:v>-27.69</x:v>
      </x:c>
      <x:c r="O1238" s="60" t="n">
        <x:v>2.21</x:v>
      </x:c>
      <x:c r="P1238" s="60" t="n">
        <x:v>3.66</x:v>
      </x:c>
      <x:c r="Q1238" s="60" t="n">
        <x:v>81.6</x:v>
      </x:c>
      <x:c r="R1238" s="58" t="str">
        <x:v>X</x:v>
      </x:c>
      <x:c r="S1238" s="60" t="n">
        <x:v>100</x:v>
      </x:c>
      <x:c r="T1238" s="58" t="str">
        <x:v>VALID</x:v>
      </x:c>
      <x:c r="U1238" s="58" t="n">
        <x:v>693</x:v>
      </x:c>
      <x:c r="V1238" s="58" t="str">
        <x:v>Pasted text(59).txt</x:v>
      </x:c>
    </x:row>
    <x:row r="1239">
      <x:c r="A1239" s="58" t="str">
        <x:v>S13</x:v>
      </x:c>
      <x:c r="B1239" s="58" t="str">
        <x:v>1.00 validated five-run session</x:v>
      </x:c>
      <x:c r="C1239" s="58" t="n">
        <x:v>1</x:v>
      </x:c>
      <x:c r="D1239" s="58" t="n">
        <x:v>3</x:v>
      </x:c>
      <x:c r="E1239" s="58" t="n">
        <x:v>1</x:v>
      </x:c>
      <x:c r="F1239" s="58" t="str">
        <x:v>SEARCH</x:v>
      </x:c>
      <x:c r="G1239" s="58" t="n">
        <x:v>7</x:v>
      </x:c>
      <x:c r="H1239" s="59" t="n">
        <x:v>8</x:v>
      </x:c>
      <x:c r="I1239" s="59" t="n">
        <x:v>0.76652</x:v>
      </x:c>
      <x:c r="J1239" s="59" t="n">
        <x:v>0.77085</x:v>
      </x:c>
      <x:c r="K1239" s="59" t="n">
        <x:v>0.3883</x:v>
      </x:c>
      <x:c r="L1239" s="59" t="n">
        <x:v>0.15266</x:v>
      </x:c>
      <x:c r="M1239" s="59" t="n">
        <x:v>0.8767</x:v>
      </x:c>
      <x:c r="N1239" s="60" t="n">
        <x:v>-23.35</x:v>
      </x:c>
      <x:c r="O1239" s="60" t="n">
        <x:v>4.21</x:v>
      </x:c>
      <x:c r="P1239" s="60" t="n">
        <x:v>3.7</x:v>
      </x:c>
      <x:c r="Q1239" s="60" t="n">
        <x:v>79</x:v>
      </x:c>
      <x:c r="R1239" s="58" t="str">
        <x:v>X</x:v>
      </x:c>
      <x:c r="S1239" s="60" t="n">
        <x:v>100</x:v>
      </x:c>
      <x:c r="T1239" s="58" t="str">
        <x:v>VALID</x:v>
      </x:c>
      <x:c r="U1239" s="58" t="n">
        <x:v>694</x:v>
      </x:c>
      <x:c r="V1239" s="58" t="str">
        <x:v>Pasted text(59).txt</x:v>
      </x:c>
    </x:row>
    <x:row r="1240">
      <x:c r="A1240" s="58" t="str">
        <x:v>S13</x:v>
      </x:c>
      <x:c r="B1240" s="58" t="str">
        <x:v>1.00 validated five-run session</x:v>
      </x:c>
      <x:c r="C1240" s="58" t="n">
        <x:v>1</x:v>
      </x:c>
      <x:c r="D1240" s="58" t="n">
        <x:v>3</x:v>
      </x:c>
      <x:c r="E1240" s="58" t="n">
        <x:v>1</x:v>
      </x:c>
      <x:c r="F1240" s="58" t="str">
        <x:v>SEARCH</x:v>
      </x:c>
      <x:c r="G1240" s="58" t="n">
        <x:v>8</x:v>
      </x:c>
      <x:c r="H1240" s="59" t="n">
        <x:v>8.5</x:v>
      </x:c>
      <x:c r="I1240" s="59" t="n">
        <x:v>0.83422</x:v>
      </x:c>
      <x:c r="J1240" s="59" t="n">
        <x:v>0.82631</x:v>
      </x:c>
      <x:c r="K1240" s="59" t="n">
        <x:v>0.39001</x:v>
      </x:c>
      <x:c r="L1240" s="59" t="n">
        <x:v>0.16371</x:v>
      </x:c>
      <x:c r="M1240" s="59" t="n">
        <x:v>0.92916</x:v>
      </x:c>
      <x:c r="N1240" s="60" t="n">
        <x:v>-16.58</x:v>
      </x:c>
      <x:c r="O1240" s="60" t="n">
        <x:v>3.04</x:v>
      </x:c>
      <x:c r="P1240" s="60" t="n">
        <x:v>3.6</x:v>
      </x:c>
      <x:c r="Q1240" s="60" t="n">
        <x:v>84.4</x:v>
      </x:c>
      <x:c r="R1240" s="58" t="str">
        <x:v>X</x:v>
      </x:c>
      <x:c r="S1240" s="60" t="n">
        <x:v>100</x:v>
      </x:c>
      <x:c r="T1240" s="58" t="str">
        <x:v>VALID</x:v>
      </x:c>
      <x:c r="U1240" s="58" t="n">
        <x:v>695</x:v>
      </x:c>
      <x:c r="V1240" s="58" t="str">
        <x:v>Pasted text(59).txt</x:v>
      </x:c>
    </x:row>
    <x:row r="1241">
      <x:c r="A1241" s="58" t="str">
        <x:v>S13</x:v>
      </x:c>
      <x:c r="B1241" s="58" t="str">
        <x:v>1.00 validated five-run session</x:v>
      </x:c>
      <x:c r="C1241" s="58" t="n">
        <x:v>1</x:v>
      </x:c>
      <x:c r="D1241" s="58" t="n">
        <x:v>3</x:v>
      </x:c>
      <x:c r="E1241" s="58" t="n">
        <x:v>1</x:v>
      </x:c>
      <x:c r="F1241" s="58" t="str">
        <x:v>SEARCH</x:v>
      </x:c>
      <x:c r="G1241" s="58" t="n">
        <x:v>9</x:v>
      </x:c>
      <x:c r="H1241" s="59" t="n">
        <x:v>9</x:v>
      </x:c>
      <x:c r="I1241" s="59" t="n">
        <x:v>0.88983</x:v>
      </x:c>
      <x:c r="J1241" s="59" t="n">
        <x:v>0.88314</x:v>
      </x:c>
      <x:c r="K1241" s="59" t="n">
        <x:v>0.43325</x:v>
      </x:c>
      <x:c r="L1241" s="59" t="n">
        <x:v>0.16898</x:v>
      </x:c>
      <x:c r="M1241" s="59" t="n">
        <x:v>0.99863</x:v>
      </x:c>
      <x:c r="N1241" s="60" t="n">
        <x:v>-11.02</x:v>
      </x:c>
      <x:c r="O1241" s="60" t="n">
        <x:v>0.55</x:v>
      </x:c>
      <x:c r="P1241" s="60" t="n">
        <x:v>1.65</x:v>
      </x:c>
      <x:c r="Q1241" s="60" t="n">
        <x:v>81.8</x:v>
      </x:c>
      <x:c r="R1241" s="58" t="str">
        <x:v>X</x:v>
      </x:c>
      <x:c r="S1241" s="60" t="n">
        <x:v>100</x:v>
      </x:c>
      <x:c r="T1241" s="58" t="str">
        <x:v>VALID</x:v>
      </x:c>
      <x:c r="U1241" s="58" t="n">
        <x:v>696</x:v>
      </x:c>
      <x:c r="V1241" s="58" t="str">
        <x:v>Pasted text(59).txt</x:v>
      </x:c>
    </x:row>
    <x:row r="1242">
      <x:c r="A1242" s="58" t="str">
        <x:v>S13</x:v>
      </x:c>
      <x:c r="B1242" s="58" t="str">
        <x:v>1.00 validated five-run session</x:v>
      </x:c>
      <x:c r="C1242" s="58" t="n">
        <x:v>1</x:v>
      </x:c>
      <x:c r="D1242" s="58" t="n">
        <x:v>3</x:v>
      </x:c>
      <x:c r="E1242" s="58" t="n">
        <x:v>1</x:v>
      </x:c>
      <x:c r="F1242" s="58" t="str">
        <x:v>SEARCH</x:v>
      </x:c>
      <x:c r="G1242" s="58" t="n">
        <x:v>10</x:v>
      </x:c>
      <x:c r="H1242" s="59" t="n">
        <x:v>9.25</x:v>
      </x:c>
      <x:c r="I1242" s="59" t="n">
        <x:v>0.92193</x:v>
      </x:c>
      <x:c r="J1242" s="59" t="n">
        <x:v>0.91684</x:v>
      </x:c>
      <x:c r="K1242" s="59" t="n">
        <x:v>0.43978</x:v>
      </x:c>
      <x:c r="L1242" s="59" t="n">
        <x:v>0.20313</x:v>
      </x:c>
      <x:c r="M1242" s="59" t="n">
        <x:v>1.037</x:v>
      </x:c>
      <x:c r="N1242" s="60" t="n">
        <x:v>-7.81</x:v>
      </x:c>
      <x:c r="O1242" s="60" t="n">
        <x:v>1.41</x:v>
      </x:c>
      <x:c r="P1242" s="60" t="n">
        <x:v>1.85</x:v>
      </x:c>
      <x:c r="Q1242" s="60" t="n">
        <x:v>85.3</x:v>
      </x:c>
      <x:c r="R1242" s="58" t="str">
        <x:v>X</x:v>
      </x:c>
      <x:c r="S1242" s="60" t="n">
        <x:v>100</x:v>
      </x:c>
      <x:c r="T1242" s="58" t="str">
        <x:v>VALID</x:v>
      </x:c>
      <x:c r="U1242" s="58" t="n">
        <x:v>697</x:v>
      </x:c>
      <x:c r="V1242" s="58" t="str">
        <x:v>Pasted text(59).txt</x:v>
      </x:c>
    </x:row>
    <x:row r="1243">
      <x:c r="A1243" s="58" t="str">
        <x:v>S13</x:v>
      </x:c>
      <x:c r="B1243" s="58" t="str">
        <x:v>1.00 validated five-run session</x:v>
      </x:c>
      <x:c r="C1243" s="58" t="n">
        <x:v>1</x:v>
      </x:c>
      <x:c r="D1243" s="58" t="n">
        <x:v>3</x:v>
      </x:c>
      <x:c r="E1243" s="58" t="n">
        <x:v>1</x:v>
      </x:c>
      <x:c r="F1243" s="58" t="str">
        <x:v>SEARCH</x:v>
      </x:c>
      <x:c r="G1243" s="58" t="n">
        <x:v>11</x:v>
      </x:c>
      <x:c r="H1243" s="59" t="n">
        <x:v>9.5</x:v>
      </x:c>
      <x:c r="I1243" s="59" t="n">
        <x:v>0.91944</x:v>
      </x:c>
      <x:c r="J1243" s="59" t="n">
        <x:v>0.92235</x:v>
      </x:c>
      <x:c r="K1243" s="59" t="n">
        <x:v>0.46801</x:v>
      </x:c>
      <x:c r="L1243" s="59" t="n">
        <x:v>0.17738</x:v>
      </x:c>
      <x:c r="M1243" s="59" t="n">
        <x:v>1.04996</x:v>
      </x:c>
      <x:c r="N1243" s="60" t="n">
        <x:v>-8.06</x:v>
      </x:c>
      <x:c r="O1243" s="60" t="n">
        <x:v>1.27</x:v>
      </x:c>
      <x:c r="P1243" s="60" t="n">
        <x:v>1.35</x:v>
      </x:c>
      <x:c r="Q1243" s="60" t="n">
        <x:v>85.3</x:v>
      </x:c>
      <x:c r="R1243" s="58" t="str">
        <x:v>X</x:v>
      </x:c>
      <x:c r="S1243" s="60" t="n">
        <x:v>100</x:v>
      </x:c>
      <x:c r="T1243" s="58" t="str">
        <x:v>VALID</x:v>
      </x:c>
      <x:c r="U1243" s="58" t="n">
        <x:v>698</x:v>
      </x:c>
      <x:c r="V1243" s="58" t="str">
        <x:v>Pasted text(59).txt</x:v>
      </x:c>
    </x:row>
    <x:row r="1244">
      <x:c r="A1244" s="58" t="str">
        <x:v>S13</x:v>
      </x:c>
      <x:c r="B1244" s="58" t="str">
        <x:v>1.00 validated five-run session</x:v>
      </x:c>
      <x:c r="C1244" s="58" t="n">
        <x:v>1</x:v>
      </x:c>
      <x:c r="D1244" s="58" t="n">
        <x:v>3</x:v>
      </x:c>
      <x:c r="E1244" s="58" t="n">
        <x:v>1</x:v>
      </x:c>
      <x:c r="F1244" s="58" t="str">
        <x:v>SEARCH</x:v>
      </x:c>
      <x:c r="G1244" s="58" t="n">
        <x:v>12</x:v>
      </x:c>
      <x:c r="H1244" s="59" t="n">
        <x:v>9.75</x:v>
      </x:c>
      <x:c r="I1244" s="59" t="n">
        <x:v>0.98668</x:v>
      </x:c>
      <x:c r="J1244" s="59" t="n">
        <x:v>0.98637</x:v>
      </x:c>
      <x:c r="K1244" s="59" t="n">
        <x:v>0.47757</x:v>
      </x:c>
      <x:c r="L1244" s="59" t="n">
        <x:v>0.2274</x:v>
      </x:c>
      <x:c r="M1244" s="59" t="n">
        <x:v>1.11945</x:v>
      </x:c>
      <x:c r="N1244" s="60" t="n">
        <x:v>-1.33</x:v>
      </x:c>
      <x:c r="O1244" s="60" t="n">
        <x:v>3.24</x:v>
      </x:c>
      <x:c r="P1244" s="60" t="n">
        <x:v>2.23</x:v>
      </x:c>
      <x:c r="Q1244" s="60" t="n">
        <x:v>84.6</x:v>
      </x:c>
      <x:c r="R1244" s="58" t="str">
        <x:v>X</x:v>
      </x:c>
      <x:c r="S1244" s="60" t="n">
        <x:v>100</x:v>
      </x:c>
      <x:c r="T1244" s="58" t="str">
        <x:v>IN TARGET BAND</x:v>
      </x:c>
      <x:c r="U1244" s="58" t="n">
        <x:v>699</x:v>
      </x:c>
      <x:c r="V1244" s="58" t="str">
        <x:v>Pasted text(59).txt</x:v>
      </x:c>
    </x:row>
    <x:row r="1245">
      <x:c r="A1245" s="58" t="str">
        <x:v>S13</x:v>
      </x:c>
      <x:c r="B1245" s="58" t="str">
        <x:v>1.00 validated five-run session</x:v>
      </x:c>
      <x:c r="C1245" s="58" t="n">
        <x:v>1</x:v>
      </x:c>
      <x:c r="D1245" s="58" t="n">
        <x:v>3</x:v>
      </x:c>
      <x:c r="E1245" s="58" t="n">
        <x:v>1</x:v>
      </x:c>
      <x:c r="F1245" s="58" t="str">
        <x:v>FINE</x:v>
      </x:c>
      <x:c r="G1245" s="58" t="n">
        <x:v>1</x:v>
      </x:c>
      <x:c r="H1245" s="59" t="n">
        <x:v>8.75</x:v>
      </x:c>
      <x:c r="I1245" s="59" t="n">
        <x:v>0.86893</x:v>
      </x:c>
      <x:c r="J1245" s="59" t="n">
        <x:v>0.8611</x:v>
      </x:c>
      <x:c r="K1245" s="59" t="n">
        <x:v>0.42028</x:v>
      </x:c>
      <x:c r="L1245" s="59" t="n">
        <x:v>0.17356</x:v>
      </x:c>
      <x:c r="M1245" s="59" t="n">
        <x:v>0.97409</x:v>
      </x:c>
      <x:c r="N1245" s="60" t="n">
        <x:v>-13.11</x:v>
      </x:c>
      <x:c r="O1245" s="60" t="n">
        <x:v>0.73</x:v>
      </x:c>
      <x:c r="P1245" s="60" t="n">
        <x:v>2.02</x:v>
      </x:c>
      <x:c r="Q1245" s="60" t="n">
        <x:v>81.1</x:v>
      </x:c>
      <x:c r="R1245" s="58" t="str">
        <x:v>X</x:v>
      </x:c>
      <x:c r="S1245" s="60" t="n">
        <x:v>100</x:v>
      </x:c>
      <x:c r="T1245" s="58" t="str">
        <x:v>VALID</x:v>
      </x:c>
      <x:c r="U1245" s="58" t="n">
        <x:v>703</x:v>
      </x:c>
      <x:c r="V1245" s="58" t="str">
        <x:v>Pasted text(59).txt</x:v>
      </x:c>
    </x:row>
    <x:row r="1246">
      <x:c r="A1246" s="58" t="str">
        <x:v>S13</x:v>
      </x:c>
      <x:c r="B1246" s="58" t="str">
        <x:v>1.00 validated five-run session</x:v>
      </x:c>
      <x:c r="C1246" s="58" t="n">
        <x:v>1</x:v>
      </x:c>
      <x:c r="D1246" s="58" t="n">
        <x:v>3</x:v>
      </x:c>
      <x:c r="E1246" s="58" t="n">
        <x:v>1</x:v>
      </x:c>
      <x:c r="F1246" s="58" t="str">
        <x:v>FINE</x:v>
      </x:c>
      <x:c r="G1246" s="58" t="n">
        <x:v>2</x:v>
      </x:c>
      <x:c r="H1246" s="59" t="n">
        <x:v>9</x:v>
      </x:c>
      <x:c r="I1246" s="59" t="n">
        <x:v>0.8853</x:v>
      </x:c>
      <x:c r="J1246" s="59" t="n">
        <x:v>0.88885</x:v>
      </x:c>
      <x:c r="K1246" s="59" t="n">
        <x:v>0.43768</x:v>
      </x:c>
      <x:c r="L1246" s="59" t="n">
        <x:v>0.17772</x:v>
      </x:c>
      <x:c r="M1246" s="59" t="n">
        <x:v>1.00675</x:v>
      </x:c>
      <x:c r="N1246" s="60" t="n">
        <x:v>-11.47</x:v>
      </x:c>
      <x:c r="O1246" s="60" t="n">
        <x:v>0.84</x:v>
      </x:c>
      <x:c r="P1246" s="60" t="n">
        <x:v>1.21</x:v>
      </x:c>
      <x:c r="Q1246" s="60" t="n">
        <x:v>81.3</x:v>
      </x:c>
      <x:c r="R1246" s="58" t="str">
        <x:v>X</x:v>
      </x:c>
      <x:c r="S1246" s="60" t="n">
        <x:v>100</x:v>
      </x:c>
      <x:c r="T1246" s="58" t="str">
        <x:v>VALID</x:v>
      </x:c>
      <x:c r="U1246" s="58" t="n">
        <x:v>704</x:v>
      </x:c>
      <x:c r="V1246" s="58" t="str">
        <x:v>Pasted text(59).txt</x:v>
      </x:c>
    </x:row>
    <x:row r="1247">
      <x:c r="A1247" s="58" t="str">
        <x:v>S13</x:v>
      </x:c>
      <x:c r="B1247" s="58" t="str">
        <x:v>1.00 validated five-run session</x:v>
      </x:c>
      <x:c r="C1247" s="58" t="n">
        <x:v>1</x:v>
      </x:c>
      <x:c r="D1247" s="58" t="n">
        <x:v>3</x:v>
      </x:c>
      <x:c r="E1247" s="58" t="n">
        <x:v>1</x:v>
      </x:c>
      <x:c r="F1247" s="58" t="str">
        <x:v>FINE</x:v>
      </x:c>
      <x:c r="G1247" s="58" t="n">
        <x:v>3</x:v>
      </x:c>
      <x:c r="H1247" s="59" t="n">
        <x:v>9.25</x:v>
      </x:c>
      <x:c r="I1247" s="59" t="n">
        <x:v>0.89986</x:v>
      </x:c>
      <x:c r="J1247" s="59" t="n">
        <x:v>0.90005</x:v>
      </x:c>
      <x:c r="K1247" s="59" t="n">
        <x:v>0.4482</x:v>
      </x:c>
      <x:c r="L1247" s="59" t="n">
        <x:v>0.1676</x:v>
      </x:c>
      <x:c r="M1247" s="59" t="n">
        <x:v>1.01939</x:v>
      </x:c>
      <x:c r="N1247" s="60" t="n">
        <x:v>-10.01</x:v>
      </x:c>
      <x:c r="O1247" s="60" t="n">
        <x:v>1.77</x:v>
      </x:c>
      <x:c r="P1247" s="60" t="n">
        <x:v>1.23</x:v>
      </x:c>
      <x:c r="Q1247" s="60" t="n">
        <x:v>84.6</x:v>
      </x:c>
      <x:c r="R1247" s="58" t="str">
        <x:v>X</x:v>
      </x:c>
      <x:c r="S1247" s="60" t="n">
        <x:v>100</x:v>
      </x:c>
      <x:c r="T1247" s="58" t="str">
        <x:v>VALID</x:v>
      </x:c>
      <x:c r="U1247" s="58" t="n">
        <x:v>705</x:v>
      </x:c>
      <x:c r="V1247" s="58" t="str">
        <x:v>Pasted text(59).txt</x:v>
      </x:c>
    </x:row>
    <x:row r="1248">
      <x:c r="A1248" s="58" t="str">
        <x:v>S13</x:v>
      </x:c>
      <x:c r="B1248" s="58" t="str">
        <x:v>1.00 validated five-run session</x:v>
      </x:c>
      <x:c r="C1248" s="58" t="n">
        <x:v>1</x:v>
      </x:c>
      <x:c r="D1248" s="58" t="n">
        <x:v>3</x:v>
      </x:c>
      <x:c r="E1248" s="58" t="n">
        <x:v>1</x:v>
      </x:c>
      <x:c r="F1248" s="58" t="str">
        <x:v>FINE</x:v>
      </x:c>
      <x:c r="G1248" s="58" t="n">
        <x:v>4</x:v>
      </x:c>
      <x:c r="H1248" s="59" t="n">
        <x:v>9.5</x:v>
      </x:c>
      <x:c r="I1248" s="59" t="n">
        <x:v>0.92264</x:v>
      </x:c>
      <x:c r="J1248" s="59" t="n">
        <x:v>0.91686</x:v>
      </x:c>
      <x:c r="K1248" s="59" t="n">
        <x:v>0.4481</x:v>
      </x:c>
      <x:c r="L1248" s="59" t="n">
        <x:v>0.19761</x:v>
      </x:c>
      <x:c r="M1248" s="59" t="n">
        <x:v>1.03962</x:v>
      </x:c>
      <x:c r="N1248" s="60" t="n">
        <x:v>-7.74</x:v>
      </x:c>
      <x:c r="O1248" s="60" t="n">
        <x:v>0.6</x:v>
      </x:c>
      <x:c r="P1248" s="60" t="n">
        <x:v>1.46</x:v>
      </x:c>
      <x:c r="Q1248" s="60" t="n">
        <x:v>85.6</x:v>
      </x:c>
      <x:c r="R1248" s="58" t="str">
        <x:v>X</x:v>
      </x:c>
      <x:c r="S1248" s="60" t="n">
        <x:v>100</x:v>
      </x:c>
      <x:c r="T1248" s="58" t="str">
        <x:v>VALID</x:v>
      </x:c>
      <x:c r="U1248" s="58" t="n">
        <x:v>706</x:v>
      </x:c>
      <x:c r="V1248" s="58" t="str">
        <x:v>Pasted text(59).txt</x:v>
      </x:c>
    </x:row>
    <x:row r="1249">
      <x:c r="A1249" s="58" t="str">
        <x:v>S13</x:v>
      </x:c>
      <x:c r="B1249" s="58" t="str">
        <x:v>1.00 validated five-run session</x:v>
      </x:c>
      <x:c r="C1249" s="58" t="n">
        <x:v>1</x:v>
      </x:c>
      <x:c r="D1249" s="58" t="n">
        <x:v>3</x:v>
      </x:c>
      <x:c r="E1249" s="58" t="n">
        <x:v>1</x:v>
      </x:c>
      <x:c r="F1249" s="58" t="str">
        <x:v>FINE</x:v>
      </x:c>
      <x:c r="G1249" s="58" t="n">
        <x:v>5</x:v>
      </x:c>
      <x:c r="H1249" s="59" t="n">
        <x:v>9.75</x:v>
      </x:c>
      <x:c r="I1249" s="59" t="n">
        <x:v>0.97623</x:v>
      </x:c>
      <x:c r="J1249" s="59" t="n">
        <x:v>0.9878</x:v>
      </x:c>
      <x:c r="K1249" s="59" t="n">
        <x:v>0.48828</x:v>
      </x:c>
      <x:c r="L1249" s="59" t="n">
        <x:v>0.20382</x:v>
      </x:c>
      <x:c r="M1249" s="59" t="n">
        <x:v>1.12152</x:v>
      </x:c>
      <x:c r="N1249" s="60" t="n">
        <x:v>-2.38</x:v>
      </x:c>
      <x:c r="O1249" s="60" t="n">
        <x:v>0.35</x:v>
      </x:c>
      <x:c r="P1249" s="60" t="n">
        <x:v>2.24</x:v>
      </x:c>
      <x:c r="Q1249" s="60" t="n">
        <x:v>84.1</x:v>
      </x:c>
      <x:c r="R1249" s="58" t="str">
        <x:v>X</x:v>
      </x:c>
      <x:c r="S1249" s="60" t="n">
        <x:v>100</x:v>
      </x:c>
      <x:c r="T1249" s="58" t="str">
        <x:v>IN TARGET BAND</x:v>
      </x:c>
      <x:c r="U1249" s="58" t="n">
        <x:v>707</x:v>
      </x:c>
      <x:c r="V1249" s="58" t="str">
        <x:v>Pasted text(59).txt</x:v>
      </x:c>
    </x:row>
    <x:row r="1250">
      <x:c r="A1250" s="58" t="str">
        <x:v>S13</x:v>
      </x:c>
      <x:c r="B1250" s="58" t="str">
        <x:v>1.00 validated five-run session</x:v>
      </x:c>
      <x:c r="C1250" s="58" t="n">
        <x:v>1</x:v>
      </x:c>
      <x:c r="D1250" s="58" t="n">
        <x:v>3</x:v>
      </x:c>
      <x:c r="E1250" s="58" t="n">
        <x:v>1</x:v>
      </x:c>
      <x:c r="F1250" s="58" t="str">
        <x:v>FINE</x:v>
      </x:c>
      <x:c r="G1250" s="58" t="n">
        <x:v>6</x:v>
      </x:c>
      <x:c r="H1250" s="59" t="n">
        <x:v>10</x:v>
      </x:c>
      <x:c r="I1250" s="59" t="n">
        <x:v>0.98388</x:v>
      </x:c>
      <x:c r="J1250" s="59" t="n">
        <x:v>0.98025</x:v>
      </x:c>
      <x:c r="K1250" s="59" t="n">
        <x:v>0.49074</x:v>
      </x:c>
      <x:c r="L1250" s="59" t="n">
        <x:v>0.22441</x:v>
      </x:c>
      <x:c r="M1250" s="59" t="n">
        <x:v>1.11923</x:v>
      </x:c>
      <x:c r="N1250" s="60" t="n">
        <x:v>-1.61</x:v>
      </x:c>
      <x:c r="O1250" s="60" t="n">
        <x:v>0.67</x:v>
      </x:c>
      <x:c r="P1250" s="60" t="n">
        <x:v>1.06</x:v>
      </x:c>
      <x:c r="Q1250" s="60" t="n">
        <x:v>84.2</x:v>
      </x:c>
      <x:c r="R1250" s="58" t="str">
        <x:v>X</x:v>
      </x:c>
      <x:c r="S1250" s="60" t="n">
        <x:v>100</x:v>
      </x:c>
      <x:c r="T1250" s="58" t="str">
        <x:v>IN TARGET BAND</x:v>
      </x:c>
      <x:c r="U1250" s="58" t="n">
        <x:v>708</x:v>
      </x:c>
      <x:c r="V1250" s="58" t="str">
        <x:v>Pasted text(59).txt</x:v>
      </x:c>
    </x:row>
    <x:row r="1251">
      <x:c r="A1251" s="58" t="str">
        <x:v>S13</x:v>
      </x:c>
      <x:c r="B1251" s="58" t="str">
        <x:v>1.00 validated five-run session</x:v>
      </x:c>
      <x:c r="C1251" s="58" t="n">
        <x:v>1</x:v>
      </x:c>
      <x:c r="D1251" s="58" t="n">
        <x:v>3</x:v>
      </x:c>
      <x:c r="E1251" s="58" t="n">
        <x:v>1</x:v>
      </x:c>
      <x:c r="F1251" s="58" t="str">
        <x:v>FINE</x:v>
      </x:c>
      <x:c r="G1251" s="58" t="n">
        <x:v>7</x:v>
      </x:c>
      <x:c r="H1251" s="59" t="n">
        <x:v>10.25</x:v>
      </x:c>
      <x:c r="I1251" s="59" t="n">
        <x:v>0.99792</x:v>
      </x:c>
      <x:c r="J1251" s="59" t="n">
        <x:v>0.99787</x:v>
      </x:c>
      <x:c r="K1251" s="59" t="n">
        <x:v>0.52261</x:v>
      </x:c>
      <x:c r="L1251" s="59" t="n">
        <x:v>0.21016</x:v>
      </x:c>
      <x:c r="M1251" s="59" t="n">
        <x:v>1.146</x:v>
      </x:c>
      <x:c r="N1251" s="60" t="n">
        <x:v>-0.21</x:v>
      </x:c>
      <x:c r="O1251" s="60" t="n">
        <x:v>0.61</x:v>
      </x:c>
      <x:c r="P1251" s="60" t="n">
        <x:v>0.42</x:v>
      </x:c>
      <x:c r="Q1251" s="60" t="n">
        <x:v>85.8</x:v>
      </x:c>
      <x:c r="R1251" s="58" t="str">
        <x:v>X</x:v>
      </x:c>
      <x:c r="S1251" s="60" t="n">
        <x:v>100</x:v>
      </x:c>
      <x:c r="T1251" s="58" t="str">
        <x:v>IN TARGET BAND</x:v>
      </x:c>
      <x:c r="U1251" s="58" t="n">
        <x:v>709</x:v>
      </x:c>
      <x:c r="V1251" s="58" t="str">
        <x:v>Pasted text(59).txt</x:v>
      </x:c>
    </x:row>
    <x:row r="1252">
      <x:c r="A1252" s="58" t="str">
        <x:v>S13</x:v>
      </x:c>
      <x:c r="B1252" s="58" t="str">
        <x:v>1.00 validated five-run session</x:v>
      </x:c>
      <x:c r="C1252" s="58" t="n">
        <x:v>1</x:v>
      </x:c>
      <x:c r="D1252" s="58" t="n">
        <x:v>3</x:v>
      </x:c>
      <x:c r="E1252" s="58" t="n">
        <x:v>1</x:v>
      </x:c>
      <x:c r="F1252" s="58" t="str">
        <x:v>FINE</x:v>
      </x:c>
      <x:c r="G1252" s="58" t="n">
        <x:v>8</x:v>
      </x:c>
      <x:c r="H1252" s="59" t="n">
        <x:v>10.5</x:v>
      </x:c>
      <x:c r="I1252" s="59" t="n">
        <x:v>1.02397</x:v>
      </x:c>
      <x:c r="J1252" s="59" t="n">
        <x:v>1.02361</x:v>
      </x:c>
      <x:c r="K1252" s="59" t="n">
        <x:v>0.52428</x:v>
      </x:c>
      <x:c r="L1252" s="59" t="n">
        <x:v>0.21647</x:v>
      </x:c>
      <x:c r="M1252" s="59" t="n">
        <x:v>1.1705</x:v>
      </x:c>
      <x:c r="N1252" s="60" t="n">
        <x:v>2.4</x:v>
      </x:c>
      <x:c r="O1252" s="60" t="n">
        <x:v>0.14</x:v>
      </x:c>
      <x:c r="P1252" s="60" t="n">
        <x:v>0.15</x:v>
      </x:c>
      <x:c r="Q1252" s="60" t="n">
        <x:v>88.8</x:v>
      </x:c>
      <x:c r="R1252" s="58" t="str">
        <x:v>X</x:v>
      </x:c>
      <x:c r="S1252" s="60" t="n">
        <x:v>100</x:v>
      </x:c>
      <x:c r="T1252" s="58" t="str">
        <x:v>IN TARGET BAND</x:v>
      </x:c>
      <x:c r="U1252" s="58" t="n">
        <x:v>710</x:v>
      </x:c>
      <x:c r="V1252" s="58" t="str">
        <x:v>Pasted text(59).txt</x:v>
      </x:c>
    </x:row>
    <x:row r="1253">
      <x:c r="A1253" s="58" t="str">
        <x:v>S13</x:v>
      </x:c>
      <x:c r="B1253" s="58" t="str">
        <x:v>1.00 validated five-run session</x:v>
      </x:c>
      <x:c r="C1253" s="58" t="n">
        <x:v>1</x:v>
      </x:c>
      <x:c r="D1253" s="58" t="n">
        <x:v>3</x:v>
      </x:c>
      <x:c r="E1253" s="58" t="n">
        <x:v>1</x:v>
      </x:c>
      <x:c r="F1253" s="58" t="str">
        <x:v>FINE</x:v>
      </x:c>
      <x:c r="G1253" s="58" t="n">
        <x:v>9</x:v>
      </x:c>
      <x:c r="H1253" s="59" t="n">
        <x:v>10.75</x:v>
      </x:c>
      <x:c r="I1253" s="59" t="n">
        <x:v>1.07684</x:v>
      </x:c>
      <x:c r="J1253" s="59" t="n">
        <x:v>1.08086</x:v>
      </x:c>
      <x:c r="K1253" s="59" t="n">
        <x:v>0.5206</x:v>
      </x:c>
      <x:c r="L1253" s="59" t="n">
        <x:v>0.2177</x:v>
      </x:c>
      <x:c r="M1253" s="59" t="n">
        <x:v>1.21941</x:v>
      </x:c>
      <x:c r="N1253" s="60" t="n">
        <x:v>7.68</x:v>
      </x:c>
      <x:c r="O1253" s="60" t="n">
        <x:v>0.55</x:v>
      </x:c>
      <x:c r="P1253" s="60" t="n">
        <x:v>0.98</x:v>
      </x:c>
      <x:c r="Q1253" s="60" t="n">
        <x:v>87.3</x:v>
      </x:c>
      <x:c r="R1253" s="58" t="str">
        <x:v>X</x:v>
      </x:c>
      <x:c r="S1253" s="60" t="n">
        <x:v>100</x:v>
      </x:c>
      <x:c r="T1253" s="58" t="str">
        <x:v>VALID</x:v>
      </x:c>
      <x:c r="U1253" s="58" t="n">
        <x:v>711</x:v>
      </x:c>
      <x:c r="V1253" s="58" t="str">
        <x:v>Pasted text(59).txt</x:v>
      </x:c>
    </x:row>
    <x:row r="1254">
      <x:c r="A1254" s="58" t="str">
        <x:v>S13</x:v>
      </x:c>
      <x:c r="B1254" s="58" t="str">
        <x:v>1.00 validated five-run session</x:v>
      </x:c>
      <x:c r="C1254" s="58" t="n">
        <x:v>1</x:v>
      </x:c>
      <x:c r="D1254" s="58" t="n">
        <x:v>3</x:v>
      </x:c>
      <x:c r="E1254" s="58" t="n">
        <x:v>1</x:v>
      </x:c>
      <x:c r="F1254" s="58" t="str">
        <x:v>FINAL</x:v>
      </x:c>
      <x:c r="G1254" s="58" t="n">
        <x:v>1</x:v>
      </x:c>
      <x:c r="H1254" s="59" t="n">
        <x:v>10.25</x:v>
      </x:c>
      <x:c r="I1254" s="59" t="n">
        <x:v>1.00471</x:v>
      </x:c>
      <x:c r="J1254" s="59" t="n">
        <x:v>1.00842</x:v>
      </x:c>
      <x:c r="K1254" s="59" t="n">
        <x:v>0.50339</x:v>
      </x:c>
      <x:c r="L1254" s="59" t="n">
        <x:v>0.21122</x:v>
      </x:c>
      <x:c r="M1254" s="59" t="n">
        <x:v>1.14713</x:v>
      </x:c>
      <x:c r="N1254" s="60" t="n">
        <x:v>0.47</x:v>
      </x:c>
      <x:c r="O1254" s="60" t="n">
        <x:v>0.8</x:v>
      </x:c>
      <x:c r="P1254" s="60" t="n">
        <x:v>1.36</x:v>
      </x:c>
      <x:c r="Q1254" s="60" t="n">
        <x:v>85.8</x:v>
      </x:c>
      <x:c r="R1254" s="58" t="str">
        <x:v>X</x:v>
      </x:c>
      <x:c r="S1254" s="60" t="n">
        <x:v>100</x:v>
      </x:c>
      <x:c r="T1254" s="58" t="str">
        <x:v>IN TARGET BAND</x:v>
      </x:c>
      <x:c r="U1254" s="58" t="n">
        <x:v>714</x:v>
      </x:c>
      <x:c r="V1254" s="58" t="str">
        <x:v>Pasted text(59).txt</x:v>
      </x:c>
    </x:row>
    <x:row r="1255">
      <x:c r="A1255" s="58" t="str">
        <x:v>S13</x:v>
      </x:c>
      <x:c r="B1255" s="58" t="str">
        <x:v>1.00 validated five-run session</x:v>
      </x:c>
      <x:c r="C1255" s="58" t="n">
        <x:v>1</x:v>
      </x:c>
      <x:c r="D1255" s="58" t="n">
        <x:v>3</x:v>
      </x:c>
      <x:c r="E1255" s="58" t="n">
        <x:v>1</x:v>
      </x:c>
      <x:c r="F1255" s="58" t="str">
        <x:v>FINAL</x:v>
      </x:c>
      <x:c r="G1255" s="58" t="n">
        <x:v>2</x:v>
      </x:c>
      <x:c r="H1255" s="59" t="n">
        <x:v>10.25</x:v>
      </x:c>
      <x:c r="I1255" s="59" t="n">
        <x:v>1.0055</x:v>
      </x:c>
      <x:c r="J1255" s="59" t="n">
        <x:v>1.0054</x:v>
      </x:c>
      <x:c r="K1255" s="59" t="n">
        <x:v>0.51432</x:v>
      </x:c>
      <x:c r="L1255" s="59" t="n">
        <x:v>0.21014</x:v>
      </x:c>
      <x:c r="M1255" s="59" t="n">
        <x:v>1.14896</x:v>
      </x:c>
      <x:c r="N1255" s="60" t="n">
        <x:v>0.55</x:v>
      </x:c>
      <x:c r="O1255" s="60" t="n">
        <x:v>1</x:v>
      </x:c>
      <x:c r="P1255" s="60" t="n">
        <x:v>0.8</x:v>
      </x:c>
      <x:c r="Q1255" s="60" t="n">
        <x:v>85.8</x:v>
      </x:c>
      <x:c r="R1255" s="58" t="str">
        <x:v>X</x:v>
      </x:c>
      <x:c r="S1255" s="60" t="n">
        <x:v>100</x:v>
      </x:c>
      <x:c r="T1255" s="58" t="str">
        <x:v>IN TARGET BAND</x:v>
      </x:c>
      <x:c r="U1255" s="58" t="n">
        <x:v>715</x:v>
      </x:c>
      <x:c r="V1255" s="58" t="str">
        <x:v>Pasted text(59).txt</x:v>
      </x:c>
    </x:row>
    <x:row r="1256">
      <x:c r="A1256" s="58" t="str">
        <x:v>S13</x:v>
      </x:c>
      <x:c r="B1256" s="58" t="str">
        <x:v>1.00 validated five-run session</x:v>
      </x:c>
      <x:c r="C1256" s="58" t="n">
        <x:v>1</x:v>
      </x:c>
      <x:c r="D1256" s="58" t="n">
        <x:v>4</x:v>
      </x:c>
      <x:c r="E1256" s="58" t="n">
        <x:v>1</x:v>
      </x:c>
      <x:c r="F1256" s="58" t="str">
        <x:v>SEARCH</x:v>
      </x:c>
      <x:c r="G1256" s="58" t="n">
        <x:v>1</x:v>
      </x:c>
      <x:c r="H1256" s="59" t="n">
        <x:v>1</x:v>
      </x:c>
      <x:c r="I1256" s="59" t="n">
        <x:v>0.01378</x:v>
      </x:c>
      <x:c r="J1256" s="59" t="n">
        <x:v>0.01502</x:v>
      </x:c>
      <x:c r="K1256" s="59" t="n">
        <x:v>0.02585</x:v>
      </x:c>
      <x:c r="L1256" s="59" t="n">
        <x:v>0.02428</x:v>
      </x:c>
      <x:c r="M1256" s="59" t="n">
        <x:v>0.03933</x:v>
      </x:c>
      <x:c r="N1256" s="60" t="n">
        <x:v>-98.62</x:v>
      </x:c>
      <x:c r="O1256" s="60" t="n">
        <x:v>52.92</x:v>
      </x:c>
      <x:c r="P1256" s="60" t="n">
        <x:v>45.66</x:v>
      </x:c>
      <x:c r="Q1256" s="60" t="n">
        <x:v>4.6</x:v>
      </x:c>
      <x:c r="R1256" s="58" t="str">
        <x:v>Y</x:v>
      </x:c>
      <x:c r="S1256" s="60" t="n">
        <x:v>58.1</x:v>
      </x:c>
      <x:c r="T1256" s="58" t="str">
        <x:v>BELOW MEASUREMENT FLOOR — SEARCH CONTINUES</x:v>
      </x:c>
      <x:c r="U1256" s="58" t="n">
        <x:v>771</x:v>
      </x:c>
      <x:c r="V1256" s="58" t="str">
        <x:v>Pasted text(59).txt</x:v>
      </x:c>
    </x:row>
    <x:row r="1257">
      <x:c r="A1257" s="58" t="str">
        <x:v>S13</x:v>
      </x:c>
      <x:c r="B1257" s="58" t="str">
        <x:v>1.00 validated five-run session</x:v>
      </x:c>
      <x:c r="C1257" s="58" t="n">
        <x:v>1</x:v>
      </x:c>
      <x:c r="D1257" s="58" t="n">
        <x:v>4</x:v>
      </x:c>
      <x:c r="E1257" s="58" t="n">
        <x:v>1</x:v>
      </x:c>
      <x:c r="F1257" s="58" t="str">
        <x:v>SEARCH</x:v>
      </x:c>
      <x:c r="G1257" s="58" t="n">
        <x:v>2</x:v>
      </x:c>
      <x:c r="H1257" s="59" t="n">
        <x:v>3</x:v>
      </x:c>
      <x:c r="I1257" s="59" t="n">
        <x:v>0.20775</x:v>
      </x:c>
      <x:c r="J1257" s="59" t="n">
        <x:v>0.20988</x:v>
      </x:c>
      <x:c r="K1257" s="59" t="n">
        <x:v>0.09828</x:v>
      </x:c>
      <x:c r="L1257" s="59" t="n">
        <x:v>0.05042</x:v>
      </x:c>
      <x:c r="M1257" s="59" t="n">
        <x:v>0.23754</x:v>
      </x:c>
      <x:c r="N1257" s="60" t="n">
        <x:v>-79.22</x:v>
      </x:c>
      <x:c r="O1257" s="60" t="n">
        <x:v>0.9</x:v>
      </x:c>
      <x:c r="P1257" s="60" t="n">
        <x:v>2.29</x:v>
      </x:c>
      <x:c r="Q1257" s="60" t="n">
        <x:v>31.2</x:v>
      </x:c>
      <x:c r="R1257" s="58" t="str">
        <x:v>X</x:v>
      </x:c>
      <x:c r="S1257" s="60" t="n">
        <x:v>100</x:v>
      </x:c>
      <x:c r="T1257" s="58" t="str">
        <x:v>UNSTABLE — SEARCH CONTINUES</x:v>
      </x:c>
      <x:c r="U1257" s="58" t="n">
        <x:v>772</x:v>
      </x:c>
      <x:c r="V1257" s="58" t="str">
        <x:v>Pasted text(59).txt</x:v>
      </x:c>
    </x:row>
    <x:row r="1258">
      <x:c r="A1258" s="58" t="str">
        <x:v>S13</x:v>
      </x:c>
      <x:c r="B1258" s="58" t="str">
        <x:v>1.00 validated five-run session</x:v>
      </x:c>
      <x:c r="C1258" s="58" t="n">
        <x:v>1</x:v>
      </x:c>
      <x:c r="D1258" s="58" t="n">
        <x:v>4</x:v>
      </x:c>
      <x:c r="E1258" s="58" t="n">
        <x:v>1</x:v>
      </x:c>
      <x:c r="F1258" s="58" t="str">
        <x:v>SEARCH</x:v>
      </x:c>
      <x:c r="G1258" s="58" t="n">
        <x:v>3</x:v>
      </x:c>
      <x:c r="H1258" s="59" t="n">
        <x:v>5</x:v>
      </x:c>
      <x:c r="I1258" s="59" t="n">
        <x:v>0.41071</x:v>
      </x:c>
      <x:c r="J1258" s="59" t="n">
        <x:v>0.40985</x:v>
      </x:c>
      <x:c r="K1258" s="59" t="n">
        <x:v>0.21091</x:v>
      </x:c>
      <x:c r="L1258" s="59" t="n">
        <x:v>0.07713</x:v>
      </x:c>
      <x:c r="M1258" s="59" t="n">
        <x:v>0.46808</x:v>
      </x:c>
      <x:c r="N1258" s="60" t="n">
        <x:v>-58.93</x:v>
      </x:c>
      <x:c r="O1258" s="60" t="n">
        <x:v>1.58</x:v>
      </x:c>
      <x:c r="P1258" s="60" t="n">
        <x:v>1.39</x:v>
      </x:c>
      <x:c r="Q1258" s="60" t="n">
        <x:v>55.4</x:v>
      </x:c>
      <x:c r="R1258" s="58" t="str">
        <x:v>X</x:v>
      </x:c>
      <x:c r="S1258" s="60" t="n">
        <x:v>100</x:v>
      </x:c>
      <x:c r="T1258" s="58" t="str">
        <x:v>VALID</x:v>
      </x:c>
      <x:c r="U1258" s="58" t="n">
        <x:v>773</x:v>
      </x:c>
      <x:c r="V1258" s="58" t="str">
        <x:v>Pasted text(59).txt</x:v>
      </x:c>
    </x:row>
    <x:row r="1259">
      <x:c r="A1259" s="58" t="str">
        <x:v>S13</x:v>
      </x:c>
      <x:c r="B1259" s="58" t="str">
        <x:v>1.00 validated five-run session</x:v>
      </x:c>
      <x:c r="C1259" s="58" t="n">
        <x:v>1</x:v>
      </x:c>
      <x:c r="D1259" s="58" t="n">
        <x:v>4</x:v>
      </x:c>
      <x:c r="E1259" s="58" t="n">
        <x:v>1</x:v>
      </x:c>
      <x:c r="F1259" s="58" t="str">
        <x:v>SEARCH</x:v>
      </x:c>
      <x:c r="G1259" s="58" t="n">
        <x:v>4</x:v>
      </x:c>
      <x:c r="H1259" s="59" t="n">
        <x:v>6</x:v>
      </x:c>
      <x:c r="I1259" s="59" t="n">
        <x:v>0.54923</x:v>
      </x:c>
      <x:c r="J1259" s="59" t="n">
        <x:v>0.54032</x:v>
      </x:c>
      <x:c r="K1259" s="59" t="n">
        <x:v>0.26037</x:v>
      </x:c>
      <x:c r="L1259" s="59" t="n">
        <x:v>0.12698</x:v>
      </x:c>
      <x:c r="M1259" s="59" t="n">
        <x:v>0.61442</x:v>
      </x:c>
      <x:c r="N1259" s="60" t="n">
        <x:v>-45.08</x:v>
      </x:c>
      <x:c r="O1259" s="60" t="n">
        <x:v>3.42</x:v>
      </x:c>
      <x:c r="P1259" s="60" t="n">
        <x:v>5.03</x:v>
      </x:c>
      <x:c r="Q1259" s="60" t="n">
        <x:v>65.5</x:v>
      </x:c>
      <x:c r="R1259" s="58" t="str">
        <x:v>X</x:v>
      </x:c>
      <x:c r="S1259" s="60" t="n">
        <x:v>100</x:v>
      </x:c>
      <x:c r="T1259" s="58" t="str">
        <x:v>VALID</x:v>
      </x:c>
      <x:c r="U1259" s="58" t="n">
        <x:v>774</x:v>
      </x:c>
      <x:c r="V1259" s="58" t="str">
        <x:v>Pasted text(59).txt</x:v>
      </x:c>
    </x:row>
    <x:row r="1260">
      <x:c r="A1260" s="58" t="str">
        <x:v>S13</x:v>
      </x:c>
      <x:c r="B1260" s="58" t="str">
        <x:v>1.00 validated five-run session</x:v>
      </x:c>
      <x:c r="C1260" s="58" t="n">
        <x:v>1</x:v>
      </x:c>
      <x:c r="D1260" s="58" t="n">
        <x:v>4</x:v>
      </x:c>
      <x:c r="E1260" s="58" t="n">
        <x:v>1</x:v>
      </x:c>
      <x:c r="F1260" s="58" t="str">
        <x:v>SEARCH</x:v>
      </x:c>
      <x:c r="G1260" s="58" t="n">
        <x:v>5</x:v>
      </x:c>
      <x:c r="H1260" s="59" t="n">
        <x:v>7</x:v>
      </x:c>
      <x:c r="I1260" s="59" t="n">
        <x:v>0.66449</x:v>
      </x:c>
      <x:c r="J1260" s="59" t="n">
        <x:v>0.66371</x:v>
      </x:c>
      <x:c r="K1260" s="59" t="n">
        <x:v>0.32478</x:v>
      </x:c>
      <x:c r="L1260" s="59" t="n">
        <x:v>0.14431</x:v>
      </x:c>
      <x:c r="M1260" s="59" t="n">
        <x:v>0.75319</x:v>
      </x:c>
      <x:c r="N1260" s="60" t="n">
        <x:v>-33.55</x:v>
      </x:c>
      <x:c r="O1260" s="60" t="n">
        <x:v>2.15</x:v>
      </x:c>
      <x:c r="P1260" s="60" t="n">
        <x:v>1.63</x:v>
      </x:c>
      <x:c r="Q1260" s="60" t="n">
        <x:v>76.5</x:v>
      </x:c>
      <x:c r="R1260" s="58" t="str">
        <x:v>X</x:v>
      </x:c>
      <x:c r="S1260" s="60" t="n">
        <x:v>100</x:v>
      </x:c>
      <x:c r="T1260" s="58" t="str">
        <x:v>VALID</x:v>
      </x:c>
      <x:c r="U1260" s="58" t="n">
        <x:v>775</x:v>
      </x:c>
      <x:c r="V1260" s="58" t="str">
        <x:v>Pasted text(59).txt</x:v>
      </x:c>
    </x:row>
    <x:row r="1261">
      <x:c r="A1261" s="58" t="str">
        <x:v>S13</x:v>
      </x:c>
      <x:c r="B1261" s="58" t="str">
        <x:v>1.00 validated five-run session</x:v>
      </x:c>
      <x:c r="C1261" s="58" t="n">
        <x:v>1</x:v>
      </x:c>
      <x:c r="D1261" s="58" t="n">
        <x:v>4</x:v>
      </x:c>
      <x:c r="E1261" s="58" t="n">
        <x:v>1</x:v>
      </x:c>
      <x:c r="F1261" s="58" t="str">
        <x:v>SEARCH</x:v>
      </x:c>
      <x:c r="G1261" s="58" t="n">
        <x:v>6</x:v>
      </x:c>
      <x:c r="H1261" s="59" t="n">
        <x:v>7.5</x:v>
      </x:c>
      <x:c r="I1261" s="59" t="n">
        <x:v>0.68505</x:v>
      </x:c>
      <x:c r="J1261" s="59" t="n">
        <x:v>0.69075</x:v>
      </x:c>
      <x:c r="K1261" s="59" t="n">
        <x:v>0.32642</x:v>
      </x:c>
      <x:c r="L1261" s="59" t="n">
        <x:v>0.14988</x:v>
      </x:c>
      <x:c r="M1261" s="59" t="n">
        <x:v>0.77868</x:v>
      </x:c>
      <x:c r="N1261" s="60" t="n">
        <x:v>-31.49</x:v>
      </x:c>
      <x:c r="O1261" s="60" t="n">
        <x:v>0.3</x:v>
      </x:c>
      <x:c r="P1261" s="60" t="n">
        <x:v>1.6</x:v>
      </x:c>
      <x:c r="Q1261" s="60" t="n">
        <x:v>82</x:v>
      </x:c>
      <x:c r="R1261" s="58" t="str">
        <x:v>X</x:v>
      </x:c>
      <x:c r="S1261" s="60" t="n">
        <x:v>100</x:v>
      </x:c>
      <x:c r="T1261" s="58" t="str">
        <x:v>VALID</x:v>
      </x:c>
      <x:c r="U1261" s="58" t="n">
        <x:v>776</x:v>
      </x:c>
      <x:c r="V1261" s="58" t="str">
        <x:v>Pasted text(59).txt</x:v>
      </x:c>
    </x:row>
    <x:row r="1262">
      <x:c r="A1262" s="58" t="str">
        <x:v>S13</x:v>
      </x:c>
      <x:c r="B1262" s="58" t="str">
        <x:v>1.00 validated five-run session</x:v>
      </x:c>
      <x:c r="C1262" s="58" t="n">
        <x:v>1</x:v>
      </x:c>
      <x:c r="D1262" s="58" t="n">
        <x:v>4</x:v>
      </x:c>
      <x:c r="E1262" s="58" t="n">
        <x:v>1</x:v>
      </x:c>
      <x:c r="F1262" s="58" t="str">
        <x:v>SEARCH</x:v>
      </x:c>
      <x:c r="G1262" s="58" t="n">
        <x:v>7</x:v>
      </x:c>
      <x:c r="H1262" s="59" t="n">
        <x:v>8</x:v>
      </x:c>
      <x:c r="I1262" s="59" t="n">
        <x:v>0.76922</x:v>
      </x:c>
      <x:c r="J1262" s="59" t="n">
        <x:v>0.77268</x:v>
      </x:c>
      <x:c r="K1262" s="59" t="n">
        <x:v>0.38534</x:v>
      </x:c>
      <x:c r="L1262" s="59" t="n">
        <x:v>0.12642</x:v>
      </x:c>
      <x:c r="M1262" s="59" t="n">
        <x:v>0.87283</x:v>
      </x:c>
      <x:c r="N1262" s="60" t="n">
        <x:v>-23.08</x:v>
      </x:c>
      <x:c r="O1262" s="60" t="n">
        <x:v>1.78</x:v>
      </x:c>
      <x:c r="P1262" s="60" t="n">
        <x:v>1.9</x:v>
      </x:c>
      <x:c r="Q1262" s="60" t="n">
        <x:v>79.5</x:v>
      </x:c>
      <x:c r="R1262" s="58" t="str">
        <x:v>X</x:v>
      </x:c>
      <x:c r="S1262" s="60" t="n">
        <x:v>100</x:v>
      </x:c>
      <x:c r="T1262" s="58" t="str">
        <x:v>VALID</x:v>
      </x:c>
      <x:c r="U1262" s="58" t="n">
        <x:v>777</x:v>
      </x:c>
      <x:c r="V1262" s="58" t="str">
        <x:v>Pasted text(59).txt</x:v>
      </x:c>
    </x:row>
    <x:row r="1263">
      <x:c r="A1263" s="58" t="str">
        <x:v>S13</x:v>
      </x:c>
      <x:c r="B1263" s="58" t="str">
        <x:v>1.00 validated five-run session</x:v>
      </x:c>
      <x:c r="C1263" s="58" t="n">
        <x:v>1</x:v>
      </x:c>
      <x:c r="D1263" s="58" t="n">
        <x:v>4</x:v>
      </x:c>
      <x:c r="E1263" s="58" t="n">
        <x:v>1</x:v>
      </x:c>
      <x:c r="F1263" s="58" t="str">
        <x:v>SEARCH</x:v>
      </x:c>
      <x:c r="G1263" s="58" t="n">
        <x:v>8</x:v>
      </x:c>
      <x:c r="H1263" s="59" t="n">
        <x:v>8.5</x:v>
      </x:c>
      <x:c r="I1263" s="59" t="n">
        <x:v>0.79805</x:v>
      </x:c>
      <x:c r="J1263" s="59" t="n">
        <x:v>0.79302</x:v>
      </x:c>
      <x:c r="K1263" s="59" t="n">
        <x:v>0.39331</x:v>
      </x:c>
      <x:c r="L1263" s="59" t="n">
        <x:v>0.152</x:v>
      </x:c>
      <x:c r="M1263" s="59" t="n">
        <x:v>0.89833</x:v>
      </x:c>
      <x:c r="N1263" s="60" t="n">
        <x:v>-20.2</x:v>
      </x:c>
      <x:c r="O1263" s="60" t="n">
        <x:v>0.95</x:v>
      </x:c>
      <x:c r="P1263" s="60" t="n">
        <x:v>1.68</x:v>
      </x:c>
      <x:c r="Q1263" s="60" t="n">
        <x:v>83.5</x:v>
      </x:c>
      <x:c r="R1263" s="58" t="str">
        <x:v>X</x:v>
      </x:c>
      <x:c r="S1263" s="60" t="n">
        <x:v>100</x:v>
      </x:c>
      <x:c r="T1263" s="58" t="str">
        <x:v>VALID</x:v>
      </x:c>
      <x:c r="U1263" s="58" t="n">
        <x:v>778</x:v>
      </x:c>
      <x:c r="V1263" s="58" t="str">
        <x:v>Pasted text(59).txt</x:v>
      </x:c>
    </x:row>
    <x:row r="1264">
      <x:c r="A1264" s="58" t="str">
        <x:v>S13</x:v>
      </x:c>
      <x:c r="B1264" s="58" t="str">
        <x:v>1.00 validated five-run session</x:v>
      </x:c>
      <x:c r="C1264" s="58" t="n">
        <x:v>1</x:v>
      </x:c>
      <x:c r="D1264" s="58" t="n">
        <x:v>4</x:v>
      </x:c>
      <x:c r="E1264" s="58" t="n">
        <x:v>1</x:v>
      </x:c>
      <x:c r="F1264" s="58" t="str">
        <x:v>SEARCH</x:v>
      </x:c>
      <x:c r="G1264" s="58" t="n">
        <x:v>9</x:v>
      </x:c>
      <x:c r="H1264" s="59" t="n">
        <x:v>9</x:v>
      </x:c>
      <x:c r="I1264" s="59" t="n">
        <x:v>0.86525</x:v>
      </x:c>
      <x:c r="J1264" s="59" t="n">
        <x:v>0.85849</x:v>
      </x:c>
      <x:c r="K1264" s="59" t="n">
        <x:v>0.41907</x:v>
      </x:c>
      <x:c r="L1264" s="59" t="n">
        <x:v>0.15568</x:v>
      </x:c>
      <x:c r="M1264" s="59" t="n">
        <x:v>0.96835</x:v>
      </x:c>
      <x:c r="N1264" s="60" t="n">
        <x:v>-13.47</x:v>
      </x:c>
      <x:c r="O1264" s="60" t="n">
        <x:v>0.11</x:v>
      </x:c>
      <x:c r="P1264" s="60" t="n">
        <x:v>1.43</x:v>
      </x:c>
      <x:c r="Q1264" s="60" t="n">
        <x:v>81</x:v>
      </x:c>
      <x:c r="R1264" s="58" t="str">
        <x:v>X</x:v>
      </x:c>
      <x:c r="S1264" s="60" t="n">
        <x:v>100</x:v>
      </x:c>
      <x:c r="T1264" s="58" t="str">
        <x:v>VALID</x:v>
      </x:c>
      <x:c r="U1264" s="58" t="n">
        <x:v>779</x:v>
      </x:c>
      <x:c r="V1264" s="58" t="str">
        <x:v>Pasted text(59).txt</x:v>
      </x:c>
    </x:row>
    <x:row r="1265">
      <x:c r="A1265" s="58" t="str">
        <x:v>S13</x:v>
      </x:c>
      <x:c r="B1265" s="58" t="str">
        <x:v>1.00 validated five-run session</x:v>
      </x:c>
      <x:c r="C1265" s="58" t="n">
        <x:v>1</x:v>
      </x:c>
      <x:c r="D1265" s="58" t="n">
        <x:v>4</x:v>
      </x:c>
      <x:c r="E1265" s="58" t="n">
        <x:v>1</x:v>
      </x:c>
      <x:c r="F1265" s="58" t="str">
        <x:v>SEARCH</x:v>
      </x:c>
      <x:c r="G1265" s="58" t="n">
        <x:v>10</x:v>
      </x:c>
      <x:c r="H1265" s="59" t="n">
        <x:v>9.25</x:v>
      </x:c>
      <x:c r="I1265" s="59" t="n">
        <x:v>0.87499</x:v>
      </x:c>
      <x:c r="J1265" s="59" t="n">
        <x:v>0.87746</x:v>
      </x:c>
      <x:c r="K1265" s="59" t="n">
        <x:v>0.45071</x:v>
      </x:c>
      <x:c r="L1265" s="59" t="n">
        <x:v>0.17943</x:v>
      </x:c>
      <x:c r="M1265" s="59" t="n">
        <x:v>1.00362</x:v>
      </x:c>
      <x:c r="N1265" s="60" t="n">
        <x:v>-12.5</x:v>
      </x:c>
      <x:c r="O1265" s="60" t="n">
        <x:v>2.33</x:v>
      </x:c>
      <x:c r="P1265" s="60" t="n">
        <x:v>2</x:v>
      </x:c>
      <x:c r="Q1265" s="60" t="n">
        <x:v>85.5</x:v>
      </x:c>
      <x:c r="R1265" s="58" t="str">
        <x:v>X</x:v>
      </x:c>
      <x:c r="S1265" s="60" t="n">
        <x:v>100</x:v>
      </x:c>
      <x:c r="T1265" s="58" t="str">
        <x:v>VALID</x:v>
      </x:c>
      <x:c r="U1265" s="58" t="n">
        <x:v>780</x:v>
      </x:c>
      <x:c r="V1265" s="58" t="str">
        <x:v>Pasted text(59).txt</x:v>
      </x:c>
    </x:row>
    <x:row r="1266">
      <x:c r="A1266" s="58" t="str">
        <x:v>S13</x:v>
      </x:c>
      <x:c r="B1266" s="58" t="str">
        <x:v>1.00 validated five-run session</x:v>
      </x:c>
      <x:c r="C1266" s="58" t="n">
        <x:v>1</x:v>
      </x:c>
      <x:c r="D1266" s="58" t="n">
        <x:v>4</x:v>
      </x:c>
      <x:c r="E1266" s="58" t="n">
        <x:v>1</x:v>
      </x:c>
      <x:c r="F1266" s="58" t="str">
        <x:v>SEARCH</x:v>
      </x:c>
      <x:c r="G1266" s="58" t="n">
        <x:v>11</x:v>
      </x:c>
      <x:c r="H1266" s="59" t="n">
        <x:v>9.5</x:v>
      </x:c>
      <x:c r="I1266" s="59" t="n">
        <x:v>0.8773</x:v>
      </x:c>
      <x:c r="J1266" s="59" t="n">
        <x:v>0.88334</x:v>
      </x:c>
      <x:c r="K1266" s="59" t="n">
        <x:v>0.44234</x:v>
      </x:c>
      <x:c r="L1266" s="59" t="n">
        <x:v>0.18279</x:v>
      </x:c>
      <x:c r="M1266" s="59" t="n">
        <x:v>1.00516</x:v>
      </x:c>
      <x:c r="N1266" s="60" t="n">
        <x:v>-12.27</x:v>
      </x:c>
      <x:c r="O1266" s="60" t="n">
        <x:v>1.39</x:v>
      </x:c>
      <x:c r="P1266" s="60" t="n">
        <x:v>2.05</x:v>
      </x:c>
      <x:c r="Q1266" s="60" t="n">
        <x:v>86.1</x:v>
      </x:c>
      <x:c r="R1266" s="58" t="str">
        <x:v>X</x:v>
      </x:c>
      <x:c r="S1266" s="60" t="n">
        <x:v>100</x:v>
      </x:c>
      <x:c r="T1266" s="58" t="str">
        <x:v>VALID</x:v>
      </x:c>
      <x:c r="U1266" s="58" t="n">
        <x:v>781</x:v>
      </x:c>
      <x:c r="V1266" s="58" t="str">
        <x:v>Pasted text(59).txt</x:v>
      </x:c>
    </x:row>
    <x:row r="1267">
      <x:c r="A1267" s="58" t="str">
        <x:v>S13</x:v>
      </x:c>
      <x:c r="B1267" s="58" t="str">
        <x:v>1.00 validated five-run session</x:v>
      </x:c>
      <x:c r="C1267" s="58" t="n">
        <x:v>1</x:v>
      </x:c>
      <x:c r="D1267" s="58" t="n">
        <x:v>4</x:v>
      </x:c>
      <x:c r="E1267" s="58" t="n">
        <x:v>1</x:v>
      </x:c>
      <x:c r="F1267" s="58" t="str">
        <x:v>SEARCH</x:v>
      </x:c>
      <x:c r="G1267" s="58" t="n">
        <x:v>12</x:v>
      </x:c>
      <x:c r="H1267" s="59" t="n">
        <x:v>9.75</x:v>
      </x:c>
      <x:c r="I1267" s="59" t="n">
        <x:v>0.94957</x:v>
      </x:c>
      <x:c r="J1267" s="59" t="n">
        <x:v>0.93871</x:v>
      </x:c>
      <x:c r="K1267" s="59" t="n">
        <x:v>0.47066</x:v>
      </x:c>
      <x:c r="L1267" s="59" t="n">
        <x:v>0.15909</x:v>
      </x:c>
      <x:c r="M1267" s="59" t="n">
        <x:v>1.06282</x:v>
      </x:c>
      <x:c r="N1267" s="60" t="n">
        <x:v>-5.04</x:v>
      </x:c>
      <x:c r="O1267" s="60" t="n">
        <x:v>1.01</x:v>
      </x:c>
      <x:c r="P1267" s="60" t="n">
        <x:v>2.63</x:v>
      </x:c>
      <x:c r="Q1267" s="60" t="n">
        <x:v>83</x:v>
      </x:c>
      <x:c r="R1267" s="58" t="str">
        <x:v>X</x:v>
      </x:c>
      <x:c r="S1267" s="60" t="n">
        <x:v>100</x:v>
      </x:c>
      <x:c r="T1267" s="58" t="str">
        <x:v>IN TARGET BAND</x:v>
      </x:c>
      <x:c r="U1267" s="58" t="n">
        <x:v>782</x:v>
      </x:c>
      <x:c r="V1267" s="58" t="str">
        <x:v>Pasted text(59).txt</x:v>
      </x:c>
    </x:row>
    <x:row r="1268">
      <x:c r="A1268" s="58" t="str">
        <x:v>S13</x:v>
      </x:c>
      <x:c r="B1268" s="58" t="str">
        <x:v>1.00 validated five-run session</x:v>
      </x:c>
      <x:c r="C1268" s="58" t="n">
        <x:v>1</x:v>
      </x:c>
      <x:c r="D1268" s="58" t="n">
        <x:v>4</x:v>
      </x:c>
      <x:c r="E1268" s="58" t="n">
        <x:v>1</x:v>
      </x:c>
      <x:c r="F1268" s="58" t="str">
        <x:v>FINE</x:v>
      </x:c>
      <x:c r="G1268" s="58" t="n">
        <x:v>1</x:v>
      </x:c>
      <x:c r="H1268" s="59" t="n">
        <x:v>8.75</x:v>
      </x:c>
      <x:c r="I1268" s="59" t="n">
        <x:v>0.83335</x:v>
      </x:c>
      <x:c r="J1268" s="59" t="n">
        <x:v>0.83543</x:v>
      </x:c>
      <x:c r="K1268" s="59" t="n">
        <x:v>0.43656</x:v>
      </x:c>
      <x:c r="L1268" s="59" t="n">
        <x:v>0.16552</x:v>
      </x:c>
      <x:c r="M1268" s="59" t="n">
        <x:v>0.95729</x:v>
      </x:c>
      <x:c r="N1268" s="60" t="n">
        <x:v>-16.66</x:v>
      </x:c>
      <x:c r="O1268" s="60" t="n">
        <x:v>2.02</x:v>
      </x:c>
      <x:c r="P1268" s="60" t="n">
        <x:v>1.74</x:v>
      </x:c>
      <x:c r="Q1268" s="60" t="n">
        <x:v>79.4</x:v>
      </x:c>
      <x:c r="R1268" s="58" t="str">
        <x:v>X</x:v>
      </x:c>
      <x:c r="S1268" s="60" t="n">
        <x:v>100</x:v>
      </x:c>
      <x:c r="T1268" s="58" t="str">
        <x:v>VALID</x:v>
      </x:c>
      <x:c r="U1268" s="58" t="n">
        <x:v>786</x:v>
      </x:c>
      <x:c r="V1268" s="58" t="str">
        <x:v>Pasted text(59).txt</x:v>
      </x:c>
    </x:row>
    <x:row r="1269">
      <x:c r="A1269" s="58" t="str">
        <x:v>S13</x:v>
      </x:c>
      <x:c r="B1269" s="58" t="str">
        <x:v>1.00 validated five-run session</x:v>
      </x:c>
      <x:c r="C1269" s="58" t="n">
        <x:v>1</x:v>
      </x:c>
      <x:c r="D1269" s="58" t="n">
        <x:v>4</x:v>
      </x:c>
      <x:c r="E1269" s="58" t="n">
        <x:v>1</x:v>
      </x:c>
      <x:c r="F1269" s="58" t="str">
        <x:v>FINE</x:v>
      </x:c>
      <x:c r="G1269" s="58" t="n">
        <x:v>2</x:v>
      </x:c>
      <x:c r="H1269" s="59" t="n">
        <x:v>9</x:v>
      </x:c>
      <x:c r="I1269" s="59" t="n">
        <x:v>0.83568</x:v>
      </x:c>
      <x:c r="J1269" s="59" t="n">
        <x:v>0.85906</x:v>
      </x:c>
      <x:c r="K1269" s="59" t="n">
        <x:v>0.44417</x:v>
      </x:c>
      <x:c r="L1269" s="59" t="n">
        <x:v>0.14761</x:v>
      </x:c>
      <x:c r="M1269" s="59" t="n">
        <x:v>0.97886</x:v>
      </x:c>
      <x:c r="N1269" s="60" t="n">
        <x:v>-16.43</x:v>
      </x:c>
      <x:c r="O1269" s="60" t="n">
        <x:v>0.24</x:v>
      </x:c>
      <x:c r="P1269" s="60" t="n">
        <x:v>4.85</x:v>
      </x:c>
      <x:c r="Q1269" s="60" t="n">
        <x:v>81.7</x:v>
      </x:c>
      <x:c r="R1269" s="58" t="str">
        <x:v>X</x:v>
      </x:c>
      <x:c r="S1269" s="60" t="n">
        <x:v>100</x:v>
      </x:c>
      <x:c r="T1269" s="58" t="str">
        <x:v>VALID</x:v>
      </x:c>
      <x:c r="U1269" s="58" t="n">
        <x:v>787</x:v>
      </x:c>
      <x:c r="V1269" s="58" t="str">
        <x:v>Pasted text(59).txt</x:v>
      </x:c>
    </x:row>
    <x:row r="1270">
      <x:c r="A1270" s="58" t="str">
        <x:v>S13</x:v>
      </x:c>
      <x:c r="B1270" s="58" t="str">
        <x:v>1.00 validated five-run session</x:v>
      </x:c>
      <x:c r="C1270" s="58" t="n">
        <x:v>1</x:v>
      </x:c>
      <x:c r="D1270" s="58" t="n">
        <x:v>4</x:v>
      </x:c>
      <x:c r="E1270" s="58" t="n">
        <x:v>1</x:v>
      </x:c>
      <x:c r="F1270" s="58" t="str">
        <x:v>FINE</x:v>
      </x:c>
      <x:c r="G1270" s="58" t="n">
        <x:v>3</x:v>
      </x:c>
      <x:c r="H1270" s="59" t="n">
        <x:v>9.25</x:v>
      </x:c>
      <x:c r="I1270" s="59" t="n">
        <x:v>0.8965</x:v>
      </x:c>
      <x:c r="J1270" s="59" t="n">
        <x:v>0.88795</x:v>
      </x:c>
      <x:c r="K1270" s="59" t="n">
        <x:v>0.4559</x:v>
      </x:c>
      <x:c r="L1270" s="59" t="n">
        <x:v>0.1763</x:v>
      </x:c>
      <x:c r="M1270" s="59" t="n">
        <x:v>1.01399</x:v>
      </x:c>
      <x:c r="N1270" s="60" t="n">
        <x:v>-10.35</x:v>
      </x:c>
      <x:c r="O1270" s="60" t="n">
        <x:v>0.69</x:v>
      </x:c>
      <x:c r="P1270" s="60" t="n">
        <x:v>2.09</x:v>
      </x:c>
      <x:c r="Q1270" s="60" t="n">
        <x:v>86.7</x:v>
      </x:c>
      <x:c r="R1270" s="58" t="str">
        <x:v>X</x:v>
      </x:c>
      <x:c r="S1270" s="60" t="n">
        <x:v>100</x:v>
      </x:c>
      <x:c r="T1270" s="58" t="str">
        <x:v>VALID</x:v>
      </x:c>
      <x:c r="U1270" s="58" t="n">
        <x:v>788</x:v>
      </x:c>
      <x:c r="V1270" s="58" t="str">
        <x:v>Pasted text(59).txt</x:v>
      </x:c>
    </x:row>
    <x:row r="1271">
      <x:c r="A1271" s="58" t="str">
        <x:v>S13</x:v>
      </x:c>
      <x:c r="B1271" s="58" t="str">
        <x:v>1.00 validated five-run session</x:v>
      </x:c>
      <x:c r="C1271" s="58" t="n">
        <x:v>1</x:v>
      </x:c>
      <x:c r="D1271" s="58" t="n">
        <x:v>4</x:v>
      </x:c>
      <x:c r="E1271" s="58" t="n">
        <x:v>1</x:v>
      </x:c>
      <x:c r="F1271" s="58" t="str">
        <x:v>FINE</x:v>
      </x:c>
      <x:c r="G1271" s="58" t="n">
        <x:v>4</x:v>
      </x:c>
      <x:c r="H1271" s="59" t="n">
        <x:v>9.5</x:v>
      </x:c>
      <x:c r="I1271" s="59" t="n">
        <x:v>0.89859</x:v>
      </x:c>
      <x:c r="J1271" s="59" t="n">
        <x:v>0.8876</x:v>
      </x:c>
      <x:c r="K1271" s="59" t="n">
        <x:v>0.43639</x:v>
      </x:c>
      <x:c r="L1271" s="59" t="n">
        <x:v>0.17356</x:v>
      </x:c>
      <x:c r="M1271" s="59" t="n">
        <x:v>1.00448</x:v>
      </x:c>
      <x:c r="N1271" s="60" t="n">
        <x:v>-10.14</x:v>
      </x:c>
      <x:c r="O1271" s="60" t="n">
        <x:v>0.15</x:v>
      </x:c>
      <x:c r="P1271" s="60" t="n">
        <x:v>2.24</x:v>
      </x:c>
      <x:c r="Q1271" s="60" t="n">
        <x:v>84.5</x:v>
      </x:c>
      <x:c r="R1271" s="58" t="str">
        <x:v>X</x:v>
      </x:c>
      <x:c r="S1271" s="60" t="n">
        <x:v>100</x:v>
      </x:c>
      <x:c r="T1271" s="58" t="str">
        <x:v>VALID</x:v>
      </x:c>
      <x:c r="U1271" s="58" t="n">
        <x:v>789</x:v>
      </x:c>
      <x:c r="V1271" s="58" t="str">
        <x:v>Pasted text(59).txt</x:v>
      </x:c>
    </x:row>
    <x:row r="1272">
      <x:c r="A1272" s="58" t="str">
        <x:v>S13</x:v>
      </x:c>
      <x:c r="B1272" s="58" t="str">
        <x:v>1.00 validated five-run session</x:v>
      </x:c>
      <x:c r="C1272" s="58" t="n">
        <x:v>1</x:v>
      </x:c>
      <x:c r="D1272" s="58" t="n">
        <x:v>4</x:v>
      </x:c>
      <x:c r="E1272" s="58" t="n">
        <x:v>1</x:v>
      </x:c>
      <x:c r="F1272" s="58" t="str">
        <x:v>FINE</x:v>
      </x:c>
      <x:c r="G1272" s="58" t="n">
        <x:v>5</x:v>
      </x:c>
      <x:c r="H1272" s="59" t="n">
        <x:v>9.75</x:v>
      </x:c>
      <x:c r="I1272" s="59" t="n">
        <x:v>0.93708</x:v>
      </x:c>
      <x:c r="J1272" s="59" t="n">
        <x:v>0.93731</x:v>
      </x:c>
      <x:c r="K1272" s="59" t="n">
        <x:v>0.48258</x:v>
      </x:c>
      <x:c r="L1272" s="59" t="n">
        <x:v>0.16204</x:v>
      </x:c>
      <x:c r="M1272" s="59" t="n">
        <x:v>1.06682</x:v>
      </x:c>
      <x:c r="N1272" s="60" t="n">
        <x:v>-6.29</x:v>
      </x:c>
      <x:c r="O1272" s="60" t="n">
        <x:v>2.86</x:v>
      </x:c>
      <x:c r="P1272" s="60" t="n">
        <x:v>1.97</x:v>
      </x:c>
      <x:c r="Q1272" s="60" t="n">
        <x:v>82.7</x:v>
      </x:c>
      <x:c r="R1272" s="58" t="str">
        <x:v>X</x:v>
      </x:c>
      <x:c r="S1272" s="60" t="n">
        <x:v>100</x:v>
      </x:c>
      <x:c r="T1272" s="58" t="str">
        <x:v>IN TARGET BAND</x:v>
      </x:c>
      <x:c r="U1272" s="58" t="n">
        <x:v>790</x:v>
      </x:c>
      <x:c r="V1272" s="58" t="str">
        <x:v>Pasted text(59).txt</x:v>
      </x:c>
    </x:row>
    <x:row r="1273">
      <x:c r="A1273" s="58" t="str">
        <x:v>S13</x:v>
      </x:c>
      <x:c r="B1273" s="58" t="str">
        <x:v>1.00 validated five-run session</x:v>
      </x:c>
      <x:c r="C1273" s="58" t="n">
        <x:v>1</x:v>
      </x:c>
      <x:c r="D1273" s="58" t="n">
        <x:v>4</x:v>
      </x:c>
      <x:c r="E1273" s="58" t="n">
        <x:v>1</x:v>
      </x:c>
      <x:c r="F1273" s="58" t="str">
        <x:v>FINE</x:v>
      </x:c>
      <x:c r="G1273" s="58" t="n">
        <x:v>6</x:v>
      </x:c>
      <x:c r="H1273" s="59" t="n">
        <x:v>10</x:v>
      </x:c>
      <x:c r="I1273" s="59" t="n">
        <x:v>0.97327</x:v>
      </x:c>
      <x:c r="J1273" s="59" t="n">
        <x:v>0.96007</x:v>
      </x:c>
      <x:c r="K1273" s="59" t="n">
        <x:v>0.50346</x:v>
      </x:c>
      <x:c r="L1273" s="59" t="n">
        <x:v>0.19087</x:v>
      </x:c>
      <x:c r="M1273" s="59" t="n">
        <x:v>1.1009</x:v>
      </x:c>
      <x:c r="N1273" s="60" t="n">
        <x:v>-2.67</x:v>
      </x:c>
      <x:c r="O1273" s="60" t="n">
        <x:v>0.11</x:v>
      </x:c>
      <x:c r="P1273" s="60" t="n">
        <x:v>2.45</x:v>
      </x:c>
      <x:c r="Q1273" s="60" t="n">
        <x:v>84.2</x:v>
      </x:c>
      <x:c r="R1273" s="58" t="str">
        <x:v>X</x:v>
      </x:c>
      <x:c r="S1273" s="60" t="n">
        <x:v>100</x:v>
      </x:c>
      <x:c r="T1273" s="58" t="str">
        <x:v>IN TARGET BAND</x:v>
      </x:c>
      <x:c r="U1273" s="58" t="n">
        <x:v>791</x:v>
      </x:c>
      <x:c r="V1273" s="58" t="str">
        <x:v>Pasted text(59).txt</x:v>
      </x:c>
    </x:row>
    <x:row r="1274">
      <x:c r="A1274" s="58" t="str">
        <x:v>S13</x:v>
      </x:c>
      <x:c r="B1274" s="58" t="str">
        <x:v>1.00 validated five-run session</x:v>
      </x:c>
      <x:c r="C1274" s="58" t="n">
        <x:v>1</x:v>
      </x:c>
      <x:c r="D1274" s="58" t="n">
        <x:v>4</x:v>
      </x:c>
      <x:c r="E1274" s="58" t="n">
        <x:v>1</x:v>
      </x:c>
      <x:c r="F1274" s="58" t="str">
        <x:v>FINE</x:v>
      </x:c>
      <x:c r="G1274" s="58" t="n">
        <x:v>7</x:v>
      </x:c>
      <x:c r="H1274" s="59" t="n">
        <x:v>10.25</x:v>
      </x:c>
      <x:c r="I1274" s="59" t="n">
        <x:v>0.97083</x:v>
      </x:c>
      <x:c r="J1274" s="59" t="n">
        <x:v>0.97954</x:v>
      </x:c>
      <x:c r="K1274" s="59" t="n">
        <x:v>0.50275</x:v>
      </x:c>
      <x:c r="L1274" s="59" t="n">
        <x:v>0.18005</x:v>
      </x:c>
      <x:c r="M1274" s="59" t="n">
        <x:v>1.11634</x:v>
      </x:c>
      <x:c r="N1274" s="60" t="n">
        <x:v>-2.92</x:v>
      </x:c>
      <x:c r="O1274" s="60" t="n">
        <x:v>0.1</x:v>
      </x:c>
      <x:c r="P1274" s="60" t="n">
        <x:v>1.6</x:v>
      </x:c>
      <x:c r="Q1274" s="60" t="n">
        <x:v>84.6</x:v>
      </x:c>
      <x:c r="R1274" s="58" t="str">
        <x:v>X</x:v>
      </x:c>
      <x:c r="S1274" s="60" t="n">
        <x:v>100</x:v>
      </x:c>
      <x:c r="T1274" s="58" t="str">
        <x:v>IN TARGET BAND</x:v>
      </x:c>
      <x:c r="U1274" s="58" t="n">
        <x:v>792</x:v>
      </x:c>
      <x:c r="V1274" s="58" t="str">
        <x:v>Pasted text(59).txt</x:v>
      </x:c>
    </x:row>
    <x:row r="1275">
      <x:c r="A1275" s="58" t="str">
        <x:v>S13</x:v>
      </x:c>
      <x:c r="B1275" s="58" t="str">
        <x:v>1.00 validated five-run session</x:v>
      </x:c>
      <x:c r="C1275" s="58" t="n">
        <x:v>1</x:v>
      </x:c>
      <x:c r="D1275" s="58" t="n">
        <x:v>4</x:v>
      </x:c>
      <x:c r="E1275" s="58" t="n">
        <x:v>1</x:v>
      </x:c>
      <x:c r="F1275" s="58" t="str">
        <x:v>FINE</x:v>
      </x:c>
      <x:c r="G1275" s="58" t="n">
        <x:v>8</x:v>
      </x:c>
      <x:c r="H1275" s="59" t="n">
        <x:v>10.5</x:v>
      </x:c>
      <x:c r="I1275" s="59" t="n">
        <x:v>0.97942</x:v>
      </x:c>
      <x:c r="J1275" s="59" t="n">
        <x:v>0.97762</x:v>
      </x:c>
      <x:c r="K1275" s="59" t="n">
        <x:v>0.5269</x:v>
      </x:c>
      <x:c r="L1275" s="59" t="n">
        <x:v>0.20855</x:v>
      </x:c>
      <x:c r="M1275" s="59" t="n">
        <x:v>1.13046</x:v>
      </x:c>
      <x:c r="N1275" s="60" t="n">
        <x:v>-2.06</x:v>
      </x:c>
      <x:c r="O1275" s="60" t="n">
        <x:v>1.8</x:v>
      </x:c>
      <x:c r="P1275" s="60" t="n">
        <x:v>1.5</x:v>
      </x:c>
      <x:c r="Q1275" s="60" t="n">
        <x:v>87.7</x:v>
      </x:c>
      <x:c r="R1275" s="58" t="str">
        <x:v>X</x:v>
      </x:c>
      <x:c r="S1275" s="60" t="n">
        <x:v>100</x:v>
      </x:c>
      <x:c r="T1275" s="58" t="str">
        <x:v>IN TARGET BAND</x:v>
      </x:c>
      <x:c r="U1275" s="58" t="n">
        <x:v>793</x:v>
      </x:c>
      <x:c r="V1275" s="58" t="str">
        <x:v>Pasted text(59).txt</x:v>
      </x:c>
    </x:row>
    <x:row r="1276">
      <x:c r="A1276" s="58" t="str">
        <x:v>S13</x:v>
      </x:c>
      <x:c r="B1276" s="58" t="str">
        <x:v>1.00 validated five-run session</x:v>
      </x:c>
      <x:c r="C1276" s="58" t="n">
        <x:v>1</x:v>
      </x:c>
      <x:c r="D1276" s="58" t="n">
        <x:v>4</x:v>
      </x:c>
      <x:c r="E1276" s="58" t="n">
        <x:v>1</x:v>
      </x:c>
      <x:c r="F1276" s="58" t="str">
        <x:v>FINE</x:v>
      </x:c>
      <x:c r="G1276" s="58" t="n">
        <x:v>9</x:v>
      </x:c>
      <x:c r="H1276" s="59" t="n">
        <x:v>10.75</x:v>
      </x:c>
      <x:c r="I1276" s="59" t="n">
        <x:v>1.04323</x:v>
      </x:c>
      <x:c r="J1276" s="59" t="n">
        <x:v>1.04379</x:v>
      </x:c>
      <x:c r="K1276" s="59" t="n">
        <x:v>0.53013</x:v>
      </x:c>
      <x:c r="L1276" s="59" t="n">
        <x:v>0.21325</x:v>
      </x:c>
      <x:c r="M1276" s="59" t="n">
        <x:v>1.19049</x:v>
      </x:c>
      <x:c r="N1276" s="60" t="n">
        <x:v>4.32</x:v>
      </x:c>
      <x:c r="O1276" s="60" t="n">
        <x:v>0.72</x:v>
      </x:c>
      <x:c r="P1276" s="60" t="n">
        <x:v>0.57</x:v>
      </x:c>
      <x:c r="Q1276" s="60" t="n">
        <x:v>86.9</x:v>
      </x:c>
      <x:c r="R1276" s="58" t="str">
        <x:v>X</x:v>
      </x:c>
      <x:c r="S1276" s="60" t="n">
        <x:v>100</x:v>
      </x:c>
      <x:c r="T1276" s="58" t="str">
        <x:v>IN TARGET BAND</x:v>
      </x:c>
      <x:c r="U1276" s="58" t="n">
        <x:v>794</x:v>
      </x:c>
      <x:c r="V1276" s="58" t="str">
        <x:v>Pasted text(59).txt</x:v>
      </x:c>
    </x:row>
    <x:row r="1277">
      <x:c r="A1277" s="58" t="str">
        <x:v>S13</x:v>
      </x:c>
      <x:c r="B1277" s="58" t="str">
        <x:v>1.00 validated five-run session</x:v>
      </x:c>
      <x:c r="C1277" s="58" t="n">
        <x:v>1</x:v>
      </x:c>
      <x:c r="D1277" s="58" t="n">
        <x:v>4</x:v>
      </x:c>
      <x:c r="E1277" s="58" t="n">
        <x:v>1</x:v>
      </x:c>
      <x:c r="F1277" s="58" t="str">
        <x:v>FINAL</x:v>
      </x:c>
      <x:c r="G1277" s="58" t="n">
        <x:v>1</x:v>
      </x:c>
      <x:c r="H1277" s="59" t="n">
        <x:v>10.25</x:v>
      </x:c>
      <x:c r="I1277" s="59" t="n">
        <x:v>0.98923</x:v>
      </x:c>
      <x:c r="J1277" s="59" t="n">
        <x:v>0.99167</x:v>
      </x:c>
      <x:c r="K1277" s="59" t="n">
        <x:v>0.50511</x:v>
      </x:c>
      <x:c r="L1277" s="59" t="n">
        <x:v>0.20391</x:v>
      </x:c>
      <x:c r="M1277" s="59" t="n">
        <x:v>1.1318</x:v>
      </x:c>
      <x:c r="N1277" s="60" t="n">
        <x:v>-1.08</x:v>
      </x:c>
      <x:c r="O1277" s="60" t="n">
        <x:v>0.92</x:v>
      </x:c>
      <x:c r="P1277" s="60" t="n">
        <x:v>1.47</x:v>
      </x:c>
      <x:c r="Q1277" s="60" t="n">
        <x:v>86.5</x:v>
      </x:c>
      <x:c r="R1277" s="58" t="str">
        <x:v>X</x:v>
      </x:c>
      <x:c r="S1277" s="60" t="n">
        <x:v>100</x:v>
      </x:c>
      <x:c r="T1277" s="58" t="str">
        <x:v>IN TARGET BAND</x:v>
      </x:c>
      <x:c r="U1277" s="58" t="n">
        <x:v>797</x:v>
      </x:c>
      <x:c r="V1277" s="58" t="str">
        <x:v>Pasted text(59).txt</x:v>
      </x:c>
    </x:row>
    <x:row r="1278">
      <x:c r="A1278" s="58" t="str">
        <x:v>S13</x:v>
      </x:c>
      <x:c r="B1278" s="58" t="str">
        <x:v>1.00 validated five-run session</x:v>
      </x:c>
      <x:c r="C1278" s="58" t="n">
        <x:v>1</x:v>
      </x:c>
      <x:c r="D1278" s="58" t="n">
        <x:v>4</x:v>
      </x:c>
      <x:c r="E1278" s="58" t="n">
        <x:v>1</x:v>
      </x:c>
      <x:c r="F1278" s="58" t="str">
        <x:v>FINAL</x:v>
      </x:c>
      <x:c r="G1278" s="58" t="n">
        <x:v>2</x:v>
      </x:c>
      <x:c r="H1278" s="59" t="n">
        <x:v>10.25</x:v>
      </x:c>
      <x:c r="I1278" s="59" t="n">
        <x:v>0.96933</x:v>
      </x:c>
      <x:c r="J1278" s="59" t="n">
        <x:v>0.96908</x:v>
      </x:c>
      <x:c r="K1278" s="59" t="n">
        <x:v>0.5086</x:v>
      </x:c>
      <x:c r="L1278" s="59" t="n">
        <x:v>0.18368</x:v>
      </x:c>
      <x:c r="M1278" s="59" t="n">
        <x:v>1.11021</x:v>
      </x:c>
      <x:c r="N1278" s="60" t="n">
        <x:v>-3.07</x:v>
      </x:c>
      <x:c r="O1278" s="60" t="n">
        <x:v>0.97</x:v>
      </x:c>
      <x:c r="P1278" s="60" t="n">
        <x:v>0.93</x:v>
      </x:c>
      <x:c r="Q1278" s="60" t="n">
        <x:v>85.4</x:v>
      </x:c>
      <x:c r="R1278" s="58" t="str">
        <x:v>X</x:v>
      </x:c>
      <x:c r="S1278" s="60" t="n">
        <x:v>100</x:v>
      </x:c>
      <x:c r="T1278" s="58" t="str">
        <x:v>IN TARGET BAND</x:v>
      </x:c>
      <x:c r="U1278" s="58" t="n">
        <x:v>798</x:v>
      </x:c>
      <x:c r="V1278" s="58" t="str">
        <x:v>Pasted text(59).txt</x:v>
      </x:c>
    </x:row>
    <x:row r="1279">
      <x:c r="A1279" s="58" t="str">
        <x:v>S13</x:v>
      </x:c>
      <x:c r="B1279" s="58" t="str">
        <x:v>1.00 validated five-run session</x:v>
      </x:c>
      <x:c r="C1279" s="58" t="n">
        <x:v>1</x:v>
      </x:c>
      <x:c r="D1279" s="58" t="n">
        <x:v>5</x:v>
      </x:c>
      <x:c r="E1279" s="58" t="n">
        <x:v>1</x:v>
      </x:c>
      <x:c r="F1279" s="58" t="str">
        <x:v>SEARCH</x:v>
      </x:c>
      <x:c r="G1279" s="58" t="n">
        <x:v>1</x:v>
      </x:c>
      <x:c r="H1279" s="59" t="n">
        <x:v>1</x:v>
      </x:c>
      <x:c r="I1279" s="59" t="n">
        <x:v>0.02661</x:v>
      </x:c>
      <x:c r="J1279" s="59" t="n">
        <x:v>0.02319</x:v>
      </x:c>
      <x:c r="K1279" s="59" t="n">
        <x:v>0.0175</x:v>
      </x:c>
      <x:c r="L1279" s="59" t="n">
        <x:v>0.03285</x:v>
      </x:c>
      <x:c r="M1279" s="59" t="n">
        <x:v>0.04626</x:v>
      </x:c>
      <x:c r="N1279" s="60" t="n">
        <x:v>-97.34</x:v>
      </x:c>
      <x:c r="O1279" s="60" t="n">
        <x:v>33.87</x:v>
      </x:c>
      <x:c r="P1279" s="60" t="n">
        <x:v>50.04</x:v>
      </x:c>
      <x:c r="Q1279" s="60" t="n">
        <x:v>7.4</x:v>
      </x:c>
      <x:c r="R1279" s="58" t="str">
        <x:v>Z</x:v>
      </x:c>
      <x:c r="S1279" s="60" t="n">
        <x:v>70.6</x:v>
      </x:c>
      <x:c r="T1279" s="58" t="str">
        <x:v>BELOW MEASUREMENT FLOOR — SEARCH CONTINUES</x:v>
      </x:c>
      <x:c r="U1279" s="58" t="n">
        <x:v>854</x:v>
      </x:c>
      <x:c r="V1279" s="58" t="str">
        <x:v>Pasted text(59).txt</x:v>
      </x:c>
    </x:row>
    <x:row r="1280">
      <x:c r="A1280" s="58" t="str">
        <x:v>S13</x:v>
      </x:c>
      <x:c r="B1280" s="58" t="str">
        <x:v>1.00 validated five-run session</x:v>
      </x:c>
      <x:c r="C1280" s="58" t="n">
        <x:v>1</x:v>
      </x:c>
      <x:c r="D1280" s="58" t="n">
        <x:v>5</x:v>
      </x:c>
      <x:c r="E1280" s="58" t="n">
        <x:v>1</x:v>
      </x:c>
      <x:c r="F1280" s="58" t="str">
        <x:v>SEARCH</x:v>
      </x:c>
      <x:c r="G1280" s="58" t="n">
        <x:v>2</x:v>
      </x:c>
      <x:c r="H1280" s="59" t="n">
        <x:v>3</x:v>
      </x:c>
      <x:c r="I1280" s="59" t="n">
        <x:v>0.19639</x:v>
      </x:c>
      <x:c r="J1280" s="59" t="n">
        <x:v>0.19732</x:v>
      </x:c>
      <x:c r="K1280" s="59" t="n">
        <x:v>0.08618</x:v>
      </x:c>
      <x:c r="L1280" s="59" t="n">
        <x:v>0.05505</x:v>
      </x:c>
      <x:c r="M1280" s="59" t="n">
        <x:v>0.22314</x:v>
      </x:c>
      <x:c r="N1280" s="60" t="n">
        <x:v>-80.36</x:v>
      </x:c>
      <x:c r="O1280" s="60" t="n">
        <x:v>1.5</x:v>
      </x:c>
      <x:c r="P1280" s="60" t="n">
        <x:v>1.76</x:v>
      </x:c>
      <x:c r="Q1280" s="60" t="n">
        <x:v>30.5</x:v>
      </x:c>
      <x:c r="R1280" s="58" t="str">
        <x:v>X</x:v>
      </x:c>
      <x:c r="S1280" s="60" t="n">
        <x:v>100</x:v>
      </x:c>
      <x:c r="T1280" s="58" t="str">
        <x:v>UNSTABLE — SEARCH CONTINUES</x:v>
      </x:c>
      <x:c r="U1280" s="58" t="n">
        <x:v>855</x:v>
      </x:c>
      <x:c r="V1280" s="58" t="str">
        <x:v>Pasted text(59).txt</x:v>
      </x:c>
    </x:row>
    <x:row r="1281">
      <x:c r="A1281" s="58" t="str">
        <x:v>S13</x:v>
      </x:c>
      <x:c r="B1281" s="58" t="str">
        <x:v>1.00 validated five-run session</x:v>
      </x:c>
      <x:c r="C1281" s="58" t="n">
        <x:v>1</x:v>
      </x:c>
      <x:c r="D1281" s="58" t="n">
        <x:v>5</x:v>
      </x:c>
      <x:c r="E1281" s="58" t="n">
        <x:v>1</x:v>
      </x:c>
      <x:c r="F1281" s="58" t="str">
        <x:v>SEARCH</x:v>
      </x:c>
      <x:c r="G1281" s="58" t="n">
        <x:v>3</x:v>
      </x:c>
      <x:c r="H1281" s="59" t="n">
        <x:v>5</x:v>
      </x:c>
      <x:c r="I1281" s="59" t="n">
        <x:v>0.40595</x:v>
      </x:c>
      <x:c r="J1281" s="59" t="n">
        <x:v>0.40882</x:v>
      </x:c>
      <x:c r="K1281" s="59" t="n">
        <x:v>0.19856</x:v>
      </x:c>
      <x:c r="L1281" s="59" t="n">
        <x:v>0.10052</x:v>
      </x:c>
      <x:c r="M1281" s="59" t="n">
        <x:v>0.46625</x:v>
      </x:c>
      <x:c r="N1281" s="60" t="n">
        <x:v>-59.41</x:v>
      </x:c>
      <x:c r="O1281" s="60" t="n">
        <x:v>0.55</x:v>
      </x:c>
      <x:c r="P1281" s="60" t="n">
        <x:v>1.55</x:v>
      </x:c>
      <x:c r="Q1281" s="60" t="n">
        <x:v>54.6</x:v>
      </x:c>
      <x:c r="R1281" s="58" t="str">
        <x:v>X</x:v>
      </x:c>
      <x:c r="S1281" s="60" t="n">
        <x:v>100</x:v>
      </x:c>
      <x:c r="T1281" s="58" t="str">
        <x:v>VALID</x:v>
      </x:c>
      <x:c r="U1281" s="58" t="n">
        <x:v>856</x:v>
      </x:c>
      <x:c r="V1281" s="58" t="str">
        <x:v>Pasted text(59).txt</x:v>
      </x:c>
    </x:row>
    <x:row r="1282">
      <x:c r="A1282" s="58" t="str">
        <x:v>S13</x:v>
      </x:c>
      <x:c r="B1282" s="58" t="str">
        <x:v>1.00 validated five-run session</x:v>
      </x:c>
      <x:c r="C1282" s="58" t="n">
        <x:v>1</x:v>
      </x:c>
      <x:c r="D1282" s="58" t="n">
        <x:v>5</x:v>
      </x:c>
      <x:c r="E1282" s="58" t="n">
        <x:v>1</x:v>
      </x:c>
      <x:c r="F1282" s="58" t="str">
        <x:v>SEARCH</x:v>
      </x:c>
      <x:c r="G1282" s="58" t="n">
        <x:v>4</x:v>
      </x:c>
      <x:c r="H1282" s="59" t="n">
        <x:v>6</x:v>
      </x:c>
      <x:c r="I1282" s="59" t="n">
        <x:v>0.53477</x:v>
      </x:c>
      <x:c r="J1282" s="59" t="n">
        <x:v>0.52518</x:v>
      </x:c>
      <x:c r="K1282" s="59" t="n">
        <x:v>0.26503</x:v>
      </x:c>
      <x:c r="L1282" s="59" t="n">
        <x:v>0.1059</x:v>
      </x:c>
      <x:c r="M1282" s="59" t="n">
        <x:v>0.5982</x:v>
      </x:c>
      <x:c r="N1282" s="60" t="n">
        <x:v>-46.52</x:v>
      </x:c>
      <x:c r="O1282" s="60" t="n">
        <x:v>1.84</x:v>
      </x:c>
      <x:c r="P1282" s="60" t="n">
        <x:v>4.31</x:v>
      </x:c>
      <x:c r="Q1282" s="60" t="n">
        <x:v>65.3</x:v>
      </x:c>
      <x:c r="R1282" s="58" t="str">
        <x:v>X</x:v>
      </x:c>
      <x:c r="S1282" s="60" t="n">
        <x:v>100</x:v>
      </x:c>
      <x:c r="T1282" s="58" t="str">
        <x:v>VALID</x:v>
      </x:c>
      <x:c r="U1282" s="58" t="n">
        <x:v>857</x:v>
      </x:c>
      <x:c r="V1282" s="58" t="str">
        <x:v>Pasted text(59).txt</x:v>
      </x:c>
    </x:row>
    <x:row r="1283">
      <x:c r="A1283" s="58" t="str">
        <x:v>S13</x:v>
      </x:c>
      <x:c r="B1283" s="58" t="str">
        <x:v>1.00 validated five-run session</x:v>
      </x:c>
      <x:c r="C1283" s="58" t="n">
        <x:v>1</x:v>
      </x:c>
      <x:c r="D1283" s="58" t="n">
        <x:v>5</x:v>
      </x:c>
      <x:c r="E1283" s="58" t="n">
        <x:v>1</x:v>
      </x:c>
      <x:c r="F1283" s="58" t="str">
        <x:v>SEARCH</x:v>
      </x:c>
      <x:c r="G1283" s="58" t="n">
        <x:v>5</x:v>
      </x:c>
      <x:c r="H1283" s="59" t="n">
        <x:v>7</x:v>
      </x:c>
      <x:c r="I1283" s="59" t="n">
        <x:v>0.61797</x:v>
      </x:c>
      <x:c r="J1283" s="59" t="n">
        <x:v>0.62233</x:v>
      </x:c>
      <x:c r="K1283" s="59" t="n">
        <x:v>0.3074</x:v>
      </x:c>
      <x:c r="L1283" s="59" t="n">
        <x:v>0.13566</x:v>
      </x:c>
      <x:c r="M1283" s="59" t="n">
        <x:v>0.70796</x:v>
      </x:c>
      <x:c r="N1283" s="60" t="n">
        <x:v>-38.2</x:v>
      </x:c>
      <x:c r="O1283" s="60" t="n">
        <x:v>1.16</x:v>
      </x:c>
      <x:c r="P1283" s="60" t="n">
        <x:v>1.92</x:v>
      </x:c>
      <x:c r="Q1283" s="60" t="n">
        <x:v>73</x:v>
      </x:c>
      <x:c r="R1283" s="58" t="str">
        <x:v>X</x:v>
      </x:c>
      <x:c r="S1283" s="60" t="n">
        <x:v>100</x:v>
      </x:c>
      <x:c r="T1283" s="58" t="str">
        <x:v>VALID</x:v>
      </x:c>
      <x:c r="U1283" s="58" t="n">
        <x:v>858</x:v>
      </x:c>
      <x:c r="V1283" s="58" t="str">
        <x:v>Pasted text(59).txt</x:v>
      </x:c>
    </x:row>
    <x:row r="1284">
      <x:c r="A1284" s="58" t="str">
        <x:v>S13</x:v>
      </x:c>
      <x:c r="B1284" s="58" t="str">
        <x:v>1.00 validated five-run session</x:v>
      </x:c>
      <x:c r="C1284" s="58" t="n">
        <x:v>1</x:v>
      </x:c>
      <x:c r="D1284" s="58" t="n">
        <x:v>5</x:v>
      </x:c>
      <x:c r="E1284" s="58" t="n">
        <x:v>1</x:v>
      </x:c>
      <x:c r="F1284" s="58" t="str">
        <x:v>SEARCH</x:v>
      </x:c>
      <x:c r="G1284" s="58" t="n">
        <x:v>6</x:v>
      </x:c>
      <x:c r="H1284" s="59" t="n">
        <x:v>7.5</x:v>
      </x:c>
      <x:c r="I1284" s="59" t="n">
        <x:v>0.66673</x:v>
      </x:c>
      <x:c r="J1284" s="59" t="n">
        <x:v>0.67202</x:v>
      </x:c>
      <x:c r="K1284" s="59" t="n">
        <x:v>0.33669</x:v>
      </x:c>
      <x:c r="L1284" s="59" t="n">
        <x:v>0.1381</x:v>
      </x:c>
      <x:c r="M1284" s="59" t="n">
        <x:v>0.76436</x:v>
      </x:c>
      <x:c r="N1284" s="60" t="n">
        <x:v>-33.33</x:v>
      </x:c>
      <x:c r="O1284" s="60" t="n">
        <x:v>1.18</x:v>
      </x:c>
      <x:c r="P1284" s="60" t="n">
        <x:v>2.08</x:v>
      </x:c>
      <x:c r="Q1284" s="60" t="n">
        <x:v>82.5</x:v>
      </x:c>
      <x:c r="R1284" s="58" t="str">
        <x:v>X</x:v>
      </x:c>
      <x:c r="S1284" s="60" t="n">
        <x:v>100</x:v>
      </x:c>
      <x:c r="T1284" s="58" t="str">
        <x:v>VALID</x:v>
      </x:c>
      <x:c r="U1284" s="58" t="n">
        <x:v>859</x:v>
      </x:c>
      <x:c r="V1284" s="58" t="str">
        <x:v>Pasted text(59).txt</x:v>
      </x:c>
    </x:row>
    <x:row r="1285">
      <x:c r="A1285" s="58" t="str">
        <x:v>S13</x:v>
      </x:c>
      <x:c r="B1285" s="58" t="str">
        <x:v>1.00 validated five-run session</x:v>
      </x:c>
      <x:c r="C1285" s="58" t="n">
        <x:v>1</x:v>
      </x:c>
      <x:c r="D1285" s="58" t="n">
        <x:v>5</x:v>
      </x:c>
      <x:c r="E1285" s="58" t="n">
        <x:v>1</x:v>
      </x:c>
      <x:c r="F1285" s="58" t="str">
        <x:v>SEARCH</x:v>
      </x:c>
      <x:c r="G1285" s="58" t="n">
        <x:v>7</x:v>
      </x:c>
      <x:c r="H1285" s="59" t="n">
        <x:v>8</x:v>
      </x:c>
      <x:c r="I1285" s="59" t="n">
        <x:v>0.71239</x:v>
      </x:c>
      <x:c r="J1285" s="59" t="n">
        <x:v>0.71442</x:v>
      </x:c>
      <x:c r="K1285" s="59" t="n">
        <x:v>0.36079</x:v>
      </x:c>
      <x:c r="L1285" s="59" t="n">
        <x:v>0.17281</x:v>
      </x:c>
      <x:c r="M1285" s="59" t="n">
        <x:v>0.81932</x:v>
      </x:c>
      <x:c r="N1285" s="60" t="n">
        <x:v>-28.76</x:v>
      </x:c>
      <x:c r="O1285" s="60" t="n">
        <x:v>0.19</x:v>
      </x:c>
      <x:c r="P1285" s="60" t="n">
        <x:v>0.6</x:v>
      </x:c>
      <x:c r="Q1285" s="60" t="n">
        <x:v>78.3</x:v>
      </x:c>
      <x:c r="R1285" s="58" t="str">
        <x:v>X</x:v>
      </x:c>
      <x:c r="S1285" s="60" t="n">
        <x:v>100</x:v>
      </x:c>
      <x:c r="T1285" s="58" t="str">
        <x:v>VALID</x:v>
      </x:c>
      <x:c r="U1285" s="58" t="n">
        <x:v>860</x:v>
      </x:c>
      <x:c r="V1285" s="58" t="str">
        <x:v>Pasted text(59).txt</x:v>
      </x:c>
    </x:row>
    <x:row r="1286">
      <x:c r="A1286" s="58" t="str">
        <x:v>S13</x:v>
      </x:c>
      <x:c r="B1286" s="58" t="str">
        <x:v>1.00 validated five-run session</x:v>
      </x:c>
      <x:c r="C1286" s="58" t="n">
        <x:v>1</x:v>
      </x:c>
      <x:c r="D1286" s="58" t="n">
        <x:v>5</x:v>
      </x:c>
      <x:c r="E1286" s="58" t="n">
        <x:v>1</x:v>
      </x:c>
      <x:c r="F1286" s="58" t="str">
        <x:v>SEARCH</x:v>
      </x:c>
      <x:c r="G1286" s="58" t="n">
        <x:v>8</x:v>
      </x:c>
      <x:c r="H1286" s="59" t="n">
        <x:v>8.5</x:v>
      </x:c>
      <x:c r="I1286" s="59" t="n">
        <x:v>0.75715</x:v>
      </x:c>
      <x:c r="J1286" s="59" t="n">
        <x:v>0.75826</x:v>
      </x:c>
      <x:c r="K1286" s="59" t="n">
        <x:v>0.36063</x:v>
      </x:c>
      <x:c r="L1286" s="59" t="n">
        <x:v>0.1615</x:v>
      </x:c>
      <x:c r="M1286" s="59" t="n">
        <x:v>0.85581</x:v>
      </x:c>
      <x:c r="N1286" s="60" t="n">
        <x:v>-24.28</x:v>
      </x:c>
      <x:c r="O1286" s="60" t="n">
        <x:v>1.1</x:v>
      </x:c>
      <x:c r="P1286" s="60" t="n">
        <x:v>0.97</x:v>
      </x:c>
      <x:c r="Q1286" s="60" t="n">
        <x:v>83.3</x:v>
      </x:c>
      <x:c r="R1286" s="58" t="str">
        <x:v>X</x:v>
      </x:c>
      <x:c r="S1286" s="60" t="n">
        <x:v>100</x:v>
      </x:c>
      <x:c r="T1286" s="58" t="str">
        <x:v>VALID</x:v>
      </x:c>
      <x:c r="U1286" s="58" t="n">
        <x:v>861</x:v>
      </x:c>
      <x:c r="V1286" s="58" t="str">
        <x:v>Pasted text(59).txt</x:v>
      </x:c>
    </x:row>
    <x:row r="1287">
      <x:c r="A1287" s="58" t="str">
        <x:v>S13</x:v>
      </x:c>
      <x:c r="B1287" s="58" t="str">
        <x:v>1.00 validated five-run session</x:v>
      </x:c>
      <x:c r="C1287" s="58" t="n">
        <x:v>1</x:v>
      </x:c>
      <x:c r="D1287" s="58" t="n">
        <x:v>5</x:v>
      </x:c>
      <x:c r="E1287" s="58" t="n">
        <x:v>1</x:v>
      </x:c>
      <x:c r="F1287" s="58" t="str">
        <x:v>SEARCH</x:v>
      </x:c>
      <x:c r="G1287" s="58" t="n">
        <x:v>9</x:v>
      </x:c>
      <x:c r="H1287" s="59" t="n">
        <x:v>9</x:v>
      </x:c>
      <x:c r="I1287" s="59" t="n">
        <x:v>0.84089</x:v>
      </x:c>
      <x:c r="J1287" s="59" t="n">
        <x:v>0.82864</x:v>
      </x:c>
      <x:c r="K1287" s="59" t="n">
        <x:v>0.40055</x:v>
      </x:c>
      <x:c r="L1287" s="59" t="n">
        <x:v>0.17863</x:v>
      </x:c>
      <x:c r="M1287" s="59" t="n">
        <x:v>0.93756</x:v>
      </x:c>
      <x:c r="N1287" s="60" t="n">
        <x:v>-15.91</x:v>
      </x:c>
      <x:c r="O1287" s="60" t="n">
        <x:v>0.68</x:v>
      </x:c>
      <x:c r="P1287" s="60" t="n">
        <x:v>2.97</x:v>
      </x:c>
      <x:c r="Q1287" s="60" t="n">
        <x:v>80.9</x:v>
      </x:c>
      <x:c r="R1287" s="58" t="str">
        <x:v>X</x:v>
      </x:c>
      <x:c r="S1287" s="60" t="n">
        <x:v>100</x:v>
      </x:c>
      <x:c r="T1287" s="58" t="str">
        <x:v>VALID</x:v>
      </x:c>
      <x:c r="U1287" s="58" t="n">
        <x:v>862</x:v>
      </x:c>
      <x:c r="V1287" s="58" t="str">
        <x:v>Pasted text(59).txt</x:v>
      </x:c>
    </x:row>
    <x:row r="1288">
      <x:c r="A1288" s="58" t="str">
        <x:v>S13</x:v>
      </x:c>
      <x:c r="B1288" s="58" t="str">
        <x:v>1.00 validated five-run session</x:v>
      </x:c>
      <x:c r="C1288" s="58" t="n">
        <x:v>1</x:v>
      </x:c>
      <x:c r="D1288" s="58" t="n">
        <x:v>5</x:v>
      </x:c>
      <x:c r="E1288" s="58" t="n">
        <x:v>1</x:v>
      </x:c>
      <x:c r="F1288" s="58" t="str">
        <x:v>SEARCH</x:v>
      </x:c>
      <x:c r="G1288" s="58" t="n">
        <x:v>10</x:v>
      </x:c>
      <x:c r="H1288" s="59" t="n">
        <x:v>9.5</x:v>
      </x:c>
      <x:c r="I1288" s="59" t="n">
        <x:v>0.85149</x:v>
      </x:c>
      <x:c r="J1288" s="59" t="n">
        <x:v>0.84376</x:v>
      </x:c>
      <x:c r="K1288" s="59" t="n">
        <x:v>0.4287</x:v>
      </x:c>
      <x:c r="L1288" s="59" t="n">
        <x:v>0.17451</x:v>
      </x:c>
      <x:c r="M1288" s="59" t="n">
        <x:v>0.96268</x:v>
      </x:c>
      <x:c r="N1288" s="60" t="n">
        <x:v>-14.85</x:v>
      </x:c>
      <x:c r="O1288" s="60" t="n">
        <x:v>1.1</x:v>
      </x:c>
      <x:c r="P1288" s="60" t="n">
        <x:v>2.26</x:v>
      </x:c>
      <x:c r="Q1288" s="60" t="n">
        <x:v>84.1</x:v>
      </x:c>
      <x:c r="R1288" s="58" t="str">
        <x:v>X</x:v>
      </x:c>
      <x:c r="S1288" s="60" t="n">
        <x:v>100</x:v>
      </x:c>
      <x:c r="T1288" s="58" t="str">
        <x:v>VALID</x:v>
      </x:c>
      <x:c r="U1288" s="58" t="n">
        <x:v>863</x:v>
      </x:c>
      <x:c r="V1288" s="58" t="str">
        <x:v>Pasted text(59).txt</x:v>
      </x:c>
    </x:row>
    <x:row r="1289">
      <x:c r="A1289" s="58" t="str">
        <x:v>S13</x:v>
      </x:c>
      <x:c r="B1289" s="58" t="str">
        <x:v>1.00 validated five-run session</x:v>
      </x:c>
      <x:c r="C1289" s="58" t="n">
        <x:v>1</x:v>
      </x:c>
      <x:c r="D1289" s="58" t="n">
        <x:v>5</x:v>
      </x:c>
      <x:c r="E1289" s="58" t="n">
        <x:v>1</x:v>
      </x:c>
      <x:c r="F1289" s="58" t="str">
        <x:v>SEARCH</x:v>
      </x:c>
      <x:c r="G1289" s="58" t="n">
        <x:v>11</x:v>
      </x:c>
      <x:c r="H1289" s="59" t="n">
        <x:v>9.75</x:v>
      </x:c>
      <x:c r="I1289" s="59" t="n">
        <x:v>0.88395</x:v>
      </x:c>
      <x:c r="J1289" s="59" t="n">
        <x:v>0.88659</x:v>
      </x:c>
      <x:c r="K1289" s="59" t="n">
        <x:v>0.46481</x:v>
      </x:c>
      <x:c r="L1289" s="59" t="n">
        <x:v>0.18246</x:v>
      </x:c>
      <x:c r="M1289" s="59" t="n">
        <x:v>1.01793</x:v>
      </x:c>
      <x:c r="N1289" s="60" t="n">
        <x:v>-11.6</x:v>
      </x:c>
      <x:c r="O1289" s="60" t="n">
        <x:v>1.27</x:v>
      </x:c>
      <x:c r="P1289" s="60" t="n">
        <x:v>1.33</x:v>
      </x:c>
      <x:c r="Q1289" s="60" t="n">
        <x:v>82.7</x:v>
      </x:c>
      <x:c r="R1289" s="58" t="str">
        <x:v>X</x:v>
      </x:c>
      <x:c r="S1289" s="60" t="n">
        <x:v>100</x:v>
      </x:c>
      <x:c r="T1289" s="58" t="str">
        <x:v>VALID</x:v>
      </x:c>
      <x:c r="U1289" s="58" t="n">
        <x:v>864</x:v>
      </x:c>
      <x:c r="V1289" s="58" t="str">
        <x:v>Pasted text(59).txt</x:v>
      </x:c>
    </x:row>
    <x:row r="1290">
      <x:c r="A1290" s="58" t="str">
        <x:v>S13</x:v>
      </x:c>
      <x:c r="B1290" s="58" t="str">
        <x:v>1.00 validated five-run session</x:v>
      </x:c>
      <x:c r="C1290" s="58" t="n">
        <x:v>1</x:v>
      </x:c>
      <x:c r="D1290" s="58" t="n">
        <x:v>5</x:v>
      </x:c>
      <x:c r="E1290" s="58" t="n">
        <x:v>1</x:v>
      </x:c>
      <x:c r="F1290" s="58" t="str">
        <x:v>SEARCH</x:v>
      </x:c>
      <x:c r="G1290" s="58" t="n">
        <x:v>12</x:v>
      </x:c>
      <x:c r="H1290" s="59" t="n">
        <x:v>10</x:v>
      </x:c>
      <x:c r="I1290" s="59" t="n">
        <x:v>0.90353</x:v>
      </x:c>
      <x:c r="J1290" s="59" t="n">
        <x:v>0.90428</x:v>
      </x:c>
      <x:c r="K1290" s="59" t="n">
        <x:v>0.48755</x:v>
      </x:c>
      <x:c r="L1290" s="59" t="n">
        <x:v>0.17284</x:v>
      </x:c>
      <x:c r="M1290" s="59" t="n">
        <x:v>1.042</x:v>
      </x:c>
      <x:c r="N1290" s="60" t="n">
        <x:v>-9.65</x:v>
      </x:c>
      <x:c r="O1290" s="60" t="n">
        <x:v>2.15</x:v>
      </x:c>
      <x:c r="P1290" s="60" t="n">
        <x:v>1.57</x:v>
      </x:c>
      <x:c r="Q1290" s="60" t="n">
        <x:v>83</x:v>
      </x:c>
      <x:c r="R1290" s="58" t="str">
        <x:v>X</x:v>
      </x:c>
      <x:c r="S1290" s="60" t="n">
        <x:v>100</x:v>
      </x:c>
      <x:c r="T1290" s="58" t="str">
        <x:v>VALID</x:v>
      </x:c>
      <x:c r="U1290" s="58" t="n">
        <x:v>865</x:v>
      </x:c>
      <x:c r="V1290" s="58" t="str">
        <x:v>Pasted text(59).txt</x:v>
      </x:c>
    </x:row>
    <x:row r="1291">
      <x:c r="A1291" s="58" t="str">
        <x:v>S13</x:v>
      </x:c>
      <x:c r="B1291" s="58" t="str">
        <x:v>1.00 validated five-run session</x:v>
      </x:c>
      <x:c r="C1291" s="58" t="n">
        <x:v>1</x:v>
      </x:c>
      <x:c r="D1291" s="58" t="n">
        <x:v>5</x:v>
      </x:c>
      <x:c r="E1291" s="58" t="n">
        <x:v>1</x:v>
      </x:c>
      <x:c r="F1291" s="58" t="str">
        <x:v>SEARCH</x:v>
      </x:c>
      <x:c r="G1291" s="58" t="n">
        <x:v>13</x:v>
      </x:c>
      <x:c r="H1291" s="59" t="n">
        <x:v>10.25</x:v>
      </x:c>
      <x:c r="I1291" s="59" t="n">
        <x:v>0.92807</x:v>
      </x:c>
      <x:c r="J1291" s="59" t="n">
        <x:v>0.92412</x:v>
      </x:c>
      <x:c r="K1291" s="59" t="n">
        <x:v>0.45964</x:v>
      </x:c>
      <x:c r="L1291" s="59" t="n">
        <x:v>0.18767</x:v>
      </x:c>
      <x:c r="M1291" s="59" t="n">
        <x:v>1.04939</x:v>
      </x:c>
      <x:c r="N1291" s="60" t="n">
        <x:v>-7.19</x:v>
      </x:c>
      <x:c r="O1291" s="60" t="n">
        <x:v>0.73</x:v>
      </x:c>
      <x:c r="P1291" s="60" t="n">
        <x:v>1.19</x:v>
      </x:c>
      <x:c r="Q1291" s="60" t="n">
        <x:v>84.8</x:v>
      </x:c>
      <x:c r="R1291" s="58" t="str">
        <x:v>X</x:v>
      </x:c>
      <x:c r="S1291" s="60" t="n">
        <x:v>100</x:v>
      </x:c>
      <x:c r="T1291" s="58" t="str">
        <x:v>IN TARGET BAND</x:v>
      </x:c>
      <x:c r="U1291" s="58" t="n">
        <x:v>866</x:v>
      </x:c>
      <x:c r="V1291" s="58" t="str">
        <x:v>Pasted text(59).txt</x:v>
      </x:c>
    </x:row>
    <x:row r="1292">
      <x:c r="A1292" s="58" t="str">
        <x:v>S13</x:v>
      </x:c>
      <x:c r="B1292" s="58" t="str">
        <x:v>1.00 validated five-run session</x:v>
      </x:c>
      <x:c r="C1292" s="58" t="n">
        <x:v>1</x:v>
      </x:c>
      <x:c r="D1292" s="58" t="n">
        <x:v>5</x:v>
      </x:c>
      <x:c r="E1292" s="58" t="n">
        <x:v>1</x:v>
      </x:c>
      <x:c r="F1292" s="58" t="str">
        <x:v>FINE</x:v>
      </x:c>
      <x:c r="G1292" s="58" t="n">
        <x:v>1</x:v>
      </x:c>
      <x:c r="H1292" s="59" t="n">
        <x:v>9.25</x:v>
      </x:c>
      <x:c r="I1292" s="59" t="n">
        <x:v>0.8129</x:v>
      </x:c>
      <x:c r="J1292" s="59" t="n">
        <x:v>0.80986</x:v>
      </x:c>
      <x:c r="K1292" s="59" t="n">
        <x:v>0.4089</x:v>
      </x:c>
      <x:c r="L1292" s="59" t="n">
        <x:v>0.15161</x:v>
      </x:c>
      <x:c r="M1292" s="59" t="n">
        <x:v>0.92008</x:v>
      </x:c>
      <x:c r="N1292" s="60" t="n">
        <x:v>-18.71</x:v>
      </x:c>
      <x:c r="O1292" s="60" t="n">
        <x:v>0.7</x:v>
      </x:c>
      <x:c r="P1292" s="60" t="n">
        <x:v>1.09</x:v>
      </x:c>
      <x:c r="Q1292" s="60" t="n">
        <x:v>84.4</x:v>
      </x:c>
      <x:c r="R1292" s="58" t="str">
        <x:v>X</x:v>
      </x:c>
      <x:c r="S1292" s="60" t="n">
        <x:v>100</x:v>
      </x:c>
      <x:c r="T1292" s="58" t="str">
        <x:v>VALID</x:v>
      </x:c>
      <x:c r="U1292" s="58" t="n">
        <x:v>870</x:v>
      </x:c>
      <x:c r="V1292" s="58" t="str">
        <x:v>Pasted text(59).txt</x:v>
      </x:c>
    </x:row>
    <x:row r="1293">
      <x:c r="A1293" s="58" t="str">
        <x:v>S13</x:v>
      </x:c>
      <x:c r="B1293" s="58" t="str">
        <x:v>1.00 validated five-run session</x:v>
      </x:c>
      <x:c r="C1293" s="58" t="n">
        <x:v>1</x:v>
      </x:c>
      <x:c r="D1293" s="58" t="n">
        <x:v>5</x:v>
      </x:c>
      <x:c r="E1293" s="58" t="n">
        <x:v>1</x:v>
      </x:c>
      <x:c r="F1293" s="58" t="str">
        <x:v>FINE</x:v>
      </x:c>
      <x:c r="G1293" s="58" t="n">
        <x:v>2</x:v>
      </x:c>
      <x:c r="H1293" s="59" t="n">
        <x:v>9.5</x:v>
      </x:c>
      <x:c r="I1293" s="59" t="n">
        <x:v>0.82519</x:v>
      </x:c>
      <x:c r="J1293" s="59" t="n">
        <x:v>0.82794</x:v>
      </x:c>
      <x:c r="K1293" s="59" t="n">
        <x:v>0.41986</x:v>
      </x:c>
      <x:c r="L1293" s="59" t="n">
        <x:v>0.16217</x:v>
      </x:c>
      <x:c r="M1293" s="59" t="n">
        <x:v>0.94245</x:v>
      </x:c>
      <x:c r="N1293" s="60" t="n">
        <x:v>-17.48</x:v>
      </x:c>
      <x:c r="O1293" s="60" t="n">
        <x:v>1.85</x:v>
      </x:c>
      <x:c r="P1293" s="60" t="n">
        <x:v>1.76</x:v>
      </x:c>
      <x:c r="Q1293" s="60" t="n">
        <x:v>84.8</x:v>
      </x:c>
      <x:c r="R1293" s="58" t="str">
        <x:v>X</x:v>
      </x:c>
      <x:c r="S1293" s="60" t="n">
        <x:v>100</x:v>
      </x:c>
      <x:c r="T1293" s="58" t="str">
        <x:v>VALID</x:v>
      </x:c>
      <x:c r="U1293" s="58" t="n">
        <x:v>871</x:v>
      </x:c>
      <x:c r="V1293" s="58" t="str">
        <x:v>Pasted text(59).txt</x:v>
      </x:c>
    </x:row>
    <x:row r="1294">
      <x:c r="A1294" s="58" t="str">
        <x:v>S13</x:v>
      </x:c>
      <x:c r="B1294" s="58" t="str">
        <x:v>1.00 validated five-run session</x:v>
      </x:c>
      <x:c r="C1294" s="58" t="n">
        <x:v>1</x:v>
      </x:c>
      <x:c r="D1294" s="58" t="n">
        <x:v>5</x:v>
      </x:c>
      <x:c r="E1294" s="58" t="n">
        <x:v>1</x:v>
      </x:c>
      <x:c r="F1294" s="58" t="str">
        <x:v>FINE</x:v>
      </x:c>
      <x:c r="G1294" s="58" t="n">
        <x:v>3</x:v>
      </x:c>
      <x:c r="H1294" s="59" t="n">
        <x:v>9.75</x:v>
      </x:c>
      <x:c r="I1294" s="59" t="n">
        <x:v>0.93922</x:v>
      </x:c>
      <x:c r="J1294" s="59" t="n">
        <x:v>0.92233</x:v>
      </x:c>
      <x:c r="K1294" s="59" t="n">
        <x:v>0.44424</x:v>
      </x:c>
      <x:c r="L1294" s="59" t="n">
        <x:v>0.20164</x:v>
      </x:c>
      <x:c r="M1294" s="59" t="n">
        <x:v>1.04351</x:v>
      </x:c>
      <x:c r="N1294" s="60" t="n">
        <x:v>-6.08</x:v>
      </x:c>
      <x:c r="O1294" s="60" t="n">
        <x:v>1.15</x:v>
      </x:c>
      <x:c r="P1294" s="60" t="n">
        <x:v>3.87</x:v>
      </x:c>
      <x:c r="Q1294" s="60" t="n">
        <x:v>83.9</x:v>
      </x:c>
      <x:c r="R1294" s="58" t="str">
        <x:v>X</x:v>
      </x:c>
      <x:c r="S1294" s="60" t="n">
        <x:v>100</x:v>
      </x:c>
      <x:c r="T1294" s="58" t="str">
        <x:v>IN TARGET BAND</x:v>
      </x:c>
      <x:c r="U1294" s="58" t="n">
        <x:v>872</x:v>
      </x:c>
      <x:c r="V1294" s="58" t="str">
        <x:v>Pasted text(59).txt</x:v>
      </x:c>
    </x:row>
    <x:row r="1295">
      <x:c r="A1295" s="58" t="str">
        <x:v>S13</x:v>
      </x:c>
      <x:c r="B1295" s="58" t="str">
        <x:v>1.00 validated five-run session</x:v>
      </x:c>
      <x:c r="C1295" s="58" t="n">
        <x:v>1</x:v>
      </x:c>
      <x:c r="D1295" s="58" t="n">
        <x:v>5</x:v>
      </x:c>
      <x:c r="E1295" s="58" t="n">
        <x:v>1</x:v>
      </x:c>
      <x:c r="F1295" s="58" t="str">
        <x:v>FINE</x:v>
      </x:c>
      <x:c r="G1295" s="58" t="n">
        <x:v>4</x:v>
      </x:c>
      <x:c r="H1295" s="59" t="n">
        <x:v>10</x:v>
      </x:c>
      <x:c r="I1295" s="59" t="n">
        <x:v>0.92209</x:v>
      </x:c>
      <x:c r="J1295" s="59" t="n">
        <x:v>0.92345</x:v>
      </x:c>
      <x:c r="K1295" s="59" t="n">
        <x:v>0.47506</x:v>
      </x:c>
      <x:c r="L1295" s="59" t="n">
        <x:v>0.17623</x:v>
      </x:c>
      <x:c r="M1295" s="59" t="n">
        <x:v>1.0538</x:v>
      </x:c>
      <x:c r="N1295" s="60" t="n">
        <x:v>-7.79</x:v>
      </x:c>
      <x:c r="O1295" s="60" t="n">
        <x:v>1.27</x:v>
      </x:c>
      <x:c r="P1295" s="60" t="n">
        <x:v>1.08</x:v>
      </x:c>
      <x:c r="Q1295" s="60" t="n">
        <x:v>83.2</x:v>
      </x:c>
      <x:c r="R1295" s="58" t="str">
        <x:v>X</x:v>
      </x:c>
      <x:c r="S1295" s="60" t="n">
        <x:v>100</x:v>
      </x:c>
      <x:c r="T1295" s="58" t="str">
        <x:v>VALID</x:v>
      </x:c>
      <x:c r="U1295" s="58" t="n">
        <x:v>873</x:v>
      </x:c>
      <x:c r="V1295" s="58" t="str">
        <x:v>Pasted text(59).txt</x:v>
      </x:c>
    </x:row>
    <x:row r="1296">
      <x:c r="A1296" s="58" t="str">
        <x:v>S13</x:v>
      </x:c>
      <x:c r="B1296" s="58" t="str">
        <x:v>1.00 validated five-run session</x:v>
      </x:c>
      <x:c r="C1296" s="58" t="n">
        <x:v>1</x:v>
      </x:c>
      <x:c r="D1296" s="58" t="n">
        <x:v>5</x:v>
      </x:c>
      <x:c r="E1296" s="58" t="n">
        <x:v>1</x:v>
      </x:c>
      <x:c r="F1296" s="58" t="str">
        <x:v>FINE</x:v>
      </x:c>
      <x:c r="G1296" s="58" t="n">
        <x:v>5</x:v>
      </x:c>
      <x:c r="H1296" s="59" t="n">
        <x:v>10.25</x:v>
      </x:c>
      <x:c r="I1296" s="59" t="n">
        <x:v>0.94858</x:v>
      </x:c>
      <x:c r="J1296" s="59" t="n">
        <x:v>0.9474</x:v>
      </x:c>
      <x:c r="K1296" s="59" t="n">
        <x:v>0.47101</x:v>
      </x:c>
      <x:c r="L1296" s="59" t="n">
        <x:v>0.19106</x:v>
      </x:c>
      <x:c r="M1296" s="59" t="n">
        <x:v>1.07549</x:v>
      </x:c>
      <x:c r="N1296" s="60" t="n">
        <x:v>-5.14</x:v>
      </x:c>
      <x:c r="O1296" s="60" t="n">
        <x:v>0.07</x:v>
      </x:c>
      <x:c r="P1296" s="60" t="n">
        <x:v>0.26</x:v>
      </x:c>
      <x:c r="Q1296" s="60" t="n">
        <x:v>83.7</x:v>
      </x:c>
      <x:c r="R1296" s="58" t="str">
        <x:v>X</x:v>
      </x:c>
      <x:c r="S1296" s="60" t="n">
        <x:v>100</x:v>
      </x:c>
      <x:c r="T1296" s="58" t="str">
        <x:v>IN TARGET BAND</x:v>
      </x:c>
      <x:c r="U1296" s="58" t="n">
        <x:v>874</x:v>
      </x:c>
      <x:c r="V1296" s="58" t="str">
        <x:v>Pasted text(59).txt</x:v>
      </x:c>
    </x:row>
    <x:row r="1297">
      <x:c r="A1297" s="58" t="str">
        <x:v>S13</x:v>
      </x:c>
      <x:c r="B1297" s="58" t="str">
        <x:v>1.00 validated five-run session</x:v>
      </x:c>
      <x:c r="C1297" s="58" t="n">
        <x:v>1</x:v>
      </x:c>
      <x:c r="D1297" s="58" t="n">
        <x:v>5</x:v>
      </x:c>
      <x:c r="E1297" s="58" t="n">
        <x:v>1</x:v>
      </x:c>
      <x:c r="F1297" s="58" t="str">
        <x:v>FINE</x:v>
      </x:c>
      <x:c r="G1297" s="58" t="n">
        <x:v>6</x:v>
      </x:c>
      <x:c r="H1297" s="59" t="n">
        <x:v>10.5</x:v>
      </x:c>
      <x:c r="I1297" s="59" t="n">
        <x:v>0.94836</x:v>
      </x:c>
      <x:c r="J1297" s="59" t="n">
        <x:v>0.94674</x:v>
      </x:c>
      <x:c r="K1297" s="59" t="n">
        <x:v>0.52027</x:v>
      </x:c>
      <x:c r="L1297" s="59" t="n">
        <x:v>0.1849</x:v>
      </x:c>
      <x:c r="M1297" s="59" t="n">
        <x:v>1.09646</x:v>
      </x:c>
      <x:c r="N1297" s="60" t="n">
        <x:v>-5.16</x:v>
      </x:c>
      <x:c r="O1297" s="60" t="n">
        <x:v>0.4</x:v>
      </x:c>
      <x:c r="P1297" s="60" t="n">
        <x:v>0.55</x:v>
      </x:c>
      <x:c r="Q1297" s="60" t="n">
        <x:v>86.8</x:v>
      </x:c>
      <x:c r="R1297" s="58" t="str">
        <x:v>X</x:v>
      </x:c>
      <x:c r="S1297" s="60" t="n">
        <x:v>100</x:v>
      </x:c>
      <x:c r="T1297" s="58" t="str">
        <x:v>IN TARGET BAND</x:v>
      </x:c>
      <x:c r="U1297" s="58" t="n">
        <x:v>875</x:v>
      </x:c>
      <x:c r="V1297" s="58" t="str">
        <x:v>Pasted text(59).txt</x:v>
      </x:c>
    </x:row>
    <x:row r="1298">
      <x:c r="A1298" s="58" t="str">
        <x:v>S13</x:v>
      </x:c>
      <x:c r="B1298" s="58" t="str">
        <x:v>1.00 validated five-run session</x:v>
      </x:c>
      <x:c r="C1298" s="58" t="n">
        <x:v>1</x:v>
      </x:c>
      <x:c r="D1298" s="58" t="n">
        <x:v>5</x:v>
      </x:c>
      <x:c r="E1298" s="58" t="n">
        <x:v>1</x:v>
      </x:c>
      <x:c r="F1298" s="58" t="str">
        <x:v>FINE</x:v>
      </x:c>
      <x:c r="G1298" s="58" t="n">
        <x:v>7</x:v>
      </x:c>
      <x:c r="H1298" s="59" t="n">
        <x:v>10.75</x:v>
      </x:c>
      <x:c r="I1298" s="59" t="n">
        <x:v>1.00441</x:v>
      </x:c>
      <x:c r="J1298" s="59" t="n">
        <x:v>1.01712</x:v>
      </x:c>
      <x:c r="K1298" s="59" t="n">
        <x:v>0.52231</x:v>
      </x:c>
      <x:c r="L1298" s="59" t="n">
        <x:v>0.18838</x:v>
      </x:c>
      <x:c r="M1298" s="59" t="n">
        <x:v>1.15947</x:v>
      </x:c>
      <x:c r="N1298" s="60" t="n">
        <x:v>0.44</x:v>
      </x:c>
      <x:c r="O1298" s="60" t="n">
        <x:v>0.39</x:v>
      </x:c>
      <x:c r="P1298" s="60" t="n">
        <x:v>2.39</x:v>
      </x:c>
      <x:c r="Q1298" s="60" t="n">
        <x:v>84.4</x:v>
      </x:c>
      <x:c r="R1298" s="58" t="str">
        <x:v>X</x:v>
      </x:c>
      <x:c r="S1298" s="60" t="n">
        <x:v>100</x:v>
      </x:c>
      <x:c r="T1298" s="58" t="str">
        <x:v>IN TARGET BAND</x:v>
      </x:c>
      <x:c r="U1298" s="58" t="n">
        <x:v>876</x:v>
      </x:c>
      <x:c r="V1298" s="58" t="str">
        <x:v>Pasted text(59).txt</x:v>
      </x:c>
    </x:row>
    <x:row r="1299">
      <x:c r="A1299" s="58" t="str">
        <x:v>S13</x:v>
      </x:c>
      <x:c r="B1299" s="58" t="str">
        <x:v>1.00 validated five-run session</x:v>
      </x:c>
      <x:c r="C1299" s="58" t="n">
        <x:v>1</x:v>
      </x:c>
      <x:c r="D1299" s="58" t="n">
        <x:v>5</x:v>
      </x:c>
      <x:c r="E1299" s="58" t="n">
        <x:v>1</x:v>
      </x:c>
      <x:c r="F1299" s="58" t="str">
        <x:v>FINE</x:v>
      </x:c>
      <x:c r="G1299" s="58" t="n">
        <x:v>8</x:v>
      </x:c>
      <x:c r="H1299" s="59" t="n">
        <x:v>11</x:v>
      </x:c>
      <x:c r="I1299" s="59" t="n">
        <x:v>1.0404</x:v>
      </x:c>
      <x:c r="J1299" s="59" t="n">
        <x:v>1.04049</x:v>
      </x:c>
      <x:c r="K1299" s="59" t="n">
        <x:v>0.53374</x:v>
      </x:c>
      <x:c r="L1299" s="59" t="n">
        <x:v>0.19834</x:v>
      </x:c>
      <x:c r="M1299" s="59" t="n">
        <x:v>1.18654</x:v>
      </x:c>
      <x:c r="N1299" s="60" t="n">
        <x:v>4.04</x:v>
      </x:c>
      <x:c r="O1299" s="60" t="n">
        <x:v>1.67</x:v>
      </x:c>
      <x:c r="P1299" s="60" t="n">
        <x:v>1.14</x:v>
      </x:c>
      <x:c r="Q1299" s="60" t="n">
        <x:v>86.3</x:v>
      </x:c>
      <x:c r="R1299" s="58" t="str">
        <x:v>X</x:v>
      </x:c>
      <x:c r="S1299" s="60" t="n">
        <x:v>100</x:v>
      </x:c>
      <x:c r="T1299" s="58" t="str">
        <x:v>IN TARGET BAND</x:v>
      </x:c>
      <x:c r="U1299" s="58" t="n">
        <x:v>877</x:v>
      </x:c>
      <x:c r="V1299" s="58" t="str">
        <x:v>Pasted text(59).txt</x:v>
      </x:c>
    </x:row>
    <x:row r="1300">
      <x:c r="A1300" s="58" t="str">
        <x:v>S13</x:v>
      </x:c>
      <x:c r="B1300" s="58" t="str">
        <x:v>1.00 validated five-run session</x:v>
      </x:c>
      <x:c r="C1300" s="58" t="n">
        <x:v>1</x:v>
      </x:c>
      <x:c r="D1300" s="58" t="n">
        <x:v>5</x:v>
      </x:c>
      <x:c r="E1300" s="58" t="n">
        <x:v>1</x:v>
      </x:c>
      <x:c r="F1300" s="58" t="str">
        <x:v>FINE</x:v>
      </x:c>
      <x:c r="G1300" s="58" t="n">
        <x:v>9</x:v>
      </x:c>
      <x:c r="H1300" s="59" t="n">
        <x:v>11.25</x:v>
      </x:c>
      <x:c r="I1300" s="59" t="n">
        <x:v>1.04411</x:v>
      </x:c>
      <x:c r="J1300" s="59" t="n">
        <x:v>1.04976</x:v>
      </x:c>
      <x:c r="K1300" s="59" t="n">
        <x:v>0.5626</x:v>
      </x:c>
      <x:c r="L1300" s="59" t="n">
        <x:v>0.21431</x:v>
      </x:c>
      <x:c r="M1300" s="59" t="n">
        <x:v>1.21026</x:v>
      </x:c>
      <x:c r="N1300" s="60" t="n">
        <x:v>4.41</x:v>
      </x:c>
      <x:c r="O1300" s="60" t="n">
        <x:v>2.43</x:v>
      </x:c>
      <x:c r="P1300" s="60" t="n">
        <x:v>2.48</x:v>
      </x:c>
      <x:c r="Q1300" s="60" t="n">
        <x:v>87.7</x:v>
      </x:c>
      <x:c r="R1300" s="58" t="str">
        <x:v>X</x:v>
      </x:c>
      <x:c r="S1300" s="60" t="n">
        <x:v>100</x:v>
      </x:c>
      <x:c r="T1300" s="58" t="str">
        <x:v>IN TARGET BAND</x:v>
      </x:c>
      <x:c r="U1300" s="58" t="n">
        <x:v>878</x:v>
      </x:c>
      <x:c r="V1300" s="58" t="str">
        <x:v>Pasted text(59).txt</x:v>
      </x:c>
    </x:row>
    <x:row r="1301">
      <x:c r="A1301" s="58" t="str">
        <x:v>S13</x:v>
      </x:c>
      <x:c r="B1301" s="58" t="str">
        <x:v>1.00 validated five-run session</x:v>
      </x:c>
      <x:c r="C1301" s="58" t="n">
        <x:v>1</x:v>
      </x:c>
      <x:c r="D1301" s="58" t="n">
        <x:v>5</x:v>
      </x:c>
      <x:c r="E1301" s="58" t="n">
        <x:v>1</x:v>
      </x:c>
      <x:c r="F1301" s="58" t="str">
        <x:v>FINAL</x:v>
      </x:c>
      <x:c r="G1301" s="58" t="n">
        <x:v>1</x:v>
      </x:c>
      <x:c r="H1301" s="59" t="n">
        <x:v>10.75</x:v>
      </x:c>
      <x:c r="I1301" s="59" t="n">
        <x:v>1.01993</x:v>
      </x:c>
      <x:c r="J1301" s="59" t="n">
        <x:v>1.01282</x:v>
      </x:c>
      <x:c r="K1301" s="59" t="n">
        <x:v>0.49669</x:v>
      </x:c>
      <x:c r="L1301" s="59" t="n">
        <x:v>0.19601</x:v>
      </x:c>
      <x:c r="M1301" s="59" t="n">
        <x:v>1.14513</x:v>
      </x:c>
      <x:c r="N1301" s="60" t="n">
        <x:v>1.99</x:v>
      </x:c>
      <x:c r="O1301" s="60" t="n">
        <x:v>0.65</x:v>
      </x:c>
      <x:c r="P1301" s="60" t="n">
        <x:v>1.29</x:v>
      </x:c>
      <x:c r="Q1301" s="60" t="n">
        <x:v>86.2</x:v>
      </x:c>
      <x:c r="R1301" s="58" t="str">
        <x:v>X</x:v>
      </x:c>
      <x:c r="S1301" s="60" t="n">
        <x:v>100</x:v>
      </x:c>
      <x:c r="T1301" s="58" t="str">
        <x:v>IN TARGET BAND</x:v>
      </x:c>
      <x:c r="U1301" s="58" t="n">
        <x:v>881</x:v>
      </x:c>
      <x:c r="V1301" s="58" t="str">
        <x:v>Pasted text(59).txt</x:v>
      </x:c>
    </x:row>
    <x:row r="1302">
      <x:c r="A1302" s="58" t="str">
        <x:v>S13</x:v>
      </x:c>
      <x:c r="B1302" s="58" t="str">
        <x:v>1.00 validated five-run session</x:v>
      </x:c>
      <x:c r="C1302" s="58" t="n">
        <x:v>1</x:v>
      </x:c>
      <x:c r="D1302" s="58" t="n">
        <x:v>5</x:v>
      </x:c>
      <x:c r="E1302" s="58" t="n">
        <x:v>1</x:v>
      </x:c>
      <x:c r="F1302" s="58" t="str">
        <x:v>FINAL</x:v>
      </x:c>
      <x:c r="G1302" s="58" t="n">
        <x:v>2</x:v>
      </x:c>
      <x:c r="H1302" s="59" t="n">
        <x:v>10.75</x:v>
      </x:c>
      <x:c r="I1302" s="59" t="n">
        <x:v>1.00022</x:v>
      </x:c>
      <x:c r="J1302" s="59" t="n">
        <x:v>1.00411</x:v>
      </x:c>
      <x:c r="K1302" s="59" t="n">
        <x:v>0.52292</x:v>
      </x:c>
      <x:c r="L1302" s="59" t="n">
        <x:v>0.21607</x:v>
      </x:c>
      <x:c r="M1302" s="59" t="n">
        <x:v>1.15284</x:v>
      </x:c>
      <x:c r="N1302" s="60" t="n">
        <x:v>0.02</x:v>
      </x:c>
      <x:c r="O1302" s="60" t="n">
        <x:v>1.61</x:v>
      </x:c>
      <x:c r="P1302" s="60" t="n">
        <x:v>1.61</x:v>
      </x:c>
      <x:c r="Q1302" s="60" t="n">
        <x:v>84.8</x:v>
      </x:c>
      <x:c r="R1302" s="58" t="str">
        <x:v>X</x:v>
      </x:c>
      <x:c r="S1302" s="60" t="n">
        <x:v>100</x:v>
      </x:c>
      <x:c r="T1302" s="58" t="str">
        <x:v>IN TARGET BAND</x:v>
      </x:c>
      <x:c r="U1302" s="58" t="n">
        <x:v>882</x:v>
      </x:c>
      <x:c r="V1302" s="58" t="str">
        <x:v>Pasted text(59).txt</x:v>
      </x:c>
    </x:row>
    <x:row r="1303">
      <x:c r="A1303" s="58" t="str">
        <x:v>S14</x:v>
      </x:c>
      <x:c r="B1303" s="58" t="str">
        <x:v>1.15 validation at 272 Hz</x:v>
      </x:c>
      <x:c r="C1303" s="58" t="n">
        <x:v>1.15</x:v>
      </x:c>
      <x:c r="D1303" s="58" t="n">
        <x:v>1</x:v>
      </x:c>
      <x:c r="E1303" s="58" t="n">
        <x:v>1</x:v>
      </x:c>
      <x:c r="F1303" s="58" t="str">
        <x:v>SEARCH</x:v>
      </x:c>
      <x:c r="G1303" s="58" t="n">
        <x:v>1</x:v>
      </x:c>
      <x:c r="H1303" s="59" t="n">
        <x:v>1</x:v>
      </x:c>
      <x:c r="I1303" s="59" t="n">
        <x:v>0.02412</x:v>
      </x:c>
      <x:c r="J1303" s="59" t="n">
        <x:v>0.02593</x:v>
      </x:c>
      <x:c r="K1303" s="59" t="n">
        <x:v>0.04217</x:v>
      </x:c>
      <x:c r="L1303" s="59" t="n">
        <x:v>0.01893</x:v>
      </x:c>
      <x:c r="M1303" s="59" t="n">
        <x:v>0.05567</x:v>
      </x:c>
      <x:c r="N1303" s="60" t="n">
        <x:v>-97.9</x:v>
      </x:c>
      <x:c r="O1303" s="60" t="n">
        <x:v>22.36</x:v>
      </x:c>
      <x:c r="P1303" s="60" t="n">
        <x:v>9.92</x:v>
      </x:c>
      <x:c r="Q1303" s="60" t="n">
        <x:v>7.7</x:v>
      </x:c>
      <x:c r="R1303" s="58" t="str">
        <x:v>Y</x:v>
      </x:c>
      <x:c r="S1303" s="60" t="n">
        <x:v>61.5</x:v>
      </x:c>
      <x:c r="T1303" s="58" t="str">
        <x:v>BELOW MEASUREMENT FLOOR — SEARCH CONTINUES</x:v>
      </x:c>
      <x:c r="U1303" s="58" t="n">
        <x:v>977</x:v>
      </x:c>
      <x:c r="V1303" s="58" t="str">
        <x:v>Pasted text(59).txt</x:v>
      </x:c>
    </x:row>
    <x:row r="1304">
      <x:c r="A1304" s="58" t="str">
        <x:v>S14</x:v>
      </x:c>
      <x:c r="B1304" s="58" t="str">
        <x:v>1.15 validation at 272 Hz</x:v>
      </x:c>
      <x:c r="C1304" s="58" t="n">
        <x:v>1.15</x:v>
      </x:c>
      <x:c r="D1304" s="58" t="n">
        <x:v>1</x:v>
      </x:c>
      <x:c r="E1304" s="58" t="n">
        <x:v>1</x:v>
      </x:c>
      <x:c r="F1304" s="58" t="str">
        <x:v>SEARCH</x:v>
      </x:c>
      <x:c r="G1304" s="58" t="n">
        <x:v>2</x:v>
      </x:c>
      <x:c r="H1304" s="59" t="n">
        <x:v>3</x:v>
      </x:c>
      <x:c r="I1304" s="59" t="n">
        <x:v>0.18504</x:v>
      </x:c>
      <x:c r="J1304" s="59" t="n">
        <x:v>0.17836</x:v>
      </x:c>
      <x:c r="K1304" s="59" t="n">
        <x:v>0.09337</x:v>
      </x:c>
      <x:c r="L1304" s="59" t="n">
        <x:v>0.06588</x:v>
      </x:c>
      <x:c r="M1304" s="59" t="n">
        <x:v>0.21329</x:v>
      </x:c>
      <x:c r="N1304" s="60" t="n">
        <x:v>-83.91</x:v>
      </x:c>
      <x:c r="O1304" s="60" t="n">
        <x:v>4.52</x:v>
      </x:c>
      <x:c r="P1304" s="60" t="n">
        <x:v>9.36</x:v>
      </x:c>
      <x:c r="Q1304" s="60" t="n">
        <x:v>27.1</x:v>
      </x:c>
      <x:c r="R1304" s="58" t="str">
        <x:v>X</x:v>
      </x:c>
      <x:c r="S1304" s="60" t="n">
        <x:v>100</x:v>
      </x:c>
      <x:c r="T1304" s="58" t="str">
        <x:v>UNSTABLE — SEARCH CONTINUES</x:v>
      </x:c>
      <x:c r="U1304" s="58" t="n">
        <x:v>978</x:v>
      </x:c>
      <x:c r="V1304" s="58" t="str">
        <x:v>Pasted text(59).txt</x:v>
      </x:c>
    </x:row>
    <x:row r="1305">
      <x:c r="A1305" s="58" t="str">
        <x:v>S14</x:v>
      </x:c>
      <x:c r="B1305" s="58" t="str">
        <x:v>1.15 validation at 272 Hz</x:v>
      </x:c>
      <x:c r="C1305" s="58" t="n">
        <x:v>1.15</x:v>
      </x:c>
      <x:c r="D1305" s="58" t="n">
        <x:v>1</x:v>
      </x:c>
      <x:c r="E1305" s="58" t="n">
        <x:v>1</x:v>
      </x:c>
      <x:c r="F1305" s="58" t="str">
        <x:v>SEARCH</x:v>
      </x:c>
      <x:c r="G1305" s="58" t="n">
        <x:v>3</x:v>
      </x:c>
      <x:c r="H1305" s="59" t="n">
        <x:v>5</x:v>
      </x:c>
      <x:c r="I1305" s="59" t="n">
        <x:v>0.4067</x:v>
      </x:c>
      <x:c r="J1305" s="59" t="n">
        <x:v>0.40288</x:v>
      </x:c>
      <x:c r="K1305" s="59" t="n">
        <x:v>0.19704</x:v>
      </x:c>
      <x:c r="L1305" s="59" t="n">
        <x:v>0.13294</x:v>
      </x:c>
      <x:c r="M1305" s="59" t="n">
        <x:v>0.46889</x:v>
      </x:c>
      <x:c r="N1305" s="60" t="n">
        <x:v>-64.63</x:v>
      </x:c>
      <x:c r="O1305" s="60" t="n">
        <x:v>5.37</x:v>
      </x:c>
      <x:c r="P1305" s="60" t="n">
        <x:v>5.14</x:v>
      </x:c>
      <x:c r="Q1305" s="60" t="n">
        <x:v>54.9</x:v>
      </x:c>
      <x:c r="R1305" s="58" t="str">
        <x:v>X</x:v>
      </x:c>
      <x:c r="S1305" s="60" t="n">
        <x:v>100</x:v>
      </x:c>
      <x:c r="T1305" s="58" t="str">
        <x:v>VALID</x:v>
      </x:c>
      <x:c r="U1305" s="58" t="n">
        <x:v>979</x:v>
      </x:c>
      <x:c r="V1305" s="58" t="str">
        <x:v>Pasted text(59).txt</x:v>
      </x:c>
    </x:row>
    <x:row r="1306">
      <x:c r="A1306" s="58" t="str">
        <x:v>S14</x:v>
      </x:c>
      <x:c r="B1306" s="58" t="str">
        <x:v>1.15 validation at 272 Hz</x:v>
      </x:c>
      <x:c r="C1306" s="58" t="n">
        <x:v>1.15</x:v>
      </x:c>
      <x:c r="D1306" s="58" t="n">
        <x:v>1</x:v>
      </x:c>
      <x:c r="E1306" s="58" t="n">
        <x:v>1</x:v>
      </x:c>
      <x:c r="F1306" s="58" t="str">
        <x:v>SEARCH</x:v>
      </x:c>
      <x:c r="G1306" s="58" t="n">
        <x:v>4</x:v>
      </x:c>
      <x:c r="H1306" s="59" t="n">
        <x:v>6</x:v>
      </x:c>
      <x:c r="I1306" s="59" t="n">
        <x:v>0.52769</x:v>
      </x:c>
      <x:c r="J1306" s="59" t="n">
        <x:v>0.52694</x:v>
      </x:c>
      <x:c r="K1306" s="59" t="n">
        <x:v>0.24952</x:v>
      </x:c>
      <x:c r="L1306" s="59" t="n">
        <x:v>0.18433</x:v>
      </x:c>
      <x:c r="M1306" s="59" t="n">
        <x:v>0.61252</x:v>
      </x:c>
      <x:c r="N1306" s="60" t="n">
        <x:v>-54.11</x:v>
      </x:c>
      <x:c r="O1306" s="60" t="n">
        <x:v>5.15</x:v>
      </x:c>
      <x:c r="P1306" s="60" t="n">
        <x:v>3.7</x:v>
      </x:c>
      <x:c r="Q1306" s="60" t="n">
        <x:v>66.3</x:v>
      </x:c>
      <x:c r="R1306" s="58" t="str">
        <x:v>X</x:v>
      </x:c>
      <x:c r="S1306" s="60" t="n">
        <x:v>100</x:v>
      </x:c>
      <x:c r="T1306" s="58" t="str">
        <x:v>VALID</x:v>
      </x:c>
      <x:c r="U1306" s="58" t="n">
        <x:v>980</x:v>
      </x:c>
      <x:c r="V1306" s="58" t="str">
        <x:v>Pasted text(59).txt</x:v>
      </x:c>
    </x:row>
    <x:row r="1307">
      <x:c r="A1307" s="58" t="str">
        <x:v>S14</x:v>
      </x:c>
      <x:c r="B1307" s="58" t="str">
        <x:v>1.15 validation at 272 Hz</x:v>
      </x:c>
      <x:c r="C1307" s="58" t="n">
        <x:v>1.15</x:v>
      </x:c>
      <x:c r="D1307" s="58" t="n">
        <x:v>1</x:v>
      </x:c>
      <x:c r="E1307" s="58" t="n">
        <x:v>1</x:v>
      </x:c>
      <x:c r="F1307" s="58" t="str">
        <x:v>SEARCH</x:v>
      </x:c>
      <x:c r="G1307" s="58" t="n">
        <x:v>5</x:v>
      </x:c>
      <x:c r="H1307" s="59" t="n">
        <x:v>7</x:v>
      </x:c>
      <x:c r="I1307" s="59" t="n">
        <x:v>0.61413</x:v>
      </x:c>
      <x:c r="J1307" s="59" t="n">
        <x:v>0.61005</x:v>
      </x:c>
      <x:c r="K1307" s="59" t="n">
        <x:v>0.31125</x:v>
      </x:c>
      <x:c r="L1307" s="59" t="n">
        <x:v>0.16915</x:v>
      </x:c>
      <x:c r="M1307" s="59" t="n">
        <x:v>0.70568</x:v>
      </x:c>
      <x:c r="N1307" s="60" t="n">
        <x:v>-46.6</x:v>
      </x:c>
      <x:c r="O1307" s="60" t="n">
        <x:v>3.74</x:v>
      </x:c>
      <x:c r="P1307" s="60" t="n">
        <x:v>3.59</x:v>
      </x:c>
      <x:c r="Q1307" s="60" t="n">
        <x:v>73.3</x:v>
      </x:c>
      <x:c r="R1307" s="58" t="str">
        <x:v>X</x:v>
      </x:c>
      <x:c r="S1307" s="60" t="n">
        <x:v>100</x:v>
      </x:c>
      <x:c r="T1307" s="58" t="str">
        <x:v>VALID</x:v>
      </x:c>
      <x:c r="U1307" s="58" t="n">
        <x:v>981</x:v>
      </x:c>
      <x:c r="V1307" s="58" t="str">
        <x:v>Pasted text(59).txt</x:v>
      </x:c>
    </x:row>
    <x:row r="1308">
      <x:c r="A1308" s="58" t="str">
        <x:v>S14</x:v>
      </x:c>
      <x:c r="B1308" s="58" t="str">
        <x:v>1.15 validation at 272 Hz</x:v>
      </x:c>
      <x:c r="C1308" s="58" t="n">
        <x:v>1.15</x:v>
      </x:c>
      <x:c r="D1308" s="58" t="n">
        <x:v>1</x:v>
      </x:c>
      <x:c r="E1308" s="58" t="n">
        <x:v>1</x:v>
      </x:c>
      <x:c r="F1308" s="58" t="str">
        <x:v>SEARCH</x:v>
      </x:c>
      <x:c r="G1308" s="58" t="n">
        <x:v>6</x:v>
      </x:c>
      <x:c r="H1308" s="59" t="n">
        <x:v>8</x:v>
      </x:c>
      <x:c r="I1308" s="59" t="n">
        <x:v>0.74674</x:v>
      </x:c>
      <x:c r="J1308" s="59" t="n">
        <x:v>0.73922</x:v>
      </x:c>
      <x:c r="K1308" s="59" t="n">
        <x:v>0.39625</x:v>
      </x:c>
      <x:c r="L1308" s="59" t="n">
        <x:v>0.2183</x:v>
      </x:c>
      <x:c r="M1308" s="59" t="n">
        <x:v>0.86683</x:v>
      </x:c>
      <x:c r="N1308" s="60" t="n">
        <x:v>-35.07</x:v>
      </x:c>
      <x:c r="O1308" s="60" t="n">
        <x:v>0.99</x:v>
      </x:c>
      <x:c r="P1308" s="60" t="n">
        <x:v>2.37</x:v>
      </x:c>
      <x:c r="Q1308" s="60" t="n">
        <x:v>81.1</x:v>
      </x:c>
      <x:c r="R1308" s="58" t="str">
        <x:v>X</x:v>
      </x:c>
      <x:c r="S1308" s="60" t="n">
        <x:v>100</x:v>
      </x:c>
      <x:c r="T1308" s="58" t="str">
        <x:v>VALID</x:v>
      </x:c>
      <x:c r="U1308" s="58" t="n">
        <x:v>982</x:v>
      </x:c>
      <x:c r="V1308" s="58" t="str">
        <x:v>Pasted text(59).txt</x:v>
      </x:c>
    </x:row>
    <x:row r="1309">
      <x:c r="A1309" s="58" t="str">
        <x:v>S14</x:v>
      </x:c>
      <x:c r="B1309" s="58" t="str">
        <x:v>1.15 validation at 272 Hz</x:v>
      </x:c>
      <x:c r="C1309" s="58" t="n">
        <x:v>1.15</x:v>
      </x:c>
      <x:c r="D1309" s="58" t="n">
        <x:v>1</x:v>
      </x:c>
      <x:c r="E1309" s="58" t="n">
        <x:v>1</x:v>
      </x:c>
      <x:c r="F1309" s="58" t="str">
        <x:v>SEARCH</x:v>
      </x:c>
      <x:c r="G1309" s="58" t="n">
        <x:v>7</x:v>
      </x:c>
      <x:c r="H1309" s="59" t="n">
        <x:v>8.5</x:v>
      </x:c>
      <x:c r="I1309" s="59" t="n">
        <x:v>0.78821</x:v>
      </x:c>
      <x:c r="J1309" s="59" t="n">
        <x:v>0.79819</x:v>
      </x:c>
      <x:c r="K1309" s="59" t="n">
        <x:v>0.37757</x:v>
      </x:c>
      <x:c r="L1309" s="59" t="n">
        <x:v>0.20078</x:v>
      </x:c>
      <x:c r="M1309" s="59" t="n">
        <x:v>0.90639</x:v>
      </x:c>
      <x:c r="N1309" s="60" t="n">
        <x:v>-31.46</x:v>
      </x:c>
      <x:c r="O1309" s="60" t="n">
        <x:v>3.13</x:v>
      </x:c>
      <x:c r="P1309" s="60" t="n">
        <x:v>4.11</x:v>
      </x:c>
      <x:c r="Q1309" s="60" t="n">
        <x:v>84.9</x:v>
      </x:c>
      <x:c r="R1309" s="58" t="str">
        <x:v>X</x:v>
      </x:c>
      <x:c r="S1309" s="60" t="n">
        <x:v>100</x:v>
      </x:c>
      <x:c r="T1309" s="58" t="str">
        <x:v>VALID</x:v>
      </x:c>
      <x:c r="U1309" s="58" t="n">
        <x:v>983</x:v>
      </x:c>
      <x:c r="V1309" s="58" t="str">
        <x:v>Pasted text(59).txt</x:v>
      </x:c>
    </x:row>
    <x:row r="1310">
      <x:c r="A1310" s="58" t="str">
        <x:v>S14</x:v>
      </x:c>
      <x:c r="B1310" s="58" t="str">
        <x:v>1.15 validation at 272 Hz</x:v>
      </x:c>
      <x:c r="C1310" s="58" t="n">
        <x:v>1.15</x:v>
      </x:c>
      <x:c r="D1310" s="58" t="n">
        <x:v>1</x:v>
      </x:c>
      <x:c r="E1310" s="58" t="n">
        <x:v>1</x:v>
      </x:c>
      <x:c r="F1310" s="58" t="str">
        <x:v>SEARCH</x:v>
      </x:c>
      <x:c r="G1310" s="58" t="n">
        <x:v>8</x:v>
      </x:c>
      <x:c r="H1310" s="59" t="n">
        <x:v>9</x:v>
      </x:c>
      <x:c r="I1310" s="59" t="n">
        <x:v>0.86667</x:v>
      </x:c>
      <x:c r="J1310" s="59" t="n">
        <x:v>0.86234</x:v>
      </x:c>
      <x:c r="K1310" s="59" t="n">
        <x:v>0.41659</x:v>
      </x:c>
      <x:c r="L1310" s="59" t="n">
        <x:v>0.23392</x:v>
      </x:c>
      <x:c r="M1310" s="59" t="n">
        <x:v>0.98591</x:v>
      </x:c>
      <x:c r="N1310" s="60" t="n">
        <x:v>-24.64</x:v>
      </x:c>
      <x:c r="O1310" s="60" t="n">
        <x:v>0.05</x:v>
      </x:c>
      <x:c r="P1310" s="60" t="n">
        <x:v>0.9</x:v>
      </x:c>
      <x:c r="Q1310" s="60" t="n">
        <x:v>83.3</x:v>
      </x:c>
      <x:c r="R1310" s="58" t="str">
        <x:v>X</x:v>
      </x:c>
      <x:c r="S1310" s="60" t="n">
        <x:v>100</x:v>
      </x:c>
      <x:c r="T1310" s="58" t="str">
        <x:v>VALID</x:v>
      </x:c>
      <x:c r="U1310" s="58" t="n">
        <x:v>984</x:v>
      </x:c>
      <x:c r="V1310" s="58" t="str">
        <x:v>Pasted text(59).txt</x:v>
      </x:c>
    </x:row>
    <x:row r="1311">
      <x:c r="A1311" s="58" t="str">
        <x:v>S14</x:v>
      </x:c>
      <x:c r="B1311" s="58" t="str">
        <x:v>1.15 validation at 272 Hz</x:v>
      </x:c>
      <x:c r="C1311" s="58" t="n">
        <x:v>1.15</x:v>
      </x:c>
      <x:c r="D1311" s="58" t="n">
        <x:v>1</x:v>
      </x:c>
      <x:c r="E1311" s="58" t="n">
        <x:v>1</x:v>
      </x:c>
      <x:c r="F1311" s="58" t="str">
        <x:v>SEARCH</x:v>
      </x:c>
      <x:c r="G1311" s="58" t="n">
        <x:v>9</x:v>
      </x:c>
      <x:c r="H1311" s="59" t="n">
        <x:v>9.5</x:v>
      </x:c>
      <x:c r="I1311" s="59" t="n">
        <x:v>0.87053</x:v>
      </x:c>
      <x:c r="J1311" s="59" t="n">
        <x:v>0.87036</x:v>
      </x:c>
      <x:c r="K1311" s="59" t="n">
        <x:v>0.45238</x:v>
      </x:c>
      <x:c r="L1311" s="59" t="n">
        <x:v>0.25882</x:v>
      </x:c>
      <x:c r="M1311" s="59" t="n">
        <x:v>1.01486</x:v>
      </x:c>
      <x:c r="N1311" s="60" t="n">
        <x:v>-24.3</x:v>
      </x:c>
      <x:c r="O1311" s="60" t="n">
        <x:v>2.06</x:v>
      </x:c>
      <x:c r="P1311" s="60" t="n">
        <x:v>1.42</x:v>
      </x:c>
      <x:c r="Q1311" s="60" t="n">
        <x:v>83.5</x:v>
      </x:c>
      <x:c r="R1311" s="58" t="str">
        <x:v>X</x:v>
      </x:c>
      <x:c r="S1311" s="60" t="n">
        <x:v>100</x:v>
      </x:c>
      <x:c r="T1311" s="58" t="str">
        <x:v>VALID</x:v>
      </x:c>
      <x:c r="U1311" s="58" t="n">
        <x:v>985</x:v>
      </x:c>
      <x:c r="V1311" s="58" t="str">
        <x:v>Pasted text(59).txt</x:v>
      </x:c>
    </x:row>
    <x:row r="1312">
      <x:c r="A1312" s="58" t="str">
        <x:v>S14</x:v>
      </x:c>
      <x:c r="B1312" s="58" t="str">
        <x:v>1.15 validation at 272 Hz</x:v>
      </x:c>
      <x:c r="C1312" s="58" t="n">
        <x:v>1.15</x:v>
      </x:c>
      <x:c r="D1312" s="58" t="n">
        <x:v>1</x:v>
      </x:c>
      <x:c r="E1312" s="58" t="n">
        <x:v>1</x:v>
      </x:c>
      <x:c r="F1312" s="58" t="str">
        <x:v>SEARCH</x:v>
      </x:c>
      <x:c r="G1312" s="58" t="n">
        <x:v>10</x:v>
      </x:c>
      <x:c r="H1312" s="59" t="n">
        <x:v>10</x:v>
      </x:c>
      <x:c r="I1312" s="59" t="n">
        <x:v>0.95676</x:v>
      </x:c>
      <x:c r="J1312" s="59" t="n">
        <x:v>0.95164</x:v>
      </x:c>
      <x:c r="K1312" s="59" t="n">
        <x:v>0.46707</x:v>
      </x:c>
      <x:c r="L1312" s="59" t="n">
        <x:v>0.27132</x:v>
      </x:c>
      <x:c r="M1312" s="59" t="n">
        <x:v>1.09438</x:v>
      </x:c>
      <x:c r="N1312" s="60" t="n">
        <x:v>-16.8</x:v>
      </x:c>
      <x:c r="O1312" s="60" t="n">
        <x:v>1.95</x:v>
      </x:c>
      <x:c r="P1312" s="60" t="n">
        <x:v>2.18</x:v>
      </x:c>
      <x:c r="Q1312" s="60" t="n">
        <x:v>85.2</x:v>
      </x:c>
      <x:c r="R1312" s="58" t="str">
        <x:v>X</x:v>
      </x:c>
      <x:c r="S1312" s="60" t="n">
        <x:v>100</x:v>
      </x:c>
      <x:c r="T1312" s="58" t="str">
        <x:v>VALID</x:v>
      </x:c>
      <x:c r="U1312" s="58" t="n">
        <x:v>986</x:v>
      </x:c>
      <x:c r="V1312" s="58" t="str">
        <x:v>Pasted text(59).txt</x:v>
      </x:c>
    </x:row>
    <x:row r="1313">
      <x:c r="A1313" s="58" t="str">
        <x:v>S14</x:v>
      </x:c>
      <x:c r="B1313" s="58" t="str">
        <x:v>1.15 validation at 272 Hz</x:v>
      </x:c>
      <x:c r="C1313" s="58" t="n">
        <x:v>1.15</x:v>
      </x:c>
      <x:c r="D1313" s="58" t="n">
        <x:v>1</x:v>
      </x:c>
      <x:c r="E1313" s="58" t="n">
        <x:v>1</x:v>
      </x:c>
      <x:c r="F1313" s="58" t="str">
        <x:v>SEARCH</x:v>
      </x:c>
      <x:c r="G1313" s="58" t="n">
        <x:v>11</x:v>
      </x:c>
      <x:c r="H1313" s="59" t="n">
        <x:v>10.5</x:v>
      </x:c>
      <x:c r="I1313" s="59" t="n">
        <x:v>0.98064</x:v>
      </x:c>
      <x:c r="J1313" s="59" t="n">
        <x:v>0.98829</x:v>
      </x:c>
      <x:c r="K1313" s="59" t="n">
        <x:v>0.50864</x:v>
      </x:c>
      <x:c r="L1313" s="59" t="n">
        <x:v>0.27091</x:v>
      </x:c>
      <x:c r="M1313" s="59" t="n">
        <x:v>1.14426</x:v>
      </x:c>
      <x:c r="N1313" s="60" t="n">
        <x:v>-14.73</x:v>
      </x:c>
      <x:c r="O1313" s="60" t="n">
        <x:v>0.61</x:v>
      </x:c>
      <x:c r="P1313" s="60" t="n">
        <x:v>1.7</x:v>
      </x:c>
      <x:c r="Q1313" s="60" t="n">
        <x:v>88.4</x:v>
      </x:c>
      <x:c r="R1313" s="58" t="str">
        <x:v>X</x:v>
      </x:c>
      <x:c r="S1313" s="60" t="n">
        <x:v>100</x:v>
      </x:c>
      <x:c r="T1313" s="58" t="str">
        <x:v>VALID</x:v>
      </x:c>
      <x:c r="U1313" s="58" t="n">
        <x:v>987</x:v>
      </x:c>
      <x:c r="V1313" s="58" t="str">
        <x:v>Pasted text(59).txt</x:v>
      </x:c>
    </x:row>
    <x:row r="1314">
      <x:c r="A1314" s="58" t="str">
        <x:v>S14</x:v>
      </x:c>
      <x:c r="B1314" s="58" t="str">
        <x:v>1.15 validation at 272 Hz</x:v>
      </x:c>
      <x:c r="C1314" s="58" t="n">
        <x:v>1.15</x:v>
      </x:c>
      <x:c r="D1314" s="58" t="n">
        <x:v>1</x:v>
      </x:c>
      <x:c r="E1314" s="58" t="n">
        <x:v>1</x:v>
      </x:c>
      <x:c r="F1314" s="58" t="str">
        <x:v>SEARCH</x:v>
      </x:c>
      <x:c r="G1314" s="58" t="n">
        <x:v>12</x:v>
      </x:c>
      <x:c r="H1314" s="59" t="n">
        <x:v>10.75</x:v>
      </x:c>
      <x:c r="I1314" s="59" t="n">
        <x:v>1.04768</x:v>
      </x:c>
      <x:c r="J1314" s="59" t="n">
        <x:v>1.05009</x:v>
      </x:c>
      <x:c r="K1314" s="59" t="n">
        <x:v>0.51217</x:v>
      </x:c>
      <x:c r="L1314" s="59" t="n">
        <x:v>0.28342</x:v>
      </x:c>
      <x:c r="M1314" s="59" t="n">
        <x:v>1.20234</x:v>
      </x:c>
      <x:c r="N1314" s="60" t="n">
        <x:v>-8.9</x:v>
      </x:c>
      <x:c r="O1314" s="60" t="n">
        <x:v>0.74</x:v>
      </x:c>
      <x:c r="P1314" s="60" t="n">
        <x:v>0.86</x:v>
      </x:c>
      <x:c r="Q1314" s="60" t="n">
        <x:v>87.6</x:v>
      </x:c>
      <x:c r="R1314" s="58" t="str">
        <x:v>X</x:v>
      </x:c>
      <x:c r="S1314" s="60" t="n">
        <x:v>100</x:v>
      </x:c>
      <x:c r="T1314" s="58" t="str">
        <x:v>VALID</x:v>
      </x:c>
      <x:c r="U1314" s="58" t="n">
        <x:v>988</x:v>
      </x:c>
      <x:c r="V1314" s="58" t="str">
        <x:v>Pasted text(59).txt</x:v>
      </x:c>
    </x:row>
    <x:row r="1315">
      <x:c r="A1315" s="58" t="str">
        <x:v>S14</x:v>
      </x:c>
      <x:c r="B1315" s="58" t="str">
        <x:v>1.15 validation at 272 Hz</x:v>
      </x:c>
      <x:c r="C1315" s="58" t="n">
        <x:v>1.15</x:v>
      </x:c>
      <x:c r="D1315" s="58" t="n">
        <x:v>1</x:v>
      </x:c>
      <x:c r="E1315" s="58" t="n">
        <x:v>1</x:v>
      </x:c>
      <x:c r="F1315" s="58" t="str">
        <x:v>SEARCH</x:v>
      </x:c>
      <x:c r="G1315" s="58" t="n">
        <x:v>13</x:v>
      </x:c>
      <x:c r="H1315" s="59" t="n">
        <x:v>11</x:v>
      </x:c>
      <x:c r="I1315" s="59" t="n">
        <x:v>1.07051</x:v>
      </x:c>
      <x:c r="J1315" s="59" t="n">
        <x:v>1.06469</x:v>
      </x:c>
      <x:c r="K1315" s="59" t="n">
        <x:v>0.56623</x:v>
      </x:c>
      <x:c r="L1315" s="59" t="n">
        <x:v>0.28326</x:v>
      </x:c>
      <x:c r="M1315" s="59" t="n">
        <x:v>1.23911</x:v>
      </x:c>
      <x:c r="N1315" s="60" t="n">
        <x:v>-6.91</x:v>
      </x:c>
      <x:c r="O1315" s="60" t="n">
        <x:v>1.87</x:v>
      </x:c>
      <x:c r="P1315" s="60" t="n">
        <x:v>2.15</x:v>
      </x:c>
      <x:c r="Q1315" s="60" t="n">
        <x:v>87.7</x:v>
      </x:c>
      <x:c r="R1315" s="58" t="str">
        <x:v>X</x:v>
      </x:c>
      <x:c r="S1315" s="60" t="n">
        <x:v>100</x:v>
      </x:c>
      <x:c r="T1315" s="58" t="str">
        <x:v>IN TARGET BAND</x:v>
      </x:c>
      <x:c r="U1315" s="58" t="n">
        <x:v>989</x:v>
      </x:c>
      <x:c r="V1315" s="58" t="str">
        <x:v>Pasted text(59).txt</x:v>
      </x:c>
    </x:row>
    <x:row r="1316">
      <x:c r="A1316" s="58" t="str">
        <x:v>S14</x:v>
      </x:c>
      <x:c r="B1316" s="58" t="str">
        <x:v>1.15 validation at 272 Hz</x:v>
      </x:c>
      <x:c r="C1316" s="58" t="n">
        <x:v>1.15</x:v>
      </x:c>
      <x:c r="D1316" s="58" t="n">
        <x:v>1</x:v>
      </x:c>
      <x:c r="E1316" s="58" t="n">
        <x:v>1</x:v>
      </x:c>
      <x:c r="F1316" s="58" t="str">
        <x:v>FINE</x:v>
      </x:c>
      <x:c r="G1316" s="58" t="n">
        <x:v>1</x:v>
      </x:c>
      <x:c r="H1316" s="59" t="n">
        <x:v>10</x:v>
      </x:c>
      <x:c r="I1316" s="59" t="n">
        <x:v>0.93707</x:v>
      </x:c>
      <x:c r="J1316" s="59" t="n">
        <x:v>0.93878</x:v>
      </x:c>
      <x:c r="K1316" s="59" t="n">
        <x:v>0.50865</x:v>
      </x:c>
      <x:c r="L1316" s="59" t="n">
        <x:v>0.26034</x:v>
      </x:c>
      <x:c r="M1316" s="59" t="n">
        <x:v>1.09912</x:v>
      </x:c>
      <x:c r="N1316" s="60" t="n">
        <x:v>-18.52</x:v>
      </x:c>
      <x:c r="O1316" s="60" t="n">
        <x:v>1.37</x:v>
      </x:c>
      <x:c r="P1316" s="60" t="n">
        <x:v>1.21</x:v>
      </x:c>
      <x:c r="Q1316" s="60" t="n">
        <x:v>84.6</x:v>
      </x:c>
      <x:c r="R1316" s="58" t="str">
        <x:v>X</x:v>
      </x:c>
      <x:c r="S1316" s="60" t="n">
        <x:v>100</x:v>
      </x:c>
      <x:c r="T1316" s="58" t="str">
        <x:v>VALID</x:v>
      </x:c>
      <x:c r="U1316" s="58" t="n">
        <x:v>993</x:v>
      </x:c>
      <x:c r="V1316" s="58" t="str">
        <x:v>Pasted text(59).txt</x:v>
      </x:c>
    </x:row>
    <x:row r="1317">
      <x:c r="A1317" s="58" t="str">
        <x:v>S14</x:v>
      </x:c>
      <x:c r="B1317" s="58" t="str">
        <x:v>1.15 validation at 272 Hz</x:v>
      </x:c>
      <x:c r="C1317" s="58" t="n">
        <x:v>1.15</x:v>
      </x:c>
      <x:c r="D1317" s="58" t="n">
        <x:v>1</x:v>
      </x:c>
      <x:c r="E1317" s="58" t="n">
        <x:v>1</x:v>
      </x:c>
      <x:c r="F1317" s="58" t="str">
        <x:v>FINE</x:v>
      </x:c>
      <x:c r="G1317" s="58" t="n">
        <x:v>2</x:v>
      </x:c>
      <x:c r="H1317" s="59" t="n">
        <x:v>10.25</x:v>
      </x:c>
      <x:c r="I1317" s="59" t="n">
        <x:v>0.96669</x:v>
      </x:c>
      <x:c r="J1317" s="59" t="n">
        <x:v>0.96186</x:v>
      </x:c>
      <x:c r="K1317" s="59" t="n">
        <x:v>0.47284</x:v>
      </x:c>
      <x:c r="L1317" s="59" t="n">
        <x:v>0.2673</x:v>
      </x:c>
      <x:c r="M1317" s="59" t="n">
        <x:v>1.10484</x:v>
      </x:c>
      <x:c r="N1317" s="60" t="n">
        <x:v>-15.94</x:v>
      </x:c>
      <x:c r="O1317" s="60" t="n">
        <x:v>1.25</x:v>
      </x:c>
      <x:c r="P1317" s="60" t="n">
        <x:v>1.66</x:v>
      </x:c>
      <x:c r="Q1317" s="60" t="n">
        <x:v>86.3</x:v>
      </x:c>
      <x:c r="R1317" s="58" t="str">
        <x:v>X</x:v>
      </x:c>
      <x:c r="S1317" s="60" t="n">
        <x:v>100</x:v>
      </x:c>
      <x:c r="T1317" s="58" t="str">
        <x:v>VALID</x:v>
      </x:c>
      <x:c r="U1317" s="58" t="n">
        <x:v>994</x:v>
      </x:c>
      <x:c r="V1317" s="58" t="str">
        <x:v>Pasted text(59).txt</x:v>
      </x:c>
    </x:row>
    <x:row r="1318">
      <x:c r="A1318" s="58" t="str">
        <x:v>S14</x:v>
      </x:c>
      <x:c r="B1318" s="58" t="str">
        <x:v>1.15 validation at 272 Hz</x:v>
      </x:c>
      <x:c r="C1318" s="58" t="n">
        <x:v>1.15</x:v>
      </x:c>
      <x:c r="D1318" s="58" t="n">
        <x:v>1</x:v>
      </x:c>
      <x:c r="E1318" s="58" t="n">
        <x:v>1</x:v>
      </x:c>
      <x:c r="F1318" s="58" t="str">
        <x:v>FINE</x:v>
      </x:c>
      <x:c r="G1318" s="58" t="n">
        <x:v>3</x:v>
      </x:c>
      <x:c r="H1318" s="59" t="n">
        <x:v>10.5</x:v>
      </x:c>
      <x:c r="I1318" s="59" t="n">
        <x:v>0.97868</x:v>
      </x:c>
      <x:c r="J1318" s="59" t="n">
        <x:v>0.98473</x:v>
      </x:c>
      <x:c r="K1318" s="59" t="n">
        <x:v>0.50303</x:v>
      </x:c>
      <x:c r="L1318" s="59" t="n">
        <x:v>0.26317</x:v>
      </x:c>
      <x:c r="M1318" s="59" t="n">
        <x:v>1.13686</x:v>
      </x:c>
      <x:c r="N1318" s="60" t="n">
        <x:v>-14.9</x:v>
      </x:c>
      <x:c r="O1318" s="60" t="n">
        <x:v>1.09</x:v>
      </x:c>
      <x:c r="P1318" s="60" t="n">
        <x:v>1.74</x:v>
      </x:c>
      <x:c r="Q1318" s="60" t="n">
        <x:v>88</x:v>
      </x:c>
      <x:c r="R1318" s="58" t="str">
        <x:v>X</x:v>
      </x:c>
      <x:c r="S1318" s="60" t="n">
        <x:v>100</x:v>
      </x:c>
      <x:c r="T1318" s="58" t="str">
        <x:v>VALID</x:v>
      </x:c>
      <x:c r="U1318" s="58" t="n">
        <x:v>995</x:v>
      </x:c>
      <x:c r="V1318" s="58" t="str">
        <x:v>Pasted text(59).txt</x:v>
      </x:c>
    </x:row>
    <x:row r="1319">
      <x:c r="A1319" s="58" t="str">
        <x:v>S14</x:v>
      </x:c>
      <x:c r="B1319" s="58" t="str">
        <x:v>1.15 validation at 272 Hz</x:v>
      </x:c>
      <x:c r="C1319" s="58" t="n">
        <x:v>1.15</x:v>
      </x:c>
      <x:c r="D1319" s="58" t="n">
        <x:v>1</x:v>
      </x:c>
      <x:c r="E1319" s="58" t="n">
        <x:v>1</x:v>
      </x:c>
      <x:c r="F1319" s="58" t="str">
        <x:v>FINE</x:v>
      </x:c>
      <x:c r="G1319" s="58" t="n">
        <x:v>4</x:v>
      </x:c>
      <x:c r="H1319" s="59" t="n">
        <x:v>10.75</x:v>
      </x:c>
      <x:c r="I1319" s="59" t="n">
        <x:v>1.05433</x:v>
      </x:c>
      <x:c r="J1319" s="59" t="n">
        <x:v>1.04165</x:v>
      </x:c>
      <x:c r="K1319" s="59" t="n">
        <x:v>0.52028</x:v>
      </x:c>
      <x:c r="L1319" s="59" t="n">
        <x:v>0.26617</x:v>
      </x:c>
      <x:c r="M1319" s="59" t="n">
        <x:v>1.19447</x:v>
      </x:c>
      <x:c r="N1319" s="60" t="n">
        <x:v>-8.32</x:v>
      </x:c>
      <x:c r="O1319" s="60" t="n">
        <x:v>1.09</x:v>
      </x:c>
      <x:c r="P1319" s="60" t="n">
        <x:v>2.78</x:v>
      </x:c>
      <x:c r="Q1319" s="60" t="n">
        <x:v>87</x:v>
      </x:c>
      <x:c r="R1319" s="58" t="str">
        <x:v>X</x:v>
      </x:c>
      <x:c r="S1319" s="60" t="n">
        <x:v>100</x:v>
      </x:c>
      <x:c r="T1319" s="58" t="str">
        <x:v>VALID</x:v>
      </x:c>
      <x:c r="U1319" s="58" t="n">
        <x:v>996</x:v>
      </x:c>
      <x:c r="V1319" s="58" t="str">
        <x:v>Pasted text(59).txt</x:v>
      </x:c>
    </x:row>
    <x:row r="1320">
      <x:c r="A1320" s="58" t="str">
        <x:v>S14</x:v>
      </x:c>
      <x:c r="B1320" s="58" t="str">
        <x:v>1.15 validation at 272 Hz</x:v>
      </x:c>
      <x:c r="C1320" s="58" t="n">
        <x:v>1.15</x:v>
      </x:c>
      <x:c r="D1320" s="58" t="n">
        <x:v>1</x:v>
      </x:c>
      <x:c r="E1320" s="58" t="n">
        <x:v>1</x:v>
      </x:c>
      <x:c r="F1320" s="58" t="str">
        <x:v>FINE</x:v>
      </x:c>
      <x:c r="G1320" s="58" t="n">
        <x:v>5</x:v>
      </x:c>
      <x:c r="H1320" s="59" t="n">
        <x:v>11</x:v>
      </x:c>
      <x:c r="I1320" s="59" t="n">
        <x:v>1.05925</x:v>
      </x:c>
      <x:c r="J1320" s="59" t="n">
        <x:v>1.06206</x:v>
      </x:c>
      <x:c r="K1320" s="59" t="n">
        <x:v>0.53228</x:v>
      </x:c>
      <x:c r="L1320" s="59" t="n">
        <x:v>0.27383</x:v>
      </x:c>
      <x:c r="M1320" s="59" t="n">
        <x:v>1.21915</x:v>
      </x:c>
      <x:c r="N1320" s="60" t="n">
        <x:v>-7.89</x:v>
      </x:c>
      <x:c r="O1320" s="60" t="n">
        <x:v>0.99</x:v>
      </x:c>
      <x:c r="P1320" s="60" t="n">
        <x:v>1.09</x:v>
      </x:c>
      <x:c r="Q1320" s="60" t="n">
        <x:v>87.6</x:v>
      </x:c>
      <x:c r="R1320" s="58" t="str">
        <x:v>X</x:v>
      </x:c>
      <x:c r="S1320" s="60" t="n">
        <x:v>100</x:v>
      </x:c>
      <x:c r="T1320" s="58" t="str">
        <x:v>VALID</x:v>
      </x:c>
      <x:c r="U1320" s="58" t="n">
        <x:v>997</x:v>
      </x:c>
      <x:c r="V1320" s="58" t="str">
        <x:v>Pasted text(59).txt</x:v>
      </x:c>
    </x:row>
    <x:row r="1321">
      <x:c r="A1321" s="58" t="str">
        <x:v>S14</x:v>
      </x:c>
      <x:c r="B1321" s="58" t="str">
        <x:v>1.15 validation at 272 Hz</x:v>
      </x:c>
      <x:c r="C1321" s="58" t="n">
        <x:v>1.15</x:v>
      </x:c>
      <x:c r="D1321" s="58" t="n">
        <x:v>1</x:v>
      </x:c>
      <x:c r="E1321" s="58" t="n">
        <x:v>1</x:v>
      </x:c>
      <x:c r="F1321" s="58" t="str">
        <x:v>FINE</x:v>
      </x:c>
      <x:c r="G1321" s="58" t="n">
        <x:v>6</x:v>
      </x:c>
      <x:c r="H1321" s="59" t="n">
        <x:v>11.25</x:v>
      </x:c>
      <x:c r="I1321" s="59" t="n">
        <x:v>1.09042</x:v>
      </x:c>
      <x:c r="J1321" s="59" t="n">
        <x:v>1.09443</x:v>
      </x:c>
      <x:c r="K1321" s="59" t="n">
        <x:v>0.55272</x:v>
      </x:c>
      <x:c r="L1321" s="59" t="n">
        <x:v>0.27064</x:v>
      </x:c>
      <x:c r="M1321" s="59" t="n">
        <x:v>1.25572</x:v>
      </x:c>
      <x:c r="N1321" s="60" t="n">
        <x:v>-5.18</x:v>
      </x:c>
      <x:c r="O1321" s="60" t="n">
        <x:v>1.45</x:v>
      </x:c>
      <x:c r="P1321" s="60" t="n">
        <x:v>1.56</x:v>
      </x:c>
      <x:c r="Q1321" s="60" t="n">
        <x:v>89.6</x:v>
      </x:c>
      <x:c r="R1321" s="58" t="str">
        <x:v>X</x:v>
      </x:c>
      <x:c r="S1321" s="60" t="n">
        <x:v>100</x:v>
      </x:c>
      <x:c r="T1321" s="58" t="str">
        <x:v>IN TARGET BAND</x:v>
      </x:c>
      <x:c r="U1321" s="58" t="n">
        <x:v>998</x:v>
      </x:c>
      <x:c r="V1321" s="58" t="str">
        <x:v>Pasted text(59).txt</x:v>
      </x:c>
    </x:row>
    <x:row r="1322">
      <x:c r="A1322" s="58" t="str">
        <x:v>S14</x:v>
      </x:c>
      <x:c r="B1322" s="58" t="str">
        <x:v>1.15 validation at 272 Hz</x:v>
      </x:c>
      <x:c r="C1322" s="58" t="n">
        <x:v>1.15</x:v>
      </x:c>
      <x:c r="D1322" s="58" t="n">
        <x:v>1</x:v>
      </x:c>
      <x:c r="E1322" s="58" t="n">
        <x:v>1</x:v>
      </x:c>
      <x:c r="F1322" s="58" t="str">
        <x:v>FINE</x:v>
      </x:c>
      <x:c r="G1322" s="58" t="n">
        <x:v>7</x:v>
      </x:c>
      <x:c r="H1322" s="59" t="n">
        <x:v>11.5</x:v>
      </x:c>
      <x:c r="I1322" s="59" t="n">
        <x:v>1.11403</x:v>
      </x:c>
      <x:c r="J1322" s="59" t="n">
        <x:v>1.11353</x:v>
      </x:c>
      <x:c r="K1322" s="59" t="n">
        <x:v>0.5651</x:v>
      </x:c>
      <x:c r="L1322" s="59" t="n">
        <x:v>0.28252</x:v>
      </x:c>
      <x:c r="M1322" s="59" t="n">
        <x:v>1.28049</x:v>
      </x:c>
      <x:c r="N1322" s="60" t="n">
        <x:v>-3.13</x:v>
      </x:c>
      <x:c r="O1322" s="60" t="n">
        <x:v>2.33</x:v>
      </x:c>
      <x:c r="P1322" s="60" t="n">
        <x:v>1.64</x:v>
      </x:c>
      <x:c r="Q1322" s="60" t="n">
        <x:v>91.2</x:v>
      </x:c>
      <x:c r="R1322" s="58" t="str">
        <x:v>X</x:v>
      </x:c>
      <x:c r="S1322" s="60" t="n">
        <x:v>100</x:v>
      </x:c>
      <x:c r="T1322" s="58" t="str">
        <x:v>IN TARGET BAND</x:v>
      </x:c>
      <x:c r="U1322" s="58" t="n">
        <x:v>999</x:v>
      </x:c>
      <x:c r="V1322" s="58" t="str">
        <x:v>Pasted text(59).txt</x:v>
      </x:c>
    </x:row>
    <x:row r="1323">
      <x:c r="A1323" s="58" t="str">
        <x:v>S14</x:v>
      </x:c>
      <x:c r="B1323" s="58" t="str">
        <x:v>1.15 validation at 272 Hz</x:v>
      </x:c>
      <x:c r="C1323" s="58" t="n">
        <x:v>1.15</x:v>
      </x:c>
      <x:c r="D1323" s="58" t="n">
        <x:v>1</x:v>
      </x:c>
      <x:c r="E1323" s="58" t="n">
        <x:v>1</x:v>
      </x:c>
      <x:c r="F1323" s="58" t="str">
        <x:v>FINE</x:v>
      </x:c>
      <x:c r="G1323" s="58" t="n">
        <x:v>8</x:v>
      </x:c>
      <x:c r="H1323" s="59" t="n">
        <x:v>11.75</x:v>
      </x:c>
      <x:c r="I1323" s="59" t="n">
        <x:v>1.14835</x:v>
      </x:c>
      <x:c r="J1323" s="59" t="n">
        <x:v>1.14412</x:v>
      </x:c>
      <x:c r="K1323" s="59" t="n">
        <x:v>0.58307</x:v>
      </x:c>
      <x:c r="L1323" s="59" t="n">
        <x:v>0.28432</x:v>
      </x:c>
      <x:c r="M1323" s="59" t="n">
        <x:v>1.31538</x:v>
      </x:c>
      <x:c r="N1323" s="60" t="n">
        <x:v>-0.14</x:v>
      </x:c>
      <x:c r="O1323" s="60" t="n">
        <x:v>0.67</x:v>
      </x:c>
      <x:c r="P1323" s="60" t="n">
        <x:v>1.06</x:v>
      </x:c>
      <x:c r="Q1323" s="60" t="n">
        <x:v>88.3</x:v>
      </x:c>
      <x:c r="R1323" s="58" t="str">
        <x:v>X</x:v>
      </x:c>
      <x:c r="S1323" s="60" t="n">
        <x:v>100</x:v>
      </x:c>
      <x:c r="T1323" s="58" t="str">
        <x:v>IN TARGET BAND</x:v>
      </x:c>
      <x:c r="U1323" s="58" t="n">
        <x:v>1000</x:v>
      </x:c>
      <x:c r="V1323" s="58" t="str">
        <x:v>Pasted text(59).txt</x:v>
      </x:c>
    </x:row>
    <x:row r="1324">
      <x:c r="A1324" s="58" t="str">
        <x:v>S14</x:v>
      </x:c>
      <x:c r="B1324" s="58" t="str">
        <x:v>1.15 validation at 272 Hz</x:v>
      </x:c>
      <x:c r="C1324" s="58" t="n">
        <x:v>1.15</x:v>
      </x:c>
      <x:c r="D1324" s="58" t="n">
        <x:v>1</x:v>
      </x:c>
      <x:c r="E1324" s="58" t="n">
        <x:v>1</x:v>
      </x:c>
      <x:c r="F1324" s="58" t="str">
        <x:v>FINE</x:v>
      </x:c>
      <x:c r="G1324" s="58" t="n">
        <x:v>9</x:v>
      </x:c>
      <x:c r="H1324" s="59" t="n">
        <x:v>12</x:v>
      </x:c>
      <x:c r="I1324" s="59" t="n">
        <x:v>1.13446</x:v>
      </x:c>
      <x:c r="J1324" s="59" t="n">
        <x:v>1.1329</x:v>
      </x:c>
      <x:c r="K1324" s="59" t="n">
        <x:v>0.58617</x:v>
      </x:c>
      <x:c r="L1324" s="59" t="n">
        <x:v>0.28657</x:v>
      </x:c>
      <x:c r="M1324" s="59" t="n">
        <x:v>1.30756</x:v>
      </x:c>
      <x:c r="N1324" s="60" t="n">
        <x:v>-1.35</x:v>
      </x:c>
      <x:c r="O1324" s="60" t="n">
        <x:v>0.89</x:v>
      </x:c>
      <x:c r="P1324" s="60" t="n">
        <x:v>0.82</x:v>
      </x:c>
      <x:c r="Q1324" s="60" t="n">
        <x:v>87.7</x:v>
      </x:c>
      <x:c r="R1324" s="58" t="str">
        <x:v>X</x:v>
      </x:c>
      <x:c r="S1324" s="60" t="n">
        <x:v>100</x:v>
      </x:c>
      <x:c r="T1324" s="58" t="str">
        <x:v>IN TARGET BAND</x:v>
      </x:c>
      <x:c r="U1324" s="58" t="n">
        <x:v>1001</x:v>
      </x:c>
      <x:c r="V1324" s="58" t="str">
        <x:v>Pasted text(59).txt</x:v>
      </x:c>
    </x:row>
    <x:row r="1325">
      <x:c r="A1325" s="58" t="str">
        <x:v>S14</x:v>
      </x:c>
      <x:c r="B1325" s="58" t="str">
        <x:v>1.15 validation at 272 Hz</x:v>
      </x:c>
      <x:c r="C1325" s="58" t="n">
        <x:v>1.15</x:v>
      </x:c>
      <x:c r="D1325" s="58" t="n">
        <x:v>1</x:v>
      </x:c>
      <x:c r="E1325" s="58" t="n">
        <x:v>1</x:v>
      </x:c>
      <x:c r="F1325" s="58" t="str">
        <x:v>FINAL</x:v>
      </x:c>
      <x:c r="G1325" s="58" t="n">
        <x:v>1</x:v>
      </x:c>
      <x:c r="H1325" s="59" t="n">
        <x:v>11.75</x:v>
      </x:c>
      <x:c r="I1325" s="59" t="n">
        <x:v>1.19147</x:v>
      </x:c>
      <x:c r="J1325" s="59" t="n">
        <x:v>1.18541</x:v>
      </x:c>
      <x:c r="K1325" s="59" t="n">
        <x:v>0.59359</x:v>
      </x:c>
      <x:c r="L1325" s="59" t="n">
        <x:v>0.29233</x:v>
      </x:c>
      <x:c r="M1325" s="59" t="n">
        <x:v>1.35787</x:v>
      </x:c>
      <x:c r="N1325" s="60" t="n">
        <x:v>3.61</x:v>
      </x:c>
      <x:c r="O1325" s="60" t="n">
        <x:v>1.52</x:v>
      </x:c>
      <x:c r="P1325" s="60" t="n">
        <x:v>2.71</x:v>
      </x:c>
      <x:c r="Q1325" s="60" t="n">
        <x:v>88.4</x:v>
      </x:c>
      <x:c r="R1325" s="58" t="str">
        <x:v>X</x:v>
      </x:c>
      <x:c r="S1325" s="60" t="n">
        <x:v>100</x:v>
      </x:c>
      <x:c r="T1325" s="58" t="str">
        <x:v>IN TARGET BAND</x:v>
      </x:c>
      <x:c r="U1325" s="58" t="n">
        <x:v>1004</x:v>
      </x:c>
      <x:c r="V1325" s="58" t="str">
        <x:v>Pasted text(59).txt</x:v>
      </x:c>
    </x:row>
    <x:row r="1326">
      <x:c r="A1326" s="58" t="str">
        <x:v>S14</x:v>
      </x:c>
      <x:c r="B1326" s="58" t="str">
        <x:v>1.15 validation at 272 Hz</x:v>
      </x:c>
      <x:c r="C1326" s="58" t="n">
        <x:v>1.15</x:v>
      </x:c>
      <x:c r="D1326" s="58" t="n">
        <x:v>1</x:v>
      </x:c>
      <x:c r="E1326" s="58" t="n">
        <x:v>1</x:v>
      </x:c>
      <x:c r="F1326" s="58" t="str">
        <x:v>FINAL</x:v>
      </x:c>
      <x:c r="G1326" s="58" t="n">
        <x:v>2</x:v>
      </x:c>
      <x:c r="H1326" s="59" t="n">
        <x:v>11.75</x:v>
      </x:c>
      <x:c r="I1326" s="59" t="n">
        <x:v>1.17626</x:v>
      </x:c>
      <x:c r="J1326" s="59" t="n">
        <x:v>1.18646</x:v>
      </x:c>
      <x:c r="K1326" s="59" t="n">
        <x:v>0.62562</x:v>
      </x:c>
      <x:c r="L1326" s="59" t="n">
        <x:v>0.29261</x:v>
      </x:c>
      <x:c r="M1326" s="59" t="n">
        <x:v>1.37352</x:v>
      </x:c>
      <x:c r="N1326" s="60" t="n">
        <x:v>2.28</x:v>
      </x:c>
      <x:c r="O1326" s="60" t="n">
        <x:v>2.28</x:v>
      </x:c>
      <x:c r="P1326" s="60" t="n">
        <x:v>2.44</x:v>
      </x:c>
      <x:c r="Q1326" s="60" t="n">
        <x:v>87.3</x:v>
      </x:c>
      <x:c r="R1326" s="58" t="str">
        <x:v>X</x:v>
      </x:c>
      <x:c r="S1326" s="60" t="n">
        <x:v>100</x:v>
      </x:c>
      <x:c r="T1326" s="58" t="str">
        <x:v>IN TARGET BAND</x:v>
      </x:c>
      <x:c r="U1326" s="58" t="n">
        <x:v>1005</x:v>
      </x:c>
      <x:c r="V1326" s="58" t="str">
        <x:v>Pasted text(59).txt</x:v>
      </x:c>
    </x:row>
    <x:row r="1327">
      <x:c r="A1327" s="58" t="str">
        <x:v>S14</x:v>
      </x:c>
      <x:c r="B1327" s="58" t="str">
        <x:v>1.15 validation at 272 Hz</x:v>
      </x:c>
      <x:c r="C1327" s="58" t="n">
        <x:v>1.15</x:v>
      </x:c>
      <x:c r="D1327" s="58" t="n">
        <x:v>2</x:v>
      </x:c>
      <x:c r="E1327" s="58" t="n">
        <x:v>1</x:v>
      </x:c>
      <x:c r="F1327" s="58" t="str">
        <x:v>SEARCH</x:v>
      </x:c>
      <x:c r="G1327" s="58" t="n">
        <x:v>1</x:v>
      </x:c>
      <x:c r="H1327" s="59" t="n">
        <x:v>1</x:v>
      </x:c>
      <x:c r="I1327" s="59" t="n">
        <x:v>0.02018</x:v>
      </x:c>
      <x:c r="J1327" s="59" t="n">
        <x:v>0.01706</x:v>
      </x:c>
      <x:c r="K1327" s="59" t="n">
        <x:v>0.01385</x:v>
      </x:c>
      <x:c r="L1327" s="59" t="n">
        <x:v>0.01109</x:v>
      </x:c>
      <x:c r="M1327" s="59" t="n">
        <x:v>0.02668</x:v>
      </x:c>
      <x:c r="N1327" s="60" t="n">
        <x:v>-98.25</x:v>
      </x:c>
      <x:c r="O1327" s="60" t="n">
        <x:v>37.49</x:v>
      </x:c>
      <x:c r="P1327" s="60" t="n">
        <x:v>59.47</x:v>
      </x:c>
      <x:c r="Q1327" s="60" t="n">
        <x:v>5.1</x:v>
      </x:c>
      <x:c r="R1327" s="58" t="str">
        <x:v>X</x:v>
      </x:c>
      <x:c r="S1327" s="60" t="n">
        <x:v>100</x:v>
      </x:c>
      <x:c r="T1327" s="58" t="str">
        <x:v>BELOW MEASUREMENT FLOOR — SEARCH CONTINUES</x:v>
      </x:c>
      <x:c r="U1327" s="58" t="n">
        <x:v>1061</x:v>
      </x:c>
      <x:c r="V1327" s="58" t="str">
        <x:v>Pasted text(59).txt</x:v>
      </x:c>
    </x:row>
    <x:row r="1328">
      <x:c r="A1328" s="58" t="str">
        <x:v>S14</x:v>
      </x:c>
      <x:c r="B1328" s="58" t="str">
        <x:v>1.15 validation at 272 Hz</x:v>
      </x:c>
      <x:c r="C1328" s="58" t="n">
        <x:v>1.15</x:v>
      </x:c>
      <x:c r="D1328" s="58" t="n">
        <x:v>2</x:v>
      </x:c>
      <x:c r="E1328" s="58" t="n">
        <x:v>1</x:v>
      </x:c>
      <x:c r="F1328" s="58" t="str">
        <x:v>SEARCH</x:v>
      </x:c>
      <x:c r="G1328" s="58" t="n">
        <x:v>2</x:v>
      </x:c>
      <x:c r="H1328" s="59" t="n">
        <x:v>3</x:v>
      </x:c>
      <x:c r="I1328" s="59" t="n">
        <x:v>0.21309</x:v>
      </x:c>
      <x:c r="J1328" s="59" t="n">
        <x:v>0.20927</x:v>
      </x:c>
      <x:c r="K1328" s="59" t="n">
        <x:v>0.10649</x:v>
      </x:c>
      <x:c r="L1328" s="59" t="n">
        <x:v>0.0449</x:v>
      </x:c>
      <x:c r="M1328" s="59" t="n">
        <x:v>0.23954</x:v>
      </x:c>
      <x:c r="N1328" s="60" t="n">
        <x:v>-81.47</x:v>
      </x:c>
      <x:c r="O1328" s="60" t="n">
        <x:v>8.41</x:v>
      </x:c>
      <x:c r="P1328" s="60" t="n">
        <x:v>8.66</x:v>
      </x:c>
      <x:c r="Q1328" s="60" t="n">
        <x:v>31.3</x:v>
      </x:c>
      <x:c r="R1328" s="58" t="str">
        <x:v>X</x:v>
      </x:c>
      <x:c r="S1328" s="60" t="n">
        <x:v>100</x:v>
      </x:c>
      <x:c r="T1328" s="58" t="str">
        <x:v>UNSTABLE — SEARCH CONTINUES</x:v>
      </x:c>
      <x:c r="U1328" s="58" t="n">
        <x:v>1062</x:v>
      </x:c>
      <x:c r="V1328" s="58" t="str">
        <x:v>Pasted text(59).txt</x:v>
      </x:c>
    </x:row>
    <x:row r="1329">
      <x:c r="A1329" s="58" t="str">
        <x:v>S14</x:v>
      </x:c>
      <x:c r="B1329" s="58" t="str">
        <x:v>1.15 validation at 272 Hz</x:v>
      </x:c>
      <x:c r="C1329" s="58" t="n">
        <x:v>1.15</x:v>
      </x:c>
      <x:c r="D1329" s="58" t="n">
        <x:v>2</x:v>
      </x:c>
      <x:c r="E1329" s="58" t="n">
        <x:v>1</x:v>
      </x:c>
      <x:c r="F1329" s="58" t="str">
        <x:v>SEARCH</x:v>
      </x:c>
      <x:c r="G1329" s="58" t="n">
        <x:v>3</x:v>
      </x:c>
      <x:c r="H1329" s="59" t="n">
        <x:v>5</x:v>
      </x:c>
      <x:c r="I1329" s="59" t="n">
        <x:v>0.41582</x:v>
      </x:c>
      <x:c r="J1329" s="59" t="n">
        <x:v>0.41143</x:v>
      </x:c>
      <x:c r="K1329" s="59" t="n">
        <x:v>0.22937</x:v>
      </x:c>
      <x:c r="L1329" s="59" t="n">
        <x:v>0.13555</x:v>
      </x:c>
      <x:c r="M1329" s="59" t="n">
        <x:v>0.49126</x:v>
      </x:c>
      <x:c r="N1329" s="60" t="n">
        <x:v>-63.84</x:v>
      </x:c>
      <x:c r="O1329" s="60" t="n">
        <x:v>6.1</x:v>
      </x:c>
      <x:c r="P1329" s="60" t="n">
        <x:v>5.83</x:v>
      </x:c>
      <x:c r="Q1329" s="60" t="n">
        <x:v>55.4</x:v>
      </x:c>
      <x:c r="R1329" s="58" t="str">
        <x:v>X</x:v>
      </x:c>
      <x:c r="S1329" s="60" t="n">
        <x:v>100</x:v>
      </x:c>
      <x:c r="T1329" s="58" t="str">
        <x:v>VALID</x:v>
      </x:c>
      <x:c r="U1329" s="58" t="n">
        <x:v>1063</x:v>
      </x:c>
      <x:c r="V1329" s="58" t="str">
        <x:v>Pasted text(59).txt</x:v>
      </x:c>
    </x:row>
    <x:row r="1330">
      <x:c r="A1330" s="58" t="str">
        <x:v>S14</x:v>
      </x:c>
      <x:c r="B1330" s="58" t="str">
        <x:v>1.15 validation at 272 Hz</x:v>
      </x:c>
      <x:c r="C1330" s="58" t="n">
        <x:v>1.15</x:v>
      </x:c>
      <x:c r="D1330" s="58" t="n">
        <x:v>2</x:v>
      </x:c>
      <x:c r="E1330" s="58" t="n">
        <x:v>1</x:v>
      </x:c>
      <x:c r="F1330" s="58" t="str">
        <x:v>SEARCH</x:v>
      </x:c>
      <x:c r="G1330" s="58" t="n">
        <x:v>4</x:v>
      </x:c>
      <x:c r="H1330" s="59" t="n">
        <x:v>6</x:v>
      </x:c>
      <x:c r="I1330" s="59" t="n">
        <x:v>0.53195</x:v>
      </x:c>
      <x:c r="J1330" s="59" t="n">
        <x:v>0.53121</x:v>
      </x:c>
      <x:c r="K1330" s="59" t="n">
        <x:v>0.27513</x:v>
      </x:c>
      <x:c r="L1330" s="59" t="n">
        <x:v>0.1536</x:v>
      </x:c>
      <x:c r="M1330" s="59" t="n">
        <x:v>0.6184</x:v>
      </x:c>
      <x:c r="N1330" s="60" t="n">
        <x:v>-53.74</x:v>
      </x:c>
      <x:c r="O1330" s="60" t="n">
        <x:v>0.1</x:v>
      </x:c>
      <x:c r="P1330" s="60" t="n">
        <x:v>0.3</x:v>
      </x:c>
      <x:c r="Q1330" s="60" t="n">
        <x:v>65.7</x:v>
      </x:c>
      <x:c r="R1330" s="58" t="str">
        <x:v>X</x:v>
      </x:c>
      <x:c r="S1330" s="60" t="n">
        <x:v>100</x:v>
      </x:c>
      <x:c r="T1330" s="58" t="str">
        <x:v>VALID</x:v>
      </x:c>
      <x:c r="U1330" s="58" t="n">
        <x:v>1064</x:v>
      </x:c>
      <x:c r="V1330" s="58" t="str">
        <x:v>Pasted text(59).txt</x:v>
      </x:c>
    </x:row>
    <x:row r="1331">
      <x:c r="A1331" s="58" t="str">
        <x:v>S14</x:v>
      </x:c>
      <x:c r="B1331" s="58" t="str">
        <x:v>1.15 validation at 272 Hz</x:v>
      </x:c>
      <x:c r="C1331" s="58" t="n">
        <x:v>1.15</x:v>
      </x:c>
      <x:c r="D1331" s="58" t="n">
        <x:v>2</x:v>
      </x:c>
      <x:c r="E1331" s="58" t="n">
        <x:v>1</x:v>
      </x:c>
      <x:c r="F1331" s="58" t="str">
        <x:v>SEARCH</x:v>
      </x:c>
      <x:c r="G1331" s="58" t="n">
        <x:v>5</x:v>
      </x:c>
      <x:c r="H1331" s="59" t="n">
        <x:v>7</x:v>
      </x:c>
      <x:c r="I1331" s="59" t="n">
        <x:v>0.63583</x:v>
      </x:c>
      <x:c r="J1331" s="59" t="n">
        <x:v>0.65055</x:v>
      </x:c>
      <x:c r="K1331" s="59" t="n">
        <x:v>0.33384</x:v>
      </x:c>
      <x:c r="L1331" s="59" t="n">
        <x:v>0.16757</x:v>
      </x:c>
      <x:c r="M1331" s="59" t="n">
        <x:v>0.75035</x:v>
      </x:c>
      <x:c r="N1331" s="60" t="n">
        <x:v>-44.71</x:v>
      </x:c>
      <x:c r="O1331" s="60" t="n">
        <x:v>0.12</x:v>
      </x:c>
      <x:c r="P1331" s="60" t="n">
        <x:v>3.98</x:v>
      </x:c>
      <x:c r="Q1331" s="60" t="n">
        <x:v>75.2</x:v>
      </x:c>
      <x:c r="R1331" s="58" t="str">
        <x:v>X</x:v>
      </x:c>
      <x:c r="S1331" s="60" t="n">
        <x:v>100</x:v>
      </x:c>
      <x:c r="T1331" s="58" t="str">
        <x:v>VALID</x:v>
      </x:c>
      <x:c r="U1331" s="58" t="n">
        <x:v>1065</x:v>
      </x:c>
      <x:c r="V1331" s="58" t="str">
        <x:v>Pasted text(59).txt</x:v>
      </x:c>
    </x:row>
    <x:row r="1332">
      <x:c r="A1332" s="58" t="str">
        <x:v>S14</x:v>
      </x:c>
      <x:c r="B1332" s="58" t="str">
        <x:v>1.15 validation at 272 Hz</x:v>
      </x:c>
      <x:c r="C1332" s="58" t="n">
        <x:v>1.15</x:v>
      </x:c>
      <x:c r="D1332" s="58" t="n">
        <x:v>2</x:v>
      </x:c>
      <x:c r="E1332" s="58" t="n">
        <x:v>1</x:v>
      </x:c>
      <x:c r="F1332" s="58" t="str">
        <x:v>SEARCH</x:v>
      </x:c>
      <x:c r="G1332" s="58" t="n">
        <x:v>6</x:v>
      </x:c>
      <x:c r="H1332" s="59" t="n">
        <x:v>8</x:v>
      </x:c>
      <x:c r="I1332" s="59" t="n">
        <x:v>0.74985</x:v>
      </x:c>
      <x:c r="J1332" s="59" t="n">
        <x:v>0.75023</x:v>
      </x:c>
      <x:c r="K1332" s="59" t="n">
        <x:v>0.4033</x:v>
      </x:c>
      <x:c r="L1332" s="59" t="n">
        <x:v>0.20441</x:v>
      </x:c>
      <x:c r="M1332" s="59" t="n">
        <x:v>0.87638</x:v>
      </x:c>
      <x:c r="N1332" s="60" t="n">
        <x:v>-34.8</x:v>
      </x:c>
      <x:c r="O1332" s="60" t="n">
        <x:v>0.74</x:v>
      </x:c>
      <x:c r="P1332" s="60" t="n">
        <x:v>0.58</x:v>
      </x:c>
      <x:c r="Q1332" s="60" t="n">
        <x:v>77.2</x:v>
      </x:c>
      <x:c r="R1332" s="58" t="str">
        <x:v>X</x:v>
      </x:c>
      <x:c r="S1332" s="60" t="n">
        <x:v>100</x:v>
      </x:c>
      <x:c r="T1332" s="58" t="str">
        <x:v>VALID</x:v>
      </x:c>
      <x:c r="U1332" s="58" t="n">
        <x:v>1066</x:v>
      </x:c>
      <x:c r="V1332" s="58" t="str">
        <x:v>Pasted text(59).txt</x:v>
      </x:c>
    </x:row>
    <x:row r="1333">
      <x:c r="A1333" s="58" t="str">
        <x:v>S14</x:v>
      </x:c>
      <x:c r="B1333" s="58" t="str">
        <x:v>1.15 validation at 272 Hz</x:v>
      </x:c>
      <x:c r="C1333" s="58" t="n">
        <x:v>1.15</x:v>
      </x:c>
      <x:c r="D1333" s="58" t="n">
        <x:v>2</x:v>
      </x:c>
      <x:c r="E1333" s="58" t="n">
        <x:v>1</x:v>
      </x:c>
      <x:c r="F1333" s="58" t="str">
        <x:v>SEARCH</x:v>
      </x:c>
      <x:c r="G1333" s="58" t="n">
        <x:v>7</x:v>
      </x:c>
      <x:c r="H1333" s="59" t="n">
        <x:v>8.5</x:v>
      </x:c>
      <x:c r="I1333" s="59" t="n">
        <x:v>0.78838</x:v>
      </x:c>
      <x:c r="J1333" s="59" t="n">
        <x:v>0.7894</x:v>
      </x:c>
      <x:c r="K1333" s="59" t="n">
        <x:v>0.41213</x:v>
      </x:c>
      <x:c r="L1333" s="59" t="n">
        <x:v>0.20733</x:v>
      </x:c>
      <x:c r="M1333" s="59" t="n">
        <x:v>0.91465</x:v>
      </x:c>
      <x:c r="N1333" s="60" t="n">
        <x:v>-31.45</x:v>
      </x:c>
      <x:c r="O1333" s="60" t="n">
        <x:v>0.23</x:v>
      </x:c>
      <x:c r="P1333" s="60" t="n">
        <x:v>0.37</x:v>
      </x:c>
      <x:c r="Q1333" s="60" t="n">
        <x:v>82.7</x:v>
      </x:c>
      <x:c r="R1333" s="58" t="str">
        <x:v>X</x:v>
      </x:c>
      <x:c r="S1333" s="60" t="n">
        <x:v>100</x:v>
      </x:c>
      <x:c r="T1333" s="58" t="str">
        <x:v>VALID</x:v>
      </x:c>
      <x:c r="U1333" s="58" t="n">
        <x:v>1067</x:v>
      </x:c>
      <x:c r="V1333" s="58" t="str">
        <x:v>Pasted text(59).txt</x:v>
      </x:c>
    </x:row>
    <x:row r="1334">
      <x:c r="A1334" s="58" t="str">
        <x:v>S14</x:v>
      </x:c>
      <x:c r="B1334" s="58" t="str">
        <x:v>1.15 validation at 272 Hz</x:v>
      </x:c>
      <x:c r="C1334" s="58" t="n">
        <x:v>1.15</x:v>
      </x:c>
      <x:c r="D1334" s="58" t="n">
        <x:v>2</x:v>
      </x:c>
      <x:c r="E1334" s="58" t="n">
        <x:v>1</x:v>
      </x:c>
      <x:c r="F1334" s="58" t="str">
        <x:v>SEARCH</x:v>
      </x:c>
      <x:c r="G1334" s="58" t="n">
        <x:v>8</x:v>
      </x:c>
      <x:c r="H1334" s="59" t="n">
        <x:v>9</x:v>
      </x:c>
      <x:c r="I1334" s="59" t="n">
        <x:v>0.88009</x:v>
      </x:c>
      <x:c r="J1334" s="59" t="n">
        <x:v>0.87516</x:v>
      </x:c>
      <x:c r="K1334" s="59" t="n">
        <x:v>0.44117</x:v>
      </x:c>
      <x:c r="L1334" s="59" t="n">
        <x:v>0.1945</x:v>
      </x:c>
      <x:c r="M1334" s="59" t="n">
        <x:v>0.99932</x:v>
      </x:c>
      <x:c r="N1334" s="60" t="n">
        <x:v>-23.47</x:v>
      </x:c>
      <x:c r="O1334" s="60" t="n">
        <x:v>1.56</x:v>
      </x:c>
      <x:c r="P1334" s="60" t="n">
        <x:v>1.96</x:v>
      </x:c>
      <x:c r="Q1334" s="60" t="n">
        <x:v>81.6</x:v>
      </x:c>
      <x:c r="R1334" s="58" t="str">
        <x:v>X</x:v>
      </x:c>
      <x:c r="S1334" s="60" t="n">
        <x:v>100</x:v>
      </x:c>
      <x:c r="T1334" s="58" t="str">
        <x:v>VALID</x:v>
      </x:c>
      <x:c r="U1334" s="58" t="n">
        <x:v>1068</x:v>
      </x:c>
      <x:c r="V1334" s="58" t="str">
        <x:v>Pasted text(59).txt</x:v>
      </x:c>
    </x:row>
    <x:row r="1335">
      <x:c r="A1335" s="58" t="str">
        <x:v>S14</x:v>
      </x:c>
      <x:c r="B1335" s="58" t="str">
        <x:v>1.15 validation at 272 Hz</x:v>
      </x:c>
      <x:c r="C1335" s="58" t="n">
        <x:v>1.15</x:v>
      </x:c>
      <x:c r="D1335" s="58" t="n">
        <x:v>2</x:v>
      </x:c>
      <x:c r="E1335" s="58" t="n">
        <x:v>1</x:v>
      </x:c>
      <x:c r="F1335" s="58" t="str">
        <x:v>SEARCH</x:v>
      </x:c>
      <x:c r="G1335" s="58" t="n">
        <x:v>9</x:v>
      </x:c>
      <x:c r="H1335" s="59" t="n">
        <x:v>9.5</x:v>
      </x:c>
      <x:c r="I1335" s="59" t="n">
        <x:v>0.89857</x:v>
      </x:c>
      <x:c r="J1335" s="59" t="n">
        <x:v>0.89431</x:v>
      </x:c>
      <x:c r="K1335" s="59" t="n">
        <x:v>0.48132</x:v>
      </x:c>
      <x:c r="L1335" s="59" t="n">
        <x:v>0.22734</x:v>
      </x:c>
      <x:c r="M1335" s="59" t="n">
        <x:v>1.04104</x:v>
      </x:c>
      <x:c r="N1335" s="60" t="n">
        <x:v>-21.86</x:v>
      </x:c>
      <x:c r="O1335" s="60" t="n">
        <x:v>3.1</x:v>
      </x:c>
      <x:c r="P1335" s="60" t="n">
        <x:v>2.84</x:v>
      </x:c>
      <x:c r="Q1335" s="60" t="n">
        <x:v>84</x:v>
      </x:c>
      <x:c r="R1335" s="58" t="str">
        <x:v>X</x:v>
      </x:c>
      <x:c r="S1335" s="60" t="n">
        <x:v>100</x:v>
      </x:c>
      <x:c r="T1335" s="58" t="str">
        <x:v>VALID</x:v>
      </x:c>
      <x:c r="U1335" s="58" t="n">
        <x:v>1069</x:v>
      </x:c>
      <x:c r="V1335" s="58" t="str">
        <x:v>Pasted text(59).txt</x:v>
      </x:c>
    </x:row>
    <x:row r="1336">
      <x:c r="A1336" s="58" t="str">
        <x:v>S14</x:v>
      </x:c>
      <x:c r="B1336" s="58" t="str">
        <x:v>1.15 validation at 272 Hz</x:v>
      </x:c>
      <x:c r="C1336" s="58" t="n">
        <x:v>1.15</x:v>
      </x:c>
      <x:c r="D1336" s="58" t="n">
        <x:v>2</x:v>
      </x:c>
      <x:c r="E1336" s="58" t="n">
        <x:v>1</x:v>
      </x:c>
      <x:c r="F1336" s="58" t="str">
        <x:v>SEARCH</x:v>
      </x:c>
      <x:c r="G1336" s="58" t="n">
        <x:v>10</x:v>
      </x:c>
      <x:c r="H1336" s="59" t="n">
        <x:v>10</x:v>
      </x:c>
      <x:c r="I1336" s="59" t="n">
        <x:v>0.98485</x:v>
      </x:c>
      <x:c r="J1336" s="59" t="n">
        <x:v>0.98803</x:v>
      </x:c>
      <x:c r="K1336" s="59" t="n">
        <x:v>0.51681</x:v>
      </x:c>
      <x:c r="L1336" s="59" t="n">
        <x:v>0.21659</x:v>
      </x:c>
      <x:c r="M1336" s="59" t="n">
        <x:v>1.13621</x:v>
      </x:c>
      <x:c r="N1336" s="60" t="n">
        <x:v>-14.36</x:v>
      </x:c>
      <x:c r="O1336" s="60" t="n">
        <x:v>0.43</x:v>
      </x:c>
      <x:c r="P1336" s="60" t="n">
        <x:v>0.82</x:v>
      </x:c>
      <x:c r="Q1336" s="60" t="n">
        <x:v>83.7</x:v>
      </x:c>
      <x:c r="R1336" s="58" t="str">
        <x:v>X</x:v>
      </x:c>
      <x:c r="S1336" s="60" t="n">
        <x:v>100</x:v>
      </x:c>
      <x:c r="T1336" s="58" t="str">
        <x:v>VALID</x:v>
      </x:c>
      <x:c r="U1336" s="58" t="n">
        <x:v>1070</x:v>
      </x:c>
      <x:c r="V1336" s="58" t="str">
        <x:v>Pasted text(59).txt</x:v>
      </x:c>
    </x:row>
    <x:row r="1337">
      <x:c r="A1337" s="58" t="str">
        <x:v>S14</x:v>
      </x:c>
      <x:c r="B1337" s="58" t="str">
        <x:v>1.15 validation at 272 Hz</x:v>
      </x:c>
      <x:c r="C1337" s="58" t="n">
        <x:v>1.15</x:v>
      </x:c>
      <x:c r="D1337" s="58" t="n">
        <x:v>2</x:v>
      </x:c>
      <x:c r="E1337" s="58" t="n">
        <x:v>1</x:v>
      </x:c>
      <x:c r="F1337" s="58" t="str">
        <x:v>SEARCH</x:v>
      </x:c>
      <x:c r="G1337" s="58" t="n">
        <x:v>11</x:v>
      </x:c>
      <x:c r="H1337" s="59" t="n">
        <x:v>10.25</x:v>
      </x:c>
      <x:c r="I1337" s="59" t="n">
        <x:v>1.03972</x:v>
      </x:c>
      <x:c r="J1337" s="59" t="n">
        <x:v>1.03066</x:v>
      </x:c>
      <x:c r="K1337" s="59" t="n">
        <x:v>0.53821</x:v>
      </x:c>
      <x:c r="L1337" s="59" t="n">
        <x:v>0.24119</x:v>
      </x:c>
      <x:c r="M1337" s="59" t="n">
        <x:v>1.18765</x:v>
      </x:c>
      <x:c r="N1337" s="60" t="n">
        <x:v>-9.59</x:v>
      </x:c>
      <x:c r="O1337" s="60" t="n">
        <x:v>0.13</x:v>
      </x:c>
      <x:c r="P1337" s="60" t="n">
        <x:v>1.6</x:v>
      </x:c>
      <x:c r="Q1337" s="60" t="n">
        <x:v>87.8</x:v>
      </x:c>
      <x:c r="R1337" s="58" t="str">
        <x:v>X</x:v>
      </x:c>
      <x:c r="S1337" s="60" t="n">
        <x:v>100</x:v>
      </x:c>
      <x:c r="T1337" s="58" t="str">
        <x:v>VALID</x:v>
      </x:c>
      <x:c r="U1337" s="58" t="n">
        <x:v>1071</x:v>
      </x:c>
      <x:c r="V1337" s="58" t="str">
        <x:v>Pasted text(59).txt</x:v>
      </x:c>
    </x:row>
    <x:row r="1338">
      <x:c r="A1338" s="58" t="str">
        <x:v>S14</x:v>
      </x:c>
      <x:c r="B1338" s="58" t="str">
        <x:v>1.15 validation at 272 Hz</x:v>
      </x:c>
      <x:c r="C1338" s="58" t="n">
        <x:v>1.15</x:v>
      </x:c>
      <x:c r="D1338" s="58" t="n">
        <x:v>2</x:v>
      </x:c>
      <x:c r="E1338" s="58" t="n">
        <x:v>1</x:v>
      </x:c>
      <x:c r="F1338" s="58" t="str">
        <x:v>SEARCH</x:v>
      </x:c>
      <x:c r="G1338" s="58" t="n">
        <x:v>12</x:v>
      </x:c>
      <x:c r="H1338" s="59" t="n">
        <x:v>10.5</x:v>
      </x:c>
      <x:c r="I1338" s="59" t="n">
        <x:v>1.03488</x:v>
      </x:c>
      <x:c r="J1338" s="59" t="n">
        <x:v>1.03703</x:v>
      </x:c>
      <x:c r="K1338" s="59" t="n">
        <x:v>0.5469</x:v>
      </x:c>
      <x:c r="L1338" s="59" t="n">
        <x:v>0.25768</x:v>
      </x:c>
      <x:c r="M1338" s="59" t="n">
        <x:v>1.2006</x:v>
      </x:c>
      <x:c r="N1338" s="60" t="n">
        <x:v>-10.01</x:v>
      </x:c>
      <x:c r="O1338" s="60" t="n">
        <x:v>2.51</x:v>
      </x:c>
      <x:c r="P1338" s="60" t="n">
        <x:v>2.01</x:v>
      </x:c>
      <x:c r="Q1338" s="60" t="n">
        <x:v>89.2</x:v>
      </x:c>
      <x:c r="R1338" s="58" t="str">
        <x:v>X</x:v>
      </x:c>
      <x:c r="S1338" s="60" t="n">
        <x:v>100</x:v>
      </x:c>
      <x:c r="T1338" s="58" t="str">
        <x:v>VALID</x:v>
      </x:c>
      <x:c r="U1338" s="58" t="n">
        <x:v>1072</x:v>
      </x:c>
      <x:c r="V1338" s="58" t="str">
        <x:v>Pasted text(59).txt</x:v>
      </x:c>
    </x:row>
    <x:row r="1339">
      <x:c r="A1339" s="58" t="str">
        <x:v>S14</x:v>
      </x:c>
      <x:c r="B1339" s="58" t="str">
        <x:v>1.15 validation at 272 Hz</x:v>
      </x:c>
      <x:c r="C1339" s="58" t="n">
        <x:v>1.15</x:v>
      </x:c>
      <x:c r="D1339" s="58" t="n">
        <x:v>2</x:v>
      </x:c>
      <x:c r="E1339" s="58" t="n">
        <x:v>1</x:v>
      </x:c>
      <x:c r="F1339" s="58" t="str">
        <x:v>SEARCH</x:v>
      </x:c>
      <x:c r="G1339" s="58" t="n">
        <x:v>13</x:v>
      </x:c>
      <x:c r="H1339" s="59" t="n">
        <x:v>10.75</x:v>
      </x:c>
      <x:c r="I1339" s="59" t="n">
        <x:v>1.08134</x:v>
      </x:c>
      <x:c r="J1339" s="59" t="n">
        <x:v>1.08309</x:v>
      </x:c>
      <x:c r="K1339" s="59" t="n">
        <x:v>0.529</x:v>
      </x:c>
      <x:c r="L1339" s="59" t="n">
        <x:v>0.25896</x:v>
      </x:c>
      <x:c r="M1339" s="59" t="n">
        <x:v>1.23323</x:v>
      </x:c>
      <x:c r="N1339" s="60" t="n">
        <x:v>-5.97</x:v>
      </x:c>
      <x:c r="O1339" s="60" t="n">
        <x:v>1.37</x:v>
      </x:c>
      <x:c r="P1339" s="60" t="n">
        <x:v>1.17</x:v>
      </x:c>
      <x:c r="Q1339" s="60" t="n">
        <x:v>85.7</x:v>
      </x:c>
      <x:c r="R1339" s="58" t="str">
        <x:v>X</x:v>
      </x:c>
      <x:c r="S1339" s="60" t="n">
        <x:v>100</x:v>
      </x:c>
      <x:c r="T1339" s="58" t="str">
        <x:v>IN TARGET BAND</x:v>
      </x:c>
      <x:c r="U1339" s="58" t="n">
        <x:v>1073</x:v>
      </x:c>
      <x:c r="V1339" s="58" t="str">
        <x:v>Pasted text(59).txt</x:v>
      </x:c>
    </x:row>
    <x:row r="1340">
      <x:c r="A1340" s="58" t="str">
        <x:v>S14</x:v>
      </x:c>
      <x:c r="B1340" s="58" t="str">
        <x:v>1.15 validation at 272 Hz</x:v>
      </x:c>
      <x:c r="C1340" s="58" t="n">
        <x:v>1.15</x:v>
      </x:c>
      <x:c r="D1340" s="58" t="n">
        <x:v>2</x:v>
      </x:c>
      <x:c r="E1340" s="58" t="n">
        <x:v>1</x:v>
      </x:c>
      <x:c r="F1340" s="58" t="str">
        <x:v>FINE</x:v>
      </x:c>
      <x:c r="G1340" s="58" t="n">
        <x:v>1</x:v>
      </x:c>
      <x:c r="H1340" s="59" t="n">
        <x:v>9.75</x:v>
      </x:c>
      <x:c r="I1340" s="59" t="n">
        <x:v>0.97959</x:v>
      </x:c>
      <x:c r="J1340" s="59" t="n">
        <x:v>0.97963</x:v>
      </x:c>
      <x:c r="K1340" s="59" t="n">
        <x:v>0.479</x:v>
      </x:c>
      <x:c r="L1340" s="59" t="n">
        <x:v>0.24095</x:v>
      </x:c>
      <x:c r="M1340" s="59" t="n">
        <x:v>1.11697</x:v>
      </x:c>
      <x:c r="N1340" s="60" t="n">
        <x:v>-14.82</x:v>
      </x:c>
      <x:c r="O1340" s="60" t="n">
        <x:v>0.06</x:v>
      </x:c>
      <x:c r="P1340" s="60" t="n">
        <x:v>0.05</x:v>
      </x:c>
      <x:c r="Q1340" s="60" t="n">
        <x:v>83.8</x:v>
      </x:c>
      <x:c r="R1340" s="58" t="str">
        <x:v>X</x:v>
      </x:c>
      <x:c r="S1340" s="60" t="n">
        <x:v>100</x:v>
      </x:c>
      <x:c r="T1340" s="58" t="str">
        <x:v>VALID</x:v>
      </x:c>
      <x:c r="U1340" s="58" t="n">
        <x:v>1077</x:v>
      </x:c>
      <x:c r="V1340" s="58" t="str">
        <x:v>Pasted text(59).txt</x:v>
      </x:c>
    </x:row>
    <x:row r="1341">
      <x:c r="A1341" s="58" t="str">
        <x:v>S14</x:v>
      </x:c>
      <x:c r="B1341" s="58" t="str">
        <x:v>1.15 validation at 272 Hz</x:v>
      </x:c>
      <x:c r="C1341" s="58" t="n">
        <x:v>1.15</x:v>
      </x:c>
      <x:c r="D1341" s="58" t="n">
        <x:v>2</x:v>
      </x:c>
      <x:c r="E1341" s="58" t="n">
        <x:v>1</x:v>
      </x:c>
      <x:c r="F1341" s="58" t="str">
        <x:v>FINE</x:v>
      </x:c>
      <x:c r="G1341" s="58" t="n">
        <x:v>2</x:v>
      </x:c>
      <x:c r="H1341" s="59" t="n">
        <x:v>10</x:v>
      </x:c>
      <x:c r="I1341" s="59" t="n">
        <x:v>1.00221</x:v>
      </x:c>
      <x:c r="J1341" s="59" t="n">
        <x:v>1.00112</x:v>
      </x:c>
      <x:c r="K1341" s="59" t="n">
        <x:v>0.50052</x:v>
      </x:c>
      <x:c r="L1341" s="59" t="n">
        <x:v>0.24021</x:v>
      </x:c>
      <x:c r="M1341" s="59" t="n">
        <x:v>1.14509</x:v>
      </x:c>
      <x:c r="N1341" s="60" t="n">
        <x:v>-12.85</x:v>
      </x:c>
      <x:c r="O1341" s="60" t="n">
        <x:v>0.68</x:v>
      </x:c>
      <x:c r="P1341" s="60" t="n">
        <x:v>0.63</x:v>
      </x:c>
      <x:c r="Q1341" s="60" t="n">
        <x:v>84.5</x:v>
      </x:c>
      <x:c r="R1341" s="58" t="str">
        <x:v>X</x:v>
      </x:c>
      <x:c r="S1341" s="60" t="n">
        <x:v>100</x:v>
      </x:c>
      <x:c r="T1341" s="58" t="str">
        <x:v>VALID</x:v>
      </x:c>
      <x:c r="U1341" s="58" t="n">
        <x:v>1078</x:v>
      </x:c>
      <x:c r="V1341" s="58" t="str">
        <x:v>Pasted text(59).txt</x:v>
      </x:c>
    </x:row>
    <x:row r="1342">
      <x:c r="A1342" s="58" t="str">
        <x:v>S14</x:v>
      </x:c>
      <x:c r="B1342" s="58" t="str">
        <x:v>1.15 validation at 272 Hz</x:v>
      </x:c>
      <x:c r="C1342" s="58" t="n">
        <x:v>1.15</x:v>
      </x:c>
      <x:c r="D1342" s="58" t="n">
        <x:v>2</x:v>
      </x:c>
      <x:c r="E1342" s="58" t="n">
        <x:v>1</x:v>
      </x:c>
      <x:c r="F1342" s="58" t="str">
        <x:v>FINE</x:v>
      </x:c>
      <x:c r="G1342" s="58" t="n">
        <x:v>3</x:v>
      </x:c>
      <x:c r="H1342" s="59" t="n">
        <x:v>10.25</x:v>
      </x:c>
      <x:c r="I1342" s="59" t="n">
        <x:v>1.01158</x:v>
      </x:c>
      <x:c r="J1342" s="59" t="n">
        <x:v>1.01168</x:v>
      </x:c>
      <x:c r="K1342" s="59" t="n">
        <x:v>0.51783</x:v>
      </x:c>
      <x:c r="L1342" s="59" t="n">
        <x:v>0.23191</x:v>
      </x:c>
      <x:c r="M1342" s="59" t="n">
        <x:v>1.16003</x:v>
      </x:c>
      <x:c r="N1342" s="60" t="n">
        <x:v>-12.04</x:v>
      </x:c>
      <x:c r="O1342" s="60" t="n">
        <x:v>0.69</x:v>
      </x:c>
      <x:c r="P1342" s="60" t="n">
        <x:v>0.48</x:v>
      </x:c>
      <x:c r="Q1342" s="60" t="n">
        <x:v>86.8</x:v>
      </x:c>
      <x:c r="R1342" s="58" t="str">
        <x:v>X</x:v>
      </x:c>
      <x:c r="S1342" s="60" t="n">
        <x:v>100</x:v>
      </x:c>
      <x:c r="T1342" s="58" t="str">
        <x:v>VALID</x:v>
      </x:c>
      <x:c r="U1342" s="58" t="n">
        <x:v>1079</x:v>
      </x:c>
      <x:c r="V1342" s="58" t="str">
        <x:v>Pasted text(59).txt</x:v>
      </x:c>
    </x:row>
    <x:row r="1343">
      <x:c r="A1343" s="58" t="str">
        <x:v>S14</x:v>
      </x:c>
      <x:c r="B1343" s="58" t="str">
        <x:v>1.15 validation at 272 Hz</x:v>
      </x:c>
      <x:c r="C1343" s="58" t="n">
        <x:v>1.15</x:v>
      </x:c>
      <x:c r="D1343" s="58" t="n">
        <x:v>2</x:v>
      </x:c>
      <x:c r="E1343" s="58" t="n">
        <x:v>1</x:v>
      </x:c>
      <x:c r="F1343" s="58" t="str">
        <x:v>FINE</x:v>
      </x:c>
      <x:c r="G1343" s="58" t="n">
        <x:v>4</x:v>
      </x:c>
      <x:c r="H1343" s="59" t="n">
        <x:v>10.5</x:v>
      </x:c>
      <x:c r="I1343" s="59" t="n">
        <x:v>1.01622</x:v>
      </x:c>
      <x:c r="J1343" s="59" t="n">
        <x:v>1.03641</x:v>
      </x:c>
      <x:c r="K1343" s="59" t="n">
        <x:v>0.53005</x:v>
      </x:c>
      <x:c r="L1343" s="59" t="n">
        <x:v>0.24984</x:v>
      </x:c>
      <x:c r="M1343" s="59" t="n">
        <x:v>1.19109</x:v>
      </x:c>
      <x:c r="N1343" s="60" t="n">
        <x:v>-11.63</x:v>
      </x:c>
      <x:c r="O1343" s="60" t="n">
        <x:v>0.16</x:v>
      </x:c>
      <x:c r="P1343" s="60" t="n">
        <x:v>3.46</x:v>
      </x:c>
      <x:c r="Q1343" s="60" t="n">
        <x:v>88.8</x:v>
      </x:c>
      <x:c r="R1343" s="58" t="str">
        <x:v>X</x:v>
      </x:c>
      <x:c r="S1343" s="60" t="n">
        <x:v>100</x:v>
      </x:c>
      <x:c r="T1343" s="58" t="str">
        <x:v>VALID</x:v>
      </x:c>
      <x:c r="U1343" s="58" t="n">
        <x:v>1080</x:v>
      </x:c>
      <x:c r="V1343" s="58" t="str">
        <x:v>Pasted text(59).txt</x:v>
      </x:c>
    </x:row>
    <x:row r="1344">
      <x:c r="A1344" s="58" t="str">
        <x:v>S14</x:v>
      </x:c>
      <x:c r="B1344" s="58" t="str">
        <x:v>1.15 validation at 272 Hz</x:v>
      </x:c>
      <x:c r="C1344" s="58" t="n">
        <x:v>1.15</x:v>
      </x:c>
      <x:c r="D1344" s="58" t="n">
        <x:v>2</x:v>
      </x:c>
      <x:c r="E1344" s="58" t="n">
        <x:v>1</x:v>
      </x:c>
      <x:c r="F1344" s="58" t="str">
        <x:v>FINE</x:v>
      </x:c>
      <x:c r="G1344" s="58" t="n">
        <x:v>5</x:v>
      </x:c>
      <x:c r="H1344" s="59" t="n">
        <x:v>10.75</x:v>
      </x:c>
      <x:c r="I1344" s="59" t="n">
        <x:v>1.10354</x:v>
      </x:c>
      <x:c r="J1344" s="59" t="n">
        <x:v>1.0928</x:v>
      </x:c>
      <x:c r="K1344" s="59" t="n">
        <x:v>0.5739</x:v>
      </x:c>
      <x:c r="L1344" s="59" t="n">
        <x:v>0.24976</x:v>
      </x:c>
      <x:c r="M1344" s="59" t="n">
        <x:v>1.25971</x:v>
      </x:c>
      <x:c r="N1344" s="60" t="n">
        <x:v>-4.04</x:v>
      </x:c>
      <x:c r="O1344" s="60" t="n">
        <x:v>0.38</x:v>
      </x:c>
      <x:c r="P1344" s="60" t="n">
        <x:v>1.93</x:v>
      </x:c>
      <x:c r="Q1344" s="60" t="n">
        <x:v>86.5</x:v>
      </x:c>
      <x:c r="R1344" s="58" t="str">
        <x:v>X</x:v>
      </x:c>
      <x:c r="S1344" s="60" t="n">
        <x:v>100</x:v>
      </x:c>
      <x:c r="T1344" s="58" t="str">
        <x:v>IN TARGET BAND</x:v>
      </x:c>
      <x:c r="U1344" s="58" t="n">
        <x:v>1081</x:v>
      </x:c>
      <x:c r="V1344" s="58" t="str">
        <x:v>Pasted text(59).txt</x:v>
      </x:c>
    </x:row>
    <x:row r="1345">
      <x:c r="A1345" s="58" t="str">
        <x:v>S14</x:v>
      </x:c>
      <x:c r="B1345" s="58" t="str">
        <x:v>1.15 validation at 272 Hz</x:v>
      </x:c>
      <x:c r="C1345" s="58" t="n">
        <x:v>1.15</x:v>
      </x:c>
      <x:c r="D1345" s="58" t="n">
        <x:v>2</x:v>
      </x:c>
      <x:c r="E1345" s="58" t="n">
        <x:v>1</x:v>
      </x:c>
      <x:c r="F1345" s="58" t="str">
        <x:v>FINE</x:v>
      </x:c>
      <x:c r="G1345" s="58" t="n">
        <x:v>6</x:v>
      </x:c>
      <x:c r="H1345" s="59" t="n">
        <x:v>11</x:v>
      </x:c>
      <x:c r="I1345" s="59" t="n">
        <x:v>1.13797</x:v>
      </x:c>
      <x:c r="J1345" s="59" t="n">
        <x:v>1.12649</x:v>
      </x:c>
      <x:c r="K1345" s="59" t="n">
        <x:v>0.57176</x:v>
      </x:c>
      <x:c r="L1345" s="59" t="n">
        <x:v>0.25866</x:v>
      </x:c>
      <x:c r="M1345" s="59" t="n">
        <x:v>1.29001</x:v>
      </x:c>
      <x:c r="N1345" s="60" t="n">
        <x:v>-1.05</x:v>
      </x:c>
      <x:c r="O1345" s="60" t="n">
        <x:v>0.23</x:v>
      </x:c>
      <x:c r="P1345" s="60" t="n">
        <x:v>1.9</x:v>
      </x:c>
      <x:c r="Q1345" s="60" t="n">
        <x:v>87.8</x:v>
      </x:c>
      <x:c r="R1345" s="58" t="str">
        <x:v>X</x:v>
      </x:c>
      <x:c r="S1345" s="60" t="n">
        <x:v>100</x:v>
      </x:c>
      <x:c r="T1345" s="58" t="str">
        <x:v>IN TARGET BAND</x:v>
      </x:c>
      <x:c r="U1345" s="58" t="n">
        <x:v>1082</x:v>
      </x:c>
      <x:c r="V1345" s="58" t="str">
        <x:v>Pasted text(59).txt</x:v>
      </x:c>
    </x:row>
    <x:row r="1346">
      <x:c r="A1346" s="58" t="str">
        <x:v>S14</x:v>
      </x:c>
      <x:c r="B1346" s="58" t="str">
        <x:v>1.15 validation at 272 Hz</x:v>
      </x:c>
      <x:c r="C1346" s="58" t="n">
        <x:v>1.15</x:v>
      </x:c>
      <x:c r="D1346" s="58" t="n">
        <x:v>2</x:v>
      </x:c>
      <x:c r="E1346" s="58" t="n">
        <x:v>1</x:v>
      </x:c>
      <x:c r="F1346" s="58" t="str">
        <x:v>FINE</x:v>
      </x:c>
      <x:c r="G1346" s="58" t="n">
        <x:v>7</x:v>
      </x:c>
      <x:c r="H1346" s="59" t="n">
        <x:v>11.25</x:v>
      </x:c>
      <x:c r="I1346" s="59" t="n">
        <x:v>1.14291</x:v>
      </x:c>
      <x:c r="J1346" s="59" t="n">
        <x:v>1.1414</x:v>
      </x:c>
      <x:c r="K1346" s="59" t="n">
        <x:v>0.58589</x:v>
      </x:c>
      <x:c r="L1346" s="59" t="n">
        <x:v>0.25786</x:v>
      </x:c>
      <x:c r="M1346" s="59" t="n">
        <x:v>1.30871</x:v>
      </x:c>
      <x:c r="N1346" s="60" t="n">
        <x:v>-0.62</x:v>
      </x:c>
      <x:c r="O1346" s="60" t="n">
        <x:v>1.07</x:v>
      </x:c>
      <x:c r="P1346" s="60" t="n">
        <x:v>0.93</x:v>
      </x:c>
      <x:c r="Q1346" s="60" t="n">
        <x:v>88</x:v>
      </x:c>
      <x:c r="R1346" s="58" t="str">
        <x:v>X</x:v>
      </x:c>
      <x:c r="S1346" s="60" t="n">
        <x:v>100</x:v>
      </x:c>
      <x:c r="T1346" s="58" t="str">
        <x:v>IN TARGET BAND</x:v>
      </x:c>
      <x:c r="U1346" s="58" t="n">
        <x:v>1083</x:v>
      </x:c>
      <x:c r="V1346" s="58" t="str">
        <x:v>Pasted text(59).txt</x:v>
      </x:c>
    </x:row>
    <x:row r="1347">
      <x:c r="A1347" s="58" t="str">
        <x:v>S14</x:v>
      </x:c>
      <x:c r="B1347" s="58" t="str">
        <x:v>1.15 validation at 272 Hz</x:v>
      </x:c>
      <x:c r="C1347" s="58" t="n">
        <x:v>1.15</x:v>
      </x:c>
      <x:c r="D1347" s="58" t="n">
        <x:v>2</x:v>
      </x:c>
      <x:c r="E1347" s="58" t="n">
        <x:v>1</x:v>
      </x:c>
      <x:c r="F1347" s="58" t="str">
        <x:v>FINE</x:v>
      </x:c>
      <x:c r="G1347" s="58" t="n">
        <x:v>8</x:v>
      </x:c>
      <x:c r="H1347" s="59" t="n">
        <x:v>11.5</x:v>
      </x:c>
      <x:c r="I1347" s="59" t="n">
        <x:v>1.16827</x:v>
      </x:c>
      <x:c r="J1347" s="59" t="n">
        <x:v>1.17018</x:v>
      </x:c>
      <x:c r="K1347" s="59" t="n">
        <x:v>0.59185</x:v>
      </x:c>
      <x:c r="L1347" s="59" t="n">
        <x:v>0.26982</x:v>
      </x:c>
      <x:c r="M1347" s="59" t="n">
        <x:v>1.33881</x:v>
      </x:c>
      <x:c r="N1347" s="60" t="n">
        <x:v>1.59</x:v>
      </x:c>
      <x:c r="O1347" s="60" t="n">
        <x:v>0.09</x:v>
      </x:c>
      <x:c r="P1347" s="60" t="n">
        <x:v>0.34</x:v>
      </x:c>
      <x:c r="Q1347" s="60" t="n">
        <x:v>89.1</x:v>
      </x:c>
      <x:c r="R1347" s="58" t="str">
        <x:v>X</x:v>
      </x:c>
      <x:c r="S1347" s="60" t="n">
        <x:v>100</x:v>
      </x:c>
      <x:c r="T1347" s="58" t="str">
        <x:v>IN TARGET BAND</x:v>
      </x:c>
      <x:c r="U1347" s="58" t="n">
        <x:v>1084</x:v>
      </x:c>
      <x:c r="V1347" s="58" t="str">
        <x:v>Pasted text(59).txt</x:v>
      </x:c>
    </x:row>
    <x:row r="1348">
      <x:c r="A1348" s="58" t="str">
        <x:v>S14</x:v>
      </x:c>
      <x:c r="B1348" s="58" t="str">
        <x:v>1.15 validation at 272 Hz</x:v>
      </x:c>
      <x:c r="C1348" s="58" t="n">
        <x:v>1.15</x:v>
      </x:c>
      <x:c r="D1348" s="58" t="n">
        <x:v>2</x:v>
      </x:c>
      <x:c r="E1348" s="58" t="n">
        <x:v>1</x:v>
      </x:c>
      <x:c r="F1348" s="58" t="str">
        <x:v>FINE</x:v>
      </x:c>
      <x:c r="G1348" s="58" t="n">
        <x:v>9</x:v>
      </x:c>
      <x:c r="H1348" s="59" t="n">
        <x:v>11.75</x:v>
      </x:c>
      <x:c r="I1348" s="59" t="n">
        <x:v>1.1894</x:v>
      </x:c>
      <x:c r="J1348" s="59" t="n">
        <x:v>1.18707</x:v>
      </x:c>
      <x:c r="K1348" s="59" t="n">
        <x:v>0.60754</x:v>
      </x:c>
      <x:c r="L1348" s="59" t="n">
        <x:v>0.29138</x:v>
      </x:c>
      <x:c r="M1348" s="59" t="n">
        <x:v>1.36574</x:v>
      </x:c>
      <x:c r="N1348" s="60" t="n">
        <x:v>3.43</x:v>
      </x:c>
      <x:c r="O1348" s="60" t="n">
        <x:v>3.3</x:v>
      </x:c>
      <x:c r="P1348" s="60" t="n">
        <x:v>2.53</x:v>
      </x:c>
      <x:c r="Q1348" s="60" t="n">
        <x:v>86.5</x:v>
      </x:c>
      <x:c r="R1348" s="58" t="str">
        <x:v>X</x:v>
      </x:c>
      <x:c r="S1348" s="60" t="n">
        <x:v>100</x:v>
      </x:c>
      <x:c r="T1348" s="58" t="str">
        <x:v>IN TARGET BAND</x:v>
      </x:c>
      <x:c r="U1348" s="58" t="n">
        <x:v>1085</x:v>
      </x:c>
      <x:c r="V1348" s="58" t="str">
        <x:v>Pasted text(59).txt</x:v>
      </x:c>
    </x:row>
    <x:row r="1349">
      <x:c r="A1349" s="58" t="str">
        <x:v>S14</x:v>
      </x:c>
      <x:c r="B1349" s="58" t="str">
        <x:v>1.15 validation at 272 Hz</x:v>
      </x:c>
      <x:c r="C1349" s="58" t="n">
        <x:v>1.15</x:v>
      </x:c>
      <x:c r="D1349" s="58" t="n">
        <x:v>2</x:v>
      </x:c>
      <x:c r="E1349" s="58" t="n">
        <x:v>1</x:v>
      </x:c>
      <x:c r="F1349" s="58" t="str">
        <x:v>FINAL</x:v>
      </x:c>
      <x:c r="G1349" s="58" t="n">
        <x:v>1</x:v>
      </x:c>
      <x:c r="H1349" s="59" t="n">
        <x:v>11.5</x:v>
      </x:c>
      <x:c r="I1349" s="59" t="n">
        <x:v>1.14557</x:v>
      </x:c>
      <x:c r="J1349" s="59" t="n">
        <x:v>1.14983</x:v>
      </x:c>
      <x:c r="K1349" s="59" t="n">
        <x:v>0.59346</x:v>
      </x:c>
      <x:c r="L1349" s="59" t="n">
        <x:v>0.27405</x:v>
      </x:c>
      <x:c r="M1349" s="59" t="n">
        <x:v>1.32303</x:v>
      </x:c>
      <x:c r="N1349" s="60" t="n">
        <x:v>-0.39</x:v>
      </x:c>
      <x:c r="O1349" s="60" t="n">
        <x:v>2.21</x:v>
      </x:c>
      <x:c r="P1349" s="60" t="n">
        <x:v>1.57</x:v>
      </x:c>
      <x:c r="Q1349" s="60" t="n">
        <x:v>89.3</x:v>
      </x:c>
      <x:c r="R1349" s="58" t="str">
        <x:v>X</x:v>
      </x:c>
      <x:c r="S1349" s="60" t="n">
        <x:v>100</x:v>
      </x:c>
      <x:c r="T1349" s="58" t="str">
        <x:v>IN TARGET BAND</x:v>
      </x:c>
      <x:c r="U1349" s="58" t="n">
        <x:v>1088</x:v>
      </x:c>
      <x:c r="V1349" s="58" t="str">
        <x:v>Pasted text(59).txt</x:v>
      </x:c>
    </x:row>
    <x:row r="1350">
      <x:c r="A1350" s="58" t="str">
        <x:v>S14</x:v>
      </x:c>
      <x:c r="B1350" s="58" t="str">
        <x:v>1.15 validation at 272 Hz</x:v>
      </x:c>
      <x:c r="C1350" s="58" t="n">
        <x:v>1.15</x:v>
      </x:c>
      <x:c r="D1350" s="58" t="n">
        <x:v>2</x:v>
      </x:c>
      <x:c r="E1350" s="58" t="n">
        <x:v>1</x:v>
      </x:c>
      <x:c r="F1350" s="58" t="str">
        <x:v>FINAL</x:v>
      </x:c>
      <x:c r="G1350" s="58" t="n">
        <x:v>2</x:v>
      </x:c>
      <x:c r="H1350" s="59" t="n">
        <x:v>11.5</x:v>
      </x:c>
      <x:c r="I1350" s="59" t="n">
        <x:v>1.1658</x:v>
      </x:c>
      <x:c r="J1350" s="59" t="n">
        <x:v>1.16558</x:v>
      </x:c>
      <x:c r="K1350" s="59" t="n">
        <x:v>0.57675</x:v>
      </x:c>
      <x:c r="L1350" s="59" t="n">
        <x:v>0.26153</x:v>
      </x:c>
      <x:c r="M1350" s="59" t="n">
        <x:v>1.32681</x:v>
      </x:c>
      <x:c r="N1350" s="60" t="n">
        <x:v>1.37</x:v>
      </x:c>
      <x:c r="O1350" s="60" t="n">
        <x:v>0.86</x:v>
      </x:c>
      <x:c r="P1350" s="60" t="n">
        <x:v>0.83</x:v>
      </x:c>
      <x:c r="Q1350" s="60" t="n">
        <x:v>89.8</x:v>
      </x:c>
      <x:c r="R1350" s="58" t="str">
        <x:v>X</x:v>
      </x:c>
      <x:c r="S1350" s="60" t="n">
        <x:v>100</x:v>
      </x:c>
      <x:c r="T1350" s="58" t="str">
        <x:v>IN TARGET BAND</x:v>
      </x:c>
      <x:c r="U1350" s="58" t="n">
        <x:v>1089</x:v>
      </x:c>
      <x:c r="V1350" s="58" t="str">
        <x:v>Pasted text(59).txt</x:v>
      </x:c>
    </x:row>
    <x:row r="1351">
      <x:c r="A1351" s="58" t="str">
        <x:v>S14</x:v>
      </x:c>
      <x:c r="B1351" s="58" t="str">
        <x:v>1.15 validation at 272 Hz</x:v>
      </x:c>
      <x:c r="C1351" s="58" t="n">
        <x:v>1.15</x:v>
      </x:c>
      <x:c r="D1351" s="58" t="n">
        <x:v>3</x:v>
      </x:c>
      <x:c r="E1351" s="58" t="n">
        <x:v>1</x:v>
      </x:c>
      <x:c r="F1351" s="58" t="str">
        <x:v>SEARCH</x:v>
      </x:c>
      <x:c r="G1351" s="58" t="n">
        <x:v>1</x:v>
      </x:c>
      <x:c r="H1351" s="59" t="n">
        <x:v>1</x:v>
      </x:c>
      <x:c r="I1351" s="59" t="n">
        <x:v>0.0244</x:v>
      </x:c>
      <x:c r="J1351" s="59" t="n">
        <x:v>0.02204</x:v>
      </x:c>
      <x:c r="K1351" s="59" t="n">
        <x:v>0.0095</x:v>
      </x:c>
      <x:c r="L1351" s="59" t="n">
        <x:v>0.014</x:v>
      </x:c>
      <x:c r="M1351" s="59" t="n">
        <x:v>0.02827</x:v>
      </x:c>
      <x:c r="N1351" s="60" t="n">
        <x:v>-97.88</x:v>
      </x:c>
      <x:c r="O1351" s="60" t="n">
        <x:v>28.71</x:v>
      </x:c>
      <x:c r="P1351" s="60" t="n">
        <x:v>15.16</x:v>
      </x:c>
      <x:c r="Q1351" s="60" t="n">
        <x:v>6.7</x:v>
      </x:c>
      <x:c r="R1351" s="58" t="str">
        <x:v>X</x:v>
      </x:c>
      <x:c r="S1351" s="60" t="n">
        <x:v>100</x:v>
      </x:c>
      <x:c r="T1351" s="58" t="str">
        <x:v>BELOW MEASUREMENT FLOOR — SEARCH CONTINUES</x:v>
      </x:c>
      <x:c r="U1351" s="58" t="n">
        <x:v>1145</x:v>
      </x:c>
      <x:c r="V1351" s="58" t="str">
        <x:v>Pasted text(59).txt</x:v>
      </x:c>
    </x:row>
    <x:row r="1352">
      <x:c r="A1352" s="58" t="str">
        <x:v>S14</x:v>
      </x:c>
      <x:c r="B1352" s="58" t="str">
        <x:v>1.15 validation at 272 Hz</x:v>
      </x:c>
      <x:c r="C1352" s="58" t="n">
        <x:v>1.15</x:v>
      </x:c>
      <x:c r="D1352" s="58" t="n">
        <x:v>3</x:v>
      </x:c>
      <x:c r="E1352" s="58" t="n">
        <x:v>1</x:v>
      </x:c>
      <x:c r="F1352" s="58" t="str">
        <x:v>SEARCH</x:v>
      </x:c>
      <x:c r="G1352" s="58" t="n">
        <x:v>2</x:v>
      </x:c>
      <x:c r="H1352" s="59" t="n">
        <x:v>3</x:v>
      </x:c>
      <x:c r="I1352" s="59" t="n">
        <x:v>0.19056</x:v>
      </x:c>
      <x:c r="J1352" s="59" t="n">
        <x:v>0.18345</x:v>
      </x:c>
      <x:c r="K1352" s="59" t="n">
        <x:v>0.09441</x:v>
      </x:c>
      <x:c r="L1352" s="59" t="n">
        <x:v>0.0357</x:v>
      </x:c>
      <x:c r="M1352" s="59" t="n">
        <x:v>0.21067</x:v>
      </x:c>
      <x:c r="N1352" s="60" t="n">
        <x:v>-83.43</x:v>
      </x:c>
      <x:c r="O1352" s="60" t="n">
        <x:v>4.31</x:v>
      </x:c>
      <x:c r="P1352" s="60" t="n">
        <x:v>9.44</x:v>
      </x:c>
      <x:c r="Q1352" s="60" t="n">
        <x:v>26.8</x:v>
      </x:c>
      <x:c r="R1352" s="58" t="str">
        <x:v>X</x:v>
      </x:c>
      <x:c r="S1352" s="60" t="n">
        <x:v>100</x:v>
      </x:c>
      <x:c r="T1352" s="58" t="str">
        <x:v>UNSTABLE — SEARCH CONTINUES</x:v>
      </x:c>
      <x:c r="U1352" s="58" t="n">
        <x:v>1146</x:v>
      </x:c>
      <x:c r="V1352" s="58" t="str">
        <x:v>Pasted text(59).txt</x:v>
      </x:c>
    </x:row>
    <x:row r="1353">
      <x:c r="A1353" s="58" t="str">
        <x:v>S14</x:v>
      </x:c>
      <x:c r="B1353" s="58" t="str">
        <x:v>1.15 validation at 272 Hz</x:v>
      </x:c>
      <x:c r="C1353" s="58" t="n">
        <x:v>1.15</x:v>
      </x:c>
      <x:c r="D1353" s="58" t="n">
        <x:v>3</x:v>
      </x:c>
      <x:c r="E1353" s="58" t="n">
        <x:v>1</x:v>
      </x:c>
      <x:c r="F1353" s="58" t="str">
        <x:v>SEARCH</x:v>
      </x:c>
      <x:c r="G1353" s="58" t="n">
        <x:v>3</x:v>
      </x:c>
      <x:c r="H1353" s="59" t="n">
        <x:v>5</x:v>
      </x:c>
      <x:c r="I1353" s="59" t="n">
        <x:v>0.41955</x:v>
      </x:c>
      <x:c r="J1353" s="59" t="n">
        <x:v>0.41921</x:v>
      </x:c>
      <x:c r="K1353" s="59" t="n">
        <x:v>0.18581</x:v>
      </x:c>
      <x:c r="L1353" s="59" t="n">
        <x:v>0.16162</x:v>
      </x:c>
      <x:c r="M1353" s="59" t="n">
        <x:v>0.487</x:v>
      </x:c>
      <x:c r="N1353" s="60" t="n">
        <x:v>-63.52</x:v>
      </x:c>
      <x:c r="O1353" s="60" t="n">
        <x:v>4.84</x:v>
      </x:c>
      <x:c r="P1353" s="60" t="n">
        <x:v>3.39</x:v>
      </x:c>
      <x:c r="Q1353" s="60" t="n">
        <x:v>56.7</x:v>
      </x:c>
      <x:c r="R1353" s="58" t="str">
        <x:v>X</x:v>
      </x:c>
      <x:c r="S1353" s="60" t="n">
        <x:v>100</x:v>
      </x:c>
      <x:c r="T1353" s="58" t="str">
        <x:v>VALID</x:v>
      </x:c>
      <x:c r="U1353" s="58" t="n">
        <x:v>1147</x:v>
      </x:c>
      <x:c r="V1353" s="58" t="str">
        <x:v>Pasted text(59).txt</x:v>
      </x:c>
    </x:row>
    <x:row r="1354">
      <x:c r="A1354" s="58" t="str">
        <x:v>S14</x:v>
      </x:c>
      <x:c r="B1354" s="58" t="str">
        <x:v>1.15 validation at 272 Hz</x:v>
      </x:c>
      <x:c r="C1354" s="58" t="n">
        <x:v>1.15</x:v>
      </x:c>
      <x:c r="D1354" s="58" t="n">
        <x:v>3</x:v>
      </x:c>
      <x:c r="E1354" s="58" t="n">
        <x:v>1</x:v>
      </x:c>
      <x:c r="F1354" s="58" t="str">
        <x:v>SEARCH</x:v>
      </x:c>
      <x:c r="G1354" s="58" t="n">
        <x:v>4</x:v>
      </x:c>
      <x:c r="H1354" s="59" t="n">
        <x:v>6</x:v>
      </x:c>
      <x:c r="I1354" s="59" t="n">
        <x:v>0.51734</x:v>
      </x:c>
      <x:c r="J1354" s="59" t="n">
        <x:v>0.52844</x:v>
      </x:c>
      <x:c r="K1354" s="59" t="n">
        <x:v>0.2417</x:v>
      </x:c>
      <x:c r="L1354" s="59" t="n">
        <x:v>0.15234</x:v>
      </x:c>
      <x:c r="M1354" s="59" t="n">
        <x:v>0.60146</x:v>
      </x:c>
      <x:c r="N1354" s="60" t="n">
        <x:v>-55.01</x:v>
      </x:c>
      <x:c r="O1354" s="60" t="n">
        <x:v>2.13</x:v>
      </x:c>
      <x:c r="P1354" s="60" t="n">
        <x:v>4.91</x:v>
      </x:c>
      <x:c r="Q1354" s="60" t="n">
        <x:v>65.4</x:v>
      </x:c>
      <x:c r="R1354" s="58" t="str">
        <x:v>X</x:v>
      </x:c>
      <x:c r="S1354" s="60" t="n">
        <x:v>100</x:v>
      </x:c>
      <x:c r="T1354" s="58" t="str">
        <x:v>VALID</x:v>
      </x:c>
      <x:c r="U1354" s="58" t="n">
        <x:v>1148</x:v>
      </x:c>
      <x:c r="V1354" s="58" t="str">
        <x:v>Pasted text(59).txt</x:v>
      </x:c>
    </x:row>
    <x:row r="1355">
      <x:c r="A1355" s="58" t="str">
        <x:v>S14</x:v>
      </x:c>
      <x:c r="B1355" s="58" t="str">
        <x:v>1.15 validation at 272 Hz</x:v>
      </x:c>
      <x:c r="C1355" s="58" t="n">
        <x:v>1.15</x:v>
      </x:c>
      <x:c r="D1355" s="58" t="n">
        <x:v>3</x:v>
      </x:c>
      <x:c r="E1355" s="58" t="n">
        <x:v>1</x:v>
      </x:c>
      <x:c r="F1355" s="58" t="str">
        <x:v>SEARCH</x:v>
      </x:c>
      <x:c r="G1355" s="58" t="n">
        <x:v>5</x:v>
      </x:c>
      <x:c r="H1355" s="59" t="n">
        <x:v>7</x:v>
      </x:c>
      <x:c r="I1355" s="59" t="n">
        <x:v>0.65731</x:v>
      </x:c>
      <x:c r="J1355" s="59" t="n">
        <x:v>0.65959</x:v>
      </x:c>
      <x:c r="K1355" s="59" t="n">
        <x:v>0.3378</x:v>
      </x:c>
      <x:c r="L1355" s="59" t="n">
        <x:v>0.18706</x:v>
      </x:c>
      <x:c r="M1355" s="59" t="n">
        <x:v>0.7648</x:v>
      </x:c>
      <x:c r="N1355" s="60" t="n">
        <x:v>-42.84</x:v>
      </x:c>
      <x:c r="O1355" s="60" t="n">
        <x:v>0.08</x:v>
      </x:c>
      <x:c r="P1355" s="60" t="n">
        <x:v>0.65</x:v>
      </x:c>
      <x:c r="Q1355" s="60" t="n">
        <x:v>74.4</x:v>
      </x:c>
      <x:c r="R1355" s="58" t="str">
        <x:v>X</x:v>
      </x:c>
      <x:c r="S1355" s="60" t="n">
        <x:v>100</x:v>
      </x:c>
      <x:c r="T1355" s="58" t="str">
        <x:v>VALID</x:v>
      </x:c>
      <x:c r="U1355" s="58" t="n">
        <x:v>1149</x:v>
      </x:c>
      <x:c r="V1355" s="58" t="str">
        <x:v>Pasted text(59).txt</x:v>
      </x:c>
    </x:row>
    <x:row r="1356">
      <x:c r="A1356" s="58" t="str">
        <x:v>S14</x:v>
      </x:c>
      <x:c r="B1356" s="58" t="str">
        <x:v>1.15 validation at 272 Hz</x:v>
      </x:c>
      <x:c r="C1356" s="58" t="n">
        <x:v>1.15</x:v>
      </x:c>
      <x:c r="D1356" s="58" t="n">
        <x:v>3</x:v>
      </x:c>
      <x:c r="E1356" s="58" t="n">
        <x:v>1</x:v>
      </x:c>
      <x:c r="F1356" s="58" t="str">
        <x:v>SEARCH</x:v>
      </x:c>
      <x:c r="G1356" s="58" t="n">
        <x:v>6</x:v>
      </x:c>
      <x:c r="H1356" s="59" t="n">
        <x:v>8</x:v>
      </x:c>
      <x:c r="I1356" s="59" t="n">
        <x:v>0.7617</x:v>
      </x:c>
      <x:c r="J1356" s="59" t="n">
        <x:v>0.77405</x:v>
      </x:c>
      <x:c r="K1356" s="59" t="n">
        <x:v>0.37732</x:v>
      </x:c>
      <x:c r="L1356" s="59" t="n">
        <x:v>0.17488</x:v>
      </x:c>
      <x:c r="M1356" s="59" t="n">
        <x:v>0.87894</x:v>
      </x:c>
      <x:c r="N1356" s="60" t="n">
        <x:v>-33.76</x:v>
      </x:c>
      <x:c r="O1356" s="60" t="n">
        <x:v>0.27</x:v>
      </x:c>
      <x:c r="P1356" s="60" t="n">
        <x:v>2.92</x:v>
      </x:c>
      <x:c r="Q1356" s="60" t="n">
        <x:v>79.8</x:v>
      </x:c>
      <x:c r="R1356" s="58" t="str">
        <x:v>X</x:v>
      </x:c>
      <x:c r="S1356" s="60" t="n">
        <x:v>100</x:v>
      </x:c>
      <x:c r="T1356" s="58" t="str">
        <x:v>VALID</x:v>
      </x:c>
      <x:c r="U1356" s="58" t="n">
        <x:v>1150</x:v>
      </x:c>
      <x:c r="V1356" s="58" t="str">
        <x:v>Pasted text(59).txt</x:v>
      </x:c>
    </x:row>
    <x:row r="1357">
      <x:c r="A1357" s="58" t="str">
        <x:v>S14</x:v>
      </x:c>
      <x:c r="B1357" s="58" t="str">
        <x:v>1.15 validation at 272 Hz</x:v>
      </x:c>
      <x:c r="C1357" s="58" t="n">
        <x:v>1.15</x:v>
      </x:c>
      <x:c r="D1357" s="58" t="n">
        <x:v>3</x:v>
      </x:c>
      <x:c r="E1357" s="58" t="n">
        <x:v>1</x:v>
      </x:c>
      <x:c r="F1357" s="58" t="str">
        <x:v>SEARCH</x:v>
      </x:c>
      <x:c r="G1357" s="58" t="n">
        <x:v>7</x:v>
      </x:c>
      <x:c r="H1357" s="59" t="n">
        <x:v>8.5</x:v>
      </x:c>
      <x:c r="I1357" s="59" t="n">
        <x:v>0.78795</x:v>
      </x:c>
      <x:c r="J1357" s="59" t="n">
        <x:v>0.78938</x:v>
      </x:c>
      <x:c r="K1357" s="59" t="n">
        <x:v>0.4187</x:v>
      </x:c>
      <x:c r="L1357" s="59" t="n">
        <x:v>0.18695</x:v>
      </x:c>
      <x:c r="M1357" s="59" t="n">
        <x:v>0.91332</x:v>
      </x:c>
      <x:c r="N1357" s="60" t="n">
        <x:v>-31.48</x:v>
      </x:c>
      <x:c r="O1357" s="60" t="n">
        <x:v>0.46</x:v>
      </x:c>
      <x:c r="P1357" s="60" t="n">
        <x:v>0.6</x:v>
      </x:c>
      <x:c r="Q1357" s="60" t="n">
        <x:v>82.5</x:v>
      </x:c>
      <x:c r="R1357" s="58" t="str">
        <x:v>X</x:v>
      </x:c>
      <x:c r="S1357" s="60" t="n">
        <x:v>100</x:v>
      </x:c>
      <x:c r="T1357" s="58" t="str">
        <x:v>VALID</x:v>
      </x:c>
      <x:c r="U1357" s="58" t="n">
        <x:v>1151</x:v>
      </x:c>
      <x:c r="V1357" s="58" t="str">
        <x:v>Pasted text(59).txt</x:v>
      </x:c>
    </x:row>
    <x:row r="1358">
      <x:c r="A1358" s="58" t="str">
        <x:v>S14</x:v>
      </x:c>
      <x:c r="B1358" s="58" t="str">
        <x:v>1.15 validation at 272 Hz</x:v>
      </x:c>
      <x:c r="C1358" s="58" t="n">
        <x:v>1.15</x:v>
      </x:c>
      <x:c r="D1358" s="58" t="n">
        <x:v>3</x:v>
      </x:c>
      <x:c r="E1358" s="58" t="n">
        <x:v>1</x:v>
      </x:c>
      <x:c r="F1358" s="58" t="str">
        <x:v>SEARCH</x:v>
      </x:c>
      <x:c r="G1358" s="58" t="n">
        <x:v>8</x:v>
      </x:c>
      <x:c r="H1358" s="59" t="n">
        <x:v>9</x:v>
      </x:c>
      <x:c r="I1358" s="59" t="n">
        <x:v>0.88864</x:v>
      </x:c>
      <x:c r="J1358" s="59" t="n">
        <x:v>0.88785</x:v>
      </x:c>
      <x:c r="K1358" s="59" t="n">
        <x:v>0.46943</x:v>
      </x:c>
      <x:c r="L1358" s="59" t="n">
        <x:v>0.18471</x:v>
      </x:c>
      <x:c r="M1358" s="59" t="n">
        <x:v>1.02126</x:v>
      </x:c>
      <x:c r="N1358" s="60" t="n">
        <x:v>-22.73</x:v>
      </x:c>
      <x:c r="O1358" s="60" t="n">
        <x:v>0.27</x:v>
      </x:c>
      <x:c r="P1358" s="60" t="n">
        <x:v>0.32</x:v>
      </x:c>
      <x:c r="Q1358" s="60" t="n">
        <x:v>80.9</x:v>
      </x:c>
      <x:c r="R1358" s="58" t="str">
        <x:v>X</x:v>
      </x:c>
      <x:c r="S1358" s="60" t="n">
        <x:v>100</x:v>
      </x:c>
      <x:c r="T1358" s="58" t="str">
        <x:v>VALID</x:v>
      </x:c>
      <x:c r="U1358" s="58" t="n">
        <x:v>1152</x:v>
      </x:c>
      <x:c r="V1358" s="58" t="str">
        <x:v>Pasted text(59).txt</x:v>
      </x:c>
    </x:row>
    <x:row r="1359">
      <x:c r="A1359" s="58" t="str">
        <x:v>S14</x:v>
      </x:c>
      <x:c r="B1359" s="58" t="str">
        <x:v>1.15 validation at 272 Hz</x:v>
      </x:c>
      <x:c r="C1359" s="58" t="n">
        <x:v>1.15</x:v>
      </x:c>
      <x:c r="D1359" s="58" t="n">
        <x:v>3</x:v>
      </x:c>
      <x:c r="E1359" s="58" t="n">
        <x:v>1</x:v>
      </x:c>
      <x:c r="F1359" s="58" t="str">
        <x:v>SEARCH</x:v>
      </x:c>
      <x:c r="G1359" s="58" t="n">
        <x:v>9</x:v>
      </x:c>
      <x:c r="H1359" s="59" t="n">
        <x:v>9.5</x:v>
      </x:c>
      <x:c r="I1359" s="59" t="n">
        <x:v>0.91086</x:v>
      </x:c>
      <x:c r="J1359" s="59" t="n">
        <x:v>0.91238</x:v>
      </x:c>
      <x:c r="K1359" s="59" t="n">
        <x:v>0.47911</x:v>
      </x:c>
      <x:c r="L1359" s="59" t="n">
        <x:v>0.20364</x:v>
      </x:c>
      <x:c r="M1359" s="59" t="n">
        <x:v>1.05099</x:v>
      </x:c>
      <x:c r="N1359" s="60" t="n">
        <x:v>-20.8</x:v>
      </x:c>
      <x:c r="O1359" s="60" t="n">
        <x:v>1.33</x:v>
      </x:c>
      <x:c r="P1359" s="60" t="n">
        <x:v>1.15</x:v>
      </x:c>
      <x:c r="Q1359" s="60" t="n">
        <x:v>84.4</x:v>
      </x:c>
      <x:c r="R1359" s="58" t="str">
        <x:v>X</x:v>
      </x:c>
      <x:c r="S1359" s="60" t="n">
        <x:v>100</x:v>
      </x:c>
      <x:c r="T1359" s="58" t="str">
        <x:v>VALID</x:v>
      </x:c>
      <x:c r="U1359" s="58" t="n">
        <x:v>1153</x:v>
      </x:c>
      <x:c r="V1359" s="58" t="str">
        <x:v>Pasted text(59).txt</x:v>
      </x:c>
    </x:row>
    <x:row r="1360">
      <x:c r="A1360" s="58" t="str">
        <x:v>S14</x:v>
      </x:c>
      <x:c r="B1360" s="58" t="str">
        <x:v>1.15 validation at 272 Hz</x:v>
      </x:c>
      <x:c r="C1360" s="58" t="n">
        <x:v>1.15</x:v>
      </x:c>
      <x:c r="D1360" s="58" t="n">
        <x:v>3</x:v>
      </x:c>
      <x:c r="E1360" s="58" t="n">
        <x:v>1</x:v>
      </x:c>
      <x:c r="F1360" s="58" t="str">
        <x:v>SEARCH</x:v>
      </x:c>
      <x:c r="G1360" s="58" t="n">
        <x:v>10</x:v>
      </x:c>
      <x:c r="H1360" s="59" t="n">
        <x:v>10</x:v>
      </x:c>
      <x:c r="I1360" s="59" t="n">
        <x:v>0.9923</x:v>
      </x:c>
      <x:c r="J1360" s="59" t="n">
        <x:v>0.98716</x:v>
      </x:c>
      <x:c r="K1360" s="59" t="n">
        <x:v>0.51635</x:v>
      </x:c>
      <x:c r="L1360" s="59" t="n">
        <x:v>0.21057</x:v>
      </x:c>
      <x:c r="M1360" s="59" t="n">
        <x:v>1.13419</x:v>
      </x:c>
      <x:c r="N1360" s="60" t="n">
        <x:v>-13.71</x:v>
      </x:c>
      <x:c r="O1360" s="60" t="n">
        <x:v>0.22</x:v>
      </x:c>
      <x:c r="P1360" s="60" t="n">
        <x:v>1.04</x:v>
      </x:c>
      <x:c r="Q1360" s="60" t="n">
        <x:v>84</x:v>
      </x:c>
      <x:c r="R1360" s="58" t="str">
        <x:v>X</x:v>
      </x:c>
      <x:c r="S1360" s="60" t="n">
        <x:v>100</x:v>
      </x:c>
      <x:c r="T1360" s="58" t="str">
        <x:v>VALID</x:v>
      </x:c>
      <x:c r="U1360" s="58" t="n">
        <x:v>1154</x:v>
      </x:c>
      <x:c r="V1360" s="58" t="str">
        <x:v>Pasted text(59).txt</x:v>
      </x:c>
    </x:row>
    <x:row r="1361">
      <x:c r="A1361" s="58" t="str">
        <x:v>S14</x:v>
      </x:c>
      <x:c r="B1361" s="58" t="str">
        <x:v>1.15 validation at 272 Hz</x:v>
      </x:c>
      <x:c r="C1361" s="58" t="n">
        <x:v>1.15</x:v>
      </x:c>
      <x:c r="D1361" s="58" t="n">
        <x:v>3</x:v>
      </x:c>
      <x:c r="E1361" s="58" t="n">
        <x:v>1</x:v>
      </x:c>
      <x:c r="F1361" s="58" t="str">
        <x:v>SEARCH</x:v>
      </x:c>
      <x:c r="G1361" s="58" t="n">
        <x:v>11</x:v>
      </x:c>
      <x:c r="H1361" s="59" t="n">
        <x:v>10.25</x:v>
      </x:c>
      <x:c r="I1361" s="59" t="n">
        <x:v>1.01329</x:v>
      </x:c>
      <x:c r="J1361" s="59" t="n">
        <x:v>1.0107</x:v>
      </x:c>
      <x:c r="K1361" s="59" t="n">
        <x:v>0.51442</x:v>
      </x:c>
      <x:c r="L1361" s="59" t="n">
        <x:v>0.25428</x:v>
      </x:c>
      <x:c r="M1361" s="59" t="n">
        <x:v>1.16232</x:v>
      </x:c>
      <x:c r="N1361" s="60" t="n">
        <x:v>-11.89</x:v>
      </x:c>
      <x:c r="O1361" s="60" t="n">
        <x:v>0.14</x:v>
      </x:c>
      <x:c r="P1361" s="60" t="n">
        <x:v>0.53</x:v>
      </x:c>
      <x:c r="Q1361" s="60" t="n">
        <x:v>85.5</x:v>
      </x:c>
      <x:c r="R1361" s="58" t="str">
        <x:v>X</x:v>
      </x:c>
      <x:c r="S1361" s="60" t="n">
        <x:v>100</x:v>
      </x:c>
      <x:c r="T1361" s="58" t="str">
        <x:v>VALID</x:v>
      </x:c>
      <x:c r="U1361" s="58" t="n">
        <x:v>1155</x:v>
      </x:c>
      <x:c r="V1361" s="58" t="str">
        <x:v>Pasted text(59).txt</x:v>
      </x:c>
    </x:row>
    <x:row r="1362">
      <x:c r="A1362" s="58" t="str">
        <x:v>S14</x:v>
      </x:c>
      <x:c r="B1362" s="58" t="str">
        <x:v>1.15 validation at 272 Hz</x:v>
      </x:c>
      <x:c r="C1362" s="58" t="n">
        <x:v>1.15</x:v>
      </x:c>
      <x:c r="D1362" s="58" t="n">
        <x:v>3</x:v>
      </x:c>
      <x:c r="E1362" s="58" t="n">
        <x:v>1</x:v>
      </x:c>
      <x:c r="F1362" s="58" t="str">
        <x:v>SEARCH</x:v>
      </x:c>
      <x:c r="G1362" s="58" t="n">
        <x:v>12</x:v>
      </x:c>
      <x:c r="H1362" s="59" t="n">
        <x:v>10.5</x:v>
      </x:c>
      <x:c r="I1362" s="59" t="n">
        <x:v>1.04878</x:v>
      </x:c>
      <x:c r="J1362" s="59" t="n">
        <x:v>1.04754</x:v>
      </x:c>
      <x:c r="K1362" s="59" t="n">
        <x:v>0.55018</x:v>
      </x:c>
      <x:c r="L1362" s="59" t="n">
        <x:v>0.23736</x:v>
      </x:c>
      <x:c r="M1362" s="59" t="n">
        <x:v>1.20708</x:v>
      </x:c>
      <x:c r="N1362" s="60" t="n">
        <x:v>-8.8</x:v>
      </x:c>
      <x:c r="O1362" s="60" t="n">
        <x:v>1.54</x:v>
      </x:c>
      <x:c r="P1362" s="60" t="n">
        <x:v>1.22</x:v>
      </x:c>
      <x:c r="Q1362" s="60" t="n">
        <x:v>89</x:v>
      </x:c>
      <x:c r="R1362" s="58" t="str">
        <x:v>X</x:v>
      </x:c>
      <x:c r="S1362" s="60" t="n">
        <x:v>100</x:v>
      </x:c>
      <x:c r="T1362" s="58" t="str">
        <x:v>VALID</x:v>
      </x:c>
      <x:c r="U1362" s="58" t="n">
        <x:v>1156</x:v>
      </x:c>
      <x:c r="V1362" s="58" t="str">
        <x:v>Pasted text(59).txt</x:v>
      </x:c>
    </x:row>
    <x:row r="1363">
      <x:c r="A1363" s="58" t="str">
        <x:v>S14</x:v>
      </x:c>
      <x:c r="B1363" s="58" t="str">
        <x:v>1.15 validation at 272 Hz</x:v>
      </x:c>
      <x:c r="C1363" s="58" t="n">
        <x:v>1.15</x:v>
      </x:c>
      <x:c r="D1363" s="58" t="n">
        <x:v>3</x:v>
      </x:c>
      <x:c r="E1363" s="58" t="n">
        <x:v>1</x:v>
      </x:c>
      <x:c r="F1363" s="58" t="str">
        <x:v>SEARCH</x:v>
      </x:c>
      <x:c r="G1363" s="58" t="n">
        <x:v>13</x:v>
      </x:c>
      <x:c r="H1363" s="59" t="n">
        <x:v>10.75</x:v>
      </x:c>
      <x:c r="I1363" s="59" t="n">
        <x:v>1.07236</x:v>
      </x:c>
      <x:c r="J1363" s="59" t="n">
        <x:v>1.07335</x:v>
      </x:c>
      <x:c r="K1363" s="59" t="n">
        <x:v>0.54184</x:v>
      </x:c>
      <x:c r="L1363" s="59" t="n">
        <x:v>0.22993</x:v>
      </x:c>
      <x:c r="M1363" s="59" t="n">
        <x:v>1.22432</x:v>
      </x:c>
      <x:c r="N1363" s="60" t="n">
        <x:v>-6.75</x:v>
      </x:c>
      <x:c r="O1363" s="60" t="n">
        <x:v>1.95</x:v>
      </x:c>
      <x:c r="P1363" s="60" t="n">
        <x:v>1.45</x:v>
      </x:c>
      <x:c r="Q1363" s="60" t="n">
        <x:v>85.6</x:v>
      </x:c>
      <x:c r="R1363" s="58" t="str">
        <x:v>X</x:v>
      </x:c>
      <x:c r="S1363" s="60" t="n">
        <x:v>100</x:v>
      </x:c>
      <x:c r="T1363" s="58" t="str">
        <x:v>IN TARGET BAND</x:v>
      </x:c>
      <x:c r="U1363" s="58" t="n">
        <x:v>1157</x:v>
      </x:c>
      <x:c r="V1363" s="58" t="str">
        <x:v>Pasted text(59).txt</x:v>
      </x:c>
    </x:row>
    <x:row r="1364">
      <x:c r="A1364" s="58" t="str">
        <x:v>S14</x:v>
      </x:c>
      <x:c r="B1364" s="58" t="str">
        <x:v>1.15 validation at 272 Hz</x:v>
      </x:c>
      <x:c r="C1364" s="58" t="n">
        <x:v>1.15</x:v>
      </x:c>
      <x:c r="D1364" s="58" t="n">
        <x:v>3</x:v>
      </x:c>
      <x:c r="E1364" s="58" t="n">
        <x:v>1</x:v>
      </x:c>
      <x:c r="F1364" s="58" t="str">
        <x:v>FINE</x:v>
      </x:c>
      <x:c r="G1364" s="58" t="n">
        <x:v>1</x:v>
      </x:c>
      <x:c r="H1364" s="59" t="n">
        <x:v>9.75</x:v>
      </x:c>
      <x:c r="I1364" s="59" t="n">
        <x:v>0.99583</x:v>
      </x:c>
      <x:c r="J1364" s="59" t="n">
        <x:v>0.98778</x:v>
      </x:c>
      <x:c r="K1364" s="59" t="n">
        <x:v>0.50205</x:v>
      </x:c>
      <x:c r="L1364" s="59" t="n">
        <x:v>0.26271</x:v>
      </x:c>
      <x:c r="M1364" s="59" t="n">
        <x:v>1.13879</x:v>
      </x:c>
      <x:c r="N1364" s="60" t="n">
        <x:v>-13.41</x:v>
      </x:c>
      <x:c r="O1364" s="60" t="n">
        <x:v>0.18</x:v>
      </x:c>
      <x:c r="P1364" s="60" t="n">
        <x:v>1.52</x:v>
      </x:c>
      <x:c r="Q1364" s="60" t="n">
        <x:v>84.2</x:v>
      </x:c>
      <x:c r="R1364" s="58" t="str">
        <x:v>X</x:v>
      </x:c>
      <x:c r="S1364" s="60" t="n">
        <x:v>100</x:v>
      </x:c>
      <x:c r="T1364" s="58" t="str">
        <x:v>VALID</x:v>
      </x:c>
      <x:c r="U1364" s="58" t="n">
        <x:v>1161</x:v>
      </x:c>
      <x:c r="V1364" s="58" t="str">
        <x:v>Pasted text(59).txt</x:v>
      </x:c>
    </x:row>
    <x:row r="1365">
      <x:c r="A1365" s="58" t="str">
        <x:v>S14</x:v>
      </x:c>
      <x:c r="B1365" s="58" t="str">
        <x:v>1.15 validation at 272 Hz</x:v>
      </x:c>
      <x:c r="C1365" s="58" t="n">
        <x:v>1.15</x:v>
      </x:c>
      <x:c r="D1365" s="58" t="n">
        <x:v>3</x:v>
      </x:c>
      <x:c r="E1365" s="58" t="n">
        <x:v>1</x:v>
      </x:c>
      <x:c r="F1365" s="58" t="str">
        <x:v>FINE</x:v>
      </x:c>
      <x:c r="G1365" s="58" t="n">
        <x:v>2</x:v>
      </x:c>
      <x:c r="H1365" s="59" t="n">
        <x:v>10</x:v>
      </x:c>
      <x:c r="I1365" s="59" t="n">
        <x:v>0.98816</x:v>
      </x:c>
      <x:c r="J1365" s="59" t="n">
        <x:v>0.98986</x:v>
      </x:c>
      <x:c r="K1365" s="59" t="n">
        <x:v>0.51393</x:v>
      </x:c>
      <x:c r="L1365" s="59" t="n">
        <x:v>0.26336</x:v>
      </x:c>
      <x:c r="M1365" s="59" t="n">
        <x:v>1.14619</x:v>
      </x:c>
      <x:c r="N1365" s="60" t="n">
        <x:v>-14.07</x:v>
      </x:c>
      <x:c r="O1365" s="60" t="n">
        <x:v>3</x:v>
      </x:c>
      <x:c r="P1365" s="60" t="n">
        <x:v>2.29</x:v>
      </x:c>
      <x:c r="Q1365" s="60" t="n">
        <x:v>83</x:v>
      </x:c>
      <x:c r="R1365" s="58" t="str">
        <x:v>X</x:v>
      </x:c>
      <x:c r="S1365" s="60" t="n">
        <x:v>100</x:v>
      </x:c>
      <x:c r="T1365" s="58" t="str">
        <x:v>VALID</x:v>
      </x:c>
      <x:c r="U1365" s="58" t="n">
        <x:v>1162</x:v>
      </x:c>
      <x:c r="V1365" s="58" t="str">
        <x:v>Pasted text(59).txt</x:v>
      </x:c>
    </x:row>
    <x:row r="1366">
      <x:c r="A1366" s="58" t="str">
        <x:v>S14</x:v>
      </x:c>
      <x:c r="B1366" s="58" t="str">
        <x:v>1.15 validation at 272 Hz</x:v>
      </x:c>
      <x:c r="C1366" s="58" t="n">
        <x:v>1.15</x:v>
      </x:c>
      <x:c r="D1366" s="58" t="n">
        <x:v>3</x:v>
      </x:c>
      <x:c r="E1366" s="58" t="n">
        <x:v>1</x:v>
      </x:c>
      <x:c r="F1366" s="58" t="str">
        <x:v>FINE</x:v>
      </x:c>
      <x:c r="G1366" s="58" t="n">
        <x:v>3</x:v>
      </x:c>
      <x:c r="H1366" s="59" t="n">
        <x:v>10.25</x:v>
      </x:c>
      <x:c r="I1366" s="59" t="n">
        <x:v>1.00927</x:v>
      </x:c>
      <x:c r="J1366" s="59" t="n">
        <x:v>1.0092</x:v>
      </x:c>
      <x:c r="K1366" s="59" t="n">
        <x:v>0.52439</x:v>
      </x:c>
      <x:c r="L1366" s="59" t="n">
        <x:v>0.22681</x:v>
      </x:c>
      <x:c r="M1366" s="59" t="n">
        <x:v>1.16012</x:v>
      </x:c>
      <x:c r="N1366" s="60" t="n">
        <x:v>-12.24</x:v>
      </x:c>
      <x:c r="O1366" s="60" t="n">
        <x:v>0.98</x:v>
      </x:c>
      <x:c r="P1366" s="60" t="n">
        <x:v>0.67</x:v>
      </x:c>
      <x:c r="Q1366" s="60" t="n">
        <x:v>84.9</x:v>
      </x:c>
      <x:c r="R1366" s="58" t="str">
        <x:v>X</x:v>
      </x:c>
      <x:c r="S1366" s="60" t="n">
        <x:v>100</x:v>
      </x:c>
      <x:c r="T1366" s="58" t="str">
        <x:v>VALID</x:v>
      </x:c>
      <x:c r="U1366" s="58" t="n">
        <x:v>1163</x:v>
      </x:c>
      <x:c r="V1366" s="58" t="str">
        <x:v>Pasted text(59).txt</x:v>
      </x:c>
    </x:row>
    <x:row r="1367">
      <x:c r="A1367" s="58" t="str">
        <x:v>S14</x:v>
      </x:c>
      <x:c r="B1367" s="58" t="str">
        <x:v>1.15 validation at 272 Hz</x:v>
      </x:c>
      <x:c r="C1367" s="58" t="n">
        <x:v>1.15</x:v>
      </x:c>
      <x:c r="D1367" s="58" t="n">
        <x:v>3</x:v>
      </x:c>
      <x:c r="E1367" s="58" t="n">
        <x:v>1</x:v>
      </x:c>
      <x:c r="F1367" s="58" t="str">
        <x:v>FINE</x:v>
      </x:c>
      <x:c r="G1367" s="58" t="n">
        <x:v>4</x:v>
      </x:c>
      <x:c r="H1367" s="59" t="n">
        <x:v>10.5</x:v>
      </x:c>
      <x:c r="I1367" s="59" t="n">
        <x:v>1.0395</x:v>
      </x:c>
      <x:c r="J1367" s="59" t="n">
        <x:v>1.04644</x:v>
      </x:c>
      <x:c r="K1367" s="59" t="n">
        <x:v>0.55111</x:v>
      </x:c>
      <x:c r="L1367" s="59" t="n">
        <x:v>0.22987</x:v>
      </x:c>
      <x:c r="M1367" s="59" t="n">
        <x:v>1.20498</x:v>
      </x:c>
      <x:c r="N1367" s="60" t="n">
        <x:v>-9.61</x:v>
      </x:c>
      <x:c r="O1367" s="60" t="n">
        <x:v>0.15</x:v>
      </x:c>
      <x:c r="P1367" s="60" t="n">
        <x:v>1.24</x:v>
      </x:c>
      <x:c r="Q1367" s="60" t="n">
        <x:v>87.7</x:v>
      </x:c>
      <x:c r="R1367" s="58" t="str">
        <x:v>X</x:v>
      </x:c>
      <x:c r="S1367" s="60" t="n">
        <x:v>100</x:v>
      </x:c>
      <x:c r="T1367" s="58" t="str">
        <x:v>VALID</x:v>
      </x:c>
      <x:c r="U1367" s="58" t="n">
        <x:v>1164</x:v>
      </x:c>
      <x:c r="V1367" s="58" t="str">
        <x:v>Pasted text(59).txt</x:v>
      </x:c>
    </x:row>
    <x:row r="1368">
      <x:c r="A1368" s="58" t="str">
        <x:v>S14</x:v>
      </x:c>
      <x:c r="B1368" s="58" t="str">
        <x:v>1.15 validation at 272 Hz</x:v>
      </x:c>
      <x:c r="C1368" s="58" t="n">
        <x:v>1.15</x:v>
      </x:c>
      <x:c r="D1368" s="58" t="n">
        <x:v>3</x:v>
      </x:c>
      <x:c r="E1368" s="58" t="n">
        <x:v>1</x:v>
      </x:c>
      <x:c r="F1368" s="58" t="str">
        <x:v>FINE</x:v>
      </x:c>
      <x:c r="G1368" s="58" t="n">
        <x:v>5</x:v>
      </x:c>
      <x:c r="H1368" s="59" t="n">
        <x:v>10.75</x:v>
      </x:c>
      <x:c r="I1368" s="59" t="n">
        <x:v>1.09443</x:v>
      </x:c>
      <x:c r="J1368" s="59" t="n">
        <x:v>1.08992</x:v>
      </x:c>
      <x:c r="K1368" s="59" t="n">
        <x:v>0.5465</x:v>
      </x:c>
      <x:c r="L1368" s="59" t="n">
        <x:v>0.23965</x:v>
      </x:c>
      <x:c r="M1368" s="59" t="n">
        <x:v>1.24284</x:v>
      </x:c>
      <x:c r="N1368" s="60" t="n">
        <x:v>-4.83</x:v>
      </x:c>
      <x:c r="O1368" s="60" t="n">
        <x:v>0.59</x:v>
      </x:c>
      <x:c r="P1368" s="60" t="n">
        <x:v>1.08</x:v>
      </x:c>
      <x:c r="Q1368" s="60" t="n">
        <x:v>85.6</x:v>
      </x:c>
      <x:c r="R1368" s="58" t="str">
        <x:v>X</x:v>
      </x:c>
      <x:c r="S1368" s="60" t="n">
        <x:v>100</x:v>
      </x:c>
      <x:c r="T1368" s="58" t="str">
        <x:v>IN TARGET BAND</x:v>
      </x:c>
      <x:c r="U1368" s="58" t="n">
        <x:v>1165</x:v>
      </x:c>
      <x:c r="V1368" s="58" t="str">
        <x:v>Pasted text(59).txt</x:v>
      </x:c>
    </x:row>
    <x:row r="1369">
      <x:c r="A1369" s="58" t="str">
        <x:v>S14</x:v>
      </x:c>
      <x:c r="B1369" s="58" t="str">
        <x:v>1.15 validation at 272 Hz</x:v>
      </x:c>
      <x:c r="C1369" s="58" t="n">
        <x:v>1.15</x:v>
      </x:c>
      <x:c r="D1369" s="58" t="n">
        <x:v>3</x:v>
      </x:c>
      <x:c r="E1369" s="58" t="n">
        <x:v>1</x:v>
      </x:c>
      <x:c r="F1369" s="58" t="str">
        <x:v>FINE</x:v>
      </x:c>
      <x:c r="G1369" s="58" t="n">
        <x:v>6</x:v>
      </x:c>
      <x:c r="H1369" s="59" t="n">
        <x:v>11</x:v>
      </x:c>
      <x:c r="I1369" s="59" t="n">
        <x:v>1.13926</x:v>
      </x:c>
      <x:c r="J1369" s="59" t="n">
        <x:v>1.12407</x:v>
      </x:c>
      <x:c r="K1369" s="59" t="n">
        <x:v>0.57949</x:v>
      </x:c>
      <x:c r="L1369" s="59" t="n">
        <x:v>0.28375</x:v>
      </x:c>
      <x:c r="M1369" s="59" t="n">
        <x:v>1.29626</x:v>
      </x:c>
      <x:c r="N1369" s="60" t="n">
        <x:v>-0.93</x:v>
      </x:c>
      <x:c r="O1369" s="60" t="n">
        <x:v>0.07</x:v>
      </x:c>
      <x:c r="P1369" s="60" t="n">
        <x:v>2.38</x:v>
      </x:c>
      <x:c r="Q1369" s="60" t="n">
        <x:v>86.4</x:v>
      </x:c>
      <x:c r="R1369" s="58" t="str">
        <x:v>X</x:v>
      </x:c>
      <x:c r="S1369" s="60" t="n">
        <x:v>100</x:v>
      </x:c>
      <x:c r="T1369" s="58" t="str">
        <x:v>IN TARGET BAND</x:v>
      </x:c>
      <x:c r="U1369" s="58" t="n">
        <x:v>1166</x:v>
      </x:c>
      <x:c r="V1369" s="58" t="str">
        <x:v>Pasted text(59).txt</x:v>
      </x:c>
    </x:row>
    <x:row r="1370">
      <x:c r="A1370" s="58" t="str">
        <x:v>S14</x:v>
      </x:c>
      <x:c r="B1370" s="58" t="str">
        <x:v>1.15 validation at 272 Hz</x:v>
      </x:c>
      <x:c r="C1370" s="58" t="n">
        <x:v>1.15</x:v>
      </x:c>
      <x:c r="D1370" s="58" t="n">
        <x:v>3</x:v>
      </x:c>
      <x:c r="E1370" s="58" t="n">
        <x:v>1</x:v>
      </x:c>
      <x:c r="F1370" s="58" t="str">
        <x:v>FINE</x:v>
      </x:c>
      <x:c r="G1370" s="58" t="n">
        <x:v>7</x:v>
      </x:c>
      <x:c r="H1370" s="59" t="n">
        <x:v>11.25</x:v>
      </x:c>
      <x:c r="I1370" s="59" t="n">
        <x:v>1.16212</x:v>
      </x:c>
      <x:c r="J1370" s="59" t="n">
        <x:v>1.1581</x:v>
      </x:c>
      <x:c r="K1370" s="59" t="n">
        <x:v>0.57866</x:v>
      </x:c>
      <x:c r="L1370" s="59" t="n">
        <x:v>0.23438</x:v>
      </x:c>
      <x:c r="M1370" s="59" t="n">
        <x:v>1.31582</x:v>
      </x:c>
      <x:c r="N1370" s="60" t="n">
        <x:v>1.05</x:v>
      </x:c>
      <x:c r="O1370" s="60" t="n">
        <x:v>0.48</x:v>
      </x:c>
      <x:c r="P1370" s="60" t="n">
        <x:v>0.9</x:v>
      </x:c>
      <x:c r="Q1370" s="60" t="n">
        <x:v>87.8</x:v>
      </x:c>
      <x:c r="R1370" s="58" t="str">
        <x:v>X</x:v>
      </x:c>
      <x:c r="S1370" s="60" t="n">
        <x:v>100</x:v>
      </x:c>
      <x:c r="T1370" s="58" t="str">
        <x:v>IN TARGET BAND</x:v>
      </x:c>
      <x:c r="U1370" s="58" t="n">
        <x:v>1167</x:v>
      </x:c>
      <x:c r="V1370" s="58" t="str">
        <x:v>Pasted text(59).txt</x:v>
      </x:c>
    </x:row>
    <x:row r="1371">
      <x:c r="A1371" s="58" t="str">
        <x:v>S14</x:v>
      </x:c>
      <x:c r="B1371" s="58" t="str">
        <x:v>1.15 validation at 272 Hz</x:v>
      </x:c>
      <x:c r="C1371" s="58" t="n">
        <x:v>1.15</x:v>
      </x:c>
      <x:c r="D1371" s="58" t="n">
        <x:v>3</x:v>
      </x:c>
      <x:c r="E1371" s="58" t="n">
        <x:v>1</x:v>
      </x:c>
      <x:c r="F1371" s="58" t="str">
        <x:v>FINE</x:v>
      </x:c>
      <x:c r="G1371" s="58" t="n">
        <x:v>8</x:v>
      </x:c>
      <x:c r="H1371" s="59" t="n">
        <x:v>11.5</x:v>
      </x:c>
      <x:c r="I1371" s="59" t="n">
        <x:v>1.17854</x:v>
      </x:c>
      <x:c r="J1371" s="59" t="n">
        <x:v>1.18339</x:v>
      </x:c>
      <x:c r="K1371" s="59" t="n">
        <x:v>0.60121</x:v>
      </x:c>
      <x:c r="L1371" s="59" t="n">
        <x:v>0.24971</x:v>
      </x:c>
      <x:c r="M1371" s="59" t="n">
        <x:v>1.35072</x:v>
      </x:c>
      <x:c r="N1371" s="60" t="n">
        <x:v>2.48</x:v>
      </x:c>
      <x:c r="O1371" s="60" t="n">
        <x:v>1.41</x:v>
      </x:c>
      <x:c r="P1371" s="60" t="n">
        <x:v>1.6</x:v>
      </x:c>
      <x:c r="Q1371" s="60" t="n">
        <x:v>90.2</x:v>
      </x:c>
      <x:c r="R1371" s="58" t="str">
        <x:v>X</x:v>
      </x:c>
      <x:c r="S1371" s="60" t="n">
        <x:v>100</x:v>
      </x:c>
      <x:c r="T1371" s="58" t="str">
        <x:v>IN TARGET BAND</x:v>
      </x:c>
      <x:c r="U1371" s="58" t="n">
        <x:v>1168</x:v>
      </x:c>
      <x:c r="V1371" s="58" t="str">
        <x:v>Pasted text(59).txt</x:v>
      </x:c>
    </x:row>
    <x:row r="1372">
      <x:c r="A1372" s="58" t="str">
        <x:v>S14</x:v>
      </x:c>
      <x:c r="B1372" s="58" t="str">
        <x:v>1.15 validation at 272 Hz</x:v>
      </x:c>
      <x:c r="C1372" s="58" t="n">
        <x:v>1.15</x:v>
      </x:c>
      <x:c r="D1372" s="58" t="n">
        <x:v>3</x:v>
      </x:c>
      <x:c r="E1372" s="58" t="n">
        <x:v>1</x:v>
      </x:c>
      <x:c r="F1372" s="58" t="str">
        <x:v>FINE</x:v>
      </x:c>
      <x:c r="G1372" s="58" t="n">
        <x:v>9</x:v>
      </x:c>
      <x:c r="H1372" s="59" t="n">
        <x:v>11.75</x:v>
      </x:c>
      <x:c r="I1372" s="59" t="n">
        <x:v>1.20729</x:v>
      </x:c>
      <x:c r="J1372" s="59" t="n">
        <x:v>1.20269</x:v>
      </x:c>
      <x:c r="K1372" s="59" t="n">
        <x:v>0.62322</x:v>
      </x:c>
      <x:c r="L1372" s="59" t="n">
        <x:v>0.26766</x:v>
      </x:c>
      <x:c r="M1372" s="59" t="n">
        <x:v>1.38169</x:v>
      </x:c>
      <x:c r="N1372" s="60" t="n">
        <x:v>4.98</x:v>
      </x:c>
      <x:c r="O1372" s="60" t="n">
        <x:v>2.23</x:v>
      </x:c>
      <x:c r="P1372" s="60" t="n">
        <x:v>2.11</x:v>
      </x:c>
      <x:c r="Q1372" s="60" t="n">
        <x:v>86.2</x:v>
      </x:c>
      <x:c r="R1372" s="58" t="str">
        <x:v>X</x:v>
      </x:c>
      <x:c r="S1372" s="60" t="n">
        <x:v>100</x:v>
      </x:c>
      <x:c r="T1372" s="58" t="str">
        <x:v>IN TARGET BAND</x:v>
      </x:c>
      <x:c r="U1372" s="58" t="n">
        <x:v>1169</x:v>
      </x:c>
      <x:c r="V1372" s="58" t="str">
        <x:v>Pasted text(59).txt</x:v>
      </x:c>
    </x:row>
    <x:row r="1373">
      <x:c r="A1373" s="58" t="str">
        <x:v>S14</x:v>
      </x:c>
      <x:c r="B1373" s="58" t="str">
        <x:v>1.15 validation at 272 Hz</x:v>
      </x:c>
      <x:c r="C1373" s="58" t="n">
        <x:v>1.15</x:v>
      </x:c>
      <x:c r="D1373" s="58" t="n">
        <x:v>3</x:v>
      </x:c>
      <x:c r="E1373" s="58" t="n">
        <x:v>1</x:v>
      </x:c>
      <x:c r="F1373" s="58" t="str">
        <x:v>FINAL</x:v>
      </x:c>
      <x:c r="G1373" s="58" t="n">
        <x:v>1</x:v>
      </x:c>
      <x:c r="H1373" s="59" t="n">
        <x:v>11.25</x:v>
      </x:c>
      <x:c r="I1373" s="59" t="n">
        <x:v>1.1581</x:v>
      </x:c>
      <x:c r="J1373" s="59" t="n">
        <x:v>1.15925</x:v>
      </x:c>
      <x:c r="K1373" s="59" t="n">
        <x:v>0.58776</x:v>
      </x:c>
      <x:c r="L1373" s="59" t="n">
        <x:v>0.25205</x:v>
      </x:c>
      <x:c r="M1373" s="59" t="n">
        <x:v>1.32422</x:v>
      </x:c>
      <x:c r="N1373" s="60" t="n">
        <x:v>0.7</x:v>
      </x:c>
      <x:c r="O1373" s="60" t="n">
        <x:v>1.39</x:v>
      </x:c>
      <x:c r="P1373" s="60" t="n">
        <x:v>1</x:v>
      </x:c>
      <x:c r="Q1373" s="60" t="n">
        <x:v>88.4</x:v>
      </x:c>
      <x:c r="R1373" s="58" t="str">
        <x:v>X</x:v>
      </x:c>
      <x:c r="S1373" s="60" t="n">
        <x:v>100</x:v>
      </x:c>
      <x:c r="T1373" s="58" t="str">
        <x:v>IN TARGET BAND</x:v>
      </x:c>
      <x:c r="U1373" s="58" t="n">
        <x:v>1172</x:v>
      </x:c>
      <x:c r="V1373" s="58" t="str">
        <x:v>Pasted text(59).txt</x:v>
      </x:c>
    </x:row>
    <x:row r="1374">
      <x:c r="A1374" s="58" t="str">
        <x:v>S14</x:v>
      </x:c>
      <x:c r="B1374" s="58" t="str">
        <x:v>1.15 validation at 272 Hz</x:v>
      </x:c>
      <x:c r="C1374" s="58" t="n">
        <x:v>1.15</x:v>
      </x:c>
      <x:c r="D1374" s="58" t="n">
        <x:v>3</x:v>
      </x:c>
      <x:c r="E1374" s="58" t="n">
        <x:v>1</x:v>
      </x:c>
      <x:c r="F1374" s="58" t="str">
        <x:v>FINAL</x:v>
      </x:c>
      <x:c r="G1374" s="58" t="n">
        <x:v>2</x:v>
      </x:c>
      <x:c r="H1374" s="59" t="n">
        <x:v>11.25</x:v>
      </x:c>
      <x:c r="I1374" s="59" t="n">
        <x:v>1.14261</x:v>
      </x:c>
      <x:c r="J1374" s="59" t="n">
        <x:v>1.14874</x:v>
      </x:c>
      <x:c r="K1374" s="59" t="n">
        <x:v>0.597</x:v>
      </x:c>
      <x:c r="L1374" s="59" t="n">
        <x:v>0.25438</x:v>
      </x:c>
      <x:c r="M1374" s="59" t="n">
        <x:v>1.31973</x:v>
      </x:c>
      <x:c r="N1374" s="60" t="n">
        <x:v>-0.64</x:v>
      </x:c>
      <x:c r="O1374" s="60" t="n">
        <x:v>2.09</x:v>
      </x:c>
      <x:c r="P1374" s="60" t="n">
        <x:v>1.99</x:v>
      </x:c>
      <x:c r="Q1374" s="60" t="n">
        <x:v>87.7</x:v>
      </x:c>
      <x:c r="R1374" s="58" t="str">
        <x:v>X</x:v>
      </x:c>
      <x:c r="S1374" s="60" t="n">
        <x:v>100</x:v>
      </x:c>
      <x:c r="T1374" s="58" t="str">
        <x:v>IN TARGET BAND</x:v>
      </x:c>
      <x:c r="U1374" s="58" t="n">
        <x:v>1173</x:v>
      </x:c>
      <x:c r="V1374" s="58" t="str">
        <x:v>Pasted text(59).txt</x:v>
      </x:c>
    </x:row>
    <x:row r="1375">
      <x:c r="A1375" s="58" t="str">
        <x:v>S14</x:v>
      </x:c>
      <x:c r="B1375" s="58" t="str">
        <x:v>1.15 validation at 272 Hz</x:v>
      </x:c>
      <x:c r="C1375" s="58" t="n">
        <x:v>1.15</x:v>
      </x:c>
      <x:c r="D1375" s="58" t="n">
        <x:v>4</x:v>
      </x:c>
      <x:c r="E1375" s="58" t="n">
        <x:v>1</x:v>
      </x:c>
      <x:c r="F1375" s="58" t="str">
        <x:v>SEARCH</x:v>
      </x:c>
      <x:c r="G1375" s="58" t="n">
        <x:v>1</x:v>
      </x:c>
      <x:c r="H1375" s="59" t="n">
        <x:v>1</x:v>
      </x:c>
      <x:c r="I1375" s="59" t="n">
        <x:v>0.01586</x:v>
      </x:c>
      <x:c r="J1375" s="59" t="n">
        <x:v>0.0193</x:v>
      </x:c>
      <x:c r="K1375" s="59" t="n">
        <x:v>0.02371</x:v>
      </x:c>
      <x:c r="L1375" s="59" t="n">
        <x:v>0.02639</x:v>
      </x:c>
      <x:c r="M1375" s="59" t="n">
        <x:v>0.04192</x:v>
      </x:c>
      <x:c r="N1375" s="60" t="n">
        <x:v>-98.62</x:v>
      </x:c>
      <x:c r="O1375" s="60" t="n">
        <x:v>44.41</x:v>
      </x:c>
      <x:c r="P1375" s="60" t="n">
        <x:v>53.61</x:v>
      </x:c>
      <x:c r="Q1375" s="60" t="n">
        <x:v>6</x:v>
      </x:c>
      <x:c r="R1375" s="58" t="str">
        <x:v>Z</x:v>
      </x:c>
      <x:c r="S1375" s="60" t="n">
        <x:v>73.2</x:v>
      </x:c>
      <x:c r="T1375" s="58" t="str">
        <x:v>BELOW MEASUREMENT FLOOR — SEARCH CONTINUES</x:v>
      </x:c>
      <x:c r="U1375" s="58" t="n">
        <x:v>1229</x:v>
      </x:c>
      <x:c r="V1375" s="58" t="str">
        <x:v>Pasted text(59).txt</x:v>
      </x:c>
    </x:row>
    <x:row r="1376">
      <x:c r="A1376" s="58" t="str">
        <x:v>S14</x:v>
      </x:c>
      <x:c r="B1376" s="58" t="str">
        <x:v>1.15 validation at 272 Hz</x:v>
      </x:c>
      <x:c r="C1376" s="58" t="n">
        <x:v>1.15</x:v>
      </x:c>
      <x:c r="D1376" s="58" t="n">
        <x:v>4</x:v>
      </x:c>
      <x:c r="E1376" s="58" t="n">
        <x:v>1</x:v>
      </x:c>
      <x:c r="F1376" s="58" t="str">
        <x:v>SEARCH</x:v>
      </x:c>
      <x:c r="G1376" s="58" t="n">
        <x:v>2</x:v>
      </x:c>
      <x:c r="H1376" s="59" t="n">
        <x:v>3</x:v>
      </x:c>
      <x:c r="I1376" s="59" t="n">
        <x:v>0.20894</x:v>
      </x:c>
      <x:c r="J1376" s="59" t="n">
        <x:v>0.20397</x:v>
      </x:c>
      <x:c r="K1376" s="59" t="n">
        <x:v>0.10357</x:v>
      </x:c>
      <x:c r="L1376" s="59" t="n">
        <x:v>0.04509</x:v>
      </x:c>
      <x:c r="M1376" s="59" t="n">
        <x:v>0.23337</x:v>
      </x:c>
      <x:c r="N1376" s="60" t="n">
        <x:v>-81.83</x:v>
      </x:c>
      <x:c r="O1376" s="60" t="n">
        <x:v>5.31</x:v>
      </x:c>
      <x:c r="P1376" s="60" t="n">
        <x:v>7.62</x:v>
      </x:c>
      <x:c r="Q1376" s="60" t="n">
        <x:v>29.7</x:v>
      </x:c>
      <x:c r="R1376" s="58" t="str">
        <x:v>X</x:v>
      </x:c>
      <x:c r="S1376" s="60" t="n">
        <x:v>100</x:v>
      </x:c>
      <x:c r="T1376" s="58" t="str">
        <x:v>UNSTABLE — SEARCH CONTINUES</x:v>
      </x:c>
      <x:c r="U1376" s="58" t="n">
        <x:v>1230</x:v>
      </x:c>
      <x:c r="V1376" s="58" t="str">
        <x:v>Pasted text(59).txt</x:v>
      </x:c>
    </x:row>
    <x:row r="1377">
      <x:c r="A1377" s="58" t="str">
        <x:v>S14</x:v>
      </x:c>
      <x:c r="B1377" s="58" t="str">
        <x:v>1.15 validation at 272 Hz</x:v>
      </x:c>
      <x:c r="C1377" s="58" t="n">
        <x:v>1.15</x:v>
      </x:c>
      <x:c r="D1377" s="58" t="n">
        <x:v>4</x:v>
      </x:c>
      <x:c r="E1377" s="58" t="n">
        <x:v>1</x:v>
      </x:c>
      <x:c r="F1377" s="58" t="str">
        <x:v>SEARCH</x:v>
      </x:c>
      <x:c r="G1377" s="58" t="n">
        <x:v>3</x:v>
      </x:c>
      <x:c r="H1377" s="59" t="n">
        <x:v>5</x:v>
      </x:c>
      <x:c r="I1377" s="59" t="n">
        <x:v>0.41386</x:v>
      </x:c>
      <x:c r="J1377" s="59" t="n">
        <x:v>0.41776</x:v>
      </x:c>
      <x:c r="K1377" s="59" t="n">
        <x:v>0.21556</x:v>
      </x:c>
      <x:c r="L1377" s="59" t="n">
        <x:v>0.11951</x:v>
      </x:c>
      <x:c r="M1377" s="59" t="n">
        <x:v>0.48527</x:v>
      </x:c>
      <x:c r="N1377" s="60" t="n">
        <x:v>-64.01</x:v>
      </x:c>
      <x:c r="O1377" s="60" t="n">
        <x:v>0.81</x:v>
      </x:c>
      <x:c r="P1377" s="60" t="n">
        <x:v>2.1</x:v>
      </x:c>
      <x:c r="Q1377" s="60" t="n">
        <x:v>56.2</x:v>
      </x:c>
      <x:c r="R1377" s="58" t="str">
        <x:v>X</x:v>
      </x:c>
      <x:c r="S1377" s="60" t="n">
        <x:v>100</x:v>
      </x:c>
      <x:c r="T1377" s="58" t="str">
        <x:v>VALID</x:v>
      </x:c>
      <x:c r="U1377" s="58" t="n">
        <x:v>1231</x:v>
      </x:c>
      <x:c r="V1377" s="58" t="str">
        <x:v>Pasted text(59).txt</x:v>
      </x:c>
    </x:row>
    <x:row r="1378">
      <x:c r="A1378" s="58" t="str">
        <x:v>S14</x:v>
      </x:c>
      <x:c r="B1378" s="58" t="str">
        <x:v>1.15 validation at 272 Hz</x:v>
      </x:c>
      <x:c r="C1378" s="58" t="n">
        <x:v>1.15</x:v>
      </x:c>
      <x:c r="D1378" s="58" t="n">
        <x:v>4</x:v>
      </x:c>
      <x:c r="E1378" s="58" t="n">
        <x:v>1</x:v>
      </x:c>
      <x:c r="F1378" s="58" t="str">
        <x:v>SEARCH</x:v>
      </x:c>
      <x:c r="G1378" s="58" t="n">
        <x:v>4</x:v>
      </x:c>
      <x:c r="H1378" s="59" t="n">
        <x:v>6</x:v>
      </x:c>
      <x:c r="I1378" s="59" t="n">
        <x:v>0.5389</x:v>
      </x:c>
      <x:c r="J1378" s="59" t="n">
        <x:v>0.54104</x:v>
      </x:c>
      <x:c r="K1378" s="59" t="n">
        <x:v>0.27473</x:v>
      </x:c>
      <x:c r="L1378" s="59" t="n">
        <x:v>0.13414</x:v>
      </x:c>
      <x:c r="M1378" s="59" t="n">
        <x:v>0.62222</x:v>
      </x:c>
      <x:c r="N1378" s="60" t="n">
        <x:v>-53.14</x:v>
      </x:c>
      <x:c r="O1378" s="60" t="n">
        <x:v>1.22</x:v>
      </x:c>
      <x:c r="P1378" s="60" t="n">
        <x:v>1.46</x:v>
      </x:c>
      <x:c r="Q1378" s="60" t="n">
        <x:v>66.3</x:v>
      </x:c>
      <x:c r="R1378" s="58" t="str">
        <x:v>X</x:v>
      </x:c>
      <x:c r="S1378" s="60" t="n">
        <x:v>100</x:v>
      </x:c>
      <x:c r="T1378" s="58" t="str">
        <x:v>VALID</x:v>
      </x:c>
      <x:c r="U1378" s="58" t="n">
        <x:v>1232</x:v>
      </x:c>
      <x:c r="V1378" s="58" t="str">
        <x:v>Pasted text(59).txt</x:v>
      </x:c>
    </x:row>
    <x:row r="1379">
      <x:c r="A1379" s="58" t="str">
        <x:v>S14</x:v>
      </x:c>
      <x:c r="B1379" s="58" t="str">
        <x:v>1.15 validation at 272 Hz</x:v>
      </x:c>
      <x:c r="C1379" s="58" t="n">
        <x:v>1.15</x:v>
      </x:c>
      <x:c r="D1379" s="58" t="n">
        <x:v>4</x:v>
      </x:c>
      <x:c r="E1379" s="58" t="n">
        <x:v>1</x:v>
      </x:c>
      <x:c r="F1379" s="58" t="str">
        <x:v>SEARCH</x:v>
      </x:c>
      <x:c r="G1379" s="58" t="n">
        <x:v>5</x:v>
      </x:c>
      <x:c r="H1379" s="59" t="n">
        <x:v>7</x:v>
      </x:c>
      <x:c r="I1379" s="59" t="n">
        <x:v>0.62255</x:v>
      </x:c>
      <x:c r="J1379" s="59" t="n">
        <x:v>0.62466</x:v>
      </x:c>
      <x:c r="K1379" s="59" t="n">
        <x:v>0.32718</x:v>
      </x:c>
      <x:c r="L1379" s="59" t="n">
        <x:v>0.16561</x:v>
      </x:c>
      <x:c r="M1379" s="59" t="n">
        <x:v>0.72449</x:v>
      </x:c>
      <x:c r="N1379" s="60" t="n">
        <x:v>-45.86</x:v>
      </x:c>
      <x:c r="O1379" s="60" t="n">
        <x:v>0.02</x:v>
      </x:c>
      <x:c r="P1379" s="60" t="n">
        <x:v>0.6</x:v>
      </x:c>
      <x:c r="Q1379" s="60" t="n">
        <x:v>72</x:v>
      </x:c>
      <x:c r="R1379" s="58" t="str">
        <x:v>X</x:v>
      </x:c>
      <x:c r="S1379" s="60" t="n">
        <x:v>100</x:v>
      </x:c>
      <x:c r="T1379" s="58" t="str">
        <x:v>VALID</x:v>
      </x:c>
      <x:c r="U1379" s="58" t="n">
        <x:v>1233</x:v>
      </x:c>
      <x:c r="V1379" s="58" t="str">
        <x:v>Pasted text(59).txt</x:v>
      </x:c>
    </x:row>
    <x:row r="1380">
      <x:c r="A1380" s="58" t="str">
        <x:v>S14</x:v>
      </x:c>
      <x:c r="B1380" s="58" t="str">
        <x:v>1.15 validation at 272 Hz</x:v>
      </x:c>
      <x:c r="C1380" s="58" t="n">
        <x:v>1.15</x:v>
      </x:c>
      <x:c r="D1380" s="58" t="n">
        <x:v>4</x:v>
      </x:c>
      <x:c r="E1380" s="58" t="n">
        <x:v>1</x:v>
      </x:c>
      <x:c r="F1380" s="58" t="str">
        <x:v>SEARCH</x:v>
      </x:c>
      <x:c r="G1380" s="58" t="n">
        <x:v>6</x:v>
      </x:c>
      <x:c r="H1380" s="59" t="n">
        <x:v>8</x:v>
      </x:c>
      <x:c r="I1380" s="59" t="n">
        <x:v>0.75848</x:v>
      </x:c>
      <x:c r="J1380" s="59" t="n">
        <x:v>0.75494</x:v>
      </x:c>
      <x:c r="K1380" s="59" t="n">
        <x:v>0.38457</x:v>
      </x:c>
      <x:c r="L1380" s="59" t="n">
        <x:v>0.1627</x:v>
      </x:c>
      <x:c r="M1380" s="59" t="n">
        <x:v>0.86302</x:v>
      </x:c>
      <x:c r="N1380" s="60" t="n">
        <x:v>-34.05</x:v>
      </x:c>
      <x:c r="O1380" s="60" t="n">
        <x:v>0.05</x:v>
      </x:c>
      <x:c r="P1380" s="60" t="n">
        <x:v>0.84</x:v>
      </x:c>
      <x:c r="Q1380" s="60" t="n">
        <x:v>79.3</x:v>
      </x:c>
      <x:c r="R1380" s="58" t="str">
        <x:v>X</x:v>
      </x:c>
      <x:c r="S1380" s="60" t="n">
        <x:v>100</x:v>
      </x:c>
      <x:c r="T1380" s="58" t="str">
        <x:v>VALID</x:v>
      </x:c>
      <x:c r="U1380" s="58" t="n">
        <x:v>1234</x:v>
      </x:c>
      <x:c r="V1380" s="58" t="str">
        <x:v>Pasted text(59).txt</x:v>
      </x:c>
    </x:row>
    <x:row r="1381">
      <x:c r="A1381" s="58" t="str">
        <x:v>S14</x:v>
      </x:c>
      <x:c r="B1381" s="58" t="str">
        <x:v>1.15 validation at 272 Hz</x:v>
      </x:c>
      <x:c r="C1381" s="58" t="n">
        <x:v>1.15</x:v>
      </x:c>
      <x:c r="D1381" s="58" t="n">
        <x:v>4</x:v>
      </x:c>
      <x:c r="E1381" s="58" t="n">
        <x:v>1</x:v>
      </x:c>
      <x:c r="F1381" s="58" t="str">
        <x:v>SEARCH</x:v>
      </x:c>
      <x:c r="G1381" s="58" t="n">
        <x:v>7</x:v>
      </x:c>
      <x:c r="H1381" s="59" t="n">
        <x:v>8.5</x:v>
      </x:c>
      <x:c r="I1381" s="59" t="n">
        <x:v>0.79245</x:v>
      </x:c>
      <x:c r="J1381" s="59" t="n">
        <x:v>0.79604</x:v>
      </x:c>
      <x:c r="K1381" s="59" t="n">
        <x:v>0.40555</x:v>
      </x:c>
      <x:c r="L1381" s="59" t="n">
        <x:v>0.19192</x:v>
      </x:c>
      <x:c r="M1381" s="59" t="n">
        <x:v>0.91493</x:v>
      </x:c>
      <x:c r="N1381" s="60" t="n">
        <x:v>-31.09</x:v>
      </x:c>
      <x:c r="O1381" s="60" t="n">
        <x:v>3.54</x:v>
      </x:c>
      <x:c r="P1381" s="60" t="n">
        <x:v>3.08</x:v>
      </x:c>
      <x:c r="Q1381" s="60" t="n">
        <x:v>83.5</x:v>
      </x:c>
      <x:c r="R1381" s="58" t="str">
        <x:v>X</x:v>
      </x:c>
      <x:c r="S1381" s="60" t="n">
        <x:v>100</x:v>
      </x:c>
      <x:c r="T1381" s="58" t="str">
        <x:v>VALID</x:v>
      </x:c>
      <x:c r="U1381" s="58" t="n">
        <x:v>1235</x:v>
      </x:c>
      <x:c r="V1381" s="58" t="str">
        <x:v>Pasted text(59).txt</x:v>
      </x:c>
    </x:row>
    <x:row r="1382">
      <x:c r="A1382" s="58" t="str">
        <x:v>S14</x:v>
      </x:c>
      <x:c r="B1382" s="58" t="str">
        <x:v>1.15 validation at 272 Hz</x:v>
      </x:c>
      <x:c r="C1382" s="58" t="n">
        <x:v>1.15</x:v>
      </x:c>
      <x:c r="D1382" s="58" t="n">
        <x:v>4</x:v>
      </x:c>
      <x:c r="E1382" s="58" t="n">
        <x:v>1</x:v>
      </x:c>
      <x:c r="F1382" s="58" t="str">
        <x:v>SEARCH</x:v>
      </x:c>
      <x:c r="G1382" s="58" t="n">
        <x:v>8</x:v>
      </x:c>
      <x:c r="H1382" s="59" t="n">
        <x:v>9</x:v>
      </x:c>
      <x:c r="I1382" s="59" t="n">
        <x:v>0.85873</x:v>
      </x:c>
      <x:c r="J1382" s="59" t="n">
        <x:v>0.85834</x:v>
      </x:c>
      <x:c r="K1382" s="59" t="n">
        <x:v>0.44962</x:v>
      </x:c>
      <x:c r="L1382" s="59" t="n">
        <x:v>0.20484</x:v>
      </x:c>
      <x:c r="M1382" s="59" t="n">
        <x:v>0.99081</x:v>
      </x:c>
      <x:c r="N1382" s="60" t="n">
        <x:v>-25.33</x:v>
      </x:c>
      <x:c r="O1382" s="60" t="n">
        <x:v>0.02</x:v>
      </x:c>
      <x:c r="P1382" s="60" t="n">
        <x:v>0.09</x:v>
      </x:c>
      <x:c r="Q1382" s="60" t="n">
        <x:v>81.5</x:v>
      </x:c>
      <x:c r="R1382" s="58" t="str">
        <x:v>X</x:v>
      </x:c>
      <x:c r="S1382" s="60" t="n">
        <x:v>100</x:v>
      </x:c>
      <x:c r="T1382" s="58" t="str">
        <x:v>VALID</x:v>
      </x:c>
      <x:c r="U1382" s="58" t="n">
        <x:v>1236</x:v>
      </x:c>
      <x:c r="V1382" s="58" t="str">
        <x:v>Pasted text(59).txt</x:v>
      </x:c>
    </x:row>
    <x:row r="1383">
      <x:c r="A1383" s="58" t="str">
        <x:v>S14</x:v>
      </x:c>
      <x:c r="B1383" s="58" t="str">
        <x:v>1.15 validation at 272 Hz</x:v>
      </x:c>
      <x:c r="C1383" s="58" t="n">
        <x:v>1.15</x:v>
      </x:c>
      <x:c r="D1383" s="58" t="n">
        <x:v>4</x:v>
      </x:c>
      <x:c r="E1383" s="58" t="n">
        <x:v>1</x:v>
      </x:c>
      <x:c r="F1383" s="58" t="str">
        <x:v>SEARCH</x:v>
      </x:c>
      <x:c r="G1383" s="58" t="n">
        <x:v>9</x:v>
      </x:c>
      <x:c r="H1383" s="59" t="n">
        <x:v>9.5</x:v>
      </x:c>
      <x:c r="I1383" s="59" t="n">
        <x:v>0.88222</x:v>
      </x:c>
      <x:c r="J1383" s="59" t="n">
        <x:v>0.89202</x:v>
      </x:c>
      <x:c r="K1383" s="59" t="n">
        <x:v>0.48704</x:v>
      </x:c>
      <x:c r="L1383" s="59" t="n">
        <x:v>0.22144</x:v>
      </x:c>
      <x:c r="M1383" s="59" t="n">
        <x:v>1.0413</x:v>
      </x:c>
      <x:c r="N1383" s="60" t="n">
        <x:v>-23.28</x:v>
      </x:c>
      <x:c r="O1383" s="60" t="n">
        <x:v>0.23</x:v>
      </x:c>
      <x:c r="P1383" s="60" t="n">
        <x:v>2.04</x:v>
      </x:c>
      <x:c r="Q1383" s="60" t="n">
        <x:v>83.4</x:v>
      </x:c>
      <x:c r="R1383" s="58" t="str">
        <x:v>X</x:v>
      </x:c>
      <x:c r="S1383" s="60" t="n">
        <x:v>100</x:v>
      </x:c>
      <x:c r="T1383" s="58" t="str">
        <x:v>VALID</x:v>
      </x:c>
      <x:c r="U1383" s="58" t="n">
        <x:v>1237</x:v>
      </x:c>
      <x:c r="V1383" s="58" t="str">
        <x:v>Pasted text(59).txt</x:v>
      </x:c>
    </x:row>
    <x:row r="1384">
      <x:c r="A1384" s="58" t="str">
        <x:v>S14</x:v>
      </x:c>
      <x:c r="B1384" s="58" t="str">
        <x:v>1.15 validation at 272 Hz</x:v>
      </x:c>
      <x:c r="C1384" s="58" t="n">
        <x:v>1.15</x:v>
      </x:c>
      <x:c r="D1384" s="58" t="n">
        <x:v>4</x:v>
      </x:c>
      <x:c r="E1384" s="58" t="n">
        <x:v>1</x:v>
      </x:c>
      <x:c r="F1384" s="58" t="str">
        <x:v>SEARCH</x:v>
      </x:c>
      <x:c r="G1384" s="58" t="n">
        <x:v>10</x:v>
      </x:c>
      <x:c r="H1384" s="59" t="n">
        <x:v>10</x:v>
      </x:c>
      <x:c r="I1384" s="59" t="n">
        <x:v>0.97479</x:v>
      </x:c>
      <x:c r="J1384" s="59" t="n">
        <x:v>0.98365</x:v>
      </x:c>
      <x:c r="K1384" s="59" t="n">
        <x:v>0.50106</x:v>
      </x:c>
      <x:c r="L1384" s="59" t="n">
        <x:v>0.2176</x:v>
      </x:c>
      <x:c r="M1384" s="59" t="n">
        <x:v>1.12548</x:v>
      </x:c>
      <x:c r="N1384" s="60" t="n">
        <x:v>-15.24</x:v>
      </x:c>
      <x:c r="O1384" s="60" t="n">
        <x:v>1</x:v>
      </x:c>
      <x:c r="P1384" s="60" t="n">
        <x:v>2.17</x:v>
      </x:c>
      <x:c r="Q1384" s="60" t="n">
        <x:v>83.7</x:v>
      </x:c>
      <x:c r="R1384" s="58" t="str">
        <x:v>X</x:v>
      </x:c>
      <x:c r="S1384" s="60" t="n">
        <x:v>100</x:v>
      </x:c>
      <x:c r="T1384" s="58" t="str">
        <x:v>VALID</x:v>
      </x:c>
      <x:c r="U1384" s="58" t="n">
        <x:v>1238</x:v>
      </x:c>
      <x:c r="V1384" s="58" t="str">
        <x:v>Pasted text(59).txt</x:v>
      </x:c>
    </x:row>
    <x:row r="1385">
      <x:c r="A1385" s="58" t="str">
        <x:v>S14</x:v>
      </x:c>
      <x:c r="B1385" s="58" t="str">
        <x:v>1.15 validation at 272 Hz</x:v>
      </x:c>
      <x:c r="C1385" s="58" t="n">
        <x:v>1.15</x:v>
      </x:c>
      <x:c r="D1385" s="58" t="n">
        <x:v>4</x:v>
      </x:c>
      <x:c r="E1385" s="58" t="n">
        <x:v>1</x:v>
      </x:c>
      <x:c r="F1385" s="58" t="str">
        <x:v>SEARCH</x:v>
      </x:c>
      <x:c r="G1385" s="58" t="n">
        <x:v>11</x:v>
      </x:c>
      <x:c r="H1385" s="59" t="n">
        <x:v>10.5</x:v>
      </x:c>
      <x:c r="I1385" s="59" t="n">
        <x:v>1.03031</x:v>
      </x:c>
      <x:c r="J1385" s="59" t="n">
        <x:v>1.03048</x:v>
      </x:c>
      <x:c r="K1385" s="59" t="n">
        <x:v>0.54293</x:v>
      </x:c>
      <x:c r="L1385" s="59" t="n">
        <x:v>0.24337</x:v>
      </x:c>
      <x:c r="M1385" s="59" t="n">
        <x:v>1.19014</x:v>
      </x:c>
      <x:c r="N1385" s="60" t="n">
        <x:v>-10.41</x:v>
      </x:c>
      <x:c r="O1385" s="60" t="n">
        <x:v>1.4</x:v>
      </x:c>
      <x:c r="P1385" s="60" t="n">
        <x:v>0.97</x:v>
      </x:c>
      <x:c r="Q1385" s="60" t="n">
        <x:v>88.4</x:v>
      </x:c>
      <x:c r="R1385" s="58" t="str">
        <x:v>X</x:v>
      </x:c>
      <x:c r="S1385" s="60" t="n">
        <x:v>100</x:v>
      </x:c>
      <x:c r="T1385" s="58" t="str">
        <x:v>VALID</x:v>
      </x:c>
      <x:c r="U1385" s="58" t="n">
        <x:v>1239</x:v>
      </x:c>
      <x:c r="V1385" s="58" t="str">
        <x:v>Pasted text(59).txt</x:v>
      </x:c>
    </x:row>
    <x:row r="1386">
      <x:c r="A1386" s="58" t="str">
        <x:v>S14</x:v>
      </x:c>
      <x:c r="B1386" s="58" t="str">
        <x:v>1.15 validation at 272 Hz</x:v>
      </x:c>
      <x:c r="C1386" s="58" t="n">
        <x:v>1.15</x:v>
      </x:c>
      <x:c r="D1386" s="58" t="n">
        <x:v>4</x:v>
      </x:c>
      <x:c r="E1386" s="58" t="n">
        <x:v>1</x:v>
      </x:c>
      <x:c r="F1386" s="58" t="str">
        <x:v>SEARCH</x:v>
      </x:c>
      <x:c r="G1386" s="58" t="n">
        <x:v>12</x:v>
      </x:c>
      <x:c r="H1386" s="59" t="n">
        <x:v>10.75</x:v>
      </x:c>
      <x:c r="I1386" s="59" t="n">
        <x:v>1.07505</x:v>
      </x:c>
      <x:c r="J1386" s="59" t="n">
        <x:v>1.07576</x:v>
      </x:c>
      <x:c r="K1386" s="59" t="n">
        <x:v>0.54773</x:v>
      </x:c>
      <x:c r="L1386" s="59" t="n">
        <x:v>0.21283</x:v>
      </x:c>
      <x:c r="M1386" s="59" t="n">
        <x:v>1.22607</x:v>
      </x:c>
      <x:c r="N1386" s="60" t="n">
        <x:v>-6.52</x:v>
      </x:c>
      <x:c r="O1386" s="60" t="n">
        <x:v>1.69</x:v>
      </x:c>
      <x:c r="P1386" s="60" t="n">
        <x:v>1.24</x:v>
      </x:c>
      <x:c r="Q1386" s="60" t="n">
        <x:v>85.3</x:v>
      </x:c>
      <x:c r="R1386" s="58" t="str">
        <x:v>X</x:v>
      </x:c>
      <x:c r="S1386" s="60" t="n">
        <x:v>100</x:v>
      </x:c>
      <x:c r="T1386" s="58" t="str">
        <x:v>IN TARGET BAND</x:v>
      </x:c>
      <x:c r="U1386" s="58" t="n">
        <x:v>1240</x:v>
      </x:c>
      <x:c r="V1386" s="58" t="str">
        <x:v>Pasted text(59).txt</x:v>
      </x:c>
    </x:row>
    <x:row r="1387">
      <x:c r="A1387" s="58" t="str">
        <x:v>S14</x:v>
      </x:c>
      <x:c r="B1387" s="58" t="str">
        <x:v>1.15 validation at 272 Hz</x:v>
      </x:c>
      <x:c r="C1387" s="58" t="n">
        <x:v>1.15</x:v>
      </x:c>
      <x:c r="D1387" s="58" t="n">
        <x:v>4</x:v>
      </x:c>
      <x:c r="E1387" s="58" t="n">
        <x:v>1</x:v>
      </x:c>
      <x:c r="F1387" s="58" t="str">
        <x:v>FINE</x:v>
      </x:c>
      <x:c r="G1387" s="58" t="n">
        <x:v>1</x:v>
      </x:c>
      <x:c r="H1387" s="59" t="n">
        <x:v>9.75</x:v>
      </x:c>
      <x:c r="I1387" s="59" t="n">
        <x:v>0.96013</x:v>
      </x:c>
      <x:c r="J1387" s="59" t="n">
        <x:v>0.95948</x:v>
      </x:c>
      <x:c r="K1387" s="59" t="n">
        <x:v>0.49702</x:v>
      </x:c>
      <x:c r="L1387" s="59" t="n">
        <x:v>0.21363</x:v>
      </x:c>
      <x:c r="M1387" s="59" t="n">
        <x:v>1.10275</x:v>
      </x:c>
      <x:c r="N1387" s="60" t="n">
        <x:v>-16.51</x:v>
      </x:c>
      <x:c r="O1387" s="60" t="n">
        <x:v>2.36</x:v>
      </x:c>
      <x:c r="P1387" s="60" t="n">
        <x:v>1.7</x:v>
      </x:c>
      <x:c r="Q1387" s="60" t="n">
        <x:v>81.7</x:v>
      </x:c>
      <x:c r="R1387" s="58" t="str">
        <x:v>X</x:v>
      </x:c>
      <x:c r="S1387" s="60" t="n">
        <x:v>100</x:v>
      </x:c>
      <x:c r="T1387" s="58" t="str">
        <x:v>VALID</x:v>
      </x:c>
      <x:c r="U1387" s="58" t="n">
        <x:v>1244</x:v>
      </x:c>
      <x:c r="V1387" s="58" t="str">
        <x:v>Pasted text(59).txt</x:v>
      </x:c>
    </x:row>
    <x:row r="1388">
      <x:c r="A1388" s="58" t="str">
        <x:v>S14</x:v>
      </x:c>
      <x:c r="B1388" s="58" t="str">
        <x:v>1.15 validation at 272 Hz</x:v>
      </x:c>
      <x:c r="C1388" s="58" t="n">
        <x:v>1.15</x:v>
      </x:c>
      <x:c r="D1388" s="58" t="n">
        <x:v>4</x:v>
      </x:c>
      <x:c r="E1388" s="58" t="n">
        <x:v>1</x:v>
      </x:c>
      <x:c r="F1388" s="58" t="str">
        <x:v>FINE</x:v>
      </x:c>
      <x:c r="G1388" s="58" t="n">
        <x:v>2</x:v>
      </x:c>
      <x:c r="H1388" s="59" t="n">
        <x:v>10</x:v>
      </x:c>
      <x:c r="I1388" s="59" t="n">
        <x:v>0.98839</x:v>
      </x:c>
      <x:c r="J1388" s="59" t="n">
        <x:v>0.97646</x:v>
      </x:c>
      <x:c r="K1388" s="59" t="n">
        <x:v>0.53418</x:v>
      </x:c>
      <x:c r="L1388" s="59" t="n">
        <x:v>0.20924</x:v>
      </x:c>
      <x:c r="M1388" s="59" t="n">
        <x:v>1.13272</x:v>
      </x:c>
      <x:c r="N1388" s="60" t="n">
        <x:v>-14.05</x:v>
      </x:c>
      <x:c r="O1388" s="60" t="n">
        <x:v>0.09</x:v>
      </x:c>
      <x:c r="P1388" s="60" t="n">
        <x:v>2.17</x:v>
      </x:c>
      <x:c r="Q1388" s="60" t="n">
        <x:v>83.3</x:v>
      </x:c>
      <x:c r="R1388" s="58" t="str">
        <x:v>X</x:v>
      </x:c>
      <x:c r="S1388" s="60" t="n">
        <x:v>100</x:v>
      </x:c>
      <x:c r="T1388" s="58" t="str">
        <x:v>VALID</x:v>
      </x:c>
      <x:c r="U1388" s="58" t="n">
        <x:v>1245</x:v>
      </x:c>
      <x:c r="V1388" s="58" t="str">
        <x:v>Pasted text(59).txt</x:v>
      </x:c>
    </x:row>
    <x:row r="1389">
      <x:c r="A1389" s="58" t="str">
        <x:v>S14</x:v>
      </x:c>
      <x:c r="B1389" s="58" t="str">
        <x:v>1.15 validation at 272 Hz</x:v>
      </x:c>
      <x:c r="C1389" s="58" t="n">
        <x:v>1.15</x:v>
      </x:c>
      <x:c r="D1389" s="58" t="n">
        <x:v>4</x:v>
      </x:c>
      <x:c r="E1389" s="58" t="n">
        <x:v>1</x:v>
      </x:c>
      <x:c r="F1389" s="58" t="str">
        <x:v>FINE</x:v>
      </x:c>
      <x:c r="G1389" s="58" t="n">
        <x:v>3</x:v>
      </x:c>
      <x:c r="H1389" s="59" t="n">
        <x:v>10.25</x:v>
      </x:c>
      <x:c r="I1389" s="59" t="n">
        <x:v>1.0003</x:v>
      </x:c>
      <x:c r="J1389" s="59" t="n">
        <x:v>1.00529</x:v>
      </x:c>
      <x:c r="K1389" s="59" t="n">
        <x:v>0.51965</x:v>
      </x:c>
      <x:c r="L1389" s="59" t="n">
        <x:v>0.22001</x:v>
      </x:c>
      <x:c r="M1389" s="59" t="n">
        <x:v>1.15291</x:v>
      </x:c>
      <x:c r="N1389" s="60" t="n">
        <x:v>-13.02</x:v>
      </x:c>
      <x:c r="O1389" s="60" t="n">
        <x:v>0.38</x:v>
      </x:c>
      <x:c r="P1389" s="60" t="n">
        <x:v>1.09</x:v>
      </x:c>
      <x:c r="Q1389" s="60" t="n">
        <x:v>85.3</x:v>
      </x:c>
      <x:c r="R1389" s="58" t="str">
        <x:v>X</x:v>
      </x:c>
      <x:c r="S1389" s="60" t="n">
        <x:v>100</x:v>
      </x:c>
      <x:c r="T1389" s="58" t="str">
        <x:v>VALID</x:v>
      </x:c>
      <x:c r="U1389" s="58" t="n">
        <x:v>1246</x:v>
      </x:c>
      <x:c r="V1389" s="58" t="str">
        <x:v>Pasted text(59).txt</x:v>
      </x:c>
    </x:row>
    <x:row r="1390">
      <x:c r="A1390" s="58" t="str">
        <x:v>S14</x:v>
      </x:c>
      <x:c r="B1390" s="58" t="str">
        <x:v>1.15 validation at 272 Hz</x:v>
      </x:c>
      <x:c r="C1390" s="58" t="n">
        <x:v>1.15</x:v>
      </x:c>
      <x:c r="D1390" s="58" t="n">
        <x:v>4</x:v>
      </x:c>
      <x:c r="E1390" s="58" t="n">
        <x:v>1</x:v>
      </x:c>
      <x:c r="F1390" s="58" t="str">
        <x:v>FINE</x:v>
      </x:c>
      <x:c r="G1390" s="58" t="n">
        <x:v>4</x:v>
      </x:c>
      <x:c r="H1390" s="59" t="n">
        <x:v>10.5</x:v>
      </x:c>
      <x:c r="I1390" s="59" t="n">
        <x:v>1.04025</x:v>
      </x:c>
      <x:c r="J1390" s="59" t="n">
        <x:v>1.02595</x:v>
      </x:c>
      <x:c r="K1390" s="59" t="n">
        <x:v>0.54652</x:v>
      </x:c>
      <x:c r="L1390" s="59" t="n">
        <x:v>0.19861</x:v>
      </x:c>
      <x:c r="M1390" s="59" t="n">
        <x:v>1.18021</x:v>
      </x:c>
      <x:c r="N1390" s="60" t="n">
        <x:v>-9.54</x:v>
      </x:c>
      <x:c r="O1390" s="60" t="n">
        <x:v>0.28</x:v>
      </x:c>
      <x:c r="P1390" s="60" t="n">
        <x:v>2.58</x:v>
      </x:c>
      <x:c r="Q1390" s="60" t="n">
        <x:v>87.6</x:v>
      </x:c>
      <x:c r="R1390" s="58" t="str">
        <x:v>X</x:v>
      </x:c>
      <x:c r="S1390" s="60" t="n">
        <x:v>100</x:v>
      </x:c>
      <x:c r="T1390" s="58" t="str">
        <x:v>VALID</x:v>
      </x:c>
      <x:c r="U1390" s="58" t="n">
        <x:v>1247</x:v>
      </x:c>
      <x:c r="V1390" s="58" t="str">
        <x:v>Pasted text(59).txt</x:v>
      </x:c>
    </x:row>
    <x:row r="1391">
      <x:c r="A1391" s="58" t="str">
        <x:v>S14</x:v>
      </x:c>
      <x:c r="B1391" s="58" t="str">
        <x:v>1.15 validation at 272 Hz</x:v>
      </x:c>
      <x:c r="C1391" s="58" t="n">
        <x:v>1.15</x:v>
      </x:c>
      <x:c r="D1391" s="58" t="n">
        <x:v>4</x:v>
      </x:c>
      <x:c r="E1391" s="58" t="n">
        <x:v>1</x:v>
      </x:c>
      <x:c r="F1391" s="58" t="str">
        <x:v>FINE</x:v>
      </x:c>
      <x:c r="G1391" s="58" t="n">
        <x:v>5</x:v>
      </x:c>
      <x:c r="H1391" s="59" t="n">
        <x:v>10.75</x:v>
      </x:c>
      <x:c r="I1391" s="59" t="n">
        <x:v>1.09011</x:v>
      </x:c>
      <x:c r="J1391" s="59" t="n">
        <x:v>1.08805</x:v>
      </x:c>
      <x:c r="K1391" s="59" t="n">
        <x:v>0.53246</x:v>
      </x:c>
      <x:c r="L1391" s="59" t="n">
        <x:v>0.24645</x:v>
      </x:c>
      <x:c r="M1391" s="59" t="n">
        <x:v>1.23641</x:v>
      </x:c>
      <x:c r="N1391" s="60" t="n">
        <x:v>-5.21</x:v>
      </x:c>
      <x:c r="O1391" s="60" t="n">
        <x:v>0.12</x:v>
      </x:c>
      <x:c r="P1391" s="60" t="n">
        <x:v>0.4</x:v>
      </x:c>
      <x:c r="Q1391" s="60" t="n">
        <x:v>86.3</x:v>
      </x:c>
      <x:c r="R1391" s="58" t="str">
        <x:v>X</x:v>
      </x:c>
      <x:c r="S1391" s="60" t="n">
        <x:v>100</x:v>
      </x:c>
      <x:c r="T1391" s="58" t="str">
        <x:v>IN TARGET BAND</x:v>
      </x:c>
      <x:c r="U1391" s="58" t="n">
        <x:v>1248</x:v>
      </x:c>
      <x:c r="V1391" s="58" t="str">
        <x:v>Pasted text(59).txt</x:v>
      </x:c>
    </x:row>
    <x:row r="1392">
      <x:c r="A1392" s="58" t="str">
        <x:v>S14</x:v>
      </x:c>
      <x:c r="B1392" s="58" t="str">
        <x:v>1.15 validation at 272 Hz</x:v>
      </x:c>
      <x:c r="C1392" s="58" t="n">
        <x:v>1.15</x:v>
      </x:c>
      <x:c r="D1392" s="58" t="n">
        <x:v>4</x:v>
      </x:c>
      <x:c r="E1392" s="58" t="n">
        <x:v>1</x:v>
      </x:c>
      <x:c r="F1392" s="58" t="str">
        <x:v>FINE</x:v>
      </x:c>
      <x:c r="G1392" s="58" t="n">
        <x:v>6</x:v>
      </x:c>
      <x:c r="H1392" s="59" t="n">
        <x:v>11</x:v>
      </x:c>
      <x:c r="I1392" s="59" t="n">
        <x:v>1.10669</x:v>
      </x:c>
      <x:c r="J1392" s="59" t="n">
        <x:v>1.12056</x:v>
      </x:c>
      <x:c r="K1392" s="59" t="n">
        <x:v>0.58313</x:v>
      </x:c>
      <x:c r="L1392" s="59" t="n">
        <x:v>0.25539</x:v>
      </x:c>
      <x:c r="M1392" s="59" t="n">
        <x:v>1.28888</x:v>
      </x:c>
      <x:c r="N1392" s="60" t="n">
        <x:v>-3.77</x:v>
      </x:c>
      <x:c r="O1392" s="60" t="n">
        <x:v>0.01</x:v>
      </x:c>
      <x:c r="P1392" s="60" t="n">
        <x:v>2.15</x:v>
      </x:c>
      <x:c r="Q1392" s="60" t="n">
        <x:v>87.1</x:v>
      </x:c>
      <x:c r="R1392" s="58" t="str">
        <x:v>X</x:v>
      </x:c>
      <x:c r="S1392" s="60" t="n">
        <x:v>100</x:v>
      </x:c>
      <x:c r="T1392" s="58" t="str">
        <x:v>IN TARGET BAND</x:v>
      </x:c>
      <x:c r="U1392" s="58" t="n">
        <x:v>1249</x:v>
      </x:c>
      <x:c r="V1392" s="58" t="str">
        <x:v>Pasted text(59).txt</x:v>
      </x:c>
    </x:row>
    <x:row r="1393">
      <x:c r="A1393" s="58" t="str">
        <x:v>S14</x:v>
      </x:c>
      <x:c r="B1393" s="58" t="str">
        <x:v>1.15 validation at 272 Hz</x:v>
      </x:c>
      <x:c r="C1393" s="58" t="n">
        <x:v>1.15</x:v>
      </x:c>
      <x:c r="D1393" s="58" t="n">
        <x:v>4</x:v>
      </x:c>
      <x:c r="E1393" s="58" t="n">
        <x:v>1</x:v>
      </x:c>
      <x:c r="F1393" s="58" t="str">
        <x:v>FINE</x:v>
      </x:c>
      <x:c r="G1393" s="58" t="n">
        <x:v>7</x:v>
      </x:c>
      <x:c r="H1393" s="59" t="n">
        <x:v>11.25</x:v>
      </x:c>
      <x:c r="I1393" s="59" t="n">
        <x:v>1.13612</x:v>
      </x:c>
      <x:c r="J1393" s="59" t="n">
        <x:v>1.13912</x:v>
      </x:c>
      <x:c r="K1393" s="59" t="n">
        <x:v>0.58064</x:v>
      </x:c>
      <x:c r="L1393" s="59" t="n">
        <x:v>0.24278</x:v>
      </x:c>
      <x:c r="M1393" s="59" t="n">
        <x:v>1.30151</x:v>
      </x:c>
      <x:c r="N1393" s="60" t="n">
        <x:v>-1.21</x:v>
      </x:c>
      <x:c r="O1393" s="60" t="n">
        <x:v>0.34</x:v>
      </x:c>
      <x:c r="P1393" s="60" t="n">
        <x:v>0.66</x:v>
      </x:c>
      <x:c r="Q1393" s="60" t="n">
        <x:v>87.7</x:v>
      </x:c>
      <x:c r="R1393" s="58" t="str">
        <x:v>X</x:v>
      </x:c>
      <x:c r="S1393" s="60" t="n">
        <x:v>100</x:v>
      </x:c>
      <x:c r="T1393" s="58" t="str">
        <x:v>IN TARGET BAND</x:v>
      </x:c>
      <x:c r="U1393" s="58" t="n">
        <x:v>1250</x:v>
      </x:c>
      <x:c r="V1393" s="58" t="str">
        <x:v>Pasted text(59).txt</x:v>
      </x:c>
    </x:row>
    <x:row r="1394">
      <x:c r="A1394" s="58" t="str">
        <x:v>S14</x:v>
      </x:c>
      <x:c r="B1394" s="58" t="str">
        <x:v>1.15 validation at 272 Hz</x:v>
      </x:c>
      <x:c r="C1394" s="58" t="n">
        <x:v>1.15</x:v>
      </x:c>
      <x:c r="D1394" s="58" t="n">
        <x:v>4</x:v>
      </x:c>
      <x:c r="E1394" s="58" t="n">
        <x:v>1</x:v>
      </x:c>
      <x:c r="F1394" s="58" t="str">
        <x:v>FINE</x:v>
      </x:c>
      <x:c r="G1394" s="58" t="n">
        <x:v>8</x:v>
      </x:c>
      <x:c r="H1394" s="59" t="n">
        <x:v>11.5</x:v>
      </x:c>
      <x:c r="I1394" s="59" t="n">
        <x:v>1.18801</x:v>
      </x:c>
      <x:c r="J1394" s="59" t="n">
        <x:v>1.17869</x:v>
      </x:c>
      <x:c r="K1394" s="59" t="n">
        <x:v>0.60298</x:v>
      </x:c>
      <x:c r="L1394" s="59" t="n">
        <x:v>0.25342</x:v>
      </x:c>
      <x:c r="M1394" s="59" t="n">
        <x:v>1.34848</x:v>
      </x:c>
      <x:c r="N1394" s="60" t="n">
        <x:v>3.31</x:v>
      </x:c>
      <x:c r="O1394" s="60" t="n">
        <x:v>0.5</x:v>
      </x:c>
      <x:c r="P1394" s="60" t="n">
        <x:v>1.67</x:v>
      </x:c>
      <x:c r="Q1394" s="60" t="n">
        <x:v>89.9</x:v>
      </x:c>
      <x:c r="R1394" s="58" t="str">
        <x:v>X</x:v>
      </x:c>
      <x:c r="S1394" s="60" t="n">
        <x:v>100</x:v>
      </x:c>
      <x:c r="T1394" s="58" t="str">
        <x:v>IN TARGET BAND</x:v>
      </x:c>
      <x:c r="U1394" s="58" t="n">
        <x:v>1251</x:v>
      </x:c>
      <x:c r="V1394" s="58" t="str">
        <x:v>Pasted text(59).txt</x:v>
      </x:c>
    </x:row>
    <x:row r="1395">
      <x:c r="A1395" s="58" t="str">
        <x:v>S14</x:v>
      </x:c>
      <x:c r="B1395" s="58" t="str">
        <x:v>1.15 validation at 272 Hz</x:v>
      </x:c>
      <x:c r="C1395" s="58" t="n">
        <x:v>1.15</x:v>
      </x:c>
      <x:c r="D1395" s="58" t="n">
        <x:v>4</x:v>
      </x:c>
      <x:c r="E1395" s="58" t="n">
        <x:v>1</x:v>
      </x:c>
      <x:c r="F1395" s="58" t="str">
        <x:v>FINE</x:v>
      </x:c>
      <x:c r="G1395" s="58" t="n">
        <x:v>9</x:v>
      </x:c>
      <x:c r="H1395" s="59" t="n">
        <x:v>11.75</x:v>
      </x:c>
      <x:c r="I1395" s="59" t="n">
        <x:v>1.19981</x:v>
      </x:c>
      <x:c r="J1395" s="59" t="n">
        <x:v>1.19531</x:v>
      </x:c>
      <x:c r="K1395" s="59" t="n">
        <x:v>0.62449</x:v>
      </x:c>
      <x:c r="L1395" s="59" t="n">
        <x:v>0.25753</x:v>
      </x:c>
      <x:c r="M1395" s="59" t="n">
        <x:v>1.37321</x:v>
      </x:c>
      <x:c r="N1395" s="60" t="n">
        <x:v>4.33</x:v>
      </x:c>
      <x:c r="O1395" s="60" t="n">
        <x:v>0.67</x:v>
      </x:c>
      <x:c r="P1395" s="60" t="n">
        <x:v>1.07</x:v>
      </x:c>
      <x:c r="Q1395" s="60" t="n">
        <x:v>86.8</x:v>
      </x:c>
      <x:c r="R1395" s="58" t="str">
        <x:v>X</x:v>
      </x:c>
      <x:c r="S1395" s="60" t="n">
        <x:v>100</x:v>
      </x:c>
      <x:c r="T1395" s="58" t="str">
        <x:v>IN TARGET BAND</x:v>
      </x:c>
      <x:c r="U1395" s="58" t="n">
        <x:v>1252</x:v>
      </x:c>
      <x:c r="V1395" s="58" t="str">
        <x:v>Pasted text(59).txt</x:v>
      </x:c>
    </x:row>
    <x:row r="1396">
      <x:c r="A1396" s="58" t="str">
        <x:v>S14</x:v>
      </x:c>
      <x:c r="B1396" s="58" t="str">
        <x:v>1.15 validation at 272 Hz</x:v>
      </x:c>
      <x:c r="C1396" s="58" t="n">
        <x:v>1.15</x:v>
      </x:c>
      <x:c r="D1396" s="58" t="n">
        <x:v>4</x:v>
      </x:c>
      <x:c r="E1396" s="58" t="n">
        <x:v>1</x:v>
      </x:c>
      <x:c r="F1396" s="58" t="str">
        <x:v>FINAL</x:v>
      </x:c>
      <x:c r="G1396" s="58" t="n">
        <x:v>1</x:v>
      </x:c>
      <x:c r="H1396" s="59" t="n">
        <x:v>11.25</x:v>
      </x:c>
      <x:c r="I1396" s="59" t="n">
        <x:v>1.14744</x:v>
      </x:c>
      <x:c r="J1396" s="59" t="n">
        <x:v>1.1487</x:v>
      </x:c>
      <x:c r="K1396" s="59" t="n">
        <x:v>0.57497</x:v>
      </x:c>
      <x:c r="L1396" s="59" t="n">
        <x:v>0.24542</x:v>
      </x:c>
      <x:c r="M1396" s="59" t="n">
        <x:v>1.30805</x:v>
      </x:c>
      <x:c r="N1396" s="60" t="n">
        <x:v>-0.22</x:v>
      </x:c>
      <x:c r="O1396" s="60" t="n">
        <x:v>1.07</x:v>
      </x:c>
      <x:c r="P1396" s="60" t="n">
        <x:v>0.69</x:v>
      </x:c>
      <x:c r="Q1396" s="60" t="n">
        <x:v>88.9</x:v>
      </x:c>
      <x:c r="R1396" s="58" t="str">
        <x:v>X</x:v>
      </x:c>
      <x:c r="S1396" s="60" t="n">
        <x:v>100</x:v>
      </x:c>
      <x:c r="T1396" s="58" t="str">
        <x:v>IN TARGET BAND</x:v>
      </x:c>
      <x:c r="U1396" s="58" t="n">
        <x:v>1255</x:v>
      </x:c>
      <x:c r="V1396" s="58" t="str">
        <x:v>Pasted text(59).txt</x:v>
      </x:c>
    </x:row>
    <x:row r="1397">
      <x:c r="A1397" s="58" t="str">
        <x:v>S14</x:v>
      </x:c>
      <x:c r="B1397" s="58" t="str">
        <x:v>1.15 validation at 272 Hz</x:v>
      </x:c>
      <x:c r="C1397" s="58" t="n">
        <x:v>1.15</x:v>
      </x:c>
      <x:c r="D1397" s="58" t="n">
        <x:v>4</x:v>
      </x:c>
      <x:c r="E1397" s="58" t="n">
        <x:v>1</x:v>
      </x:c>
      <x:c r="F1397" s="58" t="str">
        <x:v>FINAL</x:v>
      </x:c>
      <x:c r="G1397" s="58" t="n">
        <x:v>2</x:v>
      </x:c>
      <x:c r="H1397" s="59" t="n">
        <x:v>11.25</x:v>
      </x:c>
      <x:c r="I1397" s="59" t="n">
        <x:v>1.14536</x:v>
      </x:c>
      <x:c r="J1397" s="59" t="n">
        <x:v>1.15057</x:v>
      </x:c>
      <x:c r="K1397" s="59" t="n">
        <x:v>0.58093</x:v>
      </x:c>
      <x:c r="L1397" s="59" t="n">
        <x:v>0.23524</x:v>
      </x:c>
      <x:c r="M1397" s="59" t="n">
        <x:v>1.31042</x:v>
      </x:c>
      <x:c r="N1397" s="60" t="n">
        <x:v>-0.4</x:v>
      </x:c>
      <x:c r="O1397" s="60" t="n">
        <x:v>3.17</x:v>
      </x:c>
      <x:c r="P1397" s="60" t="n">
        <x:v>3.19</x:v>
      </x:c>
      <x:c r="Q1397" s="60" t="n">
        <x:v>89</x:v>
      </x:c>
      <x:c r="R1397" s="58" t="str">
        <x:v>X</x:v>
      </x:c>
      <x:c r="S1397" s="60" t="n">
        <x:v>100</x:v>
      </x:c>
      <x:c r="T1397" s="58" t="str">
        <x:v>IN TARGET BAND</x:v>
      </x:c>
      <x:c r="U1397" s="58" t="n">
        <x:v>1256</x:v>
      </x:c>
      <x:c r="V1397" s="58" t="str">
        <x:v>Pasted text(59).txt</x:v>
      </x:c>
    </x:row>
    <x:row r="1398">
      <x:c r="A1398" s="58" t="str">
        <x:v>S14</x:v>
      </x:c>
      <x:c r="B1398" s="58" t="str">
        <x:v>1.15 validation at 272 Hz</x:v>
      </x:c>
      <x:c r="C1398" s="58" t="n">
        <x:v>1.15</x:v>
      </x:c>
      <x:c r="D1398" s="58" t="n">
        <x:v>5</x:v>
      </x:c>
      <x:c r="E1398" s="58" t="n">
        <x:v>1</x:v>
      </x:c>
      <x:c r="F1398" s="58" t="str">
        <x:v>SEARCH</x:v>
      </x:c>
      <x:c r="G1398" s="58" t="n">
        <x:v>1</x:v>
      </x:c>
      <x:c r="H1398" s="59" t="n">
        <x:v>1</x:v>
      </x:c>
      <x:c r="I1398" s="59" t="n">
        <x:v>0.02619</x:v>
      </x:c>
      <x:c r="J1398" s="59" t="n">
        <x:v>0.02703</x:v>
      </x:c>
      <x:c r="K1398" s="59" t="n">
        <x:v>0.03109</x:v>
      </x:c>
      <x:c r="L1398" s="59" t="n">
        <x:v>0.01385</x:v>
      </x:c>
      <x:c r="M1398" s="59" t="n">
        <x:v>0.04359</x:v>
      </x:c>
      <x:c r="N1398" s="60" t="n">
        <x:v>-97.72</x:v>
      </x:c>
      <x:c r="O1398" s="60" t="n">
        <x:v>9.53</x:v>
      </x:c>
      <x:c r="P1398" s="60" t="n">
        <x:v>4.4</x:v>
      </x:c>
      <x:c r="Q1398" s="60" t="n">
        <x:v>8.2</x:v>
      </x:c>
      <x:c r="R1398" s="58" t="str">
        <x:v>Y</x:v>
      </x:c>
      <x:c r="S1398" s="60" t="n">
        <x:v>87</x:v>
      </x:c>
      <x:c r="T1398" s="58" t="str">
        <x:v>BELOW MEASUREMENT FLOOR — SEARCH CONTINUES</x:v>
      </x:c>
      <x:c r="U1398" s="58" t="n">
        <x:v>1312</x:v>
      </x:c>
      <x:c r="V1398" s="58" t="str">
        <x:v>Pasted text(59).txt</x:v>
      </x:c>
    </x:row>
    <x:row r="1399">
      <x:c r="A1399" s="58" t="str">
        <x:v>S14</x:v>
      </x:c>
      <x:c r="B1399" s="58" t="str">
        <x:v>1.15 validation at 272 Hz</x:v>
      </x:c>
      <x:c r="C1399" s="58" t="n">
        <x:v>1.15</x:v>
      </x:c>
      <x:c r="D1399" s="58" t="n">
        <x:v>5</x:v>
      </x:c>
      <x:c r="E1399" s="58" t="n">
        <x:v>1</x:v>
      </x:c>
      <x:c r="F1399" s="58" t="str">
        <x:v>SEARCH</x:v>
      </x:c>
      <x:c r="G1399" s="58" t="n">
        <x:v>2</x:v>
      </x:c>
      <x:c r="H1399" s="59" t="n">
        <x:v>3</x:v>
      </x:c>
      <x:c r="I1399" s="59" t="n">
        <x:v>0.18729</x:v>
      </x:c>
      <x:c r="J1399" s="59" t="n">
        <x:v>0.1852</x:v>
      </x:c>
      <x:c r="K1399" s="59" t="n">
        <x:v>0.09835</x:v>
      </x:c>
      <x:c r="L1399" s="59" t="n">
        <x:v>0.04027</x:v>
      </x:c>
      <x:c r="M1399" s="59" t="n">
        <x:v>0.21473</x:v>
      </x:c>
      <x:c r="N1399" s="60" t="n">
        <x:v>-83.71</x:v>
      </x:c>
      <x:c r="O1399" s="60" t="n">
        <x:v>16.12</x:v>
      </x:c>
      <x:c r="P1399" s="60" t="n">
        <x:v>12.72</x:v>
      </x:c>
      <x:c r="Q1399" s="60" t="n">
        <x:v>27.1</x:v>
      </x:c>
      <x:c r="R1399" s="58" t="str">
        <x:v>X</x:v>
      </x:c>
      <x:c r="S1399" s="60" t="n">
        <x:v>100</x:v>
      </x:c>
      <x:c r="T1399" s="58" t="str">
        <x:v>UNSTABLE — SEARCH CONTINUES</x:v>
      </x:c>
      <x:c r="U1399" s="58" t="n">
        <x:v>1313</x:v>
      </x:c>
      <x:c r="V1399" s="58" t="str">
        <x:v>Pasted text(59).txt</x:v>
      </x:c>
    </x:row>
    <x:row r="1400">
      <x:c r="A1400" s="58" t="str">
        <x:v>S14</x:v>
      </x:c>
      <x:c r="B1400" s="58" t="str">
        <x:v>1.15 validation at 272 Hz</x:v>
      </x:c>
      <x:c r="C1400" s="58" t="n">
        <x:v>1.15</x:v>
      </x:c>
      <x:c r="D1400" s="58" t="n">
        <x:v>5</x:v>
      </x:c>
      <x:c r="E1400" s="58" t="n">
        <x:v>1</x:v>
      </x:c>
      <x:c r="F1400" s="58" t="str">
        <x:v>SEARCH</x:v>
      </x:c>
      <x:c r="G1400" s="58" t="n">
        <x:v>3</x:v>
      </x:c>
      <x:c r="H1400" s="59" t="n">
        <x:v>5</x:v>
      </x:c>
      <x:c r="I1400" s="59" t="n">
        <x:v>0.39608</x:v>
      </x:c>
      <x:c r="J1400" s="59" t="n">
        <x:v>0.40136</x:v>
      </x:c>
      <x:c r="K1400" s="59" t="n">
        <x:v>0.20494</x:v>
      </x:c>
      <x:c r="L1400" s="59" t="n">
        <x:v>0.11267</x:v>
      </x:c>
      <x:c r="M1400" s="59" t="n">
        <x:v>0.46475</x:v>
      </x:c>
      <x:c r="N1400" s="60" t="n">
        <x:v>-65.56</x:v>
      </x:c>
      <x:c r="O1400" s="60" t="n">
        <x:v>2.2</x:v>
      </x:c>
      <x:c r="P1400" s="60" t="n">
        <x:v>3.63</x:v>
      </x:c>
      <x:c r="Q1400" s="60" t="n">
        <x:v>54.6</x:v>
      </x:c>
      <x:c r="R1400" s="58" t="str">
        <x:v>X</x:v>
      </x:c>
      <x:c r="S1400" s="60" t="n">
        <x:v>100</x:v>
      </x:c>
      <x:c r="T1400" s="58" t="str">
        <x:v>VALID</x:v>
      </x:c>
      <x:c r="U1400" s="58" t="n">
        <x:v>1314</x:v>
      </x:c>
      <x:c r="V1400" s="58" t="str">
        <x:v>Pasted text(59).txt</x:v>
      </x:c>
    </x:row>
    <x:row r="1401">
      <x:c r="A1401" s="58" t="str">
        <x:v>S14</x:v>
      </x:c>
      <x:c r="B1401" s="58" t="str">
        <x:v>1.15 validation at 272 Hz</x:v>
      </x:c>
      <x:c r="C1401" s="58" t="n">
        <x:v>1.15</x:v>
      </x:c>
      <x:c r="D1401" s="58" t="n">
        <x:v>5</x:v>
      </x:c>
      <x:c r="E1401" s="58" t="n">
        <x:v>1</x:v>
      </x:c>
      <x:c r="F1401" s="58" t="str">
        <x:v>SEARCH</x:v>
      </x:c>
      <x:c r="G1401" s="58" t="n">
        <x:v>4</x:v>
      </x:c>
      <x:c r="H1401" s="59" t="n">
        <x:v>6</x:v>
      </x:c>
      <x:c r="I1401" s="59" t="n">
        <x:v>0.51127</x:v>
      </x:c>
      <x:c r="J1401" s="59" t="n">
        <x:v>0.51416</x:v>
      </x:c>
      <x:c r="K1401" s="59" t="n">
        <x:v>0.2507</x:v>
      </x:c>
      <x:c r="L1401" s="59" t="n">
        <x:v>0.14574</x:v>
      </x:c>
      <x:c r="M1401" s="59" t="n">
        <x:v>0.5914</x:v>
      </x:c>
      <x:c r="N1401" s="60" t="n">
        <x:v>-55.54</x:v>
      </x:c>
      <x:c r="O1401" s="60" t="n">
        <x:v>5.28</x:v>
      </x:c>
      <x:c r="P1401" s="60" t="n">
        <x:v>4.42</x:v>
      </x:c>
      <x:c r="Q1401" s="60" t="n">
        <x:v>63.6</x:v>
      </x:c>
      <x:c r="R1401" s="58" t="str">
        <x:v>X</x:v>
      </x:c>
      <x:c r="S1401" s="60" t="n">
        <x:v>100</x:v>
      </x:c>
      <x:c r="T1401" s="58" t="str">
        <x:v>VALID</x:v>
      </x:c>
      <x:c r="U1401" s="58" t="n">
        <x:v>1315</x:v>
      </x:c>
      <x:c r="V1401" s="58" t="str">
        <x:v>Pasted text(59).txt</x:v>
      </x:c>
    </x:row>
    <x:row r="1402">
      <x:c r="A1402" s="58" t="str">
        <x:v>S14</x:v>
      </x:c>
      <x:c r="B1402" s="58" t="str">
        <x:v>1.15 validation at 272 Hz</x:v>
      </x:c>
      <x:c r="C1402" s="58" t="n">
        <x:v>1.15</x:v>
      </x:c>
      <x:c r="D1402" s="58" t="n">
        <x:v>5</x:v>
      </x:c>
      <x:c r="E1402" s="58" t="n">
        <x:v>1</x:v>
      </x:c>
      <x:c r="F1402" s="58" t="str">
        <x:v>SEARCH</x:v>
      </x:c>
      <x:c r="G1402" s="58" t="n">
        <x:v>5</x:v>
      </x:c>
      <x:c r="H1402" s="59" t="n">
        <x:v>7</x:v>
      </x:c>
      <x:c r="I1402" s="59" t="n">
        <x:v>0.63071</x:v>
      </x:c>
      <x:c r="J1402" s="59" t="n">
        <x:v>0.63393</x:v>
      </x:c>
      <x:c r="K1402" s="59" t="n">
        <x:v>0.35408</x:v>
      </x:c>
      <x:c r="L1402" s="59" t="n">
        <x:v>0.15328</x:v>
      </x:c>
      <x:c r="M1402" s="59" t="n">
        <x:v>0.74285</x:v>
      </x:c>
      <x:c r="N1402" s="60" t="n">
        <x:v>-45.16</x:v>
      </x:c>
      <x:c r="O1402" s="60" t="n">
        <x:v>2.52</x:v>
      </x:c>
      <x:c r="P1402" s="60" t="n">
        <x:v>2.49</x:v>
      </x:c>
      <x:c r="Q1402" s="60" t="n">
        <x:v>73.5</x:v>
      </x:c>
      <x:c r="R1402" s="58" t="str">
        <x:v>X</x:v>
      </x:c>
      <x:c r="S1402" s="60" t="n">
        <x:v>100</x:v>
      </x:c>
      <x:c r="T1402" s="58" t="str">
        <x:v>VALID</x:v>
      </x:c>
      <x:c r="U1402" s="58" t="n">
        <x:v>1316</x:v>
      </x:c>
      <x:c r="V1402" s="58" t="str">
        <x:v>Pasted text(59).txt</x:v>
      </x:c>
    </x:row>
    <x:row r="1403">
      <x:c r="A1403" s="58" t="str">
        <x:v>S14</x:v>
      </x:c>
      <x:c r="B1403" s="58" t="str">
        <x:v>1.15 validation at 272 Hz</x:v>
      </x:c>
      <x:c r="C1403" s="58" t="n">
        <x:v>1.15</x:v>
      </x:c>
      <x:c r="D1403" s="58" t="n">
        <x:v>5</x:v>
      </x:c>
      <x:c r="E1403" s="58" t="n">
        <x:v>1</x:v>
      </x:c>
      <x:c r="F1403" s="58" t="str">
        <x:v>SEARCH</x:v>
      </x:c>
      <x:c r="G1403" s="58" t="n">
        <x:v>6</x:v>
      </x:c>
      <x:c r="H1403" s="59" t="n">
        <x:v>8</x:v>
      </x:c>
      <x:c r="I1403" s="59" t="n">
        <x:v>0.72795</x:v>
      </x:c>
      <x:c r="J1403" s="59" t="n">
        <x:v>0.73069</x:v>
      </x:c>
      <x:c r="K1403" s="59" t="n">
        <x:v>0.39345</x:v>
      </x:c>
      <x:c r="L1403" s="59" t="n">
        <x:v>0.1748</x:v>
      </x:c>
      <x:c r="M1403" s="59" t="n">
        <x:v>0.84846</x:v>
      </x:c>
      <x:c r="N1403" s="60" t="n">
        <x:v>-36.7</x:v>
      </x:c>
      <x:c r="O1403" s="60" t="n">
        <x:v>3.57</x:v>
      </x:c>
      <x:c r="P1403" s="60" t="n">
        <x:v>2.98</x:v>
      </x:c>
      <x:c r="Q1403" s="60" t="n">
        <x:v>77.2</x:v>
      </x:c>
      <x:c r="R1403" s="58" t="str">
        <x:v>X</x:v>
      </x:c>
      <x:c r="S1403" s="60" t="n">
        <x:v>100</x:v>
      </x:c>
      <x:c r="T1403" s="58" t="str">
        <x:v>VALID</x:v>
      </x:c>
      <x:c r="U1403" s="58" t="n">
        <x:v>1317</x:v>
      </x:c>
      <x:c r="V1403" s="58" t="str">
        <x:v>Pasted text(59).txt</x:v>
      </x:c>
    </x:row>
    <x:row r="1404">
      <x:c r="A1404" s="58" t="str">
        <x:v>S14</x:v>
      </x:c>
      <x:c r="B1404" s="58" t="str">
        <x:v>1.15 validation at 272 Hz</x:v>
      </x:c>
      <x:c r="C1404" s="58" t="n">
        <x:v>1.15</x:v>
      </x:c>
      <x:c r="D1404" s="58" t="n">
        <x:v>5</x:v>
      </x:c>
      <x:c r="E1404" s="58" t="n">
        <x:v>1</x:v>
      </x:c>
      <x:c r="F1404" s="58" t="str">
        <x:v>SEARCH</x:v>
      </x:c>
      <x:c r="G1404" s="58" t="n">
        <x:v>7</x:v>
      </x:c>
      <x:c r="H1404" s="59" t="n">
        <x:v>8.5</x:v>
      </x:c>
      <x:c r="I1404" s="59" t="n">
        <x:v>0.77846</x:v>
      </x:c>
      <x:c r="J1404" s="59" t="n">
        <x:v>0.77331</x:v>
      </x:c>
      <x:c r="K1404" s="59" t="n">
        <x:v>0.39518</x:v>
      </x:c>
      <x:c r="L1404" s="59" t="n">
        <x:v>0.1896</x:v>
      </x:c>
      <x:c r="M1404" s="59" t="n">
        <x:v>0.88938</x:v>
      </x:c>
      <x:c r="N1404" s="60" t="n">
        <x:v>-32.31</x:v>
      </x:c>
      <x:c r="O1404" s="60" t="n">
        <x:v>0.66</x:v>
      </x:c>
      <x:c r="P1404" s="60" t="n">
        <x:v>1.55</x:v>
      </x:c>
      <x:c r="Q1404" s="60" t="n">
        <x:v>81</x:v>
      </x:c>
      <x:c r="R1404" s="58" t="str">
        <x:v>X</x:v>
      </x:c>
      <x:c r="S1404" s="60" t="n">
        <x:v>100</x:v>
      </x:c>
      <x:c r="T1404" s="58" t="str">
        <x:v>VALID</x:v>
      </x:c>
      <x:c r="U1404" s="58" t="n">
        <x:v>1318</x:v>
      </x:c>
      <x:c r="V1404" s="58" t="str">
        <x:v>Pasted text(59).txt</x:v>
      </x:c>
    </x:row>
    <x:row r="1405">
      <x:c r="A1405" s="58" t="str">
        <x:v>S14</x:v>
      </x:c>
      <x:c r="B1405" s="58" t="str">
        <x:v>1.15 validation at 272 Hz</x:v>
      </x:c>
      <x:c r="C1405" s="58" t="n">
        <x:v>1.15</x:v>
      </x:c>
      <x:c r="D1405" s="58" t="n">
        <x:v>5</x:v>
      </x:c>
      <x:c r="E1405" s="58" t="n">
        <x:v>1</x:v>
      </x:c>
      <x:c r="F1405" s="58" t="str">
        <x:v>SEARCH</x:v>
      </x:c>
      <x:c r="G1405" s="58" t="n">
        <x:v>8</x:v>
      </x:c>
      <x:c r="H1405" s="59" t="n">
        <x:v>9</x:v>
      </x:c>
      <x:c r="I1405" s="59" t="n">
        <x:v>0.84066</x:v>
      </x:c>
      <x:c r="J1405" s="59" t="n">
        <x:v>0.84791</x:v>
      </x:c>
      <x:c r="K1405" s="59" t="n">
        <x:v>0.45474</x:v>
      </x:c>
      <x:c r="L1405" s="59" t="n">
        <x:v>0.20613</x:v>
      </x:c>
      <x:c r="M1405" s="59" t="n">
        <x:v>0.98492</x:v>
      </x:c>
      <x:c r="N1405" s="60" t="n">
        <x:v>-26.9</x:v>
      </x:c>
      <x:c r="O1405" s="60" t="n">
        <x:v>0.7</x:v>
      </x:c>
      <x:c r="P1405" s="60" t="n">
        <x:v>1.9</x:v>
      </x:c>
      <x:c r="Q1405" s="60" t="n">
        <x:v>80.1</x:v>
      </x:c>
      <x:c r="R1405" s="58" t="str">
        <x:v>X</x:v>
      </x:c>
      <x:c r="S1405" s="60" t="n">
        <x:v>100</x:v>
      </x:c>
      <x:c r="T1405" s="58" t="str">
        <x:v>VALID</x:v>
      </x:c>
      <x:c r="U1405" s="58" t="n">
        <x:v>1319</x:v>
      </x:c>
      <x:c r="V1405" s="58" t="str">
        <x:v>Pasted text(59).txt</x:v>
      </x:c>
    </x:row>
    <x:row r="1406">
      <x:c r="A1406" s="58" t="str">
        <x:v>S14</x:v>
      </x:c>
      <x:c r="B1406" s="58" t="str">
        <x:v>1.15 validation at 272 Hz</x:v>
      </x:c>
      <x:c r="C1406" s="58" t="n">
        <x:v>1.15</x:v>
      </x:c>
      <x:c r="D1406" s="58" t="n">
        <x:v>5</x:v>
      </x:c>
      <x:c r="E1406" s="58" t="n">
        <x:v>1</x:v>
      </x:c>
      <x:c r="F1406" s="58" t="str">
        <x:v>SEARCH</x:v>
      </x:c>
      <x:c r="G1406" s="58" t="n">
        <x:v>9</x:v>
      </x:c>
      <x:c r="H1406" s="59" t="n">
        <x:v>9.5</x:v>
      </x:c>
      <x:c r="I1406" s="59" t="n">
        <x:v>0.88241</x:v>
      </x:c>
      <x:c r="J1406" s="59" t="n">
        <x:v>0.89633</x:v>
      </x:c>
      <x:c r="K1406" s="59" t="n">
        <x:v>0.4529</x:v>
      </x:c>
      <x:c r="L1406" s="59" t="n">
        <x:v>0.22022</x:v>
      </x:c>
      <x:c r="M1406" s="59" t="n">
        <x:v>1.02879</x:v>
      </x:c>
      <x:c r="N1406" s="60" t="n">
        <x:v>-23.27</x:v>
      </x:c>
      <x:c r="O1406" s="60" t="n">
        <x:v>0.03</x:v>
      </x:c>
      <x:c r="P1406" s="60" t="n">
        <x:v>2.71</x:v>
      </x:c>
      <x:c r="Q1406" s="60" t="n">
        <x:v>84.5</x:v>
      </x:c>
      <x:c r="R1406" s="58" t="str">
        <x:v>X</x:v>
      </x:c>
      <x:c r="S1406" s="60" t="n">
        <x:v>100</x:v>
      </x:c>
      <x:c r="T1406" s="58" t="str">
        <x:v>VALID</x:v>
      </x:c>
      <x:c r="U1406" s="58" t="n">
        <x:v>1320</x:v>
      </x:c>
      <x:c r="V1406" s="58" t="str">
        <x:v>Pasted text(59).txt</x:v>
      </x:c>
    </x:row>
    <x:row r="1407">
      <x:c r="A1407" s="58" t="str">
        <x:v>S14</x:v>
      </x:c>
      <x:c r="B1407" s="58" t="str">
        <x:v>1.15 validation at 272 Hz</x:v>
      </x:c>
      <x:c r="C1407" s="58" t="n">
        <x:v>1.15</x:v>
      </x:c>
      <x:c r="D1407" s="58" t="n">
        <x:v>5</x:v>
      </x:c>
      <x:c r="E1407" s="58" t="n">
        <x:v>1</x:v>
      </x:c>
      <x:c r="F1407" s="58" t="str">
        <x:v>SEARCH</x:v>
      </x:c>
      <x:c r="G1407" s="58" t="n">
        <x:v>10</x:v>
      </x:c>
      <x:c r="H1407" s="59" t="n">
        <x:v>10</x:v>
      </x:c>
      <x:c r="I1407" s="59" t="n">
        <x:v>0.98155</x:v>
      </x:c>
      <x:c r="J1407" s="59" t="n">
        <x:v>0.97713</x:v>
      </x:c>
      <x:c r="K1407" s="59" t="n">
        <x:v>0.48814</x:v>
      </x:c>
      <x:c r="L1407" s="59" t="n">
        <x:v>0.20616</x:v>
      </x:c>
      <x:c r="M1407" s="59" t="n">
        <x:v>1.11186</x:v>
      </x:c>
      <x:c r="N1407" s="60" t="n">
        <x:v>-14.65</x:v>
      </x:c>
      <x:c r="O1407" s="60" t="n">
        <x:v>0.14</x:v>
      </x:c>
      <x:c r="P1407" s="60" t="n">
        <x:v>0.87</x:v>
      </x:c>
      <x:c r="Q1407" s="60" t="n">
        <x:v>83.6</x:v>
      </x:c>
      <x:c r="R1407" s="58" t="str">
        <x:v>X</x:v>
      </x:c>
      <x:c r="S1407" s="60" t="n">
        <x:v>100</x:v>
      </x:c>
      <x:c r="T1407" s="58" t="str">
        <x:v>VALID</x:v>
      </x:c>
      <x:c r="U1407" s="58" t="n">
        <x:v>1321</x:v>
      </x:c>
      <x:c r="V1407" s="58" t="str">
        <x:v>Pasted text(59).txt</x:v>
      </x:c>
    </x:row>
    <x:row r="1408">
      <x:c r="A1408" s="58" t="str">
        <x:v>S14</x:v>
      </x:c>
      <x:c r="B1408" s="58" t="str">
        <x:v>1.15 validation at 272 Hz</x:v>
      </x:c>
      <x:c r="C1408" s="58" t="n">
        <x:v>1.15</x:v>
      </x:c>
      <x:c r="D1408" s="58" t="n">
        <x:v>5</x:v>
      </x:c>
      <x:c r="E1408" s="58" t="n">
        <x:v>1</x:v>
      </x:c>
      <x:c r="F1408" s="58" t="str">
        <x:v>SEARCH</x:v>
      </x:c>
      <x:c r="G1408" s="58" t="n">
        <x:v>11</x:v>
      </x:c>
      <x:c r="H1408" s="59" t="n">
        <x:v>10.25</x:v>
      </x:c>
      <x:c r="I1408" s="59" t="n">
        <x:v>1.00011</x:v>
      </x:c>
      <x:c r="J1408" s="59" t="n">
        <x:v>0.99574</x:v>
      </x:c>
      <x:c r="K1408" s="59" t="n">
        <x:v>0.49818</x:v>
      </x:c>
      <x:c r="L1408" s="59" t="n">
        <x:v>0.21654</x:v>
      </x:c>
      <x:c r="M1408" s="59" t="n">
        <x:v>1.13464</x:v>
      </x:c>
      <x:c r="N1408" s="60" t="n">
        <x:v>-13.03</x:v>
      </x:c>
      <x:c r="O1408" s="60" t="n">
        <x:v>1.1</x:v>
      </x:c>
      <x:c r="P1408" s="60" t="n">
        <x:v>1.46</x:v>
      </x:c>
      <x:c r="Q1408" s="60" t="n">
        <x:v>86.6</x:v>
      </x:c>
      <x:c r="R1408" s="58" t="str">
        <x:v>X</x:v>
      </x:c>
      <x:c r="S1408" s="60" t="n">
        <x:v>100</x:v>
      </x:c>
      <x:c r="T1408" s="58" t="str">
        <x:v>VALID</x:v>
      </x:c>
      <x:c r="U1408" s="58" t="n">
        <x:v>1322</x:v>
      </x:c>
      <x:c r="V1408" s="58" t="str">
        <x:v>Pasted text(59).txt</x:v>
      </x:c>
    </x:row>
    <x:row r="1409">
      <x:c r="A1409" s="58" t="str">
        <x:v>S14</x:v>
      </x:c>
      <x:c r="B1409" s="58" t="str">
        <x:v>1.15 validation at 272 Hz</x:v>
      </x:c>
      <x:c r="C1409" s="58" t="n">
        <x:v>1.15</x:v>
      </x:c>
      <x:c r="D1409" s="58" t="n">
        <x:v>5</x:v>
      </x:c>
      <x:c r="E1409" s="58" t="n">
        <x:v>1</x:v>
      </x:c>
      <x:c r="F1409" s="58" t="str">
        <x:v>SEARCH</x:v>
      </x:c>
      <x:c r="G1409" s="58" t="n">
        <x:v>12</x:v>
      </x:c>
      <x:c r="H1409" s="59" t="n">
        <x:v>10.5</x:v>
      </x:c>
      <x:c r="I1409" s="59" t="n">
        <x:v>1.03793</x:v>
      </x:c>
      <x:c r="J1409" s="59" t="n">
        <x:v>1.02157</x:v>
      </x:c>
      <x:c r="K1409" s="59" t="n">
        <x:v>0.50202</x:v>
      </x:c>
      <x:c r="L1409" s="59" t="n">
        <x:v>0.22317</x:v>
      </x:c>
      <x:c r="M1409" s="59" t="n">
        <x:v>1.16031</x:v>
      </x:c>
      <x:c r="N1409" s="60" t="n">
        <x:v>-9.74</x:v>
      </x:c>
      <x:c r="O1409" s="60" t="n">
        <x:v>1.4</x:v>
      </x:c>
      <x:c r="P1409" s="60" t="n">
        <x:v>3.64</x:v>
      </x:c>
      <x:c r="Q1409" s="60" t="n">
        <x:v>89.1</x:v>
      </x:c>
      <x:c r="R1409" s="58" t="str">
        <x:v>X</x:v>
      </x:c>
      <x:c r="S1409" s="60" t="n">
        <x:v>100</x:v>
      </x:c>
      <x:c r="T1409" s="58" t="str">
        <x:v>VALID</x:v>
      </x:c>
      <x:c r="U1409" s="58" t="n">
        <x:v>1323</x:v>
      </x:c>
      <x:c r="V1409" s="58" t="str">
        <x:v>Pasted text(59).txt</x:v>
      </x:c>
    </x:row>
    <x:row r="1410">
      <x:c r="A1410" s="58" t="str">
        <x:v>S14</x:v>
      </x:c>
      <x:c r="B1410" s="58" t="str">
        <x:v>1.15 validation at 272 Hz</x:v>
      </x:c>
      <x:c r="C1410" s="58" t="n">
        <x:v>1.15</x:v>
      </x:c>
      <x:c r="D1410" s="58" t="n">
        <x:v>5</x:v>
      </x:c>
      <x:c r="E1410" s="58" t="n">
        <x:v>1</x:v>
      </x:c>
      <x:c r="F1410" s="58" t="str">
        <x:v>SEARCH</x:v>
      </x:c>
      <x:c r="G1410" s="58" t="n">
        <x:v>13</x:v>
      </x:c>
      <x:c r="H1410" s="59" t="n">
        <x:v>10.75</x:v>
      </x:c>
      <x:c r="I1410" s="59" t="n">
        <x:v>1.06116</x:v>
      </x:c>
      <x:c r="J1410" s="59" t="n">
        <x:v>1.05771</x:v>
      </x:c>
      <x:c r="K1410" s="59" t="n">
        <x:v>0.52839</x:v>
      </x:c>
      <x:c r="L1410" s="59" t="n">
        <x:v>0.23344</x:v>
      </x:c>
      <x:c r="M1410" s="59" t="n">
        <x:v>1.20549</x:v>
      </x:c>
      <x:c r="N1410" s="60" t="n">
        <x:v>-7.73</x:v>
      </x:c>
      <x:c r="O1410" s="60" t="n">
        <x:v>0.02</x:v>
      </x:c>
      <x:c r="P1410" s="60" t="n">
        <x:v>0.58</x:v>
      </x:c>
      <x:c r="Q1410" s="60" t="n">
        <x:v>85.5</x:v>
      </x:c>
      <x:c r="R1410" s="58" t="str">
        <x:v>X</x:v>
      </x:c>
      <x:c r="S1410" s="60" t="n">
        <x:v>100</x:v>
      </x:c>
      <x:c r="T1410" s="58" t="str">
        <x:v>VALID</x:v>
      </x:c>
      <x:c r="U1410" s="58" t="n">
        <x:v>1324</x:v>
      </x:c>
      <x:c r="V1410" s="58" t="str">
        <x:v>Pasted text(59).txt</x:v>
      </x:c>
    </x:row>
    <x:row r="1411">
      <x:c r="A1411" s="58" t="str">
        <x:v>S14</x:v>
      </x:c>
      <x:c r="B1411" s="58" t="str">
        <x:v>1.15 validation at 272 Hz</x:v>
      </x:c>
      <x:c r="C1411" s="58" t="n">
        <x:v>1.15</x:v>
      </x:c>
      <x:c r="D1411" s="58" t="n">
        <x:v>5</x:v>
      </x:c>
      <x:c r="E1411" s="58" t="n">
        <x:v>1</x:v>
      </x:c>
      <x:c r="F1411" s="58" t="str">
        <x:v>SEARCH</x:v>
      </x:c>
      <x:c r="G1411" s="58" t="n">
        <x:v>14</x:v>
      </x:c>
      <x:c r="H1411" s="59" t="n">
        <x:v>11</x:v>
      </x:c>
      <x:c r="I1411" s="59" t="n">
        <x:v>1.10291</x:v>
      </x:c>
      <x:c r="J1411" s="59" t="n">
        <x:v>1.10144</x:v>
      </x:c>
      <x:c r="K1411" s="59" t="n">
        <x:v>0.55892</x:v>
      </x:c>
      <x:c r="L1411" s="59" t="n">
        <x:v>0.22614</x:v>
      </x:c>
      <x:c r="M1411" s="59" t="n">
        <x:v>1.25622</x:v>
      </x:c>
      <x:c r="N1411" s="60" t="n">
        <x:v>-4.1</x:v>
      </x:c>
      <x:c r="O1411" s="60" t="n">
        <x:v>1.69</x:v>
      </x:c>
      <x:c r="P1411" s="60" t="n">
        <x:v>1.34</x:v>
      </x:c>
      <x:c r="Q1411" s="60" t="n">
        <x:v>86.1</x:v>
      </x:c>
      <x:c r="R1411" s="58" t="str">
        <x:v>X</x:v>
      </x:c>
      <x:c r="S1411" s="60" t="n">
        <x:v>100</x:v>
      </x:c>
      <x:c r="T1411" s="58" t="str">
        <x:v>IN TARGET BAND</x:v>
      </x:c>
      <x:c r="U1411" s="58" t="n">
        <x:v>1325</x:v>
      </x:c>
      <x:c r="V1411" s="58" t="str">
        <x:v>Pasted text(59).txt</x:v>
      </x:c>
    </x:row>
    <x:row r="1412">
      <x:c r="A1412" s="58" t="str">
        <x:v>S14</x:v>
      </x:c>
      <x:c r="B1412" s="58" t="str">
        <x:v>1.15 validation at 272 Hz</x:v>
      </x:c>
      <x:c r="C1412" s="58" t="n">
        <x:v>1.15</x:v>
      </x:c>
      <x:c r="D1412" s="58" t="n">
        <x:v>5</x:v>
      </x:c>
      <x:c r="E1412" s="58" t="n">
        <x:v>1</x:v>
      </x:c>
      <x:c r="F1412" s="58" t="str">
        <x:v>FINE</x:v>
      </x:c>
      <x:c r="G1412" s="58" t="n">
        <x:v>1</x:v>
      </x:c>
      <x:c r="H1412" s="59" t="n">
        <x:v>10</x:v>
      </x:c>
      <x:c r="I1412" s="59" t="n">
        <x:v>0.96142</x:v>
      </x:c>
      <x:c r="J1412" s="59" t="n">
        <x:v>0.96557</x:v>
      </x:c>
      <x:c r="K1412" s="59" t="n">
        <x:v>0.48112</x:v>
      </x:c>
      <x:c r="L1412" s="59" t="n">
        <x:v>0.24697</x:v>
      </x:c>
      <x:c r="M1412" s="59" t="n">
        <x:v>1.1071</x:v>
      </x:c>
      <x:c r="N1412" s="60" t="n">
        <x:v>-16.4</x:v>
      </x:c>
      <x:c r="O1412" s="60" t="n">
        <x:v>0.29</x:v>
      </x:c>
      <x:c r="P1412" s="60" t="n">
        <x:v>0.92</x:v>
      </x:c>
      <x:c r="Q1412" s="60" t="n">
        <x:v>84.3</x:v>
      </x:c>
      <x:c r="R1412" s="58" t="str">
        <x:v>X</x:v>
      </x:c>
      <x:c r="S1412" s="60" t="n">
        <x:v>100</x:v>
      </x:c>
      <x:c r="T1412" s="58" t="str">
        <x:v>VALID</x:v>
      </x:c>
      <x:c r="U1412" s="58" t="n">
        <x:v>1329</x:v>
      </x:c>
      <x:c r="V1412" s="58" t="str">
        <x:v>Pasted text(59).txt</x:v>
      </x:c>
    </x:row>
    <x:row r="1413">
      <x:c r="A1413" s="58" t="str">
        <x:v>S14</x:v>
      </x:c>
      <x:c r="B1413" s="58" t="str">
        <x:v>1.15 validation at 272 Hz</x:v>
      </x:c>
      <x:c r="C1413" s="58" t="n">
        <x:v>1.15</x:v>
      </x:c>
      <x:c r="D1413" s="58" t="n">
        <x:v>5</x:v>
      </x:c>
      <x:c r="E1413" s="58" t="n">
        <x:v>1</x:v>
      </x:c>
      <x:c r="F1413" s="58" t="str">
        <x:v>FINE</x:v>
      </x:c>
      <x:c r="G1413" s="58" t="n">
        <x:v>2</x:v>
      </x:c>
      <x:c r="H1413" s="59" t="n">
        <x:v>10.25</x:v>
      </x:c>
      <x:c r="I1413" s="59" t="n">
        <x:v>0.99468</x:v>
      </x:c>
      <x:c r="J1413" s="59" t="n">
        <x:v>0.99391</x:v>
      </x:c>
      <x:c r="K1413" s="59" t="n">
        <x:v>0.52989</x:v>
      </x:c>
      <x:c r="L1413" s="59" t="n">
        <x:v>0.22076</x:v>
      </x:c>
      <x:c r="M1413" s="59" t="n">
        <x:v>1.14815</x:v>
      </x:c>
      <x:c r="N1413" s="60" t="n">
        <x:v>-13.51</x:v>
      </x:c>
      <x:c r="O1413" s="60" t="n">
        <x:v>0.44</x:v>
      </x:c>
      <x:c r="P1413" s="60" t="n">
        <x:v>0.42</x:v>
      </x:c>
      <x:c r="Q1413" s="60" t="n">
        <x:v>86.8</x:v>
      </x:c>
      <x:c r="R1413" s="58" t="str">
        <x:v>X</x:v>
      </x:c>
      <x:c r="S1413" s="60" t="n">
        <x:v>100</x:v>
      </x:c>
      <x:c r="T1413" s="58" t="str">
        <x:v>VALID</x:v>
      </x:c>
      <x:c r="U1413" s="58" t="n">
        <x:v>1330</x:v>
      </x:c>
      <x:c r="V1413" s="58" t="str">
        <x:v>Pasted text(59).txt</x:v>
      </x:c>
    </x:row>
    <x:row r="1414">
      <x:c r="A1414" s="58" t="str">
        <x:v>S14</x:v>
      </x:c>
      <x:c r="B1414" s="58" t="str">
        <x:v>1.15 validation at 272 Hz</x:v>
      </x:c>
      <x:c r="C1414" s="58" t="n">
        <x:v>1.15</x:v>
      </x:c>
      <x:c r="D1414" s="58" t="n">
        <x:v>5</x:v>
      </x:c>
      <x:c r="E1414" s="58" t="n">
        <x:v>1</x:v>
      </x:c>
      <x:c r="F1414" s="58" t="str">
        <x:v>FINE</x:v>
      </x:c>
      <x:c r="G1414" s="58" t="n">
        <x:v>3</x:v>
      </x:c>
      <x:c r="H1414" s="59" t="n">
        <x:v>10.5</x:v>
      </x:c>
      <x:c r="I1414" s="59" t="n">
        <x:v>1.02066</x:v>
      </x:c>
      <x:c r="J1414" s="59" t="n">
        <x:v>1.01637</x:v>
      </x:c>
      <x:c r="K1414" s="59" t="n">
        <x:v>0.5426</x:v>
      </x:c>
      <x:c r="L1414" s="59" t="n">
        <x:v>0.2198</x:v>
      </x:c>
      <x:c r="M1414" s="59" t="n">
        <x:v>1.17337</x:v>
      </x:c>
      <x:c r="N1414" s="60" t="n">
        <x:v>-11.25</x:v>
      </x:c>
      <x:c r="O1414" s="60" t="n">
        <x:v>0.99</x:v>
      </x:c>
      <x:c r="P1414" s="60" t="n">
        <x:v>1.36</x:v>
      </x:c>
      <x:c r="Q1414" s="60" t="n">
        <x:v>87.1</x:v>
      </x:c>
      <x:c r="R1414" s="58" t="str">
        <x:v>X</x:v>
      </x:c>
      <x:c r="S1414" s="60" t="n">
        <x:v>100</x:v>
      </x:c>
      <x:c r="T1414" s="58" t="str">
        <x:v>VALID</x:v>
      </x:c>
      <x:c r="U1414" s="58" t="n">
        <x:v>1331</x:v>
      </x:c>
      <x:c r="V1414" s="58" t="str">
        <x:v>Pasted text(59).txt</x:v>
      </x:c>
    </x:row>
    <x:row r="1415">
      <x:c r="A1415" s="58" t="str">
        <x:v>S14</x:v>
      </x:c>
      <x:c r="B1415" s="58" t="str">
        <x:v>1.15 validation at 272 Hz</x:v>
      </x:c>
      <x:c r="C1415" s="58" t="n">
        <x:v>1.15</x:v>
      </x:c>
      <x:c r="D1415" s="58" t="n">
        <x:v>5</x:v>
      </x:c>
      <x:c r="E1415" s="58" t="n">
        <x:v>1</x:v>
      </x:c>
      <x:c r="F1415" s="58" t="str">
        <x:v>FINE</x:v>
      </x:c>
      <x:c r="G1415" s="58" t="n">
        <x:v>4</x:v>
      </x:c>
      <x:c r="H1415" s="59" t="n">
        <x:v>10.75</x:v>
      </x:c>
      <x:c r="I1415" s="59" t="n">
        <x:v>1.05578</x:v>
      </x:c>
      <x:c r="J1415" s="59" t="n">
        <x:v>1.05534</x:v>
      </x:c>
      <x:c r="K1415" s="59" t="n">
        <x:v>0.53242</x:v>
      </x:c>
      <x:c r="L1415" s="59" t="n">
        <x:v>0.24717</x:v>
      </x:c>
      <x:c r="M1415" s="59" t="n">
        <x:v>1.20767</x:v>
      </x:c>
      <x:c r="N1415" s="60" t="n">
        <x:v>-8.19</x:v>
      </x:c>
      <x:c r="O1415" s="60" t="n">
        <x:v>0.4</x:v>
      </x:c>
      <x:c r="P1415" s="60" t="n">
        <x:v>0.33</x:v>
      </x:c>
      <x:c r="Q1415" s="60" t="n">
        <x:v>84.7</x:v>
      </x:c>
      <x:c r="R1415" s="58" t="str">
        <x:v>X</x:v>
      </x:c>
      <x:c r="S1415" s="60" t="n">
        <x:v>100</x:v>
      </x:c>
      <x:c r="T1415" s="58" t="str">
        <x:v>VALID</x:v>
      </x:c>
      <x:c r="U1415" s="58" t="n">
        <x:v>1332</x:v>
      </x:c>
      <x:c r="V1415" s="58" t="str">
        <x:v>Pasted text(59).txt</x:v>
      </x:c>
    </x:row>
    <x:row r="1416">
      <x:c r="A1416" s="58" t="str">
        <x:v>S14</x:v>
      </x:c>
      <x:c r="B1416" s="58" t="str">
        <x:v>1.15 validation at 272 Hz</x:v>
      </x:c>
      <x:c r="C1416" s="58" t="n">
        <x:v>1.15</x:v>
      </x:c>
      <x:c r="D1416" s="58" t="n">
        <x:v>5</x:v>
      </x:c>
      <x:c r="E1416" s="58" t="n">
        <x:v>1</x:v>
      </x:c>
      <x:c r="F1416" s="58" t="str">
        <x:v>FINE</x:v>
      </x:c>
      <x:c r="G1416" s="58" t="n">
        <x:v>5</x:v>
      </x:c>
      <x:c r="H1416" s="59" t="n">
        <x:v>11</x:v>
      </x:c>
      <x:c r="I1416" s="59" t="n">
        <x:v>1.08355</x:v>
      </x:c>
      <x:c r="J1416" s="59" t="n">
        <x:v>1.08716</x:v>
      </x:c>
      <x:c r="K1416" s="59" t="n">
        <x:v>0.58249</x:v>
      </x:c>
      <x:c r="L1416" s="59" t="n">
        <x:v>0.24609</x:v>
      </x:c>
      <x:c r="M1416" s="59" t="n">
        <x:v>1.25826</x:v>
      </x:c>
      <x:c r="N1416" s="60" t="n">
        <x:v>-5.78</x:v>
      </x:c>
      <x:c r="O1416" s="60" t="n">
        <x:v>1.55</x:v>
      </x:c>
      <x:c r="P1416" s="60" t="n">
        <x:v>1.57</x:v>
      </x:c>
      <x:c r="Q1416" s="60" t="n">
        <x:v>85.7</x:v>
      </x:c>
      <x:c r="R1416" s="58" t="str">
        <x:v>X</x:v>
      </x:c>
      <x:c r="S1416" s="60" t="n">
        <x:v>100</x:v>
      </x:c>
      <x:c r="T1416" s="58" t="str">
        <x:v>IN TARGET BAND</x:v>
      </x:c>
      <x:c r="U1416" s="58" t="n">
        <x:v>1333</x:v>
      </x:c>
      <x:c r="V1416" s="58" t="str">
        <x:v>Pasted text(59).txt</x:v>
      </x:c>
    </x:row>
    <x:row r="1417">
      <x:c r="A1417" s="58" t="str">
        <x:v>S14</x:v>
      </x:c>
      <x:c r="B1417" s="58" t="str">
        <x:v>1.15 validation at 272 Hz</x:v>
      </x:c>
      <x:c r="C1417" s="58" t="n">
        <x:v>1.15</x:v>
      </x:c>
      <x:c r="D1417" s="58" t="n">
        <x:v>5</x:v>
      </x:c>
      <x:c r="E1417" s="58" t="n">
        <x:v>1</x:v>
      </x:c>
      <x:c r="F1417" s="58" t="str">
        <x:v>FINE</x:v>
      </x:c>
      <x:c r="G1417" s="58" t="n">
        <x:v>6</x:v>
      </x:c>
      <x:c r="H1417" s="59" t="n">
        <x:v>11.25</x:v>
      </x:c>
      <x:c r="I1417" s="59" t="n">
        <x:v>1.11761</x:v>
      </x:c>
      <x:c r="J1417" s="59" t="n">
        <x:v>1.1086</x:v>
      </x:c>
      <x:c r="K1417" s="59" t="n">
        <x:v>0.56842</x:v>
      </x:c>
      <x:c r="L1417" s="59" t="n">
        <x:v>0.24306</x:v>
      </x:c>
      <x:c r="M1417" s="59" t="n">
        <x:v>1.26953</x:v>
      </x:c>
      <x:c r="N1417" s="60" t="n">
        <x:v>-2.82</x:v>
      </x:c>
      <x:c r="O1417" s="60" t="n">
        <x:v>0.39</x:v>
      </x:c>
      <x:c r="P1417" s="60" t="n">
        <x:v>1.64</x:v>
      </x:c>
      <x:c r="Q1417" s="60" t="n">
        <x:v>87.8</x:v>
      </x:c>
      <x:c r="R1417" s="58" t="str">
        <x:v>X</x:v>
      </x:c>
      <x:c r="S1417" s="60" t="n">
        <x:v>100</x:v>
      </x:c>
      <x:c r="T1417" s="58" t="str">
        <x:v>IN TARGET BAND</x:v>
      </x:c>
      <x:c r="U1417" s="58" t="n">
        <x:v>1334</x:v>
      </x:c>
      <x:c r="V1417" s="58" t="str">
        <x:v>Pasted text(59).txt</x:v>
      </x:c>
    </x:row>
    <x:row r="1418">
      <x:c r="A1418" s="58" t="str">
        <x:v>S14</x:v>
      </x:c>
      <x:c r="B1418" s="58" t="str">
        <x:v>1.15 validation at 272 Hz</x:v>
      </x:c>
      <x:c r="C1418" s="58" t="n">
        <x:v>1.15</x:v>
      </x:c>
      <x:c r="D1418" s="58" t="n">
        <x:v>5</x:v>
      </x:c>
      <x:c r="E1418" s="58" t="n">
        <x:v>1</x:v>
      </x:c>
      <x:c r="F1418" s="58" t="str">
        <x:v>FINE</x:v>
      </x:c>
      <x:c r="G1418" s="58" t="n">
        <x:v>7</x:v>
      </x:c>
      <x:c r="H1418" s="59" t="n">
        <x:v>11.5</x:v>
      </x:c>
      <x:c r="I1418" s="59" t="n">
        <x:v>1.14338</x:v>
      </x:c>
      <x:c r="J1418" s="59" t="n">
        <x:v>1.14311</x:v>
      </x:c>
      <x:c r="K1418" s="59" t="n">
        <x:v>0.58944</x:v>
      </x:c>
      <x:c r="L1418" s="59" t="n">
        <x:v>0.23648</x:v>
      </x:c>
      <x:c r="M1418" s="59" t="n">
        <x:v>1.3078</x:v>
      </x:c>
      <x:c r="N1418" s="60" t="n">
        <x:v>-0.58</x:v>
      </x:c>
      <x:c r="O1418" s="60" t="n">
        <x:v>1.2</x:v>
      </x:c>
      <x:c r="P1418" s="60" t="n">
        <x:v>0.84</x:v>
      </x:c>
      <x:c r="Q1418" s="60" t="n">
        <x:v>89.3</x:v>
      </x:c>
      <x:c r="R1418" s="58" t="str">
        <x:v>X</x:v>
      </x:c>
      <x:c r="S1418" s="60" t="n">
        <x:v>100</x:v>
      </x:c>
      <x:c r="T1418" s="58" t="str">
        <x:v>IN TARGET BAND</x:v>
      </x:c>
      <x:c r="U1418" s="58" t="n">
        <x:v>1335</x:v>
      </x:c>
      <x:c r="V1418" s="58" t="str">
        <x:v>Pasted text(59).txt</x:v>
      </x:c>
    </x:row>
    <x:row r="1419">
      <x:c r="A1419" s="58" t="str">
        <x:v>S14</x:v>
      </x:c>
      <x:c r="B1419" s="58" t="str">
        <x:v>1.15 validation at 272 Hz</x:v>
      </x:c>
      <x:c r="C1419" s="58" t="n">
        <x:v>1.15</x:v>
      </x:c>
      <x:c r="D1419" s="58" t="n">
        <x:v>5</x:v>
      </x:c>
      <x:c r="E1419" s="58" t="n">
        <x:v>1</x:v>
      </x:c>
      <x:c r="F1419" s="58" t="str">
        <x:v>FINE</x:v>
      </x:c>
      <x:c r="G1419" s="58" t="n">
        <x:v>8</x:v>
      </x:c>
      <x:c r="H1419" s="59" t="n">
        <x:v>11.75</x:v>
      </x:c>
      <x:c r="I1419" s="59" t="n">
        <x:v>1.17897</x:v>
      </x:c>
      <x:c r="J1419" s="59" t="n">
        <x:v>1.16735</x:v>
      </x:c>
      <x:c r="K1419" s="59" t="n">
        <x:v>0.59815</x:v>
      </x:c>
      <x:c r="L1419" s="59" t="n">
        <x:v>0.25613</x:v>
      </x:c>
      <x:c r="M1419" s="59" t="n">
        <x:v>1.33677</x:v>
      </x:c>
      <x:c r="N1419" s="60" t="n">
        <x:v>2.52</x:v>
      </x:c>
      <x:c r="O1419" s="60" t="n">
        <x:v>0.01</x:v>
      </x:c>
      <x:c r="P1419" s="60" t="n">
        <x:v>1.73</x:v>
      </x:c>
      <x:c r="Q1419" s="60" t="n">
        <x:v>87.3</x:v>
      </x:c>
      <x:c r="R1419" s="58" t="str">
        <x:v>X</x:v>
      </x:c>
      <x:c r="S1419" s="60" t="n">
        <x:v>100</x:v>
      </x:c>
      <x:c r="T1419" s="58" t="str">
        <x:v>IN TARGET BAND</x:v>
      </x:c>
      <x:c r="U1419" s="58" t="n">
        <x:v>1336</x:v>
      </x:c>
      <x:c r="V1419" s="58" t="str">
        <x:v>Pasted text(59).txt</x:v>
      </x:c>
    </x:row>
    <x:row r="1420">
      <x:c r="A1420" s="58" t="str">
        <x:v>S14</x:v>
      </x:c>
      <x:c r="B1420" s="58" t="str">
        <x:v>1.15 validation at 272 Hz</x:v>
      </x:c>
      <x:c r="C1420" s="58" t="n">
        <x:v>1.15</x:v>
      </x:c>
      <x:c r="D1420" s="58" t="n">
        <x:v>5</x:v>
      </x:c>
      <x:c r="E1420" s="58" t="n">
        <x:v>1</x:v>
      </x:c>
      <x:c r="F1420" s="58" t="str">
        <x:v>FINE</x:v>
      </x:c>
      <x:c r="G1420" s="58" t="n">
        <x:v>9</x:v>
      </x:c>
      <x:c r="H1420" s="59" t="n">
        <x:v>12</x:v>
      </x:c>
      <x:c r="I1420" s="59" t="n">
        <x:v>1.20776</x:v>
      </x:c>
      <x:c r="J1420" s="59" t="n">
        <x:v>1.20761</x:v>
      </x:c>
      <x:c r="K1420" s="59" t="n">
        <x:v>0.6284</x:v>
      </x:c>
      <x:c r="L1420" s="59" t="n">
        <x:v>0.23952</x:v>
      </x:c>
      <x:c r="M1420" s="59" t="n">
        <x:v>1.38231</x:v>
      </x:c>
      <x:c r="N1420" s="60" t="n">
        <x:v>5.02</x:v>
      </x:c>
      <x:c r="O1420" s="60" t="n">
        <x:v>0.04</x:v>
      </x:c>
      <x:c r="P1420" s="60" t="n">
        <x:v>0.05</x:v>
      </x:c>
      <x:c r="Q1420" s="60" t="n">
        <x:v>87.9</x:v>
      </x:c>
      <x:c r="R1420" s="58" t="str">
        <x:v>X</x:v>
      </x:c>
      <x:c r="S1420" s="60" t="n">
        <x:v>100</x:v>
      </x:c>
      <x:c r="T1420" s="58" t="str">
        <x:v>IN TARGET BAND</x:v>
      </x:c>
      <x:c r="U1420" s="58" t="n">
        <x:v>1337</x:v>
      </x:c>
      <x:c r="V1420" s="58" t="str">
        <x:v>Pasted text(59).txt</x:v>
      </x:c>
    </x:row>
    <x:row r="1421">
      <x:c r="A1421" s="58" t="str">
        <x:v>S14</x:v>
      </x:c>
      <x:c r="B1421" s="58" t="str">
        <x:v>1.15 validation at 272 Hz</x:v>
      </x:c>
      <x:c r="C1421" s="58" t="n">
        <x:v>1.15</x:v>
      </x:c>
      <x:c r="D1421" s="58" t="n">
        <x:v>5</x:v>
      </x:c>
      <x:c r="E1421" s="58" t="n">
        <x:v>1</x:v>
      </x:c>
      <x:c r="F1421" s="58" t="str">
        <x:v>FINAL</x:v>
      </x:c>
      <x:c r="G1421" s="58" t="n">
        <x:v>1</x:v>
      </x:c>
      <x:c r="H1421" s="59" t="n">
        <x:v>11.5</x:v>
      </x:c>
      <x:c r="I1421" s="59" t="n">
        <x:v>1.15352</x:v>
      </x:c>
      <x:c r="J1421" s="59" t="n">
        <x:v>1.14607</x:v>
      </x:c>
      <x:c r="K1421" s="59" t="n">
        <x:v>0.57186</x:v>
      </x:c>
      <x:c r="L1421" s="59" t="n">
        <x:v>0.23717</x:v>
      </x:c>
      <x:c r="M1421" s="59" t="n">
        <x:v>1.30295</x:v>
      </x:c>
      <x:c r="N1421" s="60" t="n">
        <x:v>0.31</x:v>
      </x:c>
      <x:c r="O1421" s="60" t="n">
        <x:v>3.02</x:v>
      </x:c>
      <x:c r="P1421" s="60" t="n">
        <x:v>2.11</x:v>
      </x:c>
      <x:c r="Q1421" s="60" t="n">
        <x:v>88.9</x:v>
      </x:c>
      <x:c r="R1421" s="58" t="str">
        <x:v>X</x:v>
      </x:c>
      <x:c r="S1421" s="60" t="n">
        <x:v>100</x:v>
      </x:c>
      <x:c r="T1421" s="58" t="str">
        <x:v>IN TARGET BAND</x:v>
      </x:c>
      <x:c r="U1421" s="58" t="n">
        <x:v>1340</x:v>
      </x:c>
      <x:c r="V1421" s="58" t="str">
        <x:v>Pasted text(59).txt</x:v>
      </x:c>
    </x:row>
    <x:row r="1422">
      <x:c r="A1422" s="58" t="str">
        <x:v>S14</x:v>
      </x:c>
      <x:c r="B1422" s="58" t="str">
        <x:v>1.15 validation at 272 Hz</x:v>
      </x:c>
      <x:c r="C1422" s="58" t="n">
        <x:v>1.15</x:v>
      </x:c>
      <x:c r="D1422" s="58" t="n">
        <x:v>5</x:v>
      </x:c>
      <x:c r="E1422" s="58" t="n">
        <x:v>1</x:v>
      </x:c>
      <x:c r="F1422" s="58" t="str">
        <x:v>FINAL</x:v>
      </x:c>
      <x:c r="G1422" s="58" t="n">
        <x:v>2</x:v>
      </x:c>
      <x:c r="H1422" s="59" t="n">
        <x:v>11.5</x:v>
      </x:c>
      <x:c r="I1422" s="59" t="n">
        <x:v>1.136</x:v>
      </x:c>
      <x:c r="J1422" s="59" t="n">
        <x:v>1.14118</x:v>
      </x:c>
      <x:c r="K1422" s="59" t="n">
        <x:v>0.59224</x:v>
      </x:c>
      <x:c r="L1422" s="59" t="n">
        <x:v>0.25542</x:v>
      </x:c>
      <x:c r="M1422" s="59" t="n">
        <x:v>1.31122</x:v>
      </x:c>
      <x:c r="N1422" s="60" t="n">
        <x:v>-1.22</x:v>
      </x:c>
      <x:c r="O1422" s="60" t="n">
        <x:v>0.94</x:v>
      </x:c>
      <x:c r="P1422" s="60" t="n">
        <x:v>1.8</x:v>
      </x:c>
      <x:c r="Q1422" s="60" t="n">
        <x:v>89.5</x:v>
      </x:c>
      <x:c r="R1422" s="58" t="str">
        <x:v>X</x:v>
      </x:c>
      <x:c r="S1422" s="60" t="n">
        <x:v>100</x:v>
      </x:c>
      <x:c r="T1422" s="58" t="str">
        <x:v>IN TARGET BAND</x:v>
      </x:c>
      <x:c r="U1422" s="58" t="n">
        <x:v>1341</x:v>
      </x:c>
      <x:c r="V1422" s="58" t="str">
        <x:v>Pasted text(59).txt</x:v>
      </x:c>
    </x:row>
    <x:row r="1423">
      <x:c r="A1423" s="58" t="str">
        <x:v>S15</x:v>
      </x:c>
      <x:c r="B1423" s="58" t="str">
        <x:v>0.60 validation at 268.9 Hz</x:v>
      </x:c>
      <x:c r="C1423" s="58" t="n">
        <x:v>0.6</x:v>
      </x:c>
      <x:c r="D1423" s="58" t="n">
        <x:v>1</x:v>
      </x:c>
      <x:c r="E1423" s="58" t="n">
        <x:v>1</x:v>
      </x:c>
      <x:c r="F1423" s="58" t="str">
        <x:v>SEARCH</x:v>
      </x:c>
      <x:c r="G1423" s="58" t="n">
        <x:v>1</x:v>
      </x:c>
      <x:c r="H1423" s="59" t="n">
        <x:v>1</x:v>
      </x:c>
      <x:c r="I1423" s="59" t="n">
        <x:v>0.01342</x:v>
      </x:c>
      <x:c r="J1423" s="59" t="n">
        <x:v>0.01259</x:v>
      </x:c>
      <x:c r="K1423" s="59" t="n">
        <x:v>0.01642</x:v>
      </x:c>
      <x:c r="L1423" s="59" t="n">
        <x:v>0.03269</x:v>
      </x:c>
      <x:c r="M1423" s="59" t="n">
        <x:v>0.0391</x:v>
      </x:c>
      <x:c r="N1423" s="60" t="n">
        <x:v>-97.76</x:v>
      </x:c>
      <x:c r="O1423" s="60" t="n">
        <x:v>72.84</x:v>
      </x:c>
      <x:c r="P1423" s="60" t="n">
        <x:v>62.52</x:v>
      </x:c>
      <x:c r="Q1423" s="60" t="n">
        <x:v>3.7</x:v>
      </x:c>
      <x:c r="R1423" s="58" t="str">
        <x:v>Z</x:v>
      </x:c>
      <x:c r="S1423" s="60" t="n">
        <x:v>38.5</x:v>
      </x:c>
      <x:c r="T1423" s="58" t="str">
        <x:v>BELOW MEASUREMENT FLOOR — SEARCH CONTINUES</x:v>
      </x:c>
      <x:c r="U1423" s="58" t="n">
        <x:v>1436</x:v>
      </x:c>
      <x:c r="V1423" s="58" t="str">
        <x:v>Pasted text(59).txt</x:v>
      </x:c>
    </x:row>
    <x:row r="1424">
      <x:c r="A1424" s="58" t="str">
        <x:v>S15</x:v>
      </x:c>
      <x:c r="B1424" s="58" t="str">
        <x:v>0.60 validation at 268.9 Hz</x:v>
      </x:c>
      <x:c r="C1424" s="58" t="n">
        <x:v>0.6</x:v>
      </x:c>
      <x:c r="D1424" s="58" t="n">
        <x:v>1</x:v>
      </x:c>
      <x:c r="E1424" s="58" t="n">
        <x:v>1</x:v>
      </x:c>
      <x:c r="F1424" s="58" t="str">
        <x:v>SEARCH</x:v>
      </x:c>
      <x:c r="G1424" s="58" t="n">
        <x:v>2</x:v>
      </x:c>
      <x:c r="H1424" s="59" t="n">
        <x:v>3</x:v>
      </x:c>
      <x:c r="I1424" s="59" t="n">
        <x:v>0.20323</x:v>
      </x:c>
      <x:c r="J1424" s="59" t="n">
        <x:v>0.20536</x:v>
      </x:c>
      <x:c r="K1424" s="59" t="n">
        <x:v>0.09301</x:v>
      </x:c>
      <x:c r="L1424" s="59" t="n">
        <x:v>0.07428</x:v>
      </x:c>
      <x:c r="M1424" s="59" t="n">
        <x:v>0.24048</x:v>
      </x:c>
      <x:c r="N1424" s="60" t="n">
        <x:v>-66.13</x:v>
      </x:c>
      <x:c r="O1424" s="60" t="n">
        <x:v>10.7</x:v>
      </x:c>
      <x:c r="P1424" s="60" t="n">
        <x:v>8.75</x:v>
      </x:c>
      <x:c r="Q1424" s="60" t="n">
        <x:v>30.2</x:v>
      </x:c>
      <x:c r="R1424" s="58" t="str">
        <x:v>X</x:v>
      </x:c>
      <x:c r="S1424" s="60" t="n">
        <x:v>100</x:v>
      </x:c>
      <x:c r="T1424" s="58" t="str">
        <x:v>UNSTABLE — SEARCH CONTINUES</x:v>
      </x:c>
      <x:c r="U1424" s="58" t="n">
        <x:v>1437</x:v>
      </x:c>
      <x:c r="V1424" s="58" t="str">
        <x:v>Pasted text(59).txt</x:v>
      </x:c>
    </x:row>
    <x:row r="1425">
      <x:c r="A1425" s="58" t="str">
        <x:v>S15</x:v>
      </x:c>
      <x:c r="B1425" s="58" t="str">
        <x:v>0.60 validation at 268.9 Hz</x:v>
      </x:c>
      <x:c r="C1425" s="58" t="n">
        <x:v>0.6</x:v>
      </x:c>
      <x:c r="D1425" s="58" t="n">
        <x:v>1</x:v>
      </x:c>
      <x:c r="E1425" s="58" t="n">
        <x:v>1</x:v>
      </x:c>
      <x:c r="F1425" s="58" t="str">
        <x:v>SEARCH</x:v>
      </x:c>
      <x:c r="G1425" s="58" t="n">
        <x:v>3</x:v>
      </x:c>
      <x:c r="H1425" s="59" t="n">
        <x:v>4</x:v>
      </x:c>
      <x:c r="I1425" s="59" t="n">
        <x:v>0.29994</x:v>
      </x:c>
      <x:c r="J1425" s="59" t="n">
        <x:v>0.30063</x:v>
      </x:c>
      <x:c r="K1425" s="59" t="n">
        <x:v>0.13317</x:v>
      </x:c>
      <x:c r="L1425" s="59" t="n">
        <x:v>0.09612</x:v>
      </x:c>
      <x:c r="M1425" s="59" t="n">
        <x:v>0.34421</x:v>
      </x:c>
      <x:c r="N1425" s="60" t="n">
        <x:v>-50.01</x:v>
      </x:c>
      <x:c r="O1425" s="60" t="n">
        <x:v>3.74</x:v>
      </x:c>
      <x:c r="P1425" s="60" t="n">
        <x:v>2.87</x:v>
      </x:c>
      <x:c r="Q1425" s="60" t="n">
        <x:v>42.9</x:v>
      </x:c>
      <x:c r="R1425" s="58" t="str">
        <x:v>X</x:v>
      </x:c>
      <x:c r="S1425" s="60" t="n">
        <x:v>100</x:v>
      </x:c>
      <x:c r="T1425" s="58" t="str">
        <x:v>UNSTABLE — SEARCH CONTINUES</x:v>
      </x:c>
      <x:c r="U1425" s="58" t="n">
        <x:v>1438</x:v>
      </x:c>
      <x:c r="V1425" s="58" t="str">
        <x:v>Pasted text(59).txt</x:v>
      </x:c>
    </x:row>
    <x:row r="1426">
      <x:c r="A1426" s="58" t="str">
        <x:v>S15</x:v>
      </x:c>
      <x:c r="B1426" s="58" t="str">
        <x:v>0.60 validation at 268.9 Hz</x:v>
      </x:c>
      <x:c r="C1426" s="58" t="n">
        <x:v>0.6</x:v>
      </x:c>
      <x:c r="D1426" s="58" t="n">
        <x:v>1</x:v>
      </x:c>
      <x:c r="E1426" s="58" t="n">
        <x:v>1</x:v>
      </x:c>
      <x:c r="F1426" s="58" t="str">
        <x:v>SEARCH</x:v>
      </x:c>
      <x:c r="G1426" s="58" t="n">
        <x:v>4</x:v>
      </x:c>
      <x:c r="H1426" s="59" t="n">
        <x:v>5</x:v>
      </x:c>
      <x:c r="I1426" s="59" t="n">
        <x:v>0.38464</x:v>
      </x:c>
      <x:c r="J1426" s="59" t="n">
        <x:v>0.39256</x:v>
      </x:c>
      <x:c r="K1426" s="59" t="n">
        <x:v>0.17739</x:v>
      </x:c>
      <x:c r="L1426" s="59" t="n">
        <x:v>0.10318</x:v>
      </x:c>
      <x:c r="M1426" s="59" t="n">
        <x:v>0.44406</x:v>
      </x:c>
      <x:c r="N1426" s="60" t="n">
        <x:v>-35.89</x:v>
      </x:c>
      <x:c r="O1426" s="60" t="n">
        <x:v>6.55</x:v>
      </x:c>
      <x:c r="P1426" s="60" t="n">
        <x:v>7.56</x:v>
      </x:c>
      <x:c r="Q1426" s="60" t="n">
        <x:v>52.4</x:v>
      </x:c>
      <x:c r="R1426" s="58" t="str">
        <x:v>X</x:v>
      </x:c>
      <x:c r="S1426" s="60" t="n">
        <x:v>100</x:v>
      </x:c>
      <x:c r="T1426" s="58" t="str">
        <x:v>VALID</x:v>
      </x:c>
      <x:c r="U1426" s="58" t="n">
        <x:v>1439</x:v>
      </x:c>
      <x:c r="V1426" s="58" t="str">
        <x:v>Pasted text(59).txt</x:v>
      </x:c>
    </x:row>
    <x:row r="1427">
      <x:c r="A1427" s="58" t="str">
        <x:v>S15</x:v>
      </x:c>
      <x:c r="B1427" s="58" t="str">
        <x:v>0.60 validation at 268.9 Hz</x:v>
      </x:c>
      <x:c r="C1427" s="58" t="n">
        <x:v>0.6</x:v>
      </x:c>
      <x:c r="D1427" s="58" t="n">
        <x:v>1</x:v>
      </x:c>
      <x:c r="E1427" s="58" t="n">
        <x:v>1</x:v>
      </x:c>
      <x:c r="F1427" s="58" t="str">
        <x:v>SEARCH</x:v>
      </x:c>
      <x:c r="G1427" s="58" t="n">
        <x:v>5</x:v>
      </x:c>
      <x:c r="H1427" s="59" t="n">
        <x:v>5.5</x:v>
      </x:c>
      <x:c r="I1427" s="59" t="n">
        <x:v>0.4117</x:v>
      </x:c>
      <x:c r="J1427" s="59" t="n">
        <x:v>0.4212</x:v>
      </x:c>
      <x:c r="K1427" s="59" t="n">
        <x:v>0.2129</x:v>
      </x:c>
      <x:c r="L1427" s="59" t="n">
        <x:v>0.11782</x:v>
      </x:c>
      <x:c r="M1427" s="59" t="n">
        <x:v>0.48736</x:v>
      </x:c>
      <x:c r="N1427" s="60" t="n">
        <x:v>-31.38</x:v>
      </x:c>
      <x:c r="O1427" s="60" t="n">
        <x:v>3.52</x:v>
      </x:c>
      <x:c r="P1427" s="60" t="n">
        <x:v>6.03</x:v>
      </x:c>
      <x:c r="Q1427" s="60" t="n">
        <x:v>62.3</x:v>
      </x:c>
      <x:c r="R1427" s="58" t="str">
        <x:v>X</x:v>
      </x:c>
      <x:c r="S1427" s="60" t="n">
        <x:v>100</x:v>
      </x:c>
      <x:c r="T1427" s="58" t="str">
        <x:v>VALID</x:v>
      </x:c>
      <x:c r="U1427" s="58" t="n">
        <x:v>1440</x:v>
      </x:c>
      <x:c r="V1427" s="58" t="str">
        <x:v>Pasted text(59).txt</x:v>
      </x:c>
    </x:row>
    <x:row r="1428">
      <x:c r="A1428" s="58" t="str">
        <x:v>S15</x:v>
      </x:c>
      <x:c r="B1428" s="58" t="str">
        <x:v>0.60 validation at 268.9 Hz</x:v>
      </x:c>
      <x:c r="C1428" s="58" t="n">
        <x:v>0.6</x:v>
      </x:c>
      <x:c r="D1428" s="58" t="n">
        <x:v>1</x:v>
      </x:c>
      <x:c r="E1428" s="58" t="n">
        <x:v>1</x:v>
      </x:c>
      <x:c r="F1428" s="58" t="str">
        <x:v>SEARCH</x:v>
      </x:c>
      <x:c r="G1428" s="58" t="n">
        <x:v>6</x:v>
      </x:c>
      <x:c r="H1428" s="59" t="n">
        <x:v>6</x:v>
      </x:c>
      <x:c r="I1428" s="59" t="n">
        <x:v>0.50591</x:v>
      </x:c>
      <x:c r="J1428" s="59" t="n">
        <x:v>0.5047</x:v>
      </x:c>
      <x:c r="K1428" s="59" t="n">
        <x:v>0.24374</x:v>
      </x:c>
      <x:c r="L1428" s="59" t="n">
        <x:v>0.14457</x:v>
      </x:c>
      <x:c r="M1428" s="59" t="n">
        <x:v>0.5793</x:v>
      </x:c>
      <x:c r="N1428" s="60" t="n">
        <x:v>-15.68</x:v>
      </x:c>
      <x:c r="O1428" s="60" t="n">
        <x:v>2.84</x:v>
      </x:c>
      <x:c r="P1428" s="60" t="n">
        <x:v>2.29</x:v>
      </x:c>
      <x:c r="Q1428" s="60" t="n">
        <x:v>63.1</x:v>
      </x:c>
      <x:c r="R1428" s="58" t="str">
        <x:v>X</x:v>
      </x:c>
      <x:c r="S1428" s="60" t="n">
        <x:v>100</x:v>
      </x:c>
      <x:c r="T1428" s="58" t="str">
        <x:v>VALID</x:v>
      </x:c>
      <x:c r="U1428" s="58" t="n">
        <x:v>1441</x:v>
      </x:c>
      <x:c r="V1428" s="58" t="str">
        <x:v>Pasted text(59).txt</x:v>
      </x:c>
    </x:row>
    <x:row r="1429">
      <x:c r="A1429" s="58" t="str">
        <x:v>S15</x:v>
      </x:c>
      <x:c r="B1429" s="58" t="str">
        <x:v>0.60 validation at 268.9 Hz</x:v>
      </x:c>
      <x:c r="C1429" s="58" t="n">
        <x:v>0.6</x:v>
      </x:c>
      <x:c r="D1429" s="58" t="n">
        <x:v>1</x:v>
      </x:c>
      <x:c r="E1429" s="58" t="n">
        <x:v>1</x:v>
      </x:c>
      <x:c r="F1429" s="58" t="str">
        <x:v>SEARCH</x:v>
      </x:c>
      <x:c r="G1429" s="58" t="n">
        <x:v>7</x:v>
      </x:c>
      <x:c r="H1429" s="59" t="n">
        <x:v>6.5</x:v>
      </x:c>
      <x:c r="I1429" s="59" t="n">
        <x:v>0.54585</x:v>
      </x:c>
      <x:c r="J1429" s="59" t="n">
        <x:v>0.5403</x:v>
      </x:c>
      <x:c r="K1429" s="59" t="n">
        <x:v>0.26059</x:v>
      </x:c>
      <x:c r="L1429" s="59" t="n">
        <x:v>0.15645</x:v>
      </x:c>
      <x:c r="M1429" s="59" t="n">
        <x:v>0.62002</x:v>
      </x:c>
      <x:c r="N1429" s="60" t="n">
        <x:v>-9.03</x:v>
      </x:c>
      <x:c r="O1429" s="60" t="n">
        <x:v>3.56</x:v>
      </x:c>
      <x:c r="P1429" s="60" t="n">
        <x:v>4.07</x:v>
      </x:c>
      <x:c r="Q1429" s="60" t="n">
        <x:v>70.7</x:v>
      </x:c>
      <x:c r="R1429" s="58" t="str">
        <x:v>X</x:v>
      </x:c>
      <x:c r="S1429" s="60" t="n">
        <x:v>100</x:v>
      </x:c>
      <x:c r="T1429" s="58" t="str">
        <x:v>VALID</x:v>
      </x:c>
      <x:c r="U1429" s="58" t="n">
        <x:v>1442</x:v>
      </x:c>
      <x:c r="V1429" s="58" t="str">
        <x:v>Pasted text(59).txt</x:v>
      </x:c>
    </x:row>
    <x:row r="1430">
      <x:c r="A1430" s="58" t="str">
        <x:v>S15</x:v>
      </x:c>
      <x:c r="B1430" s="58" t="str">
        <x:v>0.60 validation at 268.9 Hz</x:v>
      </x:c>
      <x:c r="C1430" s="58" t="n">
        <x:v>0.6</x:v>
      </x:c>
      <x:c r="D1430" s="58" t="n">
        <x:v>1</x:v>
      </x:c>
      <x:c r="E1430" s="58" t="n">
        <x:v>1</x:v>
      </x:c>
      <x:c r="F1430" s="58" t="str">
        <x:v>SEARCH</x:v>
      </x:c>
      <x:c r="G1430" s="58" t="n">
        <x:v>8</x:v>
      </x:c>
      <x:c r="H1430" s="59" t="n">
        <x:v>6.75</x:v>
      </x:c>
      <x:c r="I1430" s="59" t="n">
        <x:v>0.59339</x:v>
      </x:c>
      <x:c r="J1430" s="59" t="n">
        <x:v>0.5899</x:v>
      </x:c>
      <x:c r="K1430" s="59" t="n">
        <x:v>0.31165</x:v>
      </x:c>
      <x:c r="L1430" s="59" t="n">
        <x:v>0.14426</x:v>
      </x:c>
      <x:c r="M1430" s="59" t="n">
        <x:v>0.68277</x:v>
      </x:c>
      <x:c r="N1430" s="60" t="n">
        <x:v>-1.1</x:v>
      </x:c>
      <x:c r="O1430" s="60" t="n">
        <x:v>5.96</x:v>
      </x:c>
      <x:c r="P1430" s="60" t="n">
        <x:v>4.96</x:v>
      </x:c>
      <x:c r="Q1430" s="60" t="n">
        <x:v>67.9</x:v>
      </x:c>
      <x:c r="R1430" s="58" t="str">
        <x:v>X</x:v>
      </x:c>
      <x:c r="S1430" s="60" t="n">
        <x:v>100</x:v>
      </x:c>
      <x:c r="T1430" s="58" t="str">
        <x:v>IN TARGET BAND</x:v>
      </x:c>
      <x:c r="U1430" s="58" t="n">
        <x:v>1443</x:v>
      </x:c>
      <x:c r="V1430" s="58" t="str">
        <x:v>Pasted text(59).txt</x:v>
      </x:c>
    </x:row>
    <x:row r="1431">
      <x:c r="A1431" s="58" t="str">
        <x:v>S15</x:v>
      </x:c>
      <x:c r="B1431" s="58" t="str">
        <x:v>0.60 validation at 268.9 Hz</x:v>
      </x:c>
      <x:c r="C1431" s="58" t="n">
        <x:v>0.6</x:v>
      </x:c>
      <x:c r="D1431" s="58" t="n">
        <x:v>1</x:v>
      </x:c>
      <x:c r="E1431" s="58" t="n">
        <x:v>1</x:v>
      </x:c>
      <x:c r="F1431" s="58" t="str">
        <x:v>FINE</x:v>
      </x:c>
      <x:c r="G1431" s="58" t="n">
        <x:v>1</x:v>
      </x:c>
      <x:c r="H1431" s="59" t="n">
        <x:v>5.75</x:v>
      </x:c>
      <x:c r="I1431" s="59" t="n">
        <x:v>0.4795</x:v>
      </x:c>
      <x:c r="J1431" s="59" t="n">
        <x:v>0.48669</x:v>
      </x:c>
      <x:c r="K1431" s="59" t="n">
        <x:v>0.24038</x:v>
      </x:c>
      <x:c r="L1431" s="59" t="n">
        <x:v>0.12287</x:v>
      </x:c>
      <x:c r="M1431" s="59" t="n">
        <x:v>0.55663</x:v>
      </x:c>
      <x:c r="N1431" s="60" t="n">
        <x:v>-20.08</x:v>
      </x:c>
      <x:c r="O1431" s="60" t="n">
        <x:v>0.28</x:v>
      </x:c>
      <x:c r="P1431" s="60" t="n">
        <x:v>2.72</x:v>
      </x:c>
      <x:c r="Q1431" s="60" t="n">
        <x:v>60.7</x:v>
      </x:c>
      <x:c r="R1431" s="58" t="str">
        <x:v>X</x:v>
      </x:c>
      <x:c r="S1431" s="60" t="n">
        <x:v>100</x:v>
      </x:c>
      <x:c r="T1431" s="58" t="str">
        <x:v>VALID</x:v>
      </x:c>
      <x:c r="U1431" s="58" t="n">
        <x:v>1447</x:v>
      </x:c>
      <x:c r="V1431" s="58" t="str">
        <x:v>Pasted text(59).txt</x:v>
      </x:c>
    </x:row>
    <x:row r="1432">
      <x:c r="A1432" s="58" t="str">
        <x:v>S15</x:v>
      </x:c>
      <x:c r="B1432" s="58" t="str">
        <x:v>0.60 validation at 268.9 Hz</x:v>
      </x:c>
      <x:c r="C1432" s="58" t="n">
        <x:v>0.6</x:v>
      </x:c>
      <x:c r="D1432" s="58" t="n">
        <x:v>1</x:v>
      </x:c>
      <x:c r="E1432" s="58" t="n">
        <x:v>1</x:v>
      </x:c>
      <x:c r="F1432" s="58" t="str">
        <x:v>FINE</x:v>
      </x:c>
      <x:c r="G1432" s="58" t="n">
        <x:v>2</x:v>
      </x:c>
      <x:c r="H1432" s="59" t="n">
        <x:v>6</x:v>
      </x:c>
      <x:c r="I1432" s="59" t="n">
        <x:v>0.51131</x:v>
      </x:c>
      <x:c r="J1432" s="59" t="n">
        <x:v>0.51775</x:v>
      </x:c>
      <x:c r="K1432" s="59" t="n">
        <x:v>0.26857</x:v>
      </x:c>
      <x:c r="L1432" s="59" t="n">
        <x:v>0.13996</x:v>
      </x:c>
      <x:c r="M1432" s="59" t="n">
        <x:v>0.59983</x:v>
      </x:c>
      <x:c r="N1432" s="60" t="n">
        <x:v>-14.78</x:v>
      </x:c>
      <x:c r="O1432" s="60" t="n">
        <x:v>0.8</x:v>
      </x:c>
      <x:c r="P1432" s="60" t="n">
        <x:v>2.63</x:v>
      </x:c>
      <x:c r="Q1432" s="60" t="n">
        <x:v>64.4</x:v>
      </x:c>
      <x:c r="R1432" s="58" t="str">
        <x:v>X</x:v>
      </x:c>
      <x:c r="S1432" s="60" t="n">
        <x:v>100</x:v>
      </x:c>
      <x:c r="T1432" s="58" t="str">
        <x:v>VALID</x:v>
      </x:c>
      <x:c r="U1432" s="58" t="n">
        <x:v>1448</x:v>
      </x:c>
      <x:c r="V1432" s="58" t="str">
        <x:v>Pasted text(59).txt</x:v>
      </x:c>
    </x:row>
    <x:row r="1433">
      <x:c r="A1433" s="58" t="str">
        <x:v>S15</x:v>
      </x:c>
      <x:c r="B1433" s="58" t="str">
        <x:v>0.60 validation at 268.9 Hz</x:v>
      </x:c>
      <x:c r="C1433" s="58" t="n">
        <x:v>0.6</x:v>
      </x:c>
      <x:c r="D1433" s="58" t="n">
        <x:v>1</x:v>
      </x:c>
      <x:c r="E1433" s="58" t="n">
        <x:v>1</x:v>
      </x:c>
      <x:c r="F1433" s="58" t="str">
        <x:v>FINE</x:v>
      </x:c>
      <x:c r="G1433" s="58" t="n">
        <x:v>3</x:v>
      </x:c>
      <x:c r="H1433" s="59" t="n">
        <x:v>6.25</x:v>
      </x:c>
      <x:c r="I1433" s="59" t="n">
        <x:v>0.53317</x:v>
      </x:c>
      <x:c r="J1433" s="59" t="n">
        <x:v>0.54291</x:v>
      </x:c>
      <x:c r="K1433" s="59" t="n">
        <x:v>0.27302</x:v>
      </x:c>
      <x:c r="L1433" s="59" t="n">
        <x:v>0.13856</x:v>
      </x:c>
      <x:c r="M1433" s="59" t="n">
        <x:v>0.62387</x:v>
      </x:c>
      <x:c r="N1433" s="60" t="n">
        <x:v>-11.14</x:v>
      </x:c>
      <x:c r="O1433" s="60" t="n">
        <x:v>1.15</x:v>
      </x:c>
      <x:c r="P1433" s="60" t="n">
        <x:v>3.78</x:v>
      </x:c>
      <x:c r="Q1433" s="60" t="n">
        <x:v>69.8</x:v>
      </x:c>
      <x:c r="R1433" s="58" t="str">
        <x:v>X</x:v>
      </x:c>
      <x:c r="S1433" s="60" t="n">
        <x:v>100</x:v>
      </x:c>
      <x:c r="T1433" s="58" t="str">
        <x:v>VALID</x:v>
      </x:c>
      <x:c r="U1433" s="58" t="n">
        <x:v>1449</x:v>
      </x:c>
      <x:c r="V1433" s="58" t="str">
        <x:v>Pasted text(59).txt</x:v>
      </x:c>
    </x:row>
    <x:row r="1434">
      <x:c r="A1434" s="58" t="str">
        <x:v>S15</x:v>
      </x:c>
      <x:c r="B1434" s="58" t="str">
        <x:v>0.60 validation at 268.9 Hz</x:v>
      </x:c>
      <x:c r="C1434" s="58" t="n">
        <x:v>0.6</x:v>
      </x:c>
      <x:c r="D1434" s="58" t="n">
        <x:v>1</x:v>
      </x:c>
      <x:c r="E1434" s="58" t="n">
        <x:v>1</x:v>
      </x:c>
      <x:c r="F1434" s="58" t="str">
        <x:v>FINE</x:v>
      </x:c>
      <x:c r="G1434" s="58" t="n">
        <x:v>4</x:v>
      </x:c>
      <x:c r="H1434" s="59" t="n">
        <x:v>6.5</x:v>
      </x:c>
      <x:c r="I1434" s="59" t="n">
        <x:v>0.54822</x:v>
      </x:c>
      <x:c r="J1434" s="59" t="n">
        <x:v>0.55326</x:v>
      </x:c>
      <x:c r="K1434" s="59" t="n">
        <x:v>0.26237</x:v>
      </x:c>
      <x:c r="L1434" s="59" t="n">
        <x:v>0.11254</x:v>
      </x:c>
      <x:c r="M1434" s="59" t="n">
        <x:v>0.62297</x:v>
      </x:c>
      <x:c r="N1434" s="60" t="n">
        <x:v>-8.63</x:v>
      </x:c>
      <x:c r="O1434" s="60" t="n">
        <x:v>2.79</x:v>
      </x:c>
      <x:c r="P1434" s="60" t="n">
        <x:v>3.33</x:v>
      </x:c>
      <x:c r="Q1434" s="60" t="n">
        <x:v>71.4</x:v>
      </x:c>
      <x:c r="R1434" s="58" t="str">
        <x:v>X</x:v>
      </x:c>
      <x:c r="S1434" s="60" t="n">
        <x:v>100</x:v>
      </x:c>
      <x:c r="T1434" s="58" t="str">
        <x:v>VALID</x:v>
      </x:c>
      <x:c r="U1434" s="58" t="n">
        <x:v>1450</x:v>
      </x:c>
      <x:c r="V1434" s="58" t="str">
        <x:v>Pasted text(59).txt</x:v>
      </x:c>
    </x:row>
    <x:row r="1435">
      <x:c r="A1435" s="58" t="str">
        <x:v>S15</x:v>
      </x:c>
      <x:c r="B1435" s="58" t="str">
        <x:v>0.60 validation at 268.9 Hz</x:v>
      </x:c>
      <x:c r="C1435" s="58" t="n">
        <x:v>0.6</x:v>
      </x:c>
      <x:c r="D1435" s="58" t="n">
        <x:v>1</x:v>
      </x:c>
      <x:c r="E1435" s="58" t="n">
        <x:v>1</x:v>
      </x:c>
      <x:c r="F1435" s="58" t="str">
        <x:v>FINE</x:v>
      </x:c>
      <x:c r="G1435" s="58" t="n">
        <x:v>5</x:v>
      </x:c>
      <x:c r="H1435" s="59" t="n">
        <x:v>6.75</x:v>
      </x:c>
      <x:c r="I1435" s="59" t="n">
        <x:v>0.57855</x:v>
      </x:c>
      <x:c r="J1435" s="59" t="n">
        <x:v>0.58372</x:v>
      </x:c>
      <x:c r="K1435" s="59" t="n">
        <x:v>0.30042</x:v>
      </x:c>
      <x:c r="L1435" s="59" t="n">
        <x:v>0.14346</x:v>
      </x:c>
      <x:c r="M1435" s="59" t="n">
        <x:v>0.67237</x:v>
      </x:c>
      <x:c r="N1435" s="60" t="n">
        <x:v>-3.58</x:v>
      </x:c>
      <x:c r="O1435" s="60" t="n">
        <x:v>3.23</x:v>
      </x:c>
      <x:c r="P1435" s="60" t="n">
        <x:v>3.57</x:v>
      </x:c>
      <x:c r="Q1435" s="60" t="n">
        <x:v>67.3</x:v>
      </x:c>
      <x:c r="R1435" s="58" t="str">
        <x:v>X</x:v>
      </x:c>
      <x:c r="S1435" s="60" t="n">
        <x:v>100</x:v>
      </x:c>
      <x:c r="T1435" s="58" t="str">
        <x:v>IN TARGET BAND</x:v>
      </x:c>
      <x:c r="U1435" s="58" t="n">
        <x:v>1451</x:v>
      </x:c>
      <x:c r="V1435" s="58" t="str">
        <x:v>Pasted text(59).txt</x:v>
      </x:c>
    </x:row>
    <x:row r="1436">
      <x:c r="A1436" s="58" t="str">
        <x:v>S15</x:v>
      </x:c>
      <x:c r="B1436" s="58" t="str">
        <x:v>0.60 validation at 268.9 Hz</x:v>
      </x:c>
      <x:c r="C1436" s="58" t="n">
        <x:v>0.6</x:v>
      </x:c>
      <x:c r="D1436" s="58" t="n">
        <x:v>1</x:v>
      </x:c>
      <x:c r="E1436" s="58" t="n">
        <x:v>1</x:v>
      </x:c>
      <x:c r="F1436" s="58" t="str">
        <x:v>FINE</x:v>
      </x:c>
      <x:c r="G1436" s="58" t="n">
        <x:v>6</x:v>
      </x:c>
      <x:c r="H1436" s="59" t="n">
        <x:v>7</x:v>
      </x:c>
      <x:c r="I1436" s="59" t="n">
        <x:v>0.61486</x:v>
      </x:c>
      <x:c r="J1436" s="59" t="n">
        <x:v>0.61484</x:v>
      </x:c>
      <x:c r="K1436" s="59" t="n">
        <x:v>0.33575</x:v>
      </x:c>
      <x:c r="L1436" s="59" t="n">
        <x:v>0.17785</x:v>
      </x:c>
      <x:c r="M1436" s="59" t="n">
        <x:v>0.72308</x:v>
      </x:c>
      <x:c r="N1436" s="60" t="n">
        <x:v>2.48</x:v>
      </x:c>
      <x:c r="O1436" s="60" t="n">
        <x:v>2.92</x:v>
      </x:c>
      <x:c r="P1436" s="60" t="n">
        <x:v>1.98</x:v>
      </x:c>
      <x:c r="Q1436" s="60" t="n">
        <x:v>72.6</x:v>
      </x:c>
      <x:c r="R1436" s="58" t="str">
        <x:v>X</x:v>
      </x:c>
      <x:c r="S1436" s="60" t="n">
        <x:v>100</x:v>
      </x:c>
      <x:c r="T1436" s="58" t="str">
        <x:v>IN TARGET BAND</x:v>
      </x:c>
      <x:c r="U1436" s="58" t="n">
        <x:v>1452</x:v>
      </x:c>
      <x:c r="V1436" s="58" t="str">
        <x:v>Pasted text(59).txt</x:v>
      </x:c>
    </x:row>
    <x:row r="1437">
      <x:c r="A1437" s="58" t="str">
        <x:v>S15</x:v>
      </x:c>
      <x:c r="B1437" s="58" t="str">
        <x:v>0.60 validation at 268.9 Hz</x:v>
      </x:c>
      <x:c r="C1437" s="58" t="n">
        <x:v>0.6</x:v>
      </x:c>
      <x:c r="D1437" s="58" t="n">
        <x:v>1</x:v>
      </x:c>
      <x:c r="E1437" s="58" t="n">
        <x:v>1</x:v>
      </x:c>
      <x:c r="F1437" s="58" t="str">
        <x:v>FINE</x:v>
      </x:c>
      <x:c r="G1437" s="58" t="n">
        <x:v>7</x:v>
      </x:c>
      <x:c r="H1437" s="59" t="n">
        <x:v>7.25</x:v>
      </x:c>
      <x:c r="I1437" s="59" t="n">
        <x:v>0.64532</x:v>
      </x:c>
      <x:c r="J1437" s="59" t="n">
        <x:v>0.64602</x:v>
      </x:c>
      <x:c r="K1437" s="59" t="n">
        <x:v>0.32994</x:v>
      </x:c>
      <x:c r="L1437" s="59" t="n">
        <x:v>0.16327</x:v>
      </x:c>
      <x:c r="M1437" s="59" t="n">
        <x:v>0.74386</x:v>
      </x:c>
      <x:c r="N1437" s="60" t="n">
        <x:v>7.55</x:v>
      </x:c>
      <x:c r="O1437" s="60" t="n">
        <x:v>1.83</x:v>
      </x:c>
      <x:c r="P1437" s="60" t="n">
        <x:v>1.4</x:v>
      </x:c>
      <x:c r="Q1437" s="60" t="n">
        <x:v>76</x:v>
      </x:c>
      <x:c r="R1437" s="58" t="str">
        <x:v>X</x:v>
      </x:c>
      <x:c r="S1437" s="60" t="n">
        <x:v>100</x:v>
      </x:c>
      <x:c r="T1437" s="58" t="str">
        <x:v>VALID</x:v>
      </x:c>
      <x:c r="U1437" s="58" t="n">
        <x:v>1453</x:v>
      </x:c>
      <x:c r="V1437" s="58" t="str">
        <x:v>Pasted text(59).txt</x:v>
      </x:c>
    </x:row>
    <x:row r="1438">
      <x:c r="A1438" s="58" t="str">
        <x:v>S15</x:v>
      </x:c>
      <x:c r="B1438" s="58" t="str">
        <x:v>0.60 validation at 268.9 Hz</x:v>
      </x:c>
      <x:c r="C1438" s="58" t="n">
        <x:v>0.6</x:v>
      </x:c>
      <x:c r="D1438" s="58" t="n">
        <x:v>1</x:v>
      </x:c>
      <x:c r="E1438" s="58" t="n">
        <x:v>1</x:v>
      </x:c>
      <x:c r="F1438" s="58" t="str">
        <x:v>FINE</x:v>
      </x:c>
      <x:c r="G1438" s="58" t="n">
        <x:v>8</x:v>
      </x:c>
      <x:c r="H1438" s="59" t="n">
        <x:v>7.5</x:v>
      </x:c>
      <x:c r="I1438" s="59" t="n">
        <x:v>0.67875</x:v>
      </x:c>
      <x:c r="J1438" s="59" t="n">
        <x:v>0.66643</x:v>
      </x:c>
      <x:c r="K1438" s="59" t="n">
        <x:v>0.33173</x:v>
      </x:c>
      <x:c r="L1438" s="59" t="n">
        <x:v>0.14678</x:v>
      </x:c>
      <x:c r="M1438" s="59" t="n">
        <x:v>0.75914</x:v>
      </x:c>
      <x:c r="N1438" s="60" t="n">
        <x:v>13.12</x:v>
      </x:c>
      <x:c r="O1438" s="60" t="n">
        <x:v>1.58</x:v>
      </x:c>
      <x:c r="P1438" s="60" t="n">
        <x:v>4.17</x:v>
      </x:c>
      <x:c r="Q1438" s="60" t="n">
        <x:v>79.9</x:v>
      </x:c>
      <x:c r="R1438" s="58" t="str">
        <x:v>X</x:v>
      </x:c>
      <x:c r="S1438" s="60" t="n">
        <x:v>100</x:v>
      </x:c>
      <x:c r="T1438" s="58" t="str">
        <x:v>VALID</x:v>
      </x:c>
      <x:c r="U1438" s="58" t="n">
        <x:v>1454</x:v>
      </x:c>
      <x:c r="V1438" s="58" t="str">
        <x:v>Pasted text(59).txt</x:v>
      </x:c>
    </x:row>
    <x:row r="1439">
      <x:c r="A1439" s="58" t="str">
        <x:v>S15</x:v>
      </x:c>
      <x:c r="B1439" s="58" t="str">
        <x:v>0.60 validation at 268.9 Hz</x:v>
      </x:c>
      <x:c r="C1439" s="58" t="n">
        <x:v>0.6</x:v>
      </x:c>
      <x:c r="D1439" s="58" t="n">
        <x:v>1</x:v>
      </x:c>
      <x:c r="E1439" s="58" t="n">
        <x:v>1</x:v>
      </x:c>
      <x:c r="F1439" s="58" t="str">
        <x:v>FINE</x:v>
      </x:c>
      <x:c r="G1439" s="58" t="n">
        <x:v>9</x:v>
      </x:c>
      <x:c r="H1439" s="59" t="n">
        <x:v>7.75</x:v>
      </x:c>
      <x:c r="I1439" s="59" t="n">
        <x:v>0.69858</x:v>
      </x:c>
      <x:c r="J1439" s="59" t="n">
        <x:v>0.6948</x:v>
      </x:c>
      <x:c r="K1439" s="59" t="n">
        <x:v>0.36756</x:v>
      </x:c>
      <x:c r="L1439" s="59" t="n">
        <x:v>0.1533</x:v>
      </x:c>
      <x:c r="M1439" s="59" t="n">
        <x:v>0.80136</x:v>
      </x:c>
      <x:c r="N1439" s="60" t="n">
        <x:v>16.43</x:v>
      </x:c>
      <x:c r="O1439" s="60" t="n">
        <x:v>1.63</x:v>
      </x:c>
      <x:c r="P1439" s="60" t="n">
        <x:v>1.98</x:v>
      </x:c>
      <x:c r="Q1439" s="60" t="n">
        <x:v>73</x:v>
      </x:c>
      <x:c r="R1439" s="58" t="str">
        <x:v>X</x:v>
      </x:c>
      <x:c r="S1439" s="60" t="n">
        <x:v>100</x:v>
      </x:c>
      <x:c r="T1439" s="58" t="str">
        <x:v>VALID</x:v>
      </x:c>
      <x:c r="U1439" s="58" t="n">
        <x:v>1455</x:v>
      </x:c>
      <x:c r="V1439" s="58" t="str">
        <x:v>Pasted text(59).txt</x:v>
      </x:c>
    </x:row>
    <x:row r="1440">
      <x:c r="A1440" s="58" t="str">
        <x:v>S15</x:v>
      </x:c>
      <x:c r="B1440" s="58" t="str">
        <x:v>0.60 validation at 268.9 Hz</x:v>
      </x:c>
      <x:c r="C1440" s="58" t="n">
        <x:v>0.6</x:v>
      </x:c>
      <x:c r="D1440" s="58" t="n">
        <x:v>1</x:v>
      </x:c>
      <x:c r="E1440" s="58" t="n">
        <x:v>1</x:v>
      </x:c>
      <x:c r="F1440" s="58" t="str">
        <x:v>FINAL</x:v>
      </x:c>
      <x:c r="G1440" s="58" t="n">
        <x:v>1</x:v>
      </x:c>
      <x:c r="H1440" s="59" t="n">
        <x:v>7</x:v>
      </x:c>
      <x:c r="I1440" s="59" t="n">
        <x:v>0.63465</x:v>
      </x:c>
      <x:c r="J1440" s="59" t="n">
        <x:v>0.63623</x:v>
      </x:c>
      <x:c r="K1440" s="59" t="n">
        <x:v>0.31219</x:v>
      </x:c>
      <x:c r="L1440" s="59" t="n">
        <x:v>0.1306</x:v>
      </x:c>
      <x:c r="M1440" s="59" t="n">
        <x:v>0.72176</x:v>
      </x:c>
      <x:c r="N1440" s="60" t="n">
        <x:v>5.77</x:v>
      </x:c>
      <x:c r="O1440" s="60" t="n">
        <x:v>3.92</x:v>
      </x:c>
      <x:c r="P1440" s="60" t="n">
        <x:v>3.6</x:v>
      </x:c>
      <x:c r="Q1440" s="60" t="n">
        <x:v>73.5</x:v>
      </x:c>
      <x:c r="R1440" s="58" t="str">
        <x:v>X</x:v>
      </x:c>
      <x:c r="S1440" s="60" t="n">
        <x:v>100</x:v>
      </x:c>
      <x:c r="T1440" s="58" t="str">
        <x:v>IN TARGET BAND</x:v>
      </x:c>
      <x:c r="U1440" s="58" t="n">
        <x:v>1458</x:v>
      </x:c>
      <x:c r="V1440" s="58" t="str">
        <x:v>Pasted text(59).txt</x:v>
      </x:c>
    </x:row>
    <x:row r="1441">
      <x:c r="A1441" s="58" t="str">
        <x:v>S15</x:v>
      </x:c>
      <x:c r="B1441" s="58" t="str">
        <x:v>0.60 validation at 268.9 Hz</x:v>
      </x:c>
      <x:c r="C1441" s="58" t="n">
        <x:v>0.6</x:v>
      </x:c>
      <x:c r="D1441" s="58" t="n">
        <x:v>1</x:v>
      </x:c>
      <x:c r="E1441" s="58" t="n">
        <x:v>1</x:v>
      </x:c>
      <x:c r="F1441" s="58" t="str">
        <x:v>FINAL</x:v>
      </x:c>
      <x:c r="G1441" s="58" t="n">
        <x:v>2</x:v>
      </x:c>
      <x:c r="H1441" s="59" t="n">
        <x:v>7</x:v>
      </x:c>
      <x:c r="I1441" s="59" t="n">
        <x:v>0.62778</x:v>
      </x:c>
      <x:c r="J1441" s="59" t="n">
        <x:v>0.61547</x:v>
      </x:c>
      <x:c r="K1441" s="59" t="n">
        <x:v>0.32358</x:v>
      </x:c>
      <x:c r="L1441" s="59" t="n">
        <x:v>0.14577</x:v>
      </x:c>
      <x:c r="M1441" s="59" t="n">
        <x:v>0.71098</x:v>
      </x:c>
      <x:c r="N1441" s="60" t="n">
        <x:v>4.63</x:v>
      </x:c>
      <x:c r="O1441" s="60" t="n">
        <x:v>3.65</x:v>
      </x:c>
      <x:c r="P1441" s="60" t="n">
        <x:v>5.19</x:v>
      </x:c>
      <x:c r="Q1441" s="60" t="n">
        <x:v>70.9</x:v>
      </x:c>
      <x:c r="R1441" s="58" t="str">
        <x:v>X</x:v>
      </x:c>
      <x:c r="S1441" s="60" t="n">
        <x:v>100</x:v>
      </x:c>
      <x:c r="T1441" s="58" t="str">
        <x:v>IN TARGET BAND</x:v>
      </x:c>
      <x:c r="U1441" s="58" t="n">
        <x:v>1459</x:v>
      </x:c>
      <x:c r="V1441" s="58" t="str">
        <x:v>Pasted text(59).txt</x:v>
      </x:c>
    </x:row>
    <x:row r="1442">
      <x:c r="A1442" s="58" t="str">
        <x:v>S15</x:v>
      </x:c>
      <x:c r="B1442" s="58" t="str">
        <x:v>0.60 validation at 268.9 Hz</x:v>
      </x:c>
      <x:c r="C1442" s="58" t="n">
        <x:v>0.6</x:v>
      </x:c>
      <x:c r="D1442" s="58" t="n">
        <x:v>1</x:v>
      </x:c>
      <x:c r="E1442" s="58" t="n">
        <x:v>2</x:v>
      </x:c>
      <x:c r="F1442" s="58" t="str">
        <x:v>SEARCH</x:v>
      </x:c>
      <x:c r="G1442" s="58" t="n">
        <x:v>1</x:v>
      </x:c>
      <x:c r="H1442" s="59" t="n">
        <x:v>1</x:v>
      </x:c>
      <x:c r="I1442" s="59" t="n">
        <x:v>0.01875</x:v>
      </x:c>
      <x:c r="J1442" s="59" t="n">
        <x:v>0.02304</x:v>
      </x:c>
      <x:c r="K1442" s="59" t="n">
        <x:v>0.01558</x:v>
      </x:c>
      <x:c r="L1442" s="59" t="n">
        <x:v>0.01955</x:v>
      </x:c>
      <x:c r="M1442" s="59" t="n">
        <x:v>0.03455</x:v>
      </x:c>
      <x:c r="N1442" s="60" t="n">
        <x:v>-96.88</x:v>
      </x:c>
      <x:c r="O1442" s="60" t="n">
        <x:v>48.88</x:v>
      </x:c>
      <x:c r="P1442" s="60" t="n">
        <x:v>57.09</x:v>
      </x:c>
      <x:c r="Q1442" s="60" t="n">
        <x:v>7.3</x:v>
      </x:c>
      <x:c r="R1442" s="58" t="str">
        <x:v>X</x:v>
      </x:c>
      <x:c r="S1442" s="60" t="n">
        <x:v>100</x:v>
      </x:c>
      <x:c r="T1442" s="58" t="str">
        <x:v>BELOW MEASUREMENT FLOOR — SEARCH CONTINUES</x:v>
      </x:c>
      <x:c r="U1442" s="58" t="n">
        <x:v>1500</x:v>
      </x:c>
      <x:c r="V1442" s="58" t="str">
        <x:v>Pasted text(59).txt</x:v>
      </x:c>
    </x:row>
    <x:row r="1443">
      <x:c r="A1443" s="58" t="str">
        <x:v>S15</x:v>
      </x:c>
      <x:c r="B1443" s="58" t="str">
        <x:v>0.60 validation at 268.9 Hz</x:v>
      </x:c>
      <x:c r="C1443" s="58" t="n">
        <x:v>0.6</x:v>
      </x:c>
      <x:c r="D1443" s="58" t="n">
        <x:v>1</x:v>
      </x:c>
      <x:c r="E1443" s="58" t="n">
        <x:v>2</x:v>
      </x:c>
      <x:c r="F1443" s="58" t="str">
        <x:v>SEARCH</x:v>
      </x:c>
      <x:c r="G1443" s="58" t="n">
        <x:v>2</x:v>
      </x:c>
      <x:c r="H1443" s="59" t="n">
        <x:v>3</x:v>
      </x:c>
      <x:c r="I1443" s="59" t="n">
        <x:v>0.18576</x:v>
      </x:c>
      <x:c r="J1443" s="59" t="n">
        <x:v>0.18168</x:v>
      </x:c>
      <x:c r="K1443" s="59" t="n">
        <x:v>0.09763</x:v>
      </x:c>
      <x:c r="L1443" s="59" t="n">
        <x:v>0.06557</x:v>
      </x:c>
      <x:c r="M1443" s="59" t="n">
        <x:v>0.21693</x:v>
      </x:c>
      <x:c r="N1443" s="60" t="n">
        <x:v>-69.04</x:v>
      </x:c>
      <x:c r="O1443" s="60" t="n">
        <x:v>7.5</x:v>
      </x:c>
      <x:c r="P1443" s="60" t="n">
        <x:v>8.75</x:v>
      </x:c>
      <x:c r="Q1443" s="60" t="n">
        <x:v>28.2</x:v>
      </x:c>
      <x:c r="R1443" s="58" t="str">
        <x:v>X</x:v>
      </x:c>
      <x:c r="S1443" s="60" t="n">
        <x:v>100</x:v>
      </x:c>
      <x:c r="T1443" s="58" t="str">
        <x:v>UNSTABLE — SEARCH CONTINUES</x:v>
      </x:c>
      <x:c r="U1443" s="58" t="n">
        <x:v>1501</x:v>
      </x:c>
      <x:c r="V1443" s="58" t="str">
        <x:v>Pasted text(59).txt</x:v>
      </x:c>
    </x:row>
    <x:row r="1444">
      <x:c r="A1444" s="58" t="str">
        <x:v>S15</x:v>
      </x:c>
      <x:c r="B1444" s="58" t="str">
        <x:v>0.60 validation at 268.9 Hz</x:v>
      </x:c>
      <x:c r="C1444" s="58" t="n">
        <x:v>0.6</x:v>
      </x:c>
      <x:c r="D1444" s="58" t="n">
        <x:v>1</x:v>
      </x:c>
      <x:c r="E1444" s="58" t="n">
        <x:v>2</x:v>
      </x:c>
      <x:c r="F1444" s="58" t="str">
        <x:v>SEARCH</x:v>
      </x:c>
      <x:c r="G1444" s="58" t="n">
        <x:v>3</x:v>
      </x:c>
      <x:c r="H1444" s="59" t="n">
        <x:v>4</x:v>
      </x:c>
      <x:c r="I1444" s="59" t="n">
        <x:v>0.30953</x:v>
      </x:c>
      <x:c r="J1444" s="59" t="n">
        <x:v>0.31088</x:v>
      </x:c>
      <x:c r="K1444" s="59" t="n">
        <x:v>0.14254</x:v>
      </x:c>
      <x:c r="L1444" s="59" t="n">
        <x:v>0.08627</x:v>
      </x:c>
      <x:c r="M1444" s="59" t="n">
        <x:v>0.35278</x:v>
      </x:c>
      <x:c r="N1444" s="60" t="n">
        <x:v>-48.41</x:v>
      </x:c>
      <x:c r="O1444" s="60" t="n">
        <x:v>3.3</x:v>
      </x:c>
      <x:c r="P1444" s="60" t="n">
        <x:v>2.89</x:v>
      </x:c>
      <x:c r="Q1444" s="60" t="n">
        <x:v>45.3</x:v>
      </x:c>
      <x:c r="R1444" s="58" t="str">
        <x:v>X</x:v>
      </x:c>
      <x:c r="S1444" s="60" t="n">
        <x:v>100</x:v>
      </x:c>
      <x:c r="T1444" s="58" t="str">
        <x:v>UNSTABLE — SEARCH CONTINUES</x:v>
      </x:c>
      <x:c r="U1444" s="58" t="n">
        <x:v>1502</x:v>
      </x:c>
      <x:c r="V1444" s="58" t="str">
        <x:v>Pasted text(59).txt</x:v>
      </x:c>
    </x:row>
    <x:row r="1445">
      <x:c r="A1445" s="58" t="str">
        <x:v>S15</x:v>
      </x:c>
      <x:c r="B1445" s="58" t="str">
        <x:v>0.60 validation at 268.9 Hz</x:v>
      </x:c>
      <x:c r="C1445" s="58" t="n">
        <x:v>0.6</x:v>
      </x:c>
      <x:c r="D1445" s="58" t="n">
        <x:v>1</x:v>
      </x:c>
      <x:c r="E1445" s="58" t="n">
        <x:v>2</x:v>
      </x:c>
      <x:c r="F1445" s="58" t="str">
        <x:v>SEARCH</x:v>
      </x:c>
      <x:c r="G1445" s="58" t="n">
        <x:v>4</x:v>
      </x:c>
      <x:c r="H1445" s="59" t="n">
        <x:v>5</x:v>
      </x:c>
      <x:c r="I1445" s="59" t="n">
        <x:v>0.39</x:v>
      </x:c>
      <x:c r="J1445" s="59" t="n">
        <x:v>0.3878</x:v>
      </x:c>
      <x:c r="K1445" s="59" t="n">
        <x:v>0.23573</x:v>
      </x:c>
      <x:c r="L1445" s="59" t="n">
        <x:v>0.12057</x:v>
      </x:c>
      <x:c r="M1445" s="59" t="n">
        <x:v>0.47016</x:v>
      </x:c>
      <x:c r="N1445" s="60" t="n">
        <x:v>-35</x:v>
      </x:c>
      <x:c r="O1445" s="60" t="n">
        <x:v>4.81</x:v>
      </x:c>
      <x:c r="P1445" s="60" t="n">
        <x:v>4.14</x:v>
      </x:c>
      <x:c r="Q1445" s="60" t="n">
        <x:v>53</x:v>
      </x:c>
      <x:c r="R1445" s="58" t="str">
        <x:v>X</x:v>
      </x:c>
      <x:c r="S1445" s="60" t="n">
        <x:v>100</x:v>
      </x:c>
      <x:c r="T1445" s="58" t="str">
        <x:v>VALID</x:v>
      </x:c>
      <x:c r="U1445" s="58" t="n">
        <x:v>1503</x:v>
      </x:c>
      <x:c r="V1445" s="58" t="str">
        <x:v>Pasted text(59).txt</x:v>
      </x:c>
    </x:row>
    <x:row r="1446">
      <x:c r="A1446" s="58" t="str">
        <x:v>S15</x:v>
      </x:c>
      <x:c r="B1446" s="58" t="str">
        <x:v>0.60 validation at 268.9 Hz</x:v>
      </x:c>
      <x:c r="C1446" s="58" t="n">
        <x:v>0.6</x:v>
      </x:c>
      <x:c r="D1446" s="58" t="n">
        <x:v>1</x:v>
      </x:c>
      <x:c r="E1446" s="58" t="n">
        <x:v>2</x:v>
      </x:c>
      <x:c r="F1446" s="58" t="str">
        <x:v>SEARCH</x:v>
      </x:c>
      <x:c r="G1446" s="58" t="n">
        <x:v>5</x:v>
      </x:c>
      <x:c r="H1446" s="59" t="n">
        <x:v>5.5</x:v>
      </x:c>
      <x:c r="I1446" s="59" t="n">
        <x:v>0.44871</x:v>
      </x:c>
      <x:c r="J1446" s="59" t="n">
        <x:v>0.44767</x:v>
      </x:c>
      <x:c r="K1446" s="59" t="n">
        <x:v>0.24262</x:v>
      </x:c>
      <x:c r="L1446" s="59" t="n">
        <x:v>0.10601</x:v>
      </x:c>
      <x:c r="M1446" s="59" t="n">
        <x:v>0.52056</x:v>
      </x:c>
      <x:c r="N1446" s="60" t="n">
        <x:v>-25.22</x:v>
      </x:c>
      <x:c r="O1446" s="60" t="n">
        <x:v>8.32</x:v>
      </x:c>
      <x:c r="P1446" s="60" t="n">
        <x:v>5.98</x:v>
      </x:c>
      <x:c r="Q1446" s="60" t="n">
        <x:v>65.3</x:v>
      </x:c>
      <x:c r="R1446" s="58" t="str">
        <x:v>X</x:v>
      </x:c>
      <x:c r="S1446" s="60" t="n">
        <x:v>100</x:v>
      </x:c>
      <x:c r="T1446" s="58" t="str">
        <x:v>VALID</x:v>
      </x:c>
      <x:c r="U1446" s="58" t="n">
        <x:v>1504</x:v>
      </x:c>
      <x:c r="V1446" s="58" t="str">
        <x:v>Pasted text(59).txt</x:v>
      </x:c>
    </x:row>
    <x:row r="1447">
      <x:c r="A1447" s="58" t="str">
        <x:v>S15</x:v>
      </x:c>
      <x:c r="B1447" s="58" t="str">
        <x:v>0.60 validation at 268.9 Hz</x:v>
      </x:c>
      <x:c r="C1447" s="58" t="n">
        <x:v>0.6</x:v>
      </x:c>
      <x:c r="D1447" s="58" t="n">
        <x:v>1</x:v>
      </x:c>
      <x:c r="E1447" s="58" t="n">
        <x:v>2</x:v>
      </x:c>
      <x:c r="F1447" s="58" t="str">
        <x:v>SEARCH</x:v>
      </x:c>
      <x:c r="G1447" s="58" t="n">
        <x:v>6</x:v>
      </x:c>
      <x:c r="H1447" s="59" t="n">
        <x:v>6</x:v>
      </x:c>
      <x:c r="I1447" s="59" t="n">
        <x:v>0.53375</x:v>
      </x:c>
      <x:c r="J1447" s="59" t="n">
        <x:v>0.52164</x:v>
      </x:c>
      <x:c r="K1447" s="59" t="n">
        <x:v>0.26877</x:v>
      </x:c>
      <x:c r="L1447" s="59" t="n">
        <x:v>0.12046</x:v>
      </x:c>
      <x:c r="M1447" s="59" t="n">
        <x:v>0.59912</x:v>
      </x:c>
      <x:c r="N1447" s="60" t="n">
        <x:v>-11.04</x:v>
      </x:c>
      <x:c r="O1447" s="60" t="n">
        <x:v>2.25</x:v>
      </x:c>
      <x:c r="P1447" s="60" t="n">
        <x:v>5.42</x:v>
      </x:c>
      <x:c r="Q1447" s="60" t="n">
        <x:v>64.2</x:v>
      </x:c>
      <x:c r="R1447" s="58" t="str">
        <x:v>X</x:v>
      </x:c>
      <x:c r="S1447" s="60" t="n">
        <x:v>100</x:v>
      </x:c>
      <x:c r="T1447" s="58" t="str">
        <x:v>VALID</x:v>
      </x:c>
      <x:c r="U1447" s="58" t="n">
        <x:v>1505</x:v>
      </x:c>
      <x:c r="V1447" s="58" t="str">
        <x:v>Pasted text(59).txt</x:v>
      </x:c>
    </x:row>
    <x:row r="1448">
      <x:c r="A1448" s="58" t="str">
        <x:v>S15</x:v>
      </x:c>
      <x:c r="B1448" s="58" t="str">
        <x:v>0.60 validation at 268.9 Hz</x:v>
      </x:c>
      <x:c r="C1448" s="58" t="n">
        <x:v>0.6</x:v>
      </x:c>
      <x:c r="D1448" s="58" t="n">
        <x:v>1</x:v>
      </x:c>
      <x:c r="E1448" s="58" t="n">
        <x:v>2</x:v>
      </x:c>
      <x:c r="F1448" s="58" t="str">
        <x:v>SEARCH</x:v>
      </x:c>
      <x:c r="G1448" s="58" t="n">
        <x:v>7</x:v>
      </x:c>
      <x:c r="H1448" s="59" t="n">
        <x:v>6.25</x:v>
      </x:c>
      <x:c r="I1448" s="59" t="n">
        <x:v>0.53567</x:v>
      </x:c>
      <x:c r="J1448" s="59" t="n">
        <x:v>0.5383</x:v>
      </x:c>
      <x:c r="K1448" s="59" t="n">
        <x:v>0.28986</x:v>
      </x:c>
      <x:c r="L1448" s="59" t="n">
        <x:v>0.14853</x:v>
      </x:c>
      <x:c r="M1448" s="59" t="n">
        <x:v>0.62949</x:v>
      </x:c>
      <x:c r="N1448" s="60" t="n">
        <x:v>-10.72</x:v>
      </x:c>
      <x:c r="O1448" s="60" t="n">
        <x:v>0.41</x:v>
      </x:c>
      <x:c r="P1448" s="60" t="n">
        <x:v>1.09</x:v>
      </x:c>
      <x:c r="Q1448" s="60" t="n">
        <x:v>69.6</x:v>
      </x:c>
      <x:c r="R1448" s="58" t="str">
        <x:v>X</x:v>
      </x:c>
      <x:c r="S1448" s="60" t="n">
        <x:v>100</x:v>
      </x:c>
      <x:c r="T1448" s="58" t="str">
        <x:v>VALID</x:v>
      </x:c>
      <x:c r="U1448" s="58" t="n">
        <x:v>1506</x:v>
      </x:c>
      <x:c r="V1448" s="58" t="str">
        <x:v>Pasted text(59).txt</x:v>
      </x:c>
    </x:row>
    <x:row r="1449">
      <x:c r="A1449" s="58" t="str">
        <x:v>S15</x:v>
      </x:c>
      <x:c r="B1449" s="58" t="str">
        <x:v>0.60 validation at 268.9 Hz</x:v>
      </x:c>
      <x:c r="C1449" s="58" t="n">
        <x:v>0.6</x:v>
      </x:c>
      <x:c r="D1449" s="58" t="n">
        <x:v>1</x:v>
      </x:c>
      <x:c r="E1449" s="58" t="n">
        <x:v>2</x:v>
      </x:c>
      <x:c r="F1449" s="58" t="str">
        <x:v>SEARCH</x:v>
      </x:c>
      <x:c r="G1449" s="58" t="n">
        <x:v>8</x:v>
      </x:c>
      <x:c r="H1449" s="59" t="n">
        <x:v>6.5</x:v>
      </x:c>
      <x:c r="I1449" s="59" t="n">
        <x:v>0.57494</x:v>
      </x:c>
      <x:c r="J1449" s="59" t="n">
        <x:v>0.5694</x:v>
      </x:c>
      <x:c r="K1449" s="59" t="n">
        <x:v>0.29219</x:v>
      </x:c>
      <x:c r="L1449" s="59" t="n">
        <x:v>0.15769</x:v>
      </x:c>
      <x:c r="M1449" s="59" t="n">
        <x:v>0.65946</x:v>
      </x:c>
      <x:c r="N1449" s="60" t="n">
        <x:v>-4.18</x:v>
      </x:c>
      <x:c r="O1449" s="60" t="n">
        <x:v>2.84</x:v>
      </x:c>
      <x:c r="P1449" s="60" t="n">
        <x:v>3.49</x:v>
      </x:c>
      <x:c r="Q1449" s="60" t="n">
        <x:v>73.8</x:v>
      </x:c>
      <x:c r="R1449" s="58" t="str">
        <x:v>X</x:v>
      </x:c>
      <x:c r="S1449" s="60" t="n">
        <x:v>100</x:v>
      </x:c>
      <x:c r="T1449" s="58" t="str">
        <x:v>IN TARGET BAND</x:v>
      </x:c>
      <x:c r="U1449" s="58" t="n">
        <x:v>1507</x:v>
      </x:c>
      <x:c r="V1449" s="58" t="str">
        <x:v>Pasted text(59).txt</x:v>
      </x:c>
    </x:row>
    <x:row r="1450">
      <x:c r="A1450" s="58" t="str">
        <x:v>S15</x:v>
      </x:c>
      <x:c r="B1450" s="58" t="str">
        <x:v>0.60 validation at 268.9 Hz</x:v>
      </x:c>
      <x:c r="C1450" s="58" t="n">
        <x:v>0.6</x:v>
      </x:c>
      <x:c r="D1450" s="58" t="n">
        <x:v>1</x:v>
      </x:c>
      <x:c r="E1450" s="58" t="n">
        <x:v>2</x:v>
      </x:c>
      <x:c r="F1450" s="58" t="str">
        <x:v>FINE</x:v>
      </x:c>
      <x:c r="G1450" s="58" t="n">
        <x:v>1</x:v>
      </x:c>
      <x:c r="H1450" s="59" t="n">
        <x:v>5.5</x:v>
      </x:c>
      <x:c r="I1450" s="59" t="n">
        <x:v>0.43523</x:v>
      </x:c>
      <x:c r="J1450" s="59" t="n">
        <x:v>0.43674</x:v>
      </x:c>
      <x:c r="K1450" s="59" t="n">
        <x:v>0.24361</x:v>
      </x:c>
      <x:c r="L1450" s="59" t="n">
        <x:v>0.1381</x:v>
      </x:c>
      <x:c r="M1450" s="59" t="n">
        <x:v>0.51933</x:v>
      </x:c>
      <x:c r="N1450" s="60" t="n">
        <x:v>-27.46</x:v>
      </x:c>
      <x:c r="O1450" s="60" t="n">
        <x:v>0.52</x:v>
      </x:c>
      <x:c r="P1450" s="60" t="n">
        <x:v>0.92</x:v>
      </x:c>
      <x:c r="Q1450" s="60" t="n">
        <x:v>64.7</x:v>
      </x:c>
      <x:c r="R1450" s="58" t="str">
        <x:v>X</x:v>
      </x:c>
      <x:c r="S1450" s="60" t="n">
        <x:v>100</x:v>
      </x:c>
      <x:c r="T1450" s="58" t="str">
        <x:v>VALID</x:v>
      </x:c>
      <x:c r="U1450" s="58" t="n">
        <x:v>1511</x:v>
      </x:c>
      <x:c r="V1450" s="58" t="str">
        <x:v>Pasted text(59).txt</x:v>
      </x:c>
    </x:row>
    <x:row r="1451">
      <x:c r="A1451" s="58" t="str">
        <x:v>S15</x:v>
      </x:c>
      <x:c r="B1451" s="58" t="str">
        <x:v>0.60 validation at 268.9 Hz</x:v>
      </x:c>
      <x:c r="C1451" s="58" t="n">
        <x:v>0.6</x:v>
      </x:c>
      <x:c r="D1451" s="58" t="n">
        <x:v>1</x:v>
      </x:c>
      <x:c r="E1451" s="58" t="n">
        <x:v>2</x:v>
      </x:c>
      <x:c r="F1451" s="58" t="str">
        <x:v>FINE</x:v>
      </x:c>
      <x:c r="G1451" s="58" t="n">
        <x:v>2</x:v>
      </x:c>
      <x:c r="H1451" s="59" t="n">
        <x:v>5.75</x:v>
      </x:c>
      <x:c r="I1451" s="59" t="n">
        <x:v>0.48425</x:v>
      </x:c>
      <x:c r="J1451" s="59" t="n">
        <x:v>0.49256</x:v>
      </x:c>
      <x:c r="K1451" s="59" t="n">
        <x:v>0.27546</x:v>
      </x:c>
      <x:c r="L1451" s="59" t="n">
        <x:v>0.1241</x:v>
      </x:c>
      <x:c r="M1451" s="59" t="n">
        <x:v>0.57806</x:v>
      </x:c>
      <x:c r="N1451" s="60" t="n">
        <x:v>-19.29</x:v>
      </x:c>
      <x:c r="O1451" s="60" t="n">
        <x:v>1.96</x:v>
      </x:c>
      <x:c r="P1451" s="60" t="n">
        <x:v>4.1</x:v>
      </x:c>
      <x:c r="Q1451" s="60" t="n">
        <x:v>61.5</x:v>
      </x:c>
      <x:c r="R1451" s="58" t="str">
        <x:v>X</x:v>
      </x:c>
      <x:c r="S1451" s="60" t="n">
        <x:v>100</x:v>
      </x:c>
      <x:c r="T1451" s="58" t="str">
        <x:v>VALID</x:v>
      </x:c>
      <x:c r="U1451" s="58" t="n">
        <x:v>1512</x:v>
      </x:c>
      <x:c r="V1451" s="58" t="str">
        <x:v>Pasted text(59).txt</x:v>
      </x:c>
    </x:row>
    <x:row r="1452">
      <x:c r="A1452" s="58" t="str">
        <x:v>S15</x:v>
      </x:c>
      <x:c r="B1452" s="58" t="str">
        <x:v>0.60 validation at 268.9 Hz</x:v>
      </x:c>
      <x:c r="C1452" s="58" t="n">
        <x:v>0.6</x:v>
      </x:c>
      <x:c r="D1452" s="58" t="n">
        <x:v>1</x:v>
      </x:c>
      <x:c r="E1452" s="58" t="n">
        <x:v>2</x:v>
      </x:c>
      <x:c r="F1452" s="58" t="str">
        <x:v>FINE</x:v>
      </x:c>
      <x:c r="G1452" s="58" t="n">
        <x:v>3</x:v>
      </x:c>
      <x:c r="H1452" s="59" t="n">
        <x:v>6</x:v>
      </x:c>
      <x:c r="I1452" s="59" t="n">
        <x:v>0.5113</x:v>
      </x:c>
      <x:c r="J1452" s="59" t="n">
        <x:v>0.52074</x:v>
      </x:c>
      <x:c r="K1452" s="59" t="n">
        <x:v>0.27531</x:v>
      </x:c>
      <x:c r="L1452" s="59" t="n">
        <x:v>0.12495</x:v>
      </x:c>
      <x:c r="M1452" s="59" t="n">
        <x:v>0.60232</x:v>
      </x:c>
      <x:c r="N1452" s="60" t="n">
        <x:v>-14.78</x:v>
      </x:c>
      <x:c r="O1452" s="60" t="n">
        <x:v>1.67</x:v>
      </x:c>
      <x:c r="P1452" s="60" t="n">
        <x:v>4.14</x:v>
      </x:c>
      <x:c r="Q1452" s="60" t="n">
        <x:v>65.6</x:v>
      </x:c>
      <x:c r="R1452" s="58" t="str">
        <x:v>X</x:v>
      </x:c>
      <x:c r="S1452" s="60" t="n">
        <x:v>100</x:v>
      </x:c>
      <x:c r="T1452" s="58" t="str">
        <x:v>VALID</x:v>
      </x:c>
      <x:c r="U1452" s="58" t="n">
        <x:v>1513</x:v>
      </x:c>
      <x:c r="V1452" s="58" t="str">
        <x:v>Pasted text(59).txt</x:v>
      </x:c>
    </x:row>
    <x:row r="1453">
      <x:c r="A1453" s="58" t="str">
        <x:v>S15</x:v>
      </x:c>
      <x:c r="B1453" s="58" t="str">
        <x:v>0.60 validation at 268.9 Hz</x:v>
      </x:c>
      <x:c r="C1453" s="58" t="n">
        <x:v>0.6</x:v>
      </x:c>
      <x:c r="D1453" s="58" t="n">
        <x:v>1</x:v>
      </x:c>
      <x:c r="E1453" s="58" t="n">
        <x:v>2</x:v>
      </x:c>
      <x:c r="F1453" s="58" t="str">
        <x:v>FINE</x:v>
      </x:c>
      <x:c r="G1453" s="58" t="n">
        <x:v>4</x:v>
      </x:c>
      <x:c r="H1453" s="59" t="n">
        <x:v>6.25</x:v>
      </x:c>
      <x:c r="I1453" s="59" t="n">
        <x:v>0.53719</x:v>
      </x:c>
      <x:c r="J1453" s="59" t="n">
        <x:v>0.5423</x:v>
      </x:c>
      <x:c r="K1453" s="59" t="n">
        <x:v>0.27159</x:v>
      </x:c>
      <x:c r="L1453" s="59" t="n">
        <x:v>0.14341</x:v>
      </x:c>
      <x:c r="M1453" s="59" t="n">
        <x:v>0.62387</x:v>
      </x:c>
      <x:c r="N1453" s="60" t="n">
        <x:v>-10.47</x:v>
      </x:c>
      <x:c r="O1453" s="60" t="n">
        <x:v>3.88</x:v>
      </x:c>
      <x:c r="P1453" s="60" t="n">
        <x:v>4.09</x:v>
      </x:c>
      <x:c r="Q1453" s="60" t="n">
        <x:v>70.6</x:v>
      </x:c>
      <x:c r="R1453" s="58" t="str">
        <x:v>X</x:v>
      </x:c>
      <x:c r="S1453" s="60" t="n">
        <x:v>100</x:v>
      </x:c>
      <x:c r="T1453" s="58" t="str">
        <x:v>VALID</x:v>
      </x:c>
      <x:c r="U1453" s="58" t="n">
        <x:v>1514</x:v>
      </x:c>
      <x:c r="V1453" s="58" t="str">
        <x:v>Pasted text(59).txt</x:v>
      </x:c>
    </x:row>
    <x:row r="1454">
      <x:c r="A1454" s="58" t="str">
        <x:v>S15</x:v>
      </x:c>
      <x:c r="B1454" s="58" t="str">
        <x:v>0.60 validation at 268.9 Hz</x:v>
      </x:c>
      <x:c r="C1454" s="58" t="n">
        <x:v>0.6</x:v>
      </x:c>
      <x:c r="D1454" s="58" t="n">
        <x:v>1</x:v>
      </x:c>
      <x:c r="E1454" s="58" t="n">
        <x:v>2</x:v>
      </x:c>
      <x:c r="F1454" s="58" t="str">
        <x:v>FINE</x:v>
      </x:c>
      <x:c r="G1454" s="58" t="n">
        <x:v>5</x:v>
      </x:c>
      <x:c r="H1454" s="59" t="n">
        <x:v>6.5</x:v>
      </x:c>
      <x:c r="I1454" s="59" t="n">
        <x:v>0.53505</x:v>
      </x:c>
      <x:c r="J1454" s="59" t="n">
        <x:v>0.54635</x:v>
      </x:c>
      <x:c r="K1454" s="59" t="n">
        <x:v>0.28254</x:v>
      </x:c>
      <x:c r="L1454" s="59" t="n">
        <x:v>0.1665</x:v>
      </x:c>
      <x:c r="M1454" s="59" t="n">
        <x:v>0.63801</x:v>
      </x:c>
      <x:c r="N1454" s="60" t="n">
        <x:v>-10.82</x:v>
      </x:c>
      <x:c r="O1454" s="60" t="n">
        <x:v>1.27</x:v>
      </x:c>
      <x:c r="P1454" s="60" t="n">
        <x:v>4.33</x:v>
      </x:c>
      <x:c r="Q1454" s="60" t="n">
        <x:v>69.9</x:v>
      </x:c>
      <x:c r="R1454" s="58" t="str">
        <x:v>X</x:v>
      </x:c>
      <x:c r="S1454" s="60" t="n">
        <x:v>100</x:v>
      </x:c>
      <x:c r="T1454" s="58" t="str">
        <x:v>VALID</x:v>
      </x:c>
      <x:c r="U1454" s="58" t="n">
        <x:v>1515</x:v>
      </x:c>
      <x:c r="V1454" s="58" t="str">
        <x:v>Pasted text(59).txt</x:v>
      </x:c>
    </x:row>
    <x:row r="1455">
      <x:c r="A1455" s="58" t="str">
        <x:v>S15</x:v>
      </x:c>
      <x:c r="B1455" s="58" t="str">
        <x:v>0.60 validation at 268.9 Hz</x:v>
      </x:c>
      <x:c r="C1455" s="58" t="n">
        <x:v>0.6</x:v>
      </x:c>
      <x:c r="D1455" s="58" t="n">
        <x:v>1</x:v>
      </x:c>
      <x:c r="E1455" s="58" t="n">
        <x:v>2</x:v>
      </x:c>
      <x:c r="F1455" s="58" t="str">
        <x:v>FINE</x:v>
      </x:c>
      <x:c r="G1455" s="58" t="n">
        <x:v>6</x:v>
      </x:c>
      <x:c r="H1455" s="59" t="n">
        <x:v>6.75</x:v>
      </x:c>
      <x:c r="I1455" s="59" t="n">
        <x:v>0.59469</x:v>
      </x:c>
      <x:c r="J1455" s="59" t="n">
        <x:v>0.60234</x:v>
      </x:c>
      <x:c r="K1455" s="59" t="n">
        <x:v>0.33103</x:v>
      </x:c>
      <x:c r="L1455" s="59" t="n">
        <x:v>0.14478</x:v>
      </x:c>
      <x:c r="M1455" s="59" t="n">
        <x:v>0.70333</x:v>
      </x:c>
      <x:c r="N1455" s="60" t="n">
        <x:v>-0.88</x:v>
      </x:c>
      <x:c r="O1455" s="60" t="n">
        <x:v>4.44</x:v>
      </x:c>
      <x:c r="P1455" s="60" t="n">
        <x:v>4.98</x:v>
      </x:c>
      <x:c r="Q1455" s="60" t="n">
        <x:v>70</x:v>
      </x:c>
      <x:c r="R1455" s="58" t="str">
        <x:v>X</x:v>
      </x:c>
      <x:c r="S1455" s="60" t="n">
        <x:v>100</x:v>
      </x:c>
      <x:c r="T1455" s="58" t="str">
        <x:v>IN TARGET BAND</x:v>
      </x:c>
      <x:c r="U1455" s="58" t="n">
        <x:v>1516</x:v>
      </x:c>
      <x:c r="V1455" s="58" t="str">
        <x:v>Pasted text(59).txt</x:v>
      </x:c>
    </x:row>
    <x:row r="1456">
      <x:c r="A1456" s="58" t="str">
        <x:v>S15</x:v>
      </x:c>
      <x:c r="B1456" s="58" t="str">
        <x:v>0.60 validation at 268.9 Hz</x:v>
      </x:c>
      <x:c r="C1456" s="58" t="n">
        <x:v>0.6</x:v>
      </x:c>
      <x:c r="D1456" s="58" t="n">
        <x:v>1</x:v>
      </x:c>
      <x:c r="E1456" s="58" t="n">
        <x:v>2</x:v>
      </x:c>
      <x:c r="F1456" s="58" t="str">
        <x:v>FINE</x:v>
      </x:c>
      <x:c r="G1456" s="58" t="n">
        <x:v>7</x:v>
      </x:c>
      <x:c r="H1456" s="59" t="n">
        <x:v>7</x:v>
      </x:c>
      <x:c r="I1456" s="59" t="n">
        <x:v>0.62335</x:v>
      </x:c>
      <x:c r="J1456" s="59" t="n">
        <x:v>0.62701</x:v>
      </x:c>
      <x:c r="K1456" s="59" t="n">
        <x:v>0.33268</x:v>
      </x:c>
      <x:c r="L1456" s="59" t="n">
        <x:v>0.16436</x:v>
      </x:c>
      <x:c r="M1456" s="59" t="n">
        <x:v>0.72875</x:v>
      </x:c>
      <x:c r="N1456" s="60" t="n">
        <x:v>3.89</x:v>
      </x:c>
      <x:c r="O1456" s="60" t="n">
        <x:v>0.07</x:v>
      </x:c>
      <x:c r="P1456" s="60" t="n">
        <x:v>1.05</x:v>
      </x:c>
      <x:c r="Q1456" s="60" t="n">
        <x:v>73.7</x:v>
      </x:c>
      <x:c r="R1456" s="58" t="str">
        <x:v>X</x:v>
      </x:c>
      <x:c r="S1456" s="60" t="n">
        <x:v>100</x:v>
      </x:c>
      <x:c r="T1456" s="58" t="str">
        <x:v>IN TARGET BAND</x:v>
      </x:c>
      <x:c r="U1456" s="58" t="n">
        <x:v>1517</x:v>
      </x:c>
      <x:c r="V1456" s="58" t="str">
        <x:v>Pasted text(59).txt</x:v>
      </x:c>
    </x:row>
    <x:row r="1457">
      <x:c r="A1457" s="58" t="str">
        <x:v>S15</x:v>
      </x:c>
      <x:c r="B1457" s="58" t="str">
        <x:v>0.60 validation at 268.9 Hz</x:v>
      </x:c>
      <x:c r="C1457" s="58" t="n">
        <x:v>0.6</x:v>
      </x:c>
      <x:c r="D1457" s="58" t="n">
        <x:v>1</x:v>
      </x:c>
      <x:c r="E1457" s="58" t="n">
        <x:v>2</x:v>
      </x:c>
      <x:c r="F1457" s="58" t="str">
        <x:v>FINE</x:v>
      </x:c>
      <x:c r="G1457" s="58" t="n">
        <x:v>8</x:v>
      </x:c>
      <x:c r="H1457" s="59" t="n">
        <x:v>7.25</x:v>
      </x:c>
      <x:c r="I1457" s="59" t="n">
        <x:v>0.65031</x:v>
      </x:c>
      <x:c r="J1457" s="59" t="n">
        <x:v>0.65041</x:v>
      </x:c>
      <x:c r="K1457" s="59" t="n">
        <x:v>0.34046</x:v>
      </x:c>
      <x:c r="L1457" s="59" t="n">
        <x:v>0.13806</x:v>
      </x:c>
      <x:c r="M1457" s="59" t="n">
        <x:v>0.74758</x:v>
      </x:c>
      <x:c r="N1457" s="60" t="n">
        <x:v>8.38</x:v>
      </x:c>
      <x:c r="O1457" s="60" t="n">
        <x:v>0.27</x:v>
      </x:c>
      <x:c r="P1457" s="60" t="n">
        <x:v>0.2</x:v>
      </x:c>
      <x:c r="Q1457" s="60" t="n">
        <x:v>76.9</x:v>
      </x:c>
      <x:c r="R1457" s="58" t="str">
        <x:v>X</x:v>
      </x:c>
      <x:c r="S1457" s="60" t="n">
        <x:v>100</x:v>
      </x:c>
      <x:c r="T1457" s="58" t="str">
        <x:v>VALID</x:v>
      </x:c>
      <x:c r="U1457" s="58" t="n">
        <x:v>1518</x:v>
      </x:c>
      <x:c r="V1457" s="58" t="str">
        <x:v>Pasted text(59).txt</x:v>
      </x:c>
    </x:row>
    <x:row r="1458">
      <x:c r="A1458" s="58" t="str">
        <x:v>S15</x:v>
      </x:c>
      <x:c r="B1458" s="58" t="str">
        <x:v>0.60 validation at 268.9 Hz</x:v>
      </x:c>
      <x:c r="C1458" s="58" t="n">
        <x:v>0.6</x:v>
      </x:c>
      <x:c r="D1458" s="58" t="n">
        <x:v>1</x:v>
      </x:c>
      <x:c r="E1458" s="58" t="n">
        <x:v>2</x:v>
      </x:c>
      <x:c r="F1458" s="58" t="str">
        <x:v>FINE</x:v>
      </x:c>
      <x:c r="G1458" s="58" t="n">
        <x:v>9</x:v>
      </x:c>
      <x:c r="H1458" s="59" t="n">
        <x:v>7.5</x:v>
      </x:c>
      <x:c r="I1458" s="59" t="n">
        <x:v>0.67449</x:v>
      </x:c>
      <x:c r="J1458" s="59" t="n">
        <x:v>0.67299</x:v>
      </x:c>
      <x:c r="K1458" s="59" t="n">
        <x:v>0.34528</x:v>
      </x:c>
      <x:c r="L1458" s="59" t="n">
        <x:v>0.16842</x:v>
      </x:c>
      <x:c r="M1458" s="59" t="n">
        <x:v>0.77556</x:v>
      </x:c>
      <x:c r="N1458" s="60" t="n">
        <x:v>12.41</x:v>
      </x:c>
      <x:c r="O1458" s="60" t="n">
        <x:v>0.83</x:v>
      </x:c>
      <x:c r="P1458" s="60" t="n">
        <x:v>0.92</x:v>
      </x:c>
      <x:c r="Q1458" s="60" t="n">
        <x:v>79.8</x:v>
      </x:c>
      <x:c r="R1458" s="58" t="str">
        <x:v>X</x:v>
      </x:c>
      <x:c r="S1458" s="60" t="n">
        <x:v>100</x:v>
      </x:c>
      <x:c r="T1458" s="58" t="str">
        <x:v>VALID</x:v>
      </x:c>
      <x:c r="U1458" s="58" t="n">
        <x:v>1519</x:v>
      </x:c>
      <x:c r="V1458" s="58" t="str">
        <x:v>Pasted text(59).txt</x:v>
      </x:c>
    </x:row>
    <x:row r="1459">
      <x:c r="A1459" s="58" t="str">
        <x:v>S15</x:v>
      </x:c>
      <x:c r="B1459" s="58" t="str">
        <x:v>0.60 validation at 268.9 Hz</x:v>
      </x:c>
      <x:c r="C1459" s="58" t="n">
        <x:v>0.6</x:v>
      </x:c>
      <x:c r="D1459" s="58" t="n">
        <x:v>1</x:v>
      </x:c>
      <x:c r="E1459" s="58" t="n">
        <x:v>2</x:v>
      </x:c>
      <x:c r="F1459" s="58" t="str">
        <x:v>FINAL</x:v>
      </x:c>
      <x:c r="G1459" s="58" t="n">
        <x:v>1</x:v>
      </x:c>
      <x:c r="H1459" s="59" t="n">
        <x:v>7</x:v>
      </x:c>
      <x:c r="I1459" s="59" t="n">
        <x:v>0.63677</x:v>
      </x:c>
      <x:c r="J1459" s="59" t="n">
        <x:v>0.63101</x:v>
      </x:c>
      <x:c r="K1459" s="59" t="n">
        <x:v>0.34021</x:v>
      </x:c>
      <x:c r="L1459" s="59" t="n">
        <x:v>0.13954</x:v>
      </x:c>
      <x:c r="M1459" s="59" t="n">
        <x:v>0.73095</x:v>
      </x:c>
      <x:c r="N1459" s="60" t="n">
        <x:v>6.13</x:v>
      </x:c>
      <x:c r="O1459" s="60" t="n">
        <x:v>0.78</x:v>
      </x:c>
      <x:c r="P1459" s="60" t="n">
        <x:v>2.22</x:v>
      </x:c>
      <x:c r="Q1459" s="60" t="n">
        <x:v>73.7</x:v>
      </x:c>
      <x:c r="R1459" s="58" t="str">
        <x:v>X</x:v>
      </x:c>
      <x:c r="S1459" s="60" t="n">
        <x:v>100</x:v>
      </x:c>
      <x:c r="T1459" s="58" t="str">
        <x:v>IN TARGET BAND</x:v>
      </x:c>
      <x:c r="U1459" s="58" t="n">
        <x:v>1522</x:v>
      </x:c>
      <x:c r="V1459" s="58" t="str">
        <x:v>Pasted text(59).txt</x:v>
      </x:c>
    </x:row>
    <x:row r="1460">
      <x:c r="A1460" s="58" t="str">
        <x:v>S15</x:v>
      </x:c>
      <x:c r="B1460" s="58" t="str">
        <x:v>0.60 validation at 268.9 Hz</x:v>
      </x:c>
      <x:c r="C1460" s="58" t="n">
        <x:v>0.6</x:v>
      </x:c>
      <x:c r="D1460" s="58" t="n">
        <x:v>1</x:v>
      </x:c>
      <x:c r="E1460" s="58" t="n">
        <x:v>2</x:v>
      </x:c>
      <x:c r="F1460" s="58" t="str">
        <x:v>FINAL</x:v>
      </x:c>
      <x:c r="G1460" s="58" t="n">
        <x:v>2</x:v>
      </x:c>
      <x:c r="H1460" s="59" t="n">
        <x:v>7</x:v>
      </x:c>
      <x:c r="I1460" s="59" t="n">
        <x:v>0.63424</x:v>
      </x:c>
      <x:c r="J1460" s="59" t="n">
        <x:v>0.63034</x:v>
      </x:c>
      <x:c r="K1460" s="59" t="n">
        <x:v>0.32801</x:v>
      </x:c>
      <x:c r="L1460" s="59" t="n">
        <x:v>0.15916</x:v>
      </x:c>
      <x:c r="M1460" s="59" t="n">
        <x:v>0.72881</x:v>
      </x:c>
      <x:c r="N1460" s="60" t="n">
        <x:v>5.71</x:v>
      </x:c>
      <x:c r="O1460" s="60" t="n">
        <x:v>1.54</x:v>
      </x:c>
      <x:c r="P1460" s="60" t="n">
        <x:v>2.15</x:v>
      </x:c>
      <x:c r="Q1460" s="60" t="n">
        <x:v>74.7</x:v>
      </x:c>
      <x:c r="R1460" s="58" t="str">
        <x:v>X</x:v>
      </x:c>
      <x:c r="S1460" s="60" t="n">
        <x:v>100</x:v>
      </x:c>
      <x:c r="T1460" s="58" t="str">
        <x:v>IN TARGET BAND</x:v>
      </x:c>
      <x:c r="U1460" s="58" t="n">
        <x:v>1523</x:v>
      </x:c>
      <x:c r="V1460" s="58" t="str">
        <x:v>Pasted text(59).txt</x:v>
      </x:c>
    </x:row>
    <x:row r="1461">
      <x:c r="A1461" s="58" t="str">
        <x:v>S15</x:v>
      </x:c>
      <x:c r="B1461" s="58" t="str">
        <x:v>0.60 validation at 268.9 Hz</x:v>
      </x:c>
      <x:c r="C1461" s="58" t="n">
        <x:v>0.6</x:v>
      </x:c>
      <x:c r="D1461" s="58" t="n">
        <x:v>2</x:v>
      </x:c>
      <x:c r="E1461" s="58" t="n">
        <x:v>1</x:v>
      </x:c>
      <x:c r="F1461" s="58" t="str">
        <x:v>SEARCH</x:v>
      </x:c>
      <x:c r="G1461" s="58" t="n">
        <x:v>1</x:v>
      </x:c>
      <x:c r="H1461" s="59" t="n">
        <x:v>1</x:v>
      </x:c>
      <x:c r="I1461" s="59" t="n">
        <x:v>0.02074</x:v>
      </x:c>
      <x:c r="J1461" s="59" t="n">
        <x:v>0.0188</x:v>
      </x:c>
      <x:c r="K1461" s="59" t="n">
        <x:v>0.03287</x:v>
      </x:c>
      <x:c r="L1461" s="59" t="n">
        <x:v>0.01471</x:v>
      </x:c>
      <x:c r="M1461" s="59" t="n">
        <x:v>0.04089</x:v>
      </x:c>
      <x:c r="N1461" s="60" t="n">
        <x:v>-96.54</x:v>
      </x:c>
      <x:c r="O1461" s="60" t="n">
        <x:v>27.64</x:v>
      </x:c>
      <x:c r="P1461" s="60" t="n">
        <x:v>14.54</x:v>
      </x:c>
      <x:c r="Q1461" s="60" t="n">
        <x:v>6.1</x:v>
      </x:c>
      <x:c r="R1461" s="58" t="str">
        <x:v>Y</x:v>
      </x:c>
      <x:c r="S1461" s="60" t="n">
        <x:v>57.2</x:v>
      </x:c>
      <x:c r="T1461" s="58" t="str">
        <x:v>BELOW MEASUREMENT FLOOR — SEARCH CONTINUES</x:v>
      </x:c>
      <x:c r="U1461" s="58" t="n">
        <x:v>1579</x:v>
      </x:c>
      <x:c r="V1461" s="58" t="str">
        <x:v>Pasted text(59).txt</x:v>
      </x:c>
    </x:row>
    <x:row r="1462">
      <x:c r="A1462" s="58" t="str">
        <x:v>S15</x:v>
      </x:c>
      <x:c r="B1462" s="58" t="str">
        <x:v>0.60 validation at 268.9 Hz</x:v>
      </x:c>
      <x:c r="C1462" s="58" t="n">
        <x:v>0.6</x:v>
      </x:c>
      <x:c r="D1462" s="58" t="n">
        <x:v>2</x:v>
      </x:c>
      <x:c r="E1462" s="58" t="n">
        <x:v>1</x:v>
      </x:c>
      <x:c r="F1462" s="58" t="str">
        <x:v>SEARCH</x:v>
      </x:c>
      <x:c r="G1462" s="58" t="n">
        <x:v>2</x:v>
      </x:c>
      <x:c r="H1462" s="59" t="n">
        <x:v>3</x:v>
      </x:c>
      <x:c r="I1462" s="59" t="n">
        <x:v>0.19479</x:v>
      </x:c>
      <x:c r="J1462" s="59" t="n">
        <x:v>0.19183</x:v>
      </x:c>
      <x:c r="K1462" s="59" t="n">
        <x:v>0.09548</x:v>
      </x:c>
      <x:c r="L1462" s="59" t="n">
        <x:v>0.05142</x:v>
      </x:c>
      <x:c r="M1462" s="59" t="n">
        <x:v>0.22134</x:v>
      </x:c>
      <x:c r="N1462" s="60" t="n">
        <x:v>-67.54</x:v>
      </x:c>
      <x:c r="O1462" s="60" t="n">
        <x:v>17.18</x:v>
      </x:c>
      <x:c r="P1462" s="60" t="n">
        <x:v>14.14</x:v>
      </x:c>
      <x:c r="Q1462" s="60" t="n">
        <x:v>29.7</x:v>
      </x:c>
      <x:c r="R1462" s="58" t="str">
        <x:v>X</x:v>
      </x:c>
      <x:c r="S1462" s="60" t="n">
        <x:v>100</x:v>
      </x:c>
      <x:c r="T1462" s="58" t="str">
        <x:v>UNSTABLE — SEARCH CONTINUES</x:v>
      </x:c>
      <x:c r="U1462" s="58" t="n">
        <x:v>1580</x:v>
      </x:c>
      <x:c r="V1462" s="58" t="str">
        <x:v>Pasted text(59).txt</x:v>
      </x:c>
    </x:row>
    <x:row r="1463">
      <x:c r="A1463" s="58" t="str">
        <x:v>S15</x:v>
      </x:c>
      <x:c r="B1463" s="58" t="str">
        <x:v>0.60 validation at 268.9 Hz</x:v>
      </x:c>
      <x:c r="C1463" s="58" t="n">
        <x:v>0.6</x:v>
      </x:c>
      <x:c r="D1463" s="58" t="n">
        <x:v>2</x:v>
      </x:c>
      <x:c r="E1463" s="58" t="n">
        <x:v>1</x:v>
      </x:c>
      <x:c r="F1463" s="58" t="str">
        <x:v>SEARCH</x:v>
      </x:c>
      <x:c r="G1463" s="58" t="n">
        <x:v>3</x:v>
      </x:c>
      <x:c r="H1463" s="59" t="n">
        <x:v>4</x:v>
      </x:c>
      <x:c r="I1463" s="59" t="n">
        <x:v>0.29718</x:v>
      </x:c>
      <x:c r="J1463" s="59" t="n">
        <x:v>0.31227</x:v>
      </x:c>
      <x:c r="K1463" s="59" t="n">
        <x:v>0.14839</x:v>
      </x:c>
      <x:c r="L1463" s="59" t="n">
        <x:v>0.10034</x:v>
      </x:c>
      <x:c r="M1463" s="59" t="n">
        <x:v>0.36066</x:v>
      </x:c>
      <x:c r="N1463" s="60" t="n">
        <x:v>-50.47</x:v>
      </x:c>
      <x:c r="O1463" s="60" t="n">
        <x:v>0.04</x:v>
      </x:c>
      <x:c r="P1463" s="60" t="n">
        <x:v>8.39</x:v>
      </x:c>
      <x:c r="Q1463" s="60" t="n">
        <x:v>46.7</x:v>
      </x:c>
      <x:c r="R1463" s="58" t="str">
        <x:v>X</x:v>
      </x:c>
      <x:c r="S1463" s="60" t="n">
        <x:v>100</x:v>
      </x:c>
      <x:c r="T1463" s="58" t="str">
        <x:v>UNSTABLE — SEARCH CONTINUES</x:v>
      </x:c>
      <x:c r="U1463" s="58" t="n">
        <x:v>1581</x:v>
      </x:c>
      <x:c r="V1463" s="58" t="str">
        <x:v>Pasted text(59).txt</x:v>
      </x:c>
    </x:row>
    <x:row r="1464">
      <x:c r="A1464" s="58" t="str">
        <x:v>S15</x:v>
      </x:c>
      <x:c r="B1464" s="58" t="str">
        <x:v>0.60 validation at 268.9 Hz</x:v>
      </x:c>
      <x:c r="C1464" s="58" t="n">
        <x:v>0.6</x:v>
      </x:c>
      <x:c r="D1464" s="58" t="n">
        <x:v>2</x:v>
      </x:c>
      <x:c r="E1464" s="58" t="n">
        <x:v>1</x:v>
      </x:c>
      <x:c r="F1464" s="58" t="str">
        <x:v>SEARCH</x:v>
      </x:c>
      <x:c r="G1464" s="58" t="n">
        <x:v>4</x:v>
      </x:c>
      <x:c r="H1464" s="59" t="n">
        <x:v>5</x:v>
      </x:c>
      <x:c r="I1464" s="59" t="n">
        <x:v>0.39763</x:v>
      </x:c>
      <x:c r="J1464" s="59" t="n">
        <x:v>0.3978</x:v>
      </x:c>
      <x:c r="K1464" s="59" t="n">
        <x:v>0.22214</x:v>
      </x:c>
      <x:c r="L1464" s="59" t="n">
        <x:v>0.14681</x:v>
      </x:c>
      <x:c r="M1464" s="59" t="n">
        <x:v>0.4799</x:v>
      </x:c>
      <x:c r="N1464" s="60" t="n">
        <x:v>-33.73</x:v>
      </x:c>
      <x:c r="O1464" s="60" t="n">
        <x:v>5.15</x:v>
      </x:c>
      <x:c r="P1464" s="60" t="n">
        <x:v>3.54</x:v>
      </x:c>
      <x:c r="Q1464" s="60" t="n">
        <x:v>54.7</x:v>
      </x:c>
      <x:c r="R1464" s="58" t="str">
        <x:v>X</x:v>
      </x:c>
      <x:c r="S1464" s="60" t="n">
        <x:v>100</x:v>
      </x:c>
      <x:c r="T1464" s="58" t="str">
        <x:v>VALID</x:v>
      </x:c>
      <x:c r="U1464" s="58" t="n">
        <x:v>1582</x:v>
      </x:c>
      <x:c r="V1464" s="58" t="str">
        <x:v>Pasted text(59).txt</x:v>
      </x:c>
    </x:row>
    <x:row r="1465">
      <x:c r="A1465" s="58" t="str">
        <x:v>S15</x:v>
      </x:c>
      <x:c r="B1465" s="58" t="str">
        <x:v>0.60 validation at 268.9 Hz</x:v>
      </x:c>
      <x:c r="C1465" s="58" t="n">
        <x:v>0.6</x:v>
      </x:c>
      <x:c r="D1465" s="58" t="n">
        <x:v>2</x:v>
      </x:c>
      <x:c r="E1465" s="58" t="n">
        <x:v>1</x:v>
      </x:c>
      <x:c r="F1465" s="58" t="str">
        <x:v>SEARCH</x:v>
      </x:c>
      <x:c r="G1465" s="58" t="n">
        <x:v>5</x:v>
      </x:c>
      <x:c r="H1465" s="59" t="n">
        <x:v>5.5</x:v>
      </x:c>
      <x:c r="I1465" s="59" t="n">
        <x:v>0.44749</x:v>
      </x:c>
      <x:c r="J1465" s="59" t="n">
        <x:v>0.44977</x:v>
      </x:c>
      <x:c r="K1465" s="59" t="n">
        <x:v>0.22562</x:v>
      </x:c>
      <x:c r="L1465" s="59" t="n">
        <x:v>0.12728</x:v>
      </x:c>
      <x:c r="M1465" s="59" t="n">
        <x:v>0.51911</x:v>
      </x:c>
      <x:c r="N1465" s="60" t="n">
        <x:v>-25.42</x:v>
      </x:c>
      <x:c r="O1465" s="60" t="n">
        <x:v>3.5</x:v>
      </x:c>
      <x:c r="P1465" s="60" t="n">
        <x:v>3.14</x:v>
      </x:c>
      <x:c r="Q1465" s="60" t="n">
        <x:v>65.7</x:v>
      </x:c>
      <x:c r="R1465" s="58" t="str">
        <x:v>X</x:v>
      </x:c>
      <x:c r="S1465" s="60" t="n">
        <x:v>100</x:v>
      </x:c>
      <x:c r="T1465" s="58" t="str">
        <x:v>VALID</x:v>
      </x:c>
      <x:c r="U1465" s="58" t="n">
        <x:v>1583</x:v>
      </x:c>
      <x:c r="V1465" s="58" t="str">
        <x:v>Pasted text(59).txt</x:v>
      </x:c>
    </x:row>
    <x:row r="1466">
      <x:c r="A1466" s="58" t="str">
        <x:v>S15</x:v>
      </x:c>
      <x:c r="B1466" s="58" t="str">
        <x:v>0.60 validation at 268.9 Hz</x:v>
      </x:c>
      <x:c r="C1466" s="58" t="n">
        <x:v>0.6</x:v>
      </x:c>
      <x:c r="D1466" s="58" t="n">
        <x:v>2</x:v>
      </x:c>
      <x:c r="E1466" s="58" t="n">
        <x:v>1</x:v>
      </x:c>
      <x:c r="F1466" s="58" t="str">
        <x:v>SEARCH</x:v>
      </x:c>
      <x:c r="G1466" s="58" t="n">
        <x:v>6</x:v>
      </x:c>
      <x:c r="H1466" s="59" t="n">
        <x:v>6</x:v>
      </x:c>
      <x:c r="I1466" s="59" t="n">
        <x:v>0.50724</x:v>
      </x:c>
      <x:c r="J1466" s="59" t="n">
        <x:v>0.51808</x:v>
      </x:c>
      <x:c r="K1466" s="59" t="n">
        <x:v>0.26176</x:v>
      </x:c>
      <x:c r="L1466" s="59" t="n">
        <x:v>0.16802</x:v>
      </x:c>
      <x:c r="M1466" s="59" t="n">
        <x:v>0.60461</x:v>
      </x:c>
      <x:c r="N1466" s="60" t="n">
        <x:v>-15.46</x:v>
      </x:c>
      <x:c r="O1466" s="60" t="n">
        <x:v>2.05</x:v>
      </x:c>
      <x:c r="P1466" s="60" t="n">
        <x:v>4.85</x:v>
      </x:c>
      <x:c r="Q1466" s="60" t="n">
        <x:v>65.2</x:v>
      </x:c>
      <x:c r="R1466" s="58" t="str">
        <x:v>X</x:v>
      </x:c>
      <x:c r="S1466" s="60" t="n">
        <x:v>100</x:v>
      </x:c>
      <x:c r="T1466" s="58" t="str">
        <x:v>VALID</x:v>
      </x:c>
      <x:c r="U1466" s="58" t="n">
        <x:v>1584</x:v>
      </x:c>
      <x:c r="V1466" s="58" t="str">
        <x:v>Pasted text(59).txt</x:v>
      </x:c>
    </x:row>
    <x:row r="1467">
      <x:c r="A1467" s="58" t="str">
        <x:v>S15</x:v>
      </x:c>
      <x:c r="B1467" s="58" t="str">
        <x:v>0.60 validation at 268.9 Hz</x:v>
      </x:c>
      <x:c r="C1467" s="58" t="n">
        <x:v>0.6</x:v>
      </x:c>
      <x:c r="D1467" s="58" t="n">
        <x:v>2</x:v>
      </x:c>
      <x:c r="E1467" s="58" t="n">
        <x:v>1</x:v>
      </x:c>
      <x:c r="F1467" s="58" t="str">
        <x:v>SEARCH</x:v>
      </x:c>
      <x:c r="G1467" s="58" t="n">
        <x:v>7</x:v>
      </x:c>
      <x:c r="H1467" s="59" t="n">
        <x:v>6.5</x:v>
      </x:c>
      <x:c r="I1467" s="59" t="n">
        <x:v>0.56124</x:v>
      </x:c>
      <x:c r="J1467" s="59" t="n">
        <x:v>0.56409</x:v>
      </x:c>
      <x:c r="K1467" s="59" t="n">
        <x:v>0.26767</x:v>
      </x:c>
      <x:c r="L1467" s="59" t="n">
        <x:v>0.1332</x:v>
      </x:c>
      <x:c r="M1467" s="59" t="n">
        <x:v>0.63921</x:v>
      </x:c>
      <x:c r="N1467" s="60" t="n">
        <x:v>-6.46</x:v>
      </x:c>
      <x:c r="O1467" s="60" t="n">
        <x:v>2.13</x:v>
      </x:c>
      <x:c r="P1467" s="60" t="n">
        <x:v>2.23</x:v>
      </x:c>
      <x:c r="Q1467" s="60" t="n">
        <x:v>72.8</x:v>
      </x:c>
      <x:c r="R1467" s="58" t="str">
        <x:v>X</x:v>
      </x:c>
      <x:c r="S1467" s="60" t="n">
        <x:v>100</x:v>
      </x:c>
      <x:c r="T1467" s="58" t="str">
        <x:v>IN TARGET BAND</x:v>
      </x:c>
      <x:c r="U1467" s="58" t="n">
        <x:v>1585</x:v>
      </x:c>
      <x:c r="V1467" s="58" t="str">
        <x:v>Pasted text(59).txt</x:v>
      </x:c>
    </x:row>
    <x:row r="1468">
      <x:c r="A1468" s="58" t="str">
        <x:v>S15</x:v>
      </x:c>
      <x:c r="B1468" s="58" t="str">
        <x:v>0.60 validation at 268.9 Hz</x:v>
      </x:c>
      <x:c r="C1468" s="58" t="n">
        <x:v>0.6</x:v>
      </x:c>
      <x:c r="D1468" s="58" t="n">
        <x:v>2</x:v>
      </x:c>
      <x:c r="E1468" s="58" t="n">
        <x:v>1</x:v>
      </x:c>
      <x:c r="F1468" s="58" t="str">
        <x:v>FINE</x:v>
      </x:c>
      <x:c r="G1468" s="58" t="n">
        <x:v>1</x:v>
      </x:c>
      <x:c r="H1468" s="59" t="n">
        <x:v>5.5</x:v>
      </x:c>
      <x:c r="I1468" s="59" t="n">
        <x:v>0.44337</x:v>
      </x:c>
      <x:c r="J1468" s="59" t="n">
        <x:v>0.43781</x:v>
      </x:c>
      <x:c r="K1468" s="59" t="n">
        <x:v>0.21745</x:v>
      </x:c>
      <x:c r="L1468" s="59" t="n">
        <x:v>0.12317</x:v>
      </x:c>
      <x:c r="M1468" s="59" t="n">
        <x:v>0.50435</x:v>
      </x:c>
      <x:c r="N1468" s="60" t="n">
        <x:v>-26.1</x:v>
      </x:c>
      <x:c r="O1468" s="60" t="n">
        <x:v>4.38</x:v>
      </x:c>
      <x:c r="P1468" s="60" t="n">
        <x:v>5.02</x:v>
      </x:c>
      <x:c r="Q1468" s="60" t="n">
        <x:v>66.3</x:v>
      </x:c>
      <x:c r="R1468" s="58" t="str">
        <x:v>X</x:v>
      </x:c>
      <x:c r="S1468" s="60" t="n">
        <x:v>100</x:v>
      </x:c>
      <x:c r="T1468" s="58" t="str">
        <x:v>VALID</x:v>
      </x:c>
      <x:c r="U1468" s="58" t="n">
        <x:v>1589</x:v>
      </x:c>
      <x:c r="V1468" s="58" t="str">
        <x:v>Pasted text(59).txt</x:v>
      </x:c>
    </x:row>
    <x:row r="1469">
      <x:c r="A1469" s="58" t="str">
        <x:v>S15</x:v>
      </x:c>
      <x:c r="B1469" s="58" t="str">
        <x:v>0.60 validation at 268.9 Hz</x:v>
      </x:c>
      <x:c r="C1469" s="58" t="n">
        <x:v>0.6</x:v>
      </x:c>
      <x:c r="D1469" s="58" t="n">
        <x:v>2</x:v>
      </x:c>
      <x:c r="E1469" s="58" t="n">
        <x:v>1</x:v>
      </x:c>
      <x:c r="F1469" s="58" t="str">
        <x:v>FINE</x:v>
      </x:c>
      <x:c r="G1469" s="58" t="n">
        <x:v>2</x:v>
      </x:c>
      <x:c r="H1469" s="59" t="n">
        <x:v>5.75</x:v>
      </x:c>
      <x:c r="I1469" s="59" t="n">
        <x:v>0.48743</x:v>
      </x:c>
      <x:c r="J1469" s="59" t="n">
        <x:v>0.48708</x:v>
      </x:c>
      <x:c r="K1469" s="59" t="n">
        <x:v>0.27401</x:v>
      </x:c>
      <x:c r="L1469" s="59" t="n">
        <x:v>0.13003</x:v>
      </x:c>
      <x:c r="M1469" s="59" t="n">
        <x:v>0.57427</x:v>
      </x:c>
      <x:c r="N1469" s="60" t="n">
        <x:v>-18.76</x:v>
      </x:c>
      <x:c r="O1469" s="60" t="n">
        <x:v>1.21</x:v>
      </x:c>
      <x:c r="P1469" s="60" t="n">
        <x:v>0.93</x:v>
      </x:c>
      <x:c r="Q1469" s="60" t="n">
        <x:v>61.5</x:v>
      </x:c>
      <x:c r="R1469" s="58" t="str">
        <x:v>X</x:v>
      </x:c>
      <x:c r="S1469" s="60" t="n">
        <x:v>100</x:v>
      </x:c>
      <x:c r="T1469" s="58" t="str">
        <x:v>VALID</x:v>
      </x:c>
      <x:c r="U1469" s="58" t="n">
        <x:v>1590</x:v>
      </x:c>
      <x:c r="V1469" s="58" t="str">
        <x:v>Pasted text(59).txt</x:v>
      </x:c>
    </x:row>
    <x:row r="1470">
      <x:c r="A1470" s="58" t="str">
        <x:v>S15</x:v>
      </x:c>
      <x:c r="B1470" s="58" t="str">
        <x:v>0.60 validation at 268.9 Hz</x:v>
      </x:c>
      <x:c r="C1470" s="58" t="n">
        <x:v>0.6</x:v>
      </x:c>
      <x:c r="D1470" s="58" t="n">
        <x:v>2</x:v>
      </x:c>
      <x:c r="E1470" s="58" t="n">
        <x:v>1</x:v>
      </x:c>
      <x:c r="F1470" s="58" t="str">
        <x:v>FINE</x:v>
      </x:c>
      <x:c r="G1470" s="58" t="n">
        <x:v>3</x:v>
      </x:c>
      <x:c r="H1470" s="59" t="n">
        <x:v>6</x:v>
      </x:c>
      <x:c r="I1470" s="59" t="n">
        <x:v>0.52317</x:v>
      </x:c>
      <x:c r="J1470" s="59" t="n">
        <x:v>0.52643</x:v>
      </x:c>
      <x:c r="K1470" s="59" t="n">
        <x:v>0.25832</x:v>
      </x:c>
      <x:c r="L1470" s="59" t="n">
        <x:v>0.11246</x:v>
      </x:c>
      <x:c r="M1470" s="59" t="n">
        <x:v>0.59748</x:v>
      </x:c>
      <x:c r="N1470" s="60" t="n">
        <x:v>-12.8</x:v>
      </x:c>
      <x:c r="O1470" s="60" t="n">
        <x:v>1.48</x:v>
      </x:c>
      <x:c r="P1470" s="60" t="n">
        <x:v>2</x:v>
      </x:c>
      <x:c r="Q1470" s="60" t="n">
        <x:v>65.2</x:v>
      </x:c>
      <x:c r="R1470" s="58" t="str">
        <x:v>X</x:v>
      </x:c>
      <x:c r="S1470" s="60" t="n">
        <x:v>100</x:v>
      </x:c>
      <x:c r="T1470" s="58" t="str">
        <x:v>VALID</x:v>
      </x:c>
      <x:c r="U1470" s="58" t="n">
        <x:v>1591</x:v>
      </x:c>
      <x:c r="V1470" s="58" t="str">
        <x:v>Pasted text(59).txt</x:v>
      </x:c>
    </x:row>
    <x:row r="1471">
      <x:c r="A1471" s="58" t="str">
        <x:v>S15</x:v>
      </x:c>
      <x:c r="B1471" s="58" t="str">
        <x:v>0.60 validation at 268.9 Hz</x:v>
      </x:c>
      <x:c r="C1471" s="58" t="n">
        <x:v>0.6</x:v>
      </x:c>
      <x:c r="D1471" s="58" t="n">
        <x:v>2</x:v>
      </x:c>
      <x:c r="E1471" s="58" t="n">
        <x:v>1</x:v>
      </x:c>
      <x:c r="F1471" s="58" t="str">
        <x:v>FINE</x:v>
      </x:c>
      <x:c r="G1471" s="58" t="n">
        <x:v>4</x:v>
      </x:c>
      <x:c r="H1471" s="59" t="n">
        <x:v>6.25</x:v>
      </x:c>
      <x:c r="I1471" s="59" t="n">
        <x:v>0.53923</x:v>
      </x:c>
      <x:c r="J1471" s="59" t="n">
        <x:v>0.53685</x:v>
      </x:c>
      <x:c r="K1471" s="59" t="n">
        <x:v>0.26249</x:v>
      </x:c>
      <x:c r="L1471" s="59" t="n">
        <x:v>0.13851</x:v>
      </x:c>
      <x:c r="M1471" s="59" t="n">
        <x:v>0.61385</x:v>
      </x:c>
      <x:c r="N1471" s="60" t="n">
        <x:v>-10.13</x:v>
      </x:c>
      <x:c r="O1471" s="60" t="n">
        <x:v>0.11</x:v>
      </x:c>
      <x:c r="P1471" s="60" t="n">
        <x:v>0.83</x:v>
      </x:c>
      <x:c r="Q1471" s="60" t="n">
        <x:v>69</x:v>
      </x:c>
      <x:c r="R1471" s="58" t="str">
        <x:v>X</x:v>
      </x:c>
      <x:c r="S1471" s="60" t="n">
        <x:v>100</x:v>
      </x:c>
      <x:c r="T1471" s="58" t="str">
        <x:v>VALID</x:v>
      </x:c>
      <x:c r="U1471" s="58" t="n">
        <x:v>1592</x:v>
      </x:c>
      <x:c r="V1471" s="58" t="str">
        <x:v>Pasted text(59).txt</x:v>
      </x:c>
    </x:row>
    <x:row r="1472">
      <x:c r="A1472" s="58" t="str">
        <x:v>S15</x:v>
      </x:c>
      <x:c r="B1472" s="58" t="str">
        <x:v>0.60 validation at 268.9 Hz</x:v>
      </x:c>
      <x:c r="C1472" s="58" t="n">
        <x:v>0.6</x:v>
      </x:c>
      <x:c r="D1472" s="58" t="n">
        <x:v>2</x:v>
      </x:c>
      <x:c r="E1472" s="58" t="n">
        <x:v>1</x:v>
      </x:c>
      <x:c r="F1472" s="58" t="str">
        <x:v>FINE</x:v>
      </x:c>
      <x:c r="G1472" s="58" t="n">
        <x:v>5</x:v>
      </x:c>
      <x:c r="H1472" s="59" t="n">
        <x:v>6.5</x:v>
      </x:c>
      <x:c r="I1472" s="59" t="n">
        <x:v>0.54653</x:v>
      </x:c>
      <x:c r="J1472" s="59" t="n">
        <x:v>0.54866</x:v>
      </x:c>
      <x:c r="K1472" s="59" t="n">
        <x:v>0.26359</x:v>
      </x:c>
      <x:c r="L1472" s="59" t="n">
        <x:v>0.11384</x:v>
      </x:c>
      <x:c r="M1472" s="59" t="n">
        <x:v>0.6197</x:v>
      </x:c>
      <x:c r="N1472" s="60" t="n">
        <x:v>-8.91</x:v>
      </x:c>
      <x:c r="O1472" s="60" t="n">
        <x:v>7.6</x:v>
      </x:c>
      <x:c r="P1472" s="60" t="n">
        <x:v>5.7</x:v>
      </x:c>
      <x:c r="Q1472" s="60" t="n">
        <x:v>71.5</x:v>
      </x:c>
      <x:c r="R1472" s="58" t="str">
        <x:v>X</x:v>
      </x:c>
      <x:c r="S1472" s="60" t="n">
        <x:v>100</x:v>
      </x:c>
      <x:c r="T1472" s="58" t="str">
        <x:v>VALID</x:v>
      </x:c>
      <x:c r="U1472" s="58" t="n">
        <x:v>1593</x:v>
      </x:c>
      <x:c r="V1472" s="58" t="str">
        <x:v>Pasted text(59).txt</x:v>
      </x:c>
    </x:row>
    <x:row r="1473">
      <x:c r="A1473" s="58" t="str">
        <x:v>S15</x:v>
      </x:c>
      <x:c r="B1473" s="58" t="str">
        <x:v>0.60 validation at 268.9 Hz</x:v>
      </x:c>
      <x:c r="C1473" s="58" t="n">
        <x:v>0.6</x:v>
      </x:c>
      <x:c r="D1473" s="58" t="n">
        <x:v>2</x:v>
      </x:c>
      <x:c r="E1473" s="58" t="n">
        <x:v>1</x:v>
      </x:c>
      <x:c r="F1473" s="58" t="str">
        <x:v>FINE</x:v>
      </x:c>
      <x:c r="G1473" s="58" t="n">
        <x:v>6</x:v>
      </x:c>
      <x:c r="H1473" s="59" t="n">
        <x:v>6.75</x:v>
      </x:c>
      <x:c r="I1473" s="59" t="n">
        <x:v>0.56845</x:v>
      </x:c>
      <x:c r="J1473" s="59" t="n">
        <x:v>0.58297</x:v>
      </x:c>
      <x:c r="K1473" s="59" t="n">
        <x:v>0.60298</x:v>
      </x:c>
      <x:c r="L1473" s="59" t="n">
        <x:v>0.11662</x:v>
      </x:c>
      <x:c r="M1473" s="59" t="n">
        <x:v>0.88963</x:v>
      </x:c>
      <x:c r="N1473" s="60" t="n">
        <x:v>-5.26</x:v>
      </x:c>
      <x:c r="O1473" s="60" t="n">
        <x:v>0.28</x:v>
      </x:c>
      <x:c r="P1473" s="60" t="n">
        <x:v>4.48</x:v>
      </x:c>
      <x:c r="Q1473" s="60" t="n">
        <x:v>68.5</x:v>
      </x:c>
      <x:c r="R1473" s="58" t="str">
        <x:v>Y</x:v>
      </x:c>
      <x:c r="S1473" s="60" t="n">
        <x:v>96.7</x:v>
      </x:c>
      <x:c r="T1473" s="58" t="str">
        <x:v>IN TARGET BAND</x:v>
      </x:c>
      <x:c r="U1473" s="58" t="n">
        <x:v>1594</x:v>
      </x:c>
      <x:c r="V1473" s="58" t="str">
        <x:v>Pasted text(59).txt</x:v>
      </x:c>
    </x:row>
    <x:row r="1474">
      <x:c r="A1474" s="58" t="str">
        <x:v>S15</x:v>
      </x:c>
      <x:c r="B1474" s="58" t="str">
        <x:v>0.60 validation at 268.9 Hz</x:v>
      </x:c>
      <x:c r="C1474" s="58" t="n">
        <x:v>0.6</x:v>
      </x:c>
      <x:c r="D1474" s="58" t="n">
        <x:v>2</x:v>
      </x:c>
      <x:c r="E1474" s="58" t="n">
        <x:v>1</x:v>
      </x:c>
      <x:c r="F1474" s="58" t="str">
        <x:v>FINE</x:v>
      </x:c>
      <x:c r="G1474" s="58" t="n">
        <x:v>7</x:v>
      </x:c>
      <x:c r="H1474" s="59" t="n">
        <x:v>7</x:v>
      </x:c>
      <x:c r="I1474" s="59" t="n">
        <x:v>0.62953</x:v>
      </x:c>
      <x:c r="J1474" s="59" t="n">
        <x:v>0.63201</x:v>
      </x:c>
      <x:c r="K1474" s="59" t="n">
        <x:v>0.33111</x:v>
      </x:c>
      <x:c r="L1474" s="59" t="n">
        <x:v>0.14577</x:v>
      </x:c>
      <x:c r="M1474" s="59" t="n">
        <x:v>0.72854</x:v>
      </x:c>
      <x:c r="N1474" s="60" t="n">
        <x:v>4.92</x:v>
      </x:c>
      <x:c r="O1474" s="60" t="n">
        <x:v>2.27</x:v>
      </x:c>
      <x:c r="P1474" s="60" t="n">
        <x:v>2.14</x:v>
      </x:c>
      <x:c r="Q1474" s="60" t="n">
        <x:v>74.3</x:v>
      </x:c>
      <x:c r="R1474" s="58" t="str">
        <x:v>X</x:v>
      </x:c>
      <x:c r="S1474" s="60" t="n">
        <x:v>100</x:v>
      </x:c>
      <x:c r="T1474" s="58" t="str">
        <x:v>IN TARGET BAND</x:v>
      </x:c>
      <x:c r="U1474" s="58" t="n">
        <x:v>1595</x:v>
      </x:c>
      <x:c r="V1474" s="58" t="str">
        <x:v>Pasted text(59).txt</x:v>
      </x:c>
    </x:row>
    <x:row r="1475">
      <x:c r="A1475" s="58" t="str">
        <x:v>S15</x:v>
      </x:c>
      <x:c r="B1475" s="58" t="str">
        <x:v>0.60 validation at 268.9 Hz</x:v>
      </x:c>
      <x:c r="C1475" s="58" t="n">
        <x:v>0.6</x:v>
      </x:c>
      <x:c r="D1475" s="58" t="n">
        <x:v>2</x:v>
      </x:c>
      <x:c r="E1475" s="58" t="n">
        <x:v>1</x:v>
      </x:c>
      <x:c r="F1475" s="58" t="str">
        <x:v>FINE</x:v>
      </x:c>
      <x:c r="G1475" s="58" t="n">
        <x:v>8</x:v>
      </x:c>
      <x:c r="H1475" s="59" t="n">
        <x:v>7.25</x:v>
      </x:c>
      <x:c r="I1475" s="59" t="n">
        <x:v>0.6492</x:v>
      </x:c>
      <x:c r="J1475" s="59" t="n">
        <x:v>0.64069</x:v>
      </x:c>
      <x:c r="K1475" s="59" t="n">
        <x:v>0.34278</x:v>
      </x:c>
      <x:c r="L1475" s="59" t="n">
        <x:v>0.13167</x:v>
      </x:c>
      <x:c r="M1475" s="59" t="n">
        <x:v>0.73905</x:v>
      </x:c>
      <x:c r="N1475" s="60" t="n">
        <x:v>8.2</x:v>
      </x:c>
      <x:c r="O1475" s="60" t="n">
        <x:v>2.33</x:v>
      </x:c>
      <x:c r="P1475" s="60" t="n">
        <x:v>3.77</x:v>
      </x:c>
      <x:c r="Q1475" s="60" t="n">
        <x:v>75.8</x:v>
      </x:c>
      <x:c r="R1475" s="58" t="str">
        <x:v>X</x:v>
      </x:c>
      <x:c r="S1475" s="60" t="n">
        <x:v>100</x:v>
      </x:c>
      <x:c r="T1475" s="58" t="str">
        <x:v>VALID</x:v>
      </x:c>
      <x:c r="U1475" s="58" t="n">
        <x:v>1596</x:v>
      </x:c>
      <x:c r="V1475" s="58" t="str">
        <x:v>Pasted text(59).txt</x:v>
      </x:c>
    </x:row>
    <x:row r="1476">
      <x:c r="A1476" s="58" t="str">
        <x:v>S15</x:v>
      </x:c>
      <x:c r="B1476" s="58" t="str">
        <x:v>0.60 validation at 268.9 Hz</x:v>
      </x:c>
      <x:c r="C1476" s="58" t="n">
        <x:v>0.6</x:v>
      </x:c>
      <x:c r="D1476" s="58" t="n">
        <x:v>2</x:v>
      </x:c>
      <x:c r="E1476" s="58" t="n">
        <x:v>1</x:v>
      </x:c>
      <x:c r="F1476" s="58" t="str">
        <x:v>FINE</x:v>
      </x:c>
      <x:c r="G1476" s="58" t="n">
        <x:v>9</x:v>
      </x:c>
      <x:c r="H1476" s="59" t="n">
        <x:v>7.5</x:v>
      </x:c>
      <x:c r="I1476" s="59" t="n">
        <x:v>0.68019</x:v>
      </x:c>
      <x:c r="J1476" s="59" t="n">
        <x:v>0.67471</x:v>
      </x:c>
      <x:c r="K1476" s="59" t="n">
        <x:v>0.35574</x:v>
      </x:c>
      <x:c r="L1476" s="59" t="n">
        <x:v>0.16783</x:v>
      </x:c>
      <x:c r="M1476" s="59" t="n">
        <x:v>0.7813</x:v>
      </x:c>
      <x:c r="N1476" s="60" t="n">
        <x:v>13.37</x:v>
      </x:c>
      <x:c r="O1476" s="60" t="n">
        <x:v>2.35</x:v>
      </x:c>
      <x:c r="P1476" s="60" t="n">
        <x:v>2.9</x:v>
      </x:c>
      <x:c r="Q1476" s="60" t="n">
        <x:v>81.1</x:v>
      </x:c>
      <x:c r="R1476" s="58" t="str">
        <x:v>X</x:v>
      </x:c>
      <x:c r="S1476" s="60" t="n">
        <x:v>100</x:v>
      </x:c>
      <x:c r="T1476" s="58" t="str">
        <x:v>VALID</x:v>
      </x:c>
      <x:c r="U1476" s="58" t="n">
        <x:v>1597</x:v>
      </x:c>
      <x:c r="V1476" s="58" t="str">
        <x:v>Pasted text(59).txt</x:v>
      </x:c>
    </x:row>
    <x:row r="1477">
      <x:c r="A1477" s="58" t="str">
        <x:v>S15</x:v>
      </x:c>
      <x:c r="B1477" s="58" t="str">
        <x:v>0.60 validation at 268.9 Hz</x:v>
      </x:c>
      <x:c r="C1477" s="58" t="n">
        <x:v>0.6</x:v>
      </x:c>
      <x:c r="D1477" s="58" t="n">
        <x:v>2</x:v>
      </x:c>
      <x:c r="E1477" s="58" t="n">
        <x:v>1</x:v>
      </x:c>
      <x:c r="F1477" s="58" t="str">
        <x:v>FINAL</x:v>
      </x:c>
      <x:c r="G1477" s="58" t="n">
        <x:v>1</x:v>
      </x:c>
      <x:c r="H1477" s="59" t="n">
        <x:v>7</x:v>
      </x:c>
      <x:c r="I1477" s="59" t="n">
        <x:v>0.61979</x:v>
      </x:c>
      <x:c r="J1477" s="59" t="n">
        <x:v>0.62354</x:v>
      </x:c>
      <x:c r="K1477" s="59" t="n">
        <x:v>0.33967</x:v>
      </x:c>
      <x:c r="L1477" s="59" t="n">
        <x:v>0.15579</x:v>
      </x:c>
      <x:c r="M1477" s="59" t="n">
        <x:v>0.72722</x:v>
      </x:c>
      <x:c r="N1477" s="60" t="n">
        <x:v>3.3</x:v>
      </x:c>
      <x:c r="O1477" s="60" t="n">
        <x:v>0.4</x:v>
      </x:c>
      <x:c r="P1477" s="60" t="n">
        <x:v>2.27</x:v>
      </x:c>
      <x:c r="Q1477" s="60" t="n">
        <x:v>73.2</x:v>
      </x:c>
      <x:c r="R1477" s="58" t="str">
        <x:v>X</x:v>
      </x:c>
      <x:c r="S1477" s="60" t="n">
        <x:v>100</x:v>
      </x:c>
      <x:c r="T1477" s="58" t="str">
        <x:v>IN TARGET BAND</x:v>
      </x:c>
      <x:c r="U1477" s="58" t="n">
        <x:v>1600</x:v>
      </x:c>
      <x:c r="V1477" s="58" t="str">
        <x:v>Pasted text(59).txt</x:v>
      </x:c>
    </x:row>
    <x:row r="1478">
      <x:c r="A1478" s="58" t="str">
        <x:v>S15</x:v>
      </x:c>
      <x:c r="B1478" s="58" t="str">
        <x:v>0.60 validation at 268.9 Hz</x:v>
      </x:c>
      <x:c r="C1478" s="58" t="n">
        <x:v>0.6</x:v>
      </x:c>
      <x:c r="D1478" s="58" t="n">
        <x:v>2</x:v>
      </x:c>
      <x:c r="E1478" s="58" t="n">
        <x:v>1</x:v>
      </x:c>
      <x:c r="F1478" s="58" t="str">
        <x:v>FINAL</x:v>
      </x:c>
      <x:c r="G1478" s="58" t="n">
        <x:v>2</x:v>
      </x:c>
      <x:c r="H1478" s="59" t="n">
        <x:v>7</x:v>
      </x:c>
      <x:c r="I1478" s="59" t="n">
        <x:v>0.59507</x:v>
      </x:c>
      <x:c r="J1478" s="59" t="n">
        <x:v>0.61048</x:v>
      </x:c>
      <x:c r="K1478" s="59" t="n">
        <x:v>0.34812</x:v>
      </x:c>
      <x:c r="L1478" s="59" t="n">
        <x:v>0.13652</x:v>
      </x:c>
      <x:c r="M1478" s="59" t="n">
        <x:v>0.71629</x:v>
      </x:c>
      <x:c r="N1478" s="60" t="n">
        <x:v>-0.82</x:v>
      </x:c>
      <x:c r="O1478" s="60" t="n">
        <x:v>1.02</x:v>
      </x:c>
      <x:c r="P1478" s="60" t="n">
        <x:v>3.96</x:v>
      </x:c>
      <x:c r="Q1478" s="60" t="n">
        <x:v>71.7</x:v>
      </x:c>
      <x:c r="R1478" s="58" t="str">
        <x:v>X</x:v>
      </x:c>
      <x:c r="S1478" s="60" t="n">
        <x:v>100</x:v>
      </x:c>
      <x:c r="T1478" s="58" t="str">
        <x:v>IN TARGET BAND</x:v>
      </x:c>
      <x:c r="U1478" s="58" t="n">
        <x:v>1601</x:v>
      </x:c>
      <x:c r="V1478" s="58" t="str">
        <x:v>Pasted text(59).txt</x:v>
      </x:c>
    </x:row>
    <x:row r="1479">
      <x:c r="A1479" s="58" t="str">
        <x:v>S15</x:v>
      </x:c>
      <x:c r="B1479" s="58" t="str">
        <x:v>0.60 validation at 268.9 Hz</x:v>
      </x:c>
      <x:c r="C1479" s="58" t="n">
        <x:v>0.6</x:v>
      </x:c>
      <x:c r="D1479" s="58" t="n">
        <x:v>3</x:v>
      </x:c>
      <x:c r="E1479" s="58" t="n">
        <x:v>1</x:v>
      </x:c>
      <x:c r="F1479" s="58" t="str">
        <x:v>SEARCH</x:v>
      </x:c>
      <x:c r="G1479" s="58" t="n">
        <x:v>1</x:v>
      </x:c>
      <x:c r="H1479" s="59" t="n">
        <x:v>1</x:v>
      </x:c>
      <x:c r="I1479" s="59" t="n">
        <x:v>0.01682</x:v>
      </x:c>
      <x:c r="J1479" s="59" t="n">
        <x:v>0.01759</x:v>
      </x:c>
      <x:c r="K1479" s="59" t="n">
        <x:v>0.01847</x:v>
      </x:c>
      <x:c r="L1479" s="59" t="n">
        <x:v>0.03788</x:v>
      </x:c>
      <x:c r="M1479" s="59" t="n">
        <x:v>0.04696</x:v>
      </x:c>
      <x:c r="N1479" s="60" t="n">
        <x:v>-97.2</x:v>
      </x:c>
      <x:c r="O1479" s="60" t="n">
        <x:v>62.08</x:v>
      </x:c>
      <x:c r="P1479" s="60" t="n">
        <x:v>46.77</x:v>
      </x:c>
      <x:c r="Q1479" s="60" t="n">
        <x:v>5.1</x:v>
      </x:c>
      <x:c r="R1479" s="58" t="str">
        <x:v>Z</x:v>
      </x:c>
      <x:c r="S1479" s="60" t="n">
        <x:v>46.4</x:v>
      </x:c>
      <x:c r="T1479" s="58" t="str">
        <x:v>BELOW MEASUREMENT FLOOR — SEARCH CONTINUES</x:v>
      </x:c>
      <x:c r="U1479" s="58" t="n">
        <x:v>1657</x:v>
      </x:c>
      <x:c r="V1479" s="58" t="str">
        <x:v>Pasted text(59).txt</x:v>
      </x:c>
    </x:row>
    <x:row r="1480">
      <x:c r="A1480" s="58" t="str">
        <x:v>S15</x:v>
      </x:c>
      <x:c r="B1480" s="58" t="str">
        <x:v>0.60 validation at 268.9 Hz</x:v>
      </x:c>
      <x:c r="C1480" s="58" t="n">
        <x:v>0.6</x:v>
      </x:c>
      <x:c r="D1480" s="58" t="n">
        <x:v>3</x:v>
      </x:c>
      <x:c r="E1480" s="58" t="n">
        <x:v>1</x:v>
      </x:c>
      <x:c r="F1480" s="58" t="str">
        <x:v>SEARCH</x:v>
      </x:c>
      <x:c r="G1480" s="58" t="n">
        <x:v>2</x:v>
      </x:c>
      <x:c r="H1480" s="59" t="n">
        <x:v>3</x:v>
      </x:c>
      <x:c r="I1480" s="59" t="n">
        <x:v>0.1932</x:v>
      </x:c>
      <x:c r="J1480" s="59" t="n">
        <x:v>0.18787</x:v>
      </x:c>
      <x:c r="K1480" s="59" t="n">
        <x:v>0.09801</x:v>
      </x:c>
      <x:c r="L1480" s="59" t="n">
        <x:v>0.05855</x:v>
      </x:c>
      <x:c r="M1480" s="59" t="n">
        <x:v>0.2199</x:v>
      </x:c>
      <x:c r="N1480" s="60" t="n">
        <x:v>-67.8</x:v>
      </x:c>
      <x:c r="O1480" s="60" t="n">
        <x:v>3.57</x:v>
      </x:c>
      <x:c r="P1480" s="60" t="n">
        <x:v>7.16</x:v>
      </x:c>
      <x:c r="Q1480" s="60" t="n">
        <x:v>28.5</x:v>
      </x:c>
      <x:c r="R1480" s="58" t="str">
        <x:v>X</x:v>
      </x:c>
      <x:c r="S1480" s="60" t="n">
        <x:v>100</x:v>
      </x:c>
      <x:c r="T1480" s="58" t="str">
        <x:v>UNSTABLE — SEARCH CONTINUES</x:v>
      </x:c>
      <x:c r="U1480" s="58" t="n">
        <x:v>1658</x:v>
      </x:c>
      <x:c r="V1480" s="58" t="str">
        <x:v>Pasted text(59).txt</x:v>
      </x:c>
    </x:row>
    <x:row r="1481">
      <x:c r="A1481" s="58" t="str">
        <x:v>S15</x:v>
      </x:c>
      <x:c r="B1481" s="58" t="str">
        <x:v>0.60 validation at 268.9 Hz</x:v>
      </x:c>
      <x:c r="C1481" s="58" t="n">
        <x:v>0.6</x:v>
      </x:c>
      <x:c r="D1481" s="58" t="n">
        <x:v>3</x:v>
      </x:c>
      <x:c r="E1481" s="58" t="n">
        <x:v>1</x:v>
      </x:c>
      <x:c r="F1481" s="58" t="str">
        <x:v>SEARCH</x:v>
      </x:c>
      <x:c r="G1481" s="58" t="n">
        <x:v>3</x:v>
      </x:c>
      <x:c r="H1481" s="59" t="n">
        <x:v>4</x:v>
      </x:c>
      <x:c r="I1481" s="59" t="n">
        <x:v>0.28902</x:v>
      </x:c>
      <x:c r="J1481" s="59" t="n">
        <x:v>0.29039</x:v>
      </x:c>
      <x:c r="K1481" s="59" t="n">
        <x:v>0.1695</x:v>
      </x:c>
      <x:c r="L1481" s="59" t="n">
        <x:v>0.10469</x:v>
      </x:c>
      <x:c r="M1481" s="59" t="n">
        <x:v>0.35245</x:v>
      </x:c>
      <x:c r="N1481" s="60" t="n">
        <x:v>-51.83</x:v>
      </x:c>
      <x:c r="O1481" s="60" t="n">
        <x:v>5.24</x:v>
      </x:c>
      <x:c r="P1481" s="60" t="n">
        <x:v>4.24</x:v>
      </x:c>
      <x:c r="Q1481" s="60" t="n">
        <x:v>44.1</x:v>
      </x:c>
      <x:c r="R1481" s="58" t="str">
        <x:v>X</x:v>
      </x:c>
      <x:c r="S1481" s="60" t="n">
        <x:v>100</x:v>
      </x:c>
      <x:c r="T1481" s="58" t="str">
        <x:v>UNSTABLE — SEARCH CONTINUES</x:v>
      </x:c>
      <x:c r="U1481" s="58" t="n">
        <x:v>1659</x:v>
      </x:c>
      <x:c r="V1481" s="58" t="str">
        <x:v>Pasted text(59).txt</x:v>
      </x:c>
    </x:row>
    <x:row r="1482">
      <x:c r="A1482" s="58" t="str">
        <x:v>S15</x:v>
      </x:c>
      <x:c r="B1482" s="58" t="str">
        <x:v>0.60 validation at 268.9 Hz</x:v>
      </x:c>
      <x:c r="C1482" s="58" t="n">
        <x:v>0.6</x:v>
      </x:c>
      <x:c r="D1482" s="58" t="n">
        <x:v>3</x:v>
      </x:c>
      <x:c r="E1482" s="58" t="n">
        <x:v>1</x:v>
      </x:c>
      <x:c r="F1482" s="58" t="str">
        <x:v>SEARCH</x:v>
      </x:c>
      <x:c r="G1482" s="58" t="n">
        <x:v>4</x:v>
      </x:c>
      <x:c r="H1482" s="59" t="n">
        <x:v>5</x:v>
      </x:c>
      <x:c r="I1482" s="59" t="n">
        <x:v>0.40877</x:v>
      </x:c>
      <x:c r="J1482" s="59" t="n">
        <x:v>0.40148</x:v>
      </x:c>
      <x:c r="K1482" s="59" t="n">
        <x:v>0.23064</x:v>
      </x:c>
      <x:c r="L1482" s="59" t="n">
        <x:v>0.10707</x:v>
      </x:c>
      <x:c r="M1482" s="59" t="n">
        <x:v>0.47621</x:v>
      </x:c>
      <x:c r="N1482" s="60" t="n">
        <x:v>-31.87</x:v>
      </x:c>
      <x:c r="O1482" s="60" t="n">
        <x:v>3</x:v>
      </x:c>
      <x:c r="P1482" s="60" t="n">
        <x:v>5.04</x:v>
      </x:c>
      <x:c r="Q1482" s="60" t="n">
        <x:v>54.4</x:v>
      </x:c>
      <x:c r="R1482" s="58" t="str">
        <x:v>X</x:v>
      </x:c>
      <x:c r="S1482" s="60" t="n">
        <x:v>100</x:v>
      </x:c>
      <x:c r="T1482" s="58" t="str">
        <x:v>VALID</x:v>
      </x:c>
      <x:c r="U1482" s="58" t="n">
        <x:v>1660</x:v>
      </x:c>
      <x:c r="V1482" s="58" t="str">
        <x:v>Pasted text(59).txt</x:v>
      </x:c>
    </x:row>
    <x:row r="1483">
      <x:c r="A1483" s="58" t="str">
        <x:v>S15</x:v>
      </x:c>
      <x:c r="B1483" s="58" t="str">
        <x:v>0.60 validation at 268.9 Hz</x:v>
      </x:c>
      <x:c r="C1483" s="58" t="n">
        <x:v>0.6</x:v>
      </x:c>
      <x:c r="D1483" s="58" t="n">
        <x:v>3</x:v>
      </x:c>
      <x:c r="E1483" s="58" t="n">
        <x:v>1</x:v>
      </x:c>
      <x:c r="F1483" s="58" t="str">
        <x:v>SEARCH</x:v>
      </x:c>
      <x:c r="G1483" s="58" t="n">
        <x:v>5</x:v>
      </x:c>
      <x:c r="H1483" s="59" t="n">
        <x:v>5.5</x:v>
      </x:c>
      <x:c r="I1483" s="59" t="n">
        <x:v>0.41207</x:v>
      </x:c>
      <x:c r="J1483" s="59" t="n">
        <x:v>0.41415</x:v>
      </x:c>
      <x:c r="K1483" s="59" t="n">
        <x:v>0.23643</x:v>
      </x:c>
      <x:c r="L1483" s="59" t="n">
        <x:v>0.11618</x:v>
      </x:c>
      <x:c r="M1483" s="59" t="n">
        <x:v>0.49139</x:v>
      </x:c>
      <x:c r="N1483" s="60" t="n">
        <x:v>-31.32</x:v>
      </x:c>
      <x:c r="O1483" s="60" t="n">
        <x:v>3.29</x:v>
      </x:c>
      <x:c r="P1483" s="60" t="n">
        <x:v>2.99</x:v>
      </x:c>
      <x:c r="Q1483" s="60" t="n">
        <x:v>62.2</x:v>
      </x:c>
      <x:c r="R1483" s="58" t="str">
        <x:v>X</x:v>
      </x:c>
      <x:c r="S1483" s="60" t="n">
        <x:v>100</x:v>
      </x:c>
      <x:c r="T1483" s="58" t="str">
        <x:v>VALID</x:v>
      </x:c>
      <x:c r="U1483" s="58" t="n">
        <x:v>1661</x:v>
      </x:c>
      <x:c r="V1483" s="58" t="str">
        <x:v>Pasted text(59).txt</x:v>
      </x:c>
    </x:row>
    <x:row r="1484">
      <x:c r="A1484" s="58" t="str">
        <x:v>S15</x:v>
      </x:c>
      <x:c r="B1484" s="58" t="str">
        <x:v>0.60 validation at 268.9 Hz</x:v>
      </x:c>
      <x:c r="C1484" s="58" t="n">
        <x:v>0.6</x:v>
      </x:c>
      <x:c r="D1484" s="58" t="n">
        <x:v>3</x:v>
      </x:c>
      <x:c r="E1484" s="58" t="n">
        <x:v>1</x:v>
      </x:c>
      <x:c r="F1484" s="58" t="str">
        <x:v>SEARCH</x:v>
      </x:c>
      <x:c r="G1484" s="58" t="n">
        <x:v>6</x:v>
      </x:c>
      <x:c r="H1484" s="59" t="n">
        <x:v>6</x:v>
      </x:c>
      <x:c r="I1484" s="59" t="n">
        <x:v>0.49671</x:v>
      </x:c>
      <x:c r="J1484" s="59" t="n">
        <x:v>0.50251</x:v>
      </x:c>
      <x:c r="K1484" s="59" t="n">
        <x:v>0.26912</x:v>
      </x:c>
      <x:c r="L1484" s="59" t="n">
        <x:v>0.10803</x:v>
      </x:c>
      <x:c r="M1484" s="59" t="n">
        <x:v>0.58175</x:v>
      </x:c>
      <x:c r="N1484" s="60" t="n">
        <x:v>-17.21</x:v>
      </x:c>
      <x:c r="O1484" s="60" t="n">
        <x:v>3.18</x:v>
      </x:c>
      <x:c r="P1484" s="60" t="n">
        <x:v>3.98</x:v>
      </x:c>
      <x:c r="Q1484" s="60" t="n">
        <x:v>64.2</x:v>
      </x:c>
      <x:c r="R1484" s="58" t="str">
        <x:v>X</x:v>
      </x:c>
      <x:c r="S1484" s="60" t="n">
        <x:v>100</x:v>
      </x:c>
      <x:c r="T1484" s="58" t="str">
        <x:v>VALID</x:v>
      </x:c>
      <x:c r="U1484" s="58" t="n">
        <x:v>1662</x:v>
      </x:c>
      <x:c r="V1484" s="58" t="str">
        <x:v>Pasted text(59).txt</x:v>
      </x:c>
    </x:row>
    <x:row r="1485">
      <x:c r="A1485" s="58" t="str">
        <x:v>S15</x:v>
      </x:c>
      <x:c r="B1485" s="58" t="str">
        <x:v>0.60 validation at 268.9 Hz</x:v>
      </x:c>
      <x:c r="C1485" s="58" t="n">
        <x:v>0.6</x:v>
      </x:c>
      <x:c r="D1485" s="58" t="n">
        <x:v>3</x:v>
      </x:c>
      <x:c r="E1485" s="58" t="n">
        <x:v>1</x:v>
      </x:c>
      <x:c r="F1485" s="58" t="str">
        <x:v>SEARCH</x:v>
      </x:c>
      <x:c r="G1485" s="58" t="n">
        <x:v>7</x:v>
      </x:c>
      <x:c r="H1485" s="59" t="n">
        <x:v>6.5</x:v>
      </x:c>
      <x:c r="I1485" s="59" t="n">
        <x:v>0.56949</x:v>
      </x:c>
      <x:c r="J1485" s="59" t="n">
        <x:v>0.55993</x:v>
      </x:c>
      <x:c r="K1485" s="59" t="n">
        <x:v>0.27831</x:v>
      </x:c>
      <x:c r="L1485" s="59" t="n">
        <x:v>0.14603</x:v>
      </x:c>
      <x:c r="M1485" s="59" t="n">
        <x:v>0.6425</x:v>
      </x:c>
      <x:c r="N1485" s="60" t="n">
        <x:v>-5.09</x:v>
      </x:c>
      <x:c r="O1485" s="60" t="n">
        <x:v>2.43</x:v>
      </x:c>
      <x:c r="P1485" s="60" t="n">
        <x:v>4.48</x:v>
      </x:c>
      <x:c r="Q1485" s="60" t="n">
        <x:v>72.4</x:v>
      </x:c>
      <x:c r="R1485" s="58" t="str">
        <x:v>X</x:v>
      </x:c>
      <x:c r="S1485" s="60" t="n">
        <x:v>100</x:v>
      </x:c>
      <x:c r="T1485" s="58" t="str">
        <x:v>IN TARGET BAND</x:v>
      </x:c>
      <x:c r="U1485" s="58" t="n">
        <x:v>1663</x:v>
      </x:c>
      <x:c r="V1485" s="58" t="str">
        <x:v>Pasted text(59).txt</x:v>
      </x:c>
    </x:row>
    <x:row r="1486">
      <x:c r="A1486" s="58" t="str">
        <x:v>S15</x:v>
      </x:c>
      <x:c r="B1486" s="58" t="str">
        <x:v>0.60 validation at 268.9 Hz</x:v>
      </x:c>
      <x:c r="C1486" s="58" t="n">
        <x:v>0.6</x:v>
      </x:c>
      <x:c r="D1486" s="58" t="n">
        <x:v>3</x:v>
      </x:c>
      <x:c r="E1486" s="58" t="n">
        <x:v>1</x:v>
      </x:c>
      <x:c r="F1486" s="58" t="str">
        <x:v>FINE</x:v>
      </x:c>
      <x:c r="G1486" s="58" t="n">
        <x:v>1</x:v>
      </x:c>
      <x:c r="H1486" s="59" t="n">
        <x:v>5.5</x:v>
      </x:c>
      <x:c r="I1486" s="59" t="n">
        <x:v>0.42226</x:v>
      </x:c>
      <x:c r="J1486" s="59" t="n">
        <x:v>0.43241</x:v>
      </x:c>
      <x:c r="K1486" s="59" t="n">
        <x:v>0.22302</x:v>
      </x:c>
      <x:c r="L1486" s="59" t="n">
        <x:v>0.11783</x:v>
      </x:c>
      <x:c r="M1486" s="59" t="n">
        <x:v>0.5014</x:v>
      </x:c>
      <x:c r="N1486" s="60" t="n">
        <x:v>-29.62</x:v>
      </x:c>
      <x:c r="O1486" s="60" t="n">
        <x:v>2.94</x:v>
      </x:c>
      <x:c r="P1486" s="60" t="n">
        <x:v>5.82</x:v>
      </x:c>
      <x:c r="Q1486" s="60" t="n">
        <x:v>63</x:v>
      </x:c>
      <x:c r="R1486" s="58" t="str">
        <x:v>X</x:v>
      </x:c>
      <x:c r="S1486" s="60" t="n">
        <x:v>100</x:v>
      </x:c>
      <x:c r="T1486" s="58" t="str">
        <x:v>VALID</x:v>
      </x:c>
      <x:c r="U1486" s="58" t="n">
        <x:v>1667</x:v>
      </x:c>
      <x:c r="V1486" s="58" t="str">
        <x:v>Pasted text(59).txt</x:v>
      </x:c>
    </x:row>
    <x:row r="1487">
      <x:c r="A1487" s="58" t="str">
        <x:v>S15</x:v>
      </x:c>
      <x:c r="B1487" s="58" t="str">
        <x:v>0.60 validation at 268.9 Hz</x:v>
      </x:c>
      <x:c r="C1487" s="58" t="n">
        <x:v>0.6</x:v>
      </x:c>
      <x:c r="D1487" s="58" t="n">
        <x:v>3</x:v>
      </x:c>
      <x:c r="E1487" s="58" t="n">
        <x:v>1</x:v>
      </x:c>
      <x:c r="F1487" s="58" t="str">
        <x:v>FINE</x:v>
      </x:c>
      <x:c r="G1487" s="58" t="n">
        <x:v>2</x:v>
      </x:c>
      <x:c r="H1487" s="59" t="n">
        <x:v>5.75</x:v>
      </x:c>
      <x:c r="I1487" s="59" t="n">
        <x:v>0.48505</x:v>
      </x:c>
      <x:c r="J1487" s="59" t="n">
        <x:v>0.49358</x:v>
      </x:c>
      <x:c r="K1487" s="59" t="n">
        <x:v>0.25867</x:v>
      </x:c>
      <x:c r="L1487" s="59" t="n">
        <x:v>0.14327</x:v>
      </x:c>
      <x:c r="M1487" s="59" t="n">
        <x:v>0.57693</x:v>
      </x:c>
      <x:c r="N1487" s="60" t="n">
        <x:v>-19.16</x:v>
      </x:c>
      <x:c r="O1487" s="60" t="n">
        <x:v>1.41</x:v>
      </x:c>
      <x:c r="P1487" s="60" t="n">
        <x:v>3.83</x:v>
      </x:c>
      <x:c r="Q1487" s="60" t="n">
        <x:v>63.1</x:v>
      </x:c>
      <x:c r="R1487" s="58" t="str">
        <x:v>X</x:v>
      </x:c>
      <x:c r="S1487" s="60" t="n">
        <x:v>100</x:v>
      </x:c>
      <x:c r="T1487" s="58" t="str">
        <x:v>VALID</x:v>
      </x:c>
      <x:c r="U1487" s="58" t="n">
        <x:v>1668</x:v>
      </x:c>
      <x:c r="V1487" s="58" t="str">
        <x:v>Pasted text(59).txt</x:v>
      </x:c>
    </x:row>
    <x:row r="1488">
      <x:c r="A1488" s="58" t="str">
        <x:v>S15</x:v>
      </x:c>
      <x:c r="B1488" s="58" t="str">
        <x:v>0.60 validation at 268.9 Hz</x:v>
      </x:c>
      <x:c r="C1488" s="58" t="n">
        <x:v>0.6</x:v>
      </x:c>
      <x:c r="D1488" s="58" t="n">
        <x:v>3</x:v>
      </x:c>
      <x:c r="E1488" s="58" t="n">
        <x:v>1</x:v>
      </x:c>
      <x:c r="F1488" s="58" t="str">
        <x:v>FINE</x:v>
      </x:c>
      <x:c r="G1488" s="58" t="n">
        <x:v>3</x:v>
      </x:c>
      <x:c r="H1488" s="59" t="n">
        <x:v>6</x:v>
      </x:c>
      <x:c r="I1488" s="59" t="n">
        <x:v>0.53193</x:v>
      </x:c>
      <x:c r="J1488" s="59" t="n">
        <x:v>0.52088</x:v>
      </x:c>
      <x:c r="K1488" s="59" t="n">
        <x:v>0.27119</x:v>
      </x:c>
      <x:c r="L1488" s="59" t="n">
        <x:v>0.11621</x:v>
      </x:c>
      <x:c r="M1488" s="59" t="n">
        <x:v>0.59899</x:v>
      </x:c>
      <x:c r="N1488" s="60" t="n">
        <x:v>-11.35</x:v>
      </x:c>
      <x:c r="O1488" s="60" t="n">
        <x:v>2.36</x:v>
      </x:c>
      <x:c r="P1488" s="60" t="n">
        <x:v>5.15</x:v>
      </x:c>
      <x:c r="Q1488" s="60" t="n">
        <x:v>64.6</x:v>
      </x:c>
      <x:c r="R1488" s="58" t="str">
        <x:v>X</x:v>
      </x:c>
      <x:c r="S1488" s="60" t="n">
        <x:v>100</x:v>
      </x:c>
      <x:c r="T1488" s="58" t="str">
        <x:v>VALID</x:v>
      </x:c>
      <x:c r="U1488" s="58" t="n">
        <x:v>1669</x:v>
      </x:c>
      <x:c r="V1488" s="58" t="str">
        <x:v>Pasted text(59).txt</x:v>
      </x:c>
    </x:row>
    <x:row r="1489">
      <x:c r="A1489" s="58" t="str">
        <x:v>S15</x:v>
      </x:c>
      <x:c r="B1489" s="58" t="str">
        <x:v>0.60 validation at 268.9 Hz</x:v>
      </x:c>
      <x:c r="C1489" s="58" t="n">
        <x:v>0.6</x:v>
      </x:c>
      <x:c r="D1489" s="58" t="n">
        <x:v>3</x:v>
      </x:c>
      <x:c r="E1489" s="58" t="n">
        <x:v>1</x:v>
      </x:c>
      <x:c r="F1489" s="58" t="str">
        <x:v>FINE</x:v>
      </x:c>
      <x:c r="G1489" s="58" t="n">
        <x:v>4</x:v>
      </x:c>
      <x:c r="H1489" s="59" t="n">
        <x:v>6.25</x:v>
      </x:c>
      <x:c r="I1489" s="59" t="n">
        <x:v>0.53873</x:v>
      </x:c>
      <x:c r="J1489" s="59" t="n">
        <x:v>0.53814</x:v>
      </x:c>
      <x:c r="K1489" s="59" t="n">
        <x:v>0.27236</x:v>
      </x:c>
      <x:c r="L1489" s="59" t="n">
        <x:v>0.14985</x:v>
      </x:c>
      <x:c r="M1489" s="59" t="n">
        <x:v>0.62161</x:v>
      </x:c>
      <x:c r="N1489" s="60" t="n">
        <x:v>-10.21</x:v>
      </x:c>
      <x:c r="O1489" s="60" t="n">
        <x:v>3.18</x:v>
      </x:c>
      <x:c r="P1489" s="60" t="n">
        <x:v>2.31</x:v>
      </x:c>
      <x:c r="Q1489" s="60" t="n">
        <x:v>70</x:v>
      </x:c>
      <x:c r="R1489" s="58" t="str">
        <x:v>X</x:v>
      </x:c>
      <x:c r="S1489" s="60" t="n">
        <x:v>100</x:v>
      </x:c>
      <x:c r="T1489" s="58" t="str">
        <x:v>VALID</x:v>
      </x:c>
      <x:c r="U1489" s="58" t="n">
        <x:v>1670</x:v>
      </x:c>
      <x:c r="V1489" s="58" t="str">
        <x:v>Pasted text(59).txt</x:v>
      </x:c>
    </x:row>
    <x:row r="1490">
      <x:c r="A1490" s="58" t="str">
        <x:v>S15</x:v>
      </x:c>
      <x:c r="B1490" s="58" t="str">
        <x:v>0.60 validation at 268.9 Hz</x:v>
      </x:c>
      <x:c r="C1490" s="58" t="n">
        <x:v>0.6</x:v>
      </x:c>
      <x:c r="D1490" s="58" t="n">
        <x:v>3</x:v>
      </x:c>
      <x:c r="E1490" s="58" t="n">
        <x:v>1</x:v>
      </x:c>
      <x:c r="F1490" s="58" t="str">
        <x:v>FINE</x:v>
      </x:c>
      <x:c r="G1490" s="58" t="n">
        <x:v>5</x:v>
      </x:c>
      <x:c r="H1490" s="59" t="n">
        <x:v>6.5</x:v>
      </x:c>
      <x:c r="I1490" s="59" t="n">
        <x:v>0.54892</x:v>
      </x:c>
      <x:c r="J1490" s="59" t="n">
        <x:v>0.55244</x:v>
      </x:c>
      <x:c r="K1490" s="59" t="n">
        <x:v>0.2858</x:v>
      </x:c>
      <x:c r="L1490" s="59" t="n">
        <x:v>0.16344</x:v>
      </x:c>
      <x:c r="M1490" s="59" t="n">
        <x:v>0.64335</x:v>
      </x:c>
      <x:c r="N1490" s="60" t="n">
        <x:v>-8.51</x:v>
      </x:c>
      <x:c r="O1490" s="60" t="n">
        <x:v>1.38</x:v>
      </x:c>
      <x:c r="P1490" s="60" t="n">
        <x:v>1.96</x:v>
      </x:c>
      <x:c r="Q1490" s="60" t="n">
        <x:v>73.1</x:v>
      </x:c>
      <x:c r="R1490" s="58" t="str">
        <x:v>X</x:v>
      </x:c>
      <x:c r="S1490" s="60" t="n">
        <x:v>100</x:v>
      </x:c>
      <x:c r="T1490" s="58" t="str">
        <x:v>VALID</x:v>
      </x:c>
      <x:c r="U1490" s="58" t="n">
        <x:v>1671</x:v>
      </x:c>
      <x:c r="V1490" s="58" t="str">
        <x:v>Pasted text(59).txt</x:v>
      </x:c>
    </x:row>
    <x:row r="1491">
      <x:c r="A1491" s="58" t="str">
        <x:v>S15</x:v>
      </x:c>
      <x:c r="B1491" s="58" t="str">
        <x:v>0.60 validation at 268.9 Hz</x:v>
      </x:c>
      <x:c r="C1491" s="58" t="n">
        <x:v>0.6</x:v>
      </x:c>
      <x:c r="D1491" s="58" t="n">
        <x:v>3</x:v>
      </x:c>
      <x:c r="E1491" s="58" t="n">
        <x:v>1</x:v>
      </x:c>
      <x:c r="F1491" s="58" t="str">
        <x:v>FINE</x:v>
      </x:c>
      <x:c r="G1491" s="58" t="n">
        <x:v>6</x:v>
      </x:c>
      <x:c r="H1491" s="59" t="n">
        <x:v>6.75</x:v>
      </x:c>
      <x:c r="I1491" s="59" t="n">
        <x:v>0.58943</x:v>
      </x:c>
      <x:c r="J1491" s="59" t="n">
        <x:v>0.59886</x:v>
      </x:c>
      <x:c r="K1491" s="59" t="n">
        <x:v>0.31257</x:v>
      </x:c>
      <x:c r="L1491" s="59" t="n">
        <x:v>0.13961</x:v>
      </x:c>
      <x:c r="M1491" s="59" t="n">
        <x:v>0.69018</x:v>
      </x:c>
      <x:c r="N1491" s="60" t="n">
        <x:v>-1.76</x:v>
      </x:c>
      <x:c r="O1491" s="60" t="n">
        <x:v>0.81</x:v>
      </x:c>
      <x:c r="P1491" s="60" t="n">
        <x:v>3.2</x:v>
      </x:c>
      <x:c r="Q1491" s="60" t="n">
        <x:v>68.1</x:v>
      </x:c>
      <x:c r="R1491" s="58" t="str">
        <x:v>X</x:v>
      </x:c>
      <x:c r="S1491" s="60" t="n">
        <x:v>100</x:v>
      </x:c>
      <x:c r="T1491" s="58" t="str">
        <x:v>IN TARGET BAND</x:v>
      </x:c>
      <x:c r="U1491" s="58" t="n">
        <x:v>1672</x:v>
      </x:c>
      <x:c r="V1491" s="58" t="str">
        <x:v>Pasted text(59).txt</x:v>
      </x:c>
    </x:row>
    <x:row r="1492">
      <x:c r="A1492" s="58" t="str">
        <x:v>S15</x:v>
      </x:c>
      <x:c r="B1492" s="58" t="str">
        <x:v>0.60 validation at 268.9 Hz</x:v>
      </x:c>
      <x:c r="C1492" s="58" t="n">
        <x:v>0.6</x:v>
      </x:c>
      <x:c r="D1492" s="58" t="n">
        <x:v>3</x:v>
      </x:c>
      <x:c r="E1492" s="58" t="n">
        <x:v>1</x:v>
      </x:c>
      <x:c r="F1492" s="58" t="str">
        <x:v>FINE</x:v>
      </x:c>
      <x:c r="G1492" s="58" t="n">
        <x:v>7</x:v>
      </x:c>
      <x:c r="H1492" s="59" t="n">
        <x:v>7</x:v>
      </x:c>
      <x:c r="I1492" s="59" t="n">
        <x:v>0.60499</x:v>
      </x:c>
      <x:c r="J1492" s="59" t="n">
        <x:v>0.61746</x:v>
      </x:c>
      <x:c r="K1492" s="59" t="n">
        <x:v>0.33261</x:v>
      </x:c>
      <x:c r="L1492" s="59" t="n">
        <x:v>0.15822</x:v>
      </x:c>
      <x:c r="M1492" s="59" t="n">
        <x:v>0.71906</x:v>
      </x:c>
      <x:c r="N1492" s="60" t="n">
        <x:v>0.83</x:v>
      </x:c>
      <x:c r="O1492" s="60" t="n">
        <x:v>0.04</x:v>
      </x:c>
      <x:c r="P1492" s="60" t="n">
        <x:v>3.52</x:v>
      </x:c>
      <x:c r="Q1492" s="60" t="n">
        <x:v>72.5</x:v>
      </x:c>
      <x:c r="R1492" s="58" t="str">
        <x:v>X</x:v>
      </x:c>
      <x:c r="S1492" s="60" t="n">
        <x:v>100</x:v>
      </x:c>
      <x:c r="T1492" s="58" t="str">
        <x:v>IN TARGET BAND</x:v>
      </x:c>
      <x:c r="U1492" s="58" t="n">
        <x:v>1673</x:v>
      </x:c>
      <x:c r="V1492" s="58" t="str">
        <x:v>Pasted text(59).txt</x:v>
      </x:c>
    </x:row>
    <x:row r="1493">
      <x:c r="A1493" s="58" t="str">
        <x:v>S15</x:v>
      </x:c>
      <x:c r="B1493" s="58" t="str">
        <x:v>0.60 validation at 268.9 Hz</x:v>
      </x:c>
      <x:c r="C1493" s="58" t="n">
        <x:v>0.6</x:v>
      </x:c>
      <x:c r="D1493" s="58" t="n">
        <x:v>3</x:v>
      </x:c>
      <x:c r="E1493" s="58" t="n">
        <x:v>1</x:v>
      </x:c>
      <x:c r="F1493" s="58" t="str">
        <x:v>FINE</x:v>
      </x:c>
      <x:c r="G1493" s="58" t="n">
        <x:v>8</x:v>
      </x:c>
      <x:c r="H1493" s="59" t="n">
        <x:v>7.25</x:v>
      </x:c>
      <x:c r="I1493" s="59" t="n">
        <x:v>0.64828</x:v>
      </x:c>
      <x:c r="J1493" s="59" t="n">
        <x:v>0.63705</x:v>
      </x:c>
      <x:c r="K1493" s="59" t="n">
        <x:v>0.34861</x:v>
      </x:c>
      <x:c r="L1493" s="59" t="n">
        <x:v>0.14846</x:v>
      </x:c>
      <x:c r="M1493" s="59" t="n">
        <x:v>0.74125</x:v>
      </x:c>
      <x:c r="N1493" s="60" t="n">
        <x:v>8.05</x:v>
      </x:c>
      <x:c r="O1493" s="60" t="n">
        <x:v>0.29</x:v>
      </x:c>
      <x:c r="P1493" s="60" t="n">
        <x:v>3.23</x:v>
      </x:c>
      <x:c r="Q1493" s="60" t="n">
        <x:v>75.5</x:v>
      </x:c>
      <x:c r="R1493" s="58" t="str">
        <x:v>X</x:v>
      </x:c>
      <x:c r="S1493" s="60" t="n">
        <x:v>100</x:v>
      </x:c>
      <x:c r="T1493" s="58" t="str">
        <x:v>VALID</x:v>
      </x:c>
      <x:c r="U1493" s="58" t="n">
        <x:v>1674</x:v>
      </x:c>
      <x:c r="V1493" s="58" t="str">
        <x:v>Pasted text(59).txt</x:v>
      </x:c>
    </x:row>
    <x:row r="1494">
      <x:c r="A1494" s="58" t="str">
        <x:v>S15</x:v>
      </x:c>
      <x:c r="B1494" s="58" t="str">
        <x:v>0.60 validation at 268.9 Hz</x:v>
      </x:c>
      <x:c r="C1494" s="58" t="n">
        <x:v>0.6</x:v>
      </x:c>
      <x:c r="D1494" s="58" t="n">
        <x:v>3</x:v>
      </x:c>
      <x:c r="E1494" s="58" t="n">
        <x:v>1</x:v>
      </x:c>
      <x:c r="F1494" s="58" t="str">
        <x:v>FINE</x:v>
      </x:c>
      <x:c r="G1494" s="58" t="n">
        <x:v>9</x:v>
      </x:c>
      <x:c r="H1494" s="59" t="n">
        <x:v>7.5</x:v>
      </x:c>
      <x:c r="I1494" s="59" t="n">
        <x:v>0.65416</x:v>
      </x:c>
      <x:c r="J1494" s="59" t="n">
        <x:v>0.6574</x:v>
      </x:c>
      <x:c r="K1494" s="59" t="n">
        <x:v>0.35868</x:v>
      </x:c>
      <x:c r="L1494" s="59" t="n">
        <x:v>0.17785</x:v>
      </x:c>
      <x:c r="M1494" s="59" t="n">
        <x:v>0.77035</x:v>
      </x:c>
      <x:c r="N1494" s="60" t="n">
        <x:v>9.03</x:v>
      </x:c>
      <x:c r="O1494" s="60" t="n">
        <x:v>0.69</x:v>
      </x:c>
      <x:c r="P1494" s="60" t="n">
        <x:v>1.28</x:v>
      </x:c>
      <x:c r="Q1494" s="60" t="n">
        <x:v>79.5</x:v>
      </x:c>
      <x:c r="R1494" s="58" t="str">
        <x:v>X</x:v>
      </x:c>
      <x:c r="S1494" s="60" t="n">
        <x:v>100</x:v>
      </x:c>
      <x:c r="T1494" s="58" t="str">
        <x:v>VALID</x:v>
      </x:c>
      <x:c r="U1494" s="58" t="n">
        <x:v>1675</x:v>
      </x:c>
      <x:c r="V1494" s="58" t="str">
        <x:v>Pasted text(59).txt</x:v>
      </x:c>
    </x:row>
    <x:row r="1495">
      <x:c r="A1495" s="58" t="str">
        <x:v>S15</x:v>
      </x:c>
      <x:c r="B1495" s="58" t="str">
        <x:v>0.60 validation at 268.9 Hz</x:v>
      </x:c>
      <x:c r="C1495" s="58" t="n">
        <x:v>0.6</x:v>
      </x:c>
      <x:c r="D1495" s="58" t="n">
        <x:v>3</x:v>
      </x:c>
      <x:c r="E1495" s="58" t="n">
        <x:v>1</x:v>
      </x:c>
      <x:c r="F1495" s="58" t="str">
        <x:v>FINAL</x:v>
      </x:c>
      <x:c r="G1495" s="58" t="n">
        <x:v>1</x:v>
      </x:c>
      <x:c r="H1495" s="59" t="n">
        <x:v>7</x:v>
      </x:c>
      <x:c r="I1495" s="59" t="n">
        <x:v>0.6366</x:v>
      </x:c>
      <x:c r="J1495" s="59" t="n">
        <x:v>0.62553</x:v>
      </x:c>
      <x:c r="K1495" s="59" t="n">
        <x:v>0.32755</x:v>
      </x:c>
      <x:c r="L1495" s="59" t="n">
        <x:v>0.14145</x:v>
      </x:c>
      <x:c r="M1495" s="59" t="n">
        <x:v>0.72049</x:v>
      </x:c>
      <x:c r="N1495" s="60" t="n">
        <x:v>6.1</x:v>
      </x:c>
      <x:c r="O1495" s="60" t="n">
        <x:v>2.32</x:v>
      </x:c>
      <x:c r="P1495" s="60" t="n">
        <x:v>3.38</x:v>
      </x:c>
      <x:c r="Q1495" s="60" t="n">
        <x:v>74.4</x:v>
      </x:c>
      <x:c r="R1495" s="58" t="str">
        <x:v>X</x:v>
      </x:c>
      <x:c r="S1495" s="60" t="n">
        <x:v>100</x:v>
      </x:c>
      <x:c r="T1495" s="58" t="str">
        <x:v>IN TARGET BAND</x:v>
      </x:c>
      <x:c r="U1495" s="58" t="n">
        <x:v>1678</x:v>
      </x:c>
      <x:c r="V1495" s="58" t="str">
        <x:v>Pasted text(59).txt</x:v>
      </x:c>
    </x:row>
    <x:row r="1496">
      <x:c r="A1496" s="58" t="str">
        <x:v>S15</x:v>
      </x:c>
      <x:c r="B1496" s="58" t="str">
        <x:v>0.60 validation at 268.9 Hz</x:v>
      </x:c>
      <x:c r="C1496" s="58" t="n">
        <x:v>0.6</x:v>
      </x:c>
      <x:c r="D1496" s="58" t="n">
        <x:v>3</x:v>
      </x:c>
      <x:c r="E1496" s="58" t="n">
        <x:v>1</x:v>
      </x:c>
      <x:c r="F1496" s="58" t="str">
        <x:v>FINAL</x:v>
      </x:c>
      <x:c r="G1496" s="58" t="n">
        <x:v>2</x:v>
      </x:c>
      <x:c r="H1496" s="59" t="n">
        <x:v>7</x:v>
      </x:c>
      <x:c r="I1496" s="59" t="n">
        <x:v>0.62464</x:v>
      </x:c>
      <x:c r="J1496" s="59" t="n">
        <x:v>0.62953</x:v>
      </x:c>
      <x:c r="K1496" s="59" t="n">
        <x:v>0.33199</x:v>
      </x:c>
      <x:c r="L1496" s="59" t="n">
        <x:v>0.16467</x:v>
      </x:c>
      <x:c r="M1496" s="59" t="n">
        <x:v>0.73149</x:v>
      </x:c>
      <x:c r="N1496" s="60" t="n">
        <x:v>4.11</x:v>
      </x:c>
      <x:c r="O1496" s="60" t="n">
        <x:v>2.11</x:v>
      </x:c>
      <x:c r="P1496" s="60" t="n">
        <x:v>1.93</x:v>
      </x:c>
      <x:c r="Q1496" s="60" t="n">
        <x:v>73.8</x:v>
      </x:c>
      <x:c r="R1496" s="58" t="str">
        <x:v>X</x:v>
      </x:c>
      <x:c r="S1496" s="60" t="n">
        <x:v>100</x:v>
      </x:c>
      <x:c r="T1496" s="58" t="str">
        <x:v>IN TARGET BAND</x:v>
      </x:c>
      <x:c r="U1496" s="58" t="n">
        <x:v>1679</x:v>
      </x:c>
      <x:c r="V1496" s="58" t="str">
        <x:v>Pasted text(59).txt</x:v>
      </x:c>
    </x:row>
    <x:row r="1497">
      <x:c r="A1497" s="58" t="str">
        <x:v>S15</x:v>
      </x:c>
      <x:c r="B1497" s="58" t="str">
        <x:v>0.60 validation at 268.9 Hz</x:v>
      </x:c>
      <x:c r="C1497" s="58" t="n">
        <x:v>0.6</x:v>
      </x:c>
      <x:c r="D1497" s="58" t="n">
        <x:v>4</x:v>
      </x:c>
      <x:c r="E1497" s="58" t="n">
        <x:v>1</x:v>
      </x:c>
      <x:c r="F1497" s="58" t="str">
        <x:v>SEARCH</x:v>
      </x:c>
      <x:c r="G1497" s="58" t="n">
        <x:v>1</x:v>
      </x:c>
      <x:c r="H1497" s="59" t="n">
        <x:v>1</x:v>
      </x:c>
      <x:c r="I1497" s="59" t="n">
        <x:v>0.02427</x:v>
      </x:c>
      <x:c r="J1497" s="59" t="n">
        <x:v>0.0247</x:v>
      </x:c>
      <x:c r="K1497" s="59" t="n">
        <x:v>0.02813</x:v>
      </x:c>
      <x:c r="L1497" s="59" t="n">
        <x:v>0.02393</x:v>
      </x:c>
      <x:c r="M1497" s="59" t="n">
        <x:v>0.04495</x:v>
      </x:c>
      <x:c r="N1497" s="60" t="n">
        <x:v>-95.95</x:v>
      </x:c>
      <x:c r="O1497" s="60" t="n">
        <x:v>4.94</x:v>
      </x:c>
      <x:c r="P1497" s="60" t="n">
        <x:v>6.07</x:v>
      </x:c>
      <x:c r="Q1497" s="60" t="n">
        <x:v>8</x:v>
      </x:c>
      <x:c r="R1497" s="58" t="str">
        <x:v>Y</x:v>
      </x:c>
      <x:c r="S1497" s="60" t="n">
        <x:v>87.8</x:v>
      </x:c>
      <x:c r="T1497" s="58" t="str">
        <x:v>BELOW MEASUREMENT FLOOR — SEARCH CONTINUES</x:v>
      </x:c>
      <x:c r="U1497" s="58" t="n">
        <x:v>1735</x:v>
      </x:c>
      <x:c r="V1497" s="58" t="str">
        <x:v>Pasted text(59).txt</x:v>
      </x:c>
    </x:row>
    <x:row r="1498">
      <x:c r="A1498" s="58" t="str">
        <x:v>S15</x:v>
      </x:c>
      <x:c r="B1498" s="58" t="str">
        <x:v>0.60 validation at 268.9 Hz</x:v>
      </x:c>
      <x:c r="C1498" s="58" t="n">
        <x:v>0.6</x:v>
      </x:c>
      <x:c r="D1498" s="58" t="n">
        <x:v>4</x:v>
      </x:c>
      <x:c r="E1498" s="58" t="n">
        <x:v>1</x:v>
      </x:c>
      <x:c r="F1498" s="58" t="str">
        <x:v>SEARCH</x:v>
      </x:c>
      <x:c r="G1498" s="58" t="n">
        <x:v>2</x:v>
      </x:c>
      <x:c r="H1498" s="59" t="n">
        <x:v>3</x:v>
      </x:c>
      <x:c r="I1498" s="59" t="n">
        <x:v>0.17891</x:v>
      </x:c>
      <x:c r="J1498" s="59" t="n">
        <x:v>0.17583</x:v>
      </x:c>
      <x:c r="K1498" s="59" t="n">
        <x:v>0.1135</x:v>
      </x:c>
      <x:c r="L1498" s="59" t="n">
        <x:v>0.05521</x:v>
      </x:c>
      <x:c r="M1498" s="59" t="n">
        <x:v>0.2168</x:v>
      </x:c>
      <x:c r="N1498" s="60" t="n">
        <x:v>-70.18</x:v>
      </x:c>
      <x:c r="O1498" s="60" t="n">
        <x:v>0.04</x:v>
      </x:c>
      <x:c r="P1498" s="60" t="n">
        <x:v>3.06</x:v>
      </x:c>
      <x:c r="Q1498" s="60" t="n">
        <x:v>27.3</x:v>
      </x:c>
      <x:c r="R1498" s="58" t="str">
        <x:v>X</x:v>
      </x:c>
      <x:c r="S1498" s="60" t="n">
        <x:v>100</x:v>
      </x:c>
      <x:c r="T1498" s="58" t="str">
        <x:v>UNSTABLE — SEARCH CONTINUES</x:v>
      </x:c>
      <x:c r="U1498" s="58" t="n">
        <x:v>1736</x:v>
      </x:c>
      <x:c r="V1498" s="58" t="str">
        <x:v>Pasted text(59).txt</x:v>
      </x:c>
    </x:row>
    <x:row r="1499">
      <x:c r="A1499" s="58" t="str">
        <x:v>S15</x:v>
      </x:c>
      <x:c r="B1499" s="58" t="str">
        <x:v>0.60 validation at 268.9 Hz</x:v>
      </x:c>
      <x:c r="C1499" s="58" t="n">
        <x:v>0.6</x:v>
      </x:c>
      <x:c r="D1499" s="58" t="n">
        <x:v>4</x:v>
      </x:c>
      <x:c r="E1499" s="58" t="n">
        <x:v>1</x:v>
      </x:c>
      <x:c r="F1499" s="58" t="str">
        <x:v>SEARCH</x:v>
      </x:c>
      <x:c r="G1499" s="58" t="n">
        <x:v>3</x:v>
      </x:c>
      <x:c r="H1499" s="59" t="n">
        <x:v>4</x:v>
      </x:c>
      <x:c r="I1499" s="59" t="n">
        <x:v>0.27707</x:v>
      </x:c>
      <x:c r="J1499" s="59" t="n">
        <x:v>0.2839</x:v>
      </x:c>
      <x:c r="K1499" s="59" t="n">
        <x:v>0.14272</x:v>
      </x:c>
      <x:c r="L1499" s="59" t="n">
        <x:v>0.10644</x:v>
      </x:c>
      <x:c r="M1499" s="59" t="n">
        <x:v>0.3369</x:v>
      </x:c>
      <x:c r="N1499" s="60" t="n">
        <x:v>-53.82</x:v>
      </x:c>
      <x:c r="O1499" s="60" t="n">
        <x:v>0.6</x:v>
      </x:c>
      <x:c r="P1499" s="60" t="n">
        <x:v>4.51</x:v>
      </x:c>
      <x:c r="Q1499" s="60" t="n">
        <x:v>42.9</x:v>
      </x:c>
      <x:c r="R1499" s="58" t="str">
        <x:v>X</x:v>
      </x:c>
      <x:c r="S1499" s="60" t="n">
        <x:v>100</x:v>
      </x:c>
      <x:c r="T1499" s="58" t="str">
        <x:v>UNSTABLE — SEARCH CONTINUES</x:v>
      </x:c>
      <x:c r="U1499" s="58" t="n">
        <x:v>1737</x:v>
      </x:c>
      <x:c r="V1499" s="58" t="str">
        <x:v>Pasted text(59).txt</x:v>
      </x:c>
    </x:row>
    <x:row r="1500">
      <x:c r="A1500" s="58" t="str">
        <x:v>S15</x:v>
      </x:c>
      <x:c r="B1500" s="58" t="str">
        <x:v>0.60 validation at 268.9 Hz</x:v>
      </x:c>
      <x:c r="C1500" s="58" t="n">
        <x:v>0.6</x:v>
      </x:c>
      <x:c r="D1500" s="58" t="n">
        <x:v>4</x:v>
      </x:c>
      <x:c r="E1500" s="58" t="n">
        <x:v>1</x:v>
      </x:c>
      <x:c r="F1500" s="58" t="str">
        <x:v>SEARCH</x:v>
      </x:c>
      <x:c r="G1500" s="58" t="n">
        <x:v>4</x:v>
      </x:c>
      <x:c r="H1500" s="59" t="n">
        <x:v>5</x:v>
      </x:c>
      <x:c r="I1500" s="59" t="n">
        <x:v>0.39739</x:v>
      </x:c>
      <x:c r="J1500" s="59" t="n">
        <x:v>0.39946</x:v>
      </x:c>
      <x:c r="K1500" s="59" t="n">
        <x:v>0.19376</x:v>
      </x:c>
      <x:c r="L1500" s="59" t="n">
        <x:v>0.12885</x:v>
      </x:c>
      <x:c r="M1500" s="59" t="n">
        <x:v>0.4635</x:v>
      </x:c>
      <x:c r="N1500" s="60" t="n">
        <x:v>-33.77</x:v>
      </x:c>
      <x:c r="O1500" s="60" t="n">
        <x:v>0.7</x:v>
      </x:c>
      <x:c r="P1500" s="60" t="n">
        <x:v>1.33</x:v>
      </x:c>
      <x:c r="Q1500" s="60" t="n">
        <x:v>54.4</x:v>
      </x:c>
      <x:c r="R1500" s="58" t="str">
        <x:v>X</x:v>
      </x:c>
      <x:c r="S1500" s="60" t="n">
        <x:v>100</x:v>
      </x:c>
      <x:c r="T1500" s="58" t="str">
        <x:v>VALID</x:v>
      </x:c>
      <x:c r="U1500" s="58" t="n">
        <x:v>1738</x:v>
      </x:c>
      <x:c r="V1500" s="58" t="str">
        <x:v>Pasted text(59).txt</x:v>
      </x:c>
    </x:row>
    <x:row r="1501">
      <x:c r="A1501" s="58" t="str">
        <x:v>S15</x:v>
      </x:c>
      <x:c r="B1501" s="58" t="str">
        <x:v>0.60 validation at 268.9 Hz</x:v>
      </x:c>
      <x:c r="C1501" s="58" t="n">
        <x:v>0.6</x:v>
      </x:c>
      <x:c r="D1501" s="58" t="n">
        <x:v>4</x:v>
      </x:c>
      <x:c r="E1501" s="58" t="n">
        <x:v>1</x:v>
      </x:c>
      <x:c r="F1501" s="58" t="str">
        <x:v>SEARCH</x:v>
      </x:c>
      <x:c r="G1501" s="58" t="n">
        <x:v>5</x:v>
      </x:c>
      <x:c r="H1501" s="59" t="n">
        <x:v>5.5</x:v>
      </x:c>
      <x:c r="I1501" s="59" t="n">
        <x:v>0.44342</x:v>
      </x:c>
      <x:c r="J1501" s="59" t="n">
        <x:v>0.4496</x:v>
      </x:c>
      <x:c r="K1501" s="59" t="n">
        <x:v>0.21194</x:v>
      </x:c>
      <x:c r="L1501" s="59" t="n">
        <x:v>0.13477</x:v>
      </x:c>
      <x:c r="M1501" s="59" t="n">
        <x:v>0.51605</x:v>
      </x:c>
      <x:c r="N1501" s="60" t="n">
        <x:v>-26.1</x:v>
      </x:c>
      <x:c r="O1501" s="60" t="n">
        <x:v>5.18</x:v>
      </x:c>
      <x:c r="P1501" s="60" t="n">
        <x:v>5.63</x:v>
      </x:c>
      <x:c r="Q1501" s="60" t="n">
        <x:v>67</x:v>
      </x:c>
      <x:c r="R1501" s="58" t="str">
        <x:v>X</x:v>
      </x:c>
      <x:c r="S1501" s="60" t="n">
        <x:v>100</x:v>
      </x:c>
      <x:c r="T1501" s="58" t="str">
        <x:v>VALID</x:v>
      </x:c>
      <x:c r="U1501" s="58" t="n">
        <x:v>1739</x:v>
      </x:c>
      <x:c r="V1501" s="58" t="str">
        <x:v>Pasted text(59).txt</x:v>
      </x:c>
    </x:row>
    <x:row r="1502">
      <x:c r="A1502" s="58" t="str">
        <x:v>S15</x:v>
      </x:c>
      <x:c r="B1502" s="58" t="str">
        <x:v>0.60 validation at 268.9 Hz</x:v>
      </x:c>
      <x:c r="C1502" s="58" t="n">
        <x:v>0.6</x:v>
      </x:c>
      <x:c r="D1502" s="58" t="n">
        <x:v>4</x:v>
      </x:c>
      <x:c r="E1502" s="58" t="n">
        <x:v>1</x:v>
      </x:c>
      <x:c r="F1502" s="58" t="str">
        <x:v>SEARCH</x:v>
      </x:c>
      <x:c r="G1502" s="58" t="n">
        <x:v>6</x:v>
      </x:c>
      <x:c r="H1502" s="59" t="n">
        <x:v>6</x:v>
      </x:c>
      <x:c r="I1502" s="59" t="n">
        <x:v>0.49946</x:v>
      </x:c>
      <x:c r="J1502" s="59" t="n">
        <x:v>0.50672</x:v>
      </x:c>
      <x:c r="K1502" s="59" t="n">
        <x:v>0.27426</x:v>
      </x:c>
      <x:c r="L1502" s="59" t="n">
        <x:v>0.13898</x:v>
      </x:c>
      <x:c r="M1502" s="59" t="n">
        <x:v>0.59334</x:v>
      </x:c>
      <x:c r="N1502" s="60" t="n">
        <x:v>-16.76</x:v>
      </x:c>
      <x:c r="O1502" s="60" t="n">
        <x:v>0.6</x:v>
      </x:c>
      <x:c r="P1502" s="60" t="n">
        <x:v>2.83</x:v>
      </x:c>
      <x:c r="Q1502" s="60" t="n">
        <x:v>63.5</x:v>
      </x:c>
      <x:c r="R1502" s="58" t="str">
        <x:v>X</x:v>
      </x:c>
      <x:c r="S1502" s="60" t="n">
        <x:v>100</x:v>
      </x:c>
      <x:c r="T1502" s="58" t="str">
        <x:v>VALID</x:v>
      </x:c>
      <x:c r="U1502" s="58" t="n">
        <x:v>1740</x:v>
      </x:c>
      <x:c r="V1502" s="58" t="str">
        <x:v>Pasted text(59).txt</x:v>
      </x:c>
    </x:row>
    <x:row r="1503">
      <x:c r="A1503" s="58" t="str">
        <x:v>S15</x:v>
      </x:c>
      <x:c r="B1503" s="58" t="str">
        <x:v>0.60 validation at 268.9 Hz</x:v>
      </x:c>
      <x:c r="C1503" s="58" t="n">
        <x:v>0.6</x:v>
      </x:c>
      <x:c r="D1503" s="58" t="n">
        <x:v>4</x:v>
      </x:c>
      <x:c r="E1503" s="58" t="n">
        <x:v>1</x:v>
      </x:c>
      <x:c r="F1503" s="58" t="str">
        <x:v>SEARCH</x:v>
      </x:c>
      <x:c r="G1503" s="58" t="n">
        <x:v>7</x:v>
      </x:c>
      <x:c r="H1503" s="59" t="n">
        <x:v>6.5</x:v>
      </x:c>
      <x:c r="I1503" s="59" t="n">
        <x:v>0.54334</x:v>
      </x:c>
      <x:c r="J1503" s="59" t="n">
        <x:v>0.55747</x:v>
      </x:c>
      <x:c r="K1503" s="59" t="n">
        <x:v>0.27813</x:v>
      </x:c>
      <x:c r="L1503" s="59" t="n">
        <x:v>0.14868</x:v>
      </x:c>
      <x:c r="M1503" s="59" t="n">
        <x:v>0.64226</x:v>
      </x:c>
      <x:c r="N1503" s="60" t="n">
        <x:v>-9.44</x:v>
      </x:c>
      <x:c r="O1503" s="60" t="n">
        <x:v>0.89</x:v>
      </x:c>
      <x:c r="P1503" s="60" t="n">
        <x:v>4.91</x:v>
      </x:c>
      <x:c r="Q1503" s="60" t="n">
        <x:v>72.9</x:v>
      </x:c>
      <x:c r="R1503" s="58" t="str">
        <x:v>X</x:v>
      </x:c>
      <x:c r="S1503" s="60" t="n">
        <x:v>100</x:v>
      </x:c>
      <x:c r="T1503" s="58" t="str">
        <x:v>VALID</x:v>
      </x:c>
      <x:c r="U1503" s="58" t="n">
        <x:v>1741</x:v>
      </x:c>
      <x:c r="V1503" s="58" t="str">
        <x:v>Pasted text(59).txt</x:v>
      </x:c>
    </x:row>
    <x:row r="1504">
      <x:c r="A1504" s="58" t="str">
        <x:v>S15</x:v>
      </x:c>
      <x:c r="B1504" s="58" t="str">
        <x:v>0.60 validation at 268.9 Hz</x:v>
      </x:c>
      <x:c r="C1504" s="58" t="n">
        <x:v>0.6</x:v>
      </x:c>
      <x:c r="D1504" s="58" t="n">
        <x:v>4</x:v>
      </x:c>
      <x:c r="E1504" s="58" t="n">
        <x:v>1</x:v>
      </x:c>
      <x:c r="F1504" s="58" t="str">
        <x:v>SEARCH</x:v>
      </x:c>
      <x:c r="G1504" s="58" t="n">
        <x:v>8</x:v>
      </x:c>
      <x:c r="H1504" s="59" t="n">
        <x:v>6.75</x:v>
      </x:c>
      <x:c r="I1504" s="59" t="n">
        <x:v>0.60159</x:v>
      </x:c>
      <x:c r="J1504" s="59" t="n">
        <x:v>0.60104</x:v>
      </x:c>
      <x:c r="K1504" s="59" t="n">
        <x:v>0.31768</x:v>
      </x:c>
      <x:c r="L1504" s="59" t="n">
        <x:v>0.15867</x:v>
      </x:c>
      <x:c r="M1504" s="59" t="n">
        <x:v>0.69879</x:v>
      </x:c>
      <x:c r="N1504" s="60" t="n">
        <x:v>0.26</x:v>
      </x:c>
      <x:c r="O1504" s="60" t="n">
        <x:v>4.7</x:v>
      </x:c>
      <x:c r="P1504" s="60" t="n">
        <x:v>3.31</x:v>
      </x:c>
      <x:c r="Q1504" s="60" t="n">
        <x:v>70</x:v>
      </x:c>
      <x:c r="R1504" s="58" t="str">
        <x:v>X</x:v>
      </x:c>
      <x:c r="S1504" s="60" t="n">
        <x:v>100</x:v>
      </x:c>
      <x:c r="T1504" s="58" t="str">
        <x:v>IN TARGET BAND</x:v>
      </x:c>
      <x:c r="U1504" s="58" t="n">
        <x:v>1742</x:v>
      </x:c>
      <x:c r="V1504" s="58" t="str">
        <x:v>Pasted text(59).txt</x:v>
      </x:c>
    </x:row>
    <x:row r="1505">
      <x:c r="A1505" s="58" t="str">
        <x:v>S15</x:v>
      </x:c>
      <x:c r="B1505" s="58" t="str">
        <x:v>0.60 validation at 268.9 Hz</x:v>
      </x:c>
      <x:c r="C1505" s="58" t="n">
        <x:v>0.6</x:v>
      </x:c>
      <x:c r="D1505" s="58" t="n">
        <x:v>4</x:v>
      </x:c>
      <x:c r="E1505" s="58" t="n">
        <x:v>1</x:v>
      </x:c>
      <x:c r="F1505" s="58" t="str">
        <x:v>FINE</x:v>
      </x:c>
      <x:c r="G1505" s="58" t="n">
        <x:v>1</x:v>
      </x:c>
      <x:c r="H1505" s="59" t="n">
        <x:v>5.75</x:v>
      </x:c>
      <x:c r="I1505" s="59" t="n">
        <x:v>0.50022</x:v>
      </x:c>
      <x:c r="J1505" s="59" t="n">
        <x:v>0.49886</x:v>
      </x:c>
      <x:c r="K1505" s="59" t="n">
        <x:v>0.26897</x:v>
      </x:c>
      <x:c r="L1505" s="59" t="n">
        <x:v>0.13203</x:v>
      </x:c>
      <x:c r="M1505" s="59" t="n">
        <x:v>0.5825</x:v>
      </x:c>
      <x:c r="N1505" s="60" t="n">
        <x:v>-16.63</x:v>
      </x:c>
      <x:c r="O1505" s="60" t="n">
        <x:v>2.37</x:v>
      </x:c>
      <x:c r="P1505" s="60" t="n">
        <x:v>2.03</x:v>
      </x:c>
      <x:c r="Q1505" s="60" t="n">
        <x:v>62.8</x:v>
      </x:c>
      <x:c r="R1505" s="58" t="str">
        <x:v>X</x:v>
      </x:c>
      <x:c r="S1505" s="60" t="n">
        <x:v>100</x:v>
      </x:c>
      <x:c r="T1505" s="58" t="str">
        <x:v>VALID</x:v>
      </x:c>
      <x:c r="U1505" s="58" t="n">
        <x:v>1746</x:v>
      </x:c>
      <x:c r="V1505" s="58" t="str">
        <x:v>Pasted text(59).txt</x:v>
      </x:c>
    </x:row>
    <x:row r="1506">
      <x:c r="A1506" s="58" t="str">
        <x:v>S15</x:v>
      </x:c>
      <x:c r="B1506" s="58" t="str">
        <x:v>0.60 validation at 268.9 Hz</x:v>
      </x:c>
      <x:c r="C1506" s="58" t="n">
        <x:v>0.6</x:v>
      </x:c>
      <x:c r="D1506" s="58" t="n">
        <x:v>4</x:v>
      </x:c>
      <x:c r="E1506" s="58" t="n">
        <x:v>1</x:v>
      </x:c>
      <x:c r="F1506" s="58" t="str">
        <x:v>FINE</x:v>
      </x:c>
      <x:c r="G1506" s="58" t="n">
        <x:v>2</x:v>
      </x:c>
      <x:c r="H1506" s="59" t="n">
        <x:v>6</x:v>
      </x:c>
      <x:c r="I1506" s="59" t="n">
        <x:v>0.49663</x:v>
      </x:c>
      <x:c r="J1506" s="59" t="n">
        <x:v>0.51101</x:v>
      </x:c>
      <x:c r="K1506" s="59" t="n">
        <x:v>0.28282</x:v>
      </x:c>
      <x:c r="L1506" s="59" t="n">
        <x:v>0.12529</x:v>
      </x:c>
      <x:c r="M1506" s="59" t="n">
        <x:v>0.59811</x:v>
      </x:c>
      <x:c r="N1506" s="60" t="n">
        <x:v>-17.23</x:v>
      </x:c>
      <x:c r="O1506" s="60" t="n">
        <x:v>3.61</x:v>
      </x:c>
      <x:c r="P1506" s="60" t="n">
        <x:v>7.02</x:v>
      </x:c>
      <x:c r="Q1506" s="60" t="n">
        <x:v>64.7</x:v>
      </x:c>
      <x:c r="R1506" s="58" t="str">
        <x:v>X</x:v>
      </x:c>
      <x:c r="S1506" s="60" t="n">
        <x:v>100</x:v>
      </x:c>
      <x:c r="T1506" s="58" t="str">
        <x:v>VALID</x:v>
      </x:c>
      <x:c r="U1506" s="58" t="n">
        <x:v>1747</x:v>
      </x:c>
      <x:c r="V1506" s="58" t="str">
        <x:v>Pasted text(59).txt</x:v>
      </x:c>
    </x:row>
    <x:row r="1507">
      <x:c r="A1507" s="58" t="str">
        <x:v>S15</x:v>
      </x:c>
      <x:c r="B1507" s="58" t="str">
        <x:v>0.60 validation at 268.9 Hz</x:v>
      </x:c>
      <x:c r="C1507" s="58" t="n">
        <x:v>0.6</x:v>
      </x:c>
      <x:c r="D1507" s="58" t="n">
        <x:v>4</x:v>
      </x:c>
      <x:c r="E1507" s="58" t="n">
        <x:v>1</x:v>
      </x:c>
      <x:c r="F1507" s="58" t="str">
        <x:v>FINE</x:v>
      </x:c>
      <x:c r="G1507" s="58" t="n">
        <x:v>3</x:v>
      </x:c>
      <x:c r="H1507" s="59" t="n">
        <x:v>6.25</x:v>
      </x:c>
      <x:c r="I1507" s="59" t="n">
        <x:v>0.53216</x:v>
      </x:c>
      <x:c r="J1507" s="59" t="n">
        <x:v>0.53399</x:v>
      </x:c>
      <x:c r="K1507" s="59" t="n">
        <x:v>0.28135</x:v>
      </x:c>
      <x:c r="L1507" s="59" t="n">
        <x:v>0.13022</x:v>
      </x:c>
      <x:c r="M1507" s="59" t="n">
        <x:v>0.61756</x:v>
      </x:c>
      <x:c r="N1507" s="60" t="n">
        <x:v>-11.31</x:v>
      </x:c>
      <x:c r="O1507" s="60" t="n">
        <x:v>0.78</x:v>
      </x:c>
      <x:c r="P1507" s="60" t="n">
        <x:v>1.08</x:v>
      </x:c>
      <x:c r="Q1507" s="60" t="n">
        <x:v>70.4</x:v>
      </x:c>
      <x:c r="R1507" s="58" t="str">
        <x:v>X</x:v>
      </x:c>
      <x:c r="S1507" s="60" t="n">
        <x:v>100</x:v>
      </x:c>
      <x:c r="T1507" s="58" t="str">
        <x:v>VALID</x:v>
      </x:c>
      <x:c r="U1507" s="58" t="n">
        <x:v>1748</x:v>
      </x:c>
      <x:c r="V1507" s="58" t="str">
        <x:v>Pasted text(59).txt</x:v>
      </x:c>
    </x:row>
    <x:row r="1508">
      <x:c r="A1508" s="58" t="str">
        <x:v>S15</x:v>
      </x:c>
      <x:c r="B1508" s="58" t="str">
        <x:v>0.60 validation at 268.9 Hz</x:v>
      </x:c>
      <x:c r="C1508" s="58" t="n">
        <x:v>0.6</x:v>
      </x:c>
      <x:c r="D1508" s="58" t="n">
        <x:v>4</x:v>
      </x:c>
      <x:c r="E1508" s="58" t="n">
        <x:v>1</x:v>
      </x:c>
      <x:c r="F1508" s="58" t="str">
        <x:v>FINE</x:v>
      </x:c>
      <x:c r="G1508" s="58" t="n">
        <x:v>4</x:v>
      </x:c>
      <x:c r="H1508" s="59" t="n">
        <x:v>6.5</x:v>
      </x:c>
      <x:c r="I1508" s="59" t="n">
        <x:v>0.54866</x:v>
      </x:c>
      <x:c r="J1508" s="59" t="n">
        <x:v>0.55106</x:v>
      </x:c>
      <x:c r="K1508" s="59" t="n">
        <x:v>0.27479</x:v>
      </x:c>
      <x:c r="L1508" s="59" t="n">
        <x:v>0.12781</x:v>
      </x:c>
      <x:c r="M1508" s="59" t="n">
        <x:v>0.62934</x:v>
      </x:c>
      <x:c r="N1508" s="60" t="n">
        <x:v>-8.56</x:v>
      </x:c>
      <x:c r="O1508" s="60" t="n">
        <x:v>2.2</x:v>
      </x:c>
      <x:c r="P1508" s="60" t="n">
        <x:v>2.16</x:v>
      </x:c>
      <x:c r="Q1508" s="60" t="n">
        <x:v>72</x:v>
      </x:c>
      <x:c r="R1508" s="58" t="str">
        <x:v>X</x:v>
      </x:c>
      <x:c r="S1508" s="60" t="n">
        <x:v>100</x:v>
      </x:c>
      <x:c r="T1508" s="58" t="str">
        <x:v>VALID</x:v>
      </x:c>
      <x:c r="U1508" s="58" t="n">
        <x:v>1749</x:v>
      </x:c>
      <x:c r="V1508" s="58" t="str">
        <x:v>Pasted text(59).txt</x:v>
      </x:c>
    </x:row>
    <x:row r="1509">
      <x:c r="A1509" s="58" t="str">
        <x:v>S15</x:v>
      </x:c>
      <x:c r="B1509" s="58" t="str">
        <x:v>0.60 validation at 268.9 Hz</x:v>
      </x:c>
      <x:c r="C1509" s="58" t="n">
        <x:v>0.6</x:v>
      </x:c>
      <x:c r="D1509" s="58" t="n">
        <x:v>4</x:v>
      </x:c>
      <x:c r="E1509" s="58" t="n">
        <x:v>1</x:v>
      </x:c>
      <x:c r="F1509" s="58" t="str">
        <x:v>FINE</x:v>
      </x:c>
      <x:c r="G1509" s="58" t="n">
        <x:v>5</x:v>
      </x:c>
      <x:c r="H1509" s="59" t="n">
        <x:v>6.75</x:v>
      </x:c>
      <x:c r="I1509" s="59" t="n">
        <x:v>0.59004</x:v>
      </x:c>
      <x:c r="J1509" s="59" t="n">
        <x:v>0.58949</x:v>
      </x:c>
      <x:c r="K1509" s="59" t="n">
        <x:v>0.32263</x:v>
      </x:c>
      <x:c r="L1509" s="59" t="n">
        <x:v>0.14773</x:v>
      </x:c>
      <x:c r="M1509" s="59" t="n">
        <x:v>0.68835</x:v>
      </x:c>
      <x:c r="N1509" s="60" t="n">
        <x:v>-1.66</x:v>
      </x:c>
      <x:c r="O1509" s="60" t="n">
        <x:v>4.18</x:v>
      </x:c>
      <x:c r="P1509" s="60" t="n">
        <x:v>2.96</x:v>
      </x:c>
      <x:c r="Q1509" s="60" t="n">
        <x:v>68.6</x:v>
      </x:c>
      <x:c r="R1509" s="58" t="str">
        <x:v>X</x:v>
      </x:c>
      <x:c r="S1509" s="60" t="n">
        <x:v>100</x:v>
      </x:c>
      <x:c r="T1509" s="58" t="str">
        <x:v>IN TARGET BAND</x:v>
      </x:c>
      <x:c r="U1509" s="58" t="n">
        <x:v>1750</x:v>
      </x:c>
      <x:c r="V1509" s="58" t="str">
        <x:v>Pasted text(59).txt</x:v>
      </x:c>
    </x:row>
    <x:row r="1510">
      <x:c r="A1510" s="58" t="str">
        <x:v>S15</x:v>
      </x:c>
      <x:c r="B1510" s="58" t="str">
        <x:v>0.60 validation at 268.9 Hz</x:v>
      </x:c>
      <x:c r="C1510" s="58" t="n">
        <x:v>0.6</x:v>
      </x:c>
      <x:c r="D1510" s="58" t="n">
        <x:v>4</x:v>
      </x:c>
      <x:c r="E1510" s="58" t="n">
        <x:v>1</x:v>
      </x:c>
      <x:c r="F1510" s="58" t="str">
        <x:v>FINE</x:v>
      </x:c>
      <x:c r="G1510" s="58" t="n">
        <x:v>6</x:v>
      </x:c>
      <x:c r="H1510" s="59" t="n">
        <x:v>7</x:v>
      </x:c>
      <x:c r="I1510" s="59" t="n">
        <x:v>0.61885</x:v>
      </x:c>
      <x:c r="J1510" s="59" t="n">
        <x:v>0.61866</x:v>
      </x:c>
      <x:c r="K1510" s="59" t="n">
        <x:v>0.32898</x:v>
      </x:c>
      <x:c r="L1510" s="59" t="n">
        <x:v>0.15074</x:v>
      </x:c>
      <x:c r="M1510" s="59" t="n">
        <x:v>0.717</x:v>
      </x:c>
      <x:c r="N1510" s="60" t="n">
        <x:v>3.14</x:v>
      </x:c>
      <x:c r="O1510" s="60" t="n">
        <x:v>4.05</x:v>
      </x:c>
      <x:c r="P1510" s="60" t="n">
        <x:v>2.78</x:v>
      </x:c>
      <x:c r="Q1510" s="60" t="n">
        <x:v>74</x:v>
      </x:c>
      <x:c r="R1510" s="58" t="str">
        <x:v>X</x:v>
      </x:c>
      <x:c r="S1510" s="60" t="n">
        <x:v>100</x:v>
      </x:c>
      <x:c r="T1510" s="58" t="str">
        <x:v>IN TARGET BAND</x:v>
      </x:c>
      <x:c r="U1510" s="58" t="n">
        <x:v>1751</x:v>
      </x:c>
      <x:c r="V1510" s="58" t="str">
        <x:v>Pasted text(59).txt</x:v>
      </x:c>
    </x:row>
    <x:row r="1511">
      <x:c r="A1511" s="58" t="str">
        <x:v>S15</x:v>
      </x:c>
      <x:c r="B1511" s="58" t="str">
        <x:v>0.60 validation at 268.9 Hz</x:v>
      </x:c>
      <x:c r="C1511" s="58" t="n">
        <x:v>0.6</x:v>
      </x:c>
      <x:c r="D1511" s="58" t="n">
        <x:v>4</x:v>
      </x:c>
      <x:c r="E1511" s="58" t="n">
        <x:v>1</x:v>
      </x:c>
      <x:c r="F1511" s="58" t="str">
        <x:v>FINE</x:v>
      </x:c>
      <x:c r="G1511" s="58" t="n">
        <x:v>7</x:v>
      </x:c>
      <x:c r="H1511" s="59" t="n">
        <x:v>7.25</x:v>
      </x:c>
      <x:c r="I1511" s="59" t="n">
        <x:v>0.65026</x:v>
      </x:c>
      <x:c r="J1511" s="59" t="n">
        <x:v>0.64758</x:v>
      </x:c>
      <x:c r="K1511" s="59" t="n">
        <x:v>0.34392</x:v>
      </x:c>
      <x:c r="L1511" s="59" t="n">
        <x:v>0.17426</x:v>
      </x:c>
      <x:c r="M1511" s="59" t="n">
        <x:v>0.75402</x:v>
      </x:c>
      <x:c r="N1511" s="60" t="n">
        <x:v>8.38</x:v>
      </x:c>
      <x:c r="O1511" s="60" t="n">
        <x:v>0.07</x:v>
      </x:c>
      <x:c r="P1511" s="60" t="n">
        <x:v>0.76</x:v>
      </x:c>
      <x:c r="Q1511" s="60" t="n">
        <x:v>76.9</x:v>
      </x:c>
      <x:c r="R1511" s="58" t="str">
        <x:v>X</x:v>
      </x:c>
      <x:c r="S1511" s="60" t="n">
        <x:v>100</x:v>
      </x:c>
      <x:c r="T1511" s="58" t="str">
        <x:v>VALID</x:v>
      </x:c>
      <x:c r="U1511" s="58" t="n">
        <x:v>1752</x:v>
      </x:c>
      <x:c r="V1511" s="58" t="str">
        <x:v>Pasted text(59).txt</x:v>
      </x:c>
    </x:row>
    <x:row r="1512">
      <x:c r="A1512" s="58" t="str">
        <x:v>S15</x:v>
      </x:c>
      <x:c r="B1512" s="58" t="str">
        <x:v>0.60 validation at 268.9 Hz</x:v>
      </x:c>
      <x:c r="C1512" s="58" t="n">
        <x:v>0.6</x:v>
      </x:c>
      <x:c r="D1512" s="58" t="n">
        <x:v>4</x:v>
      </x:c>
      <x:c r="E1512" s="58" t="n">
        <x:v>1</x:v>
      </x:c>
      <x:c r="F1512" s="58" t="str">
        <x:v>FINE</x:v>
      </x:c>
      <x:c r="G1512" s="58" t="n">
        <x:v>8</x:v>
      </x:c>
      <x:c r="H1512" s="59" t="n">
        <x:v>7.5</x:v>
      </x:c>
      <x:c r="I1512" s="59" t="n">
        <x:v>0.67248</x:v>
      </x:c>
      <x:c r="J1512" s="59" t="n">
        <x:v>0.67098</x:v>
      </x:c>
      <x:c r="K1512" s="59" t="n">
        <x:v>0.34876</x:v>
      </x:c>
      <x:c r="L1512" s="59" t="n">
        <x:v>0.16564</x:v>
      </x:c>
      <x:c r="M1512" s="59" t="n">
        <x:v>0.77424</x:v>
      </x:c>
      <x:c r="N1512" s="60" t="n">
        <x:v>12.08</x:v>
      </x:c>
      <x:c r="O1512" s="60" t="n">
        <x:v>2.02</x:v>
      </x:c>
      <x:c r="P1512" s="60" t="n">
        <x:v>1.71</x:v>
      </x:c>
      <x:c r="Q1512" s="60" t="n">
        <x:v>81.4</x:v>
      </x:c>
      <x:c r="R1512" s="58" t="str">
        <x:v>X</x:v>
      </x:c>
      <x:c r="S1512" s="60" t="n">
        <x:v>100</x:v>
      </x:c>
      <x:c r="T1512" s="58" t="str">
        <x:v>VALID</x:v>
      </x:c>
      <x:c r="U1512" s="58" t="n">
        <x:v>1753</x:v>
      </x:c>
      <x:c r="V1512" s="58" t="str">
        <x:v>Pasted text(59).txt</x:v>
      </x:c>
    </x:row>
    <x:row r="1513">
      <x:c r="A1513" s="58" t="str">
        <x:v>S15</x:v>
      </x:c>
      <x:c r="B1513" s="58" t="str">
        <x:v>0.60 validation at 268.9 Hz</x:v>
      </x:c>
      <x:c r="C1513" s="58" t="n">
        <x:v>0.6</x:v>
      </x:c>
      <x:c r="D1513" s="58" t="n">
        <x:v>4</x:v>
      </x:c>
      <x:c r="E1513" s="58" t="n">
        <x:v>1</x:v>
      </x:c>
      <x:c r="F1513" s="58" t="str">
        <x:v>FINE</x:v>
      </x:c>
      <x:c r="G1513" s="58" t="n">
        <x:v>9</x:v>
      </x:c>
      <x:c r="H1513" s="59" t="n">
        <x:v>7.75</x:v>
      </x:c>
      <x:c r="I1513" s="59" t="n">
        <x:v>0.70612</x:v>
      </x:c>
      <x:c r="J1513" s="59" t="n">
        <x:v>0.69791</x:v>
      </x:c>
      <x:c r="K1513" s="59" t="n">
        <x:v>0.37064</x:v>
      </x:c>
      <x:c r="L1513" s="59" t="n">
        <x:v>0.18035</x:v>
      </x:c>
      <x:c r="M1513" s="59" t="n">
        <x:v>0.81071</x:v>
      </x:c>
      <x:c r="N1513" s="60" t="n">
        <x:v>17.69</x:v>
      </x:c>
      <x:c r="O1513" s="60" t="n">
        <x:v>2.86</x:v>
      </x:c>
      <x:c r="P1513" s="60" t="n">
        <x:v>3.85</x:v>
      </x:c>
      <x:c r="Q1513" s="60" t="n">
        <x:v>74.4</x:v>
      </x:c>
      <x:c r="R1513" s="58" t="str">
        <x:v>X</x:v>
      </x:c>
      <x:c r="S1513" s="60" t="n">
        <x:v>100</x:v>
      </x:c>
      <x:c r="T1513" s="58" t="str">
        <x:v>VALID</x:v>
      </x:c>
      <x:c r="U1513" s="58" t="n">
        <x:v>1754</x:v>
      </x:c>
      <x:c r="V1513" s="58" t="str">
        <x:v>Pasted text(59).txt</x:v>
      </x:c>
    </x:row>
    <x:row r="1514">
      <x:c r="A1514" s="58" t="str">
        <x:v>S15</x:v>
      </x:c>
      <x:c r="B1514" s="58" t="str">
        <x:v>0.60 validation at 268.9 Hz</x:v>
      </x:c>
      <x:c r="C1514" s="58" t="n">
        <x:v>0.6</x:v>
      </x:c>
      <x:c r="D1514" s="58" t="n">
        <x:v>4</x:v>
      </x:c>
      <x:c r="E1514" s="58" t="n">
        <x:v>1</x:v>
      </x:c>
      <x:c r="F1514" s="58" t="str">
        <x:v>FINAL</x:v>
      </x:c>
      <x:c r="G1514" s="58" t="n">
        <x:v>1</x:v>
      </x:c>
      <x:c r="H1514" s="59" t="n">
        <x:v>6.75</x:v>
      </x:c>
      <x:c r="I1514" s="59" t="n">
        <x:v>0.5959</x:v>
      </x:c>
      <x:c r="J1514" s="59" t="n">
        <x:v>0.59566</x:v>
      </x:c>
      <x:c r="K1514" s="59" t="n">
        <x:v>0.31135</x:v>
      </x:c>
      <x:c r="L1514" s="59" t="n">
        <x:v>0.14773</x:v>
      </x:c>
      <x:c r="M1514" s="59" t="n">
        <x:v>0.6886</x:v>
      </x:c>
      <x:c r="N1514" s="60" t="n">
        <x:v>-0.68</x:v>
      </x:c>
      <x:c r="O1514" s="60" t="n">
        <x:v>2.01</x:v>
      </x:c>
      <x:c r="P1514" s="60" t="n">
        <x:v>1.85</x:v>
      </x:c>
      <x:c r="Q1514" s="60" t="n">
        <x:v>69.4</x:v>
      </x:c>
      <x:c r="R1514" s="58" t="str">
        <x:v>X</x:v>
      </x:c>
      <x:c r="S1514" s="60" t="n">
        <x:v>100</x:v>
      </x:c>
      <x:c r="T1514" s="58" t="str">
        <x:v>IN TARGET BAND</x:v>
      </x:c>
      <x:c r="U1514" s="58" t="n">
        <x:v>1757</x:v>
      </x:c>
      <x:c r="V1514" s="58" t="str">
        <x:v>Pasted text(59).txt</x:v>
      </x:c>
    </x:row>
    <x:row r="1515">
      <x:c r="A1515" s="58" t="str">
        <x:v>S15</x:v>
      </x:c>
      <x:c r="B1515" s="58" t="str">
        <x:v>0.60 validation at 268.9 Hz</x:v>
      </x:c>
      <x:c r="C1515" s="58" t="n">
        <x:v>0.6</x:v>
      </x:c>
      <x:c r="D1515" s="58" t="n">
        <x:v>4</x:v>
      </x:c>
      <x:c r="E1515" s="58" t="n">
        <x:v>1</x:v>
      </x:c>
      <x:c r="F1515" s="58" t="str">
        <x:v>FINAL</x:v>
      </x:c>
      <x:c r="G1515" s="58" t="n">
        <x:v>2</x:v>
      </x:c>
      <x:c r="H1515" s="59" t="n">
        <x:v>6.75</x:v>
      </x:c>
      <x:c r="I1515" s="59" t="n">
        <x:v>0.58443</x:v>
      </x:c>
      <x:c r="J1515" s="59" t="n">
        <x:v>0.5892</x:v>
      </x:c>
      <x:c r="K1515" s="59" t="n">
        <x:v>0.3348</x:v>
      </x:c>
      <x:c r="L1515" s="59" t="n">
        <x:v>0.15393</x:v>
      </x:c>
      <x:c r="M1515" s="59" t="n">
        <x:v>0.69525</x:v>
      </x:c>
      <x:c r="N1515" s="60" t="n">
        <x:v>-2.6</x:v>
      </x:c>
      <x:c r="O1515" s="60" t="n">
        <x:v>2.83</x:v>
      </x:c>
      <x:c r="P1515" s="60" t="n">
        <x:v>2.33</x:v>
      </x:c>
      <x:c r="Q1515" s="60" t="n">
        <x:v>67.6</x:v>
      </x:c>
      <x:c r="R1515" s="58" t="str">
        <x:v>X</x:v>
      </x:c>
      <x:c r="S1515" s="60" t="n">
        <x:v>100</x:v>
      </x:c>
      <x:c r="T1515" s="58" t="str">
        <x:v>IN TARGET BAND</x:v>
      </x:c>
      <x:c r="U1515" s="58" t="n">
        <x:v>1758</x:v>
      </x:c>
      <x:c r="V1515" s="58" t="str">
        <x:v>Pasted text(59).txt</x:v>
      </x:c>
    </x:row>
    <x:row r="1516">
      <x:c r="A1516" s="58" t="str">
        <x:v>S15</x:v>
      </x:c>
      <x:c r="B1516" s="58" t="str">
        <x:v>0.60 validation at 268.9 Hz</x:v>
      </x:c>
      <x:c r="C1516" s="58" t="n">
        <x:v>0.6</x:v>
      </x:c>
      <x:c r="D1516" s="58" t="n">
        <x:v>5</x:v>
      </x:c>
      <x:c r="E1516" s="58" t="n">
        <x:v>1</x:v>
      </x:c>
      <x:c r="F1516" s="58" t="str">
        <x:v>SEARCH</x:v>
      </x:c>
      <x:c r="G1516" s="58" t="n">
        <x:v>1</x:v>
      </x:c>
      <x:c r="H1516" s="59" t="n">
        <x:v>1</x:v>
      </x:c>
      <x:c r="I1516" s="59" t="n">
        <x:v>0.01843</x:v>
      </x:c>
      <x:c r="J1516" s="59" t="n">
        <x:v>0.02095</x:v>
      </x:c>
      <x:c r="K1516" s="59" t="n">
        <x:v>0.01085</x:v>
      </x:c>
      <x:c r="L1516" s="59" t="n">
        <x:v>0.05015</x:v>
      </x:c>
      <x:c r="M1516" s="59" t="n">
        <x:v>0.05627</x:v>
      </x:c>
      <x:c r="N1516" s="60" t="n">
        <x:v>-96.93</x:v>
      </x:c>
      <x:c r="O1516" s="60" t="n">
        <x:v>64.74</x:v>
      </x:c>
      <x:c r="P1516" s="60" t="n">
        <x:v>57.42</x:v>
      </x:c>
      <x:c r="Q1516" s="60" t="n">
        <x:v>6.5</x:v>
      </x:c>
      <x:c r="R1516" s="58" t="str">
        <x:v>Z</x:v>
      </x:c>
      <x:c r="S1516" s="60" t="n">
        <x:v>41.8</x:v>
      </x:c>
      <x:c r="T1516" s="58" t="str">
        <x:v>BELOW MEASUREMENT FLOOR — SEARCH CONTINUES</x:v>
      </x:c>
      <x:c r="U1516" s="58" t="n">
        <x:v>1814</x:v>
      </x:c>
      <x:c r="V1516" s="58" t="str">
        <x:v>Pasted text(59).txt</x:v>
      </x:c>
    </x:row>
    <x:row r="1517">
      <x:c r="A1517" s="58" t="str">
        <x:v>S15</x:v>
      </x:c>
      <x:c r="B1517" s="58" t="str">
        <x:v>0.60 validation at 268.9 Hz</x:v>
      </x:c>
      <x:c r="C1517" s="58" t="n">
        <x:v>0.6</x:v>
      </x:c>
      <x:c r="D1517" s="58" t="n">
        <x:v>5</x:v>
      </x:c>
      <x:c r="E1517" s="58" t="n">
        <x:v>1</x:v>
      </x:c>
      <x:c r="F1517" s="58" t="str">
        <x:v>SEARCH</x:v>
      </x:c>
      <x:c r="G1517" s="58" t="n">
        <x:v>2</x:v>
      </x:c>
      <x:c r="H1517" s="59" t="n">
        <x:v>3</x:v>
      </x:c>
      <x:c r="I1517" s="59" t="n">
        <x:v>0.20292</x:v>
      </x:c>
      <x:c r="J1517" s="59" t="n">
        <x:v>0.20216</x:v>
      </x:c>
      <x:c r="K1517" s="59" t="n">
        <x:v>0.083</x:v>
      </x:c>
      <x:c r="L1517" s="59" t="n">
        <x:v>0.07829</x:v>
      </x:c>
      <x:c r="M1517" s="59" t="n">
        <x:v>0.2327</x:v>
      </x:c>
      <x:c r="N1517" s="60" t="n">
        <x:v>-66.18</x:v>
      </x:c>
      <x:c r="O1517" s="60" t="n">
        <x:v>0.99</x:v>
      </x:c>
      <x:c r="P1517" s="60" t="n">
        <x:v>1.27</x:v>
      </x:c>
      <x:c r="Q1517" s="60" t="n">
        <x:v>31.9</x:v>
      </x:c>
      <x:c r="R1517" s="58" t="str">
        <x:v>X</x:v>
      </x:c>
      <x:c r="S1517" s="60" t="n">
        <x:v>100</x:v>
      </x:c>
      <x:c r="T1517" s="58" t="str">
        <x:v>UNSTABLE — SEARCH CONTINUES</x:v>
      </x:c>
      <x:c r="U1517" s="58" t="n">
        <x:v>1815</x:v>
      </x:c>
      <x:c r="V1517" s="58" t="str">
        <x:v>Pasted text(59).txt</x:v>
      </x:c>
    </x:row>
    <x:row r="1518">
      <x:c r="A1518" s="58" t="str">
        <x:v>S15</x:v>
      </x:c>
      <x:c r="B1518" s="58" t="str">
        <x:v>0.60 validation at 268.9 Hz</x:v>
      </x:c>
      <x:c r="C1518" s="58" t="n">
        <x:v>0.6</x:v>
      </x:c>
      <x:c r="D1518" s="58" t="n">
        <x:v>5</x:v>
      </x:c>
      <x:c r="E1518" s="58" t="n">
        <x:v>1</x:v>
      </x:c>
      <x:c r="F1518" s="58" t="str">
        <x:v>SEARCH</x:v>
      </x:c>
      <x:c r="G1518" s="58" t="n">
        <x:v>3</x:v>
      </x:c>
      <x:c r="H1518" s="59" t="n">
        <x:v>4</x:v>
      </x:c>
      <x:c r="I1518" s="59" t="n">
        <x:v>0.28566</x:v>
      </x:c>
      <x:c r="J1518" s="59" t="n">
        <x:v>0.29532</x:v>
      </x:c>
      <x:c r="K1518" s="59" t="n">
        <x:v>0.16496</x:v>
      </x:c>
      <x:c r="L1518" s="59" t="n">
        <x:v>0.10142</x:v>
      </x:c>
      <x:c r="M1518" s="59" t="n">
        <x:v>0.35424</x:v>
      </x:c>
      <x:c r="N1518" s="60" t="n">
        <x:v>-52.39</x:v>
      </x:c>
      <x:c r="O1518" s="60" t="n">
        <x:v>2.26</x:v>
      </x:c>
      <x:c r="P1518" s="60" t="n">
        <x:v>6.98</x:v>
      </x:c>
      <x:c r="Q1518" s="60" t="n">
        <x:v>43.9</x:v>
      </x:c>
      <x:c r="R1518" s="58" t="str">
        <x:v>X</x:v>
      </x:c>
      <x:c r="S1518" s="60" t="n">
        <x:v>100</x:v>
      </x:c>
      <x:c r="T1518" s="58" t="str">
        <x:v>UNSTABLE — SEARCH CONTINUES</x:v>
      </x:c>
      <x:c r="U1518" s="58" t="n">
        <x:v>1816</x:v>
      </x:c>
      <x:c r="V1518" s="58" t="str">
        <x:v>Pasted text(59).txt</x:v>
      </x:c>
    </x:row>
    <x:row r="1519">
      <x:c r="A1519" s="58" t="str">
        <x:v>S15</x:v>
      </x:c>
      <x:c r="B1519" s="58" t="str">
        <x:v>0.60 validation at 268.9 Hz</x:v>
      </x:c>
      <x:c r="C1519" s="58" t="n">
        <x:v>0.6</x:v>
      </x:c>
      <x:c r="D1519" s="58" t="n">
        <x:v>5</x:v>
      </x:c>
      <x:c r="E1519" s="58" t="n">
        <x:v>1</x:v>
      </x:c>
      <x:c r="F1519" s="58" t="str">
        <x:v>SEARCH</x:v>
      </x:c>
      <x:c r="G1519" s="58" t="n">
        <x:v>4</x:v>
      </x:c>
      <x:c r="H1519" s="59" t="n">
        <x:v>5</x:v>
      </x:c>
      <x:c r="I1519" s="59" t="n">
        <x:v>0.39777</x:v>
      </x:c>
      <x:c r="J1519" s="59" t="n">
        <x:v>0.41996</x:v>
      </x:c>
      <x:c r="K1519" s="59" t="n">
        <x:v>0.20494</x:v>
      </x:c>
      <x:c r="L1519" s="59" t="n">
        <x:v>0.10082</x:v>
      </x:c>
      <x:c r="M1519" s="59" t="n">
        <x:v>0.47924</x:v>
      </x:c>
      <x:c r="N1519" s="60" t="n">
        <x:v>-33.7</x:v>
      </x:c>
      <x:c r="O1519" s="60" t="n">
        <x:v>0.01</x:v>
      </x:c>
      <x:c r="P1519" s="60" t="n">
        <x:v>9.16</x:v>
      </x:c>
      <x:c r="Q1519" s="60" t="n">
        <x:v>56.7</x:v>
      </x:c>
      <x:c r="R1519" s="58" t="str">
        <x:v>X</x:v>
      </x:c>
      <x:c r="S1519" s="60" t="n">
        <x:v>100</x:v>
      </x:c>
      <x:c r="T1519" s="58" t="str">
        <x:v>VALID</x:v>
      </x:c>
      <x:c r="U1519" s="58" t="n">
        <x:v>1817</x:v>
      </x:c>
      <x:c r="V1519" s="58" t="str">
        <x:v>Pasted text(59).txt</x:v>
      </x:c>
    </x:row>
    <x:row r="1520">
      <x:c r="A1520" s="58" t="str">
        <x:v>S15</x:v>
      </x:c>
      <x:c r="B1520" s="58" t="str">
        <x:v>0.60 validation at 268.9 Hz</x:v>
      </x:c>
      <x:c r="C1520" s="58" t="n">
        <x:v>0.6</x:v>
      </x:c>
      <x:c r="D1520" s="58" t="n">
        <x:v>5</x:v>
      </x:c>
      <x:c r="E1520" s="58" t="n">
        <x:v>1</x:v>
      </x:c>
      <x:c r="F1520" s="58" t="str">
        <x:v>SEARCH</x:v>
      </x:c>
      <x:c r="G1520" s="58" t="n">
        <x:v>5</x:v>
      </x:c>
      <x:c r="H1520" s="59" t="n">
        <x:v>5.5</x:v>
      </x:c>
      <x:c r="I1520" s="59" t="n">
        <x:v>0.4314</x:v>
      </x:c>
      <x:c r="J1520" s="59" t="n">
        <x:v>0.43895</x:v>
      </x:c>
      <x:c r="K1520" s="59" t="n">
        <x:v>0.22883</x:v>
      </x:c>
      <x:c r="L1520" s="59" t="n">
        <x:v>0.1286</x:v>
      </x:c>
      <x:c r="M1520" s="59" t="n">
        <x:v>0.51198</x:v>
      </x:c>
      <x:c r="N1520" s="60" t="n">
        <x:v>-28.1</x:v>
      </x:c>
      <x:c r="O1520" s="60" t="n">
        <x:v>0.85</x:v>
      </x:c>
      <x:c r="P1520" s="60" t="n">
        <x:v>3.48</x:v>
      </x:c>
      <x:c r="Q1520" s="60" t="n">
        <x:v>66.3</x:v>
      </x:c>
      <x:c r="R1520" s="58" t="str">
        <x:v>X</x:v>
      </x:c>
      <x:c r="S1520" s="60" t="n">
        <x:v>100</x:v>
      </x:c>
      <x:c r="T1520" s="58" t="str">
        <x:v>VALID</x:v>
      </x:c>
      <x:c r="U1520" s="58" t="n">
        <x:v>1818</x:v>
      </x:c>
      <x:c r="V1520" s="58" t="str">
        <x:v>Pasted text(59).txt</x:v>
      </x:c>
    </x:row>
    <x:row r="1521">
      <x:c r="A1521" s="58" t="str">
        <x:v>S15</x:v>
      </x:c>
      <x:c r="B1521" s="58" t="str">
        <x:v>0.60 validation at 268.9 Hz</x:v>
      </x:c>
      <x:c r="C1521" s="58" t="n">
        <x:v>0.6</x:v>
      </x:c>
      <x:c r="D1521" s="58" t="n">
        <x:v>5</x:v>
      </x:c>
      <x:c r="E1521" s="58" t="n">
        <x:v>1</x:v>
      </x:c>
      <x:c r="F1521" s="58" t="str">
        <x:v>SEARCH</x:v>
      </x:c>
      <x:c r="G1521" s="58" t="n">
        <x:v>6</x:v>
      </x:c>
      <x:c r="H1521" s="59" t="n">
        <x:v>6</x:v>
      </x:c>
      <x:c r="I1521" s="59" t="n">
        <x:v>0.51542</x:v>
      </x:c>
      <x:c r="J1521" s="59" t="n">
        <x:v>0.51926</x:v>
      </x:c>
      <x:c r="K1521" s="59" t="n">
        <x:v>0.25358</x:v>
      </x:c>
      <x:c r="L1521" s="59" t="n">
        <x:v>0.14592</x:v>
      </x:c>
      <x:c r="M1521" s="59" t="n">
        <x:v>0.59627</x:v>
      </x:c>
      <x:c r="N1521" s="60" t="n">
        <x:v>-14.1</x:v>
      </x:c>
      <x:c r="O1521" s="60" t="n">
        <x:v>1.9</x:v>
      </x:c>
      <x:c r="P1521" s="60" t="n">
        <x:v>2.47</x:v>
      </x:c>
      <x:c r="Q1521" s="60" t="n">
        <x:v>65</x:v>
      </x:c>
      <x:c r="R1521" s="58" t="str">
        <x:v>X</x:v>
      </x:c>
      <x:c r="S1521" s="60" t="n">
        <x:v>100</x:v>
      </x:c>
      <x:c r="T1521" s="58" t="str">
        <x:v>VALID</x:v>
      </x:c>
      <x:c r="U1521" s="58" t="n">
        <x:v>1819</x:v>
      </x:c>
      <x:c r="V1521" s="58" t="str">
        <x:v>Pasted text(59).txt</x:v>
      </x:c>
    </x:row>
    <x:row r="1522">
      <x:c r="A1522" s="58" t="str">
        <x:v>S15</x:v>
      </x:c>
      <x:c r="B1522" s="58" t="str">
        <x:v>0.60 validation at 268.9 Hz</x:v>
      </x:c>
      <x:c r="C1522" s="58" t="n">
        <x:v>0.6</x:v>
      </x:c>
      <x:c r="D1522" s="58" t="n">
        <x:v>5</x:v>
      </x:c>
      <x:c r="E1522" s="58" t="n">
        <x:v>1</x:v>
      </x:c>
      <x:c r="F1522" s="58" t="str">
        <x:v>SEARCH</x:v>
      </x:c>
      <x:c r="G1522" s="58" t="n">
        <x:v>7</x:v>
      </x:c>
      <x:c r="H1522" s="59" t="n">
        <x:v>6.25</x:v>
      </x:c>
      <x:c r="I1522" s="59" t="n">
        <x:v>0.52518</x:v>
      </x:c>
      <x:c r="J1522" s="59" t="n">
        <x:v>0.52465</x:v>
      </x:c>
      <x:c r="K1522" s="59" t="n">
        <x:v>0.26617</x:v>
      </x:c>
      <x:c r="L1522" s="59" t="n">
        <x:v>0.13932</x:v>
      </x:c>
      <x:c r="M1522" s="59" t="n">
        <x:v>0.60484</x:v>
      </x:c>
      <x:c r="N1522" s="60" t="n">
        <x:v>-12.47</x:v>
      </x:c>
      <x:c r="O1522" s="60" t="n">
        <x:v>9.53</x:v>
      </x:c>
      <x:c r="P1522" s="60" t="n">
        <x:v>6.59</x:v>
      </x:c>
      <x:c r="Q1522" s="60" t="n">
        <x:v>68.8</x:v>
      </x:c>
      <x:c r="R1522" s="58" t="str">
        <x:v>X</x:v>
      </x:c>
      <x:c r="S1522" s="60" t="n">
        <x:v>100</x:v>
      </x:c>
      <x:c r="T1522" s="58" t="str">
        <x:v>VALID</x:v>
      </x:c>
      <x:c r="U1522" s="58" t="n">
        <x:v>1820</x:v>
      </x:c>
      <x:c r="V1522" s="58" t="str">
        <x:v>Pasted text(59).txt</x:v>
      </x:c>
    </x:row>
    <x:row r="1523">
      <x:c r="A1523" s="58" t="str">
        <x:v>S15</x:v>
      </x:c>
      <x:c r="B1523" s="58" t="str">
        <x:v>0.60 validation at 268.9 Hz</x:v>
      </x:c>
      <x:c r="C1523" s="58" t="n">
        <x:v>0.6</x:v>
      </x:c>
      <x:c r="D1523" s="58" t="n">
        <x:v>5</x:v>
      </x:c>
      <x:c r="E1523" s="58" t="n">
        <x:v>1</x:v>
      </x:c>
      <x:c r="F1523" s="58" t="str">
        <x:v>SEARCH</x:v>
      </x:c>
      <x:c r="G1523" s="58" t="n">
        <x:v>8</x:v>
      </x:c>
      <x:c r="H1523" s="59" t="n">
        <x:v>6.5</x:v>
      </x:c>
      <x:c r="I1523" s="59" t="n">
        <x:v>0.55114</x:v>
      </x:c>
      <x:c r="J1523" s="59" t="n">
        <x:v>0.54883</x:v>
      </x:c>
      <x:c r="K1523" s="59" t="n">
        <x:v>0.29656</x:v>
      </x:c>
      <x:c r="L1523" s="59" t="n">
        <x:v>0.13632</x:v>
      </x:c>
      <x:c r="M1523" s="59" t="n">
        <x:v>0.63884</x:v>
      </x:c>
      <x:c r="N1523" s="60" t="n">
        <x:v>-8.14</x:v>
      </x:c>
      <x:c r="O1523" s="60" t="n">
        <x:v>6.22</x:v>
      </x:c>
      <x:c r="P1523" s="60" t="n">
        <x:v>4.86</x:v>
      </x:c>
      <x:c r="Q1523" s="60" t="n">
        <x:v>72.6</x:v>
      </x:c>
      <x:c r="R1523" s="58" t="str">
        <x:v>X</x:v>
      </x:c>
      <x:c r="S1523" s="60" t="n">
        <x:v>100</x:v>
      </x:c>
      <x:c r="T1523" s="58" t="str">
        <x:v>VALID</x:v>
      </x:c>
      <x:c r="U1523" s="58" t="n">
        <x:v>1821</x:v>
      </x:c>
      <x:c r="V1523" s="58" t="str">
        <x:v>Pasted text(59).txt</x:v>
      </x:c>
    </x:row>
    <x:row r="1524">
      <x:c r="A1524" s="58" t="str">
        <x:v>S15</x:v>
      </x:c>
      <x:c r="B1524" s="58" t="str">
        <x:v>0.60 validation at 268.9 Hz</x:v>
      </x:c>
      <x:c r="C1524" s="58" t="n">
        <x:v>0.6</x:v>
      </x:c>
      <x:c r="D1524" s="58" t="n">
        <x:v>5</x:v>
      </x:c>
      <x:c r="E1524" s="58" t="n">
        <x:v>1</x:v>
      </x:c>
      <x:c r="F1524" s="58" t="str">
        <x:v>SEARCH</x:v>
      </x:c>
      <x:c r="G1524" s="58" t="n">
        <x:v>9</x:v>
      </x:c>
      <x:c r="H1524" s="59" t="n">
        <x:v>6.75</x:v>
      </x:c>
      <x:c r="I1524" s="59" t="n">
        <x:v>0.59802</x:v>
      </x:c>
      <x:c r="J1524" s="59" t="n">
        <x:v>0.59856</x:v>
      </x:c>
      <x:c r="K1524" s="59" t="n">
        <x:v>0.30819</x:v>
      </x:c>
      <x:c r="L1524" s="59" t="n">
        <x:v>0.15279</x:v>
      </x:c>
      <x:c r="M1524" s="59" t="n">
        <x:v>0.69086</x:v>
      </x:c>
      <x:c r="N1524" s="60" t="n">
        <x:v>-0.33</x:v>
      </x:c>
      <x:c r="O1524" s="60" t="n">
        <x:v>0.01</x:v>
      </x:c>
      <x:c r="P1524" s="60" t="n">
        <x:v>0.16</x:v>
      </x:c>
      <x:c r="Q1524" s="60" t="n">
        <x:v>67</x:v>
      </x:c>
      <x:c r="R1524" s="58" t="str">
        <x:v>X</x:v>
      </x:c>
      <x:c r="S1524" s="60" t="n">
        <x:v>100</x:v>
      </x:c>
      <x:c r="T1524" s="58" t="str">
        <x:v>IN TARGET BAND</x:v>
      </x:c>
      <x:c r="U1524" s="58" t="n">
        <x:v>1822</x:v>
      </x:c>
      <x:c r="V1524" s="58" t="str">
        <x:v>Pasted text(59).txt</x:v>
      </x:c>
    </x:row>
    <x:row r="1525">
      <x:c r="A1525" s="58" t="str">
        <x:v>S15</x:v>
      </x:c>
      <x:c r="B1525" s="58" t="str">
        <x:v>0.60 validation at 268.9 Hz</x:v>
      </x:c>
      <x:c r="C1525" s="58" t="n">
        <x:v>0.6</x:v>
      </x:c>
      <x:c r="D1525" s="58" t="n">
        <x:v>5</x:v>
      </x:c>
      <x:c r="E1525" s="58" t="n">
        <x:v>1</x:v>
      </x:c>
      <x:c r="F1525" s="58" t="str">
        <x:v>FINE</x:v>
      </x:c>
      <x:c r="G1525" s="58" t="n">
        <x:v>1</x:v>
      </x:c>
      <x:c r="H1525" s="59" t="n">
        <x:v>5.75</x:v>
      </x:c>
      <x:c r="I1525" s="59" t="n">
        <x:v>0.48934</x:v>
      </x:c>
      <x:c r="J1525" s="59" t="n">
        <x:v>0.48063</x:v>
      </x:c>
      <x:c r="K1525" s="59" t="n">
        <x:v>0.2504</x:v>
      </x:c>
      <x:c r="L1525" s="59" t="n">
        <x:v>0.13382</x:v>
      </x:c>
      <x:c r="M1525" s="59" t="n">
        <x:v>0.55953</x:v>
      </x:c>
      <x:c r="N1525" s="60" t="n">
        <x:v>-18.44</x:v>
      </x:c>
      <x:c r="O1525" s="60" t="n">
        <x:v>2.79</x:v>
      </x:c>
      <x:c r="P1525" s="60" t="n">
        <x:v>4.89</x:v>
      </x:c>
      <x:c r="Q1525" s="60" t="n">
        <x:v>60.4</x:v>
      </x:c>
      <x:c r="R1525" s="58" t="str">
        <x:v>X</x:v>
      </x:c>
      <x:c r="S1525" s="60" t="n">
        <x:v>100</x:v>
      </x:c>
      <x:c r="T1525" s="58" t="str">
        <x:v>VALID</x:v>
      </x:c>
      <x:c r="U1525" s="58" t="n">
        <x:v>1826</x:v>
      </x:c>
      <x:c r="V1525" s="58" t="str">
        <x:v>Pasted text(59).txt</x:v>
      </x:c>
    </x:row>
    <x:row r="1526">
      <x:c r="A1526" s="58" t="str">
        <x:v>S15</x:v>
      </x:c>
      <x:c r="B1526" s="58" t="str">
        <x:v>0.60 validation at 268.9 Hz</x:v>
      </x:c>
      <x:c r="C1526" s="58" t="n">
        <x:v>0.6</x:v>
      </x:c>
      <x:c r="D1526" s="58" t="n">
        <x:v>5</x:v>
      </x:c>
      <x:c r="E1526" s="58" t="n">
        <x:v>1</x:v>
      </x:c>
      <x:c r="F1526" s="58" t="str">
        <x:v>FINE</x:v>
      </x:c>
      <x:c r="G1526" s="58" t="n">
        <x:v>2</x:v>
      </x:c>
      <x:c r="H1526" s="59" t="n">
        <x:v>6</x:v>
      </x:c>
      <x:c r="I1526" s="59" t="n">
        <x:v>0.50548</x:v>
      </x:c>
      <x:c r="J1526" s="59" t="n">
        <x:v>0.50896</x:v>
      </x:c>
      <x:c r="K1526" s="59" t="n">
        <x:v>0.26097</x:v>
      </x:c>
      <x:c r="L1526" s="59" t="n">
        <x:v>0.14141</x:v>
      </x:c>
      <x:c r="M1526" s="59" t="n">
        <x:v>0.58952</x:v>
      </x:c>
      <x:c r="N1526" s="60" t="n">
        <x:v>-15.75</x:v>
      </x:c>
      <x:c r="O1526" s="60" t="n">
        <x:v>1.06</x:v>
      </x:c>
      <x:c r="P1526" s="60" t="n">
        <x:v>1.83</x:v>
      </x:c>
      <x:c r="Q1526" s="60" t="n">
        <x:v>64.5</x:v>
      </x:c>
      <x:c r="R1526" s="58" t="str">
        <x:v>X</x:v>
      </x:c>
      <x:c r="S1526" s="60" t="n">
        <x:v>100</x:v>
      </x:c>
      <x:c r="T1526" s="58" t="str">
        <x:v>VALID</x:v>
      </x:c>
      <x:c r="U1526" s="58" t="n">
        <x:v>1827</x:v>
      </x:c>
      <x:c r="V1526" s="58" t="str">
        <x:v>Pasted text(59).txt</x:v>
      </x:c>
    </x:row>
    <x:row r="1527">
      <x:c r="A1527" s="58" t="str">
        <x:v>S15</x:v>
      </x:c>
      <x:c r="B1527" s="58" t="str">
        <x:v>0.60 validation at 268.9 Hz</x:v>
      </x:c>
      <x:c r="C1527" s="58" t="n">
        <x:v>0.6</x:v>
      </x:c>
      <x:c r="D1527" s="58" t="n">
        <x:v>5</x:v>
      </x:c>
      <x:c r="E1527" s="58" t="n">
        <x:v>1</x:v>
      </x:c>
      <x:c r="F1527" s="58" t="str">
        <x:v>FINE</x:v>
      </x:c>
      <x:c r="G1527" s="58" t="n">
        <x:v>3</x:v>
      </x:c>
      <x:c r="H1527" s="59" t="n">
        <x:v>6.25</x:v>
      </x:c>
      <x:c r="I1527" s="59" t="n">
        <x:v>0.51981</x:v>
      </x:c>
      <x:c r="J1527" s="59" t="n">
        <x:v>0.52151</x:v>
      </x:c>
      <x:c r="K1527" s="59" t="n">
        <x:v>0.25886</x:v>
      </x:c>
      <x:c r="L1527" s="59" t="n">
        <x:v>0.14065</x:v>
      </x:c>
      <x:c r="M1527" s="59" t="n">
        <x:v>0.59912</x:v>
      </x:c>
      <x:c r="N1527" s="60" t="n">
        <x:v>-13.36</x:v>
      </x:c>
      <x:c r="O1527" s="60" t="n">
        <x:v>0.32</x:v>
      </x:c>
      <x:c r="P1527" s="60" t="n">
        <x:v>0.76</x:v>
      </x:c>
      <x:c r="Q1527" s="60" t="n">
        <x:v>67.8</x:v>
      </x:c>
      <x:c r="R1527" s="58" t="str">
        <x:v>X</x:v>
      </x:c>
      <x:c r="S1527" s="60" t="n">
        <x:v>100</x:v>
      </x:c>
      <x:c r="T1527" s="58" t="str">
        <x:v>VALID</x:v>
      </x:c>
      <x:c r="U1527" s="58" t="n">
        <x:v>1828</x:v>
      </x:c>
      <x:c r="V1527" s="58" t="str">
        <x:v>Pasted text(59).txt</x:v>
      </x:c>
    </x:row>
    <x:row r="1528">
      <x:c r="A1528" s="58" t="str">
        <x:v>S15</x:v>
      </x:c>
      <x:c r="B1528" s="58" t="str">
        <x:v>0.60 validation at 268.9 Hz</x:v>
      </x:c>
      <x:c r="C1528" s="58" t="n">
        <x:v>0.6</x:v>
      </x:c>
      <x:c r="D1528" s="58" t="n">
        <x:v>5</x:v>
      </x:c>
      <x:c r="E1528" s="58" t="n">
        <x:v>1</x:v>
      </x:c>
      <x:c r="F1528" s="58" t="str">
        <x:v>FINE</x:v>
      </x:c>
      <x:c r="G1528" s="58" t="n">
        <x:v>4</x:v>
      </x:c>
      <x:c r="H1528" s="59" t="n">
        <x:v>6.5</x:v>
      </x:c>
      <x:c r="I1528" s="59" t="n">
        <x:v>0.54896</x:v>
      </x:c>
      <x:c r="J1528" s="59" t="n">
        <x:v>0.5473</x:v>
      </x:c>
      <x:c r="K1528" s="59" t="n">
        <x:v>0.28109</x:v>
      </x:c>
      <x:c r="L1528" s="59" t="n">
        <x:v>0.12988</x:v>
      </x:c>
      <x:c r="M1528" s="59" t="n">
        <x:v>0.6291</x:v>
      </x:c>
      <x:c r="N1528" s="60" t="n">
        <x:v>-8.51</x:v>
      </x:c>
      <x:c r="O1528" s="60" t="n">
        <x:v>0.98</x:v>
      </x:c>
      <x:c r="P1528" s="60" t="n">
        <x:v>1.15</x:v>
      </x:c>
      <x:c r="Q1528" s="60" t="n">
        <x:v>72.7</x:v>
      </x:c>
      <x:c r="R1528" s="58" t="str">
        <x:v>X</x:v>
      </x:c>
      <x:c r="S1528" s="60" t="n">
        <x:v>100</x:v>
      </x:c>
      <x:c r="T1528" s="58" t="str">
        <x:v>VALID</x:v>
      </x:c>
      <x:c r="U1528" s="58" t="n">
        <x:v>1829</x:v>
      </x:c>
      <x:c r="V1528" s="58" t="str">
        <x:v>Pasted text(59).txt</x:v>
      </x:c>
    </x:row>
    <x:row r="1529">
      <x:c r="A1529" s="58" t="str">
        <x:v>S15</x:v>
      </x:c>
      <x:c r="B1529" s="58" t="str">
        <x:v>0.60 validation at 268.9 Hz</x:v>
      </x:c>
      <x:c r="C1529" s="58" t="n">
        <x:v>0.6</x:v>
      </x:c>
      <x:c r="D1529" s="58" t="n">
        <x:v>5</x:v>
      </x:c>
      <x:c r="E1529" s="58" t="n">
        <x:v>1</x:v>
      </x:c>
      <x:c r="F1529" s="58" t="str">
        <x:v>FINE</x:v>
      </x:c>
      <x:c r="G1529" s="58" t="n">
        <x:v>5</x:v>
      </x:c>
      <x:c r="H1529" s="59" t="n">
        <x:v>6.75</x:v>
      </x:c>
      <x:c r="I1529" s="59" t="n">
        <x:v>0.60015</x:v>
      </x:c>
      <x:c r="J1529" s="59" t="n">
        <x:v>0.5986</x:v>
      </x:c>
      <x:c r="K1529" s="59" t="n">
        <x:v>0.30791</x:v>
      </x:c>
      <x:c r="L1529" s="59" t="n">
        <x:v>0.16586</x:v>
      </x:c>
      <x:c r="M1529" s="59" t="n">
        <x:v>0.69342</x:v>
      </x:c>
      <x:c r="N1529" s="60" t="n">
        <x:v>0.03</x:v>
      </x:c>
      <x:c r="O1529" s="60" t="n">
        <x:v>5.43</x:v>
      </x:c>
      <x:c r="P1529" s="60" t="n">
        <x:v>4.07</x:v>
      </x:c>
      <x:c r="Q1529" s="60" t="n">
        <x:v>68.4</x:v>
      </x:c>
      <x:c r="R1529" s="58" t="str">
        <x:v>X</x:v>
      </x:c>
      <x:c r="S1529" s="60" t="n">
        <x:v>100</x:v>
      </x:c>
      <x:c r="T1529" s="58" t="str">
        <x:v>IN TARGET BAND</x:v>
      </x:c>
      <x:c r="U1529" s="58" t="n">
        <x:v>1830</x:v>
      </x:c>
      <x:c r="V1529" s="58" t="str">
        <x:v>Pasted text(59).txt</x:v>
      </x:c>
    </x:row>
    <x:row r="1530">
      <x:c r="A1530" s="58" t="str">
        <x:v>S15</x:v>
      </x:c>
      <x:c r="B1530" s="58" t="str">
        <x:v>0.60 validation at 268.9 Hz</x:v>
      </x:c>
      <x:c r="C1530" s="58" t="n">
        <x:v>0.6</x:v>
      </x:c>
      <x:c r="D1530" s="58" t="n">
        <x:v>5</x:v>
      </x:c>
      <x:c r="E1530" s="58" t="n">
        <x:v>1</x:v>
      </x:c>
      <x:c r="F1530" s="58" t="str">
        <x:v>FINE</x:v>
      </x:c>
      <x:c r="G1530" s="58" t="n">
        <x:v>6</x:v>
      </x:c>
      <x:c r="H1530" s="59" t="n">
        <x:v>7</x:v>
      </x:c>
      <x:c r="I1530" s="59" t="n">
        <x:v>0.60923</x:v>
      </x:c>
      <x:c r="J1530" s="59" t="n">
        <x:v>0.62045</x:v>
      </x:c>
      <x:c r="K1530" s="59" t="n">
        <x:v>0.32842</x:v>
      </x:c>
      <x:c r="L1530" s="59" t="n">
        <x:v>0.15515</x:v>
      </x:c>
      <x:c r="M1530" s="59" t="n">
        <x:v>0.7193</x:v>
      </x:c>
      <x:c r="N1530" s="60" t="n">
        <x:v>1.54</x:v>
      </x:c>
      <x:c r="O1530" s="60" t="n">
        <x:v>2.14</x:v>
      </x:c>
      <x:c r="P1530" s="60" t="n">
        <x:v>4.42</x:v>
      </x:c>
      <x:c r="Q1530" s="60" t="n">
        <x:v>74</x:v>
      </x:c>
      <x:c r="R1530" s="58" t="str">
        <x:v>X</x:v>
      </x:c>
      <x:c r="S1530" s="60" t="n">
        <x:v>100</x:v>
      </x:c>
      <x:c r="T1530" s="58" t="str">
        <x:v>IN TARGET BAND</x:v>
      </x:c>
      <x:c r="U1530" s="58" t="n">
        <x:v>1831</x:v>
      </x:c>
      <x:c r="V1530" s="58" t="str">
        <x:v>Pasted text(59).txt</x:v>
      </x:c>
    </x:row>
    <x:row r="1531">
      <x:c r="A1531" s="58" t="str">
        <x:v>S15</x:v>
      </x:c>
      <x:c r="B1531" s="58" t="str">
        <x:v>0.60 validation at 268.9 Hz</x:v>
      </x:c>
      <x:c r="C1531" s="58" t="n">
        <x:v>0.6</x:v>
      </x:c>
      <x:c r="D1531" s="58" t="n">
        <x:v>5</x:v>
      </x:c>
      <x:c r="E1531" s="58" t="n">
        <x:v>1</x:v>
      </x:c>
      <x:c r="F1531" s="58" t="str">
        <x:v>FINE</x:v>
      </x:c>
      <x:c r="G1531" s="58" t="n">
        <x:v>7</x:v>
      </x:c>
      <x:c r="H1531" s="59" t="n">
        <x:v>7.25</x:v>
      </x:c>
      <x:c r="I1531" s="59" t="n">
        <x:v>0.61608</x:v>
      </x:c>
      <x:c r="J1531" s="59" t="n">
        <x:v>0.61419</x:v>
      </x:c>
      <x:c r="K1531" s="59" t="n">
        <x:v>0.31947</x:v>
      </x:c>
      <x:c r="L1531" s="59" t="n">
        <x:v>0.29498</x:v>
      </x:c>
      <x:c r="M1531" s="59" t="n">
        <x:v>0.77629</x:v>
      </x:c>
      <x:c r="N1531" s="60" t="n">
        <x:v>2.68</x:v>
      </x:c>
      <x:c r="O1531" s="60" t="n">
        <x:v>8.32</x:v>
      </x:c>
      <x:c r="P1531" s="60" t="n">
        <x:v>6.1</x:v>
      </x:c>
      <x:c r="Q1531" s="60" t="n">
        <x:v>70.9</x:v>
      </x:c>
      <x:c r="R1531" s="58" t="str">
        <x:v>X</x:v>
      </x:c>
      <x:c r="S1531" s="60" t="n">
        <x:v>100</x:v>
      </x:c>
      <x:c r="T1531" s="58" t="str">
        <x:v>IN TARGET BAND</x:v>
      </x:c>
      <x:c r="U1531" s="58" t="n">
        <x:v>1832</x:v>
      </x:c>
      <x:c r="V1531" s="58" t="str">
        <x:v>Pasted text(59).txt</x:v>
      </x:c>
    </x:row>
    <x:row r="1532">
      <x:c r="A1532" s="58" t="str">
        <x:v>S15</x:v>
      </x:c>
      <x:c r="B1532" s="58" t="str">
        <x:v>0.60 validation at 268.9 Hz</x:v>
      </x:c>
      <x:c r="C1532" s="58" t="n">
        <x:v>0.6</x:v>
      </x:c>
      <x:c r="D1532" s="58" t="n">
        <x:v>5</x:v>
      </x:c>
      <x:c r="E1532" s="58" t="n">
        <x:v>1</x:v>
      </x:c>
      <x:c r="F1532" s="58" t="str">
        <x:v>FINE</x:v>
      </x:c>
      <x:c r="G1532" s="58" t="n">
        <x:v>8</x:v>
      </x:c>
      <x:c r="H1532" s="59" t="n">
        <x:v>7.5</x:v>
      </x:c>
      <x:c r="I1532" s="59" t="n">
        <x:v>0.65692</x:v>
      </x:c>
      <x:c r="J1532" s="59" t="n">
        <x:v>0.65567</x:v>
      </x:c>
      <x:c r="K1532" s="59" t="n">
        <x:v>0.35216</x:v>
      </x:c>
      <x:c r="L1532" s="59" t="n">
        <x:v>0.16349</x:v>
      </x:c>
      <x:c r="M1532" s="59" t="n">
        <x:v>0.763</x:v>
      </x:c>
      <x:c r="N1532" s="60" t="n">
        <x:v>9.49</x:v>
      </x:c>
      <x:c r="O1532" s="60" t="n">
        <x:v>0.54</x:v>
      </x:c>
      <x:c r="P1532" s="60" t="n">
        <x:v>0.67</x:v>
      </x:c>
      <x:c r="Q1532" s="60" t="n">
        <x:v>80.3</x:v>
      </x:c>
      <x:c r="R1532" s="58" t="str">
        <x:v>X</x:v>
      </x:c>
      <x:c r="S1532" s="60" t="n">
        <x:v>100</x:v>
      </x:c>
      <x:c r="T1532" s="58" t="str">
        <x:v>VALID</x:v>
      </x:c>
      <x:c r="U1532" s="58" t="n">
        <x:v>1833</x:v>
      </x:c>
      <x:c r="V1532" s="58" t="str">
        <x:v>Pasted text(59).txt</x:v>
      </x:c>
    </x:row>
    <x:row r="1533">
      <x:c r="A1533" s="58" t="str">
        <x:v>S15</x:v>
      </x:c>
      <x:c r="B1533" s="58" t="str">
        <x:v>0.60 validation at 268.9 Hz</x:v>
      </x:c>
      <x:c r="C1533" s="58" t="n">
        <x:v>0.6</x:v>
      </x:c>
      <x:c r="D1533" s="58" t="n">
        <x:v>5</x:v>
      </x:c>
      <x:c r="E1533" s="58" t="n">
        <x:v>1</x:v>
      </x:c>
      <x:c r="F1533" s="58" t="str">
        <x:v>FINE</x:v>
      </x:c>
      <x:c r="G1533" s="58" t="n">
        <x:v>9</x:v>
      </x:c>
      <x:c r="H1533" s="59" t="n">
        <x:v>7.75</x:v>
      </x:c>
      <x:c r="I1533" s="59" t="n">
        <x:v>0.68257</x:v>
      </x:c>
      <x:c r="J1533" s="59" t="n">
        <x:v>0.68539</x:v>
      </x:c>
      <x:c r="K1533" s="59" t="n">
        <x:v>0.36553</x:v>
      </x:c>
      <x:c r="L1533" s="59" t="n">
        <x:v>0.16844</x:v>
      </x:c>
      <x:c r="M1533" s="59" t="n">
        <x:v>0.79496</x:v>
      </x:c>
      <x:c r="N1533" s="60" t="n">
        <x:v>13.76</x:v>
      </x:c>
      <x:c r="O1533" s="60" t="n">
        <x:v>2.54</x:v>
      </x:c>
      <x:c r="P1533" s="60" t="n">
        <x:v>2.35</x:v>
      </x:c>
      <x:c r="Q1533" s="60" t="n">
        <x:v>73.7</x:v>
      </x:c>
      <x:c r="R1533" s="58" t="str">
        <x:v>X</x:v>
      </x:c>
      <x:c r="S1533" s="60" t="n">
        <x:v>100</x:v>
      </x:c>
      <x:c r="T1533" s="58" t="str">
        <x:v>VALID</x:v>
      </x:c>
      <x:c r="U1533" s="58" t="n">
        <x:v>1834</x:v>
      </x:c>
      <x:c r="V1533" s="58" t="str">
        <x:v>Pasted text(59).txt</x:v>
      </x:c>
    </x:row>
    <x:row r="1534">
      <x:c r="A1534" s="58" t="str">
        <x:v>S15</x:v>
      </x:c>
      <x:c r="B1534" s="58" t="str">
        <x:v>0.60 validation at 268.9 Hz</x:v>
      </x:c>
      <x:c r="C1534" s="58" t="n">
        <x:v>0.6</x:v>
      </x:c>
      <x:c r="D1534" s="58" t="n">
        <x:v>5</x:v>
      </x:c>
      <x:c r="E1534" s="58" t="n">
        <x:v>1</x:v>
      </x:c>
      <x:c r="F1534" s="58" t="str">
        <x:v>FINAL</x:v>
      </x:c>
      <x:c r="G1534" s="58" t="n">
        <x:v>1</x:v>
      </x:c>
      <x:c r="H1534" s="59" t="n">
        <x:v>7</x:v>
      </x:c>
      <x:c r="I1534" s="59" t="n">
        <x:v>0.62245</x:v>
      </x:c>
      <x:c r="J1534" s="59" t="n">
        <x:v>0.61616</x:v>
      </x:c>
      <x:c r="K1534" s="59" t="n">
        <x:v>0.32249</x:v>
      </x:c>
      <x:c r="L1534" s="59" t="n">
        <x:v>0.15469</x:v>
      </x:c>
      <x:c r="M1534" s="59" t="n">
        <x:v>0.7126</x:v>
      </x:c>
      <x:c r="N1534" s="60" t="n">
        <x:v>3.74</x:v>
      </x:c>
      <x:c r="O1534" s="60" t="n">
        <x:v>2.96</x:v>
      </x:c>
      <x:c r="P1534" s="60" t="n">
        <x:v>2.69</x:v>
      </x:c>
      <x:c r="Q1534" s="60" t="n">
        <x:v>72.5</x:v>
      </x:c>
      <x:c r="R1534" s="58" t="str">
        <x:v>X</x:v>
      </x:c>
      <x:c r="S1534" s="60" t="n">
        <x:v>100</x:v>
      </x:c>
      <x:c r="T1534" s="58" t="str">
        <x:v>IN TARGET BAND</x:v>
      </x:c>
      <x:c r="U1534" s="58" t="n">
        <x:v>1837</x:v>
      </x:c>
      <x:c r="V1534" s="58" t="str">
        <x:v>Pasted text(59).txt</x:v>
      </x:c>
    </x:row>
    <x:row r="1535">
      <x:c r="A1535" s="58" t="str">
        <x:v>S15</x:v>
      </x:c>
      <x:c r="B1535" s="58" t="str">
        <x:v>0.60 validation at 268.9 Hz</x:v>
      </x:c>
      <x:c r="C1535" s="58" t="n">
        <x:v>0.6</x:v>
      </x:c>
      <x:c r="D1535" s="58" t="n">
        <x:v>5</x:v>
      </x:c>
      <x:c r="E1535" s="58" t="n">
        <x:v>1</x:v>
      </x:c>
      <x:c r="F1535" s="58" t="str">
        <x:v>FINAL</x:v>
      </x:c>
      <x:c r="G1535" s="58" t="n">
        <x:v>2</x:v>
      </x:c>
      <x:c r="H1535" s="59" t="n">
        <x:v>7</x:v>
      </x:c>
      <x:c r="I1535" s="59" t="n">
        <x:v>0.63039</x:v>
      </x:c>
      <x:c r="J1535" s="59" t="n">
        <x:v>0.61996</x:v>
      </x:c>
      <x:c r="K1535" s="59" t="n">
        <x:v>0.32342</x:v>
      </x:c>
      <x:c r="L1535" s="59" t="n">
        <x:v>0.14614</x:v>
      </x:c>
      <x:c r="M1535" s="59" t="n">
        <x:v>0.71533</x:v>
      </x:c>
      <x:c r="N1535" s="60" t="n">
        <x:v>5.07</x:v>
      </x:c>
      <x:c r="O1535" s="60" t="n">
        <x:v>4.92</x:v>
      </x:c>
      <x:c r="P1535" s="60" t="n">
        <x:v>4.41</x:v>
      </x:c>
      <x:c r="Q1535" s="60" t="n">
        <x:v>72.9</x:v>
      </x:c>
      <x:c r="R1535" s="58" t="str">
        <x:v>X</x:v>
      </x:c>
      <x:c r="S1535" s="60" t="n">
        <x:v>100</x:v>
      </x:c>
      <x:c r="T1535" s="58" t="str">
        <x:v>IN TARGET BAND</x:v>
      </x:c>
      <x:c r="U1535" s="58" t="n">
        <x:v>1838</x:v>
      </x:c>
      <x:c r="V1535" s="58" t="str">
        <x:v>Pasted text(59).txt</x:v>
      </x:c>
    </x:row>
    <x:row r="1536">
      <x:c r="A1536" s="58" t="str">
        <x:v>S16</x:v>
      </x:c>
      <x:c r="B1536" s="58" t="str">
        <x:v>26 Hz interrupted test</x:v>
      </x:c>
      <x:c r="C1536" s="58" t="n">
        <x:v>0.79</x:v>
      </x:c>
      <x:c r="D1536" s="58" t="n">
        <x:v>1</x:v>
      </x:c>
      <x:c r="E1536" s="58" t="n">
        <x:v>1</x:v>
      </x:c>
      <x:c r="F1536" s="58" t="str">
        <x:v>SEARCH</x:v>
      </x:c>
      <x:c r="G1536" s="58" t="n">
        <x:v>1</x:v>
      </x:c>
      <x:c r="H1536" s="59" t="n">
        <x:v>1</x:v>
      </x:c>
      <x:c r="I1536" s="59" t="n">
        <x:v>0.05026</x:v>
      </x:c>
      <x:c r="J1536" s="59" t="n">
        <x:v>0.05153</x:v>
      </x:c>
      <x:c r="K1536" s="59" t="n">
        <x:v>0.03047</x:v>
      </x:c>
      <x:c r="L1536" s="59" t="n">
        <x:v>0.0401</x:v>
      </x:c>
      <x:c r="M1536" s="59" t="n">
        <x:v>0.07358</x:v>
      </x:c>
      <x:c r="N1536" s="60" t="n">
        <x:v>-93.64</x:v>
      </x:c>
      <x:c r="O1536" s="60" t="n">
        <x:v>36.02</x:v>
      </x:c>
      <x:c r="P1536" s="60" t="n">
        <x:v>27.47</x:v>
      </x:c>
      <x:c r="Q1536" s="60" t="n">
        <x:v>18.8</x:v>
      </x:c>
      <x:c r="R1536" s="58" t="str">
        <x:v>X</x:v>
      </x:c>
      <x:c r="S1536" s="60" t="n">
        <x:v>100</x:v>
      </x:c>
      <x:c r="T1536" s="58" t="str">
        <x:v>BELOW MEASUREMENT FLOOR — SEARCH CONTINUES</x:v>
      </x:c>
      <x:c r="U1536" s="58" t="n">
        <x:v>1933</x:v>
      </x:c>
      <x:c r="V1536" s="58" t="str">
        <x:v>Pasted text(59).txt</x:v>
      </x:c>
    </x:row>
    <x:row r="1537">
      <x:c r="A1537" s="58" t="str">
        <x:v>S16</x:v>
      </x:c>
      <x:c r="B1537" s="58" t="str">
        <x:v>26 Hz interrupted test</x:v>
      </x:c>
      <x:c r="C1537" s="58" t="n">
        <x:v>0.79</x:v>
      </x:c>
      <x:c r="D1537" s="58" t="n">
        <x:v>1</x:v>
      </x:c>
      <x:c r="E1537" s="58" t="n">
        <x:v>1</x:v>
      </x:c>
      <x:c r="F1537" s="58" t="str">
        <x:v>SEARCH</x:v>
      </x:c>
      <x:c r="G1537" s="58" t="n">
        <x:v>2</x:v>
      </x:c>
      <x:c r="H1537" s="59" t="n">
        <x:v>3</x:v>
      </x:c>
      <x:c r="I1537" s="59" t="n">
        <x:v>0.02969</x:v>
      </x:c>
      <x:c r="J1537" s="59" t="n">
        <x:v>0.0295</x:v>
      </x:c>
      <x:c r="K1537" s="59" t="n">
        <x:v>0.01467</x:v>
      </x:c>
      <x:c r="L1537" s="59" t="n">
        <x:v>0.01345</x:v>
      </x:c>
      <x:c r="M1537" s="59" t="n">
        <x:v>0.03622</x:v>
      </x:c>
      <x:c r="N1537" s="60" t="n">
        <x:v>-96.24</x:v>
      </x:c>
      <x:c r="O1537" s="60" t="n">
        <x:v>16.67</x:v>
      </x:c>
      <x:c r="P1537" s="60" t="n">
        <x:v>12.29</x:v>
      </x:c>
      <x:c r="Q1537" s="60" t="n">
        <x:v>8.6</x:v>
      </x:c>
      <x:c r="R1537" s="58" t="str">
        <x:v>X</x:v>
      </x:c>
      <x:c r="S1537" s="60" t="n">
        <x:v>100</x:v>
      </x:c>
      <x:c r="T1537" s="58" t="str">
        <x:v>BELOW MEASUREMENT FLOOR — SEARCH CONTINUES</x:v>
      </x:c>
      <x:c r="U1537" s="58" t="n">
        <x:v>1934</x:v>
      </x:c>
      <x:c r="V1537" s="58" t="str">
        <x:v>Pasted text(59).txt</x:v>
      </x:c>
    </x:row>
    <x:row r="1538">
      <x:c r="A1538" s="58" t="str">
        <x:v>S16</x:v>
      </x:c>
      <x:c r="B1538" s="58" t="str">
        <x:v>26 Hz interrupted test</x:v>
      </x:c>
      <x:c r="C1538" s="58" t="n">
        <x:v>0.79</x:v>
      </x:c>
      <x:c r="D1538" s="58" t="n">
        <x:v>1</x:v>
      </x:c>
      <x:c r="E1538" s="58" t="n">
        <x:v>1</x:v>
      </x:c>
      <x:c r="F1538" s="58" t="str">
        <x:v>SEARCH</x:v>
      </x:c>
      <x:c r="G1538" s="58" t="n">
        <x:v>3</x:v>
      </x:c>
      <x:c r="H1538" s="59" t="n">
        <x:v>5</x:v>
      </x:c>
      <x:c r="I1538" s="59" t="n">
        <x:v>0.03898</x:v>
      </x:c>
      <x:c r="J1538" s="59" t="n">
        <x:v>0.04117</x:v>
      </x:c>
      <x:c r="K1538" s="59" t="n">
        <x:v>0.05619</x:v>
      </x:c>
      <x:c r="L1538" s="59" t="n">
        <x:v>0.03149</x:v>
      </x:c>
      <x:c r="M1538" s="59" t="n">
        <x:v>0.07695</x:v>
      </x:c>
      <x:c r="N1538" s="60" t="n">
        <x:v>-95.07</x:v>
      </x:c>
      <x:c r="O1538" s="60" t="n">
        <x:v>16.67</x:v>
      </x:c>
      <x:c r="P1538" s="60" t="n">
        <x:v>7.53</x:v>
      </x:c>
      <x:c r="Q1538" s="60" t="n">
        <x:v>10</x:v>
      </x:c>
      <x:c r="R1538" s="58" t="str">
        <x:v>Y</x:v>
      </x:c>
      <x:c r="S1538" s="60" t="n">
        <x:v>73.3</x:v>
      </x:c>
      <x:c r="T1538" s="58" t="str">
        <x:v>BELOW MEASUREMENT FLOOR — SEARCH CONTINUES</x:v>
      </x:c>
      <x:c r="U1538" s="58" t="n">
        <x:v>1935</x:v>
      </x:c>
      <x:c r="V1538" s="58" t="str">
        <x:v>Pasted text(59).txt</x:v>
      </x:c>
    </x:row>
    <x:row r="1539">
      <x:c r="A1539" s="58" t="str">
        <x:v>S16</x:v>
      </x:c>
      <x:c r="B1539" s="58" t="str">
        <x:v>26 Hz interrupted test</x:v>
      </x:c>
      <x:c r="C1539" s="58" t="n">
        <x:v>0.79</x:v>
      </x:c>
      <x:c r="D1539" s="58" t="n">
        <x:v>1</x:v>
      </x:c>
      <x:c r="E1539" s="58" t="n">
        <x:v>1</x:v>
      </x:c>
      <x:c r="F1539" s="58" t="str">
        <x:v>SEARCH</x:v>
      </x:c>
      <x:c r="G1539" s="58" t="n">
        <x:v>4</x:v>
      </x:c>
      <x:c r="H1539" s="59" t="n">
        <x:v>7</x:v>
      </x:c>
      <x:c r="I1539" s="59" t="n">
        <x:v>0.04217</x:v>
      </x:c>
      <x:c r="J1539" s="59" t="n">
        <x:v>0.04737</x:v>
      </x:c>
      <x:c r="K1539" s="59" t="n">
        <x:v>0.0424</x:v>
      </x:c>
      <x:c r="L1539" s="59" t="n">
        <x:v>0.04771</x:v>
      </x:c>
      <x:c r="M1539" s="59" t="n">
        <x:v>0.08065</x:v>
      </x:c>
      <x:c r="N1539" s="60" t="n">
        <x:v>-94.66</x:v>
      </x:c>
      <x:c r="O1539" s="60" t="n">
        <x:v>35.12</x:v>
      </x:c>
      <x:c r="P1539" s="60" t="n">
        <x:v>38.73</x:v>
      </x:c>
      <x:c r="Q1539" s="60" t="n">
        <x:v>12.2</x:v>
      </x:c>
      <x:c r="R1539" s="58" t="str">
        <x:v>Z</x:v>
      </x:c>
      <x:c r="S1539" s="60" t="n">
        <x:v>99.3</x:v>
      </x:c>
      <x:c r="T1539" s="58" t="str">
        <x:v>BELOW MEASUREMENT FLOOR — SEARCH CONTINUES</x:v>
      </x:c>
      <x:c r="U1539" s="58" t="n">
        <x:v>1936</x:v>
      </x:c>
      <x:c r="V1539" s="58" t="str">
        <x:v>Pasted text(59).txt</x:v>
      </x:c>
    </x:row>
    <x:row r="1540">
      <x:c r="A1540" s="58" t="str">
        <x:v>S16</x:v>
      </x:c>
      <x:c r="B1540" s="58" t="str">
        <x:v>26 Hz interrupted test</x:v>
      </x:c>
      <x:c r="C1540" s="58" t="n">
        <x:v>0.79</x:v>
      </x:c>
      <x:c r="D1540" s="58" t="n">
        <x:v>1</x:v>
      </x:c>
      <x:c r="E1540" s="58" t="n">
        <x:v>1</x:v>
      </x:c>
      <x:c r="F1540" s="58" t="str">
        <x:v>SEARCH</x:v>
      </x:c>
      <x:c r="G1540" s="58" t="n">
        <x:v>5</x:v>
      </x:c>
      <x:c r="H1540" s="59" t="n">
        <x:v>9</x:v>
      </x:c>
      <x:c r="I1540" s="59" t="n">
        <x:v>0.0382</x:v>
      </x:c>
      <x:c r="J1540" s="59" t="n">
        <x:v>0.03897</x:v>
      </x:c>
      <x:c r="K1540" s="59" t="n">
        <x:v>0.02186</x:v>
      </x:c>
      <x:c r="L1540" s="59" t="n">
        <x:v>0.03568</x:v>
      </x:c>
      <x:c r="M1540" s="59" t="n">
        <x:v>0.06071</x:v>
      </x:c>
      <x:c r="N1540" s="60" t="n">
        <x:v>-95.16</x:v>
      </x:c>
      <x:c r="O1540" s="60" t="n">
        <x:v>17.6</x:v>
      </x:c>
      <x:c r="P1540" s="60" t="n">
        <x:v>14.68</x:v>
      </x:c>
      <x:c r="Q1540" s="60" t="n">
        <x:v>9.2</x:v>
      </x:c>
      <x:c r="R1540" s="58" t="str">
        <x:v>X</x:v>
      </x:c>
      <x:c r="S1540" s="60" t="n">
        <x:v>100</x:v>
      </x:c>
      <x:c r="T1540" s="58" t="str">
        <x:v>BELOW MEASUREMENT FLOOR — SEARCH CONTINUES</x:v>
      </x:c>
      <x:c r="U1540" s="58" t="n">
        <x:v>1937</x:v>
      </x:c>
      <x:c r="V1540" s="58" t="str">
        <x:v>Pasted text(59).txt</x:v>
      </x:c>
    </x:row>
    <x:row r="1541">
      <x:c r="A1541" s="58" t="str">
        <x:v>S16</x:v>
      </x:c>
      <x:c r="B1541" s="58" t="str">
        <x:v>26 Hz interrupted test</x:v>
      </x:c>
      <x:c r="C1541" s="58" t="n">
        <x:v>0.79</x:v>
      </x:c>
      <x:c r="D1541" s="58" t="n">
        <x:v>1</x:v>
      </x:c>
      <x:c r="E1541" s="58" t="n">
        <x:v>1</x:v>
      </x:c>
      <x:c r="F1541" s="58" t="str">
        <x:v>SEARCH</x:v>
      </x:c>
      <x:c r="G1541" s="58" t="n">
        <x:v>6</x:v>
      </x:c>
      <x:c r="H1541" s="59" t="n">
        <x:v>11</x:v>
      </x:c>
      <x:c r="I1541" s="59" t="n">
        <x:v>0.03067</x:v>
      </x:c>
      <x:c r="J1541" s="59" t="n">
        <x:v>0.04217</x:v>
      </x:c>
      <x:c r="K1541" s="59" t="n">
        <x:v>0.04917</x:v>
      </x:c>
      <x:c r="L1541" s="59" t="n">
        <x:v>0.03895</x:v>
      </x:c>
      <x:c r="M1541" s="59" t="n">
        <x:v>0.08068</x:v>
      </x:c>
      <x:c r="N1541" s="60" t="n">
        <x:v>-96.12</x:v>
      </x:c>
      <x:c r="O1541" s="60" t="n">
        <x:v>66.24</x:v>
      </x:c>
      <x:c r="P1541" s="60" t="n">
        <x:v>77.12</x:v>
      </x:c>
      <x:c r="Q1541" s="60" t="n">
        <x:v>8.7</x:v>
      </x:c>
      <x:c r="R1541" s="58" t="str">
        <x:v>Y</x:v>
      </x:c>
      <x:c r="S1541" s="60" t="n">
        <x:v>85.8</x:v>
      </x:c>
      <x:c r="T1541" s="58" t="str">
        <x:v>BELOW MEASUREMENT FLOOR — SEARCH CONTINUES</x:v>
      </x:c>
      <x:c r="U1541" s="58" t="n">
        <x:v>1938</x:v>
      </x:c>
      <x:c r="V1541" s="58" t="str">
        <x:v>Pasted text(59).txt</x:v>
      </x:c>
    </x:row>
    <x:row r="1542">
      <x:c r="A1542" s="58" t="str">
        <x:v>S16</x:v>
      </x:c>
      <x:c r="B1542" s="58" t="str">
        <x:v>26 Hz interrupted test</x:v>
      </x:c>
      <x:c r="C1542" s="58" t="n">
        <x:v>0.79</x:v>
      </x:c>
      <x:c r="D1542" s="58" t="n">
        <x:v>1</x:v>
      </x:c>
      <x:c r="E1542" s="58" t="n">
        <x:v>1</x:v>
      </x:c>
      <x:c r="F1542" s="58" t="str">
        <x:v>SEARCH</x:v>
      </x:c>
      <x:c r="G1542" s="58" t="n">
        <x:v>7</x:v>
      </x:c>
      <x:c r="H1542" s="59" t="n">
        <x:v>13</x:v>
      </x:c>
      <x:c r="I1542" s="59" t="n">
        <x:v>0.05913</x:v>
      </x:c>
      <x:c r="J1542" s="59" t="n">
        <x:v>0.06161</x:v>
      </x:c>
      <x:c r="K1542" s="59" t="n">
        <x:v>0.03958</x:v>
      </x:c>
      <x:c r="L1542" s="59" t="n">
        <x:v>0.03093</x:v>
      </x:c>
      <x:c r="M1542" s="59" t="n">
        <x:v>0.08186</x:v>
      </x:c>
      <x:c r="N1542" s="60" t="n">
        <x:v>-92.51</x:v>
      </x:c>
      <x:c r="O1542" s="60" t="n">
        <x:v>12.4</x:v>
      </x:c>
      <x:c r="P1542" s="60" t="n">
        <x:v>5.68</x:v>
      </x:c>
      <x:c r="Q1542" s="60" t="n">
        <x:v>14.3</x:v>
      </x:c>
      <x:c r="R1542" s="58" t="str">
        <x:v>X</x:v>
      </x:c>
      <x:c r="S1542" s="60" t="n">
        <x:v>100</x:v>
      </x:c>
      <x:c r="T1542" s="58" t="str">
        <x:v>BELOW MEASUREMENT FLOOR — SEARCH CONTINUES</x:v>
      </x:c>
      <x:c r="U1542" s="58" t="n">
        <x:v>1939</x:v>
      </x:c>
      <x:c r="V1542" s="58" t="str">
        <x:v>Pasted text(59).txt</x:v>
      </x:c>
    </x:row>
    <x:row r="1543">
      <x:c r="A1543" s="58" t="str">
        <x:v>S16</x:v>
      </x:c>
      <x:c r="B1543" s="58" t="str">
        <x:v>26 Hz interrupted test</x:v>
      </x:c>
      <x:c r="C1543" s="58" t="n">
        <x:v>0.79</x:v>
      </x:c>
      <x:c r="D1543" s="58" t="n">
        <x:v>1</x:v>
      </x:c>
      <x:c r="E1543" s="58" t="n">
        <x:v>1</x:v>
      </x:c>
      <x:c r="F1543" s="58" t="str">
        <x:v>SEARCH</x:v>
      </x:c>
      <x:c r="G1543" s="58" t="n">
        <x:v>8</x:v>
      </x:c>
      <x:c r="H1543" s="59" t="n">
        <x:v>15</x:v>
      </x:c>
      <x:c r="I1543" s="59" t="n">
        <x:v>0.04794</x:v>
      </x:c>
      <x:c r="J1543" s="59" t="n">
        <x:v>0.05006</x:v>
      </x:c>
      <x:c r="K1543" s="59" t="n">
        <x:v>0.03905</x:v>
      </x:c>
      <x:c r="L1543" s="59" t="n">
        <x:v>0.02649</x:v>
      </x:c>
      <x:c r="M1543" s="59" t="n">
        <x:v>0.0715</x:v>
      </x:c>
      <x:c r="N1543" s="60" t="n">
        <x:v>-93.93</x:v>
      </x:c>
      <x:c r="O1543" s="60" t="n">
        <x:v>46.49</x:v>
      </x:c>
      <x:c r="P1543" s="60" t="n">
        <x:v>36.56</x:v>
      </x:c>
      <x:c r="Q1543" s="60" t="n">
        <x:v>12.8</x:v>
      </x:c>
      <x:c r="R1543" s="58" t="str">
        <x:v>X</x:v>
      </x:c>
      <x:c r="S1543" s="60" t="n">
        <x:v>100</x:v>
      </x:c>
      <x:c r="T1543" s="58" t="str">
        <x:v>BELOW MEASUREMENT FLOOR — SEARCH CONTINUES</x:v>
      </x:c>
      <x:c r="U1543" s="58" t="n">
        <x:v>1940</x:v>
      </x:c>
      <x:c r="V1543" s="58" t="str">
        <x:v>Pasted text(59).txt</x:v>
      </x:c>
    </x:row>
    <x:row r="1544">
      <x:c r="A1544" s="58" t="str">
        <x:v>S16</x:v>
      </x:c>
      <x:c r="B1544" s="58" t="str">
        <x:v>26 Hz interrupted test</x:v>
      </x:c>
      <x:c r="C1544" s="58" t="n">
        <x:v>0.79</x:v>
      </x:c>
      <x:c r="D1544" s="58" t="n">
        <x:v>1</x:v>
      </x:c>
      <x:c r="E1544" s="58" t="n">
        <x:v>1</x:v>
      </x:c>
      <x:c r="F1544" s="58" t="str">
        <x:v>SEARCH</x:v>
      </x:c>
      <x:c r="G1544" s="58" t="n">
        <x:v>9</x:v>
      </x:c>
      <x:c r="H1544" s="59" t="n">
        <x:v>17</x:v>
      </x:c>
      <x:c r="I1544" s="59" t="n">
        <x:v>0.0517</x:v>
      </x:c>
      <x:c r="J1544" s="59" t="n">
        <x:v>0.05065</x:v>
      </x:c>
      <x:c r="K1544" s="59" t="n">
        <x:v>0.03559</x:v>
      </x:c>
      <x:c r="L1544" s="59" t="n">
        <x:v>0.0372</x:v>
      </x:c>
      <x:c r="M1544" s="59" t="n">
        <x:v>0.07418</x:v>
      </x:c>
      <x:c r="N1544" s="60" t="n">
        <x:v>-93.46</x:v>
      </x:c>
      <x:c r="O1544" s="60" t="n">
        <x:v>68.38</x:v>
      </x:c>
      <x:c r="P1544" s="60" t="n">
        <x:v>50.23</x:v>
      </x:c>
      <x:c r="Q1544" s="60" t="n">
        <x:v>12.9</x:v>
      </x:c>
      <x:c r="R1544" s="58" t="str">
        <x:v>X</x:v>
      </x:c>
      <x:c r="S1544" s="60" t="n">
        <x:v>100</x:v>
      </x:c>
      <x:c r="T1544" s="58" t="str">
        <x:v>BELOW MEASUREMENT FLOOR — SEARCH CONTINUES</x:v>
      </x:c>
      <x:c r="U1544" s="58" t="n">
        <x:v>1941</x:v>
      </x:c>
      <x:c r="V1544" s="58" t="str">
        <x:v>Pasted text(59).txt</x:v>
      </x:c>
    </x:row>
    <x:row r="1545">
      <x:c r="A1545" s="58" t="str">
        <x:v>S16</x:v>
      </x:c>
      <x:c r="B1545" s="58" t="str">
        <x:v>26 Hz interrupted test</x:v>
      </x:c>
      <x:c r="C1545" s="58" t="n">
        <x:v>0.79</x:v>
      </x:c>
      <x:c r="D1545" s="58" t="n">
        <x:v>1</x:v>
      </x:c>
      <x:c r="E1545" s="58" t="n">
        <x:v>1</x:v>
      </x:c>
      <x:c r="F1545" s="58" t="str">
        <x:v>SEARCH</x:v>
      </x:c>
      <x:c r="G1545" s="58" t="n">
        <x:v>10</x:v>
      </x:c>
      <x:c r="H1545" s="59" t="n">
        <x:v>19</x:v>
      </x:c>
      <x:c r="I1545" s="59" t="n">
        <x:v>0.05084</x:v>
      </x:c>
      <x:c r="J1545" s="59" t="n">
        <x:v>0.06355</x:v>
      </x:c>
      <x:c r="K1545" s="59" t="n">
        <x:v>0.04274</x:v>
      </x:c>
      <x:c r="L1545" s="59" t="n">
        <x:v>0.05673</x:v>
      </x:c>
      <x:c r="M1545" s="59" t="n">
        <x:v>0.10522</x:v>
      </x:c>
      <x:c r="N1545" s="60" t="n">
        <x:v>-93.56</x:v>
      </x:c>
      <x:c r="O1545" s="60" t="n">
        <x:v>34.6</x:v>
      </x:c>
      <x:c r="P1545" s="60" t="n">
        <x:v>51.65</x:v>
      </x:c>
      <x:c r="Q1545" s="60" t="n">
        <x:v>14.2</x:v>
      </x:c>
      <x:c r="R1545" s="58" t="str">
        <x:v>X</x:v>
      </x:c>
      <x:c r="S1545" s="60" t="n">
        <x:v>100</x:v>
      </x:c>
      <x:c r="T1545" s="58" t="str">
        <x:v>BELOW MEASUREMENT FLOOR — SEARCH CONTINUES</x:v>
      </x:c>
      <x:c r="U1545" s="58" t="n">
        <x:v>1942</x:v>
      </x:c>
      <x:c r="V1545" s="58" t="str">
        <x:v>Pasted text(59).txt</x:v>
      </x:c>
    </x:row>
    <x:row r="1546">
      <x:c r="A1546" s="58" t="str">
        <x:v>S16</x:v>
      </x:c>
      <x:c r="B1546" s="58" t="str">
        <x:v>26 Hz interrupted test</x:v>
      </x:c>
      <x:c r="C1546" s="58" t="n">
        <x:v>0.79</x:v>
      </x:c>
      <x:c r="D1546" s="58" t="n">
        <x:v>1</x:v>
      </x:c>
      <x:c r="E1546" s="58" t="n">
        <x:v>1</x:v>
      </x:c>
      <x:c r="F1546" s="58" t="str">
        <x:v>SEARCH</x:v>
      </x:c>
      <x:c r="G1546" s="58" t="n">
        <x:v>11</x:v>
      </x:c>
      <x:c r="H1546" s="59" t="n">
        <x:v>21</x:v>
      </x:c>
      <x:c r="I1546" s="59" t="n">
        <x:v>0.06879</x:v>
      </x:c>
      <x:c r="J1546" s="59" t="n">
        <x:v>0.07424</x:v>
      </x:c>
      <x:c r="K1546" s="59" t="n">
        <x:v>0.11002</x:v>
      </x:c>
      <x:c r="L1546" s="59" t="n">
        <x:v>0.03155</x:v>
      </x:c>
      <x:c r="M1546" s="59" t="n">
        <x:v>0.14444</x:v>
      </x:c>
      <x:c r="N1546" s="60" t="n">
        <x:v>-91.29</x:v>
      </x:c>
      <x:c r="O1546" s="60" t="n">
        <x:v>23.49</x:v>
      </x:c>
      <x:c r="P1546" s="60" t="n">
        <x:v>10.38</x:v>
      </x:c>
      <x:c r="Q1546" s="60" t="n">
        <x:v>16</x:v>
      </x:c>
      <x:c r="R1546" s="58" t="str">
        <x:v>Y</x:v>
      </x:c>
      <x:c r="S1546" s="60" t="n">
        <x:v>67.5</x:v>
      </x:c>
      <x:c r="T1546" s="58" t="str">
        <x:v>BELOW MEASUREMENT FLOOR — SEARCH CONTINUES</x:v>
      </x:c>
      <x:c r="U1546" s="58" t="n">
        <x:v>1943</x:v>
      </x:c>
      <x:c r="V1546" s="58" t="str">
        <x:v>Pasted text(59).txt</x:v>
      </x:c>
    </x:row>
    <x:row r="1547">
      <x:c r="A1547" s="58" t="str">
        <x:v>S16</x:v>
      </x:c>
      <x:c r="B1547" s="58" t="str">
        <x:v>26 Hz interrupted test</x:v>
      </x:c>
      <x:c r="C1547" s="58" t="n">
        <x:v>0.79</x:v>
      </x:c>
      <x:c r="D1547" s="58" t="n">
        <x:v>1</x:v>
      </x:c>
      <x:c r="E1547" s="58" t="n">
        <x:v>1</x:v>
      </x:c>
      <x:c r="F1547" s="58" t="str">
        <x:v>SEARCH</x:v>
      </x:c>
      <x:c r="G1547" s="58" t="n">
        <x:v>12</x:v>
      </x:c>
      <x:c r="H1547" s="59" t="n">
        <x:v>23</x:v>
      </x:c>
      <x:c r="I1547" s="59" t="n">
        <x:v>0.08014</x:v>
      </x:c>
      <x:c r="J1547" s="59" t="n">
        <x:v>0.21133</x:v>
      </x:c>
      <x:c r="K1547" s="59" t="n">
        <x:v>0.10004</x:v>
      </x:c>
      <x:c r="L1547" s="59" t="n">
        <x:v>0.07494</x:v>
      </x:c>
      <x:c r="M1547" s="59" t="n">
        <x:v>0.25536</x:v>
      </x:c>
      <x:c r="N1547" s="60" t="n">
        <x:v>-89.86</x:v>
      </x:c>
      <x:c r="O1547" s="60" t="n">
        <x:v>95.41</x:v>
      </x:c>
      <x:c r="P1547" s="60" t="n">
        <x:v>129.23</x:v>
      </x:c>
      <x:c r="Q1547" s="60" t="n">
        <x:v>14.8</x:v>
      </x:c>
      <x:c r="R1547" s="58" t="str">
        <x:v>X</x:v>
      </x:c>
      <x:c r="S1547" s="60" t="n">
        <x:v>100</x:v>
      </x:c>
      <x:c r="T1547" s="58" t="str">
        <x:v>UNSTABLE — SEARCH CONTINUES</x:v>
      </x:c>
      <x:c r="U1547" s="58" t="n">
        <x:v>1944</x:v>
      </x:c>
      <x:c r="V1547" s="58" t="str">
        <x:v>Pasted text(59).txt</x:v>
      </x:c>
    </x:row>
    <x:row r="1548">
      <x:c r="A1548" s="58" t="str">
        <x:v>S16</x:v>
      </x:c>
      <x:c r="B1548" s="58" t="str">
        <x:v>26 Hz interrupted test</x:v>
      </x:c>
      <x:c r="C1548" s="58" t="n">
        <x:v>0.79</x:v>
      </x:c>
      <x:c r="D1548" s="58" t="n">
        <x:v>1</x:v>
      </x:c>
      <x:c r="E1548" s="58" t="n">
        <x:v>1</x:v>
      </x:c>
      <x:c r="F1548" s="58" t="str">
        <x:v>SEARCH</x:v>
      </x:c>
      <x:c r="G1548" s="58" t="n">
        <x:v>13</x:v>
      </x:c>
      <x:c r="H1548" s="59" t="n">
        <x:v>25</x:v>
      </x:c>
      <x:c r="I1548" s="59" t="n">
        <x:v>0.09091</x:v>
      </x:c>
      <x:c r="J1548" s="59" t="n">
        <x:v>0.14894</x:v>
      </x:c>
      <x:c r="K1548" s="59" t="n">
        <x:v>0.05673</x:v>
      </x:c>
      <x:c r="L1548" s="59" t="n">
        <x:v>0.07346</x:v>
      </x:c>
      <x:c r="M1548" s="59" t="n">
        <x:v>0.1821</x:v>
      </x:c>
      <x:c r="N1548" s="60" t="n">
        <x:v>-88.49</x:v>
      </x:c>
      <x:c r="O1548" s="60" t="n">
        <x:v>40.17</x:v>
      </x:c>
      <x:c r="P1548" s="60" t="n">
        <x:v>82.23</x:v>
      </x:c>
      <x:c r="Q1548" s="60" t="n">
        <x:v>19.7</x:v>
      </x:c>
      <x:c r="R1548" s="58" t="str">
        <x:v>X</x:v>
      </x:c>
      <x:c r="S1548" s="60" t="n">
        <x:v>100</x:v>
      </x:c>
      <x:c r="T1548" s="58" t="str">
        <x:v>UNSTABLE — SEARCH CONTINUES</x:v>
      </x:c>
      <x:c r="U1548" s="58" t="n">
        <x:v>1945</x:v>
      </x:c>
      <x:c r="V1548" s="58" t="str">
        <x:v>Pasted text(59).txt</x:v>
      </x:c>
    </x:row>
    <x:row r="1549">
      <x:c r="A1549" s="58" t="str">
        <x:v>S16</x:v>
      </x:c>
      <x:c r="B1549" s="58" t="str">
        <x:v>26 Hz interrupted test</x:v>
      </x:c>
      <x:c r="C1549" s="58" t="n">
        <x:v>0.79</x:v>
      </x:c>
      <x:c r="D1549" s="58" t="n">
        <x:v>1</x:v>
      </x:c>
      <x:c r="E1549" s="58" t="n">
        <x:v>1</x:v>
      </x:c>
      <x:c r="F1549" s="58" t="str">
        <x:v>SEARCH</x:v>
      </x:c>
      <x:c r="G1549" s="58" t="n">
        <x:v>14</x:v>
      </x:c>
      <x:c r="H1549" s="59" t="n">
        <x:v>27</x:v>
      </x:c>
      <x:c r="I1549" s="59" t="n">
        <x:v>0.08557</x:v>
      </x:c>
      <x:c r="J1549" s="59" t="n">
        <x:v>0.08784</x:v>
      </x:c>
      <x:c r="K1549" s="59" t="n">
        <x:v>0.07698</x:v>
      </x:c>
      <x:c r="L1549" s="59" t="n">
        <x:v>0.05072</x:v>
      </x:c>
      <x:c r="M1549" s="59" t="n">
        <x:v>0.13171</x:v>
      </x:c>
      <x:c r="N1549" s="60" t="n">
        <x:v>-89.17</x:v>
      </x:c>
      <x:c r="O1549" s="60" t="n">
        <x:v>7.87</x:v>
      </x:c>
      <x:c r="P1549" s="60" t="n">
        <x:v>3.66</x:v>
      </x:c>
      <x:c r="Q1549" s="60" t="n">
        <x:v>15</x:v>
      </x:c>
      <x:c r="R1549" s="58" t="str">
        <x:v>X</x:v>
      </x:c>
      <x:c r="S1549" s="60" t="n">
        <x:v>100</x:v>
      </x:c>
      <x:c r="T1549" s="58" t="str">
        <x:v>UNSTABLE — SEARCH CONTINUES</x:v>
      </x:c>
      <x:c r="U1549" s="58" t="n">
        <x:v>1946</x:v>
      </x:c>
      <x:c r="V1549" s="58" t="str">
        <x:v>Pasted text(59).txt</x:v>
      </x:c>
    </x:row>
    <x:row r="1550">
      <x:c r="A1550" s="58" t="str">
        <x:v>S16</x:v>
      </x:c>
      <x:c r="B1550" s="58" t="str">
        <x:v>26 Hz interrupted test</x:v>
      </x:c>
      <x:c r="C1550" s="58" t="n">
        <x:v>0.79</x:v>
      </x:c>
      <x:c r="D1550" s="58" t="n">
        <x:v>1</x:v>
      </x:c>
      <x:c r="E1550" s="58" t="n">
        <x:v>1</x:v>
      </x:c>
      <x:c r="F1550" s="58" t="str">
        <x:v>SEARCH</x:v>
      </x:c>
      <x:c r="G1550" s="58" t="n">
        <x:v>15</x:v>
      </x:c>
      <x:c r="H1550" s="59" t="n">
        <x:v>29</x:v>
      </x:c>
      <x:c r="I1550" s="59" t="n">
        <x:v>0.04645</x:v>
      </x:c>
      <x:c r="J1550" s="59" t="n">
        <x:v>0.0435</x:v>
      </x:c>
      <x:c r="K1550" s="59" t="n">
        <x:v>0.0592</x:v>
      </x:c>
      <x:c r="L1550" s="59" t="n">
        <x:v>0.03653</x:v>
      </x:c>
      <x:c r="M1550" s="59" t="n">
        <x:v>0.08552</x:v>
      </x:c>
      <x:c r="N1550" s="60" t="n">
        <x:v>-94.12</x:v>
      </x:c>
      <x:c r="O1550" s="60" t="n">
        <x:v>79.96</x:v>
      </x:c>
      <x:c r="P1550" s="60" t="n">
        <x:v>67.99</x:v>
      </x:c>
      <x:c r="Q1550" s="60" t="n">
        <x:v>9.1</x:v>
      </x:c>
      <x:c r="R1550" s="58" t="str">
        <x:v>Y</x:v>
      </x:c>
      <x:c r="S1550" s="60" t="n">
        <x:v>73.5</x:v>
      </x:c>
      <x:c r="T1550" s="58" t="str">
        <x:v>BELOW MEASUREMENT FLOOR — SEARCH CONTINUES</x:v>
      </x:c>
      <x:c r="U1550" s="58" t="n">
        <x:v>1947</x:v>
      </x:c>
      <x:c r="V1550" s="58" t="str">
        <x:v>Pasted text(59).txt</x:v>
      </x:c>
    </x:row>
    <x:row r="1551">
      <x:c r="A1551" s="58" t="str">
        <x:v>S16</x:v>
      </x:c>
      <x:c r="B1551" s="58" t="str">
        <x:v>26 Hz interrupted test</x:v>
      </x:c>
      <x:c r="C1551" s="58" t="n">
        <x:v>0.79</x:v>
      </x:c>
      <x:c r="D1551" s="58" t="n">
        <x:v>1</x:v>
      </x:c>
      <x:c r="E1551" s="58" t="n">
        <x:v>2</x:v>
      </x:c>
      <x:c r="F1551" s="58" t="str">
        <x:v>SEARCH</x:v>
      </x:c>
      <x:c r="G1551" s="58" t="n">
        <x:v>1</x:v>
      </x:c>
      <x:c r="H1551" s="59" t="n">
        <x:v>1</x:v>
      </x:c>
      <x:c r="I1551" s="59" t="n">
        <x:v>0.02135</x:v>
      </x:c>
      <x:c r="J1551" s="59" t="n">
        <x:v>0.02092</x:v>
      </x:c>
      <x:c r="K1551" s="59" t="n">
        <x:v>0.02441</x:v>
      </x:c>
      <x:c r="L1551" s="59" t="n">
        <x:v>0.01481</x:v>
      </x:c>
      <x:c r="M1551" s="59" t="n">
        <x:v>0.03728</x:v>
      </x:c>
      <x:c r="N1551" s="60" t="n">
        <x:v>-97.3</x:v>
      </x:c>
      <x:c r="O1551" s="60" t="n">
        <x:v>6.02</x:v>
      </x:c>
      <x:c r="P1551" s="60" t="n">
        <x:v>2.93</x:v>
      </x:c>
      <x:c r="Q1551" s="60" t="n">
        <x:v>9.6</x:v>
      </x:c>
      <x:c r="R1551" s="58" t="str">
        <x:v>Y</x:v>
      </x:c>
      <x:c r="S1551" s="60" t="n">
        <x:v>85.7</x:v>
      </x:c>
      <x:c r="T1551" s="58" t="str">
        <x:v>BELOW MEASUREMENT FLOOR — SEARCH CONTINUES</x:v>
      </x:c>
      <x:c r="U1551" s="58" t="n">
        <x:v>1954</x:v>
      </x:c>
      <x:c r="V1551" s="58" t="str">
        <x:v>Pasted text(59).txt</x:v>
      </x:c>
    </x:row>
    <x:row r="1552">
      <x:c r="A1552" s="58" t="str">
        <x:v>S16</x:v>
      </x:c>
      <x:c r="B1552" s="58" t="str">
        <x:v>26 Hz interrupted test</x:v>
      </x:c>
      <x:c r="C1552" s="58" t="n">
        <x:v>0.79</x:v>
      </x:c>
      <x:c r="D1552" s="58" t="n">
        <x:v>1</x:v>
      </x:c>
      <x:c r="E1552" s="58" t="n">
        <x:v>2</x:v>
      </x:c>
      <x:c r="F1552" s="58" t="str">
        <x:v>SEARCH</x:v>
      </x:c>
      <x:c r="G1552" s="58" t="n">
        <x:v>2</x:v>
      </x:c>
      <x:c r="H1552" s="59" t="n">
        <x:v>3</x:v>
      </x:c>
      <x:c r="I1552" s="59" t="n">
        <x:v>0.02776</x:v>
      </x:c>
      <x:c r="J1552" s="59" t="n">
        <x:v>0.02786</x:v>
      </x:c>
      <x:c r="K1552" s="59" t="n">
        <x:v>0.04395</x:v>
      </x:c>
      <x:c r="L1552" s="59" t="n">
        <x:v>0.02596</x:v>
      </x:c>
      <x:c r="M1552" s="59" t="n">
        <x:v>0.06093</x:v>
      </x:c>
      <x:c r="N1552" s="60" t="n">
        <x:v>-96.49</x:v>
      </x:c>
      <x:c r="O1552" s="60" t="n">
        <x:v>100.42</x:v>
      </x:c>
      <x:c r="P1552" s="60" t="n">
        <x:v>68</x:v>
      </x:c>
      <x:c r="Q1552" s="60" t="n">
        <x:v>9.9</x:v>
      </x:c>
      <x:c r="R1552" s="58" t="str">
        <x:v>Y</x:v>
      </x:c>
      <x:c r="S1552" s="60" t="n">
        <x:v>63.4</x:v>
      </x:c>
      <x:c r="T1552" s="58" t="str">
        <x:v>BELOW MEASUREMENT FLOOR — SEARCH CONTINUES</x:v>
      </x:c>
      <x:c r="U1552" s="58" t="n">
        <x:v>1955</x:v>
      </x:c>
      <x:c r="V1552" s="58" t="str">
        <x:v>Pasted text(59).txt</x:v>
      </x:c>
    </x:row>
    <x:row r="1553">
      <x:c r="A1553" s="58" t="str">
        <x:v>S16</x:v>
      </x:c>
      <x:c r="B1553" s="58" t="str">
        <x:v>26 Hz interrupted test</x:v>
      </x:c>
      <x:c r="C1553" s="58" t="n">
        <x:v>0.79</x:v>
      </x:c>
      <x:c r="D1553" s="58" t="n">
        <x:v>1</x:v>
      </x:c>
      <x:c r="E1553" s="58" t="n">
        <x:v>2</x:v>
      </x:c>
      <x:c r="F1553" s="58" t="str">
        <x:v>SEARCH</x:v>
      </x:c>
      <x:c r="G1553" s="58" t="n">
        <x:v>3</x:v>
      </x:c>
      <x:c r="H1553" s="59" t="n">
        <x:v>5</x:v>
      </x:c>
      <x:c r="I1553" s="59" t="n">
        <x:v>0.07054</x:v>
      </x:c>
      <x:c r="J1553" s="59" t="n">
        <x:v>0.12869</x:v>
      </x:c>
      <x:c r="K1553" s="59" t="n">
        <x:v>0.27748</x:v>
      </x:c>
      <x:c r="L1553" s="59" t="n">
        <x:v>0.14184</x:v>
      </x:c>
      <x:c r="M1553" s="59" t="n">
        <x:v>0.33979</x:v>
      </x:c>
      <x:c r="N1553" s="60" t="n">
        <x:v>-91.07</x:v>
      </x:c>
      <x:c r="O1553" s="60" t="n">
        <x:v>70.53</x:v>
      </x:c>
      <x:c r="P1553" s="60" t="n">
        <x:v>101.69</x:v>
      </x:c>
      <x:c r="Q1553" s="60" t="n">
        <x:v>9.8</x:v>
      </x:c>
      <x:c r="R1553" s="58" t="str">
        <x:v>Y</x:v>
      </x:c>
      <x:c r="S1553" s="60" t="n">
        <x:v>46.4</x:v>
      </x:c>
      <x:c r="T1553" s="58" t="str">
        <x:v>BELOW MEASUREMENT FLOOR — SEARCH CONTINUES</x:v>
      </x:c>
      <x:c r="U1553" s="58" t="n">
        <x:v>1956</x:v>
      </x:c>
      <x:c r="V1553" s="58" t="str">
        <x:v>Pasted text(59).txt</x:v>
      </x:c>
    </x:row>
    <x:row r="1554">
      <x:c r="A1554" s="58" t="str">
        <x:v>S16</x:v>
      </x:c>
      <x:c r="B1554" s="58" t="str">
        <x:v>26 Hz interrupted test</x:v>
      </x:c>
      <x:c r="C1554" s="58" t="n">
        <x:v>0.79</x:v>
      </x:c>
      <x:c r="D1554" s="58" t="n">
        <x:v>1</x:v>
      </x:c>
      <x:c r="E1554" s="58" t="n">
        <x:v>2</x:v>
      </x:c>
      <x:c r="F1554" s="58" t="str">
        <x:v>SEARCH</x:v>
      </x:c>
      <x:c r="G1554" s="58" t="n">
        <x:v>4</x:v>
      </x:c>
      <x:c r="H1554" s="59" t="n">
        <x:v>7</x:v>
      </x:c>
      <x:c r="I1554" s="59" t="n">
        <x:v>0.05092</x:v>
      </x:c>
      <x:c r="J1554" s="59" t="n">
        <x:v>0.05413</x:v>
      </x:c>
      <x:c r="K1554" s="59" t="n">
        <x:v>0.03851</x:v>
      </x:c>
      <x:c r="L1554" s="59" t="n">
        <x:v>0.02921</x:v>
      </x:c>
      <x:c r="M1554" s="59" t="n">
        <x:v>0.07318</x:v>
      </x:c>
      <x:c r="N1554" s="60" t="n">
        <x:v>-93.55</x:v>
      </x:c>
      <x:c r="O1554" s="60" t="n">
        <x:v>18.67</x:v>
      </x:c>
      <x:c r="P1554" s="60" t="n">
        <x:v>8.38</x:v>
      </x:c>
      <x:c r="Q1554" s="60" t="n">
        <x:v>11.2</x:v>
      </x:c>
      <x:c r="R1554" s="58" t="str">
        <x:v>X</x:v>
      </x:c>
      <x:c r="S1554" s="60" t="n">
        <x:v>100</x:v>
      </x:c>
      <x:c r="T1554" s="58" t="str">
        <x:v>BELOW MEASUREMENT FLOOR — SEARCH CONTINUES</x:v>
      </x:c>
      <x:c r="U1554" s="58" t="n">
        <x:v>1957</x:v>
      </x:c>
      <x:c r="V1554" s="58" t="str">
        <x:v>Pasted text(59).txt</x:v>
      </x:c>
    </x:row>
    <x:row r="1555">
      <x:c r="A1555" s="58" t="str">
        <x:v>S16</x:v>
      </x:c>
      <x:c r="B1555" s="58" t="str">
        <x:v>26 Hz interrupted test</x:v>
      </x:c>
      <x:c r="C1555" s="58" t="n">
        <x:v>0.79</x:v>
      </x:c>
      <x:c r="D1555" s="58" t="n">
        <x:v>1</x:v>
      </x:c>
      <x:c r="E1555" s="58" t="n">
        <x:v>2</x:v>
      </x:c>
      <x:c r="F1555" s="58" t="str">
        <x:v>SEARCH</x:v>
      </x:c>
      <x:c r="G1555" s="58" t="n">
        <x:v>5</x:v>
      </x:c>
      <x:c r="H1555" s="59" t="n">
        <x:v>9</x:v>
      </x:c>
      <x:c r="I1555" s="59" t="n">
        <x:v>0.02938</x:v>
      </x:c>
      <x:c r="J1555" s="59" t="n">
        <x:v>0.09115</x:v>
      </x:c>
      <x:c r="K1555" s="59" t="n">
        <x:v>0.06569</x:v>
      </x:c>
      <x:c r="L1555" s="59" t="n">
        <x:v>0.03952</x:v>
      </x:c>
      <x:c r="M1555" s="59" t="n">
        <x:v>0.12618</x:v>
      </x:c>
      <x:c r="N1555" s="60" t="n">
        <x:v>-96.28</x:v>
      </x:c>
      <x:c r="O1555" s="60" t="n">
        <x:v>88.74</x:v>
      </x:c>
      <x:c r="P1555" s="60" t="n">
        <x:v>134.42</x:v>
      </x:c>
      <x:c r="Q1555" s="60" t="n">
        <x:v>7.7</x:v>
      </x:c>
      <x:c r="R1555" s="58" t="str">
        <x:v>X</x:v>
      </x:c>
      <x:c r="S1555" s="60" t="n">
        <x:v>100</x:v>
      </x:c>
      <x:c r="T1555" s="58" t="str">
        <x:v>BELOW MEASUREMENT FLOOR — SEARCH CONTINUES</x:v>
      </x:c>
      <x:c r="U1555" s="58" t="n">
        <x:v>1958</x:v>
      </x:c>
      <x:c r="V1555" s="58" t="str">
        <x:v>Pasted text(59).txt</x:v>
      </x:c>
    </x:row>
    <x:row r="1556">
      <x:c r="A1556" s="58" t="str">
        <x:v>S16</x:v>
      </x:c>
      <x:c r="B1556" s="58" t="str">
        <x:v>26 Hz interrupted test</x:v>
      </x:c>
      <x:c r="C1556" s="58" t="n">
        <x:v>0.79</x:v>
      </x:c>
      <x:c r="D1556" s="58" t="n">
        <x:v>1</x:v>
      </x:c>
      <x:c r="E1556" s="58" t="n">
        <x:v>2</x:v>
      </x:c>
      <x:c r="F1556" s="58" t="str">
        <x:v>SEARCH</x:v>
      </x:c>
      <x:c r="G1556" s="58" t="n">
        <x:v>6</x:v>
      </x:c>
      <x:c r="H1556" s="59" t="n">
        <x:v>11</x:v>
      </x:c>
      <x:c r="I1556" s="59" t="n">
        <x:v>0.02683</x:v>
      </x:c>
      <x:c r="J1556" s="59" t="n">
        <x:v>0.03151</x:v>
      </x:c>
      <x:c r="K1556" s="59" t="n">
        <x:v>0.05227</x:v>
      </x:c>
      <x:c r="L1556" s="59" t="n">
        <x:v>0.03602</x:v>
      </x:c>
      <x:c r="M1556" s="59" t="n">
        <x:v>0.07622</x:v>
      </x:c>
      <x:c r="N1556" s="60" t="n">
        <x:v>-96.6</x:v>
      </x:c>
      <x:c r="O1556" s="60" t="n">
        <x:v>69.02</x:v>
      </x:c>
      <x:c r="P1556" s="60" t="n">
        <x:v>63.24</x:v>
      </x:c>
      <x:c r="Q1556" s="60" t="n">
        <x:v>5.7</x:v>
      </x:c>
      <x:c r="R1556" s="58" t="str">
        <x:v>Y</x:v>
      </x:c>
      <x:c r="S1556" s="60" t="n">
        <x:v>60.3</x:v>
      </x:c>
      <x:c r="T1556" s="58" t="str">
        <x:v>BELOW MEASUREMENT FLOOR — SEARCH CONTINUES</x:v>
      </x:c>
      <x:c r="U1556" s="58" t="n">
        <x:v>1959</x:v>
      </x:c>
      <x:c r="V1556" s="58" t="str">
        <x:v>Pasted text(59).txt</x:v>
      </x:c>
    </x:row>
    <x:row r="1557">
      <x:c r="A1557" s="58" t="str">
        <x:v>S16</x:v>
      </x:c>
      <x:c r="B1557" s="58" t="str">
        <x:v>26 Hz interrupted test</x:v>
      </x:c>
      <x:c r="C1557" s="58" t="n">
        <x:v>0.79</x:v>
      </x:c>
      <x:c r="D1557" s="58" t="n">
        <x:v>1</x:v>
      </x:c>
      <x:c r="E1557" s="58" t="n">
        <x:v>2</x:v>
      </x:c>
      <x:c r="F1557" s="58" t="str">
        <x:v>SEARCH</x:v>
      </x:c>
      <x:c r="G1557" s="58" t="n">
        <x:v>7</x:v>
      </x:c>
      <x:c r="H1557" s="59" t="n">
        <x:v>13</x:v>
      </x:c>
      <x:c r="I1557" s="59" t="n">
        <x:v>0.03336</x:v>
      </x:c>
      <x:c r="J1557" s="59" t="n">
        <x:v>0.03408</x:v>
      </x:c>
      <x:c r="K1557" s="59" t="n">
        <x:v>0.06467</x:v>
      </x:c>
      <x:c r="L1557" s="59" t="n">
        <x:v>0.03927</x:v>
      </x:c>
      <x:c r="M1557" s="59" t="n">
        <x:v>0.08385</x:v>
      </x:c>
      <x:c r="N1557" s="60" t="n">
        <x:v>-95.78</x:v>
      </x:c>
      <x:c r="O1557" s="60" t="n">
        <x:v>91.03</x:v>
      </x:c>
      <x:c r="P1557" s="60" t="n">
        <x:v>63.29</x:v>
      </x:c>
      <x:c r="Q1557" s="60" t="n">
        <x:v>6.1</x:v>
      </x:c>
      <x:c r="R1557" s="58" t="str">
        <x:v>Y</x:v>
      </x:c>
      <x:c r="S1557" s="60" t="n">
        <x:v>52.7</x:v>
      </x:c>
      <x:c r="T1557" s="58" t="str">
        <x:v>BELOW MEASUREMENT FLOOR — SEARCH CONTINUES</x:v>
      </x:c>
      <x:c r="U1557" s="58" t="n">
        <x:v>1960</x:v>
      </x:c>
      <x:c r="V1557" s="58" t="str">
        <x:v>Pasted text(59).txt</x:v>
      </x:c>
    </x:row>
    <x:row r="1558">
      <x:c r="A1558" s="58" t="str">
        <x:v>S16</x:v>
      </x:c>
      <x:c r="B1558" s="58" t="str">
        <x:v>26 Hz interrupted test</x:v>
      </x:c>
      <x:c r="C1558" s="58" t="n">
        <x:v>0.79</x:v>
      </x:c>
      <x:c r="D1558" s="58" t="n">
        <x:v>1</x:v>
      </x:c>
      <x:c r="E1558" s="58" t="n">
        <x:v>2</x:v>
      </x:c>
      <x:c r="F1558" s="58" t="str">
        <x:v>SEARCH</x:v>
      </x:c>
      <x:c r="G1558" s="58" t="n">
        <x:v>8</x:v>
      </x:c>
      <x:c r="H1558" s="59" t="n">
        <x:v>15</x:v>
      </x:c>
      <x:c r="I1558" s="59" t="n">
        <x:v>0.12987</x:v>
      </x:c>
      <x:c r="J1558" s="59" t="n">
        <x:v>0.16884</x:v>
      </x:c>
      <x:c r="K1558" s="59" t="n">
        <x:v>0.08454</x:v>
      </x:c>
      <x:c r="L1558" s="59" t="n">
        <x:v>0.07791</x:v>
      </x:c>
      <x:c r="M1558" s="59" t="n">
        <x:v>0.21448</x:v>
      </x:c>
      <x:c r="N1558" s="60" t="n">
        <x:v>-83.56</x:v>
      </x:c>
      <x:c r="O1558" s="60" t="n">
        <x:v>137.79</x:v>
      </x:c>
      <x:c r="P1558" s="60" t="n">
        <x:v>107.97</x:v>
      </x:c>
      <x:c r="Q1558" s="60" t="n">
        <x:v>9.4</x:v>
      </x:c>
      <x:c r="R1558" s="58" t="str">
        <x:v>X</x:v>
      </x:c>
      <x:c r="S1558" s="60" t="n">
        <x:v>100</x:v>
      </x:c>
      <x:c r="T1558" s="58" t="str">
        <x:v>UNSTABLE — SEARCH CONTINUES</x:v>
      </x:c>
      <x:c r="U1558" s="58" t="n">
        <x:v>1961</x:v>
      </x:c>
      <x:c r="V1558" s="58" t="str">
        <x:v>Pasted text(59).txt</x:v>
      </x:c>
    </x:row>
    <x:row r="1559">
      <x:c r="A1559" s="58" t="str">
        <x:v>S16</x:v>
      </x:c>
      <x:c r="B1559" s="58" t="str">
        <x:v>26 Hz interrupted test</x:v>
      </x:c>
      <x:c r="C1559" s="58" t="n">
        <x:v>0.79</x:v>
      </x:c>
      <x:c r="D1559" s="58" t="n">
        <x:v>1</x:v>
      </x:c>
      <x:c r="E1559" s="58" t="n">
        <x:v>2</x:v>
      </x:c>
      <x:c r="F1559" s="58" t="str">
        <x:v>SEARCH</x:v>
      </x:c>
      <x:c r="G1559" s="58" t="n">
        <x:v>9</x:v>
      </x:c>
      <x:c r="H1559" s="59" t="n">
        <x:v>17</x:v>
      </x:c>
      <x:c r="I1559" s="59" t="n">
        <x:v>0.14934</x:v>
      </x:c>
      <x:c r="J1559" s="59" t="n">
        <x:v>0.12586</x:v>
      </x:c>
      <x:c r="K1559" s="59" t="n">
        <x:v>0.23152</x:v>
      </x:c>
      <x:c r="L1559" s="59" t="n">
        <x:v>0.0895</x:v>
      </x:c>
      <x:c r="M1559" s="59" t="n">
        <x:v>0.2848</x:v>
      </x:c>
      <x:c r="N1559" s="60" t="n">
        <x:v>-81.1</x:v>
      </x:c>
      <x:c r="O1559" s="60" t="n">
        <x:v>52.31</x:v>
      </x:c>
      <x:c r="P1559" s="60" t="n">
        <x:v>71.69</x:v>
      </x:c>
      <x:c r="Q1559" s="60" t="n">
        <x:v>8.7</x:v>
      </x:c>
      <x:c r="R1559" s="58" t="str">
        <x:v>Y</x:v>
      </x:c>
      <x:c r="S1559" s="60" t="n">
        <x:v>54.4</x:v>
      </x:c>
      <x:c r="T1559" s="58" t="str">
        <x:v>UNSTABLE — SEARCH CONTINUES</x:v>
      </x:c>
      <x:c r="U1559" s="58" t="n">
        <x:v>1962</x:v>
      </x:c>
      <x:c r="V1559" s="58" t="str">
        <x:v>Pasted text(59).txt</x:v>
      </x:c>
    </x:row>
    <x:row r="1560">
      <x:c r="A1560" s="58" t="str">
        <x:v>S16</x:v>
      </x:c>
      <x:c r="B1560" s="58" t="str">
        <x:v>26 Hz interrupted test</x:v>
      </x:c>
      <x:c r="C1560" s="58" t="n">
        <x:v>0.79</x:v>
      </x:c>
      <x:c r="D1560" s="58" t="n">
        <x:v>1</x:v>
      </x:c>
      <x:c r="E1560" s="58" t="n">
        <x:v>2</x:v>
      </x:c>
      <x:c r="F1560" s="58" t="str">
        <x:v>SEARCH</x:v>
      </x:c>
      <x:c r="G1560" s="58" t="n">
        <x:v>10</x:v>
      </x:c>
      <x:c r="H1560" s="59" t="n">
        <x:v>19</x:v>
      </x:c>
      <x:c r="I1560" s="59" t="n">
        <x:v>0.0539</x:v>
      </x:c>
      <x:c r="J1560" s="59" t="n">
        <x:v>0.05121</x:v>
      </x:c>
      <x:c r="K1560" s="59" t="n">
        <x:v>0.0678</x:v>
      </x:c>
      <x:c r="L1560" s="59" t="n">
        <x:v>0.05813</x:v>
      </x:c>
      <x:c r="M1560" s="59" t="n">
        <x:v>0.10363</x:v>
      </x:c>
      <x:c r="N1560" s="60" t="n">
        <x:v>-93.18</x:v>
      </x:c>
      <x:c r="O1560" s="60" t="n">
        <x:v>14.8</x:v>
      </x:c>
      <x:c r="P1560" s="60" t="n">
        <x:v>7.43</x:v>
      </x:c>
      <x:c r="Q1560" s="60" t="n">
        <x:v>7.3</x:v>
      </x:c>
      <x:c r="R1560" s="58" t="str">
        <x:v>Y</x:v>
      </x:c>
      <x:c r="S1560" s="60" t="n">
        <x:v>75.5</x:v>
      </x:c>
      <x:c r="T1560" s="58" t="str">
        <x:v>BELOW MEASUREMENT FLOOR — SEARCH CONTINUES</x:v>
      </x:c>
      <x:c r="U1560" s="58" t="n">
        <x:v>1963</x:v>
      </x:c>
      <x:c r="V1560" s="58" t="str">
        <x:v>Pasted text(59).txt</x:v>
      </x:c>
    </x:row>
    <x:row r="1561">
      <x:c r="A1561" s="58" t="str">
        <x:v>S16</x:v>
      </x:c>
      <x:c r="B1561" s="58" t="str">
        <x:v>26 Hz interrupted test</x:v>
      </x:c>
      <x:c r="C1561" s="58" t="n">
        <x:v>0.79</x:v>
      </x:c>
      <x:c r="D1561" s="58" t="n">
        <x:v>1</x:v>
      </x:c>
      <x:c r="E1561" s="58" t="n">
        <x:v>2</x:v>
      </x:c>
      <x:c r="F1561" s="58" t="str">
        <x:v>SEARCH</x:v>
      </x:c>
      <x:c r="G1561" s="58" t="n">
        <x:v>11</x:v>
      </x:c>
      <x:c r="H1561" s="59" t="n">
        <x:v>21</x:v>
      </x:c>
      <x:c r="I1561" s="59" t="n">
        <x:v>0.05259</x:v>
      </x:c>
      <x:c r="J1561" s="59" t="n">
        <x:v>0.04737</x:v>
      </x:c>
      <x:c r="K1561" s="59" t="n">
        <x:v>0.14819</x:v>
      </x:c>
      <x:c r="L1561" s="59" t="n">
        <x:v>0.06166</x:v>
      </x:c>
      <x:c r="M1561" s="59" t="n">
        <x:v>0.16759</x:v>
      </x:c>
      <x:c r="N1561" s="60" t="n">
        <x:v>-93.34</x:v>
      </x:c>
      <x:c r="O1561" s="60" t="n">
        <x:v>29.42</x:v>
      </x:c>
      <x:c r="P1561" s="60" t="n">
        <x:v>15.58</x:v>
      </x:c>
      <x:c r="Q1561" s="60" t="n">
        <x:v>6.7</x:v>
      </x:c>
      <x:c r="R1561" s="58" t="str">
        <x:v>Y</x:v>
      </x:c>
      <x:c r="S1561" s="60" t="n">
        <x:v>32</x:v>
      </x:c>
      <x:c r="T1561" s="58" t="str">
        <x:v>BELOW MEASUREMENT FLOOR — SEARCH CONTINUES</x:v>
      </x:c>
      <x:c r="U1561" s="58" t="n">
        <x:v>1964</x:v>
      </x:c>
      <x:c r="V1561" s="58" t="str">
        <x:v>Pasted text(59).txt</x:v>
      </x:c>
    </x:row>
    <x:row r="1562">
      <x:c r="A1562" s="58" t="str">
        <x:v>S16</x:v>
      </x:c>
      <x:c r="B1562" s="58" t="str">
        <x:v>26 Hz interrupted test</x:v>
      </x:c>
      <x:c r="C1562" s="58" t="n">
        <x:v>0.79</x:v>
      </x:c>
      <x:c r="D1562" s="58" t="n">
        <x:v>1</x:v>
      </x:c>
      <x:c r="E1562" s="58" t="n">
        <x:v>2</x:v>
      </x:c>
      <x:c r="F1562" s="58" t="str">
        <x:v>SEARCH</x:v>
      </x:c>
      <x:c r="G1562" s="58" t="n">
        <x:v>12</x:v>
      </x:c>
      <x:c r="H1562" s="59" t="n">
        <x:v>23</x:v>
      </x:c>
      <x:c r="I1562" s="59" t="n">
        <x:v>0.08456</x:v>
      </x:c>
      <x:c r="J1562" s="59" t="n">
        <x:v>0.1307</x:v>
      </x:c>
      <x:c r="K1562" s="59" t="n">
        <x:v>0.17033</x:v>
      </x:c>
      <x:c r="L1562" s="59" t="n">
        <x:v>0.10548</x:v>
      </x:c>
      <x:c r="M1562" s="59" t="n">
        <x:v>0.24502</x:v>
      </x:c>
      <x:c r="N1562" s="60" t="n">
        <x:v>-89.3</x:v>
      </x:c>
      <x:c r="O1562" s="60" t="n">
        <x:v>87.5</x:v>
      </x:c>
      <x:c r="P1562" s="60" t="n">
        <x:v>96.13</x:v>
      </x:c>
      <x:c r="Q1562" s="60" t="n">
        <x:v>8.2</x:v>
      </x:c>
      <x:c r="R1562" s="58" t="str">
        <x:v>Y</x:v>
      </x:c>
      <x:c r="S1562" s="60" t="n">
        <x:v>76.7</x:v>
      </x:c>
      <x:c r="T1562" s="58" t="str">
        <x:v>UNSTABLE — SEARCH CONTINUES</x:v>
      </x:c>
      <x:c r="U1562" s="58" t="n">
        <x:v>1965</x:v>
      </x:c>
      <x:c r="V1562" s="58" t="str">
        <x:v>Pasted text(59).txt</x:v>
      </x:c>
    </x:row>
    <x:row r="1563">
      <x:c r="A1563" s="58" t="str">
        <x:v>S16</x:v>
      </x:c>
      <x:c r="B1563" s="58" t="str">
        <x:v>26 Hz interrupted test</x:v>
      </x:c>
      <x:c r="C1563" s="58" t="n">
        <x:v>0.79</x:v>
      </x:c>
      <x:c r="D1563" s="58" t="n">
        <x:v>1</x:v>
      </x:c>
      <x:c r="E1563" s="58" t="n">
        <x:v>2</x:v>
      </x:c>
      <x:c r="F1563" s="58" t="str">
        <x:v>SEARCH</x:v>
      </x:c>
      <x:c r="G1563" s="58" t="n">
        <x:v>13</x:v>
      </x:c>
      <x:c r="H1563" s="59" t="n">
        <x:v>25</x:v>
      </x:c>
      <x:c r="I1563" s="59" t="n">
        <x:v>0.02073</x:v>
      </x:c>
      <x:c r="J1563" s="59" t="n">
        <x:v>0.01894</x:v>
      </x:c>
      <x:c r="K1563" s="59" t="n">
        <x:v>0.05491</x:v>
      </x:c>
      <x:c r="L1563" s="59" t="n">
        <x:v>0.05383</x:v>
      </x:c>
      <x:c r="M1563" s="59" t="n">
        <x:v>0.08027</x:v>
      </x:c>
      <x:c r="N1563" s="60" t="n">
        <x:v>-97.38</x:v>
      </x:c>
      <x:c r="O1563" s="60" t="n">
        <x:v>25.54</x:v>
      </x:c>
      <x:c r="P1563" s="60" t="n">
        <x:v>13.33</x:v>
      </x:c>
      <x:c r="Q1563" s="60" t="n">
        <x:v>3.4</x:v>
      </x:c>
      <x:c r="R1563" s="58" t="str">
        <x:v>Y</x:v>
      </x:c>
      <x:c r="S1563" s="60" t="n">
        <x:v>34.5</x:v>
      </x:c>
      <x:c r="T1563" s="58" t="str">
        <x:v>BELOW MEASUREMENT FLOOR — SEARCH CONTINUES</x:v>
      </x:c>
      <x:c r="U1563" s="58" t="n">
        <x:v>1966</x:v>
      </x:c>
      <x:c r="V1563" s="58" t="str">
        <x:v>Pasted text(59).txt</x:v>
      </x:c>
    </x:row>
    <x:row r="1564">
      <x:c r="A1564" s="58" t="str">
        <x:v>S16</x:v>
      </x:c>
      <x:c r="B1564" s="58" t="str">
        <x:v>26 Hz interrupted test</x:v>
      </x:c>
      <x:c r="C1564" s="58" t="n">
        <x:v>0.79</x:v>
      </x:c>
      <x:c r="D1564" s="58" t="n">
        <x:v>1</x:v>
      </x:c>
      <x:c r="E1564" s="58" t="n">
        <x:v>2</x:v>
      </x:c>
      <x:c r="F1564" s="58" t="str">
        <x:v>SEARCH</x:v>
      </x:c>
      <x:c r="G1564" s="58" t="n">
        <x:v>14</x:v>
      </x:c>
      <x:c r="H1564" s="59" t="n">
        <x:v>27</x:v>
      </x:c>
      <x:c r="I1564" s="59" t="n">
        <x:v>0.08847</x:v>
      </x:c>
      <x:c r="J1564" s="59" t="n">
        <x:v>0.16413</x:v>
      </x:c>
      <x:c r="K1564" s="59" t="n">
        <x:v>0.15309</x:v>
      </x:c>
      <x:c r="L1564" s="59" t="n">
        <x:v>0.32803</x:v>
      </x:c>
      <x:c r="M1564" s="59" t="n">
        <x:v>0.4068</x:v>
      </x:c>
      <x:c r="N1564" s="60" t="n">
        <x:v>-88.8</x:v>
      </x:c>
      <x:c r="O1564" s="60" t="n">
        <x:v>54.25</x:v>
      </x:c>
      <x:c r="P1564" s="60" t="n">
        <x:v>97.43</x:v>
      </x:c>
      <x:c r="Q1564" s="60" t="n">
        <x:v>13.6</x:v>
      </x:c>
      <x:c r="R1564" s="58" t="str">
        <x:v>Z</x:v>
      </x:c>
      <x:c r="S1564" s="60" t="n">
        <x:v>50</x:v>
      </x:c>
      <x:c r="T1564" s="58" t="str">
        <x:v>UNSTABLE — SEARCH CONTINUES</x:v>
      </x:c>
      <x:c r="U1564" s="58" t="n">
        <x:v>1967</x:v>
      </x:c>
      <x:c r="V1564" s="58" t="str">
        <x:v>Pasted text(59).txt</x:v>
      </x:c>
    </x:row>
    <x:row r="1565">
      <x:c r="A1565" s="58" t="str">
        <x:v>S16</x:v>
      </x:c>
      <x:c r="B1565" s="58" t="str">
        <x:v>26 Hz interrupted test</x:v>
      </x:c>
      <x:c r="C1565" s="58" t="n">
        <x:v>0.79</x:v>
      </x:c>
      <x:c r="D1565" s="58" t="n">
        <x:v>1</x:v>
      </x:c>
      <x:c r="E1565" s="58" t="n">
        <x:v>2</x:v>
      </x:c>
      <x:c r="F1565" s="58" t="str">
        <x:v>SEARCH</x:v>
      </x:c>
      <x:c r="G1565" s="58" t="n">
        <x:v>15</x:v>
      </x:c>
      <x:c r="H1565" s="59" t="n">
        <x:v>29</x:v>
      </x:c>
      <x:c r="I1565" s="59" t="n">
        <x:v>0.05886</x:v>
      </x:c>
      <x:c r="J1565" s="59" t="n">
        <x:v>0.10372</x:v>
      </x:c>
      <x:c r="K1565" s="59" t="n">
        <x:v>0.06279</x:v>
      </x:c>
      <x:c r="L1565" s="59" t="n">
        <x:v>0.05949</x:v>
      </x:c>
      <x:c r="M1565" s="59" t="n">
        <x:v>0.15136</x:v>
      </x:c>
      <x:c r="N1565" s="60" t="n">
        <x:v>-92.55</x:v>
      </x:c>
      <x:c r="O1565" s="60" t="n">
        <x:v>86.18</x:v>
      </x:c>
      <x:c r="P1565" s="60" t="n">
        <x:v>104.79</x:v>
      </x:c>
      <x:c r="Q1565" s="60" t="n">
        <x:v>7.8</x:v>
      </x:c>
      <x:c r="R1565" s="58" t="str">
        <x:v>X</x:v>
      </x:c>
      <x:c r="S1565" s="60" t="n">
        <x:v>100</x:v>
      </x:c>
      <x:c r="T1565" s="58" t="str">
        <x:v>BELOW MEASUREMENT FLOOR — SEARCH CONTINUES</x:v>
      </x:c>
      <x:c r="U1565" s="58" t="n">
        <x:v>1968</x:v>
      </x:c>
      <x:c r="V1565" s="58" t="str">
        <x:v>Pasted text(59).txt</x:v>
      </x:c>
    </x:row>
    <x:row r="1566">
      <x:c r="A1566" s="58" t="str">
        <x:v>S17</x:v>
      </x:c>
      <x:c r="B1566" s="58" t="str">
        <x:v>0.75 validation at 268.8 Hz — high-gain/quantization limitation</x:v>
      </x:c>
      <x:c r="C1566" s="58" t="n">
        <x:v>0.75</x:v>
      </x:c>
      <x:c r="D1566" s="58" t="n">
        <x:v>1</x:v>
      </x:c>
      <x:c r="E1566" s="58" t="n">
        <x:v>1</x:v>
      </x:c>
      <x:c r="F1566" s="58" t="str">
        <x:v>SEARCH</x:v>
      </x:c>
      <x:c r="G1566" s="58" t="n">
        <x:v>1</x:v>
      </x:c>
      <x:c r="H1566" s="59" t="n">
        <x:v>1</x:v>
      </x:c>
      <x:c r="I1566" s="59" t="n">
        <x:v>0.01806</x:v>
      </x:c>
      <x:c r="J1566" s="59" t="n">
        <x:v>0.01702</x:v>
      </x:c>
      <x:c r="K1566" s="59" t="n">
        <x:v>0.04554</x:v>
      </x:c>
      <x:c r="L1566" s="59" t="n">
        <x:v>0.03455</x:v>
      </x:c>
      <x:c r="M1566" s="59" t="n">
        <x:v>0.06141</x:v>
      </x:c>
      <x:c r="N1566" s="60" t="n">
        <x:v>-97.59</x:v>
      </x:c>
      <x:c r="O1566" s="60" t="n">
        <x:v>17.15</x:v>
      </x:c>
      <x:c r="P1566" s="60" t="n">
        <x:v>8.68</x:v>
      </x:c>
      <x:c r="Q1566" s="60" t="n">
        <x:v>2.7</x:v>
      </x:c>
      <x:c r="R1566" s="58" t="str">
        <x:v>Y</x:v>
      </x:c>
      <x:c r="S1566" s="60" t="n">
        <x:v>37.4</x:v>
      </x:c>
      <x:c r="T1566" s="58" t="str">
        <x:v>BELOW MEASUREMENT FLOOR — SEARCH CONTINUES</x:v>
      </x:c>
      <x:c r="U1566" s="58" t="n">
        <x:v>2058</x:v>
      </x:c>
      <x:c r="V1566" s="58" t="str">
        <x:v>Pasted text(59).txt</x:v>
      </x:c>
    </x:row>
    <x:row r="1567">
      <x:c r="A1567" s="58" t="str">
        <x:v>S17</x:v>
      </x:c>
      <x:c r="B1567" s="58" t="str">
        <x:v>0.75 validation at 268.8 Hz — high-gain/quantization limitation</x:v>
      </x:c>
      <x:c r="C1567" s="58" t="n">
        <x:v>0.75</x:v>
      </x:c>
      <x:c r="D1567" s="58" t="n">
        <x:v>1</x:v>
      </x:c>
      <x:c r="E1567" s="58" t="n">
        <x:v>1</x:v>
      </x:c>
      <x:c r="F1567" s="58" t="str">
        <x:v>SEARCH</x:v>
      </x:c>
      <x:c r="G1567" s="58" t="n">
        <x:v>2</x:v>
      </x:c>
      <x:c r="H1567" s="59" t="n">
        <x:v>3</x:v>
      </x:c>
      <x:c r="I1567" s="59" t="n">
        <x:v>0.82195</x:v>
      </x:c>
      <x:c r="J1567" s="59" t="n">
        <x:v>0.82138</x:v>
      </x:c>
      <x:c r="K1567" s="59" t="n">
        <x:v>0.33742</x:v>
      </x:c>
      <x:c r="L1567" s="59" t="n">
        <x:v>0.18075</x:v>
      </x:c>
      <x:c r="M1567" s="59" t="n">
        <x:v>0.9082</x:v>
      </x:c>
      <x:c r="N1567" s="60" t="n">
        <x:v>9.59</x:v>
      </x:c>
      <x:c r="O1567" s="60" t="n">
        <x:v>3.82</x:v>
      </x:c>
      <x:c r="P1567" s="60" t="n">
        <x:v>2.69</x:v>
      </x:c>
      <x:c r="Q1567" s="60" t="n">
        <x:v>55.3</x:v>
      </x:c>
      <x:c r="R1567" s="58" t="str">
        <x:v>X</x:v>
      </x:c>
      <x:c r="S1567" s="60" t="n">
        <x:v>100</x:v>
      </x:c>
      <x:c r="T1567" s="58" t="str">
        <x:v>VALID</x:v>
      </x:c>
      <x:c r="U1567" s="58" t="n">
        <x:v>2059</x:v>
      </x:c>
      <x:c r="V1567" s="58" t="str">
        <x:v>Pasted text(59).txt</x:v>
      </x:c>
    </x:row>
    <x:row r="1568">
      <x:c r="A1568" s="58" t="str">
        <x:v>S17</x:v>
      </x:c>
      <x:c r="B1568" s="58" t="str">
        <x:v>0.75 validation at 268.8 Hz — high-gain/quantization limitation</x:v>
      </x:c>
      <x:c r="C1568" s="58" t="n">
        <x:v>0.75</x:v>
      </x:c>
      <x:c r="D1568" s="58" t="n">
        <x:v>1</x:v>
      </x:c>
      <x:c r="E1568" s="58" t="n">
        <x:v>2</x:v>
      </x:c>
      <x:c r="F1568" s="58" t="str">
        <x:v>SEARCH</x:v>
      </x:c>
      <x:c r="G1568" s="58" t="n">
        <x:v>1</x:v>
      </x:c>
      <x:c r="H1568" s="59" t="n">
        <x:v>1</x:v>
      </x:c>
      <x:c r="I1568" s="59" t="n">
        <x:v>0.03282</x:v>
      </x:c>
      <x:c r="J1568" s="59" t="n">
        <x:v>0.03378</x:v>
      </x:c>
      <x:c r="K1568" s="59" t="n">
        <x:v>0.06453</x:v>
      </x:c>
      <x:c r="L1568" s="59" t="n">
        <x:v>0.03643</x:v>
      </x:c>
      <x:c r="M1568" s="59" t="n">
        <x:v>0.08245</x:v>
      </x:c>
      <x:c r="N1568" s="60" t="n">
        <x:v>-95.62</x:v>
      </x:c>
      <x:c r="O1568" s="60" t="n">
        <x:v>9.57</x:v>
      </x:c>
      <x:c r="P1568" s="60" t="n">
        <x:v>10.83</x:v>
      </x:c>
      <x:c r="Q1568" s="60" t="n">
        <x:v>5.5</x:v>
      </x:c>
      <x:c r="R1568" s="58" t="str">
        <x:v>Y</x:v>
      </x:c>
      <x:c r="S1568" s="60" t="n">
        <x:v>52.4</x:v>
      </x:c>
      <x:c r="T1568" s="58" t="str">
        <x:v>BELOW MEASUREMENT FLOOR — SEARCH CONTINUES</x:v>
      </x:c>
      <x:c r="U1568" s="58" t="n">
        <x:v>2066</x:v>
      </x:c>
      <x:c r="V1568" s="58" t="str">
        <x:v>Pasted text(59).txt</x:v>
      </x:c>
    </x:row>
    <x:row r="1569">
      <x:c r="A1569" s="58" t="str">
        <x:v>S17</x:v>
      </x:c>
      <x:c r="B1569" s="58" t="str">
        <x:v>0.75 validation at 268.8 Hz — high-gain/quantization limitation</x:v>
      </x:c>
      <x:c r="C1569" s="58" t="n">
        <x:v>0.75</x:v>
      </x:c>
      <x:c r="D1569" s="58" t="n">
        <x:v>1</x:v>
      </x:c>
      <x:c r="E1569" s="58" t="n">
        <x:v>2</x:v>
      </x:c>
      <x:c r="F1569" s="58" t="str">
        <x:v>SEARCH</x:v>
      </x:c>
      <x:c r="G1569" s="58" t="n">
        <x:v>2</x:v>
      </x:c>
      <x:c r="H1569" s="59" t="n">
        <x:v>3</x:v>
      </x:c>
      <x:c r="I1569" s="59" t="n">
        <x:v>0.8706</x:v>
      </x:c>
      <x:c r="J1569" s="59" t="n">
        <x:v>0.87275</x:v>
      </x:c>
      <x:c r="K1569" s="59" t="n">
        <x:v>0.44575</x:v>
      </x:c>
      <x:c r="L1569" s="59" t="n">
        <x:v>0.17324</x:v>
      </x:c>
      <x:c r="M1569" s="59" t="n">
        <x:v>0.99609</x:v>
      </x:c>
      <x:c r="N1569" s="60" t="n">
        <x:v>16.08</x:v>
      </x:c>
      <x:c r="O1569" s="60" t="n">
        <x:v>3.83</x:v>
      </x:c>
      <x:c r="P1569" s="60" t="n">
        <x:v>2.96</x:v>
      </x:c>
      <x:c r="Q1569" s="60" t="n">
        <x:v>57.6</x:v>
      </x:c>
      <x:c r="R1569" s="58" t="str">
        <x:v>X</x:v>
      </x:c>
      <x:c r="S1569" s="60" t="n">
        <x:v>100</x:v>
      </x:c>
      <x:c r="T1569" s="58" t="str">
        <x:v>VALID</x:v>
      </x:c>
      <x:c r="U1569" s="58" t="n">
        <x:v>2067</x:v>
      </x:c>
      <x:c r="V1569" s="58" t="str">
        <x:v>Pasted text(59).txt</x:v>
      </x:c>
    </x:row>
    <x:row r="1570">
      <x:c r="A1570" s="58" t="str">
        <x:v>S17</x:v>
      </x:c>
      <x:c r="B1570" s="58" t="str">
        <x:v>0.75 validation at 268.8 Hz — high-gain/quantization limitation</x:v>
      </x:c>
      <x:c r="C1570" s="58" t="n">
        <x:v>0.75</x:v>
      </x:c>
      <x:c r="D1570" s="58" t="n">
        <x:v>2</x:v>
      </x:c>
      <x:c r="E1570" s="58" t="n">
        <x:v>1</x:v>
      </x:c>
      <x:c r="F1570" s="58" t="str">
        <x:v>SEARCH</x:v>
      </x:c>
      <x:c r="G1570" s="58" t="n">
        <x:v>1</x:v>
      </x:c>
      <x:c r="H1570" s="59" t="n">
        <x:v>1</x:v>
      </x:c>
      <x:c r="I1570" s="59" t="n">
        <x:v>0.04127</x:v>
      </x:c>
      <x:c r="J1570" s="59" t="n">
        <x:v>0.04084</x:v>
      </x:c>
      <x:c r="K1570" s="59" t="n">
        <x:v>0.04376</x:v>
      </x:c>
      <x:c r="L1570" s="59" t="n">
        <x:v>0.01915</x:v>
      </x:c>
      <x:c r="M1570" s="59" t="n">
        <x:v>0.06508</x:v>
      </x:c>
      <x:c r="N1570" s="60" t="n">
        <x:v>-94.5</x:v>
      </x:c>
      <x:c r="O1570" s="60" t="n">
        <x:v>24.33</x:v>
      </x:c>
      <x:c r="P1570" s="60" t="n">
        <x:v>18.18</x:v>
      </x:c>
      <x:c r="Q1570" s="60" t="n">
        <x:v>6.7</x:v>
      </x:c>
      <x:c r="R1570" s="58" t="str">
        <x:v>Y</x:v>
      </x:c>
      <x:c r="S1570" s="60" t="n">
        <x:v>93.3</x:v>
      </x:c>
      <x:c r="T1570" s="58" t="str">
        <x:v>BELOW MEASUREMENT FLOOR — SEARCH CONTINUES</x:v>
      </x:c>
      <x:c r="U1570" s="58" t="n">
        <x:v>2086</x:v>
      </x:c>
      <x:c r="V1570" s="58" t="str">
        <x:v>Pasted text(59).txt</x:v>
      </x:c>
    </x:row>
    <x:row r="1571">
      <x:c r="A1571" s="58" t="str">
        <x:v>S17</x:v>
      </x:c>
      <x:c r="B1571" s="58" t="str">
        <x:v>0.75 validation at 268.8 Hz — high-gain/quantization limitation</x:v>
      </x:c>
      <x:c r="C1571" s="58" t="n">
        <x:v>0.75</x:v>
      </x:c>
      <x:c r="D1571" s="58" t="n">
        <x:v>2</x:v>
      </x:c>
      <x:c r="E1571" s="58" t="n">
        <x:v>1</x:v>
      </x:c>
      <x:c r="F1571" s="58" t="str">
        <x:v>SEARCH</x:v>
      </x:c>
      <x:c r="G1571" s="58" t="n">
        <x:v>2</x:v>
      </x:c>
      <x:c r="H1571" s="59" t="n">
        <x:v>3</x:v>
      </x:c>
      <x:c r="I1571" s="59" t="n">
        <x:v>0.7977</x:v>
      </x:c>
      <x:c r="J1571" s="59" t="n">
        <x:v>0.81231</x:v>
      </x:c>
      <x:c r="K1571" s="59" t="n">
        <x:v>0.34247</x:v>
      </x:c>
      <x:c r="L1571" s="59" t="n">
        <x:v>0.17155</x:v>
      </x:c>
      <x:c r="M1571" s="59" t="n">
        <x:v>0.90089</x:v>
      </x:c>
      <x:c r="N1571" s="60" t="n">
        <x:v>6.36</x:v>
      </x:c>
      <x:c r="O1571" s="60" t="n">
        <x:v>1.8</x:v>
      </x:c>
      <x:c r="P1571" s="60" t="n">
        <x:v>4.19</x:v>
      </x:c>
      <x:c r="Q1571" s="60" t="n">
        <x:v>54.4</x:v>
      </x:c>
      <x:c r="R1571" s="58" t="str">
        <x:v>X</x:v>
      </x:c>
      <x:c r="S1571" s="60" t="n">
        <x:v>100</x:v>
      </x:c>
      <x:c r="T1571" s="58" t="str">
        <x:v>IN TARGET BAND</x:v>
      </x:c>
      <x:c r="U1571" s="58" t="n">
        <x:v>2087</x:v>
      </x:c>
      <x:c r="V1571" s="58" t="str">
        <x:v>Pasted text(59).txt</x:v>
      </x:c>
    </x:row>
    <x:row r="1572">
      <x:c r="A1572" s="58" t="str">
        <x:v>S17</x:v>
      </x:c>
      <x:c r="B1572" s="58" t="str">
        <x:v>0.75 validation at 268.8 Hz — high-gain/quantization limitation</x:v>
      </x:c>
      <x:c r="C1572" s="58" t="n">
        <x:v>0.75</x:v>
      </x:c>
      <x:c r="D1572" s="58" t="n">
        <x:v>2</x:v>
      </x:c>
      <x:c r="E1572" s="58" t="n">
        <x:v>1</x:v>
      </x:c>
      <x:c r="F1572" s="58" t="str">
        <x:v>FINE</x:v>
      </x:c>
      <x:c r="G1572" s="58" t="n">
        <x:v>1</x:v>
      </x:c>
      <x:c r="H1572" s="59" t="n">
        <x:v>2</x:v>
      </x:c>
      <x:c r="I1572" s="59" t="n">
        <x:v>0.37511</x:v>
      </x:c>
      <x:c r="J1572" s="59" t="n">
        <x:v>0.37664</x:v>
      </x:c>
      <x:c r="K1572" s="59" t="n">
        <x:v>0.14859</x:v>
      </x:c>
      <x:c r="L1572" s="59" t="n">
        <x:v>0.05541</x:v>
      </x:c>
      <x:c r="M1572" s="59" t="n">
        <x:v>0.41052</x:v>
      </x:c>
      <x:c r="N1572" s="60" t="n">
        <x:v>-49.99</x:v>
      </x:c>
      <x:c r="O1572" s="60" t="n">
        <x:v>0.36</x:v>
      </x:c>
      <x:c r="P1572" s="60" t="n">
        <x:v>0.92</x:v>
      </x:c>
      <x:c r="Q1572" s="60" t="n">
        <x:v>29.2</x:v>
      </x:c>
      <x:c r="R1572" s="58" t="str">
        <x:v>X</x:v>
      </x:c>
      <x:c r="S1572" s="60" t="n">
        <x:v>100</x:v>
      </x:c>
      <x:c r="T1572" s="58" t="str">
        <x:v>UNSTABLE — SEARCH CONTINUES</x:v>
      </x:c>
      <x:c r="U1572" s="58" t="n">
        <x:v>2091</x:v>
      </x:c>
      <x:c r="V1572" s="58" t="str">
        <x:v>Pasted text(59).txt</x:v>
      </x:c>
    </x:row>
    <x:row r="1573">
      <x:c r="A1573" s="58" t="str">
        <x:v>S17</x:v>
      </x:c>
      <x:c r="B1573" s="58" t="str">
        <x:v>0.75 validation at 268.8 Hz — high-gain/quantization limitation</x:v>
      </x:c>
      <x:c r="C1573" s="58" t="n">
        <x:v>0.75</x:v>
      </x:c>
      <x:c r="D1573" s="58" t="n">
        <x:v>2</x:v>
      </x:c>
      <x:c r="E1573" s="58" t="n">
        <x:v>1</x:v>
      </x:c>
      <x:c r="F1573" s="58" t="str">
        <x:v>FINE</x:v>
      </x:c>
      <x:c r="G1573" s="58" t="n">
        <x:v>2</x:v>
      </x:c>
      <x:c r="H1573" s="59" t="n">
        <x:v>2.25</x:v>
      </x:c>
      <x:c r="I1573" s="59" t="n">
        <x:v>0.45926</x:v>
      </x:c>
      <x:c r="J1573" s="59" t="n">
        <x:v>0.44167</x:v>
      </x:c>
      <x:c r="K1573" s="59" t="n">
        <x:v>0.19085</x:v>
      </x:c>
      <x:c r="L1573" s="59" t="n">
        <x:v>0.10054</x:v>
      </x:c>
      <x:c r="M1573" s="59" t="n">
        <x:v>0.49455</x:v>
      </x:c>
      <x:c r="N1573" s="60" t="n">
        <x:v>-38.77</x:v>
      </x:c>
      <x:c r="O1573" s="60" t="n">
        <x:v>1.59</x:v>
      </x:c>
      <x:c r="P1573" s="60" t="n">
        <x:v>7.88</x:v>
      </x:c>
      <x:c r="Q1573" s="60" t="n">
        <x:v>37.7</x:v>
      </x:c>
      <x:c r="R1573" s="58" t="str">
        <x:v>X</x:v>
      </x:c>
      <x:c r="S1573" s="60" t="n">
        <x:v>100</x:v>
      </x:c>
      <x:c r="T1573" s="58" t="str">
        <x:v>UNSTABLE — SEARCH CONTINUES</x:v>
      </x:c>
      <x:c r="U1573" s="58" t="n">
        <x:v>2092</x:v>
      </x:c>
      <x:c r="V1573" s="58" t="str">
        <x:v>Pasted text(59).txt</x:v>
      </x:c>
    </x:row>
    <x:row r="1574">
      <x:c r="A1574" s="58" t="str">
        <x:v>S17</x:v>
      </x:c>
      <x:c r="B1574" s="58" t="str">
        <x:v>0.75 validation at 268.8 Hz — high-gain/quantization limitation</x:v>
      </x:c>
      <x:c r="C1574" s="58" t="n">
        <x:v>0.75</x:v>
      </x:c>
      <x:c r="D1574" s="58" t="n">
        <x:v>2</x:v>
      </x:c>
      <x:c r="E1574" s="58" t="n">
        <x:v>1</x:v>
      </x:c>
      <x:c r="F1574" s="58" t="str">
        <x:v>FINE</x:v>
      </x:c>
      <x:c r="G1574" s="58" t="n">
        <x:v>3</x:v>
      </x:c>
      <x:c r="H1574" s="59" t="n">
        <x:v>2.5</x:v>
      </x:c>
      <x:c r="I1574" s="59" t="n">
        <x:v>0.46129</x:v>
      </x:c>
      <x:c r="J1574" s="59" t="n">
        <x:v>0.44736</x:v>
      </x:c>
      <x:c r="K1574" s="59" t="n">
        <x:v>0.19694</x:v>
      </x:c>
      <x:c r="L1574" s="59" t="n">
        <x:v>0.11455</x:v>
      </x:c>
      <x:c r="M1574" s="59" t="n">
        <x:v>0.50261</x:v>
      </x:c>
      <x:c r="N1574" s="60" t="n">
        <x:v>-38.49</x:v>
      </x:c>
      <x:c r="O1574" s="60" t="n">
        <x:v>0.14</x:v>
      </x:c>
      <x:c r="P1574" s="60" t="n">
        <x:v>5.48</x:v>
      </x:c>
      <x:c r="Q1574" s="60" t="n">
        <x:v>41.1</x:v>
      </x:c>
      <x:c r="R1574" s="58" t="str">
        <x:v>X</x:v>
      </x:c>
      <x:c r="S1574" s="60" t="n">
        <x:v>100</x:v>
      </x:c>
      <x:c r="T1574" s="58" t="str">
        <x:v>UNSTABLE — SEARCH CONTINUES</x:v>
      </x:c>
      <x:c r="U1574" s="58" t="n">
        <x:v>2093</x:v>
      </x:c>
      <x:c r="V1574" s="58" t="str">
        <x:v>Pasted text(59).txt</x:v>
      </x:c>
    </x:row>
    <x:row r="1575">
      <x:c r="A1575" s="58" t="str">
        <x:v>S17</x:v>
      </x:c>
      <x:c r="B1575" s="58" t="str">
        <x:v>0.75 validation at 268.8 Hz — high-gain/quantization limitation</x:v>
      </x:c>
      <x:c r="C1575" s="58" t="n">
        <x:v>0.75</x:v>
      </x:c>
      <x:c r="D1575" s="58" t="n">
        <x:v>2</x:v>
      </x:c>
      <x:c r="E1575" s="58" t="n">
        <x:v>1</x:v>
      </x:c>
      <x:c r="F1575" s="58" t="str">
        <x:v>FINE</x:v>
      </x:c>
      <x:c r="G1575" s="58" t="n">
        <x:v>4</x:v>
      </x:c>
      <x:c r="H1575" s="59" t="n">
        <x:v>2.75</x:v>
      </x:c>
      <x:c r="I1575" s="59" t="n">
        <x:v>0.72517</x:v>
      </x:c>
      <x:c r="J1575" s="59" t="n">
        <x:v>0.72067</x:v>
      </x:c>
      <x:c r="K1575" s="59" t="n">
        <x:v>0.30585</x:v>
      </x:c>
      <x:c r="L1575" s="59" t="n">
        <x:v>0.14582</x:v>
      </x:c>
      <x:c r="M1575" s="59" t="n">
        <x:v>0.7967</x:v>
      </x:c>
      <x:c r="N1575" s="60" t="n">
        <x:v>-3.31</x:v>
      </x:c>
      <x:c r="O1575" s="60" t="n">
        <x:v>5.15</x:v>
      </x:c>
      <x:c r="P1575" s="60" t="n">
        <x:v>4.47</x:v>
      </x:c>
      <x:c r="Q1575" s="60" t="n">
        <x:v>46.7</x:v>
      </x:c>
      <x:c r="R1575" s="58" t="str">
        <x:v>X</x:v>
      </x:c>
      <x:c r="S1575" s="60" t="n">
        <x:v>100</x:v>
      </x:c>
      <x:c r="T1575" s="58" t="str">
        <x:v>UNSTABLE — SEARCH CONTINUES</x:v>
      </x:c>
      <x:c r="U1575" s="58" t="n">
        <x:v>2094</x:v>
      </x:c>
      <x:c r="V1575" s="58" t="str">
        <x:v>Pasted text(59).txt</x:v>
      </x:c>
    </x:row>
    <x:row r="1576">
      <x:c r="A1576" s="58" t="str">
        <x:v>S17</x:v>
      </x:c>
      <x:c r="B1576" s="58" t="str">
        <x:v>0.75 validation at 268.8 Hz — high-gain/quantization limitation</x:v>
      </x:c>
      <x:c r="C1576" s="58" t="n">
        <x:v>0.75</x:v>
      </x:c>
      <x:c r="D1576" s="58" t="n">
        <x:v>2</x:v>
      </x:c>
      <x:c r="E1576" s="58" t="n">
        <x:v>1</x:v>
      </x:c>
      <x:c r="F1576" s="58" t="str">
        <x:v>FINE</x:v>
      </x:c>
      <x:c r="G1576" s="58" t="n">
        <x:v>5</x:v>
      </x:c>
      <x:c r="H1576" s="59" t="n">
        <x:v>3</x:v>
      </x:c>
      <x:c r="I1576" s="59" t="n">
        <x:v>0.84298</x:v>
      </x:c>
      <x:c r="J1576" s="59" t="n">
        <x:v>0.83299</x:v>
      </x:c>
      <x:c r="K1576" s="59" t="n">
        <x:v>0.35212</x:v>
      </x:c>
      <x:c r="L1576" s="59" t="n">
        <x:v>0.19444</x:v>
      </x:c>
      <x:c r="M1576" s="59" t="n">
        <x:v>0.92662</x:v>
      </x:c>
      <x:c r="N1576" s="60" t="n">
        <x:v>12.4</x:v>
      </x:c>
      <x:c r="O1576" s="60" t="n">
        <x:v>1.01</x:v>
      </x:c>
      <x:c r="P1576" s="60" t="n">
        <x:v>2.69</x:v>
      </x:c>
      <x:c r="Q1576" s="60" t="n">
        <x:v>56.4</x:v>
      </x:c>
      <x:c r="R1576" s="58" t="str">
        <x:v>X</x:v>
      </x:c>
      <x:c r="S1576" s="60" t="n">
        <x:v>100</x:v>
      </x:c>
      <x:c r="T1576" s="58" t="str">
        <x:v>VALID</x:v>
      </x:c>
      <x:c r="U1576" s="58" t="n">
        <x:v>2095</x:v>
      </x:c>
      <x:c r="V1576" s="58" t="str">
        <x:v>Pasted text(59).txt</x:v>
      </x:c>
    </x:row>
    <x:row r="1577">
      <x:c r="A1577" s="58" t="str">
        <x:v>S17</x:v>
      </x:c>
      <x:c r="B1577" s="58" t="str">
        <x:v>0.75 validation at 268.8 Hz — high-gain/quantization limitation</x:v>
      </x:c>
      <x:c r="C1577" s="58" t="n">
        <x:v>0.75</x:v>
      </x:c>
      <x:c r="D1577" s="58" t="n">
        <x:v>2</x:v>
      </x:c>
      <x:c r="E1577" s="58" t="n">
        <x:v>1</x:v>
      </x:c>
      <x:c r="F1577" s="58" t="str">
        <x:v>FINE</x:v>
      </x:c>
      <x:c r="G1577" s="58" t="n">
        <x:v>6</x:v>
      </x:c>
      <x:c r="H1577" s="59" t="n">
        <x:v>3.25</x:v>
      </x:c>
      <x:c r="I1577" s="59" t="n">
        <x:v>0.91096</x:v>
      </x:c>
      <x:c r="J1577" s="59" t="n">
        <x:v>0.9044</x:v>
      </x:c>
      <x:c r="K1577" s="59" t="n">
        <x:v>0.37453</x:v>
      </x:c>
      <x:c r="L1577" s="59" t="n">
        <x:v>0.19937</x:v>
      </x:c>
      <x:c r="M1577" s="59" t="n">
        <x:v>1.0013</x:v>
      </x:c>
      <x:c r="N1577" s="60" t="n">
        <x:v>21.46</x:v>
      </x:c>
      <x:c r="O1577" s="60" t="n">
        <x:v>2.81</x:v>
      </x:c>
      <x:c r="P1577" s="60" t="n">
        <x:v>3.06</x:v>
      </x:c>
      <x:c r="Q1577" s="60" t="n">
        <x:v>62.7</x:v>
      </x:c>
      <x:c r="R1577" s="58" t="str">
        <x:v>X</x:v>
      </x:c>
      <x:c r="S1577" s="60" t="n">
        <x:v>100</x:v>
      </x:c>
      <x:c r="T1577" s="58" t="str">
        <x:v>VALID</x:v>
      </x:c>
      <x:c r="U1577" s="58" t="n">
        <x:v>2096</x:v>
      </x:c>
      <x:c r="V1577" s="58" t="str">
        <x:v>Pasted text(59).txt</x:v>
      </x:c>
    </x:row>
    <x:row r="1578">
      <x:c r="A1578" s="58" t="str">
        <x:v>S17</x:v>
      </x:c>
      <x:c r="B1578" s="58" t="str">
        <x:v>0.75 validation at 268.8 Hz — high-gain/quantization limitation</x:v>
      </x:c>
      <x:c r="C1578" s="58" t="n">
        <x:v>0.75</x:v>
      </x:c>
      <x:c r="D1578" s="58" t="n">
        <x:v>2</x:v>
      </x:c>
      <x:c r="E1578" s="58" t="n">
        <x:v>1</x:v>
      </x:c>
      <x:c r="F1578" s="58" t="str">
        <x:v>FINE</x:v>
      </x:c>
      <x:c r="G1578" s="58" t="n">
        <x:v>7</x:v>
      </x:c>
      <x:c r="H1578" s="59" t="n">
        <x:v>3.5</x:v>
      </x:c>
      <x:c r="I1578" s="59" t="n">
        <x:v>0.92945</x:v>
      </x:c>
      <x:c r="J1578" s="59" t="n">
        <x:v>0.9234</x:v>
      </x:c>
      <x:c r="K1578" s="59" t="n">
        <x:v>0.43339</x:v>
      </x:c>
      <x:c r="L1578" s="59" t="n">
        <x:v>0.20324</x:v>
      </x:c>
      <x:c r="M1578" s="59" t="n">
        <x:v>1.04055</x:v>
      </x:c>
      <x:c r="N1578" s="60" t="n">
        <x:v>23.93</x:v>
      </x:c>
      <x:c r="O1578" s="60" t="n">
        <x:v>1.94</x:v>
      </x:c>
      <x:c r="P1578" s="60" t="n">
        <x:v>2.37</x:v>
      </x:c>
      <x:c r="Q1578" s="60" t="n">
        <x:v>65.9</x:v>
      </x:c>
      <x:c r="R1578" s="58" t="str">
        <x:v>X</x:v>
      </x:c>
      <x:c r="S1578" s="60" t="n">
        <x:v>100</x:v>
      </x:c>
      <x:c r="T1578" s="58" t="str">
        <x:v>VALID</x:v>
      </x:c>
      <x:c r="U1578" s="58" t="n">
        <x:v>2097</x:v>
      </x:c>
      <x:c r="V1578" s="58" t="str">
        <x:v>Pasted text(59).txt</x:v>
      </x:c>
    </x:row>
    <x:row r="1579">
      <x:c r="A1579" s="58" t="str">
        <x:v>S17</x:v>
      </x:c>
      <x:c r="B1579" s="58" t="str">
        <x:v>0.75 validation at 268.8 Hz — high-gain/quantization limitation</x:v>
      </x:c>
      <x:c r="C1579" s="58" t="n">
        <x:v>0.75</x:v>
      </x:c>
      <x:c r="D1579" s="58" t="n">
        <x:v>2</x:v>
      </x:c>
      <x:c r="E1579" s="58" t="n">
        <x:v>1</x:v>
      </x:c>
      <x:c r="F1579" s="58" t="str">
        <x:v>FINE</x:v>
      </x:c>
      <x:c r="G1579" s="58" t="n">
        <x:v>8</x:v>
      </x:c>
      <x:c r="H1579" s="59" t="n">
        <x:v>3.75</x:v>
      </x:c>
      <x:c r="I1579" s="59" t="n">
        <x:v>1.16251</x:v>
      </x:c>
      <x:c r="J1579" s="59" t="n">
        <x:v>1.15052</x:v>
      </x:c>
      <x:c r="K1579" s="59" t="n">
        <x:v>0.52191</x:v>
      </x:c>
      <x:c r="L1579" s="59" t="n">
        <x:v>0.24932</x:v>
      </x:c>
      <x:c r="M1579" s="59" t="n">
        <x:v>1.288</x:v>
      </x:c>
      <x:c r="N1579" s="60" t="n">
        <x:v>55</x:v>
      </x:c>
      <x:c r="O1579" s="60" t="n">
        <x:v>3.32</x:v>
      </x:c>
      <x:c r="P1579" s="60" t="n">
        <x:v>3.93</x:v>
      </x:c>
      <x:c r="Q1579" s="60" t="n">
        <x:v>65.8</x:v>
      </x:c>
      <x:c r="R1579" s="58" t="str">
        <x:v>X</x:v>
      </x:c>
      <x:c r="S1579" s="60" t="n">
        <x:v>100</x:v>
      </x:c>
      <x:c r="T1579" s="58" t="str">
        <x:v>VALID</x:v>
      </x:c>
      <x:c r="U1579" s="58" t="n">
        <x:v>2098</x:v>
      </x:c>
      <x:c r="V1579" s="58" t="str">
        <x:v>Pasted text(59).txt</x:v>
      </x:c>
    </x:row>
    <x:row r="1580">
      <x:c r="A1580" s="58" t="str">
        <x:v>S17</x:v>
      </x:c>
      <x:c r="B1580" s="58" t="str">
        <x:v>0.75 validation at 268.8 Hz — high-gain/quantization limitation</x:v>
      </x:c>
      <x:c r="C1580" s="58" t="n">
        <x:v>0.75</x:v>
      </x:c>
      <x:c r="D1580" s="58" t="n">
        <x:v>2</x:v>
      </x:c>
      <x:c r="E1580" s="58" t="n">
        <x:v>1</x:v>
      </x:c>
      <x:c r="F1580" s="58" t="str">
        <x:v>FINE</x:v>
      </x:c>
      <x:c r="G1580" s="58" t="n">
        <x:v>9</x:v>
      </x:c>
      <x:c r="H1580" s="59" t="n">
        <x:v>4</x:v>
      </x:c>
      <x:c r="I1580" s="59" t="n">
        <x:v>1.22638</x:v>
      </x:c>
      <x:c r="J1580" s="59" t="n">
        <x:v>1.22712</x:v>
      </x:c>
      <x:c r="K1580" s="59" t="n">
        <x:v>0.49597</x:v>
      </x:c>
      <x:c r="L1580" s="59" t="n">
        <x:v>0.27149</x:v>
      </x:c>
      <x:c r="M1580" s="59" t="n">
        <x:v>1.35171</x:v>
      </x:c>
      <x:c r="N1580" s="60" t="n">
        <x:v>63.52</x:v>
      </x:c>
      <x:c r="O1580" s="60" t="n">
        <x:v>1.06</x:v>
      </x:c>
      <x:c r="P1580" s="60" t="n">
        <x:v>0.81</x:v>
      </x:c>
      <x:c r="Q1580" s="60" t="n">
        <x:v>71.3</x:v>
      </x:c>
      <x:c r="R1580" s="58" t="str">
        <x:v>X</x:v>
      </x:c>
      <x:c r="S1580" s="60" t="n">
        <x:v>100</x:v>
      </x:c>
      <x:c r="T1580" s="58" t="str">
        <x:v>VALID</x:v>
      </x:c>
      <x:c r="U1580" s="58" t="n">
        <x:v>2099</x:v>
      </x:c>
      <x:c r="V1580" s="58" t="str">
        <x:v>Pasted text(59).txt</x:v>
      </x:c>
    </x:row>
    <x:row r="1581">
      <x:c r="A1581" s="58" t="str">
        <x:v>S17</x:v>
      </x:c>
      <x:c r="B1581" s="58" t="str">
        <x:v>0.75 validation at 268.8 Hz — high-gain/quantization limitation</x:v>
      </x:c>
      <x:c r="C1581" s="58" t="n">
        <x:v>0.75</x:v>
      </x:c>
      <x:c r="D1581" s="58" t="n">
        <x:v>2</x:v>
      </x:c>
      <x:c r="E1581" s="58" t="n">
        <x:v>2</x:v>
      </x:c>
      <x:c r="F1581" s="58" t="str">
        <x:v>SEARCH</x:v>
      </x:c>
      <x:c r="G1581" s="58" t="n">
        <x:v>1</x:v>
      </x:c>
      <x:c r="H1581" s="59" t="n">
        <x:v>1</x:v>
      </x:c>
      <x:c r="I1581" s="59" t="n">
        <x:v>0.02376</x:v>
      </x:c>
      <x:c r="J1581" s="59" t="n">
        <x:v>0.02181</x:v>
      </x:c>
      <x:c r="K1581" s="59" t="n">
        <x:v>0.05035</x:v>
      </x:c>
      <x:c r="L1581" s="59" t="n">
        <x:v>0.01342</x:v>
      </x:c>
      <x:c r="M1581" s="59" t="n">
        <x:v>0.05667</x:v>
      </x:c>
      <x:c r="N1581" s="60" t="n">
        <x:v>-96.83</x:v>
      </x:c>
      <x:c r="O1581" s="60" t="n">
        <x:v>24.4</x:v>
      </x:c>
      <x:c r="P1581" s="60" t="n">
        <x:v>12.68</x:v>
      </x:c>
      <x:c r="Q1581" s="60" t="n">
        <x:v>4.1</x:v>
      </x:c>
      <x:c r="R1581" s="58" t="str">
        <x:v>Y</x:v>
      </x:c>
      <x:c r="S1581" s="60" t="n">
        <x:v>43.3</x:v>
      </x:c>
      <x:c r="T1581" s="58" t="str">
        <x:v>BELOW MEASUREMENT FLOOR — SEARCH CONTINUES</x:v>
      </x:c>
      <x:c r="U1581" s="58" t="n">
        <x:v>2106</x:v>
      </x:c>
      <x:c r="V1581" s="58" t="str">
        <x:v>Pasted text(59).txt</x:v>
      </x:c>
    </x:row>
    <x:row r="1582">
      <x:c r="A1582" s="58" t="str">
        <x:v>S17</x:v>
      </x:c>
      <x:c r="B1582" s="58" t="str">
        <x:v>0.75 validation at 268.8 Hz — high-gain/quantization limitation</x:v>
      </x:c>
      <x:c r="C1582" s="58" t="n">
        <x:v>0.75</x:v>
      </x:c>
      <x:c r="D1582" s="58" t="n">
        <x:v>2</x:v>
      </x:c>
      <x:c r="E1582" s="58" t="n">
        <x:v>2</x:v>
      </x:c>
      <x:c r="F1582" s="58" t="str">
        <x:v>SEARCH</x:v>
      </x:c>
      <x:c r="G1582" s="58" t="n">
        <x:v>2</x:v>
      </x:c>
      <x:c r="H1582" s="59" t="n">
        <x:v>3</x:v>
      </x:c>
      <x:c r="I1582" s="59" t="n">
        <x:v>0.72954</x:v>
      </x:c>
      <x:c r="J1582" s="59" t="n">
        <x:v>0.72974</x:v>
      </x:c>
      <x:c r="K1582" s="59" t="n">
        <x:v>0.33246</x:v>
      </x:c>
      <x:c r="L1582" s="59" t="n">
        <x:v>0.18464</x:v>
      </x:c>
      <x:c r="M1582" s="59" t="n">
        <x:v>0.82481</x:v>
      </x:c>
      <x:c r="N1582" s="60" t="n">
        <x:v>-2.73</x:v>
      </x:c>
      <x:c r="O1582" s="60" t="n">
        <x:v>4.54</x:v>
      </x:c>
      <x:c r="P1582" s="60" t="n">
        <x:v>3.1</x:v>
      </x:c>
      <x:c r="Q1582" s="60" t="n">
        <x:v>56.5</x:v>
      </x:c>
      <x:c r="R1582" s="58" t="str">
        <x:v>X</x:v>
      </x:c>
      <x:c r="S1582" s="60" t="n">
        <x:v>100</x:v>
      </x:c>
      <x:c r="T1582" s="58" t="str">
        <x:v>IN TARGET BAND</x:v>
      </x:c>
      <x:c r="U1582" s="58" t="n">
        <x:v>2107</x:v>
      </x:c>
      <x:c r="V1582" s="58" t="str">
        <x:v>Pasted text(59).txt</x:v>
      </x:c>
    </x:row>
    <x:row r="1583">
      <x:c r="A1583" s="58" t="str">
        <x:v>S17</x:v>
      </x:c>
      <x:c r="B1583" s="58" t="str">
        <x:v>0.75 validation at 268.8 Hz — high-gain/quantization limitation</x:v>
      </x:c>
      <x:c r="C1583" s="58" t="n">
        <x:v>0.75</x:v>
      </x:c>
      <x:c r="D1583" s="58" t="n">
        <x:v>2</x:v>
      </x:c>
      <x:c r="E1583" s="58" t="n">
        <x:v>2</x:v>
      </x:c>
      <x:c r="F1583" s="58" t="str">
        <x:v>FINE</x:v>
      </x:c>
      <x:c r="G1583" s="58" t="n">
        <x:v>1</x:v>
      </x:c>
      <x:c r="H1583" s="59" t="n">
        <x:v>2</x:v>
      </x:c>
      <x:c r="I1583" s="59" t="n">
        <x:v>0.29727</x:v>
      </x:c>
      <x:c r="J1583" s="59" t="n">
        <x:v>0.30258</x:v>
      </x:c>
      <x:c r="K1583" s="59" t="n">
        <x:v>0.14299</x:v>
      </x:c>
      <x:c r="L1583" s="59" t="n">
        <x:v>0.06548</x:v>
      </x:c>
      <x:c r="M1583" s="59" t="n">
        <x:v>0.3427</x:v>
      </x:c>
      <x:c r="N1583" s="60" t="n">
        <x:v>-60.36</x:v>
      </x:c>
      <x:c r="O1583" s="60" t="n">
        <x:v>0.66</x:v>
      </x:c>
      <x:c r="P1583" s="60" t="n">
        <x:v>3.43</x:v>
      </x:c>
      <x:c r="Q1583" s="60" t="n">
        <x:v>27.2</x:v>
      </x:c>
      <x:c r="R1583" s="58" t="str">
        <x:v>X</x:v>
      </x:c>
      <x:c r="S1583" s="60" t="n">
        <x:v>100</x:v>
      </x:c>
      <x:c r="T1583" s="58" t="str">
        <x:v>UNSTABLE — SEARCH CONTINUES</x:v>
      </x:c>
      <x:c r="U1583" s="58" t="n">
        <x:v>2111</x:v>
      </x:c>
      <x:c r="V1583" s="58" t="str">
        <x:v>Pasted text(59).txt</x:v>
      </x:c>
    </x:row>
    <x:row r="1584">
      <x:c r="A1584" s="58" t="str">
        <x:v>S17</x:v>
      </x:c>
      <x:c r="B1584" s="58" t="str">
        <x:v>0.75 validation at 268.8 Hz — high-gain/quantization limitation</x:v>
      </x:c>
      <x:c r="C1584" s="58" t="n">
        <x:v>0.75</x:v>
      </x:c>
      <x:c r="D1584" s="58" t="n">
        <x:v>2</x:v>
      </x:c>
      <x:c r="E1584" s="58" t="n">
        <x:v>2</x:v>
      </x:c>
      <x:c r="F1584" s="58" t="str">
        <x:v>FINE</x:v>
      </x:c>
      <x:c r="G1584" s="58" t="n">
        <x:v>2</x:v>
      </x:c>
      <x:c r="H1584" s="59" t="n">
        <x:v>2.25</x:v>
      </x:c>
      <x:c r="I1584" s="59" t="n">
        <x:v>0.35702</x:v>
      </x:c>
      <x:c r="J1584" s="59" t="n">
        <x:v>0.35415</x:v>
      </x:c>
      <x:c r="K1584" s="59" t="n">
        <x:v>0.18666</x:v>
      </x:c>
      <x:c r="L1584" s="59" t="n">
        <x:v>0.09574</x:v>
      </x:c>
      <x:c r="M1584" s="59" t="n">
        <x:v>0.41566</x:v>
      </x:c>
      <x:c r="N1584" s="60" t="n">
        <x:v>-52.4</x:v>
      </x:c>
      <x:c r="O1584" s="60" t="n">
        <x:v>1.91</x:v>
      </x:c>
      <x:c r="P1584" s="60" t="n">
        <x:v>2.61</x:v>
      </x:c>
      <x:c r="Q1584" s="60" t="n">
        <x:v>34.7</x:v>
      </x:c>
      <x:c r="R1584" s="58" t="str">
        <x:v>X</x:v>
      </x:c>
      <x:c r="S1584" s="60" t="n">
        <x:v>100</x:v>
      </x:c>
      <x:c r="T1584" s="58" t="str">
        <x:v>UNSTABLE — SEARCH CONTINUES</x:v>
      </x:c>
      <x:c r="U1584" s="58" t="n">
        <x:v>2112</x:v>
      </x:c>
      <x:c r="V1584" s="58" t="str">
        <x:v>Pasted text(59).txt</x:v>
      </x:c>
    </x:row>
    <x:row r="1585">
      <x:c r="A1585" s="58" t="str">
        <x:v>S17</x:v>
      </x:c>
      <x:c r="B1585" s="58" t="str">
        <x:v>0.75 validation at 268.8 Hz — high-gain/quantization limitation</x:v>
      </x:c>
      <x:c r="C1585" s="58" t="n">
        <x:v>0.75</x:v>
      </x:c>
      <x:c r="D1585" s="58" t="n">
        <x:v>2</x:v>
      </x:c>
      <x:c r="E1585" s="58" t="n">
        <x:v>2</x:v>
      </x:c>
      <x:c r="F1585" s="58" t="str">
        <x:v>FINE</x:v>
      </x:c>
      <x:c r="G1585" s="58" t="n">
        <x:v>3</x:v>
      </x:c>
      <x:c r="H1585" s="59" t="n">
        <x:v>2.5</x:v>
      </x:c>
      <x:c r="I1585" s="59" t="n">
        <x:v>0.40183</x:v>
      </x:c>
      <x:c r="J1585" s="59" t="n">
        <x:v>0.3949</x:v>
      </x:c>
      <x:c r="K1585" s="59" t="n">
        <x:v>0.15658</x:v>
      </x:c>
      <x:c r="L1585" s="59" t="n">
        <x:v>0.09994</x:v>
      </x:c>
      <x:c r="M1585" s="59" t="n">
        <x:v>0.43798</x:v>
      </x:c>
      <x:c r="N1585" s="60" t="n">
        <x:v>-46.42</x:v>
      </x:c>
      <x:c r="O1585" s="60" t="n">
        <x:v>4.05</x:v>
      </x:c>
      <x:c r="P1585" s="60" t="n">
        <x:v>5.62</x:v>
      </x:c>
      <x:c r="Q1585" s="60" t="n">
        <x:v>41.1</x:v>
      </x:c>
      <x:c r="R1585" s="58" t="str">
        <x:v>X</x:v>
      </x:c>
      <x:c r="S1585" s="60" t="n">
        <x:v>100</x:v>
      </x:c>
      <x:c r="T1585" s="58" t="str">
        <x:v>UNSTABLE — SEARCH CONTINUES</x:v>
      </x:c>
      <x:c r="U1585" s="58" t="n">
        <x:v>2113</x:v>
      </x:c>
      <x:c r="V1585" s="58" t="str">
        <x:v>Pasted text(59).txt</x:v>
      </x:c>
    </x:row>
    <x:row r="1586">
      <x:c r="A1586" s="58" t="str">
        <x:v>S17</x:v>
      </x:c>
      <x:c r="B1586" s="58" t="str">
        <x:v>0.75 validation at 268.8 Hz — high-gain/quantization limitation</x:v>
      </x:c>
      <x:c r="C1586" s="58" t="n">
        <x:v>0.75</x:v>
      </x:c>
      <x:c r="D1586" s="58" t="n">
        <x:v>2</x:v>
      </x:c>
      <x:c r="E1586" s="58" t="n">
        <x:v>2</x:v>
      </x:c>
      <x:c r="F1586" s="58" t="str">
        <x:v>FINE</x:v>
      </x:c>
      <x:c r="G1586" s="58" t="n">
        <x:v>4</x:v>
      </x:c>
      <x:c r="H1586" s="59" t="n">
        <x:v>2.75</x:v>
      </x:c>
      <x:c r="I1586" s="59" t="n">
        <x:v>0.64718</x:v>
      </x:c>
      <x:c r="J1586" s="59" t="n">
        <x:v>0.64892</x:v>
      </x:c>
      <x:c r="K1586" s="59" t="n">
        <x:v>0.26754</x:v>
      </x:c>
      <x:c r="L1586" s="59" t="n">
        <x:v>0.14021</x:v>
      </x:c>
      <x:c r="M1586" s="59" t="n">
        <x:v>0.71597</x:v>
      </x:c>
      <x:c r="N1586" s="60" t="n">
        <x:v>-13.71</x:v>
      </x:c>
      <x:c r="O1586" s="60" t="n">
        <x:v>0.12</x:v>
      </x:c>
      <x:c r="P1586" s="60" t="n">
        <x:v>0.54</x:v>
      </x:c>
      <x:c r="Q1586" s="60" t="n">
        <x:v>48.5</x:v>
      </x:c>
      <x:c r="R1586" s="58" t="str">
        <x:v>X</x:v>
      </x:c>
      <x:c r="S1586" s="60" t="n">
        <x:v>100</x:v>
      </x:c>
      <x:c r="T1586" s="58" t="str">
        <x:v>UNSTABLE — SEARCH CONTINUES</x:v>
      </x:c>
      <x:c r="U1586" s="58" t="n">
        <x:v>2114</x:v>
      </x:c>
      <x:c r="V1586" s="58" t="str">
        <x:v>Pasted text(59).txt</x:v>
      </x:c>
    </x:row>
    <x:row r="1587">
      <x:c r="A1587" s="58" t="str">
        <x:v>S17</x:v>
      </x:c>
      <x:c r="B1587" s="58" t="str">
        <x:v>0.75 validation at 268.8 Hz — high-gain/quantization limitation</x:v>
      </x:c>
      <x:c r="C1587" s="58" t="n">
        <x:v>0.75</x:v>
      </x:c>
      <x:c r="D1587" s="58" t="n">
        <x:v>2</x:v>
      </x:c>
      <x:c r="E1587" s="58" t="n">
        <x:v>2</x:v>
      </x:c>
      <x:c r="F1587" s="58" t="str">
        <x:v>FINE</x:v>
      </x:c>
      <x:c r="G1587" s="58" t="n">
        <x:v>5</x:v>
      </x:c>
      <x:c r="H1587" s="59" t="n">
        <x:v>3</x:v>
      </x:c>
      <x:c r="I1587" s="59" t="n">
        <x:v>0.77003</x:v>
      </x:c>
      <x:c r="J1587" s="59" t="n">
        <x:v>0.75366</x:v>
      </x:c>
      <x:c r="K1587" s="59" t="n">
        <x:v>0.30883</x:v>
      </x:c>
      <x:c r="L1587" s="59" t="n">
        <x:v>0.1692</x:v>
      </x:c>
      <x:c r="M1587" s="59" t="n">
        <x:v>0.83297</x:v>
      </x:c>
      <x:c r="N1587" s="60" t="n">
        <x:v>2.67</x:v>
      </x:c>
      <x:c r="O1587" s="60" t="n">
        <x:v>1.19</x:v>
      </x:c>
      <x:c r="P1587" s="60" t="n">
        <x:v>4.49</x:v>
      </x:c>
      <x:c r="Q1587" s="60" t="n">
        <x:v>58.2</x:v>
      </x:c>
      <x:c r="R1587" s="58" t="str">
        <x:v>X</x:v>
      </x:c>
      <x:c r="S1587" s="60" t="n">
        <x:v>100</x:v>
      </x:c>
      <x:c r="T1587" s="58" t="str">
        <x:v>IN TARGET BAND</x:v>
      </x:c>
      <x:c r="U1587" s="58" t="n">
        <x:v>2115</x:v>
      </x:c>
      <x:c r="V1587" s="58" t="str">
        <x:v>Pasted text(59).txt</x:v>
      </x:c>
    </x:row>
    <x:row r="1588">
      <x:c r="A1588" s="58" t="str">
        <x:v>S17</x:v>
      </x:c>
      <x:c r="B1588" s="58" t="str">
        <x:v>0.75 validation at 268.8 Hz — high-gain/quantization limitation</x:v>
      </x:c>
      <x:c r="C1588" s="58" t="n">
        <x:v>0.75</x:v>
      </x:c>
      <x:c r="D1588" s="58" t="n">
        <x:v>2</x:v>
      </x:c>
      <x:c r="E1588" s="58" t="n">
        <x:v>2</x:v>
      </x:c>
      <x:c r="F1588" s="58" t="str">
        <x:v>FINE</x:v>
      </x:c>
      <x:c r="G1588" s="58" t="n">
        <x:v>6</x:v>
      </x:c>
      <x:c r="H1588" s="59" t="n">
        <x:v>3.25</x:v>
      </x:c>
      <x:c r="I1588" s="59" t="n">
        <x:v>0.7742</x:v>
      </x:c>
      <x:c r="J1588" s="59" t="n">
        <x:v>0.77902</x:v>
      </x:c>
      <x:c r="K1588" s="59" t="n">
        <x:v>0.34446</x:v>
      </x:c>
      <x:c r="L1588" s="59" t="n">
        <x:v>0.20182</x:v>
      </x:c>
      <x:c r="M1588" s="59" t="n">
        <x:v>0.87612</x:v>
      </x:c>
      <x:c r="N1588" s="60" t="n">
        <x:v>3.23</x:v>
      </x:c>
      <x:c r="O1588" s="60" t="n">
        <x:v>2.81</x:v>
      </x:c>
      <x:c r="P1588" s="60" t="n">
        <x:v>2.86</x:v>
      </x:c>
      <x:c r="Q1588" s="60" t="n">
        <x:v>62.3</x:v>
      </x:c>
      <x:c r="R1588" s="58" t="str">
        <x:v>X</x:v>
      </x:c>
      <x:c r="S1588" s="60" t="n">
        <x:v>100</x:v>
      </x:c>
      <x:c r="T1588" s="58" t="str">
        <x:v>IN TARGET BAND</x:v>
      </x:c>
      <x:c r="U1588" s="58" t="n">
        <x:v>2116</x:v>
      </x:c>
      <x:c r="V1588" s="58" t="str">
        <x:v>Pasted text(59).txt</x:v>
      </x:c>
    </x:row>
    <x:row r="1589">
      <x:c r="A1589" s="58" t="str">
        <x:v>S17</x:v>
      </x:c>
      <x:c r="B1589" s="58" t="str">
        <x:v>0.75 validation at 268.8 Hz — high-gain/quantization limitation</x:v>
      </x:c>
      <x:c r="C1589" s="58" t="n">
        <x:v>0.75</x:v>
      </x:c>
      <x:c r="D1589" s="58" t="n">
        <x:v>2</x:v>
      </x:c>
      <x:c r="E1589" s="58" t="n">
        <x:v>2</x:v>
      </x:c>
      <x:c r="F1589" s="58" t="str">
        <x:v>FINE</x:v>
      </x:c>
      <x:c r="G1589" s="58" t="n">
        <x:v>7</x:v>
      </x:c>
      <x:c r="H1589" s="59" t="n">
        <x:v>3.5</x:v>
      </x:c>
      <x:c r="I1589" s="59" t="n">
        <x:v>0.81283</x:v>
      </x:c>
      <x:c r="J1589" s="59" t="n">
        <x:v>0.81742</x:v>
      </x:c>
      <x:c r="K1589" s="59" t="n">
        <x:v>0.36029</x:v>
      </x:c>
      <x:c r="L1589" s="59" t="n">
        <x:v>0.19825</x:v>
      </x:c>
      <x:c r="M1589" s="59" t="n">
        <x:v>0.91511</x:v>
      </x:c>
      <x:c r="N1589" s="60" t="n">
        <x:v>8.38</x:v>
      </x:c>
      <x:c r="O1589" s="60" t="n">
        <x:v>2.76</x:v>
      </x:c>
      <x:c r="P1589" s="60" t="n">
        <x:v>2.73</x:v>
      </x:c>
      <x:c r="Q1589" s="60" t="n">
        <x:v>67.4</x:v>
      </x:c>
      <x:c r="R1589" s="58" t="str">
        <x:v>X</x:v>
      </x:c>
      <x:c r="S1589" s="60" t="n">
        <x:v>100</x:v>
      </x:c>
      <x:c r="T1589" s="58" t="str">
        <x:v>VALID</x:v>
      </x:c>
      <x:c r="U1589" s="58" t="n">
        <x:v>2117</x:v>
      </x:c>
      <x:c r="V1589" s="58" t="str">
        <x:v>Pasted text(59).txt</x:v>
      </x:c>
    </x:row>
    <x:row r="1590">
      <x:c r="A1590" s="58" t="str">
        <x:v>S17</x:v>
      </x:c>
      <x:c r="B1590" s="58" t="str">
        <x:v>0.75 validation at 268.8 Hz — high-gain/quantization limitation</x:v>
      </x:c>
      <x:c r="C1590" s="58" t="n">
        <x:v>0.75</x:v>
      </x:c>
      <x:c r="D1590" s="58" t="n">
        <x:v>2</x:v>
      </x:c>
      <x:c r="E1590" s="58" t="n">
        <x:v>2</x:v>
      </x:c>
      <x:c r="F1590" s="58" t="str">
        <x:v>FINE</x:v>
      </x:c>
      <x:c r="G1590" s="58" t="n">
        <x:v>8</x:v>
      </x:c>
      <x:c r="H1590" s="59" t="n">
        <x:v>3.75</x:v>
      </x:c>
      <x:c r="I1590" s="59" t="n">
        <x:v>1.04524</x:v>
      </x:c>
      <x:c r="J1590" s="59" t="n">
        <x:v>1.03945</x:v>
      </x:c>
      <x:c r="K1590" s="59" t="n">
        <x:v>0.44721</x:v>
      </x:c>
      <x:c r="L1590" s="59" t="n">
        <x:v>0.24229</x:v>
      </x:c>
      <x:c r="M1590" s="59" t="n">
        <x:v>1.1579</x:v>
      </x:c>
      <x:c r="N1590" s="60" t="n">
        <x:v>39.36</x:v>
      </x:c>
      <x:c r="O1590" s="60" t="n">
        <x:v>4.99</x:v>
      </x:c>
      <x:c r="P1590" s="60" t="n">
        <x:v>4.25</x:v>
      </x:c>
      <x:c r="Q1590" s="60" t="n">
        <x:v>66.8</x:v>
      </x:c>
      <x:c r="R1590" s="58" t="str">
        <x:v>X</x:v>
      </x:c>
      <x:c r="S1590" s="60" t="n">
        <x:v>100</x:v>
      </x:c>
      <x:c r="T1590" s="58" t="str">
        <x:v>VALID</x:v>
      </x:c>
      <x:c r="U1590" s="58" t="n">
        <x:v>2118</x:v>
      </x:c>
      <x:c r="V1590" s="58" t="str">
        <x:v>Pasted text(59).txt</x:v>
      </x:c>
    </x:row>
    <x:row r="1591">
      <x:c r="A1591" s="58" t="str">
        <x:v>S17</x:v>
      </x:c>
      <x:c r="B1591" s="58" t="str">
        <x:v>0.75 validation at 268.8 Hz — high-gain/quantization limitation</x:v>
      </x:c>
      <x:c r="C1591" s="58" t="n">
        <x:v>0.75</x:v>
      </x:c>
      <x:c r="D1591" s="58" t="n">
        <x:v>2</x:v>
      </x:c>
      <x:c r="E1591" s="58" t="n">
        <x:v>2</x:v>
      </x:c>
      <x:c r="F1591" s="58" t="str">
        <x:v>FINE</x:v>
      </x:c>
      <x:c r="G1591" s="58" t="n">
        <x:v>9</x:v>
      </x:c>
      <x:c r="H1591" s="59" t="n">
        <x:v>4</x:v>
      </x:c>
      <x:c r="I1591" s="59" t="n">
        <x:v>1.09077</x:v>
      </x:c>
      <x:c r="J1591" s="59" t="n">
        <x:v>1.09619</x:v>
      </x:c>
      <x:c r="K1591" s="59" t="n">
        <x:v>0.50421</x:v>
      </x:c>
      <x:c r="L1591" s="59" t="n">
        <x:v>0.23623</x:v>
      </x:c>
      <x:c r="M1591" s="59" t="n">
        <x:v>1.22996</x:v>
      </x:c>
      <x:c r="N1591" s="60" t="n">
        <x:v>45.44</x:v>
      </x:c>
      <x:c r="O1591" s="60" t="n">
        <x:v>0.27</x:v>
      </x:c>
      <x:c r="P1591" s="60" t="n">
        <x:v>1.02</x:v>
      </x:c>
      <x:c r="Q1591" s="60" t="n">
        <x:v>70.7</x:v>
      </x:c>
      <x:c r="R1591" s="58" t="str">
        <x:v>X</x:v>
      </x:c>
      <x:c r="S1591" s="60" t="n">
        <x:v>100</x:v>
      </x:c>
      <x:c r="T1591" s="58" t="str">
        <x:v>VALID</x:v>
      </x:c>
      <x:c r="U1591" s="58" t="n">
        <x:v>2119</x:v>
      </x:c>
      <x:c r="V1591" s="58" t="str">
        <x:v>Pasted text(59).txt</x:v>
      </x:c>
    </x:row>
    <x:row r="1592">
      <x:c r="A1592" s="58" t="str">
        <x:v>S17</x:v>
      </x:c>
      <x:c r="B1592" s="58" t="str">
        <x:v>0.75 validation at 268.8 Hz — high-gain/quantization limitation</x:v>
      </x:c>
      <x:c r="C1592" s="58" t="n">
        <x:v>0.75</x:v>
      </x:c>
      <x:c r="D1592" s="58" t="n">
        <x:v>2</x:v>
      </x:c>
      <x:c r="E1592" s="58" t="n">
        <x:v>2</x:v>
      </x:c>
      <x:c r="F1592" s="58" t="str">
        <x:v>FINAL</x:v>
      </x:c>
      <x:c r="G1592" s="58" t="n">
        <x:v>1</x:v>
      </x:c>
      <x:c r="H1592" s="59" t="n">
        <x:v>3</x:v>
      </x:c>
      <x:c r="I1592" s="59" t="n">
        <x:v>0.70681</x:v>
      </x:c>
      <x:c r="J1592" s="59" t="n">
        <x:v>0.7111</x:v>
      </x:c>
      <x:c r="K1592" s="59" t="n">
        <x:v>0.29672</x:v>
      </x:c>
      <x:c r="L1592" s="59" t="n">
        <x:v>0.16039</x:v>
      </x:c>
      <x:c r="M1592" s="59" t="n">
        <x:v>0.78817</x:v>
      </x:c>
      <x:c r="N1592" s="60" t="n">
        <x:v>-5.76</x:v>
      </x:c>
      <x:c r="O1592" s="60" t="n">
        <x:v>3.35</x:v>
      </x:c>
      <x:c r="P1592" s="60" t="n">
        <x:v>2.33</x:v>
      </x:c>
      <x:c r="Q1592" s="60" t="n">
        <x:v>56.2</x:v>
      </x:c>
      <x:c r="R1592" s="58" t="str">
        <x:v>X</x:v>
      </x:c>
      <x:c r="S1592" s="60" t="n">
        <x:v>100</x:v>
      </x:c>
      <x:c r="T1592" s="58" t="str">
        <x:v>IN TARGET BAND</x:v>
      </x:c>
      <x:c r="U1592" s="58" t="n">
        <x:v>2122</x:v>
      </x:c>
      <x:c r="V1592" s="58" t="str">
        <x:v>Pasted text(59).txt</x:v>
      </x:c>
    </x:row>
    <x:row r="1593">
      <x:c r="A1593" s="58" t="str">
        <x:v>S17</x:v>
      </x:c>
      <x:c r="B1593" s="58" t="str">
        <x:v>0.75 validation at 268.8 Hz — high-gain/quantization limitation</x:v>
      </x:c>
      <x:c r="C1593" s="58" t="n">
        <x:v>0.75</x:v>
      </x:c>
      <x:c r="D1593" s="58" t="n">
        <x:v>2</x:v>
      </x:c>
      <x:c r="E1593" s="58" t="n">
        <x:v>2</x:v>
      </x:c>
      <x:c r="F1593" s="58" t="str">
        <x:v>FINAL</x:v>
      </x:c>
      <x:c r="G1593" s="58" t="n">
        <x:v>2</x:v>
      </x:c>
      <x:c r="H1593" s="59" t="n">
        <x:v>3</x:v>
      </x:c>
      <x:c r="I1593" s="59" t="n">
        <x:v>0.68702</x:v>
      </x:c>
      <x:c r="J1593" s="59" t="n">
        <x:v>0.69404</x:v>
      </x:c>
      <x:c r="K1593" s="59" t="n">
        <x:v>0.31569</x:v>
      </x:c>
      <x:c r="L1593" s="59" t="n">
        <x:v>0.17096</x:v>
      </x:c>
      <x:c r="M1593" s="59" t="n">
        <x:v>0.78253</x:v>
      </x:c>
      <x:c r="N1593" s="60" t="n">
        <x:v>-8.4</x:v>
      </x:c>
      <x:c r="O1593" s="60" t="n">
        <x:v>4.51</x:v>
      </x:c>
      <x:c r="P1593" s="60" t="n">
        <x:v>3.14</x:v>
      </x:c>
      <x:c r="Q1593" s="60" t="n">
        <x:v>54.6</x:v>
      </x:c>
      <x:c r="R1593" s="58" t="str">
        <x:v>X</x:v>
      </x:c>
      <x:c r="S1593" s="60" t="n">
        <x:v>100</x:v>
      </x:c>
      <x:c r="T1593" s="58" t="str">
        <x:v>VALID</x:v>
      </x:c>
      <x:c r="U1593" s="58" t="n">
        <x:v>2123</x:v>
      </x:c>
      <x:c r="V1593" s="58" t="str">
        <x:v>Pasted text(59).txt</x:v>
      </x:c>
    </x:row>
    <x:row r="1594">
      <x:c r="A1594" s="58" t="str">
        <x:v>S17</x:v>
      </x:c>
      <x:c r="B1594" s="58" t="str">
        <x:v>0.75 validation at 268.8 Hz — high-gain/quantization limitation</x:v>
      </x:c>
      <x:c r="C1594" s="58" t="n">
        <x:v>0.75</x:v>
      </x:c>
      <x:c r="D1594" s="58" t="n">
        <x:v>2</x:v>
      </x:c>
      <x:c r="E1594" s="58" t="n">
        <x:v>2</x:v>
      </x:c>
      <x:c r="F1594" s="58" t="str">
        <x:v>FINAL</x:v>
      </x:c>
      <x:c r="G1594" s="58" t="n">
        <x:v>3</x:v>
      </x:c>
      <x:c r="H1594" s="59" t="n">
        <x:v>3</x:v>
      </x:c>
      <x:c r="I1594" s="59" t="n">
        <x:v>0.68507</x:v>
      </x:c>
      <x:c r="J1594" s="59" t="n">
        <x:v>0.67865</x:v>
      </x:c>
      <x:c r="K1594" s="59" t="n">
        <x:v>0.29388</x:v>
      </x:c>
      <x:c r="L1594" s="59" t="n">
        <x:v>0.16788</x:v>
      </x:c>
      <x:c r="M1594" s="59" t="n">
        <x:v>0.75931</x:v>
      </x:c>
      <x:c r="N1594" s="60" t="n">
        <x:v>-8.66</x:v>
      </x:c>
      <x:c r="O1594" s="60" t="n">
        <x:v>2.26</x:v>
      </x:c>
      <x:c r="P1594" s="60" t="n">
        <x:v>4.12</x:v>
      </x:c>
      <x:c r="Q1594" s="60" t="n">
        <x:v>53.8</x:v>
      </x:c>
      <x:c r="R1594" s="58" t="str">
        <x:v>X</x:v>
      </x:c>
      <x:c r="S1594" s="60" t="n">
        <x:v>100</x:v>
      </x:c>
      <x:c r="T1594" s="58" t="str">
        <x:v>VALID</x:v>
      </x:c>
      <x:c r="U1594" s="58" t="n">
        <x:v>2124</x:v>
      </x:c>
      <x:c r="V1594" s="58" t="str">
        <x:v>Pasted text(59).txt</x:v>
      </x:c>
    </x:row>
    <x:row r="1595">
      <x:c r="A1595" s="58" t="str">
        <x:v>S17</x:v>
      </x:c>
      <x:c r="B1595" s="58" t="str">
        <x:v>0.75 validation at 268.8 Hz — high-gain/quantization limitation</x:v>
      </x:c>
      <x:c r="C1595" s="58" t="n">
        <x:v>0.75</x:v>
      </x:c>
      <x:c r="D1595" s="58" t="n">
        <x:v>2</x:v>
      </x:c>
      <x:c r="E1595" s="58" t="n">
        <x:v>2</x:v>
      </x:c>
      <x:c r="F1595" s="58" t="str">
        <x:v>FINAL</x:v>
      </x:c>
      <x:c r="G1595" s="58" t="n">
        <x:v>1</x:v>
      </x:c>
      <x:c r="H1595" s="59" t="n">
        <x:v>3.25</x:v>
      </x:c>
      <x:c r="I1595" s="59" t="n">
        <x:v>0.76063</x:v>
      </x:c>
      <x:c r="J1595" s="59" t="n">
        <x:v>0.76519</x:v>
      </x:c>
      <x:c r="K1595" s="59" t="n">
        <x:v>0.31508</x:v>
      </x:c>
      <x:c r="L1595" s="59" t="n">
        <x:v>0.16435</x:v>
      </x:c>
      <x:c r="M1595" s="59" t="n">
        <x:v>0.84555</x:v>
      </x:c>
      <x:c r="N1595" s="60" t="n">
        <x:v>1.42</x:v>
      </x:c>
      <x:c r="O1595" s="60" t="n">
        <x:v>3.62</x:v>
      </x:c>
      <x:c r="P1595" s="60" t="n">
        <x:v>2.74</x:v>
      </x:c>
      <x:c r="Q1595" s="60" t="n">
        <x:v>62.1</x:v>
      </x:c>
      <x:c r="R1595" s="58" t="str">
        <x:v>X</x:v>
      </x:c>
      <x:c r="S1595" s="60" t="n">
        <x:v>100</x:v>
      </x:c>
      <x:c r="T1595" s="58" t="str">
        <x:v>IN TARGET BAND</x:v>
      </x:c>
      <x:c r="U1595" s="58" t="n">
        <x:v>2128</x:v>
      </x:c>
      <x:c r="V1595" s="58" t="str">
        <x:v>Pasted text(59).txt</x:v>
      </x:c>
    </x:row>
    <x:row r="1596">
      <x:c r="A1596" s="58" t="str">
        <x:v>S17</x:v>
      </x:c>
      <x:c r="B1596" s="58" t="str">
        <x:v>0.75 validation at 268.8 Hz — high-gain/quantization limitation</x:v>
      </x:c>
      <x:c r="C1596" s="58" t="n">
        <x:v>0.75</x:v>
      </x:c>
      <x:c r="D1596" s="58" t="n">
        <x:v>2</x:v>
      </x:c>
      <x:c r="E1596" s="58" t="n">
        <x:v>2</x:v>
      </x:c>
      <x:c r="F1596" s="58" t="str">
        <x:v>FINAL</x:v>
      </x:c>
      <x:c r="G1596" s="58" t="n">
        <x:v>2</x:v>
      </x:c>
      <x:c r="H1596" s="59" t="n">
        <x:v>3.25</x:v>
      </x:c>
      <x:c r="I1596" s="59" t="n">
        <x:v>0.75167</x:v>
      </x:c>
      <x:c r="J1596" s="59" t="n">
        <x:v>0.75636</x:v>
      </x:c>
      <x:c r="K1596" s="59" t="n">
        <x:v>0.31481</x:v>
      </x:c>
      <x:c r="L1596" s="59" t="n">
        <x:v>0.17444</x:v>
      </x:c>
      <x:c r="M1596" s="59" t="n">
        <x:v>0.83954</x:v>
      </x:c>
      <x:c r="N1596" s="60" t="n">
        <x:v>0.22</x:v>
      </x:c>
      <x:c r="O1596" s="60" t="n">
        <x:v>1.21</x:v>
      </x:c>
      <x:c r="P1596" s="60" t="n">
        <x:v>1.68</x:v>
      </x:c>
      <x:c r="Q1596" s="60" t="n">
        <x:v>61.6</x:v>
      </x:c>
      <x:c r="R1596" s="58" t="str">
        <x:v>X</x:v>
      </x:c>
      <x:c r="S1596" s="60" t="n">
        <x:v>100</x:v>
      </x:c>
      <x:c r="T1596" s="58" t="str">
        <x:v>IN TARGET BAND</x:v>
      </x:c>
      <x:c r="U1596" s="58" t="n">
        <x:v>2129</x:v>
      </x:c>
      <x:c r="V1596" s="58" t="str">
        <x:v>Pasted text(59).txt</x:v>
      </x:c>
    </x:row>
    <x:row r="1597">
      <x:c r="A1597" s="58" t="str">
        <x:v>S17</x:v>
      </x:c>
      <x:c r="B1597" s="58" t="str">
        <x:v>0.75 validation at 268.8 Hz — high-gain/quantization limitation</x:v>
      </x:c>
      <x:c r="C1597" s="58" t="n">
        <x:v>0.75</x:v>
      </x:c>
      <x:c r="D1597" s="58" t="n">
        <x:v>3</x:v>
      </x:c>
      <x:c r="E1597" s="58" t="n">
        <x:v>1</x:v>
      </x:c>
      <x:c r="F1597" s="58" t="str">
        <x:v>SEARCH</x:v>
      </x:c>
      <x:c r="G1597" s="58" t="n">
        <x:v>1</x:v>
      </x:c>
      <x:c r="H1597" s="59" t="n">
        <x:v>1</x:v>
      </x:c>
      <x:c r="I1597" s="59" t="n">
        <x:v>0.03292</x:v>
      </x:c>
      <x:c r="J1597" s="59" t="n">
        <x:v>0.0308</x:v>
      </x:c>
      <x:c r="K1597" s="59" t="n">
        <x:v>0.04289</x:v>
      </x:c>
      <x:c r="L1597" s="59" t="n">
        <x:v>0.024</x:v>
      </x:c>
      <x:c r="M1597" s="59" t="n">
        <x:v>0.05807</x:v>
      </x:c>
      <x:c r="N1597" s="60" t="n">
        <x:v>-95.61</x:v>
      </x:c>
      <x:c r="O1597" s="60" t="n">
        <x:v>19.1</x:v>
      </x:c>
      <x:c r="P1597" s="60" t="n">
        <x:v>9.74</x:v>
      </x:c>
      <x:c r="Q1597" s="60" t="n">
        <x:v>5.6</x:v>
      </x:c>
      <x:c r="R1597" s="58" t="str">
        <x:v>Y</x:v>
      </x:c>
      <x:c r="S1597" s="60" t="n">
        <x:v>71.8</x:v>
      </x:c>
      <x:c r="T1597" s="58" t="str">
        <x:v>BELOW MEASUREMENT FLOOR — SEARCH CONTINUES</x:v>
      </x:c>
      <x:c r="U1597" s="58" t="n">
        <x:v>2185</x:v>
      </x:c>
      <x:c r="V1597" s="58" t="str">
        <x:v>Pasted text(59).txt</x:v>
      </x:c>
    </x:row>
    <x:row r="1598">
      <x:c r="A1598" s="58" t="str">
        <x:v>S17</x:v>
      </x:c>
      <x:c r="B1598" s="58" t="str">
        <x:v>0.75 validation at 268.8 Hz — high-gain/quantization limitation</x:v>
      </x:c>
      <x:c r="C1598" s="58" t="n">
        <x:v>0.75</x:v>
      </x:c>
      <x:c r="D1598" s="58" t="n">
        <x:v>3</x:v>
      </x:c>
      <x:c r="E1598" s="58" t="n">
        <x:v>1</x:v>
      </x:c>
      <x:c r="F1598" s="58" t="str">
        <x:v>SEARCH</x:v>
      </x:c>
      <x:c r="G1598" s="58" t="n">
        <x:v>2</x:v>
      </x:c>
      <x:c r="H1598" s="59" t="n">
        <x:v>3</x:v>
      </x:c>
      <x:c r="I1598" s="59" t="n">
        <x:v>0.73781</x:v>
      </x:c>
      <x:c r="J1598" s="59" t="n">
        <x:v>0.72917</x:v>
      </x:c>
      <x:c r="K1598" s="59" t="n">
        <x:v>0.27145</x:v>
      </x:c>
      <x:c r="L1598" s="59" t="n">
        <x:v>0.16098</x:v>
      </x:c>
      <x:c r="M1598" s="59" t="n">
        <x:v>0.79589</x:v>
      </x:c>
      <x:c r="N1598" s="60" t="n">
        <x:v>-1.62</x:v>
      </x:c>
      <x:c r="O1598" s="60" t="n">
        <x:v>0.47</x:v>
      </x:c>
      <x:c r="P1598" s="60" t="n">
        <x:v>2.33</x:v>
      </x:c>
      <x:c r="Q1598" s="60" t="n">
        <x:v>55.8</x:v>
      </x:c>
      <x:c r="R1598" s="58" t="str">
        <x:v>X</x:v>
      </x:c>
      <x:c r="S1598" s="60" t="n">
        <x:v>100</x:v>
      </x:c>
      <x:c r="T1598" s="58" t="str">
        <x:v>IN TARGET BAND</x:v>
      </x:c>
      <x:c r="U1598" s="58" t="n">
        <x:v>2186</x:v>
      </x:c>
      <x:c r="V1598" s="58" t="str">
        <x:v>Pasted text(59).txt</x:v>
      </x:c>
    </x:row>
    <x:row r="1599">
      <x:c r="A1599" s="58" t="str">
        <x:v>S17</x:v>
      </x:c>
      <x:c r="B1599" s="58" t="str">
        <x:v>0.75 validation at 268.8 Hz — high-gain/quantization limitation</x:v>
      </x:c>
      <x:c r="C1599" s="58" t="n">
        <x:v>0.75</x:v>
      </x:c>
      <x:c r="D1599" s="58" t="n">
        <x:v>3</x:v>
      </x:c>
      <x:c r="E1599" s="58" t="n">
        <x:v>1</x:v>
      </x:c>
      <x:c r="F1599" s="58" t="str">
        <x:v>FINE</x:v>
      </x:c>
      <x:c r="G1599" s="58" t="n">
        <x:v>1</x:v>
      </x:c>
      <x:c r="H1599" s="59" t="n">
        <x:v>2</x:v>
      </x:c>
      <x:c r="I1599" s="59" t="n">
        <x:v>0.34627</x:v>
      </x:c>
      <x:c r="J1599" s="59" t="n">
        <x:v>0.33628</x:v>
      </x:c>
      <x:c r="K1599" s="59" t="n">
        <x:v>0.1174</x:v>
      </x:c>
      <x:c r="L1599" s="59" t="n">
        <x:v>0.04848</x:v>
      </x:c>
      <x:c r="M1599" s="59" t="n">
        <x:v>0.36018</x:v>
      </x:c>
      <x:c r="N1599" s="60" t="n">
        <x:v>-53.83</x:v>
      </x:c>
      <x:c r="O1599" s="60" t="n">
        <x:v>6.66</x:v>
      </x:c>
      <x:c r="P1599" s="60" t="n">
        <x:v>9.44</x:v>
      </x:c>
      <x:c r="Q1599" s="60" t="n">
        <x:v>27.6</x:v>
      </x:c>
      <x:c r="R1599" s="58" t="str">
        <x:v>X</x:v>
      </x:c>
      <x:c r="S1599" s="60" t="n">
        <x:v>100</x:v>
      </x:c>
      <x:c r="T1599" s="58" t="str">
        <x:v>UNSTABLE — SEARCH CONTINUES</x:v>
      </x:c>
      <x:c r="U1599" s="58" t="n">
        <x:v>2190</x:v>
      </x:c>
      <x:c r="V1599" s="58" t="str">
        <x:v>Pasted text(59).txt</x:v>
      </x:c>
    </x:row>
    <x:row r="1600">
      <x:c r="A1600" s="58" t="str">
        <x:v>S17</x:v>
      </x:c>
      <x:c r="B1600" s="58" t="str">
        <x:v>0.75 validation at 268.8 Hz — high-gain/quantization limitation</x:v>
      </x:c>
      <x:c r="C1600" s="58" t="n">
        <x:v>0.75</x:v>
      </x:c>
      <x:c r="D1600" s="58" t="n">
        <x:v>3</x:v>
      </x:c>
      <x:c r="E1600" s="58" t="n">
        <x:v>1</x:v>
      </x:c>
      <x:c r="F1600" s="58" t="str">
        <x:v>FINE</x:v>
      </x:c>
      <x:c r="G1600" s="58" t="n">
        <x:v>2</x:v>
      </x:c>
      <x:c r="H1600" s="59" t="n">
        <x:v>2.25</x:v>
      </x:c>
      <x:c r="I1600" s="59" t="n">
        <x:v>0.33662</x:v>
      </x:c>
      <x:c r="J1600" s="59" t="n">
        <x:v>0.34278</x:v>
      </x:c>
      <x:c r="K1600" s="59" t="n">
        <x:v>0.13582</x:v>
      </x:c>
      <x:c r="L1600" s="59" t="n">
        <x:v>0.09529</x:v>
      </x:c>
      <x:c r="M1600" s="59" t="n">
        <x:v>0.38232</x:v>
      </x:c>
      <x:c r="N1600" s="60" t="n">
        <x:v>-55.12</x:v>
      </x:c>
      <x:c r="O1600" s="60" t="n">
        <x:v>4.81</x:v>
      </x:c>
      <x:c r="P1600" s="60" t="n">
        <x:v>6.09</x:v>
      </x:c>
      <x:c r="Q1600" s="60" t="n">
        <x:v>29.7</x:v>
      </x:c>
      <x:c r="R1600" s="58" t="str">
        <x:v>X</x:v>
      </x:c>
      <x:c r="S1600" s="60" t="n">
        <x:v>100</x:v>
      </x:c>
      <x:c r="T1600" s="58" t="str">
        <x:v>UNSTABLE — SEARCH CONTINUES</x:v>
      </x:c>
      <x:c r="U1600" s="58" t="n">
        <x:v>2191</x:v>
      </x:c>
      <x:c r="V1600" s="58" t="str">
        <x:v>Pasted text(59).txt</x:v>
      </x:c>
    </x:row>
    <x:row r="1601">
      <x:c r="A1601" s="58" t="str">
        <x:v>S17</x:v>
      </x:c>
      <x:c r="B1601" s="58" t="str">
        <x:v>0.75 validation at 268.8 Hz — high-gain/quantization limitation</x:v>
      </x:c>
      <x:c r="C1601" s="58" t="n">
        <x:v>0.75</x:v>
      </x:c>
      <x:c r="D1601" s="58" t="n">
        <x:v>3</x:v>
      </x:c>
      <x:c r="E1601" s="58" t="n">
        <x:v>1</x:v>
      </x:c>
      <x:c r="F1601" s="58" t="str">
        <x:v>FINE</x:v>
      </x:c>
      <x:c r="G1601" s="58" t="n">
        <x:v>3</x:v>
      </x:c>
      <x:c r="H1601" s="59" t="n">
        <x:v>2.5</x:v>
      </x:c>
      <x:c r="I1601" s="59" t="n">
        <x:v>0.36393</x:v>
      </x:c>
      <x:c r="J1601" s="59" t="n">
        <x:v>0.36973</x:v>
      </x:c>
      <x:c r="K1601" s="59" t="n">
        <x:v>0.17576</x:v>
      </x:c>
      <x:c r="L1601" s="59" t="n">
        <x:v>0.09294</x:v>
      </x:c>
      <x:c r="M1601" s="59" t="n">
        <x:v>0.42353</x:v>
      </x:c>
      <x:c r="N1601" s="60" t="n">
        <x:v>-51.48</x:v>
      </x:c>
      <x:c r="O1601" s="60" t="n">
        <x:v>3.32</x:v>
      </x:c>
      <x:c r="P1601" s="60" t="n">
        <x:v>4.76</x:v>
      </x:c>
      <x:c r="Q1601" s="60" t="n">
        <x:v>38.9</x:v>
      </x:c>
      <x:c r="R1601" s="58" t="str">
        <x:v>X</x:v>
      </x:c>
      <x:c r="S1601" s="60" t="n">
        <x:v>100</x:v>
      </x:c>
      <x:c r="T1601" s="58" t="str">
        <x:v>UNSTABLE — SEARCH CONTINUES</x:v>
      </x:c>
      <x:c r="U1601" s="58" t="n">
        <x:v>2192</x:v>
      </x:c>
      <x:c r="V1601" s="58" t="str">
        <x:v>Pasted text(59).txt</x:v>
      </x:c>
    </x:row>
    <x:row r="1602">
      <x:c r="A1602" s="58" t="str">
        <x:v>S17</x:v>
      </x:c>
      <x:c r="B1602" s="58" t="str">
        <x:v>0.75 validation at 268.8 Hz — high-gain/quantization limitation</x:v>
      </x:c>
      <x:c r="C1602" s="58" t="n">
        <x:v>0.75</x:v>
      </x:c>
      <x:c r="D1602" s="58" t="n">
        <x:v>3</x:v>
      </x:c>
      <x:c r="E1602" s="58" t="n">
        <x:v>1</x:v>
      </x:c>
      <x:c r="F1602" s="58" t="str">
        <x:v>FINE</x:v>
      </x:c>
      <x:c r="G1602" s="58" t="n">
        <x:v>4</x:v>
      </x:c>
      <x:c r="H1602" s="59" t="n">
        <x:v>2.75</x:v>
      </x:c>
      <x:c r="I1602" s="59" t="n">
        <x:v>0.67695</x:v>
      </x:c>
      <x:c r="J1602" s="59" t="n">
        <x:v>0.66973</x:v>
      </x:c>
      <x:c r="K1602" s="59" t="n">
        <x:v>0.27939</x:v>
      </x:c>
      <x:c r="L1602" s="59" t="n">
        <x:v>0.14241</x:v>
      </x:c>
      <x:c r="M1602" s="59" t="n">
        <x:v>0.74042</x:v>
      </x:c>
      <x:c r="N1602" s="60" t="n">
        <x:v>-9.74</x:v>
      </x:c>
      <x:c r="O1602" s="60" t="n">
        <x:v>6.96</x:v>
      </x:c>
      <x:c r="P1602" s="60" t="n">
        <x:v>6.43</x:v>
      </x:c>
      <x:c r="Q1602" s="60" t="n">
        <x:v>48.2</x:v>
      </x:c>
      <x:c r="R1602" s="58" t="str">
        <x:v>X</x:v>
      </x:c>
      <x:c r="S1602" s="60" t="n">
        <x:v>100</x:v>
      </x:c>
      <x:c r="T1602" s="58" t="str">
        <x:v>UNSTABLE — SEARCH CONTINUES</x:v>
      </x:c>
      <x:c r="U1602" s="58" t="n">
        <x:v>2193</x:v>
      </x:c>
      <x:c r="V1602" s="58" t="str">
        <x:v>Pasted text(59).txt</x:v>
      </x:c>
    </x:row>
    <x:row r="1603">
      <x:c r="A1603" s="58" t="str">
        <x:v>S17</x:v>
      </x:c>
      <x:c r="B1603" s="58" t="str">
        <x:v>0.75 validation at 268.8 Hz — high-gain/quantization limitation</x:v>
      </x:c>
      <x:c r="C1603" s="58" t="n">
        <x:v>0.75</x:v>
      </x:c>
      <x:c r="D1603" s="58" t="n">
        <x:v>3</x:v>
      </x:c>
      <x:c r="E1603" s="58" t="n">
        <x:v>1</x:v>
      </x:c>
      <x:c r="F1603" s="58" t="str">
        <x:v>FINE</x:v>
      </x:c>
      <x:c r="G1603" s="58" t="n">
        <x:v>5</x:v>
      </x:c>
      <x:c r="H1603" s="59" t="n">
        <x:v>3</x:v>
      </x:c>
      <x:c r="I1603" s="59" t="n">
        <x:v>0.73505</x:v>
      </x:c>
      <x:c r="J1603" s="59" t="n">
        <x:v>0.73893</x:v>
      </x:c>
      <x:c r="K1603" s="59" t="n">
        <x:v>0.305</x:v>
      </x:c>
      <x:c r="L1603" s="59" t="n">
        <x:v>0.16552</x:v>
      </x:c>
      <x:c r="M1603" s="59" t="n">
        <x:v>0.81792</x:v>
      </x:c>
      <x:c r="N1603" s="60" t="n">
        <x:v>-1.99</x:v>
      </x:c>
      <x:c r="O1603" s="60" t="n">
        <x:v>6.22</x:v>
      </x:c>
      <x:c r="P1603" s="60" t="n">
        <x:v>4.98</x:v>
      </x:c>
      <x:c r="Q1603" s="60" t="n">
        <x:v>51.2</x:v>
      </x:c>
      <x:c r="R1603" s="58" t="str">
        <x:v>X</x:v>
      </x:c>
      <x:c r="S1603" s="60" t="n">
        <x:v>100</x:v>
      </x:c>
      <x:c r="T1603" s="58" t="str">
        <x:v>UNSTABLE — SEARCH CONTINUES</x:v>
      </x:c>
      <x:c r="U1603" s="58" t="n">
        <x:v>2194</x:v>
      </x:c>
      <x:c r="V1603" s="58" t="str">
        <x:v>Pasted text(59).txt</x:v>
      </x:c>
    </x:row>
    <x:row r="1604">
      <x:c r="A1604" s="58" t="str">
        <x:v>S17</x:v>
      </x:c>
      <x:c r="B1604" s="58" t="str">
        <x:v>0.75 validation at 268.8 Hz — high-gain/quantization limitation</x:v>
      </x:c>
      <x:c r="C1604" s="58" t="n">
        <x:v>0.75</x:v>
      </x:c>
      <x:c r="D1604" s="58" t="n">
        <x:v>3</x:v>
      </x:c>
      <x:c r="E1604" s="58" t="n">
        <x:v>1</x:v>
      </x:c>
      <x:c r="F1604" s="58" t="str">
        <x:v>FINE</x:v>
      </x:c>
      <x:c r="G1604" s="58" t="n">
        <x:v>6</x:v>
      </x:c>
      <x:c r="H1604" s="59" t="n">
        <x:v>3.25</x:v>
      </x:c>
      <x:c r="I1604" s="59" t="n">
        <x:v>0.79229</x:v>
      </x:c>
      <x:c r="J1604" s="59" t="n">
        <x:v>0.79054</x:v>
      </x:c>
      <x:c r="K1604" s="59" t="n">
        <x:v>0.3674</x:v>
      </x:c>
      <x:c r="L1604" s="59" t="n">
        <x:v>0.17356</x:v>
      </x:c>
      <x:c r="M1604" s="59" t="n">
        <x:v>0.88906</x:v>
      </x:c>
      <x:c r="N1604" s="60" t="n">
        <x:v>5.64</x:v>
      </x:c>
      <x:c r="O1604" s="60" t="n">
        <x:v>6.87</x:v>
      </x:c>
      <x:c r="P1604" s="60" t="n">
        <x:v>4.98</x:v>
      </x:c>
      <x:c r="Q1604" s="60" t="n">
        <x:v>60.1</x:v>
      </x:c>
      <x:c r="R1604" s="58" t="str">
        <x:v>X</x:v>
      </x:c>
      <x:c r="S1604" s="60" t="n">
        <x:v>100</x:v>
      </x:c>
      <x:c r="T1604" s="58" t="str">
        <x:v>IN TARGET BAND</x:v>
      </x:c>
      <x:c r="U1604" s="58" t="n">
        <x:v>2195</x:v>
      </x:c>
      <x:c r="V1604" s="58" t="str">
        <x:v>Pasted text(59).txt</x:v>
      </x:c>
    </x:row>
    <x:row r="1605">
      <x:c r="A1605" s="58" t="str">
        <x:v>S17</x:v>
      </x:c>
      <x:c r="B1605" s="58" t="str">
        <x:v>0.75 validation at 268.8 Hz — high-gain/quantization limitation</x:v>
      </x:c>
      <x:c r="C1605" s="58" t="n">
        <x:v>0.75</x:v>
      </x:c>
      <x:c r="D1605" s="58" t="n">
        <x:v>3</x:v>
      </x:c>
      <x:c r="E1605" s="58" t="n">
        <x:v>1</x:v>
      </x:c>
      <x:c r="F1605" s="58" t="str">
        <x:v>FINE</x:v>
      </x:c>
      <x:c r="G1605" s="58" t="n">
        <x:v>7</x:v>
      </x:c>
      <x:c r="H1605" s="59" t="n">
        <x:v>3.5</x:v>
      </x:c>
      <x:c r="I1605" s="59" t="n">
        <x:v>0.83061</x:v>
      </x:c>
      <x:c r="J1605" s="59" t="n">
        <x:v>0.83198</x:v>
      </x:c>
      <x:c r="K1605" s="59" t="n">
        <x:v>0.36089</x:v>
      </x:c>
      <x:c r="L1605" s="59" t="n">
        <x:v>0.2046</x:v>
      </x:c>
      <x:c r="M1605" s="59" t="n">
        <x:v>0.92981</x:v>
      </x:c>
      <x:c r="N1605" s="60" t="n">
        <x:v>10.75</x:v>
      </x:c>
      <x:c r="O1605" s="60" t="n">
        <x:v>1.43</x:v>
      </x:c>
      <x:c r="P1605" s="60" t="n">
        <x:v>1.22</x:v>
      </x:c>
      <x:c r="Q1605" s="60" t="n">
        <x:v>63.5</x:v>
      </x:c>
      <x:c r="R1605" s="58" t="str">
        <x:v>X</x:v>
      </x:c>
      <x:c r="S1605" s="60" t="n">
        <x:v>100</x:v>
      </x:c>
      <x:c r="T1605" s="58" t="str">
        <x:v>VALID</x:v>
      </x:c>
      <x:c r="U1605" s="58" t="n">
        <x:v>2196</x:v>
      </x:c>
      <x:c r="V1605" s="58" t="str">
        <x:v>Pasted text(59).txt</x:v>
      </x:c>
    </x:row>
    <x:row r="1606">
      <x:c r="A1606" s="58" t="str">
        <x:v>S17</x:v>
      </x:c>
      <x:c r="B1606" s="58" t="str">
        <x:v>0.75 validation at 268.8 Hz — high-gain/quantization limitation</x:v>
      </x:c>
      <x:c r="C1606" s="58" t="n">
        <x:v>0.75</x:v>
      </x:c>
      <x:c r="D1606" s="58" t="n">
        <x:v>3</x:v>
      </x:c>
      <x:c r="E1606" s="58" t="n">
        <x:v>1</x:v>
      </x:c>
      <x:c r="F1606" s="58" t="str">
        <x:v>FINE</x:v>
      </x:c>
      <x:c r="G1606" s="58" t="n">
        <x:v>8</x:v>
      </x:c>
      <x:c r="H1606" s="59" t="n">
        <x:v>3.75</x:v>
      </x:c>
      <x:c r="I1606" s="59" t="n">
        <x:v>1.1348</x:v>
      </x:c>
      <x:c r="J1606" s="59" t="n">
        <x:v>1.13831</x:v>
      </x:c>
      <x:c r="K1606" s="59" t="n">
        <x:v>0.45798</x:v>
      </x:c>
      <x:c r="L1606" s="59" t="n">
        <x:v>0.2461</x:v>
      </x:c>
      <x:c r="M1606" s="59" t="n">
        <x:v>1.25172</x:v>
      </x:c>
      <x:c r="N1606" s="60" t="n">
        <x:v>51.31</x:v>
      </x:c>
      <x:c r="O1606" s="60" t="n">
        <x:v>2.51</x:v>
      </x:c>
      <x:c r="P1606" s="60" t="n">
        <x:v>2.17</x:v>
      </x:c>
      <x:c r="Q1606" s="60" t="n">
        <x:v>66</x:v>
      </x:c>
      <x:c r="R1606" s="58" t="str">
        <x:v>X</x:v>
      </x:c>
      <x:c r="S1606" s="60" t="n">
        <x:v>100</x:v>
      </x:c>
      <x:c r="T1606" s="58" t="str">
        <x:v>VALID</x:v>
      </x:c>
      <x:c r="U1606" s="58" t="n">
        <x:v>2197</x:v>
      </x:c>
      <x:c r="V1606" s="58" t="str">
        <x:v>Pasted text(59).txt</x:v>
      </x:c>
    </x:row>
    <x:row r="1607">
      <x:c r="A1607" s="58" t="str">
        <x:v>S17</x:v>
      </x:c>
      <x:c r="B1607" s="58" t="str">
        <x:v>0.75 validation at 268.8 Hz — high-gain/quantization limitation</x:v>
      </x:c>
      <x:c r="C1607" s="58" t="n">
        <x:v>0.75</x:v>
      </x:c>
      <x:c r="D1607" s="58" t="n">
        <x:v>3</x:v>
      </x:c>
      <x:c r="E1607" s="58" t="n">
        <x:v>1</x:v>
      </x:c>
      <x:c r="F1607" s="58" t="str">
        <x:v>FINE</x:v>
      </x:c>
      <x:c r="G1607" s="58" t="n">
        <x:v>9</x:v>
      </x:c>
      <x:c r="H1607" s="59" t="n">
        <x:v>4</x:v>
      </x:c>
      <x:c r="I1607" s="59" t="n">
        <x:v>1.26522</x:v>
      </x:c>
      <x:c r="J1607" s="59" t="n">
        <x:v>1.25186</x:v>
      </x:c>
      <x:c r="K1607" s="59" t="n">
        <x:v>0.52111</x:v>
      </x:c>
      <x:c r="L1607" s="59" t="n">
        <x:v>0.29086</x:v>
      </x:c>
      <x:c r="M1607" s="59" t="n">
        <x:v>1.38712</x:v>
      </x:c>
      <x:c r="N1607" s="60" t="n">
        <x:v>68.7</x:v>
      </x:c>
      <x:c r="O1607" s="60" t="n">
        <x:v>0.55</x:v>
      </x:c>
      <x:c r="P1607" s="60" t="n">
        <x:v>2.18</x:v>
      </x:c>
      <x:c r="Q1607" s="60" t="n">
        <x:v>71.5</x:v>
      </x:c>
      <x:c r="R1607" s="58" t="str">
        <x:v>X</x:v>
      </x:c>
      <x:c r="S1607" s="60" t="n">
        <x:v>100</x:v>
      </x:c>
      <x:c r="T1607" s="58" t="str">
        <x:v>VALID</x:v>
      </x:c>
      <x:c r="U1607" s="58" t="n">
        <x:v>2198</x:v>
      </x:c>
      <x:c r="V1607" s="58" t="str">
        <x:v>Pasted text(59).txt</x:v>
      </x:c>
    </x:row>
    <x:row r="1608">
      <x:c r="A1608" s="58" t="str">
        <x:v>S17</x:v>
      </x:c>
      <x:c r="B1608" s="58" t="str">
        <x:v>0.75 validation at 268.8 Hz — high-gain/quantization limitation</x:v>
      </x:c>
      <x:c r="C1608" s="58" t="n">
        <x:v>0.75</x:v>
      </x:c>
      <x:c r="D1608" s="58" t="n">
        <x:v>3</x:v>
      </x:c>
      <x:c r="E1608" s="58" t="n">
        <x:v>1</x:v>
      </x:c>
      <x:c r="F1608" s="58" t="str">
        <x:v>FINAL</x:v>
      </x:c>
      <x:c r="G1608" s="58" t="n">
        <x:v>1</x:v>
      </x:c>
      <x:c r="H1608" s="59" t="n">
        <x:v>3.25</x:v>
      </x:c>
      <x:c r="I1608" s="59" t="n">
        <x:v>0.8416</x:v>
      </x:c>
      <x:c r="J1608" s="59" t="n">
        <x:v>0.84335</x:v>
      </x:c>
      <x:c r="K1608" s="59" t="n">
        <x:v>0.34904</x:v>
      </x:c>
      <x:c r="L1608" s="59" t="n">
        <x:v>0.19521</x:v>
      </x:c>
      <x:c r="M1608" s="59" t="n">
        <x:v>0.93565</x:v>
      </x:c>
      <x:c r="N1608" s="60" t="n">
        <x:v>12.21</x:v>
      </x:c>
      <x:c r="O1608" s="60" t="n">
        <x:v>6.73</x:v>
      </x:c>
      <x:c r="P1608" s="60" t="n">
        <x:v>5.65</x:v>
      </x:c>
      <x:c r="Q1608" s="60" t="n">
        <x:v>60.9</x:v>
      </x:c>
      <x:c r="R1608" s="58" t="str">
        <x:v>X</x:v>
      </x:c>
      <x:c r="S1608" s="60" t="n">
        <x:v>100</x:v>
      </x:c>
      <x:c r="T1608" s="58" t="str">
        <x:v>VALID</x:v>
      </x:c>
      <x:c r="U1608" s="58" t="n">
        <x:v>2201</x:v>
      </x:c>
      <x:c r="V1608" s="58" t="str">
        <x:v>Pasted text(59).txt</x:v>
      </x:c>
    </x:row>
    <x:row r="1609">
      <x:c r="A1609" s="58" t="str">
        <x:v>S17</x:v>
      </x:c>
      <x:c r="B1609" s="58" t="str">
        <x:v>0.75 validation at 268.8 Hz — high-gain/quantization limitation</x:v>
      </x:c>
      <x:c r="C1609" s="58" t="n">
        <x:v>0.75</x:v>
      </x:c>
      <x:c r="D1609" s="58" t="n">
        <x:v>3</x:v>
      </x:c>
      <x:c r="E1609" s="58" t="n">
        <x:v>1</x:v>
      </x:c>
      <x:c r="F1609" s="58" t="str">
        <x:v>FINAL</x:v>
      </x:c>
      <x:c r="G1609" s="58" t="n">
        <x:v>2</x:v>
      </x:c>
      <x:c r="H1609" s="59" t="n">
        <x:v>3.25</x:v>
      </x:c>
      <x:c r="I1609" s="59" t="n">
        <x:v>0.85295</x:v>
      </x:c>
      <x:c r="J1609" s="59" t="n">
        <x:v>0.85817</x:v>
      </x:c>
      <x:c r="K1609" s="59" t="n">
        <x:v>0.36822</x:v>
      </x:c>
      <x:c r="L1609" s="59" t="n">
        <x:v>0.2078</x:v>
      </x:c>
      <x:c r="M1609" s="59" t="n">
        <x:v>0.95793</x:v>
      </x:c>
      <x:c r="N1609" s="60" t="n">
        <x:v>13.73</x:v>
      </x:c>
      <x:c r="O1609" s="60" t="n">
        <x:v>2.25</x:v>
      </x:c>
      <x:c r="P1609" s="60" t="n">
        <x:v>1.94</x:v>
      </x:c>
      <x:c r="Q1609" s="60" t="n">
        <x:v>61.3</x:v>
      </x:c>
      <x:c r="R1609" s="58" t="str">
        <x:v>X</x:v>
      </x:c>
      <x:c r="S1609" s="60" t="n">
        <x:v>100</x:v>
      </x:c>
      <x:c r="T1609" s="58" t="str">
        <x:v>VALID</x:v>
      </x:c>
      <x:c r="U1609" s="58" t="n">
        <x:v>2202</x:v>
      </x:c>
      <x:c r="V1609" s="58" t="str">
        <x:v>Pasted text(59).txt</x:v>
      </x:c>
    </x:row>
    <x:row r="1610">
      <x:c r="A1610" s="58" t="str">
        <x:v>S17</x:v>
      </x:c>
      <x:c r="B1610" s="58" t="str">
        <x:v>0.75 validation at 268.8 Hz — high-gain/quantization limitation</x:v>
      </x:c>
      <x:c r="C1610" s="58" t="n">
        <x:v>0.75</x:v>
      </x:c>
      <x:c r="D1610" s="58" t="n">
        <x:v>3</x:v>
      </x:c>
      <x:c r="E1610" s="58" t="n">
        <x:v>1</x:v>
      </x:c>
      <x:c r="F1610" s="58" t="str">
        <x:v>FINAL</x:v>
      </x:c>
      <x:c r="G1610" s="58" t="n">
        <x:v>3</x:v>
      </x:c>
      <x:c r="H1610" s="59" t="n">
        <x:v>3.25</x:v>
      </x:c>
      <x:c r="I1610" s="59" t="n">
        <x:v>0.87012</x:v>
      </x:c>
      <x:c r="J1610" s="59" t="n">
        <x:v>0.85968</x:v>
      </x:c>
      <x:c r="K1610" s="59" t="n">
        <x:v>0.38413</x:v>
      </x:c>
      <x:c r="L1610" s="59" t="n">
        <x:v>0.20019</x:v>
      </x:c>
      <x:c r="M1610" s="59" t="n">
        <x:v>0.96376</x:v>
      </x:c>
      <x:c r="N1610" s="60" t="n">
        <x:v>16.02</x:v>
      </x:c>
      <x:c r="O1610" s="60" t="n">
        <x:v>6.67</x:v>
      </x:c>
      <x:c r="P1610" s="60" t="n">
        <x:v>4.32</x:v>
      </x:c>
      <x:c r="Q1610" s="60" t="n">
        <x:v>61.6</x:v>
      </x:c>
      <x:c r="R1610" s="58" t="str">
        <x:v>X</x:v>
      </x:c>
      <x:c r="S1610" s="60" t="n">
        <x:v>100</x:v>
      </x:c>
      <x:c r="T1610" s="58" t="str">
        <x:v>VALID</x:v>
      </x:c>
      <x:c r="U1610" s="58" t="n">
        <x:v>2203</x:v>
      </x:c>
      <x:c r="V1610" s="58" t="str">
        <x:v>Pasted text(59).txt</x:v>
      </x:c>
    </x:row>
    <x:row r="1611">
      <x:c r="A1611" s="58" t="str">
        <x:v>S17</x:v>
      </x:c>
      <x:c r="B1611" s="58" t="str">
        <x:v>0.75 validation at 268.8 Hz — high-gain/quantization limitation</x:v>
      </x:c>
      <x:c r="C1611" s="58" t="n">
        <x:v>0.75</x:v>
      </x:c>
      <x:c r="D1611" s="58" t="n">
        <x:v>3</x:v>
      </x:c>
      <x:c r="E1611" s="58" t="n">
        <x:v>1</x:v>
      </x:c>
      <x:c r="F1611" s="58" t="str">
        <x:v>FINAL</x:v>
      </x:c>
      <x:c r="G1611" s="58" t="n">
        <x:v>1</x:v>
      </x:c>
      <x:c r="H1611" s="59" t="n">
        <x:v>2.75</x:v>
      </x:c>
      <x:c r="I1611" s="59" t="n">
        <x:v>0.6903</x:v>
      </x:c>
      <x:c r="J1611" s="59" t="n">
        <x:v>0.68798</x:v>
      </x:c>
      <x:c r="K1611" s="59" t="n">
        <x:v>0.29333</x:v>
      </x:c>
      <x:c r="L1611" s="59" t="n">
        <x:v>0.16327</x:v>
      </x:c>
      <x:c r="M1611" s="59" t="n">
        <x:v>0.76661</x:v>
      </x:c>
      <x:c r="N1611" s="60" t="n">
        <x:v>-7.96</x:v>
      </x:c>
      <x:c r="O1611" s="60" t="n">
        <x:v>1.31</x:v>
      </x:c>
      <x:c r="P1611" s="60" t="n">
        <x:v>1.28</x:v>
      </x:c>
      <x:c r="Q1611" s="60" t="n">
        <x:v>45.4</x:v>
      </x:c>
      <x:c r="R1611" s="58" t="str">
        <x:v>X</x:v>
      </x:c>
      <x:c r="S1611" s="60" t="n">
        <x:v>100</x:v>
      </x:c>
      <x:c r="T1611" s="58" t="str">
        <x:v>UNSTABLE — SEARCH CONTINUES</x:v>
      </x:c>
      <x:c r="U1611" s="58" t="n">
        <x:v>2207</x:v>
      </x:c>
      <x:c r="V1611" s="58" t="str">
        <x:v>Pasted text(59).txt</x:v>
      </x:c>
    </x:row>
    <x:row r="1612">
      <x:c r="A1612" s="58" t="str">
        <x:v>S17</x:v>
      </x:c>
      <x:c r="B1612" s="58" t="str">
        <x:v>0.75 validation at 268.8 Hz — high-gain/quantization limitation</x:v>
      </x:c>
      <x:c r="C1612" s="58" t="n">
        <x:v>0.75</x:v>
      </x:c>
      <x:c r="D1612" s="58" t="n">
        <x:v>3</x:v>
      </x:c>
      <x:c r="E1612" s="58" t="n">
        <x:v>1</x:v>
      </x:c>
      <x:c r="F1612" s="58" t="str">
        <x:v>FINAL</x:v>
      </x:c>
      <x:c r="G1612" s="58" t="n">
        <x:v>2</x:v>
      </x:c>
      <x:c r="H1612" s="59" t="n">
        <x:v>2.75</x:v>
      </x:c>
      <x:c r="I1612" s="59" t="n">
        <x:v>0.70793</x:v>
      </x:c>
      <x:c r="J1612" s="59" t="n">
        <x:v>0.7043</x:v>
      </x:c>
      <x:c r="K1612" s="59" t="n">
        <x:v>0.30616</x:v>
      </x:c>
      <x:c r="L1612" s="59" t="n">
        <x:v>0.17099</x:v>
      </x:c>
      <x:c r="M1612" s="59" t="n">
        <x:v>0.788</x:v>
      </x:c>
      <x:c r="N1612" s="60" t="n">
        <x:v>-5.61</x:v>
      </x:c>
      <x:c r="O1612" s="60" t="n">
        <x:v>4.69</x:v>
      </x:c>
      <x:c r="P1612" s="60" t="n">
        <x:v>4.14</x:v>
      </x:c>
      <x:c r="Q1612" s="60" t="n">
        <x:v>47.3</x:v>
      </x:c>
      <x:c r="R1612" s="58" t="str">
        <x:v>X</x:v>
      </x:c>
      <x:c r="S1612" s="60" t="n">
        <x:v>100</x:v>
      </x:c>
      <x:c r="T1612" s="58" t="str">
        <x:v>UNSTABLE — SEARCH CONTINUES</x:v>
      </x:c>
      <x:c r="U1612" s="58" t="n">
        <x:v>2208</x:v>
      </x:c>
      <x:c r="V1612" s="58" t="str">
        <x:v>Pasted text(59).txt</x:v>
      </x:c>
    </x:row>
    <x:row r="1613">
      <x:c r="A1613" s="58" t="str">
        <x:v>S17</x:v>
      </x:c>
      <x:c r="B1613" s="58" t="str">
        <x:v>0.75 validation at 268.8 Hz — high-gain/quantization limitation</x:v>
      </x:c>
      <x:c r="C1613" s="58" t="n">
        <x:v>0.75</x:v>
      </x:c>
      <x:c r="D1613" s="58" t="n">
        <x:v>3</x:v>
      </x:c>
      <x:c r="E1613" s="58" t="n">
        <x:v>1</x:v>
      </x:c>
      <x:c r="F1613" s="58" t="str">
        <x:v>FINAL</x:v>
      </x:c>
      <x:c r="G1613" s="58" t="n">
        <x:v>3</x:v>
      </x:c>
      <x:c r="H1613" s="59" t="n">
        <x:v>2.75</x:v>
      </x:c>
      <x:c r="I1613" s="59" t="n">
        <x:v>0.70108</x:v>
      </x:c>
      <x:c r="J1613" s="59" t="n">
        <x:v>0.70532</x:v>
      </x:c>
      <x:c r="K1613" s="59" t="n">
        <x:v>0.2765</x:v>
      </x:c>
      <x:c r="L1613" s="59" t="n">
        <x:v>0.16162</x:v>
      </x:c>
      <x:c r="M1613" s="59" t="n">
        <x:v>0.77533</x:v>
      </x:c>
      <x:c r="N1613" s="60" t="n">
        <x:v>-6.52</x:v>
      </x:c>
      <x:c r="O1613" s="60" t="n">
        <x:v>1.62</x:v>
      </x:c>
      <x:c r="P1613" s="60" t="n">
        <x:v>2.48</x:v>
      </x:c>
      <x:c r="Q1613" s="60" t="n">
        <x:v>46.4</x:v>
      </x:c>
      <x:c r="R1613" s="58" t="str">
        <x:v>X</x:v>
      </x:c>
      <x:c r="S1613" s="60" t="n">
        <x:v>100</x:v>
      </x:c>
      <x:c r="T1613" s="58" t="str">
        <x:v>UNSTABLE — SEARCH CONTINUES</x:v>
      </x:c>
      <x:c r="U1613" s="58" t="n">
        <x:v>2209</x:v>
      </x:c>
      <x:c r="V1613" s="58" t="str">
        <x:v>Pasted text(59).txt</x:v>
      </x:c>
    </x:row>
    <x:row r="1614">
      <x:c r="A1614" s="58" t="str">
        <x:v>S17</x:v>
      </x:c>
      <x:c r="B1614" s="58" t="str">
        <x:v>0.75 validation at 268.8 Hz — high-gain/quantization limitation</x:v>
      </x:c>
      <x:c r="C1614" s="58" t="n">
        <x:v>0.75</x:v>
      </x:c>
      <x:c r="D1614" s="58" t="n">
        <x:v>3</x:v>
      </x:c>
      <x:c r="E1614" s="58" t="n">
        <x:v>2</x:v>
      </x:c>
      <x:c r="F1614" s="58" t="str">
        <x:v>SEARCH</x:v>
      </x:c>
      <x:c r="G1614" s="58" t="n">
        <x:v>1</x:v>
      </x:c>
      <x:c r="H1614" s="59" t="n">
        <x:v>1</x:v>
      </x:c>
      <x:c r="I1614" s="59" t="n">
        <x:v>0.04298</x:v>
      </x:c>
      <x:c r="J1614" s="59" t="n">
        <x:v>0.0439</x:v>
      </x:c>
      <x:c r="K1614" s="59" t="n">
        <x:v>0.03531</x:v>
      </x:c>
      <x:c r="L1614" s="59" t="n">
        <x:v>0.01868</x:v>
      </x:c>
      <x:c r="M1614" s="59" t="n">
        <x:v>0.06012</x:v>
      </x:c>
      <x:c r="N1614" s="60" t="n">
        <x:v>-94.27</x:v>
      </x:c>
      <x:c r="O1614" s="60" t="n">
        <x:v>6.36</x:v>
      </x:c>
      <x:c r="P1614" s="60" t="n">
        <x:v>2.97</x:v>
      </x:c>
      <x:c r="Q1614" s="60" t="n">
        <x:v>7.7</x:v>
      </x:c>
      <x:c r="R1614" s="58" t="str">
        <x:v>X</x:v>
      </x:c>
      <x:c r="S1614" s="60" t="n">
        <x:v>100</x:v>
      </x:c>
      <x:c r="T1614" s="58" t="str">
        <x:v>BELOW MEASUREMENT FLOOR — SEARCH CONTINUES</x:v>
      </x:c>
      <x:c r="U1614" s="58" t="n">
        <x:v>2216</x:v>
      </x:c>
      <x:c r="V1614" s="58" t="str">
        <x:v>Pasted text(59).txt</x:v>
      </x:c>
    </x:row>
    <x:row r="1615">
      <x:c r="A1615" s="58" t="str">
        <x:v>S17</x:v>
      </x:c>
      <x:c r="B1615" s="58" t="str">
        <x:v>0.75 validation at 268.8 Hz — high-gain/quantization limitation</x:v>
      </x:c>
      <x:c r="C1615" s="58" t="n">
        <x:v>0.75</x:v>
      </x:c>
      <x:c r="D1615" s="58" t="n">
        <x:v>3</x:v>
      </x:c>
      <x:c r="E1615" s="58" t="n">
        <x:v>2</x:v>
      </x:c>
      <x:c r="F1615" s="58" t="str">
        <x:v>SEARCH</x:v>
      </x:c>
      <x:c r="G1615" s="58" t="n">
        <x:v>2</x:v>
      </x:c>
      <x:c r="H1615" s="59" t="n">
        <x:v>3</x:v>
      </x:c>
      <x:c r="I1615" s="59" t="n">
        <x:v>0.80299</x:v>
      </x:c>
      <x:c r="J1615" s="59" t="n">
        <x:v>0.80645</x:v>
      </x:c>
      <x:c r="K1615" s="59" t="n">
        <x:v>0.3333</x:v>
      </x:c>
      <x:c r="L1615" s="59" t="n">
        <x:v>0.17739</x:v>
      </x:c>
      <x:c r="M1615" s="59" t="n">
        <x:v>0.89157</x:v>
      </x:c>
      <x:c r="N1615" s="60" t="n">
        <x:v>7.06</x:v>
      </x:c>
      <x:c r="O1615" s="60" t="n">
        <x:v>3.69</x:v>
      </x:c>
      <x:c r="P1615" s="60" t="n">
        <x:v>3.15</x:v>
      </x:c>
      <x:c r="Q1615" s="60" t="n">
        <x:v>55.3</x:v>
      </x:c>
      <x:c r="R1615" s="58" t="str">
        <x:v>X</x:v>
      </x:c>
      <x:c r="S1615" s="60" t="n">
        <x:v>100</x:v>
      </x:c>
      <x:c r="T1615" s="58" t="str">
        <x:v>IN TARGET BAND</x:v>
      </x:c>
      <x:c r="U1615" s="58" t="n">
        <x:v>2217</x:v>
      </x:c>
      <x:c r="V1615" s="58" t="str">
        <x:v>Pasted text(59).txt</x:v>
      </x:c>
    </x:row>
    <x:row r="1616">
      <x:c r="A1616" s="58" t="str">
        <x:v>S17</x:v>
      </x:c>
      <x:c r="B1616" s="58" t="str">
        <x:v>0.75 validation at 268.8 Hz — high-gain/quantization limitation</x:v>
      </x:c>
      <x:c r="C1616" s="58" t="n">
        <x:v>0.75</x:v>
      </x:c>
      <x:c r="D1616" s="58" t="n">
        <x:v>3</x:v>
      </x:c>
      <x:c r="E1616" s="58" t="n">
        <x:v>2</x:v>
      </x:c>
      <x:c r="F1616" s="58" t="str">
        <x:v>FINE</x:v>
      </x:c>
      <x:c r="G1616" s="58" t="n">
        <x:v>1</x:v>
      </x:c>
      <x:c r="H1616" s="59" t="n">
        <x:v>2</x:v>
      </x:c>
      <x:c r="I1616" s="59" t="n">
        <x:v>0.32799</x:v>
      </x:c>
      <x:c r="J1616" s="59" t="n">
        <x:v>0.32349</x:v>
      </x:c>
      <x:c r="K1616" s="59" t="n">
        <x:v>0.10917</x:v>
      </x:c>
      <x:c r="L1616" s="59" t="n">
        <x:v>0.07819</x:v>
      </x:c>
      <x:c r="M1616" s="59" t="n">
        <x:v>0.35051</x:v>
      </x:c>
      <x:c r="N1616" s="60" t="n">
        <x:v>-56.27</x:v>
      </x:c>
      <x:c r="O1616" s="60" t="n">
        <x:v>1.02</x:v>
      </x:c>
      <x:c r="P1616" s="60" t="n">
        <x:v>3.03</x:v>
      </x:c>
      <x:c r="Q1616" s="60" t="n">
        <x:v>25.5</x:v>
      </x:c>
      <x:c r="R1616" s="58" t="str">
        <x:v>X</x:v>
      </x:c>
      <x:c r="S1616" s="60" t="n">
        <x:v>100</x:v>
      </x:c>
      <x:c r="T1616" s="58" t="str">
        <x:v>UNSTABLE — SEARCH CONTINUES</x:v>
      </x:c>
      <x:c r="U1616" s="58" t="n">
        <x:v>2221</x:v>
      </x:c>
      <x:c r="V1616" s="58" t="str">
        <x:v>Pasted text(59).txt</x:v>
      </x:c>
    </x:row>
    <x:row r="1617">
      <x:c r="A1617" s="58" t="str">
        <x:v>S17</x:v>
      </x:c>
      <x:c r="B1617" s="58" t="str">
        <x:v>0.75 validation at 268.8 Hz — high-gain/quantization limitation</x:v>
      </x:c>
      <x:c r="C1617" s="58" t="n">
        <x:v>0.75</x:v>
      </x:c>
      <x:c r="D1617" s="58" t="n">
        <x:v>3</x:v>
      </x:c>
      <x:c r="E1617" s="58" t="n">
        <x:v>2</x:v>
      </x:c>
      <x:c r="F1617" s="58" t="str">
        <x:v>FINE</x:v>
      </x:c>
      <x:c r="G1617" s="58" t="n">
        <x:v>2</x:v>
      </x:c>
      <x:c r="H1617" s="59" t="n">
        <x:v>2.25</x:v>
      </x:c>
      <x:c r="I1617" s="59" t="n">
        <x:v>0.40578</x:v>
      </x:c>
      <x:c r="J1617" s="59" t="n">
        <x:v>0.40592</x:v>
      </x:c>
      <x:c r="K1617" s="59" t="n">
        <x:v>0.17885</x:v>
      </x:c>
      <x:c r="L1617" s="59" t="n">
        <x:v>0.0865</x:v>
      </x:c>
      <x:c r="M1617" s="59" t="n">
        <x:v>0.45644</x:v>
      </x:c>
      <x:c r="N1617" s="60" t="n">
        <x:v>-45.9</x:v>
      </x:c>
      <x:c r="O1617" s="60" t="n">
        <x:v>2.56</x:v>
      </x:c>
      <x:c r="P1617" s="60" t="n">
        <x:v>1.78</x:v>
      </x:c>
      <x:c r="Q1617" s="60" t="n">
        <x:v>35.9</x:v>
      </x:c>
      <x:c r="R1617" s="58" t="str">
        <x:v>X</x:v>
      </x:c>
      <x:c r="S1617" s="60" t="n">
        <x:v>100</x:v>
      </x:c>
      <x:c r="T1617" s="58" t="str">
        <x:v>UNSTABLE — SEARCH CONTINUES</x:v>
      </x:c>
      <x:c r="U1617" s="58" t="n">
        <x:v>2222</x:v>
      </x:c>
      <x:c r="V1617" s="58" t="str">
        <x:v>Pasted text(59).txt</x:v>
      </x:c>
    </x:row>
    <x:row r="1618">
      <x:c r="A1618" s="58" t="str">
        <x:v>S17</x:v>
      </x:c>
      <x:c r="B1618" s="58" t="str">
        <x:v>0.75 validation at 268.8 Hz — high-gain/quantization limitation</x:v>
      </x:c>
      <x:c r="C1618" s="58" t="n">
        <x:v>0.75</x:v>
      </x:c>
      <x:c r="D1618" s="58" t="n">
        <x:v>3</x:v>
      </x:c>
      <x:c r="E1618" s="58" t="n">
        <x:v>2</x:v>
      </x:c>
      <x:c r="F1618" s="58" t="str">
        <x:v>FINE</x:v>
      </x:c>
      <x:c r="G1618" s="58" t="n">
        <x:v>3</x:v>
      </x:c>
      <x:c r="H1618" s="59" t="n">
        <x:v>2.5</x:v>
      </x:c>
      <x:c r="I1618" s="59" t="n">
        <x:v>0.43029</x:v>
      </x:c>
      <x:c r="J1618" s="59" t="n">
        <x:v>0.43149</x:v>
      </x:c>
      <x:c r="K1618" s="59" t="n">
        <x:v>0.18205</x:v>
      </x:c>
      <x:c r="L1618" s="59" t="n">
        <x:v>0.10876</x:v>
      </x:c>
      <x:c r="M1618" s="59" t="n">
        <x:v>0.48131</x:v>
      </x:c>
      <x:c r="N1618" s="60" t="n">
        <x:v>-42.63</x:v>
      </x:c>
      <x:c r="O1618" s="60" t="n">
        <x:v>5.78</x:v>
      </x:c>
      <x:c r="P1618" s="60" t="n">
        <x:v>4.32</x:v>
      </x:c>
      <x:c r="Q1618" s="60" t="n">
        <x:v>40.4</x:v>
      </x:c>
      <x:c r="R1618" s="58" t="str">
        <x:v>X</x:v>
      </x:c>
      <x:c r="S1618" s="60" t="n">
        <x:v>100</x:v>
      </x:c>
      <x:c r="T1618" s="58" t="str">
        <x:v>UNSTABLE — SEARCH CONTINUES</x:v>
      </x:c>
      <x:c r="U1618" s="58" t="n">
        <x:v>2223</x:v>
      </x:c>
      <x:c r="V1618" s="58" t="str">
        <x:v>Pasted text(59).txt</x:v>
      </x:c>
    </x:row>
    <x:row r="1619">
      <x:c r="A1619" s="58" t="str">
        <x:v>S17</x:v>
      </x:c>
      <x:c r="B1619" s="58" t="str">
        <x:v>0.75 validation at 268.8 Hz — high-gain/quantization limitation</x:v>
      </x:c>
      <x:c r="C1619" s="58" t="n">
        <x:v>0.75</x:v>
      </x:c>
      <x:c r="D1619" s="58" t="n">
        <x:v>3</x:v>
      </x:c>
      <x:c r="E1619" s="58" t="n">
        <x:v>2</x:v>
      </x:c>
      <x:c r="F1619" s="58" t="str">
        <x:v>FINE</x:v>
      </x:c>
      <x:c r="G1619" s="58" t="n">
        <x:v>4</x:v>
      </x:c>
      <x:c r="H1619" s="59" t="n">
        <x:v>2.75</x:v>
      </x:c>
      <x:c r="I1619" s="59" t="n">
        <x:v>0.70535</x:v>
      </x:c>
      <x:c r="J1619" s="59" t="n">
        <x:v>0.70074</x:v>
      </x:c>
      <x:c r="K1619" s="59" t="n">
        <x:v>0.28671</x:v>
      </x:c>
      <x:c r="L1619" s="59" t="n">
        <x:v>0.16162</x:v>
      </x:c>
      <x:c r="M1619" s="59" t="n">
        <x:v>0.77527</x:v>
      </x:c>
      <x:c r="N1619" s="60" t="n">
        <x:v>-5.95</x:v>
      </x:c>
      <x:c r="O1619" s="60" t="n">
        <x:v>2.51</x:v>
      </x:c>
      <x:c r="P1619" s="60" t="n">
        <x:v>2.75</x:v>
      </x:c>
      <x:c r="Q1619" s="60" t="n">
        <x:v>46.1</x:v>
      </x:c>
      <x:c r="R1619" s="58" t="str">
        <x:v>X</x:v>
      </x:c>
      <x:c r="S1619" s="60" t="n">
        <x:v>100</x:v>
      </x:c>
      <x:c r="T1619" s="58" t="str">
        <x:v>UNSTABLE — SEARCH CONTINUES</x:v>
      </x:c>
      <x:c r="U1619" s="58" t="n">
        <x:v>2224</x:v>
      </x:c>
      <x:c r="V1619" s="58" t="str">
        <x:v>Pasted text(59).txt</x:v>
      </x:c>
    </x:row>
    <x:row r="1620">
      <x:c r="A1620" s="58" t="str">
        <x:v>S17</x:v>
      </x:c>
      <x:c r="B1620" s="58" t="str">
        <x:v>0.75 validation at 268.8 Hz — high-gain/quantization limitation</x:v>
      </x:c>
      <x:c r="C1620" s="58" t="n">
        <x:v>0.75</x:v>
      </x:c>
      <x:c r="D1620" s="58" t="n">
        <x:v>3</x:v>
      </x:c>
      <x:c r="E1620" s="58" t="n">
        <x:v>2</x:v>
      </x:c>
      <x:c r="F1620" s="58" t="str">
        <x:v>FINE</x:v>
      </x:c>
      <x:c r="G1620" s="58" t="n">
        <x:v>5</x:v>
      </x:c>
      <x:c r="H1620" s="59" t="n">
        <x:v>3</x:v>
      </x:c>
      <x:c r="I1620" s="59" t="n">
        <x:v>0.84475</x:v>
      </x:c>
      <x:c r="J1620" s="59" t="n">
        <x:v>0.82807</x:v>
      </x:c>
      <x:c r="K1620" s="59" t="n">
        <x:v>0.30429</x:v>
      </x:c>
      <x:c r="L1620" s="59" t="n">
        <x:v>0.18421</x:v>
      </x:c>
      <x:c r="M1620" s="59" t="n">
        <x:v>0.903</x:v>
      </x:c>
      <x:c r="N1620" s="60" t="n">
        <x:v>12.63</x:v>
      </x:c>
      <x:c r="O1620" s="60" t="n">
        <x:v>3.03</x:v>
      </x:c>
      <x:c r="P1620" s="60" t="n">
        <x:v>5.4</x:v>
      </x:c>
      <x:c r="Q1620" s="60" t="n">
        <x:v>56.4</x:v>
      </x:c>
      <x:c r="R1620" s="58" t="str">
        <x:v>X</x:v>
      </x:c>
      <x:c r="S1620" s="60" t="n">
        <x:v>100</x:v>
      </x:c>
      <x:c r="T1620" s="58" t="str">
        <x:v>VALID</x:v>
      </x:c>
      <x:c r="U1620" s="58" t="n">
        <x:v>2225</x:v>
      </x:c>
      <x:c r="V1620" s="58" t="str">
        <x:v>Pasted text(59).txt</x:v>
      </x:c>
    </x:row>
    <x:row r="1621">
      <x:c r="A1621" s="58" t="str">
        <x:v>S17</x:v>
      </x:c>
      <x:c r="B1621" s="58" t="str">
        <x:v>0.75 validation at 268.8 Hz — high-gain/quantization limitation</x:v>
      </x:c>
      <x:c r="C1621" s="58" t="n">
        <x:v>0.75</x:v>
      </x:c>
      <x:c r="D1621" s="58" t="n">
        <x:v>3</x:v>
      </x:c>
      <x:c r="E1621" s="58" t="n">
        <x:v>2</x:v>
      </x:c>
      <x:c r="F1621" s="58" t="str">
        <x:v>FINE</x:v>
      </x:c>
      <x:c r="G1621" s="58" t="n">
        <x:v>6</x:v>
      </x:c>
      <x:c r="H1621" s="59" t="n">
        <x:v>3.25</x:v>
      </x:c>
      <x:c r="I1621" s="59" t="n">
        <x:v>0.88484</x:v>
      </x:c>
      <x:c r="J1621" s="59" t="n">
        <x:v>0.89013</x:v>
      </x:c>
      <x:c r="K1621" s="59" t="n">
        <x:v>0.35116</x:v>
      </x:c>
      <x:c r="L1621" s="59" t="n">
        <x:v>0.20512</x:v>
      </x:c>
      <x:c r="M1621" s="59" t="n">
        <x:v>0.9801</x:v>
      </x:c>
      <x:c r="N1621" s="60" t="n">
        <x:v>17.98</x:v>
      </x:c>
      <x:c r="O1621" s="60" t="n">
        <x:v>2.02</x:v>
      </x:c>
      <x:c r="P1621" s="60" t="n">
        <x:v>2.31</x:v>
      </x:c>
      <x:c r="Q1621" s="60" t="n">
        <x:v>63.5</x:v>
      </x:c>
      <x:c r="R1621" s="58" t="str">
        <x:v>X</x:v>
      </x:c>
      <x:c r="S1621" s="60" t="n">
        <x:v>100</x:v>
      </x:c>
      <x:c r="T1621" s="58" t="str">
        <x:v>VALID</x:v>
      </x:c>
      <x:c r="U1621" s="58" t="n">
        <x:v>2226</x:v>
      </x:c>
      <x:c r="V1621" s="58" t="str">
        <x:v>Pasted text(59).txt</x:v>
      </x:c>
    </x:row>
    <x:row r="1622">
      <x:c r="A1622" s="58" t="str">
        <x:v>S17</x:v>
      </x:c>
      <x:c r="B1622" s="58" t="str">
        <x:v>0.75 validation at 268.8 Hz — high-gain/quantization limitation</x:v>
      </x:c>
      <x:c r="C1622" s="58" t="n">
        <x:v>0.75</x:v>
      </x:c>
      <x:c r="D1622" s="58" t="n">
        <x:v>3</x:v>
      </x:c>
      <x:c r="E1622" s="58" t="n">
        <x:v>2</x:v>
      </x:c>
      <x:c r="F1622" s="58" t="str">
        <x:v>FINE</x:v>
      </x:c>
      <x:c r="G1622" s="58" t="n">
        <x:v>7</x:v>
      </x:c>
      <x:c r="H1622" s="59" t="n">
        <x:v>3.5</x:v>
      </x:c>
      <x:c r="I1622" s="59" t="n">
        <x:v>0.91073</x:v>
      </x:c>
      <x:c r="J1622" s="59" t="n">
        <x:v>0.90772</x:v>
      </x:c>
      <x:c r="K1622" s="59" t="n">
        <x:v>0.39385</x:v>
      </x:c>
      <x:c r="L1622" s="59" t="n">
        <x:v>0.2303</x:v>
      </x:c>
      <x:c r="M1622" s="59" t="n">
        <x:v>1.01663</x:v>
      </x:c>
      <x:c r="N1622" s="60" t="n">
        <x:v>21.43</x:v>
      </x:c>
      <x:c r="O1622" s="60" t="n">
        <x:v>3.94</x:v>
      </x:c>
      <x:c r="P1622" s="60" t="n">
        <x:v>3.18</x:v>
      </x:c>
      <x:c r="Q1622" s="60" t="n">
        <x:v>65.9</x:v>
      </x:c>
      <x:c r="R1622" s="58" t="str">
        <x:v>X</x:v>
      </x:c>
      <x:c r="S1622" s="60" t="n">
        <x:v>100</x:v>
      </x:c>
      <x:c r="T1622" s="58" t="str">
        <x:v>VALID</x:v>
      </x:c>
      <x:c r="U1622" s="58" t="n">
        <x:v>2227</x:v>
      </x:c>
      <x:c r="V1622" s="58" t="str">
        <x:v>Pasted text(59).txt</x:v>
      </x:c>
    </x:row>
    <x:row r="1623">
      <x:c r="A1623" s="58" t="str">
        <x:v>S17</x:v>
      </x:c>
      <x:c r="B1623" s="58" t="str">
        <x:v>0.75 validation at 268.8 Hz — high-gain/quantization limitation</x:v>
      </x:c>
      <x:c r="C1623" s="58" t="n">
        <x:v>0.75</x:v>
      </x:c>
      <x:c r="D1623" s="58" t="n">
        <x:v>3</x:v>
      </x:c>
      <x:c r="E1623" s="58" t="n">
        <x:v>2</x:v>
      </x:c>
      <x:c r="F1623" s="58" t="str">
        <x:v>FINE</x:v>
      </x:c>
      <x:c r="G1623" s="58" t="n">
        <x:v>8</x:v>
      </x:c>
      <x:c r="H1623" s="59" t="n">
        <x:v>3.75</x:v>
      </x:c>
      <x:c r="I1623" s="59" t="n">
        <x:v>1.13794</x:v>
      </x:c>
      <x:c r="J1623" s="59" t="n">
        <x:v>1.13928</x:v>
      </x:c>
      <x:c r="K1623" s="59" t="n">
        <x:v>0.4775</x:v>
      </x:c>
      <x:c r="L1623" s="59" t="n">
        <x:v>0.262</x:v>
      </x:c>
      <x:c r="M1623" s="59" t="n">
        <x:v>1.26342</x:v>
      </x:c>
      <x:c r="N1623" s="60" t="n">
        <x:v>51.73</x:v>
      </x:c>
      <x:c r="O1623" s="60" t="n">
        <x:v>1.06</x:v>
      </x:c>
      <x:c r="P1623" s="60" t="n">
        <x:v>0.9</x:v>
      </x:c>
      <x:c r="Q1623" s="60" t="n">
        <x:v>64</x:v>
      </x:c>
      <x:c r="R1623" s="58" t="str">
        <x:v>X</x:v>
      </x:c>
      <x:c r="S1623" s="60" t="n">
        <x:v>100</x:v>
      </x:c>
      <x:c r="T1623" s="58" t="str">
        <x:v>VALID</x:v>
      </x:c>
      <x:c r="U1623" s="58" t="n">
        <x:v>2228</x:v>
      </x:c>
      <x:c r="V1623" s="58" t="str">
        <x:v>Pasted text(59).txt</x:v>
      </x:c>
    </x:row>
    <x:row r="1624">
      <x:c r="A1624" s="58" t="str">
        <x:v>S17</x:v>
      </x:c>
      <x:c r="B1624" s="58" t="str">
        <x:v>0.75 validation at 268.8 Hz — high-gain/quantization limitation</x:v>
      </x:c>
      <x:c r="C1624" s="58" t="n">
        <x:v>0.75</x:v>
      </x:c>
      <x:c r="D1624" s="58" t="n">
        <x:v>3</x:v>
      </x:c>
      <x:c r="E1624" s="58" t="n">
        <x:v>2</x:v>
      </x:c>
      <x:c r="F1624" s="58" t="str">
        <x:v>FINE</x:v>
      </x:c>
      <x:c r="G1624" s="58" t="n">
        <x:v>9</x:v>
      </x:c>
      <x:c r="H1624" s="59" t="n">
        <x:v>4</x:v>
      </x:c>
      <x:c r="I1624" s="59" t="n">
        <x:v>1.23016</x:v>
      </x:c>
      <x:c r="J1624" s="59" t="n">
        <x:v>1.2279</x:v>
      </x:c>
      <x:c r="K1624" s="59" t="n">
        <x:v>0.54638</x:v>
      </x:c>
      <x:c r="L1624" s="59" t="n">
        <x:v>0.31568</x:v>
      </x:c>
      <x:c r="M1624" s="59" t="n">
        <x:v>1.38087</x:v>
      </x:c>
      <x:c r="N1624" s="60" t="n">
        <x:v>64.02</x:v>
      </x:c>
      <x:c r="O1624" s="60" t="n">
        <x:v>1.12</x:v>
      </x:c>
      <x:c r="P1624" s="60" t="n">
        <x:v>1.04</x:v>
      </x:c>
      <x:c r="Q1624" s="60" t="n">
        <x:v>69.3</x:v>
      </x:c>
      <x:c r="R1624" s="58" t="str">
        <x:v>X</x:v>
      </x:c>
      <x:c r="S1624" s="60" t="n">
        <x:v>100</x:v>
      </x:c>
      <x:c r="T1624" s="58" t="str">
        <x:v>VALID</x:v>
      </x:c>
      <x:c r="U1624" s="58" t="n">
        <x:v>2229</x:v>
      </x:c>
      <x:c r="V1624" s="58" t="str">
        <x:v>Pasted text(59).txt</x:v>
      </x:c>
    </x:row>
    <x:row r="1625">
      <x:c r="A1625" s="58" t="str">
        <x:v>S17</x:v>
      </x:c>
      <x:c r="B1625" s="58" t="str">
        <x:v>0.75 validation at 268.8 Hz — high-gain/quantization limitation</x:v>
      </x:c>
      <x:c r="C1625" s="58" t="n">
        <x:v>0.75</x:v>
      </x:c>
      <x:c r="D1625" s="58" t="n">
        <x:v>4</x:v>
      </x:c>
      <x:c r="E1625" s="58" t="n">
        <x:v>1</x:v>
      </x:c>
      <x:c r="F1625" s="58" t="str">
        <x:v>SEARCH</x:v>
      </x:c>
      <x:c r="G1625" s="58" t="n">
        <x:v>1</x:v>
      </x:c>
      <x:c r="H1625" s="59" t="n">
        <x:v>1</x:v>
      </x:c>
      <x:c r="I1625" s="59" t="n">
        <x:v>0.01725</x:v>
      </x:c>
      <x:c r="J1625" s="59" t="n">
        <x:v>0.01674</x:v>
      </x:c>
      <x:c r="K1625" s="59" t="n">
        <x:v>0.0427</x:v>
      </x:c>
      <x:c r="L1625" s="59" t="n">
        <x:v>0.04163</x:v>
      </x:c>
      <x:c r="M1625" s="59" t="n">
        <x:v>0.06252</x:v>
      </x:c>
      <x:c r="N1625" s="60" t="n">
        <x:v>-97.7</x:v>
      </x:c>
      <x:c r="O1625" s="60" t="n">
        <x:v>8.69</x:v>
      </x:c>
      <x:c r="P1625" s="60" t="n">
        <x:v>4.27</x:v>
      </x:c>
      <x:c r="Q1625" s="60" t="n">
        <x:v>2.9</x:v>
      </x:c>
      <x:c r="R1625" s="58" t="str">
        <x:v>Y</x:v>
      </x:c>
      <x:c r="S1625" s="60" t="n">
        <x:v>39.2</x:v>
      </x:c>
      <x:c r="T1625" s="58" t="str">
        <x:v>BELOW MEASUREMENT FLOOR — SEARCH CONTINUES</x:v>
      </x:c>
      <x:c r="U1625" s="58" t="n">
        <x:v>2248</x:v>
      </x:c>
      <x:c r="V1625" s="58" t="str">
        <x:v>Pasted text(59).txt</x:v>
      </x:c>
    </x:row>
    <x:row r="1626">
      <x:c r="A1626" s="58" t="str">
        <x:v>S17</x:v>
      </x:c>
      <x:c r="B1626" s="58" t="str">
        <x:v>0.75 validation at 268.8 Hz — high-gain/quantization limitation</x:v>
      </x:c>
      <x:c r="C1626" s="58" t="n">
        <x:v>0.75</x:v>
      </x:c>
      <x:c r="D1626" s="58" t="n">
        <x:v>4</x:v>
      </x:c>
      <x:c r="E1626" s="58" t="n">
        <x:v>1</x:v>
      </x:c>
      <x:c r="F1626" s="58" t="str">
        <x:v>SEARCH</x:v>
      </x:c>
      <x:c r="G1626" s="58" t="n">
        <x:v>2</x:v>
      </x:c>
      <x:c r="H1626" s="59" t="n">
        <x:v>3</x:v>
      </x:c>
      <x:c r="I1626" s="59" t="n">
        <x:v>0.77731</x:v>
      </x:c>
      <x:c r="J1626" s="59" t="n">
        <x:v>0.77905</x:v>
      </x:c>
      <x:c r="K1626" s="59" t="n">
        <x:v>0.3213</x:v>
      </x:c>
      <x:c r="L1626" s="59" t="n">
        <x:v>0.17695</x:v>
      </x:c>
      <x:c r="M1626" s="59" t="n">
        <x:v>0.86217</x:v>
      </x:c>
      <x:c r="N1626" s="60" t="n">
        <x:v>3.64</x:v>
      </x:c>
      <x:c r="O1626" s="60" t="n">
        <x:v>2.24</x:v>
      </x:c>
      <x:c r="P1626" s="60" t="n">
        <x:v>1.85</x:v>
      </x:c>
      <x:c r="Q1626" s="60" t="n">
        <x:v>52.9</x:v>
      </x:c>
      <x:c r="R1626" s="58" t="str">
        <x:v>X</x:v>
      </x:c>
      <x:c r="S1626" s="60" t="n">
        <x:v>100</x:v>
      </x:c>
      <x:c r="T1626" s="58" t="str">
        <x:v>IN TARGET BAND</x:v>
      </x:c>
      <x:c r="U1626" s="58" t="n">
        <x:v>2249</x:v>
      </x:c>
      <x:c r="V1626" s="58" t="str">
        <x:v>Pasted text(59).txt</x:v>
      </x:c>
    </x:row>
    <x:row r="1627">
      <x:c r="A1627" s="58" t="str">
        <x:v>S17</x:v>
      </x:c>
      <x:c r="B1627" s="58" t="str">
        <x:v>0.75 validation at 268.8 Hz — high-gain/quantization limitation</x:v>
      </x:c>
      <x:c r="C1627" s="58" t="n">
        <x:v>0.75</x:v>
      </x:c>
      <x:c r="D1627" s="58" t="n">
        <x:v>4</x:v>
      </x:c>
      <x:c r="E1627" s="58" t="n">
        <x:v>1</x:v>
      </x:c>
      <x:c r="F1627" s="58" t="str">
        <x:v>FINE</x:v>
      </x:c>
      <x:c r="G1627" s="58" t="n">
        <x:v>1</x:v>
      </x:c>
      <x:c r="H1627" s="59" t="n">
        <x:v>2</x:v>
      </x:c>
      <x:c r="I1627" s="59" t="n">
        <x:v>0.34579</x:v>
      </x:c>
      <x:c r="J1627" s="59" t="n">
        <x:v>0.3425</x:v>
      </x:c>
      <x:c r="K1627" s="59" t="n">
        <x:v>0.14121</x:v>
      </x:c>
      <x:c r="L1627" s="59" t="n">
        <x:v>0.06669</x:v>
      </x:c>
      <x:c r="M1627" s="59" t="n">
        <x:v>0.37668</x:v>
      </x:c>
      <x:c r="N1627" s="60" t="n">
        <x:v>-53.9</x:v>
      </x:c>
      <x:c r="O1627" s="60" t="n">
        <x:v>0.97</x:v>
      </x:c>
      <x:c r="P1627" s="60" t="n">
        <x:v>2.26</x:v>
      </x:c>
      <x:c r="Q1627" s="60" t="n">
        <x:v>27.1</x:v>
      </x:c>
      <x:c r="R1627" s="58" t="str">
        <x:v>X</x:v>
      </x:c>
      <x:c r="S1627" s="60" t="n">
        <x:v>100</x:v>
      </x:c>
      <x:c r="T1627" s="58" t="str">
        <x:v>UNSTABLE — SEARCH CONTINUES</x:v>
      </x:c>
      <x:c r="U1627" s="58" t="n">
        <x:v>2253</x:v>
      </x:c>
      <x:c r="V1627" s="58" t="str">
        <x:v>Pasted text(59).txt</x:v>
      </x:c>
    </x:row>
    <x:row r="1628">
      <x:c r="A1628" s="58" t="str">
        <x:v>S17</x:v>
      </x:c>
      <x:c r="B1628" s="58" t="str">
        <x:v>0.75 validation at 268.8 Hz — high-gain/quantization limitation</x:v>
      </x:c>
      <x:c r="C1628" s="58" t="n">
        <x:v>0.75</x:v>
      </x:c>
      <x:c r="D1628" s="58" t="n">
        <x:v>4</x:v>
      </x:c>
      <x:c r="E1628" s="58" t="n">
        <x:v>1</x:v>
      </x:c>
      <x:c r="F1628" s="58" t="str">
        <x:v>FINE</x:v>
      </x:c>
      <x:c r="G1628" s="58" t="n">
        <x:v>2</x:v>
      </x:c>
      <x:c r="H1628" s="59" t="n">
        <x:v>2.25</x:v>
      </x:c>
      <x:c r="I1628" s="59" t="n">
        <x:v>0.37764</x:v>
      </x:c>
      <x:c r="J1628" s="59" t="n">
        <x:v>0.37978</x:v>
      </x:c>
      <x:c r="K1628" s="59" t="n">
        <x:v>0.15589</x:v>
      </x:c>
      <x:c r="L1628" s="59" t="n">
        <x:v>0.11264</x:v>
      </x:c>
      <x:c r="M1628" s="59" t="n">
        <x:v>0.43064</x:v>
      </x:c>
      <x:c r="N1628" s="60" t="n">
        <x:v>-49.65</x:v>
      </x:c>
      <x:c r="O1628" s="60" t="n">
        <x:v>0.82</x:v>
      </x:c>
      <x:c r="P1628" s="60" t="n">
        <x:v>1.48</x:v>
      </x:c>
      <x:c r="Q1628" s="60" t="n">
        <x:v>33.7</x:v>
      </x:c>
      <x:c r="R1628" s="58" t="str">
        <x:v>X</x:v>
      </x:c>
      <x:c r="S1628" s="60" t="n">
        <x:v>100</x:v>
      </x:c>
      <x:c r="T1628" s="58" t="str">
        <x:v>UNSTABLE — SEARCH CONTINUES</x:v>
      </x:c>
      <x:c r="U1628" s="58" t="n">
        <x:v>2254</x:v>
      </x:c>
      <x:c r="V1628" s="58" t="str">
        <x:v>Pasted text(59).txt</x:v>
      </x:c>
    </x:row>
    <x:row r="1629">
      <x:c r="A1629" s="58" t="str">
        <x:v>S17</x:v>
      </x:c>
      <x:c r="B1629" s="58" t="str">
        <x:v>0.75 validation at 268.8 Hz — high-gain/quantization limitation</x:v>
      </x:c>
      <x:c r="C1629" s="58" t="n">
        <x:v>0.75</x:v>
      </x:c>
      <x:c r="D1629" s="58" t="n">
        <x:v>4</x:v>
      </x:c>
      <x:c r="E1629" s="58" t="n">
        <x:v>1</x:v>
      </x:c>
      <x:c r="F1629" s="58" t="str">
        <x:v>FINE</x:v>
      </x:c>
      <x:c r="G1629" s="58" t="n">
        <x:v>3</x:v>
      </x:c>
      <x:c r="H1629" s="59" t="n">
        <x:v>2.5</x:v>
      </x:c>
      <x:c r="I1629" s="59" t="n">
        <x:v>0.39814</x:v>
      </x:c>
      <x:c r="J1629" s="59" t="n">
        <x:v>0.40256</x:v>
      </x:c>
      <x:c r="K1629" s="59" t="n">
        <x:v>0.17533</x:v>
      </x:c>
      <x:c r="L1629" s="59" t="n">
        <x:v>0.12048</x:v>
      </x:c>
      <x:c r="M1629" s="59" t="n">
        <x:v>0.45676</x:v>
      </x:c>
      <x:c r="N1629" s="60" t="n">
        <x:v>-46.91</x:v>
      </x:c>
      <x:c r="O1629" s="60" t="n">
        <x:v>2.89</x:v>
      </x:c>
      <x:c r="P1629" s="60" t="n">
        <x:v>3.7</x:v>
      </x:c>
      <x:c r="Q1629" s="60" t="n">
        <x:v>38.4</x:v>
      </x:c>
      <x:c r="R1629" s="58" t="str">
        <x:v>X</x:v>
      </x:c>
      <x:c r="S1629" s="60" t="n">
        <x:v>100</x:v>
      </x:c>
      <x:c r="T1629" s="58" t="str">
        <x:v>UNSTABLE — SEARCH CONTINUES</x:v>
      </x:c>
      <x:c r="U1629" s="58" t="n">
        <x:v>2255</x:v>
      </x:c>
      <x:c r="V1629" s="58" t="str">
        <x:v>Pasted text(59).txt</x:v>
      </x:c>
    </x:row>
    <x:row r="1630">
      <x:c r="A1630" s="58" t="str">
        <x:v>S17</x:v>
      </x:c>
      <x:c r="B1630" s="58" t="str">
        <x:v>0.75 validation at 268.8 Hz — high-gain/quantization limitation</x:v>
      </x:c>
      <x:c r="C1630" s="58" t="n">
        <x:v>0.75</x:v>
      </x:c>
      <x:c r="D1630" s="58" t="n">
        <x:v>4</x:v>
      </x:c>
      <x:c r="E1630" s="58" t="n">
        <x:v>1</x:v>
      </x:c>
      <x:c r="F1630" s="58" t="str">
        <x:v>FINE</x:v>
      </x:c>
      <x:c r="G1630" s="58" t="n">
        <x:v>4</x:v>
      </x:c>
      <x:c r="H1630" s="59" t="n">
        <x:v>2.75</x:v>
      </x:c>
      <x:c r="I1630" s="59" t="n">
        <x:v>0.72976</x:v>
      </x:c>
      <x:c r="J1630" s="59" t="n">
        <x:v>0.70321</x:v>
      </x:c>
      <x:c r="K1630" s="59" t="n">
        <x:v>0.30818</x:v>
      </x:c>
      <x:c r="L1630" s="59" t="n">
        <x:v>0.1701</x:v>
      </x:c>
      <x:c r="M1630" s="59" t="n">
        <x:v>0.78688</x:v>
      </x:c>
      <x:c r="N1630" s="60" t="n">
        <x:v>-2.7</x:v>
      </x:c>
      <x:c r="O1630" s="60" t="n">
        <x:v>0.29</x:v>
      </x:c>
      <x:c r="P1630" s="60" t="n">
        <x:v>6.71</x:v>
      </x:c>
      <x:c r="Q1630" s="60" t="n">
        <x:v>46.1</x:v>
      </x:c>
      <x:c r="R1630" s="58" t="str">
        <x:v>X</x:v>
      </x:c>
      <x:c r="S1630" s="60" t="n">
        <x:v>100</x:v>
      </x:c>
      <x:c r="T1630" s="58" t="str">
        <x:v>UNSTABLE — SEARCH CONTINUES</x:v>
      </x:c>
      <x:c r="U1630" s="58" t="n">
        <x:v>2256</x:v>
      </x:c>
      <x:c r="V1630" s="58" t="str">
        <x:v>Pasted text(59).txt</x:v>
      </x:c>
    </x:row>
    <x:row r="1631">
      <x:c r="A1631" s="58" t="str">
        <x:v>S17</x:v>
      </x:c>
      <x:c r="B1631" s="58" t="str">
        <x:v>0.75 validation at 268.8 Hz — high-gain/quantization limitation</x:v>
      </x:c>
      <x:c r="C1631" s="58" t="n">
        <x:v>0.75</x:v>
      </x:c>
      <x:c r="D1631" s="58" t="n">
        <x:v>4</x:v>
      </x:c>
      <x:c r="E1631" s="58" t="n">
        <x:v>1</x:v>
      </x:c>
      <x:c r="F1631" s="58" t="str">
        <x:v>FINE</x:v>
      </x:c>
      <x:c r="G1631" s="58" t="n">
        <x:v>5</x:v>
      </x:c>
      <x:c r="H1631" s="59" t="n">
        <x:v>3</x:v>
      </x:c>
      <x:c r="I1631" s="59" t="n">
        <x:v>0.78571</x:v>
      </x:c>
      <x:c r="J1631" s="59" t="n">
        <x:v>0.7896</x:v>
      </x:c>
      <x:c r="K1631" s="59" t="n">
        <x:v>0.32655</x:v>
      </x:c>
      <x:c r="L1631" s="59" t="n">
        <x:v>0.18858</x:v>
      </x:c>
      <x:c r="M1631" s="59" t="n">
        <x:v>0.87821</x:v>
      </x:c>
      <x:c r="N1631" s="60" t="n">
        <x:v>4.76</x:v>
      </x:c>
      <x:c r="O1631" s="60" t="n">
        <x:v>1.44</x:v>
      </x:c>
      <x:c r="P1631" s="60" t="n">
        <x:v>1.76</x:v>
      </x:c>
      <x:c r="Q1631" s="60" t="n">
        <x:v>53.7</x:v>
      </x:c>
      <x:c r="R1631" s="58" t="str">
        <x:v>X</x:v>
      </x:c>
      <x:c r="S1631" s="60" t="n">
        <x:v>100</x:v>
      </x:c>
      <x:c r="T1631" s="58" t="str">
        <x:v>IN TARGET BAND</x:v>
      </x:c>
      <x:c r="U1631" s="58" t="n">
        <x:v>2257</x:v>
      </x:c>
      <x:c r="V1631" s="58" t="str">
        <x:v>Pasted text(59).txt</x:v>
      </x:c>
    </x:row>
    <x:row r="1632">
      <x:c r="A1632" s="58" t="str">
        <x:v>S17</x:v>
      </x:c>
      <x:c r="B1632" s="58" t="str">
        <x:v>0.75 validation at 268.8 Hz — high-gain/quantization limitation</x:v>
      </x:c>
      <x:c r="C1632" s="58" t="n">
        <x:v>0.75</x:v>
      </x:c>
      <x:c r="D1632" s="58" t="n">
        <x:v>4</x:v>
      </x:c>
      <x:c r="E1632" s="58" t="n">
        <x:v>1</x:v>
      </x:c>
      <x:c r="F1632" s="58" t="str">
        <x:v>FINE</x:v>
      </x:c>
      <x:c r="G1632" s="58" t="n">
        <x:v>6</x:v>
      </x:c>
      <x:c r="H1632" s="59" t="n">
        <x:v>3.25</x:v>
      </x:c>
      <x:c r="I1632" s="59" t="n">
        <x:v>0.85746</x:v>
      </x:c>
      <x:c r="J1632" s="59" t="n">
        <x:v>0.85946</x:v>
      </x:c>
      <x:c r="K1632" s="59" t="n">
        <x:v>0.35993</x:v>
      </x:c>
      <x:c r="L1632" s="59" t="n">
        <x:v>0.20208</x:v>
      </x:c>
      <x:c r="M1632" s="59" t="n">
        <x:v>0.95456</x:v>
      </x:c>
      <x:c r="N1632" s="60" t="n">
        <x:v>14.33</x:v>
      </x:c>
      <x:c r="O1632" s="60" t="n">
        <x:v>3.27</x:v>
      </x:c>
      <x:c r="P1632" s="60" t="n">
        <x:v>2.56</x:v>
      </x:c>
      <x:c r="Q1632" s="60" t="n">
        <x:v>61.2</x:v>
      </x:c>
      <x:c r="R1632" s="58" t="str">
        <x:v>X</x:v>
      </x:c>
      <x:c r="S1632" s="60" t="n">
        <x:v>100</x:v>
      </x:c>
      <x:c r="T1632" s="58" t="str">
        <x:v>VALID</x:v>
      </x:c>
      <x:c r="U1632" s="58" t="n">
        <x:v>2258</x:v>
      </x:c>
      <x:c r="V1632" s="58" t="str">
        <x:v>Pasted text(59).txt</x:v>
      </x:c>
    </x:row>
    <x:row r="1633">
      <x:c r="A1633" s="58" t="str">
        <x:v>S17</x:v>
      </x:c>
      <x:c r="B1633" s="58" t="str">
        <x:v>0.75 validation at 268.8 Hz — high-gain/quantization limitation</x:v>
      </x:c>
      <x:c r="C1633" s="58" t="n">
        <x:v>0.75</x:v>
      </x:c>
      <x:c r="D1633" s="58" t="n">
        <x:v>4</x:v>
      </x:c>
      <x:c r="E1633" s="58" t="n">
        <x:v>1</x:v>
      </x:c>
      <x:c r="F1633" s="58" t="str">
        <x:v>FINE</x:v>
      </x:c>
      <x:c r="G1633" s="58" t="n">
        <x:v>7</x:v>
      </x:c>
      <x:c r="H1633" s="59" t="n">
        <x:v>3.5</x:v>
      </x:c>
      <x:c r="I1633" s="59" t="n">
        <x:v>0.9401</x:v>
      </x:c>
      <x:c r="J1633" s="59" t="n">
        <x:v>0.93834</x:v>
      </x:c>
      <x:c r="K1633" s="59" t="n">
        <x:v>0.38662</x:v>
      </x:c>
      <x:c r="L1633" s="59" t="n">
        <x:v>0.2119</x:v>
      </x:c>
      <x:c r="M1633" s="59" t="n">
        <x:v>1.03698</x:v>
      </x:c>
      <x:c r="N1633" s="60" t="n">
        <x:v>25.35</x:v>
      </x:c>
      <x:c r="O1633" s="60" t="n">
        <x:v>0.51</x:v>
      </x:c>
      <x:c r="P1633" s="60" t="n">
        <x:v>0.64</x:v>
      </x:c>
      <x:c r="Q1633" s="60" t="n">
        <x:v>68.7</x:v>
      </x:c>
      <x:c r="R1633" s="58" t="str">
        <x:v>X</x:v>
      </x:c>
      <x:c r="S1633" s="60" t="n">
        <x:v>100</x:v>
      </x:c>
      <x:c r="T1633" s="58" t="str">
        <x:v>VALID</x:v>
      </x:c>
      <x:c r="U1633" s="58" t="n">
        <x:v>2259</x:v>
      </x:c>
      <x:c r="V1633" s="58" t="str">
        <x:v>Pasted text(59).txt</x:v>
      </x:c>
    </x:row>
    <x:row r="1634">
      <x:c r="A1634" s="58" t="str">
        <x:v>S17</x:v>
      </x:c>
      <x:c r="B1634" s="58" t="str">
        <x:v>0.75 validation at 268.8 Hz — high-gain/quantization limitation</x:v>
      </x:c>
      <x:c r="C1634" s="58" t="n">
        <x:v>0.75</x:v>
      </x:c>
      <x:c r="D1634" s="58" t="n">
        <x:v>4</x:v>
      </x:c>
      <x:c r="E1634" s="58" t="n">
        <x:v>1</x:v>
      </x:c>
      <x:c r="F1634" s="58" t="str">
        <x:v>FINE</x:v>
      </x:c>
      <x:c r="G1634" s="58" t="n">
        <x:v>8</x:v>
      </x:c>
      <x:c r="H1634" s="59" t="n">
        <x:v>3.75</x:v>
      </x:c>
      <x:c r="I1634" s="59" t="n">
        <x:v>1.1407</x:v>
      </x:c>
      <x:c r="J1634" s="59" t="n">
        <x:v>1.13935</x:v>
      </x:c>
      <x:c r="K1634" s="59" t="n">
        <x:v>0.51202</x:v>
      </x:c>
      <x:c r="L1634" s="59" t="n">
        <x:v>0.26424</x:v>
      </x:c>
      <x:c r="M1634" s="59" t="n">
        <x:v>1.27697</x:v>
      </x:c>
      <x:c r="N1634" s="60" t="n">
        <x:v>52.09</x:v>
      </x:c>
      <x:c r="O1634" s="60" t="n">
        <x:v>2.76</x:v>
      </x:c>
      <x:c r="P1634" s="60" t="n">
        <x:v>2.04</x:v>
      </x:c>
      <x:c r="Q1634" s="60" t="n">
        <x:v>64.2</x:v>
      </x:c>
      <x:c r="R1634" s="58" t="str">
        <x:v>X</x:v>
      </x:c>
      <x:c r="S1634" s="60" t="n">
        <x:v>100</x:v>
      </x:c>
      <x:c r="T1634" s="58" t="str">
        <x:v>VALID</x:v>
      </x:c>
      <x:c r="U1634" s="58" t="n">
        <x:v>2260</x:v>
      </x:c>
      <x:c r="V1634" s="58" t="str">
        <x:v>Pasted text(59).txt</x:v>
      </x:c>
    </x:row>
    <x:row r="1635">
      <x:c r="A1635" s="58" t="str">
        <x:v>S17</x:v>
      </x:c>
      <x:c r="B1635" s="58" t="str">
        <x:v>0.75 validation at 268.8 Hz — high-gain/quantization limitation</x:v>
      </x:c>
      <x:c r="C1635" s="58" t="n">
        <x:v>0.75</x:v>
      </x:c>
      <x:c r="D1635" s="58" t="n">
        <x:v>4</x:v>
      </x:c>
      <x:c r="E1635" s="58" t="n">
        <x:v>1</x:v>
      </x:c>
      <x:c r="F1635" s="58" t="str">
        <x:v>FINE</x:v>
      </x:c>
      <x:c r="G1635" s="58" t="n">
        <x:v>9</x:v>
      </x:c>
      <x:c r="H1635" s="59" t="n">
        <x:v>4</x:v>
      </x:c>
      <x:c r="I1635" s="59" t="n">
        <x:v>1.23214</x:v>
      </x:c>
      <x:c r="J1635" s="59" t="n">
        <x:v>1.24065</x:v>
      </x:c>
      <x:c r="K1635" s="59" t="n">
        <x:v>0.53103</x:v>
      </x:c>
      <x:c r="L1635" s="59" t="n">
        <x:v>0.27865</x:v>
      </x:c>
      <x:c r="M1635" s="59" t="n">
        <x:v>1.37837</x:v>
      </x:c>
      <x:c r="N1635" s="60" t="n">
        <x:v>64.29</x:v>
      </x:c>
      <x:c r="O1635" s="60" t="n">
        <x:v>0.32</x:v>
      </x:c>
      <x:c r="P1635" s="60" t="n">
        <x:v>1.38</x:v>
      </x:c>
      <x:c r="Q1635" s="60" t="n">
        <x:v>69.6</x:v>
      </x:c>
      <x:c r="R1635" s="58" t="str">
        <x:v>X</x:v>
      </x:c>
      <x:c r="S1635" s="60" t="n">
        <x:v>100</x:v>
      </x:c>
      <x:c r="T1635" s="58" t="str">
        <x:v>VALID</x:v>
      </x:c>
      <x:c r="U1635" s="58" t="n">
        <x:v>2261</x:v>
      </x:c>
      <x:c r="V1635" s="58" t="str">
        <x:v>Pasted text(59).txt</x:v>
      </x:c>
    </x:row>
    <x:row r="1636">
      <x:c r="A1636" s="58" t="str">
        <x:v>S17</x:v>
      </x:c>
      <x:c r="B1636" s="58" t="str">
        <x:v>0.75 validation at 268.8 Hz — high-gain/quantization limitation</x:v>
      </x:c>
      <x:c r="C1636" s="58" t="n">
        <x:v>0.75</x:v>
      </x:c>
      <x:c r="D1636" s="58" t="n">
        <x:v>4</x:v>
      </x:c>
      <x:c r="E1636" s="58" t="n">
        <x:v>1</x:v>
      </x:c>
      <x:c r="F1636" s="58" t="str">
        <x:v>FINAL</x:v>
      </x:c>
      <x:c r="G1636" s="58" t="n">
        <x:v>1</x:v>
      </x:c>
      <x:c r="H1636" s="59" t="n">
        <x:v>3</x:v>
      </x:c>
      <x:c r="I1636" s="59" t="n">
        <x:v>0.78349</x:v>
      </x:c>
      <x:c r="J1636" s="59" t="n">
        <x:v>0.78627</x:v>
      </x:c>
      <x:c r="K1636" s="59" t="n">
        <x:v>0.35305</x:v>
      </x:c>
      <x:c r="L1636" s="59" t="n">
        <x:v>0.18604</x:v>
      </x:c>
      <x:c r="M1636" s="59" t="n">
        <x:v>0.88277</x:v>
      </x:c>
      <x:c r="N1636" s="60" t="n">
        <x:v>4.47</x:v>
      </x:c>
      <x:c r="O1636" s="60" t="n">
        <x:v>1.49</x:v>
      </x:c>
      <x:c r="P1636" s="60" t="n">
        <x:v>1.33</x:v>
      </x:c>
      <x:c r="Q1636" s="60" t="n">
        <x:v>54</x:v>
      </x:c>
      <x:c r="R1636" s="58" t="str">
        <x:v>X</x:v>
      </x:c>
      <x:c r="S1636" s="60" t="n">
        <x:v>100</x:v>
      </x:c>
      <x:c r="T1636" s="58" t="str">
        <x:v>IN TARGET BAND</x:v>
      </x:c>
      <x:c r="U1636" s="58" t="n">
        <x:v>2264</x:v>
      </x:c>
      <x:c r="V1636" s="58" t="str">
        <x:v>Pasted text(59).txt</x:v>
      </x:c>
    </x:row>
    <x:row r="1637">
      <x:c r="A1637" s="58" t="str">
        <x:v>S17</x:v>
      </x:c>
      <x:c r="B1637" s="58" t="str">
        <x:v>0.75 validation at 268.8 Hz — high-gain/quantization limitation</x:v>
      </x:c>
      <x:c r="C1637" s="58" t="n">
        <x:v>0.75</x:v>
      </x:c>
      <x:c r="D1637" s="58" t="n">
        <x:v>4</x:v>
      </x:c>
      <x:c r="E1637" s="58" t="n">
        <x:v>1</x:v>
      </x:c>
      <x:c r="F1637" s="58" t="str">
        <x:v>FINAL</x:v>
      </x:c>
      <x:c r="G1637" s="58" t="n">
        <x:v>2</x:v>
      </x:c>
      <x:c r="H1637" s="59" t="n">
        <x:v>3</x:v>
      </x:c>
      <x:c r="I1637" s="59" t="n">
        <x:v>0.81746</x:v>
      </x:c>
      <x:c r="J1637" s="59" t="n">
        <x:v>0.80395</x:v>
      </x:c>
      <x:c r="K1637" s="59" t="n">
        <x:v>0.30717</x:v>
      </x:c>
      <x:c r="L1637" s="59" t="n">
        <x:v>0.19736</x:v>
      </x:c>
      <x:c r="M1637" s="59" t="n">
        <x:v>0.88389</x:v>
      </x:c>
      <x:c r="N1637" s="60" t="n">
        <x:v>8.99</x:v>
      </x:c>
      <x:c r="O1637" s="60" t="n">
        <x:v>2.25</x:v>
      </x:c>
      <x:c r="P1637" s="60" t="n">
        <x:v>3.28</x:v>
      </x:c>
      <x:c r="Q1637" s="60" t="n">
        <x:v>55.3</x:v>
      </x:c>
      <x:c r="R1637" s="58" t="str">
        <x:v>X</x:v>
      </x:c>
      <x:c r="S1637" s="60" t="n">
        <x:v>100</x:v>
      </x:c>
      <x:c r="T1637" s="58" t="str">
        <x:v>VALID</x:v>
      </x:c>
      <x:c r="U1637" s="58" t="n">
        <x:v>2265</x:v>
      </x:c>
      <x:c r="V1637" s="58" t="str">
        <x:v>Pasted text(59).txt</x:v>
      </x:c>
    </x:row>
    <x:row r="1638">
      <x:c r="A1638" s="58" t="str">
        <x:v>S17</x:v>
      </x:c>
      <x:c r="B1638" s="58" t="str">
        <x:v>0.75 validation at 268.8 Hz — high-gain/quantization limitation</x:v>
      </x:c>
      <x:c r="C1638" s="58" t="n">
        <x:v>0.75</x:v>
      </x:c>
      <x:c r="D1638" s="58" t="n">
        <x:v>4</x:v>
      </x:c>
      <x:c r="E1638" s="58" t="n">
        <x:v>1</x:v>
      </x:c>
      <x:c r="F1638" s="58" t="str">
        <x:v>FINAL</x:v>
      </x:c>
      <x:c r="G1638" s="58" t="n">
        <x:v>3</x:v>
      </x:c>
      <x:c r="H1638" s="59" t="n">
        <x:v>3</x:v>
      </x:c>
      <x:c r="I1638" s="59" t="n">
        <x:v>0.78863</x:v>
      </x:c>
      <x:c r="J1638" s="59" t="n">
        <x:v>0.79588</x:v>
      </x:c>
      <x:c r="K1638" s="59" t="n">
        <x:v>0.33833</x:v>
      </x:c>
      <x:c r="L1638" s="59" t="n">
        <x:v>0.20558</x:v>
      </x:c>
      <x:c r="M1638" s="59" t="n">
        <x:v>0.89091</x:v>
      </x:c>
      <x:c r="N1638" s="60" t="n">
        <x:v>5.15</x:v>
      </x:c>
      <x:c r="O1638" s="60" t="n">
        <x:v>0.84</x:v>
      </x:c>
      <x:c r="P1638" s="60" t="n">
        <x:v>2.83</x:v>
      </x:c>
      <x:c r="Q1638" s="60" t="n">
        <x:v>54.7</x:v>
      </x:c>
      <x:c r="R1638" s="58" t="str">
        <x:v>X</x:v>
      </x:c>
      <x:c r="S1638" s="60" t="n">
        <x:v>100</x:v>
      </x:c>
      <x:c r="T1638" s="58" t="str">
        <x:v>IN TARGET BAND</x:v>
      </x:c>
      <x:c r="U1638" s="58" t="n">
        <x:v>2266</x:v>
      </x:c>
      <x:c r="V1638" s="58" t="str">
        <x:v>Pasted text(59).txt</x:v>
      </x:c>
    </x:row>
    <x:row r="1639">
      <x:c r="A1639" s="58" t="str">
        <x:v>S17</x:v>
      </x:c>
      <x:c r="B1639" s="58" t="str">
        <x:v>0.75 validation at 268.8 Hz — high-gain/quantization limitation</x:v>
      </x:c>
      <x:c r="C1639" s="58" t="n">
        <x:v>0.75</x:v>
      </x:c>
      <x:c r="D1639" s="58" t="n">
        <x:v>5</x:v>
      </x:c>
      <x:c r="E1639" s="58" t="n">
        <x:v>1</x:v>
      </x:c>
      <x:c r="F1639" s="58" t="str">
        <x:v>SEARCH</x:v>
      </x:c>
      <x:c r="G1639" s="58" t="n">
        <x:v>1</x:v>
      </x:c>
      <x:c r="H1639" s="59" t="n">
        <x:v>1</x:v>
      </x:c>
      <x:c r="I1639" s="59" t="n">
        <x:v>0.02116</x:v>
      </x:c>
      <x:c r="J1639" s="59" t="n">
        <x:v>0.02073</x:v>
      </x:c>
      <x:c r="K1639" s="59" t="n">
        <x:v>0.03662</x:v>
      </x:c>
      <x:c r="L1639" s="59" t="n">
        <x:v>0.02465</x:v>
      </x:c>
      <x:c r="M1639" s="59" t="n">
        <x:v>0.05151</x:v>
      </x:c>
      <x:c r="N1639" s="60" t="n">
        <x:v>-97.18</x:v>
      </x:c>
      <x:c r="O1639" s="60" t="n">
        <x:v>45.16</x:v>
      </x:c>
      <x:c r="P1639" s="60" t="n">
        <x:v>34.21</x:v>
      </x:c>
      <x:c r="Q1639" s="60" t="n">
        <x:v>3.6</x:v>
      </x:c>
      <x:c r="R1639" s="58" t="str">
        <x:v>Y</x:v>
      </x:c>
      <x:c r="S1639" s="60" t="n">
        <x:v>56.6</x:v>
      </x:c>
      <x:c r="T1639" s="58" t="str">
        <x:v>BELOW MEASUREMENT FLOOR — SEARCH CONTINUES</x:v>
      </x:c>
      <x:c r="U1639" s="58" t="n">
        <x:v>2322</x:v>
      </x:c>
      <x:c r="V1639" s="58" t="str">
        <x:v>Pasted text(59).txt</x:v>
      </x:c>
    </x:row>
    <x:row r="1640">
      <x:c r="A1640" s="58" t="str">
        <x:v>S17</x:v>
      </x:c>
      <x:c r="B1640" s="58" t="str">
        <x:v>0.75 validation at 268.8 Hz — high-gain/quantization limitation</x:v>
      </x:c>
      <x:c r="C1640" s="58" t="n">
        <x:v>0.75</x:v>
      </x:c>
      <x:c r="D1640" s="58" t="n">
        <x:v>5</x:v>
      </x:c>
      <x:c r="E1640" s="58" t="n">
        <x:v>1</x:v>
      </x:c>
      <x:c r="F1640" s="58" t="str">
        <x:v>SEARCH</x:v>
      </x:c>
      <x:c r="G1640" s="58" t="n">
        <x:v>2</x:v>
      </x:c>
      <x:c r="H1640" s="59" t="n">
        <x:v>3</x:v>
      </x:c>
      <x:c r="I1640" s="59" t="n">
        <x:v>0.81043</x:v>
      </x:c>
      <x:c r="J1640" s="59" t="n">
        <x:v>0.81313</x:v>
      </x:c>
      <x:c r="K1640" s="59" t="n">
        <x:v>0.28751</x:v>
      </x:c>
      <x:c r="L1640" s="59" t="n">
        <x:v>0.17387</x:v>
      </x:c>
      <x:c r="M1640" s="59" t="n">
        <x:v>0.8815</x:v>
      </x:c>
      <x:c r="N1640" s="60" t="n">
        <x:v>8.06</x:v>
      </x:c>
      <x:c r="O1640" s="60" t="n">
        <x:v>1.1</x:v>
      </x:c>
      <x:c r="P1640" s="60" t="n">
        <x:v>1.27</x:v>
      </x:c>
      <x:c r="Q1640" s="60" t="n">
        <x:v>55.6</x:v>
      </x:c>
      <x:c r="R1640" s="58" t="str">
        <x:v>X</x:v>
      </x:c>
      <x:c r="S1640" s="60" t="n">
        <x:v>100</x:v>
      </x:c>
      <x:c r="T1640" s="58" t="str">
        <x:v>VALID</x:v>
      </x:c>
      <x:c r="U1640" s="58" t="n">
        <x:v>2323</x:v>
      </x:c>
      <x:c r="V1640" s="58" t="str">
        <x:v>Pasted text(59).txt</x:v>
      </x:c>
    </x:row>
    <x:row r="1641">
      <x:c r="A1641" s="58" t="str">
        <x:v>S17</x:v>
      </x:c>
      <x:c r="B1641" s="58" t="str">
        <x:v>0.75 validation at 268.8 Hz — high-gain/quantization limitation</x:v>
      </x:c>
      <x:c r="C1641" s="58" t="n">
        <x:v>0.75</x:v>
      </x:c>
      <x:c r="D1641" s="58" t="n">
        <x:v>5</x:v>
      </x:c>
      <x:c r="E1641" s="58" t="n">
        <x:v>2</x:v>
      </x:c>
      <x:c r="F1641" s="58" t="str">
        <x:v>SEARCH</x:v>
      </x:c>
      <x:c r="G1641" s="58" t="n">
        <x:v>1</x:v>
      </x:c>
      <x:c r="H1641" s="59" t="n">
        <x:v>1</x:v>
      </x:c>
      <x:c r="I1641" s="59" t="n">
        <x:v>0.0224</x:v>
      </x:c>
      <x:c r="J1641" s="59" t="n">
        <x:v>0.02473</x:v>
      </x:c>
      <x:c r="K1641" s="59" t="n">
        <x:v>0.04657</x:v>
      </x:c>
      <x:c r="L1641" s="59" t="n">
        <x:v>0.03362</x:v>
      </x:c>
      <x:c r="M1641" s="59" t="n">
        <x:v>0.06822</x:v>
      </x:c>
      <x:c r="N1641" s="60" t="n">
        <x:v>-97.01</x:v>
      </x:c>
      <x:c r="O1641" s="60" t="n">
        <x:v>93.5</x:v>
      </x:c>
      <x:c r="P1641" s="60" t="n">
        <x:v>71.74</x:v>
      </x:c>
      <x:c r="Q1641" s="60" t="n">
        <x:v>4.3</x:v>
      </x:c>
      <x:c r="R1641" s="58" t="str">
        <x:v>Y</x:v>
      </x:c>
      <x:c r="S1641" s="60" t="n">
        <x:v>53.1</x:v>
      </x:c>
      <x:c r="T1641" s="58" t="str">
        <x:v>BELOW MEASUREMENT FLOOR — SEARCH CONTINUES</x:v>
      </x:c>
      <x:c r="U1641" s="58" t="n">
        <x:v>2330</x:v>
      </x:c>
      <x:c r="V1641" s="58" t="str">
        <x:v>Pasted text(59).txt</x:v>
      </x:c>
    </x:row>
    <x:row r="1642">
      <x:c r="A1642" s="58" t="str">
        <x:v>S17</x:v>
      </x:c>
      <x:c r="B1642" s="58" t="str">
        <x:v>0.75 validation at 268.8 Hz — high-gain/quantization limitation</x:v>
      </x:c>
      <x:c r="C1642" s="58" t="n">
        <x:v>0.75</x:v>
      </x:c>
      <x:c r="D1642" s="58" t="n">
        <x:v>5</x:v>
      </x:c>
      <x:c r="E1642" s="58" t="n">
        <x:v>2</x:v>
      </x:c>
      <x:c r="F1642" s="58" t="str">
        <x:v>SEARCH</x:v>
      </x:c>
      <x:c r="G1642" s="58" t="n">
        <x:v>2</x:v>
      </x:c>
      <x:c r="H1642" s="59" t="n">
        <x:v>3</x:v>
      </x:c>
      <x:c r="I1642" s="59" t="n">
        <x:v>0.78113</x:v>
      </x:c>
      <x:c r="J1642" s="59" t="n">
        <x:v>0.77406</x:v>
      </x:c>
      <x:c r="K1642" s="59" t="n">
        <x:v>0.33703</x:v>
      </x:c>
      <x:c r="L1642" s="59" t="n">
        <x:v>0.18833</x:v>
      </x:c>
      <x:c r="M1642" s="59" t="n">
        <x:v>0.86573</x:v>
      </x:c>
      <x:c r="N1642" s="60" t="n">
        <x:v>4.15</x:v>
      </x:c>
      <x:c r="O1642" s="60" t="n">
        <x:v>0.35</x:v>
      </x:c>
      <x:c r="P1642" s="60" t="n">
        <x:v>1.79</x:v>
      </x:c>
      <x:c r="Q1642" s="60" t="n">
        <x:v>53.4</x:v>
      </x:c>
      <x:c r="R1642" s="58" t="str">
        <x:v>X</x:v>
      </x:c>
      <x:c r="S1642" s="60" t="n">
        <x:v>100</x:v>
      </x:c>
      <x:c r="T1642" s="58" t="str">
        <x:v>IN TARGET BAND</x:v>
      </x:c>
      <x:c r="U1642" s="58" t="n">
        <x:v>2331</x:v>
      </x:c>
      <x:c r="V1642" s="58" t="str">
        <x:v>Pasted text(59).txt</x:v>
      </x:c>
    </x:row>
    <x:row r="1643">
      <x:c r="A1643" s="58" t="str">
        <x:v>S17</x:v>
      </x:c>
      <x:c r="B1643" s="58" t="str">
        <x:v>0.75 validation at 268.8 Hz — high-gain/quantization limitation</x:v>
      </x:c>
      <x:c r="C1643" s="58" t="n">
        <x:v>0.75</x:v>
      </x:c>
      <x:c r="D1643" s="58" t="n">
        <x:v>5</x:v>
      </x:c>
      <x:c r="E1643" s="58" t="n">
        <x:v>2</x:v>
      </x:c>
      <x:c r="F1643" s="58" t="str">
        <x:v>FINE</x:v>
      </x:c>
      <x:c r="G1643" s="58" t="n">
        <x:v>1</x:v>
      </x:c>
      <x:c r="H1643" s="59" t="n">
        <x:v>2</x:v>
      </x:c>
      <x:c r="I1643" s="59" t="n">
        <x:v>0.31447</x:v>
      </x:c>
      <x:c r="J1643" s="59" t="n">
        <x:v>0.32755</x:v>
      </x:c>
      <x:c r="K1643" s="59" t="n">
        <x:v>0.11624</x:v>
      </x:c>
      <x:c r="L1643" s="59" t="n">
        <x:v>0.07277</x:v>
      </x:c>
      <x:c r="M1643" s="59" t="n">
        <x:v>0.35558</x:v>
      </x:c>
      <x:c r="N1643" s="60" t="n">
        <x:v>-58.07</x:v>
      </x:c>
      <x:c r="O1643" s="60" t="n">
        <x:v>4</x:v>
      </x:c>
      <x:c r="P1643" s="60" t="n">
        <x:v>9.25</x:v>
      </x:c>
      <x:c r="Q1643" s="60" t="n">
        <x:v>26</x:v>
      </x:c>
      <x:c r="R1643" s="58" t="str">
        <x:v>X</x:v>
      </x:c>
      <x:c r="S1643" s="60" t="n">
        <x:v>100</x:v>
      </x:c>
      <x:c r="T1643" s="58" t="str">
        <x:v>UNSTABLE — SEARCH CONTINUES</x:v>
      </x:c>
      <x:c r="U1643" s="58" t="n">
        <x:v>2335</x:v>
      </x:c>
      <x:c r="V1643" s="58" t="str">
        <x:v>Pasted text(59).txt</x:v>
      </x:c>
    </x:row>
    <x:row r="1644">
      <x:c r="A1644" s="58" t="str">
        <x:v>S17</x:v>
      </x:c>
      <x:c r="B1644" s="58" t="str">
        <x:v>0.75 validation at 268.8 Hz — high-gain/quantization limitation</x:v>
      </x:c>
      <x:c r="C1644" s="58" t="n">
        <x:v>0.75</x:v>
      </x:c>
      <x:c r="D1644" s="58" t="n">
        <x:v>5</x:v>
      </x:c>
      <x:c r="E1644" s="58" t="n">
        <x:v>2</x:v>
      </x:c>
      <x:c r="F1644" s="58" t="str">
        <x:v>FINE</x:v>
      </x:c>
      <x:c r="G1644" s="58" t="n">
        <x:v>2</x:v>
      </x:c>
      <x:c r="H1644" s="59" t="n">
        <x:v>2.25</x:v>
      </x:c>
      <x:c r="I1644" s="59" t="n">
        <x:v>0.36234</x:v>
      </x:c>
      <x:c r="J1644" s="59" t="n">
        <x:v>0.36849</x:v>
      </x:c>
      <x:c r="K1644" s="59" t="n">
        <x:v>0.11179</x:v>
      </x:c>
      <x:c r="L1644" s="59" t="n">
        <x:v>0.10068</x:v>
      </x:c>
      <x:c r="M1644" s="59" t="n">
        <x:v>0.40055</x:v>
      </x:c>
      <x:c r="N1644" s="60" t="n">
        <x:v>-51.69</x:v>
      </x:c>
      <x:c r="O1644" s="60" t="n">
        <x:v>1.77</x:v>
      </x:c>
      <x:c r="P1644" s="60" t="n">
        <x:v>3.95</x:v>
      </x:c>
      <x:c r="Q1644" s="60" t="n">
        <x:v>33.1</x:v>
      </x:c>
      <x:c r="R1644" s="58" t="str">
        <x:v>X</x:v>
      </x:c>
      <x:c r="S1644" s="60" t="n">
        <x:v>100</x:v>
      </x:c>
      <x:c r="T1644" s="58" t="str">
        <x:v>UNSTABLE — SEARCH CONTINUES</x:v>
      </x:c>
      <x:c r="U1644" s="58" t="n">
        <x:v>2336</x:v>
      </x:c>
      <x:c r="V1644" s="58" t="str">
        <x:v>Pasted text(59).txt</x:v>
      </x:c>
    </x:row>
    <x:row r="1645">
      <x:c r="A1645" s="58" t="str">
        <x:v>S17</x:v>
      </x:c>
      <x:c r="B1645" s="58" t="str">
        <x:v>0.75 validation at 268.8 Hz — high-gain/quantization limitation</x:v>
      </x:c>
      <x:c r="C1645" s="58" t="n">
        <x:v>0.75</x:v>
      </x:c>
      <x:c r="D1645" s="58" t="n">
        <x:v>5</x:v>
      </x:c>
      <x:c r="E1645" s="58" t="n">
        <x:v>2</x:v>
      </x:c>
      <x:c r="F1645" s="58" t="str">
        <x:v>FINE</x:v>
      </x:c>
      <x:c r="G1645" s="58" t="n">
        <x:v>3</x:v>
      </x:c>
      <x:c r="H1645" s="59" t="n">
        <x:v>2.5</x:v>
      </x:c>
      <x:c r="I1645" s="59" t="n">
        <x:v>0.43259</x:v>
      </x:c>
      <x:c r="J1645" s="59" t="n">
        <x:v>0.4315</x:v>
      </x:c>
      <x:c r="K1645" s="59" t="n">
        <x:v>0.14961</x:v>
      </x:c>
      <x:c r="L1645" s="59" t="n">
        <x:v>0.08618</x:v>
      </x:c>
      <x:c r="M1645" s="59" t="n">
        <x:v>0.4664</x:v>
      </x:c>
      <x:c r="N1645" s="60" t="n">
        <x:v>-42.32</x:v>
      </x:c>
      <x:c r="O1645" s="60" t="n">
        <x:v>4.33</x:v>
      </x:c>
      <x:c r="P1645" s="60" t="n">
        <x:v>3.31</x:v>
      </x:c>
      <x:c r="Q1645" s="60" t="n">
        <x:v>40.7</x:v>
      </x:c>
      <x:c r="R1645" s="58" t="str">
        <x:v>X</x:v>
      </x:c>
      <x:c r="S1645" s="60" t="n">
        <x:v>100</x:v>
      </x:c>
      <x:c r="T1645" s="58" t="str">
        <x:v>UNSTABLE — SEARCH CONTINUES</x:v>
      </x:c>
      <x:c r="U1645" s="58" t="n">
        <x:v>2337</x:v>
      </x:c>
      <x:c r="V1645" s="58" t="str">
        <x:v>Pasted text(59).txt</x:v>
      </x:c>
    </x:row>
    <x:row r="1646">
      <x:c r="A1646" s="58" t="str">
        <x:v>S17</x:v>
      </x:c>
      <x:c r="B1646" s="58" t="str">
        <x:v>0.75 validation at 268.8 Hz — high-gain/quantization limitation</x:v>
      </x:c>
      <x:c r="C1646" s="58" t="n">
        <x:v>0.75</x:v>
      </x:c>
      <x:c r="D1646" s="58" t="n">
        <x:v>5</x:v>
      </x:c>
      <x:c r="E1646" s="58" t="n">
        <x:v>2</x:v>
      </x:c>
      <x:c r="F1646" s="58" t="str">
        <x:v>FINE</x:v>
      </x:c>
      <x:c r="G1646" s="58" t="n">
        <x:v>4</x:v>
      </x:c>
      <x:c r="H1646" s="59" t="n">
        <x:v>2.75</x:v>
      </x:c>
      <x:c r="I1646" s="59" t="n">
        <x:v>0.68423</x:v>
      </x:c>
      <x:c r="J1646" s="59" t="n">
        <x:v>0.68485</x:v>
      </x:c>
      <x:c r="K1646" s="59" t="n">
        <x:v>0.28778</x:v>
      </x:c>
      <x:c r="L1646" s="59" t="n">
        <x:v>0.18139</x:v>
      </x:c>
      <x:c r="M1646" s="59" t="n">
        <x:v>0.76537</x:v>
      </x:c>
      <x:c r="N1646" s="60" t="n">
        <x:v>-8.77</x:v>
      </x:c>
      <x:c r="O1646" s="60" t="n">
        <x:v>1.61</x:v>
      </x:c>
      <x:c r="P1646" s="60" t="n">
        <x:v>1.23</x:v>
      </x:c>
      <x:c r="Q1646" s="60" t="n">
        <x:v>45.1</x:v>
      </x:c>
      <x:c r="R1646" s="58" t="str">
        <x:v>X</x:v>
      </x:c>
      <x:c r="S1646" s="60" t="n">
        <x:v>100</x:v>
      </x:c>
      <x:c r="T1646" s="58" t="str">
        <x:v>UNSTABLE — SEARCH CONTINUES</x:v>
      </x:c>
      <x:c r="U1646" s="58" t="n">
        <x:v>2338</x:v>
      </x:c>
      <x:c r="V1646" s="58" t="str">
        <x:v>Pasted text(59).txt</x:v>
      </x:c>
    </x:row>
    <x:row r="1647">
      <x:c r="A1647" s="58" t="str">
        <x:v>S17</x:v>
      </x:c>
      <x:c r="B1647" s="58" t="str">
        <x:v>0.75 validation at 268.8 Hz — high-gain/quantization limitation</x:v>
      </x:c>
      <x:c r="C1647" s="58" t="n">
        <x:v>0.75</x:v>
      </x:c>
      <x:c r="D1647" s="58" t="n">
        <x:v>5</x:v>
      </x:c>
      <x:c r="E1647" s="58" t="n">
        <x:v>2</x:v>
      </x:c>
      <x:c r="F1647" s="58" t="str">
        <x:v>FINE</x:v>
      </x:c>
      <x:c r="G1647" s="58" t="n">
        <x:v>5</x:v>
      </x:c>
      <x:c r="H1647" s="59" t="n">
        <x:v>3</x:v>
      </x:c>
      <x:c r="I1647" s="59" t="n">
        <x:v>0.80188</x:v>
      </x:c>
      <x:c r="J1647" s="59" t="n">
        <x:v>0.80312</x:v>
      </x:c>
      <x:c r="K1647" s="59" t="n">
        <x:v>0.30638</x:v>
      </x:c>
      <x:c r="L1647" s="59" t="n">
        <x:v>0.20131</x:v>
      </x:c>
      <x:c r="M1647" s="59" t="n">
        <x:v>0.88422</x:v>
      </x:c>
      <x:c r="N1647" s="60" t="n">
        <x:v>6.92</x:v>
      </x:c>
      <x:c r="O1647" s="60" t="n">
        <x:v>0.29</x:v>
      </x:c>
      <x:c r="P1647" s="60" t="n">
        <x:v>0.45</x:v>
      </x:c>
      <x:c r="Q1647" s="60" t="n">
        <x:v>54.9</x:v>
      </x:c>
      <x:c r="R1647" s="58" t="str">
        <x:v>X</x:v>
      </x:c>
      <x:c r="S1647" s="60" t="n">
        <x:v>100</x:v>
      </x:c>
      <x:c r="T1647" s="58" t="str">
        <x:v>IN TARGET BAND</x:v>
      </x:c>
      <x:c r="U1647" s="58" t="n">
        <x:v>2339</x:v>
      </x:c>
      <x:c r="V1647" s="58" t="str">
        <x:v>Pasted text(59).txt</x:v>
      </x:c>
    </x:row>
    <x:row r="1648">
      <x:c r="A1648" s="58" t="str">
        <x:v>S17</x:v>
      </x:c>
      <x:c r="B1648" s="58" t="str">
        <x:v>0.75 validation at 268.8 Hz — high-gain/quantization limitation</x:v>
      </x:c>
      <x:c r="C1648" s="58" t="n">
        <x:v>0.75</x:v>
      </x:c>
      <x:c r="D1648" s="58" t="n">
        <x:v>5</x:v>
      </x:c>
      <x:c r="E1648" s="58" t="n">
        <x:v>2</x:v>
      </x:c>
      <x:c r="F1648" s="58" t="str">
        <x:v>FINE</x:v>
      </x:c>
      <x:c r="G1648" s="58" t="n">
        <x:v>6</x:v>
      </x:c>
      <x:c r="H1648" s="59" t="n">
        <x:v>3.25</x:v>
      </x:c>
      <x:c r="I1648" s="59" t="n">
        <x:v>0.83317</x:v>
      </x:c>
      <x:c r="J1648" s="59" t="n">
        <x:v>0.82933</x:v>
      </x:c>
      <x:c r="K1648" s="59" t="n">
        <x:v>0.31553</x:v>
      </x:c>
      <x:c r="L1648" s="59" t="n">
        <x:v>0.24567</x:v>
      </x:c>
      <x:c r="M1648" s="59" t="n">
        <x:v>0.92151</x:v>
      </x:c>
      <x:c r="N1648" s="60" t="n">
        <x:v>11.09</x:v>
      </x:c>
      <x:c r="O1648" s="60" t="n">
        <x:v>3.07</x:v>
      </x:c>
      <x:c r="P1648" s="60" t="n">
        <x:v>2.8</x:v>
      </x:c>
      <x:c r="Q1648" s="60" t="n">
        <x:v>59.2</x:v>
      </x:c>
      <x:c r="R1648" s="58" t="str">
        <x:v>X</x:v>
      </x:c>
      <x:c r="S1648" s="60" t="n">
        <x:v>100</x:v>
      </x:c>
      <x:c r="T1648" s="58" t="str">
        <x:v>VALID</x:v>
      </x:c>
      <x:c r="U1648" s="58" t="n">
        <x:v>2340</x:v>
      </x:c>
      <x:c r="V1648" s="58" t="str">
        <x:v>Pasted text(59).txt</x:v>
      </x:c>
    </x:row>
    <x:row r="1649">
      <x:c r="A1649" s="58" t="str">
        <x:v>S17</x:v>
      </x:c>
      <x:c r="B1649" s="58" t="str">
        <x:v>0.75 validation at 268.8 Hz — high-gain/quantization limitation</x:v>
      </x:c>
      <x:c r="C1649" s="58" t="n">
        <x:v>0.75</x:v>
      </x:c>
      <x:c r="D1649" s="58" t="n">
        <x:v>5</x:v>
      </x:c>
      <x:c r="E1649" s="58" t="n">
        <x:v>2</x:v>
      </x:c>
      <x:c r="F1649" s="58" t="str">
        <x:v>FINE</x:v>
      </x:c>
      <x:c r="G1649" s="58" t="n">
        <x:v>7</x:v>
      </x:c>
      <x:c r="H1649" s="59" t="n">
        <x:v>3.5</x:v>
      </x:c>
      <x:c r="I1649" s="59" t="n">
        <x:v>0.90025</x:v>
      </x:c>
      <x:c r="J1649" s="59" t="n">
        <x:v>0.8927</x:v>
      </x:c>
      <x:c r="K1649" s="59" t="n">
        <x:v>0.35674</x:v>
      </x:c>
      <x:c r="L1649" s="59" t="n">
        <x:v>0.23605</x:v>
      </x:c>
      <x:c r="M1649" s="59" t="n">
        <x:v>0.99029</x:v>
      </x:c>
      <x:c r="N1649" s="60" t="n">
        <x:v>20.03</x:v>
      </x:c>
      <x:c r="O1649" s="60" t="n">
        <x:v>0.41</x:v>
      </x:c>
      <x:c r="P1649" s="60" t="n">
        <x:v>1.71</x:v>
      </x:c>
      <x:c r="Q1649" s="60" t="n">
        <x:v>65.7</x:v>
      </x:c>
      <x:c r="R1649" s="58" t="str">
        <x:v>X</x:v>
      </x:c>
      <x:c r="S1649" s="60" t="n">
        <x:v>100</x:v>
      </x:c>
      <x:c r="T1649" s="58" t="str">
        <x:v>VALID</x:v>
      </x:c>
      <x:c r="U1649" s="58" t="n">
        <x:v>2341</x:v>
      </x:c>
      <x:c r="V1649" s="58" t="str">
        <x:v>Pasted text(59).txt</x:v>
      </x:c>
    </x:row>
    <x:row r="1650">
      <x:c r="A1650" s="58" t="str">
        <x:v>S17</x:v>
      </x:c>
      <x:c r="B1650" s="58" t="str">
        <x:v>0.75 validation at 268.8 Hz — high-gain/quantization limitation</x:v>
      </x:c>
      <x:c r="C1650" s="58" t="n">
        <x:v>0.75</x:v>
      </x:c>
      <x:c r="D1650" s="58" t="n">
        <x:v>5</x:v>
      </x:c>
      <x:c r="E1650" s="58" t="n">
        <x:v>2</x:v>
      </x:c>
      <x:c r="F1650" s="58" t="str">
        <x:v>FINE</x:v>
      </x:c>
      <x:c r="G1650" s="58" t="n">
        <x:v>8</x:v>
      </x:c>
      <x:c r="H1650" s="59" t="n">
        <x:v>3.75</x:v>
      </x:c>
      <x:c r="I1650" s="59" t="n">
        <x:v>1.14678</x:v>
      </x:c>
      <x:c r="J1650" s="59" t="n">
        <x:v>1.16306</x:v>
      </x:c>
      <x:c r="K1650" s="59" t="n">
        <x:v>0.46998</x:v>
      </x:c>
      <x:c r="L1650" s="59" t="n">
        <x:v>0.27485</x:v>
      </x:c>
      <x:c r="M1650" s="59" t="n">
        <x:v>1.28449</x:v>
      </x:c>
      <x:c r="N1650" s="60" t="n">
        <x:v>52.9</x:v>
      </x:c>
      <x:c r="O1650" s="60" t="n">
        <x:v>1.23</x:v>
      </x:c>
      <x:c r="P1650" s="60" t="n">
        <x:v>3.16</x:v>
      </x:c>
      <x:c r="Q1650" s="60" t="n">
        <x:v>65.2</x:v>
      </x:c>
      <x:c r="R1650" s="58" t="str">
        <x:v>X</x:v>
      </x:c>
      <x:c r="S1650" s="60" t="n">
        <x:v>100</x:v>
      </x:c>
      <x:c r="T1650" s="58" t="str">
        <x:v>VALID</x:v>
      </x:c>
      <x:c r="U1650" s="58" t="n">
        <x:v>2342</x:v>
      </x:c>
      <x:c r="V1650" s="58" t="str">
        <x:v>Pasted text(59).txt</x:v>
      </x:c>
    </x:row>
    <x:row r="1651">
      <x:c r="A1651" s="58" t="str">
        <x:v>S17</x:v>
      </x:c>
      <x:c r="B1651" s="58" t="str">
        <x:v>0.75 validation at 268.8 Hz — high-gain/quantization limitation</x:v>
      </x:c>
      <x:c r="C1651" s="58" t="n">
        <x:v>0.75</x:v>
      </x:c>
      <x:c r="D1651" s="58" t="n">
        <x:v>5</x:v>
      </x:c>
      <x:c r="E1651" s="58" t="n">
        <x:v>2</x:v>
      </x:c>
      <x:c r="F1651" s="58" t="str">
        <x:v>FINE</x:v>
      </x:c>
      <x:c r="G1651" s="58" t="n">
        <x:v>9</x:v>
      </x:c>
      <x:c r="H1651" s="59" t="n">
        <x:v>4</x:v>
      </x:c>
      <x:c r="I1651" s="59" t="n">
        <x:v>1.21691</x:v>
      </x:c>
      <x:c r="J1651" s="59" t="n">
        <x:v>1.22406</x:v>
      </x:c>
      <x:c r="K1651" s="59" t="n">
        <x:v>0.53287</x:v>
      </x:c>
      <x:c r="L1651" s="59" t="n">
        <x:v>0.28913</x:v>
      </x:c>
      <x:c r="M1651" s="59" t="n">
        <x:v>1.36612</x:v>
      </x:c>
      <x:c r="N1651" s="60" t="n">
        <x:v>62.26</x:v>
      </x:c>
      <x:c r="O1651" s="60" t="n">
        <x:v>0.38</x:v>
      </x:c>
      <x:c r="P1651" s="60" t="n">
        <x:v>1.24</x:v>
      </x:c>
      <x:c r="Q1651" s="60" t="n">
        <x:v>69.1</x:v>
      </x:c>
      <x:c r="R1651" s="58" t="str">
        <x:v>X</x:v>
      </x:c>
      <x:c r="S1651" s="60" t="n">
        <x:v>100</x:v>
      </x:c>
      <x:c r="T1651" s="58" t="str">
        <x:v>VALID</x:v>
      </x:c>
      <x:c r="U1651" s="58" t="n">
        <x:v>2343</x:v>
      </x:c>
      <x:c r="V1651" s="58" t="str">
        <x:v>Pasted text(59).txt</x:v>
      </x:c>
    </x:row>
    <x:row r="1652">
      <x:c r="A1652" s="58" t="str">
        <x:v>S17</x:v>
      </x:c>
      <x:c r="B1652" s="58" t="str">
        <x:v>0.75 validation at 268.8 Hz — high-gain/quantization limitation</x:v>
      </x:c>
      <x:c r="C1652" s="58" t="n">
        <x:v>0.75</x:v>
      </x:c>
      <x:c r="D1652" s="58" t="n">
        <x:v>5</x:v>
      </x:c>
      <x:c r="E1652" s="58" t="n">
        <x:v>2</x:v>
      </x:c>
      <x:c r="F1652" s="58" t="str">
        <x:v>FINAL</x:v>
      </x:c>
      <x:c r="G1652" s="58" t="n">
        <x:v>1</x:v>
      </x:c>
      <x:c r="H1652" s="59" t="n">
        <x:v>3</x:v>
      </x:c>
      <x:c r="I1652" s="59" t="n">
        <x:v>0.80434</x:v>
      </x:c>
      <x:c r="J1652" s="59" t="n">
        <x:v>0.79966</x:v>
      </x:c>
      <x:c r="K1652" s="59" t="n">
        <x:v>0.34431</x:v>
      </x:c>
      <x:c r="L1652" s="59" t="n">
        <x:v>0.18411</x:v>
      </x:c>
      <x:c r="M1652" s="59" t="n">
        <x:v>0.89063</x:v>
      </x:c>
      <x:c r="N1652" s="60" t="n">
        <x:v>7.24</x:v>
      </x:c>
      <x:c r="O1652" s="60" t="n">
        <x:v>1.74</x:v>
      </x:c>
      <x:c r="P1652" s="60" t="n">
        <x:v>2.74</x:v>
      </x:c>
      <x:c r="Q1652" s="60" t="n">
        <x:v>55</x:v>
      </x:c>
      <x:c r="R1652" s="58" t="str">
        <x:v>X</x:v>
      </x:c>
      <x:c r="S1652" s="60" t="n">
        <x:v>100</x:v>
      </x:c>
      <x:c r="T1652" s="58" t="str">
        <x:v>IN TARGET BAND</x:v>
      </x:c>
      <x:c r="U1652" s="58" t="n">
        <x:v>2346</x:v>
      </x:c>
      <x:c r="V1652" s="58" t="str">
        <x:v>Pasted text(59).txt</x:v>
      </x:c>
    </x:row>
    <x:row r="1653">
      <x:c r="A1653" s="58" t="str">
        <x:v>S17</x:v>
      </x:c>
      <x:c r="B1653" s="58" t="str">
        <x:v>0.75 validation at 268.8 Hz — high-gain/quantization limitation</x:v>
      </x:c>
      <x:c r="C1653" s="58" t="n">
        <x:v>0.75</x:v>
      </x:c>
      <x:c r="D1653" s="58" t="n">
        <x:v>5</x:v>
      </x:c>
      <x:c r="E1653" s="58" t="n">
        <x:v>2</x:v>
      </x:c>
      <x:c r="F1653" s="58" t="str">
        <x:v>FINAL</x:v>
      </x:c>
      <x:c r="G1653" s="58" t="n">
        <x:v>2</x:v>
      </x:c>
      <x:c r="H1653" s="59" t="n">
        <x:v>3</x:v>
      </x:c>
      <x:c r="I1653" s="59" t="n">
        <x:v>0.78516</x:v>
      </x:c>
      <x:c r="J1653" s="59" t="n">
        <x:v>0.78253</x:v>
      </x:c>
      <x:c r="K1653" s="59" t="n">
        <x:v>0.32639</x:v>
      </x:c>
      <x:c r="L1653" s="59" t="n">
        <x:v>0.16455</x:v>
      </x:c>
      <x:c r="M1653" s="59" t="n">
        <x:v>0.86425</x:v>
      </x:c>
      <x:c r="N1653" s="60" t="n">
        <x:v>4.69</x:v>
      </x:c>
      <x:c r="O1653" s="60" t="n">
        <x:v>4.35</x:v>
      </x:c>
      <x:c r="P1653" s="60" t="n">
        <x:v>3.9</x:v>
      </x:c>
      <x:c r="Q1653" s="60" t="n">
        <x:v>53.8</x:v>
      </x:c>
      <x:c r="R1653" s="58" t="str">
        <x:v>X</x:v>
      </x:c>
      <x:c r="S1653" s="60" t="n">
        <x:v>100</x:v>
      </x:c>
      <x:c r="T1653" s="58" t="str">
        <x:v>IN TARGET BAND</x:v>
      </x:c>
      <x:c r="U1653" s="58" t="n">
        <x:v>2347</x:v>
      </x:c>
      <x:c r="V1653" s="58" t="str">
        <x:v>Pasted text(59).txt</x:v>
      </x:c>
    </x:row>
    <x:row r="1654">
      <x:c r="A1654" s="58" t="str">
        <x:v>S18</x:v>
      </x:c>
      <x:c r="B1654" s="58" t="str">
        <x:v>0.75 validated session at 268 Hz</x:v>
      </x:c>
      <x:c r="C1654" s="58" t="n">
        <x:v>0.75</x:v>
      </x:c>
      <x:c r="D1654" s="58" t="n">
        <x:v>1</x:v>
      </x:c>
      <x:c r="E1654" s="58" t="n">
        <x:v>1</x:v>
      </x:c>
      <x:c r="F1654" s="58" t="str">
        <x:v>SEARCH</x:v>
      </x:c>
      <x:c r="G1654" s="58" t="n">
        <x:v>1</x:v>
      </x:c>
      <x:c r="H1654" s="59" t="n">
        <x:v>1</x:v>
      </x:c>
      <x:c r="I1654" s="59" t="n">
        <x:v>0.02587</x:v>
      </x:c>
      <x:c r="J1654" s="59" t="n">
        <x:v>0.02826</x:v>
      </x:c>
      <x:c r="K1654" s="59" t="n">
        <x:v>0.02294</x:v>
      </x:c>
      <x:c r="L1654" s="59" t="n">
        <x:v>0.02023</x:v>
      </x:c>
      <x:c r="M1654" s="59" t="n">
        <x:v>0.04341</x:v>
      </x:c>
      <x:c r="N1654" s="60" t="n">
        <x:v>-96.55</x:v>
      </x:c>
      <x:c r="O1654" s="60" t="n">
        <x:v>27.32</x:v>
      </x:c>
      <x:c r="P1654" s="60" t="n">
        <x:v>11.93</x:v>
      </x:c>
      <x:c r="Q1654" s="60" t="n">
        <x:v>11.4</x:v>
      </x:c>
      <x:c r="R1654" s="58" t="str">
        <x:v>X</x:v>
      </x:c>
      <x:c r="S1654" s="60" t="n">
        <x:v>100</x:v>
      </x:c>
      <x:c r="T1654" s="58" t="str">
        <x:v>BELOW MEASUREMENT FLOOR — SEARCH CONTINUES</x:v>
      </x:c>
      <x:c r="U1654" s="58" t="n">
        <x:v>2442</x:v>
      </x:c>
      <x:c r="V1654" s="58" t="str">
        <x:v>Pasted text(59).txt</x:v>
      </x:c>
    </x:row>
    <x:row r="1655">
      <x:c r="A1655" s="58" t="str">
        <x:v>S18</x:v>
      </x:c>
      <x:c r="B1655" s="58" t="str">
        <x:v>0.75 validated session at 268 Hz</x:v>
      </x:c>
      <x:c r="C1655" s="58" t="n">
        <x:v>0.75</x:v>
      </x:c>
      <x:c r="D1655" s="58" t="n">
        <x:v>1</x:v>
      </x:c>
      <x:c r="E1655" s="58" t="n">
        <x:v>1</x:v>
      </x:c>
      <x:c r="F1655" s="58" t="str">
        <x:v>SEARCH</x:v>
      </x:c>
      <x:c r="G1655" s="58" t="n">
        <x:v>2</x:v>
      </x:c>
      <x:c r="H1655" s="59" t="n">
        <x:v>3</x:v>
      </x:c>
      <x:c r="I1655" s="59" t="n">
        <x:v>0.24728</x:v>
      </x:c>
      <x:c r="J1655" s="59" t="n">
        <x:v>0.23966</x:v>
      </x:c>
      <x:c r="K1655" s="59" t="n">
        <x:v>0.10075</x:v>
      </x:c>
      <x:c r="L1655" s="59" t="n">
        <x:v>0.08776</x:v>
      </x:c>
      <x:c r="M1655" s="59" t="n">
        <x:v>0.27475</x:v>
      </x:c>
      <x:c r="N1655" s="60" t="n">
        <x:v>-67.03</x:v>
      </x:c>
      <x:c r="O1655" s="60" t="n">
        <x:v>0.65</x:v>
      </x:c>
      <x:c r="P1655" s="60" t="n">
        <x:v>5.9</x:v>
      </x:c>
      <x:c r="Q1655" s="60" t="n">
        <x:v>48.4</x:v>
      </x:c>
      <x:c r="R1655" s="58" t="str">
        <x:v>X</x:v>
      </x:c>
      <x:c r="S1655" s="60" t="n">
        <x:v>100</x:v>
      </x:c>
      <x:c r="T1655" s="58" t="str">
        <x:v>UNSTABLE — SEARCH CONTINUES</x:v>
      </x:c>
      <x:c r="U1655" s="58" t="n">
        <x:v>2443</x:v>
      </x:c>
      <x:c r="V1655" s="58" t="str">
        <x:v>Pasted text(59).txt</x:v>
      </x:c>
    </x:row>
    <x:row r="1656">
      <x:c r="A1656" s="58" t="str">
        <x:v>S18</x:v>
      </x:c>
      <x:c r="B1656" s="58" t="str">
        <x:v>0.75 validated session at 268 Hz</x:v>
      </x:c>
      <x:c r="C1656" s="58" t="n">
        <x:v>0.75</x:v>
      </x:c>
      <x:c r="D1656" s="58" t="n">
        <x:v>1</x:v>
      </x:c>
      <x:c r="E1656" s="58" t="n">
        <x:v>1</x:v>
      </x:c>
      <x:c r="F1656" s="58" t="str">
        <x:v>SEARCH</x:v>
      </x:c>
      <x:c r="G1656" s="58" t="n">
        <x:v>3</x:v>
      </x:c>
      <x:c r="H1656" s="59" t="n">
        <x:v>4</x:v>
      </x:c>
      <x:c r="I1656" s="59" t="n">
        <x:v>0.39421</x:v>
      </x:c>
      <x:c r="J1656" s="59" t="n">
        <x:v>0.39306</x:v>
      </x:c>
      <x:c r="K1656" s="59" t="n">
        <x:v>0.13242</x:v>
      </x:c>
      <x:c r="L1656" s="59" t="n">
        <x:v>0.13163</x:v>
      </x:c>
      <x:c r="M1656" s="59" t="n">
        <x:v>0.43555</x:v>
      </x:c>
      <x:c r="N1656" s="60" t="n">
        <x:v>-47.44</x:v>
      </x:c>
      <x:c r="O1656" s="60" t="n">
        <x:v>0.8</x:v>
      </x:c>
      <x:c r="P1656" s="60" t="n">
        <x:v>1.01</x:v>
      </x:c>
      <x:c r="Q1656" s="60" t="n">
        <x:v>66.9</x:v>
      </x:c>
      <x:c r="R1656" s="58" t="str">
        <x:v>X</x:v>
      </x:c>
      <x:c r="S1656" s="60" t="n">
        <x:v>100</x:v>
      </x:c>
      <x:c r="T1656" s="58" t="str">
        <x:v>VALID</x:v>
      </x:c>
      <x:c r="U1656" s="58" t="n">
        <x:v>2444</x:v>
      </x:c>
      <x:c r="V1656" s="58" t="str">
        <x:v>Pasted text(59).txt</x:v>
      </x:c>
    </x:row>
    <x:row r="1657">
      <x:c r="A1657" s="58" t="str">
        <x:v>S18</x:v>
      </x:c>
      <x:c r="B1657" s="58" t="str">
        <x:v>0.75 validated session at 268 Hz</x:v>
      </x:c>
      <x:c r="C1657" s="58" t="n">
        <x:v>0.75</x:v>
      </x:c>
      <x:c r="D1657" s="58" t="n">
        <x:v>1</x:v>
      </x:c>
      <x:c r="E1657" s="58" t="n">
        <x:v>1</x:v>
      </x:c>
      <x:c r="F1657" s="58" t="str">
        <x:v>SEARCH</x:v>
      </x:c>
      <x:c r="G1657" s="58" t="n">
        <x:v>4</x:v>
      </x:c>
      <x:c r="H1657" s="59" t="n">
        <x:v>5</x:v>
      </x:c>
      <x:c r="I1657" s="59" t="n">
        <x:v>0.53913</x:v>
      </x:c>
      <x:c r="J1657" s="59" t="n">
        <x:v>0.53268</x:v>
      </x:c>
      <x:c r="K1657" s="59" t="n">
        <x:v>0.21602</x:v>
      </x:c>
      <x:c r="L1657" s="59" t="n">
        <x:v>0.16352</x:v>
      </x:c>
      <x:c r="M1657" s="59" t="n">
        <x:v>0.59811</x:v>
      </x:c>
      <x:c r="N1657" s="60" t="n">
        <x:v>-28.12</x:v>
      </x:c>
      <x:c r="O1657" s="60" t="n">
        <x:v>0.56</x:v>
      </x:c>
      <x:c r="P1657" s="60" t="n">
        <x:v>2.44</x:v>
      </x:c>
      <x:c r="Q1657" s="60" t="n">
        <x:v>75.9</x:v>
      </x:c>
      <x:c r="R1657" s="58" t="str">
        <x:v>X</x:v>
      </x:c>
      <x:c r="S1657" s="60" t="n">
        <x:v>100</x:v>
      </x:c>
      <x:c r="T1657" s="58" t="str">
        <x:v>VALID</x:v>
      </x:c>
      <x:c r="U1657" s="58" t="n">
        <x:v>2445</x:v>
      </x:c>
      <x:c r="V1657" s="58" t="str">
        <x:v>Pasted text(59).txt</x:v>
      </x:c>
    </x:row>
    <x:row r="1658">
      <x:c r="A1658" s="58" t="str">
        <x:v>S18</x:v>
      </x:c>
      <x:c r="B1658" s="58" t="str">
        <x:v>0.75 validated session at 268 Hz</x:v>
      </x:c>
      <x:c r="C1658" s="58" t="n">
        <x:v>0.75</x:v>
      </x:c>
      <x:c r="D1658" s="58" t="n">
        <x:v>1</x:v>
      </x:c>
      <x:c r="E1658" s="58" t="n">
        <x:v>1</x:v>
      </x:c>
      <x:c r="F1658" s="58" t="str">
        <x:v>SEARCH</x:v>
      </x:c>
      <x:c r="G1658" s="58" t="n">
        <x:v>5</x:v>
      </x:c>
      <x:c r="H1658" s="59" t="n">
        <x:v>5.5</x:v>
      </x:c>
      <x:c r="I1658" s="59" t="n">
        <x:v>0.55697</x:v>
      </x:c>
      <x:c r="J1658" s="59" t="n">
        <x:v>0.56435</x:v>
      </x:c>
      <x:c r="K1658" s="59" t="n">
        <x:v>0.21242</x:v>
      </x:c>
      <x:c r="L1658" s="59" t="n">
        <x:v>0.1702</x:v>
      </x:c>
      <x:c r="M1658" s="59" t="n">
        <x:v>0.62706</x:v>
      </x:c>
      <x:c r="N1658" s="60" t="n">
        <x:v>-25.74</x:v>
      </x:c>
      <x:c r="O1658" s="60" t="n">
        <x:v>0.75</x:v>
      </x:c>
      <x:c r="P1658" s="60" t="n">
        <x:v>2.71</x:v>
      </x:c>
      <x:c r="Q1658" s="60" t="n">
        <x:v>81.6</x:v>
      </x:c>
      <x:c r="R1658" s="58" t="str">
        <x:v>X</x:v>
      </x:c>
      <x:c r="S1658" s="60" t="n">
        <x:v>100</x:v>
      </x:c>
      <x:c r="T1658" s="58" t="str">
        <x:v>VALID</x:v>
      </x:c>
      <x:c r="U1658" s="58" t="n">
        <x:v>2446</x:v>
      </x:c>
      <x:c r="V1658" s="58" t="str">
        <x:v>Pasted text(59).txt</x:v>
      </x:c>
    </x:row>
    <x:row r="1659">
      <x:c r="A1659" s="58" t="str">
        <x:v>S18</x:v>
      </x:c>
      <x:c r="B1659" s="58" t="str">
        <x:v>0.75 validated session at 268 Hz</x:v>
      </x:c>
      <x:c r="C1659" s="58" t="n">
        <x:v>0.75</x:v>
      </x:c>
      <x:c r="D1659" s="58" t="n">
        <x:v>1</x:v>
      </x:c>
      <x:c r="E1659" s="58" t="n">
        <x:v>1</x:v>
      </x:c>
      <x:c r="F1659" s="58" t="str">
        <x:v>SEARCH</x:v>
      </x:c>
      <x:c r="G1659" s="58" t="n">
        <x:v>6</x:v>
      </x:c>
      <x:c r="H1659" s="59" t="n">
        <x:v>6</x:v>
      </x:c>
      <x:c r="I1659" s="59" t="n">
        <x:v>0.66488</x:v>
      </x:c>
      <x:c r="J1659" s="59" t="n">
        <x:v>0.66365</x:v>
      </x:c>
      <x:c r="K1659" s="59" t="n">
        <x:v>0.25763</x:v>
      </x:c>
      <x:c r="L1659" s="59" t="n">
        <x:v>0.20403</x:v>
      </x:c>
      <x:c r="M1659" s="59" t="n">
        <x:v>0.74075</x:v>
      </x:c>
      <x:c r="N1659" s="60" t="n">
        <x:v>-11.35</x:v>
      </x:c>
      <x:c r="O1659" s="60" t="n">
        <x:v>0.5</x:v>
      </x:c>
      <x:c r="P1659" s="60" t="n">
        <x:v>0.64</x:v>
      </x:c>
      <x:c r="Q1659" s="60" t="n">
        <x:v>79.8</x:v>
      </x:c>
      <x:c r="R1659" s="58" t="str">
        <x:v>X</x:v>
      </x:c>
      <x:c r="S1659" s="60" t="n">
        <x:v>100</x:v>
      </x:c>
      <x:c r="T1659" s="58" t="str">
        <x:v>VALID</x:v>
      </x:c>
      <x:c r="U1659" s="58" t="n">
        <x:v>2447</x:v>
      </x:c>
      <x:c r="V1659" s="58" t="str">
        <x:v>Pasted text(59).txt</x:v>
      </x:c>
    </x:row>
    <x:row r="1660">
      <x:c r="A1660" s="58" t="str">
        <x:v>S18</x:v>
      </x:c>
      <x:c r="B1660" s="58" t="str">
        <x:v>0.75 validated session at 268 Hz</x:v>
      </x:c>
      <x:c r="C1660" s="58" t="n">
        <x:v>0.75</x:v>
      </x:c>
      <x:c r="D1660" s="58" t="n">
        <x:v>1</x:v>
      </x:c>
      <x:c r="E1660" s="58" t="n">
        <x:v>1</x:v>
      </x:c>
      <x:c r="F1660" s="58" t="str">
        <x:v>SEARCH</x:v>
      </x:c>
      <x:c r="G1660" s="58" t="n">
        <x:v>7</x:v>
      </x:c>
      <x:c r="H1660" s="59" t="n">
        <x:v>6.25</x:v>
      </x:c>
      <x:c r="I1660" s="59" t="n">
        <x:v>0.70174</x:v>
      </x:c>
      <x:c r="J1660" s="59" t="n">
        <x:v>0.69557</x:v>
      </x:c>
      <x:c r="K1660" s="59" t="n">
        <x:v>0.27603</x:v>
      </x:c>
      <x:c r="L1660" s="59" t="n">
        <x:v>0.20864</x:v>
      </x:c>
      <x:c r="M1660" s="59" t="n">
        <x:v>0.77728</x:v>
      </x:c>
      <x:c r="N1660" s="60" t="n">
        <x:v>-6.44</x:v>
      </x:c>
      <x:c r="O1660" s="60" t="n">
        <x:v>0.57</x:v>
      </x:c>
      <x:c r="P1660" s="60" t="n">
        <x:v>1.88</x:v>
      </x:c>
      <x:c r="Q1660" s="60" t="n">
        <x:v>83.1</x:v>
      </x:c>
      <x:c r="R1660" s="58" t="str">
        <x:v>X</x:v>
      </x:c>
      <x:c r="S1660" s="60" t="n">
        <x:v>100</x:v>
      </x:c>
      <x:c r="T1660" s="58" t="str">
        <x:v>IN TARGET BAND</x:v>
      </x:c>
      <x:c r="U1660" s="58" t="n">
        <x:v>2448</x:v>
      </x:c>
      <x:c r="V1660" s="58" t="str">
        <x:v>Pasted text(59).txt</x:v>
      </x:c>
    </x:row>
    <x:row r="1661">
      <x:c r="A1661" s="58" t="str">
        <x:v>S18</x:v>
      </x:c>
      <x:c r="B1661" s="58" t="str">
        <x:v>0.75 validated session at 268 Hz</x:v>
      </x:c>
      <x:c r="C1661" s="58" t="n">
        <x:v>0.75</x:v>
      </x:c>
      <x:c r="D1661" s="58" t="n">
        <x:v>1</x:v>
      </x:c>
      <x:c r="E1661" s="58" t="n">
        <x:v>1</x:v>
      </x:c>
      <x:c r="F1661" s="58" t="str">
        <x:v>FINE</x:v>
      </x:c>
      <x:c r="G1661" s="58" t="n">
        <x:v>1</x:v>
      </x:c>
      <x:c r="H1661" s="59" t="n">
        <x:v>5.25</x:v>
      </x:c>
      <x:c r="I1661" s="59" t="n">
        <x:v>0.54256</x:v>
      </x:c>
      <x:c r="J1661" s="59" t="n">
        <x:v>0.54747</x:v>
      </x:c>
      <x:c r="K1661" s="59" t="n">
        <x:v>0.22874</x:v>
      </x:c>
      <x:c r="L1661" s="59" t="n">
        <x:v>0.17533</x:v>
      </x:c>
      <x:c r="M1661" s="59" t="n">
        <x:v>0.61903</x:v>
      </x:c>
      <x:c r="N1661" s="60" t="n">
        <x:v>-27.66</x:v>
      </x:c>
      <x:c r="O1661" s="60" t="n">
        <x:v>1.53</x:v>
      </x:c>
      <x:c r="P1661" s="60" t="n">
        <x:v>2.49</x:v>
      </x:c>
      <x:c r="Q1661" s="60" t="n">
        <x:v>78.9</x:v>
      </x:c>
      <x:c r="R1661" s="58" t="str">
        <x:v>X</x:v>
      </x:c>
      <x:c r="S1661" s="60" t="n">
        <x:v>100</x:v>
      </x:c>
      <x:c r="T1661" s="58" t="str">
        <x:v>VALID</x:v>
      </x:c>
      <x:c r="U1661" s="58" t="n">
        <x:v>2452</x:v>
      </x:c>
      <x:c r="V1661" s="58" t="str">
        <x:v>Pasted text(59).txt</x:v>
      </x:c>
    </x:row>
    <x:row r="1662">
      <x:c r="A1662" s="58" t="str">
        <x:v>S18</x:v>
      </x:c>
      <x:c r="B1662" s="58" t="str">
        <x:v>0.75 validated session at 268 Hz</x:v>
      </x:c>
      <x:c r="C1662" s="58" t="n">
        <x:v>0.75</x:v>
      </x:c>
      <x:c r="D1662" s="58" t="n">
        <x:v>1</x:v>
      </x:c>
      <x:c r="E1662" s="58" t="n">
        <x:v>1</x:v>
      </x:c>
      <x:c r="F1662" s="58" t="str">
        <x:v>FINE</x:v>
      </x:c>
      <x:c r="G1662" s="58" t="n">
        <x:v>2</x:v>
      </x:c>
      <x:c r="H1662" s="59" t="n">
        <x:v>5.5</x:v>
      </x:c>
      <x:c r="I1662" s="59" t="n">
        <x:v>0.57497</x:v>
      </x:c>
      <x:c r="J1662" s="59" t="n">
        <x:v>0.57263</x:v>
      </x:c>
      <x:c r="K1662" s="59" t="n">
        <x:v>0.22316</x:v>
      </x:c>
      <x:c r="L1662" s="59" t="n">
        <x:v>0.15061</x:v>
      </x:c>
      <x:c r="M1662" s="59" t="n">
        <x:v>0.63348</x:v>
      </x:c>
      <x:c r="N1662" s="60" t="n">
        <x:v>-23.34</x:v>
      </x:c>
      <x:c r="O1662" s="60" t="n">
        <x:v>0.22</x:v>
      </x:c>
      <x:c r="P1662" s="60" t="n">
        <x:v>0.84</x:v>
      </x:c>
      <x:c r="Q1662" s="60" t="n">
        <x:v>82.9</x:v>
      </x:c>
      <x:c r="R1662" s="58" t="str">
        <x:v>X</x:v>
      </x:c>
      <x:c r="S1662" s="60" t="n">
        <x:v>100</x:v>
      </x:c>
      <x:c r="T1662" s="58" t="str">
        <x:v>VALID</x:v>
      </x:c>
      <x:c r="U1662" s="58" t="n">
        <x:v>2453</x:v>
      </x:c>
      <x:c r="V1662" s="58" t="str">
        <x:v>Pasted text(59).txt</x:v>
      </x:c>
    </x:row>
    <x:row r="1663">
      <x:c r="A1663" s="58" t="str">
        <x:v>S18</x:v>
      </x:c>
      <x:c r="B1663" s="58" t="str">
        <x:v>0.75 validated session at 268 Hz</x:v>
      </x:c>
      <x:c r="C1663" s="58" t="n">
        <x:v>0.75</x:v>
      </x:c>
      <x:c r="D1663" s="58" t="n">
        <x:v>1</x:v>
      </x:c>
      <x:c r="E1663" s="58" t="n">
        <x:v>1</x:v>
      </x:c>
      <x:c r="F1663" s="58" t="str">
        <x:v>FINE</x:v>
      </x:c>
      <x:c r="G1663" s="58" t="n">
        <x:v>3</x:v>
      </x:c>
      <x:c r="H1663" s="59" t="n">
        <x:v>5.75</x:v>
      </x:c>
      <x:c r="I1663" s="59" t="n">
        <x:v>0.66643</x:v>
      </x:c>
      <x:c r="J1663" s="59" t="n">
        <x:v>0.65567</x:v>
      </x:c>
      <x:c r="K1663" s="59" t="n">
        <x:v>0.24292</x:v>
      </x:c>
      <x:c r="L1663" s="59" t="n">
        <x:v>0.19819</x:v>
      </x:c>
      <x:c r="M1663" s="59" t="n">
        <x:v>0.72697</x:v>
      </x:c>
      <x:c r="N1663" s="60" t="n">
        <x:v>-11.14</x:v>
      </x:c>
      <x:c r="O1663" s="60" t="n">
        <x:v>0.11</x:v>
      </x:c>
      <x:c r="P1663" s="60" t="n">
        <x:v>2.91</x:v>
      </x:c>
      <x:c r="Q1663" s="60" t="n">
        <x:v>80.6</x:v>
      </x:c>
      <x:c r="R1663" s="58" t="str">
        <x:v>X</x:v>
      </x:c>
      <x:c r="S1663" s="60" t="n">
        <x:v>100</x:v>
      </x:c>
      <x:c r="T1663" s="58" t="str">
        <x:v>VALID</x:v>
      </x:c>
      <x:c r="U1663" s="58" t="n">
        <x:v>2454</x:v>
      </x:c>
      <x:c r="V1663" s="58" t="str">
        <x:v>Pasted text(59).txt</x:v>
      </x:c>
    </x:row>
    <x:row r="1664">
      <x:c r="A1664" s="58" t="str">
        <x:v>S18</x:v>
      </x:c>
      <x:c r="B1664" s="58" t="str">
        <x:v>0.75 validated session at 268 Hz</x:v>
      </x:c>
      <x:c r="C1664" s="58" t="n">
        <x:v>0.75</x:v>
      </x:c>
      <x:c r="D1664" s="58" t="n">
        <x:v>1</x:v>
      </x:c>
      <x:c r="E1664" s="58" t="n">
        <x:v>1</x:v>
      </x:c>
      <x:c r="F1664" s="58" t="str">
        <x:v>FINE</x:v>
      </x:c>
      <x:c r="G1664" s="58" t="n">
        <x:v>4</x:v>
      </x:c>
      <x:c r="H1664" s="59" t="n">
        <x:v>6</x:v>
      </x:c>
      <x:c r="I1664" s="59" t="n">
        <x:v>0.66618</x:v>
      </x:c>
      <x:c r="J1664" s="59" t="n">
        <x:v>0.66822</x:v>
      </x:c>
      <x:c r="K1664" s="59" t="n">
        <x:v>0.25775</x:v>
      </x:c>
      <x:c r="L1664" s="59" t="n">
        <x:v>0.16649</x:v>
      </x:c>
      <x:c r="M1664" s="59" t="n">
        <x:v>0.73561</x:v>
      </x:c>
      <x:c r="N1664" s="60" t="n">
        <x:v>-11.18</x:v>
      </x:c>
      <x:c r="O1664" s="60" t="n">
        <x:v>2.95</x:v>
      </x:c>
      <x:c r="P1664" s="60" t="n">
        <x:v>2.46</x:v>
      </x:c>
      <x:c r="Q1664" s="60" t="n">
        <x:v>80.1</x:v>
      </x:c>
      <x:c r="R1664" s="58" t="str">
        <x:v>X</x:v>
      </x:c>
      <x:c r="S1664" s="60" t="n">
        <x:v>100</x:v>
      </x:c>
      <x:c r="T1664" s="58" t="str">
        <x:v>VALID</x:v>
      </x:c>
      <x:c r="U1664" s="58" t="n">
        <x:v>2455</x:v>
      </x:c>
      <x:c r="V1664" s="58" t="str">
        <x:v>Pasted text(59).txt</x:v>
      </x:c>
    </x:row>
    <x:row r="1665">
      <x:c r="A1665" s="58" t="str">
        <x:v>S18</x:v>
      </x:c>
      <x:c r="B1665" s="58" t="str">
        <x:v>0.75 validated session at 268 Hz</x:v>
      </x:c>
      <x:c r="C1665" s="58" t="n">
        <x:v>0.75</x:v>
      </x:c>
      <x:c r="D1665" s="58" t="n">
        <x:v>1</x:v>
      </x:c>
      <x:c r="E1665" s="58" t="n">
        <x:v>1</x:v>
      </x:c>
      <x:c r="F1665" s="58" t="str">
        <x:v>FINE</x:v>
      </x:c>
      <x:c r="G1665" s="58" t="n">
        <x:v>5</x:v>
      </x:c>
      <x:c r="H1665" s="59" t="n">
        <x:v>6.25</x:v>
      </x:c>
      <x:c r="I1665" s="59" t="n">
        <x:v>0.70112</x:v>
      </x:c>
      <x:c r="J1665" s="59" t="n">
        <x:v>0.70585</x:v>
      </x:c>
      <x:c r="K1665" s="59" t="n">
        <x:v>0.28196</x:v>
      </x:c>
      <x:c r="L1665" s="59" t="n">
        <x:v>0.18722</x:v>
      </x:c>
      <x:c r="M1665" s="59" t="n">
        <x:v>0.78339</x:v>
      </x:c>
      <x:c r="N1665" s="60" t="n">
        <x:v>-6.52</x:v>
      </x:c>
      <x:c r="O1665" s="60" t="n">
        <x:v>1.59</x:v>
      </x:c>
      <x:c r="P1665" s="60" t="n">
        <x:v>2.15</x:v>
      </x:c>
      <x:c r="Q1665" s="60" t="n">
        <x:v>84.1</x:v>
      </x:c>
      <x:c r="R1665" s="58" t="str">
        <x:v>X</x:v>
      </x:c>
      <x:c r="S1665" s="60" t="n">
        <x:v>100</x:v>
      </x:c>
      <x:c r="T1665" s="58" t="str">
        <x:v>IN TARGET BAND</x:v>
      </x:c>
      <x:c r="U1665" s="58" t="n">
        <x:v>2456</x:v>
      </x:c>
      <x:c r="V1665" s="58" t="str">
        <x:v>Pasted text(59).txt</x:v>
      </x:c>
    </x:row>
    <x:row r="1666">
      <x:c r="A1666" s="58" t="str">
        <x:v>S18</x:v>
      </x:c>
      <x:c r="B1666" s="58" t="str">
        <x:v>0.75 validated session at 268 Hz</x:v>
      </x:c>
      <x:c r="C1666" s="58" t="n">
        <x:v>0.75</x:v>
      </x:c>
      <x:c r="D1666" s="58" t="n">
        <x:v>1</x:v>
      </x:c>
      <x:c r="E1666" s="58" t="n">
        <x:v>1</x:v>
      </x:c>
      <x:c r="F1666" s="58" t="str">
        <x:v>FINE</x:v>
      </x:c>
      <x:c r="G1666" s="58" t="n">
        <x:v>6</x:v>
      </x:c>
      <x:c r="H1666" s="59" t="n">
        <x:v>6.5</x:v>
      </x:c>
      <x:c r="I1666" s="59" t="n">
        <x:v>0.70945</x:v>
      </x:c>
      <x:c r="J1666" s="59" t="n">
        <x:v>0.71507</x:v>
      </x:c>
      <x:c r="K1666" s="59" t="n">
        <x:v>0.28359</x:v>
      </x:c>
      <x:c r="L1666" s="59" t="n">
        <x:v>0.1826</x:v>
      </x:c>
      <x:c r="M1666" s="59" t="n">
        <x:v>0.79103</x:v>
      </x:c>
      <x:c r="N1666" s="60" t="n">
        <x:v>-5.41</x:v>
      </x:c>
      <x:c r="O1666" s="60" t="n">
        <x:v>1.72</x:v>
      </x:c>
      <x:c r="P1666" s="60" t="n">
        <x:v>2.42</x:v>
      </x:c>
      <x:c r="Q1666" s="60" t="n">
        <x:v>84</x:v>
      </x:c>
      <x:c r="R1666" s="58" t="str">
        <x:v>X</x:v>
      </x:c>
      <x:c r="S1666" s="60" t="n">
        <x:v>100</x:v>
      </x:c>
      <x:c r="T1666" s="58" t="str">
        <x:v>IN TARGET BAND</x:v>
      </x:c>
      <x:c r="U1666" s="58" t="n">
        <x:v>2457</x:v>
      </x:c>
      <x:c r="V1666" s="58" t="str">
        <x:v>Pasted text(59).txt</x:v>
      </x:c>
    </x:row>
    <x:row r="1667">
      <x:c r="A1667" s="58" t="str">
        <x:v>S18</x:v>
      </x:c>
      <x:c r="B1667" s="58" t="str">
        <x:v>0.75 validated session at 268 Hz</x:v>
      </x:c>
      <x:c r="C1667" s="58" t="n">
        <x:v>0.75</x:v>
      </x:c>
      <x:c r="D1667" s="58" t="n">
        <x:v>1</x:v>
      </x:c>
      <x:c r="E1667" s="58" t="n">
        <x:v>1</x:v>
      </x:c>
      <x:c r="F1667" s="58" t="str">
        <x:v>FINE</x:v>
      </x:c>
      <x:c r="G1667" s="58" t="n">
        <x:v>7</x:v>
      </x:c>
      <x:c r="H1667" s="59" t="n">
        <x:v>6.75</x:v>
      </x:c>
      <x:c r="I1667" s="59" t="n">
        <x:v>0.78909</x:v>
      </x:c>
      <x:c r="J1667" s="59" t="n">
        <x:v>0.79233</x:v>
      </x:c>
      <x:c r="K1667" s="59" t="n">
        <x:v>0.30813</x:v>
      </x:c>
      <x:c r="L1667" s="59" t="n">
        <x:v>0.22022</x:v>
      </x:c>
      <x:c r="M1667" s="59" t="n">
        <x:v>0.87831</x:v>
      </x:c>
      <x:c r="N1667" s="60" t="n">
        <x:v>5.21</x:v>
      </x:c>
      <x:c r="O1667" s="60" t="n">
        <x:v>3.65</x:v>
      </x:c>
      <x:c r="P1667" s="60" t="n">
        <x:v>3.09</x:v>
      </x:c>
      <x:c r="Q1667" s="60" t="n">
        <x:v>83.1</x:v>
      </x:c>
      <x:c r="R1667" s="58" t="str">
        <x:v>X</x:v>
      </x:c>
      <x:c r="S1667" s="60" t="n">
        <x:v>100</x:v>
      </x:c>
      <x:c r="T1667" s="58" t="str">
        <x:v>IN TARGET BAND</x:v>
      </x:c>
      <x:c r="U1667" s="58" t="n">
        <x:v>2458</x:v>
      </x:c>
      <x:c r="V1667" s="58" t="str">
        <x:v>Pasted text(59).txt</x:v>
      </x:c>
    </x:row>
    <x:row r="1668">
      <x:c r="A1668" s="58" t="str">
        <x:v>S18</x:v>
      </x:c>
      <x:c r="B1668" s="58" t="str">
        <x:v>0.75 validated session at 268 Hz</x:v>
      </x:c>
      <x:c r="C1668" s="58" t="n">
        <x:v>0.75</x:v>
      </x:c>
      <x:c r="D1668" s="58" t="n">
        <x:v>1</x:v>
      </x:c>
      <x:c r="E1668" s="58" t="n">
        <x:v>1</x:v>
      </x:c>
      <x:c r="F1668" s="58" t="str">
        <x:v>FINE</x:v>
      </x:c>
      <x:c r="G1668" s="58" t="n">
        <x:v>8</x:v>
      </x:c>
      <x:c r="H1668" s="59" t="n">
        <x:v>7</x:v>
      </x:c>
      <x:c r="I1668" s="59" t="n">
        <x:v>0.80478</x:v>
      </x:c>
      <x:c r="J1668" s="59" t="n">
        <x:v>0.79968</x:v>
      </x:c>
      <x:c r="K1668" s="59" t="n">
        <x:v>0.33105</x:v>
      </x:c>
      <x:c r="L1668" s="59" t="n">
        <x:v>0.22357</x:v>
      </x:c>
      <x:c r="M1668" s="59" t="n">
        <x:v>0.89413</x:v>
      </x:c>
      <x:c r="N1668" s="60" t="n">
        <x:v>7.3</x:v>
      </x:c>
      <x:c r="O1668" s="60" t="n">
        <x:v>0.93</x:v>
      </x:c>
      <x:c r="P1668" s="60" t="n">
        <x:v>1.68</x:v>
      </x:c>
      <x:c r="Q1668" s="60" t="n">
        <x:v>85.4</x:v>
      </x:c>
      <x:c r="R1668" s="58" t="str">
        <x:v>X</x:v>
      </x:c>
      <x:c r="S1668" s="60" t="n">
        <x:v>100</x:v>
      </x:c>
      <x:c r="T1668" s="58" t="str">
        <x:v>IN TARGET BAND</x:v>
      </x:c>
      <x:c r="U1668" s="58" t="n">
        <x:v>2459</x:v>
      </x:c>
      <x:c r="V1668" s="58" t="str">
        <x:v>Pasted text(59).txt</x:v>
      </x:c>
    </x:row>
    <x:row r="1669">
      <x:c r="A1669" s="58" t="str">
        <x:v>S18</x:v>
      </x:c>
      <x:c r="B1669" s="58" t="str">
        <x:v>0.75 validated session at 268 Hz</x:v>
      </x:c>
      <x:c r="C1669" s="58" t="n">
        <x:v>0.75</x:v>
      </x:c>
      <x:c r="D1669" s="58" t="n">
        <x:v>1</x:v>
      </x:c>
      <x:c r="E1669" s="58" t="n">
        <x:v>1</x:v>
      </x:c>
      <x:c r="F1669" s="58" t="str">
        <x:v>FINE</x:v>
      </x:c>
      <x:c r="G1669" s="58" t="n">
        <x:v>9</x:v>
      </x:c>
      <x:c r="H1669" s="59" t="n">
        <x:v>7.25</x:v>
      </x:c>
      <x:c r="I1669" s="59" t="n">
        <x:v>0.83797</x:v>
      </x:c>
      <x:c r="J1669" s="59" t="n">
        <x:v>0.83253</x:v>
      </x:c>
      <x:c r="K1669" s="59" t="n">
        <x:v>0.3225</x:v>
      </x:c>
      <x:c r="L1669" s="59" t="n">
        <x:v>0.26111</x:v>
      </x:c>
      <x:c r="M1669" s="59" t="n">
        <x:v>0.93045</x:v>
      </x:c>
      <x:c r="N1669" s="60" t="n">
        <x:v>11.73</x:v>
      </x:c>
      <x:c r="O1669" s="60" t="n">
        <x:v>4.67</x:v>
      </x:c>
      <x:c r="P1669" s="60" t="n">
        <x:v>4.19</x:v>
      </x:c>
      <x:c r="Q1669" s="60" t="n">
        <x:v>86.8</x:v>
      </x:c>
      <x:c r="R1669" s="58" t="str">
        <x:v>X</x:v>
      </x:c>
      <x:c r="S1669" s="60" t="n">
        <x:v>100</x:v>
      </x:c>
      <x:c r="T1669" s="58" t="str">
        <x:v>VALID</x:v>
      </x:c>
      <x:c r="U1669" s="58" t="n">
        <x:v>2460</x:v>
      </x:c>
      <x:c r="V1669" s="58" t="str">
        <x:v>Pasted text(59).txt</x:v>
      </x:c>
    </x:row>
    <x:row r="1670">
      <x:c r="A1670" s="58" t="str">
        <x:v>S18</x:v>
      </x:c>
      <x:c r="B1670" s="58" t="str">
        <x:v>0.75 validated session at 268 Hz</x:v>
      </x:c>
      <x:c r="C1670" s="58" t="n">
        <x:v>0.75</x:v>
      </x:c>
      <x:c r="D1670" s="58" t="n">
        <x:v>1</x:v>
      </x:c>
      <x:c r="E1670" s="58" t="n">
        <x:v>1</x:v>
      </x:c>
      <x:c r="F1670" s="58" t="str">
        <x:v>FINAL</x:v>
      </x:c>
      <x:c r="G1670" s="58" t="n">
        <x:v>1</x:v>
      </x:c>
      <x:c r="H1670" s="59" t="n">
        <x:v>6.5</x:v>
      </x:c>
      <x:c r="I1670" s="59" t="n">
        <x:v>0.68121</x:v>
      </x:c>
      <x:c r="J1670" s="59" t="n">
        <x:v>0.68627</x:v>
      </x:c>
      <x:c r="K1670" s="59" t="n">
        <x:v>0.29094</x:v>
      </x:c>
      <x:c r="L1670" s="59" t="n">
        <x:v>0.1955</x:v>
      </x:c>
      <x:c r="M1670" s="59" t="n">
        <x:v>0.77077</x:v>
      </x:c>
      <x:c r="N1670" s="60" t="n">
        <x:v>-9.17</x:v>
      </x:c>
      <x:c r="O1670" s="60" t="n">
        <x:v>1.16</x:v>
      </x:c>
      <x:c r="P1670" s="60" t="n">
        <x:v>1.98</x:v>
      </x:c>
      <x:c r="Q1670" s="60" t="n">
        <x:v>81.7</x:v>
      </x:c>
      <x:c r="R1670" s="58" t="str">
        <x:v>X</x:v>
      </x:c>
      <x:c r="S1670" s="60" t="n">
        <x:v>100</x:v>
      </x:c>
      <x:c r="T1670" s="58" t="str">
        <x:v>VALID</x:v>
      </x:c>
      <x:c r="U1670" s="58" t="n">
        <x:v>2463</x:v>
      </x:c>
      <x:c r="V1670" s="58" t="str">
        <x:v>Pasted text(59).txt</x:v>
      </x:c>
    </x:row>
    <x:row r="1671">
      <x:c r="A1671" s="58" t="str">
        <x:v>S18</x:v>
      </x:c>
      <x:c r="B1671" s="58" t="str">
        <x:v>0.75 validated session at 268 Hz</x:v>
      </x:c>
      <x:c r="C1671" s="58" t="n">
        <x:v>0.75</x:v>
      </x:c>
      <x:c r="D1671" s="58" t="n">
        <x:v>1</x:v>
      </x:c>
      <x:c r="E1671" s="58" t="n">
        <x:v>1</x:v>
      </x:c>
      <x:c r="F1671" s="58" t="str">
        <x:v>FINAL</x:v>
      </x:c>
      <x:c r="G1671" s="58" t="n">
        <x:v>2</x:v>
      </x:c>
      <x:c r="H1671" s="59" t="n">
        <x:v>6.5</x:v>
      </x:c>
      <x:c r="I1671" s="59" t="n">
        <x:v>0.71155</x:v>
      </x:c>
      <x:c r="J1671" s="59" t="n">
        <x:v>0.70977</x:v>
      </x:c>
      <x:c r="K1671" s="59" t="n">
        <x:v>0.27474</x:v>
      </x:c>
      <x:c r="L1671" s="59" t="n">
        <x:v>0.20946</x:v>
      </x:c>
      <x:c r="M1671" s="59" t="n">
        <x:v>0.78955</x:v>
      </x:c>
      <x:c r="N1671" s="60" t="n">
        <x:v>-5.13</x:v>
      </x:c>
      <x:c r="O1671" s="60" t="n">
        <x:v>1.46</x:v>
      </x:c>
      <x:c r="P1671" s="60" t="n">
        <x:v>1.57</x:v>
      </x:c>
      <x:c r="Q1671" s="60" t="n">
        <x:v>85</x:v>
      </x:c>
      <x:c r="R1671" s="58" t="str">
        <x:v>X</x:v>
      </x:c>
      <x:c r="S1671" s="60" t="n">
        <x:v>100</x:v>
      </x:c>
      <x:c r="T1671" s="58" t="str">
        <x:v>IN TARGET BAND</x:v>
      </x:c>
      <x:c r="U1671" s="58" t="n">
        <x:v>2464</x:v>
      </x:c>
      <x:c r="V1671" s="58" t="str">
        <x:v>Pasted text(59).txt</x:v>
      </x:c>
    </x:row>
    <x:row r="1672">
      <x:c r="A1672" s="58" t="str">
        <x:v>S18</x:v>
      </x:c>
      <x:c r="B1672" s="58" t="str">
        <x:v>0.75 validated session at 268 Hz</x:v>
      </x:c>
      <x:c r="C1672" s="58" t="n">
        <x:v>0.75</x:v>
      </x:c>
      <x:c r="D1672" s="58" t="n">
        <x:v>1</x:v>
      </x:c>
      <x:c r="E1672" s="58" t="n">
        <x:v>1</x:v>
      </x:c>
      <x:c r="F1672" s="58" t="str">
        <x:v>FINAL</x:v>
      </x:c>
      <x:c r="G1672" s="58" t="n">
        <x:v>3</x:v>
      </x:c>
      <x:c r="H1672" s="59" t="n">
        <x:v>6.5</x:v>
      </x:c>
      <x:c r="I1672" s="59" t="n">
        <x:v>0.69308</x:v>
      </x:c>
      <x:c r="J1672" s="59" t="n">
        <x:v>0.69067</x:v>
      </x:c>
      <x:c r="K1672" s="59" t="n">
        <x:v>0.28083</x:v>
      </x:c>
      <x:c r="L1672" s="59" t="n">
        <x:v>0.21977</x:v>
      </x:c>
      <x:c r="M1672" s="59" t="n">
        <x:v>0.77793</x:v>
      </x:c>
      <x:c r="N1672" s="60" t="n">
        <x:v>-7.59</x:v>
      </x:c>
      <x:c r="O1672" s="60" t="n">
        <x:v>1.68</x:v>
      </x:c>
      <x:c r="P1672" s="60" t="n">
        <x:v>1.73</x:v>
      </x:c>
      <x:c r="Q1672" s="60" t="n">
        <x:v>83</x:v>
      </x:c>
      <x:c r="R1672" s="58" t="str">
        <x:v>X</x:v>
      </x:c>
      <x:c r="S1672" s="60" t="n">
        <x:v>100</x:v>
      </x:c>
      <x:c r="T1672" s="58" t="str">
        <x:v>VALID</x:v>
      </x:c>
      <x:c r="U1672" s="58" t="n">
        <x:v>2465</x:v>
      </x:c>
      <x:c r="V1672" s="58" t="str">
        <x:v>Pasted text(59).txt</x:v>
      </x:c>
    </x:row>
    <x:row r="1673">
      <x:c r="A1673" s="58" t="str">
        <x:v>S18</x:v>
      </x:c>
      <x:c r="B1673" s="58" t="str">
        <x:v>0.75 validated session at 268 Hz</x:v>
      </x:c>
      <x:c r="C1673" s="58" t="n">
        <x:v>0.75</x:v>
      </x:c>
      <x:c r="D1673" s="58" t="n">
        <x:v>1</x:v>
      </x:c>
      <x:c r="E1673" s="58" t="n">
        <x:v>2</x:v>
      </x:c>
      <x:c r="F1673" s="58" t="str">
        <x:v>SEARCH</x:v>
      </x:c>
      <x:c r="G1673" s="58" t="n">
        <x:v>1</x:v>
      </x:c>
      <x:c r="H1673" s="59" t="n">
        <x:v>1</x:v>
      </x:c>
      <x:c r="I1673" s="59" t="n">
        <x:v>0.0086</x:v>
      </x:c>
      <x:c r="J1673" s="59" t="n">
        <x:v>0.00868</x:v>
      </x:c>
      <x:c r="K1673" s="59" t="n">
        <x:v>0.02495</x:v>
      </x:c>
      <x:c r="L1673" s="59" t="n">
        <x:v>0.0359</x:v>
      </x:c>
      <x:c r="M1673" s="59" t="n">
        <x:v>0.04849</x:v>
      </x:c>
      <x:c r="N1673" s="60" t="n">
        <x:v>-98.85</x:v>
      </x:c>
      <x:c r="O1673" s="60" t="n">
        <x:v>36.09</x:v>
      </x:c>
      <x:c r="P1673" s="60" t="n">
        <x:v>25.62</x:v>
      </x:c>
      <x:c r="Q1673" s="60" t="n">
        <x:v>3.4</x:v>
      </x:c>
      <x:c r="R1673" s="58" t="str">
        <x:v>Z</x:v>
      </x:c>
      <x:c r="S1673" s="60" t="n">
        <x:v>24.2</x:v>
      </x:c>
      <x:c r="T1673" s="58" t="str">
        <x:v>BELOW MEASUREMENT FLOOR — SEARCH CONTINUES</x:v>
      </x:c>
      <x:c r="U1673" s="58" t="n">
        <x:v>2472</x:v>
      </x:c>
      <x:c r="V1673" s="58" t="str">
        <x:v>Pasted text(59).txt</x:v>
      </x:c>
    </x:row>
    <x:row r="1674">
      <x:c r="A1674" s="58" t="str">
        <x:v>S18</x:v>
      </x:c>
      <x:c r="B1674" s="58" t="str">
        <x:v>0.75 validated session at 268 Hz</x:v>
      </x:c>
      <x:c r="C1674" s="58" t="n">
        <x:v>0.75</x:v>
      </x:c>
      <x:c r="D1674" s="58" t="n">
        <x:v>1</x:v>
      </x:c>
      <x:c r="E1674" s="58" t="n">
        <x:v>2</x:v>
      </x:c>
      <x:c r="F1674" s="58" t="str">
        <x:v>SEARCH</x:v>
      </x:c>
      <x:c r="G1674" s="58" t="n">
        <x:v>2</x:v>
      </x:c>
      <x:c r="H1674" s="59" t="n">
        <x:v>3</x:v>
      </x:c>
      <x:c r="I1674" s="59" t="n">
        <x:v>0.26967</x:v>
      </x:c>
      <x:c r="J1674" s="59" t="n">
        <x:v>0.25976</x:v>
      </x:c>
      <x:c r="K1674" s="59" t="n">
        <x:v>0.08899</x:v>
      </x:c>
      <x:c r="L1674" s="59" t="n">
        <x:v>0.08786</x:v>
      </x:c>
      <x:c r="M1674" s="59" t="n">
        <x:v>0.28922</x:v>
      </x:c>
      <x:c r="N1674" s="60" t="n">
        <x:v>-64.04</x:v>
      </x:c>
      <x:c r="O1674" s="60" t="n">
        <x:v>5.4</x:v>
      </x:c>
      <x:c r="P1674" s="60" t="n">
        <x:v>10.06</x:v>
      </x:c>
      <x:c r="Q1674" s="60" t="n">
        <x:v>51.3</x:v>
      </x:c>
      <x:c r="R1674" s="58" t="str">
        <x:v>X</x:v>
      </x:c>
      <x:c r="S1674" s="60" t="n">
        <x:v>100</x:v>
      </x:c>
      <x:c r="T1674" s="58" t="str">
        <x:v>UNSTABLE — SEARCH CONTINUES</x:v>
      </x:c>
      <x:c r="U1674" s="58" t="n">
        <x:v>2473</x:v>
      </x:c>
      <x:c r="V1674" s="58" t="str">
        <x:v>Pasted text(59).txt</x:v>
      </x:c>
    </x:row>
    <x:row r="1675">
      <x:c r="A1675" s="58" t="str">
        <x:v>S18</x:v>
      </x:c>
      <x:c r="B1675" s="58" t="str">
        <x:v>0.75 validated session at 268 Hz</x:v>
      </x:c>
      <x:c r="C1675" s="58" t="n">
        <x:v>0.75</x:v>
      </x:c>
      <x:c r="D1675" s="58" t="n">
        <x:v>1</x:v>
      </x:c>
      <x:c r="E1675" s="58" t="n">
        <x:v>2</x:v>
      </x:c>
      <x:c r="F1675" s="58" t="str">
        <x:v>SEARCH</x:v>
      </x:c>
      <x:c r="G1675" s="58" t="n">
        <x:v>3</x:v>
      </x:c>
      <x:c r="H1675" s="59" t="n">
        <x:v>4</x:v>
      </x:c>
      <x:c r="I1675" s="59" t="n">
        <x:v>0.3784</x:v>
      </x:c>
      <x:c r="J1675" s="59" t="n">
        <x:v>0.37636</x:v>
      </x:c>
      <x:c r="K1675" s="59" t="n">
        <x:v>0.16211</x:v>
      </x:c>
      <x:c r="L1675" s="59" t="n">
        <x:v>0.12971</x:v>
      </x:c>
      <x:c r="M1675" s="59" t="n">
        <x:v>0.43116</x:v>
      </x:c>
      <x:c r="N1675" s="60" t="n">
        <x:v>-49.55</x:v>
      </x:c>
      <x:c r="O1675" s="60" t="n">
        <x:v>3.87</x:v>
      </x:c>
      <x:c r="P1675" s="60" t="n">
        <x:v>3.47</x:v>
      </x:c>
      <x:c r="Q1675" s="60" t="n">
        <x:v>66.3</x:v>
      </x:c>
      <x:c r="R1675" s="58" t="str">
        <x:v>X</x:v>
      </x:c>
      <x:c r="S1675" s="60" t="n">
        <x:v>100</x:v>
      </x:c>
      <x:c r="T1675" s="58" t="str">
        <x:v>VALID</x:v>
      </x:c>
      <x:c r="U1675" s="58" t="n">
        <x:v>2474</x:v>
      </x:c>
      <x:c r="V1675" s="58" t="str">
        <x:v>Pasted text(59).txt</x:v>
      </x:c>
    </x:row>
    <x:row r="1676">
      <x:c r="A1676" s="58" t="str">
        <x:v>S18</x:v>
      </x:c>
      <x:c r="B1676" s="58" t="str">
        <x:v>0.75 validated session at 268 Hz</x:v>
      </x:c>
      <x:c r="C1676" s="58" t="n">
        <x:v>0.75</x:v>
      </x:c>
      <x:c r="D1676" s="58" t="n">
        <x:v>1</x:v>
      </x:c>
      <x:c r="E1676" s="58" t="n">
        <x:v>2</x:v>
      </x:c>
      <x:c r="F1676" s="58" t="str">
        <x:v>SEARCH</x:v>
      </x:c>
      <x:c r="G1676" s="58" t="n">
        <x:v>4</x:v>
      </x:c>
      <x:c r="H1676" s="59" t="n">
        <x:v>5</x:v>
      </x:c>
      <x:c r="I1676" s="59" t="n">
        <x:v>0.54296</x:v>
      </x:c>
      <x:c r="J1676" s="59" t="n">
        <x:v>0.52878</x:v>
      </x:c>
      <x:c r="K1676" s="59" t="n">
        <x:v>0.19433</x:v>
      </x:c>
      <x:c r="L1676" s="59" t="n">
        <x:v>0.18889</x:v>
      </x:c>
      <x:c r="M1676" s="59" t="n">
        <x:v>0.59613</x:v>
      </x:c>
      <x:c r="N1676" s="60" t="n">
        <x:v>-27.6</x:v>
      </x:c>
      <x:c r="O1676" s="60" t="n">
        <x:v>1.36</x:v>
      </x:c>
      <x:c r="P1676" s="60" t="n">
        <x:v>5.48</x:v>
      </x:c>
      <x:c r="Q1676" s="60" t="n">
        <x:v>75.6</x:v>
      </x:c>
      <x:c r="R1676" s="58" t="str">
        <x:v>X</x:v>
      </x:c>
      <x:c r="S1676" s="60" t="n">
        <x:v>100</x:v>
      </x:c>
      <x:c r="T1676" s="58" t="str">
        <x:v>VALID</x:v>
      </x:c>
      <x:c r="U1676" s="58" t="n">
        <x:v>2475</x:v>
      </x:c>
      <x:c r="V1676" s="58" t="str">
        <x:v>Pasted text(59).txt</x:v>
      </x:c>
    </x:row>
    <x:row r="1677">
      <x:c r="A1677" s="58" t="str">
        <x:v>S18</x:v>
      </x:c>
      <x:c r="B1677" s="58" t="str">
        <x:v>0.75 validated session at 268 Hz</x:v>
      </x:c>
      <x:c r="C1677" s="58" t="n">
        <x:v>0.75</x:v>
      </x:c>
      <x:c r="D1677" s="58" t="n">
        <x:v>1</x:v>
      </x:c>
      <x:c r="E1677" s="58" t="n">
        <x:v>2</x:v>
      </x:c>
      <x:c r="F1677" s="58" t="str">
        <x:v>SEARCH</x:v>
      </x:c>
      <x:c r="G1677" s="58" t="n">
        <x:v>5</x:v>
      </x:c>
      <x:c r="H1677" s="59" t="n">
        <x:v>5.5</x:v>
      </x:c>
      <x:c r="I1677" s="59" t="n">
        <x:v>0.54186</x:v>
      </x:c>
      <x:c r="J1677" s="59" t="n">
        <x:v>0.55054</x:v>
      </x:c>
      <x:c r="K1677" s="59" t="n">
        <x:v>0.22998</x:v>
      </x:c>
      <x:c r="L1677" s="59" t="n">
        <x:v>0.15631</x:v>
      </x:c>
      <x:c r="M1677" s="59" t="n">
        <x:v>0.61688</x:v>
      </x:c>
      <x:c r="N1677" s="60" t="n">
        <x:v>-27.75</x:v>
      </x:c>
      <x:c r="O1677" s="60" t="n">
        <x:v>0.51</x:v>
      </x:c>
      <x:c r="P1677" s="60" t="n">
        <x:v>3.03</x:v>
      </x:c>
      <x:c r="Q1677" s="60" t="n">
        <x:v>78.9</x:v>
      </x:c>
      <x:c r="R1677" s="58" t="str">
        <x:v>X</x:v>
      </x:c>
      <x:c r="S1677" s="60" t="n">
        <x:v>100</x:v>
      </x:c>
      <x:c r="T1677" s="58" t="str">
        <x:v>VALID</x:v>
      </x:c>
      <x:c r="U1677" s="58" t="n">
        <x:v>2476</x:v>
      </x:c>
      <x:c r="V1677" s="58" t="str">
        <x:v>Pasted text(59).txt</x:v>
      </x:c>
    </x:row>
    <x:row r="1678">
      <x:c r="A1678" s="58" t="str">
        <x:v>S18</x:v>
      </x:c>
      <x:c r="B1678" s="58" t="str">
        <x:v>0.75 validated session at 268 Hz</x:v>
      </x:c>
      <x:c r="C1678" s="58" t="n">
        <x:v>0.75</x:v>
      </x:c>
      <x:c r="D1678" s="58" t="n">
        <x:v>1</x:v>
      </x:c>
      <x:c r="E1678" s="58" t="n">
        <x:v>2</x:v>
      </x:c>
      <x:c r="F1678" s="58" t="str">
        <x:v>SEARCH</x:v>
      </x:c>
      <x:c r="G1678" s="58" t="n">
        <x:v>6</x:v>
      </x:c>
      <x:c r="H1678" s="59" t="n">
        <x:v>6</x:v>
      </x:c>
      <x:c r="I1678" s="59" t="n">
        <x:v>0.63974</x:v>
      </x:c>
      <x:c r="J1678" s="59" t="n">
        <x:v>0.64338</x:v>
      </x:c>
      <x:c r="K1678" s="59" t="n">
        <x:v>0.26436</x:v>
      </x:c>
      <x:c r="L1678" s="59" t="n">
        <x:v>0.22428</x:v>
      </x:c>
      <x:c r="M1678" s="59" t="n">
        <x:v>0.73158</x:v>
      </x:c>
      <x:c r="N1678" s="60" t="n">
        <x:v>-14.7</x:v>
      </x:c>
      <x:c r="O1678" s="60" t="n">
        <x:v>0.34</x:v>
      </x:c>
      <x:c r="P1678" s="60" t="n">
        <x:v>1.18</x:v>
      </x:c>
      <x:c r="Q1678" s="60" t="n">
        <x:v>79.1</x:v>
      </x:c>
      <x:c r="R1678" s="58" t="str">
        <x:v>X</x:v>
      </x:c>
      <x:c r="S1678" s="60" t="n">
        <x:v>100</x:v>
      </x:c>
      <x:c r="T1678" s="58" t="str">
        <x:v>VALID</x:v>
      </x:c>
      <x:c r="U1678" s="58" t="n">
        <x:v>2477</x:v>
      </x:c>
      <x:c r="V1678" s="58" t="str">
        <x:v>Pasted text(59).txt</x:v>
      </x:c>
    </x:row>
    <x:row r="1679">
      <x:c r="A1679" s="58" t="str">
        <x:v>S18</x:v>
      </x:c>
      <x:c r="B1679" s="58" t="str">
        <x:v>0.75 validated session at 268 Hz</x:v>
      </x:c>
      <x:c r="C1679" s="58" t="n">
        <x:v>0.75</x:v>
      </x:c>
      <x:c r="D1679" s="58" t="n">
        <x:v>1</x:v>
      </x:c>
      <x:c r="E1679" s="58" t="n">
        <x:v>2</x:v>
      </x:c>
      <x:c r="F1679" s="58" t="str">
        <x:v>SEARCH</x:v>
      </x:c>
      <x:c r="G1679" s="58" t="n">
        <x:v>7</x:v>
      </x:c>
      <x:c r="H1679" s="59" t="n">
        <x:v>6.25</x:v>
      </x:c>
      <x:c r="I1679" s="59" t="n">
        <x:v>0.70507</x:v>
      </x:c>
      <x:c r="J1679" s="59" t="n">
        <x:v>0.69035</x:v>
      </x:c>
      <x:c r="K1679" s="59" t="n">
        <x:v>0.27969</x:v>
      </x:c>
      <x:c r="L1679" s="59" t="n">
        <x:v>0.21418</x:v>
      </x:c>
      <x:c r="M1679" s="59" t="n">
        <x:v>0.77513</x:v>
      </x:c>
      <x:c r="N1679" s="60" t="n">
        <x:v>-5.99</x:v>
      </x:c>
      <x:c r="O1679" s="60" t="n">
        <x:v>0.41</x:v>
      </x:c>
      <x:c r="P1679" s="60" t="n">
        <x:v>3.94</x:v>
      </x:c>
      <x:c r="Q1679" s="60" t="n">
        <x:v>84</x:v>
      </x:c>
      <x:c r="R1679" s="58" t="str">
        <x:v>X</x:v>
      </x:c>
      <x:c r="S1679" s="60" t="n">
        <x:v>100</x:v>
      </x:c>
      <x:c r="T1679" s="58" t="str">
        <x:v>IN TARGET BAND</x:v>
      </x:c>
      <x:c r="U1679" s="58" t="n">
        <x:v>2478</x:v>
      </x:c>
      <x:c r="V1679" s="58" t="str">
        <x:v>Pasted text(59).txt</x:v>
      </x:c>
    </x:row>
    <x:row r="1680">
      <x:c r="A1680" s="58" t="str">
        <x:v>S18</x:v>
      </x:c>
      <x:c r="B1680" s="58" t="str">
        <x:v>0.75 validated session at 268 Hz</x:v>
      </x:c>
      <x:c r="C1680" s="58" t="n">
        <x:v>0.75</x:v>
      </x:c>
      <x:c r="D1680" s="58" t="n">
        <x:v>1</x:v>
      </x:c>
      <x:c r="E1680" s="58" t="n">
        <x:v>2</x:v>
      </x:c>
      <x:c r="F1680" s="58" t="str">
        <x:v>FINE</x:v>
      </x:c>
      <x:c r="G1680" s="58" t="n">
        <x:v>1</x:v>
      </x:c>
      <x:c r="H1680" s="59" t="n">
        <x:v>5.25</x:v>
      </x:c>
      <x:c r="I1680" s="59" t="n">
        <x:v>0.5538</x:v>
      </x:c>
      <x:c r="J1680" s="59" t="n">
        <x:v>0.55033</x:v>
      </x:c>
      <x:c r="K1680" s="59" t="n">
        <x:v>0.21641</x:v>
      </x:c>
      <x:c r="L1680" s="59" t="n">
        <x:v>0.19058</x:v>
      </x:c>
      <x:c r="M1680" s="59" t="n">
        <x:v>0.62162</x:v>
      </x:c>
      <x:c r="N1680" s="60" t="n">
        <x:v>-26.16</x:v>
      </x:c>
      <x:c r="O1680" s="60" t="n">
        <x:v>2.4</x:v>
      </x:c>
      <x:c r="P1680" s="60" t="n">
        <x:v>2.63</x:v>
      </x:c>
      <x:c r="Q1680" s="60" t="n">
        <x:v>80.6</x:v>
      </x:c>
      <x:c r="R1680" s="58" t="str">
        <x:v>X</x:v>
      </x:c>
      <x:c r="S1680" s="60" t="n">
        <x:v>100</x:v>
      </x:c>
      <x:c r="T1680" s="58" t="str">
        <x:v>VALID</x:v>
      </x:c>
      <x:c r="U1680" s="58" t="n">
        <x:v>2482</x:v>
      </x:c>
      <x:c r="V1680" s="58" t="str">
        <x:v>Pasted text(59).txt</x:v>
      </x:c>
    </x:row>
    <x:row r="1681">
      <x:c r="A1681" s="58" t="str">
        <x:v>S18</x:v>
      </x:c>
      <x:c r="B1681" s="58" t="str">
        <x:v>0.75 validated session at 268 Hz</x:v>
      </x:c>
      <x:c r="C1681" s="58" t="n">
        <x:v>0.75</x:v>
      </x:c>
      <x:c r="D1681" s="58" t="n">
        <x:v>1</x:v>
      </x:c>
      <x:c r="E1681" s="58" t="n">
        <x:v>2</x:v>
      </x:c>
      <x:c r="F1681" s="58" t="str">
        <x:v>FINE</x:v>
      </x:c>
      <x:c r="G1681" s="58" t="n">
        <x:v>2</x:v>
      </x:c>
      <x:c r="H1681" s="59" t="n">
        <x:v>5.5</x:v>
      </x:c>
      <x:c r="I1681" s="59" t="n">
        <x:v>0.56195</x:v>
      </x:c>
      <x:c r="J1681" s="59" t="n">
        <x:v>0.56693</x:v>
      </x:c>
      <x:c r="K1681" s="59" t="n">
        <x:v>0.22503</x:v>
      </x:c>
      <x:c r="L1681" s="59" t="n">
        <x:v>0.18722</x:v>
      </x:c>
      <x:c r="M1681" s="59" t="n">
        <x:v>0.63876</x:v>
      </x:c>
      <x:c r="N1681" s="60" t="n">
        <x:v>-25.07</x:v>
      </x:c>
      <x:c r="O1681" s="60" t="n">
        <x:v>2.41</x:v>
      </x:c>
      <x:c r="P1681" s="60" t="n">
        <x:v>3.03</x:v>
      </x:c>
      <x:c r="Q1681" s="60" t="n">
        <x:v>81.2</x:v>
      </x:c>
      <x:c r="R1681" s="58" t="str">
        <x:v>X</x:v>
      </x:c>
      <x:c r="S1681" s="60" t="n">
        <x:v>100</x:v>
      </x:c>
      <x:c r="T1681" s="58" t="str">
        <x:v>VALID</x:v>
      </x:c>
      <x:c r="U1681" s="58" t="n">
        <x:v>2483</x:v>
      </x:c>
      <x:c r="V1681" s="58" t="str">
        <x:v>Pasted text(59).txt</x:v>
      </x:c>
    </x:row>
    <x:row r="1682">
      <x:c r="A1682" s="58" t="str">
        <x:v>S18</x:v>
      </x:c>
      <x:c r="B1682" s="58" t="str">
        <x:v>0.75 validated session at 268 Hz</x:v>
      </x:c>
      <x:c r="C1682" s="58" t="n">
        <x:v>0.75</x:v>
      </x:c>
      <x:c r="D1682" s="58" t="n">
        <x:v>1</x:v>
      </x:c>
      <x:c r="E1682" s="58" t="n">
        <x:v>2</x:v>
      </x:c>
      <x:c r="F1682" s="58" t="str">
        <x:v>FINE</x:v>
      </x:c>
      <x:c r="G1682" s="58" t="n">
        <x:v>3</x:v>
      </x:c>
      <x:c r="H1682" s="59" t="n">
        <x:v>5.75</x:v>
      </x:c>
      <x:c r="I1682" s="59" t="n">
        <x:v>0.62893</x:v>
      </x:c>
      <x:c r="J1682" s="59" t="n">
        <x:v>0.62607</x:v>
      </x:c>
      <x:c r="K1682" s="59" t="n">
        <x:v>0.25572</x:v>
      </x:c>
      <x:c r="L1682" s="59" t="n">
        <x:v>0.18958</x:v>
      </x:c>
      <x:c r="M1682" s="59" t="n">
        <x:v>0.70252</x:v>
      </x:c>
      <x:c r="N1682" s="60" t="n">
        <x:v>-16.14</x:v>
      </x:c>
      <x:c r="O1682" s="60" t="n">
        <x:v>4.49</x:v>
      </x:c>
      <x:c r="P1682" s="60" t="n">
        <x:v>3.75</x:v>
      </x:c>
      <x:c r="Q1682" s="60" t="n">
        <x:v>77.9</x:v>
      </x:c>
      <x:c r="R1682" s="58" t="str">
        <x:v>X</x:v>
      </x:c>
      <x:c r="S1682" s="60" t="n">
        <x:v>100</x:v>
      </x:c>
      <x:c r="T1682" s="58" t="str">
        <x:v>VALID</x:v>
      </x:c>
      <x:c r="U1682" s="58" t="n">
        <x:v>2484</x:v>
      </x:c>
      <x:c r="V1682" s="58" t="str">
        <x:v>Pasted text(59).txt</x:v>
      </x:c>
    </x:row>
    <x:row r="1683">
      <x:c r="A1683" s="58" t="str">
        <x:v>S18</x:v>
      </x:c>
      <x:c r="B1683" s="58" t="str">
        <x:v>0.75 validated session at 268 Hz</x:v>
      </x:c>
      <x:c r="C1683" s="58" t="n">
        <x:v>0.75</x:v>
      </x:c>
      <x:c r="D1683" s="58" t="n">
        <x:v>1</x:v>
      </x:c>
      <x:c r="E1683" s="58" t="n">
        <x:v>2</x:v>
      </x:c>
      <x:c r="F1683" s="58" t="str">
        <x:v>FINE</x:v>
      </x:c>
      <x:c r="G1683" s="58" t="n">
        <x:v>4</x:v>
      </x:c>
      <x:c r="H1683" s="59" t="n">
        <x:v>6</x:v>
      </x:c>
      <x:c r="I1683" s="59" t="n">
        <x:v>0.66804</x:v>
      </x:c>
      <x:c r="J1683" s="59" t="n">
        <x:v>0.66477</x:v>
      </x:c>
      <x:c r="K1683" s="59" t="n">
        <x:v>0.26605</x:v>
      </x:c>
      <x:c r="L1683" s="59" t="n">
        <x:v>0.22694</x:v>
      </x:c>
      <x:c r="M1683" s="59" t="n">
        <x:v>0.75127</x:v>
      </x:c>
      <x:c r="N1683" s="60" t="n">
        <x:v>-10.93</x:v>
      </x:c>
      <x:c r="O1683" s="60" t="n">
        <x:v>3.98</x:v>
      </x:c>
      <x:c r="P1683" s="60" t="n">
        <x:v>3.46</x:v>
      </x:c>
      <x:c r="Q1683" s="60" t="n">
        <x:v>81</x:v>
      </x:c>
      <x:c r="R1683" s="58" t="str">
        <x:v>X</x:v>
      </x:c>
      <x:c r="S1683" s="60" t="n">
        <x:v>100</x:v>
      </x:c>
      <x:c r="T1683" s="58" t="str">
        <x:v>VALID</x:v>
      </x:c>
      <x:c r="U1683" s="58" t="n">
        <x:v>2485</x:v>
      </x:c>
      <x:c r="V1683" s="58" t="str">
        <x:v>Pasted text(59).txt</x:v>
      </x:c>
    </x:row>
    <x:row r="1684">
      <x:c r="A1684" s="58" t="str">
        <x:v>S18</x:v>
      </x:c>
      <x:c r="B1684" s="58" t="str">
        <x:v>0.75 validated session at 268 Hz</x:v>
      </x:c>
      <x:c r="C1684" s="58" t="n">
        <x:v>0.75</x:v>
      </x:c>
      <x:c r="D1684" s="58" t="n">
        <x:v>1</x:v>
      </x:c>
      <x:c r="E1684" s="58" t="n">
        <x:v>2</x:v>
      </x:c>
      <x:c r="F1684" s="58" t="str">
        <x:v>FINE</x:v>
      </x:c>
      <x:c r="G1684" s="58" t="n">
        <x:v>5</x:v>
      </x:c>
      <x:c r="H1684" s="59" t="n">
        <x:v>6.25</x:v>
      </x:c>
      <x:c r="I1684" s="59" t="n">
        <x:v>0.68854</x:v>
      </x:c>
      <x:c r="J1684" s="59" t="n">
        <x:v>0.68601</x:v>
      </x:c>
      <x:c r="K1684" s="59" t="n">
        <x:v>0.28818</x:v>
      </x:c>
      <x:c r="L1684" s="59" t="n">
        <x:v>0.21325</x:v>
      </x:c>
      <x:c r="M1684" s="59" t="n">
        <x:v>0.77482</x:v>
      </x:c>
      <x:c r="N1684" s="60" t="n">
        <x:v>-8.19</x:v>
      </x:c>
      <x:c r="O1684" s="60" t="n">
        <x:v>0.5</x:v>
      </x:c>
      <x:c r="P1684" s="60" t="n">
        <x:v>0.95</x:v>
      </x:c>
      <x:c r="Q1684" s="60" t="n">
        <x:v>83.4</x:v>
      </x:c>
      <x:c r="R1684" s="58" t="str">
        <x:v>X</x:v>
      </x:c>
      <x:c r="S1684" s="60" t="n">
        <x:v>100</x:v>
      </x:c>
      <x:c r="T1684" s="58" t="str">
        <x:v>VALID</x:v>
      </x:c>
      <x:c r="U1684" s="58" t="n">
        <x:v>2486</x:v>
      </x:c>
      <x:c r="V1684" s="58" t="str">
        <x:v>Pasted text(59).txt</x:v>
      </x:c>
    </x:row>
    <x:row r="1685">
      <x:c r="A1685" s="58" t="str">
        <x:v>S18</x:v>
      </x:c>
      <x:c r="B1685" s="58" t="str">
        <x:v>0.75 validated session at 268 Hz</x:v>
      </x:c>
      <x:c r="C1685" s="58" t="n">
        <x:v>0.75</x:v>
      </x:c>
      <x:c r="D1685" s="58" t="n">
        <x:v>1</x:v>
      </x:c>
      <x:c r="E1685" s="58" t="n">
        <x:v>2</x:v>
      </x:c>
      <x:c r="F1685" s="58" t="str">
        <x:v>FINE</x:v>
      </x:c>
      <x:c r="G1685" s="58" t="n">
        <x:v>6</x:v>
      </x:c>
      <x:c r="H1685" s="59" t="n">
        <x:v>6.5</x:v>
      </x:c>
      <x:c r="I1685" s="59" t="n">
        <x:v>0.71267</x:v>
      </x:c>
      <x:c r="J1685" s="59" t="n">
        <x:v>0.70949</x:v>
      </x:c>
      <x:c r="K1685" s="59" t="n">
        <x:v>0.25676</x:v>
      </x:c>
      <x:c r="L1685" s="59" t="n">
        <x:v>0.19329</x:v>
      </x:c>
      <x:c r="M1685" s="59" t="n">
        <x:v>0.77916</x:v>
      </x:c>
      <x:c r="N1685" s="60" t="n">
        <x:v>-4.98</x:v>
      </x:c>
      <x:c r="O1685" s="60" t="n">
        <x:v>0.54</x:v>
      </x:c>
      <x:c r="P1685" s="60" t="n">
        <x:v>1.11</x:v>
      </x:c>
      <x:c r="Q1685" s="60" t="n">
        <x:v>84.7</x:v>
      </x:c>
      <x:c r="R1685" s="58" t="str">
        <x:v>X</x:v>
      </x:c>
      <x:c r="S1685" s="60" t="n">
        <x:v>100</x:v>
      </x:c>
      <x:c r="T1685" s="58" t="str">
        <x:v>IN TARGET BAND</x:v>
      </x:c>
      <x:c r="U1685" s="58" t="n">
        <x:v>2487</x:v>
      </x:c>
      <x:c r="V1685" s="58" t="str">
        <x:v>Pasted text(59).txt</x:v>
      </x:c>
    </x:row>
    <x:row r="1686">
      <x:c r="A1686" s="58" t="str">
        <x:v>S18</x:v>
      </x:c>
      <x:c r="B1686" s="58" t="str">
        <x:v>0.75 validated session at 268 Hz</x:v>
      </x:c>
      <x:c r="C1686" s="58" t="n">
        <x:v>0.75</x:v>
      </x:c>
      <x:c r="D1686" s="58" t="n">
        <x:v>1</x:v>
      </x:c>
      <x:c r="E1686" s="58" t="n">
        <x:v>2</x:v>
      </x:c>
      <x:c r="F1686" s="58" t="str">
        <x:v>FINE</x:v>
      </x:c>
      <x:c r="G1686" s="58" t="n">
        <x:v>7</x:v>
      </x:c>
      <x:c r="H1686" s="59" t="n">
        <x:v>6.75</x:v>
      </x:c>
      <x:c r="I1686" s="59" t="n">
        <x:v>0.7799</x:v>
      </x:c>
      <x:c r="J1686" s="59" t="n">
        <x:v>0.77743</x:v>
      </x:c>
      <x:c r="K1686" s="59" t="n">
        <x:v>0.31315</x:v>
      </x:c>
      <x:c r="L1686" s="59" t="n">
        <x:v>0.24907</x:v>
      </x:c>
      <x:c r="M1686" s="59" t="n">
        <x:v>0.87468</x:v>
      </x:c>
      <x:c r="N1686" s="60" t="n">
        <x:v>3.99</x:v>
      </x:c>
      <x:c r="O1686" s="60" t="n">
        <x:v>0.49</x:v>
      </x:c>
      <x:c r="P1686" s="60" t="n">
        <x:v>0.85</x:v>
      </x:c>
      <x:c r="Q1686" s="60" t="n">
        <x:v>82.2</x:v>
      </x:c>
      <x:c r="R1686" s="58" t="str">
        <x:v>X</x:v>
      </x:c>
      <x:c r="S1686" s="60" t="n">
        <x:v>100</x:v>
      </x:c>
      <x:c r="T1686" s="58" t="str">
        <x:v>IN TARGET BAND</x:v>
      </x:c>
      <x:c r="U1686" s="58" t="n">
        <x:v>2488</x:v>
      </x:c>
      <x:c r="V1686" s="58" t="str">
        <x:v>Pasted text(59).txt</x:v>
      </x:c>
    </x:row>
    <x:row r="1687">
      <x:c r="A1687" s="58" t="str">
        <x:v>S18</x:v>
      </x:c>
      <x:c r="B1687" s="58" t="str">
        <x:v>0.75 validated session at 268 Hz</x:v>
      </x:c>
      <x:c r="C1687" s="58" t="n">
        <x:v>0.75</x:v>
      </x:c>
      <x:c r="D1687" s="58" t="n">
        <x:v>1</x:v>
      </x:c>
      <x:c r="E1687" s="58" t="n">
        <x:v>2</x:v>
      </x:c>
      <x:c r="F1687" s="58" t="str">
        <x:v>FINE</x:v>
      </x:c>
      <x:c r="G1687" s="58" t="n">
        <x:v>8</x:v>
      </x:c>
      <x:c r="H1687" s="59" t="n">
        <x:v>7</x:v>
      </x:c>
      <x:c r="I1687" s="59" t="n">
        <x:v>0.80451</x:v>
      </x:c>
      <x:c r="J1687" s="59" t="n">
        <x:v>0.80415</x:v>
      </x:c>
      <x:c r="K1687" s="59" t="n">
        <x:v>0.32472</x:v>
      </x:c>
      <x:c r="L1687" s="59" t="n">
        <x:v>0.24115</x:v>
      </x:c>
      <x:c r="M1687" s="59" t="n">
        <x:v>0.90034</x:v>
      </x:c>
      <x:c r="N1687" s="60" t="n">
        <x:v>7.27</x:v>
      </x:c>
      <x:c r="O1687" s="60" t="n">
        <x:v>0.9</x:v>
      </x:c>
      <x:c r="P1687" s="60" t="n">
        <x:v>0.68</x:v>
      </x:c>
      <x:c r="Q1687" s="60" t="n">
        <x:v>85.4</x:v>
      </x:c>
      <x:c r="R1687" s="58" t="str">
        <x:v>X</x:v>
      </x:c>
      <x:c r="S1687" s="60" t="n">
        <x:v>100</x:v>
      </x:c>
      <x:c r="T1687" s="58" t="str">
        <x:v>IN TARGET BAND</x:v>
      </x:c>
      <x:c r="U1687" s="58" t="n">
        <x:v>2489</x:v>
      </x:c>
      <x:c r="V1687" s="58" t="str">
        <x:v>Pasted text(59).txt</x:v>
      </x:c>
    </x:row>
    <x:row r="1688">
      <x:c r="A1688" s="58" t="str">
        <x:v>S18</x:v>
      </x:c>
      <x:c r="B1688" s="58" t="str">
        <x:v>0.75 validated session at 268 Hz</x:v>
      </x:c>
      <x:c r="C1688" s="58" t="n">
        <x:v>0.75</x:v>
      </x:c>
      <x:c r="D1688" s="58" t="n">
        <x:v>1</x:v>
      </x:c>
      <x:c r="E1688" s="58" t="n">
        <x:v>2</x:v>
      </x:c>
      <x:c r="F1688" s="58" t="str">
        <x:v>FINE</x:v>
      </x:c>
      <x:c r="G1688" s="58" t="n">
        <x:v>9</x:v>
      </x:c>
      <x:c r="H1688" s="59" t="n">
        <x:v>7.25</x:v>
      </x:c>
      <x:c r="I1688" s="59" t="n">
        <x:v>0.8373</x:v>
      </x:c>
      <x:c r="J1688" s="59" t="n">
        <x:v>0.8367</x:v>
      </x:c>
      <x:c r="K1688" s="59" t="n">
        <x:v>0.34842</x:v>
      </x:c>
      <x:c r="L1688" s="59" t="n">
        <x:v>0.25312</x:v>
      </x:c>
      <x:c r="M1688" s="59" t="n">
        <x:v>0.94135</x:v>
      </x:c>
      <x:c r="N1688" s="60" t="n">
        <x:v>11.64</x:v>
      </x:c>
      <x:c r="O1688" s="60" t="n">
        <x:v>2.23</x:v>
      </x:c>
      <x:c r="P1688" s="60" t="n">
        <x:v>1.61</x:v>
      </x:c>
      <x:c r="Q1688" s="60" t="n">
        <x:v>86.1</x:v>
      </x:c>
      <x:c r="R1688" s="58" t="str">
        <x:v>X</x:v>
      </x:c>
      <x:c r="S1688" s="60" t="n">
        <x:v>100</x:v>
      </x:c>
      <x:c r="T1688" s="58" t="str">
        <x:v>VALID</x:v>
      </x:c>
      <x:c r="U1688" s="58" t="n">
        <x:v>2490</x:v>
      </x:c>
      <x:c r="V1688" s="58" t="str">
        <x:v>Pasted text(59).txt</x:v>
      </x:c>
    </x:row>
    <x:row r="1689">
      <x:c r="A1689" s="58" t="str">
        <x:v>S18</x:v>
      </x:c>
      <x:c r="B1689" s="58" t="str">
        <x:v>0.75 validated session at 268 Hz</x:v>
      </x:c>
      <x:c r="C1689" s="58" t="n">
        <x:v>0.75</x:v>
      </x:c>
      <x:c r="D1689" s="58" t="n">
        <x:v>1</x:v>
      </x:c>
      <x:c r="E1689" s="58" t="n">
        <x:v>2</x:v>
      </x:c>
      <x:c r="F1689" s="58" t="str">
        <x:v>FINAL</x:v>
      </x:c>
      <x:c r="G1689" s="58" t="n">
        <x:v>1</x:v>
      </x:c>
      <x:c r="H1689" s="59" t="n">
        <x:v>6.75</x:v>
      </x:c>
      <x:c r="I1689" s="59" t="n">
        <x:v>0.79566</x:v>
      </x:c>
      <x:c r="J1689" s="59" t="n">
        <x:v>0.78823</x:v>
      </x:c>
      <x:c r="K1689" s="59" t="n">
        <x:v>0.31372</x:v>
      </x:c>
      <x:c r="L1689" s="59" t="n">
        <x:v>0.23792</x:v>
      </x:c>
      <x:c r="M1689" s="59" t="n">
        <x:v>0.88132</x:v>
      </x:c>
      <x:c r="N1689" s="60" t="n">
        <x:v>6.09</x:v>
      </x:c>
      <x:c r="O1689" s="60" t="n">
        <x:v>2.62</x:v>
      </x:c>
      <x:c r="P1689" s="60" t="n">
        <x:v>3.19</x:v>
      </x:c>
      <x:c r="Q1689" s="60" t="n">
        <x:v>82.8</x:v>
      </x:c>
      <x:c r="R1689" s="58" t="str">
        <x:v>X</x:v>
      </x:c>
      <x:c r="S1689" s="60" t="n">
        <x:v>100</x:v>
      </x:c>
      <x:c r="T1689" s="58" t="str">
        <x:v>IN TARGET BAND</x:v>
      </x:c>
      <x:c r="U1689" s="58" t="n">
        <x:v>2493</x:v>
      </x:c>
      <x:c r="V1689" s="58" t="str">
        <x:v>Pasted text(59).txt</x:v>
      </x:c>
    </x:row>
    <x:row r="1690">
      <x:c r="A1690" s="58" t="str">
        <x:v>S18</x:v>
      </x:c>
      <x:c r="B1690" s="58" t="str">
        <x:v>0.75 validated session at 268 Hz</x:v>
      </x:c>
      <x:c r="C1690" s="58" t="n">
        <x:v>0.75</x:v>
      </x:c>
      <x:c r="D1690" s="58" t="n">
        <x:v>1</x:v>
      </x:c>
      <x:c r="E1690" s="58" t="n">
        <x:v>2</x:v>
      </x:c>
      <x:c r="F1690" s="58" t="str">
        <x:v>FINAL</x:v>
      </x:c>
      <x:c r="G1690" s="58" t="n">
        <x:v>2</x:v>
      </x:c>
      <x:c r="H1690" s="59" t="n">
        <x:v>6.75</x:v>
      </x:c>
      <x:c r="I1690" s="59" t="n">
        <x:v>0.79194</x:v>
      </x:c>
      <x:c r="J1690" s="59" t="n">
        <x:v>0.78203</x:v>
      </x:c>
      <x:c r="K1690" s="59" t="n">
        <x:v>0.31264</x:v>
      </x:c>
      <x:c r="L1690" s="59" t="n">
        <x:v>0.25668</x:v>
      </x:c>
      <x:c r="M1690" s="59" t="n">
        <x:v>0.88066</x:v>
      </x:c>
      <x:c r="N1690" s="60" t="n">
        <x:v>5.59</x:v>
      </x:c>
      <x:c r="O1690" s="60" t="n">
        <x:v>0.57</x:v>
      </x:c>
      <x:c r="P1690" s="60" t="n">
        <x:v>2.17</x:v>
      </x:c>
      <x:c r="Q1690" s="60" t="n">
        <x:v>83.5</x:v>
      </x:c>
      <x:c r="R1690" s="58" t="str">
        <x:v>X</x:v>
      </x:c>
      <x:c r="S1690" s="60" t="n">
        <x:v>100</x:v>
      </x:c>
      <x:c r="T1690" s="58" t="str">
        <x:v>IN TARGET BAND</x:v>
      </x:c>
      <x:c r="U1690" s="58" t="n">
        <x:v>2494</x:v>
      </x:c>
      <x:c r="V1690" s="58" t="str">
        <x:v>Pasted text(59).txt</x:v>
      </x:c>
    </x:row>
    <x:row r="1691">
      <x:c r="A1691" s="58" t="str">
        <x:v>S18</x:v>
      </x:c>
      <x:c r="B1691" s="58" t="str">
        <x:v>0.75 validated session at 268 Hz</x:v>
      </x:c>
      <x:c r="C1691" s="58" t="n">
        <x:v>0.75</x:v>
      </x:c>
      <x:c r="D1691" s="58" t="n">
        <x:v>2</x:v>
      </x:c>
      <x:c r="E1691" s="58" t="n">
        <x:v>1</x:v>
      </x:c>
      <x:c r="F1691" s="58" t="str">
        <x:v>SEARCH</x:v>
      </x:c>
      <x:c r="G1691" s="58" t="n">
        <x:v>1</x:v>
      </x:c>
      <x:c r="H1691" s="59" t="n">
        <x:v>1</x:v>
      </x:c>
      <x:c r="I1691" s="59" t="n">
        <x:v>0.04642</x:v>
      </x:c>
      <x:c r="J1691" s="59" t="n">
        <x:v>0.05531</x:v>
      </x:c>
      <x:c r="K1691" s="59" t="n">
        <x:v>0.04368</x:v>
      </x:c>
      <x:c r="L1691" s="59" t="n">
        <x:v>0.04499</x:v>
      </x:c>
      <x:c r="M1691" s="59" t="n">
        <x:v>0.08825</x:v>
      </x:c>
      <x:c r="N1691" s="60" t="n">
        <x:v>-93.81</x:v>
      </x:c>
      <x:c r="O1691" s="60" t="n">
        <x:v>52.81</x:v>
      </x:c>
      <x:c r="P1691" s="60" t="n">
        <x:v>55.76</x:v>
      </x:c>
      <x:c r="Q1691" s="60" t="n">
        <x:v>11.7</x:v>
      </x:c>
      <x:c r="R1691" s="58" t="str">
        <x:v>X</x:v>
      </x:c>
      <x:c r="S1691" s="60" t="n">
        <x:v>100</x:v>
      </x:c>
      <x:c r="T1691" s="58" t="str">
        <x:v>BELOW MEASUREMENT FLOOR — SEARCH CONTINUES</x:v>
      </x:c>
      <x:c r="U1691" s="58" t="n">
        <x:v>2550</x:v>
      </x:c>
      <x:c r="V1691" s="58" t="str">
        <x:v>Pasted text(59).txt</x:v>
      </x:c>
    </x:row>
    <x:row r="1692">
      <x:c r="A1692" s="58" t="str">
        <x:v>S18</x:v>
      </x:c>
      <x:c r="B1692" s="58" t="str">
        <x:v>0.75 validated session at 268 Hz</x:v>
      </x:c>
      <x:c r="C1692" s="58" t="n">
        <x:v>0.75</x:v>
      </x:c>
      <x:c r="D1692" s="58" t="n">
        <x:v>2</x:v>
      </x:c>
      <x:c r="E1692" s="58" t="n">
        <x:v>1</x:v>
      </x:c>
      <x:c r="F1692" s="58" t="str">
        <x:v>SEARCH</x:v>
      </x:c>
      <x:c r="G1692" s="58" t="n">
        <x:v>2</x:v>
      </x:c>
      <x:c r="H1692" s="59" t="n">
        <x:v>3</x:v>
      </x:c>
      <x:c r="I1692" s="59" t="n">
        <x:v>0.18357</x:v>
      </x:c>
      <x:c r="J1692" s="59" t="n">
        <x:v>0.19042</x:v>
      </x:c>
      <x:c r="K1692" s="59" t="n">
        <x:v>0.12404</x:v>
      </x:c>
      <x:c r="L1692" s="59" t="n">
        <x:v>0.07122</x:v>
      </x:c>
      <x:c r="M1692" s="59" t="n">
        <x:v>0.23999</x:v>
      </x:c>
      <x:c r="N1692" s="60" t="n">
        <x:v>-75.52</x:v>
      </x:c>
      <x:c r="O1692" s="60" t="n">
        <x:v>13.03</x:v>
      </x:c>
      <x:c r="P1692" s="60" t="n">
        <x:v>14.21</x:v>
      </x:c>
      <x:c r="Q1692" s="60" t="n">
        <x:v>29.2</x:v>
      </x:c>
      <x:c r="R1692" s="58" t="str">
        <x:v>X</x:v>
      </x:c>
      <x:c r="S1692" s="60" t="n">
        <x:v>100</x:v>
      </x:c>
      <x:c r="T1692" s="58" t="str">
        <x:v>UNSTABLE — SEARCH CONTINUES</x:v>
      </x:c>
      <x:c r="U1692" s="58" t="n">
        <x:v>2551</x:v>
      </x:c>
      <x:c r="V1692" s="58" t="str">
        <x:v>Pasted text(59).txt</x:v>
      </x:c>
    </x:row>
    <x:row r="1693">
      <x:c r="A1693" s="58" t="str">
        <x:v>S18</x:v>
      </x:c>
      <x:c r="B1693" s="58" t="str">
        <x:v>0.75 validated session at 268 Hz</x:v>
      </x:c>
      <x:c r="C1693" s="58" t="n">
        <x:v>0.75</x:v>
      </x:c>
      <x:c r="D1693" s="58" t="n">
        <x:v>2</x:v>
      </x:c>
      <x:c r="E1693" s="58" t="n">
        <x:v>1</x:v>
      </x:c>
      <x:c r="F1693" s="58" t="str">
        <x:v>SEARCH</x:v>
      </x:c>
      <x:c r="G1693" s="58" t="n">
        <x:v>3</x:v>
      </x:c>
      <x:c r="H1693" s="59" t="n">
        <x:v>5</x:v>
      </x:c>
      <x:c r="I1693" s="59" t="n">
        <x:v>0.4427</x:v>
      </x:c>
      <x:c r="J1693" s="59" t="n">
        <x:v>0.43951</x:v>
      </x:c>
      <x:c r="K1693" s="59" t="n">
        <x:v>0.17166</x:v>
      </x:c>
      <x:c r="L1693" s="59" t="n">
        <x:v>0.13922</x:v>
      </x:c>
      <x:c r="M1693" s="59" t="n">
        <x:v>0.49268</x:v>
      </x:c>
      <x:c r="N1693" s="60" t="n">
        <x:v>-40.97</x:v>
      </x:c>
      <x:c r="O1693" s="60" t="n">
        <x:v>1.1</x:v>
      </x:c>
      <x:c r="P1693" s="60" t="n">
        <x:v>1.94</x:v>
      </x:c>
      <x:c r="Q1693" s="60" t="n">
        <x:v>70.8</x:v>
      </x:c>
      <x:c r="R1693" s="58" t="str">
        <x:v>X</x:v>
      </x:c>
      <x:c r="S1693" s="60" t="n">
        <x:v>100</x:v>
      </x:c>
      <x:c r="T1693" s="58" t="str">
        <x:v>VALID</x:v>
      </x:c>
      <x:c r="U1693" s="58" t="n">
        <x:v>2552</x:v>
      </x:c>
      <x:c r="V1693" s="58" t="str">
        <x:v>Pasted text(59).txt</x:v>
      </x:c>
    </x:row>
    <x:row r="1694">
      <x:c r="A1694" s="58" t="str">
        <x:v>S18</x:v>
      </x:c>
      <x:c r="B1694" s="58" t="str">
        <x:v>0.75 validated session at 268 Hz</x:v>
      </x:c>
      <x:c r="C1694" s="58" t="n">
        <x:v>0.75</x:v>
      </x:c>
      <x:c r="D1694" s="58" t="n">
        <x:v>2</x:v>
      </x:c>
      <x:c r="E1694" s="58" t="n">
        <x:v>1</x:v>
      </x:c>
      <x:c r="F1694" s="58" t="str">
        <x:v>SEARCH</x:v>
      </x:c>
      <x:c r="G1694" s="58" t="n">
        <x:v>4</x:v>
      </x:c>
      <x:c r="H1694" s="59" t="n">
        <x:v>6</x:v>
      </x:c>
      <x:c r="I1694" s="59" t="n">
        <x:v>0.53241</x:v>
      </x:c>
      <x:c r="J1694" s="59" t="n">
        <x:v>0.53259</x:v>
      </x:c>
      <x:c r="K1694" s="59" t="n">
        <x:v>0.22739</x:v>
      </x:c>
      <x:c r="L1694" s="59" t="n">
        <x:v>0.18778</x:v>
      </x:c>
      <x:c r="M1694" s="59" t="n">
        <x:v>0.60925</x:v>
      </x:c>
      <x:c r="N1694" s="60" t="n">
        <x:v>-29.01</x:v>
      </x:c>
      <x:c r="O1694" s="60" t="n">
        <x:v>4.84</x:v>
      </x:c>
      <x:c r="P1694" s="60" t="n">
        <x:v>3.32</x:v>
      </x:c>
      <x:c r="Q1694" s="60" t="n">
        <x:v>76.3</x:v>
      </x:c>
      <x:c r="R1694" s="58" t="str">
        <x:v>X</x:v>
      </x:c>
      <x:c r="S1694" s="60" t="n">
        <x:v>100</x:v>
      </x:c>
      <x:c r="T1694" s="58" t="str">
        <x:v>VALID</x:v>
      </x:c>
      <x:c r="U1694" s="58" t="n">
        <x:v>2553</x:v>
      </x:c>
      <x:c r="V1694" s="58" t="str">
        <x:v>Pasted text(59).txt</x:v>
      </x:c>
    </x:row>
    <x:row r="1695">
      <x:c r="A1695" s="58" t="str">
        <x:v>S18</x:v>
      </x:c>
      <x:c r="B1695" s="58" t="str">
        <x:v>0.75 validated session at 268 Hz</x:v>
      </x:c>
      <x:c r="C1695" s="58" t="n">
        <x:v>0.75</x:v>
      </x:c>
      <x:c r="D1695" s="58" t="n">
        <x:v>2</x:v>
      </x:c>
      <x:c r="E1695" s="58" t="n">
        <x:v>1</x:v>
      </x:c>
      <x:c r="F1695" s="58" t="str">
        <x:v>SEARCH</x:v>
      </x:c>
      <x:c r="G1695" s="58" t="n">
        <x:v>5</x:v>
      </x:c>
      <x:c r="H1695" s="59" t="n">
        <x:v>6.5</x:v>
      </x:c>
      <x:c r="I1695" s="59" t="n">
        <x:v>0.56047</x:v>
      </x:c>
      <x:c r="J1695" s="59" t="n">
        <x:v>0.56125</x:v>
      </x:c>
      <x:c r="K1695" s="59" t="n">
        <x:v>0.2313</x:v>
      </x:c>
      <x:c r="L1695" s="59" t="n">
        <x:v>0.1957</x:v>
      </x:c>
      <x:c r="M1695" s="59" t="n">
        <x:v>0.63836</x:v>
      </x:c>
      <x:c r="N1695" s="60" t="n">
        <x:v>-25.27</x:v>
      </x:c>
      <x:c r="O1695" s="60" t="n">
        <x:v>2.17</x:v>
      </x:c>
      <x:c r="P1695" s="60" t="n">
        <x:v>1.68</x:v>
      </x:c>
      <x:c r="Q1695" s="60" t="n">
        <x:v>77.8</x:v>
      </x:c>
      <x:c r="R1695" s="58" t="str">
        <x:v>X</x:v>
      </x:c>
      <x:c r="S1695" s="60" t="n">
        <x:v>100</x:v>
      </x:c>
      <x:c r="T1695" s="58" t="str">
        <x:v>VALID</x:v>
      </x:c>
      <x:c r="U1695" s="58" t="n">
        <x:v>2554</x:v>
      </x:c>
      <x:c r="V1695" s="58" t="str">
        <x:v>Pasted text(59).txt</x:v>
      </x:c>
    </x:row>
    <x:row r="1696">
      <x:c r="A1696" s="58" t="str">
        <x:v>S18</x:v>
      </x:c>
      <x:c r="B1696" s="58" t="str">
        <x:v>0.75 validated session at 268 Hz</x:v>
      </x:c>
      <x:c r="C1696" s="58" t="n">
        <x:v>0.75</x:v>
      </x:c>
      <x:c r="D1696" s="58" t="n">
        <x:v>2</x:v>
      </x:c>
      <x:c r="E1696" s="58" t="n">
        <x:v>1</x:v>
      </x:c>
      <x:c r="F1696" s="58" t="str">
        <x:v>SEARCH</x:v>
      </x:c>
      <x:c r="G1696" s="58" t="n">
        <x:v>6</x:v>
      </x:c>
      <x:c r="H1696" s="59" t="n">
        <x:v>7</x:v>
      </x:c>
      <x:c r="I1696" s="59" t="n">
        <x:v>0.63219</x:v>
      </x:c>
      <x:c r="J1696" s="59" t="n">
        <x:v>0.64521</x:v>
      </x:c>
      <x:c r="K1696" s="59" t="n">
        <x:v>0.25935</x:v>
      </x:c>
      <x:c r="L1696" s="59" t="n">
        <x:v>0.18262</x:v>
      </x:c>
      <x:c r="M1696" s="59" t="n">
        <x:v>0.71984</x:v>
      </x:c>
      <x:c r="N1696" s="60" t="n">
        <x:v>-15.71</x:v>
      </x:c>
      <x:c r="O1696" s="60" t="n">
        <x:v>2.36</x:v>
      </x:c>
      <x:c r="P1696" s="60" t="n">
        <x:v>4.91</x:v>
      </x:c>
      <x:c r="Q1696" s="60" t="n">
        <x:v>81</x:v>
      </x:c>
      <x:c r="R1696" s="58" t="str">
        <x:v>X</x:v>
      </x:c>
      <x:c r="S1696" s="60" t="n">
        <x:v>100</x:v>
      </x:c>
      <x:c r="T1696" s="58" t="str">
        <x:v>VALID</x:v>
      </x:c>
      <x:c r="U1696" s="58" t="n">
        <x:v>2555</x:v>
      </x:c>
      <x:c r="V1696" s="58" t="str">
        <x:v>Pasted text(59).txt</x:v>
      </x:c>
    </x:row>
    <x:row r="1697">
      <x:c r="A1697" s="58" t="str">
        <x:v>S18</x:v>
      </x:c>
      <x:c r="B1697" s="58" t="str">
        <x:v>0.75 validated session at 268 Hz</x:v>
      </x:c>
      <x:c r="C1697" s="58" t="n">
        <x:v>0.75</x:v>
      </x:c>
      <x:c r="D1697" s="58" t="n">
        <x:v>2</x:v>
      </x:c>
      <x:c r="E1697" s="58" t="n">
        <x:v>1</x:v>
      </x:c>
      <x:c r="F1697" s="58" t="str">
        <x:v>SEARCH</x:v>
      </x:c>
      <x:c r="G1697" s="58" t="n">
        <x:v>7</x:v>
      </x:c>
      <x:c r="H1697" s="59" t="n">
        <x:v>7.5</x:v>
      </x:c>
      <x:c r="I1697" s="59" t="n">
        <x:v>0.66131</x:v>
      </x:c>
      <x:c r="J1697" s="59" t="n">
        <x:v>0.6686</x:v>
      </x:c>
      <x:c r="K1697" s="59" t="n">
        <x:v>0.26944</x:v>
      </x:c>
      <x:c r="L1697" s="59" t="n">
        <x:v>0.22279</x:v>
      </x:c>
      <x:c r="M1697" s="59" t="n">
        <x:v>0.75621</x:v>
      </x:c>
      <x:c r="N1697" s="60" t="n">
        <x:v>-11.83</x:v>
      </x:c>
      <x:c r="O1697" s="60" t="n">
        <x:v>0.32</x:v>
      </x:c>
      <x:c r="P1697" s="60" t="n">
        <x:v>2.07</x:v>
      </x:c>
      <x:c r="Q1697" s="60" t="n">
        <x:v>82.2</x:v>
      </x:c>
      <x:c r="R1697" s="58" t="str">
        <x:v>X</x:v>
      </x:c>
      <x:c r="S1697" s="60" t="n">
        <x:v>100</x:v>
      </x:c>
      <x:c r="T1697" s="58" t="str">
        <x:v>VALID</x:v>
      </x:c>
      <x:c r="U1697" s="58" t="n">
        <x:v>2556</x:v>
      </x:c>
      <x:c r="V1697" s="58" t="str">
        <x:v>Pasted text(59).txt</x:v>
      </x:c>
    </x:row>
    <x:row r="1698">
      <x:c r="A1698" s="58" t="str">
        <x:v>S18</x:v>
      </x:c>
      <x:c r="B1698" s="58" t="str">
        <x:v>0.75 validated session at 268 Hz</x:v>
      </x:c>
      <x:c r="C1698" s="58" t="n">
        <x:v>0.75</x:v>
      </x:c>
      <x:c r="D1698" s="58" t="n">
        <x:v>2</x:v>
      </x:c>
      <x:c r="E1698" s="58" t="n">
        <x:v>1</x:v>
      </x:c>
      <x:c r="F1698" s="58" t="str">
        <x:v>SEARCH</x:v>
      </x:c>
      <x:c r="G1698" s="58" t="n">
        <x:v>8</x:v>
      </x:c>
      <x:c r="H1698" s="59" t="n">
        <x:v>7.75</x:v>
      </x:c>
      <x:c r="I1698" s="59" t="n">
        <x:v>0.76236</x:v>
      </x:c>
      <x:c r="J1698" s="59" t="n">
        <x:v>0.79649</x:v>
      </x:c>
      <x:c r="K1698" s="59" t="n">
        <x:v>0.32031</x:v>
      </x:c>
      <x:c r="L1698" s="59" t="n">
        <x:v>0.23342</x:v>
      </x:c>
      <x:c r="M1698" s="59" t="n">
        <x:v>0.89043</x:v>
      </x:c>
      <x:c r="N1698" s="60" t="n">
        <x:v>1.65</x:v>
      </x:c>
      <x:c r="O1698" s="60" t="n">
        <x:v>4.35</x:v>
      </x:c>
      <x:c r="P1698" s="60" t="n">
        <x:v>9.95</x:v>
      </x:c>
      <x:c r="Q1698" s="60" t="n">
        <x:v>77.7</x:v>
      </x:c>
      <x:c r="R1698" s="58" t="str">
        <x:v>X</x:v>
      </x:c>
      <x:c r="S1698" s="60" t="n">
        <x:v>100</x:v>
      </x:c>
      <x:c r="T1698" s="58" t="str">
        <x:v>IN TARGET BAND</x:v>
      </x:c>
      <x:c r="U1698" s="58" t="n">
        <x:v>2557</x:v>
      </x:c>
      <x:c r="V1698" s="58" t="str">
        <x:v>Pasted text(59).txt</x:v>
      </x:c>
    </x:row>
    <x:row r="1699">
      <x:c r="A1699" s="58" t="str">
        <x:v>S18</x:v>
      </x:c>
      <x:c r="B1699" s="58" t="str">
        <x:v>0.75 validated session at 268 Hz</x:v>
      </x:c>
      <x:c r="C1699" s="58" t="n">
        <x:v>0.75</x:v>
      </x:c>
      <x:c r="D1699" s="58" t="n">
        <x:v>2</x:v>
      </x:c>
      <x:c r="E1699" s="58" t="n">
        <x:v>1</x:v>
      </x:c>
      <x:c r="F1699" s="58" t="str">
        <x:v>FINE</x:v>
      </x:c>
      <x:c r="G1699" s="58" t="n">
        <x:v>1</x:v>
      </x:c>
      <x:c r="H1699" s="59" t="n">
        <x:v>6.75</x:v>
      </x:c>
      <x:c r="I1699" s="59" t="n">
        <x:v>0.67133</x:v>
      </x:c>
      <x:c r="J1699" s="59" t="n">
        <x:v>0.65776</x:v>
      </x:c>
      <x:c r="K1699" s="59" t="n">
        <x:v>0.25145</x:v>
      </x:c>
      <x:c r="L1699" s="59" t="n">
        <x:v>0.20175</x:v>
      </x:c>
      <x:c r="M1699" s="59" t="n">
        <x:v>0.73288</x:v>
      </x:c>
      <x:c r="N1699" s="60" t="n">
        <x:v>-10.49</x:v>
      </x:c>
      <x:c r="O1699" s="60" t="n">
        <x:v>4.3</x:v>
      </x:c>
      <x:c r="P1699" s="60" t="n">
        <x:v>6.31</x:v>
      </x:c>
      <x:c r="Q1699" s="60" t="n">
        <x:v>74.6</x:v>
      </x:c>
      <x:c r="R1699" s="58" t="str">
        <x:v>X</x:v>
      </x:c>
      <x:c r="S1699" s="60" t="n">
        <x:v>100</x:v>
      </x:c>
      <x:c r="T1699" s="58" t="str">
        <x:v>VALID</x:v>
      </x:c>
      <x:c r="U1699" s="58" t="n">
        <x:v>2561</x:v>
      </x:c>
      <x:c r="V1699" s="58" t="str">
        <x:v>Pasted text(59).txt</x:v>
      </x:c>
    </x:row>
    <x:row r="1700">
      <x:c r="A1700" s="58" t="str">
        <x:v>S18</x:v>
      </x:c>
      <x:c r="B1700" s="58" t="str">
        <x:v>0.75 validated session at 268 Hz</x:v>
      </x:c>
      <x:c r="C1700" s="58" t="n">
        <x:v>0.75</x:v>
      </x:c>
      <x:c r="D1700" s="58" t="n">
        <x:v>2</x:v>
      </x:c>
      <x:c r="E1700" s="58" t="n">
        <x:v>1</x:v>
      </x:c>
      <x:c r="F1700" s="58" t="str">
        <x:v>FINE</x:v>
      </x:c>
      <x:c r="G1700" s="58" t="n">
        <x:v>2</x:v>
      </x:c>
      <x:c r="H1700" s="59" t="n">
        <x:v>7</x:v>
      </x:c>
      <x:c r="I1700" s="59" t="n">
        <x:v>0.71001</x:v>
      </x:c>
      <x:c r="J1700" s="59" t="n">
        <x:v>0.71035</x:v>
      </x:c>
      <x:c r="K1700" s="59" t="n">
        <x:v>0.26394</x:v>
      </x:c>
      <x:c r="L1700" s="59" t="n">
        <x:v>0.2222</x:v>
      </x:c>
      <x:c r="M1700" s="59" t="n">
        <x:v>0.79055</x:v>
      </x:c>
      <x:c r="N1700" s="60" t="n">
        <x:v>-5.33</x:v>
      </x:c>
      <x:c r="O1700" s="60" t="n">
        <x:v>3.39</x:v>
      </x:c>
      <x:c r="P1700" s="60" t="n">
        <x:v>2.36</x:v>
      </x:c>
      <x:c r="Q1700" s="60" t="n">
        <x:v>81.4</x:v>
      </x:c>
      <x:c r="R1700" s="58" t="str">
        <x:v>X</x:v>
      </x:c>
      <x:c r="S1700" s="60" t="n">
        <x:v>100</x:v>
      </x:c>
      <x:c r="T1700" s="58" t="str">
        <x:v>IN TARGET BAND</x:v>
      </x:c>
      <x:c r="U1700" s="58" t="n">
        <x:v>2562</x:v>
      </x:c>
      <x:c r="V1700" s="58" t="str">
        <x:v>Pasted text(59).txt</x:v>
      </x:c>
    </x:row>
    <x:row r="1701">
      <x:c r="A1701" s="58" t="str">
        <x:v>S18</x:v>
      </x:c>
      <x:c r="B1701" s="58" t="str">
        <x:v>0.75 validated session at 268 Hz</x:v>
      </x:c>
      <x:c r="C1701" s="58" t="n">
        <x:v>0.75</x:v>
      </x:c>
      <x:c r="D1701" s="58" t="n">
        <x:v>2</x:v>
      </x:c>
      <x:c r="E1701" s="58" t="n">
        <x:v>1</x:v>
      </x:c>
      <x:c r="F1701" s="58" t="str">
        <x:v>FINE</x:v>
      </x:c>
      <x:c r="G1701" s="58" t="n">
        <x:v>3</x:v>
      </x:c>
      <x:c r="H1701" s="59" t="n">
        <x:v>7.25</x:v>
      </x:c>
      <x:c r="I1701" s="59" t="n">
        <x:v>0.70829</x:v>
      </x:c>
      <x:c r="J1701" s="59" t="n">
        <x:v>0.69929</x:v>
      </x:c>
      <x:c r="K1701" s="59" t="n">
        <x:v>0.28653</x:v>
      </x:c>
      <x:c r="L1701" s="59" t="n">
        <x:v>0.21492</x:v>
      </x:c>
      <x:c r="M1701" s="59" t="n">
        <x:v>0.78635</x:v>
      </x:c>
      <x:c r="N1701" s="60" t="n">
        <x:v>-5.56</x:v>
      </x:c>
      <x:c r="O1701" s="60" t="n">
        <x:v>2.15</x:v>
      </x:c>
      <x:c r="P1701" s="60" t="n">
        <x:v>3.58</x:v>
      </x:c>
      <x:c r="Q1701" s="60" t="n">
        <x:v>81.3</x:v>
      </x:c>
      <x:c r="R1701" s="58" t="str">
        <x:v>X</x:v>
      </x:c>
      <x:c r="S1701" s="60" t="n">
        <x:v>100</x:v>
      </x:c>
      <x:c r="T1701" s="58" t="str">
        <x:v>IN TARGET BAND</x:v>
      </x:c>
      <x:c r="U1701" s="58" t="n">
        <x:v>2563</x:v>
      </x:c>
      <x:c r="V1701" s="58" t="str">
        <x:v>Pasted text(59).txt</x:v>
      </x:c>
    </x:row>
    <x:row r="1702">
      <x:c r="A1702" s="58" t="str">
        <x:v>S18</x:v>
      </x:c>
      <x:c r="B1702" s="58" t="str">
        <x:v>0.75 validated session at 268 Hz</x:v>
      </x:c>
      <x:c r="C1702" s="58" t="n">
        <x:v>0.75</x:v>
      </x:c>
      <x:c r="D1702" s="58" t="n">
        <x:v>2</x:v>
      </x:c>
      <x:c r="E1702" s="58" t="n">
        <x:v>1</x:v>
      </x:c>
      <x:c r="F1702" s="58" t="str">
        <x:v>FINE</x:v>
      </x:c>
      <x:c r="G1702" s="58" t="n">
        <x:v>4</x:v>
      </x:c>
      <x:c r="H1702" s="59" t="n">
        <x:v>7.5</x:v>
      </x:c>
      <x:c r="I1702" s="59" t="n">
        <x:v>0.71004</x:v>
      </x:c>
      <x:c r="J1702" s="59" t="n">
        <x:v>0.71528</x:v>
      </x:c>
      <x:c r="K1702" s="59" t="n">
        <x:v>0.29429</x:v>
      </x:c>
      <x:c r="L1702" s="59" t="n">
        <x:v>0.2399</x:v>
      </x:c>
      <x:c r="M1702" s="59" t="n">
        <x:v>0.81075</x:v>
      </x:c>
      <x:c r="N1702" s="60" t="n">
        <x:v>-5.33</x:v>
      </x:c>
      <x:c r="O1702" s="60" t="n">
        <x:v>3.04</x:v>
      </x:c>
      <x:c r="P1702" s="60" t="n">
        <x:v>3.2</x:v>
      </x:c>
      <x:c r="Q1702" s="60" t="n">
        <x:v>83.5</x:v>
      </x:c>
      <x:c r="R1702" s="58" t="str">
        <x:v>X</x:v>
      </x:c>
      <x:c r="S1702" s="60" t="n">
        <x:v>100</x:v>
      </x:c>
      <x:c r="T1702" s="58" t="str">
        <x:v>IN TARGET BAND</x:v>
      </x:c>
      <x:c r="U1702" s="58" t="n">
        <x:v>2564</x:v>
      </x:c>
      <x:c r="V1702" s="58" t="str">
        <x:v>Pasted text(59).txt</x:v>
      </x:c>
    </x:row>
    <x:row r="1703">
      <x:c r="A1703" s="58" t="str">
        <x:v>S18</x:v>
      </x:c>
      <x:c r="B1703" s="58" t="str">
        <x:v>0.75 validated session at 268 Hz</x:v>
      </x:c>
      <x:c r="C1703" s="58" t="n">
        <x:v>0.75</x:v>
      </x:c>
      <x:c r="D1703" s="58" t="n">
        <x:v>2</x:v>
      </x:c>
      <x:c r="E1703" s="58" t="n">
        <x:v>1</x:v>
      </x:c>
      <x:c r="F1703" s="58" t="str">
        <x:v>FINE</x:v>
      </x:c>
      <x:c r="G1703" s="58" t="n">
        <x:v>5</x:v>
      </x:c>
      <x:c r="H1703" s="59" t="n">
        <x:v>7.75</x:v>
      </x:c>
      <x:c r="I1703" s="59" t="n">
        <x:v>0.77077</x:v>
      </x:c>
      <x:c r="J1703" s="59" t="n">
        <x:v>0.77352</x:v>
      </x:c>
      <x:c r="K1703" s="59" t="n">
        <x:v>0.30088</x:v>
      </x:c>
      <x:c r="L1703" s="59" t="n">
        <x:v>0.22936</x:v>
      </x:c>
      <x:c r="M1703" s="59" t="n">
        <x:v>0.86155</x:v>
      </x:c>
      <x:c r="N1703" s="60" t="n">
        <x:v>2.77</x:v>
      </x:c>
      <x:c r="O1703" s="60" t="n">
        <x:v>2.16</x:v>
      </x:c>
      <x:c r="P1703" s="60" t="n">
        <x:v>2.01</x:v>
      </x:c>
      <x:c r="Q1703" s="60" t="n">
        <x:v>80.4</x:v>
      </x:c>
      <x:c r="R1703" s="58" t="str">
        <x:v>X</x:v>
      </x:c>
      <x:c r="S1703" s="60" t="n">
        <x:v>100</x:v>
      </x:c>
      <x:c r="T1703" s="58" t="str">
        <x:v>IN TARGET BAND</x:v>
      </x:c>
      <x:c r="U1703" s="58" t="n">
        <x:v>2565</x:v>
      </x:c>
      <x:c r="V1703" s="58" t="str">
        <x:v>Pasted text(59).txt</x:v>
      </x:c>
    </x:row>
    <x:row r="1704">
      <x:c r="A1704" s="58" t="str">
        <x:v>S18</x:v>
      </x:c>
      <x:c r="B1704" s="58" t="str">
        <x:v>0.75 validated session at 268 Hz</x:v>
      </x:c>
      <x:c r="C1704" s="58" t="n">
        <x:v>0.75</x:v>
      </x:c>
      <x:c r="D1704" s="58" t="n">
        <x:v>2</x:v>
      </x:c>
      <x:c r="E1704" s="58" t="n">
        <x:v>1</x:v>
      </x:c>
      <x:c r="F1704" s="58" t="str">
        <x:v>FINE</x:v>
      </x:c>
      <x:c r="G1704" s="58" t="n">
        <x:v>6</x:v>
      </x:c>
      <x:c r="H1704" s="59" t="n">
        <x:v>8</x:v>
      </x:c>
      <x:c r="I1704" s="59" t="n">
        <x:v>0.84012</x:v>
      </x:c>
      <x:c r="J1704" s="59" t="n">
        <x:v>0.82317</x:v>
      </x:c>
      <x:c r="K1704" s="59" t="n">
        <x:v>0.31152</x:v>
      </x:c>
      <x:c r="L1704" s="59" t="n">
        <x:v>0.23456</x:v>
      </x:c>
      <x:c r="M1704" s="59" t="n">
        <x:v>0.91204</x:v>
      </x:c>
      <x:c r="N1704" s="60" t="n">
        <x:v>12.02</x:v>
      </x:c>
      <x:c r="O1704" s="60" t="n">
        <x:v>2.29</x:v>
      </x:c>
      <x:c r="P1704" s="60" t="n">
        <x:v>4.99</x:v>
      </x:c>
      <x:c r="Q1704" s="60" t="n">
        <x:v>85.7</x:v>
      </x:c>
      <x:c r="R1704" s="58" t="str">
        <x:v>X</x:v>
      </x:c>
      <x:c r="S1704" s="60" t="n">
        <x:v>100</x:v>
      </x:c>
      <x:c r="T1704" s="58" t="str">
        <x:v>VALID</x:v>
      </x:c>
      <x:c r="U1704" s="58" t="n">
        <x:v>2566</x:v>
      </x:c>
      <x:c r="V1704" s="58" t="str">
        <x:v>Pasted text(59).txt</x:v>
      </x:c>
    </x:row>
    <x:row r="1705">
      <x:c r="A1705" s="58" t="str">
        <x:v>S18</x:v>
      </x:c>
      <x:c r="B1705" s="58" t="str">
        <x:v>0.75 validated session at 268 Hz</x:v>
      </x:c>
      <x:c r="C1705" s="58" t="n">
        <x:v>0.75</x:v>
      </x:c>
      <x:c r="D1705" s="58" t="n">
        <x:v>2</x:v>
      </x:c>
      <x:c r="E1705" s="58" t="n">
        <x:v>1</x:v>
      </x:c>
      <x:c r="F1705" s="58" t="str">
        <x:v>FINE</x:v>
      </x:c>
      <x:c r="G1705" s="58" t="n">
        <x:v>7</x:v>
      </x:c>
      <x:c r="H1705" s="59" t="n">
        <x:v>8.25</x:v>
      </x:c>
      <x:c r="I1705" s="59" t="n">
        <x:v>0.83568</x:v>
      </x:c>
      <x:c r="J1705" s="59" t="n">
        <x:v>0.81995</x:v>
      </x:c>
      <x:c r="K1705" s="59" t="n">
        <x:v>0.36271</x:v>
      </x:c>
      <x:c r="L1705" s="59" t="n">
        <x:v>0.26684</x:v>
      </x:c>
      <x:c r="M1705" s="59" t="n">
        <x:v>0.93609</x:v>
      </x:c>
      <x:c r="N1705" s="60" t="n">
        <x:v>11.42</x:v>
      </x:c>
      <x:c r="O1705" s="60" t="n">
        <x:v>0.29</x:v>
      </x:c>
      <x:c r="P1705" s="60" t="n">
        <x:v>3.5</x:v>
      </x:c>
      <x:c r="Q1705" s="60" t="n">
        <x:v>84.5</x:v>
      </x:c>
      <x:c r="R1705" s="58" t="str">
        <x:v>X</x:v>
      </x:c>
      <x:c r="S1705" s="60" t="n">
        <x:v>100</x:v>
      </x:c>
      <x:c r="T1705" s="58" t="str">
        <x:v>VALID</x:v>
      </x:c>
      <x:c r="U1705" s="58" t="n">
        <x:v>2567</x:v>
      </x:c>
      <x:c r="V1705" s="58" t="str">
        <x:v>Pasted text(59).txt</x:v>
      </x:c>
    </x:row>
    <x:row r="1706">
      <x:c r="A1706" s="58" t="str">
        <x:v>S18</x:v>
      </x:c>
      <x:c r="B1706" s="58" t="str">
        <x:v>0.75 validated session at 268 Hz</x:v>
      </x:c>
      <x:c r="C1706" s="58" t="n">
        <x:v>0.75</x:v>
      </x:c>
      <x:c r="D1706" s="58" t="n">
        <x:v>2</x:v>
      </x:c>
      <x:c r="E1706" s="58" t="n">
        <x:v>1</x:v>
      </x:c>
      <x:c r="F1706" s="58" t="str">
        <x:v>FINE</x:v>
      </x:c>
      <x:c r="G1706" s="58" t="n">
        <x:v>8</x:v>
      </x:c>
      <x:c r="H1706" s="59" t="n">
        <x:v>8.5</x:v>
      </x:c>
      <x:c r="I1706" s="59" t="n">
        <x:v>0.8545</x:v>
      </x:c>
      <x:c r="J1706" s="59" t="n">
        <x:v>0.86972</x:v>
      </x:c>
      <x:c r="K1706" s="59" t="n">
        <x:v>0.32855</x:v>
      </x:c>
      <x:c r="L1706" s="59" t="n">
        <x:v>0.27088</x:v>
      </x:c>
      <x:c r="M1706" s="59" t="n">
        <x:v>0.9686</x:v>
      </x:c>
      <x:c r="N1706" s="60" t="n">
        <x:v>13.93</x:v>
      </x:c>
      <x:c r="O1706" s="60" t="n">
        <x:v>0.65</x:v>
      </x:c>
      <x:c r="P1706" s="60" t="n">
        <x:v>3.41</x:v>
      </x:c>
      <x:c r="Q1706" s="60" t="n">
        <x:v>87.6</x:v>
      </x:c>
      <x:c r="R1706" s="58" t="str">
        <x:v>X</x:v>
      </x:c>
      <x:c r="S1706" s="60" t="n">
        <x:v>100</x:v>
      </x:c>
      <x:c r="T1706" s="58" t="str">
        <x:v>VALID</x:v>
      </x:c>
      <x:c r="U1706" s="58" t="n">
        <x:v>2568</x:v>
      </x:c>
      <x:c r="V1706" s="58" t="str">
        <x:v>Pasted text(59).txt</x:v>
      </x:c>
    </x:row>
    <x:row r="1707">
      <x:c r="A1707" s="58" t="str">
        <x:v>S18</x:v>
      </x:c>
      <x:c r="B1707" s="58" t="str">
        <x:v>0.75 validated session at 268 Hz</x:v>
      </x:c>
      <x:c r="C1707" s="58" t="n">
        <x:v>0.75</x:v>
      </x:c>
      <x:c r="D1707" s="58" t="n">
        <x:v>2</x:v>
      </x:c>
      <x:c r="E1707" s="58" t="n">
        <x:v>1</x:v>
      </x:c>
      <x:c r="F1707" s="58" t="str">
        <x:v>FINE</x:v>
      </x:c>
      <x:c r="G1707" s="58" t="n">
        <x:v>9</x:v>
      </x:c>
      <x:c r="H1707" s="59" t="n">
        <x:v>8.75</x:v>
      </x:c>
      <x:c r="I1707" s="59" t="n">
        <x:v>0.90632</x:v>
      </x:c>
      <x:c r="J1707" s="59" t="n">
        <x:v>0.90411</x:v>
      </x:c>
      <x:c r="K1707" s="59" t="n">
        <x:v>0.34948</x:v>
      </x:c>
      <x:c r="L1707" s="59" t="n">
        <x:v>0.29053</x:v>
      </x:c>
      <x:c r="M1707" s="59" t="n">
        <x:v>1.01279</x:v>
      </x:c>
      <x:c r="N1707" s="60" t="n">
        <x:v>20.84</x:v>
      </x:c>
      <x:c r="O1707" s="60" t="n">
        <x:v>3.64</x:v>
      </x:c>
      <x:c r="P1707" s="60" t="n">
        <x:v>2.83</x:v>
      </x:c>
      <x:c r="Q1707" s="60" t="n">
        <x:v>85.4</x:v>
      </x:c>
      <x:c r="R1707" s="58" t="str">
        <x:v>X</x:v>
      </x:c>
      <x:c r="S1707" s="60" t="n">
        <x:v>100</x:v>
      </x:c>
      <x:c r="T1707" s="58" t="str">
        <x:v>VALID</x:v>
      </x:c>
      <x:c r="U1707" s="58" t="n">
        <x:v>2569</x:v>
      </x:c>
      <x:c r="V1707" s="58" t="str">
        <x:v>Pasted text(59).txt</x:v>
      </x:c>
    </x:row>
    <x:row r="1708">
      <x:c r="A1708" s="58" t="str">
        <x:v>S18</x:v>
      </x:c>
      <x:c r="B1708" s="58" t="str">
        <x:v>0.75 validated session at 268 Hz</x:v>
      </x:c>
      <x:c r="C1708" s="58" t="n">
        <x:v>0.75</x:v>
      </x:c>
      <x:c r="D1708" s="58" t="n">
        <x:v>2</x:v>
      </x:c>
      <x:c r="E1708" s="58" t="n">
        <x:v>1</x:v>
      </x:c>
      <x:c r="F1708" s="58" t="str">
        <x:v>FINAL</x:v>
      </x:c>
      <x:c r="G1708" s="58" t="n">
        <x:v>1</x:v>
      </x:c>
      <x:c r="H1708" s="59" t="n">
        <x:v>7.75</x:v>
      </x:c>
      <x:c r="I1708" s="59" t="n">
        <x:v>0.7679</x:v>
      </x:c>
      <x:c r="J1708" s="59" t="n">
        <x:v>0.77537</x:v>
      </x:c>
      <x:c r="K1708" s="59" t="n">
        <x:v>0.31407</x:v>
      </x:c>
      <x:c r="L1708" s="59" t="n">
        <x:v>0.2487</x:v>
      </x:c>
      <x:c r="M1708" s="59" t="n">
        <x:v>0.87345</x:v>
      </x:c>
      <x:c r="N1708" s="60" t="n">
        <x:v>2.39</x:v>
      </x:c>
      <x:c r="O1708" s="60" t="n">
        <x:v>2.45</x:v>
      </x:c>
      <x:c r="P1708" s="60" t="n">
        <x:v>2.58</x:v>
      </x:c>
      <x:c r="Q1708" s="60" t="n">
        <x:v>82.7</x:v>
      </x:c>
      <x:c r="R1708" s="58" t="str">
        <x:v>X</x:v>
      </x:c>
      <x:c r="S1708" s="60" t="n">
        <x:v>100</x:v>
      </x:c>
      <x:c r="T1708" s="58" t="str">
        <x:v>IN TARGET BAND</x:v>
      </x:c>
      <x:c r="U1708" s="58" t="n">
        <x:v>2572</x:v>
      </x:c>
      <x:c r="V1708" s="58" t="str">
        <x:v>Pasted text(59).txt</x:v>
      </x:c>
    </x:row>
    <x:row r="1709">
      <x:c r="A1709" s="58" t="str">
        <x:v>S18</x:v>
      </x:c>
      <x:c r="B1709" s="58" t="str">
        <x:v>0.75 validated session at 268 Hz</x:v>
      </x:c>
      <x:c r="C1709" s="58" t="n">
        <x:v>0.75</x:v>
      </x:c>
      <x:c r="D1709" s="58" t="n">
        <x:v>2</x:v>
      </x:c>
      <x:c r="E1709" s="58" t="n">
        <x:v>1</x:v>
      </x:c>
      <x:c r="F1709" s="58" t="str">
        <x:v>FINAL</x:v>
      </x:c>
      <x:c r="G1709" s="58" t="n">
        <x:v>2</x:v>
      </x:c>
      <x:c r="H1709" s="59" t="n">
        <x:v>7.75</x:v>
      </x:c>
      <x:c r="I1709" s="59" t="n">
        <x:v>0.77874</x:v>
      </x:c>
      <x:c r="J1709" s="59" t="n">
        <x:v>0.7723</x:v>
      </x:c>
      <x:c r="K1709" s="59" t="n">
        <x:v>0.29938</x:v>
      </x:c>
      <x:c r="L1709" s="59" t="n">
        <x:v>0.25056</x:v>
      </x:c>
      <x:c r="M1709" s="59" t="n">
        <x:v>0.86591</x:v>
      </x:c>
      <x:c r="N1709" s="60" t="n">
        <x:v>3.83</x:v>
      </x:c>
      <x:c r="O1709" s="60" t="n">
        <x:v>6.42</x:v>
      </x:c>
      <x:c r="P1709" s="60" t="n">
        <x:v>4.98</x:v>
      </x:c>
      <x:c r="Q1709" s="60" t="n">
        <x:v>82.6</x:v>
      </x:c>
      <x:c r="R1709" s="58" t="str">
        <x:v>X</x:v>
      </x:c>
      <x:c r="S1709" s="60" t="n">
        <x:v>100</x:v>
      </x:c>
      <x:c r="T1709" s="58" t="str">
        <x:v>IN TARGET BAND</x:v>
      </x:c>
      <x:c r="U1709" s="58" t="n">
        <x:v>2573</x:v>
      </x:c>
      <x:c r="V1709" s="58" t="str">
        <x:v>Pasted text(59).txt</x:v>
      </x:c>
    </x:row>
    <x:row r="1710">
      <x:c r="A1710" s="58" t="str">
        <x:v>S18</x:v>
      </x:c>
      <x:c r="B1710" s="58" t="str">
        <x:v>0.75 validated session at 268 Hz</x:v>
      </x:c>
      <x:c r="C1710" s="58" t="n">
        <x:v>0.75</x:v>
      </x:c>
      <x:c r="D1710" s="58" t="n">
        <x:v>3</x:v>
      </x:c>
      <x:c r="E1710" s="58" t="n">
        <x:v>1</x:v>
      </x:c>
      <x:c r="F1710" s="58" t="str">
        <x:v>SEARCH</x:v>
      </x:c>
      <x:c r="G1710" s="58" t="n">
        <x:v>1</x:v>
      </x:c>
      <x:c r="H1710" s="59" t="n">
        <x:v>1</x:v>
      </x:c>
      <x:c r="I1710" s="59" t="n">
        <x:v>0.01836</x:v>
      </x:c>
      <x:c r="J1710" s="59" t="n">
        <x:v>0.01785</x:v>
      </x:c>
      <x:c r="K1710" s="59" t="n">
        <x:v>0.01685</x:v>
      </x:c>
      <x:c r="L1710" s="59" t="n">
        <x:v>0.01251</x:v>
      </x:c>
      <x:c r="M1710" s="59" t="n">
        <x:v>0.02803</x:v>
      </x:c>
      <x:c r="N1710" s="60" t="n">
        <x:v>-97.55</x:v>
      </x:c>
      <x:c r="O1710" s="60" t="n">
        <x:v>8.23</x:v>
      </x:c>
      <x:c r="P1710" s="60" t="n">
        <x:v>4.04</x:v>
      </x:c>
      <x:c r="Q1710" s="60" t="n">
        <x:v>6.1</x:v>
      </x:c>
      <x:c r="R1710" s="58" t="str">
        <x:v>X</x:v>
      </x:c>
      <x:c r="S1710" s="60" t="n">
        <x:v>100</x:v>
      </x:c>
      <x:c r="T1710" s="58" t="str">
        <x:v>BELOW MEASUREMENT FLOOR — SEARCH CONTINUES</x:v>
      </x:c>
      <x:c r="U1710" s="58" t="n">
        <x:v>2629</x:v>
      </x:c>
      <x:c r="V1710" s="58" t="str">
        <x:v>Pasted text(59).txt</x:v>
      </x:c>
    </x:row>
    <x:row r="1711">
      <x:c r="A1711" s="58" t="str">
        <x:v>S18</x:v>
      </x:c>
      <x:c r="B1711" s="58" t="str">
        <x:v>0.75 validated session at 268 Hz</x:v>
      </x:c>
      <x:c r="C1711" s="58" t="n">
        <x:v>0.75</x:v>
      </x:c>
      <x:c r="D1711" s="58" t="n">
        <x:v>3</x:v>
      </x:c>
      <x:c r="E1711" s="58" t="n">
        <x:v>1</x:v>
      </x:c>
      <x:c r="F1711" s="58" t="str">
        <x:v>SEARCH</x:v>
      </x:c>
      <x:c r="G1711" s="58" t="n">
        <x:v>2</x:v>
      </x:c>
      <x:c r="H1711" s="59" t="n">
        <x:v>3</x:v>
      </x:c>
      <x:c r="I1711" s="59" t="n">
        <x:v>0.22094</x:v>
      </x:c>
      <x:c r="J1711" s="59" t="n">
        <x:v>0.22094</x:v>
      </x:c>
      <x:c r="K1711" s="59" t="n">
        <x:v>0.07901</x:v>
      </x:c>
      <x:c r="L1711" s="59" t="n">
        <x:v>0.1021</x:v>
      </x:c>
      <x:c r="M1711" s="59" t="n">
        <x:v>0.25693</x:v>
      </x:c>
      <x:c r="N1711" s="60" t="n">
        <x:v>-70.54</x:v>
      </x:c>
      <x:c r="O1711" s="60" t="n">
        <x:v>0.98</x:v>
      </x:c>
      <x:c r="P1711" s="60" t="n">
        <x:v>0.67</x:v>
      </x:c>
      <x:c r="Q1711" s="60" t="n">
        <x:v>47.9</x:v>
      </x:c>
      <x:c r="R1711" s="58" t="str">
        <x:v>X</x:v>
      </x:c>
      <x:c r="S1711" s="60" t="n">
        <x:v>100</x:v>
      </x:c>
      <x:c r="T1711" s="58" t="str">
        <x:v>UNSTABLE — SEARCH CONTINUES</x:v>
      </x:c>
      <x:c r="U1711" s="58" t="n">
        <x:v>2630</x:v>
      </x:c>
      <x:c r="V1711" s="58" t="str">
        <x:v>Pasted text(59).txt</x:v>
      </x:c>
    </x:row>
    <x:row r="1712">
      <x:c r="A1712" s="58" t="str">
        <x:v>S18</x:v>
      </x:c>
      <x:c r="B1712" s="58" t="str">
        <x:v>0.75 validated session at 268 Hz</x:v>
      </x:c>
      <x:c r="C1712" s="58" t="n">
        <x:v>0.75</x:v>
      </x:c>
      <x:c r="D1712" s="58" t="n">
        <x:v>3</x:v>
      </x:c>
      <x:c r="E1712" s="58" t="n">
        <x:v>1</x:v>
      </x:c>
      <x:c r="F1712" s="58" t="str">
        <x:v>SEARCH</x:v>
      </x:c>
      <x:c r="G1712" s="58" t="n">
        <x:v>3</x:v>
      </x:c>
      <x:c r="H1712" s="59" t="n">
        <x:v>4</x:v>
      </x:c>
      <x:c r="I1712" s="59" t="n">
        <x:v>0.3474</x:v>
      </x:c>
      <x:c r="J1712" s="59" t="n">
        <x:v>0.35534</x:v>
      </x:c>
      <x:c r="K1712" s="59" t="n">
        <x:v>0.1033</x:v>
      </x:c>
      <x:c r="L1712" s="59" t="n">
        <x:v>0.09886</x:v>
      </x:c>
      <x:c r="M1712" s="59" t="n">
        <x:v>0.38375</x:v>
      </x:c>
      <x:c r="N1712" s="60" t="n">
        <x:v>-53.68</x:v>
      </x:c>
      <x:c r="O1712" s="60" t="n">
        <x:v>3.11</x:v>
      </x:c>
      <x:c r="P1712" s="60" t="n">
        <x:v>5.74</x:v>
      </x:c>
      <x:c r="Q1712" s="60" t="n">
        <x:v>63</x:v>
      </x:c>
      <x:c r="R1712" s="58" t="str">
        <x:v>X</x:v>
      </x:c>
      <x:c r="S1712" s="60" t="n">
        <x:v>100</x:v>
      </x:c>
      <x:c r="T1712" s="58" t="str">
        <x:v>VALID</x:v>
      </x:c>
      <x:c r="U1712" s="58" t="n">
        <x:v>2631</x:v>
      </x:c>
      <x:c r="V1712" s="58" t="str">
        <x:v>Pasted text(59).txt</x:v>
      </x:c>
    </x:row>
    <x:row r="1713">
      <x:c r="A1713" s="58" t="str">
        <x:v>S18</x:v>
      </x:c>
      <x:c r="B1713" s="58" t="str">
        <x:v>0.75 validated session at 268 Hz</x:v>
      </x:c>
      <x:c r="C1713" s="58" t="n">
        <x:v>0.75</x:v>
      </x:c>
      <x:c r="D1713" s="58" t="n">
        <x:v>3</x:v>
      </x:c>
      <x:c r="E1713" s="58" t="n">
        <x:v>1</x:v>
      </x:c>
      <x:c r="F1713" s="58" t="str">
        <x:v>SEARCH</x:v>
      </x:c>
      <x:c r="G1713" s="58" t="n">
        <x:v>4</x:v>
      </x:c>
      <x:c r="H1713" s="59" t="n">
        <x:v>5</x:v>
      </x:c>
      <x:c r="I1713" s="59" t="n">
        <x:v>0.45217</x:v>
      </x:c>
      <x:c r="J1713" s="59" t="n">
        <x:v>0.462</x:v>
      </x:c>
      <x:c r="K1713" s="59" t="n">
        <x:v>0.16351</x:v>
      </x:c>
      <x:c r="L1713" s="59" t="n">
        <x:v>0.13635</x:v>
      </x:c>
      <x:c r="M1713" s="59" t="n">
        <x:v>0.50988</x:v>
      </x:c>
      <x:c r="N1713" s="60" t="n">
        <x:v>-39.71</x:v>
      </x:c>
      <x:c r="O1713" s="60" t="n">
        <x:v>0.34</x:v>
      </x:c>
      <x:c r="P1713" s="60" t="n">
        <x:v>3.88</x:v>
      </x:c>
      <x:c r="Q1713" s="60" t="n">
        <x:v>70.9</x:v>
      </x:c>
      <x:c r="R1713" s="58" t="str">
        <x:v>X</x:v>
      </x:c>
      <x:c r="S1713" s="60" t="n">
        <x:v>100</x:v>
      </x:c>
      <x:c r="T1713" s="58" t="str">
        <x:v>VALID</x:v>
      </x:c>
      <x:c r="U1713" s="58" t="n">
        <x:v>2632</x:v>
      </x:c>
      <x:c r="V1713" s="58" t="str">
        <x:v>Pasted text(59).txt</x:v>
      </x:c>
    </x:row>
    <x:row r="1714">
      <x:c r="A1714" s="58" t="str">
        <x:v>S18</x:v>
      </x:c>
      <x:c r="B1714" s="58" t="str">
        <x:v>0.75 validated session at 268 Hz</x:v>
      </x:c>
      <x:c r="C1714" s="58" t="n">
        <x:v>0.75</x:v>
      </x:c>
      <x:c r="D1714" s="58" t="n">
        <x:v>3</x:v>
      </x:c>
      <x:c r="E1714" s="58" t="n">
        <x:v>1</x:v>
      </x:c>
      <x:c r="F1714" s="58" t="str">
        <x:v>SEARCH</x:v>
      </x:c>
      <x:c r="G1714" s="58" t="n">
        <x:v>5</x:v>
      </x:c>
      <x:c r="H1714" s="59" t="n">
        <x:v>5.5</x:v>
      </x:c>
      <x:c r="I1714" s="59" t="n">
        <x:v>0.4771</x:v>
      </x:c>
      <x:c r="J1714" s="59" t="n">
        <x:v>0.48013</x:v>
      </x:c>
      <x:c r="K1714" s="59" t="n">
        <x:v>0.19405</x:v>
      </x:c>
      <x:c r="L1714" s="59" t="n">
        <x:v>0.14691</x:v>
      </x:c>
      <x:c r="M1714" s="59" t="n">
        <x:v>0.53848</x:v>
      </x:c>
      <x:c r="N1714" s="60" t="n">
        <x:v>-36.39</x:v>
      </x:c>
      <x:c r="O1714" s="60" t="n">
        <x:v>3.8</x:v>
      </x:c>
      <x:c r="P1714" s="60" t="n">
        <x:v>3.53</x:v>
      </x:c>
      <x:c r="Q1714" s="60" t="n">
        <x:v>75.6</x:v>
      </x:c>
      <x:c r="R1714" s="58" t="str">
        <x:v>X</x:v>
      </x:c>
      <x:c r="S1714" s="60" t="n">
        <x:v>100</x:v>
      </x:c>
      <x:c r="T1714" s="58" t="str">
        <x:v>VALID</x:v>
      </x:c>
      <x:c r="U1714" s="58" t="n">
        <x:v>2633</x:v>
      </x:c>
      <x:c r="V1714" s="58" t="str">
        <x:v>Pasted text(59).txt</x:v>
      </x:c>
    </x:row>
    <x:row r="1715">
      <x:c r="A1715" s="58" t="str">
        <x:v>S18</x:v>
      </x:c>
      <x:c r="B1715" s="58" t="str">
        <x:v>0.75 validated session at 268 Hz</x:v>
      </x:c>
      <x:c r="C1715" s="58" t="n">
        <x:v>0.75</x:v>
      </x:c>
      <x:c r="D1715" s="58" t="n">
        <x:v>3</x:v>
      </x:c>
      <x:c r="E1715" s="58" t="n">
        <x:v>1</x:v>
      </x:c>
      <x:c r="F1715" s="58" t="str">
        <x:v>SEARCH</x:v>
      </x:c>
      <x:c r="G1715" s="58" t="n">
        <x:v>6</x:v>
      </x:c>
      <x:c r="H1715" s="59" t="n">
        <x:v>6</x:v>
      </x:c>
      <x:c r="I1715" s="59" t="n">
        <x:v>0.5657</x:v>
      </x:c>
      <x:c r="J1715" s="59" t="n">
        <x:v>0.56411</x:v>
      </x:c>
      <x:c r="K1715" s="59" t="n">
        <x:v>0.23056</x:v>
      </x:c>
      <x:c r="L1715" s="59" t="n">
        <x:v>0.20254</x:v>
      </x:c>
      <x:c r="M1715" s="59" t="n">
        <x:v>0.64263</x:v>
      </x:c>
      <x:c r="N1715" s="60" t="n">
        <x:v>-24.57</x:v>
      </x:c>
      <x:c r="O1715" s="60" t="n">
        <x:v>0.42</x:v>
      </x:c>
      <x:c r="P1715" s="60" t="n">
        <x:v>0.75</x:v>
      </x:c>
      <x:c r="Q1715" s="60" t="n">
        <x:v>75.5</x:v>
      </x:c>
      <x:c r="R1715" s="58" t="str">
        <x:v>X</x:v>
      </x:c>
      <x:c r="S1715" s="60" t="n">
        <x:v>100</x:v>
      </x:c>
      <x:c r="T1715" s="58" t="str">
        <x:v>VALID</x:v>
      </x:c>
      <x:c r="U1715" s="58" t="n">
        <x:v>2634</x:v>
      </x:c>
      <x:c r="V1715" s="58" t="str">
        <x:v>Pasted text(59).txt</x:v>
      </x:c>
    </x:row>
    <x:row r="1716">
      <x:c r="A1716" s="58" t="str">
        <x:v>S18</x:v>
      </x:c>
      <x:c r="B1716" s="58" t="str">
        <x:v>0.75 validated session at 268 Hz</x:v>
      </x:c>
      <x:c r="C1716" s="58" t="n">
        <x:v>0.75</x:v>
      </x:c>
      <x:c r="D1716" s="58" t="n">
        <x:v>3</x:v>
      </x:c>
      <x:c r="E1716" s="58" t="n">
        <x:v>1</x:v>
      </x:c>
      <x:c r="F1716" s="58" t="str">
        <x:v>SEARCH</x:v>
      </x:c>
      <x:c r="G1716" s="58" t="n">
        <x:v>7</x:v>
      </x:c>
      <x:c r="H1716" s="59" t="n">
        <x:v>6.5</x:v>
      </x:c>
      <x:c r="I1716" s="59" t="n">
        <x:v>0.62372</x:v>
      </x:c>
      <x:c r="J1716" s="59" t="n">
        <x:v>0.60674</x:v>
      </x:c>
      <x:c r="K1716" s="59" t="n">
        <x:v>0.22611</x:v>
      </x:c>
      <x:c r="L1716" s="59" t="n">
        <x:v>0.22113</x:v>
      </x:c>
      <x:c r="M1716" s="59" t="n">
        <x:v>0.68443</x:v>
      </x:c>
      <x:c r="N1716" s="60" t="n">
        <x:v>-16.84</x:v>
      </x:c>
      <x:c r="O1716" s="60" t="n">
        <x:v>1.33</x:v>
      </x:c>
      <x:c r="P1716" s="60" t="n">
        <x:v>5.66</x:v>
      </x:c>
      <x:c r="Q1716" s="60" t="n">
        <x:v>82.2</x:v>
      </x:c>
      <x:c r="R1716" s="58" t="str">
        <x:v>X</x:v>
      </x:c>
      <x:c r="S1716" s="60" t="n">
        <x:v>100</x:v>
      </x:c>
      <x:c r="T1716" s="58" t="str">
        <x:v>VALID</x:v>
      </x:c>
      <x:c r="U1716" s="58" t="n">
        <x:v>2635</x:v>
      </x:c>
      <x:c r="V1716" s="58" t="str">
        <x:v>Pasted text(59).txt</x:v>
      </x:c>
    </x:row>
    <x:row r="1717">
      <x:c r="A1717" s="58" t="str">
        <x:v>S18</x:v>
      </x:c>
      <x:c r="B1717" s="58" t="str">
        <x:v>0.75 validated session at 268 Hz</x:v>
      </x:c>
      <x:c r="C1717" s="58" t="n">
        <x:v>0.75</x:v>
      </x:c>
      <x:c r="D1717" s="58" t="n">
        <x:v>3</x:v>
      </x:c>
      <x:c r="E1717" s="58" t="n">
        <x:v>1</x:v>
      </x:c>
      <x:c r="F1717" s="58" t="str">
        <x:v>SEARCH</x:v>
      </x:c>
      <x:c r="G1717" s="58" t="n">
        <x:v>8</x:v>
      </x:c>
      <x:c r="H1717" s="59" t="n">
        <x:v>7</x:v>
      </x:c>
      <x:c r="I1717" s="59" t="n">
        <x:v>0.70485</x:v>
      </x:c>
      <x:c r="J1717" s="59" t="n">
        <x:v>0.7001</x:v>
      </x:c>
      <x:c r="K1717" s="59" t="n">
        <x:v>0.25883</x:v>
      </x:c>
      <x:c r="L1717" s="59" t="n">
        <x:v>0.23783</x:v>
      </x:c>
      <x:c r="M1717" s="59" t="n">
        <x:v>0.78376</x:v>
      </x:c>
      <x:c r="N1717" s="60" t="n">
        <x:v>-6.02</x:v>
      </x:c>
      <x:c r="O1717" s="60" t="n">
        <x:v>2.49</x:v>
      </x:c>
      <x:c r="P1717" s="60" t="n">
        <x:v>2.77</x:v>
      </x:c>
      <x:c r="Q1717" s="60" t="n">
        <x:v>83.9</x:v>
      </x:c>
      <x:c r="R1717" s="58" t="str">
        <x:v>X</x:v>
      </x:c>
      <x:c r="S1717" s="60" t="n">
        <x:v>100</x:v>
      </x:c>
      <x:c r="T1717" s="58" t="str">
        <x:v>IN TARGET BAND</x:v>
      </x:c>
      <x:c r="U1717" s="58" t="n">
        <x:v>2636</x:v>
      </x:c>
      <x:c r="V1717" s="58" t="str">
        <x:v>Pasted text(59).txt</x:v>
      </x:c>
    </x:row>
    <x:row r="1718">
      <x:c r="A1718" s="58" t="str">
        <x:v>S18</x:v>
      </x:c>
      <x:c r="B1718" s="58" t="str">
        <x:v>0.75 validated session at 268 Hz</x:v>
      </x:c>
      <x:c r="C1718" s="58" t="n">
        <x:v>0.75</x:v>
      </x:c>
      <x:c r="D1718" s="58" t="n">
        <x:v>3</x:v>
      </x:c>
      <x:c r="E1718" s="58" t="n">
        <x:v>1</x:v>
      </x:c>
      <x:c r="F1718" s="58" t="str">
        <x:v>FINE</x:v>
      </x:c>
      <x:c r="G1718" s="58" t="n">
        <x:v>1</x:v>
      </x:c>
      <x:c r="H1718" s="59" t="n">
        <x:v>6</x:v>
      </x:c>
      <x:c r="I1718" s="59" t="n">
        <x:v>0.55453</x:v>
      </x:c>
      <x:c r="J1718" s="59" t="n">
        <x:v>0.55551</x:v>
      </x:c>
      <x:c r="K1718" s="59" t="n">
        <x:v>0.24321</x:v>
      </x:c>
      <x:c r="L1718" s="59" t="n">
        <x:v>0.21428</x:v>
      </x:c>
      <x:c r="M1718" s="59" t="n">
        <x:v>0.64326</x:v>
      </x:c>
      <x:c r="N1718" s="60" t="n">
        <x:v>-26.06</x:v>
      </x:c>
      <x:c r="O1718" s="60" t="n">
        <x:v>1.41</x:v>
      </x:c>
      <x:c r="P1718" s="60" t="n">
        <x:v>1.22</x:v>
      </x:c>
      <x:c r="Q1718" s="60" t="n">
        <x:v>76.8</x:v>
      </x:c>
      <x:c r="R1718" s="58" t="str">
        <x:v>X</x:v>
      </x:c>
      <x:c r="S1718" s="60" t="n">
        <x:v>100</x:v>
      </x:c>
      <x:c r="T1718" s="58" t="str">
        <x:v>VALID</x:v>
      </x:c>
      <x:c r="U1718" s="58" t="n">
        <x:v>2640</x:v>
      </x:c>
      <x:c r="V1718" s="58" t="str">
        <x:v>Pasted text(59).txt</x:v>
      </x:c>
    </x:row>
    <x:row r="1719">
      <x:c r="A1719" s="58" t="str">
        <x:v>S18</x:v>
      </x:c>
      <x:c r="B1719" s="58" t="str">
        <x:v>0.75 validated session at 268 Hz</x:v>
      </x:c>
      <x:c r="C1719" s="58" t="n">
        <x:v>0.75</x:v>
      </x:c>
      <x:c r="D1719" s="58" t="n">
        <x:v>3</x:v>
      </x:c>
      <x:c r="E1719" s="58" t="n">
        <x:v>1</x:v>
      </x:c>
      <x:c r="F1719" s="58" t="str">
        <x:v>FINE</x:v>
      </x:c>
      <x:c r="G1719" s="58" t="n">
        <x:v>2</x:v>
      </x:c>
      <x:c r="H1719" s="59" t="n">
        <x:v>6.25</x:v>
      </x:c>
      <x:c r="I1719" s="59" t="n">
        <x:v>0.60639</x:v>
      </x:c>
      <x:c r="J1719" s="59" t="n">
        <x:v>0.59599</x:v>
      </x:c>
      <x:c r="K1719" s="59" t="n">
        <x:v>0.23953</x:v>
      </x:c>
      <x:c r="L1719" s="59" t="n">
        <x:v>0.21095</x:v>
      </x:c>
      <x:c r="M1719" s="59" t="n">
        <x:v>0.67645</x:v>
      </x:c>
      <x:c r="N1719" s="60" t="n">
        <x:v>-19.15</x:v>
      </x:c>
      <x:c r="O1719" s="60" t="n">
        <x:v>0.34</x:v>
      </x:c>
      <x:c r="P1719" s="60" t="n">
        <x:v>3.22</x:v>
      </x:c>
      <x:c r="Q1719" s="60" t="n">
        <x:v>80.4</x:v>
      </x:c>
      <x:c r="R1719" s="58" t="str">
        <x:v>X</x:v>
      </x:c>
      <x:c r="S1719" s="60" t="n">
        <x:v>100</x:v>
      </x:c>
      <x:c r="T1719" s="58" t="str">
        <x:v>VALID</x:v>
      </x:c>
      <x:c r="U1719" s="58" t="n">
        <x:v>2641</x:v>
      </x:c>
      <x:c r="V1719" s="58" t="str">
        <x:v>Pasted text(59).txt</x:v>
      </x:c>
    </x:row>
    <x:row r="1720">
      <x:c r="A1720" s="58" t="str">
        <x:v>S18</x:v>
      </x:c>
      <x:c r="B1720" s="58" t="str">
        <x:v>0.75 validated session at 268 Hz</x:v>
      </x:c>
      <x:c r="C1720" s="58" t="n">
        <x:v>0.75</x:v>
      </x:c>
      <x:c r="D1720" s="58" t="n">
        <x:v>3</x:v>
      </x:c>
      <x:c r="E1720" s="58" t="n">
        <x:v>1</x:v>
      </x:c>
      <x:c r="F1720" s="58" t="str">
        <x:v>FINE</x:v>
      </x:c>
      <x:c r="G1720" s="58" t="n">
        <x:v>3</x:v>
      </x:c>
      <x:c r="H1720" s="59" t="n">
        <x:v>6.5</x:v>
      </x:c>
      <x:c r="I1720" s="59" t="n">
        <x:v>0.59142</x:v>
      </x:c>
      <x:c r="J1720" s="59" t="n">
        <x:v>0.59494</x:v>
      </x:c>
      <x:c r="K1720" s="59" t="n">
        <x:v>0.22042</x:v>
      </x:c>
      <x:c r="L1720" s="59" t="n">
        <x:v>0.18707</x:v>
      </x:c>
      <x:c r="M1720" s="59" t="n">
        <x:v>0.6619</x:v>
      </x:c>
      <x:c r="N1720" s="60" t="n">
        <x:v>-21.14</x:v>
      </x:c>
      <x:c r="O1720" s="60" t="n">
        <x:v>3.34</x:v>
      </x:c>
      <x:c r="P1720" s="60" t="n">
        <x:v>3.17</x:v>
      </x:c>
      <x:c r="Q1720" s="60" t="n">
        <x:v>79.7</x:v>
      </x:c>
      <x:c r="R1720" s="58" t="str">
        <x:v>X</x:v>
      </x:c>
      <x:c r="S1720" s="60" t="n">
        <x:v>100</x:v>
      </x:c>
      <x:c r="T1720" s="58" t="str">
        <x:v>VALID</x:v>
      </x:c>
      <x:c r="U1720" s="58" t="n">
        <x:v>2642</x:v>
      </x:c>
      <x:c r="V1720" s="58" t="str">
        <x:v>Pasted text(59).txt</x:v>
      </x:c>
    </x:row>
    <x:row r="1721">
      <x:c r="A1721" s="58" t="str">
        <x:v>S18</x:v>
      </x:c>
      <x:c r="B1721" s="58" t="str">
        <x:v>0.75 validated session at 268 Hz</x:v>
      </x:c>
      <x:c r="C1721" s="58" t="n">
        <x:v>0.75</x:v>
      </x:c>
      <x:c r="D1721" s="58" t="n">
        <x:v>3</x:v>
      </x:c>
      <x:c r="E1721" s="58" t="n">
        <x:v>1</x:v>
      </x:c>
      <x:c r="F1721" s="58" t="str">
        <x:v>FINE</x:v>
      </x:c>
      <x:c r="G1721" s="58" t="n">
        <x:v>4</x:v>
      </x:c>
      <x:c r="H1721" s="59" t="n">
        <x:v>6.75</x:v>
      </x:c>
      <x:c r="I1721" s="59" t="n">
        <x:v>0.65703</x:v>
      </x:c>
      <x:c r="J1721" s="59" t="n">
        <x:v>0.65923</x:v>
      </x:c>
      <x:c r="K1721" s="59" t="n">
        <x:v>0.24558</x:v>
      </x:c>
      <x:c r="L1721" s="59" t="n">
        <x:v>0.2487</x:v>
      </x:c>
      <x:c r="M1721" s="59" t="n">
        <x:v>0.74618</x:v>
      </x:c>
      <x:c r="N1721" s="60" t="n">
        <x:v>-12.4</x:v>
      </x:c>
      <x:c r="O1721" s="60" t="n">
        <x:v>2.09</x:v>
      </x:c>
      <x:c r="P1721" s="60" t="n">
        <x:v>1.92</x:v>
      </x:c>
      <x:c r="Q1721" s="60" t="n">
        <x:v>79.2</x:v>
      </x:c>
      <x:c r="R1721" s="58" t="str">
        <x:v>X</x:v>
      </x:c>
      <x:c r="S1721" s="60" t="n">
        <x:v>100</x:v>
      </x:c>
      <x:c r="T1721" s="58" t="str">
        <x:v>VALID</x:v>
      </x:c>
      <x:c r="U1721" s="58" t="n">
        <x:v>2643</x:v>
      </x:c>
      <x:c r="V1721" s="58" t="str">
        <x:v>Pasted text(59).txt</x:v>
      </x:c>
    </x:row>
    <x:row r="1722">
      <x:c r="A1722" s="58" t="str">
        <x:v>S18</x:v>
      </x:c>
      <x:c r="B1722" s="58" t="str">
        <x:v>0.75 validated session at 268 Hz</x:v>
      </x:c>
      <x:c r="C1722" s="58" t="n">
        <x:v>0.75</x:v>
      </x:c>
      <x:c r="D1722" s="58" t="n">
        <x:v>3</x:v>
      </x:c>
      <x:c r="E1722" s="58" t="n">
        <x:v>1</x:v>
      </x:c>
      <x:c r="F1722" s="58" t="str">
        <x:v>FINE</x:v>
      </x:c>
      <x:c r="G1722" s="58" t="n">
        <x:v>5</x:v>
      </x:c>
      <x:c r="H1722" s="59" t="n">
        <x:v>7</x:v>
      </x:c>
      <x:c r="I1722" s="59" t="n">
        <x:v>0.68194</x:v>
      </x:c>
      <x:c r="J1722" s="59" t="n">
        <x:v>0.68312</x:v>
      </x:c>
      <x:c r="K1722" s="59" t="n">
        <x:v>0.25625</x:v>
      </x:c>
      <x:c r="L1722" s="59" t="n">
        <x:v>0.23585</x:v>
      </x:c>
      <x:c r="M1722" s="59" t="n">
        <x:v>0.76752</x:v>
      </x:c>
      <x:c r="N1722" s="60" t="n">
        <x:v>-9.08</x:v>
      </x:c>
      <x:c r="O1722" s="60" t="n">
        <x:v>3.29</x:v>
      </x:c>
      <x:c r="P1722" s="60" t="n">
        <x:v>2.48</x:v>
      </x:c>
      <x:c r="Q1722" s="60" t="n">
        <x:v>80.6</x:v>
      </x:c>
      <x:c r="R1722" s="58" t="str">
        <x:v>X</x:v>
      </x:c>
      <x:c r="S1722" s="60" t="n">
        <x:v>100</x:v>
      </x:c>
      <x:c r="T1722" s="58" t="str">
        <x:v>VALID</x:v>
      </x:c>
      <x:c r="U1722" s="58" t="n">
        <x:v>2644</x:v>
      </x:c>
      <x:c r="V1722" s="58" t="str">
        <x:v>Pasted text(59).txt</x:v>
      </x:c>
    </x:row>
    <x:row r="1723">
      <x:c r="A1723" s="58" t="str">
        <x:v>S18</x:v>
      </x:c>
      <x:c r="B1723" s="58" t="str">
        <x:v>0.75 validated session at 268 Hz</x:v>
      </x:c>
      <x:c r="C1723" s="58" t="n">
        <x:v>0.75</x:v>
      </x:c>
      <x:c r="D1723" s="58" t="n">
        <x:v>3</x:v>
      </x:c>
      <x:c r="E1723" s="58" t="n">
        <x:v>1</x:v>
      </x:c>
      <x:c r="F1723" s="58" t="str">
        <x:v>FINE</x:v>
      </x:c>
      <x:c r="G1723" s="58" t="n">
        <x:v>6</x:v>
      </x:c>
      <x:c r="H1723" s="59" t="n">
        <x:v>7.25</x:v>
      </x:c>
      <x:c r="I1723" s="59" t="n">
        <x:v>0.70001</x:v>
      </x:c>
      <x:c r="J1723" s="59" t="n">
        <x:v>0.70871</x:v>
      </x:c>
      <x:c r="K1723" s="59" t="n">
        <x:v>0.28278</x:v>
      </x:c>
      <x:c r="L1723" s="59" t="n">
        <x:v>0.24368</x:v>
      </x:c>
      <x:c r="M1723" s="59" t="n">
        <x:v>0.80116</x:v>
      </x:c>
      <x:c r="N1723" s="60" t="n">
        <x:v>-6.66</x:v>
      </x:c>
      <x:c r="O1723" s="60" t="n">
        <x:v>0.95</x:v>
      </x:c>
      <x:c r="P1723" s="60" t="n">
        <x:v>2.69</x:v>
      </x:c>
      <x:c r="Q1723" s="60" t="n">
        <x:v>84</x:v>
      </x:c>
      <x:c r="R1723" s="58" t="str">
        <x:v>X</x:v>
      </x:c>
      <x:c r="S1723" s="60" t="n">
        <x:v>100</x:v>
      </x:c>
      <x:c r="T1723" s="58" t="str">
        <x:v>IN TARGET BAND</x:v>
      </x:c>
      <x:c r="U1723" s="58" t="n">
        <x:v>2645</x:v>
      </x:c>
      <x:c r="V1723" s="58" t="str">
        <x:v>Pasted text(59).txt</x:v>
      </x:c>
    </x:row>
    <x:row r="1724">
      <x:c r="A1724" s="58" t="str">
        <x:v>S18</x:v>
      </x:c>
      <x:c r="B1724" s="58" t="str">
        <x:v>0.75 validated session at 268 Hz</x:v>
      </x:c>
      <x:c r="C1724" s="58" t="n">
        <x:v>0.75</x:v>
      </x:c>
      <x:c r="D1724" s="58" t="n">
        <x:v>3</x:v>
      </x:c>
      <x:c r="E1724" s="58" t="n">
        <x:v>1</x:v>
      </x:c>
      <x:c r="F1724" s="58" t="str">
        <x:v>FINE</x:v>
      </x:c>
      <x:c r="G1724" s="58" t="n">
        <x:v>7</x:v>
      </x:c>
      <x:c r="H1724" s="59" t="n">
        <x:v>7.5</x:v>
      </x:c>
      <x:c r="I1724" s="59" t="n">
        <x:v>0.73074</x:v>
      </x:c>
      <x:c r="J1724" s="59" t="n">
        <x:v>0.73068</x:v>
      </x:c>
      <x:c r="K1724" s="59" t="n">
        <x:v>0.25804</x:v>
      </x:c>
      <x:c r="L1724" s="59" t="n">
        <x:v>0.25494</x:v>
      </x:c>
      <x:c r="M1724" s="59" t="n">
        <x:v>0.81623</x:v>
      </x:c>
      <x:c r="N1724" s="60" t="n">
        <x:v>-2.57</x:v>
      </x:c>
      <x:c r="O1724" s="60" t="n">
        <x:v>6.67</x:v>
      </x:c>
      <x:c r="P1724" s="60" t="n">
        <x:v>4.51</x:v>
      </x:c>
      <x:c r="Q1724" s="60" t="n">
        <x:v>86.3</x:v>
      </x:c>
      <x:c r="R1724" s="58" t="str">
        <x:v>X</x:v>
      </x:c>
      <x:c r="S1724" s="60" t="n">
        <x:v>100</x:v>
      </x:c>
      <x:c r="T1724" s="58" t="str">
        <x:v>IN TARGET BAND</x:v>
      </x:c>
      <x:c r="U1724" s="58" t="n">
        <x:v>2646</x:v>
      </x:c>
      <x:c r="V1724" s="58" t="str">
        <x:v>Pasted text(59).txt</x:v>
      </x:c>
    </x:row>
    <x:row r="1725">
      <x:c r="A1725" s="58" t="str">
        <x:v>S18</x:v>
      </x:c>
      <x:c r="B1725" s="58" t="str">
        <x:v>0.75 validated session at 268 Hz</x:v>
      </x:c>
      <x:c r="C1725" s="58" t="n">
        <x:v>0.75</x:v>
      </x:c>
      <x:c r="D1725" s="58" t="n">
        <x:v>3</x:v>
      </x:c>
      <x:c r="E1725" s="58" t="n">
        <x:v>1</x:v>
      </x:c>
      <x:c r="F1725" s="58" t="str">
        <x:v>FINE</x:v>
      </x:c>
      <x:c r="G1725" s="58" t="n">
        <x:v>8</x:v>
      </x:c>
      <x:c r="H1725" s="59" t="n">
        <x:v>7.75</x:v>
      </x:c>
      <x:c r="I1725" s="59" t="n">
        <x:v>0.77509</x:v>
      </x:c>
      <x:c r="J1725" s="59" t="n">
        <x:v>0.78063</x:v>
      </x:c>
      <x:c r="K1725" s="59" t="n">
        <x:v>0.31622</x:v>
      </x:c>
      <x:c r="L1725" s="59" t="n">
        <x:v>0.23485</x:v>
      </x:c>
      <x:c r="M1725" s="59" t="n">
        <x:v>0.87538</x:v>
      </x:c>
      <x:c r="N1725" s="60" t="n">
        <x:v>3.35</x:v>
      </x:c>
      <x:c r="O1725" s="60" t="n">
        <x:v>3.9</x:v>
      </x:c>
      <x:c r="P1725" s="60" t="n">
        <x:v>3.73</x:v>
      </x:c>
      <x:c r="Q1725" s="60" t="n">
        <x:v>82.5</x:v>
      </x:c>
      <x:c r="R1725" s="58" t="str">
        <x:v>X</x:v>
      </x:c>
      <x:c r="S1725" s="60" t="n">
        <x:v>100</x:v>
      </x:c>
      <x:c r="T1725" s="58" t="str">
        <x:v>IN TARGET BAND</x:v>
      </x:c>
      <x:c r="U1725" s="58" t="n">
        <x:v>2647</x:v>
      </x:c>
      <x:c r="V1725" s="58" t="str">
        <x:v>Pasted text(59).txt</x:v>
      </x:c>
    </x:row>
    <x:row r="1726">
      <x:c r="A1726" s="58" t="str">
        <x:v>S18</x:v>
      </x:c>
      <x:c r="B1726" s="58" t="str">
        <x:v>0.75 validated session at 268 Hz</x:v>
      </x:c>
      <x:c r="C1726" s="58" t="n">
        <x:v>0.75</x:v>
      </x:c>
      <x:c r="D1726" s="58" t="n">
        <x:v>3</x:v>
      </x:c>
      <x:c r="E1726" s="58" t="n">
        <x:v>1</x:v>
      </x:c>
      <x:c r="F1726" s="58" t="str">
        <x:v>FINE</x:v>
      </x:c>
      <x:c r="G1726" s="58" t="n">
        <x:v>9</x:v>
      </x:c>
      <x:c r="H1726" s="59" t="n">
        <x:v>8</x:v>
      </x:c>
      <x:c r="I1726" s="59" t="n">
        <x:v>0.7912</x:v>
      </x:c>
      <x:c r="J1726" s="59" t="n">
        <x:v>0.77796</x:v>
      </x:c>
      <x:c r="K1726" s="59" t="n">
        <x:v>0.31326</x:v>
      </x:c>
      <x:c r="L1726" s="59" t="n">
        <x:v>0.28948</x:v>
      </x:c>
      <x:c r="M1726" s="59" t="n">
        <x:v>0.88727</x:v>
      </x:c>
      <x:c r="N1726" s="60" t="n">
        <x:v>5.49</x:v>
      </x:c>
      <x:c r="O1726" s="60" t="n">
        <x:v>0.77</x:v>
      </x:c>
      <x:c r="P1726" s="60" t="n">
        <x:v>3.41</x:v>
      </x:c>
      <x:c r="Q1726" s="60" t="n">
        <x:v>82.8</x:v>
      </x:c>
      <x:c r="R1726" s="58" t="str">
        <x:v>X</x:v>
      </x:c>
      <x:c r="S1726" s="60" t="n">
        <x:v>100</x:v>
      </x:c>
      <x:c r="T1726" s="58" t="str">
        <x:v>IN TARGET BAND</x:v>
      </x:c>
      <x:c r="U1726" s="58" t="n">
        <x:v>2648</x:v>
      </x:c>
      <x:c r="V1726" s="58" t="str">
        <x:v>Pasted text(59).txt</x:v>
      </x:c>
    </x:row>
    <x:row r="1727">
      <x:c r="A1727" s="58" t="str">
        <x:v>S18</x:v>
      </x:c>
      <x:c r="B1727" s="58" t="str">
        <x:v>0.75 validated session at 268 Hz</x:v>
      </x:c>
      <x:c r="C1727" s="58" t="n">
        <x:v>0.75</x:v>
      </x:c>
      <x:c r="D1727" s="58" t="n">
        <x:v>3</x:v>
      </x:c>
      <x:c r="E1727" s="58" t="n">
        <x:v>1</x:v>
      </x:c>
      <x:c r="F1727" s="58" t="str">
        <x:v>FINAL</x:v>
      </x:c>
      <x:c r="G1727" s="58" t="n">
        <x:v>1</x:v>
      </x:c>
      <x:c r="H1727" s="59" t="n">
        <x:v>8</x:v>
      </x:c>
      <x:c r="I1727" s="59" t="n">
        <x:v>0.80923</x:v>
      </x:c>
      <x:c r="J1727" s="59" t="n">
        <x:v>0.81362</x:v>
      </x:c>
      <x:c r="K1727" s="59" t="n">
        <x:v>0.32225</x:v>
      </x:c>
      <x:c r="L1727" s="59" t="n">
        <x:v>0.27326</x:v>
      </x:c>
      <x:c r="M1727" s="59" t="n">
        <x:v>0.91785</x:v>
      </x:c>
      <x:c r="N1727" s="60" t="n">
        <x:v>7.9</x:v>
      </x:c>
      <x:c r="O1727" s="60" t="n">
        <x:v>2.39</x:v>
      </x:c>
      <x:c r="P1727" s="60" t="n">
        <x:v>1.77</x:v>
      </x:c>
      <x:c r="Q1727" s="60" t="n">
        <x:v>86</x:v>
      </x:c>
      <x:c r="R1727" s="58" t="str">
        <x:v>X</x:v>
      </x:c>
      <x:c r="S1727" s="60" t="n">
        <x:v>100</x:v>
      </x:c>
      <x:c r="T1727" s="58" t="str">
        <x:v>VALID</x:v>
      </x:c>
      <x:c r="U1727" s="58" t="n">
        <x:v>2651</x:v>
      </x:c>
      <x:c r="V1727" s="58" t="str">
        <x:v>Pasted text(59).txt</x:v>
      </x:c>
    </x:row>
    <x:row r="1728">
      <x:c r="A1728" s="58" t="str">
        <x:v>S18</x:v>
      </x:c>
      <x:c r="B1728" s="58" t="str">
        <x:v>0.75 validated session at 268 Hz</x:v>
      </x:c>
      <x:c r="C1728" s="58" t="n">
        <x:v>0.75</x:v>
      </x:c>
      <x:c r="D1728" s="58" t="n">
        <x:v>3</x:v>
      </x:c>
      <x:c r="E1728" s="58" t="n">
        <x:v>1</x:v>
      </x:c>
      <x:c r="F1728" s="58" t="str">
        <x:v>FINAL</x:v>
      </x:c>
      <x:c r="G1728" s="58" t="n">
        <x:v>2</x:v>
      </x:c>
      <x:c r="H1728" s="59" t="n">
        <x:v>8</x:v>
      </x:c>
      <x:c r="I1728" s="59" t="n">
        <x:v>0.7997</x:v>
      </x:c>
      <x:c r="J1728" s="59" t="n">
        <x:v>0.7899</x:v>
      </x:c>
      <x:c r="K1728" s="59" t="n">
        <x:v>0.33024</x:v>
      </x:c>
      <x:c r="L1728" s="59" t="n">
        <x:v>0.28098</x:v>
      </x:c>
      <x:c r="M1728" s="59" t="n">
        <x:v>0.90149</x:v>
      </x:c>
      <x:c r="N1728" s="60" t="n">
        <x:v>6.63</x:v>
      </x:c>
      <x:c r="O1728" s="60" t="n">
        <x:v>2.4</x:v>
      </x:c>
      <x:c r="P1728" s="60" t="n">
        <x:v>2.58</x:v>
      </x:c>
      <x:c r="Q1728" s="60" t="n">
        <x:v>84.3</x:v>
      </x:c>
      <x:c r="R1728" s="58" t="str">
        <x:v>X</x:v>
      </x:c>
      <x:c r="S1728" s="60" t="n">
        <x:v>100</x:v>
      </x:c>
      <x:c r="T1728" s="58" t="str">
        <x:v>IN TARGET BAND</x:v>
      </x:c>
      <x:c r="U1728" s="58" t="n">
        <x:v>2652</x:v>
      </x:c>
      <x:c r="V1728" s="58" t="str">
        <x:v>Pasted text(59).txt</x:v>
      </x:c>
    </x:row>
    <x:row r="1729">
      <x:c r="A1729" s="58" t="str">
        <x:v>S18</x:v>
      </x:c>
      <x:c r="B1729" s="58" t="str">
        <x:v>0.75 validated session at 268 Hz</x:v>
      </x:c>
      <x:c r="C1729" s="58" t="n">
        <x:v>0.75</x:v>
      </x:c>
      <x:c r="D1729" s="58" t="n">
        <x:v>3</x:v>
      </x:c>
      <x:c r="E1729" s="58" t="n">
        <x:v>1</x:v>
      </x:c>
      <x:c r="F1729" s="58" t="str">
        <x:v>FINAL</x:v>
      </x:c>
      <x:c r="G1729" s="58" t="n">
        <x:v>3</x:v>
      </x:c>
      <x:c r="H1729" s="59" t="n">
        <x:v>8</x:v>
      </x:c>
      <x:c r="I1729" s="59" t="n">
        <x:v>0.80916</x:v>
      </x:c>
      <x:c r="J1729" s="59" t="n">
        <x:v>0.80554</x:v>
      </x:c>
      <x:c r="K1729" s="59" t="n">
        <x:v>0.30754</x:v>
      </x:c>
      <x:c r="L1729" s="59" t="n">
        <x:v>0.26173</x:v>
      </x:c>
      <x:c r="M1729" s="59" t="n">
        <x:v>0.90134</x:v>
      </x:c>
      <x:c r="N1729" s="60" t="n">
        <x:v>7.89</x:v>
      </x:c>
      <x:c r="O1729" s="60" t="n">
        <x:v>1.29</x:v>
      </x:c>
      <x:c r="P1729" s="60" t="n">
        <x:v>1.21</x:v>
      </x:c>
      <x:c r="Q1729" s="60" t="n">
        <x:v>84.8</x:v>
      </x:c>
      <x:c r="R1729" s="58" t="str">
        <x:v>X</x:v>
      </x:c>
      <x:c r="S1729" s="60" t="n">
        <x:v>100</x:v>
      </x:c>
      <x:c r="T1729" s="58" t="str">
        <x:v>VALID</x:v>
      </x:c>
      <x:c r="U1729" s="58" t="n">
        <x:v>2653</x:v>
      </x:c>
      <x:c r="V1729" s="58" t="str">
        <x:v>Pasted text(59).txt</x:v>
      </x:c>
    </x:row>
    <x:row r="1730">
      <x:c r="A1730" s="58" t="str">
        <x:v>S18</x:v>
      </x:c>
      <x:c r="B1730" s="58" t="str">
        <x:v>0.75 validated session at 268 Hz</x:v>
      </x:c>
      <x:c r="C1730" s="58" t="n">
        <x:v>0.75</x:v>
      </x:c>
      <x:c r="D1730" s="58" t="n">
        <x:v>3</x:v>
      </x:c>
      <x:c r="E1730" s="58" t="n">
        <x:v>2</x:v>
      </x:c>
      <x:c r="F1730" s="58" t="str">
        <x:v>SEARCH</x:v>
      </x:c>
      <x:c r="G1730" s="58" t="n">
        <x:v>1</x:v>
      </x:c>
      <x:c r="H1730" s="59" t="n">
        <x:v>1</x:v>
      </x:c>
      <x:c r="I1730" s="59" t="n">
        <x:v>0.03489</x:v>
      </x:c>
      <x:c r="J1730" s="59" t="n">
        <x:v>0.03293</x:v>
      </x:c>
      <x:c r="K1730" s="59" t="n">
        <x:v>0.02971</x:v>
      </x:c>
      <x:c r="L1730" s="59" t="n">
        <x:v>0.04096</x:v>
      </x:c>
      <x:c r="M1730" s="59" t="n">
        <x:v>0.06253</x:v>
      </x:c>
      <x:c r="N1730" s="60" t="n">
        <x:v>-95.35</x:v>
      </x:c>
      <x:c r="O1730" s="60" t="n">
        <x:v>32.97</x:v>
      </x:c>
      <x:c r="P1730" s="60" t="n">
        <x:v>32.87</x:v>
      </x:c>
      <x:c r="Q1730" s="60" t="n">
        <x:v>11.4</x:v>
      </x:c>
      <x:c r="R1730" s="58" t="str">
        <x:v>Z</x:v>
      </x:c>
      <x:c r="S1730" s="60" t="n">
        <x:v>80.4</x:v>
      </x:c>
      <x:c r="T1730" s="58" t="str">
        <x:v>BELOW MEASUREMENT FLOOR — SEARCH CONTINUES</x:v>
      </x:c>
      <x:c r="U1730" s="58" t="n">
        <x:v>2660</x:v>
      </x:c>
      <x:c r="V1730" s="58" t="str">
        <x:v>Pasted text(59).txt</x:v>
      </x:c>
    </x:row>
    <x:row r="1731">
      <x:c r="A1731" s="58" t="str">
        <x:v>S18</x:v>
      </x:c>
      <x:c r="B1731" s="58" t="str">
        <x:v>0.75 validated session at 268 Hz</x:v>
      </x:c>
      <x:c r="C1731" s="58" t="n">
        <x:v>0.75</x:v>
      </x:c>
      <x:c r="D1731" s="58" t="n">
        <x:v>3</x:v>
      </x:c>
      <x:c r="E1731" s="58" t="n">
        <x:v>2</x:v>
      </x:c>
      <x:c r="F1731" s="58" t="str">
        <x:v>SEARCH</x:v>
      </x:c>
      <x:c r="G1731" s="58" t="n">
        <x:v>2</x:v>
      </x:c>
      <x:c r="H1731" s="59" t="n">
        <x:v>3</x:v>
      </x:c>
      <x:c r="I1731" s="59" t="n">
        <x:v>0.21551</x:v>
      </x:c>
      <x:c r="J1731" s="59" t="n">
        <x:v>0.22034</x:v>
      </x:c>
      <x:c r="K1731" s="59" t="n">
        <x:v>0.10141</x:v>
      </x:c>
      <x:c r="L1731" s="59" t="n">
        <x:v>0.08823</x:v>
      </x:c>
      <x:c r="M1731" s="59" t="n">
        <x:v>0.25912</x:v>
      </x:c>
      <x:c r="N1731" s="60" t="n">
        <x:v>-71.27</x:v>
      </x:c>
      <x:c r="O1731" s="60" t="n">
        <x:v>0.48</x:v>
      </x:c>
      <x:c r="P1731" s="60" t="n">
        <x:v>4.08</x:v>
      </x:c>
      <x:c r="Q1731" s="60" t="n">
        <x:v>47.5</x:v>
      </x:c>
      <x:c r="R1731" s="58" t="str">
        <x:v>X</x:v>
      </x:c>
      <x:c r="S1731" s="60" t="n">
        <x:v>100</x:v>
      </x:c>
      <x:c r="T1731" s="58" t="str">
        <x:v>UNSTABLE — SEARCH CONTINUES</x:v>
      </x:c>
      <x:c r="U1731" s="58" t="n">
        <x:v>2661</x:v>
      </x:c>
      <x:c r="V1731" s="58" t="str">
        <x:v>Pasted text(59).txt</x:v>
      </x:c>
    </x:row>
    <x:row r="1732">
      <x:c r="A1732" s="58" t="str">
        <x:v>S18</x:v>
      </x:c>
      <x:c r="B1732" s="58" t="str">
        <x:v>0.75 validated session at 268 Hz</x:v>
      </x:c>
      <x:c r="C1732" s="58" t="n">
        <x:v>0.75</x:v>
      </x:c>
      <x:c r="D1732" s="58" t="n">
        <x:v>3</x:v>
      </x:c>
      <x:c r="E1732" s="58" t="n">
        <x:v>2</x:v>
      </x:c>
      <x:c r="F1732" s="58" t="str">
        <x:v>SEARCH</x:v>
      </x:c>
      <x:c r="G1732" s="58" t="n">
        <x:v>3</x:v>
      </x:c>
      <x:c r="H1732" s="59" t="n">
        <x:v>4</x:v>
      </x:c>
      <x:c r="I1732" s="59" t="n">
        <x:v>0.35044</x:v>
      </x:c>
      <x:c r="J1732" s="59" t="n">
        <x:v>0.354</x:v>
      </x:c>
      <x:c r="K1732" s="59" t="n">
        <x:v>0.13542</x:v>
      </x:c>
      <x:c r="L1732" s="59" t="n">
        <x:v>0.12169</x:v>
      </x:c>
      <x:c r="M1732" s="59" t="n">
        <x:v>0.39835</x:v>
      </x:c>
      <x:c r="N1732" s="60" t="n">
        <x:v>-53.28</x:v>
      </x:c>
      <x:c r="O1732" s="60" t="n">
        <x:v>1.74</x:v>
      </x:c>
      <x:c r="P1732" s="60" t="n">
        <x:v>2.81</x:v>
      </x:c>
      <x:c r="Q1732" s="60" t="n">
        <x:v>64.7</x:v>
      </x:c>
      <x:c r="R1732" s="58" t="str">
        <x:v>X</x:v>
      </x:c>
      <x:c r="S1732" s="60" t="n">
        <x:v>100</x:v>
      </x:c>
      <x:c r="T1732" s="58" t="str">
        <x:v>VALID</x:v>
      </x:c>
      <x:c r="U1732" s="58" t="n">
        <x:v>2662</x:v>
      </x:c>
      <x:c r="V1732" s="58" t="str">
        <x:v>Pasted text(59).txt</x:v>
      </x:c>
    </x:row>
    <x:row r="1733">
      <x:c r="A1733" s="58" t="str">
        <x:v>S18</x:v>
      </x:c>
      <x:c r="B1733" s="58" t="str">
        <x:v>0.75 validated session at 268 Hz</x:v>
      </x:c>
      <x:c r="C1733" s="58" t="n">
        <x:v>0.75</x:v>
      </x:c>
      <x:c r="D1733" s="58" t="n">
        <x:v>3</x:v>
      </x:c>
      <x:c r="E1733" s="58" t="n">
        <x:v>2</x:v>
      </x:c>
      <x:c r="F1733" s="58" t="str">
        <x:v>SEARCH</x:v>
      </x:c>
      <x:c r="G1733" s="58" t="n">
        <x:v>4</x:v>
      </x:c>
      <x:c r="H1733" s="59" t="n">
        <x:v>5</x:v>
      </x:c>
      <x:c r="I1733" s="59" t="n">
        <x:v>0.46413</x:v>
      </x:c>
      <x:c r="J1733" s="59" t="n">
        <x:v>0.45652</x:v>
      </x:c>
      <x:c r="K1733" s="59" t="n">
        <x:v>0.17414</x:v>
      </x:c>
      <x:c r="L1733" s="59" t="n">
        <x:v>0.15879</x:v>
      </x:c>
      <x:c r="M1733" s="59" t="n">
        <x:v>0.51473</x:v>
      </x:c>
      <x:c r="N1733" s="60" t="n">
        <x:v>-38.12</x:v>
      </x:c>
      <x:c r="O1733" s="60" t="n">
        <x:v>4.07</x:v>
      </x:c>
      <x:c r="P1733" s="60" t="n">
        <x:v>5.49</x:v>
      </x:c>
      <x:c r="Q1733" s="60" t="n">
        <x:v>69.3</x:v>
      </x:c>
      <x:c r="R1733" s="58" t="str">
        <x:v>X</x:v>
      </x:c>
      <x:c r="S1733" s="60" t="n">
        <x:v>100</x:v>
      </x:c>
      <x:c r="T1733" s="58" t="str">
        <x:v>VALID</x:v>
      </x:c>
      <x:c r="U1733" s="58" t="n">
        <x:v>2663</x:v>
      </x:c>
      <x:c r="V1733" s="58" t="str">
        <x:v>Pasted text(59).txt</x:v>
      </x:c>
    </x:row>
    <x:row r="1734">
      <x:c r="A1734" s="58" t="str">
        <x:v>S18</x:v>
      </x:c>
      <x:c r="B1734" s="58" t="str">
        <x:v>0.75 validated session at 268 Hz</x:v>
      </x:c>
      <x:c r="C1734" s="58" t="n">
        <x:v>0.75</x:v>
      </x:c>
      <x:c r="D1734" s="58" t="n">
        <x:v>3</x:v>
      </x:c>
      <x:c r="E1734" s="58" t="n">
        <x:v>2</x:v>
      </x:c>
      <x:c r="F1734" s="58" t="str">
        <x:v>SEARCH</x:v>
      </x:c>
      <x:c r="G1734" s="58" t="n">
        <x:v>5</x:v>
      </x:c>
      <x:c r="H1734" s="59" t="n">
        <x:v>5.5</x:v>
      </x:c>
      <x:c r="I1734" s="59" t="n">
        <x:v>0.4881</x:v>
      </x:c>
      <x:c r="J1734" s="59" t="n">
        <x:v>0.48787</x:v>
      </x:c>
      <x:c r="K1734" s="59" t="n">
        <x:v>0.18161</x:v>
      </x:c>
      <x:c r="L1734" s="59" t="n">
        <x:v>0.1543</x:v>
      </x:c>
      <x:c r="M1734" s="59" t="n">
        <x:v>0.5434</x:v>
      </x:c>
      <x:c r="N1734" s="60" t="n">
        <x:v>-34.92</x:v>
      </x:c>
      <x:c r="O1734" s="60" t="n">
        <x:v>6.88</x:v>
      </x:c>
      <x:c r="P1734" s="60" t="n">
        <x:v>4.72</x:v>
      </x:c>
      <x:c r="Q1734" s="60" t="n">
        <x:v>77.5</x:v>
      </x:c>
      <x:c r="R1734" s="58" t="str">
        <x:v>X</x:v>
      </x:c>
      <x:c r="S1734" s="60" t="n">
        <x:v>100</x:v>
      </x:c>
      <x:c r="T1734" s="58" t="str">
        <x:v>VALID</x:v>
      </x:c>
      <x:c r="U1734" s="58" t="n">
        <x:v>2664</x:v>
      </x:c>
      <x:c r="V1734" s="58" t="str">
        <x:v>Pasted text(59).txt</x:v>
      </x:c>
    </x:row>
    <x:row r="1735">
      <x:c r="A1735" s="58" t="str">
        <x:v>S18</x:v>
      </x:c>
      <x:c r="B1735" s="58" t="str">
        <x:v>0.75 validated session at 268 Hz</x:v>
      </x:c>
      <x:c r="C1735" s="58" t="n">
        <x:v>0.75</x:v>
      </x:c>
      <x:c r="D1735" s="58" t="n">
        <x:v>3</x:v>
      </x:c>
      <x:c r="E1735" s="58" t="n">
        <x:v>2</x:v>
      </x:c>
      <x:c r="F1735" s="58" t="str">
        <x:v>SEARCH</x:v>
      </x:c>
      <x:c r="G1735" s="58" t="n">
        <x:v>6</x:v>
      </x:c>
      <x:c r="H1735" s="59" t="n">
        <x:v>6</x:v>
      </x:c>
      <x:c r="I1735" s="59" t="n">
        <x:v>0.55543</x:v>
      </x:c>
      <x:c r="J1735" s="59" t="n">
        <x:v>0.56577</x:v>
      </x:c>
      <x:c r="K1735" s="59" t="n">
        <x:v>0.21303</x:v>
      </x:c>
      <x:c r="L1735" s="59" t="n">
        <x:v>0.21272</x:v>
      </x:c>
      <x:c r="M1735" s="59" t="n">
        <x:v>0.64153</x:v>
      </x:c>
      <x:c r="N1735" s="60" t="n">
        <x:v>-25.94</x:v>
      </x:c>
      <x:c r="O1735" s="60" t="n">
        <x:v>2.55</x:v>
      </x:c>
      <x:c r="P1735" s="60" t="n">
        <x:v>4.7</x:v>
      </x:c>
      <x:c r="Q1735" s="60" t="n">
        <x:v>78.7</x:v>
      </x:c>
      <x:c r="R1735" s="58" t="str">
        <x:v>X</x:v>
      </x:c>
      <x:c r="S1735" s="60" t="n">
        <x:v>100</x:v>
      </x:c>
      <x:c r="T1735" s="58" t="str">
        <x:v>VALID</x:v>
      </x:c>
      <x:c r="U1735" s="58" t="n">
        <x:v>2665</x:v>
      </x:c>
      <x:c r="V1735" s="58" t="str">
        <x:v>Pasted text(59).txt</x:v>
      </x:c>
    </x:row>
    <x:row r="1736">
      <x:c r="A1736" s="58" t="str">
        <x:v>S18</x:v>
      </x:c>
      <x:c r="B1736" s="58" t="str">
        <x:v>0.75 validated session at 268 Hz</x:v>
      </x:c>
      <x:c r="C1736" s="58" t="n">
        <x:v>0.75</x:v>
      </x:c>
      <x:c r="D1736" s="58" t="n">
        <x:v>3</x:v>
      </x:c>
      <x:c r="E1736" s="58" t="n">
        <x:v>2</x:v>
      </x:c>
      <x:c r="F1736" s="58" t="str">
        <x:v>SEARCH</x:v>
      </x:c>
      <x:c r="G1736" s="58" t="n">
        <x:v>7</x:v>
      </x:c>
      <x:c r="H1736" s="59" t="n">
        <x:v>6.5</x:v>
      </x:c>
      <x:c r="I1736" s="59" t="n">
        <x:v>0.60218</x:v>
      </x:c>
      <x:c r="J1736" s="59" t="n">
        <x:v>0.60174</x:v>
      </x:c>
      <x:c r="K1736" s="59" t="n">
        <x:v>0.24368</x:v>
      </x:c>
      <x:c r="L1736" s="59" t="n">
        <x:v>0.22043</x:v>
      </x:c>
      <x:c r="M1736" s="59" t="n">
        <x:v>0.68566</x:v>
      </x:c>
      <x:c r="N1736" s="60" t="n">
        <x:v>-19.71</x:v>
      </x:c>
      <x:c r="O1736" s="60" t="n">
        <x:v>0.39</x:v>
      </x:c>
      <x:c r="P1736" s="60" t="n">
        <x:v>0.38</x:v>
      </x:c>
      <x:c r="Q1736" s="60" t="n">
        <x:v>80.2</x:v>
      </x:c>
      <x:c r="R1736" s="58" t="str">
        <x:v>X</x:v>
      </x:c>
      <x:c r="S1736" s="60" t="n">
        <x:v>100</x:v>
      </x:c>
      <x:c r="T1736" s="58" t="str">
        <x:v>VALID</x:v>
      </x:c>
      <x:c r="U1736" s="58" t="n">
        <x:v>2666</x:v>
      </x:c>
      <x:c r="V1736" s="58" t="str">
        <x:v>Pasted text(59).txt</x:v>
      </x:c>
    </x:row>
    <x:row r="1737">
      <x:c r="A1737" s="58" t="str">
        <x:v>S18</x:v>
      </x:c>
      <x:c r="B1737" s="58" t="str">
        <x:v>0.75 validated session at 268 Hz</x:v>
      </x:c>
      <x:c r="C1737" s="58" t="n">
        <x:v>0.75</x:v>
      </x:c>
      <x:c r="D1737" s="58" t="n">
        <x:v>3</x:v>
      </x:c>
      <x:c r="E1737" s="58" t="n">
        <x:v>2</x:v>
      </x:c>
      <x:c r="F1737" s="58" t="str">
        <x:v>SEARCH</x:v>
      </x:c>
      <x:c r="G1737" s="58" t="n">
        <x:v>8</x:v>
      </x:c>
      <x:c r="H1737" s="59" t="n">
        <x:v>7</x:v>
      </x:c>
      <x:c r="I1737" s="59" t="n">
        <x:v>0.68683</x:v>
      </x:c>
      <x:c r="J1737" s="59" t="n">
        <x:v>0.68406</x:v>
      </x:c>
      <x:c r="K1737" s="59" t="n">
        <x:v>0.26847</x:v>
      </x:c>
      <x:c r="L1737" s="59" t="n">
        <x:v>0.2377</x:v>
      </x:c>
      <x:c r="M1737" s="59" t="n">
        <x:v>0.77274</x:v>
      </x:c>
      <x:c r="N1737" s="60" t="n">
        <x:v>-8.42</x:v>
      </x:c>
      <x:c r="O1737" s="60" t="n">
        <x:v>6.99</x:v>
      </x:c>
      <x:c r="P1737" s="60" t="n">
        <x:v>5.35</x:v>
      </x:c>
      <x:c r="Q1737" s="60" t="n">
        <x:v>81.4</x:v>
      </x:c>
      <x:c r="R1737" s="58" t="str">
        <x:v>X</x:v>
      </x:c>
      <x:c r="S1737" s="60" t="n">
        <x:v>100</x:v>
      </x:c>
      <x:c r="T1737" s="58" t="str">
        <x:v>VALID</x:v>
      </x:c>
      <x:c r="U1737" s="58" t="n">
        <x:v>2667</x:v>
      </x:c>
      <x:c r="V1737" s="58" t="str">
        <x:v>Pasted text(59).txt</x:v>
      </x:c>
    </x:row>
    <x:row r="1738">
      <x:c r="A1738" s="58" t="str">
        <x:v>S18</x:v>
      </x:c>
      <x:c r="B1738" s="58" t="str">
        <x:v>0.75 validated session at 268 Hz</x:v>
      </x:c>
      <x:c r="C1738" s="58" t="n">
        <x:v>0.75</x:v>
      </x:c>
      <x:c r="D1738" s="58" t="n">
        <x:v>3</x:v>
      </x:c>
      <x:c r="E1738" s="58" t="n">
        <x:v>2</x:v>
      </x:c>
      <x:c r="F1738" s="58" t="str">
        <x:v>SEARCH</x:v>
      </x:c>
      <x:c r="G1738" s="58" t="n">
        <x:v>9</x:v>
      </x:c>
      <x:c r="H1738" s="59" t="n">
        <x:v>7.25</x:v>
      </x:c>
      <x:c r="I1738" s="59" t="n">
        <x:v>0.69914</x:v>
      </x:c>
      <x:c r="J1738" s="59" t="n">
        <x:v>0.69791</x:v>
      </x:c>
      <x:c r="K1738" s="59" t="n">
        <x:v>0.29051</x:v>
      </x:c>
      <x:c r="L1738" s="59" t="n">
        <x:v>0.24223</x:v>
      </x:c>
      <x:c r="M1738" s="59" t="n">
        <x:v>0.79464</x:v>
      </x:c>
      <x:c r="N1738" s="60" t="n">
        <x:v>-6.78</x:v>
      </x:c>
      <x:c r="O1738" s="60" t="n">
        <x:v>0.41</x:v>
      </x:c>
      <x:c r="P1738" s="60" t="n">
        <x:v>0.56</x:v>
      </x:c>
      <x:c r="Q1738" s="60" t="n">
        <x:v>83.3</x:v>
      </x:c>
      <x:c r="R1738" s="58" t="str">
        <x:v>X</x:v>
      </x:c>
      <x:c r="S1738" s="60" t="n">
        <x:v>100</x:v>
      </x:c>
      <x:c r="T1738" s="58" t="str">
        <x:v>IN TARGET BAND</x:v>
      </x:c>
      <x:c r="U1738" s="58" t="n">
        <x:v>2668</x:v>
      </x:c>
      <x:c r="V1738" s="58" t="str">
        <x:v>Pasted text(59).txt</x:v>
      </x:c>
    </x:row>
    <x:row r="1739">
      <x:c r="A1739" s="58" t="str">
        <x:v>S18</x:v>
      </x:c>
      <x:c r="B1739" s="58" t="str">
        <x:v>0.75 validated session at 268 Hz</x:v>
      </x:c>
      <x:c r="C1739" s="58" t="n">
        <x:v>0.75</x:v>
      </x:c>
      <x:c r="D1739" s="58" t="n">
        <x:v>3</x:v>
      </x:c>
      <x:c r="E1739" s="58" t="n">
        <x:v>2</x:v>
      </x:c>
      <x:c r="F1739" s="58" t="str">
        <x:v>FINE</x:v>
      </x:c>
      <x:c r="G1739" s="58" t="n">
        <x:v>1</x:v>
      </x:c>
      <x:c r="H1739" s="59" t="n">
        <x:v>6.25</x:v>
      </x:c>
      <x:c r="I1739" s="59" t="n">
        <x:v>0.58444</x:v>
      </x:c>
      <x:c r="J1739" s="59" t="n">
        <x:v>0.58087</x:v>
      </x:c>
      <x:c r="K1739" s="59" t="n">
        <x:v>0.23815</x:v>
      </x:c>
      <x:c r="L1739" s="59" t="n">
        <x:v>0.18018</x:v>
      </x:c>
      <x:c r="M1739" s="59" t="n">
        <x:v>0.65341</x:v>
      </x:c>
      <x:c r="N1739" s="60" t="n">
        <x:v>-22.08</x:v>
      </x:c>
      <x:c r="O1739" s="60" t="n">
        <x:v>0.89</x:v>
      </x:c>
      <x:c r="P1739" s="60" t="n">
        <x:v>1.62</x:v>
      </x:c>
      <x:c r="Q1739" s="60" t="n">
        <x:v>81.7</x:v>
      </x:c>
      <x:c r="R1739" s="58" t="str">
        <x:v>X</x:v>
      </x:c>
      <x:c r="S1739" s="60" t="n">
        <x:v>100</x:v>
      </x:c>
      <x:c r="T1739" s="58" t="str">
        <x:v>VALID</x:v>
      </x:c>
      <x:c r="U1739" s="58" t="n">
        <x:v>2672</x:v>
      </x:c>
      <x:c r="V1739" s="58" t="str">
        <x:v>Pasted text(59).txt</x:v>
      </x:c>
    </x:row>
    <x:row r="1740">
      <x:c r="A1740" s="58" t="str">
        <x:v>S18</x:v>
      </x:c>
      <x:c r="B1740" s="58" t="str">
        <x:v>0.75 validated session at 268 Hz</x:v>
      </x:c>
      <x:c r="C1740" s="58" t="n">
        <x:v>0.75</x:v>
      </x:c>
      <x:c r="D1740" s="58" t="n">
        <x:v>3</x:v>
      </x:c>
      <x:c r="E1740" s="58" t="n">
        <x:v>2</x:v>
      </x:c>
      <x:c r="F1740" s="58" t="str">
        <x:v>FINE</x:v>
      </x:c>
      <x:c r="G1740" s="58" t="n">
        <x:v>2</x:v>
      </x:c>
      <x:c r="H1740" s="59" t="n">
        <x:v>6.5</x:v>
      </x:c>
      <x:c r="I1740" s="59" t="n">
        <x:v>0.61031</x:v>
      </x:c>
      <x:c r="J1740" s="59" t="n">
        <x:v>0.60361</x:v>
      </x:c>
      <x:c r="K1740" s="59" t="n">
        <x:v>0.22061</x:v>
      </x:c>
      <x:c r="L1740" s="59" t="n">
        <x:v>0.18291</x:v>
      </x:c>
      <x:c r="M1740" s="59" t="n">
        <x:v>0.66893</x:v>
      </x:c>
      <x:c r="N1740" s="60" t="n">
        <x:v>-18.63</x:v>
      </x:c>
      <x:c r="O1740" s="60" t="n">
        <x:v>2.37</x:v>
      </x:c>
      <x:c r="P1740" s="60" t="n">
        <x:v>3.42</x:v>
      </x:c>
      <x:c r="Q1740" s="60" t="n">
        <x:v>83.1</x:v>
      </x:c>
      <x:c r="R1740" s="58" t="str">
        <x:v>X</x:v>
      </x:c>
      <x:c r="S1740" s="60" t="n">
        <x:v>100</x:v>
      </x:c>
      <x:c r="T1740" s="58" t="str">
        <x:v>VALID</x:v>
      </x:c>
      <x:c r="U1740" s="58" t="n">
        <x:v>2673</x:v>
      </x:c>
      <x:c r="V1740" s="58" t="str">
        <x:v>Pasted text(59).txt</x:v>
      </x:c>
    </x:row>
    <x:row r="1741">
      <x:c r="A1741" s="58" t="str">
        <x:v>S18</x:v>
      </x:c>
      <x:c r="B1741" s="58" t="str">
        <x:v>0.75 validated session at 268 Hz</x:v>
      </x:c>
      <x:c r="C1741" s="58" t="n">
        <x:v>0.75</x:v>
      </x:c>
      <x:c r="D1741" s="58" t="n">
        <x:v>3</x:v>
      </x:c>
      <x:c r="E1741" s="58" t="n">
        <x:v>2</x:v>
      </x:c>
      <x:c r="F1741" s="58" t="str">
        <x:v>FINE</x:v>
      </x:c>
      <x:c r="G1741" s="58" t="n">
        <x:v>3</x:v>
      </x:c>
      <x:c r="H1741" s="59" t="n">
        <x:v>6.75</x:v>
      </x:c>
      <x:c r="I1741" s="59" t="n">
        <x:v>0.65372</x:v>
      </x:c>
      <x:c r="J1741" s="59" t="n">
        <x:v>0.65169</x:v>
      </x:c>
      <x:c r="K1741" s="59" t="n">
        <x:v>0.2597</x:v>
      </x:c>
      <x:c r="L1741" s="59" t="n">
        <x:v>0.21231</x:v>
      </x:c>
      <x:c r="M1741" s="59" t="n">
        <x:v>0.73325</x:v>
      </x:c>
      <x:c r="N1741" s="60" t="n">
        <x:v>-12.84</x:v>
      </x:c>
      <x:c r="O1741" s="60" t="n">
        <x:v>2.83</x:v>
      </x:c>
      <x:c r="P1741" s="60" t="n">
        <x:v>2.4</x:v>
      </x:c>
      <x:c r="Q1741" s="60" t="n">
        <x:v>78.6</x:v>
      </x:c>
      <x:c r="R1741" s="58" t="str">
        <x:v>X</x:v>
      </x:c>
      <x:c r="S1741" s="60" t="n">
        <x:v>100</x:v>
      </x:c>
      <x:c r="T1741" s="58" t="str">
        <x:v>VALID</x:v>
      </x:c>
      <x:c r="U1741" s="58" t="n">
        <x:v>2674</x:v>
      </x:c>
      <x:c r="V1741" s="58" t="str">
        <x:v>Pasted text(59).txt</x:v>
      </x:c>
    </x:row>
    <x:row r="1742">
      <x:c r="A1742" s="58" t="str">
        <x:v>S18</x:v>
      </x:c>
      <x:c r="B1742" s="58" t="str">
        <x:v>0.75 validated session at 268 Hz</x:v>
      </x:c>
      <x:c r="C1742" s="58" t="n">
        <x:v>0.75</x:v>
      </x:c>
      <x:c r="D1742" s="58" t="n">
        <x:v>3</x:v>
      </x:c>
      <x:c r="E1742" s="58" t="n">
        <x:v>2</x:v>
      </x:c>
      <x:c r="F1742" s="58" t="str">
        <x:v>FINE</x:v>
      </x:c>
      <x:c r="G1742" s="58" t="n">
        <x:v>4</x:v>
      </x:c>
      <x:c r="H1742" s="59" t="n">
        <x:v>7</x:v>
      </x:c>
      <x:c r="I1742" s="59" t="n">
        <x:v>0.68178</x:v>
      </x:c>
      <x:c r="J1742" s="59" t="n">
        <x:v>0.68167</x:v>
      </x:c>
      <x:c r="K1742" s="59" t="n">
        <x:v>0.26512</x:v>
      </x:c>
      <x:c r="L1742" s="59" t="n">
        <x:v>0.24007</x:v>
      </x:c>
      <x:c r="M1742" s="59" t="n">
        <x:v>0.77044</x:v>
      </x:c>
      <x:c r="N1742" s="60" t="n">
        <x:v>-9.1</x:v>
      </x:c>
      <x:c r="O1742" s="60" t="n">
        <x:v>3.59</x:v>
      </x:c>
      <x:c r="P1742" s="60" t="n">
        <x:v>2.45</x:v>
      </x:c>
      <x:c r="Q1742" s="60" t="n">
        <x:v>82.5</x:v>
      </x:c>
      <x:c r="R1742" s="58" t="str">
        <x:v>X</x:v>
      </x:c>
      <x:c r="S1742" s="60" t="n">
        <x:v>100</x:v>
      </x:c>
      <x:c r="T1742" s="58" t="str">
        <x:v>VALID</x:v>
      </x:c>
      <x:c r="U1742" s="58" t="n">
        <x:v>2675</x:v>
      </x:c>
      <x:c r="V1742" s="58" t="str">
        <x:v>Pasted text(59).txt</x:v>
      </x:c>
    </x:row>
    <x:row r="1743">
      <x:c r="A1743" s="58" t="str">
        <x:v>S18</x:v>
      </x:c>
      <x:c r="B1743" s="58" t="str">
        <x:v>0.75 validated session at 268 Hz</x:v>
      </x:c>
      <x:c r="C1743" s="58" t="n">
        <x:v>0.75</x:v>
      </x:c>
      <x:c r="D1743" s="58" t="n">
        <x:v>3</x:v>
      </x:c>
      <x:c r="E1743" s="58" t="n">
        <x:v>2</x:v>
      </x:c>
      <x:c r="F1743" s="58" t="str">
        <x:v>FINE</x:v>
      </x:c>
      <x:c r="G1743" s="58" t="n">
        <x:v>5</x:v>
      </x:c>
      <x:c r="H1743" s="59" t="n">
        <x:v>7.25</x:v>
      </x:c>
      <x:c r="I1743" s="59" t="n">
        <x:v>0.66442</x:v>
      </x:c>
      <x:c r="J1743" s="59" t="n">
        <x:v>0.66599</x:v>
      </x:c>
      <x:c r="K1743" s="59" t="n">
        <x:v>0.2778</x:v>
      </x:c>
      <x:c r="L1743" s="59" t="n">
        <x:v>0.22865</x:v>
      </x:c>
      <x:c r="M1743" s="59" t="n">
        <x:v>0.75737</x:v>
      </x:c>
      <x:c r="N1743" s="60" t="n">
        <x:v>-11.41</x:v>
      </x:c>
      <x:c r="O1743" s="60" t="n">
        <x:v>2.57</x:v>
      </x:c>
      <x:c r="P1743" s="60" t="n">
        <x:v>2.09</x:v>
      </x:c>
      <x:c r="Q1743" s="60" t="n">
        <x:v>81.1</x:v>
      </x:c>
      <x:c r="R1743" s="58" t="str">
        <x:v>X</x:v>
      </x:c>
      <x:c r="S1743" s="60" t="n">
        <x:v>100</x:v>
      </x:c>
      <x:c r="T1743" s="58" t="str">
        <x:v>VALID</x:v>
      </x:c>
      <x:c r="U1743" s="58" t="n">
        <x:v>2676</x:v>
      </x:c>
      <x:c r="V1743" s="58" t="str">
        <x:v>Pasted text(59).txt</x:v>
      </x:c>
    </x:row>
    <x:row r="1744">
      <x:c r="A1744" s="58" t="str">
        <x:v>S18</x:v>
      </x:c>
      <x:c r="B1744" s="58" t="str">
        <x:v>0.75 validated session at 268 Hz</x:v>
      </x:c>
      <x:c r="C1744" s="58" t="n">
        <x:v>0.75</x:v>
      </x:c>
      <x:c r="D1744" s="58" t="n">
        <x:v>3</x:v>
      </x:c>
      <x:c r="E1744" s="58" t="n">
        <x:v>2</x:v>
      </x:c>
      <x:c r="F1744" s="58" t="str">
        <x:v>FINE</x:v>
      </x:c>
      <x:c r="G1744" s="58" t="n">
        <x:v>6</x:v>
      </x:c>
      <x:c r="H1744" s="59" t="n">
        <x:v>7.5</x:v>
      </x:c>
      <x:c r="I1744" s="59" t="n">
        <x:v>0.71549</x:v>
      </x:c>
      <x:c r="J1744" s="59" t="n">
        <x:v>0.71336</x:v>
      </x:c>
      <x:c r="K1744" s="59" t="n">
        <x:v>0.26553</x:v>
      </x:c>
      <x:c r="L1744" s="59" t="n">
        <x:v>0.26641</x:v>
      </x:c>
      <x:c r="M1744" s="59" t="n">
        <x:v>0.80653</x:v>
      </x:c>
      <x:c r="N1744" s="60" t="n">
        <x:v>-4.6</x:v>
      </x:c>
      <x:c r="O1744" s="60" t="n">
        <x:v>1.36</x:v>
      </x:c>
      <x:c r="P1744" s="60" t="n">
        <x:v>1.39</x:v>
      </x:c>
      <x:c r="Q1744" s="60" t="n">
        <x:v>84.7</x:v>
      </x:c>
      <x:c r="R1744" s="58" t="str">
        <x:v>X</x:v>
      </x:c>
      <x:c r="S1744" s="60" t="n">
        <x:v>100</x:v>
      </x:c>
      <x:c r="T1744" s="58" t="str">
        <x:v>IN TARGET BAND</x:v>
      </x:c>
      <x:c r="U1744" s="58" t="n">
        <x:v>2677</x:v>
      </x:c>
      <x:c r="V1744" s="58" t="str">
        <x:v>Pasted text(59).txt</x:v>
      </x:c>
    </x:row>
    <x:row r="1745">
      <x:c r="A1745" s="58" t="str">
        <x:v>S18</x:v>
      </x:c>
      <x:c r="B1745" s="58" t="str">
        <x:v>0.75 validated session at 268 Hz</x:v>
      </x:c>
      <x:c r="C1745" s="58" t="n">
        <x:v>0.75</x:v>
      </x:c>
      <x:c r="D1745" s="58" t="n">
        <x:v>3</x:v>
      </x:c>
      <x:c r="E1745" s="58" t="n">
        <x:v>2</x:v>
      </x:c>
      <x:c r="F1745" s="58" t="str">
        <x:v>FINE</x:v>
      </x:c>
      <x:c r="G1745" s="58" t="n">
        <x:v>7</x:v>
      </x:c>
      <x:c r="H1745" s="59" t="n">
        <x:v>7.75</x:v>
      </x:c>
      <x:c r="I1745" s="59" t="n">
        <x:v>0.76885</x:v>
      </x:c>
      <x:c r="J1745" s="59" t="n">
        <x:v>0.76507</x:v>
      </x:c>
      <x:c r="K1745" s="59" t="n">
        <x:v>0.28222</x:v>
      </x:c>
      <x:c r="L1745" s="59" t="n">
        <x:v>0.26361</x:v>
      </x:c>
      <x:c r="M1745" s="59" t="n">
        <x:v>0.85742</x:v>
      </x:c>
      <x:c r="N1745" s="60" t="n">
        <x:v>2.51</x:v>
      </x:c>
      <x:c r="O1745" s="60" t="n">
        <x:v>3.61</x:v>
      </x:c>
      <x:c r="P1745" s="60" t="n">
        <x:v>3.22</x:v>
      </x:c>
      <x:c r="Q1745" s="60" t="n">
        <x:v>83.2</x:v>
      </x:c>
      <x:c r="R1745" s="58" t="str">
        <x:v>X</x:v>
      </x:c>
      <x:c r="S1745" s="60" t="n">
        <x:v>100</x:v>
      </x:c>
      <x:c r="T1745" s="58" t="str">
        <x:v>IN TARGET BAND</x:v>
      </x:c>
      <x:c r="U1745" s="58" t="n">
        <x:v>2678</x:v>
      </x:c>
      <x:c r="V1745" s="58" t="str">
        <x:v>Pasted text(59).txt</x:v>
      </x:c>
    </x:row>
    <x:row r="1746">
      <x:c r="A1746" s="58" t="str">
        <x:v>S18</x:v>
      </x:c>
      <x:c r="B1746" s="58" t="str">
        <x:v>0.75 validated session at 268 Hz</x:v>
      </x:c>
      <x:c r="C1746" s="58" t="n">
        <x:v>0.75</x:v>
      </x:c>
      <x:c r="D1746" s="58" t="n">
        <x:v>3</x:v>
      </x:c>
      <x:c r="E1746" s="58" t="n">
        <x:v>2</x:v>
      </x:c>
      <x:c r="F1746" s="58" t="str">
        <x:v>FINE</x:v>
      </x:c>
      <x:c r="G1746" s="58" t="n">
        <x:v>8</x:v>
      </x:c>
      <x:c r="H1746" s="59" t="n">
        <x:v>8</x:v>
      </x:c>
      <x:c r="I1746" s="59" t="n">
        <x:v>0.79057</x:v>
      </x:c>
      <x:c r="J1746" s="59" t="n">
        <x:v>0.78921</x:v>
      </x:c>
      <x:c r="K1746" s="59" t="n">
        <x:v>0.31707</x:v>
      </x:c>
      <x:c r="L1746" s="59" t="n">
        <x:v>0.25638</x:v>
      </x:c>
      <x:c r="M1746" s="59" t="n">
        <x:v>0.8887</x:v>
      </x:c>
      <x:c r="N1746" s="60" t="n">
        <x:v>5.41</x:v>
      </x:c>
      <x:c r="O1746" s="60" t="n">
        <x:v>2.62</x:v>
      </x:c>
      <x:c r="P1746" s="60" t="n">
        <x:v>2.03</x:v>
      </x:c>
      <x:c r="Q1746" s="60" t="n">
        <x:v>85</x:v>
      </x:c>
      <x:c r="R1746" s="58" t="str">
        <x:v>X</x:v>
      </x:c>
      <x:c r="S1746" s="60" t="n">
        <x:v>100</x:v>
      </x:c>
      <x:c r="T1746" s="58" t="str">
        <x:v>IN TARGET BAND</x:v>
      </x:c>
      <x:c r="U1746" s="58" t="n">
        <x:v>2679</x:v>
      </x:c>
      <x:c r="V1746" s="58" t="str">
        <x:v>Pasted text(59).txt</x:v>
      </x:c>
    </x:row>
    <x:row r="1747">
      <x:c r="A1747" s="58" t="str">
        <x:v>S18</x:v>
      </x:c>
      <x:c r="B1747" s="58" t="str">
        <x:v>0.75 validated session at 268 Hz</x:v>
      </x:c>
      <x:c r="C1747" s="58" t="n">
        <x:v>0.75</x:v>
      </x:c>
      <x:c r="D1747" s="58" t="n">
        <x:v>3</x:v>
      </x:c>
      <x:c r="E1747" s="58" t="n">
        <x:v>2</x:v>
      </x:c>
      <x:c r="F1747" s="58" t="str">
        <x:v>FINE</x:v>
      </x:c>
      <x:c r="G1747" s="58" t="n">
        <x:v>9</x:v>
      </x:c>
      <x:c r="H1747" s="59" t="n">
        <x:v>8.25</x:v>
      </x:c>
      <x:c r="I1747" s="59" t="n">
        <x:v>0.80837</x:v>
      </x:c>
      <x:c r="J1747" s="59" t="n">
        <x:v>0.8178</x:v>
      </x:c>
      <x:c r="K1747" s="59" t="n">
        <x:v>0.32168</x:v>
      </x:c>
      <x:c r="L1747" s="59" t="n">
        <x:v>0.27799</x:v>
      </x:c>
      <x:c r="M1747" s="59" t="n">
        <x:v>0.92223</x:v>
      </x:c>
      <x:c r="N1747" s="60" t="n">
        <x:v>7.78</x:v>
      </x:c>
      <x:c r="O1747" s="60" t="n">
        <x:v>0.61</x:v>
      </x:c>
      <x:c r="P1747" s="60" t="n">
        <x:v>2.36</x:v>
      </x:c>
      <x:c r="Q1747" s="60" t="n">
        <x:v>87.1</x:v>
      </x:c>
      <x:c r="R1747" s="58" t="str">
        <x:v>X</x:v>
      </x:c>
      <x:c r="S1747" s="60" t="n">
        <x:v>100</x:v>
      </x:c>
      <x:c r="T1747" s="58" t="str">
        <x:v>VALID</x:v>
      </x:c>
      <x:c r="U1747" s="58" t="n">
        <x:v>2680</x:v>
      </x:c>
      <x:c r="V1747" s="58" t="str">
        <x:v>Pasted text(59).txt</x:v>
      </x:c>
    </x:row>
    <x:row r="1748">
      <x:c r="A1748" s="58" t="str">
        <x:v>S18</x:v>
      </x:c>
      <x:c r="B1748" s="58" t="str">
        <x:v>0.75 validated session at 268 Hz</x:v>
      </x:c>
      <x:c r="C1748" s="58" t="n">
        <x:v>0.75</x:v>
      </x:c>
      <x:c r="D1748" s="58" t="n">
        <x:v>3</x:v>
      </x:c>
      <x:c r="E1748" s="58" t="n">
        <x:v>2</x:v>
      </x:c>
      <x:c r="F1748" s="58" t="str">
        <x:v>FINAL</x:v>
      </x:c>
      <x:c r="G1748" s="58" t="n">
        <x:v>1</x:v>
      </x:c>
      <x:c r="H1748" s="59" t="n">
        <x:v>7.5</x:v>
      </x:c>
      <x:c r="I1748" s="59" t="n">
        <x:v>0.70924</x:v>
      </x:c>
      <x:c r="J1748" s="59" t="n">
        <x:v>0.71188</x:v>
      </x:c>
      <x:c r="K1748" s="59" t="n">
        <x:v>0.27779</x:v>
      </x:c>
      <x:c r="L1748" s="59" t="n">
        <x:v>0.2435</x:v>
      </x:c>
      <x:c r="M1748" s="59" t="n">
        <x:v>0.80298</x:v>
      </x:c>
      <x:c r="N1748" s="60" t="n">
        <x:v>-5.44</x:v>
      </x:c>
      <x:c r="O1748" s="60" t="n">
        <x:v>2.1</x:v>
      </x:c>
      <x:c r="P1748" s="60" t="n">
        <x:v>1.74</x:v>
      </x:c>
      <x:c r="Q1748" s="60" t="n">
        <x:v>85.8</x:v>
      </x:c>
      <x:c r="R1748" s="58" t="str">
        <x:v>X</x:v>
      </x:c>
      <x:c r="S1748" s="60" t="n">
        <x:v>100</x:v>
      </x:c>
      <x:c r="T1748" s="58" t="str">
        <x:v>IN TARGET BAND</x:v>
      </x:c>
      <x:c r="U1748" s="58" t="n">
        <x:v>2683</x:v>
      </x:c>
      <x:c r="V1748" s="58" t="str">
        <x:v>Pasted text(59).txt</x:v>
      </x:c>
    </x:row>
    <x:row r="1749">
      <x:c r="A1749" s="58" t="str">
        <x:v>S18</x:v>
      </x:c>
      <x:c r="B1749" s="58" t="str">
        <x:v>0.75 validated session at 268 Hz</x:v>
      </x:c>
      <x:c r="C1749" s="58" t="n">
        <x:v>0.75</x:v>
      </x:c>
      <x:c r="D1749" s="58" t="n">
        <x:v>3</x:v>
      </x:c>
      <x:c r="E1749" s="58" t="n">
        <x:v>2</x:v>
      </x:c>
      <x:c r="F1749" s="58" t="str">
        <x:v>FINAL</x:v>
      </x:c>
      <x:c r="G1749" s="58" t="n">
        <x:v>2</x:v>
      </x:c>
      <x:c r="H1749" s="59" t="n">
        <x:v>7.5</x:v>
      </x:c>
      <x:c r="I1749" s="59" t="n">
        <x:v>0.70673</x:v>
      </x:c>
      <x:c r="J1749" s="59" t="n">
        <x:v>0.70031</x:v>
      </x:c>
      <x:c r="K1749" s="59" t="n">
        <x:v>0.27774</x:v>
      </x:c>
      <x:c r="L1749" s="59" t="n">
        <x:v>0.23463</x:v>
      </x:c>
      <x:c r="M1749" s="59" t="n">
        <x:v>0.78956</x:v>
      </x:c>
      <x:c r="N1749" s="60" t="n">
        <x:v>-5.77</x:v>
      </x:c>
      <x:c r="O1749" s="60" t="n">
        <x:v>2.53</x:v>
      </x:c>
      <x:c r="P1749" s="60" t="n">
        <x:v>2.94</x:v>
      </x:c>
      <x:c r="Q1749" s="60" t="n">
        <x:v>84.1</x:v>
      </x:c>
      <x:c r="R1749" s="58" t="str">
        <x:v>X</x:v>
      </x:c>
      <x:c r="S1749" s="60" t="n">
        <x:v>100</x:v>
      </x:c>
      <x:c r="T1749" s="58" t="str">
        <x:v>IN TARGET BAND</x:v>
      </x:c>
      <x:c r="U1749" s="58" t="n">
        <x:v>2684</x:v>
      </x:c>
      <x:c r="V1749" s="58" t="str">
        <x:v>Pasted text(59).txt</x:v>
      </x:c>
    </x:row>
    <x:row r="1750">
      <x:c r="A1750" s="58" t="str">
        <x:v>S18</x:v>
      </x:c>
      <x:c r="B1750" s="58" t="str">
        <x:v>0.75 validated session at 268 Hz</x:v>
      </x:c>
      <x:c r="C1750" s="58" t="n">
        <x:v>0.75</x:v>
      </x:c>
      <x:c r="D1750" s="58" t="n">
        <x:v>4</x:v>
      </x:c>
      <x:c r="E1750" s="58" t="n">
        <x:v>1</x:v>
      </x:c>
      <x:c r="F1750" s="58" t="str">
        <x:v>SEARCH</x:v>
      </x:c>
      <x:c r="G1750" s="58" t="n">
        <x:v>1</x:v>
      </x:c>
      <x:c r="H1750" s="59" t="n">
        <x:v>1</x:v>
      </x:c>
      <x:c r="I1750" s="59" t="n">
        <x:v>0.03</x:v>
      </x:c>
      <x:c r="J1750" s="59" t="n">
        <x:v>0.02701</x:v>
      </x:c>
      <x:c r="K1750" s="59" t="n">
        <x:v>0.03679</x:v>
      </x:c>
      <x:c r="L1750" s="59" t="n">
        <x:v>0.02373</x:v>
      </x:c>
      <x:c r="M1750" s="59" t="n">
        <x:v>0.0535</x:v>
      </x:c>
      <x:c r="N1750" s="60" t="n">
        <x:v>-96</x:v>
      </x:c>
      <x:c r="O1750" s="60" t="n">
        <x:v>62.57</x:v>
      </x:c>
      <x:c r="P1750" s="60" t="n">
        <x:v>64.23</x:v>
      </x:c>
      <x:c r="Q1750" s="60" t="n">
        <x:v>8.1</x:v>
      </x:c>
      <x:c r="R1750" s="58" t="str">
        <x:v>Y</x:v>
      </x:c>
      <x:c r="S1750" s="60" t="n">
        <x:v>73.4</x:v>
      </x:c>
      <x:c r="T1750" s="58" t="str">
        <x:v>BELOW MEASUREMENT FLOOR — SEARCH CONTINUES</x:v>
      </x:c>
      <x:c r="U1750" s="58" t="n">
        <x:v>2740</x:v>
      </x:c>
      <x:c r="V1750" s="58" t="str">
        <x:v>Pasted text(59).txt</x:v>
      </x:c>
    </x:row>
    <x:row r="1751">
      <x:c r="A1751" s="58" t="str">
        <x:v>S18</x:v>
      </x:c>
      <x:c r="B1751" s="58" t="str">
        <x:v>0.75 validated session at 268 Hz</x:v>
      </x:c>
      <x:c r="C1751" s="58" t="n">
        <x:v>0.75</x:v>
      </x:c>
      <x:c r="D1751" s="58" t="n">
        <x:v>4</x:v>
      </x:c>
      <x:c r="E1751" s="58" t="n">
        <x:v>1</x:v>
      </x:c>
      <x:c r="F1751" s="58" t="str">
        <x:v>SEARCH</x:v>
      </x:c>
      <x:c r="G1751" s="58" t="n">
        <x:v>2</x:v>
      </x:c>
      <x:c r="H1751" s="59" t="n">
        <x:v>3</x:v>
      </x:c>
      <x:c r="I1751" s="59" t="n">
        <x:v>0.20314</x:v>
      </x:c>
      <x:c r="J1751" s="59" t="n">
        <x:v>0.19784</x:v>
      </x:c>
      <x:c r="K1751" s="59" t="n">
        <x:v>0.08499</x:v>
      </x:c>
      <x:c r="L1751" s="59" t="n">
        <x:v>0.06516</x:v>
      </x:c>
      <x:c r="M1751" s="59" t="n">
        <x:v>0.22737</x:v>
      </x:c>
      <x:c r="N1751" s="60" t="n">
        <x:v>-72.91</x:v>
      </x:c>
      <x:c r="O1751" s="60" t="n">
        <x:v>7.73</x:v>
      </x:c>
      <x:c r="P1751" s="60" t="n">
        <x:v>3.79</x:v>
      </x:c>
      <x:c r="Q1751" s="60" t="n">
        <x:v>43.2</x:v>
      </x:c>
      <x:c r="R1751" s="58" t="str">
        <x:v>X</x:v>
      </x:c>
      <x:c r="S1751" s="60" t="n">
        <x:v>100</x:v>
      </x:c>
      <x:c r="T1751" s="58" t="str">
        <x:v>UNSTABLE — SEARCH CONTINUES</x:v>
      </x:c>
      <x:c r="U1751" s="58" t="n">
        <x:v>2741</x:v>
      </x:c>
      <x:c r="V1751" s="58" t="str">
        <x:v>Pasted text(59).txt</x:v>
      </x:c>
    </x:row>
    <x:row r="1752">
      <x:c r="A1752" s="58" t="str">
        <x:v>S18</x:v>
      </x:c>
      <x:c r="B1752" s="58" t="str">
        <x:v>0.75 validated session at 268 Hz</x:v>
      </x:c>
      <x:c r="C1752" s="58" t="n">
        <x:v>0.75</x:v>
      </x:c>
      <x:c r="D1752" s="58" t="n">
        <x:v>4</x:v>
      </x:c>
      <x:c r="E1752" s="58" t="n">
        <x:v>1</x:v>
      </x:c>
      <x:c r="F1752" s="58" t="str">
        <x:v>SEARCH</x:v>
      </x:c>
      <x:c r="G1752" s="58" t="n">
        <x:v>3</x:v>
      </x:c>
      <x:c r="H1752" s="59" t="n">
        <x:v>4</x:v>
      </x:c>
      <x:c r="I1752" s="59" t="n">
        <x:v>0.31791</x:v>
      </x:c>
      <x:c r="J1752" s="59" t="n">
        <x:v>0.31979</x:v>
      </x:c>
      <x:c r="K1752" s="59" t="n">
        <x:v>0.10679</x:v>
      </x:c>
      <x:c r="L1752" s="59" t="n">
        <x:v>0.11397</x:v>
      </x:c>
      <x:c r="M1752" s="59" t="n">
        <x:v>0.35685</x:v>
      </x:c>
      <x:c r="N1752" s="60" t="n">
        <x:v>-57.61</x:v>
      </x:c>
      <x:c r="O1752" s="60" t="n">
        <x:v>3.12</x:v>
      </x:c>
      <x:c r="P1752" s="60" t="n">
        <x:v>3.02</x:v>
      </x:c>
      <x:c r="Q1752" s="60" t="n">
        <x:v>58.8</x:v>
      </x:c>
      <x:c r="R1752" s="58" t="str">
        <x:v>X</x:v>
      </x:c>
      <x:c r="S1752" s="60" t="n">
        <x:v>100</x:v>
      </x:c>
      <x:c r="T1752" s="58" t="str">
        <x:v>VALID</x:v>
      </x:c>
      <x:c r="U1752" s="58" t="n">
        <x:v>2742</x:v>
      </x:c>
      <x:c r="V1752" s="58" t="str">
        <x:v>Pasted text(59).txt</x:v>
      </x:c>
    </x:row>
    <x:row r="1753">
      <x:c r="A1753" s="58" t="str">
        <x:v>S18</x:v>
      </x:c>
      <x:c r="B1753" s="58" t="str">
        <x:v>0.75 validated session at 268 Hz</x:v>
      </x:c>
      <x:c r="C1753" s="58" t="n">
        <x:v>0.75</x:v>
      </x:c>
      <x:c r="D1753" s="58" t="n">
        <x:v>4</x:v>
      </x:c>
      <x:c r="E1753" s="58" t="n">
        <x:v>1</x:v>
      </x:c>
      <x:c r="F1753" s="58" t="str">
        <x:v>SEARCH</x:v>
      </x:c>
      <x:c r="G1753" s="58" t="n">
        <x:v>4</x:v>
      </x:c>
      <x:c r="H1753" s="59" t="n">
        <x:v>5</x:v>
      </x:c>
      <x:c r="I1753" s="59" t="n">
        <x:v>0.44883</x:v>
      </x:c>
      <x:c r="J1753" s="59" t="n">
        <x:v>0.45002</x:v>
      </x:c>
      <x:c r="K1753" s="59" t="n">
        <x:v>0.18668</x:v>
      </x:c>
      <x:c r="L1753" s="59" t="n">
        <x:v>0.16833</x:v>
      </x:c>
      <x:c r="M1753" s="59" t="n">
        <x:v>0.51607</x:v>
      </x:c>
      <x:c r="N1753" s="60" t="n">
        <x:v>-40.16</x:v>
      </x:c>
      <x:c r="O1753" s="60" t="n">
        <x:v>0.04</x:v>
      </x:c>
      <x:c r="P1753" s="60" t="n">
        <x:v>0.48</x:v>
      </x:c>
      <x:c r="Q1753" s="60" t="n">
        <x:v>68</x:v>
      </x:c>
      <x:c r="R1753" s="58" t="str">
        <x:v>X</x:v>
      </x:c>
      <x:c r="S1753" s="60" t="n">
        <x:v>100</x:v>
      </x:c>
      <x:c r="T1753" s="58" t="str">
        <x:v>VALID</x:v>
      </x:c>
      <x:c r="U1753" s="58" t="n">
        <x:v>2743</x:v>
      </x:c>
      <x:c r="V1753" s="58" t="str">
        <x:v>Pasted text(59).txt</x:v>
      </x:c>
    </x:row>
    <x:row r="1754">
      <x:c r="A1754" s="58" t="str">
        <x:v>S18</x:v>
      </x:c>
      <x:c r="B1754" s="58" t="str">
        <x:v>0.75 validated session at 268 Hz</x:v>
      </x:c>
      <x:c r="C1754" s="58" t="n">
        <x:v>0.75</x:v>
      </x:c>
      <x:c r="D1754" s="58" t="n">
        <x:v>4</x:v>
      </x:c>
      <x:c r="E1754" s="58" t="n">
        <x:v>1</x:v>
      </x:c>
      <x:c r="F1754" s="58" t="str">
        <x:v>SEARCH</x:v>
      </x:c>
      <x:c r="G1754" s="58" t="n">
        <x:v>5</x:v>
      </x:c>
      <x:c r="H1754" s="59" t="n">
        <x:v>6</x:v>
      </x:c>
      <x:c r="I1754" s="59" t="n">
        <x:v>0.55462</x:v>
      </x:c>
      <x:c r="J1754" s="59" t="n">
        <x:v>0.55849</x:v>
      </x:c>
      <x:c r="K1754" s="59" t="n">
        <x:v>0.20295</x:v>
      </x:c>
      <x:c r="L1754" s="59" t="n">
        <x:v>0.20672</x:v>
      </x:c>
      <x:c r="M1754" s="59" t="n">
        <x:v>0.62946</x:v>
      </x:c>
      <x:c r="N1754" s="60" t="n">
        <x:v>-26.05</x:v>
      </x:c>
      <x:c r="O1754" s="60" t="n">
        <x:v>1</x:v>
      </x:c>
      <x:c r="P1754" s="60" t="n">
        <x:v>1.81</x:v>
      </x:c>
      <x:c r="Q1754" s="60" t="n">
        <x:v>77.3</x:v>
      </x:c>
      <x:c r="R1754" s="58" t="str">
        <x:v>X</x:v>
      </x:c>
      <x:c r="S1754" s="60" t="n">
        <x:v>100</x:v>
      </x:c>
      <x:c r="T1754" s="58" t="str">
        <x:v>VALID</x:v>
      </x:c>
      <x:c r="U1754" s="58" t="n">
        <x:v>2744</x:v>
      </x:c>
      <x:c r="V1754" s="58" t="str">
        <x:v>Pasted text(59).txt</x:v>
      </x:c>
    </x:row>
    <x:row r="1755">
      <x:c r="A1755" s="58" t="str">
        <x:v>S18</x:v>
      </x:c>
      <x:c r="B1755" s="58" t="str">
        <x:v>0.75 validated session at 268 Hz</x:v>
      </x:c>
      <x:c r="C1755" s="58" t="n">
        <x:v>0.75</x:v>
      </x:c>
      <x:c r="D1755" s="58" t="n">
        <x:v>4</x:v>
      </x:c>
      <x:c r="E1755" s="58" t="n">
        <x:v>1</x:v>
      </x:c>
      <x:c r="F1755" s="58" t="str">
        <x:v>SEARCH</x:v>
      </x:c>
      <x:c r="G1755" s="58" t="n">
        <x:v>6</x:v>
      </x:c>
      <x:c r="H1755" s="59" t="n">
        <x:v>6.5</x:v>
      </x:c>
      <x:c r="I1755" s="59" t="n">
        <x:v>0.5934</x:v>
      </x:c>
      <x:c r="J1755" s="59" t="n">
        <x:v>0.59926</x:v>
      </x:c>
      <x:c r="K1755" s="59" t="n">
        <x:v>0.21422</x:v>
      </x:c>
      <x:c r="L1755" s="59" t="n">
        <x:v>0.20693</x:v>
      </x:c>
      <x:c r="M1755" s="59" t="n">
        <x:v>0.6695</x:v>
      </x:c>
      <x:c r="N1755" s="60" t="n">
        <x:v>-20.88</x:v>
      </x:c>
      <x:c r="O1755" s="60" t="n">
        <x:v>4.54</x:v>
      </x:c>
      <x:c r="P1755" s="60" t="n">
        <x:v>4.58</x:v>
      </x:c>
      <x:c r="Q1755" s="60" t="n">
        <x:v>78.8</x:v>
      </x:c>
      <x:c r="R1755" s="58" t="str">
        <x:v>X</x:v>
      </x:c>
      <x:c r="S1755" s="60" t="n">
        <x:v>100</x:v>
      </x:c>
      <x:c r="T1755" s="58" t="str">
        <x:v>VALID</x:v>
      </x:c>
      <x:c r="U1755" s="58" t="n">
        <x:v>2745</x:v>
      </x:c>
      <x:c r="V1755" s="58" t="str">
        <x:v>Pasted text(59).txt</x:v>
      </x:c>
    </x:row>
    <x:row r="1756">
      <x:c r="A1756" s="58" t="str">
        <x:v>S18</x:v>
      </x:c>
      <x:c r="B1756" s="58" t="str">
        <x:v>0.75 validated session at 268 Hz</x:v>
      </x:c>
      <x:c r="C1756" s="58" t="n">
        <x:v>0.75</x:v>
      </x:c>
      <x:c r="D1756" s="58" t="n">
        <x:v>4</x:v>
      </x:c>
      <x:c r="E1756" s="58" t="n">
        <x:v>1</x:v>
      </x:c>
      <x:c r="F1756" s="58" t="str">
        <x:v>SEARCH</x:v>
      </x:c>
      <x:c r="G1756" s="58" t="n">
        <x:v>7</x:v>
      </x:c>
      <x:c r="H1756" s="59" t="n">
        <x:v>7</x:v>
      </x:c>
      <x:c r="I1756" s="59" t="n">
        <x:v>0.65712</x:v>
      </x:c>
      <x:c r="J1756" s="59" t="n">
        <x:v>0.65932</x:v>
      </x:c>
      <x:c r="K1756" s="59" t="n">
        <x:v>0.24032</x:v>
      </x:c>
      <x:c r="L1756" s="59" t="n">
        <x:v>0.24662</x:v>
      </x:c>
      <x:c r="M1756" s="59" t="n">
        <x:v>0.74431</x:v>
      </x:c>
      <x:c r="N1756" s="60" t="n">
        <x:v>-12.38</x:v>
      </x:c>
      <x:c r="O1756" s="60" t="n">
        <x:v>0.65</x:v>
      </x:c>
      <x:c r="P1756" s="60" t="n">
        <x:v>0.98</x:v>
      </x:c>
      <x:c r="Q1756" s="60" t="n">
        <x:v>79.8</x:v>
      </x:c>
      <x:c r="R1756" s="58" t="str">
        <x:v>X</x:v>
      </x:c>
      <x:c r="S1756" s="60" t="n">
        <x:v>100</x:v>
      </x:c>
      <x:c r="T1756" s="58" t="str">
        <x:v>VALID</x:v>
      </x:c>
      <x:c r="U1756" s="58" t="n">
        <x:v>2746</x:v>
      </x:c>
      <x:c r="V1756" s="58" t="str">
        <x:v>Pasted text(59).txt</x:v>
      </x:c>
    </x:row>
    <x:row r="1757">
      <x:c r="A1757" s="58" t="str">
        <x:v>S18</x:v>
      </x:c>
      <x:c r="B1757" s="58" t="str">
        <x:v>0.75 validated session at 268 Hz</x:v>
      </x:c>
      <x:c r="C1757" s="58" t="n">
        <x:v>0.75</x:v>
      </x:c>
      <x:c r="D1757" s="58" t="n">
        <x:v>4</x:v>
      </x:c>
      <x:c r="E1757" s="58" t="n">
        <x:v>1</x:v>
      </x:c>
      <x:c r="F1757" s="58" t="str">
        <x:v>SEARCH</x:v>
      </x:c>
      <x:c r="G1757" s="58" t="n">
        <x:v>8</x:v>
      </x:c>
      <x:c r="H1757" s="59" t="n">
        <x:v>7.25</x:v>
      </x:c>
      <x:c r="I1757" s="59" t="n">
        <x:v>0.70343</x:v>
      </x:c>
      <x:c r="J1757" s="59" t="n">
        <x:v>0.69932</x:v>
      </x:c>
      <x:c r="K1757" s="59" t="n">
        <x:v>0.2744</x:v>
      </x:c>
      <x:c r="L1757" s="59" t="n">
        <x:v>0.25672</x:v>
      </x:c>
      <x:c r="M1757" s="59" t="n">
        <x:v>0.79527</x:v>
      </x:c>
      <x:c r="N1757" s="60" t="n">
        <x:v>-6.21</x:v>
      </x:c>
      <x:c r="O1757" s="60" t="n">
        <x:v>5.14</x:v>
      </x:c>
      <x:c r="P1757" s="60" t="n">
        <x:v>4.4</x:v>
      </x:c>
      <x:c r="Q1757" s="60" t="n">
        <x:v>82.2</x:v>
      </x:c>
      <x:c r="R1757" s="58" t="str">
        <x:v>X</x:v>
      </x:c>
      <x:c r="S1757" s="60" t="n">
        <x:v>100</x:v>
      </x:c>
      <x:c r="T1757" s="58" t="str">
        <x:v>IN TARGET BAND</x:v>
      </x:c>
      <x:c r="U1757" s="58" t="n">
        <x:v>2747</x:v>
      </x:c>
      <x:c r="V1757" s="58" t="str">
        <x:v>Pasted text(59).txt</x:v>
      </x:c>
    </x:row>
    <x:row r="1758">
      <x:c r="A1758" s="58" t="str">
        <x:v>S18</x:v>
      </x:c>
      <x:c r="B1758" s="58" t="str">
        <x:v>0.75 validated session at 268 Hz</x:v>
      </x:c>
      <x:c r="C1758" s="58" t="n">
        <x:v>0.75</x:v>
      </x:c>
      <x:c r="D1758" s="58" t="n">
        <x:v>4</x:v>
      </x:c>
      <x:c r="E1758" s="58" t="n">
        <x:v>1</x:v>
      </x:c>
      <x:c r="F1758" s="58" t="str">
        <x:v>FINE</x:v>
      </x:c>
      <x:c r="G1758" s="58" t="n">
        <x:v>1</x:v>
      </x:c>
      <x:c r="H1758" s="59" t="n">
        <x:v>6.25</x:v>
      </x:c>
      <x:c r="I1758" s="59" t="n">
        <x:v>0.58487</x:v>
      </x:c>
      <x:c r="J1758" s="59" t="n">
        <x:v>0.58905</x:v>
      </x:c>
      <x:c r="K1758" s="59" t="n">
        <x:v>0.22372</x:v>
      </x:c>
      <x:c r="L1758" s="59" t="n">
        <x:v>0.20679</x:v>
      </x:c>
      <x:c r="M1758" s="59" t="n">
        <x:v>0.66373</x:v>
      </x:c>
      <x:c r="N1758" s="60" t="n">
        <x:v>-22.02</x:v>
      </x:c>
      <x:c r="O1758" s="60" t="n">
        <x:v>1.49</x:v>
      </x:c>
      <x:c r="P1758" s="60" t="n">
        <x:v>2.15</x:v>
      </x:c>
      <x:c r="Q1758" s="60" t="n">
        <x:v>78.8</x:v>
      </x:c>
      <x:c r="R1758" s="58" t="str">
        <x:v>X</x:v>
      </x:c>
      <x:c r="S1758" s="60" t="n">
        <x:v>100</x:v>
      </x:c>
      <x:c r="T1758" s="58" t="str">
        <x:v>VALID</x:v>
      </x:c>
      <x:c r="U1758" s="58" t="n">
        <x:v>2751</x:v>
      </x:c>
      <x:c r="V1758" s="58" t="str">
        <x:v>Pasted text(59).txt</x:v>
      </x:c>
    </x:row>
    <x:row r="1759">
      <x:c r="A1759" s="58" t="str">
        <x:v>S18</x:v>
      </x:c>
      <x:c r="B1759" s="58" t="str">
        <x:v>0.75 validated session at 268 Hz</x:v>
      </x:c>
      <x:c r="C1759" s="58" t="n">
        <x:v>0.75</x:v>
      </x:c>
      <x:c r="D1759" s="58" t="n">
        <x:v>4</x:v>
      </x:c>
      <x:c r="E1759" s="58" t="n">
        <x:v>1</x:v>
      </x:c>
      <x:c r="F1759" s="58" t="str">
        <x:v>FINE</x:v>
      </x:c>
      <x:c r="G1759" s="58" t="n">
        <x:v>2</x:v>
      </x:c>
      <x:c r="H1759" s="59" t="n">
        <x:v>6.5</x:v>
      </x:c>
      <x:c r="I1759" s="59" t="n">
        <x:v>0.59198</x:v>
      </x:c>
      <x:c r="J1759" s="59" t="n">
        <x:v>0.59354</x:v>
      </x:c>
      <x:c r="K1759" s="59" t="n">
        <x:v>0.23472</x:v>
      </x:c>
      <x:c r="L1759" s="59" t="n">
        <x:v>0.19815</x:v>
      </x:c>
      <x:c r="M1759" s="59" t="n">
        <x:v>0.66923</x:v>
      </x:c>
      <x:c r="N1759" s="60" t="n">
        <x:v>-21.07</x:v>
      </x:c>
      <x:c r="O1759" s="60" t="n">
        <x:v>1.33</x:v>
      </x:c>
      <x:c r="P1759" s="60" t="n">
        <x:v>1.31</x:v>
      </x:c>
      <x:c r="Q1759" s="60" t="n">
        <x:v>78.7</x:v>
      </x:c>
      <x:c r="R1759" s="58" t="str">
        <x:v>X</x:v>
      </x:c>
      <x:c r="S1759" s="60" t="n">
        <x:v>100</x:v>
      </x:c>
      <x:c r="T1759" s="58" t="str">
        <x:v>VALID</x:v>
      </x:c>
      <x:c r="U1759" s="58" t="n">
        <x:v>2752</x:v>
      </x:c>
      <x:c r="V1759" s="58" t="str">
        <x:v>Pasted text(59).txt</x:v>
      </x:c>
    </x:row>
    <x:row r="1760">
      <x:c r="A1760" s="58" t="str">
        <x:v>S18</x:v>
      </x:c>
      <x:c r="B1760" s="58" t="str">
        <x:v>0.75 validated session at 268 Hz</x:v>
      </x:c>
      <x:c r="C1760" s="58" t="n">
        <x:v>0.75</x:v>
      </x:c>
      <x:c r="D1760" s="58" t="n">
        <x:v>4</x:v>
      </x:c>
      <x:c r="E1760" s="58" t="n">
        <x:v>1</x:v>
      </x:c>
      <x:c r="F1760" s="58" t="str">
        <x:v>FINE</x:v>
      </x:c>
      <x:c r="G1760" s="58" t="n">
        <x:v>3</x:v>
      </x:c>
      <x:c r="H1760" s="59" t="n">
        <x:v>6.75</x:v>
      </x:c>
      <x:c r="I1760" s="59" t="n">
        <x:v>0.6481</x:v>
      </x:c>
      <x:c r="J1760" s="59" t="n">
        <x:v>0.64958</x:v>
      </x:c>
      <x:c r="K1760" s="59" t="n">
        <x:v>0.22621</x:v>
      </x:c>
      <x:c r="L1760" s="59" t="n">
        <x:v>0.22882</x:v>
      </x:c>
      <x:c r="M1760" s="59" t="n">
        <x:v>0.72511</x:v>
      </x:c>
      <x:c r="N1760" s="60" t="n">
        <x:v>-13.59</x:v>
      </x:c>
      <x:c r="O1760" s="60" t="n">
        <x:v>4.96</x:v>
      </x:c>
      <x:c r="P1760" s="60" t="n">
        <x:v>3.69</x:v>
      </x:c>
      <x:c r="Q1760" s="60" t="n">
        <x:v>78.2</x:v>
      </x:c>
      <x:c r="R1760" s="58" t="str">
        <x:v>X</x:v>
      </x:c>
      <x:c r="S1760" s="60" t="n">
        <x:v>100</x:v>
      </x:c>
      <x:c r="T1760" s="58" t="str">
        <x:v>VALID</x:v>
      </x:c>
      <x:c r="U1760" s="58" t="n">
        <x:v>2753</x:v>
      </x:c>
      <x:c r="V1760" s="58" t="str">
        <x:v>Pasted text(59).txt</x:v>
      </x:c>
    </x:row>
    <x:row r="1761">
      <x:c r="A1761" s="58" t="str">
        <x:v>S18</x:v>
      </x:c>
      <x:c r="B1761" s="58" t="str">
        <x:v>0.75 validated session at 268 Hz</x:v>
      </x:c>
      <x:c r="C1761" s="58" t="n">
        <x:v>0.75</x:v>
      </x:c>
      <x:c r="D1761" s="58" t="n">
        <x:v>4</x:v>
      </x:c>
      <x:c r="E1761" s="58" t="n">
        <x:v>1</x:v>
      </x:c>
      <x:c r="F1761" s="58" t="str">
        <x:v>FINE</x:v>
      </x:c>
      <x:c r="G1761" s="58" t="n">
        <x:v>4</x:v>
      </x:c>
      <x:c r="H1761" s="59" t="n">
        <x:v>7</x:v>
      </x:c>
      <x:c r="I1761" s="59" t="n">
        <x:v>0.68323</x:v>
      </x:c>
      <x:c r="J1761" s="59" t="n">
        <x:v>0.68347</x:v>
      </x:c>
      <x:c r="K1761" s="59" t="n">
        <x:v>0.27034</x:v>
      </x:c>
      <x:c r="L1761" s="59" t="n">
        <x:v>0.23912</x:v>
      </x:c>
      <x:c r="M1761" s="59" t="n">
        <x:v>0.77306</x:v>
      </x:c>
      <x:c r="N1761" s="60" t="n">
        <x:v>-8.9</x:v>
      </x:c>
      <x:c r="O1761" s="60" t="n">
        <x:v>3.05</x:v>
      </x:c>
      <x:c r="P1761" s="60" t="n">
        <x:v>2.11</x:v>
      </x:c>
      <x:c r="Q1761" s="60" t="n">
        <x:v>83.6</x:v>
      </x:c>
      <x:c r="R1761" s="58" t="str">
        <x:v>X</x:v>
      </x:c>
      <x:c r="S1761" s="60" t="n">
        <x:v>100</x:v>
      </x:c>
      <x:c r="T1761" s="58" t="str">
        <x:v>VALID</x:v>
      </x:c>
      <x:c r="U1761" s="58" t="n">
        <x:v>2754</x:v>
      </x:c>
      <x:c r="V1761" s="58" t="str">
        <x:v>Pasted text(59).txt</x:v>
      </x:c>
    </x:row>
    <x:row r="1762">
      <x:c r="A1762" s="58" t="str">
        <x:v>S18</x:v>
      </x:c>
      <x:c r="B1762" s="58" t="str">
        <x:v>0.75 validated session at 268 Hz</x:v>
      </x:c>
      <x:c r="C1762" s="58" t="n">
        <x:v>0.75</x:v>
      </x:c>
      <x:c r="D1762" s="58" t="n">
        <x:v>4</x:v>
      </x:c>
      <x:c r="E1762" s="58" t="n">
        <x:v>1</x:v>
      </x:c>
      <x:c r="F1762" s="58" t="str">
        <x:v>FINE</x:v>
      </x:c>
      <x:c r="G1762" s="58" t="n">
        <x:v>5</x:v>
      </x:c>
      <x:c r="H1762" s="59" t="n">
        <x:v>7.25</x:v>
      </x:c>
      <x:c r="I1762" s="59" t="n">
        <x:v>0.6865</x:v>
      </x:c>
      <x:c r="J1762" s="59" t="n">
        <x:v>0.67606</x:v>
      </x:c>
      <x:c r="K1762" s="59" t="n">
        <x:v>0.26757</x:v>
      </x:c>
      <x:c r="L1762" s="59" t="n">
        <x:v>0.2533</x:v>
      </x:c>
      <x:c r="M1762" s="59" t="n">
        <x:v>0.77003</x:v>
      </x:c>
      <x:c r="N1762" s="60" t="n">
        <x:v>-8.47</x:v>
      </x:c>
      <x:c r="O1762" s="60" t="n">
        <x:v>0.26</x:v>
      </x:c>
      <x:c r="P1762" s="60" t="n">
        <x:v>2.83</x:v>
      </x:c>
      <x:c r="Q1762" s="60" t="n">
        <x:v>81.7</x:v>
      </x:c>
      <x:c r="R1762" s="58" t="str">
        <x:v>X</x:v>
      </x:c>
      <x:c r="S1762" s="60" t="n">
        <x:v>100</x:v>
      </x:c>
      <x:c r="T1762" s="58" t="str">
        <x:v>VALID</x:v>
      </x:c>
      <x:c r="U1762" s="58" t="n">
        <x:v>2755</x:v>
      </x:c>
      <x:c r="V1762" s="58" t="str">
        <x:v>Pasted text(59).txt</x:v>
      </x:c>
    </x:row>
    <x:row r="1763">
      <x:c r="A1763" s="58" t="str">
        <x:v>S18</x:v>
      </x:c>
      <x:c r="B1763" s="58" t="str">
        <x:v>0.75 validated session at 268 Hz</x:v>
      </x:c>
      <x:c r="C1763" s="58" t="n">
        <x:v>0.75</x:v>
      </x:c>
      <x:c r="D1763" s="58" t="n">
        <x:v>4</x:v>
      </x:c>
      <x:c r="E1763" s="58" t="n">
        <x:v>1</x:v>
      </x:c>
      <x:c r="F1763" s="58" t="str">
        <x:v>FINE</x:v>
      </x:c>
      <x:c r="G1763" s="58" t="n">
        <x:v>6</x:v>
      </x:c>
      <x:c r="H1763" s="59" t="n">
        <x:v>7.5</x:v>
      </x:c>
      <x:c r="I1763" s="59" t="n">
        <x:v>0.69961</x:v>
      </x:c>
      <x:c r="J1763" s="59" t="n">
        <x:v>0.70391</x:v>
      </x:c>
      <x:c r="K1763" s="59" t="n">
        <x:v>0.25572</x:v>
      </x:c>
      <x:c r="L1763" s="59" t="n">
        <x:v>0.25261</x:v>
      </x:c>
      <x:c r="M1763" s="59" t="n">
        <x:v>0.79057</x:v>
      </x:c>
      <x:c r="N1763" s="60" t="n">
        <x:v>-6.72</x:v>
      </x:c>
      <x:c r="O1763" s="60" t="n">
        <x:v>1.01</x:v>
      </x:c>
      <x:c r="P1763" s="60" t="n">
        <x:v>1.68</x:v>
      </x:c>
      <x:c r="Q1763" s="60" t="n">
        <x:v>85.9</x:v>
      </x:c>
      <x:c r="R1763" s="58" t="str">
        <x:v>X</x:v>
      </x:c>
      <x:c r="S1763" s="60" t="n">
        <x:v>100</x:v>
      </x:c>
      <x:c r="T1763" s="58" t="str">
        <x:v>IN TARGET BAND</x:v>
      </x:c>
      <x:c r="U1763" s="58" t="n">
        <x:v>2756</x:v>
      </x:c>
      <x:c r="V1763" s="58" t="str">
        <x:v>Pasted text(59).txt</x:v>
      </x:c>
    </x:row>
    <x:row r="1764">
      <x:c r="A1764" s="58" t="str">
        <x:v>S18</x:v>
      </x:c>
      <x:c r="B1764" s="58" t="str">
        <x:v>0.75 validated session at 268 Hz</x:v>
      </x:c>
      <x:c r="C1764" s="58" t="n">
        <x:v>0.75</x:v>
      </x:c>
      <x:c r="D1764" s="58" t="n">
        <x:v>4</x:v>
      </x:c>
      <x:c r="E1764" s="58" t="n">
        <x:v>1</x:v>
      </x:c>
      <x:c r="F1764" s="58" t="str">
        <x:v>FINE</x:v>
      </x:c>
      <x:c r="G1764" s="58" t="n">
        <x:v>7</x:v>
      </x:c>
      <x:c r="H1764" s="59" t="n">
        <x:v>7.75</x:v>
      </x:c>
      <x:c r="I1764" s="59" t="n">
        <x:v>0.74744</x:v>
      </x:c>
      <x:c r="J1764" s="59" t="n">
        <x:v>0.74791</x:v>
      </x:c>
      <x:c r="K1764" s="59" t="n">
        <x:v>0.29247</x:v>
      </x:c>
      <x:c r="L1764" s="59" t="n">
        <x:v>0.2525</x:v>
      </x:c>
      <x:c r="M1764" s="59" t="n">
        <x:v>0.84269</x:v>
      </x:c>
      <x:c r="N1764" s="60" t="n">
        <x:v>-0.34</x:v>
      </x:c>
      <x:c r="O1764" s="60" t="n">
        <x:v>2.04</x:v>
      </x:c>
      <x:c r="P1764" s="60" t="n">
        <x:v>1.47</x:v>
      </x:c>
      <x:c r="Q1764" s="60" t="n">
        <x:v>82.3</x:v>
      </x:c>
      <x:c r="R1764" s="58" t="str">
        <x:v>X</x:v>
      </x:c>
      <x:c r="S1764" s="60" t="n">
        <x:v>100</x:v>
      </x:c>
      <x:c r="T1764" s="58" t="str">
        <x:v>IN TARGET BAND</x:v>
      </x:c>
      <x:c r="U1764" s="58" t="n">
        <x:v>2757</x:v>
      </x:c>
      <x:c r="V1764" s="58" t="str">
        <x:v>Pasted text(59).txt</x:v>
      </x:c>
    </x:row>
    <x:row r="1765">
      <x:c r="A1765" s="58" t="str">
        <x:v>S18</x:v>
      </x:c>
      <x:c r="B1765" s="58" t="str">
        <x:v>0.75 validated session at 268 Hz</x:v>
      </x:c>
      <x:c r="C1765" s="58" t="n">
        <x:v>0.75</x:v>
      </x:c>
      <x:c r="D1765" s="58" t="n">
        <x:v>4</x:v>
      </x:c>
      <x:c r="E1765" s="58" t="n">
        <x:v>1</x:v>
      </x:c>
      <x:c r="F1765" s="58" t="str">
        <x:v>FINE</x:v>
      </x:c>
      <x:c r="G1765" s="58" t="n">
        <x:v>8</x:v>
      </x:c>
      <x:c r="H1765" s="59" t="n">
        <x:v>8</x:v>
      </x:c>
      <x:c r="I1765" s="59" t="n">
        <x:v>0.80517</x:v>
      </x:c>
      <x:c r="J1765" s="59" t="n">
        <x:v>0.80707</x:v>
      </x:c>
      <x:c r="K1765" s="59" t="n">
        <x:v>0.31037</x:v>
      </x:c>
      <x:c r="L1765" s="59" t="n">
        <x:v>0.25284</x:v>
      </x:c>
      <x:c r="M1765" s="59" t="n">
        <x:v>0.90135</x:v>
      </x:c>
      <x:c r="N1765" s="60" t="n">
        <x:v>7.36</x:v>
      </x:c>
      <x:c r="O1765" s="60" t="n">
        <x:v>0.62</x:v>
      </x:c>
      <x:c r="P1765" s="60" t="n">
        <x:v>0.8</x:v>
      </x:c>
      <x:c r="Q1765" s="60" t="n">
        <x:v>86.4</x:v>
      </x:c>
      <x:c r="R1765" s="58" t="str">
        <x:v>X</x:v>
      </x:c>
      <x:c r="S1765" s="60" t="n">
        <x:v>100</x:v>
      </x:c>
      <x:c r="T1765" s="58" t="str">
        <x:v>IN TARGET BAND</x:v>
      </x:c>
      <x:c r="U1765" s="58" t="n">
        <x:v>2758</x:v>
      </x:c>
      <x:c r="V1765" s="58" t="str">
        <x:v>Pasted text(59).txt</x:v>
      </x:c>
    </x:row>
    <x:row r="1766">
      <x:c r="A1766" s="58" t="str">
        <x:v>S18</x:v>
      </x:c>
      <x:c r="B1766" s="58" t="str">
        <x:v>0.75 validated session at 268 Hz</x:v>
      </x:c>
      <x:c r="C1766" s="58" t="n">
        <x:v>0.75</x:v>
      </x:c>
      <x:c r="D1766" s="58" t="n">
        <x:v>4</x:v>
      </x:c>
      <x:c r="E1766" s="58" t="n">
        <x:v>1</x:v>
      </x:c>
      <x:c r="F1766" s="58" t="str">
        <x:v>FINE</x:v>
      </x:c>
      <x:c r="G1766" s="58" t="n">
        <x:v>9</x:v>
      </x:c>
      <x:c r="H1766" s="59" t="n">
        <x:v>8.25</x:v>
      </x:c>
      <x:c r="I1766" s="59" t="n">
        <x:v>0.82953</x:v>
      </x:c>
      <x:c r="J1766" s="59" t="n">
        <x:v>0.82466</x:v>
      </x:c>
      <x:c r="K1766" s="59" t="n">
        <x:v>0.30939</x:v>
      </x:c>
      <x:c r="L1766" s="59" t="n">
        <x:v>0.27504</x:v>
      </x:c>
      <x:c r="M1766" s="59" t="n">
        <x:v>0.92344</x:v>
      </x:c>
      <x:c r="N1766" s="60" t="n">
        <x:v>10.6</x:v>
      </x:c>
      <x:c r="O1766" s="60" t="n">
        <x:v>3.7</x:v>
      </x:c>
      <x:c r="P1766" s="60" t="n">
        <x:v>3.44</x:v>
      </x:c>
      <x:c r="Q1766" s="60" t="n">
        <x:v>86.1</x:v>
      </x:c>
      <x:c r="R1766" s="58" t="str">
        <x:v>X</x:v>
      </x:c>
      <x:c r="S1766" s="60" t="n">
        <x:v>100</x:v>
      </x:c>
      <x:c r="T1766" s="58" t="str">
        <x:v>VALID</x:v>
      </x:c>
      <x:c r="U1766" s="58" t="n">
        <x:v>2759</x:v>
      </x:c>
      <x:c r="V1766" s="58" t="str">
        <x:v>Pasted text(59).txt</x:v>
      </x:c>
    </x:row>
    <x:row r="1767">
      <x:c r="A1767" s="58" t="str">
        <x:v>S18</x:v>
      </x:c>
      <x:c r="B1767" s="58" t="str">
        <x:v>0.75 validated session at 268 Hz</x:v>
      </x:c>
      <x:c r="C1767" s="58" t="n">
        <x:v>0.75</x:v>
      </x:c>
      <x:c r="D1767" s="58" t="n">
        <x:v>4</x:v>
      </x:c>
      <x:c r="E1767" s="58" t="n">
        <x:v>1</x:v>
      </x:c>
      <x:c r="F1767" s="58" t="str">
        <x:v>FINAL</x:v>
      </x:c>
      <x:c r="G1767" s="58" t="n">
        <x:v>1</x:v>
      </x:c>
      <x:c r="H1767" s="59" t="n">
        <x:v>7.75</x:v>
      </x:c>
      <x:c r="I1767" s="59" t="n">
        <x:v>0.75372</x:v>
      </x:c>
      <x:c r="J1767" s="59" t="n">
        <x:v>0.76062</x:v>
      </x:c>
      <x:c r="K1767" s="59" t="n">
        <x:v>0.2944</x:v>
      </x:c>
      <x:c r="L1767" s="59" t="n">
        <x:v>0.28271</x:v>
      </x:c>
      <x:c r="M1767" s="59" t="n">
        <x:v>0.8634</x:v>
      </x:c>
      <x:c r="N1767" s="60" t="n">
        <x:v>0.5</x:v>
      </x:c>
      <x:c r="O1767" s="60" t="n">
        <x:v>3.62</x:v>
      </x:c>
      <x:c r="P1767" s="60" t="n">
        <x:v>3.1</x:v>
      </x:c>
      <x:c r="Q1767" s="60" t="n">
        <x:v>82.8</x:v>
      </x:c>
      <x:c r="R1767" s="58" t="str">
        <x:v>X</x:v>
      </x:c>
      <x:c r="S1767" s="60" t="n">
        <x:v>100</x:v>
      </x:c>
      <x:c r="T1767" s="58" t="str">
        <x:v>IN TARGET BAND</x:v>
      </x:c>
      <x:c r="U1767" s="58" t="n">
        <x:v>2762</x:v>
      </x:c>
      <x:c r="V1767" s="58" t="str">
        <x:v>Pasted text(59).txt</x:v>
      </x:c>
    </x:row>
    <x:row r="1768">
      <x:c r="A1768" s="58" t="str">
        <x:v>S18</x:v>
      </x:c>
      <x:c r="B1768" s="58" t="str">
        <x:v>0.75 validated session at 268 Hz</x:v>
      </x:c>
      <x:c r="C1768" s="58" t="n">
        <x:v>0.75</x:v>
      </x:c>
      <x:c r="D1768" s="58" t="n">
        <x:v>4</x:v>
      </x:c>
      <x:c r="E1768" s="58" t="n">
        <x:v>1</x:v>
      </x:c>
      <x:c r="F1768" s="58" t="str">
        <x:v>FINAL</x:v>
      </x:c>
      <x:c r="G1768" s="58" t="n">
        <x:v>2</x:v>
      </x:c>
      <x:c r="H1768" s="59" t="n">
        <x:v>7.75</x:v>
      </x:c>
      <x:c r="I1768" s="59" t="n">
        <x:v>0.80653</x:v>
      </x:c>
      <x:c r="J1768" s="59" t="n">
        <x:v>0.79486</x:v>
      </x:c>
      <x:c r="K1768" s="59" t="n">
        <x:v>0.31181</x:v>
      </x:c>
      <x:c r="L1768" s="59" t="n">
        <x:v>0.24123</x:v>
      </x:c>
      <x:c r="M1768" s="59" t="n">
        <x:v>0.88741</x:v>
      </x:c>
      <x:c r="N1768" s="60" t="n">
        <x:v>7.54</x:v>
      </x:c>
      <x:c r="O1768" s="60" t="n">
        <x:v>3.01</x:v>
      </x:c>
      <x:c r="P1768" s="60" t="n">
        <x:v>3.2</x:v>
      </x:c>
      <x:c r="Q1768" s="60" t="n">
        <x:v>83.9</x:v>
      </x:c>
      <x:c r="R1768" s="58" t="str">
        <x:v>X</x:v>
      </x:c>
      <x:c r="S1768" s="60" t="n">
        <x:v>100</x:v>
      </x:c>
      <x:c r="T1768" s="58" t="str">
        <x:v>VALID</x:v>
      </x:c>
      <x:c r="U1768" s="58" t="n">
        <x:v>2763</x:v>
      </x:c>
      <x:c r="V1768" s="58" t="str">
        <x:v>Pasted text(59).txt</x:v>
      </x:c>
    </x:row>
    <x:row r="1769">
      <x:c r="A1769" s="58" t="str">
        <x:v>S18</x:v>
      </x:c>
      <x:c r="B1769" s="58" t="str">
        <x:v>0.75 validated session at 268 Hz</x:v>
      </x:c>
      <x:c r="C1769" s="58" t="n">
        <x:v>0.75</x:v>
      </x:c>
      <x:c r="D1769" s="58" t="n">
        <x:v>4</x:v>
      </x:c>
      <x:c r="E1769" s="58" t="n">
        <x:v>1</x:v>
      </x:c>
      <x:c r="F1769" s="58" t="str">
        <x:v>FINAL</x:v>
      </x:c>
      <x:c r="G1769" s="58" t="n">
        <x:v>3</x:v>
      </x:c>
      <x:c r="H1769" s="59" t="n">
        <x:v>7.75</x:v>
      </x:c>
      <x:c r="I1769" s="59" t="n">
        <x:v>0.76911</x:v>
      </x:c>
      <x:c r="J1769" s="59" t="n">
        <x:v>0.77993</x:v>
      </x:c>
      <x:c r="K1769" s="59" t="n">
        <x:v>0.2997</x:v>
      </x:c>
      <x:c r="L1769" s="59" t="n">
        <x:v>0.25152</x:v>
      </x:c>
      <x:c r="M1769" s="59" t="n">
        <x:v>0.87312</x:v>
      </x:c>
      <x:c r="N1769" s="60" t="n">
        <x:v>2.55</x:v>
      </x:c>
      <x:c r="O1769" s="60" t="n">
        <x:v>1.18</x:v>
      </x:c>
      <x:c r="P1769" s="60" t="n">
        <x:v>2.56</x:v>
      </x:c>
      <x:c r="Q1769" s="60" t="n">
        <x:v>82.6</x:v>
      </x:c>
      <x:c r="R1769" s="58" t="str">
        <x:v>X</x:v>
      </x:c>
      <x:c r="S1769" s="60" t="n">
        <x:v>100</x:v>
      </x:c>
      <x:c r="T1769" s="58" t="str">
        <x:v>IN TARGET BAND</x:v>
      </x:c>
      <x:c r="U1769" s="58" t="n">
        <x:v>2764</x:v>
      </x:c>
      <x:c r="V1769" s="58" t="str">
        <x:v>Pasted text(59).txt</x:v>
      </x:c>
    </x:row>
    <x:row r="1770">
      <x:c r="A1770" s="58" t="str">
        <x:v>S18</x:v>
      </x:c>
      <x:c r="B1770" s="58" t="str">
        <x:v>0.75 validated session at 268 Hz</x:v>
      </x:c>
      <x:c r="C1770" s="58" t="n">
        <x:v>0.75</x:v>
      </x:c>
      <x:c r="D1770" s="58" t="n">
        <x:v>5</x:v>
      </x:c>
      <x:c r="E1770" s="58" t="n">
        <x:v>1</x:v>
      </x:c>
      <x:c r="F1770" s="58" t="str">
        <x:v>SEARCH</x:v>
      </x:c>
      <x:c r="G1770" s="58" t="n">
        <x:v>1</x:v>
      </x:c>
      <x:c r="H1770" s="59" t="n">
        <x:v>1</x:v>
      </x:c>
      <x:c r="I1770" s="59" t="n">
        <x:v>0.0187</x:v>
      </x:c>
      <x:c r="J1770" s="59" t="n">
        <x:v>0.02092</x:v>
      </x:c>
      <x:c r="K1770" s="59" t="n">
        <x:v>0.03874</x:v>
      </x:c>
      <x:c r="L1770" s="59" t="n">
        <x:v>0.03304</x:v>
      </x:c>
      <x:c r="M1770" s="59" t="n">
        <x:v>0.05852</x:v>
      </x:c>
      <x:c r="N1770" s="60" t="n">
        <x:v>-97.51</x:v>
      </x:c>
      <x:c r="O1770" s="60" t="n">
        <x:v>76.59</x:v>
      </x:c>
      <x:c r="P1770" s="60" t="n">
        <x:v>62.75</x:v>
      </x:c>
      <x:c r="Q1770" s="60" t="n">
        <x:v>6.5</x:v>
      </x:c>
      <x:c r="R1770" s="58" t="str">
        <x:v>Y</x:v>
      </x:c>
      <x:c r="S1770" s="60" t="n">
        <x:v>54</x:v>
      </x:c>
      <x:c r="T1770" s="58" t="str">
        <x:v>BELOW MEASUREMENT FLOOR — SEARCH CONTINUES</x:v>
      </x:c>
      <x:c r="U1770" s="58" t="n">
        <x:v>2820</x:v>
      </x:c>
      <x:c r="V1770" s="58" t="str">
        <x:v>Pasted text(59).txt</x:v>
      </x:c>
    </x:row>
    <x:row r="1771">
      <x:c r="A1771" s="58" t="str">
        <x:v>S18</x:v>
      </x:c>
      <x:c r="B1771" s="58" t="str">
        <x:v>0.75 validated session at 268 Hz</x:v>
      </x:c>
      <x:c r="C1771" s="58" t="n">
        <x:v>0.75</x:v>
      </x:c>
      <x:c r="D1771" s="58" t="n">
        <x:v>5</x:v>
      </x:c>
      <x:c r="E1771" s="58" t="n">
        <x:v>1</x:v>
      </x:c>
      <x:c r="F1771" s="58" t="str">
        <x:v>SEARCH</x:v>
      </x:c>
      <x:c r="G1771" s="58" t="n">
        <x:v>2</x:v>
      </x:c>
      <x:c r="H1771" s="59" t="n">
        <x:v>3</x:v>
      </x:c>
      <x:c r="I1771" s="59" t="n">
        <x:v>0.20414</x:v>
      </x:c>
      <x:c r="J1771" s="59" t="n">
        <x:v>0.19574</x:v>
      </x:c>
      <x:c r="K1771" s="59" t="n">
        <x:v>0.07175</x:v>
      </x:c>
      <x:c r="L1771" s="59" t="n">
        <x:v>0.09523</x:v>
      </x:c>
      <x:c r="M1771" s="59" t="n">
        <x:v>0.2316</x:v>
      </x:c>
      <x:c r="N1771" s="60" t="n">
        <x:v>-72.78</x:v>
      </x:c>
      <x:c r="O1771" s="60" t="n">
        <x:v>3.9</x:v>
      </x:c>
      <x:c r="P1771" s="60" t="n">
        <x:v>9.91</x:v>
      </x:c>
      <x:c r="Q1771" s="60" t="n">
        <x:v>42.5</x:v>
      </x:c>
      <x:c r="R1771" s="58" t="str">
        <x:v>X</x:v>
      </x:c>
      <x:c r="S1771" s="60" t="n">
        <x:v>100</x:v>
      </x:c>
      <x:c r="T1771" s="58" t="str">
        <x:v>UNSTABLE — SEARCH CONTINUES</x:v>
      </x:c>
      <x:c r="U1771" s="58" t="n">
        <x:v>2821</x:v>
      </x:c>
      <x:c r="V1771" s="58" t="str">
        <x:v>Pasted text(59).txt</x:v>
      </x:c>
    </x:row>
    <x:row r="1772">
      <x:c r="A1772" s="58" t="str">
        <x:v>S18</x:v>
      </x:c>
      <x:c r="B1772" s="58" t="str">
        <x:v>0.75 validated session at 268 Hz</x:v>
      </x:c>
      <x:c r="C1772" s="58" t="n">
        <x:v>0.75</x:v>
      </x:c>
      <x:c r="D1772" s="58" t="n">
        <x:v>5</x:v>
      </x:c>
      <x:c r="E1772" s="58" t="n">
        <x:v>1</x:v>
      </x:c>
      <x:c r="F1772" s="58" t="str">
        <x:v>SEARCH</x:v>
      </x:c>
      <x:c r="G1772" s="58" t="n">
        <x:v>3</x:v>
      </x:c>
      <x:c r="H1772" s="59" t="n">
        <x:v>4</x:v>
      </x:c>
      <x:c r="I1772" s="59" t="n">
        <x:v>0.32577</x:v>
      </x:c>
      <x:c r="J1772" s="59" t="n">
        <x:v>0.31049</x:v>
      </x:c>
      <x:c r="K1772" s="59" t="n">
        <x:v>0.12513</x:v>
      </x:c>
      <x:c r="L1772" s="59" t="n">
        <x:v>0.11984</x:v>
      </x:c>
      <x:c r="M1772" s="59" t="n">
        <x:v>0.35681</x:v>
      </x:c>
      <x:c r="N1772" s="60" t="n">
        <x:v>-56.56</x:v>
      </x:c>
      <x:c r="O1772" s="60" t="n">
        <x:v>1.84</x:v>
      </x:c>
      <x:c r="P1772" s="60" t="n">
        <x:v>9.67</x:v>
      </x:c>
      <x:c r="Q1772" s="60" t="n">
        <x:v>56.1</x:v>
      </x:c>
      <x:c r="R1772" s="58" t="str">
        <x:v>X</x:v>
      </x:c>
      <x:c r="S1772" s="60" t="n">
        <x:v>100</x:v>
      </x:c>
      <x:c r="T1772" s="58" t="str">
        <x:v>VALID</x:v>
      </x:c>
      <x:c r="U1772" s="58" t="n">
        <x:v>2822</x:v>
      </x:c>
      <x:c r="V1772" s="58" t="str">
        <x:v>Pasted text(59).txt</x:v>
      </x:c>
    </x:row>
    <x:row r="1773">
      <x:c r="A1773" s="58" t="str">
        <x:v>S18</x:v>
      </x:c>
      <x:c r="B1773" s="58" t="str">
        <x:v>0.75 validated session at 268 Hz</x:v>
      </x:c>
      <x:c r="C1773" s="58" t="n">
        <x:v>0.75</x:v>
      </x:c>
      <x:c r="D1773" s="58" t="n">
        <x:v>5</x:v>
      </x:c>
      <x:c r="E1773" s="58" t="n">
        <x:v>1</x:v>
      </x:c>
      <x:c r="F1773" s="58" t="str">
        <x:v>SEARCH</x:v>
      </x:c>
      <x:c r="G1773" s="58" t="n">
        <x:v>4</x:v>
      </x:c>
      <x:c r="H1773" s="59" t="n">
        <x:v>5</x:v>
      </x:c>
      <x:c r="I1773" s="59" t="n">
        <x:v>0.42992</x:v>
      </x:c>
      <x:c r="J1773" s="59" t="n">
        <x:v>0.43271</x:v>
      </x:c>
      <x:c r="K1773" s="59" t="n">
        <x:v>0.13724</x:v>
      </x:c>
      <x:c r="L1773" s="59" t="n">
        <x:v>0.15513</x:v>
      </x:c>
      <x:c r="M1773" s="59" t="n">
        <x:v>0.48028</x:v>
      </x:c>
      <x:c r="N1773" s="60" t="n">
        <x:v>-42.68</x:v>
      </x:c>
      <x:c r="O1773" s="60" t="n">
        <x:v>2.71</x:v>
      </x:c>
      <x:c r="P1773" s="60" t="n">
        <x:v>2.84</x:v>
      </x:c>
      <x:c r="Q1773" s="60" t="n">
        <x:v>68.9</x:v>
      </x:c>
      <x:c r="R1773" s="58" t="str">
        <x:v>X</x:v>
      </x:c>
      <x:c r="S1773" s="60" t="n">
        <x:v>100</x:v>
      </x:c>
      <x:c r="T1773" s="58" t="str">
        <x:v>VALID</x:v>
      </x:c>
      <x:c r="U1773" s="58" t="n">
        <x:v>2823</x:v>
      </x:c>
      <x:c r="V1773" s="58" t="str">
        <x:v>Pasted text(59).txt</x:v>
      </x:c>
    </x:row>
    <x:row r="1774">
      <x:c r="A1774" s="58" t="str">
        <x:v>S18</x:v>
      </x:c>
      <x:c r="B1774" s="58" t="str">
        <x:v>0.75 validated session at 268 Hz</x:v>
      </x:c>
      <x:c r="C1774" s="58" t="n">
        <x:v>0.75</x:v>
      </x:c>
      <x:c r="D1774" s="58" t="n">
        <x:v>5</x:v>
      </x:c>
      <x:c r="E1774" s="58" t="n">
        <x:v>1</x:v>
      </x:c>
      <x:c r="F1774" s="58" t="str">
        <x:v>SEARCH</x:v>
      </x:c>
      <x:c r="G1774" s="58" t="n">
        <x:v>5</x:v>
      </x:c>
      <x:c r="H1774" s="59" t="n">
        <x:v>6</x:v>
      </x:c>
      <x:c r="I1774" s="59" t="n">
        <x:v>0.53567</x:v>
      </x:c>
      <x:c r="J1774" s="59" t="n">
        <x:v>0.54098</x:v>
      </x:c>
      <x:c r="K1774" s="59" t="n">
        <x:v>0.21778</x:v>
      </x:c>
      <x:c r="L1774" s="59" t="n">
        <x:v>0.22099</x:v>
      </x:c>
      <x:c r="M1774" s="59" t="n">
        <x:v>0.62405</x:v>
      </x:c>
      <x:c r="N1774" s="60" t="n">
        <x:v>-28.58</x:v>
      </x:c>
      <x:c r="O1774" s="60" t="n">
        <x:v>1.6</x:v>
      </x:c>
      <x:c r="P1774" s="60" t="n">
        <x:v>2.68</x:v>
      </x:c>
      <x:c r="Q1774" s="60" t="n">
        <x:v>75.9</x:v>
      </x:c>
      <x:c r="R1774" s="58" t="str">
        <x:v>X</x:v>
      </x:c>
      <x:c r="S1774" s="60" t="n">
        <x:v>100</x:v>
      </x:c>
      <x:c r="T1774" s="58" t="str">
        <x:v>VALID</x:v>
      </x:c>
      <x:c r="U1774" s="58" t="n">
        <x:v>2824</x:v>
      </x:c>
      <x:c r="V1774" s="58" t="str">
        <x:v>Pasted text(59).txt</x:v>
      </x:c>
    </x:row>
    <x:row r="1775">
      <x:c r="A1775" s="58" t="str">
        <x:v>S18</x:v>
      </x:c>
      <x:c r="B1775" s="58" t="str">
        <x:v>0.75 validated session at 268 Hz</x:v>
      </x:c>
      <x:c r="C1775" s="58" t="n">
        <x:v>0.75</x:v>
      </x:c>
      <x:c r="D1775" s="58" t="n">
        <x:v>5</x:v>
      </x:c>
      <x:c r="E1775" s="58" t="n">
        <x:v>1</x:v>
      </x:c>
      <x:c r="F1775" s="58" t="str">
        <x:v>SEARCH</x:v>
      </x:c>
      <x:c r="G1775" s="58" t="n">
        <x:v>6</x:v>
      </x:c>
      <x:c r="H1775" s="59" t="n">
        <x:v>6.5</x:v>
      </x:c>
      <x:c r="I1775" s="59" t="n">
        <x:v>0.57668</x:v>
      </x:c>
      <x:c r="J1775" s="59" t="n">
        <x:v>0.58077</x:v>
      </x:c>
      <x:c r="K1775" s="59" t="n">
        <x:v>0.21134</x:v>
      </x:c>
      <x:c r="L1775" s="59" t="n">
        <x:v>0.20996</x:v>
      </x:c>
      <x:c r="M1775" s="59" t="n">
        <x:v>0.65306</x:v>
      </x:c>
      <x:c r="N1775" s="60" t="n">
        <x:v>-23.11</x:v>
      </x:c>
      <x:c r="O1775" s="60" t="n">
        <x:v>3.19</x:v>
      </x:c>
      <x:c r="P1775" s="60" t="n">
        <x:v>3.25</x:v>
      </x:c>
      <x:c r="Q1775" s="60" t="n">
        <x:v>79.1</x:v>
      </x:c>
      <x:c r="R1775" s="58" t="str">
        <x:v>X</x:v>
      </x:c>
      <x:c r="S1775" s="60" t="n">
        <x:v>100</x:v>
      </x:c>
      <x:c r="T1775" s="58" t="str">
        <x:v>VALID</x:v>
      </x:c>
      <x:c r="U1775" s="58" t="n">
        <x:v>2825</x:v>
      </x:c>
      <x:c r="V1775" s="58" t="str">
        <x:v>Pasted text(59).txt</x:v>
      </x:c>
    </x:row>
    <x:row r="1776">
      <x:c r="A1776" s="58" t="str">
        <x:v>S18</x:v>
      </x:c>
      <x:c r="B1776" s="58" t="str">
        <x:v>0.75 validated session at 268 Hz</x:v>
      </x:c>
      <x:c r="C1776" s="58" t="n">
        <x:v>0.75</x:v>
      </x:c>
      <x:c r="D1776" s="58" t="n">
        <x:v>5</x:v>
      </x:c>
      <x:c r="E1776" s="58" t="n">
        <x:v>1</x:v>
      </x:c>
      <x:c r="F1776" s="58" t="str">
        <x:v>SEARCH</x:v>
      </x:c>
      <x:c r="G1776" s="58" t="n">
        <x:v>7</x:v>
      </x:c>
      <x:c r="H1776" s="59" t="n">
        <x:v>7</x:v>
      </x:c>
      <x:c r="I1776" s="59" t="n">
        <x:v>0.68971</x:v>
      </x:c>
      <x:c r="J1776" s="59" t="n">
        <x:v>0.68314</x:v>
      </x:c>
      <x:c r="K1776" s="59" t="n">
        <x:v>0.25229</x:v>
      </x:c>
      <x:c r="L1776" s="59" t="n">
        <x:v>0.23787</x:v>
      </x:c>
      <x:c r="M1776" s="59" t="n">
        <x:v>0.76669</x:v>
      </x:c>
      <x:c r="N1776" s="60" t="n">
        <x:v>-8.04</x:v>
      </x:c>
      <x:c r="O1776" s="60" t="n">
        <x:v>1.61</x:v>
      </x:c>
      <x:c r="P1776" s="60" t="n">
        <x:v>2.67</x:v>
      </x:c>
      <x:c r="Q1776" s="60" t="n">
        <x:v>83</x:v>
      </x:c>
      <x:c r="R1776" s="58" t="str">
        <x:v>X</x:v>
      </x:c>
      <x:c r="S1776" s="60" t="n">
        <x:v>100</x:v>
      </x:c>
      <x:c r="T1776" s="58" t="str">
        <x:v>VALID</x:v>
      </x:c>
      <x:c r="U1776" s="58" t="n">
        <x:v>2826</x:v>
      </x:c>
      <x:c r="V1776" s="58" t="str">
        <x:v>Pasted text(59).txt</x:v>
      </x:c>
    </x:row>
    <x:row r="1777">
      <x:c r="A1777" s="58" t="str">
        <x:v>S18</x:v>
      </x:c>
      <x:c r="B1777" s="58" t="str">
        <x:v>0.75 validated session at 268 Hz</x:v>
      </x:c>
      <x:c r="C1777" s="58" t="n">
        <x:v>0.75</x:v>
      </x:c>
      <x:c r="D1777" s="58" t="n">
        <x:v>5</x:v>
      </x:c>
      <x:c r="E1777" s="58" t="n">
        <x:v>1</x:v>
      </x:c>
      <x:c r="F1777" s="58" t="str">
        <x:v>SEARCH</x:v>
      </x:c>
      <x:c r="G1777" s="58" t="n">
        <x:v>8</x:v>
      </x:c>
      <x:c r="H1777" s="59" t="n">
        <x:v>7.25</x:v>
      </x:c>
      <x:c r="I1777" s="59" t="n">
        <x:v>0.66889</x:v>
      </x:c>
      <x:c r="J1777" s="59" t="n">
        <x:v>0.67365</x:v>
      </x:c>
      <x:c r="K1777" s="59" t="n">
        <x:v>0.26424</x:v>
      </x:c>
      <x:c r="L1777" s="59" t="n">
        <x:v>0.23721</x:v>
      </x:c>
      <x:c r="M1777" s="59" t="n">
        <x:v>0.762</x:v>
      </x:c>
      <x:c r="N1777" s="60" t="n">
        <x:v>-10.81</x:v>
      </x:c>
      <x:c r="O1777" s="60" t="n">
        <x:v>3.72</x:v>
      </x:c>
      <x:c r="P1777" s="60" t="n">
        <x:v>3.6</x:v>
      </x:c>
      <x:c r="Q1777" s="60" t="n">
        <x:v>81.3</x:v>
      </x:c>
      <x:c r="R1777" s="58" t="str">
        <x:v>X</x:v>
      </x:c>
      <x:c r="S1777" s="60" t="n">
        <x:v>100</x:v>
      </x:c>
      <x:c r="T1777" s="58" t="str">
        <x:v>VALID</x:v>
      </x:c>
      <x:c r="U1777" s="58" t="n">
        <x:v>2827</x:v>
      </x:c>
      <x:c r="V1777" s="58" t="str">
        <x:v>Pasted text(59).txt</x:v>
      </x:c>
    </x:row>
    <x:row r="1778">
      <x:c r="A1778" s="58" t="str">
        <x:v>S18</x:v>
      </x:c>
      <x:c r="B1778" s="58" t="str">
        <x:v>0.75 validated session at 268 Hz</x:v>
      </x:c>
      <x:c r="C1778" s="58" t="n">
        <x:v>0.75</x:v>
      </x:c>
      <x:c r="D1778" s="58" t="n">
        <x:v>5</x:v>
      </x:c>
      <x:c r="E1778" s="58" t="n">
        <x:v>1</x:v>
      </x:c>
      <x:c r="F1778" s="58" t="str">
        <x:v>SEARCH</x:v>
      </x:c>
      <x:c r="G1778" s="58" t="n">
        <x:v>9</x:v>
      </x:c>
      <x:c r="H1778" s="59" t="n">
        <x:v>7.5</x:v>
      </x:c>
      <x:c r="I1778" s="59" t="n">
        <x:v>0.7059</x:v>
      </x:c>
      <x:c r="J1778" s="59" t="n">
        <x:v>0.7096</x:v>
      </x:c>
      <x:c r="K1778" s="59" t="n">
        <x:v>0.2863</x:v>
      </x:c>
      <x:c r="L1778" s="59" t="n">
        <x:v>0.26292</x:v>
      </x:c>
      <x:c r="M1778" s="59" t="n">
        <x:v>0.80918</x:v>
      </x:c>
      <x:c r="N1778" s="60" t="n">
        <x:v>-5.88</x:v>
      </x:c>
      <x:c r="O1778" s="60" t="n">
        <x:v>2.5</x:v>
      </x:c>
      <x:c r="P1778" s="60" t="n">
        <x:v>2.5</x:v>
      </x:c>
      <x:c r="Q1778" s="60" t="n">
        <x:v>84</x:v>
      </x:c>
      <x:c r="R1778" s="58" t="str">
        <x:v>X</x:v>
      </x:c>
      <x:c r="S1778" s="60" t="n">
        <x:v>100</x:v>
      </x:c>
      <x:c r="T1778" s="58" t="str">
        <x:v>IN TARGET BAND</x:v>
      </x:c>
      <x:c r="U1778" s="58" t="n">
        <x:v>2828</x:v>
      </x:c>
      <x:c r="V1778" s="58" t="str">
        <x:v>Pasted text(59).txt</x:v>
      </x:c>
    </x:row>
    <x:row r="1779">
      <x:c r="A1779" s="58" t="str">
        <x:v>S18</x:v>
      </x:c>
      <x:c r="B1779" s="58" t="str">
        <x:v>0.75 validated session at 268 Hz</x:v>
      </x:c>
      <x:c r="C1779" s="58" t="n">
        <x:v>0.75</x:v>
      </x:c>
      <x:c r="D1779" s="58" t="n">
        <x:v>5</x:v>
      </x:c>
      <x:c r="E1779" s="58" t="n">
        <x:v>1</x:v>
      </x:c>
      <x:c r="F1779" s="58" t="str">
        <x:v>FINE</x:v>
      </x:c>
      <x:c r="G1779" s="58" t="n">
        <x:v>1</x:v>
      </x:c>
      <x:c r="H1779" s="59" t="n">
        <x:v>6.5</x:v>
      </x:c>
      <x:c r="I1779" s="59" t="n">
        <x:v>0.55905</x:v>
      </x:c>
      <x:c r="J1779" s="59" t="n">
        <x:v>0.5597</x:v>
      </x:c>
      <x:c r="K1779" s="59" t="n">
        <x:v>0.21614</x:v>
      </x:c>
      <x:c r="L1779" s="59" t="n">
        <x:v>0.19301</x:v>
      </x:c>
      <x:c r="M1779" s="59" t="n">
        <x:v>0.63091</x:v>
      </x:c>
      <x:c r="N1779" s="60" t="n">
        <x:v>-25.46</x:v>
      </x:c>
      <x:c r="O1779" s="60" t="n">
        <x:v>1.76</x:v>
      </x:c>
      <x:c r="P1779" s="60" t="n">
        <x:v>1.36</x:v>
      </x:c>
      <x:c r="Q1779" s="60" t="n">
        <x:v>78.4</x:v>
      </x:c>
      <x:c r="R1779" s="58" t="str">
        <x:v>X</x:v>
      </x:c>
      <x:c r="S1779" s="60" t="n">
        <x:v>100</x:v>
      </x:c>
      <x:c r="T1779" s="58" t="str">
        <x:v>VALID</x:v>
      </x:c>
      <x:c r="U1779" s="58" t="n">
        <x:v>2832</x:v>
      </x:c>
      <x:c r="V1779" s="58" t="str">
        <x:v>Pasted text(59).txt</x:v>
      </x:c>
    </x:row>
    <x:row r="1780">
      <x:c r="A1780" s="58" t="str">
        <x:v>S18</x:v>
      </x:c>
      <x:c r="B1780" s="58" t="str">
        <x:v>0.75 validated session at 268 Hz</x:v>
      </x:c>
      <x:c r="C1780" s="58" t="n">
        <x:v>0.75</x:v>
      </x:c>
      <x:c r="D1780" s="58" t="n">
        <x:v>5</x:v>
      </x:c>
      <x:c r="E1780" s="58" t="n">
        <x:v>1</x:v>
      </x:c>
      <x:c r="F1780" s="58" t="str">
        <x:v>FINE</x:v>
      </x:c>
      <x:c r="G1780" s="58" t="n">
        <x:v>2</x:v>
      </x:c>
      <x:c r="H1780" s="59" t="n">
        <x:v>6.75</x:v>
      </x:c>
      <x:c r="I1780" s="59" t="n">
        <x:v>0.63014</x:v>
      </x:c>
      <x:c r="J1780" s="59" t="n">
        <x:v>0.64124</x:v>
      </x:c>
      <x:c r="K1780" s="59" t="n">
        <x:v>0.26651</x:v>
      </x:c>
      <x:c r="L1780" s="59" t="n">
        <x:v>0.22305</x:v>
      </x:c>
      <x:c r="M1780" s="59" t="n">
        <x:v>0.72957</x:v>
      </x:c>
      <x:c r="N1780" s="60" t="n">
        <x:v>-15.98</x:v>
      </x:c>
      <x:c r="O1780" s="60" t="n">
        <x:v>2.9</x:v>
      </x:c>
      <x:c r="P1780" s="60" t="n">
        <x:v>4.76</x:v>
      </x:c>
      <x:c r="Q1780" s="60" t="n">
        <x:v>80.1</x:v>
      </x:c>
      <x:c r="R1780" s="58" t="str">
        <x:v>X</x:v>
      </x:c>
      <x:c r="S1780" s="60" t="n">
        <x:v>100</x:v>
      </x:c>
      <x:c r="T1780" s="58" t="str">
        <x:v>VALID</x:v>
      </x:c>
      <x:c r="U1780" s="58" t="n">
        <x:v>2833</x:v>
      </x:c>
      <x:c r="V1780" s="58" t="str">
        <x:v>Pasted text(59).txt</x:v>
      </x:c>
    </x:row>
    <x:row r="1781">
      <x:c r="A1781" s="58" t="str">
        <x:v>S18</x:v>
      </x:c>
      <x:c r="B1781" s="58" t="str">
        <x:v>0.75 validated session at 268 Hz</x:v>
      </x:c>
      <x:c r="C1781" s="58" t="n">
        <x:v>0.75</x:v>
      </x:c>
      <x:c r="D1781" s="58" t="n">
        <x:v>5</x:v>
      </x:c>
      <x:c r="E1781" s="58" t="n">
        <x:v>1</x:v>
      </x:c>
      <x:c r="F1781" s="58" t="str">
        <x:v>FINE</x:v>
      </x:c>
      <x:c r="G1781" s="58" t="n">
        <x:v>3</x:v>
      </x:c>
      <x:c r="H1781" s="59" t="n">
        <x:v>7</x:v>
      </x:c>
      <x:c r="I1781" s="59" t="n">
        <x:v>0.67324</x:v>
      </x:c>
      <x:c r="J1781" s="59" t="n">
        <x:v>0.6615</x:v>
      </x:c>
      <x:c r="K1781" s="59" t="n">
        <x:v>0.24243</x:v>
      </x:c>
      <x:c r="L1781" s="59" t="n">
        <x:v>0.23278</x:v>
      </x:c>
      <x:c r="M1781" s="59" t="n">
        <x:v>0.74227</x:v>
      </x:c>
      <x:c r="N1781" s="60" t="n">
        <x:v>-10.23</x:v>
      </x:c>
      <x:c r="O1781" s="60" t="n">
        <x:v>1.74</x:v>
      </x:c>
      <x:c r="P1781" s="60" t="n">
        <x:v>4.15</x:v>
      </x:c>
      <x:c r="Q1781" s="60" t="n">
        <x:v>80.5</x:v>
      </x:c>
      <x:c r="R1781" s="58" t="str">
        <x:v>X</x:v>
      </x:c>
      <x:c r="S1781" s="60" t="n">
        <x:v>100</x:v>
      </x:c>
      <x:c r="T1781" s="58" t="str">
        <x:v>VALID</x:v>
      </x:c>
      <x:c r="U1781" s="58" t="n">
        <x:v>2834</x:v>
      </x:c>
      <x:c r="V1781" s="58" t="str">
        <x:v>Pasted text(59).txt</x:v>
      </x:c>
    </x:row>
    <x:row r="1782">
      <x:c r="A1782" s="58" t="str">
        <x:v>S18</x:v>
      </x:c>
      <x:c r="B1782" s="58" t="str">
        <x:v>0.75 validated session at 268 Hz</x:v>
      </x:c>
      <x:c r="C1782" s="58" t="n">
        <x:v>0.75</x:v>
      </x:c>
      <x:c r="D1782" s="58" t="n">
        <x:v>5</x:v>
      </x:c>
      <x:c r="E1782" s="58" t="n">
        <x:v>1</x:v>
      </x:c>
      <x:c r="F1782" s="58" t="str">
        <x:v>FINE</x:v>
      </x:c>
      <x:c r="G1782" s="58" t="n">
        <x:v>4</x:v>
      </x:c>
      <x:c r="H1782" s="59" t="n">
        <x:v>7.25</x:v>
      </x:c>
      <x:c r="I1782" s="59" t="n">
        <x:v>0.69301</x:v>
      </x:c>
      <x:c r="J1782" s="59" t="n">
        <x:v>0.69101</x:v>
      </x:c>
      <x:c r="K1782" s="59" t="n">
        <x:v>0.26056</x:v>
      </x:c>
      <x:c r="L1782" s="59" t="n">
        <x:v>0.24288</x:v>
      </x:c>
      <x:c r="M1782" s="59" t="n">
        <x:v>0.77774</x:v>
      </x:c>
      <x:c r="N1782" s="60" t="n">
        <x:v>-7.6</x:v>
      </x:c>
      <x:c r="O1782" s="60" t="n">
        <x:v>0.75</x:v>
      </x:c>
      <x:c r="P1782" s="60" t="n">
        <x:v>0.97</x:v>
      </x:c>
      <x:c r="Q1782" s="60" t="n">
        <x:v>85.1</x:v>
      </x:c>
      <x:c r="R1782" s="58" t="str">
        <x:v>X</x:v>
      </x:c>
      <x:c r="S1782" s="60" t="n">
        <x:v>100</x:v>
      </x:c>
      <x:c r="T1782" s="58" t="str">
        <x:v>VALID</x:v>
      </x:c>
      <x:c r="U1782" s="58" t="n">
        <x:v>2835</x:v>
      </x:c>
      <x:c r="V1782" s="58" t="str">
        <x:v>Pasted text(59).txt</x:v>
      </x:c>
    </x:row>
    <x:row r="1783">
      <x:c r="A1783" s="58" t="str">
        <x:v>S18</x:v>
      </x:c>
      <x:c r="B1783" s="58" t="str">
        <x:v>0.75 validated session at 268 Hz</x:v>
      </x:c>
      <x:c r="C1783" s="58" t="n">
        <x:v>0.75</x:v>
      </x:c>
      <x:c r="D1783" s="58" t="n">
        <x:v>5</x:v>
      </x:c>
      <x:c r="E1783" s="58" t="n">
        <x:v>1</x:v>
      </x:c>
      <x:c r="F1783" s="58" t="str">
        <x:v>FINE</x:v>
      </x:c>
      <x:c r="G1783" s="58" t="n">
        <x:v>5</x:v>
      </x:c>
      <x:c r="H1783" s="59" t="n">
        <x:v>7.5</x:v>
      </x:c>
      <x:c r="I1783" s="59" t="n">
        <x:v>0.71332</x:v>
      </x:c>
      <x:c r="J1783" s="59" t="n">
        <x:v>0.71028</x:v>
      </x:c>
      <x:c r="K1783" s="59" t="n">
        <x:v>0.26735</x:v>
      </x:c>
      <x:c r="L1783" s="59" t="n">
        <x:v>0.27987</x:v>
      </x:c>
      <x:c r="M1783" s="59" t="n">
        <x:v>0.80982</x:v>
      </x:c>
      <x:c r="N1783" s="60" t="n">
        <x:v>-4.89</x:v>
      </x:c>
      <x:c r="O1783" s="60" t="n">
        <x:v>3.5</x:v>
      </x:c>
      <x:c r="P1783" s="60" t="n">
        <x:v>3.04</x:v>
      </x:c>
      <x:c r="Q1783" s="60" t="n">
        <x:v>87.4</x:v>
      </x:c>
      <x:c r="R1783" s="58" t="str">
        <x:v>X</x:v>
      </x:c>
      <x:c r="S1783" s="60" t="n">
        <x:v>100</x:v>
      </x:c>
      <x:c r="T1783" s="58" t="str">
        <x:v>IN TARGET BAND</x:v>
      </x:c>
      <x:c r="U1783" s="58" t="n">
        <x:v>2836</x:v>
      </x:c>
      <x:c r="V1783" s="58" t="str">
        <x:v>Pasted text(59).txt</x:v>
      </x:c>
    </x:row>
    <x:row r="1784">
      <x:c r="A1784" s="58" t="str">
        <x:v>S18</x:v>
      </x:c>
      <x:c r="B1784" s="58" t="str">
        <x:v>0.75 validated session at 268 Hz</x:v>
      </x:c>
      <x:c r="C1784" s="58" t="n">
        <x:v>0.75</x:v>
      </x:c>
      <x:c r="D1784" s="58" t="n">
        <x:v>5</x:v>
      </x:c>
      <x:c r="E1784" s="58" t="n">
        <x:v>1</x:v>
      </x:c>
      <x:c r="F1784" s="58" t="str">
        <x:v>FINE</x:v>
      </x:c>
      <x:c r="G1784" s="58" t="n">
        <x:v>6</x:v>
      </x:c>
      <x:c r="H1784" s="59" t="n">
        <x:v>7.75</x:v>
      </x:c>
      <x:c r="I1784" s="59" t="n">
        <x:v>0.74485</x:v>
      </x:c>
      <x:c r="J1784" s="59" t="n">
        <x:v>0.74838</x:v>
      </x:c>
      <x:c r="K1784" s="59" t="n">
        <x:v>0.298</x:v>
      </x:c>
      <x:c r="L1784" s="59" t="n">
        <x:v>0.26114</x:v>
      </x:c>
      <x:c r="M1784" s="59" t="n">
        <x:v>0.84692</x:v>
      </x:c>
      <x:c r="N1784" s="60" t="n">
        <x:v>-0.69</x:v>
      </x:c>
      <x:c r="O1784" s="60" t="n">
        <x:v>2.2</x:v>
      </x:c>
      <x:c r="P1784" s="60" t="n">
        <x:v>2.23</x:v>
      </x:c>
      <x:c r="Q1784" s="60" t="n">
        <x:v>82.8</x:v>
      </x:c>
      <x:c r="R1784" s="58" t="str">
        <x:v>X</x:v>
      </x:c>
      <x:c r="S1784" s="60" t="n">
        <x:v>100</x:v>
      </x:c>
      <x:c r="T1784" s="58" t="str">
        <x:v>IN TARGET BAND</x:v>
      </x:c>
      <x:c r="U1784" s="58" t="n">
        <x:v>2837</x:v>
      </x:c>
      <x:c r="V1784" s="58" t="str">
        <x:v>Pasted text(59).txt</x:v>
      </x:c>
    </x:row>
    <x:row r="1785">
      <x:c r="A1785" s="58" t="str">
        <x:v>S18</x:v>
      </x:c>
      <x:c r="B1785" s="58" t="str">
        <x:v>0.75 validated session at 268 Hz</x:v>
      </x:c>
      <x:c r="C1785" s="58" t="n">
        <x:v>0.75</x:v>
      </x:c>
      <x:c r="D1785" s="58" t="n">
        <x:v>5</x:v>
      </x:c>
      <x:c r="E1785" s="58" t="n">
        <x:v>1</x:v>
      </x:c>
      <x:c r="F1785" s="58" t="str">
        <x:v>FINE</x:v>
      </x:c>
      <x:c r="G1785" s="58" t="n">
        <x:v>7</x:v>
      </x:c>
      <x:c r="H1785" s="59" t="n">
        <x:v>8</x:v>
      </x:c>
      <x:c r="I1785" s="59" t="n">
        <x:v>0.79507</x:v>
      </x:c>
      <x:c r="J1785" s="59" t="n">
        <x:v>0.79032</x:v>
      </x:c>
      <x:c r="K1785" s="59" t="n">
        <x:v>0.27244</x:v>
      </x:c>
      <x:c r="L1785" s="59" t="n">
        <x:v>0.27088</x:v>
      </x:c>
      <x:c r="M1785" s="59" t="n">
        <x:v>0.87908</x:v>
      </x:c>
      <x:c r="N1785" s="60" t="n">
        <x:v>6.01</x:v>
      </x:c>
      <x:c r="O1785" s="60" t="n">
        <x:v>1.25</x:v>
      </x:c>
      <x:c r="P1785" s="60" t="n">
        <x:v>1.83</x:v>
      </x:c>
      <x:c r="Q1785" s="60" t="n">
        <x:v>85.4</x:v>
      </x:c>
      <x:c r="R1785" s="58" t="str">
        <x:v>X</x:v>
      </x:c>
      <x:c r="S1785" s="60" t="n">
        <x:v>100</x:v>
      </x:c>
      <x:c r="T1785" s="58" t="str">
        <x:v>IN TARGET BAND</x:v>
      </x:c>
      <x:c r="U1785" s="58" t="n">
        <x:v>2838</x:v>
      </x:c>
      <x:c r="V1785" s="58" t="str">
        <x:v>Pasted text(59).txt</x:v>
      </x:c>
    </x:row>
    <x:row r="1786">
      <x:c r="A1786" s="58" t="str">
        <x:v>S18</x:v>
      </x:c>
      <x:c r="B1786" s="58" t="str">
        <x:v>0.75 validated session at 268 Hz</x:v>
      </x:c>
      <x:c r="C1786" s="58" t="n">
        <x:v>0.75</x:v>
      </x:c>
      <x:c r="D1786" s="58" t="n">
        <x:v>5</x:v>
      </x:c>
      <x:c r="E1786" s="58" t="n">
        <x:v>1</x:v>
      </x:c>
      <x:c r="F1786" s="58" t="str">
        <x:v>FINE</x:v>
      </x:c>
      <x:c r="G1786" s="58" t="n">
        <x:v>8</x:v>
      </x:c>
      <x:c r="H1786" s="59" t="n">
        <x:v>8.25</x:v>
      </x:c>
      <x:c r="I1786" s="59" t="n">
        <x:v>0.80843</x:v>
      </x:c>
      <x:c r="J1786" s="59" t="n">
        <x:v>0.8054</x:v>
      </x:c>
      <x:c r="K1786" s="59" t="n">
        <x:v>0.26344</x:v>
      </x:c>
      <x:c r="L1786" s="59" t="n">
        <x:v>0.26588</x:v>
      </x:c>
      <x:c r="M1786" s="59" t="n">
        <x:v>0.88821</x:v>
      </x:c>
      <x:c r="N1786" s="60" t="n">
        <x:v>7.79</x:v>
      </x:c>
      <x:c r="O1786" s="60" t="n">
        <x:v>0.7</x:v>
      </x:c>
      <x:c r="P1786" s="60" t="n">
        <x:v>1.09</x:v>
      </x:c>
      <x:c r="Q1786" s="60" t="n">
        <x:v>83.9</x:v>
      </x:c>
      <x:c r="R1786" s="58" t="str">
        <x:v>X</x:v>
      </x:c>
      <x:c r="S1786" s="60" t="n">
        <x:v>100</x:v>
      </x:c>
      <x:c r="T1786" s="58" t="str">
        <x:v>VALID</x:v>
      </x:c>
      <x:c r="U1786" s="58" t="n">
        <x:v>2839</x:v>
      </x:c>
      <x:c r="V1786" s="58" t="str">
        <x:v>Pasted text(59).txt</x:v>
      </x:c>
    </x:row>
    <x:row r="1787">
      <x:c r="A1787" s="58" t="str">
        <x:v>S18</x:v>
      </x:c>
      <x:c r="B1787" s="58" t="str">
        <x:v>0.75 validated session at 268 Hz</x:v>
      </x:c>
      <x:c r="C1787" s="58" t="n">
        <x:v>0.75</x:v>
      </x:c>
      <x:c r="D1787" s="58" t="n">
        <x:v>5</x:v>
      </x:c>
      <x:c r="E1787" s="58" t="n">
        <x:v>1</x:v>
      </x:c>
      <x:c r="F1787" s="58" t="str">
        <x:v>FINE</x:v>
      </x:c>
      <x:c r="G1787" s="58" t="n">
        <x:v>9</x:v>
      </x:c>
      <x:c r="H1787" s="59" t="n">
        <x:v>8.5</x:v>
      </x:c>
      <x:c r="I1787" s="59" t="n">
        <x:v>0.83782</x:v>
      </x:c>
      <x:c r="J1787" s="59" t="n">
        <x:v>0.83393</x:v>
      </x:c>
      <x:c r="K1787" s="59" t="n">
        <x:v>0.31616</x:v>
      </x:c>
      <x:c r="L1787" s="59" t="n">
        <x:v>0.27725</x:v>
      </x:c>
      <x:c r="M1787" s="59" t="n">
        <x:v>0.93412</x:v>
      </x:c>
      <x:c r="N1787" s="60" t="n">
        <x:v>11.71</x:v>
      </x:c>
      <x:c r="O1787" s="60" t="n">
        <x:v>1.2</x:v>
      </x:c>
      <x:c r="P1787" s="60" t="n">
        <x:v>1.56</x:v>
      </x:c>
      <x:c r="Q1787" s="60" t="n">
        <x:v>86.2</x:v>
      </x:c>
      <x:c r="R1787" s="58" t="str">
        <x:v>X</x:v>
      </x:c>
      <x:c r="S1787" s="60" t="n">
        <x:v>100</x:v>
      </x:c>
      <x:c r="T1787" s="58" t="str">
        <x:v>VALID</x:v>
      </x:c>
      <x:c r="U1787" s="58" t="n">
        <x:v>2840</x:v>
      </x:c>
      <x:c r="V1787" s="58" t="str">
        <x:v>Pasted text(59).txt</x:v>
      </x:c>
    </x:row>
    <x:row r="1788">
      <x:c r="A1788" s="58" t="str">
        <x:v>S18</x:v>
      </x:c>
      <x:c r="B1788" s="58" t="str">
        <x:v>0.75 validated session at 268 Hz</x:v>
      </x:c>
      <x:c r="C1788" s="58" t="n">
        <x:v>0.75</x:v>
      </x:c>
      <x:c r="D1788" s="58" t="n">
        <x:v>5</x:v>
      </x:c>
      <x:c r="E1788" s="58" t="n">
        <x:v>1</x:v>
      </x:c>
      <x:c r="F1788" s="58" t="str">
        <x:v>FINAL</x:v>
      </x:c>
      <x:c r="G1788" s="58" t="n">
        <x:v>1</x:v>
      </x:c>
      <x:c r="H1788" s="59" t="n">
        <x:v>7.75</x:v>
      </x:c>
      <x:c r="I1788" s="59" t="n">
        <x:v>0.7273</x:v>
      </x:c>
      <x:c r="J1788" s="59" t="n">
        <x:v>0.73494</x:v>
      </x:c>
      <x:c r="K1788" s="59" t="n">
        <x:v>0.28991</x:v>
      </x:c>
      <x:c r="L1788" s="59" t="n">
        <x:v>0.25018</x:v>
      </x:c>
      <x:c r="M1788" s="59" t="n">
        <x:v>0.8291</x:v>
      </x:c>
      <x:c r="N1788" s="60" t="n">
        <x:v>-3.03</x:v>
      </x:c>
      <x:c r="O1788" s="60" t="n">
        <x:v>2.8</x:v>
      </x:c>
      <x:c r="P1788" s="60" t="n">
        <x:v>3.15</x:v>
      </x:c>
      <x:c r="Q1788" s="60" t="n">
        <x:v>81.6</x:v>
      </x:c>
      <x:c r="R1788" s="58" t="str">
        <x:v>X</x:v>
      </x:c>
      <x:c r="S1788" s="60" t="n">
        <x:v>100</x:v>
      </x:c>
      <x:c r="T1788" s="58" t="str">
        <x:v>IN TARGET BAND</x:v>
      </x:c>
      <x:c r="U1788" s="58" t="n">
        <x:v>2843</x:v>
      </x:c>
      <x:c r="V1788" s="58" t="str">
        <x:v>Pasted text(59).txt</x:v>
      </x:c>
    </x:row>
    <x:row r="1789">
      <x:c r="A1789" s="58" t="str">
        <x:v>S18</x:v>
      </x:c>
      <x:c r="B1789" s="58" t="str">
        <x:v>0.75 validated session at 268 Hz</x:v>
      </x:c>
      <x:c r="C1789" s="58" t="n">
        <x:v>0.75</x:v>
      </x:c>
      <x:c r="D1789" s="58" t="n">
        <x:v>5</x:v>
      </x:c>
      <x:c r="E1789" s="58" t="n">
        <x:v>1</x:v>
      </x:c>
      <x:c r="F1789" s="58" t="str">
        <x:v>FINAL</x:v>
      </x:c>
      <x:c r="G1789" s="58" t="n">
        <x:v>2</x:v>
      </x:c>
      <x:c r="H1789" s="59" t="n">
        <x:v>7.75</x:v>
      </x:c>
      <x:c r="I1789" s="59" t="n">
        <x:v>0.75174</x:v>
      </x:c>
      <x:c r="J1789" s="59" t="n">
        <x:v>0.75343</x:v>
      </x:c>
      <x:c r="K1789" s="59" t="n">
        <x:v>0.28223</x:v>
      </x:c>
      <x:c r="L1789" s="59" t="n">
        <x:v>0.26981</x:v>
      </x:c>
      <x:c r="M1789" s="59" t="n">
        <x:v>0.84888</x:v>
      </x:c>
      <x:c r="N1789" s="60" t="n">
        <x:v>0.23</x:v>
      </x:c>
      <x:c r="O1789" s="60" t="n">
        <x:v>2.76</x:v>
      </x:c>
      <x:c r="P1789" s="60" t="n">
        <x:v>3.63</x:v>
      </x:c>
      <x:c r="Q1789" s="60" t="n">
        <x:v>83.1</x:v>
      </x:c>
      <x:c r="R1789" s="58" t="str">
        <x:v>X</x:v>
      </x:c>
      <x:c r="S1789" s="60" t="n">
        <x:v>100</x:v>
      </x:c>
      <x:c r="T1789" s="58" t="str">
        <x:v>IN TARGET BAND</x:v>
      </x:c>
      <x:c r="U1789" s="58" t="n">
        <x:v>2844</x:v>
      </x:c>
      <x:c r="V1789" s="58" t="str">
        <x:v>Pasted text(59).txt</x:v>
      </x:c>
    </x:row>
    <x:row r="1790">
      <x:c r="A1790" s="58" t="str">
        <x:v>S19</x:v>
      </x:c>
      <x:c r="B1790" s="58" t="str">
        <x:v>1.20 repeat-validation session at 268 Hz</x:v>
      </x:c>
      <x:c r="C1790" s="58" t="n">
        <x:v>1.2</x:v>
      </x:c>
      <x:c r="D1790" s="58" t="n">
        <x:v>1</x:v>
      </x:c>
      <x:c r="E1790" s="58" t="n">
        <x:v>1</x:v>
      </x:c>
      <x:c r="F1790" s="58" t="str">
        <x:v>SEARCH</x:v>
      </x:c>
      <x:c r="G1790" s="58" t="n">
        <x:v>1</x:v>
      </x:c>
      <x:c r="H1790" s="59" t="n">
        <x:v>1</x:v>
      </x:c>
      <x:c r="I1790" s="59" t="n">
        <x:v>0.0202</x:v>
      </x:c>
      <x:c r="J1790" s="59" t="n">
        <x:v>0.02432</x:v>
      </x:c>
      <x:c r="K1790" s="59" t="n">
        <x:v>0.02713</x:v>
      </x:c>
      <x:c r="L1790" s="59" t="n">
        <x:v>0.0268</x:v>
      </x:c>
      <x:c r="M1790" s="59" t="n">
        <x:v>0.04568</x:v>
      </x:c>
      <x:c r="N1790" s="60" t="n">
        <x:v>-98.32</x:v>
      </x:c>
      <x:c r="O1790" s="60" t="n">
        <x:v>63.3</x:v>
      </x:c>
      <x:c r="P1790" s="60" t="n">
        <x:v>62.65</x:v>
      </x:c>
      <x:c r="Q1790" s="60" t="n">
        <x:v>8.2</x:v>
      </x:c>
      <x:c r="R1790" s="58" t="str">
        <x:v>Y</x:v>
      </x:c>
      <x:c r="S1790" s="60" t="n">
        <x:v>89.7</x:v>
      </x:c>
      <x:c r="T1790" s="58" t="str">
        <x:v>BELOW MEASUREMENT FLOOR — SEARCH CONTINUES</x:v>
      </x:c>
      <x:c r="U1790" s="58" t="n">
        <x:v>2939</x:v>
      </x:c>
      <x:c r="V1790" s="58" t="str">
        <x:v>Pasted text(59).txt</x:v>
      </x:c>
    </x:row>
    <x:row r="1791">
      <x:c r="A1791" s="58" t="str">
        <x:v>S19</x:v>
      </x:c>
      <x:c r="B1791" s="58" t="str">
        <x:v>1.20 repeat-validation session at 268 Hz</x:v>
      </x:c>
      <x:c r="C1791" s="58" t="n">
        <x:v>1.2</x:v>
      </x:c>
      <x:c r="D1791" s="58" t="n">
        <x:v>1</x:v>
      </x:c>
      <x:c r="E1791" s="58" t="n">
        <x:v>1</x:v>
      </x:c>
      <x:c r="F1791" s="58" t="str">
        <x:v>SEARCH</x:v>
      </x:c>
      <x:c r="G1791" s="58" t="n">
        <x:v>2</x:v>
      </x:c>
      <x:c r="H1791" s="59" t="n">
        <x:v>3</x:v>
      </x:c>
      <x:c r="I1791" s="59" t="n">
        <x:v>0.21136</x:v>
      </x:c>
      <x:c r="J1791" s="59" t="n">
        <x:v>0.217</x:v>
      </x:c>
      <x:c r="K1791" s="59" t="n">
        <x:v>0.07777</x:v>
      </x:c>
      <x:c r="L1791" s="59" t="n">
        <x:v>0.09007</x:v>
      </x:c>
      <x:c r="M1791" s="59" t="n">
        <x:v>0.24978</x:v>
      </x:c>
      <x:c r="N1791" s="60" t="n">
        <x:v>-82.39</x:v>
      </x:c>
      <x:c r="O1791" s="60" t="n">
        <x:v>0.16</x:v>
      </x:c>
      <x:c r="P1791" s="60" t="n">
        <x:v>4.59</x:v>
      </x:c>
      <x:c r="Q1791" s="60" t="n">
        <x:v>47</x:v>
      </x:c>
      <x:c r="R1791" s="58" t="str">
        <x:v>X</x:v>
      </x:c>
      <x:c r="S1791" s="60" t="n">
        <x:v>100</x:v>
      </x:c>
      <x:c r="T1791" s="58" t="str">
        <x:v>UNSTABLE — SEARCH CONTINUES</x:v>
      </x:c>
      <x:c r="U1791" s="58" t="n">
        <x:v>2940</x:v>
      </x:c>
      <x:c r="V1791" s="58" t="str">
        <x:v>Pasted text(59).txt</x:v>
      </x:c>
    </x:row>
    <x:row r="1792">
      <x:c r="A1792" s="58" t="str">
        <x:v>S19</x:v>
      </x:c>
      <x:c r="B1792" s="58" t="str">
        <x:v>1.20 repeat-validation session at 268 Hz</x:v>
      </x:c>
      <x:c r="C1792" s="58" t="n">
        <x:v>1.2</x:v>
      </x:c>
      <x:c r="D1792" s="58" t="n">
        <x:v>1</x:v>
      </x:c>
      <x:c r="E1792" s="58" t="n">
        <x:v>1</x:v>
      </x:c>
      <x:c r="F1792" s="58" t="str">
        <x:v>SEARCH</x:v>
      </x:c>
      <x:c r="G1792" s="58" t="n">
        <x:v>3</x:v>
      </x:c>
      <x:c r="H1792" s="59" t="n">
        <x:v>5</x:v>
      </x:c>
      <x:c r="I1792" s="59" t="n">
        <x:v>0.43293</x:v>
      </x:c>
      <x:c r="J1792" s="59" t="n">
        <x:v>0.43116</x:v>
      </x:c>
      <x:c r="K1792" s="59" t="n">
        <x:v>0.15414</x:v>
      </x:c>
      <x:c r="L1792" s="59" t="n">
        <x:v>0.13462</x:v>
      </x:c>
      <x:c r="M1792" s="59" t="n">
        <x:v>0.47832</x:v>
      </x:c>
      <x:c r="N1792" s="60" t="n">
        <x:v>-63.92</x:v>
      </x:c>
      <x:c r="O1792" s="60" t="n">
        <x:v>4.16</x:v>
      </x:c>
      <x:c r="P1792" s="60" t="n">
        <x:v>3.45</x:v>
      </x:c>
      <x:c r="Q1792" s="60" t="n">
        <x:v>68.3</x:v>
      </x:c>
      <x:c r="R1792" s="58" t="str">
        <x:v>X</x:v>
      </x:c>
      <x:c r="S1792" s="60" t="n">
        <x:v>100</x:v>
      </x:c>
      <x:c r="T1792" s="58" t="str">
        <x:v>VALID</x:v>
      </x:c>
      <x:c r="U1792" s="58" t="n">
        <x:v>2941</x:v>
      </x:c>
      <x:c r="V1792" s="58" t="str">
        <x:v>Pasted text(59).txt</x:v>
      </x:c>
    </x:row>
    <x:row r="1793">
      <x:c r="A1793" s="58" t="str">
        <x:v>S19</x:v>
      </x:c>
      <x:c r="B1793" s="58" t="str">
        <x:v>1.20 repeat-validation session at 268 Hz</x:v>
      </x:c>
      <x:c r="C1793" s="58" t="n">
        <x:v>1.2</x:v>
      </x:c>
      <x:c r="D1793" s="58" t="n">
        <x:v>1</x:v>
      </x:c>
      <x:c r="E1793" s="58" t="n">
        <x:v>1</x:v>
      </x:c>
      <x:c r="F1793" s="58" t="str">
        <x:v>SEARCH</x:v>
      </x:c>
      <x:c r="G1793" s="58" t="n">
        <x:v>4</x:v>
      </x:c>
      <x:c r="H1793" s="59" t="n">
        <x:v>6</x:v>
      </x:c>
      <x:c r="I1793" s="59" t="n">
        <x:v>0.54288</x:v>
      </x:c>
      <x:c r="J1793" s="59" t="n">
        <x:v>0.53224</x:v>
      </x:c>
      <x:c r="K1793" s="59" t="n">
        <x:v>0.20584</x:v>
      </x:c>
      <x:c r="L1793" s="59" t="n">
        <x:v>0.22623</x:v>
      </x:c>
      <x:c r="M1793" s="59" t="n">
        <x:v>0.61396</x:v>
      </x:c>
      <x:c r="N1793" s="60" t="n">
        <x:v>-54.76</x:v>
      </x:c>
      <x:c r="O1793" s="60" t="n">
        <x:v>1.1</x:v>
      </x:c>
      <x:c r="P1793" s="60" t="n">
        <x:v>4.14</x:v>
      </x:c>
      <x:c r="Q1793" s="60" t="n">
        <x:v>75.9</x:v>
      </x:c>
      <x:c r="R1793" s="58" t="str">
        <x:v>X</x:v>
      </x:c>
      <x:c r="S1793" s="60" t="n">
        <x:v>100</x:v>
      </x:c>
      <x:c r="T1793" s="58" t="str">
        <x:v>VALID</x:v>
      </x:c>
      <x:c r="U1793" s="58" t="n">
        <x:v>2942</x:v>
      </x:c>
      <x:c r="V1793" s="58" t="str">
        <x:v>Pasted text(59).txt</x:v>
      </x:c>
    </x:row>
    <x:row r="1794">
      <x:c r="A1794" s="58" t="str">
        <x:v>S19</x:v>
      </x:c>
      <x:c r="B1794" s="58" t="str">
        <x:v>1.20 repeat-validation session at 268 Hz</x:v>
      </x:c>
      <x:c r="C1794" s="58" t="n">
        <x:v>1.2</x:v>
      </x:c>
      <x:c r="D1794" s="58" t="n">
        <x:v>1</x:v>
      </x:c>
      <x:c r="E1794" s="58" t="n">
        <x:v>1</x:v>
      </x:c>
      <x:c r="F1794" s="58" t="str">
        <x:v>SEARCH</x:v>
      </x:c>
      <x:c r="G1794" s="58" t="n">
        <x:v>5</x:v>
      </x:c>
      <x:c r="H1794" s="59" t="n">
        <x:v>7</x:v>
      </x:c>
      <x:c r="I1794" s="59" t="n">
        <x:v>0.65151</x:v>
      </x:c>
      <x:c r="J1794" s="59" t="n">
        <x:v>0.65346</x:v>
      </x:c>
      <x:c r="K1794" s="59" t="n">
        <x:v>0.22344</x:v>
      </x:c>
      <x:c r="L1794" s="59" t="n">
        <x:v>0.23711</x:v>
      </x:c>
      <x:c r="M1794" s="59" t="n">
        <x:v>0.73048</x:v>
      </x:c>
      <x:c r="N1794" s="60" t="n">
        <x:v>-45.71</x:v>
      </x:c>
      <x:c r="O1794" s="60" t="n">
        <x:v>0.11</x:v>
      </x:c>
      <x:c r="P1794" s="60" t="n">
        <x:v>0.58</x:v>
      </x:c>
      <x:c r="Q1794" s="60" t="n">
        <x:v>81.1</x:v>
      </x:c>
      <x:c r="R1794" s="58" t="str">
        <x:v>X</x:v>
      </x:c>
      <x:c r="S1794" s="60" t="n">
        <x:v>100</x:v>
      </x:c>
      <x:c r="T1794" s="58" t="str">
        <x:v>VALID</x:v>
      </x:c>
      <x:c r="U1794" s="58" t="n">
        <x:v>2943</x:v>
      </x:c>
      <x:c r="V1794" s="58" t="str">
        <x:v>Pasted text(59).txt</x:v>
      </x:c>
    </x:row>
    <x:row r="1795">
      <x:c r="A1795" s="58" t="str">
        <x:v>S19</x:v>
      </x:c>
      <x:c r="B1795" s="58" t="str">
        <x:v>1.20 repeat-validation session at 268 Hz</x:v>
      </x:c>
      <x:c r="C1795" s="58" t="n">
        <x:v>1.2</x:v>
      </x:c>
      <x:c r="D1795" s="58" t="n">
        <x:v>1</x:v>
      </x:c>
      <x:c r="E1795" s="58" t="n">
        <x:v>1</x:v>
      </x:c>
      <x:c r="F1795" s="58" t="str">
        <x:v>SEARCH</x:v>
      </x:c>
      <x:c r="G1795" s="58" t="n">
        <x:v>6</x:v>
      </x:c>
      <x:c r="H1795" s="59" t="n">
        <x:v>8</x:v>
      </x:c>
      <x:c r="I1795" s="59" t="n">
        <x:v>0.79556</x:v>
      </x:c>
      <x:c r="J1795" s="59" t="n">
        <x:v>0.78689</x:v>
      </x:c>
      <x:c r="K1795" s="59" t="n">
        <x:v>0.27895</x:v>
      </x:c>
      <x:c r="L1795" s="59" t="n">
        <x:v>0.26404</x:v>
      </x:c>
      <x:c r="M1795" s="59" t="n">
        <x:v>0.87603</x:v>
      </x:c>
      <x:c r="N1795" s="60" t="n">
        <x:v>-33.7</x:v>
      </x:c>
      <x:c r="O1795" s="60" t="n">
        <x:v>1.17</x:v>
      </x:c>
      <x:c r="P1795" s="60" t="n">
        <x:v>2.63</x:v>
      </x:c>
      <x:c r="Q1795" s="60" t="n">
        <x:v>85.5</x:v>
      </x:c>
      <x:c r="R1795" s="58" t="str">
        <x:v>X</x:v>
      </x:c>
      <x:c r="S1795" s="60" t="n">
        <x:v>100</x:v>
      </x:c>
      <x:c r="T1795" s="58" t="str">
        <x:v>VALID</x:v>
      </x:c>
      <x:c r="U1795" s="58" t="n">
        <x:v>2944</x:v>
      </x:c>
      <x:c r="V1795" s="58" t="str">
        <x:v>Pasted text(59).txt</x:v>
      </x:c>
    </x:row>
    <x:row r="1796">
      <x:c r="A1796" s="58" t="str">
        <x:v>S19</x:v>
      </x:c>
      <x:c r="B1796" s="58" t="str">
        <x:v>1.20 repeat-validation session at 268 Hz</x:v>
      </x:c>
      <x:c r="C1796" s="58" t="n">
        <x:v>1.2</x:v>
      </x:c>
      <x:c r="D1796" s="58" t="n">
        <x:v>1</x:v>
      </x:c>
      <x:c r="E1796" s="58" t="n">
        <x:v>1</x:v>
      </x:c>
      <x:c r="F1796" s="58" t="str">
        <x:v>SEARCH</x:v>
      </x:c>
      <x:c r="G1796" s="58" t="n">
        <x:v>7</x:v>
      </x:c>
      <x:c r="H1796" s="59" t="n">
        <x:v>8.5</x:v>
      </x:c>
      <x:c r="I1796" s="59" t="n">
        <x:v>0.82121</x:v>
      </x:c>
      <x:c r="J1796" s="59" t="n">
        <x:v>0.81941</x:v>
      </x:c>
      <x:c r="K1796" s="59" t="n">
        <x:v>0.29257</x:v>
      </x:c>
      <x:c r="L1796" s="59" t="n">
        <x:v>0.27777</x:v>
      </x:c>
      <x:c r="M1796" s="59" t="n">
        <x:v>0.91344</x:v>
      </x:c>
      <x:c r="N1796" s="60" t="n">
        <x:v>-31.57</x:v>
      </x:c>
      <x:c r="O1796" s="60" t="n">
        <x:v>2.25</x:v>
      </x:c>
      <x:c r="P1796" s="60" t="n">
        <x:v>1.86</x:v>
      </x:c>
      <x:c r="Q1796" s="60" t="n">
        <x:v>86.3</x:v>
      </x:c>
      <x:c r="R1796" s="58" t="str">
        <x:v>X</x:v>
      </x:c>
      <x:c r="S1796" s="60" t="n">
        <x:v>100</x:v>
      </x:c>
      <x:c r="T1796" s="58" t="str">
        <x:v>VALID</x:v>
      </x:c>
      <x:c r="U1796" s="58" t="n">
        <x:v>2945</x:v>
      </x:c>
      <x:c r="V1796" s="58" t="str">
        <x:v>Pasted text(59).txt</x:v>
      </x:c>
    </x:row>
    <x:row r="1797">
      <x:c r="A1797" s="58" t="str">
        <x:v>S19</x:v>
      </x:c>
      <x:c r="B1797" s="58" t="str">
        <x:v>1.20 repeat-validation session at 268 Hz</x:v>
      </x:c>
      <x:c r="C1797" s="58" t="n">
        <x:v>1.2</x:v>
      </x:c>
      <x:c r="D1797" s="58" t="n">
        <x:v>1</x:v>
      </x:c>
      <x:c r="E1797" s="58" t="n">
        <x:v>1</x:v>
      </x:c>
      <x:c r="F1797" s="58" t="str">
        <x:v>SEARCH</x:v>
      </x:c>
      <x:c r="G1797" s="58" t="n">
        <x:v>8</x:v>
      </x:c>
      <x:c r="H1797" s="59" t="n">
        <x:v>9</x:v>
      </x:c>
      <x:c r="I1797" s="59" t="n">
        <x:v>0.91274</x:v>
      </x:c>
      <x:c r="J1797" s="59" t="n">
        <x:v>0.91696</x:v>
      </x:c>
      <x:c r="K1797" s="59" t="n">
        <x:v>0.32355</x:v>
      </x:c>
      <x:c r="L1797" s="59" t="n">
        <x:v>0.31201</x:v>
      </x:c>
      <x:c r="M1797" s="59" t="n">
        <x:v>1.02157</x:v>
      </x:c>
      <x:c r="N1797" s="60" t="n">
        <x:v>-23.94</x:v>
      </x:c>
      <x:c r="O1797" s="60" t="n">
        <x:v>0.41</x:v>
      </x:c>
      <x:c r="P1797" s="60" t="n">
        <x:v>1.04</x:v>
      </x:c>
      <x:c r="Q1797" s="60" t="n">
        <x:v>87.6</x:v>
      </x:c>
      <x:c r="R1797" s="58" t="str">
        <x:v>X</x:v>
      </x:c>
      <x:c r="S1797" s="60" t="n">
        <x:v>100</x:v>
      </x:c>
      <x:c r="T1797" s="58" t="str">
        <x:v>VALID</x:v>
      </x:c>
      <x:c r="U1797" s="58" t="n">
        <x:v>2946</x:v>
      </x:c>
      <x:c r="V1797" s="58" t="str">
        <x:v>Pasted text(59).txt</x:v>
      </x:c>
    </x:row>
    <x:row r="1798">
      <x:c r="A1798" s="58" t="str">
        <x:v>S19</x:v>
      </x:c>
      <x:c r="B1798" s="58" t="str">
        <x:v>1.20 repeat-validation session at 268 Hz</x:v>
      </x:c>
      <x:c r="C1798" s="58" t="n">
        <x:v>1.2</x:v>
      </x:c>
      <x:c r="D1798" s="58" t="n">
        <x:v>1</x:v>
      </x:c>
      <x:c r="E1798" s="58" t="n">
        <x:v>1</x:v>
      </x:c>
      <x:c r="F1798" s="58" t="str">
        <x:v>SEARCH</x:v>
      </x:c>
      <x:c r="G1798" s="58" t="n">
        <x:v>9</x:v>
      </x:c>
      <x:c r="H1798" s="59" t="n">
        <x:v>9.5</x:v>
      </x:c>
      <x:c r="I1798" s="59" t="n">
        <x:v>0.94653</x:v>
      </x:c>
      <x:c r="J1798" s="59" t="n">
        <x:v>0.94717</x:v>
      </x:c>
      <x:c r="K1798" s="59" t="n">
        <x:v>0.37644</x:v>
      </x:c>
      <x:c r="L1798" s="59" t="n">
        <x:v>0.3363</x:v>
      </x:c>
      <x:c r="M1798" s="59" t="n">
        <x:v>1.07351</x:v>
      </x:c>
      <x:c r="N1798" s="60" t="n">
        <x:v>-21.12</x:v>
      </x:c>
      <x:c r="O1798" s="60" t="n">
        <x:v>0.28</x:v>
      </x:c>
      <x:c r="P1798" s="60" t="n">
        <x:v>0.29</x:v>
      </x:c>
      <x:c r="Q1798" s="60" t="n">
        <x:v>88.9</x:v>
      </x:c>
      <x:c r="R1798" s="58" t="str">
        <x:v>X</x:v>
      </x:c>
      <x:c r="S1798" s="60" t="n">
        <x:v>100</x:v>
      </x:c>
      <x:c r="T1798" s="58" t="str">
        <x:v>VALID</x:v>
      </x:c>
      <x:c r="U1798" s="58" t="n">
        <x:v>2947</x:v>
      </x:c>
      <x:c r="V1798" s="58" t="str">
        <x:v>Pasted text(59).txt</x:v>
      </x:c>
    </x:row>
    <x:row r="1799">
      <x:c r="A1799" s="58" t="str">
        <x:v>S19</x:v>
      </x:c>
      <x:c r="B1799" s="58" t="str">
        <x:v>1.20 repeat-validation session at 268 Hz</x:v>
      </x:c>
      <x:c r="C1799" s="58" t="n">
        <x:v>1.2</x:v>
      </x:c>
      <x:c r="D1799" s="58" t="n">
        <x:v>1</x:v>
      </x:c>
      <x:c r="E1799" s="58" t="n">
        <x:v>1</x:v>
      </x:c>
      <x:c r="F1799" s="58" t="str">
        <x:v>SEARCH</x:v>
      </x:c>
      <x:c r="G1799" s="58" t="n">
        <x:v>10</x:v>
      </x:c>
      <x:c r="H1799" s="59" t="n">
        <x:v>10</x:v>
      </x:c>
      <x:c r="I1799" s="59" t="n">
        <x:v>0.98413</x:v>
      </x:c>
      <x:c r="J1799" s="59" t="n">
        <x:v>0.98663</x:v>
      </x:c>
      <x:c r="K1799" s="59" t="n">
        <x:v>0.37091</x:v>
      </x:c>
      <x:c r="L1799" s="59" t="n">
        <x:v>0.33422</x:v>
      </x:c>
      <x:c r="M1799" s="59" t="n">
        <x:v>1.10616</x:v>
      </x:c>
      <x:c r="N1799" s="60" t="n">
        <x:v>-17.99</x:v>
      </x:c>
      <x:c r="O1799" s="60" t="n">
        <x:v>2.92</x:v>
      </x:c>
      <x:c r="P1799" s="60" t="n">
        <x:v>2.35</x:v>
      </x:c>
      <x:c r="Q1799" s="60" t="n">
        <x:v>86.8</x:v>
      </x:c>
      <x:c r="R1799" s="58" t="str">
        <x:v>X</x:v>
      </x:c>
      <x:c r="S1799" s="60" t="n">
        <x:v>100</x:v>
      </x:c>
      <x:c r="T1799" s="58" t="str">
        <x:v>VALID</x:v>
      </x:c>
      <x:c r="U1799" s="58" t="n">
        <x:v>2948</x:v>
      </x:c>
      <x:c r="V1799" s="58" t="str">
        <x:v>Pasted text(59).txt</x:v>
      </x:c>
    </x:row>
    <x:row r="1800">
      <x:c r="A1800" s="58" t="str">
        <x:v>S19</x:v>
      </x:c>
      <x:c r="B1800" s="58" t="str">
        <x:v>1.20 repeat-validation session at 268 Hz</x:v>
      </x:c>
      <x:c r="C1800" s="58" t="n">
        <x:v>1.2</x:v>
      </x:c>
      <x:c r="D1800" s="58" t="n">
        <x:v>1</x:v>
      </x:c>
      <x:c r="E1800" s="58" t="n">
        <x:v>1</x:v>
      </x:c>
      <x:c r="F1800" s="58" t="str">
        <x:v>SEARCH</x:v>
      </x:c>
      <x:c r="G1800" s="58" t="n">
        <x:v>11</x:v>
      </x:c>
      <x:c r="H1800" s="59" t="n">
        <x:v>10.5</x:v>
      </x:c>
      <x:c r="I1800" s="59" t="n">
        <x:v>1.05779</x:v>
      </x:c>
      <x:c r="J1800" s="59" t="n">
        <x:v>1.05829</x:v>
      </x:c>
      <x:c r="K1800" s="59" t="n">
        <x:v>0.39088</x:v>
      </x:c>
      <x:c r="L1800" s="59" t="n">
        <x:v>0.35973</x:v>
      </x:c>
      <x:c r="M1800" s="59" t="n">
        <x:v>1.18464</x:v>
      </x:c>
      <x:c r="N1800" s="60" t="n">
        <x:v>-11.85</x:v>
      </x:c>
      <x:c r="O1800" s="60" t="n">
        <x:v>0.86</x:v>
      </x:c>
      <x:c r="P1800" s="60" t="n">
        <x:v>0.65</x:v>
      </x:c>
      <x:c r="Q1800" s="60" t="n">
        <x:v>90.7</x:v>
      </x:c>
      <x:c r="R1800" s="58" t="str">
        <x:v>X</x:v>
      </x:c>
      <x:c r="S1800" s="60" t="n">
        <x:v>100</x:v>
      </x:c>
      <x:c r="T1800" s="58" t="str">
        <x:v>VALID</x:v>
      </x:c>
      <x:c r="U1800" s="58" t="n">
        <x:v>2949</x:v>
      </x:c>
      <x:c r="V1800" s="58" t="str">
        <x:v>Pasted text(59).txt</x:v>
      </x:c>
    </x:row>
    <x:row r="1801">
      <x:c r="A1801" s="58" t="str">
        <x:v>S19</x:v>
      </x:c>
      <x:c r="B1801" s="58" t="str">
        <x:v>1.20 repeat-validation session at 268 Hz</x:v>
      </x:c>
      <x:c r="C1801" s="58" t="n">
        <x:v>1.2</x:v>
      </x:c>
      <x:c r="D1801" s="58" t="n">
        <x:v>1</x:v>
      </x:c>
      <x:c r="E1801" s="58" t="n">
        <x:v>1</x:v>
      </x:c>
      <x:c r="F1801" s="58" t="str">
        <x:v>SEARCH</x:v>
      </x:c>
      <x:c r="G1801" s="58" t="n">
        <x:v>12</x:v>
      </x:c>
      <x:c r="H1801" s="59" t="n">
        <x:v>10.75</x:v>
      </x:c>
      <x:c r="I1801" s="59" t="n">
        <x:v>1.09853</x:v>
      </x:c>
      <x:c r="J1801" s="59" t="n">
        <x:v>1.10925</x:v>
      </x:c>
      <x:c r="K1801" s="59" t="n">
        <x:v>0.39615</x:v>
      </x:c>
      <x:c r="L1801" s="59" t="n">
        <x:v>0.37418</x:v>
      </x:c>
      <x:c r="M1801" s="59" t="n">
        <x:v>1.23616</x:v>
      </x:c>
      <x:c r="N1801" s="60" t="n">
        <x:v>-8.46</x:v>
      </x:c>
      <x:c r="O1801" s="60" t="n">
        <x:v>0.02</x:v>
      </x:c>
      <x:c r="P1801" s="60" t="n">
        <x:v>1.69</x:v>
      </x:c>
      <x:c r="Q1801" s="60" t="n">
        <x:v>89.2</x:v>
      </x:c>
      <x:c r="R1801" s="58" t="str">
        <x:v>X</x:v>
      </x:c>
      <x:c r="S1801" s="60" t="n">
        <x:v>100</x:v>
      </x:c>
      <x:c r="T1801" s="58" t="str">
        <x:v>VALID</x:v>
      </x:c>
      <x:c r="U1801" s="58" t="n">
        <x:v>2950</x:v>
      </x:c>
      <x:c r="V1801" s="58" t="str">
        <x:v>Pasted text(59).txt</x:v>
      </x:c>
    </x:row>
    <x:row r="1802">
      <x:c r="A1802" s="58" t="str">
        <x:v>S19</x:v>
      </x:c>
      <x:c r="B1802" s="58" t="str">
        <x:v>1.20 repeat-validation session at 268 Hz</x:v>
      </x:c>
      <x:c r="C1802" s="58" t="n">
        <x:v>1.2</x:v>
      </x:c>
      <x:c r="D1802" s="58" t="n">
        <x:v>1</x:v>
      </x:c>
      <x:c r="E1802" s="58" t="n">
        <x:v>1</x:v>
      </x:c>
      <x:c r="F1802" s="58" t="str">
        <x:v>SEARCH</x:v>
      </x:c>
      <x:c r="G1802" s="58" t="n">
        <x:v>13</x:v>
      </x:c>
      <x:c r="H1802" s="59" t="n">
        <x:v>11</x:v>
      </x:c>
      <x:c r="I1802" s="59" t="n">
        <x:v>1.13476</x:v>
      </x:c>
      <x:c r="J1802" s="59" t="n">
        <x:v>1.14259</x:v>
      </x:c>
      <x:c r="K1802" s="59" t="n">
        <x:v>0.40208</x:v>
      </x:c>
      <x:c r="L1802" s="59" t="n">
        <x:v>0.35195</x:v>
      </x:c>
      <x:c r="M1802" s="59" t="n">
        <x:v>1.26147</x:v>
      </x:c>
      <x:c r="N1802" s="60" t="n">
        <x:v>-5.44</x:v>
      </x:c>
      <x:c r="O1802" s="60" t="n">
        <x:v>1.19</x:v>
      </x:c>
      <x:c r="P1802" s="60" t="n">
        <x:v>1.92</x:v>
      </x:c>
      <x:c r="Q1802" s="60" t="n">
        <x:v>88.7</x:v>
      </x:c>
      <x:c r="R1802" s="58" t="str">
        <x:v>X</x:v>
      </x:c>
      <x:c r="S1802" s="60" t="n">
        <x:v>100</x:v>
      </x:c>
      <x:c r="T1802" s="58" t="str">
        <x:v>IN TARGET BAND</x:v>
      </x:c>
      <x:c r="U1802" s="58" t="n">
        <x:v>2951</x:v>
      </x:c>
      <x:c r="V1802" s="58" t="str">
        <x:v>Pasted text(59).txt</x:v>
      </x:c>
    </x:row>
    <x:row r="1803">
      <x:c r="A1803" s="58" t="str">
        <x:v>S19</x:v>
      </x:c>
      <x:c r="B1803" s="58" t="str">
        <x:v>1.20 repeat-validation session at 268 Hz</x:v>
      </x:c>
      <x:c r="C1803" s="58" t="n">
        <x:v>1.2</x:v>
      </x:c>
      <x:c r="D1803" s="58" t="n">
        <x:v>1</x:v>
      </x:c>
      <x:c r="E1803" s="58" t="n">
        <x:v>1</x:v>
      </x:c>
      <x:c r="F1803" s="58" t="str">
        <x:v>FINE</x:v>
      </x:c>
      <x:c r="G1803" s="58" t="n">
        <x:v>1</x:v>
      </x:c>
      <x:c r="H1803" s="59" t="n">
        <x:v>10</x:v>
      </x:c>
      <x:c r="I1803" s="59" t="n">
        <x:v>1.04114</x:v>
      </x:c>
      <x:c r="J1803" s="59" t="n">
        <x:v>1.03509</x:v>
      </x:c>
      <x:c r="K1803" s="59" t="n">
        <x:v>0.3631</x:v>
      </x:c>
      <x:c r="L1803" s="59" t="n">
        <x:v>0.32205</x:v>
      </x:c>
      <x:c r="M1803" s="59" t="n">
        <x:v>1.14334</x:v>
      </x:c>
      <x:c r="N1803" s="60" t="n">
        <x:v>-13.24</x:v>
      </x:c>
      <x:c r="O1803" s="60" t="n">
        <x:v>1.4</x:v>
      </x:c>
      <x:c r="P1803" s="60" t="n">
        <x:v>1.89</x:v>
      </x:c>
      <x:c r="Q1803" s="60" t="n">
        <x:v>89.2</x:v>
      </x:c>
      <x:c r="R1803" s="58" t="str">
        <x:v>X</x:v>
      </x:c>
      <x:c r="S1803" s="60" t="n">
        <x:v>100</x:v>
      </x:c>
      <x:c r="T1803" s="58" t="str">
        <x:v>VALID</x:v>
      </x:c>
      <x:c r="U1803" s="58" t="n">
        <x:v>2955</x:v>
      </x:c>
      <x:c r="V1803" s="58" t="str">
        <x:v>Pasted text(59).txt</x:v>
      </x:c>
    </x:row>
    <x:row r="1804">
      <x:c r="A1804" s="58" t="str">
        <x:v>S19</x:v>
      </x:c>
      <x:c r="B1804" s="58" t="str">
        <x:v>1.20 repeat-validation session at 268 Hz</x:v>
      </x:c>
      <x:c r="C1804" s="58" t="n">
        <x:v>1.2</x:v>
      </x:c>
      <x:c r="D1804" s="58" t="n">
        <x:v>1</x:v>
      </x:c>
      <x:c r="E1804" s="58" t="n">
        <x:v>1</x:v>
      </x:c>
      <x:c r="F1804" s="58" t="str">
        <x:v>FINE</x:v>
      </x:c>
      <x:c r="G1804" s="58" t="n">
        <x:v>2</x:v>
      </x:c>
      <x:c r="H1804" s="59" t="n">
        <x:v>10.25</x:v>
      </x:c>
      <x:c r="I1804" s="59" t="n">
        <x:v>1.04889</x:v>
      </x:c>
      <x:c r="J1804" s="59" t="n">
        <x:v>1.04338</x:v>
      </x:c>
      <x:c r="K1804" s="59" t="n">
        <x:v>0.37191</x:v>
      </x:c>
      <x:c r="L1804" s="59" t="n">
        <x:v>0.34587</x:v>
      </x:c>
      <x:c r="M1804" s="59" t="n">
        <x:v>1.16061</x:v>
      </x:c>
      <x:c r="N1804" s="60" t="n">
        <x:v>-12.59</x:v>
      </x:c>
      <x:c r="O1804" s="60" t="n">
        <x:v>2.14</x:v>
      </x:c>
      <x:c r="P1804" s="60" t="n">
        <x:v>2.29</x:v>
      </x:c>
      <x:c r="Q1804" s="60" t="n">
        <x:v>88.4</x:v>
      </x:c>
      <x:c r="R1804" s="58" t="str">
        <x:v>X</x:v>
      </x:c>
      <x:c r="S1804" s="60" t="n">
        <x:v>100</x:v>
      </x:c>
      <x:c r="T1804" s="58" t="str">
        <x:v>VALID</x:v>
      </x:c>
      <x:c r="U1804" s="58" t="n">
        <x:v>2956</x:v>
      </x:c>
      <x:c r="V1804" s="58" t="str">
        <x:v>Pasted text(59).txt</x:v>
      </x:c>
    </x:row>
    <x:row r="1805">
      <x:c r="A1805" s="58" t="str">
        <x:v>S19</x:v>
      </x:c>
      <x:c r="B1805" s="58" t="str">
        <x:v>1.20 repeat-validation session at 268 Hz</x:v>
      </x:c>
      <x:c r="C1805" s="58" t="n">
        <x:v>1.2</x:v>
      </x:c>
      <x:c r="D1805" s="58" t="n">
        <x:v>1</x:v>
      </x:c>
      <x:c r="E1805" s="58" t="n">
        <x:v>1</x:v>
      </x:c>
      <x:c r="F1805" s="58" t="str">
        <x:v>FINE</x:v>
      </x:c>
      <x:c r="G1805" s="58" t="n">
        <x:v>3</x:v>
      </x:c>
      <x:c r="H1805" s="59" t="n">
        <x:v>10.5</x:v>
      </x:c>
      <x:c r="I1805" s="59" t="n">
        <x:v>1.04653</x:v>
      </x:c>
      <x:c r="J1805" s="59" t="n">
        <x:v>1.04016</x:v>
      </x:c>
      <x:c r="K1805" s="59" t="n">
        <x:v>0.39097</x:v>
      </x:c>
      <x:c r="L1805" s="59" t="n">
        <x:v>0.34181</x:v>
      </x:c>
      <x:c r="M1805" s="59" t="n">
        <x:v>1.16287</x:v>
      </x:c>
      <x:c r="N1805" s="60" t="n">
        <x:v>-12.79</x:v>
      </x:c>
      <x:c r="O1805" s="60" t="n">
        <x:v>0.11</x:v>
      </x:c>
      <x:c r="P1805" s="60" t="n">
        <x:v>1.13</x:v>
      </x:c>
      <x:c r="Q1805" s="60" t="n">
        <x:v>89.2</x:v>
      </x:c>
      <x:c r="R1805" s="58" t="str">
        <x:v>X</x:v>
      </x:c>
      <x:c r="S1805" s="60" t="n">
        <x:v>100</x:v>
      </x:c>
      <x:c r="T1805" s="58" t="str">
        <x:v>VALID</x:v>
      </x:c>
      <x:c r="U1805" s="58" t="n">
        <x:v>2957</x:v>
      </x:c>
      <x:c r="V1805" s="58" t="str">
        <x:v>Pasted text(59).txt</x:v>
      </x:c>
    </x:row>
    <x:row r="1806">
      <x:c r="A1806" s="58" t="str">
        <x:v>S19</x:v>
      </x:c>
      <x:c r="B1806" s="58" t="str">
        <x:v>1.20 repeat-validation session at 268 Hz</x:v>
      </x:c>
      <x:c r="C1806" s="58" t="n">
        <x:v>1.2</x:v>
      </x:c>
      <x:c r="D1806" s="58" t="n">
        <x:v>1</x:v>
      </x:c>
      <x:c r="E1806" s="58" t="n">
        <x:v>1</x:v>
      </x:c>
      <x:c r="F1806" s="58" t="str">
        <x:v>FINE</x:v>
      </x:c>
      <x:c r="G1806" s="58" t="n">
        <x:v>4</x:v>
      </x:c>
      <x:c r="H1806" s="59" t="n">
        <x:v>10.75</x:v>
      </x:c>
      <x:c r="I1806" s="59" t="n">
        <x:v>1.11121</x:v>
      </x:c>
      <x:c r="J1806" s="59" t="n">
        <x:v>1.11074</x:v>
      </x:c>
      <x:c r="K1806" s="59" t="n">
        <x:v>0.39316</x:v>
      </x:c>
      <x:c r="L1806" s="59" t="n">
        <x:v>0.38868</x:v>
      </x:c>
      <x:c r="M1806" s="59" t="n">
        <x:v>1.24089</x:v>
      </x:c>
      <x:c r="N1806" s="60" t="n">
        <x:v>-7.4</x:v>
      </x:c>
      <x:c r="O1806" s="60" t="n">
        <x:v>3.99</x:v>
      </x:c>
      <x:c r="P1806" s="60" t="n">
        <x:v>2.75</x:v>
      </x:c>
      <x:c r="Q1806" s="60" t="n">
        <x:v>90.2</x:v>
      </x:c>
      <x:c r="R1806" s="58" t="str">
        <x:v>X</x:v>
      </x:c>
      <x:c r="S1806" s="60" t="n">
        <x:v>100</x:v>
      </x:c>
      <x:c r="T1806" s="58" t="str">
        <x:v>IN TARGET BAND</x:v>
      </x:c>
      <x:c r="U1806" s="58" t="n">
        <x:v>2958</x:v>
      </x:c>
      <x:c r="V1806" s="58" t="str">
        <x:v>Pasted text(59).txt</x:v>
      </x:c>
    </x:row>
    <x:row r="1807">
      <x:c r="A1807" s="58" t="str">
        <x:v>S19</x:v>
      </x:c>
      <x:c r="B1807" s="58" t="str">
        <x:v>1.20 repeat-validation session at 268 Hz</x:v>
      </x:c>
      <x:c r="C1807" s="58" t="n">
        <x:v>1.2</x:v>
      </x:c>
      <x:c r="D1807" s="58" t="n">
        <x:v>1</x:v>
      </x:c>
      <x:c r="E1807" s="58" t="n">
        <x:v>1</x:v>
      </x:c>
      <x:c r="F1807" s="58" t="str">
        <x:v>FINE</x:v>
      </x:c>
      <x:c r="G1807" s="58" t="n">
        <x:v>5</x:v>
      </x:c>
      <x:c r="H1807" s="59" t="n">
        <x:v>11</x:v>
      </x:c>
      <x:c r="I1807" s="59" t="n">
        <x:v>1.13397</x:v>
      </x:c>
      <x:c r="J1807" s="59" t="n">
        <x:v>1.13757</x:v>
      </x:c>
      <x:c r="K1807" s="59" t="n">
        <x:v>0.40925</x:v>
      </x:c>
      <x:c r="L1807" s="59" t="n">
        <x:v>0.35072</x:v>
      </x:c>
      <x:c r="M1807" s="59" t="n">
        <x:v>1.25934</x:v>
      </x:c>
      <x:c r="N1807" s="60" t="n">
        <x:v>-5.5</x:v>
      </x:c>
      <x:c r="O1807" s="60" t="n">
        <x:v>1.85</x:v>
      </x:c>
      <x:c r="P1807" s="60" t="n">
        <x:v>1.74</x:v>
      </x:c>
      <x:c r="Q1807" s="60" t="n">
        <x:v>88.8</x:v>
      </x:c>
      <x:c r="R1807" s="58" t="str">
        <x:v>X</x:v>
      </x:c>
      <x:c r="S1807" s="60" t="n">
        <x:v>100</x:v>
      </x:c>
      <x:c r="T1807" s="58" t="str">
        <x:v>IN TARGET BAND</x:v>
      </x:c>
      <x:c r="U1807" s="58" t="n">
        <x:v>2959</x:v>
      </x:c>
      <x:c r="V1807" s="58" t="str">
        <x:v>Pasted text(59).txt</x:v>
      </x:c>
    </x:row>
    <x:row r="1808">
      <x:c r="A1808" s="58" t="str">
        <x:v>S19</x:v>
      </x:c>
      <x:c r="B1808" s="58" t="str">
        <x:v>1.20 repeat-validation session at 268 Hz</x:v>
      </x:c>
      <x:c r="C1808" s="58" t="n">
        <x:v>1.2</x:v>
      </x:c>
      <x:c r="D1808" s="58" t="n">
        <x:v>1</x:v>
      </x:c>
      <x:c r="E1808" s="58" t="n">
        <x:v>1</x:v>
      </x:c>
      <x:c r="F1808" s="58" t="str">
        <x:v>FINE</x:v>
      </x:c>
      <x:c r="G1808" s="58" t="n">
        <x:v>6</x:v>
      </x:c>
      <x:c r="H1808" s="59" t="n">
        <x:v>11.25</x:v>
      </x:c>
      <x:c r="I1808" s="59" t="n">
        <x:v>1.10408</x:v>
      </x:c>
      <x:c r="J1808" s="59" t="n">
        <x:v>1.12098</x:v>
      </x:c>
      <x:c r="K1808" s="59" t="n">
        <x:v>0.43377</x:v>
      </x:c>
      <x:c r="L1808" s="59" t="n">
        <x:v>0.37943</x:v>
      </x:c>
      <x:c r="M1808" s="59" t="n">
        <x:v>1.26052</x:v>
      </x:c>
      <x:c r="N1808" s="60" t="n">
        <x:v>-7.99</x:v>
      </x:c>
      <x:c r="O1808" s="60" t="n">
        <x:v>0.18</x:v>
      </x:c>
      <x:c r="P1808" s="60" t="n">
        <x:v>2.72</x:v>
      </x:c>
      <x:c r="Q1808" s="60" t="n">
        <x:v>89.6</x:v>
      </x:c>
      <x:c r="R1808" s="58" t="str">
        <x:v>X</x:v>
      </x:c>
      <x:c r="S1808" s="60" t="n">
        <x:v>100</x:v>
      </x:c>
      <x:c r="T1808" s="58" t="str">
        <x:v>VALID</x:v>
      </x:c>
      <x:c r="U1808" s="58" t="n">
        <x:v>2960</x:v>
      </x:c>
      <x:c r="V1808" s="58" t="str">
        <x:v>Pasted text(59).txt</x:v>
      </x:c>
    </x:row>
    <x:row r="1809">
      <x:c r="A1809" s="58" t="str">
        <x:v>S19</x:v>
      </x:c>
      <x:c r="B1809" s="58" t="str">
        <x:v>1.20 repeat-validation session at 268 Hz</x:v>
      </x:c>
      <x:c r="C1809" s="58" t="n">
        <x:v>1.2</x:v>
      </x:c>
      <x:c r="D1809" s="58" t="n">
        <x:v>1</x:v>
      </x:c>
      <x:c r="E1809" s="58" t="n">
        <x:v>1</x:v>
      </x:c>
      <x:c r="F1809" s="58" t="str">
        <x:v>FINE</x:v>
      </x:c>
      <x:c r="G1809" s="58" t="n">
        <x:v>7</x:v>
      </x:c>
      <x:c r="H1809" s="59" t="n">
        <x:v>11.5</x:v>
      </x:c>
      <x:c r="I1809" s="59" t="n">
        <x:v>1.1635</x:v>
      </x:c>
      <x:c r="J1809" s="59" t="n">
        <x:v>1.16311</x:v>
      </x:c>
      <x:c r="K1809" s="59" t="n">
        <x:v>0.43384</x:v>
      </x:c>
      <x:c r="L1809" s="59" t="n">
        <x:v>0.40372</x:v>
      </x:c>
      <x:c r="M1809" s="59" t="n">
        <x:v>1.30596</x:v>
      </x:c>
      <x:c r="N1809" s="60" t="n">
        <x:v>-3.04</x:v>
      </x:c>
      <x:c r="O1809" s="60" t="n">
        <x:v>1.74</x:v>
      </x:c>
      <x:c r="P1809" s="60" t="n">
        <x:v>1.22</x:v>
      </x:c>
      <x:c r="Q1809" s="60" t="n">
        <x:v>91.1</x:v>
      </x:c>
      <x:c r="R1809" s="58" t="str">
        <x:v>X</x:v>
      </x:c>
      <x:c r="S1809" s="60" t="n">
        <x:v>100</x:v>
      </x:c>
      <x:c r="T1809" s="58" t="str">
        <x:v>IN TARGET BAND</x:v>
      </x:c>
      <x:c r="U1809" s="58" t="n">
        <x:v>2961</x:v>
      </x:c>
      <x:c r="V1809" s="58" t="str">
        <x:v>Pasted text(59).txt</x:v>
      </x:c>
    </x:row>
    <x:row r="1810">
      <x:c r="A1810" s="58" t="str">
        <x:v>S19</x:v>
      </x:c>
      <x:c r="B1810" s="58" t="str">
        <x:v>1.20 repeat-validation session at 268 Hz</x:v>
      </x:c>
      <x:c r="C1810" s="58" t="n">
        <x:v>1.2</x:v>
      </x:c>
      <x:c r="D1810" s="58" t="n">
        <x:v>1</x:v>
      </x:c>
      <x:c r="E1810" s="58" t="n">
        <x:v>1</x:v>
      </x:c>
      <x:c r="F1810" s="58" t="str">
        <x:v>FINE</x:v>
      </x:c>
      <x:c r="G1810" s="58" t="n">
        <x:v>8</x:v>
      </x:c>
      <x:c r="H1810" s="59" t="n">
        <x:v>11.75</x:v>
      </x:c>
      <x:c r="I1810" s="59" t="n">
        <x:v>1.19774</x:v>
      </x:c>
      <x:c r="J1810" s="59" t="n">
        <x:v>1.21063</x:v>
      </x:c>
      <x:c r="K1810" s="59" t="n">
        <x:v>0.48529</x:v>
      </x:c>
      <x:c r="L1810" s="59" t="n">
        <x:v>0.39723</x:v>
      </x:c>
      <x:c r="M1810" s="59" t="n">
        <x:v>1.3636</x:v>
      </x:c>
      <x:c r="N1810" s="60" t="n">
        <x:v>-0.19</x:v>
      </x:c>
      <x:c r="O1810" s="60" t="n">
        <x:v>0.27</x:v>
      </x:c>
      <x:c r="P1810" s="60" t="n">
        <x:v>2</x:v>
      </x:c>
      <x:c r="Q1810" s="60" t="n">
        <x:v>90.5</x:v>
      </x:c>
      <x:c r="R1810" s="58" t="str">
        <x:v>X</x:v>
      </x:c>
      <x:c r="S1810" s="60" t="n">
        <x:v>100</x:v>
      </x:c>
      <x:c r="T1810" s="58" t="str">
        <x:v>IN TARGET BAND</x:v>
      </x:c>
      <x:c r="U1810" s="58" t="n">
        <x:v>2962</x:v>
      </x:c>
      <x:c r="V1810" s="58" t="str">
        <x:v>Pasted text(59).txt</x:v>
      </x:c>
    </x:row>
    <x:row r="1811">
      <x:c r="A1811" s="58" t="str">
        <x:v>S19</x:v>
      </x:c>
      <x:c r="B1811" s="58" t="str">
        <x:v>1.20 repeat-validation session at 268 Hz</x:v>
      </x:c>
      <x:c r="C1811" s="58" t="n">
        <x:v>1.2</x:v>
      </x:c>
      <x:c r="D1811" s="58" t="n">
        <x:v>1</x:v>
      </x:c>
      <x:c r="E1811" s="58" t="n">
        <x:v>1</x:v>
      </x:c>
      <x:c r="F1811" s="58" t="str">
        <x:v>FINE</x:v>
      </x:c>
      <x:c r="G1811" s="58" t="n">
        <x:v>9</x:v>
      </x:c>
      <x:c r="H1811" s="59" t="n">
        <x:v>12</x:v>
      </x:c>
      <x:c r="I1811" s="59" t="n">
        <x:v>1.22509</x:v>
      </x:c>
      <x:c r="J1811" s="59" t="n">
        <x:v>1.22554</x:v>
      </x:c>
      <x:c r="K1811" s="59" t="n">
        <x:v>0.44884</x:v>
      </x:c>
      <x:c r="L1811" s="59" t="n">
        <x:v>0.37852</x:v>
      </x:c>
      <x:c r="M1811" s="59" t="n">
        <x:v>1.35929</x:v>
      </x:c>
      <x:c r="N1811" s="60" t="n">
        <x:v>2.09</x:v>
      </x:c>
      <x:c r="O1811" s="60" t="n">
        <x:v>1.71</x:v>
      </x:c>
      <x:c r="P1811" s="60" t="n">
        <x:v>1.21</x:v>
      </x:c>
      <x:c r="Q1811" s="60" t="n">
        <x:v>89.6</x:v>
      </x:c>
      <x:c r="R1811" s="58" t="str">
        <x:v>X</x:v>
      </x:c>
      <x:c r="S1811" s="60" t="n">
        <x:v>100</x:v>
      </x:c>
      <x:c r="T1811" s="58" t="str">
        <x:v>IN TARGET BAND</x:v>
      </x:c>
      <x:c r="U1811" s="58" t="n">
        <x:v>2963</x:v>
      </x:c>
      <x:c r="V1811" s="58" t="str">
        <x:v>Pasted text(59).txt</x:v>
      </x:c>
    </x:row>
    <x:row r="1812">
      <x:c r="A1812" s="58" t="str">
        <x:v>S19</x:v>
      </x:c>
      <x:c r="B1812" s="58" t="str">
        <x:v>1.20 repeat-validation session at 268 Hz</x:v>
      </x:c>
      <x:c r="C1812" s="58" t="n">
        <x:v>1.2</x:v>
      </x:c>
      <x:c r="D1812" s="58" t="n">
        <x:v>1</x:v>
      </x:c>
      <x:c r="E1812" s="58" t="n">
        <x:v>1</x:v>
      </x:c>
      <x:c r="F1812" s="58" t="str">
        <x:v>FINAL</x:v>
      </x:c>
      <x:c r="G1812" s="58" t="n">
        <x:v>1</x:v>
      </x:c>
      <x:c r="H1812" s="59" t="n">
        <x:v>11.75</x:v>
      </x:c>
      <x:c r="I1812" s="59" t="n">
        <x:v>1.21148</x:v>
      </x:c>
      <x:c r="J1812" s="59" t="n">
        <x:v>1.20607</x:v>
      </x:c>
      <x:c r="K1812" s="59" t="n">
        <x:v>0.45879</x:v>
      </x:c>
      <x:c r="L1812" s="59" t="n">
        <x:v>0.40352</x:v>
      </x:c>
      <x:c r="M1812" s="59" t="n">
        <x:v>1.35234</x:v>
      </x:c>
      <x:c r="N1812" s="60" t="n">
        <x:v>0.96</x:v>
      </x:c>
      <x:c r="O1812" s="60" t="n">
        <x:v>0.17</x:v>
      </x:c>
      <x:c r="P1812" s="60" t="n">
        <x:v>0.91</x:v>
      </x:c>
      <x:c r="Q1812" s="60" t="n">
        <x:v>89.7</x:v>
      </x:c>
      <x:c r="R1812" s="58" t="str">
        <x:v>X</x:v>
      </x:c>
      <x:c r="S1812" s="60" t="n">
        <x:v>100</x:v>
      </x:c>
      <x:c r="T1812" s="58" t="str">
        <x:v>IN TARGET BAND</x:v>
      </x:c>
      <x:c r="U1812" s="58" t="n">
        <x:v>2966</x:v>
      </x:c>
      <x:c r="V1812" s="58" t="str">
        <x:v>Pasted text(59).txt</x:v>
      </x:c>
    </x:row>
    <x:row r="1813">
      <x:c r="A1813" s="58" t="str">
        <x:v>S19</x:v>
      </x:c>
      <x:c r="B1813" s="58" t="str">
        <x:v>1.20 repeat-validation session at 268 Hz</x:v>
      </x:c>
      <x:c r="C1813" s="58" t="n">
        <x:v>1.2</x:v>
      </x:c>
      <x:c r="D1813" s="58" t="n">
        <x:v>1</x:v>
      </x:c>
      <x:c r="E1813" s="58" t="n">
        <x:v>1</x:v>
      </x:c>
      <x:c r="F1813" s="58" t="str">
        <x:v>FINAL</x:v>
      </x:c>
      <x:c r="G1813" s="58" t="n">
        <x:v>2</x:v>
      </x:c>
      <x:c r="H1813" s="59" t="n">
        <x:v>11.75</x:v>
      </x:c>
      <x:c r="I1813" s="59" t="n">
        <x:v>1.19341</x:v>
      </x:c>
      <x:c r="J1813" s="59" t="n">
        <x:v>1.19885</x:v>
      </x:c>
      <x:c r="K1813" s="59" t="n">
        <x:v>0.4709</x:v>
      </x:c>
      <x:c r="L1813" s="59" t="n">
        <x:v>0.41095</x:v>
      </x:c>
      <x:c r="M1813" s="59" t="n">
        <x:v>1.35229</x:v>
      </x:c>
      <x:c r="N1813" s="60" t="n">
        <x:v>-0.55</x:v>
      </x:c>
      <x:c r="O1813" s="60" t="n">
        <x:v>0.76</x:v>
      </x:c>
      <x:c r="P1813" s="60" t="n">
        <x:v>1.56</x:v>
      </x:c>
      <x:c r="Q1813" s="60" t="n">
        <x:v>89.4</x:v>
      </x:c>
      <x:c r="R1813" s="58" t="str">
        <x:v>X</x:v>
      </x:c>
      <x:c r="S1813" s="60" t="n">
        <x:v>100</x:v>
      </x:c>
      <x:c r="T1813" s="58" t="str">
        <x:v>IN TARGET BAND</x:v>
      </x:c>
      <x:c r="U1813" s="58" t="n">
        <x:v>2967</x:v>
      </x:c>
      <x:c r="V1813" s="58" t="str">
        <x:v>Pasted text(59).txt</x:v>
      </x:c>
    </x:row>
    <x:row r="1814">
      <x:c r="A1814" s="58" t="str">
        <x:v>S19</x:v>
      </x:c>
      <x:c r="B1814" s="58" t="str">
        <x:v>1.20 repeat-validation session at 268 Hz</x:v>
      </x:c>
      <x:c r="C1814" s="58" t="n">
        <x:v>1.2</x:v>
      </x:c>
      <x:c r="D1814" s="58" t="n">
        <x:v>2</x:v>
      </x:c>
      <x:c r="E1814" s="58" t="n">
        <x:v>1</x:v>
      </x:c>
      <x:c r="F1814" s="58" t="str">
        <x:v>SEARCH</x:v>
      </x:c>
      <x:c r="G1814" s="58" t="n">
        <x:v>1</x:v>
      </x:c>
      <x:c r="H1814" s="59" t="n">
        <x:v>1</x:v>
      </x:c>
      <x:c r="I1814" s="59" t="n">
        <x:v>0.01687</x:v>
      </x:c>
      <x:c r="J1814" s="59" t="n">
        <x:v>0.01866</x:v>
      </x:c>
      <x:c r="K1814" s="59" t="n">
        <x:v>0.02906</x:v>
      </x:c>
      <x:c r="L1814" s="59" t="n">
        <x:v>0.02379</x:v>
      </x:c>
      <x:c r="M1814" s="59" t="n">
        <x:v>0.04264</x:v>
      </x:c>
      <x:c r="N1814" s="60" t="n">
        <x:v>-98.59</x:v>
      </x:c>
      <x:c r="O1814" s="60" t="n">
        <x:v>31.51</x:v>
      </x:c>
      <x:c r="P1814" s="60" t="n">
        <x:v>13.58</x:v>
      </x:c>
      <x:c r="Q1814" s="60" t="n">
        <x:v>6</x:v>
      </x:c>
      <x:c r="R1814" s="58" t="str">
        <x:v>Y</x:v>
      </x:c>
      <x:c r="S1814" s="60" t="n">
        <x:v>64.2</x:v>
      </x:c>
      <x:c r="T1814" s="58" t="str">
        <x:v>BELOW MEASUREMENT FLOOR — SEARCH CONTINUES</x:v>
      </x:c>
      <x:c r="U1814" s="58" t="n">
        <x:v>3023</x:v>
      </x:c>
      <x:c r="V1814" s="58" t="str">
        <x:v>Pasted text(59).txt</x:v>
      </x:c>
    </x:row>
    <x:row r="1815">
      <x:c r="A1815" s="58" t="str">
        <x:v>S19</x:v>
      </x:c>
      <x:c r="B1815" s="58" t="str">
        <x:v>1.20 repeat-validation session at 268 Hz</x:v>
      </x:c>
      <x:c r="C1815" s="58" t="n">
        <x:v>1.2</x:v>
      </x:c>
      <x:c r="D1815" s="58" t="n">
        <x:v>2</x:v>
      </x:c>
      <x:c r="E1815" s="58" t="n">
        <x:v>1</x:v>
      </x:c>
      <x:c r="F1815" s="58" t="str">
        <x:v>SEARCH</x:v>
      </x:c>
      <x:c r="G1815" s="58" t="n">
        <x:v>2</x:v>
      </x:c>
      <x:c r="H1815" s="59" t="n">
        <x:v>3</x:v>
      </x:c>
      <x:c r="I1815" s="59" t="n">
        <x:v>0.2135</x:v>
      </x:c>
      <x:c r="J1815" s="59" t="n">
        <x:v>0.21403</x:v>
      </x:c>
      <x:c r="K1815" s="59" t="n">
        <x:v>0.05893</x:v>
      </x:c>
      <x:c r="L1815" s="59" t="n">
        <x:v>0.07281</x:v>
      </x:c>
      <x:c r="M1815" s="59" t="n">
        <x:v>0.23411</x:v>
      </x:c>
      <x:c r="N1815" s="60" t="n">
        <x:v>-82.21</x:v>
      </x:c>
      <x:c r="O1815" s="60" t="n">
        <x:v>0.73</x:v>
      </x:c>
      <x:c r="P1815" s="60" t="n">
        <x:v>0.89</x:v>
      </x:c>
      <x:c r="Q1815" s="60" t="n">
        <x:v>43.4</x:v>
      </x:c>
      <x:c r="R1815" s="58" t="str">
        <x:v>X</x:v>
      </x:c>
      <x:c r="S1815" s="60" t="n">
        <x:v>100</x:v>
      </x:c>
      <x:c r="T1815" s="58" t="str">
        <x:v>UNSTABLE — SEARCH CONTINUES</x:v>
      </x:c>
      <x:c r="U1815" s="58" t="n">
        <x:v>3024</x:v>
      </x:c>
      <x:c r="V1815" s="58" t="str">
        <x:v>Pasted text(59).txt</x:v>
      </x:c>
    </x:row>
    <x:row r="1816">
      <x:c r="A1816" s="58" t="str">
        <x:v>S19</x:v>
      </x:c>
      <x:c r="B1816" s="58" t="str">
        <x:v>1.20 repeat-validation session at 268 Hz</x:v>
      </x:c>
      <x:c r="C1816" s="58" t="n">
        <x:v>1.2</x:v>
      </x:c>
      <x:c r="D1816" s="58" t="n">
        <x:v>2</x:v>
      </x:c>
      <x:c r="E1816" s="58" t="n">
        <x:v>1</x:v>
      </x:c>
      <x:c r="F1816" s="58" t="str">
        <x:v>SEARCH</x:v>
      </x:c>
      <x:c r="G1816" s="58" t="n">
        <x:v>3</x:v>
      </x:c>
      <x:c r="H1816" s="59" t="n">
        <x:v>5</x:v>
      </x:c>
      <x:c r="I1816" s="59" t="n">
        <x:v>0.4299</x:v>
      </x:c>
      <x:c r="J1816" s="59" t="n">
        <x:v>0.42407</x:v>
      </x:c>
      <x:c r="K1816" s="59" t="n">
        <x:v>0.15446</x:v>
      </x:c>
      <x:c r="L1816" s="59" t="n">
        <x:v>0.15464</x:v>
      </x:c>
      <x:c r="M1816" s="59" t="n">
        <x:v>0.47777</x:v>
      </x:c>
      <x:c r="N1816" s="60" t="n">
        <x:v>-64.17</x:v>
      </x:c>
      <x:c r="O1816" s="60" t="n">
        <x:v>0.82</x:v>
      </x:c>
      <x:c r="P1816" s="60" t="n">
        <x:v>2.88</x:v>
      </x:c>
      <x:c r="Q1816" s="60" t="n">
        <x:v>66.9</x:v>
      </x:c>
      <x:c r="R1816" s="58" t="str">
        <x:v>X</x:v>
      </x:c>
      <x:c r="S1816" s="60" t="n">
        <x:v>100</x:v>
      </x:c>
      <x:c r="T1816" s="58" t="str">
        <x:v>VALID</x:v>
      </x:c>
      <x:c r="U1816" s="58" t="n">
        <x:v>3025</x:v>
      </x:c>
      <x:c r="V1816" s="58" t="str">
        <x:v>Pasted text(59).txt</x:v>
      </x:c>
    </x:row>
    <x:row r="1817">
      <x:c r="A1817" s="58" t="str">
        <x:v>S19</x:v>
      </x:c>
      <x:c r="B1817" s="58" t="str">
        <x:v>1.20 repeat-validation session at 268 Hz</x:v>
      </x:c>
      <x:c r="C1817" s="58" t="n">
        <x:v>1.2</x:v>
      </x:c>
      <x:c r="D1817" s="58" t="n">
        <x:v>2</x:v>
      </x:c>
      <x:c r="E1817" s="58" t="n">
        <x:v>1</x:v>
      </x:c>
      <x:c r="F1817" s="58" t="str">
        <x:v>SEARCH</x:v>
      </x:c>
      <x:c r="G1817" s="58" t="n">
        <x:v>4</x:v>
      </x:c>
      <x:c r="H1817" s="59" t="n">
        <x:v>6</x:v>
      </x:c>
      <x:c r="I1817" s="59" t="n">
        <x:v>0.52795</x:v>
      </x:c>
      <x:c r="J1817" s="59" t="n">
        <x:v>0.52811</x:v>
      </x:c>
      <x:c r="K1817" s="59" t="n">
        <x:v>0.18238</x:v>
      </x:c>
      <x:c r="L1817" s="59" t="n">
        <x:v>0.21025</x:v>
      </x:c>
      <x:c r="M1817" s="59" t="n">
        <x:v>0.59737</x:v>
      </x:c>
      <x:c r="N1817" s="60" t="n">
        <x:v>-56</x:v>
      </x:c>
      <x:c r="O1817" s="60" t="n">
        <x:v>1.28</x:v>
      </x:c>
      <x:c r="P1817" s="60" t="n">
        <x:v>0.91</x:v>
      </x:c>
      <x:c r="Q1817" s="60" t="n">
        <x:v>73.1</x:v>
      </x:c>
      <x:c r="R1817" s="58" t="str">
        <x:v>X</x:v>
      </x:c>
      <x:c r="S1817" s="60" t="n">
        <x:v>100</x:v>
      </x:c>
      <x:c r="T1817" s="58" t="str">
        <x:v>VALID</x:v>
      </x:c>
      <x:c r="U1817" s="58" t="n">
        <x:v>3026</x:v>
      </x:c>
      <x:c r="V1817" s="58" t="str">
        <x:v>Pasted text(59).txt</x:v>
      </x:c>
    </x:row>
    <x:row r="1818">
      <x:c r="A1818" s="58" t="str">
        <x:v>S19</x:v>
      </x:c>
      <x:c r="B1818" s="58" t="str">
        <x:v>1.20 repeat-validation session at 268 Hz</x:v>
      </x:c>
      <x:c r="C1818" s="58" t="n">
        <x:v>1.2</x:v>
      </x:c>
      <x:c r="D1818" s="58" t="n">
        <x:v>2</x:v>
      </x:c>
      <x:c r="E1818" s="58" t="n">
        <x:v>1</x:v>
      </x:c>
      <x:c r="F1818" s="58" t="str">
        <x:v>SEARCH</x:v>
      </x:c>
      <x:c r="G1818" s="58" t="n">
        <x:v>5</x:v>
      </x:c>
      <x:c r="H1818" s="59" t="n">
        <x:v>7</x:v>
      </x:c>
      <x:c r="I1818" s="59" t="n">
        <x:v>0.65</x:v>
      </x:c>
      <x:c r="J1818" s="59" t="n">
        <x:v>0.65979</x:v>
      </x:c>
      <x:c r="K1818" s="59" t="n">
        <x:v>0.23567</x:v>
      </x:c>
      <x:c r="L1818" s="59" t="n">
        <x:v>0.27557</x:v>
      </x:c>
      <x:c r="M1818" s="59" t="n">
        <x:v>0.75302</x:v>
      </x:c>
      <x:c r="N1818" s="60" t="n">
        <x:v>-45.83</x:v>
      </x:c>
      <x:c r="O1818" s="60" t="n">
        <x:v>2.89</x:v>
      </x:c>
      <x:c r="P1818" s="60" t="n">
        <x:v>4.34</x:v>
      </x:c>
      <x:c r="Q1818" s="60" t="n">
        <x:v>81.4</x:v>
      </x:c>
      <x:c r="R1818" s="58" t="str">
        <x:v>X</x:v>
      </x:c>
      <x:c r="S1818" s="60" t="n">
        <x:v>100</x:v>
      </x:c>
      <x:c r="T1818" s="58" t="str">
        <x:v>VALID</x:v>
      </x:c>
      <x:c r="U1818" s="58" t="n">
        <x:v>3027</x:v>
      </x:c>
      <x:c r="V1818" s="58" t="str">
        <x:v>Pasted text(59).txt</x:v>
      </x:c>
    </x:row>
    <x:row r="1819">
      <x:c r="A1819" s="58" t="str">
        <x:v>S19</x:v>
      </x:c>
      <x:c r="B1819" s="58" t="str">
        <x:v>1.20 repeat-validation session at 268 Hz</x:v>
      </x:c>
      <x:c r="C1819" s="58" t="n">
        <x:v>1.2</x:v>
      </x:c>
      <x:c r="D1819" s="58" t="n">
        <x:v>2</x:v>
      </x:c>
      <x:c r="E1819" s="58" t="n">
        <x:v>1</x:v>
      </x:c>
      <x:c r="F1819" s="58" t="str">
        <x:v>SEARCH</x:v>
      </x:c>
      <x:c r="G1819" s="58" t="n">
        <x:v>6</x:v>
      </x:c>
      <x:c r="H1819" s="59" t="n">
        <x:v>8</x:v>
      </x:c>
      <x:c r="I1819" s="59" t="n">
        <x:v>0.7431</x:v>
      </x:c>
      <x:c r="J1819" s="59" t="n">
        <x:v>0.73923</x:v>
      </x:c>
      <x:c r="K1819" s="59" t="n">
        <x:v>0.28707</x:v>
      </x:c>
      <x:c r="L1819" s="59" t="n">
        <x:v>0.29848</x:v>
      </x:c>
      <x:c r="M1819" s="59" t="n">
        <x:v>0.84831</x:v>
      </x:c>
      <x:c r="N1819" s="60" t="n">
        <x:v>-38.07</x:v>
      </x:c>
      <x:c r="O1819" s="60" t="n">
        <x:v>3.13</x:v>
      </x:c>
      <x:c r="P1819" s="60" t="n">
        <x:v>2.94</x:v>
      </x:c>
      <x:c r="Q1819" s="60" t="n">
        <x:v>81.9</x:v>
      </x:c>
      <x:c r="R1819" s="58" t="str">
        <x:v>X</x:v>
      </x:c>
      <x:c r="S1819" s="60" t="n">
        <x:v>100</x:v>
      </x:c>
      <x:c r="T1819" s="58" t="str">
        <x:v>VALID</x:v>
      </x:c>
      <x:c r="U1819" s="58" t="n">
        <x:v>3028</x:v>
      </x:c>
      <x:c r="V1819" s="58" t="str">
        <x:v>Pasted text(59).txt</x:v>
      </x:c>
    </x:row>
    <x:row r="1820">
      <x:c r="A1820" s="58" t="str">
        <x:v>S19</x:v>
      </x:c>
      <x:c r="B1820" s="58" t="str">
        <x:v>1.20 repeat-validation session at 268 Hz</x:v>
      </x:c>
      <x:c r="C1820" s="58" t="n">
        <x:v>1.2</x:v>
      </x:c>
      <x:c r="D1820" s="58" t="n">
        <x:v>2</x:v>
      </x:c>
      <x:c r="E1820" s="58" t="n">
        <x:v>1</x:v>
      </x:c>
      <x:c r="F1820" s="58" t="str">
        <x:v>SEARCH</x:v>
      </x:c>
      <x:c r="G1820" s="58" t="n">
        <x:v>7</x:v>
      </x:c>
      <x:c r="H1820" s="59" t="n">
        <x:v>8.5</x:v>
      </x:c>
      <x:c r="I1820" s="59" t="n">
        <x:v>0.78667</x:v>
      </x:c>
      <x:c r="J1820" s="59" t="n">
        <x:v>0.78866</x:v>
      </x:c>
      <x:c r="K1820" s="59" t="n">
        <x:v>0.31183</x:v>
      </x:c>
      <x:c r="L1820" s="59" t="n">
        <x:v>0.27713</x:v>
      </x:c>
      <x:c r="M1820" s="59" t="n">
        <x:v>0.89239</x:v>
      </x:c>
      <x:c r="N1820" s="60" t="n">
        <x:v>-34.44</x:v>
      </x:c>
      <x:c r="O1820" s="60" t="n">
        <x:v>3.03</x:v>
      </x:c>
      <x:c r="P1820" s="60" t="n">
        <x:v>2.43</x:v>
      </x:c>
      <x:c r="Q1820" s="60" t="n">
        <x:v>80.9</x:v>
      </x:c>
      <x:c r="R1820" s="58" t="str">
        <x:v>X</x:v>
      </x:c>
      <x:c r="S1820" s="60" t="n">
        <x:v>100</x:v>
      </x:c>
      <x:c r="T1820" s="58" t="str">
        <x:v>VALID</x:v>
      </x:c>
      <x:c r="U1820" s="58" t="n">
        <x:v>3029</x:v>
      </x:c>
      <x:c r="V1820" s="58" t="str">
        <x:v>Pasted text(59).txt</x:v>
      </x:c>
    </x:row>
    <x:row r="1821">
      <x:c r="A1821" s="58" t="str">
        <x:v>S19</x:v>
      </x:c>
      <x:c r="B1821" s="58" t="str">
        <x:v>1.20 repeat-validation session at 268 Hz</x:v>
      </x:c>
      <x:c r="C1821" s="58" t="n">
        <x:v>1.2</x:v>
      </x:c>
      <x:c r="D1821" s="58" t="n">
        <x:v>2</x:v>
      </x:c>
      <x:c r="E1821" s="58" t="n">
        <x:v>1</x:v>
      </x:c>
      <x:c r="F1821" s="58" t="str">
        <x:v>SEARCH</x:v>
      </x:c>
      <x:c r="G1821" s="58" t="n">
        <x:v>8</x:v>
      </x:c>
      <x:c r="H1821" s="59" t="n">
        <x:v>9</x:v>
      </x:c>
      <x:c r="I1821" s="59" t="n">
        <x:v>0.88217</x:v>
      </x:c>
      <x:c r="J1821" s="59" t="n">
        <x:v>0.87889</x:v>
      </x:c>
      <x:c r="K1821" s="59" t="n">
        <x:v>0.32273</x:v>
      </x:c>
      <x:c r="L1821" s="59" t="n">
        <x:v>0.35133</x:v>
      </x:c>
      <x:c r="M1821" s="59" t="n">
        <x:v>1.00067</x:v>
      </x:c>
      <x:c r="N1821" s="60" t="n">
        <x:v>-26.49</x:v>
      </x:c>
      <x:c r="O1821" s="60" t="n">
        <x:v>0.1</x:v>
      </x:c>
      <x:c r="P1821" s="60" t="n">
        <x:v>0.7</x:v>
      </x:c>
      <x:c r="Q1821" s="60" t="n">
        <x:v>84.5</x:v>
      </x:c>
      <x:c r="R1821" s="58" t="str">
        <x:v>X</x:v>
      </x:c>
      <x:c r="S1821" s="60" t="n">
        <x:v>100</x:v>
      </x:c>
      <x:c r="T1821" s="58" t="str">
        <x:v>VALID</x:v>
      </x:c>
      <x:c r="U1821" s="58" t="n">
        <x:v>3030</x:v>
      </x:c>
      <x:c r="V1821" s="58" t="str">
        <x:v>Pasted text(59).txt</x:v>
      </x:c>
    </x:row>
    <x:row r="1822">
      <x:c r="A1822" s="58" t="str">
        <x:v>S19</x:v>
      </x:c>
      <x:c r="B1822" s="58" t="str">
        <x:v>1.20 repeat-validation session at 268 Hz</x:v>
      </x:c>
      <x:c r="C1822" s="58" t="n">
        <x:v>1.2</x:v>
      </x:c>
      <x:c r="D1822" s="58" t="n">
        <x:v>2</x:v>
      </x:c>
      <x:c r="E1822" s="58" t="n">
        <x:v>1</x:v>
      </x:c>
      <x:c r="F1822" s="58" t="str">
        <x:v>SEARCH</x:v>
      </x:c>
      <x:c r="G1822" s="58" t="n">
        <x:v>9</x:v>
      </x:c>
      <x:c r="H1822" s="59" t="n">
        <x:v>9.5</x:v>
      </x:c>
      <x:c r="I1822" s="59" t="n">
        <x:v>0.9321</x:v>
      </x:c>
      <x:c r="J1822" s="59" t="n">
        <x:v>0.92759</x:v>
      </x:c>
      <x:c r="K1822" s="59" t="n">
        <x:v>0.34139</x:v>
      </x:c>
      <x:c r="L1822" s="59" t="n">
        <x:v>0.35</x:v>
      </x:c>
      <x:c r="M1822" s="59" t="n">
        <x:v>1.04893</x:v>
      </x:c>
      <x:c r="N1822" s="60" t="n">
        <x:v>-22.32</x:v>
      </x:c>
      <x:c r="O1822" s="60" t="n">
        <x:v>0.12</x:v>
      </x:c>
      <x:c r="P1822" s="60" t="n">
        <x:v>0.92</x:v>
      </x:c>
      <x:c r="Q1822" s="60" t="n">
        <x:v>88.2</x:v>
      </x:c>
      <x:c r="R1822" s="58" t="str">
        <x:v>X</x:v>
      </x:c>
      <x:c r="S1822" s="60" t="n">
        <x:v>100</x:v>
      </x:c>
      <x:c r="T1822" s="58" t="str">
        <x:v>VALID</x:v>
      </x:c>
      <x:c r="U1822" s="58" t="n">
        <x:v>3031</x:v>
      </x:c>
      <x:c r="V1822" s="58" t="str">
        <x:v>Pasted text(59).txt</x:v>
      </x:c>
    </x:row>
    <x:row r="1823">
      <x:c r="A1823" s="58" t="str">
        <x:v>S19</x:v>
      </x:c>
      <x:c r="B1823" s="58" t="str">
        <x:v>1.20 repeat-validation session at 268 Hz</x:v>
      </x:c>
      <x:c r="C1823" s="58" t="n">
        <x:v>1.2</x:v>
      </x:c>
      <x:c r="D1823" s="58" t="n">
        <x:v>2</x:v>
      </x:c>
      <x:c r="E1823" s="58" t="n">
        <x:v>1</x:v>
      </x:c>
      <x:c r="F1823" s="58" t="str">
        <x:v>SEARCH</x:v>
      </x:c>
      <x:c r="G1823" s="58" t="n">
        <x:v>10</x:v>
      </x:c>
      <x:c r="H1823" s="59" t="n">
        <x:v>10</x:v>
      </x:c>
      <x:c r="I1823" s="59" t="n">
        <x:v>0.99507</x:v>
      </x:c>
      <x:c r="J1823" s="59" t="n">
        <x:v>1.00015</x:v>
      </x:c>
      <x:c r="K1823" s="59" t="n">
        <x:v>0.35509</x:v>
      </x:c>
      <x:c r="L1823" s="59" t="n">
        <x:v>0.36213</x:v>
      </x:c>
      <x:c r="M1823" s="59" t="n">
        <x:v>1.12165</x:v>
      </x:c>
      <x:c r="N1823" s="60" t="n">
        <x:v>-17.08</x:v>
      </x:c>
      <x:c r="O1823" s="60" t="n">
        <x:v>1.24</x:v>
      </x:c>
      <x:c r="P1823" s="60" t="n">
        <x:v>1.65</x:v>
      </x:c>
      <x:c r="Q1823" s="60" t="n">
        <x:v>87.4</x:v>
      </x:c>
      <x:c r="R1823" s="58" t="str">
        <x:v>X</x:v>
      </x:c>
      <x:c r="S1823" s="60" t="n">
        <x:v>100</x:v>
      </x:c>
      <x:c r="T1823" s="58" t="str">
        <x:v>VALID</x:v>
      </x:c>
      <x:c r="U1823" s="58" t="n">
        <x:v>3032</x:v>
      </x:c>
      <x:c r="V1823" s="58" t="str">
        <x:v>Pasted text(59).txt</x:v>
      </x:c>
    </x:row>
    <x:row r="1824">
      <x:c r="A1824" s="58" t="str">
        <x:v>S19</x:v>
      </x:c>
      <x:c r="B1824" s="58" t="str">
        <x:v>1.20 repeat-validation session at 268 Hz</x:v>
      </x:c>
      <x:c r="C1824" s="58" t="n">
        <x:v>1.2</x:v>
      </x:c>
      <x:c r="D1824" s="58" t="n">
        <x:v>2</x:v>
      </x:c>
      <x:c r="E1824" s="58" t="n">
        <x:v>1</x:v>
      </x:c>
      <x:c r="F1824" s="58" t="str">
        <x:v>SEARCH</x:v>
      </x:c>
      <x:c r="G1824" s="58" t="n">
        <x:v>11</x:v>
      </x:c>
      <x:c r="H1824" s="59" t="n">
        <x:v>10.5</x:v>
      </x:c>
      <x:c r="I1824" s="59" t="n">
        <x:v>1.03706</x:v>
      </x:c>
      <x:c r="J1824" s="59" t="n">
        <x:v>1.04526</x:v>
      </x:c>
      <x:c r="K1824" s="59" t="n">
        <x:v>0.38496</x:v>
      </x:c>
      <x:c r="L1824" s="59" t="n">
        <x:v>0.3626</x:v>
      </x:c>
      <x:c r="M1824" s="59" t="n">
        <x:v>1.17165</x:v>
      </x:c>
      <x:c r="N1824" s="60" t="n">
        <x:v>-13.58</x:v>
      </x:c>
      <x:c r="O1824" s="60" t="n">
        <x:v>4.15</x:v>
      </x:c>
      <x:c r="P1824" s="60" t="n">
        <x:v>4.01</x:v>
      </x:c>
      <x:c r="Q1824" s="60" t="n">
        <x:v>90.7</x:v>
      </x:c>
      <x:c r="R1824" s="58" t="str">
        <x:v>X</x:v>
      </x:c>
      <x:c r="S1824" s="60" t="n">
        <x:v>100</x:v>
      </x:c>
      <x:c r="T1824" s="58" t="str">
        <x:v>VALID</x:v>
      </x:c>
      <x:c r="U1824" s="58" t="n">
        <x:v>3033</x:v>
      </x:c>
      <x:c r="V1824" s="58" t="str">
        <x:v>Pasted text(59).txt</x:v>
      </x:c>
    </x:row>
    <x:row r="1825">
      <x:c r="A1825" s="58" t="str">
        <x:v>S19</x:v>
      </x:c>
      <x:c r="B1825" s="58" t="str">
        <x:v>1.20 repeat-validation session at 268 Hz</x:v>
      </x:c>
      <x:c r="C1825" s="58" t="n">
        <x:v>1.2</x:v>
      </x:c>
      <x:c r="D1825" s="58" t="n">
        <x:v>2</x:v>
      </x:c>
      <x:c r="E1825" s="58" t="n">
        <x:v>1</x:v>
      </x:c>
      <x:c r="F1825" s="58" t="str">
        <x:v>SEARCH</x:v>
      </x:c>
      <x:c r="G1825" s="58" t="n">
        <x:v>12</x:v>
      </x:c>
      <x:c r="H1825" s="59" t="n">
        <x:v>10.75</x:v>
      </x:c>
      <x:c r="I1825" s="59" t="n">
        <x:v>1.09432</x:v>
      </x:c>
      <x:c r="J1825" s="59" t="n">
        <x:v>1.09268</x:v>
      </x:c>
      <x:c r="K1825" s="59" t="n">
        <x:v>0.40785</x:v>
      </x:c>
      <x:c r="L1825" s="59" t="n">
        <x:v>0.38068</x:v>
      </x:c>
      <x:c r="M1825" s="59" t="n">
        <x:v>1.22707</x:v>
      </x:c>
      <x:c r="N1825" s="60" t="n">
        <x:v>-8.81</x:v>
      </x:c>
      <x:c r="O1825" s="60" t="n">
        <x:v>1.39</x:v>
      </x:c>
      <x:c r="P1825" s="60" t="n">
        <x:v>1.17</x:v>
      </x:c>
      <x:c r="Q1825" s="60" t="n">
        <x:v>89.2</x:v>
      </x:c>
      <x:c r="R1825" s="58" t="str">
        <x:v>X</x:v>
      </x:c>
      <x:c r="S1825" s="60" t="n">
        <x:v>100</x:v>
      </x:c>
      <x:c r="T1825" s="58" t="str">
        <x:v>VALID</x:v>
      </x:c>
      <x:c r="U1825" s="58" t="n">
        <x:v>3034</x:v>
      </x:c>
      <x:c r="V1825" s="58" t="str">
        <x:v>Pasted text(59).txt</x:v>
      </x:c>
    </x:row>
    <x:row r="1826">
      <x:c r="A1826" s="58" t="str">
        <x:v>S19</x:v>
      </x:c>
      <x:c r="B1826" s="58" t="str">
        <x:v>1.20 repeat-validation session at 268 Hz</x:v>
      </x:c>
      <x:c r="C1826" s="58" t="n">
        <x:v>1.2</x:v>
      </x:c>
      <x:c r="D1826" s="58" t="n">
        <x:v>2</x:v>
      </x:c>
      <x:c r="E1826" s="58" t="n">
        <x:v>1</x:v>
      </x:c>
      <x:c r="F1826" s="58" t="str">
        <x:v>SEARCH</x:v>
      </x:c>
      <x:c r="G1826" s="58" t="n">
        <x:v>13</x:v>
      </x:c>
      <x:c r="H1826" s="59" t="n">
        <x:v>11</x:v>
      </x:c>
      <x:c r="I1826" s="59" t="n">
        <x:v>1.10388</x:v>
      </x:c>
      <x:c r="J1826" s="59" t="n">
        <x:v>1.11067</x:v>
      </x:c>
      <x:c r="K1826" s="59" t="n">
        <x:v>0.4223</x:v>
      </x:c>
      <x:c r="L1826" s="59" t="n">
        <x:v>0.40839</x:v>
      </x:c>
      <x:c r="M1826" s="59" t="n">
        <x:v>1.2567</x:v>
      </x:c>
      <x:c r="N1826" s="60" t="n">
        <x:v>-8.01</x:v>
      </x:c>
      <x:c r="O1826" s="60" t="n">
        <x:v>0.68</x:v>
      </x:c>
      <x:c r="P1826" s="60" t="n">
        <x:v>1.47</x:v>
      </x:c>
      <x:c r="Q1826" s="60" t="n">
        <x:v>89.3</x:v>
      </x:c>
      <x:c r="R1826" s="58" t="str">
        <x:v>X</x:v>
      </x:c>
      <x:c r="S1826" s="60" t="n">
        <x:v>100</x:v>
      </x:c>
      <x:c r="T1826" s="58" t="str">
        <x:v>VALID</x:v>
      </x:c>
      <x:c r="U1826" s="58" t="n">
        <x:v>3035</x:v>
      </x:c>
      <x:c r="V1826" s="58" t="str">
        <x:v>Pasted text(59).txt</x:v>
      </x:c>
    </x:row>
    <x:row r="1827">
      <x:c r="A1827" s="58" t="str">
        <x:v>S19</x:v>
      </x:c>
      <x:c r="B1827" s="58" t="str">
        <x:v>1.20 repeat-validation session at 268 Hz</x:v>
      </x:c>
      <x:c r="C1827" s="58" t="n">
        <x:v>1.2</x:v>
      </x:c>
      <x:c r="D1827" s="58" t="n">
        <x:v>2</x:v>
      </x:c>
      <x:c r="E1827" s="58" t="n">
        <x:v>1</x:v>
      </x:c>
      <x:c r="F1827" s="58" t="str">
        <x:v>SEARCH</x:v>
      </x:c>
      <x:c r="G1827" s="58" t="n">
        <x:v>14</x:v>
      </x:c>
      <x:c r="H1827" s="59" t="n">
        <x:v>11.25</x:v>
      </x:c>
      <x:c r="I1827" s="59" t="n">
        <x:v>1.17212</x:v>
      </x:c>
      <x:c r="J1827" s="59" t="n">
        <x:v>1.15873</x:v>
      </x:c>
      <x:c r="K1827" s="59" t="n">
        <x:v>0.43779</x:v>
      </x:c>
      <x:c r="L1827" s="59" t="n">
        <x:v>0.38982</x:v>
      </x:c>
      <x:c r="M1827" s="59" t="n">
        <x:v>1.29875</x:v>
      </x:c>
      <x:c r="N1827" s="60" t="n">
        <x:v>-2.32</x:v>
      </x:c>
      <x:c r="O1827" s="60" t="n">
        <x:v>0.74</x:v>
      </x:c>
      <x:c r="P1827" s="60" t="n">
        <x:v>2.45</x:v>
      </x:c>
      <x:c r="Q1827" s="60" t="n">
        <x:v>91.7</x:v>
      </x:c>
      <x:c r="R1827" s="58" t="str">
        <x:v>X</x:v>
      </x:c>
      <x:c r="S1827" s="60" t="n">
        <x:v>100</x:v>
      </x:c>
      <x:c r="T1827" s="58" t="str">
        <x:v>IN TARGET BAND</x:v>
      </x:c>
      <x:c r="U1827" s="58" t="n">
        <x:v>3036</x:v>
      </x:c>
      <x:c r="V1827" s="58" t="str">
        <x:v>Pasted text(59).txt</x:v>
      </x:c>
    </x:row>
    <x:row r="1828">
      <x:c r="A1828" s="58" t="str">
        <x:v>S19</x:v>
      </x:c>
      <x:c r="B1828" s="58" t="str">
        <x:v>1.20 repeat-validation session at 268 Hz</x:v>
      </x:c>
      <x:c r="C1828" s="58" t="n">
        <x:v>1.2</x:v>
      </x:c>
      <x:c r="D1828" s="58" t="n">
        <x:v>2</x:v>
      </x:c>
      <x:c r="E1828" s="58" t="n">
        <x:v>1</x:v>
      </x:c>
      <x:c r="F1828" s="58" t="str">
        <x:v>FINE</x:v>
      </x:c>
      <x:c r="G1828" s="58" t="n">
        <x:v>1</x:v>
      </x:c>
      <x:c r="H1828" s="59" t="n">
        <x:v>10.25</x:v>
      </x:c>
      <x:c r="I1828" s="59" t="n">
        <x:v>0.99721</x:v>
      </x:c>
      <x:c r="J1828" s="59" t="n">
        <x:v>1.01422</x:v>
      </x:c>
      <x:c r="K1828" s="59" t="n">
        <x:v>0.36356</x:v>
      </x:c>
      <x:c r="L1828" s="59" t="n">
        <x:v>0.37209</x:v>
      </x:c>
      <x:c r="M1828" s="59" t="n">
        <x:v>1.14032</x:v>
      </x:c>
      <x:c r="N1828" s="60" t="n">
        <x:v>-16.9</x:v>
      </x:c>
      <x:c r="O1828" s="60" t="n">
        <x:v>0.09</x:v>
      </x:c>
      <x:c r="P1828" s="60" t="n">
        <x:v>2.96</x:v>
      </x:c>
      <x:c r="Q1828" s="60" t="n">
        <x:v>88.6</x:v>
      </x:c>
      <x:c r="R1828" s="58" t="str">
        <x:v>X</x:v>
      </x:c>
      <x:c r="S1828" s="60" t="n">
        <x:v>100</x:v>
      </x:c>
      <x:c r="T1828" s="58" t="str">
        <x:v>VALID</x:v>
      </x:c>
      <x:c r="U1828" s="58" t="n">
        <x:v>3040</x:v>
      </x:c>
      <x:c r="V1828" s="58" t="str">
        <x:v>Pasted text(59).txt</x:v>
      </x:c>
    </x:row>
    <x:row r="1829">
      <x:c r="A1829" s="58" t="str">
        <x:v>S19</x:v>
      </x:c>
      <x:c r="B1829" s="58" t="str">
        <x:v>1.20 repeat-validation session at 268 Hz</x:v>
      </x:c>
      <x:c r="C1829" s="58" t="n">
        <x:v>1.2</x:v>
      </x:c>
      <x:c r="D1829" s="58" t="n">
        <x:v>2</x:v>
      </x:c>
      <x:c r="E1829" s="58" t="n">
        <x:v>1</x:v>
      </x:c>
      <x:c r="F1829" s="58" t="str">
        <x:v>FINE</x:v>
      </x:c>
      <x:c r="G1829" s="58" t="n">
        <x:v>2</x:v>
      </x:c>
      <x:c r="H1829" s="59" t="n">
        <x:v>10.5</x:v>
      </x:c>
      <x:c r="I1829" s="59" t="n">
        <x:v>1.04266</x:v>
      </x:c>
      <x:c r="J1829" s="59" t="n">
        <x:v>1.04186</x:v>
      </x:c>
      <x:c r="K1829" s="59" t="n">
        <x:v>0.36373</x:v>
      </x:c>
      <x:c r="L1829" s="59" t="n">
        <x:v>0.35175</x:v>
      </x:c>
      <x:c r="M1829" s="59" t="n">
        <x:v>1.15872</x:v>
      </x:c>
      <x:c r="N1829" s="60" t="n">
        <x:v>-13.11</x:v>
      </x:c>
      <x:c r="O1829" s="60" t="n">
        <x:v>0.04</x:v>
      </x:c>
      <x:c r="P1829" s="60" t="n">
        <x:v>0.16</x:v>
      </x:c>
      <x:c r="Q1829" s="60" t="n">
        <x:v>90.1</x:v>
      </x:c>
      <x:c r="R1829" s="58" t="str">
        <x:v>X</x:v>
      </x:c>
      <x:c r="S1829" s="60" t="n">
        <x:v>100</x:v>
      </x:c>
      <x:c r="T1829" s="58" t="str">
        <x:v>VALID</x:v>
      </x:c>
      <x:c r="U1829" s="58" t="n">
        <x:v>3041</x:v>
      </x:c>
      <x:c r="V1829" s="58" t="str">
        <x:v>Pasted text(59).txt</x:v>
      </x:c>
    </x:row>
    <x:row r="1830">
      <x:c r="A1830" s="58" t="str">
        <x:v>S19</x:v>
      </x:c>
      <x:c r="B1830" s="58" t="str">
        <x:v>1.20 repeat-validation session at 268 Hz</x:v>
      </x:c>
      <x:c r="C1830" s="58" t="n">
        <x:v>1.2</x:v>
      </x:c>
      <x:c r="D1830" s="58" t="n">
        <x:v>2</x:v>
      </x:c>
      <x:c r="E1830" s="58" t="n">
        <x:v>1</x:v>
      </x:c>
      <x:c r="F1830" s="58" t="str">
        <x:v>FINE</x:v>
      </x:c>
      <x:c r="G1830" s="58" t="n">
        <x:v>3</x:v>
      </x:c>
      <x:c r="H1830" s="59" t="n">
        <x:v>10.75</x:v>
      </x:c>
      <x:c r="I1830" s="59" t="n">
        <x:v>1.11548</x:v>
      </x:c>
      <x:c r="J1830" s="59" t="n">
        <x:v>1.1018</x:v>
      </x:c>
      <x:c r="K1830" s="59" t="n">
        <x:v>0.41704</x:v>
      </x:c>
      <x:c r="L1830" s="59" t="n">
        <x:v>0.39301</x:v>
      </x:c>
      <x:c r="M1830" s="59" t="n">
        <x:v>1.24201</x:v>
      </x:c>
      <x:c r="N1830" s="60" t="n">
        <x:v>-7.04</x:v>
      </x:c>
      <x:c r="O1830" s="60" t="n">
        <x:v>0.09</x:v>
      </x:c>
      <x:c r="P1830" s="60" t="n">
        <x:v>2.21</x:v>
      </x:c>
      <x:c r="Q1830" s="60" t="n">
        <x:v>89.5</x:v>
      </x:c>
      <x:c r="R1830" s="58" t="str">
        <x:v>X</x:v>
      </x:c>
      <x:c r="S1830" s="60" t="n">
        <x:v>100</x:v>
      </x:c>
      <x:c r="T1830" s="58" t="str">
        <x:v>IN TARGET BAND</x:v>
      </x:c>
      <x:c r="U1830" s="58" t="n">
        <x:v>3042</x:v>
      </x:c>
      <x:c r="V1830" s="58" t="str">
        <x:v>Pasted text(59).txt</x:v>
      </x:c>
    </x:row>
    <x:row r="1831">
      <x:c r="A1831" s="58" t="str">
        <x:v>S19</x:v>
      </x:c>
      <x:c r="B1831" s="58" t="str">
        <x:v>1.20 repeat-validation session at 268 Hz</x:v>
      </x:c>
      <x:c r="C1831" s="58" t="n">
        <x:v>1.2</x:v>
      </x:c>
      <x:c r="D1831" s="58" t="n">
        <x:v>2</x:v>
      </x:c>
      <x:c r="E1831" s="58" t="n">
        <x:v>1</x:v>
      </x:c>
      <x:c r="F1831" s="58" t="str">
        <x:v>FINE</x:v>
      </x:c>
      <x:c r="G1831" s="58" t="n">
        <x:v>4</x:v>
      </x:c>
      <x:c r="H1831" s="59" t="n">
        <x:v>11</x:v>
      </x:c>
      <x:c r="I1831" s="59" t="n">
        <x:v>1.12686</x:v>
      </x:c>
      <x:c r="J1831" s="59" t="n">
        <x:v>1.1367</x:v>
      </x:c>
      <x:c r="K1831" s="59" t="n">
        <x:v>0.43714</x:v>
      </x:c>
      <x:c r="L1831" s="59" t="n">
        <x:v>0.39022</x:v>
      </x:c>
      <x:c r="M1831" s="59" t="n">
        <x:v>1.27916</x:v>
      </x:c>
      <x:c r="N1831" s="60" t="n">
        <x:v>-6.09</x:v>
      </x:c>
      <x:c r="O1831" s="60" t="n">
        <x:v>0.29</x:v>
      </x:c>
      <x:c r="P1831" s="60" t="n">
        <x:v>1.67</x:v>
      </x:c>
      <x:c r="Q1831" s="60" t="n">
        <x:v>88.8</x:v>
      </x:c>
      <x:c r="R1831" s="58" t="str">
        <x:v>X</x:v>
      </x:c>
      <x:c r="S1831" s="60" t="n">
        <x:v>100</x:v>
      </x:c>
      <x:c r="T1831" s="58" t="str">
        <x:v>IN TARGET BAND</x:v>
      </x:c>
      <x:c r="U1831" s="58" t="n">
        <x:v>3043</x:v>
      </x:c>
      <x:c r="V1831" s="58" t="str">
        <x:v>Pasted text(59).txt</x:v>
      </x:c>
    </x:row>
    <x:row r="1832">
      <x:c r="A1832" s="58" t="str">
        <x:v>S19</x:v>
      </x:c>
      <x:c r="B1832" s="58" t="str">
        <x:v>1.20 repeat-validation session at 268 Hz</x:v>
      </x:c>
      <x:c r="C1832" s="58" t="n">
        <x:v>1.2</x:v>
      </x:c>
      <x:c r="D1832" s="58" t="n">
        <x:v>2</x:v>
      </x:c>
      <x:c r="E1832" s="58" t="n">
        <x:v>1</x:v>
      </x:c>
      <x:c r="F1832" s="58" t="str">
        <x:v>FINE</x:v>
      </x:c>
      <x:c r="G1832" s="58" t="n">
        <x:v>5</x:v>
      </x:c>
      <x:c r="H1832" s="59" t="n">
        <x:v>11.25</x:v>
      </x:c>
      <x:c r="I1832" s="59" t="n">
        <x:v>1.1087</x:v>
      </x:c>
      <x:c r="J1832" s="59" t="n">
        <x:v>1.11645</x:v>
      </x:c>
      <x:c r="K1832" s="59" t="n">
        <x:v>0.42748</x:v>
      </x:c>
      <x:c r="L1832" s="59" t="n">
        <x:v>0.41068</x:v>
      </x:c>
      <x:c r="M1832" s="59" t="n">
        <x:v>1.2645</x:v>
      </x:c>
      <x:c r="N1832" s="60" t="n">
        <x:v>-7.61</x:v>
      </x:c>
      <x:c r="O1832" s="60" t="n">
        <x:v>0.22</x:v>
      </x:c>
      <x:c r="P1832" s="60" t="n">
        <x:v>1.33</x:v>
      </x:c>
      <x:c r="Q1832" s="60" t="n">
        <x:v>89</x:v>
      </x:c>
      <x:c r="R1832" s="58" t="str">
        <x:v>X</x:v>
      </x:c>
      <x:c r="S1832" s="60" t="n">
        <x:v>100</x:v>
      </x:c>
      <x:c r="T1832" s="58" t="str">
        <x:v>VALID</x:v>
      </x:c>
      <x:c r="U1832" s="58" t="n">
        <x:v>3044</x:v>
      </x:c>
      <x:c r="V1832" s="58" t="str">
        <x:v>Pasted text(59).txt</x:v>
      </x:c>
    </x:row>
    <x:row r="1833">
      <x:c r="A1833" s="58" t="str">
        <x:v>S19</x:v>
      </x:c>
      <x:c r="B1833" s="58" t="str">
        <x:v>1.20 repeat-validation session at 268 Hz</x:v>
      </x:c>
      <x:c r="C1833" s="58" t="n">
        <x:v>1.2</x:v>
      </x:c>
      <x:c r="D1833" s="58" t="n">
        <x:v>2</x:v>
      </x:c>
      <x:c r="E1833" s="58" t="n">
        <x:v>1</x:v>
      </x:c>
      <x:c r="F1833" s="58" t="str">
        <x:v>FINE</x:v>
      </x:c>
      <x:c r="G1833" s="58" t="n">
        <x:v>6</x:v>
      </x:c>
      <x:c r="H1833" s="59" t="n">
        <x:v>11.5</x:v>
      </x:c>
      <x:c r="I1833" s="59" t="n">
        <x:v>1.16796</x:v>
      </x:c>
      <x:c r="J1833" s="59" t="n">
        <x:v>1.16487</x:v>
      </x:c>
      <x:c r="K1833" s="59" t="n">
        <x:v>0.44323</x:v>
      </x:c>
      <x:c r="L1833" s="59" t="n">
        <x:v>0.41628</x:v>
      </x:c>
      <x:c r="M1833" s="59" t="n">
        <x:v>1.31451</x:v>
      </x:c>
      <x:c r="N1833" s="60" t="n">
        <x:v>-2.67</x:v>
      </x:c>
      <x:c r="O1833" s="60" t="n">
        <x:v>0.79</x:v>
      </x:c>
      <x:c r="P1833" s="60" t="n">
        <x:v>0.96</x:v>
      </x:c>
      <x:c r="Q1833" s="60" t="n">
        <x:v>90.3</x:v>
      </x:c>
      <x:c r="R1833" s="58" t="str">
        <x:v>X</x:v>
      </x:c>
      <x:c r="S1833" s="60" t="n">
        <x:v>100</x:v>
      </x:c>
      <x:c r="T1833" s="58" t="str">
        <x:v>IN TARGET BAND</x:v>
      </x:c>
      <x:c r="U1833" s="58" t="n">
        <x:v>3045</x:v>
      </x:c>
      <x:c r="V1833" s="58" t="str">
        <x:v>Pasted text(59).txt</x:v>
      </x:c>
    </x:row>
    <x:row r="1834">
      <x:c r="A1834" s="58" t="str">
        <x:v>S19</x:v>
      </x:c>
      <x:c r="B1834" s="58" t="str">
        <x:v>1.20 repeat-validation session at 268 Hz</x:v>
      </x:c>
      <x:c r="C1834" s="58" t="n">
        <x:v>1.2</x:v>
      </x:c>
      <x:c r="D1834" s="58" t="n">
        <x:v>2</x:v>
      </x:c>
      <x:c r="E1834" s="58" t="n">
        <x:v>1</x:v>
      </x:c>
      <x:c r="F1834" s="58" t="str">
        <x:v>FINE</x:v>
      </x:c>
      <x:c r="G1834" s="58" t="n">
        <x:v>7</x:v>
      </x:c>
      <x:c r="H1834" s="59" t="n">
        <x:v>11.75</x:v>
      </x:c>
      <x:c r="I1834" s="59" t="n">
        <x:v>1.18417</x:v>
      </x:c>
      <x:c r="J1834" s="59" t="n">
        <x:v>1.17524</x:v>
      </x:c>
      <x:c r="K1834" s="59" t="n">
        <x:v>0.42564</x:v>
      </x:c>
      <x:c r="L1834" s="59" t="n">
        <x:v>0.42599</x:v>
      </x:c>
      <x:c r="M1834" s="59" t="n">
        <x:v>1.32086</x:v>
      </x:c>
      <x:c r="N1834" s="60" t="n">
        <x:v>-1.32</x:v>
      </x:c>
      <x:c r="O1834" s="60" t="n">
        <x:v>1.17</x:v>
      </x:c>
      <x:c r="P1834" s="60" t="n">
        <x:v>2.04</x:v>
      </x:c>
      <x:c r="Q1834" s="60" t="n">
        <x:v>88.7</x:v>
      </x:c>
      <x:c r="R1834" s="58" t="str">
        <x:v>X</x:v>
      </x:c>
      <x:c r="S1834" s="60" t="n">
        <x:v>100</x:v>
      </x:c>
      <x:c r="T1834" s="58" t="str">
        <x:v>IN TARGET BAND</x:v>
      </x:c>
      <x:c r="U1834" s="58" t="n">
        <x:v>3046</x:v>
      </x:c>
      <x:c r="V1834" s="58" t="str">
        <x:v>Pasted text(59).txt</x:v>
      </x:c>
    </x:row>
    <x:row r="1835">
      <x:c r="A1835" s="58" t="str">
        <x:v>S19</x:v>
      </x:c>
      <x:c r="B1835" s="58" t="str">
        <x:v>1.20 repeat-validation session at 268 Hz</x:v>
      </x:c>
      <x:c r="C1835" s="58" t="n">
        <x:v>1.2</x:v>
      </x:c>
      <x:c r="D1835" s="58" t="n">
        <x:v>2</x:v>
      </x:c>
      <x:c r="E1835" s="58" t="n">
        <x:v>1</x:v>
      </x:c>
      <x:c r="F1835" s="58" t="str">
        <x:v>FINE</x:v>
      </x:c>
      <x:c r="G1835" s="58" t="n">
        <x:v>8</x:v>
      </x:c>
      <x:c r="H1835" s="59" t="n">
        <x:v>12</x:v>
      </x:c>
      <x:c r="I1835" s="59" t="n">
        <x:v>1.25818</x:v>
      </x:c>
      <x:c r="J1835" s="59" t="n">
        <x:v>1.24899</x:v>
      </x:c>
      <x:c r="K1835" s="59" t="n">
        <x:v>0.45216</x:v>
      </x:c>
      <x:c r="L1835" s="59" t="n">
        <x:v>0.41903</x:v>
      </x:c>
      <x:c r="M1835" s="59" t="n">
        <x:v>1.3935</x:v>
      </x:c>
      <x:c r="N1835" s="60" t="n">
        <x:v>4.85</x:v>
      </x:c>
      <x:c r="O1835" s="60" t="n">
        <x:v>1.04</x:v>
      </x:c>
      <x:c r="P1835" s="60" t="n">
        <x:v>1.92</x:v>
      </x:c>
      <x:c r="Q1835" s="60" t="n">
        <x:v>91</x:v>
      </x:c>
      <x:c r="R1835" s="58" t="str">
        <x:v>X</x:v>
      </x:c>
      <x:c r="S1835" s="60" t="n">
        <x:v>100</x:v>
      </x:c>
      <x:c r="T1835" s="58" t="str">
        <x:v>IN TARGET BAND</x:v>
      </x:c>
      <x:c r="U1835" s="58" t="n">
        <x:v>3047</x:v>
      </x:c>
      <x:c r="V1835" s="58" t="str">
        <x:v>Pasted text(59).txt</x:v>
      </x:c>
    </x:row>
    <x:row r="1836">
      <x:c r="A1836" s="58" t="str">
        <x:v>S19</x:v>
      </x:c>
      <x:c r="B1836" s="58" t="str">
        <x:v>1.20 repeat-validation session at 268 Hz</x:v>
      </x:c>
      <x:c r="C1836" s="58" t="n">
        <x:v>1.2</x:v>
      </x:c>
      <x:c r="D1836" s="58" t="n">
        <x:v>2</x:v>
      </x:c>
      <x:c r="E1836" s="58" t="n">
        <x:v>1</x:v>
      </x:c>
      <x:c r="F1836" s="58" t="str">
        <x:v>FINE</x:v>
      </x:c>
      <x:c r="G1836" s="58" t="n">
        <x:v>9</x:v>
      </x:c>
      <x:c r="H1836" s="59" t="n">
        <x:v>12.25</x:v>
      </x:c>
      <x:c r="I1836" s="59" t="n">
        <x:v>1.27715</x:v>
      </x:c>
      <x:c r="J1836" s="59" t="n">
        <x:v>1.27103</x:v>
      </x:c>
      <x:c r="K1836" s="59" t="n">
        <x:v>0.48036</x:v>
      </x:c>
      <x:c r="L1836" s="59" t="n">
        <x:v>0.43926</x:v>
      </x:c>
      <x:c r="M1836" s="59" t="n">
        <x:v>1.42837</x:v>
      </x:c>
      <x:c r="N1836" s="60" t="n">
        <x:v>6.43</x:v>
      </x:c>
      <x:c r="O1836" s="60" t="n">
        <x:v>4.27</x:v>
      </x:c>
      <x:c r="P1836" s="60" t="n">
        <x:v>3.64</x:v>
      </x:c>
      <x:c r="Q1836" s="60" t="n">
        <x:v>90.5</x:v>
      </x:c>
      <x:c r="R1836" s="58" t="str">
        <x:v>X</x:v>
      </x:c>
      <x:c r="S1836" s="60" t="n">
        <x:v>100</x:v>
      </x:c>
      <x:c r="T1836" s="58" t="str">
        <x:v>IN TARGET BAND</x:v>
      </x:c>
      <x:c r="U1836" s="58" t="n">
        <x:v>3048</x:v>
      </x:c>
      <x:c r="V1836" s="58" t="str">
        <x:v>Pasted text(59).txt</x:v>
      </x:c>
    </x:row>
    <x:row r="1837">
      <x:c r="A1837" s="58" t="str">
        <x:v>S19</x:v>
      </x:c>
      <x:c r="B1837" s="58" t="str">
        <x:v>1.20 repeat-validation session at 268 Hz</x:v>
      </x:c>
      <x:c r="C1837" s="58" t="n">
        <x:v>1.2</x:v>
      </x:c>
      <x:c r="D1837" s="58" t="n">
        <x:v>2</x:v>
      </x:c>
      <x:c r="E1837" s="58" t="n">
        <x:v>1</x:v>
      </x:c>
      <x:c r="F1837" s="58" t="str">
        <x:v>FINAL</x:v>
      </x:c>
      <x:c r="G1837" s="58" t="n">
        <x:v>1</x:v>
      </x:c>
      <x:c r="H1837" s="59" t="n">
        <x:v>11.5</x:v>
      </x:c>
      <x:c r="I1837" s="59" t="n">
        <x:v>1.1556</x:v>
      </x:c>
      <x:c r="J1837" s="59" t="n">
        <x:v>1.15483</x:v>
      </x:c>
      <x:c r="K1837" s="59" t="n">
        <x:v>0.42746</x:v>
      </x:c>
      <x:c r="L1837" s="59" t="n">
        <x:v>0.37101</x:v>
      </x:c>
      <x:c r="M1837" s="59" t="n">
        <x:v>1.28654</x:v>
      </x:c>
      <x:c r="N1837" s="60" t="n">
        <x:v>-3.7</x:v>
      </x:c>
      <x:c r="O1837" s="60" t="n">
        <x:v>2.54</x:v>
      </x:c>
      <x:c r="P1837" s="60" t="n">
        <x:v>1.79</x:v>
      </x:c>
      <x:c r="Q1837" s="60" t="n">
        <x:v>90.7</x:v>
      </x:c>
      <x:c r="R1837" s="58" t="str">
        <x:v>X</x:v>
      </x:c>
      <x:c r="S1837" s="60" t="n">
        <x:v>100</x:v>
      </x:c>
      <x:c r="T1837" s="58" t="str">
        <x:v>IN TARGET BAND</x:v>
      </x:c>
      <x:c r="U1837" s="58" t="n">
        <x:v>3051</x:v>
      </x:c>
      <x:c r="V1837" s="58" t="str">
        <x:v>Pasted text(59).txt</x:v>
      </x:c>
    </x:row>
    <x:row r="1838">
      <x:c r="A1838" s="58" t="str">
        <x:v>S19</x:v>
      </x:c>
      <x:c r="B1838" s="58" t="str">
        <x:v>1.20 repeat-validation session at 268 Hz</x:v>
      </x:c>
      <x:c r="C1838" s="58" t="n">
        <x:v>1.2</x:v>
      </x:c>
      <x:c r="D1838" s="58" t="n">
        <x:v>2</x:v>
      </x:c>
      <x:c r="E1838" s="58" t="n">
        <x:v>1</x:v>
      </x:c>
      <x:c r="F1838" s="58" t="str">
        <x:v>FINAL</x:v>
      </x:c>
      <x:c r="G1838" s="58" t="n">
        <x:v>2</x:v>
      </x:c>
      <x:c r="H1838" s="59" t="n">
        <x:v>11.5</x:v>
      </x:c>
      <x:c r="I1838" s="59" t="n">
        <x:v>1.13043</x:v>
      </x:c>
      <x:c r="J1838" s="59" t="n">
        <x:v>1.13715</x:v>
      </x:c>
      <x:c r="K1838" s="59" t="n">
        <x:v>0.42447</x:v>
      </x:c>
      <x:c r="L1838" s="59" t="n">
        <x:v>0.39081</x:v>
      </x:c>
      <x:c r="M1838" s="59" t="n">
        <x:v>1.2756</x:v>
      </x:c>
      <x:c r="N1838" s="60" t="n">
        <x:v>-5.8</x:v>
      </x:c>
      <x:c r="O1838" s="60" t="n">
        <x:v>0.59</x:v>
      </x:c>
      <x:c r="P1838" s="60" t="n">
        <x:v>1.62</x:v>
      </x:c>
      <x:c r="Q1838" s="60" t="n">
        <x:v>90.2</x:v>
      </x:c>
      <x:c r="R1838" s="58" t="str">
        <x:v>X</x:v>
      </x:c>
      <x:c r="S1838" s="60" t="n">
        <x:v>100</x:v>
      </x:c>
      <x:c r="T1838" s="58" t="str">
        <x:v>IN TARGET BAND</x:v>
      </x:c>
      <x:c r="U1838" s="58" t="n">
        <x:v>3052</x:v>
      </x:c>
      <x:c r="V1838" s="58" t="str">
        <x:v>Pasted text(59).txt</x:v>
      </x:c>
    </x:row>
    <x:row r="1839">
      <x:c r="A1839" s="58" t="str">
        <x:v>S19</x:v>
      </x:c>
      <x:c r="B1839" s="58" t="str">
        <x:v>1.20 repeat-validation session at 268 Hz</x:v>
      </x:c>
      <x:c r="C1839" s="58" t="n">
        <x:v>1.2</x:v>
      </x:c>
      <x:c r="D1839" s="58" t="n">
        <x:v>3</x:v>
      </x:c>
      <x:c r="E1839" s="58" t="n">
        <x:v>1</x:v>
      </x:c>
      <x:c r="F1839" s="58" t="str">
        <x:v>SEARCH</x:v>
      </x:c>
      <x:c r="G1839" s="58" t="n">
        <x:v>1</x:v>
      </x:c>
      <x:c r="H1839" s="59" t="n">
        <x:v>1</x:v>
      </x:c>
      <x:c r="I1839" s="59" t="n">
        <x:v>0.0208</x:v>
      </x:c>
      <x:c r="J1839" s="59" t="n">
        <x:v>0.01924</x:v>
      </x:c>
      <x:c r="K1839" s="59" t="n">
        <x:v>0.02786</x:v>
      </x:c>
      <x:c r="L1839" s="59" t="n">
        <x:v>0.01238</x:v>
      </x:c>
      <x:c r="M1839" s="59" t="n">
        <x:v>0.03776</x:v>
      </x:c>
      <x:c r="N1839" s="60" t="n">
        <x:v>-98.27</x:v>
      </x:c>
      <x:c r="O1839" s="60" t="n">
        <x:v>22.18</x:v>
      </x:c>
      <x:c r="P1839" s="60" t="n">
        <x:v>11.44</x:v>
      </x:c>
      <x:c r="Q1839" s="60" t="n">
        <x:v>6.4</x:v>
      </x:c>
      <x:c r="R1839" s="58" t="str">
        <x:v>Y</x:v>
      </x:c>
      <x:c r="S1839" s="60" t="n">
        <x:v>69.1</x:v>
      </x:c>
      <x:c r="T1839" s="58" t="str">
        <x:v>BELOW MEASUREMENT FLOOR — SEARCH CONTINUES</x:v>
      </x:c>
      <x:c r="U1839" s="58" t="n">
        <x:v>3108</x:v>
      </x:c>
      <x:c r="V1839" s="58" t="str">
        <x:v>Pasted text(59).txt</x:v>
      </x:c>
    </x:row>
    <x:row r="1840">
      <x:c r="A1840" s="58" t="str">
        <x:v>S19</x:v>
      </x:c>
      <x:c r="B1840" s="58" t="str">
        <x:v>1.20 repeat-validation session at 268 Hz</x:v>
      </x:c>
      <x:c r="C1840" s="58" t="n">
        <x:v>1.2</x:v>
      </x:c>
      <x:c r="D1840" s="58" t="n">
        <x:v>3</x:v>
      </x:c>
      <x:c r="E1840" s="58" t="n">
        <x:v>1</x:v>
      </x:c>
      <x:c r="F1840" s="58" t="str">
        <x:v>SEARCH</x:v>
      </x:c>
      <x:c r="G1840" s="58" t="n">
        <x:v>2</x:v>
      </x:c>
      <x:c r="H1840" s="59" t="n">
        <x:v>3</x:v>
      </x:c>
      <x:c r="I1840" s="59" t="n">
        <x:v>0.19585</x:v>
      </x:c>
      <x:c r="J1840" s="59" t="n">
        <x:v>0.18727</x:v>
      </x:c>
      <x:c r="K1840" s="59" t="n">
        <x:v>0.05531</x:v>
      </x:c>
      <x:c r="L1840" s="59" t="n">
        <x:v>0.11525</x:v>
      </x:c>
      <x:c r="M1840" s="59" t="n">
        <x:v>0.22701</x:v>
      </x:c>
      <x:c r="N1840" s="60" t="n">
        <x:v>-83.68</x:v>
      </x:c>
      <x:c r="O1840" s="60" t="n">
        <x:v>11.76</x:v>
      </x:c>
      <x:c r="P1840" s="60" t="n">
        <x:v>15.68</x:v>
      </x:c>
      <x:c r="Q1840" s="60" t="n">
        <x:v>40.9</x:v>
      </x:c>
      <x:c r="R1840" s="58" t="str">
        <x:v>X</x:v>
      </x:c>
      <x:c r="S1840" s="60" t="n">
        <x:v>100</x:v>
      </x:c>
      <x:c r="T1840" s="58" t="str">
        <x:v>UNSTABLE — SEARCH CONTINUES</x:v>
      </x:c>
      <x:c r="U1840" s="58" t="n">
        <x:v>3109</x:v>
      </x:c>
      <x:c r="V1840" s="58" t="str">
        <x:v>Pasted text(59).txt</x:v>
      </x:c>
    </x:row>
    <x:row r="1841">
      <x:c r="A1841" s="58" t="str">
        <x:v>S19</x:v>
      </x:c>
      <x:c r="B1841" s="58" t="str">
        <x:v>1.20 repeat-validation session at 268 Hz</x:v>
      </x:c>
      <x:c r="C1841" s="58" t="n">
        <x:v>1.2</x:v>
      </x:c>
      <x:c r="D1841" s="58" t="n">
        <x:v>3</x:v>
      </x:c>
      <x:c r="E1841" s="58" t="n">
        <x:v>1</x:v>
      </x:c>
      <x:c r="F1841" s="58" t="str">
        <x:v>SEARCH</x:v>
      </x:c>
      <x:c r="G1841" s="58" t="n">
        <x:v>3</x:v>
      </x:c>
      <x:c r="H1841" s="59" t="n">
        <x:v>5</x:v>
      </x:c>
      <x:c r="I1841" s="59" t="n">
        <x:v>0.43831</x:v>
      </x:c>
      <x:c r="J1841" s="59" t="n">
        <x:v>0.43802</x:v>
      </x:c>
      <x:c r="K1841" s="59" t="n">
        <x:v>0.15292</x:v>
      </x:c>
      <x:c r="L1841" s="59" t="n">
        <x:v>0.16184</x:v>
      </x:c>
      <x:c r="M1841" s="59" t="n">
        <x:v>0.49186</x:v>
      </x:c>
      <x:c r="N1841" s="60" t="n">
        <x:v>-63.47</x:v>
      </x:c>
      <x:c r="O1841" s="60" t="n">
        <x:v>1.23</x:v>
      </x:c>
      <x:c r="P1841" s="60" t="n">
        <x:v>0.93</x:v>
      </x:c>
      <x:c r="Q1841" s="60" t="n">
        <x:v>72.6</x:v>
      </x:c>
      <x:c r="R1841" s="58" t="str">
        <x:v>X</x:v>
      </x:c>
      <x:c r="S1841" s="60" t="n">
        <x:v>100</x:v>
      </x:c>
      <x:c r="T1841" s="58" t="str">
        <x:v>VALID</x:v>
      </x:c>
      <x:c r="U1841" s="58" t="n">
        <x:v>3110</x:v>
      </x:c>
      <x:c r="V1841" s="58" t="str">
        <x:v>Pasted text(59).txt</x:v>
      </x:c>
    </x:row>
    <x:row r="1842">
      <x:c r="A1842" s="58" t="str">
        <x:v>S19</x:v>
      </x:c>
      <x:c r="B1842" s="58" t="str">
        <x:v>1.20 repeat-validation session at 268 Hz</x:v>
      </x:c>
      <x:c r="C1842" s="58" t="n">
        <x:v>1.2</x:v>
      </x:c>
      <x:c r="D1842" s="58" t="n">
        <x:v>3</x:v>
      </x:c>
      <x:c r="E1842" s="58" t="n">
        <x:v>1</x:v>
      </x:c>
      <x:c r="F1842" s="58" t="str">
        <x:v>SEARCH</x:v>
      </x:c>
      <x:c r="G1842" s="58" t="n">
        <x:v>4</x:v>
      </x:c>
      <x:c r="H1842" s="59" t="n">
        <x:v>6</x:v>
      </x:c>
      <x:c r="I1842" s="59" t="n">
        <x:v>0.53925</x:v>
      </x:c>
      <x:c r="J1842" s="59" t="n">
        <x:v>0.53008</x:v>
      </x:c>
      <x:c r="K1842" s="59" t="n">
        <x:v>0.20518</x:v>
      </x:c>
      <x:c r="L1842" s="59" t="n">
        <x:v>0.16802</x:v>
      </x:c>
      <x:c r="M1842" s="59" t="n">
        <x:v>0.59281</x:v>
      </x:c>
      <x:c r="N1842" s="60" t="n">
        <x:v>-55.06</x:v>
      </x:c>
      <x:c r="O1842" s="60" t="n">
        <x:v>0.56</x:v>
      </x:c>
      <x:c r="P1842" s="60" t="n">
        <x:v>3.34</x:v>
      </x:c>
      <x:c r="Q1842" s="60" t="n">
        <x:v>76.6</x:v>
      </x:c>
      <x:c r="R1842" s="58" t="str">
        <x:v>X</x:v>
      </x:c>
      <x:c r="S1842" s="60" t="n">
        <x:v>100</x:v>
      </x:c>
      <x:c r="T1842" s="58" t="str">
        <x:v>VALID</x:v>
      </x:c>
      <x:c r="U1842" s="58" t="n">
        <x:v>3111</x:v>
      </x:c>
      <x:c r="V1842" s="58" t="str">
        <x:v>Pasted text(59).txt</x:v>
      </x:c>
    </x:row>
    <x:row r="1843">
      <x:c r="A1843" s="58" t="str">
        <x:v>S19</x:v>
      </x:c>
      <x:c r="B1843" s="58" t="str">
        <x:v>1.20 repeat-validation session at 268 Hz</x:v>
      </x:c>
      <x:c r="C1843" s="58" t="n">
        <x:v>1.2</x:v>
      </x:c>
      <x:c r="D1843" s="58" t="n">
        <x:v>3</x:v>
      </x:c>
      <x:c r="E1843" s="58" t="n">
        <x:v>1</x:v>
      </x:c>
      <x:c r="F1843" s="58" t="str">
        <x:v>SEARCH</x:v>
      </x:c>
      <x:c r="G1843" s="58" t="n">
        <x:v>5</x:v>
      </x:c>
      <x:c r="H1843" s="59" t="n">
        <x:v>7</x:v>
      </x:c>
      <x:c r="I1843" s="59" t="n">
        <x:v>0.65296</x:v>
      </x:c>
      <x:c r="J1843" s="59" t="n">
        <x:v>0.64172</x:v>
      </x:c>
      <x:c r="K1843" s="59" t="n">
        <x:v>0.24365</x:v>
      </x:c>
      <x:c r="L1843" s="59" t="n">
        <x:v>0.23509</x:v>
      </x:c>
      <x:c r="M1843" s="59" t="n">
        <x:v>0.72556</x:v>
      </x:c>
      <x:c r="N1843" s="60" t="n">
        <x:v>-45.59</x:v>
      </x:c>
      <x:c r="O1843" s="60" t="n">
        <x:v>0.31</x:v>
      </x:c>
      <x:c r="P1843" s="60" t="n">
        <x:v>3.22</x:v>
      </x:c>
      <x:c r="Q1843" s="60" t="n">
        <x:v>81.8</x:v>
      </x:c>
      <x:c r="R1843" s="58" t="str">
        <x:v>X</x:v>
      </x:c>
      <x:c r="S1843" s="60" t="n">
        <x:v>100</x:v>
      </x:c>
      <x:c r="T1843" s="58" t="str">
        <x:v>VALID</x:v>
      </x:c>
      <x:c r="U1843" s="58" t="n">
        <x:v>3112</x:v>
      </x:c>
      <x:c r="V1843" s="58" t="str">
        <x:v>Pasted text(59).txt</x:v>
      </x:c>
    </x:row>
    <x:row r="1844">
      <x:c r="A1844" s="58" t="str">
        <x:v>S19</x:v>
      </x:c>
      <x:c r="B1844" s="58" t="str">
        <x:v>1.20 repeat-validation session at 268 Hz</x:v>
      </x:c>
      <x:c r="C1844" s="58" t="n">
        <x:v>1.2</x:v>
      </x:c>
      <x:c r="D1844" s="58" t="n">
        <x:v>3</x:v>
      </x:c>
      <x:c r="E1844" s="58" t="n">
        <x:v>1</x:v>
      </x:c>
      <x:c r="F1844" s="58" t="str">
        <x:v>SEARCH</x:v>
      </x:c>
      <x:c r="G1844" s="58" t="n">
        <x:v>6</x:v>
      </x:c>
      <x:c r="H1844" s="59" t="n">
        <x:v>8</x:v>
      </x:c>
      <x:c r="I1844" s="59" t="n">
        <x:v>0.74856</x:v>
      </x:c>
      <x:c r="J1844" s="59" t="n">
        <x:v>0.74354</x:v>
      </x:c>
      <x:c r="K1844" s="59" t="n">
        <x:v>0.26831</x:v>
      </x:c>
      <x:c r="L1844" s="59" t="n">
        <x:v>0.28817</x:v>
      </x:c>
      <x:c r="M1844" s="59" t="n">
        <x:v>0.84141</x:v>
      </x:c>
      <x:c r="N1844" s="60" t="n">
        <x:v>-37.62</x:v>
      </x:c>
      <x:c r="O1844" s="60" t="n">
        <x:v>1.94</x:v>
      </x:c>
      <x:c r="P1844" s="60" t="n">
        <x:v>2.41</x:v>
      </x:c>
      <x:c r="Q1844" s="60" t="n">
        <x:v>83.4</x:v>
      </x:c>
      <x:c r="R1844" s="58" t="str">
        <x:v>X</x:v>
      </x:c>
      <x:c r="S1844" s="60" t="n">
        <x:v>100</x:v>
      </x:c>
      <x:c r="T1844" s="58" t="str">
        <x:v>VALID</x:v>
      </x:c>
      <x:c r="U1844" s="58" t="n">
        <x:v>3113</x:v>
      </x:c>
      <x:c r="V1844" s="58" t="str">
        <x:v>Pasted text(59).txt</x:v>
      </x:c>
    </x:row>
    <x:row r="1845">
      <x:c r="A1845" s="58" t="str">
        <x:v>S19</x:v>
      </x:c>
      <x:c r="B1845" s="58" t="str">
        <x:v>1.20 repeat-validation session at 268 Hz</x:v>
      </x:c>
      <x:c r="C1845" s="58" t="n">
        <x:v>1.2</x:v>
      </x:c>
      <x:c r="D1845" s="58" t="n">
        <x:v>3</x:v>
      </x:c>
      <x:c r="E1845" s="58" t="n">
        <x:v>1</x:v>
      </x:c>
      <x:c r="F1845" s="58" t="str">
        <x:v>SEARCH</x:v>
      </x:c>
      <x:c r="G1845" s="58" t="n">
        <x:v>7</x:v>
      </x:c>
      <x:c r="H1845" s="59" t="n">
        <x:v>8.5</x:v>
      </x:c>
      <x:c r="I1845" s="59" t="n">
        <x:v>0.77052</x:v>
      </x:c>
      <x:c r="J1845" s="59" t="n">
        <x:v>0.79158</x:v>
      </x:c>
      <x:c r="K1845" s="59" t="n">
        <x:v>0.29446</x:v>
      </x:c>
      <x:c r="L1845" s="59" t="n">
        <x:v>0.28894</x:v>
      </x:c>
      <x:c r="M1845" s="59" t="n">
        <x:v>0.89288</x:v>
      </x:c>
      <x:c r="N1845" s="60" t="n">
        <x:v>-35.79</x:v>
      </x:c>
      <x:c r="O1845" s="60" t="n">
        <x:v>0.3</x:v>
      </x:c>
      <x:c r="P1845" s="60" t="n">
        <x:v>4.78</x:v>
      </x:c>
      <x:c r="Q1845" s="60" t="n">
        <x:v>85.9</x:v>
      </x:c>
      <x:c r="R1845" s="58" t="str">
        <x:v>X</x:v>
      </x:c>
      <x:c r="S1845" s="60" t="n">
        <x:v>100</x:v>
      </x:c>
      <x:c r="T1845" s="58" t="str">
        <x:v>VALID</x:v>
      </x:c>
      <x:c r="U1845" s="58" t="n">
        <x:v>3114</x:v>
      </x:c>
      <x:c r="V1845" s="58" t="str">
        <x:v>Pasted text(59).txt</x:v>
      </x:c>
    </x:row>
    <x:row r="1846">
      <x:c r="A1846" s="58" t="str">
        <x:v>S19</x:v>
      </x:c>
      <x:c r="B1846" s="58" t="str">
        <x:v>1.20 repeat-validation session at 268 Hz</x:v>
      </x:c>
      <x:c r="C1846" s="58" t="n">
        <x:v>1.2</x:v>
      </x:c>
      <x:c r="D1846" s="58" t="n">
        <x:v>3</x:v>
      </x:c>
      <x:c r="E1846" s="58" t="n">
        <x:v>1</x:v>
      </x:c>
      <x:c r="F1846" s="58" t="str">
        <x:v>SEARCH</x:v>
      </x:c>
      <x:c r="G1846" s="58" t="n">
        <x:v>8</x:v>
      </x:c>
      <x:c r="H1846" s="59" t="n">
        <x:v>9</x:v>
      </x:c>
      <x:c r="I1846" s="59" t="n">
        <x:v>0.87917</x:v>
      </x:c>
      <x:c r="J1846" s="59" t="n">
        <x:v>0.87737</x:v>
      </x:c>
      <x:c r="K1846" s="59" t="n">
        <x:v>0.31636</x:v>
      </x:c>
      <x:c r="L1846" s="59" t="n">
        <x:v>0.33082</x:v>
      </x:c>
      <x:c r="M1846" s="59" t="n">
        <x:v>0.98973</x:v>
      </x:c>
      <x:c r="N1846" s="60" t="n">
        <x:v>-26.74</x:v>
      </x:c>
      <x:c r="O1846" s="60" t="n">
        <x:v>1.21</x:v>
      </x:c>
      <x:c r="P1846" s="60" t="n">
        <x:v>1.14</x:v>
      </x:c>
      <x:c r="Q1846" s="60" t="n">
        <x:v>86.7</x:v>
      </x:c>
      <x:c r="R1846" s="58" t="str">
        <x:v>X</x:v>
      </x:c>
      <x:c r="S1846" s="60" t="n">
        <x:v>100</x:v>
      </x:c>
      <x:c r="T1846" s="58" t="str">
        <x:v>VALID</x:v>
      </x:c>
      <x:c r="U1846" s="58" t="n">
        <x:v>3115</x:v>
      </x:c>
      <x:c r="V1846" s="58" t="str">
        <x:v>Pasted text(59).txt</x:v>
      </x:c>
    </x:row>
    <x:row r="1847">
      <x:c r="A1847" s="58" t="str">
        <x:v>S19</x:v>
      </x:c>
      <x:c r="B1847" s="58" t="str">
        <x:v>1.20 repeat-validation session at 268 Hz</x:v>
      </x:c>
      <x:c r="C1847" s="58" t="n">
        <x:v>1.2</x:v>
      </x:c>
      <x:c r="D1847" s="58" t="n">
        <x:v>3</x:v>
      </x:c>
      <x:c r="E1847" s="58" t="n">
        <x:v>1</x:v>
      </x:c>
      <x:c r="F1847" s="58" t="str">
        <x:v>SEARCH</x:v>
      </x:c>
      <x:c r="G1847" s="58" t="n">
        <x:v>9</x:v>
      </x:c>
      <x:c r="H1847" s="59" t="n">
        <x:v>9.5</x:v>
      </x:c>
      <x:c r="I1847" s="59" t="n">
        <x:v>0.90397</x:v>
      </x:c>
      <x:c r="J1847" s="59" t="n">
        <x:v>0.90917</x:v>
      </x:c>
      <x:c r="K1847" s="59" t="n">
        <x:v>0.34323</x:v>
      </x:c>
      <x:c r="L1847" s="59" t="n">
        <x:v>0.34206</x:v>
      </x:c>
      <x:c r="M1847" s="59" t="n">
        <x:v>1.03037</x:v>
      </x:c>
      <x:c r="N1847" s="60" t="n">
        <x:v>-24.67</x:v>
      </x:c>
      <x:c r="O1847" s="60" t="n">
        <x:v>0.26</x:v>
      </x:c>
      <x:c r="P1847" s="60" t="n">
        <x:v>1.15</x:v>
      </x:c>
      <x:c r="Q1847" s="60" t="n">
        <x:v>88.3</x:v>
      </x:c>
      <x:c r="R1847" s="58" t="str">
        <x:v>X</x:v>
      </x:c>
      <x:c r="S1847" s="60" t="n">
        <x:v>100</x:v>
      </x:c>
      <x:c r="T1847" s="58" t="str">
        <x:v>VALID</x:v>
      </x:c>
      <x:c r="U1847" s="58" t="n">
        <x:v>3116</x:v>
      </x:c>
      <x:c r="V1847" s="58" t="str">
        <x:v>Pasted text(59).txt</x:v>
      </x:c>
    </x:row>
    <x:row r="1848">
      <x:c r="A1848" s="58" t="str">
        <x:v>S19</x:v>
      </x:c>
      <x:c r="B1848" s="58" t="str">
        <x:v>1.20 repeat-validation session at 268 Hz</x:v>
      </x:c>
      <x:c r="C1848" s="58" t="n">
        <x:v>1.2</x:v>
      </x:c>
      <x:c r="D1848" s="58" t="n">
        <x:v>3</x:v>
      </x:c>
      <x:c r="E1848" s="58" t="n">
        <x:v>1</x:v>
      </x:c>
      <x:c r="F1848" s="58" t="str">
        <x:v>SEARCH</x:v>
      </x:c>
      <x:c r="G1848" s="58" t="n">
        <x:v>10</x:v>
      </x:c>
      <x:c r="H1848" s="59" t="n">
        <x:v>10</x:v>
      </x:c>
      <x:c r="I1848" s="59" t="n">
        <x:v>1.00564</x:v>
      </x:c>
      <x:c r="J1848" s="59" t="n">
        <x:v>0.99894</x:v>
      </x:c>
      <x:c r="K1848" s="59" t="n">
        <x:v>0.3598</x:v>
      </x:c>
      <x:c r="L1848" s="59" t="n">
        <x:v>0.36538</x:v>
      </x:c>
      <x:c r="M1848" s="59" t="n">
        <x:v>1.12314</x:v>
      </x:c>
      <x:c r="N1848" s="60" t="n">
        <x:v>-16.2</x:v>
      </x:c>
      <x:c r="O1848" s="60" t="n">
        <x:v>0.04</x:v>
      </x:c>
      <x:c r="P1848" s="60" t="n">
        <x:v>1.19</x:v>
      </x:c>
      <x:c r="Q1848" s="60" t="n">
        <x:v>87.9</x:v>
      </x:c>
      <x:c r="R1848" s="58" t="str">
        <x:v>X</x:v>
      </x:c>
      <x:c r="S1848" s="60" t="n">
        <x:v>100</x:v>
      </x:c>
      <x:c r="T1848" s="58" t="str">
        <x:v>VALID</x:v>
      </x:c>
      <x:c r="U1848" s="58" t="n">
        <x:v>3117</x:v>
      </x:c>
      <x:c r="V1848" s="58" t="str">
        <x:v>Pasted text(59).txt</x:v>
      </x:c>
    </x:row>
    <x:row r="1849">
      <x:c r="A1849" s="58" t="str">
        <x:v>S19</x:v>
      </x:c>
      <x:c r="B1849" s="58" t="str">
        <x:v>1.20 repeat-validation session at 268 Hz</x:v>
      </x:c>
      <x:c r="C1849" s="58" t="n">
        <x:v>1.2</x:v>
      </x:c>
      <x:c r="D1849" s="58" t="n">
        <x:v>3</x:v>
      </x:c>
      <x:c r="E1849" s="58" t="n">
        <x:v>1</x:v>
      </x:c>
      <x:c r="F1849" s="58" t="str">
        <x:v>SEARCH</x:v>
      </x:c>
      <x:c r="G1849" s="58" t="n">
        <x:v>11</x:v>
      </x:c>
      <x:c r="H1849" s="59" t="n">
        <x:v>10.5</x:v>
      </x:c>
      <x:c r="I1849" s="59" t="n">
        <x:v>1.00095</x:v>
      </x:c>
      <x:c r="J1849" s="59" t="n">
        <x:v>1.02024</x:v>
      </x:c>
      <x:c r="K1849" s="59" t="n">
        <x:v>0.36068</x:v>
      </x:c>
      <x:c r="L1849" s="59" t="n">
        <x:v>0.38726</x:v>
      </x:c>
      <x:c r="M1849" s="59" t="n">
        <x:v>1.14963</x:v>
      </x:c>
      <x:c r="N1849" s="60" t="n">
        <x:v>-16.59</x:v>
      </x:c>
      <x:c r="O1849" s="60" t="n">
        <x:v>1.23</x:v>
      </x:c>
      <x:c r="P1849" s="60" t="n">
        <x:v>4</x:v>
      </x:c>
      <x:c r="Q1849" s="60" t="n">
        <x:v>89.3</x:v>
      </x:c>
      <x:c r="R1849" s="58" t="str">
        <x:v>X</x:v>
      </x:c>
      <x:c r="S1849" s="60" t="n">
        <x:v>100</x:v>
      </x:c>
      <x:c r="T1849" s="58" t="str">
        <x:v>VALID</x:v>
      </x:c>
      <x:c r="U1849" s="58" t="n">
        <x:v>3118</x:v>
      </x:c>
      <x:c r="V1849" s="58" t="str">
        <x:v>Pasted text(59).txt</x:v>
      </x:c>
    </x:row>
    <x:row r="1850">
      <x:c r="A1850" s="58" t="str">
        <x:v>S19</x:v>
      </x:c>
      <x:c r="B1850" s="58" t="str">
        <x:v>1.20 repeat-validation session at 268 Hz</x:v>
      </x:c>
      <x:c r="C1850" s="58" t="n">
        <x:v>1.2</x:v>
      </x:c>
      <x:c r="D1850" s="58" t="n">
        <x:v>3</x:v>
      </x:c>
      <x:c r="E1850" s="58" t="n">
        <x:v>1</x:v>
      </x:c>
      <x:c r="F1850" s="58" t="str">
        <x:v>SEARCH</x:v>
      </x:c>
      <x:c r="G1850" s="58" t="n">
        <x:v>12</x:v>
      </x:c>
      <x:c r="H1850" s="59" t="n">
        <x:v>11</x:v>
      </x:c>
      <x:c r="I1850" s="59" t="n">
        <x:v>1.11746</x:v>
      </x:c>
      <x:c r="J1850" s="59" t="n">
        <x:v>1.1188</x:v>
      </x:c>
      <x:c r="K1850" s="59" t="n">
        <x:v>0.40631</x:v>
      </x:c>
      <x:c r="L1850" s="59" t="n">
        <x:v>0.38983</x:v>
      </x:c>
      <x:c r="M1850" s="59" t="n">
        <x:v>1.25291</x:v>
      </x:c>
      <x:c r="N1850" s="60" t="n">
        <x:v>-6.88</x:v>
      </x:c>
      <x:c r="O1850" s="60" t="n">
        <x:v>0.18</x:v>
      </x:c>
      <x:c r="P1850" s="60" t="n">
        <x:v>0.32</x:v>
      </x:c>
      <x:c r="Q1850" s="60" t="n">
        <x:v>90.1</x:v>
      </x:c>
      <x:c r="R1850" s="58" t="str">
        <x:v>X</x:v>
      </x:c>
      <x:c r="S1850" s="60" t="n">
        <x:v>100</x:v>
      </x:c>
      <x:c r="T1850" s="58" t="str">
        <x:v>IN TARGET BAND</x:v>
      </x:c>
      <x:c r="U1850" s="58" t="n">
        <x:v>3119</x:v>
      </x:c>
      <x:c r="V1850" s="58" t="str">
        <x:v>Pasted text(59).txt</x:v>
      </x:c>
    </x:row>
    <x:row r="1851">
      <x:c r="A1851" s="58" t="str">
        <x:v>S19</x:v>
      </x:c>
      <x:c r="B1851" s="58" t="str">
        <x:v>1.20 repeat-validation session at 268 Hz</x:v>
      </x:c>
      <x:c r="C1851" s="58" t="n">
        <x:v>1.2</x:v>
      </x:c>
      <x:c r="D1851" s="58" t="n">
        <x:v>3</x:v>
      </x:c>
      <x:c r="E1851" s="58" t="n">
        <x:v>1</x:v>
      </x:c>
      <x:c r="F1851" s="58" t="str">
        <x:v>FINE</x:v>
      </x:c>
      <x:c r="G1851" s="58" t="n">
        <x:v>1</x:v>
      </x:c>
      <x:c r="H1851" s="59" t="n">
        <x:v>10</x:v>
      </x:c>
      <x:c r="I1851" s="59" t="n">
        <x:v>0.96941</x:v>
      </x:c>
      <x:c r="J1851" s="59" t="n">
        <x:v>0.98088</x:v>
      </x:c>
      <x:c r="K1851" s="59" t="n">
        <x:v>0.39435</x:v>
      </x:c>
      <x:c r="L1851" s="59" t="n">
        <x:v>0.37008</x:v>
      </x:c>
      <x:c r="M1851" s="59" t="n">
        <x:v>1.12022</x:v>
      </x:c>
      <x:c r="N1851" s="60" t="n">
        <x:v>-19.22</x:v>
      </x:c>
      <x:c r="O1851" s="60" t="n">
        <x:v>0.65</x:v>
      </x:c>
      <x:c r="P1851" s="60" t="n">
        <x:v>2.41</x:v>
      </x:c>
      <x:c r="Q1851" s="60" t="n">
        <x:v>86.7</x:v>
      </x:c>
      <x:c r="R1851" s="58" t="str">
        <x:v>X</x:v>
      </x:c>
      <x:c r="S1851" s="60" t="n">
        <x:v>100</x:v>
      </x:c>
      <x:c r="T1851" s="58" t="str">
        <x:v>VALID</x:v>
      </x:c>
      <x:c r="U1851" s="58" t="n">
        <x:v>3123</x:v>
      </x:c>
      <x:c r="V1851" s="58" t="str">
        <x:v>Pasted text(59).txt</x:v>
      </x:c>
    </x:row>
    <x:row r="1852">
      <x:c r="A1852" s="58" t="str">
        <x:v>S19</x:v>
      </x:c>
      <x:c r="B1852" s="58" t="str">
        <x:v>1.20 repeat-validation session at 268 Hz</x:v>
      </x:c>
      <x:c r="C1852" s="58" t="n">
        <x:v>1.2</x:v>
      </x:c>
      <x:c r="D1852" s="58" t="n">
        <x:v>3</x:v>
      </x:c>
      <x:c r="E1852" s="58" t="n">
        <x:v>1</x:v>
      </x:c>
      <x:c r="F1852" s="58" t="str">
        <x:v>FINE</x:v>
      </x:c>
      <x:c r="G1852" s="58" t="n">
        <x:v>2</x:v>
      </x:c>
      <x:c r="H1852" s="59" t="n">
        <x:v>10.25</x:v>
      </x:c>
      <x:c r="I1852" s="59" t="n">
        <x:v>1.029</x:v>
      </x:c>
      <x:c r="J1852" s="59" t="n">
        <x:v>1.01635</x:v>
      </x:c>
      <x:c r="K1852" s="59" t="n">
        <x:v>0.35849</x:v>
      </x:c>
      <x:c r="L1852" s="59" t="n">
        <x:v>0.35978</x:v>
      </x:c>
      <x:c r="M1852" s="59" t="n">
        <x:v>1.13674</x:v>
      </x:c>
      <x:c r="N1852" s="60" t="n">
        <x:v>-14.25</x:v>
      </x:c>
      <x:c r="O1852" s="60" t="n">
        <x:v>2.17</x:v>
      </x:c>
      <x:c r="P1852" s="60" t="n">
        <x:v>3.52</x:v>
      </x:c>
      <x:c r="Q1852" s="60" t="n">
        <x:v>88.4</x:v>
      </x:c>
      <x:c r="R1852" s="58" t="str">
        <x:v>X</x:v>
      </x:c>
      <x:c r="S1852" s="60" t="n">
        <x:v>100</x:v>
      </x:c>
      <x:c r="T1852" s="58" t="str">
        <x:v>VALID</x:v>
      </x:c>
      <x:c r="U1852" s="58" t="n">
        <x:v>3124</x:v>
      </x:c>
      <x:c r="V1852" s="58" t="str">
        <x:v>Pasted text(59).txt</x:v>
      </x:c>
    </x:row>
    <x:row r="1853">
      <x:c r="A1853" s="58" t="str">
        <x:v>S19</x:v>
      </x:c>
      <x:c r="B1853" s="58" t="str">
        <x:v>1.20 repeat-validation session at 268 Hz</x:v>
      </x:c>
      <x:c r="C1853" s="58" t="n">
        <x:v>1.2</x:v>
      </x:c>
      <x:c r="D1853" s="58" t="n">
        <x:v>3</x:v>
      </x:c>
      <x:c r="E1853" s="58" t="n">
        <x:v>1</x:v>
      </x:c>
      <x:c r="F1853" s="58" t="str">
        <x:v>FINE</x:v>
      </x:c>
      <x:c r="G1853" s="58" t="n">
        <x:v>3</x:v>
      </x:c>
      <x:c r="H1853" s="59" t="n">
        <x:v>10.5</x:v>
      </x:c>
      <x:c r="I1853" s="59" t="n">
        <x:v>1.03225</x:v>
      </x:c>
      <x:c r="J1853" s="59" t="n">
        <x:v>1.03571</x:v>
      </x:c>
      <x:c r="K1853" s="59" t="n">
        <x:v>0.38303</x:v>
      </x:c>
      <x:c r="L1853" s="59" t="n">
        <x:v>0.37374</x:v>
      </x:c>
      <x:c r="M1853" s="59" t="n">
        <x:v>1.16615</x:v>
      </x:c>
      <x:c r="N1853" s="60" t="n">
        <x:v>-13.98</x:v>
      </x:c>
      <x:c r="O1853" s="60" t="n">
        <x:v>0.68</x:v>
      </x:c>
      <x:c r="P1853" s="60" t="n">
        <x:v>1</x:v>
      </x:c>
      <x:c r="Q1853" s="60" t="n">
        <x:v>88.8</x:v>
      </x:c>
      <x:c r="R1853" s="58" t="str">
        <x:v>X</x:v>
      </x:c>
      <x:c r="S1853" s="60" t="n">
        <x:v>100</x:v>
      </x:c>
      <x:c r="T1853" s="58" t="str">
        <x:v>VALID</x:v>
      </x:c>
      <x:c r="U1853" s="58" t="n">
        <x:v>3125</x:v>
      </x:c>
      <x:c r="V1853" s="58" t="str">
        <x:v>Pasted text(59).txt</x:v>
      </x:c>
    </x:row>
    <x:row r="1854">
      <x:c r="A1854" s="58" t="str">
        <x:v>S19</x:v>
      </x:c>
      <x:c r="B1854" s="58" t="str">
        <x:v>1.20 repeat-validation session at 268 Hz</x:v>
      </x:c>
      <x:c r="C1854" s="58" t="n">
        <x:v>1.2</x:v>
      </x:c>
      <x:c r="D1854" s="58" t="n">
        <x:v>3</x:v>
      </x:c>
      <x:c r="E1854" s="58" t="n">
        <x:v>1</x:v>
      </x:c>
      <x:c r="F1854" s="58" t="str">
        <x:v>FINE</x:v>
      </x:c>
      <x:c r="G1854" s="58" t="n">
        <x:v>4</x:v>
      </x:c>
      <x:c r="H1854" s="59" t="n">
        <x:v>10.75</x:v>
      </x:c>
      <x:c r="I1854" s="59" t="n">
        <x:v>1.08875</x:v>
      </x:c>
      <x:c r="J1854" s="59" t="n">
        <x:v>1.08873</x:v>
      </x:c>
      <x:c r="K1854" s="59" t="n">
        <x:v>0.39074</x:v>
      </x:c>
      <x:c r="L1854" s="59" t="n">
        <x:v>0.38266</x:v>
      </x:c>
      <x:c r="M1854" s="59" t="n">
        <x:v>1.2184</x:v>
      </x:c>
      <x:c r="N1854" s="60" t="n">
        <x:v>-9.27</x:v>
      </x:c>
      <x:c r="O1854" s="60" t="n">
        <x:v>1.71</x:v>
      </x:c>
      <x:c r="P1854" s="60" t="n">
        <x:v>1.16</x:v>
      </x:c>
      <x:c r="Q1854" s="60" t="n">
        <x:v>88.4</x:v>
      </x:c>
      <x:c r="R1854" s="58" t="str">
        <x:v>X</x:v>
      </x:c>
      <x:c r="S1854" s="60" t="n">
        <x:v>100</x:v>
      </x:c>
      <x:c r="T1854" s="58" t="str">
        <x:v>VALID</x:v>
      </x:c>
      <x:c r="U1854" s="58" t="n">
        <x:v>3126</x:v>
      </x:c>
      <x:c r="V1854" s="58" t="str">
        <x:v>Pasted text(59).txt</x:v>
      </x:c>
    </x:row>
    <x:row r="1855">
      <x:c r="A1855" s="58" t="str">
        <x:v>S19</x:v>
      </x:c>
      <x:c r="B1855" s="58" t="str">
        <x:v>1.20 repeat-validation session at 268 Hz</x:v>
      </x:c>
      <x:c r="C1855" s="58" t="n">
        <x:v>1.2</x:v>
      </x:c>
      <x:c r="D1855" s="58" t="n">
        <x:v>3</x:v>
      </x:c>
      <x:c r="E1855" s="58" t="n">
        <x:v>1</x:v>
      </x:c>
      <x:c r="F1855" s="58" t="str">
        <x:v>FINE</x:v>
      </x:c>
      <x:c r="G1855" s="58" t="n">
        <x:v>5</x:v>
      </x:c>
      <x:c r="H1855" s="59" t="n">
        <x:v>11</x:v>
      </x:c>
      <x:c r="I1855" s="59" t="n">
        <x:v>1.13049</x:v>
      </x:c>
      <x:c r="J1855" s="59" t="n">
        <x:v>1.09947</x:v>
      </x:c>
      <x:c r="K1855" s="59" t="n">
        <x:v>0.40821</x:v>
      </x:c>
      <x:c r="L1855" s="59" t="n">
        <x:v>0.37829</x:v>
      </x:c>
      <x:c r="M1855" s="59" t="n">
        <x:v>1.23278</x:v>
      </x:c>
      <x:c r="N1855" s="60" t="n">
        <x:v>-5.79</x:v>
      </x:c>
      <x:c r="O1855" s="60" t="n">
        <x:v>0.07</x:v>
      </x:c>
      <x:c r="P1855" s="60" t="n">
        <x:v>4.93</x:v>
      </x:c>
      <x:c r="Q1855" s="60" t="n">
        <x:v>88.6</x:v>
      </x:c>
      <x:c r="R1855" s="58" t="str">
        <x:v>X</x:v>
      </x:c>
      <x:c r="S1855" s="60" t="n">
        <x:v>100</x:v>
      </x:c>
      <x:c r="T1855" s="58" t="str">
        <x:v>IN TARGET BAND</x:v>
      </x:c>
      <x:c r="U1855" s="58" t="n">
        <x:v>3127</x:v>
      </x:c>
      <x:c r="V1855" s="58" t="str">
        <x:v>Pasted text(59).txt</x:v>
      </x:c>
    </x:row>
    <x:row r="1856">
      <x:c r="A1856" s="58" t="str">
        <x:v>S19</x:v>
      </x:c>
      <x:c r="B1856" s="58" t="str">
        <x:v>1.20 repeat-validation session at 268 Hz</x:v>
      </x:c>
      <x:c r="C1856" s="58" t="n">
        <x:v>1.2</x:v>
      </x:c>
      <x:c r="D1856" s="58" t="n">
        <x:v>3</x:v>
      </x:c>
      <x:c r="E1856" s="58" t="n">
        <x:v>1</x:v>
      </x:c>
      <x:c r="F1856" s="58" t="str">
        <x:v>FINE</x:v>
      </x:c>
      <x:c r="G1856" s="58" t="n">
        <x:v>6</x:v>
      </x:c>
      <x:c r="H1856" s="59" t="n">
        <x:v>11.25</x:v>
      </x:c>
      <x:c r="I1856" s="59" t="n">
        <x:v>1.14075</x:v>
      </x:c>
      <x:c r="J1856" s="59" t="n">
        <x:v>1.13646</x:v>
      </x:c>
      <x:c r="K1856" s="59" t="n">
        <x:v>0.4039</x:v>
      </x:c>
      <x:c r="L1856" s="59" t="n">
        <x:v>0.38265</x:v>
      </x:c>
      <x:c r="M1856" s="59" t="n">
        <x:v>1.26571</x:v>
      </x:c>
      <x:c r="N1856" s="60" t="n">
        <x:v>-4.94</x:v>
      </x:c>
      <x:c r="O1856" s="60" t="n">
        <x:v>1.31</x:v>
      </x:c>
      <x:c r="P1856" s="60" t="n">
        <x:v>1.49</x:v>
      </x:c>
      <x:c r="Q1856" s="60" t="n">
        <x:v>90.2</x:v>
      </x:c>
      <x:c r="R1856" s="58" t="str">
        <x:v>X</x:v>
      </x:c>
      <x:c r="S1856" s="60" t="n">
        <x:v>100</x:v>
      </x:c>
      <x:c r="T1856" s="58" t="str">
        <x:v>IN TARGET BAND</x:v>
      </x:c>
      <x:c r="U1856" s="58" t="n">
        <x:v>3128</x:v>
      </x:c>
      <x:c r="V1856" s="58" t="str">
        <x:v>Pasted text(59).txt</x:v>
      </x:c>
    </x:row>
    <x:row r="1857">
      <x:c r="A1857" s="58" t="str">
        <x:v>S19</x:v>
      </x:c>
      <x:c r="B1857" s="58" t="str">
        <x:v>1.20 repeat-validation session at 268 Hz</x:v>
      </x:c>
      <x:c r="C1857" s="58" t="n">
        <x:v>1.2</x:v>
      </x:c>
      <x:c r="D1857" s="58" t="n">
        <x:v>3</x:v>
      </x:c>
      <x:c r="E1857" s="58" t="n">
        <x:v>1</x:v>
      </x:c>
      <x:c r="F1857" s="58" t="str">
        <x:v>FINE</x:v>
      </x:c>
      <x:c r="G1857" s="58" t="n">
        <x:v>7</x:v>
      </x:c>
      <x:c r="H1857" s="59" t="n">
        <x:v>11.5</x:v>
      </x:c>
      <x:c r="I1857" s="59" t="n">
        <x:v>1.17109</x:v>
      </x:c>
      <x:c r="J1857" s="59" t="n">
        <x:v>1.17077</x:v>
      </x:c>
      <x:c r="K1857" s="59" t="n">
        <x:v>0.44161</x:v>
      </x:c>
      <x:c r="L1857" s="59" t="n">
        <x:v>0.43716</x:v>
      </x:c>
      <x:c r="M1857" s="59" t="n">
        <x:v>1.32582</x:v>
      </x:c>
      <x:c r="N1857" s="60" t="n">
        <x:v>-2.41</x:v>
      </x:c>
      <x:c r="O1857" s="60" t="n">
        <x:v>2.26</x:v>
      </x:c>
      <x:c r="P1857" s="60" t="n">
        <x:v>1.56</x:v>
      </x:c>
      <x:c r="Q1857" s="60" t="n">
        <x:v>91.2</x:v>
      </x:c>
      <x:c r="R1857" s="58" t="str">
        <x:v>X</x:v>
      </x:c>
      <x:c r="S1857" s="60" t="n">
        <x:v>100</x:v>
      </x:c>
      <x:c r="T1857" s="58" t="str">
        <x:v>IN TARGET BAND</x:v>
      </x:c>
      <x:c r="U1857" s="58" t="n">
        <x:v>3129</x:v>
      </x:c>
      <x:c r="V1857" s="58" t="str">
        <x:v>Pasted text(59).txt</x:v>
      </x:c>
    </x:row>
    <x:row r="1858">
      <x:c r="A1858" s="58" t="str">
        <x:v>S19</x:v>
      </x:c>
      <x:c r="B1858" s="58" t="str">
        <x:v>1.20 repeat-validation session at 268 Hz</x:v>
      </x:c>
      <x:c r="C1858" s="58" t="n">
        <x:v>1.2</x:v>
      </x:c>
      <x:c r="D1858" s="58" t="n">
        <x:v>3</x:v>
      </x:c>
      <x:c r="E1858" s="58" t="n">
        <x:v>1</x:v>
      </x:c>
      <x:c r="F1858" s="58" t="str">
        <x:v>FINE</x:v>
      </x:c>
      <x:c r="G1858" s="58" t="n">
        <x:v>8</x:v>
      </x:c>
      <x:c r="H1858" s="59" t="n">
        <x:v>11.75</x:v>
      </x:c>
      <x:c r="I1858" s="59" t="n">
        <x:v>1.19786</x:v>
      </x:c>
      <x:c r="J1858" s="59" t="n">
        <x:v>1.20321</x:v>
      </x:c>
      <x:c r="K1858" s="59" t="n">
        <x:v>0.43751</x:v>
      </x:c>
      <x:c r="L1858" s="59" t="n">
        <x:v>0.41498</x:v>
      </x:c>
      <x:c r="M1858" s="59" t="n">
        <x:v>1.34615</x:v>
      </x:c>
      <x:c r="N1858" s="60" t="n">
        <x:v>-0.18</x:v>
      </x:c>
      <x:c r="O1858" s="60" t="n">
        <x:v>0.01</x:v>
      </x:c>
      <x:c r="P1858" s="60" t="n">
        <x:v>0.78</x:v>
      </x:c>
      <x:c r="Q1858" s="60" t="n">
        <x:v>88.9</x:v>
      </x:c>
      <x:c r="R1858" s="58" t="str">
        <x:v>X</x:v>
      </x:c>
      <x:c r="S1858" s="60" t="n">
        <x:v>100</x:v>
      </x:c>
      <x:c r="T1858" s="58" t="str">
        <x:v>IN TARGET BAND</x:v>
      </x:c>
      <x:c r="U1858" s="58" t="n">
        <x:v>3130</x:v>
      </x:c>
      <x:c r="V1858" s="58" t="str">
        <x:v>Pasted text(59).txt</x:v>
      </x:c>
    </x:row>
    <x:row r="1859">
      <x:c r="A1859" s="58" t="str">
        <x:v>S19</x:v>
      </x:c>
      <x:c r="B1859" s="58" t="str">
        <x:v>1.20 repeat-validation session at 268 Hz</x:v>
      </x:c>
      <x:c r="C1859" s="58" t="n">
        <x:v>1.2</x:v>
      </x:c>
      <x:c r="D1859" s="58" t="n">
        <x:v>3</x:v>
      </x:c>
      <x:c r="E1859" s="58" t="n">
        <x:v>1</x:v>
      </x:c>
      <x:c r="F1859" s="58" t="str">
        <x:v>FINE</x:v>
      </x:c>
      <x:c r="G1859" s="58" t="n">
        <x:v>9</x:v>
      </x:c>
      <x:c r="H1859" s="59" t="n">
        <x:v>12</x:v>
      </x:c>
      <x:c r="I1859" s="59" t="n">
        <x:v>1.22954</x:v>
      </x:c>
      <x:c r="J1859" s="59" t="n">
        <x:v>1.23988</x:v>
      </x:c>
      <x:c r="K1859" s="59" t="n">
        <x:v>0.45803</x:v>
      </x:c>
      <x:c r="L1859" s="59" t="n">
        <x:v>0.41985</x:v>
      </x:c>
      <x:c r="M1859" s="59" t="n">
        <x:v>1.38698</x:v>
      </x:c>
      <x:c r="N1859" s="60" t="n">
        <x:v>2.46</x:v>
      </x:c>
      <x:c r="O1859" s="60" t="n">
        <x:v>0.03</x:v>
      </x:c>
      <x:c r="P1859" s="60" t="n">
        <x:v>1.46</x:v>
      </x:c>
      <x:c r="Q1859" s="60" t="n">
        <x:v>90.4</x:v>
      </x:c>
      <x:c r="R1859" s="58" t="str">
        <x:v>X</x:v>
      </x:c>
      <x:c r="S1859" s="60" t="n">
        <x:v>100</x:v>
      </x:c>
      <x:c r="T1859" s="58" t="str">
        <x:v>IN TARGET BAND</x:v>
      </x:c>
      <x:c r="U1859" s="58" t="n">
        <x:v>3131</x:v>
      </x:c>
      <x:c r="V1859" s="58" t="str">
        <x:v>Pasted text(59).txt</x:v>
      </x:c>
    </x:row>
    <x:row r="1860">
      <x:c r="A1860" s="58" t="str">
        <x:v>S19</x:v>
      </x:c>
      <x:c r="B1860" s="58" t="str">
        <x:v>1.20 repeat-validation session at 268 Hz</x:v>
      </x:c>
      <x:c r="C1860" s="58" t="n">
        <x:v>1.2</x:v>
      </x:c>
      <x:c r="D1860" s="58" t="n">
        <x:v>3</x:v>
      </x:c>
      <x:c r="E1860" s="58" t="n">
        <x:v>1</x:v>
      </x:c>
      <x:c r="F1860" s="58" t="str">
        <x:v>FINAL</x:v>
      </x:c>
      <x:c r="G1860" s="58" t="n">
        <x:v>1</x:v>
      </x:c>
      <x:c r="H1860" s="59" t="n">
        <x:v>11.75</x:v>
      </x:c>
      <x:c r="I1860" s="59" t="n">
        <x:v>1.21458</x:v>
      </x:c>
      <x:c r="J1860" s="59" t="n">
        <x:v>1.20973</x:v>
      </x:c>
      <x:c r="K1860" s="59" t="n">
        <x:v>0.43168</x:v>
      </x:c>
      <x:c r="L1860" s="59" t="n">
        <x:v>0.39632</x:v>
      </x:c>
      <x:c r="M1860" s="59" t="n">
        <x:v>1.34439</x:v>
      </x:c>
      <x:c r="N1860" s="60" t="n">
        <x:v>1.21</x:v>
      </x:c>
      <x:c r="O1860" s="60" t="n">
        <x:v>2.39</x:v>
      </x:c>
      <x:c r="P1860" s="60" t="n">
        <x:v>1.77</x:v>
      </x:c>
      <x:c r="Q1860" s="60" t="n">
        <x:v>90.4</x:v>
      </x:c>
      <x:c r="R1860" s="58" t="str">
        <x:v>X</x:v>
      </x:c>
      <x:c r="S1860" s="60" t="n">
        <x:v>100</x:v>
      </x:c>
      <x:c r="T1860" s="58" t="str">
        <x:v>IN TARGET BAND</x:v>
      </x:c>
      <x:c r="U1860" s="58" t="n">
        <x:v>3134</x:v>
      </x:c>
      <x:c r="V1860" s="58" t="str">
        <x:v>Pasted text(59).txt</x:v>
      </x:c>
    </x:row>
    <x:row r="1861">
      <x:c r="A1861" s="58" t="str">
        <x:v>S19</x:v>
      </x:c>
      <x:c r="B1861" s="58" t="str">
        <x:v>1.20 repeat-validation session at 268 Hz</x:v>
      </x:c>
      <x:c r="C1861" s="58" t="n">
        <x:v>1.2</x:v>
      </x:c>
      <x:c r="D1861" s="58" t="n">
        <x:v>3</x:v>
      </x:c>
      <x:c r="E1861" s="58" t="n">
        <x:v>1</x:v>
      </x:c>
      <x:c r="F1861" s="58" t="str">
        <x:v>FINAL</x:v>
      </x:c>
      <x:c r="G1861" s="58" t="n">
        <x:v>2</x:v>
      </x:c>
      <x:c r="H1861" s="59" t="n">
        <x:v>11.75</x:v>
      </x:c>
      <x:c r="I1861" s="59" t="n">
        <x:v>1.20388</x:v>
      </x:c>
      <x:c r="J1861" s="59" t="n">
        <x:v>1.19404</x:v>
      </x:c>
      <x:c r="K1861" s="59" t="n">
        <x:v>0.44451</x:v>
      </x:c>
      <x:c r="L1861" s="59" t="n">
        <x:v>0.42239</x:v>
      </x:c>
      <x:c r="M1861" s="59" t="n">
        <x:v>1.34248</x:v>
      </x:c>
      <x:c r="N1861" s="60" t="n">
        <x:v>0.32</x:v>
      </x:c>
      <x:c r="O1861" s="60" t="n">
        <x:v>1.35</x:v>
      </x:c>
      <x:c r="P1861" s="60" t="n">
        <x:v>1.7</x:v>
      </x:c>
      <x:c r="Q1861" s="60" t="n">
        <x:v>89.3</x:v>
      </x:c>
      <x:c r="R1861" s="58" t="str">
        <x:v>X</x:v>
      </x:c>
      <x:c r="S1861" s="60" t="n">
        <x:v>100</x:v>
      </x:c>
      <x:c r="T1861" s="58" t="str">
        <x:v>IN TARGET BAND</x:v>
      </x:c>
      <x:c r="U1861" s="58" t="n">
        <x:v>3135</x:v>
      </x:c>
      <x:c r="V1861" s="58" t="str">
        <x:v>Pasted text(59).txt</x:v>
      </x:c>
    </x:row>
    <x:row r="1862">
      <x:c r="A1862" s="58" t="str">
        <x:v>S19</x:v>
      </x:c>
      <x:c r="B1862" s="58" t="str">
        <x:v>1.20 repeat-validation session at 268 Hz</x:v>
      </x:c>
      <x:c r="C1862" s="58" t="n">
        <x:v>1.2</x:v>
      </x:c>
      <x:c r="D1862" s="58" t="n">
        <x:v>4</x:v>
      </x:c>
      <x:c r="E1862" s="58" t="n">
        <x:v>1</x:v>
      </x:c>
      <x:c r="F1862" s="58" t="str">
        <x:v>SEARCH</x:v>
      </x:c>
      <x:c r="G1862" s="58" t="n">
        <x:v>1</x:v>
      </x:c>
      <x:c r="H1862" s="59" t="n">
        <x:v>1</x:v>
      </x:c>
      <x:c r="I1862" s="59" t="n">
        <x:v>0.02416</x:v>
      </x:c>
      <x:c r="J1862" s="59" t="n">
        <x:v>0.02636</x:v>
      </x:c>
      <x:c r="K1862" s="59" t="n">
        <x:v>0.02524</x:v>
      </x:c>
      <x:c r="L1862" s="59" t="n">
        <x:v>0.02217</x:v>
      </x:c>
      <x:c r="M1862" s="59" t="n">
        <x:v>0.044</x:v>
      </x:c>
      <x:c r="N1862" s="60" t="n">
        <x:v>-97.99</x:v>
      </x:c>
      <x:c r="O1862" s="60" t="n">
        <x:v>26.92</x:v>
      </x:c>
      <x:c r="P1862" s="60" t="n">
        <x:v>11.77</x:v>
      </x:c>
      <x:c r="Q1862" s="60" t="n">
        <x:v>8</x:v>
      </x:c>
      <x:c r="R1862" s="58" t="str">
        <x:v>X</x:v>
      </x:c>
      <x:c r="S1862" s="60" t="n">
        <x:v>100</x:v>
      </x:c>
      <x:c r="T1862" s="58" t="str">
        <x:v>BELOW MEASUREMENT FLOOR — SEARCH CONTINUES</x:v>
      </x:c>
      <x:c r="U1862" s="58" t="n">
        <x:v>3191</x:v>
      </x:c>
      <x:c r="V1862" s="58" t="str">
        <x:v>Pasted text(59).txt</x:v>
      </x:c>
    </x:row>
    <x:row r="1863">
      <x:c r="A1863" s="58" t="str">
        <x:v>S19</x:v>
      </x:c>
      <x:c r="B1863" s="58" t="str">
        <x:v>1.20 repeat-validation session at 268 Hz</x:v>
      </x:c>
      <x:c r="C1863" s="58" t="n">
        <x:v>1.2</x:v>
      </x:c>
      <x:c r="D1863" s="58" t="n">
        <x:v>4</x:v>
      </x:c>
      <x:c r="E1863" s="58" t="n">
        <x:v>1</x:v>
      </x:c>
      <x:c r="F1863" s="58" t="str">
        <x:v>SEARCH</x:v>
      </x:c>
      <x:c r="G1863" s="58" t="n">
        <x:v>2</x:v>
      </x:c>
      <x:c r="H1863" s="59" t="n">
        <x:v>3</x:v>
      </x:c>
      <x:c r="I1863" s="59" t="n">
        <x:v>0.21193</x:v>
      </x:c>
      <x:c r="J1863" s="59" t="n">
        <x:v>0.21413</x:v>
      </x:c>
      <x:c r="K1863" s="59" t="n">
        <x:v>0.06677</x:v>
      </x:c>
      <x:c r="L1863" s="59" t="n">
        <x:v>0.08061</x:v>
      </x:c>
      <x:c r="M1863" s="59" t="n">
        <x:v>0.23868</x:v>
      </x:c>
      <x:c r="N1863" s="60" t="n">
        <x:v>-82.34</x:v>
      </x:c>
      <x:c r="O1863" s="60" t="n">
        <x:v>3.08</x:v>
      </x:c>
      <x:c r="P1863" s="60" t="n">
        <x:v>1.45</x:v>
      </x:c>
      <x:c r="Q1863" s="60" t="n">
        <x:v>46.4</x:v>
      </x:c>
      <x:c r="R1863" s="58" t="str">
        <x:v>X</x:v>
      </x:c>
      <x:c r="S1863" s="60" t="n">
        <x:v>100</x:v>
      </x:c>
      <x:c r="T1863" s="58" t="str">
        <x:v>UNSTABLE — SEARCH CONTINUES</x:v>
      </x:c>
      <x:c r="U1863" s="58" t="n">
        <x:v>3192</x:v>
      </x:c>
      <x:c r="V1863" s="58" t="str">
        <x:v>Pasted text(59).txt</x:v>
      </x:c>
    </x:row>
    <x:row r="1864">
      <x:c r="A1864" s="58" t="str">
        <x:v>S19</x:v>
      </x:c>
      <x:c r="B1864" s="58" t="str">
        <x:v>1.20 repeat-validation session at 268 Hz</x:v>
      </x:c>
      <x:c r="C1864" s="58" t="n">
        <x:v>1.2</x:v>
      </x:c>
      <x:c r="D1864" s="58" t="n">
        <x:v>4</x:v>
      </x:c>
      <x:c r="E1864" s="58" t="n">
        <x:v>1</x:v>
      </x:c>
      <x:c r="F1864" s="58" t="str">
        <x:v>SEARCH</x:v>
      </x:c>
      <x:c r="G1864" s="58" t="n">
        <x:v>3</x:v>
      </x:c>
      <x:c r="H1864" s="59" t="n">
        <x:v>5</x:v>
      </x:c>
      <x:c r="I1864" s="59" t="n">
        <x:v>0.40628</x:v>
      </x:c>
      <x:c r="J1864" s="59" t="n">
        <x:v>0.40284</x:v>
      </x:c>
      <x:c r="K1864" s="59" t="n">
        <x:v>0.15584</x:v>
      </x:c>
      <x:c r="L1864" s="59" t="n">
        <x:v>0.16152</x:v>
      </x:c>
      <x:c r="M1864" s="59" t="n">
        <x:v>0.46182</x:v>
      </x:c>
      <x:c r="N1864" s="60" t="n">
        <x:v>-66.14</x:v>
      </x:c>
      <x:c r="O1864" s="60" t="n">
        <x:v>5.9</x:v>
      </x:c>
      <x:c r="P1864" s="60" t="n">
        <x:v>5.35</x:v>
      </x:c>
      <x:c r="Q1864" s="60" t="n">
        <x:v>67.7</x:v>
      </x:c>
      <x:c r="R1864" s="58" t="str">
        <x:v>X</x:v>
      </x:c>
      <x:c r="S1864" s="60" t="n">
        <x:v>100</x:v>
      </x:c>
      <x:c r="T1864" s="58" t="str">
        <x:v>VALID</x:v>
      </x:c>
      <x:c r="U1864" s="58" t="n">
        <x:v>3193</x:v>
      </x:c>
      <x:c r="V1864" s="58" t="str">
        <x:v>Pasted text(59).txt</x:v>
      </x:c>
    </x:row>
    <x:row r="1865">
      <x:c r="A1865" s="58" t="str">
        <x:v>S19</x:v>
      </x:c>
      <x:c r="B1865" s="58" t="str">
        <x:v>1.20 repeat-validation session at 268 Hz</x:v>
      </x:c>
      <x:c r="C1865" s="58" t="n">
        <x:v>1.2</x:v>
      </x:c>
      <x:c r="D1865" s="58" t="n">
        <x:v>4</x:v>
      </x:c>
      <x:c r="E1865" s="58" t="n">
        <x:v>1</x:v>
      </x:c>
      <x:c r="F1865" s="58" t="str">
        <x:v>SEARCH</x:v>
      </x:c>
      <x:c r="G1865" s="58" t="n">
        <x:v>4</x:v>
      </x:c>
      <x:c r="H1865" s="59" t="n">
        <x:v>6</x:v>
      </x:c>
      <x:c r="I1865" s="59" t="n">
        <x:v>0.53249</x:v>
      </x:c>
      <x:c r="J1865" s="59" t="n">
        <x:v>0.5266</x:v>
      </x:c>
      <x:c r="K1865" s="59" t="n">
        <x:v>0.18099</x:v>
      </x:c>
      <x:c r="L1865" s="59" t="n">
        <x:v>0.19857</x:v>
      </x:c>
      <x:c r="M1865" s="59" t="n">
        <x:v>0.59183</x:v>
      </x:c>
      <x:c r="N1865" s="60" t="n">
        <x:v>-55.63</x:v>
      </x:c>
      <x:c r="O1865" s="60" t="n">
        <x:v>0.69</x:v>
      </x:c>
      <x:c r="P1865" s="60" t="n">
        <x:v>2.36</x:v>
      </x:c>
      <x:c r="Q1865" s="60" t="n">
        <x:v>77.3</x:v>
      </x:c>
      <x:c r="R1865" s="58" t="str">
        <x:v>X</x:v>
      </x:c>
      <x:c r="S1865" s="60" t="n">
        <x:v>100</x:v>
      </x:c>
      <x:c r="T1865" s="58" t="str">
        <x:v>VALID</x:v>
      </x:c>
      <x:c r="U1865" s="58" t="n">
        <x:v>3194</x:v>
      </x:c>
      <x:c r="V1865" s="58" t="str">
        <x:v>Pasted text(59).txt</x:v>
      </x:c>
    </x:row>
    <x:row r="1866">
      <x:c r="A1866" s="58" t="str">
        <x:v>S19</x:v>
      </x:c>
      <x:c r="B1866" s="58" t="str">
        <x:v>1.20 repeat-validation session at 268 Hz</x:v>
      </x:c>
      <x:c r="C1866" s="58" t="n">
        <x:v>1.2</x:v>
      </x:c>
      <x:c r="D1866" s="58" t="n">
        <x:v>4</x:v>
      </x:c>
      <x:c r="E1866" s="58" t="n">
        <x:v>1</x:v>
      </x:c>
      <x:c r="F1866" s="58" t="str">
        <x:v>SEARCH</x:v>
      </x:c>
      <x:c r="G1866" s="58" t="n">
        <x:v>5</x:v>
      </x:c>
      <x:c r="H1866" s="59" t="n">
        <x:v>7</x:v>
      </x:c>
      <x:c r="I1866" s="59" t="n">
        <x:v>0.62116</x:v>
      </x:c>
      <x:c r="J1866" s="59" t="n">
        <x:v>0.63177</x:v>
      </x:c>
      <x:c r="K1866" s="59" t="n">
        <x:v>0.25</x:v>
      </x:c>
      <x:c r="L1866" s="59" t="n">
        <x:v>0.26184</x:v>
      </x:c>
      <x:c r="M1866" s="59" t="n">
        <x:v>0.72824</x:v>
      </x:c>
      <x:c r="N1866" s="60" t="n">
        <x:v>-48.24</x:v>
      </x:c>
      <x:c r="O1866" s="60" t="n">
        <x:v>0.45</x:v>
      </x:c>
      <x:c r="P1866" s="60" t="n">
        <x:v>3.17</x:v>
      </x:c>
      <x:c r="Q1866" s="60" t="n">
        <x:v>80.9</x:v>
      </x:c>
      <x:c r="R1866" s="58" t="str">
        <x:v>X</x:v>
      </x:c>
      <x:c r="S1866" s="60" t="n">
        <x:v>100</x:v>
      </x:c>
      <x:c r="T1866" s="58" t="str">
        <x:v>VALID</x:v>
      </x:c>
      <x:c r="U1866" s="58" t="n">
        <x:v>3195</x:v>
      </x:c>
      <x:c r="V1866" s="58" t="str">
        <x:v>Pasted text(59).txt</x:v>
      </x:c>
    </x:row>
    <x:row r="1867">
      <x:c r="A1867" s="58" t="str">
        <x:v>S19</x:v>
      </x:c>
      <x:c r="B1867" s="58" t="str">
        <x:v>1.20 repeat-validation session at 268 Hz</x:v>
      </x:c>
      <x:c r="C1867" s="58" t="n">
        <x:v>1.2</x:v>
      </x:c>
      <x:c r="D1867" s="58" t="n">
        <x:v>4</x:v>
      </x:c>
      <x:c r="E1867" s="58" t="n">
        <x:v>1</x:v>
      </x:c>
      <x:c r="F1867" s="58" t="str">
        <x:v>SEARCH</x:v>
      </x:c>
      <x:c r="G1867" s="58" t="n">
        <x:v>6</x:v>
      </x:c>
      <x:c r="H1867" s="59" t="n">
        <x:v>8</x:v>
      </x:c>
      <x:c r="I1867" s="59" t="n">
        <x:v>0.73599</x:v>
      </x:c>
      <x:c r="J1867" s="59" t="n">
        <x:v>0.73702</x:v>
      </x:c>
      <x:c r="K1867" s="59" t="n">
        <x:v>0.30391</x:v>
      </x:c>
      <x:c r="L1867" s="59" t="n">
        <x:v>0.29059</x:v>
      </x:c>
      <x:c r="M1867" s="59" t="n">
        <x:v>0.84928</x:v>
      </x:c>
      <x:c r="N1867" s="60" t="n">
        <x:v>-38.67</x:v>
      </x:c>
      <x:c r="O1867" s="60" t="n">
        <x:v>0.48</x:v>
      </x:c>
      <x:c r="P1867" s="60" t="n">
        <x:v>0.54</x:v>
      </x:c>
      <x:c r="Q1867" s="60" t="n">
        <x:v>83.5</x:v>
      </x:c>
      <x:c r="R1867" s="58" t="str">
        <x:v>X</x:v>
      </x:c>
      <x:c r="S1867" s="60" t="n">
        <x:v>100</x:v>
      </x:c>
      <x:c r="T1867" s="58" t="str">
        <x:v>VALID</x:v>
      </x:c>
      <x:c r="U1867" s="58" t="n">
        <x:v>3196</x:v>
      </x:c>
      <x:c r="V1867" s="58" t="str">
        <x:v>Pasted text(59).txt</x:v>
      </x:c>
    </x:row>
    <x:row r="1868">
      <x:c r="A1868" s="58" t="str">
        <x:v>S19</x:v>
      </x:c>
      <x:c r="B1868" s="58" t="str">
        <x:v>1.20 repeat-validation session at 268 Hz</x:v>
      </x:c>
      <x:c r="C1868" s="58" t="n">
        <x:v>1.2</x:v>
      </x:c>
      <x:c r="D1868" s="58" t="n">
        <x:v>4</x:v>
      </x:c>
      <x:c r="E1868" s="58" t="n">
        <x:v>1</x:v>
      </x:c>
      <x:c r="F1868" s="58" t="str">
        <x:v>SEARCH</x:v>
      </x:c>
      <x:c r="G1868" s="58" t="n">
        <x:v>7</x:v>
      </x:c>
      <x:c r="H1868" s="59" t="n">
        <x:v>8.5</x:v>
      </x:c>
      <x:c r="I1868" s="59" t="n">
        <x:v>0.78656</x:v>
      </x:c>
      <x:c r="J1868" s="59" t="n">
        <x:v>0.78393</x:v>
      </x:c>
      <x:c r="K1868" s="59" t="n">
        <x:v>0.30556</x:v>
      </x:c>
      <x:c r="L1868" s="59" t="n">
        <x:v>0.31064</x:v>
      </x:c>
      <x:c r="M1868" s="59" t="n">
        <x:v>0.89702</x:v>
      </x:c>
      <x:c r="N1868" s="60" t="n">
        <x:v>-34.45</x:v>
      </x:c>
      <x:c r="O1868" s="60" t="n">
        <x:v>1.24</x:v>
      </x:c>
      <x:c r="P1868" s="60" t="n">
        <x:v>1.37</x:v>
      </x:c>
      <x:c r="Q1868" s="60" t="n">
        <x:v>85.7</x:v>
      </x:c>
      <x:c r="R1868" s="58" t="str">
        <x:v>X</x:v>
      </x:c>
      <x:c r="S1868" s="60" t="n">
        <x:v>100</x:v>
      </x:c>
      <x:c r="T1868" s="58" t="str">
        <x:v>VALID</x:v>
      </x:c>
      <x:c r="U1868" s="58" t="n">
        <x:v>3197</x:v>
      </x:c>
      <x:c r="V1868" s="58" t="str">
        <x:v>Pasted text(59).txt</x:v>
      </x:c>
    </x:row>
    <x:row r="1869">
      <x:c r="A1869" s="58" t="str">
        <x:v>S19</x:v>
      </x:c>
      <x:c r="B1869" s="58" t="str">
        <x:v>1.20 repeat-validation session at 268 Hz</x:v>
      </x:c>
      <x:c r="C1869" s="58" t="n">
        <x:v>1.2</x:v>
      </x:c>
      <x:c r="D1869" s="58" t="n">
        <x:v>4</x:v>
      </x:c>
      <x:c r="E1869" s="58" t="n">
        <x:v>1</x:v>
      </x:c>
      <x:c r="F1869" s="58" t="str">
        <x:v>SEARCH</x:v>
      </x:c>
      <x:c r="G1869" s="58" t="n">
        <x:v>8</x:v>
      </x:c>
      <x:c r="H1869" s="59" t="n">
        <x:v>9</x:v>
      </x:c>
      <x:c r="I1869" s="59" t="n">
        <x:v>0.83938</x:v>
      </x:c>
      <x:c r="J1869" s="59" t="n">
        <x:v>0.84485</x:v>
      </x:c>
      <x:c r="K1869" s="59" t="n">
        <x:v>0.31767</x:v>
      </x:c>
      <x:c r="L1869" s="59" t="n">
        <x:v>0.34184</x:v>
      </x:c>
      <x:c r="M1869" s="59" t="n">
        <x:v>0.96558</x:v>
      </x:c>
      <x:c r="N1869" s="60" t="n">
        <x:v>-30.05</x:v>
      </x:c>
      <x:c r="O1869" s="60" t="n">
        <x:v>1.99</x:v>
      </x:c>
      <x:c r="P1869" s="60" t="n">
        <x:v>2.37</x:v>
      </x:c>
      <x:c r="Q1869" s="60" t="n">
        <x:v>85.4</x:v>
      </x:c>
      <x:c r="R1869" s="58" t="str">
        <x:v>X</x:v>
      </x:c>
      <x:c r="S1869" s="60" t="n">
        <x:v>100</x:v>
      </x:c>
      <x:c r="T1869" s="58" t="str">
        <x:v>VALID</x:v>
      </x:c>
      <x:c r="U1869" s="58" t="n">
        <x:v>3198</x:v>
      </x:c>
      <x:c r="V1869" s="58" t="str">
        <x:v>Pasted text(59).txt</x:v>
      </x:c>
    </x:row>
    <x:row r="1870">
      <x:c r="A1870" s="58" t="str">
        <x:v>S19</x:v>
      </x:c>
      <x:c r="B1870" s="58" t="str">
        <x:v>1.20 repeat-validation session at 268 Hz</x:v>
      </x:c>
      <x:c r="C1870" s="58" t="n">
        <x:v>1.2</x:v>
      </x:c>
      <x:c r="D1870" s="58" t="n">
        <x:v>4</x:v>
      </x:c>
      <x:c r="E1870" s="58" t="n">
        <x:v>1</x:v>
      </x:c>
      <x:c r="F1870" s="58" t="str">
        <x:v>SEARCH</x:v>
      </x:c>
      <x:c r="G1870" s="58" t="n">
        <x:v>9</x:v>
      </x:c>
      <x:c r="H1870" s="59" t="n">
        <x:v>9.5</x:v>
      </x:c>
      <x:c r="I1870" s="59" t="n">
        <x:v>0.87946</x:v>
      </x:c>
      <x:c r="J1870" s="59" t="n">
        <x:v>0.89122</x:v>
      </x:c>
      <x:c r="K1870" s="59" t="n">
        <x:v>0.3195</x:v>
      </x:c>
      <x:c r="L1870" s="59" t="n">
        <x:v>0.32629</x:v>
      </x:c>
      <x:c r="M1870" s="59" t="n">
        <x:v>1.00191</x:v>
      </x:c>
      <x:c r="N1870" s="60" t="n">
        <x:v>-26.71</x:v>
      </x:c>
      <x:c r="O1870" s="60" t="n">
        <x:v>1.33</x:v>
      </x:c>
      <x:c r="P1870" s="60" t="n">
        <x:v>3.09</x:v>
      </x:c>
      <x:c r="Q1870" s="60" t="n">
        <x:v>88.5</x:v>
      </x:c>
      <x:c r="R1870" s="58" t="str">
        <x:v>X</x:v>
      </x:c>
      <x:c r="S1870" s="60" t="n">
        <x:v>100</x:v>
      </x:c>
      <x:c r="T1870" s="58" t="str">
        <x:v>VALID</x:v>
      </x:c>
      <x:c r="U1870" s="58" t="n">
        <x:v>3199</x:v>
      </x:c>
      <x:c r="V1870" s="58" t="str">
        <x:v>Pasted text(59).txt</x:v>
      </x:c>
    </x:row>
    <x:row r="1871">
      <x:c r="A1871" s="58" t="str">
        <x:v>S19</x:v>
      </x:c>
      <x:c r="B1871" s="58" t="str">
        <x:v>1.20 repeat-validation session at 268 Hz</x:v>
      </x:c>
      <x:c r="C1871" s="58" t="n">
        <x:v>1.2</x:v>
      </x:c>
      <x:c r="D1871" s="58" t="n">
        <x:v>4</x:v>
      </x:c>
      <x:c r="E1871" s="58" t="n">
        <x:v>1</x:v>
      </x:c>
      <x:c r="F1871" s="58" t="str">
        <x:v>SEARCH</x:v>
      </x:c>
      <x:c r="G1871" s="58" t="n">
        <x:v>10</x:v>
      </x:c>
      <x:c r="H1871" s="59" t="n">
        <x:v>10</x:v>
      </x:c>
      <x:c r="I1871" s="59" t="n">
        <x:v>0.98305</x:v>
      </x:c>
      <x:c r="J1871" s="59" t="n">
        <x:v>0.99085</x:v>
      </x:c>
      <x:c r="K1871" s="59" t="n">
        <x:v>0.36715</x:v>
      </x:c>
      <x:c r="L1871" s="59" t="n">
        <x:v>0.34517</x:v>
      </x:c>
      <x:c r="M1871" s="59" t="n">
        <x:v>1.11201</x:v>
      </x:c>
      <x:c r="N1871" s="60" t="n">
        <x:v>-18.08</x:v>
      </x:c>
      <x:c r="O1871" s="60" t="n">
        <x:v>2.3</x:v>
      </x:c>
      <x:c r="P1871" s="60" t="n">
        <x:v>2.81</x:v>
      </x:c>
      <x:c r="Q1871" s="60" t="n">
        <x:v>88.2</x:v>
      </x:c>
      <x:c r="R1871" s="58" t="str">
        <x:v>X</x:v>
      </x:c>
      <x:c r="S1871" s="60" t="n">
        <x:v>100</x:v>
      </x:c>
      <x:c r="T1871" s="58" t="str">
        <x:v>VALID</x:v>
      </x:c>
      <x:c r="U1871" s="58" t="n">
        <x:v>3200</x:v>
      </x:c>
      <x:c r="V1871" s="58" t="str">
        <x:v>Pasted text(59).txt</x:v>
      </x:c>
    </x:row>
    <x:row r="1872">
      <x:c r="A1872" s="58" t="str">
        <x:v>S19</x:v>
      </x:c>
      <x:c r="B1872" s="58" t="str">
        <x:v>1.20 repeat-validation session at 268 Hz</x:v>
      </x:c>
      <x:c r="C1872" s="58" t="n">
        <x:v>1.2</x:v>
      </x:c>
      <x:c r="D1872" s="58" t="n">
        <x:v>4</x:v>
      </x:c>
      <x:c r="E1872" s="58" t="n">
        <x:v>1</x:v>
      </x:c>
      <x:c r="F1872" s="58" t="str">
        <x:v>SEARCH</x:v>
      </x:c>
      <x:c r="G1872" s="58" t="n">
        <x:v>11</x:v>
      </x:c>
      <x:c r="H1872" s="59" t="n">
        <x:v>10.5</x:v>
      </x:c>
      <x:c r="I1872" s="59" t="n">
        <x:v>1.0309</x:v>
      </x:c>
      <x:c r="J1872" s="59" t="n">
        <x:v>1.03456</x:v>
      </x:c>
      <x:c r="K1872" s="59" t="n">
        <x:v>0.36548</x:v>
      </x:c>
      <x:c r="L1872" s="59" t="n">
        <x:v>0.38772</x:v>
      </x:c>
      <x:c r="M1872" s="59" t="n">
        <x:v>1.16396</x:v>
      </x:c>
      <x:c r="N1872" s="60" t="n">
        <x:v>-14.09</x:v>
      </x:c>
      <x:c r="O1872" s="60" t="n">
        <x:v>0.1</x:v>
      </x:c>
      <x:c r="P1872" s="60" t="n">
        <x:v>0.67</x:v>
      </x:c>
      <x:c r="Q1872" s="60" t="n">
        <x:v>89.6</x:v>
      </x:c>
      <x:c r="R1872" s="58" t="str">
        <x:v>X</x:v>
      </x:c>
      <x:c r="S1872" s="60" t="n">
        <x:v>100</x:v>
      </x:c>
      <x:c r="T1872" s="58" t="str">
        <x:v>VALID</x:v>
      </x:c>
      <x:c r="U1872" s="58" t="n">
        <x:v>3201</x:v>
      </x:c>
      <x:c r="V1872" s="58" t="str">
        <x:v>Pasted text(59).txt</x:v>
      </x:c>
    </x:row>
    <x:row r="1873">
      <x:c r="A1873" s="58" t="str">
        <x:v>S19</x:v>
      </x:c>
      <x:c r="B1873" s="58" t="str">
        <x:v>1.20 repeat-validation session at 268 Hz</x:v>
      </x:c>
      <x:c r="C1873" s="58" t="n">
        <x:v>1.2</x:v>
      </x:c>
      <x:c r="D1873" s="58" t="n">
        <x:v>4</x:v>
      </x:c>
      <x:c r="E1873" s="58" t="n">
        <x:v>1</x:v>
      </x:c>
      <x:c r="F1873" s="58" t="str">
        <x:v>SEARCH</x:v>
      </x:c>
      <x:c r="G1873" s="58" t="n">
        <x:v>12</x:v>
      </x:c>
      <x:c r="H1873" s="59" t="n">
        <x:v>10.75</x:v>
      </x:c>
      <x:c r="I1873" s="59" t="n">
        <x:v>1.08681</x:v>
      </x:c>
      <x:c r="J1873" s="59" t="n">
        <x:v>1.08506</x:v>
      </x:c>
      <x:c r="K1873" s="59" t="n">
        <x:v>0.3967</x:v>
      </x:c>
      <x:c r="L1873" s="59" t="n">
        <x:v>0.39016</x:v>
      </x:c>
      <x:c r="M1873" s="59" t="n">
        <x:v>1.21951</x:v>
      </x:c>
      <x:c r="N1873" s="60" t="n">
        <x:v>-9.43</x:v>
      </x:c>
      <x:c r="O1873" s="60" t="n">
        <x:v>0.83</x:v>
      </x:c>
      <x:c r="P1873" s="60" t="n">
        <x:v>0.82</x:v>
      </x:c>
      <x:c r="Q1873" s="60" t="n">
        <x:v>89.4</x:v>
      </x:c>
      <x:c r="R1873" s="58" t="str">
        <x:v>X</x:v>
      </x:c>
      <x:c r="S1873" s="60" t="n">
        <x:v>100</x:v>
      </x:c>
      <x:c r="T1873" s="58" t="str">
        <x:v>VALID</x:v>
      </x:c>
      <x:c r="U1873" s="58" t="n">
        <x:v>3202</x:v>
      </x:c>
      <x:c r="V1873" s="58" t="str">
        <x:v>Pasted text(59).txt</x:v>
      </x:c>
    </x:row>
    <x:row r="1874">
      <x:c r="A1874" s="58" t="str">
        <x:v>S19</x:v>
      </x:c>
      <x:c r="B1874" s="58" t="str">
        <x:v>1.20 repeat-validation session at 268 Hz</x:v>
      </x:c>
      <x:c r="C1874" s="58" t="n">
        <x:v>1.2</x:v>
      </x:c>
      <x:c r="D1874" s="58" t="n">
        <x:v>4</x:v>
      </x:c>
      <x:c r="E1874" s="58" t="n">
        <x:v>1</x:v>
      </x:c>
      <x:c r="F1874" s="58" t="str">
        <x:v>SEARCH</x:v>
      </x:c>
      <x:c r="G1874" s="58" t="n">
        <x:v>13</x:v>
      </x:c>
      <x:c r="H1874" s="59" t="n">
        <x:v>11</x:v>
      </x:c>
      <x:c r="I1874" s="59" t="n">
        <x:v>1.09247</x:v>
      </x:c>
      <x:c r="J1874" s="59" t="n">
        <x:v>1.09266</x:v>
      </x:c>
      <x:c r="K1874" s="59" t="n">
        <x:v>0.39236</x:v>
      </x:c>
      <x:c r="L1874" s="59" t="n">
        <x:v>0.41321</x:v>
      </x:c>
      <x:c r="M1874" s="59" t="n">
        <x:v>1.23253</x:v>
      </x:c>
      <x:c r="N1874" s="60" t="n">
        <x:v>-8.96</x:v>
      </x:c>
      <x:c r="O1874" s="60" t="n">
        <x:v>0.88</x:v>
      </x:c>
      <x:c r="P1874" s="60" t="n">
        <x:v>0.62</x:v>
      </x:c>
      <x:c r="Q1874" s="60" t="n">
        <x:v>88.9</x:v>
      </x:c>
      <x:c r="R1874" s="58" t="str">
        <x:v>X</x:v>
      </x:c>
      <x:c r="S1874" s="60" t="n">
        <x:v>100</x:v>
      </x:c>
      <x:c r="T1874" s="58" t="str">
        <x:v>VALID</x:v>
      </x:c>
      <x:c r="U1874" s="58" t="n">
        <x:v>3203</x:v>
      </x:c>
      <x:c r="V1874" s="58" t="str">
        <x:v>Pasted text(59).txt</x:v>
      </x:c>
    </x:row>
    <x:row r="1875">
      <x:c r="A1875" s="58" t="str">
        <x:v>S19</x:v>
      </x:c>
      <x:c r="B1875" s="58" t="str">
        <x:v>1.20 repeat-validation session at 268 Hz</x:v>
      </x:c>
      <x:c r="C1875" s="58" t="n">
        <x:v>1.2</x:v>
      </x:c>
      <x:c r="D1875" s="58" t="n">
        <x:v>4</x:v>
      </x:c>
      <x:c r="E1875" s="58" t="n">
        <x:v>1</x:v>
      </x:c>
      <x:c r="F1875" s="58" t="str">
        <x:v>SEARCH</x:v>
      </x:c>
      <x:c r="G1875" s="58" t="n">
        <x:v>14</x:v>
      </x:c>
      <x:c r="H1875" s="59" t="n">
        <x:v>11.25</x:v>
      </x:c>
      <x:c r="I1875" s="59" t="n">
        <x:v>1.11347</x:v>
      </x:c>
      <x:c r="J1875" s="59" t="n">
        <x:v>1.1191</x:v>
      </x:c>
      <x:c r="K1875" s="59" t="n">
        <x:v>0.42336</x:v>
      </x:c>
      <x:c r="L1875" s="59" t="n">
        <x:v>0.40062</x:v>
      </x:c>
      <x:c r="M1875" s="59" t="n">
        <x:v>1.26203</x:v>
      </x:c>
      <x:c r="N1875" s="60" t="n">
        <x:v>-7.21</x:v>
      </x:c>
      <x:c r="O1875" s="60" t="n">
        <x:v>0.68</x:v>
      </x:c>
      <x:c r="P1875" s="60" t="n">
        <x:v>1.29</x:v>
      </x:c>
      <x:c r="Q1875" s="60" t="n">
        <x:v>89.9</x:v>
      </x:c>
      <x:c r="R1875" s="58" t="str">
        <x:v>X</x:v>
      </x:c>
      <x:c r="S1875" s="60" t="n">
        <x:v>100</x:v>
      </x:c>
      <x:c r="T1875" s="58" t="str">
        <x:v>IN TARGET BAND</x:v>
      </x:c>
      <x:c r="U1875" s="58" t="n">
        <x:v>3204</x:v>
      </x:c>
      <x:c r="V1875" s="58" t="str">
        <x:v>Pasted text(59).txt</x:v>
      </x:c>
    </x:row>
    <x:row r="1876">
      <x:c r="A1876" s="58" t="str">
        <x:v>S19</x:v>
      </x:c>
      <x:c r="B1876" s="58" t="str">
        <x:v>1.20 repeat-validation session at 268 Hz</x:v>
      </x:c>
      <x:c r="C1876" s="58" t="n">
        <x:v>1.2</x:v>
      </x:c>
      <x:c r="D1876" s="58" t="n">
        <x:v>4</x:v>
      </x:c>
      <x:c r="E1876" s="58" t="n">
        <x:v>1</x:v>
      </x:c>
      <x:c r="F1876" s="58" t="str">
        <x:v>FINE</x:v>
      </x:c>
      <x:c r="G1876" s="58" t="n">
        <x:v>1</x:v>
      </x:c>
      <x:c r="H1876" s="59" t="n">
        <x:v>10.25</x:v>
      </x:c>
      <x:c r="I1876" s="59" t="n">
        <x:v>0.99461</x:v>
      </x:c>
      <x:c r="J1876" s="59" t="n">
        <x:v>0.99887</x:v>
      </x:c>
      <x:c r="K1876" s="59" t="n">
        <x:v>0.38422</x:v>
      </x:c>
      <x:c r="L1876" s="59" t="n">
        <x:v>0.36616</x:v>
      </x:c>
      <x:c r="M1876" s="59" t="n">
        <x:v>1.13129</x:v>
      </x:c>
      <x:c r="N1876" s="60" t="n">
        <x:v>-17.12</x:v>
      </x:c>
      <x:c r="O1876" s="60" t="n">
        <x:v>0.44</x:v>
      </x:c>
      <x:c r="P1876" s="60" t="n">
        <x:v>1</x:v>
      </x:c>
      <x:c r="Q1876" s="60" t="n">
        <x:v>88.6</x:v>
      </x:c>
      <x:c r="R1876" s="58" t="str">
        <x:v>X</x:v>
      </x:c>
      <x:c r="S1876" s="60" t="n">
        <x:v>100</x:v>
      </x:c>
      <x:c r="T1876" s="58" t="str">
        <x:v>VALID</x:v>
      </x:c>
      <x:c r="U1876" s="58" t="n">
        <x:v>3208</x:v>
      </x:c>
      <x:c r="V1876" s="58" t="str">
        <x:v>Pasted text(59).txt</x:v>
      </x:c>
    </x:row>
    <x:row r="1877">
      <x:c r="A1877" s="58" t="str">
        <x:v>S19</x:v>
      </x:c>
      <x:c r="B1877" s="58" t="str">
        <x:v>1.20 repeat-validation session at 268 Hz</x:v>
      </x:c>
      <x:c r="C1877" s="58" t="n">
        <x:v>1.2</x:v>
      </x:c>
      <x:c r="D1877" s="58" t="n">
        <x:v>4</x:v>
      </x:c>
      <x:c r="E1877" s="58" t="n">
        <x:v>1</x:v>
      </x:c>
      <x:c r="F1877" s="58" t="str">
        <x:v>FINE</x:v>
      </x:c>
      <x:c r="G1877" s="58" t="n">
        <x:v>2</x:v>
      </x:c>
      <x:c r="H1877" s="59" t="n">
        <x:v>10.5</x:v>
      </x:c>
      <x:c r="I1877" s="59" t="n">
        <x:v>1.02267</x:v>
      </x:c>
      <x:c r="J1877" s="59" t="n">
        <x:v>1.02858</x:v>
      </x:c>
      <x:c r="K1877" s="59" t="n">
        <x:v>0.37486</x:v>
      </x:c>
      <x:c r="L1877" s="59" t="n">
        <x:v>0.37089</x:v>
      </x:c>
      <x:c r="M1877" s="59" t="n">
        <x:v>1.15602</x:v>
      </x:c>
      <x:c r="N1877" s="60" t="n">
        <x:v>-14.78</x:v>
      </x:c>
      <x:c r="O1877" s="60" t="n">
        <x:v>0.91</x:v>
      </x:c>
      <x:c r="P1877" s="60" t="n">
        <x:v>1.55</x:v>
      </x:c>
      <x:c r="Q1877" s="60" t="n">
        <x:v>90.7</x:v>
      </x:c>
      <x:c r="R1877" s="58" t="str">
        <x:v>X</x:v>
      </x:c>
      <x:c r="S1877" s="60" t="n">
        <x:v>100</x:v>
      </x:c>
      <x:c r="T1877" s="58" t="str">
        <x:v>VALID</x:v>
      </x:c>
      <x:c r="U1877" s="58" t="n">
        <x:v>3209</x:v>
      </x:c>
      <x:c r="V1877" s="58" t="str">
        <x:v>Pasted text(59).txt</x:v>
      </x:c>
    </x:row>
    <x:row r="1878">
      <x:c r="A1878" s="58" t="str">
        <x:v>S19</x:v>
      </x:c>
      <x:c r="B1878" s="58" t="str">
        <x:v>1.20 repeat-validation session at 268 Hz</x:v>
      </x:c>
      <x:c r="C1878" s="58" t="n">
        <x:v>1.2</x:v>
      </x:c>
      <x:c r="D1878" s="58" t="n">
        <x:v>4</x:v>
      </x:c>
      <x:c r="E1878" s="58" t="n">
        <x:v>1</x:v>
      </x:c>
      <x:c r="F1878" s="58" t="str">
        <x:v>FINE</x:v>
      </x:c>
      <x:c r="G1878" s="58" t="n">
        <x:v>3</x:v>
      </x:c>
      <x:c r="H1878" s="59" t="n">
        <x:v>10.75</x:v>
      </x:c>
      <x:c r="I1878" s="59" t="n">
        <x:v>1.07815</x:v>
      </x:c>
      <x:c r="J1878" s="59" t="n">
        <x:v>1.0747</x:v>
      </x:c>
      <x:c r="K1878" s="59" t="n">
        <x:v>0.38446</x:v>
      </x:c>
      <x:c r="L1878" s="59" t="n">
        <x:v>0.4169</x:v>
      </x:c>
      <x:c r="M1878" s="59" t="n">
        <x:v>1.21519</x:v>
      </x:c>
      <x:c r="N1878" s="60" t="n">
        <x:v>-10.15</x:v>
      </x:c>
      <x:c r="O1878" s="60" t="n">
        <x:v>1.36</x:v>
      </x:c>
      <x:c r="P1878" s="60" t="n">
        <x:v>1.43</x:v>
      </x:c>
      <x:c r="Q1878" s="60" t="n">
        <x:v>89.4</x:v>
      </x:c>
      <x:c r="R1878" s="58" t="str">
        <x:v>X</x:v>
      </x:c>
      <x:c r="S1878" s="60" t="n">
        <x:v>100</x:v>
      </x:c>
      <x:c r="T1878" s="58" t="str">
        <x:v>VALID</x:v>
      </x:c>
      <x:c r="U1878" s="58" t="n">
        <x:v>3210</x:v>
      </x:c>
      <x:c r="V1878" s="58" t="str">
        <x:v>Pasted text(59).txt</x:v>
      </x:c>
    </x:row>
    <x:row r="1879">
      <x:c r="A1879" s="58" t="str">
        <x:v>S19</x:v>
      </x:c>
      <x:c r="B1879" s="58" t="str">
        <x:v>1.20 repeat-validation session at 268 Hz</x:v>
      </x:c>
      <x:c r="C1879" s="58" t="n">
        <x:v>1.2</x:v>
      </x:c>
      <x:c r="D1879" s="58" t="n">
        <x:v>4</x:v>
      </x:c>
      <x:c r="E1879" s="58" t="n">
        <x:v>1</x:v>
      </x:c>
      <x:c r="F1879" s="58" t="str">
        <x:v>FINE</x:v>
      </x:c>
      <x:c r="G1879" s="58" t="n">
        <x:v>4</x:v>
      </x:c>
      <x:c r="H1879" s="59" t="n">
        <x:v>11</x:v>
      </x:c>
      <x:c r="I1879" s="59" t="n">
        <x:v>1.10072</x:v>
      </x:c>
      <x:c r="J1879" s="59" t="n">
        <x:v>1.10636</x:v>
      </x:c>
      <x:c r="K1879" s="59" t="n">
        <x:v>0.38983</x:v>
      </x:c>
      <x:c r="L1879" s="59" t="n">
        <x:v>0.39032</x:v>
      </x:c>
      <x:c r="M1879" s="59" t="n">
        <x:v>1.2363</x:v>
      </x:c>
      <x:c r="N1879" s="60" t="n">
        <x:v>-8.27</x:v>
      </x:c>
      <x:c r="O1879" s="60" t="n">
        <x:v>0.81</x:v>
      </x:c>
      <x:c r="P1879" s="60" t="n">
        <x:v>1.38</x:v>
      </x:c>
      <x:c r="Q1879" s="60" t="n">
        <x:v>89.8</x:v>
      </x:c>
      <x:c r="R1879" s="58" t="str">
        <x:v>X</x:v>
      </x:c>
      <x:c r="S1879" s="60" t="n">
        <x:v>100</x:v>
      </x:c>
      <x:c r="T1879" s="58" t="str">
        <x:v>VALID</x:v>
      </x:c>
      <x:c r="U1879" s="58" t="n">
        <x:v>3211</x:v>
      </x:c>
      <x:c r="V1879" s="58" t="str">
        <x:v>Pasted text(59).txt</x:v>
      </x:c>
    </x:row>
    <x:row r="1880">
      <x:c r="A1880" s="58" t="str">
        <x:v>S19</x:v>
      </x:c>
      <x:c r="B1880" s="58" t="str">
        <x:v>1.20 repeat-validation session at 268 Hz</x:v>
      </x:c>
      <x:c r="C1880" s="58" t="n">
        <x:v>1.2</x:v>
      </x:c>
      <x:c r="D1880" s="58" t="n">
        <x:v>4</x:v>
      </x:c>
      <x:c r="E1880" s="58" t="n">
        <x:v>1</x:v>
      </x:c>
      <x:c r="F1880" s="58" t="str">
        <x:v>FINE</x:v>
      </x:c>
      <x:c r="G1880" s="58" t="n">
        <x:v>5</x:v>
      </x:c>
      <x:c r="H1880" s="59" t="n">
        <x:v>11.25</x:v>
      </x:c>
      <x:c r="I1880" s="59" t="n">
        <x:v>1.12109</x:v>
      </x:c>
      <x:c r="J1880" s="59" t="n">
        <x:v>1.12585</x:v>
      </x:c>
      <x:c r="K1880" s="59" t="n">
        <x:v>0.41087</x:v>
      </x:c>
      <x:c r="L1880" s="59" t="n">
        <x:v>0.40088</x:v>
      </x:c>
      <x:c r="M1880" s="59" t="n">
        <x:v>1.26399</x:v>
      </x:c>
      <x:c r="N1880" s="60" t="n">
        <x:v>-6.58</x:v>
      </x:c>
      <x:c r="O1880" s="60" t="n">
        <x:v>1.37</x:v>
      </x:c>
      <x:c r="P1880" s="60" t="n">
        <x:v>1.6</x:v>
      </x:c>
      <x:c r="Q1880" s="60" t="n">
        <x:v>90.4</x:v>
      </x:c>
      <x:c r="R1880" s="58" t="str">
        <x:v>X</x:v>
      </x:c>
      <x:c r="S1880" s="60" t="n">
        <x:v>100</x:v>
      </x:c>
      <x:c r="T1880" s="58" t="str">
        <x:v>IN TARGET BAND</x:v>
      </x:c>
      <x:c r="U1880" s="58" t="n">
        <x:v>3212</x:v>
      </x:c>
      <x:c r="V1880" s="58" t="str">
        <x:v>Pasted text(59).txt</x:v>
      </x:c>
    </x:row>
    <x:row r="1881">
      <x:c r="A1881" s="58" t="str">
        <x:v>S19</x:v>
      </x:c>
      <x:c r="B1881" s="58" t="str">
        <x:v>1.20 repeat-validation session at 268 Hz</x:v>
      </x:c>
      <x:c r="C1881" s="58" t="n">
        <x:v>1.2</x:v>
      </x:c>
      <x:c r="D1881" s="58" t="n">
        <x:v>4</x:v>
      </x:c>
      <x:c r="E1881" s="58" t="n">
        <x:v>1</x:v>
      </x:c>
      <x:c r="F1881" s="58" t="str">
        <x:v>FINE</x:v>
      </x:c>
      <x:c r="G1881" s="58" t="n">
        <x:v>6</x:v>
      </x:c>
      <x:c r="H1881" s="59" t="n">
        <x:v>11.5</x:v>
      </x:c>
      <x:c r="I1881" s="59" t="n">
        <x:v>1.14594</x:v>
      </x:c>
      <x:c r="J1881" s="59" t="n">
        <x:v>1.14059</x:v>
      </x:c>
      <x:c r="K1881" s="59" t="n">
        <x:v>0.41748</x:v>
      </x:c>
      <x:c r="L1881" s="59" t="n">
        <x:v>0.42427</x:v>
      </x:c>
      <x:c r="M1881" s="59" t="n">
        <x:v>1.28659</x:v>
      </x:c>
      <x:c r="N1881" s="60" t="n">
        <x:v>-4.5</x:v>
      </x:c>
      <x:c r="O1881" s="60" t="n">
        <x:v>0.3</x:v>
      </x:c>
      <x:c r="P1881" s="60" t="n">
        <x:v>1</x:v>
      </x:c>
      <x:c r="Q1881" s="60" t="n">
        <x:v>90.8</x:v>
      </x:c>
      <x:c r="R1881" s="58" t="str">
        <x:v>X</x:v>
      </x:c>
      <x:c r="S1881" s="60" t="n">
        <x:v>100</x:v>
      </x:c>
      <x:c r="T1881" s="58" t="str">
        <x:v>IN TARGET BAND</x:v>
      </x:c>
      <x:c r="U1881" s="58" t="n">
        <x:v>3213</x:v>
      </x:c>
      <x:c r="V1881" s="58" t="str">
        <x:v>Pasted text(59).txt</x:v>
      </x:c>
    </x:row>
    <x:row r="1882">
      <x:c r="A1882" s="58" t="str">
        <x:v>S19</x:v>
      </x:c>
      <x:c r="B1882" s="58" t="str">
        <x:v>1.20 repeat-validation session at 268 Hz</x:v>
      </x:c>
      <x:c r="C1882" s="58" t="n">
        <x:v>1.2</x:v>
      </x:c>
      <x:c r="D1882" s="58" t="n">
        <x:v>4</x:v>
      </x:c>
      <x:c r="E1882" s="58" t="n">
        <x:v>1</x:v>
      </x:c>
      <x:c r="F1882" s="58" t="str">
        <x:v>FINE</x:v>
      </x:c>
      <x:c r="G1882" s="58" t="n">
        <x:v>7</x:v>
      </x:c>
      <x:c r="H1882" s="59" t="n">
        <x:v>11.75</x:v>
      </x:c>
      <x:c r="I1882" s="59" t="n">
        <x:v>1.17182</x:v>
      </x:c>
      <x:c r="J1882" s="59" t="n">
        <x:v>1.17884</x:v>
      </x:c>
      <x:c r="K1882" s="59" t="n">
        <x:v>0.42957</x:v>
      </x:c>
      <x:c r="L1882" s="59" t="n">
        <x:v>0.42823</x:v>
      </x:c>
      <x:c r="M1882" s="59" t="n">
        <x:v>1.32614</x:v>
      </x:c>
      <x:c r="N1882" s="60" t="n">
        <x:v>-2.35</x:v>
      </x:c>
      <x:c r="O1882" s="60" t="n">
        <x:v>0.24</x:v>
      </x:c>
      <x:c r="P1882" s="60" t="n">
        <x:v>1.17</x:v>
      </x:c>
      <x:c r="Q1882" s="60" t="n">
        <x:v>90.1</x:v>
      </x:c>
      <x:c r="R1882" s="58" t="str">
        <x:v>X</x:v>
      </x:c>
      <x:c r="S1882" s="60" t="n">
        <x:v>100</x:v>
      </x:c>
      <x:c r="T1882" s="58" t="str">
        <x:v>IN TARGET BAND</x:v>
      </x:c>
      <x:c r="U1882" s="58" t="n">
        <x:v>3214</x:v>
      </x:c>
      <x:c r="V1882" s="58" t="str">
        <x:v>Pasted text(59).txt</x:v>
      </x:c>
    </x:row>
    <x:row r="1883">
      <x:c r="A1883" s="58" t="str">
        <x:v>S19</x:v>
      </x:c>
      <x:c r="B1883" s="58" t="str">
        <x:v>1.20 repeat-validation session at 268 Hz</x:v>
      </x:c>
      <x:c r="C1883" s="58" t="n">
        <x:v>1.2</x:v>
      </x:c>
      <x:c r="D1883" s="58" t="n">
        <x:v>4</x:v>
      </x:c>
      <x:c r="E1883" s="58" t="n">
        <x:v>1</x:v>
      </x:c>
      <x:c r="F1883" s="58" t="str">
        <x:v>FINE</x:v>
      </x:c>
      <x:c r="G1883" s="58" t="n">
        <x:v>8</x:v>
      </x:c>
      <x:c r="H1883" s="59" t="n">
        <x:v>12</x:v>
      </x:c>
      <x:c r="I1883" s="59" t="n">
        <x:v>1.23679</x:v>
      </x:c>
      <x:c r="J1883" s="59" t="n">
        <x:v>1.23266</x:v>
      </x:c>
      <x:c r="K1883" s="59" t="n">
        <x:v>0.44596</x:v>
      </x:c>
      <x:c r="L1883" s="59" t="n">
        <x:v>0.43453</x:v>
      </x:c>
      <x:c r="M1883" s="59" t="n">
        <x:v>1.38135</x:v>
      </x:c>
      <x:c r="N1883" s="60" t="n">
        <x:v>3.07</x:v>
      </x:c>
      <x:c r="O1883" s="60" t="n">
        <x:v>0.74</x:v>
      </x:c>
      <x:c r="P1883" s="60" t="n">
        <x:v>1.04</x:v>
      </x:c>
      <x:c r="Q1883" s="60" t="n">
        <x:v>92.1</x:v>
      </x:c>
      <x:c r="R1883" s="58" t="str">
        <x:v>X</x:v>
      </x:c>
      <x:c r="S1883" s="60" t="n">
        <x:v>100</x:v>
      </x:c>
      <x:c r="T1883" s="58" t="str">
        <x:v>IN TARGET BAND</x:v>
      </x:c>
      <x:c r="U1883" s="58" t="n">
        <x:v>3215</x:v>
      </x:c>
      <x:c r="V1883" s="58" t="str">
        <x:v>Pasted text(59).txt</x:v>
      </x:c>
    </x:row>
    <x:row r="1884">
      <x:c r="A1884" s="58" t="str">
        <x:v>S19</x:v>
      </x:c>
      <x:c r="B1884" s="58" t="str">
        <x:v>1.20 repeat-validation session at 268 Hz</x:v>
      </x:c>
      <x:c r="C1884" s="58" t="n">
        <x:v>1.2</x:v>
      </x:c>
      <x:c r="D1884" s="58" t="n">
        <x:v>4</x:v>
      </x:c>
      <x:c r="E1884" s="58" t="n">
        <x:v>1</x:v>
      </x:c>
      <x:c r="F1884" s="58" t="str">
        <x:v>FINE</x:v>
      </x:c>
      <x:c r="G1884" s="58" t="n">
        <x:v>9</x:v>
      </x:c>
      <x:c r="H1884" s="59" t="n">
        <x:v>12.25</x:v>
      </x:c>
      <x:c r="I1884" s="59" t="n">
        <x:v>1.24974</x:v>
      </x:c>
      <x:c r="J1884" s="59" t="n">
        <x:v>1.24513</x:v>
      </x:c>
      <x:c r="K1884" s="59" t="n">
        <x:v>0.44154</x:v>
      </x:c>
      <x:c r="L1884" s="59" t="n">
        <x:v>0.47045</x:v>
      </x:c>
      <x:c r="M1884" s="59" t="n">
        <x:v>1.40261</x:v>
      </x:c>
      <x:c r="N1884" s="60" t="n">
        <x:v>4.14</x:v>
      </x:c>
      <x:c r="O1884" s="60" t="n">
        <x:v>0.54</x:v>
      </x:c>
      <x:c r="P1884" s="60" t="n">
        <x:v>0.97</x:v>
      </x:c>
      <x:c r="Q1884" s="60" t="n">
        <x:v>91.7</x:v>
      </x:c>
      <x:c r="R1884" s="58" t="str">
        <x:v>X</x:v>
      </x:c>
      <x:c r="S1884" s="60" t="n">
        <x:v>100</x:v>
      </x:c>
      <x:c r="T1884" s="58" t="str">
        <x:v>IN TARGET BAND</x:v>
      </x:c>
      <x:c r="U1884" s="58" t="n">
        <x:v>3216</x:v>
      </x:c>
      <x:c r="V1884" s="58" t="str">
        <x:v>Pasted text(59).txt</x:v>
      </x:c>
    </x:row>
    <x:row r="1885">
      <x:c r="A1885" s="58" t="str">
        <x:v>S19</x:v>
      </x:c>
      <x:c r="B1885" s="58" t="str">
        <x:v>1.20 repeat-validation session at 268 Hz</x:v>
      </x:c>
      <x:c r="C1885" s="58" t="n">
        <x:v>1.2</x:v>
      </x:c>
      <x:c r="D1885" s="58" t="n">
        <x:v>4</x:v>
      </x:c>
      <x:c r="E1885" s="58" t="n">
        <x:v>1</x:v>
      </x:c>
      <x:c r="F1885" s="58" t="str">
        <x:v>FINAL</x:v>
      </x:c>
      <x:c r="G1885" s="58" t="n">
        <x:v>1</x:v>
      </x:c>
      <x:c r="H1885" s="59" t="n">
        <x:v>11.75</x:v>
      </x:c>
      <x:c r="I1885" s="59" t="n">
        <x:v>1.18733</x:v>
      </x:c>
      <x:c r="J1885" s="59" t="n">
        <x:v>1.1985</x:v>
      </x:c>
      <x:c r="K1885" s="59" t="n">
        <x:v>0.43671</x:v>
      </x:c>
      <x:c r="L1885" s="59" t="n">
        <x:v>0.44202</x:v>
      </x:c>
      <x:c r="M1885" s="59" t="n">
        <x:v>1.35033</x:v>
      </x:c>
      <x:c r="N1885" s="60" t="n">
        <x:v>-1.06</x:v>
      </x:c>
      <x:c r="O1885" s="60" t="n">
        <x:v>0.16</x:v>
      </x:c>
      <x:c r="P1885" s="60" t="n">
        <x:v>1.33</x:v>
      </x:c>
      <x:c r="Q1885" s="60" t="n">
        <x:v>90.1</x:v>
      </x:c>
      <x:c r="R1885" s="58" t="str">
        <x:v>X</x:v>
      </x:c>
      <x:c r="S1885" s="60" t="n">
        <x:v>100</x:v>
      </x:c>
      <x:c r="T1885" s="58" t="str">
        <x:v>IN TARGET BAND</x:v>
      </x:c>
      <x:c r="U1885" s="58" t="n">
        <x:v>3219</x:v>
      </x:c>
      <x:c r="V1885" s="58" t="str">
        <x:v>Pasted text(59).txt</x:v>
      </x:c>
    </x:row>
    <x:row r="1886">
      <x:c r="A1886" s="58" t="str">
        <x:v>S19</x:v>
      </x:c>
      <x:c r="B1886" s="58" t="str">
        <x:v>1.20 repeat-validation session at 268 Hz</x:v>
      </x:c>
      <x:c r="C1886" s="58" t="n">
        <x:v>1.2</x:v>
      </x:c>
      <x:c r="D1886" s="58" t="n">
        <x:v>4</x:v>
      </x:c>
      <x:c r="E1886" s="58" t="n">
        <x:v>1</x:v>
      </x:c>
      <x:c r="F1886" s="58" t="str">
        <x:v>FINAL</x:v>
      </x:c>
      <x:c r="G1886" s="58" t="n">
        <x:v>2</x:v>
      </x:c>
      <x:c r="H1886" s="59" t="n">
        <x:v>11.75</x:v>
      </x:c>
      <x:c r="I1886" s="59" t="n">
        <x:v>1.19467</x:v>
      </x:c>
      <x:c r="J1886" s="59" t="n">
        <x:v>1.19891</x:v>
      </x:c>
      <x:c r="K1886" s="59" t="n">
        <x:v>0.44389</x:v>
      </x:c>
      <x:c r="L1886" s="59" t="n">
        <x:v>0.43652</x:v>
      </x:c>
      <x:c r="M1886" s="59" t="n">
        <x:v>1.35126</x:v>
      </x:c>
      <x:c r="N1886" s="60" t="n">
        <x:v>-0.44</x:v>
      </x:c>
      <x:c r="O1886" s="60" t="n">
        <x:v>2.51</x:v>
      </x:c>
      <x:c r="P1886" s="60" t="n">
        <x:v>1.84</x:v>
      </x:c>
      <x:c r="Q1886" s="60" t="n">
        <x:v>90.4</x:v>
      </x:c>
      <x:c r="R1886" s="58" t="str">
        <x:v>X</x:v>
      </x:c>
      <x:c r="S1886" s="60" t="n">
        <x:v>100</x:v>
      </x:c>
      <x:c r="T1886" s="58" t="str">
        <x:v>IN TARGET BAND</x:v>
      </x:c>
      <x:c r="U1886" s="58" t="n">
        <x:v>3220</x:v>
      </x:c>
      <x:c r="V1886" s="58" t="str">
        <x:v>Pasted text(59).txt</x:v>
      </x:c>
    </x:row>
    <x:row r="1887">
      <x:c r="A1887" s="58" t="str">
        <x:v>S19</x:v>
      </x:c>
      <x:c r="B1887" s="58" t="str">
        <x:v>1.20 repeat-validation session at 268 Hz</x:v>
      </x:c>
      <x:c r="C1887" s="58" t="n">
        <x:v>1.2</x:v>
      </x:c>
      <x:c r="D1887" s="58" t="n">
        <x:v>5</x:v>
      </x:c>
      <x:c r="E1887" s="58" t="n">
        <x:v>1</x:v>
      </x:c>
      <x:c r="F1887" s="58" t="str">
        <x:v>SEARCH</x:v>
      </x:c>
      <x:c r="G1887" s="58" t="n">
        <x:v>1</x:v>
      </x:c>
      <x:c r="H1887" s="59" t="n">
        <x:v>1</x:v>
      </x:c>
      <x:c r="I1887" s="59" t="n">
        <x:v>0.02361</x:v>
      </x:c>
      <x:c r="J1887" s="59" t="n">
        <x:v>0.02319</x:v>
      </x:c>
      <x:c r="K1887" s="59" t="n">
        <x:v>0.01756</x:v>
      </x:c>
      <x:c r="L1887" s="59" t="n">
        <x:v>0.02224</x:v>
      </x:c>
      <x:c r="M1887" s="59" t="n">
        <x:v>0.03735</x:v>
      </x:c>
      <x:c r="N1887" s="60" t="n">
        <x:v>-98.03</x:v>
      </x:c>
      <x:c r="O1887" s="60" t="n">
        <x:v>0.08</x:v>
      </x:c>
      <x:c r="P1887" s="60" t="n">
        <x:v>3.14</x:v>
      </x:c>
      <x:c r="Q1887" s="60" t="n">
        <x:v>7.7</x:v>
      </x:c>
      <x:c r="R1887" s="58" t="str">
        <x:v>X</x:v>
      </x:c>
      <x:c r="S1887" s="60" t="n">
        <x:v>100</x:v>
      </x:c>
      <x:c r="T1887" s="58" t="str">
        <x:v>BELOW MEASUREMENT FLOOR — SEARCH CONTINUES</x:v>
      </x:c>
      <x:c r="U1887" s="58" t="n">
        <x:v>3276</x:v>
      </x:c>
      <x:c r="V1887" s="58" t="str">
        <x:v>Pasted text(59).txt</x:v>
      </x:c>
    </x:row>
    <x:row r="1888">
      <x:c r="A1888" s="58" t="str">
        <x:v>S19</x:v>
      </x:c>
      <x:c r="B1888" s="58" t="str">
        <x:v>1.20 repeat-validation session at 268 Hz</x:v>
      </x:c>
      <x:c r="C1888" s="58" t="n">
        <x:v>1.2</x:v>
      </x:c>
      <x:c r="D1888" s="58" t="n">
        <x:v>5</x:v>
      </x:c>
      <x:c r="E1888" s="58" t="n">
        <x:v>1</x:v>
      </x:c>
      <x:c r="F1888" s="58" t="str">
        <x:v>SEARCH</x:v>
      </x:c>
      <x:c r="G1888" s="58" t="n">
        <x:v>2</x:v>
      </x:c>
      <x:c r="H1888" s="59" t="n">
        <x:v>3</x:v>
      </x:c>
      <x:c r="I1888" s="59" t="n">
        <x:v>0.18832</x:v>
      </x:c>
      <x:c r="J1888" s="59" t="n">
        <x:v>0.19469</x:v>
      </x:c>
      <x:c r="K1888" s="59" t="n">
        <x:v>0.04697</x:v>
      </x:c>
      <x:c r="L1888" s="59" t="n">
        <x:v>0.07485</x:v>
      </x:c>
      <x:c r="M1888" s="59" t="n">
        <x:v>0.21421</x:v>
      </x:c>
      <x:c r="N1888" s="60" t="n">
        <x:v>-84.31</x:v>
      </x:c>
      <x:c r="O1888" s="60" t="n">
        <x:v>2.16</x:v>
      </x:c>
      <x:c r="P1888" s="60" t="n">
        <x:v>6.93</x:v>
      </x:c>
      <x:c r="Q1888" s="60" t="n">
        <x:v>42.9</x:v>
      </x:c>
      <x:c r="R1888" s="58" t="str">
        <x:v>X</x:v>
      </x:c>
      <x:c r="S1888" s="60" t="n">
        <x:v>100</x:v>
      </x:c>
      <x:c r="T1888" s="58" t="str">
        <x:v>UNSTABLE — SEARCH CONTINUES</x:v>
      </x:c>
      <x:c r="U1888" s="58" t="n">
        <x:v>3277</x:v>
      </x:c>
      <x:c r="V1888" s="58" t="str">
        <x:v>Pasted text(59).txt</x:v>
      </x:c>
    </x:row>
    <x:row r="1889">
      <x:c r="A1889" s="58" t="str">
        <x:v>S19</x:v>
      </x:c>
      <x:c r="B1889" s="58" t="str">
        <x:v>1.20 repeat-validation session at 268 Hz</x:v>
      </x:c>
      <x:c r="C1889" s="58" t="n">
        <x:v>1.2</x:v>
      </x:c>
      <x:c r="D1889" s="58" t="n">
        <x:v>5</x:v>
      </x:c>
      <x:c r="E1889" s="58" t="n">
        <x:v>1</x:v>
      </x:c>
      <x:c r="F1889" s="58" t="str">
        <x:v>SEARCH</x:v>
      </x:c>
      <x:c r="G1889" s="58" t="n">
        <x:v>3</x:v>
      </x:c>
      <x:c r="H1889" s="59" t="n">
        <x:v>5</x:v>
      </x:c>
      <x:c r="I1889" s="59" t="n">
        <x:v>0.4008</x:v>
      </x:c>
      <x:c r="J1889" s="59" t="n">
        <x:v>0.40388</x:v>
      </x:c>
      <x:c r="K1889" s="59" t="n">
        <x:v>0.15207</x:v>
      </x:c>
      <x:c r="L1889" s="59" t="n">
        <x:v>0.15164</x:v>
      </x:c>
      <x:c r="M1889" s="59" t="n">
        <x:v>0.45801</x:v>
      </x:c>
      <x:c r="N1889" s="60" t="n">
        <x:v>-66.6</x:v>
      </x:c>
      <x:c r="O1889" s="60" t="n">
        <x:v>8.52</x:v>
      </x:c>
      <x:c r="P1889" s="60" t="n">
        <x:v>6.88</x:v>
      </x:c>
      <x:c r="Q1889" s="60" t="n">
        <x:v>66.9</x:v>
      </x:c>
      <x:c r="R1889" s="58" t="str">
        <x:v>X</x:v>
      </x:c>
      <x:c r="S1889" s="60" t="n">
        <x:v>100</x:v>
      </x:c>
      <x:c r="T1889" s="58" t="str">
        <x:v>VALID</x:v>
      </x:c>
      <x:c r="U1889" s="58" t="n">
        <x:v>3278</x:v>
      </x:c>
      <x:c r="V1889" s="58" t="str">
        <x:v>Pasted text(59).txt</x:v>
      </x:c>
    </x:row>
    <x:row r="1890">
      <x:c r="A1890" s="58" t="str">
        <x:v>S19</x:v>
      </x:c>
      <x:c r="B1890" s="58" t="str">
        <x:v>1.20 repeat-validation session at 268 Hz</x:v>
      </x:c>
      <x:c r="C1890" s="58" t="n">
        <x:v>1.2</x:v>
      </x:c>
      <x:c r="D1890" s="58" t="n">
        <x:v>5</x:v>
      </x:c>
      <x:c r="E1890" s="58" t="n">
        <x:v>1</x:v>
      </x:c>
      <x:c r="F1890" s="58" t="str">
        <x:v>SEARCH</x:v>
      </x:c>
      <x:c r="G1890" s="58" t="n">
        <x:v>4</x:v>
      </x:c>
      <x:c r="H1890" s="59" t="n">
        <x:v>6</x:v>
      </x:c>
      <x:c r="I1890" s="59" t="n">
        <x:v>0.49702</x:v>
      </x:c>
      <x:c r="J1890" s="59" t="n">
        <x:v>0.50456</x:v>
      </x:c>
      <x:c r="K1890" s="59" t="n">
        <x:v>0.18942</x:v>
      </x:c>
      <x:c r="L1890" s="59" t="n">
        <x:v>0.21613</x:v>
      </x:c>
      <x:c r="M1890" s="59" t="n">
        <x:v>0.5814</x:v>
      </x:c>
      <x:c r="N1890" s="60" t="n">
        <x:v>-58.58</x:v>
      </x:c>
      <x:c r="O1890" s="60" t="n">
        <x:v>0.16</x:v>
      </x:c>
      <x:c r="P1890" s="60" t="n">
        <x:v>2.68</x:v>
      </x:c>
      <x:c r="Q1890" s="60" t="n">
        <x:v>74.9</x:v>
      </x:c>
      <x:c r="R1890" s="58" t="str">
        <x:v>X</x:v>
      </x:c>
      <x:c r="S1890" s="60" t="n">
        <x:v>100</x:v>
      </x:c>
      <x:c r="T1890" s="58" t="str">
        <x:v>VALID</x:v>
      </x:c>
      <x:c r="U1890" s="58" t="n">
        <x:v>3279</x:v>
      </x:c>
      <x:c r="V1890" s="58" t="str">
        <x:v>Pasted text(59).txt</x:v>
      </x:c>
    </x:row>
    <x:row r="1891">
      <x:c r="A1891" s="58" t="str">
        <x:v>S19</x:v>
      </x:c>
      <x:c r="B1891" s="58" t="str">
        <x:v>1.20 repeat-validation session at 268 Hz</x:v>
      </x:c>
      <x:c r="C1891" s="58" t="n">
        <x:v>1.2</x:v>
      </x:c>
      <x:c r="D1891" s="58" t="n">
        <x:v>5</x:v>
      </x:c>
      <x:c r="E1891" s="58" t="n">
        <x:v>1</x:v>
      </x:c>
      <x:c r="F1891" s="58" t="str">
        <x:v>SEARCH</x:v>
      </x:c>
      <x:c r="G1891" s="58" t="n">
        <x:v>5</x:v>
      </x:c>
      <x:c r="H1891" s="59" t="n">
        <x:v>7</x:v>
      </x:c>
      <x:c r="I1891" s="59" t="n">
        <x:v>0.62088</x:v>
      </x:c>
      <x:c r="J1891" s="59" t="n">
        <x:v>0.63098</x:v>
      </x:c>
      <x:c r="K1891" s="59" t="n">
        <x:v>0.21209</x:v>
      </x:c>
      <x:c r="L1891" s="59" t="n">
        <x:v>0.24261</x:v>
      </x:c>
      <x:c r="M1891" s="59" t="n">
        <x:v>0.70969</x:v>
      </x:c>
      <x:c r="N1891" s="60" t="n">
        <x:v>-48.26</x:v>
      </x:c>
      <x:c r="O1891" s="60" t="n">
        <x:v>0.44</x:v>
      </x:c>
      <x:c r="P1891" s="60" t="n">
        <x:v>3.03</x:v>
      </x:c>
      <x:c r="Q1891" s="60" t="n">
        <x:v>83.9</x:v>
      </x:c>
      <x:c r="R1891" s="58" t="str">
        <x:v>X</x:v>
      </x:c>
      <x:c r="S1891" s="60" t="n">
        <x:v>100</x:v>
      </x:c>
      <x:c r="T1891" s="58" t="str">
        <x:v>VALID</x:v>
      </x:c>
      <x:c r="U1891" s="58" t="n">
        <x:v>3280</x:v>
      </x:c>
      <x:c r="V1891" s="58" t="str">
        <x:v>Pasted text(59).txt</x:v>
      </x:c>
    </x:row>
    <x:row r="1892">
      <x:c r="A1892" s="58" t="str">
        <x:v>S19</x:v>
      </x:c>
      <x:c r="B1892" s="58" t="str">
        <x:v>1.20 repeat-validation session at 268 Hz</x:v>
      </x:c>
      <x:c r="C1892" s="58" t="n">
        <x:v>1.2</x:v>
      </x:c>
      <x:c r="D1892" s="58" t="n">
        <x:v>5</x:v>
      </x:c>
      <x:c r="E1892" s="58" t="n">
        <x:v>1</x:v>
      </x:c>
      <x:c r="F1892" s="58" t="str">
        <x:v>SEARCH</x:v>
      </x:c>
      <x:c r="G1892" s="58" t="n">
        <x:v>6</x:v>
      </x:c>
      <x:c r="H1892" s="59" t="n">
        <x:v>8</x:v>
      </x:c>
      <x:c r="I1892" s="59" t="n">
        <x:v>0.72554</x:v>
      </x:c>
      <x:c r="J1892" s="59" t="n">
        <x:v>0.72251</x:v>
      </x:c>
      <x:c r="K1892" s="59" t="n">
        <x:v>0.263</x:v>
      </x:c>
      <x:c r="L1892" s="59" t="n">
        <x:v>0.29003</x:v>
      </x:c>
      <x:c r="M1892" s="59" t="n">
        <x:v>0.8221</x:v>
      </x:c>
      <x:c r="N1892" s="60" t="n">
        <x:v>-39.54</x:v>
      </x:c>
      <x:c r="O1892" s="60" t="n">
        <x:v>1.54</x:v>
      </x:c>
      <x:c r="P1892" s="60" t="n">
        <x:v>1.71</x:v>
      </x:c>
      <x:c r="Q1892" s="60" t="n">
        <x:v>83.8</x:v>
      </x:c>
      <x:c r="R1892" s="58" t="str">
        <x:v>X</x:v>
      </x:c>
      <x:c r="S1892" s="60" t="n">
        <x:v>100</x:v>
      </x:c>
      <x:c r="T1892" s="58" t="str">
        <x:v>VALID</x:v>
      </x:c>
      <x:c r="U1892" s="58" t="n">
        <x:v>3281</x:v>
      </x:c>
      <x:c r="V1892" s="58" t="str">
        <x:v>Pasted text(59).txt</x:v>
      </x:c>
    </x:row>
    <x:row r="1893">
      <x:c r="A1893" s="58" t="str">
        <x:v>S19</x:v>
      </x:c>
      <x:c r="B1893" s="58" t="str">
        <x:v>1.20 repeat-validation session at 268 Hz</x:v>
      </x:c>
      <x:c r="C1893" s="58" t="n">
        <x:v>1.2</x:v>
      </x:c>
      <x:c r="D1893" s="58" t="n">
        <x:v>5</x:v>
      </x:c>
      <x:c r="E1893" s="58" t="n">
        <x:v>1</x:v>
      </x:c>
      <x:c r="F1893" s="58" t="str">
        <x:v>SEARCH</x:v>
      </x:c>
      <x:c r="G1893" s="58" t="n">
        <x:v>7</x:v>
      </x:c>
      <x:c r="H1893" s="59" t="n">
        <x:v>8.5</x:v>
      </x:c>
      <x:c r="I1893" s="59" t="n">
        <x:v>0.78847</x:v>
      </x:c>
      <x:c r="J1893" s="59" t="n">
        <x:v>0.77272</x:v>
      </x:c>
      <x:c r="K1893" s="59" t="n">
        <x:v>0.27522</x:v>
      </x:c>
      <x:c r="L1893" s="59" t="n">
        <x:v>0.31862</x:v>
      </x:c>
      <x:c r="M1893" s="59" t="n">
        <x:v>0.88001</x:v>
      </x:c>
      <x:c r="N1893" s="60" t="n">
        <x:v>-34.29</x:v>
      </x:c>
      <x:c r="O1893" s="60" t="n">
        <x:v>0.42</x:v>
      </x:c>
      <x:c r="P1893" s="60" t="n">
        <x:v>3.78</x:v>
      </x:c>
      <x:c r="Q1893" s="60" t="n">
        <x:v>86.2</x:v>
      </x:c>
      <x:c r="R1893" s="58" t="str">
        <x:v>X</x:v>
      </x:c>
      <x:c r="S1893" s="60" t="n">
        <x:v>100</x:v>
      </x:c>
      <x:c r="T1893" s="58" t="str">
        <x:v>VALID</x:v>
      </x:c>
      <x:c r="U1893" s="58" t="n">
        <x:v>3282</x:v>
      </x:c>
      <x:c r="V1893" s="58" t="str">
        <x:v>Pasted text(59).txt</x:v>
      </x:c>
    </x:row>
    <x:row r="1894">
      <x:c r="A1894" s="58" t="str">
        <x:v>S19</x:v>
      </x:c>
      <x:c r="B1894" s="58" t="str">
        <x:v>1.20 repeat-validation session at 268 Hz</x:v>
      </x:c>
      <x:c r="C1894" s="58" t="n">
        <x:v>1.2</x:v>
      </x:c>
      <x:c r="D1894" s="58" t="n">
        <x:v>5</x:v>
      </x:c>
      <x:c r="E1894" s="58" t="n">
        <x:v>1</x:v>
      </x:c>
      <x:c r="F1894" s="58" t="str">
        <x:v>SEARCH</x:v>
      </x:c>
      <x:c r="G1894" s="58" t="n">
        <x:v>8</x:v>
      </x:c>
      <x:c r="H1894" s="59" t="n">
        <x:v>9</x:v>
      </x:c>
      <x:c r="I1894" s="59" t="n">
        <x:v>0.83192</x:v>
      </x:c>
      <x:c r="J1894" s="59" t="n">
        <x:v>0.84496</x:v>
      </x:c>
      <x:c r="K1894" s="59" t="n">
        <x:v>0.30343</x:v>
      </x:c>
      <x:c r="L1894" s="59" t="n">
        <x:v>0.32033</x:v>
      </x:c>
      <x:c r="M1894" s="59" t="n">
        <x:v>0.95395</x:v>
      </x:c>
      <x:c r="N1894" s="60" t="n">
        <x:v>-30.67</x:v>
      </x:c>
      <x:c r="O1894" s="60" t="n">
        <x:v>2.6</x:v>
      </x:c>
      <x:c r="P1894" s="60" t="n">
        <x:v>4.25</x:v>
      </x:c>
      <x:c r="Q1894" s="60" t="n">
        <x:v>86.6</x:v>
      </x:c>
      <x:c r="R1894" s="58" t="str">
        <x:v>X</x:v>
      </x:c>
      <x:c r="S1894" s="60" t="n">
        <x:v>100</x:v>
      </x:c>
      <x:c r="T1894" s="58" t="str">
        <x:v>VALID</x:v>
      </x:c>
      <x:c r="U1894" s="58" t="n">
        <x:v>3283</x:v>
      </x:c>
      <x:c r="V1894" s="58" t="str">
        <x:v>Pasted text(59).txt</x:v>
      </x:c>
    </x:row>
    <x:row r="1895">
      <x:c r="A1895" s="58" t="str">
        <x:v>S19</x:v>
      </x:c>
      <x:c r="B1895" s="58" t="str">
        <x:v>1.20 repeat-validation session at 268 Hz</x:v>
      </x:c>
      <x:c r="C1895" s="58" t="n">
        <x:v>1.2</x:v>
      </x:c>
      <x:c r="D1895" s="58" t="n">
        <x:v>5</x:v>
      </x:c>
      <x:c r="E1895" s="58" t="n">
        <x:v>1</x:v>
      </x:c>
      <x:c r="F1895" s="58" t="str">
        <x:v>SEARCH</x:v>
      </x:c>
      <x:c r="G1895" s="58" t="n">
        <x:v>9</x:v>
      </x:c>
      <x:c r="H1895" s="59" t="n">
        <x:v>9.5</x:v>
      </x:c>
      <x:c r="I1895" s="59" t="n">
        <x:v>0.86991</x:v>
      </x:c>
      <x:c r="J1895" s="59" t="n">
        <x:v>0.86884</x:v>
      </x:c>
      <x:c r="K1895" s="59" t="n">
        <x:v>0.31364</x:v>
      </x:c>
      <x:c r="L1895" s="59" t="n">
        <x:v>0.33904</x:v>
      </x:c>
      <x:c r="M1895" s="59" t="n">
        <x:v>0.98451</x:v>
      </x:c>
      <x:c r="N1895" s="60" t="n">
        <x:v>-27.51</x:v>
      </x:c>
      <x:c r="O1895" s="60" t="n">
        <x:v>0.67</x:v>
      </x:c>
      <x:c r="P1895" s="60" t="n">
        <x:v>0.65</x:v>
      </x:c>
      <x:c r="Q1895" s="60" t="n">
        <x:v>86.8</x:v>
      </x:c>
      <x:c r="R1895" s="58" t="str">
        <x:v>X</x:v>
      </x:c>
      <x:c r="S1895" s="60" t="n">
        <x:v>100</x:v>
      </x:c>
      <x:c r="T1895" s="58" t="str">
        <x:v>VALID</x:v>
      </x:c>
      <x:c r="U1895" s="58" t="n">
        <x:v>3284</x:v>
      </x:c>
      <x:c r="V1895" s="58" t="str">
        <x:v>Pasted text(59).txt</x:v>
      </x:c>
    </x:row>
    <x:row r="1896">
      <x:c r="A1896" s="58" t="str">
        <x:v>S19</x:v>
      </x:c>
      <x:c r="B1896" s="58" t="str">
        <x:v>1.20 repeat-validation session at 268 Hz</x:v>
      </x:c>
      <x:c r="C1896" s="58" t="n">
        <x:v>1.2</x:v>
      </x:c>
      <x:c r="D1896" s="58" t="n">
        <x:v>5</x:v>
      </x:c>
      <x:c r="E1896" s="58" t="n">
        <x:v>1</x:v>
      </x:c>
      <x:c r="F1896" s="58" t="str">
        <x:v>SEARCH</x:v>
      </x:c>
      <x:c r="G1896" s="58" t="n">
        <x:v>10</x:v>
      </x:c>
      <x:c r="H1896" s="59" t="n">
        <x:v>10</x:v>
      </x:c>
      <x:c r="I1896" s="59" t="n">
        <x:v>0.95854</x:v>
      </x:c>
      <x:c r="J1896" s="59" t="n">
        <x:v>0.96245</x:v>
      </x:c>
      <x:c r="K1896" s="59" t="n">
        <x:v>0.35608</x:v>
      </x:c>
      <x:c r="L1896" s="59" t="n">
        <x:v>0.36032</x:v>
      </x:c>
      <x:c r="M1896" s="59" t="n">
        <x:v>1.08768</x:v>
      </x:c>
      <x:c r="N1896" s="60" t="n">
        <x:v>-20.12</x:v>
      </x:c>
      <x:c r="O1896" s="60" t="n">
        <x:v>2.52</x:v>
      </x:c>
      <x:c r="P1896" s="60" t="n">
        <x:v>2.33</x:v>
      </x:c>
      <x:c r="Q1896" s="60" t="n">
        <x:v>88.8</x:v>
      </x:c>
      <x:c r="R1896" s="58" t="str">
        <x:v>X</x:v>
      </x:c>
      <x:c r="S1896" s="60" t="n">
        <x:v>100</x:v>
      </x:c>
      <x:c r="T1896" s="58" t="str">
        <x:v>VALID</x:v>
      </x:c>
      <x:c r="U1896" s="58" t="n">
        <x:v>3285</x:v>
      </x:c>
      <x:c r="V1896" s="58" t="str">
        <x:v>Pasted text(59).txt</x:v>
      </x:c>
    </x:row>
    <x:row r="1897">
      <x:c r="A1897" s="58" t="str">
        <x:v>S19</x:v>
      </x:c>
      <x:c r="B1897" s="58" t="str">
        <x:v>1.20 repeat-validation session at 268 Hz</x:v>
      </x:c>
      <x:c r="C1897" s="58" t="n">
        <x:v>1.2</x:v>
      </x:c>
      <x:c r="D1897" s="58" t="n">
        <x:v>5</x:v>
      </x:c>
      <x:c r="E1897" s="58" t="n">
        <x:v>1</x:v>
      </x:c>
      <x:c r="F1897" s="58" t="str">
        <x:v>SEARCH</x:v>
      </x:c>
      <x:c r="G1897" s="58" t="n">
        <x:v>11</x:v>
      </x:c>
      <x:c r="H1897" s="59" t="n">
        <x:v>10.5</x:v>
      </x:c>
      <x:c r="I1897" s="59" t="n">
        <x:v>1.00533</x:v>
      </x:c>
      <x:c r="J1897" s="59" t="n">
        <x:v>0.99613</x:v>
      </x:c>
      <x:c r="K1897" s="59" t="n">
        <x:v>0.37876</x:v>
      </x:c>
      <x:c r="L1897" s="59" t="n">
        <x:v>0.38593</x:v>
      </x:c>
      <x:c r="M1897" s="59" t="n">
        <x:v>1.13366</x:v>
      </x:c>
      <x:c r="N1897" s="60" t="n">
        <x:v>-16.22</x:v>
      </x:c>
      <x:c r="O1897" s="60" t="n">
        <x:v>1.94</x:v>
      </x:c>
      <x:c r="P1897" s="60" t="n">
        <x:v>2.82</x:v>
      </x:c>
      <x:c r="Q1897" s="60" t="n">
        <x:v>89.3</x:v>
      </x:c>
      <x:c r="R1897" s="58" t="str">
        <x:v>X</x:v>
      </x:c>
      <x:c r="S1897" s="60" t="n">
        <x:v>100</x:v>
      </x:c>
      <x:c r="T1897" s="58" t="str">
        <x:v>VALID</x:v>
      </x:c>
      <x:c r="U1897" s="58" t="n">
        <x:v>3286</x:v>
      </x:c>
      <x:c r="V1897" s="58" t="str">
        <x:v>Pasted text(59).txt</x:v>
      </x:c>
    </x:row>
    <x:row r="1898">
      <x:c r="A1898" s="58" t="str">
        <x:v>S19</x:v>
      </x:c>
      <x:c r="B1898" s="58" t="str">
        <x:v>1.20 repeat-validation session at 268 Hz</x:v>
      </x:c>
      <x:c r="C1898" s="58" t="n">
        <x:v>1.2</x:v>
      </x:c>
      <x:c r="D1898" s="58" t="n">
        <x:v>5</x:v>
      </x:c>
      <x:c r="E1898" s="58" t="n">
        <x:v>1</x:v>
      </x:c>
      <x:c r="F1898" s="58" t="str">
        <x:v>SEARCH</x:v>
      </x:c>
      <x:c r="G1898" s="58" t="n">
        <x:v>12</x:v>
      </x:c>
      <x:c r="H1898" s="59" t="n">
        <x:v>11</x:v>
      </x:c>
      <x:c r="I1898" s="59" t="n">
        <x:v>1.06812</x:v>
      </x:c>
      <x:c r="J1898" s="59" t="n">
        <x:v>1.06003</x:v>
      </x:c>
      <x:c r="K1898" s="59" t="n">
        <x:v>0.38012</x:v>
      </x:c>
      <x:c r="L1898" s="59" t="n">
        <x:v>0.40473</x:v>
      </x:c>
      <x:c r="M1898" s="59" t="n">
        <x:v>1.19682</x:v>
      </x:c>
      <x:c r="N1898" s="60" t="n">
        <x:v>-10.99</x:v>
      </x:c>
      <x:c r="O1898" s="60" t="n">
        <x:v>0.2</x:v>
      </x:c>
      <x:c r="P1898" s="60" t="n">
        <x:v>1.44</x:v>
      </x:c>
      <x:c r="Q1898" s="60" t="n">
        <x:v>88.9</x:v>
      </x:c>
      <x:c r="R1898" s="58" t="str">
        <x:v>X</x:v>
      </x:c>
      <x:c r="S1898" s="60" t="n">
        <x:v>100</x:v>
      </x:c>
      <x:c r="T1898" s="58" t="str">
        <x:v>VALID</x:v>
      </x:c>
      <x:c r="U1898" s="58" t="n">
        <x:v>3287</x:v>
      </x:c>
      <x:c r="V1898" s="58" t="str">
        <x:v>Pasted text(59).txt</x:v>
      </x:c>
    </x:row>
    <x:row r="1899">
      <x:c r="A1899" s="58" t="str">
        <x:v>S19</x:v>
      </x:c>
      <x:c r="B1899" s="58" t="str">
        <x:v>1.20 repeat-validation session at 268 Hz</x:v>
      </x:c>
      <x:c r="C1899" s="58" t="n">
        <x:v>1.2</x:v>
      </x:c>
      <x:c r="D1899" s="58" t="n">
        <x:v>5</x:v>
      </x:c>
      <x:c r="E1899" s="58" t="n">
        <x:v>1</x:v>
      </x:c>
      <x:c r="F1899" s="58" t="str">
        <x:v>SEARCH</x:v>
      </x:c>
      <x:c r="G1899" s="58" t="n">
        <x:v>13</x:v>
      </x:c>
      <x:c r="H1899" s="59" t="n">
        <x:v>11.25</x:v>
      </x:c>
      <x:c r="I1899" s="59" t="n">
        <x:v>1.11092</x:v>
      </x:c>
      <x:c r="J1899" s="59" t="n">
        <x:v>1.11851</x:v>
      </x:c>
      <x:c r="K1899" s="59" t="n">
        <x:v>0.4173</x:v>
      </x:c>
      <x:c r="L1899" s="59" t="n">
        <x:v>0.39259</x:v>
      </x:c>
      <x:c r="M1899" s="59" t="n">
        <x:v>1.2569</x:v>
      </x:c>
      <x:c r="N1899" s="60" t="n">
        <x:v>-7.42</x:v>
      </x:c>
      <x:c r="O1899" s="60" t="n">
        <x:v>2.97</x:v>
      </x:c>
      <x:c r="P1899" s="60" t="n">
        <x:v>3.06</x:v>
      </x:c>
      <x:c r="Q1899" s="60" t="n">
        <x:v>91.1</x:v>
      </x:c>
      <x:c r="R1899" s="58" t="str">
        <x:v>X</x:v>
      </x:c>
      <x:c r="S1899" s="60" t="n">
        <x:v>100</x:v>
      </x:c>
      <x:c r="T1899" s="58" t="str">
        <x:v>IN TARGET BAND</x:v>
      </x:c>
      <x:c r="U1899" s="58" t="n">
        <x:v>3288</x:v>
      </x:c>
      <x:c r="V1899" s="58" t="str">
        <x:v>Pasted text(59).txt</x:v>
      </x:c>
    </x:row>
    <x:row r="1900">
      <x:c r="A1900" s="58" t="str">
        <x:v>S19</x:v>
      </x:c>
      <x:c r="B1900" s="58" t="str">
        <x:v>1.20 repeat-validation session at 268 Hz</x:v>
      </x:c>
      <x:c r="C1900" s="58" t="n">
        <x:v>1.2</x:v>
      </x:c>
      <x:c r="D1900" s="58" t="n">
        <x:v>5</x:v>
      </x:c>
      <x:c r="E1900" s="58" t="n">
        <x:v>1</x:v>
      </x:c>
      <x:c r="F1900" s="58" t="str">
        <x:v>FINE</x:v>
      </x:c>
      <x:c r="G1900" s="58" t="n">
        <x:v>1</x:v>
      </x:c>
      <x:c r="H1900" s="59" t="n">
        <x:v>10.25</x:v>
      </x:c>
      <x:c r="I1900" s="59" t="n">
        <x:v>1.01156</x:v>
      </x:c>
      <x:c r="J1900" s="59" t="n">
        <x:v>0.99504</x:v>
      </x:c>
      <x:c r="K1900" s="59" t="n">
        <x:v>0.36239</x:v>
      </x:c>
      <x:c r="L1900" s="59" t="n">
        <x:v>0.36156</x:v>
      </x:c>
      <x:c r="M1900" s="59" t="n">
        <x:v>1.11929</x:v>
      </x:c>
      <x:c r="N1900" s="60" t="n">
        <x:v>-15.7</x:v>
      </x:c>
      <x:c r="O1900" s="60" t="n">
        <x:v>1.6</x:v>
      </x:c>
      <x:c r="P1900" s="60" t="n">
        <x:v>3.87</x:v>
      </x:c>
      <x:c r="Q1900" s="60" t="n">
        <x:v>88.2</x:v>
      </x:c>
      <x:c r="R1900" s="58" t="str">
        <x:v>X</x:v>
      </x:c>
      <x:c r="S1900" s="60" t="n">
        <x:v>100</x:v>
      </x:c>
      <x:c r="T1900" s="58" t="str">
        <x:v>VALID</x:v>
      </x:c>
      <x:c r="U1900" s="58" t="n">
        <x:v>3292</x:v>
      </x:c>
      <x:c r="V1900" s="58" t="str">
        <x:v>Pasted text(59).txt</x:v>
      </x:c>
    </x:row>
    <x:row r="1901">
      <x:c r="A1901" s="58" t="str">
        <x:v>S19</x:v>
      </x:c>
      <x:c r="B1901" s="58" t="str">
        <x:v>1.20 repeat-validation session at 268 Hz</x:v>
      </x:c>
      <x:c r="C1901" s="58" t="n">
        <x:v>1.2</x:v>
      </x:c>
      <x:c r="D1901" s="58" t="n">
        <x:v>5</x:v>
      </x:c>
      <x:c r="E1901" s="58" t="n">
        <x:v>1</x:v>
      </x:c>
      <x:c r="F1901" s="58" t="str">
        <x:v>FINE</x:v>
      </x:c>
      <x:c r="G1901" s="58" t="n">
        <x:v>2</x:v>
      </x:c>
      <x:c r="H1901" s="59" t="n">
        <x:v>10.5</x:v>
      </x:c>
      <x:c r="I1901" s="59" t="n">
        <x:v>1.01146</x:v>
      </x:c>
      <x:c r="J1901" s="59" t="n">
        <x:v>0.99697</x:v>
      </x:c>
      <x:c r="K1901" s="59" t="n">
        <x:v>0.36274</x:v>
      </x:c>
      <x:c r="L1901" s="59" t="n">
        <x:v>0.36357</x:v>
      </x:c>
      <x:c r="M1901" s="59" t="n">
        <x:v>1.12161</x:v>
      </x:c>
      <x:c r="N1901" s="60" t="n">
        <x:v>-15.71</x:v>
      </x:c>
      <x:c r="O1901" s="60" t="n">
        <x:v>0.27</x:v>
      </x:c>
      <x:c r="P1901" s="60" t="n">
        <x:v>2.68</x:v>
      </x:c>
      <x:c r="Q1901" s="60" t="n">
        <x:v>89.3</x:v>
      </x:c>
      <x:c r="R1901" s="58" t="str">
        <x:v>X</x:v>
      </x:c>
      <x:c r="S1901" s="60" t="n">
        <x:v>100</x:v>
      </x:c>
      <x:c r="T1901" s="58" t="str">
        <x:v>VALID</x:v>
      </x:c>
      <x:c r="U1901" s="58" t="n">
        <x:v>3293</x:v>
      </x:c>
      <x:c r="V1901" s="58" t="str">
        <x:v>Pasted text(59).txt</x:v>
      </x:c>
    </x:row>
    <x:row r="1902">
      <x:c r="A1902" s="58" t="str">
        <x:v>S19</x:v>
      </x:c>
      <x:c r="B1902" s="58" t="str">
        <x:v>1.20 repeat-validation session at 268 Hz</x:v>
      </x:c>
      <x:c r="C1902" s="58" t="n">
        <x:v>1.2</x:v>
      </x:c>
      <x:c r="D1902" s="58" t="n">
        <x:v>5</x:v>
      </x:c>
      <x:c r="E1902" s="58" t="n">
        <x:v>1</x:v>
      </x:c>
      <x:c r="F1902" s="58" t="str">
        <x:v>FINE</x:v>
      </x:c>
      <x:c r="G1902" s="58" t="n">
        <x:v>3</x:v>
      </x:c>
      <x:c r="H1902" s="59" t="n">
        <x:v>10.75</x:v>
      </x:c>
      <x:c r="I1902" s="59" t="n">
        <x:v>1.05026</x:v>
      </x:c>
      <x:c r="J1902" s="59" t="n">
        <x:v>1.06194</x:v>
      </x:c>
      <x:c r="K1902" s="59" t="n">
        <x:v>0.39705</x:v>
      </x:c>
      <x:c r="L1902" s="59" t="n">
        <x:v>0.40415</x:v>
      </x:c>
      <x:c r="M1902" s="59" t="n">
        <x:v>1.20394</x:v>
      </x:c>
      <x:c r="N1902" s="60" t="n">
        <x:v>-12.48</x:v>
      </x:c>
      <x:c r="O1902" s="60" t="n">
        <x:v>0.58</x:v>
      </x:c>
      <x:c r="P1902" s="60" t="n">
        <x:v>2.25</x:v>
      </x:c>
      <x:c r="Q1902" s="60" t="n">
        <x:v>87.7</x:v>
      </x:c>
      <x:c r="R1902" s="58" t="str">
        <x:v>X</x:v>
      </x:c>
      <x:c r="S1902" s="60" t="n">
        <x:v>100</x:v>
      </x:c>
      <x:c r="T1902" s="58" t="str">
        <x:v>VALID</x:v>
      </x:c>
      <x:c r="U1902" s="58" t="n">
        <x:v>3294</x:v>
      </x:c>
      <x:c r="V1902" s="58" t="str">
        <x:v>Pasted text(59).txt</x:v>
      </x:c>
    </x:row>
    <x:row r="1903">
      <x:c r="A1903" s="58" t="str">
        <x:v>S19</x:v>
      </x:c>
      <x:c r="B1903" s="58" t="str">
        <x:v>1.20 repeat-validation session at 268 Hz</x:v>
      </x:c>
      <x:c r="C1903" s="58" t="n">
        <x:v>1.2</x:v>
      </x:c>
      <x:c r="D1903" s="58" t="n">
        <x:v>5</x:v>
      </x:c>
      <x:c r="E1903" s="58" t="n">
        <x:v>1</x:v>
      </x:c>
      <x:c r="F1903" s="58" t="str">
        <x:v>FINE</x:v>
      </x:c>
      <x:c r="G1903" s="58" t="n">
        <x:v>4</x:v>
      </x:c>
      <x:c r="H1903" s="59" t="n">
        <x:v>11</x:v>
      </x:c>
      <x:c r="I1903" s="59" t="n">
        <x:v>1.01115</x:v>
      </x:c>
      <x:c r="J1903" s="59" t="n">
        <x:v>1.02261</x:v>
      </x:c>
      <x:c r="K1903" s="59" t="n">
        <x:v>0.35985</x:v>
      </x:c>
      <x:c r="L1903" s="59" t="n">
        <x:v>0.40459</x:v>
      </x:c>
      <x:c r="M1903" s="59" t="n">
        <x:v>1.15727</x:v>
      </x:c>
      <x:c r="N1903" s="60" t="n">
        <x:v>-15.74</x:v>
      </x:c>
      <x:c r="O1903" s="60" t="n">
        <x:v>2.1</x:v>
      </x:c>
      <x:c r="P1903" s="60" t="n">
        <x:v>3.23</x:v>
      </x:c>
      <x:c r="Q1903" s="60" t="n">
        <x:v>88</x:v>
      </x:c>
      <x:c r="R1903" s="58" t="str">
        <x:v>X</x:v>
      </x:c>
      <x:c r="S1903" s="60" t="n">
        <x:v>100</x:v>
      </x:c>
      <x:c r="T1903" s="58" t="str">
        <x:v>VALID</x:v>
      </x:c>
      <x:c r="U1903" s="58" t="n">
        <x:v>3295</x:v>
      </x:c>
      <x:c r="V1903" s="58" t="str">
        <x:v>Pasted text(59).txt</x:v>
      </x:c>
    </x:row>
    <x:row r="1904">
      <x:c r="A1904" s="58" t="str">
        <x:v>S19</x:v>
      </x:c>
      <x:c r="B1904" s="58" t="str">
        <x:v>1.20 repeat-validation session at 268 Hz</x:v>
      </x:c>
      <x:c r="C1904" s="58" t="n">
        <x:v>1.2</x:v>
      </x:c>
      <x:c r="D1904" s="58" t="n">
        <x:v>5</x:v>
      </x:c>
      <x:c r="E1904" s="58" t="n">
        <x:v>1</x:v>
      </x:c>
      <x:c r="F1904" s="58" t="str">
        <x:v>FINE</x:v>
      </x:c>
      <x:c r="G1904" s="58" t="n">
        <x:v>5</x:v>
      </x:c>
      <x:c r="H1904" s="59" t="n">
        <x:v>11.25</x:v>
      </x:c>
      <x:c r="I1904" s="59" t="n">
        <x:v>0.99646</x:v>
      </x:c>
      <x:c r="J1904" s="59" t="n">
        <x:v>1.01229</x:v>
      </x:c>
      <x:c r="K1904" s="59" t="n">
        <x:v>0.36316</x:v>
      </x:c>
      <x:c r="L1904" s="59" t="n">
        <x:v>0.39702</x:v>
      </x:c>
      <x:c r="M1904" s="59" t="n">
        <x:v>1.14689</x:v>
      </x:c>
      <x:c r="N1904" s="60" t="n">
        <x:v>-16.96</x:v>
      </x:c>
      <x:c r="O1904" s="60" t="n">
        <x:v>1.79</x:v>
      </x:c>
      <x:c r="P1904" s="60" t="n">
        <x:v>3.78</x:v>
      </x:c>
      <x:c r="Q1904" s="60" t="n">
        <x:v>88.1</x:v>
      </x:c>
      <x:c r="R1904" s="58" t="str">
        <x:v>X</x:v>
      </x:c>
      <x:c r="S1904" s="60" t="n">
        <x:v>100</x:v>
      </x:c>
      <x:c r="T1904" s="58" t="str">
        <x:v>VALID</x:v>
      </x:c>
      <x:c r="U1904" s="58" t="n">
        <x:v>3296</x:v>
      </x:c>
      <x:c r="V1904" s="58" t="str">
        <x:v>Pasted text(59).txt</x:v>
      </x:c>
    </x:row>
    <x:row r="1905">
      <x:c r="A1905" s="58" t="str">
        <x:v>S19</x:v>
      </x:c>
      <x:c r="B1905" s="58" t="str">
        <x:v>1.20 repeat-validation session at 268 Hz</x:v>
      </x:c>
      <x:c r="C1905" s="58" t="n">
        <x:v>1.2</x:v>
      </x:c>
      <x:c r="D1905" s="58" t="n">
        <x:v>5</x:v>
      </x:c>
      <x:c r="E1905" s="58" t="n">
        <x:v>1</x:v>
      </x:c>
      <x:c r="F1905" s="58" t="str">
        <x:v>FINE</x:v>
      </x:c>
      <x:c r="G1905" s="58" t="n">
        <x:v>6</x:v>
      </x:c>
      <x:c r="H1905" s="59" t="n">
        <x:v>11.5</x:v>
      </x:c>
      <x:c r="I1905" s="59" t="n">
        <x:v>1.07986</x:v>
      </x:c>
      <x:c r="J1905" s="59" t="n">
        <x:v>1.07319</x:v>
      </x:c>
      <x:c r="K1905" s="59" t="n">
        <x:v>0.35429</x:v>
      </x:c>
      <x:c r="L1905" s="59" t="n">
        <x:v>0.43951</x:v>
      </x:c>
      <x:c r="M1905" s="59" t="n">
        <x:v>1.21287</x:v>
      </x:c>
      <x:c r="N1905" s="60" t="n">
        <x:v>-10.01</x:v>
      </x:c>
      <x:c r="O1905" s="60" t="n">
        <x:v>1.49</x:v>
      </x:c>
      <x:c r="P1905" s="60" t="n">
        <x:v>2.01</x:v>
      </x:c>
      <x:c r="Q1905" s="60" t="n">
        <x:v>90.6</x:v>
      </x:c>
      <x:c r="R1905" s="58" t="str">
        <x:v>X</x:v>
      </x:c>
      <x:c r="S1905" s="60" t="n">
        <x:v>100</x:v>
      </x:c>
      <x:c r="T1905" s="58" t="str">
        <x:v>VALID</x:v>
      </x:c>
      <x:c r="U1905" s="58" t="n">
        <x:v>3297</x:v>
      </x:c>
      <x:c r="V1905" s="58" t="str">
        <x:v>Pasted text(59).txt</x:v>
      </x:c>
    </x:row>
    <x:row r="1906">
      <x:c r="A1906" s="58" t="str">
        <x:v>S19</x:v>
      </x:c>
      <x:c r="B1906" s="58" t="str">
        <x:v>1.20 repeat-validation session at 268 Hz</x:v>
      </x:c>
      <x:c r="C1906" s="58" t="n">
        <x:v>1.2</x:v>
      </x:c>
      <x:c r="D1906" s="58" t="n">
        <x:v>5</x:v>
      </x:c>
      <x:c r="E1906" s="58" t="n">
        <x:v>1</x:v>
      </x:c>
      <x:c r="F1906" s="58" t="str">
        <x:v>FINE</x:v>
      </x:c>
      <x:c r="G1906" s="58" t="n">
        <x:v>7</x:v>
      </x:c>
      <x:c r="H1906" s="59" t="n">
        <x:v>11.75</x:v>
      </x:c>
      <x:c r="I1906" s="59" t="n">
        <x:v>1.13005</x:v>
      </x:c>
      <x:c r="J1906" s="59" t="n">
        <x:v>1.13002</x:v>
      </x:c>
      <x:c r="K1906" s="59" t="n">
        <x:v>0.38238</x:v>
      </x:c>
      <x:c r="L1906" s="59" t="n">
        <x:v>0.45294</x:v>
      </x:c>
      <x:c r="M1906" s="59" t="n">
        <x:v>1.27611</x:v>
      </x:c>
      <x:c r="N1906" s="60" t="n">
        <x:v>-5.83</x:v>
      </x:c>
      <x:c r="O1906" s="60" t="n">
        <x:v>0.05</x:v>
      </x:c>
      <x:c r="P1906" s="60" t="n">
        <x:v>0.04</x:v>
      </x:c>
      <x:c r="Q1906" s="60" t="n">
        <x:v>89.8</x:v>
      </x:c>
      <x:c r="R1906" s="58" t="str">
        <x:v>X</x:v>
      </x:c>
      <x:c r="S1906" s="60" t="n">
        <x:v>100</x:v>
      </x:c>
      <x:c r="T1906" s="58" t="str">
        <x:v>IN TARGET BAND</x:v>
      </x:c>
      <x:c r="U1906" s="58" t="n">
        <x:v>3298</x:v>
      </x:c>
      <x:c r="V1906" s="58" t="str">
        <x:v>Pasted text(59).txt</x:v>
      </x:c>
    </x:row>
    <x:row r="1907">
      <x:c r="A1907" s="58" t="str">
        <x:v>S19</x:v>
      </x:c>
      <x:c r="B1907" s="58" t="str">
        <x:v>1.20 repeat-validation session at 268 Hz</x:v>
      </x:c>
      <x:c r="C1907" s="58" t="n">
        <x:v>1.2</x:v>
      </x:c>
      <x:c r="D1907" s="58" t="n">
        <x:v>5</x:v>
      </x:c>
      <x:c r="E1907" s="58" t="n">
        <x:v>1</x:v>
      </x:c>
      <x:c r="F1907" s="58" t="str">
        <x:v>FINE</x:v>
      </x:c>
      <x:c r="G1907" s="58" t="n">
        <x:v>8</x:v>
      </x:c>
      <x:c r="H1907" s="59" t="n">
        <x:v>12</x:v>
      </x:c>
      <x:c r="I1907" s="59" t="n">
        <x:v>1.138</x:v>
      </x:c>
      <x:c r="J1907" s="59" t="n">
        <x:v>1.13204</x:v>
      </x:c>
      <x:c r="K1907" s="59" t="n">
        <x:v>0.39612</x:v>
      </x:c>
      <x:c r="L1907" s="59" t="n">
        <x:v>0.46287</x:v>
      </x:c>
      <x:c r="M1907" s="59" t="n">
        <x:v>1.28568</x:v>
      </x:c>
      <x:c r="N1907" s="60" t="n">
        <x:v>-5.17</x:v>
      </x:c>
      <x:c r="O1907" s="60" t="n">
        <x:v>0.98</x:v>
      </x:c>
      <x:c r="P1907" s="60" t="n">
        <x:v>1.52</x:v>
      </x:c>
      <x:c r="Q1907" s="60" t="n">
        <x:v>89.2</x:v>
      </x:c>
      <x:c r="R1907" s="58" t="str">
        <x:v>X</x:v>
      </x:c>
      <x:c r="S1907" s="60" t="n">
        <x:v>100</x:v>
      </x:c>
      <x:c r="T1907" s="58" t="str">
        <x:v>IN TARGET BAND</x:v>
      </x:c>
      <x:c r="U1907" s="58" t="n">
        <x:v>3299</x:v>
      </x:c>
      <x:c r="V1907" s="58" t="str">
        <x:v>Pasted text(59).txt</x:v>
      </x:c>
    </x:row>
    <x:row r="1908">
      <x:c r="A1908" s="58" t="str">
        <x:v>S19</x:v>
      </x:c>
      <x:c r="B1908" s="58" t="str">
        <x:v>1.20 repeat-validation session at 268 Hz</x:v>
      </x:c>
      <x:c r="C1908" s="58" t="n">
        <x:v>1.2</x:v>
      </x:c>
      <x:c r="D1908" s="58" t="n">
        <x:v>5</x:v>
      </x:c>
      <x:c r="E1908" s="58" t="n">
        <x:v>1</x:v>
      </x:c>
      <x:c r="F1908" s="58" t="str">
        <x:v>FINE</x:v>
      </x:c>
      <x:c r="G1908" s="58" t="n">
        <x:v>9</x:v>
      </x:c>
      <x:c r="H1908" s="59" t="n">
        <x:v>12.25</x:v>
      </x:c>
      <x:c r="I1908" s="59" t="n">
        <x:v>1.17403</x:v>
      </x:c>
      <x:c r="J1908" s="59" t="n">
        <x:v>1.17485</x:v>
      </x:c>
      <x:c r="K1908" s="59" t="n">
        <x:v>0.39881</x:v>
      </x:c>
      <x:c r="L1908" s="59" t="n">
        <x:v>0.44866</x:v>
      </x:c>
      <x:c r="M1908" s="59" t="n">
        <x:v>1.31975</x:v>
      </x:c>
      <x:c r="N1908" s="60" t="n">
        <x:v>-2.16</x:v>
      </x:c>
      <x:c r="O1908" s="60" t="n">
        <x:v>0.41</x:v>
      </x:c>
      <x:c r="P1908" s="60" t="n">
        <x:v>0.38</x:v>
      </x:c>
      <x:c r="Q1908" s="60" t="n">
        <x:v>90.6</x:v>
      </x:c>
      <x:c r="R1908" s="58" t="str">
        <x:v>X</x:v>
      </x:c>
      <x:c r="S1908" s="60" t="n">
        <x:v>100</x:v>
      </x:c>
      <x:c r="T1908" s="58" t="str">
        <x:v>IN TARGET BAND</x:v>
      </x:c>
      <x:c r="U1908" s="58" t="n">
        <x:v>3300</x:v>
      </x:c>
      <x:c r="V1908" s="58" t="str">
        <x:v>Pasted text(59).txt</x:v>
      </x:c>
    </x:row>
    <x:row r="1909">
      <x:c r="A1909" s="58" t="str">
        <x:v>S19</x:v>
      </x:c>
      <x:c r="B1909" s="58" t="str">
        <x:v>1.20 repeat-validation session at 268 Hz</x:v>
      </x:c>
      <x:c r="C1909" s="58" t="n">
        <x:v>1.2</x:v>
      </x:c>
      <x:c r="D1909" s="58" t="n">
        <x:v>5</x:v>
      </x:c>
      <x:c r="E1909" s="58" t="n">
        <x:v>1</x:v>
      </x:c>
      <x:c r="F1909" s="58" t="str">
        <x:v>FINAL</x:v>
      </x:c>
      <x:c r="G1909" s="58" t="n">
        <x:v>1</x:v>
      </x:c>
      <x:c r="H1909" s="59" t="n">
        <x:v>12.25</x:v>
      </x:c>
      <x:c r="I1909" s="59" t="n">
        <x:v>1.18671</x:v>
      </x:c>
      <x:c r="J1909" s="59" t="n">
        <x:v>1.17549</x:v>
      </x:c>
      <x:c r="K1909" s="59" t="n">
        <x:v>0.41454</x:v>
      </x:c>
      <x:c r="L1909" s="59" t="n">
        <x:v>0.4677</x:v>
      </x:c>
      <x:c r="M1909" s="59" t="n">
        <x:v>1.33147</x:v>
      </x:c>
      <x:c r="N1909" s="60" t="n">
        <x:v>-1.11</x:v>
      </x:c>
      <x:c r="O1909" s="60" t="n">
        <x:v>1.74</x:v>
      </x:c>
      <x:c r="P1909" s="60" t="n">
        <x:v>2.28</x:v>
      </x:c>
      <x:c r="Q1909" s="60" t="n">
        <x:v>90.9</x:v>
      </x:c>
      <x:c r="R1909" s="58" t="str">
        <x:v>X</x:v>
      </x:c>
      <x:c r="S1909" s="60" t="n">
        <x:v>100</x:v>
      </x:c>
      <x:c r="T1909" s="58" t="str">
        <x:v>IN TARGET BAND</x:v>
      </x:c>
      <x:c r="U1909" s="58" t="n">
        <x:v>3303</x:v>
      </x:c>
      <x:c r="V1909" s="58" t="str">
        <x:v>Pasted text(59).txt</x:v>
      </x:c>
    </x:row>
    <x:row r="1910">
      <x:c r="A1910" s="58" t="str">
        <x:v>S19</x:v>
      </x:c>
      <x:c r="B1910" s="58" t="str">
        <x:v>1.20 repeat-validation session at 268 Hz</x:v>
      </x:c>
      <x:c r="C1910" s="58" t="n">
        <x:v>1.2</x:v>
      </x:c>
      <x:c r="D1910" s="58" t="n">
        <x:v>5</x:v>
      </x:c>
      <x:c r="E1910" s="58" t="n">
        <x:v>1</x:v>
      </x:c>
      <x:c r="F1910" s="58" t="str">
        <x:v>FINAL</x:v>
      </x:c>
      <x:c r="G1910" s="58" t="n">
        <x:v>2</x:v>
      </x:c>
      <x:c r="H1910" s="59" t="n">
        <x:v>12.25</x:v>
      </x:c>
      <x:c r="I1910" s="59" t="n">
        <x:v>1.16279</x:v>
      </x:c>
      <x:c r="J1910" s="59" t="n">
        <x:v>1.16716</x:v>
      </x:c>
      <x:c r="K1910" s="59" t="n">
        <x:v>0.41787</x:v>
      </x:c>
      <x:c r="L1910" s="59" t="n">
        <x:v>0.46826</x:v>
      </x:c>
      <x:c r="M1910" s="59" t="n">
        <x:v>1.32543</x:v>
      </x:c>
      <x:c r="N1910" s="60" t="n">
        <x:v>-3.1</x:v>
      </x:c>
      <x:c r="O1910" s="60" t="n">
        <x:v>2.85</x:v>
      </x:c>
      <x:c r="P1910" s="60" t="n">
        <x:v>1.96</x:v>
      </x:c>
      <x:c r="Q1910" s="60" t="n">
        <x:v>90.7</x:v>
      </x:c>
      <x:c r="R1910" s="58" t="str">
        <x:v>X</x:v>
      </x:c>
      <x:c r="S1910" s="60" t="n">
        <x:v>100</x:v>
      </x:c>
      <x:c r="T1910" s="58" t="str">
        <x:v>IN TARGET BAND</x:v>
      </x:c>
      <x:c r="U1910" s="58" t="n">
        <x:v>3304</x:v>
      </x:c>
      <x:c r="V1910" s="58" t="str">
        <x:v>Pasted text(59).txt</x:v>
      </x:c>
    </x:row>
    <x:row r="1911">
      <x:c r="A1911" s="58" t="str">
        <x:v>S20</x:v>
      </x:c>
      <x:c r="B1911" s="58" t="str">
        <x:v>0.65 repeat-validation session at 268 Hz</x:v>
      </x:c>
      <x:c r="C1911" s="58" t="n">
        <x:v>0.65</x:v>
      </x:c>
      <x:c r="D1911" s="58" t="n">
        <x:v>1</x:v>
      </x:c>
      <x:c r="E1911" s="58" t="n">
        <x:v>1</x:v>
      </x:c>
      <x:c r="F1911" s="58" t="str">
        <x:v>SEARCH</x:v>
      </x:c>
      <x:c r="G1911" s="58" t="n">
        <x:v>1</x:v>
      </x:c>
      <x:c r="H1911" s="59" t="n">
        <x:v>1</x:v>
      </x:c>
      <x:c r="I1911" s="59" t="n">
        <x:v>0.03422</x:v>
      </x:c>
      <x:c r="J1911" s="59" t="n">
        <x:v>0.0364</x:v>
      </x:c>
      <x:c r="K1911" s="59" t="n">
        <x:v>0.02003</x:v>
      </x:c>
      <x:c r="L1911" s="59" t="n">
        <x:v>0.02808</x:v>
      </x:c>
      <x:c r="M1911" s="59" t="n">
        <x:v>0.05144</x:v>
      </x:c>
      <x:c r="N1911" s="60" t="n">
        <x:v>-94.74</x:v>
      </x:c>
      <x:c r="O1911" s="60" t="n">
        <x:v>2.03</x:v>
      </x:c>
      <x:c r="P1911" s="60" t="n">
        <x:v>11.48</x:v>
      </x:c>
      <x:c r="Q1911" s="60" t="n">
        <x:v>12.3</x:v>
      </x:c>
      <x:c r="R1911" s="58" t="str">
        <x:v>X</x:v>
      </x:c>
      <x:c r="S1911" s="60" t="n">
        <x:v>100</x:v>
      </x:c>
      <x:c r="T1911" s="58" t="str">
        <x:v>BELOW MEASUREMENT FLOOR — SEARCH CONTINUES</x:v>
      </x:c>
      <x:c r="U1911" s="58" t="n">
        <x:v>3399</x:v>
      </x:c>
      <x:c r="V1911" s="58" t="str">
        <x:v>Pasted text(59).txt</x:v>
      </x:c>
    </x:row>
    <x:row r="1912">
      <x:c r="A1912" s="58" t="str">
        <x:v>S20</x:v>
      </x:c>
      <x:c r="B1912" s="58" t="str">
        <x:v>0.65 repeat-validation session at 268 Hz</x:v>
      </x:c>
      <x:c r="C1912" s="58" t="n">
        <x:v>0.65</x:v>
      </x:c>
      <x:c r="D1912" s="58" t="n">
        <x:v>1</x:v>
      </x:c>
      <x:c r="E1912" s="58" t="n">
        <x:v>1</x:v>
      </x:c>
      <x:c r="F1912" s="58" t="str">
        <x:v>SEARCH</x:v>
      </x:c>
      <x:c r="G1912" s="58" t="n">
        <x:v>2</x:v>
      </x:c>
      <x:c r="H1912" s="59" t="n">
        <x:v>3</x:v>
      </x:c>
      <x:c r="I1912" s="59" t="n">
        <x:v>0.18229</x:v>
      </x:c>
      <x:c r="J1912" s="59" t="n">
        <x:v>0.18965</x:v>
      </x:c>
      <x:c r="K1912" s="59" t="n">
        <x:v>0.06296</x:v>
      </x:c>
      <x:c r="L1912" s="59" t="n">
        <x:v>0.10016</x:v>
      </x:c>
      <x:c r="M1912" s="59" t="n">
        <x:v>0.22423</x:v>
      </x:c>
      <x:c r="N1912" s="60" t="n">
        <x:v>-71.96</x:v>
      </x:c>
      <x:c r="O1912" s="60" t="n">
        <x:v>6.76</x:v>
      </x:c>
      <x:c r="P1912" s="60" t="n">
        <x:v>10.74</x:v>
      </x:c>
      <x:c r="Q1912" s="60" t="n">
        <x:v>41.8</x:v>
      </x:c>
      <x:c r="R1912" s="58" t="str">
        <x:v>X</x:v>
      </x:c>
      <x:c r="S1912" s="60" t="n">
        <x:v>100</x:v>
      </x:c>
      <x:c r="T1912" s="58" t="str">
        <x:v>UNSTABLE — SEARCH CONTINUES</x:v>
      </x:c>
      <x:c r="U1912" s="58" t="n">
        <x:v>3400</x:v>
      </x:c>
      <x:c r="V1912" s="58" t="str">
        <x:v>Pasted text(59).txt</x:v>
      </x:c>
    </x:row>
    <x:row r="1913">
      <x:c r="A1913" s="58" t="str">
        <x:v>S20</x:v>
      </x:c>
      <x:c r="B1913" s="58" t="str">
        <x:v>0.65 repeat-validation session at 268 Hz</x:v>
      </x:c>
      <x:c r="C1913" s="58" t="n">
        <x:v>0.65</x:v>
      </x:c>
      <x:c r="D1913" s="58" t="n">
        <x:v>1</x:v>
      </x:c>
      <x:c r="E1913" s="58" t="n">
        <x:v>1</x:v>
      </x:c>
      <x:c r="F1913" s="58" t="str">
        <x:v>SEARCH</x:v>
      </x:c>
      <x:c r="G1913" s="58" t="n">
        <x:v>3</x:v>
      </x:c>
      <x:c r="H1913" s="59" t="n">
        <x:v>4</x:v>
      </x:c>
      <x:c r="I1913" s="59" t="n">
        <x:v>0.28095</x:v>
      </x:c>
      <x:c r="J1913" s="59" t="n">
        <x:v>0.27272</x:v>
      </x:c>
      <x:c r="K1913" s="59" t="n">
        <x:v>0.08595</x:v>
      </x:c>
      <x:c r="L1913" s="59" t="n">
        <x:v>0.15688</x:v>
      </x:c>
      <x:c r="M1913" s="59" t="n">
        <x:v>0.32669</x:v>
      </x:c>
      <x:c r="N1913" s="60" t="n">
        <x:v>-56.78</x:v>
      </x:c>
      <x:c r="O1913" s="60" t="n">
        <x:v>0.95</x:v>
      </x:c>
      <x:c r="P1913" s="60" t="n">
        <x:v>5.81</x:v>
      </x:c>
      <x:c r="Q1913" s="60" t="n">
        <x:v>55.3</x:v>
      </x:c>
      <x:c r="R1913" s="58" t="str">
        <x:v>X</x:v>
      </x:c>
      <x:c r="S1913" s="60" t="n">
        <x:v>100</x:v>
      </x:c>
      <x:c r="T1913" s="58" t="str">
        <x:v>VALID</x:v>
      </x:c>
      <x:c r="U1913" s="58" t="n">
        <x:v>3401</x:v>
      </x:c>
      <x:c r="V1913" s="58" t="str">
        <x:v>Pasted text(59).txt</x:v>
      </x:c>
    </x:row>
    <x:row r="1914">
      <x:c r="A1914" s="58" t="str">
        <x:v>S20</x:v>
      </x:c>
      <x:c r="B1914" s="58" t="str">
        <x:v>0.65 repeat-validation session at 268 Hz</x:v>
      </x:c>
      <x:c r="C1914" s="58" t="n">
        <x:v>0.65</x:v>
      </x:c>
      <x:c r="D1914" s="58" t="n">
        <x:v>1</x:v>
      </x:c>
      <x:c r="E1914" s="58" t="n">
        <x:v>1</x:v>
      </x:c>
      <x:c r="F1914" s="58" t="str">
        <x:v>SEARCH</x:v>
      </x:c>
      <x:c r="G1914" s="58" t="n">
        <x:v>4</x:v>
      </x:c>
      <x:c r="H1914" s="59" t="n">
        <x:v>5</x:v>
      </x:c>
      <x:c r="I1914" s="59" t="n">
        <x:v>0.35345</x:v>
      </x:c>
      <x:c r="J1914" s="59" t="n">
        <x:v>0.35332</x:v>
      </x:c>
      <x:c r="K1914" s="59" t="n">
        <x:v>0.11288</x:v>
      </x:c>
      <x:c r="L1914" s="59" t="n">
        <x:v>0.21698</x:v>
      </x:c>
      <x:c r="M1914" s="59" t="n">
        <x:v>0.4303</x:v>
      </x:c>
      <x:c r="N1914" s="60" t="n">
        <x:v>-45.62</x:v>
      </x:c>
      <x:c r="O1914" s="60" t="n">
        <x:v>4.1</x:v>
      </x:c>
      <x:c r="P1914" s="60" t="n">
        <x:v>2.83</x:v>
      </x:c>
      <x:c r="Q1914" s="60" t="n">
        <x:v>64.4</x:v>
      </x:c>
      <x:c r="R1914" s="58" t="str">
        <x:v>X</x:v>
      </x:c>
      <x:c r="S1914" s="60" t="n">
        <x:v>100</x:v>
      </x:c>
      <x:c r="T1914" s="58" t="str">
        <x:v>VALID</x:v>
      </x:c>
      <x:c r="U1914" s="58" t="n">
        <x:v>3402</x:v>
      </x:c>
      <x:c r="V1914" s="58" t="str">
        <x:v>Pasted text(59).txt</x:v>
      </x:c>
    </x:row>
    <x:row r="1915">
      <x:c r="A1915" s="58" t="str">
        <x:v>S20</x:v>
      </x:c>
      <x:c r="B1915" s="58" t="str">
        <x:v>0.65 repeat-validation session at 268 Hz</x:v>
      </x:c>
      <x:c r="C1915" s="58" t="n">
        <x:v>0.65</x:v>
      </x:c>
      <x:c r="D1915" s="58" t="n">
        <x:v>1</x:v>
      </x:c>
      <x:c r="E1915" s="58" t="n">
        <x:v>1</x:v>
      </x:c>
      <x:c r="F1915" s="58" t="str">
        <x:v>SEARCH</x:v>
      </x:c>
      <x:c r="G1915" s="58" t="n">
        <x:v>5</x:v>
      </x:c>
      <x:c r="H1915" s="59" t="n">
        <x:v>6</x:v>
      </x:c>
      <x:c r="I1915" s="59" t="n">
        <x:v>0.47047</x:v>
      </x:c>
      <x:c r="J1915" s="59" t="n">
        <x:v>0.47889</x:v>
      </x:c>
      <x:c r="K1915" s="59" t="n">
        <x:v>0.16066</x:v>
      </x:c>
      <x:c r="L1915" s="59" t="n">
        <x:v>0.25042</x:v>
      </x:c>
      <x:c r="M1915" s="59" t="n">
        <x:v>0.5643</x:v>
      </x:c>
      <x:c r="N1915" s="60" t="n">
        <x:v>-27.62</x:v>
      </x:c>
      <x:c r="O1915" s="60" t="n">
        <x:v>1.7</x:v>
      </x:c>
      <x:c r="P1915" s="60" t="n">
        <x:v>4.06</x:v>
      </x:c>
      <x:c r="Q1915" s="60" t="n">
        <x:v>74.6</x:v>
      </x:c>
      <x:c r="R1915" s="58" t="str">
        <x:v>X</x:v>
      </x:c>
      <x:c r="S1915" s="60" t="n">
        <x:v>100</x:v>
      </x:c>
      <x:c r="T1915" s="58" t="str">
        <x:v>VALID</x:v>
      </x:c>
      <x:c r="U1915" s="58" t="n">
        <x:v>3403</x:v>
      </x:c>
      <x:c r="V1915" s="58" t="str">
        <x:v>Pasted text(59).txt</x:v>
      </x:c>
    </x:row>
    <x:row r="1916">
      <x:c r="A1916" s="58" t="str">
        <x:v>S20</x:v>
      </x:c>
      <x:c r="B1916" s="58" t="str">
        <x:v>0.65 repeat-validation session at 268 Hz</x:v>
      </x:c>
      <x:c r="C1916" s="58" t="n">
        <x:v>0.65</x:v>
      </x:c>
      <x:c r="D1916" s="58" t="n">
        <x:v>1</x:v>
      </x:c>
      <x:c r="E1916" s="58" t="n">
        <x:v>1</x:v>
      </x:c>
      <x:c r="F1916" s="58" t="str">
        <x:v>SEARCH</x:v>
      </x:c>
      <x:c r="G1916" s="58" t="n">
        <x:v>6</x:v>
      </x:c>
      <x:c r="H1916" s="59" t="n">
        <x:v>6.5</x:v>
      </x:c>
      <x:c r="I1916" s="59" t="n">
        <x:v>0.50189</x:v>
      </x:c>
      <x:c r="J1916" s="59" t="n">
        <x:v>0.50148</x:v>
      </x:c>
      <x:c r="K1916" s="59" t="n">
        <x:v>0.1536</x:v>
      </x:c>
      <x:c r="L1916" s="59" t="n">
        <x:v>0.28108</x:v>
      </x:c>
      <x:c r="M1916" s="59" t="n">
        <x:v>0.59566</x:v>
      </x:c>
      <x:c r="N1916" s="60" t="n">
        <x:v>-22.79</x:v>
      </x:c>
      <x:c r="O1916" s="60" t="n">
        <x:v>0.65</x:v>
      </x:c>
      <x:c r="P1916" s="60" t="n">
        <x:v>0.56</x:v>
      </x:c>
      <x:c r="Q1916" s="60" t="n">
        <x:v>79.4</x:v>
      </x:c>
      <x:c r="R1916" s="58" t="str">
        <x:v>X</x:v>
      </x:c>
      <x:c r="S1916" s="60" t="n">
        <x:v>100</x:v>
      </x:c>
      <x:c r="T1916" s="58" t="str">
        <x:v>VALID</x:v>
      </x:c>
      <x:c r="U1916" s="58" t="n">
        <x:v>3404</x:v>
      </x:c>
      <x:c r="V1916" s="58" t="str">
        <x:v>Pasted text(59).txt</x:v>
      </x:c>
    </x:row>
    <x:row r="1917">
      <x:c r="A1917" s="58" t="str">
        <x:v>S20</x:v>
      </x:c>
      <x:c r="B1917" s="58" t="str">
        <x:v>0.65 repeat-validation session at 268 Hz</x:v>
      </x:c>
      <x:c r="C1917" s="58" t="n">
        <x:v>0.65</x:v>
      </x:c>
      <x:c r="D1917" s="58" t="n">
        <x:v>1</x:v>
      </x:c>
      <x:c r="E1917" s="58" t="n">
        <x:v>1</x:v>
      </x:c>
      <x:c r="F1917" s="58" t="str">
        <x:v>SEARCH</x:v>
      </x:c>
      <x:c r="G1917" s="58" t="n">
        <x:v>7</x:v>
      </x:c>
      <x:c r="H1917" s="59" t="n">
        <x:v>7</x:v>
      </x:c>
      <x:c r="I1917" s="59" t="n">
        <x:v>0.56845</x:v>
      </x:c>
      <x:c r="J1917" s="59" t="n">
        <x:v>0.56768</x:v>
      </x:c>
      <x:c r="K1917" s="59" t="n">
        <x:v>0.1832</x:v>
      </x:c>
      <x:c r="L1917" s="59" t="n">
        <x:v>0.28843</x:v>
      </x:c>
      <x:c r="M1917" s="59" t="n">
        <x:v>0.66272</x:v>
      </x:c>
      <x:c r="N1917" s="60" t="n">
        <x:v>-12.55</x:v>
      </x:c>
      <x:c r="O1917" s="60" t="n">
        <x:v>0.3</x:v>
      </x:c>
      <x:c r="P1917" s="60" t="n">
        <x:v>0.43</x:v>
      </x:c>
      <x:c r="Q1917" s="60" t="n">
        <x:v>79.2</x:v>
      </x:c>
      <x:c r="R1917" s="58" t="str">
        <x:v>X</x:v>
      </x:c>
      <x:c r="S1917" s="60" t="n">
        <x:v>100</x:v>
      </x:c>
      <x:c r="T1917" s="58" t="str">
        <x:v>VALID</x:v>
      </x:c>
      <x:c r="U1917" s="58" t="n">
        <x:v>3405</x:v>
      </x:c>
      <x:c r="V1917" s="58" t="str">
        <x:v>Pasted text(59).txt</x:v>
      </x:c>
    </x:row>
    <x:row r="1918">
      <x:c r="A1918" s="58" t="str">
        <x:v>S20</x:v>
      </x:c>
      <x:c r="B1918" s="58" t="str">
        <x:v>0.65 repeat-validation session at 268 Hz</x:v>
      </x:c>
      <x:c r="C1918" s="58" t="n">
        <x:v>0.65</x:v>
      </x:c>
      <x:c r="D1918" s="58" t="n">
        <x:v>1</x:v>
      </x:c>
      <x:c r="E1918" s="58" t="n">
        <x:v>1</x:v>
      </x:c>
      <x:c r="F1918" s="58" t="str">
        <x:v>SEARCH</x:v>
      </x:c>
      <x:c r="G1918" s="58" t="n">
        <x:v>8</x:v>
      </x:c>
      <x:c r="H1918" s="59" t="n">
        <x:v>7.25</x:v>
      </x:c>
      <x:c r="I1918" s="59" t="n">
        <x:v>0.59504</x:v>
      </x:c>
      <x:c r="J1918" s="59" t="n">
        <x:v>0.5919</x:v>
      </x:c>
      <x:c r="K1918" s="59" t="n">
        <x:v>0.20508</x:v>
      </x:c>
      <x:c r="L1918" s="59" t="n">
        <x:v>0.31012</x:v>
      </x:c>
      <x:c r="M1918" s="59" t="n">
        <x:v>0.69944</x:v>
      </x:c>
      <x:c r="N1918" s="60" t="n">
        <x:v>-8.45</x:v>
      </x:c>
      <x:c r="O1918" s="60" t="n">
        <x:v>0.02</x:v>
      </x:c>
      <x:c r="P1918" s="60" t="n">
        <x:v>0.93</x:v>
      </x:c>
      <x:c r="Q1918" s="60" t="n">
        <x:v>82</x:v>
      </x:c>
      <x:c r="R1918" s="58" t="str">
        <x:v>X</x:v>
      </x:c>
      <x:c r="S1918" s="60" t="n">
        <x:v>100</x:v>
      </x:c>
      <x:c r="T1918" s="58" t="str">
        <x:v>VALID</x:v>
      </x:c>
      <x:c r="U1918" s="58" t="n">
        <x:v>3406</x:v>
      </x:c>
      <x:c r="V1918" s="58" t="str">
        <x:v>Pasted text(59).txt</x:v>
      </x:c>
    </x:row>
    <x:row r="1919">
      <x:c r="A1919" s="58" t="str">
        <x:v>S20</x:v>
      </x:c>
      <x:c r="B1919" s="58" t="str">
        <x:v>0.65 repeat-validation session at 268 Hz</x:v>
      </x:c>
      <x:c r="C1919" s="58" t="n">
        <x:v>0.65</x:v>
      </x:c>
      <x:c r="D1919" s="58" t="n">
        <x:v>1</x:v>
      </x:c>
      <x:c r="E1919" s="58" t="n">
        <x:v>1</x:v>
      </x:c>
      <x:c r="F1919" s="58" t="str">
        <x:v>SEARCH</x:v>
      </x:c>
      <x:c r="G1919" s="58" t="n">
        <x:v>9</x:v>
      </x:c>
      <x:c r="H1919" s="59" t="n">
        <x:v>7.5</x:v>
      </x:c>
      <x:c r="I1919" s="59" t="n">
        <x:v>0.62129</x:v>
      </x:c>
      <x:c r="J1919" s="59" t="n">
        <x:v>0.62103</x:v>
      </x:c>
      <x:c r="K1919" s="59" t="n">
        <x:v>0.17644</x:v>
      </x:c>
      <x:c r="L1919" s="59" t="n">
        <x:v>0.32055</x:v>
      </x:c>
      <x:c r="M1919" s="59" t="n">
        <x:v>0.72118</x:v>
      </x:c>
      <x:c r="N1919" s="60" t="n">
        <x:v>-4.42</x:v>
      </x:c>
      <x:c r="O1919" s="60" t="n">
        <x:v>1</x:v>
      </x:c>
      <x:c r="P1919" s="60" t="n">
        <x:v>0.74</x:v>
      </x:c>
      <x:c r="Q1919" s="60" t="n">
        <x:v>84.8</x:v>
      </x:c>
      <x:c r="R1919" s="58" t="str">
        <x:v>X</x:v>
      </x:c>
      <x:c r="S1919" s="60" t="n">
        <x:v>100</x:v>
      </x:c>
      <x:c r="T1919" s="58" t="str">
        <x:v>IN TARGET BAND</x:v>
      </x:c>
      <x:c r="U1919" s="58" t="n">
        <x:v>3407</x:v>
      </x:c>
      <x:c r="V1919" s="58" t="str">
        <x:v>Pasted text(59).txt</x:v>
      </x:c>
    </x:row>
    <x:row r="1920">
      <x:c r="A1920" s="58" t="str">
        <x:v>S20</x:v>
      </x:c>
      <x:c r="B1920" s="58" t="str">
        <x:v>0.65 repeat-validation session at 268 Hz</x:v>
      </x:c>
      <x:c r="C1920" s="58" t="n">
        <x:v>0.65</x:v>
      </x:c>
      <x:c r="D1920" s="58" t="n">
        <x:v>1</x:v>
      </x:c>
      <x:c r="E1920" s="58" t="n">
        <x:v>1</x:v>
      </x:c>
      <x:c r="F1920" s="58" t="str">
        <x:v>FINE</x:v>
      </x:c>
      <x:c r="G1920" s="58" t="n">
        <x:v>1</x:v>
      </x:c>
      <x:c r="H1920" s="59" t="n">
        <x:v>6.5</x:v>
      </x:c>
      <x:c r="I1920" s="59" t="n">
        <x:v>0.4955</x:v>
      </x:c>
      <x:c r="J1920" s="59" t="n">
        <x:v>0.49601</x:v>
      </x:c>
      <x:c r="K1920" s="59" t="n">
        <x:v>0.14426</x:v>
      </x:c>
      <x:c r="L1920" s="59" t="n">
        <x:v>0.27187</x:v>
      </x:c>
      <x:c r="M1920" s="59" t="n">
        <x:v>0.58412</x:v>
      </x:c>
      <x:c r="N1920" s="60" t="n">
        <x:v>-23.77</x:v>
      </x:c>
      <x:c r="O1920" s="60" t="n">
        <x:v>0.47</x:v>
      </x:c>
      <x:c r="P1920" s="60" t="n">
        <x:v>0.48</x:v>
      </x:c>
      <x:c r="Q1920" s="60" t="n">
        <x:v>78</x:v>
      </x:c>
      <x:c r="R1920" s="58" t="str">
        <x:v>X</x:v>
      </x:c>
      <x:c r="S1920" s="60" t="n">
        <x:v>100</x:v>
      </x:c>
      <x:c r="T1920" s="58" t="str">
        <x:v>VALID</x:v>
      </x:c>
      <x:c r="U1920" s="58" t="n">
        <x:v>3411</x:v>
      </x:c>
      <x:c r="V1920" s="58" t="str">
        <x:v>Pasted text(59).txt</x:v>
      </x:c>
    </x:row>
    <x:row r="1921">
      <x:c r="A1921" s="58" t="str">
        <x:v>S20</x:v>
      </x:c>
      <x:c r="B1921" s="58" t="str">
        <x:v>0.65 repeat-validation session at 268 Hz</x:v>
      </x:c>
      <x:c r="C1921" s="58" t="n">
        <x:v>0.65</x:v>
      </x:c>
      <x:c r="D1921" s="58" t="n">
        <x:v>1</x:v>
      </x:c>
      <x:c r="E1921" s="58" t="n">
        <x:v>1</x:v>
      </x:c>
      <x:c r="F1921" s="58" t="str">
        <x:v>FINE</x:v>
      </x:c>
      <x:c r="G1921" s="58" t="n">
        <x:v>2</x:v>
      </x:c>
      <x:c r="H1921" s="59" t="n">
        <x:v>6.75</x:v>
      </x:c>
      <x:c r="I1921" s="59" t="n">
        <x:v>0.56388</x:v>
      </x:c>
      <x:c r="J1921" s="59" t="n">
        <x:v>0.55737</x:v>
      </x:c>
      <x:c r="K1921" s="59" t="n">
        <x:v>0.15666</x:v>
      </x:c>
      <x:c r="L1921" s="59" t="n">
        <x:v>0.3044</x:v>
      </x:c>
      <x:c r="M1921" s="59" t="n">
        <x:v>0.65513</x:v>
      </x:c>
      <x:c r="N1921" s="60" t="n">
        <x:v>-13.25</x:v>
      </x:c>
      <x:c r="O1921" s="60" t="n">
        <x:v>0.95</x:v>
      </x:c>
      <x:c r="P1921" s="60" t="n">
        <x:v>2.6</x:v>
      </x:c>
      <x:c r="Q1921" s="60" t="n">
        <x:v>77</x:v>
      </x:c>
      <x:c r="R1921" s="58" t="str">
        <x:v>X</x:v>
      </x:c>
      <x:c r="S1921" s="60" t="n">
        <x:v>100</x:v>
      </x:c>
      <x:c r="T1921" s="58" t="str">
        <x:v>VALID</x:v>
      </x:c>
      <x:c r="U1921" s="58" t="n">
        <x:v>3412</x:v>
      </x:c>
      <x:c r="V1921" s="58" t="str">
        <x:v>Pasted text(59).txt</x:v>
      </x:c>
    </x:row>
    <x:row r="1922">
      <x:c r="A1922" s="58" t="str">
        <x:v>S20</x:v>
      </x:c>
      <x:c r="B1922" s="58" t="str">
        <x:v>0.65 repeat-validation session at 268 Hz</x:v>
      </x:c>
      <x:c r="C1922" s="58" t="n">
        <x:v>0.65</x:v>
      </x:c>
      <x:c r="D1922" s="58" t="n">
        <x:v>1</x:v>
      </x:c>
      <x:c r="E1922" s="58" t="n">
        <x:v>1</x:v>
      </x:c>
      <x:c r="F1922" s="58" t="str">
        <x:v>FINE</x:v>
      </x:c>
      <x:c r="G1922" s="58" t="n">
        <x:v>3</x:v>
      </x:c>
      <x:c r="H1922" s="59" t="n">
        <x:v>7</x:v>
      </x:c>
      <x:c r="I1922" s="59" t="n">
        <x:v>0.58328</x:v>
      </x:c>
      <x:c r="J1922" s="59" t="n">
        <x:v>0.58185</x:v>
      </x:c>
      <x:c r="K1922" s="59" t="n">
        <x:v>0.16898</x:v>
      </x:c>
      <x:c r="L1922" s="59" t="n">
        <x:v>0.30434</x:v>
      </x:c>
      <x:c r="M1922" s="59" t="n">
        <x:v>0.67937</x:v>
      </x:c>
      <x:c r="N1922" s="60" t="n">
        <x:v>-10.26</x:v>
      </x:c>
      <x:c r="O1922" s="60" t="n">
        <x:v>7.64</x:v>
      </x:c>
      <x:c r="P1922" s="60" t="n">
        <x:v>5.54</x:v>
      </x:c>
      <x:c r="Q1922" s="60" t="n">
        <x:v>79.8</x:v>
      </x:c>
      <x:c r="R1922" s="58" t="str">
        <x:v>X</x:v>
      </x:c>
      <x:c r="S1922" s="60" t="n">
        <x:v>100</x:v>
      </x:c>
      <x:c r="T1922" s="58" t="str">
        <x:v>VALID</x:v>
      </x:c>
      <x:c r="U1922" s="58" t="n">
        <x:v>3413</x:v>
      </x:c>
      <x:c r="V1922" s="58" t="str">
        <x:v>Pasted text(59).txt</x:v>
      </x:c>
    </x:row>
    <x:row r="1923">
      <x:c r="A1923" s="58" t="str">
        <x:v>S20</x:v>
      </x:c>
      <x:c r="B1923" s="58" t="str">
        <x:v>0.65 repeat-validation session at 268 Hz</x:v>
      </x:c>
      <x:c r="C1923" s="58" t="n">
        <x:v>0.65</x:v>
      </x:c>
      <x:c r="D1923" s="58" t="n">
        <x:v>1</x:v>
      </x:c>
      <x:c r="E1923" s="58" t="n">
        <x:v>1</x:v>
      </x:c>
      <x:c r="F1923" s="58" t="str">
        <x:v>FINE</x:v>
      </x:c>
      <x:c r="G1923" s="58" t="n">
        <x:v>4</x:v>
      </x:c>
      <x:c r="H1923" s="59" t="n">
        <x:v>7.25</x:v>
      </x:c>
      <x:c r="I1923" s="59" t="n">
        <x:v>0.5899</x:v>
      </x:c>
      <x:c r="J1923" s="59" t="n">
        <x:v>0.59147</x:v>
      </x:c>
      <x:c r="K1923" s="59" t="n">
        <x:v>0.17338</x:v>
      </x:c>
      <x:c r="L1923" s="59" t="n">
        <x:v>0.30019</x:v>
      </x:c>
      <x:c r="M1923" s="59" t="n">
        <x:v>0.68576</x:v>
      </x:c>
      <x:c r="N1923" s="60" t="n">
        <x:v>-9.25</x:v>
      </x:c>
      <x:c r="O1923" s="60" t="n">
        <x:v>0.22</x:v>
      </x:c>
      <x:c r="P1923" s="60" t="n">
        <x:v>0.6</x:v>
      </x:c>
      <x:c r="Q1923" s="60" t="n">
        <x:v>81.3</x:v>
      </x:c>
      <x:c r="R1923" s="58" t="str">
        <x:v>X</x:v>
      </x:c>
      <x:c r="S1923" s="60" t="n">
        <x:v>100</x:v>
      </x:c>
      <x:c r="T1923" s="58" t="str">
        <x:v>VALID</x:v>
      </x:c>
      <x:c r="U1923" s="58" t="n">
        <x:v>3414</x:v>
      </x:c>
      <x:c r="V1923" s="58" t="str">
        <x:v>Pasted text(59).txt</x:v>
      </x:c>
    </x:row>
    <x:row r="1924">
      <x:c r="A1924" s="58" t="str">
        <x:v>S20</x:v>
      </x:c>
      <x:c r="B1924" s="58" t="str">
        <x:v>0.65 repeat-validation session at 268 Hz</x:v>
      </x:c>
      <x:c r="C1924" s="58" t="n">
        <x:v>0.65</x:v>
      </x:c>
      <x:c r="D1924" s="58" t="n">
        <x:v>1</x:v>
      </x:c>
      <x:c r="E1924" s="58" t="n">
        <x:v>1</x:v>
      </x:c>
      <x:c r="F1924" s="58" t="str">
        <x:v>FINE</x:v>
      </x:c>
      <x:c r="G1924" s="58" t="n">
        <x:v>5</x:v>
      </x:c>
      <x:c r="H1924" s="59" t="n">
        <x:v>7.5</x:v>
      </x:c>
      <x:c r="I1924" s="59" t="n">
        <x:v>0.59764</x:v>
      </x:c>
      <x:c r="J1924" s="59" t="n">
        <x:v>0.59783</x:v>
      </x:c>
      <x:c r="K1924" s="59" t="n">
        <x:v>0.18246</x:v>
      </x:c>
      <x:c r="L1924" s="59" t="n">
        <x:v>0.30433</x:v>
      </x:c>
      <x:c r="M1924" s="59" t="n">
        <x:v>0.69582</x:v>
      </x:c>
      <x:c r="N1924" s="60" t="n">
        <x:v>-8.06</x:v>
      </x:c>
      <x:c r="O1924" s="60" t="n">
        <x:v>0.58</x:v>
      </x:c>
      <x:c r="P1924" s="60" t="n">
        <x:v>0.44</x:v>
      </x:c>
      <x:c r="Q1924" s="60" t="n">
        <x:v>82.1</x:v>
      </x:c>
      <x:c r="R1924" s="58" t="str">
        <x:v>X</x:v>
      </x:c>
      <x:c r="S1924" s="60" t="n">
        <x:v>100</x:v>
      </x:c>
      <x:c r="T1924" s="58" t="str">
        <x:v>VALID</x:v>
      </x:c>
      <x:c r="U1924" s="58" t="n">
        <x:v>3415</x:v>
      </x:c>
      <x:c r="V1924" s="58" t="str">
        <x:v>Pasted text(59).txt</x:v>
      </x:c>
    </x:row>
    <x:row r="1925">
      <x:c r="A1925" s="58" t="str">
        <x:v>S20</x:v>
      </x:c>
      <x:c r="B1925" s="58" t="str">
        <x:v>0.65 repeat-validation session at 268 Hz</x:v>
      </x:c>
      <x:c r="C1925" s="58" t="n">
        <x:v>0.65</x:v>
      </x:c>
      <x:c r="D1925" s="58" t="n">
        <x:v>1</x:v>
      </x:c>
      <x:c r="E1925" s="58" t="n">
        <x:v>1</x:v>
      </x:c>
      <x:c r="F1925" s="58" t="str">
        <x:v>FINE</x:v>
      </x:c>
      <x:c r="G1925" s="58" t="n">
        <x:v>6</x:v>
      </x:c>
      <x:c r="H1925" s="59" t="n">
        <x:v>7.75</x:v>
      </x:c>
      <x:c r="I1925" s="59" t="n">
        <x:v>0.67653</x:v>
      </x:c>
      <x:c r="J1925" s="59" t="n">
        <x:v>0.67298</x:v>
      </x:c>
      <x:c r="K1925" s="59" t="n">
        <x:v>0.19424</x:v>
      </x:c>
      <x:c r="L1925" s="59" t="n">
        <x:v>0.33421</x:v>
      </x:c>
      <x:c r="M1925" s="59" t="n">
        <x:v>0.77664</x:v>
      </x:c>
      <x:c r="N1925" s="60" t="n">
        <x:v>4.08</x:v>
      </x:c>
      <x:c r="O1925" s="60" t="n">
        <x:v>3.3</x:v>
      </x:c>
      <x:c r="P1925" s="60" t="n">
        <x:v>3.06</x:v>
      </x:c>
      <x:c r="Q1925" s="60" t="n">
        <x:v>82.5</x:v>
      </x:c>
      <x:c r="R1925" s="58" t="str">
        <x:v>X</x:v>
      </x:c>
      <x:c r="S1925" s="60" t="n">
        <x:v>100</x:v>
      </x:c>
      <x:c r="T1925" s="58" t="str">
        <x:v>IN TARGET BAND</x:v>
      </x:c>
      <x:c r="U1925" s="58" t="n">
        <x:v>3416</x:v>
      </x:c>
      <x:c r="V1925" s="58" t="str">
        <x:v>Pasted text(59).txt</x:v>
      </x:c>
    </x:row>
    <x:row r="1926">
      <x:c r="A1926" s="58" t="str">
        <x:v>S20</x:v>
      </x:c>
      <x:c r="B1926" s="58" t="str">
        <x:v>0.65 repeat-validation session at 268 Hz</x:v>
      </x:c>
      <x:c r="C1926" s="58" t="n">
        <x:v>0.65</x:v>
      </x:c>
      <x:c r="D1926" s="58" t="n">
        <x:v>1</x:v>
      </x:c>
      <x:c r="E1926" s="58" t="n">
        <x:v>1</x:v>
      </x:c>
      <x:c r="F1926" s="58" t="str">
        <x:v>FINE</x:v>
      </x:c>
      <x:c r="G1926" s="58" t="n">
        <x:v>7</x:v>
      </x:c>
      <x:c r="H1926" s="59" t="n">
        <x:v>8</x:v>
      </x:c>
      <x:c r="I1926" s="59" t="n">
        <x:v>0.68815</x:v>
      </x:c>
      <x:c r="J1926" s="59" t="n">
        <x:v>0.68391</x:v>
      </x:c>
      <x:c r="K1926" s="59" t="n">
        <x:v>0.22562</x:v>
      </x:c>
      <x:c r="L1926" s="59" t="n">
        <x:v>0.31858</x:v>
      </x:c>
      <x:c r="M1926" s="59" t="n">
        <x:v>0.78771</x:v>
      </x:c>
      <x:c r="N1926" s="60" t="n">
        <x:v>5.87</x:v>
      </x:c>
      <x:c r="O1926" s="60" t="n">
        <x:v>0.11</x:v>
      </x:c>
      <x:c r="P1926" s="60" t="n">
        <x:v>1.14</x:v>
      </x:c>
      <x:c r="Q1926" s="60" t="n">
        <x:v>84</x:v>
      </x:c>
      <x:c r="R1926" s="58" t="str">
        <x:v>X</x:v>
      </x:c>
      <x:c r="S1926" s="60" t="n">
        <x:v>100</x:v>
      </x:c>
      <x:c r="T1926" s="58" t="str">
        <x:v>IN TARGET BAND</x:v>
      </x:c>
      <x:c r="U1926" s="58" t="n">
        <x:v>3417</x:v>
      </x:c>
      <x:c r="V1926" s="58" t="str">
        <x:v>Pasted text(59).txt</x:v>
      </x:c>
    </x:row>
    <x:row r="1927">
      <x:c r="A1927" s="58" t="str">
        <x:v>S20</x:v>
      </x:c>
      <x:c r="B1927" s="58" t="str">
        <x:v>0.65 repeat-validation session at 268 Hz</x:v>
      </x:c>
      <x:c r="C1927" s="58" t="n">
        <x:v>0.65</x:v>
      </x:c>
      <x:c r="D1927" s="58" t="n">
        <x:v>1</x:v>
      </x:c>
      <x:c r="E1927" s="58" t="n">
        <x:v>1</x:v>
      </x:c>
      <x:c r="F1927" s="58" t="str">
        <x:v>FINE</x:v>
      </x:c>
      <x:c r="G1927" s="58" t="n">
        <x:v>8</x:v>
      </x:c>
      <x:c r="H1927" s="59" t="n">
        <x:v>8.25</x:v>
      </x:c>
      <x:c r="I1927" s="59" t="n">
        <x:v>0.70693</x:v>
      </x:c>
      <x:c r="J1927" s="59" t="n">
        <x:v>0.7055</x:v>
      </x:c>
      <x:c r="K1927" s="59" t="n">
        <x:v>0.21859</x:v>
      </x:c>
      <x:c r="L1927" s="59" t="n">
        <x:v>0.34372</x:v>
      </x:c>
      <x:c r="M1927" s="59" t="n">
        <x:v>0.81497</x:v>
      </x:c>
      <x:c r="N1927" s="60" t="n">
        <x:v>8.76</x:v>
      </x:c>
      <x:c r="O1927" s="60" t="n">
        <x:v>2.61</x:v>
      </x:c>
      <x:c r="P1927" s="60" t="n">
        <x:v>2.08</x:v>
      </x:c>
      <x:c r="Q1927" s="60" t="n">
        <x:v>84.3</x:v>
      </x:c>
      <x:c r="R1927" s="58" t="str">
        <x:v>X</x:v>
      </x:c>
      <x:c r="S1927" s="60" t="n">
        <x:v>100</x:v>
      </x:c>
      <x:c r="T1927" s="58" t="str">
        <x:v>VALID</x:v>
      </x:c>
      <x:c r="U1927" s="58" t="n">
        <x:v>3418</x:v>
      </x:c>
      <x:c r="V1927" s="58" t="str">
        <x:v>Pasted text(59).txt</x:v>
      </x:c>
    </x:row>
    <x:row r="1928">
      <x:c r="A1928" s="58" t="str">
        <x:v>S20</x:v>
      </x:c>
      <x:c r="B1928" s="58" t="str">
        <x:v>0.65 repeat-validation session at 268 Hz</x:v>
      </x:c>
      <x:c r="C1928" s="58" t="n">
        <x:v>0.65</x:v>
      </x:c>
      <x:c r="D1928" s="58" t="n">
        <x:v>1</x:v>
      </x:c>
      <x:c r="E1928" s="58" t="n">
        <x:v>1</x:v>
      </x:c>
      <x:c r="F1928" s="58" t="str">
        <x:v>FINE</x:v>
      </x:c>
      <x:c r="G1928" s="58" t="n">
        <x:v>9</x:v>
      </x:c>
      <x:c r="H1928" s="59" t="n">
        <x:v>8.5</x:v>
      </x:c>
      <x:c r="I1928" s="59" t="n">
        <x:v>0.70334</x:v>
      </x:c>
      <x:c r="J1928" s="59" t="n">
        <x:v>0.71392</x:v>
      </x:c>
      <x:c r="K1928" s="59" t="n">
        <x:v>0.22872</x:v>
      </x:c>
      <x:c r="L1928" s="59" t="n">
        <x:v>0.34908</x:v>
      </x:c>
      <x:c r="M1928" s="59" t="n">
        <x:v>0.82728</x:v>
      </x:c>
      <x:c r="N1928" s="60" t="n">
        <x:v>8.21</x:v>
      </x:c>
      <x:c r="O1928" s="60" t="n">
        <x:v>0.33</x:v>
      </x:c>
      <x:c r="P1928" s="60" t="n">
        <x:v>2.76</x:v>
      </x:c>
      <x:c r="Q1928" s="60" t="n">
        <x:v>85.7</x:v>
      </x:c>
      <x:c r="R1928" s="58" t="str">
        <x:v>X</x:v>
      </x:c>
      <x:c r="S1928" s="60" t="n">
        <x:v>100</x:v>
      </x:c>
      <x:c r="T1928" s="58" t="str">
        <x:v>VALID</x:v>
      </x:c>
      <x:c r="U1928" s="58" t="n">
        <x:v>3419</x:v>
      </x:c>
      <x:c r="V1928" s="58" t="str">
        <x:v>Pasted text(59).txt</x:v>
      </x:c>
    </x:row>
    <x:row r="1929">
      <x:c r="A1929" s="58" t="str">
        <x:v>S20</x:v>
      </x:c>
      <x:c r="B1929" s="58" t="str">
        <x:v>0.65 repeat-validation session at 268 Hz</x:v>
      </x:c>
      <x:c r="C1929" s="58" t="n">
        <x:v>0.65</x:v>
      </x:c>
      <x:c r="D1929" s="58" t="n">
        <x:v>1</x:v>
      </x:c>
      <x:c r="E1929" s="58" t="n">
        <x:v>1</x:v>
      </x:c>
      <x:c r="F1929" s="58" t="str">
        <x:v>FINAL</x:v>
      </x:c>
      <x:c r="G1929" s="58" t="n">
        <x:v>1</x:v>
      </x:c>
      <x:c r="H1929" s="59" t="n">
        <x:v>8</x:v>
      </x:c>
      <x:c r="I1929" s="59" t="n">
        <x:v>0.68919</x:v>
      </x:c>
      <x:c r="J1929" s="59" t="n">
        <x:v>0.68847</x:v>
      </x:c>
      <x:c r="K1929" s="59" t="n">
        <x:v>0.20917</x:v>
      </x:c>
      <x:c r="L1929" s="59" t="n">
        <x:v>0.32105</x:v>
      </x:c>
      <x:c r="M1929" s="59" t="n">
        <x:v>0.78831</x:v>
      </x:c>
      <x:c r="N1929" s="60" t="n">
        <x:v>6.03</x:v>
      </x:c>
      <x:c r="O1929" s="60" t="n">
        <x:v>0.7</x:v>
      </x:c>
      <x:c r="P1929" s="60" t="n">
        <x:v>3.77</x:v>
      </x:c>
      <x:c r="Q1929" s="60" t="n">
        <x:v>84.6</x:v>
      </x:c>
      <x:c r="R1929" s="58" t="str">
        <x:v>X</x:v>
      </x:c>
      <x:c r="S1929" s="60" t="n">
        <x:v>100</x:v>
      </x:c>
      <x:c r="T1929" s="58" t="str">
        <x:v>IN TARGET BAND</x:v>
      </x:c>
      <x:c r="U1929" s="58" t="n">
        <x:v>3422</x:v>
      </x:c>
      <x:c r="V1929" s="58" t="str">
        <x:v>Pasted text(59).txt</x:v>
      </x:c>
    </x:row>
    <x:row r="1930">
      <x:c r="A1930" s="58" t="str">
        <x:v>S20</x:v>
      </x:c>
      <x:c r="B1930" s="58" t="str">
        <x:v>0.65 repeat-validation session at 268 Hz</x:v>
      </x:c>
      <x:c r="C1930" s="58" t="n">
        <x:v>0.65</x:v>
      </x:c>
      <x:c r="D1930" s="58" t="n">
        <x:v>1</x:v>
      </x:c>
      <x:c r="E1930" s="58" t="n">
        <x:v>1</x:v>
      </x:c>
      <x:c r="F1930" s="58" t="str">
        <x:v>FINAL</x:v>
      </x:c>
      <x:c r="G1930" s="58" t="n">
        <x:v>2</x:v>
      </x:c>
      <x:c r="H1930" s="59" t="n">
        <x:v>8</x:v>
      </x:c>
      <x:c r="I1930" s="59" t="n">
        <x:v>0.68235</x:v>
      </x:c>
      <x:c r="J1930" s="59" t="n">
        <x:v>0.68216</x:v>
      </x:c>
      <x:c r="K1930" s="59" t="n">
        <x:v>0.20545</x:v>
      </x:c>
      <x:c r="L1930" s="59" t="n">
        <x:v>0.34827</x:v>
      </x:c>
      <x:c r="M1930" s="59" t="n">
        <x:v>0.79353</x:v>
      </x:c>
      <x:c r="N1930" s="60" t="n">
        <x:v>4.98</x:v>
      </x:c>
      <x:c r="O1930" s="60" t="n">
        <x:v>3.09</x:v>
      </x:c>
      <x:c r="P1930" s="60" t="n">
        <x:v>2.27</x:v>
      </x:c>
      <x:c r="Q1930" s="60" t="n">
        <x:v>83.7</x:v>
      </x:c>
      <x:c r="R1930" s="58" t="str">
        <x:v>X</x:v>
      </x:c>
      <x:c r="S1930" s="60" t="n">
        <x:v>100</x:v>
      </x:c>
      <x:c r="T1930" s="58" t="str">
        <x:v>IN TARGET BAND</x:v>
      </x:c>
      <x:c r="U1930" s="58" t="n">
        <x:v>3423</x:v>
      </x:c>
      <x:c r="V1930" s="58" t="str">
        <x:v>Pasted text(59).txt</x:v>
      </x:c>
    </x:row>
    <x:row r="1931">
      <x:c r="A1931" s="58" t="str">
        <x:v>S20</x:v>
      </x:c>
      <x:c r="B1931" s="58" t="str">
        <x:v>0.65 repeat-validation session at 268 Hz</x:v>
      </x:c>
      <x:c r="C1931" s="58" t="n">
        <x:v>0.65</x:v>
      </x:c>
      <x:c r="D1931" s="58" t="n">
        <x:v>2</x:v>
      </x:c>
      <x:c r="E1931" s="58" t="n">
        <x:v>1</x:v>
      </x:c>
      <x:c r="F1931" s="58" t="str">
        <x:v>SEARCH</x:v>
      </x:c>
      <x:c r="G1931" s="58" t="n">
        <x:v>1</x:v>
      </x:c>
      <x:c r="H1931" s="59" t="n">
        <x:v>1</x:v>
      </x:c>
      <x:c r="I1931" s="59" t="n">
        <x:v>0.03676</x:v>
      </x:c>
      <x:c r="J1931" s="59" t="n">
        <x:v>0.03395</x:v>
      </x:c>
      <x:c r="K1931" s="59" t="n">
        <x:v>0.04269</x:v>
      </x:c>
      <x:c r="L1931" s="59" t="n">
        <x:v>0.0065</x:v>
      </x:c>
      <x:c r="M1931" s="59" t="n">
        <x:v>0.05731</x:v>
      </x:c>
      <x:c r="N1931" s="60" t="n">
        <x:v>-94.35</x:v>
      </x:c>
      <x:c r="O1931" s="60" t="n">
        <x:v>22.61</x:v>
      </x:c>
      <x:c r="P1931" s="60" t="n">
        <x:v>11.67</x:v>
      </x:c>
      <x:c r="Q1931" s="60" t="n">
        <x:v>10.9</x:v>
      </x:c>
      <x:c r="R1931" s="58" t="str">
        <x:v>Y</x:v>
      </x:c>
      <x:c r="S1931" s="60" t="n">
        <x:v>79.5</x:v>
      </x:c>
      <x:c r="T1931" s="58" t="str">
        <x:v>BELOW MEASUREMENT FLOOR — SEARCH CONTINUES</x:v>
      </x:c>
      <x:c r="U1931" s="58" t="n">
        <x:v>3479</x:v>
      </x:c>
      <x:c r="V1931" s="58" t="str">
        <x:v>Pasted text(59).txt</x:v>
      </x:c>
    </x:row>
    <x:row r="1932">
      <x:c r="A1932" s="58" t="str">
        <x:v>S20</x:v>
      </x:c>
      <x:c r="B1932" s="58" t="str">
        <x:v>0.65 repeat-validation session at 268 Hz</x:v>
      </x:c>
      <x:c r="C1932" s="58" t="n">
        <x:v>0.65</x:v>
      </x:c>
      <x:c r="D1932" s="58" t="n">
        <x:v>2</x:v>
      </x:c>
      <x:c r="E1932" s="58" t="n">
        <x:v>1</x:v>
      </x:c>
      <x:c r="F1932" s="58" t="str">
        <x:v>SEARCH</x:v>
      </x:c>
      <x:c r="G1932" s="58" t="n">
        <x:v>2</x:v>
      </x:c>
      <x:c r="H1932" s="59" t="n">
        <x:v>3</x:v>
      </x:c>
      <x:c r="I1932" s="59" t="n">
        <x:v>0.17687</x:v>
      </x:c>
      <x:c r="J1932" s="59" t="n">
        <x:v>0.17619</x:v>
      </x:c>
      <x:c r="K1932" s="59" t="n">
        <x:v>0.0545</x:v>
      </x:c>
      <x:c r="L1932" s="59" t="n">
        <x:v>0.09488</x:v>
      </x:c>
      <x:c r="M1932" s="59" t="n">
        <x:v>0.2083</x:v>
      </x:c>
      <x:c r="N1932" s="60" t="n">
        <x:v>-72.79</x:v>
      </x:c>
      <x:c r="O1932" s="60" t="n">
        <x:v>15.77</x:v>
      </x:c>
      <x:c r="P1932" s="60" t="n">
        <x:v>11.27</x:v>
      </x:c>
      <x:c r="Q1932" s="60" t="n">
        <x:v>39.8</x:v>
      </x:c>
      <x:c r="R1932" s="58" t="str">
        <x:v>X</x:v>
      </x:c>
      <x:c r="S1932" s="60" t="n">
        <x:v>100</x:v>
      </x:c>
      <x:c r="T1932" s="58" t="str">
        <x:v>UNSTABLE — SEARCH CONTINUES</x:v>
      </x:c>
      <x:c r="U1932" s="58" t="n">
        <x:v>3480</x:v>
      </x:c>
      <x:c r="V1932" s="58" t="str">
        <x:v>Pasted text(59).txt</x:v>
      </x:c>
    </x:row>
    <x:row r="1933">
      <x:c r="A1933" s="58" t="str">
        <x:v>S20</x:v>
      </x:c>
      <x:c r="B1933" s="58" t="str">
        <x:v>0.65 repeat-validation session at 268 Hz</x:v>
      </x:c>
      <x:c r="C1933" s="58" t="n">
        <x:v>0.65</x:v>
      </x:c>
      <x:c r="D1933" s="58" t="n">
        <x:v>2</x:v>
      </x:c>
      <x:c r="E1933" s="58" t="n">
        <x:v>1</x:v>
      </x:c>
      <x:c r="F1933" s="58" t="str">
        <x:v>SEARCH</x:v>
      </x:c>
      <x:c r="G1933" s="58" t="n">
        <x:v>3</x:v>
      </x:c>
      <x:c r="H1933" s="59" t="n">
        <x:v>4</x:v>
      </x:c>
      <x:c r="I1933" s="59" t="n">
        <x:v>0.26959</x:v>
      </x:c>
      <x:c r="J1933" s="59" t="n">
        <x:v>0.26128</x:v>
      </x:c>
      <x:c r="K1933" s="59" t="n">
        <x:v>0.09651</x:v>
      </x:c>
      <x:c r="L1933" s="59" t="n">
        <x:v>0.16876</x:v>
      </x:c>
      <x:c r="M1933" s="59" t="n">
        <x:v>0.32888</x:v>
      </x:c>
      <x:c r="N1933" s="60" t="n">
        <x:v>-58.52</x:v>
      </x:c>
      <x:c r="O1933" s="60" t="n">
        <x:v>5.83</x:v>
      </x:c>
      <x:c r="P1933" s="60" t="n">
        <x:v>9.25</x:v>
      </x:c>
      <x:c r="Q1933" s="60" t="n">
        <x:v>55.4</x:v>
      </x:c>
      <x:c r="R1933" s="58" t="str">
        <x:v>X</x:v>
      </x:c>
      <x:c r="S1933" s="60" t="n">
        <x:v>100</x:v>
      </x:c>
      <x:c r="T1933" s="58" t="str">
        <x:v>VALID</x:v>
      </x:c>
      <x:c r="U1933" s="58" t="n">
        <x:v>3481</x:v>
      </x:c>
      <x:c r="V1933" s="58" t="str">
        <x:v>Pasted text(59).txt</x:v>
      </x:c>
    </x:row>
    <x:row r="1934">
      <x:c r="A1934" s="58" t="str">
        <x:v>S20</x:v>
      </x:c>
      <x:c r="B1934" s="58" t="str">
        <x:v>0.65 repeat-validation session at 268 Hz</x:v>
      </x:c>
      <x:c r="C1934" s="58" t="n">
        <x:v>0.65</x:v>
      </x:c>
      <x:c r="D1934" s="58" t="n">
        <x:v>2</x:v>
      </x:c>
      <x:c r="E1934" s="58" t="n">
        <x:v>1</x:v>
      </x:c>
      <x:c r="F1934" s="58" t="str">
        <x:v>SEARCH</x:v>
      </x:c>
      <x:c r="G1934" s="58" t="n">
        <x:v>4</x:v>
      </x:c>
      <x:c r="H1934" s="59" t="n">
        <x:v>5</x:v>
      </x:c>
      <x:c r="I1934" s="59" t="n">
        <x:v>0.36848</x:v>
      </x:c>
      <x:c r="J1934" s="59" t="n">
        <x:v>0.36206</x:v>
      </x:c>
      <x:c r="K1934" s="59" t="n">
        <x:v>0.12595</x:v>
      </x:c>
      <x:c r="L1934" s="59" t="n">
        <x:v>0.18704</x:v>
      </x:c>
      <x:c r="M1934" s="59" t="n">
        <x:v>0.42712</x:v>
      </x:c>
      <x:c r="N1934" s="60" t="n">
        <x:v>-43.31</x:v>
      </x:c>
      <x:c r="O1934" s="60" t="n">
        <x:v>8.13</x:v>
      </x:c>
      <x:c r="P1934" s="60" t="n">
        <x:v>8.38</x:v>
      </x:c>
      <x:c r="Q1934" s="60" t="n">
        <x:v>66</x:v>
      </x:c>
      <x:c r="R1934" s="58" t="str">
        <x:v>X</x:v>
      </x:c>
      <x:c r="S1934" s="60" t="n">
        <x:v>100</x:v>
      </x:c>
      <x:c r="T1934" s="58" t="str">
        <x:v>VALID</x:v>
      </x:c>
      <x:c r="U1934" s="58" t="n">
        <x:v>3482</x:v>
      </x:c>
      <x:c r="V1934" s="58" t="str">
        <x:v>Pasted text(59).txt</x:v>
      </x:c>
    </x:row>
    <x:row r="1935">
      <x:c r="A1935" s="58" t="str">
        <x:v>S20</x:v>
      </x:c>
      <x:c r="B1935" s="58" t="str">
        <x:v>0.65 repeat-validation session at 268 Hz</x:v>
      </x:c>
      <x:c r="C1935" s="58" t="n">
        <x:v>0.65</x:v>
      </x:c>
      <x:c r="D1935" s="58" t="n">
        <x:v>2</x:v>
      </x:c>
      <x:c r="E1935" s="58" t="n">
        <x:v>1</x:v>
      </x:c>
      <x:c r="F1935" s="58" t="str">
        <x:v>SEARCH</x:v>
      </x:c>
      <x:c r="G1935" s="58" t="n">
        <x:v>5</x:v>
      </x:c>
      <x:c r="H1935" s="59" t="n">
        <x:v>6</x:v>
      </x:c>
      <x:c r="I1935" s="59" t="n">
        <x:v>0.47803</x:v>
      </x:c>
      <x:c r="J1935" s="59" t="n">
        <x:v>0.48325</x:v>
      </x:c>
      <x:c r="K1935" s="59" t="n">
        <x:v>0.13269</x:v>
      </x:c>
      <x:c r="L1935" s="59" t="n">
        <x:v>0.25373</x:v>
      </x:c>
      <x:c r="M1935" s="59" t="n">
        <x:v>0.56232</x:v>
      </x:c>
      <x:c r="N1935" s="60" t="n">
        <x:v>-26.46</x:v>
      </x:c>
      <x:c r="O1935" s="60" t="n">
        <x:v>4.59</x:v>
      </x:c>
      <x:c r="P1935" s="60" t="n">
        <x:v>4.77</x:v>
      </x:c>
      <x:c r="Q1935" s="60" t="n">
        <x:v>76.7</x:v>
      </x:c>
      <x:c r="R1935" s="58" t="str">
        <x:v>X</x:v>
      </x:c>
      <x:c r="S1935" s="60" t="n">
        <x:v>100</x:v>
      </x:c>
      <x:c r="T1935" s="58" t="str">
        <x:v>VALID</x:v>
      </x:c>
      <x:c r="U1935" s="58" t="n">
        <x:v>3483</x:v>
      </x:c>
      <x:c r="V1935" s="58" t="str">
        <x:v>Pasted text(59).txt</x:v>
      </x:c>
    </x:row>
    <x:row r="1936">
      <x:c r="A1936" s="58" t="str">
        <x:v>S20</x:v>
      </x:c>
      <x:c r="B1936" s="58" t="str">
        <x:v>0.65 repeat-validation session at 268 Hz</x:v>
      </x:c>
      <x:c r="C1936" s="58" t="n">
        <x:v>0.65</x:v>
      </x:c>
      <x:c r="D1936" s="58" t="n">
        <x:v>2</x:v>
      </x:c>
      <x:c r="E1936" s="58" t="n">
        <x:v>1</x:v>
      </x:c>
      <x:c r="F1936" s="58" t="str">
        <x:v>SEARCH</x:v>
      </x:c>
      <x:c r="G1936" s="58" t="n">
        <x:v>6</x:v>
      </x:c>
      <x:c r="H1936" s="59" t="n">
        <x:v>6.5</x:v>
      </x:c>
      <x:c r="I1936" s="59" t="n">
        <x:v>0.48677</x:v>
      </x:c>
      <x:c r="J1936" s="59" t="n">
        <x:v>0.49553</x:v>
      </x:c>
      <x:c r="K1936" s="59" t="n">
        <x:v>0.15653</x:v>
      </x:c>
      <x:c r="L1936" s="59" t="n">
        <x:v>0.26443</x:v>
      </x:c>
      <x:c r="M1936" s="59" t="n">
        <x:v>0.58322</x:v>
      </x:c>
      <x:c r="N1936" s="60" t="n">
        <x:v>-25.11</x:v>
      </x:c>
      <x:c r="O1936" s="60" t="n">
        <x:v>2.72</x:v>
      </x:c>
      <x:c r="P1936" s="60" t="n">
        <x:v>4.71</x:v>
      </x:c>
      <x:c r="Q1936" s="60" t="n">
        <x:v>78.2</x:v>
      </x:c>
      <x:c r="R1936" s="58" t="str">
        <x:v>X</x:v>
      </x:c>
      <x:c r="S1936" s="60" t="n">
        <x:v>100</x:v>
      </x:c>
      <x:c r="T1936" s="58" t="str">
        <x:v>VALID</x:v>
      </x:c>
      <x:c r="U1936" s="58" t="n">
        <x:v>3484</x:v>
      </x:c>
      <x:c r="V1936" s="58" t="str">
        <x:v>Pasted text(59).txt</x:v>
      </x:c>
    </x:row>
    <x:row r="1937">
      <x:c r="A1937" s="58" t="str">
        <x:v>S20</x:v>
      </x:c>
      <x:c r="B1937" s="58" t="str">
        <x:v>0.65 repeat-validation session at 268 Hz</x:v>
      </x:c>
      <x:c r="C1937" s="58" t="n">
        <x:v>0.65</x:v>
      </x:c>
      <x:c r="D1937" s="58" t="n">
        <x:v>2</x:v>
      </x:c>
      <x:c r="E1937" s="58" t="n">
        <x:v>1</x:v>
      </x:c>
      <x:c r="F1937" s="58" t="str">
        <x:v>SEARCH</x:v>
      </x:c>
      <x:c r="G1937" s="58" t="n">
        <x:v>7</x:v>
      </x:c>
      <x:c r="H1937" s="59" t="n">
        <x:v>7</x:v>
      </x:c>
      <x:c r="I1937" s="59" t="n">
        <x:v>0.57916</x:v>
      </x:c>
      <x:c r="J1937" s="59" t="n">
        <x:v>0.57359</x:v>
      </x:c>
      <x:c r="K1937" s="59" t="n">
        <x:v>0.18917</x:v>
      </x:c>
      <x:c r="L1937" s="59" t="n">
        <x:v>0.30061</x:v>
      </x:c>
      <x:c r="M1937" s="59" t="n">
        <x:v>0.67488</x:v>
      </x:c>
      <x:c r="N1937" s="60" t="n">
        <x:v>-10.9</x:v>
      </x:c>
      <x:c r="O1937" s="60" t="n">
        <x:v>3.34</x:v>
      </x:c>
      <x:c r="P1937" s="60" t="n">
        <x:v>3.82</x:v>
      </x:c>
      <x:c r="Q1937" s="60" t="n">
        <x:v>80.8</x:v>
      </x:c>
      <x:c r="R1937" s="58" t="str">
        <x:v>X</x:v>
      </x:c>
      <x:c r="S1937" s="60" t="n">
        <x:v>100</x:v>
      </x:c>
      <x:c r="T1937" s="58" t="str">
        <x:v>VALID</x:v>
      </x:c>
      <x:c r="U1937" s="58" t="n">
        <x:v>3485</x:v>
      </x:c>
      <x:c r="V1937" s="58" t="str">
        <x:v>Pasted text(59).txt</x:v>
      </x:c>
    </x:row>
    <x:row r="1938">
      <x:c r="A1938" s="58" t="str">
        <x:v>S20</x:v>
      </x:c>
      <x:c r="B1938" s="58" t="str">
        <x:v>0.65 repeat-validation session at 268 Hz</x:v>
      </x:c>
      <x:c r="C1938" s="58" t="n">
        <x:v>0.65</x:v>
      </x:c>
      <x:c r="D1938" s="58" t="n">
        <x:v>2</x:v>
      </x:c>
      <x:c r="E1938" s="58" t="n">
        <x:v>1</x:v>
      </x:c>
      <x:c r="F1938" s="58" t="str">
        <x:v>SEARCH</x:v>
      </x:c>
      <x:c r="G1938" s="58" t="n">
        <x:v>8</x:v>
      </x:c>
      <x:c r="H1938" s="59" t="n">
        <x:v>7.25</x:v>
      </x:c>
      <x:c r="I1938" s="59" t="n">
        <x:v>0.59506</x:v>
      </x:c>
      <x:c r="J1938" s="59" t="n">
        <x:v>0.60085</x:v>
      </x:c>
      <x:c r="K1938" s="59" t="n">
        <x:v>0.19853</x:v>
      </x:c>
      <x:c r="L1938" s="59" t="n">
        <x:v>0.33261</x:v>
      </x:c>
      <x:c r="M1938" s="59" t="n">
        <x:v>0.71509</x:v>
      </x:c>
      <x:c r="N1938" s="60" t="n">
        <x:v>-8.45</x:v>
      </x:c>
      <x:c r="O1938" s="60" t="n">
        <x:v>0.79</x:v>
      </x:c>
      <x:c r="P1938" s="60" t="n">
        <x:v>2.14</x:v>
      </x:c>
      <x:c r="Q1938" s="60" t="n">
        <x:v>82.9</x:v>
      </x:c>
      <x:c r="R1938" s="58" t="str">
        <x:v>X</x:v>
      </x:c>
      <x:c r="S1938" s="60" t="n">
        <x:v>100</x:v>
      </x:c>
      <x:c r="T1938" s="58" t="str">
        <x:v>VALID</x:v>
      </x:c>
      <x:c r="U1938" s="58" t="n">
        <x:v>3486</x:v>
      </x:c>
      <x:c r="V1938" s="58" t="str">
        <x:v>Pasted text(59).txt</x:v>
      </x:c>
    </x:row>
    <x:row r="1939">
      <x:c r="A1939" s="58" t="str">
        <x:v>S20</x:v>
      </x:c>
      <x:c r="B1939" s="58" t="str">
        <x:v>0.65 repeat-validation session at 268 Hz</x:v>
      </x:c>
      <x:c r="C1939" s="58" t="n">
        <x:v>0.65</x:v>
      </x:c>
      <x:c r="D1939" s="58" t="n">
        <x:v>2</x:v>
      </x:c>
      <x:c r="E1939" s="58" t="n">
        <x:v>1</x:v>
      </x:c>
      <x:c r="F1939" s="58" t="str">
        <x:v>SEARCH</x:v>
      </x:c>
      <x:c r="G1939" s="58" t="n">
        <x:v>9</x:v>
      </x:c>
      <x:c r="H1939" s="59" t="n">
        <x:v>7.5</x:v>
      </x:c>
      <x:c r="I1939" s="59" t="n">
        <x:v>0.6102</x:v>
      </x:c>
      <x:c r="J1939" s="59" t="n">
        <x:v>0.5976</x:v>
      </x:c>
      <x:c r="K1939" s="59" t="n">
        <x:v>0.18927</x:v>
      </x:c>
      <x:c r="L1939" s="59" t="n">
        <x:v>0.32064</x:v>
      </x:c>
      <x:c r="M1939" s="59" t="n">
        <x:v>0.70428</x:v>
      </x:c>
      <x:c r="N1939" s="60" t="n">
        <x:v>-6.12</x:v>
      </x:c>
      <x:c r="O1939" s="60" t="n">
        <x:v>2.22</x:v>
      </x:c>
      <x:c r="P1939" s="60" t="n">
        <x:v>5.03</x:v>
      </x:c>
      <x:c r="Q1939" s="60" t="n">
        <x:v>83.8</x:v>
      </x:c>
      <x:c r="R1939" s="58" t="str">
        <x:v>X</x:v>
      </x:c>
      <x:c r="S1939" s="60" t="n">
        <x:v>100</x:v>
      </x:c>
      <x:c r="T1939" s="58" t="str">
        <x:v>IN TARGET BAND</x:v>
      </x:c>
      <x:c r="U1939" s="58" t="n">
        <x:v>3487</x:v>
      </x:c>
      <x:c r="V1939" s="58" t="str">
        <x:v>Pasted text(59).txt</x:v>
      </x:c>
    </x:row>
    <x:row r="1940">
      <x:c r="A1940" s="58" t="str">
        <x:v>S20</x:v>
      </x:c>
      <x:c r="B1940" s="58" t="str">
        <x:v>0.65 repeat-validation session at 268 Hz</x:v>
      </x:c>
      <x:c r="C1940" s="58" t="n">
        <x:v>0.65</x:v>
      </x:c>
      <x:c r="D1940" s="58" t="n">
        <x:v>2</x:v>
      </x:c>
      <x:c r="E1940" s="58" t="n">
        <x:v>1</x:v>
      </x:c>
      <x:c r="F1940" s="58" t="str">
        <x:v>FINE</x:v>
      </x:c>
      <x:c r="G1940" s="58" t="n">
        <x:v>1</x:v>
      </x:c>
      <x:c r="H1940" s="59" t="n">
        <x:v>6.5</x:v>
      </x:c>
      <x:c r="I1940" s="59" t="n">
        <x:v>0.47736</x:v>
      </x:c>
      <x:c r="J1940" s="59" t="n">
        <x:v>0.48484</x:v>
      </x:c>
      <x:c r="K1940" s="59" t="n">
        <x:v>0.15473</x:v>
      </x:c>
      <x:c r="L1940" s="59" t="n">
        <x:v>0.26176</x:v>
      </x:c>
      <x:c r="M1940" s="59" t="n">
        <x:v>0.5727</x:v>
      </x:c>
      <x:c r="N1940" s="60" t="n">
        <x:v>-26.56</x:v>
      </x:c>
      <x:c r="O1940" s="60" t="n">
        <x:v>0.41</x:v>
      </x:c>
      <x:c r="P1940" s="60" t="n">
        <x:v>2.91</x:v>
      </x:c>
      <x:c r="Q1940" s="60" t="n">
        <x:v>79.4</x:v>
      </x:c>
      <x:c r="R1940" s="58" t="str">
        <x:v>X</x:v>
      </x:c>
      <x:c r="S1940" s="60" t="n">
        <x:v>100</x:v>
      </x:c>
      <x:c r="T1940" s="58" t="str">
        <x:v>VALID</x:v>
      </x:c>
      <x:c r="U1940" s="58" t="n">
        <x:v>3491</x:v>
      </x:c>
      <x:c r="V1940" s="58" t="str">
        <x:v>Pasted text(59).txt</x:v>
      </x:c>
    </x:row>
    <x:row r="1941">
      <x:c r="A1941" s="58" t="str">
        <x:v>S20</x:v>
      </x:c>
      <x:c r="B1941" s="58" t="str">
        <x:v>0.65 repeat-validation session at 268 Hz</x:v>
      </x:c>
      <x:c r="C1941" s="58" t="n">
        <x:v>0.65</x:v>
      </x:c>
      <x:c r="D1941" s="58" t="n">
        <x:v>2</x:v>
      </x:c>
      <x:c r="E1941" s="58" t="n">
        <x:v>1</x:v>
      </x:c>
      <x:c r="F1941" s="58" t="str">
        <x:v>FINE</x:v>
      </x:c>
      <x:c r="G1941" s="58" t="n">
        <x:v>2</x:v>
      </x:c>
      <x:c r="H1941" s="59" t="n">
        <x:v>6.75</x:v>
      </x:c>
      <x:c r="I1941" s="59" t="n">
        <x:v>0.54694</x:v>
      </x:c>
      <x:c r="J1941" s="59" t="n">
        <x:v>0.54236</x:v>
      </x:c>
      <x:c r="K1941" s="59" t="n">
        <x:v>0.19234</x:v>
      </x:c>
      <x:c r="L1941" s="59" t="n">
        <x:v>0.29462</x:v>
      </x:c>
      <x:c r="M1941" s="59" t="n">
        <x:v>0.64676</x:v>
      </x:c>
      <x:c r="N1941" s="60" t="n">
        <x:v>-15.86</x:v>
      </x:c>
      <x:c r="O1941" s="60" t="n">
        <x:v>5.53</x:v>
      </x:c>
      <x:c r="P1941" s="60" t="n">
        <x:v>5.08</x:v>
      </x:c>
      <x:c r="Q1941" s="60" t="n">
        <x:v>76.5</x:v>
      </x:c>
      <x:c r="R1941" s="58" t="str">
        <x:v>X</x:v>
      </x:c>
      <x:c r="S1941" s="60" t="n">
        <x:v>100</x:v>
      </x:c>
      <x:c r="T1941" s="58" t="str">
        <x:v>VALID</x:v>
      </x:c>
      <x:c r="U1941" s="58" t="n">
        <x:v>3492</x:v>
      </x:c>
      <x:c r="V1941" s="58" t="str">
        <x:v>Pasted text(59).txt</x:v>
      </x:c>
    </x:row>
    <x:row r="1942">
      <x:c r="A1942" s="58" t="str">
        <x:v>S20</x:v>
      </x:c>
      <x:c r="B1942" s="58" t="str">
        <x:v>0.65 repeat-validation session at 268 Hz</x:v>
      </x:c>
      <x:c r="C1942" s="58" t="n">
        <x:v>0.65</x:v>
      </x:c>
      <x:c r="D1942" s="58" t="n">
        <x:v>2</x:v>
      </x:c>
      <x:c r="E1942" s="58" t="n">
        <x:v>1</x:v>
      </x:c>
      <x:c r="F1942" s="58" t="str">
        <x:v>FINE</x:v>
      </x:c>
      <x:c r="G1942" s="58" t="n">
        <x:v>3</x:v>
      </x:c>
      <x:c r="H1942" s="59" t="n">
        <x:v>7</x:v>
      </x:c>
      <x:c r="I1942" s="59" t="n">
        <x:v>0.5895</x:v>
      </x:c>
      <x:c r="J1942" s="59" t="n">
        <x:v>0.57781</x:v>
      </x:c>
      <x:c r="K1942" s="59" t="n">
        <x:v>0.16442</x:v>
      </x:c>
      <x:c r="L1942" s="59" t="n">
        <x:v>0.2856</x:v>
      </x:c>
      <x:c r="M1942" s="59" t="n">
        <x:v>0.66546</x:v>
      </x:c>
      <x:c r="N1942" s="60" t="n">
        <x:v>-9.31</x:v>
      </x:c>
      <x:c r="O1942" s="60" t="n">
        <x:v>0.54</x:v>
      </x:c>
      <x:c r="P1942" s="60" t="n">
        <x:v>3.83</x:v>
      </x:c>
      <x:c r="Q1942" s="60" t="n">
        <x:v>80.3</x:v>
      </x:c>
      <x:c r="R1942" s="58" t="str">
        <x:v>X</x:v>
      </x:c>
      <x:c r="S1942" s="60" t="n">
        <x:v>100</x:v>
      </x:c>
      <x:c r="T1942" s="58" t="str">
        <x:v>VALID</x:v>
      </x:c>
      <x:c r="U1942" s="58" t="n">
        <x:v>3493</x:v>
      </x:c>
      <x:c r="V1942" s="58" t="str">
        <x:v>Pasted text(59).txt</x:v>
      </x:c>
    </x:row>
    <x:row r="1943">
      <x:c r="A1943" s="58" t="str">
        <x:v>S20</x:v>
      </x:c>
      <x:c r="B1943" s="58" t="str">
        <x:v>0.65 repeat-validation session at 268 Hz</x:v>
      </x:c>
      <x:c r="C1943" s="58" t="n">
        <x:v>0.65</x:v>
      </x:c>
      <x:c r="D1943" s="58" t="n">
        <x:v>2</x:v>
      </x:c>
      <x:c r="E1943" s="58" t="n">
        <x:v>1</x:v>
      </x:c>
      <x:c r="F1943" s="58" t="str">
        <x:v>FINE</x:v>
      </x:c>
      <x:c r="G1943" s="58" t="n">
        <x:v>4</x:v>
      </x:c>
      <x:c r="H1943" s="59" t="n">
        <x:v>7.25</x:v>
      </x:c>
      <x:c r="I1943" s="59" t="n">
        <x:v>0.59164</x:v>
      </x:c>
      <x:c r="J1943" s="59" t="n">
        <x:v>0.58975</x:v>
      </x:c>
      <x:c r="K1943" s="59" t="n">
        <x:v>0.17872</x:v>
      </x:c>
      <x:c r="L1943" s="59" t="n">
        <x:v>0.28799</x:v>
      </x:c>
      <x:c r="M1943" s="59" t="n">
        <x:v>0.68086</x:v>
      </x:c>
      <x:c r="N1943" s="60" t="n">
        <x:v>-8.98</x:v>
      </x:c>
      <x:c r="O1943" s="60" t="n">
        <x:v>1.27</x:v>
      </x:c>
      <x:c r="P1943" s="60" t="n">
        <x:v>1.37</x:v>
      </x:c>
      <x:c r="Q1943" s="60" t="n">
        <x:v>82</x:v>
      </x:c>
      <x:c r="R1943" s="58" t="str">
        <x:v>X</x:v>
      </x:c>
      <x:c r="S1943" s="60" t="n">
        <x:v>100</x:v>
      </x:c>
      <x:c r="T1943" s="58" t="str">
        <x:v>VALID</x:v>
      </x:c>
      <x:c r="U1943" s="58" t="n">
        <x:v>3494</x:v>
      </x:c>
      <x:c r="V1943" s="58" t="str">
        <x:v>Pasted text(59).txt</x:v>
      </x:c>
    </x:row>
    <x:row r="1944">
      <x:c r="A1944" s="58" t="str">
        <x:v>S20</x:v>
      </x:c>
      <x:c r="B1944" s="58" t="str">
        <x:v>0.65 repeat-validation session at 268 Hz</x:v>
      </x:c>
      <x:c r="C1944" s="58" t="n">
        <x:v>0.65</x:v>
      </x:c>
      <x:c r="D1944" s="58" t="n">
        <x:v>2</x:v>
      </x:c>
      <x:c r="E1944" s="58" t="n">
        <x:v>1</x:v>
      </x:c>
      <x:c r="F1944" s="58" t="str">
        <x:v>FINE</x:v>
      </x:c>
      <x:c r="G1944" s="58" t="n">
        <x:v>5</x:v>
      </x:c>
      <x:c r="H1944" s="59" t="n">
        <x:v>7.5</x:v>
      </x:c>
      <x:c r="I1944" s="59" t="n">
        <x:v>0.60172</x:v>
      </x:c>
      <x:c r="J1944" s="59" t="n">
        <x:v>0.59701</x:v>
      </x:c>
      <x:c r="K1944" s="59" t="n">
        <x:v>0.17547</x:v>
      </x:c>
      <x:c r="L1944" s="59" t="n">
        <x:v>0.2968</x:v>
      </x:c>
      <x:c r="M1944" s="59" t="n">
        <x:v>0.69065</x:v>
      </x:c>
      <x:c r="N1944" s="60" t="n">
        <x:v>-7.43</x:v>
      </x:c>
      <x:c r="O1944" s="60" t="n">
        <x:v>0.23</x:v>
      </x:c>
      <x:c r="P1944" s="60" t="n">
        <x:v>1.5</x:v>
      </x:c>
      <x:c r="Q1944" s="60" t="n">
        <x:v>83.8</x:v>
      </x:c>
      <x:c r="R1944" s="58" t="str">
        <x:v>X</x:v>
      </x:c>
      <x:c r="S1944" s="60" t="n">
        <x:v>100</x:v>
      </x:c>
      <x:c r="T1944" s="58" t="str">
        <x:v>IN TARGET BAND</x:v>
      </x:c>
      <x:c r="U1944" s="58" t="n">
        <x:v>3495</x:v>
      </x:c>
      <x:c r="V1944" s="58" t="str">
        <x:v>Pasted text(59).txt</x:v>
      </x:c>
    </x:row>
    <x:row r="1945">
      <x:c r="A1945" s="58" t="str">
        <x:v>S20</x:v>
      </x:c>
      <x:c r="B1945" s="58" t="str">
        <x:v>0.65 repeat-validation session at 268 Hz</x:v>
      </x:c>
      <x:c r="C1945" s="58" t="n">
        <x:v>0.65</x:v>
      </x:c>
      <x:c r="D1945" s="58" t="n">
        <x:v>2</x:v>
      </x:c>
      <x:c r="E1945" s="58" t="n">
        <x:v>1</x:v>
      </x:c>
      <x:c r="F1945" s="58" t="str">
        <x:v>FINE</x:v>
      </x:c>
      <x:c r="G1945" s="58" t="n">
        <x:v>6</x:v>
      </x:c>
      <x:c r="H1945" s="59" t="n">
        <x:v>7.75</x:v>
      </x:c>
      <x:c r="I1945" s="59" t="n">
        <x:v>0.6408</x:v>
      </x:c>
      <x:c r="J1945" s="59" t="n">
        <x:v>0.64677</x:v>
      </x:c>
      <x:c r="K1945" s="59" t="n">
        <x:v>0.19091</x:v>
      </x:c>
      <x:c r="L1945" s="59" t="n">
        <x:v>0.31703</x:v>
      </x:c>
      <x:c r="M1945" s="59" t="n">
        <x:v>0.74525</x:v>
      </x:c>
      <x:c r="N1945" s="60" t="n">
        <x:v>-1.42</x:v>
      </x:c>
      <x:c r="O1945" s="60" t="n">
        <x:v>3.22</x:v>
      </x:c>
      <x:c r="P1945" s="60" t="n">
        <x:v>3.63</x:v>
      </x:c>
      <x:c r="Q1945" s="60" t="n">
        <x:v>81.3</x:v>
      </x:c>
      <x:c r="R1945" s="58" t="str">
        <x:v>X</x:v>
      </x:c>
      <x:c r="S1945" s="60" t="n">
        <x:v>100</x:v>
      </x:c>
      <x:c r="T1945" s="58" t="str">
        <x:v>IN TARGET BAND</x:v>
      </x:c>
      <x:c r="U1945" s="58" t="n">
        <x:v>3496</x:v>
      </x:c>
      <x:c r="V1945" s="58" t="str">
        <x:v>Pasted text(59).txt</x:v>
      </x:c>
    </x:row>
    <x:row r="1946">
      <x:c r="A1946" s="58" t="str">
        <x:v>S20</x:v>
      </x:c>
      <x:c r="B1946" s="58" t="str">
        <x:v>0.65 repeat-validation session at 268 Hz</x:v>
      </x:c>
      <x:c r="C1946" s="58" t="n">
        <x:v>0.65</x:v>
      </x:c>
      <x:c r="D1946" s="58" t="n">
        <x:v>2</x:v>
      </x:c>
      <x:c r="E1946" s="58" t="n">
        <x:v>1</x:v>
      </x:c>
      <x:c r="F1946" s="58" t="str">
        <x:v>FINE</x:v>
      </x:c>
      <x:c r="G1946" s="58" t="n">
        <x:v>7</x:v>
      </x:c>
      <x:c r="H1946" s="59" t="n">
        <x:v>8</x:v>
      </x:c>
      <x:c r="I1946" s="59" t="n">
        <x:v>0.66176</x:v>
      </x:c>
      <x:c r="J1946" s="59" t="n">
        <x:v>0.66838</x:v>
      </x:c>
      <x:c r="K1946" s="59" t="n">
        <x:v>0.21901</x:v>
      </x:c>
      <x:c r="L1946" s="59" t="n">
        <x:v>0.34048</x:v>
      </x:c>
      <x:c r="M1946" s="59" t="n">
        <x:v>0.7819</x:v>
      </x:c>
      <x:c r="N1946" s="60" t="n">
        <x:v>1.81</x:v>
      </x:c>
      <x:c r="O1946" s="60" t="n">
        <x:v>1.1</x:v>
      </x:c>
      <x:c r="P1946" s="60" t="n">
        <x:v>2.38</x:v>
      </x:c>
      <x:c r="Q1946" s="60" t="n">
        <x:v>84.7</x:v>
      </x:c>
      <x:c r="R1946" s="58" t="str">
        <x:v>X</x:v>
      </x:c>
      <x:c r="S1946" s="60" t="n">
        <x:v>100</x:v>
      </x:c>
      <x:c r="T1946" s="58" t="str">
        <x:v>IN TARGET BAND</x:v>
      </x:c>
      <x:c r="U1946" s="58" t="n">
        <x:v>3497</x:v>
      </x:c>
      <x:c r="V1946" s="58" t="str">
        <x:v>Pasted text(59).txt</x:v>
      </x:c>
    </x:row>
    <x:row r="1947">
      <x:c r="A1947" s="58" t="str">
        <x:v>S20</x:v>
      </x:c>
      <x:c r="B1947" s="58" t="str">
        <x:v>0.65 repeat-validation session at 268 Hz</x:v>
      </x:c>
      <x:c r="C1947" s="58" t="n">
        <x:v>0.65</x:v>
      </x:c>
      <x:c r="D1947" s="58" t="n">
        <x:v>2</x:v>
      </x:c>
      <x:c r="E1947" s="58" t="n">
        <x:v>1</x:v>
      </x:c>
      <x:c r="F1947" s="58" t="str">
        <x:v>FINE</x:v>
      </x:c>
      <x:c r="G1947" s="58" t="n">
        <x:v>8</x:v>
      </x:c>
      <x:c r="H1947" s="59" t="n">
        <x:v>8.25</x:v>
      </x:c>
      <x:c r="I1947" s="59" t="n">
        <x:v>0.69705</x:v>
      </x:c>
      <x:c r="J1947" s="59" t="n">
        <x:v>0.70209</x:v>
      </x:c>
      <x:c r="K1947" s="59" t="n">
        <x:v>0.21043</x:v>
      </x:c>
      <x:c r="L1947" s="59" t="n">
        <x:v>0.36945</x:v>
      </x:c>
      <x:c r="M1947" s="59" t="n">
        <x:v>0.82101</x:v>
      </x:c>
      <x:c r="N1947" s="60" t="n">
        <x:v>7.24</x:v>
      </x:c>
      <x:c r="O1947" s="60" t="n">
        <x:v>1.84</x:v>
      </x:c>
      <x:c r="P1947" s="60" t="n">
        <x:v>2.39</x:v>
      </x:c>
      <x:c r="Q1947" s="60" t="n">
        <x:v>85.8</x:v>
      </x:c>
      <x:c r="R1947" s="58" t="str">
        <x:v>X</x:v>
      </x:c>
      <x:c r="S1947" s="60" t="n">
        <x:v>100</x:v>
      </x:c>
      <x:c r="T1947" s="58" t="str">
        <x:v>IN TARGET BAND</x:v>
      </x:c>
      <x:c r="U1947" s="58" t="n">
        <x:v>3498</x:v>
      </x:c>
      <x:c r="V1947" s="58" t="str">
        <x:v>Pasted text(59).txt</x:v>
      </x:c>
    </x:row>
    <x:row r="1948">
      <x:c r="A1948" s="58" t="str">
        <x:v>S20</x:v>
      </x:c>
      <x:c r="B1948" s="58" t="str">
        <x:v>0.65 repeat-validation session at 268 Hz</x:v>
      </x:c>
      <x:c r="C1948" s="58" t="n">
        <x:v>0.65</x:v>
      </x:c>
      <x:c r="D1948" s="58" t="n">
        <x:v>2</x:v>
      </x:c>
      <x:c r="E1948" s="58" t="n">
        <x:v>1</x:v>
      </x:c>
      <x:c r="F1948" s="58" t="str">
        <x:v>FINE</x:v>
      </x:c>
      <x:c r="G1948" s="58" t="n">
        <x:v>9</x:v>
      </x:c>
      <x:c r="H1948" s="59" t="n">
        <x:v>8.5</x:v>
      </x:c>
      <x:c r="I1948" s="59" t="n">
        <x:v>0.69294</x:v>
      </x:c>
      <x:c r="J1948" s="59" t="n">
        <x:v>0.6933</x:v>
      </x:c>
      <x:c r="K1948" s="59" t="n">
        <x:v>0.22993</x:v>
      </x:c>
      <x:c r="L1948" s="59" t="n">
        <x:v>0.36088</x:v>
      </x:c>
      <x:c r="M1948" s="59" t="n">
        <x:v>0.81487</x:v>
      </x:c>
      <x:c r="N1948" s="60" t="n">
        <x:v>6.61</x:v>
      </x:c>
      <x:c r="O1948" s="60" t="n">
        <x:v>0.85</x:v>
      </x:c>
      <x:c r="P1948" s="60" t="n">
        <x:v>0.65</x:v>
      </x:c>
      <x:c r="Q1948" s="60" t="n">
        <x:v>84.5</x:v>
      </x:c>
      <x:c r="R1948" s="58" t="str">
        <x:v>X</x:v>
      </x:c>
      <x:c r="S1948" s="60" t="n">
        <x:v>100</x:v>
      </x:c>
      <x:c r="T1948" s="58" t="str">
        <x:v>IN TARGET BAND</x:v>
      </x:c>
      <x:c r="U1948" s="58" t="n">
        <x:v>3499</x:v>
      </x:c>
      <x:c r="V1948" s="58" t="str">
        <x:v>Pasted text(59).txt</x:v>
      </x:c>
    </x:row>
    <x:row r="1949">
      <x:c r="A1949" s="58" t="str">
        <x:v>S20</x:v>
      </x:c>
      <x:c r="B1949" s="58" t="str">
        <x:v>0.65 repeat-validation session at 268 Hz</x:v>
      </x:c>
      <x:c r="C1949" s="58" t="n">
        <x:v>0.65</x:v>
      </x:c>
      <x:c r="D1949" s="58" t="n">
        <x:v>2</x:v>
      </x:c>
      <x:c r="E1949" s="58" t="n">
        <x:v>1</x:v>
      </x:c>
      <x:c r="F1949" s="58" t="str">
        <x:v>FINAL</x:v>
      </x:c>
      <x:c r="G1949" s="58" t="n">
        <x:v>1</x:v>
      </x:c>
      <x:c r="H1949" s="59" t="n">
        <x:v>8</x:v>
      </x:c>
      <x:c r="I1949" s="59" t="n">
        <x:v>0.69875</x:v>
      </x:c>
      <x:c r="J1949" s="59" t="n">
        <x:v>0.68861</x:v>
      </x:c>
      <x:c r="K1949" s="59" t="n">
        <x:v>0.20523</x:v>
      </x:c>
      <x:c r="L1949" s="59" t="n">
        <x:v>0.34513</x:v>
      </x:c>
      <x:c r="M1949" s="59" t="n">
        <x:v>0.79736</x:v>
      </x:c>
      <x:c r="N1949" s="60" t="n">
        <x:v>7.5</x:v>
      </x:c>
      <x:c r="O1949" s="60" t="n">
        <x:v>2.57</x:v>
      </x:c>
      <x:c r="P1949" s="60" t="n">
        <x:v>3.96</x:v>
      </x:c>
      <x:c r="Q1949" s="60" t="n">
        <x:v>84.4</x:v>
      </x:c>
      <x:c r="R1949" s="58" t="str">
        <x:v>X</x:v>
      </x:c>
      <x:c r="S1949" s="60" t="n">
        <x:v>100</x:v>
      </x:c>
      <x:c r="T1949" s="58" t="str">
        <x:v>IN TARGET BAND</x:v>
      </x:c>
      <x:c r="U1949" s="58" t="n">
        <x:v>3502</x:v>
      </x:c>
      <x:c r="V1949" s="58" t="str">
        <x:v>Pasted text(59).txt</x:v>
      </x:c>
    </x:row>
    <x:row r="1950">
      <x:c r="A1950" s="58" t="str">
        <x:v>S20</x:v>
      </x:c>
      <x:c r="B1950" s="58" t="str">
        <x:v>0.65 repeat-validation session at 268 Hz</x:v>
      </x:c>
      <x:c r="C1950" s="58" t="n">
        <x:v>0.65</x:v>
      </x:c>
      <x:c r="D1950" s="58" t="n">
        <x:v>2</x:v>
      </x:c>
      <x:c r="E1950" s="58" t="n">
        <x:v>1</x:v>
      </x:c>
      <x:c r="F1950" s="58" t="str">
        <x:v>FINAL</x:v>
      </x:c>
      <x:c r="G1950" s="58" t="n">
        <x:v>2</x:v>
      </x:c>
      <x:c r="H1950" s="59" t="n">
        <x:v>8</x:v>
      </x:c>
      <x:c r="I1950" s="59" t="n">
        <x:v>0.66932</x:v>
      </x:c>
      <x:c r="J1950" s="59" t="n">
        <x:v>0.67161</x:v>
      </x:c>
      <x:c r="K1950" s="59" t="n">
        <x:v>0.21023</x:v>
      </x:c>
      <x:c r="L1950" s="59" t="n">
        <x:v>0.33213</x:v>
      </x:c>
      <x:c r="M1950" s="59" t="n">
        <x:v>0.77852</x:v>
      </x:c>
      <x:c r="N1950" s="60" t="n">
        <x:v>2.97</x:v>
      </x:c>
      <x:c r="O1950" s="60" t="n">
        <x:v>3.7</x:v>
      </x:c>
      <x:c r="P1950" s="60" t="n">
        <x:v>2.46</x:v>
      </x:c>
      <x:c r="Q1950" s="60" t="n">
        <x:v>83.8</x:v>
      </x:c>
      <x:c r="R1950" s="58" t="str">
        <x:v>X</x:v>
      </x:c>
      <x:c r="S1950" s="60" t="n">
        <x:v>100</x:v>
      </x:c>
      <x:c r="T1950" s="58" t="str">
        <x:v>IN TARGET BAND</x:v>
      </x:c>
      <x:c r="U1950" s="58" t="n">
        <x:v>3503</x:v>
      </x:c>
      <x:c r="V1950" s="58" t="str">
        <x:v>Pasted text(59).txt</x:v>
      </x:c>
    </x:row>
    <x:row r="1951">
      <x:c r="A1951" s="58" t="str">
        <x:v>S20</x:v>
      </x:c>
      <x:c r="B1951" s="58" t="str">
        <x:v>0.65 repeat-validation session at 268 Hz</x:v>
      </x:c>
      <x:c r="C1951" s="58" t="n">
        <x:v>0.65</x:v>
      </x:c>
      <x:c r="D1951" s="58" t="n">
        <x:v>3</x:v>
      </x:c>
      <x:c r="E1951" s="58" t="n">
        <x:v>1</x:v>
      </x:c>
      <x:c r="F1951" s="58" t="str">
        <x:v>SEARCH</x:v>
      </x:c>
      <x:c r="G1951" s="58" t="n">
        <x:v>1</x:v>
      </x:c>
      <x:c r="H1951" s="59" t="n">
        <x:v>1</x:v>
      </x:c>
      <x:c r="I1951" s="59" t="n">
        <x:v>0.01502</x:v>
      </x:c>
      <x:c r="J1951" s="59" t="n">
        <x:v>0.0154</x:v>
      </x:c>
      <x:c r="K1951" s="59" t="n">
        <x:v>0.01944</x:v>
      </x:c>
      <x:c r="L1951" s="59" t="n">
        <x:v>0.03152</x:v>
      </x:c>
      <x:c r="M1951" s="59" t="n">
        <x:v>0.04049</x:v>
      </x:c>
      <x:c r="N1951" s="60" t="n">
        <x:v>-97.69</x:v>
      </x:c>
      <x:c r="O1951" s="60" t="n">
        <x:v>7.47</x:v>
      </x:c>
      <x:c r="P1951" s="60" t="n">
        <x:v>3.48</x:v>
      </x:c>
      <x:c r="Q1951" s="60" t="n">
        <x:v>5.5</x:v>
      </x:c>
      <x:c r="R1951" s="58" t="str">
        <x:v>Z</x:v>
      </x:c>
      <x:c r="S1951" s="60" t="n">
        <x:v>48.9</x:v>
      </x:c>
      <x:c r="T1951" s="58" t="str">
        <x:v>BELOW MEASUREMENT FLOOR — SEARCH CONTINUES</x:v>
      </x:c>
      <x:c r="U1951" s="58" t="n">
        <x:v>3559</x:v>
      </x:c>
      <x:c r="V1951" s="58" t="str">
        <x:v>Pasted text(59).txt</x:v>
      </x:c>
    </x:row>
    <x:row r="1952">
      <x:c r="A1952" s="58" t="str">
        <x:v>S20</x:v>
      </x:c>
      <x:c r="B1952" s="58" t="str">
        <x:v>0.65 repeat-validation session at 268 Hz</x:v>
      </x:c>
      <x:c r="C1952" s="58" t="n">
        <x:v>0.65</x:v>
      </x:c>
      <x:c r="D1952" s="58" t="n">
        <x:v>3</x:v>
      </x:c>
      <x:c r="E1952" s="58" t="n">
        <x:v>1</x:v>
      </x:c>
      <x:c r="F1952" s="58" t="str">
        <x:v>SEARCH</x:v>
      </x:c>
      <x:c r="G1952" s="58" t="n">
        <x:v>2</x:v>
      </x:c>
      <x:c r="H1952" s="59" t="n">
        <x:v>3</x:v>
      </x:c>
      <x:c r="I1952" s="59" t="n">
        <x:v>0.16602</x:v>
      </x:c>
      <x:c r="J1952" s="59" t="n">
        <x:v>0.16421</x:v>
      </x:c>
      <x:c r="K1952" s="59" t="n">
        <x:v>0.05243</x:v>
      </x:c>
      <x:c r="L1952" s="59" t="n">
        <x:v>0.10516</x:v>
      </x:c>
      <x:c r="M1952" s="59" t="n">
        <x:v>0.20387</x:v>
      </x:c>
      <x:c r="N1952" s="60" t="n">
        <x:v>-74.46</x:v>
      </x:c>
      <x:c r="O1952" s="60" t="n">
        <x:v>3.25</x:v>
      </x:c>
      <x:c r="P1952" s="60" t="n">
        <x:v>3.99</x:v>
      </x:c>
      <x:c r="Q1952" s="60" t="n">
        <x:v>38.2</x:v>
      </x:c>
      <x:c r="R1952" s="58" t="str">
        <x:v>X</x:v>
      </x:c>
      <x:c r="S1952" s="60" t="n">
        <x:v>100</x:v>
      </x:c>
      <x:c r="T1952" s="58" t="str">
        <x:v>UNSTABLE — SEARCH CONTINUES</x:v>
      </x:c>
      <x:c r="U1952" s="58" t="n">
        <x:v>3560</x:v>
      </x:c>
      <x:c r="V1952" s="58" t="str">
        <x:v>Pasted text(59).txt</x:v>
      </x:c>
    </x:row>
    <x:row r="1953">
      <x:c r="A1953" s="58" t="str">
        <x:v>S20</x:v>
      </x:c>
      <x:c r="B1953" s="58" t="str">
        <x:v>0.65 repeat-validation session at 268 Hz</x:v>
      </x:c>
      <x:c r="C1953" s="58" t="n">
        <x:v>0.65</x:v>
      </x:c>
      <x:c r="D1953" s="58" t="n">
        <x:v>3</x:v>
      </x:c>
      <x:c r="E1953" s="58" t="n">
        <x:v>1</x:v>
      </x:c>
      <x:c r="F1953" s="58" t="str">
        <x:v>SEARCH</x:v>
      </x:c>
      <x:c r="G1953" s="58" t="n">
        <x:v>3</x:v>
      </x:c>
      <x:c r="H1953" s="59" t="n">
        <x:v>4</x:v>
      </x:c>
      <x:c r="I1953" s="59" t="n">
        <x:v>0.25753</x:v>
      </x:c>
      <x:c r="J1953" s="59" t="n">
        <x:v>0.26135</x:v>
      </x:c>
      <x:c r="K1953" s="59" t="n">
        <x:v>0.08253</x:v>
      </x:c>
      <x:c r="L1953" s="59" t="n">
        <x:v>0.14733</x:v>
      </x:c>
      <x:c r="M1953" s="59" t="n">
        <x:v>0.31231</x:v>
      </x:c>
      <x:c r="N1953" s="60" t="n">
        <x:v>-60.38</x:v>
      </x:c>
      <x:c r="O1953" s="60" t="n">
        <x:v>2.71</x:v>
      </x:c>
      <x:c r="P1953" s="60" t="n">
        <x:v>4.18</x:v>
      </x:c>
      <x:c r="Q1953" s="60" t="n">
        <x:v>54.7</x:v>
      </x:c>
      <x:c r="R1953" s="58" t="str">
        <x:v>X</x:v>
      </x:c>
      <x:c r="S1953" s="60" t="n">
        <x:v>100</x:v>
      </x:c>
      <x:c r="T1953" s="58" t="str">
        <x:v>VALID</x:v>
      </x:c>
      <x:c r="U1953" s="58" t="n">
        <x:v>3561</x:v>
      </x:c>
      <x:c r="V1953" s="58" t="str">
        <x:v>Pasted text(59).txt</x:v>
      </x:c>
    </x:row>
    <x:row r="1954">
      <x:c r="A1954" s="58" t="str">
        <x:v>S20</x:v>
      </x:c>
      <x:c r="B1954" s="58" t="str">
        <x:v>0.65 repeat-validation session at 268 Hz</x:v>
      </x:c>
      <x:c r="C1954" s="58" t="n">
        <x:v>0.65</x:v>
      </x:c>
      <x:c r="D1954" s="58" t="n">
        <x:v>3</x:v>
      </x:c>
      <x:c r="E1954" s="58" t="n">
        <x:v>1</x:v>
      </x:c>
      <x:c r="F1954" s="58" t="str">
        <x:v>SEARCH</x:v>
      </x:c>
      <x:c r="G1954" s="58" t="n">
        <x:v>4</x:v>
      </x:c>
      <x:c r="H1954" s="59" t="n">
        <x:v>5</x:v>
      </x:c>
      <x:c r="I1954" s="59" t="n">
        <x:v>0.36614</x:v>
      </x:c>
      <x:c r="J1954" s="59" t="n">
        <x:v>0.35986</x:v>
      </x:c>
      <x:c r="K1954" s="59" t="n">
        <x:v>0.09571</x:v>
      </x:c>
      <x:c r="L1954" s="59" t="n">
        <x:v>0.20292</x:v>
      </x:c>
      <x:c r="M1954" s="59" t="n">
        <x:v>0.42469</x:v>
      </x:c>
      <x:c r="N1954" s="60" t="n">
        <x:v>-43.67</x:v>
      </x:c>
      <x:c r="O1954" s="60" t="n">
        <x:v>1.22</x:v>
      </x:c>
      <x:c r="P1954" s="60" t="n">
        <x:v>3.77</x:v>
      </x:c>
      <x:c r="Q1954" s="60" t="n">
        <x:v>64.9</x:v>
      </x:c>
      <x:c r="R1954" s="58" t="str">
        <x:v>X</x:v>
      </x:c>
      <x:c r="S1954" s="60" t="n">
        <x:v>100</x:v>
      </x:c>
      <x:c r="T1954" s="58" t="str">
        <x:v>VALID</x:v>
      </x:c>
      <x:c r="U1954" s="58" t="n">
        <x:v>3562</x:v>
      </x:c>
      <x:c r="V1954" s="58" t="str">
        <x:v>Pasted text(59).txt</x:v>
      </x:c>
    </x:row>
    <x:row r="1955">
      <x:c r="A1955" s="58" t="str">
        <x:v>S20</x:v>
      </x:c>
      <x:c r="B1955" s="58" t="str">
        <x:v>0.65 repeat-validation session at 268 Hz</x:v>
      </x:c>
      <x:c r="C1955" s="58" t="n">
        <x:v>0.65</x:v>
      </x:c>
      <x:c r="D1955" s="58" t="n">
        <x:v>3</x:v>
      </x:c>
      <x:c r="E1955" s="58" t="n">
        <x:v>1</x:v>
      </x:c>
      <x:c r="F1955" s="58" t="str">
        <x:v>SEARCH</x:v>
      </x:c>
      <x:c r="G1955" s="58" t="n">
        <x:v>5</x:v>
      </x:c>
      <x:c r="H1955" s="59" t="n">
        <x:v>6</x:v>
      </x:c>
      <x:c r="I1955" s="59" t="n">
        <x:v>0.4516</x:v>
      </x:c>
      <x:c r="J1955" s="59" t="n">
        <x:v>0.4563</x:v>
      </x:c>
      <x:c r="K1955" s="59" t="n">
        <x:v>0.14637</x:v>
      </x:c>
      <x:c r="L1955" s="59" t="n">
        <x:v>0.24786</x:v>
      </x:c>
      <x:c r="M1955" s="59" t="n">
        <x:v>0.54024</x:v>
      </x:c>
      <x:c r="N1955" s="60" t="n">
        <x:v>-30.52</x:v>
      </x:c>
      <x:c r="O1955" s="60" t="n">
        <x:v>1.23</x:v>
      </x:c>
      <x:c r="P1955" s="60" t="n">
        <x:v>2.53</x:v>
      </x:c>
      <x:c r="Q1955" s="60" t="n">
        <x:v>71.7</x:v>
      </x:c>
      <x:c r="R1955" s="58" t="str">
        <x:v>X</x:v>
      </x:c>
      <x:c r="S1955" s="60" t="n">
        <x:v>100</x:v>
      </x:c>
      <x:c r="T1955" s="58" t="str">
        <x:v>VALID</x:v>
      </x:c>
      <x:c r="U1955" s="58" t="n">
        <x:v>3563</x:v>
      </x:c>
      <x:c r="V1955" s="58" t="str">
        <x:v>Pasted text(59).txt</x:v>
      </x:c>
    </x:row>
    <x:row r="1956">
      <x:c r="A1956" s="58" t="str">
        <x:v>S20</x:v>
      </x:c>
      <x:c r="B1956" s="58" t="str">
        <x:v>0.65 repeat-validation session at 268 Hz</x:v>
      </x:c>
      <x:c r="C1956" s="58" t="n">
        <x:v>0.65</x:v>
      </x:c>
      <x:c r="D1956" s="58" t="n">
        <x:v>3</x:v>
      </x:c>
      <x:c r="E1956" s="58" t="n">
        <x:v>1</x:v>
      </x:c>
      <x:c r="F1956" s="58" t="str">
        <x:v>SEARCH</x:v>
      </x:c>
      <x:c r="G1956" s="58" t="n">
        <x:v>6</x:v>
      </x:c>
      <x:c r="H1956" s="59" t="n">
        <x:v>6.5</x:v>
      </x:c>
      <x:c r="I1956" s="59" t="n">
        <x:v>0.49044</x:v>
      </x:c>
      <x:c r="J1956" s="59" t="n">
        <x:v>0.49759</x:v>
      </x:c>
      <x:c r="K1956" s="59" t="n">
        <x:v>0.14592</x:v>
      </x:c>
      <x:c r="L1956" s="59" t="n">
        <x:v>0.27596</x:v>
      </x:c>
      <x:c r="M1956" s="59" t="n">
        <x:v>0.58766</x:v>
      </x:c>
      <x:c r="N1956" s="60" t="n">
        <x:v>-24.55</x:v>
      </x:c>
      <x:c r="O1956" s="60" t="n">
        <x:v>1.42</x:v>
      </x:c>
      <x:c r="P1956" s="60" t="n">
        <x:v>3.34</x:v>
      </x:c>
      <x:c r="Q1956" s="60" t="n">
        <x:v>79.8</x:v>
      </x:c>
      <x:c r="R1956" s="58" t="str">
        <x:v>X</x:v>
      </x:c>
      <x:c r="S1956" s="60" t="n">
        <x:v>100</x:v>
      </x:c>
      <x:c r="T1956" s="58" t="str">
        <x:v>VALID</x:v>
      </x:c>
      <x:c r="U1956" s="58" t="n">
        <x:v>3564</x:v>
      </x:c>
      <x:c r="V1956" s="58" t="str">
        <x:v>Pasted text(59).txt</x:v>
      </x:c>
    </x:row>
    <x:row r="1957">
      <x:c r="A1957" s="58" t="str">
        <x:v>S20</x:v>
      </x:c>
      <x:c r="B1957" s="58" t="str">
        <x:v>0.65 repeat-validation session at 268 Hz</x:v>
      </x:c>
      <x:c r="C1957" s="58" t="n">
        <x:v>0.65</x:v>
      </x:c>
      <x:c r="D1957" s="58" t="n">
        <x:v>3</x:v>
      </x:c>
      <x:c r="E1957" s="58" t="n">
        <x:v>1</x:v>
      </x:c>
      <x:c r="F1957" s="58" t="str">
        <x:v>SEARCH</x:v>
      </x:c>
      <x:c r="G1957" s="58" t="n">
        <x:v>7</x:v>
      </x:c>
      <x:c r="H1957" s="59" t="n">
        <x:v>7</x:v>
      </x:c>
      <x:c r="I1957" s="59" t="n">
        <x:v>0.55137</x:v>
      </x:c>
      <x:c r="J1957" s="59" t="n">
        <x:v>0.55944</x:v>
      </x:c>
      <x:c r="K1957" s="59" t="n">
        <x:v>0.17283</x:v>
      </x:c>
      <x:c r="L1957" s="59" t="n">
        <x:v>0.312</x:v>
      </x:c>
      <x:c r="M1957" s="59" t="n">
        <x:v>0.66371</x:v>
      </x:c>
      <x:c r="N1957" s="60" t="n">
        <x:v>-15.17</x:v>
      </x:c>
      <x:c r="O1957" s="60" t="n">
        <x:v>0.77</x:v>
      </x:c>
      <x:c r="P1957" s="60" t="n">
        <x:v>2.95</x:v>
      </x:c>
      <x:c r="Q1957" s="60" t="n">
        <x:v>78.9</x:v>
      </x:c>
      <x:c r="R1957" s="58" t="str">
        <x:v>X</x:v>
      </x:c>
      <x:c r="S1957" s="60" t="n">
        <x:v>100</x:v>
      </x:c>
      <x:c r="T1957" s="58" t="str">
        <x:v>VALID</x:v>
      </x:c>
      <x:c r="U1957" s="58" t="n">
        <x:v>3565</x:v>
      </x:c>
      <x:c r="V1957" s="58" t="str">
        <x:v>Pasted text(59).txt</x:v>
      </x:c>
    </x:row>
    <x:row r="1958">
      <x:c r="A1958" s="58" t="str">
        <x:v>S20</x:v>
      </x:c>
      <x:c r="B1958" s="58" t="str">
        <x:v>0.65 repeat-validation session at 268 Hz</x:v>
      </x:c>
      <x:c r="C1958" s="58" t="n">
        <x:v>0.65</x:v>
      </x:c>
      <x:c r="D1958" s="58" t="n">
        <x:v>3</x:v>
      </x:c>
      <x:c r="E1958" s="58" t="n">
        <x:v>1</x:v>
      </x:c>
      <x:c r="F1958" s="58" t="str">
        <x:v>SEARCH</x:v>
      </x:c>
      <x:c r="G1958" s="58" t="n">
        <x:v>8</x:v>
      </x:c>
      <x:c r="H1958" s="59" t="n">
        <x:v>7.5</x:v>
      </x:c>
      <x:c r="I1958" s="59" t="n">
        <x:v>0.58662</x:v>
      </x:c>
      <x:c r="J1958" s="59" t="n">
        <x:v>0.58789</x:v>
      </x:c>
      <x:c r="K1958" s="59" t="n">
        <x:v>0.17919</x:v>
      </x:c>
      <x:c r="L1958" s="59" t="n">
        <x:v>0.33805</x:v>
      </x:c>
      <x:c r="M1958" s="59" t="n">
        <x:v>0.70151</x:v>
      </x:c>
      <x:c r="N1958" s="60" t="n">
        <x:v>-9.75</x:v>
      </x:c>
      <x:c r="O1958" s="60" t="n">
        <x:v>0.57</x:v>
      </x:c>
      <x:c r="P1958" s="60" t="n">
        <x:v>0.73</x:v>
      </x:c>
      <x:c r="Q1958" s="60" t="n">
        <x:v>83.8</x:v>
      </x:c>
      <x:c r="R1958" s="58" t="str">
        <x:v>X</x:v>
      </x:c>
      <x:c r="S1958" s="60" t="n">
        <x:v>100</x:v>
      </x:c>
      <x:c r="T1958" s="58" t="str">
        <x:v>VALID</x:v>
      </x:c>
      <x:c r="U1958" s="58" t="n">
        <x:v>3566</x:v>
      </x:c>
      <x:c r="V1958" s="58" t="str">
        <x:v>Pasted text(59).txt</x:v>
      </x:c>
    </x:row>
    <x:row r="1959">
      <x:c r="A1959" s="58" t="str">
        <x:v>S20</x:v>
      </x:c>
      <x:c r="B1959" s="58" t="str">
        <x:v>0.65 repeat-validation session at 268 Hz</x:v>
      </x:c>
      <x:c r="C1959" s="58" t="n">
        <x:v>0.65</x:v>
      </x:c>
      <x:c r="D1959" s="58" t="n">
        <x:v>3</x:v>
      </x:c>
      <x:c r="E1959" s="58" t="n">
        <x:v>1</x:v>
      </x:c>
      <x:c r="F1959" s="58" t="str">
        <x:v>SEARCH</x:v>
      </x:c>
      <x:c r="G1959" s="58" t="n">
        <x:v>9</x:v>
      </x:c>
      <x:c r="H1959" s="59" t="n">
        <x:v>7.75</x:v>
      </x:c>
      <x:c r="I1959" s="59" t="n">
        <x:v>0.64301</x:v>
      </x:c>
      <x:c r="J1959" s="59" t="n">
        <x:v>0.63935</x:v>
      </x:c>
      <x:c r="K1959" s="59" t="n">
        <x:v>0.18589</x:v>
      </x:c>
      <x:c r="L1959" s="59" t="n">
        <x:v>0.34266</x:v>
      </x:c>
      <x:c r="M1959" s="59" t="n">
        <x:v>0.74913</x:v>
      </x:c>
      <x:c r="N1959" s="60" t="n">
        <x:v>-1.07</x:v>
      </x:c>
      <x:c r="O1959" s="60" t="n">
        <x:v>1.55</x:v>
      </x:c>
      <x:c r="P1959" s="60" t="n">
        <x:v>1.98</x:v>
      </x:c>
      <x:c r="Q1959" s="60" t="n">
        <x:v>81.8</x:v>
      </x:c>
      <x:c r="R1959" s="58" t="str">
        <x:v>X</x:v>
      </x:c>
      <x:c r="S1959" s="60" t="n">
        <x:v>100</x:v>
      </x:c>
      <x:c r="T1959" s="58" t="str">
        <x:v>IN TARGET BAND</x:v>
      </x:c>
      <x:c r="U1959" s="58" t="n">
        <x:v>3567</x:v>
      </x:c>
      <x:c r="V1959" s="58" t="str">
        <x:v>Pasted text(59).txt</x:v>
      </x:c>
    </x:row>
    <x:row r="1960">
      <x:c r="A1960" s="58" t="str">
        <x:v>S20</x:v>
      </x:c>
      <x:c r="B1960" s="58" t="str">
        <x:v>0.65 repeat-validation session at 268 Hz</x:v>
      </x:c>
      <x:c r="C1960" s="58" t="n">
        <x:v>0.65</x:v>
      </x:c>
      <x:c r="D1960" s="58" t="n">
        <x:v>3</x:v>
      </x:c>
      <x:c r="E1960" s="58" t="n">
        <x:v>1</x:v>
      </x:c>
      <x:c r="F1960" s="58" t="str">
        <x:v>FINE</x:v>
      </x:c>
      <x:c r="G1960" s="58" t="n">
        <x:v>1</x:v>
      </x:c>
      <x:c r="H1960" s="59" t="n">
        <x:v>6.75</x:v>
      </x:c>
      <x:c r="I1960" s="59" t="n">
        <x:v>0.54056</x:v>
      </x:c>
      <x:c r="J1960" s="59" t="n">
        <x:v>0.54582</x:v>
      </x:c>
      <x:c r="K1960" s="59" t="n">
        <x:v>0.14484</x:v>
      </x:c>
      <x:c r="L1960" s="59" t="n">
        <x:v>0.29577</x:v>
      </x:c>
      <x:c r="M1960" s="59" t="n">
        <x:v>0.63779</x:v>
      </x:c>
      <x:c r="N1960" s="60" t="n">
        <x:v>-16.84</x:v>
      </x:c>
      <x:c r="O1960" s="60" t="n">
        <x:v>4.49</x:v>
      </x:c>
      <x:c r="P1960" s="60" t="n">
        <x:v>4.52</x:v>
      </x:c>
      <x:c r="Q1960" s="60" t="n">
        <x:v>77.2</x:v>
      </x:c>
      <x:c r="R1960" s="58" t="str">
        <x:v>X</x:v>
      </x:c>
      <x:c r="S1960" s="60" t="n">
        <x:v>100</x:v>
      </x:c>
      <x:c r="T1960" s="58" t="str">
        <x:v>VALID</x:v>
      </x:c>
      <x:c r="U1960" s="58" t="n">
        <x:v>3571</x:v>
      </x:c>
      <x:c r="V1960" s="58" t="str">
        <x:v>Pasted text(59).txt</x:v>
      </x:c>
    </x:row>
    <x:row r="1961">
      <x:c r="A1961" s="58" t="str">
        <x:v>S20</x:v>
      </x:c>
      <x:c r="B1961" s="58" t="str">
        <x:v>0.65 repeat-validation session at 268 Hz</x:v>
      </x:c>
      <x:c r="C1961" s="58" t="n">
        <x:v>0.65</x:v>
      </x:c>
      <x:c r="D1961" s="58" t="n">
        <x:v>3</x:v>
      </x:c>
      <x:c r="E1961" s="58" t="n">
        <x:v>1</x:v>
      </x:c>
      <x:c r="F1961" s="58" t="str">
        <x:v>FINE</x:v>
      </x:c>
      <x:c r="G1961" s="58" t="n">
        <x:v>2</x:v>
      </x:c>
      <x:c r="H1961" s="59" t="n">
        <x:v>7</x:v>
      </x:c>
      <x:c r="I1961" s="59" t="n">
        <x:v>0.57216</x:v>
      </x:c>
      <x:c r="J1961" s="59" t="n">
        <x:v>0.5693</x:v>
      </x:c>
      <x:c r="K1961" s="59" t="n">
        <x:v>0.18759</x:v>
      </x:c>
      <x:c r="L1961" s="59" t="n">
        <x:v>0.28671</x:v>
      </x:c>
      <x:c r="M1961" s="59" t="n">
        <x:v>0.66478</x:v>
      </x:c>
      <x:c r="N1961" s="60" t="n">
        <x:v>-11.98</x:v>
      </x:c>
      <x:c r="O1961" s="60" t="n">
        <x:v>0.74</x:v>
      </x:c>
      <x:c r="P1961" s="60" t="n">
        <x:v>1.33</x:v>
      </x:c>
      <x:c r="Q1961" s="60" t="n">
        <x:v>82</x:v>
      </x:c>
      <x:c r="R1961" s="58" t="str">
        <x:v>X</x:v>
      </x:c>
      <x:c r="S1961" s="60" t="n">
        <x:v>100</x:v>
      </x:c>
      <x:c r="T1961" s="58" t="str">
        <x:v>VALID</x:v>
      </x:c>
      <x:c r="U1961" s="58" t="n">
        <x:v>3572</x:v>
      </x:c>
      <x:c r="V1961" s="58" t="str">
        <x:v>Pasted text(59).txt</x:v>
      </x:c>
    </x:row>
    <x:row r="1962">
      <x:c r="A1962" s="58" t="str">
        <x:v>S20</x:v>
      </x:c>
      <x:c r="B1962" s="58" t="str">
        <x:v>0.65 repeat-validation session at 268 Hz</x:v>
      </x:c>
      <x:c r="C1962" s="58" t="n">
        <x:v>0.65</x:v>
      </x:c>
      <x:c r="D1962" s="58" t="n">
        <x:v>3</x:v>
      </x:c>
      <x:c r="E1962" s="58" t="n">
        <x:v>1</x:v>
      </x:c>
      <x:c r="F1962" s="58" t="str">
        <x:v>FINE</x:v>
      </x:c>
      <x:c r="G1962" s="58" t="n">
        <x:v>3</x:v>
      </x:c>
      <x:c r="H1962" s="59" t="n">
        <x:v>7.25</x:v>
      </x:c>
      <x:c r="I1962" s="59" t="n">
        <x:v>0.57587</x:v>
      </x:c>
      <x:c r="J1962" s="59" t="n">
        <x:v>0.567</x:v>
      </x:c>
      <x:c r="K1962" s="59" t="n">
        <x:v>0.17475</x:v>
      </x:c>
      <x:c r="L1962" s="59" t="n">
        <x:v>0.29217</x:v>
      </x:c>
      <x:c r="M1962" s="59" t="n">
        <x:v>0.66232</x:v>
      </x:c>
      <x:c r="N1962" s="60" t="n">
        <x:v>-11.4</x:v>
      </x:c>
      <x:c r="O1962" s="60" t="n">
        <x:v>1.52</x:v>
      </x:c>
      <x:c r="P1962" s="60" t="n">
        <x:v>3.65</x:v>
      </x:c>
      <x:c r="Q1962" s="60" t="n">
        <x:v>80.6</x:v>
      </x:c>
      <x:c r="R1962" s="58" t="str">
        <x:v>X</x:v>
      </x:c>
      <x:c r="S1962" s="60" t="n">
        <x:v>100</x:v>
      </x:c>
      <x:c r="T1962" s="58" t="str">
        <x:v>VALID</x:v>
      </x:c>
      <x:c r="U1962" s="58" t="n">
        <x:v>3573</x:v>
      </x:c>
      <x:c r="V1962" s="58" t="str">
        <x:v>Pasted text(59).txt</x:v>
      </x:c>
    </x:row>
    <x:row r="1963">
      <x:c r="A1963" s="58" t="str">
        <x:v>S20</x:v>
      </x:c>
      <x:c r="B1963" s="58" t="str">
        <x:v>0.65 repeat-validation session at 268 Hz</x:v>
      </x:c>
      <x:c r="C1963" s="58" t="n">
        <x:v>0.65</x:v>
      </x:c>
      <x:c r="D1963" s="58" t="n">
        <x:v>3</x:v>
      </x:c>
      <x:c r="E1963" s="58" t="n">
        <x:v>1</x:v>
      </x:c>
      <x:c r="F1963" s="58" t="str">
        <x:v>FINE</x:v>
      </x:c>
      <x:c r="G1963" s="58" t="n">
        <x:v>4</x:v>
      </x:c>
      <x:c r="H1963" s="59" t="n">
        <x:v>7.5</x:v>
      </x:c>
      <x:c r="I1963" s="59" t="n">
        <x:v>0.59975</x:v>
      </x:c>
      <x:c r="J1963" s="59" t="n">
        <x:v>0.59699</x:v>
      </x:c>
      <x:c r="K1963" s="59" t="n">
        <x:v>0.17217</x:v>
      </x:c>
      <x:c r="L1963" s="59" t="n">
        <x:v>0.31796</x:v>
      </x:c>
      <x:c r="M1963" s="59" t="n">
        <x:v>0.69849</x:v>
      </x:c>
      <x:c r="N1963" s="60" t="n">
        <x:v>-7.73</x:v>
      </x:c>
      <x:c r="O1963" s="60" t="n">
        <x:v>0.73</x:v>
      </x:c>
      <x:c r="P1963" s="60" t="n">
        <x:v>1.25</x:v>
      </x:c>
      <x:c r="Q1963" s="60" t="n">
        <x:v>84.2</x:v>
      </x:c>
      <x:c r="R1963" s="58" t="str">
        <x:v>X</x:v>
      </x:c>
      <x:c r="S1963" s="60" t="n">
        <x:v>100</x:v>
      </x:c>
      <x:c r="T1963" s="58" t="str">
        <x:v>VALID</x:v>
      </x:c>
      <x:c r="U1963" s="58" t="n">
        <x:v>3574</x:v>
      </x:c>
      <x:c r="V1963" s="58" t="str">
        <x:v>Pasted text(59).txt</x:v>
      </x:c>
    </x:row>
    <x:row r="1964">
      <x:c r="A1964" s="58" t="str">
        <x:v>S20</x:v>
      </x:c>
      <x:c r="B1964" s="58" t="str">
        <x:v>0.65 repeat-validation session at 268 Hz</x:v>
      </x:c>
      <x:c r="C1964" s="58" t="n">
        <x:v>0.65</x:v>
      </x:c>
      <x:c r="D1964" s="58" t="n">
        <x:v>3</x:v>
      </x:c>
      <x:c r="E1964" s="58" t="n">
        <x:v>1</x:v>
      </x:c>
      <x:c r="F1964" s="58" t="str">
        <x:v>FINE</x:v>
      </x:c>
      <x:c r="G1964" s="58" t="n">
        <x:v>5</x:v>
      </x:c>
      <x:c r="H1964" s="59" t="n">
        <x:v>7.75</x:v>
      </x:c>
      <x:c r="I1964" s="59" t="n">
        <x:v>0.63753</x:v>
      </x:c>
      <x:c r="J1964" s="59" t="n">
        <x:v>0.63749</x:v>
      </x:c>
      <x:c r="K1964" s="59" t="n">
        <x:v>0.18316</x:v>
      </x:c>
      <x:c r="L1964" s="59" t="n">
        <x:v>0.32599</x:v>
      </x:c>
      <x:c r="M1964" s="59" t="n">
        <x:v>0.7394</x:v>
      </x:c>
      <x:c r="N1964" s="60" t="n">
        <x:v>-1.92</x:v>
      </x:c>
      <x:c r="O1964" s="60" t="n">
        <x:v>3.27</x:v>
      </x:c>
      <x:c r="P1964" s="60" t="n">
        <x:v>2.21</x:v>
      </x:c>
      <x:c r="Q1964" s="60" t="n">
        <x:v>81.3</x:v>
      </x:c>
      <x:c r="R1964" s="58" t="str">
        <x:v>X</x:v>
      </x:c>
      <x:c r="S1964" s="60" t="n">
        <x:v>100</x:v>
      </x:c>
      <x:c r="T1964" s="58" t="str">
        <x:v>IN TARGET BAND</x:v>
      </x:c>
      <x:c r="U1964" s="58" t="n">
        <x:v>3575</x:v>
      </x:c>
      <x:c r="V1964" s="58" t="str">
        <x:v>Pasted text(59).txt</x:v>
      </x:c>
    </x:row>
    <x:row r="1965">
      <x:c r="A1965" s="58" t="str">
        <x:v>S20</x:v>
      </x:c>
      <x:c r="B1965" s="58" t="str">
        <x:v>0.65 repeat-validation session at 268 Hz</x:v>
      </x:c>
      <x:c r="C1965" s="58" t="n">
        <x:v>0.65</x:v>
      </x:c>
      <x:c r="D1965" s="58" t="n">
        <x:v>3</x:v>
      </x:c>
      <x:c r="E1965" s="58" t="n">
        <x:v>1</x:v>
      </x:c>
      <x:c r="F1965" s="58" t="str">
        <x:v>FINE</x:v>
      </x:c>
      <x:c r="G1965" s="58" t="n">
        <x:v>6</x:v>
      </x:c>
      <x:c r="H1965" s="59" t="n">
        <x:v>8</x:v>
      </x:c>
      <x:c r="I1965" s="59" t="n">
        <x:v>0.68085</x:v>
      </x:c>
      <x:c r="J1965" s="59" t="n">
        <x:v>0.6829</x:v>
      </x:c>
      <x:c r="K1965" s="59" t="n">
        <x:v>0.21914</x:v>
      </x:c>
      <x:c r="L1965" s="59" t="n">
        <x:v>0.3664</x:v>
      </x:c>
      <x:c r="M1965" s="59" t="n">
        <x:v>0.80559</x:v>
      </x:c>
      <x:c r="N1965" s="60" t="n">
        <x:v>4.75</x:v>
      </x:c>
      <x:c r="O1965" s="60" t="n">
        <x:v>2.77</x:v>
      </x:c>
      <x:c r="P1965" s="60" t="n">
        <x:v>2.32</x:v>
      </x:c>
      <x:c r="Q1965" s="60" t="n">
        <x:v>84</x:v>
      </x:c>
      <x:c r="R1965" s="58" t="str">
        <x:v>X</x:v>
      </x:c>
      <x:c r="S1965" s="60" t="n">
        <x:v>100</x:v>
      </x:c>
      <x:c r="T1965" s="58" t="str">
        <x:v>IN TARGET BAND</x:v>
      </x:c>
      <x:c r="U1965" s="58" t="n">
        <x:v>3576</x:v>
      </x:c>
      <x:c r="V1965" s="58" t="str">
        <x:v>Pasted text(59).txt</x:v>
      </x:c>
    </x:row>
    <x:row r="1966">
      <x:c r="A1966" s="58" t="str">
        <x:v>S20</x:v>
      </x:c>
      <x:c r="B1966" s="58" t="str">
        <x:v>0.65 repeat-validation session at 268 Hz</x:v>
      </x:c>
      <x:c r="C1966" s="58" t="n">
        <x:v>0.65</x:v>
      </x:c>
      <x:c r="D1966" s="58" t="n">
        <x:v>3</x:v>
      </x:c>
      <x:c r="E1966" s="58" t="n">
        <x:v>1</x:v>
      </x:c>
      <x:c r="F1966" s="58" t="str">
        <x:v>FINE</x:v>
      </x:c>
      <x:c r="G1966" s="58" t="n">
        <x:v>7</x:v>
      </x:c>
      <x:c r="H1966" s="59" t="n">
        <x:v>8.25</x:v>
      </x:c>
      <x:c r="I1966" s="59" t="n">
        <x:v>0.65666</x:v>
      </x:c>
      <x:c r="J1966" s="59" t="n">
        <x:v>0.66255</x:v>
      </x:c>
      <x:c r="K1966" s="59" t="n">
        <x:v>0.21154</x:v>
      </x:c>
      <x:c r="L1966" s="59" t="n">
        <x:v>0.34703</x:v>
      </x:c>
      <x:c r="M1966" s="59" t="n">
        <x:v>0.77756</x:v>
      </x:c>
      <x:c r="N1966" s="60" t="n">
        <x:v>1.03</x:v>
      </x:c>
      <x:c r="O1966" s="60" t="n">
        <x:v>0.69</x:v>
      </x:c>
      <x:c r="P1966" s="60" t="n">
        <x:v>1.95</x:v>
      </x:c>
      <x:c r="Q1966" s="60" t="n">
        <x:v>83.8</x:v>
      </x:c>
      <x:c r="R1966" s="58" t="str">
        <x:v>X</x:v>
      </x:c>
      <x:c r="S1966" s="60" t="n">
        <x:v>100</x:v>
      </x:c>
      <x:c r="T1966" s="58" t="str">
        <x:v>IN TARGET BAND</x:v>
      </x:c>
      <x:c r="U1966" s="58" t="n">
        <x:v>3577</x:v>
      </x:c>
      <x:c r="V1966" s="58" t="str">
        <x:v>Pasted text(59).txt</x:v>
      </x:c>
    </x:row>
    <x:row r="1967">
      <x:c r="A1967" s="58" t="str">
        <x:v>S20</x:v>
      </x:c>
      <x:c r="B1967" s="58" t="str">
        <x:v>0.65 repeat-validation session at 268 Hz</x:v>
      </x:c>
      <x:c r="C1967" s="58" t="n">
        <x:v>0.65</x:v>
      </x:c>
      <x:c r="D1967" s="58" t="n">
        <x:v>3</x:v>
      </x:c>
      <x:c r="E1967" s="58" t="n">
        <x:v>1</x:v>
      </x:c>
      <x:c r="F1967" s="58" t="str">
        <x:v>FINE</x:v>
      </x:c>
      <x:c r="G1967" s="58" t="n">
        <x:v>8</x:v>
      </x:c>
      <x:c r="H1967" s="59" t="n">
        <x:v>8.5</x:v>
      </x:c>
      <x:c r="I1967" s="59" t="n">
        <x:v>0.70811</x:v>
      </x:c>
      <x:c r="J1967" s="59" t="n">
        <x:v>0.69307</x:v>
      </x:c>
      <x:c r="K1967" s="59" t="n">
        <x:v>0.20349</x:v>
      </x:c>
      <x:c r="L1967" s="59" t="n">
        <x:v>0.37288</x:v>
      </x:c>
      <x:c r="M1967" s="59" t="n">
        <x:v>0.81298</x:v>
      </x:c>
      <x:c r="N1967" s="60" t="n">
        <x:v>8.94</x:v>
      </x:c>
      <x:c r="O1967" s="60" t="n">
        <x:v>0.4</x:v>
      </x:c>
      <x:c r="P1967" s="60" t="n">
        <x:v>4</x:v>
      </x:c>
      <x:c r="Q1967" s="60" t="n">
        <x:v>84.5</x:v>
      </x:c>
      <x:c r="R1967" s="58" t="str">
        <x:v>X</x:v>
      </x:c>
      <x:c r="S1967" s="60" t="n">
        <x:v>100</x:v>
      </x:c>
      <x:c r="T1967" s="58" t="str">
        <x:v>VALID</x:v>
      </x:c>
      <x:c r="U1967" s="58" t="n">
        <x:v>3578</x:v>
      </x:c>
      <x:c r="V1967" s="58" t="str">
        <x:v>Pasted text(59).txt</x:v>
      </x:c>
    </x:row>
    <x:row r="1968">
      <x:c r="A1968" s="58" t="str">
        <x:v>S20</x:v>
      </x:c>
      <x:c r="B1968" s="58" t="str">
        <x:v>0.65 repeat-validation session at 268 Hz</x:v>
      </x:c>
      <x:c r="C1968" s="58" t="n">
        <x:v>0.65</x:v>
      </x:c>
      <x:c r="D1968" s="58" t="n">
        <x:v>3</x:v>
      </x:c>
      <x:c r="E1968" s="58" t="n">
        <x:v>1</x:v>
      </x:c>
      <x:c r="F1968" s="58" t="str">
        <x:v>FINE</x:v>
      </x:c>
      <x:c r="G1968" s="58" t="n">
        <x:v>9</x:v>
      </x:c>
      <x:c r="H1968" s="59" t="n">
        <x:v>8.75</x:v>
      </x:c>
      <x:c r="I1968" s="59" t="n">
        <x:v>0.74278</x:v>
      </x:c>
      <x:c r="J1968" s="59" t="n">
        <x:v>0.74276</x:v>
      </x:c>
      <x:c r="K1968" s="59" t="n">
        <x:v>0.2043</x:v>
      </x:c>
      <x:c r="L1968" s="59" t="n">
        <x:v>0.38393</x:v>
      </x:c>
      <x:c r="M1968" s="59" t="n">
        <x:v>0.86127</x:v>
      </x:c>
      <x:c r="N1968" s="60" t="n">
        <x:v>14.27</x:v>
      </x:c>
      <x:c r="O1968" s="60" t="n">
        <x:v>0.35</x:v>
      </x:c>
      <x:c r="P1968" s="60" t="n">
        <x:v>0.24</x:v>
      </x:c>
      <x:c r="Q1968" s="60" t="n">
        <x:v>83.8</x:v>
      </x:c>
      <x:c r="R1968" s="58" t="str">
        <x:v>X</x:v>
      </x:c>
      <x:c r="S1968" s="60" t="n">
        <x:v>100</x:v>
      </x:c>
      <x:c r="T1968" s="58" t="str">
        <x:v>VALID</x:v>
      </x:c>
      <x:c r="U1968" s="58" t="n">
        <x:v>3579</x:v>
      </x:c>
      <x:c r="V1968" s="58" t="str">
        <x:v>Pasted text(59).txt</x:v>
      </x:c>
    </x:row>
    <x:row r="1969">
      <x:c r="A1969" s="58" t="str">
        <x:v>S20</x:v>
      </x:c>
      <x:c r="B1969" s="58" t="str">
        <x:v>0.65 repeat-validation session at 268 Hz</x:v>
      </x:c>
      <x:c r="C1969" s="58" t="n">
        <x:v>0.65</x:v>
      </x:c>
      <x:c r="D1969" s="58" t="n">
        <x:v>3</x:v>
      </x:c>
      <x:c r="E1969" s="58" t="n">
        <x:v>1</x:v>
      </x:c>
      <x:c r="F1969" s="58" t="str">
        <x:v>FINAL</x:v>
      </x:c>
      <x:c r="G1969" s="58" t="n">
        <x:v>1</x:v>
      </x:c>
      <x:c r="H1969" s="59" t="n">
        <x:v>8.25</x:v>
      </x:c>
      <x:c r="I1969" s="59" t="n">
        <x:v>0.68186</x:v>
      </x:c>
      <x:c r="J1969" s="59" t="n">
        <x:v>0.67966</x:v>
      </x:c>
      <x:c r="K1969" s="59" t="n">
        <x:v>0.21164</x:v>
      </x:c>
      <x:c r="L1969" s="59" t="n">
        <x:v>0.34539</x:v>
      </x:c>
      <x:c r="M1969" s="59" t="n">
        <x:v>0.79144</x:v>
      </x:c>
      <x:c r="N1969" s="60" t="n">
        <x:v>4.9</x:v>
      </x:c>
      <x:c r="O1969" s="60" t="n">
        <x:v>1.88</x:v>
      </x:c>
      <x:c r="P1969" s="60" t="n">
        <x:v>2.69</x:v>
      </x:c>
      <x:c r="Q1969" s="60" t="n">
        <x:v>84.8</x:v>
      </x:c>
      <x:c r="R1969" s="58" t="str">
        <x:v>X</x:v>
      </x:c>
      <x:c r="S1969" s="60" t="n">
        <x:v>100</x:v>
      </x:c>
      <x:c r="T1969" s="58" t="str">
        <x:v>IN TARGET BAND</x:v>
      </x:c>
      <x:c r="U1969" s="58" t="n">
        <x:v>3582</x:v>
      </x:c>
      <x:c r="V1969" s="58" t="str">
        <x:v>Pasted text(59).txt</x:v>
      </x:c>
    </x:row>
    <x:row r="1970">
      <x:c r="A1970" s="58" t="str">
        <x:v>S20</x:v>
      </x:c>
      <x:c r="B1970" s="58" t="str">
        <x:v>0.65 repeat-validation session at 268 Hz</x:v>
      </x:c>
      <x:c r="C1970" s="58" t="n">
        <x:v>0.65</x:v>
      </x:c>
      <x:c r="D1970" s="58" t="n">
        <x:v>3</x:v>
      </x:c>
      <x:c r="E1970" s="58" t="n">
        <x:v>1</x:v>
      </x:c>
      <x:c r="F1970" s="58" t="str">
        <x:v>FINAL</x:v>
      </x:c>
      <x:c r="G1970" s="58" t="n">
        <x:v>2</x:v>
      </x:c>
      <x:c r="H1970" s="59" t="n">
        <x:v>8.25</x:v>
      </x:c>
      <x:c r="I1970" s="59" t="n">
        <x:v>0.67933</x:v>
      </x:c>
      <x:c r="J1970" s="59" t="n">
        <x:v>0.67907</x:v>
      </x:c>
      <x:c r="K1970" s="59" t="n">
        <x:v>0.21543</x:v>
      </x:c>
      <x:c r="L1970" s="59" t="n">
        <x:v>0.35252</x:v>
      </x:c>
      <x:c r="M1970" s="59" t="n">
        <x:v>0.79516</x:v>
      </x:c>
      <x:c r="N1970" s="60" t="n">
        <x:v>4.51</x:v>
      </x:c>
      <x:c r="O1970" s="60" t="n">
        <x:v>1.73</x:v>
      </x:c>
      <x:c r="P1970" s="60" t="n">
        <x:v>1.6</x:v>
      </x:c>
      <x:c r="Q1970" s="60" t="n">
        <x:v>84.1</x:v>
      </x:c>
      <x:c r="R1970" s="58" t="str">
        <x:v>X</x:v>
      </x:c>
      <x:c r="S1970" s="60" t="n">
        <x:v>100</x:v>
      </x:c>
      <x:c r="T1970" s="58" t="str">
        <x:v>IN TARGET BAND</x:v>
      </x:c>
      <x:c r="U1970" s="58" t="n">
        <x:v>3583</x:v>
      </x:c>
      <x:c r="V1970" s="58" t="str">
        <x:v>Pasted text(59).txt</x:v>
      </x:c>
    </x:row>
    <x:row r="1971">
      <x:c r="A1971" s="58" t="str">
        <x:v>S20</x:v>
      </x:c>
      <x:c r="B1971" s="58" t="str">
        <x:v>0.65 repeat-validation session at 268 Hz</x:v>
      </x:c>
      <x:c r="C1971" s="58" t="n">
        <x:v>0.65</x:v>
      </x:c>
      <x:c r="D1971" s="58" t="n">
        <x:v>4</x:v>
      </x:c>
      <x:c r="E1971" s="58" t="n">
        <x:v>1</x:v>
      </x:c>
      <x:c r="F1971" s="58" t="str">
        <x:v>SEARCH</x:v>
      </x:c>
      <x:c r="G1971" s="58" t="n">
        <x:v>1</x:v>
      </x:c>
      <x:c r="H1971" s="59" t="n">
        <x:v>1</x:v>
      </x:c>
      <x:c r="I1971" s="59" t="n">
        <x:v>0.01027</x:v>
      </x:c>
      <x:c r="J1971" s="59" t="n">
        <x:v>0.00984</x:v>
      </x:c>
      <x:c r="K1971" s="59" t="n">
        <x:v>0.02049</x:v>
      </x:c>
      <x:c r="L1971" s="59" t="n">
        <x:v>0.03124</x:v>
      </x:c>
      <x:c r="M1971" s="59" t="n">
        <x:v>0.03871</x:v>
      </x:c>
      <x:c r="N1971" s="60" t="n">
        <x:v>-98.42</x:v>
      </x:c>
      <x:c r="O1971" s="60" t="n">
        <x:v>12.45</x:v>
      </x:c>
      <x:c r="P1971" s="60" t="n">
        <x:v>6.2</x:v>
      </x:c>
      <x:c r="Q1971" s="60" t="n">
        <x:v>3.3</x:v>
      </x:c>
      <x:c r="R1971" s="58" t="str">
        <x:v>Z</x:v>
      </x:c>
      <x:c r="S1971" s="60" t="n">
        <x:v>31.5</x:v>
      </x:c>
      <x:c r="T1971" s="58" t="str">
        <x:v>BELOW MEASUREMENT FLOOR — SEARCH CONTINUES</x:v>
      </x:c>
      <x:c r="U1971" s="58" t="n">
        <x:v>3639</x:v>
      </x:c>
      <x:c r="V1971" s="58" t="str">
        <x:v>Pasted text(59).txt</x:v>
      </x:c>
    </x:row>
    <x:row r="1972">
      <x:c r="A1972" s="58" t="str">
        <x:v>S20</x:v>
      </x:c>
      <x:c r="B1972" s="58" t="str">
        <x:v>0.65 repeat-validation session at 268 Hz</x:v>
      </x:c>
      <x:c r="C1972" s="58" t="n">
        <x:v>0.65</x:v>
      </x:c>
      <x:c r="D1972" s="58" t="n">
        <x:v>4</x:v>
      </x:c>
      <x:c r="E1972" s="58" t="n">
        <x:v>1</x:v>
      </x:c>
      <x:c r="F1972" s="58" t="str">
        <x:v>SEARCH</x:v>
      </x:c>
      <x:c r="G1972" s="58" t="n">
        <x:v>2</x:v>
      </x:c>
      <x:c r="H1972" s="59" t="n">
        <x:v>3</x:v>
      </x:c>
      <x:c r="I1972" s="59" t="n">
        <x:v>0.17521</x:v>
      </x:c>
      <x:c r="J1972" s="59" t="n">
        <x:v>0.17517</x:v>
      </x:c>
      <x:c r="K1972" s="59" t="n">
        <x:v>0.05401</x:v>
      </x:c>
      <x:c r="L1972" s="59" t="n">
        <x:v>0.09097</x:v>
      </x:c>
      <x:c r="M1972" s="59" t="n">
        <x:v>0.20622</x:v>
      </x:c>
      <x:c r="N1972" s="60" t="n">
        <x:v>-73.04</x:v>
      </x:c>
      <x:c r="O1972" s="60" t="n">
        <x:v>3.13</x:v>
      </x:c>
      <x:c r="P1972" s="60" t="n">
        <x:v>2.15</x:v>
      </x:c>
      <x:c r="Q1972" s="60" t="n">
        <x:v>40.4</x:v>
      </x:c>
      <x:c r="R1972" s="58" t="str">
        <x:v>X</x:v>
      </x:c>
      <x:c r="S1972" s="60" t="n">
        <x:v>100</x:v>
      </x:c>
      <x:c r="T1972" s="58" t="str">
        <x:v>UNSTABLE — SEARCH CONTINUES</x:v>
      </x:c>
      <x:c r="U1972" s="58" t="n">
        <x:v>3640</x:v>
      </x:c>
      <x:c r="V1972" s="58" t="str">
        <x:v>Pasted text(59).txt</x:v>
      </x:c>
    </x:row>
    <x:row r="1973">
      <x:c r="A1973" s="58" t="str">
        <x:v>S20</x:v>
      </x:c>
      <x:c r="B1973" s="58" t="str">
        <x:v>0.65 repeat-validation session at 268 Hz</x:v>
      </x:c>
      <x:c r="C1973" s="58" t="n">
        <x:v>0.65</x:v>
      </x:c>
      <x:c r="D1973" s="58" t="n">
        <x:v>4</x:v>
      </x:c>
      <x:c r="E1973" s="58" t="n">
        <x:v>1</x:v>
      </x:c>
      <x:c r="F1973" s="58" t="str">
        <x:v>SEARCH</x:v>
      </x:c>
      <x:c r="G1973" s="58" t="n">
        <x:v>3</x:v>
      </x:c>
      <x:c r="H1973" s="59" t="n">
        <x:v>4</x:v>
      </x:c>
      <x:c r="I1973" s="59" t="n">
        <x:v>0.25214</x:v>
      </x:c>
      <x:c r="J1973" s="59" t="n">
        <x:v>0.26134</x:v>
      </x:c>
      <x:c r="K1973" s="59" t="n">
        <x:v>0.07563</x:v>
      </x:c>
      <x:c r="L1973" s="59" t="n">
        <x:v>0.1275</x:v>
      </x:c>
      <x:c r="M1973" s="59" t="n">
        <x:v>0.30134</x:v>
      </x:c>
      <x:c r="N1973" s="60" t="n">
        <x:v>-61.21</x:v>
      </x:c>
      <x:c r="O1973" s="60" t="n">
        <x:v>2.2</x:v>
      </x:c>
      <x:c r="P1973" s="60" t="n">
        <x:v>7.38</x:v>
      </x:c>
      <x:c r="Q1973" s="60" t="n">
        <x:v>54.8</x:v>
      </x:c>
      <x:c r="R1973" s="58" t="str">
        <x:v>X</x:v>
      </x:c>
      <x:c r="S1973" s="60" t="n">
        <x:v>100</x:v>
      </x:c>
      <x:c r="T1973" s="58" t="str">
        <x:v>VALID</x:v>
      </x:c>
      <x:c r="U1973" s="58" t="n">
        <x:v>3641</x:v>
      </x:c>
      <x:c r="V1973" s="58" t="str">
        <x:v>Pasted text(59).txt</x:v>
      </x:c>
    </x:row>
    <x:row r="1974">
      <x:c r="A1974" s="58" t="str">
        <x:v>S20</x:v>
      </x:c>
      <x:c r="B1974" s="58" t="str">
        <x:v>0.65 repeat-validation session at 268 Hz</x:v>
      </x:c>
      <x:c r="C1974" s="58" t="n">
        <x:v>0.65</x:v>
      </x:c>
      <x:c r="D1974" s="58" t="n">
        <x:v>4</x:v>
      </x:c>
      <x:c r="E1974" s="58" t="n">
        <x:v>1</x:v>
      </x:c>
      <x:c r="F1974" s="58" t="str">
        <x:v>SEARCH</x:v>
      </x:c>
      <x:c r="G1974" s="58" t="n">
        <x:v>4</x:v>
      </x:c>
      <x:c r="H1974" s="59" t="n">
        <x:v>5</x:v>
      </x:c>
      <x:c r="I1974" s="59" t="n">
        <x:v>0.37539</x:v>
      </x:c>
      <x:c r="J1974" s="59" t="n">
        <x:v>0.3743</x:v>
      </x:c>
      <x:c r="K1974" s="59" t="n">
        <x:v>0.09758</x:v>
      </x:c>
      <x:c r="L1974" s="59" t="n">
        <x:v>0.19201</x:v>
      </x:c>
      <x:c r="M1974" s="59" t="n">
        <x:v>0.43195</x:v>
      </x:c>
      <x:c r="N1974" s="60" t="n">
        <x:v>-42.25</x:v>
      </x:c>
      <x:c r="O1974" s="60" t="n">
        <x:v>6.31</x:v>
      </x:c>
      <x:c r="P1974" s="60" t="n">
        <x:v>4.71</x:v>
      </x:c>
      <x:c r="Q1974" s="60" t="n">
        <x:v>64.6</x:v>
      </x:c>
      <x:c r="R1974" s="58" t="str">
        <x:v>X</x:v>
      </x:c>
      <x:c r="S1974" s="60" t="n">
        <x:v>100</x:v>
      </x:c>
      <x:c r="T1974" s="58" t="str">
        <x:v>VALID</x:v>
      </x:c>
      <x:c r="U1974" s="58" t="n">
        <x:v>3642</x:v>
      </x:c>
      <x:c r="V1974" s="58" t="str">
        <x:v>Pasted text(59).txt</x:v>
      </x:c>
    </x:row>
    <x:row r="1975">
      <x:c r="A1975" s="58" t="str">
        <x:v>S20</x:v>
      </x:c>
      <x:c r="B1975" s="58" t="str">
        <x:v>0.65 repeat-validation session at 268 Hz</x:v>
      </x:c>
      <x:c r="C1975" s="58" t="n">
        <x:v>0.65</x:v>
      </x:c>
      <x:c r="D1975" s="58" t="n">
        <x:v>4</x:v>
      </x:c>
      <x:c r="E1975" s="58" t="n">
        <x:v>1</x:v>
      </x:c>
      <x:c r="F1975" s="58" t="str">
        <x:v>SEARCH</x:v>
      </x:c>
      <x:c r="G1975" s="58" t="n">
        <x:v>5</x:v>
      </x:c>
      <x:c r="H1975" s="59" t="n">
        <x:v>6</x:v>
      </x:c>
      <x:c r="I1975" s="59" t="n">
        <x:v>0.44275</x:v>
      </x:c>
      <x:c r="J1975" s="59" t="n">
        <x:v>0.43768</x:v>
      </x:c>
      <x:c r="K1975" s="59" t="n">
        <x:v>0.13155</x:v>
      </x:c>
      <x:c r="L1975" s="59" t="n">
        <x:v>0.23394</x:v>
      </x:c>
      <x:c r="M1975" s="59" t="n">
        <x:v>0.51394</x:v>
      </x:c>
      <x:c r="N1975" s="60" t="n">
        <x:v>-31.88</x:v>
      </x:c>
      <x:c r="O1975" s="60" t="n">
        <x:v>0.11</x:v>
      </x:c>
      <x:c r="P1975" s="60" t="n">
        <x:v>2.07</x:v>
      </x:c>
      <x:c r="Q1975" s="60" t="n">
        <x:v>70.7</x:v>
      </x:c>
      <x:c r="R1975" s="58" t="str">
        <x:v>X</x:v>
      </x:c>
      <x:c r="S1975" s="60" t="n">
        <x:v>100</x:v>
      </x:c>
      <x:c r="T1975" s="58" t="str">
        <x:v>VALID</x:v>
      </x:c>
      <x:c r="U1975" s="58" t="n">
        <x:v>3643</x:v>
      </x:c>
      <x:c r="V1975" s="58" t="str">
        <x:v>Pasted text(59).txt</x:v>
      </x:c>
    </x:row>
    <x:row r="1976">
      <x:c r="A1976" s="58" t="str">
        <x:v>S20</x:v>
      </x:c>
      <x:c r="B1976" s="58" t="str">
        <x:v>0.65 repeat-validation session at 268 Hz</x:v>
      </x:c>
      <x:c r="C1976" s="58" t="n">
        <x:v>0.65</x:v>
      </x:c>
      <x:c r="D1976" s="58" t="n">
        <x:v>4</x:v>
      </x:c>
      <x:c r="E1976" s="58" t="n">
        <x:v>1</x:v>
      </x:c>
      <x:c r="F1976" s="58" t="str">
        <x:v>SEARCH</x:v>
      </x:c>
      <x:c r="G1976" s="58" t="n">
        <x:v>6</x:v>
      </x:c>
      <x:c r="H1976" s="59" t="n">
        <x:v>6.5</x:v>
      </x:c>
      <x:c r="I1976" s="59" t="n">
        <x:v>0.46313</x:v>
      </x:c>
      <x:c r="J1976" s="59" t="n">
        <x:v>0.46634</x:v>
      </x:c>
      <x:c r="K1976" s="59" t="n">
        <x:v>0.13739</x:v>
      </x:c>
      <x:c r="L1976" s="59" t="n">
        <x:v>0.24247</x:v>
      </x:c>
      <x:c r="M1976" s="59" t="n">
        <x:v>0.54383</x:v>
      </x:c>
      <x:c r="N1976" s="60" t="n">
        <x:v>-28.75</x:v>
      </x:c>
      <x:c r="O1976" s="60" t="n">
        <x:v>1.33</x:v>
      </x:c>
      <x:c r="P1976" s="60" t="n">
        <x:v>2.01</x:v>
      </x:c>
      <x:c r="Q1976" s="60" t="n">
        <x:v>75.7</x:v>
      </x:c>
      <x:c r="R1976" s="58" t="str">
        <x:v>X</x:v>
      </x:c>
      <x:c r="S1976" s="60" t="n">
        <x:v>100</x:v>
      </x:c>
      <x:c r="T1976" s="58" t="str">
        <x:v>VALID</x:v>
      </x:c>
      <x:c r="U1976" s="58" t="n">
        <x:v>3644</x:v>
      </x:c>
      <x:c r="V1976" s="58" t="str">
        <x:v>Pasted text(59).txt</x:v>
      </x:c>
    </x:row>
    <x:row r="1977">
      <x:c r="A1977" s="58" t="str">
        <x:v>S20</x:v>
      </x:c>
      <x:c r="B1977" s="58" t="str">
        <x:v>0.65 repeat-validation session at 268 Hz</x:v>
      </x:c>
      <x:c r="C1977" s="58" t="n">
        <x:v>0.65</x:v>
      </x:c>
      <x:c r="D1977" s="58" t="n">
        <x:v>4</x:v>
      </x:c>
      <x:c r="E1977" s="58" t="n">
        <x:v>1</x:v>
      </x:c>
      <x:c r="F1977" s="58" t="str">
        <x:v>SEARCH</x:v>
      </x:c>
      <x:c r="G1977" s="58" t="n">
        <x:v>7</x:v>
      </x:c>
      <x:c r="H1977" s="59" t="n">
        <x:v>7</x:v>
      </x:c>
      <x:c r="I1977" s="59" t="n">
        <x:v>0.55919</x:v>
      </x:c>
      <x:c r="J1977" s="59" t="n">
        <x:v>0.56037</x:v>
      </x:c>
      <x:c r="K1977" s="59" t="n">
        <x:v>0.14656</x:v>
      </x:c>
      <x:c r="L1977" s="59" t="n">
        <x:v>0.28557</x:v>
      </x:c>
      <x:c r="M1977" s="59" t="n">
        <x:v>0.64639</x:v>
      </x:c>
      <x:c r="N1977" s="60" t="n">
        <x:v>-13.97</x:v>
      </x:c>
      <x:c r="O1977" s="60" t="n">
        <x:v>0.88</x:v>
      </x:c>
      <x:c r="P1977" s="60" t="n">
        <x:v>0.93</x:v>
      </x:c>
      <x:c r="Q1977" s="60" t="n">
        <x:v>80.8</x:v>
      </x:c>
      <x:c r="R1977" s="58" t="str">
        <x:v>X</x:v>
      </x:c>
      <x:c r="S1977" s="60" t="n">
        <x:v>100</x:v>
      </x:c>
      <x:c r="T1977" s="58" t="str">
        <x:v>VALID</x:v>
      </x:c>
      <x:c r="U1977" s="58" t="n">
        <x:v>3645</x:v>
      </x:c>
      <x:c r="V1977" s="58" t="str">
        <x:v>Pasted text(59).txt</x:v>
      </x:c>
    </x:row>
    <x:row r="1978">
      <x:c r="A1978" s="58" t="str">
        <x:v>S20</x:v>
      </x:c>
      <x:c r="B1978" s="58" t="str">
        <x:v>0.65 repeat-validation session at 268 Hz</x:v>
      </x:c>
      <x:c r="C1978" s="58" t="n">
        <x:v>0.65</x:v>
      </x:c>
      <x:c r="D1978" s="58" t="n">
        <x:v>4</x:v>
      </x:c>
      <x:c r="E1978" s="58" t="n">
        <x:v>1</x:v>
      </x:c>
      <x:c r="F1978" s="58" t="str">
        <x:v>SEARCH</x:v>
      </x:c>
      <x:c r="G1978" s="58" t="n">
        <x:v>8</x:v>
      </x:c>
      <x:c r="H1978" s="59" t="n">
        <x:v>7.25</x:v>
      </x:c>
      <x:c r="I1978" s="59" t="n">
        <x:v>0.56702</x:v>
      </x:c>
      <x:c r="J1978" s="59" t="n">
        <x:v>0.56045</x:v>
      </x:c>
      <x:c r="K1978" s="59" t="n">
        <x:v>0.17317</x:v>
      </x:c>
      <x:c r="L1978" s="59" t="n">
        <x:v>0.28061</x:v>
      </x:c>
      <x:c r="M1978" s="59" t="n">
        <x:v>0.65041</x:v>
      </x:c>
      <x:c r="N1978" s="60" t="n">
        <x:v>-12.77</x:v>
      </x:c>
      <x:c r="O1978" s="60" t="n">
        <x:v>0.83</x:v>
      </x:c>
      <x:c r="P1978" s="60" t="n">
        <x:v>2.54</x:v>
      </x:c>
      <x:c r="Q1978" s="60" t="n">
        <x:v>78.9</x:v>
      </x:c>
      <x:c r="R1978" s="58" t="str">
        <x:v>X</x:v>
      </x:c>
      <x:c r="S1978" s="60" t="n">
        <x:v>100</x:v>
      </x:c>
      <x:c r="T1978" s="58" t="str">
        <x:v>VALID</x:v>
      </x:c>
      <x:c r="U1978" s="58" t="n">
        <x:v>3646</x:v>
      </x:c>
      <x:c r="V1978" s="58" t="str">
        <x:v>Pasted text(59).txt</x:v>
      </x:c>
    </x:row>
    <x:row r="1979">
      <x:c r="A1979" s="58" t="str">
        <x:v>S20</x:v>
      </x:c>
      <x:c r="B1979" s="58" t="str">
        <x:v>0.65 repeat-validation session at 268 Hz</x:v>
      </x:c>
      <x:c r="C1979" s="58" t="n">
        <x:v>0.65</x:v>
      </x:c>
      <x:c r="D1979" s="58" t="n">
        <x:v>4</x:v>
      </x:c>
      <x:c r="E1979" s="58" t="n">
        <x:v>1</x:v>
      </x:c>
      <x:c r="F1979" s="58" t="str">
        <x:v>SEARCH</x:v>
      </x:c>
      <x:c r="G1979" s="58" t="n">
        <x:v>9</x:v>
      </x:c>
      <x:c r="H1979" s="59" t="n">
        <x:v>7.5</x:v>
      </x:c>
      <x:c r="I1979" s="59" t="n">
        <x:v>0.58212</x:v>
      </x:c>
      <x:c r="J1979" s="59" t="n">
        <x:v>0.57848</x:v>
      </x:c>
      <x:c r="K1979" s="59" t="n">
        <x:v>0.15984</x:v>
      </x:c>
      <x:c r="L1979" s="59" t="n">
        <x:v>0.29658</x:v>
      </x:c>
      <x:c r="M1979" s="59" t="n">
        <x:v>0.66953</x:v>
      </x:c>
      <x:c r="N1979" s="60" t="n">
        <x:v>-10.44</x:v>
      </x:c>
      <x:c r="O1979" s="60" t="n">
        <x:v>2.6</x:v>
      </x:c>
      <x:c r="P1979" s="60" t="n">
        <x:v>2.77</x:v>
      </x:c>
      <x:c r="Q1979" s="60" t="n">
        <x:v>82</x:v>
      </x:c>
      <x:c r="R1979" s="58" t="str">
        <x:v>X</x:v>
      </x:c>
      <x:c r="S1979" s="60" t="n">
        <x:v>100</x:v>
      </x:c>
      <x:c r="T1979" s="58" t="str">
        <x:v>VALID</x:v>
      </x:c>
      <x:c r="U1979" s="58" t="n">
        <x:v>3647</x:v>
      </x:c>
      <x:c r="V1979" s="58" t="str">
        <x:v>Pasted text(59).txt</x:v>
      </x:c>
    </x:row>
    <x:row r="1980">
      <x:c r="A1980" s="58" t="str">
        <x:v>S20</x:v>
      </x:c>
      <x:c r="B1980" s="58" t="str">
        <x:v>0.65 repeat-validation session at 268 Hz</x:v>
      </x:c>
      <x:c r="C1980" s="58" t="n">
        <x:v>0.65</x:v>
      </x:c>
      <x:c r="D1980" s="58" t="n">
        <x:v>4</x:v>
      </x:c>
      <x:c r="E1980" s="58" t="n">
        <x:v>1</x:v>
      </x:c>
      <x:c r="F1980" s="58" t="str">
        <x:v>SEARCH</x:v>
      </x:c>
      <x:c r="G1980" s="58" t="n">
        <x:v>10</x:v>
      </x:c>
      <x:c r="H1980" s="59" t="n">
        <x:v>7.75</x:v>
      </x:c>
      <x:c r="I1980" s="59" t="n">
        <x:v>0.6298</x:v>
      </x:c>
      <x:c r="J1980" s="59" t="n">
        <x:v>0.6266</x:v>
      </x:c>
      <x:c r="K1980" s="59" t="n">
        <x:v>0.20277</x:v>
      </x:c>
      <x:c r="L1980" s="59" t="n">
        <x:v>0.31825</x:v>
      </x:c>
      <x:c r="M1980" s="59" t="n">
        <x:v>0.73171</x:v>
      </x:c>
      <x:c r="N1980" s="60" t="n">
        <x:v>-3.11</x:v>
      </x:c>
      <x:c r="O1980" s="60" t="n">
        <x:v>0.93</x:v>
      </x:c>
      <x:c r="P1980" s="60" t="n">
        <x:v>1.46</x:v>
      </x:c>
      <x:c r="Q1980" s="60" t="n">
        <x:v>81.3</x:v>
      </x:c>
      <x:c r="R1980" s="58" t="str">
        <x:v>X</x:v>
      </x:c>
      <x:c r="S1980" s="60" t="n">
        <x:v>100</x:v>
      </x:c>
      <x:c r="T1980" s="58" t="str">
        <x:v>IN TARGET BAND</x:v>
      </x:c>
      <x:c r="U1980" s="58" t="n">
        <x:v>3648</x:v>
      </x:c>
      <x:c r="V1980" s="58" t="str">
        <x:v>Pasted text(59).txt</x:v>
      </x:c>
    </x:row>
    <x:row r="1981">
      <x:c r="A1981" s="58" t="str">
        <x:v>S20</x:v>
      </x:c>
      <x:c r="B1981" s="58" t="str">
        <x:v>0.65 repeat-validation session at 268 Hz</x:v>
      </x:c>
      <x:c r="C1981" s="58" t="n">
        <x:v>0.65</x:v>
      </x:c>
      <x:c r="D1981" s="58" t="n">
        <x:v>4</x:v>
      </x:c>
      <x:c r="E1981" s="58" t="n">
        <x:v>1</x:v>
      </x:c>
      <x:c r="F1981" s="58" t="str">
        <x:v>FINE</x:v>
      </x:c>
      <x:c r="G1981" s="58" t="n">
        <x:v>1</x:v>
      </x:c>
      <x:c r="H1981" s="59" t="n">
        <x:v>6.75</x:v>
      </x:c>
      <x:c r="I1981" s="59" t="n">
        <x:v>0.5594</x:v>
      </x:c>
      <x:c r="J1981" s="59" t="n">
        <x:v>0.5439</x:v>
      </x:c>
      <x:c r="K1981" s="59" t="n">
        <x:v>0.13179</x:v>
      </x:c>
      <x:c r="L1981" s="59" t="n">
        <x:v>0.29255</x:v>
      </x:c>
      <x:c r="M1981" s="59" t="n">
        <x:v>0.63169</x:v>
      </x:c>
      <x:c r="N1981" s="60" t="n">
        <x:v>-13.94</x:v>
      </x:c>
      <x:c r="O1981" s="60" t="n">
        <x:v>2.26</x:v>
      </x:c>
      <x:c r="P1981" s="60" t="n">
        <x:v>6.34</x:v>
      </x:c>
      <x:c r="Q1981" s="60" t="n">
        <x:v>76.4</x:v>
      </x:c>
      <x:c r="R1981" s="58" t="str">
        <x:v>X</x:v>
      </x:c>
      <x:c r="S1981" s="60" t="n">
        <x:v>100</x:v>
      </x:c>
      <x:c r="T1981" s="58" t="str">
        <x:v>VALID</x:v>
      </x:c>
      <x:c r="U1981" s="58" t="n">
        <x:v>3652</x:v>
      </x:c>
      <x:c r="V1981" s="58" t="str">
        <x:v>Pasted text(59).txt</x:v>
      </x:c>
    </x:row>
    <x:row r="1982">
      <x:c r="A1982" s="58" t="str">
        <x:v>S20</x:v>
      </x:c>
      <x:c r="B1982" s="58" t="str">
        <x:v>0.65 repeat-validation session at 268 Hz</x:v>
      </x:c>
      <x:c r="C1982" s="58" t="n">
        <x:v>0.65</x:v>
      </x:c>
      <x:c r="D1982" s="58" t="n">
        <x:v>4</x:v>
      </x:c>
      <x:c r="E1982" s="58" t="n">
        <x:v>1</x:v>
      </x:c>
      <x:c r="F1982" s="58" t="str">
        <x:v>FINE</x:v>
      </x:c>
      <x:c r="G1982" s="58" t="n">
        <x:v>2</x:v>
      </x:c>
      <x:c r="H1982" s="59" t="n">
        <x:v>7</x:v>
      </x:c>
      <x:c r="I1982" s="59" t="n">
        <x:v>0.55073</x:v>
      </x:c>
      <x:c r="J1982" s="59" t="n">
        <x:v>0.54854</x:v>
      </x:c>
      <x:c r="K1982" s="59" t="n">
        <x:v>0.1565</x:v>
      </x:c>
      <x:c r="L1982" s="59" t="n">
        <x:v>0.26054</x:v>
      </x:c>
      <x:c r="M1982" s="59" t="n">
        <x:v>0.62757</x:v>
      </x:c>
      <x:c r="N1982" s="60" t="n">
        <x:v>-15.27</x:v>
      </x:c>
      <x:c r="O1982" s="60" t="n">
        <x:v>3.48</x:v>
      </x:c>
      <x:c r="P1982" s="60" t="n">
        <x:v>2.97</x:v>
      </x:c>
      <x:c r="Q1982" s="60" t="n">
        <x:v>80.5</x:v>
      </x:c>
      <x:c r="R1982" s="58" t="str">
        <x:v>X</x:v>
      </x:c>
      <x:c r="S1982" s="60" t="n">
        <x:v>100</x:v>
      </x:c>
      <x:c r="T1982" s="58" t="str">
        <x:v>VALID</x:v>
      </x:c>
      <x:c r="U1982" s="58" t="n">
        <x:v>3653</x:v>
      </x:c>
      <x:c r="V1982" s="58" t="str">
        <x:v>Pasted text(59).txt</x:v>
      </x:c>
    </x:row>
    <x:row r="1983">
      <x:c r="A1983" s="58" t="str">
        <x:v>S20</x:v>
      </x:c>
      <x:c r="B1983" s="58" t="str">
        <x:v>0.65 repeat-validation session at 268 Hz</x:v>
      </x:c>
      <x:c r="C1983" s="58" t="n">
        <x:v>0.65</x:v>
      </x:c>
      <x:c r="D1983" s="58" t="n">
        <x:v>4</x:v>
      </x:c>
      <x:c r="E1983" s="58" t="n">
        <x:v>1</x:v>
      </x:c>
      <x:c r="F1983" s="58" t="str">
        <x:v>FINE</x:v>
      </x:c>
      <x:c r="G1983" s="58" t="n">
        <x:v>3</x:v>
      </x:c>
      <x:c r="H1983" s="59" t="n">
        <x:v>7.25</x:v>
      </x:c>
      <x:c r="I1983" s="59" t="n">
        <x:v>0.57606</x:v>
      </x:c>
      <x:c r="J1983" s="59" t="n">
        <x:v>0.57008</x:v>
      </x:c>
      <x:c r="K1983" s="59" t="n">
        <x:v>0.17563</x:v>
      </x:c>
      <x:c r="L1983" s="59" t="n">
        <x:v>0.29394</x:v>
      </x:c>
      <x:c r="M1983" s="59" t="n">
        <x:v>0.66516</x:v>
      </x:c>
      <x:c r="N1983" s="60" t="n">
        <x:v>-11.37</x:v>
      </x:c>
      <x:c r="O1983" s="60" t="n">
        <x:v>1.96</x:v>
      </x:c>
      <x:c r="P1983" s="60" t="n">
        <x:v>3.05</x:v>
      </x:c>
      <x:c r="Q1983" s="60" t="n">
        <x:v>80.4</x:v>
      </x:c>
      <x:c r="R1983" s="58" t="str">
        <x:v>X</x:v>
      </x:c>
      <x:c r="S1983" s="60" t="n">
        <x:v>100</x:v>
      </x:c>
      <x:c r="T1983" s="58" t="str">
        <x:v>VALID</x:v>
      </x:c>
      <x:c r="U1983" s="58" t="n">
        <x:v>3654</x:v>
      </x:c>
      <x:c r="V1983" s="58" t="str">
        <x:v>Pasted text(59).txt</x:v>
      </x:c>
    </x:row>
    <x:row r="1984">
      <x:c r="A1984" s="58" t="str">
        <x:v>S20</x:v>
      </x:c>
      <x:c r="B1984" s="58" t="str">
        <x:v>0.65 repeat-validation session at 268 Hz</x:v>
      </x:c>
      <x:c r="C1984" s="58" t="n">
        <x:v>0.65</x:v>
      </x:c>
      <x:c r="D1984" s="58" t="n">
        <x:v>4</x:v>
      </x:c>
      <x:c r="E1984" s="58" t="n">
        <x:v>1</x:v>
      </x:c>
      <x:c r="F1984" s="58" t="str">
        <x:v>FINE</x:v>
      </x:c>
      <x:c r="G1984" s="58" t="n">
        <x:v>4</x:v>
      </x:c>
      <x:c r="H1984" s="59" t="n">
        <x:v>7.5</x:v>
      </x:c>
      <x:c r="I1984" s="59" t="n">
        <x:v>0.58816</x:v>
      </x:c>
      <x:c r="J1984" s="59" t="n">
        <x:v>0.58521</x:v>
      </x:c>
      <x:c r="K1984" s="59" t="n">
        <x:v>0.16856</x:v>
      </x:c>
      <x:c r="L1984" s="59" t="n">
        <x:v>0.31849</x:v>
      </x:c>
      <x:c r="M1984" s="59" t="n">
        <x:v>0.68791</x:v>
      </x:c>
      <x:c r="N1984" s="60" t="n">
        <x:v>-9.51</x:v>
      </x:c>
      <x:c r="O1984" s="60" t="n">
        <x:v>0.63</x:v>
      </x:c>
      <x:c r="P1984" s="60" t="n">
        <x:v>1.26</x:v>
      </x:c>
      <x:c r="Q1984" s="60" t="n">
        <x:v>83.9</x:v>
      </x:c>
      <x:c r="R1984" s="58" t="str">
        <x:v>X</x:v>
      </x:c>
      <x:c r="S1984" s="60" t="n">
        <x:v>100</x:v>
      </x:c>
      <x:c r="T1984" s="58" t="str">
        <x:v>VALID</x:v>
      </x:c>
      <x:c r="U1984" s="58" t="n">
        <x:v>3655</x:v>
      </x:c>
      <x:c r="V1984" s="58" t="str">
        <x:v>Pasted text(59).txt</x:v>
      </x:c>
    </x:row>
    <x:row r="1985">
      <x:c r="A1985" s="58" t="str">
        <x:v>S20</x:v>
      </x:c>
      <x:c r="B1985" s="58" t="str">
        <x:v>0.65 repeat-validation session at 268 Hz</x:v>
      </x:c>
      <x:c r="C1985" s="58" t="n">
        <x:v>0.65</x:v>
      </x:c>
      <x:c r="D1985" s="58" t="n">
        <x:v>4</x:v>
      </x:c>
      <x:c r="E1985" s="58" t="n">
        <x:v>1</x:v>
      </x:c>
      <x:c r="F1985" s="58" t="str">
        <x:v>FINE</x:v>
      </x:c>
      <x:c r="G1985" s="58" t="n">
        <x:v>5</x:v>
      </x:c>
      <x:c r="H1985" s="59" t="n">
        <x:v>7.75</x:v>
      </x:c>
      <x:c r="I1985" s="59" t="n">
        <x:v>0.61639</x:v>
      </x:c>
      <x:c r="J1985" s="59" t="n">
        <x:v>0.61793</x:v>
      </x:c>
      <x:c r="K1985" s="59" t="n">
        <x:v>0.18682</x:v>
      </x:c>
      <x:c r="L1985" s="59" t="n">
        <x:v>0.31168</x:v>
      </x:c>
      <x:c r="M1985" s="59" t="n">
        <x:v>0.71722</x:v>
      </x:c>
      <x:c r="N1985" s="60" t="n">
        <x:v>-5.17</x:v>
      </x:c>
      <x:c r="O1985" s="60" t="n">
        <x:v>2.92</x:v>
      </x:c>
      <x:c r="P1985" s="60" t="n">
        <x:v>2.35</x:v>
      </x:c>
      <x:c r="Q1985" s="60" t="n">
        <x:v>79.7</x:v>
      </x:c>
      <x:c r="R1985" s="58" t="str">
        <x:v>X</x:v>
      </x:c>
      <x:c r="S1985" s="60" t="n">
        <x:v>100</x:v>
      </x:c>
      <x:c r="T1985" s="58" t="str">
        <x:v>IN TARGET BAND</x:v>
      </x:c>
      <x:c r="U1985" s="58" t="n">
        <x:v>3656</x:v>
      </x:c>
      <x:c r="V1985" s="58" t="str">
        <x:v>Pasted text(59).txt</x:v>
      </x:c>
    </x:row>
    <x:row r="1986">
      <x:c r="A1986" s="58" t="str">
        <x:v>S20</x:v>
      </x:c>
      <x:c r="B1986" s="58" t="str">
        <x:v>0.65 repeat-validation session at 268 Hz</x:v>
      </x:c>
      <x:c r="C1986" s="58" t="n">
        <x:v>0.65</x:v>
      </x:c>
      <x:c r="D1986" s="58" t="n">
        <x:v>4</x:v>
      </x:c>
      <x:c r="E1986" s="58" t="n">
        <x:v>1</x:v>
      </x:c>
      <x:c r="F1986" s="58" t="str">
        <x:v>FINE</x:v>
      </x:c>
      <x:c r="G1986" s="58" t="n">
        <x:v>6</x:v>
      </x:c>
      <x:c r="H1986" s="59" t="n">
        <x:v>8</x:v>
      </x:c>
      <x:c r="I1986" s="59" t="n">
        <x:v>0.64979</x:v>
      </x:c>
      <x:c r="J1986" s="59" t="n">
        <x:v>0.65519</x:v>
      </x:c>
      <x:c r="K1986" s="59" t="n">
        <x:v>0.20056</x:v>
      </x:c>
      <x:c r="L1986" s="59" t="n">
        <x:v>0.34363</x:v>
      </x:c>
      <x:c r="M1986" s="59" t="n">
        <x:v>0.76668</x:v>
      </x:c>
      <x:c r="N1986" s="60" t="n">
        <x:v>-0.03</x:v>
      </x:c>
      <x:c r="O1986" s="60" t="n">
        <x:v>1.38</x:v>
      </x:c>
      <x:c r="P1986" s="60" t="n">
        <x:v>2.27</x:v>
      </x:c>
      <x:c r="Q1986" s="60" t="n">
        <x:v>83.8</x:v>
      </x:c>
      <x:c r="R1986" s="58" t="str">
        <x:v>X</x:v>
      </x:c>
      <x:c r="S1986" s="60" t="n">
        <x:v>100</x:v>
      </x:c>
      <x:c r="T1986" s="58" t="str">
        <x:v>IN TARGET BAND</x:v>
      </x:c>
      <x:c r="U1986" s="58" t="n">
        <x:v>3657</x:v>
      </x:c>
      <x:c r="V1986" s="58" t="str">
        <x:v>Pasted text(59).txt</x:v>
      </x:c>
    </x:row>
    <x:row r="1987">
      <x:c r="A1987" s="58" t="str">
        <x:v>S20</x:v>
      </x:c>
      <x:c r="B1987" s="58" t="str">
        <x:v>0.65 repeat-validation session at 268 Hz</x:v>
      </x:c>
      <x:c r="C1987" s="58" t="n">
        <x:v>0.65</x:v>
      </x:c>
      <x:c r="D1987" s="58" t="n">
        <x:v>4</x:v>
      </x:c>
      <x:c r="E1987" s="58" t="n">
        <x:v>1</x:v>
      </x:c>
      <x:c r="F1987" s="58" t="str">
        <x:v>FINE</x:v>
      </x:c>
      <x:c r="G1987" s="58" t="n">
        <x:v>7</x:v>
      </x:c>
      <x:c r="H1987" s="59" t="n">
        <x:v>8.25</x:v>
      </x:c>
      <x:c r="I1987" s="59" t="n">
        <x:v>0.67251</x:v>
      </x:c>
      <x:c r="J1987" s="59" t="n">
        <x:v>0.66542</x:v>
      </x:c>
      <x:c r="K1987" s="59" t="n">
        <x:v>0.21108</x:v>
      </x:c>
      <x:c r="L1987" s="59" t="n">
        <x:v>0.35925</x:v>
      </x:c>
      <x:c r="M1987" s="59" t="n">
        <x:v>0.78527</x:v>
      </x:c>
      <x:c r="N1987" s="60" t="n">
        <x:v>3.46</x:v>
      </x:c>
      <x:c r="O1987" s="60" t="n">
        <x:v>1.14</x:v>
      </x:c>
      <x:c r="P1987" s="60" t="n">
        <x:v>2.54</x:v>
      </x:c>
      <x:c r="Q1987" s="60" t="n">
        <x:v>81.7</x:v>
      </x:c>
      <x:c r="R1987" s="58" t="str">
        <x:v>X</x:v>
      </x:c>
      <x:c r="S1987" s="60" t="n">
        <x:v>100</x:v>
      </x:c>
      <x:c r="T1987" s="58" t="str">
        <x:v>IN TARGET BAND</x:v>
      </x:c>
      <x:c r="U1987" s="58" t="n">
        <x:v>3658</x:v>
      </x:c>
      <x:c r="V1987" s="58" t="str">
        <x:v>Pasted text(59).txt</x:v>
      </x:c>
    </x:row>
    <x:row r="1988">
      <x:c r="A1988" s="58" t="str">
        <x:v>S20</x:v>
      </x:c>
      <x:c r="B1988" s="58" t="str">
        <x:v>0.65 repeat-validation session at 268 Hz</x:v>
      </x:c>
      <x:c r="C1988" s="58" t="n">
        <x:v>0.65</x:v>
      </x:c>
      <x:c r="D1988" s="58" t="n">
        <x:v>4</x:v>
      </x:c>
      <x:c r="E1988" s="58" t="n">
        <x:v>1</x:v>
      </x:c>
      <x:c r="F1988" s="58" t="str">
        <x:v>FINE</x:v>
      </x:c>
      <x:c r="G1988" s="58" t="n">
        <x:v>8</x:v>
      </x:c>
      <x:c r="H1988" s="59" t="n">
        <x:v>8.5</x:v>
      </x:c>
      <x:c r="I1988" s="59" t="n">
        <x:v>0.69209</x:v>
      </x:c>
      <x:c r="J1988" s="59" t="n">
        <x:v>0.69083</x:v>
      </x:c>
      <x:c r="K1988" s="59" t="n">
        <x:v>0.2007</x:v>
      </x:c>
      <x:c r="L1988" s="59" t="n">
        <x:v>0.34781</x:v>
      </x:c>
      <x:c r="M1988" s="59" t="n">
        <x:v>0.79942</x:v>
      </x:c>
      <x:c r="N1988" s="60" t="n">
        <x:v>6.48</x:v>
      </x:c>
      <x:c r="O1988" s="60" t="n">
        <x:v>5.34</x:v>
      </x:c>
      <x:c r="P1988" s="60" t="n">
        <x:v>3.89</x:v>
      </x:c>
      <x:c r="Q1988" s="60" t="n">
        <x:v>86.3</x:v>
      </x:c>
      <x:c r="R1988" s="58" t="str">
        <x:v>X</x:v>
      </x:c>
      <x:c r="S1988" s="60" t="n">
        <x:v>100</x:v>
      </x:c>
      <x:c r="T1988" s="58" t="str">
        <x:v>IN TARGET BAND</x:v>
      </x:c>
      <x:c r="U1988" s="58" t="n">
        <x:v>3659</x:v>
      </x:c>
      <x:c r="V1988" s="58" t="str">
        <x:v>Pasted text(59).txt</x:v>
      </x:c>
    </x:row>
    <x:row r="1989">
      <x:c r="A1989" s="58" t="str">
        <x:v>S20</x:v>
      </x:c>
      <x:c r="B1989" s="58" t="str">
        <x:v>0.65 repeat-validation session at 268 Hz</x:v>
      </x:c>
      <x:c r="C1989" s="58" t="n">
        <x:v>0.65</x:v>
      </x:c>
      <x:c r="D1989" s="58" t="n">
        <x:v>4</x:v>
      </x:c>
      <x:c r="E1989" s="58" t="n">
        <x:v>1</x:v>
      </x:c>
      <x:c r="F1989" s="58" t="str">
        <x:v>FINE</x:v>
      </x:c>
      <x:c r="G1989" s="58" t="n">
        <x:v>9</x:v>
      </x:c>
      <x:c r="H1989" s="59" t="n">
        <x:v>8.75</x:v>
      </x:c>
      <x:c r="I1989" s="59" t="n">
        <x:v>0.71674</x:v>
      </x:c>
      <x:c r="J1989" s="59" t="n">
        <x:v>0.71842</x:v>
      </x:c>
      <x:c r="K1989" s="59" t="n">
        <x:v>0.19378</x:v>
      </x:c>
      <x:c r="L1989" s="59" t="n">
        <x:v>0.36091</x:v>
      </x:c>
      <x:c r="M1989" s="59" t="n">
        <x:v>0.82739</x:v>
      </x:c>
      <x:c r="N1989" s="60" t="n">
        <x:v>10.27</x:v>
      </x:c>
      <x:c r="O1989" s="60" t="n">
        <x:v>3.45</x:v>
      </x:c>
      <x:c r="P1989" s="60" t="n">
        <x:v>2.68</x:v>
      </x:c>
      <x:c r="Q1989" s="60" t="n">
        <x:v>83.2</x:v>
      </x:c>
      <x:c r="R1989" s="58" t="str">
        <x:v>X</x:v>
      </x:c>
      <x:c r="S1989" s="60" t="n">
        <x:v>100</x:v>
      </x:c>
      <x:c r="T1989" s="58" t="str">
        <x:v>VALID</x:v>
      </x:c>
      <x:c r="U1989" s="58" t="n">
        <x:v>3660</x:v>
      </x:c>
      <x:c r="V1989" s="58" t="str">
        <x:v>Pasted text(59).txt</x:v>
      </x:c>
    </x:row>
    <x:row r="1990">
      <x:c r="A1990" s="58" t="str">
        <x:v>S20</x:v>
      </x:c>
      <x:c r="B1990" s="58" t="str">
        <x:v>0.65 repeat-validation session at 268 Hz</x:v>
      </x:c>
      <x:c r="C1990" s="58" t="n">
        <x:v>0.65</x:v>
      </x:c>
      <x:c r="D1990" s="58" t="n">
        <x:v>4</x:v>
      </x:c>
      <x:c r="E1990" s="58" t="n">
        <x:v>1</x:v>
      </x:c>
      <x:c r="F1990" s="58" t="str">
        <x:v>FINAL</x:v>
      </x:c>
      <x:c r="G1990" s="58" t="n">
        <x:v>1</x:v>
      </x:c>
      <x:c r="H1990" s="59" t="n">
        <x:v>8</x:v>
      </x:c>
      <x:c r="I1990" s="59" t="n">
        <x:v>0.63415</x:v>
      </x:c>
      <x:c r="J1990" s="59" t="n">
        <x:v>0.64243</x:v>
      </x:c>
      <x:c r="K1990" s="59" t="n">
        <x:v>0.19163</x:v>
      </x:c>
      <x:c r="L1990" s="59" t="n">
        <x:v>0.31942</x:v>
      </x:c>
      <x:c r="M1990" s="59" t="n">
        <x:v>0.74297</x:v>
      </x:c>
      <x:c r="N1990" s="60" t="n">
        <x:v>-2.44</x:v>
      </x:c>
      <x:c r="O1990" s="60" t="n">
        <x:v>3.67</x:v>
      </x:c>
      <x:c r="P1990" s="60" t="n">
        <x:v>4.25</x:v>
      </x:c>
      <x:c r="Q1990" s="60" t="n">
        <x:v>82.3</x:v>
      </x:c>
      <x:c r="R1990" s="58" t="str">
        <x:v>X</x:v>
      </x:c>
      <x:c r="S1990" s="60" t="n">
        <x:v>100</x:v>
      </x:c>
      <x:c r="T1990" s="58" t="str">
        <x:v>IN TARGET BAND</x:v>
      </x:c>
      <x:c r="U1990" s="58" t="n">
        <x:v>3663</x:v>
      </x:c>
      <x:c r="V1990" s="58" t="str">
        <x:v>Pasted text(59).txt</x:v>
      </x:c>
    </x:row>
    <x:row r="1991">
      <x:c r="A1991" s="58" t="str">
        <x:v>S20</x:v>
      </x:c>
      <x:c r="B1991" s="58" t="str">
        <x:v>0.65 repeat-validation session at 268 Hz</x:v>
      </x:c>
      <x:c r="C1991" s="58" t="n">
        <x:v>0.65</x:v>
      </x:c>
      <x:c r="D1991" s="58" t="n">
        <x:v>4</x:v>
      </x:c>
      <x:c r="E1991" s="58" t="n">
        <x:v>1</x:v>
      </x:c>
      <x:c r="F1991" s="58" t="str">
        <x:v>FINAL</x:v>
      </x:c>
      <x:c r="G1991" s="58" t="n">
        <x:v>2</x:v>
      </x:c>
      <x:c r="H1991" s="59" t="n">
        <x:v>8</x:v>
      </x:c>
      <x:c r="I1991" s="59" t="n">
        <x:v>0.65596</x:v>
      </x:c>
      <x:c r="J1991" s="59" t="n">
        <x:v>0.66047</x:v>
      </x:c>
      <x:c r="K1991" s="59" t="n">
        <x:v>0.19654</x:v>
      </x:c>
      <x:c r="L1991" s="59" t="n">
        <x:v>0.33498</x:v>
      </x:c>
      <x:c r="M1991" s="59" t="n">
        <x:v>0.76679</x:v>
      </x:c>
      <x:c r="N1991" s="60" t="n">
        <x:v>0.92</x:v>
      </x:c>
      <x:c r="O1991" s="60" t="n">
        <x:v>0.94</x:v>
      </x:c>
      <x:c r="P1991" s="60" t="n">
        <x:v>2.29</x:v>
      </x:c>
      <x:c r="Q1991" s="60" t="n">
        <x:v>83</x:v>
      </x:c>
      <x:c r="R1991" s="58" t="str">
        <x:v>X</x:v>
      </x:c>
      <x:c r="S1991" s="60" t="n">
        <x:v>100</x:v>
      </x:c>
      <x:c r="T1991" s="58" t="str">
        <x:v>IN TARGET BAND</x:v>
      </x:c>
      <x:c r="U1991" s="58" t="n">
        <x:v>3664</x:v>
      </x:c>
      <x:c r="V1991" s="58" t="str">
        <x:v>Pasted text(59).txt</x:v>
      </x:c>
    </x:row>
    <x:row r="1992">
      <x:c r="A1992" s="58" t="str">
        <x:v>S20</x:v>
      </x:c>
      <x:c r="B1992" s="58" t="str">
        <x:v>0.65 repeat-validation session at 268 Hz</x:v>
      </x:c>
      <x:c r="C1992" s="58" t="n">
        <x:v>0.65</x:v>
      </x:c>
      <x:c r="D1992" s="58" t="n">
        <x:v>5</x:v>
      </x:c>
      <x:c r="E1992" s="58" t="n">
        <x:v>1</x:v>
      </x:c>
      <x:c r="F1992" s="58" t="str">
        <x:v>SEARCH</x:v>
      </x:c>
      <x:c r="G1992" s="58" t="n">
        <x:v>1</x:v>
      </x:c>
      <x:c r="H1992" s="59" t="n">
        <x:v>1</x:v>
      </x:c>
      <x:c r="I1992" s="59" t="n">
        <x:v>0.01264</x:v>
      </x:c>
      <x:c r="J1992" s="59" t="n">
        <x:v>0.01219</x:v>
      </x:c>
      <x:c r="K1992" s="59" t="n">
        <x:v>0.02522</x:v>
      </x:c>
      <x:c r="L1992" s="59" t="n">
        <x:v>0.02803</x:v>
      </x:c>
      <x:c r="M1992" s="59" t="n">
        <x:v>0.04042</x:v>
      </x:c>
      <x:c r="N1992" s="60" t="n">
        <x:v>-98.06</x:v>
      </x:c>
      <x:c r="O1992" s="60" t="n">
        <x:v>10.56</x:v>
      </x:c>
      <x:c r="P1992" s="60" t="n">
        <x:v>5.22</x:v>
      </x:c>
      <x:c r="Q1992" s="60" t="n">
        <x:v>4.4</x:v>
      </x:c>
      <x:c r="R1992" s="58" t="str">
        <x:v>Z</x:v>
      </x:c>
      <x:c r="S1992" s="60" t="n">
        <x:v>43.5</x:v>
      </x:c>
      <x:c r="T1992" s="58" t="str">
        <x:v>BELOW MEASUREMENT FLOOR — SEARCH CONTINUES</x:v>
      </x:c>
      <x:c r="U1992" s="58" t="n">
        <x:v>3720</x:v>
      </x:c>
      <x:c r="V1992" s="58" t="str">
        <x:v>Pasted text(59).txt</x:v>
      </x:c>
    </x:row>
    <x:row r="1993">
      <x:c r="A1993" s="58" t="str">
        <x:v>S20</x:v>
      </x:c>
      <x:c r="B1993" s="58" t="str">
        <x:v>0.65 repeat-validation session at 268 Hz</x:v>
      </x:c>
      <x:c r="C1993" s="58" t="n">
        <x:v>0.65</x:v>
      </x:c>
      <x:c r="D1993" s="58" t="n">
        <x:v>5</x:v>
      </x:c>
      <x:c r="E1993" s="58" t="n">
        <x:v>1</x:v>
      </x:c>
      <x:c r="F1993" s="58" t="str">
        <x:v>SEARCH</x:v>
      </x:c>
      <x:c r="G1993" s="58" t="n">
        <x:v>2</x:v>
      </x:c>
      <x:c r="H1993" s="59" t="n">
        <x:v>3</x:v>
      </x:c>
      <x:c r="I1993" s="59" t="n">
        <x:v>0.17321</x:v>
      </x:c>
      <x:c r="J1993" s="59" t="n">
        <x:v>0.1727</x:v>
      </x:c>
      <x:c r="K1993" s="59" t="n">
        <x:v>0.04554</x:v>
      </x:c>
      <x:c r="L1993" s="59" t="n">
        <x:v>0.10217</x:v>
      </x:c>
      <x:c r="M1993" s="59" t="n">
        <x:v>0.20718</x:v>
      </x:c>
      <x:c r="N1993" s="60" t="n">
        <x:v>-73.35</x:v>
      </x:c>
      <x:c r="O1993" s="60" t="n">
        <x:v>5.68</x:v>
      </x:c>
      <x:c r="P1993" s="60" t="n">
        <x:v>4.3</x:v>
      </x:c>
      <x:c r="Q1993" s="60" t="n">
        <x:v>41.1</x:v>
      </x:c>
      <x:c r="R1993" s="58" t="str">
        <x:v>X</x:v>
      </x:c>
      <x:c r="S1993" s="60" t="n">
        <x:v>100</x:v>
      </x:c>
      <x:c r="T1993" s="58" t="str">
        <x:v>UNSTABLE — SEARCH CONTINUES</x:v>
      </x:c>
      <x:c r="U1993" s="58" t="n">
        <x:v>3721</x:v>
      </x:c>
      <x:c r="V1993" s="58" t="str">
        <x:v>Pasted text(59).txt</x:v>
      </x:c>
    </x:row>
    <x:row r="1994">
      <x:c r="A1994" s="58" t="str">
        <x:v>S20</x:v>
      </x:c>
      <x:c r="B1994" s="58" t="str">
        <x:v>0.65 repeat-validation session at 268 Hz</x:v>
      </x:c>
      <x:c r="C1994" s="58" t="n">
        <x:v>0.65</x:v>
      </x:c>
      <x:c r="D1994" s="58" t="n">
        <x:v>5</x:v>
      </x:c>
      <x:c r="E1994" s="58" t="n">
        <x:v>1</x:v>
      </x:c>
      <x:c r="F1994" s="58" t="str">
        <x:v>SEARCH</x:v>
      </x:c>
      <x:c r="G1994" s="58" t="n">
        <x:v>3</x:v>
      </x:c>
      <x:c r="H1994" s="59" t="n">
        <x:v>4</x:v>
      </x:c>
      <x:c r="I1994" s="59" t="n">
        <x:v>0.26349</x:v>
      </x:c>
      <x:c r="J1994" s="59" t="n">
        <x:v>0.25698</x:v>
      </x:c>
      <x:c r="K1994" s="59" t="n">
        <x:v>0.08299</x:v>
      </x:c>
      <x:c r="L1994" s="59" t="n">
        <x:v>0.16059</x:v>
      </x:c>
      <x:c r="M1994" s="59" t="n">
        <x:v>0.31435</x:v>
      </x:c>
      <x:c r="N1994" s="60" t="n">
        <x:v>-59.46</x:v>
      </x:c>
      <x:c r="O1994" s="60" t="n">
        <x:v>6.83</x:v>
      </x:c>
      <x:c r="P1994" s="60" t="n">
        <x:v>8.8</x:v>
      </x:c>
      <x:c r="Q1994" s="60" t="n">
        <x:v>53.6</x:v>
      </x:c>
      <x:c r="R1994" s="58" t="str">
        <x:v>X</x:v>
      </x:c>
      <x:c r="S1994" s="60" t="n">
        <x:v>100</x:v>
      </x:c>
      <x:c r="T1994" s="58" t="str">
        <x:v>VALID</x:v>
      </x:c>
      <x:c r="U1994" s="58" t="n">
        <x:v>3722</x:v>
      </x:c>
      <x:c r="V1994" s="58" t="str">
        <x:v>Pasted text(59).txt</x:v>
      </x:c>
    </x:row>
    <x:row r="1995">
      <x:c r="A1995" s="58" t="str">
        <x:v>S20</x:v>
      </x:c>
      <x:c r="B1995" s="58" t="str">
        <x:v>0.65 repeat-validation session at 268 Hz</x:v>
      </x:c>
      <x:c r="C1995" s="58" t="n">
        <x:v>0.65</x:v>
      </x:c>
      <x:c r="D1995" s="58" t="n">
        <x:v>5</x:v>
      </x:c>
      <x:c r="E1995" s="58" t="n">
        <x:v>1</x:v>
      </x:c>
      <x:c r="F1995" s="58" t="str">
        <x:v>SEARCH</x:v>
      </x:c>
      <x:c r="G1995" s="58" t="n">
        <x:v>4</x:v>
      </x:c>
      <x:c r="H1995" s="59" t="n">
        <x:v>5</x:v>
      </x:c>
      <x:c r="I1995" s="59" t="n">
        <x:v>0.37603</x:v>
      </x:c>
      <x:c r="J1995" s="59" t="n">
        <x:v>0.36828</x:v>
      </x:c>
      <x:c r="K1995" s="59" t="n">
        <x:v>0.09122</x:v>
      </x:c>
      <x:c r="L1995" s="59" t="n">
        <x:v>0.19587</x:v>
      </x:c>
      <x:c r="M1995" s="59" t="n">
        <x:v>0.42746</x:v>
      </x:c>
      <x:c r="N1995" s="60" t="n">
        <x:v>-42.15</x:v>
      </x:c>
      <x:c r="O1995" s="60" t="n">
        <x:v>2.05</x:v>
      </x:c>
      <x:c r="P1995" s="60" t="n">
        <x:v>4.92</x:v>
      </x:c>
      <x:c r="Q1995" s="60" t="n">
        <x:v>64.3</x:v>
      </x:c>
      <x:c r="R1995" s="58" t="str">
        <x:v>X</x:v>
      </x:c>
      <x:c r="S1995" s="60" t="n">
        <x:v>100</x:v>
      </x:c>
      <x:c r="T1995" s="58" t="str">
        <x:v>VALID</x:v>
      </x:c>
      <x:c r="U1995" s="58" t="n">
        <x:v>3723</x:v>
      </x:c>
      <x:c r="V1995" s="58" t="str">
        <x:v>Pasted text(59).txt</x:v>
      </x:c>
    </x:row>
    <x:row r="1996">
      <x:c r="A1996" s="58" t="str">
        <x:v>S20</x:v>
      </x:c>
      <x:c r="B1996" s="58" t="str">
        <x:v>0.65 repeat-validation session at 268 Hz</x:v>
      </x:c>
      <x:c r="C1996" s="58" t="n">
        <x:v>0.65</x:v>
      </x:c>
      <x:c r="D1996" s="58" t="n">
        <x:v>5</x:v>
      </x:c>
      <x:c r="E1996" s="58" t="n">
        <x:v>1</x:v>
      </x:c>
      <x:c r="F1996" s="58" t="str">
        <x:v>SEARCH</x:v>
      </x:c>
      <x:c r="G1996" s="58" t="n">
        <x:v>5</x:v>
      </x:c>
      <x:c r="H1996" s="59" t="n">
        <x:v>6</x:v>
      </x:c>
      <x:c r="I1996" s="59" t="n">
        <x:v>0.4832</x:v>
      </x:c>
      <x:c r="J1996" s="59" t="n">
        <x:v>0.48007</x:v>
      </x:c>
      <x:c r="K1996" s="59" t="n">
        <x:v>0.13507</x:v>
      </x:c>
      <x:c r="L1996" s="59" t="n">
        <x:v>0.22734</x:v>
      </x:c>
      <x:c r="M1996" s="59" t="n">
        <x:v>0.54929</x:v>
      </x:c>
      <x:c r="N1996" s="60" t="n">
        <x:v>-25.66</x:v>
      </x:c>
      <x:c r="O1996" s="60" t="n">
        <x:v>0.65</x:v>
      </x:c>
      <x:c r="P1996" s="60" t="n">
        <x:v>1.53</x:v>
      </x:c>
      <x:c r="Q1996" s="60" t="n">
        <x:v>74.7</x:v>
      </x:c>
      <x:c r="R1996" s="58" t="str">
        <x:v>X</x:v>
      </x:c>
      <x:c r="S1996" s="60" t="n">
        <x:v>100</x:v>
      </x:c>
      <x:c r="T1996" s="58" t="str">
        <x:v>VALID</x:v>
      </x:c>
      <x:c r="U1996" s="58" t="n">
        <x:v>3724</x:v>
      </x:c>
      <x:c r="V1996" s="58" t="str">
        <x:v>Pasted text(59).txt</x:v>
      </x:c>
    </x:row>
    <x:row r="1997">
      <x:c r="A1997" s="58" t="str">
        <x:v>S20</x:v>
      </x:c>
      <x:c r="B1997" s="58" t="str">
        <x:v>0.65 repeat-validation session at 268 Hz</x:v>
      </x:c>
      <x:c r="C1997" s="58" t="n">
        <x:v>0.65</x:v>
      </x:c>
      <x:c r="D1997" s="58" t="n">
        <x:v>5</x:v>
      </x:c>
      <x:c r="E1997" s="58" t="n">
        <x:v>1</x:v>
      </x:c>
      <x:c r="F1997" s="58" t="str">
        <x:v>SEARCH</x:v>
      </x:c>
      <x:c r="G1997" s="58" t="n">
        <x:v>6</x:v>
      </x:c>
      <x:c r="H1997" s="59" t="n">
        <x:v>6.5</x:v>
      </x:c>
      <x:c r="I1997" s="59" t="n">
        <x:v>0.49785</x:v>
      </x:c>
      <x:c r="J1997" s="59" t="n">
        <x:v>0.49541</x:v>
      </x:c>
      <x:c r="K1997" s="59" t="n">
        <x:v>0.13732</x:v>
      </x:c>
      <x:c r="L1997" s="59" t="n">
        <x:v>0.25701</x:v>
      </x:c>
      <x:c r="M1997" s="59" t="n">
        <x:v>0.5748</x:v>
      </x:c>
      <x:c r="N1997" s="60" t="n">
        <x:v>-23.41</x:v>
      </x:c>
      <x:c r="O1997" s="60" t="n">
        <x:v>1.03</x:v>
      </x:c>
      <x:c r="P1997" s="60" t="n">
        <x:v>1.5</x:v>
      </x:c>
      <x:c r="Q1997" s="60" t="n">
        <x:v>78.5</x:v>
      </x:c>
      <x:c r="R1997" s="58" t="str">
        <x:v>X</x:v>
      </x:c>
      <x:c r="S1997" s="60" t="n">
        <x:v>100</x:v>
      </x:c>
      <x:c r="T1997" s="58" t="str">
        <x:v>VALID</x:v>
      </x:c>
      <x:c r="U1997" s="58" t="n">
        <x:v>3725</x:v>
      </x:c>
      <x:c r="V1997" s="58" t="str">
        <x:v>Pasted text(59).txt</x:v>
      </x:c>
    </x:row>
    <x:row r="1998">
      <x:c r="A1998" s="58" t="str">
        <x:v>S20</x:v>
      </x:c>
      <x:c r="B1998" s="58" t="str">
        <x:v>0.65 repeat-validation session at 268 Hz</x:v>
      </x:c>
      <x:c r="C1998" s="58" t="n">
        <x:v>0.65</x:v>
      </x:c>
      <x:c r="D1998" s="58" t="n">
        <x:v>5</x:v>
      </x:c>
      <x:c r="E1998" s="58" t="n">
        <x:v>1</x:v>
      </x:c>
      <x:c r="F1998" s="58" t="str">
        <x:v>SEARCH</x:v>
      </x:c>
      <x:c r="G1998" s="58" t="n">
        <x:v>7</x:v>
      </x:c>
      <x:c r="H1998" s="59" t="n">
        <x:v>7</x:v>
      </x:c>
      <x:c r="I1998" s="59" t="n">
        <x:v>0.52822</x:v>
      </x:c>
      <x:c r="J1998" s="59" t="n">
        <x:v>0.54543</x:v>
      </x:c>
      <x:c r="K1998" s="59" t="n">
        <x:v>0.16248</x:v>
      </x:c>
      <x:c r="L1998" s="59" t="n">
        <x:v>0.31791</x:v>
      </x:c>
      <x:c r="M1998" s="59" t="n">
        <x:v>0.65212</x:v>
      </x:c>
      <x:c r="N1998" s="60" t="n">
        <x:v>-18.74</x:v>
      </x:c>
      <x:c r="O1998" s="60" t="n">
        <x:v>0.71</x:v>
      </x:c>
      <x:c r="P1998" s="60" t="n">
        <x:v>5.87</x:v>
      </x:c>
      <x:c r="Q1998" s="60" t="n">
        <x:v>77</x:v>
      </x:c>
      <x:c r="R1998" s="58" t="str">
        <x:v>X</x:v>
      </x:c>
      <x:c r="S1998" s="60" t="n">
        <x:v>100</x:v>
      </x:c>
      <x:c r="T1998" s="58" t="str">
        <x:v>VALID</x:v>
      </x:c>
      <x:c r="U1998" s="58" t="n">
        <x:v>3726</x:v>
      </x:c>
      <x:c r="V1998" s="58" t="str">
        <x:v>Pasted text(59).txt</x:v>
      </x:c>
    </x:row>
    <x:row r="1999">
      <x:c r="A1999" s="58" t="str">
        <x:v>S20</x:v>
      </x:c>
      <x:c r="B1999" s="58" t="str">
        <x:v>0.65 repeat-validation session at 268 Hz</x:v>
      </x:c>
      <x:c r="C1999" s="58" t="n">
        <x:v>0.65</x:v>
      </x:c>
      <x:c r="D1999" s="58" t="n">
        <x:v>5</x:v>
      </x:c>
      <x:c r="E1999" s="58" t="n">
        <x:v>1</x:v>
      </x:c>
      <x:c r="F1999" s="58" t="str">
        <x:v>SEARCH</x:v>
      </x:c>
      <x:c r="G1999" s="58" t="n">
        <x:v>8</x:v>
      </x:c>
      <x:c r="H1999" s="59" t="n">
        <x:v>7.5</x:v>
      </x:c>
      <x:c r="I1999" s="59" t="n">
        <x:v>0.58474</x:v>
      </x:c>
      <x:c r="J1999" s="59" t="n">
        <x:v>0.57951</x:v>
      </x:c>
      <x:c r="K1999" s="59" t="n">
        <x:v>0.19117</x:v>
      </x:c>
      <x:c r="L1999" s="59" t="n">
        <x:v>0.32107</x:v>
      </x:c>
      <x:c r="M1999" s="59" t="n">
        <x:v>0.68972</x:v>
      </x:c>
      <x:c r="N1999" s="60" t="n">
        <x:v>-10.04</x:v>
      </x:c>
      <x:c r="O1999" s="60" t="n">
        <x:v>1.24</x:v>
      </x:c>
      <x:c r="P1999" s="60" t="n">
        <x:v>2.33</x:v>
      </x:c>
      <x:c r="Q1999" s="60" t="n">
        <x:v>82.3</x:v>
      </x:c>
      <x:c r="R1999" s="58" t="str">
        <x:v>X</x:v>
      </x:c>
      <x:c r="S1999" s="60" t="n">
        <x:v>100</x:v>
      </x:c>
      <x:c r="T1999" s="58" t="str">
        <x:v>VALID</x:v>
      </x:c>
      <x:c r="U1999" s="58" t="n">
        <x:v>3727</x:v>
      </x:c>
      <x:c r="V1999" s="58" t="str">
        <x:v>Pasted text(59).txt</x:v>
      </x:c>
    </x:row>
    <x:row r="2000">
      <x:c r="A2000" s="58" t="str">
        <x:v>S20</x:v>
      </x:c>
      <x:c r="B2000" s="58" t="str">
        <x:v>0.65 repeat-validation session at 268 Hz</x:v>
      </x:c>
      <x:c r="C2000" s="58" t="n">
        <x:v>0.65</x:v>
      </x:c>
      <x:c r="D2000" s="58" t="n">
        <x:v>5</x:v>
      </x:c>
      <x:c r="E2000" s="58" t="n">
        <x:v>1</x:v>
      </x:c>
      <x:c r="F2000" s="58" t="str">
        <x:v>SEARCH</x:v>
      </x:c>
      <x:c r="G2000" s="58" t="n">
        <x:v>9</x:v>
      </x:c>
      <x:c r="H2000" s="59" t="n">
        <x:v>7.75</x:v>
      </x:c>
      <x:c r="I2000" s="59" t="n">
        <x:v>0.60847</x:v>
      </x:c>
      <x:c r="J2000" s="59" t="n">
        <x:v>0.61773</x:v>
      </x:c>
      <x:c r="K2000" s="59" t="n">
        <x:v>0.18296</x:v>
      </x:c>
      <x:c r="L2000" s="59" t="n">
        <x:v>0.33848</x:v>
      </x:c>
      <x:c r="M2000" s="59" t="n">
        <x:v>0.7278</x:v>
      </x:c>
      <x:c r="N2000" s="60" t="n">
        <x:v>-6.39</x:v>
      </x:c>
      <x:c r="O2000" s="60" t="n">
        <x:v>0.02</x:v>
      </x:c>
      <x:c r="P2000" s="60" t="n">
        <x:v>2.61</x:v>
      </x:c>
      <x:c r="Q2000" s="60" t="n">
        <x:v>80.6</x:v>
      </x:c>
      <x:c r="R2000" s="58" t="str">
        <x:v>X</x:v>
      </x:c>
      <x:c r="S2000" s="60" t="n">
        <x:v>100</x:v>
      </x:c>
      <x:c r="T2000" s="58" t="str">
        <x:v>IN TARGET BAND</x:v>
      </x:c>
      <x:c r="U2000" s="58" t="n">
        <x:v>3728</x:v>
      </x:c>
      <x:c r="V2000" s="58" t="str">
        <x:v>Pasted text(59).txt</x:v>
      </x:c>
    </x:row>
    <x:row r="2001">
      <x:c r="A2001" s="58" t="str">
        <x:v>S20</x:v>
      </x:c>
      <x:c r="B2001" s="58" t="str">
        <x:v>0.65 repeat-validation session at 268 Hz</x:v>
      </x:c>
      <x:c r="C2001" s="58" t="n">
        <x:v>0.65</x:v>
      </x:c>
      <x:c r="D2001" s="58" t="n">
        <x:v>5</x:v>
      </x:c>
      <x:c r="E2001" s="58" t="n">
        <x:v>1</x:v>
      </x:c>
      <x:c r="F2001" s="58" t="str">
        <x:v>FINE</x:v>
      </x:c>
      <x:c r="G2001" s="58" t="n">
        <x:v>1</x:v>
      </x:c>
      <x:c r="H2001" s="59" t="n">
        <x:v>6.75</x:v>
      </x:c>
      <x:c r="I2001" s="59" t="n">
        <x:v>0.52785</x:v>
      </x:c>
      <x:c r="J2001" s="59" t="n">
        <x:v>0.52916</x:v>
      </x:c>
      <x:c r="K2001" s="59" t="n">
        <x:v>0.15372</x:v>
      </x:c>
      <x:c r="L2001" s="59" t="n">
        <x:v>0.28493</x:v>
      </x:c>
      <x:c r="M2001" s="59" t="n">
        <x:v>0.62038</x:v>
      </x:c>
      <x:c r="N2001" s="60" t="n">
        <x:v>-18.79</x:v>
      </x:c>
      <x:c r="O2001" s="60" t="n">
        <x:v>3.08</x:v>
      </x:c>
      <x:c r="P2001" s="60" t="n">
        <x:v>2.45</x:v>
      </x:c>
      <x:c r="Q2001" s="60" t="n">
        <x:v>76</x:v>
      </x:c>
      <x:c r="R2001" s="58" t="str">
        <x:v>X</x:v>
      </x:c>
      <x:c r="S2001" s="60" t="n">
        <x:v>100</x:v>
      </x:c>
      <x:c r="T2001" s="58" t="str">
        <x:v>VALID</x:v>
      </x:c>
      <x:c r="U2001" s="58" t="n">
        <x:v>3732</x:v>
      </x:c>
      <x:c r="V2001" s="58" t="str">
        <x:v>Pasted text(59).txt</x:v>
      </x:c>
    </x:row>
    <x:row r="2002">
      <x:c r="A2002" s="58" t="str">
        <x:v>S20</x:v>
      </x:c>
      <x:c r="B2002" s="58" t="str">
        <x:v>0.65 repeat-validation session at 268 Hz</x:v>
      </x:c>
      <x:c r="C2002" s="58" t="n">
        <x:v>0.65</x:v>
      </x:c>
      <x:c r="D2002" s="58" t="n">
        <x:v>5</x:v>
      </x:c>
      <x:c r="E2002" s="58" t="n">
        <x:v>1</x:v>
      </x:c>
      <x:c r="F2002" s="58" t="str">
        <x:v>FINE</x:v>
      </x:c>
      <x:c r="G2002" s="58" t="n">
        <x:v>2</x:v>
      </x:c>
      <x:c r="H2002" s="59" t="n">
        <x:v>7</x:v>
      </x:c>
      <x:c r="I2002" s="59" t="n">
        <x:v>0.58377</x:v>
      </x:c>
      <x:c r="J2002" s="59" t="n">
        <x:v>0.57235</x:v>
      </x:c>
      <x:c r="K2002" s="59" t="n">
        <x:v>0.15805</x:v>
      </x:c>
      <x:c r="L2002" s="59" t="n">
        <x:v>0.28245</x:v>
      </x:c>
      <x:c r="M2002" s="59" t="n">
        <x:v>0.65762</x:v>
      </x:c>
      <x:c r="N2002" s="60" t="n">
        <x:v>-10.19</x:v>
      </x:c>
      <x:c r="O2002" s="60" t="n">
        <x:v>1.11</x:v>
      </x:c>
      <x:c r="P2002" s="60" t="n">
        <x:v>4.14</x:v>
      </x:c>
      <x:c r="Q2002" s="60" t="n">
        <x:v>80.6</x:v>
      </x:c>
      <x:c r="R2002" s="58" t="str">
        <x:v>X</x:v>
      </x:c>
      <x:c r="S2002" s="60" t="n">
        <x:v>100</x:v>
      </x:c>
      <x:c r="T2002" s="58" t="str">
        <x:v>VALID</x:v>
      </x:c>
      <x:c r="U2002" s="58" t="n">
        <x:v>3733</x:v>
      </x:c>
      <x:c r="V2002" s="58" t="str">
        <x:v>Pasted text(59).txt</x:v>
      </x:c>
    </x:row>
    <x:row r="2003">
      <x:c r="A2003" s="58" t="str">
        <x:v>S20</x:v>
      </x:c>
      <x:c r="B2003" s="58" t="str">
        <x:v>0.65 repeat-validation session at 268 Hz</x:v>
      </x:c>
      <x:c r="C2003" s="58" t="n">
        <x:v>0.65</x:v>
      </x:c>
      <x:c r="D2003" s="58" t="n">
        <x:v>5</x:v>
      </x:c>
      <x:c r="E2003" s="58" t="n">
        <x:v>1</x:v>
      </x:c>
      <x:c r="F2003" s="58" t="str">
        <x:v>FINE</x:v>
      </x:c>
      <x:c r="G2003" s="58" t="n">
        <x:v>3</x:v>
      </x:c>
      <x:c r="H2003" s="59" t="n">
        <x:v>7.25</x:v>
      </x:c>
      <x:c r="I2003" s="59" t="n">
        <x:v>0.57918</x:v>
      </x:c>
      <x:c r="J2003" s="59" t="n">
        <x:v>0.57765</x:v>
      </x:c>
      <x:c r="K2003" s="59" t="n">
        <x:v>0.16478</x:v>
      </x:c>
      <x:c r="L2003" s="59" t="n">
        <x:v>0.31459</x:v>
      </x:c>
      <x:c r="M2003" s="59" t="n">
        <x:v>0.67863</x:v>
      </x:c>
      <x:c r="N2003" s="60" t="n">
        <x:v>-10.9</x:v>
      </x:c>
      <x:c r="O2003" s="60" t="n">
        <x:v>1.52</x:v>
      </x:c>
      <x:c r="P2003" s="60" t="n">
        <x:v>1.44</x:v>
      </x:c>
      <x:c r="Q2003" s="60" t="n">
        <x:v>81.8</x:v>
      </x:c>
      <x:c r="R2003" s="58" t="str">
        <x:v>X</x:v>
      </x:c>
      <x:c r="S2003" s="60" t="n">
        <x:v>100</x:v>
      </x:c>
      <x:c r="T2003" s="58" t="str">
        <x:v>VALID</x:v>
      </x:c>
      <x:c r="U2003" s="58" t="n">
        <x:v>3734</x:v>
      </x:c>
      <x:c r="V2003" s="58" t="str">
        <x:v>Pasted text(59).txt</x:v>
      </x:c>
    </x:row>
    <x:row r="2004">
      <x:c r="A2004" s="58" t="str">
        <x:v>S20</x:v>
      </x:c>
      <x:c r="B2004" s="58" t="str">
        <x:v>0.65 repeat-validation session at 268 Hz</x:v>
      </x:c>
      <x:c r="C2004" s="58" t="n">
        <x:v>0.65</x:v>
      </x:c>
      <x:c r="D2004" s="58" t="n">
        <x:v>5</x:v>
      </x:c>
      <x:c r="E2004" s="58" t="n">
        <x:v>1</x:v>
      </x:c>
      <x:c r="F2004" s="58" t="str">
        <x:v>FINE</x:v>
      </x:c>
      <x:c r="G2004" s="58" t="n">
        <x:v>4</x:v>
      </x:c>
      <x:c r="H2004" s="59" t="n">
        <x:v>7.5</x:v>
      </x:c>
      <x:c r="I2004" s="59" t="n">
        <x:v>0.59338</x:v>
      </x:c>
      <x:c r="J2004" s="59" t="n">
        <x:v>0.59345</x:v>
      </x:c>
      <x:c r="K2004" s="59" t="n">
        <x:v>0.17401</x:v>
      </x:c>
      <x:c r="L2004" s="59" t="n">
        <x:v>0.30649</x:v>
      </x:c>
      <x:c r="M2004" s="59" t="n">
        <x:v>0.691</x:v>
      </x:c>
      <x:c r="N2004" s="60" t="n">
        <x:v>-8.71</x:v>
      </x:c>
      <x:c r="O2004" s="60" t="n">
        <x:v>3.57</x:v>
      </x:c>
      <x:c r="P2004" s="60" t="n">
        <x:v>2.42</x:v>
      </x:c>
      <x:c r="Q2004" s="60" t="n">
        <x:v>83.7</x:v>
      </x:c>
      <x:c r="R2004" s="58" t="str">
        <x:v>X</x:v>
      </x:c>
      <x:c r="S2004" s="60" t="n">
        <x:v>100</x:v>
      </x:c>
      <x:c r="T2004" s="58" t="str">
        <x:v>VALID</x:v>
      </x:c>
      <x:c r="U2004" s="58" t="n">
        <x:v>3735</x:v>
      </x:c>
      <x:c r="V2004" s="58" t="str">
        <x:v>Pasted text(59).txt</x:v>
      </x:c>
    </x:row>
    <x:row r="2005">
      <x:c r="A2005" s="58" t="str">
        <x:v>S20</x:v>
      </x:c>
      <x:c r="B2005" s="58" t="str">
        <x:v>0.65 repeat-validation session at 268 Hz</x:v>
      </x:c>
      <x:c r="C2005" s="58" t="n">
        <x:v>0.65</x:v>
      </x:c>
      <x:c r="D2005" s="58" t="n">
        <x:v>5</x:v>
      </x:c>
      <x:c r="E2005" s="58" t="n">
        <x:v>1</x:v>
      </x:c>
      <x:c r="F2005" s="58" t="str">
        <x:v>FINE</x:v>
      </x:c>
      <x:c r="G2005" s="58" t="n">
        <x:v>5</x:v>
      </x:c>
      <x:c r="H2005" s="59" t="n">
        <x:v>7.75</x:v>
      </x:c>
      <x:c r="I2005" s="59" t="n">
        <x:v>0.6255</x:v>
      </x:c>
      <x:c r="J2005" s="59" t="n">
        <x:v>0.62148</x:v>
      </x:c>
      <x:c r="K2005" s="59" t="n">
        <x:v>0.19081</x:v>
      </x:c>
      <x:c r="L2005" s="59" t="n">
        <x:v>0.34114</x:v>
      </x:c>
      <x:c r="M2005" s="59" t="n">
        <x:v>0.73439</x:v>
      </x:c>
      <x:c r="N2005" s="60" t="n">
        <x:v>-3.77</x:v>
      </x:c>
      <x:c r="O2005" s="60" t="n">
        <x:v>2.7</x:v>
      </x:c>
      <x:c r="P2005" s="60" t="n">
        <x:v>2.86</x:v>
      </x:c>
      <x:c r="Q2005" s="60" t="n">
        <x:v>80.2</x:v>
      </x:c>
      <x:c r="R2005" s="58" t="str">
        <x:v>X</x:v>
      </x:c>
      <x:c r="S2005" s="60" t="n">
        <x:v>100</x:v>
      </x:c>
      <x:c r="T2005" s="58" t="str">
        <x:v>IN TARGET BAND</x:v>
      </x:c>
      <x:c r="U2005" s="58" t="n">
        <x:v>3736</x:v>
      </x:c>
      <x:c r="V2005" s="58" t="str">
        <x:v>Pasted text(59).txt</x:v>
      </x:c>
    </x:row>
    <x:row r="2006">
      <x:c r="A2006" s="58" t="str">
        <x:v>S20</x:v>
      </x:c>
      <x:c r="B2006" s="58" t="str">
        <x:v>0.65 repeat-validation session at 268 Hz</x:v>
      </x:c>
      <x:c r="C2006" s="58" t="n">
        <x:v>0.65</x:v>
      </x:c>
      <x:c r="D2006" s="58" t="n">
        <x:v>5</x:v>
      </x:c>
      <x:c r="E2006" s="58" t="n">
        <x:v>1</x:v>
      </x:c>
      <x:c r="F2006" s="58" t="str">
        <x:v>FINE</x:v>
      </x:c>
      <x:c r="G2006" s="58" t="n">
        <x:v>6</x:v>
      </x:c>
      <x:c r="H2006" s="59" t="n">
        <x:v>8</x:v>
      </x:c>
      <x:c r="I2006" s="59" t="n">
        <x:v>0.65236</x:v>
      </x:c>
      <x:c r="J2006" s="59" t="n">
        <x:v>0.64885</x:v>
      </x:c>
      <x:c r="K2006" s="59" t="n">
        <x:v>0.1902</x:v>
      </x:c>
      <x:c r="L2006" s="59" t="n">
        <x:v>0.34436</x:v>
      </x:c>
      <x:c r="M2006" s="59" t="n">
        <x:v>0.75889</x:v>
      </x:c>
      <x:c r="N2006" s="60" t="n">
        <x:v>0.36</x:v>
      </x:c>
      <x:c r="O2006" s="60" t="n">
        <x:v>0.61</x:v>
      </x:c>
      <x:c r="P2006" s="60" t="n">
        <x:v>1.31</x:v>
      </x:c>
      <x:c r="Q2006" s="60" t="n">
        <x:v>83.6</x:v>
      </x:c>
      <x:c r="R2006" s="58" t="str">
        <x:v>X</x:v>
      </x:c>
      <x:c r="S2006" s="60" t="n">
        <x:v>100</x:v>
      </x:c>
      <x:c r="T2006" s="58" t="str">
        <x:v>IN TARGET BAND</x:v>
      </x:c>
      <x:c r="U2006" s="58" t="n">
        <x:v>3737</x:v>
      </x:c>
      <x:c r="V2006" s="58" t="str">
        <x:v>Pasted text(59).txt</x:v>
      </x:c>
    </x:row>
    <x:row r="2007">
      <x:c r="A2007" s="58" t="str">
        <x:v>S20</x:v>
      </x:c>
      <x:c r="B2007" s="58" t="str">
        <x:v>0.65 repeat-validation session at 268 Hz</x:v>
      </x:c>
      <x:c r="C2007" s="58" t="n">
        <x:v>0.65</x:v>
      </x:c>
      <x:c r="D2007" s="58" t="n">
        <x:v>5</x:v>
      </x:c>
      <x:c r="E2007" s="58" t="n">
        <x:v>1</x:v>
      </x:c>
      <x:c r="F2007" s="58" t="str">
        <x:v>FINE</x:v>
      </x:c>
      <x:c r="G2007" s="58" t="n">
        <x:v>7</x:v>
      </x:c>
      <x:c r="H2007" s="59" t="n">
        <x:v>8.25</x:v>
      </x:c>
      <x:c r="I2007" s="59" t="n">
        <x:v>0.6624</x:v>
      </x:c>
      <x:c r="J2007" s="59" t="n">
        <x:v>0.67103</x:v>
      </x:c>
      <x:c r="K2007" s="59" t="n">
        <x:v>0.22484</x:v>
      </x:c>
      <x:c r="L2007" s="59" t="n">
        <x:v>0.38271</x:v>
      </x:c>
      <x:c r="M2007" s="59" t="n">
        <x:v>0.80466</x:v>
      </x:c>
      <x:c r="N2007" s="60" t="n">
        <x:v>1.91</x:v>
      </x:c>
      <x:c r="O2007" s="60" t="n">
        <x:v>0.75</x:v>
      </x:c>
      <x:c r="P2007" s="60" t="n">
        <x:v>2.67</x:v>
      </x:c>
      <x:c r="Q2007" s="60" t="n">
        <x:v>85.7</x:v>
      </x:c>
      <x:c r="R2007" s="58" t="str">
        <x:v>X</x:v>
      </x:c>
      <x:c r="S2007" s="60" t="n">
        <x:v>100</x:v>
      </x:c>
      <x:c r="T2007" s="58" t="str">
        <x:v>IN TARGET BAND</x:v>
      </x:c>
      <x:c r="U2007" s="58" t="n">
        <x:v>3738</x:v>
      </x:c>
      <x:c r="V2007" s="58" t="str">
        <x:v>Pasted text(59).txt</x:v>
      </x:c>
    </x:row>
    <x:row r="2008">
      <x:c r="A2008" s="58" t="str">
        <x:v>S20</x:v>
      </x:c>
      <x:c r="B2008" s="58" t="str">
        <x:v>0.65 repeat-validation session at 268 Hz</x:v>
      </x:c>
      <x:c r="C2008" s="58" t="n">
        <x:v>0.65</x:v>
      </x:c>
      <x:c r="D2008" s="58" t="n">
        <x:v>5</x:v>
      </x:c>
      <x:c r="E2008" s="58" t="n">
        <x:v>1</x:v>
      </x:c>
      <x:c r="F2008" s="58" t="str">
        <x:v>FINE</x:v>
      </x:c>
      <x:c r="G2008" s="58" t="n">
        <x:v>8</x:v>
      </x:c>
      <x:c r="H2008" s="59" t="n">
        <x:v>8.5</x:v>
      </x:c>
      <x:c r="I2008" s="59" t="n">
        <x:v>0.68599</x:v>
      </x:c>
      <x:c r="J2008" s="59" t="n">
        <x:v>0.68216</x:v>
      </x:c>
      <x:c r="K2008" s="59" t="n">
        <x:v>0.18958</x:v>
      </x:c>
      <x:c r="L2008" s="59" t="n">
        <x:v>0.35869</x:v>
      </x:c>
      <x:c r="M2008" s="59" t="n">
        <x:v>0.79387</x:v>
      </x:c>
      <x:c r="N2008" s="60" t="n">
        <x:v>5.54</x:v>
      </x:c>
      <x:c r="O2008" s="60" t="n">
        <x:v>0.95</x:v>
      </x:c>
      <x:c r="P2008" s="60" t="n">
        <x:v>1.56</x:v>
      </x:c>
      <x:c r="Q2008" s="60" t="n">
        <x:v>83.9</x:v>
      </x:c>
      <x:c r="R2008" s="58" t="str">
        <x:v>X</x:v>
      </x:c>
      <x:c r="S2008" s="60" t="n">
        <x:v>100</x:v>
      </x:c>
      <x:c r="T2008" s="58" t="str">
        <x:v>IN TARGET BAND</x:v>
      </x:c>
      <x:c r="U2008" s="58" t="n">
        <x:v>3739</x:v>
      </x:c>
      <x:c r="V2008" s="58" t="str">
        <x:v>Pasted text(59).txt</x:v>
      </x:c>
    </x:row>
    <x:row r="2009">
      <x:c r="A2009" s="58" t="str">
        <x:v>S20</x:v>
      </x:c>
      <x:c r="B2009" s="58" t="str">
        <x:v>0.65 repeat-validation session at 268 Hz</x:v>
      </x:c>
      <x:c r="C2009" s="58" t="n">
        <x:v>0.65</x:v>
      </x:c>
      <x:c r="D2009" s="58" t="n">
        <x:v>5</x:v>
      </x:c>
      <x:c r="E2009" s="58" t="n">
        <x:v>1</x:v>
      </x:c>
      <x:c r="F2009" s="58" t="str">
        <x:v>FINE</x:v>
      </x:c>
      <x:c r="G2009" s="58" t="n">
        <x:v>9</x:v>
      </x:c>
      <x:c r="H2009" s="59" t="n">
        <x:v>8.75</x:v>
      </x:c>
      <x:c r="I2009" s="59" t="n">
        <x:v>0.74019</x:v>
      </x:c>
      <x:c r="J2009" s="59" t="n">
        <x:v>0.72733</x:v>
      </x:c>
      <x:c r="K2009" s="59" t="n">
        <x:v>0.23215</x:v>
      </x:c>
      <x:c r="L2009" s="59" t="n">
        <x:v>0.36423</x:v>
      </x:c>
      <x:c r="M2009" s="59" t="n">
        <x:v>0.84636</x:v>
      </x:c>
      <x:c r="N2009" s="60" t="n">
        <x:v>13.88</x:v>
      </x:c>
      <x:c r="O2009" s="60" t="n">
        <x:v>1.43</x:v>
      </x:c>
      <x:c r="P2009" s="60" t="n">
        <x:v>3.94</x:v>
      </x:c>
      <x:c r="Q2009" s="60" t="n">
        <x:v>83.3</x:v>
      </x:c>
      <x:c r="R2009" s="58" t="str">
        <x:v>X</x:v>
      </x:c>
      <x:c r="S2009" s="60" t="n">
        <x:v>100</x:v>
      </x:c>
      <x:c r="T2009" s="58" t="str">
        <x:v>VALID</x:v>
      </x:c>
      <x:c r="U2009" s="58" t="n">
        <x:v>3740</x:v>
      </x:c>
      <x:c r="V2009" s="58" t="str">
        <x:v>Pasted text(59).txt</x:v>
      </x:c>
    </x:row>
    <x:row r="2010">
      <x:c r="A2010" s="58" t="str">
        <x:v>S20</x:v>
      </x:c>
      <x:c r="B2010" s="58" t="str">
        <x:v>0.65 repeat-validation session at 268 Hz</x:v>
      </x:c>
      <x:c r="C2010" s="58" t="n">
        <x:v>0.65</x:v>
      </x:c>
      <x:c r="D2010" s="58" t="n">
        <x:v>5</x:v>
      </x:c>
      <x:c r="E2010" s="58" t="n">
        <x:v>1</x:v>
      </x:c>
      <x:c r="F2010" s="58" t="str">
        <x:v>FINAL</x:v>
      </x:c>
      <x:c r="G2010" s="58" t="n">
        <x:v>1</x:v>
      </x:c>
      <x:c r="H2010" s="59" t="n">
        <x:v>8</x:v>
      </x:c>
      <x:c r="I2010" s="59" t="n">
        <x:v>0.65478</x:v>
      </x:c>
      <x:c r="J2010" s="59" t="n">
        <x:v>0.65819</x:v>
      </x:c>
      <x:c r="K2010" s="59" t="n">
        <x:v>0.20235</x:v>
      </x:c>
      <x:c r="L2010" s="59" t="n">
        <x:v>0.34272</x:v>
      </x:c>
      <x:c r="M2010" s="59" t="n">
        <x:v>0.76966</x:v>
      </x:c>
      <x:c r="N2010" s="60" t="n">
        <x:v>0.74</x:v>
      </x:c>
      <x:c r="O2010" s="60" t="n">
        <x:v>0.73</x:v>
      </x:c>
      <x:c r="P2010" s="60" t="n">
        <x:v>1.26</x:v>
      </x:c>
      <x:c r="Q2010" s="60" t="n">
        <x:v>82.4</x:v>
      </x:c>
      <x:c r="R2010" s="58" t="str">
        <x:v>X</x:v>
      </x:c>
      <x:c r="S2010" s="60" t="n">
        <x:v>100</x:v>
      </x:c>
      <x:c r="T2010" s="58" t="str">
        <x:v>IN TARGET BAND</x:v>
      </x:c>
      <x:c r="U2010" s="58" t="n">
        <x:v>3743</x:v>
      </x:c>
      <x:c r="V2010" s="58" t="str">
        <x:v>Pasted text(59).txt</x:v>
      </x:c>
    </x:row>
    <x:row r="2011">
      <x:c r="A2011" s="58" t="str">
        <x:v>S20</x:v>
      </x:c>
      <x:c r="B2011" s="58" t="str">
        <x:v>0.65 repeat-validation session at 268 Hz</x:v>
      </x:c>
      <x:c r="C2011" s="58" t="n">
        <x:v>0.65</x:v>
      </x:c>
      <x:c r="D2011" s="58" t="n">
        <x:v>5</x:v>
      </x:c>
      <x:c r="E2011" s="58" t="n">
        <x:v>1</x:v>
      </x:c>
      <x:c r="F2011" s="58" t="str">
        <x:v>FINAL</x:v>
      </x:c>
      <x:c r="G2011" s="58" t="n">
        <x:v>2</x:v>
      </x:c>
      <x:c r="H2011" s="59" t="n">
        <x:v>8</x:v>
      </x:c>
      <x:c r="I2011" s="59" t="n">
        <x:v>0.65955</x:v>
      </x:c>
      <x:c r="J2011" s="59" t="n">
        <x:v>0.65314</x:v>
      </x:c>
      <x:c r="K2011" s="59" t="n">
        <x:v>0.18287</x:v>
      </x:c>
      <x:c r="L2011" s="59" t="n">
        <x:v>0.35207</x:v>
      </x:c>
      <x:c r="M2011" s="59" t="n">
        <x:v>0.76501</x:v>
      </x:c>
      <x:c r="N2011" s="60" t="n">
        <x:v>1.47</x:v>
      </x:c>
      <x:c r="O2011" s="60" t="n">
        <x:v>1.77</x:v>
      </x:c>
      <x:c r="P2011" s="60" t="n">
        <x:v>2.04</x:v>
      </x:c>
      <x:c r="Q2011" s="60" t="n">
        <x:v>81.3</x:v>
      </x:c>
      <x:c r="R2011" s="58" t="str">
        <x:v>X</x:v>
      </x:c>
      <x:c r="S2011" s="60" t="n">
        <x:v>100</x:v>
      </x:c>
      <x:c r="T2011" s="58" t="str">
        <x:v>IN TARGET BAND</x:v>
      </x:c>
      <x:c r="U2011" s="58" t="n">
        <x:v>3744</x:v>
      </x:c>
      <x:c r="V2011" s="58" t="str">
        <x:v>Pasted text(59).txt</x:v>
      </x:c>
    </x:row>
  </x:sheetData>
  <x:conditionalFormatting sqref="T2:T1009">
    <x:cfRule type="expression" dxfId="7" priority="1">
      <x:formula>T2="IN TARGET BAND"</x:formula>
    </x:cfRule>
    <x:cfRule type="expression" dxfId="8" priority="2">
      <x:formula>ISNUMBER(SEARCH("RAW CLIPPING",T2))</x:formula>
    </x:cfRule>
    <x:cfRule type="expression" dxfId="9" priority="3">
      <x:formula>ISNUMBER(SEARCH("UNSTABLE",T2))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1" hidden="0" customWidth="1"/>
    <x:col min="4" max="4" width="8" hidden="0" customWidth="1"/>
    <x:col min="5" max="5" width="11" hidden="0" customWidth="1"/>
    <x:col min="6" max="6" width="9" hidden="0" customWidth="1"/>
    <x:col min="7" max="7" width="15" hidden="0" customWidth="1"/>
    <x:col min="8" max="8" width="17" hidden="0" customWidth="1"/>
    <x:col min="9" max="9" width="11" hidden="0" customWidth="1"/>
    <x:col min="10" max="10" width="11" hidden="0" customWidth="1"/>
    <x:col min="11" max="11" width="20" hidden="0" customWidth="1"/>
    <x:col min="12" max="12" width="12" hidden="0" customWidth="1"/>
  </x:cols>
  <x:sheetData>
    <x:row r="1">
      <x:c r="A1" s="49" t="str">
        <x:v>Session</x:v>
      </x:c>
      <x:c r="B1" s="49" t="str">
        <x:v>Test label</x:v>
      </x:c>
      <x:c r="C1" s="49" t="str">
        <x:v>Target</x:v>
      </x:c>
      <x:c r="D1" s="49" t="str">
        <x:v>Run</x:v>
      </x:c>
      <x:c r="E1" s="49" t="str">
        <x:v>Run result</x:v>
      </x:c>
      <x:c r="F1" s="49" t="str">
        <x:v>Axis</x:v>
      </x:c>
      <x:c r="G1" s="49" t="str">
        <x:v>Frequency (Hz)</x:v>
      </x:c>
      <x:c r="H1" s="49" t="str">
        <x:v>Amplitude (m/s²)</x:v>
      </x:c>
      <x:c r="I1" s="49" t="str">
        <x:v>SNR (dB)</x:v>
      </x:c>
      <x:c r="J1" s="49" t="str">
        <x:v>Status</x:v>
      </x:c>
      <x:c r="K1" s="49" t="str">
        <x:v>Difference from command (Hz)</x:v>
      </x:c>
      <x:c r="L1" s="49" t="str">
        <x:v>Source line</x:v>
      </x:c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</x:row>
    <x:row r="2">
      <x:c r="A2" s="82" t="str">
        <x:v>S01</x:v>
      </x:c>
      <x:c r="B2" s="82" t="str">
        <x:v>1.10 initial validation – unstable response state</x:v>
      </x:c>
      <x:c r="C2" s="94" t="n">
        <x:v>1.1</x:v>
      </x:c>
      <x:c r="D2" s="82" t="n">
        <x:v>1</x:v>
      </x:c>
      <x:c r="E2" s="82" t="str">
        <x:v>PASS</x:v>
      </x:c>
      <x:c r="F2" s="82" t="str">
        <x:v>X</x:v>
      </x:c>
      <x:c r="G2" s="94" t="n">
        <x:v>268.03131</x:v>
      </x:c>
      <x:c r="H2" s="94" t="n">
        <x:v>1.04439</x:v>
      </x:c>
      <x:c r="I2" s="97" t="n">
        <x:v>27.31</x:v>
      </x:c>
      <x:c r="J2" s="97" t="str">
        <x:v>VALID</x:v>
      </x:c>
      <x:c r="K2" s="97" t="n">
        <x:f>G2-268</x:f>
        <x:v>0.031310000000019045</x:v>
      </x:c>
      <x:c r="L2" s="82" t="n">
        <x:v>133</x:v>
      </x:c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  <x:c r="AA2" s="82"/>
    </x:row>
    <x:row r="3">
      <x:c r="A3" s="82" t="str">
        <x:v>S01</x:v>
      </x:c>
      <x:c r="B3" s="82" t="str">
        <x:v>1.10 initial validation – unstable response state</x:v>
      </x:c>
      <x:c r="C3" s="94" t="n">
        <x:v>1.1</x:v>
      </x:c>
      <x:c r="D3" s="82" t="n">
        <x:v>1</x:v>
      </x:c>
      <x:c r="E3" s="82" t="str">
        <x:v>PASS</x:v>
      </x:c>
      <x:c r="F3" s="82" t="str">
        <x:v>Y</x:v>
      </x:c>
      <x:c r="G3" s="94" t="n">
        <x:v>268.09282</x:v>
      </x:c>
      <x:c r="H3" s="94" t="n">
        <x:v>0.98871</x:v>
      </x:c>
      <x:c r="I3" s="97" t="n">
        <x:v>23.49</x:v>
      </x:c>
      <x:c r="J3" s="97" t="str">
        <x:v>VALID</x:v>
      </x:c>
      <x:c r="K3" s="97" t="n">
        <x:f>G3-268</x:f>
        <x:v>0.09282000000001744</x:v>
      </x:c>
      <x:c r="L3" s="82" t="n">
        <x:v>134</x:v>
      </x:c>
      <x:c r="M3" s="82"/>
      <x:c r="N3" s="82"/>
      <x:c r="O3" s="82"/>
      <x:c r="P3" s="82"/>
      <x:c r="Q3" s="82"/>
      <x:c r="R3" s="82"/>
      <x:c r="S3" s="82"/>
      <x:c r="T3" s="82"/>
      <x:c r="U3" s="82"/>
      <x:c r="V3" s="82"/>
      <x:c r="W3" s="82"/>
      <x:c r="X3" s="82"/>
      <x:c r="Y3" s="82"/>
      <x:c r="Z3" s="82"/>
      <x:c r="AA3" s="82"/>
    </x:row>
    <x:row r="4">
      <x:c r="A4" s="82" t="str">
        <x:v>S01</x:v>
      </x:c>
      <x:c r="B4" s="82" t="str">
        <x:v>1.10 initial validation – unstable response state</x:v>
      </x:c>
      <x:c r="C4" s="94" t="n">
        <x:v>1.1</x:v>
      </x:c>
      <x:c r="D4" s="82" t="n">
        <x:v>1</x:v>
      </x:c>
      <x:c r="E4" s="82" t="str">
        <x:v>PASS</x:v>
      </x:c>
      <x:c r="F4" s="82" t="str">
        <x:v>Z</x:v>
      </x:c>
      <x:c r="G4" s="94" t="n">
        <x:v>268.056</x:v>
      </x:c>
      <x:c r="H4" s="94" t="n">
        <x:v>0.77884</x:v>
      </x:c>
      <x:c r="I4" s="97" t="n">
        <x:v>28.81</x:v>
      </x:c>
      <x:c r="J4" s="97" t="str">
        <x:v>VALID</x:v>
      </x:c>
      <x:c r="K4" s="97" t="n">
        <x:f>G4-268</x:f>
        <x:v>0.055999999999983174</x:v>
      </x:c>
      <x:c r="L4" s="82" t="n">
        <x:v>135</x:v>
      </x:c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  <x:c r="AA4" s="82"/>
    </x:row>
    <x:row r="5">
      <x:c r="A5" s="82" t="str">
        <x:v>S01</x:v>
      </x:c>
      <x:c r="B5" s="82" t="str">
        <x:v>1.10 initial validation – unstable response state</x:v>
      </x:c>
      <x:c r="C5" s="94" t="n">
        <x:v>1.1</x:v>
      </x:c>
      <x:c r="D5" s="82" t="n">
        <x:v>2</x:v>
      </x:c>
      <x:c r="E5" s="82" t="str">
        <x:v>PASS</x:v>
      </x:c>
      <x:c r="F5" s="82" t="str">
        <x:v>X</x:v>
      </x:c>
      <x:c r="G5" s="94" t="n">
        <x:v>268.01317</x:v>
      </x:c>
      <x:c r="H5" s="94" t="n">
        <x:v>0.9787</x:v>
      </x:c>
      <x:c r="I5" s="97" t="n">
        <x:v>25.99</x:v>
      </x:c>
      <x:c r="J5" s="97" t="str">
        <x:v>VALID</x:v>
      </x:c>
      <x:c r="K5" s="97" t="n">
        <x:f>G5-268</x:f>
        <x:v>0.013170000000002346</x:v>
      </x:c>
      <x:c r="L5" s="82" t="n">
        <x:v>206</x:v>
      </x:c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  <x:c r="AA5" s="82"/>
    </x:row>
    <x:row r="6">
      <x:c r="A6" t="str">
        <x:v>S01</x:v>
      </x:c>
      <x:c r="B6" t="str">
        <x:v>1.10 initial validation – unstable response state</x:v>
      </x:c>
      <x:c r="C6" s="54" t="n">
        <x:v>1.1</x:v>
      </x:c>
      <x:c r="D6" t="n">
        <x:v>2</x:v>
      </x:c>
      <x:c r="E6" t="str">
        <x:v>PASS</x:v>
      </x:c>
      <x:c r="F6" t="str">
        <x:v>Y</x:v>
      </x:c>
      <x:c r="G6" s="54" t="n">
        <x:v>481.61337</x:v>
      </x:c>
      <x:c r="H6" s="54" t="n">
        <x:v>0.4022</x:v>
      </x:c>
      <x:c r="I6" s="56" t="n">
        <x:v>16.62</x:v>
      </x:c>
      <x:c r="J6" s="56" t="str">
        <x:v>VALID</x:v>
      </x:c>
      <x:c r="K6" s="56" t="n">
        <x:f>G6-268</x:f>
        <x:v>213.61336999999997</x:v>
      </x:c>
      <x:c r="L6" t="n">
        <x:v>207</x:v>
      </x:c>
    </x:row>
    <x:row r="7">
      <x:c r="A7" t="str">
        <x:v>S01</x:v>
      </x:c>
      <x:c r="B7" t="str">
        <x:v>1.10 initial validation – unstable response state</x:v>
      </x:c>
      <x:c r="C7" s="54" t="n">
        <x:v>1.1</x:v>
      </x:c>
      <x:c r="D7" t="n">
        <x:v>2</x:v>
      </x:c>
      <x:c r="E7" t="str">
        <x:v>PASS</x:v>
      </x:c>
      <x:c r="F7" t="str">
        <x:v>Z</x:v>
      </x:c>
      <x:c r="G7" s="54" t="n">
        <x:v>268.02935</x:v>
      </x:c>
      <x:c r="H7" s="54" t="n">
        <x:v>0.316</x:v>
      </x:c>
      <x:c r="I7" s="56" t="n">
        <x:v>23.73</x:v>
      </x:c>
      <x:c r="J7" s="56" t="str">
        <x:v>VALID</x:v>
      </x:c>
      <x:c r="K7" s="56" t="n">
        <x:f>G7-268</x:f>
        <x:v>0.02935000000002219</x:v>
      </x:c>
      <x:c r="L7" t="n">
        <x:v>208</x:v>
      </x:c>
    </x:row>
    <x:row r="8">
      <x:c r="A8" t="str">
        <x:v>S01</x:v>
      </x:c>
      <x:c r="B8" t="str">
        <x:v>1.10 initial validation – unstable response state</x:v>
      </x:c>
      <x:c r="C8" s="54" t="n">
        <x:v>1.1</x:v>
      </x:c>
      <x:c r="D8" t="n">
        <x:v>3</x:v>
      </x:c>
      <x:c r="E8" t="str">
        <x:v>PASS</x:v>
      </x:c>
      <x:c r="F8" t="str">
        <x:v>X</x:v>
      </x:c>
      <x:c r="G8" s="54" t="n">
        <x:v>268.02732</x:v>
      </x:c>
      <x:c r="H8" s="54" t="n">
        <x:v>0.98726</x:v>
      </x:c>
      <x:c r="I8" s="56" t="n">
        <x:v>26.43</x:v>
      </x:c>
      <x:c r="J8" s="56" t="str">
        <x:v>VALID</x:v>
      </x:c>
      <x:c r="K8" s="56" t="n">
        <x:f>G8-268</x:f>
        <x:v>0.027319999999974698</x:v>
      </x:c>
      <x:c r="L8" t="n">
        <x:v>279</x:v>
      </x:c>
    </x:row>
    <x:row r="9">
      <x:c r="A9" t="str">
        <x:v>S01</x:v>
      </x:c>
      <x:c r="B9" t="str">
        <x:v>1.10 initial validation – unstable response state</x:v>
      </x:c>
      <x:c r="C9" s="54" t="n">
        <x:v>1.1</x:v>
      </x:c>
      <x:c r="D9" t="n">
        <x:v>3</x:v>
      </x:c>
      <x:c r="E9" t="str">
        <x:v>PASS</x:v>
      </x:c>
      <x:c r="F9" t="str">
        <x:v>Y</x:v>
      </x:c>
      <x:c r="G9" s="54" t="n">
        <x:v>482.5726</x:v>
      </x:c>
      <x:c r="H9" s="54" t="n">
        <x:v>0.40848</x:v>
      </x:c>
      <x:c r="I9" s="56" t="n">
        <x:v>17.13</x:v>
      </x:c>
      <x:c r="J9" s="56" t="str">
        <x:v>VALID</x:v>
      </x:c>
      <x:c r="K9" s="56" t="n">
        <x:f>G9-268</x:f>
        <x:v>214.57260000000002</x:v>
      </x:c>
      <x:c r="L9" t="n">
        <x:v>280</x:v>
      </x:c>
    </x:row>
    <x:row r="10">
      <x:c r="A10" t="str">
        <x:v>S01</x:v>
      </x:c>
      <x:c r="B10" t="str">
        <x:v>1.10 initial validation – unstable response state</x:v>
      </x:c>
      <x:c r="C10" s="54" t="n">
        <x:v>1.1</x:v>
      </x:c>
      <x:c r="D10" t="n">
        <x:v>3</x:v>
      </x:c>
      <x:c r="E10" t="str">
        <x:v>PASS</x:v>
      </x:c>
      <x:c r="F10" t="str">
        <x:v>Z</x:v>
      </x:c>
      <x:c r="G10" s="54" t="n">
        <x:v>268.06523</x:v>
      </x:c>
      <x:c r="H10" s="54" t="n">
        <x:v>0.32419</x:v>
      </x:c>
      <x:c r="I10" s="56" t="n">
        <x:v>24.14</x:v>
      </x:c>
      <x:c r="J10" s="56" t="str">
        <x:v>VALID</x:v>
      </x:c>
      <x:c r="K10" s="56" t="n">
        <x:f>G10-268</x:f>
        <x:v>0.06522999999998547</x:v>
      </x:c>
      <x:c r="L10" t="n">
        <x:v>281</x:v>
      </x:c>
    </x:row>
    <x:row r="11">
      <x:c r="A11" t="str">
        <x:v>S01</x:v>
      </x:c>
      <x:c r="B11" t="str">
        <x:v>1.10 initial validation – unstable response state</x:v>
      </x:c>
      <x:c r="C11" s="54" t="n">
        <x:v>1.1</x:v>
      </x:c>
      <x:c r="D11" t="n">
        <x:v>4</x:v>
      </x:c>
      <x:c r="E11" t="str">
        <x:v>FAIL</x:v>
      </x:c>
      <x:c r="F11" t="str">
        <x:v>X</x:v>
      </x:c>
      <x:c r="G11" s="54" t="n">
        <x:v>268.01725</x:v>
      </x:c>
      <x:c r="H11" s="54" t="n">
        <x:v>0.9686</x:v>
      </x:c>
      <x:c r="I11" s="56" t="n">
        <x:v>26.32</x:v>
      </x:c>
      <x:c r="J11" s="56" t="str">
        <x:v>VALID</x:v>
      </x:c>
      <x:c r="K11" s="56" t="n">
        <x:f>G11-268</x:f>
        <x:v>0.017249999999989996</x:v>
      </x:c>
      <x:c r="L11" t="n">
        <x:v>352</x:v>
      </x:c>
    </x:row>
    <x:row r="12">
      <x:c r="A12" t="str">
        <x:v>S01</x:v>
      </x:c>
      <x:c r="B12" t="str">
        <x:v>1.10 initial validation – unstable response state</x:v>
      </x:c>
      <x:c r="C12" s="54" t="n">
        <x:v>1.1</x:v>
      </x:c>
      <x:c r="D12" t="n">
        <x:v>4</x:v>
      </x:c>
      <x:c r="E12" t="str">
        <x:v>FAIL</x:v>
      </x:c>
      <x:c r="F12" t="str">
        <x:v>Y</x:v>
      </x:c>
      <x:c r="G12" s="54" t="n">
        <x:v>483.12639</x:v>
      </x:c>
      <x:c r="H12" s="54" t="n">
        <x:v>0.38294</x:v>
      </x:c>
      <x:c r="I12" s="56" t="n">
        <x:v>16.54</x:v>
      </x:c>
      <x:c r="J12" s="56" t="str">
        <x:v>VALID</x:v>
      </x:c>
      <x:c r="K12" s="56" t="n">
        <x:f>G12-268</x:f>
        <x:v>215.12639000000001</x:v>
      </x:c>
      <x:c r="L12" t="n">
        <x:v>353</x:v>
      </x:c>
    </x:row>
    <x:row r="13">
      <x:c r="A13" t="str">
        <x:v>S01</x:v>
      </x:c>
      <x:c r="B13" t="str">
        <x:v>1.10 initial validation – unstable response state</x:v>
      </x:c>
      <x:c r="C13" s="54" t="n">
        <x:v>1.1</x:v>
      </x:c>
      <x:c r="D13" t="n">
        <x:v>4</x:v>
      </x:c>
      <x:c r="E13" t="str">
        <x:v>FAIL</x:v>
      </x:c>
      <x:c r="F13" t="str">
        <x:v>Z</x:v>
      </x:c>
      <x:c r="G13" s="54" t="n">
        <x:v>267.97624</x:v>
      </x:c>
      <x:c r="H13" s="54" t="n">
        <x:v>0.30968</x:v>
      </x:c>
      <x:c r="I13" s="56" t="n">
        <x:v>23.07</x:v>
      </x:c>
      <x:c r="J13" s="56" t="str">
        <x:v>VALID</x:v>
      </x:c>
      <x:c r="K13" s="56" t="n">
        <x:f>G13-268</x:f>
        <x:v>-0.023759999999981574</x:v>
      </x:c>
      <x:c r="L13" t="n">
        <x:v>354</x:v>
      </x:c>
    </x:row>
    <x:row r="14">
      <x:c r="A14" t="str">
        <x:v>S03</x:v>
      </x:c>
      <x:c r="B14" t="str">
        <x:v>0.90 validated five-run session</x:v>
      </x:c>
      <x:c r="C14" s="54" t="n">
        <x:v>0.9</x:v>
      </x:c>
      <x:c r="D14" t="n">
        <x:v>1</x:v>
      </x:c>
      <x:c r="E14" t="str">
        <x:v>PASS</x:v>
      </x:c>
      <x:c r="F14" t="str">
        <x:v>X</x:v>
      </x:c>
      <x:c r="G14" s="54" t="n">
        <x:v>268.03633</x:v>
      </x:c>
      <x:c r="H14" s="54" t="n">
        <x:v>0.82689</x:v>
      </x:c>
      <x:c r="I14" s="56" t="n">
        <x:v>31.63</x:v>
      </x:c>
      <x:c r="J14" s="56" t="str">
        <x:v>VALID</x:v>
      </x:c>
      <x:c r="K14" s="56" t="n">
        <x:f>G14-268</x:f>
        <x:v>0.036330000000020846</x:v>
      </x:c>
      <x:c r="L14" t="n">
        <x:v>689</x:v>
      </x:c>
    </x:row>
    <x:row r="15">
      <x:c r="A15" t="str">
        <x:v>S03</x:v>
      </x:c>
      <x:c r="B15" t="str">
        <x:v>0.90 validated five-run session</x:v>
      </x:c>
      <x:c r="C15" s="54" t="n">
        <x:v>0.9</x:v>
      </x:c>
      <x:c r="D15" t="n">
        <x:v>1</x:v>
      </x:c>
      <x:c r="E15" t="str">
        <x:v>PASS</x:v>
      </x:c>
      <x:c r="F15" t="str">
        <x:v>Y</x:v>
      </x:c>
      <x:c r="G15" s="54" t="n">
        <x:v>268.02573</x:v>
      </x:c>
      <x:c r="H15" s="54" t="n">
        <x:v>0.29384</x:v>
      </x:c>
      <x:c r="I15" s="56" t="n">
        <x:v>23.82</x:v>
      </x:c>
      <x:c r="J15" s="56" t="str">
        <x:v>VALID</x:v>
      </x:c>
      <x:c r="K15" s="56" t="n">
        <x:f>G15-268</x:f>
        <x:v>0.025730000000010023</x:v>
      </x:c>
      <x:c r="L15" t="n">
        <x:v>690</x:v>
      </x:c>
    </x:row>
    <x:row r="16">
      <x:c r="A16" t="str">
        <x:v>S03</x:v>
      </x:c>
      <x:c r="B16" t="str">
        <x:v>0.90 validated five-run session</x:v>
      </x:c>
      <x:c r="C16" s="54" t="n">
        <x:v>0.9</x:v>
      </x:c>
      <x:c r="D16" t="n">
        <x:v>1</x:v>
      </x:c>
      <x:c r="E16" t="str">
        <x:v>PASS</x:v>
      </x:c>
      <x:c r="F16" t="str">
        <x:v>Z</x:v>
      </x:c>
      <x:c r="G16" s="54" t="n">
        <x:v>268.00865</x:v>
      </x:c>
      <x:c r="H16" s="54" t="n">
        <x:v>0.48445</x:v>
      </x:c>
      <x:c r="I16" s="56" t="n">
        <x:v>27.99</x:v>
      </x:c>
      <x:c r="J16" s="56" t="str">
        <x:v>VALID</x:v>
      </x:c>
      <x:c r="K16" s="56" t="n">
        <x:f>G16-268</x:f>
        <x:v>0.008649999999988722</x:v>
      </x:c>
      <x:c r="L16" t="n">
        <x:v>691</x:v>
      </x:c>
    </x:row>
    <x:row r="17">
      <x:c r="A17" t="str">
        <x:v>S03</x:v>
      </x:c>
      <x:c r="B17" t="str">
        <x:v>0.90 validated five-run session</x:v>
      </x:c>
      <x:c r="C17" s="54" t="n">
        <x:v>0.9</x:v>
      </x:c>
      <x:c r="D17" t="n">
        <x:v>2</x:v>
      </x:c>
      <x:c r="E17" t="str">
        <x:v>PASS</x:v>
      </x:c>
      <x:c r="F17" t="str">
        <x:v>X</x:v>
      </x:c>
      <x:c r="G17" s="54" t="n">
        <x:v>268.03367</x:v>
      </x:c>
      <x:c r="H17" s="54" t="n">
        <x:v>0.82843</x:v>
      </x:c>
      <x:c r="I17" s="56" t="n">
        <x:v>31.85</x:v>
      </x:c>
      <x:c r="J17" s="56" t="str">
        <x:v>VALID</x:v>
      </x:c>
      <x:c r="K17" s="56" t="n">
        <x:f>G17-268</x:f>
        <x:v>0.03366999999997233</x:v>
      </x:c>
      <x:c r="L17" t="n">
        <x:v>769</x:v>
      </x:c>
    </x:row>
    <x:row r="18">
      <x:c r="A18" t="str">
        <x:v>S03</x:v>
      </x:c>
      <x:c r="B18" t="str">
        <x:v>0.90 validated five-run session</x:v>
      </x:c>
      <x:c r="C18" s="54" t="n">
        <x:v>0.9</x:v>
      </x:c>
      <x:c r="D18" t="n">
        <x:v>2</x:v>
      </x:c>
      <x:c r="E18" t="str">
        <x:v>PASS</x:v>
      </x:c>
      <x:c r="F18" t="str">
        <x:v>Y</x:v>
      </x:c>
      <x:c r="G18" s="54" t="n">
        <x:v>268.01316</x:v>
      </x:c>
      <x:c r="H18" s="54" t="n">
        <x:v>0.29726</x:v>
      </x:c>
      <x:c r="I18" s="56" t="n">
        <x:v>23.94</x:v>
      </x:c>
      <x:c r="J18" s="56" t="str">
        <x:v>VALID</x:v>
      </x:c>
      <x:c r="K18" s="56" t="n">
        <x:f>G18-268</x:f>
        <x:v>0.013160000000027594</x:v>
      </x:c>
      <x:c r="L18" t="n">
        <x:v>770</x:v>
      </x:c>
    </x:row>
    <x:row r="19">
      <x:c r="A19" t="str">
        <x:v>S03</x:v>
      </x:c>
      <x:c r="B19" t="str">
        <x:v>0.90 validated five-run session</x:v>
      </x:c>
      <x:c r="C19" s="54" t="n">
        <x:v>0.9</x:v>
      </x:c>
      <x:c r="D19" t="n">
        <x:v>2</x:v>
      </x:c>
      <x:c r="E19" t="str">
        <x:v>PASS</x:v>
      </x:c>
      <x:c r="F19" t="str">
        <x:v>Z</x:v>
      </x:c>
      <x:c r="G19" s="54" t="n">
        <x:v>268.01851</x:v>
      </x:c>
      <x:c r="H19" s="54" t="n">
        <x:v>0.48536</x:v>
      </x:c>
      <x:c r="I19" s="56" t="n">
        <x:v>28.42</x:v>
      </x:c>
      <x:c r="J19" s="56" t="str">
        <x:v>VALID</x:v>
      </x:c>
      <x:c r="K19" s="56" t="n">
        <x:f>G19-268</x:f>
        <x:v>0.018509999999992033</x:v>
      </x:c>
      <x:c r="L19" t="n">
        <x:v>771</x:v>
      </x:c>
    </x:row>
    <x:row r="20">
      <x:c r="A20" t="str">
        <x:v>S03</x:v>
      </x:c>
      <x:c r="B20" t="str">
        <x:v>0.90 validated five-run session</x:v>
      </x:c>
      <x:c r="C20" s="54" t="n">
        <x:v>0.9</x:v>
      </x:c>
      <x:c r="D20" t="n">
        <x:v>3</x:v>
      </x:c>
      <x:c r="E20" t="str">
        <x:v>PASS</x:v>
      </x:c>
      <x:c r="F20" t="str">
        <x:v>X</x:v>
      </x:c>
      <x:c r="G20" s="54" t="n">
        <x:v>268.02037</x:v>
      </x:c>
      <x:c r="H20" s="54" t="n">
        <x:v>0.81412</x:v>
      </x:c>
      <x:c r="I20" s="56" t="n">
        <x:v>31.53</x:v>
      </x:c>
      <x:c r="J20" s="56" t="str">
        <x:v>VALID</x:v>
      </x:c>
      <x:c r="K20" s="56" t="n">
        <x:f>G20-268</x:f>
        <x:v>0.020370000000013988</x:v>
      </x:c>
      <x:c r="L20" t="n">
        <x:v>870</x:v>
      </x:c>
    </x:row>
    <x:row r="21">
      <x:c r="A21" t="str">
        <x:v>S03</x:v>
      </x:c>
      <x:c r="B21" t="str">
        <x:v>0.90 validated five-run session</x:v>
      </x:c>
      <x:c r="C21" s="54" t="n">
        <x:v>0.9</x:v>
      </x:c>
      <x:c r="D21" t="n">
        <x:v>3</x:v>
      </x:c>
      <x:c r="E21" t="str">
        <x:v>PASS</x:v>
      </x:c>
      <x:c r="F21" t="str">
        <x:v>Y</x:v>
      </x:c>
      <x:c r="G21" s="54" t="n">
        <x:v>268.06164</x:v>
      </x:c>
      <x:c r="H21" s="54" t="n">
        <x:v>0.28294</x:v>
      </x:c>
      <x:c r="I21" s="56" t="n">
        <x:v>24.44</x:v>
      </x:c>
      <x:c r="J21" s="56" t="str">
        <x:v>VALID</x:v>
      </x:c>
      <x:c r="K21" s="56" t="n">
        <x:f>G21-268</x:f>
        <x:v>0.06164000000001124</x:v>
      </x:c>
      <x:c r="L21" t="n">
        <x:v>871</x:v>
      </x:c>
    </x:row>
    <x:row r="22">
      <x:c r="A22" t="str">
        <x:v>S03</x:v>
      </x:c>
      <x:c r="B22" t="str">
        <x:v>0.90 validated five-run session</x:v>
      </x:c>
      <x:c r="C22" s="54" t="n">
        <x:v>0.9</x:v>
      </x:c>
      <x:c r="D22" t="n">
        <x:v>3</x:v>
      </x:c>
      <x:c r="E22" t="str">
        <x:v>PASS</x:v>
      </x:c>
      <x:c r="F22" t="str">
        <x:v>Z</x:v>
      </x:c>
      <x:c r="G22" s="54" t="n">
        <x:v>268.00085</x:v>
      </x:c>
      <x:c r="H22" s="54" t="n">
        <x:v>0.47483</x:v>
      </x:c>
      <x:c r="I22" s="56" t="n">
        <x:v>27.58</x:v>
      </x:c>
      <x:c r="J22" s="56" t="str">
        <x:v>VALID</x:v>
      </x:c>
      <x:c r="K22" s="56" t="n">
        <x:f>G22-268</x:f>
        <x:v>0.0008500000000140062</x:v>
      </x:c>
      <x:c r="L22" t="n">
        <x:v>872</x:v>
      </x:c>
    </x:row>
    <x:row r="23">
      <x:c r="A23" t="str">
        <x:v>S03</x:v>
      </x:c>
      <x:c r="B23" t="str">
        <x:v>0.90 validated five-run session</x:v>
      </x:c>
      <x:c r="C23" s="54" t="n">
        <x:v>0.9</x:v>
      </x:c>
      <x:c r="D23" t="n">
        <x:v>4</x:v>
      </x:c>
      <x:c r="E23" t="str">
        <x:v>PASS</x:v>
      </x:c>
      <x:c r="F23" t="str">
        <x:v>X</x:v>
      </x:c>
      <x:c r="G23" s="54" t="n">
        <x:v>268.04544</x:v>
      </x:c>
      <x:c r="H23" s="54" t="n">
        <x:v>0.83113</x:v>
      </x:c>
      <x:c r="I23" s="56" t="n">
        <x:v>31.5</x:v>
      </x:c>
      <x:c r="J23" s="56" t="str">
        <x:v>VALID</x:v>
      </x:c>
      <x:c r="K23" s="56" t="n">
        <x:f>G23-268</x:f>
        <x:v>0.04543999999998505</x:v>
      </x:c>
      <x:c r="L23" t="n">
        <x:v>950</x:v>
      </x:c>
    </x:row>
    <x:row r="24">
      <x:c r="A24" t="str">
        <x:v>S03</x:v>
      </x:c>
      <x:c r="B24" t="str">
        <x:v>0.90 validated five-run session</x:v>
      </x:c>
      <x:c r="C24" s="54" t="n">
        <x:v>0.9</x:v>
      </x:c>
      <x:c r="D24" t="n">
        <x:v>4</x:v>
      </x:c>
      <x:c r="E24" t="str">
        <x:v>PASS</x:v>
      </x:c>
      <x:c r="F24" t="str">
        <x:v>Y</x:v>
      </x:c>
      <x:c r="G24" s="54" t="n">
        <x:v>268.0299</x:v>
      </x:c>
      <x:c r="H24" s="54" t="n">
        <x:v>0.2882</x:v>
      </x:c>
      <x:c r="I24" s="56" t="n">
        <x:v>24.43</x:v>
      </x:c>
      <x:c r="J24" s="56" t="str">
        <x:v>VALID</x:v>
      </x:c>
      <x:c r="K24" s="56" t="n">
        <x:f>G24-268</x:f>
        <x:v>0.029899999999997817</x:v>
      </x:c>
      <x:c r="L24" t="n">
        <x:v>951</x:v>
      </x:c>
    </x:row>
    <x:row r="25">
      <x:c r="A25" t="str">
        <x:v>S03</x:v>
      </x:c>
      <x:c r="B25" t="str">
        <x:v>0.90 validated five-run session</x:v>
      </x:c>
      <x:c r="C25" s="54" t="n">
        <x:v>0.9</x:v>
      </x:c>
      <x:c r="D25" t="n">
        <x:v>4</x:v>
      </x:c>
      <x:c r="E25" t="str">
        <x:v>PASS</x:v>
      </x:c>
      <x:c r="F25" t="str">
        <x:v>Z</x:v>
      </x:c>
      <x:c r="G25" s="54" t="n">
        <x:v>268.00806</x:v>
      </x:c>
      <x:c r="H25" s="54" t="n">
        <x:v>0.47729</x:v>
      </x:c>
      <x:c r="I25" s="56" t="n">
        <x:v>27.65</x:v>
      </x:c>
      <x:c r="J25" s="56" t="str">
        <x:v>VALID</x:v>
      </x:c>
      <x:c r="K25" s="56" t="n">
        <x:f>G25-268</x:f>
        <x:v>0.0080600000000004</x:v>
      </x:c>
      <x:c r="L25" t="n">
        <x:v>952</x:v>
      </x:c>
    </x:row>
    <x:row r="26">
      <x:c r="A26" t="str">
        <x:v>S03</x:v>
      </x:c>
      <x:c r="B26" t="str">
        <x:v>0.90 validated five-run session</x:v>
      </x:c>
      <x:c r="C26" s="54" t="n">
        <x:v>0.9</x:v>
      </x:c>
      <x:c r="D26" t="n">
        <x:v>5</x:v>
      </x:c>
      <x:c r="E26" t="str">
        <x:v>PASS</x:v>
      </x:c>
      <x:c r="F26" t="str">
        <x:v>X</x:v>
      </x:c>
      <x:c r="G26" s="54" t="n">
        <x:v>268.03773</x:v>
      </x:c>
      <x:c r="H26" s="54" t="n">
        <x:v>0.79538</x:v>
      </x:c>
      <x:c r="I26" s="56" t="n">
        <x:v>31.54</x:v>
      </x:c>
      <x:c r="J26" s="56" t="str">
        <x:v>VALID</x:v>
      </x:c>
      <x:c r="K26" s="56" t="n">
        <x:f>G26-268</x:f>
        <x:v>0.03773000000001048</x:v>
      </x:c>
      <x:c r="L26" t="n">
        <x:v>1030</x:v>
      </x:c>
    </x:row>
    <x:row r="27">
      <x:c r="A27" t="str">
        <x:v>S03</x:v>
      </x:c>
      <x:c r="B27" t="str">
        <x:v>0.90 validated five-run session</x:v>
      </x:c>
      <x:c r="C27" s="54" t="n">
        <x:v>0.9</x:v>
      </x:c>
      <x:c r="D27" t="n">
        <x:v>5</x:v>
      </x:c>
      <x:c r="E27" t="str">
        <x:v>PASS</x:v>
      </x:c>
      <x:c r="F27" t="str">
        <x:v>Y</x:v>
      </x:c>
      <x:c r="G27" s="54" t="n">
        <x:v>268.05117</x:v>
      </x:c>
      <x:c r="H27" s="54" t="n">
        <x:v>0.27148</x:v>
      </x:c>
      <x:c r="I27" s="56" t="n">
        <x:v>23.05</x:v>
      </x:c>
      <x:c r="J27" s="56" t="str">
        <x:v>VALID</x:v>
      </x:c>
      <x:c r="K27" s="56" t="n">
        <x:f>G27-268</x:f>
        <x:v>0.05117000000001326</x:v>
      </x:c>
      <x:c r="L27" t="n">
        <x:v>1031</x:v>
      </x:c>
    </x:row>
    <x:row r="28">
      <x:c r="A28" t="str">
        <x:v>S03</x:v>
      </x:c>
      <x:c r="B28" t="str">
        <x:v>0.90 validated five-run session</x:v>
      </x:c>
      <x:c r="C28" s="54" t="n">
        <x:v>0.9</x:v>
      </x:c>
      <x:c r="D28" t="n">
        <x:v>5</x:v>
      </x:c>
      <x:c r="E28" t="str">
        <x:v>PASS</x:v>
      </x:c>
      <x:c r="F28" t="str">
        <x:v>Z</x:v>
      </x:c>
      <x:c r="G28" s="54" t="n">
        <x:v>268.0418</x:v>
      </x:c>
      <x:c r="H28" s="54" t="n">
        <x:v>0.4616</x:v>
      </x:c>
      <x:c r="I28" s="56" t="n">
        <x:v>27.53</x:v>
      </x:c>
      <x:c r="J28" s="56" t="str">
        <x:v>VALID</x:v>
      </x:c>
      <x:c r="K28" s="56" t="n">
        <x:f>G28-268</x:f>
        <x:v>0.041800000000023374</x:v>
      </x:c>
      <x:c r="L28" t="n">
        <x:v>1032</x:v>
      </x:c>
    </x:row>
    <x:row r="29">
      <x:c r="A29" t="str">
        <x:v>S04</x:v>
      </x:c>
      <x:c r="B29" t="str">
        <x:v>1.20 validated five-run session</x:v>
      </x:c>
      <x:c r="C29" s="54" t="n">
        <x:v>1.2</x:v>
      </x:c>
      <x:c r="D29" t="n">
        <x:v>1</x:v>
      </x:c>
      <x:c r="E29" t="str">
        <x:v>PASS</x:v>
      </x:c>
      <x:c r="F29" t="str">
        <x:v>X</x:v>
      </x:c>
      <x:c r="G29" s="54" t="n">
        <x:v>268.0107</x:v>
      </x:c>
      <x:c r="H29" s="54" t="n">
        <x:v>1.09409</x:v>
      </x:c>
      <x:c r="I29" s="56" t="n">
        <x:v>32.37</x:v>
      </x:c>
      <x:c r="J29" s="56" t="str">
        <x:v>VALID</x:v>
      </x:c>
      <x:c r="K29" s="56" t="n">
        <x:f>G29-268</x:f>
        <x:v>0.010699999999985721</x:v>
      </x:c>
      <x:c r="L29" t="n">
        <x:v>1152</x:v>
      </x:c>
    </x:row>
    <x:row r="30">
      <x:c r="A30" t="str">
        <x:v>S04</x:v>
      </x:c>
      <x:c r="B30" t="str">
        <x:v>1.20 validated five-run session</x:v>
      </x:c>
      <x:c r="C30" s="54" t="n">
        <x:v>1.2</x:v>
      </x:c>
      <x:c r="D30" t="n">
        <x:v>1</x:v>
      </x:c>
      <x:c r="E30" t="str">
        <x:v>PASS</x:v>
      </x:c>
      <x:c r="F30" t="str">
        <x:v>Y</x:v>
      </x:c>
      <x:c r="G30" s="54" t="n">
        <x:v>268.03188</x:v>
      </x:c>
      <x:c r="H30" s="54" t="n">
        <x:v>0.3535</x:v>
      </x:c>
      <x:c r="I30" s="56" t="n">
        <x:v>25.68</x:v>
      </x:c>
      <x:c r="J30" s="56" t="str">
        <x:v>VALID</x:v>
      </x:c>
      <x:c r="K30" s="56" t="n">
        <x:f>G30-268</x:f>
        <x:v>0.03188000000000102</x:v>
      </x:c>
      <x:c r="L30" t="n">
        <x:v>1153</x:v>
      </x:c>
    </x:row>
    <x:row r="31">
      <x:c r="A31" t="str">
        <x:v>S04</x:v>
      </x:c>
      <x:c r="B31" t="str">
        <x:v>1.20 validated five-run session</x:v>
      </x:c>
      <x:c r="C31" s="54" t="n">
        <x:v>1.2</x:v>
      </x:c>
      <x:c r="D31" t="n">
        <x:v>1</x:v>
      </x:c>
      <x:c r="E31" t="str">
        <x:v>PASS</x:v>
      </x:c>
      <x:c r="F31" t="str">
        <x:v>Z</x:v>
      </x:c>
      <x:c r="G31" s="54" t="n">
        <x:v>268.03495</x:v>
      </x:c>
      <x:c r="H31" s="54" t="n">
        <x:v>0.59503</x:v>
      </x:c>
      <x:c r="I31" s="56" t="n">
        <x:v>29.85</x:v>
      </x:c>
      <x:c r="J31" s="56" t="str">
        <x:v>VALID</x:v>
      </x:c>
      <x:c r="K31" s="56" t="n">
        <x:f>G31-268</x:f>
        <x:v>0.03494999999998072</x:v>
      </x:c>
      <x:c r="L31" t="n">
        <x:v>1154</x:v>
      </x:c>
    </x:row>
    <x:row r="32">
      <x:c r="A32" t="str">
        <x:v>S04</x:v>
      </x:c>
      <x:c r="B32" t="str">
        <x:v>1.20 validated five-run session</x:v>
      </x:c>
      <x:c r="C32" s="54" t="n">
        <x:v>1.2</x:v>
      </x:c>
      <x:c r="D32" t="n">
        <x:v>2</x:v>
      </x:c>
      <x:c r="E32" t="str">
        <x:v>PASS</x:v>
      </x:c>
      <x:c r="F32" t="str">
        <x:v>X</x:v>
      </x:c>
      <x:c r="G32" s="54" t="n">
        <x:v>268.0187</x:v>
      </x:c>
      <x:c r="H32" s="54" t="n">
        <x:v>1.09589</x:v>
      </x:c>
      <x:c r="I32" s="56" t="n">
        <x:v>32.37</x:v>
      </x:c>
      <x:c r="J32" s="56" t="str">
        <x:v>VALID</x:v>
      </x:c>
      <x:c r="K32" s="56" t="n">
        <x:f>G32-268</x:f>
        <x:v>0.01870000000002392</x:v>
      </x:c>
      <x:c r="L32" t="n">
        <x:v>1236</x:v>
      </x:c>
    </x:row>
    <x:row r="33">
      <x:c r="A33" t="str">
        <x:v>S04</x:v>
      </x:c>
      <x:c r="B33" t="str">
        <x:v>1.20 validated five-run session</x:v>
      </x:c>
      <x:c r="C33" s="54" t="n">
        <x:v>1.2</x:v>
      </x:c>
      <x:c r="D33" t="n">
        <x:v>2</x:v>
      </x:c>
      <x:c r="E33" t="str">
        <x:v>PASS</x:v>
      </x:c>
      <x:c r="F33" t="str">
        <x:v>Y</x:v>
      </x:c>
      <x:c r="G33" s="54" t="n">
        <x:v>267.99968</x:v>
      </x:c>
      <x:c r="H33" s="54" t="n">
        <x:v>0.36413</x:v>
      </x:c>
      <x:c r="I33" s="56" t="n">
        <x:v>26.65</x:v>
      </x:c>
      <x:c r="J33" s="56" t="str">
        <x:v>VALID</x:v>
      </x:c>
      <x:c r="K33" s="56" t="n">
        <x:f>G33-268</x:f>
        <x:v>-0.00031999999998788553</x:v>
      </x:c>
      <x:c r="L33" t="n">
        <x:v>1237</x:v>
      </x:c>
    </x:row>
    <x:row r="34">
      <x:c r="A34" t="str">
        <x:v>S04</x:v>
      </x:c>
      <x:c r="B34" t="str">
        <x:v>1.20 validated five-run session</x:v>
      </x:c>
      <x:c r="C34" s="54" t="n">
        <x:v>1.2</x:v>
      </x:c>
      <x:c r="D34" t="n">
        <x:v>2</x:v>
      </x:c>
      <x:c r="E34" t="str">
        <x:v>PASS</x:v>
      </x:c>
      <x:c r="F34" t="str">
        <x:v>Z</x:v>
      </x:c>
      <x:c r="G34" s="54" t="n">
        <x:v>268.03047</x:v>
      </x:c>
      <x:c r="H34" s="54" t="n">
        <x:v>0.58556</x:v>
      </x:c>
      <x:c r="I34" s="56" t="n">
        <x:v>29.7</x:v>
      </x:c>
      <x:c r="J34" s="56" t="str">
        <x:v>VALID</x:v>
      </x:c>
      <x:c r="K34" s="56" t="n">
        <x:f>G34-268</x:f>
        <x:v>0.03046999999997979</x:v>
      </x:c>
      <x:c r="L34" t="n">
        <x:v>1238</x:v>
      </x:c>
    </x:row>
    <x:row r="35">
      <x:c r="A35" t="str">
        <x:v>S04</x:v>
      </x:c>
      <x:c r="B35" t="str">
        <x:v>1.20 validated five-run session</x:v>
      </x:c>
      <x:c r="C35" s="54" t="n">
        <x:v>1.2</x:v>
      </x:c>
      <x:c r="D35" t="n">
        <x:v>3</x:v>
      </x:c>
      <x:c r="E35" t="str">
        <x:v>PASS</x:v>
      </x:c>
      <x:c r="F35" t="str">
        <x:v>X</x:v>
      </x:c>
      <x:c r="G35" s="54" t="n">
        <x:v>268.02769</x:v>
      </x:c>
      <x:c r="H35" s="54" t="n">
        <x:v>1.07399</x:v>
      </x:c>
      <x:c r="I35" s="56" t="n">
        <x:v>32.52</x:v>
      </x:c>
      <x:c r="J35" s="56" t="str">
        <x:v>VALID</x:v>
      </x:c>
      <x:c r="K35" s="56" t="n">
        <x:f>G35-268</x:f>
        <x:v>0.027690000000006876</x:v>
      </x:c>
      <x:c r="L35" t="n">
        <x:v>1320</x:v>
      </x:c>
    </x:row>
    <x:row r="36">
      <x:c r="A36" t="str">
        <x:v>S04</x:v>
      </x:c>
      <x:c r="B36" t="str">
        <x:v>1.20 validated five-run session</x:v>
      </x:c>
      <x:c r="C36" s="54" t="n">
        <x:v>1.2</x:v>
      </x:c>
      <x:c r="D36" t="n">
        <x:v>3</x:v>
      </x:c>
      <x:c r="E36" t="str">
        <x:v>PASS</x:v>
      </x:c>
      <x:c r="F36" t="str">
        <x:v>Y</x:v>
      </x:c>
      <x:c r="G36" s="54" t="n">
        <x:v>268.03467</x:v>
      </x:c>
      <x:c r="H36" s="54" t="n">
        <x:v>0.35987</x:v>
      </x:c>
      <x:c r="I36" s="56" t="n">
        <x:v>26.41</x:v>
      </x:c>
      <x:c r="J36" s="56" t="str">
        <x:v>VALID</x:v>
      </x:c>
      <x:c r="K36" s="56" t="n">
        <x:f>G36-268</x:f>
        <x:v>0.03467000000000553</x:v>
      </x:c>
      <x:c r="L36" t="n">
        <x:v>1321</x:v>
      </x:c>
    </x:row>
    <x:row r="37">
      <x:c r="A37" t="str">
        <x:v>S04</x:v>
      </x:c>
      <x:c r="B37" t="str">
        <x:v>1.20 validated five-run session</x:v>
      </x:c>
      <x:c r="C37" s="54" t="n">
        <x:v>1.2</x:v>
      </x:c>
      <x:c r="D37" t="n">
        <x:v>3</x:v>
      </x:c>
      <x:c r="E37" t="str">
        <x:v>PASS</x:v>
      </x:c>
      <x:c r="F37" t="str">
        <x:v>Z</x:v>
      </x:c>
      <x:c r="G37" s="54" t="n">
        <x:v>268.03188</x:v>
      </x:c>
      <x:c r="H37" s="54" t="n">
        <x:v>0.58031</x:v>
      </x:c>
      <x:c r="I37" s="56" t="n">
        <x:v>29.44</x:v>
      </x:c>
      <x:c r="J37" s="56" t="str">
        <x:v>VALID</x:v>
      </x:c>
      <x:c r="K37" s="56" t="n">
        <x:f>G37-268</x:f>
        <x:v>0.03188000000000102</x:v>
      </x:c>
      <x:c r="L37" t="n">
        <x:v>1322</x:v>
      </x:c>
    </x:row>
    <x:row r="38">
      <x:c r="A38" t="str">
        <x:v>S04</x:v>
      </x:c>
      <x:c r="B38" t="str">
        <x:v>1.20 validated five-run session</x:v>
      </x:c>
      <x:c r="C38" s="54" t="n">
        <x:v>1.2</x:v>
      </x:c>
      <x:c r="D38" t="n">
        <x:v>4</x:v>
      </x:c>
      <x:c r="E38" t="str">
        <x:v>PASS</x:v>
      </x:c>
      <x:c r="F38" t="str">
        <x:v>X</x:v>
      </x:c>
      <x:c r="G38" s="54" t="n">
        <x:v>268.01152</x:v>
      </x:c>
      <x:c r="H38" s="54" t="n">
        <x:v>1.1025</x:v>
      </x:c>
      <x:c r="I38" s="56" t="n">
        <x:v>32.51</x:v>
      </x:c>
      <x:c r="J38" s="56" t="str">
        <x:v>VALID</x:v>
      </x:c>
      <x:c r="K38" s="56" t="n">
        <x:f>G38-268</x:f>
        <x:v>0.011520000000018626</x:v>
      </x:c>
      <x:c r="L38" t="n">
        <x:v>1404</x:v>
      </x:c>
    </x:row>
    <x:row r="39">
      <x:c r="A39" t="str">
        <x:v>S04</x:v>
      </x:c>
      <x:c r="B39" t="str">
        <x:v>1.20 validated five-run session</x:v>
      </x:c>
      <x:c r="C39" s="54" t="n">
        <x:v>1.2</x:v>
      </x:c>
      <x:c r="D39" t="n">
        <x:v>4</x:v>
      </x:c>
      <x:c r="E39" t="str">
        <x:v>PASS</x:v>
      </x:c>
      <x:c r="F39" t="str">
        <x:v>Y</x:v>
      </x:c>
      <x:c r="G39" s="54" t="n">
        <x:v>268.015</x:v>
      </x:c>
      <x:c r="H39" s="54" t="n">
        <x:v>0.35748</x:v>
      </x:c>
      <x:c r="I39" s="56" t="n">
        <x:v>26.37</x:v>
      </x:c>
      <x:c r="J39" s="56" t="str">
        <x:v>VALID</x:v>
      </x:c>
      <x:c r="K39" s="56" t="n">
        <x:f>G39-268</x:f>
        <x:v>0.014999999999986358</x:v>
      </x:c>
      <x:c r="L39" t="n">
        <x:v>1405</x:v>
      </x:c>
    </x:row>
    <x:row r="40">
      <x:c r="A40" t="str">
        <x:v>S04</x:v>
      </x:c>
      <x:c r="B40" t="str">
        <x:v>1.20 validated five-run session</x:v>
      </x:c>
      <x:c r="C40" s="54" t="n">
        <x:v>1.2</x:v>
      </x:c>
      <x:c r="D40" t="n">
        <x:v>4</x:v>
      </x:c>
      <x:c r="E40" t="str">
        <x:v>PASS</x:v>
      </x:c>
      <x:c r="F40" t="str">
        <x:v>Z</x:v>
      </x:c>
      <x:c r="G40" s="54" t="n">
        <x:v>268.04769</x:v>
      </x:c>
      <x:c r="H40" s="54" t="n">
        <x:v>0.58345</x:v>
      </x:c>
      <x:c r="I40" s="56" t="n">
        <x:v>29.2</x:v>
      </x:c>
      <x:c r="J40" s="56" t="str">
        <x:v>VALID</x:v>
      </x:c>
      <x:c r="K40" s="56" t="n">
        <x:f>G40-268</x:f>
        <x:v>0.047689999999988686</x:v>
      </x:c>
      <x:c r="L40" t="n">
        <x:v>1406</x:v>
      </x:c>
    </x:row>
    <x:row r="41">
      <x:c r="A41" t="str">
        <x:v>S04</x:v>
      </x:c>
      <x:c r="B41" t="str">
        <x:v>1.20 validated five-run session</x:v>
      </x:c>
      <x:c r="C41" s="54" t="n">
        <x:v>1.2</x:v>
      </x:c>
      <x:c r="D41" t="n">
        <x:v>5</x:v>
      </x:c>
      <x:c r="E41" t="str">
        <x:v>PASS</x:v>
      </x:c>
      <x:c r="F41" t="str">
        <x:v>X</x:v>
      </x:c>
      <x:c r="G41" s="54" t="n">
        <x:v>268.02402</x:v>
      </x:c>
      <x:c r="H41" s="54" t="n">
        <x:v>1.07959</x:v>
      </x:c>
      <x:c r="I41" s="56" t="n">
        <x:v>32.45</x:v>
      </x:c>
      <x:c r="J41" s="56" t="str">
        <x:v>VALID</x:v>
      </x:c>
      <x:c r="K41" s="56" t="n">
        <x:f>G41-268</x:f>
        <x:v>0.024020000000007258</x:v>
      </x:c>
      <x:c r="L41" t="n">
        <x:v>1488</x:v>
      </x:c>
    </x:row>
    <x:row r="42">
      <x:c r="A42" t="str">
        <x:v>S04</x:v>
      </x:c>
      <x:c r="B42" t="str">
        <x:v>1.20 validated five-run session</x:v>
      </x:c>
      <x:c r="C42" s="54" t="n">
        <x:v>1.2</x:v>
      </x:c>
      <x:c r="D42" t="n">
        <x:v>5</x:v>
      </x:c>
      <x:c r="E42" t="str">
        <x:v>PASS</x:v>
      </x:c>
      <x:c r="F42" t="str">
        <x:v>Y</x:v>
      </x:c>
      <x:c r="G42" s="54" t="n">
        <x:v>268.02185</x:v>
      </x:c>
      <x:c r="H42" s="54" t="n">
        <x:v>0.35231</x:v>
      </x:c>
      <x:c r="I42" s="56" t="n">
        <x:v>25.97</x:v>
      </x:c>
      <x:c r="J42" s="56" t="str">
        <x:v>VALID</x:v>
      </x:c>
      <x:c r="K42" s="56" t="n">
        <x:f>G42-268</x:f>
        <x:v>0.02184999999997217</x:v>
      </x:c>
      <x:c r="L42" t="n">
        <x:v>1489</x:v>
      </x:c>
    </x:row>
    <x:row r="43">
      <x:c r="A43" t="str">
        <x:v>S04</x:v>
      </x:c>
      <x:c r="B43" t="str">
        <x:v>1.20 validated five-run session</x:v>
      </x:c>
      <x:c r="C43" s="54" t="n">
        <x:v>1.2</x:v>
      </x:c>
      <x:c r="D43" t="n">
        <x:v>5</x:v>
      </x:c>
      <x:c r="E43" t="str">
        <x:v>PASS</x:v>
      </x:c>
      <x:c r="F43" t="str">
        <x:v>Z</x:v>
      </x:c>
      <x:c r="G43" s="54" t="n">
        <x:v>268.05873</x:v>
      </x:c>
      <x:c r="H43" s="54" t="n">
        <x:v>0.57393</x:v>
      </x:c>
      <x:c r="I43" s="56" t="n">
        <x:v>29.26</x:v>
      </x:c>
      <x:c r="J43" s="56" t="str">
        <x:v>VALID</x:v>
      </x:c>
      <x:c r="K43" s="56" t="n">
        <x:f>G43-268</x:f>
        <x:v>0.058730000000025484</x:v>
      </x:c>
      <x:c r="L43" t="n">
        <x:v>1490</x:v>
      </x:c>
    </x:row>
    <x:row r="44">
      <x:c r="A44" t="str">
        <x:v>S05</x:v>
      </x:c>
      <x:c r="B44" t="str">
        <x:v>1.28 validated five-run session</x:v>
      </x:c>
      <x:c r="C44" s="54" t="n">
        <x:v>1.28</x:v>
      </x:c>
      <x:c r="D44" t="n">
        <x:v>1</x:v>
      </x:c>
      <x:c r="E44" t="str">
        <x:v>PASS</x:v>
      </x:c>
      <x:c r="F44" t="str">
        <x:v>X</x:v>
      </x:c>
      <x:c r="G44" s="54" t="n">
        <x:v>268.02717</x:v>
      </x:c>
      <x:c r="H44" s="54" t="n">
        <x:v>1.15686</x:v>
      </x:c>
      <x:c r="I44" s="56" t="n">
        <x:v>32.55</x:v>
      </x:c>
      <x:c r="J44" s="56" t="str">
        <x:v>VALID</x:v>
      </x:c>
      <x:c r="K44" s="56" t="n">
        <x:f>G44-268</x:f>
        <x:v>0.02717000000001235</x:v>
      </x:c>
      <x:c r="L44" t="n">
        <x:v>1627</x:v>
      </x:c>
    </x:row>
    <x:row r="45">
      <x:c r="A45" t="str">
        <x:v>S05</x:v>
      </x:c>
      <x:c r="B45" t="str">
        <x:v>1.28 validated five-run session</x:v>
      </x:c>
      <x:c r="C45" s="54" t="n">
        <x:v>1.28</x:v>
      </x:c>
      <x:c r="D45" t="n">
        <x:v>1</x:v>
      </x:c>
      <x:c r="E45" t="str">
        <x:v>PASS</x:v>
      </x:c>
      <x:c r="F45" t="str">
        <x:v>Y</x:v>
      </x:c>
      <x:c r="G45" s="54" t="n">
        <x:v>268.01089</x:v>
      </x:c>
      <x:c r="H45" s="54" t="n">
        <x:v>0.37929</x:v>
      </x:c>
      <x:c r="I45" s="56" t="n">
        <x:v>27.14</x:v>
      </x:c>
      <x:c r="J45" s="56" t="str">
        <x:v>VALID</x:v>
      </x:c>
      <x:c r="K45" s="56" t="n">
        <x:f>G45-268</x:f>
        <x:v>0.010890000000017608</x:v>
      </x:c>
      <x:c r="L45" t="n">
        <x:v>1628</x:v>
      </x:c>
    </x:row>
    <x:row r="46">
      <x:c r="A46" t="str">
        <x:v>S05</x:v>
      </x:c>
      <x:c r="B46" t="str">
        <x:v>1.28 validated five-run session</x:v>
      </x:c>
      <x:c r="C46" s="54" t="n">
        <x:v>1.28</x:v>
      </x:c>
      <x:c r="D46" t="n">
        <x:v>1</x:v>
      </x:c>
      <x:c r="E46" t="str">
        <x:v>PASS</x:v>
      </x:c>
      <x:c r="F46" t="str">
        <x:v>Z</x:v>
      </x:c>
      <x:c r="G46" s="54" t="n">
        <x:v>268.03909</x:v>
      </x:c>
      <x:c r="H46" s="54" t="n">
        <x:v>0.62185</x:v>
      </x:c>
      <x:c r="I46" s="56" t="n">
        <x:v>29.56</x:v>
      </x:c>
      <x:c r="J46" s="56" t="str">
        <x:v>VALID</x:v>
      </x:c>
      <x:c r="K46" s="56" t="n">
        <x:f>G46-268</x:f>
        <x:v>0.03908999999998741</x:v>
      </x:c>
      <x:c r="L46" t="n">
        <x:v>1629</x:v>
      </x:c>
    </x:row>
    <x:row r="47">
      <x:c r="A47" t="str">
        <x:v>S05</x:v>
      </x:c>
      <x:c r="B47" t="str">
        <x:v>1.28 validated five-run session</x:v>
      </x:c>
      <x:c r="C47" s="54" t="n">
        <x:v>1.28</x:v>
      </x:c>
      <x:c r="D47" t="n">
        <x:v>2</x:v>
      </x:c>
      <x:c r="E47" t="str">
        <x:v>PASS</x:v>
      </x:c>
      <x:c r="F47" t="str">
        <x:v>X</x:v>
      </x:c>
      <x:c r="G47" s="54" t="n">
        <x:v>268.02523</x:v>
      </x:c>
      <x:c r="H47" s="54" t="n">
        <x:v>1.16965</x:v>
      </x:c>
      <x:c r="I47" s="56" t="n">
        <x:v>32.56</x:v>
      </x:c>
      <x:c r="J47" s="56" t="str">
        <x:v>VALID</x:v>
      </x:c>
      <x:c r="K47" s="56" t="n">
        <x:f>G47-268</x:f>
        <x:v>0.025230000000021846</x:v>
      </x:c>
      <x:c r="L47" t="n">
        <x:v>1711</x:v>
      </x:c>
    </x:row>
    <x:row r="48">
      <x:c r="A48" t="str">
        <x:v>S05</x:v>
      </x:c>
      <x:c r="B48" t="str">
        <x:v>1.28 validated five-run session</x:v>
      </x:c>
      <x:c r="C48" s="54" t="n">
        <x:v>1.28</x:v>
      </x:c>
      <x:c r="D48" t="n">
        <x:v>2</x:v>
      </x:c>
      <x:c r="E48" t="str">
        <x:v>PASS</x:v>
      </x:c>
      <x:c r="F48" t="str">
        <x:v>Y</x:v>
      </x:c>
      <x:c r="G48" s="54" t="n">
        <x:v>268.03066</x:v>
      </x:c>
      <x:c r="H48" s="54" t="n">
        <x:v>0.39007</x:v>
      </x:c>
      <x:c r="I48" s="56" t="n">
        <x:v>27.24</x:v>
      </x:c>
      <x:c r="J48" s="56" t="str">
        <x:v>VALID</x:v>
      </x:c>
      <x:c r="K48" s="56" t="n">
        <x:f>G48-268</x:f>
        <x:v>0.030660000000011678</x:v>
      </x:c>
      <x:c r="L48" t="n">
        <x:v>1712</x:v>
      </x:c>
    </x:row>
    <x:row r="49">
      <x:c r="A49" t="str">
        <x:v>S05</x:v>
      </x:c>
      <x:c r="B49" t="str">
        <x:v>1.28 validated five-run session</x:v>
      </x:c>
      <x:c r="C49" s="54" t="n">
        <x:v>1.28</x:v>
      </x:c>
      <x:c r="D49" t="n">
        <x:v>2</x:v>
      </x:c>
      <x:c r="E49" t="str">
        <x:v>PASS</x:v>
      </x:c>
      <x:c r="F49" t="str">
        <x:v>Z</x:v>
      </x:c>
      <x:c r="G49" s="54" t="n">
        <x:v>268.04686</x:v>
      </x:c>
      <x:c r="H49" s="54" t="n">
        <x:v>0.6446</x:v>
      </x:c>
      <x:c r="I49" s="56" t="n">
        <x:v>29.72</x:v>
      </x:c>
      <x:c r="J49" s="56" t="str">
        <x:v>VALID</x:v>
      </x:c>
      <x:c r="K49" s="56" t="n">
        <x:f>G49-268</x:f>
        <x:v>0.04685999999998103</x:v>
      </x:c>
      <x:c r="L49" t="n">
        <x:v>1713</x:v>
      </x:c>
    </x:row>
    <x:row r="50">
      <x:c r="A50" t="str">
        <x:v>S05</x:v>
      </x:c>
      <x:c r="B50" t="str">
        <x:v>1.28 validated five-run session</x:v>
      </x:c>
      <x:c r="C50" s="54" t="n">
        <x:v>1.28</x:v>
      </x:c>
      <x:c r="D50" t="n">
        <x:v>3</x:v>
      </x:c>
      <x:c r="E50" t="str">
        <x:v>PASS</x:v>
      </x:c>
      <x:c r="F50" t="str">
        <x:v>X</x:v>
      </x:c>
      <x:c r="G50" s="54" t="n">
        <x:v>268.02621</x:v>
      </x:c>
      <x:c r="H50" s="54" t="n">
        <x:v>1.1621</x:v>
      </x:c>
      <x:c r="I50" s="56" t="n">
        <x:v>32.44</x:v>
      </x:c>
      <x:c r="J50" s="56" t="str">
        <x:v>VALID</x:v>
      </x:c>
      <x:c r="K50" s="56" t="n">
        <x:f>G50-268</x:f>
        <x:v>0.02620999999999185</x:v>
      </x:c>
      <x:c r="L50" t="n">
        <x:v>1796</x:v>
      </x:c>
    </x:row>
    <x:row r="51">
      <x:c r="A51" t="str">
        <x:v>S05</x:v>
      </x:c>
      <x:c r="B51" t="str">
        <x:v>1.28 validated five-run session</x:v>
      </x:c>
      <x:c r="C51" s="54" t="n">
        <x:v>1.28</x:v>
      </x:c>
      <x:c r="D51" t="n">
        <x:v>3</x:v>
      </x:c>
      <x:c r="E51" t="str">
        <x:v>PASS</x:v>
      </x:c>
      <x:c r="F51" t="str">
        <x:v>Y</x:v>
      </x:c>
      <x:c r="G51" s="54" t="n">
        <x:v>268.04089</x:v>
      </x:c>
      <x:c r="H51" s="54" t="n">
        <x:v>0.39668</x:v>
      </x:c>
      <x:c r="I51" s="56" t="n">
        <x:v>27.55</x:v>
      </x:c>
      <x:c r="J51" s="56" t="str">
        <x:v>VALID</x:v>
      </x:c>
      <x:c r="K51" s="56" t="n">
        <x:f>G51-268</x:f>
        <x:v>0.04088999999999032</x:v>
      </x:c>
      <x:c r="L51" t="n">
        <x:v>1797</x:v>
      </x:c>
    </x:row>
    <x:row r="52">
      <x:c r="A52" t="str">
        <x:v>S05</x:v>
      </x:c>
      <x:c r="B52" t="str">
        <x:v>1.28 validated five-run session</x:v>
      </x:c>
      <x:c r="C52" s="54" t="n">
        <x:v>1.28</x:v>
      </x:c>
      <x:c r="D52" t="n">
        <x:v>3</x:v>
      </x:c>
      <x:c r="E52" t="str">
        <x:v>PASS</x:v>
      </x:c>
      <x:c r="F52" t="str">
        <x:v>Z</x:v>
      </x:c>
      <x:c r="G52" s="54" t="n">
        <x:v>268.01809</x:v>
      </x:c>
      <x:c r="H52" s="54" t="n">
        <x:v>0.64161</x:v>
      </x:c>
      <x:c r="I52" s="56" t="n">
        <x:v>29.72</x:v>
      </x:c>
      <x:c r="J52" s="56" t="str">
        <x:v>VALID</x:v>
      </x:c>
      <x:c r="K52" s="56" t="n">
        <x:f>G52-268</x:f>
        <x:v>0.018089999999972406</x:v>
      </x:c>
      <x:c r="L52" t="n">
        <x:v>1798</x:v>
      </x:c>
    </x:row>
    <x:row r="53">
      <x:c r="A53" t="str">
        <x:v>S05</x:v>
      </x:c>
      <x:c r="B53" t="str">
        <x:v>1.28 validated five-run session</x:v>
      </x:c>
      <x:c r="C53" s="54" t="n">
        <x:v>1.28</x:v>
      </x:c>
      <x:c r="D53" t="n">
        <x:v>4</x:v>
      </x:c>
      <x:c r="E53" t="str">
        <x:v>PASS</x:v>
      </x:c>
      <x:c r="F53" t="str">
        <x:v>X</x:v>
      </x:c>
      <x:c r="G53" s="54" t="n">
        <x:v>268.02105</x:v>
      </x:c>
      <x:c r="H53" s="54" t="n">
        <x:v>1.1456</x:v>
      </x:c>
      <x:c r="I53" s="56" t="n">
        <x:v>32.48</x:v>
      </x:c>
      <x:c r="J53" s="56" t="str">
        <x:v>VALID</x:v>
      </x:c>
      <x:c r="K53" s="56" t="n">
        <x:f>G53-268</x:f>
        <x:v>0.021050000000002456</x:v>
      </x:c>
      <x:c r="L53" t="n">
        <x:v>1881</x:v>
      </x:c>
    </x:row>
    <x:row r="54">
      <x:c r="A54" t="str">
        <x:v>S05</x:v>
      </x:c>
      <x:c r="B54" t="str">
        <x:v>1.28 validated five-run session</x:v>
      </x:c>
      <x:c r="C54" s="54" t="n">
        <x:v>1.28</x:v>
      </x:c>
      <x:c r="D54" t="n">
        <x:v>4</x:v>
      </x:c>
      <x:c r="E54" t="str">
        <x:v>PASS</x:v>
      </x:c>
      <x:c r="F54" t="str">
        <x:v>Y</x:v>
      </x:c>
      <x:c r="G54" s="54" t="n">
        <x:v>268.03189</x:v>
      </x:c>
      <x:c r="H54" s="54" t="n">
        <x:v>0.38297</x:v>
      </x:c>
      <x:c r="I54" s="56" t="n">
        <x:v>26.51</x:v>
      </x:c>
      <x:c r="J54" s="56" t="str">
        <x:v>VALID</x:v>
      </x:c>
      <x:c r="K54" s="56" t="n">
        <x:f>G54-268</x:f>
        <x:v>0.03188999999997577</x:v>
      </x:c>
      <x:c r="L54" t="n">
        <x:v>1882</x:v>
      </x:c>
    </x:row>
    <x:row r="55">
      <x:c r="A55" t="str">
        <x:v>S05</x:v>
      </x:c>
      <x:c r="B55" t="str">
        <x:v>1.28 validated five-run session</x:v>
      </x:c>
      <x:c r="C55" s="54" t="n">
        <x:v>1.28</x:v>
      </x:c>
      <x:c r="D55" t="n">
        <x:v>4</x:v>
      </x:c>
      <x:c r="E55" t="str">
        <x:v>PASS</x:v>
      </x:c>
      <x:c r="F55" t="str">
        <x:v>Z</x:v>
      </x:c>
      <x:c r="G55" s="54" t="n">
        <x:v>267.98522</x:v>
      </x:c>
      <x:c r="H55" s="54" t="n">
        <x:v>0.63052</x:v>
      </x:c>
      <x:c r="I55" s="56" t="n">
        <x:v>29.87</x:v>
      </x:c>
      <x:c r="J55" s="56" t="str">
        <x:v>VALID</x:v>
      </x:c>
      <x:c r="K55" s="56" t="n">
        <x:f>G55-268</x:f>
        <x:v>-0.01477999999997337</x:v>
      </x:c>
      <x:c r="L55" t="n">
        <x:v>1883</x:v>
      </x:c>
    </x:row>
    <x:row r="56">
      <x:c r="A56" t="str">
        <x:v>S05</x:v>
      </x:c>
      <x:c r="B56" t="str">
        <x:v>1.28 validated five-run session</x:v>
      </x:c>
      <x:c r="C56" s="54" t="n">
        <x:v>1.28</x:v>
      </x:c>
      <x:c r="D56" t="n">
        <x:v>5</x:v>
      </x:c>
      <x:c r="E56" t="str">
        <x:v>PASS</x:v>
      </x:c>
      <x:c r="F56" t="str">
        <x:v>X</x:v>
      </x:c>
      <x:c r="G56" s="54" t="n">
        <x:v>268.01678</x:v>
      </x:c>
      <x:c r="H56" s="54" t="n">
        <x:v>1.16456</x:v>
      </x:c>
      <x:c r="I56" s="56" t="n">
        <x:v>32.64</x:v>
      </x:c>
      <x:c r="J56" s="56" t="str">
        <x:v>VALID</x:v>
      </x:c>
      <x:c r="K56" s="56" t="n">
        <x:f>G56-268</x:f>
        <x:v>0.01677999999998292</x:v>
      </x:c>
      <x:c r="L56" t="n">
        <x:v>1966</x:v>
      </x:c>
    </x:row>
    <x:row r="57">
      <x:c r="A57" t="str">
        <x:v>S05</x:v>
      </x:c>
      <x:c r="B57" t="str">
        <x:v>1.28 validated five-run session</x:v>
      </x:c>
      <x:c r="C57" s="54" t="n">
        <x:v>1.28</x:v>
      </x:c>
      <x:c r="D57" t="n">
        <x:v>5</x:v>
      </x:c>
      <x:c r="E57" t="str">
        <x:v>PASS</x:v>
      </x:c>
      <x:c r="F57" t="str">
        <x:v>Y</x:v>
      </x:c>
      <x:c r="G57" s="54" t="n">
        <x:v>268.00668</x:v>
      </x:c>
      <x:c r="H57" s="54" t="n">
        <x:v>0.397</x:v>
      </x:c>
      <x:c r="I57" s="56" t="n">
        <x:v>27.56</x:v>
      </x:c>
      <x:c r="J57" s="56" t="str">
        <x:v>VALID</x:v>
      </x:c>
      <x:c r="K57" s="56" t="n">
        <x:f>G57-268</x:f>
        <x:v>0.006680000000017117</x:v>
      </x:c>
      <x:c r="L57" t="n">
        <x:v>1967</x:v>
      </x:c>
    </x:row>
    <x:row r="58">
      <x:c r="A58" t="str">
        <x:v>S05</x:v>
      </x:c>
      <x:c r="B58" t="str">
        <x:v>1.28 validated five-run session</x:v>
      </x:c>
      <x:c r="C58" s="54" t="n">
        <x:v>1.28</x:v>
      </x:c>
      <x:c r="D58" t="n">
        <x:v>5</x:v>
      </x:c>
      <x:c r="E58" t="str">
        <x:v>PASS</x:v>
      </x:c>
      <x:c r="F58" t="str">
        <x:v>Z</x:v>
      </x:c>
      <x:c r="G58" s="54" t="n">
        <x:v>268.01221</x:v>
      </x:c>
      <x:c r="H58" s="54" t="n">
        <x:v>0.63297</x:v>
      </x:c>
      <x:c r="I58" s="56" t="n">
        <x:v>29.77</x:v>
      </x:c>
      <x:c r="J58" s="56" t="str">
        <x:v>VALID</x:v>
      </x:c>
      <x:c r="K58" s="56" t="n">
        <x:f>G58-268</x:f>
        <x:v>0.012209999999981846</x:v>
      </x:c>
      <x:c r="L58" t="n">
        <x:v>1968</x:v>
      </x:c>
    </x:row>
    <x:row r="59">
      <x:c r="A59" t="str">
        <x:v>S06</x:v>
      </x:c>
      <x:c r="B59" t="str">
        <x:v>0.30 low-amplitude limit validation</x:v>
      </x:c>
      <x:c r="C59" s="54" t="n">
        <x:v>0.3</x:v>
      </x:c>
      <x:c r="D59" t="n">
        <x:v>1</x:v>
      </x:c>
      <x:c r="E59" t="str">
        <x:v>PASS</x:v>
      </x:c>
      <x:c r="F59" t="str">
        <x:v>X</x:v>
      </x:c>
      <x:c r="G59" s="54" t="n">
        <x:v>268.03351</x:v>
      </x:c>
      <x:c r="H59" s="54" t="n">
        <x:v>0.28001</x:v>
      </x:c>
      <x:c r="I59" s="56" t="n">
        <x:v>26.64</x:v>
      </x:c>
      <x:c r="J59" s="56" t="str">
        <x:v>VALID</x:v>
      </x:c>
      <x:c r="K59" s="56" t="n">
        <x:f>G59-268</x:f>
        <x:v>0.03350999999997839</x:v>
      </x:c>
      <x:c r="L59" t="n">
        <x:v>2082</x:v>
      </x:c>
    </x:row>
    <x:row r="60">
      <x:c r="A60" t="str">
        <x:v>S06</x:v>
      </x:c>
      <x:c r="B60" t="str">
        <x:v>0.30 low-amplitude limit validation</x:v>
      </x:c>
      <x:c r="C60" s="54" t="n">
        <x:v>0.3</x:v>
      </x:c>
      <x:c r="D60" t="n">
        <x:v>1</x:v>
      </x:c>
      <x:c r="E60" t="str">
        <x:v>PASS</x:v>
      </x:c>
      <x:c r="F60" t="str">
        <x:v>Y</x:v>
      </x:c>
      <x:c r="G60" s="54" t="n">
        <x:v>378.72169</x:v>
      </x:c>
      <x:c r="H60" s="54" t="n">
        <x:v>0.18296</x:v>
      </x:c>
      <x:c r="I60" s="56" t="n">
        <x:v>18.22</x:v>
      </x:c>
      <x:c r="J60" s="56" t="str">
        <x:v>VALID</x:v>
      </x:c>
      <x:c r="K60" s="56" t="n">
        <x:f>G60-268</x:f>
        <x:v>110.72169000000002</x:v>
      </x:c>
      <x:c r="L60" t="n">
        <x:v>2083</x:v>
      </x:c>
    </x:row>
    <x:row r="61">
      <x:c r="A61" t="str">
        <x:v>S06</x:v>
      </x:c>
      <x:c r="B61" t="str">
        <x:v>0.30 low-amplitude limit validation</x:v>
      </x:c>
      <x:c r="C61" s="54" t="n">
        <x:v>0.3</x:v>
      </x:c>
      <x:c r="D61" t="n">
        <x:v>1</x:v>
      </x:c>
      <x:c r="E61" t="str">
        <x:v>PASS</x:v>
      </x:c>
      <x:c r="F61" t="str">
        <x:v>Z</x:v>
      </x:c>
      <x:c r="G61" s="54" t="n">
        <x:v>268.02055</x:v>
      </x:c>
      <x:c r="H61" s="54" t="n">
        <x:v>0.18024</x:v>
      </x:c>
      <x:c r="I61" s="56" t="n">
        <x:v>21.07</x:v>
      </x:c>
      <x:c r="J61" s="56" t="str">
        <x:v>VALID</x:v>
      </x:c>
      <x:c r="K61" s="56" t="n">
        <x:f>G61-268</x:f>
        <x:v>0.02055000000001428</x:v>
      </x:c>
      <x:c r="L61" t="n">
        <x:v>2084</x:v>
      </x:c>
    </x:row>
    <x:row r="62">
      <x:c r="A62" t="str">
        <x:v>S06</x:v>
      </x:c>
      <x:c r="B62" t="str">
        <x:v>0.30 low-amplitude limit validation</x:v>
      </x:c>
      <x:c r="C62" s="54" t="n">
        <x:v>0.3</x:v>
      </x:c>
      <x:c r="D62" t="n">
        <x:v>2</x:v>
      </x:c>
      <x:c r="E62" t="str">
        <x:v>PASS</x:v>
      </x:c>
      <x:c r="F62" t="str">
        <x:v>X</x:v>
      </x:c>
      <x:c r="G62" s="54" t="n">
        <x:v>268.04837</x:v>
      </x:c>
      <x:c r="H62" s="54" t="n">
        <x:v>0.27879</x:v>
      </x:c>
      <x:c r="I62" s="56" t="n">
        <x:v>26.09</x:v>
      </x:c>
      <x:c r="J62" s="56" t="str">
        <x:v>VALID</x:v>
      </x:c>
      <x:c r="K62" s="56" t="n">
        <x:f>G62-268</x:f>
        <x:v>0.048369999999977153</x:v>
      </x:c>
      <x:c r="L62" t="n">
        <x:v>2187</x:v>
      </x:c>
    </x:row>
    <x:row r="63">
      <x:c r="A63" t="str">
        <x:v>S06</x:v>
      </x:c>
      <x:c r="B63" t="str">
        <x:v>0.30 low-amplitude limit validation</x:v>
      </x:c>
      <x:c r="C63" s="54" t="n">
        <x:v>0.3</x:v>
      </x:c>
      <x:c r="D63" t="n">
        <x:v>2</x:v>
      </x:c>
      <x:c r="E63" t="str">
        <x:v>PASS</x:v>
      </x:c>
      <x:c r="F63" t="str">
        <x:v>Y</x:v>
      </x:c>
      <x:c r="G63" s="54" t="n">
        <x:v>378.59147</x:v>
      </x:c>
      <x:c r="H63" s="54" t="n">
        <x:v>0.17783</x:v>
      </x:c>
      <x:c r="I63" s="56" t="n">
        <x:v>18.13</x:v>
      </x:c>
      <x:c r="J63" s="56" t="str">
        <x:v>VALID</x:v>
      </x:c>
      <x:c r="K63" s="56" t="n">
        <x:f>G63-268</x:f>
        <x:v>110.59147000000002</x:v>
      </x:c>
      <x:c r="L63" t="n">
        <x:v>2188</x:v>
      </x:c>
    </x:row>
    <x:row r="64">
      <x:c r="A64" t="str">
        <x:v>S06</x:v>
      </x:c>
      <x:c r="B64" t="str">
        <x:v>0.30 low-amplitude limit validation</x:v>
      </x:c>
      <x:c r="C64" s="54" t="n">
        <x:v>0.3</x:v>
      </x:c>
      <x:c r="D64" t="n">
        <x:v>2</x:v>
      </x:c>
      <x:c r="E64" t="str">
        <x:v>PASS</x:v>
      </x:c>
      <x:c r="F64" t="str">
        <x:v>Z</x:v>
      </x:c>
      <x:c r="G64" s="54" t="n">
        <x:v>268.04031</x:v>
      </x:c>
      <x:c r="H64" s="54" t="n">
        <x:v>0.18579</x:v>
      </x:c>
      <x:c r="I64" s="56" t="n">
        <x:v>21.36</x:v>
      </x:c>
      <x:c r="J64" s="56" t="str">
        <x:v>VALID</x:v>
      </x:c>
      <x:c r="K64" s="56" t="n">
        <x:f>G64-268</x:f>
        <x:v>0.04030999999997675</x:v>
      </x:c>
      <x:c r="L64" t="n">
        <x:v>2189</x:v>
      </x:c>
    </x:row>
    <x:row r="65">
      <x:c r="A65" t="str">
        <x:v>S06</x:v>
      </x:c>
      <x:c r="B65" t="str">
        <x:v>0.30 low-amplitude limit validation</x:v>
      </x:c>
      <x:c r="C65" s="54" t="n">
        <x:v>0.3</x:v>
      </x:c>
      <x:c r="D65" t="n">
        <x:v>3</x:v>
      </x:c>
      <x:c r="E65" t="str">
        <x:v>PASS</x:v>
      </x:c>
      <x:c r="F65" t="str">
        <x:v>X</x:v>
      </x:c>
      <x:c r="G65" s="54" t="n">
        <x:v>268.01782</x:v>
      </x:c>
      <x:c r="H65" s="54" t="n">
        <x:v>0.28082</x:v>
      </x:c>
      <x:c r="I65" s="56" t="n">
        <x:v>25.86</x:v>
      </x:c>
      <x:c r="J65" s="56" t="str">
        <x:v>VALID</x:v>
      </x:c>
      <x:c r="K65" s="56" t="n">
        <x:f>G65-268</x:f>
        <x:v>0.01781999999997197</x:v>
      </x:c>
      <x:c r="L65" t="n">
        <x:v>2263</x:v>
      </x:c>
    </x:row>
    <x:row r="66">
      <x:c r="A66" t="str">
        <x:v>S06</x:v>
      </x:c>
      <x:c r="B66" t="str">
        <x:v>0.30 low-amplitude limit validation</x:v>
      </x:c>
      <x:c r="C66" s="54" t="n">
        <x:v>0.3</x:v>
      </x:c>
      <x:c r="D66" t="n">
        <x:v>3</x:v>
      </x:c>
      <x:c r="E66" t="str">
        <x:v>PASS</x:v>
      </x:c>
      <x:c r="F66" t="str">
        <x:v>Y</x:v>
      </x:c>
      <x:c r="G66" s="54" t="n">
        <x:v>378.56355</x:v>
      </x:c>
      <x:c r="H66" s="54" t="n">
        <x:v>0.16613</x:v>
      </x:c>
      <x:c r="I66" s="56" t="n">
        <x:v>17.68</x:v>
      </x:c>
      <x:c r="J66" s="56" t="str">
        <x:v>VALID</x:v>
      </x:c>
      <x:c r="K66" s="56" t="n">
        <x:f>G66-268</x:f>
        <x:v>110.56355000000002</x:v>
      </x:c>
      <x:c r="L66" t="n">
        <x:v>2264</x:v>
      </x:c>
    </x:row>
    <x:row r="67">
      <x:c r="A67" t="str">
        <x:v>S06</x:v>
      </x:c>
      <x:c r="B67" t="str">
        <x:v>0.30 low-amplitude limit validation</x:v>
      </x:c>
      <x:c r="C67" s="54" t="n">
        <x:v>0.3</x:v>
      </x:c>
      <x:c r="D67" t="n">
        <x:v>3</x:v>
      </x:c>
      <x:c r="E67" t="str">
        <x:v>PASS</x:v>
      </x:c>
      <x:c r="F67" t="str">
        <x:v>Z</x:v>
      </x:c>
      <x:c r="G67" s="54" t="n">
        <x:v>267.98692</x:v>
      </x:c>
      <x:c r="H67" s="54" t="n">
        <x:v>0.201</x:v>
      </x:c>
      <x:c r="I67" s="56" t="n">
        <x:v>21.28</x:v>
      </x:c>
      <x:c r="J67" s="56" t="str">
        <x:v>VALID</x:v>
      </x:c>
      <x:c r="K67" s="56" t="n">
        <x:f>G67-268</x:f>
        <x:v>-0.013080000000002201</x:v>
      </x:c>
      <x:c r="L67" t="n">
        <x:v>2265</x:v>
      </x:c>
    </x:row>
    <x:row r="68">
      <x:c r="A68" t="str">
        <x:v>S06</x:v>
      </x:c>
      <x:c r="B68" t="str">
        <x:v>0.30 low-amplitude limit validation</x:v>
      </x:c>
      <x:c r="C68" s="54" t="n">
        <x:v>0.3</x:v>
      </x:c>
      <x:c r="D68" t="n">
        <x:v>4</x:v>
      </x:c>
      <x:c r="E68" t="str">
        <x:v>FAIL</x:v>
      </x:c>
      <x:c r="F68" t="str">
        <x:v>X</x:v>
      </x:c>
      <x:c r="G68" s="54" t="n">
        <x:v>268.04494</x:v>
      </x:c>
      <x:c r="H68" s="54" t="n">
        <x:v>0.2927</x:v>
      </x:c>
      <x:c r="I68" s="56" t="n">
        <x:v>25.66</x:v>
      </x:c>
      <x:c r="J68" s="56" t="str">
        <x:v>VALID</x:v>
      </x:c>
      <x:c r="K68" s="56" t="n">
        <x:f>G68-268</x:f>
        <x:v>0.04493999999999687</x:v>
      </x:c>
      <x:c r="L68" t="n">
        <x:v>2379</x:v>
      </x:c>
    </x:row>
    <x:row r="69">
      <x:c r="A69" t="str">
        <x:v>S06</x:v>
      </x:c>
      <x:c r="B69" t="str">
        <x:v>0.30 low-amplitude limit validation</x:v>
      </x:c>
      <x:c r="C69" s="54" t="n">
        <x:v>0.3</x:v>
      </x:c>
      <x:c r="D69" t="n">
        <x:v>4</x:v>
      </x:c>
      <x:c r="E69" t="str">
        <x:v>FAIL</x:v>
      </x:c>
      <x:c r="F69" t="str">
        <x:v>Y</x:v>
      </x:c>
      <x:c r="G69" s="54" t="n">
        <x:v>378.55112</x:v>
      </x:c>
      <x:c r="H69" s="54" t="n">
        <x:v>0.14543</x:v>
      </x:c>
      <x:c r="I69" s="56" t="n">
        <x:v>16.71</x:v>
      </x:c>
      <x:c r="J69" s="56" t="str">
        <x:v>VALID</x:v>
      </x:c>
      <x:c r="K69" s="56" t="n">
        <x:f>G69-268</x:f>
        <x:v>110.55112000000003</x:v>
      </x:c>
      <x:c r="L69" t="n">
        <x:v>2380</x:v>
      </x:c>
    </x:row>
    <x:row r="70">
      <x:c r="A70" t="str">
        <x:v>S06</x:v>
      </x:c>
      <x:c r="B70" t="str">
        <x:v>0.30 low-amplitude limit validation</x:v>
      </x:c>
      <x:c r="C70" s="54" t="n">
        <x:v>0.3</x:v>
      </x:c>
      <x:c r="D70" t="n">
        <x:v>4</x:v>
      </x:c>
      <x:c r="E70" t="str">
        <x:v>FAIL</x:v>
      </x:c>
      <x:c r="F70" t="str">
        <x:v>Z</x:v>
      </x:c>
      <x:c r="G70" s="54" t="n">
        <x:v>268.01893</x:v>
      </x:c>
      <x:c r="H70" s="54" t="n">
        <x:v>0.18136</x:v>
      </x:c>
      <x:c r="I70" s="56" t="n">
        <x:v>20.32</x:v>
      </x:c>
      <x:c r="J70" s="56" t="str">
        <x:v>VALID</x:v>
      </x:c>
      <x:c r="K70" s="56" t="n">
        <x:f>G70-268</x:f>
        <x:v>0.01893000000001166</x:v>
      </x:c>
      <x:c r="L70" t="n">
        <x:v>2381</x:v>
      </x:c>
    </x:row>
    <x:row r="71">
      <x:c r="A71" t="str">
        <x:v>S06</x:v>
      </x:c>
      <x:c r="B71" t="str">
        <x:v>0.30 low-amplitude limit validation</x:v>
      </x:c>
      <x:c r="C71" s="54" t="n">
        <x:v>0.3</x:v>
      </x:c>
      <x:c r="D71" t="n">
        <x:v>5</x:v>
      </x:c>
      <x:c r="E71" t="str">
        <x:v>PASS</x:v>
      </x:c>
      <x:c r="F71" t="str">
        <x:v>X</x:v>
      </x:c>
      <x:c r="G71" s="54" t="n">
        <x:v>267.98053</x:v>
      </x:c>
      <x:c r="H71" s="54" t="n">
        <x:v>0.26328</x:v>
      </x:c>
      <x:c r="I71" s="56" t="n">
        <x:v>24.4</x:v>
      </x:c>
      <x:c r="J71" s="56" t="str">
        <x:v>VALID</x:v>
      </x:c>
      <x:c r="K71" s="56" t="n">
        <x:f>G71-268</x:f>
        <x:v>-0.019470000000012533</x:v>
      </x:c>
      <x:c r="L71" t="n">
        <x:v>2453</x:v>
      </x:c>
    </x:row>
    <x:row r="72">
      <x:c r="A72" t="str">
        <x:v>S06</x:v>
      </x:c>
      <x:c r="B72" t="str">
        <x:v>0.30 low-amplitude limit validation</x:v>
      </x:c>
      <x:c r="C72" s="54" t="n">
        <x:v>0.3</x:v>
      </x:c>
      <x:c r="D72" t="n">
        <x:v>5</x:v>
      </x:c>
      <x:c r="E72" t="str">
        <x:v>PASS</x:v>
      </x:c>
      <x:c r="F72" t="str">
        <x:v>Y</x:v>
      </x:c>
      <x:c r="G72" s="54" t="n">
        <x:v>377.6324</x:v>
      </x:c>
      <x:c r="H72" s="54" t="n">
        <x:v>0.17669</x:v>
      </x:c>
      <x:c r="I72" s="56" t="n">
        <x:v>19.43</x:v>
      </x:c>
      <x:c r="J72" s="56" t="str">
        <x:v>VALID</x:v>
      </x:c>
      <x:c r="K72" s="56" t="n">
        <x:f>G72-268</x:f>
        <x:v>109.63240000000002</x:v>
      </x:c>
      <x:c r="L72" t="n">
        <x:v>2454</x:v>
      </x:c>
    </x:row>
    <x:row r="73">
      <x:c r="A73" t="str">
        <x:v>S06</x:v>
      </x:c>
      <x:c r="B73" t="str">
        <x:v>0.30 low-amplitude limit validation</x:v>
      </x:c>
      <x:c r="C73" s="54" t="n">
        <x:v>0.3</x:v>
      </x:c>
      <x:c r="D73" t="n">
        <x:v>5</x:v>
      </x:c>
      <x:c r="E73" t="str">
        <x:v>PASS</x:v>
      </x:c>
      <x:c r="F73" t="str">
        <x:v>Z</x:v>
      </x:c>
      <x:c r="G73" s="54" t="n">
        <x:v>267.99842</x:v>
      </x:c>
      <x:c r="H73" s="54" t="n">
        <x:v>0.1629</x:v>
      </x:c>
      <x:c r="I73" s="56" t="n">
        <x:v>19.81</x:v>
      </x:c>
      <x:c r="J73" s="56" t="str">
        <x:v>VALID</x:v>
      </x:c>
      <x:c r="K73" s="56" t="n">
        <x:f>G73-268</x:f>
        <x:v>-0.0015799999999899228</x:v>
      </x:c>
      <x:c r="L73" t="n">
        <x:v>2455</x:v>
      </x:c>
    </x:row>
    <x:row r="74">
      <x:c r="A74" t="str">
        <x:v>S08</x:v>
      </x:c>
      <x:c r="B74" t="str">
        <x:v>0.65 five-run validation</x:v>
      </x:c>
      <x:c r="C74" s="54" t="n">
        <x:v>0.65</x:v>
      </x:c>
      <x:c r="D74" t="n">
        <x:v>1</x:v>
      </x:c>
      <x:c r="E74" t="str">
        <x:v>PASS</x:v>
      </x:c>
      <x:c r="F74" t="str">
        <x:v>X</x:v>
      </x:c>
      <x:c r="G74" s="54" t="n">
        <x:v>268.03135</x:v>
      </x:c>
      <x:c r="H74" s="54" t="n">
        <x:v>0.59875</x:v>
      </x:c>
      <x:c r="I74" s="56" t="n">
        <x:v>30.71</x:v>
      </x:c>
      <x:c r="J74" s="56" t="str">
        <x:v>VALID</x:v>
      </x:c>
      <x:c r="K74" s="56" t="n">
        <x:f>G74-268</x:f>
        <x:v>0.0313499999999749</x:v>
      </x:c>
      <x:c r="L74" t="n">
        <x:v>2649</x:v>
      </x:c>
    </x:row>
    <x:row r="75">
      <x:c r="A75" t="str">
        <x:v>S08</x:v>
      </x:c>
      <x:c r="B75" t="str">
        <x:v>0.65 five-run validation</x:v>
      </x:c>
      <x:c r="C75" s="54" t="n">
        <x:v>0.65</x:v>
      </x:c>
      <x:c r="D75" t="n">
        <x:v>1</x:v>
      </x:c>
      <x:c r="E75" t="str">
        <x:v>PASS</x:v>
      </x:c>
      <x:c r="F75" t="str">
        <x:v>Y</x:v>
      </x:c>
      <x:c r="G75" s="54" t="n">
        <x:v>268.0219</x:v>
      </x:c>
      <x:c r="H75" s="54" t="n">
        <x:v>0.12131</x:v>
      </x:c>
      <x:c r="I75" s="56" t="n">
        <x:v>18.17</x:v>
      </x:c>
      <x:c r="J75" s="56" t="str">
        <x:v>VALID</x:v>
      </x:c>
      <x:c r="K75" s="56" t="n">
        <x:f>G75-268</x:f>
        <x:v>0.021900000000016462</x:v>
      </x:c>
      <x:c r="L75" t="n">
        <x:v>2650</x:v>
      </x:c>
    </x:row>
    <x:row r="76">
      <x:c r="A76" t="str">
        <x:v>S08</x:v>
      </x:c>
      <x:c r="B76" t="str">
        <x:v>0.65 five-run validation</x:v>
      </x:c>
      <x:c r="C76" s="54" t="n">
        <x:v>0.65</x:v>
      </x:c>
      <x:c r="D76" t="n">
        <x:v>1</x:v>
      </x:c>
      <x:c r="E76" t="str">
        <x:v>PASS</x:v>
      </x:c>
      <x:c r="F76" t="str">
        <x:v>Z</x:v>
      </x:c>
      <x:c r="G76" s="54" t="n">
        <x:v>268.04403</x:v>
      </x:c>
      <x:c r="H76" s="54" t="n">
        <x:v>0.29653</x:v>
      </x:c>
      <x:c r="I76" s="56" t="n">
        <x:v>24.78</x:v>
      </x:c>
      <x:c r="J76" s="56" t="str">
        <x:v>VALID</x:v>
      </x:c>
      <x:c r="K76" s="56" t="n">
        <x:f>G76-268</x:f>
        <x:v>0.044030000000020664</x:v>
      </x:c>
      <x:c r="L76" t="n">
        <x:v>2651</x:v>
      </x:c>
    </x:row>
    <x:row r="77">
      <x:c r="A77" t="str">
        <x:v>S08</x:v>
      </x:c>
      <x:c r="B77" t="str">
        <x:v>0.65 five-run validation</x:v>
      </x:c>
      <x:c r="C77" s="54" t="n">
        <x:v>0.65</x:v>
      </x:c>
      <x:c r="D77" t="n">
        <x:v>2</x:v>
      </x:c>
      <x:c r="E77" t="str">
        <x:v>PASS</x:v>
      </x:c>
      <x:c r="F77" t="str">
        <x:v>X</x:v>
      </x:c>
      <x:c r="G77" s="54" t="n">
        <x:v>268.00588</x:v>
      </x:c>
      <x:c r="H77" s="54" t="n">
        <x:v>0.58393</x:v>
      </x:c>
      <x:c r="I77" s="56" t="n">
        <x:v>30.88</x:v>
      </x:c>
      <x:c r="J77" s="56" t="str">
        <x:v>VALID</x:v>
      </x:c>
      <x:c r="K77" s="56" t="n">
        <x:f>G77-268</x:f>
        <x:v>0.0058799999999905594</x:v>
      </x:c>
      <x:c r="L77" t="n">
        <x:v>2728</x:v>
      </x:c>
    </x:row>
    <x:row r="78">
      <x:c r="A78" t="str">
        <x:v>S08</x:v>
      </x:c>
      <x:c r="B78" t="str">
        <x:v>0.65 five-run validation</x:v>
      </x:c>
      <x:c r="C78" s="54" t="n">
        <x:v>0.65</x:v>
      </x:c>
      <x:c r="D78" t="n">
        <x:v>2</x:v>
      </x:c>
      <x:c r="E78" t="str">
        <x:v>PASS</x:v>
      </x:c>
      <x:c r="F78" t="str">
        <x:v>Y</x:v>
      </x:c>
      <x:c r="G78" s="54" t="n">
        <x:v>268.00894</x:v>
      </x:c>
      <x:c r="H78" s="54" t="n">
        <x:v>0.1295</x:v>
      </x:c>
      <x:c r="I78" s="56" t="n">
        <x:v>19</x:v>
      </x:c>
      <x:c r="J78" s="56" t="str">
        <x:v>VALID</x:v>
      </x:c>
      <x:c r="K78" s="56" t="n">
        <x:f>G78-268</x:f>
        <x:v>0.008939999999995507</x:v>
      </x:c>
      <x:c r="L78" t="n">
        <x:v>2729</x:v>
      </x:c>
    </x:row>
    <x:row r="79">
      <x:c r="A79" t="str">
        <x:v>S08</x:v>
      </x:c>
      <x:c r="B79" t="str">
        <x:v>0.65 five-run validation</x:v>
      </x:c>
      <x:c r="C79" s="54" t="n">
        <x:v>0.65</x:v>
      </x:c>
      <x:c r="D79" t="n">
        <x:v>2</x:v>
      </x:c>
      <x:c r="E79" t="str">
        <x:v>PASS</x:v>
      </x:c>
      <x:c r="F79" t="str">
        <x:v>Z</x:v>
      </x:c>
      <x:c r="G79" s="54" t="n">
        <x:v>268.03477</x:v>
      </x:c>
      <x:c r="H79" s="54" t="n">
        <x:v>0.30537</x:v>
      </x:c>
      <x:c r="I79" s="56" t="n">
        <x:v>24.85</x:v>
      </x:c>
      <x:c r="J79" s="56" t="str">
        <x:v>VALID</x:v>
      </x:c>
      <x:c r="K79" s="56" t="n">
        <x:f>G79-268</x:f>
        <x:v>0.03476999999998043</x:v>
      </x:c>
      <x:c r="L79" t="n">
        <x:v>2730</x:v>
      </x:c>
    </x:row>
    <x:row r="80">
      <x:c r="A80" t="str">
        <x:v>S08</x:v>
      </x:c>
      <x:c r="B80" t="str">
        <x:v>0.65 five-run validation</x:v>
      </x:c>
      <x:c r="C80" s="54" t="n">
        <x:v>0.65</x:v>
      </x:c>
      <x:c r="D80" t="n">
        <x:v>3</x:v>
      </x:c>
      <x:c r="E80" t="str">
        <x:v>PASS</x:v>
      </x:c>
      <x:c r="F80" t="str">
        <x:v>X</x:v>
      </x:c>
      <x:c r="G80" s="54" t="n">
        <x:v>268.02473</x:v>
      </x:c>
      <x:c r="H80" s="54" t="n">
        <x:v>0.59</x:v>
      </x:c>
      <x:c r="I80" s="56" t="n">
        <x:v>30.88</x:v>
      </x:c>
      <x:c r="J80" s="56" t="str">
        <x:v>VALID</x:v>
      </x:c>
      <x:c r="K80" s="56" t="n">
        <x:f>G80-268</x:f>
        <x:v>0.024729999999976826</x:v>
      </x:c>
      <x:c r="L80" t="n">
        <x:v>2808</x:v>
      </x:c>
    </x:row>
    <x:row r="81">
      <x:c r="A81" t="str">
        <x:v>S08</x:v>
      </x:c>
      <x:c r="B81" t="str">
        <x:v>0.65 five-run validation</x:v>
      </x:c>
      <x:c r="C81" s="54" t="n">
        <x:v>0.65</x:v>
      </x:c>
      <x:c r="D81" t="n">
        <x:v>3</x:v>
      </x:c>
      <x:c r="E81" t="str">
        <x:v>PASS</x:v>
      </x:c>
      <x:c r="F81" t="str">
        <x:v>Y</x:v>
      </x:c>
      <x:c r="G81" s="54" t="n">
        <x:v>267.99803</x:v>
      </x:c>
      <x:c r="H81" s="54" t="n">
        <x:v>0.14474</x:v>
      </x:c>
      <x:c r="I81" s="56" t="n">
        <x:v>20.39</x:v>
      </x:c>
      <x:c r="J81" s="56" t="str">
        <x:v>VALID</x:v>
      </x:c>
      <x:c r="K81" s="56" t="n">
        <x:f>G81-268</x:f>
        <x:v>-0.0019699999999716056</x:v>
      </x:c>
      <x:c r="L81" t="n">
        <x:v>2809</x:v>
      </x:c>
    </x:row>
    <x:row r="82">
      <x:c r="A82" t="str">
        <x:v>S08</x:v>
      </x:c>
      <x:c r="B82" t="str">
        <x:v>0.65 five-run validation</x:v>
      </x:c>
      <x:c r="C82" s="54" t="n">
        <x:v>0.65</x:v>
      </x:c>
      <x:c r="D82" t="n">
        <x:v>3</x:v>
      </x:c>
      <x:c r="E82" t="str">
        <x:v>PASS</x:v>
      </x:c>
      <x:c r="F82" t="str">
        <x:v>Z</x:v>
      </x:c>
      <x:c r="G82" s="54" t="n">
        <x:v>268.00248</x:v>
      </x:c>
      <x:c r="H82" s="54" t="n">
        <x:v>0.3204</x:v>
      </x:c>
      <x:c r="I82" s="56" t="n">
        <x:v>25.82</x:v>
      </x:c>
      <x:c r="J82" s="56" t="str">
        <x:v>VALID</x:v>
      </x:c>
      <x:c r="K82" s="56" t="n">
        <x:f>G82-268</x:f>
        <x:v>0.002479999999991378</x:v>
      </x:c>
      <x:c r="L82" t="n">
        <x:v>2810</x:v>
      </x:c>
    </x:row>
    <x:row r="83">
      <x:c r="A83" t="str">
        <x:v>S08</x:v>
      </x:c>
      <x:c r="B83" t="str">
        <x:v>0.65 five-run validation</x:v>
      </x:c>
      <x:c r="C83" s="54" t="n">
        <x:v>0.65</x:v>
      </x:c>
      <x:c r="D83" t="n">
        <x:v>5</x:v>
      </x:c>
      <x:c r="E83" t="str">
        <x:v>PASS</x:v>
      </x:c>
      <x:c r="F83" t="str">
        <x:v>X</x:v>
      </x:c>
      <x:c r="G83" s="54" t="n">
        <x:v>268.03295</x:v>
      </x:c>
      <x:c r="H83" s="54" t="n">
        <x:v>0.57522</x:v>
      </x:c>
      <x:c r="I83" s="56" t="n">
        <x:v>30.74</x:v>
      </x:c>
      <x:c r="J83" s="56" t="str">
        <x:v>VALID</x:v>
      </x:c>
      <x:c r="K83" s="56" t="n">
        <x:f>G83-268</x:f>
        <x:v>0.03295000000002801</x:v>
      </x:c>
      <x:c r="L83" t="n">
        <x:v>2981</x:v>
      </x:c>
    </x:row>
    <x:row r="84">
      <x:c r="A84" t="str">
        <x:v>S08</x:v>
      </x:c>
      <x:c r="B84" t="str">
        <x:v>0.65 five-run validation</x:v>
      </x:c>
      <x:c r="C84" s="54" t="n">
        <x:v>0.65</x:v>
      </x:c>
      <x:c r="D84" t="n">
        <x:v>5</x:v>
      </x:c>
      <x:c r="E84" t="str">
        <x:v>PASS</x:v>
      </x:c>
      <x:c r="F84" t="str">
        <x:v>Y</x:v>
      </x:c>
      <x:c r="G84" s="54" t="n">
        <x:v>268.03721</x:v>
      </x:c>
      <x:c r="H84" s="54" t="n">
        <x:v>0.13042</x:v>
      </x:c>
      <x:c r="I84" s="56" t="n">
        <x:v>18.83</x:v>
      </x:c>
      <x:c r="J84" s="56" t="str">
        <x:v>VALID</x:v>
      </x:c>
      <x:c r="K84" s="56" t="n">
        <x:f>G84-268</x:f>
        <x:v>0.03721000000001595</x:v>
      </x:c>
      <x:c r="L84" t="n">
        <x:v>2982</x:v>
      </x:c>
    </x:row>
    <x:row r="85">
      <x:c r="A85" t="str">
        <x:v>S08</x:v>
      </x:c>
      <x:c r="B85" t="str">
        <x:v>0.65 five-run validation</x:v>
      </x:c>
      <x:c r="C85" s="54" t="n">
        <x:v>0.65</x:v>
      </x:c>
      <x:c r="D85" t="n">
        <x:v>5</x:v>
      </x:c>
      <x:c r="E85" t="str">
        <x:v>PASS</x:v>
      </x:c>
      <x:c r="F85" t="str">
        <x:v>Z</x:v>
      </x:c>
      <x:c r="G85" s="54" t="n">
        <x:v>268.01545</x:v>
      </x:c>
      <x:c r="H85" s="54" t="n">
        <x:v>0.26564</x:v>
      </x:c>
      <x:c r="I85" s="56" t="n">
        <x:v>23.71</x:v>
      </x:c>
      <x:c r="J85" s="56" t="str">
        <x:v>VALID</x:v>
      </x:c>
      <x:c r="K85" s="56" t="n">
        <x:f>G85-268</x:f>
        <x:v>0.015449999999987085</x:v>
      </x:c>
      <x:c r="L85" t="n">
        <x:v>2983</x:v>
      </x:c>
    </x:row>
    <x:row r="86">
      <x:c r="A86" t="str">
        <x:v>S09</x:v>
      </x:c>
      <x:c r="B86" t="str">
        <x:v>1.15 validated five-run session</x:v>
      </x:c>
      <x:c r="C86" s="54" t="n">
        <x:v>1.15</x:v>
      </x:c>
      <x:c r="D86" t="n">
        <x:v>1</x:v>
      </x:c>
      <x:c r="E86" t="str">
        <x:v>PASS</x:v>
      </x:c>
      <x:c r="F86" t="str">
        <x:v>X</x:v>
      </x:c>
      <x:c r="G86" s="54" t="n">
        <x:v>268.01836</x:v>
      </x:c>
      <x:c r="H86" s="54" t="n">
        <x:v>1.05593</x:v>
      </x:c>
      <x:c r="I86" s="56" t="n">
        <x:v>32.63</x:v>
      </x:c>
      <x:c r="J86" s="56" t="str">
        <x:v>VALID</x:v>
      </x:c>
      <x:c r="K86" s="56" t="n">
        <x:f>G86-268</x:f>
        <x:v>0.018359999999972842</x:v>
      </x:c>
      <x:c r="L86" t="n">
        <x:v>3122</x:v>
      </x:c>
    </x:row>
    <x:row r="87">
      <x:c r="A87" t="str">
        <x:v>S09</x:v>
      </x:c>
      <x:c r="B87" t="str">
        <x:v>1.15 validated five-run session</x:v>
      </x:c>
      <x:c r="C87" s="54" t="n">
        <x:v>1.15</x:v>
      </x:c>
      <x:c r="D87" t="n">
        <x:v>1</x:v>
      </x:c>
      <x:c r="E87" t="str">
        <x:v>PASS</x:v>
      </x:c>
      <x:c r="F87" t="str">
        <x:v>Y</x:v>
      </x:c>
      <x:c r="G87" s="54" t="n">
        <x:v>268.0512</x:v>
      </x:c>
      <x:c r="H87" s="54" t="n">
        <x:v>0.24015</x:v>
      </x:c>
      <x:c r="I87" s="56" t="n">
        <x:v>24.15</x:v>
      </x:c>
      <x:c r="J87" s="56" t="str">
        <x:v>VALID</x:v>
      </x:c>
      <x:c r="K87" s="56" t="n">
        <x:f>G87-268</x:f>
        <x:v>0.05119999999999436</x:v>
      </x:c>
      <x:c r="L87" t="n">
        <x:v>3123</x:v>
      </x:c>
    </x:row>
    <x:row r="88">
      <x:c r="A88" t="str">
        <x:v>S09</x:v>
      </x:c>
      <x:c r="B88" t="str">
        <x:v>1.15 validated five-run session</x:v>
      </x:c>
      <x:c r="C88" s="54" t="n">
        <x:v>1.15</x:v>
      </x:c>
      <x:c r="D88" t="n">
        <x:v>1</x:v>
      </x:c>
      <x:c r="E88" t="str">
        <x:v>PASS</x:v>
      </x:c>
      <x:c r="F88" t="str">
        <x:v>Z</x:v>
      </x:c>
      <x:c r="G88" s="54" t="n">
        <x:v>268.05706</x:v>
      </x:c>
      <x:c r="H88" s="54" t="n">
        <x:v>0.46945</x:v>
      </x:c>
      <x:c r="I88" s="56" t="n">
        <x:v>27.68</x:v>
      </x:c>
      <x:c r="J88" s="56" t="str">
        <x:v>VALID</x:v>
      </x:c>
      <x:c r="K88" s="56" t="n">
        <x:f>G88-268</x:f>
        <x:v>0.05705999999997857</x:v>
      </x:c>
      <x:c r="L88" t="n">
        <x:v>3124</x:v>
      </x:c>
    </x:row>
    <x:row r="89">
      <x:c r="A89" t="str">
        <x:v>S09</x:v>
      </x:c>
      <x:c r="B89" t="str">
        <x:v>1.15 validated five-run session</x:v>
      </x:c>
      <x:c r="C89" s="54" t="n">
        <x:v>1.15</x:v>
      </x:c>
      <x:c r="D89" t="n">
        <x:v>2</x:v>
      </x:c>
      <x:c r="E89" t="str">
        <x:v>PASS</x:v>
      </x:c>
      <x:c r="F89" t="str">
        <x:v>X</x:v>
      </x:c>
      <x:c r="G89" s="54" t="n">
        <x:v>268.03242</x:v>
      </x:c>
      <x:c r="H89" s="54" t="n">
        <x:v>1.05756</x:v>
      </x:c>
      <x:c r="I89" s="56" t="n">
        <x:v>32.64</x:v>
      </x:c>
      <x:c r="J89" s="56" t="str">
        <x:v>VALID</x:v>
      </x:c>
      <x:c r="K89" s="56" t="n">
        <x:f>G89-268</x:f>
        <x:v>0.03242000000000189</x:v>
      </x:c>
      <x:c r="L89" t="n">
        <x:v>3207</x:v>
      </x:c>
    </x:row>
    <x:row r="90">
      <x:c r="A90" t="str">
        <x:v>S09</x:v>
      </x:c>
      <x:c r="B90" t="str">
        <x:v>1.15 validated five-run session</x:v>
      </x:c>
      <x:c r="C90" s="54" t="n">
        <x:v>1.15</x:v>
      </x:c>
      <x:c r="D90" t="n">
        <x:v>2</x:v>
      </x:c>
      <x:c r="E90" t="str">
        <x:v>PASS</x:v>
      </x:c>
      <x:c r="F90" t="str">
        <x:v>Y</x:v>
      </x:c>
      <x:c r="G90" s="54" t="n">
        <x:v>268.03932</x:v>
      </x:c>
      <x:c r="H90" s="54" t="n">
        <x:v>0.25317</x:v>
      </x:c>
      <x:c r="I90" s="56" t="n">
        <x:v>24.38</x:v>
      </x:c>
      <x:c r="J90" s="56" t="str">
        <x:v>VALID</x:v>
      </x:c>
      <x:c r="K90" s="56" t="n">
        <x:f>G90-268</x:f>
        <x:v>0.03931999999997515</x:v>
      </x:c>
      <x:c r="L90" t="n">
        <x:v>3208</x:v>
      </x:c>
    </x:row>
    <x:row r="91">
      <x:c r="A91" t="str">
        <x:v>S09</x:v>
      </x:c>
      <x:c r="B91" t="str">
        <x:v>1.15 validated five-run session</x:v>
      </x:c>
      <x:c r="C91" s="54" t="n">
        <x:v>1.15</x:v>
      </x:c>
      <x:c r="D91" t="n">
        <x:v>2</x:v>
      </x:c>
      <x:c r="E91" t="str">
        <x:v>PASS</x:v>
      </x:c>
      <x:c r="F91" t="str">
        <x:v>Z</x:v>
      </x:c>
      <x:c r="G91" s="54" t="n">
        <x:v>268.00303</x:v>
      </x:c>
      <x:c r="H91" s="54" t="n">
        <x:v>0.45113</x:v>
      </x:c>
      <x:c r="I91" s="56" t="n">
        <x:v>27.54</x:v>
      </x:c>
      <x:c r="J91" s="56" t="str">
        <x:v>VALID</x:v>
      </x:c>
      <x:c r="K91" s="56" t="n">
        <x:f>G91-268</x:f>
        <x:v>0.003030000000023847</x:v>
      </x:c>
      <x:c r="L91" t="n">
        <x:v>3209</x:v>
      </x:c>
    </x:row>
    <x:row r="92">
      <x:c r="A92" t="str">
        <x:v>S09</x:v>
      </x:c>
      <x:c r="B92" t="str">
        <x:v>1.15 validated five-run session</x:v>
      </x:c>
      <x:c r="C92" s="54" t="n">
        <x:v>1.15</x:v>
      </x:c>
      <x:c r="D92" t="n">
        <x:v>3</x:v>
      </x:c>
      <x:c r="E92" t="str">
        <x:v>PASS</x:v>
      </x:c>
      <x:c r="F92" t="str">
        <x:v>X</x:v>
      </x:c>
      <x:c r="G92" s="54" t="n">
        <x:v>268.02123</x:v>
      </x:c>
      <x:c r="H92" s="54" t="n">
        <x:v>1.05232</x:v>
      </x:c>
      <x:c r="I92" s="56" t="n">
        <x:v>32.93</x:v>
      </x:c>
      <x:c r="J92" s="56" t="str">
        <x:v>VALID</x:v>
      </x:c>
      <x:c r="K92" s="56" t="n">
        <x:f>G92-268</x:f>
        <x:v>0.021230000000002747</x:v>
      </x:c>
      <x:c r="L92" t="n">
        <x:v>3292</x:v>
      </x:c>
    </x:row>
    <x:row r="93">
      <x:c r="A93" t="str">
        <x:v>S09</x:v>
      </x:c>
      <x:c r="B93" t="str">
        <x:v>1.15 validated five-run session</x:v>
      </x:c>
      <x:c r="C93" s="54" t="n">
        <x:v>1.15</x:v>
      </x:c>
      <x:c r="D93" t="n">
        <x:v>3</x:v>
      </x:c>
      <x:c r="E93" t="str">
        <x:v>PASS</x:v>
      </x:c>
      <x:c r="F93" t="str">
        <x:v>Y</x:v>
      </x:c>
      <x:c r="G93" s="54" t="n">
        <x:v>268.051</x:v>
      </x:c>
      <x:c r="H93" s="54" t="n">
        <x:v>0.26579</x:v>
      </x:c>
      <x:c r="I93" s="56" t="n">
        <x:v>24.79</x:v>
      </x:c>
      <x:c r="J93" s="56" t="str">
        <x:v>VALID</x:v>
      </x:c>
      <x:c r="K93" s="56" t="n">
        <x:f>G93-268</x:f>
        <x:v>0.05099999999998772</x:v>
      </x:c>
      <x:c r="L93" t="n">
        <x:v>3293</x:v>
      </x:c>
    </x:row>
    <x:row r="94">
      <x:c r="A94" t="str">
        <x:v>S09</x:v>
      </x:c>
      <x:c r="B94" t="str">
        <x:v>1.15 validated five-run session</x:v>
      </x:c>
      <x:c r="C94" s="54" t="n">
        <x:v>1.15</x:v>
      </x:c>
      <x:c r="D94" t="n">
        <x:v>3</x:v>
      </x:c>
      <x:c r="E94" t="str">
        <x:v>PASS</x:v>
      </x:c>
      <x:c r="F94" t="str">
        <x:v>Z</x:v>
      </x:c>
      <x:c r="G94" s="54" t="n">
        <x:v>268.05269</x:v>
      </x:c>
      <x:c r="H94" s="54" t="n">
        <x:v>0.44785</x:v>
      </x:c>
      <x:c r="I94" s="56" t="n">
        <x:v>27.57</x:v>
      </x:c>
      <x:c r="J94" s="56" t="str">
        <x:v>VALID</x:v>
      </x:c>
      <x:c r="K94" s="56" t="n">
        <x:f>G94-268</x:f>
        <x:v>0.05268999999998414</x:v>
      </x:c>
      <x:c r="L94" t="n">
        <x:v>3294</x:v>
      </x:c>
    </x:row>
    <x:row r="95">
      <x:c r="A95" t="str">
        <x:v>S09</x:v>
      </x:c>
      <x:c r="B95" t="str">
        <x:v>1.15 validated five-run session</x:v>
      </x:c>
      <x:c r="C95" s="54" t="n">
        <x:v>1.15</x:v>
      </x:c>
      <x:c r="D95" t="n">
        <x:v>4</x:v>
      </x:c>
      <x:c r="E95" t="str">
        <x:v>PASS</x:v>
      </x:c>
      <x:c r="F95" t="str">
        <x:v>X</x:v>
      </x:c>
      <x:c r="G95" s="54" t="n">
        <x:v>268.03427</x:v>
      </x:c>
      <x:c r="H95" s="54" t="n">
        <x:v>1.04859</x:v>
      </x:c>
      <x:c r="I95" s="56" t="n">
        <x:v>32.74</x:v>
      </x:c>
      <x:c r="J95" s="56" t="str">
        <x:v>VALID</x:v>
      </x:c>
      <x:c r="K95" s="56" t="n">
        <x:f>G95-268</x:f>
        <x:v>0.03426999999999225</x:v>
      </x:c>
      <x:c r="L95" t="n">
        <x:v>3376</x:v>
      </x:c>
    </x:row>
    <x:row r="96">
      <x:c r="A96" t="str">
        <x:v>S09</x:v>
      </x:c>
      <x:c r="B96" t="str">
        <x:v>1.15 validated five-run session</x:v>
      </x:c>
      <x:c r="C96" s="54" t="n">
        <x:v>1.15</x:v>
      </x:c>
      <x:c r="D96" t="n">
        <x:v>4</x:v>
      </x:c>
      <x:c r="E96" t="str">
        <x:v>PASS</x:v>
      </x:c>
      <x:c r="F96" t="str">
        <x:v>Y</x:v>
      </x:c>
      <x:c r="G96" s="54" t="n">
        <x:v>268.04549</x:v>
      </x:c>
      <x:c r="H96" s="54" t="n">
        <x:v>0.2623</x:v>
      </x:c>
      <x:c r="I96" s="56" t="n">
        <x:v>24.39</x:v>
      </x:c>
      <x:c r="J96" s="56" t="str">
        <x:v>VALID</x:v>
      </x:c>
      <x:c r="K96" s="56" t="n">
        <x:f>G96-268</x:f>
        <x:v>0.0454899999999725</x:v>
      </x:c>
      <x:c r="L96" t="n">
        <x:v>3377</x:v>
      </x:c>
    </x:row>
    <x:row r="97">
      <x:c r="A97" t="str">
        <x:v>S09</x:v>
      </x:c>
      <x:c r="B97" t="str">
        <x:v>1.15 validated five-run session</x:v>
      </x:c>
      <x:c r="C97" s="54" t="n">
        <x:v>1.15</x:v>
      </x:c>
      <x:c r="D97" t="n">
        <x:v>4</x:v>
      </x:c>
      <x:c r="E97" t="str">
        <x:v>PASS</x:v>
      </x:c>
      <x:c r="F97" t="str">
        <x:v>Z</x:v>
      </x:c>
      <x:c r="G97" s="54" t="n">
        <x:v>268.00046</x:v>
      </x:c>
      <x:c r="H97" s="54" t="n">
        <x:v>0.45899</x:v>
      </x:c>
      <x:c r="I97" s="56" t="n">
        <x:v>27.96</x:v>
      </x:c>
      <x:c r="J97" s="56" t="str">
        <x:v>VALID</x:v>
      </x:c>
      <x:c r="K97" s="56" t="n">
        <x:f>G97-268</x:f>
        <x:v>0.00045999999997548</x:v>
      </x:c>
      <x:c r="L97" t="n">
        <x:v>3378</x:v>
      </x:c>
    </x:row>
    <x:row r="98">
      <x:c r="A98" t="str">
        <x:v>S09</x:v>
      </x:c>
      <x:c r="B98" t="str">
        <x:v>1.15 validated five-run session</x:v>
      </x:c>
      <x:c r="C98" s="54" t="n">
        <x:v>1.15</x:v>
      </x:c>
      <x:c r="D98" t="n">
        <x:v>5</x:v>
      </x:c>
      <x:c r="E98" t="str">
        <x:v>PASS</x:v>
      </x:c>
      <x:c r="F98" t="str">
        <x:v>X</x:v>
      </x:c>
      <x:c r="G98" s="54" t="n">
        <x:v>268.02326</x:v>
      </x:c>
      <x:c r="H98" s="54" t="n">
        <x:v>1.06422</x:v>
      </x:c>
      <x:c r="I98" s="56" t="n">
        <x:v>32.8</x:v>
      </x:c>
      <x:c r="J98" s="56" t="str">
        <x:v>VALID</x:v>
      </x:c>
      <x:c r="K98" s="56" t="n">
        <x:f>G98-268</x:f>
        <x:v>0.023259999999993397</x:v>
      </x:c>
      <x:c r="L98" t="n">
        <x:v>3461</x:v>
      </x:c>
    </x:row>
    <x:row r="99">
      <x:c r="A99" t="str">
        <x:v>S09</x:v>
      </x:c>
      <x:c r="B99" t="str">
        <x:v>1.15 validated five-run session</x:v>
      </x:c>
      <x:c r="C99" s="54" t="n">
        <x:v>1.15</x:v>
      </x:c>
      <x:c r="D99" t="n">
        <x:v>5</x:v>
      </x:c>
      <x:c r="E99" t="str">
        <x:v>PASS</x:v>
      </x:c>
      <x:c r="F99" t="str">
        <x:v>Y</x:v>
      </x:c>
      <x:c r="G99" s="54" t="n">
        <x:v>268.02715</x:v>
      </x:c>
      <x:c r="H99" s="54" t="n">
        <x:v>0.27418</x:v>
      </x:c>
      <x:c r="I99" s="56" t="n">
        <x:v>25.26</x:v>
      </x:c>
      <x:c r="J99" s="56" t="str">
        <x:v>VALID</x:v>
      </x:c>
      <x:c r="K99" s="56" t="n">
        <x:f>G99-268</x:f>
        <x:v>0.027150000000006003</x:v>
      </x:c>
      <x:c r="L99" t="n">
        <x:v>3462</x:v>
      </x:c>
    </x:row>
    <x:row r="100">
      <x:c r="A100" t="str">
        <x:v>S09</x:v>
      </x:c>
      <x:c r="B100" t="str">
        <x:v>1.15 validated five-run session</x:v>
      </x:c>
      <x:c r="C100" s="54" t="n">
        <x:v>1.15</x:v>
      </x:c>
      <x:c r="D100" t="n">
        <x:v>5</x:v>
      </x:c>
      <x:c r="E100" t="str">
        <x:v>PASS</x:v>
      </x:c>
      <x:c r="F100" t="str">
        <x:v>Z</x:v>
      </x:c>
      <x:c r="G100" s="54" t="n">
        <x:v>268.0223</x:v>
      </x:c>
      <x:c r="H100" s="54" t="n">
        <x:v>0.46727</x:v>
      </x:c>
      <x:c r="I100" s="56" t="n">
        <x:v>28.23</x:v>
      </x:c>
      <x:c r="J100" s="56" t="str">
        <x:v>VALID</x:v>
      </x:c>
      <x:c r="K100" s="56" t="n">
        <x:f>G100-268</x:f>
        <x:v>0.022299999999972897</x:v>
      </x:c>
      <x:c r="L100" t="n">
        <x:v>3463</x:v>
      </x:c>
    </x:row>
    <x:row r="101">
      <x:c r="A101" t="str">
        <x:v>S10</x:v>
      </x:c>
      <x:c r="B101" t="str">
        <x:v>0.89 repeat-confirmation session</x:v>
      </x:c>
      <x:c r="C101" s="54" t="n">
        <x:v>0.89</x:v>
      </x:c>
      <x:c r="D101" t="n">
        <x:v>1</x:v>
      </x:c>
      <x:c r="E101" t="str">
        <x:v>PASS</x:v>
      </x:c>
      <x:c r="F101" t="str">
        <x:v>X</x:v>
      </x:c>
      <x:c r="G101" s="54" t="n">
        <x:v>268.02622</x:v>
      </x:c>
      <x:c r="H101" s="54" t="n">
        <x:v>0.80998</x:v>
      </x:c>
      <x:c r="I101" s="56" t="n">
        <x:v>31.8</x:v>
      </x:c>
      <x:c r="J101" s="56" t="str">
        <x:v>VALID</x:v>
      </x:c>
      <x:c r="K101" s="56" t="n">
        <x:f>G101-268</x:f>
        <x:v>0.026220000000023447</x:v>
      </x:c>
      <x:c r="L101" t="n">
        <x:v>3582</x:v>
      </x:c>
    </x:row>
    <x:row r="102">
      <x:c r="A102" t="str">
        <x:v>S10</x:v>
      </x:c>
      <x:c r="B102" t="str">
        <x:v>0.89 repeat-confirmation session</x:v>
      </x:c>
      <x:c r="C102" s="54" t="n">
        <x:v>0.89</x:v>
      </x:c>
      <x:c r="D102" t="n">
        <x:v>1</x:v>
      </x:c>
      <x:c r="E102" t="str">
        <x:v>PASS</x:v>
      </x:c>
      <x:c r="F102" t="str">
        <x:v>Y</x:v>
      </x:c>
      <x:c r="G102" s="54" t="n">
        <x:v>268.06146</x:v>
      </x:c>
      <x:c r="H102" s="54" t="n">
        <x:v>0.22</x:v>
      </x:c>
      <x:c r="I102" s="56" t="n">
        <x:v>22.9</x:v>
      </x:c>
      <x:c r="J102" s="56" t="str">
        <x:v>VALID</x:v>
      </x:c>
      <x:c r="K102" s="56" t="n">
        <x:f>G102-268</x:f>
        <x:v>0.06146000000001095</x:v>
      </x:c>
      <x:c r="L102" t="n">
        <x:v>3583</x:v>
      </x:c>
    </x:row>
    <x:row r="103">
      <x:c r="A103" t="str">
        <x:v>S10</x:v>
      </x:c>
      <x:c r="B103" t="str">
        <x:v>0.89 repeat-confirmation session</x:v>
      </x:c>
      <x:c r="C103" s="54" t="n">
        <x:v>0.89</x:v>
      </x:c>
      <x:c r="D103" t="n">
        <x:v>1</x:v>
      </x:c>
      <x:c r="E103" t="str">
        <x:v>PASS</x:v>
      </x:c>
      <x:c r="F103" t="str">
        <x:v>Z</x:v>
      </x:c>
      <x:c r="G103" s="54" t="n">
        <x:v>268.02158</x:v>
      </x:c>
      <x:c r="H103" s="54" t="n">
        <x:v>0.38669</x:v>
      </x:c>
      <x:c r="I103" s="56" t="n">
        <x:v>26.54</x:v>
      </x:c>
      <x:c r="J103" s="56" t="str">
        <x:v>VALID</x:v>
      </x:c>
      <x:c r="K103" s="56" t="n">
        <x:f>G103-268</x:f>
        <x:v>0.021579999999971733</x:v>
      </x:c>
      <x:c r="L103" t="n">
        <x:v>3584</x:v>
      </x:c>
    </x:row>
    <x:row r="104">
      <x:c r="A104" t="str">
        <x:v>S10</x:v>
      </x:c>
      <x:c r="B104" t="str">
        <x:v>0.89 repeat-confirmation session</x:v>
      </x:c>
      <x:c r="C104" s="54" t="n">
        <x:v>0.89</x:v>
      </x:c>
      <x:c r="D104" t="n">
        <x:v>2</x:v>
      </x:c>
      <x:c r="E104" t="str">
        <x:v>PASS</x:v>
      </x:c>
      <x:c r="F104" t="str">
        <x:v>X</x:v>
      </x:c>
      <x:c r="G104" s="54" t="n">
        <x:v>268.01336</x:v>
      </x:c>
      <x:c r="H104" s="54" t="n">
        <x:v>0.80258</x:v>
      </x:c>
      <x:c r="I104" s="56" t="n">
        <x:v>31.93</x:v>
      </x:c>
      <x:c r="J104" s="56" t="str">
        <x:v>VALID</x:v>
      </x:c>
      <x:c r="K104" s="56" t="n">
        <x:f>G104-268</x:f>
        <x:v>0.01335999999997739</x:v>
      </x:c>
      <x:c r="L104" t="n">
        <x:v>3692</x:v>
      </x:c>
    </x:row>
    <x:row r="105">
      <x:c r="A105" t="str">
        <x:v>S10</x:v>
      </x:c>
      <x:c r="B105" t="str">
        <x:v>0.89 repeat-confirmation session</x:v>
      </x:c>
      <x:c r="C105" s="54" t="n">
        <x:v>0.89</x:v>
      </x:c>
      <x:c r="D105" t="n">
        <x:v>2</x:v>
      </x:c>
      <x:c r="E105" t="str">
        <x:v>PASS</x:v>
      </x:c>
      <x:c r="F105" t="str">
        <x:v>Y</x:v>
      </x:c>
      <x:c r="G105" s="54" t="n">
        <x:v>268.01794</x:v>
      </x:c>
      <x:c r="H105" s="54" t="n">
        <x:v>0.20565</x:v>
      </x:c>
      <x:c r="I105" s="56" t="n">
        <x:v>21.82</x:v>
      </x:c>
      <x:c r="J105" s="56" t="str">
        <x:v>VALID</x:v>
      </x:c>
      <x:c r="K105" s="56" t="n">
        <x:f>G105-268</x:f>
        <x:v>0.01794000000001006</x:v>
      </x:c>
      <x:c r="L105" t="n">
        <x:v>3693</x:v>
      </x:c>
    </x:row>
    <x:row r="106">
      <x:c r="A106" t="str">
        <x:v>S10</x:v>
      </x:c>
      <x:c r="B106" t="str">
        <x:v>0.89 repeat-confirmation session</x:v>
      </x:c>
      <x:c r="C106" s="54" t="n">
        <x:v>0.89</x:v>
      </x:c>
      <x:c r="D106" t="n">
        <x:v>2</x:v>
      </x:c>
      <x:c r="E106" t="str">
        <x:v>PASS</x:v>
      </x:c>
      <x:c r="F106" t="str">
        <x:v>Z</x:v>
      </x:c>
      <x:c r="G106" s="54" t="n">
        <x:v>268.00748</x:v>
      </x:c>
      <x:c r="H106" s="54" t="n">
        <x:v>0.37485</x:v>
      </x:c>
      <x:c r="I106" s="56" t="n">
        <x:v>26.27</x:v>
      </x:c>
      <x:c r="J106" s="56" t="str">
        <x:v>VALID</x:v>
      </x:c>
      <x:c r="K106" s="56" t="n">
        <x:f>G106-268</x:f>
        <x:v>0.0074799999999868305</x:v>
      </x:c>
      <x:c r="L106" t="n">
        <x:v>3694</x:v>
      </x:c>
    </x:row>
    <x:row r="107">
      <x:c r="A107" t="str">
        <x:v>S10</x:v>
      </x:c>
      <x:c r="B107" t="str">
        <x:v>0.89 repeat-confirmation session</x:v>
      </x:c>
      <x:c r="C107" s="54" t="n">
        <x:v>0.89</x:v>
      </x:c>
      <x:c r="D107" t="n">
        <x:v>3</x:v>
      </x:c>
      <x:c r="E107" t="str">
        <x:v>PASS</x:v>
      </x:c>
      <x:c r="F107" t="str">
        <x:v>X</x:v>
      </x:c>
      <x:c r="G107" s="54" t="n">
        <x:v>268.02421</x:v>
      </x:c>
      <x:c r="H107" s="54" t="n">
        <x:v>0.80235</x:v>
      </x:c>
      <x:c r="I107" s="56" t="n">
        <x:v>32.07</x:v>
      </x:c>
      <x:c r="J107" s="56" t="str">
        <x:v>VALID</x:v>
      </x:c>
      <x:c r="K107" s="56" t="n">
        <x:f>G107-268</x:f>
        <x:v>0.0242099999999823</x:v>
      </x:c>
      <x:c r="L107" t="n">
        <x:v>3775</x:v>
      </x:c>
    </x:row>
    <x:row r="108">
      <x:c r="A108" t="str">
        <x:v>S10</x:v>
      </x:c>
      <x:c r="B108" t="str">
        <x:v>0.89 repeat-confirmation session</x:v>
      </x:c>
      <x:c r="C108" s="54" t="n">
        <x:v>0.89</x:v>
      </x:c>
      <x:c r="D108" t="n">
        <x:v>3</x:v>
      </x:c>
      <x:c r="E108" t="str">
        <x:v>PASS</x:v>
      </x:c>
      <x:c r="F108" t="str">
        <x:v>Y</x:v>
      </x:c>
      <x:c r="G108" s="54" t="n">
        <x:v>268.04564</x:v>
      </x:c>
      <x:c r="H108" s="54" t="n">
        <x:v>0.20843</x:v>
      </x:c>
      <x:c r="I108" s="56" t="n">
        <x:v>22.22</x:v>
      </x:c>
      <x:c r="J108" s="56" t="str">
        <x:v>VALID</x:v>
      </x:c>
      <x:c r="K108" s="56" t="n">
        <x:f>G108-268</x:f>
        <x:v>0.04563999999999169</x:v>
      </x:c>
      <x:c r="L108" t="n">
        <x:v>3776</x:v>
      </x:c>
    </x:row>
    <x:row r="109">
      <x:c r="A109" t="str">
        <x:v>S10</x:v>
      </x:c>
      <x:c r="B109" t="str">
        <x:v>0.89 repeat-confirmation session</x:v>
      </x:c>
      <x:c r="C109" s="54" t="n">
        <x:v>0.89</x:v>
      </x:c>
      <x:c r="D109" t="n">
        <x:v>3</x:v>
      </x:c>
      <x:c r="E109" t="str">
        <x:v>PASS</x:v>
      </x:c>
      <x:c r="F109" t="str">
        <x:v>Z</x:v>
      </x:c>
      <x:c r="G109" s="54" t="n">
        <x:v>268.01359</x:v>
      </x:c>
      <x:c r="H109" s="54" t="n">
        <x:v>0.37811</x:v>
      </x:c>
      <x:c r="I109" s="56" t="n">
        <x:v>26.63</x:v>
      </x:c>
      <x:c r="J109" s="56" t="str">
        <x:v>VALID</x:v>
      </x:c>
      <x:c r="K109" s="56" t="n">
        <x:f>G109-268</x:f>
        <x:v>0.013590000000021973</x:v>
      </x:c>
      <x:c r="L109" t="n">
        <x:v>3777</x:v>
      </x:c>
    </x:row>
    <x:row r="110">
      <x:c r="A110" t="str">
        <x:v>S10</x:v>
      </x:c>
      <x:c r="B110" t="str">
        <x:v>0.89 repeat-confirmation session</x:v>
      </x:c>
      <x:c r="C110" s="54" t="n">
        <x:v>0.89</x:v>
      </x:c>
      <x:c r="D110" t="n">
        <x:v>4</x:v>
      </x:c>
      <x:c r="E110" t="str">
        <x:v>PASS</x:v>
      </x:c>
      <x:c r="F110" t="str">
        <x:v>X</x:v>
      </x:c>
      <x:c r="G110" s="54" t="n">
        <x:v>268.00689</x:v>
      </x:c>
      <x:c r="H110" s="54" t="n">
        <x:v>0.80184</x:v>
      </x:c>
      <x:c r="I110" s="56" t="n">
        <x:v>31.99</x:v>
      </x:c>
      <x:c r="J110" s="56" t="str">
        <x:v>VALID</x:v>
      </x:c>
      <x:c r="K110" s="56" t="n">
        <x:f>G110-268</x:f>
        <x:v>0.006889999999998508</x:v>
      </x:c>
      <x:c r="L110" t="n">
        <x:v>3892</x:v>
      </x:c>
    </x:row>
    <x:row r="111">
      <x:c r="A111" t="str">
        <x:v>S10</x:v>
      </x:c>
      <x:c r="B111" t="str">
        <x:v>0.89 repeat-confirmation session</x:v>
      </x:c>
      <x:c r="C111" s="54" t="n">
        <x:v>0.89</x:v>
      </x:c>
      <x:c r="D111" t="n">
        <x:v>4</x:v>
      </x:c>
      <x:c r="E111" t="str">
        <x:v>PASS</x:v>
      </x:c>
      <x:c r="F111" t="str">
        <x:v>Y</x:v>
      </x:c>
      <x:c r="G111" s="54" t="n">
        <x:v>267.98645</x:v>
      </x:c>
      <x:c r="H111" s="54" t="n">
        <x:v>0.21258</x:v>
      </x:c>
      <x:c r="I111" s="56" t="n">
        <x:v>22</x:v>
      </x:c>
      <x:c r="J111" s="56" t="str">
        <x:v>VALID</x:v>
      </x:c>
      <x:c r="K111" s="56" t="n">
        <x:f>G111-268</x:f>
        <x:v>-0.013550000000009277</x:v>
      </x:c>
      <x:c r="L111" t="n">
        <x:v>3893</x:v>
      </x:c>
    </x:row>
    <x:row r="112">
      <x:c r="A112" t="str">
        <x:v>S10</x:v>
      </x:c>
      <x:c r="B112" t="str">
        <x:v>0.89 repeat-confirmation session</x:v>
      </x:c>
      <x:c r="C112" s="54" t="n">
        <x:v>0.89</x:v>
      </x:c>
      <x:c r="D112" t="n">
        <x:v>4</x:v>
      </x:c>
      <x:c r="E112" t="str">
        <x:v>PASS</x:v>
      </x:c>
      <x:c r="F112" t="str">
        <x:v>Z</x:v>
      </x:c>
      <x:c r="G112" s="54" t="n">
        <x:v>268.04761</x:v>
      </x:c>
      <x:c r="H112" s="54" t="n">
        <x:v>0.36323</x:v>
      </x:c>
      <x:c r="I112" s="56" t="n">
        <x:v>25.89</x:v>
      </x:c>
      <x:c r="J112" s="56" t="str">
        <x:v>VALID</x:v>
      </x:c>
      <x:c r="K112" s="56" t="n">
        <x:f>G112-268</x:f>
        <x:v>0.047610000000020136</x:v>
      </x:c>
      <x:c r="L112" t="n">
        <x:v>3894</x:v>
      </x:c>
    </x:row>
    <x:row r="113">
      <x:c r="A113" t="str">
        <x:v>S10</x:v>
      </x:c>
      <x:c r="B113" t="str">
        <x:v>0.89 repeat-confirmation session</x:v>
      </x:c>
      <x:c r="C113" s="54" t="n">
        <x:v>0.89</x:v>
      </x:c>
      <x:c r="D113" t="n">
        <x:v>5</x:v>
      </x:c>
      <x:c r="E113" t="str">
        <x:v>PASS</x:v>
      </x:c>
      <x:c r="F113" t="str">
        <x:v>X</x:v>
      </x:c>
      <x:c r="G113" s="54" t="n">
        <x:v>268.03518</x:v>
      </x:c>
      <x:c r="H113" s="54" t="n">
        <x:v>0.80209</x:v>
      </x:c>
      <x:c r="I113" s="56" t="n">
        <x:v>31.9</x:v>
      </x:c>
      <x:c r="J113" s="56" t="str">
        <x:v>VALID</x:v>
      </x:c>
      <x:c r="K113" s="56" t="n">
        <x:f>G113-268</x:f>
        <x:v>0.0351800000000253</x:v>
      </x:c>
      <x:c r="L113" t="n">
        <x:v>3975</x:v>
      </x:c>
    </x:row>
    <x:row r="114">
      <x:c r="A114" t="str">
        <x:v>S10</x:v>
      </x:c>
      <x:c r="B114" t="str">
        <x:v>0.89 repeat-confirmation session</x:v>
      </x:c>
      <x:c r="C114" s="54" t="n">
        <x:v>0.89</x:v>
      </x:c>
      <x:c r="D114" t="n">
        <x:v>5</x:v>
      </x:c>
      <x:c r="E114" t="str">
        <x:v>PASS</x:v>
      </x:c>
      <x:c r="F114" t="str">
        <x:v>Y</x:v>
      </x:c>
      <x:c r="G114" s="54" t="n">
        <x:v>268.03524</x:v>
      </x:c>
      <x:c r="H114" s="54" t="n">
        <x:v>0.21362</x:v>
      </x:c>
      <x:c r="I114" s="56" t="n">
        <x:v>22.09</x:v>
      </x:c>
      <x:c r="J114" s="56" t="str">
        <x:v>VALID</x:v>
      </x:c>
      <x:c r="K114" s="56" t="n">
        <x:f>G114-268</x:f>
        <x:v>0.035239999999987504</x:v>
      </x:c>
      <x:c r="L114" t="n">
        <x:v>3976</x:v>
      </x:c>
    </x:row>
    <x:row r="115">
      <x:c r="A115" t="str">
        <x:v>S10</x:v>
      </x:c>
      <x:c r="B115" t="str">
        <x:v>0.89 repeat-confirmation session</x:v>
      </x:c>
      <x:c r="C115" s="54" t="n">
        <x:v>0.89</x:v>
      </x:c>
      <x:c r="D115" t="n">
        <x:v>5</x:v>
      </x:c>
      <x:c r="E115" t="str">
        <x:v>PASS</x:v>
      </x:c>
      <x:c r="F115" t="str">
        <x:v>Z</x:v>
      </x:c>
      <x:c r="G115" s="54" t="n">
        <x:v>267.97315</x:v>
      </x:c>
      <x:c r="H115" s="54" t="n">
        <x:v>0.36571</x:v>
      </x:c>
      <x:c r="I115" s="56" t="n">
        <x:v>26.16</x:v>
      </x:c>
      <x:c r="J115" s="56" t="str">
        <x:v>VALID</x:v>
      </x:c>
      <x:c r="K115" s="56" t="n">
        <x:f>G115-268</x:f>
        <x:v>-0.026850000000024465</x:v>
      </x:c>
      <x:c r="L115" t="n">
        <x:v>3977</x:v>
      </x:c>
    </x:row>
    <x:row r="116">
      <x:c r="A116" t="str">
        <x:v>S11</x:v>
      </x:c>
      <x:c r="B116" t="str">
        <x:v>1.15 instability and response-collapse session</x:v>
      </x:c>
      <x:c r="C116" t="n">
        <x:v>1.15</x:v>
      </x:c>
      <x:c r="D116" t="n">
        <x:v>1</x:v>
      </x:c>
      <x:c r="E116" t="str">
        <x:v>FAIL</x:v>
      </x:c>
      <x:c r="F116" t="str">
        <x:v>X</x:v>
      </x:c>
      <x:c r="G116" s="54" t="n">
        <x:v>268.01961</x:v>
      </x:c>
      <x:c r="H116" s="54" t="n">
        <x:v>1.01992</x:v>
      </x:c>
      <x:c r="I116" s="56" t="n">
        <x:v>26.95</x:v>
      </x:c>
      <x:c r="J116" t="str">
        <x:v>VALID</x:v>
      </x:c>
      <x:c r="K116" s="54" t="n">
        <x:v>0.019610000000000127</x:v>
      </x:c>
      <x:c r="L116" t="n">
        <x:v>127</x:v>
      </x:c>
    </x:row>
    <x:row r="117">
      <x:c r="A117" t="str">
        <x:v>S11</x:v>
      </x:c>
      <x:c r="B117" t="str">
        <x:v>1.15 instability and response-collapse session</x:v>
      </x:c>
      <x:c r="C117" t="n">
        <x:v>1.15</x:v>
      </x:c>
      <x:c r="D117" t="n">
        <x:v>1</x:v>
      </x:c>
      <x:c r="E117" t="str">
        <x:v>FAIL</x:v>
      </x:c>
      <x:c r="F117" t="str">
        <x:v>Y</x:v>
      </x:c>
      <x:c r="G117" s="54" t="n">
        <x:v>267.99206</x:v>
      </x:c>
      <x:c r="H117" s="54" t="n">
        <x:v>0.75627</x:v>
      </x:c>
      <x:c r="I117" s="56" t="n">
        <x:v>23.77</x:v>
      </x:c>
      <x:c r="J117" t="str">
        <x:v>VALID</x:v>
      </x:c>
      <x:c r="K117" s="54" t="n">
        <x:v>-0.007940000000019154</x:v>
      </x:c>
      <x:c r="L117" t="n">
        <x:v>128</x:v>
      </x:c>
    </x:row>
    <x:row r="118">
      <x:c r="A118" t="str">
        <x:v>S11</x:v>
      </x:c>
      <x:c r="B118" t="str">
        <x:v>1.15 instability and response-collapse session</x:v>
      </x:c>
      <x:c r="C118" t="n">
        <x:v>1.15</x:v>
      </x:c>
      <x:c r="D118" t="n">
        <x:v>1</x:v>
      </x:c>
      <x:c r="E118" t="str">
        <x:v>FAIL</x:v>
      </x:c>
      <x:c r="F118" t="str">
        <x:v>Z</x:v>
      </x:c>
      <x:c r="G118" s="54" t="n">
        <x:v>268.02446</x:v>
      </x:c>
      <x:c r="H118" s="54" t="n">
        <x:v>0.24078</x:v>
      </x:c>
      <x:c r="I118" s="56" t="n">
        <x:v>19.84</x:v>
      </x:c>
      <x:c r="J118" t="str">
        <x:v>VALID</x:v>
      </x:c>
      <x:c r="K118" s="54" t="n">
        <x:v>0.02445999999997639</x:v>
      </x:c>
      <x:c r="L118" t="n">
        <x:v>129</x:v>
      </x:c>
    </x:row>
    <x:row r="119">
      <x:c r="A119" t="str">
        <x:v>S13</x:v>
      </x:c>
      <x:c r="B119" t="str">
        <x:v>1.00 validated five-run session</x:v>
      </x:c>
      <x:c r="C119" t="n">
        <x:v>1</x:v>
      </x:c>
      <x:c r="D119" t="n">
        <x:v>1</x:v>
      </x:c>
      <x:c r="E119" t="str">
        <x:v>PASS</x:v>
      </x:c>
      <x:c r="F119" t="str">
        <x:v>X</x:v>
      </x:c>
      <x:c r="G119" s="54" t="n">
        <x:v>268.0243</x:v>
      </x:c>
      <x:c r="H119" s="54" t="n">
        <x:v>0.91166</x:v>
      </x:c>
      <x:c r="I119" s="56" t="n">
        <x:v>29.42</x:v>
      </x:c>
      <x:c r="J119" t="str">
        <x:v>VALID</x:v>
      </x:c>
      <x:c r="K119" s="54" t="n">
        <x:v>0.024299999999982447</x:v>
      </x:c>
      <x:c r="L119" t="n">
        <x:v>558</x:v>
      </x:c>
    </x:row>
    <x:row r="120">
      <x:c r="A120" t="str">
        <x:v>S13</x:v>
      </x:c>
      <x:c r="B120" t="str">
        <x:v>1.00 validated five-run session</x:v>
      </x:c>
      <x:c r="C120" t="n">
        <x:v>1</x:v>
      </x:c>
      <x:c r="D120" t="n">
        <x:v>1</x:v>
      </x:c>
      <x:c r="E120" t="str">
        <x:v>PASS</x:v>
      </x:c>
      <x:c r="F120" t="str">
        <x:v>Y</x:v>
      </x:c>
      <x:c r="G120" s="54" t="n">
        <x:v>268.01109</x:v>
      </x:c>
      <x:c r="H120" s="54" t="n">
        <x:v>0.34411</x:v>
      </x:c>
      <x:c r="I120" s="56" t="n">
        <x:v>19.85</x:v>
      </x:c>
      <x:c r="J120" t="str">
        <x:v>VALID</x:v>
      </x:c>
      <x:c r="K120" s="54" t="n">
        <x:v>0.011090000000024247</x:v>
      </x:c>
      <x:c r="L120" t="n">
        <x:v>559</x:v>
      </x:c>
    </x:row>
    <x:row r="121">
      <x:c r="A121" t="str">
        <x:v>S13</x:v>
      </x:c>
      <x:c r="B121" t="str">
        <x:v>1.00 validated five-run session</x:v>
      </x:c>
      <x:c r="C121" t="n">
        <x:v>1</x:v>
      </x:c>
      <x:c r="D121" t="n">
        <x:v>1</x:v>
      </x:c>
      <x:c r="E121" t="str">
        <x:v>PASS</x:v>
      </x:c>
      <x:c r="F121" t="str">
        <x:v>Z</x:v>
      </x:c>
      <x:c r="G121" s="54" t="n">
        <x:v>268.01068</x:v>
      </x:c>
      <x:c r="H121" s="54" t="n">
        <x:v>0.21934</x:v>
      </x:c>
      <x:c r="I121" s="56" t="n">
        <x:v>20.83</x:v>
      </x:c>
      <x:c r="J121" t="str">
        <x:v>VALID</x:v>
      </x:c>
      <x:c r="K121" s="54" t="n">
        <x:v>0.010679999999979373</x:v>
      </x:c>
      <x:c r="L121" t="n">
        <x:v>560</x:v>
      </x:c>
    </x:row>
    <x:row r="122">
      <x:c r="A122" t="str">
        <x:v>S13</x:v>
      </x:c>
      <x:c r="B122" t="str">
        <x:v>1.00 validated five-run session</x:v>
      </x:c>
      <x:c r="C122" t="n">
        <x:v>1</x:v>
      </x:c>
      <x:c r="D122" t="n">
        <x:v>2</x:v>
      </x:c>
      <x:c r="E122" t="str">
        <x:v>PASS</x:v>
      </x:c>
      <x:c r="F122" t="str">
        <x:v>X</x:v>
      </x:c>
      <x:c r="G122" s="54" t="n">
        <x:v>268.01655</x:v>
      </x:c>
      <x:c r="H122" s="54" t="n">
        <x:v>0.87931</x:v>
      </x:c>
      <x:c r="I122" s="56" t="n">
        <x:v>29.68</x:v>
      </x:c>
      <x:c r="J122" t="str">
        <x:v>VALID</x:v>
      </x:c>
      <x:c r="K122" s="54" t="n">
        <x:v>0.01654999999999518</x:v>
      </x:c>
      <x:c r="L122" t="n">
        <x:v>639</x:v>
      </x:c>
    </x:row>
    <x:row r="123">
      <x:c r="A123" t="str">
        <x:v>S13</x:v>
      </x:c>
      <x:c r="B123" t="str">
        <x:v>1.00 validated five-run session</x:v>
      </x:c>
      <x:c r="C123" t="n">
        <x:v>1</x:v>
      </x:c>
      <x:c r="D123" t="n">
        <x:v>2</x:v>
      </x:c>
      <x:c r="E123" t="str">
        <x:v>PASS</x:v>
      </x:c>
      <x:c r="F123" t="str">
        <x:v>Y</x:v>
      </x:c>
      <x:c r="G123" s="54" t="n">
        <x:v>268.03246</x:v>
      </x:c>
      <x:c r="H123" s="54" t="n">
        <x:v>0.38057</x:v>
      </x:c>
      <x:c r="I123" s="56" t="n">
        <x:v>20.94</x:v>
      </x:c>
      <x:c r="J123" t="str">
        <x:v>VALID</x:v>
      </x:c>
      <x:c r="K123" s="54" t="n">
        <x:v>0.03246000000001459</x:v>
      </x:c>
      <x:c r="L123" t="n">
        <x:v>640</x:v>
      </x:c>
    </x:row>
    <x:row r="124">
      <x:c r="A124" t="str">
        <x:v>S13</x:v>
      </x:c>
      <x:c r="B124" t="str">
        <x:v>1.00 validated five-run session</x:v>
      </x:c>
      <x:c r="C124" t="n">
        <x:v>1</x:v>
      </x:c>
      <x:c r="D124" t="n">
        <x:v>2</x:v>
      </x:c>
      <x:c r="E124" t="str">
        <x:v>PASS</x:v>
      </x:c>
      <x:c r="F124" t="str">
        <x:v>Z</x:v>
      </x:c>
      <x:c r="G124" s="54" t="n">
        <x:v>268.04067</x:v>
      </x:c>
      <x:c r="H124" s="54" t="n">
        <x:v>0.23797</x:v>
      </x:c>
      <x:c r="I124" s="56" t="n">
        <x:v>22</x:v>
      </x:c>
      <x:c r="J124" t="str">
        <x:v>VALID</x:v>
      </x:c>
      <x:c r="K124" s="54" t="n">
        <x:v>0.040669999999977335</x:v>
      </x:c>
      <x:c r="L124" t="n">
        <x:v>641</x:v>
      </x:c>
    </x:row>
    <x:row r="125">
      <x:c r="A125" t="str">
        <x:v>S13</x:v>
      </x:c>
      <x:c r="B125" t="str">
        <x:v>1.00 validated five-run session</x:v>
      </x:c>
      <x:c r="C125" t="n">
        <x:v>1</x:v>
      </x:c>
      <x:c r="D125" t="n">
        <x:v>3</x:v>
      </x:c>
      <x:c r="E125" t="str">
        <x:v>PASS</x:v>
      </x:c>
      <x:c r="F125" t="str">
        <x:v>X</x:v>
      </x:c>
      <x:c r="G125" s="54" t="n">
        <x:v>268.03718</x:v>
      </x:c>
      <x:c r="H125" s="54" t="n">
        <x:v>0.91043</x:v>
      </x:c>
      <x:c r="I125" s="56" t="n">
        <x:v>30.08</x:v>
      </x:c>
      <x:c r="J125" t="str">
        <x:v>VALID</x:v>
      </x:c>
      <x:c r="K125" s="54" t="n">
        <x:v>0.03717999999997801</x:v>
      </x:c>
      <x:c r="L125" t="n">
        <x:v>722</x:v>
      </x:c>
    </x:row>
    <x:row r="126">
      <x:c r="A126" t="str">
        <x:v>S13</x:v>
      </x:c>
      <x:c r="B126" t="str">
        <x:v>1.00 validated five-run session</x:v>
      </x:c>
      <x:c r="C126" t="n">
        <x:v>1</x:v>
      </x:c>
      <x:c r="D126" t="n">
        <x:v>3</x:v>
      </x:c>
      <x:c r="E126" t="str">
        <x:v>PASS</x:v>
      </x:c>
      <x:c r="F126" t="str">
        <x:v>Y</x:v>
      </x:c>
      <x:c r="G126" s="54" t="n">
        <x:v>267.9967</x:v>
      </x:c>
      <x:c r="H126" s="54" t="n">
        <x:v>0.43331</x:v>
      </x:c>
      <x:c r="I126" s="56" t="n">
        <x:v>22.52</x:v>
      </x:c>
      <x:c r="J126" t="str">
        <x:v>VALID</x:v>
      </x:c>
      <x:c r="K126" s="54" t="n">
        <x:v>-0.0033000000000242835</x:v>
      </x:c>
      <x:c r="L126" t="n">
        <x:v>723</x:v>
      </x:c>
    </x:row>
    <x:row r="127">
      <x:c r="A127" t="str">
        <x:v>S13</x:v>
      </x:c>
      <x:c r="B127" t="str">
        <x:v>1.00 validated five-run session</x:v>
      </x:c>
      <x:c r="C127" t="n">
        <x:v>1</x:v>
      </x:c>
      <x:c r="D127" t="n">
        <x:v>3</x:v>
      </x:c>
      <x:c r="E127" t="str">
        <x:v>PASS</x:v>
      </x:c>
      <x:c r="F127" t="str">
        <x:v>Z</x:v>
      </x:c>
      <x:c r="G127" s="54" t="n">
        <x:v>268.06064</x:v>
      </x:c>
      <x:c r="H127" s="54" t="n">
        <x:v>0.18649</x:v>
      </x:c>
      <x:c r="I127" s="56" t="n">
        <x:v>19.84</x:v>
      </x:c>
      <x:c r="J127" t="str">
        <x:v>VALID</x:v>
      </x:c>
      <x:c r="K127" s="54" t="n">
        <x:v>0.060639999999978045</x:v>
      </x:c>
      <x:c r="L127" t="n">
        <x:v>724</x:v>
      </x:c>
    </x:row>
    <x:row r="128">
      <x:c r="A128" t="str">
        <x:v>S13</x:v>
      </x:c>
      <x:c r="B128" t="str">
        <x:v>1.00 validated five-run session</x:v>
      </x:c>
      <x:c r="C128" t="n">
        <x:v>1</x:v>
      </x:c>
      <x:c r="D128" t="n">
        <x:v>4</x:v>
      </x:c>
      <x:c r="E128" t="str">
        <x:v>PASS</x:v>
      </x:c>
      <x:c r="F128" t="str">
        <x:v>X</x:v>
      </x:c>
      <x:c r="G128" s="54" t="n">
        <x:v>268.0195</x:v>
      </x:c>
      <x:c r="H128" s="54" t="n">
        <x:v>0.88926</x:v>
      </x:c>
      <x:c r="I128" s="56" t="n">
        <x:v>30.16</x:v>
      </x:c>
      <x:c r="J128" t="str">
        <x:v>VALID</x:v>
      </x:c>
      <x:c r="K128" s="54" t="n">
        <x:v>0.019499999999993634</x:v>
      </x:c>
      <x:c r="L128" t="n">
        <x:v>805</x:v>
      </x:c>
    </x:row>
    <x:row r="129">
      <x:c r="A129" t="str">
        <x:v>S13</x:v>
      </x:c>
      <x:c r="B129" t="str">
        <x:v>1.00 validated five-run session</x:v>
      </x:c>
      <x:c r="C129" t="n">
        <x:v>1</x:v>
      </x:c>
      <x:c r="D129" t="n">
        <x:v>4</x:v>
      </x:c>
      <x:c r="E129" t="str">
        <x:v>PASS</x:v>
      </x:c>
      <x:c r="F129" t="str">
        <x:v>Y</x:v>
      </x:c>
      <x:c r="G129" s="54" t="n">
        <x:v>268.05049</x:v>
      </x:c>
      <x:c r="H129" s="54" t="n">
        <x:v>0.45789</x:v>
      </x:c>
      <x:c r="I129" s="56" t="n">
        <x:v>22.45</x:v>
      </x:c>
      <x:c r="J129" t="str">
        <x:v>VALID</x:v>
      </x:c>
      <x:c r="K129" s="54" t="n">
        <x:v>0.05049000000002479</x:v>
      </x:c>
      <x:c r="L129" t="n">
        <x:v>806</x:v>
      </x:c>
    </x:row>
    <x:row r="130">
      <x:c r="A130" t="str">
        <x:v>S13</x:v>
      </x:c>
      <x:c r="B130" t="str">
        <x:v>1.00 validated five-run session</x:v>
      </x:c>
      <x:c r="C130" t="n">
        <x:v>1</x:v>
      </x:c>
      <x:c r="D130" t="n">
        <x:v>4</x:v>
      </x:c>
      <x:c r="E130" t="str">
        <x:v>PASS</x:v>
      </x:c>
      <x:c r="F130" t="str">
        <x:v>Z</x:v>
      </x:c>
      <x:c r="G130" s="54" t="n">
        <x:v>268.11235</x:v>
      </x:c>
      <x:c r="H130" s="54" t="n">
        <x:v>0.18601</x:v>
      </x:c>
      <x:c r="I130" s="56" t="n">
        <x:v>19.9</x:v>
      </x:c>
      <x:c r="J130" t="str">
        <x:v>VALID</x:v>
      </x:c>
      <x:c r="K130" s="54" t="n">
        <x:v>0.11234999999999218</x:v>
      </x:c>
      <x:c r="L130" t="n">
        <x:v>807</x:v>
      </x:c>
    </x:row>
    <x:row r="131">
      <x:c r="A131" t="str">
        <x:v>S13</x:v>
      </x:c>
      <x:c r="B131" t="str">
        <x:v>1.00 validated five-run session</x:v>
      </x:c>
      <x:c r="C131" t="n">
        <x:v>1</x:v>
      </x:c>
      <x:c r="D131" t="n">
        <x:v>5</x:v>
      </x:c>
      <x:c r="E131" t="str">
        <x:v>PASS</x:v>
      </x:c>
      <x:c r="F131" t="str">
        <x:v>X</x:v>
      </x:c>
      <x:c r="G131" s="54" t="n">
        <x:v>268.02235</x:v>
      </x:c>
      <x:c r="H131" s="54" t="n">
        <x:v>0.91538</x:v>
      </x:c>
      <x:c r="I131" s="56" t="n">
        <x:v>30.69</x:v>
      </x:c>
      <x:c r="J131" t="str">
        <x:v>VALID</x:v>
      </x:c>
      <x:c r="K131" s="54" t="n">
        <x:v>0.02235000000001719</x:v>
      </x:c>
      <x:c r="L131" t="n">
        <x:v>889</x:v>
      </x:c>
    </x:row>
    <x:row r="132">
      <x:c r="A132" t="str">
        <x:v>S13</x:v>
      </x:c>
      <x:c r="B132" t="str">
        <x:v>1.00 validated five-run session</x:v>
      </x:c>
      <x:c r="C132" t="n">
        <x:v>1</x:v>
      </x:c>
      <x:c r="D132" t="n">
        <x:v>5</x:v>
      </x:c>
      <x:c r="E132" t="str">
        <x:v>PASS</x:v>
      </x:c>
      <x:c r="F132" t="str">
        <x:v>Y</x:v>
      </x:c>
      <x:c r="G132" s="54" t="n">
        <x:v>268.03497</x:v>
      </x:c>
      <x:c r="H132" s="54" t="n">
        <x:v>0.46411</x:v>
      </x:c>
      <x:c r="I132" s="56" t="n">
        <x:v>23</x:v>
      </x:c>
      <x:c r="J132" t="str">
        <x:v>VALID</x:v>
      </x:c>
      <x:c r="K132" s="54" t="n">
        <x:v>0.03496999999998707</x:v>
      </x:c>
      <x:c r="L132" t="n">
        <x:v>890</x:v>
      </x:c>
    </x:row>
    <x:row r="133">
      <x:c r="A133" t="str">
        <x:v>S13</x:v>
      </x:c>
      <x:c r="B133" t="str">
        <x:v>1.00 validated five-run session</x:v>
      </x:c>
      <x:c r="C133" t="n">
        <x:v>1</x:v>
      </x:c>
      <x:c r="D133" t="n">
        <x:v>5</x:v>
      </x:c>
      <x:c r="E133" t="str">
        <x:v>PASS</x:v>
      </x:c>
      <x:c r="F133" t="str">
        <x:v>Z</x:v>
      </x:c>
      <x:c r="G133" s="54" t="n">
        <x:v>268.04847</x:v>
      </x:c>
      <x:c r="H133" s="54" t="n">
        <x:v>0.18718</x:v>
      </x:c>
      <x:c r="I133" s="56" t="n">
        <x:v>20.51</x:v>
      </x:c>
      <x:c r="J133" t="str">
        <x:v>VALID</x:v>
      </x:c>
      <x:c r="K133" s="54" t="n">
        <x:v>0.048470000000008895</x:v>
      </x:c>
      <x:c r="L133" t="n">
        <x:v>891</x:v>
      </x:c>
    </x:row>
    <x:row r="134">
      <x:c r="A134" t="str">
        <x:v>S14</x:v>
      </x:c>
      <x:c r="B134" t="str">
        <x:v>1.15 validation at 272 Hz</x:v>
      </x:c>
      <x:c r="C134" t="n">
        <x:v>1.15</x:v>
      </x:c>
      <x:c r="D134" t="n">
        <x:v>1</x:v>
      </x:c>
      <x:c r="E134" t="str">
        <x:v>PASS</x:v>
      </x:c>
      <x:c r="F134" t="str">
        <x:v>X</x:v>
      </x:c>
      <x:c r="G134" s="54" t="n">
        <x:v>271.96825</x:v>
      </x:c>
      <x:c r="H134" s="54" t="n">
        <x:v>1.20405</x:v>
      </x:c>
      <x:c r="I134" s="56" t="n">
        <x:v>32.43</x:v>
      </x:c>
      <x:c r="J134" t="str">
        <x:v>VALID</x:v>
      </x:c>
      <x:c r="K134" s="54" t="n">
        <x:v>-0.03174999999998818</x:v>
      </x:c>
      <x:c r="L134" t="n">
        <x:v>1012</x:v>
      </x:c>
    </x:row>
    <x:row r="135">
      <x:c r="A135" t="str">
        <x:v>S14</x:v>
      </x:c>
      <x:c r="B135" t="str">
        <x:v>1.15 validation at 272 Hz</x:v>
      </x:c>
      <x:c r="C135" t="n">
        <x:v>1.15</x:v>
      </x:c>
      <x:c r="D135" t="n">
        <x:v>1</x:v>
      </x:c>
      <x:c r="E135" t="str">
        <x:v>PASS</x:v>
      </x:c>
      <x:c r="F135" t="str">
        <x:v>Y</x:v>
      </x:c>
      <x:c r="G135" s="54" t="n">
        <x:v>271.94749</x:v>
      </x:c>
      <x:c r="H135" s="54" t="n">
        <x:v>0.61714</x:v>
      </x:c>
      <x:c r="I135" s="56" t="n">
        <x:v>25.53</x:v>
      </x:c>
      <x:c r="J135" t="str">
        <x:v>VALID</x:v>
      </x:c>
      <x:c r="K135" s="54" t="n">
        <x:v>-0.05250999999998385</x:v>
      </x:c>
      <x:c r="L135" t="n">
        <x:v>1013</x:v>
      </x:c>
    </x:row>
    <x:row r="136">
      <x:c r="A136" t="str">
        <x:v>S14</x:v>
      </x:c>
      <x:c r="B136" t="str">
        <x:v>1.15 validation at 272 Hz</x:v>
      </x:c>
      <x:c r="C136" t="n">
        <x:v>1.15</x:v>
      </x:c>
      <x:c r="D136" t="n">
        <x:v>1</x:v>
      </x:c>
      <x:c r="E136" t="str">
        <x:v>PASS</x:v>
      </x:c>
      <x:c r="F136" t="str">
        <x:v>Z</x:v>
      </x:c>
      <x:c r="G136" s="54" t="n">
        <x:v>271.96784</x:v>
      </x:c>
      <x:c r="H136" s="54" t="n">
        <x:v>0.27366</x:v>
      </x:c>
      <x:c r="I136" s="56" t="n">
        <x:v>23.34</x:v>
      </x:c>
      <x:c r="J136" t="str">
        <x:v>VALID</x:v>
      </x:c>
      <x:c r="K136" s="54" t="n">
        <x:v>-0.03215999999997621</x:v>
      </x:c>
      <x:c r="L136" t="n">
        <x:v>1014</x:v>
      </x:c>
    </x:row>
    <x:row r="137">
      <x:c r="A137" t="str">
        <x:v>S14</x:v>
      </x:c>
      <x:c r="B137" t="str">
        <x:v>1.15 validation at 272 Hz</x:v>
      </x:c>
      <x:c r="C137" t="n">
        <x:v>1.15</x:v>
      </x:c>
      <x:c r="D137" t="n">
        <x:v>2</x:v>
      </x:c>
      <x:c r="E137" t="str">
        <x:v>PASS</x:v>
      </x:c>
      <x:c r="F137" t="str">
        <x:v>X</x:v>
      </x:c>
      <x:c r="G137" s="54" t="n">
        <x:v>271.96041</x:v>
      </x:c>
      <x:c r="H137" s="54" t="n">
        <x:v>1.15237</x:v>
      </x:c>
      <x:c r="I137" s="56" t="n">
        <x:v>32.59</x:v>
      </x:c>
      <x:c r="J137" t="str">
        <x:v>VALID</x:v>
      </x:c>
      <x:c r="K137" s="54" t="n">
        <x:v>-0.03958999999997559</x:v>
      </x:c>
      <x:c r="L137" t="n">
        <x:v>1096</x:v>
      </x:c>
    </x:row>
    <x:row r="138">
      <x:c r="A138" t="str">
        <x:v>S14</x:v>
      </x:c>
      <x:c r="B138" t="str">
        <x:v>1.15 validation at 272 Hz</x:v>
      </x:c>
      <x:c r="C138" t="n">
        <x:v>1.15</x:v>
      </x:c>
      <x:c r="D138" t="n">
        <x:v>2</x:v>
      </x:c>
      <x:c r="E138" t="str">
        <x:v>PASS</x:v>
      </x:c>
      <x:c r="F138" t="str">
        <x:v>Y</x:v>
      </x:c>
      <x:c r="G138" s="54" t="n">
        <x:v>271.96282</x:v>
      </x:c>
      <x:c r="H138" s="54" t="n">
        <x:v>0.58928</x:v>
      </x:c>
      <x:c r="I138" s="56" t="n">
        <x:v>25.27</x:v>
      </x:c>
      <x:c r="J138" t="str">
        <x:v>VALID</x:v>
      </x:c>
      <x:c r="K138" s="54" t="n">
        <x:v>-0.03717999999997801</x:v>
      </x:c>
      <x:c r="L138" t="n">
        <x:v>1097</x:v>
      </x:c>
    </x:row>
    <x:row r="139">
      <x:c r="A139" t="str">
        <x:v>S14</x:v>
      </x:c>
      <x:c r="B139" t="str">
        <x:v>1.15 validation at 272 Hz</x:v>
      </x:c>
      <x:c r="C139" t="n">
        <x:v>1.15</x:v>
      </x:c>
      <x:c r="D139" t="n">
        <x:v>2</x:v>
      </x:c>
      <x:c r="E139" t="str">
        <x:v>PASS</x:v>
      </x:c>
      <x:c r="F139" t="str">
        <x:v>Z</x:v>
      </x:c>
      <x:c r="G139" s="54" t="n">
        <x:v>271.93898</x:v>
      </x:c>
      <x:c r="H139" s="54" t="n">
        <x:v>0.28041</x:v>
      </x:c>
      <x:c r="I139" s="56" t="n">
        <x:v>23.41</x:v>
      </x:c>
      <x:c r="J139" t="str">
        <x:v>VALID</x:v>
      </x:c>
      <x:c r="K139" s="54" t="n">
        <x:v>-0.061019999999984975</x:v>
      </x:c>
      <x:c r="L139" t="n">
        <x:v>1098</x:v>
      </x:c>
    </x:row>
    <x:row r="140">
      <x:c r="A140" t="str">
        <x:v>S14</x:v>
      </x:c>
      <x:c r="B140" t="str">
        <x:v>1.15 validation at 272 Hz</x:v>
      </x:c>
      <x:c r="C140" t="n">
        <x:v>1.15</x:v>
      </x:c>
      <x:c r="D140" t="n">
        <x:v>3</x:v>
      </x:c>
      <x:c r="E140" t="str">
        <x:v>PASS</x:v>
      </x:c>
      <x:c r="F140" t="str">
        <x:v>X</x:v>
      </x:c>
      <x:c r="G140" s="54" t="n">
        <x:v>271.93264</x:v>
      </x:c>
      <x:c r="H140" s="54" t="n">
        <x:v>1.15414</x:v>
      </x:c>
      <x:c r="I140" s="56" t="n">
        <x:v>32.33</x:v>
      </x:c>
      <x:c r="J140" t="str">
        <x:v>VALID</x:v>
      </x:c>
      <x:c r="K140" s="54" t="n">
        <x:v>-0.06736000000000786</x:v>
      </x:c>
      <x:c r="L140" t="n">
        <x:v>1180</x:v>
      </x:c>
    </x:row>
    <x:row r="141">
      <x:c r="A141" t="str">
        <x:v>S14</x:v>
      </x:c>
      <x:c r="B141" t="str">
        <x:v>1.15 validation at 272 Hz</x:v>
      </x:c>
      <x:c r="C141" t="n">
        <x:v>1.15</x:v>
      </x:c>
      <x:c r="D141" t="n">
        <x:v>3</x:v>
      </x:c>
      <x:c r="E141" t="str">
        <x:v>PASS</x:v>
      </x:c>
      <x:c r="F141" t="str">
        <x:v>Y</x:v>
      </x:c>
      <x:c r="G141" s="54" t="n">
        <x:v>271.89134</x:v>
      </x:c>
      <x:c r="H141" s="54" t="n">
        <x:v>0.57549</x:v>
      </x:c>
      <x:c r="I141" s="56" t="n">
        <x:v>25.27</x:v>
      </x:c>
      <x:c r="J141" t="str">
        <x:v>VALID</x:v>
      </x:c>
      <x:c r="K141" s="54" t="n">
        <x:v>-0.10865999999998621</x:v>
      </x:c>
      <x:c r="L141" t="n">
        <x:v>1181</x:v>
      </x:c>
    </x:row>
    <x:row r="142">
      <x:c r="A142" t="str">
        <x:v>S14</x:v>
      </x:c>
      <x:c r="B142" t="str">
        <x:v>1.15 validation at 272 Hz</x:v>
      </x:c>
      <x:c r="C142" t="n">
        <x:v>1.15</x:v>
      </x:c>
      <x:c r="D142" t="n">
        <x:v>3</x:v>
      </x:c>
      <x:c r="E142" t="str">
        <x:v>PASS</x:v>
      </x:c>
      <x:c r="F142" t="str">
        <x:v>Z</x:v>
      </x:c>
      <x:c r="G142" s="54" t="n">
        <x:v>271.97449</x:v>
      </x:c>
      <x:c r="H142" s="54" t="n">
        <x:v>0.26679</x:v>
      </x:c>
      <x:c r="I142" s="56" t="n">
        <x:v>22.95</x:v>
      </x:c>
      <x:c r="J142" t="str">
        <x:v>VALID</x:v>
      </x:c>
      <x:c r="K142" s="54" t="n">
        <x:v>-0.025509999999997035</x:v>
      </x:c>
      <x:c r="L142" t="n">
        <x:v>1182</x:v>
      </x:c>
    </x:row>
    <x:row r="143">
      <x:c r="A143" t="str">
        <x:v>S14</x:v>
      </x:c>
      <x:c r="B143" t="str">
        <x:v>1.15 validation at 272 Hz</x:v>
      </x:c>
      <x:c r="C143" t="n">
        <x:v>1.15</x:v>
      </x:c>
      <x:c r="D143" t="n">
        <x:v>4</x:v>
      </x:c>
      <x:c r="E143" t="str">
        <x:v>PASS</x:v>
      </x:c>
      <x:c r="F143" t="str">
        <x:v>X</x:v>
      </x:c>
      <x:c r="G143" s="54" t="n">
        <x:v>271.97046</x:v>
      </x:c>
      <x:c r="H143" s="54" t="n">
        <x:v>1.13802</x:v>
      </x:c>
      <x:c r="I143" s="56" t="n">
        <x:v>32.44</x:v>
      </x:c>
      <x:c r="J143" t="str">
        <x:v>VALID</x:v>
      </x:c>
      <x:c r="K143" s="54" t="n">
        <x:v>-0.029539999999997235</x:v>
      </x:c>
      <x:c r="L143" t="n">
        <x:v>1263</x:v>
      </x:c>
    </x:row>
    <x:row r="144">
      <x:c r="A144" t="str">
        <x:v>S14</x:v>
      </x:c>
      <x:c r="B144" t="str">
        <x:v>1.15 validation at 272 Hz</x:v>
      </x:c>
      <x:c r="C144" t="n">
        <x:v>1.15</x:v>
      </x:c>
      <x:c r="D144" t="n">
        <x:v>4</x:v>
      </x:c>
      <x:c r="E144" t="str">
        <x:v>PASS</x:v>
      </x:c>
      <x:c r="F144" t="str">
        <x:v>Y</x:v>
      </x:c>
      <x:c r="G144" s="54" t="n">
        <x:v>271.95703</x:v>
      </x:c>
      <x:c r="H144" s="54" t="n">
        <x:v>0.57435</x:v>
      </x:c>
      <x:c r="I144" s="56" t="n">
        <x:v>25.27</x:v>
      </x:c>
      <x:c r="J144" t="str">
        <x:v>VALID</x:v>
      </x:c>
      <x:c r="K144" s="54" t="n">
        <x:v>-0.042970000000025266</x:v>
      </x:c>
      <x:c r="L144" t="n">
        <x:v>1264</x:v>
      </x:c>
    </x:row>
    <x:row r="145">
      <x:c r="A145" t="str">
        <x:v>S14</x:v>
      </x:c>
      <x:c r="B145" t="str">
        <x:v>1.15 validation at 272 Hz</x:v>
      </x:c>
      <x:c r="C145" t="n">
        <x:v>1.15</x:v>
      </x:c>
      <x:c r="D145" t="n">
        <x:v>4</x:v>
      </x:c>
      <x:c r="E145" t="str">
        <x:v>PASS</x:v>
      </x:c>
      <x:c r="F145" t="str">
        <x:v>Z</x:v>
      </x:c>
      <x:c r="G145" s="54" t="n">
        <x:v>271.97499</x:v>
      </x:c>
      <x:c r="H145" s="54" t="n">
        <x:v>0.24168</x:v>
      </x:c>
      <x:c r="I145" s="56" t="n">
        <x:v>22.56</x:v>
      </x:c>
      <x:c r="J145" t="str">
        <x:v>VALID</x:v>
      </x:c>
      <x:c r="K145" s="54" t="n">
        <x:v>-0.02501000000000886</x:v>
      </x:c>
      <x:c r="L145" t="n">
        <x:v>1265</x:v>
      </x:c>
    </x:row>
    <x:row r="146">
      <x:c r="A146" t="str">
        <x:v>S14</x:v>
      </x:c>
      <x:c r="B146" t="str">
        <x:v>1.15 validation at 272 Hz</x:v>
      </x:c>
      <x:c r="C146" t="n">
        <x:v>1.15</x:v>
      </x:c>
      <x:c r="D146" t="n">
        <x:v>5</x:v>
      </x:c>
      <x:c r="E146" t="str">
        <x:v>PASS</x:v>
      </x:c>
      <x:c r="F146" t="str">
        <x:v>X</x:v>
      </x:c>
      <x:c r="G146" s="54" t="n">
        <x:v>271.96016</x:v>
      </x:c>
      <x:c r="H146" s="54" t="n">
        <x:v>1.13999</x:v>
      </x:c>
      <x:c r="I146" s="56" t="n">
        <x:v>32.73</x:v>
      </x:c>
      <x:c r="J146" t="str">
        <x:v>VALID</x:v>
      </x:c>
      <x:c r="K146" s="54" t="n">
        <x:v>-0.03984000000002652</x:v>
      </x:c>
      <x:c r="L146" t="n">
        <x:v>1348</x:v>
      </x:c>
    </x:row>
    <x:row r="147">
      <x:c r="A147" t="str">
        <x:v>S14</x:v>
      </x:c>
      <x:c r="B147" t="str">
        <x:v>1.15 validation at 272 Hz</x:v>
      </x:c>
      <x:c r="C147" t="n">
        <x:v>1.15</x:v>
      </x:c>
      <x:c r="D147" t="n">
        <x:v>5</x:v>
      </x:c>
      <x:c r="E147" t="str">
        <x:v>PASS</x:v>
      </x:c>
      <x:c r="F147" t="str">
        <x:v>Y</x:v>
      </x:c>
      <x:c r="G147" s="54" t="n">
        <x:v>271.96708</x:v>
      </x:c>
      <x:c r="H147" s="54" t="n">
        <x:v>0.59039</x:v>
      </x:c>
      <x:c r="I147" s="56" t="n">
        <x:v>25.43</x:v>
      </x:c>
      <x:c r="J147" t="str">
        <x:v>VALID</x:v>
      </x:c>
      <x:c r="K147" s="54" t="n">
        <x:v>-0.03291999999999007</x:v>
      </x:c>
      <x:c r="L147" t="n">
        <x:v>1349</x:v>
      </x:c>
    </x:row>
    <x:row r="148">
      <x:c r="A148" t="str">
        <x:v>S14</x:v>
      </x:c>
      <x:c r="B148" t="str">
        <x:v>1.15 validation at 272 Hz</x:v>
      </x:c>
      <x:c r="C148" t="n">
        <x:v>1.15</x:v>
      </x:c>
      <x:c r="D148" t="n">
        <x:v>5</x:v>
      </x:c>
      <x:c r="E148" t="str">
        <x:v>PASS</x:v>
      </x:c>
      <x:c r="F148" t="str">
        <x:v>Z</x:v>
      </x:c>
      <x:c r="G148" s="54" t="n">
        <x:v>272.01874</x:v>
      </x:c>
      <x:c r="H148" s="54" t="n">
        <x:v>0.23696</x:v>
      </x:c>
      <x:c r="I148" s="56" t="n">
        <x:v>22.12</x:v>
      </x:c>
      <x:c r="J148" t="str">
        <x:v>VALID</x:v>
      </x:c>
      <x:c r="K148" s="54" t="n">
        <x:v>0.018739999999979773</x:v>
      </x:c>
      <x:c r="L148" t="n">
        <x:v>1350</x:v>
      </x:c>
    </x:row>
    <x:row r="149">
      <x:c r="A149" t="str">
        <x:v>S15</x:v>
      </x:c>
      <x:c r="B149" t="str">
        <x:v>0.60 validation at 268.9 Hz</x:v>
      </x:c>
      <x:c r="C149" t="n">
        <x:v>0.6</x:v>
      </x:c>
      <x:c r="D149" t="n">
        <x:v>1</x:v>
      </x:c>
      <x:c r="E149" t="str">
        <x:v>PASS</x:v>
      </x:c>
      <x:c r="F149" t="str">
        <x:v>X</x:v>
      </x:c>
      <x:c r="G149" s="54" t="n">
        <x:v>268.86485</x:v>
      </x:c>
      <x:c r="H149" s="54" t="n">
        <x:v>0.64408</x:v>
      </x:c>
      <x:c r="I149" s="56" t="n">
        <x:v>29.59</x:v>
      </x:c>
      <x:c r="J149" t="str">
        <x:v>VALID</x:v>
      </x:c>
      <x:c r="K149" s="54" t="n">
        <x:v>-0.035140000000012606</x:v>
      </x:c>
      <x:c r="L149" t="n">
        <x:v>1466</x:v>
      </x:c>
    </x:row>
    <x:row r="150">
      <x:c r="A150" t="str">
        <x:v>S15</x:v>
      </x:c>
      <x:c r="B150" t="str">
        <x:v>0.60 validation at 268.9 Hz</x:v>
      </x:c>
      <x:c r="C150" t="n">
        <x:v>0.6</x:v>
      </x:c>
      <x:c r="D150" t="n">
        <x:v>1</x:v>
      </x:c>
      <x:c r="E150" t="str">
        <x:v>PASS</x:v>
      </x:c>
      <x:c r="F150" t="str">
        <x:v>Y</x:v>
      </x:c>
      <x:c r="G150" s="54" t="n">
        <x:v>268.85105</x:v>
      </x:c>
      <x:c r="H150" s="54" t="n">
        <x:v>0.34149</x:v>
      </x:c>
      <x:c r="I150" s="56" t="n">
        <x:v>21.12</x:v>
      </x:c>
      <x:c r="J150" t="str">
        <x:v>VALID</x:v>
      </x:c>
      <x:c r="K150" s="54" t="n">
        <x:v>-0.04894000000001597</x:v>
      </x:c>
      <x:c r="L150" t="n">
        <x:v>1467</x:v>
      </x:c>
    </x:row>
    <x:row r="151">
      <x:c r="A151" t="str">
        <x:v>S15</x:v>
      </x:c>
      <x:c r="B151" t="str">
        <x:v>0.60 validation at 268.9 Hz</x:v>
      </x:c>
      <x:c r="C151" t="n">
        <x:v>0.6</x:v>
      </x:c>
      <x:c r="D151" t="n">
        <x:v>1</x:v>
      </x:c>
      <x:c r="E151" t="str">
        <x:v>PASS</x:v>
      </x:c>
      <x:c r="F151" t="str">
        <x:v>Z</x:v>
      </x:c>
      <x:c r="G151" s="54" t="n">
        <x:v>268.85871</x:v>
      </x:c>
      <x:c r="H151" s="54" t="n">
        <x:v>0.16158</x:v>
      </x:c>
      <x:c r="I151" s="56" t="n">
        <x:v>19.59</x:v>
      </x:c>
      <x:c r="J151" t="str">
        <x:v>VALID</x:v>
      </x:c>
      <x:c r="K151" s="54" t="n">
        <x:v>-0.04128000000002885</x:v>
      </x:c>
      <x:c r="L151" t="n">
        <x:v>1468</x:v>
      </x:c>
    </x:row>
    <x:row r="152">
      <x:c r="A152" t="str">
        <x:v>S15</x:v>
      </x:c>
      <x:c r="B152" t="str">
        <x:v>0.60 validation at 268.9 Hz</x:v>
      </x:c>
      <x:c r="C152" t="n">
        <x:v>0.6</x:v>
      </x:c>
      <x:c r="D152" t="n">
        <x:v>1</x:v>
      </x:c>
      <x:c r="E152" t="str">
        <x:v>PASS</x:v>
      </x:c>
      <x:c r="F152" t="str">
        <x:v>X</x:v>
      </x:c>
      <x:c r="G152" s="54" t="n">
        <x:v>268.8548</x:v>
      </x:c>
      <x:c r="H152" s="54" t="n">
        <x:v>0.62962</x:v>
      </x:c>
      <x:c r="I152" s="56" t="n">
        <x:v>29.46</x:v>
      </x:c>
      <x:c r="J152" t="str">
        <x:v>VALID</x:v>
      </x:c>
      <x:c r="K152" s="54" t="n">
        <x:v>-0.04518999999999096</x:v>
      </x:c>
      <x:c r="L152" t="n">
        <x:v>1530</x:v>
      </x:c>
    </x:row>
    <x:row r="153">
      <x:c r="A153" t="str">
        <x:v>S15</x:v>
      </x:c>
      <x:c r="B153" t="str">
        <x:v>0.60 validation at 268.9 Hz</x:v>
      </x:c>
      <x:c r="C153" t="n">
        <x:v>0.6</x:v>
      </x:c>
      <x:c r="D153" t="n">
        <x:v>1</x:v>
      </x:c>
      <x:c r="E153" t="str">
        <x:v>PASS</x:v>
      </x:c>
      <x:c r="F153" t="str">
        <x:v>Y</x:v>
      </x:c>
      <x:c r="G153" s="54" t="n">
        <x:v>268.85192</x:v>
      </x:c>
      <x:c r="H153" s="54" t="n">
        <x:v>0.33342</x:v>
      </x:c>
      <x:c r="I153" s="56" t="n">
        <x:v>21.03</x:v>
      </x:c>
      <x:c r="J153" t="str">
        <x:v>VALID</x:v>
      </x:c>
      <x:c r="K153" s="54" t="n">
        <x:v>-0.048069999999995616</x:v>
      </x:c>
      <x:c r="L153" t="n">
        <x:v>1531</x:v>
      </x:c>
    </x:row>
    <x:row r="154">
      <x:c r="A154" t="str">
        <x:v>S15</x:v>
      </x:c>
      <x:c r="B154" t="str">
        <x:v>0.60 validation at 268.9 Hz</x:v>
      </x:c>
      <x:c r="C154" t="n">
        <x:v>0.6</x:v>
      </x:c>
      <x:c r="D154" t="n">
        <x:v>1</x:v>
      </x:c>
      <x:c r="E154" t="str">
        <x:v>PASS</x:v>
      </x:c>
      <x:c r="F154" t="str">
        <x:v>Z</x:v>
      </x:c>
      <x:c r="G154" s="54" t="n">
        <x:v>268.87342</x:v>
      </x:c>
      <x:c r="H154" s="54" t="n">
        <x:v>0.15557</x:v>
      </x:c>
      <x:c r="I154" s="56" t="n">
        <x:v>18.96</x:v>
      </x:c>
      <x:c r="J154" t="str">
        <x:v>VALID</x:v>
      </x:c>
      <x:c r="K154" s="54" t="n">
        <x:v>-0.026569999999992433</x:v>
      </x:c>
      <x:c r="L154" t="n">
        <x:v>1532</x:v>
      </x:c>
    </x:row>
    <x:row r="155">
      <x:c r="A155" t="str">
        <x:v>S15</x:v>
      </x:c>
      <x:c r="B155" t="str">
        <x:v>0.60 validation at 268.9 Hz</x:v>
      </x:c>
      <x:c r="C155" t="n">
        <x:v>0.6</x:v>
      </x:c>
      <x:c r="D155" t="n">
        <x:v>2</x:v>
      </x:c>
      <x:c r="E155" t="str">
        <x:v>PASS</x:v>
      </x:c>
      <x:c r="F155" t="str">
        <x:v>X</x:v>
      </x:c>
      <x:c r="G155" s="54" t="n">
        <x:v>268.86735</x:v>
      </x:c>
      <x:c r="H155" s="54" t="n">
        <x:v>0.61891</x:v>
      </x:c>
      <x:c r="I155" s="56" t="n">
        <x:v>29.57</x:v>
      </x:c>
      <x:c r="J155" t="str">
        <x:v>VALID</x:v>
      </x:c>
      <x:c r="K155" s="54" t="n">
        <x:v>-0.03264000000001488</x:v>
      </x:c>
      <x:c r="L155" t="n">
        <x:v>1608</x:v>
      </x:c>
    </x:row>
    <x:row r="156">
      <x:c r="A156" t="str">
        <x:v>S15</x:v>
      </x:c>
      <x:c r="B156" t="str">
        <x:v>0.60 validation at 268.9 Hz</x:v>
      </x:c>
      <x:c r="C156" t="n">
        <x:v>0.6</x:v>
      </x:c>
      <x:c r="D156" t="n">
        <x:v>2</x:v>
      </x:c>
      <x:c r="E156" t="str">
        <x:v>PASS</x:v>
      </x:c>
      <x:c r="F156" t="str">
        <x:v>Y</x:v>
      </x:c>
      <x:c r="G156" s="54" t="n">
        <x:v>268.84658</x:v>
      </x:c>
      <x:c r="H156" s="54" t="n">
        <x:v>0.33371</x:v>
      </x:c>
      <x:c r="I156" s="56" t="n">
        <x:v>20.95</x:v>
      </x:c>
      <x:c r="J156" t="str">
        <x:v>VALID</x:v>
      </x:c>
      <x:c r="K156" s="54" t="n">
        <x:v>-0.0534099999999853</x:v>
      </x:c>
      <x:c r="L156" t="n">
        <x:v>1609</x:v>
      </x:c>
    </x:row>
    <x:row r="157">
      <x:c r="A157" t="str">
        <x:v>S15</x:v>
      </x:c>
      <x:c r="B157" t="str">
        <x:v>0.60 validation at 268.9 Hz</x:v>
      </x:c>
      <x:c r="C157" t="n">
        <x:v>0.6</x:v>
      </x:c>
      <x:c r="D157" t="n">
        <x:v>2</x:v>
      </x:c>
      <x:c r="E157" t="str">
        <x:v>PASS</x:v>
      </x:c>
      <x:c r="F157" t="str">
        <x:v>Z</x:v>
      </x:c>
      <x:c r="G157" s="54" t="n">
        <x:v>268.87107</x:v>
      </x:c>
      <x:c r="H157" s="54" t="n">
        <x:v>0.14773</x:v>
      </x:c>
      <x:c r="I157" s="56" t="n">
        <x:v>18.68</x:v>
      </x:c>
      <x:c r="J157" t="str">
        <x:v>VALID</x:v>
      </x:c>
      <x:c r="K157" s="54" t="n">
        <x:v>-0.028920000000027812</x:v>
      </x:c>
      <x:c r="L157" t="n">
        <x:v>1610</x:v>
      </x:c>
    </x:row>
    <x:row r="158">
      <x:c r="A158" t="str">
        <x:v>S15</x:v>
      </x:c>
      <x:c r="B158" t="str">
        <x:v>0.60 validation at 268.9 Hz</x:v>
      </x:c>
      <x:c r="C158" t="n">
        <x:v>0.6</x:v>
      </x:c>
      <x:c r="D158" t="n">
        <x:v>3</x:v>
      </x:c>
      <x:c r="E158" t="str">
        <x:v>PASS</x:v>
      </x:c>
      <x:c r="F158" t="str">
        <x:v>X</x:v>
      </x:c>
      <x:c r="G158" s="54" t="n">
        <x:v>268.85957</x:v>
      </x:c>
      <x:c r="H158" s="54" t="n">
        <x:v>0.61591</x:v>
      </x:c>
      <x:c r="I158" s="56" t="n">
        <x:v>29.15</x:v>
      </x:c>
      <x:c r="J158" t="str">
        <x:v>VALID</x:v>
      </x:c>
      <x:c r="K158" s="54" t="n">
        <x:v>-0.04041999999998325</x:v>
      </x:c>
      <x:c r="L158" t="n">
        <x:v>1686</x:v>
      </x:c>
    </x:row>
    <x:row r="159">
      <x:c r="A159" t="str">
        <x:v>S15</x:v>
      </x:c>
      <x:c r="B159" t="str">
        <x:v>0.60 validation at 268.9 Hz</x:v>
      </x:c>
      <x:c r="C159" t="n">
        <x:v>0.6</x:v>
      </x:c>
      <x:c r="D159" t="n">
        <x:v>3</x:v>
      </x:c>
      <x:c r="E159" t="str">
        <x:v>PASS</x:v>
      </x:c>
      <x:c r="F159" t="str">
        <x:v>Y</x:v>
      </x:c>
      <x:c r="G159" s="54" t="n">
        <x:v>268.84602</x:v>
      </x:c>
      <x:c r="H159" s="54" t="n">
        <x:v>0.33416</x:v>
      </x:c>
      <x:c r="I159" s="56" t="n">
        <x:v>20.94</x:v>
      </x:c>
      <x:c r="J159" t="str">
        <x:v>VALID</x:v>
      </x:c>
      <x:c r="K159" s="54" t="n">
        <x:v>-0.053969999999992524</x:v>
      </x:c>
      <x:c r="L159" t="n">
        <x:v>1687</x:v>
      </x:c>
    </x:row>
    <x:row r="160">
      <x:c r="A160" t="str">
        <x:v>S15</x:v>
      </x:c>
      <x:c r="B160" t="str">
        <x:v>0.60 validation at 268.9 Hz</x:v>
      </x:c>
      <x:c r="C160" t="n">
        <x:v>0.6</x:v>
      </x:c>
      <x:c r="D160" t="n">
        <x:v>3</x:v>
      </x:c>
      <x:c r="E160" t="str">
        <x:v>PASS</x:v>
      </x:c>
      <x:c r="F160" t="str">
        <x:v>Z</x:v>
      </x:c>
      <x:c r="G160" s="54" t="n">
        <x:v>268.87279</x:v>
      </x:c>
      <x:c r="H160" s="54" t="n">
        <x:v>0.15934</x:v>
      </x:c>
      <x:c r="I160" s="56" t="n">
        <x:v>18.62</x:v>
      </x:c>
      <x:c r="J160" t="str">
        <x:v>VALID</x:v>
      </x:c>
      <x:c r="K160" s="54" t="n">
        <x:v>-0.02719999999999345</x:v>
      </x:c>
      <x:c r="L160" t="n">
        <x:v>1688</x:v>
      </x:c>
    </x:row>
    <x:row r="161">
      <x:c r="A161" t="str">
        <x:v>S15</x:v>
      </x:c>
      <x:c r="B161" t="str">
        <x:v>0.60 validation at 268.9 Hz</x:v>
      </x:c>
      <x:c r="C161" t="n">
        <x:v>0.6</x:v>
      </x:c>
      <x:c r="D161" t="n">
        <x:v>4</x:v>
      </x:c>
      <x:c r="E161" t="str">
        <x:v>PASS</x:v>
      </x:c>
      <x:c r="F161" t="str">
        <x:v>X</x:v>
      </x:c>
      <x:c r="G161" s="54" t="n">
        <x:v>268.85783</x:v>
      </x:c>
      <x:c r="H161" s="54" t="n">
        <x:v>0.5967</x:v>
      </x:c>
      <x:c r="I161" s="56" t="n">
        <x:v>28.53</x:v>
      </x:c>
      <x:c r="J161" t="str">
        <x:v>VALID</x:v>
      </x:c>
      <x:c r="K161" s="54" t="n">
        <x:v>-0.042160000000023956</x:v>
      </x:c>
      <x:c r="L161" t="n">
        <x:v>1765</x:v>
      </x:c>
    </x:row>
    <x:row r="162">
      <x:c r="A162" t="str">
        <x:v>S15</x:v>
      </x:c>
      <x:c r="B162" t="str">
        <x:v>0.60 validation at 268.9 Hz</x:v>
      </x:c>
      <x:c r="C162" t="n">
        <x:v>0.6</x:v>
      </x:c>
      <x:c r="D162" t="n">
        <x:v>4</x:v>
      </x:c>
      <x:c r="E162" t="str">
        <x:v>PASS</x:v>
      </x:c>
      <x:c r="F162" t="str">
        <x:v>Y</x:v>
      </x:c>
      <x:c r="G162" s="54" t="n">
        <x:v>268.86078</x:v>
      </x:c>
      <x:c r="H162" s="54" t="n">
        <x:v>0.3133</x:v>
      </x:c>
      <x:c r="I162" s="56" t="n">
        <x:v>20.51</x:v>
      </x:c>
      <x:c r="J162" t="str">
        <x:v>VALID</x:v>
      </x:c>
      <x:c r="K162" s="54" t="n">
        <x:v>-0.0392100000000255</x:v>
      </x:c>
      <x:c r="L162" t="n">
        <x:v>1766</x:v>
      </x:c>
    </x:row>
    <x:row r="163">
      <x:c r="A163" t="str">
        <x:v>S15</x:v>
      </x:c>
      <x:c r="B163" t="str">
        <x:v>0.60 validation at 268.9 Hz</x:v>
      </x:c>
      <x:c r="C163" t="n">
        <x:v>0.6</x:v>
      </x:c>
      <x:c r="D163" t="n">
        <x:v>4</x:v>
      </x:c>
      <x:c r="E163" t="str">
        <x:v>PASS</x:v>
      </x:c>
      <x:c r="F163" t="str">
        <x:v>Z</x:v>
      </x:c>
      <x:c r="G163" s="54" t="n">
        <x:v>268.89341</x:v>
      </x:c>
      <x:c r="H163" s="54" t="n">
        <x:v>0.13949</x:v>
      </x:c>
      <x:c r="I163" s="56" t="n">
        <x:v>17.66</x:v>
      </x:c>
      <x:c r="J163" t="str">
        <x:v>VALID</x:v>
      </x:c>
      <x:c r="K163" s="54" t="n">
        <x:v>-0.006579999999985375</x:v>
      </x:c>
      <x:c r="L163" t="n">
        <x:v>1767</x:v>
      </x:c>
    </x:row>
    <x:row r="164">
      <x:c r="A164" t="str">
        <x:v>S15</x:v>
      </x:c>
      <x:c r="B164" t="str">
        <x:v>0.60 validation at 268.9 Hz</x:v>
      </x:c>
      <x:c r="C164" t="n">
        <x:v>0.6</x:v>
      </x:c>
      <x:c r="D164" t="n">
        <x:v>5</x:v>
      </x:c>
      <x:c r="E164" t="str">
        <x:v>PASS</x:v>
      </x:c>
      <x:c r="F164" t="str">
        <x:v>X</x:v>
      </x:c>
      <x:c r="G164" s="54" t="n">
        <x:v>268.85108</x:v>
      </x:c>
      <x:c r="H164" s="54" t="n">
        <x:v>0.61065</x:v>
      </x:c>
      <x:c r="I164" s="56" t="n">
        <x:v>29.57</x:v>
      </x:c>
      <x:c r="J164" t="str">
        <x:v>VALID</x:v>
      </x:c>
      <x:c r="K164" s="54" t="n">
        <x:v>-0.04890999999997803</x:v>
      </x:c>
      <x:c r="L164" t="n">
        <x:v>1845</x:v>
      </x:c>
    </x:row>
    <x:row r="165">
      <x:c r="A165" t="str">
        <x:v>S15</x:v>
      </x:c>
      <x:c r="B165" t="str">
        <x:v>0.60 validation at 268.9 Hz</x:v>
      </x:c>
      <x:c r="C165" t="n">
        <x:v>0.6</x:v>
      </x:c>
      <x:c r="D165" t="n">
        <x:v>5</x:v>
      </x:c>
      <x:c r="E165" t="str">
        <x:v>PASS</x:v>
      </x:c>
      <x:c r="F165" t="str">
        <x:v>Y</x:v>
      </x:c>
      <x:c r="G165" s="54" t="n">
        <x:v>268.87838</x:v>
      </x:c>
      <x:c r="H165" s="54" t="n">
        <x:v>0.3168</x:v>
      </x:c>
      <x:c r="I165" s="56" t="n">
        <x:v>20.57</x:v>
      </x:c>
      <x:c r="J165" t="str">
        <x:v>VALID</x:v>
      </x:c>
      <x:c r="K165" s="54" t="n">
        <x:v>-0.021610000000009677</x:v>
      </x:c>
      <x:c r="L165" t="n">
        <x:v>1846</x:v>
      </x:c>
    </x:row>
    <x:row r="166">
      <x:c r="A166" t="str">
        <x:v>S15</x:v>
      </x:c>
      <x:c r="B166" t="str">
        <x:v>0.60 validation at 268.9 Hz</x:v>
      </x:c>
      <x:c r="C166" t="n">
        <x:v>0.6</x:v>
      </x:c>
      <x:c r="D166" t="n">
        <x:v>5</x:v>
      </x:c>
      <x:c r="E166" t="str">
        <x:v>PASS</x:v>
      </x:c>
      <x:c r="F166" t="str">
        <x:v>Z</x:v>
      </x:c>
      <x:c r="G166" s="54" t="n">
        <x:v>268.88255</x:v>
      </x:c>
      <x:c r="H166" s="54" t="n">
        <x:v>0.14168</x:v>
      </x:c>
      <x:c r="I166" s="56" t="n">
        <x:v>18.33</x:v>
      </x:c>
      <x:c r="J166" t="str">
        <x:v>VALID</x:v>
      </x:c>
      <x:c r="K166" s="54" t="n">
        <x:v>-0.017440000000021882</x:v>
      </x:c>
      <x:c r="L166" t="n">
        <x:v>1847</x:v>
      </x:c>
    </x:row>
    <x:row r="167">
      <x:c r="A167" t="str">
        <x:v>S17</x:v>
      </x:c>
      <x:c r="B167" t="str">
        <x:v>0.75 validation at 268.8 Hz — high-gain/quantization limitation</x:v>
      </x:c>
      <x:c r="C167" t="n">
        <x:v>0.75</x:v>
      </x:c>
      <x:c r="D167" t="n">
        <x:v>2</x:v>
      </x:c>
      <x:c r="E167" t="str">
        <x:v>PASS</x:v>
      </x:c>
      <x:c r="F167" t="str">
        <x:v>X</x:v>
      </x:c>
      <x:c r="G167" s="54" t="n">
        <x:v>268.78611</x:v>
      </x:c>
      <x:c r="H167" s="54" t="n">
        <x:v>0.7574</x:v>
      </x:c>
      <x:c r="I167" s="56" t="n">
        <x:v>25.22</x:v>
      </x:c>
      <x:c r="J167" t="str">
        <x:v>VALID</x:v>
      </x:c>
      <x:c r="K167" s="54" t="n">
        <x:v>-0.013879999999971915</x:v>
      </x:c>
      <x:c r="L167" t="n">
        <x:v>2136</x:v>
      </x:c>
    </x:row>
    <x:row r="168">
      <x:c r="A168" t="str">
        <x:v>S17</x:v>
      </x:c>
      <x:c r="B168" t="str">
        <x:v>0.75 validation at 268.8 Hz — high-gain/quantization limitation</x:v>
      </x:c>
      <x:c r="C168" t="n">
        <x:v>0.75</x:v>
      </x:c>
      <x:c r="D168" t="n">
        <x:v>2</x:v>
      </x:c>
      <x:c r="E168" t="str">
        <x:v>PASS</x:v>
      </x:c>
      <x:c r="F168" t="str">
        <x:v>Y</x:v>
      </x:c>
      <x:c r="G168" s="54" t="n">
        <x:v>477.28248</x:v>
      </x:c>
      <x:c r="H168" s="54" t="n">
        <x:v>0.37292</x:v>
      </x:c>
      <x:c r="I168" s="56" t="n">
        <x:v>16.52</x:v>
      </x:c>
      <x:c r="J168" t="str">
        <x:v>VALID</x:v>
      </x:c>
      <x:c r="K168" s="54" t="n">
        <x:v>208.48249000000004</x:v>
      </x:c>
      <x:c r="L168" t="n">
        <x:v>2137</x:v>
      </x:c>
    </x:row>
    <x:row r="169">
      <x:c r="A169" t="str">
        <x:v>S17</x:v>
      </x:c>
      <x:c r="B169" t="str">
        <x:v>0.75 validation at 268.8 Hz — high-gain/quantization limitation</x:v>
      </x:c>
      <x:c r="C169" t="n">
        <x:v>0.75</x:v>
      </x:c>
      <x:c r="D169" t="n">
        <x:v>2</x:v>
      </x:c>
      <x:c r="E169" t="str">
        <x:v>PASS</x:v>
      </x:c>
      <x:c r="F169" t="str">
        <x:v>Z</x:v>
      </x:c>
      <x:c r="G169" s="54" t="n">
        <x:v>268.75706</x:v>
      </x:c>
      <x:c r="H169" s="54" t="n">
        <x:v>0.17924</x:v>
      </x:c>
      <x:c r="I169" s="56" t="n">
        <x:v>18.71</x:v>
      </x:c>
      <x:c r="J169" t="str">
        <x:v>VALID</x:v>
      </x:c>
      <x:c r="K169" s="54" t="n">
        <x:v>-0.042929999999955726</x:v>
      </x:c>
      <x:c r="L169" t="n">
        <x:v>2138</x:v>
      </x:c>
    </x:row>
    <x:row r="170">
      <x:c r="A170" t="str">
        <x:v>S17</x:v>
      </x:c>
      <x:c r="B170" t="str">
        <x:v>0.75 validation at 268.8 Hz — high-gain/quantization limitation</x:v>
      </x:c>
      <x:c r="C170" t="n">
        <x:v>0.75</x:v>
      </x:c>
      <x:c r="D170" t="n">
        <x:v>4</x:v>
      </x:c>
      <x:c r="E170" t="str">
        <x:v>PASS</x:v>
      </x:c>
      <x:c r="F170" t="str">
        <x:v>X</x:v>
      </x:c>
      <x:c r="G170" s="54" t="n">
        <x:v>268.78548</x:v>
      </x:c>
      <x:c r="H170" s="54" t="n">
        <x:v>0.78479</x:v>
      </x:c>
      <x:c r="I170" s="56" t="n">
        <x:v>24.76</x:v>
      </x:c>
      <x:c r="J170" t="str">
        <x:v>VALID</x:v>
      </x:c>
      <x:c r="K170" s="54" t="n">
        <x:v>-0.014509999999972933</x:v>
      </x:c>
      <x:c r="L170" t="n">
        <x:v>2273</x:v>
      </x:c>
    </x:row>
    <x:row r="171">
      <x:c r="A171" t="str">
        <x:v>S17</x:v>
      </x:c>
      <x:c r="B171" t="str">
        <x:v>0.75 validation at 268.8 Hz — high-gain/quantization limitation</x:v>
      </x:c>
      <x:c r="C171" t="n">
        <x:v>0.75</x:v>
      </x:c>
      <x:c r="D171" t="n">
        <x:v>4</x:v>
      </x:c>
      <x:c r="E171" t="str">
        <x:v>PASS</x:v>
      </x:c>
      <x:c r="F171" t="str">
        <x:v>Y</x:v>
      </x:c>
      <x:c r="G171" s="54" t="n">
        <x:v>477.23566</x:v>
      </x:c>
      <x:c r="H171" s="54" t="n">
        <x:v>0.42252</x:v>
      </x:c>
      <x:c r="I171" s="56" t="n">
        <x:v>16.45</x:v>
      </x:c>
      <x:c r="J171" t="str">
        <x:v>VALID</x:v>
      </x:c>
      <x:c r="K171" s="54" t="n">
        <x:v>208.43567000000002</x:v>
      </x:c>
      <x:c r="L171" t="n">
        <x:v>2274</x:v>
      </x:c>
    </x:row>
    <x:row r="172">
      <x:c r="A172" t="str">
        <x:v>S17</x:v>
      </x:c>
      <x:c r="B172" t="str">
        <x:v>0.75 validation at 268.8 Hz — high-gain/quantization limitation</x:v>
      </x:c>
      <x:c r="C172" t="n">
        <x:v>0.75</x:v>
      </x:c>
      <x:c r="D172" t="n">
        <x:v>4</x:v>
      </x:c>
      <x:c r="E172" t="str">
        <x:v>PASS</x:v>
      </x:c>
      <x:c r="F172" t="str">
        <x:v>Z</x:v>
      </x:c>
      <x:c r="G172" s="54" t="n">
        <x:v>268.76122</x:v>
      </x:c>
      <x:c r="H172" s="54" t="n">
        <x:v>0.18202</x:v>
      </x:c>
      <x:c r="I172" s="56" t="n">
        <x:v>18.47</x:v>
      </x:c>
      <x:c r="J172" t="str">
        <x:v>VALID</x:v>
      </x:c>
      <x:c r="K172" s="54" t="n">
        <x:v>-0.03876999999999953</x:v>
      </x:c>
      <x:c r="L172" t="n">
        <x:v>2275</x:v>
      </x:c>
    </x:row>
    <x:row r="173">
      <x:c r="A173" t="str">
        <x:v>S17</x:v>
      </x:c>
      <x:c r="B173" t="str">
        <x:v>0.75 validation at 268.8 Hz — high-gain/quantization limitation</x:v>
      </x:c>
      <x:c r="C173" t="n">
        <x:v>0.75</x:v>
      </x:c>
      <x:c r="D173" t="n">
        <x:v>5</x:v>
      </x:c>
      <x:c r="E173" t="str">
        <x:v>PASS</x:v>
      </x:c>
      <x:c r="F173" t="str">
        <x:v>X</x:v>
      </x:c>
      <x:c r="G173" s="54" t="n">
        <x:v>268.77398</x:v>
      </x:c>
      <x:c r="H173" s="54" t="n">
        <x:v>0.78925</x:v>
      </x:c>
      <x:c r="I173" s="56" t="n">
        <x:v>24.84</x:v>
      </x:c>
      <x:c r="J173" t="str">
        <x:v>VALID</x:v>
      </x:c>
      <x:c r="K173" s="54" t="n">
        <x:v>-0.02600999999998521</x:v>
      </x:c>
      <x:c r="L173" t="n">
        <x:v>2354</x:v>
      </x:c>
    </x:row>
    <x:row r="174">
      <x:c r="A174" t="str">
        <x:v>S17</x:v>
      </x:c>
      <x:c r="B174" t="str">
        <x:v>0.75 validation at 268.8 Hz — high-gain/quantization limitation</x:v>
      </x:c>
      <x:c r="C174" t="n">
        <x:v>0.75</x:v>
      </x:c>
      <x:c r="D174" t="n">
        <x:v>5</x:v>
      </x:c>
      <x:c r="E174" t="str">
        <x:v>PASS</x:v>
      </x:c>
      <x:c r="F174" t="str">
        <x:v>Y</x:v>
      </x:c>
      <x:c r="G174" s="54" t="n">
        <x:v>477.6779</x:v>
      </x:c>
      <x:c r="H174" s="54" t="n">
        <x:v>0.45086</x:v>
      </x:c>
      <x:c r="I174" s="56" t="n">
        <x:v>17.31</x:v>
      </x:c>
      <x:c r="J174" t="str">
        <x:v>VALID</x:v>
      </x:c>
      <x:c r="K174" s="54" t="n">
        <x:v>208.87791000000004</x:v>
      </x:c>
      <x:c r="L174" t="n">
        <x:v>2355</x:v>
      </x:c>
    </x:row>
    <x:row r="175">
      <x:c r="A175" t="str">
        <x:v>S17</x:v>
      </x:c>
      <x:c r="B175" t="str">
        <x:v>0.75 validation at 268.8 Hz — high-gain/quantization limitation</x:v>
      </x:c>
      <x:c r="C175" t="n">
        <x:v>0.75</x:v>
      </x:c>
      <x:c r="D175" t="n">
        <x:v>5</x:v>
      </x:c>
      <x:c r="E175" t="str">
        <x:v>PASS</x:v>
      </x:c>
      <x:c r="F175" t="str">
        <x:v>Z</x:v>
      </x:c>
      <x:c r="G175" s="54" t="n">
        <x:v>268.76306</x:v>
      </x:c>
      <x:c r="H175" s="54" t="n">
        <x:v>0.17739</x:v>
      </x:c>
      <x:c r="I175" s="56" t="n">
        <x:v>17.56</x:v>
      </x:c>
      <x:c r="J175" t="str">
        <x:v>VALID</x:v>
      </x:c>
      <x:c r="K175" s="54" t="n">
        <x:v>-0.03692999999998392</x:v>
      </x:c>
      <x:c r="L175" t="n">
        <x:v>2356</x:v>
      </x:c>
    </x:row>
    <x:row r="176">
      <x:c r="A176" t="str">
        <x:v>S18</x:v>
      </x:c>
      <x:c r="B176" t="str">
        <x:v>0.75 validated session at 268 Hz</x:v>
      </x:c>
      <x:c r="C176" t="n">
        <x:v>0.75</x:v>
      </x:c>
      <x:c r="D176" t="n">
        <x:v>1</x:v>
      </x:c>
      <x:c r="E176" t="str">
        <x:v>PASS</x:v>
      </x:c>
      <x:c r="F176" t="str">
        <x:v>X</x:v>
      </x:c>
      <x:c r="G176" s="54" t="n">
        <x:v>268.04717</x:v>
      </x:c>
      <x:c r="H176" s="54" t="n">
        <x:v>0.71332</x:v>
      </x:c>
      <x:c r="I176" s="56" t="n">
        <x:v>29.42</x:v>
      </x:c>
      <x:c r="J176" t="str">
        <x:v>VALID</x:v>
      </x:c>
      <x:c r="K176" s="54" t="n">
        <x:v>0.04716999999999416</x:v>
      </x:c>
      <x:c r="L176" t="n">
        <x:v>2501</x:v>
      </x:c>
    </x:row>
    <x:row r="177">
      <x:c r="A177" t="str">
        <x:v>S18</x:v>
      </x:c>
      <x:c r="B177" t="str">
        <x:v>0.75 validated session at 268 Hz</x:v>
      </x:c>
      <x:c r="C177" t="n">
        <x:v>0.75</x:v>
      </x:c>
      <x:c r="D177" t="n">
        <x:v>1</x:v>
      </x:c>
      <x:c r="E177" t="str">
        <x:v>PASS</x:v>
      </x:c>
      <x:c r="F177" t="str">
        <x:v>Y</x:v>
      </x:c>
      <x:c r="G177" s="54" t="n">
        <x:v>267.95004</x:v>
      </x:c>
      <x:c r="H177" s="54" t="n">
        <x:v>0.28224</x:v>
      </x:c>
      <x:c r="I177" s="56" t="n">
        <x:v>21.19</x:v>
      </x:c>
      <x:c r="J177" t="str">
        <x:v>VALID</x:v>
      </x:c>
      <x:c r="K177" s="54" t="n">
        <x:v>-0.04995999999999867</x:v>
      </x:c>
      <x:c r="L177" t="n">
        <x:v>2502</x:v>
      </x:c>
    </x:row>
    <x:row r="178">
      <x:c r="A178" t="str">
        <x:v>S18</x:v>
      </x:c>
      <x:c r="B178" t="str">
        <x:v>0.75 validated session at 268 Hz</x:v>
      </x:c>
      <x:c r="C178" t="n">
        <x:v>0.75</x:v>
      </x:c>
      <x:c r="D178" t="n">
        <x:v>1</x:v>
      </x:c>
      <x:c r="E178" t="str">
        <x:v>PASS</x:v>
      </x:c>
      <x:c r="F178" t="str">
        <x:v>Z</x:v>
      </x:c>
      <x:c r="G178" s="54" t="n">
        <x:v>268.03628</x:v>
      </x:c>
      <x:c r="H178" s="54" t="n">
        <x:v>0.21458</x:v>
      </x:c>
      <x:c r="I178" s="56" t="n">
        <x:v>21.77</x:v>
      </x:c>
      <x:c r="J178" t="str">
        <x:v>VALID</x:v>
      </x:c>
      <x:c r="K178" s="54" t="n">
        <x:v>0.03627999999997655</x:v>
      </x:c>
      <x:c r="L178" t="n">
        <x:v>2503</x:v>
      </x:c>
    </x:row>
    <x:row r="179">
      <x:c r="A179" t="str">
        <x:v>S18</x:v>
      </x:c>
      <x:c r="B179" t="str">
        <x:v>0.75 validated session at 268 Hz</x:v>
      </x:c>
      <x:c r="C179" t="n">
        <x:v>0.75</x:v>
      </x:c>
      <x:c r="D179" t="n">
        <x:v>2</x:v>
      </x:c>
      <x:c r="E179" t="str">
        <x:v>PASS</x:v>
      </x:c>
      <x:c r="F179" t="str">
        <x:v>X</x:v>
      </x:c>
      <x:c r="G179" s="54" t="n">
        <x:v>268.01184</x:v>
      </x:c>
      <x:c r="H179" s="54" t="n">
        <x:v>0.71144</x:v>
      </x:c>
      <x:c r="I179" s="56" t="n">
        <x:v>29.48</x:v>
      </x:c>
      <x:c r="J179" t="str">
        <x:v>VALID</x:v>
      </x:c>
      <x:c r="K179" s="54" t="n">
        <x:v>0.011840000000006512</x:v>
      </x:c>
      <x:c r="L179" t="n">
        <x:v>2580</x:v>
      </x:c>
    </x:row>
    <x:row r="180">
      <x:c r="A180" t="str">
        <x:v>S18</x:v>
      </x:c>
      <x:c r="B180" t="str">
        <x:v>0.75 validated session at 268 Hz</x:v>
      </x:c>
      <x:c r="C180" t="n">
        <x:v>0.75</x:v>
      </x:c>
      <x:c r="D180" t="n">
        <x:v>2</x:v>
      </x:c>
      <x:c r="E180" t="str">
        <x:v>PASS</x:v>
      </x:c>
      <x:c r="F180" t="str">
        <x:v>Y</x:v>
      </x:c>
      <x:c r="G180" s="54" t="n">
        <x:v>267.99589</x:v>
      </x:c>
      <x:c r="H180" s="54" t="n">
        <x:v>0.27797</x:v>
      </x:c>
      <x:c r="I180" s="56" t="n">
        <x:v>20.78</x:v>
      </x:c>
      <x:c r="J180" t="str">
        <x:v>VALID</x:v>
      </x:c>
      <x:c r="K180" s="54" t="n">
        <x:v>-0.004110000000025593</x:v>
      </x:c>
      <x:c r="L180" t="n">
        <x:v>2581</x:v>
      </x:c>
    </x:row>
    <x:row r="181">
      <x:c r="A181" t="str">
        <x:v>S18</x:v>
      </x:c>
      <x:c r="B181" t="str">
        <x:v>0.75 validated session at 268 Hz</x:v>
      </x:c>
      <x:c r="C181" t="n">
        <x:v>0.75</x:v>
      </x:c>
      <x:c r="D181" t="n">
        <x:v>2</x:v>
      </x:c>
      <x:c r="E181" t="str">
        <x:v>PASS</x:v>
      </x:c>
      <x:c r="F181" t="str">
        <x:v>Z</x:v>
      </x:c>
      <x:c r="G181" s="54" t="n">
        <x:v>268.07272</x:v>
      </x:c>
      <x:c r="H181" s="54" t="n">
        <x:v>0.22476</x:v>
      </x:c>
      <x:c r="I181" s="56" t="n">
        <x:v>22.06</x:v>
      </x:c>
      <x:c r="J181" t="str">
        <x:v>VALID</x:v>
      </x:c>
      <x:c r="K181" s="54" t="n">
        <x:v>0.07272000000000389</x:v>
      </x:c>
      <x:c r="L181" t="n">
        <x:v>2582</x:v>
      </x:c>
    </x:row>
    <x:row r="182">
      <x:c r="A182" t="str">
        <x:v>S18</x:v>
      </x:c>
      <x:c r="B182" t="str">
        <x:v>0.75 validated session at 268 Hz</x:v>
      </x:c>
      <x:c r="C182" t="n">
        <x:v>0.75</x:v>
      </x:c>
      <x:c r="D182" t="n">
        <x:v>3</x:v>
      </x:c>
      <x:c r="E182" t="str">
        <x:v>PASS</x:v>
      </x:c>
      <x:c r="F182" t="str">
        <x:v>X</x:v>
      </x:c>
      <x:c r="G182" s="54" t="n">
        <x:v>268.02405</x:v>
      </x:c>
      <x:c r="H182" s="54" t="n">
        <x:v>0.64236</x:v>
      </x:c>
      <x:c r="I182" s="56" t="n">
        <x:v>29.14</x:v>
      </x:c>
      <x:c r="J182" t="str">
        <x:v>VALID</x:v>
      </x:c>
      <x:c r="K182" s="54" t="n">
        <x:v>0.02404999999998836</x:v>
      </x:c>
      <x:c r="L182" t="n">
        <x:v>2691</x:v>
      </x:c>
    </x:row>
    <x:row r="183">
      <x:c r="A183" t="str">
        <x:v>S18</x:v>
      </x:c>
      <x:c r="B183" t="str">
        <x:v>0.75 validated session at 268 Hz</x:v>
      </x:c>
      <x:c r="C183" t="n">
        <x:v>0.75</x:v>
      </x:c>
      <x:c r="D183" t="n">
        <x:v>3</x:v>
      </x:c>
      <x:c r="E183" t="str">
        <x:v>PASS</x:v>
      </x:c>
      <x:c r="F183" t="str">
        <x:v>Y</x:v>
      </x:c>
      <x:c r="G183" s="54" t="n">
        <x:v>267.98789</x:v>
      </x:c>
      <x:c r="H183" s="54" t="n">
        <x:v>0.25076</x:v>
      </x:c>
      <x:c r="I183" s="56" t="n">
        <x:v>20.23</x:v>
      </x:c>
      <x:c r="J183" t="str">
        <x:v>VALID</x:v>
      </x:c>
      <x:c r="K183" s="54" t="n">
        <x:v>-0.012110000000006949</x:v>
      </x:c>
      <x:c r="L183" t="n">
        <x:v>2692</x:v>
      </x:c>
    </x:row>
    <x:row r="184">
      <x:c r="A184" t="str">
        <x:v>S18</x:v>
      </x:c>
      <x:c r="B184" t="str">
        <x:v>0.75 validated session at 268 Hz</x:v>
      </x:c>
      <x:c r="C184" t="n">
        <x:v>0.75</x:v>
      </x:c>
      <x:c r="D184" t="n">
        <x:v>3</x:v>
      </x:c>
      <x:c r="E184" t="str">
        <x:v>PASS</x:v>
      </x:c>
      <x:c r="F184" t="str">
        <x:v>Z</x:v>
      </x:c>
      <x:c r="G184" s="54" t="n">
        <x:v>267.93115</x:v>
      </x:c>
      <x:c r="H184" s="54" t="n">
        <x:v>0.21009</x:v>
      </x:c>
      <x:c r="I184" s="56" t="n">
        <x:v>21.55</x:v>
      </x:c>
      <x:c r="J184" t="str">
        <x:v>VALID</x:v>
      </x:c>
      <x:c r="K184" s="54" t="n">
        <x:v>-0.06884999999999764</x:v>
      </x:c>
      <x:c r="L184" t="n">
        <x:v>2693</x:v>
      </x:c>
    </x:row>
    <x:row r="185">
      <x:c r="A185" t="str">
        <x:v>S18</x:v>
      </x:c>
      <x:c r="B185" t="str">
        <x:v>0.75 validated session at 268 Hz</x:v>
      </x:c>
      <x:c r="C185" t="n">
        <x:v>0.75</x:v>
      </x:c>
      <x:c r="D185" t="n">
        <x:v>4</x:v>
      </x:c>
      <x:c r="E185" t="str">
        <x:v>PASS</x:v>
      </x:c>
      <x:c r="F185" t="str">
        <x:v>X</x:v>
      </x:c>
      <x:c r="G185" s="54" t="n">
        <x:v>268.04755</x:v>
      </x:c>
      <x:c r="H185" s="54" t="n">
        <x:v>0.70405</x:v>
      </x:c>
      <x:c r="I185" s="56" t="n">
        <x:v>29.63</x:v>
      </x:c>
      <x:c r="J185" t="str">
        <x:v>VALID</x:v>
      </x:c>
      <x:c r="K185" s="54" t="n">
        <x:v>0.04755000000000109</x:v>
      </x:c>
      <x:c r="L185" t="n">
        <x:v>2771</x:v>
      </x:c>
    </x:row>
    <x:row r="186">
      <x:c r="A186" t="str">
        <x:v>S18</x:v>
      </x:c>
      <x:c r="B186" t="str">
        <x:v>0.75 validated session at 268 Hz</x:v>
      </x:c>
      <x:c r="C186" t="n">
        <x:v>0.75</x:v>
      </x:c>
      <x:c r="D186" t="n">
        <x:v>4</x:v>
      </x:c>
      <x:c r="E186" t="str">
        <x:v>PASS</x:v>
      </x:c>
      <x:c r="F186" t="str">
        <x:v>Y</x:v>
      </x:c>
      <x:c r="G186" s="54" t="n">
        <x:v>267.97913</x:v>
      </x:c>
      <x:c r="H186" s="54" t="n">
        <x:v>0.26052</x:v>
      </x:c>
      <x:c r="I186" s="56" t="n">
        <x:v>20.32</x:v>
      </x:c>
      <x:c r="J186" t="str">
        <x:v>VALID</x:v>
      </x:c>
      <x:c r="K186" s="54" t="n">
        <x:v>-0.020870000000002165</x:v>
      </x:c>
      <x:c r="L186" t="n">
        <x:v>2772</x:v>
      </x:c>
    </x:row>
    <x:row r="187">
      <x:c r="A187" t="str">
        <x:v>S18</x:v>
      </x:c>
      <x:c r="B187" t="str">
        <x:v>0.75 validated session at 268 Hz</x:v>
      </x:c>
      <x:c r="C187" t="n">
        <x:v>0.75</x:v>
      </x:c>
      <x:c r="D187" t="n">
        <x:v>4</x:v>
      </x:c>
      <x:c r="E187" t="str">
        <x:v>PASS</x:v>
      </x:c>
      <x:c r="F187" t="str">
        <x:v>Z</x:v>
      </x:c>
      <x:c r="G187" s="54" t="n">
        <x:v>268.18893</x:v>
      </x:c>
      <x:c r="H187" s="54" t="n">
        <x:v>0.22247</x:v>
      </x:c>
      <x:c r="I187" s="56" t="n">
        <x:v>20.54</x:v>
      </x:c>
      <x:c r="J187" t="str">
        <x:v>VALID</x:v>
      </x:c>
      <x:c r="K187" s="54" t="n">
        <x:v>0.18893000000002758</x:v>
      </x:c>
      <x:c r="L187" t="n">
        <x:v>2773</x:v>
      </x:c>
    </x:row>
    <x:row r="188">
      <x:c r="A188" t="str">
        <x:v>S18</x:v>
      </x:c>
      <x:c r="B188" t="str">
        <x:v>0.75 validated session at 268 Hz</x:v>
      </x:c>
      <x:c r="C188" t="n">
        <x:v>0.75</x:v>
      </x:c>
      <x:c r="D188" t="n">
        <x:v>5</x:v>
      </x:c>
      <x:c r="E188" t="str">
        <x:v>PASS</x:v>
      </x:c>
      <x:c r="F188" t="str">
        <x:v>X</x:v>
      </x:c>
      <x:c r="G188" s="54" t="n">
        <x:v>268.03026</x:v>
      </x:c>
      <x:c r="H188" s="54" t="n">
        <x:v>0.70314</x:v>
      </x:c>
      <x:c r="I188" s="56" t="n">
        <x:v>29.42</x:v>
      </x:c>
      <x:c r="J188" t="str">
        <x:v>VALID</x:v>
      </x:c>
      <x:c r="K188" s="54" t="n">
        <x:v>0.0302599999999984</x:v>
      </x:c>
      <x:c r="L188" t="n">
        <x:v>2851</x:v>
      </x:c>
    </x:row>
    <x:row r="189">
      <x:c r="A189" t="str">
        <x:v>S18</x:v>
      </x:c>
      <x:c r="B189" t="str">
        <x:v>0.75 validated session at 268 Hz</x:v>
      </x:c>
      <x:c r="C189" t="n">
        <x:v>0.75</x:v>
      </x:c>
      <x:c r="D189" t="n">
        <x:v>5</x:v>
      </x:c>
      <x:c r="E189" t="str">
        <x:v>PASS</x:v>
      </x:c>
      <x:c r="F189" t="str">
        <x:v>Y</x:v>
      </x:c>
      <x:c r="G189" s="54" t="n">
        <x:v>267.99913</x:v>
      </x:c>
      <x:c r="H189" s="54" t="n">
        <x:v>0.25815</x:v>
      </x:c>
      <x:c r="I189" s="56" t="n">
        <x:v>20.3</x:v>
      </x:c>
      <x:c r="J189" t="str">
        <x:v>VALID</x:v>
      </x:c>
      <x:c r="K189" s="54" t="n">
        <x:v>-0.0008700000000203545</x:v>
      </x:c>
      <x:c r="L189" t="n">
        <x:v>2852</x:v>
      </x:c>
    </x:row>
    <x:row r="190">
      <x:c r="A190" t="str">
        <x:v>S18</x:v>
      </x:c>
      <x:c r="B190" t="str">
        <x:v>0.75 validated session at 268 Hz</x:v>
      </x:c>
      <x:c r="C190" t="n">
        <x:v>0.75</x:v>
      </x:c>
      <x:c r="D190" t="n">
        <x:v>5</x:v>
      </x:c>
      <x:c r="E190" t="str">
        <x:v>PASS</x:v>
      </x:c>
      <x:c r="F190" t="str">
        <x:v>Z</x:v>
      </x:c>
      <x:c r="G190" s="54" t="n">
        <x:v>267.94406</x:v>
      </x:c>
      <x:c r="H190" s="54" t="n">
        <x:v>0.24406</x:v>
      </x:c>
      <x:c r="I190" s="56" t="n">
        <x:v>22.33</x:v>
      </x:c>
      <x:c r="J190" t="str">
        <x:v>VALID</x:v>
      </x:c>
      <x:c r="K190" s="54" t="n">
        <x:v>-0.05594000000002097</x:v>
      </x:c>
      <x:c r="L190" t="n">
        <x:v>2853</x:v>
      </x:c>
    </x:row>
    <x:row r="191">
      <x:c r="A191" t="str">
        <x:v>S19</x:v>
      </x:c>
      <x:c r="B191" t="str">
        <x:v>1.20 repeat-validation session at 268 Hz</x:v>
      </x:c>
      <x:c r="C191" t="n">
        <x:v>1.2</x:v>
      </x:c>
      <x:c r="D191" t="n">
        <x:v>1</x:v>
      </x:c>
      <x:c r="E191" t="str">
        <x:v>PASS</x:v>
      </x:c>
      <x:c r="F191" t="str">
        <x:v>X</x:v>
      </x:c>
      <x:c r="G191" s="54" t="n">
        <x:v>268.02779</x:v>
      </x:c>
      <x:c r="H191" s="54" t="n">
        <x:v>1.10084</x:v>
      </x:c>
      <x:c r="I191" s="56" t="n">
        <x:v>31.76</x:v>
      </x:c>
      <x:c r="J191" t="str">
        <x:v>VALID</x:v>
      </x:c>
      <x:c r="K191" s="54" t="n">
        <x:v>0.027789999999981774</x:v>
      </x:c>
      <x:c r="L191" t="n">
        <x:v>2974</x:v>
      </x:c>
    </x:row>
    <x:row r="192">
      <x:c r="A192" t="str">
        <x:v>S19</x:v>
      </x:c>
      <x:c r="B192" t="str">
        <x:v>1.20 repeat-validation session at 268 Hz</x:v>
      </x:c>
      <x:c r="C192" t="n">
        <x:v>1.2</x:v>
      </x:c>
      <x:c r="D192" t="n">
        <x:v>1</x:v>
      </x:c>
      <x:c r="E192" t="str">
        <x:v>PASS</x:v>
      </x:c>
      <x:c r="F192" t="str">
        <x:v>Y</x:v>
      </x:c>
      <x:c r="G192" s="54" t="n">
        <x:v>268.03203</x:v>
      </x:c>
      <x:c r="H192" s="54" t="n">
        <x:v>0.41839</x:v>
      </x:c>
      <x:c r="I192" s="56" t="n">
        <x:v>24.71</x:v>
      </x:c>
      <x:c r="J192" t="str">
        <x:v>VALID</x:v>
      </x:c>
      <x:c r="K192" s="54" t="n">
        <x:v>0.03203000000002021</x:v>
      </x:c>
      <x:c r="L192" t="n">
        <x:v>2975</x:v>
      </x:c>
    </x:row>
    <x:row r="193">
      <x:c r="A193" t="str">
        <x:v>S19</x:v>
      </x:c>
      <x:c r="B193" t="str">
        <x:v>1.20 repeat-validation session at 268 Hz</x:v>
      </x:c>
      <x:c r="C193" t="n">
        <x:v>1.2</x:v>
      </x:c>
      <x:c r="D193" t="n">
        <x:v>1</x:v>
      </x:c>
      <x:c r="E193" t="str">
        <x:v>PASS</x:v>
      </x:c>
      <x:c r="F193" t="str">
        <x:v>Z</x:v>
      </x:c>
      <x:c r="G193" s="54" t="n">
        <x:v>267.98431</x:v>
      </x:c>
      <x:c r="H193" s="54" t="n">
        <x:v>0.35957</x:v>
      </x:c>
      <x:c r="I193" s="56" t="n">
        <x:v>25.68</x:v>
      </x:c>
      <x:c r="J193" t="str">
        <x:v>VALID</x:v>
      </x:c>
      <x:c r="K193" s="54" t="n">
        <x:v>-0.01569000000000642</x:v>
      </x:c>
      <x:c r="L193" t="n">
        <x:v>2976</x:v>
      </x:c>
    </x:row>
    <x:row r="194">
      <x:c r="A194" t="str">
        <x:v>S19</x:v>
      </x:c>
      <x:c r="B194" t="str">
        <x:v>1.20 repeat-validation session at 268 Hz</x:v>
      </x:c>
      <x:c r="C194" t="n">
        <x:v>1.2</x:v>
      </x:c>
      <x:c r="D194" t="n">
        <x:v>2</x:v>
      </x:c>
      <x:c r="E194" t="str">
        <x:v>PASS</x:v>
      </x:c>
      <x:c r="F194" t="str">
        <x:v>X</x:v>
      </x:c>
      <x:c r="G194" s="54" t="n">
        <x:v>268.02216</x:v>
      </x:c>
      <x:c r="H194" s="54" t="n">
        <x:v>1.03559</x:v>
      </x:c>
      <x:c r="I194" s="56" t="n">
        <x:v>31.51</x:v>
      </x:c>
      <x:c r="J194" t="str">
        <x:v>VALID</x:v>
      </x:c>
      <x:c r="K194" s="54" t="n">
        <x:v>0.022159999999985303</x:v>
      </x:c>
      <x:c r="L194" t="n">
        <x:v>3059</x:v>
      </x:c>
    </x:row>
    <x:row r="195">
      <x:c r="A195" t="str">
        <x:v>S19</x:v>
      </x:c>
      <x:c r="B195" t="str">
        <x:v>1.20 repeat-validation session at 268 Hz</x:v>
      </x:c>
      <x:c r="C195" t="n">
        <x:v>1.2</x:v>
      </x:c>
      <x:c r="D195" t="n">
        <x:v>2</x:v>
      </x:c>
      <x:c r="E195" t="str">
        <x:v>PASS</x:v>
      </x:c>
      <x:c r="F195" t="str">
        <x:v>Y</x:v>
      </x:c>
      <x:c r="G195" s="54" t="n">
        <x:v>268.06044</x:v>
      </x:c>
      <x:c r="H195" s="54" t="n">
        <x:v>0.38773</x:v>
      </x:c>
      <x:c r="I195" s="56" t="n">
        <x:v>24.61</x:v>
      </x:c>
      <x:c r="J195" t="str">
        <x:v>VALID</x:v>
      </x:c>
      <x:c r="K195" s="54" t="n">
        <x:v>0.06044000000002825</x:v>
      </x:c>
      <x:c r="L195" t="n">
        <x:v>3060</x:v>
      </x:c>
    </x:row>
    <x:row r="196">
      <x:c r="A196" t="str">
        <x:v>S19</x:v>
      </x:c>
      <x:c r="B196" t="str">
        <x:v>1.20 repeat-validation session at 268 Hz</x:v>
      </x:c>
      <x:c r="C196" t="n">
        <x:v>1.2</x:v>
      </x:c>
      <x:c r="D196" t="n">
        <x:v>2</x:v>
      </x:c>
      <x:c r="E196" t="str">
        <x:v>PASS</x:v>
      </x:c>
      <x:c r="F196" t="str">
        <x:v>Z</x:v>
      </x:c>
      <x:c r="G196" s="54" t="n">
        <x:v>268.06218</x:v>
      </x:c>
      <x:c r="H196" s="54" t="n">
        <x:v>0.37055</x:v>
      </x:c>
      <x:c r="I196" s="56" t="n">
        <x:v>25.48</x:v>
      </x:c>
      <x:c r="J196" t="str">
        <x:v>VALID</x:v>
      </x:c>
      <x:c r="K196" s="54" t="n">
        <x:v>0.062180000000012114</x:v>
      </x:c>
      <x:c r="L196" t="n">
        <x:v>3061</x:v>
      </x:c>
    </x:row>
    <x:row r="197">
      <x:c r="A197" t="str">
        <x:v>S19</x:v>
      </x:c>
      <x:c r="B197" t="str">
        <x:v>1.20 repeat-validation session at 268 Hz</x:v>
      </x:c>
      <x:c r="C197" t="n">
        <x:v>1.2</x:v>
      </x:c>
      <x:c r="D197" t="n">
        <x:v>3</x:v>
      </x:c>
      <x:c r="E197" t="str">
        <x:v>PASS</x:v>
      </x:c>
      <x:c r="F197" t="str">
        <x:v>X</x:v>
      </x:c>
      <x:c r="G197" s="54" t="n">
        <x:v>268.02672</x:v>
      </x:c>
      <x:c r="H197" s="54" t="n">
        <x:v>1.09702</x:v>
      </x:c>
      <x:c r="I197" s="56" t="n">
        <x:v>31.53</x:v>
      </x:c>
      <x:c r="J197" t="str">
        <x:v>VALID</x:v>
      </x:c>
      <x:c r="K197" s="54" t="n">
        <x:v>0.026720000000011623</x:v>
      </x:c>
      <x:c r="L197" t="n">
        <x:v>3142</x:v>
      </x:c>
    </x:row>
    <x:row r="198">
      <x:c r="A198" t="str">
        <x:v>S19</x:v>
      </x:c>
      <x:c r="B198" t="str">
        <x:v>1.20 repeat-validation session at 268 Hz</x:v>
      </x:c>
      <x:c r="C198" t="n">
        <x:v>1.2</x:v>
      </x:c>
      <x:c r="D198" t="n">
        <x:v>3</x:v>
      </x:c>
      <x:c r="E198" t="str">
        <x:v>PASS</x:v>
      </x:c>
      <x:c r="F198" t="str">
        <x:v>Y</x:v>
      </x:c>
      <x:c r="G198" s="54" t="n">
        <x:v>268.02504</x:v>
      </x:c>
      <x:c r="H198" s="54" t="n">
        <x:v>0.39266</x:v>
      </x:c>
      <x:c r="I198" s="56" t="n">
        <x:v>24.05</x:v>
      </x:c>
      <x:c r="J198" t="str">
        <x:v>VALID</x:v>
      </x:c>
      <x:c r="K198" s="54" t="n">
        <x:v>0.02503999999998996</x:v>
      </x:c>
      <x:c r="L198" t="n">
        <x:v>3143</x:v>
      </x:c>
    </x:row>
    <x:row r="199">
      <x:c r="A199" t="str">
        <x:v>S19</x:v>
      </x:c>
      <x:c r="B199" t="str">
        <x:v>1.20 repeat-validation session at 268 Hz</x:v>
      </x:c>
      <x:c r="C199" t="n">
        <x:v>1.2</x:v>
      </x:c>
      <x:c r="D199" t="n">
        <x:v>3</x:v>
      </x:c>
      <x:c r="E199" t="str">
        <x:v>PASS</x:v>
      </x:c>
      <x:c r="F199" t="str">
        <x:v>Z</x:v>
      </x:c>
      <x:c r="G199" s="54" t="n">
        <x:v>268.02374</x:v>
      </x:c>
      <x:c r="H199" s="54" t="n">
        <x:v>0.38092</x:v>
      </x:c>
      <x:c r="I199" s="56" t="n">
        <x:v>26.02</x:v>
      </x:c>
      <x:c r="J199" t="str">
        <x:v>VALID</x:v>
      </x:c>
      <x:c r="K199" s="54" t="n">
        <x:v>0.023739999999975225</x:v>
      </x:c>
      <x:c r="L199" t="n">
        <x:v>3144</x:v>
      </x:c>
    </x:row>
    <x:row r="200">
      <x:c r="A200" t="str">
        <x:v>S19</x:v>
      </x:c>
      <x:c r="B200" t="str">
        <x:v>1.20 repeat-validation session at 268 Hz</x:v>
      </x:c>
      <x:c r="C200" t="n">
        <x:v>1.2</x:v>
      </x:c>
      <x:c r="D200" t="n">
        <x:v>4</x:v>
      </x:c>
      <x:c r="E200" t="str">
        <x:v>PASS</x:v>
      </x:c>
      <x:c r="F200" t="str">
        <x:v>X</x:v>
      </x:c>
      <x:c r="G200" s="54" t="n">
        <x:v>268.01908</x:v>
      </x:c>
      <x:c r="H200" s="54" t="n">
        <x:v>1.08576</x:v>
      </x:c>
      <x:c r="I200" s="56" t="n">
        <x:v>31.67</x:v>
      </x:c>
      <x:c r="J200" t="str">
        <x:v>VALID</x:v>
      </x:c>
      <x:c r="K200" s="54" t="n">
        <x:v>0.019079999999974007</x:v>
      </x:c>
      <x:c r="L200" t="n">
        <x:v>3227</x:v>
      </x:c>
    </x:row>
    <x:row r="201">
      <x:c r="A201" t="str">
        <x:v>S19</x:v>
      </x:c>
      <x:c r="B201" t="str">
        <x:v>1.20 repeat-validation session at 268 Hz</x:v>
      </x:c>
      <x:c r="C201" t="n">
        <x:v>1.2</x:v>
      </x:c>
      <x:c r="D201" t="n">
        <x:v>4</x:v>
      </x:c>
      <x:c r="E201" t="str">
        <x:v>PASS</x:v>
      </x:c>
      <x:c r="F201" t="str">
        <x:v>Y</x:v>
      </x:c>
      <x:c r="G201" s="54" t="n">
        <x:v>268.0085</x:v>
      </x:c>
      <x:c r="H201" s="54" t="n">
        <x:v>0.39652</x:v>
      </x:c>
      <x:c r="I201" s="56" t="n">
        <x:v>24.55</x:v>
      </x:c>
      <x:c r="J201" t="str">
        <x:v>VALID</x:v>
      </x:c>
      <x:c r="K201" s="54" t="n">
        <x:v>0.008500000000026375</x:v>
      </x:c>
      <x:c r="L201" t="n">
        <x:v>3228</x:v>
      </x:c>
    </x:row>
    <x:row r="202">
      <x:c r="A202" t="str">
        <x:v>S19</x:v>
      </x:c>
      <x:c r="B202" t="str">
        <x:v>1.20 repeat-validation session at 268 Hz</x:v>
      </x:c>
      <x:c r="C202" t="n">
        <x:v>1.2</x:v>
      </x:c>
      <x:c r="D202" t="n">
        <x:v>4</x:v>
      </x:c>
      <x:c r="E202" t="str">
        <x:v>PASS</x:v>
      </x:c>
      <x:c r="F202" t="str">
        <x:v>Z</x:v>
      </x:c>
      <x:c r="G202" s="54" t="n">
        <x:v>268.05639</x:v>
      </x:c>
      <x:c r="H202" s="54" t="n">
        <x:v>0.39386</x:v>
      </x:c>
      <x:c r="I202" s="56" t="n">
        <x:v>26.24</x:v>
      </x:c>
      <x:c r="J202" t="str">
        <x:v>VALID</x:v>
      </x:c>
      <x:c r="K202" s="54" t="n">
        <x:v>0.0563900000000217</x:v>
      </x:c>
      <x:c r="L202" t="n">
        <x:v>3229</x:v>
      </x:c>
    </x:row>
    <x:row r="203">
      <x:c r="A203" t="str">
        <x:v>S19</x:v>
      </x:c>
      <x:c r="B203" t="str">
        <x:v>1.20 repeat-validation session at 268 Hz</x:v>
      </x:c>
      <x:c r="C203" t="n">
        <x:v>1.2</x:v>
      </x:c>
      <x:c r="D203" t="n">
        <x:v>5</x:v>
      </x:c>
      <x:c r="E203" t="str">
        <x:v>PASS</x:v>
      </x:c>
      <x:c r="F203" t="str">
        <x:v>X</x:v>
      </x:c>
      <x:c r="G203" s="54" t="n">
        <x:v>268.02392</x:v>
      </x:c>
      <x:c r="H203" s="54" t="n">
        <x:v>1.06766</x:v>
      </x:c>
      <x:c r="I203" s="56" t="n">
        <x:v>31.48</x:v>
      </x:c>
      <x:c r="J203" t="str">
        <x:v>VALID</x:v>
      </x:c>
      <x:c r="K203" s="54" t="n">
        <x:v>0.023919999999975516</x:v>
      </x:c>
      <x:c r="L203" t="n">
        <x:v>3311</x:v>
      </x:c>
    </x:row>
    <x:row r="204">
      <x:c r="A204" t="str">
        <x:v>S19</x:v>
      </x:c>
      <x:c r="B204" t="str">
        <x:v>1.20 repeat-validation session at 268 Hz</x:v>
      </x:c>
      <x:c r="C204" t="n">
        <x:v>1.2</x:v>
      </x:c>
      <x:c r="D204" t="n">
        <x:v>5</x:v>
      </x:c>
      <x:c r="E204" t="str">
        <x:v>PASS</x:v>
      </x:c>
      <x:c r="F204" t="str">
        <x:v>Y</x:v>
      </x:c>
      <x:c r="G204" s="54" t="n">
        <x:v>268.0296</x:v>
      </x:c>
      <x:c r="H204" s="54" t="n">
        <x:v>0.38017</x:v>
      </x:c>
      <x:c r="I204" s="56" t="n">
        <x:v>24.61</x:v>
      </x:c>
      <x:c r="J204" t="str">
        <x:v>VALID</x:v>
      </x:c>
      <x:c r="K204" s="54" t="n">
        <x:v>0.02960000000001628</x:v>
      </x:c>
      <x:c r="L204" t="n">
        <x:v>3312</x:v>
      </x:c>
    </x:row>
    <x:row r="205">
      <x:c r="A205" t="str">
        <x:v>S19</x:v>
      </x:c>
      <x:c r="B205" t="str">
        <x:v>1.20 repeat-validation session at 268 Hz</x:v>
      </x:c>
      <x:c r="C205" t="n">
        <x:v>1.2</x:v>
      </x:c>
      <x:c r="D205" t="n">
        <x:v>5</x:v>
      </x:c>
      <x:c r="E205" t="str">
        <x:v>PASS</x:v>
      </x:c>
      <x:c r="F205" t="str">
        <x:v>Z</x:v>
      </x:c>
      <x:c r="G205" s="54" t="n">
        <x:v>268.03049</x:v>
      </x:c>
      <x:c r="H205" s="54" t="n">
        <x:v>0.42449</x:v>
      </x:c>
      <x:c r="I205" s="56" t="n">
        <x:v>26.75</x:v>
      </x:c>
      <x:c r="J205" t="str">
        <x:v>VALID</x:v>
      </x:c>
      <x:c r="K205" s="54" t="n">
        <x:v>0.03048999999998614</x:v>
      </x:c>
      <x:c r="L205" t="n">
        <x:v>3313</x:v>
      </x:c>
    </x:row>
    <x:row r="206">
      <x:c r="A206" t="str">
        <x:v>S20</x:v>
      </x:c>
      <x:c r="B206" t="str">
        <x:v>0.65 repeat-validation session at 268 Hz</x:v>
      </x:c>
      <x:c r="C206" t="n">
        <x:v>0.65</x:v>
      </x:c>
      <x:c r="D206" t="n">
        <x:v>1</x:v>
      </x:c>
      <x:c r="E206" t="str">
        <x:v>PASS</x:v>
      </x:c>
      <x:c r="F206" t="str">
        <x:v>X</x:v>
      </x:c>
      <x:c r="G206" s="54" t="n">
        <x:v>268.0152</x:v>
      </x:c>
      <x:c r="H206" s="54" t="n">
        <x:v>0.61633</x:v>
      </x:c>
      <x:c r="I206" s="56" t="n">
        <x:v>29.44</x:v>
      </x:c>
      <x:c r="J206" t="str">
        <x:v>VALID</x:v>
      </x:c>
      <x:c r="K206" s="54" t="n">
        <x:v>0.015199999999992997</x:v>
      </x:c>
      <x:c r="L206" t="n">
        <x:v>3430</x:v>
      </x:c>
    </x:row>
    <x:row r="207">
      <x:c r="A207" t="str">
        <x:v>S20</x:v>
      </x:c>
      <x:c r="B207" t="str">
        <x:v>0.65 repeat-validation session at 268 Hz</x:v>
      </x:c>
      <x:c r="C207" t="n">
        <x:v>0.65</x:v>
      </x:c>
      <x:c r="D207" t="n">
        <x:v>1</x:v>
      </x:c>
      <x:c r="E207" t="str">
        <x:v>PASS</x:v>
      </x:c>
      <x:c r="F207" t="str">
        <x:v>Y</x:v>
      </x:c>
      <x:c r="G207" s="54" t="n">
        <x:v>267.93768</x:v>
      </x:c>
      <x:c r="H207" s="54" t="n">
        <x:v>0.18749</x:v>
      </x:c>
      <x:c r="I207" s="56" t="n">
        <x:v>18.07</x:v>
      </x:c>
      <x:c r="J207" t="str">
        <x:v>VALID</x:v>
      </x:c>
      <x:c r="K207" s="54" t="n">
        <x:v>-0.06231999999999971</x:v>
      </x:c>
      <x:c r="L207" t="n">
        <x:v>3431</x:v>
      </x:c>
    </x:row>
    <x:row r="208">
      <x:c r="A208" t="str">
        <x:v>S20</x:v>
      </x:c>
      <x:c r="B208" t="str">
        <x:v>0.65 repeat-validation session at 268 Hz</x:v>
      </x:c>
      <x:c r="C208" t="n">
        <x:v>0.65</x:v>
      </x:c>
      <x:c r="D208" t="n">
        <x:v>1</x:v>
      </x:c>
      <x:c r="E208" t="str">
        <x:v>PASS</x:v>
      </x:c>
      <x:c r="F208" t="str">
        <x:v>Z</x:v>
      </x:c>
      <x:c r="G208" s="54" t="n">
        <x:v>268.05528</x:v>
      </x:c>
      <x:c r="H208" s="54" t="n">
        <x:v>0.31368</x:v>
      </x:c>
      <x:c r="I208" s="56" t="n">
        <x:v>24.47</x:v>
      </x:c>
      <x:c r="J208" t="str">
        <x:v>VALID</x:v>
      </x:c>
      <x:c r="K208" s="54" t="n">
        <x:v>0.05527999999998201</x:v>
      </x:c>
      <x:c r="L208" t="n">
        <x:v>3432</x:v>
      </x:c>
    </x:row>
    <x:row r="209">
      <x:c r="A209" t="str">
        <x:v>S20</x:v>
      </x:c>
      <x:c r="B209" t="str">
        <x:v>0.65 repeat-validation session at 268 Hz</x:v>
      </x:c>
      <x:c r="C209" t="n">
        <x:v>0.65</x:v>
      </x:c>
      <x:c r="D209" t="n">
        <x:v>2</x:v>
      </x:c>
      <x:c r="E209" t="str">
        <x:v>PASS</x:v>
      </x:c>
      <x:c r="F209" t="str">
        <x:v>X</x:v>
      </x:c>
      <x:c r="G209" s="54" t="n">
        <x:v>268.02007</x:v>
      </x:c>
      <x:c r="H209" s="54" t="n">
        <x:v>0.61551</x:v>
      </x:c>
      <x:c r="I209" s="56" t="n">
        <x:v>29.79</x:v>
      </x:c>
      <x:c r="J209" t="str">
        <x:v>VALID</x:v>
      </x:c>
      <x:c r="K209" s="54" t="n">
        <x:v>0.020069999999975607</x:v>
      </x:c>
      <x:c r="L209" t="n">
        <x:v>3510</x:v>
      </x:c>
    </x:row>
    <x:row r="210">
      <x:c r="A210" t="str">
        <x:v>S20</x:v>
      </x:c>
      <x:c r="B210" t="str">
        <x:v>0.65 repeat-validation session at 268 Hz</x:v>
      </x:c>
      <x:c r="C210" t="n">
        <x:v>0.65</x:v>
      </x:c>
      <x:c r="D210" t="n">
        <x:v>2</x:v>
      </x:c>
      <x:c r="E210" t="str">
        <x:v>PASS</x:v>
      </x:c>
      <x:c r="F210" t="str">
        <x:v>Y</x:v>
      </x:c>
      <x:c r="G210" s="54" t="n">
        <x:v>268.04361</x:v>
      </x:c>
      <x:c r="H210" s="54" t="n">
        <x:v>0.18665</x:v>
      </x:c>
      <x:c r="I210" s="56" t="n">
        <x:v>18.11</x:v>
      </x:c>
      <x:c r="J210" t="str">
        <x:v>VALID</x:v>
      </x:c>
      <x:c r="K210" s="54" t="n">
        <x:v>0.04361000000000104</x:v>
      </x:c>
      <x:c r="L210" t="n">
        <x:v>3511</x:v>
      </x:c>
    </x:row>
    <x:row r="211">
      <x:c r="A211" t="str">
        <x:v>S20</x:v>
      </x:c>
      <x:c r="B211" t="str">
        <x:v>0.65 repeat-validation session at 268 Hz</x:v>
      </x:c>
      <x:c r="C211" t="n">
        <x:v>0.65</x:v>
      </x:c>
      <x:c r="D211" t="n">
        <x:v>2</x:v>
      </x:c>
      <x:c r="E211" t="str">
        <x:v>PASS</x:v>
      </x:c>
      <x:c r="F211" t="str">
        <x:v>Z</x:v>
      </x:c>
      <x:c r="G211" s="54" t="n">
        <x:v>268.04409</x:v>
      </x:c>
      <x:c r="H211" s="54" t="n">
        <x:v>0.30928</x:v>
      </x:c>
      <x:c r="I211" s="56" t="n">
        <x:v>24.88</x:v>
      </x:c>
      <x:c r="J211" t="str">
        <x:v>VALID</x:v>
      </x:c>
      <x:c r="K211" s="54" t="n">
        <x:v>0.044089999999982865</x:v>
      </x:c>
      <x:c r="L211" t="n">
        <x:v>3512</x:v>
      </x:c>
    </x:row>
    <x:row r="212">
      <x:c r="A212" t="str">
        <x:v>S20</x:v>
      </x:c>
      <x:c r="B212" t="str">
        <x:v>0.65 repeat-validation session at 268 Hz</x:v>
      </x:c>
      <x:c r="C212" t="n">
        <x:v>0.65</x:v>
      </x:c>
      <x:c r="D212" t="n">
        <x:v>3</x:v>
      </x:c>
      <x:c r="E212" t="str">
        <x:v>PASS</x:v>
      </x:c>
      <x:c r="F212" t="str">
        <x:v>X</x:v>
      </x:c>
      <x:c r="G212" s="54" t="n">
        <x:v>268.02503</x:v>
      </x:c>
      <x:c r="H212" s="54" t="n">
        <x:v>0.6193</x:v>
      </x:c>
      <x:c r="I212" s="56" t="n">
        <x:v>29.88</x:v>
      </x:c>
      <x:c r="J212" t="str">
        <x:v>VALID</x:v>
      </x:c>
      <x:c r="K212" s="54" t="n">
        <x:v>0.025030000000015207</x:v>
      </x:c>
      <x:c r="L212" t="n">
        <x:v>3590</x:v>
      </x:c>
    </x:row>
    <x:row r="213">
      <x:c r="A213" t="str">
        <x:v>S20</x:v>
      </x:c>
      <x:c r="B213" t="str">
        <x:v>0.65 repeat-validation session at 268 Hz</x:v>
      </x:c>
      <x:c r="C213" t="n">
        <x:v>0.65</x:v>
      </x:c>
      <x:c r="D213" t="n">
        <x:v>3</x:v>
      </x:c>
      <x:c r="E213" t="str">
        <x:v>PASS</x:v>
      </x:c>
      <x:c r="F213" t="str">
        <x:v>Y</x:v>
      </x:c>
      <x:c r="G213" s="54" t="n">
        <x:v>268.03508</x:v>
      </x:c>
      <x:c r="H213" s="54" t="n">
        <x:v>0.18903</x:v>
      </x:c>
      <x:c r="I213" s="56" t="n">
        <x:v>18.53</x:v>
      </x:c>
      <x:c r="J213" t="str">
        <x:v>VALID</x:v>
      </x:c>
      <x:c r="K213" s="54" t="n">
        <x:v>0.03507999999999356</x:v>
      </x:c>
      <x:c r="L213" t="n">
        <x:v>3591</x:v>
      </x:c>
    </x:row>
    <x:row r="214">
      <x:c r="A214" t="str">
        <x:v>S20</x:v>
      </x:c>
      <x:c r="B214" t="str">
        <x:v>0.65 repeat-validation session at 268 Hz</x:v>
      </x:c>
      <x:c r="C214" t="n">
        <x:v>0.65</x:v>
      </x:c>
      <x:c r="D214" t="n">
        <x:v>3</x:v>
      </x:c>
      <x:c r="E214" t="str">
        <x:v>PASS</x:v>
      </x:c>
      <x:c r="F214" t="str">
        <x:v>Z</x:v>
      </x:c>
      <x:c r="G214" s="54" t="n">
        <x:v>268.02293</x:v>
      </x:c>
      <x:c r="H214" s="54" t="n">
        <x:v>0.3286</x:v>
      </x:c>
      <x:c r="I214" s="56" t="n">
        <x:v>25.25</x:v>
      </x:c>
      <x:c r="J214" t="str">
        <x:v>VALID</x:v>
      </x:c>
      <x:c r="K214" s="54" t="n">
        <x:v>0.022929999999973916</x:v>
      </x:c>
      <x:c r="L214" t="n">
        <x:v>3592</x:v>
      </x:c>
    </x:row>
    <x:row r="215">
      <x:c r="A215" t="str">
        <x:v>S20</x:v>
      </x:c>
      <x:c r="B215" t="str">
        <x:v>0.65 repeat-validation session at 268 Hz</x:v>
      </x:c>
      <x:c r="C215" t="n">
        <x:v>0.65</x:v>
      </x:c>
      <x:c r="D215" t="n">
        <x:v>4</x:v>
      </x:c>
      <x:c r="E215" t="str">
        <x:v>PASS</x:v>
      </x:c>
      <x:c r="F215" t="str">
        <x:v>X</x:v>
      </x:c>
      <x:c r="G215" s="54" t="n">
        <x:v>268.02194</x:v>
      </x:c>
      <x:c r="H215" s="54" t="n">
        <x:v>0.60108</x:v>
      </x:c>
      <x:c r="I215" s="56" t="n">
        <x:v>29.45</x:v>
      </x:c>
      <x:c r="J215" t="str">
        <x:v>VALID</x:v>
      </x:c>
      <x:c r="K215" s="54" t="n">
        <x:v>0.021939999999972315</x:v>
      </x:c>
      <x:c r="L215" t="n">
        <x:v>3671</x:v>
      </x:c>
    </x:row>
    <x:row r="216">
      <x:c r="A216" t="str">
        <x:v>S20</x:v>
      </x:c>
      <x:c r="B216" t="str">
        <x:v>0.65 repeat-validation session at 268 Hz</x:v>
      </x:c>
      <x:c r="C216" t="n">
        <x:v>0.65</x:v>
      </x:c>
      <x:c r="D216" t="n">
        <x:v>4</x:v>
      </x:c>
      <x:c r="E216" t="str">
        <x:v>PASS</x:v>
      </x:c>
      <x:c r="F216" t="str">
        <x:v>Y</x:v>
      </x:c>
      <x:c r="G216" s="54" t="n">
        <x:v>268.06343</x:v>
      </x:c>
      <x:c r="H216" s="54" t="n">
        <x:v>0.18597</x:v>
      </x:c>
      <x:c r="I216" s="56" t="n">
        <x:v>18.18</x:v>
      </x:c>
      <x:c r="J216" t="str">
        <x:v>VALID</x:v>
      </x:c>
      <x:c r="K216" s="54" t="n">
        <x:v>0.06342999999998256</x:v>
      </x:c>
      <x:c r="L216" t="n">
        <x:v>3672</x:v>
      </x:c>
    </x:row>
    <x:row r="217">
      <x:c r="A217" t="str">
        <x:v>S20</x:v>
      </x:c>
      <x:c r="B217" t="str">
        <x:v>0.65 repeat-validation session at 268 Hz</x:v>
      </x:c>
      <x:c r="C217" t="n">
        <x:v>0.65</x:v>
      </x:c>
      <x:c r="D217" t="n">
        <x:v>4</x:v>
      </x:c>
      <x:c r="E217" t="str">
        <x:v>PASS</x:v>
      </x:c>
      <x:c r="F217" t="str">
        <x:v>Z</x:v>
      </x:c>
      <x:c r="G217" s="54" t="n">
        <x:v>267.93457</x:v>
      </x:c>
      <x:c r="H217" s="54" t="n">
        <x:v>0.31255</x:v>
      </x:c>
      <x:c r="I217" s="56" t="n">
        <x:v>24.74</x:v>
      </x:c>
      <x:c r="J217" t="str">
        <x:v>VALID</x:v>
      </x:c>
      <x:c r="K217" s="54" t="n">
        <x:v>-0.0654299999999921</x:v>
      </x:c>
      <x:c r="L217" t="n">
        <x:v>3673</x:v>
      </x:c>
    </x:row>
    <x:row r="218">
      <x:c r="A218" t="str">
        <x:v>S20</x:v>
      </x:c>
      <x:c r="B218" t="str">
        <x:v>0.65 repeat-validation session at 268 Hz</x:v>
      </x:c>
      <x:c r="C218" t="n">
        <x:v>0.65</x:v>
      </x:c>
      <x:c r="D218" t="n">
        <x:v>5</x:v>
      </x:c>
      <x:c r="E218" t="str">
        <x:v>PASS</x:v>
      </x:c>
      <x:c r="F218" t="str">
        <x:v>X</x:v>
      </x:c>
      <x:c r="G218" s="54" t="n">
        <x:v>268.00825</x:v>
      </x:c>
      <x:c r="H218" s="54" t="n">
        <x:v>0.59339</x:v>
      </x:c>
      <x:c r="I218" s="56" t="n">
        <x:v>29.61</x:v>
      </x:c>
      <x:c r="J218" t="str">
        <x:v>VALID</x:v>
      </x:c>
      <x:c r="K218" s="54" t="n">
        <x:v>0.008249999999975444</x:v>
      </x:c>
      <x:c r="L218" t="n">
        <x:v>3751</x:v>
      </x:c>
    </x:row>
    <x:row r="219">
      <x:c r="A219" t="str">
        <x:v>S20</x:v>
      </x:c>
      <x:c r="B219" t="str">
        <x:v>0.65 repeat-validation session at 268 Hz</x:v>
      </x:c>
      <x:c r="C219" t="n">
        <x:v>0.65</x:v>
      </x:c>
      <x:c r="D219" t="n">
        <x:v>5</x:v>
      </x:c>
      <x:c r="E219" t="str">
        <x:v>PASS</x:v>
      </x:c>
      <x:c r="F219" t="str">
        <x:v>Y</x:v>
      </x:c>
      <x:c r="G219" s="54" t="n">
        <x:v>267.97547</x:v>
      </x:c>
      <x:c r="H219" s="54" t="n">
        <x:v>0.17329</x:v>
      </x:c>
      <x:c r="I219" s="56" t="n">
        <x:v>17.35</x:v>
      </x:c>
      <x:c r="J219" t="str">
        <x:v>VALID</x:v>
      </x:c>
      <x:c r="K219" s="54" t="n">
        <x:v>-0.02453000000002703</x:v>
      </x:c>
      <x:c r="L219" t="n">
        <x:v>3752</x:v>
      </x:c>
    </x:row>
    <x:row r="220">
      <x:c r="A220" t="str">
        <x:v>S20</x:v>
      </x:c>
      <x:c r="B220" t="str">
        <x:v>0.65 repeat-validation session at 268 Hz</x:v>
      </x:c>
      <x:c r="C220" t="n">
        <x:v>0.65</x:v>
      </x:c>
      <x:c r="D220" t="n">
        <x:v>5</x:v>
      </x:c>
      <x:c r="E220" t="str">
        <x:v>PASS</x:v>
      </x:c>
      <x:c r="F220" t="str">
        <x:v>Z</x:v>
      </x:c>
      <x:c r="G220" s="54" t="n">
        <x:v>267.98612</x:v>
      </x:c>
      <x:c r="H220" s="54" t="n">
        <x:v>0.30937</x:v>
      </x:c>
      <x:c r="I220" s="56" t="n">
        <x:v>24.5</x:v>
      </x:c>
      <x:c r="J220" t="str">
        <x:v>VALID</x:v>
      </x:c>
      <x:c r="K220" s="54" t="n">
        <x:v>-0.013879999999971915</x:v>
      </x:c>
      <x:c r="L220" t="n">
        <x:v>3753</x:v>
      </x:c>
    </x:row>
  </x:sheetData>
  <x:conditionalFormatting sqref="E2:E115">
    <x:cfRule type="expression" dxfId="10" priority="1">
      <x:formula>E2="FAIL"</x:formula>
    </x:cfRule>
  </x:conditionalFormatting>
  <x:conditionalFormatting sqref="J2:J115">
    <x:cfRule type="expression" dxfId="11" priority="2">
      <x:formula>J2="VALID"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f4655c41e646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1" hidden="0" customWidth="1"/>
    <x:col min="4" max="4" width="8" hidden="0" customWidth="1"/>
    <x:col min="5" max="5" width="26" hidden="0" customWidth="1"/>
    <x:col min="6" max="6" width="95" hidden="0" customWidth="1"/>
    <x:col min="7" max="7" width="12" hidden="0" customWidth="1"/>
  </x:cols>
  <x:sheetData>
    <x:row r="1">
      <x:c r="A1" s="49" t="str">
        <x:v>Session</x:v>
      </x:c>
      <x:c r="B1" s="49" t="str">
        <x:v>Test label</x:v>
      </x:c>
      <x:c r="C1" s="49" t="str">
        <x:v>Target</x:v>
      </x:c>
      <x:c r="D1" s="49" t="str">
        <x:v>Run</x:v>
      </x:c>
      <x:c r="E1" s="49" t="str">
        <x:v>Event type</x:v>
      </x:c>
      <x:c r="F1" s="49" t="str">
        <x:v>Detail</x:v>
      </x:c>
      <x:c r="G1" s="49" t="str">
        <x:v>Source line</x:v>
      </x:c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</x:row>
    <x:row r="2">
      <x:c r="A2" s="82" t="str">
        <x:v>S01</x:v>
      </x:c>
      <x:c r="B2" s="82" t="str">
        <x:v>1.10 initial validation – unstable response state</x:v>
      </x:c>
      <x:c r="C2" s="94" t="n">
        <x:v>1.1</x:v>
      </x:c>
      <x:c r="D2" s="82" t="n">
        <x:v>1</x:v>
      </x:c>
      <x:c r="E2" s="82" t="str">
        <x:v>UNSTABLE — SEARCH CONTINUES</x:v>
      </x:c>
      <x:c r="F2" s="83" t="str">
        <x:v>FINE | point 1 | DAC 2.00 | CTRL X 0.45322 | X 0.45752 | Y 0.22454 | Z 0.20102 | TOTAL 0.54806 | error -58.80 % | MAD 0.94 % | CV 2.20 % | coh 44.0 % | dominant X | axis fraction 100.0 % | UNSTABLE — SEARCH CONTINUES</x:v>
      </x:c>
      <x:c r="G2" s="82" t="n">
        <x:v>90</x:v>
      </x:c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  <x:c r="AA2" s="82"/>
    </x:row>
    <x:row r="3">
      <x:c r="A3" s="82" t="str">
        <x:v>S01</x:v>
      </x:c>
      <x:c r="B3" s="82" t="str">
        <x:v>1.10 initial validation – unstable response state</x:v>
      </x:c>
      <x:c r="C3" s="94" t="n">
        <x:v>1.1</x:v>
      </x:c>
      <x:c r="D3" s="82" t="n">
        <x:v>1</x:v>
      </x:c>
      <x:c r="E3" s="82" t="str">
        <x:v>UNSTABLE — SEARCH CONTINUES</x:v>
      </x:c>
      <x:c r="F3" s="83" t="str">
        <x:v>FINE | point 2 | DAC 2.25 | CTRL X 0.53682 | X 0.53893 | Y 0.21575 | Z 0.17686 | TOTAL 0.60700 | error -51.20 % | MAD 0.34 % | CV 0.88 % | coh 48.5 % | dominant X | axis fraction 100.0 % | UNSTABLE — SEARCH CONTINUES</x:v>
      </x:c>
      <x:c r="G3" s="82" t="n">
        <x:v>91</x:v>
      </x:c>
      <x:c r="H3" s="82"/>
      <x:c r="I3" s="82"/>
      <x:c r="J3" s="82"/>
      <x:c r="K3" s="82"/>
      <x:c r="L3" s="82"/>
      <x:c r="M3" s="82"/>
      <x:c r="N3" s="82"/>
      <x:c r="O3" s="82"/>
      <x:c r="P3" s="82"/>
      <x:c r="Q3" s="82"/>
      <x:c r="R3" s="82"/>
      <x:c r="S3" s="82"/>
      <x:c r="T3" s="82"/>
      <x:c r="U3" s="82"/>
      <x:c r="V3" s="82"/>
      <x:c r="W3" s="82"/>
      <x:c r="X3" s="82"/>
      <x:c r="Y3" s="82"/>
      <x:c r="Z3" s="82"/>
      <x:c r="AA3" s="82"/>
    </x:row>
    <x:row r="4">
      <x:c r="A4" s="82" t="str">
        <x:v>S01</x:v>
      </x:c>
      <x:c r="B4" s="82" t="str">
        <x:v>1.10 initial validation – unstable response state</x:v>
      </x:c>
      <x:c r="C4" s="94" t="n">
        <x:v>1.1</x:v>
      </x:c>
      <x:c r="D4" s="82" t="n">
        <x:v>1</x:v>
      </x:c>
      <x:c r="E4" s="82" t="str">
        <x:v>UNSTABLE — SEARCH CONTINUES</x:v>
      </x:c>
      <x:c r="F4" s="83" t="str">
        <x:v>FINE | point 8 | DAC 3.75 | CTRL X 1.01250 | X 0.98820 | Y 0.84140 | Z 0.65849 | TOTAL 1.45624 | error -7.95 % | MAD 15.93 % | CV 14.85 % | coh 76.6 % | dominant X | axis fraction 100.0 % | UNSTABLE — SEARCH CONTINUES</x:v>
      </x:c>
      <x:c r="G4" s="82" t="n">
        <x:v>97</x:v>
      </x:c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  <x:c r="AA4" s="82"/>
    </x:row>
    <x:row r="5">
      <x:c r="A5" s="82" t="str">
        <x:v>S01</x:v>
      </x:c>
      <x:c r="B5" s="82" t="str">
        <x:v>1.10 initial validation – unstable response state</x:v>
      </x:c>
      <x:c r="C5" s="94" t="n">
        <x:v>1.1</x:v>
      </x:c>
      <x:c r="D5" s="82" t="n">
        <x:v>1</x:v>
      </x:c>
      <x:c r="E5" s="82" t="str">
        <x:v>UNSTABLE — SEARCH CONTINUES</x:v>
      </x:c>
      <x:c r="F5" s="83" t="str">
        <x:v>FINE | point 9 | DAC 4.00 | CTRL X 1.08222 | X 1.04971 | Y 0.87642 | Z 0.71599 | TOTAL 1.54744 | error -1.62 % | MAD 16.45 % | CV 16.30 % | coh 79.1 % | dominant X | axis fraction 100.0 % | UNSTABLE — SEARCH CONTINUES</x:v>
      </x:c>
      <x:c r="G5" s="82" t="n">
        <x:v>98</x:v>
      </x:c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  <x:c r="AA5" s="82"/>
    </x:row>
    <x:row r="6">
      <x:c r="A6" t="str">
        <x:v>S01</x:v>
      </x:c>
      <x:c r="B6" t="str">
        <x:v>1.10 initial validation – unstable response state</x:v>
      </x:c>
      <x:c r="C6" s="54" t="n">
        <x:v>1.1</x:v>
      </x:c>
      <x:c r="D6" t="n">
        <x:v>1</x:v>
      </x:c>
      <x:c r="E6" t="str">
        <x:v>Retry</x:v>
      </x:c>
      <x:c r="F6" s="58" t="str">
        <x:v>ACQUISITION ATTEMPT 2 OF 2</x:v>
      </x:c>
      <x:c r="G6" t="n">
        <x:v>100</x:v>
      </x:c>
    </x:row>
    <x:row r="7">
      <x:c r="A7" t="str">
        <x:v>S01</x:v>
      </x:c>
      <x:c r="B7" t="str">
        <x:v>1.10 initial validation – unstable response state</x:v>
      </x:c>
      <x:c r="C7" s="54" t="n">
        <x:v>1.1</x:v>
      </x:c>
      <x:c r="D7" t="n">
        <x:v>1</x:v>
      </x:c>
      <x:c r="E7" t="str">
        <x:v>UNSTABLE — SEARCH CONTINUES</x:v>
      </x:c>
      <x:c r="F7" s="58" t="str">
        <x:v>SEARCH | point 2 | DAC 3.00 | CTRL X 0.34997 | X 0.35756 | Y 0.55892 | Z 0.17003 | TOTAL 0.68612 | error -68.18 % | MAD 2.29 % | CV 5.04 % | coh 47.5 % | dominant Y | axis fraction 64.0 % | UNSTABLE — SEARCH CONTINUES</x:v>
      </x:c>
      <x:c r="G7" t="n">
        <x:v>106</x:v>
      </x:c>
    </x:row>
    <x:row r="8">
      <x:c r="A8" t="str">
        <x:v>S01</x:v>
      </x:c>
      <x:c r="B8" t="str">
        <x:v>1.10 initial validation – unstable response state</x:v>
      </x:c>
      <x:c r="C8" s="54" t="n">
        <x:v>1.1</x:v>
      </x:c>
      <x:c r="D8" t="n">
        <x:v>1</x:v>
      </x:c>
      <x:c r="E8" t="str">
        <x:v>UNSTABLE — SEARCH CONTINUES</x:v>
      </x:c>
      <x:c r="F8" s="58" t="str">
        <x:v>SEARCH | point 4 | DAC 4.50 | CTRL X 0.89767 | X 0.92917 | Y 0.83575 | Z 0.67721 | TOTAL 1.42333 | error -18.39 % | MAD 14.13 % | CV 14.59 % | coh 77.0 % | dominant X | axis fraction 100.0 % | UNSTABLE — SEARCH CONTINUES</x:v>
      </x:c>
      <x:c r="G8" t="n">
        <x:v>108</x:v>
      </x:c>
    </x:row>
    <x:row r="9">
      <x:c r="A9" t="str">
        <x:v>S01</x:v>
      </x:c>
      <x:c r="B9" t="str">
        <x:v>1.10 initial validation – unstable response state</x:v>
      </x:c>
      <x:c r="C9" s="54" t="n">
        <x:v>1.1</x:v>
      </x:c>
      <x:c r="D9" t="n">
        <x:v>1</x:v>
      </x:c>
      <x:c r="E9" t="str">
        <x:v>UNSTABLE — SEARCH CONTINUES</x:v>
      </x:c>
      <x:c r="F9" s="58" t="str">
        <x:v>FINAL | point 2 | DAC 5.00 | CTRL X 1.59223 | X 1.54003 | Y 1.13561 | Z 1.04148 | TOTAL 2.18197 | error 44.75 % | MAD 9.52 % | CV 11.01 % | coh 85.3 % | dominant X | axis fraction 100.0 % | UNSTABLE — SEARCH CONTINUES</x:v>
      </x:c>
      <x:c r="G9" t="n">
        <x:v>125</x:v>
      </x:c>
    </x:row>
    <x:row r="10">
      <x:c r="A10" t="str">
        <x:v>S01</x:v>
      </x:c>
      <x:c r="B10" t="str">
        <x:v>1.10 initial validation – unstable response state</x:v>
      </x:c>
      <x:c r="C10" s="54" t="n">
        <x:v>1.1</x:v>
      </x:c>
      <x:c r="D10" t="n">
        <x:v>1</x:v>
      </x:c>
      <x:c r="E10" t="str">
        <x:v>Validation pair accepted</x:v>
      </x:c>
      <x:c r="F10" s="58" t="str">
        <x:v>VALIDATION ACCEPTED | pair drift 2.18 %</x:v>
      </x:c>
      <x:c r="G10" t="n">
        <x:v>127</x:v>
      </x:c>
    </x:row>
    <x:row r="11">
      <x:c r="A11" t="str">
        <x:v>S01</x:v>
      </x:c>
      <x:c r="B11" t="str">
        <x:v>1.10 initial validation – unstable response state</x:v>
      </x:c>
      <x:c r="C11" s="54" t="n">
        <x:v>1.1</x:v>
      </x:c>
      <x:c r="D11" t="n">
        <x:v>1</x:v>
      </x:c>
      <x:c r="E11" t="str">
        <x:v>UNSTABLE — SEARCH CONTINUES</x:v>
      </x:c>
      <x:c r="F11" s="58" t="str">
        <x:v>HOLD | point 9 | DAC 5.00 | CTRL X 1.08463 | X 1.08941 | Y 1.03865 | Z 0.81482 | TOTAL 1.71337 | error -1.40 % | MAD 15.73 % | CV 11.23 % | coh 80.2 % | dominant X | axis fraction 100.0 % | UNSTABLE — SEARCH CONTINUES</x:v>
      </x:c>
      <x:c r="G11" t="n">
        <x:v>152</x:v>
      </x:c>
    </x:row>
    <x:row r="12">
      <x:c r="A12" t="str">
        <x:v>S01</x:v>
      </x:c>
      <x:c r="B12" t="str">
        <x:v>1.10 initial validation – unstable response state</x:v>
      </x:c>
      <x:c r="C12" s="54" t="n">
        <x:v>1.1</x:v>
      </x:c>
      <x:c r="D12" t="n">
        <x:v>1</x:v>
      </x:c>
      <x:c r="E12" t="str">
        <x:v>Run pass</x:v>
      </x:c>
      <x:c r="F12" s="58" t="str">
        <x:v>RUN RESULT: PASS</x:v>
      </x:c>
      <x:c r="G12" t="n">
        <x:v>162</x:v>
      </x:c>
    </x:row>
    <x:row r="13">
      <x:c r="A13" t="str">
        <x:v>S01</x:v>
      </x:c>
      <x:c r="B13" t="str">
        <x:v>1.10 initial validation – unstable response state</x:v>
      </x:c>
      <x:c r="C13" s="54" t="n">
        <x:v>1.1</x:v>
      </x:c>
      <x:c r="D13" t="n">
        <x:v>2</x:v>
      </x:c>
      <x:c r="E13" t="str">
        <x:v>UNSTABLE — SEARCH CONTINUES</x:v>
      </x:c>
      <x:c r="F13" s="58" t="str">
        <x:v>FINE | point 1 | DAC 2.00 | CTRL X 0.48042 | X 0.48305 | Y 0.22124 | Z 0.16242 | TOTAL 0.55667 | error -56.33 % | MAD 3.54 % | CV 3.23 % | coh 48.9 % | dominant X | axis fraction 100.0 % | UNSTABLE — SEARCH CONTINUES</x:v>
      </x:c>
      <x:c r="G13" t="n">
        <x:v>187</x:v>
      </x:c>
    </x:row>
    <x:row r="14">
      <x:c r="A14" t="str">
        <x:v>S01</x:v>
      </x:c>
      <x:c r="B14" t="str">
        <x:v>1.10 initial validation – unstable response state</x:v>
      </x:c>
      <x:c r="C14" s="54" t="n">
        <x:v>1.1</x:v>
      </x:c>
      <x:c r="D14" t="n">
        <x:v>2</x:v>
      </x:c>
      <x:c r="E14" t="str">
        <x:v>UNSTABLE — SEARCH CONTINUES</x:v>
      </x:c>
      <x:c r="F14" s="58" t="str">
        <x:v>FINE | point 2 | DAC 2.25 | CTRL X 0.52080 | X 0.52792 | Y 0.27642 | Z 0.17989 | TOTAL 0.62341 | error -52.65 % | MAD 0.42 % | CV 2.58 % | coh 49.3 % | dominant X | axis fraction 100.0 % | UNSTABLE — SEARCH CONTINUES</x:v>
      </x:c>
      <x:c r="G14" t="n">
        <x:v>188</x:v>
      </x:c>
    </x:row>
    <x:row r="15">
      <x:c r="A15" t="str">
        <x:v>S01</x:v>
      </x:c>
      <x:c r="B15" t="str">
        <x:v>1.10 initial validation – unstable response state</x:v>
      </x:c>
      <x:c r="C15" s="54" t="n">
        <x:v>1.1</x:v>
      </x:c>
      <x:c r="D15" t="n">
        <x:v>2</x:v>
      </x:c>
      <x:c r="E15" t="str">
        <x:v>Validation pair accepted</x:v>
      </x:c>
      <x:c r="F15" s="58" t="str">
        <x:v>VALIDATION ACCEPTED | pair drift 0.91 %</x:v>
      </x:c>
      <x:c r="G15" t="n">
        <x:v>200</x:v>
      </x:c>
    </x:row>
    <x:row r="16">
      <x:c r="A16" t="str">
        <x:v>S01</x:v>
      </x:c>
      <x:c r="B16" t="str">
        <x:v>1.10 initial validation – unstable response state</x:v>
      </x:c>
      <x:c r="C16" s="54" t="n">
        <x:v>1.1</x:v>
      </x:c>
      <x:c r="D16" t="n">
        <x:v>2</x:v>
      </x:c>
      <x:c r="E16" t="str">
        <x:v>Run pass</x:v>
      </x:c>
      <x:c r="F16" s="58" t="str">
        <x:v>RUN RESULT: PASS</x:v>
      </x:c>
      <x:c r="G16" t="n">
        <x:v>235</x:v>
      </x:c>
    </x:row>
    <x:row r="17">
      <x:c r="A17" t="str">
        <x:v>S01</x:v>
      </x:c>
      <x:c r="B17" t="str">
        <x:v>1.10 initial validation – unstable response state</x:v>
      </x:c>
      <x:c r="C17" s="54" t="n">
        <x:v>1.1</x:v>
      </x:c>
      <x:c r="D17" t="n">
        <x:v>3</x:v>
      </x:c>
      <x:c r="E17" t="str">
        <x:v>UNSTABLE — SEARCH CONTINUES</x:v>
      </x:c>
      <x:c r="F17" s="58" t="str">
        <x:v>FINE | point 1 | DAC 2.00 | CTRL X 0.48555 | X 0.48082 | Y 0.22646 | Z 0.16471 | TOTAL 0.55875 | error -55.86 % | MAD 0.49 % | CV 1.99 % | coh 49.6 % | dominant X | axis fraction 100.0 % | UNSTABLE — SEARCH CONTINUES</x:v>
      </x:c>
      <x:c r="G17" t="n">
        <x:v>260</x:v>
      </x:c>
    </x:row>
    <x:row r="18">
      <x:c r="A18" t="str">
        <x:v>S01</x:v>
      </x:c>
      <x:c r="B18" t="str">
        <x:v>1.10 initial validation – unstable response state</x:v>
      </x:c>
      <x:c r="C18" s="54" t="n">
        <x:v>1.1</x:v>
      </x:c>
      <x:c r="D18" t="n">
        <x:v>3</x:v>
      </x:c>
      <x:c r="E18" t="str">
        <x:v>UNSTABLE — SEARCH CONTINUES</x:v>
      </x:c>
      <x:c r="F18" s="58" t="str">
        <x:v>FINE | point 2 | DAC 2.25 | CTRL X 0.52268 | X 0.53436 | Y 0.24115 | Z 0.18134 | TOTAL 0.61379 | error -52.48 % | MAD 3.08 % | CV 5.64 % | coh 50.7 % | dominant X | axis fraction 100.0 % | UNSTABLE — SEARCH CONTINUES</x:v>
      </x:c>
      <x:c r="G18" t="n">
        <x:v>261</x:v>
      </x:c>
    </x:row>
    <x:row r="19">
      <x:c r="A19" t="str">
        <x:v>S01</x:v>
      </x:c>
      <x:c r="B19" t="str">
        <x:v>1.10 initial validation – unstable response state</x:v>
      </x:c>
      <x:c r="C19" s="54" t="n">
        <x:v>1.1</x:v>
      </x:c>
      <x:c r="D19" t="n">
        <x:v>3</x:v>
      </x:c>
      <x:c r="E19" t="str">
        <x:v>Validation pair accepted</x:v>
      </x:c>
      <x:c r="F19" s="58" t="str">
        <x:v>VALIDATION ACCEPTED | pair drift 1.58 %</x:v>
      </x:c>
      <x:c r="G19" t="n">
        <x:v>273</x:v>
      </x:c>
    </x:row>
    <x:row r="20">
      <x:c r="A20" t="str">
        <x:v>S01</x:v>
      </x:c>
      <x:c r="B20" t="str">
        <x:v>1.10 initial validation – unstable response state</x:v>
      </x:c>
      <x:c r="C20" s="54" t="n">
        <x:v>1.1</x:v>
      </x:c>
      <x:c r="D20" t="n">
        <x:v>3</x:v>
      </x:c>
      <x:c r="E20" t="str">
        <x:v>Run pass</x:v>
      </x:c>
      <x:c r="F20" s="58" t="str">
        <x:v>RUN RESULT: PASS</x:v>
      </x:c>
      <x:c r="G20" t="n">
        <x:v>308</x:v>
      </x:c>
    </x:row>
    <x:row r="21">
      <x:c r="A21" t="str">
        <x:v>S01</x:v>
      </x:c>
      <x:c r="B21" t="str">
        <x:v>1.10 initial validation – unstable response state</x:v>
      </x:c>
      <x:c r="C21" s="54" t="n">
        <x:v>1.1</x:v>
      </x:c>
      <x:c r="D21" t="n">
        <x:v>4</x:v>
      </x:c>
      <x:c r="E21" t="str">
        <x:v>UNSTABLE — SEARCH CONTINUES</x:v>
      </x:c>
      <x:c r="F21" s="58" t="str">
        <x:v>FINE | point 1 | DAC 2.00 | CTRL X 0.45885 | X 0.45768 | Y 0.22952 | Z 0.18913 | TOTAL 0.54659 | error -58.29 % | MAD 6.55 % | CV 4.82 % | coh 47.5 % | dominant X | axis fraction 100.0 % | UNSTABLE — SEARCH CONTINUES</x:v>
      </x:c>
      <x:c r="G21" t="n">
        <x:v>333</x:v>
      </x:c>
    </x:row>
    <x:row r="22">
      <x:c r="A22" t="str">
        <x:v>S01</x:v>
      </x:c>
      <x:c r="B22" t="str">
        <x:v>1.10 initial validation – unstable response state</x:v>
      </x:c>
      <x:c r="C22" s="54" t="n">
        <x:v>1.1</x:v>
      </x:c>
      <x:c r="D22" t="n">
        <x:v>4</x:v>
      </x:c>
      <x:c r="E22" t="str">
        <x:v>UNSTABLE — SEARCH CONTINUES</x:v>
      </x:c>
      <x:c r="F22" s="58" t="str">
        <x:v>FINE | point 2 | DAC 2.25 | CTRL X 0.53090 | X 0.53043 | Y 0.23081 | Z 0.16931 | TOTAL 0.60378 | error -51.74 % | MAD 1.90 % | CV 1.42 % | coh 51.7 % | dominant X | axis fraction 100.0 % | UNSTABLE — SEARCH CONTINUES</x:v>
      </x:c>
      <x:c r="G22" t="n">
        <x:v>334</x:v>
      </x:c>
    </x:row>
    <x:row r="23">
      <x:c r="A23" t="str">
        <x:v>S01</x:v>
      </x:c>
      <x:c r="B23" t="str">
        <x:v>1.10 initial validation – unstable response state</x:v>
      </x:c>
      <x:c r="C23" s="54" t="n">
        <x:v>1.1</x:v>
      </x:c>
      <x:c r="D23" t="n">
        <x:v>4</x:v>
      </x:c>
      <x:c r="E23" t="str">
        <x:v>Validation pair accepted</x:v>
      </x:c>
      <x:c r="F23" s="58" t="str">
        <x:v>VALIDATION ACCEPTED | pair drift 2.29 %</x:v>
      </x:c>
      <x:c r="G23" t="n">
        <x:v>346</x:v>
      </x:c>
    </x:row>
    <x:row r="24">
      <x:c r="A24" t="str">
        <x:v>S01</x:v>
      </x:c>
      <x:c r="B24" t="str">
        <x:v>1.10 initial validation – unstable response state</x:v>
      </x:c>
      <x:c r="C24" s="54" t="n">
        <x:v>1.1</x:v>
      </x:c>
      <x:c r="D24" t="n">
        <x:v>4</x:v>
      </x:c>
      <x:c r="E24" t="str">
        <x:v>Hold failure</x:v>
      </x:c>
      <x:c r="F24" s="58" t="str">
        <x:v>HOLD RESULT: FAIL</x:v>
      </x:c>
      <x:c r="G24" t="n">
        <x:v>379</x:v>
      </x:c>
    </x:row>
    <x:row r="25">
      <x:c r="A25" t="str">
        <x:v>S01</x:v>
      </x:c>
      <x:c r="B25" t="str">
        <x:v>1.10 initial validation – unstable response state</x:v>
      </x:c>
      <x:c r="C25" s="54" t="n">
        <x:v>1.1</x:v>
      </x:c>
      <x:c r="D25" t="n">
        <x:v>4</x:v>
      </x:c>
      <x:c r="E25" t="str">
        <x:v>Retry</x:v>
      </x:c>
      <x:c r="F25" s="58" t="str">
        <x:v>ACQUISITION ATTEMPT 2 OF 2</x:v>
      </x:c>
      <x:c r="G25" t="n">
        <x:v>381</x:v>
      </x:c>
    </x:row>
    <x:row r="26">
      <x:c r="A26" t="str">
        <x:v>S01</x:v>
      </x:c>
      <x:c r="B26" t="str">
        <x:v>1.10 initial validation – unstable response state</x:v>
      </x:c>
      <x:c r="C26" s="54" t="n">
        <x:v>1.1</x:v>
      </x:c>
      <x:c r="D26" t="n">
        <x:v>4</x:v>
      </x:c>
      <x:c r="E26" t="str">
        <x:v>Run failure</x:v>
      </x:c>
      <x:c r="F26" s="58" t="str">
        <x:v>RUN RESULT: FAIL — X target exceeded at first reliable DAC; reduce amplifier knob</x:v>
      </x:c>
      <x:c r="G26" t="n">
        <x:v>389</x:v>
      </x:c>
    </x:row>
    <x:row r="27">
      <x:c r="A27" t="str">
        <x:v>S01</x:v>
      </x:c>
      <x:c r="B27" t="str">
        <x:v>1.10 initial validation – unstable response state</x:v>
      </x:c>
      <x:c r="C27" s="54" t="n">
        <x:v>1.1</x:v>
      </x:c>
      <x:c r="D27" t="n">
        <x:v>5</x:v>
      </x:c>
      <x:c r="E27" t="str">
        <x:v>Retry</x:v>
      </x:c>
      <x:c r="F27" s="58" t="str">
        <x:v>ACQUISITION ATTEMPT 2 OF 2</x:v>
      </x:c>
      <x:c r="G27" t="n">
        <x:v>409</x:v>
      </x:c>
    </x:row>
    <x:row r="28">
      <x:c r="A28" t="str">
        <x:v>S01</x:v>
      </x:c>
      <x:c r="B28" t="str">
        <x:v>1.10 initial validation – unstable response state</x:v>
      </x:c>
      <x:c r="C28" s="54" t="n">
        <x:v>1.1</x:v>
      </x:c>
      <x:c r="D28" t="n">
        <x:v>5</x:v>
      </x:c>
      <x:c r="E28" t="str">
        <x:v>Run failure</x:v>
      </x:c>
      <x:c r="F28" s="58" t="str">
        <x:v>RUN RESULT: FAIL — X target exceeded at first reliable DAC; reduce amplifier knob</x:v>
      </x:c>
      <x:c r="G28" t="n">
        <x:v>417</x:v>
      </x:c>
    </x:row>
    <x:row r="29">
      <x:c r="A29" t="str">
        <x:v>S02</x:v>
      </x:c>
      <x:c r="B29" t="str">
        <x:v>0.90 high-gain search limitation</x:v>
      </x:c>
      <x:c r="C29" s="54" t="n">
        <x:v>0.9</x:v>
      </x:c>
      <x:c r="D29" t="n">
        <x:v>1</x:v>
      </x:c>
      <x:c r="E29" t="str">
        <x:v>Retry</x:v>
      </x:c>
      <x:c r="F29" s="58" t="str">
        <x:v>ACQUISITION ATTEMPT 2 OF 2</x:v>
      </x:c>
      <x:c r="G29" t="n">
        <x:v>491</x:v>
      </x:c>
    </x:row>
    <x:row r="30">
      <x:c r="A30" t="str">
        <x:v>S02</x:v>
      </x:c>
      <x:c r="B30" t="str">
        <x:v>0.90 high-gain search limitation</x:v>
      </x:c>
      <x:c r="C30" s="54" t="n">
        <x:v>0.9</x:v>
      </x:c>
      <x:c r="D30" t="n">
        <x:v>1</x:v>
      </x:c>
      <x:c r="E30" t="str">
        <x:v>Run failure</x:v>
      </x:c>
      <x:c r="F30" s="58" t="str">
        <x:v>RUN RESULT: FAIL — X target exceeded at first reliable DAC; reduce amplifier knob</x:v>
      </x:c>
      <x:c r="G30" t="n">
        <x:v>499</x:v>
      </x:c>
    </x:row>
    <x:row r="31">
      <x:c r="A31" t="str">
        <x:v>S02</x:v>
      </x:c>
      <x:c r="B31" t="str">
        <x:v>0.90 high-gain search limitation</x:v>
      </x:c>
      <x:c r="C31" s="54" t="n">
        <x:v>0.9</x:v>
      </x:c>
      <x:c r="D31" t="n">
        <x:v>2</x:v>
      </x:c>
      <x:c r="E31" t="str">
        <x:v>Retry</x:v>
      </x:c>
      <x:c r="F31" s="58" t="str">
        <x:v>ACQUISITION ATTEMPT 2 OF 2</x:v>
      </x:c>
      <x:c r="G31" t="n">
        <x:v>519</x:v>
      </x:c>
    </x:row>
    <x:row r="32">
      <x:c r="A32" t="str">
        <x:v>S02</x:v>
      </x:c>
      <x:c r="B32" t="str">
        <x:v>0.90 high-gain search limitation</x:v>
      </x:c>
      <x:c r="C32" s="54" t="n">
        <x:v>0.9</x:v>
      </x:c>
      <x:c r="D32" t="n">
        <x:v>2</x:v>
      </x:c>
      <x:c r="E32" t="str">
        <x:v>Run failure</x:v>
      </x:c>
      <x:c r="F32" s="58" t="str">
        <x:v>RUN RESULT: FAIL — X target exceeded at first reliable DAC; reduce amplifier knob</x:v>
      </x:c>
      <x:c r="G32" t="n">
        <x:v>527</x:v>
      </x:c>
    </x:row>
    <x:row r="33">
      <x:c r="A33" t="str">
        <x:v>S02</x:v>
      </x:c>
      <x:c r="B33" t="str">
        <x:v>0.90 high-gain search limitation</x:v>
      </x:c>
      <x:c r="C33" s="54" t="n">
        <x:v>0.9</x:v>
      </x:c>
      <x:c r="D33" t="n">
        <x:v>3</x:v>
      </x:c>
      <x:c r="E33" t="str">
        <x:v>Retry</x:v>
      </x:c>
      <x:c r="F33" s="58" t="str">
        <x:v>ACQUISITION ATTEMPT 2 OF 2</x:v>
      </x:c>
      <x:c r="G33" t="n">
        <x:v>547</x:v>
      </x:c>
    </x:row>
    <x:row r="34">
      <x:c r="A34" t="str">
        <x:v>S02</x:v>
      </x:c>
      <x:c r="B34" t="str">
        <x:v>0.90 high-gain search limitation</x:v>
      </x:c>
      <x:c r="C34" s="54" t="n">
        <x:v>0.9</x:v>
      </x:c>
      <x:c r="D34" t="n">
        <x:v>3</x:v>
      </x:c>
      <x:c r="E34" t="str">
        <x:v>Run failure</x:v>
      </x:c>
      <x:c r="F34" s="58" t="str">
        <x:v>RUN RESULT: FAIL — X target exceeded at first reliable DAC; reduce amplifier knob</x:v>
      </x:c>
      <x:c r="G34" t="n">
        <x:v>555</x:v>
      </x:c>
    </x:row>
    <x:row r="35">
      <x:c r="A35" t="str">
        <x:v>S02</x:v>
      </x:c>
      <x:c r="B35" t="str">
        <x:v>0.90 high-gain search limitation</x:v>
      </x:c>
      <x:c r="C35" s="54" t="n">
        <x:v>0.9</x:v>
      </x:c>
      <x:c r="D35" t="n">
        <x:v>4</x:v>
      </x:c>
      <x:c r="E35" t="str">
        <x:v>Retry</x:v>
      </x:c>
      <x:c r="F35" s="58" t="str">
        <x:v>ACQUISITION ATTEMPT 2 OF 2</x:v>
      </x:c>
      <x:c r="G35" t="n">
        <x:v>575</x:v>
      </x:c>
    </x:row>
    <x:row r="36">
      <x:c r="A36" t="str">
        <x:v>S02</x:v>
      </x:c>
      <x:c r="B36" t="str">
        <x:v>0.90 high-gain search limitation</x:v>
      </x:c>
      <x:c r="C36" s="54" t="n">
        <x:v>0.9</x:v>
      </x:c>
      <x:c r="D36" t="n">
        <x:v>4</x:v>
      </x:c>
      <x:c r="E36" t="str">
        <x:v>Run failure</x:v>
      </x:c>
      <x:c r="F36" s="58" t="str">
        <x:v>RUN RESULT: FAIL — X target exceeded at first reliable DAC; reduce amplifier knob</x:v>
      </x:c>
      <x:c r="G36" t="n">
        <x:v>583</x:v>
      </x:c>
    </x:row>
    <x:row r="37">
      <x:c r="A37" t="str">
        <x:v>S02</x:v>
      </x:c>
      <x:c r="B37" t="str">
        <x:v>0.90 high-gain search limitation</x:v>
      </x:c>
      <x:c r="C37" s="54" t="n">
        <x:v>0.9</x:v>
      </x:c>
      <x:c r="D37" t="n">
        <x:v>5</x:v>
      </x:c>
      <x:c r="E37" t="str">
        <x:v>Retry</x:v>
      </x:c>
      <x:c r="F37" s="58" t="str">
        <x:v>ACQUISITION ATTEMPT 2 OF 2</x:v>
      </x:c>
      <x:c r="G37" t="n">
        <x:v>603</x:v>
      </x:c>
    </x:row>
    <x:row r="38">
      <x:c r="A38" t="str">
        <x:v>S02</x:v>
      </x:c>
      <x:c r="B38" t="str">
        <x:v>0.90 high-gain search limitation</x:v>
      </x:c>
      <x:c r="C38" s="54" t="n">
        <x:v>0.9</x:v>
      </x:c>
      <x:c r="D38" t="n">
        <x:v>5</x:v>
      </x:c>
      <x:c r="E38" t="str">
        <x:v>Run failure</x:v>
      </x:c>
      <x:c r="F38" s="58" t="str">
        <x:v>RUN RESULT: FAIL — X target exceeded at first reliable DAC; reduce amplifier knob</x:v>
      </x:c>
      <x:c r="G38" t="n">
        <x:v>611</x:v>
      </x:c>
    </x:row>
    <x:row r="39">
      <x:c r="A39" t="str">
        <x:v>S03</x:v>
      </x:c>
      <x:c r="B39" t="str">
        <x:v>0.90 validated five-run session</x:v>
      </x:c>
      <x:c r="C39" s="54" t="n">
        <x:v>0.9</x:v>
      </x:c>
      <x:c r="D39" t="n">
        <x:v>1</x:v>
      </x:c>
      <x:c r="E39" t="str">
        <x:v>Validation pair accepted</x:v>
      </x:c>
      <x:c r="F39" s="58" t="str">
        <x:v>VALIDATION ACCEPTED | pair drift 1.03 %</x:v>
      </x:c>
      <x:c r="G39" t="n">
        <x:v>683</x:v>
      </x:c>
    </x:row>
    <x:row r="40">
      <x:c r="A40" t="str">
        <x:v>S03</x:v>
      </x:c>
      <x:c r="B40" t="str">
        <x:v>0.90 validated five-run session</x:v>
      </x:c>
      <x:c r="C40" s="54" t="n">
        <x:v>0.9</x:v>
      </x:c>
      <x:c r="D40" t="n">
        <x:v>1</x:v>
      </x:c>
      <x:c r="E40" t="str">
        <x:v>Run pass</x:v>
      </x:c>
      <x:c r="F40" s="58" t="str">
        <x:v>RUN RESULT: PASS</x:v>
      </x:c>
      <x:c r="G40" t="n">
        <x:v>718</x:v>
      </x:c>
    </x:row>
    <x:row r="41">
      <x:c r="A41" t="str">
        <x:v>S03</x:v>
      </x:c>
      <x:c r="B41" t="str">
        <x:v>0.90 validated five-run session</x:v>
      </x:c>
      <x:c r="C41" s="54" t="n">
        <x:v>0.9</x:v>
      </x:c>
      <x:c r="D41" t="n">
        <x:v>2</x:v>
      </x:c>
      <x:c r="E41" t="str">
        <x:v>Validation pair accepted</x:v>
      </x:c>
      <x:c r="F41" s="58" t="str">
        <x:v>VALIDATION ACCEPTED | pair drift 0.34 %</x:v>
      </x:c>
      <x:c r="G41" t="n">
        <x:v>763</x:v>
      </x:c>
    </x:row>
    <x:row r="42">
      <x:c r="A42" t="str">
        <x:v>S03</x:v>
      </x:c>
      <x:c r="B42" t="str">
        <x:v>0.90 validated five-run session</x:v>
      </x:c>
      <x:c r="C42" s="54" t="n">
        <x:v>0.9</x:v>
      </x:c>
      <x:c r="D42" t="n">
        <x:v>2</x:v>
      </x:c>
      <x:c r="E42" t="str">
        <x:v>Run pass</x:v>
      </x:c>
      <x:c r="F42" s="58" t="str">
        <x:v>RUN RESULT: PASS</x:v>
      </x:c>
      <x:c r="G42" t="n">
        <x:v>798</x:v>
      </x:c>
    </x:row>
    <x:row r="43">
      <x:c r="A43" t="str">
        <x:v>S03</x:v>
      </x:c>
      <x:c r="B43" t="str">
        <x:v>0.90 validated five-run session</x:v>
      </x:c>
      <x:c r="C43" s="54" t="n">
        <x:v>0.9</x:v>
      </x:c>
      <x:c r="D43" t="n">
        <x:v>3</x:v>
      </x:c>
      <x:c r="E43" t="str">
        <x:v>RAW CLIPPING</x:v>
      </x:c>
      <x:c r="F43" s="58" t="str">
        <x:v>FINE | point 3 | DAC 8.25 | CTRL X 0.78923 | X 0.78923 | Y 0.29141 | Z 0.47100 | TOTAL 0.96490 | error -12.31 % | MAD 4.35 % | CV 4.15 % | coh 91.2 % | dominant X | axis fraction 100.0 % | RAW CLIPPING</x:v>
      </x:c>
      <x:c r="G43" t="n">
        <x:v>832</x:v>
      </x:c>
    </x:row>
    <x:row r="44">
      <x:c r="A44" t="str">
        <x:v>S03</x:v>
      </x:c>
      <x:c r="B44" t="str">
        <x:v>0.90 validated five-run session</x:v>
      </x:c>
      <x:c r="C44" s="54" t="n">
        <x:v>0.9</x:v>
      </x:c>
      <x:c r="D44" t="n">
        <x:v>3</x:v>
      </x:c>
      <x:c r="E44" t="str">
        <x:v>Retry</x:v>
      </x:c>
      <x:c r="F44" s="58" t="str">
        <x:v>ACQUISITION ATTEMPT 2 OF 2</x:v>
      </x:c>
      <x:c r="G44" t="n">
        <x:v>834</x:v>
      </x:c>
    </x:row>
    <x:row r="45">
      <x:c r="A45" t="str">
        <x:v>S03</x:v>
      </x:c>
      <x:c r="B45" t="str">
        <x:v>0.90 validated five-run session</x:v>
      </x:c>
      <x:c r="C45" s="54" t="n">
        <x:v>0.9</x:v>
      </x:c>
      <x:c r="D45" t="n">
        <x:v>3</x:v>
      </x:c>
      <x:c r="E45" t="str">
        <x:v>Validation pair accepted</x:v>
      </x:c>
      <x:c r="F45" s="58" t="str">
        <x:v>VALIDATION ACCEPTED | pair drift 1.37 %</x:v>
      </x:c>
      <x:c r="G45" t="n">
        <x:v>864</x:v>
      </x:c>
    </x:row>
    <x:row r="46">
      <x:c r="A46" t="str">
        <x:v>S03</x:v>
      </x:c>
      <x:c r="B46" t="str">
        <x:v>0.90 validated five-run session</x:v>
      </x:c>
      <x:c r="C46" s="54" t="n">
        <x:v>0.9</x:v>
      </x:c>
      <x:c r="D46" t="n">
        <x:v>3</x:v>
      </x:c>
      <x:c r="E46" t="str">
        <x:v>Run pass</x:v>
      </x:c>
      <x:c r="F46" s="58" t="str">
        <x:v>RUN RESULT: PASS</x:v>
      </x:c>
      <x:c r="G46" t="n">
        <x:v>899</x:v>
      </x:c>
    </x:row>
    <x:row r="47">
      <x:c r="A47" t="str">
        <x:v>S03</x:v>
      </x:c>
      <x:c r="B47" t="str">
        <x:v>0.90 validated five-run session</x:v>
      </x:c>
      <x:c r="C47" s="54" t="n">
        <x:v>0.9</x:v>
      </x:c>
      <x:c r="D47" t="n">
        <x:v>4</x:v>
      </x:c>
      <x:c r="E47" t="str">
        <x:v>Validation pair accepted</x:v>
      </x:c>
      <x:c r="F47" s="58" t="str">
        <x:v>VALIDATION ACCEPTED | pair drift 1.29 %</x:v>
      </x:c>
      <x:c r="G47" t="n">
        <x:v>944</x:v>
      </x:c>
    </x:row>
    <x:row r="48">
      <x:c r="A48" t="str">
        <x:v>S03</x:v>
      </x:c>
      <x:c r="B48" t="str">
        <x:v>0.90 validated five-run session</x:v>
      </x:c>
      <x:c r="C48" s="54" t="n">
        <x:v>0.9</x:v>
      </x:c>
      <x:c r="D48" t="n">
        <x:v>4</x:v>
      </x:c>
      <x:c r="E48" t="str">
        <x:v>Run pass</x:v>
      </x:c>
      <x:c r="F48" s="58" t="str">
        <x:v>RUN RESULT: PASS</x:v>
      </x:c>
      <x:c r="G48" t="n">
        <x:v>979</x:v>
      </x:c>
    </x:row>
    <x:row r="49">
      <x:c r="A49" t="str">
        <x:v>S03</x:v>
      </x:c>
      <x:c r="B49" t="str">
        <x:v>0.90 validated five-run session</x:v>
      </x:c>
      <x:c r="C49" s="54" t="n">
        <x:v>0.9</x:v>
      </x:c>
      <x:c r="D49" t="n">
        <x:v>5</x:v>
      </x:c>
      <x:c r="E49" t="str">
        <x:v>Validation pair accepted</x:v>
      </x:c>
      <x:c r="F49" s="58" t="str">
        <x:v>VALIDATION ACCEPTED | pair drift 0.53 %</x:v>
      </x:c>
      <x:c r="G49" t="n">
        <x:v>1024</x:v>
      </x:c>
    </x:row>
    <x:row r="50">
      <x:c r="A50" t="str">
        <x:v>S03</x:v>
      </x:c>
      <x:c r="B50" t="str">
        <x:v>0.90 validated five-run session</x:v>
      </x:c>
      <x:c r="C50" s="54" t="n">
        <x:v>0.9</x:v>
      </x:c>
      <x:c r="D50" t="n">
        <x:v>5</x:v>
      </x:c>
      <x:c r="E50" t="str">
        <x:v>Run pass</x:v>
      </x:c>
      <x:c r="F50" s="58" t="str">
        <x:v>RUN RESULT: PASS</x:v>
      </x:c>
      <x:c r="G50" t="n">
        <x:v>1059</x:v>
      </x:c>
    </x:row>
    <x:row r="51">
      <x:c r="A51" t="str">
        <x:v>S04</x:v>
      </x:c>
      <x:c r="B51" t="str">
        <x:v>1.20 validated five-run session</x:v>
      </x:c>
      <x:c r="C51" s="54" t="n">
        <x:v>1.2</x:v>
      </x:c>
      <x:c r="D51" t="n">
        <x:v>1</x:v>
      </x:c>
      <x:c r="E51" t="str">
        <x:v>Validation pair accepted</x:v>
      </x:c>
      <x:c r="F51" s="58" t="str">
        <x:v>VALIDATION ACCEPTED | pair drift 0.16 %</x:v>
      </x:c>
      <x:c r="G51" t="n">
        <x:v>1146</x:v>
      </x:c>
    </x:row>
    <x:row r="52">
      <x:c r="A52" t="str">
        <x:v>S04</x:v>
      </x:c>
      <x:c r="B52" t="str">
        <x:v>1.20 validated five-run session</x:v>
      </x:c>
      <x:c r="C52" s="54" t="n">
        <x:v>1.2</x:v>
      </x:c>
      <x:c r="D52" t="n">
        <x:v>1</x:v>
      </x:c>
      <x:c r="E52" t="str">
        <x:v>Run pass</x:v>
      </x:c>
      <x:c r="F52" s="58" t="str">
        <x:v>RUN RESULT: PASS</x:v>
      </x:c>
      <x:c r="G52" t="n">
        <x:v>1181</x:v>
      </x:c>
    </x:row>
    <x:row r="53">
      <x:c r="A53" t="str">
        <x:v>S04</x:v>
      </x:c>
      <x:c r="B53" t="str">
        <x:v>1.20 validated five-run session</x:v>
      </x:c>
      <x:c r="C53" s="54" t="n">
        <x:v>1.2</x:v>
      </x:c>
      <x:c r="D53" t="n">
        <x:v>2</x:v>
      </x:c>
      <x:c r="E53" t="str">
        <x:v>Validation pair accepted</x:v>
      </x:c>
      <x:c r="F53" s="58" t="str">
        <x:v>VALIDATION ACCEPTED | pair drift 0.20 %</x:v>
      </x:c>
      <x:c r="G53" t="n">
        <x:v>1230</x:v>
      </x:c>
    </x:row>
    <x:row r="54">
      <x:c r="A54" t="str">
        <x:v>S04</x:v>
      </x:c>
      <x:c r="B54" t="str">
        <x:v>1.20 validated five-run session</x:v>
      </x:c>
      <x:c r="C54" s="54" t="n">
        <x:v>1.2</x:v>
      </x:c>
      <x:c r="D54" t="n">
        <x:v>2</x:v>
      </x:c>
      <x:c r="E54" t="str">
        <x:v>Run pass</x:v>
      </x:c>
      <x:c r="F54" s="58" t="str">
        <x:v>RUN RESULT: PASS</x:v>
      </x:c>
      <x:c r="G54" t="n">
        <x:v>1265</x:v>
      </x:c>
    </x:row>
    <x:row r="55">
      <x:c r="A55" t="str">
        <x:v>S04</x:v>
      </x:c>
      <x:c r="B55" t="str">
        <x:v>1.20 validated five-run session</x:v>
      </x:c>
      <x:c r="C55" s="54" t="n">
        <x:v>1.2</x:v>
      </x:c>
      <x:c r="D55" t="n">
        <x:v>3</x:v>
      </x:c>
      <x:c r="E55" t="str">
        <x:v>Validation pair accepted</x:v>
      </x:c>
      <x:c r="F55" s="58" t="str">
        <x:v>VALIDATION ACCEPTED | pair drift 2.49 %</x:v>
      </x:c>
      <x:c r="G55" t="n">
        <x:v>1314</x:v>
      </x:c>
    </x:row>
    <x:row r="56">
      <x:c r="A56" t="str">
        <x:v>S04</x:v>
      </x:c>
      <x:c r="B56" t="str">
        <x:v>1.20 validated five-run session</x:v>
      </x:c>
      <x:c r="C56" s="54" t="n">
        <x:v>1.2</x:v>
      </x:c>
      <x:c r="D56" t="n">
        <x:v>3</x:v>
      </x:c>
      <x:c r="E56" t="str">
        <x:v>Run pass</x:v>
      </x:c>
      <x:c r="F56" s="58" t="str">
        <x:v>RUN RESULT: PASS</x:v>
      </x:c>
      <x:c r="G56" t="n">
        <x:v>1349</x:v>
      </x:c>
    </x:row>
    <x:row r="57">
      <x:c r="A57" t="str">
        <x:v>S04</x:v>
      </x:c>
      <x:c r="B57" t="str">
        <x:v>1.20 validated five-run session</x:v>
      </x:c>
      <x:c r="C57" s="54" t="n">
        <x:v>1.2</x:v>
      </x:c>
      <x:c r="D57" t="n">
        <x:v>4</x:v>
      </x:c>
      <x:c r="E57" t="str">
        <x:v>Validation pair accepted</x:v>
      </x:c>
      <x:c r="F57" s="58" t="str">
        <x:v>VALIDATION ACCEPTED | pair drift 0.65 %</x:v>
      </x:c>
      <x:c r="G57" t="n">
        <x:v>1398</x:v>
      </x:c>
    </x:row>
    <x:row r="58">
      <x:c r="A58" t="str">
        <x:v>S04</x:v>
      </x:c>
      <x:c r="B58" t="str">
        <x:v>1.20 validated five-run session</x:v>
      </x:c>
      <x:c r="C58" s="54" t="n">
        <x:v>1.2</x:v>
      </x:c>
      <x:c r="D58" t="n">
        <x:v>4</x:v>
      </x:c>
      <x:c r="E58" t="str">
        <x:v>Run pass</x:v>
      </x:c>
      <x:c r="F58" s="58" t="str">
        <x:v>RUN RESULT: PASS</x:v>
      </x:c>
      <x:c r="G58" t="n">
        <x:v>1433</x:v>
      </x:c>
    </x:row>
    <x:row r="59">
      <x:c r="A59" t="str">
        <x:v>S04</x:v>
      </x:c>
      <x:c r="B59" t="str">
        <x:v>1.20 validated five-run session</x:v>
      </x:c>
      <x:c r="C59" s="54" t="n">
        <x:v>1.2</x:v>
      </x:c>
      <x:c r="D59" t="n">
        <x:v>5</x:v>
      </x:c>
      <x:c r="E59" t="str">
        <x:v>UNSTABLE — SEARCH CONTINUES</x:v>
      </x:c>
      <x:c r="F59" s="58" t="str">
        <x:v>SEARCH | point 2 | DAC 3.00 | CTRL X 0.14939 | X 0.14937 | Y 0.07181 | Z 0.12305 | TOTAL 0.20696 | error -87.55 % | MAD 18.97 % | CV 12.81 % | coh 52.8 % | dominant X | axis fraction 100.0 % | UNSTABLE — SEARCH CONTINUES</x:v>
      </x:c>
      <x:c r="G59" t="n">
        <x:v>1454</x:v>
      </x:c>
    </x:row>
    <x:row r="60">
      <x:c r="A60" t="str">
        <x:v>S04</x:v>
      </x:c>
      <x:c r="B60" t="str">
        <x:v>1.20 validated five-run session</x:v>
      </x:c>
      <x:c r="C60" s="54" t="n">
        <x:v>1.2</x:v>
      </x:c>
      <x:c r="D60" t="n">
        <x:v>5</x:v>
      </x:c>
      <x:c r="E60" t="str">
        <x:v>Validation pair accepted</x:v>
      </x:c>
      <x:c r="F60" s="58" t="str">
        <x:v>VALIDATION ACCEPTED | pair drift 0.37 %</x:v>
      </x:c>
      <x:c r="G60" t="n">
        <x:v>1482</x:v>
      </x:c>
    </x:row>
    <x:row r="61">
      <x:c r="A61" t="str">
        <x:v>S04</x:v>
      </x:c>
      <x:c r="B61" t="str">
        <x:v>1.20 validated five-run session</x:v>
      </x:c>
      <x:c r="C61" s="54" t="n">
        <x:v>1.2</x:v>
      </x:c>
      <x:c r="D61" t="n">
        <x:v>5</x:v>
      </x:c>
      <x:c r="E61" t="str">
        <x:v>Run pass</x:v>
      </x:c>
      <x:c r="F61" s="58" t="str">
        <x:v>RUN RESULT: PASS</x:v>
      </x:c>
      <x:c r="G61" t="n">
        <x:v>1517</x:v>
      </x:c>
    </x:row>
    <x:row r="62">
      <x:c r="A62" t="str">
        <x:v>S05</x:v>
      </x:c>
      <x:c r="B62" t="str">
        <x:v>1.28 validated five-run session</x:v>
      </x:c>
      <x:c r="C62" s="54" t="n">
        <x:v>1.28</x:v>
      </x:c>
      <x:c r="D62" t="n">
        <x:v>1</x:v>
      </x:c>
      <x:c r="E62" t="str">
        <x:v>Validation pair accepted</x:v>
      </x:c>
      <x:c r="F62" s="58" t="str">
        <x:v>VALIDATION ACCEPTED | pair drift 2.12 %</x:v>
      </x:c>
      <x:c r="G62" t="n">
        <x:v>1621</x:v>
      </x:c>
    </x:row>
    <x:row r="63">
      <x:c r="A63" t="str">
        <x:v>S05</x:v>
      </x:c>
      <x:c r="B63" t="str">
        <x:v>1.28 validated five-run session</x:v>
      </x:c>
      <x:c r="C63" s="54" t="n">
        <x:v>1.28</x:v>
      </x:c>
      <x:c r="D63" t="n">
        <x:v>1</x:v>
      </x:c>
      <x:c r="E63" t="str">
        <x:v>Run pass</x:v>
      </x:c>
      <x:c r="F63" s="58" t="str">
        <x:v>RUN RESULT: PASS</x:v>
      </x:c>
      <x:c r="G63" t="n">
        <x:v>1656</x:v>
      </x:c>
    </x:row>
    <x:row r="64">
      <x:c r="A64" t="str">
        <x:v>S05</x:v>
      </x:c>
      <x:c r="B64" t="str">
        <x:v>1.28 validated five-run session</x:v>
      </x:c>
      <x:c r="C64" s="54" t="n">
        <x:v>1.28</x:v>
      </x:c>
      <x:c r="D64" t="n">
        <x:v>2</x:v>
      </x:c>
      <x:c r="E64" t="str">
        <x:v>Validation pair accepted</x:v>
      </x:c>
      <x:c r="F64" s="58" t="str">
        <x:v>VALIDATION ACCEPTED | pair drift 0.04 %</x:v>
      </x:c>
      <x:c r="G64" t="n">
        <x:v>1705</x:v>
      </x:c>
    </x:row>
    <x:row r="65">
      <x:c r="A65" t="str">
        <x:v>S05</x:v>
      </x:c>
      <x:c r="B65" t="str">
        <x:v>1.28 validated five-run session</x:v>
      </x:c>
      <x:c r="C65" s="54" t="n">
        <x:v>1.28</x:v>
      </x:c>
      <x:c r="D65" t="n">
        <x:v>2</x:v>
      </x:c>
      <x:c r="E65" t="str">
        <x:v>Run pass</x:v>
      </x:c>
      <x:c r="F65" s="58" t="str">
        <x:v>RUN RESULT: PASS</x:v>
      </x:c>
      <x:c r="G65" t="n">
        <x:v>1740</x:v>
      </x:c>
    </x:row>
    <x:row r="66">
      <x:c r="A66" t="str">
        <x:v>S05</x:v>
      </x:c>
      <x:c r="B66" t="str">
        <x:v>1.28 validated five-run session</x:v>
      </x:c>
      <x:c r="C66" s="54" t="n">
        <x:v>1.28</x:v>
      </x:c>
      <x:c r="D66" t="n">
        <x:v>3</x:v>
      </x:c>
      <x:c r="E66" t="str">
        <x:v>Validation pair accepted</x:v>
      </x:c>
      <x:c r="F66" s="58" t="str">
        <x:v>VALIDATION ACCEPTED | pair drift 0.76 %</x:v>
      </x:c>
      <x:c r="G66" t="n">
        <x:v>1790</x:v>
      </x:c>
    </x:row>
    <x:row r="67">
      <x:c r="A67" t="str">
        <x:v>S05</x:v>
      </x:c>
      <x:c r="B67" t="str">
        <x:v>1.28 validated five-run session</x:v>
      </x:c>
      <x:c r="C67" s="54" t="n">
        <x:v>1.28</x:v>
      </x:c>
      <x:c r="D67" t="n">
        <x:v>3</x:v>
      </x:c>
      <x:c r="E67" t="str">
        <x:v>Run pass</x:v>
      </x:c>
      <x:c r="F67" s="58" t="str">
        <x:v>RUN RESULT: PASS</x:v>
      </x:c>
      <x:c r="G67" t="n">
        <x:v>1825</x:v>
      </x:c>
    </x:row>
    <x:row r="68">
      <x:c r="A68" t="str">
        <x:v>S05</x:v>
      </x:c>
      <x:c r="B68" t="str">
        <x:v>1.28 validated five-run session</x:v>
      </x:c>
      <x:c r="C68" s="54" t="n">
        <x:v>1.28</x:v>
      </x:c>
      <x:c r="D68" t="n">
        <x:v>4</x:v>
      </x:c>
      <x:c r="E68" t="str">
        <x:v>Validation pair accepted</x:v>
      </x:c>
      <x:c r="F68" s="58" t="str">
        <x:v>VALIDATION ACCEPTED | pair drift 0.05 %</x:v>
      </x:c>
      <x:c r="G68" t="n">
        <x:v>1875</x:v>
      </x:c>
    </x:row>
    <x:row r="69">
      <x:c r="A69" t="str">
        <x:v>S05</x:v>
      </x:c>
      <x:c r="B69" t="str">
        <x:v>1.28 validated five-run session</x:v>
      </x:c>
      <x:c r="C69" s="54" t="n">
        <x:v>1.28</x:v>
      </x:c>
      <x:c r="D69" t="n">
        <x:v>4</x:v>
      </x:c>
      <x:c r="E69" t="str">
        <x:v>Run pass</x:v>
      </x:c>
      <x:c r="F69" s="58" t="str">
        <x:v>RUN RESULT: PASS</x:v>
      </x:c>
      <x:c r="G69" t="n">
        <x:v>1910</x:v>
      </x:c>
    </x:row>
    <x:row r="70">
      <x:c r="A70" t="str">
        <x:v>S05</x:v>
      </x:c>
      <x:c r="B70" t="str">
        <x:v>1.28 validated five-run session</x:v>
      </x:c>
      <x:c r="C70" s="54" t="n">
        <x:v>1.28</x:v>
      </x:c>
      <x:c r="D70" t="n">
        <x:v>5</x:v>
      </x:c>
      <x:c r="E70" t="str">
        <x:v>Validation pair accepted</x:v>
      </x:c>
      <x:c r="F70" s="58" t="str">
        <x:v>VALIDATION ACCEPTED | pair drift 1.66 %</x:v>
      </x:c>
      <x:c r="G70" t="n">
        <x:v>1960</x:v>
      </x:c>
    </x:row>
    <x:row r="71">
      <x:c r="A71" t="str">
        <x:v>S05</x:v>
      </x:c>
      <x:c r="B71" t="str">
        <x:v>1.28 validated five-run session</x:v>
      </x:c>
      <x:c r="C71" s="54" t="n">
        <x:v>1.28</x:v>
      </x:c>
      <x:c r="D71" t="n">
        <x:v>5</x:v>
      </x:c>
      <x:c r="E71" t="str">
        <x:v>Run pass</x:v>
      </x:c>
      <x:c r="F71" s="58" t="str">
        <x:v>RUN RESULT: PASS</x:v>
      </x:c>
      <x:c r="G71" t="n">
        <x:v>1995</x:v>
      </x:c>
    </x:row>
    <x:row r="72">
      <x:c r="A72" t="str">
        <x:v>S06</x:v>
      </x:c>
      <x:c r="B72" t="str">
        <x:v>0.30 low-amplitude limit validation</x:v>
      </x:c>
      <x:c r="C72" s="54" t="n">
        <x:v>0.3</x:v>
      </x:c>
      <x:c r="D72" t="n">
        <x:v>1</x:v>
      </x:c>
      <x:c r="E72" t="str">
        <x:v>Validation pair accepted</x:v>
      </x:c>
      <x:c r="F72" s="58" t="str">
        <x:v>VALIDATION ACCEPTED | pair drift 2.08 %</x:v>
      </x:c>
      <x:c r="G72" t="n">
        <x:v>2076</x:v>
      </x:c>
    </x:row>
    <x:row r="73">
      <x:c r="A73" t="str">
        <x:v>S06</x:v>
      </x:c>
      <x:c r="B73" t="str">
        <x:v>0.30 low-amplitude limit validation</x:v>
      </x:c>
      <x:c r="C73" s="54" t="n">
        <x:v>0.3</x:v>
      </x:c>
      <x:c r="D73" t="n">
        <x:v>1</x:v>
      </x:c>
      <x:c r="E73" t="str">
        <x:v>Run pass</x:v>
      </x:c>
      <x:c r="F73" s="58" t="str">
        <x:v>RUN RESULT: PASS</x:v>
      </x:c>
      <x:c r="G73" t="n">
        <x:v>2111</x:v>
      </x:c>
    </x:row>
    <x:row r="74">
      <x:c r="A74" t="str">
        <x:v>S06</x:v>
      </x:c>
      <x:c r="B74" t="str">
        <x:v>0.30 low-amplitude limit validation</x:v>
      </x:c>
      <x:c r="C74" s="54" t="n">
        <x:v>0.3</x:v>
      </x:c>
      <x:c r="D74" t="n">
        <x:v>2</x:v>
      </x:c>
      <x:c r="E74" t="str">
        <x:v>Retry</x:v>
      </x:c>
      <x:c r="F74" s="58" t="str">
        <x:v>ACQUISITION ATTEMPT 2 OF 2</x:v>
      </x:c>
      <x:c r="G74" t="n">
        <x:v>2149</x:v>
      </x:c>
    </x:row>
    <x:row r="75">
      <x:c r="A75" t="str">
        <x:v>S06</x:v>
      </x:c>
      <x:c r="B75" t="str">
        <x:v>0.30 low-amplitude limit validation</x:v>
      </x:c>
      <x:c r="C75" s="54" t="n">
        <x:v>0.3</x:v>
      </x:c>
      <x:c r="D75" t="n">
        <x:v>2</x:v>
      </x:c>
      <x:c r="E75" t="str">
        <x:v>UNSTABLE — SEARCH CONTINUES</x:v>
      </x:c>
      <x:c r="F75" s="58" t="str">
        <x:v>SEARCH | point 2 | DAC 3.00 | CTRL X 0.12793 | X 0.12775 | Y 0.05397 | Z 0.10017 | TOTAL 0.17216 | error -57.36 % | MAD 6.55 % | CV 4.64 % | coh 49.1 % | dominant X | axis fraction 100.0 % | UNSTABLE — SEARCH CONTINUES</x:v>
      </x:c>
      <x:c r="G75" t="n">
        <x:v>2155</x:v>
      </x:c>
    </x:row>
    <x:row r="76">
      <x:c r="A76" t="str">
        <x:v>S06</x:v>
      </x:c>
      <x:c r="B76" t="str">
        <x:v>0.30 low-amplitude limit validation</x:v>
      </x:c>
      <x:c r="C76" s="54" t="n">
        <x:v>0.3</x:v>
      </x:c>
      <x:c r="D76" t="n">
        <x:v>2</x:v>
      </x:c>
      <x:c r="E76" t="str">
        <x:v>Run pass</x:v>
      </x:c>
      <x:c r="F76" s="58" t="str">
        <x:v>RUN RESULT: PASS</x:v>
      </x:c>
      <x:c r="G76" t="n">
        <x:v>2216</x:v>
      </x:c>
    </x:row>
    <x:row r="77">
      <x:c r="A77" t="str">
        <x:v>S06</x:v>
      </x:c>
      <x:c r="B77" t="str">
        <x:v>0.30 low-amplitude limit validation</x:v>
      </x:c>
      <x:c r="C77" s="54" t="n">
        <x:v>0.3</x:v>
      </x:c>
      <x:c r="D77" t="n">
        <x:v>3</x:v>
      </x:c>
      <x:c r="E77" t="str">
        <x:v>Validation pair accepted</x:v>
      </x:c>
      <x:c r="F77" s="58" t="str">
        <x:v>VALIDATION ACCEPTED | pair drift 0.94 %</x:v>
      </x:c>
      <x:c r="G77" t="n">
        <x:v>2257</x:v>
      </x:c>
    </x:row>
    <x:row r="78">
      <x:c r="A78" t="str">
        <x:v>S06</x:v>
      </x:c>
      <x:c r="B78" t="str">
        <x:v>0.30 low-amplitude limit validation</x:v>
      </x:c>
      <x:c r="C78" s="54" t="n">
        <x:v>0.3</x:v>
      </x:c>
      <x:c r="D78" t="n">
        <x:v>3</x:v>
      </x:c>
      <x:c r="E78" t="str">
        <x:v>Run pass</x:v>
      </x:c>
      <x:c r="F78" s="58" t="str">
        <x:v>RUN RESULT: PASS</x:v>
      </x:c>
      <x:c r="G78" t="n">
        <x:v>2292</x:v>
      </x:c>
    </x:row>
    <x:row r="79">
      <x:c r="A79" t="str">
        <x:v>S06</x:v>
      </x:c>
      <x:c r="B79" t="str">
        <x:v>0.30 low-amplitude limit validation</x:v>
      </x:c>
      <x:c r="C79" s="54" t="n">
        <x:v>0.3</x:v>
      </x:c>
      <x:c r="D79" t="n">
        <x:v>4</x:v>
      </x:c>
      <x:c r="E79" t="str">
        <x:v>Retry</x:v>
      </x:c>
      <x:c r="F79" s="58" t="str">
        <x:v>ACQUISITION ATTEMPT 2 OF 2</x:v>
      </x:c>
      <x:c r="G79" t="n">
        <x:v>2341</x:v>
      </x:c>
    </x:row>
    <x:row r="80">
      <x:c r="A80" t="str">
        <x:v>S06</x:v>
      </x:c>
      <x:c r="B80" t="str">
        <x:v>0.30 low-amplitude limit validation</x:v>
      </x:c>
      <x:c r="C80" s="54" t="n">
        <x:v>0.3</x:v>
      </x:c>
      <x:c r="D80" t="n">
        <x:v>4</x:v>
      </x:c>
      <x:c r="E80" t="str">
        <x:v>Hold failure</x:v>
      </x:c>
      <x:c r="F80" s="58" t="str">
        <x:v>HOLD RESULT: FAIL</x:v>
      </x:c>
      <x:c r="G80" t="n">
        <x:v>2406</x:v>
      </x:c>
    </x:row>
    <x:row r="81">
      <x:c r="A81" t="str">
        <x:v>S06</x:v>
      </x:c>
      <x:c r="B81" t="str">
        <x:v>0.30 low-amplitude limit validation</x:v>
      </x:c>
      <x:c r="C81" s="54" t="n">
        <x:v>0.3</x:v>
      </x:c>
      <x:c r="D81" t="n">
        <x:v>4</x:v>
      </x:c>
      <x:c r="E81" t="str">
        <x:v>Run failure</x:v>
      </x:c>
      <x:c r="F81" s="58" t="str">
        <x:v>RUN RESULT: FAIL — Fixed-DAC hold did not maintain target amplitude</x:v>
      </x:c>
      <x:c r="G81" t="n">
        <x:v>2408</x:v>
      </x:c>
    </x:row>
    <x:row r="82">
      <x:c r="A82" t="str">
        <x:v>S06</x:v>
      </x:c>
      <x:c r="B82" t="str">
        <x:v>0.30 low-amplitude limit validation</x:v>
      </x:c>
      <x:c r="C82" s="54" t="n">
        <x:v>0.3</x:v>
      </x:c>
      <x:c r="D82" t="n">
        <x:v>5</x:v>
      </x:c>
      <x:c r="E82" t="str">
        <x:v>UNSTABLE — SEARCH CONTINUES</x:v>
      </x:c>
      <x:c r="F82" s="58" t="str">
        <x:v>SEARCH | point 2 | DAC 3.00 | CTRL X 0.14437 | X 0.14514 | Y 0.07035 | Z 0.10437 | TOTAL 0.19415 | error -51.88 % | MAD 3.56 % | CV 3.22 % | coh 50.1 % | dominant X | axis fraction 100.0 % | UNSTABLE — SEARCH CONTINUES</x:v>
      </x:c>
      <x:c r="G82" t="n">
        <x:v>2426</x:v>
      </x:c>
    </x:row>
    <x:row r="83">
      <x:c r="A83" t="str">
        <x:v>S06</x:v>
      </x:c>
      <x:c r="B83" t="str">
        <x:v>0.30 low-amplitude limit validation</x:v>
      </x:c>
      <x:c r="C83" s="54" t="n">
        <x:v>0.3</x:v>
      </x:c>
      <x:c r="D83" t="n">
        <x:v>5</x:v>
      </x:c>
      <x:c r="E83" t="str">
        <x:v>UNSTABLE — SEARCH CONTINUES</x:v>
      </x:c>
      <x:c r="F83" s="58" t="str">
        <x:v>FINE | point 1 | DAC 3.50 | CTRL X 0.17683 | X 0.16492 | Y 0.07083 | Z 0.12417 | TOTAL 0.21843 | error -41.06 % | MAD 0.21 % | CV 12.64 % | coh 49.9 % | dominant X | axis fraction 100.0 % | UNSTABLE — SEARCH CONTINUES</x:v>
      </x:c>
      <x:c r="G83" t="n">
        <x:v>2434</x:v>
      </x:c>
    </x:row>
    <x:row r="84">
      <x:c r="A84" t="str">
        <x:v>S06</x:v>
      </x:c>
      <x:c r="B84" t="str">
        <x:v>0.30 low-amplitude limit validation</x:v>
      </x:c>
      <x:c r="C84" s="54" t="n">
        <x:v>0.3</x:v>
      </x:c>
      <x:c r="D84" t="n">
        <x:v>5</x:v>
      </x:c>
      <x:c r="E84" t="str">
        <x:v>UNSTABLE — SEARCH CONTINUES</x:v>
      </x:c>
      <x:c r="F84" s="58" t="str">
        <x:v>FINE | point 2 | DAC 3.75 | CTRL X 0.22505 | X 0.22404 | Y 0.10755 | Z 0.15027 | TOTAL 0.29128 | error -24.98 % | MAD 16.38 % | CV 11.78 % | coh 57.8 % | dominant X | axis fraction 100.0 % | UNSTABLE — SEARCH CONTINUES</x:v>
      </x:c>
      <x:c r="G84" t="n">
        <x:v>2435</x:v>
      </x:c>
    </x:row>
    <x:row r="85">
      <x:c r="A85" t="str">
        <x:v>S06</x:v>
      </x:c>
      <x:c r="B85" t="str">
        <x:v>0.30 low-amplitude limit validation</x:v>
      </x:c>
      <x:c r="C85" s="54" t="n">
        <x:v>0.3</x:v>
      </x:c>
      <x:c r="D85" t="n">
        <x:v>5</x:v>
      </x:c>
      <x:c r="E85" t="str">
        <x:v>Validation pair accepted</x:v>
      </x:c>
      <x:c r="F85" s="58" t="str">
        <x:v>VALIDATION ACCEPTED | pair drift 5.18 %</x:v>
      </x:c>
      <x:c r="G85" t="n">
        <x:v>2447</x:v>
      </x:c>
    </x:row>
    <x:row r="86">
      <x:c r="A86" t="str">
        <x:v>S06</x:v>
      </x:c>
      <x:c r="B86" t="str">
        <x:v>0.30 low-amplitude limit validation</x:v>
      </x:c>
      <x:c r="C86" s="54" t="n">
        <x:v>0.3</x:v>
      </x:c>
      <x:c r="D86" t="n">
        <x:v>5</x:v>
      </x:c>
      <x:c r="E86" t="str">
        <x:v>Run pass</x:v>
      </x:c>
      <x:c r="F86" s="58" t="str">
        <x:v>RUN RESULT: PASS</x:v>
      </x:c>
      <x:c r="G86" t="n">
        <x:v>2482</x:v>
      </x:c>
    </x:row>
    <x:row r="87">
      <x:c r="A87" t="str">
        <x:v>S07</x:v>
      </x:c>
      <x:c r="B87" t="str">
        <x:v>0.65 preliminary single-run failure</x:v>
      </x:c>
      <x:c r="C87" s="54" t="n">
        <x:v>0.65</x:v>
      </x:c>
      <x:c r="D87" t="n">
        <x:v>1</x:v>
      </x:c>
      <x:c r="E87" t="str">
        <x:v>Retry</x:v>
      </x:c>
      <x:c r="F87" s="58" t="str">
        <x:v>ACQUISITION ATTEMPT 2 OF 2</x:v>
      </x:c>
      <x:c r="G87" t="n">
        <x:v>2556</x:v>
      </x:c>
    </x:row>
    <x:row r="88">
      <x:c r="A88" t="str">
        <x:v>S07</x:v>
      </x:c>
      <x:c r="B88" t="str">
        <x:v>0.65 preliminary single-run failure</x:v>
      </x:c>
      <x:c r="C88" s="54" t="n">
        <x:v>0.65</x:v>
      </x:c>
      <x:c r="D88" t="n">
        <x:v>1</x:v>
      </x:c>
      <x:c r="E88" t="str">
        <x:v>UNSTABLE — SEARCH CONTINUES</x:v>
      </x:c>
      <x:c r="F88" s="58" t="str">
        <x:v>SEARCH | point 8 | DAC 15.00 | CTRL X 0.78654 | X 0.77846 | Y 0.37840 | Z 0.40690 | TOTAL 0.95688 | error 21.01 % | MAD 61.75 % | CV 43.65 % | coh 88.6 % | dominant X | axis fraction 100.0 % | UNSTABLE — SEARCH CONTINUES</x:v>
      </x:c>
      <x:c r="G88" t="n">
        <x:v>2568</x:v>
      </x:c>
    </x:row>
    <x:row r="89">
      <x:c r="A89" t="str">
        <x:v>S07</x:v>
      </x:c>
      <x:c r="B89" t="str">
        <x:v>0.65 preliminary single-run failure</x:v>
      </x:c>
      <x:c r="C89" s="54" t="n">
        <x:v>0.65</x:v>
      </x:c>
      <x:c r="D89" t="n">
        <x:v>1</x:v>
      </x:c>
      <x:c r="E89" t="str">
        <x:v>UNSTABLE — SEARCH CONTINUES</x:v>
      </x:c>
      <x:c r="F89" s="58" t="str">
        <x:v>SEARCH | point 9 | DAC 16.00 | CTRL X 0.95882 | X 0.85999 | Y 0.36698 | Z 0.40173 | TOTAL 1.01948 | error 47.51 % | MAD 43.38 % | CV 50.84 % | coh 76.4 % | dominant X | axis fraction 100.0 % | UNSTABLE — SEARCH CONTINUES</x:v>
      </x:c>
      <x:c r="G89" t="n">
        <x:v>2569</x:v>
      </x:c>
    </x:row>
    <x:row r="90">
      <x:c r="A90" t="str">
        <x:v>S07</x:v>
      </x:c>
      <x:c r="B90" t="str">
        <x:v>0.65 preliminary single-run failure</x:v>
      </x:c>
      <x:c r="C90" s="54" t="n">
        <x:v>0.65</x:v>
      </x:c>
      <x:c r="D90" t="n">
        <x:v>1</x:v>
      </x:c>
      <x:c r="E90" t="str">
        <x:v>Run failure</x:v>
      </x:c>
      <x:c r="F90" s="58" t="str">
        <x:v>RUN RESULT: FAIL — X target exceeded at first reliable DAC; reduce amplifier knob</x:v>
      </x:c>
      <x:c r="G90" t="n">
        <x:v>2572</x:v>
      </x:c>
    </x:row>
    <x:row r="91">
      <x:c r="A91" t="str">
        <x:v>S08</x:v>
      </x:c>
      <x:c r="B91" t="str">
        <x:v>0.65 five-run validation</x:v>
      </x:c>
      <x:c r="C91" s="54" t="n">
        <x:v>0.65</x:v>
      </x:c>
      <x:c r="D91" t="n">
        <x:v>1</x:v>
      </x:c>
      <x:c r="E91" t="str">
        <x:v>UNSTABLE — SEARCH CONTINUES</x:v>
      </x:c>
      <x:c r="F91" s="58" t="str">
        <x:v>SEARCH | point 3 | DAC 5.00 | CTRL X 0.08565 | X 0.08987 | Y 0.11651 | Z 0.17617 | TOTAL 0.22999 | error -86.82 % | MAD 4.99 % | CV 11.03 % | coh 42.6 % | dominant Z | axis fraction 51.0 % | UNSTABLE — SEARCH CONTINUES</x:v>
      </x:c>
      <x:c r="G91" t="n">
        <x:v>2622</x:v>
      </x:c>
    </x:row>
    <x:row r="92">
      <x:c r="A92" t="str">
        <x:v>S08</x:v>
      </x:c>
      <x:c r="B92" t="str">
        <x:v>0.65 five-run validation</x:v>
      </x:c>
      <x:c r="C92" s="54" t="n">
        <x:v>0.65</x:v>
      </x:c>
      <x:c r="D92" t="n">
        <x:v>1</x:v>
      </x:c>
      <x:c r="E92" t="str">
        <x:v>Validation pair accepted</x:v>
      </x:c>
      <x:c r="F92" s="58" t="str">
        <x:v>VALIDATION ACCEPTED | pair drift 1.15 %</x:v>
      </x:c>
      <x:c r="G92" t="n">
        <x:v>2643</x:v>
      </x:c>
    </x:row>
    <x:row r="93">
      <x:c r="A93" t="str">
        <x:v>S08</x:v>
      </x:c>
      <x:c r="B93" t="str">
        <x:v>0.65 five-run validation</x:v>
      </x:c>
      <x:c r="C93" s="54" t="n">
        <x:v>0.65</x:v>
      </x:c>
      <x:c r="D93" t="n">
        <x:v>1</x:v>
      </x:c>
      <x:c r="E93" t="str">
        <x:v>Run pass</x:v>
      </x:c>
      <x:c r="F93" s="58" t="str">
        <x:v>RUN RESULT: PASS</x:v>
      </x:c>
      <x:c r="G93" t="n">
        <x:v>2678</x:v>
      </x:c>
    </x:row>
    <x:row r="94">
      <x:c r="A94" t="str">
        <x:v>S08</x:v>
      </x:c>
      <x:c r="B94" t="str">
        <x:v>0.65 five-run validation</x:v>
      </x:c>
      <x:c r="C94" s="54" t="n">
        <x:v>0.65</x:v>
      </x:c>
      <x:c r="D94" t="n">
        <x:v>2</x:v>
      </x:c>
      <x:c r="E94" t="str">
        <x:v>Validation pair accepted</x:v>
      </x:c>
      <x:c r="F94" s="58" t="str">
        <x:v>VALIDATION ACCEPTED | pair drift 1.58 %</x:v>
      </x:c>
      <x:c r="G94" t="n">
        <x:v>2722</x:v>
      </x:c>
    </x:row>
    <x:row r="95">
      <x:c r="A95" t="str">
        <x:v>S08</x:v>
      </x:c>
      <x:c r="B95" t="str">
        <x:v>0.65 five-run validation</x:v>
      </x:c>
      <x:c r="C95" s="54" t="n">
        <x:v>0.65</x:v>
      </x:c>
      <x:c r="D95" t="n">
        <x:v>2</x:v>
      </x:c>
      <x:c r="E95" t="str">
        <x:v>Run pass</x:v>
      </x:c>
      <x:c r="F95" s="58" t="str">
        <x:v>RUN RESULT: PASS</x:v>
      </x:c>
      <x:c r="G95" t="n">
        <x:v>2757</x:v>
      </x:c>
    </x:row>
    <x:row r="96">
      <x:c r="A96" t="str">
        <x:v>S08</x:v>
      </x:c>
      <x:c r="B96" t="str">
        <x:v>0.65 five-run validation</x:v>
      </x:c>
      <x:c r="C96" s="54" t="n">
        <x:v>0.65</x:v>
      </x:c>
      <x:c r="D96" t="n">
        <x:v>3</x:v>
      </x:c>
      <x:c r="E96" t="str">
        <x:v>Validation pair accepted</x:v>
      </x:c>
      <x:c r="F96" s="58" t="str">
        <x:v>VALIDATION ACCEPTED | pair drift 1.61 %</x:v>
      </x:c>
      <x:c r="G96" t="n">
        <x:v>2802</x:v>
      </x:c>
    </x:row>
    <x:row r="97">
      <x:c r="A97" t="str">
        <x:v>S08</x:v>
      </x:c>
      <x:c r="B97" t="str">
        <x:v>0.65 five-run validation</x:v>
      </x:c>
      <x:c r="C97" s="54" t="n">
        <x:v>0.65</x:v>
      </x:c>
      <x:c r="D97" t="n">
        <x:v>3</x:v>
      </x:c>
      <x:c r="E97" t="str">
        <x:v>Run pass</x:v>
      </x:c>
      <x:c r="F97" s="58" t="str">
        <x:v>RUN RESULT: PASS</x:v>
      </x:c>
      <x:c r="G97" t="n">
        <x:v>2837</x:v>
      </x:c>
    </x:row>
    <x:row r="98">
      <x:c r="A98" t="str">
        <x:v>S08</x:v>
      </x:c>
      <x:c r="B98" t="str">
        <x:v>0.65 five-run validation</x:v>
      </x:c>
      <x:c r="C98" s="54" t="n">
        <x:v>0.65</x:v>
      </x:c>
      <x:c r="D98" t="n">
        <x:v>4</x:v>
      </x:c>
      <x:c r="E98" t="str">
        <x:v>UNSTABLE — SEARCH CONTINUES</x:v>
      </x:c>
      <x:c r="F98" s="58" t="str">
        <x:v>SEARCH | point 2 | DAC 3.00 | CTRL X 0.07346 | X 0.07219 | Y 0.06471 | Z 0.11838 | TOTAL 0.15533 | error -88.70 % | MAD 37.18 % | CV 28.19 % | coh 27.8 % | dominant Z | axis fraction 61.0 % | UNSTABLE — SEARCH CONTINUES</x:v>
      </x:c>
      <x:c r="G98" t="n">
        <x:v>2858</x:v>
      </x:c>
    </x:row>
    <x:row r="99">
      <x:c r="A99" t="str">
        <x:v>S08</x:v>
      </x:c>
      <x:c r="B99" t="str">
        <x:v>0.65 five-run validation</x:v>
      </x:c>
      <x:c r="C99" s="54" t="n">
        <x:v>0.65</x:v>
      </x:c>
      <x:c r="D99" t="n">
        <x:v>4</x:v>
      </x:c>
      <x:c r="E99" t="str">
        <x:v>UNSTABLE — SEARCH CONTINUES</x:v>
      </x:c>
      <x:c r="F99" s="58" t="str">
        <x:v>SEARCH | point 3 | DAC 5.00 | CTRL X 0.15835 | X 0.14983 | Y 0.13233 | Z 0.24307 | TOTAL 0.31638 | error -75.64 % | MAD 2.73 % | CV 11.57 % | coh 48.9 % | dominant Z | axis fraction 61.6 % | UNSTABLE — SEARCH CONTINUES</x:v>
      </x:c>
      <x:c r="G99" t="n">
        <x:v>2859</x:v>
      </x:c>
    </x:row>
    <x:row r="100">
      <x:c r="A100" t="str">
        <x:v>S08</x:v>
      </x:c>
      <x:c r="B100" t="str">
        <x:v>0.65 five-run validation</x:v>
      </x:c>
      <x:c r="C100" s="54" t="n">
        <x:v>0.65</x:v>
      </x:c>
      <x:c r="D100" t="n">
        <x:v>4</x:v>
      </x:c>
      <x:c r="E100" t="str">
        <x:v>UNSTABLE — SEARCH CONTINUES</x:v>
      </x:c>
      <x:c r="F100" s="58" t="str">
        <x:v>SEARCH | point 15 | DAC 14.50 | CTRL X 1.14899 | X 1.23793 | Y 0.40796 | Z 0.38842 | TOTAL 1.36186 | error 76.77 % | MAD 22.95 % | CV 10.16 % | coh 93.2 % | dominant X | axis fraction 100.0 % | UNSTABLE — SEARCH CONTINUES</x:v>
      </x:c>
      <x:c r="G100" t="n">
        <x:v>2871</x:v>
      </x:c>
    </x:row>
    <x:row r="101">
      <x:c r="A101" t="str">
        <x:v>S08</x:v>
      </x:c>
      <x:c r="B101" t="str">
        <x:v>0.65 five-run validation</x:v>
      </x:c>
      <x:c r="C101" s="54" t="n">
        <x:v>0.65</x:v>
      </x:c>
      <x:c r="D101" t="n">
        <x:v>4</x:v>
      </x:c>
      <x:c r="E101" t="str">
        <x:v>Retry</x:v>
      </x:c>
      <x:c r="F101" s="58" t="str">
        <x:v>ACQUISITION ATTEMPT 2 OF 2</x:v>
      </x:c>
      <x:c r="G101" t="n">
        <x:v>2887</x:v>
      </x:c>
    </x:row>
    <x:row r="102">
      <x:c r="A102" t="str">
        <x:v>S08</x:v>
      </x:c>
      <x:c r="B102" t="str">
        <x:v>0.65 five-run validation</x:v>
      </x:c>
      <x:c r="C102" s="54" t="n">
        <x:v>0.65</x:v>
      </x:c>
      <x:c r="D102" t="n">
        <x:v>4</x:v>
      </x:c>
      <x:c r="E102" t="str">
        <x:v>UNSTABLE — SEARCH CONTINUES</x:v>
      </x:c>
      <x:c r="F102" s="58" t="str">
        <x:v>SEARCH | point 2 | DAC 3.00 | CTRL X 0.08002 | X 0.07471 | Y 0.07246 | Z 0.07267 | TOTAL 0.12930 | error -87.69 % | MAD 45.71 % | CV 44.11 % | coh 33.1 % | dominant X | axis fraction 100.0 % | UNSTABLE — SEARCH CONTINUES</x:v>
      </x:c>
      <x:c r="G102" t="n">
        <x:v>2893</x:v>
      </x:c>
    </x:row>
    <x:row r="103">
      <x:c r="A103" t="str">
        <x:v>S08</x:v>
      </x:c>
      <x:c r="B103" t="str">
        <x:v>0.65 five-run validation</x:v>
      </x:c>
      <x:c r="C103" s="54" t="n">
        <x:v>0.65</x:v>
      </x:c>
      <x:c r="D103" t="n">
        <x:v>4</x:v>
      </x:c>
      <x:c r="E103" t="str">
        <x:v>UNSTABLE — SEARCH CONTINUES</x:v>
      </x:c>
      <x:c r="F103" s="58" t="str">
        <x:v>FINAL | point 3 | DAC 15.00 | CTRL X 0.61238 | X 0.61838 | Y 0.34317 | Z 0.54154 | TOTAL 0.89140 | error -5.79 % | MAD 12.04 % | CV 8.85 % | coh 89.7 % | dominant X | axis fraction 100.0 % | UNSTABLE — SEARCH CONTINUES</x:v>
      </x:c>
      <x:c r="G103" t="n">
        <x:v>2926</x:v>
      </x:c>
    </x:row>
    <x:row r="104">
      <x:c r="A104" t="str">
        <x:v>S08</x:v>
      </x:c>
      <x:c r="B104" t="str">
        <x:v>0.65 five-run validation</x:v>
      </x:c>
      <x:c r="C104" s="54" t="n">
        <x:v>0.65</x:v>
      </x:c>
      <x:c r="D104" t="n">
        <x:v>4</x:v>
      </x:c>
      <x:c r="E104" t="str">
        <x:v>UNSTABLE — SEARCH CONTINUES</x:v>
      </x:c>
      <x:c r="F104" s="58" t="str">
        <x:v>FINAL | point 3 | DAC 14.50 | CTRL X 0.82589 | X 0.95615 | Y 0.34235 | Z 0.39729 | TOTAL 1.10833 | error 27.06 % | MAD 33.15 % | CV 34.83 % | coh 89.4 % | dominant X | axis fraction 100.0 % | UNSTABLE — SEARCH CONTINUES</x:v>
      </x:c>
      <x:c r="G104" t="n">
        <x:v>2932</x:v>
      </x:c>
    </x:row>
    <x:row r="105">
      <x:c r="A105" t="str">
        <x:v>S08</x:v>
      </x:c>
      <x:c r="B105" t="str">
        <x:v>0.65 five-run validation</x:v>
      </x:c>
      <x:c r="C105" s="54" t="n">
        <x:v>0.65</x:v>
      </x:c>
      <x:c r="D105" t="n">
        <x:v>4</x:v>
      </x:c>
      <x:c r="E105" t="str">
        <x:v>Run failure</x:v>
      </x:c>
      <x:c r="F105" s="58" t="str">
        <x:v>RUN RESULT: FAIL — One bounded trim did not validate</x:v>
      </x:c>
      <x:c r="G105" t="n">
        <x:v>2934</x:v>
      </x:c>
    </x:row>
    <x:row r="106">
      <x:c r="A106" t="str">
        <x:v>S08</x:v>
      </x:c>
      <x:c r="B106" t="str">
        <x:v>0.65 five-run validation</x:v>
      </x:c>
      <x:c r="C106" s="54" t="n">
        <x:v>0.65</x:v>
      </x:c>
      <x:c r="D106" t="n">
        <x:v>5</x:v>
      </x:c>
      <x:c r="E106" t="str">
        <x:v>UNSTABLE — SEARCH CONTINUES</x:v>
      </x:c>
      <x:c r="F106" s="58" t="str">
        <x:v>SEARCH | point 2 | DAC 3.00 | CTRL X 0.15977 | X 0.16007 | Y 0.04045 | Z 0.08331 | TOTAL 0.18581 | error -75.42 % | MAD 14.63 % | CV 10.13 % | coh 61.2 % | dominant X | axis fraction 100.0 % | UNSTABLE — SEARCH CONTINUES</x:v>
      </x:c>
      <x:c r="G106" t="n">
        <x:v>2952</x:v>
      </x:c>
    </x:row>
    <x:row r="107">
      <x:c r="A107" t="str">
        <x:v>S08</x:v>
      </x:c>
      <x:c r="B107" t="str">
        <x:v>0.65 five-run validation</x:v>
      </x:c>
      <x:c r="C107" s="54" t="n">
        <x:v>0.65</x:v>
      </x:c>
      <x:c r="D107" t="n">
        <x:v>5</x:v>
      </x:c>
      <x:c r="E107" t="str">
        <x:v>Validation pair accepted</x:v>
      </x:c>
      <x:c r="F107" s="58" t="str">
        <x:v>VALIDATION ACCEPTED | pair drift 1.90 %</x:v>
      </x:c>
      <x:c r="G107" t="n">
        <x:v>2975</x:v>
      </x:c>
    </x:row>
    <x:row r="108">
      <x:c r="A108" t="str">
        <x:v>S08</x:v>
      </x:c>
      <x:c r="B108" t="str">
        <x:v>0.65 five-run validation</x:v>
      </x:c>
      <x:c r="C108" s="54" t="n">
        <x:v>0.65</x:v>
      </x:c>
      <x:c r="D108" t="n">
        <x:v>5</x:v>
      </x:c>
      <x:c r="E108" t="str">
        <x:v>Run pass</x:v>
      </x:c>
      <x:c r="F108" s="58" t="str">
        <x:v>RUN RESULT: PASS</x:v>
      </x:c>
      <x:c r="G108" t="n">
        <x:v>3010</x:v>
      </x:c>
    </x:row>
    <x:row r="109">
      <x:c r="A109" t="str">
        <x:v>S09</x:v>
      </x:c>
      <x:c r="B109" t="str">
        <x:v>1.15 validated five-run session</x:v>
      </x:c>
      <x:c r="C109" s="54" t="n">
        <x:v>1.15</x:v>
      </x:c>
      <x:c r="D109" t="n">
        <x:v>1</x:v>
      </x:c>
      <x:c r="E109" t="str">
        <x:v>Validation pair accepted</x:v>
      </x:c>
      <x:c r="F109" s="58" t="str">
        <x:v>VALIDATION ACCEPTED | pair drift 1.80 %</x:v>
      </x:c>
      <x:c r="G109" t="n">
        <x:v>3116</x:v>
      </x:c>
    </x:row>
    <x:row r="110">
      <x:c r="A110" t="str">
        <x:v>S09</x:v>
      </x:c>
      <x:c r="B110" t="str">
        <x:v>1.15 validated five-run session</x:v>
      </x:c>
      <x:c r="C110" s="54" t="n">
        <x:v>1.15</x:v>
      </x:c>
      <x:c r="D110" t="n">
        <x:v>1</x:v>
      </x:c>
      <x:c r="E110" t="str">
        <x:v>Run pass</x:v>
      </x:c>
      <x:c r="F110" s="58" t="str">
        <x:v>RUN RESULT: PASS</x:v>
      </x:c>
      <x:c r="G110" t="n">
        <x:v>3151</x:v>
      </x:c>
    </x:row>
    <x:row r="111">
      <x:c r="A111" t="str">
        <x:v>S09</x:v>
      </x:c>
      <x:c r="B111" t="str">
        <x:v>1.15 validated five-run session</x:v>
      </x:c>
      <x:c r="C111" s="54" t="n">
        <x:v>1.15</x:v>
      </x:c>
      <x:c r="D111" t="n">
        <x:v>2</x:v>
      </x:c>
      <x:c r="E111" t="str">
        <x:v>Validation pair accepted</x:v>
      </x:c>
      <x:c r="F111" s="58" t="str">
        <x:v>VALIDATION ACCEPTED | pair drift 0.33 %</x:v>
      </x:c>
      <x:c r="G111" t="n">
        <x:v>3201</x:v>
      </x:c>
    </x:row>
    <x:row r="112">
      <x:c r="A112" t="str">
        <x:v>S09</x:v>
      </x:c>
      <x:c r="B112" t="str">
        <x:v>1.15 validated five-run session</x:v>
      </x:c>
      <x:c r="C112" s="54" t="n">
        <x:v>1.15</x:v>
      </x:c>
      <x:c r="D112" t="n">
        <x:v>2</x:v>
      </x:c>
      <x:c r="E112" t="str">
        <x:v>Run pass</x:v>
      </x:c>
      <x:c r="F112" s="58" t="str">
        <x:v>RUN RESULT: PASS</x:v>
      </x:c>
      <x:c r="G112" t="n">
        <x:v>3236</x:v>
      </x:c>
    </x:row>
    <x:row r="113">
      <x:c r="A113" t="str">
        <x:v>S09</x:v>
      </x:c>
      <x:c r="B113" t="str">
        <x:v>1.15 validated five-run session</x:v>
      </x:c>
      <x:c r="C113" s="54" t="n">
        <x:v>1.15</x:v>
      </x:c>
      <x:c r="D113" t="n">
        <x:v>3</x:v>
      </x:c>
      <x:c r="E113" t="str">
        <x:v>Validation pair accepted</x:v>
      </x:c>
      <x:c r="F113" s="58" t="str">
        <x:v>VALIDATION ACCEPTED | pair drift 0.55 %</x:v>
      </x:c>
      <x:c r="G113" t="n">
        <x:v>3286</x:v>
      </x:c>
    </x:row>
    <x:row r="114">
      <x:c r="A114" t="str">
        <x:v>S09</x:v>
      </x:c>
      <x:c r="B114" t="str">
        <x:v>1.15 validated five-run session</x:v>
      </x:c>
      <x:c r="C114" s="54" t="n">
        <x:v>1.15</x:v>
      </x:c>
      <x:c r="D114" t="n">
        <x:v>3</x:v>
      </x:c>
      <x:c r="E114" t="str">
        <x:v>Run pass</x:v>
      </x:c>
      <x:c r="F114" s="58" t="str">
        <x:v>RUN RESULT: PASS</x:v>
      </x:c>
      <x:c r="G114" t="n">
        <x:v>3321</x:v>
      </x:c>
    </x:row>
    <x:row r="115">
      <x:c r="A115" t="str">
        <x:v>S09</x:v>
      </x:c>
      <x:c r="B115" t="str">
        <x:v>1.15 validated five-run session</x:v>
      </x:c>
      <x:c r="C115" s="54" t="n">
        <x:v>1.15</x:v>
      </x:c>
      <x:c r="D115" t="n">
        <x:v>4</x:v>
      </x:c>
      <x:c r="E115" t="str">
        <x:v>Validation pair accepted</x:v>
      </x:c>
      <x:c r="F115" s="58" t="str">
        <x:v>VALIDATION ACCEPTED | pair drift 0.05 %</x:v>
      </x:c>
      <x:c r="G115" t="n">
        <x:v>3370</x:v>
      </x:c>
    </x:row>
    <x:row r="116">
      <x:c r="A116" t="str">
        <x:v>S09</x:v>
      </x:c>
      <x:c r="B116" t="str">
        <x:v>1.15 validated five-run session</x:v>
      </x:c>
      <x:c r="C116" s="54" t="n">
        <x:v>1.15</x:v>
      </x:c>
      <x:c r="D116" t="n">
        <x:v>4</x:v>
      </x:c>
      <x:c r="E116" t="str">
        <x:v>Run pass</x:v>
      </x:c>
      <x:c r="F116" s="58" t="str">
        <x:v>RUN RESULT: PASS</x:v>
      </x:c>
      <x:c r="G116" t="n">
        <x:v>3405</x:v>
      </x:c>
    </x:row>
    <x:row r="117">
      <x:c r="A117" t="str">
        <x:v>S09</x:v>
      </x:c>
      <x:c r="B117" t="str">
        <x:v>1.15 validated five-run session</x:v>
      </x:c>
      <x:c r="C117" s="54" t="n">
        <x:v>1.15</x:v>
      </x:c>
      <x:c r="D117" t="n">
        <x:v>5</x:v>
      </x:c>
      <x:c r="E117" t="str">
        <x:v>Validation pair accepted</x:v>
      </x:c>
      <x:c r="F117" s="58" t="str">
        <x:v>VALIDATION ACCEPTED | pair drift 0.48 %</x:v>
      </x:c>
      <x:c r="G117" t="n">
        <x:v>3455</x:v>
      </x:c>
    </x:row>
    <x:row r="118">
      <x:c r="A118" t="str">
        <x:v>S09</x:v>
      </x:c>
      <x:c r="B118" t="str">
        <x:v>1.15 validated five-run session</x:v>
      </x:c>
      <x:c r="C118" s="54" t="n">
        <x:v>1.15</x:v>
      </x:c>
      <x:c r="D118" t="n">
        <x:v>5</x:v>
      </x:c>
      <x:c r="E118" t="str">
        <x:v>Run pass</x:v>
      </x:c>
      <x:c r="F118" s="58" t="str">
        <x:v>RUN RESULT: PASS</x:v>
      </x:c>
      <x:c r="G118" t="n">
        <x:v>3490</x:v>
      </x:c>
    </x:row>
    <x:row r="119">
      <x:c r="A119" t="str">
        <x:v>S10</x:v>
      </x:c>
      <x:c r="B119" t="str">
        <x:v>0.89 repeat-confirmation session</x:v>
      </x:c>
      <x:c r="C119" s="54" t="n">
        <x:v>0.89</x:v>
      </x:c>
      <x:c r="D119" t="n">
        <x:v>1</x:v>
      </x:c>
      <x:c r="E119" t="str">
        <x:v>UNSTABLE — SEARCH CONTINUES</x:v>
      </x:c>
      <x:c r="F119" s="58" t="str">
        <x:v>SEARCH | point 2 | DAC 3.00 | CTRL X 0.14145 | X 0.13790 | Y 0.04781 | Z 0.08846 | TOTAL 0.17089 | error -84.11 % | MAD 7.45 % | CV 3.64 % | coh 51.2 % | dominant X | axis fraction 100.0 % | UNSTABLE — SEARCH CONTINUES</x:v>
      </x:c>
      <x:c r="G119" t="n">
        <x:v>3549</x:v>
      </x:c>
    </x:row>
    <x:row r="120">
      <x:c r="A120" t="str">
        <x:v>S10</x:v>
      </x:c>
      <x:c r="B120" t="str">
        <x:v>0.89 repeat-confirmation session</x:v>
      </x:c>
      <x:c r="C120" s="54" t="n">
        <x:v>0.89</x:v>
      </x:c>
      <x:c r="D120" t="n">
        <x:v>1</x:v>
      </x:c>
      <x:c r="E120" t="str">
        <x:v>Validation pair accepted</x:v>
      </x:c>
      <x:c r="F120" s="58" t="str">
        <x:v>VALIDATION ACCEPTED | pair drift 0.52 %</x:v>
      </x:c>
      <x:c r="G120" t="n">
        <x:v>3576</x:v>
      </x:c>
    </x:row>
    <x:row r="121">
      <x:c r="A121" t="str">
        <x:v>S10</x:v>
      </x:c>
      <x:c r="B121" t="str">
        <x:v>0.89 repeat-confirmation session</x:v>
      </x:c>
      <x:c r="C121" s="54" t="n">
        <x:v>0.89</x:v>
      </x:c>
      <x:c r="D121" t="n">
        <x:v>1</x:v>
      </x:c>
      <x:c r="E121" t="str">
        <x:v>Run pass</x:v>
      </x:c>
      <x:c r="F121" s="58" t="str">
        <x:v>RUN RESULT: PASS</x:v>
      </x:c>
      <x:c r="G121" t="n">
        <x:v>3611</x:v>
      </x:c>
    </x:row>
    <x:row r="122">
      <x:c r="A122" t="str">
        <x:v>S10</x:v>
      </x:c>
      <x:c r="B122" t="str">
        <x:v>0.89 repeat-confirmation session</x:v>
      </x:c>
      <x:c r="C122" s="54" t="n">
        <x:v>0.89</x:v>
      </x:c>
      <x:c r="D122" t="n">
        <x:v>2</x:v>
      </x:c>
      <x:c r="E122" t="str">
        <x:v>Retry</x:v>
      </x:c>
      <x:c r="F122" s="58" t="str">
        <x:v>ACQUISITION ATTEMPT 2 OF 2</x:v>
      </x:c>
      <x:c r="G122" t="n">
        <x:v>3655</x:v>
      </x:c>
    </x:row>
    <x:row r="123">
      <x:c r="A123" t="str">
        <x:v>S10</x:v>
      </x:c>
      <x:c r="B123" t="str">
        <x:v>0.89 repeat-confirmation session</x:v>
      </x:c>
      <x:c r="C123" s="54" t="n">
        <x:v>0.89</x:v>
      </x:c>
      <x:c r="D123" t="n">
        <x:v>2</x:v>
      </x:c>
      <x:c r="E123" t="str">
        <x:v>Validation pair accepted</x:v>
      </x:c>
      <x:c r="F123" s="58" t="str">
        <x:v>VALIDATION ACCEPTED | pair drift 1.15 %</x:v>
      </x:c>
      <x:c r="G123" t="n">
        <x:v>3686</x:v>
      </x:c>
    </x:row>
    <x:row r="124">
      <x:c r="A124" t="str">
        <x:v>S10</x:v>
      </x:c>
      <x:c r="B124" t="str">
        <x:v>0.89 repeat-confirmation session</x:v>
      </x:c>
      <x:c r="C124" s="54" t="n">
        <x:v>0.89</x:v>
      </x:c>
      <x:c r="D124" t="n">
        <x:v>2</x:v>
      </x:c>
      <x:c r="E124" t="str">
        <x:v>Run pass</x:v>
      </x:c>
      <x:c r="F124" s="58" t="str">
        <x:v>RUN RESULT: PASS</x:v>
      </x:c>
      <x:c r="G124" t="n">
        <x:v>3721</x:v>
      </x:c>
    </x:row>
    <x:row r="125">
      <x:c r="A125" t="str">
        <x:v>S10</x:v>
      </x:c>
      <x:c r="B125" t="str">
        <x:v>0.89 repeat-confirmation session</x:v>
      </x:c>
      <x:c r="C125" s="54" t="n">
        <x:v>0.89</x:v>
      </x:c>
      <x:c r="D125" t="n">
        <x:v>3</x:v>
      </x:c>
      <x:c r="E125" t="str">
        <x:v>Validation pair accepted</x:v>
      </x:c>
      <x:c r="F125" s="58" t="str">
        <x:v>VALIDATION ACCEPTED | pair drift 0.08 %</x:v>
      </x:c>
      <x:c r="G125" t="n">
        <x:v>3769</x:v>
      </x:c>
    </x:row>
    <x:row r="126">
      <x:c r="A126" t="str">
        <x:v>S10</x:v>
      </x:c>
      <x:c r="B126" t="str">
        <x:v>0.89 repeat-confirmation session</x:v>
      </x:c>
      <x:c r="C126" s="54" t="n">
        <x:v>0.89</x:v>
      </x:c>
      <x:c r="D126" t="n">
        <x:v>3</x:v>
      </x:c>
      <x:c r="E126" t="str">
        <x:v>Run pass</x:v>
      </x:c>
      <x:c r="F126" s="58" t="str">
        <x:v>RUN RESULT: PASS</x:v>
      </x:c>
      <x:c r="G126" t="n">
        <x:v>3804</x:v>
      </x:c>
    </x:row>
    <x:row r="127">
      <x:c r="A127" t="str">
        <x:v>S10</x:v>
      </x:c>
      <x:c r="B127" t="str">
        <x:v>0.89 repeat-confirmation session</x:v>
      </x:c>
      <x:c r="C127" s="54" t="n">
        <x:v>0.89</x:v>
      </x:c>
      <x:c r="D127" t="n">
        <x:v>4</x:v>
      </x:c>
      <x:c r="E127" t="str">
        <x:v>UNSTABLE — SEARCH CONTINUES</x:v>
      </x:c>
      <x:c r="F127" s="58" t="str">
        <x:v>FINAL | point 1 | DAC 10.00 | CTRL X 0.83068 | X 0.81941 | Y 0.22110 | Z 0.39634 | TOTAL 0.93693 | error -6.67 % | MAD 9.94 % | CV 12.08 % | coh 91.3 % | dominant X | axis fraction 100.0 % | UNSTABLE — SEARCH CONTINUES</x:v>
      </x:c>
      <x:c r="G127" t="n">
        <x:v>3849</x:v>
      </x:c>
    </x:row>
    <x:row r="128">
      <x:c r="A128" t="str">
        <x:v>S10</x:v>
      </x:c>
      <x:c r="B128" t="str">
        <x:v>0.89 repeat-confirmation session</x:v>
      </x:c>
      <x:c r="C128" s="54" t="n">
        <x:v>0.89</x:v>
      </x:c>
      <x:c r="D128" t="n">
        <x:v>4</x:v>
      </x:c>
      <x:c r="E128" t="str">
        <x:v>UNSTABLE — SEARCH CONTINUES</x:v>
      </x:c>
      <x:c r="F128" s="58" t="str">
        <x:v>FINAL | point 2 | DAC 10.00 | CTRL X 0.55675 | X 0.57393 | Y 0.26615 | Z 0.28642 | TOTAL 0.69715 | error -37.44 % | MAD 36.22 % | CV 24.80 % | coh 85.4 % | dominant X | axis fraction 100.0 % | UNSTABLE — SEARCH CONTINUES</x:v>
      </x:c>
      <x:c r="G128" t="n">
        <x:v>3850</x:v>
      </x:c>
    </x:row>
    <x:row r="129">
      <x:c r="A129" t="str">
        <x:v>S10</x:v>
      </x:c>
      <x:c r="B129" t="str">
        <x:v>0.89 repeat-confirmation session</x:v>
      </x:c>
      <x:c r="C129" s="54" t="n">
        <x:v>0.89</x:v>
      </x:c>
      <x:c r="D129" t="n">
        <x:v>4</x:v>
      </x:c>
      <x:c r="E129" t="str">
        <x:v>Retry</x:v>
      </x:c>
      <x:c r="F129" s="58" t="str">
        <x:v>ACQUISITION ATTEMPT 2 OF 2</x:v>
      </x:c>
      <x:c r="G129" t="n">
        <x:v>3853</x:v>
      </x:c>
    </x:row>
    <x:row r="130">
      <x:c r="A130" t="str">
        <x:v>S10</x:v>
      </x:c>
      <x:c r="B130" t="str">
        <x:v>0.89 repeat-confirmation session</x:v>
      </x:c>
      <x:c r="C130" s="54" t="n">
        <x:v>0.89</x:v>
      </x:c>
      <x:c r="D130" t="n">
        <x:v>4</x:v>
      </x:c>
      <x:c r="E130" t="str">
        <x:v>Validation pair accepted</x:v>
      </x:c>
      <x:c r="F130" s="58" t="str">
        <x:v>VALIDATION ACCEPTED | pair drift 2.32 %</x:v>
      </x:c>
      <x:c r="G130" t="n">
        <x:v>3886</x:v>
      </x:c>
    </x:row>
    <x:row r="131">
      <x:c r="A131" t="str">
        <x:v>S10</x:v>
      </x:c>
      <x:c r="B131" t="str">
        <x:v>0.89 repeat-confirmation session</x:v>
      </x:c>
      <x:c r="C131" s="54" t="n">
        <x:v>0.89</x:v>
      </x:c>
      <x:c r="D131" t="n">
        <x:v>4</x:v>
      </x:c>
      <x:c r="E131" t="str">
        <x:v>Run pass</x:v>
      </x:c>
      <x:c r="F131" s="58" t="str">
        <x:v>RUN RESULT: PASS</x:v>
      </x:c>
      <x:c r="G131" t="n">
        <x:v>3921</x:v>
      </x:c>
    </x:row>
    <x:row r="132">
      <x:c r="A132" t="str">
        <x:v>S10</x:v>
      </x:c>
      <x:c r="B132" t="str">
        <x:v>0.89 repeat-confirmation session</x:v>
      </x:c>
      <x:c r="C132" s="54" t="n">
        <x:v>0.89</x:v>
      </x:c>
      <x:c r="D132" t="n">
        <x:v>5</x:v>
      </x:c>
      <x:c r="E132" t="str">
        <x:v>Validation pair accepted</x:v>
      </x:c>
      <x:c r="F132" s="58" t="str">
        <x:v>VALIDATION ACCEPTED | pair drift 0.52 %</x:v>
      </x:c>
      <x:c r="G132" t="n">
        <x:v>3969</x:v>
      </x:c>
    </x:row>
    <x:row r="133">
      <x:c r="A133" t="str">
        <x:v>S10</x:v>
      </x:c>
      <x:c r="B133" t="str">
        <x:v>0.89 repeat-confirmation session</x:v>
      </x:c>
      <x:c r="C133" s="54" t="n">
        <x:v>0.89</x:v>
      </x:c>
      <x:c r="D133" t="n">
        <x:v>5</x:v>
      </x:c>
      <x:c r="E133" t="str">
        <x:v>Run pass</x:v>
      </x:c>
      <x:c r="F133" s="58" t="str">
        <x:v>RUN RESULT: PASS</x:v>
      </x:c>
      <x:c r="G133" t="n">
        <x:v>4004</x:v>
      </x:c>
    </x:row>
    <x:row r="134" ht="36" customHeight="1">
      <x:c r="A134" s="58" t="str">
        <x:v>S11</x:v>
      </x:c>
      <x:c r="B134" s="58" t="str">
        <x:v>1.15 instability and response-collapse session</x:v>
      </x:c>
      <x:c r="C134" s="58" t="n">
        <x:v>1.15</x:v>
      </x:c>
      <x:c r="D134" s="58" t="n">
        <x:v>1</x:v>
      </x:c>
      <x:c r="E134" s="58" t="str">
        <x:v>UNSTABLE — SEARCH CONTINUES</x:v>
      </x:c>
      <x:c r="F134" s="58" t="str">
        <x:v>SEARCH | point 3 | DAC 5.00 | CTRL X 0.19657 | X 0.20120 | Y 0.15409 | Z 0.13041 | TOTAL 0.28671 | error -82.91 % | MAD 4.01 % | CV 6.41 % | coh 44.3 % | dominant X | axis fraction 100.0 % | UNSTABLE — SEARCH CONTINUES</x:v>
      </x:c>
      <x:c r="G134" s="58" t="n">
        <x:v>88</x:v>
      </x:c>
    </x:row>
    <x:row r="135" ht="36" customHeight="1">
      <x:c r="A135" s="58" t="str">
        <x:v>S11</x:v>
      </x:c>
      <x:c r="B135" s="58" t="str">
        <x:v>1.15 instability and response-collapse session</x:v>
      </x:c>
      <x:c r="C135" s="58" t="n">
        <x:v>1.15</x:v>
      </x:c>
      <x:c r="D135" s="58" t="n">
        <x:v>1</x:v>
      </x:c>
      <x:c r="E135" s="58" t="str">
        <x:v>Validation accepted</x:v>
      </x:c>
      <x:c r="F135" s="58" t="str">
        <x:v>VALIDATION ACCEPTED | pair drift 4.09 %</x:v>
      </x:c>
      <x:c r="G135" s="58" t="n">
        <x:v>121</x:v>
      </x:c>
    </x:row>
    <x:row r="136" ht="36" customHeight="1">
      <x:c r="A136" s="58" t="str">
        <x:v>S11</x:v>
      </x:c>
      <x:c r="B136" s="58" t="str">
        <x:v>1.15 instability and response-collapse session</x:v>
      </x:c>
      <x:c r="C136" s="58" t="n">
        <x:v>1.15</x:v>
      </x:c>
      <x:c r="D136" s="58" t="n">
        <x:v>1</x:v>
      </x:c>
      <x:c r="E136" s="58" t="str">
        <x:v>Hold result</x:v>
      </x:c>
      <x:c r="F136" s="58" t="str">
        <x:v>HOLD RESULT: FAIL</x:v>
      </x:c>
      <x:c r="G136" s="58" t="n">
        <x:v>154</x:v>
      </x:c>
    </x:row>
    <x:row r="137" ht="36" customHeight="1">
      <x:c r="A137" s="58" t="str">
        <x:v>S11</x:v>
      </x:c>
      <x:c r="B137" s="58" t="str">
        <x:v>1.15 instability and response-collapse session</x:v>
      </x:c>
      <x:c r="C137" s="58" t="n">
        <x:v>1.15</x:v>
      </x:c>
      <x:c r="D137" s="58" t="n">
        <x:v>1</x:v>
      </x:c>
      <x:c r="E137" s="58" t="str">
        <x:v>Retry</x:v>
      </x:c>
      <x:c r="F137" s="58" t="str">
        <x:v>ACQUISITION ATTEMPT 2 OF 2</x:v>
      </x:c>
      <x:c r="G137" s="58" t="n">
        <x:v>156</x:v>
      </x:c>
    </x:row>
    <x:row r="138" ht="36" customHeight="1">
      <x:c r="A138" s="58" t="str">
        <x:v>S11</x:v>
      </x:c>
      <x:c r="B138" s="58" t="str">
        <x:v>1.15 instability and response-collapse session</x:v>
      </x:c>
      <x:c r="C138" s="58" t="n">
        <x:v>1.15</x:v>
      </x:c>
      <x:c r="D138" s="58" t="n">
        <x:v>1</x:v>
      </x:c>
      <x:c r="E138" s="58" t="str">
        <x:v>UNSTABLE — SEARCH CONTINUES</x:v>
      </x:c>
      <x:c r="F138" s="58" t="str">
        <x:v>SEARCH | point 2 | DAC 3.00 | CTRL X 0.13188 | X 0.12778 | Y 0.11910 | Z 0.06293 | TOTAL 0.18723 | error -88.53 % | MAD 0.05 % | CV 5.58 % | coh 29.1 % | dominant X | axis fraction 100.0 % | UNSTABLE — SEARCH CONTINUES</x:v>
      </x:c>
      <x:c r="G138" s="58" t="n">
        <x:v>162</x:v>
      </x:c>
    </x:row>
    <x:row r="139" ht="36" customHeight="1">
      <x:c r="A139" s="58" t="str">
        <x:v>S11</x:v>
      </x:c>
      <x:c r="B139" s="58" t="str">
        <x:v>1.15 instability and response-collapse session</x:v>
      </x:c>
      <x:c r="C139" s="58" t="n">
        <x:v>1.15</x:v>
      </x:c>
      <x:c r="D139" s="58" t="n">
        <x:v>1</x:v>
      </x:c>
      <x:c r="E139" s="58" t="str">
        <x:v>UNSTABLE — SEARCH CONTINUES</x:v>
      </x:c>
      <x:c r="F139" s="58" t="str">
        <x:v>SEARCH | point 10 | DAC 12.00 | CTRL X 0.62505 | X 0.64041 | Y 0.25253 | Z 0.08766 | TOTAL 0.72644 | error -45.65 % | MAD 7.28 % | CV 3.39 % | coh 26.4 % | dominant X | axis fraction 100.0 % | UNSTABLE — SEARCH CONTINUES</x:v>
      </x:c>
      <x:c r="G139" s="58" t="n">
        <x:v>170</x:v>
      </x:c>
    </x:row>
    <x:row r="140" ht="36" customHeight="1">
      <x:c r="A140" s="58" t="str">
        <x:v>S11</x:v>
      </x:c>
      <x:c r="B140" s="58" t="str">
        <x:v>1.15 instability and response-collapse session</x:v>
      </x:c>
      <x:c r="C140" s="58" t="n">
        <x:v>1.15</x:v>
      </x:c>
      <x:c r="D140" s="58" t="n">
        <x:v>1</x:v>
      </x:c>
      <x:c r="E140" s="58" t="str">
        <x:v>UNSTABLE — SEARCH CONTINUES</x:v>
      </x:c>
      <x:c r="F140" s="58" t="str">
        <x:v>SEARCH | point 11 | DAC 13.00 | CTRL X 0.19633 | X 0.37261 | Y 0.35406 | Z 0.24506 | TOTAL 0.61521 | error -82.93 % | MAD 93.28 % | CV 111.88 % | coh 32.8 % | dominant X | axis fraction 100.0 % | UNSTABLE — SEARCH CONTINUES</x:v>
      </x:c>
      <x:c r="G140" s="58" t="n">
        <x:v>171</x:v>
      </x:c>
    </x:row>
    <x:row r="141" ht="36" customHeight="1">
      <x:c r="A141" s="58" t="str">
        <x:v>S11</x:v>
      </x:c>
      <x:c r="B141" s="58" t="str">
        <x:v>1.15 instability and response-collapse session</x:v>
      </x:c>
      <x:c r="C141" s="58" t="n">
        <x:v>1.15</x:v>
      </x:c>
      <x:c r="D141" s="58" t="n">
        <x:v>1</x:v>
      </x:c>
      <x:c r="E141" s="58" t="str">
        <x:v>UNSTABLE — SEARCH CONTINUES</x:v>
      </x:c>
      <x:c r="F141" s="58" t="str">
        <x:v>SEARCH | point 12 | DAC 15.00 | CTRL X 0.31481 | X 0.33537 | Y 0.37908 | Z 0.31258 | TOTAL 0.59671 | error -72.63 % | MAD 19.36 % | CV 8.67 % | coh 42.3 % | dominant Y | axis fraction 88.5 % | UNSTABLE — SEARCH CONTINUES</x:v>
      </x:c>
      <x:c r="G141" s="58" t="n">
        <x:v>172</x:v>
      </x:c>
    </x:row>
    <x:row r="142" ht="36" customHeight="1">
      <x:c r="A142" s="58" t="str">
        <x:v>S11</x:v>
      </x:c>
      <x:c r="B142" s="58" t="str">
        <x:v>1.15 instability and response-collapse session</x:v>
      </x:c>
      <x:c r="C142" s="58" t="n">
        <x:v>1.15</x:v>
      </x:c>
      <x:c r="D142" s="58" t="n">
        <x:v>1</x:v>
      </x:c>
      <x:c r="E142" s="58" t="str">
        <x:v>UNSTABLE — SEARCH CONTINUES</x:v>
      </x:c>
      <x:c r="F142" s="58" t="str">
        <x:v>SEARCH | point 13 | DAC 16.00 | CTRL X 0.38242 | X 0.37518 | Y 0.42331 | Z 0.29954 | TOTAL 0.64588 | error -66.75 % | MAD 4.92 % | CV 6.50 % | coh 36.8 % | dominant Y | axis fraction 88.6 % | UNSTABLE — SEARCH CONTINUES</x:v>
      </x:c>
      <x:c r="G142" s="58" t="n">
        <x:v>173</x:v>
      </x:c>
    </x:row>
    <x:row r="143" ht="36" customHeight="1">
      <x:c r="A143" s="58" t="str">
        <x:v>S11</x:v>
      </x:c>
      <x:c r="B143" s="58" t="str">
        <x:v>1.15 instability and response-collapse session</x:v>
      </x:c>
      <x:c r="C143" s="58" t="n">
        <x:v>1.15</x:v>
      </x:c>
      <x:c r="D143" s="58" t="n">
        <x:v>1</x:v>
      </x:c>
      <x:c r="E143" s="58" t="str">
        <x:v>UNSTABLE — SEARCH CONTINUES</x:v>
      </x:c>
      <x:c r="F143" s="58" t="str">
        <x:v>SEARCH | point 14 | DAC 17.00 | CTRL X 0.44473 | X 0.45463 | Y 0.56666 | Z 0.35770 | TOTAL 0.81015 | error -61.33 % | MAD 9.88 % | CV 9.96 % | coh 45.7 % | dominant Y | axis fraction 80.2 % | UNSTABLE — SEARCH CONTINUES</x:v>
      </x:c>
      <x:c r="G143" s="58" t="n">
        <x:v>174</x:v>
      </x:c>
    </x:row>
    <x:row r="144" ht="36" customHeight="1">
      <x:c r="A144" s="58" t="str">
        <x:v>S11</x:v>
      </x:c>
      <x:c r="B144" s="58" t="str">
        <x:v>1.15 instability and response-collapse session</x:v>
      </x:c>
      <x:c r="C144" s="58" t="n">
        <x:v>1.15</x:v>
      </x:c>
      <x:c r="D144" s="58" t="n">
        <x:v>1</x:v>
      </x:c>
      <x:c r="E144" s="58" t="str">
        <x:v>UNSTABLE — SEARCH CONTINUES</x:v>
      </x:c>
      <x:c r="F144" s="58" t="str">
        <x:v>SEARCH | point 15 | DAC 18.00 | CTRL X 0.41621 | X 0.42116 | Y 0.48149 | Z 0.39351 | TOTAL 0.75139 | error -63.81 % | MAD 1.33 % | CV 2.84 % | coh 49.8 % | dominant Y | axis fraction 87.5 % | UNSTABLE — SEARCH CONTINUES</x:v>
      </x:c>
      <x:c r="G144" s="58" t="n">
        <x:v>175</x:v>
      </x:c>
    </x:row>
    <x:row r="145" ht="36" customHeight="1">
      <x:c r="A145" s="58" t="str">
        <x:v>S11</x:v>
      </x:c>
      <x:c r="B145" s="58" t="str">
        <x:v>1.15 instability and response-collapse session</x:v>
      </x:c>
      <x:c r="C145" s="58" t="n">
        <x:v>1.15</x:v>
      </x:c>
      <x:c r="D145" s="58" t="n">
        <x:v>1</x:v>
      </x:c>
      <x:c r="E145" s="58" t="str">
        <x:v>Warning</x:v>
      </x:c>
      <x:c r="F145" s="58" t="str">
        <x:v>WARNING: large X-amplitude collapse at higher DAC; confirming same point.</x:v>
      </x:c>
      <x:c r="G145" s="58" t="n">
        <x:v>177</x:v>
      </x:c>
    </x:row>
    <x:row r="146" ht="36" customHeight="1">
      <x:c r="A146" s="58" t="str">
        <x:v>S11</x:v>
      </x:c>
      <x:c r="B146" s="58" t="str">
        <x:v>1.15 instability and response-collapse session</x:v>
      </x:c>
      <x:c r="C146" s="58" t="n">
        <x:v>1.15</x:v>
      </x:c>
      <x:c r="D146" s="58" t="n">
        <x:v>1</x:v>
      </x:c>
      <x:c r="E146" s="58" t="str">
        <x:v>Response collapse confirmation</x:v>
      </x:c>
      <x:c r="F146" s="58" t="str">
        <x:v>DROP-CHECK | point 16 | DAC 19.00 | CTRL X 0.32010 | X 0.31354 | Y 0.36103 | Z 0.35052 | TOTAL 0.59327 | error -72.17 % | MAD 2.87 % | CV 4.47 % | coh 82.8 % | dominant Y | axis fraction 86.8 % | VALID</x:v>
      </x:c>
      <x:c r="G146" s="58" t="n">
        <x:v>178</x:v>
      </x:c>
    </x:row>
    <x:row r="147" ht="36" customHeight="1">
      <x:c r="A147" s="58" t="str">
        <x:v>S11</x:v>
      </x:c>
      <x:c r="B147" s="58" t="str">
        <x:v>1.15 instability and response-collapse session</x:v>
      </x:c>
      <x:c r="C147" s="58" t="n">
        <x:v>1.15</x:v>
      </x:c>
      <x:c r="D147" s="58" t="n">
        <x:v>2</x:v>
      </x:c>
      <x:c r="E147" s="58" t="str">
        <x:v>UNSTABLE — SEARCH CONTINUES</x:v>
      </x:c>
      <x:c r="F147" s="58" t="str">
        <x:v>SEARCH | point 11 | DAC 21.00 | CTRL X 0.18563 | X 0.18825 | Y 0.13819 | Z 0.17615 | TOTAL 0.29375 | error -83.86 % | MAD 26.19 % | CV 19.54 % | coh 56.7 % | dominant X | axis fraction 100.0 % | UNSTABLE — SEARCH CONTINUES</x:v>
      </x:c>
      <x:c r="G147" s="58" t="n">
        <x:v>205</x:v>
      </x:c>
    </x:row>
    <x:row r="148" ht="36" customHeight="1">
      <x:c r="A148" s="58" t="str">
        <x:v>S11</x:v>
      </x:c>
      <x:c r="B148" s="58" t="str">
        <x:v>1.15 instability and response-collapse session</x:v>
      </x:c>
      <x:c r="C148" s="58" t="n">
        <x:v>1.15</x:v>
      </x:c>
      <x:c r="D148" s="58" t="n">
        <x:v>2</x:v>
      </x:c>
      <x:c r="E148" s="58" t="str">
        <x:v>UNSTABLE — SEARCH CONTINUES</x:v>
      </x:c>
      <x:c r="F148" s="58" t="str">
        <x:v>SEARCH | point 14 | DAC 27.00 | CTRL X 0.50971 | X 0.60103 | Y 0.41461 | Z 0.53651 | TOTAL 0.91950 | error -55.68 % | MAD 36.18 % | CV 45.43 % | coh 71.1 % | dominant X | axis fraction 100.0 % | UNSTABLE — SEARCH CONTINUES</x:v>
      </x:c>
      <x:c r="G148" s="58" t="n">
        <x:v>208</x:v>
      </x:c>
    </x:row>
    <x:row r="149" ht="36" customHeight="1">
      <x:c r="A149" s="58" t="str">
        <x:v>S11</x:v>
      </x:c>
      <x:c r="B149" s="58" t="str">
        <x:v>1.15 instability and response-collapse session</x:v>
      </x:c>
      <x:c r="C149" s="58" t="n">
        <x:v>1.15</x:v>
      </x:c>
      <x:c r="D149" s="58" t="n">
        <x:v>2</x:v>
      </x:c>
      <x:c r="E149" s="58" t="str">
        <x:v>Retry</x:v>
      </x:c>
      <x:c r="F149" s="58" t="str">
        <x:v>ACQUISITION ATTEMPT 2 OF 2</x:v>
      </x:c>
      <x:c r="G149" s="58" t="n">
        <x:v>213</x:v>
      </x:c>
    </x:row>
    <x:row r="150" ht="36" customHeight="1">
      <x:c r="A150" s="58" t="str">
        <x:v>S11</x:v>
      </x:c>
      <x:c r="B150" s="58" t="str">
        <x:v>1.15 instability and response-collapse session</x:v>
      </x:c>
      <x:c r="C150" s="58" t="n">
        <x:v>1.15</x:v>
      </x:c>
      <x:c r="D150" s="58" t="n">
        <x:v>2</x:v>
      </x:c>
      <x:c r="E150" s="58" t="str">
        <x:v>Emergency stop</x:v>
      </x:c>
      <x:c r="F150" s="58" t="str">
        <x:v>EMERGENCY STOP RECEIVED. VISATON STOPPED.</x:v>
      </x:c>
      <x:c r="G150" s="58" t="n">
        <x:v>220</x:v>
      </x:c>
    </x:row>
    <x:row r="151" ht="36" customHeight="1">
      <x:c r="A151" s="58" t="str">
        <x:v>S11</x:v>
      </x:c>
      <x:c r="B151" s="58" t="str">
        <x:v>1.15 instability and response-collapse session</x:v>
      </x:c>
      <x:c r="C151" s="58" t="n">
        <x:v>1.15</x:v>
      </x:c>
      <x:c r="D151" s="58" t="n">
        <x:v>2</x:v>
      </x:c>
      <x:c r="E151" s="58" t="str">
        <x:v>Emergency stop</x:v>
      </x:c>
      <x:c r="F151" s="58" t="str">
        <x:v>2,FAIL,0.00,0.00000,0.00,0.00000,0.00000,0.00,0.00000,0.00,0.0,User emergency stop</x:v>
      </x:c>
      <x:c r="G151" s="58" t="n">
        <x:v>227</x:v>
      </x:c>
    </x:row>
    <x:row r="152" ht="36" customHeight="1">
      <x:c r="A152" s="58" t="str">
        <x:v>S12</x:v>
      </x:c>
      <x:c r="B152" s="58" t="str">
        <x:v>1.15 safety-guard failure session</x:v>
      </x:c>
      <x:c r="C152" s="58" t="n">
        <x:v>1.15</x:v>
      </x:c>
      <x:c r="D152" s="58" t="n">
        <x:v>1</x:v>
      </x:c>
      <x:c r="E152" s="58" t="str">
        <x:v>UNSTABLE — SEARCH CONTINUES</x:v>
      </x:c>
      <x:c r="F152" s="58" t="str">
        <x:v>SEARCH | point 5 | DAC 9.00 | CTRL X 0.13194 | X 0.13426 | Y 0.12919 | Z 0.10231 | TOTAL 0.21381 | error -88.53 % | MAD 11.78 % | CV 10.51 % | coh 40.7 % | dominant X | axis fraction 100.0 % | UNSTABLE — SEARCH CONTINUES</x:v>
      </x:c>
      <x:c r="G152" s="58" t="n">
        <x:v>270</x:v>
      </x:c>
    </x:row>
    <x:row r="153" ht="36" customHeight="1">
      <x:c r="A153" s="58" t="str">
        <x:v>S12</x:v>
      </x:c>
      <x:c r="B153" s="58" t="str">
        <x:v>1.15 safety-guard failure session</x:v>
      </x:c>
      <x:c r="C153" s="58" t="n">
        <x:v>1.15</x:v>
      </x:c>
      <x:c r="D153" s="58" t="n">
        <x:v>1</x:v>
      </x:c>
      <x:c r="E153" s="58" t="str">
        <x:v>UNSTABLE — SEARCH CONTINUES</x:v>
      </x:c>
      <x:c r="F153" s="58" t="str">
        <x:v>SEARCH | point 6 | DAC 11.00 | CTRL X 0.14615 | X 0.15228 | Y 0.14729 | Z 0.10662 | TOTAL 0.23812 | error -87.29 % | MAD 4.73 % | CV 9.75 % | coh 44.3 % | dominant X | axis fraction 100.0 % | UNSTABLE — SEARCH CONTINUES</x:v>
      </x:c>
      <x:c r="G153" s="58" t="n">
        <x:v>271</x:v>
      </x:c>
    </x:row>
    <x:row r="154" ht="36" customHeight="1">
      <x:c r="A154" s="58" t="str">
        <x:v>S12</x:v>
      </x:c>
      <x:c r="B154" s="58" t="str">
        <x:v>1.15 safety-guard failure session</x:v>
      </x:c>
      <x:c r="C154" s="58" t="n">
        <x:v>1.15</x:v>
      </x:c>
      <x:c r="D154" s="58" t="n">
        <x:v>1</x:v>
      </x:c>
      <x:c r="E154" s="58" t="str">
        <x:v>UNSTABLE — SEARCH CONTINUES</x:v>
      </x:c>
      <x:c r="F154" s="58" t="str">
        <x:v>SEARCH | point 7 | DAC 13.00 | CTRL X 0.18575 | X 0.18018 | Y 0.18398 | Z 0.14748 | TOTAL 0.29717 | error -83.85 % | MAD 1.48 % | CV 6.26 % | coh 49.5 % | dominant Y | axis fraction 97.9 % | UNSTABLE — SEARCH CONTINUES</x:v>
      </x:c>
      <x:c r="G154" s="58" t="n">
        <x:v>272</x:v>
      </x:c>
    </x:row>
    <x:row r="155" ht="36" customHeight="1">
      <x:c r="A155" s="58" t="str">
        <x:v>S12</x:v>
      </x:c>
      <x:c r="B155" s="58" t="str">
        <x:v>1.15 safety-guard failure session</x:v>
      </x:c>
      <x:c r="C155" s="58" t="n">
        <x:v>1.15</x:v>
      </x:c>
      <x:c r="D155" s="58" t="n">
        <x:v>1</x:v>
      </x:c>
      <x:c r="E155" s="58" t="str">
        <x:v>UNSTABLE — SEARCH CONTINUES</x:v>
      </x:c>
      <x:c r="F155" s="58" t="str">
        <x:v>SEARCH | point 8 | DAC 15.00 | CTRL X 0.19620 | X 0.18436 | Y 0.21622 | Z 0.19191 | TOTAL 0.34387 | error -82.94 % | MAD 2.22 % | CV 12.53 % | coh 48.7 % | dominant Y | axis fraction 85.3 % | UNSTABLE — SEARCH CONTINUES</x:v>
      </x:c>
      <x:c r="G155" s="58" t="n">
        <x:v>273</x:v>
      </x:c>
    </x:row>
    <x:row r="156" ht="36" customHeight="1">
      <x:c r="A156" s="58" t="str">
        <x:v>S12</x:v>
      </x:c>
      <x:c r="B156" s="58" t="str">
        <x:v>1.15 safety-guard failure session</x:v>
      </x:c>
      <x:c r="C156" s="58" t="n">
        <x:v>1.15</x:v>
      </x:c>
      <x:c r="D156" s="58" t="n">
        <x:v>1</x:v>
      </x:c>
      <x:c r="E156" s="58" t="str">
        <x:v>Retry</x:v>
      </x:c>
      <x:c r="F156" s="58" t="str">
        <x:v>ACQUISITION ATTEMPT 2 OF 2</x:v>
      </x:c>
      <x:c r="G156" s="58" t="n">
        <x:v>286</x:v>
      </x:c>
    </x:row>
    <x:row r="157" ht="36" customHeight="1">
      <x:c r="A157" s="58" t="str">
        <x:v>S12</x:v>
      </x:c>
      <x:c r="B157" s="58" t="str">
        <x:v>1.15 safety-guard failure session</x:v>
      </x:c>
      <x:c r="C157" s="58" t="n">
        <x:v>1.15</x:v>
      </x:c>
      <x:c r="D157" s="58" t="n">
        <x:v>1</x:v>
      </x:c>
      <x:c r="E157" s="58" t="str">
        <x:v>Run result</x:v>
      </x:c>
      <x:c r="F157" s="58" t="str">
        <x:v>RUN RESULT: FAIL — X target not reached by DAC 30; increase amplifier knob slightly</x:v>
      </x:c>
      <x:c r="G157" s="58" t="n">
        <x:v>316</x:v>
      </x:c>
    </x:row>
    <x:row r="158" ht="36" customHeight="1">
      <x:c r="A158" s="58" t="str">
        <x:v>S12</x:v>
      </x:c>
      <x:c r="B158" s="58" t="str">
        <x:v>1.15 safety-guard failure session</x:v>
      </x:c>
      <x:c r="C158" s="58" t="n">
        <x:v>1.15</x:v>
      </x:c>
      <x:c r="D158" s="58" t="n">
        <x:v>2</x:v>
      </x:c>
      <x:c r="E158" s="58" t="str">
        <x:v>UNSTABLE — SEARCH CONTINUES</x:v>
      </x:c>
      <x:c r="F158" s="58" t="str">
        <x:v>SEARCH | point 3 | DAC 5.00 | CTRL X 0.12850 | X 0.12926 | Y 0.10021 | Z 0.12909 | TOTAL 0.20989 | error -88.83 % | MAD 10.91 % | CV 8.22 % | coh 32.9 % | dominant X | axis fraction 100.0 % | UNSTABLE — SEARCH CONTINUES</x:v>
      </x:c>
      <x:c r="G158" s="58" t="n">
        <x:v>335</x:v>
      </x:c>
    </x:row>
    <x:row r="159" ht="36" customHeight="1">
      <x:c r="A159" s="58" t="str">
        <x:v>S12</x:v>
      </x:c>
      <x:c r="B159" s="58" t="str">
        <x:v>1.15 safety-guard failure session</x:v>
      </x:c>
      <x:c r="C159" s="58" t="n">
        <x:v>1.15</x:v>
      </x:c>
      <x:c r="D159" s="58" t="n">
        <x:v>2</x:v>
      </x:c>
      <x:c r="E159" s="58" t="str">
        <x:v>UNSTABLE — SEARCH CONTINUES</x:v>
      </x:c>
      <x:c r="F159" s="58" t="str">
        <x:v>SEARCH | point 4 | DAC 7.00 | CTRL X 0.17993 | X 0.17870 | Y 0.16384 | Z 0.16207 | TOTAL 0.29327 | error -84.35 % | MAD 5.92 % | CV 5.09 % | coh 40.6 % | dominant X | axis fraction 100.0 % | UNSTABLE — SEARCH CONTINUES</x:v>
      </x:c>
      <x:c r="G159" s="58" t="n">
        <x:v>336</x:v>
      </x:c>
    </x:row>
    <x:row r="160" ht="36" customHeight="1">
      <x:c r="A160" s="58" t="str">
        <x:v>S12</x:v>
      </x:c>
      <x:c r="B160" s="58" t="str">
        <x:v>1.15 safety-guard failure session</x:v>
      </x:c>
      <x:c r="C160" s="58" t="n">
        <x:v>1.15</x:v>
      </x:c>
      <x:c r="D160" s="58" t="n">
        <x:v>2</x:v>
      </x:c>
      <x:c r="E160" s="58" t="str">
        <x:v>UNSTABLE — SEARCH CONTINUES</x:v>
      </x:c>
      <x:c r="F160" s="58" t="str">
        <x:v>SEARCH | point 5 | DAC 9.00 | CTRL X 0.23661 | X 0.23439 | Y 0.22177 | Z 0.20211 | TOTAL 0.38084 | error -79.43 % | MAD 1.60 % | CV 2.64 % | coh 49.6 % | dominant X | axis fraction 100.0 % | UNSTABLE — SEARCH CONTINUES</x:v>
      </x:c>
      <x:c r="G160" s="58" t="n">
        <x:v>337</x:v>
      </x:c>
    </x:row>
    <x:row r="161" ht="36" customHeight="1">
      <x:c r="A161" s="58" t="str">
        <x:v>S12</x:v>
      </x:c>
      <x:c r="B161" s="58" t="str">
        <x:v>1.15 safety-guard failure session</x:v>
      </x:c>
      <x:c r="C161" s="58" t="n">
        <x:v>1.15</x:v>
      </x:c>
      <x:c r="D161" s="58" t="n">
        <x:v>2</x:v>
      </x:c>
      <x:c r="E161" s="58" t="str">
        <x:v>Retry</x:v>
      </x:c>
      <x:c r="F161" s="58" t="str">
        <x:v>ACQUISITION ATTEMPT 2 OF 2</x:v>
      </x:c>
      <x:c r="G161" s="58" t="n">
        <x:v>359</x:v>
      </x:c>
    </x:row>
    <x:row r="162" ht="36" customHeight="1">
      <x:c r="A162" s="58" t="str">
        <x:v>S12</x:v>
      </x:c>
      <x:c r="B162" s="58" t="str">
        <x:v>1.15 safety-guard failure session</x:v>
      </x:c>
      <x:c r="C162" s="58" t="n">
        <x:v>1.15</x:v>
      </x:c>
      <x:c r="D162" s="58" t="n">
        <x:v>2</x:v>
      </x:c>
      <x:c r="E162" s="58" t="str">
        <x:v>UNSTABLE — SEARCH CONTINUES</x:v>
      </x:c>
      <x:c r="F162" s="58" t="str">
        <x:v>SEARCH | point 3 | DAC 5.00 | CTRL X 0.11727 | X 0.11127 | Y 0.09956 | Z 0.12935 | TOTAL 0.19815 | error -89.80 % | MAD 2.16 % | CV 10.68 % | coh 29.2 % | dominant Z | axis fraction 86.0 % | UNSTABLE — SEARCH CONTINUES</x:v>
      </x:c>
      <x:c r="G162" s="58" t="n">
        <x:v>366</x:v>
      </x:c>
    </x:row>
    <x:row r="163" ht="36" customHeight="1">
      <x:c r="A163" s="58" t="str">
        <x:v>S12</x:v>
      </x:c>
      <x:c r="B163" s="58" t="str">
        <x:v>1.15 safety-guard failure session</x:v>
      </x:c>
      <x:c r="C163" s="58" t="n">
        <x:v>1.15</x:v>
      </x:c>
      <x:c r="D163" s="58" t="n">
        <x:v>2</x:v>
      </x:c>
      <x:c r="E163" s="58" t="str">
        <x:v>UNSTABLE — SEARCH CONTINUES</x:v>
      </x:c>
      <x:c r="F163" s="58" t="str">
        <x:v>SEARCH | point 4 | DAC 7.00 | CTRL X 0.18575 | X 0.18568 | Y 0.16591 | Z 0.18187 | TOTAL 0.30875 | error -83.85 % | MAD 6.02 % | CV 4.12 % | coh 44.7 % | dominant X | axis fraction 100.0 % | UNSTABLE — SEARCH CONTINUES</x:v>
      </x:c>
      <x:c r="G163" s="58" t="n">
        <x:v>367</x:v>
      </x:c>
    </x:row>
    <x:row r="164" ht="36" customHeight="1">
      <x:c r="A164" s="58" t="str">
        <x:v>S12</x:v>
      </x:c>
      <x:c r="B164" s="58" t="str">
        <x:v>1.15 safety-guard failure session</x:v>
      </x:c>
      <x:c r="C164" s="58" t="n">
        <x:v>1.15</x:v>
      </x:c>
      <x:c r="D164" s="58" t="n">
        <x:v>2</x:v>
      </x:c>
      <x:c r="E164" s="58" t="str">
        <x:v>UNSTABLE — SEARCH CONTINUES</x:v>
      </x:c>
      <x:c r="F164" s="58" t="str">
        <x:v>SEARCH | point 5 | DAC 9.00 | CTRL X 0.24033 | X 0.23558 | Y 0.22946 | Z 0.21222 | TOTAL 0.39170 | error -79.10 % | MAD 6.89 % | CV 7.96 % | coh 47.7 % | dominant X | axis fraction 100.0 % | UNSTABLE — SEARCH CONTINUES</x:v>
      </x:c>
      <x:c r="G164" s="58" t="n">
        <x:v>368</x:v>
      </x:c>
    </x:row>
    <x:row r="165" ht="36" customHeight="1">
      <x:c r="A165" s="58" t="str">
        <x:v>S12</x:v>
      </x:c>
      <x:c r="B165" s="58" t="str">
        <x:v>1.15 safety-guard failure session</x:v>
      </x:c>
      <x:c r="C165" s="58" t="n">
        <x:v>1.15</x:v>
      </x:c>
      <x:c r="D165" s="58" t="n">
        <x:v>2</x:v>
      </x:c>
      <x:c r="E165" s="58" t="str">
        <x:v>Run result</x:v>
      </x:c>
      <x:c r="F165" s="58" t="str">
        <x:v>RUN RESULT: FAIL — X target not reached by DAC 30; increase amplifier knob slightly</x:v>
      </x:c>
      <x:c r="G165" s="58" t="n">
        <x:v>389</x:v>
      </x:c>
    </x:row>
    <x:row r="166" ht="36" customHeight="1">
      <x:c r="A166" s="58" t="str">
        <x:v>S12</x:v>
      </x:c>
      <x:c r="B166" s="58" t="str">
        <x:v>1.15 safety-guard failure session</x:v>
      </x:c>
      <x:c r="C166" s="58" t="n">
        <x:v>1.15</x:v>
      </x:c>
      <x:c r="D166" s="58" t="n">
        <x:v>3</x:v>
      </x:c>
      <x:c r="E166" s="58" t="str">
        <x:v>UNSTABLE — SEARCH CONTINUES</x:v>
      </x:c>
      <x:c r="F166" s="58" t="str">
        <x:v>SEARCH | point 3 | DAC 5.00 | CTRL X 0.12583 | X 0.11616 | Y 0.13152 | Z 0.19499 | TOTAL 0.26384 | error -89.06 % | MAD 22.77 % | CV 11.77 % | coh 33.1 % | dominant Z | axis fraction 59.6 % | UNSTABLE — SEARCH CONTINUES</x:v>
      </x:c>
      <x:c r="G166" s="58" t="n">
        <x:v>408</x:v>
      </x:c>
    </x:row>
    <x:row r="167" ht="36" customHeight="1">
      <x:c r="A167" s="58" t="str">
        <x:v>S12</x:v>
      </x:c>
      <x:c r="B167" s="58" t="str">
        <x:v>1.15 safety-guard failure session</x:v>
      </x:c>
      <x:c r="C167" s="58" t="n">
        <x:v>1.15</x:v>
      </x:c>
      <x:c r="D167" s="58" t="n">
        <x:v>3</x:v>
      </x:c>
      <x:c r="E167" s="58" t="str">
        <x:v>UNSTABLE — SEARCH CONTINUES</x:v>
      </x:c>
      <x:c r="F167" s="58" t="str">
        <x:v>SEARCH | point 4 | DAC 7.00 | CTRL X 0.19013 | X 0.19126 | Y 0.17212 | Z 0.29628 | TOTAL 0.39316 | error -83.47 % | MAD 0.37 % | CV 1.24 % | coh 51.4 % | dominant Z | axis fraction 64.6 % | UNSTABLE — SEARCH CONTINUES</x:v>
      </x:c>
      <x:c r="G167" s="58" t="n">
        <x:v>409</x:v>
      </x:c>
    </x:row>
    <x:row r="168" ht="36" customHeight="1">
      <x:c r="A168" s="58" t="str">
        <x:v>S12</x:v>
      </x:c>
      <x:c r="B168" s="58" t="str">
        <x:v>1.15 safety-guard failure session</x:v>
      </x:c>
      <x:c r="C168" s="58" t="n">
        <x:v>1.15</x:v>
      </x:c>
      <x:c r="D168" s="58" t="n">
        <x:v>3</x:v>
      </x:c>
      <x:c r="E168" s="58" t="str">
        <x:v>SAFETY GUARD</x:v>
      </x:c>
      <x:c r="F168" s="58" t="str">
        <x:v>SEARCH | point 18 | DAC 24.00 | CTRL X 0.00000 | X 0.00000 | Y 0.00000 | Z 0.00000 | TOTAL 0.00000 | error -100.00 % | MAD 0.00 % | CV 0.00 % | coh 0.0 % | dominant ? | axis fraction 0.0 % | SAFETY GUARD</x:v>
      </x:c>
      <x:c r="G168" s="58" t="n">
        <x:v>423</x:v>
      </x:c>
    </x:row>
    <x:row r="169" ht="36" customHeight="1">
      <x:c r="A169" s="58" t="str">
        <x:v>S12</x:v>
      </x:c>
      <x:c r="B169" s="58" t="str">
        <x:v>1.15 safety-guard failure session</x:v>
      </x:c>
      <x:c r="C169" s="58" t="n">
        <x:v>1.15</x:v>
      </x:c>
      <x:c r="D169" s="58" t="n">
        <x:v>4</x:v>
      </x:c>
      <x:c r="E169" s="58" t="str">
        <x:v>SAFETY GUARD</x:v>
      </x:c>
      <x:c r="F169" s="58" t="str">
        <x:v>SEARCH | point 4 | DAC 7.00 | CTRL X 0.00000 | X 0.00000 | Y 0.00000 | Z 0.00000 | TOTAL 0.00000 | error -100.00 % | MAD 0.00 % | CV 0.00 % | coh 0.0 % | dominant ? | axis fraction 0.0 % | SAFETY GUARD</x:v>
      </x:c>
      <x:c r="G169" s="58" t="n">
        <x:v>443</x:v>
      </x:c>
    </x:row>
    <x:row r="170" ht="36" customHeight="1">
      <x:c r="A170" s="58" t="str">
        <x:v>S12</x:v>
      </x:c>
      <x:c r="B170" s="58" t="str">
        <x:v>1.15 safety-guard failure session</x:v>
      </x:c>
      <x:c r="C170" s="58" t="n">
        <x:v>1.15</x:v>
      </x:c>
      <x:c r="D170" s="58" t="n">
        <x:v>5</x:v>
      </x:c>
      <x:c r="E170" s="58" t="str">
        <x:v>UNSTABLE — SEARCH CONTINUES</x:v>
      </x:c>
      <x:c r="F170" s="58" t="str">
        <x:v>SEARCH | point 1 | DAC 1.00 | CTRL X 0.13953 | X 0.32698 | Y 0.79542 | Z 0.97519 | TOTAL 1.30877 | error -87.87 % | MAD 68.60 % | CV 116.81 % | coh 9.1 % | dominant Z | axis fraction 33.5 % | UNSTABLE — SEARCH CONTINUES</x:v>
      </x:c>
      <x:c r="G170" s="58" t="n">
        <x:v>460</x:v>
      </x:c>
    </x:row>
    <x:row r="171" ht="36" customHeight="1">
      <x:c r="A171" s="58" t="str">
        <x:v>S12</x:v>
      </x:c>
      <x:c r="B171" s="58" t="str">
        <x:v>1.15 safety-guard failure session</x:v>
      </x:c>
      <x:c r="C171" s="58" t="n">
        <x:v>1.15</x:v>
      </x:c>
      <x:c r="D171" s="58" t="n">
        <x:v>5</x:v>
      </x:c>
      <x:c r="E171" s="58" t="str">
        <x:v>SAFETY GUARD</x:v>
      </x:c>
      <x:c r="F171" s="58" t="str">
        <x:v>SEARCH | point 2 | DAC 3.00 | CTRL X 0.00000 | X 0.00000 | Y 0.00000 | Z 0.00000 | TOTAL 0.00000 | error -100.00 % | MAD 0.00 % | CV 0.00 % | coh 0.0 % | dominant ? | axis fraction 0.0 % | SAFETY GUARD</x:v>
      </x:c>
      <x:c r="G171" s="58" t="n">
        <x:v>461</x:v>
      </x:c>
    </x:row>
    <x:row r="172" ht="36" customHeight="1">
      <x:c r="A172" s="58" t="str">
        <x:v>S12</x:v>
      </x:c>
      <x:c r="B172" s="58" t="str">
        <x:v>1.15 safety-guard failure session</x:v>
      </x:c>
      <x:c r="C172" s="58" t="n">
        <x:v>1.15</x:v>
      </x:c>
      <x:c r="D172" s="58" t="n">
        <x:v>5</x:v>
      </x:c>
      <x:c r="E172" s="58" t="str">
        <x:v>Safety guard</x:v>
      </x:c>
      <x:c r="F172" s="58" t="str">
        <x:v>3,FAIL,0.00,0.00000,0.00,0.00000,0.00000,0.00,0.00000,0.00,0.0,Absolute acceleration safety guard reached</x:v>
      </x:c>
      <x:c r="G172" s="58" t="n">
        <x:v>469</x:v>
      </x:c>
    </x:row>
    <x:row r="173" ht="36" customHeight="1">
      <x:c r="A173" s="58" t="str">
        <x:v>S12</x:v>
      </x:c>
      <x:c r="B173" s="58" t="str">
        <x:v>1.15 safety-guard failure session</x:v>
      </x:c>
      <x:c r="C173" s="58" t="n">
        <x:v>1.15</x:v>
      </x:c>
      <x:c r="D173" s="58" t="n">
        <x:v>5</x:v>
      </x:c>
      <x:c r="E173" s="58" t="str">
        <x:v>Safety guard</x:v>
      </x:c>
      <x:c r="F173" s="58" t="str">
        <x:v>4,FAIL,0.00,0.00000,0.00,0.00000,0.00000,0.00,0.00000,0.00,0.0,Absolute acceleration safety guard reached</x:v>
      </x:c>
      <x:c r="G173" s="58" t="n">
        <x:v>470</x:v>
      </x:c>
    </x:row>
    <x:row r="174" ht="36" customHeight="1">
      <x:c r="A174" s="58" t="str">
        <x:v>S12</x:v>
      </x:c>
      <x:c r="B174" s="58" t="str">
        <x:v>1.15 safety-guard failure session</x:v>
      </x:c>
      <x:c r="C174" s="58" t="n">
        <x:v>1.15</x:v>
      </x:c>
      <x:c r="D174" s="58" t="n">
        <x:v>5</x:v>
      </x:c>
      <x:c r="E174" s="58" t="str">
        <x:v>Safety guard</x:v>
      </x:c>
      <x:c r="F174" s="58" t="str">
        <x:v>5,FAIL,0.00,0.00000,0.00,0.00000,0.00000,0.00,0.00000,0.00,0.0,Absolute acceleration safety guard reached</x:v>
      </x:c>
      <x:c r="G174" s="58" t="n">
        <x:v>471</x:v>
      </x:c>
    </x:row>
    <x:row r="175" ht="36" customHeight="1">
      <x:c r="A175" s="58" t="str">
        <x:v>S12</x:v>
      </x:c>
      <x:c r="B175" s="58" t="str">
        <x:v>1.15 safety-guard failure session</x:v>
      </x:c>
      <x:c r="C175" s="58" t="n">
        <x:v>1.15</x:v>
      </x:c>
      <x:c r="D175" s="58" t="n">
        <x:v>5</x:v>
      </x:c>
      <x:c r="E175" s="58" t="str">
        <x:v>Emergency stop</x:v>
      </x:c>
      <x:c r="F175" s="58" t="str">
        <x:v>s        = emergency stop</x:v>
      </x:c>
      <x:c r="G175" s="58" t="n">
        <x:v>490</x:v>
      </x:c>
    </x:row>
    <x:row r="176" ht="36" customHeight="1">
      <x:c r="A176" s="58" t="str">
        <x:v>S13</x:v>
      </x:c>
      <x:c r="B176" s="58" t="str">
        <x:v>1.00 validated five-run session</x:v>
      </x:c>
      <x:c r="C176" s="58" t="n">
        <x:v>1</x:v>
      </x:c>
      <x:c r="D176" s="58" t="n">
        <x:v>1</x:v>
      </x:c>
      <x:c r="E176" s="58" t="str">
        <x:v>UNSTABLE — SEARCH CONTINUES</x:v>
      </x:c>
      <x:c r="F176" s="58" t="str">
        <x:v>SEARCH | point 2 | DAC 3.00 | CTRL X 0.16348 | X 0.17624 | Y 0.06461 | Z 0.01696 | TOTAL 0.18874 | error -83.65 % | MAD 23.15 % | CV 10.24 % | coh 41.4 % | dominant X | axis fraction 100.0 % | UNSTABLE — SEARCH CONTINUES</x:v>
      </x:c>
      <x:c r="G176" s="58" t="n">
        <x:v>527</x:v>
      </x:c>
    </x:row>
    <x:row r="177" ht="36" customHeight="1">
      <x:c r="A177" s="58" t="str">
        <x:v>S13</x:v>
      </x:c>
      <x:c r="B177" s="58" t="str">
        <x:v>1.00 validated five-run session</x:v>
      </x:c>
      <x:c r="C177" s="58" t="n">
        <x:v>1</x:v>
      </x:c>
      <x:c r="D177" s="58" t="n">
        <x:v>1</x:v>
      </x:c>
      <x:c r="E177" s="58" t="str">
        <x:v>Validation accepted</x:v>
      </x:c>
      <x:c r="F177" s="58" t="str">
        <x:v>VALIDATION ACCEPTED | pair drift 1.02 %</x:v>
      </x:c>
      <x:c r="G177" s="58" t="n">
        <x:v>552</x:v>
      </x:c>
    </x:row>
    <x:row r="178" ht="36" customHeight="1">
      <x:c r="A178" s="58" t="str">
        <x:v>S13</x:v>
      </x:c>
      <x:c r="B178" s="58" t="str">
        <x:v>1.00 validated five-run session</x:v>
      </x:c>
      <x:c r="C178" s="58" t="n">
        <x:v>1</x:v>
      </x:c>
      <x:c r="D178" s="58" t="n">
        <x:v>2</x:v>
      </x:c>
      <x:c r="E178" s="58" t="str">
        <x:v>UNSTABLE — SEARCH CONTINUES</x:v>
      </x:c>
      <x:c r="F178" s="58" t="str">
        <x:v>SEARCH | point 2 | DAC 3.00 | CTRL X 0.24642 | X 0.23786 | Y 0.09670 | Z 0.05632 | TOTAL 0.26332 | error -75.36 % | MAD 2.37 % | CV 7.71 % | coh 33.3 % | dominant X | axis fraction 100.0 % | UNSTABLE — SEARCH CONTINUES</x:v>
      </x:c>
      <x:c r="G178" s="58" t="n">
        <x:v>608</x:v>
      </x:c>
    </x:row>
    <x:row r="179" ht="36" customHeight="1">
      <x:c r="A179" s="58" t="str">
        <x:v>S13</x:v>
      </x:c>
      <x:c r="B179" s="58" t="str">
        <x:v>1.00 validated five-run session</x:v>
      </x:c>
      <x:c r="C179" s="58" t="n">
        <x:v>1</x:v>
      </x:c>
      <x:c r="D179" s="58" t="n">
        <x:v>2</x:v>
      </x:c>
      <x:c r="E179" s="58" t="str">
        <x:v>Validation accepted</x:v>
      </x:c>
      <x:c r="F179" s="58" t="str">
        <x:v>VALIDATION ACCEPTED | pair drift 2.32 %</x:v>
      </x:c>
      <x:c r="G179" s="58" t="n">
        <x:v>633</x:v>
      </x:c>
    </x:row>
    <x:row r="180" ht="36" customHeight="1">
      <x:c r="A180" s="58" t="str">
        <x:v>S13</x:v>
      </x:c>
      <x:c r="B180" s="58" t="str">
        <x:v>1.00 validated five-run session</x:v>
      </x:c>
      <x:c r="C180" s="58" t="n">
        <x:v>1</x:v>
      </x:c>
      <x:c r="D180" s="58" t="n">
        <x:v>3</x:v>
      </x:c>
      <x:c r="E180" s="58" t="str">
        <x:v>UNSTABLE — SEARCH CONTINUES</x:v>
      </x:c>
      <x:c r="F180" s="58" t="str">
        <x:v>SEARCH | point 2 | DAC 3.00 | CTRL X 0.22566 | X 0.21869 | Y 0.10890 | Z 0.04561 | TOTAL 0.24983 | error -77.43 % | MAD 7.56 % | CV 10.41 % | coh 32.1 % | dominant X | axis fraction 100.0 % | UNSTABLE — SEARCH CONTINUES</x:v>
      </x:c>
      <x:c r="G180" s="58" t="n">
        <x:v>689</x:v>
      </x:c>
    </x:row>
    <x:row r="181" ht="36" customHeight="1">
      <x:c r="A181" s="58" t="str">
        <x:v>S13</x:v>
      </x:c>
      <x:c r="B181" s="58" t="str">
        <x:v>1.00 validated five-run session</x:v>
      </x:c>
      <x:c r="C181" s="58" t="n">
        <x:v>1</x:v>
      </x:c>
      <x:c r="D181" s="58" t="n">
        <x:v>3</x:v>
      </x:c>
      <x:c r="E181" s="58" t="str">
        <x:v>Validation accepted</x:v>
      </x:c>
      <x:c r="F181" s="58" t="str">
        <x:v>VALIDATION ACCEPTED | pair drift 0.08 %</x:v>
      </x:c>
      <x:c r="G181" s="58" t="n">
        <x:v>716</x:v>
      </x:c>
    </x:row>
    <x:row r="182" ht="36" customHeight="1">
      <x:c r="A182" s="58" t="str">
        <x:v>S13</x:v>
      </x:c>
      <x:c r="B182" s="58" t="str">
        <x:v>1.00 validated five-run session</x:v>
      </x:c>
      <x:c r="C182" s="58" t="n">
        <x:v>1</x:v>
      </x:c>
      <x:c r="D182" s="58" t="n">
        <x:v>4</x:v>
      </x:c>
      <x:c r="E182" s="58" t="str">
        <x:v>UNSTABLE — SEARCH CONTINUES</x:v>
      </x:c>
      <x:c r="F182" s="58" t="str">
        <x:v>SEARCH | point 2 | DAC 3.00 | CTRL X 0.20775 | X 0.20988 | Y 0.09828 | Z 0.05042 | TOTAL 0.23754 | error -79.22 % | MAD 0.90 % | CV 2.29 % | coh 31.2 % | dominant X | axis fraction 100.0 % | UNSTABLE — SEARCH CONTINUES</x:v>
      </x:c>
      <x:c r="G182" s="58" t="n">
        <x:v>772</x:v>
      </x:c>
    </x:row>
    <x:row r="183" ht="36" customHeight="1">
      <x:c r="A183" s="58" t="str">
        <x:v>S13</x:v>
      </x:c>
      <x:c r="B183" s="58" t="str">
        <x:v>1.00 validated five-run session</x:v>
      </x:c>
      <x:c r="C183" s="58" t="n">
        <x:v>1</x:v>
      </x:c>
      <x:c r="D183" s="58" t="n">
        <x:v>4</x:v>
      </x:c>
      <x:c r="E183" s="58" t="str">
        <x:v>Validation accepted</x:v>
      </x:c>
      <x:c r="F183" s="58" t="str">
        <x:v>VALIDATION ACCEPTED | pair drift 2.03 %</x:v>
      </x:c>
      <x:c r="G183" s="58" t="n">
        <x:v>799</x:v>
      </x:c>
    </x:row>
    <x:row r="184" ht="36" customHeight="1">
      <x:c r="A184" s="58" t="str">
        <x:v>S13</x:v>
      </x:c>
      <x:c r="B184" s="58" t="str">
        <x:v>1.00 validated five-run session</x:v>
      </x:c>
      <x:c r="C184" s="58" t="n">
        <x:v>1</x:v>
      </x:c>
      <x:c r="D184" s="58" t="n">
        <x:v>5</x:v>
      </x:c>
      <x:c r="E184" s="58" t="str">
        <x:v>UNSTABLE — SEARCH CONTINUES</x:v>
      </x:c>
      <x:c r="F184" s="58" t="str">
        <x:v>SEARCH | point 2 | DAC 3.00 | CTRL X 0.19639 | X 0.19732 | Y 0.08618 | Z 0.05505 | TOTAL 0.22314 | error -80.36 % | MAD 1.50 % | CV 1.76 % | coh 30.5 % | dominant X | axis fraction 100.0 % | UNSTABLE — SEARCH CONTINUES</x:v>
      </x:c>
      <x:c r="G184" s="58" t="n">
        <x:v>855</x:v>
      </x:c>
    </x:row>
    <x:row r="185" ht="36" customHeight="1">
      <x:c r="A185" s="58" t="str">
        <x:v>S13</x:v>
      </x:c>
      <x:c r="B185" s="58" t="str">
        <x:v>1.00 validated five-run session</x:v>
      </x:c>
      <x:c r="C185" s="58" t="n">
        <x:v>1</x:v>
      </x:c>
      <x:c r="D185" s="58" t="n">
        <x:v>5</x:v>
      </x:c>
      <x:c r="E185" s="58" t="str">
        <x:v>Validation accepted</x:v>
      </x:c>
      <x:c r="F185" s="58" t="str">
        <x:v>VALIDATION ACCEPTED | pair drift 1.95 %</x:v>
      </x:c>
      <x:c r="G185" s="58" t="n">
        <x:v>883</x:v>
      </x:c>
    </x:row>
    <x:row r="186" ht="36" customHeight="1">
      <x:c r="A186" s="58" t="str">
        <x:v>S14</x:v>
      </x:c>
      <x:c r="B186" s="58" t="str">
        <x:v>1.15 validation at 272 Hz</x:v>
      </x:c>
      <x:c r="C186" s="58" t="n">
        <x:v>1.15</x:v>
      </x:c>
      <x:c r="D186" s="58" t="n">
        <x:v>1</x:v>
      </x:c>
      <x:c r="E186" s="58" t="str">
        <x:v>UNSTABLE — SEARCH CONTINUES</x:v>
      </x:c>
      <x:c r="F186" s="58" t="str">
        <x:v>SEARCH | point 2 | DAC 3.00 | CTRL X 0.18504 | X 0.17836 | Y 0.09337 | Z 0.06588 | TOTAL 0.21329 | error -83.91 % | MAD 4.52 % | CV 9.36 % | coh 27.1 % | dominant X | axis fraction 100.0 % | UNSTABLE — SEARCH CONTINUES</x:v>
      </x:c>
      <x:c r="G186" s="58" t="n">
        <x:v>978</x:v>
      </x:c>
    </x:row>
    <x:row r="187" ht="36" customHeight="1">
      <x:c r="A187" s="58" t="str">
        <x:v>S14</x:v>
      </x:c>
      <x:c r="B187" s="58" t="str">
        <x:v>1.15 validation at 272 Hz</x:v>
      </x:c>
      <x:c r="C187" s="58" t="n">
        <x:v>1.15</x:v>
      </x:c>
      <x:c r="D187" s="58" t="n">
        <x:v>1</x:v>
      </x:c>
      <x:c r="E187" s="58" t="str">
        <x:v>Validation accepted</x:v>
      </x:c>
      <x:c r="F187" s="58" t="str">
        <x:v>VALIDATION ACCEPTED | pair drift 1.28 %</x:v>
      </x:c>
      <x:c r="G187" s="58" t="n">
        <x:v>1006</x:v>
      </x:c>
    </x:row>
    <x:row r="188" ht="36" customHeight="1">
      <x:c r="A188" s="58" t="str">
        <x:v>S14</x:v>
      </x:c>
      <x:c r="B188" s="58" t="str">
        <x:v>1.15 validation at 272 Hz</x:v>
      </x:c>
      <x:c r="C188" s="58" t="n">
        <x:v>1.15</x:v>
      </x:c>
      <x:c r="D188" s="58" t="n">
        <x:v>2</x:v>
      </x:c>
      <x:c r="E188" s="58" t="str">
        <x:v>UNSTABLE — SEARCH CONTINUES</x:v>
      </x:c>
      <x:c r="F188" s="58" t="str">
        <x:v>SEARCH | point 2 | DAC 3.00 | CTRL X 0.21309 | X 0.20927 | Y 0.10649 | Z 0.04490 | TOTAL 0.23954 | error -81.47 % | MAD 8.41 % | CV 8.66 % | coh 31.3 % | dominant X | axis fraction 100.0 % | UNSTABLE — SEARCH CONTINUES</x:v>
      </x:c>
      <x:c r="G188" s="58" t="n">
        <x:v>1062</x:v>
      </x:c>
    </x:row>
    <x:row r="189" ht="36" customHeight="1">
      <x:c r="A189" s="58" t="str">
        <x:v>S14</x:v>
      </x:c>
      <x:c r="B189" s="58" t="str">
        <x:v>1.15 validation at 272 Hz</x:v>
      </x:c>
      <x:c r="C189" s="58" t="n">
        <x:v>1.15</x:v>
      </x:c>
      <x:c r="D189" s="58" t="n">
        <x:v>2</x:v>
      </x:c>
      <x:c r="E189" s="58" t="str">
        <x:v>Validation accepted</x:v>
      </x:c>
      <x:c r="F189" s="58" t="str">
        <x:v>VALIDATION ACCEPTED | pair drift 1.75 %</x:v>
      </x:c>
      <x:c r="G189" s="58" t="n">
        <x:v>1090</x:v>
      </x:c>
    </x:row>
    <x:row r="190" ht="36" customHeight="1">
      <x:c r="A190" s="58" t="str">
        <x:v>S14</x:v>
      </x:c>
      <x:c r="B190" s="58" t="str">
        <x:v>1.15 validation at 272 Hz</x:v>
      </x:c>
      <x:c r="C190" s="58" t="n">
        <x:v>1.15</x:v>
      </x:c>
      <x:c r="D190" s="58" t="n">
        <x:v>3</x:v>
      </x:c>
      <x:c r="E190" s="58" t="str">
        <x:v>UNSTABLE — SEARCH CONTINUES</x:v>
      </x:c>
      <x:c r="F190" s="58" t="str">
        <x:v>SEARCH | point 2 | DAC 3.00 | CTRL X 0.19056 | X 0.18345 | Y 0.09441 | Z 0.03570 | TOTAL 0.21067 | error -83.43 % | MAD 4.31 % | CV 9.44 % | coh 26.8 % | dominant X | axis fraction 100.0 % | UNSTABLE — SEARCH CONTINUES</x:v>
      </x:c>
      <x:c r="G190" s="58" t="n">
        <x:v>1146</x:v>
      </x:c>
    </x:row>
    <x:row r="191" ht="36" customHeight="1">
      <x:c r="A191" s="58" t="str">
        <x:v>S14</x:v>
      </x:c>
      <x:c r="B191" s="58" t="str">
        <x:v>1.15 validation at 272 Hz</x:v>
      </x:c>
      <x:c r="C191" s="58" t="n">
        <x:v>1.15</x:v>
      </x:c>
      <x:c r="D191" s="58" t="n">
        <x:v>3</x:v>
      </x:c>
      <x:c r="E191" s="58" t="str">
        <x:v>Validation accepted</x:v>
      </x:c>
      <x:c r="F191" s="58" t="str">
        <x:v>VALIDATION ACCEPTED | pair drift 1.35 %</x:v>
      </x:c>
      <x:c r="G191" s="58" t="n">
        <x:v>1174</x:v>
      </x:c>
    </x:row>
    <x:row r="192" ht="36" customHeight="1">
      <x:c r="A192" s="58" t="str">
        <x:v>S14</x:v>
      </x:c>
      <x:c r="B192" s="58" t="str">
        <x:v>1.15 validation at 272 Hz</x:v>
      </x:c>
      <x:c r="C192" s="58" t="n">
        <x:v>1.15</x:v>
      </x:c>
      <x:c r="D192" s="58" t="n">
        <x:v>4</x:v>
      </x:c>
      <x:c r="E192" s="58" t="str">
        <x:v>UNSTABLE — SEARCH CONTINUES</x:v>
      </x:c>
      <x:c r="F192" s="58" t="str">
        <x:v>SEARCH | point 2 | DAC 3.00 | CTRL X 0.20894 | X 0.20397 | Y 0.10357 | Z 0.04509 | TOTAL 0.23337 | error -81.83 % | MAD 5.31 % | CV 7.62 % | coh 29.7 % | dominant X | axis fraction 100.0 % | UNSTABLE — SEARCH CONTINUES</x:v>
      </x:c>
      <x:c r="G192" s="58" t="n">
        <x:v>1230</x:v>
      </x:c>
    </x:row>
    <x:row r="193" ht="36" customHeight="1">
      <x:c r="A193" s="58" t="str">
        <x:v>S14</x:v>
      </x:c>
      <x:c r="B193" s="58" t="str">
        <x:v>1.15 validation at 272 Hz</x:v>
      </x:c>
      <x:c r="C193" s="58" t="n">
        <x:v>1.15</x:v>
      </x:c>
      <x:c r="D193" s="58" t="n">
        <x:v>4</x:v>
      </x:c>
      <x:c r="E193" s="58" t="str">
        <x:v>Validation accepted</x:v>
      </x:c>
      <x:c r="F193" s="58" t="str">
        <x:v>VALIDATION ACCEPTED | pair drift 0.18 %</x:v>
      </x:c>
      <x:c r="G193" s="58" t="n">
        <x:v>1257</x:v>
      </x:c>
    </x:row>
    <x:row r="194" ht="36" customHeight="1">
      <x:c r="A194" s="58" t="str">
        <x:v>S14</x:v>
      </x:c>
      <x:c r="B194" s="58" t="str">
        <x:v>1.15 validation at 272 Hz</x:v>
      </x:c>
      <x:c r="C194" s="58" t="n">
        <x:v>1.15</x:v>
      </x:c>
      <x:c r="D194" s="58" t="n">
        <x:v>5</x:v>
      </x:c>
      <x:c r="E194" s="58" t="str">
        <x:v>UNSTABLE — SEARCH CONTINUES</x:v>
      </x:c>
      <x:c r="F194" s="58" t="str">
        <x:v>SEARCH | point 2 | DAC 3.00 | CTRL X 0.18729 | X 0.18520 | Y 0.09835 | Z 0.04027 | TOTAL 0.21473 | error -83.71 % | MAD 16.12 % | CV 12.72 % | coh 27.1 % | dominant X | axis fraction 100.0 % | UNSTABLE — SEARCH CONTINUES</x:v>
      </x:c>
      <x:c r="G194" s="58" t="n">
        <x:v>1313</x:v>
      </x:c>
    </x:row>
    <x:row r="195" ht="36" customHeight="1">
      <x:c r="A195" s="58" t="str">
        <x:v>S14</x:v>
      </x:c>
      <x:c r="B195" s="58" t="str">
        <x:v>1.15 validation at 272 Hz</x:v>
      </x:c>
      <x:c r="C195" s="58" t="n">
        <x:v>1.15</x:v>
      </x:c>
      <x:c r="D195" s="58" t="n">
        <x:v>5</x:v>
      </x:c>
      <x:c r="E195" s="58" t="str">
        <x:v>Validation accepted</x:v>
      </x:c>
      <x:c r="F195" s="58" t="str">
        <x:v>VALIDATION ACCEPTED | pair drift 1.53 %</x:v>
      </x:c>
      <x:c r="G195" s="58" t="n">
        <x:v>1342</x:v>
      </x:c>
    </x:row>
    <x:row r="196" ht="36" customHeight="1">
      <x:c r="A196" s="58" t="str">
        <x:v>S15</x:v>
      </x:c>
      <x:c r="B196" s="58" t="str">
        <x:v>0.60 validation at 268.9 Hz</x:v>
      </x:c>
      <x:c r="C196" s="58" t="n">
        <x:v>0.6</x:v>
      </x:c>
      <x:c r="D196" s="58" t="n">
        <x:v>1</x:v>
      </x:c>
      <x:c r="E196" s="58" t="str">
        <x:v>UNSTABLE — SEARCH CONTINUES</x:v>
      </x:c>
      <x:c r="F196" s="58" t="str">
        <x:v>SEARCH | point 2 | DAC 3.00 | CTRL X 0.20323 | X 0.20536 | Y 0.09301 | Z 0.07428 | TOTAL 0.24048 | error -66.13 % | MAD 10.70 % | CV 8.75 % | coh 30.2 % | dominant X | axis fraction 100.0 % | UNSTABLE — SEARCH CONTINUES</x:v>
      </x:c>
      <x:c r="G196" s="58" t="n">
        <x:v>1437</x:v>
      </x:c>
    </x:row>
    <x:row r="197" ht="36" customHeight="1">
      <x:c r="A197" s="58" t="str">
        <x:v>S15</x:v>
      </x:c>
      <x:c r="B197" s="58" t="str">
        <x:v>0.60 validation at 268.9 Hz</x:v>
      </x:c>
      <x:c r="C197" s="58" t="n">
        <x:v>0.6</x:v>
      </x:c>
      <x:c r="D197" s="58" t="n">
        <x:v>1</x:v>
      </x:c>
      <x:c r="E197" s="58" t="str">
        <x:v>UNSTABLE — SEARCH CONTINUES</x:v>
      </x:c>
      <x:c r="F197" s="58" t="str">
        <x:v>SEARCH | point 3 | DAC 4.00 | CTRL X 0.29994 | X 0.30063 | Y 0.13317 | Z 0.09612 | TOTAL 0.34421 | error -50.01 % | MAD 3.74 % | CV 2.87 % | coh 42.9 % | dominant X | axis fraction 100.0 % | UNSTABLE — SEARCH CONTINUES</x:v>
      </x:c>
      <x:c r="G197" s="58" t="n">
        <x:v>1438</x:v>
      </x:c>
    </x:row>
    <x:row r="198" ht="36" customHeight="1">
      <x:c r="A198" s="58" t="str">
        <x:v>S15</x:v>
      </x:c>
      <x:c r="B198" s="58" t="str">
        <x:v>0.60 validation at 268.9 Hz</x:v>
      </x:c>
      <x:c r="C198" s="58" t="n">
        <x:v>0.6</x:v>
      </x:c>
      <x:c r="D198" s="58" t="n">
        <x:v>1</x:v>
      </x:c>
      <x:c r="E198" s="58" t="str">
        <x:v>Validation accepted</x:v>
      </x:c>
      <x:c r="F198" s="58" t="str">
        <x:v>VALIDATION ACCEPTED | pair drift 1.09 %</x:v>
      </x:c>
      <x:c r="G198" s="58" t="n">
        <x:v>1460</x:v>
      </x:c>
    </x:row>
    <x:row r="199" ht="36" customHeight="1">
      <x:c r="A199" s="58" t="str">
        <x:v>S15</x:v>
      </x:c>
      <x:c r="B199" s="58" t="str">
        <x:v>0.60 validation at 268.9 Hz</x:v>
      </x:c>
      <x:c r="C199" s="58" t="n">
        <x:v>0.6</x:v>
      </x:c>
      <x:c r="D199" s="58" t="n">
        <x:v>1</x:v>
      </x:c>
      <x:c r="E199" s="58" t="str">
        <x:v>Hold result</x:v>
      </x:c>
      <x:c r="F199" s="58" t="str">
        <x:v>HOLD RESULT: FAIL</x:v>
      </x:c>
      <x:c r="G199" s="58" t="n">
        <x:v>1493</x:v>
      </x:c>
    </x:row>
    <x:row r="200" ht="36" customHeight="1">
      <x:c r="A200" s="58" t="str">
        <x:v>S15</x:v>
      </x:c>
      <x:c r="B200" s="58" t="str">
        <x:v>0.60 validation at 268.9 Hz</x:v>
      </x:c>
      <x:c r="C200" s="58" t="n">
        <x:v>0.6</x:v>
      </x:c>
      <x:c r="D200" s="58" t="n">
        <x:v>1</x:v>
      </x:c>
      <x:c r="E200" s="58" t="str">
        <x:v>Retry</x:v>
      </x:c>
      <x:c r="F200" s="58" t="str">
        <x:v>ACQUISITION ATTEMPT 2 OF 2</x:v>
      </x:c>
      <x:c r="G200" s="58" t="n">
        <x:v>1495</x:v>
      </x:c>
    </x:row>
    <x:row r="201" ht="36" customHeight="1">
      <x:c r="A201" s="58" t="str">
        <x:v>S15</x:v>
      </x:c>
      <x:c r="B201" s="58" t="str">
        <x:v>0.60 validation at 268.9 Hz</x:v>
      </x:c>
      <x:c r="C201" s="58" t="n">
        <x:v>0.6</x:v>
      </x:c>
      <x:c r="D201" s="58" t="n">
        <x:v>1</x:v>
      </x:c>
      <x:c r="E201" s="58" t="str">
        <x:v>UNSTABLE — SEARCH CONTINUES</x:v>
      </x:c>
      <x:c r="F201" s="58" t="str">
        <x:v>SEARCH | point 2 | DAC 3.00 | CTRL X 0.18576 | X 0.18168 | Y 0.09763 | Z 0.06557 | TOTAL 0.21693 | error -69.04 % | MAD 7.50 % | CV 8.75 % | coh 28.2 % | dominant X | axis fraction 100.0 % | UNSTABLE — SEARCH CONTINUES</x:v>
      </x:c>
      <x:c r="G201" s="58" t="n">
        <x:v>1501</x:v>
      </x:c>
    </x:row>
    <x:row r="202" ht="36" customHeight="1">
      <x:c r="A202" s="58" t="str">
        <x:v>S15</x:v>
      </x:c>
      <x:c r="B202" s="58" t="str">
        <x:v>0.60 validation at 268.9 Hz</x:v>
      </x:c>
      <x:c r="C202" s="58" t="n">
        <x:v>0.6</x:v>
      </x:c>
      <x:c r="D202" s="58" t="n">
        <x:v>1</x:v>
      </x:c>
      <x:c r="E202" s="58" t="str">
        <x:v>UNSTABLE — SEARCH CONTINUES</x:v>
      </x:c>
      <x:c r="F202" s="58" t="str">
        <x:v>SEARCH | point 3 | DAC 4.00 | CTRL X 0.30953 | X 0.31088 | Y 0.14254 | Z 0.08627 | TOTAL 0.35278 | error -48.41 % | MAD 3.30 % | CV 2.89 % | coh 45.3 % | dominant X | axis fraction 100.0 % | UNSTABLE — SEARCH CONTINUES</x:v>
      </x:c>
      <x:c r="G202" s="58" t="n">
        <x:v>1502</x:v>
      </x:c>
    </x:row>
    <x:row r="203" ht="36" customHeight="1">
      <x:c r="A203" s="58" t="str">
        <x:v>S15</x:v>
      </x:c>
      <x:c r="B203" s="58" t="str">
        <x:v>0.60 validation at 268.9 Hz</x:v>
      </x:c>
      <x:c r="C203" s="58" t="n">
        <x:v>0.6</x:v>
      </x:c>
      <x:c r="D203" s="58" t="n">
        <x:v>1</x:v>
      </x:c>
      <x:c r="E203" s="58" t="str">
        <x:v>Validation accepted</x:v>
      </x:c>
      <x:c r="F203" s="58" t="str">
        <x:v>VALIDATION ACCEPTED | pair drift 0.40 %</x:v>
      </x:c>
      <x:c r="G203" s="58" t="n">
        <x:v>1524</x:v>
      </x:c>
    </x:row>
    <x:row r="204" ht="36" customHeight="1">
      <x:c r="A204" s="58" t="str">
        <x:v>S15</x:v>
      </x:c>
      <x:c r="B204" s="58" t="str">
        <x:v>0.60 validation at 268.9 Hz</x:v>
      </x:c>
      <x:c r="C204" s="58" t="n">
        <x:v>0.6</x:v>
      </x:c>
      <x:c r="D204" s="58" t="n">
        <x:v>2</x:v>
      </x:c>
      <x:c r="E204" s="58" t="str">
        <x:v>UNSTABLE — SEARCH CONTINUES</x:v>
      </x:c>
      <x:c r="F204" s="58" t="str">
        <x:v>SEARCH | point 2 | DAC 3.00 | CTRL X 0.19479 | X 0.19183 | Y 0.09548 | Z 0.05142 | TOTAL 0.22134 | error -67.54 % | MAD 17.18 % | CV 14.14 % | coh 29.7 % | dominant X | axis fraction 100.0 % | UNSTABLE — SEARCH CONTINUES</x:v>
      </x:c>
      <x:c r="G204" s="58" t="n">
        <x:v>1580</x:v>
      </x:c>
    </x:row>
    <x:row r="205" ht="36" customHeight="1">
      <x:c r="A205" s="58" t="str">
        <x:v>S15</x:v>
      </x:c>
      <x:c r="B205" s="58" t="str">
        <x:v>0.60 validation at 268.9 Hz</x:v>
      </x:c>
      <x:c r="C205" s="58" t="n">
        <x:v>0.6</x:v>
      </x:c>
      <x:c r="D205" s="58" t="n">
        <x:v>2</x:v>
      </x:c>
      <x:c r="E205" s="58" t="str">
        <x:v>UNSTABLE — SEARCH CONTINUES</x:v>
      </x:c>
      <x:c r="F205" s="58" t="str">
        <x:v>SEARCH | point 3 | DAC 4.00 | CTRL X 0.29718 | X 0.31227 | Y 0.14839 | Z 0.10034 | TOTAL 0.36066 | error -50.47 % | MAD 0.04 % | CV 8.39 % | coh 46.7 % | dominant X | axis fraction 100.0 % | UNSTABLE — SEARCH CONTINUES</x:v>
      </x:c>
      <x:c r="G205" s="58" t="n">
        <x:v>1581</x:v>
      </x:c>
    </x:row>
    <x:row r="206" ht="36" customHeight="1">
      <x:c r="A206" s="58" t="str">
        <x:v>S15</x:v>
      </x:c>
      <x:c r="B206" s="58" t="str">
        <x:v>0.60 validation at 268.9 Hz</x:v>
      </x:c>
      <x:c r="C206" s="58" t="n">
        <x:v>0.6</x:v>
      </x:c>
      <x:c r="D206" s="58" t="n">
        <x:v>2</x:v>
      </x:c>
      <x:c r="E206" s="58" t="str">
        <x:v>Validation accepted</x:v>
      </x:c>
      <x:c r="F206" s="58" t="str">
        <x:v>VALIDATION ACCEPTED | pair drift 4.07 %</x:v>
      </x:c>
      <x:c r="G206" s="58" t="n">
        <x:v>1602</x:v>
      </x:c>
    </x:row>
    <x:row r="207" ht="36" customHeight="1">
      <x:c r="A207" s="58" t="str">
        <x:v>S15</x:v>
      </x:c>
      <x:c r="B207" s="58" t="str">
        <x:v>0.60 validation at 268.9 Hz</x:v>
      </x:c>
      <x:c r="C207" s="58" t="n">
        <x:v>0.6</x:v>
      </x:c>
      <x:c r="D207" s="58" t="n">
        <x:v>3</x:v>
      </x:c>
      <x:c r="E207" s="58" t="str">
        <x:v>UNSTABLE — SEARCH CONTINUES</x:v>
      </x:c>
      <x:c r="F207" s="58" t="str">
        <x:v>SEARCH | point 2 | DAC 3.00 | CTRL X 0.19320 | X 0.18787 | Y 0.09801 | Z 0.05855 | TOTAL 0.21990 | error -67.80 % | MAD 3.57 % | CV 7.16 % | coh 28.5 % | dominant X | axis fraction 100.0 % | UNSTABLE — SEARCH CONTINUES</x:v>
      </x:c>
      <x:c r="G207" s="58" t="n">
        <x:v>1658</x:v>
      </x:c>
    </x:row>
    <x:row r="208" ht="36" customHeight="1">
      <x:c r="A208" s="58" t="str">
        <x:v>S15</x:v>
      </x:c>
      <x:c r="B208" s="58" t="str">
        <x:v>0.60 validation at 268.9 Hz</x:v>
      </x:c>
      <x:c r="C208" s="58" t="n">
        <x:v>0.6</x:v>
      </x:c>
      <x:c r="D208" s="58" t="n">
        <x:v>3</x:v>
      </x:c>
      <x:c r="E208" s="58" t="str">
        <x:v>UNSTABLE — SEARCH CONTINUES</x:v>
      </x:c>
      <x:c r="F208" s="58" t="str">
        <x:v>SEARCH | point 3 | DAC 4.00 | CTRL X 0.28902 | X 0.29039 | Y 0.16950 | Z 0.10469 | TOTAL 0.35245 | error -51.83 % | MAD 5.24 % | CV 4.24 % | coh 44.1 % | dominant X | axis fraction 100.0 % | UNSTABLE — SEARCH CONTINUES</x:v>
      </x:c>
      <x:c r="G208" s="58" t="n">
        <x:v>1659</x:v>
      </x:c>
    </x:row>
    <x:row r="209" ht="36" customHeight="1">
      <x:c r="A209" s="58" t="str">
        <x:v>S15</x:v>
      </x:c>
      <x:c r="B209" s="58" t="str">
        <x:v>0.60 validation at 268.9 Hz</x:v>
      </x:c>
      <x:c r="C209" s="58" t="n">
        <x:v>0.6</x:v>
      </x:c>
      <x:c r="D209" s="58" t="n">
        <x:v>3</x:v>
      </x:c>
      <x:c r="E209" s="58" t="str">
        <x:v>Validation accepted</x:v>
      </x:c>
      <x:c r="F209" s="58" t="str">
        <x:v>VALIDATION ACCEPTED | pair drift 1.90 %</x:v>
      </x:c>
      <x:c r="G209" s="58" t="n">
        <x:v>1680</x:v>
      </x:c>
    </x:row>
    <x:row r="210" ht="36" customHeight="1">
      <x:c r="A210" s="58" t="str">
        <x:v>S15</x:v>
      </x:c>
      <x:c r="B210" s="58" t="str">
        <x:v>0.60 validation at 268.9 Hz</x:v>
      </x:c>
      <x:c r="C210" s="58" t="n">
        <x:v>0.6</x:v>
      </x:c>
      <x:c r="D210" s="58" t="n">
        <x:v>4</x:v>
      </x:c>
      <x:c r="E210" s="58" t="str">
        <x:v>UNSTABLE — SEARCH CONTINUES</x:v>
      </x:c>
      <x:c r="F210" s="58" t="str">
        <x:v>SEARCH | point 2 | DAC 3.00 | CTRL X 0.17891 | X 0.17583 | Y 0.11350 | Z 0.05521 | TOTAL 0.21680 | error -70.18 % | MAD 0.04 % | CV 3.06 % | coh 27.3 % | dominant X | axis fraction 100.0 % | UNSTABLE — SEARCH CONTINUES</x:v>
      </x:c>
      <x:c r="G210" s="58" t="n">
        <x:v>1736</x:v>
      </x:c>
    </x:row>
    <x:row r="211" ht="36" customHeight="1">
      <x:c r="A211" s="58" t="str">
        <x:v>S15</x:v>
      </x:c>
      <x:c r="B211" s="58" t="str">
        <x:v>0.60 validation at 268.9 Hz</x:v>
      </x:c>
      <x:c r="C211" s="58" t="n">
        <x:v>0.6</x:v>
      </x:c>
      <x:c r="D211" s="58" t="n">
        <x:v>4</x:v>
      </x:c>
      <x:c r="E211" s="58" t="str">
        <x:v>UNSTABLE — SEARCH CONTINUES</x:v>
      </x:c>
      <x:c r="F211" s="58" t="str">
        <x:v>SEARCH | point 3 | DAC 4.00 | CTRL X 0.27707 | X 0.28390 | Y 0.14272 | Z 0.10644 | TOTAL 0.33690 | error -53.82 % | MAD 0.60 % | CV 4.51 % | coh 42.9 % | dominant X | axis fraction 100.0 % | UNSTABLE — SEARCH CONTINUES</x:v>
      </x:c>
      <x:c r="G211" s="58" t="n">
        <x:v>1737</x:v>
      </x:c>
    </x:row>
    <x:row r="212" ht="36" customHeight="1">
      <x:c r="A212" s="58" t="str">
        <x:v>S15</x:v>
      </x:c>
      <x:c r="B212" s="58" t="str">
        <x:v>0.60 validation at 268.9 Hz</x:v>
      </x:c>
      <x:c r="C212" s="58" t="n">
        <x:v>0.6</x:v>
      </x:c>
      <x:c r="D212" s="58" t="n">
        <x:v>4</x:v>
      </x:c>
      <x:c r="E212" s="58" t="str">
        <x:v>Validation accepted</x:v>
      </x:c>
      <x:c r="F212" s="58" t="str">
        <x:v>VALIDATION ACCEPTED | pair drift 1.95 %</x:v>
      </x:c>
      <x:c r="G212" s="58" t="n">
        <x:v>1759</x:v>
      </x:c>
    </x:row>
    <x:row r="213" ht="36" customHeight="1">
      <x:c r="A213" s="58" t="str">
        <x:v>S15</x:v>
      </x:c>
      <x:c r="B213" s="58" t="str">
        <x:v>0.60 validation at 268.9 Hz</x:v>
      </x:c>
      <x:c r="C213" s="58" t="n">
        <x:v>0.6</x:v>
      </x:c>
      <x:c r="D213" s="58" t="n">
        <x:v>5</x:v>
      </x:c>
      <x:c r="E213" s="58" t="str">
        <x:v>UNSTABLE — SEARCH CONTINUES</x:v>
      </x:c>
      <x:c r="F213" s="58" t="str">
        <x:v>SEARCH | point 2 | DAC 3.00 | CTRL X 0.20292 | X 0.20216 | Y 0.08300 | Z 0.07829 | TOTAL 0.23270 | error -66.18 % | MAD 0.99 % | CV 1.27 % | coh 31.9 % | dominant X | axis fraction 100.0 % | UNSTABLE — SEARCH CONTINUES</x:v>
      </x:c>
      <x:c r="G213" s="58" t="n">
        <x:v>1815</x:v>
      </x:c>
    </x:row>
    <x:row r="214" ht="36" customHeight="1">
      <x:c r="A214" s="58" t="str">
        <x:v>S15</x:v>
      </x:c>
      <x:c r="B214" s="58" t="str">
        <x:v>0.60 validation at 268.9 Hz</x:v>
      </x:c>
      <x:c r="C214" s="58" t="n">
        <x:v>0.6</x:v>
      </x:c>
      <x:c r="D214" s="58" t="n">
        <x:v>5</x:v>
      </x:c>
      <x:c r="E214" s="58" t="str">
        <x:v>UNSTABLE — SEARCH CONTINUES</x:v>
      </x:c>
      <x:c r="F214" s="58" t="str">
        <x:v>SEARCH | point 3 | DAC 4.00 | CTRL X 0.28566 | X 0.29532 | Y 0.16496 | Z 0.10142 | TOTAL 0.35424 | error -52.39 % | MAD 2.26 % | CV 6.98 % | coh 43.9 % | dominant X | axis fraction 100.0 % | UNSTABLE — SEARCH CONTINUES</x:v>
      </x:c>
      <x:c r="G214" s="58" t="n">
        <x:v>1816</x:v>
      </x:c>
    </x:row>
    <x:row r="215" ht="36" customHeight="1">
      <x:c r="A215" s="58" t="str">
        <x:v>S15</x:v>
      </x:c>
      <x:c r="B215" s="58" t="str">
        <x:v>0.60 validation at 268.9 Hz</x:v>
      </x:c>
      <x:c r="C215" s="58" t="n">
        <x:v>0.6</x:v>
      </x:c>
      <x:c r="D215" s="58" t="n">
        <x:v>5</x:v>
      </x:c>
      <x:c r="E215" s="58" t="str">
        <x:v>Validation accepted</x:v>
      </x:c>
      <x:c r="F215" s="58" t="str">
        <x:v>VALIDATION ACCEPTED | pair drift 1.27 %</x:v>
      </x:c>
      <x:c r="G215" s="58" t="n">
        <x:v>1839</x:v>
      </x:c>
    </x:row>
    <x:row r="216" ht="36" customHeight="1">
      <x:c r="A216" s="58" t="str">
        <x:v>S16</x:v>
      </x:c>
      <x:c r="B216" s="58" t="str">
        <x:v>26 Hz interrupted test</x:v>
      </x:c>
      <x:c r="C216" s="58" t="n">
        <x:v>0.79</x:v>
      </x:c>
      <x:c r="D216" s="58" t="n">
        <x:v>1</x:v>
      </x:c>
      <x:c r="E216" s="58" t="str">
        <x:v>UNSTABLE — SEARCH CONTINUES</x:v>
      </x:c>
      <x:c r="F216" s="58" t="str">
        <x:v>SEARCH | point 12 | DAC 23.00 | CTRL X 0.08014 | X 0.21133 | Y 0.10004 | Z 0.07494 | TOTAL 0.25536 | error -89.86 % | MAD 95.41 % | CV 129.23 % | coh 14.8 % | dominant X | axis fraction 100.0 % | UNSTABLE — SEARCH CONTINUES</x:v>
      </x:c>
      <x:c r="G216" s="58" t="n">
        <x:v>1944</x:v>
      </x:c>
    </x:row>
    <x:row r="217" ht="36" customHeight="1">
      <x:c r="A217" s="58" t="str">
        <x:v>S16</x:v>
      </x:c>
      <x:c r="B217" s="58" t="str">
        <x:v>26 Hz interrupted test</x:v>
      </x:c>
      <x:c r="C217" s="58" t="n">
        <x:v>0.79</x:v>
      </x:c>
      <x:c r="D217" s="58" t="n">
        <x:v>1</x:v>
      </x:c>
      <x:c r="E217" s="58" t="str">
        <x:v>UNSTABLE — SEARCH CONTINUES</x:v>
      </x:c>
      <x:c r="F217" s="58" t="str">
        <x:v>SEARCH | point 13 | DAC 25.00 | CTRL X 0.09091 | X 0.14894 | Y 0.05673 | Z 0.07346 | TOTAL 0.18210 | error -88.49 % | MAD 40.17 % | CV 82.23 % | coh 19.7 % | dominant X | axis fraction 100.0 % | UNSTABLE — SEARCH CONTINUES</x:v>
      </x:c>
      <x:c r="G217" s="58" t="n">
        <x:v>1945</x:v>
      </x:c>
    </x:row>
    <x:row r="218" ht="36" customHeight="1">
      <x:c r="A218" s="58" t="str">
        <x:v>S16</x:v>
      </x:c>
      <x:c r="B218" s="58" t="str">
        <x:v>26 Hz interrupted test</x:v>
      </x:c>
      <x:c r="C218" s="58" t="n">
        <x:v>0.79</x:v>
      </x:c>
      <x:c r="D218" s="58" t="n">
        <x:v>1</x:v>
      </x:c>
      <x:c r="E218" s="58" t="str">
        <x:v>UNSTABLE — SEARCH CONTINUES</x:v>
      </x:c>
      <x:c r="F218" s="58" t="str">
        <x:v>SEARCH | point 14 | DAC 27.00 | CTRL X 0.08557 | X 0.08784 | Y 0.07698 | Z 0.05072 | TOTAL 0.13171 | error -89.17 % | MAD 7.87 % | CV 3.66 % | coh 15.0 % | dominant X | axis fraction 100.0 % | UNSTABLE — SEARCH CONTINUES</x:v>
      </x:c>
      <x:c r="G218" s="58" t="n">
        <x:v>1946</x:v>
      </x:c>
    </x:row>
    <x:row r="219" ht="36" customHeight="1">
      <x:c r="A219" s="58" t="str">
        <x:v>S16</x:v>
      </x:c>
      <x:c r="B219" s="58" t="str">
        <x:v>26 Hz interrupted test</x:v>
      </x:c>
      <x:c r="C219" s="58" t="n">
        <x:v>0.79</x:v>
      </x:c>
      <x:c r="D219" s="58" t="n">
        <x:v>1</x:v>
      </x:c>
      <x:c r="E219" s="58" t="str">
        <x:v>Retry</x:v>
      </x:c>
      <x:c r="F219" s="58" t="str">
        <x:v>ACQUISITION ATTEMPT 2 OF 2</x:v>
      </x:c>
      <x:c r="G219" s="58" t="n">
        <x:v>1949</x:v>
      </x:c>
    </x:row>
    <x:row r="220" ht="36" customHeight="1">
      <x:c r="A220" s="58" t="str">
        <x:v>S16</x:v>
      </x:c>
      <x:c r="B220" s="58" t="str">
        <x:v>26 Hz interrupted test</x:v>
      </x:c>
      <x:c r="C220" s="58" t="n">
        <x:v>0.79</x:v>
      </x:c>
      <x:c r="D220" s="58" t="n">
        <x:v>1</x:v>
      </x:c>
      <x:c r="E220" s="58" t="str">
        <x:v>UNSTABLE — SEARCH CONTINUES</x:v>
      </x:c>
      <x:c r="F220" s="58" t="str">
        <x:v>SEARCH | point 8 | DAC 15.00 | CTRL X 0.12987 | X 0.16884 | Y 0.08454 | Z 0.07791 | TOTAL 0.21448 | error -83.56 % | MAD 137.79 % | CV 107.97 % | coh 9.4 % | dominant X | axis fraction 100.0 % | UNSTABLE — SEARCH CONTINUES</x:v>
      </x:c>
      <x:c r="G220" s="58" t="n">
        <x:v>1961</x:v>
      </x:c>
    </x:row>
    <x:row r="221" ht="36" customHeight="1">
      <x:c r="A221" s="58" t="str">
        <x:v>S16</x:v>
      </x:c>
      <x:c r="B221" s="58" t="str">
        <x:v>26 Hz interrupted test</x:v>
      </x:c>
      <x:c r="C221" s="58" t="n">
        <x:v>0.79</x:v>
      </x:c>
      <x:c r="D221" s="58" t="n">
        <x:v>1</x:v>
      </x:c>
      <x:c r="E221" s="58" t="str">
        <x:v>UNSTABLE — SEARCH CONTINUES</x:v>
      </x:c>
      <x:c r="F221" s="58" t="str">
        <x:v>SEARCH | point 9 | DAC 17.00 | CTRL X 0.14934 | X 0.12586 | Y 0.23152 | Z 0.08950 | TOTAL 0.28480 | error -81.10 % | MAD 52.31 % | CV 71.69 % | coh 8.7 % | dominant Y | axis fraction 54.4 % | UNSTABLE — SEARCH CONTINUES</x:v>
      </x:c>
      <x:c r="G221" s="58" t="n">
        <x:v>1962</x:v>
      </x:c>
    </x:row>
    <x:row r="222" ht="36" customHeight="1">
      <x:c r="A222" s="58" t="str">
        <x:v>S16</x:v>
      </x:c>
      <x:c r="B222" s="58" t="str">
        <x:v>26 Hz interrupted test</x:v>
      </x:c>
      <x:c r="C222" s="58" t="n">
        <x:v>0.79</x:v>
      </x:c>
      <x:c r="D222" s="58" t="n">
        <x:v>1</x:v>
      </x:c>
      <x:c r="E222" s="58" t="str">
        <x:v>UNSTABLE — SEARCH CONTINUES</x:v>
      </x:c>
      <x:c r="F222" s="58" t="str">
        <x:v>SEARCH | point 12 | DAC 23.00 | CTRL X 0.08456 | X 0.13070 | Y 0.17033 | Z 0.10548 | TOTAL 0.24502 | error -89.30 % | MAD 87.50 % | CV 96.13 % | coh 8.2 % | dominant Y | axis fraction 76.7 % | UNSTABLE — SEARCH CONTINUES</x:v>
      </x:c>
      <x:c r="G222" s="58" t="n">
        <x:v>1965</x:v>
      </x:c>
    </x:row>
    <x:row r="223" ht="36" customHeight="1">
      <x:c r="A223" s="58" t="str">
        <x:v>S16</x:v>
      </x:c>
      <x:c r="B223" s="58" t="str">
        <x:v>26 Hz interrupted test</x:v>
      </x:c>
      <x:c r="C223" s="58" t="n">
        <x:v>0.79</x:v>
      </x:c>
      <x:c r="D223" s="58" t="n">
        <x:v>1</x:v>
      </x:c>
      <x:c r="E223" s="58" t="str">
        <x:v>UNSTABLE — SEARCH CONTINUES</x:v>
      </x:c>
      <x:c r="F223" s="58" t="str">
        <x:v>SEARCH | point 14 | DAC 27.00 | CTRL X 0.08847 | X 0.16413 | Y 0.15309 | Z 0.32803 | TOTAL 0.40680 | error -88.80 % | MAD 54.25 % | CV 97.43 % | coh 13.6 % | dominant Z | axis fraction 50.0 % | UNSTABLE — SEARCH CONTINUES</x:v>
      </x:c>
      <x:c r="G223" s="58" t="n">
        <x:v>1967</x:v>
      </x:c>
    </x:row>
    <x:row r="224" ht="36" customHeight="1">
      <x:c r="A224" s="58" t="str">
        <x:v>S16</x:v>
      </x:c>
      <x:c r="B224" s="58" t="str">
        <x:v>26 Hz interrupted test</x:v>
      </x:c>
      <x:c r="C224" s="58" t="n">
        <x:v>0.79</x:v>
      </x:c>
      <x:c r="D224" s="58" t="n">
        <x:v>1</x:v>
      </x:c>
      <x:c r="E224" s="58" t="str">
        <x:v>Run result</x:v>
      </x:c>
      <x:c r="F224" s="58" t="str">
        <x:v>RUN RESULT: FAIL — X target not reached by DAC 30; increase amplifier knob slightly</x:v>
      </x:c>
      <x:c r="G224" s="58" t="n">
        <x:v>1970</x:v>
      </x:c>
    </x:row>
    <x:row r="225" ht="36" customHeight="1">
      <x:c r="A225" s="58" t="str">
        <x:v>S16</x:v>
      </x:c>
      <x:c r="B225" s="58" t="str">
        <x:v>26 Hz interrupted test</x:v>
      </x:c>
      <x:c r="C225" s="58" t="n">
        <x:v>0.79</x:v>
      </x:c>
      <x:c r="D225" s="58" t="n">
        <x:v>1</x:v>
      </x:c>
      <x:c r="E225" s="58" t="str">
        <x:v>Emergency stop</x:v>
      </x:c>
      <x:c r="F225" s="58" t="str">
        <x:v>s        = emergency stop</x:v>
      </x:c>
      <x:c r="G225" s="58" t="n">
        <x:v>2022</x:v>
      </x:c>
    </x:row>
    <x:row r="226" ht="36" customHeight="1">
      <x:c r="A226" s="58" t="str">
        <x:v>S16</x:v>
      </x:c>
      <x:c r="B226" s="58" t="str">
        <x:v>26 Hz interrupted test</x:v>
      </x:c>
      <x:c r="C226" s="58" t="n">
        <x:v>0.79</x:v>
      </x:c>
      <x:c r="D226" s="58" t="n">
        <x:v>1</x:v>
      </x:c>
      <x:c r="E226" s="58" t="str">
        <x:v>Incomplete/reboot</x:v>
      </x:c>
      <x:c r="F226" s="58" t="str">
        <x:v>ESP32 rebooted before a final validation summary; session excluded from validation evidence.</x:v>
      </x:c>
      <x:c r="G226" s="58" t="n">
        <x:v>2028</x:v>
      </x:c>
    </x:row>
    <x:row r="227" ht="36" customHeight="1">
      <x:c r="A227" s="58" t="str">
        <x:v>S17</x:v>
      </x:c>
      <x:c r="B227" s="58" t="str">
        <x:v>0.75 validation at 268.8 Hz — high-gain/quantization limitation</x:v>
      </x:c>
      <x:c r="C227" s="58" t="n">
        <x:v>0.75</x:v>
      </x:c>
      <x:c r="D227" s="58" t="n">
        <x:v>1</x:v>
      </x:c>
      <x:c r="E227" s="58" t="str">
        <x:v>Retry</x:v>
      </x:c>
      <x:c r="F227" s="58" t="str">
        <x:v>ACQUISITION ATTEMPT 2 OF 2</x:v>
      </x:c>
      <x:c r="G227" s="58" t="n">
        <x:v>2061</x:v>
      </x:c>
    </x:row>
    <x:row r="228" ht="36" customHeight="1">
      <x:c r="A228" s="58" t="str">
        <x:v>S17</x:v>
      </x:c>
      <x:c r="B228" s="58" t="str">
        <x:v>0.75 validation at 268.8 Hz — high-gain/quantization limitation</x:v>
      </x:c>
      <x:c r="C228" s="58" t="n">
        <x:v>0.75</x:v>
      </x:c>
      <x:c r="D228" s="58" t="n">
        <x:v>1</x:v>
      </x:c>
      <x:c r="E228" s="58" t="str">
        <x:v>Run result</x:v>
      </x:c>
      <x:c r="F228" s="58" t="str">
        <x:v>RUN RESULT: FAIL — X target exceeded at first reliable DAC; reduce amplifier knob</x:v>
      </x:c>
      <x:c r="G228" s="58" t="n">
        <x:v>2069</x:v>
      </x:c>
    </x:row>
    <x:row r="229" ht="36" customHeight="1">
      <x:c r="A229" s="58" t="str">
        <x:v>S17</x:v>
      </x:c>
      <x:c r="B229" s="58" t="str">
        <x:v>0.75 validation at 268.8 Hz — high-gain/quantization limitation</x:v>
      </x:c>
      <x:c r="C229" s="58" t="n">
        <x:v>0.75</x:v>
      </x:c>
      <x:c r="D229" s="58" t="n">
        <x:v>2</x:v>
      </x:c>
      <x:c r="E229" s="58" t="str">
        <x:v>UNSTABLE — SEARCH CONTINUES</x:v>
      </x:c>
      <x:c r="F229" s="58" t="str">
        <x:v>FINE | point 1 | DAC 2.00 | CTRL X 0.37511 | X 0.37664 | Y 0.14859 | Z 0.05541 | TOTAL 0.41052 | error -49.99 % | MAD 0.36 % | CV 0.92 % | coh 29.2 % | dominant X | axis fraction 100.0 % | UNSTABLE — SEARCH CONTINUES</x:v>
      </x:c>
      <x:c r="G229" s="58" t="n">
        <x:v>2091</x:v>
      </x:c>
    </x:row>
    <x:row r="230" ht="36" customHeight="1">
      <x:c r="A230" s="58" t="str">
        <x:v>S17</x:v>
      </x:c>
      <x:c r="B230" s="58" t="str">
        <x:v>0.75 validation at 268.8 Hz — high-gain/quantization limitation</x:v>
      </x:c>
      <x:c r="C230" s="58" t="n">
        <x:v>0.75</x:v>
      </x:c>
      <x:c r="D230" s="58" t="n">
        <x:v>2</x:v>
      </x:c>
      <x:c r="E230" s="58" t="str">
        <x:v>UNSTABLE — SEARCH CONTINUES</x:v>
      </x:c>
      <x:c r="F230" s="58" t="str">
        <x:v>FINE | point 2 | DAC 2.25 | CTRL X 0.45926 | X 0.44167 | Y 0.19085 | Z 0.10054 | TOTAL 0.49455 | error -38.77 % | MAD 1.59 % | CV 7.88 % | coh 37.7 % | dominant X | axis fraction 100.0 % | UNSTABLE — SEARCH CONTINUES</x:v>
      </x:c>
      <x:c r="G230" s="58" t="n">
        <x:v>2092</x:v>
      </x:c>
    </x:row>
    <x:row r="231" ht="36" customHeight="1">
      <x:c r="A231" s="58" t="str">
        <x:v>S17</x:v>
      </x:c>
      <x:c r="B231" s="58" t="str">
        <x:v>0.75 validation at 268.8 Hz — high-gain/quantization limitation</x:v>
      </x:c>
      <x:c r="C231" s="58" t="n">
        <x:v>0.75</x:v>
      </x:c>
      <x:c r="D231" s="58" t="n">
        <x:v>2</x:v>
      </x:c>
      <x:c r="E231" s="58" t="str">
        <x:v>UNSTABLE — SEARCH CONTINUES</x:v>
      </x:c>
      <x:c r="F231" s="58" t="str">
        <x:v>FINE | point 3 | DAC 2.50 | CTRL X 0.46129 | X 0.44736 | Y 0.19694 | Z 0.11455 | TOTAL 0.50261 | error -38.49 % | MAD 0.14 % | CV 5.48 % | coh 41.1 % | dominant X | axis fraction 100.0 % | UNSTABLE — SEARCH CONTINUES</x:v>
      </x:c>
      <x:c r="G231" s="58" t="n">
        <x:v>2093</x:v>
      </x:c>
    </x:row>
    <x:row r="232" ht="36" customHeight="1">
      <x:c r="A232" s="58" t="str">
        <x:v>S17</x:v>
      </x:c>
      <x:c r="B232" s="58" t="str">
        <x:v>0.75 validation at 268.8 Hz — high-gain/quantization limitation</x:v>
      </x:c>
      <x:c r="C232" s="58" t="n">
        <x:v>0.75</x:v>
      </x:c>
      <x:c r="D232" s="58" t="n">
        <x:v>2</x:v>
      </x:c>
      <x:c r="E232" s="58" t="str">
        <x:v>UNSTABLE — SEARCH CONTINUES</x:v>
      </x:c>
      <x:c r="F232" s="58" t="str">
        <x:v>FINE | point 4 | DAC 2.75 | CTRL X 0.72517 | X 0.72067 | Y 0.30585 | Z 0.14582 | TOTAL 0.79670 | error -3.31 % | MAD 5.15 % | CV 4.47 % | coh 46.7 % | dominant X | axis fraction 100.0 % | UNSTABLE — SEARCH CONTINUES</x:v>
      </x:c>
      <x:c r="G232" s="58" t="n">
        <x:v>2094</x:v>
      </x:c>
    </x:row>
    <x:row r="233" ht="36" customHeight="1">
      <x:c r="A233" s="58" t="str">
        <x:v>S17</x:v>
      </x:c>
      <x:c r="B233" s="58" t="str">
        <x:v>0.75 validation at 268.8 Hz — high-gain/quantization limitation</x:v>
      </x:c>
      <x:c r="C233" s="58" t="n">
        <x:v>0.75</x:v>
      </x:c>
      <x:c r="D233" s="58" t="n">
        <x:v>2</x:v>
      </x:c>
      <x:c r="E233" s="58" t="str">
        <x:v>Retry</x:v>
      </x:c>
      <x:c r="F233" s="58" t="str">
        <x:v>ACQUISITION ATTEMPT 2 OF 2</x:v>
      </x:c>
      <x:c r="G233" s="58" t="n">
        <x:v>2101</x:v>
      </x:c>
    </x:row>
    <x:row r="234" ht="36" customHeight="1">
      <x:c r="A234" s="58" t="str">
        <x:v>S17</x:v>
      </x:c>
      <x:c r="B234" s="58" t="str">
        <x:v>0.75 validation at 268.8 Hz — high-gain/quantization limitation</x:v>
      </x:c>
      <x:c r="C234" s="58" t="n">
        <x:v>0.75</x:v>
      </x:c>
      <x:c r="D234" s="58" t="n">
        <x:v>2</x:v>
      </x:c>
      <x:c r="E234" s="58" t="str">
        <x:v>UNSTABLE — SEARCH CONTINUES</x:v>
      </x:c>
      <x:c r="F234" s="58" t="str">
        <x:v>FINE | point 1 | DAC 2.00 | CTRL X 0.29727 | X 0.30258 | Y 0.14299 | Z 0.06548 | TOTAL 0.34270 | error -60.36 % | MAD 0.66 % | CV 3.43 % | coh 27.2 % | dominant X | axis fraction 100.0 % | UNSTABLE — SEARCH CONTINUES</x:v>
      </x:c>
      <x:c r="G234" s="58" t="n">
        <x:v>2111</x:v>
      </x:c>
    </x:row>
    <x:row r="235" ht="36" customHeight="1">
      <x:c r="A235" s="58" t="str">
        <x:v>S17</x:v>
      </x:c>
      <x:c r="B235" s="58" t="str">
        <x:v>0.75 validation at 268.8 Hz — high-gain/quantization limitation</x:v>
      </x:c>
      <x:c r="C235" s="58" t="n">
        <x:v>0.75</x:v>
      </x:c>
      <x:c r="D235" s="58" t="n">
        <x:v>2</x:v>
      </x:c>
      <x:c r="E235" s="58" t="str">
        <x:v>UNSTABLE — SEARCH CONTINUES</x:v>
      </x:c>
      <x:c r="F235" s="58" t="str">
        <x:v>FINE | point 2 | DAC 2.25 | CTRL X 0.35702 | X 0.35415 | Y 0.18666 | Z 0.09574 | TOTAL 0.41566 | error -52.40 % | MAD 1.91 % | CV 2.61 % | coh 34.7 % | dominant X | axis fraction 100.0 % | UNSTABLE — SEARCH CONTINUES</x:v>
      </x:c>
      <x:c r="G235" s="58" t="n">
        <x:v>2112</x:v>
      </x:c>
    </x:row>
    <x:row r="236" ht="36" customHeight="1">
      <x:c r="A236" s="58" t="str">
        <x:v>S17</x:v>
      </x:c>
      <x:c r="B236" s="58" t="str">
        <x:v>0.75 validation at 268.8 Hz — high-gain/quantization limitation</x:v>
      </x:c>
      <x:c r="C236" s="58" t="n">
        <x:v>0.75</x:v>
      </x:c>
      <x:c r="D236" s="58" t="n">
        <x:v>2</x:v>
      </x:c>
      <x:c r="E236" s="58" t="str">
        <x:v>UNSTABLE — SEARCH CONTINUES</x:v>
      </x:c>
      <x:c r="F236" s="58" t="str">
        <x:v>FINE | point 3 | DAC 2.50 | CTRL X 0.40183 | X 0.39490 | Y 0.15658 | Z 0.09994 | TOTAL 0.43798 | error -46.42 % | MAD 4.05 % | CV 5.62 % | coh 41.1 % | dominant X | axis fraction 100.0 % | UNSTABLE — SEARCH CONTINUES</x:v>
      </x:c>
      <x:c r="G236" s="58" t="n">
        <x:v>2113</x:v>
      </x:c>
    </x:row>
    <x:row r="237" ht="36" customHeight="1">
      <x:c r="A237" s="58" t="str">
        <x:v>S17</x:v>
      </x:c>
      <x:c r="B237" s="58" t="str">
        <x:v>0.75 validation at 268.8 Hz — high-gain/quantization limitation</x:v>
      </x:c>
      <x:c r="C237" s="58" t="n">
        <x:v>0.75</x:v>
      </x:c>
      <x:c r="D237" s="58" t="n">
        <x:v>2</x:v>
      </x:c>
      <x:c r="E237" s="58" t="str">
        <x:v>UNSTABLE — SEARCH CONTINUES</x:v>
      </x:c>
      <x:c r="F237" s="58" t="str">
        <x:v>FINE | point 4 | DAC 2.75 | CTRL X 0.64718 | X 0.64892 | Y 0.26754 | Z 0.14021 | TOTAL 0.71597 | error -13.71 % | MAD 0.12 % | CV 0.54 % | coh 48.5 % | dominant X | axis fraction 100.0 % | UNSTABLE — SEARCH CONTINUES</x:v>
      </x:c>
      <x:c r="G237" s="58" t="n">
        <x:v>2114</x:v>
      </x:c>
    </x:row>
    <x:row r="238" ht="36" customHeight="1">
      <x:c r="A238" s="58" t="str">
        <x:v>S17</x:v>
      </x:c>
      <x:c r="B238" s="58" t="str">
        <x:v>0.75 validation at 268.8 Hz — high-gain/quantization limitation</x:v>
      </x:c>
      <x:c r="C238" s="58" t="n">
        <x:v>0.75</x:v>
      </x:c>
      <x:c r="D238" s="58" t="n">
        <x:v>3</x:v>
      </x:c>
      <x:c r="E238" s="58" t="str">
        <x:v>UNSTABLE — SEARCH CONTINUES</x:v>
      </x:c>
      <x:c r="F238" s="58" t="str">
        <x:v>FINE | point 1 | DAC 2.00 | CTRL X 0.34627 | X 0.33628 | Y 0.11740 | Z 0.04848 | TOTAL 0.36018 | error -53.83 % | MAD 6.66 % | CV 9.44 % | coh 27.6 % | dominant X | axis fraction 100.0 % | UNSTABLE — SEARCH CONTINUES</x:v>
      </x:c>
      <x:c r="G238" s="58" t="n">
        <x:v>2190</x:v>
      </x:c>
    </x:row>
    <x:row r="239" ht="36" customHeight="1">
      <x:c r="A239" s="58" t="str">
        <x:v>S17</x:v>
      </x:c>
      <x:c r="B239" s="58" t="str">
        <x:v>0.75 validation at 268.8 Hz — high-gain/quantization limitation</x:v>
      </x:c>
      <x:c r="C239" s="58" t="n">
        <x:v>0.75</x:v>
      </x:c>
      <x:c r="D239" s="58" t="n">
        <x:v>3</x:v>
      </x:c>
      <x:c r="E239" s="58" t="str">
        <x:v>UNSTABLE — SEARCH CONTINUES</x:v>
      </x:c>
      <x:c r="F239" s="58" t="str">
        <x:v>FINE | point 2 | DAC 2.25 | CTRL X 0.33662 | X 0.34278 | Y 0.13582 | Z 0.09529 | TOTAL 0.38232 | error -55.12 % | MAD 4.81 % | CV 6.09 % | coh 29.7 % | dominant X | axis fraction 100.0 % | UNSTABLE — SEARCH CONTINUES</x:v>
      </x:c>
      <x:c r="G239" s="58" t="n">
        <x:v>2191</x:v>
      </x:c>
    </x:row>
    <x:row r="240" ht="36" customHeight="1">
      <x:c r="A240" s="58" t="str">
        <x:v>S17</x:v>
      </x:c>
      <x:c r="B240" s="58" t="str">
        <x:v>0.75 validation at 268.8 Hz — high-gain/quantization limitation</x:v>
      </x:c>
      <x:c r="C240" s="58" t="n">
        <x:v>0.75</x:v>
      </x:c>
      <x:c r="D240" s="58" t="n">
        <x:v>3</x:v>
      </x:c>
      <x:c r="E240" s="58" t="str">
        <x:v>UNSTABLE — SEARCH CONTINUES</x:v>
      </x:c>
      <x:c r="F240" s="58" t="str">
        <x:v>FINE | point 3 | DAC 2.50 | CTRL X 0.36393 | X 0.36973 | Y 0.17576 | Z 0.09294 | TOTAL 0.42353 | error -51.48 % | MAD 3.32 % | CV 4.76 % | coh 38.9 % | dominant X | axis fraction 100.0 % | UNSTABLE — SEARCH CONTINUES</x:v>
      </x:c>
      <x:c r="G240" s="58" t="n">
        <x:v>2192</x:v>
      </x:c>
    </x:row>
    <x:row r="241" ht="36" customHeight="1">
      <x:c r="A241" s="58" t="str">
        <x:v>S17</x:v>
      </x:c>
      <x:c r="B241" s="58" t="str">
        <x:v>0.75 validation at 268.8 Hz — high-gain/quantization limitation</x:v>
      </x:c>
      <x:c r="C241" s="58" t="n">
        <x:v>0.75</x:v>
      </x:c>
      <x:c r="D241" s="58" t="n">
        <x:v>3</x:v>
      </x:c>
      <x:c r="E241" s="58" t="str">
        <x:v>UNSTABLE — SEARCH CONTINUES</x:v>
      </x:c>
      <x:c r="F241" s="58" t="str">
        <x:v>FINE | point 4 | DAC 2.75 | CTRL X 0.67695 | X 0.66973 | Y 0.27939 | Z 0.14241 | TOTAL 0.74042 | error -9.74 % | MAD 6.96 % | CV 6.43 % | coh 48.2 % | dominant X | axis fraction 100.0 % | UNSTABLE — SEARCH CONTINUES</x:v>
      </x:c>
      <x:c r="G241" s="58" t="n">
        <x:v>2193</x:v>
      </x:c>
    </x:row>
    <x:row r="242" ht="36" customHeight="1">
      <x:c r="A242" s="58" t="str">
        <x:v>S17</x:v>
      </x:c>
      <x:c r="B242" s="58" t="str">
        <x:v>0.75 validation at 268.8 Hz — high-gain/quantization limitation</x:v>
      </x:c>
      <x:c r="C242" s="58" t="n">
        <x:v>0.75</x:v>
      </x:c>
      <x:c r="D242" s="58" t="n">
        <x:v>3</x:v>
      </x:c>
      <x:c r="E242" s="58" t="str">
        <x:v>UNSTABLE — SEARCH CONTINUES</x:v>
      </x:c>
      <x:c r="F242" s="58" t="str">
        <x:v>FINE | point 5 | DAC 3.00 | CTRL X 0.73505 | X 0.73893 | Y 0.30500 | Z 0.16552 | TOTAL 0.81792 | error -1.99 % | MAD 6.22 % | CV 4.98 % | coh 51.2 % | dominant X | axis fraction 100.0 % | UNSTABLE — SEARCH CONTINUES</x:v>
      </x:c>
      <x:c r="G242" s="58" t="n">
        <x:v>2194</x:v>
      </x:c>
    </x:row>
    <x:row r="243" ht="36" customHeight="1">
      <x:c r="A243" s="58" t="str">
        <x:v>S17</x:v>
      </x:c>
      <x:c r="B243" s="58" t="str">
        <x:v>0.75 validation at 268.8 Hz — high-gain/quantization limitation</x:v>
      </x:c>
      <x:c r="C243" s="58" t="n">
        <x:v>0.75</x:v>
      </x:c>
      <x:c r="D243" s="58" t="n">
        <x:v>3</x:v>
      </x:c>
      <x:c r="E243" s="58" t="str">
        <x:v>UNSTABLE — SEARCH CONTINUES</x:v>
      </x:c>
      <x:c r="F243" s="58" t="str">
        <x:v>FINAL | point 1 | DAC 2.75 | CTRL X 0.69030 | X 0.68798 | Y 0.29333 | Z 0.16327 | TOTAL 0.76661 | error -7.96 % | MAD 1.31 % | CV 1.28 % | coh 45.4 % | dominant X | axis fraction 100.0 % | UNSTABLE — SEARCH CONTINUES</x:v>
      </x:c>
      <x:c r="G243" s="58" t="n">
        <x:v>2207</x:v>
      </x:c>
    </x:row>
    <x:row r="244" ht="36" customHeight="1">
      <x:c r="A244" s="58" t="str">
        <x:v>S17</x:v>
      </x:c>
      <x:c r="B244" s="58" t="str">
        <x:v>0.75 validation at 268.8 Hz — high-gain/quantization limitation</x:v>
      </x:c>
      <x:c r="C244" s="58" t="n">
        <x:v>0.75</x:v>
      </x:c>
      <x:c r="D244" s="58" t="n">
        <x:v>3</x:v>
      </x:c>
      <x:c r="E244" s="58" t="str">
        <x:v>UNSTABLE — SEARCH CONTINUES</x:v>
      </x:c>
      <x:c r="F244" s="58" t="str">
        <x:v>FINAL | point 2 | DAC 2.75 | CTRL X 0.70793 | X 0.70430 | Y 0.30616 | Z 0.17099 | TOTAL 0.78800 | error -5.61 % | MAD 4.69 % | CV 4.14 % | coh 47.3 % | dominant X | axis fraction 100.0 % | UNSTABLE — SEARCH CONTINUES</x:v>
      </x:c>
      <x:c r="G244" s="58" t="n">
        <x:v>2208</x:v>
      </x:c>
    </x:row>
    <x:row r="245" ht="36" customHeight="1">
      <x:c r="A245" s="58" t="str">
        <x:v>S17</x:v>
      </x:c>
      <x:c r="B245" s="58" t="str">
        <x:v>0.75 validation at 268.8 Hz — high-gain/quantization limitation</x:v>
      </x:c>
      <x:c r="C245" s="58" t="n">
        <x:v>0.75</x:v>
      </x:c>
      <x:c r="D245" s="58" t="n">
        <x:v>3</x:v>
      </x:c>
      <x:c r="E245" s="58" t="str">
        <x:v>UNSTABLE — SEARCH CONTINUES</x:v>
      </x:c>
      <x:c r="F245" s="58" t="str">
        <x:v>FINAL | point 3 | DAC 2.75 | CTRL X 0.70108 | X 0.70532 | Y 0.27650 | Z 0.16162 | TOTAL 0.77533 | error -6.52 % | MAD 1.62 % | CV 2.48 % | coh 46.4 % | dominant X | axis fraction 100.0 % | UNSTABLE — SEARCH CONTINUES</x:v>
      </x:c>
      <x:c r="G245" s="58" t="n">
        <x:v>2209</x:v>
      </x:c>
    </x:row>
    <x:row r="246" ht="36" customHeight="1">
      <x:c r="A246" s="58" t="str">
        <x:v>S17</x:v>
      </x:c>
      <x:c r="B246" s="58" t="str">
        <x:v>0.75 validation at 268.8 Hz — high-gain/quantization limitation</x:v>
      </x:c>
      <x:c r="C246" s="58" t="n">
        <x:v>0.75</x:v>
      </x:c>
      <x:c r="D246" s="58" t="n">
        <x:v>3</x:v>
      </x:c>
      <x:c r="E246" s="58" t="str">
        <x:v>Retry</x:v>
      </x:c>
      <x:c r="F246" s="58" t="str">
        <x:v>ACQUISITION ATTEMPT 2 OF 2</x:v>
      </x:c>
      <x:c r="G246" s="58" t="n">
        <x:v>2211</x:v>
      </x:c>
    </x:row>
    <x:row r="247" ht="36" customHeight="1">
      <x:c r="A247" s="58" t="str">
        <x:v>S17</x:v>
      </x:c>
      <x:c r="B247" s="58" t="str">
        <x:v>0.75 validation at 268.8 Hz — high-gain/quantization limitation</x:v>
      </x:c>
      <x:c r="C247" s="58" t="n">
        <x:v>0.75</x:v>
      </x:c>
      <x:c r="D247" s="58" t="n">
        <x:v>3</x:v>
      </x:c>
      <x:c r="E247" s="58" t="str">
        <x:v>UNSTABLE — SEARCH CONTINUES</x:v>
      </x:c>
      <x:c r="F247" s="58" t="str">
        <x:v>FINE | point 1 | DAC 2.00 | CTRL X 0.32799 | X 0.32349 | Y 0.10917 | Z 0.07819 | TOTAL 0.35051 | error -56.27 % | MAD 1.02 % | CV 3.03 % | coh 25.5 % | dominant X | axis fraction 100.0 % | UNSTABLE — SEARCH CONTINUES</x:v>
      </x:c>
      <x:c r="G247" s="58" t="n">
        <x:v>2221</x:v>
      </x:c>
    </x:row>
    <x:row r="248" ht="36" customHeight="1">
      <x:c r="A248" s="58" t="str">
        <x:v>S17</x:v>
      </x:c>
      <x:c r="B248" s="58" t="str">
        <x:v>0.75 validation at 268.8 Hz — high-gain/quantization limitation</x:v>
      </x:c>
      <x:c r="C248" s="58" t="n">
        <x:v>0.75</x:v>
      </x:c>
      <x:c r="D248" s="58" t="n">
        <x:v>3</x:v>
      </x:c>
      <x:c r="E248" s="58" t="str">
        <x:v>UNSTABLE — SEARCH CONTINUES</x:v>
      </x:c>
      <x:c r="F248" s="58" t="str">
        <x:v>FINE | point 2 | DAC 2.25 | CTRL X 0.40578 | X 0.40592 | Y 0.17885 | Z 0.08650 | TOTAL 0.45644 | error -45.90 % | MAD 2.56 % | CV 1.78 % | coh 35.9 % | dominant X | axis fraction 100.0 % | UNSTABLE — SEARCH CONTINUES</x:v>
      </x:c>
      <x:c r="G248" s="58" t="n">
        <x:v>2222</x:v>
      </x:c>
    </x:row>
    <x:row r="249" ht="36" customHeight="1">
      <x:c r="A249" s="58" t="str">
        <x:v>S17</x:v>
      </x:c>
      <x:c r="B249" s="58" t="str">
        <x:v>0.75 validation at 268.8 Hz — high-gain/quantization limitation</x:v>
      </x:c>
      <x:c r="C249" s="58" t="n">
        <x:v>0.75</x:v>
      </x:c>
      <x:c r="D249" s="58" t="n">
        <x:v>3</x:v>
      </x:c>
      <x:c r="E249" s="58" t="str">
        <x:v>UNSTABLE — SEARCH CONTINUES</x:v>
      </x:c>
      <x:c r="F249" s="58" t="str">
        <x:v>FINE | point 3 | DAC 2.50 | CTRL X 0.43029 | X 0.43149 | Y 0.18205 | Z 0.10876 | TOTAL 0.48131 | error -42.63 % | MAD 5.78 % | CV 4.32 % | coh 40.4 % | dominant X | axis fraction 100.0 % | UNSTABLE — SEARCH CONTINUES</x:v>
      </x:c>
      <x:c r="G249" s="58" t="n">
        <x:v>2223</x:v>
      </x:c>
    </x:row>
    <x:row r="250" ht="36" customHeight="1">
      <x:c r="A250" s="58" t="str">
        <x:v>S17</x:v>
      </x:c>
      <x:c r="B250" s="58" t="str">
        <x:v>0.75 validation at 268.8 Hz — high-gain/quantization limitation</x:v>
      </x:c>
      <x:c r="C250" s="58" t="n">
        <x:v>0.75</x:v>
      </x:c>
      <x:c r="D250" s="58" t="n">
        <x:v>3</x:v>
      </x:c>
      <x:c r="E250" s="58" t="str">
        <x:v>UNSTABLE — SEARCH CONTINUES</x:v>
      </x:c>
      <x:c r="F250" s="58" t="str">
        <x:v>FINE | point 4 | DAC 2.75 | CTRL X 0.70535 | X 0.70074 | Y 0.28671 | Z 0.16162 | TOTAL 0.77527 | error -5.95 % | MAD 2.51 % | CV 2.75 % | coh 46.1 % | dominant X | axis fraction 100.0 % | UNSTABLE — SEARCH CONTINUES</x:v>
      </x:c>
      <x:c r="G250" s="58" t="n">
        <x:v>2224</x:v>
      </x:c>
    </x:row>
    <x:row r="251" ht="36" customHeight="1">
      <x:c r="A251" s="58" t="str">
        <x:v>S17</x:v>
      </x:c>
      <x:c r="B251" s="58" t="str">
        <x:v>0.75 validation at 268.8 Hz — high-gain/quantization limitation</x:v>
      </x:c>
      <x:c r="C251" s="58" t="n">
        <x:v>0.75</x:v>
      </x:c>
      <x:c r="D251" s="58" t="n">
        <x:v>3</x:v>
      </x:c>
      <x:c r="E251" s="58" t="str">
        <x:v>Run result</x:v>
      </x:c>
      <x:c r="F251" s="58" t="str">
        <x:v>RUN RESULT: FAIL — No repeatable in-band X point in local 0.25-DAC scan</x:v>
      </x:c>
      <x:c r="G251" s="58" t="n">
        <x:v>2231</x:v>
      </x:c>
    </x:row>
    <x:row r="252" ht="36" customHeight="1">
      <x:c r="A252" s="58" t="str">
        <x:v>S17</x:v>
      </x:c>
      <x:c r="B252" s="58" t="str">
        <x:v>0.75 validation at 268.8 Hz — high-gain/quantization limitation</x:v>
      </x:c>
      <x:c r="C252" s="58" t="n">
        <x:v>0.75</x:v>
      </x:c>
      <x:c r="D252" s="58" t="n">
        <x:v>4</x:v>
      </x:c>
      <x:c r="E252" s="58" t="str">
        <x:v>UNSTABLE — SEARCH CONTINUES</x:v>
      </x:c>
      <x:c r="F252" s="58" t="str">
        <x:v>FINE | point 1 | DAC 2.00 | CTRL X 0.34579 | X 0.34250 | Y 0.14121 | Z 0.06669 | TOTAL 0.37668 | error -53.90 % | MAD 0.97 % | CV 2.26 % | coh 27.1 % | dominant X | axis fraction 100.0 % | UNSTABLE — SEARCH CONTINUES</x:v>
      </x:c>
      <x:c r="G252" s="58" t="n">
        <x:v>2253</x:v>
      </x:c>
    </x:row>
    <x:row r="253" ht="36" customHeight="1">
      <x:c r="A253" s="58" t="str">
        <x:v>S17</x:v>
      </x:c>
      <x:c r="B253" s="58" t="str">
        <x:v>0.75 validation at 268.8 Hz — high-gain/quantization limitation</x:v>
      </x:c>
      <x:c r="C253" s="58" t="n">
        <x:v>0.75</x:v>
      </x:c>
      <x:c r="D253" s="58" t="n">
        <x:v>4</x:v>
      </x:c>
      <x:c r="E253" s="58" t="str">
        <x:v>UNSTABLE — SEARCH CONTINUES</x:v>
      </x:c>
      <x:c r="F253" s="58" t="str">
        <x:v>FINE | point 2 | DAC 2.25 | CTRL X 0.37764 | X 0.37978 | Y 0.15589 | Z 0.11264 | TOTAL 0.43064 | error -49.65 % | MAD 0.82 % | CV 1.48 % | coh 33.7 % | dominant X | axis fraction 100.0 % | UNSTABLE — SEARCH CONTINUES</x:v>
      </x:c>
      <x:c r="G253" s="58" t="n">
        <x:v>2254</x:v>
      </x:c>
    </x:row>
    <x:row r="254" ht="36" customHeight="1">
      <x:c r="A254" s="58" t="str">
        <x:v>S17</x:v>
      </x:c>
      <x:c r="B254" s="58" t="str">
        <x:v>0.75 validation at 268.8 Hz — high-gain/quantization limitation</x:v>
      </x:c>
      <x:c r="C254" s="58" t="n">
        <x:v>0.75</x:v>
      </x:c>
      <x:c r="D254" s="58" t="n">
        <x:v>4</x:v>
      </x:c>
      <x:c r="E254" s="58" t="str">
        <x:v>UNSTABLE — SEARCH CONTINUES</x:v>
      </x:c>
      <x:c r="F254" s="58" t="str">
        <x:v>FINE | point 3 | DAC 2.50 | CTRL X 0.39814 | X 0.40256 | Y 0.17533 | Z 0.12048 | TOTAL 0.45676 | error -46.91 % | MAD 2.89 % | CV 3.70 % | coh 38.4 % | dominant X | axis fraction 100.0 % | UNSTABLE — SEARCH CONTINUES</x:v>
      </x:c>
      <x:c r="G254" s="58" t="n">
        <x:v>2255</x:v>
      </x:c>
    </x:row>
    <x:row r="255" ht="36" customHeight="1">
      <x:c r="A255" s="58" t="str">
        <x:v>S17</x:v>
      </x:c>
      <x:c r="B255" s="58" t="str">
        <x:v>0.75 validation at 268.8 Hz — high-gain/quantization limitation</x:v>
      </x:c>
      <x:c r="C255" s="58" t="n">
        <x:v>0.75</x:v>
      </x:c>
      <x:c r="D255" s="58" t="n">
        <x:v>4</x:v>
      </x:c>
      <x:c r="E255" s="58" t="str">
        <x:v>UNSTABLE — SEARCH CONTINUES</x:v>
      </x:c>
      <x:c r="F255" s="58" t="str">
        <x:v>FINE | point 4 | DAC 2.75 | CTRL X 0.72976 | X 0.70321 | Y 0.30818 | Z 0.17010 | TOTAL 0.78688 | error -2.70 % | MAD 0.29 % | CV 6.71 % | coh 46.1 % | dominant X | axis fraction 100.0 % | UNSTABLE — SEARCH CONTINUES</x:v>
      </x:c>
      <x:c r="G255" s="58" t="n">
        <x:v>2256</x:v>
      </x:c>
    </x:row>
    <x:row r="256" ht="36" customHeight="1">
      <x:c r="A256" s="58" t="str">
        <x:v>S17</x:v>
      </x:c>
      <x:c r="B256" s="58" t="str">
        <x:v>0.75 validation at 268.8 Hz — high-gain/quantization limitation</x:v>
      </x:c>
      <x:c r="C256" s="58" t="n">
        <x:v>0.75</x:v>
      </x:c>
      <x:c r="D256" s="58" t="n">
        <x:v>4</x:v>
      </x:c>
      <x:c r="E256" s="58" t="str">
        <x:v>Validation accepted</x:v>
      </x:c>
      <x:c r="F256" s="58" t="str">
        <x:v>VALIDATION ACCEPTED | pair drift 0.65 %</x:v>
      </x:c>
      <x:c r="G256" s="58" t="n">
        <x:v>2267</x:v>
      </x:c>
    </x:row>
    <x:row r="257" ht="36" customHeight="1">
      <x:c r="A257" s="58" t="str">
        <x:v>S17</x:v>
      </x:c>
      <x:c r="B257" s="58" t="str">
        <x:v>0.75 validation at 268.8 Hz — high-gain/quantization limitation</x:v>
      </x:c>
      <x:c r="C257" s="58" t="n">
        <x:v>0.75</x:v>
      </x:c>
      <x:c r="D257" s="58" t="n">
        <x:v>5</x:v>
      </x:c>
      <x:c r="E257" s="58" t="str">
        <x:v>Retry</x:v>
      </x:c>
      <x:c r="F257" s="58" t="str">
        <x:v>ACQUISITION ATTEMPT 2 OF 2</x:v>
      </x:c>
      <x:c r="G257" s="58" t="n">
        <x:v>2325</x:v>
      </x:c>
    </x:row>
    <x:row r="258" ht="36" customHeight="1">
      <x:c r="A258" s="58" t="str">
        <x:v>S17</x:v>
      </x:c>
      <x:c r="B258" s="58" t="str">
        <x:v>0.75 validation at 268.8 Hz — high-gain/quantization limitation</x:v>
      </x:c>
      <x:c r="C258" s="58" t="n">
        <x:v>0.75</x:v>
      </x:c>
      <x:c r="D258" s="58" t="n">
        <x:v>5</x:v>
      </x:c>
      <x:c r="E258" s="58" t="str">
        <x:v>UNSTABLE — SEARCH CONTINUES</x:v>
      </x:c>
      <x:c r="F258" s="58" t="str">
        <x:v>FINE | point 1 | DAC 2.00 | CTRL X 0.31447 | X 0.32755 | Y 0.11624 | Z 0.07277 | TOTAL 0.35558 | error -58.07 % | MAD 4.00 % | CV 9.25 % | coh 26.0 % | dominant X | axis fraction 100.0 % | UNSTABLE — SEARCH CONTINUES</x:v>
      </x:c>
      <x:c r="G258" s="58" t="n">
        <x:v>2335</x:v>
      </x:c>
    </x:row>
    <x:row r="259" ht="36" customHeight="1">
      <x:c r="A259" s="58" t="str">
        <x:v>S17</x:v>
      </x:c>
      <x:c r="B259" s="58" t="str">
        <x:v>0.75 validation at 268.8 Hz — high-gain/quantization limitation</x:v>
      </x:c>
      <x:c r="C259" s="58" t="n">
        <x:v>0.75</x:v>
      </x:c>
      <x:c r="D259" s="58" t="n">
        <x:v>5</x:v>
      </x:c>
      <x:c r="E259" s="58" t="str">
        <x:v>UNSTABLE — SEARCH CONTINUES</x:v>
      </x:c>
      <x:c r="F259" s="58" t="str">
        <x:v>FINE | point 2 | DAC 2.25 | CTRL X 0.36234 | X 0.36849 | Y 0.11179 | Z 0.10068 | TOTAL 0.40055 | error -51.69 % | MAD 1.77 % | CV 3.95 % | coh 33.1 % | dominant X | axis fraction 100.0 % | UNSTABLE — SEARCH CONTINUES</x:v>
      </x:c>
      <x:c r="G259" s="58" t="n">
        <x:v>2336</x:v>
      </x:c>
    </x:row>
    <x:row r="260" ht="36" customHeight="1">
      <x:c r="A260" s="58" t="str">
        <x:v>S17</x:v>
      </x:c>
      <x:c r="B260" s="58" t="str">
        <x:v>0.75 validation at 268.8 Hz — high-gain/quantization limitation</x:v>
      </x:c>
      <x:c r="C260" s="58" t="n">
        <x:v>0.75</x:v>
      </x:c>
      <x:c r="D260" s="58" t="n">
        <x:v>5</x:v>
      </x:c>
      <x:c r="E260" s="58" t="str">
        <x:v>UNSTABLE — SEARCH CONTINUES</x:v>
      </x:c>
      <x:c r="F260" s="58" t="str">
        <x:v>FINE | point 3 | DAC 2.50 | CTRL X 0.43259 | X 0.43150 | Y 0.14961 | Z 0.08618 | TOTAL 0.46640 | error -42.32 % | MAD 4.33 % | CV 3.31 % | coh 40.7 % | dominant X | axis fraction 100.0 % | UNSTABLE — SEARCH CONTINUES</x:v>
      </x:c>
      <x:c r="G260" s="58" t="n">
        <x:v>2337</x:v>
      </x:c>
    </x:row>
    <x:row r="261" ht="36" customHeight="1">
      <x:c r="A261" s="58" t="str">
        <x:v>S17</x:v>
      </x:c>
      <x:c r="B261" s="58" t="str">
        <x:v>0.75 validation at 268.8 Hz — high-gain/quantization limitation</x:v>
      </x:c>
      <x:c r="C261" s="58" t="n">
        <x:v>0.75</x:v>
      </x:c>
      <x:c r="D261" s="58" t="n">
        <x:v>5</x:v>
      </x:c>
      <x:c r="E261" s="58" t="str">
        <x:v>UNSTABLE — SEARCH CONTINUES</x:v>
      </x:c>
      <x:c r="F261" s="58" t="str">
        <x:v>FINE | point 4 | DAC 2.75 | CTRL X 0.68423 | X 0.68485 | Y 0.28778 | Z 0.18139 | TOTAL 0.76537 | error -8.77 % | MAD 1.61 % | CV 1.23 % | coh 45.1 % | dominant X | axis fraction 100.0 % | UNSTABLE — SEARCH CONTINUES</x:v>
      </x:c>
      <x:c r="G261" s="58" t="n">
        <x:v>2338</x:v>
      </x:c>
    </x:row>
    <x:row r="262" ht="36" customHeight="1">
      <x:c r="A262" s="58" t="str">
        <x:v>S17</x:v>
      </x:c>
      <x:c r="B262" s="58" t="str">
        <x:v>0.75 validation at 268.8 Hz — high-gain/quantization limitation</x:v>
      </x:c>
      <x:c r="C262" s="58" t="n">
        <x:v>0.75</x:v>
      </x:c>
      <x:c r="D262" s="58" t="n">
        <x:v>5</x:v>
      </x:c>
      <x:c r="E262" s="58" t="str">
        <x:v>Validation accepted</x:v>
      </x:c>
      <x:c r="F262" s="58" t="str">
        <x:v>VALIDATION ACCEPTED | pair drift 2.41 %</x:v>
      </x:c>
      <x:c r="G262" s="58" t="n">
        <x:v>2348</x:v>
      </x:c>
    </x:row>
    <x:row r="263" ht="36" customHeight="1">
      <x:c r="A263" s="58" t="str">
        <x:v>S18</x:v>
      </x:c>
      <x:c r="B263" s="58" t="str">
        <x:v>0.75 validated session at 268 Hz</x:v>
      </x:c>
      <x:c r="C263" s="58" t="n">
        <x:v>0.75</x:v>
      </x:c>
      <x:c r="D263" s="58" t="n">
        <x:v>1</x:v>
      </x:c>
      <x:c r="E263" s="58" t="str">
        <x:v>UNSTABLE — SEARCH CONTINUES</x:v>
      </x:c>
      <x:c r="F263" s="58" t="str">
        <x:v>SEARCH | point 2 | DAC 3.00 | CTRL X 0.24728 | X 0.23966 | Y 0.10075 | Z 0.08776 | TOTAL 0.27475 | error -67.03 % | MAD 0.65 % | CV 5.90 % | coh 48.4 % | dominant X | axis fraction 100.0 % | UNSTABLE — SEARCH CONTINUES</x:v>
      </x:c>
      <x:c r="G263" s="58" t="n">
        <x:v>2443</x:v>
      </x:c>
    </x:row>
    <x:row r="264" ht="36" customHeight="1">
      <x:c r="A264" s="58" t="str">
        <x:v>S18</x:v>
      </x:c>
      <x:c r="B264" s="58" t="str">
        <x:v>0.75 validated session at 268 Hz</x:v>
      </x:c>
      <x:c r="C264" s="58" t="n">
        <x:v>0.75</x:v>
      </x:c>
      <x:c r="D264" s="58" t="n">
        <x:v>1</x:v>
      </x:c>
      <x:c r="E264" s="58" t="str">
        <x:v>Retry</x:v>
      </x:c>
      <x:c r="F264" s="58" t="str">
        <x:v>ACQUISITION ATTEMPT 2 OF 2</x:v>
      </x:c>
      <x:c r="G264" s="58" t="n">
        <x:v>2467</x:v>
      </x:c>
    </x:row>
    <x:row r="265" ht="36" customHeight="1">
      <x:c r="A265" s="58" t="str">
        <x:v>S18</x:v>
      </x:c>
      <x:c r="B265" s="58" t="str">
        <x:v>0.75 validated session at 268 Hz</x:v>
      </x:c>
      <x:c r="C265" s="58" t="n">
        <x:v>0.75</x:v>
      </x:c>
      <x:c r="D265" s="58" t="n">
        <x:v>1</x:v>
      </x:c>
      <x:c r="E265" s="58" t="str">
        <x:v>UNSTABLE — SEARCH CONTINUES</x:v>
      </x:c>
      <x:c r="F265" s="58" t="str">
        <x:v>SEARCH | point 2 | DAC 3.00 | CTRL X 0.26967 | X 0.25976 | Y 0.08899 | Z 0.08786 | TOTAL 0.28922 | error -64.04 % | MAD 5.40 % | CV 10.06 % | coh 51.3 % | dominant X | axis fraction 100.0 % | UNSTABLE — SEARCH CONTINUES</x:v>
      </x:c>
      <x:c r="G265" s="58" t="n">
        <x:v>2473</x:v>
      </x:c>
    </x:row>
    <x:row r="266" ht="36" customHeight="1">
      <x:c r="A266" s="58" t="str">
        <x:v>S18</x:v>
      </x:c>
      <x:c r="B266" s="58" t="str">
        <x:v>0.75 validated session at 268 Hz</x:v>
      </x:c>
      <x:c r="C266" s="58" t="n">
        <x:v>0.75</x:v>
      </x:c>
      <x:c r="D266" s="58" t="n">
        <x:v>1</x:v>
      </x:c>
      <x:c r="E266" s="58" t="str">
        <x:v>Validation accepted</x:v>
      </x:c>
      <x:c r="F266" s="58" t="str">
        <x:v>VALIDATION ACCEPTED | pair drift 0.47 %</x:v>
      </x:c>
      <x:c r="G266" s="58" t="n">
        <x:v>2495</x:v>
      </x:c>
    </x:row>
    <x:row r="267" ht="36" customHeight="1">
      <x:c r="A267" s="58" t="str">
        <x:v>S18</x:v>
      </x:c>
      <x:c r="B267" s="58" t="str">
        <x:v>0.75 validated session at 268 Hz</x:v>
      </x:c>
      <x:c r="C267" s="58" t="n">
        <x:v>0.75</x:v>
      </x:c>
      <x:c r="D267" s="58" t="n">
        <x:v>2</x:v>
      </x:c>
      <x:c r="E267" s="58" t="str">
        <x:v>UNSTABLE — SEARCH CONTINUES</x:v>
      </x:c>
      <x:c r="F267" s="58" t="str">
        <x:v>SEARCH | point 2 | DAC 3.00 | CTRL X 0.18357 | X 0.19042 | Y 0.12404 | Z 0.07122 | TOTAL 0.23999 | error -75.52 % | MAD 13.03 % | CV 14.21 % | coh 29.2 % | dominant X | axis fraction 100.0 % | UNSTABLE — SEARCH CONTINUES</x:v>
      </x:c>
      <x:c r="G267" s="58" t="n">
        <x:v>2551</x:v>
      </x:c>
    </x:row>
    <x:row r="268" ht="36" customHeight="1">
      <x:c r="A268" s="58" t="str">
        <x:v>S18</x:v>
      </x:c>
      <x:c r="B268" s="58" t="str">
        <x:v>0.75 validated session at 268 Hz</x:v>
      </x:c>
      <x:c r="C268" s="58" t="n">
        <x:v>0.75</x:v>
      </x:c>
      <x:c r="D268" s="58" t="n">
        <x:v>2</x:v>
      </x:c>
      <x:c r="E268" s="58" t="str">
        <x:v>Validation accepted</x:v>
      </x:c>
      <x:c r="F268" s="58" t="str">
        <x:v>VALIDATION ACCEPTED | pair drift 1.40 %</x:v>
      </x:c>
      <x:c r="G268" s="58" t="n">
        <x:v>2574</x:v>
      </x:c>
    </x:row>
    <x:row r="269" ht="36" customHeight="1">
      <x:c r="A269" s="58" t="str">
        <x:v>S18</x:v>
      </x:c>
      <x:c r="B269" s="58" t="str">
        <x:v>0.75 validated session at 268 Hz</x:v>
      </x:c>
      <x:c r="C269" s="58" t="n">
        <x:v>0.75</x:v>
      </x:c>
      <x:c r="D269" s="58" t="n">
        <x:v>3</x:v>
      </x:c>
      <x:c r="E269" s="58" t="str">
        <x:v>UNSTABLE — SEARCH CONTINUES</x:v>
      </x:c>
      <x:c r="F269" s="58" t="str">
        <x:v>SEARCH | point 2 | DAC 3.00 | CTRL X 0.22094 | X 0.22094 | Y 0.07901 | Z 0.10210 | TOTAL 0.25693 | error -70.54 % | MAD 0.98 % | CV 0.67 % | coh 47.9 % | dominant X | axis fraction 100.0 % | UNSTABLE — SEARCH CONTINUES</x:v>
      </x:c>
      <x:c r="G269" s="58" t="n">
        <x:v>2630</x:v>
      </x:c>
    </x:row>
    <x:row r="270" ht="36" customHeight="1">
      <x:c r="A270" s="58" t="str">
        <x:v>S18</x:v>
      </x:c>
      <x:c r="B270" s="58" t="str">
        <x:v>0.75 validated session at 268 Hz</x:v>
      </x:c>
      <x:c r="C270" s="58" t="n">
        <x:v>0.75</x:v>
      </x:c>
      <x:c r="D270" s="58" t="n">
        <x:v>3</x:v>
      </x:c>
      <x:c r="E270" s="58" t="str">
        <x:v>Retry</x:v>
      </x:c>
      <x:c r="F270" s="58" t="str">
        <x:v>ACQUISITION ATTEMPT 2 OF 2</x:v>
      </x:c>
      <x:c r="G270" s="58" t="n">
        <x:v>2655</x:v>
      </x:c>
    </x:row>
    <x:row r="271" ht="36" customHeight="1">
      <x:c r="A271" s="58" t="str">
        <x:v>S18</x:v>
      </x:c>
      <x:c r="B271" s="58" t="str">
        <x:v>0.75 validated session at 268 Hz</x:v>
      </x:c>
      <x:c r="C271" s="58" t="n">
        <x:v>0.75</x:v>
      </x:c>
      <x:c r="D271" s="58" t="n">
        <x:v>3</x:v>
      </x:c>
      <x:c r="E271" s="58" t="str">
        <x:v>UNSTABLE — SEARCH CONTINUES</x:v>
      </x:c>
      <x:c r="F271" s="58" t="str">
        <x:v>SEARCH | point 2 | DAC 3.00 | CTRL X 0.21551 | X 0.22034 | Y 0.10141 | Z 0.08823 | TOTAL 0.25912 | error -71.27 % | MAD 0.48 % | CV 4.08 % | coh 47.5 % | dominant X | axis fraction 100.0 % | UNSTABLE — SEARCH CONTINUES</x:v>
      </x:c>
      <x:c r="G271" s="58" t="n">
        <x:v>2661</x:v>
      </x:c>
    </x:row>
    <x:row r="272" ht="36" customHeight="1">
      <x:c r="A272" s="58" t="str">
        <x:v>S18</x:v>
      </x:c>
      <x:c r="B272" s="58" t="str">
        <x:v>0.75 validated session at 268 Hz</x:v>
      </x:c>
      <x:c r="C272" s="58" t="n">
        <x:v>0.75</x:v>
      </x:c>
      <x:c r="D272" s="58" t="n">
        <x:v>3</x:v>
      </x:c>
      <x:c r="E272" s="58" t="str">
        <x:v>Validation accepted</x:v>
      </x:c>
      <x:c r="F272" s="58" t="str">
        <x:v>VALIDATION ACCEPTED | pair drift 0.35 %</x:v>
      </x:c>
      <x:c r="G272" s="58" t="n">
        <x:v>2685</x:v>
      </x:c>
    </x:row>
    <x:row r="273" ht="36" customHeight="1">
      <x:c r="A273" s="58" t="str">
        <x:v>S18</x:v>
      </x:c>
      <x:c r="B273" s="58" t="str">
        <x:v>0.75 validated session at 268 Hz</x:v>
      </x:c>
      <x:c r="C273" s="58" t="n">
        <x:v>0.75</x:v>
      </x:c>
      <x:c r="D273" s="58" t="n">
        <x:v>4</x:v>
      </x:c>
      <x:c r="E273" s="58" t="str">
        <x:v>UNSTABLE — SEARCH CONTINUES</x:v>
      </x:c>
      <x:c r="F273" s="58" t="str">
        <x:v>SEARCH | point 2 | DAC 3.00 | CTRL X 0.20314 | X 0.19784 | Y 0.08499 | Z 0.06516 | TOTAL 0.22737 | error -72.91 % | MAD 7.73 % | CV 3.79 % | coh 43.2 % | dominant X | axis fraction 100.0 % | UNSTABLE — SEARCH CONTINUES</x:v>
      </x:c>
      <x:c r="G273" s="58" t="n">
        <x:v>2741</x:v>
      </x:c>
    </x:row>
    <x:row r="274" ht="36" customHeight="1">
      <x:c r="A274" s="58" t="str">
        <x:v>S18</x:v>
      </x:c>
      <x:c r="B274" s="58" t="str">
        <x:v>0.75 validated session at 268 Hz</x:v>
      </x:c>
      <x:c r="C274" s="58" t="n">
        <x:v>0.75</x:v>
      </x:c>
      <x:c r="D274" s="58" t="n">
        <x:v>4</x:v>
      </x:c>
      <x:c r="E274" s="58" t="str">
        <x:v>Validation accepted</x:v>
      </x:c>
      <x:c r="F274" s="58" t="str">
        <x:v>VALIDATION ACCEPTED | pair drift 2.02 %</x:v>
      </x:c>
      <x:c r="G274" s="58" t="n">
        <x:v>2765</x:v>
      </x:c>
    </x:row>
    <x:row r="275" ht="36" customHeight="1">
      <x:c r="A275" s="58" t="str">
        <x:v>S18</x:v>
      </x:c>
      <x:c r="B275" s="58" t="str">
        <x:v>0.75 validated session at 268 Hz</x:v>
      </x:c>
      <x:c r="C275" s="58" t="n">
        <x:v>0.75</x:v>
      </x:c>
      <x:c r="D275" s="58" t="n">
        <x:v>5</x:v>
      </x:c>
      <x:c r="E275" s="58" t="str">
        <x:v>UNSTABLE — SEARCH CONTINUES</x:v>
      </x:c>
      <x:c r="F275" s="58" t="str">
        <x:v>SEARCH | point 2 | DAC 3.00 | CTRL X 0.20414 | X 0.19574 | Y 0.07175 | Z 0.09523 | TOTAL 0.23160 | error -72.78 % | MAD 3.90 % | CV 9.91 % | coh 42.5 % | dominant X | axis fraction 100.0 % | UNSTABLE — SEARCH CONTINUES</x:v>
      </x:c>
      <x:c r="G275" s="58" t="n">
        <x:v>2821</x:v>
      </x:c>
    </x:row>
    <x:row r="276" ht="36" customHeight="1">
      <x:c r="A276" s="58" t="str">
        <x:v>S18</x:v>
      </x:c>
      <x:c r="B276" s="58" t="str">
        <x:v>0.75 validated session at 268 Hz</x:v>
      </x:c>
      <x:c r="C276" s="58" t="n">
        <x:v>0.75</x:v>
      </x:c>
      <x:c r="D276" s="58" t="n">
        <x:v>5</x:v>
      </x:c>
      <x:c r="E276" s="58" t="str">
        <x:v>Validation accepted</x:v>
      </x:c>
      <x:c r="F276" s="58" t="str">
        <x:v>VALIDATION ACCEPTED | pair drift 3.30 %</x:v>
      </x:c>
      <x:c r="G276" s="58" t="n">
        <x:v>2845</x:v>
      </x:c>
    </x:row>
    <x:row r="277" ht="36" customHeight="1">
      <x:c r="A277" s="58" t="str">
        <x:v>S19</x:v>
      </x:c>
      <x:c r="B277" s="58" t="str">
        <x:v>1.20 repeat-validation session at 268 Hz</x:v>
      </x:c>
      <x:c r="C277" s="58" t="n">
        <x:v>1.2</x:v>
      </x:c>
      <x:c r="D277" s="58" t="n">
        <x:v>1</x:v>
      </x:c>
      <x:c r="E277" s="58" t="str">
        <x:v>UNSTABLE — SEARCH CONTINUES</x:v>
      </x:c>
      <x:c r="F277" s="58" t="str">
        <x:v>SEARCH | point 2 | DAC 3.00 | CTRL X 0.21136 | X 0.21700 | Y 0.07777 | Z 0.09007 | TOTAL 0.24978 | error -82.39 % | MAD 0.16 % | CV 4.59 % | coh 47.0 % | dominant X | axis fraction 100.0 % | UNSTABLE — SEARCH CONTINUES</x:v>
      </x:c>
      <x:c r="G277" s="58" t="n">
        <x:v>2940</x:v>
      </x:c>
    </x:row>
    <x:row r="278" ht="36" customHeight="1">
      <x:c r="A278" s="58" t="str">
        <x:v>S19</x:v>
      </x:c>
      <x:c r="B278" s="58" t="str">
        <x:v>1.20 repeat-validation session at 268 Hz</x:v>
      </x:c>
      <x:c r="C278" s="58" t="n">
        <x:v>1.2</x:v>
      </x:c>
      <x:c r="D278" s="58" t="n">
        <x:v>1</x:v>
      </x:c>
      <x:c r="E278" s="58" t="str">
        <x:v>Validation accepted</x:v>
      </x:c>
      <x:c r="F278" s="58" t="str">
        <x:v>VALIDATION ACCEPTED | pair drift 1.50 %</x:v>
      </x:c>
      <x:c r="G278" s="58" t="n">
        <x:v>2968</x:v>
      </x:c>
    </x:row>
    <x:row r="279" ht="36" customHeight="1">
      <x:c r="A279" s="58" t="str">
        <x:v>S19</x:v>
      </x:c>
      <x:c r="B279" s="58" t="str">
        <x:v>1.20 repeat-validation session at 268 Hz</x:v>
      </x:c>
      <x:c r="C279" s="58" t="n">
        <x:v>1.2</x:v>
      </x:c>
      <x:c r="D279" s="58" t="n">
        <x:v>2</x:v>
      </x:c>
      <x:c r="E279" s="58" t="str">
        <x:v>UNSTABLE — SEARCH CONTINUES</x:v>
      </x:c>
      <x:c r="F279" s="58" t="str">
        <x:v>SEARCH | point 2 | DAC 3.00 | CTRL X 0.21350 | X 0.21403 | Y 0.05893 | Z 0.07281 | TOTAL 0.23411 | error -82.21 % | MAD 0.73 % | CV 0.89 % | coh 43.4 % | dominant X | axis fraction 100.0 % | UNSTABLE — SEARCH CONTINUES</x:v>
      </x:c>
      <x:c r="G279" s="58" t="n">
        <x:v>3024</x:v>
      </x:c>
    </x:row>
    <x:row r="280" ht="36" customHeight="1">
      <x:c r="A280" s="58" t="str">
        <x:v>S19</x:v>
      </x:c>
      <x:c r="B280" s="58" t="str">
        <x:v>1.20 repeat-validation session at 268 Hz</x:v>
      </x:c>
      <x:c r="C280" s="58" t="n">
        <x:v>1.2</x:v>
      </x:c>
      <x:c r="D280" s="58" t="n">
        <x:v>2</x:v>
      </x:c>
      <x:c r="E280" s="58" t="str">
        <x:v>Validation accepted</x:v>
      </x:c>
      <x:c r="F280" s="58" t="str">
        <x:v>VALIDATION ACCEPTED | pair drift 2.20 %</x:v>
      </x:c>
      <x:c r="G280" s="58" t="n">
        <x:v>3053</x:v>
      </x:c>
    </x:row>
    <x:row r="281" ht="36" customHeight="1">
      <x:c r="A281" s="58" t="str">
        <x:v>S19</x:v>
      </x:c>
      <x:c r="B281" s="58" t="str">
        <x:v>1.20 repeat-validation session at 268 Hz</x:v>
      </x:c>
      <x:c r="C281" s="58" t="n">
        <x:v>1.2</x:v>
      </x:c>
      <x:c r="D281" s="58" t="n">
        <x:v>3</x:v>
      </x:c>
      <x:c r="E281" s="58" t="str">
        <x:v>UNSTABLE — SEARCH CONTINUES</x:v>
      </x:c>
      <x:c r="F281" s="58" t="str">
        <x:v>SEARCH | point 2 | DAC 3.00 | CTRL X 0.19585 | X 0.18727 | Y 0.05531 | Z 0.11525 | TOTAL 0.22701 | error -83.68 % | MAD 11.76 % | CV 15.68 % | coh 40.9 % | dominant X | axis fraction 100.0 % | UNSTABLE — SEARCH CONTINUES</x:v>
      </x:c>
      <x:c r="G281" s="58" t="n">
        <x:v>3109</x:v>
      </x:c>
    </x:row>
    <x:row r="282" ht="36" customHeight="1">
      <x:c r="A282" s="58" t="str">
        <x:v>S19</x:v>
      </x:c>
      <x:c r="B282" s="58" t="str">
        <x:v>1.20 repeat-validation session at 268 Hz</x:v>
      </x:c>
      <x:c r="C282" s="58" t="n">
        <x:v>1.2</x:v>
      </x:c>
      <x:c r="D282" s="58" t="n">
        <x:v>3</x:v>
      </x:c>
      <x:c r="E282" s="58" t="str">
        <x:v>Validation accepted</x:v>
      </x:c>
      <x:c r="F282" s="58" t="str">
        <x:v>VALIDATION ACCEPTED | pair drift 0.88 %</x:v>
      </x:c>
      <x:c r="G282" s="58" t="n">
        <x:v>3136</x:v>
      </x:c>
    </x:row>
    <x:row r="283" ht="36" customHeight="1">
      <x:c r="A283" s="58" t="str">
        <x:v>S19</x:v>
      </x:c>
      <x:c r="B283" s="58" t="str">
        <x:v>1.20 repeat-validation session at 268 Hz</x:v>
      </x:c>
      <x:c r="C283" s="58" t="n">
        <x:v>1.2</x:v>
      </x:c>
      <x:c r="D283" s="58" t="n">
        <x:v>4</x:v>
      </x:c>
      <x:c r="E283" s="58" t="str">
        <x:v>UNSTABLE — SEARCH CONTINUES</x:v>
      </x:c>
      <x:c r="F283" s="58" t="str">
        <x:v>SEARCH | point 2 | DAC 3.00 | CTRL X 0.21193 | X 0.21413 | Y 0.06677 | Z 0.08061 | TOTAL 0.23868 | error -82.34 % | MAD 3.08 % | CV 1.45 % | coh 46.4 % | dominant X | axis fraction 100.0 % | UNSTABLE — SEARCH CONTINUES</x:v>
      </x:c>
      <x:c r="G283" s="58" t="n">
        <x:v>3192</x:v>
      </x:c>
    </x:row>
    <x:row r="284" ht="36" customHeight="1">
      <x:c r="A284" s="58" t="str">
        <x:v>S19</x:v>
      </x:c>
      <x:c r="B284" s="58" t="str">
        <x:v>1.20 repeat-validation session at 268 Hz</x:v>
      </x:c>
      <x:c r="C284" s="58" t="n">
        <x:v>1.2</x:v>
      </x:c>
      <x:c r="D284" s="58" t="n">
        <x:v>4</x:v>
      </x:c>
      <x:c r="E284" s="58" t="str">
        <x:v>Validation accepted</x:v>
      </x:c>
      <x:c r="F284" s="58" t="str">
        <x:v>VALIDATION ACCEPTED | pair drift 0.62 %</x:v>
      </x:c>
      <x:c r="G284" s="58" t="n">
        <x:v>3221</x:v>
      </x:c>
    </x:row>
    <x:row r="285" ht="36" customHeight="1">
      <x:c r="A285" s="58" t="str">
        <x:v>S19</x:v>
      </x:c>
      <x:c r="B285" s="58" t="str">
        <x:v>1.20 repeat-validation session at 268 Hz</x:v>
      </x:c>
      <x:c r="C285" s="58" t="n">
        <x:v>1.2</x:v>
      </x:c>
      <x:c r="D285" s="58" t="n">
        <x:v>5</x:v>
      </x:c>
      <x:c r="E285" s="58" t="str">
        <x:v>UNSTABLE — SEARCH CONTINUES</x:v>
      </x:c>
      <x:c r="F285" s="58" t="str">
        <x:v>SEARCH | point 2 | DAC 3.00 | CTRL X 0.18832 | X 0.19469 | Y 0.04697 | Z 0.07485 | TOTAL 0.21421 | error -84.31 % | MAD 2.16 % | CV 6.93 % | coh 42.9 % | dominant X | axis fraction 100.0 % | UNSTABLE — SEARCH CONTINUES</x:v>
      </x:c>
      <x:c r="G285" s="58" t="n">
        <x:v>3277</x:v>
      </x:c>
    </x:row>
    <x:row r="286" ht="36" customHeight="1">
      <x:c r="A286" s="58" t="str">
        <x:v>S19</x:v>
      </x:c>
      <x:c r="B286" s="58" t="str">
        <x:v>1.20 repeat-validation session at 268 Hz</x:v>
      </x:c>
      <x:c r="C286" s="58" t="n">
        <x:v>1.2</x:v>
      </x:c>
      <x:c r="D286" s="58" t="n">
        <x:v>5</x:v>
      </x:c>
      <x:c r="E286" s="58" t="str">
        <x:v>Validation accepted</x:v>
      </x:c>
      <x:c r="F286" s="58" t="str">
        <x:v>VALIDATION ACCEPTED | pair drift 2.04 %</x:v>
      </x:c>
      <x:c r="G286" s="58" t="n">
        <x:v>3305</x:v>
      </x:c>
    </x:row>
    <x:row r="287" ht="36" customHeight="1">
      <x:c r="A287" s="58" t="str">
        <x:v>S20</x:v>
      </x:c>
      <x:c r="B287" s="58" t="str">
        <x:v>0.65 repeat-validation session at 268 Hz</x:v>
      </x:c>
      <x:c r="C287" s="58" t="n">
        <x:v>0.65</x:v>
      </x:c>
      <x:c r="D287" s="58" t="n">
        <x:v>1</x:v>
      </x:c>
      <x:c r="E287" s="58" t="str">
        <x:v>UNSTABLE — SEARCH CONTINUES</x:v>
      </x:c>
      <x:c r="F287" s="58" t="str">
        <x:v>SEARCH | point 2 | DAC 3.00 | CTRL X 0.18229 | X 0.18965 | Y 0.06296 | Z 0.10016 | TOTAL 0.22423 | error -71.96 % | MAD 6.76 % | CV 10.74 % | coh 41.8 % | dominant X | axis fraction 100.0 % | UNSTABLE — SEARCH CONTINUES</x:v>
      </x:c>
      <x:c r="G287" s="58" t="n">
        <x:v>3400</x:v>
      </x:c>
    </x:row>
    <x:row r="288" ht="36" customHeight="1">
      <x:c r="A288" s="58" t="str">
        <x:v>S20</x:v>
      </x:c>
      <x:c r="B288" s="58" t="str">
        <x:v>0.65 repeat-validation session at 268 Hz</x:v>
      </x:c>
      <x:c r="C288" s="58" t="n">
        <x:v>0.65</x:v>
      </x:c>
      <x:c r="D288" s="58" t="n">
        <x:v>1</x:v>
      </x:c>
      <x:c r="E288" s="58" t="str">
        <x:v>Validation accepted</x:v>
      </x:c>
      <x:c r="F288" s="58" t="str">
        <x:v>VALIDATION ACCEPTED | pair drift 1.00 %</x:v>
      </x:c>
      <x:c r="G288" s="58" t="n">
        <x:v>3424</x:v>
      </x:c>
    </x:row>
    <x:row r="289" ht="36" customHeight="1">
      <x:c r="A289" s="58" t="str">
        <x:v>S20</x:v>
      </x:c>
      <x:c r="B289" s="58" t="str">
        <x:v>0.65 repeat-validation session at 268 Hz</x:v>
      </x:c>
      <x:c r="C289" s="58" t="n">
        <x:v>0.65</x:v>
      </x:c>
      <x:c r="D289" s="58" t="n">
        <x:v>2</x:v>
      </x:c>
      <x:c r="E289" s="58" t="str">
        <x:v>UNSTABLE — SEARCH CONTINUES</x:v>
      </x:c>
      <x:c r="F289" s="58" t="str">
        <x:v>SEARCH | point 2 | DAC 3.00 | CTRL X 0.17687 | X 0.17619 | Y 0.05450 | Z 0.09488 | TOTAL 0.20830 | error -72.79 % | MAD 15.77 % | CV 11.27 % | coh 39.8 % | dominant X | axis fraction 100.0 % | UNSTABLE — SEARCH CONTINUES</x:v>
      </x:c>
      <x:c r="G289" s="58" t="n">
        <x:v>3480</x:v>
      </x:c>
    </x:row>
    <x:row r="290" ht="36" customHeight="1">
      <x:c r="A290" s="58" t="str">
        <x:v>S20</x:v>
      </x:c>
      <x:c r="B290" s="58" t="str">
        <x:v>0.65 repeat-validation session at 268 Hz</x:v>
      </x:c>
      <x:c r="C290" s="58" t="n">
        <x:v>0.65</x:v>
      </x:c>
      <x:c r="D290" s="58" t="n">
        <x:v>2</x:v>
      </x:c>
      <x:c r="E290" s="58" t="str">
        <x:v>Validation accepted</x:v>
      </x:c>
      <x:c r="F290" s="58" t="str">
        <x:v>VALIDATION ACCEPTED | pair drift 4.30 %</x:v>
      </x:c>
      <x:c r="G290" s="58" t="n">
        <x:v>3504</x:v>
      </x:c>
    </x:row>
    <x:row r="291" ht="36" customHeight="1">
      <x:c r="A291" s="58" t="str">
        <x:v>S20</x:v>
      </x:c>
      <x:c r="B291" s="58" t="str">
        <x:v>0.65 repeat-validation session at 268 Hz</x:v>
      </x:c>
      <x:c r="C291" s="58" t="n">
        <x:v>0.65</x:v>
      </x:c>
      <x:c r="D291" s="58" t="n">
        <x:v>3</x:v>
      </x:c>
      <x:c r="E291" s="58" t="str">
        <x:v>UNSTABLE — SEARCH CONTINUES</x:v>
      </x:c>
      <x:c r="F291" s="58" t="str">
        <x:v>SEARCH | point 2 | DAC 3.00 | CTRL X 0.16602 | X 0.16421 | Y 0.05243 | Z 0.10516 | TOTAL 0.20387 | error -74.46 % | MAD 3.25 % | CV 3.99 % | coh 38.2 % | dominant X | axis fraction 100.0 % | UNSTABLE — SEARCH CONTINUES</x:v>
      </x:c>
      <x:c r="G291" s="58" t="n">
        <x:v>3560</x:v>
      </x:c>
    </x:row>
    <x:row r="292" ht="36" customHeight="1">
      <x:c r="A292" s="58" t="str">
        <x:v>S20</x:v>
      </x:c>
      <x:c r="B292" s="58" t="str">
        <x:v>0.65 repeat-validation session at 268 Hz</x:v>
      </x:c>
      <x:c r="C292" s="58" t="n">
        <x:v>0.65</x:v>
      </x:c>
      <x:c r="D292" s="58" t="n">
        <x:v>3</x:v>
      </x:c>
      <x:c r="E292" s="58" t="str">
        <x:v>Validation accepted</x:v>
      </x:c>
      <x:c r="F292" s="58" t="str">
        <x:v>VALIDATION ACCEPTED | pair drift 0.37 %</x:v>
      </x:c>
      <x:c r="G292" s="58" t="n">
        <x:v>3584</x:v>
      </x:c>
    </x:row>
    <x:row r="293" ht="36" customHeight="1">
      <x:c r="A293" s="58" t="str">
        <x:v>S20</x:v>
      </x:c>
      <x:c r="B293" s="58" t="str">
        <x:v>0.65 repeat-validation session at 268 Hz</x:v>
      </x:c>
      <x:c r="C293" s="58" t="n">
        <x:v>0.65</x:v>
      </x:c>
      <x:c r="D293" s="58" t="n">
        <x:v>4</x:v>
      </x:c>
      <x:c r="E293" s="58" t="str">
        <x:v>UNSTABLE — SEARCH CONTINUES</x:v>
      </x:c>
      <x:c r="F293" s="58" t="str">
        <x:v>SEARCH | point 2 | DAC 3.00 | CTRL X 0.17521 | X 0.17517 | Y 0.05401 | Z 0.09097 | TOTAL 0.20622 | error -73.04 % | MAD 3.13 % | CV 2.15 % | coh 40.4 % | dominant X | axis fraction 100.0 % | UNSTABLE — SEARCH CONTINUES</x:v>
      </x:c>
      <x:c r="G293" s="58" t="n">
        <x:v>3640</x:v>
      </x:c>
    </x:row>
    <x:row r="294" ht="36" customHeight="1">
      <x:c r="A294" s="58" t="str">
        <x:v>S20</x:v>
      </x:c>
      <x:c r="B294" s="58" t="str">
        <x:v>0.65 repeat-validation session at 268 Hz</x:v>
      </x:c>
      <x:c r="C294" s="58" t="n">
        <x:v>0.65</x:v>
      </x:c>
      <x:c r="D294" s="58" t="n">
        <x:v>4</x:v>
      </x:c>
      <x:c r="E294" s="58" t="str">
        <x:v>Validation accepted</x:v>
      </x:c>
      <x:c r="F294" s="58" t="str">
        <x:v>VALIDATION ACCEPTED | pair drift 3.38 %</x:v>
      </x:c>
      <x:c r="G294" s="58" t="n">
        <x:v>3665</x:v>
      </x:c>
    </x:row>
    <x:row r="295" ht="36" customHeight="1">
      <x:c r="A295" s="58" t="str">
        <x:v>S20</x:v>
      </x:c>
      <x:c r="B295" s="58" t="str">
        <x:v>0.65 repeat-validation session at 268 Hz</x:v>
      </x:c>
      <x:c r="C295" s="58" t="n">
        <x:v>0.65</x:v>
      </x:c>
      <x:c r="D295" s="58" t="n">
        <x:v>5</x:v>
      </x:c>
      <x:c r="E295" s="58" t="str">
        <x:v>UNSTABLE — SEARCH CONTINUES</x:v>
      </x:c>
      <x:c r="F295" s="58" t="str">
        <x:v>SEARCH | point 2 | DAC 3.00 | CTRL X 0.17321 | X 0.17270 | Y 0.04554 | Z 0.10217 | TOTAL 0.20718 | error -73.35 % | MAD 5.68 % | CV 4.30 % | coh 41.1 % | dominant X | axis fraction 100.0 % | UNSTABLE — SEARCH CONTINUES</x:v>
      </x:c>
      <x:c r="G295" s="58" t="n">
        <x:v>3721</x:v>
      </x:c>
    </x:row>
    <x:row r="296" ht="36" customHeight="1">
      <x:c r="A296" s="58" t="str">
        <x:v>S20</x:v>
      </x:c>
      <x:c r="B296" s="58" t="str">
        <x:v>0.65 repeat-validation session at 268 Hz</x:v>
      </x:c>
      <x:c r="C296" s="58" t="n">
        <x:v>0.65</x:v>
      </x:c>
      <x:c r="D296" s="58" t="n">
        <x:v>5</x:v>
      </x:c>
      <x:c r="E296" s="58" t="str">
        <x:v>Validation accepted</x:v>
      </x:c>
      <x:c r="F296" s="58" t="str">
        <x:v>VALIDATION ACCEPTED | pair drift 0.73 %</x:v>
      </x:c>
      <x:c r="G296" s="58" t="n">
        <x:v>3745</x:v>
      </x:c>
    </x:row>
  </x:sheetData>
  <x:conditionalFormatting sqref="E2:E133">
    <x:cfRule type="expression" dxfId="12" priority="1">
      <x:formula>ISNUMBER(SEARCH("failure",E2))</x:formula>
    </x:cfRule>
    <x:cfRule type="expression" dxfId="13" priority="2">
      <x:formula>ISNUMBER(SEARCH("clipping",E2))</x:formula>
    </x:cfRule>
    <x:cfRule type="expression" dxfId="14" priority="3">
      <x:formula>ISNUMBER(SEARCH("Retry",E2))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34" hidden="0" customWidth="1"/>
    <x:col min="5" max="5" width="34" hidden="0" customWidth="1"/>
    <x:col min="6" max="6" width="36" hidden="0" customWidth="1"/>
  </x:cols>
  <x:sheetData>
    <x:row r="1">
      <x:c r="A1" s="5" t="str">
        <x:v>Method definitions, acceptance logic, and thesis interpretation</x:v>
      </x:c>
      <x:c r="B1" s="5"/>
      <x:c r="C1" s="5"/>
      <x:c r="D1" s="5"/>
      <x:c r="E1" s="5"/>
      <x:c r="F1" s="5"/>
    </x:row>
    <x:row r="3">
      <x:c r="A3" s="49" t="str">
        <x:v>Term / field</x:v>
      </x:c>
      <x:c r="B3" s="49" t="str">
        <x:v>Definition</x:v>
      </x:c>
      <x:c r="C3" s="49" t="str">
        <x:v>Use in decision</x:v>
      </x:c>
      <x:c r="D3" s="49" t="str">
        <x:v>Thesis interpretation</x:v>
      </x:c>
      <x:c r="E3" s="49" t="str">
        <x:v>Caution</x:v>
      </x:c>
      <x:c r="F3" s="49" t="str">
        <x:v>Status</x:v>
      </x:c>
    </x:row>
    <x:row r="4">
      <x:c r="A4" s="76" t="str">
        <x:v>CTRL X</x:v>
      </x:c>
      <x:c r="B4" s="58" t="str">
        <x:v>Exact-frequency X-axis amplitude used by the matching algorithm.</x:v>
      </x:c>
      <x:c r="C4" s="58" t="str">
        <x:v>Search, band decision, validation, and hold.</x:v>
      </x:c>
      <x:c r="D4" s="58" t="str">
        <x:v>Primary controlled physical output.</x:v>
      </x:c>
      <x:c r="E4" s="58" t="str">
        <x:v>Do not confuse with total vector acceleration.</x:v>
      </x:c>
      <x:c r="F4" s="58" t="str">
        <x:v>Core</x:v>
      </x:c>
    </x:row>
    <x:row r="5">
      <x:c r="A5" s="76" t="str">
        <x:v>X / Y / Z</x:v>
      </x:c>
      <x:c r="B5" s="58" t="str">
        <x:v>Measured exact-frequency components on each sensor axis.</x:v>
      </x:c>
      <x:c r="C5" s="58" t="str">
        <x:v>Only X controls pass/fail in V4.</x:v>
      </x:c>
      <x:c r="D5" s="58" t="str">
        <x:v>Shows directional actuator response and cross-axis motion.</x:v>
      </x:c>
      <x:c r="E5" s="58" t="str">
        <x:v>Y/Z remain diagnostically important.</x:v>
      </x:c>
      <x:c r="F5" s="58" t="str">
        <x:v>Diagnostic</x:v>
      </x:c>
    </x:row>
    <x:row r="6">
      <x:c r="A6" s="76" t="str">
        <x:v>TOTAL</x:v>
      </x:c>
      <x:c r="B6" s="58" t="str">
        <x:v>Vector magnitude √(X²+Y²+Z²).</x:v>
      </x:c>
      <x:c r="C6" s="58" t="str">
        <x:v>Safety/diagnostic monitoring.</x:v>
      </x:c>
      <x:c r="D6" s="58" t="str">
        <x:v>Represents combined three-axis vibration.</x:v>
      </x:c>
      <x:c r="E6" s="58" t="str">
        <x:v>Not the amplitude-matching target.</x:v>
      </x:c>
      <x:c r="F6" s="58" t="str">
        <x:v>Diagnostic</x:v>
      </x:c>
    </x:row>
    <x:row r="7">
      <x:c r="A7" s="76" t="str">
        <x:v>Error (%)</x:v>
      </x:c>
      <x:c r="B7" s="58" t="str">
        <x:v>(CTRL X − target)/target × 100.</x:v>
      </x:c>
      <x:c r="C7" s="58" t="str">
        <x:v>Determines closeness to the requested amplitude.</x:v>
      </x:c>
      <x:c r="D7" s="58" t="str">
        <x:v>Signed accuracy measure.</x:v>
      </x:c>
      <x:c r="E7" s="58" t="str">
        <x:v>Negative is below target; positive is above.</x:v>
      </x:c>
      <x:c r="F7" s="58" t="str">
        <x:v>Core</x:v>
      </x:c>
    </x:row>
    <x:row r="8">
      <x:c r="A8" s="76" t="str">
        <x:v>MAD (%)</x:v>
      </x:c>
      <x:c r="B8" s="58" t="str">
        <x:v>Robust dispersion across short measurements.</x:v>
      </x:c>
      <x:c r="C8" s="58" t="str">
        <x:v>Rejects inconsistent acquisitions.</x:v>
      </x:c>
      <x:c r="D8" s="58" t="str">
        <x:v>Short-window stability indicator.</x:v>
      </x:c>
      <x:c r="E8" s="58" t="str">
        <x:v>Large percentages at very low amplitude may reflect the small denominator.</x:v>
      </x:c>
      <x:c r="F8" s="58" t="str">
        <x:v>Quality</x:v>
      </x:c>
    </x:row>
    <x:row r="9">
      <x:c r="A9" s="76" t="str">
        <x:v>CV (%)</x:v>
      </x:c>
      <x:c r="B9" s="58" t="str">
        <x:v>Standard deviation divided by mean.</x:v>
      </x:c>
      <x:c r="C9" s="58" t="str">
        <x:v>Quantifies relative repeatability.</x:v>
      </x:c>
      <x:c r="D9" s="58" t="str">
        <x:v>Lower values indicate better amplitude stability.</x:v>
      </x:c>
      <x:c r="E9" s="58" t="str">
        <x:v>Interpret together with absolute amplitude and SNR.</x:v>
      </x:c>
      <x:c r="F9" s="58" t="str">
        <x:v>Quality</x:v>
      </x:c>
    </x:row>
    <x:row r="10">
      <x:c r="A10" s="76" t="str">
        <x:v>Coherence (%)</x:v>
      </x:c>
      <x:c r="B10" s="58" t="str">
        <x:v>Strength and consistency of the component at the commanded frequency.</x:v>
      </x:c>
      <x:c r="C10" s="58" t="str">
        <x:v>Measurement validity gate.</x:v>
      </x:c>
      <x:c r="D10" s="58" t="str">
        <x:v>Indicates confidence in the 268 Hz component.</x:v>
      </x:c>
      <x:c r="E10" s="58" t="str">
        <x:v>Threshold must be justified from observed valid data.</x:v>
      </x:c>
      <x:c r="F10" s="58" t="str">
        <x:v>Quality</x:v>
      </x:c>
    </x:row>
    <x:row r="11">
      <x:c r="A11" s="76" t="str">
        <x:v>Long validation</x:v>
      </x:c>
      <x:c r="B11" s="58" t="str">
        <x:v>Repeated fixed-DAC measurements after candidate selection.</x:v>
      </x:c>
      <x:c r="C11" s="58" t="str">
        <x:v>Prevents acceptance of an accidental short reading.</x:v>
      </x:c>
      <x:c r="D11" s="58" t="str">
        <x:v>Confirms short-term repeatability.</x:v>
      </x:c>
      <x:c r="E11" s="58" t="str">
        <x:v>A single outlier may trigger further confirmation.</x:v>
      </x:c>
      <x:c r="F11" s="58" t="str">
        <x:v>Core</x:v>
      </x:c>
    </x:row>
    <x:row r="12">
      <x:c r="A12" s="76" t="str">
        <x:v>Blind FFT verification</x:v>
      </x:c>
      <x:c r="B12" s="58" t="str">
        <x:v>Independent spectral check after amplitude matching.</x:v>
      </x:c>
      <x:c r="C12" s="58" t="str">
        <x:v>Confirms vibration frequency near 268 Hz.</x:v>
      </x:c>
      <x:c r="D12" s="58" t="str">
        <x:v>Separates frequency validation from I/Q amplitude control.</x:v>
      </x:c>
      <x:c r="E12" s="58" t="str">
        <x:v>Earlier 268 Hz tests showed FFT amplitudes about 8–10% below I/Q, whereas 272 Hz tests showed close agreement. This points to frequency/bin-alignment and leakage sensitivity rather than a universal scale error.</x:v>
      </x:c>
      <x:c r="F12" s="58" t="str">
        <x:v>Core</x:v>
      </x:c>
    </x:row>
    <x:row r="13">
      <x:c r="A13" s="76" t="str">
        <x:v>Fixed-DAC hold</x:v>
      </x:c>
      <x:c r="B13" s="58" t="str">
        <x:v>Ten measurements with DAC frozen.</x:v>
      </x:c>
      <x:c r="C13" s="58" t="str">
        <x:v>Confirms amplitude remains usable without continuous DAC chasing.</x:v>
      </x:c>
      <x:c r="D13" s="58" t="str">
        <x:v>Direct preparation for phase sweep.</x:v>
      </x:c>
      <x:c r="E13" s="58" t="str">
        <x:v>Hold failure invalidates the run even if acquisition initially passed.</x:v>
      </x:c>
      <x:c r="F13" s="58" t="str">
        <x:v>Core</x:v>
      </x:c>
    </x:row>
    <x:row r="15">
      <x:c r="A15" s="67" t="str">
        <x:v>Key analysis of the new tests</x:v>
      </x:c>
      <x:c r="B15" s="67"/>
      <x:c r="C15" s="67"/>
      <x:c r="D15" s="67"/>
      <x:c r="E15" s="67"/>
      <x:c r="F15" s="67"/>
    </x:row>
    <x:row r="16">
      <x:c r="A16" s="76" t="str">
        <x:v>0.30 m/s²</x:v>
      </x:c>
      <x:c r="B16" s="58" t="str">
        <x:v>4/5 passed</x:v>
      </x:c>
      <x:c r="C16" s="58" t="str">
        <x:v>Mean 0.30127 m/s²; CV 2.91%; SNR ≈20.7 dB.</x:v>
      </x:c>
      <x:c r="D16" s="58" t="str">
        <x:v>One hold failure and only 85% average hold in-band among passing runs.</x:v>
      </x:c>
      <x:c r="E16" s="58" t="str">
        <x:v>Practical low-amplitude boundary.</x:v>
      </x:c>
      <x:c r="F16" s="58" t="str">
        <x:v>GOOD / USABLE</x:v>
      </x:c>
    </x:row>
    <x:row r="17">
      <x:c r="A17" s="76" t="str">
        <x:v>0.65 m/s²</x:v>
      </x:c>
      <x:c r="B17" s="58" t="str">
        <x:v>4/5 passed</x:v>
      </x:c>
      <x:c r="C17" s="58" t="str">
        <x:v>Mean 0.64729 m/s²; CV 2.47%; successful holds 100% in band.</x:v>
      </x:c>
      <x:c r="D17" s="58" t="str">
        <x:v>One bounded trim did not validate; preliminary one-run search also failed.</x:v>
      </x:c>
      <x:c r="E17" s="58" t="str">
        <x:v>Usable but should be reacquired before a critical phase trial.</x:v>
      </x:c>
      <x:c r="F17" s="58" t="str">
        <x:v>GOOD / USABLE</x:v>
      </x:c>
    </x:row>
    <x:row r="18">
      <x:c r="A18" s="76" t="str">
        <x:v>1.15 m/s²</x:v>
      </x:c>
      <x:c r="B18" s="58" t="str">
        <x:v>5/5 passed</x:v>
      </x:c>
      <x:c r="C18" s="58" t="str">
        <x:v>Mean 1.16380 m/s²; CV 1.00%; all holds in band.</x:v>
      </x:c>
      <x:c r="D18" s="58" t="str">
        <x:v>Slight positive bias (+1.20% mean) but comfortably inside tolerance.</x:v>
      </x:c>
      <x:c r="E18" s="58" t="str">
        <x:v>Strong phase-test candidate.</x:v>
      </x:c>
      <x:c r="F18" s="58" t="str">
        <x:v>EXCELLENT</x:v>
      </x:c>
    </x:row>
    <x:row r="19">
      <x:c r="A19" s="76" t="str">
        <x:v>0.89 m/s²</x:v>
      </x:c>
      <x:c r="B19" s="58" t="str">
        <x:v>5/5 passed</x:v>
      </x:c>
      <x:c r="C19" s="58" t="str">
        <x:v>Mean 0.88169 m/s²; CV 0.58%; all selected DAC 10.00.</x:v>
      </x:c>
      <x:c r="D19" s="58" t="str">
        <x:v>Confirms excellent repeatability at nearly the same amplitude as the earlier 0.90 session.</x:v>
      </x:c>
      <x:c r="E19" s="58" t="str">
        <x:v>Strong independent confirmation.</x:v>
      </x:c>
      <x:c r="F19" s="58" t="str">
        <x:v>EXCELLENT</x:v>
      </x:c>
    </x:row>
    <x:row r="21">
      <x:c r="A21" s="67" t="str">
        <x:v>Thesis conclusions and limitations</x:v>
      </x:c>
      <x:c r="B21" s="67"/>
      <x:c r="C21" s="67"/>
      <x:c r="D21" s="67"/>
      <x:c r="E21" s="67"/>
      <x:c r="F21" s="67"/>
    </x:row>
    <x:row r="22">
      <x:c r="A22" s="76" t="str">
        <x:v>Validated claim</x:v>
      </x:c>
      <x:c r="B22" s="58" t="str">
        <x:v>The algorithm repeatedly reaches requested physical amplitudes without requiring a predetermined DAC value.</x:v>
      </x:c>
    </x:row>
    <x:row r="23">
      <x:c r="A23" s="76" t="str">
        <x:v>Primary evidence</x:v>
      </x:c>
      <x:c r="B23" s="58" t="str">
        <x:v>Thirteen primary sessions spanning 0.30–1.28 m/s² and 268–272 Hz produced 63 successful runs out of 65 (96.9%).</x:v>
      </x:c>
    </x:row>
    <x:row r="24">
      <x:c r="A24" s="76" t="str">
        <x:v>Strongest region</x:v>
      </x:c>
      <x:c r="B24" s="58" t="str">
        <x:v>The strongest evidence remains near 0.89–1.28 m/s², with additional 5/5 confirmation at 1.00 m/s² and at 1.15 m/s²/272 Hz.</x:v>
      </x:c>
    </x:row>
    <x:row r="25">
      <x:c r="A25" s="76" t="str">
        <x:v>Low-amplitude limit</x:v>
      </x:c>
      <x:c r="B25" s="58" t="str">
        <x:v>The 0.30–0.75 m/s² region is reachable, but it shows lower SNR, higher run CV, and occasional hold misses or gain-resolution failures.</x:v>
      </x:c>
    </x:row>
    <x:row r="26">
      <x:c r="A26" s="76" t="str">
        <x:v>DAC interpretation</x:v>
      </x:c>
      <x:c r="B26" s="58" t="str">
        <x:v>Different DAC values are acceptable because acceleration, not DAC, is the controlled output.</x:v>
      </x:c>
    </x:row>
    <x:row r="27">
      <x:c r="A27" s="76" t="str">
        <x:v>Critical limitation</x:v>
      </x:c>
      <x:c r="B27" s="58" t="str">
        <x:v>Amplifier-knob position was not logged numerically; therefore, DAC values from separate sessions cannot be treated as one universal calibration curve.</x:v>
      </x:c>
    </x:row>
    <x:row r="28">
      <x:c r="A28" s="76" t="str">
        <x:v>Failure-message correction</x:v>
      </x:c>
      <x:c r="B28" s="58" t="str">
        <x:v>A knob-high or knob-low recommendation is valid only after the full usable DAC interval has been searched and the endpoint condition is demonstrated.</x:v>
      </x:c>
    </x:row>
    <x:row r="29">
      <x:c r="A29" s="76" t="str">
        <x:v>Next experiment</x:v>
      </x:c>
      <x:c r="B29" s="58" t="str">
        <x:v>Use the fast operational matcher only after an axis/stability precheck; then freeze the accepted DAC for the tool-relative phase sweep.</x:v>
      </x:c>
    </x:row>
    <x:row r="31">
      <x:c r="A31" s="126" t="str">
        <x:v>Validation of newly uploaded sessions</x:v>
      </x:c>
      <x:c r="B31" s="126"/>
      <x:c r="C31" s="126"/>
      <x:c r="D31" s="126"/>
      <x:c r="E31" s="126"/>
      <x:c r="F31" s="126"/>
    </x:row>
    <x:row r="33">
      <x:c r="A33" s="129" t="str">
        <x:v>Session</x:v>
      </x:c>
      <x:c r="B33" s="129" t="str">
        <x:v>Frequency / target</x:v>
      </x:c>
      <x:c r="C33" s="129" t="str">
        <x:v>Run result</x:v>
      </x:c>
      <x:c r="D33" s="129" t="str">
        <x:v>Amplitude statistics</x:v>
      </x:c>
      <x:c r="E33" s="129" t="str">
        <x:v>Hold / FFT evidence</x:v>
      </x:c>
      <x:c r="F33" s="129" t="str">
        <x:v>Thesis decision</x:v>
      </x:c>
    </x:row>
    <x:row r="34" ht="48" customHeight="1">
      <x:c r="A34" s="58" t="str">
        <x:v>S11</x:v>
      </x:c>
      <x:c r="B34" s="58" t="str">
        <x:v>268 Hz / 1.15 m/s²</x:v>
      </x:c>
      <x:c r="C34" s="58" t="str">
        <x:v>0/2 passed</x:v>
      </x:c>
      <x:c r="D34" s="58" t="str">
        <x:v>No successful-session statistics</x:v>
      </x:c>
      <x:c r="E34" s="58" t="str">
        <x:v>No completed hold/FFT summary</x:v>
      </x:c>
      <x:c r="F34" s="58" t="str">
        <x:v>FAIL — RESPONSE PATH UNSTABLE</x:v>
      </x:c>
    </x:row>
    <x:row r="35" ht="48" customHeight="1">
      <x:c r="A35" s="58" t="str">
        <x:v>S12</x:v>
      </x:c>
      <x:c r="B35" s="58" t="str">
        <x:v>268 Hz / 1.15 m/s²</x:v>
      </x:c>
      <x:c r="C35" s="58" t="str">
        <x:v>0/5 passed</x:v>
      </x:c>
      <x:c r="D35" s="58" t="str">
        <x:v>No successful-session statistics</x:v>
      </x:c>
      <x:c r="E35" s="58" t="str">
        <x:v>No completed hold/FFT summary</x:v>
      </x:c>
      <x:c r="F35" s="58" t="str">
        <x:v>INVALID / FAIL — SAFETY AND SIGNAL-PATH INSTABILITY</x:v>
      </x:c>
    </x:row>
    <x:row r="36" ht="48" customHeight="1">
      <x:c r="A36" s="58" t="str">
        <x:v>S13</x:v>
      </x:c>
      <x:c r="B36" s="58" t="str">
        <x:v>268 Hz / 1.00 m/s²</x:v>
      </x:c>
      <x:c r="C36" s="58" t="str">
        <x:v>5/5 passed</x:v>
      </x:c>
      <x:c r="D36" s="58" t="str">
        <x:v>Mean 0.99621 m/s²; CV 2.27%; max error 3.38%</x:v>
      </x:c>
      <x:c r="E36" s="58" t="str">
        <x:v>Hold 100.0%; FFT 268.02559 ± 0.00445 Hz</x:v>
      </x:c>
      <x:c r="F36" s="58" t="str">
        <x:v>EXCELLENT REPRODUCIBLE TARGET-AMPLITUDE ACQUISITION</x:v>
      </x:c>
    </x:row>
    <x:row r="37" ht="48" customHeight="1">
      <x:c r="A37" s="58" t="str">
        <x:v>S14</x:v>
      </x:c>
      <x:c r="B37" s="58" t="str">
        <x:v>272 Hz / 1.15 m/s²</x:v>
      </x:c>
      <x:c r="C37" s="58" t="str">
        <x:v>5/5 passed</x:v>
      </x:c>
      <x:c r="D37" s="58" t="str">
        <x:v>Mean 1.15621 m/s²; CV 1.39%; max error 2.94%</x:v>
      </x:c>
      <x:c r="E37" s="58" t="str">
        <x:v>Hold 100.0%; FFT 271.95639 ± 0.01696 Hz</x:v>
      </x:c>
      <x:c r="F37" s="58" t="str">
        <x:v>EXCELLENT REPRODUCIBLE TARGET-AMPLITUDE ACQUISITION</x:v>
      </x:c>
    </x:row>
    <x:row r="38" ht="48" customHeight="1">
      <x:c r="A38" s="58" t="str">
        <x:v>S15</x:v>
      </x:c>
      <x:c r="B38" s="58" t="str">
        <x:v>268.9 Hz / 0.60 m/s²</x:v>
      </x:c>
      <x:c r="C38" s="58" t="str">
        <x:v>5/5 passed</x:v>
      </x:c>
      <x:c r="D38" s="58" t="str">
        <x:v>Mean 0.61803 m/s²; CV 3.05%; max error 5.92%</x:v>
      </x:c>
      <x:c r="E38" s="58" t="str">
        <x:v>Hold 96.0%; FFT 268.85861 ± 0.00301 Hz</x:v>
      </x:c>
      <x:c r="F38" s="58" t="str">
        <x:v>GOOD / USABLE LOW-AMPLITUDE ACQUISITION</x:v>
      </x:c>
    </x:row>
    <x:row r="39" ht="48" customHeight="1">
      <x:c r="A39" s="58" t="str">
        <x:v>S16</x:v>
      </x:c>
      <x:c r="B39" s="58" t="str">
        <x:v>26 Hz / 0.79 m/s²</x:v>
      </x:c>
      <x:c r="C39" s="58" t="str">
        <x:v>Incomplete</x:v>
      </x:c>
      <x:c r="D39" s="58" t="str">
        <x:v>No completed summary</x:v>
      </x:c>
      <x:c r="E39" s="58" t="str">
        <x:v>ESP32 reboot before final validation</x:v>
      </x:c>
      <x:c r="F39" s="58" t="str">
        <x:v>INVALID — INCOMPLETE TEST</x:v>
      </x:c>
    </x:row>
    <x:row r="40" ht="48" customHeight="1">
      <x:c r="A40" s="58" t="str">
        <x:v>S17</x:v>
      </x:c>
      <x:c r="B40" s="58" t="str">
        <x:v>268.8 Hz / 0.75 m/s²</x:v>
      </x:c>
      <x:c r="C40" s="58" t="str">
        <x:v>3/5 passed</x:v>
      </x:c>
      <x:c r="D40" s="58" t="str">
        <x:v>Mean 0.77899 m/s²; CV 2.60%; max error 5.97%</x:v>
      </x:c>
      <x:c r="E40" s="58" t="str">
        <x:v>Hold 96.7%; FFT 268.78138 ± 0.00276 Hz</x:v>
      </x:c>
      <x:c r="F40" s="58" t="str">
        <x:v>NOT YET REPRODUCIBLE ENOUGH FOR PHASE TESTING</x:v>
      </x:c>
    </x:row>
    <x:row r="41" ht="48" customHeight="1">
      <x:c r="A41" s="58" t="str">
        <x:v>S18</x:v>
      </x:c>
      <x:c r="B41" s="58" t="str">
        <x:v>268 Hz / 0.75 m/s²</x:v>
      </x:c>
      <x:c r="C41" s="58" t="str">
        <x:v>5/5 passed</x:v>
      </x:c>
      <x:c r="D41" s="58" t="str">
        <x:v>Mean 0.75521 m/s²; CV 4.36%; max error 5.84%</x:v>
      </x:c>
      <x:c r="E41" s="58" t="str">
        <x:v>Hold 98.0%; FFT 268.02668 ± 0.01681 Hz</x:v>
      </x:c>
      <x:c r="F41" s="58" t="str">
        <x:v>GOOD / USABLE TARGET-AMPLITUDE ACQUISITION</x:v>
      </x:c>
    </x:row>
    <x:row r="42" ht="48" customHeight="1">
      <x:c r="A42" s="58" t="str">
        <x:v>S19</x:v>
      </x:c>
      <x:c r="B42" s="58" t="str">
        <x:v>268 Hz / 1.20 m/s²</x:v>
      </x:c>
      <x:c r="C42" s="58" t="str">
        <x:v>5/5 passed</x:v>
      </x:c>
      <x:c r="D42" s="58" t="str">
        <x:v>Mean 1.18409 m/s²; CV 2.23%; max error 4.75%</x:v>
      </x:c>
      <x:c r="E42" s="58" t="str">
        <x:v>Hold 100.0%; FFT 268.02571 ± 0.00312 Hz</x:v>
      </x:c>
      <x:c r="F42" s="58" t="str">
        <x:v>STRONG REPRODUCIBLE TARGET-AMPLITUDE ACQUISITION</x:v>
      </x:c>
    </x:row>
    <x:row r="43" ht="48" customHeight="1">
      <x:c r="A43" s="58" t="str">
        <x:v>S20</x:v>
      </x:c>
      <x:c r="B43" s="58" t="str">
        <x:v>268 Hz / 0.65 m/s²</x:v>
      </x:c>
      <x:c r="C43" s="58" t="str">
        <x:v>5/5 passed</x:v>
      </x:c>
      <x:c r="D43" s="58" t="str">
        <x:v>Mean 0.67052 m/s²; CV 2.73%; max error 5.50%</x:v>
      </x:c>
      <x:c r="E43" s="58" t="str">
        <x:v>Hold 96.0%; FFT 268.01590 ± 0.01066 Hz</x:v>
      </x:c>
      <x:c r="F43" s="58" t="str">
        <x:v>GOOD / USABLE TARGET-AMPLITUDE ACQUISITION</x:v>
      </x:c>
    </x:row>
  </x:sheetData>
  <x:mergeCells>
    <x:mergeCell ref="A1:F1"/>
    <x:mergeCell ref="A15:F15"/>
    <x:mergeCell ref="A21:F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0" hidden="0" customWidth="1"/>
    <x:col min="3" max="3" width="24" hidden="0" customWidth="1"/>
  </x:cols>
  <x:sheetData>
    <x:row r="1">
      <x:c r="A1" s="49" t="str">
        <x:v>Source line</x:v>
      </x:c>
      <x:c r="B1" s="49" t="str">
        <x:v>Original log text</x:v>
      </x:c>
      <x:c r="C1" s="82" t="str">
        <x:v>Source file</x:v>
      </x:c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  <x:c r="AA1" s="82"/>
    </x:row>
    <x:row r="2">
      <x:c r="A2" s="82" t="n">
        <x:v>1</x:v>
      </x:c>
      <x:c r="B2" s="110" t="str">
        <x:v>ets Jul 29 2019 12:21:46</x:v>
      </x:c>
      <x:c r="C2" s="82" t="str">
        <x:v>Pasted text(56).txt</x:v>
      </x:c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  <x:c r="W2" s="82"/>
      <x:c r="X2" s="82"/>
      <x:c r="Y2" s="82"/>
      <x:c r="Z2" s="82"/>
      <x:c r="AA2" s="82"/>
    </x:row>
    <x:row r="3">
      <x:c r="A3" s="82" t="n">
        <x:v>2</x:v>
      </x:c>
      <x:c r="B3" s="110" t="str"/>
      <x:c r="C3" s="82" t="str">
        <x:v>Pasted text(56).txt</x:v>
      </x:c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  <x:c r="P3" s="82"/>
      <x:c r="Q3" s="82"/>
      <x:c r="R3" s="82"/>
      <x:c r="S3" s="82"/>
      <x:c r="T3" s="82"/>
      <x:c r="U3" s="82"/>
      <x:c r="V3" s="82"/>
      <x:c r="W3" s="82"/>
      <x:c r="X3" s="82"/>
      <x:c r="Y3" s="82"/>
      <x:c r="Z3" s="82"/>
      <x:c r="AA3" s="82"/>
    </x:row>
    <x:row r="4">
      <x:c r="A4" s="82" t="n">
        <x:v>3</x:v>
      </x:c>
      <x:c r="B4" s="110" t="str">
        <x:v>rst:0x1 (POWERON_RESET),boot:0x13 (SPI_FAST_FLASH_BOOT)</x:v>
      </x:c>
      <x:c r="C4" s="82" t="str">
        <x:v>Pasted text(56).txt</x:v>
      </x:c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2"/>
      <x:c r="R4" s="82"/>
      <x:c r="S4" s="82"/>
      <x:c r="T4" s="82"/>
      <x:c r="U4" s="82"/>
      <x:c r="V4" s="82"/>
      <x:c r="W4" s="82"/>
      <x:c r="X4" s="82"/>
      <x:c r="Y4" s="82"/>
      <x:c r="Z4" s="82"/>
      <x:c r="AA4" s="82"/>
    </x:row>
    <x:row r="5">
      <x:c r="A5" s="82" t="n">
        <x:v>4</x:v>
      </x:c>
      <x:c r="B5" s="110" t="str">
        <x:v>configsip: 0, SPIWP:0xee</x:v>
      </x:c>
      <x:c r="C5" s="82" t="str">
        <x:v>Pasted text(56).txt</x:v>
      </x:c>
      <x:c r="D5" s="8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2"/>
      <x:c r="R5" s="82"/>
      <x:c r="S5" s="82"/>
      <x:c r="T5" s="82"/>
      <x:c r="U5" s="82"/>
      <x:c r="V5" s="82"/>
      <x:c r="W5" s="82"/>
      <x:c r="X5" s="82"/>
      <x:c r="Y5" s="82"/>
      <x:c r="Z5" s="82"/>
      <x:c r="AA5" s="82"/>
    </x:row>
    <x:row r="6">
      <x:c r="A6" t="n">
        <x:v>5</x:v>
      </x:c>
      <x:c r="B6" s="106" t="str">
        <x:v>clk_drv:0x00,q_drv:0x00,d_drv:0x00,cs0_drv:0x00,hd_drv:0x00,wp_drv:0x00</x:v>
      </x:c>
      <x:c r="C6" t="str">
        <x:v>Pasted text(56).txt</x:v>
      </x:c>
    </x:row>
    <x:row r="7">
      <x:c r="A7" t="n">
        <x:v>6</x:v>
      </x:c>
      <x:c r="B7" s="106" t="str">
        <x:v>mode:DIO, clock div:2</x:v>
      </x:c>
      <x:c r="C7" t="str">
        <x:v>Pasted text(56).txt</x:v>
      </x:c>
    </x:row>
    <x:row r="8">
      <x:c r="A8" t="n">
        <x:v>7</x:v>
      </x:c>
      <x:c r="B8" s="106" t="str">
        <x:v>load:0x3fff0030,len:4640</x:v>
      </x:c>
      <x:c r="C8" t="str">
        <x:v>Pasted text(56).txt</x:v>
      </x:c>
    </x:row>
    <x:row r="9">
      <x:c r="A9" t="n">
        <x:v>8</x:v>
      </x:c>
      <x:c r="B9" s="106" t="str">
        <x:v>load:0x40078000,len:15660</x:v>
      </x:c>
      <x:c r="C9" t="str">
        <x:v>Pasted text(56).txt</x:v>
      </x:c>
    </x:row>
    <x:row r="10">
      <x:c r="A10" t="n">
        <x:v>9</x:v>
      </x:c>
      <x:c r="B10" s="106" t="str">
        <x:v>load:0x40080400,len:3164</x:v>
      </x:c>
      <x:c r="C10" t="str">
        <x:v>Pasted text(56).txt</x:v>
      </x:c>
    </x:row>
    <x:row r="11">
      <x:c r="A11" t="n">
        <x:v>10</x:v>
      </x:c>
      <x:c r="B11" s="106" t="str">
        <x:v>entry 0x4008059c</x:v>
      </x:c>
      <x:c r="C11" t="str">
        <x:v>Pasted text(56).txt</x:v>
      </x:c>
    </x:row>
    <x:row r="12">
      <x:c r="A12" t="n">
        <x:v>11</x:v>
      </x:c>
      <x:c r="B12" s="106" t="str"/>
      <x:c r="C12" t="str">
        <x:v>Pasted text(56).txt</x:v>
      </x:c>
    </x:row>
    <x:row r="13">
      <x:c r="A13" t="n">
        <x:v>12</x:v>
      </x:c>
      <x:c r="B13" s="106" t="str">
        <x:v>============================================================</x:v>
      </x:c>
      <x:c r="C13" t="str">
        <x:v>Pasted text(56).txt</x:v>
      </x:c>
    </x:row>
    <x:row r="14">
      <x:c r="A14" t="n">
        <x:v>13</x:v>
      </x:c>
      <x:c r="B14" s="106" t="str">
        <x:v>KK-EXOSKELETON X-ONLY AMPLITUDE REPEATABILITY VALIDATOR V4</x:v>
      </x:c>
      <x:c r="C14" t="str">
        <x:v>Pasted text(56).txt</x:v>
      </x:c>
    </x:row>
    <x:row r="15">
      <x:c r="A15" t="n">
        <x:v>14</x:v>
      </x:c>
      <x:c r="B15" s="106" t="str">
        <x:v>Different DAC per run is allowed; X amplitude and X frequency must repeat.</x:v>
      </x:c>
      <x:c r="C15" t="str">
        <x:v>Pasted text(56).txt</x:v>
      </x:c>
    </x:row>
    <x:row r="16">
      <x:c r="A16" t="n">
        <x:v>15</x:v>
      </x:c>
      <x:c r="B16" s="106" t="str">
        <x:v>============================================================</x:v>
      </x:c>
      <x:c r="C16" t="str">
        <x:v>Pasted text(56).txt</x:v>
      </x:c>
    </x:row>
    <x:row r="17">
      <x:c r="A17" t="n">
        <x:v>16</x:v>
      </x:c>
      <x:c r="B17" s="106" t="str">
        <x:v>ADXL2 Device ID: 0xE5</x:v>
      </x:c>
      <x:c r="C17" t="str">
        <x:v>Pasted text(56).txt</x:v>
      </x:c>
    </x:row>
    <x:row r="18">
      <x:c r="A18" t="n">
        <x:v>17</x:v>
      </x:c>
      <x:c r="B18" s="106" t="str">
        <x:v>DATA_FORMAT: 0xB</x:v>
      </x:c>
      <x:c r="C18" t="str">
        <x:v>Pasted text(56).txt</x:v>
      </x:c>
    </x:row>
    <x:row r="19">
      <x:c r="A19" t="n">
        <x:v>18</x:v>
      </x:c>
      <x:c r="B19" s="106" t="str">
        <x:v>BW_RATE:     0xE</x:v>
      </x:c>
      <x:c r="C19" t="str">
        <x:v>Pasted text(56).txt</x:v>
      </x:c>
    </x:row>
    <x:row r="20">
      <x:c r="A20" t="n">
        <x:v>19</x:v>
      </x:c>
      <x:c r="B20" s="106" t="str">
        <x:v>POWER_CTL:   0x8</x:v>
      </x:c>
      <x:c r="C20" t="str">
        <x:v>Pasted text(56).txt</x:v>
      </x:c>
    </x:row>
    <x:row r="21">
      <x:c r="A21" t="n">
        <x:v>20</x:v>
      </x:c>
      <x:c r="B21" s="106" t="str">
        <x:v>ADXL2 initialized successfully.</x:v>
      </x:c>
      <x:c r="C21" t="str">
        <x:v>Pasted text(56).txt</x:v>
      </x:c>
    </x:row>
    <x:row r="22">
      <x:c r="A22" t="n">
        <x:v>21</x:v>
      </x:c>
      <x:c r="B22" s="106" t="str"/>
      <x:c r="C22" t="str">
        <x:v>Pasted text(56).txt</x:v>
      </x:c>
    </x:row>
    <x:row r="23">
      <x:c r="A23" t="n">
        <x:v>22</x:v>
      </x:c>
      <x:c r="B23" s="106" t="str">
        <x:v>ADXL2 GPIO17 = Visaton/final rigid dorsal plate sensor.</x:v>
      </x:c>
      <x:c r="C23" t="str">
        <x:v>Pasted text(56).txt</x:v>
      </x:c>
    </x:row>
    <x:row r="24">
      <x:c r="A24" t="n">
        <x:v>23</x:v>
      </x:c>
      <x:c r="B24" s="106" t="str">
        <x:v>Visaton command = GPIO25 -&gt; TPA3116D2 -&gt; Visaton EX 45 S.</x:v>
      </x:c>
      <x:c r="C24" t="str">
        <x:v>Pasted text(56).txt</x:v>
      </x:c>
    </x:row>
    <x:row r="25">
      <x:c r="A25" t="n">
        <x:v>24</x:v>
      </x:c>
      <x:c r="B25" s="106" t="str">
        <x:v>Control is permanently locked to X; Y/Z never affect pass/fail.</x:v>
      </x:c>
      <x:c r="C25" t="str">
        <x:v>Pasted text(56).txt</x:v>
      </x:c>
    </x:row>
    <x:row r="26">
      <x:c r="A26" t="n">
        <x:v>25</x:v>
      </x:c>
      <x:c r="B26" s="106" t="str">
        <x:v>Run this test with the machine/tool OFF.</x:v>
      </x:c>
      <x:c r="C26" t="str">
        <x:v>Pasted text(56).txt</x:v>
      </x:c>
    </x:row>
    <x:row r="27">
      <x:c r="A27" t="n">
        <x:v>26</x:v>
      </x:c>
      <x:c r="B27" s="106" t="str"/>
      <x:c r="C27" t="str">
        <x:v>Pasted text(56).txt</x:v>
      </x:c>
    </x:row>
    <x:row r="28">
      <x:c r="A28" t="n">
        <x:v>27</x:v>
      </x:c>
      <x:c r="B28" s="106" t="str">
        <x:v>CURRENT SETTINGS</x:v>
      </x:c>
      <x:c r="C28" t="str">
        <x:v>Pasted text(56).txt</x:v>
      </x:c>
    </x:row>
    <x:row r="29">
      <x:c r="A29" t="n">
        <x:v>28</x:v>
      </x:c>
      <x:c r="B29" s="106" t="str">
        <x:v>Frequency: 268.00000 Hz</x:v>
      </x:c>
      <x:c r="C29" t="str">
        <x:v>Pasted text(56).txt</x:v>
      </x:c>
    </x:row>
    <x:row r="30">
      <x:c r="A30" t="n">
        <x:v>29</x:v>
      </x:c>
      <x:c r="B30" s="106" t="str">
        <x:v>Control axis: X ONLY (Y/Z diagnostic only)</x:v>
      </x:c>
      <x:c r="C30" t="str">
        <x:v>Pasted text(56).txt</x:v>
      </x:c>
    </x:row>
    <x:row r="31">
      <x:c r="A31" t="n">
        <x:v>30</x:v>
      </x:c>
      <x:c r="B31" s="106" t="str">
        <x:v>Target peak amplitude: 1.10000 m/s^2</x:v>
      </x:c>
      <x:c r="C31" t="str">
        <x:v>Pasted text(56).txt</x:v>
      </x:c>
    </x:row>
    <x:row r="32">
      <x:c r="A32" t="n">
        <x:v>31</x:v>
      </x:c>
      <x:c r="B32" s="106" t="str">
        <x:v>Tolerance: +/-7.50 %</x:v>
      </x:c>
      <x:c r="C32" t="str">
        <x:v>Pasted text(56).txt</x:v>
      </x:c>
    </x:row>
    <x:row r="33">
      <x:c r="A33" t="n">
        <x:v>32</x:v>
      </x:c>
      <x:c r="B33" s="106" t="str">
        <x:v>Allowed amplitude band: 1.01750 to 1.18250 m/s^2 peak</x:v>
      </x:c>
      <x:c r="C33" t="str">
        <x:v>Pasted text(56).txt</x:v>
      </x:c>
    </x:row>
    <x:row r="34">
      <x:c r="A34" t="n">
        <x:v>33</x:v>
      </x:c>
      <x:c r="B34" s="106" t="str">
        <x:v>Independent runs: 5</x:v>
      </x:c>
      <x:c r="C34" t="str">
        <x:v>Pasted text(56).txt</x:v>
      </x:c>
    </x:row>
    <x:row r="35">
      <x:c r="A35" t="n">
        <x:v>34</x:v>
      </x:c>
      <x:c r="B35" s="106" t="str">
        <x:v>Hold records per run: 10</x:v>
      </x:c>
      <x:c r="C35" t="str">
        <x:v>Pasted text(56).txt</x:v>
      </x:c>
    </x:row>
    <x:row r="36">
      <x:c r="A36" t="n">
        <x:v>35</x:v>
      </x:c>
      <x:c r="B36" s="106" t="str">
        <x:v>DAC search range/resolution: 1.00 to 30.00 / 0.25</x:v>
      </x:c>
      <x:c r="C36" t="str">
        <x:v>Pasted text(56).txt</x:v>
      </x:c>
    </x:row>
    <x:row r="37">
      <x:c r="A37" t="n">
        <x:v>36</x:v>
      </x:c>
      <x:c r="B37" s="106" t="str">
        <x:v>FFT bin resolution: 1.56250 Hz; accepted command-to-bin difference &lt;= 2.00 Hz</x:v>
      </x:c>
      <x:c r="C37" t="str">
        <x:v>Pasted text(56).txt</x:v>
      </x:c>
    </x:row>
    <x:row r="38">
      <x:c r="A38" t="n">
        <x:v>37</x:v>
      </x:c>
      <x:c r="B38" s="106" t="str"/>
      <x:c r="C38" t="str">
        <x:v>Pasted text(56).txt</x:v>
      </x:c>
    </x:row>
    <x:row r="39">
      <x:c r="A39" t="n">
        <x:v>38</x:v>
      </x:c>
      <x:c r="B39" s="106" t="str">
        <x:v>============================================================</x:v>
      </x:c>
      <x:c r="C39" t="str">
        <x:v>Pasted text(56).txt</x:v>
      </x:c>
    </x:row>
    <x:row r="40">
      <x:c r="A40" t="n">
        <x:v>39</x:v>
      </x:c>
      <x:c r="B40" s="106" t="str">
        <x:v>COMMANDS</x:v>
      </x:c>
      <x:c r="C40" t="str">
        <x:v>Pasted text(56).txt</x:v>
      </x:c>
    </x:row>
    <x:row r="41">
      <x:c r="A41" t="n">
        <x:v>40</x:v>
      </x:c>
      <x:c r="B41" s="106" t="str">
        <x:v>============================================================</x:v>
      </x:c>
      <x:c r="C41" t="str">
        <x:v>Pasted text(56).txt</x:v>
      </x:c>
    </x:row>
    <x:row r="42">
      <x:c r="A42" t="n">
        <x:v>41</x:v>
      </x:c>
      <x:c r="B42" s="106" t="str">
        <x:v>f 268    = set frequency in Hz (20-350)</x:v>
      </x:c>
      <x:c r="C42" t="str">
        <x:v>Pasted text(56).txt</x:v>
      </x:c>
    </x:row>
    <x:row r="43">
      <x:c r="A43" t="n">
        <x:v>42</x:v>
      </x:c>
      <x:c r="B43" s="106" t="str">
        <x:v>t 1.12   = set X-axis target peak amplitude in m/s^2</x:v>
      </x:c>
      <x:c r="C43" t="str">
        <x:v>Pasted text(56).txt</x:v>
      </x:c>
    </x:row>
    <x:row r="44">
      <x:c r="A44" t="n">
        <x:v>43</x:v>
      </x:c>
      <x:c r="B44" s="106" t="str">
        <x:v>e 7.5    = set tolerance percent (5-10 recommended)</x:v>
      </x:c>
      <x:c r="C44" t="str">
        <x:v>Pasted text(56).txt</x:v>
      </x:c>
    </x:row>
    <x:row r="45">
      <x:c r="A45" t="n">
        <x:v>44</x:v>
      </x:c>
      <x:c r="B45" s="106" t="str">
        <x:v>n 5      = set independent run count (2-10)</x:v>
      </x:c>
      <x:c r="C45" t="str">
        <x:v>Pasted text(56).txt</x:v>
      </x:c>
    </x:row>
    <x:row r="46">
      <x:c r="A46" t="n">
        <x:v>45</x:v>
      </x:c>
      <x:c r="B46" s="106" t="str">
        <x:v>k 10     = set fixed-DAC hold records per run (5-30)</x:v>
      </x:c>
      <x:c r="C46" t="str">
        <x:v>Pasted text(56).txt</x:v>
      </x:c>
    </x:row>
    <x:row r="47">
      <x:c r="A47" t="n">
        <x:v>46</x:v>
      </x:c>
      <x:c r="B47" s="106" t="str">
        <x:v>a        = run complete repeated target-amplitude validation</x:v>
      </x:c>
      <x:c r="C47" t="str">
        <x:v>Pasted text(56).txt</x:v>
      </x:c>
    </x:row>
    <x:row r="48">
      <x:c r="A48" t="n">
        <x:v>47</x:v>
      </x:c>
      <x:c r="B48" s="106" t="str">
        <x:v>q 10     = one exact-frequency quadrature measurement at DAC 10</x:v>
      </x:c>
      <x:c r="C48" t="str">
        <x:v>Pasted text(56).txt</x:v>
      </x:c>
    </x:row>
    <x:row r="49">
      <x:c r="A49" t="n">
        <x:v>48</x:v>
      </x:c>
      <x:c r="B49" s="106" t="str">
        <x:v>d 15     = one validated blind FFT diagnostic at DAC 15</x:v>
      </x:c>
      <x:c r="C49" t="str">
        <x:v>Pasted text(56).txt</x:v>
      </x:c>
    </x:row>
    <x:row r="50">
      <x:c r="A50" t="n">
        <x:v>49</x:v>
      </x:c>
      <x:c r="B50" s="106" t="str">
        <x:v>p        = print settings</x:v>
      </x:c>
      <x:c r="C50" t="str">
        <x:v>Pasted text(56).txt</x:v>
      </x:c>
    </x:row>
    <x:row r="51">
      <x:c r="A51" t="n">
        <x:v>50</x:v>
      </x:c>
      <x:c r="B51" s="106" t="str">
        <x:v>s        = emergency stop</x:v>
      </x:c>
      <x:c r="C51" t="str">
        <x:v>Pasted text(56).txt</x:v>
      </x:c>
    </x:row>
    <x:row r="52">
      <x:c r="A52" t="n">
        <x:v>51</x:v>
      </x:c>
      <x:c r="B52" s="106" t="str">
        <x:v>h        = show menu</x:v>
      </x:c>
      <x:c r="C52" t="str">
        <x:v>Pasted text(56).txt</x:v>
      </x:c>
    </x:row>
    <x:row r="53">
      <x:c r="A53" t="n">
        <x:v>52</x:v>
      </x:c>
      <x:c r="B53" s="106" t="str">
        <x:v>============================================================</x:v>
      </x:c>
      <x:c r="C53" t="str">
        <x:v>Pasted text(56).txt</x:v>
      </x:c>
    </x:row>
    <x:row r="54">
      <x:c r="A54" t="n">
        <x:v>53</x:v>
      </x:c>
      <x:c r="B54" s="106" t="str">
        <x:v>Target amplitude set to 1.10000 m/s^2 peak.</x:v>
      </x:c>
      <x:c r="C54" t="str">
        <x:v>Pasted text(56).txt</x:v>
      </x:c>
    </x:row>
    <x:row r="55">
      <x:c r="A55" t="n">
        <x:v>54</x:v>
      </x:c>
      <x:c r="B55" s="106" t="str"/>
      <x:c r="C55" t="str">
        <x:v>Pasted text(56).txt</x:v>
      </x:c>
    </x:row>
    <x:row r="56">
      <x:c r="A56" t="n">
        <x:v>55</x:v>
      </x:c>
      <x:c r="B56" s="106" t="str">
        <x:v>================================================================================</x:v>
      </x:c>
      <x:c r="C56" t="str">
        <x:v>Pasted text(56).txt</x:v>
      </x:c>
    </x:row>
    <x:row r="57">
      <x:c r="A57" t="n">
        <x:v>56</x:v>
      </x:c>
      <x:c r="B57" s="106" t="str">
        <x:v>REPEATED INDEPENDENT TARGET-AMPLITUDE VALIDATION STARTED</x:v>
      </x:c>
      <x:c r="C57" t="str">
        <x:v>Pasted text(56).txt</x:v>
      </x:c>
    </x:row>
    <x:row r="58">
      <x:c r="A58" t="n">
        <x:v>57</x:v>
      </x:c>
      <x:c r="B58" s="106" t="str">
        <x:v>================================================================================</x:v>
      </x:c>
      <x:c r="C58" t="str">
        <x:v>Pasted text(56).txt</x:v>
      </x:c>
    </x:row>
    <x:row r="59">
      <x:c r="A59" t="n">
        <x:v>58</x:v>
      </x:c>
      <x:c r="B59" s="106" t="str"/>
      <x:c r="C59" t="str">
        <x:v>Pasted text(56).txt</x:v>
      </x:c>
    </x:row>
    <x:row r="60">
      <x:c r="A60" t="n">
        <x:v>59</x:v>
      </x:c>
      <x:c r="B60" s="106" t="str">
        <x:v>CURRENT SETTINGS</x:v>
      </x:c>
      <x:c r="C60" t="str">
        <x:v>Pasted text(56).txt</x:v>
      </x:c>
    </x:row>
    <x:row r="61">
      <x:c r="A61" t="n">
        <x:v>60</x:v>
      </x:c>
      <x:c r="B61" s="106" t="str">
        <x:v>Frequency: 268.00000 Hz</x:v>
      </x:c>
      <x:c r="C61" t="str">
        <x:v>Pasted text(56).txt</x:v>
      </x:c>
    </x:row>
    <x:row r="62">
      <x:c r="A62" t="n">
        <x:v>61</x:v>
      </x:c>
      <x:c r="B62" s="106" t="str">
        <x:v>Control axis: X ONLY (Y/Z diagnostic only)</x:v>
      </x:c>
      <x:c r="C62" t="str">
        <x:v>Pasted text(56).txt</x:v>
      </x:c>
    </x:row>
    <x:row r="63">
      <x:c r="A63" t="n">
        <x:v>62</x:v>
      </x:c>
      <x:c r="B63" s="106" t="str">
        <x:v>Target peak amplitude: 1.10000 m/s^2</x:v>
      </x:c>
      <x:c r="C63" t="str">
        <x:v>Pasted text(56).txt</x:v>
      </x:c>
    </x:row>
    <x:row r="64">
      <x:c r="A64" t="n">
        <x:v>63</x:v>
      </x:c>
      <x:c r="B64" s="106" t="str">
        <x:v>Tolerance: +/-7.50 %</x:v>
      </x:c>
      <x:c r="C64" t="str">
        <x:v>Pasted text(56).txt</x:v>
      </x:c>
    </x:row>
    <x:row r="65">
      <x:c r="A65" t="n">
        <x:v>64</x:v>
      </x:c>
      <x:c r="B65" s="106" t="str">
        <x:v>Allowed amplitude band: 1.01750 to 1.18250 m/s^2 peak</x:v>
      </x:c>
      <x:c r="C65" t="str">
        <x:v>Pasted text(56).txt</x:v>
      </x:c>
    </x:row>
    <x:row r="66">
      <x:c r="A66" t="n">
        <x:v>65</x:v>
      </x:c>
      <x:c r="B66" s="106" t="str">
        <x:v>Independent runs: 5</x:v>
      </x:c>
      <x:c r="C66" t="str">
        <x:v>Pasted text(56).txt</x:v>
      </x:c>
    </x:row>
    <x:row r="67">
      <x:c r="A67" t="n">
        <x:v>66</x:v>
      </x:c>
      <x:c r="B67" s="106" t="str">
        <x:v>Hold records per run: 10</x:v>
      </x:c>
      <x:c r="C67" t="str">
        <x:v>Pasted text(56).txt</x:v>
      </x:c>
    </x:row>
    <x:row r="68">
      <x:c r="A68" t="n">
        <x:v>67</x:v>
      </x:c>
      <x:c r="B68" s="106" t="str">
        <x:v>DAC search range/resolution: 1.00 to 30.00 / 0.25</x:v>
      </x:c>
      <x:c r="C68" t="str">
        <x:v>Pasted text(56).txt</x:v>
      </x:c>
    </x:row>
    <x:row r="69">
      <x:c r="A69" t="n">
        <x:v>68</x:v>
      </x:c>
      <x:c r="B69" s="106" t="str">
        <x:v>FFT bin resolution: 1.56250 Hz; accepted command-to-bin difference &lt;= 2.00 Hz</x:v>
      </x:c>
      <x:c r="C69" t="str">
        <x:v>Pasted text(56).txt</x:v>
      </x:c>
    </x:row>
    <x:row r="70">
      <x:c r="A70" t="n">
        <x:v>69</x:v>
      </x:c>
      <x:c r="B70" s="106" t="str">
        <x:v>Every run starts from DAC 1.00. Different selected DACs are allowed.</x:v>
      </x:c>
      <x:c r="C70" t="str">
        <x:v>Pasted text(56).txt</x:v>
      </x:c>
    </x:row>
    <x:row r="71">
      <x:c r="A71" t="n">
        <x:v>70</x:v>
      </x:c>
      <x:c r="B71" s="106" t="str">
        <x:v>The accepted result is X-axis amplitude and X-axis frequency, not DAC.</x:v>
      </x:c>
      <x:c r="C71" t="str">
        <x:v>Pasted text(56).txt</x:v>
      </x:c>
    </x:row>
    <x:row r="72">
      <x:c r="A72" t="n">
        <x:v>71</x:v>
      </x:c>
      <x:c r="B72" s="106" t="str"/>
      <x:c r="C72" t="str">
        <x:v>Pasted text(56).txt</x:v>
      </x:c>
    </x:row>
    <x:row r="73">
      <x:c r="A73" t="n">
        <x:v>72</x:v>
      </x:c>
      <x:c r="B73" s="106" t="str">
        <x:v>################################################################################</x:v>
      </x:c>
      <x:c r="C73" t="str">
        <x:v>Pasted text(56).txt</x:v>
      </x:c>
    </x:row>
    <x:row r="74">
      <x:c r="A74" t="n">
        <x:v>73</x:v>
      </x:c>
      <x:c r="B74" s="106" t="str">
        <x:v>INDEPENDENT TARGET-AMPLITUDE RUN 1 OF 5</x:v>
      </x:c>
      <x:c r="C74" t="str">
        <x:v>Pasted text(56).txt</x:v>
      </x:c>
    </x:row>
    <x:row r="75">
      <x:c r="A75" t="n">
        <x:v>74</x:v>
      </x:c>
      <x:c r="B75" s="106" t="str">
        <x:v>################################################################################</x:v>
      </x:c>
      <x:c r="C75" t="str">
        <x:v>Pasted text(56).txt</x:v>
      </x:c>
    </x:row>
    <x:row r="76">
      <x:c r="A76" t="n">
        <x:v>75</x:v>
      </x:c>
      <x:c r="B76" s="106" t="str">
        <x:v>Frequency: 268.00000 Hz</x:v>
      </x:c>
      <x:c r="C76" t="str">
        <x:v>Pasted text(56).txt</x:v>
      </x:c>
    </x:row>
    <x:row r="77">
      <x:c r="A77" t="n">
        <x:v>76</x:v>
      </x:c>
      <x:c r="B77" s="106" t="str">
        <x:v>Target X amplitude: 1.10000 m/s^2 peak, tolerance +/-7.50 %</x:v>
      </x:c>
      <x:c r="C77" t="str">
        <x:v>Pasted text(56).txt</x:v>
      </x:c>
    </x:row>
    <x:row r="78">
      <x:c r="A78" t="n">
        <x:v>77</x:v>
      </x:c>
      <x:c r="B78" s="106" t="str">
        <x:v>This run starts from DAC 1.00 and ignores every earlier selected DAC.</x:v>
      </x:c>
      <x:c r="C78" t="str">
        <x:v>Pasted text(56).txt</x:v>
      </x:c>
    </x:row>
    <x:row r="79">
      <x:c r="A79" t="n">
        <x:v>78</x:v>
      </x:c>
      <x:c r="B79" s="106" t="str">
        <x:v>ADXL2 DEVID/DATA_FORMAT/BW_RATE/POWER_CTL: 0xE5 / 0xB / 0xE / 0x8</x:v>
      </x:c>
      <x:c r="C79" t="str">
        <x:v>Pasted text(56).txt</x:v>
      </x:c>
    </x:row>
    <x:row r="80">
      <x:c r="A80" t="n">
        <x:v>79</x:v>
      </x:c>
      <x:c r="B80" s="106" t="str"/>
      <x:c r="C80" t="str">
        <x:v>Pasted text(56).txt</x:v>
      </x:c>
    </x:row>
    <x:row r="81">
      <x:c r="A81" t="n">
        <x:v>80</x:v>
      </x:c>
      <x:c r="B81" s="106" t="str">
        <x:v>ACQUISITION ATTEMPT 1 OF 2</x:v>
      </x:c>
      <x:c r="C81" t="str">
        <x:v>Pasted text(56).txt</x:v>
      </x:c>
    </x:row>
    <x:row r="82">
      <x:c r="A82" t="n">
        <x:v>81</x:v>
      </x:c>
      <x:c r="B82" s="106" t="str"/>
      <x:c r="C82" t="str">
        <x:v>Pasted text(56).txt</x:v>
      </x:c>
    </x:row>
    <x:row r="83">
      <x:c r="A83" t="n">
        <x:v>82</x:v>
      </x:c>
      <x:c r="B83" s="106" t="str">
        <x:v>FRESH X-AXIS SEARCH FROM DAC 1.00 — OLD DAC VALUES ARE NOT USED</x:v>
      </x:c>
      <x:c r="C83" t="str">
        <x:v>Pasted text(56).txt</x:v>
      </x:c>
    </x:row>
    <x:row r="84">
      <x:c r="A84" t="n">
        <x:v>83</x:v>
      </x:c>
      <x:c r="B84" s="106" t="str">
        <x:v>Y/Z are diagnostic only and cannot abort this search.</x:v>
      </x:c>
      <x:c r="C84" t="str">
        <x:v>Pasted text(56).txt</x:v>
      </x:c>
    </x:row>
    <x:row r="85">
      <x:c r="A85" t="n">
        <x:v>84</x:v>
      </x:c>
      <x:c r="B85" s="106" t="str">
        <x:v>A real SPI fault, clipping, safety limit or confirmed X-response collapse will stop it.</x:v>
      </x:c>
      <x:c r="C85" t="str">
        <x:v>Pasted text(56).txt</x:v>
      </x:c>
    </x:row>
    <x:row r="86">
      <x:c r="A86" t="n">
        <x:v>85</x:v>
      </x:c>
      <x:c r="B86" s="106" t="str">
        <x:v>SEARCH | point 1 | DAC 1.00 | CTRL X 0.03868 | X 0.03693 | Y 0.06954 | Z 0.03079 | TOTAL 0.08474 | error -96.48 % | MAD 2.20 % | CV 9.60 % | coh 4.3 % | dominant Y | axis fraction 53.1 % | BELOW MEASUREMENT FLOOR — SEARCH CONTINUES</x:v>
      </x:c>
      <x:c r="C86" t="str">
        <x:v>Pasted text(56).txt</x:v>
      </x:c>
    </x:row>
    <x:row r="87">
      <x:c r="A87" t="n">
        <x:v>86</x:v>
      </x:c>
      <x:c r="B87" s="106" t="str">
        <x:v>SEARCH | point 2 | DAC 3.00 | CTRL X 1.09916 | X 1.10352 | Y 0.47972 | Z 0.29855 | TOTAL 1.24009 | error -0.08 % | MAD 0.45 % | CV 0.96 % | coh 76.3 % | dominant X | axis fraction 100.0 % | IN TARGET BAND</x:v>
      </x:c>
      <x:c r="C87" t="str">
        <x:v>Pasted text(56).txt</x:v>
      </x:c>
    </x:row>
    <x:row r="88">
      <x:c r="A88" t="n">
        <x:v>87</x:v>
      </x:c>
      <x:c r="B88" s="106" t="str"/>
      <x:c r="C88" t="str">
        <x:v>Pasted text(56).txt</x:v>
      </x:c>
    </x:row>
    <x:row r="89">
      <x:c r="A89" t="n">
        <x:v>88</x:v>
      </x:c>
      <x:c r="B89" s="106" t="str">
        <x:v>LOCAL 0.25-DAC X-AXIS FINE SCAN</x:v>
      </x:c>
      <x:c r="C89" t="str">
        <x:v>Pasted text(56).txt</x:v>
      </x:c>
    </x:row>
    <x:row r="90">
      <x:c r="A90" t="n">
        <x:v>89</x:v>
      </x:c>
      <x:c r="B90" s="106" t="str">
        <x:v>Only a valid point actually inside the X target band may be selected.</x:v>
      </x:c>
      <x:c r="C90" t="str">
        <x:v>Pasted text(56).txt</x:v>
      </x:c>
    </x:row>
    <x:row r="91">
      <x:c r="A91" t="n">
        <x:v>90</x:v>
      </x:c>
      <x:c r="B91" s="106" t="str">
        <x:v>FINE | point 1 | DAC 2.00 | CTRL X 0.45322 | X 0.45752 | Y 0.22454 | Z 0.20102 | TOTAL 0.54806 | error -58.80 % | MAD 0.94 % | CV 2.20 % | coh 44.0 % | dominant X | axis fraction 100.0 % | UNSTABLE — SEARCH CONTINUES</x:v>
      </x:c>
      <x:c r="C91" t="str">
        <x:v>Pasted text(56).txt</x:v>
      </x:c>
    </x:row>
    <x:row r="92">
      <x:c r="A92" t="n">
        <x:v>91</x:v>
      </x:c>
      <x:c r="B92" s="106" t="str">
        <x:v>FINE | point 2 | DAC 2.25 | CTRL X 0.53682 | X 0.53893 | Y 0.21575 | Z 0.17686 | TOTAL 0.60700 | error -51.20 % | MAD 0.34 % | CV 0.88 % | coh 48.5 % | dominant X | axis fraction 100.0 % | UNSTABLE — SEARCH CONTINUES</x:v>
      </x:c>
      <x:c r="C92" t="str">
        <x:v>Pasted text(56).txt</x:v>
      </x:c>
    </x:row>
    <x:row r="93">
      <x:c r="A93" t="n">
        <x:v>92</x:v>
      </x:c>
      <x:c r="B93" s="106" t="str">
        <x:v>FINE | point 3 | DAC 2.50 | CTRL X 0.60101 | X 0.60631 | Y 0.28303 | Z 0.23369 | TOTAL 0.70981 | error -45.36 % | MAD 4.24 % | CV 4.22 % | coh 53.0 % | dominant X | axis fraction 100.0 % | VALID</x:v>
      </x:c>
      <x:c r="C93" t="str">
        <x:v>Pasted text(56).txt</x:v>
      </x:c>
    </x:row>
    <x:row r="94">
      <x:c r="A94" t="n">
        <x:v>93</x:v>
      </x:c>
      <x:c r="B94" s="106" t="str">
        <x:v>FINE | point 4 | DAC 2.75 | CTRL X 0.94049 | X 0.95214 | Y 0.42356 | Z 0.30932 | TOTAL 1.08729 | error -14.50 % | MAD 2.29 % | CV 3.52 % | coh 72.8 % | dominant X | axis fraction 100.0 % | VALID</x:v>
      </x:c>
      <x:c r="C94" t="str">
        <x:v>Pasted text(56).txt</x:v>
      </x:c>
    </x:row>
    <x:row r="95">
      <x:c r="A95" t="n">
        <x:v>94</x:v>
      </x:c>
      <x:c r="B95" s="106" t="str">
        <x:v>FINE | point 5 | DAC 3.00 | CTRL X 0.98332 | X 0.97568 | Y 0.52346 | Z 0.43262 | TOTAL 1.19011 | error -10.61 % | MAD 6.09 % | CV 5.35 % | coh 78.8 % | dominant X | axis fraction 100.0 % | VALID</x:v>
      </x:c>
      <x:c r="C95" t="str">
        <x:v>Pasted text(56).txt</x:v>
      </x:c>
    </x:row>
    <x:row r="96">
      <x:c r="A96" t="n">
        <x:v>95</x:v>
      </x:c>
      <x:c r="B96" s="106" t="str">
        <x:v>FINE | point 6 | DAC 3.25 | CTRL X 1.01300 | X 1.00405 | Y 0.56432 | Z 0.49685 | TOTAL 1.25589 | error -7.91 % | MAD 8.90 % | CV 7.43 % | coh 77.3 % | dominant X | axis fraction 100.0 % | VALID</x:v>
      </x:c>
      <x:c r="C96" t="str">
        <x:v>Pasted text(56).txt</x:v>
      </x:c>
    </x:row>
    <x:row r="97">
      <x:c r="A97" t="n">
        <x:v>96</x:v>
      </x:c>
      <x:c r="B97" s="106" t="str">
        <x:v>FINE | point 7 | DAC 3.50 | CTRL X 0.92963 | X 0.94422 | Y 0.57231 | Z 0.60739 | TOTAL 1.26119 | error -15.49 % | MAD 1.22 % | CV 3.40 % | coh 76.9 % | dominant X | axis fraction 100.0 % | VALID</x:v>
      </x:c>
      <x:c r="C97" t="str">
        <x:v>Pasted text(56).txt</x:v>
      </x:c>
    </x:row>
    <x:row r="98">
      <x:c r="A98" t="n">
        <x:v>97</x:v>
      </x:c>
      <x:c r="B98" s="106" t="str">
        <x:v>FINE | point 8 | DAC 3.75 | CTRL X 1.01250 | X 0.98820 | Y 0.84140 | Z 0.65849 | TOTAL 1.45624 | error -7.95 % | MAD 15.93 % | CV 14.85 % | coh 76.6 % | dominant X | axis fraction 100.0 % | UNSTABLE — SEARCH CONTINUES</x:v>
      </x:c>
      <x:c r="C98" t="str">
        <x:v>Pasted text(56).txt</x:v>
      </x:c>
    </x:row>
    <x:row r="99">
      <x:c r="A99" t="n">
        <x:v>98</x:v>
      </x:c>
      <x:c r="B99" s="106" t="str">
        <x:v>FINE | point 9 | DAC 4.00 | CTRL X 1.08222 | X 1.04971 | Y 0.87642 | Z 0.71599 | TOTAL 1.54744 | error -1.62 % | MAD 16.45 % | CV 16.30 % | coh 79.1 % | dominant X | axis fraction 100.0 % | UNSTABLE — SEARCH CONTINUES</x:v>
      </x:c>
      <x:c r="C99" t="str">
        <x:v>Pasted text(56).txt</x:v>
      </x:c>
    </x:row>
    <x:row r="100">
      <x:c r="A100" t="n">
        <x:v>99</x:v>
      </x:c>
      <x:c r="B100" s="106" t="str"/>
      <x:c r="C100" t="str">
        <x:v>Pasted text(56).txt</x:v>
      </x:c>
    </x:row>
    <x:row r="101">
      <x:c r="A101" t="n">
        <x:v>100</x:v>
      </x:c>
      <x:c r="B101" s="106" t="str">
        <x:v>ACQUISITION ATTEMPT 2 OF 2</x:v>
      </x:c>
      <x:c r="C101" t="str">
        <x:v>Pasted text(56).txt</x:v>
      </x:c>
    </x:row>
    <x:row r="102">
      <x:c r="A102" t="n">
        <x:v>101</x:v>
      </x:c>
      <x:c r="B102" s="106" t="str"/>
      <x:c r="C102" t="str">
        <x:v>Pasted text(56).txt</x:v>
      </x:c>
    </x:row>
    <x:row r="103">
      <x:c r="A103" t="n">
        <x:v>102</x:v>
      </x:c>
      <x:c r="B103" s="106" t="str">
        <x:v>FRESH X-AXIS SEARCH FROM DAC 1.00 — OLD DAC VALUES ARE NOT USED</x:v>
      </x:c>
      <x:c r="C103" t="str">
        <x:v>Pasted text(56).txt</x:v>
      </x:c>
    </x:row>
    <x:row r="104">
      <x:c r="A104" t="n">
        <x:v>103</x:v>
      </x:c>
      <x:c r="B104" s="106" t="str">
        <x:v>Y/Z are diagnostic only and cannot abort this search.</x:v>
      </x:c>
      <x:c r="C104" t="str">
        <x:v>Pasted text(56).txt</x:v>
      </x:c>
    </x:row>
    <x:row r="105">
      <x:c r="A105" t="n">
        <x:v>104</x:v>
      </x:c>
      <x:c r="B105" s="106" t="str">
        <x:v>A real SPI fault, clipping, safety limit or confirmed X-response collapse will stop it.</x:v>
      </x:c>
      <x:c r="C105" t="str">
        <x:v>Pasted text(56).txt</x:v>
      </x:c>
    </x:row>
    <x:row r="106">
      <x:c r="A106" t="n">
        <x:v>105</x:v>
      </x:c>
      <x:c r="B106" s="106" t="str">
        <x:v>SEARCH | point 1 | DAC 1.00 | CTRL X 0.02841 | X 0.02886 | Y 0.01331 | Z 0.01163 | TOTAL 0.03397 | error -97.42 % | MAD 4.68 % | CV 2.20 % | coh 3.9 % | dominant X | axis fraction 100.0 % | BELOW MEASUREMENT FLOOR — SEARCH CONTINUES</x:v>
      </x:c>
      <x:c r="C106" t="str">
        <x:v>Pasted text(56).txt</x:v>
      </x:c>
    </x:row>
    <x:row r="107">
      <x:c r="A107" t="n">
        <x:v>106</x:v>
      </x:c>
      <x:c r="B107" s="106" t="str">
        <x:v>SEARCH | point 2 | DAC 3.00 | CTRL X 0.34997 | X 0.35756 | Y 0.55892 | Z 0.17003 | TOTAL 0.68612 | error -68.18 % | MAD 2.29 % | CV 5.04 % | coh 47.5 % | dominant Y | axis fraction 64.0 % | UNSTABLE — SEARCH CONTINUES</x:v>
      </x:c>
      <x:c r="C107" t="str">
        <x:v>Pasted text(56).txt</x:v>
      </x:c>
    </x:row>
    <x:row r="108">
      <x:c r="A108" t="n">
        <x:v>107</x:v>
      </x:c>
      <x:c r="B108" s="106" t="str">
        <x:v>SEARCH | point 3 | DAC 4.00 | CTRL X 0.66943 | X 0.67920 | Y 0.77127 | Z 0.47108 | TOTAL 1.13135 | error -39.14 % | MAD 0.81 % | CV 2.97 % | coh 67.5 % | dominant Y | axis fraction 88.1 % | VALID</x:v>
      </x:c>
      <x:c r="C108" t="str">
        <x:v>Pasted text(56).txt</x:v>
      </x:c>
    </x:row>
    <x:row r="109">
      <x:c r="A109" t="n">
        <x:v>108</x:v>
      </x:c>
      <x:c r="B109" s="106" t="str">
        <x:v>SEARCH | point 4 | DAC 4.50 | CTRL X 0.89767 | X 0.92917 | Y 0.83575 | Z 0.67721 | TOTAL 1.42333 | error -18.39 % | MAD 14.13 % | CV 14.59 % | coh 77.0 % | dominant X | axis fraction 100.0 % | UNSTABLE — SEARCH CONTINUES</x:v>
      </x:c>
      <x:c r="C109" t="str">
        <x:v>Pasted text(56).txt</x:v>
      </x:c>
    </x:row>
    <x:row r="110">
      <x:c r="A110" t="n">
        <x:v>109</x:v>
      </x:c>
      <x:c r="B110" s="106" t="str">
        <x:v>SEARCH | point 5 | DAC 5.50 | CTRL X 1.14005 | X 1.14244 | Y 1.06708 | Z 0.86719 | TOTAL 1.79086 | error 3.64 % | MAD 5.66 % | CV 4.13 % | coh 79.5 % | dominant X | axis fraction 100.0 % | IN TARGET BAND</x:v>
      </x:c>
      <x:c r="C110" t="str">
        <x:v>Pasted text(56).txt</x:v>
      </x:c>
    </x:row>
    <x:row r="111">
      <x:c r="A111" t="n">
        <x:v>110</x:v>
      </x:c>
      <x:c r="B111" s="106" t="str"/>
      <x:c r="C111" t="str">
        <x:v>Pasted text(56).txt</x:v>
      </x:c>
    </x:row>
    <x:row r="112">
      <x:c r="A112" t="n">
        <x:v>111</x:v>
      </x:c>
      <x:c r="B112" s="106" t="str">
        <x:v>LOCAL 0.25-DAC X-AXIS FINE SCAN</x:v>
      </x:c>
      <x:c r="C112" t="str">
        <x:v>Pasted text(56).txt</x:v>
      </x:c>
    </x:row>
    <x:row r="113">
      <x:c r="A113" t="n">
        <x:v>112</x:v>
      </x:c>
      <x:c r="B113" s="106" t="str">
        <x:v>Only a valid point actually inside the X target band may be selected.</x:v>
      </x:c>
      <x:c r="C113" t="str">
        <x:v>Pasted text(56).txt</x:v>
      </x:c>
    </x:row>
    <x:row r="114">
      <x:c r="A114" t="n">
        <x:v>113</x:v>
      </x:c>
      <x:c r="B114" s="106" t="str">
        <x:v>FINE | point 1 | DAC 4.50 | CTRL X 0.79534 | X 0.77956 | Y 0.80000 | Z 0.60994 | TOTAL 1.27339 | error -27.70 % | MAD 0.52 % | CV 3.82 % | coh 68.9 % | dominant Y | axis fraction 97.4 % | VALID</x:v>
      </x:c>
      <x:c r="C114" t="str">
        <x:v>Pasted text(56).txt</x:v>
      </x:c>
    </x:row>
    <x:row r="115">
      <x:c r="A115" t="n">
        <x:v>114</x:v>
      </x:c>
      <x:c r="B115" s="106" t="str">
        <x:v>FINE | point 2 | DAC 4.75 | CTRL X 1.11785 | X 1.13049 | Y 1.05008 | Z 0.91654 | TOTAL 1.79481 | error 1.62 % | MAD 4.62 % | CV 4.86 % | coh 81.1 % | dominant X | axis fraction 100.0 % | IN TARGET BAND</x:v>
      </x:c>
      <x:c r="C115" t="str">
        <x:v>Pasted text(56).txt</x:v>
      </x:c>
    </x:row>
    <x:row r="116">
      <x:c r="A116" t="n">
        <x:v>115</x:v>
      </x:c>
      <x:c r="B116" s="106" t="str">
        <x:v>FINE | point 3 | DAC 5.00 | CTRL X 1.09959 | X 1.06930 | Y 1.04642 | Z 0.88266 | TOTAL 1.73728 | error -0.04 % | MAD 1.22 % | CV 5.65 % | coh 80.4 % | dominant X | axis fraction 100.0 % | IN TARGET BAND</x:v>
      </x:c>
      <x:c r="C116" t="str">
        <x:v>Pasted text(56).txt</x:v>
      </x:c>
    </x:row>
    <x:row r="117">
      <x:c r="A117" t="n">
        <x:v>116</x:v>
      </x:c>
      <x:c r="B117" s="106" t="str">
        <x:v>FINE | point 4 | DAC 5.25 | CTRL X 1.12045 | X 1.12508 | Y 1.09712 | Z 0.91564 | TOTAL 1.81991 | error 1.86 % | MAD 5.93 % | CV 4.61 % | coh 82.8 % | dominant X | axis fraction 100.0 % | IN TARGET BAND</x:v>
      </x:c>
      <x:c r="C117" t="str">
        <x:v>Pasted text(56).txt</x:v>
      </x:c>
    </x:row>
    <x:row r="118">
      <x:c r="A118" t="n">
        <x:v>117</x:v>
      </x:c>
      <x:c r="B118" s="106" t="str">
        <x:v>FINE | point 5 | DAC 5.50 | CTRL X 1.51557 | X 1.46418 | Y 1.19542 | Z 1.09664 | TOTAL 2.18800 | error 37.78 % | MAD 3.18 % | CV 8.08 % | coh 82.3 % | dominant X | axis fraction 100.0 % | VALID</x:v>
      </x:c>
      <x:c r="C118" t="str">
        <x:v>Pasted text(56).txt</x:v>
      </x:c>
    </x:row>
    <x:row r="119">
      <x:c r="A119" t="n">
        <x:v>118</x:v>
      </x:c>
      <x:c r="B119" s="106" t="str">
        <x:v>FINE | point 6 | DAC 5.75 | CTRL X 1.63584 | X 1.62771 | Y 1.31309 | Z 1.23390 | TOTAL 2.43435 | error 48.71 % | MAD 11.83 % | CV 8.78 % | coh 86.6 % | dominant X | axis fraction 100.0 % | VALID</x:v>
      </x:c>
      <x:c r="C119" t="str">
        <x:v>Pasted text(56).txt</x:v>
      </x:c>
    </x:row>
    <x:row r="120">
      <x:c r="A120" t="n">
        <x:v>119</x:v>
      </x:c>
      <x:c r="B120" s="106" t="str">
        <x:v>FINE | point 7 | DAC 6.00 | CTRL X 1.38954 | X 1.39612 | Y 1.38005 | Z 1.15094 | TOTAL 2.27568 | error 26.32 % | MAD 3.12 % | CV 2.83 % | coh 84.7 % | dominant X | axis fraction 100.0 % | VALID</x:v>
      </x:c>
      <x:c r="C120" t="str">
        <x:v>Pasted text(56).txt</x:v>
      </x:c>
    </x:row>
    <x:row r="121">
      <x:c r="A121" t="n">
        <x:v>120</x:v>
      </x:c>
      <x:c r="B121" s="106" t="str">
        <x:v>FINE | point 8 | DAC 6.25 | CTRL X 1.78006 | X 1.70486 | Y 1.33230 | Z 1.26568 | TOTAL 2.51209 | error 61.82 % | MAD 2.50 % | CV 9.21 % | coh 86.5 % | dominant X | axis fraction 100.0 % | VALID</x:v>
      </x:c>
      <x:c r="C121" t="str">
        <x:v>Pasted text(56).txt</x:v>
      </x:c>
    </x:row>
    <x:row r="122">
      <x:c r="A122" t="n">
        <x:v>121</x:v>
      </x:c>
      <x:c r="B122" s="106" t="str">
        <x:v>FINE | point 9 | DAC 6.50 | CTRL X 1.77545 | X 1.75969 | Y 1.49612 | Z 1.31083 | TOTAL 2.65963 | error 61.40 % | MAD 6.29 % | CV 5.67 % | coh 83.6 % | dominant X | axis fraction 100.0 % | VALID</x:v>
      </x:c>
      <x:c r="C122" t="str">
        <x:v>Pasted text(56).txt</x:v>
      </x:c>
    </x:row>
    <x:row r="123">
      <x:c r="A123" t="n">
        <x:v>122</x:v>
      </x:c>
      <x:c r="B123" s="106" t="str"/>
      <x:c r="C123" t="str">
        <x:v>Pasted text(56).txt</x:v>
      </x:c>
    </x:row>
    <x:row r="124">
      <x:c r="A124" t="n">
        <x:v>123</x:v>
      </x:c>
      <x:c r="B124" s="106" t="str">
        <x:v>LONG VALIDATION AT FIXED DAC 5.00</x:v>
      </x:c>
      <x:c r="C124" t="str">
        <x:v>Pasted text(56).txt</x:v>
      </x:c>
    </x:row>
    <x:row r="125">
      <x:c r="A125" t="n">
        <x:v>124</x:v>
      </x:c>
      <x:c r="B125" s="106" t="str">
        <x:v>FINAL | point 1 | DAC 5.00 | CTRL X 1.05794 | X 1.05938 | Y 1.10344 | Z 0.84145 | TOTAL 1.74614 | error -3.82 % | MAD 1.57 % | CV 1.04 % | coh 80.6 % | dominant Y | axis fraction 96.0 % | IN TARGET BAND</x:v>
      </x:c>
      <x:c r="C125" t="str">
        <x:v>Pasted text(56).txt</x:v>
      </x:c>
    </x:row>
    <x:row r="126">
      <x:c r="A126" t="n">
        <x:v>125</x:v>
      </x:c>
      <x:c r="B126" s="106" t="str">
        <x:v>FINAL | point 2 | DAC 5.00 | CTRL X 1.59223 | X 1.54003 | Y 1.13561 | Z 1.04148 | TOTAL 2.18197 | error 44.75 % | MAD 9.52 % | CV 11.01 % | coh 85.3 % | dominant X | axis fraction 100.0 % | UNSTABLE — SEARCH CONTINUES</x:v>
      </x:c>
      <x:c r="C126" t="str">
        <x:v>Pasted text(56).txt</x:v>
      </x:c>
    </x:row>
    <x:row r="127">
      <x:c r="A127" t="n">
        <x:v>126</x:v>
      </x:c>
      <x:c r="B127" s="106" t="str">
        <x:v>FINAL | point 3 | DAC 5.00 | CTRL X 1.03509 | X 1.04630 | Y 1.07493 | Z 0.86221 | TOTAL 1.73044 | error -5.90 % | MAD 1.26 % | CV 2.18 % | coh 81.8 % | dominant Y | axis fraction 97.3 % | IN TARGET BAND</x:v>
      </x:c>
      <x:c r="C127" t="str">
        <x:v>Pasted text(56).txt</x:v>
      </x:c>
    </x:row>
    <x:row r="128">
      <x:c r="A128" t="n">
        <x:v>127</x:v>
      </x:c>
      <x:c r="B128" s="106" t="str">
        <x:v>VALIDATION ACCEPTED | pair drift 2.18 %</x:v>
      </x:c>
      <x:c r="C128" t="str">
        <x:v>Pasted text(56).txt</x:v>
      </x:c>
    </x:row>
    <x:row r="129">
      <x:c r="A129" t="n">
        <x:v>128</x:v>
      </x:c>
      <x:c r="B129" s="106" t="str"/>
      <x:c r="C129" t="str">
        <x:v>Pasted text(56).txt</x:v>
      </x:c>
    </x:row>
    <x:row r="130">
      <x:c r="A130" t="n">
        <x:v>129</x:v>
      </x:c>
      <x:c r="B130" s="106" t="str">
        <x:v>FINAL VALIDATED BLIND FFT VERIFICATION</x:v>
      </x:c>
      <x:c r="C130" t="str">
        <x:v>Pasted text(56).txt</x:v>
      </x:c>
    </x:row>
    <x:row r="131">
      <x:c r="A131" t="n">
        <x:v>130</x:v>
      </x:c>
      <x:c r="B131" s="106" t="str">
        <x:v>Commanded frequency: 268.00000 Hz</x:v>
      </x:c>
      <x:c r="C131" t="str">
        <x:v>Pasted text(56).txt</x:v>
      </x:c>
    </x:row>
    <x:row r="132">
      <x:c r="A132" t="n">
        <x:v>131</x:v>
      </x:c>
      <x:c r="B132" s="106" t="str">
        <x:v>Accepted DAC: 5.00</x:v>
      </x:c>
      <x:c r="C132" t="str">
        <x:v>Pasted text(56).txt</x:v>
      </x:c>
    </x:row>
    <x:row r="133">
      <x:c r="A133" t="n">
        <x:v>132</x:v>
      </x:c>
      <x:c r="B133" s="106" t="str">
        <x:v>Axis,Frequency_Hz,Amplitude_mps2,SNR_dB,Status</x:v>
      </x:c>
      <x:c r="C133" t="str">
        <x:v>Pasted text(56).txt</x:v>
      </x:c>
    </x:row>
    <x:row r="134">
      <x:c r="A134" t="n">
        <x:v>133</x:v>
      </x:c>
      <x:c r="B134" s="106" t="str">
        <x:v>X,268.03131,1.04439,27.31,VALID</x:v>
      </x:c>
      <x:c r="C134" t="str">
        <x:v>Pasted text(56).txt</x:v>
      </x:c>
    </x:row>
    <x:row r="135">
      <x:c r="A135" t="n">
        <x:v>134</x:v>
      </x:c>
      <x:c r="B135" s="106" t="str">
        <x:v>Y,268.09282,0.98871,23.49,VALID</x:v>
      </x:c>
      <x:c r="C135" t="str">
        <x:v>Pasted text(56).txt</x:v>
      </x:c>
    </x:row>
    <x:row r="136">
      <x:c r="A136" t="n">
        <x:v>135</x:v>
      </x:c>
      <x:c r="B136" s="106" t="str">
        <x:v>Z,268.05600,0.77884,28.81,VALID</x:v>
      </x:c>
      <x:c r="C136" t="str">
        <x:v>Pasted text(56).txt</x:v>
      </x:c>
    </x:row>
    <x:row r="137">
      <x:c r="A137" t="n">
        <x:v>136</x:v>
      </x:c>
      <x:c r="B137" s="106" t="str">
        <x:v>Combined frequency: 268.05998 Hz | difference 0.05998 Hz</x:v>
      </x:c>
      <x:c r="C137" t="str">
        <x:v>Pasted text(56).txt</x:v>
      </x:c>
    </x:row>
    <x:row r="138">
      <x:c r="A138" t="n">
        <x:v>137</x:v>
      </x:c>
      <x:c r="B138" s="106" t="str">
        <x:v>Combined X/Y/Z/TOTAL: 0.95656 / 0.91510 / 0.71715 / 1.50556</x:v>
      </x:c>
      <x:c r="C138" t="str">
        <x:v>Pasted text(56).txt</x:v>
      </x:c>
    </x:row>
    <x:row r="139">
      <x:c r="A139" t="n">
        <x:v>138</x:v>
      </x:c>
      <x:c r="B139" s="106" t="str">
        <x:v>SNR: 25.68 dB | dominant axis X</x:v>
      </x:c>
      <x:c r="C139" t="str">
        <x:v>Pasted text(56).txt</x:v>
      </x:c>
    </x:row>
    <x:row r="140">
      <x:c r="A140" t="n">
        <x:v>139</x:v>
      </x:c>
      <x:c r="B140" s="106" t="str">
        <x:v>Frequency verification: PASS</x:v>
      </x:c>
      <x:c r="C140" t="str">
        <x:v>Pasted text(56).txt</x:v>
      </x:c>
    </x:row>
    <x:row r="141">
      <x:c r="A141" t="n">
        <x:v>140</x:v>
      </x:c>
      <x:c r="B141" s="106" t="str">
        <x:v>Y/Z dominance: DIAGNOSTIC ONLY — ignored for pass/fail</x:v>
      </x:c>
      <x:c r="C141" t="str">
        <x:v>Pasted text(56).txt</x:v>
      </x:c>
    </x:row>
    <x:row r="142">
      <x:c r="A142" t="n">
        <x:v>141</x:v>
      </x:c>
      <x:c r="B142" s="106" t="str"/>
      <x:c r="C142" t="str">
        <x:v>Pasted text(56).txt</x:v>
      </x:c>
    </x:row>
    <x:row r="143">
      <x:c r="A143" t="n">
        <x:v>142</x:v>
      </x:c>
      <x:c r="B143" s="106" t="str">
        <x:v>FIXED-DAC HOLD VALIDATION</x:v>
      </x:c>
      <x:c r="C143" t="str">
        <x:v>Pasted text(56).txt</x:v>
      </x:c>
    </x:row>
    <x:row r="144">
      <x:c r="A144" t="n">
        <x:v>143</x:v>
      </x:c>
      <x:c r="B144" s="106" t="str">
        <x:v>DAC remains fixed at 5.00 for 10 records.</x:v>
      </x:c>
      <x:c r="C144" t="str">
        <x:v>Pasted text(56).txt</x:v>
      </x:c>
    </x:row>
    <x:row r="145">
      <x:c r="A145" t="n">
        <x:v>144</x:v>
      </x:c>
      <x:c r="B145" s="106" t="str">
        <x:v>HOLD | point 1 | DAC 5.00 | CTRL X 1.13431 | X 1.12914 | Y 1.13261 | Z 0.85689 | TOTAL 1.81498 | error 3.12 % | MAD 2.66 % | CV 2.52 % | coh 79.7 % | dominant Y | axis fraction 99.7 % | IN TARGET BAND</x:v>
      </x:c>
      <x:c r="C145" t="str">
        <x:v>Pasted text(56).txt</x:v>
      </x:c>
    </x:row>
    <x:row r="146">
      <x:c r="A146" t="n">
        <x:v>145</x:v>
      </x:c>
      <x:c r="B146" s="106" t="str">
        <x:v>HOLD | point 2 | DAC 5.00 | CTRL X 1.10195 | X 1.09567 | Y 1.08810 | Z 0.83940 | TOTAL 1.75840 | error 0.18 % | MAD 2.13 % | CV 2.36 % | coh 83.3 % | dominant X | axis fraction 100.0 % | IN TARGET BAND</x:v>
      </x:c>
      <x:c r="C146" t="str">
        <x:v>Pasted text(56).txt</x:v>
      </x:c>
    </x:row>
    <x:row r="147">
      <x:c r="A147" t="n">
        <x:v>146</x:v>
      </x:c>
      <x:c r="B147" s="106" t="str">
        <x:v>HOLD | point 3 | DAC 5.00 | CTRL X 1.10765 | X 1.10020 | Y 1.05976 | Z 0.77644 | TOTAL 1.71389 | error 0.70 % | MAD 5.57 % | CV 4.83 % | coh 82.0 % | dominant X | axis fraction 100.0 % | IN TARGET BAND</x:v>
      </x:c>
      <x:c r="C147" t="str">
        <x:v>Pasted text(56).txt</x:v>
      </x:c>
    </x:row>
    <x:row r="148">
      <x:c r="A148" t="n">
        <x:v>147</x:v>
      </x:c>
      <x:c r="B148" s="106" t="str">
        <x:v>HOLD | point 4 | DAC 5.00 | CTRL X 1.13995 | X 1.14540 | Y 1.11561 | Z 0.86052 | TOTAL 1.81606 | error 3.63 % | MAD 9.61 % | CV 7.17 % | coh 79.9 % | dominant X | axis fraction 100.0 % | IN TARGET BAND</x:v>
      </x:c>
      <x:c r="C148" t="str">
        <x:v>Pasted text(56).txt</x:v>
      </x:c>
    </x:row>
    <x:row r="149">
      <x:c r="A149" t="n">
        <x:v>148</x:v>
      </x:c>
      <x:c r="B149" s="106" t="str">
        <x:v>HOLD | point 5 | DAC 5.00 | CTRL X 1.06837 | X 1.07341 | Y 1.05752 | Z 0.81956 | TOTAL 1.71538 | error -2.88 % | MAD 2.11 % | CV 2.16 % | coh 81.4 % | dominant X | axis fraction 100.0 % | IN TARGET BAND</x:v>
      </x:c>
      <x:c r="C149" t="str">
        <x:v>Pasted text(56).txt</x:v>
      </x:c>
    </x:row>
    <x:row r="150">
      <x:c r="A150" t="n">
        <x:v>149</x:v>
      </x:c>
      <x:c r="B150" s="106" t="str">
        <x:v>HOLD | point 6 | DAC 5.00 | CTRL X 1.16772 | X 1.15894 | Y 1.08290 | Z 0.84488 | TOTAL 1.79755 | error 6.16 % | MAD 1.78 % | CV 2.44 % | coh 85.3 % | dominant X | axis fraction 100.0 % | IN TARGET BAND</x:v>
      </x:c>
      <x:c r="C150" t="str">
        <x:v>Pasted text(56).txt</x:v>
      </x:c>
    </x:row>
    <x:row r="151">
      <x:c r="A151" t="n">
        <x:v>150</x:v>
      </x:c>
      <x:c r="B151" s="106" t="str">
        <x:v>HOLD | point 7 | DAC 5.00 | CTRL X 1.10481 | X 1.10630 | Y 1.06469 | Z 0.84543 | TOTAL 1.75338 | error 0.44 % | MAD 1.91 % | CV 1.49 % | coh 82.2 % | dominant X | axis fraction 100.0 % | IN TARGET BAND</x:v>
      </x:c>
      <x:c r="C151" t="str">
        <x:v>Pasted text(56).txt</x:v>
      </x:c>
    </x:row>
    <x:row r="152">
      <x:c r="A152" t="n">
        <x:v>151</x:v>
      </x:c>
      <x:c r="B152" s="106" t="str">
        <x:v>HOLD | point 8 | DAC 5.00 | CTRL X 1.05640 | X 1.04509 | Y 1.06246 | Z 0.76317 | TOTAL 1.67455 | error -3.96 % | MAD 2.95 % | CV 3.75 % | coh 78.8 % | dominant Y | axis fraction 98.4 % | IN TARGET BAND</x:v>
      </x:c>
      <x:c r="C152" t="str">
        <x:v>Pasted text(56).txt</x:v>
      </x:c>
    </x:row>
    <x:row r="153">
      <x:c r="A153" t="n">
        <x:v>152</x:v>
      </x:c>
      <x:c r="B153" s="106" t="str">
        <x:v>HOLD | point 9 | DAC 5.00 | CTRL X 1.08463 | X 1.08941 | Y 1.03865 | Z 0.81482 | TOTAL 1.71337 | error -1.40 % | MAD 15.73 % | CV 11.23 % | coh 80.2 % | dominant X | axis fraction 100.0 % | UNSTABLE — SEARCH CONTINUES</x:v>
      </x:c>
      <x:c r="C153" t="str">
        <x:v>Pasted text(56).txt</x:v>
      </x:c>
    </x:row>
    <x:row r="154">
      <x:c r="A154" t="n">
        <x:v>153</x:v>
      </x:c>
      <x:c r="B154" s="106" t="str">
        <x:v>HOLD | point 10 | DAC 5.00 | CTRL X 0.98645 | X 0.98143 | Y 1.03883 | Z 0.74146 | TOTAL 1.61016 | error -10.32 % | MAD 3.67 % | CV 3.29 % | coh 81.3 % | dominant Y | axis fraction 94.5 % | VALID</x:v>
      </x:c>
      <x:c r="C154" t="str">
        <x:v>Pasted text(56).txt</x:v>
      </x:c>
    </x:row>
    <x:row r="155">
      <x:c r="A155" t="n">
        <x:v>154</x:v>
      </x:c>
      <x:c r="B155" s="106" t="str"/>
      <x:c r="C155" t="str">
        <x:v>Pasted text(56).txt</x:v>
      </x:c>
    </x:row>
    <x:row r="156">
      <x:c r="A156" t="n">
        <x:v>155</x:v>
      </x:c>
      <x:c r="B156" s="106" t="str">
        <x:v>HOLD SUMMARY</x:v>
      </x:c>
      <x:c r="C156" t="str">
        <x:v>Pasted text(56).txt</x:v>
      </x:c>
    </x:row>
    <x:row r="157">
      <x:c r="A157" t="n">
        <x:v>156</x:v>
      </x:c>
      <x:c r="B157" s="106" t="str">
        <x:v>Valid / requested: 9 / 10</x:v>
      </x:c>
      <x:c r="C157" t="str">
        <x:v>Pasted text(56).txt</x:v>
      </x:c>
    </x:row>
    <x:row r="158">
      <x:c r="A158" t="n">
        <x:v>157</x:v>
      </x:c>
      <x:c r="B158" s="106" t="str">
        <x:v>In band / requested: 8 / 10 = 80.0 %</x:v>
      </x:c>
      <x:c r="C158" t="str">
        <x:v>Pasted text(56).txt</x:v>
      </x:c>
    </x:row>
    <x:row r="159">
      <x:c r="A159" t="n">
        <x:v>158</x:v>
      </x:c>
      <x:c r="B159" s="106" t="str">
        <x:v>Mean / SD / CV: 1.09640 / 0.05376 / 4.90 %</x:v>
      </x:c>
      <x:c r="C159" t="str">
        <x:v>Pasted text(56).txt</x:v>
      </x:c>
    </x:row>
    <x:row r="160">
      <x:c r="A160" t="n">
        <x:v>159</x:v>
      </x:c>
      <x:c r="B160" s="106" t="str">
        <x:v>Min / Max: 0.98645 / 1.16772</x:v>
      </x:c>
      <x:c r="C160" t="str">
        <x:v>Pasted text(56).txt</x:v>
      </x:c>
    </x:row>
    <x:row r="161">
      <x:c r="A161" t="n">
        <x:v>160</x:v>
      </x:c>
      <x:c r="B161" s="106" t="str">
        <x:v>HOLD RESULT: PASS</x:v>
      </x:c>
      <x:c r="C161" t="str">
        <x:v>Pasted text(56).txt</x:v>
      </x:c>
    </x:row>
    <x:row r="162">
      <x:c r="A162" t="n">
        <x:v>161</x:v>
      </x:c>
      <x:c r="B162" s="106" t="str"/>
      <x:c r="C162" t="str">
        <x:v>Pasted text(56).txt</x:v>
      </x:c>
    </x:row>
    <x:row r="163">
      <x:c r="A163" t="n">
        <x:v>162</x:v>
      </x:c>
      <x:c r="B163" s="106" t="str">
        <x:v>RUN RESULT: PASS</x:v>
      </x:c>
      <x:c r="C163" t="str">
        <x:v>Pasted text(56).txt</x:v>
      </x:c>
    </x:row>
    <x:row r="164">
      <x:c r="A164" t="n">
        <x:v>163</x:v>
      </x:c>
      <x:c r="B164" s="106" t="str">
        <x:v>Selected DAC: 5.00</x:v>
      </x:c>
      <x:c r="C164" t="str">
        <x:v>Pasted text(56).txt</x:v>
      </x:c>
    </x:row>
    <x:row r="165">
      <x:c r="A165" t="n">
        <x:v>164</x:v>
      </x:c>
      <x:c r="B165" s="106" t="str">
        <x:v>Validated amplitude: 1.04652 m/s^2 | error -4.86 %</x:v>
      </x:c>
      <x:c r="C165" t="str">
        <x:v>Pasted text(56).txt</x:v>
      </x:c>
    </x:row>
    <x:row r="166">
      <x:c r="A166" t="n">
        <x:v>165</x:v>
      </x:c>
      <x:c r="B166" s="106" t="str">
        <x:v>FFT frequency: 268.05998 Hz | difference 0.05998 Hz</x:v>
      </x:c>
      <x:c r="C166" t="str">
        <x:v>Pasted text(56).txt</x:v>
      </x:c>
    </x:row>
    <x:row r="167">
      <x:c r="A167" t="n">
        <x:v>166</x:v>
      </x:c>
      <x:c r="B167" s="106" t="str"/>
      <x:c r="C167" t="str">
        <x:v>Pasted text(56).txt</x:v>
      </x:c>
    </x:row>
    <x:row r="168">
      <x:c r="A168" t="n">
        <x:v>167</x:v>
      </x:c>
      <x:c r="B168" s="106" t="str">
        <x:v>VISATON OFF. RESTING 5.0 s BEFORE THE NEXT COMPLETELY FRESH RUN.</x:v>
      </x:c>
      <x:c r="C168" t="str">
        <x:v>Pasted text(56).txt</x:v>
      </x:c>
    </x:row>
    <x:row r="169">
      <x:c r="A169" t="n">
        <x:v>168</x:v>
      </x:c>
      <x:c r="B169" s="106" t="str"/>
      <x:c r="C169" t="str">
        <x:v>Pasted text(56).txt</x:v>
      </x:c>
    </x:row>
    <x:row r="170">
      <x:c r="A170" t="n">
        <x:v>169</x:v>
      </x:c>
      <x:c r="B170" s="106" t="str">
        <x:v>################################################################################</x:v>
      </x:c>
      <x:c r="C170" t="str">
        <x:v>Pasted text(56).txt</x:v>
      </x:c>
    </x:row>
    <x:row r="171">
      <x:c r="A171" t="n">
        <x:v>170</x:v>
      </x:c>
      <x:c r="B171" s="106" t="str">
        <x:v>INDEPENDENT TARGET-AMPLITUDE RUN 2 OF 5</x:v>
      </x:c>
      <x:c r="C171" t="str">
        <x:v>Pasted text(56).txt</x:v>
      </x:c>
    </x:row>
    <x:row r="172">
      <x:c r="A172" t="n">
        <x:v>171</x:v>
      </x:c>
      <x:c r="B172" s="106" t="str">
        <x:v>################################################################################</x:v>
      </x:c>
      <x:c r="C172" t="str">
        <x:v>Pasted text(56).txt</x:v>
      </x:c>
    </x:row>
    <x:row r="173">
      <x:c r="A173" t="n">
        <x:v>172</x:v>
      </x:c>
      <x:c r="B173" s="106" t="str">
        <x:v>Frequency: 268.00000 Hz</x:v>
      </x:c>
      <x:c r="C173" t="str">
        <x:v>Pasted text(56).txt</x:v>
      </x:c>
    </x:row>
    <x:row r="174">
      <x:c r="A174" t="n">
        <x:v>173</x:v>
      </x:c>
      <x:c r="B174" s="106" t="str">
        <x:v>Target X amplitude: 1.10000 m/s^2 peak, tolerance +/-7.50 %</x:v>
      </x:c>
      <x:c r="C174" t="str">
        <x:v>Pasted text(56).txt</x:v>
      </x:c>
    </x:row>
    <x:row r="175">
      <x:c r="A175" t="n">
        <x:v>174</x:v>
      </x:c>
      <x:c r="B175" s="106" t="str">
        <x:v>This run starts from DAC 1.00 and ignores every earlier selected DAC.</x:v>
      </x:c>
      <x:c r="C175" t="str">
        <x:v>Pasted text(56).txt</x:v>
      </x:c>
    </x:row>
    <x:row r="176">
      <x:c r="A176" t="n">
        <x:v>175</x:v>
      </x:c>
      <x:c r="B176" s="106" t="str">
        <x:v>ADXL2 DEVID/DATA_FORMAT/BW_RATE/POWER_CTL: 0xE5 / 0xB / 0xE / 0x8</x:v>
      </x:c>
      <x:c r="C176" t="str">
        <x:v>Pasted text(56).txt</x:v>
      </x:c>
    </x:row>
    <x:row r="177">
      <x:c r="A177" t="n">
        <x:v>176</x:v>
      </x:c>
      <x:c r="B177" s="106" t="str"/>
      <x:c r="C177" t="str">
        <x:v>Pasted text(56).txt</x:v>
      </x:c>
    </x:row>
    <x:row r="178">
      <x:c r="A178" t="n">
        <x:v>177</x:v>
      </x:c>
      <x:c r="B178" s="106" t="str">
        <x:v>ACQUISITION ATTEMPT 1 OF 2</x:v>
      </x:c>
      <x:c r="C178" t="str">
        <x:v>Pasted text(56).txt</x:v>
      </x:c>
    </x:row>
    <x:row r="179">
      <x:c r="A179" t="n">
        <x:v>178</x:v>
      </x:c>
      <x:c r="B179" s="106" t="str"/>
      <x:c r="C179" t="str">
        <x:v>Pasted text(56).txt</x:v>
      </x:c>
    </x:row>
    <x:row r="180">
      <x:c r="A180" t="n">
        <x:v>179</x:v>
      </x:c>
      <x:c r="B180" s="106" t="str">
        <x:v>FRESH X-AXIS SEARCH FROM DAC 1.00 — OLD DAC VALUES ARE NOT USED</x:v>
      </x:c>
      <x:c r="C180" t="str">
        <x:v>Pasted text(56).txt</x:v>
      </x:c>
    </x:row>
    <x:row r="181">
      <x:c r="A181" t="n">
        <x:v>180</x:v>
      </x:c>
      <x:c r="B181" s="106" t="str">
        <x:v>Y/Z are diagnostic only and cannot abort this search.</x:v>
      </x:c>
      <x:c r="C181" t="str">
        <x:v>Pasted text(56).txt</x:v>
      </x:c>
    </x:row>
    <x:row r="182">
      <x:c r="A182" t="n">
        <x:v>181</x:v>
      </x:c>
      <x:c r="B182" s="106" t="str">
        <x:v>A real SPI fault, clipping, safety limit or confirmed X-response collapse will stop it.</x:v>
      </x:c>
      <x:c r="C182" t="str">
        <x:v>Pasted text(56).txt</x:v>
      </x:c>
    </x:row>
    <x:row r="183">
      <x:c r="A183" t="n">
        <x:v>182</x:v>
      </x:c>
      <x:c r="B183" s="106" t="str">
        <x:v>SEARCH | point 1 | DAC 1.00 | CTRL X 0.05289 | X 0.05355 | Y 0.05653 | Z 0.03876 | TOTAL 0.08790 | error -95.19 % | MAD 57.00 % | CV 39.83 % | coh 7.0 % | dominant Y | axis fraction 94.7 % | BELOW MEASUREMENT FLOOR — SEARCH CONTINUES</x:v>
      </x:c>
      <x:c r="C183" t="str">
        <x:v>Pasted text(56).txt</x:v>
      </x:c>
    </x:row>
    <x:row r="184">
      <x:c r="A184" t="n">
        <x:v>183</x:v>
      </x:c>
      <x:c r="B184" s="106" t="str">
        <x:v>SEARCH | point 2 | DAC 3.00 | CTRL X 1.07487 | X 1.07589 | Y 0.48259 | Z 0.36343 | TOTAL 1.23420 | error -2.28 % | MAD 2.97 % | CV 2.15 % | coh 76.4 % | dominant X | axis fraction 100.0 % | IN TARGET BAND</x:v>
      </x:c>
      <x:c r="C184" t="str">
        <x:v>Pasted text(56).txt</x:v>
      </x:c>
    </x:row>
    <x:row r="185">
      <x:c r="A185" t="n">
        <x:v>184</x:v>
      </x:c>
      <x:c r="B185" s="106" t="str"/>
      <x:c r="C185" t="str">
        <x:v>Pasted text(56).txt</x:v>
      </x:c>
    </x:row>
    <x:row r="186">
      <x:c r="A186" t="n">
        <x:v>185</x:v>
      </x:c>
      <x:c r="B186" s="106" t="str">
        <x:v>LOCAL 0.25-DAC X-AXIS FINE SCAN</x:v>
      </x:c>
      <x:c r="C186" t="str">
        <x:v>Pasted text(56).txt</x:v>
      </x:c>
    </x:row>
    <x:row r="187">
      <x:c r="A187" t="n">
        <x:v>186</x:v>
      </x:c>
      <x:c r="B187" s="106" t="str">
        <x:v>Only a valid point actually inside the X target band may be selected.</x:v>
      </x:c>
      <x:c r="C187" t="str">
        <x:v>Pasted text(56).txt</x:v>
      </x:c>
    </x:row>
    <x:row r="188">
      <x:c r="A188" t="n">
        <x:v>187</x:v>
      </x:c>
      <x:c r="B188" s="106" t="str">
        <x:v>FINE | point 1 | DAC 2.00 | CTRL X 0.48042 | X 0.48305 | Y 0.22124 | Z 0.16242 | TOTAL 0.55667 | error -56.33 % | MAD 3.54 % | CV 3.23 % | coh 48.9 % | dominant X | axis fraction 100.0 % | UNSTABLE — SEARCH CONTINUES</x:v>
      </x:c>
      <x:c r="C188" t="str">
        <x:v>Pasted text(56).txt</x:v>
      </x:c>
    </x:row>
    <x:row r="189">
      <x:c r="A189" t="n">
        <x:v>188</x:v>
      </x:c>
      <x:c r="B189" s="106" t="str">
        <x:v>FINE | point 2 | DAC 2.25 | CTRL X 0.52080 | X 0.52792 | Y 0.27642 | Z 0.17989 | TOTAL 0.62341 | error -52.65 % | MAD 0.42 % | CV 2.58 % | coh 49.3 % | dominant X | axis fraction 100.0 % | UNSTABLE — SEARCH CONTINUES</x:v>
      </x:c>
      <x:c r="C189" t="str">
        <x:v>Pasted text(56).txt</x:v>
      </x:c>
    </x:row>
    <x:row r="190">
      <x:c r="A190" t="n">
        <x:v>189</x:v>
      </x:c>
      <x:c r="B190" s="106" t="str">
        <x:v>FINE | point 3 | DAC 2.50 | CTRL X 0.57570 | X 0.57728 | Y 0.25054 | Z 0.20200 | TOTAL 0.66174 | error -47.66 % | MAD 3.32 % | CV 2.65 % | coh 53.3 % | dominant X | axis fraction 100.0 % | VALID</x:v>
      </x:c>
      <x:c r="C190" t="str">
        <x:v>Pasted text(56).txt</x:v>
      </x:c>
    </x:row>
    <x:row r="191">
      <x:c r="A191" t="n">
        <x:v>190</x:v>
      </x:c>
      <x:c r="B191" s="106" t="str">
        <x:v>FINE | point 4 | DAC 2.75 | CTRL X 0.93712 | X 0.93550 | Y 0.42966 | Z 0.31982 | TOTAL 1.07828 | error -14.81 % | MAD 1.57 % | CV 1.33 % | coh 73.9 % | dominant X | axis fraction 100.0 % | VALID</x:v>
      </x:c>
      <x:c r="C191" t="str">
        <x:v>Pasted text(56).txt</x:v>
      </x:c>
    </x:row>
    <x:row r="192">
      <x:c r="A192" t="n">
        <x:v>191</x:v>
      </x:c>
      <x:c r="B192" s="106" t="str">
        <x:v>FINE | point 5 | DAC 3.00 | CTRL X 1.06539 | X 1.05899 | Y 0.45615 | Z 0.34215 | TOTAL 1.20294 | error -3.15 % | MAD 2.03 % | CV 2.34 % | coh 76.4 % | dominant X | axis fraction 100.0 % | IN TARGET BAND</x:v>
      </x:c>
      <x:c r="C192" t="str">
        <x:v>Pasted text(56).txt</x:v>
      </x:c>
    </x:row>
    <x:row r="193">
      <x:c r="A193" t="n">
        <x:v>192</x:v>
      </x:c>
      <x:c r="B193" s="106" t="str">
        <x:v>FINE | point 6 | DAC 3.25 | CTRL X 1.15661 | X 1.15349 | Y 0.51679 | Z 0.37222 | TOTAL 1.31803 | error 5.15 % | MAD 1.46 % | CV 1.41 % | coh 76.5 % | dominant X | axis fraction 100.0 % | IN TARGET BAND</x:v>
      </x:c>
      <x:c r="C193" t="str">
        <x:v>Pasted text(56).txt</x:v>
      </x:c>
    </x:row>
    <x:row r="194">
      <x:c r="A194" t="n">
        <x:v>193</x:v>
      </x:c>
      <x:c r="B194" s="106" t="str">
        <x:v>FINE | point 7 | DAC 3.50 | CTRL X 1.23505 | X 1.22791 | Y 0.55187 | Z 0.38697 | TOTAL 1.40092 | error 12.28 % | MAD 2.05 % | CV 2.32 % | coh 79.5 % | dominant X | axis fraction 100.0 % | VALID</x:v>
      </x:c>
      <x:c r="C194" t="str">
        <x:v>Pasted text(56).txt</x:v>
      </x:c>
    </x:row>
    <x:row r="195">
      <x:c r="A195" t="n">
        <x:v>194</x:v>
      </x:c>
      <x:c r="B195" s="106" t="str">
        <x:v>FINE | point 8 | DAC 3.75 | CTRL X 1.53792 | X 1.54835 | Y 0.65992 | Z 0.49455 | TOTAL 1.75435 | error 39.81 % | MAD 0.14 % | CV 1.25 % | coh 85.8 % | dominant X | axis fraction 100.0 % | VALID</x:v>
      </x:c>
      <x:c r="C195" t="str">
        <x:v>Pasted text(56).txt</x:v>
      </x:c>
    </x:row>
    <x:row r="196">
      <x:c r="A196" t="n">
        <x:v>195</x:v>
      </x:c>
      <x:c r="B196" s="106" t="str">
        <x:v>FINE | point 9 | DAC 4.00 | CTRL X 1.72038 | X 1.71977 | Y 0.72806 | Z 0.53030 | TOTAL 1.94148 | error 56.40 % | MAD 1.94 % | CV 1.36 % | coh 86.4 % | dominant X | axis fraction 100.0 % | VALID</x:v>
      </x:c>
      <x:c r="C196" t="str">
        <x:v>Pasted text(56).txt</x:v>
      </x:c>
    </x:row>
    <x:row r="197">
      <x:c r="A197" t="n">
        <x:v>196</x:v>
      </x:c>
      <x:c r="B197" s="106" t="str"/>
      <x:c r="C197" t="str">
        <x:v>Pasted text(56).txt</x:v>
      </x:c>
    </x:row>
    <x:row r="198">
      <x:c r="A198" t="n">
        <x:v>197</x:v>
      </x:c>
      <x:c r="B198" s="106" t="str">
        <x:v>LONG VALIDATION AT FIXED DAC 3.00</x:v>
      </x:c>
      <x:c r="C198" t="str">
        <x:v>Pasted text(56).txt</x:v>
      </x:c>
    </x:row>
    <x:row r="199">
      <x:c r="A199" t="n">
        <x:v>198</x:v>
      </x:c>
      <x:c r="B199" s="106" t="str">
        <x:v>FINAL | point 1 | DAC 3.00 | CTRL X 1.04709 | X 1.06570 | Y 0.47027 | Z 0.33487 | TOTAL 1.21291 | error -4.81 % | MAD 0.76 % | CV 2.90 % | coh 77.1 % | dominant X | axis fraction 100.0 % | IN TARGET BAND</x:v>
      </x:c>
      <x:c r="C199" t="str">
        <x:v>Pasted text(56).txt</x:v>
      </x:c>
    </x:row>
    <x:row r="200">
      <x:c r="A200" t="n">
        <x:v>199</x:v>
      </x:c>
      <x:c r="B200" s="106" t="str">
        <x:v>FINAL | point 2 | DAC 3.00 | CTRL X 1.05664 | X 1.05281 | Y 0.47482 | Z 0.34181 | TOTAL 1.20499 | error -3.94 % | MAD 0.25 % | CV 1.36 % | coh 76.3 % | dominant X | axis fraction 100.0 % | IN TARGET BAND</x:v>
      </x:c>
      <x:c r="C200" t="str">
        <x:v>Pasted text(56).txt</x:v>
      </x:c>
    </x:row>
    <x:row r="201">
      <x:c r="A201" t="n">
        <x:v>200</x:v>
      </x:c>
      <x:c r="B201" s="106" t="str">
        <x:v>VALIDATION ACCEPTED | pair drift 0.91 %</x:v>
      </x:c>
      <x:c r="C201" t="str">
        <x:v>Pasted text(56).txt</x:v>
      </x:c>
    </x:row>
    <x:row r="202">
      <x:c r="A202" t="n">
        <x:v>201</x:v>
      </x:c>
      <x:c r="B202" s="106" t="str"/>
      <x:c r="C202" t="str">
        <x:v>Pasted text(56).txt</x:v>
      </x:c>
    </x:row>
    <x:row r="203">
      <x:c r="A203" t="n">
        <x:v>202</x:v>
      </x:c>
      <x:c r="B203" s="106" t="str">
        <x:v>FINAL VALIDATED BLIND FFT VERIFICATION</x:v>
      </x:c>
      <x:c r="C203" t="str">
        <x:v>Pasted text(56).txt</x:v>
      </x:c>
    </x:row>
    <x:row r="204">
      <x:c r="A204" t="n">
        <x:v>203</x:v>
      </x:c>
      <x:c r="B204" s="106" t="str">
        <x:v>Commanded frequency: 268.00000 Hz</x:v>
      </x:c>
      <x:c r="C204" t="str">
        <x:v>Pasted text(56).txt</x:v>
      </x:c>
    </x:row>
    <x:row r="205">
      <x:c r="A205" t="n">
        <x:v>204</x:v>
      </x:c>
      <x:c r="B205" s="106" t="str">
        <x:v>Accepted DAC: 3.00</x:v>
      </x:c>
      <x:c r="C205" t="str">
        <x:v>Pasted text(56).txt</x:v>
      </x:c>
    </x:row>
    <x:row r="206">
      <x:c r="A206" t="n">
        <x:v>205</x:v>
      </x:c>
      <x:c r="B206" s="106" t="str">
        <x:v>Axis,Frequency_Hz,Amplitude_mps2,SNR_dB,Status</x:v>
      </x:c>
      <x:c r="C206" t="str">
        <x:v>Pasted text(56).txt</x:v>
      </x:c>
    </x:row>
    <x:row r="207">
      <x:c r="A207" t="n">
        <x:v>206</x:v>
      </x:c>
      <x:c r="B207" s="106" t="str">
        <x:v>X,268.01317,0.97870,25.99,VALID</x:v>
      </x:c>
      <x:c r="C207" t="str">
        <x:v>Pasted text(56).txt</x:v>
      </x:c>
    </x:row>
    <x:row r="208">
      <x:c r="A208" t="n">
        <x:v>207</x:v>
      </x:c>
      <x:c r="B208" s="106" t="str">
        <x:v>Y,481.61337,0.40220,16.62,VALID</x:v>
      </x:c>
      <x:c r="C208" t="str">
        <x:v>Pasted text(56).txt</x:v>
      </x:c>
    </x:row>
    <x:row r="209">
      <x:c r="A209" t="n">
        <x:v>208</x:v>
      </x:c>
      <x:c r="B209" s="106" t="str">
        <x:v>Z,268.02935,0.31600,23.73,VALID</x:v>
      </x:c>
      <x:c r="C209" t="str">
        <x:v>Pasted text(56).txt</x:v>
      </x:c>
    </x:row>
    <x:row r="210">
      <x:c r="A210" t="n">
        <x:v>209</x:v>
      </x:c>
      <x:c r="B210" s="106" t="str">
        <x:v>Combined frequency: 268.01105 Hz | difference 0.01105 Hz</x:v>
      </x:c>
      <x:c r="C210" t="str">
        <x:v>Pasted text(56).txt</x:v>
      </x:c>
    </x:row>
    <x:row r="211">
      <x:c r="A211" t="n">
        <x:v>210</x:v>
      </x:c>
      <x:c r="B211" s="106" t="str">
        <x:v>Combined X/Y/Z/TOTAL: 0.89141 / 0.38084 / 0.28964 / 1.01170</x:v>
      </x:c>
      <x:c r="C211" t="str">
        <x:v>Pasted text(56).txt</x:v>
      </x:c>
    </x:row>
    <x:row r="212">
      <x:c r="A212" t="n">
        <x:v>211</x:v>
      </x:c>
      <x:c r="B212" s="106" t="str">
        <x:v>SNR: 22.60 dB | dominant axis X</x:v>
      </x:c>
      <x:c r="C212" t="str">
        <x:v>Pasted text(56).txt</x:v>
      </x:c>
    </x:row>
    <x:row r="213">
      <x:c r="A213" t="n">
        <x:v>212</x:v>
      </x:c>
      <x:c r="B213" s="106" t="str">
        <x:v>Frequency verification: PASS</x:v>
      </x:c>
      <x:c r="C213" t="str">
        <x:v>Pasted text(56).txt</x:v>
      </x:c>
    </x:row>
    <x:row r="214">
      <x:c r="A214" t="n">
        <x:v>213</x:v>
      </x:c>
      <x:c r="B214" s="106" t="str">
        <x:v>Y/Z dominance: DIAGNOSTIC ONLY — ignored for pass/fail</x:v>
      </x:c>
      <x:c r="C214" t="str">
        <x:v>Pasted text(56).txt</x:v>
      </x:c>
    </x:row>
    <x:row r="215">
      <x:c r="A215" t="n">
        <x:v>214</x:v>
      </x:c>
      <x:c r="B215" s="106" t="str"/>
      <x:c r="C215" t="str">
        <x:v>Pasted text(56).txt</x:v>
      </x:c>
    </x:row>
    <x:row r="216">
      <x:c r="A216" t="n">
        <x:v>215</x:v>
      </x:c>
      <x:c r="B216" s="106" t="str">
        <x:v>FIXED-DAC HOLD VALIDATION</x:v>
      </x:c>
      <x:c r="C216" t="str">
        <x:v>Pasted text(56).txt</x:v>
      </x:c>
    </x:row>
    <x:row r="217">
      <x:c r="A217" t="n">
        <x:v>216</x:v>
      </x:c>
      <x:c r="B217" s="106" t="str">
        <x:v>DAC remains fixed at 3.00 for 10 records.</x:v>
      </x:c>
      <x:c r="C217" t="str">
        <x:v>Pasted text(56).txt</x:v>
      </x:c>
    </x:row>
    <x:row r="218">
      <x:c r="A218" t="n">
        <x:v>217</x:v>
      </x:c>
      <x:c r="B218" s="106" t="str">
        <x:v>HOLD | point 1 | DAC 3.00 | CTRL X 1.11788 | X 1.10579 | Y 0.49470 | Z 0.34603 | TOTAL 1.26054 | error 1.63 % | MAD 2.23 % | CV 3.30 % | coh 79.1 % | dominant X | axis fraction 100.0 % | IN TARGET BAND</x:v>
      </x:c>
      <x:c r="C218" t="str">
        <x:v>Pasted text(56).txt</x:v>
      </x:c>
    </x:row>
    <x:row r="219">
      <x:c r="A219" t="n">
        <x:v>218</x:v>
      </x:c>
      <x:c r="B219" s="106" t="str">
        <x:v>HOLD | point 2 | DAC 3.00 | CTRL X 1.10043 | X 1.08490 | Y 0.47572 | Z 0.36339 | TOTAL 1.23954 | error 0.04 % | MAD 0.36 % | CV 2.70 % | coh 78.1 % | dominant X | axis fraction 100.0 % | IN TARGET BAND</x:v>
      </x:c>
      <x:c r="C219" t="str">
        <x:v>Pasted text(56).txt</x:v>
      </x:c>
    </x:row>
    <x:row r="220">
      <x:c r="A220" t="n">
        <x:v>219</x:v>
      </x:c>
      <x:c r="B220" s="106" t="str">
        <x:v>HOLD | point 3 | DAC 3.00 | CTRL X 1.08953 | X 1.08601 | Y 0.47030 | Z 0.34889 | TOTAL 1.23447 | error -0.95 % | MAD 0.50 % | CV 0.87 % | coh 77.2 % | dominant X | axis fraction 100.0 % | IN TARGET BAND</x:v>
      </x:c>
      <x:c r="C220" t="str">
        <x:v>Pasted text(56).txt</x:v>
      </x:c>
    </x:row>
    <x:row r="221">
      <x:c r="A221" t="n">
        <x:v>220</x:v>
      </x:c>
      <x:c r="B221" s="106" t="str">
        <x:v>HOLD | point 4 | DAC 3.00 | CTRL X 1.07939 | X 1.07950 | Y 0.46350 | Z 0.35450 | TOTAL 1.22762 | error -1.87 % | MAD 5.59 % | CV 3.79 % | coh 76.8 % | dominant X | axis fraction 100.0 % | IN TARGET BAND</x:v>
      </x:c>
      <x:c r="C221" t="str">
        <x:v>Pasted text(56).txt</x:v>
      </x:c>
    </x:row>
    <x:row r="222">
      <x:c r="A222" t="n">
        <x:v>221</x:v>
      </x:c>
      <x:c r="B222" s="106" t="str">
        <x:v>HOLD | point 5 | DAC 3.00 | CTRL X 1.07252 | X 1.07073 | Y 0.46811 | Z 0.36353 | TOTAL 1.22397 | error -2.50 % | MAD 0.07 % | CV 0.33 % | coh 75.9 % | dominant X | axis fraction 100.0 % | IN TARGET BAND</x:v>
      </x:c>
      <x:c r="C222" t="str">
        <x:v>Pasted text(56).txt</x:v>
      </x:c>
    </x:row>
    <x:row r="223">
      <x:c r="A223" t="n">
        <x:v>222</x:v>
      </x:c>
      <x:c r="B223" s="106" t="str">
        <x:v>HOLD | point 6 | DAC 3.00 | CTRL X 1.07694 | X 1.07935 | Y 0.46780 | Z 0.33955 | TOTAL 1.22489 | error -2.10 % | MAD 2.55 % | CV 2.06 % | coh 75.8 % | dominant X | axis fraction 100.0 % | IN TARGET BAND</x:v>
      </x:c>
      <x:c r="C223" t="str">
        <x:v>Pasted text(56).txt</x:v>
      </x:c>
    </x:row>
    <x:row r="224">
      <x:c r="A224" t="n">
        <x:v>223</x:v>
      </x:c>
      <x:c r="B224" s="106" t="str">
        <x:v>HOLD | point 7 | DAC 3.00 | CTRL X 1.09181 | X 1.08504 | Y 0.46303 | Z 0.35762 | TOTAL 1.23329 | error -0.74 % | MAD 0.68 % | CV 1.50 % | coh 76.8 % | dominant X | axis fraction 100.0 % | IN TARGET BAND</x:v>
      </x:c>
      <x:c r="C224" t="str">
        <x:v>Pasted text(56).txt</x:v>
      </x:c>
    </x:row>
    <x:row r="225">
      <x:c r="A225" t="n">
        <x:v>224</x:v>
      </x:c>
      <x:c r="B225" s="106" t="str">
        <x:v>HOLD | point 8 | DAC 3.00 | CTRL X 1.10892 | X 1.10875 | Y 0.45921 | Z 0.35806 | TOTAL 1.25256 | error 0.81 % | MAD 2.54 % | CV 1.74 % | coh 77.8 % | dominant X | axis fraction 100.0 % | IN TARGET BAND</x:v>
      </x:c>
      <x:c r="C225" t="str">
        <x:v>Pasted text(56).txt</x:v>
      </x:c>
    </x:row>
    <x:row r="226">
      <x:c r="A226" t="n">
        <x:v>225</x:v>
      </x:c>
      <x:c r="B226" s="106" t="str">
        <x:v>HOLD | point 9 | DAC 3.00 | CTRL X 1.08574 | X 1.08644 | Y 0.45460 | Z 0.35901 | TOTAL 1.23146 | error -1.30 % | MAD 3.02 % | CV 2.13 % | coh 76.7 % | dominant X | axis fraction 100.0 % | IN TARGET BAND</x:v>
      </x:c>
      <x:c r="C226" t="str">
        <x:v>Pasted text(56).txt</x:v>
      </x:c>
    </x:row>
    <x:row r="227">
      <x:c r="A227" t="n">
        <x:v>226</x:v>
      </x:c>
      <x:c r="B227" s="106" t="str">
        <x:v>HOLD | point 10 | DAC 3.00 | CTRL X 1.06523 | X 1.07778 | Y 0.45885 | Z 0.37662 | TOTAL 1.23091 | error -3.16 % | MAD 0.67 % | CV 2.41 % | coh 76.2 % | dominant X | axis fraction 100.0 % | IN TARGET BAND</x:v>
      </x:c>
      <x:c r="C227" t="str">
        <x:v>Pasted text(56).txt</x:v>
      </x:c>
    </x:row>
    <x:row r="228">
      <x:c r="A228" t="n">
        <x:v>227</x:v>
      </x:c>
      <x:c r="B228" s="106" t="str"/>
      <x:c r="C228" t="str">
        <x:v>Pasted text(56).txt</x:v>
      </x:c>
    </x:row>
    <x:row r="229">
      <x:c r="A229" t="n">
        <x:v>228</x:v>
      </x:c>
      <x:c r="B229" s="106" t="str">
        <x:v>HOLD SUMMARY</x:v>
      </x:c>
      <x:c r="C229" t="str">
        <x:v>Pasted text(56).txt</x:v>
      </x:c>
    </x:row>
    <x:row r="230">
      <x:c r="A230" t="n">
        <x:v>229</x:v>
      </x:c>
      <x:c r="B230" s="106" t="str">
        <x:v>Valid / requested: 10 / 10</x:v>
      </x:c>
      <x:c r="C230" t="str">
        <x:v>Pasted text(56).txt</x:v>
      </x:c>
    </x:row>
    <x:row r="231">
      <x:c r="A231" t="n">
        <x:v>230</x:v>
      </x:c>
      <x:c r="B231" s="106" t="str">
        <x:v>In band / requested: 10 / 10 = 100.0 %</x:v>
      </x:c>
      <x:c r="C231" t="str">
        <x:v>Pasted text(56).txt</x:v>
      </x:c>
    </x:row>
    <x:row r="232">
      <x:c r="A232" t="n">
        <x:v>231</x:v>
      </x:c>
      <x:c r="B232" s="106" t="str">
        <x:v>Mean / SD / CV: 1.08884 / 0.01651 / 1.52 %</x:v>
      </x:c>
      <x:c r="C232" t="str">
        <x:v>Pasted text(56).txt</x:v>
      </x:c>
    </x:row>
    <x:row r="233">
      <x:c r="A233" t="n">
        <x:v>232</x:v>
      </x:c>
      <x:c r="B233" s="106" t="str">
        <x:v>Min / Max: 1.06523 / 1.11788</x:v>
      </x:c>
      <x:c r="C233" t="str">
        <x:v>Pasted text(56).txt</x:v>
      </x:c>
    </x:row>
    <x:row r="234">
      <x:c r="A234" t="n">
        <x:v>233</x:v>
      </x:c>
      <x:c r="B234" s="106" t="str">
        <x:v>HOLD RESULT: PASS</x:v>
      </x:c>
      <x:c r="C234" t="str">
        <x:v>Pasted text(56).txt</x:v>
      </x:c>
    </x:row>
    <x:row r="235">
      <x:c r="A235" t="n">
        <x:v>234</x:v>
      </x:c>
      <x:c r="B235" s="106" t="str"/>
      <x:c r="C235" t="str">
        <x:v>Pasted text(56).txt</x:v>
      </x:c>
    </x:row>
    <x:row r="236">
      <x:c r="A236" t="n">
        <x:v>235</x:v>
      </x:c>
      <x:c r="B236" s="106" t="str">
        <x:v>RUN RESULT: PASS</x:v>
      </x:c>
      <x:c r="C236" t="str">
        <x:v>Pasted text(56).txt</x:v>
      </x:c>
    </x:row>
    <x:row r="237">
      <x:c r="A237" t="n">
        <x:v>236</x:v>
      </x:c>
      <x:c r="B237" s="106" t="str">
        <x:v>Selected DAC: 3.00</x:v>
      </x:c>
      <x:c r="C237" t="str">
        <x:v>Pasted text(56).txt</x:v>
      </x:c>
    </x:row>
    <x:row r="238">
      <x:c r="A238" t="n">
        <x:v>237</x:v>
      </x:c>
      <x:c r="B238" s="106" t="str">
        <x:v>Validated amplitude: 1.05187 m/s^2 | error -4.38 %</x:v>
      </x:c>
      <x:c r="C238" t="str">
        <x:v>Pasted text(56).txt</x:v>
      </x:c>
    </x:row>
    <x:row r="239">
      <x:c r="A239" t="n">
        <x:v>238</x:v>
      </x:c>
      <x:c r="B239" s="106" t="str">
        <x:v>FFT frequency: 268.01105 Hz | difference 0.01105 Hz</x:v>
      </x:c>
      <x:c r="C239" t="str">
        <x:v>Pasted text(56).txt</x:v>
      </x:c>
    </x:row>
    <x:row r="240">
      <x:c r="A240" t="n">
        <x:v>239</x:v>
      </x:c>
      <x:c r="B240" s="106" t="str"/>
      <x:c r="C240" t="str">
        <x:v>Pasted text(56).txt</x:v>
      </x:c>
    </x:row>
    <x:row r="241">
      <x:c r="A241" t="n">
        <x:v>240</x:v>
      </x:c>
      <x:c r="B241" s="106" t="str">
        <x:v>VISATON OFF. RESTING 5.0 s BEFORE THE NEXT COMPLETELY FRESH RUN.</x:v>
      </x:c>
      <x:c r="C241" t="str">
        <x:v>Pasted text(56).txt</x:v>
      </x:c>
    </x:row>
    <x:row r="242">
      <x:c r="A242" t="n">
        <x:v>241</x:v>
      </x:c>
      <x:c r="B242" s="106" t="str"/>
      <x:c r="C242" t="str">
        <x:v>Pasted text(56).txt</x:v>
      </x:c>
    </x:row>
    <x:row r="243">
      <x:c r="A243" t="n">
        <x:v>242</x:v>
      </x:c>
      <x:c r="B243" s="106" t="str">
        <x:v>################################################################################</x:v>
      </x:c>
      <x:c r="C243" t="str">
        <x:v>Pasted text(56).txt</x:v>
      </x:c>
    </x:row>
    <x:row r="244">
      <x:c r="A244" t="n">
        <x:v>243</x:v>
      </x:c>
      <x:c r="B244" s="106" t="str">
        <x:v>INDEPENDENT TARGET-AMPLITUDE RUN 3 OF 5</x:v>
      </x:c>
      <x:c r="C244" t="str">
        <x:v>Pasted text(56).txt</x:v>
      </x:c>
    </x:row>
    <x:row r="245">
      <x:c r="A245" t="n">
        <x:v>244</x:v>
      </x:c>
      <x:c r="B245" s="106" t="str">
        <x:v>################################################################################</x:v>
      </x:c>
      <x:c r="C245" t="str">
        <x:v>Pasted text(56).txt</x:v>
      </x:c>
    </x:row>
    <x:row r="246">
      <x:c r="A246" t="n">
        <x:v>245</x:v>
      </x:c>
      <x:c r="B246" s="106" t="str">
        <x:v>Frequency: 268.00000 Hz</x:v>
      </x:c>
      <x:c r="C246" t="str">
        <x:v>Pasted text(56).txt</x:v>
      </x:c>
    </x:row>
    <x:row r="247">
      <x:c r="A247" t="n">
        <x:v>246</x:v>
      </x:c>
      <x:c r="B247" s="106" t="str">
        <x:v>Target X amplitude: 1.10000 m/s^2 peak, tolerance +/-7.50 %</x:v>
      </x:c>
      <x:c r="C247" t="str">
        <x:v>Pasted text(56).txt</x:v>
      </x:c>
    </x:row>
    <x:row r="248">
      <x:c r="A248" t="n">
        <x:v>247</x:v>
      </x:c>
      <x:c r="B248" s="106" t="str">
        <x:v>This run starts from DAC 1.00 and ignores every earlier selected DAC.</x:v>
      </x:c>
      <x:c r="C248" t="str">
        <x:v>Pasted text(56).txt</x:v>
      </x:c>
    </x:row>
    <x:row r="249">
      <x:c r="A249" t="n">
        <x:v>248</x:v>
      </x:c>
      <x:c r="B249" s="106" t="str">
        <x:v>ADXL2 DEVID/DATA_FORMAT/BW_RATE/POWER_CTL: 0xE5 / 0xB / 0xE / 0x8</x:v>
      </x:c>
      <x:c r="C249" t="str">
        <x:v>Pasted text(56).txt</x:v>
      </x:c>
    </x:row>
    <x:row r="250">
      <x:c r="A250" t="n">
        <x:v>249</x:v>
      </x:c>
      <x:c r="B250" s="106" t="str"/>
      <x:c r="C250" t="str">
        <x:v>Pasted text(56).txt</x:v>
      </x:c>
    </x:row>
    <x:row r="251">
      <x:c r="A251" t="n">
        <x:v>250</x:v>
      </x:c>
      <x:c r="B251" s="106" t="str">
        <x:v>ACQUISITION ATTEMPT 1 OF 2</x:v>
      </x:c>
      <x:c r="C251" t="str">
        <x:v>Pasted text(56).txt</x:v>
      </x:c>
    </x:row>
    <x:row r="252">
      <x:c r="A252" t="n">
        <x:v>251</x:v>
      </x:c>
      <x:c r="B252" s="106" t="str"/>
      <x:c r="C252" t="str">
        <x:v>Pasted text(56).txt</x:v>
      </x:c>
    </x:row>
    <x:row r="253">
      <x:c r="A253" t="n">
        <x:v>252</x:v>
      </x:c>
      <x:c r="B253" s="106" t="str">
        <x:v>FRESH X-AXIS SEARCH FROM DAC 1.00 — OLD DAC VALUES ARE NOT USED</x:v>
      </x:c>
      <x:c r="C253" t="str">
        <x:v>Pasted text(56).txt</x:v>
      </x:c>
    </x:row>
    <x:row r="254">
      <x:c r="A254" t="n">
        <x:v>253</x:v>
      </x:c>
      <x:c r="B254" s="106" t="str">
        <x:v>Y/Z are diagnostic only and cannot abort this search.</x:v>
      </x:c>
      <x:c r="C254" t="str">
        <x:v>Pasted text(56).txt</x:v>
      </x:c>
    </x:row>
    <x:row r="255">
      <x:c r="A255" t="n">
        <x:v>254</x:v>
      </x:c>
      <x:c r="B255" s="106" t="str">
        <x:v>A real SPI fault, clipping, safety limit or confirmed X-response collapse will stop it.</x:v>
      </x:c>
      <x:c r="C255" t="str">
        <x:v>Pasted text(56).txt</x:v>
      </x:c>
    </x:row>
    <x:row r="256">
      <x:c r="A256" t="n">
        <x:v>255</x:v>
      </x:c>
      <x:c r="B256" s="106" t="str">
        <x:v>SEARCH | point 1 | DAC 1.00 | CTRL X 0.03969 | X 0.03607 | Y 0.01810 | Z 0.03193 | TOTAL 0.05322 | error -96.39 % | MAD 27.02 % | CV 14.18 % | coh 4.8 % | dominant X | axis fraction 100.0 % | BELOW MEASUREMENT FLOOR — SEARCH CONTINUES</x:v>
      </x:c>
      <x:c r="C256" t="str">
        <x:v>Pasted text(56).txt</x:v>
      </x:c>
    </x:row>
    <x:row r="257">
      <x:c r="A257" t="n">
        <x:v>256</x:v>
      </x:c>
      <x:c r="B257" s="106" t="str">
        <x:v>SEARCH | point 2 | DAC 3.00 | CTRL X 1.07313 | X 1.07223 | Y 0.47444 | Z 0.36341 | TOTAL 1.22794 | error -2.44 % | MAD 0.43 % | CV 0.42 % | coh 76.5 % | dominant X | axis fraction 100.0 % | IN TARGET BAND</x:v>
      </x:c>
      <x:c r="C257" t="str">
        <x:v>Pasted text(56).txt</x:v>
      </x:c>
    </x:row>
    <x:row r="258">
      <x:c r="A258" t="n">
        <x:v>257</x:v>
      </x:c>
      <x:c r="B258" s="106" t="str"/>
      <x:c r="C258" t="str">
        <x:v>Pasted text(56).txt</x:v>
      </x:c>
    </x:row>
    <x:row r="259">
      <x:c r="A259" t="n">
        <x:v>258</x:v>
      </x:c>
      <x:c r="B259" s="106" t="str">
        <x:v>LOCAL 0.25-DAC X-AXIS FINE SCAN</x:v>
      </x:c>
      <x:c r="C259" t="str">
        <x:v>Pasted text(56).txt</x:v>
      </x:c>
    </x:row>
    <x:row r="260">
      <x:c r="A260" t="n">
        <x:v>259</x:v>
      </x:c>
      <x:c r="B260" s="106" t="str">
        <x:v>Only a valid point actually inside the X target band may be selected.</x:v>
      </x:c>
      <x:c r="C260" t="str">
        <x:v>Pasted text(56).txt</x:v>
      </x:c>
    </x:row>
    <x:row r="261">
      <x:c r="A261" t="n">
        <x:v>260</x:v>
      </x:c>
      <x:c r="B261" s="106" t="str">
        <x:v>FINE | point 1 | DAC 2.00 | CTRL X 0.48555 | X 0.48082 | Y 0.22646 | Z 0.16471 | TOTAL 0.55875 | error -55.86 % | MAD 0.49 % | CV 1.99 % | coh 49.6 % | dominant X | axis fraction 100.0 % | UNSTABLE — SEARCH CONTINUES</x:v>
      </x:c>
      <x:c r="C261" t="str">
        <x:v>Pasted text(56).txt</x:v>
      </x:c>
    </x:row>
    <x:row r="262">
      <x:c r="A262" t="n">
        <x:v>261</x:v>
      </x:c>
      <x:c r="B262" s="106" t="str">
        <x:v>FINE | point 2 | DAC 2.25 | CTRL X 0.52268 | X 0.53436 | Y 0.24115 | Z 0.18134 | TOTAL 0.61379 | error -52.48 % | MAD 3.08 % | CV 5.64 % | coh 50.7 % | dominant X | axis fraction 100.0 % | UNSTABLE — SEARCH CONTINUES</x:v>
      </x:c>
      <x:c r="C262" t="str">
        <x:v>Pasted text(56).txt</x:v>
      </x:c>
    </x:row>
    <x:row r="263">
      <x:c r="A263" t="n">
        <x:v>262</x:v>
      </x:c>
      <x:c r="B263" s="106" t="str">
        <x:v>FINE | point 3 | DAC 2.50 | CTRL X 0.57759 | X 0.57680 | Y 0.24809 | Z 0.23163 | TOTAL 0.66997 | error -47.49 % | MAD 4.45 % | CV 3.21 % | coh 53.1 % | dominant X | axis fraction 100.0 % | VALID</x:v>
      </x:c>
      <x:c r="C263" t="str">
        <x:v>Pasted text(56).txt</x:v>
      </x:c>
    </x:row>
    <x:row r="264">
      <x:c r="A264" t="n">
        <x:v>263</x:v>
      </x:c>
      <x:c r="B264" s="106" t="str">
        <x:v>FINE | point 4 | DAC 2.75 | CTRL X 0.96725 | X 0.95671 | Y 0.39342 | Z 0.32753 | TOTAL 1.08517 | error -12.07 % | MAD 0.11 % | CV 1.97 % | coh 74.2 % | dominant X | axis fraction 100.0 % | VALID</x:v>
      </x:c>
      <x:c r="C264" t="str">
        <x:v>Pasted text(56).txt</x:v>
      </x:c>
    </x:row>
    <x:row r="265">
      <x:c r="A265" t="n">
        <x:v>264</x:v>
      </x:c>
      <x:c r="B265" s="106" t="str">
        <x:v>FINE | point 5 | DAC 3.00 | CTRL X 1.08133 | X 1.08201 | Y 0.45298 | Z 0.37281 | TOTAL 1.23102 | error -1.70 % | MAD 0.64 % | CV 0.53 % | coh 77.1 % | dominant X | axis fraction 100.0 % | IN TARGET BAND</x:v>
      </x:c>
      <x:c r="C265" t="str">
        <x:v>Pasted text(56).txt</x:v>
      </x:c>
    </x:row>
    <x:row r="266">
      <x:c r="A266" t="n">
        <x:v>265</x:v>
      </x:c>
      <x:c r="B266" s="106" t="str">
        <x:v>FINE | point 6 | DAC 3.25 | CTRL X 1.16570 | X 1.16950 | Y 0.45341 | Z 0.37214 | TOTAL 1.30842 | error 5.97 % | MAD 3.45 % | CV 2.82 % | coh 78.0 % | dominant X | axis fraction 100.0 % | IN TARGET BAND</x:v>
      </x:c>
      <x:c r="C266" t="str">
        <x:v>Pasted text(56).txt</x:v>
      </x:c>
    </x:row>
    <x:row r="267">
      <x:c r="A267" t="n">
        <x:v>266</x:v>
      </x:c>
      <x:c r="B267" s="106" t="str">
        <x:v>FINE | point 7 | DAC 3.50 | CTRL X 1.26478 | X 1.25557 | Y 0.49520 | Z 0.40641 | TOTAL 1.40987 | error 14.98 % | MAD 3.23 % | CV 3.36 % | coh 81.4 % | dominant X | axis fraction 100.0 % | VALID</x:v>
      </x:c>
      <x:c r="C267" t="str">
        <x:v>Pasted text(56).txt</x:v>
      </x:c>
    </x:row>
    <x:row r="268">
      <x:c r="A268" t="n">
        <x:v>267</x:v>
      </x:c>
      <x:c r="B268" s="106" t="str">
        <x:v>FINE | point 8 | DAC 3.75 | CTRL X 1.57745 | X 1.57525 | Y 0.69558 | Z 0.49456 | TOTAL 1.79171 | error 43.40 % | MAD 0.16 % | CV 0.34 % | coh 85.6 % | dominant X | axis fraction 100.0 % | VALID</x:v>
      </x:c>
      <x:c r="C268" t="str">
        <x:v>Pasted text(56).txt</x:v>
      </x:c>
    </x:row>
    <x:row r="269">
      <x:c r="A269" t="n">
        <x:v>268</x:v>
      </x:c>
      <x:c r="B269" s="106" t="str">
        <x:v>FINE | point 9 | DAC 4.00 | CTRL X 1.69862 | X 1.71436 | Y 0.69340 | Z 0.52796 | TOTAL 1.92339 | error 54.42 % | MAD 0.65 % | CV 1.98 % | coh 87.1 % | dominant X | axis fraction 100.0 % | VALID</x:v>
      </x:c>
      <x:c r="C269" t="str">
        <x:v>Pasted text(56).txt</x:v>
      </x:c>
    </x:row>
    <x:row r="270">
      <x:c r="A270" t="n">
        <x:v>269</x:v>
      </x:c>
      <x:c r="B270" s="106" t="str"/>
      <x:c r="C270" t="str">
        <x:v>Pasted text(56).txt</x:v>
      </x:c>
    </x:row>
    <x:row r="271">
      <x:c r="A271" t="n">
        <x:v>270</x:v>
      </x:c>
      <x:c r="B271" s="106" t="str">
        <x:v>LONG VALIDATION AT FIXED DAC 3.00</x:v>
      </x:c>
      <x:c r="C271" t="str">
        <x:v>Pasted text(56).txt</x:v>
      </x:c>
    </x:row>
    <x:row r="272">
      <x:c r="A272" t="n">
        <x:v>271</x:v>
      </x:c>
      <x:c r="B272" s="106" t="str">
        <x:v>FINAL | point 1 | DAC 3.00 | CTRL X 1.09037 | X 1.08487 | Y 0.42569 | Z 0.34279 | TOTAL 1.21515 | error -0.88 % | MAD 3.56 % | CV 2.44 % | coh 78.6 % | dominant X | axis fraction 100.0 % | IN TARGET BAND</x:v>
      </x:c>
      <x:c r="C272" t="str">
        <x:v>Pasted text(56).txt</x:v>
      </x:c>
    </x:row>
    <x:row r="273">
      <x:c r="A273" t="n">
        <x:v>272</x:v>
      </x:c>
      <x:c r="B273" s="106" t="str">
        <x:v>FINAL | point 2 | DAC 3.00 | CTRL X 1.07323 | X 1.06560 | Y 0.44521 | Z 0.34736 | TOTAL 1.20685 | error -2.43 % | MAD 0.74 % | CV 1.35 % | coh 77.3 % | dominant X | axis fraction 100.0 % | IN TARGET BAND</x:v>
      </x:c>
      <x:c r="C273" t="str">
        <x:v>Pasted text(56).txt</x:v>
      </x:c>
    </x:row>
    <x:row r="274">
      <x:c r="A274" t="n">
        <x:v>273</x:v>
      </x:c>
      <x:c r="B274" s="106" t="str">
        <x:v>VALIDATION ACCEPTED | pair drift 1.58 %</x:v>
      </x:c>
      <x:c r="C274" t="str">
        <x:v>Pasted text(56).txt</x:v>
      </x:c>
    </x:row>
    <x:row r="275">
      <x:c r="A275" t="n">
        <x:v>274</x:v>
      </x:c>
      <x:c r="B275" s="106" t="str"/>
      <x:c r="C275" t="str">
        <x:v>Pasted text(56).txt</x:v>
      </x:c>
    </x:row>
    <x:row r="276">
      <x:c r="A276" t="n">
        <x:v>275</x:v>
      </x:c>
      <x:c r="B276" s="106" t="str">
        <x:v>FINAL VALIDATED BLIND FFT VERIFICATION</x:v>
      </x:c>
      <x:c r="C276" t="str">
        <x:v>Pasted text(56).txt</x:v>
      </x:c>
    </x:row>
    <x:row r="277">
      <x:c r="A277" t="n">
        <x:v>276</x:v>
      </x:c>
      <x:c r="B277" s="106" t="str">
        <x:v>Commanded frequency: 268.00000 Hz</x:v>
      </x:c>
      <x:c r="C277" t="str">
        <x:v>Pasted text(56).txt</x:v>
      </x:c>
    </x:row>
    <x:row r="278">
      <x:c r="A278" t="n">
        <x:v>277</x:v>
      </x:c>
      <x:c r="B278" s="106" t="str">
        <x:v>Accepted DAC: 3.00</x:v>
      </x:c>
      <x:c r="C278" t="str">
        <x:v>Pasted text(56).txt</x:v>
      </x:c>
    </x:row>
    <x:row r="279">
      <x:c r="A279" t="n">
        <x:v>278</x:v>
      </x:c>
      <x:c r="B279" s="106" t="str">
        <x:v>Axis,Frequency_Hz,Amplitude_mps2,SNR_dB,Status</x:v>
      </x:c>
      <x:c r="C279" t="str">
        <x:v>Pasted text(56).txt</x:v>
      </x:c>
    </x:row>
    <x:row r="280">
      <x:c r="A280" t="n">
        <x:v>279</x:v>
      </x:c>
      <x:c r="B280" s="106" t="str">
        <x:v>X,268.02732,0.98726,26.43,VALID</x:v>
      </x:c>
      <x:c r="C280" t="str">
        <x:v>Pasted text(56).txt</x:v>
      </x:c>
    </x:row>
    <x:row r="281">
      <x:c r="A281" t="n">
        <x:v>280</x:v>
      </x:c>
      <x:c r="B281" s="106" t="str">
        <x:v>Y,482.57260,0.40848,17.13,VALID</x:v>
      </x:c>
      <x:c r="C281" t="str">
        <x:v>Pasted text(56).txt</x:v>
      </x:c>
    </x:row>
    <x:row r="282">
      <x:c r="A282" t="n">
        <x:v>281</x:v>
      </x:c>
      <x:c r="B282" s="106" t="str">
        <x:v>Z,268.06523,0.32419,24.14,VALID</x:v>
      </x:c>
      <x:c r="C282" t="str">
        <x:v>Pasted text(56).txt</x:v>
      </x:c>
    </x:row>
    <x:row r="283">
      <x:c r="A283" t="n">
        <x:v>282</x:v>
      </x:c>
      <x:c r="B283" s="106" t="str">
        <x:v>Combined frequency: 268.03435 Hz | difference 0.03435 Hz</x:v>
      </x:c>
      <x:c r="C283" t="str">
        <x:v>Pasted text(56).txt</x:v>
      </x:c>
    </x:row>
    <x:row r="284">
      <x:c r="A284" t="n">
        <x:v>283</x:v>
      </x:c>
      <x:c r="B284" s="106" t="str">
        <x:v>Combined X/Y/Z/TOTAL: 0.90140 / 0.38433 / 0.29811 / 1.02425</x:v>
      </x:c>
      <x:c r="C284" t="str">
        <x:v>Pasted text(56).txt</x:v>
      </x:c>
    </x:row>
    <x:row r="285">
      <x:c r="A285" t="n">
        <x:v>284</x:v>
      </x:c>
      <x:c r="B285" s="106" t="str">
        <x:v>SNR: 23.03 dB | dominant axis X</x:v>
      </x:c>
      <x:c r="C285" t="str">
        <x:v>Pasted text(56).txt</x:v>
      </x:c>
    </x:row>
    <x:row r="286">
      <x:c r="A286" t="n">
        <x:v>285</x:v>
      </x:c>
      <x:c r="B286" s="106" t="str">
        <x:v>Frequency verification: PASS</x:v>
      </x:c>
      <x:c r="C286" t="str">
        <x:v>Pasted text(56).txt</x:v>
      </x:c>
    </x:row>
    <x:row r="287">
      <x:c r="A287" t="n">
        <x:v>286</x:v>
      </x:c>
      <x:c r="B287" s="106" t="str">
        <x:v>Y/Z dominance: DIAGNOSTIC ONLY — ignored for pass/fail</x:v>
      </x:c>
      <x:c r="C287" t="str">
        <x:v>Pasted text(56).txt</x:v>
      </x:c>
    </x:row>
    <x:row r="288">
      <x:c r="A288" t="n">
        <x:v>287</x:v>
      </x:c>
      <x:c r="B288" s="106" t="str"/>
      <x:c r="C288" t="str">
        <x:v>Pasted text(56).txt</x:v>
      </x:c>
    </x:row>
    <x:row r="289">
      <x:c r="A289" t="n">
        <x:v>288</x:v>
      </x:c>
      <x:c r="B289" s="106" t="str">
        <x:v>FIXED-DAC HOLD VALIDATION</x:v>
      </x:c>
      <x:c r="C289" t="str">
        <x:v>Pasted text(56).txt</x:v>
      </x:c>
    </x:row>
    <x:row r="290">
      <x:c r="A290" t="n">
        <x:v>289</x:v>
      </x:c>
      <x:c r="B290" s="106" t="str">
        <x:v>DAC remains fixed at 3.00 for 10 records.</x:v>
      </x:c>
      <x:c r="C290" t="str">
        <x:v>Pasted text(56).txt</x:v>
      </x:c>
    </x:row>
    <x:row r="291">
      <x:c r="A291" t="n">
        <x:v>290</x:v>
      </x:c>
      <x:c r="B291" s="106" t="str">
        <x:v>HOLD | point 1 | DAC 3.00 | CTRL X 1.06746 | X 1.06957 | Y 0.44889 | Z 0.35941 | TOTAL 1.21474 | error -2.96 % | MAD 1.90 % | CV 1.58 % | coh 78.6 % | dominant X | axis fraction 100.0 % | IN TARGET BAND</x:v>
      </x:c>
      <x:c r="C291" t="str">
        <x:v>Pasted text(56).txt</x:v>
      </x:c>
    </x:row>
    <x:row r="292">
      <x:c r="A292" t="n">
        <x:v>291</x:v>
      </x:c>
      <x:c r="B292" s="106" t="str">
        <x:v>HOLD | point 2 | DAC 3.00 | CTRL X 1.08081 | X 1.07589 | Y 0.48559 | Z 0.33761 | TOTAL 1.22813 | error -1.74 % | MAD 2.43 % | CV 2.37 % | coh 76.6 % | dominant X | axis fraction 100.0 % | IN TARGET BAND</x:v>
      </x:c>
      <x:c r="C292" t="str">
        <x:v>Pasted text(56).txt</x:v>
      </x:c>
    </x:row>
    <x:row r="293">
      <x:c r="A293" t="n">
        <x:v>292</x:v>
      </x:c>
      <x:c r="B293" s="106" t="str">
        <x:v>HOLD | point 3 | DAC 3.00 | CTRL X 1.05840 | X 1.05824 | Y 0.43401 | Z 0.34991 | TOTAL 1.19625 | error -3.78 % | MAD 3.56 % | CV 2.43 % | coh 77.4 % | dominant X | axis fraction 100.0 % | IN TARGET BAND</x:v>
      </x:c>
      <x:c r="C293" t="str">
        <x:v>Pasted text(56).txt</x:v>
      </x:c>
    </x:row>
    <x:row r="294">
      <x:c r="A294" t="n">
        <x:v>293</x:v>
      </x:c>
      <x:c r="B294" s="106" t="str">
        <x:v>HOLD | point 4 | DAC 3.00 | CTRL X 1.10230 | X 1.07665 | Y 0.44331 | Z 0.34264 | TOTAL 1.21411 | error 0.21 % | MAD 0.18 % | CV 4.23 % | coh 77.2 % | dominant X | axis fraction 100.0 % | IN TARGET BAND</x:v>
      </x:c>
      <x:c r="C294" t="str">
        <x:v>Pasted text(56).txt</x:v>
      </x:c>
    </x:row>
    <x:row r="295">
      <x:c r="A295" t="n">
        <x:v>294</x:v>
      </x:c>
      <x:c r="B295" s="106" t="str">
        <x:v>HOLD | point 5 | DAC 3.00 | CTRL X 1.07713 | X 1.08426 | Y 0.46406 | Z 0.35494 | TOTAL 1.23170 | error -2.08 % | MAD 0.38 % | CV 1.36 % | coh 76.5 % | dominant X | axis fraction 100.0 % | IN TARGET BAND</x:v>
      </x:c>
      <x:c r="C295" t="str">
        <x:v>Pasted text(56).txt</x:v>
      </x:c>
    </x:row>
    <x:row r="296">
      <x:c r="A296" t="n">
        <x:v>295</x:v>
      </x:c>
      <x:c r="B296" s="106" t="str">
        <x:v>HOLD | point 6 | DAC 3.00 | CTRL X 1.08353 | X 1.08979 | Y 0.44842 | Z 0.35395 | TOTAL 1.23060 | error -1.50 % | MAD 1.10 % | CV 1.68 % | coh 79.2 % | dominant X | axis fraction 100.0 % | IN TARGET BAND</x:v>
      </x:c>
      <x:c r="C296" t="str">
        <x:v>Pasted text(56).txt</x:v>
      </x:c>
    </x:row>
    <x:row r="297">
      <x:c r="A297" t="n">
        <x:v>296</x:v>
      </x:c>
      <x:c r="B297" s="106" t="str">
        <x:v>HOLD | point 7 | DAC 3.00 | CTRL X 1.06729 | X 1.07025 | Y 0.47420 | Z 0.36803 | TOTAL 1.22734 | error -2.97 % | MAD 2.48 % | CV 2.10 % | coh 77.0 % | dominant X | axis fraction 100.0 % | IN TARGET BAND</x:v>
      </x:c>
      <x:c r="C297" t="str">
        <x:v>Pasted text(56).txt</x:v>
      </x:c>
    </x:row>
    <x:row r="298">
      <x:c r="A298" t="n">
        <x:v>297</x:v>
      </x:c>
      <x:c r="B298" s="106" t="str">
        <x:v>HOLD | point 8 | DAC 3.00 | CTRL X 1.07845 | X 1.07266 | Y 0.45906 | Z 0.34542 | TOTAL 1.21759 | error -1.96 % | MAD 4.21 % | CV 3.70 % | coh 78.1 % | dominant X | axis fraction 100.0 % | IN TARGET BAND</x:v>
      </x:c>
      <x:c r="C298" t="str">
        <x:v>Pasted text(56).txt</x:v>
      </x:c>
    </x:row>
    <x:row r="299">
      <x:c r="A299" t="n">
        <x:v>298</x:v>
      </x:c>
      <x:c r="B299" s="106" t="str">
        <x:v>HOLD | point 9 | DAC 3.00 | CTRL X 1.06323 | X 1.07172 | Y 0.41695 | Z 0.36081 | TOTAL 1.20570 | error -3.34 % | MAD 1.53 % | CV 2.31 % | coh 77.3 % | dominant X | axis fraction 100.0 % | IN TARGET BAND</x:v>
      </x:c>
      <x:c r="C299" t="str">
        <x:v>Pasted text(56).txt</x:v>
      </x:c>
    </x:row>
    <x:row r="300">
      <x:c r="A300" t="n">
        <x:v>299</x:v>
      </x:c>
      <x:c r="B300" s="106" t="str">
        <x:v>HOLD | point 10 | DAC 3.00 | CTRL X 1.08599 | X 1.08377 | Y 0.47576 | Z 0.36540 | TOTAL 1.23937 | error -1.27 % | MAD 2.84 % | CV 2.24 % | coh 77.4 % | dominant X | axis fraction 100.0 % | IN TARGET BAND</x:v>
      </x:c>
      <x:c r="C300" t="str">
        <x:v>Pasted text(56).txt</x:v>
      </x:c>
    </x:row>
    <x:row r="301">
      <x:c r="A301" t="n">
        <x:v>300</x:v>
      </x:c>
      <x:c r="B301" s="106" t="str"/>
      <x:c r="C301" t="str">
        <x:v>Pasted text(56).txt</x:v>
      </x:c>
    </x:row>
    <x:row r="302">
      <x:c r="A302" t="n">
        <x:v>301</x:v>
      </x:c>
      <x:c r="B302" s="106" t="str">
        <x:v>HOLD SUMMARY</x:v>
      </x:c>
      <x:c r="C302" t="str">
        <x:v>Pasted text(56).txt</x:v>
      </x:c>
    </x:row>
    <x:row r="303">
      <x:c r="A303" t="n">
        <x:v>302</x:v>
      </x:c>
      <x:c r="B303" s="106" t="str">
        <x:v>Valid / requested: 10 / 10</x:v>
      </x:c>
      <x:c r="C303" t="str">
        <x:v>Pasted text(56).txt</x:v>
      </x:c>
    </x:row>
    <x:row r="304">
      <x:c r="A304" t="n">
        <x:v>303</x:v>
      </x:c>
      <x:c r="B304" s="106" t="str">
        <x:v>In band / requested: 10 / 10 = 100.0 %</x:v>
      </x:c>
      <x:c r="C304" t="str">
        <x:v>Pasted text(56).txt</x:v>
      </x:c>
    </x:row>
    <x:row r="305">
      <x:c r="A305" t="n">
        <x:v>304</x:v>
      </x:c>
      <x:c r="B305" s="106" t="str">
        <x:v>Mean / SD / CV: 1.07646 / 0.01290 / 1.20 %</x:v>
      </x:c>
      <x:c r="C305" t="str">
        <x:v>Pasted text(56).txt</x:v>
      </x:c>
    </x:row>
    <x:row r="306">
      <x:c r="A306" t="n">
        <x:v>305</x:v>
      </x:c>
      <x:c r="B306" s="106" t="str">
        <x:v>Min / Max: 1.05840 / 1.10230</x:v>
      </x:c>
      <x:c r="C306" t="str">
        <x:v>Pasted text(56).txt</x:v>
      </x:c>
    </x:row>
    <x:row r="307">
      <x:c r="A307" t="n">
        <x:v>306</x:v>
      </x:c>
      <x:c r="B307" s="106" t="str">
        <x:v>HOLD RESULT: PASS</x:v>
      </x:c>
      <x:c r="C307" t="str">
        <x:v>Pasted text(56).txt</x:v>
      </x:c>
    </x:row>
    <x:row r="308">
      <x:c r="A308" t="n">
        <x:v>307</x:v>
      </x:c>
      <x:c r="B308" s="106" t="str"/>
      <x:c r="C308" t="str">
        <x:v>Pasted text(56).txt</x:v>
      </x:c>
    </x:row>
    <x:row r="309">
      <x:c r="A309" t="n">
        <x:v>308</x:v>
      </x:c>
      <x:c r="B309" s="106" t="str">
        <x:v>RUN RESULT: PASS</x:v>
      </x:c>
      <x:c r="C309" t="str">
        <x:v>Pasted text(56).txt</x:v>
      </x:c>
    </x:row>
    <x:row r="310">
      <x:c r="A310" t="n">
        <x:v>309</x:v>
      </x:c>
      <x:c r="B310" s="106" t="str">
        <x:v>Selected DAC: 3.00</x:v>
      </x:c>
      <x:c r="C310" t="str">
        <x:v>Pasted text(56).txt</x:v>
      </x:c>
    </x:row>
    <x:row r="311">
      <x:c r="A311" t="n">
        <x:v>310</x:v>
      </x:c>
      <x:c r="B311" s="106" t="str">
        <x:v>Validated amplitude: 1.08180 m/s^2 | error -1.65 %</x:v>
      </x:c>
      <x:c r="C311" t="str">
        <x:v>Pasted text(56).txt</x:v>
      </x:c>
    </x:row>
    <x:row r="312">
      <x:c r="A312" t="n">
        <x:v>311</x:v>
      </x:c>
      <x:c r="B312" s="106" t="str">
        <x:v>FFT frequency: 268.03435 Hz | difference 0.03435 Hz</x:v>
      </x:c>
      <x:c r="C312" t="str">
        <x:v>Pasted text(56).txt</x:v>
      </x:c>
    </x:row>
    <x:row r="313">
      <x:c r="A313" t="n">
        <x:v>312</x:v>
      </x:c>
      <x:c r="B313" s="106" t="str"/>
      <x:c r="C313" t="str">
        <x:v>Pasted text(56).txt</x:v>
      </x:c>
    </x:row>
    <x:row r="314">
      <x:c r="A314" t="n">
        <x:v>313</x:v>
      </x:c>
      <x:c r="B314" s="106" t="str">
        <x:v>VISATON OFF. RESTING 5.0 s BEFORE THE NEXT COMPLETELY FRESH RUN.</x:v>
      </x:c>
      <x:c r="C314" t="str">
        <x:v>Pasted text(56).txt</x:v>
      </x:c>
    </x:row>
    <x:row r="315">
      <x:c r="A315" t="n">
        <x:v>314</x:v>
      </x:c>
      <x:c r="B315" s="106" t="str"/>
      <x:c r="C315" t="str">
        <x:v>Pasted text(56).txt</x:v>
      </x:c>
    </x:row>
    <x:row r="316">
      <x:c r="A316" t="n">
        <x:v>315</x:v>
      </x:c>
      <x:c r="B316" s="106" t="str">
        <x:v>################################################################################</x:v>
      </x:c>
      <x:c r="C316" t="str">
        <x:v>Pasted text(56).txt</x:v>
      </x:c>
    </x:row>
    <x:row r="317">
      <x:c r="A317" t="n">
        <x:v>316</x:v>
      </x:c>
      <x:c r="B317" s="106" t="str">
        <x:v>INDEPENDENT TARGET-AMPLITUDE RUN 4 OF 5</x:v>
      </x:c>
      <x:c r="C317" t="str">
        <x:v>Pasted text(56).txt</x:v>
      </x:c>
    </x:row>
    <x:row r="318">
      <x:c r="A318" t="n">
        <x:v>317</x:v>
      </x:c>
      <x:c r="B318" s="106" t="str">
        <x:v>################################################################################</x:v>
      </x:c>
      <x:c r="C318" t="str">
        <x:v>Pasted text(56).txt</x:v>
      </x:c>
    </x:row>
    <x:row r="319">
      <x:c r="A319" t="n">
        <x:v>318</x:v>
      </x:c>
      <x:c r="B319" s="106" t="str">
        <x:v>Frequency: 268.00000 Hz</x:v>
      </x:c>
      <x:c r="C319" t="str">
        <x:v>Pasted text(56).txt</x:v>
      </x:c>
    </x:row>
    <x:row r="320">
      <x:c r="A320" t="n">
        <x:v>319</x:v>
      </x:c>
      <x:c r="B320" s="106" t="str">
        <x:v>Target X amplitude: 1.10000 m/s^2 peak, tolerance +/-7.50 %</x:v>
      </x:c>
      <x:c r="C320" t="str">
        <x:v>Pasted text(56).txt</x:v>
      </x:c>
    </x:row>
    <x:row r="321">
      <x:c r="A321" t="n">
        <x:v>320</x:v>
      </x:c>
      <x:c r="B321" s="106" t="str">
        <x:v>This run starts from DAC 1.00 and ignores every earlier selected DAC.</x:v>
      </x:c>
      <x:c r="C321" t="str">
        <x:v>Pasted text(56).txt</x:v>
      </x:c>
    </x:row>
    <x:row r="322">
      <x:c r="A322" t="n">
        <x:v>321</x:v>
      </x:c>
      <x:c r="B322" s="106" t="str">
        <x:v>ADXL2 DEVID/DATA_FORMAT/BW_RATE/POWER_CTL: 0xE5 / 0xB / 0xE / 0x8</x:v>
      </x:c>
      <x:c r="C322" t="str">
        <x:v>Pasted text(56).txt</x:v>
      </x:c>
    </x:row>
    <x:row r="323">
      <x:c r="A323" t="n">
        <x:v>322</x:v>
      </x:c>
      <x:c r="B323" s="106" t="str"/>
      <x:c r="C323" t="str">
        <x:v>Pasted text(56).txt</x:v>
      </x:c>
    </x:row>
    <x:row r="324">
      <x:c r="A324" t="n">
        <x:v>323</x:v>
      </x:c>
      <x:c r="B324" s="106" t="str">
        <x:v>ACQUISITION ATTEMPT 1 OF 2</x:v>
      </x:c>
      <x:c r="C324" t="str">
        <x:v>Pasted text(56).txt</x:v>
      </x:c>
    </x:row>
    <x:row r="325">
      <x:c r="A325" t="n">
        <x:v>324</x:v>
      </x:c>
      <x:c r="B325" s="106" t="str"/>
      <x:c r="C325" t="str">
        <x:v>Pasted text(56).txt</x:v>
      </x:c>
    </x:row>
    <x:row r="326">
      <x:c r="A326" t="n">
        <x:v>325</x:v>
      </x:c>
      <x:c r="B326" s="106" t="str">
        <x:v>FRESH X-AXIS SEARCH FROM DAC 1.00 — OLD DAC VALUES ARE NOT USED</x:v>
      </x:c>
      <x:c r="C326" t="str">
        <x:v>Pasted text(56).txt</x:v>
      </x:c>
    </x:row>
    <x:row r="327">
      <x:c r="A327" t="n">
        <x:v>326</x:v>
      </x:c>
      <x:c r="B327" s="106" t="str">
        <x:v>Y/Z are diagnostic only and cannot abort this search.</x:v>
      </x:c>
      <x:c r="C327" t="str">
        <x:v>Pasted text(56).txt</x:v>
      </x:c>
    </x:row>
    <x:row r="328">
      <x:c r="A328" t="n">
        <x:v>327</x:v>
      </x:c>
      <x:c r="B328" s="106" t="str">
        <x:v>A real SPI fault, clipping, safety limit or confirmed X-response collapse will stop it.</x:v>
      </x:c>
      <x:c r="C328" t="str">
        <x:v>Pasted text(56).txt</x:v>
      </x:c>
    </x:row>
    <x:row r="329">
      <x:c r="A329" t="n">
        <x:v>328</x:v>
      </x:c>
      <x:c r="B329" s="106" t="str">
        <x:v>SEARCH | point 1 | DAC 1.00 | CTRL X 0.04830 | X 0.05208 | Y 0.05680 | Z 0.02831 | TOTAL 0.08361 | error -95.61 % | MAD 23.17 % | CV 10.25 % | coh 7.0 % | dominant Y | axis fraction 91.7 % | BELOW MEASUREMENT FLOOR — SEARCH CONTINUES</x:v>
      </x:c>
      <x:c r="C329" t="str">
        <x:v>Pasted text(56).txt</x:v>
      </x:c>
    </x:row>
    <x:row r="330">
      <x:c r="A330" t="n">
        <x:v>329</x:v>
      </x:c>
      <x:c r="B330" s="106" t="str">
        <x:v>SEARCH | point 2 | DAC 3.00 | CTRL X 1.07656 | X 1.06756 | Y 0.44759 | Z 0.36658 | TOTAL 1.21427 | error -2.13 % | MAD 0.02 % | CV 1.47 % | coh 77.4 % | dominant X | axis fraction 100.0 % | IN TARGET BAND</x:v>
      </x:c>
      <x:c r="C330" t="str">
        <x:v>Pasted text(56).txt</x:v>
      </x:c>
    </x:row>
    <x:row r="331">
      <x:c r="A331" t="n">
        <x:v>330</x:v>
      </x:c>
      <x:c r="B331" s="106" t="str"/>
      <x:c r="C331" t="str">
        <x:v>Pasted text(56).txt</x:v>
      </x:c>
    </x:row>
    <x:row r="332">
      <x:c r="A332" t="n">
        <x:v>331</x:v>
      </x:c>
      <x:c r="B332" s="106" t="str">
        <x:v>LOCAL 0.25-DAC X-AXIS FINE SCAN</x:v>
      </x:c>
      <x:c r="C332" t="str">
        <x:v>Pasted text(56).txt</x:v>
      </x:c>
    </x:row>
    <x:row r="333">
      <x:c r="A333" t="n">
        <x:v>332</x:v>
      </x:c>
      <x:c r="B333" s="106" t="str">
        <x:v>Only a valid point actually inside the X target band may be selected.</x:v>
      </x:c>
      <x:c r="C333" t="str">
        <x:v>Pasted text(56).txt</x:v>
      </x:c>
    </x:row>
    <x:row r="334">
      <x:c r="A334" t="n">
        <x:v>333</x:v>
      </x:c>
      <x:c r="B334" s="106" t="str">
        <x:v>FINE | point 1 | DAC 2.00 | CTRL X 0.45885 | X 0.45768 | Y 0.22952 | Z 0.18913 | TOTAL 0.54659 | error -58.29 % | MAD 6.55 % | CV 4.82 % | coh 47.5 % | dominant X | axis fraction 100.0 % | UNSTABLE — SEARCH CONTINUES</x:v>
      </x:c>
      <x:c r="C334" t="str">
        <x:v>Pasted text(56).txt</x:v>
      </x:c>
    </x:row>
    <x:row r="335">
      <x:c r="A335" t="n">
        <x:v>334</x:v>
      </x:c>
      <x:c r="B335" s="106" t="str">
        <x:v>FINE | point 2 | DAC 2.25 | CTRL X 0.53090 | X 0.53043 | Y 0.23081 | Z 0.16931 | TOTAL 0.60378 | error -51.74 % | MAD 1.90 % | CV 1.42 % | coh 51.7 % | dominant X | axis fraction 100.0 % | UNSTABLE — SEARCH CONTINUES</x:v>
      </x:c>
      <x:c r="C335" t="str">
        <x:v>Pasted text(56).txt</x:v>
      </x:c>
    </x:row>
    <x:row r="336">
      <x:c r="A336" t="n">
        <x:v>335</x:v>
      </x:c>
      <x:c r="B336" s="106" t="str">
        <x:v>FINE | point 3 | DAC 2.50 | CTRL X 0.58685 | X 0.58598 | Y 0.27384 | Z 0.21856 | TOTAL 0.68391 | error -46.65 % | MAD 7.08 % | CV 5.01 % | coh 54.1 % | dominant X | axis fraction 100.0 % | VALID</x:v>
      </x:c>
      <x:c r="C336" t="str">
        <x:v>Pasted text(56).txt</x:v>
      </x:c>
    </x:row>
    <x:row r="337">
      <x:c r="A337" t="n">
        <x:v>336</x:v>
      </x:c>
      <x:c r="B337" s="106" t="str">
        <x:v>FINE | point 4 | DAC 2.75 | CTRL X 0.95948 | X 0.95290 | Y 0.40913 | Z 0.34016 | TOTAL 1.09166 | error -12.77 % | MAD 0.02 % | CV 1.21 % | coh 74.6 % | dominant X | axis fraction 100.0 % | VALID</x:v>
      </x:c>
      <x:c r="C337" t="str">
        <x:v>Pasted text(56).txt</x:v>
      </x:c>
    </x:row>
    <x:row r="338">
      <x:c r="A338" t="n">
        <x:v>337</x:v>
      </x:c>
      <x:c r="B338" s="106" t="str">
        <x:v>FINE | point 5 | DAC 3.00 | CTRL X 1.10136 | X 1.07713 | Y 0.48236 | Z 0.34331 | TOTAL 1.22957 | error 0.12 % | MAD 0.34 % | CV 4.10 % | coh 78.2 % | dominant X | axis fraction 100.0 % | IN TARGET BAND</x:v>
      </x:c>
      <x:c r="C338" t="str">
        <x:v>Pasted text(56).txt</x:v>
      </x:c>
    </x:row>
    <x:row r="339">
      <x:c r="A339" t="n">
        <x:v>338</x:v>
      </x:c>
      <x:c r="B339" s="106" t="str">
        <x:v>FINE | point 6 | DAC 3.25 | CTRL X 1.17451 | X 1.16393 | Y 0.45640 | Z 0.39202 | TOTAL 1.31061 | error 6.77 % | MAD 0.15 % | CV 1.66 % | coh 79.3 % | dominant X | axis fraction 100.0 % | IN TARGET BAND</x:v>
      </x:c>
      <x:c r="C339" t="str">
        <x:v>Pasted text(56).txt</x:v>
      </x:c>
    </x:row>
    <x:row r="340">
      <x:c r="A340" t="n">
        <x:v>339</x:v>
      </x:c>
      <x:c r="B340" s="106" t="str">
        <x:v>FINE | point 7 | DAC 3.50 | CTRL X 1.25412 | X 1.23801 | Y 0.47551 | Z 0.40956 | TOTAL 1.38834 | error 14.01 % | MAD 0.54 % | CV 2.58 % | coh 80.6 % | dominant X | axis fraction 100.0 % | VALID</x:v>
      </x:c>
      <x:c r="C340" t="str">
        <x:v>Pasted text(56).txt</x:v>
      </x:c>
    </x:row>
    <x:row r="341">
      <x:c r="A341" t="n">
        <x:v>340</x:v>
      </x:c>
      <x:c r="B341" s="106" t="str">
        <x:v>FINE | point 8 | DAC 3.75 | CTRL X 1.58769 | X 1.57315 | Y 0.62670 | Z 0.51642 | TOTAL 1.77067 | error 44.34 % | MAD 0.22 % | CV 1.73 % | coh 86.4 % | dominant X | axis fraction 100.0 % | VALID</x:v>
      </x:c>
      <x:c r="C341" t="str">
        <x:v>Pasted text(56).txt</x:v>
      </x:c>
    </x:row>
    <x:row r="342">
      <x:c r="A342" t="n">
        <x:v>341</x:v>
      </x:c>
      <x:c r="B342" s="106" t="str">
        <x:v>FINE | point 9 | DAC 4.00 | CTRL X 1.70050 | X 1.70108 | Y 0.69504 | Z 0.53112 | TOTAL 1.91292 | error 54.59 % | MAD 1.12 % | CV 0.81 % | coh 87.5 % | dominant X | axis fraction 100.0 % | VALID</x:v>
      </x:c>
      <x:c r="C342" t="str">
        <x:v>Pasted text(56).txt</x:v>
      </x:c>
    </x:row>
    <x:row r="343">
      <x:c r="A343" t="n">
        <x:v>342</x:v>
      </x:c>
      <x:c r="B343" s="106" t="str"/>
      <x:c r="C343" t="str">
        <x:v>Pasted text(56).txt</x:v>
      </x:c>
    </x:row>
    <x:row r="344">
      <x:c r="A344" t="n">
        <x:v>343</x:v>
      </x:c>
      <x:c r="B344" s="106" t="str">
        <x:v>LONG VALIDATION AT FIXED DAC 3.00</x:v>
      </x:c>
      <x:c r="C344" t="str">
        <x:v>Pasted text(56).txt</x:v>
      </x:c>
    </x:row>
    <x:row r="345">
      <x:c r="A345" t="n">
        <x:v>344</x:v>
      </x:c>
      <x:c r="B345" s="106" t="str">
        <x:v>FINAL | point 1 | DAC 3.00 | CTRL X 1.08430 | X 1.08242 | Y 0.42503 | Z 0.36819 | TOTAL 1.22025 | error -1.43 % | MAD 1.75 % | CV 1.72 % | coh 78.7 % | dominant X | axis fraction 100.0 % | IN TARGET BAND</x:v>
      </x:c>
      <x:c r="C345" t="str">
        <x:v>Pasted text(56).txt</x:v>
      </x:c>
    </x:row>
    <x:row r="346">
      <x:c r="A346" t="n">
        <x:v>345</x:v>
      </x:c>
      <x:c r="B346" s="106" t="str">
        <x:v>FINAL | point 2 | DAC 3.00 | CTRL X 1.05974 | X 1.06674 | Y 0.40660 | Z 0.33929 | TOTAL 1.19178 | error -3.66 % | MAD 3.63 % | CV 2.32 % | coh 77.9 % | dominant X | axis fraction 100.0 % | IN TARGET BAND</x:v>
      </x:c>
      <x:c r="C346" t="str">
        <x:v>Pasted text(56).txt</x:v>
      </x:c>
    </x:row>
    <x:row r="347">
      <x:c r="A347" t="n">
        <x:v>346</x:v>
      </x:c>
      <x:c r="B347" s="106" t="str">
        <x:v>VALIDATION ACCEPTED | pair drift 2.29 %</x:v>
      </x:c>
      <x:c r="C347" t="str">
        <x:v>Pasted text(56).txt</x:v>
      </x:c>
    </x:row>
    <x:row r="348">
      <x:c r="A348" t="n">
        <x:v>347</x:v>
      </x:c>
      <x:c r="B348" s="106" t="str"/>
      <x:c r="C348" t="str">
        <x:v>Pasted text(56).txt</x:v>
      </x:c>
    </x:row>
    <x:row r="349">
      <x:c r="A349" t="n">
        <x:v>348</x:v>
      </x:c>
      <x:c r="B349" s="106" t="str">
        <x:v>FINAL VALIDATED BLIND FFT VERIFICATION</x:v>
      </x:c>
      <x:c r="C349" t="str">
        <x:v>Pasted text(56).txt</x:v>
      </x:c>
    </x:row>
    <x:row r="350">
      <x:c r="A350" t="n">
        <x:v>349</x:v>
      </x:c>
      <x:c r="B350" s="106" t="str">
        <x:v>Commanded frequency: 268.00000 Hz</x:v>
      </x:c>
      <x:c r="C350" t="str">
        <x:v>Pasted text(56).txt</x:v>
      </x:c>
    </x:row>
    <x:row r="351">
      <x:c r="A351" t="n">
        <x:v>350</x:v>
      </x:c>
      <x:c r="B351" s="106" t="str">
        <x:v>Accepted DAC: 3.00</x:v>
      </x:c>
      <x:c r="C351" t="str">
        <x:v>Pasted text(56).txt</x:v>
      </x:c>
    </x:row>
    <x:row r="352">
      <x:c r="A352" t="n">
        <x:v>351</x:v>
      </x:c>
      <x:c r="B352" s="106" t="str">
        <x:v>Axis,Frequency_Hz,Amplitude_mps2,SNR_dB,Status</x:v>
      </x:c>
      <x:c r="C352" t="str">
        <x:v>Pasted text(56).txt</x:v>
      </x:c>
    </x:row>
    <x:row r="353">
      <x:c r="A353" t="n">
        <x:v>352</x:v>
      </x:c>
      <x:c r="B353" s="106" t="str">
        <x:v>X,268.01725,0.96860,26.32,VALID</x:v>
      </x:c>
      <x:c r="C353" t="str">
        <x:v>Pasted text(56).txt</x:v>
      </x:c>
    </x:row>
    <x:row r="354">
      <x:c r="A354" t="n">
        <x:v>353</x:v>
      </x:c>
      <x:c r="B354" s="106" t="str">
        <x:v>Y,483.12639,0.38294,16.54,VALID</x:v>
      </x:c>
      <x:c r="C354" t="str">
        <x:v>Pasted text(56).txt</x:v>
      </x:c>
    </x:row>
    <x:row r="355">
      <x:c r="A355" t="n">
        <x:v>354</x:v>
      </x:c>
      <x:c r="B355" s="106" t="str">
        <x:v>Z,267.97624,0.30968,23.07,VALID</x:v>
      </x:c>
      <x:c r="C355" t="str">
        <x:v>Pasted text(56).txt</x:v>
      </x:c>
    </x:row>
    <x:row r="356">
      <x:c r="A356" t="n">
        <x:v>355</x:v>
      </x:c>
      <x:c r="B356" s="106" t="str">
        <x:v>Combined frequency: 268.01602 Hz | difference 0.01602 Hz</x:v>
      </x:c>
      <x:c r="C356" t="str">
        <x:v>Pasted text(56).txt</x:v>
      </x:c>
    </x:row>
    <x:row r="357">
      <x:c r="A357" t="n">
        <x:v>356</x:v>
      </x:c>
      <x:c r="B357" s="106" t="str">
        <x:v>Combined X/Y/Z/TOTAL: 0.88264 / 0.35918 / 0.27951 / 0.99307</x:v>
      </x:c>
      <x:c r="C357" t="str">
        <x:v>Pasted text(56).txt</x:v>
      </x:c>
    </x:row>
    <x:row r="358">
      <x:c r="A358" t="n">
        <x:v>357</x:v>
      </x:c>
      <x:c r="B358" s="106" t="str">
        <x:v>SNR: 22.75 dB | dominant axis X</x:v>
      </x:c>
      <x:c r="C358" t="str">
        <x:v>Pasted text(56).txt</x:v>
      </x:c>
    </x:row>
    <x:row r="359">
      <x:c r="A359" t="n">
        <x:v>358</x:v>
      </x:c>
      <x:c r="B359" s="106" t="str">
        <x:v>Frequency verification: PASS</x:v>
      </x:c>
      <x:c r="C359" t="str">
        <x:v>Pasted text(56).txt</x:v>
      </x:c>
    </x:row>
    <x:row r="360">
      <x:c r="A360" t="n">
        <x:v>359</x:v>
      </x:c>
      <x:c r="B360" s="106" t="str">
        <x:v>Y/Z dominance: DIAGNOSTIC ONLY — ignored for pass/fail</x:v>
      </x:c>
      <x:c r="C360" t="str">
        <x:v>Pasted text(56).txt</x:v>
      </x:c>
    </x:row>
    <x:row r="361">
      <x:c r="A361" t="n">
        <x:v>360</x:v>
      </x:c>
      <x:c r="B361" s="106" t="str"/>
      <x:c r="C361" t="str">
        <x:v>Pasted text(56).txt</x:v>
      </x:c>
    </x:row>
    <x:row r="362">
      <x:c r="A362" t="n">
        <x:v>361</x:v>
      </x:c>
      <x:c r="B362" s="106" t="str">
        <x:v>FIXED-DAC HOLD VALIDATION</x:v>
      </x:c>
      <x:c r="C362" t="str">
        <x:v>Pasted text(56).txt</x:v>
      </x:c>
    </x:row>
    <x:row r="363">
      <x:c r="A363" t="n">
        <x:v>362</x:v>
      </x:c>
      <x:c r="B363" s="106" t="str">
        <x:v>DAC remains fixed at 3.00 for 10 records.</x:v>
      </x:c>
      <x:c r="C363" t="str">
        <x:v>Pasted text(56).txt</x:v>
      </x:c>
    </x:row>
    <x:row r="364">
      <x:c r="A364" t="n">
        <x:v>363</x:v>
      </x:c>
      <x:c r="B364" s="106" t="str">
        <x:v>HOLD | point 1 | DAC 3.00 | CTRL X 1.08036 | X 1.08476 | Y 0.45112 | Z 0.33618 | TOTAL 1.22220 | error -1.79 % | MAD 0.40 % | CV 0.94 % | coh 74.2 % | dominant X | axis fraction 100.0 % | IN TARGET BAND</x:v>
      </x:c>
      <x:c r="C364" t="str">
        <x:v>Pasted text(56).txt</x:v>
      </x:c>
    </x:row>
    <x:row r="365">
      <x:c r="A365" t="n">
        <x:v>364</x:v>
      </x:c>
      <x:c r="B365" s="106" t="str">
        <x:v>HOLD | point 2 | DAC 3.00 | CTRL X 1.47883 | X 1.47789 | Y 0.56763 | Z 0.47697 | TOTAL 1.65365 | error 34.44 % | MAD 0.16 % | CV 0.21 % | coh 79.8 % | dominant X | axis fraction 100.0 % | VALID</x:v>
      </x:c>
      <x:c r="C365" t="str">
        <x:v>Pasted text(56).txt</x:v>
      </x:c>
    </x:row>
    <x:row r="366">
      <x:c r="A366" t="n">
        <x:v>365</x:v>
      </x:c>
      <x:c r="B366" s="106" t="str">
        <x:v>HOLD | point 3 | DAC 3.00 | CTRL X 1.47611 | X 1.47674 | Y 0.58620 | Z 0.45640 | TOTAL 1.65335 | error 34.19 % | MAD 3.53 % | CV 2.44 % | coh 78.9 % | dominant X | axis fraction 100.0 % | VALID</x:v>
      </x:c>
      <x:c r="C366" t="str">
        <x:v>Pasted text(56).txt</x:v>
      </x:c>
    </x:row>
    <x:row r="367">
      <x:c r="A367" t="n">
        <x:v>366</x:v>
      </x:c>
      <x:c r="B367" s="106" t="str">
        <x:v>HOLD | point 4 | DAC 3.00 | CTRL X 1.44163 | X 1.45236 | Y 0.63187 | Z 0.46878 | TOTAL 1.65192 | error 31.06 % | MAD 0.76 % | CV 1.74 % | coh 77.4 % | dominant X | axis fraction 100.0 % | VALID</x:v>
      </x:c>
      <x:c r="C367" t="str">
        <x:v>Pasted text(56).txt</x:v>
      </x:c>
    </x:row>
    <x:row r="368">
      <x:c r="A368" t="n">
        <x:v>367</x:v>
      </x:c>
      <x:c r="B368" s="106" t="str">
        <x:v>HOLD | point 5 | DAC 3.00 | CTRL X 1.45675 | X 1.45709 | Y 0.54980 | Z 0.44020 | TOTAL 1.61877 | error 32.43 % | MAD 1.78 % | CV 1.23 % | coh 78.9 % | dominant X | axis fraction 100.0 % | VALID</x:v>
      </x:c>
      <x:c r="C368" t="str">
        <x:v>Pasted text(56).txt</x:v>
      </x:c>
    </x:row>
    <x:row r="369">
      <x:c r="A369" t="n">
        <x:v>368</x:v>
      </x:c>
      <x:c r="B369" s="106" t="str">
        <x:v>HOLD | point 6 | DAC 3.00 | CTRL X 1.44682 | X 1.44623 | Y 0.61134 | Z 0.45296 | TOTAL 1.63456 | error 31.53 % | MAD 2.01 % | CV 1.42 % | coh 78.1 % | dominant X | axis fraction 100.0 % | VALID</x:v>
      </x:c>
      <x:c r="C369" t="str">
        <x:v>Pasted text(56).txt</x:v>
      </x:c>
    </x:row>
    <x:row r="370">
      <x:c r="A370" t="n">
        <x:v>369</x:v>
      </x:c>
      <x:c r="B370" s="106" t="str">
        <x:v>HOLD | point 7 | DAC 3.00 | CTRL X 1.47785 | X 1.48444 | Y 0.54789 | Z 0.46172 | TOTAL 1.64884 | error 34.35 % | MAD 2.24 % | CV 2.21 % | coh 79.6 % | dominant X | axis fraction 100.0 % | VALID</x:v>
      </x:c>
      <x:c r="C370" t="str">
        <x:v>Pasted text(56).txt</x:v>
      </x:c>
    </x:row>
    <x:row r="371">
      <x:c r="A371" t="n">
        <x:v>370</x:v>
      </x:c>
      <x:c r="B371" s="106" t="str">
        <x:v>HOLD | point 8 | DAC 3.00 | CTRL X 1.47563 | X 1.47759 | Y 0.60991 | Z 0.44785 | TOTAL 1.66053 | error 34.15 % | MAD 0.49 % | CV 0.54 % | coh 79.0 % | dominant X | axis fraction 100.0 % | VALID</x:v>
      </x:c>
      <x:c r="C371" t="str">
        <x:v>Pasted text(56).txt</x:v>
      </x:c>
    </x:row>
    <x:row r="372">
      <x:c r="A372" t="n">
        <x:v>371</x:v>
      </x:c>
      <x:c r="B372" s="106" t="str">
        <x:v>HOLD | point 9 | DAC 3.00 | CTRL X 1.46588 | X 1.46689 | Y 0.54085 | Z 0.45895 | TOTAL 1.62988 | error 33.26 % | MAD 0.50 % | CV 0.44 % | coh 79.5 % | dominant X | axis fraction 100.0 % | VALID</x:v>
      </x:c>
      <x:c r="C372" t="str">
        <x:v>Pasted text(56).txt</x:v>
      </x:c>
    </x:row>
    <x:row r="373">
      <x:c r="A373" t="n">
        <x:v>372</x:v>
      </x:c>
      <x:c r="B373" s="106" t="str">
        <x:v>HOLD | point 10 | DAC 3.00 | CTRL X 1.48368 | X 1.48056 | Y 0.60711 | Z 0.48443 | TOTAL 1.67237 | error 34.88 % | MAD 0.52 % | CV 0.69 % | coh 78.7 % | dominant X | axis fraction 100.0 % | VALID</x:v>
      </x:c>
      <x:c r="C373" t="str">
        <x:v>Pasted text(56).txt</x:v>
      </x:c>
    </x:row>
    <x:row r="374">
      <x:c r="A374" t="n">
        <x:v>373</x:v>
      </x:c>
      <x:c r="B374" s="106" t="str"/>
      <x:c r="C374" t="str">
        <x:v>Pasted text(56).txt</x:v>
      </x:c>
    </x:row>
    <x:row r="375">
      <x:c r="A375" t="n">
        <x:v>374</x:v>
      </x:c>
      <x:c r="B375" s="106" t="str">
        <x:v>HOLD SUMMARY</x:v>
      </x:c>
      <x:c r="C375" t="str">
        <x:v>Pasted text(56).txt</x:v>
      </x:c>
    </x:row>
    <x:row r="376">
      <x:c r="A376" t="n">
        <x:v>375</x:v>
      </x:c>
      <x:c r="B376" s="106" t="str">
        <x:v>Valid / requested: 10 / 10</x:v>
      </x:c>
      <x:c r="C376" t="str">
        <x:v>Pasted text(56).txt</x:v>
      </x:c>
    </x:row>
    <x:row r="377">
      <x:c r="A377" t="n">
        <x:v>376</x:v>
      </x:c>
      <x:c r="B377" s="106" t="str">
        <x:v>In band / requested: 1 / 10 = 10.0 %</x:v>
      </x:c>
      <x:c r="C377" t="str">
        <x:v>Pasted text(56).txt</x:v>
      </x:c>
    </x:row>
    <x:row r="378">
      <x:c r="A378" t="n">
        <x:v>377</x:v>
      </x:c>
      <x:c r="B378" s="106" t="str">
        <x:v>Mean / SD / CV: 1.42835 / 0.12311 / 8.62 %</x:v>
      </x:c>
      <x:c r="C378" t="str">
        <x:v>Pasted text(56).txt</x:v>
      </x:c>
    </x:row>
    <x:row r="379">
      <x:c r="A379" t="n">
        <x:v>378</x:v>
      </x:c>
      <x:c r="B379" s="106" t="str">
        <x:v>Min / Max: 1.08036 / 1.48368</x:v>
      </x:c>
      <x:c r="C379" t="str">
        <x:v>Pasted text(56).txt</x:v>
      </x:c>
    </x:row>
    <x:row r="380">
      <x:c r="A380" t="n">
        <x:v>379</x:v>
      </x:c>
      <x:c r="B380" s="106" t="str">
        <x:v>HOLD RESULT: FAIL</x:v>
      </x:c>
      <x:c r="C380" t="str">
        <x:v>Pasted text(56).txt</x:v>
      </x:c>
    </x:row>
    <x:row r="381">
      <x:c r="A381" t="n">
        <x:v>380</x:v>
      </x:c>
      <x:c r="B381" s="106" t="str"/>
      <x:c r="C381" t="str">
        <x:v>Pasted text(56).txt</x:v>
      </x:c>
    </x:row>
    <x:row r="382">
      <x:c r="A382" t="n">
        <x:v>381</x:v>
      </x:c>
      <x:c r="B382" s="106" t="str">
        <x:v>ACQUISITION ATTEMPT 2 OF 2</x:v>
      </x:c>
      <x:c r="C382" t="str">
        <x:v>Pasted text(56).txt</x:v>
      </x:c>
    </x:row>
    <x:row r="383">
      <x:c r="A383" t="n">
        <x:v>382</x:v>
      </x:c>
      <x:c r="B383" s="106" t="str"/>
      <x:c r="C383" t="str">
        <x:v>Pasted text(56).txt</x:v>
      </x:c>
    </x:row>
    <x:row r="384">
      <x:c r="A384" t="n">
        <x:v>383</x:v>
      </x:c>
      <x:c r="B384" s="106" t="str">
        <x:v>FRESH X-AXIS SEARCH FROM DAC 1.00 — OLD DAC VALUES ARE NOT USED</x:v>
      </x:c>
      <x:c r="C384" t="str">
        <x:v>Pasted text(56).txt</x:v>
      </x:c>
    </x:row>
    <x:row r="385">
      <x:c r="A385" t="n">
        <x:v>384</x:v>
      </x:c>
      <x:c r="B385" s="106" t="str">
        <x:v>Y/Z are diagnostic only and cannot abort this search.</x:v>
      </x:c>
      <x:c r="C385" t="str">
        <x:v>Pasted text(56).txt</x:v>
      </x:c>
    </x:row>
    <x:row r="386">
      <x:c r="A386" t="n">
        <x:v>385</x:v>
      </x:c>
      <x:c r="B386" s="106" t="str">
        <x:v>A real SPI fault, clipping, safety limit or confirmed X-response collapse will stop it.</x:v>
      </x:c>
      <x:c r="C386" t="str">
        <x:v>Pasted text(56).txt</x:v>
      </x:c>
    </x:row>
    <x:row r="387">
      <x:c r="A387" t="n">
        <x:v>386</x:v>
      </x:c>
      <x:c r="B387" s="106" t="str">
        <x:v>SEARCH | point 1 | DAC 1.00 | CTRL X 0.04620 | X 0.05001 | Y 0.03744 | Z 0.03313 | TOTAL 0.08201 | error -95.80 % | MAD 102.58 % | CV 75.64 % | coh 5.2 % | dominant X | axis fraction 100.0 % | BELOW MEASUREMENT FLOOR — SEARCH CONTINUES</x:v>
      </x:c>
      <x:c r="C387" t="str">
        <x:v>Pasted text(56).txt</x:v>
      </x:c>
    </x:row>
    <x:row r="388">
      <x:c r="A388" t="n">
        <x:v>387</x:v>
      </x:c>
      <x:c r="B388" s="106" t="str">
        <x:v>SEARCH | point 2 | DAC 3.00 | CTRL X 1.45962 | X 1.47009 | Y 0.63999 | Z 0.45522 | TOTAL 1.66706 | error 32.69 % | MAD 2.05 % | CV 2.52 % | coh 79.5 % | dominant X | axis fraction 100.0 % | VALID</x:v>
      </x:c>
      <x:c r="C388" t="str">
        <x:v>Pasted text(56).txt</x:v>
      </x:c>
    </x:row>
    <x:row r="389">
      <x:c r="A389" t="n">
        <x:v>388</x:v>
      </x:c>
      <x:c r="B389" s="106" t="str"/>
      <x:c r="C389" t="str">
        <x:v>Pasted text(56).txt</x:v>
      </x:c>
    </x:row>
    <x:row r="390">
      <x:c r="A390" t="n">
        <x:v>389</x:v>
      </x:c>
      <x:c r="B390" s="106" t="str">
        <x:v>RUN RESULT: FAIL — X target exceeded at first reliable DAC; reduce amplifier knob</x:v>
      </x:c>
      <x:c r="C390" t="str">
        <x:v>Pasted text(56).txt</x:v>
      </x:c>
    </x:row>
    <x:row r="391">
      <x:c r="A391" t="n">
        <x:v>390</x:v>
      </x:c>
      <x:c r="B391" s="106" t="str"/>
      <x:c r="C391" t="str">
        <x:v>Pasted text(56).txt</x:v>
      </x:c>
    </x:row>
    <x:row r="392">
      <x:c r="A392" t="n">
        <x:v>391</x:v>
      </x:c>
      <x:c r="B392" s="106" t="str">
        <x:v>VISATON OFF. RESTING 5.0 s BEFORE THE NEXT COMPLETELY FRESH RUN.</x:v>
      </x:c>
      <x:c r="C392" t="str">
        <x:v>Pasted text(56).txt</x:v>
      </x:c>
    </x:row>
    <x:row r="393">
      <x:c r="A393" t="n">
        <x:v>392</x:v>
      </x:c>
      <x:c r="B393" s="106" t="str"/>
      <x:c r="C393" t="str">
        <x:v>Pasted text(56).txt</x:v>
      </x:c>
    </x:row>
    <x:row r="394">
      <x:c r="A394" t="n">
        <x:v>393</x:v>
      </x:c>
      <x:c r="B394" s="106" t="str">
        <x:v>################################################################################</x:v>
      </x:c>
      <x:c r="C394" t="str">
        <x:v>Pasted text(56).txt</x:v>
      </x:c>
    </x:row>
    <x:row r="395">
      <x:c r="A395" t="n">
        <x:v>394</x:v>
      </x:c>
      <x:c r="B395" s="106" t="str">
        <x:v>INDEPENDENT TARGET-AMPLITUDE RUN 5 OF 5</x:v>
      </x:c>
      <x:c r="C395" t="str">
        <x:v>Pasted text(56).txt</x:v>
      </x:c>
    </x:row>
    <x:row r="396">
      <x:c r="A396" t="n">
        <x:v>395</x:v>
      </x:c>
      <x:c r="B396" s="106" t="str">
        <x:v>################################################################################</x:v>
      </x:c>
      <x:c r="C396" t="str">
        <x:v>Pasted text(56).txt</x:v>
      </x:c>
    </x:row>
    <x:row r="397">
      <x:c r="A397" t="n">
        <x:v>396</x:v>
      </x:c>
      <x:c r="B397" s="106" t="str">
        <x:v>Frequency: 268.00000 Hz</x:v>
      </x:c>
      <x:c r="C397" t="str">
        <x:v>Pasted text(56).txt</x:v>
      </x:c>
    </x:row>
    <x:row r="398">
      <x:c r="A398" t="n">
        <x:v>397</x:v>
      </x:c>
      <x:c r="B398" s="106" t="str">
        <x:v>Target X amplitude: 1.10000 m/s^2 peak, tolerance +/-7.50 %</x:v>
      </x:c>
      <x:c r="C398" t="str">
        <x:v>Pasted text(56).txt</x:v>
      </x:c>
    </x:row>
    <x:row r="399">
      <x:c r="A399" t="n">
        <x:v>398</x:v>
      </x:c>
      <x:c r="B399" s="106" t="str">
        <x:v>This run starts from DAC 1.00 and ignores every earlier selected DAC.</x:v>
      </x:c>
      <x:c r="C399" t="str">
        <x:v>Pasted text(56).txt</x:v>
      </x:c>
    </x:row>
    <x:row r="400">
      <x:c r="A400" t="n">
        <x:v>399</x:v>
      </x:c>
      <x:c r="B400" s="106" t="str">
        <x:v>ADXL2 DEVID/DATA_FORMAT/BW_RATE/POWER_CTL: 0xE5 / 0xB / 0xE / 0x8</x:v>
      </x:c>
      <x:c r="C400" t="str">
        <x:v>Pasted text(56).txt</x:v>
      </x:c>
    </x:row>
    <x:row r="401">
      <x:c r="A401" t="n">
        <x:v>400</x:v>
      </x:c>
      <x:c r="B401" s="106" t="str"/>
      <x:c r="C401" t="str">
        <x:v>Pasted text(56).txt</x:v>
      </x:c>
    </x:row>
    <x:row r="402">
      <x:c r="A402" t="n">
        <x:v>401</x:v>
      </x:c>
      <x:c r="B402" s="106" t="str">
        <x:v>ACQUISITION ATTEMPT 1 OF 2</x:v>
      </x:c>
      <x:c r="C402" t="str">
        <x:v>Pasted text(56).txt</x:v>
      </x:c>
    </x:row>
    <x:row r="403">
      <x:c r="A403" t="n">
        <x:v>402</x:v>
      </x:c>
      <x:c r="B403" s="106" t="str"/>
      <x:c r="C403" t="str">
        <x:v>Pasted text(56).txt</x:v>
      </x:c>
    </x:row>
    <x:row r="404">
      <x:c r="A404" t="n">
        <x:v>403</x:v>
      </x:c>
      <x:c r="B404" s="106" t="str">
        <x:v>FRESH X-AXIS SEARCH FROM DAC 1.00 — OLD DAC VALUES ARE NOT USED</x:v>
      </x:c>
      <x:c r="C404" t="str">
        <x:v>Pasted text(56).txt</x:v>
      </x:c>
    </x:row>
    <x:row r="405">
      <x:c r="A405" t="n">
        <x:v>404</x:v>
      </x:c>
      <x:c r="B405" s="106" t="str">
        <x:v>Y/Z are diagnostic only and cannot abort this search.</x:v>
      </x:c>
      <x:c r="C405" t="str">
        <x:v>Pasted text(56).txt</x:v>
      </x:c>
    </x:row>
    <x:row r="406">
      <x:c r="A406" t="n">
        <x:v>405</x:v>
      </x:c>
      <x:c r="B406" s="106" t="str">
        <x:v>A real SPI fault, clipping, safety limit or confirmed X-response collapse will stop it.</x:v>
      </x:c>
      <x:c r="C406" t="str">
        <x:v>Pasted text(56).txt</x:v>
      </x:c>
    </x:row>
    <x:row r="407">
      <x:c r="A407" t="n">
        <x:v>406</x:v>
      </x:c>
      <x:c r="B407" s="106" t="str">
        <x:v>SEARCH | point 1 | DAC 1.00 | CTRL X 0.04759 | X 0.03794 | Y 0.01895 | Z 0.05336 | TOTAL 0.07395 | error -95.67 % | MAD 52.74 % | CV 85.66 % | coh 3.9 % | dominant Z | axis fraction 71.1 % | BELOW MEASUREMENT FLOOR — SEARCH CONTINUES</x:v>
      </x:c>
      <x:c r="C407" t="str">
        <x:v>Pasted text(56).txt</x:v>
      </x:c>
    </x:row>
    <x:row r="408">
      <x:c r="A408" t="n">
        <x:v>407</x:v>
      </x:c>
      <x:c r="B408" s="106" t="str">
        <x:v>SEARCH | point 2 | DAC 3.00 | CTRL X 1.45551 | X 1.46505 | Y 0.61025 | Z 0.46968 | TOTAL 1.65582 | error 32.32 % | MAD 0.69 % | CV 1.55 % | coh 79.4 % | dominant X | axis fraction 100.0 % | VALID</x:v>
      </x:c>
      <x:c r="C408" t="str">
        <x:v>Pasted text(56).txt</x:v>
      </x:c>
    </x:row>
    <x:row r="409">
      <x:c r="A409" t="n">
        <x:v>408</x:v>
      </x:c>
      <x:c r="B409" s="106" t="str"/>
      <x:c r="C409" t="str">
        <x:v>Pasted text(56).txt</x:v>
      </x:c>
    </x:row>
    <x:row r="410">
      <x:c r="A410" t="n">
        <x:v>409</x:v>
      </x:c>
      <x:c r="B410" s="106" t="str">
        <x:v>ACQUISITION ATTEMPT 2 OF 2</x:v>
      </x:c>
      <x:c r="C410" t="str">
        <x:v>Pasted text(56).txt</x:v>
      </x:c>
    </x:row>
    <x:row r="411">
      <x:c r="A411" t="n">
        <x:v>410</x:v>
      </x:c>
      <x:c r="B411" s="106" t="str"/>
      <x:c r="C411" t="str">
        <x:v>Pasted text(56).txt</x:v>
      </x:c>
    </x:row>
    <x:row r="412">
      <x:c r="A412" t="n">
        <x:v>411</x:v>
      </x:c>
      <x:c r="B412" s="106" t="str">
        <x:v>FRESH X-AXIS SEARCH FROM DAC 1.00 — OLD DAC VALUES ARE NOT USED</x:v>
      </x:c>
      <x:c r="C412" t="str">
        <x:v>Pasted text(56).txt</x:v>
      </x:c>
    </x:row>
    <x:row r="413">
      <x:c r="A413" t="n">
        <x:v>412</x:v>
      </x:c>
      <x:c r="B413" s="106" t="str">
        <x:v>Y/Z are diagnostic only and cannot abort this search.</x:v>
      </x:c>
      <x:c r="C413" t="str">
        <x:v>Pasted text(56).txt</x:v>
      </x:c>
    </x:row>
    <x:row r="414">
      <x:c r="A414" t="n">
        <x:v>413</x:v>
      </x:c>
      <x:c r="B414" s="106" t="str">
        <x:v>A real SPI fault, clipping, safety limit or confirmed X-response collapse will stop it.</x:v>
      </x:c>
      <x:c r="C414" t="str">
        <x:v>Pasted text(56).txt</x:v>
      </x:c>
    </x:row>
    <x:row r="415">
      <x:c r="A415" t="n">
        <x:v>414</x:v>
      </x:c>
      <x:c r="B415" s="106" t="str">
        <x:v>SEARCH | point 1 | DAC 1.00 | CTRL X 0.07016 | X 0.07478 | Y 0.02307 | Z 0.03719 | TOTAL 0.09003 | error -93.62 % | MAD 19.49 % | CV 8.72 % | coh 7.6 % | dominant X | axis fraction 100.0 % | BELOW MEASUREMENT FLOOR — SEARCH CONTINUES</x:v>
      </x:c>
      <x:c r="C415" t="str">
        <x:v>Pasted text(56).txt</x:v>
      </x:c>
    </x:row>
    <x:row r="416">
      <x:c r="A416" t="n">
        <x:v>415</x:v>
      </x:c>
      <x:c r="B416" s="106" t="str">
        <x:v>SEARCH | point 2 | DAC 3.00 | CTRL X 1.47962 | X 1.47936 | Y 0.59854 | Z 0.45327 | TOTAL 1.65948 | error 34.51 % | MAD 0.08 % | CV 0.08 % | coh 79.4 % | dominant X | axis fraction 100.0 % | VALID</x:v>
      </x:c>
      <x:c r="C416" t="str">
        <x:v>Pasted text(56).txt</x:v>
      </x:c>
    </x:row>
    <x:row r="417">
      <x:c r="A417" t="n">
        <x:v>416</x:v>
      </x:c>
      <x:c r="B417" s="106" t="str"/>
      <x:c r="C417" t="str">
        <x:v>Pasted text(56).txt</x:v>
      </x:c>
    </x:row>
    <x:row r="418">
      <x:c r="A418" t="n">
        <x:v>417</x:v>
      </x:c>
      <x:c r="B418" s="106" t="str">
        <x:v>RUN RESULT: FAIL — X target exceeded at first reliable DAC; reduce amplifier knob</x:v>
      </x:c>
      <x:c r="C418" t="str">
        <x:v>Pasted text(56).txt</x:v>
      </x:c>
    </x:row>
    <x:row r="419">
      <x:c r="A419" t="n">
        <x:v>418</x:v>
      </x:c>
      <x:c r="B419" s="106" t="str"/>
      <x:c r="C419" t="str">
        <x:v>Pasted text(56).txt</x:v>
      </x:c>
    </x:row>
    <x:row r="420">
      <x:c r="A420" t="n">
        <x:v>419</x:v>
      </x:c>
      <x:c r="B420" s="106" t="str">
        <x:v>================================================================================</x:v>
      </x:c>
      <x:c r="C420" t="str">
        <x:v>Pasted text(56).txt</x:v>
      </x:c>
    </x:row>
    <x:row r="421">
      <x:c r="A421" t="n">
        <x:v>420</x:v>
      </x:c>
      <x:c r="B421" s="106" t="str">
        <x:v>FINAL REPEATED TARGET-AMPLITUDE VALIDATION SUMMARY</x:v>
      </x:c>
      <x:c r="C421" t="str">
        <x:v>Pasted text(56).txt</x:v>
      </x:c>
    </x:row>
    <x:row r="422">
      <x:c r="A422" t="n">
        <x:v>421</x:v>
      </x:c>
      <x:c r="B422" s="106" t="str">
        <x:v>================================================================================</x:v>
      </x:c>
      <x:c r="C422" t="str">
        <x:v>Pasted text(56).txt</x:v>
      </x:c>
    </x:row>
    <x:row r="423">
      <x:c r="A423" t="n">
        <x:v>422</x:v>
      </x:c>
      <x:c r="B423" s="106" t="str">
        <x:v>Run,Pass,Selected_DAC,Validated_Amp,Error_pct,FFT_Hz,FFT_Diff_Hz,FFT_SNR_dB,Hold_Mean,Hold_CV_pct,Hold_InBand_pct,Reason</x:v>
      </x:c>
      <x:c r="C423" t="str">
        <x:v>Pasted text(56).txt</x:v>
      </x:c>
    </x:row>
    <x:row r="424">
      <x:c r="A424" t="n">
        <x:v>423</x:v>
      </x:c>
      <x:c r="B424" s="106" t="str">
        <x:v>1,PASS,5.00,1.04652,-4.86,268.05998,0.05998,25.68,1.09640,4.90,80.0,PASS</x:v>
      </x:c>
      <x:c r="C424" t="str">
        <x:v>Pasted text(56).txt</x:v>
      </x:c>
    </x:row>
    <x:row r="425">
      <x:c r="A425" t="n">
        <x:v>424</x:v>
      </x:c>
      <x:c r="B425" s="106" t="str">
        <x:v>2,PASS,3.00,1.05187,-4.38,268.01105,0.01105,22.60,1.08884,1.52,100.0,PASS</x:v>
      </x:c>
      <x:c r="C425" t="str">
        <x:v>Pasted text(56).txt</x:v>
      </x:c>
    </x:row>
    <x:row r="426">
      <x:c r="A426" t="n">
        <x:v>425</x:v>
      </x:c>
      <x:c r="B426" s="106" t="str">
        <x:v>3,PASS,3.00,1.08180,-1.65,268.03435,0.03435,23.03,1.07646,1.20,100.0,PASS</x:v>
      </x:c>
      <x:c r="C426" t="str">
        <x:v>Pasted text(56).txt</x:v>
      </x:c>
    </x:row>
    <x:row r="427">
      <x:c r="A427" t="n">
        <x:v>426</x:v>
      </x:c>
      <x:c r="B427" s="106" t="str">
        <x:v>4,FAIL,3.00,1.07202,-2.54,268.01602,0.01602,22.75,1.42835,8.62,10.0,X target exceeded at first reliable DAC; reduce amplifier knob</x:v>
      </x:c>
      <x:c r="C427" t="str">
        <x:v>Pasted text(56).txt</x:v>
      </x:c>
    </x:row>
    <x:row r="428">
      <x:c r="A428" t="n">
        <x:v>427</x:v>
      </x:c>
      <x:c r="B428" s="106" t="str">
        <x:v>5,FAIL,0.00,0.00000,0.00,0.00000,0.00000,0.00,0.00000,0.00,0.0,X target exceeded at first reliable DAC; reduce amplifier knob</x:v>
      </x:c>
      <x:c r="C428" t="str">
        <x:v>Pasted text(56).txt</x:v>
      </x:c>
    </x:row>
    <x:row r="429">
      <x:c r="A429" t="n">
        <x:v>428</x:v>
      </x:c>
      <x:c r="B429" s="106" t="str">
        <x:v>--------------------------------------------------------------------------------</x:v>
      </x:c>
      <x:c r="C429" t="str">
        <x:v>Pasted text(56).txt</x:v>
      </x:c>
    </x:row>
    <x:row r="430">
      <x:c r="A430" t="n">
        <x:v>429</x:v>
      </x:c>
      <x:c r="B430" s="106" t="str">
        <x:v>Successful independent runs: 3 / 5</x:v>
      </x:c>
      <x:c r="C430" t="str">
        <x:v>Pasted text(56).txt</x:v>
      </x:c>
    </x:row>
    <x:row r="431">
      <x:c r="A431" t="n">
        <x:v>430</x:v>
      </x:c>
      <x:c r="B431" s="106" t="str">
        <x:v>Validated amplitude mean +/- SD: 1.06006 +/- 0.01901 m/s^2 peak</x:v>
      </x:c>
      <x:c r="C431" t="str">
        <x:v>Pasted text(56).txt</x:v>
      </x:c>
    </x:row>
    <x:row r="432">
      <x:c r="A432" t="n">
        <x:v>431</x:v>
      </x:c>
      <x:c r="B432" s="106" t="str">
        <x:v>Across-run amplitude CV: 1.79 %</x:v>
      </x:c>
      <x:c r="C432" t="str">
        <x:v>Pasted text(56).txt</x:v>
      </x:c>
    </x:row>
    <x:row r="433">
      <x:c r="A433" t="n">
        <x:v>432</x:v>
      </x:c>
      <x:c r="B433" s="106" t="str">
        <x:v>Maximum absolute target error: 4.86 %</x:v>
      </x:c>
      <x:c r="C433" t="str">
        <x:v>Pasted text(56).txt</x:v>
      </x:c>
    </x:row>
    <x:row r="434">
      <x:c r="A434" t="n">
        <x:v>433</x:v>
      </x:c>
      <x:c r="B434" s="106" t="str">
        <x:v>FFT frequency mean +/- SD: 268.03513 +/- 0.02447 Hz</x:v>
      </x:c>
      <x:c r="C434" t="str">
        <x:v>Pasted text(56).txt</x:v>
      </x:c>
    </x:row>
    <x:row r="435">
      <x:c r="A435" t="n">
        <x:v>434</x:v>
      </x:c>
      <x:c r="B435" s="106" t="str">
        <x:v>Selected DAC range: 3.00 to 5.00</x:v>
      </x:c>
      <x:c r="C435" t="str">
        <x:v>Pasted text(56).txt</x:v>
      </x:c>
    </x:row>
    <x:row r="436">
      <x:c r="A436" t="n">
        <x:v>435</x:v>
      </x:c>
      <x:c r="B436" s="106" t="str">
        <x:v>Average hold records in target band: 93.3 %</x:v>
      </x:c>
      <x:c r="C436" t="str">
        <x:v>Pasted text(56).txt</x:v>
      </x:c>
    </x:row>
    <x:row r="437">
      <x:c r="A437" t="n">
        <x:v>436</x:v>
      </x:c>
      <x:c r="B437" s="106" t="str">
        <x:v>OVERALL VERDICT: NOT YET REPRODUCIBLE ENOUGH FOR PHASE TESTING.</x:v>
      </x:c>
      <x:c r="C437" t="str">
        <x:v>Pasted text(56).txt</x:v>
      </x:c>
    </x:row>
    <x:row r="438">
      <x:c r="A438" t="n">
        <x:v>437</x:v>
      </x:c>
      <x:c r="B438" s="106" t="str">
        <x:v>Fix the reported communication, actuator-response or hold-stability failure first.</x:v>
      </x:c>
      <x:c r="C438" t="str">
        <x:v>Pasted text(56).txt</x:v>
      </x:c>
    </x:row>
    <x:row r="439">
      <x:c r="A439" t="n">
        <x:v>438</x:v>
      </x:c>
      <x:c r="B439" s="106" t="str"/>
      <x:c r="C439" t="str">
        <x:v>Pasted text(56).txt</x:v>
      </x:c>
    </x:row>
    <x:row r="440">
      <x:c r="A440" t="n">
        <x:v>439</x:v>
      </x:c>
      <x:c r="B440" s="106" t="str">
        <x:v>Automatic test complete. Enter h for commands.</x:v>
      </x:c>
      <x:c r="C440" t="str">
        <x:v>Pasted text(56).txt</x:v>
      </x:c>
    </x:row>
    <x:row r="441">
      <x:c r="A441" t="n">
        <x:v>440</x:v>
      </x:c>
      <x:c r="B441" s="106" t="str"/>
      <x:c r="C441" t="str">
        <x:v>Pasted text(56).txt</x:v>
      </x:c>
    </x:row>
    <x:row r="442">
      <x:c r="A442" t="n">
        <x:v>441</x:v>
      </x:c>
      <x:c r="B442" s="106" t="str">
        <x:v>============================================================</x:v>
      </x:c>
      <x:c r="C442" t="str">
        <x:v>Pasted text(56).txt</x:v>
      </x:c>
    </x:row>
    <x:row r="443">
      <x:c r="A443" t="n">
        <x:v>442</x:v>
      </x:c>
      <x:c r="B443" s="106" t="str">
        <x:v>COMMANDS</x:v>
      </x:c>
      <x:c r="C443" t="str">
        <x:v>Pasted text(56).txt</x:v>
      </x:c>
    </x:row>
    <x:row r="444">
      <x:c r="A444" t="n">
        <x:v>443</x:v>
      </x:c>
      <x:c r="B444" s="106" t="str">
        <x:v>============================================================</x:v>
      </x:c>
      <x:c r="C444" t="str">
        <x:v>Pasted text(56).txt</x:v>
      </x:c>
    </x:row>
    <x:row r="445">
      <x:c r="A445" t="n">
        <x:v>444</x:v>
      </x:c>
      <x:c r="B445" s="106" t="str">
        <x:v>f 268    = set frequency in Hz (20-350)</x:v>
      </x:c>
      <x:c r="C445" t="str">
        <x:v>Pasted text(56).txt</x:v>
      </x:c>
    </x:row>
    <x:row r="446">
      <x:c r="A446" t="n">
        <x:v>445</x:v>
      </x:c>
      <x:c r="B446" s="106" t="str">
        <x:v>t 1.12   = set X-axis target peak amplitude in m/s^2</x:v>
      </x:c>
      <x:c r="C446" t="str">
        <x:v>Pasted text(56).txt</x:v>
      </x:c>
    </x:row>
    <x:row r="447">
      <x:c r="A447" t="n">
        <x:v>446</x:v>
      </x:c>
      <x:c r="B447" s="106" t="str">
        <x:v>e 7.5    = set tolerance percent (5-10 recommended)</x:v>
      </x:c>
      <x:c r="C447" t="str">
        <x:v>Pasted text(56).txt</x:v>
      </x:c>
    </x:row>
    <x:row r="448">
      <x:c r="A448" t="n">
        <x:v>447</x:v>
      </x:c>
      <x:c r="B448" s="106" t="str">
        <x:v>n 5      = set independent run count (2-10)</x:v>
      </x:c>
      <x:c r="C448" t="str">
        <x:v>Pasted text(56).txt</x:v>
      </x:c>
    </x:row>
    <x:row r="449">
      <x:c r="A449" t="n">
        <x:v>448</x:v>
      </x:c>
      <x:c r="B449" s="106" t="str">
        <x:v>k 10     = set fixed-DAC hold records per run (5-30)</x:v>
      </x:c>
      <x:c r="C449" t="str">
        <x:v>Pasted text(56).txt</x:v>
      </x:c>
    </x:row>
    <x:row r="450">
      <x:c r="A450" t="n">
        <x:v>449</x:v>
      </x:c>
      <x:c r="B450" s="106" t="str">
        <x:v>a        = run complete repeated target-amplitude validation</x:v>
      </x:c>
      <x:c r="C450" t="str">
        <x:v>Pasted text(56).txt</x:v>
      </x:c>
    </x:row>
    <x:row r="451">
      <x:c r="A451" t="n">
        <x:v>450</x:v>
      </x:c>
      <x:c r="B451" s="106" t="str">
        <x:v>q 10     = one exact-frequency quadrature measurement at DAC 10</x:v>
      </x:c>
      <x:c r="C451" t="str">
        <x:v>Pasted text(56).txt</x:v>
      </x:c>
    </x:row>
    <x:row r="452">
      <x:c r="A452" t="n">
        <x:v>451</x:v>
      </x:c>
      <x:c r="B452" s="106" t="str">
        <x:v>d 15     = one validated blind FFT diagnostic at DAC 15</x:v>
      </x:c>
      <x:c r="C452" t="str">
        <x:v>Pasted text(56).txt</x:v>
      </x:c>
    </x:row>
    <x:row r="453">
      <x:c r="A453" t="n">
        <x:v>452</x:v>
      </x:c>
      <x:c r="B453" s="106" t="str">
        <x:v>p        = print settings</x:v>
      </x:c>
      <x:c r="C453" t="str">
        <x:v>Pasted text(56).txt</x:v>
      </x:c>
    </x:row>
    <x:row r="454">
      <x:c r="A454" t="n">
        <x:v>453</x:v>
      </x:c>
      <x:c r="B454" s="106" t="str">
        <x:v>s        = emergency stop</x:v>
      </x:c>
      <x:c r="C454" t="str">
        <x:v>Pasted text(56).txt</x:v>
      </x:c>
    </x:row>
    <x:row r="455">
      <x:c r="A455" t="n">
        <x:v>454</x:v>
      </x:c>
      <x:c r="B455" s="106" t="str">
        <x:v>h        = show menu</x:v>
      </x:c>
      <x:c r="C455" t="str">
        <x:v>Pasted text(56).txt</x:v>
      </x:c>
    </x:row>
    <x:row r="456">
      <x:c r="A456" t="n">
        <x:v>455</x:v>
      </x:c>
      <x:c r="B456" s="106" t="str">
        <x:v>============================================================</x:v>
      </x:c>
      <x:c r="C456" t="str">
        <x:v>Pasted text(56).txt</x:v>
      </x:c>
    </x:row>
    <x:row r="457">
      <x:c r="A457" t="n">
        <x:v>456</x:v>
      </x:c>
      <x:c r="B457" s="106" t="str">
        <x:v>Target amplitude set to 0.90000 m/s^2 peak.</x:v>
      </x:c>
      <x:c r="C457" t="str">
        <x:v>Pasted text(56).txt</x:v>
      </x:c>
    </x:row>
    <x:row r="458">
      <x:c r="A458" t="n">
        <x:v>457</x:v>
      </x:c>
      <x:c r="B458" s="106" t="str"/>
      <x:c r="C458" t="str">
        <x:v>Pasted text(56).txt</x:v>
      </x:c>
    </x:row>
    <x:row r="459">
      <x:c r="A459" t="n">
        <x:v>458</x:v>
      </x:c>
      <x:c r="B459" s="106" t="str">
        <x:v>================================================================================</x:v>
      </x:c>
      <x:c r="C459" t="str">
        <x:v>Pasted text(56).txt</x:v>
      </x:c>
    </x:row>
    <x:row r="460">
      <x:c r="A460" t="n">
        <x:v>459</x:v>
      </x:c>
      <x:c r="B460" s="106" t="str">
        <x:v>REPEATED INDEPENDENT TARGET-AMPLITUDE VALIDATION STARTED</x:v>
      </x:c>
      <x:c r="C460" t="str">
        <x:v>Pasted text(56).txt</x:v>
      </x:c>
    </x:row>
    <x:row r="461">
      <x:c r="A461" t="n">
        <x:v>460</x:v>
      </x:c>
      <x:c r="B461" s="106" t="str">
        <x:v>================================================================================</x:v>
      </x:c>
      <x:c r="C461" t="str">
        <x:v>Pasted text(56).txt</x:v>
      </x:c>
    </x:row>
    <x:row r="462">
      <x:c r="A462" t="n">
        <x:v>461</x:v>
      </x:c>
      <x:c r="B462" s="106" t="str"/>
      <x:c r="C462" t="str">
        <x:v>Pasted text(56).txt</x:v>
      </x:c>
    </x:row>
    <x:row r="463">
      <x:c r="A463" t="n">
        <x:v>462</x:v>
      </x:c>
      <x:c r="B463" s="106" t="str">
        <x:v>CURRENT SETTINGS</x:v>
      </x:c>
      <x:c r="C463" t="str">
        <x:v>Pasted text(56).txt</x:v>
      </x:c>
    </x:row>
    <x:row r="464">
      <x:c r="A464" t="n">
        <x:v>463</x:v>
      </x:c>
      <x:c r="B464" s="106" t="str">
        <x:v>Frequency: 268.00000 Hz</x:v>
      </x:c>
      <x:c r="C464" t="str">
        <x:v>Pasted text(56).txt</x:v>
      </x:c>
    </x:row>
    <x:row r="465">
      <x:c r="A465" t="n">
        <x:v>464</x:v>
      </x:c>
      <x:c r="B465" s="106" t="str">
        <x:v>Control axis: X ONLY (Y/Z diagnostic only)</x:v>
      </x:c>
      <x:c r="C465" t="str">
        <x:v>Pasted text(56).txt</x:v>
      </x:c>
    </x:row>
    <x:row r="466">
      <x:c r="A466" t="n">
        <x:v>465</x:v>
      </x:c>
      <x:c r="B466" s="106" t="str">
        <x:v>Target peak amplitude: 0.90000 m/s^2</x:v>
      </x:c>
      <x:c r="C466" t="str">
        <x:v>Pasted text(56).txt</x:v>
      </x:c>
    </x:row>
    <x:row r="467">
      <x:c r="A467" t="n">
        <x:v>466</x:v>
      </x:c>
      <x:c r="B467" s="106" t="str">
        <x:v>Tolerance: +/-7.50 %</x:v>
      </x:c>
      <x:c r="C467" t="str">
        <x:v>Pasted text(56).txt</x:v>
      </x:c>
    </x:row>
    <x:row r="468">
      <x:c r="A468" t="n">
        <x:v>467</x:v>
      </x:c>
      <x:c r="B468" s="106" t="str">
        <x:v>Allowed amplitude band: 0.83250 to 0.96750 m/s^2 peak</x:v>
      </x:c>
      <x:c r="C468" t="str">
        <x:v>Pasted text(56).txt</x:v>
      </x:c>
    </x:row>
    <x:row r="469">
      <x:c r="A469" t="n">
        <x:v>468</x:v>
      </x:c>
      <x:c r="B469" s="106" t="str">
        <x:v>Independent runs: 5</x:v>
      </x:c>
      <x:c r="C469" t="str">
        <x:v>Pasted text(56).txt</x:v>
      </x:c>
    </x:row>
    <x:row r="470">
      <x:c r="A470" t="n">
        <x:v>469</x:v>
      </x:c>
      <x:c r="B470" s="106" t="str">
        <x:v>Hold records per run: 10</x:v>
      </x:c>
      <x:c r="C470" t="str">
        <x:v>Pasted text(56).txt</x:v>
      </x:c>
    </x:row>
    <x:row r="471">
      <x:c r="A471" t="n">
        <x:v>470</x:v>
      </x:c>
      <x:c r="B471" s="106" t="str">
        <x:v>DAC search range/resolution: 1.00 to 30.00 / 0.25</x:v>
      </x:c>
      <x:c r="C471" t="str">
        <x:v>Pasted text(56).txt</x:v>
      </x:c>
    </x:row>
    <x:row r="472">
      <x:c r="A472" t="n">
        <x:v>471</x:v>
      </x:c>
      <x:c r="B472" s="106" t="str">
        <x:v>FFT bin resolution: 1.56250 Hz; accepted command-to-bin difference &lt;= 2.00 Hz</x:v>
      </x:c>
      <x:c r="C472" t="str">
        <x:v>Pasted text(56).txt</x:v>
      </x:c>
    </x:row>
    <x:row r="473">
      <x:c r="A473" t="n">
        <x:v>472</x:v>
      </x:c>
      <x:c r="B473" s="106" t="str">
        <x:v>Every run starts from DAC 1.00. Different selected DACs are allowed.</x:v>
      </x:c>
      <x:c r="C473" t="str">
        <x:v>Pasted text(56).txt</x:v>
      </x:c>
    </x:row>
    <x:row r="474">
      <x:c r="A474" t="n">
        <x:v>473</x:v>
      </x:c>
      <x:c r="B474" s="106" t="str">
        <x:v>The accepted result is X-axis amplitude and X-axis frequency, not DAC.</x:v>
      </x:c>
      <x:c r="C474" t="str">
        <x:v>Pasted text(56).txt</x:v>
      </x:c>
    </x:row>
    <x:row r="475">
      <x:c r="A475" t="n">
        <x:v>474</x:v>
      </x:c>
      <x:c r="B475" s="106" t="str"/>
      <x:c r="C475" t="str">
        <x:v>Pasted text(56).txt</x:v>
      </x:c>
    </x:row>
    <x:row r="476">
      <x:c r="A476" t="n">
        <x:v>475</x:v>
      </x:c>
      <x:c r="B476" s="106" t="str">
        <x:v>################################################################################</x:v>
      </x:c>
      <x:c r="C476" t="str">
        <x:v>Pasted text(56).txt</x:v>
      </x:c>
    </x:row>
    <x:row r="477">
      <x:c r="A477" t="n">
        <x:v>476</x:v>
      </x:c>
      <x:c r="B477" s="106" t="str">
        <x:v>INDEPENDENT TARGET-AMPLITUDE RUN 1 OF 5</x:v>
      </x:c>
      <x:c r="C477" t="str">
        <x:v>Pasted text(56).txt</x:v>
      </x:c>
    </x:row>
    <x:row r="478">
      <x:c r="A478" t="n">
        <x:v>477</x:v>
      </x:c>
      <x:c r="B478" s="106" t="str">
        <x:v>################################################################################</x:v>
      </x:c>
      <x:c r="C478" t="str">
        <x:v>Pasted text(56).txt</x:v>
      </x:c>
    </x:row>
    <x:row r="479">
      <x:c r="A479" t="n">
        <x:v>478</x:v>
      </x:c>
      <x:c r="B479" s="106" t="str">
        <x:v>Frequency: 268.00000 Hz</x:v>
      </x:c>
      <x:c r="C479" t="str">
        <x:v>Pasted text(56).txt</x:v>
      </x:c>
    </x:row>
    <x:row r="480">
      <x:c r="A480" t="n">
        <x:v>479</x:v>
      </x:c>
      <x:c r="B480" s="106" t="str">
        <x:v>Target X amplitude: 0.90000 m/s^2 peak, tolerance +/-7.50 %</x:v>
      </x:c>
      <x:c r="C480" t="str">
        <x:v>Pasted text(56).txt</x:v>
      </x:c>
    </x:row>
    <x:row r="481">
      <x:c r="A481" t="n">
        <x:v>480</x:v>
      </x:c>
      <x:c r="B481" s="106" t="str">
        <x:v>This run starts from DAC 1.00 and ignores every earlier selected DAC.</x:v>
      </x:c>
      <x:c r="C481" t="str">
        <x:v>Pasted text(56).txt</x:v>
      </x:c>
    </x:row>
    <x:row r="482">
      <x:c r="A482" t="n">
        <x:v>481</x:v>
      </x:c>
      <x:c r="B482" s="106" t="str">
        <x:v>ADXL2 DEVID/DATA_FORMAT/BW_RATE/POWER_CTL: 0xE5 / 0xB / 0xE / 0x8</x:v>
      </x:c>
      <x:c r="C482" t="str">
        <x:v>Pasted text(56).txt</x:v>
      </x:c>
    </x:row>
    <x:row r="483">
      <x:c r="A483" t="n">
        <x:v>482</x:v>
      </x:c>
      <x:c r="B483" s="106" t="str"/>
      <x:c r="C483" t="str">
        <x:v>Pasted text(56).txt</x:v>
      </x:c>
    </x:row>
    <x:row r="484">
      <x:c r="A484" t="n">
        <x:v>483</x:v>
      </x:c>
      <x:c r="B484" s="106" t="str">
        <x:v>ACQUISITION ATTEMPT 1 OF 2</x:v>
      </x:c>
      <x:c r="C484" t="str">
        <x:v>Pasted text(56).txt</x:v>
      </x:c>
    </x:row>
    <x:row r="485">
      <x:c r="A485" t="n">
        <x:v>484</x:v>
      </x:c>
      <x:c r="B485" s="106" t="str"/>
      <x:c r="C485" t="str">
        <x:v>Pasted text(56).txt</x:v>
      </x:c>
    </x:row>
    <x:row r="486">
      <x:c r="A486" t="n">
        <x:v>485</x:v>
      </x:c>
      <x:c r="B486" s="106" t="str">
        <x:v>FRESH X-AXIS SEARCH FROM DAC 1.00 — OLD DAC VALUES ARE NOT USED</x:v>
      </x:c>
      <x:c r="C486" t="str">
        <x:v>Pasted text(56).txt</x:v>
      </x:c>
    </x:row>
    <x:row r="487">
      <x:c r="A487" t="n">
        <x:v>486</x:v>
      </x:c>
      <x:c r="B487" s="106" t="str">
        <x:v>Y/Z are diagnostic only and cannot abort this search.</x:v>
      </x:c>
      <x:c r="C487" t="str">
        <x:v>Pasted text(56).txt</x:v>
      </x:c>
    </x:row>
    <x:row r="488">
      <x:c r="A488" t="n">
        <x:v>487</x:v>
      </x:c>
      <x:c r="B488" s="106" t="str">
        <x:v>A real SPI fault, clipping, safety limit or confirmed X-response collapse will stop it.</x:v>
      </x:c>
      <x:c r="C488" t="str">
        <x:v>Pasted text(56).txt</x:v>
      </x:c>
    </x:row>
    <x:row r="489">
      <x:c r="A489" t="n">
        <x:v>488</x:v>
      </x:c>
      <x:c r="B489" s="106" t="str">
        <x:v>SEARCH | point 1 | DAC 1.00 | CTRL X 0.05350 | X 0.05292 | Y 0.07121 | Z 0.03334 | TOTAL 0.09777 | error -94.06 % | MAD 3.21 % | CV 1.55 % | coh 5.6 % | dominant Y | axis fraction 74.3 % | BELOW MEASUREMENT FLOOR — SEARCH CONTINUES</x:v>
      </x:c>
      <x:c r="C489" t="str">
        <x:v>Pasted text(56).txt</x:v>
      </x:c>
    </x:row>
    <x:row r="490">
      <x:c r="A490" t="n">
        <x:v>489</x:v>
      </x:c>
      <x:c r="B490" s="106" t="str">
        <x:v>SEARCH | point 2 | DAC 3.00 | CTRL X 1.45758 | X 1.44962 | Y 0.58133 | Z 0.46691 | TOTAL 1.63042 | error 61.95 % | MAD 1.07 % | CV 1.62 % | coh 78.5 % | dominant X | axis fraction 100.0 % | VALID</x:v>
      </x:c>
      <x:c r="C490" t="str">
        <x:v>Pasted text(56).txt</x:v>
      </x:c>
    </x:row>
    <x:row r="491">
      <x:c r="A491" t="n">
        <x:v>490</x:v>
      </x:c>
      <x:c r="B491" s="106" t="str"/>
      <x:c r="C491" t="str">
        <x:v>Pasted text(56).txt</x:v>
      </x:c>
    </x:row>
    <x:row r="492">
      <x:c r="A492" t="n">
        <x:v>491</x:v>
      </x:c>
      <x:c r="B492" s="106" t="str">
        <x:v>ACQUISITION ATTEMPT 2 OF 2</x:v>
      </x:c>
      <x:c r="C492" t="str">
        <x:v>Pasted text(56).txt</x:v>
      </x:c>
    </x:row>
    <x:row r="493">
      <x:c r="A493" t="n">
        <x:v>492</x:v>
      </x:c>
      <x:c r="B493" s="106" t="str"/>
      <x:c r="C493" t="str">
        <x:v>Pasted text(56).txt</x:v>
      </x:c>
    </x:row>
    <x:row r="494">
      <x:c r="A494" t="n">
        <x:v>493</x:v>
      </x:c>
      <x:c r="B494" s="106" t="str">
        <x:v>FRESH X-AXIS SEARCH FROM DAC 1.00 — OLD DAC VALUES ARE NOT USED</x:v>
      </x:c>
      <x:c r="C494" t="str">
        <x:v>Pasted text(56).txt</x:v>
      </x:c>
    </x:row>
    <x:row r="495">
      <x:c r="A495" t="n">
        <x:v>494</x:v>
      </x:c>
      <x:c r="B495" s="106" t="str">
        <x:v>Y/Z are diagnostic only and cannot abort this search.</x:v>
      </x:c>
      <x:c r="C495" t="str">
        <x:v>Pasted text(56).txt</x:v>
      </x:c>
    </x:row>
    <x:row r="496">
      <x:c r="A496" t="n">
        <x:v>495</x:v>
      </x:c>
      <x:c r="B496" s="106" t="str">
        <x:v>A real SPI fault, clipping, safety limit or confirmed X-response collapse will stop it.</x:v>
      </x:c>
      <x:c r="C496" t="str">
        <x:v>Pasted text(56).txt</x:v>
      </x:c>
    </x:row>
    <x:row r="497">
      <x:c r="A497" t="n">
        <x:v>496</x:v>
      </x:c>
      <x:c r="B497" s="106" t="str">
        <x:v>SEARCH | point 1 | DAC 1.00 | CTRL X 0.06020 | X 0.04885 | Y 0.02688 | Z 0.02641 | TOTAL 0.07225 | error -93.31 % | MAD 51.69 % | CV 80.36 % | coh 5.2 % | dominant X | axis fraction 100.0 % | BELOW MEASUREMENT FLOOR — SEARCH CONTINUES</x:v>
      </x:c>
      <x:c r="C497" t="str">
        <x:v>Pasted text(56).txt</x:v>
      </x:c>
    </x:row>
    <x:row r="498">
      <x:c r="A498" t="n">
        <x:v>497</x:v>
      </x:c>
      <x:c r="B498" s="106" t="str">
        <x:v>SEARCH | point 2 | DAC 3.00 | CTRL X 1.44350 | X 1.44678 | Y 0.57788 | Z 0.48832 | TOTAL 1.63270 | error 60.39 % | MAD 0.06 % | CV 0.43 % | coh 78.7 % | dominant X | axis fraction 100.0 % | VALID</x:v>
      </x:c>
      <x:c r="C498" t="str">
        <x:v>Pasted text(56).txt</x:v>
      </x:c>
    </x:row>
    <x:row r="499">
      <x:c r="A499" t="n">
        <x:v>498</x:v>
      </x:c>
      <x:c r="B499" s="106" t="str"/>
      <x:c r="C499" t="str">
        <x:v>Pasted text(56).txt</x:v>
      </x:c>
    </x:row>
    <x:row r="500">
      <x:c r="A500" t="n">
        <x:v>499</x:v>
      </x:c>
      <x:c r="B500" s="106" t="str">
        <x:v>RUN RESULT: FAIL — X target exceeded at first reliable DAC; reduce amplifier knob</x:v>
      </x:c>
      <x:c r="C500" t="str">
        <x:v>Pasted text(56).txt</x:v>
      </x:c>
    </x:row>
    <x:row r="501">
      <x:c r="A501" t="n">
        <x:v>500</x:v>
      </x:c>
      <x:c r="B501" s="106" t="str"/>
      <x:c r="C501" t="str">
        <x:v>Pasted text(56).txt</x:v>
      </x:c>
    </x:row>
    <x:row r="502">
      <x:c r="A502" t="n">
        <x:v>501</x:v>
      </x:c>
      <x:c r="B502" s="106" t="str">
        <x:v>VISATON OFF. RESTING 5.0 s BEFORE THE NEXT COMPLETELY FRESH RUN.</x:v>
      </x:c>
      <x:c r="C502" t="str">
        <x:v>Pasted text(56).txt</x:v>
      </x:c>
    </x:row>
    <x:row r="503">
      <x:c r="A503" t="n">
        <x:v>502</x:v>
      </x:c>
      <x:c r="B503" s="106" t="str"/>
      <x:c r="C503" t="str">
        <x:v>Pasted text(56).txt</x:v>
      </x:c>
    </x:row>
    <x:row r="504">
      <x:c r="A504" t="n">
        <x:v>503</x:v>
      </x:c>
      <x:c r="B504" s="106" t="str">
        <x:v>################################################################################</x:v>
      </x:c>
      <x:c r="C504" t="str">
        <x:v>Pasted text(56).txt</x:v>
      </x:c>
    </x:row>
    <x:row r="505">
      <x:c r="A505" t="n">
        <x:v>504</x:v>
      </x:c>
      <x:c r="B505" s="106" t="str">
        <x:v>INDEPENDENT TARGET-AMPLITUDE RUN 2 OF 5</x:v>
      </x:c>
      <x:c r="C505" t="str">
        <x:v>Pasted text(56).txt</x:v>
      </x:c>
    </x:row>
    <x:row r="506">
      <x:c r="A506" t="n">
        <x:v>505</x:v>
      </x:c>
      <x:c r="B506" s="106" t="str">
        <x:v>################################################################################</x:v>
      </x:c>
      <x:c r="C506" t="str">
        <x:v>Pasted text(56).txt</x:v>
      </x:c>
    </x:row>
    <x:row r="507">
      <x:c r="A507" t="n">
        <x:v>506</x:v>
      </x:c>
      <x:c r="B507" s="106" t="str">
        <x:v>Frequency: 268.00000 Hz</x:v>
      </x:c>
      <x:c r="C507" t="str">
        <x:v>Pasted text(56).txt</x:v>
      </x:c>
    </x:row>
    <x:row r="508">
      <x:c r="A508" t="n">
        <x:v>507</x:v>
      </x:c>
      <x:c r="B508" s="106" t="str">
        <x:v>Target X amplitude: 0.90000 m/s^2 peak, tolerance +/-7.50 %</x:v>
      </x:c>
      <x:c r="C508" t="str">
        <x:v>Pasted text(56).txt</x:v>
      </x:c>
    </x:row>
    <x:row r="509">
      <x:c r="A509" t="n">
        <x:v>508</x:v>
      </x:c>
      <x:c r="B509" s="106" t="str">
        <x:v>This run starts from DAC 1.00 and ignores every earlier selected DAC.</x:v>
      </x:c>
      <x:c r="C509" t="str">
        <x:v>Pasted text(56).txt</x:v>
      </x:c>
    </x:row>
    <x:row r="510">
      <x:c r="A510" t="n">
        <x:v>509</x:v>
      </x:c>
      <x:c r="B510" s="106" t="str">
        <x:v>ADXL2 DEVID/DATA_FORMAT/BW_RATE/POWER_CTL: 0xE5 / 0xB / 0xE / 0x8</x:v>
      </x:c>
      <x:c r="C510" t="str">
        <x:v>Pasted text(56).txt</x:v>
      </x:c>
    </x:row>
    <x:row r="511">
      <x:c r="A511" t="n">
        <x:v>510</x:v>
      </x:c>
      <x:c r="B511" s="106" t="str"/>
      <x:c r="C511" t="str">
        <x:v>Pasted text(56).txt</x:v>
      </x:c>
    </x:row>
    <x:row r="512">
      <x:c r="A512" t="n">
        <x:v>511</x:v>
      </x:c>
      <x:c r="B512" s="106" t="str">
        <x:v>ACQUISITION ATTEMPT 1 OF 2</x:v>
      </x:c>
      <x:c r="C512" t="str">
        <x:v>Pasted text(56).txt</x:v>
      </x:c>
    </x:row>
    <x:row r="513">
      <x:c r="A513" t="n">
        <x:v>512</x:v>
      </x:c>
      <x:c r="B513" s="106" t="str"/>
      <x:c r="C513" t="str">
        <x:v>Pasted text(56).txt</x:v>
      </x:c>
    </x:row>
    <x:row r="514">
      <x:c r="A514" t="n">
        <x:v>513</x:v>
      </x:c>
      <x:c r="B514" s="106" t="str">
        <x:v>FRESH X-AXIS SEARCH FROM DAC 1.00 — OLD DAC VALUES ARE NOT USED</x:v>
      </x:c>
      <x:c r="C514" t="str">
        <x:v>Pasted text(56).txt</x:v>
      </x:c>
    </x:row>
    <x:row r="515">
      <x:c r="A515" t="n">
        <x:v>514</x:v>
      </x:c>
      <x:c r="B515" s="106" t="str">
        <x:v>Y/Z are diagnostic only and cannot abort this search.</x:v>
      </x:c>
      <x:c r="C515" t="str">
        <x:v>Pasted text(56).txt</x:v>
      </x:c>
    </x:row>
    <x:row r="516">
      <x:c r="A516" t="n">
        <x:v>515</x:v>
      </x:c>
      <x:c r="B516" s="106" t="str">
        <x:v>A real SPI fault, clipping, safety limit or confirmed X-response collapse will stop it.</x:v>
      </x:c>
      <x:c r="C516" t="str">
        <x:v>Pasted text(56).txt</x:v>
      </x:c>
    </x:row>
    <x:row r="517">
      <x:c r="A517" t="n">
        <x:v>516</x:v>
      </x:c>
      <x:c r="B517" s="106" t="str">
        <x:v>SEARCH | point 1 | DAC 1.00 | CTRL X 0.05530 | X 0.05390 | Y 0.03301 | Z 0.02723 | TOTAL 0.07108 | error -93.86 % | MAD 12.21 % | CV 12.54 % | coh 5.7 % | dominant X | axis fraction 100.0 % | BELOW MEASUREMENT FLOOR — SEARCH CONTINUES</x:v>
      </x:c>
      <x:c r="C517" t="str">
        <x:v>Pasted text(56).txt</x:v>
      </x:c>
    </x:row>
    <x:row r="518">
      <x:c r="A518" t="n">
        <x:v>517</x:v>
      </x:c>
      <x:c r="B518" s="106" t="str">
        <x:v>SEARCH | point 2 | DAC 3.00 | CTRL X 1.43053 | X 1.45085 | Y 0.55081 | Z 0.46634 | TOTAL 1.62059 | error 58.95 % | MAD 0.09 % | CV 2.48 % | coh 79.8 % | dominant X | axis fraction 100.0 % | VALID</x:v>
      </x:c>
      <x:c r="C518" t="str">
        <x:v>Pasted text(56).txt</x:v>
      </x:c>
    </x:row>
    <x:row r="519">
      <x:c r="A519" t="n">
        <x:v>518</x:v>
      </x:c>
      <x:c r="B519" s="106" t="str"/>
      <x:c r="C519" t="str">
        <x:v>Pasted text(56).txt</x:v>
      </x:c>
    </x:row>
    <x:row r="520">
      <x:c r="A520" t="n">
        <x:v>519</x:v>
      </x:c>
      <x:c r="B520" s="106" t="str">
        <x:v>ACQUISITION ATTEMPT 2 OF 2</x:v>
      </x:c>
      <x:c r="C520" t="str">
        <x:v>Pasted text(56).txt</x:v>
      </x:c>
    </x:row>
    <x:row r="521">
      <x:c r="A521" t="n">
        <x:v>520</x:v>
      </x:c>
      <x:c r="B521" s="106" t="str"/>
      <x:c r="C521" t="str">
        <x:v>Pasted text(56).txt</x:v>
      </x:c>
    </x:row>
    <x:row r="522">
      <x:c r="A522" t="n">
        <x:v>521</x:v>
      </x:c>
      <x:c r="B522" s="106" t="str">
        <x:v>FRESH X-AXIS SEARCH FROM DAC 1.00 — OLD DAC VALUES ARE NOT USED</x:v>
      </x:c>
      <x:c r="C522" t="str">
        <x:v>Pasted text(56).txt</x:v>
      </x:c>
    </x:row>
    <x:row r="523">
      <x:c r="A523" t="n">
        <x:v>522</x:v>
      </x:c>
      <x:c r="B523" s="106" t="str">
        <x:v>Y/Z are diagnostic only and cannot abort this search.</x:v>
      </x:c>
      <x:c r="C523" t="str">
        <x:v>Pasted text(56).txt</x:v>
      </x:c>
    </x:row>
    <x:row r="524">
      <x:c r="A524" t="n">
        <x:v>523</x:v>
      </x:c>
      <x:c r="B524" s="106" t="str">
        <x:v>A real SPI fault, clipping, safety limit or confirmed X-response collapse will stop it.</x:v>
      </x:c>
      <x:c r="C524" t="str">
        <x:v>Pasted text(56).txt</x:v>
      </x:c>
    </x:row>
    <x:row r="525">
      <x:c r="A525" t="n">
        <x:v>524</x:v>
      </x:c>
      <x:c r="B525" s="106" t="str">
        <x:v>SEARCH | point 1 | DAC 1.00 | CTRL X 0.05672 | X 0.06061 | Y 0.04039 | Z 0.06507 | TOTAL 0.09969 | error -93.70 % | MAD 20.33 % | CV 9.07 % | coh 6.4 % | dominant Z | axis fraction 93.1 % | BELOW MEASUREMENT FLOOR — SEARCH CONTINUES</x:v>
      </x:c>
      <x:c r="C525" t="str">
        <x:v>Pasted text(56).txt</x:v>
      </x:c>
    </x:row>
    <x:row r="526">
      <x:c r="A526" t="n">
        <x:v>525</x:v>
      </x:c>
      <x:c r="B526" s="106" t="str">
        <x:v>SEARCH | point 2 | DAC 3.00 | CTRL X 1.48060 | X 1.46371 | Y 0.58553 | Z 0.44644 | TOTAL 1.63922 | error 64.51 % | MAD 0.98 % | CV 2.60 % | coh 79.8 % | dominant X | axis fraction 100.0 % | VALID</x:v>
      </x:c>
      <x:c r="C526" t="str">
        <x:v>Pasted text(56).txt</x:v>
      </x:c>
    </x:row>
    <x:row r="527">
      <x:c r="A527" t="n">
        <x:v>526</x:v>
      </x:c>
      <x:c r="B527" s="106" t="str"/>
      <x:c r="C527" t="str">
        <x:v>Pasted text(56).txt</x:v>
      </x:c>
    </x:row>
    <x:row r="528">
      <x:c r="A528" t="n">
        <x:v>527</x:v>
      </x:c>
      <x:c r="B528" s="106" t="str">
        <x:v>RUN RESULT: FAIL — X target exceeded at first reliable DAC; reduce amplifier knob</x:v>
      </x:c>
      <x:c r="C528" t="str">
        <x:v>Pasted text(56).txt</x:v>
      </x:c>
    </x:row>
    <x:row r="529">
      <x:c r="A529" t="n">
        <x:v>528</x:v>
      </x:c>
      <x:c r="B529" s="106" t="str"/>
      <x:c r="C529" t="str">
        <x:v>Pasted text(56).txt</x:v>
      </x:c>
    </x:row>
    <x:row r="530">
      <x:c r="A530" t="n">
        <x:v>529</x:v>
      </x:c>
      <x:c r="B530" s="106" t="str">
        <x:v>VISATON OFF. RESTING 5.0 s BEFORE THE NEXT COMPLETELY FRESH RUN.</x:v>
      </x:c>
      <x:c r="C530" t="str">
        <x:v>Pasted text(56).txt</x:v>
      </x:c>
    </x:row>
    <x:row r="531">
      <x:c r="A531" t="n">
        <x:v>530</x:v>
      </x:c>
      <x:c r="B531" s="106" t="str"/>
      <x:c r="C531" t="str">
        <x:v>Pasted text(56).txt</x:v>
      </x:c>
    </x:row>
    <x:row r="532">
      <x:c r="A532" t="n">
        <x:v>531</x:v>
      </x:c>
      <x:c r="B532" s="106" t="str">
        <x:v>################################################################################</x:v>
      </x:c>
      <x:c r="C532" t="str">
        <x:v>Pasted text(56).txt</x:v>
      </x:c>
    </x:row>
    <x:row r="533">
      <x:c r="A533" t="n">
        <x:v>532</x:v>
      </x:c>
      <x:c r="B533" s="106" t="str">
        <x:v>INDEPENDENT TARGET-AMPLITUDE RUN 3 OF 5</x:v>
      </x:c>
      <x:c r="C533" t="str">
        <x:v>Pasted text(56).txt</x:v>
      </x:c>
    </x:row>
    <x:row r="534">
      <x:c r="A534" t="n">
        <x:v>533</x:v>
      </x:c>
      <x:c r="B534" s="106" t="str">
        <x:v>################################################################################</x:v>
      </x:c>
      <x:c r="C534" t="str">
        <x:v>Pasted text(56).txt</x:v>
      </x:c>
    </x:row>
    <x:row r="535">
      <x:c r="A535" t="n">
        <x:v>534</x:v>
      </x:c>
      <x:c r="B535" s="106" t="str">
        <x:v>Frequency: 268.00000 Hz</x:v>
      </x:c>
      <x:c r="C535" t="str">
        <x:v>Pasted text(56).txt</x:v>
      </x:c>
    </x:row>
    <x:row r="536">
      <x:c r="A536" t="n">
        <x:v>535</x:v>
      </x:c>
      <x:c r="B536" s="106" t="str">
        <x:v>Target X amplitude: 0.90000 m/s^2 peak, tolerance +/-7.50 %</x:v>
      </x:c>
      <x:c r="C536" t="str">
        <x:v>Pasted text(56).txt</x:v>
      </x:c>
    </x:row>
    <x:row r="537">
      <x:c r="A537" t="n">
        <x:v>536</x:v>
      </x:c>
      <x:c r="B537" s="106" t="str">
        <x:v>This run starts from DAC 1.00 and ignores every earlier selected DAC.</x:v>
      </x:c>
      <x:c r="C537" t="str">
        <x:v>Pasted text(56).txt</x:v>
      </x:c>
    </x:row>
    <x:row r="538">
      <x:c r="A538" t="n">
        <x:v>537</x:v>
      </x:c>
      <x:c r="B538" s="106" t="str">
        <x:v>ADXL2 DEVID/DATA_FORMAT/BW_RATE/POWER_CTL: 0xE5 / 0xB / 0xE / 0x8</x:v>
      </x:c>
      <x:c r="C538" t="str">
        <x:v>Pasted text(56).txt</x:v>
      </x:c>
    </x:row>
    <x:row r="539">
      <x:c r="A539" t="n">
        <x:v>538</x:v>
      </x:c>
      <x:c r="B539" s="106" t="str"/>
      <x:c r="C539" t="str">
        <x:v>Pasted text(56).txt</x:v>
      </x:c>
    </x:row>
    <x:row r="540">
      <x:c r="A540" t="n">
        <x:v>539</x:v>
      </x:c>
      <x:c r="B540" s="106" t="str">
        <x:v>ACQUISITION ATTEMPT 1 OF 2</x:v>
      </x:c>
      <x:c r="C540" t="str">
        <x:v>Pasted text(56).txt</x:v>
      </x:c>
    </x:row>
    <x:row r="541">
      <x:c r="A541" t="n">
        <x:v>540</x:v>
      </x:c>
      <x:c r="B541" s="106" t="str"/>
      <x:c r="C541" t="str">
        <x:v>Pasted text(56).txt</x:v>
      </x:c>
    </x:row>
    <x:row r="542">
      <x:c r="A542" t="n">
        <x:v>541</x:v>
      </x:c>
      <x:c r="B542" s="106" t="str">
        <x:v>FRESH X-AXIS SEARCH FROM DAC 1.00 — OLD DAC VALUES ARE NOT USED</x:v>
      </x:c>
      <x:c r="C542" t="str">
        <x:v>Pasted text(56).txt</x:v>
      </x:c>
    </x:row>
    <x:row r="543">
      <x:c r="A543" t="n">
        <x:v>542</x:v>
      </x:c>
      <x:c r="B543" s="106" t="str">
        <x:v>Y/Z are diagnostic only and cannot abort this search.</x:v>
      </x:c>
      <x:c r="C543" t="str">
        <x:v>Pasted text(56).txt</x:v>
      </x:c>
    </x:row>
    <x:row r="544">
      <x:c r="A544" t="n">
        <x:v>543</x:v>
      </x:c>
      <x:c r="B544" s="106" t="str">
        <x:v>A real SPI fault, clipping, safety limit or confirmed X-response collapse will stop it.</x:v>
      </x:c>
      <x:c r="C544" t="str">
        <x:v>Pasted text(56).txt</x:v>
      </x:c>
    </x:row>
    <x:row r="545">
      <x:c r="A545" t="n">
        <x:v>544</x:v>
      </x:c>
      <x:c r="B545" s="106" t="str">
        <x:v>SEARCH | point 1 | DAC 1.00 | CTRL X 0.02913 | X 0.03857 | Y 0.02268 | Z 0.04036 | TOTAL 0.06531 | error -96.76 % | MAD 78.35 % | CV 79.50 % | coh 4.1 % | dominant Z | axis fraction 95.6 % | BELOW MEASUREMENT FLOOR — SEARCH CONTINUES</x:v>
      </x:c>
      <x:c r="C545" t="str">
        <x:v>Pasted text(56).txt</x:v>
      </x:c>
    </x:row>
    <x:row r="546">
      <x:c r="A546" t="n">
        <x:v>545</x:v>
      </x:c>
      <x:c r="B546" s="106" t="str">
        <x:v>SEARCH | point 2 | DAC 3.00 | CTRL X 1.44040 | X 1.44063 | Y 0.56716 | Z 0.49052 | TOTAL 1.62457 | error 60.04 % | MAD 0.94 % | CV 0.66 % | coh 78.7 % | dominant X | axis fraction 100.0 % | VALID</x:v>
      </x:c>
      <x:c r="C546" t="str">
        <x:v>Pasted text(56).txt</x:v>
      </x:c>
    </x:row>
    <x:row r="547">
      <x:c r="A547" t="n">
        <x:v>546</x:v>
      </x:c>
      <x:c r="B547" s="106" t="str"/>
      <x:c r="C547" t="str">
        <x:v>Pasted text(56).txt</x:v>
      </x:c>
    </x:row>
    <x:row r="548">
      <x:c r="A548" t="n">
        <x:v>547</x:v>
      </x:c>
      <x:c r="B548" s="106" t="str">
        <x:v>ACQUISITION ATTEMPT 2 OF 2</x:v>
      </x:c>
      <x:c r="C548" t="str">
        <x:v>Pasted text(56).txt</x:v>
      </x:c>
    </x:row>
    <x:row r="549">
      <x:c r="A549" t="n">
        <x:v>548</x:v>
      </x:c>
      <x:c r="B549" s="106" t="str"/>
      <x:c r="C549" t="str">
        <x:v>Pasted text(56).txt</x:v>
      </x:c>
    </x:row>
    <x:row r="550">
      <x:c r="A550" t="n">
        <x:v>549</x:v>
      </x:c>
      <x:c r="B550" s="106" t="str">
        <x:v>FRESH X-AXIS SEARCH FROM DAC 1.00 — OLD DAC VALUES ARE NOT USED</x:v>
      </x:c>
      <x:c r="C550" t="str">
        <x:v>Pasted text(56).txt</x:v>
      </x:c>
    </x:row>
    <x:row r="551">
      <x:c r="A551" t="n">
        <x:v>550</x:v>
      </x:c>
      <x:c r="B551" s="106" t="str">
        <x:v>Y/Z are diagnostic only and cannot abort this search.</x:v>
      </x:c>
      <x:c r="C551" t="str">
        <x:v>Pasted text(56).txt</x:v>
      </x:c>
    </x:row>
    <x:row r="552">
      <x:c r="A552" t="n">
        <x:v>551</x:v>
      </x:c>
      <x:c r="B552" s="106" t="str">
        <x:v>A real SPI fault, clipping, safety limit or confirmed X-response collapse will stop it.</x:v>
      </x:c>
      <x:c r="C552" t="str">
        <x:v>Pasted text(56).txt</x:v>
      </x:c>
    </x:row>
    <x:row r="553">
      <x:c r="A553" t="n">
        <x:v>552</x:v>
      </x:c>
      <x:c r="B553" s="106" t="str">
        <x:v>SEARCH | point 1 | DAC 1.00 | CTRL X 0.07728 | X 0.07321 | Y 0.02423 | Z 0.02944 | TOTAL 0.08299 | error -91.41 % | MAD 15.61 % | CV 7.86 % | coh 7.7 % | dominant X | axis fraction 100.0 % | BELOW MEASUREMENT FLOOR — SEARCH CONTINUES</x:v>
      </x:c>
      <x:c r="C553" t="str">
        <x:v>Pasted text(56).txt</x:v>
      </x:c>
    </x:row>
    <x:row r="554">
      <x:c r="A554" t="n">
        <x:v>553</x:v>
      </x:c>
      <x:c r="B554" s="106" t="str">
        <x:v>SEARCH | point 2 | DAC 3.00 | CTRL X 1.44881 | X 1.45009 | Y 0.57272 | Z 0.44053 | TOTAL 1.62071 | error 60.98 % | MAD 2.04 % | CV 1.51 % | coh 79.9 % | dominant X | axis fraction 100.0 % | VALID</x:v>
      </x:c>
      <x:c r="C554" t="str">
        <x:v>Pasted text(56).txt</x:v>
      </x:c>
    </x:row>
    <x:row r="555">
      <x:c r="A555" t="n">
        <x:v>554</x:v>
      </x:c>
      <x:c r="B555" s="106" t="str"/>
      <x:c r="C555" t="str">
        <x:v>Pasted text(56).txt</x:v>
      </x:c>
    </x:row>
    <x:row r="556">
      <x:c r="A556" t="n">
        <x:v>555</x:v>
      </x:c>
      <x:c r="B556" s="106" t="str">
        <x:v>RUN RESULT: FAIL — X target exceeded at first reliable DAC; reduce amplifier knob</x:v>
      </x:c>
      <x:c r="C556" t="str">
        <x:v>Pasted text(56).txt</x:v>
      </x:c>
    </x:row>
    <x:row r="557">
      <x:c r="A557" t="n">
        <x:v>556</x:v>
      </x:c>
      <x:c r="B557" s="106" t="str"/>
      <x:c r="C557" t="str">
        <x:v>Pasted text(56).txt</x:v>
      </x:c>
    </x:row>
    <x:row r="558">
      <x:c r="A558" t="n">
        <x:v>557</x:v>
      </x:c>
      <x:c r="B558" s="106" t="str">
        <x:v>VISATON OFF. RESTING 5.0 s BEFORE THE NEXT COMPLETELY FRESH RUN.</x:v>
      </x:c>
      <x:c r="C558" t="str">
        <x:v>Pasted text(56).txt</x:v>
      </x:c>
    </x:row>
    <x:row r="559">
      <x:c r="A559" t="n">
        <x:v>558</x:v>
      </x:c>
      <x:c r="B559" s="106" t="str"/>
      <x:c r="C559" t="str">
        <x:v>Pasted text(56).txt</x:v>
      </x:c>
    </x:row>
    <x:row r="560">
      <x:c r="A560" t="n">
        <x:v>559</x:v>
      </x:c>
      <x:c r="B560" s="106" t="str">
        <x:v>################################################################################</x:v>
      </x:c>
      <x:c r="C560" t="str">
        <x:v>Pasted text(56).txt</x:v>
      </x:c>
    </x:row>
    <x:row r="561">
      <x:c r="A561" t="n">
        <x:v>560</x:v>
      </x:c>
      <x:c r="B561" s="106" t="str">
        <x:v>INDEPENDENT TARGET-AMPLITUDE RUN 4 OF 5</x:v>
      </x:c>
      <x:c r="C561" t="str">
        <x:v>Pasted text(56).txt</x:v>
      </x:c>
    </x:row>
    <x:row r="562">
      <x:c r="A562" t="n">
        <x:v>561</x:v>
      </x:c>
      <x:c r="B562" s="106" t="str">
        <x:v>################################################################################</x:v>
      </x:c>
      <x:c r="C562" t="str">
        <x:v>Pasted text(56).txt</x:v>
      </x:c>
    </x:row>
    <x:row r="563">
      <x:c r="A563" t="n">
        <x:v>562</x:v>
      </x:c>
      <x:c r="B563" s="106" t="str">
        <x:v>Frequency: 268.00000 Hz</x:v>
      </x:c>
      <x:c r="C563" t="str">
        <x:v>Pasted text(56).txt</x:v>
      </x:c>
    </x:row>
    <x:row r="564">
      <x:c r="A564" t="n">
        <x:v>563</x:v>
      </x:c>
      <x:c r="B564" s="106" t="str">
        <x:v>Target X amplitude: 0.90000 m/s^2 peak, tolerance +/-7.50 %</x:v>
      </x:c>
      <x:c r="C564" t="str">
        <x:v>Pasted text(56).txt</x:v>
      </x:c>
    </x:row>
    <x:row r="565">
      <x:c r="A565" t="n">
        <x:v>564</x:v>
      </x:c>
      <x:c r="B565" s="106" t="str">
        <x:v>This run starts from DAC 1.00 and ignores every earlier selected DAC.</x:v>
      </x:c>
      <x:c r="C565" t="str">
        <x:v>Pasted text(56).txt</x:v>
      </x:c>
    </x:row>
    <x:row r="566">
      <x:c r="A566" t="n">
        <x:v>565</x:v>
      </x:c>
      <x:c r="B566" s="106" t="str">
        <x:v>ADXL2 DEVID/DATA_FORMAT/BW_RATE/POWER_CTL: 0xE5 / 0xB / 0xE / 0x8</x:v>
      </x:c>
      <x:c r="C566" t="str">
        <x:v>Pasted text(56).txt</x:v>
      </x:c>
    </x:row>
    <x:row r="567">
      <x:c r="A567" t="n">
        <x:v>566</x:v>
      </x:c>
      <x:c r="B567" s="106" t="str"/>
      <x:c r="C567" t="str">
        <x:v>Pasted text(56).txt</x:v>
      </x:c>
    </x:row>
    <x:row r="568">
      <x:c r="A568" t="n">
        <x:v>567</x:v>
      </x:c>
      <x:c r="B568" s="106" t="str">
        <x:v>ACQUISITION ATTEMPT 1 OF 2</x:v>
      </x:c>
      <x:c r="C568" t="str">
        <x:v>Pasted text(56).txt</x:v>
      </x:c>
    </x:row>
    <x:row r="569">
      <x:c r="A569" t="n">
        <x:v>568</x:v>
      </x:c>
      <x:c r="B569" s="106" t="str"/>
      <x:c r="C569" t="str">
        <x:v>Pasted text(56).txt</x:v>
      </x:c>
    </x:row>
    <x:row r="570">
      <x:c r="A570" t="n">
        <x:v>569</x:v>
      </x:c>
      <x:c r="B570" s="106" t="str">
        <x:v>FRESH X-AXIS SEARCH FROM DAC 1.00 — OLD DAC VALUES ARE NOT USED</x:v>
      </x:c>
      <x:c r="C570" t="str">
        <x:v>Pasted text(56).txt</x:v>
      </x:c>
    </x:row>
    <x:row r="571">
      <x:c r="A571" t="n">
        <x:v>570</x:v>
      </x:c>
      <x:c r="B571" s="106" t="str">
        <x:v>Y/Z are diagnostic only and cannot abort this search.</x:v>
      </x:c>
      <x:c r="C571" t="str">
        <x:v>Pasted text(56).txt</x:v>
      </x:c>
    </x:row>
    <x:row r="572">
      <x:c r="A572" t="n">
        <x:v>571</x:v>
      </x:c>
      <x:c r="B572" s="106" t="str">
        <x:v>A real SPI fault, clipping, safety limit or confirmed X-response collapse will stop it.</x:v>
      </x:c>
      <x:c r="C572" t="str">
        <x:v>Pasted text(56).txt</x:v>
      </x:c>
    </x:row>
    <x:row r="573">
      <x:c r="A573" t="n">
        <x:v>572</x:v>
      </x:c>
      <x:c r="B573" s="106" t="str">
        <x:v>SEARCH | point 1 | DAC 1.00 | CTRL X 0.07427 | X 0.07749 | Y 0.05519 | Z 0.03489 | TOTAL 0.10447 | error -91.75 % | MAD 12.88 % | CV 5.89 % | coh 8.1 % | dominant X | axis fraction 100.0 % | BELOW MEASUREMENT FLOOR — SEARCH CONTINUES</x:v>
      </x:c>
      <x:c r="C573" t="str">
        <x:v>Pasted text(56).txt</x:v>
      </x:c>
    </x:row>
    <x:row r="574">
      <x:c r="A574" t="n">
        <x:v>573</x:v>
      </x:c>
      <x:c r="B574" s="106" t="str">
        <x:v>SEARCH | point 2 | DAC 3.00 | CTRL X 1.44993 | X 1.45584 | Y 0.56783 | Z 0.44295 | TOTAL 1.62465 | error 61.10 % | MAD 1.29 % | CV 1.52 % | coh 79.2 % | dominant X | axis fraction 100.0 % | VALID</x:v>
      </x:c>
      <x:c r="C574" t="str">
        <x:v>Pasted text(56).txt</x:v>
      </x:c>
    </x:row>
    <x:row r="575">
      <x:c r="A575" t="n">
        <x:v>574</x:v>
      </x:c>
      <x:c r="B575" s="106" t="str"/>
      <x:c r="C575" t="str">
        <x:v>Pasted text(56).txt</x:v>
      </x:c>
    </x:row>
    <x:row r="576">
      <x:c r="A576" t="n">
        <x:v>575</x:v>
      </x:c>
      <x:c r="B576" s="106" t="str">
        <x:v>ACQUISITION ATTEMPT 2 OF 2</x:v>
      </x:c>
      <x:c r="C576" t="str">
        <x:v>Pasted text(56).txt</x:v>
      </x:c>
    </x:row>
    <x:row r="577">
      <x:c r="A577" t="n">
        <x:v>576</x:v>
      </x:c>
      <x:c r="B577" s="106" t="str"/>
      <x:c r="C577" t="str">
        <x:v>Pasted text(56).txt</x:v>
      </x:c>
    </x:row>
    <x:row r="578">
      <x:c r="A578" t="n">
        <x:v>577</x:v>
      </x:c>
      <x:c r="B578" s="106" t="str">
        <x:v>FRESH X-AXIS SEARCH FROM DAC 1.00 — OLD DAC VALUES ARE NOT USED</x:v>
      </x:c>
      <x:c r="C578" t="str">
        <x:v>Pasted text(56).txt</x:v>
      </x:c>
    </x:row>
    <x:row r="579">
      <x:c r="A579" t="n">
        <x:v>578</x:v>
      </x:c>
      <x:c r="B579" s="106" t="str">
        <x:v>Y/Z are diagnostic only and cannot abort this search.</x:v>
      </x:c>
      <x:c r="C579" t="str">
        <x:v>Pasted text(56).txt</x:v>
      </x:c>
    </x:row>
    <x:row r="580">
      <x:c r="A580" t="n">
        <x:v>579</x:v>
      </x:c>
      <x:c r="B580" s="106" t="str">
        <x:v>A real SPI fault, clipping, safety limit or confirmed X-response collapse will stop it.</x:v>
      </x:c>
      <x:c r="C580" t="str">
        <x:v>Pasted text(56).txt</x:v>
      </x:c>
    </x:row>
    <x:row r="581">
      <x:c r="A581" t="n">
        <x:v>580</x:v>
      </x:c>
      <x:c r="B581" s="106" t="str">
        <x:v>SEARCH | point 1 | DAC 1.00 | CTRL X 0.05312 | X 0.05512 | Y 0.04018 | Z 0.03249 | TOTAL 0.07768 | error -94.10 % | MAD 37.37 % | CV 29.90 % | coh 5.7 % | dominant X | axis fraction 100.0 % | BELOW MEASUREMENT FLOOR — SEARCH CONTINUES</x:v>
      </x:c>
      <x:c r="C581" t="str">
        <x:v>Pasted text(56).txt</x:v>
      </x:c>
    </x:row>
    <x:row r="582">
      <x:c r="A582" t="n">
        <x:v>581</x:v>
      </x:c>
      <x:c r="B582" s="106" t="str">
        <x:v>SEARCH | point 2 | DAC 3.00 | CTRL X 1.44509 | X 1.44224 | Y 0.57281 | Z 0.45682 | TOTAL 1.61798 | error 60.57 % | MAD 0.25 % | CV 0.49 % | coh 79.2 % | dominant X | axis fraction 100.0 % | VALID</x:v>
      </x:c>
      <x:c r="C582" t="str">
        <x:v>Pasted text(56).txt</x:v>
      </x:c>
    </x:row>
    <x:row r="583">
      <x:c r="A583" t="n">
        <x:v>582</x:v>
      </x:c>
      <x:c r="B583" s="106" t="str"/>
      <x:c r="C583" t="str">
        <x:v>Pasted text(56).txt</x:v>
      </x:c>
    </x:row>
    <x:row r="584">
      <x:c r="A584" t="n">
        <x:v>583</x:v>
      </x:c>
      <x:c r="B584" s="106" t="str">
        <x:v>RUN RESULT: FAIL — X target exceeded at first reliable DAC; reduce amplifier knob</x:v>
      </x:c>
      <x:c r="C584" t="str">
        <x:v>Pasted text(56).txt</x:v>
      </x:c>
    </x:row>
    <x:row r="585">
      <x:c r="A585" t="n">
        <x:v>584</x:v>
      </x:c>
      <x:c r="B585" s="106" t="str"/>
      <x:c r="C585" t="str">
        <x:v>Pasted text(56).txt</x:v>
      </x:c>
    </x:row>
    <x:row r="586">
      <x:c r="A586" t="n">
        <x:v>585</x:v>
      </x:c>
      <x:c r="B586" s="106" t="str">
        <x:v>VISATON OFF. RESTING 5.0 s BEFORE THE NEXT COMPLETELY FRESH RUN.</x:v>
      </x:c>
      <x:c r="C586" t="str">
        <x:v>Pasted text(56).txt</x:v>
      </x:c>
    </x:row>
    <x:row r="587">
      <x:c r="A587" t="n">
        <x:v>586</x:v>
      </x:c>
      <x:c r="B587" s="106" t="str"/>
      <x:c r="C587" t="str">
        <x:v>Pasted text(56).txt</x:v>
      </x:c>
    </x:row>
    <x:row r="588">
      <x:c r="A588" t="n">
        <x:v>587</x:v>
      </x:c>
      <x:c r="B588" s="106" t="str">
        <x:v>################################################################################</x:v>
      </x:c>
      <x:c r="C588" t="str">
        <x:v>Pasted text(56).txt</x:v>
      </x:c>
    </x:row>
    <x:row r="589">
      <x:c r="A589" t="n">
        <x:v>588</x:v>
      </x:c>
      <x:c r="B589" s="106" t="str">
        <x:v>INDEPENDENT TARGET-AMPLITUDE RUN 5 OF 5</x:v>
      </x:c>
      <x:c r="C589" t="str">
        <x:v>Pasted text(56).txt</x:v>
      </x:c>
    </x:row>
    <x:row r="590">
      <x:c r="A590" t="n">
        <x:v>589</x:v>
      </x:c>
      <x:c r="B590" s="106" t="str">
        <x:v>################################################################################</x:v>
      </x:c>
      <x:c r="C590" t="str">
        <x:v>Pasted text(56).txt</x:v>
      </x:c>
    </x:row>
    <x:row r="591">
      <x:c r="A591" t="n">
        <x:v>590</x:v>
      </x:c>
      <x:c r="B591" s="106" t="str">
        <x:v>Frequency: 268.00000 Hz</x:v>
      </x:c>
      <x:c r="C591" t="str">
        <x:v>Pasted text(56).txt</x:v>
      </x:c>
    </x:row>
    <x:row r="592">
      <x:c r="A592" t="n">
        <x:v>591</x:v>
      </x:c>
      <x:c r="B592" s="106" t="str">
        <x:v>Target X amplitude: 0.90000 m/s^2 peak, tolerance +/-7.50 %</x:v>
      </x:c>
      <x:c r="C592" t="str">
        <x:v>Pasted text(56).txt</x:v>
      </x:c>
    </x:row>
    <x:row r="593">
      <x:c r="A593" t="n">
        <x:v>592</x:v>
      </x:c>
      <x:c r="B593" s="106" t="str">
        <x:v>This run starts from DAC 1.00 and ignores every earlier selected DAC.</x:v>
      </x:c>
      <x:c r="C593" t="str">
        <x:v>Pasted text(56).txt</x:v>
      </x:c>
    </x:row>
    <x:row r="594">
      <x:c r="A594" t="n">
        <x:v>593</x:v>
      </x:c>
      <x:c r="B594" s="106" t="str">
        <x:v>ADXL2 DEVID/DATA_FORMAT/BW_RATE/POWER_CTL: 0xE5 / 0xB / 0xE / 0x8</x:v>
      </x:c>
      <x:c r="C594" t="str">
        <x:v>Pasted text(56).txt</x:v>
      </x:c>
    </x:row>
    <x:row r="595">
      <x:c r="A595" t="n">
        <x:v>594</x:v>
      </x:c>
      <x:c r="B595" s="106" t="str"/>
      <x:c r="C595" t="str">
        <x:v>Pasted text(56).txt</x:v>
      </x:c>
    </x:row>
    <x:row r="596">
      <x:c r="A596" t="n">
        <x:v>595</x:v>
      </x:c>
      <x:c r="B596" s="106" t="str">
        <x:v>ACQUISITION ATTEMPT 1 OF 2</x:v>
      </x:c>
      <x:c r="C596" t="str">
        <x:v>Pasted text(56).txt</x:v>
      </x:c>
    </x:row>
    <x:row r="597">
      <x:c r="A597" t="n">
        <x:v>596</x:v>
      </x:c>
      <x:c r="B597" s="106" t="str"/>
      <x:c r="C597" t="str">
        <x:v>Pasted text(56).txt</x:v>
      </x:c>
    </x:row>
    <x:row r="598">
      <x:c r="A598" t="n">
        <x:v>597</x:v>
      </x:c>
      <x:c r="B598" s="106" t="str">
        <x:v>FRESH X-AXIS SEARCH FROM DAC 1.00 — OLD DAC VALUES ARE NOT USED</x:v>
      </x:c>
      <x:c r="C598" t="str">
        <x:v>Pasted text(56).txt</x:v>
      </x:c>
    </x:row>
    <x:row r="599">
      <x:c r="A599" t="n">
        <x:v>598</x:v>
      </x:c>
      <x:c r="B599" s="106" t="str">
        <x:v>Y/Z are diagnostic only and cannot abort this search.</x:v>
      </x:c>
      <x:c r="C599" t="str">
        <x:v>Pasted text(56).txt</x:v>
      </x:c>
    </x:row>
    <x:row r="600">
      <x:c r="A600" t="n">
        <x:v>599</x:v>
      </x:c>
      <x:c r="B600" s="106" t="str">
        <x:v>A real SPI fault, clipping, safety limit or confirmed X-response collapse will stop it.</x:v>
      </x:c>
      <x:c r="C600" t="str">
        <x:v>Pasted text(56).txt</x:v>
      </x:c>
    </x:row>
    <x:row r="601">
      <x:c r="A601" t="n">
        <x:v>600</x:v>
      </x:c>
      <x:c r="B601" s="106" t="str">
        <x:v>SEARCH | point 1 | DAC 1.00 | CTRL X 0.04777 | X 0.04647 | Y 0.03777 | Z 0.02833 | TOTAL 0.07120 | error -94.69 % | MAD 8.06 % | CV 3.95 % | coh 4.9 % | dominant X | axis fraction 100.0 % | BELOW MEASUREMENT FLOOR — SEARCH CONTINUES</x:v>
      </x:c>
      <x:c r="C601" t="str">
        <x:v>Pasted text(56).txt</x:v>
      </x:c>
    </x:row>
    <x:row r="602">
      <x:c r="A602" t="n">
        <x:v>601</x:v>
      </x:c>
      <x:c r="B602" s="106" t="str">
        <x:v>SEARCH | point 2 | DAC 3.00 | CTRL X 1.44275 | X 1.44441 | Y 0.52819 | Z 0.48010 | TOTAL 1.61154 | error 60.31 % | MAD 1.87 % | CV 1.43 % | coh 79.0 % | dominant X | axis fraction 100.0 % | VALID</x:v>
      </x:c>
      <x:c r="C602" t="str">
        <x:v>Pasted text(56).txt</x:v>
      </x:c>
    </x:row>
    <x:row r="603">
      <x:c r="A603" t="n">
        <x:v>602</x:v>
      </x:c>
      <x:c r="B603" s="106" t="str"/>
      <x:c r="C603" t="str">
        <x:v>Pasted text(56).txt</x:v>
      </x:c>
    </x:row>
    <x:row r="604">
      <x:c r="A604" t="n">
        <x:v>603</x:v>
      </x:c>
      <x:c r="B604" s="106" t="str">
        <x:v>ACQUISITION ATTEMPT 2 OF 2</x:v>
      </x:c>
      <x:c r="C604" t="str">
        <x:v>Pasted text(56).txt</x:v>
      </x:c>
    </x:row>
    <x:row r="605">
      <x:c r="A605" t="n">
        <x:v>604</x:v>
      </x:c>
      <x:c r="B605" s="106" t="str"/>
      <x:c r="C605" t="str">
        <x:v>Pasted text(56).txt</x:v>
      </x:c>
    </x:row>
    <x:row r="606">
      <x:c r="A606" t="n">
        <x:v>605</x:v>
      </x:c>
      <x:c r="B606" s="106" t="str">
        <x:v>FRESH X-AXIS SEARCH FROM DAC 1.00 — OLD DAC VALUES ARE NOT USED</x:v>
      </x:c>
      <x:c r="C606" t="str">
        <x:v>Pasted text(56).txt</x:v>
      </x:c>
    </x:row>
    <x:row r="607">
      <x:c r="A607" t="n">
        <x:v>606</x:v>
      </x:c>
      <x:c r="B607" s="106" t="str">
        <x:v>Y/Z are diagnostic only and cannot abort this search.</x:v>
      </x:c>
      <x:c r="C607" t="str">
        <x:v>Pasted text(56).txt</x:v>
      </x:c>
    </x:row>
    <x:row r="608">
      <x:c r="A608" t="n">
        <x:v>607</x:v>
      </x:c>
      <x:c r="B608" s="106" t="str">
        <x:v>A real SPI fault, clipping, safety limit or confirmed X-response collapse will stop it.</x:v>
      </x:c>
      <x:c r="C608" t="str">
        <x:v>Pasted text(56).txt</x:v>
      </x:c>
    </x:row>
    <x:row r="609">
      <x:c r="A609" t="n">
        <x:v>608</x:v>
      </x:c>
      <x:c r="B609" s="106" t="str">
        <x:v>SEARCH | point 1 | DAC 1.00 | CTRL X 0.06410 | X 0.06046 | Y 0.05406 | Z 0.03365 | TOTAL 0.08861 | error -92.88 % | MAD 52.28 % | CV 46.72 % | coh 6.3 % | dominant X | axis fraction 100.0 % | BELOW MEASUREMENT FLOOR — SEARCH CONTINUES</x:v>
      </x:c>
      <x:c r="C609" t="str">
        <x:v>Pasted text(56).txt</x:v>
      </x:c>
    </x:row>
    <x:row r="610">
      <x:c r="A610" t="n">
        <x:v>609</x:v>
      </x:c>
      <x:c r="B610" s="106" t="str">
        <x:v>SEARCH | point 2 | DAC 3.00 | CTRL X 1.46346 | X 1.45639 | Y 0.55872 | Z 0.46907 | TOTAL 1.62907 | error 62.61 % | MAD 1.84 % | CV 2.02 % | coh 79.5 % | dominant X | axis fraction 100.0 % | VALID</x:v>
      </x:c>
      <x:c r="C610" t="str">
        <x:v>Pasted text(56).txt</x:v>
      </x:c>
    </x:row>
    <x:row r="611">
      <x:c r="A611" t="n">
        <x:v>610</x:v>
      </x:c>
      <x:c r="B611" s="106" t="str"/>
      <x:c r="C611" t="str">
        <x:v>Pasted text(56).txt</x:v>
      </x:c>
    </x:row>
    <x:row r="612">
      <x:c r="A612" t="n">
        <x:v>611</x:v>
      </x:c>
      <x:c r="B612" s="106" t="str">
        <x:v>RUN RESULT: FAIL — X target exceeded at first reliable DAC; reduce amplifier knob</x:v>
      </x:c>
      <x:c r="C612" t="str">
        <x:v>Pasted text(56).txt</x:v>
      </x:c>
    </x:row>
    <x:row r="613">
      <x:c r="A613" t="n">
        <x:v>612</x:v>
      </x:c>
      <x:c r="B613" s="106" t="str"/>
      <x:c r="C613" t="str">
        <x:v>Pasted text(56).txt</x:v>
      </x:c>
    </x:row>
    <x:row r="614">
      <x:c r="A614" t="n">
        <x:v>613</x:v>
      </x:c>
      <x:c r="B614" s="106" t="str">
        <x:v>================================================================================</x:v>
      </x:c>
      <x:c r="C614" t="str">
        <x:v>Pasted text(56).txt</x:v>
      </x:c>
    </x:row>
    <x:row r="615">
      <x:c r="A615" t="n">
        <x:v>614</x:v>
      </x:c>
      <x:c r="B615" s="106" t="str">
        <x:v>FINAL REPEATED TARGET-AMPLITUDE VALIDATION SUMMARY</x:v>
      </x:c>
      <x:c r="C615" t="str">
        <x:v>Pasted text(56).txt</x:v>
      </x:c>
    </x:row>
    <x:row r="616">
      <x:c r="A616" t="n">
        <x:v>615</x:v>
      </x:c>
      <x:c r="B616" s="106" t="str">
        <x:v>================================================================================</x:v>
      </x:c>
      <x:c r="C616" t="str">
        <x:v>Pasted text(56).txt</x:v>
      </x:c>
    </x:row>
    <x:row r="617">
      <x:c r="A617" t="n">
        <x:v>616</x:v>
      </x:c>
      <x:c r="B617" s="106" t="str">
        <x:v>Run,Pass,Selected_DAC,Validated_Amp,Error_pct,FFT_Hz,FFT_Diff_Hz,FFT_SNR_dB,Hold_Mean,Hold_CV_pct,Hold_InBand_pct,Reason</x:v>
      </x:c>
      <x:c r="C617" t="str">
        <x:v>Pasted text(56).txt</x:v>
      </x:c>
    </x:row>
    <x:row r="618">
      <x:c r="A618" t="n">
        <x:v>617</x:v>
      </x:c>
      <x:c r="B618" s="106" t="str">
        <x:v>1,FAIL,0.00,0.00000,0.00,0.00000,0.00000,0.00,0.00000,0.00,0.0,X target exceeded at first reliable DAC; reduce amplifier knob</x:v>
      </x:c>
      <x:c r="C618" t="str">
        <x:v>Pasted text(56).txt</x:v>
      </x:c>
    </x:row>
    <x:row r="619">
      <x:c r="A619" t="n">
        <x:v>618</x:v>
      </x:c>
      <x:c r="B619" s="106" t="str">
        <x:v>2,FAIL,0.00,0.00000,0.00,0.00000,0.00000,0.00,0.00000,0.00,0.0,X target exceeded at first reliable DAC; reduce amplifier knob</x:v>
      </x:c>
      <x:c r="C619" t="str">
        <x:v>Pasted text(56).txt</x:v>
      </x:c>
    </x:row>
    <x:row r="620">
      <x:c r="A620" t="n">
        <x:v>619</x:v>
      </x:c>
      <x:c r="B620" s="106" t="str">
        <x:v>3,FAIL,0.00,0.00000,0.00,0.00000,0.00000,0.00,0.00000,0.00,0.0,X target exceeded at first reliable DAC; reduce amplifier knob</x:v>
      </x:c>
      <x:c r="C620" t="str">
        <x:v>Pasted text(56).txt</x:v>
      </x:c>
    </x:row>
    <x:row r="621">
      <x:c r="A621" t="n">
        <x:v>620</x:v>
      </x:c>
      <x:c r="B621" s="106" t="str">
        <x:v>4,FAIL,0.00,0.00000,0.00,0.00000,0.00000,0.00,0.00000,0.00,0.0,X target exceeded at first reliable DAC; reduce amplifier knob</x:v>
      </x:c>
      <x:c r="C621" t="str">
        <x:v>Pasted text(56).txt</x:v>
      </x:c>
    </x:row>
    <x:row r="622">
      <x:c r="A622" t="n">
        <x:v>621</x:v>
      </x:c>
      <x:c r="B622" s="106" t="str">
        <x:v>5,FAIL,0.00,0.00000,0.00,0.00000,0.00000,0.00,0.00000,0.00,0.0,X target exceeded at first reliable DAC; reduce amplifier knob</x:v>
      </x:c>
      <x:c r="C622" t="str">
        <x:v>Pasted text(56).txt</x:v>
      </x:c>
    </x:row>
    <x:row r="623">
      <x:c r="A623" t="n">
        <x:v>622</x:v>
      </x:c>
      <x:c r="B623" s="106" t="str">
        <x:v>--------------------------------------------------------------------------------</x:v>
      </x:c>
      <x:c r="C623" t="str">
        <x:v>Pasted text(56).txt</x:v>
      </x:c>
    </x:row>
    <x:row r="624">
      <x:c r="A624" t="n">
        <x:v>623</x:v>
      </x:c>
      <x:c r="B624" s="106" t="str">
        <x:v>Successful independent runs: 0 / 5</x:v>
      </x:c>
      <x:c r="C624" t="str">
        <x:v>Pasted text(56).txt</x:v>
      </x:c>
    </x:row>
    <x:row r="625">
      <x:c r="A625" t="n">
        <x:v>624</x:v>
      </x:c>
      <x:c r="B625" s="106" t="str">
        <x:v>OVERALL VERDICT: FAIL — no independent run passed.</x:v>
      </x:c>
      <x:c r="C625" t="str">
        <x:v>Pasted text(56).txt</x:v>
      </x:c>
    </x:row>
    <x:row r="626">
      <x:c r="A626" t="n">
        <x:v>625</x:v>
      </x:c>
      <x:c r="B626" s="106" t="str"/>
      <x:c r="C626" t="str">
        <x:v>Pasted text(56).txt</x:v>
      </x:c>
    </x:row>
    <x:row r="627">
      <x:c r="A627" t="n">
        <x:v>626</x:v>
      </x:c>
      <x:c r="B627" s="106" t="str">
        <x:v>Automatic test complete. Enter h for commands.</x:v>
      </x:c>
      <x:c r="C627" t="str">
        <x:v>Pasted text(56).txt</x:v>
      </x:c>
    </x:row>
    <x:row r="628">
      <x:c r="A628" t="n">
        <x:v>627</x:v>
      </x:c>
      <x:c r="B628" s="106" t="str"/>
      <x:c r="C628" t="str">
        <x:v>Pasted text(56).txt</x:v>
      </x:c>
    </x:row>
    <x:row r="629">
      <x:c r="A629" t="n">
        <x:v>628</x:v>
      </x:c>
      <x:c r="B629" s="106" t="str">
        <x:v>================================================================================</x:v>
      </x:c>
      <x:c r="C629" t="str">
        <x:v>Pasted text(56).txt</x:v>
      </x:c>
    </x:row>
    <x:row r="630">
      <x:c r="A630" t="n">
        <x:v>629</x:v>
      </x:c>
      <x:c r="B630" s="106" t="str">
        <x:v>REPEATED INDEPENDENT TARGET-AMPLITUDE VALIDATION STARTED</x:v>
      </x:c>
      <x:c r="C630" t="str">
        <x:v>Pasted text(56).txt</x:v>
      </x:c>
    </x:row>
    <x:row r="631">
      <x:c r="A631" t="n">
        <x:v>630</x:v>
      </x:c>
      <x:c r="B631" s="106" t="str">
        <x:v>================================================================================</x:v>
      </x:c>
      <x:c r="C631" t="str">
        <x:v>Pasted text(56).txt</x:v>
      </x:c>
    </x:row>
    <x:row r="632">
      <x:c r="A632" t="n">
        <x:v>631</x:v>
      </x:c>
      <x:c r="B632" s="106" t="str"/>
      <x:c r="C632" t="str">
        <x:v>Pasted text(56).txt</x:v>
      </x:c>
    </x:row>
    <x:row r="633">
      <x:c r="A633" t="n">
        <x:v>632</x:v>
      </x:c>
      <x:c r="B633" s="106" t="str">
        <x:v>CURRENT SETTINGS</x:v>
      </x:c>
      <x:c r="C633" t="str">
        <x:v>Pasted text(56).txt</x:v>
      </x:c>
    </x:row>
    <x:row r="634">
      <x:c r="A634" t="n">
        <x:v>633</x:v>
      </x:c>
      <x:c r="B634" s="106" t="str">
        <x:v>Frequency: 268.00000 Hz</x:v>
      </x:c>
      <x:c r="C634" t="str">
        <x:v>Pasted text(56).txt</x:v>
      </x:c>
    </x:row>
    <x:row r="635">
      <x:c r="A635" t="n">
        <x:v>634</x:v>
      </x:c>
      <x:c r="B635" s="106" t="str">
        <x:v>Control axis: X ONLY (Y/Z diagnostic only)</x:v>
      </x:c>
      <x:c r="C635" t="str">
        <x:v>Pasted text(56).txt</x:v>
      </x:c>
    </x:row>
    <x:row r="636">
      <x:c r="A636" t="n">
        <x:v>635</x:v>
      </x:c>
      <x:c r="B636" s="106" t="str">
        <x:v>Target peak amplitude: 0.90000 m/s^2</x:v>
      </x:c>
      <x:c r="C636" t="str">
        <x:v>Pasted text(56).txt</x:v>
      </x:c>
    </x:row>
    <x:row r="637">
      <x:c r="A637" t="n">
        <x:v>636</x:v>
      </x:c>
      <x:c r="B637" s="106" t="str">
        <x:v>Tolerance: +/-7.50 %</x:v>
      </x:c>
      <x:c r="C637" t="str">
        <x:v>Pasted text(56).txt</x:v>
      </x:c>
    </x:row>
    <x:row r="638">
      <x:c r="A638" t="n">
        <x:v>637</x:v>
      </x:c>
      <x:c r="B638" s="106" t="str">
        <x:v>Allowed amplitude band: 0.83250 to 0.96750 m/s^2 peak</x:v>
      </x:c>
      <x:c r="C638" t="str">
        <x:v>Pasted text(56).txt</x:v>
      </x:c>
    </x:row>
    <x:row r="639">
      <x:c r="A639" t="n">
        <x:v>638</x:v>
      </x:c>
      <x:c r="B639" s="106" t="str">
        <x:v>Independent runs: 5</x:v>
      </x:c>
      <x:c r="C639" t="str">
        <x:v>Pasted text(56).txt</x:v>
      </x:c>
    </x:row>
    <x:row r="640">
      <x:c r="A640" t="n">
        <x:v>639</x:v>
      </x:c>
      <x:c r="B640" s="106" t="str">
        <x:v>Hold records per run: 10</x:v>
      </x:c>
      <x:c r="C640" t="str">
        <x:v>Pasted text(56).txt</x:v>
      </x:c>
    </x:row>
    <x:row r="641">
      <x:c r="A641" t="n">
        <x:v>640</x:v>
      </x:c>
      <x:c r="B641" s="106" t="str">
        <x:v>DAC search range/resolution: 1.00 to 30.00 / 0.25</x:v>
      </x:c>
      <x:c r="C641" t="str">
        <x:v>Pasted text(56).txt</x:v>
      </x:c>
    </x:row>
    <x:row r="642">
      <x:c r="A642" t="n">
        <x:v>641</x:v>
      </x:c>
      <x:c r="B642" s="106" t="str">
        <x:v>FFT bin resolution: 1.56250 Hz; accepted command-to-bin difference &lt;= 2.00 Hz</x:v>
      </x:c>
      <x:c r="C642" t="str">
        <x:v>Pasted text(56).txt</x:v>
      </x:c>
    </x:row>
    <x:row r="643">
      <x:c r="A643" t="n">
        <x:v>642</x:v>
      </x:c>
      <x:c r="B643" s="106" t="str">
        <x:v>Every run starts from DAC 1.00. Different selected DACs are allowed.</x:v>
      </x:c>
      <x:c r="C643" t="str">
        <x:v>Pasted text(56).txt</x:v>
      </x:c>
    </x:row>
    <x:row r="644">
      <x:c r="A644" t="n">
        <x:v>643</x:v>
      </x:c>
      <x:c r="B644" s="106" t="str">
        <x:v>The accepted result is X-axis amplitude and X-axis frequency, not DAC.</x:v>
      </x:c>
      <x:c r="C644" t="str">
        <x:v>Pasted text(56).txt</x:v>
      </x:c>
    </x:row>
    <x:row r="645">
      <x:c r="A645" t="n">
        <x:v>644</x:v>
      </x:c>
      <x:c r="B645" s="106" t="str"/>
      <x:c r="C645" t="str">
        <x:v>Pasted text(56).txt</x:v>
      </x:c>
    </x:row>
    <x:row r="646">
      <x:c r="A646" t="n">
        <x:v>645</x:v>
      </x:c>
      <x:c r="B646" s="106" t="str">
        <x:v>################################################################################</x:v>
      </x:c>
      <x:c r="C646" t="str">
        <x:v>Pasted text(56).txt</x:v>
      </x:c>
    </x:row>
    <x:row r="647">
      <x:c r="A647" t="n">
        <x:v>646</x:v>
      </x:c>
      <x:c r="B647" s="106" t="str">
        <x:v>INDEPENDENT TARGET-AMPLITUDE RUN 1 OF 5</x:v>
      </x:c>
      <x:c r="C647" t="str">
        <x:v>Pasted text(56).txt</x:v>
      </x:c>
    </x:row>
    <x:row r="648">
      <x:c r="A648" t="n">
        <x:v>647</x:v>
      </x:c>
      <x:c r="B648" s="106" t="str">
        <x:v>################################################################################</x:v>
      </x:c>
      <x:c r="C648" t="str">
        <x:v>Pasted text(56).txt</x:v>
      </x:c>
    </x:row>
    <x:row r="649">
      <x:c r="A649" t="n">
        <x:v>648</x:v>
      </x:c>
      <x:c r="B649" s="106" t="str">
        <x:v>Frequency: 268.00000 Hz</x:v>
      </x:c>
      <x:c r="C649" t="str">
        <x:v>Pasted text(56).txt</x:v>
      </x:c>
    </x:row>
    <x:row r="650">
      <x:c r="A650" t="n">
        <x:v>649</x:v>
      </x:c>
      <x:c r="B650" s="106" t="str">
        <x:v>Target X amplitude: 0.90000 m/s^2 peak, tolerance +/-7.50 %</x:v>
      </x:c>
      <x:c r="C650" t="str">
        <x:v>Pasted text(56).txt</x:v>
      </x:c>
    </x:row>
    <x:row r="651">
      <x:c r="A651" t="n">
        <x:v>650</x:v>
      </x:c>
      <x:c r="B651" s="106" t="str">
        <x:v>This run starts from DAC 1.00 and ignores every earlier selected DAC.</x:v>
      </x:c>
      <x:c r="C651" t="str">
        <x:v>Pasted text(56).txt</x:v>
      </x:c>
    </x:row>
    <x:row r="652">
      <x:c r="A652" t="n">
        <x:v>651</x:v>
      </x:c>
      <x:c r="B652" s="106" t="str">
        <x:v>ADXL2 DEVID/DATA_FORMAT/BW_RATE/POWER_CTL: 0xE5 / 0xB / 0xE / 0x8</x:v>
      </x:c>
      <x:c r="C652" t="str">
        <x:v>Pasted text(56).txt</x:v>
      </x:c>
    </x:row>
    <x:row r="653">
      <x:c r="A653" t="n">
        <x:v>652</x:v>
      </x:c>
      <x:c r="B653" s="106" t="str"/>
      <x:c r="C653" t="str">
        <x:v>Pasted text(56).txt</x:v>
      </x:c>
    </x:row>
    <x:row r="654">
      <x:c r="A654" t="n">
        <x:v>653</x:v>
      </x:c>
      <x:c r="B654" s="106" t="str">
        <x:v>ACQUISITION ATTEMPT 1 OF 2</x:v>
      </x:c>
      <x:c r="C654" t="str">
        <x:v>Pasted text(56).txt</x:v>
      </x:c>
    </x:row>
    <x:row r="655">
      <x:c r="A655" t="n">
        <x:v>654</x:v>
      </x:c>
      <x:c r="B655" s="106" t="str"/>
      <x:c r="C655" t="str">
        <x:v>Pasted text(56).txt</x:v>
      </x:c>
    </x:row>
    <x:row r="656">
      <x:c r="A656" t="n">
        <x:v>655</x:v>
      </x:c>
      <x:c r="B656" s="106" t="str">
        <x:v>FRESH X-AXIS SEARCH FROM DAC 1.00 — OLD DAC VALUES ARE NOT USED</x:v>
      </x:c>
      <x:c r="C656" t="str">
        <x:v>Pasted text(56).txt</x:v>
      </x:c>
    </x:row>
    <x:row r="657">
      <x:c r="A657" t="n">
        <x:v>656</x:v>
      </x:c>
      <x:c r="B657" s="106" t="str">
        <x:v>Y/Z are diagnostic only and cannot abort this search.</x:v>
      </x:c>
      <x:c r="C657" t="str">
        <x:v>Pasted text(56).txt</x:v>
      </x:c>
    </x:row>
    <x:row r="658">
      <x:c r="A658" t="n">
        <x:v>657</x:v>
      </x:c>
      <x:c r="B658" s="106" t="str">
        <x:v>A real SPI fault, clipping, safety limit or confirmed X-response collapse will stop it.</x:v>
      </x:c>
      <x:c r="C658" t="str">
        <x:v>Pasted text(56).txt</x:v>
      </x:c>
    </x:row>
    <x:row r="659">
      <x:c r="A659" t="n">
        <x:v>658</x:v>
      </x:c>
      <x:c r="B659" s="106" t="str">
        <x:v>SEARCH | point 1 | DAC 1.00 | CTRL X 0.00789 | X 0.00780 | Y 0.01429 | Z 0.02987 | TOTAL 0.03544 | error -99.12 % | MAD 3.42 % | CV 1.65 % | coh 4.3 % | dominant Z | axis fraction 26.1 % | BELOW MEASUREMENT FLOOR — SEARCH CONTINUES</x:v>
      </x:c>
      <x:c r="C659" t="str">
        <x:v>Pasted text(56).txt</x:v>
      </x:c>
    </x:row>
    <x:row r="660">
      <x:c r="A660" t="n">
        <x:v>659</x:v>
      </x:c>
      <x:c r="B660" s="106" t="str">
        <x:v>SEARCH | point 2 | DAC 3.00 | CTRL X 0.14995 | X 0.14920 | Y 0.05185 | Z 0.08950 | TOTAL 0.18168 | error -83.34 % | MAD 1.49 % | CV 0.71 % | coh 54.1 % | dominant X | axis fraction 100.0 % | VALID</x:v>
      </x:c>
      <x:c r="C660" t="str">
        <x:v>Pasted text(56).txt</x:v>
      </x:c>
    </x:row>
    <x:row r="661">
      <x:c r="A661" t="n">
        <x:v>660</x:v>
      </x:c>
      <x:c r="B661" s="106" t="str">
        <x:v>SEARCH | point 3 | DAC 5.00 | CTRL X 0.36520 | X 0.36783 | Y 0.13227 | Z 0.24528 | TOTAL 0.46157 | error -59.42 % | MAD 1.34 % | CV 2.07 % | coh 78.6 % | dominant X | axis fraction 100.0 % | VALID</x:v>
      </x:c>
      <x:c r="C661" t="str">
        <x:v>Pasted text(56).txt</x:v>
      </x:c>
    </x:row>
    <x:row r="662">
      <x:c r="A662" t="n">
        <x:v>661</x:v>
      </x:c>
      <x:c r="B662" s="106" t="str">
        <x:v>SEARCH | point 4 | DAC 6.00 | CTRL X 0.48550 | X 0.48053 | Y 0.18274 | Z 0.32419 | TOTAL 0.60857 | error -46.06 % | MAD 6.55 % | CV 6.08 % | coh 84.5 % | dominant X | axis fraction 100.0 % | VALID</x:v>
      </x:c>
      <x:c r="C662" t="str">
        <x:v>Pasted text(56).txt</x:v>
      </x:c>
    </x:row>
    <x:row r="663">
      <x:c r="A663" t="n">
        <x:v>662</x:v>
      </x:c>
      <x:c r="B663" s="106" t="str">
        <x:v>SEARCH | point 5 | DAC 7.00 | CTRL X 0.62569 | X 0.62700 | Y 0.24823 | Z 0.38206 | TOTAL 0.77595 | error -30.48 % | MAD 3.92 % | CV 2.96 % | coh 90.8 % | dominant X | axis fraction 100.0 % | VALID</x:v>
      </x:c>
      <x:c r="C663" t="str">
        <x:v>Pasted text(56).txt</x:v>
      </x:c>
    </x:row>
    <x:row r="664">
      <x:c r="A664" t="n">
        <x:v>663</x:v>
      </x:c>
      <x:c r="B664" s="106" t="str">
        <x:v>SEARCH | point 6 | DAC 7.50 | CTRL X 0.65683 | X 0.65882 | Y 0.25496 | Z 0.41882 | TOTAL 0.82139 | error -27.02 % | MAD 0.95 % | CV 1.12 % | coh 89.1 % | dominant X | axis fraction 100.0 % | VALID</x:v>
      </x:c>
      <x:c r="C664" t="str">
        <x:v>Pasted text(56).txt</x:v>
      </x:c>
    </x:row>
    <x:row r="665">
      <x:c r="A665" t="n">
        <x:v>664</x:v>
      </x:c>
      <x:c r="B665" s="106" t="str">
        <x:v>SEARCH | point 7 | DAC 8.00 | CTRL X 0.73516 | X 0.73184 | Y 0.26301 | Z 0.45209 | TOTAL 0.89981 | error -18.32 % | MAD 0.52 % | CV 1.10 % | coh 91.2 % | dominant X | axis fraction 100.0 % | VALID</x:v>
      </x:c>
      <x:c r="C665" t="str">
        <x:v>Pasted text(56).txt</x:v>
      </x:c>
    </x:row>
    <x:row r="666">
      <x:c r="A666" t="n">
        <x:v>665</x:v>
      </x:c>
      <x:c r="B666" s="106" t="str">
        <x:v>SEARCH | point 8 | DAC 8.50 | CTRL X 0.76161 | X 0.76844 | Y 0.28060 | Z 0.47269 | TOTAL 0.94500 | error -15.38 % | MAD 1.29 % | CV 2.33 % | coh 90.4 % | dominant X | axis fraction 100.0 % | VALID</x:v>
      </x:c>
      <x:c r="C666" t="str">
        <x:v>Pasted text(56).txt</x:v>
      </x:c>
    </x:row>
    <x:row r="667">
      <x:c r="A667" t="n">
        <x:v>666</x:v>
      </x:c>
      <x:c r="B667" s="106" t="str">
        <x:v>SEARCH | point 9 | DAC 9.00 | CTRL X 0.85264 | X 0.85175 | Y 0.30675 | Z 0.49230 | TOTAL 1.03066 | error -5.26 % | MAD 0.46 % | CV 0.48 % | coh 91.7 % | dominant X | axis fraction 100.0 % | IN TARGET BAND</x:v>
      </x:c>
      <x:c r="C667" t="str">
        <x:v>Pasted text(56).txt</x:v>
      </x:c>
    </x:row>
    <x:row r="668">
      <x:c r="A668" t="n">
        <x:v>667</x:v>
      </x:c>
      <x:c r="B668" s="106" t="str"/>
      <x:c r="C668" t="str">
        <x:v>Pasted text(56).txt</x:v>
      </x:c>
    </x:row>
    <x:row r="669">
      <x:c r="A669" t="n">
        <x:v>668</x:v>
      </x:c>
      <x:c r="B669" s="106" t="str">
        <x:v>LOCAL 0.25-DAC X-AXIS FINE SCAN</x:v>
      </x:c>
      <x:c r="C669" t="str">
        <x:v>Pasted text(56).txt</x:v>
      </x:c>
    </x:row>
    <x:row r="670">
      <x:c r="A670" t="n">
        <x:v>669</x:v>
      </x:c>
      <x:c r="B670" s="106" t="str">
        <x:v>Only a valid point actually inside the X target band may be selected.</x:v>
      </x:c>
      <x:c r="C670" t="str">
        <x:v>Pasted text(56).txt</x:v>
      </x:c>
    </x:row>
    <x:row r="671">
      <x:c r="A671" t="n">
        <x:v>670</x:v>
      </x:c>
      <x:c r="B671" s="106" t="str">
        <x:v>FINE | point 1 | DAC 8.00 | CTRL X 0.73463 | X 0.72692 | Y 0.27418 | Z 0.44851 | TOTAL 0.89745 | error -18.37 % | MAD 0.17 % | CV 1.94 % | coh 89.5 % | dominant X | axis fraction 100.0 % | VALID</x:v>
      </x:c>
      <x:c r="C671" t="str">
        <x:v>Pasted text(56).txt</x:v>
      </x:c>
    </x:row>
    <x:row r="672">
      <x:c r="A672" t="n">
        <x:v>671</x:v>
      </x:c>
      <x:c r="B672" s="106" t="str">
        <x:v>FINE | point 2 | DAC 8.25 | CTRL X 0.73894 | X 0.73832 | Y 0.27638 | Z 0.46785 | TOTAL 0.91694 | error -17.90 % | MAD 2.66 % | CV 1.93 % | coh 89.6 % | dominant X | axis fraction 100.0 % | VALID</x:v>
      </x:c>
      <x:c r="C672" t="str">
        <x:v>Pasted text(56).txt</x:v>
      </x:c>
    </x:row>
    <x:row r="673">
      <x:c r="A673" t="n">
        <x:v>672</x:v>
      </x:c>
      <x:c r="B673" s="106" t="str">
        <x:v>FINE | point 3 | DAC 8.50 | CTRL X 0.76418 | X 0.76648 | Y 0.28885 | Z 0.44708 | TOTAL 0.93340 | error -15.09 % | MAD 0.64 % | CV 0.92 % | coh 90.7 % | dominant X | axis fraction 100.0 % | VALID</x:v>
      </x:c>
      <x:c r="C673" t="str">
        <x:v>Pasted text(56).txt</x:v>
      </x:c>
    </x:row>
    <x:row r="674">
      <x:c r="A674" t="n">
        <x:v>673</x:v>
      </x:c>
      <x:c r="B674" s="106" t="str">
        <x:v>FINE | point 4 | DAC 8.75 | CTRL X 0.82106 | X 0.82133 | Y 0.30323 | Z 0.49914 | TOTAL 1.00796 | error -8.77 % | MAD 2.91 % | CV 2.01 % | coh 91.3 % | dominant X | axis fraction 100.0 % | VALID</x:v>
      </x:c>
      <x:c r="C674" t="str">
        <x:v>Pasted text(56).txt</x:v>
      </x:c>
    </x:row>
    <x:row r="675">
      <x:c r="A675" t="n">
        <x:v>674</x:v>
      </x:c>
      <x:c r="B675" s="106" t="str">
        <x:v>FINE | point 5 | DAC 9.00 | CTRL X 0.85400 | X 0.85269 | Y 0.31424 | Z 0.52208 | TOTAL 1.04824 | error -5.11 % | MAD 1.38 % | CV 1.17 % | coh 91.5 % | dominant X | axis fraction 100.0 % | IN TARGET BAND</x:v>
      </x:c>
      <x:c r="C675" t="str">
        <x:v>Pasted text(56).txt</x:v>
      </x:c>
    </x:row>
    <x:row r="676">
      <x:c r="A676" t="n">
        <x:v>675</x:v>
      </x:c>
      <x:c r="B676" s="106" t="str">
        <x:v>FINE | point 6 | DAC 9.25 | CTRL X 0.86932 | X 0.86980 | Y 0.31787 | Z 0.50367 | TOTAL 1.05425 | error -3.41 % | MAD 1.70 % | CV 1.23 % | coh 91.5 % | dominant X | axis fraction 100.0 % | IN TARGET BAND</x:v>
      </x:c>
      <x:c r="C676" t="str">
        <x:v>Pasted text(56).txt</x:v>
      </x:c>
    </x:row>
    <x:row r="677">
      <x:c r="A677" t="n">
        <x:v>676</x:v>
      </x:c>
      <x:c r="B677" s="106" t="str">
        <x:v>FINE | point 7 | DAC 9.50 | CTRL X 0.88999 | X 0.89253 | Y 0.32978 | Z 0.53560 | TOTAL 1.09199 | error -1.11 % | MAD 0.50 % | CV 0.80 % | coh 90.2 % | dominant X | axis fraction 100.0 % | IN TARGET BAND</x:v>
      </x:c>
      <x:c r="C677" t="str">
        <x:v>Pasted text(56).txt</x:v>
      </x:c>
    </x:row>
    <x:row r="678">
      <x:c r="A678" t="n">
        <x:v>677</x:v>
      </x:c>
      <x:c r="B678" s="106" t="str">
        <x:v>FINE | point 8 | DAC 9.75 | CTRL X 0.96411 | X 0.96518 | Y 0.34118 | Z 0.55428 | TOTAL 1.16428 | error 7.12 % | MAD 0.52 % | CV 0.53 % | coh 92.6 % | dominant X | axis fraction 100.0 % | IN TARGET BAND</x:v>
      </x:c>
      <x:c r="C678" t="str">
        <x:v>Pasted text(56).txt</x:v>
      </x:c>
    </x:row>
    <x:row r="679">
      <x:c r="A679" t="n">
        <x:v>678</x:v>
      </x:c>
      <x:c r="B679" s="106" t="str">
        <x:v>FINE | point 9 | DAC 10.00 | CTRL X 0.97509 | X 0.97447 | Y 0.34213 | Z 0.56824 | TOTAL 1.17894 | error 8.34 % | MAD 1.48 % | CV 1.09 % | coh 91.8 % | dominant X | axis fraction 100.0 % | VALID</x:v>
      </x:c>
      <x:c r="C679" t="str">
        <x:v>Pasted text(56).txt</x:v>
      </x:c>
    </x:row>
    <x:row r="680">
      <x:c r="A680" t="n">
        <x:v>679</x:v>
      </x:c>
      <x:c r="B680" s="106" t="str"/>
      <x:c r="C680" t="str">
        <x:v>Pasted text(56).txt</x:v>
      </x:c>
    </x:row>
    <x:row r="681">
      <x:c r="A681" t="n">
        <x:v>680</x:v>
      </x:c>
      <x:c r="B681" s="106" t="str">
        <x:v>LONG VALIDATION AT FIXED DAC 9.50</x:v>
      </x:c>
      <x:c r="C681" t="str">
        <x:v>Pasted text(56).txt</x:v>
      </x:c>
    </x:row>
    <x:row r="682">
      <x:c r="A682" t="n">
        <x:v>681</x:v>
      </x:c>
      <x:c r="B682" s="106" t="str">
        <x:v>FINAL | point 1 | DAC 9.50 | CTRL X 0.89455 | X 0.89415 | Y 0.32391 | Z 0.52794 | TOTAL 1.08807 | error -0.61 % | MAD 2.69 % | CV 2.45 % | coh 91.2 % | dominant X | axis fraction 100.0 % | IN TARGET BAND</x:v>
      </x:c>
      <x:c r="C682" t="str">
        <x:v>Pasted text(56).txt</x:v>
      </x:c>
    </x:row>
    <x:row r="683">
      <x:c r="A683" t="n">
        <x:v>682</x:v>
      </x:c>
      <x:c r="B683" s="106" t="str">
        <x:v>FINAL | point 2 | DAC 9.50 | CTRL X 0.90382 | X 0.90295 | Y 0.32110 | Z 0.51793 | TOTAL 1.08954 | error 0.42 % | MAD 2.17 % | CV 2.33 % | coh 92.1 % | dominant X | axis fraction 100.0 % | IN TARGET BAND</x:v>
      </x:c>
      <x:c r="C683" t="str">
        <x:v>Pasted text(56).txt</x:v>
      </x:c>
    </x:row>
    <x:row r="684">
      <x:c r="A684" t="n">
        <x:v>683</x:v>
      </x:c>
      <x:c r="B684" s="106" t="str">
        <x:v>VALIDATION ACCEPTED | pair drift 1.03 %</x:v>
      </x:c>
      <x:c r="C684" t="str">
        <x:v>Pasted text(56).txt</x:v>
      </x:c>
    </x:row>
    <x:row r="685">
      <x:c r="A685" t="n">
        <x:v>684</x:v>
      </x:c>
      <x:c r="B685" s="106" t="str"/>
      <x:c r="C685" t="str">
        <x:v>Pasted text(56).txt</x:v>
      </x:c>
    </x:row>
    <x:row r="686">
      <x:c r="A686" t="n">
        <x:v>685</x:v>
      </x:c>
      <x:c r="B686" s="106" t="str">
        <x:v>FINAL VALIDATED BLIND FFT VERIFICATION</x:v>
      </x:c>
      <x:c r="C686" t="str">
        <x:v>Pasted text(56).txt</x:v>
      </x:c>
    </x:row>
    <x:row r="687">
      <x:c r="A687" t="n">
        <x:v>686</x:v>
      </x:c>
      <x:c r="B687" s="106" t="str">
        <x:v>Commanded frequency: 268.00000 Hz</x:v>
      </x:c>
      <x:c r="C687" t="str">
        <x:v>Pasted text(56).txt</x:v>
      </x:c>
    </x:row>
    <x:row r="688">
      <x:c r="A688" t="n">
        <x:v>687</x:v>
      </x:c>
      <x:c r="B688" s="106" t="str">
        <x:v>Accepted DAC: 9.50</x:v>
      </x:c>
      <x:c r="C688" t="str">
        <x:v>Pasted text(56).txt</x:v>
      </x:c>
    </x:row>
    <x:row r="689">
      <x:c r="A689" t="n">
        <x:v>688</x:v>
      </x:c>
      <x:c r="B689" s="106" t="str">
        <x:v>Axis,Frequency_Hz,Amplitude_mps2,SNR_dB,Status</x:v>
      </x:c>
      <x:c r="C689" t="str">
        <x:v>Pasted text(56).txt</x:v>
      </x:c>
    </x:row>
    <x:row r="690">
      <x:c r="A690" t="n">
        <x:v>689</x:v>
      </x:c>
      <x:c r="B690" s="106" t="str">
        <x:v>X,268.03633,0.82689,31.63,VALID</x:v>
      </x:c>
      <x:c r="C690" t="str">
        <x:v>Pasted text(56).txt</x:v>
      </x:c>
    </x:row>
    <x:row r="691">
      <x:c r="A691" t="n">
        <x:v>690</x:v>
      </x:c>
      <x:c r="B691" s="106" t="str">
        <x:v>Y,268.02573,0.29384,23.82,VALID</x:v>
      </x:c>
      <x:c r="C691" t="str">
        <x:v>Pasted text(56).txt</x:v>
      </x:c>
    </x:row>
    <x:row r="692">
      <x:c r="A692" t="n">
        <x:v>691</x:v>
      </x:c>
      <x:c r="B692" s="106" t="str">
        <x:v>Z,268.00865,0.48445,27.99,VALID</x:v>
      </x:c>
      <x:c r="C692" t="str">
        <x:v>Pasted text(56).txt</x:v>
      </x:c>
    </x:row>
    <x:row r="693">
      <x:c r="A693" t="n">
        <x:v>692</x:v>
      </x:c>
      <x:c r="B693" s="106" t="str">
        <x:v>Combined frequency: 268.02906 Hz | difference 0.02906 Hz</x:v>
      </x:c>
      <x:c r="C693" t="str">
        <x:v>Pasted text(56).txt</x:v>
      </x:c>
    </x:row>
    <x:row r="694">
      <x:c r="A694" t="n">
        <x:v>693</x:v>
      </x:c>
      <x:c r="B694" s="106" t="str">
        <x:v>Combined X/Y/Z/TOTAL: 0.75669 / 0.26869 / 0.44116 / 0.91619</x:v>
      </x:c>
      <x:c r="C694" t="str">
        <x:v>Pasted text(56).txt</x:v>
      </x:c>
    </x:row>
    <x:row r="695">
      <x:c r="A695" t="n">
        <x:v>694</x:v>
      </x:c>
      <x:c r="B695" s="106" t="str">
        <x:v>SNR: 29.23 dB | dominant axis X</x:v>
      </x:c>
      <x:c r="C695" t="str">
        <x:v>Pasted text(56).txt</x:v>
      </x:c>
    </x:row>
    <x:row r="696">
      <x:c r="A696" t="n">
        <x:v>695</x:v>
      </x:c>
      <x:c r="B696" s="106" t="str">
        <x:v>Frequency verification: PASS</x:v>
      </x:c>
      <x:c r="C696" t="str">
        <x:v>Pasted text(56).txt</x:v>
      </x:c>
    </x:row>
    <x:row r="697">
      <x:c r="A697" t="n">
        <x:v>696</x:v>
      </x:c>
      <x:c r="B697" s="106" t="str">
        <x:v>Y/Z dominance: DIAGNOSTIC ONLY — ignored for pass/fail</x:v>
      </x:c>
      <x:c r="C697" t="str">
        <x:v>Pasted text(56).txt</x:v>
      </x:c>
    </x:row>
    <x:row r="698">
      <x:c r="A698" t="n">
        <x:v>697</x:v>
      </x:c>
      <x:c r="B698" s="106" t="str"/>
      <x:c r="C698" t="str">
        <x:v>Pasted text(56).txt</x:v>
      </x:c>
    </x:row>
    <x:row r="699">
      <x:c r="A699" t="n">
        <x:v>698</x:v>
      </x:c>
      <x:c r="B699" s="106" t="str">
        <x:v>FIXED-DAC HOLD VALIDATION</x:v>
      </x:c>
      <x:c r="C699" t="str">
        <x:v>Pasted text(56).txt</x:v>
      </x:c>
    </x:row>
    <x:row r="700">
      <x:c r="A700" t="n">
        <x:v>699</x:v>
      </x:c>
      <x:c r="B700" s="106" t="str">
        <x:v>DAC remains fixed at 9.50 for 10 records.</x:v>
      </x:c>
      <x:c r="C700" t="str">
        <x:v>Pasted text(56).txt</x:v>
      </x:c>
    </x:row>
    <x:row r="701">
      <x:c r="A701" t="n">
        <x:v>700</x:v>
      </x:c>
      <x:c r="B701" s="106" t="str">
        <x:v>HOLD | point 1 | DAC 9.50 | CTRL X 0.91855 | X 0.91881 | Y 0.32320 | Z 0.51843 | TOTAL 1.10349 | error 2.06 % | MAD 0.72 % | CV 0.53 % | coh 92.1 % | dominant X | axis fraction 100.0 % | IN TARGET BAND</x:v>
      </x:c>
      <x:c r="C701" t="str">
        <x:v>Pasted text(56).txt</x:v>
      </x:c>
    </x:row>
    <x:row r="702">
      <x:c r="A702" t="n">
        <x:v>701</x:v>
      </x:c>
      <x:c r="B702" s="106" t="str">
        <x:v>HOLD | point 2 | DAC 9.50 | CTRL X 0.91706 | X 0.90982 | Y 0.31807 | Z 0.53862 | TOTAL 1.10414 | error 1.90 % | MAD 0.78 % | CV 1.86 % | coh 91.4 % | dominant X | axis fraction 100.0 % | IN TARGET BAND</x:v>
      </x:c>
      <x:c r="C702" t="str">
        <x:v>Pasted text(56).txt</x:v>
      </x:c>
    </x:row>
    <x:row r="703">
      <x:c r="A703" t="n">
        <x:v>702</x:v>
      </x:c>
      <x:c r="B703" s="106" t="str">
        <x:v>HOLD | point 3 | DAC 9.50 | CTRL X 0.91140 | X 0.91599 | Y 0.32928 | Z 0.52068 | TOTAL 1.10427 | error 1.27 % | MAD 1.13 % | CV 1.57 % | coh 91.9 % | dominant X | axis fraction 100.0 % | IN TARGET BAND</x:v>
      </x:c>
      <x:c r="C703" t="str">
        <x:v>Pasted text(56).txt</x:v>
      </x:c>
    </x:row>
    <x:row r="704">
      <x:c r="A704" t="n">
        <x:v>703</x:v>
      </x:c>
      <x:c r="B704" s="106" t="str">
        <x:v>HOLD | point 4 | DAC 9.50 | CTRL X 0.91499 | X 0.91315 | Y 0.32002 | Z 0.54121 | TOTAL 1.10877 | error 1.67 % | MAD 1.29 % | CV 1.18 % | coh 92.9 % | dominant X | axis fraction 100.0 % | IN TARGET BAND</x:v>
      </x:c>
      <x:c r="C704" t="str">
        <x:v>Pasted text(56).txt</x:v>
      </x:c>
    </x:row>
    <x:row r="705">
      <x:c r="A705" t="n">
        <x:v>704</x:v>
      </x:c>
      <x:c r="B705" s="106" t="str">
        <x:v>HOLD | point 5 | DAC 9.50 | CTRL X 0.89813 | X 0.90499 | Y 0.31750 | Z 0.53195 | TOTAL 1.09685 | error -0.21 % | MAD 0.12 % | CV 1.38 % | coh 91.9 % | dominant X | axis fraction 100.0 % | IN TARGET BAND</x:v>
      </x:c>
      <x:c r="C705" t="str">
        <x:v>Pasted text(56).txt</x:v>
      </x:c>
    </x:row>
    <x:row r="706">
      <x:c r="A706" t="n">
        <x:v>705</x:v>
      </x:c>
      <x:c r="B706" s="106" t="str">
        <x:v>HOLD | point 6 | DAC 9.50 | CTRL X 0.89357 | X 0.89449 | Y 0.32357 | Z 0.53167 | TOTAL 1.09050 | error -0.71 % | MAD 4.36 % | CV 3.09 % | coh 90.9 % | dominant X | axis fraction 100.0 % | IN TARGET BAND</x:v>
      </x:c>
      <x:c r="C706" t="str">
        <x:v>Pasted text(56).txt</x:v>
      </x:c>
    </x:row>
    <x:row r="707">
      <x:c r="A707" t="n">
        <x:v>706</x:v>
      </x:c>
      <x:c r="B707" s="106" t="str">
        <x:v>HOLD | point 7 | DAC 9.50 | CTRL X 0.87340 | X 0.87059 | Y 0.31855 | Z 0.53372 | TOTAL 1.06977 | error -2.96 % | MAD 0.32 % | CV 0.75 % | coh 89.6 % | dominant X | axis fraction 100.0 % | IN TARGET BAND</x:v>
      </x:c>
      <x:c r="C707" t="str">
        <x:v>Pasted text(56).txt</x:v>
      </x:c>
    </x:row>
    <x:row r="708">
      <x:c r="A708" t="n">
        <x:v>707</x:v>
      </x:c>
      <x:c r="B708" s="106" t="str">
        <x:v>HOLD | point 8 | DAC 9.50 | CTRL X 0.90136 | X 0.90835 | Y 0.31645 | Z 0.54601 | TOTAL 1.10613 | error 0.15 % | MAD 0.12 % | CV 1.40 % | coh 92.6 % | dominant X | axis fraction 100.0 % | IN TARGET BAND</x:v>
      </x:c>
      <x:c r="C708" t="str">
        <x:v>Pasted text(56).txt</x:v>
      </x:c>
    </x:row>
    <x:row r="709">
      <x:c r="A709" t="n">
        <x:v>708</x:v>
      </x:c>
      <x:c r="B709" s="106" t="str">
        <x:v>HOLD | point 9 | DAC 9.50 | CTRL X 0.91259 | X 0.91041 | Y 0.32170 | Z 0.53194 | TOTAL 1.10258 | error 1.40 % | MAD 3.32 % | CV 2.61 % | coh 92.4 % | dominant X | axis fraction 100.0 % | IN TARGET BAND</x:v>
      </x:c>
      <x:c r="C709" t="str">
        <x:v>Pasted text(56).txt</x:v>
      </x:c>
    </x:row>
    <x:row r="710">
      <x:c r="A710" t="n">
        <x:v>709</x:v>
      </x:c>
      <x:c r="B710" s="106" t="str">
        <x:v>HOLD | point 10 | DAC 9.50 | CTRL X 0.92121 | X 0.92118 | Y 0.33077 | Z 0.53571 | TOTAL 1.11618 | error 2.36 % | MAD 3.12 % | CV 2.11 % | coh 91.6 % | dominant X | axis fraction 100.0 % | IN TARGET BAND</x:v>
      </x:c>
      <x:c r="C710" t="str">
        <x:v>Pasted text(56).txt</x:v>
      </x:c>
    </x:row>
    <x:row r="711">
      <x:c r="A711" t="n">
        <x:v>710</x:v>
      </x:c>
      <x:c r="B711" s="106" t="str"/>
      <x:c r="C711" t="str">
        <x:v>Pasted text(56).txt</x:v>
      </x:c>
    </x:row>
    <x:row r="712">
      <x:c r="A712" t="n">
        <x:v>711</x:v>
      </x:c>
      <x:c r="B712" s="106" t="str">
        <x:v>HOLD SUMMARY</x:v>
      </x:c>
      <x:c r="C712" t="str">
        <x:v>Pasted text(56).txt</x:v>
      </x:c>
    </x:row>
    <x:row r="713">
      <x:c r="A713" t="n">
        <x:v>712</x:v>
      </x:c>
      <x:c r="B713" s="106" t="str">
        <x:v>Valid / requested: 10 / 10</x:v>
      </x:c>
      <x:c r="C713" t="str">
        <x:v>Pasted text(56).txt</x:v>
      </x:c>
    </x:row>
    <x:row r="714">
      <x:c r="A714" t="n">
        <x:v>713</x:v>
      </x:c>
      <x:c r="B714" s="106" t="str">
        <x:v>In band / requested: 10 / 10 = 100.0 %</x:v>
      </x:c>
      <x:c r="C714" t="str">
        <x:v>Pasted text(56).txt</x:v>
      </x:c>
    </x:row>
    <x:row r="715">
      <x:c r="A715" t="n">
        <x:v>714</x:v>
      </x:c>
      <x:c r="B715" s="106" t="str">
        <x:v>Mean / SD / CV: 0.90623 / 0.01477 / 1.63 %</x:v>
      </x:c>
      <x:c r="C715" t="str">
        <x:v>Pasted text(56).txt</x:v>
      </x:c>
    </x:row>
    <x:row r="716">
      <x:c r="A716" t="n">
        <x:v>715</x:v>
      </x:c>
      <x:c r="B716" s="106" t="str">
        <x:v>Min / Max: 0.87340 / 0.92121</x:v>
      </x:c>
      <x:c r="C716" t="str">
        <x:v>Pasted text(56).txt</x:v>
      </x:c>
    </x:row>
    <x:row r="717">
      <x:c r="A717" t="n">
        <x:v>716</x:v>
      </x:c>
      <x:c r="B717" s="106" t="str">
        <x:v>HOLD RESULT: PASS</x:v>
      </x:c>
      <x:c r="C717" t="str">
        <x:v>Pasted text(56).txt</x:v>
      </x:c>
    </x:row>
    <x:row r="718">
      <x:c r="A718" t="n">
        <x:v>717</x:v>
      </x:c>
      <x:c r="B718" s="106" t="str"/>
      <x:c r="C718" t="str">
        <x:v>Pasted text(56).txt</x:v>
      </x:c>
    </x:row>
    <x:row r="719">
      <x:c r="A719" t="n">
        <x:v>718</x:v>
      </x:c>
      <x:c r="B719" s="106" t="str">
        <x:v>RUN RESULT: PASS</x:v>
      </x:c>
      <x:c r="C719" t="str">
        <x:v>Pasted text(56).txt</x:v>
      </x:c>
    </x:row>
    <x:row r="720">
      <x:c r="A720" t="n">
        <x:v>719</x:v>
      </x:c>
      <x:c r="B720" s="106" t="str">
        <x:v>Selected DAC: 9.50</x:v>
      </x:c>
      <x:c r="C720" t="str">
        <x:v>Pasted text(56).txt</x:v>
      </x:c>
    </x:row>
    <x:row r="721">
      <x:c r="A721" t="n">
        <x:v>720</x:v>
      </x:c>
      <x:c r="B721" s="106" t="str">
        <x:v>Validated amplitude: 0.89918 m/s^2 | error -0.09 %</x:v>
      </x:c>
      <x:c r="C721" t="str">
        <x:v>Pasted text(56).txt</x:v>
      </x:c>
    </x:row>
    <x:row r="722">
      <x:c r="A722" t="n">
        <x:v>721</x:v>
      </x:c>
      <x:c r="B722" s="106" t="str">
        <x:v>FFT frequency: 268.02906 Hz | difference 0.02906 Hz</x:v>
      </x:c>
      <x:c r="C722" t="str">
        <x:v>Pasted text(56).txt</x:v>
      </x:c>
    </x:row>
    <x:row r="723">
      <x:c r="A723" t="n">
        <x:v>722</x:v>
      </x:c>
      <x:c r="B723" s="106" t="str"/>
      <x:c r="C723" t="str">
        <x:v>Pasted text(56).txt</x:v>
      </x:c>
    </x:row>
    <x:row r="724">
      <x:c r="A724" t="n">
        <x:v>723</x:v>
      </x:c>
      <x:c r="B724" s="106" t="str">
        <x:v>VISATON OFF. RESTING 5.0 s BEFORE THE NEXT COMPLETELY FRESH RUN.</x:v>
      </x:c>
      <x:c r="C724" t="str">
        <x:v>Pasted text(56).txt</x:v>
      </x:c>
    </x:row>
    <x:row r="725">
      <x:c r="A725" t="n">
        <x:v>724</x:v>
      </x:c>
      <x:c r="B725" s="106" t="str"/>
      <x:c r="C725" t="str">
        <x:v>Pasted text(56).txt</x:v>
      </x:c>
    </x:row>
    <x:row r="726">
      <x:c r="A726" t="n">
        <x:v>725</x:v>
      </x:c>
      <x:c r="B726" s="106" t="str">
        <x:v>################################################################################</x:v>
      </x:c>
      <x:c r="C726" t="str">
        <x:v>Pasted text(56).txt</x:v>
      </x:c>
    </x:row>
    <x:row r="727">
      <x:c r="A727" t="n">
        <x:v>726</x:v>
      </x:c>
      <x:c r="B727" s="106" t="str">
        <x:v>INDEPENDENT TARGET-AMPLITUDE RUN 2 OF 5</x:v>
      </x:c>
      <x:c r="C727" t="str">
        <x:v>Pasted text(56).txt</x:v>
      </x:c>
    </x:row>
    <x:row r="728">
      <x:c r="A728" t="n">
        <x:v>727</x:v>
      </x:c>
      <x:c r="B728" s="106" t="str">
        <x:v>################################################################################</x:v>
      </x:c>
      <x:c r="C728" t="str">
        <x:v>Pasted text(56).txt</x:v>
      </x:c>
    </x:row>
    <x:row r="729">
      <x:c r="A729" t="n">
        <x:v>728</x:v>
      </x:c>
      <x:c r="B729" s="106" t="str">
        <x:v>Frequency: 268.00000 Hz</x:v>
      </x:c>
      <x:c r="C729" t="str">
        <x:v>Pasted text(56).txt</x:v>
      </x:c>
    </x:row>
    <x:row r="730">
      <x:c r="A730" t="n">
        <x:v>729</x:v>
      </x:c>
      <x:c r="B730" s="106" t="str">
        <x:v>Target X amplitude: 0.90000 m/s^2 peak, tolerance +/-7.50 %</x:v>
      </x:c>
      <x:c r="C730" t="str">
        <x:v>Pasted text(56).txt</x:v>
      </x:c>
    </x:row>
    <x:row r="731">
      <x:c r="A731" t="n">
        <x:v>730</x:v>
      </x:c>
      <x:c r="B731" s="106" t="str">
        <x:v>This run starts from DAC 1.00 and ignores every earlier selected DAC.</x:v>
      </x:c>
      <x:c r="C731" t="str">
        <x:v>Pasted text(56).txt</x:v>
      </x:c>
    </x:row>
    <x:row r="732">
      <x:c r="A732" t="n">
        <x:v>731</x:v>
      </x:c>
      <x:c r="B732" s="106" t="str">
        <x:v>ADXL2 DEVID/DATA_FORMAT/BW_RATE/POWER_CTL: 0xE5 / 0xB / 0xE / 0x8</x:v>
      </x:c>
      <x:c r="C732" t="str">
        <x:v>Pasted text(56).txt</x:v>
      </x:c>
    </x:row>
    <x:row r="733">
      <x:c r="A733" t="n">
        <x:v>732</x:v>
      </x:c>
      <x:c r="B733" s="106" t="str"/>
      <x:c r="C733" t="str">
        <x:v>Pasted text(56).txt</x:v>
      </x:c>
    </x:row>
    <x:row r="734">
      <x:c r="A734" t="n">
        <x:v>733</x:v>
      </x:c>
      <x:c r="B734" s="106" t="str">
        <x:v>ACQUISITION ATTEMPT 1 OF 2</x:v>
      </x:c>
      <x:c r="C734" t="str">
        <x:v>Pasted text(56).txt</x:v>
      </x:c>
    </x:row>
    <x:row r="735">
      <x:c r="A735" t="n">
        <x:v>734</x:v>
      </x:c>
      <x:c r="B735" s="106" t="str"/>
      <x:c r="C735" t="str">
        <x:v>Pasted text(56).txt</x:v>
      </x:c>
    </x:row>
    <x:row r="736">
      <x:c r="A736" t="n">
        <x:v>735</x:v>
      </x:c>
      <x:c r="B736" s="106" t="str">
        <x:v>FRESH X-AXIS SEARCH FROM DAC 1.00 — OLD DAC VALUES ARE NOT USED</x:v>
      </x:c>
      <x:c r="C736" t="str">
        <x:v>Pasted text(56).txt</x:v>
      </x:c>
    </x:row>
    <x:row r="737">
      <x:c r="A737" t="n">
        <x:v>736</x:v>
      </x:c>
      <x:c r="B737" s="106" t="str">
        <x:v>Y/Z are diagnostic only and cannot abort this search.</x:v>
      </x:c>
      <x:c r="C737" t="str">
        <x:v>Pasted text(56).txt</x:v>
      </x:c>
    </x:row>
    <x:row r="738">
      <x:c r="A738" t="n">
        <x:v>737</x:v>
      </x:c>
      <x:c r="B738" s="106" t="str">
        <x:v>A real SPI fault, clipping, safety limit or confirmed X-response collapse will stop it.</x:v>
      </x:c>
      <x:c r="C738" t="str">
        <x:v>Pasted text(56).txt</x:v>
      </x:c>
    </x:row>
    <x:row r="739">
      <x:c r="A739" t="n">
        <x:v>738</x:v>
      </x:c>
      <x:c r="B739" s="106" t="str">
        <x:v>SEARCH | point 1 | DAC 1.00 | CTRL X 0.02796 | X 0.02920 | Y 0.01380 | Z 0.03129 | TOTAL 0.04633 | error -96.89 % | MAD 13.16 % | CV 6.01 % | coh 15.3 % | dominant Z | axis fraction 93.3 % | BELOW MEASUREMENT FLOOR — SEARCH CONTINUES</x:v>
      </x:c>
      <x:c r="C739" t="str">
        <x:v>Pasted text(56).txt</x:v>
      </x:c>
    </x:row>
    <x:row r="740">
      <x:c r="A740" t="n">
        <x:v>739</x:v>
      </x:c>
      <x:c r="B740" s="106" t="str">
        <x:v>SEARCH | point 2 | DAC 3.00 | CTRL X 0.17259 | X 0.16516 | Y 0.05921 | Z 0.12699 | TOTAL 0.21756 | error -80.82 % | MAD 5.34 % | CV 11.21 % | coh 57.7 % | dominant X | axis fraction 100.0 % | VALID</x:v>
      </x:c>
      <x:c r="C740" t="str">
        <x:v>Pasted text(56).txt</x:v>
      </x:c>
    </x:row>
    <x:row r="741">
      <x:c r="A741" t="n">
        <x:v>740</x:v>
      </x:c>
      <x:c r="B741" s="106" t="str">
        <x:v>SEARCH | point 3 | DAC 5.00 | CTRL X 0.39057 | X 0.39019 | Y 0.15675 | Z 0.25100 | TOTAL 0.48994 | error -56.60 % | MAD 0.25 % | CV 0.33 % | coh 81.9 % | dominant X | axis fraction 100.0 % | VALID</x:v>
      </x:c>
      <x:c r="C741" t="str">
        <x:v>Pasted text(56).txt</x:v>
      </x:c>
    </x:row>
    <x:row r="742">
      <x:c r="A742" t="n">
        <x:v>741</x:v>
      </x:c>
      <x:c r="B742" s="106" t="str">
        <x:v>SEARCH | point 4 | DAC 6.00 | CTRL X 0.50043 | X 0.50010 | Y 0.17212 | Z 0.31633 | TOTAL 0.61647 | error -44.40 % | MAD 4.23 % | CV 2.95 % | coh 84.7 % | dominant X | axis fraction 100.0 % | VALID</x:v>
      </x:c>
      <x:c r="C742" t="str">
        <x:v>Pasted text(56).txt</x:v>
      </x:c>
    </x:row>
    <x:row r="743">
      <x:c r="A743" t="n">
        <x:v>742</x:v>
      </x:c>
      <x:c r="B743" s="106" t="str">
        <x:v>SEARCH | point 5 | DAC 7.00 | CTRL X 0.61855 | X 0.62063 | Y 0.21873 | Z 0.39687 | TOTAL 0.76856 | error -31.27 % | MAD 0.56 % | CV 0.93 % | coh 89.8 % | dominant X | axis fraction 100.0 % | VALID</x:v>
      </x:c>
      <x:c r="C743" t="str">
        <x:v>Pasted text(56).txt</x:v>
      </x:c>
    </x:row>
    <x:row r="744">
      <x:c r="A744" t="n">
        <x:v>743</x:v>
      </x:c>
      <x:c r="B744" s="106" t="str">
        <x:v>SEARCH | point 6 | DAC 7.50 | CTRL X 0.68496 | X 0.67551 | Y 0.24241 | Z 0.42212 | TOTAL 0.83304 | error -23.89 % | MAD 1.19 % | CV 3.15 % | coh 90.7 % | dominant X | axis fraction 100.0 % | VALID</x:v>
      </x:c>
      <x:c r="C744" t="str">
        <x:v>Pasted text(56).txt</x:v>
      </x:c>
    </x:row>
    <x:row r="745">
      <x:c r="A745" t="n">
        <x:v>744</x:v>
      </x:c>
      <x:c r="B745" s="106" t="str">
        <x:v>SEARCH | point 7 | DAC 8.00 | CTRL X 0.75324 | X 0.75958 | Y 0.28541 | Z 0.44812 | TOTAL 0.92783 | error -16.31 % | MAD 2.26 % | CV 2.86 % | coh 90.5 % | dominant X | axis fraction 100.0 % | VALID</x:v>
      </x:c>
      <x:c r="C745" t="str">
        <x:v>Pasted text(56).txt</x:v>
      </x:c>
    </x:row>
    <x:row r="746">
      <x:c r="A746" t="n">
        <x:v>745</x:v>
      </x:c>
      <x:c r="B746" s="106" t="str">
        <x:v>SEARCH | point 8 | DAC 8.50 | CTRL X 0.76569 | X 0.76813 | Y 0.26699 | Z 0.45203 | TOTAL 0.93076 | error -14.92 % | MAD 0.31 % | CV 0.74 % | coh 88.9 % | dominant X | axis fraction 100.0 % | VALID</x:v>
      </x:c>
      <x:c r="C746" t="str">
        <x:v>Pasted text(56).txt</x:v>
      </x:c>
    </x:row>
    <x:row r="747">
      <x:c r="A747" t="n">
        <x:v>746</x:v>
      </x:c>
      <x:c r="B747" s="106" t="str">
        <x:v>SEARCH | point 9 | DAC 8.75 | CTRL X 0.84742 | X 0.84624 | Y 0.28764 | Z 0.50859 | TOTAL 1.02847 | error -5.84 % | MAD 0.66 % | CV 0.67 % | coh 92.3 % | dominant X | axis fraction 100.0 % | IN TARGET BAND</x:v>
      </x:c>
      <x:c r="C747" t="str">
        <x:v>Pasted text(56).txt</x:v>
      </x:c>
    </x:row>
    <x:row r="748">
      <x:c r="A748" t="n">
        <x:v>747</x:v>
      </x:c>
      <x:c r="B748" s="106" t="str"/>
      <x:c r="C748" t="str">
        <x:v>Pasted text(56).txt</x:v>
      </x:c>
    </x:row>
    <x:row r="749">
      <x:c r="A749" t="n">
        <x:v>748</x:v>
      </x:c>
      <x:c r="B749" s="106" t="str">
        <x:v>LOCAL 0.25-DAC X-AXIS FINE SCAN</x:v>
      </x:c>
      <x:c r="C749" t="str">
        <x:v>Pasted text(56).txt</x:v>
      </x:c>
    </x:row>
    <x:row r="750">
      <x:c r="A750" t="n">
        <x:v>749</x:v>
      </x:c>
      <x:c r="B750" s="106" t="str">
        <x:v>Only a valid point actually inside the X target band may be selected.</x:v>
      </x:c>
      <x:c r="C750" t="str">
        <x:v>Pasted text(56).txt</x:v>
      </x:c>
    </x:row>
    <x:row r="751">
      <x:c r="A751" t="n">
        <x:v>750</x:v>
      </x:c>
      <x:c r="B751" s="106" t="str">
        <x:v>FINE | point 1 | DAC 7.75 | CTRL X 0.70847 | X 0.70954 | Y 0.25507 | Z 0.41903 | TOTAL 0.86263 | error -21.28 % | MAD 1.65 % | CV 1.34 % | coh 90.1 % | dominant X | axis fraction 100.0 % | VALID</x:v>
      </x:c>
      <x:c r="C751" t="str">
        <x:v>Pasted text(56).txt</x:v>
      </x:c>
    </x:row>
    <x:row r="752">
      <x:c r="A752" t="n">
        <x:v>751</x:v>
      </x:c>
      <x:c r="B752" s="106" t="str">
        <x:v>FINE | point 2 | DAC 8.00 | CTRL X 0.74135 | X 0.74171 | Y 0.24653 | Z 0.43601 | TOTAL 0.89557 | error -17.63 % | MAD 3.19 % | CV 2.22 % | coh 90.7 % | dominant X | axis fraction 100.0 % | VALID</x:v>
      </x:c>
      <x:c r="C752" t="str">
        <x:v>Pasted text(56).txt</x:v>
      </x:c>
    </x:row>
    <x:row r="753">
      <x:c r="A753" t="n">
        <x:v>752</x:v>
      </x:c>
      <x:c r="B753" s="106" t="str">
        <x:v>FINE | point 3 | DAC 8.25 | CTRL X 0.74669 | X 0.74823 | Y 0.26891 | Z 0.45944 | TOTAL 0.91830 | error -17.03 % | MAD 3.35 % | CV 2.57 % | coh 89.3 % | dominant X | axis fraction 100.0 % | VALID</x:v>
      </x:c>
      <x:c r="C753" t="str">
        <x:v>Pasted text(56).txt</x:v>
      </x:c>
    </x:row>
    <x:row r="754">
      <x:c r="A754" t="n">
        <x:v>753</x:v>
      </x:c>
      <x:c r="B754" s="106" t="str">
        <x:v>FINE | point 4 | DAC 8.50 | CTRL X 0.79132 | X 0.79202 | Y 0.29006 | Z 0.48274 | TOTAL 0.97187 | error -12.08 % | MAD 0.25 % | CV 0.31 % | coh 90.5 % | dominant X | axis fraction 100.0 % | VALID</x:v>
      </x:c>
      <x:c r="C754" t="str">
        <x:v>Pasted text(56).txt</x:v>
      </x:c>
    </x:row>
    <x:row r="755">
      <x:c r="A755" t="n">
        <x:v>754</x:v>
      </x:c>
      <x:c r="B755" s="106" t="str">
        <x:v>FINE | point 5 | DAC 8.75 | CTRL X 0.84201 | X 0.84879 | Y 0.29854 | Z 0.50933 | TOTAL 1.03405 | error -6.44 % | MAD 2.06 % | CV 2.67 % | coh 92.1 % | dominant X | axis fraction 100.0 % | IN TARGET BAND</x:v>
      </x:c>
      <x:c r="C755" t="str">
        <x:v>Pasted text(56).txt</x:v>
      </x:c>
    </x:row>
    <x:row r="756">
      <x:c r="A756" t="n">
        <x:v>755</x:v>
      </x:c>
      <x:c r="B756" s="106" t="str">
        <x:v>FINE | point 6 | DAC 9.00 | CTRL X 0.86896 | X 0.86730 | Y 0.29450 | Z 0.53425 | TOTAL 1.06041 | error -3.45 % | MAD 1.56 % | CV 1.35 % | coh 91.8 % | dominant X | axis fraction 100.0 % | IN TARGET BAND</x:v>
      </x:c>
      <x:c r="C756" t="str">
        <x:v>Pasted text(56).txt</x:v>
      </x:c>
    </x:row>
    <x:row r="757">
      <x:c r="A757" t="n">
        <x:v>756</x:v>
      </x:c>
      <x:c r="B757" s="106" t="str">
        <x:v>FINE | point 7 | DAC 9.25 | CTRL X 0.87719 | X 0.87923 | Y 0.30946 | Z 0.51848 | TOTAL 1.06669 | error -2.53 % | MAD 1.42 % | CV 1.32 % | coh 91.2 % | dominant X | axis fraction 100.0 % | IN TARGET BAND</x:v>
      </x:c>
      <x:c r="C757" t="str">
        <x:v>Pasted text(56).txt</x:v>
      </x:c>
    </x:row>
    <x:row r="758">
      <x:c r="A758" t="n">
        <x:v>757</x:v>
      </x:c>
      <x:c r="B758" s="106" t="str">
        <x:v>FINE | point 8 | DAC 9.50 | CTRL X 0.90485 | X 0.90041 | Y 0.31750 | Z 0.53465 | TOTAL 1.09472 | error 0.54 % | MAD 0.22 % | CV 0.99 % | coh 92.3 % | dominant X | axis fraction 100.0 % | IN TARGET BAND</x:v>
      </x:c>
      <x:c r="C758" t="str">
        <x:v>Pasted text(56).txt</x:v>
      </x:c>
    </x:row>
    <x:row r="759">
      <x:c r="A759" t="n">
        <x:v>758</x:v>
      </x:c>
      <x:c r="B759" s="106" t="str">
        <x:v>FINE | point 9 | DAC 9.75 | CTRL X 0.95565 | X 0.96895 | Y 0.34044 | Z 0.55805 | TOTAL 1.16967 | error 6.18 % | MAD 1.30 % | CV 3.16 % | coh 92.0 % | dominant X | axis fraction 100.0 % | IN TARGET BAND</x:v>
      </x:c>
      <x:c r="C759" t="str">
        <x:v>Pasted text(56).txt</x:v>
      </x:c>
    </x:row>
    <x:row r="760">
      <x:c r="A760" t="n">
        <x:v>759</x:v>
      </x:c>
      <x:c r="B760" s="106" t="str"/>
      <x:c r="C760" t="str">
        <x:v>Pasted text(56).txt</x:v>
      </x:c>
    </x:row>
    <x:row r="761">
      <x:c r="A761" t="n">
        <x:v>760</x:v>
      </x:c>
      <x:c r="B761" s="106" t="str">
        <x:v>LONG VALIDATION AT FIXED DAC 9.50</x:v>
      </x:c>
      <x:c r="C761" t="str">
        <x:v>Pasted text(56).txt</x:v>
      </x:c>
    </x:row>
    <x:row r="762">
      <x:c r="A762" t="n">
        <x:v>761</x:v>
      </x:c>
      <x:c r="B762" s="106" t="str">
        <x:v>FINAL | point 1 | DAC 9.50 | CTRL X 0.90854 | X 0.91206 | Y 0.32297 | Z 0.54324 | TOTAL 1.10991 | error 0.95 % | MAD 2.49 % | CV 1.71 % | coh 91.6 % | dominant X | axis fraction 100.0 % | IN TARGET BAND</x:v>
      </x:c>
      <x:c r="C762" t="str">
        <x:v>Pasted text(56).txt</x:v>
      </x:c>
    </x:row>
    <x:row r="763">
      <x:c r="A763" t="n">
        <x:v>762</x:v>
      </x:c>
      <x:c r="B763" s="106" t="str">
        <x:v>FINAL | point 2 | DAC 9.50 | CTRL X 0.90544 | X 0.90457 | Y 0.32934 | Z 0.52977 | TOTAL 1.09913 | error 0.60 % | MAD 1.21 % | CV 1.16 % | coh 92.0 % | dominant X | axis fraction 100.0 % | IN TARGET BAND</x:v>
      </x:c>
      <x:c r="C763" t="str">
        <x:v>Pasted text(56).txt</x:v>
      </x:c>
    </x:row>
    <x:row r="764">
      <x:c r="A764" t="n">
        <x:v>763</x:v>
      </x:c>
      <x:c r="B764" s="106" t="str">
        <x:v>VALIDATION ACCEPTED | pair drift 0.34 %</x:v>
      </x:c>
      <x:c r="C764" t="str">
        <x:v>Pasted text(56).txt</x:v>
      </x:c>
    </x:row>
    <x:row r="765">
      <x:c r="A765" t="n">
        <x:v>764</x:v>
      </x:c>
      <x:c r="B765" s="106" t="str"/>
      <x:c r="C765" t="str">
        <x:v>Pasted text(56).txt</x:v>
      </x:c>
    </x:row>
    <x:row r="766">
      <x:c r="A766" t="n">
        <x:v>765</x:v>
      </x:c>
      <x:c r="B766" s="106" t="str">
        <x:v>FINAL VALIDATED BLIND FFT VERIFICATION</x:v>
      </x:c>
      <x:c r="C766" t="str">
        <x:v>Pasted text(56).txt</x:v>
      </x:c>
    </x:row>
    <x:row r="767">
      <x:c r="A767" t="n">
        <x:v>766</x:v>
      </x:c>
      <x:c r="B767" s="106" t="str">
        <x:v>Commanded frequency: 268.00000 Hz</x:v>
      </x:c>
      <x:c r="C767" t="str">
        <x:v>Pasted text(56).txt</x:v>
      </x:c>
    </x:row>
    <x:row r="768">
      <x:c r="A768" t="n">
        <x:v>767</x:v>
      </x:c>
      <x:c r="B768" s="106" t="str">
        <x:v>Accepted DAC: 9.50</x:v>
      </x:c>
      <x:c r="C768" t="str">
        <x:v>Pasted text(56).txt</x:v>
      </x:c>
    </x:row>
    <x:row r="769">
      <x:c r="A769" t="n">
        <x:v>768</x:v>
      </x:c>
      <x:c r="B769" s="106" t="str">
        <x:v>Axis,Frequency_Hz,Amplitude_mps2,SNR_dB,Status</x:v>
      </x:c>
      <x:c r="C769" t="str">
        <x:v>Pasted text(56).txt</x:v>
      </x:c>
    </x:row>
    <x:row r="770">
      <x:c r="A770" t="n">
        <x:v>769</x:v>
      </x:c>
      <x:c r="B770" s="106" t="str">
        <x:v>X,268.03367,0.82843,31.85,VALID</x:v>
      </x:c>
      <x:c r="C770" t="str">
        <x:v>Pasted text(56).txt</x:v>
      </x:c>
    </x:row>
    <x:row r="771">
      <x:c r="A771" t="n">
        <x:v>770</x:v>
      </x:c>
      <x:c r="B771" s="106" t="str">
        <x:v>Y,268.01316,0.29726,23.94,VALID</x:v>
      </x:c>
      <x:c r="C771" t="str">
        <x:v>Pasted text(56).txt</x:v>
      </x:c>
    </x:row>
    <x:row r="772">
      <x:c r="A772" t="n">
        <x:v>771</x:v>
      </x:c>
      <x:c r="B772" s="106" t="str">
        <x:v>Z,268.01851,0.48536,28.42,VALID</x:v>
      </x:c>
      <x:c r="C772" t="str">
        <x:v>Pasted text(56).txt</x:v>
      </x:c>
    </x:row>
    <x:row r="773">
      <x:c r="A773" t="n">
        <x:v>772</x:v>
      </x:c>
      <x:c r="B773" s="106" t="str">
        <x:v>Combined frequency: 268.02839 Hz | difference 0.02839 Hz</x:v>
      </x:c>
      <x:c r="C773" t="str">
        <x:v>Pasted text(56).txt</x:v>
      </x:c>
    </x:row>
    <x:row r="774">
      <x:c r="A774" t="n">
        <x:v>773</x:v>
      </x:c>
      <x:c r="B774" s="106" t="str">
        <x:v>Combined X/Y/Z/TOTAL: 0.75750 / 0.27073 / 0.44273 / 0.91821</x:v>
      </x:c>
      <x:c r="C774" t="str">
        <x:v>Pasted text(56).txt</x:v>
      </x:c>
    </x:row>
    <x:row r="775">
      <x:c r="A775" t="n">
        <x:v>774</x:v>
      </x:c>
      <x:c r="B775" s="106" t="str">
        <x:v>SNR: 29.47 dB | dominant axis X</x:v>
      </x:c>
      <x:c r="C775" t="str">
        <x:v>Pasted text(56).txt</x:v>
      </x:c>
    </x:row>
    <x:row r="776">
      <x:c r="A776" t="n">
        <x:v>775</x:v>
      </x:c>
      <x:c r="B776" s="106" t="str">
        <x:v>Frequency verification: PASS</x:v>
      </x:c>
      <x:c r="C776" t="str">
        <x:v>Pasted text(56).txt</x:v>
      </x:c>
    </x:row>
    <x:row r="777">
      <x:c r="A777" t="n">
        <x:v>776</x:v>
      </x:c>
      <x:c r="B777" s="106" t="str">
        <x:v>Y/Z dominance: DIAGNOSTIC ONLY — ignored for pass/fail</x:v>
      </x:c>
      <x:c r="C777" t="str">
        <x:v>Pasted text(56).txt</x:v>
      </x:c>
    </x:row>
    <x:row r="778">
      <x:c r="A778" t="n">
        <x:v>777</x:v>
      </x:c>
      <x:c r="B778" s="106" t="str"/>
      <x:c r="C778" t="str">
        <x:v>Pasted text(56).txt</x:v>
      </x:c>
    </x:row>
    <x:row r="779">
      <x:c r="A779" t="n">
        <x:v>778</x:v>
      </x:c>
      <x:c r="B779" s="106" t="str">
        <x:v>FIXED-DAC HOLD VALIDATION</x:v>
      </x:c>
      <x:c r="C779" t="str">
        <x:v>Pasted text(56).txt</x:v>
      </x:c>
    </x:row>
    <x:row r="780">
      <x:c r="A780" t="n">
        <x:v>779</x:v>
      </x:c>
      <x:c r="B780" s="106" t="str">
        <x:v>DAC remains fixed at 9.50 for 10 records.</x:v>
      </x:c>
      <x:c r="C780" t="str">
        <x:v>Pasted text(56).txt</x:v>
      </x:c>
    </x:row>
    <x:row r="781">
      <x:c r="A781" t="n">
        <x:v>780</x:v>
      </x:c>
      <x:c r="B781" s="106" t="str">
        <x:v>HOLD | point 1 | DAC 9.50 | CTRL X 0.90641 | X 0.90669 | Y 0.30805 | Z 0.54368 | TOTAL 1.10133 | error 0.71 % | MAD 0.43 % | CV 0.34 % | coh 91.8 % | dominant X | axis fraction 100.0 % | IN TARGET BAND</x:v>
      </x:c>
      <x:c r="C781" t="str">
        <x:v>Pasted text(56).txt</x:v>
      </x:c>
    </x:row>
    <x:row r="782">
      <x:c r="A782" t="n">
        <x:v>781</x:v>
      </x:c>
      <x:c r="B782" s="106" t="str">
        <x:v>HOLD | point 2 | DAC 9.50 | CTRL X 0.93227 | X 0.92189 | Y 0.32282 | Z 0.51060 | TOTAL 1.10289 | error 3.59 % | MAD 0.21 % | CV 2.08 % | coh 92.8 % | dominant X | axis fraction 100.0 % | IN TARGET BAND</x:v>
      </x:c>
      <x:c r="C782" t="str">
        <x:v>Pasted text(56).txt</x:v>
      </x:c>
    </x:row>
    <x:row r="783">
      <x:c r="A783" t="n">
        <x:v>782</x:v>
      </x:c>
      <x:c r="B783" s="106" t="str">
        <x:v>HOLD | point 3 | DAC 9.50 | CTRL X 0.91287 | X 0.91609 | Y 0.32091 | Z 0.54446 | TOTAL 1.11296 | error 1.43 % | MAD 0.07 % | CV 0.65 % | coh 92.9 % | dominant X | axis fraction 100.0 % | IN TARGET BAND</x:v>
      </x:c>
      <x:c r="C783" t="str">
        <x:v>Pasted text(56).txt</x:v>
      </x:c>
    </x:row>
    <x:row r="784">
      <x:c r="A784" t="n">
        <x:v>783</x:v>
      </x:c>
      <x:c r="B784" s="106" t="str">
        <x:v>HOLD | point 4 | DAC 9.50 | CTRL X 0.91159 | X 0.91658 | Y 0.31602 | Z 0.52693 | TOTAL 1.10349 | error 1.29 % | MAD 0.38 % | CV 1.17 % | coh 92.7 % | dominant X | axis fraction 100.0 % | IN TARGET BAND</x:v>
      </x:c>
      <x:c r="C784" t="str">
        <x:v>Pasted text(56).txt</x:v>
      </x:c>
    </x:row>
    <x:row r="785">
      <x:c r="A785" t="n">
        <x:v>784</x:v>
      </x:c>
      <x:c r="B785" s="106" t="str">
        <x:v>HOLD | point 5 | DAC 9.50 | CTRL X 0.91427 | X 0.91227 | Y 0.31992 | Z 0.55350 | TOTAL 1.11411 | error 1.59 % | MAD 0.14 % | CV 0.47 % | coh 92.3 % | dominant X | axis fraction 100.0 % | IN TARGET BAND</x:v>
      </x:c>
      <x:c r="C785" t="str">
        <x:v>Pasted text(56).txt</x:v>
      </x:c>
    </x:row>
    <x:row r="786">
      <x:c r="A786" t="n">
        <x:v>785</x:v>
      </x:c>
      <x:c r="B786" s="106" t="str">
        <x:v>HOLD | point 6 | DAC 9.50 | CTRL X 0.93264 | X 0.91751 | Y 0.33615 | Z 0.54787 | TOTAL 1.12042 | error 3.63 % | MAD 0.28 % | CV 3.02 % | coh 91.9 % | dominant X | axis fraction 100.0 % | IN TARGET BAND</x:v>
      </x:c>
      <x:c r="C786" t="str">
        <x:v>Pasted text(56).txt</x:v>
      </x:c>
    </x:row>
    <x:row r="787">
      <x:c r="A787" t="n">
        <x:v>786</x:v>
      </x:c>
      <x:c r="B787" s="106" t="str">
        <x:v>HOLD | point 7 | DAC 9.50 | CTRL X 0.93078 | X 0.92880 | Y 0.32357 | Z 0.53621 | TOTAL 1.12041 | error 3.42 % | MAD 1.80 % | CV 1.54 % | coh 93.3 % | dominant X | axis fraction 100.0 % | IN TARGET BAND</x:v>
      </x:c>
      <x:c r="C787" t="str">
        <x:v>Pasted text(56).txt</x:v>
      </x:c>
    </x:row>
    <x:row r="788">
      <x:c r="A788" t="n">
        <x:v>787</x:v>
      </x:c>
      <x:c r="B788" s="106" t="str">
        <x:v>HOLD | point 8 | DAC 9.50 | CTRL X 0.89104 | X 0.90419 | Y 0.30413 | Z 0.54325 | TOTAL 1.09783 | error -1.00 % | MAD 0.57 % | CV 2.85 % | coh 91.9 % | dominant X | axis fraction 100.0 % | IN TARGET BAND</x:v>
      </x:c>
      <x:c r="C788" t="str">
        <x:v>Pasted text(56).txt</x:v>
      </x:c>
    </x:row>
    <x:row r="789">
      <x:c r="A789" t="n">
        <x:v>788</x:v>
      </x:c>
      <x:c r="B789" s="106" t="str">
        <x:v>HOLD | point 9 | DAC 9.50 | CTRL X 0.90993 | X 0.90547 | Y 0.32423 | Z 0.53662 | TOTAL 1.10145 | error 1.10 % | MAD 1.71 % | CV 1.95 % | coh 90.2 % | dominant X | axis fraction 100.0 % | IN TARGET BAND</x:v>
      </x:c>
      <x:c r="C789" t="str">
        <x:v>Pasted text(56).txt</x:v>
      </x:c>
    </x:row>
    <x:row r="790">
      <x:c r="A790" t="n">
        <x:v>789</x:v>
      </x:c>
      <x:c r="B790" s="106" t="str">
        <x:v>HOLD | point 10 | DAC 9.50 | CTRL X 0.89968 | X 0.89968 | Y 0.31513 | Z 0.52468 | TOTAL 1.08834 | error -0.04 % | MAD 1.33 % | CV 0.90 % | coh 90.9 % | dominant X | axis fraction 100.0 % | IN TARGET BAND</x:v>
      </x:c>
      <x:c r="C790" t="str">
        <x:v>Pasted text(56).txt</x:v>
      </x:c>
    </x:row>
    <x:row r="791">
      <x:c r="A791" t="n">
        <x:v>790</x:v>
      </x:c>
      <x:c r="B791" s="106" t="str"/>
      <x:c r="C791" t="str">
        <x:v>Pasted text(56).txt</x:v>
      </x:c>
    </x:row>
    <x:row r="792">
      <x:c r="A792" t="n">
        <x:v>791</x:v>
      </x:c>
      <x:c r="B792" s="106" t="str">
        <x:v>HOLD SUMMARY</x:v>
      </x:c>
      <x:c r="C792" t="str">
        <x:v>Pasted text(56).txt</x:v>
      </x:c>
    </x:row>
    <x:row r="793">
      <x:c r="A793" t="n">
        <x:v>792</x:v>
      </x:c>
      <x:c r="B793" s="106" t="str">
        <x:v>Valid / requested: 10 / 10</x:v>
      </x:c>
      <x:c r="C793" t="str">
        <x:v>Pasted text(56).txt</x:v>
      </x:c>
    </x:row>
    <x:row r="794">
      <x:c r="A794" t="n">
        <x:v>793</x:v>
      </x:c>
      <x:c r="B794" s="106" t="str">
        <x:v>In band / requested: 10 / 10 = 100.0 %</x:v>
      </x:c>
      <x:c r="C794" t="str">
        <x:v>Pasted text(56).txt</x:v>
      </x:c>
    </x:row>
    <x:row r="795">
      <x:c r="A795" t="n">
        <x:v>794</x:v>
      </x:c>
      <x:c r="B795" s="106" t="str">
        <x:v>Mean / SD / CV: 0.91415 / 0.01405 / 1.54 %</x:v>
      </x:c>
      <x:c r="C795" t="str">
        <x:v>Pasted text(56).txt</x:v>
      </x:c>
    </x:row>
    <x:row r="796">
      <x:c r="A796" t="n">
        <x:v>795</x:v>
      </x:c>
      <x:c r="B796" s="106" t="str">
        <x:v>Min / Max: 0.89104 / 0.93264</x:v>
      </x:c>
      <x:c r="C796" t="str">
        <x:v>Pasted text(56).txt</x:v>
      </x:c>
    </x:row>
    <x:row r="797">
      <x:c r="A797" t="n">
        <x:v>796</x:v>
      </x:c>
      <x:c r="B797" s="106" t="str">
        <x:v>HOLD RESULT: PASS</x:v>
      </x:c>
      <x:c r="C797" t="str">
        <x:v>Pasted text(56).txt</x:v>
      </x:c>
    </x:row>
    <x:row r="798">
      <x:c r="A798" t="n">
        <x:v>797</x:v>
      </x:c>
      <x:c r="B798" s="106" t="str"/>
      <x:c r="C798" t="str">
        <x:v>Pasted text(56).txt</x:v>
      </x:c>
    </x:row>
    <x:row r="799">
      <x:c r="A799" t="n">
        <x:v>798</x:v>
      </x:c>
      <x:c r="B799" s="106" t="str">
        <x:v>RUN RESULT: PASS</x:v>
      </x:c>
      <x:c r="C799" t="str">
        <x:v>Pasted text(56).txt</x:v>
      </x:c>
    </x:row>
    <x:row r="800">
      <x:c r="A800" t="n">
        <x:v>799</x:v>
      </x:c>
      <x:c r="B800" s="106" t="str">
        <x:v>Selected DAC: 9.50</x:v>
      </x:c>
      <x:c r="C800" t="str">
        <x:v>Pasted text(56).txt</x:v>
      </x:c>
    </x:row>
    <x:row r="801">
      <x:c r="A801" t="n">
        <x:v>800</x:v>
      </x:c>
      <x:c r="B801" s="106" t="str">
        <x:v>Validated amplitude: 0.90699 m/s^2 | error 0.78 %</x:v>
      </x:c>
      <x:c r="C801" t="str">
        <x:v>Pasted text(56).txt</x:v>
      </x:c>
    </x:row>
    <x:row r="802">
      <x:c r="A802" t="n">
        <x:v>801</x:v>
      </x:c>
      <x:c r="B802" s="106" t="str">
        <x:v>FFT frequency: 268.02839 Hz | difference 0.02839 Hz</x:v>
      </x:c>
      <x:c r="C802" t="str">
        <x:v>Pasted text(56).txt</x:v>
      </x:c>
    </x:row>
    <x:row r="803">
      <x:c r="A803" t="n">
        <x:v>802</x:v>
      </x:c>
      <x:c r="B803" s="106" t="str"/>
      <x:c r="C803" t="str">
        <x:v>Pasted text(56).txt</x:v>
      </x:c>
    </x:row>
    <x:row r="804">
      <x:c r="A804" t="n">
        <x:v>803</x:v>
      </x:c>
      <x:c r="B804" s="106" t="str">
        <x:v>VISATON OFF. RESTING 5.0 s BEFORE THE NEXT COMPLETELY FRESH RUN.</x:v>
      </x:c>
      <x:c r="C804" t="str">
        <x:v>Pasted text(56).txt</x:v>
      </x:c>
    </x:row>
    <x:row r="805">
      <x:c r="A805" t="n">
        <x:v>804</x:v>
      </x:c>
      <x:c r="B805" s="106" t="str"/>
      <x:c r="C805" t="str">
        <x:v>Pasted text(56).txt</x:v>
      </x:c>
    </x:row>
    <x:row r="806">
      <x:c r="A806" t="n">
        <x:v>805</x:v>
      </x:c>
      <x:c r="B806" s="106" t="str">
        <x:v>################################################################################</x:v>
      </x:c>
      <x:c r="C806" t="str">
        <x:v>Pasted text(56).txt</x:v>
      </x:c>
    </x:row>
    <x:row r="807">
      <x:c r="A807" t="n">
        <x:v>806</x:v>
      </x:c>
      <x:c r="B807" s="106" t="str">
        <x:v>INDEPENDENT TARGET-AMPLITUDE RUN 3 OF 5</x:v>
      </x:c>
      <x:c r="C807" t="str">
        <x:v>Pasted text(56).txt</x:v>
      </x:c>
    </x:row>
    <x:row r="808">
      <x:c r="A808" t="n">
        <x:v>807</x:v>
      </x:c>
      <x:c r="B808" s="106" t="str">
        <x:v>################################################################################</x:v>
      </x:c>
      <x:c r="C808" t="str">
        <x:v>Pasted text(56).txt</x:v>
      </x:c>
    </x:row>
    <x:row r="809">
      <x:c r="A809" t="n">
        <x:v>808</x:v>
      </x:c>
      <x:c r="B809" s="106" t="str">
        <x:v>Frequency: 268.00000 Hz</x:v>
      </x:c>
      <x:c r="C809" t="str">
        <x:v>Pasted text(56).txt</x:v>
      </x:c>
    </x:row>
    <x:row r="810">
      <x:c r="A810" t="n">
        <x:v>809</x:v>
      </x:c>
      <x:c r="B810" s="106" t="str">
        <x:v>Target X amplitude: 0.90000 m/s^2 peak, tolerance +/-7.50 %</x:v>
      </x:c>
      <x:c r="C810" t="str">
        <x:v>Pasted text(56).txt</x:v>
      </x:c>
    </x:row>
    <x:row r="811">
      <x:c r="A811" t="n">
        <x:v>810</x:v>
      </x:c>
      <x:c r="B811" s="106" t="str">
        <x:v>This run starts from DAC 1.00 and ignores every earlier selected DAC.</x:v>
      </x:c>
      <x:c r="C811" t="str">
        <x:v>Pasted text(56).txt</x:v>
      </x:c>
    </x:row>
    <x:row r="812">
      <x:c r="A812" t="n">
        <x:v>811</x:v>
      </x:c>
      <x:c r="B812" s="106" t="str">
        <x:v>ADXL2 DEVID/DATA_FORMAT/BW_RATE/POWER_CTL: 0xE5 / 0xB / 0xE / 0x8</x:v>
      </x:c>
      <x:c r="C812" t="str">
        <x:v>Pasted text(56).txt</x:v>
      </x:c>
    </x:row>
    <x:row r="813">
      <x:c r="A813" t="n">
        <x:v>812</x:v>
      </x:c>
      <x:c r="B813" s="106" t="str"/>
      <x:c r="C813" t="str">
        <x:v>Pasted text(56).txt</x:v>
      </x:c>
    </x:row>
    <x:row r="814">
      <x:c r="A814" t="n">
        <x:v>813</x:v>
      </x:c>
      <x:c r="B814" s="106" t="str">
        <x:v>ACQUISITION ATTEMPT 1 OF 2</x:v>
      </x:c>
      <x:c r="C814" t="str">
        <x:v>Pasted text(56).txt</x:v>
      </x:c>
    </x:row>
    <x:row r="815">
      <x:c r="A815" t="n">
        <x:v>814</x:v>
      </x:c>
      <x:c r="B815" s="106" t="str"/>
      <x:c r="C815" t="str">
        <x:v>Pasted text(56).txt</x:v>
      </x:c>
    </x:row>
    <x:row r="816">
      <x:c r="A816" t="n">
        <x:v>815</x:v>
      </x:c>
      <x:c r="B816" s="106" t="str">
        <x:v>FRESH X-AXIS SEARCH FROM DAC 1.00 — OLD DAC VALUES ARE NOT USED</x:v>
      </x:c>
      <x:c r="C816" t="str">
        <x:v>Pasted text(56).txt</x:v>
      </x:c>
    </x:row>
    <x:row r="817">
      <x:c r="A817" t="n">
        <x:v>816</x:v>
      </x:c>
      <x:c r="B817" s="106" t="str">
        <x:v>Y/Z are diagnostic only and cannot abort this search.</x:v>
      </x:c>
      <x:c r="C817" t="str">
        <x:v>Pasted text(56).txt</x:v>
      </x:c>
    </x:row>
    <x:row r="818">
      <x:c r="A818" t="n">
        <x:v>817</x:v>
      </x:c>
      <x:c r="B818" s="106" t="str">
        <x:v>A real SPI fault, clipping, safety limit or confirmed X-response collapse will stop it.</x:v>
      </x:c>
      <x:c r="C818" t="str">
        <x:v>Pasted text(56).txt</x:v>
      </x:c>
    </x:row>
    <x:row r="819">
      <x:c r="A819" t="n">
        <x:v>818</x:v>
      </x:c>
      <x:c r="B819" s="106" t="str">
        <x:v>SEARCH | point 1 | DAC 1.00 | CTRL X 0.01348 | X 0.01449 | Y 0.01926 | Z 0.04162 | TOTAL 0.05041 | error -98.50 % | MAD 22.14 % | CV 9.83 % | coh 7.9 % | dominant Z | axis fraction 34.8 % | BELOW MEASUREMENT FLOOR — SEARCH CONTINUES</x:v>
      </x:c>
      <x:c r="C819" t="str">
        <x:v>Pasted text(56).txt</x:v>
      </x:c>
    </x:row>
    <x:row r="820">
      <x:c r="A820" t="n">
        <x:v>819</x:v>
      </x:c>
      <x:c r="B820" s="106" t="str">
        <x:v>SEARCH | point 2 | DAC 3.00 | CTRL X 0.18618 | X 0.17900 | Y 0.07668 | Z 0.13917 | TOTAL 0.24010 | error -79.31 % | MAD 1.20 % | CV 7.68 % | coh 60.4 % | dominant X | axis fraction 100.0 % | VALID</x:v>
      </x:c>
      <x:c r="C820" t="str">
        <x:v>Pasted text(56).txt</x:v>
      </x:c>
    </x:row>
    <x:row r="821">
      <x:c r="A821" t="n">
        <x:v>820</x:v>
      </x:c>
      <x:c r="B821" s="106" t="str">
        <x:v>SEARCH | point 3 | DAC 5.00 | CTRL X 0.38545 | X 0.37900 | Y 0.13995 | Z 0.25169 | TOTAL 0.47617 | error -57.17 % | MAD 2.70 % | CV 4.64 % | coh 79.5 % | dominant X | axis fraction 100.0 % | VALID</x:v>
      </x:c>
      <x:c r="C821" t="str">
        <x:v>Pasted text(56).txt</x:v>
      </x:c>
    </x:row>
    <x:row r="822">
      <x:c r="A822" t="n">
        <x:v>821</x:v>
      </x:c>
      <x:c r="B822" s="106" t="str">
        <x:v>SEARCH | point 4 | DAC 6.00 | CTRL X 0.49441 | X 0.49790 | Y 0.19188 | Z 0.29725 | TOTAL 0.61094 | error -45.07 % | MAD 1.05 % | CV 1.85 % | coh 85.9 % | dominant X | axis fraction 100.0 % | VALID</x:v>
      </x:c>
      <x:c r="C822" t="str">
        <x:v>Pasted text(56).txt</x:v>
      </x:c>
    </x:row>
    <x:row r="823">
      <x:c r="A823" t="n">
        <x:v>822</x:v>
      </x:c>
      <x:c r="B823" s="106" t="str">
        <x:v>SEARCH | point 5 | DAC 7.00 | CTRL X 0.63595 | X 0.63060 | Y 0.24182 | Z 0.37483 | TOTAL 0.77278 | error -29.34 % | MAD 4.70 % | CV 4.53 % | coh 90.2 % | dominant X | axis fraction 100.0 % | VALID</x:v>
      </x:c>
      <x:c r="C823" t="str">
        <x:v>Pasted text(56).txt</x:v>
      </x:c>
    </x:row>
    <x:row r="824">
      <x:c r="A824" t="n">
        <x:v>823</x:v>
      </x:c>
      <x:c r="B824" s="106" t="str">
        <x:v>SEARCH | point 6 | DAC 7.50 | CTRL X 0.65994 | X 0.65639 | Y 0.24805 | Z 0.39887 | TOTAL 0.80745 | error -26.67 % | MAD 1.06 % | CV 1.60 % | coh 89.2 % | dominant X | axis fraction 100.0 % | VALID</x:v>
      </x:c>
      <x:c r="C824" t="str">
        <x:v>Pasted text(56).txt</x:v>
      </x:c>
    </x:row>
    <x:row r="825">
      <x:c r="A825" t="n">
        <x:v>824</x:v>
      </x:c>
      <x:c r="B825" s="106" t="str">
        <x:v>SEARCH | point 7 | DAC 8.00 | CTRL X 0.76259 | X 0.75533 | Y 0.27981 | Z 0.45920 | TOTAL 0.92723 | error -15.27 % | MAD 1.08 % | CV 2.33 % | coh 91.0 % | dominant X | axis fraction 100.0 % | VALID</x:v>
      </x:c>
      <x:c r="C825" t="str">
        <x:v>Pasted text(56).txt</x:v>
      </x:c>
    </x:row>
    <x:row r="826">
      <x:c r="A826" t="n">
        <x:v>825</x:v>
      </x:c>
      <x:c r="B826" s="106" t="str">
        <x:v>SEARCH | point 8 | DAC 8.50 | CTRL X 0.79408 | X 0.79209 | Y 0.29104 | Z 0.46719 | TOTAL 0.96486 | error -11.77 % | MAD 4.40 % | CV 3.36 % | coh 91.3 % | dominant X | axis fraction 100.0 % | VALID</x:v>
      </x:c>
      <x:c r="C826" t="str">
        <x:v>Pasted text(56).txt</x:v>
      </x:c>
    </x:row>
    <x:row r="827">
      <x:c r="A827" t="n">
        <x:v>826</x:v>
      </x:c>
      <x:c r="B827" s="106" t="str">
        <x:v>SEARCH | point 9 | DAC 8.75 | CTRL X 0.84546 | X 0.84734 | Y 0.30116 | Z 0.50272 | TOTAL 1.03032 | error -6.06 % | MAD 1.95 % | CV 1.66 % | coh 92.3 % | dominant X | axis fraction 100.0 % | IN TARGET BAND</x:v>
      </x:c>
      <x:c r="C827" t="str">
        <x:v>Pasted text(56).txt</x:v>
      </x:c>
    </x:row>
    <x:row r="828">
      <x:c r="A828" t="n">
        <x:v>827</x:v>
      </x:c>
      <x:c r="B828" s="106" t="str"/>
      <x:c r="C828" t="str">
        <x:v>Pasted text(56).txt</x:v>
      </x:c>
    </x:row>
    <x:row r="829">
      <x:c r="A829" t="n">
        <x:v>828</x:v>
      </x:c>
      <x:c r="B829" s="106" t="str">
        <x:v>LOCAL 0.25-DAC X-AXIS FINE SCAN</x:v>
      </x:c>
      <x:c r="C829" t="str">
        <x:v>Pasted text(56).txt</x:v>
      </x:c>
    </x:row>
    <x:row r="830">
      <x:c r="A830" t="n">
        <x:v>829</x:v>
      </x:c>
      <x:c r="B830" s="106" t="str">
        <x:v>Only a valid point actually inside the X target band may be selected.</x:v>
      </x:c>
      <x:c r="C830" t="str">
        <x:v>Pasted text(56).txt</x:v>
      </x:c>
    </x:row>
    <x:row r="831">
      <x:c r="A831" t="n">
        <x:v>830</x:v>
      </x:c>
      <x:c r="B831" s="106" t="str">
        <x:v>FINE | point 1 | DAC 7.75 | CTRL X 0.72944 | X 0.72532 | Y 0.26306 | Z 0.44265 | TOTAL 0.88965 | error -18.95 % | MAD 0.15 % | CV 1.07 % | coh 91.5 % | dominant X | axis fraction 100.0 % | VALID</x:v>
      </x:c>
      <x:c r="C831" t="str">
        <x:v>Pasted text(56).txt</x:v>
      </x:c>
    </x:row>
    <x:row r="832">
      <x:c r="A832" t="n">
        <x:v>831</x:v>
      </x:c>
      <x:c r="B832" s="106" t="str">
        <x:v>FINE | point 2 | DAC 8.00 | CTRL X 0.74677 | X 0.73842 | Y 0.24923 | Z 0.44723 | TOTAL 0.89911 | error -17.03 % | MAD 2.46 % | CV 3.51 % | coh 90.0 % | dominant X | axis fraction 100.0 % | VALID</x:v>
      </x:c>
      <x:c r="C832" t="str">
        <x:v>Pasted text(56).txt</x:v>
      </x:c>
    </x:row>
    <x:row r="833">
      <x:c r="A833" t="n">
        <x:v>832</x:v>
      </x:c>
      <x:c r="B833" s="106" t="str">
        <x:v>FINE | point 3 | DAC 8.25 | CTRL X 0.78923 | X 0.78923 | Y 0.29141 | Z 0.47100 | TOTAL 0.96490 | error -12.31 % | MAD 4.35 % | CV 4.15 % | coh 91.2 % | dominant X | axis fraction 100.0 % | RAW CLIPPING</x:v>
      </x:c>
      <x:c r="C833" t="str">
        <x:v>Pasted text(56).txt</x:v>
      </x:c>
    </x:row>
    <x:row r="834">
      <x:c r="A834" t="n">
        <x:v>833</x:v>
      </x:c>
      <x:c r="B834" s="106" t="str"/>
      <x:c r="C834" t="str">
        <x:v>Pasted text(56).txt</x:v>
      </x:c>
    </x:row>
    <x:row r="835">
      <x:c r="A835" t="n">
        <x:v>834</x:v>
      </x:c>
      <x:c r="B835" s="106" t="str">
        <x:v>ACQUISITION ATTEMPT 2 OF 2</x:v>
      </x:c>
      <x:c r="C835" t="str">
        <x:v>Pasted text(56).txt</x:v>
      </x:c>
    </x:row>
    <x:row r="836">
      <x:c r="A836" t="n">
        <x:v>835</x:v>
      </x:c>
      <x:c r="B836" s="106" t="str"/>
      <x:c r="C836" t="str">
        <x:v>Pasted text(56).txt</x:v>
      </x:c>
    </x:row>
    <x:row r="837">
      <x:c r="A837" t="n">
        <x:v>836</x:v>
      </x:c>
      <x:c r="B837" s="106" t="str">
        <x:v>FRESH X-AXIS SEARCH FROM DAC 1.00 — OLD DAC VALUES ARE NOT USED</x:v>
      </x:c>
      <x:c r="C837" t="str">
        <x:v>Pasted text(56).txt</x:v>
      </x:c>
    </x:row>
    <x:row r="838">
      <x:c r="A838" t="n">
        <x:v>837</x:v>
      </x:c>
      <x:c r="B838" s="106" t="str">
        <x:v>Y/Z are diagnostic only and cannot abort this search.</x:v>
      </x:c>
      <x:c r="C838" t="str">
        <x:v>Pasted text(56).txt</x:v>
      </x:c>
    </x:row>
    <x:row r="839">
      <x:c r="A839" t="n">
        <x:v>838</x:v>
      </x:c>
      <x:c r="B839" s="106" t="str">
        <x:v>A real SPI fault, clipping, safety limit or confirmed X-response collapse will stop it.</x:v>
      </x:c>
      <x:c r="C839" t="str">
        <x:v>Pasted text(56).txt</x:v>
      </x:c>
    </x:row>
    <x:row r="840">
      <x:c r="A840" t="n">
        <x:v>839</x:v>
      </x:c>
      <x:c r="B840" s="106" t="str">
        <x:v>SEARCH | point 1 | DAC 1.00 | CTRL X 0.01975 | X 0.02108 | Y 0.02269 | Z 0.01906 | TOTAL 0.03725 | error -97.81 % | MAD 36.33 % | CV 32.88 % | coh 10.3 % | dominant Y | axis fraction 92.9 % | BELOW MEASUREMENT FLOOR — SEARCH CONTINUES</x:v>
      </x:c>
      <x:c r="C840" t="str">
        <x:v>Pasted text(56).txt</x:v>
      </x:c>
    </x:row>
    <x:row r="841">
      <x:c r="A841" t="n">
        <x:v>840</x:v>
      </x:c>
      <x:c r="B841" s="106" t="str">
        <x:v>SEARCH | point 2 | DAC 3.00 | CTRL X 0.15966 | X 0.15520 | Y 0.07245 | Z 0.15234 | TOTAL 0.22956 | error -82.26 % | MAD 2.49 % | CV 6.53 % | coh 54.4 % | dominant X | axis fraction 100.0 % | VALID</x:v>
      </x:c>
      <x:c r="C841" t="str">
        <x:v>Pasted text(56).txt</x:v>
      </x:c>
    </x:row>
    <x:row r="842">
      <x:c r="A842" t="n">
        <x:v>841</x:v>
      </x:c>
      <x:c r="B842" s="106" t="str">
        <x:v>SEARCH | point 3 | DAC 5.00 | CTRL X 0.41191 | X 0.40304 | Y 0.12985 | Z 0.24241 | TOTAL 0.48826 | error -54.23 % | MAD 5.22 % | CV 7.16 % | coh 82.9 % | dominant X | axis fraction 100.0 % | VALID</x:v>
      </x:c>
      <x:c r="C842" t="str">
        <x:v>Pasted text(56).txt</x:v>
      </x:c>
    </x:row>
    <x:row r="843">
      <x:c r="A843" t="n">
        <x:v>842</x:v>
      </x:c>
      <x:c r="B843" s="106" t="str">
        <x:v>SEARCH | point 4 | DAC 6.00 | CTRL X 0.50621 | X 0.49638 | Y 0.17119 | Z 0.31915 | TOTAL 0.61536 | error -43.75 % | MAD 2.51 % | CV 5.00 % | coh 85.8 % | dominant X | axis fraction 100.0 % | VALID</x:v>
      </x:c>
      <x:c r="C843" t="str">
        <x:v>Pasted text(56).txt</x:v>
      </x:c>
    </x:row>
    <x:row r="844">
      <x:c r="A844" t="n">
        <x:v>843</x:v>
      </x:c>
      <x:c r="B844" s="106" t="str">
        <x:v>SEARCH | point 5 | DAC 7.00 | CTRL X 0.61898 | X 0.62032 | Y 0.21540 | Z 0.37037 | TOTAL 0.75405 | error -31.22 % | MAD 1.59 % | CV 1.41 % | coh 89.1 % | dominant X | axis fraction 100.0 % | VALID</x:v>
      </x:c>
      <x:c r="C844" t="str">
        <x:v>Pasted text(56).txt</x:v>
      </x:c>
    </x:row>
    <x:row r="845">
      <x:c r="A845" t="n">
        <x:v>844</x:v>
      </x:c>
      <x:c r="B845" s="106" t="str">
        <x:v>SEARCH | point 6 | DAC 7.50 | CTRL X 0.67480 | X 0.67157 | Y 0.25735 | Z 0.40903 | TOTAL 0.82770 | error -25.02 % | MAD 3.37 % | CV 3.04 % | coh 88.7 % | dominant X | axis fraction 100.0 % | VALID</x:v>
      </x:c>
      <x:c r="C845" t="str">
        <x:v>Pasted text(56).txt</x:v>
      </x:c>
    </x:row>
    <x:row r="846">
      <x:c r="A846" t="n">
        <x:v>845</x:v>
      </x:c>
      <x:c r="B846" s="106" t="str">
        <x:v>SEARCH | point 7 | DAC 8.00 | CTRL X 0.74076 | X 0.74245 | Y 0.26632 | Z 0.46384 | TOTAL 0.91507 | error -17.69 % | MAD 1.02 % | CV 1.05 % | coh 89.8 % | dominant X | axis fraction 100.0 % | VALID</x:v>
      </x:c>
      <x:c r="C846" t="str">
        <x:v>Pasted text(56).txt</x:v>
      </x:c>
    </x:row>
    <x:row r="847">
      <x:c r="A847" t="n">
        <x:v>846</x:v>
      </x:c>
      <x:c r="B847" s="106" t="str">
        <x:v>SEARCH | point 8 | DAC 8.50 | CTRL X 0.78407 | X 0.78588 | Y 0.26383 | Z 0.47364 | TOTAL 0.95487 | error -12.88 % | MAD 1.17 % | CV 1.15 % | coh 89.3 % | dominant X | axis fraction 100.0 % | VALID</x:v>
      </x:c>
      <x:c r="C847" t="str">
        <x:v>Pasted text(56).txt</x:v>
      </x:c>
    </x:row>
    <x:row r="848">
      <x:c r="A848" t="n">
        <x:v>847</x:v>
      </x:c>
      <x:c r="B848" s="106" t="str">
        <x:v>SEARCH | point 9 | DAC 8.75 | CTRL X 0.84544 | X 0.85102 | Y 0.28840 | Z 0.50833 | TOTAL 1.03251 | error -6.06 % | MAD 0.48 % | CV 1.42 % | coh 91.8 % | dominant X | axis fraction 100.0 % | IN TARGET BAND</x:v>
      </x:c>
      <x:c r="C848" t="str">
        <x:v>Pasted text(56).txt</x:v>
      </x:c>
    </x:row>
    <x:row r="849">
      <x:c r="A849" t="n">
        <x:v>848</x:v>
      </x:c>
      <x:c r="B849" s="106" t="str"/>
      <x:c r="C849" t="str">
        <x:v>Pasted text(56).txt</x:v>
      </x:c>
    </x:row>
    <x:row r="850">
      <x:c r="A850" t="n">
        <x:v>849</x:v>
      </x:c>
      <x:c r="B850" s="106" t="str">
        <x:v>LOCAL 0.25-DAC X-AXIS FINE SCAN</x:v>
      </x:c>
      <x:c r="C850" t="str">
        <x:v>Pasted text(56).txt</x:v>
      </x:c>
    </x:row>
    <x:row r="851">
      <x:c r="A851" t="n">
        <x:v>850</x:v>
      </x:c>
      <x:c r="B851" s="106" t="str">
        <x:v>Only a valid point actually inside the X target band may be selected.</x:v>
      </x:c>
      <x:c r="C851" t="str">
        <x:v>Pasted text(56).txt</x:v>
      </x:c>
    </x:row>
    <x:row r="852">
      <x:c r="A852" t="n">
        <x:v>851</x:v>
      </x:c>
      <x:c r="B852" s="106" t="str">
        <x:v>FINE | point 1 | DAC 7.75 | CTRL X 0.72533 | X 0.72622 | Y 0.27136 | Z 0.42434 | TOTAL 0.88405 | error -19.41 % | MAD 1.94 % | CV 1.50 % | coh 91.0 % | dominant X | axis fraction 100.0 % | VALID</x:v>
      </x:c>
      <x:c r="C852" t="str">
        <x:v>Pasted text(56).txt</x:v>
      </x:c>
    </x:row>
    <x:row r="853">
      <x:c r="A853" t="n">
        <x:v>852</x:v>
      </x:c>
      <x:c r="B853" s="106" t="str">
        <x:v>FINE | point 2 | DAC 8.00 | CTRL X 0.75090 | X 0.75115 | Y 0.27957 | Z 0.44834 | TOTAL 0.91846 | error -16.57 % | MAD 1.54 % | CV 1.09 % | coh 92.2 % | dominant X | axis fraction 100.0 % | VALID</x:v>
      </x:c>
      <x:c r="C853" t="str">
        <x:v>Pasted text(56).txt</x:v>
      </x:c>
    </x:row>
    <x:row r="854">
      <x:c r="A854" t="n">
        <x:v>853</x:v>
      </x:c>
      <x:c r="B854" s="106" t="str">
        <x:v>FINE | point 3 | DAC 8.25 | CTRL X 0.77804 | X 0.77355 | Y 0.27724 | Z 0.44956 | TOTAL 0.93684 | error -13.55 % | MAD 2.55 % | CV 2.65 % | coh 90.8 % | dominant X | axis fraction 100.0 % | VALID</x:v>
      </x:c>
      <x:c r="C854" t="str">
        <x:v>Pasted text(56).txt</x:v>
      </x:c>
    </x:row>
    <x:row r="855">
      <x:c r="A855" t="n">
        <x:v>854</x:v>
      </x:c>
      <x:c r="B855" s="106" t="str">
        <x:v>FINE | point 4 | DAC 8.50 | CTRL X 0.78070 | X 0.77818 | Y 0.27989 | Z 0.47125 | TOTAL 0.95232 | error -13.26 % | MAD 2.01 % | CV 1.87 % | coh 89.6 % | dominant X | axis fraction 100.0 % | VALID</x:v>
      </x:c>
      <x:c r="C855" t="str">
        <x:v>Pasted text(56).txt</x:v>
      </x:c>
    </x:row>
    <x:row r="856">
      <x:c r="A856" t="n">
        <x:v>855</x:v>
      </x:c>
      <x:c r="B856" s="106" t="str">
        <x:v>FINE | point 5 | DAC 8.75 | CTRL X 0.83806 | X 0.84515 | Y 0.29831 | Z 0.50475 | TOTAL 1.02868 | error -6.88 % | MAD 0.46 % | CV 1.73 % | coh 90.9 % | dominant X | axis fraction 100.0 % | IN TARGET BAND</x:v>
      </x:c>
      <x:c r="C856" t="str">
        <x:v>Pasted text(56).txt</x:v>
      </x:c>
    </x:row>
    <x:row r="857">
      <x:c r="A857" t="n">
        <x:v>856</x:v>
      </x:c>
      <x:c r="B857" s="106" t="str">
        <x:v>FINE | point 6 | DAC 9.00 | CTRL X 0.87970 | X 0.88086 | Y 0.30184 | Z 0.51151 | TOTAL 1.06248 | error -2.26 % | MAD 1.70 % | CV 1.35 % | coh 91.1 % | dominant X | axis fraction 100.0 % | IN TARGET BAND</x:v>
      </x:c>
      <x:c r="C857" t="str">
        <x:v>Pasted text(56).txt</x:v>
      </x:c>
    </x:row>
    <x:row r="858">
      <x:c r="A858" t="n">
        <x:v>857</x:v>
      </x:c>
      <x:c r="B858" s="106" t="str">
        <x:v>FINE | point 7 | DAC 9.25 | CTRL X 0.89979 | X 0.89870 | Y 0.32486 | Z 0.51087 | TOTAL 1.08382 | error -0.02 % | MAD 0.11 % | CV 0.28 % | coh 91.9 % | dominant X | axis fraction 100.0 % | IN TARGET BAND</x:v>
      </x:c>
      <x:c r="C858" t="str">
        <x:v>Pasted text(56).txt</x:v>
      </x:c>
    </x:row>
    <x:row r="859">
      <x:c r="A859" t="n">
        <x:v>858</x:v>
      </x:c>
      <x:c r="B859" s="106" t="str">
        <x:v>FINE | point 8 | DAC 9.50 | CTRL X 0.92312 | X 0.92641 | Y 0.31526 | Z 0.51860 | TOTAL 1.10793 | error 2.57 % | MAD 2.07 % | CV 1.95 % | coh 92.8 % | dominant X | axis fraction 100.0 % | IN TARGET BAND</x:v>
      </x:c>
      <x:c r="C859" t="str">
        <x:v>Pasted text(56).txt</x:v>
      </x:c>
    </x:row>
    <x:row r="860">
      <x:c r="A860" t="n">
        <x:v>859</x:v>
      </x:c>
      <x:c r="B860" s="106" t="str">
        <x:v>FINE | point 9 | DAC 9.75 | CTRL X 0.96296 | X 0.96994 | Y 0.33048 | Z 0.56932 | TOTAL 1.17245 | error 7.00 % | MAD 0.42 % | CV 1.50 % | coh 91.9 % | dominant X | axis fraction 100.0 % | IN TARGET BAND</x:v>
      </x:c>
      <x:c r="C860" t="str">
        <x:v>Pasted text(56).txt</x:v>
      </x:c>
    </x:row>
    <x:row r="861">
      <x:c r="A861" t="n">
        <x:v>860</x:v>
      </x:c>
      <x:c r="B861" s="106" t="str"/>
      <x:c r="C861" t="str">
        <x:v>Pasted text(56).txt</x:v>
      </x:c>
    </x:row>
    <x:row r="862">
      <x:c r="A862" t="n">
        <x:v>861</x:v>
      </x:c>
      <x:c r="B862" s="106" t="str">
        <x:v>LONG VALIDATION AT FIXED DAC 9.25</x:v>
      </x:c>
      <x:c r="C862" t="str">
        <x:v>Pasted text(56).txt</x:v>
      </x:c>
    </x:row>
    <x:row r="863">
      <x:c r="A863" t="n">
        <x:v>862</x:v>
      </x:c>
      <x:c r="B863" s="106" t="str">
        <x:v>FINAL | point 1 | DAC 9.25 | CTRL X 0.91107 | X 0.91056 | Y 0.31071 | Z 0.51833 | TOTAL 1.09309 | error 1.23 % | MAD 0.48 % | CV 0.80 % | coh 92.5 % | dominant X | axis fraction 100.0 % | IN TARGET BAND</x:v>
      </x:c>
      <x:c r="C863" t="str">
        <x:v>Pasted text(56).txt</x:v>
      </x:c>
    </x:row>
    <x:row r="864">
      <x:c r="A864" t="n">
        <x:v>863</x:v>
      </x:c>
      <x:c r="B864" s="106" t="str">
        <x:v>FINAL | point 2 | DAC 9.25 | CTRL X 0.89870 | X 0.90143 | Y 0.31464 | Z 0.52532 | TOTAL 1.08993 | error -0.14 % | MAD 1.12 % | CV 1.37 % | coh 91.8 % | dominant X | axis fraction 100.0 % | IN TARGET BAND</x:v>
      </x:c>
      <x:c r="C864" t="str">
        <x:v>Pasted text(56).txt</x:v>
      </x:c>
    </x:row>
    <x:row r="865">
      <x:c r="A865" t="n">
        <x:v>864</x:v>
      </x:c>
      <x:c r="B865" s="106" t="str">
        <x:v>VALIDATION ACCEPTED | pair drift 1.37 %</x:v>
      </x:c>
      <x:c r="C865" t="str">
        <x:v>Pasted text(56).txt</x:v>
      </x:c>
    </x:row>
    <x:row r="866">
      <x:c r="A866" t="n">
        <x:v>865</x:v>
      </x:c>
      <x:c r="B866" s="106" t="str"/>
      <x:c r="C866" t="str">
        <x:v>Pasted text(56).txt</x:v>
      </x:c>
    </x:row>
    <x:row r="867">
      <x:c r="A867" t="n">
        <x:v>866</x:v>
      </x:c>
      <x:c r="B867" s="106" t="str">
        <x:v>FINAL VALIDATED BLIND FFT VERIFICATION</x:v>
      </x:c>
      <x:c r="C867" t="str">
        <x:v>Pasted text(56).txt</x:v>
      </x:c>
    </x:row>
    <x:row r="868">
      <x:c r="A868" t="n">
        <x:v>867</x:v>
      </x:c>
      <x:c r="B868" s="106" t="str">
        <x:v>Commanded frequency: 268.00000 Hz</x:v>
      </x:c>
      <x:c r="C868" t="str">
        <x:v>Pasted text(56).txt</x:v>
      </x:c>
    </x:row>
    <x:row r="869">
      <x:c r="A869" t="n">
        <x:v>868</x:v>
      </x:c>
      <x:c r="B869" s="106" t="str">
        <x:v>Accepted DAC: 9.25</x:v>
      </x:c>
      <x:c r="C869" t="str">
        <x:v>Pasted text(56).txt</x:v>
      </x:c>
    </x:row>
    <x:row r="870">
      <x:c r="A870" t="n">
        <x:v>869</x:v>
      </x:c>
      <x:c r="B870" s="106" t="str">
        <x:v>Axis,Frequency_Hz,Amplitude_mps2,SNR_dB,Status</x:v>
      </x:c>
      <x:c r="C870" t="str">
        <x:v>Pasted text(56).txt</x:v>
      </x:c>
    </x:row>
    <x:row r="871">
      <x:c r="A871" t="n">
        <x:v>870</x:v>
      </x:c>
      <x:c r="B871" s="106" t="str">
        <x:v>X,268.02037,0.81412,31.53,VALID</x:v>
      </x:c>
      <x:c r="C871" t="str">
        <x:v>Pasted text(56).txt</x:v>
      </x:c>
    </x:row>
    <x:row r="872">
      <x:c r="A872" t="n">
        <x:v>871</x:v>
      </x:c>
      <x:c r="B872" s="106" t="str">
        <x:v>Y,268.06164,0.28294,24.44,VALID</x:v>
      </x:c>
      <x:c r="C872" t="str">
        <x:v>Pasted text(56).txt</x:v>
      </x:c>
    </x:row>
    <x:row r="873">
      <x:c r="A873" t="n">
        <x:v>872</x:v>
      </x:c>
      <x:c r="B873" s="106" t="str">
        <x:v>Z,268.00085,0.47483,27.58,VALID</x:v>
      </x:c>
      <x:c r="C873" t="str">
        <x:v>Pasted text(56).txt</x:v>
      </x:c>
    </x:row>
    <x:row r="874">
      <x:c r="A874" t="n">
        <x:v>873</x:v>
      </x:c>
      <x:c r="B874" s="106" t="str">
        <x:v>Combined frequency: 268.01933 Hz | difference 0.01933 Hz</x:v>
      </x:c>
      <x:c r="C874" t="str">
        <x:v>Pasted text(56).txt</x:v>
      </x:c>
    </x:row>
    <x:row r="875">
      <x:c r="A875" t="n">
        <x:v>874</x:v>
      </x:c>
      <x:c r="B875" s="106" t="str">
        <x:v>Combined X/Y/Z/TOTAL: 0.74280 / 0.26026 / 0.43106 / 0.89739</x:v>
      </x:c>
      <x:c r="C875" t="str">
        <x:v>Pasted text(56).txt</x:v>
      </x:c>
    </x:row>
    <x:row r="876">
      <x:c r="A876" t="n">
        <x:v>875</x:v>
      </x:c>
      <x:c r="B876" s="106" t="str">
        <x:v>SNR: 29.26 dB | dominant axis X</x:v>
      </x:c>
      <x:c r="C876" t="str">
        <x:v>Pasted text(56).txt</x:v>
      </x:c>
    </x:row>
    <x:row r="877">
      <x:c r="A877" t="n">
        <x:v>876</x:v>
      </x:c>
      <x:c r="B877" s="106" t="str">
        <x:v>Frequency verification: PASS</x:v>
      </x:c>
      <x:c r="C877" t="str">
        <x:v>Pasted text(56).txt</x:v>
      </x:c>
    </x:row>
    <x:row r="878">
      <x:c r="A878" t="n">
        <x:v>877</x:v>
      </x:c>
      <x:c r="B878" s="106" t="str">
        <x:v>Y/Z dominance: DIAGNOSTIC ONLY — ignored for pass/fail</x:v>
      </x:c>
      <x:c r="C878" t="str">
        <x:v>Pasted text(56).txt</x:v>
      </x:c>
    </x:row>
    <x:row r="879">
      <x:c r="A879" t="n">
        <x:v>878</x:v>
      </x:c>
      <x:c r="B879" s="106" t="str"/>
      <x:c r="C879" t="str">
        <x:v>Pasted text(56).txt</x:v>
      </x:c>
    </x:row>
    <x:row r="880">
      <x:c r="A880" t="n">
        <x:v>879</x:v>
      </x:c>
      <x:c r="B880" s="106" t="str">
        <x:v>FIXED-DAC HOLD VALIDATION</x:v>
      </x:c>
      <x:c r="C880" t="str">
        <x:v>Pasted text(56).txt</x:v>
      </x:c>
    </x:row>
    <x:row r="881">
      <x:c r="A881" t="n">
        <x:v>880</x:v>
      </x:c>
      <x:c r="B881" s="106" t="str">
        <x:v>DAC remains fixed at 9.25 for 10 records.</x:v>
      </x:c>
      <x:c r="C881" t="str">
        <x:v>Pasted text(56).txt</x:v>
      </x:c>
    </x:row>
    <x:row r="882">
      <x:c r="A882" t="n">
        <x:v>881</x:v>
      </x:c>
      <x:c r="B882" s="106" t="str">
        <x:v>HOLD | point 1 | DAC 9.25 | CTRL X 0.89750 | X 0.89542 | Y 0.29501 | Z 0.52086 | TOTAL 1.07728 | error -0.28 % | MAD 0.30 % | CV 0.59 % | coh 90.8 % | dominant X | axis fraction 100.0 % | IN TARGET BAND</x:v>
      </x:c>
      <x:c r="C882" t="str">
        <x:v>Pasted text(56).txt</x:v>
      </x:c>
    </x:row>
    <x:row r="883">
      <x:c r="A883" t="n">
        <x:v>882</x:v>
      </x:c>
      <x:c r="B883" s="106" t="str">
        <x:v>HOLD | point 2 | DAC 9.25 | CTRL X 0.90479 | X 0.90591 | Y 0.31480 | Z 0.53907 | TOTAL 1.10030 | error 0.53 % | MAD 0.75 % | CV 0.70 % | coh 93.7 % | dominant X | axis fraction 100.0 % | IN TARGET BAND</x:v>
      </x:c>
      <x:c r="C883" t="str">
        <x:v>Pasted text(56).txt</x:v>
      </x:c>
    </x:row>
    <x:row r="884">
      <x:c r="A884" t="n">
        <x:v>883</x:v>
      </x:c>
      <x:c r="B884" s="106" t="str">
        <x:v>HOLD | point 3 | DAC 9.25 | CTRL X 0.88901 | X 0.89305 | Y 0.29936 | Z 0.53033 | TOTAL 1.08122 | error -1.22 % | MAD 1.66 % | CV 1.84 % | coh 91.3 % | dominant X | axis fraction 100.0 % | IN TARGET BAND</x:v>
      </x:c>
      <x:c r="C884" t="str">
        <x:v>Pasted text(56).txt</x:v>
      </x:c>
    </x:row>
    <x:row r="885">
      <x:c r="A885" t="n">
        <x:v>884</x:v>
      </x:c>
      <x:c r="B885" s="106" t="str">
        <x:v>HOLD | point 4 | DAC 9.25 | CTRL X 0.91111 | X 0.90839 | Y 0.31727 | Z 0.53284 | TOTAL 1.09995 | error 1.23 % | MAD 0.68 % | CV 0.94 % | coh 92.0 % | dominant X | axis fraction 100.0 % | IN TARGET BAND</x:v>
      </x:c>
      <x:c r="C885" t="str">
        <x:v>Pasted text(56).txt</x:v>
      </x:c>
    </x:row>
    <x:row r="886">
      <x:c r="A886" t="n">
        <x:v>885</x:v>
      </x:c>
      <x:c r="B886" s="106" t="str">
        <x:v>HOLD | point 5 | DAC 9.25 | CTRL X 0.89641 | X 0.89787 | Y 0.31870 | Z 0.51824 | TOTAL 1.08471 | error -0.40 % | MAD 1.00 % | CV 0.93 % | coh 91.1 % | dominant X | axis fraction 100.0 % | IN TARGET BAND</x:v>
      </x:c>
      <x:c r="C886" t="str">
        <x:v>Pasted text(56).txt</x:v>
      </x:c>
    </x:row>
    <x:row r="887">
      <x:c r="A887" t="n">
        <x:v>886</x:v>
      </x:c>
      <x:c r="B887" s="106" t="str">
        <x:v>HOLD | point 6 | DAC 9.25 | CTRL X 0.88421 | X 0.88662 | Y 0.30931 | Z 0.52236 | TOTAL 1.07458 | error -1.75 % | MAD 3.25 % | CV 2.61 % | coh 90.7 % | dominant X | axis fraction 100.0 % | IN TARGET BAND</x:v>
      </x:c>
      <x:c r="C887" t="str">
        <x:v>Pasted text(56).txt</x:v>
      </x:c>
    </x:row>
    <x:row r="888">
      <x:c r="A888" t="n">
        <x:v>887</x:v>
      </x:c>
      <x:c r="B888" s="106" t="str">
        <x:v>HOLD | point 7 | DAC 9.25 | CTRL X 0.88599 | X 0.89160 | Y 0.31432 | Z 0.51571 | TOTAL 1.07753 | error -1.56 % | MAD 3.06 % | CV 3.05 % | coh 90.5 % | dominant X | axis fraction 100.0 % | IN TARGET BAND</x:v>
      </x:c>
      <x:c r="C888" t="str">
        <x:v>Pasted text(56).txt</x:v>
      </x:c>
    </x:row>
    <x:row r="889">
      <x:c r="A889" t="n">
        <x:v>888</x:v>
      </x:c>
      <x:c r="B889" s="106" t="str">
        <x:v>HOLD | point 8 | DAC 9.25 | CTRL X 0.89810 | X 0.89876 | Y 0.31942 | Z 0.52291 | TOTAL 1.08783 | error -0.21 % | MAD 1.91 % | CV 1.40 % | coh 91.9 % | dominant X | axis fraction 100.0 % | IN TARGET BAND</x:v>
      </x:c>
      <x:c r="C889" t="str">
        <x:v>Pasted text(56).txt</x:v>
      </x:c>
    </x:row>
    <x:row r="890">
      <x:c r="A890" t="n">
        <x:v>889</x:v>
      </x:c>
      <x:c r="B890" s="106" t="str">
        <x:v>HOLD | point 9 | DAC 9.25 | CTRL X 0.87761 | X 0.88168 | Y 0.30927 | Z 0.52602 | TOTAL 1.07255 | error -2.49 % | MAD 3.23 % | CV 2.89 % | coh 90.6 % | dominant X | axis fraction 100.0 % | IN TARGET BAND</x:v>
      </x:c>
      <x:c r="C890" t="str">
        <x:v>Pasted text(56).txt</x:v>
      </x:c>
    </x:row>
    <x:row r="891">
      <x:c r="A891" t="n">
        <x:v>890</x:v>
      </x:c>
      <x:c r="B891" s="106" t="str">
        <x:v>HOLD | point 10 | DAC 9.25 | CTRL X 0.90185 | X 0.90686 | Y 0.29740 | Z 0.52764 | TOTAL 1.09065 | error 0.21 % | MAD 2.70 % | CV 2.68 % | coh 91.9 % | dominant X | axis fraction 100.0 % | IN TARGET BAND</x:v>
      </x:c>
      <x:c r="C891" t="str">
        <x:v>Pasted text(56).txt</x:v>
      </x:c>
    </x:row>
    <x:row r="892">
      <x:c r="A892" t="n">
        <x:v>891</x:v>
      </x:c>
      <x:c r="B892" s="106" t="str"/>
      <x:c r="C892" t="str">
        <x:v>Pasted text(56).txt</x:v>
      </x:c>
    </x:row>
    <x:row r="893">
      <x:c r="A893" t="n">
        <x:v>892</x:v>
      </x:c>
      <x:c r="B893" s="106" t="str">
        <x:v>HOLD SUMMARY</x:v>
      </x:c>
      <x:c r="C893" t="str">
        <x:v>Pasted text(56).txt</x:v>
      </x:c>
    </x:row>
    <x:row r="894">
      <x:c r="A894" t="n">
        <x:v>893</x:v>
      </x:c>
      <x:c r="B894" s="106" t="str">
        <x:v>Valid / requested: 10 / 10</x:v>
      </x:c>
      <x:c r="C894" t="str">
        <x:v>Pasted text(56).txt</x:v>
      </x:c>
    </x:row>
    <x:row r="895">
      <x:c r="A895" t="n">
        <x:v>894</x:v>
      </x:c>
      <x:c r="B895" s="106" t="str">
        <x:v>In band / requested: 10 / 10 = 100.0 %</x:v>
      </x:c>
      <x:c r="C895" t="str">
        <x:v>Pasted text(56).txt</x:v>
      </x:c>
    </x:row>
    <x:row r="896">
      <x:c r="A896" t="n">
        <x:v>895</x:v>
      </x:c>
      <x:c r="B896" s="106" t="str">
        <x:v>Mean / SD / CV: 0.89466 / 0.01030 / 1.15 %</x:v>
      </x:c>
      <x:c r="C896" t="str">
        <x:v>Pasted text(56).txt</x:v>
      </x:c>
    </x:row>
    <x:row r="897">
      <x:c r="A897" t="n">
        <x:v>896</x:v>
      </x:c>
      <x:c r="B897" s="106" t="str">
        <x:v>Min / Max: 0.87761 / 0.91111</x:v>
      </x:c>
      <x:c r="C897" t="str">
        <x:v>Pasted text(56).txt</x:v>
      </x:c>
    </x:row>
    <x:row r="898">
      <x:c r="A898" t="n">
        <x:v>897</x:v>
      </x:c>
      <x:c r="B898" s="106" t="str">
        <x:v>HOLD RESULT: PASS</x:v>
      </x:c>
      <x:c r="C898" t="str">
        <x:v>Pasted text(56).txt</x:v>
      </x:c>
    </x:row>
    <x:row r="899">
      <x:c r="A899" t="n">
        <x:v>898</x:v>
      </x:c>
      <x:c r="B899" s="106" t="str"/>
      <x:c r="C899" t="str">
        <x:v>Pasted text(56).txt</x:v>
      </x:c>
    </x:row>
    <x:row r="900">
      <x:c r="A900" t="n">
        <x:v>899</x:v>
      </x:c>
      <x:c r="B900" s="106" t="str">
        <x:v>RUN RESULT: PASS</x:v>
      </x:c>
      <x:c r="C900" t="str">
        <x:v>Pasted text(56).txt</x:v>
      </x:c>
    </x:row>
    <x:row r="901">
      <x:c r="A901" t="n">
        <x:v>900</x:v>
      </x:c>
      <x:c r="B901" s="106" t="str">
        <x:v>Selected DAC: 9.25</x:v>
      </x:c>
      <x:c r="C901" t="str">
        <x:v>Pasted text(56).txt</x:v>
      </x:c>
    </x:row>
    <x:row r="902">
      <x:c r="A902" t="n">
        <x:v>901</x:v>
      </x:c>
      <x:c r="B902" s="106" t="str">
        <x:v>Validated amplitude: 0.90489 m/s^2 | error 0.54 %</x:v>
      </x:c>
      <x:c r="C902" t="str">
        <x:v>Pasted text(56).txt</x:v>
      </x:c>
    </x:row>
    <x:row r="903">
      <x:c r="A903" t="n">
        <x:v>902</x:v>
      </x:c>
      <x:c r="B903" s="106" t="str">
        <x:v>FFT frequency: 268.01933 Hz | difference 0.01933 Hz</x:v>
      </x:c>
      <x:c r="C903" t="str">
        <x:v>Pasted text(56).txt</x:v>
      </x:c>
    </x:row>
    <x:row r="904">
      <x:c r="A904" t="n">
        <x:v>903</x:v>
      </x:c>
      <x:c r="B904" s="106" t="str"/>
      <x:c r="C904" t="str">
        <x:v>Pasted text(56).txt</x:v>
      </x:c>
    </x:row>
    <x:row r="905">
      <x:c r="A905" t="n">
        <x:v>904</x:v>
      </x:c>
      <x:c r="B905" s="106" t="str">
        <x:v>VISATON OFF. RESTING 5.0 s BEFORE THE NEXT COMPLETELY FRESH RUN.</x:v>
      </x:c>
      <x:c r="C905" t="str">
        <x:v>Pasted text(56).txt</x:v>
      </x:c>
    </x:row>
    <x:row r="906">
      <x:c r="A906" t="n">
        <x:v>905</x:v>
      </x:c>
      <x:c r="B906" s="106" t="str"/>
      <x:c r="C906" t="str">
        <x:v>Pasted text(56).txt</x:v>
      </x:c>
    </x:row>
    <x:row r="907">
      <x:c r="A907" t="n">
        <x:v>906</x:v>
      </x:c>
      <x:c r="B907" s="106" t="str">
        <x:v>################################################################################</x:v>
      </x:c>
      <x:c r="C907" t="str">
        <x:v>Pasted text(56).txt</x:v>
      </x:c>
    </x:row>
    <x:row r="908">
      <x:c r="A908" t="n">
        <x:v>907</x:v>
      </x:c>
      <x:c r="B908" s="106" t="str">
        <x:v>INDEPENDENT TARGET-AMPLITUDE RUN 4 OF 5</x:v>
      </x:c>
      <x:c r="C908" t="str">
        <x:v>Pasted text(56).txt</x:v>
      </x:c>
    </x:row>
    <x:row r="909">
      <x:c r="A909" t="n">
        <x:v>908</x:v>
      </x:c>
      <x:c r="B909" s="106" t="str">
        <x:v>################################################################################</x:v>
      </x:c>
      <x:c r="C909" t="str">
        <x:v>Pasted text(56).txt</x:v>
      </x:c>
    </x:row>
    <x:row r="910">
      <x:c r="A910" t="n">
        <x:v>909</x:v>
      </x:c>
      <x:c r="B910" s="106" t="str">
        <x:v>Frequency: 268.00000 Hz</x:v>
      </x:c>
      <x:c r="C910" t="str">
        <x:v>Pasted text(56).txt</x:v>
      </x:c>
    </x:row>
    <x:row r="911">
      <x:c r="A911" t="n">
        <x:v>910</x:v>
      </x:c>
      <x:c r="B911" s="106" t="str">
        <x:v>Target X amplitude: 0.90000 m/s^2 peak, tolerance +/-7.50 %</x:v>
      </x:c>
      <x:c r="C911" t="str">
        <x:v>Pasted text(56).txt</x:v>
      </x:c>
    </x:row>
    <x:row r="912">
      <x:c r="A912" t="n">
        <x:v>911</x:v>
      </x:c>
      <x:c r="B912" s="106" t="str">
        <x:v>This run starts from DAC 1.00 and ignores every earlier selected DAC.</x:v>
      </x:c>
      <x:c r="C912" t="str">
        <x:v>Pasted text(56).txt</x:v>
      </x:c>
    </x:row>
    <x:row r="913">
      <x:c r="A913" t="n">
        <x:v>912</x:v>
      </x:c>
      <x:c r="B913" s="106" t="str">
        <x:v>ADXL2 DEVID/DATA_FORMAT/BW_RATE/POWER_CTL: 0xE5 / 0xB / 0xE / 0x8</x:v>
      </x:c>
      <x:c r="C913" t="str">
        <x:v>Pasted text(56).txt</x:v>
      </x:c>
    </x:row>
    <x:row r="914">
      <x:c r="A914" t="n">
        <x:v>913</x:v>
      </x:c>
      <x:c r="B914" s="106" t="str"/>
      <x:c r="C914" t="str">
        <x:v>Pasted text(56).txt</x:v>
      </x:c>
    </x:row>
    <x:row r="915">
      <x:c r="A915" t="n">
        <x:v>914</x:v>
      </x:c>
      <x:c r="B915" s="106" t="str">
        <x:v>ACQUISITION ATTEMPT 1 OF 2</x:v>
      </x:c>
      <x:c r="C915" t="str">
        <x:v>Pasted text(56).txt</x:v>
      </x:c>
    </x:row>
    <x:row r="916">
      <x:c r="A916" t="n">
        <x:v>915</x:v>
      </x:c>
      <x:c r="B916" s="106" t="str"/>
      <x:c r="C916" t="str">
        <x:v>Pasted text(56).txt</x:v>
      </x:c>
    </x:row>
    <x:row r="917">
      <x:c r="A917" t="n">
        <x:v>916</x:v>
      </x:c>
      <x:c r="B917" s="106" t="str">
        <x:v>FRESH X-AXIS SEARCH FROM DAC 1.00 — OLD DAC VALUES ARE NOT USED</x:v>
      </x:c>
      <x:c r="C917" t="str">
        <x:v>Pasted text(56).txt</x:v>
      </x:c>
    </x:row>
    <x:row r="918">
      <x:c r="A918" t="n">
        <x:v>917</x:v>
      </x:c>
      <x:c r="B918" s="106" t="str">
        <x:v>Y/Z are diagnostic only and cannot abort this search.</x:v>
      </x:c>
      <x:c r="C918" t="str">
        <x:v>Pasted text(56).txt</x:v>
      </x:c>
    </x:row>
    <x:row r="919">
      <x:c r="A919" t="n">
        <x:v>918</x:v>
      </x:c>
      <x:c r="B919" s="106" t="str">
        <x:v>A real SPI fault, clipping, safety limit or confirmed X-response collapse will stop it.</x:v>
      </x:c>
      <x:c r="C919" t="str">
        <x:v>Pasted text(56).txt</x:v>
      </x:c>
    </x:row>
    <x:row r="920">
      <x:c r="A920" t="n">
        <x:v>919</x:v>
      </x:c>
      <x:c r="B920" s="106" t="str">
        <x:v>SEARCH | point 1 | DAC 1.00 | CTRL X 0.00890 | X 0.00850 | Y 0.01843 | Z 0.02606 | TOTAL 0.03413 | error -99.01 % | MAD 13.45 % | CV 6.72 % | coh 4.9 % | dominant Z | axis fraction 32.6 % | BELOW MEASUREMENT FLOOR — SEARCH CONTINUES</x:v>
      </x:c>
      <x:c r="C920" t="str">
        <x:v>Pasted text(56).txt</x:v>
      </x:c>
    </x:row>
    <x:row r="921">
      <x:c r="A921" t="n">
        <x:v>920</x:v>
      </x:c>
      <x:c r="B921" s="106" t="str">
        <x:v>SEARCH | point 2 | DAC 3.00 | CTRL X 0.17916 | X 0.17139 | Y 0.05614 | Z 0.12701 | TOTAL 0.22120 | error -80.09 % | MAD 6.28 % | CV 11.90 % | coh 57.9 % | dominant X | axis fraction 100.0 % | VALID</x:v>
      </x:c>
      <x:c r="C921" t="str">
        <x:v>Pasted text(56).txt</x:v>
      </x:c>
    </x:row>
    <x:row r="922">
      <x:c r="A922" t="n">
        <x:v>921</x:v>
      </x:c>
      <x:c r="B922" s="106" t="str">
        <x:v>SEARCH | point 3 | DAC 5.00 | CTRL X 0.37857 | X 0.38179 | Y 0.15634 | Z 0.28545 | TOTAL 0.50201 | error -57.94 % | MAD 4.06 % | CV 4.05 % | coh 80.0 % | dominant X | axis fraction 100.0 % | VALID</x:v>
      </x:c>
      <x:c r="C922" t="str">
        <x:v>Pasted text(56).txt</x:v>
      </x:c>
    </x:row>
    <x:row r="923">
      <x:c r="A923" t="n">
        <x:v>922</x:v>
      </x:c>
      <x:c r="B923" s="106" t="str">
        <x:v>SEARCH | point 4 | DAC 6.00 | CTRL X 0.50904 | X 0.50389 | Y 0.18684 | Z 0.31797 | TOTAL 0.62460 | error -43.44 % | MAD 1.01 % | CV 2.39 % | coh 86.5 % | dominant X | axis fraction 100.0 % | VALID</x:v>
      </x:c>
      <x:c r="C923" t="str">
        <x:v>Pasted text(56).txt</x:v>
      </x:c>
    </x:row>
    <x:row r="924">
      <x:c r="A924" t="n">
        <x:v>923</x:v>
      </x:c>
      <x:c r="B924" s="106" t="str">
        <x:v>SEARCH | point 5 | DAC 7.00 | CTRL X 0.63399 | X 0.62655 | Y 0.21533 | Z 0.38349 | TOTAL 0.76582 | error -29.56 % | MAD 1.03 % | CV 2.69 % | coh 89.7 % | dominant X | axis fraction 100.0 % | VALID</x:v>
      </x:c>
      <x:c r="C924" t="str">
        <x:v>Pasted text(56).txt</x:v>
      </x:c>
    </x:row>
    <x:row r="925">
      <x:c r="A925" t="n">
        <x:v>924</x:v>
      </x:c>
      <x:c r="B925" s="106" t="str">
        <x:v>SEARCH | point 6 | DAC 7.50 | CTRL X 0.65985 | X 0.65663 | Y 0.24294 | Z 0.42519 | TOTAL 0.81935 | error -26.68 % | MAD 1.13 % | CV 1.56 % | coh 88.0 % | dominant X | axis fraction 100.0 % | VALID</x:v>
      </x:c>
      <x:c r="C925" t="str">
        <x:v>Pasted text(56).txt</x:v>
      </x:c>
    </x:row>
    <x:row r="926">
      <x:c r="A926" t="n">
        <x:v>925</x:v>
      </x:c>
      <x:c r="B926" s="106" t="str">
        <x:v>SEARCH | point 7 | DAC 8.00 | CTRL X 0.74956 | X 0.74483 | Y 0.26720 | Z 0.44060 | TOTAL 0.90600 | error -16.72 % | MAD 1.81 % | CV 2.25 % | coh 90.5 % | dominant X | axis fraction 100.0 % | VALID</x:v>
      </x:c>
      <x:c r="C926" t="str">
        <x:v>Pasted text(56).txt</x:v>
      </x:c>
    </x:row>
    <x:row r="927">
      <x:c r="A927" t="n">
        <x:v>926</x:v>
      </x:c>
      <x:c r="B927" s="106" t="str">
        <x:v>SEARCH | point 8 | DAC 8.50 | CTRL X 0.78415 | X 0.78275 | Y 0.27792 | Z 0.48841 | TOTAL 0.96428 | error -12.87 % | MAD 5.94 % | CV 4.29 % | coh 90.4 % | dominant X | axis fraction 100.0 % | VALID</x:v>
      </x:c>
      <x:c r="C927" t="str">
        <x:v>Pasted text(56).txt</x:v>
      </x:c>
    </x:row>
    <x:row r="928">
      <x:c r="A928" t="n">
        <x:v>927</x:v>
      </x:c>
      <x:c r="B928" s="106" t="str">
        <x:v>SEARCH | point 9 | DAC 8.75 | CTRL X 0.85350 | X 0.85907 | Y 0.29771 | Z 0.49815 | TOTAL 1.03687 | error -5.17 % | MAD 1.04 % | CV 1.76 % | coh 92.1 % | dominant X | axis fraction 100.0 % | IN TARGET BAND</x:v>
      </x:c>
      <x:c r="C928" t="str">
        <x:v>Pasted text(56).txt</x:v>
      </x:c>
    </x:row>
    <x:row r="929">
      <x:c r="A929" t="n">
        <x:v>928</x:v>
      </x:c>
      <x:c r="B929" s="106" t="str"/>
      <x:c r="C929" t="str">
        <x:v>Pasted text(56).txt</x:v>
      </x:c>
    </x:row>
    <x:row r="930">
      <x:c r="A930" t="n">
        <x:v>929</x:v>
      </x:c>
      <x:c r="B930" s="106" t="str">
        <x:v>LOCAL 0.25-DAC X-AXIS FINE SCAN</x:v>
      </x:c>
      <x:c r="C930" t="str">
        <x:v>Pasted text(56).txt</x:v>
      </x:c>
    </x:row>
    <x:row r="931">
      <x:c r="A931" t="n">
        <x:v>930</x:v>
      </x:c>
      <x:c r="B931" s="106" t="str">
        <x:v>Only a valid point actually inside the X target band may be selected.</x:v>
      </x:c>
      <x:c r="C931" t="str">
        <x:v>Pasted text(56).txt</x:v>
      </x:c>
    </x:row>
    <x:row r="932">
      <x:c r="A932" t="n">
        <x:v>931</x:v>
      </x:c>
      <x:c r="B932" s="106" t="str">
        <x:v>FINE | point 1 | DAC 7.75 | CTRL X 0.70934 | X 0.71354 | Y 0.26186 | Z 0.43670 | TOTAL 0.87675 | error -21.18 % | MAD 2.82 % | CV 2.82 % | coh 90.6 % | dominant X | axis fraction 100.0 % | VALID</x:v>
      </x:c>
      <x:c r="C932" t="str">
        <x:v>Pasted text(56).txt</x:v>
      </x:c>
    </x:row>
    <x:row r="933">
      <x:c r="A933" t="n">
        <x:v>932</x:v>
      </x:c>
      <x:c r="B933" s="106" t="str">
        <x:v>FINE | point 2 | DAC 8.00 | CTRL X 0.76209 | X 0.76178 | Y 0.25521 | Z 0.43255 | TOTAL 0.91253 | error -15.32 % | MAD 0.24 % | CV 0.23 % | coh 92.1 % | dominant X | axis fraction 100.0 % | VALID</x:v>
      </x:c>
      <x:c r="C933" t="str">
        <x:v>Pasted text(56).txt</x:v>
      </x:c>
    </x:row>
    <x:row r="934">
      <x:c r="A934" t="n">
        <x:v>933</x:v>
      </x:c>
      <x:c r="B934" s="106" t="str">
        <x:v>FINE | point 3 | DAC 8.25 | CTRL X 0.77509 | X 0.76898 | Y 0.26826 | Z 0.45390 | TOTAL 0.93248 | error -13.88 % | MAD 4.02 % | CV 3.98 % | coh 90.1 % | dominant X | axis fraction 100.0 % | VALID</x:v>
      </x:c>
      <x:c r="C934" t="str">
        <x:v>Pasted text(56).txt</x:v>
      </x:c>
    </x:row>
    <x:row r="935">
      <x:c r="A935" t="n">
        <x:v>934</x:v>
      </x:c>
      <x:c r="B935" s="106" t="str">
        <x:v>FINE | point 4 | DAC 8.50 | CTRL X 0.79357 | X 0.79596 | Y 0.27640 | Z 0.45403 | TOTAL 0.95721 | error -11.83 % | MAD 0.20 % | CV 0.64 % | coh 91.1 % | dominant X | axis fraction 100.0 % | VALID</x:v>
      </x:c>
      <x:c r="C935" t="str">
        <x:v>Pasted text(56).txt</x:v>
      </x:c>
    </x:row>
    <x:row r="936">
      <x:c r="A936" t="n">
        <x:v>935</x:v>
      </x:c>
      <x:c r="B936" s="106" t="str">
        <x:v>FINE | point 5 | DAC 8.75 | CTRL X 0.84142 | X 0.84146 | Y 0.29754 | Z 0.49709 | TOTAL 1.02173 | error -6.51 % | MAD 0.04 % | CV 0.03 % | coh 90.4 % | dominant X | axis fraction 100.0 % | IN TARGET BAND</x:v>
      </x:c>
      <x:c r="C936" t="str">
        <x:v>Pasted text(56).txt</x:v>
      </x:c>
    </x:row>
    <x:row r="937">
      <x:c r="A937" t="n">
        <x:v>936</x:v>
      </x:c>
      <x:c r="B937" s="106" t="str">
        <x:v>FINE | point 6 | DAC 9.00 | CTRL X 0.86588 | X 0.86993 | Y 0.30186 | Z 0.52152 | TOTAL 1.05838 | error -3.79 % | MAD 1.38 % | CV 1.67 % | coh 90.5 % | dominant X | axis fraction 100.0 % | IN TARGET BAND</x:v>
      </x:c>
      <x:c r="C937" t="str">
        <x:v>Pasted text(56).txt</x:v>
      </x:c>
    </x:row>
    <x:row r="938">
      <x:c r="A938" t="n">
        <x:v>937</x:v>
      </x:c>
      <x:c r="B938" s="106" t="str">
        <x:v>FINE | point 7 | DAC 9.25 | CTRL X 0.90274 | X 0.90359 | Y 0.32446 | Z 0.54173 | TOTAL 1.10244 | error 0.30 % | MAD 0.03 % | CV 0.18 % | coh 91.5 % | dominant X | axis fraction 100.0 % | IN TARGET BAND</x:v>
      </x:c>
      <x:c r="C938" t="str">
        <x:v>Pasted text(56).txt</x:v>
      </x:c>
    </x:row>
    <x:row r="939">
      <x:c r="A939" t="n">
        <x:v>938</x:v>
      </x:c>
      <x:c r="B939" s="106" t="str">
        <x:v>FINE | point 8 | DAC 9.50 | CTRL X 0.92837 | X 0.93025 | Y 0.33727 | Z 0.54611 | TOTAL 1.13027 | error 3.15 % | MAD 2.46 % | CV 1.97 % | coh 91.4 % | dominant X | axis fraction 100.0 % | IN TARGET BAND</x:v>
      </x:c>
      <x:c r="C939" t="str">
        <x:v>Pasted text(56).txt</x:v>
      </x:c>
    </x:row>
    <x:row r="940">
      <x:c r="A940" t="n">
        <x:v>939</x:v>
      </x:c>
      <x:c r="B940" s="106" t="str">
        <x:v>FINE | point 9 | DAC 9.75 | CTRL X 0.97140 | X 0.97164 | Y 0.32373 | Z 0.55897 | TOTAL 1.16687 | error 7.93 % | MAD 0.53 % | CV 0.39 % | coh 92.6 % | dominant X | axis fraction 100.0 % | VALID</x:v>
      </x:c>
      <x:c r="C940" t="str">
        <x:v>Pasted text(56).txt</x:v>
      </x:c>
    </x:row>
    <x:row r="941">
      <x:c r="A941" t="n">
        <x:v>940</x:v>
      </x:c>
      <x:c r="B941" s="106" t="str"/>
      <x:c r="C941" t="str">
        <x:v>Pasted text(56).txt</x:v>
      </x:c>
    </x:row>
    <x:row r="942">
      <x:c r="A942" t="n">
        <x:v>941</x:v>
      </x:c>
      <x:c r="B942" s="106" t="str">
        <x:v>LONG VALIDATION AT FIXED DAC 9.25</x:v>
      </x:c>
      <x:c r="C942" t="str">
        <x:v>Pasted text(56).txt</x:v>
      </x:c>
    </x:row>
    <x:row r="943">
      <x:c r="A943" t="n">
        <x:v>942</x:v>
      </x:c>
      <x:c r="B943" s="106" t="str">
        <x:v>FINAL | point 1 | DAC 9.25 | CTRL X 0.90838 | X 0.90590 | Y 0.30549 | Z 0.52317 | TOTAL 1.09015 | error 0.93 % | MAD 0.73 % | CV 0.80 % | coh 92.1 % | dominant X | axis fraction 100.0 % | IN TARGET BAND</x:v>
      </x:c>
      <x:c r="C943" t="str">
        <x:v>Pasted text(56).txt</x:v>
      </x:c>
    </x:row>
    <x:row r="944">
      <x:c r="A944" t="n">
        <x:v>943</x:v>
      </x:c>
      <x:c r="B944" s="106" t="str">
        <x:v>FINAL | point 2 | DAC 9.25 | CTRL X 0.89675 | X 0.89675 | Y 0.32212 | Z 0.51464 | TOTAL 1.08335 | error -0.36 % | MAD 1.81 % | CV 1.46 % | coh 91.5 % | dominant X | axis fraction 100.0 % | IN TARGET BAND</x:v>
      </x:c>
      <x:c r="C944" t="str">
        <x:v>Pasted text(56).txt</x:v>
      </x:c>
    </x:row>
    <x:row r="945">
      <x:c r="A945" t="n">
        <x:v>944</x:v>
      </x:c>
      <x:c r="B945" s="106" t="str">
        <x:v>VALIDATION ACCEPTED | pair drift 1.29 %</x:v>
      </x:c>
      <x:c r="C945" t="str">
        <x:v>Pasted text(56).txt</x:v>
      </x:c>
    </x:row>
    <x:row r="946">
      <x:c r="A946" t="n">
        <x:v>945</x:v>
      </x:c>
      <x:c r="B946" s="106" t="str"/>
      <x:c r="C946" t="str">
        <x:v>Pasted text(56).txt</x:v>
      </x:c>
    </x:row>
    <x:row r="947">
      <x:c r="A947" t="n">
        <x:v>946</x:v>
      </x:c>
      <x:c r="B947" s="106" t="str">
        <x:v>FINAL VALIDATED BLIND FFT VERIFICATION</x:v>
      </x:c>
      <x:c r="C947" t="str">
        <x:v>Pasted text(56).txt</x:v>
      </x:c>
    </x:row>
    <x:row r="948">
      <x:c r="A948" t="n">
        <x:v>947</x:v>
      </x:c>
      <x:c r="B948" s="106" t="str">
        <x:v>Commanded frequency: 268.00000 Hz</x:v>
      </x:c>
      <x:c r="C948" t="str">
        <x:v>Pasted text(56).txt</x:v>
      </x:c>
    </x:row>
    <x:row r="949">
      <x:c r="A949" t="n">
        <x:v>948</x:v>
      </x:c>
      <x:c r="B949" s="106" t="str">
        <x:v>Accepted DAC: 9.25</x:v>
      </x:c>
      <x:c r="C949" t="str">
        <x:v>Pasted text(56).txt</x:v>
      </x:c>
    </x:row>
    <x:row r="950">
      <x:c r="A950" t="n">
        <x:v>949</x:v>
      </x:c>
      <x:c r="B950" s="106" t="str">
        <x:v>Axis,Frequency_Hz,Amplitude_mps2,SNR_dB,Status</x:v>
      </x:c>
      <x:c r="C950" t="str">
        <x:v>Pasted text(56).txt</x:v>
      </x:c>
    </x:row>
    <x:row r="951">
      <x:c r="A951" t="n">
        <x:v>950</x:v>
      </x:c>
      <x:c r="B951" s="106" t="str">
        <x:v>X,268.04544,0.83113,31.50,VALID</x:v>
      </x:c>
      <x:c r="C951" t="str">
        <x:v>Pasted text(56).txt</x:v>
      </x:c>
    </x:row>
    <x:row r="952">
      <x:c r="A952" t="n">
        <x:v>951</x:v>
      </x:c>
      <x:c r="B952" s="106" t="str">
        <x:v>Y,268.02990,0.28820,24.43,VALID</x:v>
      </x:c>
      <x:c r="C952" t="str">
        <x:v>Pasted text(56).txt</x:v>
      </x:c>
    </x:row>
    <x:row r="953">
      <x:c r="A953" t="n">
        <x:v>952</x:v>
      </x:c>
      <x:c r="B953" s="106" t="str">
        <x:v>Z,268.00806,0.47729,27.65,VALID</x:v>
      </x:c>
      <x:c r="C953" t="str">
        <x:v>Pasted text(56).txt</x:v>
      </x:c>
    </x:row>
    <x:row r="954">
      <x:c r="A954" t="n">
        <x:v>953</x:v>
      </x:c>
      <x:c r="B954" s="106" t="str">
        <x:v>Combined frequency: 268.03577 Hz | difference 0.03577 Hz</x:v>
      </x:c>
      <x:c r="C954" t="str">
        <x:v>Pasted text(56).txt</x:v>
      </x:c>
    </x:row>
    <x:row r="955">
      <x:c r="A955" t="n">
        <x:v>954</x:v>
      </x:c>
      <x:c r="B955" s="106" t="str">
        <x:v>Combined X/Y/Z/TOTAL: 0.76213 / 0.26318 / 0.43425 / 0.91580</x:v>
      </x:c>
      <x:c r="C955" t="str">
        <x:v>Pasted text(56).txt</x:v>
      </x:c>
    </x:row>
    <x:row r="956">
      <x:c r="A956" t="n">
        <x:v>955</x:v>
      </x:c>
      <x:c r="B956" s="106" t="str">
        <x:v>SNR: 29.30 dB | dominant axis X</x:v>
      </x:c>
      <x:c r="C956" t="str">
        <x:v>Pasted text(56).txt</x:v>
      </x:c>
    </x:row>
    <x:row r="957">
      <x:c r="A957" t="n">
        <x:v>956</x:v>
      </x:c>
      <x:c r="B957" s="106" t="str">
        <x:v>Frequency verification: PASS</x:v>
      </x:c>
      <x:c r="C957" t="str">
        <x:v>Pasted text(56).txt</x:v>
      </x:c>
    </x:row>
    <x:row r="958">
      <x:c r="A958" t="n">
        <x:v>957</x:v>
      </x:c>
      <x:c r="B958" s="106" t="str">
        <x:v>Y/Z dominance: DIAGNOSTIC ONLY — ignored for pass/fail</x:v>
      </x:c>
      <x:c r="C958" t="str">
        <x:v>Pasted text(56).txt</x:v>
      </x:c>
    </x:row>
    <x:row r="959">
      <x:c r="A959" t="n">
        <x:v>958</x:v>
      </x:c>
      <x:c r="B959" s="106" t="str"/>
      <x:c r="C959" t="str">
        <x:v>Pasted text(56).txt</x:v>
      </x:c>
    </x:row>
    <x:row r="960">
      <x:c r="A960" t="n">
        <x:v>959</x:v>
      </x:c>
      <x:c r="B960" s="106" t="str">
        <x:v>FIXED-DAC HOLD VALIDATION</x:v>
      </x:c>
      <x:c r="C960" t="str">
        <x:v>Pasted text(56).txt</x:v>
      </x:c>
    </x:row>
    <x:row r="961">
      <x:c r="A961" t="n">
        <x:v>960</x:v>
      </x:c>
      <x:c r="B961" s="106" t="str">
        <x:v>DAC remains fixed at 9.25 for 10 records.</x:v>
      </x:c>
      <x:c r="C961" t="str">
        <x:v>Pasted text(56).txt</x:v>
      </x:c>
    </x:row>
    <x:row r="962">
      <x:c r="A962" t="n">
        <x:v>961</x:v>
      </x:c>
      <x:c r="B962" s="106" t="str">
        <x:v>HOLD | point 1 | DAC 9.25 | CTRL X 0.90371 | X 0.90856 | Y 0.30395 | Z 0.51526 | TOTAL 1.08796 | error 0.41 % | MAD 0.68 % | CV 1.34 % | coh 92.1 % | dominant X | axis fraction 100.0 % | IN TARGET BAND</x:v>
      </x:c>
      <x:c r="C962" t="str">
        <x:v>Pasted text(56).txt</x:v>
      </x:c>
    </x:row>
    <x:row r="963">
      <x:c r="A963" t="n">
        <x:v>962</x:v>
      </x:c>
      <x:c r="B963" s="106" t="str">
        <x:v>HOLD | point 2 | DAC 9.25 | CTRL X 0.89493 | X 0.89683 | Y 0.30622 | Z 0.52373 | TOTAL 1.08289 | error -0.56 % | MAD 0.73 % | CV 0.83 % | coh 91.4 % | dominant X | axis fraction 100.0 % | IN TARGET BAND</x:v>
      </x:c>
      <x:c r="C963" t="str">
        <x:v>Pasted text(56).txt</x:v>
      </x:c>
    </x:row>
    <x:row r="964">
      <x:c r="A964" t="n">
        <x:v>963</x:v>
      </x:c>
      <x:c r="B964" s="106" t="str">
        <x:v>HOLD | point 3 | DAC 9.25 | CTRL X 0.91390 | X 0.91343 | Y 0.32427 | Z 0.52279 | TOTAL 1.10137 | error 1.54 % | MAD 0.29 % | CV 0.28 % | coh 93.0 % | dominant X | axis fraction 100.0 % | IN TARGET BAND</x:v>
      </x:c>
      <x:c r="C964" t="str">
        <x:v>Pasted text(56).txt</x:v>
      </x:c>
    </x:row>
    <x:row r="965">
      <x:c r="A965" t="n">
        <x:v>964</x:v>
      </x:c>
      <x:c r="B965" s="106" t="str">
        <x:v>HOLD | point 4 | DAC 9.25 | CTRL X 0.90577 | X 0.90429 | Y 0.32940 | Z 0.50784 | TOTAL 1.08841 | error 0.64 % | MAD 1.22 % | CV 1.08 % | coh 91.9 % | dominant X | axis fraction 100.0 % | IN TARGET BAND</x:v>
      </x:c>
      <x:c r="C965" t="str">
        <x:v>Pasted text(56).txt</x:v>
      </x:c>
    </x:row>
    <x:row r="966">
      <x:c r="A966" t="n">
        <x:v>965</x:v>
      </x:c>
      <x:c r="B966" s="106" t="str">
        <x:v>HOLD | point 5 | DAC 9.25 | CTRL X 0.90874 | X 0.90533 | Y 0.31909 | Z 0.52751 | TOTAL 1.09555 | error 0.97 % | MAD 0.62 % | CV 1.04 % | coh 92.2 % | dominant X | axis fraction 100.0 % | IN TARGET BAND</x:v>
      </x:c>
      <x:c r="C966" t="str">
        <x:v>Pasted text(56).txt</x:v>
      </x:c>
    </x:row>
    <x:row r="967">
      <x:c r="A967" t="n">
        <x:v>966</x:v>
      </x:c>
      <x:c r="B967" s="106" t="str">
        <x:v>HOLD | point 6 | DAC 9.25 | CTRL X 0.90864 | X 0.90286 | Y 0.29969 | Z 0.51237 | TOTAL 1.08059 | error 0.96 % | MAD 0.86 % | CV 1.64 % | coh 91.7 % | dominant X | axis fraction 100.0 % | IN TARGET BAND</x:v>
      </x:c>
      <x:c r="C967" t="str">
        <x:v>Pasted text(56).txt</x:v>
      </x:c>
    </x:row>
    <x:row r="968">
      <x:c r="A968" t="n">
        <x:v>967</x:v>
      </x:c>
      <x:c r="B968" s="106" t="str">
        <x:v>HOLD | point 7 | DAC 9.25 | CTRL X 0.89769 | X 0.90216 | Y 0.30210 | Z 0.52765 | TOTAL 1.08825 | error -0.26 % | MAD 2.17 % | CV 2.24 % | coh 90.8 % | dominant X | axis fraction 100.0 % | IN TARGET BAND</x:v>
      </x:c>
      <x:c r="C968" t="str">
        <x:v>Pasted text(56).txt</x:v>
      </x:c>
    </x:row>
    <x:row r="969">
      <x:c r="A969" t="n">
        <x:v>968</x:v>
      </x:c>
      <x:c r="B969" s="106" t="str">
        <x:v>HOLD | point 8 | DAC 9.25 | CTRL X 0.92070 | X 0.91434 | Y 0.32440 | Z 0.51615 | TOTAL 1.09909 | error 2.30 % | MAD 0.23 % | CV 1.34 % | coh 92.3 % | dominant X | axis fraction 100.0 % | IN TARGET BAND</x:v>
      </x:c>
      <x:c r="C969" t="str">
        <x:v>Pasted text(56).txt</x:v>
      </x:c>
    </x:row>
    <x:row r="970">
      <x:c r="A970" t="n">
        <x:v>969</x:v>
      </x:c>
      <x:c r="B970" s="106" t="str">
        <x:v>HOLD | point 9 | DAC 9.25 | CTRL X 0.90319 | X 0.90042 | Y 0.30323 | Z 0.50885 | TOTAL 1.07791 | error 0.35 % | MAD 0.00 % | CV 0.53 % | coh 91.7 % | dominant X | axis fraction 100.0 % | IN TARGET BAND</x:v>
      </x:c>
      <x:c r="C970" t="str">
        <x:v>Pasted text(56).txt</x:v>
      </x:c>
    </x:row>
    <x:row r="971">
      <x:c r="A971" t="n">
        <x:v>970</x:v>
      </x:c>
      <x:c r="B971" s="106" t="str">
        <x:v>HOLD | point 10 | DAC 9.25 | CTRL X 0.89596 | X 0.89897 | Y 0.31984 | Z 0.51170 | TOTAL 1.08284 | error -0.45 % | MAD 0.97 % | CV 1.19 % | coh 92.1 % | dominant X | axis fraction 100.0 % | IN TARGET BAND</x:v>
      </x:c>
      <x:c r="C971" t="str">
        <x:v>Pasted text(56).txt</x:v>
      </x:c>
    </x:row>
    <x:row r="972">
      <x:c r="A972" t="n">
        <x:v>971</x:v>
      </x:c>
      <x:c r="B972" s="106" t="str"/>
      <x:c r="C972" t="str">
        <x:v>Pasted text(56).txt</x:v>
      </x:c>
    </x:row>
    <x:row r="973">
      <x:c r="A973" t="n">
        <x:v>972</x:v>
      </x:c>
      <x:c r="B973" s="106" t="str">
        <x:v>HOLD SUMMARY</x:v>
      </x:c>
      <x:c r="C973" t="str">
        <x:v>Pasted text(56).txt</x:v>
      </x:c>
    </x:row>
    <x:row r="974">
      <x:c r="A974" t="n">
        <x:v>973</x:v>
      </x:c>
      <x:c r="B974" s="106" t="str">
        <x:v>Valid / requested: 10 / 10</x:v>
      </x:c>
      <x:c r="C974" t="str">
        <x:v>Pasted text(56).txt</x:v>
      </x:c>
    </x:row>
    <x:row r="975">
      <x:c r="A975" t="n">
        <x:v>974</x:v>
      </x:c>
      <x:c r="B975" s="106" t="str">
        <x:v>In band / requested: 10 / 10 = 100.0 %</x:v>
      </x:c>
      <x:c r="C975" t="str">
        <x:v>Pasted text(56).txt</x:v>
      </x:c>
    </x:row>
    <x:row r="976">
      <x:c r="A976" t="n">
        <x:v>975</x:v>
      </x:c>
      <x:c r="B976" s="106" t="str">
        <x:v>Mean / SD / CV: 0.90533 / 0.00812 / 0.90 %</x:v>
      </x:c>
      <x:c r="C976" t="str">
        <x:v>Pasted text(56).txt</x:v>
      </x:c>
    </x:row>
    <x:row r="977">
      <x:c r="A977" t="n">
        <x:v>976</x:v>
      </x:c>
      <x:c r="B977" s="106" t="str">
        <x:v>Min / Max: 0.89493 / 0.92070</x:v>
      </x:c>
      <x:c r="C977" t="str">
        <x:v>Pasted text(56).txt</x:v>
      </x:c>
    </x:row>
    <x:row r="978">
      <x:c r="A978" t="n">
        <x:v>977</x:v>
      </x:c>
      <x:c r="B978" s="106" t="str">
        <x:v>HOLD RESULT: PASS</x:v>
      </x:c>
      <x:c r="C978" t="str">
        <x:v>Pasted text(56).txt</x:v>
      </x:c>
    </x:row>
    <x:row r="979">
      <x:c r="A979" t="n">
        <x:v>978</x:v>
      </x:c>
      <x:c r="B979" s="106" t="str"/>
      <x:c r="C979" t="str">
        <x:v>Pasted text(56).txt</x:v>
      </x:c>
    </x:row>
    <x:row r="980">
      <x:c r="A980" t="n">
        <x:v>979</x:v>
      </x:c>
      <x:c r="B980" s="106" t="str">
        <x:v>RUN RESULT: PASS</x:v>
      </x:c>
      <x:c r="C980" t="str">
        <x:v>Pasted text(56).txt</x:v>
      </x:c>
    </x:row>
    <x:row r="981">
      <x:c r="A981" t="n">
        <x:v>980</x:v>
      </x:c>
      <x:c r="B981" s="106" t="str">
        <x:v>Selected DAC: 9.25</x:v>
      </x:c>
      <x:c r="C981" t="str">
        <x:v>Pasted text(56).txt</x:v>
      </x:c>
    </x:row>
    <x:row r="982">
      <x:c r="A982" t="n">
        <x:v>981</x:v>
      </x:c>
      <x:c r="B982" s="106" t="str">
        <x:v>Validated amplitude: 0.90256 m/s^2 | error 0.28 %</x:v>
      </x:c>
      <x:c r="C982" t="str">
        <x:v>Pasted text(56).txt</x:v>
      </x:c>
    </x:row>
    <x:row r="983">
      <x:c r="A983" t="n">
        <x:v>982</x:v>
      </x:c>
      <x:c r="B983" s="106" t="str">
        <x:v>FFT frequency: 268.03577 Hz | difference 0.03577 Hz</x:v>
      </x:c>
      <x:c r="C983" t="str">
        <x:v>Pasted text(56).txt</x:v>
      </x:c>
    </x:row>
    <x:row r="984">
      <x:c r="A984" t="n">
        <x:v>983</x:v>
      </x:c>
      <x:c r="B984" s="106" t="str"/>
      <x:c r="C984" t="str">
        <x:v>Pasted text(56).txt</x:v>
      </x:c>
    </x:row>
    <x:row r="985">
      <x:c r="A985" t="n">
        <x:v>984</x:v>
      </x:c>
      <x:c r="B985" s="106" t="str">
        <x:v>VISATON OFF. RESTING 5.0 s BEFORE THE NEXT COMPLETELY FRESH RUN.</x:v>
      </x:c>
      <x:c r="C985" t="str">
        <x:v>Pasted text(56).txt</x:v>
      </x:c>
    </x:row>
    <x:row r="986">
      <x:c r="A986" t="n">
        <x:v>985</x:v>
      </x:c>
      <x:c r="B986" s="106" t="str"/>
      <x:c r="C986" t="str">
        <x:v>Pasted text(56).txt</x:v>
      </x:c>
    </x:row>
    <x:row r="987">
      <x:c r="A987" t="n">
        <x:v>986</x:v>
      </x:c>
      <x:c r="B987" s="106" t="str">
        <x:v>################################################################################</x:v>
      </x:c>
      <x:c r="C987" t="str">
        <x:v>Pasted text(56).txt</x:v>
      </x:c>
    </x:row>
    <x:row r="988">
      <x:c r="A988" t="n">
        <x:v>987</x:v>
      </x:c>
      <x:c r="B988" s="106" t="str">
        <x:v>INDEPENDENT TARGET-AMPLITUDE RUN 5 OF 5</x:v>
      </x:c>
      <x:c r="C988" t="str">
        <x:v>Pasted text(56).txt</x:v>
      </x:c>
    </x:row>
    <x:row r="989">
      <x:c r="A989" t="n">
        <x:v>988</x:v>
      </x:c>
      <x:c r="B989" s="106" t="str">
        <x:v>################################################################################</x:v>
      </x:c>
      <x:c r="C989" t="str">
        <x:v>Pasted text(56).txt</x:v>
      </x:c>
    </x:row>
    <x:row r="990">
      <x:c r="A990" t="n">
        <x:v>989</x:v>
      </x:c>
      <x:c r="B990" s="106" t="str">
        <x:v>Frequency: 268.00000 Hz</x:v>
      </x:c>
      <x:c r="C990" t="str">
        <x:v>Pasted text(56).txt</x:v>
      </x:c>
    </x:row>
    <x:row r="991">
      <x:c r="A991" t="n">
        <x:v>990</x:v>
      </x:c>
      <x:c r="B991" s="106" t="str">
        <x:v>Target X amplitude: 0.90000 m/s^2 peak, tolerance +/-7.50 %</x:v>
      </x:c>
      <x:c r="C991" t="str">
        <x:v>Pasted text(56).txt</x:v>
      </x:c>
    </x:row>
    <x:row r="992">
      <x:c r="A992" t="n">
        <x:v>991</x:v>
      </x:c>
      <x:c r="B992" s="106" t="str">
        <x:v>This run starts from DAC 1.00 and ignores every earlier selected DAC.</x:v>
      </x:c>
      <x:c r="C992" t="str">
        <x:v>Pasted text(56).txt</x:v>
      </x:c>
    </x:row>
    <x:row r="993">
      <x:c r="A993" t="n">
        <x:v>992</x:v>
      </x:c>
      <x:c r="B993" s="106" t="str">
        <x:v>ADXL2 DEVID/DATA_FORMAT/BW_RATE/POWER_CTL: 0xE5 / 0xB / 0xE / 0x8</x:v>
      </x:c>
      <x:c r="C993" t="str">
        <x:v>Pasted text(56).txt</x:v>
      </x:c>
    </x:row>
    <x:row r="994">
      <x:c r="A994" t="n">
        <x:v>993</x:v>
      </x:c>
      <x:c r="B994" s="106" t="str"/>
      <x:c r="C994" t="str">
        <x:v>Pasted text(56).txt</x:v>
      </x:c>
    </x:row>
    <x:row r="995">
      <x:c r="A995" t="n">
        <x:v>994</x:v>
      </x:c>
      <x:c r="B995" s="106" t="str">
        <x:v>ACQUISITION ATTEMPT 1 OF 2</x:v>
      </x:c>
      <x:c r="C995" t="str">
        <x:v>Pasted text(56).txt</x:v>
      </x:c>
    </x:row>
    <x:row r="996">
      <x:c r="A996" t="n">
        <x:v>995</x:v>
      </x:c>
      <x:c r="B996" s="106" t="str"/>
      <x:c r="C996" t="str">
        <x:v>Pasted text(56).txt</x:v>
      </x:c>
    </x:row>
    <x:row r="997">
      <x:c r="A997" t="n">
        <x:v>996</x:v>
      </x:c>
      <x:c r="B997" s="106" t="str">
        <x:v>FRESH X-AXIS SEARCH FROM DAC 1.00 — OLD DAC VALUES ARE NOT USED</x:v>
      </x:c>
      <x:c r="C997" t="str">
        <x:v>Pasted text(56).txt</x:v>
      </x:c>
    </x:row>
    <x:row r="998">
      <x:c r="A998" t="n">
        <x:v>997</x:v>
      </x:c>
      <x:c r="B998" s="106" t="str">
        <x:v>Y/Z are diagnostic only and cannot abort this search.</x:v>
      </x:c>
      <x:c r="C998" t="str">
        <x:v>Pasted text(56).txt</x:v>
      </x:c>
    </x:row>
    <x:row r="999">
      <x:c r="A999" t="n">
        <x:v>998</x:v>
      </x:c>
      <x:c r="B999" s="106" t="str">
        <x:v>A real SPI fault, clipping, safety limit or confirmed X-response collapse will stop it.</x:v>
      </x:c>
      <x:c r="C999" t="str">
        <x:v>Pasted text(56).txt</x:v>
      </x:c>
    </x:row>
    <x:row r="1000">
      <x:c r="A1000" t="n">
        <x:v>999</x:v>
      </x:c>
      <x:c r="B1000" s="106" t="str">
        <x:v>SEARCH | point 1 | DAC 1.00 | CTRL X 0.01070 | X 0.01071 | Y 0.01504 | Z 0.02539 | TOTAL 0.03526 | error -98.81 % | MAD 126.63 % | CV 85.49 % | coh 5.8 % | dominant Z | axis fraction 42.2 % | BELOW MEASUREMENT FLOOR — SEARCH CONTINUES</x:v>
      </x:c>
      <x:c r="C1000" t="str">
        <x:v>Pasted text(56).txt</x:v>
      </x:c>
    </x:row>
    <x:row r="1001">
      <x:c r="A1001" t="n">
        <x:v>1000</x:v>
      </x:c>
      <x:c r="B1001" s="106" t="str">
        <x:v>SEARCH | point 2 | DAC 3.00 | CTRL X 0.15836 | X 0.16004 | Y 0.06774 | Z 0.11188 | TOTAL 0.20714 | error -82.40 % | MAD 4.50 % | CV 4.67 % | coh 56.8 % | dominant X | axis fraction 100.0 % | VALID</x:v>
      </x:c>
      <x:c r="C1001" t="str">
        <x:v>Pasted text(56).txt</x:v>
      </x:c>
    </x:row>
    <x:row r="1002">
      <x:c r="A1002" t="n">
        <x:v>1001</x:v>
      </x:c>
      <x:c r="B1002" s="106" t="str">
        <x:v>SEARCH | point 3 | DAC 5.00 | CTRL X 0.39439 | X 0.38902 | Y 0.15328 | Z 0.25992 | TOTAL 0.49279 | error -56.18 % | MAD 0.58 % | CV 2.74 % | coh 81.6 % | dominant X | axis fraction 100.0 % | VALID</x:v>
      </x:c>
      <x:c r="C1002" t="str">
        <x:v>Pasted text(56).txt</x:v>
      </x:c>
    </x:row>
    <x:row r="1003">
      <x:c r="A1003" t="n">
        <x:v>1002</x:v>
      </x:c>
      <x:c r="B1003" s="106" t="str">
        <x:v>SEARCH | point 4 | DAC 6.00 | CTRL X 0.51302 | X 0.51207 | Y 0.18632 | Z 0.32149 | TOTAL 0.63273 | error -43.00 % | MAD 4.53 % | CV 3.34 % | coh 86.6 % | dominant X | axis fraction 100.0 % | VALID</x:v>
      </x:c>
      <x:c r="C1003" t="str">
        <x:v>Pasted text(56).txt</x:v>
      </x:c>
    </x:row>
    <x:row r="1004">
      <x:c r="A1004" t="n">
        <x:v>1003</x:v>
      </x:c>
      <x:c r="B1004" s="106" t="str">
        <x:v>SEARCH | point 5 | DAC 7.00 | CTRL X 0.61401 | X 0.61441 | Y 0.21241 | Z 0.39240 | TOTAL 0.75955 | error -31.78 % | MAD 0.65 % | CV 0.54 % | coh 89.1 % | dominant X | axis fraction 100.0 % | VALID</x:v>
      </x:c>
      <x:c r="C1004" t="str">
        <x:v>Pasted text(56).txt</x:v>
      </x:c>
    </x:row>
    <x:row r="1005">
      <x:c r="A1005" t="n">
        <x:v>1004</x:v>
      </x:c>
      <x:c r="B1005" s="106" t="str">
        <x:v>SEARCH | point 6 | DAC 7.50 | CTRL X 0.66746 | X 0.66503 | Y 0.24789 | Z 0.41307 | TOTAL 0.82170 | error -25.84 % | MAD 0.07 % | CV 0.68 % | coh 89.5 % | dominant X | axis fraction 100.0 % | VALID</x:v>
      </x:c>
      <x:c r="C1005" t="str">
        <x:v>Pasted text(56).txt</x:v>
      </x:c>
    </x:row>
    <x:row r="1006">
      <x:c r="A1006" t="n">
        <x:v>1005</x:v>
      </x:c>
      <x:c r="B1006" s="106" t="str">
        <x:v>SEARCH | point 7 | DAC 8.00 | CTRL X 0.75142 | X 0.75236 | Y 0.25640 | Z 0.42672 | TOTAL 0.90228 | error -16.51 % | MAD 1.31 % | CV 1.08 % | coh 91.0 % | dominant X | axis fraction 100.0 % | VALID</x:v>
      </x:c>
      <x:c r="C1006" t="str">
        <x:v>Pasted text(56).txt</x:v>
      </x:c>
    </x:row>
    <x:row r="1007">
      <x:c r="A1007" t="n">
        <x:v>1006</x:v>
      </x:c>
      <x:c r="B1007" s="106" t="str">
        <x:v>SEARCH | point 8 | DAC 8.50 | CTRL X 0.78799 | X 0.79477 | Y 0.26909 | Z 0.47543 | TOTAL 0.96451 | error -12.45 % | MAD 1.13 % | CV 2.16 % | coh 90.9 % | dominant X | axis fraction 100.0 % | VALID</x:v>
      </x:c>
      <x:c r="C1007" t="str">
        <x:v>Pasted text(56).txt</x:v>
      </x:c>
    </x:row>
    <x:row r="1008">
      <x:c r="A1008" t="n">
        <x:v>1007</x:v>
      </x:c>
      <x:c r="B1008" s="106" t="str">
        <x:v>SEARCH | point 9 | DAC 8.75 | CTRL X 0.85490 | X 0.85503 | Y 0.29186 | Z 0.48285 | TOTAL 1.02449 | error -5.01 % | MAD 1.63 % | CV 1.13 % | coh 91.6 % | dominant X | axis fraction 100.0 % | IN TARGET BAND</x:v>
      </x:c>
      <x:c r="C1008" t="str">
        <x:v>Pasted text(56).txt</x:v>
      </x:c>
    </x:row>
    <x:row r="1009">
      <x:c r="A1009" t="n">
        <x:v>1008</x:v>
      </x:c>
      <x:c r="B1009" s="106" t="str"/>
      <x:c r="C1009" t="str">
        <x:v>Pasted text(56).txt</x:v>
      </x:c>
    </x:row>
    <x:row r="1010">
      <x:c r="A1010" t="n">
        <x:v>1009</x:v>
      </x:c>
      <x:c r="B1010" s="106" t="str">
        <x:v>LOCAL 0.25-DAC X-AXIS FINE SCAN</x:v>
      </x:c>
      <x:c r="C1010" t="str">
        <x:v>Pasted text(56).txt</x:v>
      </x:c>
    </x:row>
    <x:row r="1011">
      <x:c r="A1011" t="n">
        <x:v>1010</x:v>
      </x:c>
      <x:c r="B1011" s="106" t="str">
        <x:v>Only a valid point actually inside the X target band may be selected.</x:v>
      </x:c>
      <x:c r="C1011" t="str">
        <x:v>Pasted text(56).txt</x:v>
      </x:c>
    </x:row>
    <x:row r="1012">
      <x:c r="A1012" t="n">
        <x:v>1011</x:v>
      </x:c>
      <x:c r="B1012" s="106" t="str">
        <x:v>FINE | point 1 | DAC 7.75 | CTRL X 0.73106 | X 0.73004 | Y 0.25269 | Z 0.43504 | TOTAL 0.88689 | error -18.77 % | MAD 2.73 % | CV 2.06 % | coh 90.2 % | dominant X | axis fraction 100.0 % | VALID</x:v>
      </x:c>
      <x:c r="C1012" t="str">
        <x:v>Pasted text(56).txt</x:v>
      </x:c>
    </x:row>
    <x:row r="1013">
      <x:c r="A1013" t="n">
        <x:v>1012</x:v>
      </x:c>
      <x:c r="B1013" s="106" t="str">
        <x:v>FINE | point 2 | DAC 8.00 | CTRL X 0.74304 | X 0.74331 | Y 0.26835 | Z 0.43956 | TOTAL 0.90451 | error -17.44 % | MAD 3.56 % | CV 2.46 % | coh 90.3 % | dominant X | axis fraction 100.0 % | VALID</x:v>
      </x:c>
      <x:c r="C1013" t="str">
        <x:v>Pasted text(56).txt</x:v>
      </x:c>
    </x:row>
    <x:row r="1014">
      <x:c r="A1014" t="n">
        <x:v>1013</x:v>
      </x:c>
      <x:c r="B1014" s="106" t="str">
        <x:v>FINE | point 3 | DAC 8.25 | CTRL X 0.78293 | X 0.77826 | Y 0.26759 | Z 0.46398 | TOTAL 0.94516 | error -13.01 % | MAD 1.88 % | CV 2.24 % | coh 91.6 % | dominant X | axis fraction 100.0 % | VALID</x:v>
      </x:c>
      <x:c r="C1014" t="str">
        <x:v>Pasted text(56).txt</x:v>
      </x:c>
    </x:row>
    <x:row r="1015">
      <x:c r="A1015" t="n">
        <x:v>1014</x:v>
      </x:c>
      <x:c r="B1015" s="106" t="str">
        <x:v>FINE | point 4 | DAC 8.50 | CTRL X 0.78289 | X 0.78087 | Y 0.28330 | Z 0.48184 | TOTAL 0.96052 | error -13.01 % | MAD 1.65 % | CV 1.52 % | coh 90.2 % | dominant X | axis fraction 100.0 % | VALID</x:v>
      </x:c>
      <x:c r="C1015" t="str">
        <x:v>Pasted text(56).txt</x:v>
      </x:c>
    </x:row>
    <x:row r="1016">
      <x:c r="A1016" t="n">
        <x:v>1015</x:v>
      </x:c>
      <x:c r="B1016" s="106" t="str">
        <x:v>FINE | point 5 | DAC 8.75 | CTRL X 0.87194 | X 0.86428 | Y 0.30316 | Z 0.48660 | TOTAL 1.03716 | error -3.12 % | MAD 1.21 % | CV 2.29 % | coh 93.6 % | dominant X | axis fraction 100.0 % | IN TARGET BAND</x:v>
      </x:c>
      <x:c r="C1016" t="str">
        <x:v>Pasted text(56).txt</x:v>
      </x:c>
    </x:row>
    <x:row r="1017">
      <x:c r="A1017" t="n">
        <x:v>1016</x:v>
      </x:c>
      <x:c r="B1017" s="106" t="str">
        <x:v>FINE | point 6 | DAC 9.00 | CTRL X 0.88681 | X 0.88340 | Y 0.30452 | Z 0.51489 | TOTAL 1.06710 | error -1.47 % | MAD 0.21 % | CV 0.79 % | coh 91.8 % | dominant X | axis fraction 100.0 % | IN TARGET BAND</x:v>
      </x:c>
      <x:c r="C1017" t="str">
        <x:v>Pasted text(56).txt</x:v>
      </x:c>
    </x:row>
    <x:row r="1018">
      <x:c r="A1018" t="n">
        <x:v>1017</x:v>
      </x:c>
      <x:c r="B1018" s="106" t="str">
        <x:v>FINE | point 7 | DAC 9.25 | CTRL X 0.91739 | X 0.91498 | Y 0.31502 | Z 0.52506 | TOTAL 1.10119 | error 1.93 % | MAD 0.77 % | CV 0.94 % | coh 91.5 % | dominant X | axis fraction 100.0 % | IN TARGET BAND</x:v>
      </x:c>
      <x:c r="C1018" t="str">
        <x:v>Pasted text(56).txt</x:v>
      </x:c>
    </x:row>
    <x:row r="1019">
      <x:c r="A1019" t="n">
        <x:v>1018</x:v>
      </x:c>
      <x:c r="B1019" s="106" t="str">
        <x:v>FINE | point 8 | DAC 9.50 | CTRL X 0.93212 | X 0.93028 | Y 0.31548 | Z 0.54379 | TOTAL 1.12305 | error 3.57 % | MAD 0.15 % | CV 0.43 % | coh 93.3 % | dominant X | axis fraction 100.0 % | IN TARGET BAND</x:v>
      </x:c>
      <x:c r="C1019" t="str">
        <x:v>Pasted text(56).txt</x:v>
      </x:c>
    </x:row>
    <x:row r="1020">
      <x:c r="A1020" t="n">
        <x:v>1019</x:v>
      </x:c>
      <x:c r="B1020" s="106" t="str">
        <x:v>FINE | point 9 | DAC 9.75 | CTRL X 0.99063 | X 0.98911 | Y 0.33718 | Z 0.55909 | TOTAL 1.18519 | error 10.07 % | MAD 0.52 % | CV 0.60 % | coh 92.9 % | dominant X | axis fraction 100.0 % | VALID</x:v>
      </x:c>
      <x:c r="C1020" t="str">
        <x:v>Pasted text(56).txt</x:v>
      </x:c>
    </x:row>
    <x:row r="1021">
      <x:c r="A1021" t="n">
        <x:v>1020</x:v>
      </x:c>
      <x:c r="B1021" s="106" t="str"/>
      <x:c r="C1021" t="str">
        <x:v>Pasted text(56).txt</x:v>
      </x:c>
    </x:row>
    <x:row r="1022">
      <x:c r="A1022" t="n">
        <x:v>1021</x:v>
      </x:c>
      <x:c r="B1022" s="106" t="str">
        <x:v>LONG VALIDATION AT FIXED DAC 9.00</x:v>
      </x:c>
      <x:c r="C1022" t="str">
        <x:v>Pasted text(56).txt</x:v>
      </x:c>
    </x:row>
    <x:row r="1023">
      <x:c r="A1023" t="n">
        <x:v>1022</x:v>
      </x:c>
      <x:c r="B1023" s="106" t="str">
        <x:v>FINAL | point 1 | DAC 9.00 | CTRL X 0.87991 | X 0.88838 | Y 0.31072 | Z 0.51305 | TOTAL 1.07227 | error -2.23 % | MAD 0.94 % | CV 2.28 % | coh 91.5 % | dominant X | axis fraction 100.0 % | IN TARGET BAND</x:v>
      </x:c>
      <x:c r="C1023" t="str">
        <x:v>Pasted text(56).txt</x:v>
      </x:c>
    </x:row>
    <x:row r="1024">
      <x:c r="A1024" t="n">
        <x:v>1023</x:v>
      </x:c>
      <x:c r="B1024" s="106" t="str">
        <x:v>FINAL | point 2 | DAC 9.00 | CTRL X 0.88455 | X 0.88641 | Y 0.29505 | Z 0.51896 | TOTAL 1.06926 | error -1.72 % | MAD 1.26 % | CV 1.24 % | coh 93.0 % | dominant X | axis fraction 100.0 % | IN TARGET BAND</x:v>
      </x:c>
      <x:c r="C1024" t="str">
        <x:v>Pasted text(56).txt</x:v>
      </x:c>
    </x:row>
    <x:row r="1025">
      <x:c r="A1025" t="n">
        <x:v>1024</x:v>
      </x:c>
      <x:c r="B1025" s="106" t="str">
        <x:v>VALIDATION ACCEPTED | pair drift 0.53 %</x:v>
      </x:c>
      <x:c r="C1025" t="str">
        <x:v>Pasted text(56).txt</x:v>
      </x:c>
    </x:row>
    <x:row r="1026">
      <x:c r="A1026" t="n">
        <x:v>1025</x:v>
      </x:c>
      <x:c r="B1026" s="106" t="str"/>
      <x:c r="C1026" t="str">
        <x:v>Pasted text(56).txt</x:v>
      </x:c>
    </x:row>
    <x:row r="1027">
      <x:c r="A1027" t="n">
        <x:v>1026</x:v>
      </x:c>
      <x:c r="B1027" s="106" t="str">
        <x:v>FINAL VALIDATED BLIND FFT VERIFICATION</x:v>
      </x:c>
      <x:c r="C1027" t="str">
        <x:v>Pasted text(56).txt</x:v>
      </x:c>
    </x:row>
    <x:row r="1028">
      <x:c r="A1028" t="n">
        <x:v>1027</x:v>
      </x:c>
      <x:c r="B1028" s="106" t="str">
        <x:v>Commanded frequency: 268.00000 Hz</x:v>
      </x:c>
      <x:c r="C1028" t="str">
        <x:v>Pasted text(56).txt</x:v>
      </x:c>
    </x:row>
    <x:row r="1029">
      <x:c r="A1029" t="n">
        <x:v>1028</x:v>
      </x:c>
      <x:c r="B1029" s="106" t="str">
        <x:v>Accepted DAC: 9.00</x:v>
      </x:c>
      <x:c r="C1029" t="str">
        <x:v>Pasted text(56).txt</x:v>
      </x:c>
    </x:row>
    <x:row r="1030">
      <x:c r="A1030" t="n">
        <x:v>1029</x:v>
      </x:c>
      <x:c r="B1030" s="106" t="str">
        <x:v>Axis,Frequency_Hz,Amplitude_mps2,SNR_dB,Status</x:v>
      </x:c>
      <x:c r="C1030" t="str">
        <x:v>Pasted text(56).txt</x:v>
      </x:c>
    </x:row>
    <x:row r="1031">
      <x:c r="A1031" t="n">
        <x:v>1030</x:v>
      </x:c>
      <x:c r="B1031" s="106" t="str">
        <x:v>X,268.03773,0.79538,31.54,VALID</x:v>
      </x:c>
      <x:c r="C1031" t="str">
        <x:v>Pasted text(56).txt</x:v>
      </x:c>
    </x:row>
    <x:row r="1032">
      <x:c r="A1032" t="n">
        <x:v>1031</x:v>
      </x:c>
      <x:c r="B1032" s="106" t="str">
        <x:v>Y,268.05117,0.27148,23.05,VALID</x:v>
      </x:c>
      <x:c r="C1032" t="str">
        <x:v>Pasted text(56).txt</x:v>
      </x:c>
    </x:row>
    <x:row r="1033">
      <x:c r="A1033" t="n">
        <x:v>1032</x:v>
      </x:c>
      <x:c r="B1033" s="106" t="str">
        <x:v>Z,268.04180,0.46160,27.53,VALID</x:v>
      </x:c>
      <x:c r="C1033" t="str">
        <x:v>Pasted text(56).txt</x:v>
      </x:c>
    </x:row>
    <x:row r="1034">
      <x:c r="A1034" t="n">
        <x:v>1033</x:v>
      </x:c>
      <x:c r="B1034" s="106" t="str">
        <x:v>Combined frequency: 268.03976 Hz | difference 0.03976 Hz</x:v>
      </x:c>
      <x:c r="C1034" t="str">
        <x:v>Pasted text(56).txt</x:v>
      </x:c>
    </x:row>
    <x:row r="1035">
      <x:c r="A1035" t="n">
        <x:v>1034</x:v>
      </x:c>
      <x:c r="B1035" s="106" t="str">
        <x:v>Combined X/Y/Z/TOTAL: 0.72812 / 0.24912 / 0.42332 / 0.87830</x:v>
      </x:c>
      <x:c r="C1035" t="str">
        <x:v>Pasted text(56).txt</x:v>
      </x:c>
    </x:row>
    <x:row r="1036">
      <x:c r="A1036" t="n">
        <x:v>1035</x:v>
      </x:c>
      <x:c r="B1036" s="106" t="str">
        <x:v>SNR: 28.89 dB | dominant axis X</x:v>
      </x:c>
      <x:c r="C1036" t="str">
        <x:v>Pasted text(56).txt</x:v>
      </x:c>
    </x:row>
    <x:row r="1037">
      <x:c r="A1037" t="n">
        <x:v>1036</x:v>
      </x:c>
      <x:c r="B1037" s="106" t="str">
        <x:v>Frequency verification: PASS</x:v>
      </x:c>
      <x:c r="C1037" t="str">
        <x:v>Pasted text(56).txt</x:v>
      </x:c>
    </x:row>
    <x:row r="1038">
      <x:c r="A1038" t="n">
        <x:v>1037</x:v>
      </x:c>
      <x:c r="B1038" s="106" t="str">
        <x:v>Y/Z dominance: DIAGNOSTIC ONLY — ignored for pass/fail</x:v>
      </x:c>
      <x:c r="C1038" t="str">
        <x:v>Pasted text(56).txt</x:v>
      </x:c>
    </x:row>
    <x:row r="1039">
      <x:c r="A1039" t="n">
        <x:v>1038</x:v>
      </x:c>
      <x:c r="B1039" s="106" t="str"/>
      <x:c r="C1039" t="str">
        <x:v>Pasted text(56).txt</x:v>
      </x:c>
    </x:row>
    <x:row r="1040">
      <x:c r="A1040" t="n">
        <x:v>1039</x:v>
      </x:c>
      <x:c r="B1040" s="106" t="str">
        <x:v>FIXED-DAC HOLD VALIDATION</x:v>
      </x:c>
      <x:c r="C1040" t="str">
        <x:v>Pasted text(56).txt</x:v>
      </x:c>
    </x:row>
    <x:row r="1041">
      <x:c r="A1041" t="n">
        <x:v>1040</x:v>
      </x:c>
      <x:c r="B1041" s="106" t="str">
        <x:v>DAC remains fixed at 9.00 for 10 records.</x:v>
      </x:c>
      <x:c r="C1041" t="str">
        <x:v>Pasted text(56).txt</x:v>
      </x:c>
    </x:row>
    <x:row r="1042">
      <x:c r="A1042" t="n">
        <x:v>1041</x:v>
      </x:c>
      <x:c r="B1042" s="106" t="str">
        <x:v>HOLD | point 1 | DAC 9.00 | CTRL X 0.87243 | X 0.87745 | Y 0.30783 | Z 0.52108 | TOTAL 1.06597 | error -3.06 % | MAD 2.46 % | CV 2.56 % | coh 91.5 % | dominant X | axis fraction 100.0 % | IN TARGET BAND</x:v>
      </x:c>
      <x:c r="C1042" t="str">
        <x:v>Pasted text(56).txt</x:v>
      </x:c>
    </x:row>
    <x:row r="1043">
      <x:c r="A1043" t="n">
        <x:v>1042</x:v>
      </x:c>
      <x:c r="B1043" s="106" t="str">
        <x:v>HOLD | point 2 | DAC 9.00 | CTRL X 0.87284 | X 0.87846 | Y 0.30584 | Z 0.52345 | TOTAL 1.06748 | error -3.02 % | MAD 1.44 % | CV 2.00 % | coh 91.2 % | dominant X | axis fraction 100.0 % | IN TARGET BAND</x:v>
      </x:c>
      <x:c r="C1043" t="str">
        <x:v>Pasted text(56).txt</x:v>
      </x:c>
    </x:row>
    <x:row r="1044">
      <x:c r="A1044" t="n">
        <x:v>1043</x:v>
      </x:c>
      <x:c r="B1044" s="106" t="str">
        <x:v>HOLD | point 3 | DAC 9.00 | CTRL X 0.86016 | X 0.86642 | Y 0.29692 | Z 0.50029 | TOTAL 1.04456 | error -4.43 % | MAD 0.85 % | CV 1.77 % | coh 90.9 % | dominant X | axis fraction 100.0 % | IN TARGET BAND</x:v>
      </x:c>
      <x:c r="C1044" t="str">
        <x:v>Pasted text(56).txt</x:v>
      </x:c>
    </x:row>
    <x:row r="1045">
      <x:c r="A1045" t="n">
        <x:v>1044</x:v>
      </x:c>
      <x:c r="B1045" s="106" t="str">
        <x:v>HOLD | point 4 | DAC 9.00 | CTRL X 0.89187 | X 0.88368 | Y 0.30942 | Z 0.49779 | TOTAL 1.06064 | error -0.90 % | MAD 1.03 % | CV 2.24 % | coh 92.6 % | dominant X | axis fraction 100.0 % | IN TARGET BAND</x:v>
      </x:c>
      <x:c r="C1045" t="str">
        <x:v>Pasted text(56).txt</x:v>
      </x:c>
    </x:row>
    <x:row r="1046">
      <x:c r="A1046" t="n">
        <x:v>1045</x:v>
      </x:c>
      <x:c r="B1046" s="106" t="str">
        <x:v>HOLD | point 5 | DAC 9.00 | CTRL X 0.88617 | X 0.88371 | Y 0.30979 | Z 0.49718 | TOTAL 1.06026 | error -1.54 % | MAD 2.38 % | CV 2.04 % | coh 91.3 % | dominant X | axis fraction 100.0 % | IN TARGET BAND</x:v>
      </x:c>
      <x:c r="C1046" t="str">
        <x:v>Pasted text(56).txt</x:v>
      </x:c>
    </x:row>
    <x:row r="1047">
      <x:c r="A1047" t="n">
        <x:v>1046</x:v>
      </x:c>
      <x:c r="B1047" s="106" t="str">
        <x:v>HOLD | point 6 | DAC 9.00 | CTRL X 0.87876 | X 0.87695 | Y 0.31245 | Z 0.51876 | TOTAL 1.06594 | error -2.36 % | MAD 3.30 % | CV 2.55 % | coh 92.0 % | dominant X | axis fraction 100.0 % | IN TARGET BAND</x:v>
      </x:c>
      <x:c r="C1047" t="str">
        <x:v>Pasted text(56).txt</x:v>
      </x:c>
    </x:row>
    <x:row r="1048">
      <x:c r="A1048" t="n">
        <x:v>1047</x:v>
      </x:c>
      <x:c r="B1048" s="106" t="str">
        <x:v>HOLD | point 7 | DAC 9.00 | CTRL X 0.88427 | X 0.88454 | Y 0.32237 | Z 0.50250 | TOTAL 1.06745 | error -1.75 % | MAD 0.04 % | CV 0.08 % | coh 91.4 % | dominant X | axis fraction 100.0 % | IN TARGET BAND</x:v>
      </x:c>
      <x:c r="C1048" t="str">
        <x:v>Pasted text(56).txt</x:v>
      </x:c>
    </x:row>
    <x:row r="1049">
      <x:c r="A1049" t="n">
        <x:v>1048</x:v>
      </x:c>
      <x:c r="B1049" s="106" t="str">
        <x:v>HOLD | point 8 | DAC 9.00 | CTRL X 0.86950 | X 0.86883 | Y 0.28362 | Z 0.51491 | TOTAL 1.04930 | error -3.39 % | MAD 0.16 % | CV 0.23 % | coh 91.9 % | dominant X | axis fraction 100.0 % | IN TARGET BAND</x:v>
      </x:c>
      <x:c r="C1049" t="str">
        <x:v>Pasted text(56).txt</x:v>
      </x:c>
    </x:row>
    <x:row r="1050">
      <x:c r="A1050" t="n">
        <x:v>1049</x:v>
      </x:c>
      <x:c r="B1050" s="106" t="str">
        <x:v>HOLD | point 9 | DAC 9.00 | CTRL X 0.88315 | X 0.88111 | Y 0.31522 | Z 0.50802 | TOTAL 1.06507 | error -1.87 % | MAD 0.17 % | CV 0.50 % | coh 92.4 % | dominant X | axis fraction 100.0 % | IN TARGET BAND</x:v>
      </x:c>
      <x:c r="C1050" t="str">
        <x:v>Pasted text(56).txt</x:v>
      </x:c>
    </x:row>
    <x:row r="1051">
      <x:c r="A1051" t="n">
        <x:v>1050</x:v>
      </x:c>
      <x:c r="B1051" s="106" t="str">
        <x:v>HOLD | point 10 | DAC 9.00 | CTRL X 0.87539 | X 0.87505 | Y 0.29959 | Z 0.51563 | TOTAL 1.05913 | error -2.73 % | MAD 3.42 % | CV 2.37 % | coh 90.2 % | dominant X | axis fraction 100.0 % | IN TARGET BAND</x:v>
      </x:c>
      <x:c r="C1051" t="str">
        <x:v>Pasted text(56).txt</x:v>
      </x:c>
    </x:row>
    <x:row r="1052">
      <x:c r="A1052" t="n">
        <x:v>1051</x:v>
      </x:c>
      <x:c r="B1052" s="106" t="str"/>
      <x:c r="C1052" t="str">
        <x:v>Pasted text(56).txt</x:v>
      </x:c>
    </x:row>
    <x:row r="1053">
      <x:c r="A1053" t="n">
        <x:v>1052</x:v>
      </x:c>
      <x:c r="B1053" s="106" t="str">
        <x:v>HOLD SUMMARY</x:v>
      </x:c>
      <x:c r="C1053" t="str">
        <x:v>Pasted text(56).txt</x:v>
      </x:c>
    </x:row>
    <x:row r="1054">
      <x:c r="A1054" t="n">
        <x:v>1053</x:v>
      </x:c>
      <x:c r="B1054" s="106" t="str">
        <x:v>Valid / requested: 10 / 10</x:v>
      </x:c>
      <x:c r="C1054" t="str">
        <x:v>Pasted text(56).txt</x:v>
      </x:c>
    </x:row>
    <x:row r="1055">
      <x:c r="A1055" t="n">
        <x:v>1054</x:v>
      </x:c>
      <x:c r="B1055" s="106" t="str">
        <x:v>In band / requested: 10 / 10 = 100.0 %</x:v>
      </x:c>
      <x:c r="C1055" t="str">
        <x:v>Pasted text(56).txt</x:v>
      </x:c>
    </x:row>
    <x:row r="1056">
      <x:c r="A1056" t="n">
        <x:v>1055</x:v>
      </x:c>
      <x:c r="B1056" s="106" t="str">
        <x:v>Mean / SD / CV: 0.87745 / 0.00929 / 1.06 %</x:v>
      </x:c>
      <x:c r="C1056" t="str">
        <x:v>Pasted text(56).txt</x:v>
      </x:c>
    </x:row>
    <x:row r="1057">
      <x:c r="A1057" t="n">
        <x:v>1056</x:v>
      </x:c>
      <x:c r="B1057" s="106" t="str">
        <x:v>Min / Max: 0.86016 / 0.89187</x:v>
      </x:c>
      <x:c r="C1057" t="str">
        <x:v>Pasted text(56).txt</x:v>
      </x:c>
    </x:row>
    <x:row r="1058">
      <x:c r="A1058" t="n">
        <x:v>1057</x:v>
      </x:c>
      <x:c r="B1058" s="106" t="str">
        <x:v>HOLD RESULT: PASS</x:v>
      </x:c>
      <x:c r="C1058" t="str">
        <x:v>Pasted text(56).txt</x:v>
      </x:c>
    </x:row>
    <x:row r="1059">
      <x:c r="A1059" t="n">
        <x:v>1058</x:v>
      </x:c>
      <x:c r="B1059" s="106" t="str"/>
      <x:c r="C1059" t="str">
        <x:v>Pasted text(56).txt</x:v>
      </x:c>
    </x:row>
    <x:row r="1060">
      <x:c r="A1060" t="n">
        <x:v>1059</x:v>
      </x:c>
      <x:c r="B1060" s="106" t="str">
        <x:v>RUN RESULT: PASS</x:v>
      </x:c>
      <x:c r="C1060" t="str">
        <x:v>Pasted text(56).txt</x:v>
      </x:c>
    </x:row>
    <x:row r="1061">
      <x:c r="A1061" t="n">
        <x:v>1060</x:v>
      </x:c>
      <x:c r="B1061" s="106" t="str">
        <x:v>Selected DAC: 9.00</x:v>
      </x:c>
      <x:c r="C1061" t="str">
        <x:v>Pasted text(56).txt</x:v>
      </x:c>
    </x:row>
    <x:row r="1062">
      <x:c r="A1062" t="n">
        <x:v>1061</x:v>
      </x:c>
      <x:c r="B1062" s="106" t="str">
        <x:v>Validated amplitude: 0.88223 m/s^2 | error -1.97 %</x:v>
      </x:c>
      <x:c r="C1062" t="str">
        <x:v>Pasted text(56).txt</x:v>
      </x:c>
    </x:row>
    <x:row r="1063">
      <x:c r="A1063" t="n">
        <x:v>1062</x:v>
      </x:c>
      <x:c r="B1063" s="106" t="str">
        <x:v>FFT frequency: 268.03976 Hz | difference 0.03976 Hz</x:v>
      </x:c>
      <x:c r="C1063" t="str">
        <x:v>Pasted text(56).txt</x:v>
      </x:c>
    </x:row>
    <x:row r="1064">
      <x:c r="A1064" t="n">
        <x:v>1063</x:v>
      </x:c>
      <x:c r="B1064" s="106" t="str"/>
      <x:c r="C1064" t="str">
        <x:v>Pasted text(56).txt</x:v>
      </x:c>
    </x:row>
    <x:row r="1065">
      <x:c r="A1065" t="n">
        <x:v>1064</x:v>
      </x:c>
      <x:c r="B1065" s="106" t="str">
        <x:v>================================================================================</x:v>
      </x:c>
      <x:c r="C1065" t="str">
        <x:v>Pasted text(56).txt</x:v>
      </x:c>
    </x:row>
    <x:row r="1066">
      <x:c r="A1066" t="n">
        <x:v>1065</x:v>
      </x:c>
      <x:c r="B1066" s="106" t="str">
        <x:v>FINAL REPEATED TARGET-AMPLITUDE VALIDATION SUMMARY</x:v>
      </x:c>
      <x:c r="C1066" t="str">
        <x:v>Pasted text(56).txt</x:v>
      </x:c>
    </x:row>
    <x:row r="1067">
      <x:c r="A1067" t="n">
        <x:v>1066</x:v>
      </x:c>
      <x:c r="B1067" s="106" t="str">
        <x:v>================================================================================</x:v>
      </x:c>
      <x:c r="C1067" t="str">
        <x:v>Pasted text(56).txt</x:v>
      </x:c>
    </x:row>
    <x:row r="1068">
      <x:c r="A1068" t="n">
        <x:v>1067</x:v>
      </x:c>
      <x:c r="B1068" s="106" t="str">
        <x:v>Run,Pass,Selected_DAC,Validated_Amp,Error_pct,FFT_Hz,FFT_Diff_Hz,FFT_SNR_dB,Hold_Mean,Hold_CV_pct,Hold_InBand_pct,Reason</x:v>
      </x:c>
      <x:c r="C1068" t="str">
        <x:v>Pasted text(56).txt</x:v>
      </x:c>
    </x:row>
    <x:row r="1069">
      <x:c r="A1069" t="n">
        <x:v>1068</x:v>
      </x:c>
      <x:c r="B1069" s="106" t="str">
        <x:v>1,PASS,9.50,0.89918,-0.09,268.02906,0.02906,29.23,0.90623,1.63,100.0,PASS</x:v>
      </x:c>
      <x:c r="C1069" t="str">
        <x:v>Pasted text(56).txt</x:v>
      </x:c>
    </x:row>
    <x:row r="1070">
      <x:c r="A1070" t="n">
        <x:v>1069</x:v>
      </x:c>
      <x:c r="B1070" s="106" t="str">
        <x:v>2,PASS,9.50,0.90699,0.78,268.02839,0.02839,29.47,0.91415,1.54,100.0,PASS</x:v>
      </x:c>
      <x:c r="C1070" t="str">
        <x:v>Pasted text(56).txt</x:v>
      </x:c>
    </x:row>
    <x:row r="1071">
      <x:c r="A1071" t="n">
        <x:v>1070</x:v>
      </x:c>
      <x:c r="B1071" s="106" t="str">
        <x:v>3,PASS,9.25,0.90489,0.54,268.01933,0.01933,29.26,0.89466,1.15,100.0,PASS</x:v>
      </x:c>
      <x:c r="C1071" t="str">
        <x:v>Pasted text(56).txt</x:v>
      </x:c>
    </x:row>
    <x:row r="1072">
      <x:c r="A1072" t="n">
        <x:v>1071</x:v>
      </x:c>
      <x:c r="B1072" s="106" t="str">
        <x:v>4,PASS,9.25,0.90256,0.28,268.03577,0.03577,29.30,0.90533,0.90,100.0,PASS</x:v>
      </x:c>
      <x:c r="C1072" t="str">
        <x:v>Pasted text(56).txt</x:v>
      </x:c>
    </x:row>
    <x:row r="1073">
      <x:c r="A1073" t="n">
        <x:v>1072</x:v>
      </x:c>
      <x:c r="B1073" s="106" t="str">
        <x:v>5,PASS,9.00,0.88223,-1.97,268.03976,0.03976,28.89,0.87745,1.06,100.0,PASS</x:v>
      </x:c>
      <x:c r="C1073" t="str">
        <x:v>Pasted text(56).txt</x:v>
      </x:c>
    </x:row>
    <x:row r="1074">
      <x:c r="A1074" t="n">
        <x:v>1073</x:v>
      </x:c>
      <x:c r="B1074" s="106" t="str">
        <x:v>--------------------------------------------------------------------------------</x:v>
      </x:c>
      <x:c r="C1074" t="str">
        <x:v>Pasted text(56).txt</x:v>
      </x:c>
    </x:row>
    <x:row r="1075">
      <x:c r="A1075" t="n">
        <x:v>1074</x:v>
      </x:c>
      <x:c r="B1075" s="106" t="str">
        <x:v>Successful independent runs: 5 / 5</x:v>
      </x:c>
      <x:c r="C1075" t="str">
        <x:v>Pasted text(56).txt</x:v>
      </x:c>
    </x:row>
    <x:row r="1076">
      <x:c r="A1076" t="n">
        <x:v>1075</x:v>
      </x:c>
      <x:c r="B1076" s="106" t="str">
        <x:v>Validated amplitude mean +/- SD: 0.89917 +/- 0.00990 m/s^2 peak</x:v>
      </x:c>
      <x:c r="C1076" t="str">
        <x:v>Pasted text(56).txt</x:v>
      </x:c>
    </x:row>
    <x:row r="1077">
      <x:c r="A1077" t="n">
        <x:v>1076</x:v>
      </x:c>
      <x:c r="B1077" s="106" t="str">
        <x:v>Across-run amplitude CV: 1.10 %</x:v>
      </x:c>
      <x:c r="C1077" t="str">
        <x:v>Pasted text(56).txt</x:v>
      </x:c>
    </x:row>
    <x:row r="1078">
      <x:c r="A1078" t="n">
        <x:v>1077</x:v>
      </x:c>
      <x:c r="B1078" s="106" t="str">
        <x:v>Maximum absolute target error: 1.97 %</x:v>
      </x:c>
      <x:c r="C1078" t="str">
        <x:v>Pasted text(56).txt</x:v>
      </x:c>
    </x:row>
    <x:row r="1079">
      <x:c r="A1079" t="n">
        <x:v>1078</x:v>
      </x:c>
      <x:c r="B1079" s="106" t="str">
        <x:v>FFT frequency mean +/- SD: 268.03046 +/- 0.00782 Hz</x:v>
      </x:c>
      <x:c r="C1079" t="str">
        <x:v>Pasted text(56).txt</x:v>
      </x:c>
    </x:row>
    <x:row r="1080">
      <x:c r="A1080" t="n">
        <x:v>1079</x:v>
      </x:c>
      <x:c r="B1080" s="106" t="str">
        <x:v>Selected DAC range: 9.00 to 9.50</x:v>
      </x:c>
      <x:c r="C1080" t="str">
        <x:v>Pasted text(56).txt</x:v>
      </x:c>
    </x:row>
    <x:row r="1081">
      <x:c r="A1081" t="n">
        <x:v>1080</x:v>
      </x:c>
      <x:c r="B1081" s="106" t="str">
        <x:v>Average hold records in target band: 100.0 %</x:v>
      </x:c>
      <x:c r="C1081" t="str">
        <x:v>Pasted text(56).txt</x:v>
      </x:c>
    </x:row>
    <x:row r="1082">
      <x:c r="A1082" t="n">
        <x:v>1081</x:v>
      </x:c>
      <x:c r="B1082" s="106" t="str">
        <x:v>OVERALL VERDICT: EXCELLENT REPRODUCIBLE TARGET-AMPLITUDE ACQUISITION.</x:v>
      </x:c>
      <x:c r="C1082" t="str">
        <x:v>Pasted text(56).txt</x:v>
      </x:c>
    </x:row>
    <x:row r="1083">
      <x:c r="A1083" t="n">
        <x:v>1082</x:v>
      </x:c>
      <x:c r="B1083" s="106" t="str">
        <x:v>X-axis amplitude matching is repeatable; phase testing may follow after one independent confirmation session.</x:v>
      </x:c>
      <x:c r="C1083" t="str">
        <x:v>Pasted text(56).txt</x:v>
      </x:c>
    </x:row>
    <x:row r="1084">
      <x:c r="A1084" t="n">
        <x:v>1083</x:v>
      </x:c>
      <x:c r="B1084" s="106" t="str"/>
      <x:c r="C1084" t="str">
        <x:v>Pasted text(56).txt</x:v>
      </x:c>
    </x:row>
    <x:row r="1085">
      <x:c r="A1085" t="n">
        <x:v>1084</x:v>
      </x:c>
      <x:c r="B1085" s="106" t="str">
        <x:v>Automatic test complete. Enter h for commands.</x:v>
      </x:c>
      <x:c r="C1085" t="str">
        <x:v>Pasted text(56).txt</x:v>
      </x:c>
    </x:row>
    <x:row r="1086">
      <x:c r="A1086" t="n">
        <x:v>1085</x:v>
      </x:c>
      <x:c r="B1086" s="106" t="str">
        <x:v>Target amplitude set to 1.20000 m/s^2 peak.</x:v>
      </x:c>
      <x:c r="C1086" t="str">
        <x:v>Pasted text(56).txt</x:v>
      </x:c>
    </x:row>
    <x:row r="1087">
      <x:c r="A1087" t="n">
        <x:v>1086</x:v>
      </x:c>
      <x:c r="B1087" s="106" t="str"/>
      <x:c r="C1087" t="str">
        <x:v>Pasted text(56).txt</x:v>
      </x:c>
    </x:row>
    <x:row r="1088">
      <x:c r="A1088" t="n">
        <x:v>1087</x:v>
      </x:c>
      <x:c r="B1088" s="106" t="str">
        <x:v>================================================================================</x:v>
      </x:c>
      <x:c r="C1088" t="str">
        <x:v>Pasted text(56).txt</x:v>
      </x:c>
    </x:row>
    <x:row r="1089">
      <x:c r="A1089" t="n">
        <x:v>1088</x:v>
      </x:c>
      <x:c r="B1089" s="106" t="str">
        <x:v>REPEATED INDEPENDENT TARGET-AMPLITUDE VALIDATION STARTED</x:v>
      </x:c>
      <x:c r="C1089" t="str">
        <x:v>Pasted text(56).txt</x:v>
      </x:c>
    </x:row>
    <x:row r="1090">
      <x:c r="A1090" t="n">
        <x:v>1089</x:v>
      </x:c>
      <x:c r="B1090" s="106" t="str">
        <x:v>================================================================================</x:v>
      </x:c>
      <x:c r="C1090" t="str">
        <x:v>Pasted text(56).txt</x:v>
      </x:c>
    </x:row>
    <x:row r="1091">
      <x:c r="A1091" t="n">
        <x:v>1090</x:v>
      </x:c>
      <x:c r="B1091" s="106" t="str"/>
      <x:c r="C1091" t="str">
        <x:v>Pasted text(56).txt</x:v>
      </x:c>
    </x:row>
    <x:row r="1092">
      <x:c r="A1092" t="n">
        <x:v>1091</x:v>
      </x:c>
      <x:c r="B1092" s="106" t="str">
        <x:v>CURRENT SETTINGS</x:v>
      </x:c>
      <x:c r="C1092" t="str">
        <x:v>Pasted text(56).txt</x:v>
      </x:c>
    </x:row>
    <x:row r="1093">
      <x:c r="A1093" t="n">
        <x:v>1092</x:v>
      </x:c>
      <x:c r="B1093" s="106" t="str">
        <x:v>Frequency: 268.00000 Hz</x:v>
      </x:c>
      <x:c r="C1093" t="str">
        <x:v>Pasted text(56).txt</x:v>
      </x:c>
    </x:row>
    <x:row r="1094">
      <x:c r="A1094" t="n">
        <x:v>1093</x:v>
      </x:c>
      <x:c r="B1094" s="106" t="str">
        <x:v>Control axis: X ONLY (Y/Z diagnostic only)</x:v>
      </x:c>
      <x:c r="C1094" t="str">
        <x:v>Pasted text(56).txt</x:v>
      </x:c>
    </x:row>
    <x:row r="1095">
      <x:c r="A1095" t="n">
        <x:v>1094</x:v>
      </x:c>
      <x:c r="B1095" s="106" t="str">
        <x:v>Target peak amplitude: 1.20000 m/s^2</x:v>
      </x:c>
      <x:c r="C1095" t="str">
        <x:v>Pasted text(56).txt</x:v>
      </x:c>
    </x:row>
    <x:row r="1096">
      <x:c r="A1096" t="n">
        <x:v>1095</x:v>
      </x:c>
      <x:c r="B1096" s="106" t="str">
        <x:v>Tolerance: +/-7.50 %</x:v>
      </x:c>
      <x:c r="C1096" t="str">
        <x:v>Pasted text(56).txt</x:v>
      </x:c>
    </x:row>
    <x:row r="1097">
      <x:c r="A1097" t="n">
        <x:v>1096</x:v>
      </x:c>
      <x:c r="B1097" s="106" t="str">
        <x:v>Allowed amplitude band: 1.11000 to 1.29000 m/s^2 peak</x:v>
      </x:c>
      <x:c r="C1097" t="str">
        <x:v>Pasted text(56).txt</x:v>
      </x:c>
    </x:row>
    <x:row r="1098">
      <x:c r="A1098" t="n">
        <x:v>1097</x:v>
      </x:c>
      <x:c r="B1098" s="106" t="str">
        <x:v>Independent runs: 5</x:v>
      </x:c>
      <x:c r="C1098" t="str">
        <x:v>Pasted text(56).txt</x:v>
      </x:c>
    </x:row>
    <x:row r="1099">
      <x:c r="A1099" t="n">
        <x:v>1098</x:v>
      </x:c>
      <x:c r="B1099" s="106" t="str">
        <x:v>Hold records per run: 10</x:v>
      </x:c>
      <x:c r="C1099" t="str">
        <x:v>Pasted text(56).txt</x:v>
      </x:c>
    </x:row>
    <x:row r="1100">
      <x:c r="A1100" t="n">
        <x:v>1099</x:v>
      </x:c>
      <x:c r="B1100" s="106" t="str">
        <x:v>DAC search range/resolution: 1.00 to 30.00 / 0.25</x:v>
      </x:c>
      <x:c r="C1100" t="str">
        <x:v>Pasted text(56).txt</x:v>
      </x:c>
    </x:row>
    <x:row r="1101">
      <x:c r="A1101" t="n">
        <x:v>1100</x:v>
      </x:c>
      <x:c r="B1101" s="106" t="str">
        <x:v>FFT bin resolution: 1.56250 Hz; accepted command-to-bin difference &lt;= 2.00 Hz</x:v>
      </x:c>
      <x:c r="C1101" t="str">
        <x:v>Pasted text(56).txt</x:v>
      </x:c>
    </x:row>
    <x:row r="1102">
      <x:c r="A1102" t="n">
        <x:v>1101</x:v>
      </x:c>
      <x:c r="B1102" s="106" t="str">
        <x:v>Every run starts from DAC 1.00. Different selected DACs are allowed.</x:v>
      </x:c>
      <x:c r="C1102" t="str">
        <x:v>Pasted text(56).txt</x:v>
      </x:c>
    </x:row>
    <x:row r="1103">
      <x:c r="A1103" t="n">
        <x:v>1102</x:v>
      </x:c>
      <x:c r="B1103" s="106" t="str">
        <x:v>The accepted result is X-axis amplitude and X-axis frequency, not DAC.</x:v>
      </x:c>
      <x:c r="C1103" t="str">
        <x:v>Pasted text(56).txt</x:v>
      </x:c>
    </x:row>
    <x:row r="1104">
      <x:c r="A1104" t="n">
        <x:v>1103</x:v>
      </x:c>
      <x:c r="B1104" s="106" t="str"/>
      <x:c r="C1104" t="str">
        <x:v>Pasted text(56).txt</x:v>
      </x:c>
    </x:row>
    <x:row r="1105">
      <x:c r="A1105" t="n">
        <x:v>1104</x:v>
      </x:c>
      <x:c r="B1105" s="106" t="str">
        <x:v>################################################################################</x:v>
      </x:c>
      <x:c r="C1105" t="str">
        <x:v>Pasted text(56).txt</x:v>
      </x:c>
    </x:row>
    <x:row r="1106">
      <x:c r="A1106" t="n">
        <x:v>1105</x:v>
      </x:c>
      <x:c r="B1106" s="106" t="str">
        <x:v>INDEPENDENT TARGET-AMPLITUDE RUN 1 OF 5</x:v>
      </x:c>
      <x:c r="C1106" t="str">
        <x:v>Pasted text(56).txt</x:v>
      </x:c>
    </x:row>
    <x:row r="1107">
      <x:c r="A1107" t="n">
        <x:v>1106</x:v>
      </x:c>
      <x:c r="B1107" s="106" t="str">
        <x:v>################################################################################</x:v>
      </x:c>
      <x:c r="C1107" t="str">
        <x:v>Pasted text(56).txt</x:v>
      </x:c>
    </x:row>
    <x:row r="1108">
      <x:c r="A1108" t="n">
        <x:v>1107</x:v>
      </x:c>
      <x:c r="B1108" s="106" t="str">
        <x:v>Frequency: 268.00000 Hz</x:v>
      </x:c>
      <x:c r="C1108" t="str">
        <x:v>Pasted text(56).txt</x:v>
      </x:c>
    </x:row>
    <x:row r="1109">
      <x:c r="A1109" t="n">
        <x:v>1108</x:v>
      </x:c>
      <x:c r="B1109" s="106" t="str">
        <x:v>Target X amplitude: 1.20000 m/s^2 peak, tolerance +/-7.50 %</x:v>
      </x:c>
      <x:c r="C1109" t="str">
        <x:v>Pasted text(56).txt</x:v>
      </x:c>
    </x:row>
    <x:row r="1110">
      <x:c r="A1110" t="n">
        <x:v>1109</x:v>
      </x:c>
      <x:c r="B1110" s="106" t="str">
        <x:v>This run starts from DAC 1.00 and ignores every earlier selected DAC.</x:v>
      </x:c>
      <x:c r="C1110" t="str">
        <x:v>Pasted text(56).txt</x:v>
      </x:c>
    </x:row>
    <x:row r="1111">
      <x:c r="A1111" t="n">
        <x:v>1110</x:v>
      </x:c>
      <x:c r="B1111" s="106" t="str">
        <x:v>ADXL2 DEVID/DATA_FORMAT/BW_RATE/POWER_CTL: 0xE5 / 0xB / 0xE / 0x8</x:v>
      </x:c>
      <x:c r="C1111" t="str">
        <x:v>Pasted text(56).txt</x:v>
      </x:c>
    </x:row>
    <x:row r="1112">
      <x:c r="A1112" t="n">
        <x:v>1111</x:v>
      </x:c>
      <x:c r="B1112" s="106" t="str"/>
      <x:c r="C1112" t="str">
        <x:v>Pasted text(56).txt</x:v>
      </x:c>
    </x:row>
    <x:row r="1113">
      <x:c r="A1113" t="n">
        <x:v>1112</x:v>
      </x:c>
      <x:c r="B1113" s="106" t="str">
        <x:v>ACQUISITION ATTEMPT 1 OF 2</x:v>
      </x:c>
      <x:c r="C1113" t="str">
        <x:v>Pasted text(56).txt</x:v>
      </x:c>
    </x:row>
    <x:row r="1114">
      <x:c r="A1114" t="n">
        <x:v>1113</x:v>
      </x:c>
      <x:c r="B1114" s="106" t="str"/>
      <x:c r="C1114" t="str">
        <x:v>Pasted text(56).txt</x:v>
      </x:c>
    </x:row>
    <x:row r="1115">
      <x:c r="A1115" t="n">
        <x:v>1114</x:v>
      </x:c>
      <x:c r="B1115" s="106" t="str">
        <x:v>FRESH X-AXIS SEARCH FROM DAC 1.00 — OLD DAC VALUES ARE NOT USED</x:v>
      </x:c>
      <x:c r="C1115" t="str">
        <x:v>Pasted text(56).txt</x:v>
      </x:c>
    </x:row>
    <x:row r="1116">
      <x:c r="A1116" t="n">
        <x:v>1115</x:v>
      </x:c>
      <x:c r="B1116" s="106" t="str">
        <x:v>Y/Z are diagnostic only and cannot abort this search.</x:v>
      </x:c>
      <x:c r="C1116" t="str">
        <x:v>Pasted text(56).txt</x:v>
      </x:c>
    </x:row>
    <x:row r="1117">
      <x:c r="A1117" t="n">
        <x:v>1116</x:v>
      </x:c>
      <x:c r="B1117" s="106" t="str">
        <x:v>A real SPI fault, clipping, safety limit or confirmed X-response collapse will stop it.</x:v>
      </x:c>
      <x:c r="C1117" t="str">
        <x:v>Pasted text(56).txt</x:v>
      </x:c>
    </x:row>
    <x:row r="1118">
      <x:c r="A1118" t="n">
        <x:v>1117</x:v>
      </x:c>
      <x:c r="B1118" s="106" t="str">
        <x:v>SEARCH | point 1 | DAC 1.00 | CTRL X 0.00923 | X 0.01068 | Y 0.01343 | Z 0.01922 | TOTAL 0.02614 | error -99.23 % | MAD 70.93 % | CV 62.79 % | coh 5.7 % | dominant Z | axis fraction 55.6 % | BELOW MEASUREMENT FLOOR — SEARCH CONTINUES</x:v>
      </x:c>
      <x:c r="C1118" t="str">
        <x:v>Pasted text(56).txt</x:v>
      </x:c>
    </x:row>
    <x:row r="1119">
      <x:c r="A1119" t="n">
        <x:v>1118</x:v>
      </x:c>
      <x:c r="B1119" s="106" t="str">
        <x:v>SEARCH | point 2 | DAC 3.00 | CTRL X 0.17307 | X 0.18077 | Y 0.07169 | Z 0.12440 | TOTAL 0.23133 | error -85.58 % | MAD 4.36 % | CV 9.92 % | coh 61.3 % | dominant X | axis fraction 100.0 % | VALID</x:v>
      </x:c>
      <x:c r="C1119" t="str">
        <x:v>Pasted text(56).txt</x:v>
      </x:c>
    </x:row>
    <x:row r="1120">
      <x:c r="A1120" t="n">
        <x:v>1119</x:v>
      </x:c>
      <x:c r="B1120" s="106" t="str">
        <x:v>SEARCH | point 3 | DAC 5.00 | CTRL X 0.41575 | X 0.41404 | Y 0.13409 | Z 0.26659 | TOTAL 0.51052 | error -65.35 % | MAD 4.83 % | CV 3.91 % | coh 84.6 % | dominant X | axis fraction 100.0 % | VALID</x:v>
      </x:c>
      <x:c r="C1120" t="str">
        <x:v>Pasted text(56).txt</x:v>
      </x:c>
    </x:row>
    <x:row r="1121">
      <x:c r="A1121" t="n">
        <x:v>1120</x:v>
      </x:c>
      <x:c r="B1121" s="106" t="str">
        <x:v>SEARCH | point 4 | DAC 6.00 | CTRL X 0.50901 | X 0.50777 | Y 0.19467 | Z 0.34704 | TOTAL 0.64544 | error -57.58 % | MAD 6.68 % | CV 4.88 % | coh 86.8 % | dominant X | axis fraction 100.0 % | VALID</x:v>
      </x:c>
      <x:c r="C1121" t="str">
        <x:v>Pasted text(56).txt</x:v>
      </x:c>
    </x:row>
    <x:row r="1122">
      <x:c r="A1122" t="n">
        <x:v>1121</x:v>
      </x:c>
      <x:c r="B1122" s="106" t="str">
        <x:v>SEARCH | point 5 | DAC 7.00 | CTRL X 0.62757 | X 0.62644 | Y 0.21744 | Z 0.36478 | TOTAL 0.75696 | error -47.70 % | MAD 0.17 % | CV 0.42 % | coh 90.7 % | dominant X | axis fraction 100.0 % | VALID</x:v>
      </x:c>
      <x:c r="C1122" t="str">
        <x:v>Pasted text(56).txt</x:v>
      </x:c>
    </x:row>
    <x:row r="1123">
      <x:c r="A1123" t="n">
        <x:v>1122</x:v>
      </x:c>
      <x:c r="B1123" s="106" t="str">
        <x:v>SEARCH | point 6 | DAC 8.00 | CTRL X 0.75781 | X 0.76040 | Y 0.25227 | Z 0.44557 | TOTAL 0.91678 | error -36.85 % | MAD 2.40 % | CV 2.14 % | coh 91.0 % | dominant X | axis fraction 100.0 % | VALID</x:v>
      </x:c>
      <x:c r="C1123" t="str">
        <x:v>Pasted text(56).txt</x:v>
      </x:c>
    </x:row>
    <x:row r="1124">
      <x:c r="A1124" t="n">
        <x:v>1123</x:v>
      </x:c>
      <x:c r="B1124" s="106" t="str">
        <x:v>SEARCH | point 7 | DAC 8.50 | CTRL X 0.82436 | X 0.82422 | Y 0.26832 | Z 0.44982 | TOTAL 0.97677 | error -31.30 % | MAD 2.10 % | CV 1.44 % | coh 91.4 % | dominant X | axis fraction 100.0 % | VALID</x:v>
      </x:c>
      <x:c r="C1124" t="str">
        <x:v>Pasted text(56).txt</x:v>
      </x:c>
    </x:row>
    <x:row r="1125">
      <x:c r="A1125" t="n">
        <x:v>1124</x:v>
      </x:c>
      <x:c r="B1125" s="106" t="str">
        <x:v>SEARCH | point 8 | DAC 9.00 | CTRL X 0.89907 | X 0.89113 | Y 0.30071 | Z 0.49472 | TOTAL 1.06271 | error -25.08 % | MAD 2.15 % | CV 2.90 % | coh 91.7 % | dominant X | axis fraction 100.0 % | VALID</x:v>
      </x:c>
      <x:c r="C1125" t="str">
        <x:v>Pasted text(56).txt</x:v>
      </x:c>
    </x:row>
    <x:row r="1126">
      <x:c r="A1126" t="n">
        <x:v>1125</x:v>
      </x:c>
      <x:c r="B1126" s="106" t="str">
        <x:v>SEARCH | point 9 | DAC 9.50 | CTRL X 0.93717 | X 0.93877 | Y 0.30288 | Z 0.51380 | TOTAL 1.11236 | error -21.90 % | MAD 1.85 % | CV 1.51 % | coh 91.2 % | dominant X | axis fraction 100.0 % | VALID</x:v>
      </x:c>
      <x:c r="C1126" t="str">
        <x:v>Pasted text(56).txt</x:v>
      </x:c>
    </x:row>
    <x:row r="1127">
      <x:c r="A1127" t="n">
        <x:v>1126</x:v>
      </x:c>
      <x:c r="B1127" s="106" t="str">
        <x:v>SEARCH | point 10 | DAC 10.00 | CTRL X 1.02228 | X 1.02364 | Y 0.33767 | Z 0.57338 | TOTAL 1.22096 | error -14.81 % | MAD 0.59 % | CV 0.60 % | coh 93.0 % | dominant X | axis fraction 100.0 % | VALID</x:v>
      </x:c>
      <x:c r="C1127" t="str">
        <x:v>Pasted text(56).txt</x:v>
      </x:c>
    </x:row>
    <x:row r="1128">
      <x:c r="A1128" t="n">
        <x:v>1127</x:v>
      </x:c>
      <x:c r="B1128" s="106" t="str">
        <x:v>SEARCH | point 11 | DAC 10.25 | CTRL X 1.05896 | X 1.05814 | Y 0.33522 | Z 0.58394 | TOTAL 1.25423 | error -11.75 % | MAD 1.50 % | CV 1.13 % | coh 92.7 % | dominant X | axis fraction 100.0 % | VALID</x:v>
      </x:c>
      <x:c r="C1128" t="str">
        <x:v>Pasted text(56).txt</x:v>
      </x:c>
    </x:row>
    <x:row r="1129">
      <x:c r="A1129" t="n">
        <x:v>1128</x:v>
      </x:c>
      <x:c r="B1129" s="106" t="str">
        <x:v>SEARCH | point 12 | DAC 10.50 | CTRL X 1.06851 | X 1.06725 | Y 0.35185 | Z 0.56440 | TOTAL 1.25775 | error -10.96 % | MAD 0.52 % | CV 0.54 % | coh 93.6 % | dominant X | axis fraction 100.0 % | VALID</x:v>
      </x:c>
      <x:c r="C1129" t="str">
        <x:v>Pasted text(56).txt</x:v>
      </x:c>
    </x:row>
    <x:row r="1130">
      <x:c r="A1130" t="n">
        <x:v>1129</x:v>
      </x:c>
      <x:c r="B1130" s="106" t="str">
        <x:v>SEARCH | point 13 | DAC 10.75 | CTRL X 1.11876 | X 1.12271 | Y 0.38408 | Z 0.61120 | TOTAL 1.33483 | error -6.77 % | MAD 0.91 % | CV 1.18 % | coh 93.0 % | dominant X | axis fraction 100.0 % | IN TARGET BAND</x:v>
      </x:c>
      <x:c r="C1130" t="str">
        <x:v>Pasted text(56).txt</x:v>
      </x:c>
    </x:row>
    <x:row r="1131">
      <x:c r="A1131" t="n">
        <x:v>1130</x:v>
      </x:c>
      <x:c r="B1131" s="106" t="str"/>
      <x:c r="C1131" t="str">
        <x:v>Pasted text(56).txt</x:v>
      </x:c>
    </x:row>
    <x:row r="1132">
      <x:c r="A1132" t="n">
        <x:v>1131</x:v>
      </x:c>
      <x:c r="B1132" s="106" t="str">
        <x:v>LOCAL 0.25-DAC X-AXIS FINE SCAN</x:v>
      </x:c>
      <x:c r="C1132" t="str">
        <x:v>Pasted text(56).txt</x:v>
      </x:c>
    </x:row>
    <x:row r="1133">
      <x:c r="A1133" t="n">
        <x:v>1132</x:v>
      </x:c>
      <x:c r="B1133" s="106" t="str">
        <x:v>Only a valid point actually inside the X target band may be selected.</x:v>
      </x:c>
      <x:c r="C1133" t="str">
        <x:v>Pasted text(56).txt</x:v>
      </x:c>
    </x:row>
    <x:row r="1134">
      <x:c r="A1134" t="n">
        <x:v>1133</x:v>
      </x:c>
      <x:c r="B1134" s="106" t="str">
        <x:v>FINE | point 1 | DAC 9.75 | CTRL X 1.00358 | X 1.00069 | Y 0.33481 | Z 0.53882 | TOTAL 1.18488 | error -16.37 % | MAD 0.68 % | CV 0.93 % | coh 93.3 % | dominant X | axis fraction 100.0 % | VALID</x:v>
      </x:c>
      <x:c r="C1134" t="str">
        <x:v>Pasted text(56).txt</x:v>
      </x:c>
    </x:row>
    <x:row r="1135">
      <x:c r="A1135" t="n">
        <x:v>1134</x:v>
      </x:c>
      <x:c r="B1135" s="106" t="str">
        <x:v>FINE | point 2 | DAC 10.00 | CTRL X 1.03656 | X 1.03236 | Y 0.32915 | Z 0.56291 | TOTAL 1.22112 | error -13.62 % | MAD 0.53 % | CV 1.03 % | coh 93.1 % | dominant X | axis fraction 100.0 % | VALID</x:v>
      </x:c>
      <x:c r="C1135" t="str">
        <x:v>Pasted text(56).txt</x:v>
      </x:c>
    </x:row>
    <x:row r="1136">
      <x:c r="A1136" t="n">
        <x:v>1135</x:v>
      </x:c>
      <x:c r="B1136" s="106" t="str">
        <x:v>FINE | point 3 | DAC 10.25 | CTRL X 1.04828 | X 1.05174 | Y 0.33539 | Z 0.59534 | TOTAL 1.25435 | error -12.64 % | MAD 0.62 % | CV 0.96 % | coh 92.5 % | dominant X | axis fraction 100.0 % | VALID</x:v>
      </x:c>
      <x:c r="C1136" t="str">
        <x:v>Pasted text(56).txt</x:v>
      </x:c>
    </x:row>
    <x:row r="1137">
      <x:c r="A1137" t="n">
        <x:v>1136</x:v>
      </x:c>
      <x:c r="B1137" s="106" t="str">
        <x:v>FINE | point 4 | DAC 10.50 | CTRL X 1.08191 | X 1.08142 | Y 0.35024 | Z 0.60070 | TOTAL 1.28579 | error -9.84 % | MAD 0.02 % | CV 0.09 % | coh 93.1 % | dominant X | axis fraction 100.0 % | VALID</x:v>
      </x:c>
      <x:c r="C1137" t="str">
        <x:v>Pasted text(56).txt</x:v>
      </x:c>
    </x:row>
    <x:row r="1138">
      <x:c r="A1138" t="n">
        <x:v>1137</x:v>
      </x:c>
      <x:c r="B1138" s="106" t="str">
        <x:v>FINE | point 5 | DAC 10.75 | CTRL X 1.12219 | X 1.12697 | Y 0.36188 | Z 0.59491 | TOTAL 1.32483 | error -6.48 % | MAD 1.50 % | CV 1.68 % | coh 93.8 % | dominant X | axis fraction 100.0 % | IN TARGET BAND</x:v>
      </x:c>
      <x:c r="C1138" t="str">
        <x:v>Pasted text(56).txt</x:v>
      </x:c>
    </x:row>
    <x:row r="1139">
      <x:c r="A1139" t="n">
        <x:v>1138</x:v>
      </x:c>
      <x:c r="B1139" s="106" t="str">
        <x:v>FINE | point 6 | DAC 11.00 | CTRL X 1.15071 | X 1.15344 | Y 0.38544 | Z 0.61415 | TOTAL 1.36253 | error -4.11 % | MAD 1.33 % | CV 1.27 % | coh 92.4 % | dominant X | axis fraction 100.0 % | IN TARGET BAND</x:v>
      </x:c>
      <x:c r="C1139" t="str">
        <x:v>Pasted text(56).txt</x:v>
      </x:c>
    </x:row>
    <x:row r="1140">
      <x:c r="A1140" t="n">
        <x:v>1139</x:v>
      </x:c>
      <x:c r="B1140" s="106" t="str">
        <x:v>FINE | point 7 | DAC 11.25 | CTRL X 1.19178 | X 1.19869 | Y 0.38909 | Z 0.63596 | TOTAL 1.41207 | error -0.68 % | MAD 0.81 % | CV 1.49 % | coh 94.5 % | dominant X | axis fraction 100.0 % | IN TARGET BAND</x:v>
      </x:c>
      <x:c r="C1140" t="str">
        <x:v>Pasted text(56).txt</x:v>
      </x:c>
    </x:row>
    <x:row r="1141">
      <x:c r="A1141" t="n">
        <x:v>1140</x:v>
      </x:c>
      <x:c r="B1141" s="106" t="str">
        <x:v>FINE | point 8 | DAC 11.50 | CTRL X 1.21496 | X 1.21030 | Y 0.37302 | Z 0.64070 | TOTAL 1.41943 | error 1.25 % | MAD 0.01 % | CV 0.67 % | coh 93.4 % | dominant X | axis fraction 100.0 % | IN TARGET BAND</x:v>
      </x:c>
      <x:c r="C1141" t="str">
        <x:v>Pasted text(56).txt</x:v>
      </x:c>
    </x:row>
    <x:row r="1142">
      <x:c r="A1142" t="n">
        <x:v>1141</x:v>
      </x:c>
      <x:c r="B1142" s="106" t="str">
        <x:v>FINE | point 9 | DAC 11.75 | CTRL X 1.25622 | X 1.26056 | Y 0.39988 | Z 0.66853 | TOTAL 1.48196 | error 4.68 % | MAD 0.70 % | CV 1.03 % | coh 94.2 % | dominant X | axis fraction 100.0 % | IN TARGET BAND</x:v>
      </x:c>
      <x:c r="C1142" t="str">
        <x:v>Pasted text(56).txt</x:v>
      </x:c>
    </x:row>
    <x:row r="1143">
      <x:c r="A1143" t="n">
        <x:v>1142</x:v>
      </x:c>
      <x:c r="B1143" s="106" t="str"/>
      <x:c r="C1143" t="str">
        <x:v>Pasted text(56).txt</x:v>
      </x:c>
    </x:row>
    <x:row r="1144">
      <x:c r="A1144" t="n">
        <x:v>1143</x:v>
      </x:c>
      <x:c r="B1144" s="106" t="str">
        <x:v>LONG VALIDATION AT FIXED DAC 11.50</x:v>
      </x:c>
      <x:c r="C1144" t="str">
        <x:v>Pasted text(56).txt</x:v>
      </x:c>
    </x:row>
    <x:row r="1145">
      <x:c r="A1145" t="n">
        <x:v>1144</x:v>
      </x:c>
      <x:c r="B1145" s="106" t="str">
        <x:v>FINAL | point 1 | DAC 11.50 | CTRL X 1.20585 | X 1.20951 | Y 0.39672 | Z 0.65162 | TOTAL 1.43020 | error 0.49 % | MAD 0.73 % | CV 1.15 % | coh 93.9 % | dominant X | axis fraction 100.0 % | IN TARGET BAND</x:v>
      </x:c>
      <x:c r="C1145" t="str">
        <x:v>Pasted text(56).txt</x:v>
      </x:c>
    </x:row>
    <x:row r="1146">
      <x:c r="A1146" t="n">
        <x:v>1145</x:v>
      </x:c>
      <x:c r="B1146" s="106" t="str">
        <x:v>FINAL | point 2 | DAC 11.50 | CTRL X 1.20774 | X 1.20487 | Y 0.38681 | Z 0.64823 | TOTAL 1.42185 | error 0.64 % | MAD 1.65 % | CV 1.39 % | coh 93.5 % | dominant X | axis fraction 100.0 % | IN TARGET BAND</x:v>
      </x:c>
      <x:c r="C1146" t="str">
        <x:v>Pasted text(56).txt</x:v>
      </x:c>
    </x:row>
    <x:row r="1147">
      <x:c r="A1147" t="n">
        <x:v>1146</x:v>
      </x:c>
      <x:c r="B1147" s="106" t="str">
        <x:v>VALIDATION ACCEPTED | pair drift 0.16 %</x:v>
      </x:c>
      <x:c r="C1147" t="str">
        <x:v>Pasted text(56).txt</x:v>
      </x:c>
    </x:row>
    <x:row r="1148">
      <x:c r="A1148" t="n">
        <x:v>1147</x:v>
      </x:c>
      <x:c r="B1148" s="106" t="str"/>
      <x:c r="C1148" t="str">
        <x:v>Pasted text(56).txt</x:v>
      </x:c>
    </x:row>
    <x:row r="1149">
      <x:c r="A1149" t="n">
        <x:v>1148</x:v>
      </x:c>
      <x:c r="B1149" s="106" t="str">
        <x:v>FINAL VALIDATED BLIND FFT VERIFICATION</x:v>
      </x:c>
      <x:c r="C1149" t="str">
        <x:v>Pasted text(56).txt</x:v>
      </x:c>
    </x:row>
    <x:row r="1150">
      <x:c r="A1150" t="n">
        <x:v>1149</x:v>
      </x:c>
      <x:c r="B1150" s="106" t="str">
        <x:v>Commanded frequency: 268.00000 Hz</x:v>
      </x:c>
      <x:c r="C1150" t="str">
        <x:v>Pasted text(56).txt</x:v>
      </x:c>
    </x:row>
    <x:row r="1151">
      <x:c r="A1151" t="n">
        <x:v>1150</x:v>
      </x:c>
      <x:c r="B1151" s="106" t="str">
        <x:v>Accepted DAC: 11.50</x:v>
      </x:c>
      <x:c r="C1151" t="str">
        <x:v>Pasted text(56).txt</x:v>
      </x:c>
    </x:row>
    <x:row r="1152">
      <x:c r="A1152" t="n">
        <x:v>1151</x:v>
      </x:c>
      <x:c r="B1152" s="106" t="str">
        <x:v>Axis,Frequency_Hz,Amplitude_mps2,SNR_dB,Status</x:v>
      </x:c>
      <x:c r="C1152" t="str">
        <x:v>Pasted text(56).txt</x:v>
      </x:c>
    </x:row>
    <x:row r="1153">
      <x:c r="A1153" t="n">
        <x:v>1152</x:v>
      </x:c>
      <x:c r="B1153" s="106" t="str">
        <x:v>X,268.01070,1.09409,32.37,VALID</x:v>
      </x:c>
      <x:c r="C1153" t="str">
        <x:v>Pasted text(56).txt</x:v>
      </x:c>
    </x:row>
    <x:row r="1154">
      <x:c r="A1154" t="n">
        <x:v>1153</x:v>
      </x:c>
      <x:c r="B1154" s="106" t="str">
        <x:v>Y,268.03188,0.35350,25.68,VALID</x:v>
      </x:c>
      <x:c r="C1154" t="str">
        <x:v>Pasted text(56).txt</x:v>
      </x:c>
    </x:row>
    <x:row r="1155">
      <x:c r="A1155" t="n">
        <x:v>1154</x:v>
      </x:c>
      <x:c r="B1155" s="106" t="str">
        <x:v>Z,268.03495,0.59503,29.85,VALID</x:v>
      </x:c>
      <x:c r="C1155" t="str">
        <x:v>Pasted text(56).txt</x:v>
      </x:c>
    </x:row>
    <x:row r="1156">
      <x:c r="A1156" t="n">
        <x:v>1155</x:v>
      </x:c>
      <x:c r="B1156" s="106" t="str">
        <x:v>Combined frequency: 268.01745 Hz | difference 0.01745 Hz</x:v>
      </x:c>
      <x:c r="C1156" t="str">
        <x:v>Pasted text(56).txt</x:v>
      </x:c>
    </x:row>
    <x:row r="1157">
      <x:c r="A1157" t="n">
        <x:v>1156</x:v>
      </x:c>
      <x:c r="B1157" s="106" t="str">
        <x:v>Combined X/Y/Z/TOTAL: 0.99600 / 0.32308 / 0.54469 / 1.18029</x:v>
      </x:c>
      <x:c r="C1157" t="str">
        <x:v>Pasted text(56).txt</x:v>
      </x:c>
    </x:row>
    <x:row r="1158">
      <x:c r="A1158" t="n">
        <x:v>1157</x:v>
      </x:c>
      <x:c r="B1158" s="106" t="str">
        <x:v>SNR: 30.78 dB | dominant axis X</x:v>
      </x:c>
      <x:c r="C1158" t="str">
        <x:v>Pasted text(56).txt</x:v>
      </x:c>
    </x:row>
    <x:row r="1159">
      <x:c r="A1159" t="n">
        <x:v>1158</x:v>
      </x:c>
      <x:c r="B1159" s="106" t="str">
        <x:v>Frequency verification: PASS</x:v>
      </x:c>
      <x:c r="C1159" t="str">
        <x:v>Pasted text(56).txt</x:v>
      </x:c>
    </x:row>
    <x:row r="1160">
      <x:c r="A1160" t="n">
        <x:v>1159</x:v>
      </x:c>
      <x:c r="B1160" s="106" t="str">
        <x:v>Y/Z dominance: DIAGNOSTIC ONLY — ignored for pass/fail</x:v>
      </x:c>
      <x:c r="C1160" t="str">
        <x:v>Pasted text(56).txt</x:v>
      </x:c>
    </x:row>
    <x:row r="1161">
      <x:c r="A1161" t="n">
        <x:v>1160</x:v>
      </x:c>
      <x:c r="B1161" s="106" t="str"/>
      <x:c r="C1161" t="str">
        <x:v>Pasted text(56).txt</x:v>
      </x:c>
    </x:row>
    <x:row r="1162">
      <x:c r="A1162" t="n">
        <x:v>1161</x:v>
      </x:c>
      <x:c r="B1162" s="106" t="str">
        <x:v>FIXED-DAC HOLD VALIDATION</x:v>
      </x:c>
      <x:c r="C1162" t="str">
        <x:v>Pasted text(56).txt</x:v>
      </x:c>
    </x:row>
    <x:row r="1163">
      <x:c r="A1163" t="n">
        <x:v>1162</x:v>
      </x:c>
      <x:c r="B1163" s="106" t="str">
        <x:v>DAC remains fixed at 11.50 for 10 records.</x:v>
      </x:c>
      <x:c r="C1163" t="str">
        <x:v>Pasted text(56).txt</x:v>
      </x:c>
    </x:row>
    <x:row r="1164">
      <x:c r="A1164" t="n">
        <x:v>1163</x:v>
      </x:c>
      <x:c r="B1164" s="106" t="str">
        <x:v>HOLD | point 1 | DAC 11.50 | CTRL X 1.19785 | X 1.19790 | Y 0.40371 | Z 0.65556 | TOTAL 1.42404 | error -0.18 % | MAD 0.86 % | CV 0.59 % | coh 93.6 % | dominant X | axis fraction 100.0 % | IN TARGET BAND</x:v>
      </x:c>
      <x:c r="C1164" t="str">
        <x:v>Pasted text(56).txt</x:v>
      </x:c>
    </x:row>
    <x:row r="1165">
      <x:c r="A1165" t="n">
        <x:v>1164</x:v>
      </x:c>
      <x:c r="B1165" s="106" t="str">
        <x:v>HOLD | point 2 | DAC 11.50 | CTRL X 1.20193 | X 1.20556 | Y 0.37919 | Z 0.64858 | TOTAL 1.42064 | error 0.16 % | MAD 0.03 % | CV 0.54 % | coh 93.5 % | dominant X | axis fraction 100.0 % | IN TARGET BAND</x:v>
      </x:c>
      <x:c r="C1165" t="str">
        <x:v>Pasted text(56).txt</x:v>
      </x:c>
    </x:row>
    <x:row r="1166">
      <x:c r="A1166" t="n">
        <x:v>1165</x:v>
      </x:c>
      <x:c r="B1166" s="106" t="str">
        <x:v>HOLD | point 3 | DAC 11.50 | CTRL X 1.20078 | X 1.21104 | Y 0.39262 | Z 0.64370 | TOTAL 1.42695 | error 0.07 % | MAD 0.35 % | CV 1.67 % | coh 93.7 % | dominant X | axis fraction 100.0 % | IN TARGET BAND</x:v>
      </x:c>
      <x:c r="C1166" t="str">
        <x:v>Pasted text(56).txt</x:v>
      </x:c>
    </x:row>
    <x:row r="1167">
      <x:c r="A1167" t="n">
        <x:v>1166</x:v>
      </x:c>
      <x:c r="B1167" s="106" t="str">
        <x:v>HOLD | point 4 | DAC 11.50 | CTRL X 1.19816 | X 1.20770 | Y 0.39986 | Z 0.66001 | TOTAL 1.43340 | error -0.15 % | MAD 1.64 % | CV 2.38 % | coh 93.2 % | dominant X | axis fraction 100.0 % | IN TARGET BAND</x:v>
      </x:c>
      <x:c r="C1167" t="str">
        <x:v>Pasted text(56).txt</x:v>
      </x:c>
    </x:row>
    <x:row r="1168">
      <x:c r="A1168" t="n">
        <x:v>1167</x:v>
      </x:c>
      <x:c r="B1168" s="106" t="str">
        <x:v>HOLD | point 5 | DAC 11.50 | CTRL X 1.19133 | X 1.19979 | Y 0.38791 | Z 0.63652 | TOTAL 1.41258 | error -0.72 % | MAD 1.35 % | CV 2.06 % | coh 93.7 % | dominant X | axis fraction 100.0 % | IN TARGET BAND</x:v>
      </x:c>
      <x:c r="C1168" t="str">
        <x:v>Pasted text(56).txt</x:v>
      </x:c>
    </x:row>
    <x:row r="1169">
      <x:c r="A1169" t="n">
        <x:v>1168</x:v>
      </x:c>
      <x:c r="B1169" s="106" t="str">
        <x:v>HOLD | point 6 | DAC 11.50 | CTRL X 1.21061 | X 1.20630 | Y 0.39058 | Z 0.66239 | TOTAL 1.43066 | error 0.88 % | MAD 0.15 % | CV 0.71 % | coh 92.9 % | dominant X | axis fraction 100.0 % | IN TARGET BAND</x:v>
      </x:c>
      <x:c r="C1169" t="str">
        <x:v>Pasted text(56).txt</x:v>
      </x:c>
    </x:row>
    <x:row r="1170">
      <x:c r="A1170" t="n">
        <x:v>1169</x:v>
      </x:c>
      <x:c r="B1170" s="106" t="str">
        <x:v>HOLD | point 7 | DAC 11.50 | CTRL X 1.20469 | X 1.20348 | Y 0.38691 | Z 0.66161 | TOTAL 1.42696 | error 0.39 % | MAD 2.77 % | CV 2.02 % | coh 93.3 % | dominant X | axis fraction 100.0 % | IN TARGET BAND</x:v>
      </x:c>
      <x:c r="C1170" t="str">
        <x:v>Pasted text(56).txt</x:v>
      </x:c>
    </x:row>
    <x:row r="1171">
      <x:c r="A1171" t="n">
        <x:v>1170</x:v>
      </x:c>
      <x:c r="B1171" s="106" t="str">
        <x:v>HOLD | point 8 | DAC 11.50 | CTRL X 1.21177 | X 1.21765 | Y 0.39423 | Z 0.63647 | TOTAL 1.42977 | error 0.98 % | MAD 0.65 % | CV 1.23 % | coh 93.8 % | dominant X | axis fraction 100.0 % | IN TARGET BAND</x:v>
      </x:c>
      <x:c r="C1171" t="str">
        <x:v>Pasted text(56).txt</x:v>
      </x:c>
    </x:row>
    <x:row r="1172">
      <x:c r="A1172" t="n">
        <x:v>1171</x:v>
      </x:c>
      <x:c r="B1172" s="106" t="str">
        <x:v>HOLD | point 9 | DAC 11.50 | CTRL X 1.21161 | X 1.21283 | Y 0.39326 | Z 0.63855 | TOTAL 1.42603 | error 0.97 % | MAD 1.44 % | CV 1.12 % | coh 93.4 % | dominant X | axis fraction 100.0 % | IN TARGET BAND</x:v>
      </x:c>
      <x:c r="C1172" t="str">
        <x:v>Pasted text(56).txt</x:v>
      </x:c>
    </x:row>
    <x:row r="1173">
      <x:c r="A1173" t="n">
        <x:v>1172</x:v>
      </x:c>
      <x:c r="B1173" s="106" t="str">
        <x:v>HOLD | point 10 | DAC 11.50 | CTRL X 1.20296 | X 1.19912 | Y 0.37668 | Z 0.65884 | TOTAL 1.41952 | error 0.25 % | MAD 0.77 % | CV 1.04 % | coh 92.1 % | dominant X | axis fraction 100.0 % | IN TARGET BAND</x:v>
      </x:c>
      <x:c r="C1173" t="str">
        <x:v>Pasted text(56).txt</x:v>
      </x:c>
    </x:row>
    <x:row r="1174">
      <x:c r="A1174" t="n">
        <x:v>1173</x:v>
      </x:c>
      <x:c r="B1174" s="106" t="str"/>
      <x:c r="C1174" t="str">
        <x:v>Pasted text(56).txt</x:v>
      </x:c>
    </x:row>
    <x:row r="1175">
      <x:c r="A1175" t="n">
        <x:v>1174</x:v>
      </x:c>
      <x:c r="B1175" s="106" t="str">
        <x:v>HOLD SUMMARY</x:v>
      </x:c>
      <x:c r="C1175" t="str">
        <x:v>Pasted text(56).txt</x:v>
      </x:c>
    </x:row>
    <x:row r="1176">
      <x:c r="A1176" t="n">
        <x:v>1175</x:v>
      </x:c>
      <x:c r="B1176" s="106" t="str">
        <x:v>Valid / requested: 10 / 10</x:v>
      </x:c>
      <x:c r="C1176" t="str">
        <x:v>Pasted text(56).txt</x:v>
      </x:c>
    </x:row>
    <x:row r="1177">
      <x:c r="A1177" t="n">
        <x:v>1176</x:v>
      </x:c>
      <x:c r="B1177" s="106" t="str">
        <x:v>In band / requested: 10 / 10 = 100.0 %</x:v>
      </x:c>
      <x:c r="C1177" t="str">
        <x:v>Pasted text(56).txt</x:v>
      </x:c>
    </x:row>
    <x:row r="1178">
      <x:c r="A1178" t="n">
        <x:v>1177</x:v>
      </x:c>
      <x:c r="B1178" s="106" t="str">
        <x:v>Mean / SD / CV: 1.20317 / 0.00670 / 0.56 %</x:v>
      </x:c>
      <x:c r="C1178" t="str">
        <x:v>Pasted text(56).txt</x:v>
      </x:c>
    </x:row>
    <x:row r="1179">
      <x:c r="A1179" t="n">
        <x:v>1178</x:v>
      </x:c>
      <x:c r="B1179" s="106" t="str">
        <x:v>Min / Max: 1.19133 / 1.21177</x:v>
      </x:c>
      <x:c r="C1179" t="str">
        <x:v>Pasted text(56).txt</x:v>
      </x:c>
    </x:row>
    <x:row r="1180">
      <x:c r="A1180" t="n">
        <x:v>1179</x:v>
      </x:c>
      <x:c r="B1180" s="106" t="str">
        <x:v>HOLD RESULT: PASS</x:v>
      </x:c>
      <x:c r="C1180" t="str">
        <x:v>Pasted text(56).txt</x:v>
      </x:c>
    </x:row>
    <x:row r="1181">
      <x:c r="A1181" t="n">
        <x:v>1180</x:v>
      </x:c>
      <x:c r="B1181" s="106" t="str"/>
      <x:c r="C1181" t="str">
        <x:v>Pasted text(56).txt</x:v>
      </x:c>
    </x:row>
    <x:row r="1182">
      <x:c r="A1182" t="n">
        <x:v>1181</x:v>
      </x:c>
      <x:c r="B1182" s="106" t="str">
        <x:v>RUN RESULT: PASS</x:v>
      </x:c>
      <x:c r="C1182" t="str">
        <x:v>Pasted text(56).txt</x:v>
      </x:c>
    </x:row>
    <x:row r="1183">
      <x:c r="A1183" t="n">
        <x:v>1182</x:v>
      </x:c>
      <x:c r="B1183" s="106" t="str">
        <x:v>Selected DAC: 11.50</x:v>
      </x:c>
      <x:c r="C1183" t="str">
        <x:v>Pasted text(56).txt</x:v>
      </x:c>
    </x:row>
    <x:row r="1184">
      <x:c r="A1184" t="n">
        <x:v>1183</x:v>
      </x:c>
      <x:c r="B1184" s="106" t="str">
        <x:v>Validated amplitude: 1.20679 m/s^2 | error 0.57 %</x:v>
      </x:c>
      <x:c r="C1184" t="str">
        <x:v>Pasted text(56).txt</x:v>
      </x:c>
    </x:row>
    <x:row r="1185">
      <x:c r="A1185" t="n">
        <x:v>1184</x:v>
      </x:c>
      <x:c r="B1185" s="106" t="str">
        <x:v>FFT frequency: 268.01745 Hz | difference 0.01745 Hz</x:v>
      </x:c>
      <x:c r="C1185" t="str">
        <x:v>Pasted text(56).txt</x:v>
      </x:c>
    </x:row>
    <x:row r="1186">
      <x:c r="A1186" t="n">
        <x:v>1185</x:v>
      </x:c>
      <x:c r="B1186" s="106" t="str"/>
      <x:c r="C1186" t="str">
        <x:v>Pasted text(56).txt</x:v>
      </x:c>
    </x:row>
    <x:row r="1187">
      <x:c r="A1187" t="n">
        <x:v>1186</x:v>
      </x:c>
      <x:c r="B1187" s="106" t="str">
        <x:v>VISATON OFF. RESTING 5.0 s BEFORE THE NEXT COMPLETELY FRESH RUN.</x:v>
      </x:c>
      <x:c r="C1187" t="str">
        <x:v>Pasted text(56).txt</x:v>
      </x:c>
    </x:row>
    <x:row r="1188">
      <x:c r="A1188" t="n">
        <x:v>1187</x:v>
      </x:c>
      <x:c r="B1188" s="106" t="str"/>
      <x:c r="C1188" t="str">
        <x:v>Pasted text(56).txt</x:v>
      </x:c>
    </x:row>
    <x:row r="1189">
      <x:c r="A1189" t="n">
        <x:v>1188</x:v>
      </x:c>
      <x:c r="B1189" s="106" t="str">
        <x:v>################################################################################</x:v>
      </x:c>
      <x:c r="C1189" t="str">
        <x:v>Pasted text(56).txt</x:v>
      </x:c>
    </x:row>
    <x:row r="1190">
      <x:c r="A1190" t="n">
        <x:v>1189</x:v>
      </x:c>
      <x:c r="B1190" s="106" t="str">
        <x:v>INDEPENDENT TARGET-AMPLITUDE RUN 2 OF 5</x:v>
      </x:c>
      <x:c r="C1190" t="str">
        <x:v>Pasted text(56).txt</x:v>
      </x:c>
    </x:row>
    <x:row r="1191">
      <x:c r="A1191" t="n">
        <x:v>1190</x:v>
      </x:c>
      <x:c r="B1191" s="106" t="str">
        <x:v>################################################################################</x:v>
      </x:c>
      <x:c r="C1191" t="str">
        <x:v>Pasted text(56).txt</x:v>
      </x:c>
    </x:row>
    <x:row r="1192">
      <x:c r="A1192" t="n">
        <x:v>1191</x:v>
      </x:c>
      <x:c r="B1192" s="106" t="str">
        <x:v>Frequency: 268.00000 Hz</x:v>
      </x:c>
      <x:c r="C1192" t="str">
        <x:v>Pasted text(56).txt</x:v>
      </x:c>
    </x:row>
    <x:row r="1193">
      <x:c r="A1193" t="n">
        <x:v>1192</x:v>
      </x:c>
      <x:c r="B1193" s="106" t="str">
        <x:v>Target X amplitude: 1.20000 m/s^2 peak, tolerance +/-7.50 %</x:v>
      </x:c>
      <x:c r="C1193" t="str">
        <x:v>Pasted text(56).txt</x:v>
      </x:c>
    </x:row>
    <x:row r="1194">
      <x:c r="A1194" t="n">
        <x:v>1193</x:v>
      </x:c>
      <x:c r="B1194" s="106" t="str">
        <x:v>This run starts from DAC 1.00 and ignores every earlier selected DAC.</x:v>
      </x:c>
      <x:c r="C1194" t="str">
        <x:v>Pasted text(56).txt</x:v>
      </x:c>
    </x:row>
    <x:row r="1195">
      <x:c r="A1195" t="n">
        <x:v>1194</x:v>
      </x:c>
      <x:c r="B1195" s="106" t="str">
        <x:v>ADXL2 DEVID/DATA_FORMAT/BW_RATE/POWER_CTL: 0xE5 / 0xB / 0xE / 0x8</x:v>
      </x:c>
      <x:c r="C1195" t="str">
        <x:v>Pasted text(56).txt</x:v>
      </x:c>
    </x:row>
    <x:row r="1196">
      <x:c r="A1196" t="n">
        <x:v>1195</x:v>
      </x:c>
      <x:c r="B1196" s="106" t="str"/>
      <x:c r="C1196" t="str">
        <x:v>Pasted text(56).txt</x:v>
      </x:c>
    </x:row>
    <x:row r="1197">
      <x:c r="A1197" t="n">
        <x:v>1196</x:v>
      </x:c>
      <x:c r="B1197" s="106" t="str">
        <x:v>ACQUISITION ATTEMPT 1 OF 2</x:v>
      </x:c>
      <x:c r="C1197" t="str">
        <x:v>Pasted text(56).txt</x:v>
      </x:c>
    </x:row>
    <x:row r="1198">
      <x:c r="A1198" t="n">
        <x:v>1197</x:v>
      </x:c>
      <x:c r="B1198" s="106" t="str"/>
      <x:c r="C1198" t="str">
        <x:v>Pasted text(56).txt</x:v>
      </x:c>
    </x:row>
    <x:row r="1199">
      <x:c r="A1199" t="n">
        <x:v>1198</x:v>
      </x:c>
      <x:c r="B1199" s="106" t="str">
        <x:v>FRESH X-AXIS SEARCH FROM DAC 1.00 — OLD DAC VALUES ARE NOT USED</x:v>
      </x:c>
      <x:c r="C1199" t="str">
        <x:v>Pasted text(56).txt</x:v>
      </x:c>
    </x:row>
    <x:row r="1200">
      <x:c r="A1200" t="n">
        <x:v>1199</x:v>
      </x:c>
      <x:c r="B1200" s="106" t="str">
        <x:v>Y/Z are diagnostic only and cannot abort this search.</x:v>
      </x:c>
      <x:c r="C1200" t="str">
        <x:v>Pasted text(56).txt</x:v>
      </x:c>
    </x:row>
    <x:row r="1201">
      <x:c r="A1201" t="n">
        <x:v>1200</x:v>
      </x:c>
      <x:c r="B1201" s="106" t="str">
        <x:v>A real SPI fault, clipping, safety limit or confirmed X-response collapse will stop it.</x:v>
      </x:c>
      <x:c r="C1201" t="str">
        <x:v>Pasted text(56).txt</x:v>
      </x:c>
    </x:row>
    <x:row r="1202">
      <x:c r="A1202" t="n">
        <x:v>1201</x:v>
      </x:c>
      <x:c r="B1202" s="106" t="str">
        <x:v>SEARCH | point 1 | DAC 1.00 | CTRL X 0.02258 | X 0.02056 | Y 0.01133 | Z 0.02117 | TOTAL 0.03398 | error -98.12 % | MAD 98.41 % | CV 88.08 % | coh 8.9 % | dominant Z | axis fraction 97.1 % | BELOW MEASUREMENT FLOOR — SEARCH CONTINUES</x:v>
      </x:c>
      <x:c r="C1202" t="str">
        <x:v>Pasted text(56).txt</x:v>
      </x:c>
    </x:row>
    <x:row r="1203">
      <x:c r="A1203" t="n">
        <x:v>1202</x:v>
      </x:c>
      <x:c r="B1203" s="106" t="str">
        <x:v>SEARCH | point 2 | DAC 3.00 | CTRL X 0.14629 | X 0.14391 | Y 0.04570 | Z 0.14281 | TOTAL 0.20809 | error -87.81 % | MAD 5.35 % | CV 6.32 % | coh 53.4 % | dominant X | axis fraction 100.0 % | VALID</x:v>
      </x:c>
      <x:c r="C1203" t="str">
        <x:v>Pasted text(56).txt</x:v>
      </x:c>
    </x:row>
    <x:row r="1204">
      <x:c r="A1204" t="n">
        <x:v>1203</x:v>
      </x:c>
      <x:c r="B1204" s="106" t="str">
        <x:v>SEARCH | point 3 | DAC 5.00 | CTRL X 0.38274 | X 0.38260 | Y 0.14389 | Z 0.25332 | TOTAL 0.48101 | error -68.11 % | MAD 0.07 % | CV 0.11 % | coh 81.2 % | dominant X | axis fraction 100.0 % | VALID</x:v>
      </x:c>
      <x:c r="C1204" t="str">
        <x:v>Pasted text(56).txt</x:v>
      </x:c>
    </x:row>
    <x:row r="1205">
      <x:c r="A1205" t="n">
        <x:v>1204</x:v>
      </x:c>
      <x:c r="B1205" s="106" t="str">
        <x:v>SEARCH | point 4 | DAC 6.00 | CTRL X 0.51104 | X 0.51476 | Y 0.18196 | Z 0.31966 | TOTAL 0.63275 | error -57.41 % | MAD 0.92 % | CV 1.82 % | coh 87.4 % | dominant X | axis fraction 100.0 % | VALID</x:v>
      </x:c>
      <x:c r="C1205" t="str">
        <x:v>Pasted text(56).txt</x:v>
      </x:c>
    </x:row>
    <x:row r="1206">
      <x:c r="A1206" t="n">
        <x:v>1205</x:v>
      </x:c>
      <x:c r="B1206" s="106" t="str">
        <x:v>SEARCH | point 5 | DAC 7.00 | CTRL X 0.63532 | X 0.63169 | Y 0.23766 | Z 0.36959 | TOTAL 0.76973 | error -47.06 % | MAD 0.82 % | CV 1.50 % | coh 89.3 % | dominant X | axis fraction 100.0 % | VALID</x:v>
      </x:c>
      <x:c r="C1206" t="str">
        <x:v>Pasted text(56).txt</x:v>
      </x:c>
    </x:row>
    <x:row r="1207">
      <x:c r="A1207" t="n">
        <x:v>1206</x:v>
      </x:c>
      <x:c r="B1207" s="106" t="str">
        <x:v>SEARCH | point 6 | DAC 8.00 | CTRL X 0.75537 | X 0.75330 | Y 0.26772 | Z 0.44328 | TOTAL 0.91432 | error -37.05 % | MAD 1.55 % | CV 1.48 % | coh 90.4 % | dominant X | axis fraction 100.0 % | VALID</x:v>
      </x:c>
      <x:c r="C1207" t="str">
        <x:v>Pasted text(56).txt</x:v>
      </x:c>
    </x:row>
    <x:row r="1208">
      <x:c r="A1208" t="n">
        <x:v>1207</x:v>
      </x:c>
      <x:c r="B1208" s="106" t="str">
        <x:v>SEARCH | point 7 | DAC 8.50 | CTRL X 0.82459 | X 0.81370 | Y 0.27671 | Z 0.45072 | TOTAL 0.97066 | error -31.28 % | MAD 0.51 % | CV 2.63 % | coh 90.5 % | dominant X | axis fraction 100.0 % | VALID</x:v>
      </x:c>
      <x:c r="C1208" t="str">
        <x:v>Pasted text(56).txt</x:v>
      </x:c>
    </x:row>
    <x:row r="1209">
      <x:c r="A1209" t="n">
        <x:v>1208</x:v>
      </x:c>
      <x:c r="B1209" s="106" t="str">
        <x:v>SEARCH | point 8 | DAC 9.00 | CTRL X 0.89009 | X 0.89140 | Y 0.31341 | Z 0.49604 | TOTAL 1.06729 | error -25.83 % | MAD 0.36 % | CV 0.48 % | coh 91.9 % | dominant X | axis fraction 100.0 % | VALID</x:v>
      </x:c>
      <x:c r="C1209" t="str">
        <x:v>Pasted text(56).txt</x:v>
      </x:c>
    </x:row>
    <x:row r="1210">
      <x:c r="A1210" t="n">
        <x:v>1209</x:v>
      </x:c>
      <x:c r="B1210" s="106" t="str">
        <x:v>SEARCH | point 9 | DAC 9.50 | CTRL X 0.93443 | X 0.93491 | Y 0.30858 | Z 0.51373 | TOTAL 1.11052 | error -22.13 % | MAD 3.42 % | CV 2.38 % | coh 92.9 % | dominant X | axis fraction 100.0 % | VALID</x:v>
      </x:c>
      <x:c r="C1210" t="str">
        <x:v>Pasted text(56).txt</x:v>
      </x:c>
    </x:row>
    <x:row r="1211">
      <x:c r="A1211" t="n">
        <x:v>1210</x:v>
      </x:c>
      <x:c r="B1211" s="106" t="str">
        <x:v>SEARCH | point 10 | DAC 10.00 | CTRL X 1.01744 | X 1.01501 | Y 0.35450 | Z 0.56276 | TOTAL 1.21363 | error -15.21 % | MAD 0.80 % | CV 0.93 % | coh 92.3 % | dominant X | axis fraction 100.0 % | VALID</x:v>
      </x:c>
      <x:c r="C1211" t="str">
        <x:v>Pasted text(56).txt</x:v>
      </x:c>
    </x:row>
    <x:row r="1212">
      <x:c r="A1212" t="n">
        <x:v>1211</x:v>
      </x:c>
      <x:c r="B1212" s="106" t="str">
        <x:v>SEARCH | point 11 | DAC 10.50 | CTRL X 1.06795 | X 1.06676 | Y 0.36467 | Z 0.58797 | TOTAL 1.27178 | error -11.00 % | MAD 0.16 % | CV 0.29 % | coh 93.0 % | dominant X | axis fraction 100.0 % | VALID</x:v>
      </x:c>
      <x:c r="C1212" t="str">
        <x:v>Pasted text(56).txt</x:v>
      </x:c>
    </x:row>
    <x:row r="1213">
      <x:c r="A1213" t="n">
        <x:v>1212</x:v>
      </x:c>
      <x:c r="B1213" s="106" t="str">
        <x:v>SEARCH | point 12 | DAC 10.75 | CTRL X 1.08948 | X 1.09422 | Y 0.36237 | Z 0.60941 | TOTAL 1.30397 | error -9.21 % | MAD 0.88 % | CV 1.29 % | coh 93.4 % | dominant X | axis fraction 100.0 % | VALID</x:v>
      </x:c>
      <x:c r="C1213" t="str">
        <x:v>Pasted text(56).txt</x:v>
      </x:c>
    </x:row>
    <x:row r="1214">
      <x:c r="A1214" t="n">
        <x:v>1213</x:v>
      </x:c>
      <x:c r="B1214" s="106" t="str">
        <x:v>SEARCH | point 13 | DAC 11.00 | CTRL X 1.15324 | X 1.15148 | Y 0.39496 | Z 0.62985 | TOTAL 1.37066 | error -3.90 % | MAD 0.27 % | CV 0.43 % | coh 94.1 % | dominant X | axis fraction 100.0 % | IN TARGET BAND</x:v>
      </x:c>
      <x:c r="C1214" t="str">
        <x:v>Pasted text(56).txt</x:v>
      </x:c>
    </x:row>
    <x:row r="1215">
      <x:c r="A1215" t="n">
        <x:v>1214</x:v>
      </x:c>
      <x:c r="B1215" s="106" t="str"/>
      <x:c r="C1215" t="str">
        <x:v>Pasted text(56).txt</x:v>
      </x:c>
    </x:row>
    <x:row r="1216">
      <x:c r="A1216" t="n">
        <x:v>1215</x:v>
      </x:c>
      <x:c r="B1216" s="106" t="str">
        <x:v>LOCAL 0.25-DAC X-AXIS FINE SCAN</x:v>
      </x:c>
      <x:c r="C1216" t="str">
        <x:v>Pasted text(56).txt</x:v>
      </x:c>
    </x:row>
    <x:row r="1217">
      <x:c r="A1217" t="n">
        <x:v>1216</x:v>
      </x:c>
      <x:c r="B1217" s="106" t="str">
        <x:v>Only a valid point actually inside the X target band may be selected.</x:v>
      </x:c>
      <x:c r="C1217" t="str">
        <x:v>Pasted text(56).txt</x:v>
      </x:c>
    </x:row>
    <x:row r="1218">
      <x:c r="A1218" t="n">
        <x:v>1217</x:v>
      </x:c>
      <x:c r="B1218" s="106" t="str">
        <x:v>FINE | point 1 | DAC 10.00 | CTRL X 1.01607 | X 1.01841 | Y 0.34125 | Z 0.56856 | TOTAL 1.21570 | error -15.33 % | MAD 0.28 % | CV 0.57 % | coh 92.2 % | dominant X | axis fraction 100.0 % | VALID</x:v>
      </x:c>
      <x:c r="C1218" t="str">
        <x:v>Pasted text(56).txt</x:v>
      </x:c>
    </x:row>
    <x:row r="1219">
      <x:c r="A1219" t="n">
        <x:v>1218</x:v>
      </x:c>
      <x:c r="B1219" s="106" t="str">
        <x:v>FINE | point 2 | DAC 10.25 | CTRL X 1.04032 | X 1.03866 | Y 0.34800 | Z 0.59071 | TOTAL 1.24485 | error -13.31 % | MAD 0.60 % | CV 0.66 % | coh 92.8 % | dominant X | axis fraction 100.0 % | VALID</x:v>
      </x:c>
      <x:c r="C1219" t="str">
        <x:v>Pasted text(56).txt</x:v>
      </x:c>
    </x:row>
    <x:row r="1220">
      <x:c r="A1220" t="n">
        <x:v>1219</x:v>
      </x:c>
      <x:c r="B1220" s="106" t="str">
        <x:v>FINE | point 3 | DAC 10.50 | CTRL X 1.06199 | X 1.06663 | Y 0.37223 | Z 0.59134 | TOTAL 1.27534 | error -11.50 % | MAD 1.06 % | CV 1.41 % | coh 93.5 % | dominant X | axis fraction 100.0 % | VALID</x:v>
      </x:c>
      <x:c r="C1220" t="str">
        <x:v>Pasted text(56).txt</x:v>
      </x:c>
    </x:row>
    <x:row r="1221">
      <x:c r="A1221" t="n">
        <x:v>1220</x:v>
      </x:c>
      <x:c r="B1221" s="106" t="str">
        <x:v>FINE | point 4 | DAC 10.75 | CTRL X 1.11543 | X 1.11541 | Y 0.37785 | Z 0.61908 | TOTAL 1.33054 | error -7.05 % | MAD 1.36 % | CV 0.92 % | coh 93.3 % | dominant X | axis fraction 100.0 % | IN TARGET BAND</x:v>
      </x:c>
      <x:c r="C1221" t="str">
        <x:v>Pasted text(56).txt</x:v>
      </x:c>
    </x:row>
    <x:row r="1222">
      <x:c r="A1222" t="n">
        <x:v>1221</x:v>
      </x:c>
      <x:c r="B1222" s="106" t="str">
        <x:v>FINE | point 5 | DAC 11.00 | CTRL X 1.16180 | X 1.15117 | Y 0.38503 | Z 0.61964 | TOTAL 1.36293 | error -3.18 % | MAD 0.11 % | CV 1.67 % | coh 94.2 % | dominant X | axis fraction 100.0 % | IN TARGET BAND</x:v>
      </x:c>
      <x:c r="C1222" t="str">
        <x:v>Pasted text(56).txt</x:v>
      </x:c>
    </x:row>
    <x:row r="1223">
      <x:c r="A1223" t="n">
        <x:v>1222</x:v>
      </x:c>
      <x:c r="B1223" s="106" t="str">
        <x:v>FINE | point 6 | DAC 11.25 | CTRL X 1.17684 | X 1.17516 | Y 0.38018 | Z 0.62859 | TOTAL 1.38597 | error -1.93 % | MAD 1.11 % | CV 0.97 % | coh 93.3 % | dominant X | axis fraction 100.0 % | IN TARGET BAND</x:v>
      </x:c>
      <x:c r="C1223" t="str">
        <x:v>Pasted text(56).txt</x:v>
      </x:c>
    </x:row>
    <x:row r="1224">
      <x:c r="A1224" t="n">
        <x:v>1223</x:v>
      </x:c>
      <x:c r="B1224" s="106" t="str">
        <x:v>FINE | point 7 | DAC 11.50 | CTRL X 1.19880 | X 1.20088 | Y 0.39730 | Z 0.64586 | TOTAL 1.42029 | error -0.10 % | MAD 0.15 % | CV 0.39 % | coh 93.5 % | dominant X | axis fraction 100.0 % | IN TARGET BAND</x:v>
      </x:c>
      <x:c r="C1224" t="str">
        <x:v>Pasted text(56).txt</x:v>
      </x:c>
    </x:row>
    <x:row r="1225">
      <x:c r="A1225" t="n">
        <x:v>1224</x:v>
      </x:c>
      <x:c r="B1225" s="106" t="str">
        <x:v>FINE | point 8 | DAC 11.75 | CTRL X 1.23857 | X 1.23908 | Y 0.41019 | Z 0.66308 | TOTAL 1.46399 | error 3.21 % | MAD 0.54 % | CV 0.43 % | coh 94.0 % | dominant X | axis fraction 100.0 % | IN TARGET BAND</x:v>
      </x:c>
      <x:c r="C1225" t="str">
        <x:v>Pasted text(56).txt</x:v>
      </x:c>
    </x:row>
    <x:row r="1226">
      <x:c r="A1226" t="n">
        <x:v>1225</x:v>
      </x:c>
      <x:c r="B1226" s="106" t="str">
        <x:v>FINE | point 9 | DAC 12.00 | CTRL X 1.26479 | X 1.26420 | Y 0.40526 | Z 0.68801 | TOTAL 1.49546 | error 5.40 % | MAD 0.29 % | CV 0.27 % | coh 94.1 % | dominant X | axis fraction 100.0 % | IN TARGET BAND</x:v>
      </x:c>
      <x:c r="C1226" t="str">
        <x:v>Pasted text(56).txt</x:v>
      </x:c>
    </x:row>
    <x:row r="1227">
      <x:c r="A1227" t="n">
        <x:v>1226</x:v>
      </x:c>
      <x:c r="B1227" s="106" t="str"/>
      <x:c r="C1227" t="str">
        <x:v>Pasted text(56).txt</x:v>
      </x:c>
    </x:row>
    <x:row r="1228">
      <x:c r="A1228" t="n">
        <x:v>1227</x:v>
      </x:c>
      <x:c r="B1228" s="106" t="str">
        <x:v>LONG VALIDATION AT FIXED DAC 11.50</x:v>
      </x:c>
      <x:c r="C1228" t="str">
        <x:v>Pasted text(56).txt</x:v>
      </x:c>
    </x:row>
    <x:row r="1229">
      <x:c r="A1229" t="n">
        <x:v>1228</x:v>
      </x:c>
      <x:c r="B1229" s="106" t="str">
        <x:v>FINAL | point 1 | DAC 11.50 | CTRL X 1.19802 | X 1.19923 | Y 0.39827 | Z 0.63455 | TOTAL 1.41424 | error -0.16 % | MAD 1.34 % | CV 1.22 % | coh 93.5 % | dominant X | axis fraction 100.0 % | IN TARGET BAND</x:v>
      </x:c>
      <x:c r="C1229" t="str">
        <x:v>Pasted text(56).txt</x:v>
      </x:c>
    </x:row>
    <x:row r="1230">
      <x:c r="A1230" t="n">
        <x:v>1229</x:v>
      </x:c>
      <x:c r="B1230" s="106" t="str">
        <x:v>FINAL | point 2 | DAC 11.50 | CTRL X 1.20038 | X 1.19903 | Y 0.40077 | Z 0.64810 | TOTAL 1.42092 | error 0.03 % | MAD 1.93 % | CV 1.29 % | coh 92.8 % | dominant X | axis fraction 100.0 % | IN TARGET BAND</x:v>
      </x:c>
      <x:c r="C1230" t="str">
        <x:v>Pasted text(56).txt</x:v>
      </x:c>
    </x:row>
    <x:row r="1231">
      <x:c r="A1231" t="n">
        <x:v>1230</x:v>
      </x:c>
      <x:c r="B1231" s="106" t="str">
        <x:v>VALIDATION ACCEPTED | pair drift 0.20 %</x:v>
      </x:c>
      <x:c r="C1231" t="str">
        <x:v>Pasted text(56).txt</x:v>
      </x:c>
    </x:row>
    <x:row r="1232">
      <x:c r="A1232" t="n">
        <x:v>1231</x:v>
      </x:c>
      <x:c r="B1232" s="106" t="str"/>
      <x:c r="C1232" t="str">
        <x:v>Pasted text(56).txt</x:v>
      </x:c>
    </x:row>
    <x:row r="1233">
      <x:c r="A1233" t="n">
        <x:v>1232</x:v>
      </x:c>
      <x:c r="B1233" s="106" t="str">
        <x:v>FINAL VALIDATED BLIND FFT VERIFICATION</x:v>
      </x:c>
      <x:c r="C1233" t="str">
        <x:v>Pasted text(56).txt</x:v>
      </x:c>
    </x:row>
    <x:row r="1234">
      <x:c r="A1234" t="n">
        <x:v>1233</x:v>
      </x:c>
      <x:c r="B1234" s="106" t="str">
        <x:v>Commanded frequency: 268.00000 Hz</x:v>
      </x:c>
      <x:c r="C1234" t="str">
        <x:v>Pasted text(56).txt</x:v>
      </x:c>
    </x:row>
    <x:row r="1235">
      <x:c r="A1235" t="n">
        <x:v>1234</x:v>
      </x:c>
      <x:c r="B1235" s="106" t="str">
        <x:v>Accepted DAC: 11.50</x:v>
      </x:c>
      <x:c r="C1235" t="str">
        <x:v>Pasted text(56).txt</x:v>
      </x:c>
    </x:row>
    <x:row r="1236">
      <x:c r="A1236" t="n">
        <x:v>1235</x:v>
      </x:c>
      <x:c r="B1236" s="106" t="str">
        <x:v>Axis,Frequency_Hz,Amplitude_mps2,SNR_dB,Status</x:v>
      </x:c>
      <x:c r="C1236" t="str">
        <x:v>Pasted text(56).txt</x:v>
      </x:c>
    </x:row>
    <x:row r="1237">
      <x:c r="A1237" t="n">
        <x:v>1236</x:v>
      </x:c>
      <x:c r="B1237" s="106" t="str">
        <x:v>X,268.01870,1.09589,32.37,VALID</x:v>
      </x:c>
      <x:c r="C1237" t="str">
        <x:v>Pasted text(56).txt</x:v>
      </x:c>
    </x:row>
    <x:row r="1238">
      <x:c r="A1238" t="n">
        <x:v>1237</x:v>
      </x:c>
      <x:c r="B1238" s="106" t="str">
        <x:v>Y,267.99968,0.36413,26.65,VALID</x:v>
      </x:c>
      <x:c r="C1238" t="str">
        <x:v>Pasted text(56).txt</x:v>
      </x:c>
    </x:row>
    <x:row r="1239">
      <x:c r="A1239" t="n">
        <x:v>1238</x:v>
      </x:c>
      <x:c r="B1239" s="106" t="str">
        <x:v>Z,268.03047,0.58556,29.70,VALID</x:v>
      </x:c>
      <x:c r="C1239" t="str">
        <x:v>Pasted text(56).txt</x:v>
      </x:c>
    </x:row>
    <x:row r="1240">
      <x:c r="A1240" t="n">
        <x:v>1239</x:v>
      </x:c>
      <x:c r="B1240" s="106" t="str">
        <x:v>Combined frequency: 268.01965 Hz | difference 0.01965 Hz</x:v>
      </x:c>
      <x:c r="C1240" t="str">
        <x:v>Pasted text(56).txt</x:v>
      </x:c>
    </x:row>
    <x:row r="1241">
      <x:c r="A1241" t="n">
        <x:v>1240</x:v>
      </x:c>
      <x:c r="B1241" s="106" t="str">
        <x:v>Combined X/Y/Z/TOTAL: 0.99875 / 0.33074 / 0.53480 / 1.18021</x:v>
      </x:c>
      <x:c r="C1241" t="str">
        <x:v>Pasted text(56).txt</x:v>
      </x:c>
    </x:row>
    <x:row r="1242">
      <x:c r="A1242" t="n">
        <x:v>1241</x:v>
      </x:c>
      <x:c r="B1242" s="106" t="str">
        <x:v>SNR: 30.94 dB | dominant axis X</x:v>
      </x:c>
      <x:c r="C1242" t="str">
        <x:v>Pasted text(56).txt</x:v>
      </x:c>
    </x:row>
    <x:row r="1243">
      <x:c r="A1243" t="n">
        <x:v>1242</x:v>
      </x:c>
      <x:c r="B1243" s="106" t="str">
        <x:v>Frequency verification: PASS</x:v>
      </x:c>
      <x:c r="C1243" t="str">
        <x:v>Pasted text(56).txt</x:v>
      </x:c>
    </x:row>
    <x:row r="1244">
      <x:c r="A1244" t="n">
        <x:v>1243</x:v>
      </x:c>
      <x:c r="B1244" s="106" t="str">
        <x:v>Y/Z dominance: DIAGNOSTIC ONLY — ignored for pass/fail</x:v>
      </x:c>
      <x:c r="C1244" t="str">
        <x:v>Pasted text(56).txt</x:v>
      </x:c>
    </x:row>
    <x:row r="1245">
      <x:c r="A1245" t="n">
        <x:v>1244</x:v>
      </x:c>
      <x:c r="B1245" s="106" t="str"/>
      <x:c r="C1245" t="str">
        <x:v>Pasted text(56).txt</x:v>
      </x:c>
    </x:row>
    <x:row r="1246">
      <x:c r="A1246" t="n">
        <x:v>1245</x:v>
      </x:c>
      <x:c r="B1246" s="106" t="str">
        <x:v>FIXED-DAC HOLD VALIDATION</x:v>
      </x:c>
      <x:c r="C1246" t="str">
        <x:v>Pasted text(56).txt</x:v>
      </x:c>
    </x:row>
    <x:row r="1247">
      <x:c r="A1247" t="n">
        <x:v>1246</x:v>
      </x:c>
      <x:c r="B1247" s="106" t="str">
        <x:v>DAC remains fixed at 11.50 for 10 records.</x:v>
      </x:c>
      <x:c r="C1247" t="str">
        <x:v>Pasted text(56).txt</x:v>
      </x:c>
    </x:row>
    <x:row r="1248">
      <x:c r="A1248" t="n">
        <x:v>1247</x:v>
      </x:c>
      <x:c r="B1248" s="106" t="str">
        <x:v>HOLD | point 1 | DAC 11.50 | CTRL X 1.20767 | X 1.20354 | Y 0.39995 | Z 0.64917 | TOTAL 1.42483 | error 0.64 % | MAD 0.41 % | CV 0.85 % | coh 93.9 % | dominant X | axis fraction 100.0 % | IN TARGET BAND</x:v>
      </x:c>
      <x:c r="C1248" t="str">
        <x:v>Pasted text(56).txt</x:v>
      </x:c>
    </x:row>
    <x:row r="1249">
      <x:c r="A1249" t="n">
        <x:v>1248</x:v>
      </x:c>
      <x:c r="B1249" s="106" t="str">
        <x:v>HOLD | point 2 | DAC 11.50 | CTRL X 1.19255 | X 1.19309 | Y 0.41199 | Z 0.66319 | TOTAL 1.42597 | error -0.62 % | MAD 0.65 % | CV 0.50 % | coh 92.7 % | dominant X | axis fraction 100.0 % | IN TARGET BAND</x:v>
      </x:c>
      <x:c r="C1249" t="str">
        <x:v>Pasted text(56).txt</x:v>
      </x:c>
    </x:row>
    <x:row r="1250">
      <x:c r="A1250" t="n">
        <x:v>1249</x:v>
      </x:c>
      <x:c r="B1250" s="106" t="str">
        <x:v>HOLD | point 3 | DAC 11.50 | CTRL X 1.20872 | X 1.20854 | Y 0.40105 | Z 0.66292 | TOTAL 1.43574 | error 0.73 % | MAD 0.48 % | CV 0.34 % | coh 94.0 % | dominant X | axis fraction 100.0 % | IN TARGET BAND</x:v>
      </x:c>
      <x:c r="C1250" t="str">
        <x:v>Pasted text(56).txt</x:v>
      </x:c>
    </x:row>
    <x:row r="1251">
      <x:c r="A1251" t="n">
        <x:v>1250</x:v>
      </x:c>
      <x:c r="B1251" s="106" t="str">
        <x:v>HOLD | point 4 | DAC 11.50 | CTRL X 1.20821 | X 1.21196 | Y 0.41393 | Z 0.64728 | TOTAL 1.43509 | error 0.68 % | MAD 2.06 % | CV 1.87 % | coh 93.4 % | dominant X | axis fraction 100.0 % | IN TARGET BAND</x:v>
      </x:c>
      <x:c r="C1251" t="str">
        <x:v>Pasted text(56).txt</x:v>
      </x:c>
    </x:row>
    <x:row r="1252">
      <x:c r="A1252" t="n">
        <x:v>1251</x:v>
      </x:c>
      <x:c r="B1252" s="106" t="str">
        <x:v>HOLD | point 5 | DAC 11.50 | CTRL X 1.19993 | X 1.20093 | Y 0.39740 | Z 0.63959 | TOTAL 1.41782 | error -0.01 % | MAD 2.10 % | CV 1.54 % | coh 93.2 % | dominant X | axis fraction 100.0 % | IN TARGET BAND</x:v>
      </x:c>
      <x:c r="C1252" t="str">
        <x:v>Pasted text(56).txt</x:v>
      </x:c>
    </x:row>
    <x:row r="1253">
      <x:c r="A1253" t="n">
        <x:v>1252</x:v>
      </x:c>
      <x:c r="B1253" s="106" t="str">
        <x:v>HOLD | point 6 | DAC 11.50 | CTRL X 1.20890 | X 1.21648 | Y 0.40148 | Z 0.65880 | TOTAL 1.44059 | error 0.74 % | MAD 0.53 % | CV 1.40 % | coh 94.0 % | dominant X | axis fraction 100.0 % | IN TARGET BAND</x:v>
      </x:c>
      <x:c r="C1253" t="str">
        <x:v>Pasted text(56).txt</x:v>
      </x:c>
    </x:row>
    <x:row r="1254">
      <x:c r="A1254" t="n">
        <x:v>1253</x:v>
      </x:c>
      <x:c r="B1254" s="106" t="str">
        <x:v>HOLD | point 7 | DAC 11.50 | CTRL X 1.20318 | X 1.20842 | Y 0.39502 | Z 0.62721 | TOTAL 1.41771 | error 0.27 % | MAD 0.77 % | CV 1.23 % | coh 93.0 % | dominant X | axis fraction 100.0 % | IN TARGET BAND</x:v>
      </x:c>
      <x:c r="C1254" t="str">
        <x:v>Pasted text(56).txt</x:v>
      </x:c>
    </x:row>
    <x:row r="1255">
      <x:c r="A1255" t="n">
        <x:v>1254</x:v>
      </x:c>
      <x:c r="B1255" s="106" t="str">
        <x:v>HOLD | point 8 | DAC 11.50 | CTRL X 1.20309 | X 1.20553 | Y 0.41293 | Z 0.65111 | TOTAL 1.43117 | error 0.26 % | MAD 2.86 % | CV 2.24 % | coh 93.9 % | dominant X | axis fraction 100.0 % | IN TARGET BAND</x:v>
      </x:c>
      <x:c r="C1255" t="str">
        <x:v>Pasted text(56).txt</x:v>
      </x:c>
    </x:row>
    <x:row r="1256">
      <x:c r="A1256" t="n">
        <x:v>1255</x:v>
      </x:c>
      <x:c r="B1256" s="106" t="str">
        <x:v>HOLD | point 9 | DAC 11.50 | CTRL X 1.19955 | X 1.20494 | Y 0.40667 | Z 0.63858 | TOTAL 1.42320 | error -0.04 % | MAD 0.63 % | CV 1.16 % | coh 93.3 % | dominant X | axis fraction 100.0 % | IN TARGET BAND</x:v>
      </x:c>
      <x:c r="C1256" t="str">
        <x:v>Pasted text(56).txt</x:v>
      </x:c>
    </x:row>
    <x:row r="1257">
      <x:c r="A1257" t="n">
        <x:v>1256</x:v>
      </x:c>
      <x:c r="B1257" s="106" t="str">
        <x:v>HOLD | point 10 | DAC 11.50 | CTRL X 1.21586 | X 1.21679 | Y 0.39676 | Z 0.67331 | TOTAL 1.44620 | error 1.32 % | MAD 0.91 % | CV 0.73 % | coh 94.0 % | dominant X | axis fraction 100.0 % | IN TARGET BAND</x:v>
      </x:c>
      <x:c r="C1257" t="str">
        <x:v>Pasted text(56).txt</x:v>
      </x:c>
    </x:row>
    <x:row r="1258">
      <x:c r="A1258" t="n">
        <x:v>1257</x:v>
      </x:c>
      <x:c r="B1258" s="106" t="str"/>
      <x:c r="C1258" t="str">
        <x:v>Pasted text(56).txt</x:v>
      </x:c>
    </x:row>
    <x:row r="1259">
      <x:c r="A1259" t="n">
        <x:v>1258</x:v>
      </x:c>
      <x:c r="B1259" s="106" t="str">
        <x:v>HOLD SUMMARY</x:v>
      </x:c>
      <x:c r="C1259" t="str">
        <x:v>Pasted text(56).txt</x:v>
      </x:c>
    </x:row>
    <x:row r="1260">
      <x:c r="A1260" t="n">
        <x:v>1259</x:v>
      </x:c>
      <x:c r="B1260" s="106" t="str">
        <x:v>Valid / requested: 10 / 10</x:v>
      </x:c>
      <x:c r="C1260" t="str">
        <x:v>Pasted text(56).txt</x:v>
      </x:c>
    </x:row>
    <x:row r="1261">
      <x:c r="A1261" t="n">
        <x:v>1260</x:v>
      </x:c>
      <x:c r="B1261" s="106" t="str">
        <x:v>In band / requested: 10 / 10 = 100.0 %</x:v>
      </x:c>
      <x:c r="C1261" t="str">
        <x:v>Pasted text(56).txt</x:v>
      </x:c>
    </x:row>
    <x:row r="1262">
      <x:c r="A1262" t="n">
        <x:v>1261</x:v>
      </x:c>
      <x:c r="B1262" s="106" t="str">
        <x:v>Mean / SD / CV: 1.20477 / 0.00651 / 0.54 %</x:v>
      </x:c>
      <x:c r="C1262" t="str">
        <x:v>Pasted text(56).txt</x:v>
      </x:c>
    </x:row>
    <x:row r="1263">
      <x:c r="A1263" t="n">
        <x:v>1262</x:v>
      </x:c>
      <x:c r="B1263" s="106" t="str">
        <x:v>Min / Max: 1.19255 / 1.21586</x:v>
      </x:c>
      <x:c r="C1263" t="str">
        <x:v>Pasted text(56).txt</x:v>
      </x:c>
    </x:row>
    <x:row r="1264">
      <x:c r="A1264" t="n">
        <x:v>1263</x:v>
      </x:c>
      <x:c r="B1264" s="106" t="str">
        <x:v>HOLD RESULT: PASS</x:v>
      </x:c>
      <x:c r="C1264" t="str">
        <x:v>Pasted text(56).txt</x:v>
      </x:c>
    </x:row>
    <x:row r="1265">
      <x:c r="A1265" t="n">
        <x:v>1264</x:v>
      </x:c>
      <x:c r="B1265" s="106" t="str"/>
      <x:c r="C1265" t="str">
        <x:v>Pasted text(56).txt</x:v>
      </x:c>
    </x:row>
    <x:row r="1266">
      <x:c r="A1266" t="n">
        <x:v>1265</x:v>
      </x:c>
      <x:c r="B1266" s="106" t="str">
        <x:v>RUN RESULT: PASS</x:v>
      </x:c>
      <x:c r="C1266" t="str">
        <x:v>Pasted text(56).txt</x:v>
      </x:c>
    </x:row>
    <x:row r="1267">
      <x:c r="A1267" t="n">
        <x:v>1266</x:v>
      </x:c>
      <x:c r="B1267" s="106" t="str">
        <x:v>Selected DAC: 11.50</x:v>
      </x:c>
      <x:c r="C1267" t="str">
        <x:v>Pasted text(56).txt</x:v>
      </x:c>
    </x:row>
    <x:row r="1268">
      <x:c r="A1268" t="n">
        <x:v>1267</x:v>
      </x:c>
      <x:c r="B1268" s="106" t="str">
        <x:v>Validated amplitude: 1.19920 m/s^2 | error -0.07 %</x:v>
      </x:c>
      <x:c r="C1268" t="str">
        <x:v>Pasted text(56).txt</x:v>
      </x:c>
    </x:row>
    <x:row r="1269">
      <x:c r="A1269" t="n">
        <x:v>1268</x:v>
      </x:c>
      <x:c r="B1269" s="106" t="str">
        <x:v>FFT frequency: 268.01965 Hz | difference 0.01965 Hz</x:v>
      </x:c>
      <x:c r="C1269" t="str">
        <x:v>Pasted text(56).txt</x:v>
      </x:c>
    </x:row>
    <x:row r="1270">
      <x:c r="A1270" t="n">
        <x:v>1269</x:v>
      </x:c>
      <x:c r="B1270" s="106" t="str"/>
      <x:c r="C1270" t="str">
        <x:v>Pasted text(56).txt</x:v>
      </x:c>
    </x:row>
    <x:row r="1271">
      <x:c r="A1271" t="n">
        <x:v>1270</x:v>
      </x:c>
      <x:c r="B1271" s="106" t="str">
        <x:v>VISATON OFF. RESTING 5.0 s BEFORE THE NEXT COMPLETELY FRESH RUN.</x:v>
      </x:c>
      <x:c r="C1271" t="str">
        <x:v>Pasted text(56).txt</x:v>
      </x:c>
    </x:row>
    <x:row r="1272">
      <x:c r="A1272" t="n">
        <x:v>1271</x:v>
      </x:c>
      <x:c r="B1272" s="106" t="str"/>
      <x:c r="C1272" t="str">
        <x:v>Pasted text(56).txt</x:v>
      </x:c>
    </x:row>
    <x:row r="1273">
      <x:c r="A1273" t="n">
        <x:v>1272</x:v>
      </x:c>
      <x:c r="B1273" s="106" t="str">
        <x:v>################################################################################</x:v>
      </x:c>
      <x:c r="C1273" t="str">
        <x:v>Pasted text(56).txt</x:v>
      </x:c>
    </x:row>
    <x:row r="1274">
      <x:c r="A1274" t="n">
        <x:v>1273</x:v>
      </x:c>
      <x:c r="B1274" s="106" t="str">
        <x:v>INDEPENDENT TARGET-AMPLITUDE RUN 3 OF 5</x:v>
      </x:c>
      <x:c r="C1274" t="str">
        <x:v>Pasted text(56).txt</x:v>
      </x:c>
    </x:row>
    <x:row r="1275">
      <x:c r="A1275" t="n">
        <x:v>1274</x:v>
      </x:c>
      <x:c r="B1275" s="106" t="str">
        <x:v>################################################################################</x:v>
      </x:c>
      <x:c r="C1275" t="str">
        <x:v>Pasted text(56).txt</x:v>
      </x:c>
    </x:row>
    <x:row r="1276">
      <x:c r="A1276" t="n">
        <x:v>1275</x:v>
      </x:c>
      <x:c r="B1276" s="106" t="str">
        <x:v>Frequency: 268.00000 Hz</x:v>
      </x:c>
      <x:c r="C1276" t="str">
        <x:v>Pasted text(56).txt</x:v>
      </x:c>
    </x:row>
    <x:row r="1277">
      <x:c r="A1277" t="n">
        <x:v>1276</x:v>
      </x:c>
      <x:c r="B1277" s="106" t="str">
        <x:v>Target X amplitude: 1.20000 m/s^2 peak, tolerance +/-7.50 %</x:v>
      </x:c>
      <x:c r="C1277" t="str">
        <x:v>Pasted text(56).txt</x:v>
      </x:c>
    </x:row>
    <x:row r="1278">
      <x:c r="A1278" t="n">
        <x:v>1277</x:v>
      </x:c>
      <x:c r="B1278" s="106" t="str">
        <x:v>This run starts from DAC 1.00 and ignores every earlier selected DAC.</x:v>
      </x:c>
      <x:c r="C1278" t="str">
        <x:v>Pasted text(56).txt</x:v>
      </x:c>
    </x:row>
    <x:row r="1279">
      <x:c r="A1279" t="n">
        <x:v>1278</x:v>
      </x:c>
      <x:c r="B1279" s="106" t="str">
        <x:v>ADXL2 DEVID/DATA_FORMAT/BW_RATE/POWER_CTL: 0xE5 / 0xB / 0xE / 0x8</x:v>
      </x:c>
      <x:c r="C1279" t="str">
        <x:v>Pasted text(56).txt</x:v>
      </x:c>
    </x:row>
    <x:row r="1280">
      <x:c r="A1280" t="n">
        <x:v>1279</x:v>
      </x:c>
      <x:c r="B1280" s="106" t="str"/>
      <x:c r="C1280" t="str">
        <x:v>Pasted text(56).txt</x:v>
      </x:c>
    </x:row>
    <x:row r="1281">
      <x:c r="A1281" t="n">
        <x:v>1280</x:v>
      </x:c>
      <x:c r="B1281" s="106" t="str">
        <x:v>ACQUISITION ATTEMPT 1 OF 2</x:v>
      </x:c>
      <x:c r="C1281" t="str">
        <x:v>Pasted text(56).txt</x:v>
      </x:c>
    </x:row>
    <x:row r="1282">
      <x:c r="A1282" t="n">
        <x:v>1281</x:v>
      </x:c>
      <x:c r="B1282" s="106" t="str"/>
      <x:c r="C1282" t="str">
        <x:v>Pasted text(56).txt</x:v>
      </x:c>
    </x:row>
    <x:row r="1283">
      <x:c r="A1283" t="n">
        <x:v>1282</x:v>
      </x:c>
      <x:c r="B1283" s="106" t="str">
        <x:v>FRESH X-AXIS SEARCH FROM DAC 1.00 — OLD DAC VALUES ARE NOT USED</x:v>
      </x:c>
      <x:c r="C1283" t="str">
        <x:v>Pasted text(56).txt</x:v>
      </x:c>
    </x:row>
    <x:row r="1284">
      <x:c r="A1284" t="n">
        <x:v>1283</x:v>
      </x:c>
      <x:c r="B1284" s="106" t="str">
        <x:v>Y/Z are diagnostic only and cannot abort this search.</x:v>
      </x:c>
      <x:c r="C1284" t="str">
        <x:v>Pasted text(56).txt</x:v>
      </x:c>
    </x:row>
    <x:row r="1285">
      <x:c r="A1285" t="n">
        <x:v>1284</x:v>
      </x:c>
      <x:c r="B1285" s="106" t="str">
        <x:v>A real SPI fault, clipping, safety limit or confirmed X-response collapse will stop it.</x:v>
      </x:c>
      <x:c r="C1285" t="str">
        <x:v>Pasted text(56).txt</x:v>
      </x:c>
    </x:row>
    <x:row r="1286">
      <x:c r="A1286" t="n">
        <x:v>1285</x:v>
      </x:c>
      <x:c r="B1286" s="106" t="str">
        <x:v>SEARCH | point 1 | DAC 1.00 | CTRL X 0.01970 | X 0.01931 | Y 0.01468 | Z 0.02188 | TOTAL 0.03339 | error -98.36 % | MAD 70.01 % | CV 51.18 % | coh 11.3 % | dominant Z | axis fraction 88.3 % | BELOW MEASUREMENT FLOOR — SEARCH CONTINUES</x:v>
      </x:c>
      <x:c r="C1286" t="str">
        <x:v>Pasted text(56).txt</x:v>
      </x:c>
    </x:row>
    <x:row r="1287">
      <x:c r="A1287" t="n">
        <x:v>1286</x:v>
      </x:c>
      <x:c r="B1287" s="106" t="str">
        <x:v>SEARCH | point 2 | DAC 3.00 | CTRL X 0.17934 | X 0.17959 | Y 0.07442 | Z 0.14531 | TOTAL 0.24313 | error -85.06 % | MAD 4.83 % | CV 3.46 % | coh 61.6 % | dominant X | axis fraction 100.0 % | VALID</x:v>
      </x:c>
      <x:c r="C1287" t="str">
        <x:v>Pasted text(56).txt</x:v>
      </x:c>
    </x:row>
    <x:row r="1288">
      <x:c r="A1288" t="n">
        <x:v>1287</x:v>
      </x:c>
      <x:c r="B1288" s="106" t="str">
        <x:v>SEARCH | point 3 | DAC 5.00 | CTRL X 0.40740 | X 0.40524 | Y 0.12617 | Z 0.25993 | TOTAL 0.49788 | error -66.05 % | MAD 3.63 % | CV 3.29 % | coh 83.8 % | dominant X | axis fraction 100.0 % | VALID</x:v>
      </x:c>
      <x:c r="C1288" t="str">
        <x:v>Pasted text(56).txt</x:v>
      </x:c>
    </x:row>
    <x:row r="1289">
      <x:c r="A1289" t="n">
        <x:v>1288</x:v>
      </x:c>
      <x:c r="B1289" s="106" t="str">
        <x:v>SEARCH | point 4 | DAC 6.00 | CTRL X 0.51960 | X 0.52469 | Y 0.18244 | Z 0.31122 | TOTAL 0.63738 | error -56.70 % | MAD 1.04 % | CV 2.31 % | coh 87.1 % | dominant X | axis fraction 100.0 % | VALID</x:v>
      </x:c>
      <x:c r="C1289" t="str">
        <x:v>Pasted text(56).txt</x:v>
      </x:c>
    </x:row>
    <x:row r="1290">
      <x:c r="A1290" t="n">
        <x:v>1289</x:v>
      </x:c>
      <x:c r="B1290" s="106" t="str">
        <x:v>SEARCH | point 5 | DAC 7.00 | CTRL X 0.62667 | X 0.62078 | Y 0.21361 | Z 0.39066 | TOTAL 0.76410 | error -47.78 % | MAD 0.26 % | CV 1.80 % | coh 89.2 % | dominant X | axis fraction 100.0 % | VALID</x:v>
      </x:c>
      <x:c r="C1290" t="str">
        <x:v>Pasted text(56).txt</x:v>
      </x:c>
    </x:row>
    <x:row r="1291">
      <x:c r="A1291" t="n">
        <x:v>1290</x:v>
      </x:c>
      <x:c r="B1291" s="106" t="str">
        <x:v>SEARCH | point 6 | DAC 8.00 | CTRL X 0.74811 | X 0.76160 | Y 0.27174 | Z 0.44965 | TOTAL 0.92539 | error -37.66 % | MAD 0.39 % | CV 3.29 % | coh 91.0 % | dominant X | axis fraction 100.0 % | VALID</x:v>
      </x:c>
      <x:c r="C1291" t="str">
        <x:v>Pasted text(56).txt</x:v>
      </x:c>
    </x:row>
    <x:row r="1292">
      <x:c r="A1292" t="n">
        <x:v>1291</x:v>
      </x:c>
      <x:c r="B1292" s="106" t="str">
        <x:v>SEARCH | point 7 | DAC 8.50 | CTRL X 0.78626 | X 0.79149 | Y 0.26980 | Z 0.47236 | TOTAL 0.96081 | error -34.48 % | MAD 1.18 % | CV 1.87 % | coh 90.1 % | dominant X | axis fraction 100.0 % | VALID</x:v>
      </x:c>
      <x:c r="C1292" t="str">
        <x:v>Pasted text(56).txt</x:v>
      </x:c>
    </x:row>
    <x:row r="1293">
      <x:c r="A1293" t="n">
        <x:v>1292</x:v>
      </x:c>
      <x:c r="B1293" s="106" t="str">
        <x:v>SEARCH | point 8 | DAC 9.00 | CTRL X 0.90094 | X 0.90070 | Y 0.31593 | Z 0.50892 | TOTAL 1.08191 | error -24.92 % | MAD 2.83 % | CV 1.95 % | coh 92.4 % | dominant X | axis fraction 100.0 % | VALID</x:v>
      </x:c>
      <x:c r="C1293" t="str">
        <x:v>Pasted text(56).txt</x:v>
      </x:c>
    </x:row>
    <x:row r="1294">
      <x:c r="A1294" t="n">
        <x:v>1293</x:v>
      </x:c>
      <x:c r="B1294" s="106" t="str">
        <x:v>SEARCH | point 9 | DAC 9.50 | CTRL X 0.94536 | X 0.93490 | Y 0.31731 | Z 0.50849 | TOTAL 1.11055 | error -21.22 % | MAD 0.69 % | CV 2.35 % | coh 90.9 % | dominant X | axis fraction 100.0 % | VALID</x:v>
      </x:c>
      <x:c r="C1294" t="str">
        <x:v>Pasted text(56).txt</x:v>
      </x:c>
    </x:row>
    <x:row r="1295">
      <x:c r="A1295" t="n">
        <x:v>1294</x:v>
      </x:c>
      <x:c r="B1295" s="106" t="str">
        <x:v>SEARCH | point 10 | DAC 10.00 | CTRL X 1.02776 | X 1.02941 | Y 0.34869 | Z 0.56505 | TOTAL 1.22508 | error -14.35 % | MAD 2.03 % | CV 1.61 % | coh 91.4 % | dominant X | axis fraction 100.0 % | VALID</x:v>
      </x:c>
      <x:c r="C1295" t="str">
        <x:v>Pasted text(56).txt</x:v>
      </x:c>
    </x:row>
    <x:row r="1296">
      <x:c r="A1296" t="n">
        <x:v>1295</x:v>
      </x:c>
      <x:c r="B1296" s="106" t="str">
        <x:v>SEARCH | point 11 | DAC 10.25 | CTRL X 1.05961 | X 1.05443 | Y 0.35540 | Z 0.58972 | TOTAL 1.25935 | error -11.70 % | MAD 0.48 % | CV 1.14 % | coh 92.8 % | dominant X | axis fraction 100.0 % | VALID</x:v>
      </x:c>
      <x:c r="C1296" t="str">
        <x:v>Pasted text(56).txt</x:v>
      </x:c>
    </x:row>
    <x:row r="1297">
      <x:c r="A1297" t="n">
        <x:v>1296</x:v>
      </x:c>
      <x:c r="B1297" s="106" t="str">
        <x:v>SEARCH | point 12 | DAC 10.50 | CTRL X 1.08496 | X 1.07203 | Y 0.35995 | Z 0.59243 | TOTAL 1.27676 | error -9.59 % | MAD 0.40 % | CV 2.33 % | coh 93.1 % | dominant X | axis fraction 100.0 % | VALID</x:v>
      </x:c>
      <x:c r="C1297" t="str">
        <x:v>Pasted text(56).txt</x:v>
      </x:c>
    </x:row>
    <x:row r="1298">
      <x:c r="A1298" t="n">
        <x:v>1297</x:v>
      </x:c>
      <x:c r="B1298" s="106" t="str">
        <x:v>SEARCH | point 13 | DAC 10.75 | CTRL X 1.13345 | X 1.13132 | Y 0.37268 | Z 0.60610 | TOTAL 1.33658 | error -5.55 % | MAD 0.63 % | CV 0.73 % | coh 93.6 % | dominant X | axis fraction 100.0 % | IN TARGET BAND</x:v>
      </x:c>
      <x:c r="C1298" t="str">
        <x:v>Pasted text(56).txt</x:v>
      </x:c>
    </x:row>
    <x:row r="1299">
      <x:c r="A1299" t="n">
        <x:v>1298</x:v>
      </x:c>
      <x:c r="B1299" s="106" t="str"/>
      <x:c r="C1299" t="str">
        <x:v>Pasted text(56).txt</x:v>
      </x:c>
    </x:row>
    <x:row r="1300">
      <x:c r="A1300" t="n">
        <x:v>1299</x:v>
      </x:c>
      <x:c r="B1300" s="106" t="str">
        <x:v>LOCAL 0.25-DAC X-AXIS FINE SCAN</x:v>
      </x:c>
      <x:c r="C1300" t="str">
        <x:v>Pasted text(56).txt</x:v>
      </x:c>
    </x:row>
    <x:row r="1301">
      <x:c r="A1301" t="n">
        <x:v>1300</x:v>
      </x:c>
      <x:c r="B1301" s="106" t="str">
        <x:v>Only a valid point actually inside the X target band may be selected.</x:v>
      </x:c>
      <x:c r="C1301" t="str">
        <x:v>Pasted text(56).txt</x:v>
      </x:c>
    </x:row>
    <x:row r="1302">
      <x:c r="A1302" t="n">
        <x:v>1301</x:v>
      </x:c>
      <x:c r="B1302" s="106" t="str">
        <x:v>FINE | point 1 | DAC 9.75 | CTRL X 0.99088 | X 0.98917 | Y 0.32706 | Z 0.54772 | TOTAL 1.17728 | error -17.43 % | MAD 0.97 % | CV 0.93 % | coh 92.6 % | dominant X | axis fraction 100.0 % | VALID</x:v>
      </x:c>
      <x:c r="C1302" t="str">
        <x:v>Pasted text(56).txt</x:v>
      </x:c>
    </x:row>
    <x:row r="1303">
      <x:c r="A1303" t="n">
        <x:v>1302</x:v>
      </x:c>
      <x:c r="B1303" s="106" t="str">
        <x:v>FINE | point 2 | DAC 10.00 | CTRL X 1.00804 | X 1.00891 | Y 0.34176 | Z 0.56343 | TOTAL 1.20515 | error -16.00 % | MAD 2.86 % | CV 2.06 % | coh 91.1 % | dominant X | axis fraction 100.0 % | VALID</x:v>
      </x:c>
      <x:c r="C1303" t="str">
        <x:v>Pasted text(56).txt</x:v>
      </x:c>
    </x:row>
    <x:row r="1304">
      <x:c r="A1304" t="n">
        <x:v>1303</x:v>
      </x:c>
      <x:c r="B1304" s="106" t="str">
        <x:v>FINE | point 3 | DAC 10.25 | CTRL X 1.04413 | X 1.04165 | Y 0.34392 | Z 0.58699 | TOTAL 1.24431 | error -12.99 % | MAD 3.15 % | CV 2.50 % | coh 93.2 % | dominant X | axis fraction 100.0 % | VALID</x:v>
      </x:c>
      <x:c r="C1304" t="str">
        <x:v>Pasted text(56).txt</x:v>
      </x:c>
    </x:row>
    <x:row r="1305">
      <x:c r="A1305" t="n">
        <x:v>1304</x:v>
      </x:c>
      <x:c r="B1305" s="106" t="str">
        <x:v>FINE | point 4 | DAC 10.50 | CTRL X 1.05422 | X 1.06507 | Y 0.35281 | Z 0.57798 | TOTAL 1.26222 | error -12.15 % | MAD 0.18 % | CV 1.87 % | coh 94.0 % | dominant X | axis fraction 100.0 % | VALID</x:v>
      </x:c>
      <x:c r="C1305" t="str">
        <x:v>Pasted text(56).txt</x:v>
      </x:c>
    </x:row>
    <x:row r="1306">
      <x:c r="A1306" t="n">
        <x:v>1305</x:v>
      </x:c>
      <x:c r="B1306" s="106" t="str">
        <x:v>FINE | point 5 | DAC 10.75 | CTRL X 1.13660 | X 1.12494 | Y 0.36640 | Z 0.59250 | TOTAL 1.32322 | error -5.28 % | MAD 1.03 % | CV 2.43 % | coh 93.5 % | dominant X | axis fraction 100.0 % | IN TARGET BAND</x:v>
      </x:c>
      <x:c r="C1306" t="str">
        <x:v>Pasted text(56).txt</x:v>
      </x:c>
    </x:row>
    <x:row r="1307">
      <x:c r="A1307" t="n">
        <x:v>1306</x:v>
      </x:c>
      <x:c r="B1307" s="106" t="str">
        <x:v>FINE | point 6 | DAC 11.00 | CTRL X 1.14940 | X 1.15659 | Y 0.38011 | Z 0.63321 | TOTAL 1.37238 | error -4.22 % | MAD 0.81 % | CV 1.57 % | coh 93.2 % | dominant X | axis fraction 100.0 % | IN TARGET BAND</x:v>
      </x:c>
      <x:c r="C1307" t="str">
        <x:v>Pasted text(56).txt</x:v>
      </x:c>
    </x:row>
    <x:row r="1308">
      <x:c r="A1308" t="n">
        <x:v>1307</x:v>
      </x:c>
      <x:c r="B1308" s="106" t="str">
        <x:v>FINE | point 7 | DAC 11.25 | CTRL X 1.17253 | X 1.17249 | Y 0.40406 | Z 0.62987 | TOTAL 1.39126 | error -2.29 % | MAD 0.59 % | CV 0.40 % | coh 93.3 % | dominant X | axis fraction 100.0 % | IN TARGET BAND</x:v>
      </x:c>
      <x:c r="C1308" t="str">
        <x:v>Pasted text(56).txt</x:v>
      </x:c>
    </x:row>
    <x:row r="1309">
      <x:c r="A1309" t="n">
        <x:v>1308</x:v>
      </x:c>
      <x:c r="B1309" s="106" t="str">
        <x:v>FINE | point 8 | DAC 11.50 | CTRL X 1.21311 | X 1.20397 | Y 0.39673 | Z 0.64722 | TOTAL 1.42340 | error 1.09 % | MAD 1.79 % | CV 2.45 % | coh 93.3 % | dominant X | axis fraction 100.0 % | IN TARGET BAND</x:v>
      </x:c>
      <x:c r="C1309" t="str">
        <x:v>Pasted text(56).txt</x:v>
      </x:c>
    </x:row>
    <x:row r="1310">
      <x:c r="A1310" t="n">
        <x:v>1309</x:v>
      </x:c>
      <x:c r="B1310" s="106" t="str">
        <x:v>FINE | point 9 | DAC 11.75 | CTRL X 1.26297 | X 1.25172 | Y 0.40975 | Z 0.66531 | TOTAL 1.47570 | error 5.25 % | MAD 0.26 % | CV 1.71 % | coh 93.9 % | dominant X | axis fraction 100.0 % | IN TARGET BAND</x:v>
      </x:c>
      <x:c r="C1310" t="str">
        <x:v>Pasted text(56).txt</x:v>
      </x:c>
    </x:row>
    <x:row r="1311">
      <x:c r="A1311" t="n">
        <x:v>1310</x:v>
      </x:c>
      <x:c r="B1311" s="106" t="str"/>
      <x:c r="C1311" t="str">
        <x:v>Pasted text(56).txt</x:v>
      </x:c>
    </x:row>
    <x:row r="1312">
      <x:c r="A1312" t="n">
        <x:v>1311</x:v>
      </x:c>
      <x:c r="B1312" s="106" t="str">
        <x:v>LONG VALIDATION AT FIXED DAC 11.25</x:v>
      </x:c>
      <x:c r="C1312" t="str">
        <x:v>Pasted text(56).txt</x:v>
      </x:c>
    </x:row>
    <x:row r="1313">
      <x:c r="A1313" t="n">
        <x:v>1312</x:v>
      </x:c>
      <x:c r="B1313" s="106" t="str">
        <x:v>FINAL | point 1 | DAC 11.25 | CTRL X 1.19107 | X 1.18990 | Y 0.39355 | Z 0.63953 | TOTAL 1.40719 | error -0.74 % | MAD 0.40 % | CV 0.88 % | coh 93.8 % | dominant X | axis fraction 100.0 % | IN TARGET BAND</x:v>
      </x:c>
      <x:c r="C1313" t="str">
        <x:v>Pasted text(56).txt</x:v>
      </x:c>
    </x:row>
    <x:row r="1314">
      <x:c r="A1314" t="n">
        <x:v>1313</x:v>
      </x:c>
      <x:c r="B1314" s="106" t="str">
        <x:v>FINAL | point 2 | DAC 11.25 | CTRL X 1.16177 | X 1.16152 | Y 0.38830 | Z 0.64063 | TOTAL 1.38230 | error -3.19 % | MAD 2.09 % | CV 1.55 % | coh 92.5 % | dominant X | axis fraction 100.0 % | IN TARGET BAND</x:v>
      </x:c>
      <x:c r="C1314" t="str">
        <x:v>Pasted text(56).txt</x:v>
      </x:c>
    </x:row>
    <x:row r="1315">
      <x:c r="A1315" t="n">
        <x:v>1314</x:v>
      </x:c>
      <x:c r="B1315" s="106" t="str">
        <x:v>VALIDATION ACCEPTED | pair drift 2.49 %</x:v>
      </x:c>
      <x:c r="C1315" t="str">
        <x:v>Pasted text(56).txt</x:v>
      </x:c>
    </x:row>
    <x:row r="1316">
      <x:c r="A1316" t="n">
        <x:v>1315</x:v>
      </x:c>
      <x:c r="B1316" s="106" t="str"/>
      <x:c r="C1316" t="str">
        <x:v>Pasted text(56).txt</x:v>
      </x:c>
    </x:row>
    <x:row r="1317">
      <x:c r="A1317" t="n">
        <x:v>1316</x:v>
      </x:c>
      <x:c r="B1317" s="106" t="str">
        <x:v>FINAL VALIDATED BLIND FFT VERIFICATION</x:v>
      </x:c>
      <x:c r="C1317" t="str">
        <x:v>Pasted text(56).txt</x:v>
      </x:c>
    </x:row>
    <x:row r="1318">
      <x:c r="A1318" t="n">
        <x:v>1317</x:v>
      </x:c>
      <x:c r="B1318" s="106" t="str">
        <x:v>Commanded frequency: 268.00000 Hz</x:v>
      </x:c>
      <x:c r="C1318" t="str">
        <x:v>Pasted text(56).txt</x:v>
      </x:c>
    </x:row>
    <x:row r="1319">
      <x:c r="A1319" t="n">
        <x:v>1318</x:v>
      </x:c>
      <x:c r="B1319" s="106" t="str">
        <x:v>Accepted DAC: 11.25</x:v>
      </x:c>
      <x:c r="C1319" t="str">
        <x:v>Pasted text(56).txt</x:v>
      </x:c>
    </x:row>
    <x:row r="1320">
      <x:c r="A1320" t="n">
        <x:v>1319</x:v>
      </x:c>
      <x:c r="B1320" s="106" t="str">
        <x:v>Axis,Frequency_Hz,Amplitude_mps2,SNR_dB,Status</x:v>
      </x:c>
      <x:c r="C1320" t="str">
        <x:v>Pasted text(56).txt</x:v>
      </x:c>
    </x:row>
    <x:row r="1321">
      <x:c r="A1321" t="n">
        <x:v>1320</x:v>
      </x:c>
      <x:c r="B1321" s="106" t="str">
        <x:v>X,268.02769,1.07399,32.52,VALID</x:v>
      </x:c>
      <x:c r="C1321" t="str">
        <x:v>Pasted text(56).txt</x:v>
      </x:c>
    </x:row>
    <x:row r="1322">
      <x:c r="A1322" t="n">
        <x:v>1321</x:v>
      </x:c>
      <x:c r="B1322" s="106" t="str">
        <x:v>Y,268.03467,0.35987,26.41,VALID</x:v>
      </x:c>
      <x:c r="C1322" t="str">
        <x:v>Pasted text(56).txt</x:v>
      </x:c>
    </x:row>
    <x:row r="1323">
      <x:c r="A1323" t="n">
        <x:v>1322</x:v>
      </x:c>
      <x:c r="B1323" s="106" t="str">
        <x:v>Z,268.03188,0.58031,29.44,VALID</x:v>
      </x:c>
      <x:c r="C1323" t="str">
        <x:v>Pasted text(56).txt</x:v>
      </x:c>
    </x:row>
    <x:row r="1324">
      <x:c r="A1324" t="n">
        <x:v>1323</x:v>
      </x:c>
      <x:c r="B1324" s="106" t="str">
        <x:v>Combined frequency: 268.02912 Hz | difference 0.02912 Hz</x:v>
      </x:c>
      <x:c r="C1324" t="str">
        <x:v>Pasted text(56).txt</x:v>
      </x:c>
    </x:row>
    <x:row r="1325">
      <x:c r="A1325" t="n">
        <x:v>1324</x:v>
      </x:c>
      <x:c r="B1325" s="106" t="str">
        <x:v>Combined X/Y/Z/TOTAL: 0.98128 / 0.32934 / 0.53095 / 1.16331</x:v>
      </x:c>
      <x:c r="C1325" t="str">
        <x:v>Pasted text(56).txt</x:v>
      </x:c>
    </x:row>
    <x:row r="1326">
      <x:c r="A1326" t="n">
        <x:v>1325</x:v>
      </x:c>
      <x:c r="B1326" s="106" t="str">
        <x:v>SNR: 30.87 dB | dominant axis X</x:v>
      </x:c>
      <x:c r="C1326" t="str">
        <x:v>Pasted text(56).txt</x:v>
      </x:c>
    </x:row>
    <x:row r="1327">
      <x:c r="A1327" t="n">
        <x:v>1326</x:v>
      </x:c>
      <x:c r="B1327" s="106" t="str">
        <x:v>Frequency verification: PASS</x:v>
      </x:c>
      <x:c r="C1327" t="str">
        <x:v>Pasted text(56).txt</x:v>
      </x:c>
    </x:row>
    <x:row r="1328">
      <x:c r="A1328" t="n">
        <x:v>1327</x:v>
      </x:c>
      <x:c r="B1328" s="106" t="str">
        <x:v>Y/Z dominance: DIAGNOSTIC ONLY — ignored for pass/fail</x:v>
      </x:c>
      <x:c r="C1328" t="str">
        <x:v>Pasted text(56).txt</x:v>
      </x:c>
    </x:row>
    <x:row r="1329">
      <x:c r="A1329" t="n">
        <x:v>1328</x:v>
      </x:c>
      <x:c r="B1329" s="106" t="str"/>
      <x:c r="C1329" t="str">
        <x:v>Pasted text(56).txt</x:v>
      </x:c>
    </x:row>
    <x:row r="1330">
      <x:c r="A1330" t="n">
        <x:v>1329</x:v>
      </x:c>
      <x:c r="B1330" s="106" t="str">
        <x:v>FIXED-DAC HOLD VALIDATION</x:v>
      </x:c>
      <x:c r="C1330" t="str">
        <x:v>Pasted text(56).txt</x:v>
      </x:c>
    </x:row>
    <x:row r="1331">
      <x:c r="A1331" t="n">
        <x:v>1330</x:v>
      </x:c>
      <x:c r="B1331" s="106" t="str">
        <x:v>DAC remains fixed at 11.25 for 10 records.</x:v>
      </x:c>
      <x:c r="C1331" t="str">
        <x:v>Pasted text(56).txt</x:v>
      </x:c>
    </x:row>
    <x:row r="1332">
      <x:c r="A1332" t="n">
        <x:v>1331</x:v>
      </x:c>
      <x:c r="B1332" s="106" t="str">
        <x:v>HOLD | point 1 | DAC 11.25 | CTRL X 1.18000 | X 1.17833 | Y 0.37654 | Z 0.61836 | TOTAL 1.38336 | error -1.67 % | MAD 4.35 % | CV 3.16 % | coh 93.5 % | dominant X | axis fraction 100.0 % | IN TARGET BAND</x:v>
      </x:c>
      <x:c r="C1332" t="str">
        <x:v>Pasted text(56).txt</x:v>
      </x:c>
    </x:row>
    <x:row r="1333">
      <x:c r="A1333" t="n">
        <x:v>1332</x:v>
      </x:c>
      <x:c r="B1333" s="106" t="str">
        <x:v>HOLD | point 2 | DAC 11.25 | CTRL X 1.15412 | X 1.16920 | Y 0.38051 | Z 0.63374 | TOTAL 1.38333 | error -3.82 % | MAD 0.59 % | CV 2.58 % | coh 92.8 % | dominant X | axis fraction 100.0 % | IN TARGET BAND</x:v>
      </x:c>
      <x:c r="C1333" t="str">
        <x:v>Pasted text(56).txt</x:v>
      </x:c>
    </x:row>
    <x:row r="1334">
      <x:c r="A1334" t="n">
        <x:v>1333</x:v>
      </x:c>
      <x:c r="B1334" s="106" t="str">
        <x:v>HOLD | point 3 | DAC 11.25 | CTRL X 1.17600 | X 1.16833 | Y 0.39052 | Z 0.65010 | TOTAL 1.39291 | error -2.00 % | MAD 0.56 % | CV 1.48 % | coh 93.2 % | dominant X | axis fraction 100.0 % | IN TARGET BAND</x:v>
      </x:c>
      <x:c r="C1334" t="str">
        <x:v>Pasted text(56).txt</x:v>
      </x:c>
    </x:row>
    <x:row r="1335">
      <x:c r="A1335" t="n">
        <x:v>1334</x:v>
      </x:c>
      <x:c r="B1335" s="106" t="str">
        <x:v>HOLD | point 4 | DAC 11.25 | CTRL X 1.18551 | X 1.17941 | Y 0.39823 | Z 0.61689 | TOTAL 1.38939 | error -1.21 % | MAD 0.31 % | CV 1.09 % | coh 93.3 % | dominant X | axis fraction 100.0 % | IN TARGET BAND</x:v>
      </x:c>
      <x:c r="C1335" t="str">
        <x:v>Pasted text(56).txt</x:v>
      </x:c>
    </x:row>
    <x:row r="1336">
      <x:c r="A1336" t="n">
        <x:v>1335</x:v>
      </x:c>
      <x:c r="B1336" s="106" t="str">
        <x:v>HOLD | point 5 | DAC 11.25 | CTRL X 1.19015 | X 1.19256 | Y 0.39117 | Z 0.66161 | TOTAL 1.41888 | error -0.82 % | MAD 0.58 % | CV 0.72 % | coh 93.8 % | dominant X | axis fraction 100.0 % | IN TARGET BAND</x:v>
      </x:c>
      <x:c r="C1336" t="str">
        <x:v>Pasted text(56).txt</x:v>
      </x:c>
    </x:row>
    <x:row r="1337">
      <x:c r="A1337" t="n">
        <x:v>1336</x:v>
      </x:c>
      <x:c r="B1337" s="106" t="str">
        <x:v>HOLD | point 6 | DAC 11.25 | CTRL X 1.18881 | X 1.19170 | Y 0.37720 | Z 0.61654 | TOTAL 1.39386 | error -0.93 % | MAD 1.01 % | CV 1.06 % | coh 94.2 % | dominant X | axis fraction 100.0 % | IN TARGET BAND</x:v>
      </x:c>
      <x:c r="C1337" t="str">
        <x:v>Pasted text(56).txt</x:v>
      </x:c>
    </x:row>
    <x:row r="1338">
      <x:c r="A1338" t="n">
        <x:v>1337</x:v>
      </x:c>
      <x:c r="B1338" s="106" t="str">
        <x:v>HOLD | point 7 | DAC 11.25 | CTRL X 1.18838 | X 1.18922 | Y 0.38449 | Z 0.63012 | TOTAL 1.39992 | error -0.97 % | MAD 1.17 % | CV 0.90 % | coh 93.9 % | dominant X | axis fraction 100.0 % | IN TARGET BAND</x:v>
      </x:c>
      <x:c r="C1338" t="str">
        <x:v>Pasted text(56).txt</x:v>
      </x:c>
    </x:row>
    <x:row r="1339">
      <x:c r="A1339" t="n">
        <x:v>1338</x:v>
      </x:c>
      <x:c r="B1339" s="106" t="str">
        <x:v>HOLD | point 8 | DAC 11.25 | CTRL X 1.16847 | X 1.17731 | Y 0.39789 | Z 0.64485 | TOTAL 1.40018 | error -2.63 % | MAD 0.20 % | CV 1.42 % | coh 93.5 % | dominant X | axis fraction 100.0 % | IN TARGET BAND</x:v>
      </x:c>
      <x:c r="C1339" t="str">
        <x:v>Pasted text(56).txt</x:v>
      </x:c>
    </x:row>
    <x:row r="1340">
      <x:c r="A1340" t="n">
        <x:v>1339</x:v>
      </x:c>
      <x:c r="B1340" s="106" t="str">
        <x:v>HOLD | point 9 | DAC 11.25 | CTRL X 1.18391 | X 1.18033 | Y 0.38156 | Z 0.66184 | TOTAL 1.40608 | error -1.34 % | MAD 0.15 % | CV 0.61 % | coh 93.4 % | dominant X | axis fraction 100.0 % | IN TARGET BAND</x:v>
      </x:c>
      <x:c r="C1340" t="str">
        <x:v>Pasted text(56).txt</x:v>
      </x:c>
    </x:row>
    <x:row r="1341">
      <x:c r="A1341" t="n">
        <x:v>1340</x:v>
      </x:c>
      <x:c r="B1341" s="106" t="str">
        <x:v>HOLD | point 10 | DAC 11.25 | CTRL X 1.15716 | X 1.15752 | Y 0.37777 | Z 0.63997 | TOTAL 1.37561 | error -3.57 % | MAD 0.64 % | CV 0.48 % | coh 92.7 % | dominant X | axis fraction 100.0 % | IN TARGET BAND</x:v>
      </x:c>
      <x:c r="C1341" t="str">
        <x:v>Pasted text(56).txt</x:v>
      </x:c>
    </x:row>
    <x:row r="1342">
      <x:c r="A1342" t="n">
        <x:v>1341</x:v>
      </x:c>
      <x:c r="B1342" s="106" t="str"/>
      <x:c r="C1342" t="str">
        <x:v>Pasted text(56).txt</x:v>
      </x:c>
    </x:row>
    <x:row r="1343">
      <x:c r="A1343" t="n">
        <x:v>1342</x:v>
      </x:c>
      <x:c r="B1343" s="106" t="str">
        <x:v>HOLD SUMMARY</x:v>
      </x:c>
      <x:c r="C1343" t="str">
        <x:v>Pasted text(56).txt</x:v>
      </x:c>
    </x:row>
    <x:row r="1344">
      <x:c r="A1344" t="n">
        <x:v>1343</x:v>
      </x:c>
      <x:c r="B1344" s="106" t="str">
        <x:v>Valid / requested: 10 / 10</x:v>
      </x:c>
      <x:c r="C1344" t="str">
        <x:v>Pasted text(56).txt</x:v>
      </x:c>
    </x:row>
    <x:row r="1345">
      <x:c r="A1345" t="n">
        <x:v>1344</x:v>
      </x:c>
      <x:c r="B1345" s="106" t="str">
        <x:v>In band / requested: 10 / 10 = 100.0 %</x:v>
      </x:c>
      <x:c r="C1345" t="str">
        <x:v>Pasted text(56).txt</x:v>
      </x:c>
    </x:row>
    <x:row r="1346">
      <x:c r="A1346" t="n">
        <x:v>1345</x:v>
      </x:c>
      <x:c r="B1346" s="106" t="str">
        <x:v>Mean / SD / CV: 1.17725 / 0.01317 / 1.12 %</x:v>
      </x:c>
      <x:c r="C1346" t="str">
        <x:v>Pasted text(56).txt</x:v>
      </x:c>
    </x:row>
    <x:row r="1347">
      <x:c r="A1347" t="n">
        <x:v>1346</x:v>
      </x:c>
      <x:c r="B1347" s="106" t="str">
        <x:v>Min / Max: 1.15412 / 1.19015</x:v>
      </x:c>
      <x:c r="C1347" t="str">
        <x:v>Pasted text(56).txt</x:v>
      </x:c>
    </x:row>
    <x:row r="1348">
      <x:c r="A1348" t="n">
        <x:v>1347</x:v>
      </x:c>
      <x:c r="B1348" s="106" t="str">
        <x:v>HOLD RESULT: PASS</x:v>
      </x:c>
      <x:c r="C1348" t="str">
        <x:v>Pasted text(56).txt</x:v>
      </x:c>
    </x:row>
    <x:row r="1349">
      <x:c r="A1349" t="n">
        <x:v>1348</x:v>
      </x:c>
      <x:c r="B1349" s="106" t="str"/>
      <x:c r="C1349" t="str">
        <x:v>Pasted text(56).txt</x:v>
      </x:c>
    </x:row>
    <x:row r="1350">
      <x:c r="A1350" t="n">
        <x:v>1349</x:v>
      </x:c>
      <x:c r="B1350" s="106" t="str">
        <x:v>RUN RESULT: PASS</x:v>
      </x:c>
      <x:c r="C1350" t="str">
        <x:v>Pasted text(56).txt</x:v>
      </x:c>
    </x:row>
    <x:row r="1351">
      <x:c r="A1351" t="n">
        <x:v>1350</x:v>
      </x:c>
      <x:c r="B1351" s="106" t="str">
        <x:v>Selected DAC: 11.25</x:v>
      </x:c>
      <x:c r="C1351" t="str">
        <x:v>Pasted text(56).txt</x:v>
      </x:c>
    </x:row>
    <x:row r="1352">
      <x:c r="A1352" t="n">
        <x:v>1351</x:v>
      </x:c>
      <x:c r="B1352" s="106" t="str">
        <x:v>Validated amplitude: 1.17642 m/s^2 | error -1.96 %</x:v>
      </x:c>
      <x:c r="C1352" t="str">
        <x:v>Pasted text(56).txt</x:v>
      </x:c>
    </x:row>
    <x:row r="1353">
      <x:c r="A1353" t="n">
        <x:v>1352</x:v>
      </x:c>
      <x:c r="B1353" s="106" t="str">
        <x:v>FFT frequency: 268.02912 Hz | difference 0.02912 Hz</x:v>
      </x:c>
      <x:c r="C1353" t="str">
        <x:v>Pasted text(56).txt</x:v>
      </x:c>
    </x:row>
    <x:row r="1354">
      <x:c r="A1354" t="n">
        <x:v>1353</x:v>
      </x:c>
      <x:c r="B1354" s="106" t="str"/>
      <x:c r="C1354" t="str">
        <x:v>Pasted text(56).txt</x:v>
      </x:c>
    </x:row>
    <x:row r="1355">
      <x:c r="A1355" t="n">
        <x:v>1354</x:v>
      </x:c>
      <x:c r="B1355" s="106" t="str">
        <x:v>VISATON OFF. RESTING 5.0 s BEFORE THE NEXT COMPLETELY FRESH RUN.</x:v>
      </x:c>
      <x:c r="C1355" t="str">
        <x:v>Pasted text(56).txt</x:v>
      </x:c>
    </x:row>
    <x:row r="1356">
      <x:c r="A1356" t="n">
        <x:v>1355</x:v>
      </x:c>
      <x:c r="B1356" s="106" t="str"/>
      <x:c r="C1356" t="str">
        <x:v>Pasted text(56).txt</x:v>
      </x:c>
    </x:row>
    <x:row r="1357">
      <x:c r="A1357" t="n">
        <x:v>1356</x:v>
      </x:c>
      <x:c r="B1357" s="106" t="str">
        <x:v>################################################################################</x:v>
      </x:c>
      <x:c r="C1357" t="str">
        <x:v>Pasted text(56).txt</x:v>
      </x:c>
    </x:row>
    <x:row r="1358">
      <x:c r="A1358" t="n">
        <x:v>1357</x:v>
      </x:c>
      <x:c r="B1358" s="106" t="str">
        <x:v>INDEPENDENT TARGET-AMPLITUDE RUN 4 OF 5</x:v>
      </x:c>
      <x:c r="C1358" t="str">
        <x:v>Pasted text(56).txt</x:v>
      </x:c>
    </x:row>
    <x:row r="1359">
      <x:c r="A1359" t="n">
        <x:v>1358</x:v>
      </x:c>
      <x:c r="B1359" s="106" t="str">
        <x:v>################################################################################</x:v>
      </x:c>
      <x:c r="C1359" t="str">
        <x:v>Pasted text(56).txt</x:v>
      </x:c>
    </x:row>
    <x:row r="1360">
      <x:c r="A1360" t="n">
        <x:v>1359</x:v>
      </x:c>
      <x:c r="B1360" s="106" t="str">
        <x:v>Frequency: 268.00000 Hz</x:v>
      </x:c>
      <x:c r="C1360" t="str">
        <x:v>Pasted text(56).txt</x:v>
      </x:c>
    </x:row>
    <x:row r="1361">
      <x:c r="A1361" t="n">
        <x:v>1360</x:v>
      </x:c>
      <x:c r="B1361" s="106" t="str">
        <x:v>Target X amplitude: 1.20000 m/s^2 peak, tolerance +/-7.50 %</x:v>
      </x:c>
      <x:c r="C1361" t="str">
        <x:v>Pasted text(56).txt</x:v>
      </x:c>
    </x:row>
    <x:row r="1362">
      <x:c r="A1362" t="n">
        <x:v>1361</x:v>
      </x:c>
      <x:c r="B1362" s="106" t="str">
        <x:v>This run starts from DAC 1.00 and ignores every earlier selected DAC.</x:v>
      </x:c>
      <x:c r="C1362" t="str">
        <x:v>Pasted text(56).txt</x:v>
      </x:c>
    </x:row>
    <x:row r="1363">
      <x:c r="A1363" t="n">
        <x:v>1362</x:v>
      </x:c>
      <x:c r="B1363" s="106" t="str">
        <x:v>ADXL2 DEVID/DATA_FORMAT/BW_RATE/POWER_CTL: 0xE5 / 0xB / 0xE / 0x8</x:v>
      </x:c>
      <x:c r="C1363" t="str">
        <x:v>Pasted text(56).txt</x:v>
      </x:c>
    </x:row>
    <x:row r="1364">
      <x:c r="A1364" t="n">
        <x:v>1363</x:v>
      </x:c>
      <x:c r="B1364" s="106" t="str"/>
      <x:c r="C1364" t="str">
        <x:v>Pasted text(56).txt</x:v>
      </x:c>
    </x:row>
    <x:row r="1365">
      <x:c r="A1365" t="n">
        <x:v>1364</x:v>
      </x:c>
      <x:c r="B1365" s="106" t="str">
        <x:v>ACQUISITION ATTEMPT 1 OF 2</x:v>
      </x:c>
      <x:c r="C1365" t="str">
        <x:v>Pasted text(56).txt</x:v>
      </x:c>
    </x:row>
    <x:row r="1366">
      <x:c r="A1366" t="n">
        <x:v>1365</x:v>
      </x:c>
      <x:c r="B1366" s="106" t="str"/>
      <x:c r="C1366" t="str">
        <x:v>Pasted text(56).txt</x:v>
      </x:c>
    </x:row>
    <x:row r="1367">
      <x:c r="A1367" t="n">
        <x:v>1366</x:v>
      </x:c>
      <x:c r="B1367" s="106" t="str">
        <x:v>FRESH X-AXIS SEARCH FROM DAC 1.00 — OLD DAC VALUES ARE NOT USED</x:v>
      </x:c>
      <x:c r="C1367" t="str">
        <x:v>Pasted text(56).txt</x:v>
      </x:c>
    </x:row>
    <x:row r="1368">
      <x:c r="A1368" t="n">
        <x:v>1367</x:v>
      </x:c>
      <x:c r="B1368" s="106" t="str">
        <x:v>Y/Z are diagnostic only and cannot abort this search.</x:v>
      </x:c>
      <x:c r="C1368" t="str">
        <x:v>Pasted text(56).txt</x:v>
      </x:c>
    </x:row>
    <x:row r="1369">
      <x:c r="A1369" t="n">
        <x:v>1368</x:v>
      </x:c>
      <x:c r="B1369" s="106" t="str">
        <x:v>A real SPI fault, clipping, safety limit or confirmed X-response collapse will stop it.</x:v>
      </x:c>
      <x:c r="C1369" t="str">
        <x:v>Pasted text(56).txt</x:v>
      </x:c>
    </x:row>
    <x:row r="1370">
      <x:c r="A1370" t="n">
        <x:v>1369</x:v>
      </x:c>
      <x:c r="B1370" s="106" t="str">
        <x:v>SEARCH | point 1 | DAC 1.00 | CTRL X 0.01948 | X 0.02090 | Y 0.01069 | Z 0.02290 | TOTAL 0.03288 | error -98.38 % | MAD 21.71 % | CV 9.65 % | coh 10.3 % | dominant Z | axis fraction 91.3 % | BELOW MEASUREMENT FLOOR — SEARCH CONTINUES</x:v>
      </x:c>
      <x:c r="C1370" t="str">
        <x:v>Pasted text(56).txt</x:v>
      </x:c>
    </x:row>
    <x:row r="1371">
      <x:c r="A1371" t="n">
        <x:v>1370</x:v>
      </x:c>
      <x:c r="B1371" s="106" t="str">
        <x:v>SEARCH | point 2 | DAC 3.00 | CTRL X 0.16943 | X 0.16894 | Y 0.06563 | Z 0.11858 | TOTAL 0.21670 | error -85.88 % | MAD 0.85 % | CV 0.41 % | coh 58.8 % | dominant X | axis fraction 100.0 % | VALID</x:v>
      </x:c>
      <x:c r="C1371" t="str">
        <x:v>Pasted text(56).txt</x:v>
      </x:c>
    </x:row>
    <x:row r="1372">
      <x:c r="A1372" t="n">
        <x:v>1371</x:v>
      </x:c>
      <x:c r="B1372" s="106" t="str">
        <x:v>SEARCH | point 3 | DAC 5.00 | CTRL X 0.39192 | X 0.39213 | Y 0.12748 | Z 0.25730 | TOTAL 0.48615 | error -67.34 % | MAD 2.15 % | CV 1.53 % | coh 80.5 % | dominant X | axis fraction 100.0 % | VALID</x:v>
      </x:c>
      <x:c r="C1372" t="str">
        <x:v>Pasted text(56).txt</x:v>
      </x:c>
    </x:row>
    <x:row r="1373">
      <x:c r="A1373" t="n">
        <x:v>1372</x:v>
      </x:c>
      <x:c r="B1373" s="106" t="str">
        <x:v>SEARCH | point 4 | DAC 6.00 | CTRL X 0.52053 | X 0.51929 | Y 0.19981 | Z 0.32101 | TOTAL 0.64262 | error -56.62 % | MAD 2.83 % | CV 2.28 % | coh 87.5 % | dominant X | axis fraction 100.0 % | VALID</x:v>
      </x:c>
      <x:c r="C1373" t="str">
        <x:v>Pasted text(56).txt</x:v>
      </x:c>
    </x:row>
    <x:row r="1374">
      <x:c r="A1374" t="n">
        <x:v>1373</x:v>
      </x:c>
      <x:c r="B1374" s="106" t="str">
        <x:v>SEARCH | point 5 | DAC 7.00 | CTRL X 0.64133 | X 0.63721 | Y 0.22959 | Z 0.38722 | TOTAL 0.78080 | error -46.56 % | MAD 1.38 % | CV 1.99 % | coh 89.5 % | dominant X | axis fraction 100.0 % | VALID</x:v>
      </x:c>
      <x:c r="C1374" t="str">
        <x:v>Pasted text(56).txt</x:v>
      </x:c>
    </x:row>
    <x:row r="1375">
      <x:c r="A1375" t="n">
        <x:v>1374</x:v>
      </x:c>
      <x:c r="B1375" s="106" t="str">
        <x:v>SEARCH | point 6 | DAC 8.00 | CTRL X 0.74042 | X 0.75481 | Y 0.26493 | Z 0.44558 | TOTAL 0.91603 | error -38.30 % | MAD 0.55 % | CV 3.62 % | coh 91.2 % | dominant X | axis fraction 100.0 % | VALID</x:v>
      </x:c>
      <x:c r="C1375" t="str">
        <x:v>Pasted text(56).txt</x:v>
      </x:c>
    </x:row>
    <x:row r="1376">
      <x:c r="A1376" t="n">
        <x:v>1375</x:v>
      </x:c>
      <x:c r="B1376" s="106" t="str">
        <x:v>SEARCH | point 7 | DAC 8.50 | CTRL X 0.79925 | X 0.79718 | Y 0.27703 | Z 0.45612 | TOTAL 0.95934 | error -33.40 % | MAD 1.21 % | CV 1.23 % | coh 90.7 % | dominant X | axis fraction 100.0 % | VALID</x:v>
      </x:c>
      <x:c r="C1376" t="str">
        <x:v>Pasted text(56).txt</x:v>
      </x:c>
    </x:row>
    <x:row r="1377">
      <x:c r="A1377" t="n">
        <x:v>1376</x:v>
      </x:c>
      <x:c r="B1377" s="106" t="str">
        <x:v>SEARCH | point 8 | DAC 9.00 | CTRL X 0.89133 | X 0.89237 | Y 0.29686 | Z 0.50696 | TOTAL 1.06856 | error -25.72 % | MAD 1.80 % | CV 1.39 % | coh 91.5 % | dominant X | axis fraction 100.0 % | VALID</x:v>
      </x:c>
      <x:c r="C1377" t="str">
        <x:v>Pasted text(56).txt</x:v>
      </x:c>
    </x:row>
    <x:row r="1378">
      <x:c r="A1378" t="n">
        <x:v>1377</x:v>
      </x:c>
      <x:c r="B1378" s="106" t="str">
        <x:v>SEARCH | point 9 | DAC 9.50 | CTRL X 0.93992 | X 0.93629 | Y 0.32329 | Z 0.51723 | TOTAL 1.11766 | error -21.67 % | MAD 1.17 % | CV 1.42 % | coh 92.0 % | dominant X | axis fraction 100.0 % | VALID</x:v>
      </x:c>
      <x:c r="C1378" t="str">
        <x:v>Pasted text(56).txt</x:v>
      </x:c>
    </x:row>
    <x:row r="1379">
      <x:c r="A1379" t="n">
        <x:v>1378</x:v>
      </x:c>
      <x:c r="B1379" s="106" t="str">
        <x:v>SEARCH | point 10 | DAC 10.00 | CTRL X 1.02319 | X 1.02477 | Y 0.32234 | Z 0.57744 | TOTAL 1.21978 | error -14.73 % | MAD 0.48 % | CV 0.57 % | coh 93.1 % | dominant X | axis fraction 100.0 % | VALID</x:v>
      </x:c>
      <x:c r="C1379" t="str">
        <x:v>Pasted text(56).txt</x:v>
      </x:c>
    </x:row>
    <x:row r="1380">
      <x:c r="A1380" t="n">
        <x:v>1379</x:v>
      </x:c>
      <x:c r="B1380" s="106" t="str">
        <x:v>SEARCH | point 11 | DAC 10.25 | CTRL X 1.05472 | X 1.05392 | Y 0.34936 | Z 0.56225 | TOTAL 1.24469 | error -12.11 % | MAD 0.24 % | CV 0.29 % | coh 93.6 % | dominant X | axis fraction 100.0 % | VALID</x:v>
      </x:c>
      <x:c r="C1380" t="str">
        <x:v>Pasted text(56).txt</x:v>
      </x:c>
    </x:row>
    <x:row r="1381">
      <x:c r="A1381" t="n">
        <x:v>1380</x:v>
      </x:c>
      <x:c r="B1381" s="106" t="str">
        <x:v>SEARCH | point 12 | DAC 10.50 | CTRL X 1.07176 | X 1.07464 | Y 0.37603 | Z 0.59891 | TOTAL 1.28663 | error -10.69 % | MAD 0.67 % | CV 0.88 % | coh 92.9 % | dominant X | axis fraction 100.0 % | VALID</x:v>
      </x:c>
      <x:c r="C1381" t="str">
        <x:v>Pasted text(56).txt</x:v>
      </x:c>
    </x:row>
    <x:row r="1382">
      <x:c r="A1382" t="n">
        <x:v>1381</x:v>
      </x:c>
      <x:c r="B1382" s="106" t="str">
        <x:v>SEARCH | point 13 | DAC 10.75 | CTRL X 1.11536 | X 1.11733 | Y 0.37109 | Z 0.61666 | TOTAL 1.32907 | error -7.05 % | MAD 0.45 % | CV 0.59 % | coh 93.0 % | dominant X | axis fraction 100.0 % | IN TARGET BAND</x:v>
      </x:c>
      <x:c r="C1382" t="str">
        <x:v>Pasted text(56).txt</x:v>
      </x:c>
    </x:row>
    <x:row r="1383">
      <x:c r="A1383" t="n">
        <x:v>1382</x:v>
      </x:c>
      <x:c r="B1383" s="106" t="str"/>
      <x:c r="C1383" t="str">
        <x:v>Pasted text(56).txt</x:v>
      </x:c>
    </x:row>
    <x:row r="1384">
      <x:c r="A1384" t="n">
        <x:v>1383</x:v>
      </x:c>
      <x:c r="B1384" s="106" t="str">
        <x:v>LOCAL 0.25-DAC X-AXIS FINE SCAN</x:v>
      </x:c>
      <x:c r="C1384" t="str">
        <x:v>Pasted text(56).txt</x:v>
      </x:c>
    </x:row>
    <x:row r="1385">
      <x:c r="A1385" t="n">
        <x:v>1384</x:v>
      </x:c>
      <x:c r="B1385" s="106" t="str">
        <x:v>Only a valid point actually inside the X target band may be selected.</x:v>
      </x:c>
      <x:c r="C1385" t="str">
        <x:v>Pasted text(56).txt</x:v>
      </x:c>
    </x:row>
    <x:row r="1386">
      <x:c r="A1386" t="n">
        <x:v>1385</x:v>
      </x:c>
      <x:c r="B1386" s="106" t="str">
        <x:v>FINE | point 1 | DAC 9.75 | CTRL X 0.99410 | X 0.99103 | Y 0.33459 | Z 0.56034 | TOTAL 1.18685 | error -17.16 % | MAD 1.65 % | CV 1.61 % | coh 92.8 % | dominant X | axis fraction 100.0 % | VALID</x:v>
      </x:c>
      <x:c r="C1386" t="str">
        <x:v>Pasted text(56).txt</x:v>
      </x:c>
    </x:row>
    <x:row r="1387">
      <x:c r="A1387" t="n">
        <x:v>1386</x:v>
      </x:c>
      <x:c r="B1387" s="106" t="str">
        <x:v>FINE | point 2 | DAC 10.00 | CTRL X 1.03325 | X 1.02814 | Y 0.33311 | Z 0.54895 | TOTAL 1.21234 | error -13.90 % | MAD 2.77 % | CV 2.66 % | coh 92.5 % | dominant X | axis fraction 100.0 % | VALID</x:v>
      </x:c>
      <x:c r="C1387" t="str">
        <x:v>Pasted text(56).txt</x:v>
      </x:c>
    </x:row>
    <x:row r="1388">
      <x:c r="A1388" t="n">
        <x:v>1387</x:v>
      </x:c>
      <x:c r="B1388" s="106" t="str">
        <x:v>FINE | point 3 | DAC 10.25 | CTRL X 1.06600 | X 1.06276 | Y 0.36590 | Z 0.58009 | TOTAL 1.26492 | error -11.17 % | MAD 0.01 % | CV 0.54 % | coh 94.0 % | dominant X | axis fraction 100.0 % | VALID</x:v>
      </x:c>
      <x:c r="C1388" t="str">
        <x:v>Pasted text(56).txt</x:v>
      </x:c>
    </x:row>
    <x:row r="1389">
      <x:c r="A1389" t="n">
        <x:v>1388</x:v>
      </x:c>
      <x:c r="B1389" s="106" t="str">
        <x:v>FINE | point 4 | DAC 10.50 | CTRL X 1.06559 | X 1.06615 | Y 0.34784 | Z 0.58433 | TOTAL 1.26464 | error -11.20 % | MAD 1.96 % | CV 1.40 % | coh 91.8 % | dominant X | axis fraction 100.0 % | VALID</x:v>
      </x:c>
      <x:c r="C1389" t="str">
        <x:v>Pasted text(56).txt</x:v>
      </x:c>
    </x:row>
    <x:row r="1390">
      <x:c r="A1390" t="n">
        <x:v>1389</x:v>
      </x:c>
      <x:c r="B1390" s="106" t="str">
        <x:v>FINE | point 5 | DAC 10.75 | CTRL X 1.12860 | X 1.12534 | Y 0.37294 | Z 0.59196 | TOTAL 1.32535 | error -5.95 % | MAD 1.02 % | CV 1.15 % | coh 93.0 % | dominant X | axis fraction 100.0 % | IN TARGET BAND</x:v>
      </x:c>
      <x:c r="C1390" t="str">
        <x:v>Pasted text(56).txt</x:v>
      </x:c>
    </x:row>
    <x:row r="1391">
      <x:c r="A1391" t="n">
        <x:v>1390</x:v>
      </x:c>
      <x:c r="B1391" s="106" t="str">
        <x:v>FINE | point 6 | DAC 11.00 | CTRL X 1.14150 | X 1.13849 | Y 0.37697 | Z 0.67087 | TOTAL 1.37454 | error -4.87 % | MAD 0.86 % | CV 1.01 % | coh 92.2 % | dominant X | axis fraction 100.0 % | IN TARGET BAND</x:v>
      </x:c>
      <x:c r="C1391" t="str">
        <x:v>Pasted text(56).txt</x:v>
      </x:c>
    </x:row>
    <x:row r="1392">
      <x:c r="A1392" t="n">
        <x:v>1391</x:v>
      </x:c>
      <x:c r="B1392" s="106" t="str">
        <x:v>FINE | point 7 | DAC 11.25 | CTRL X 1.19013 | X 1.19161 | Y 0.40472 | Z 0.64054 | TOTAL 1.41232 | error -0.82 % | MAD 3.51 % | CV 2.55 % | coh 93.2 % | dominant X | axis fraction 100.0 % | IN TARGET BAND</x:v>
      </x:c>
      <x:c r="C1392" t="str">
        <x:v>Pasted text(56).txt</x:v>
      </x:c>
    </x:row>
    <x:row r="1393">
      <x:c r="A1393" t="n">
        <x:v>1392</x:v>
      </x:c>
      <x:c r="B1393" s="106" t="str">
        <x:v>FINE | point 8 | DAC 11.50 | CTRL X 1.20927 | X 1.20727 | Y 0.40125 | Z 0.63201 | TOTAL 1.42069 | error 0.77 % | MAD 1.44 % | CV 1.23 % | coh 93.7 % | dominant X | axis fraction 100.0 % | IN TARGET BAND</x:v>
      </x:c>
      <x:c r="C1393" t="str">
        <x:v>Pasted text(56).txt</x:v>
      </x:c>
    </x:row>
    <x:row r="1394">
      <x:c r="A1394" t="n">
        <x:v>1393</x:v>
      </x:c>
      <x:c r="B1394" s="106" t="str">
        <x:v>FINE | point 9 | DAC 11.75 | CTRL X 1.26442 | X 1.26508 | Y 0.40430 | Z 0.65791 | TOTAL 1.48223 | error 5.37 % | MAD 1.16 % | CV 0.86 % | coh 92.9 % | dominant X | axis fraction 100.0 % | IN TARGET BAND</x:v>
      </x:c>
      <x:c r="C1394" t="str">
        <x:v>Pasted text(56).txt</x:v>
      </x:c>
    </x:row>
    <x:row r="1395">
      <x:c r="A1395" t="n">
        <x:v>1394</x:v>
      </x:c>
      <x:c r="B1395" s="106" t="str"/>
      <x:c r="C1395" t="str">
        <x:v>Pasted text(56).txt</x:v>
      </x:c>
    </x:row>
    <x:row r="1396">
      <x:c r="A1396" t="n">
        <x:v>1395</x:v>
      </x:c>
      <x:c r="B1396" s="106" t="str">
        <x:v>LONG VALIDATION AT FIXED DAC 11.50</x:v>
      </x:c>
      <x:c r="C1396" t="str">
        <x:v>Pasted text(56).txt</x:v>
      </x:c>
    </x:row>
    <x:row r="1397">
      <x:c r="A1397" t="n">
        <x:v>1396</x:v>
      </x:c>
      <x:c r="B1397" s="106" t="str">
        <x:v>FINAL | point 1 | DAC 11.50 | CTRL X 1.20076 | X 1.19870 | Y 0.38673 | Z 0.62833 | TOTAL 1.40797 | error 0.06 % | MAD 1.59 % | CV 2.21 % | coh 93.2 % | dominant X | axis fraction 100.0 % | IN TARGET BAND</x:v>
      </x:c>
      <x:c r="C1397" t="str">
        <x:v>Pasted text(56).txt</x:v>
      </x:c>
    </x:row>
    <x:row r="1398">
      <x:c r="A1398" t="n">
        <x:v>1397</x:v>
      </x:c>
      <x:c r="B1398" s="106" t="str">
        <x:v>FINAL | point 2 | DAC 11.50 | CTRL X 1.20863 | X 1.21531 | Y 0.40583 | Z 0.65463 | TOTAL 1.43920 | error 0.72 % | MAD 2.38 % | CV 2.05 % | coh 93.3 % | dominant X | axis fraction 100.0 % | IN TARGET BAND</x:v>
      </x:c>
      <x:c r="C1398" t="str">
        <x:v>Pasted text(56).txt</x:v>
      </x:c>
    </x:row>
    <x:row r="1399">
      <x:c r="A1399" t="n">
        <x:v>1398</x:v>
      </x:c>
      <x:c r="B1399" s="106" t="str">
        <x:v>VALIDATION ACCEPTED | pair drift 0.65 %</x:v>
      </x:c>
      <x:c r="C1399" t="str">
        <x:v>Pasted text(56).txt</x:v>
      </x:c>
    </x:row>
    <x:row r="1400">
      <x:c r="A1400" t="n">
        <x:v>1399</x:v>
      </x:c>
      <x:c r="B1400" s="106" t="str"/>
      <x:c r="C1400" t="str">
        <x:v>Pasted text(56).txt</x:v>
      </x:c>
    </x:row>
    <x:row r="1401">
      <x:c r="A1401" t="n">
        <x:v>1400</x:v>
      </x:c>
      <x:c r="B1401" s="106" t="str">
        <x:v>FINAL VALIDATED BLIND FFT VERIFICATION</x:v>
      </x:c>
      <x:c r="C1401" t="str">
        <x:v>Pasted text(56).txt</x:v>
      </x:c>
    </x:row>
    <x:row r="1402">
      <x:c r="A1402" t="n">
        <x:v>1401</x:v>
      </x:c>
      <x:c r="B1402" s="106" t="str">
        <x:v>Commanded frequency: 268.00000 Hz</x:v>
      </x:c>
      <x:c r="C1402" t="str">
        <x:v>Pasted text(56).txt</x:v>
      </x:c>
    </x:row>
    <x:row r="1403">
      <x:c r="A1403" t="n">
        <x:v>1402</x:v>
      </x:c>
      <x:c r="B1403" s="106" t="str">
        <x:v>Accepted DAC: 11.50</x:v>
      </x:c>
      <x:c r="C1403" t="str">
        <x:v>Pasted text(56).txt</x:v>
      </x:c>
    </x:row>
    <x:row r="1404">
      <x:c r="A1404" t="n">
        <x:v>1403</x:v>
      </x:c>
      <x:c r="B1404" s="106" t="str">
        <x:v>Axis,Frequency_Hz,Amplitude_mps2,SNR_dB,Status</x:v>
      </x:c>
      <x:c r="C1404" t="str">
        <x:v>Pasted text(56).txt</x:v>
      </x:c>
    </x:row>
    <x:row r="1405">
      <x:c r="A1405" t="n">
        <x:v>1404</x:v>
      </x:c>
      <x:c r="B1405" s="106" t="str">
        <x:v>X,268.01152,1.10250,32.51,VALID</x:v>
      </x:c>
      <x:c r="C1405" t="str">
        <x:v>Pasted text(56).txt</x:v>
      </x:c>
    </x:row>
    <x:row r="1406">
      <x:c r="A1406" t="n">
        <x:v>1405</x:v>
      </x:c>
      <x:c r="B1406" s="106" t="str">
        <x:v>Y,268.01500,0.35748,26.37,VALID</x:v>
      </x:c>
      <x:c r="C1406" t="str">
        <x:v>Pasted text(56).txt</x:v>
      </x:c>
    </x:row>
    <x:row r="1407">
      <x:c r="A1407" t="n">
        <x:v>1406</x:v>
      </x:c>
      <x:c r="B1407" s="106" t="str">
        <x:v>Z,268.04769,0.58345,29.20,VALID</x:v>
      </x:c>
      <x:c r="C1407" t="str">
        <x:v>Pasted text(56).txt</x:v>
      </x:c>
    </x:row>
    <x:row r="1408">
      <x:c r="A1408" t="n">
        <x:v>1407</x:v>
      </x:c>
      <x:c r="B1408" s="106" t="str">
        <x:v>Combined frequency: 268.01924 Hz | difference 0.01924 Hz</x:v>
      </x:c>
      <x:c r="C1408" t="str">
        <x:v>Pasted text(56).txt</x:v>
      </x:c>
    </x:row>
    <x:row r="1409">
      <x:c r="A1409" t="n">
        <x:v>1408</x:v>
      </x:c>
      <x:c r="B1409" s="106" t="str">
        <x:v>Combined X/Y/Z/TOTAL: 1.00376 / 0.32549 / 0.53479 / 1.18299</x:v>
      </x:c>
      <x:c r="C1409" t="str">
        <x:v>Pasted text(56).txt</x:v>
      </x:c>
    </x:row>
    <x:row r="1410">
      <x:c r="A1410" t="n">
        <x:v>1409</x:v>
      </x:c>
      <x:c r="B1410" s="106" t="str">
        <x:v>SNR: 30.84 dB | dominant axis X</x:v>
      </x:c>
      <x:c r="C1410" t="str">
        <x:v>Pasted text(56).txt</x:v>
      </x:c>
    </x:row>
    <x:row r="1411">
      <x:c r="A1411" t="n">
        <x:v>1410</x:v>
      </x:c>
      <x:c r="B1411" s="106" t="str">
        <x:v>Frequency verification: PASS</x:v>
      </x:c>
      <x:c r="C1411" t="str">
        <x:v>Pasted text(56).txt</x:v>
      </x:c>
    </x:row>
    <x:row r="1412">
      <x:c r="A1412" t="n">
        <x:v>1411</x:v>
      </x:c>
      <x:c r="B1412" s="106" t="str">
        <x:v>Y/Z dominance: DIAGNOSTIC ONLY — ignored for pass/fail</x:v>
      </x:c>
      <x:c r="C1412" t="str">
        <x:v>Pasted text(56).txt</x:v>
      </x:c>
    </x:row>
    <x:row r="1413">
      <x:c r="A1413" t="n">
        <x:v>1412</x:v>
      </x:c>
      <x:c r="B1413" s="106" t="str"/>
      <x:c r="C1413" t="str">
        <x:v>Pasted text(56).txt</x:v>
      </x:c>
    </x:row>
    <x:row r="1414">
      <x:c r="A1414" t="n">
        <x:v>1413</x:v>
      </x:c>
      <x:c r="B1414" s="106" t="str">
        <x:v>FIXED-DAC HOLD VALIDATION</x:v>
      </x:c>
      <x:c r="C1414" t="str">
        <x:v>Pasted text(56).txt</x:v>
      </x:c>
    </x:row>
    <x:row r="1415">
      <x:c r="A1415" t="n">
        <x:v>1414</x:v>
      </x:c>
      <x:c r="B1415" s="106" t="str">
        <x:v>DAC remains fixed at 11.50 for 10 records.</x:v>
      </x:c>
      <x:c r="C1415" t="str">
        <x:v>Pasted text(56).txt</x:v>
      </x:c>
    </x:row>
    <x:row r="1416">
      <x:c r="A1416" t="n">
        <x:v>1415</x:v>
      </x:c>
      <x:c r="B1416" s="106" t="str">
        <x:v>HOLD | point 1 | DAC 11.50 | CTRL X 1.19998 | X 1.19702 | Y 0.37821 | Z 0.64872 | TOTAL 1.41330 | error -0.00 % | MAD 0.15 % | CV 0.52 % | coh 92.8 % | dominant X | axis fraction 100.0 % | IN TARGET BAND</x:v>
      </x:c>
      <x:c r="C1416" t="str">
        <x:v>Pasted text(56).txt</x:v>
      </x:c>
    </x:row>
    <x:row r="1417">
      <x:c r="A1417" t="n">
        <x:v>1416</x:v>
      </x:c>
      <x:c r="B1417" s="106" t="str">
        <x:v>HOLD | point 2 | DAC 11.50 | CTRL X 1.20183 | X 1.20616 | Y 0.39267 | Z 0.65590 | TOTAL 1.42823 | error 0.15 % | MAD 0.69 % | CV 1.05 % | coh 93.7 % | dominant X | axis fraction 100.0 % | IN TARGET BAND</x:v>
      </x:c>
      <x:c r="C1417" t="str">
        <x:v>Pasted text(56).txt</x:v>
      </x:c>
    </x:row>
    <x:row r="1418">
      <x:c r="A1418" t="n">
        <x:v>1417</x:v>
      </x:c>
      <x:c r="B1418" s="106" t="str">
        <x:v>HOLD | point 3 | DAC 11.50 | CTRL X 1.22546 | X 1.22293 | Y 0.40105 | Z 0.64101 | TOTAL 1.43794 | error 2.12 % | MAD 0.90 % | CV 0.93 % | coh 93.8 % | dominant X | axis fraction 100.0 % | IN TARGET BAND</x:v>
      </x:c>
      <x:c r="C1418" t="str">
        <x:v>Pasted text(56).txt</x:v>
      </x:c>
    </x:row>
    <x:row r="1419">
      <x:c r="A1419" t="n">
        <x:v>1418</x:v>
      </x:c>
      <x:c r="B1419" s="106" t="str">
        <x:v>HOLD | point 4 | DAC 11.50 | CTRL X 1.23906 | X 1.23866 | Y 0.39079 | Z 0.64234 | TOTAL 1.44956 | error 3.25 % | MAD 2.80 % | CV 1.94 % | coh 94.2 % | dominant X | axis fraction 100.0 % | IN TARGET BAND</x:v>
      </x:c>
      <x:c r="C1419" t="str">
        <x:v>Pasted text(56).txt</x:v>
      </x:c>
    </x:row>
    <x:row r="1420">
      <x:c r="A1420" t="n">
        <x:v>1419</x:v>
      </x:c>
      <x:c r="B1420" s="106" t="str">
        <x:v>HOLD | point 5 | DAC 11.50 | CTRL X 1.21278 | X 1.20814 | Y 0.39954 | Z 0.65554 | TOTAL 1.43159 | error 1.06 % | MAD 0.81 % | CV 1.17 % | coh 93.7 % | dominant X | axis fraction 100.0 % | IN TARGET BAND</x:v>
      </x:c>
      <x:c r="C1420" t="str">
        <x:v>Pasted text(56).txt</x:v>
      </x:c>
    </x:row>
    <x:row r="1421">
      <x:c r="A1421" t="n">
        <x:v>1420</x:v>
      </x:c>
      <x:c r="B1421" s="106" t="str">
        <x:v>HOLD | point 6 | DAC 11.50 | CTRL X 1.18070 | X 1.18546 | Y 0.36800 | Z 0.65860 | TOTAL 1.40548 | error -1.61 % | MAD 1.46 % | CV 1.62 % | coh 92.3 % | dominant X | axis fraction 100.0 % | IN TARGET BAND</x:v>
      </x:c>
      <x:c r="C1421" t="str">
        <x:v>Pasted text(56).txt</x:v>
      </x:c>
    </x:row>
    <x:row r="1422">
      <x:c r="A1422" t="n">
        <x:v>1421</x:v>
      </x:c>
      <x:c r="B1422" s="106" t="str">
        <x:v>HOLD | point 7 | DAC 11.50 | CTRL X 1.19370 | X 1.20295 | Y 0.39713 | Z 0.64039 | TOTAL 1.41958 | error -0.53 % | MAD 0.61 % | CV 1.70 % | coh 92.7 % | dominant X | axis fraction 100.0 % | IN TARGET BAND</x:v>
      </x:c>
      <x:c r="C1422" t="str">
        <x:v>Pasted text(56).txt</x:v>
      </x:c>
    </x:row>
    <x:row r="1423">
      <x:c r="A1423" t="n">
        <x:v>1422</x:v>
      </x:c>
      <x:c r="B1423" s="106" t="str">
        <x:v>HOLD | point 8 | DAC 11.50 | CTRL X 1.22714 | X 1.22514 | Y 0.39959 | Z 0.65901 | TOTAL 1.44752 | error 2.26 % | MAD 1.98 % | CV 1.59 % | coh 93.7 % | dominant X | axis fraction 100.0 % | IN TARGET BAND</x:v>
      </x:c>
      <x:c r="C1423" t="str">
        <x:v>Pasted text(56).txt</x:v>
      </x:c>
    </x:row>
    <x:row r="1424">
      <x:c r="A1424" t="n">
        <x:v>1423</x:v>
      </x:c>
      <x:c r="B1424" s="106" t="str">
        <x:v>HOLD | point 9 | DAC 11.50 | CTRL X 1.20863 | X 1.20796 | Y 0.39433 | Z 0.64571 | TOTAL 1.42581 | error 0.72 % | MAD 0.70 % | CV 0.56 % | coh 92.9 % | dominant X | axis fraction 100.0 % | IN TARGET BAND</x:v>
      </x:c>
      <x:c r="C1424" t="str">
        <x:v>Pasted text(56).txt</x:v>
      </x:c>
    </x:row>
    <x:row r="1425">
      <x:c r="A1425" t="n">
        <x:v>1424</x:v>
      </x:c>
      <x:c r="B1425" s="106" t="str">
        <x:v>HOLD | point 10 | DAC 11.50 | CTRL X 1.19465 | X 1.19804 | Y 0.38804 | Z 0.64403 | TOTAL 1.41454 | error -0.45 % | MAD 4.08 % | CV 3.18 % | coh 92.3 % | dominant X | axis fraction 100.0 % | IN TARGET BAND</x:v>
      </x:c>
      <x:c r="C1425" t="str">
        <x:v>Pasted text(56).txt</x:v>
      </x:c>
    </x:row>
    <x:row r="1426">
      <x:c r="A1426" t="n">
        <x:v>1425</x:v>
      </x:c>
      <x:c r="B1426" s="106" t="str"/>
      <x:c r="C1426" t="str">
        <x:v>Pasted text(56).txt</x:v>
      </x:c>
    </x:row>
    <x:row r="1427">
      <x:c r="A1427" t="n">
        <x:v>1426</x:v>
      </x:c>
      <x:c r="B1427" s="106" t="str">
        <x:v>HOLD SUMMARY</x:v>
      </x:c>
      <x:c r="C1427" t="str">
        <x:v>Pasted text(56).txt</x:v>
      </x:c>
    </x:row>
    <x:row r="1428">
      <x:c r="A1428" t="n">
        <x:v>1427</x:v>
      </x:c>
      <x:c r="B1428" s="106" t="str">
        <x:v>Valid / requested: 10 / 10</x:v>
      </x:c>
      <x:c r="C1428" t="str">
        <x:v>Pasted text(56).txt</x:v>
      </x:c>
    </x:row>
    <x:row r="1429">
      <x:c r="A1429" t="n">
        <x:v>1428</x:v>
      </x:c>
      <x:c r="B1429" s="106" t="str">
        <x:v>In band / requested: 10 / 10 = 100.0 %</x:v>
      </x:c>
      <x:c r="C1429" t="str">
        <x:v>Pasted text(56).txt</x:v>
      </x:c>
    </x:row>
    <x:row r="1430">
      <x:c r="A1430" t="n">
        <x:v>1429</x:v>
      </x:c>
      <x:c r="B1430" s="106" t="str">
        <x:v>Mean / SD / CV: 1.20839 / 0.01791 / 1.48 %</x:v>
      </x:c>
      <x:c r="C1430" t="str">
        <x:v>Pasted text(56).txt</x:v>
      </x:c>
    </x:row>
    <x:row r="1431">
      <x:c r="A1431" t="n">
        <x:v>1430</x:v>
      </x:c>
      <x:c r="B1431" s="106" t="str">
        <x:v>Min / Max: 1.18070 / 1.23906</x:v>
      </x:c>
      <x:c r="C1431" t="str">
        <x:v>Pasted text(56).txt</x:v>
      </x:c>
    </x:row>
    <x:row r="1432">
      <x:c r="A1432" t="n">
        <x:v>1431</x:v>
      </x:c>
      <x:c r="B1432" s="106" t="str">
        <x:v>HOLD RESULT: PASS</x:v>
      </x:c>
      <x:c r="C1432" t="str">
        <x:v>Pasted text(56).txt</x:v>
      </x:c>
    </x:row>
    <x:row r="1433">
      <x:c r="A1433" t="n">
        <x:v>1432</x:v>
      </x:c>
      <x:c r="B1433" s="106" t="str"/>
      <x:c r="C1433" t="str">
        <x:v>Pasted text(56).txt</x:v>
      </x:c>
    </x:row>
    <x:row r="1434">
      <x:c r="A1434" t="n">
        <x:v>1433</x:v>
      </x:c>
      <x:c r="B1434" s="106" t="str">
        <x:v>RUN RESULT: PASS</x:v>
      </x:c>
      <x:c r="C1434" t="str">
        <x:v>Pasted text(56).txt</x:v>
      </x:c>
    </x:row>
    <x:row r="1435">
      <x:c r="A1435" t="n">
        <x:v>1434</x:v>
      </x:c>
      <x:c r="B1435" s="106" t="str">
        <x:v>Selected DAC: 11.50</x:v>
      </x:c>
      <x:c r="C1435" t="str">
        <x:v>Pasted text(56).txt</x:v>
      </x:c>
    </x:row>
    <x:row r="1436">
      <x:c r="A1436" t="n">
        <x:v>1435</x:v>
      </x:c>
      <x:c r="B1436" s="106" t="str">
        <x:v>Validated amplitude: 1.20470 m/s^2 | error 0.39 %</x:v>
      </x:c>
      <x:c r="C1436" t="str">
        <x:v>Pasted text(56).txt</x:v>
      </x:c>
    </x:row>
    <x:row r="1437">
      <x:c r="A1437" t="n">
        <x:v>1436</x:v>
      </x:c>
      <x:c r="B1437" s="106" t="str">
        <x:v>FFT frequency: 268.01924 Hz | difference 0.01924 Hz</x:v>
      </x:c>
      <x:c r="C1437" t="str">
        <x:v>Pasted text(56).txt</x:v>
      </x:c>
    </x:row>
    <x:row r="1438">
      <x:c r="A1438" t="n">
        <x:v>1437</x:v>
      </x:c>
      <x:c r="B1438" s="106" t="str"/>
      <x:c r="C1438" t="str">
        <x:v>Pasted text(56).txt</x:v>
      </x:c>
    </x:row>
    <x:row r="1439">
      <x:c r="A1439" t="n">
        <x:v>1438</x:v>
      </x:c>
      <x:c r="B1439" s="106" t="str">
        <x:v>VISATON OFF. RESTING 5.0 s BEFORE THE NEXT COMPLETELY FRESH RUN.</x:v>
      </x:c>
      <x:c r="C1439" t="str">
        <x:v>Pasted text(56).txt</x:v>
      </x:c>
    </x:row>
    <x:row r="1440">
      <x:c r="A1440" t="n">
        <x:v>1439</x:v>
      </x:c>
      <x:c r="B1440" s="106" t="str"/>
      <x:c r="C1440" t="str">
        <x:v>Pasted text(56).txt</x:v>
      </x:c>
    </x:row>
    <x:row r="1441">
      <x:c r="A1441" t="n">
        <x:v>1440</x:v>
      </x:c>
      <x:c r="B1441" s="106" t="str">
        <x:v>################################################################################</x:v>
      </x:c>
      <x:c r="C1441" t="str">
        <x:v>Pasted text(56).txt</x:v>
      </x:c>
    </x:row>
    <x:row r="1442">
      <x:c r="A1442" t="n">
        <x:v>1441</x:v>
      </x:c>
      <x:c r="B1442" s="106" t="str">
        <x:v>INDEPENDENT TARGET-AMPLITUDE RUN 5 OF 5</x:v>
      </x:c>
      <x:c r="C1442" t="str">
        <x:v>Pasted text(56).txt</x:v>
      </x:c>
    </x:row>
    <x:row r="1443">
      <x:c r="A1443" t="n">
        <x:v>1442</x:v>
      </x:c>
      <x:c r="B1443" s="106" t="str">
        <x:v>################################################################################</x:v>
      </x:c>
      <x:c r="C1443" t="str">
        <x:v>Pasted text(56).txt</x:v>
      </x:c>
    </x:row>
    <x:row r="1444">
      <x:c r="A1444" t="n">
        <x:v>1443</x:v>
      </x:c>
      <x:c r="B1444" s="106" t="str">
        <x:v>Frequency: 268.00000 Hz</x:v>
      </x:c>
      <x:c r="C1444" t="str">
        <x:v>Pasted text(56).txt</x:v>
      </x:c>
    </x:row>
    <x:row r="1445">
      <x:c r="A1445" t="n">
        <x:v>1444</x:v>
      </x:c>
      <x:c r="B1445" s="106" t="str">
        <x:v>Target X amplitude: 1.20000 m/s^2 peak, tolerance +/-7.50 %</x:v>
      </x:c>
      <x:c r="C1445" t="str">
        <x:v>Pasted text(56).txt</x:v>
      </x:c>
    </x:row>
    <x:row r="1446">
      <x:c r="A1446" t="n">
        <x:v>1445</x:v>
      </x:c>
      <x:c r="B1446" s="106" t="str">
        <x:v>This run starts from DAC 1.00 and ignores every earlier selected DAC.</x:v>
      </x:c>
      <x:c r="C1446" t="str">
        <x:v>Pasted text(56).txt</x:v>
      </x:c>
    </x:row>
    <x:row r="1447">
      <x:c r="A1447" t="n">
        <x:v>1446</x:v>
      </x:c>
      <x:c r="B1447" s="106" t="str">
        <x:v>ADXL2 DEVID/DATA_FORMAT/BW_RATE/POWER_CTL: 0xE5 / 0xB / 0xE / 0x8</x:v>
      </x:c>
      <x:c r="C1447" t="str">
        <x:v>Pasted text(56).txt</x:v>
      </x:c>
    </x:row>
    <x:row r="1448">
      <x:c r="A1448" t="n">
        <x:v>1447</x:v>
      </x:c>
      <x:c r="B1448" s="106" t="str"/>
      <x:c r="C1448" t="str">
        <x:v>Pasted text(56).txt</x:v>
      </x:c>
    </x:row>
    <x:row r="1449">
      <x:c r="A1449" t="n">
        <x:v>1448</x:v>
      </x:c>
      <x:c r="B1449" s="106" t="str">
        <x:v>ACQUISITION ATTEMPT 1 OF 2</x:v>
      </x:c>
      <x:c r="C1449" t="str">
        <x:v>Pasted text(56).txt</x:v>
      </x:c>
    </x:row>
    <x:row r="1450">
      <x:c r="A1450" t="n">
        <x:v>1449</x:v>
      </x:c>
      <x:c r="B1450" s="106" t="str"/>
      <x:c r="C1450" t="str">
        <x:v>Pasted text(56).txt</x:v>
      </x:c>
    </x:row>
    <x:row r="1451">
      <x:c r="A1451" t="n">
        <x:v>1450</x:v>
      </x:c>
      <x:c r="B1451" s="106" t="str">
        <x:v>FRESH X-AXIS SEARCH FROM DAC 1.00 — OLD DAC VALUES ARE NOT USED</x:v>
      </x:c>
      <x:c r="C1451" t="str">
        <x:v>Pasted text(56).txt</x:v>
      </x:c>
    </x:row>
    <x:row r="1452">
      <x:c r="A1452" t="n">
        <x:v>1451</x:v>
      </x:c>
      <x:c r="B1452" s="106" t="str">
        <x:v>Y/Z are diagnostic only and cannot abort this search.</x:v>
      </x:c>
      <x:c r="C1452" t="str">
        <x:v>Pasted text(56).txt</x:v>
      </x:c>
    </x:row>
    <x:row r="1453">
      <x:c r="A1453" t="n">
        <x:v>1452</x:v>
      </x:c>
      <x:c r="B1453" s="106" t="str">
        <x:v>A real SPI fault, clipping, safety limit or confirmed X-response collapse will stop it.</x:v>
      </x:c>
      <x:c r="C1453" t="str">
        <x:v>Pasted text(56).txt</x:v>
      </x:c>
    </x:row>
    <x:row r="1454">
      <x:c r="A1454" t="n">
        <x:v>1453</x:v>
      </x:c>
      <x:c r="B1454" s="106" t="str">
        <x:v>SEARCH | point 1 | DAC 1.00 | CTRL X 0.01258 | X 0.01424 | Y 0.02223 | Z 0.02701 | TOTAL 0.03847 | error -98.95 % | MAD 50.65 % | CV 48.76 % | coh 7.6 % | dominant Z | axis fraction 52.7 % | BELOW MEASUREMENT FLOOR — SEARCH CONTINUES</x:v>
      </x:c>
      <x:c r="C1454" t="str">
        <x:v>Pasted text(56).txt</x:v>
      </x:c>
    </x:row>
    <x:row r="1455">
      <x:c r="A1455" t="n">
        <x:v>1454</x:v>
      </x:c>
      <x:c r="B1455" s="106" t="str">
        <x:v>SEARCH | point 2 | DAC 3.00 | CTRL X 0.14939 | X 0.14937 | Y 0.07181 | Z 0.12305 | TOTAL 0.20696 | error -87.55 % | MAD 18.97 % | CV 12.81 % | coh 52.8 % | dominant X | axis fraction 100.0 % | UNSTABLE — SEARCH CONTINUES</x:v>
      </x:c>
      <x:c r="C1455" t="str">
        <x:v>Pasted text(56).txt</x:v>
      </x:c>
    </x:row>
    <x:row r="1456">
      <x:c r="A1456" t="n">
        <x:v>1455</x:v>
      </x:c>
      <x:c r="B1456" s="106" t="str">
        <x:v>SEARCH | point 3 | DAC 5.00 | CTRL X 0.39106 | X 0.39797 | Y 0.14520 | Z 0.24627 | TOTAL 0.49015 | error -67.41 % | MAD 1.58 % | CV 3.95 % | coh 82.9 % | dominant X | axis fraction 100.0 % | VALID</x:v>
      </x:c>
      <x:c r="C1456" t="str">
        <x:v>Pasted text(56).txt</x:v>
      </x:c>
    </x:row>
    <x:row r="1457">
      <x:c r="A1457" t="n">
        <x:v>1456</x:v>
      </x:c>
      <x:c r="B1457" s="106" t="str">
        <x:v>SEARCH | point 4 | DAC 6.00 | CTRL X 0.52126 | X 0.51412 | Y 0.17850 | Z 0.32824 | TOTAL 0.63566 | error -56.56 % | MAD 1.26 % | CV 3.18 % | coh 88.3 % | dominant X | axis fraction 100.0 % | VALID</x:v>
      </x:c>
      <x:c r="C1457" t="str">
        <x:v>Pasted text(56).txt</x:v>
      </x:c>
    </x:row>
    <x:row r="1458">
      <x:c r="A1458" t="n">
        <x:v>1457</x:v>
      </x:c>
      <x:c r="B1458" s="106" t="str">
        <x:v>SEARCH | point 5 | DAC 7.00 | CTRL X 0.62418 | X 0.63191 | Y 0.22577 | Z 0.37408 | TOTAL 0.76868 | error -47.98 % | MAD 2.19 % | CV 3.46 % | coh 88.2 % | dominant X | axis fraction 100.0 % | VALID</x:v>
      </x:c>
      <x:c r="C1458" t="str">
        <x:v>Pasted text(56).txt</x:v>
      </x:c>
    </x:row>
    <x:row r="1459">
      <x:c r="A1459" t="n">
        <x:v>1458</x:v>
      </x:c>
      <x:c r="B1459" s="106" t="str">
        <x:v>SEARCH | point 6 | DAC 8.00 | CTRL X 0.76117 | X 0.76503 | Y 0.25377 | Z 0.45431 | TOTAL 0.92547 | error -36.57 % | MAD 0.19 % | CV 0.99 % | coh 91.1 % | dominant X | axis fraction 100.0 % | VALID</x:v>
      </x:c>
      <x:c r="C1459" t="str">
        <x:v>Pasted text(56).txt</x:v>
      </x:c>
    </x:row>
    <x:row r="1460">
      <x:c r="A1460" t="n">
        <x:v>1459</x:v>
      </x:c>
      <x:c r="B1460" s="106" t="str">
        <x:v>SEARCH | point 7 | DAC 8.50 | CTRL X 0.79045 | X 0.79241 | Y 0.27260 | Z 0.46607 | TOTAL 0.95916 | error -34.13 % | MAD 1.01 % | CV 1.07 % | coh 89.7 % | dominant X | axis fraction 100.0 % | VALID</x:v>
      </x:c>
      <x:c r="C1460" t="str">
        <x:v>Pasted text(56).txt</x:v>
      </x:c>
    </x:row>
    <x:row r="1461">
      <x:c r="A1461" t="n">
        <x:v>1460</x:v>
      </x:c>
      <x:c r="B1461" s="106" t="str">
        <x:v>SEARCH | point 8 | DAC 9.00 | CTRL X 0.88703 | X 0.88630 | Y 0.32348 | Z 0.47192 | TOTAL 1.05525 | error -26.08 % | MAD 3.63 % | CV 2.57 % | coh 91.3 % | dominant X | axis fraction 100.0 % | VALID</x:v>
      </x:c>
      <x:c r="C1461" t="str">
        <x:v>Pasted text(56).txt</x:v>
      </x:c>
    </x:row>
    <x:row r="1462">
      <x:c r="A1462" t="n">
        <x:v>1461</x:v>
      </x:c>
      <x:c r="B1462" s="106" t="str">
        <x:v>SEARCH | point 9 | DAC 9.50 | CTRL X 0.92886 | X 0.93133 | Y 0.30927 | Z 0.51785 | TOTAL 1.10974 | error -22.59 % | MAD 1.21 % | CV 1.23 % | coh 91.8 % | dominant X | axis fraction 100.0 % | VALID</x:v>
      </x:c>
      <x:c r="C1462" t="str">
        <x:v>Pasted text(56).txt</x:v>
      </x:c>
    </x:row>
    <x:row r="1463">
      <x:c r="A1463" t="n">
        <x:v>1462</x:v>
      </x:c>
      <x:c r="B1463" s="106" t="str">
        <x:v>SEARCH | point 10 | DAC 10.00 | CTRL X 1.03567 | X 1.03897 | Y 0.35440 | Z 0.53464 | TOTAL 1.22157 | error -13.69 % | MAD 1.88 % | CV 1.76 % | coh 93.1 % | dominant X | axis fraction 100.0 % | VALID</x:v>
      </x:c>
      <x:c r="C1463" t="str">
        <x:v>Pasted text(56).txt</x:v>
      </x:c>
    </x:row>
    <x:row r="1464">
      <x:c r="A1464" t="n">
        <x:v>1463</x:v>
      </x:c>
      <x:c r="B1464" s="106" t="str">
        <x:v>SEARCH | point 11 | DAC 10.25 | CTRL X 1.05410 | X 1.06039 | Y 0.33933 | Z 0.58620 | TOTAL 1.25840 | error -12.16 % | MAD 0.90 % | CV 1.58 % | coh 92.7 % | dominant X | axis fraction 100.0 % | VALID</x:v>
      </x:c>
      <x:c r="C1464" t="str">
        <x:v>Pasted text(56).txt</x:v>
      </x:c>
    </x:row>
    <x:row r="1465">
      <x:c r="A1465" t="n">
        <x:v>1464</x:v>
      </x:c>
      <x:c r="B1465" s="106" t="str">
        <x:v>SEARCH | point 12 | DAC 10.50 | CTRL X 1.07978 | X 1.07201 | Y 0.36740 | Z 0.59664 | TOTAL 1.28093 | error -10.02 % | MAD 0.25 % | CV 1.41 % | coh 93.8 % | dominant X | axis fraction 100.0 % | VALID</x:v>
      </x:c>
      <x:c r="C1465" t="str">
        <x:v>Pasted text(56).txt</x:v>
      </x:c>
    </x:row>
    <x:row r="1466">
      <x:c r="A1466" t="n">
        <x:v>1465</x:v>
      </x:c>
      <x:c r="B1466" s="106" t="str">
        <x:v>SEARCH | point 13 | DAC 10.75 | CTRL X 1.12629 | X 1.12158 | Y 0.35014 | Z 0.60586 | TOTAL 1.32201 | error -6.14 % | MAD 0.84 % | CV 1.25 % | coh 92.7 % | dominant X | axis fraction 100.0 % | IN TARGET BAND</x:v>
      </x:c>
      <x:c r="C1466" t="str">
        <x:v>Pasted text(56).txt</x:v>
      </x:c>
    </x:row>
    <x:row r="1467">
      <x:c r="A1467" t="n">
        <x:v>1466</x:v>
      </x:c>
      <x:c r="B1467" s="106" t="str"/>
      <x:c r="C1467" t="str">
        <x:v>Pasted text(56).txt</x:v>
      </x:c>
    </x:row>
    <x:row r="1468">
      <x:c r="A1468" t="n">
        <x:v>1467</x:v>
      </x:c>
      <x:c r="B1468" s="106" t="str">
        <x:v>LOCAL 0.25-DAC X-AXIS FINE SCAN</x:v>
      </x:c>
      <x:c r="C1468" t="str">
        <x:v>Pasted text(56).txt</x:v>
      </x:c>
    </x:row>
    <x:row r="1469">
      <x:c r="A1469" t="n">
        <x:v>1468</x:v>
      </x:c>
      <x:c r="B1469" s="106" t="str">
        <x:v>Only a valid point actually inside the X target band may be selected.</x:v>
      </x:c>
      <x:c r="C1469" t="str">
        <x:v>Pasted text(56).txt</x:v>
      </x:c>
    </x:row>
    <x:row r="1470">
      <x:c r="A1470" t="n">
        <x:v>1469</x:v>
      </x:c>
      <x:c r="B1470" s="106" t="str">
        <x:v>FINE | point 1 | DAC 9.75 | CTRL X 1.00213 | X 0.98758 | Y 0.32125 | Z 0.54676 | TOTAL 1.17410 | error -16.49 % | MAD 0.18 % | CV 2.66 % | coh 92.3 % | dominant X | axis fraction 100.0 % | VALID</x:v>
      </x:c>
      <x:c r="C1470" t="str">
        <x:v>Pasted text(56).txt</x:v>
      </x:c>
    </x:row>
    <x:row r="1471">
      <x:c r="A1471" t="n">
        <x:v>1470</x:v>
      </x:c>
      <x:c r="B1471" s="106" t="str">
        <x:v>FINE | point 2 | DAC 10.00 | CTRL X 1.02501 | X 1.02667 | Y 0.35092 | Z 0.57048 | TOTAL 1.22590 | error -14.58 % | MAD 0.38 % | CV 0.52 % | coh 92.4 % | dominant X | axis fraction 100.0 % | VALID</x:v>
      </x:c>
      <x:c r="C1471" t="str">
        <x:v>Pasted text(56).txt</x:v>
      </x:c>
    </x:row>
    <x:row r="1472">
      <x:c r="A1472" t="n">
        <x:v>1471</x:v>
      </x:c>
      <x:c r="B1472" s="106" t="str">
        <x:v>FINE | point 3 | DAC 10.25 | CTRL X 1.05119 | X 1.04658 | Y 0.36286 | Z 0.56427 | TOTAL 1.24334 | error -12.40 % | MAD 1.57 % | CV 1.76 % | coh 93.2 % | dominant X | axis fraction 100.0 % | VALID</x:v>
      </x:c>
      <x:c r="C1472" t="str">
        <x:v>Pasted text(56).txt</x:v>
      </x:c>
    </x:row>
    <x:row r="1473">
      <x:c r="A1473" t="n">
        <x:v>1472</x:v>
      </x:c>
      <x:c r="B1473" s="106" t="str">
        <x:v>FINE | point 4 | DAC 10.50 | CTRL X 1.07663 | X 1.07557 | Y 0.36216 | Z 0.56113 | TOTAL 1.26614 | error -10.28 % | MAD 2.65 % | CV 1.94 % | coh 93.3 % | dominant X | axis fraction 100.0 % | VALID</x:v>
      </x:c>
      <x:c r="C1473" t="str">
        <x:v>Pasted text(56).txt</x:v>
      </x:c>
    </x:row>
    <x:row r="1474">
      <x:c r="A1474" t="n">
        <x:v>1473</x:v>
      </x:c>
      <x:c r="B1474" s="106" t="str">
        <x:v>FINE | point 5 | DAC 10.75 | CTRL X 1.12895 | X 1.12762 | Y 0.37168 | Z 0.60093 | TOTAL 1.33081 | error -5.92 % | MAD 1.66 % | CV 1.30 % | coh 93.8 % | dominant X | axis fraction 100.0 % | IN TARGET BAND</x:v>
      </x:c>
      <x:c r="C1474" t="str">
        <x:v>Pasted text(56).txt</x:v>
      </x:c>
    </x:row>
    <x:row r="1475">
      <x:c r="A1475" t="n">
        <x:v>1474</x:v>
      </x:c>
      <x:c r="B1475" s="106" t="str">
        <x:v>FINE | point 6 | DAC 11.00 | CTRL X 1.16865 | X 1.17040 | Y 0.38183 | Z 0.62870 | TOTAL 1.38239 | error -2.61 % | MAD 0.12 % | CV 0.33 % | coh 93.6 % | dominant X | axis fraction 100.0 % | IN TARGET BAND</x:v>
      </x:c>
      <x:c r="C1475" t="str">
        <x:v>Pasted text(56).txt</x:v>
      </x:c>
    </x:row>
    <x:row r="1476">
      <x:c r="A1476" t="n">
        <x:v>1475</x:v>
      </x:c>
      <x:c r="B1476" s="106" t="str">
        <x:v>FINE | point 7 | DAC 11.25 | CTRL X 1.19797 | X 1.19768 | Y 0.39341 | Z 0.64348 | TOTAL 1.41556 | error -0.17 % | MAD 0.69 % | CV 0.50 % | coh 94.2 % | dominant X | axis fraction 100.0 % | IN TARGET BAND</x:v>
      </x:c>
      <x:c r="C1476" t="str">
        <x:v>Pasted text(56).txt</x:v>
      </x:c>
    </x:row>
    <x:row r="1477">
      <x:c r="A1477" t="n">
        <x:v>1476</x:v>
      </x:c>
      <x:c r="B1477" s="106" t="str">
        <x:v>FINE | point 8 | DAC 11.50 | CTRL X 1.19588 | X 1.20112 | Y 0.39963 | Z 0.64267 | TOTAL 1.41982 | error -0.34 % | MAD 0.47 % | CV 1.04 % | coh 93.5 % | dominant X | axis fraction 100.0 % | IN TARGET BAND</x:v>
      </x:c>
      <x:c r="C1477" t="str">
        <x:v>Pasted text(56).txt</x:v>
      </x:c>
    </x:row>
    <x:row r="1478">
      <x:c r="A1478" t="n">
        <x:v>1477</x:v>
      </x:c>
      <x:c r="B1478" s="106" t="str">
        <x:v>FINE | point 9 | DAC 11.75 | CTRL X 1.25170 | X 1.24965 | Y 0.41124 | Z 0.64477 | TOTAL 1.46513 | error 4.31 % | MAD 1.46 % | CV 1.24 % | coh 93.1 % | dominant X | axis fraction 100.0 % | IN TARGET BAND</x:v>
      </x:c>
      <x:c r="C1478" t="str">
        <x:v>Pasted text(56).txt</x:v>
      </x:c>
    </x:row>
    <x:row r="1479">
      <x:c r="A1479" t="n">
        <x:v>1478</x:v>
      </x:c>
      <x:c r="B1479" s="106" t="str"/>
      <x:c r="C1479" t="str">
        <x:v>Pasted text(56).txt</x:v>
      </x:c>
    </x:row>
    <x:row r="1480">
      <x:c r="A1480" t="n">
        <x:v>1479</x:v>
      </x:c>
      <x:c r="B1480" s="106" t="str">
        <x:v>LONG VALIDATION AT FIXED DAC 11.25</x:v>
      </x:c>
      <x:c r="C1480" t="str">
        <x:v>Pasted text(56).txt</x:v>
      </x:c>
    </x:row>
    <x:row r="1481">
      <x:c r="A1481" t="n">
        <x:v>1480</x:v>
      </x:c>
      <x:c r="B1481" s="106" t="str">
        <x:v>FINAL | point 1 | DAC 11.25 | CTRL X 1.18780 | X 1.19113 | Y 0.39857 | Z 0.61581 | TOTAL 1.39906 | error -1.02 % | MAD 2.76 % | CV 2.03 % | coh 93.7 % | dominant X | axis fraction 100.0 % | IN TARGET BAND</x:v>
      </x:c>
      <x:c r="C1481" t="str">
        <x:v>Pasted text(56).txt</x:v>
      </x:c>
    </x:row>
    <x:row r="1482">
      <x:c r="A1482" t="n">
        <x:v>1481</x:v>
      </x:c>
      <x:c r="B1482" s="106" t="str">
        <x:v>FINAL | point 2 | DAC 11.25 | CTRL X 1.18338 | X 1.18642 | Y 0.39887 | Z 0.61610 | TOTAL 1.39533 | error -1.39 % | MAD 1.31 % | CV 1.20 % | coh 93.6 % | dominant X | axis fraction 100.0 % | IN TARGET BAND</x:v>
      </x:c>
      <x:c r="C1482" t="str">
        <x:v>Pasted text(56).txt</x:v>
      </x:c>
    </x:row>
    <x:row r="1483">
      <x:c r="A1483" t="n">
        <x:v>1482</x:v>
      </x:c>
      <x:c r="B1483" s="106" t="str">
        <x:v>VALIDATION ACCEPTED | pair drift 0.37 %</x:v>
      </x:c>
      <x:c r="C1483" t="str">
        <x:v>Pasted text(56).txt</x:v>
      </x:c>
    </x:row>
    <x:row r="1484">
      <x:c r="A1484" t="n">
        <x:v>1483</x:v>
      </x:c>
      <x:c r="B1484" s="106" t="str"/>
      <x:c r="C1484" t="str">
        <x:v>Pasted text(56).txt</x:v>
      </x:c>
    </x:row>
    <x:row r="1485">
      <x:c r="A1485" t="n">
        <x:v>1484</x:v>
      </x:c>
      <x:c r="B1485" s="106" t="str">
        <x:v>FINAL VALIDATED BLIND FFT VERIFICATION</x:v>
      </x:c>
      <x:c r="C1485" t="str">
        <x:v>Pasted text(56).txt</x:v>
      </x:c>
    </x:row>
    <x:row r="1486">
      <x:c r="A1486" t="n">
        <x:v>1485</x:v>
      </x:c>
      <x:c r="B1486" s="106" t="str">
        <x:v>Commanded frequency: 268.00000 Hz</x:v>
      </x:c>
      <x:c r="C1486" t="str">
        <x:v>Pasted text(56).txt</x:v>
      </x:c>
    </x:row>
    <x:row r="1487">
      <x:c r="A1487" t="n">
        <x:v>1486</x:v>
      </x:c>
      <x:c r="B1487" s="106" t="str">
        <x:v>Accepted DAC: 11.25</x:v>
      </x:c>
      <x:c r="C1487" t="str">
        <x:v>Pasted text(56).txt</x:v>
      </x:c>
    </x:row>
    <x:row r="1488">
      <x:c r="A1488" t="n">
        <x:v>1487</x:v>
      </x:c>
      <x:c r="B1488" s="106" t="str">
        <x:v>Axis,Frequency_Hz,Amplitude_mps2,SNR_dB,Status</x:v>
      </x:c>
      <x:c r="C1488" t="str">
        <x:v>Pasted text(56).txt</x:v>
      </x:c>
    </x:row>
    <x:row r="1489">
      <x:c r="A1489" t="n">
        <x:v>1488</x:v>
      </x:c>
      <x:c r="B1489" s="106" t="str">
        <x:v>X,268.02402,1.07959,32.45,VALID</x:v>
      </x:c>
      <x:c r="C1489" t="str">
        <x:v>Pasted text(56).txt</x:v>
      </x:c>
    </x:row>
    <x:row r="1490">
      <x:c r="A1490" t="n">
        <x:v>1489</x:v>
      </x:c>
      <x:c r="B1490" s="106" t="str">
        <x:v>Y,268.02185,0.35231,25.97,VALID</x:v>
      </x:c>
      <x:c r="C1490" t="str">
        <x:v>Pasted text(56).txt</x:v>
      </x:c>
    </x:row>
    <x:row r="1491">
      <x:c r="A1491" t="n">
        <x:v>1490</x:v>
      </x:c>
      <x:c r="B1491" s="106" t="str">
        <x:v>Z,268.05873,0.57393,29.26,VALID</x:v>
      </x:c>
      <x:c r="C1491" t="str">
        <x:v>Pasted text(56).txt</x:v>
      </x:c>
    </x:row>
    <x:row r="1492">
      <x:c r="A1492" t="n">
        <x:v>1491</x:v>
      </x:c>
      <x:c r="B1492" s="106" t="str">
        <x:v>Combined frequency: 268.03099 Hz | difference 0.03099 Hz</x:v>
      </x:c>
      <x:c r="C1492" t="str">
        <x:v>Pasted text(56).txt</x:v>
      </x:c>
    </x:row>
    <x:row r="1493">
      <x:c r="A1493" t="n">
        <x:v>1492</x:v>
      </x:c>
      <x:c r="B1493" s="106" t="str">
        <x:v>Combined X/Y/Z/TOTAL: 0.98551 / 0.32124 / 0.52792 / 1.16324</x:v>
      </x:c>
      <x:c r="C1493" t="str">
        <x:v>Pasted text(56).txt</x:v>
      </x:c>
    </x:row>
    <x:row r="1494">
      <x:c r="A1494" t="n">
        <x:v>1493</x:v>
      </x:c>
      <x:c r="B1494" s="106" t="str">
        <x:v>SNR: 30.73 dB | dominant axis X</x:v>
      </x:c>
      <x:c r="C1494" t="str">
        <x:v>Pasted text(56).txt</x:v>
      </x:c>
    </x:row>
    <x:row r="1495">
      <x:c r="A1495" t="n">
        <x:v>1494</x:v>
      </x:c>
      <x:c r="B1495" s="106" t="str">
        <x:v>Frequency verification: PASS</x:v>
      </x:c>
      <x:c r="C1495" t="str">
        <x:v>Pasted text(56).txt</x:v>
      </x:c>
    </x:row>
    <x:row r="1496">
      <x:c r="A1496" t="n">
        <x:v>1495</x:v>
      </x:c>
      <x:c r="B1496" s="106" t="str">
        <x:v>Y/Z dominance: DIAGNOSTIC ONLY — ignored for pass/fail</x:v>
      </x:c>
      <x:c r="C1496" t="str">
        <x:v>Pasted text(56).txt</x:v>
      </x:c>
    </x:row>
    <x:row r="1497">
      <x:c r="A1497" t="n">
        <x:v>1496</x:v>
      </x:c>
      <x:c r="B1497" s="106" t="str"/>
      <x:c r="C1497" t="str">
        <x:v>Pasted text(56).txt</x:v>
      </x:c>
    </x:row>
    <x:row r="1498">
      <x:c r="A1498" t="n">
        <x:v>1497</x:v>
      </x:c>
      <x:c r="B1498" s="106" t="str">
        <x:v>FIXED-DAC HOLD VALIDATION</x:v>
      </x:c>
      <x:c r="C1498" t="str">
        <x:v>Pasted text(56).txt</x:v>
      </x:c>
    </x:row>
    <x:row r="1499">
      <x:c r="A1499" t="n">
        <x:v>1498</x:v>
      </x:c>
      <x:c r="B1499" s="106" t="str">
        <x:v>DAC remains fixed at 11.25 for 10 records.</x:v>
      </x:c>
      <x:c r="C1499" t="str">
        <x:v>Pasted text(56).txt</x:v>
      </x:c>
    </x:row>
    <x:row r="1500">
      <x:c r="A1500" t="n">
        <x:v>1499</x:v>
      </x:c>
      <x:c r="B1500" s="106" t="str">
        <x:v>HOLD | point 1 | DAC 11.25 | CTRL X 1.17024 | X 1.16910 | Y 0.39167 | Z 0.64024 | TOTAL 1.38937 | error -2.48 % | MAD 1.34 % | CV 1.05 % | coh 93.1 % | dominant X | axis fraction 100.0 % | IN TARGET BAND</x:v>
      </x:c>
      <x:c r="C1500" t="str">
        <x:v>Pasted text(56).txt</x:v>
      </x:c>
    </x:row>
    <x:row r="1501">
      <x:c r="A1501" t="n">
        <x:v>1500</x:v>
      </x:c>
      <x:c r="B1501" s="106" t="str">
        <x:v>HOLD | point 2 | DAC 11.25 | CTRL X 1.18920 | X 1.18887 | Y 0.40887 | Z 0.61172 | TOTAL 1.39836 | error -0.90 % | MAD 0.55 % | CV 0.41 % | coh 93.8 % | dominant X | axis fraction 100.0 % | IN TARGET BAND</x:v>
      </x:c>
      <x:c r="C1501" t="str">
        <x:v>Pasted text(56).txt</x:v>
      </x:c>
    </x:row>
    <x:row r="1502">
      <x:c r="A1502" t="n">
        <x:v>1501</x:v>
      </x:c>
      <x:c r="B1502" s="106" t="str">
        <x:v>HOLD | point 3 | DAC 11.25 | CTRL X 1.19113 | X 1.18838 | Y 0.37027 | Z 0.65034 | TOTAL 1.40476 | error -0.74 % | MAD 0.01 % | CV 0.41 % | coh 93.3 % | dominant X | axis fraction 100.0 % | IN TARGET BAND</x:v>
      </x:c>
      <x:c r="C1502" t="str">
        <x:v>Pasted text(56).txt</x:v>
      </x:c>
    </x:row>
    <x:row r="1503">
      <x:c r="A1503" t="n">
        <x:v>1502</x:v>
      </x:c>
      <x:c r="B1503" s="106" t="str">
        <x:v>HOLD | point 4 | DAC 11.25 | CTRL X 1.18258 | X 1.18162 | Y 0.37874 | Z 0.63706 | TOTAL 1.39519 | error -1.45 % | MAD 1.55 % | CV 1.17 % | coh 93.4 % | dominant X | axis fraction 100.0 % | IN TARGET BAND</x:v>
      </x:c>
      <x:c r="C1503" t="str">
        <x:v>Pasted text(56).txt</x:v>
      </x:c>
    </x:row>
    <x:row r="1504">
      <x:c r="A1504" t="n">
        <x:v>1503</x:v>
      </x:c>
      <x:c r="B1504" s="106" t="str">
        <x:v>HOLD | point 5 | DAC 11.25 | CTRL X 1.20021 | X 1.20021 | Y 0.39846 | Z 0.64110 | TOTAL 1.41791 | error 0.02 % | MAD 0.90 % | CV 0.61 % | coh 94.0 % | dominant X | axis fraction 100.0 % | IN TARGET BAND</x:v>
      </x:c>
      <x:c r="C1504" t="str">
        <x:v>Pasted text(56).txt</x:v>
      </x:c>
    </x:row>
    <x:row r="1505">
      <x:c r="A1505" t="n">
        <x:v>1504</x:v>
      </x:c>
      <x:c r="B1505" s="106" t="str">
        <x:v>HOLD | point 6 | DAC 11.25 | CTRL X 1.17481 | X 1.18527 | Y 0.38070 | Z 0.60611 | TOTAL 1.38523 | error -2.10 % | MAD 1.21 % | CV 2.27 % | coh 93.5 % | dominant X | axis fraction 100.0 % | IN TARGET BAND</x:v>
      </x:c>
      <x:c r="C1505" t="str">
        <x:v>Pasted text(56).txt</x:v>
      </x:c>
    </x:row>
    <x:row r="1506">
      <x:c r="A1506" t="n">
        <x:v>1505</x:v>
      </x:c>
      <x:c r="B1506" s="106" t="str">
        <x:v>HOLD | point 7 | DAC 11.25 | CTRL X 1.18316 | X 1.18701 | Y 0.37402 | Z 0.62797 | TOTAL 1.39487 | error -1.40 % | MAD 1.35 % | CV 1.42 % | coh 93.3 % | dominant X | axis fraction 100.0 % | IN TARGET BAND</x:v>
      </x:c>
      <x:c r="C1506" t="str">
        <x:v>Pasted text(56).txt</x:v>
      </x:c>
    </x:row>
    <x:row r="1507">
      <x:c r="A1507" t="n">
        <x:v>1506</x:v>
      </x:c>
      <x:c r="B1507" s="106" t="str">
        <x:v>HOLD | point 8 | DAC 11.25 | CTRL X 1.19443 | X 1.19184 | Y 0.39436 | Z 0.61740 | TOTAL 1.39907 | error -0.46 % | MAD 3.06 % | CV 2.40 % | coh 93.8 % | dominant X | axis fraction 100.0 % | IN TARGET BAND</x:v>
      </x:c>
      <x:c r="C1507" t="str">
        <x:v>Pasted text(56).txt</x:v>
      </x:c>
    </x:row>
    <x:row r="1508">
      <x:c r="A1508" t="n">
        <x:v>1507</x:v>
      </x:c>
      <x:c r="B1508" s="106" t="str">
        <x:v>HOLD | point 9 | DAC 11.25 | CTRL X 1.17972 | X 1.18644 | Y 0.38432 | Z 0.61312 | TOTAL 1.38976 | error -1.69 % | MAD 0.02 % | CV 0.99 % | coh 93.4 % | dominant X | axis fraction 100.0 % | IN TARGET BAND</x:v>
      </x:c>
      <x:c r="C1508" t="str">
        <x:v>Pasted text(56).txt</x:v>
      </x:c>
    </x:row>
    <x:row r="1509">
      <x:c r="A1509" t="n">
        <x:v>1508</x:v>
      </x:c>
      <x:c r="B1509" s="106" t="str">
        <x:v>HOLD | point 10 | DAC 11.25 | CTRL X 1.20287 | X 1.20033 | Y 0.38620 | Z 0.62678 | TOTAL 1.40832 | error 0.24 % | MAD 0.32 % | CV 0.56 % | coh 93.6 % | dominant X | axis fraction 100.0 % | IN TARGET BAND</x:v>
      </x:c>
      <x:c r="C1509" t="str">
        <x:v>Pasted text(56).txt</x:v>
      </x:c>
    </x:row>
    <x:row r="1510">
      <x:c r="A1510" t="n">
        <x:v>1509</x:v>
      </x:c>
      <x:c r="B1510" s="106" t="str"/>
      <x:c r="C1510" t="str">
        <x:v>Pasted text(56).txt</x:v>
      </x:c>
    </x:row>
    <x:row r="1511">
      <x:c r="A1511" t="n">
        <x:v>1510</x:v>
      </x:c>
      <x:c r="B1511" s="106" t="str">
        <x:v>HOLD SUMMARY</x:v>
      </x:c>
      <x:c r="C1511" t="str">
        <x:v>Pasted text(56).txt</x:v>
      </x:c>
    </x:row>
    <x:row r="1512">
      <x:c r="A1512" t="n">
        <x:v>1511</x:v>
      </x:c>
      <x:c r="B1512" s="106" t="str">
        <x:v>Valid / requested: 10 / 10</x:v>
      </x:c>
      <x:c r="C1512" t="str">
        <x:v>Pasted text(56).txt</x:v>
      </x:c>
    </x:row>
    <x:row r="1513">
      <x:c r="A1513" t="n">
        <x:v>1512</x:v>
      </x:c>
      <x:c r="B1513" s="106" t="str">
        <x:v>In band / requested: 10 / 10 = 100.0 %</x:v>
      </x:c>
      <x:c r="C1513" t="str">
        <x:v>Pasted text(56).txt</x:v>
      </x:c>
    </x:row>
    <x:row r="1514">
      <x:c r="A1514" t="n">
        <x:v>1513</x:v>
      </x:c>
      <x:c r="B1514" s="106" t="str">
        <x:v>Mean / SD / CV: 1.18683 / 0.01065 / 0.90 %</x:v>
      </x:c>
      <x:c r="C1514" t="str">
        <x:v>Pasted text(56).txt</x:v>
      </x:c>
    </x:row>
    <x:row r="1515">
      <x:c r="A1515" t="n">
        <x:v>1514</x:v>
      </x:c>
      <x:c r="B1515" s="106" t="str">
        <x:v>Min / Max: 1.17024 / 1.20287</x:v>
      </x:c>
      <x:c r="C1515" t="str">
        <x:v>Pasted text(56).txt</x:v>
      </x:c>
    </x:row>
    <x:row r="1516">
      <x:c r="A1516" t="n">
        <x:v>1515</x:v>
      </x:c>
      <x:c r="B1516" s="106" t="str">
        <x:v>HOLD RESULT: PASS</x:v>
      </x:c>
      <x:c r="C1516" t="str">
        <x:v>Pasted text(56).txt</x:v>
      </x:c>
    </x:row>
    <x:row r="1517">
      <x:c r="A1517" t="n">
        <x:v>1516</x:v>
      </x:c>
      <x:c r="B1517" s="106" t="str"/>
      <x:c r="C1517" t="str">
        <x:v>Pasted text(56).txt</x:v>
      </x:c>
    </x:row>
    <x:row r="1518">
      <x:c r="A1518" t="n">
        <x:v>1517</x:v>
      </x:c>
      <x:c r="B1518" s="106" t="str">
        <x:v>RUN RESULT: PASS</x:v>
      </x:c>
      <x:c r="C1518" t="str">
        <x:v>Pasted text(56).txt</x:v>
      </x:c>
    </x:row>
    <x:row r="1519">
      <x:c r="A1519" t="n">
        <x:v>1518</x:v>
      </x:c>
      <x:c r="B1519" s="106" t="str">
        <x:v>Selected DAC: 11.25</x:v>
      </x:c>
      <x:c r="C1519" t="str">
        <x:v>Pasted text(56).txt</x:v>
      </x:c>
    </x:row>
    <x:row r="1520">
      <x:c r="A1520" t="n">
        <x:v>1519</x:v>
      </x:c>
      <x:c r="B1520" s="106" t="str">
        <x:v>Validated amplitude: 1.18559 m/s^2 | error -1.20 %</x:v>
      </x:c>
      <x:c r="C1520" t="str">
        <x:v>Pasted text(56).txt</x:v>
      </x:c>
    </x:row>
    <x:row r="1521">
      <x:c r="A1521" t="n">
        <x:v>1520</x:v>
      </x:c>
      <x:c r="B1521" s="106" t="str">
        <x:v>FFT frequency: 268.03099 Hz | difference 0.03099 Hz</x:v>
      </x:c>
      <x:c r="C1521" t="str">
        <x:v>Pasted text(56).txt</x:v>
      </x:c>
    </x:row>
    <x:row r="1522">
      <x:c r="A1522" t="n">
        <x:v>1521</x:v>
      </x:c>
      <x:c r="B1522" s="106" t="str"/>
      <x:c r="C1522" t="str">
        <x:v>Pasted text(56).txt</x:v>
      </x:c>
    </x:row>
    <x:row r="1523">
      <x:c r="A1523" t="n">
        <x:v>1522</x:v>
      </x:c>
      <x:c r="B1523" s="106" t="str">
        <x:v>================================================================================</x:v>
      </x:c>
      <x:c r="C1523" t="str">
        <x:v>Pasted text(56).txt</x:v>
      </x:c>
    </x:row>
    <x:row r="1524">
      <x:c r="A1524" t="n">
        <x:v>1523</x:v>
      </x:c>
      <x:c r="B1524" s="106" t="str">
        <x:v>FINAL REPEATED TARGET-AMPLITUDE VALIDATION SUMMARY</x:v>
      </x:c>
      <x:c r="C1524" t="str">
        <x:v>Pasted text(56).txt</x:v>
      </x:c>
    </x:row>
    <x:row r="1525">
      <x:c r="A1525" t="n">
        <x:v>1524</x:v>
      </x:c>
      <x:c r="B1525" s="106" t="str">
        <x:v>================================================================================</x:v>
      </x:c>
      <x:c r="C1525" t="str">
        <x:v>Pasted text(56).txt</x:v>
      </x:c>
    </x:row>
    <x:row r="1526">
      <x:c r="A1526" t="n">
        <x:v>1525</x:v>
      </x:c>
      <x:c r="B1526" s="106" t="str">
        <x:v>Run,Pass,Selected_DAC,Validated_Amp,Error_pct,FFT_Hz,FFT_Diff_Hz,FFT_SNR_dB,Hold_Mean,Hold_CV_pct,Hold_InBand_pct,Reason</x:v>
      </x:c>
      <x:c r="C1526" t="str">
        <x:v>Pasted text(56).txt</x:v>
      </x:c>
    </x:row>
    <x:row r="1527">
      <x:c r="A1527" t="n">
        <x:v>1526</x:v>
      </x:c>
      <x:c r="B1527" s="106" t="str">
        <x:v>1,PASS,11.50,1.20679,0.57,268.01745,0.01745,30.78,1.20317,0.56,100.0,PASS</x:v>
      </x:c>
      <x:c r="C1527" t="str">
        <x:v>Pasted text(56).txt</x:v>
      </x:c>
    </x:row>
    <x:row r="1528">
      <x:c r="A1528" t="n">
        <x:v>1527</x:v>
      </x:c>
      <x:c r="B1528" s="106" t="str">
        <x:v>2,PASS,11.50,1.19920,-0.07,268.01965,0.01965,30.94,1.20477,0.54,100.0,PASS</x:v>
      </x:c>
      <x:c r="C1528" t="str">
        <x:v>Pasted text(56).txt</x:v>
      </x:c>
    </x:row>
    <x:row r="1529">
      <x:c r="A1529" t="n">
        <x:v>1528</x:v>
      </x:c>
      <x:c r="B1529" s="106" t="str">
        <x:v>3,PASS,11.25,1.17642,-1.96,268.02912,0.02912,30.87,1.17725,1.12,100.0,PASS</x:v>
      </x:c>
      <x:c r="C1529" t="str">
        <x:v>Pasted text(56).txt</x:v>
      </x:c>
    </x:row>
    <x:row r="1530">
      <x:c r="A1530" t="n">
        <x:v>1529</x:v>
      </x:c>
      <x:c r="B1530" s="106" t="str">
        <x:v>4,PASS,11.50,1.20470,0.39,268.01924,0.01924,30.84,1.20839,1.48,100.0,PASS</x:v>
      </x:c>
      <x:c r="C1530" t="str">
        <x:v>Pasted text(56).txt</x:v>
      </x:c>
    </x:row>
    <x:row r="1531">
      <x:c r="A1531" t="n">
        <x:v>1530</x:v>
      </x:c>
      <x:c r="B1531" s="106" t="str">
        <x:v>5,PASS,11.25,1.18559,-1.20,268.03099,0.03099,30.73,1.18683,0.90,100.0,PASS</x:v>
      </x:c>
      <x:c r="C1531" t="str">
        <x:v>Pasted text(56).txt</x:v>
      </x:c>
    </x:row>
    <x:row r="1532">
      <x:c r="A1532" t="n">
        <x:v>1531</x:v>
      </x:c>
      <x:c r="B1532" s="106" t="str">
        <x:v>--------------------------------------------------------------------------------</x:v>
      </x:c>
      <x:c r="C1532" t="str">
        <x:v>Pasted text(56).txt</x:v>
      </x:c>
    </x:row>
    <x:row r="1533">
      <x:c r="A1533" t="n">
        <x:v>1532</x:v>
      </x:c>
      <x:c r="B1533" s="106" t="str">
        <x:v>Successful independent runs: 5 / 5</x:v>
      </x:c>
      <x:c r="C1533" t="str">
        <x:v>Pasted text(56).txt</x:v>
      </x:c>
    </x:row>
    <x:row r="1534">
      <x:c r="A1534" t="n">
        <x:v>1533</x:v>
      </x:c>
      <x:c r="B1534" s="106" t="str">
        <x:v>Validated amplitude mean +/- SD: 1.19454 +/- 0.01307 m/s^2 peak</x:v>
      </x:c>
      <x:c r="C1534" t="str">
        <x:v>Pasted text(56).txt</x:v>
      </x:c>
    </x:row>
    <x:row r="1535">
      <x:c r="A1535" t="n">
        <x:v>1534</x:v>
      </x:c>
      <x:c r="B1535" s="106" t="str">
        <x:v>Across-run amplitude CV: 1.09 %</x:v>
      </x:c>
      <x:c r="C1535" t="str">
        <x:v>Pasted text(56).txt</x:v>
      </x:c>
    </x:row>
    <x:row r="1536">
      <x:c r="A1536" t="n">
        <x:v>1535</x:v>
      </x:c>
      <x:c r="B1536" s="106" t="str">
        <x:v>Maximum absolute target error: 1.96 %</x:v>
      </x:c>
      <x:c r="C1536" t="str">
        <x:v>Pasted text(56).txt</x:v>
      </x:c>
    </x:row>
    <x:row r="1537">
      <x:c r="A1537" t="n">
        <x:v>1536</x:v>
      </x:c>
      <x:c r="B1537" s="106" t="str">
        <x:v>FFT frequency mean +/- SD: 268.02329 +/- 0.00627 Hz</x:v>
      </x:c>
      <x:c r="C1537" t="str">
        <x:v>Pasted text(56).txt</x:v>
      </x:c>
    </x:row>
    <x:row r="1538">
      <x:c r="A1538" t="n">
        <x:v>1537</x:v>
      </x:c>
      <x:c r="B1538" s="106" t="str">
        <x:v>Selected DAC range: 11.25 to 11.50</x:v>
      </x:c>
      <x:c r="C1538" t="str">
        <x:v>Pasted text(56).txt</x:v>
      </x:c>
    </x:row>
    <x:row r="1539">
      <x:c r="A1539" t="n">
        <x:v>1538</x:v>
      </x:c>
      <x:c r="B1539" s="106" t="str">
        <x:v>Average hold records in target band: 100.0 %</x:v>
      </x:c>
      <x:c r="C1539" t="str">
        <x:v>Pasted text(56).txt</x:v>
      </x:c>
    </x:row>
    <x:row r="1540">
      <x:c r="A1540" t="n">
        <x:v>1539</x:v>
      </x:c>
      <x:c r="B1540" s="106" t="str">
        <x:v>OVERALL VERDICT: EXCELLENT REPRODUCIBLE TARGET-AMPLITUDE ACQUISITION.</x:v>
      </x:c>
      <x:c r="C1540" t="str">
        <x:v>Pasted text(56).txt</x:v>
      </x:c>
    </x:row>
    <x:row r="1541">
      <x:c r="A1541" t="n">
        <x:v>1540</x:v>
      </x:c>
      <x:c r="B1541" s="106" t="str">
        <x:v>X-axis amplitude matching is repeatable; phase testing may follow after one independent confirmation session.</x:v>
      </x:c>
      <x:c r="C1541" t="str">
        <x:v>Pasted text(56).txt</x:v>
      </x:c>
    </x:row>
    <x:row r="1542">
      <x:c r="A1542" t="n">
        <x:v>1541</x:v>
      </x:c>
      <x:c r="B1542" s="106" t="str"/>
      <x:c r="C1542" t="str">
        <x:v>Pasted text(56).txt</x:v>
      </x:c>
    </x:row>
    <x:row r="1543">
      <x:c r="A1543" t="n">
        <x:v>1542</x:v>
      </x:c>
      <x:c r="B1543" s="106" t="str">
        <x:v>Automatic test complete. Enter h for commands.</x:v>
      </x:c>
      <x:c r="C1543" t="str">
        <x:v>Pasted text(56).txt</x:v>
      </x:c>
    </x:row>
    <x:row r="1544">
      <x:c r="A1544" t="n">
        <x:v>1543</x:v>
      </x:c>
      <x:c r="B1544" s="106" t="str">
        <x:v>Unknown command.</x:v>
      </x:c>
      <x:c r="C1544" t="str">
        <x:v>Pasted text(56).txt</x:v>
      </x:c>
    </x:row>
    <x:row r="1545">
      <x:c r="A1545" t="n">
        <x:v>1544</x:v>
      </x:c>
      <x:c r="B1545" s="106" t="str"/>
      <x:c r="C1545" t="str">
        <x:v>Pasted text(56).txt</x:v>
      </x:c>
    </x:row>
    <x:row r="1546">
      <x:c r="A1546" t="n">
        <x:v>1545</x:v>
      </x:c>
      <x:c r="B1546" s="106" t="str">
        <x:v>============================================================</x:v>
      </x:c>
      <x:c r="C1546" t="str">
        <x:v>Pasted text(56).txt</x:v>
      </x:c>
    </x:row>
    <x:row r="1547">
      <x:c r="A1547" t="n">
        <x:v>1546</x:v>
      </x:c>
      <x:c r="B1547" s="106" t="str">
        <x:v>COMMANDS</x:v>
      </x:c>
      <x:c r="C1547" t="str">
        <x:v>Pasted text(56).txt</x:v>
      </x:c>
    </x:row>
    <x:row r="1548">
      <x:c r="A1548" t="n">
        <x:v>1547</x:v>
      </x:c>
      <x:c r="B1548" s="106" t="str">
        <x:v>============================================================</x:v>
      </x:c>
      <x:c r="C1548" t="str">
        <x:v>Pasted text(56).txt</x:v>
      </x:c>
    </x:row>
    <x:row r="1549">
      <x:c r="A1549" t="n">
        <x:v>1548</x:v>
      </x:c>
      <x:c r="B1549" s="106" t="str">
        <x:v>f 268    = set frequency in Hz (20-350)</x:v>
      </x:c>
      <x:c r="C1549" t="str">
        <x:v>Pasted text(56).txt</x:v>
      </x:c>
    </x:row>
    <x:row r="1550">
      <x:c r="A1550" t="n">
        <x:v>1549</x:v>
      </x:c>
      <x:c r="B1550" s="106" t="str">
        <x:v>t 1.12   = set X-axis target peak amplitude in m/s^2</x:v>
      </x:c>
      <x:c r="C1550" t="str">
        <x:v>Pasted text(56).txt</x:v>
      </x:c>
    </x:row>
    <x:row r="1551">
      <x:c r="A1551" t="n">
        <x:v>1550</x:v>
      </x:c>
      <x:c r="B1551" s="106" t="str">
        <x:v>e 7.5    = set tolerance percent (5-10 recommended)</x:v>
      </x:c>
      <x:c r="C1551" t="str">
        <x:v>Pasted text(56).txt</x:v>
      </x:c>
    </x:row>
    <x:row r="1552">
      <x:c r="A1552" t="n">
        <x:v>1551</x:v>
      </x:c>
      <x:c r="B1552" s="106" t="str">
        <x:v>n 5      = set independent run count (2-10)</x:v>
      </x:c>
      <x:c r="C1552" t="str">
        <x:v>Pasted text(56).txt</x:v>
      </x:c>
    </x:row>
    <x:row r="1553">
      <x:c r="A1553" t="n">
        <x:v>1552</x:v>
      </x:c>
      <x:c r="B1553" s="106" t="str">
        <x:v>k 10     = set fixed-DAC hold records per run (5-30)</x:v>
      </x:c>
      <x:c r="C1553" t="str">
        <x:v>Pasted text(56).txt</x:v>
      </x:c>
    </x:row>
    <x:row r="1554">
      <x:c r="A1554" t="n">
        <x:v>1553</x:v>
      </x:c>
      <x:c r="B1554" s="106" t="str">
        <x:v>a        = run complete repeated target-amplitude validation</x:v>
      </x:c>
      <x:c r="C1554" t="str">
        <x:v>Pasted text(56).txt</x:v>
      </x:c>
    </x:row>
    <x:row r="1555">
      <x:c r="A1555" t="n">
        <x:v>1554</x:v>
      </x:c>
      <x:c r="B1555" s="106" t="str">
        <x:v>q 10     = one exact-frequency quadrature measurement at DAC 10</x:v>
      </x:c>
      <x:c r="C1555" t="str">
        <x:v>Pasted text(56).txt</x:v>
      </x:c>
    </x:row>
    <x:row r="1556">
      <x:c r="A1556" t="n">
        <x:v>1555</x:v>
      </x:c>
      <x:c r="B1556" s="106" t="str">
        <x:v>d 15     = one validated blind FFT diagnostic at DAC 15</x:v>
      </x:c>
      <x:c r="C1556" t="str">
        <x:v>Pasted text(56).txt</x:v>
      </x:c>
    </x:row>
    <x:row r="1557">
      <x:c r="A1557" t="n">
        <x:v>1556</x:v>
      </x:c>
      <x:c r="B1557" s="106" t="str">
        <x:v>p        = print settings</x:v>
      </x:c>
      <x:c r="C1557" t="str">
        <x:v>Pasted text(56).txt</x:v>
      </x:c>
    </x:row>
    <x:row r="1558">
      <x:c r="A1558" t="n">
        <x:v>1557</x:v>
      </x:c>
      <x:c r="B1558" s="106" t="str">
        <x:v>s        = emergency stop</x:v>
      </x:c>
      <x:c r="C1558" t="str">
        <x:v>Pasted text(56).txt</x:v>
      </x:c>
    </x:row>
    <x:row r="1559">
      <x:c r="A1559" t="n">
        <x:v>1558</x:v>
      </x:c>
      <x:c r="B1559" s="106" t="str">
        <x:v>h        = show menu</x:v>
      </x:c>
      <x:c r="C1559" t="str">
        <x:v>Pasted text(56).txt</x:v>
      </x:c>
    </x:row>
    <x:row r="1560">
      <x:c r="A1560" t="n">
        <x:v>1559</x:v>
      </x:c>
      <x:c r="B1560" s="106" t="str">
        <x:v>============================================================</x:v>
      </x:c>
      <x:c r="C1560" t="str">
        <x:v>Pasted text(56).txt</x:v>
      </x:c>
    </x:row>
    <x:row r="1561">
      <x:c r="A1561" t="n">
        <x:v>1560</x:v>
      </x:c>
      <x:c r="B1561" s="106" t="str">
        <x:v>Target amplitude set to 1.28000 m/s^2 peak.</x:v>
      </x:c>
      <x:c r="C1561" t="str">
        <x:v>Pasted text(56).txt</x:v>
      </x:c>
    </x:row>
    <x:row r="1562">
      <x:c r="A1562" t="n">
        <x:v>1561</x:v>
      </x:c>
      <x:c r="B1562" s="106" t="str"/>
      <x:c r="C1562" t="str">
        <x:v>Pasted text(56).txt</x:v>
      </x:c>
    </x:row>
    <x:row r="1563">
      <x:c r="A1563" t="n">
        <x:v>1562</x:v>
      </x:c>
      <x:c r="B1563" s="106" t="str">
        <x:v>================================================================================</x:v>
      </x:c>
      <x:c r="C1563" t="str">
        <x:v>Pasted text(56).txt</x:v>
      </x:c>
    </x:row>
    <x:row r="1564">
      <x:c r="A1564" t="n">
        <x:v>1563</x:v>
      </x:c>
      <x:c r="B1564" s="106" t="str">
        <x:v>REPEATED INDEPENDENT TARGET-AMPLITUDE VALIDATION STARTED</x:v>
      </x:c>
      <x:c r="C1564" t="str">
        <x:v>Pasted text(56).txt</x:v>
      </x:c>
    </x:row>
    <x:row r="1565">
      <x:c r="A1565" t="n">
        <x:v>1564</x:v>
      </x:c>
      <x:c r="B1565" s="106" t="str">
        <x:v>================================================================================</x:v>
      </x:c>
      <x:c r="C1565" t="str">
        <x:v>Pasted text(56).txt</x:v>
      </x:c>
    </x:row>
    <x:row r="1566">
      <x:c r="A1566" t="n">
        <x:v>1565</x:v>
      </x:c>
      <x:c r="B1566" s="106" t="str"/>
      <x:c r="C1566" t="str">
        <x:v>Pasted text(56).txt</x:v>
      </x:c>
    </x:row>
    <x:row r="1567">
      <x:c r="A1567" t="n">
        <x:v>1566</x:v>
      </x:c>
      <x:c r="B1567" s="106" t="str">
        <x:v>CURRENT SETTINGS</x:v>
      </x:c>
      <x:c r="C1567" t="str">
        <x:v>Pasted text(56).txt</x:v>
      </x:c>
    </x:row>
    <x:row r="1568">
      <x:c r="A1568" t="n">
        <x:v>1567</x:v>
      </x:c>
      <x:c r="B1568" s="106" t="str">
        <x:v>Frequency: 268.00000 Hz</x:v>
      </x:c>
      <x:c r="C1568" t="str">
        <x:v>Pasted text(56).txt</x:v>
      </x:c>
    </x:row>
    <x:row r="1569">
      <x:c r="A1569" t="n">
        <x:v>1568</x:v>
      </x:c>
      <x:c r="B1569" s="106" t="str">
        <x:v>Control axis: X ONLY (Y/Z diagnostic only)</x:v>
      </x:c>
      <x:c r="C1569" t="str">
        <x:v>Pasted text(56).txt</x:v>
      </x:c>
    </x:row>
    <x:row r="1570">
      <x:c r="A1570" t="n">
        <x:v>1569</x:v>
      </x:c>
      <x:c r="B1570" s="106" t="str">
        <x:v>Target peak amplitude: 1.28000 m/s^2</x:v>
      </x:c>
      <x:c r="C1570" t="str">
        <x:v>Pasted text(56).txt</x:v>
      </x:c>
    </x:row>
    <x:row r="1571">
      <x:c r="A1571" t="n">
        <x:v>1570</x:v>
      </x:c>
      <x:c r="B1571" s="106" t="str">
        <x:v>Tolerance: +/-7.50 %</x:v>
      </x:c>
      <x:c r="C1571" t="str">
        <x:v>Pasted text(56).txt</x:v>
      </x:c>
    </x:row>
    <x:row r="1572">
      <x:c r="A1572" t="n">
        <x:v>1571</x:v>
      </x:c>
      <x:c r="B1572" s="106" t="str">
        <x:v>Allowed amplitude band: 1.18400 to 1.37600 m/s^2 peak</x:v>
      </x:c>
      <x:c r="C1572" t="str">
        <x:v>Pasted text(56).txt</x:v>
      </x:c>
    </x:row>
    <x:row r="1573">
      <x:c r="A1573" t="n">
        <x:v>1572</x:v>
      </x:c>
      <x:c r="B1573" s="106" t="str">
        <x:v>Independent runs: 5</x:v>
      </x:c>
      <x:c r="C1573" t="str">
        <x:v>Pasted text(56).txt</x:v>
      </x:c>
    </x:row>
    <x:row r="1574">
      <x:c r="A1574" t="n">
        <x:v>1573</x:v>
      </x:c>
      <x:c r="B1574" s="106" t="str">
        <x:v>Hold records per run: 10</x:v>
      </x:c>
      <x:c r="C1574" t="str">
        <x:v>Pasted text(56).txt</x:v>
      </x:c>
    </x:row>
    <x:row r="1575">
      <x:c r="A1575" t="n">
        <x:v>1574</x:v>
      </x:c>
      <x:c r="B1575" s="106" t="str">
        <x:v>DAC search range/resolution: 1.00 to 30.00 / 0.25</x:v>
      </x:c>
      <x:c r="C1575" t="str">
        <x:v>Pasted text(56).txt</x:v>
      </x:c>
    </x:row>
    <x:row r="1576">
      <x:c r="A1576" t="n">
        <x:v>1575</x:v>
      </x:c>
      <x:c r="B1576" s="106" t="str">
        <x:v>FFT bin resolution: 1.56250 Hz; accepted command-to-bin difference &lt;= 2.00 Hz</x:v>
      </x:c>
      <x:c r="C1576" t="str">
        <x:v>Pasted text(56).txt</x:v>
      </x:c>
    </x:row>
    <x:row r="1577">
      <x:c r="A1577" t="n">
        <x:v>1576</x:v>
      </x:c>
      <x:c r="B1577" s="106" t="str">
        <x:v>Every run starts from DAC 1.00. Different selected DACs are allowed.</x:v>
      </x:c>
      <x:c r="C1577" t="str">
        <x:v>Pasted text(56).txt</x:v>
      </x:c>
    </x:row>
    <x:row r="1578">
      <x:c r="A1578" t="n">
        <x:v>1577</x:v>
      </x:c>
      <x:c r="B1578" s="106" t="str">
        <x:v>The accepted result is X-axis amplitude and X-axis frequency, not DAC.</x:v>
      </x:c>
      <x:c r="C1578" t="str">
        <x:v>Pasted text(56).txt</x:v>
      </x:c>
    </x:row>
    <x:row r="1579">
      <x:c r="A1579" t="n">
        <x:v>1578</x:v>
      </x:c>
      <x:c r="B1579" s="106" t="str"/>
      <x:c r="C1579" t="str">
        <x:v>Pasted text(56).txt</x:v>
      </x:c>
    </x:row>
    <x:row r="1580">
      <x:c r="A1580" t="n">
        <x:v>1579</x:v>
      </x:c>
      <x:c r="B1580" s="106" t="str">
        <x:v>################################################################################</x:v>
      </x:c>
      <x:c r="C1580" t="str">
        <x:v>Pasted text(56).txt</x:v>
      </x:c>
    </x:row>
    <x:row r="1581">
      <x:c r="A1581" t="n">
        <x:v>1580</x:v>
      </x:c>
      <x:c r="B1581" s="106" t="str">
        <x:v>INDEPENDENT TARGET-AMPLITUDE RUN 1 OF 5</x:v>
      </x:c>
      <x:c r="C1581" t="str">
        <x:v>Pasted text(56).txt</x:v>
      </x:c>
    </x:row>
    <x:row r="1582">
      <x:c r="A1582" t="n">
        <x:v>1581</x:v>
      </x:c>
      <x:c r="B1582" s="106" t="str">
        <x:v>################################################################################</x:v>
      </x:c>
      <x:c r="C1582" t="str">
        <x:v>Pasted text(56).txt</x:v>
      </x:c>
    </x:row>
    <x:row r="1583">
      <x:c r="A1583" t="n">
        <x:v>1582</x:v>
      </x:c>
      <x:c r="B1583" s="106" t="str">
        <x:v>Frequency: 268.00000 Hz</x:v>
      </x:c>
      <x:c r="C1583" t="str">
        <x:v>Pasted text(56).txt</x:v>
      </x:c>
    </x:row>
    <x:row r="1584">
      <x:c r="A1584" t="n">
        <x:v>1583</x:v>
      </x:c>
      <x:c r="B1584" s="106" t="str">
        <x:v>Target X amplitude: 1.28000 m/s^2 peak, tolerance +/-7.50 %</x:v>
      </x:c>
      <x:c r="C1584" t="str">
        <x:v>Pasted text(56).txt</x:v>
      </x:c>
    </x:row>
    <x:row r="1585">
      <x:c r="A1585" t="n">
        <x:v>1584</x:v>
      </x:c>
      <x:c r="B1585" s="106" t="str">
        <x:v>This run starts from DAC 1.00 and ignores every earlier selected DAC.</x:v>
      </x:c>
      <x:c r="C1585" t="str">
        <x:v>Pasted text(56).txt</x:v>
      </x:c>
    </x:row>
    <x:row r="1586">
      <x:c r="A1586" t="n">
        <x:v>1585</x:v>
      </x:c>
      <x:c r="B1586" s="106" t="str">
        <x:v>ADXL2 DEVID/DATA_FORMAT/BW_RATE/POWER_CTL: 0xE5 / 0xB / 0xE / 0x8</x:v>
      </x:c>
      <x:c r="C1586" t="str">
        <x:v>Pasted text(56).txt</x:v>
      </x:c>
    </x:row>
    <x:row r="1587">
      <x:c r="A1587" t="n">
        <x:v>1586</x:v>
      </x:c>
      <x:c r="B1587" s="106" t="str"/>
      <x:c r="C1587" t="str">
        <x:v>Pasted text(56).txt</x:v>
      </x:c>
    </x:row>
    <x:row r="1588">
      <x:c r="A1588" t="n">
        <x:v>1587</x:v>
      </x:c>
      <x:c r="B1588" s="106" t="str">
        <x:v>ACQUISITION ATTEMPT 1 OF 2</x:v>
      </x:c>
      <x:c r="C1588" t="str">
        <x:v>Pasted text(56).txt</x:v>
      </x:c>
    </x:row>
    <x:row r="1589">
      <x:c r="A1589" t="n">
        <x:v>1588</x:v>
      </x:c>
      <x:c r="B1589" s="106" t="str"/>
      <x:c r="C1589" t="str">
        <x:v>Pasted text(56).txt</x:v>
      </x:c>
    </x:row>
    <x:row r="1590">
      <x:c r="A1590" t="n">
        <x:v>1589</x:v>
      </x:c>
      <x:c r="B1590" s="106" t="str">
        <x:v>FRESH X-AXIS SEARCH FROM DAC 1.00 — OLD DAC VALUES ARE NOT USED</x:v>
      </x:c>
      <x:c r="C1590" t="str">
        <x:v>Pasted text(56).txt</x:v>
      </x:c>
    </x:row>
    <x:row r="1591">
      <x:c r="A1591" t="n">
        <x:v>1590</x:v>
      </x:c>
      <x:c r="B1591" s="106" t="str">
        <x:v>Y/Z are diagnostic only and cannot abort this search.</x:v>
      </x:c>
      <x:c r="C1591" t="str">
        <x:v>Pasted text(56).txt</x:v>
      </x:c>
    </x:row>
    <x:row r="1592">
      <x:c r="A1592" t="n">
        <x:v>1591</x:v>
      </x:c>
      <x:c r="B1592" s="106" t="str">
        <x:v>A real SPI fault, clipping, safety limit or confirmed X-response collapse will stop it.</x:v>
      </x:c>
      <x:c r="C1592" t="str">
        <x:v>Pasted text(56).txt</x:v>
      </x:c>
    </x:row>
    <x:row r="1593">
      <x:c r="A1593" t="n">
        <x:v>1592</x:v>
      </x:c>
      <x:c r="B1593" s="106" t="str">
        <x:v>SEARCH | point 1 | DAC 1.00 | CTRL X 0.01442 | X 0.01501 | Y 0.02213 | Z 0.02295 | TOTAL 0.03532 | error -98.87 % | MAD 12.17 % | CV 5.58 % | coh 8.2 % | dominant Z | axis fraction 65.4 % | BELOW MEASUREMENT FLOOR — SEARCH CONTINUES</x:v>
      </x:c>
      <x:c r="C1593" t="str">
        <x:v>Pasted text(56).txt</x:v>
      </x:c>
    </x:row>
    <x:row r="1594">
      <x:c r="A1594" t="n">
        <x:v>1593</x:v>
      </x:c>
      <x:c r="B1594" s="106" t="str">
        <x:v>SEARCH | point 2 | DAC 3.00 | CTRL X 0.17293 | X 0.17294 | Y 0.06320 | Z 0.13953 | TOTAL 0.23180 | error -86.49 % | MAD 0.11 % | CV 0.08 % | coh 60.2 % | dominant X | axis fraction 100.0 % | VALID</x:v>
      </x:c>
      <x:c r="C1594" t="str">
        <x:v>Pasted text(56).txt</x:v>
      </x:c>
    </x:row>
    <x:row r="1595">
      <x:c r="A1595" t="n">
        <x:v>1594</x:v>
      </x:c>
      <x:c r="B1595" s="106" t="str">
        <x:v>SEARCH | point 3 | DAC 5.00 | CTRL X 0.40566 | X 0.39913 | Y 0.14042 | Z 0.26443 | TOTAL 0.49904 | error -68.31 % | MAD 1.90 % | CV 4.01 % | coh 84.8 % | dominant X | axis fraction 100.0 % | VALID</x:v>
      </x:c>
      <x:c r="C1595" t="str">
        <x:v>Pasted text(56).txt</x:v>
      </x:c>
    </x:row>
    <x:row r="1596">
      <x:c r="A1596" t="n">
        <x:v>1595</x:v>
      </x:c>
      <x:c r="B1596" s="106" t="str">
        <x:v>SEARCH | point 4 | DAC 6.00 | CTRL X 0.51699 | X 0.50949 | Y 0.18772 | Z 0.30285 | TOTAL 0.62191 | error -59.61 % | MAD 0.13 % | CV 2.62 % | coh 86.3 % | dominant X | axis fraction 100.0 % | VALID</x:v>
      </x:c>
      <x:c r="C1596" t="str">
        <x:v>Pasted text(56).txt</x:v>
      </x:c>
    </x:row>
    <x:row r="1597">
      <x:c r="A1597" t="n">
        <x:v>1596</x:v>
      </x:c>
      <x:c r="B1597" s="106" t="str">
        <x:v>SEARCH | point 5 | DAC 7.00 | CTRL X 0.63734 | X 0.63776 | Y 0.23151 | Z 0.35281 | TOTAL 0.76497 | error -50.21 % | MAD 1.35 % | CV 1.01 % | coh 89.8 % | dominant X | axis fraction 100.0 % | VALID</x:v>
      </x:c>
      <x:c r="C1597" t="str">
        <x:v>Pasted text(56).txt</x:v>
      </x:c>
    </x:row>
    <x:row r="1598">
      <x:c r="A1598" t="n">
        <x:v>1597</x:v>
      </x:c>
      <x:c r="B1598" s="106" t="str">
        <x:v>SEARCH | point 6 | DAC 8.00 | CTRL X 0.77750 | X 0.77554 | Y 0.26770 | Z 0.43766 | TOTAL 0.93005 | error -39.26 % | MAD 1.95 % | CV 1.71 % | coh 92.0 % | dominant X | axis fraction 100.0 % | VALID</x:v>
      </x:c>
      <x:c r="C1598" t="str">
        <x:v>Pasted text(56).txt</x:v>
      </x:c>
    </x:row>
    <x:row r="1599">
      <x:c r="A1599" t="n">
        <x:v>1598</x:v>
      </x:c>
      <x:c r="B1599" s="106" t="str">
        <x:v>SEARCH | point 7 | DAC 8.50 | CTRL X 0.83296 | X 0.82556 | Y 0.29245 | Z 0.46380 | TOTAL 0.99127 | error -34.93 % | MAD 0.69 % | CV 1.97 % | coh 91.3 % | dominant X | axis fraction 100.0 % | VALID</x:v>
      </x:c>
      <x:c r="C1599" t="str">
        <x:v>Pasted text(56).txt</x:v>
      </x:c>
    </x:row>
    <x:row r="1600">
      <x:c r="A1600" t="n">
        <x:v>1599</x:v>
      </x:c>
      <x:c r="B1600" s="106" t="str">
        <x:v>SEARCH | point 8 | DAC 9.00 | CTRL X 0.88963 | X 0.89323 | Y 0.30100 | Z 0.50282 | TOTAL 1.06837 | error -30.50 % | MAD 1.93 % | CV 1.93 % | coh 91.7 % | dominant X | axis fraction 100.0 % | VALID</x:v>
      </x:c>
      <x:c r="C1600" t="str">
        <x:v>Pasted text(56).txt</x:v>
      </x:c>
    </x:row>
    <x:row r="1601">
      <x:c r="A1601" t="n">
        <x:v>1600</x:v>
      </x:c>
      <x:c r="B1601" s="106" t="str">
        <x:v>SEARCH | point 9 | DAC 9.50 | CTRL X 0.95104 | X 0.94407 | Y 0.30430 | Z 0.52540 | TOTAL 1.12261 | error -25.70 % | MAD 0.07 % | CV 1.32 % | coh 93.5 % | dominant X | axis fraction 100.0 % | VALID</x:v>
      </x:c>
      <x:c r="C1601" t="str">
        <x:v>Pasted text(56).txt</x:v>
      </x:c>
    </x:row>
    <x:row r="1602">
      <x:c r="A1602" t="n">
        <x:v>1601</x:v>
      </x:c>
      <x:c r="B1602" s="106" t="str">
        <x:v>SEARCH | point 10 | DAC 10.00 | CTRL X 1.01795 | X 1.02177 | Y 0.33702 | Z 0.55693 | TOTAL 1.21183 | error -20.47 % | MAD 1.53 % | CV 1.62 % | coh 92.5 % | dominant X | axis fraction 100.0 % | VALID</x:v>
      </x:c>
      <x:c r="C1602" t="str">
        <x:v>Pasted text(56).txt</x:v>
      </x:c>
    </x:row>
    <x:row r="1603">
      <x:c r="A1603" t="n">
        <x:v>1602</x:v>
      </x:c>
      <x:c r="B1603" s="106" t="str">
        <x:v>SEARCH | point 11 | DAC 10.50 | CTRL X 1.06518 | X 1.06524 | Y 0.34154 | Z 0.57205 | TOTAL 1.25658 | error -16.78 % | MAD 1.36 % | CV 0.93 % | coh 92.6 % | dominant X | axis fraction 100.0 % | VALID</x:v>
      </x:c>
      <x:c r="C1603" t="str">
        <x:v>Pasted text(56).txt</x:v>
      </x:c>
    </x:row>
    <x:row r="1604">
      <x:c r="A1604" t="n">
        <x:v>1603</x:v>
      </x:c>
      <x:c r="B1604" s="106" t="str">
        <x:v>SEARCH | point 12 | DAC 11.00 | CTRL X 1.17847 | X 1.18076 | Y 0.37326 | Z 0.60751 | TOTAL 1.37935 | error -7.93 % | MAD 0.31 % | CV 0.52 % | coh 94.4 % | dominant X | axis fraction 100.0 % | VALID</x:v>
      </x:c>
      <x:c r="C1604" t="str">
        <x:v>Pasted text(56).txt</x:v>
      </x:c>
    </x:row>
    <x:row r="1605">
      <x:c r="A1605" t="n">
        <x:v>1604</x:v>
      </x:c>
      <x:c r="B1605" s="106" t="str">
        <x:v>SEARCH | point 13 | DAC 11.25 | CTRL X 1.19205 | X 1.19238 | Y 0.38280 | Z 0.63149 | TOTAL 1.40280 | error -6.87 % | MAD 2.57 % | CV 1.77 % | coh 93.7 % | dominant X | axis fraction 100.0 % | IN TARGET BAND</x:v>
      </x:c>
      <x:c r="C1605" t="str">
        <x:v>Pasted text(56).txt</x:v>
      </x:c>
    </x:row>
    <x:row r="1606">
      <x:c r="A1606" t="n">
        <x:v>1605</x:v>
      </x:c>
      <x:c r="B1606" s="106" t="str"/>
      <x:c r="C1606" t="str">
        <x:v>Pasted text(56).txt</x:v>
      </x:c>
    </x:row>
    <x:row r="1607">
      <x:c r="A1607" t="n">
        <x:v>1606</x:v>
      </x:c>
      <x:c r="B1607" s="106" t="str">
        <x:v>LOCAL 0.25-DAC X-AXIS FINE SCAN</x:v>
      </x:c>
      <x:c r="C1607" t="str">
        <x:v>Pasted text(56).txt</x:v>
      </x:c>
    </x:row>
    <x:row r="1608">
      <x:c r="A1608" t="n">
        <x:v>1607</x:v>
      </x:c>
      <x:c r="B1608" s="106" t="str">
        <x:v>Only a valid point actually inside the X target band may be selected.</x:v>
      </x:c>
      <x:c r="C1608" t="str">
        <x:v>Pasted text(56).txt</x:v>
      </x:c>
    </x:row>
    <x:row r="1609">
      <x:c r="A1609" t="n">
        <x:v>1608</x:v>
      </x:c>
      <x:c r="B1609" s="106" t="str">
        <x:v>FINE | point 1 | DAC 10.25 | CTRL X 1.05290 | X 1.04734 | Y 0.33364 | Z 0.57451 | TOTAL 1.24043 | error -17.74 % | MAD 0.94 % | CV 1.50 % | coh 92.2 % | dominant X | axis fraction 100.0 % | VALID</x:v>
      </x:c>
      <x:c r="C1609" t="str">
        <x:v>Pasted text(56).txt</x:v>
      </x:c>
    </x:row>
    <x:row r="1610">
      <x:c r="A1610" t="n">
        <x:v>1609</x:v>
      </x:c>
      <x:c r="B1610" s="106" t="str">
        <x:v>FINE | point 2 | DAC 10.50 | CTRL X 1.07216 | X 1.06671 | Y 0.35851 | Z 0.56183 | TOTAL 1.25822 | error -16.24 % | MAD 0.26 % | CV 1.04 % | coh 92.4 % | dominant X | axis fraction 100.0 % | VALID</x:v>
      </x:c>
      <x:c r="C1610" t="str">
        <x:v>Pasted text(56).txt</x:v>
      </x:c>
    </x:row>
    <x:row r="1611">
      <x:c r="A1611" t="n">
        <x:v>1610</x:v>
      </x:c>
      <x:c r="B1611" s="106" t="str">
        <x:v>FINE | point 3 | DAC 10.75 | CTRL X 1.12551 | X 1.12431 | Y 0.35789 | Z 0.60154 | TOTAL 1.32443 | error -12.07 % | MAD 1.97 % | CV 1.49 % | coh 92.9 % | dominant X | axis fraction 100.0 % | VALID</x:v>
      </x:c>
      <x:c r="C1611" t="str">
        <x:v>Pasted text(56).txt</x:v>
      </x:c>
    </x:row>
    <x:row r="1612">
      <x:c r="A1612" t="n">
        <x:v>1611</x:v>
      </x:c>
      <x:c r="B1612" s="106" t="str">
        <x:v>FINE | point 4 | DAC 11.00 | CTRL X 1.17569 | X 1.16771 | Y 0.38028 | Z 0.64286 | TOTAL 1.38650 | error -8.15 % | MAD 0.43 % | CV 1.44 % | coh 93.5 % | dominant X | axis fraction 100.0 % | VALID</x:v>
      </x:c>
      <x:c r="C1612" t="str">
        <x:v>Pasted text(56).txt</x:v>
      </x:c>
    </x:row>
    <x:row r="1613">
      <x:c r="A1613" t="n">
        <x:v>1612</x:v>
      </x:c>
      <x:c r="B1613" s="106" t="str">
        <x:v>FINE | point 5 | DAC 11.25 | CTRL X 1.20043 | X 1.20104 | Y 0.38769 | Z 0.64260 | TOTAL 1.41652 | error -6.22 % | MAD 0.08 % | CV 0.14 % | coh 94.0 % | dominant X | axis fraction 100.0 % | IN TARGET BAND</x:v>
      </x:c>
      <x:c r="C1613" t="str">
        <x:v>Pasted text(56).txt</x:v>
      </x:c>
    </x:row>
    <x:row r="1614">
      <x:c r="A1614" t="n">
        <x:v>1613</x:v>
      </x:c>
      <x:c r="B1614" s="106" t="str">
        <x:v>FINE | point 6 | DAC 11.50 | CTRL X 1.21612 | X 1.21254 | Y 0.40017 | Z 0.65808 | TOTAL 1.43664 | error -4.99 % | MAD 0.10 % | CV 0.57 % | coh 93.8 % | dominant X | axis fraction 100.0 % | IN TARGET BAND</x:v>
      </x:c>
      <x:c r="C1614" t="str">
        <x:v>Pasted text(56).txt</x:v>
      </x:c>
    </x:row>
    <x:row r="1615">
      <x:c r="A1615" t="n">
        <x:v>1614</x:v>
      </x:c>
      <x:c r="B1615" s="106" t="str">
        <x:v>FINE | point 7 | DAC 11.75 | CTRL X 1.26279 | X 1.25785 | Y 0.40050 | Z 0.68269 | TOTAL 1.48632 | error -1.34 % | MAD 0.32 % | CV 0.88 % | coh 92.9 % | dominant X | axis fraction 100.0 % | IN TARGET BAND</x:v>
      </x:c>
      <x:c r="C1615" t="str">
        <x:v>Pasted text(56).txt</x:v>
      </x:c>
    </x:row>
    <x:row r="1616">
      <x:c r="A1616" t="n">
        <x:v>1615</x:v>
      </x:c>
      <x:c r="B1616" s="106" t="str">
        <x:v>FINE | point 8 | DAC 12.00 | CTRL X 1.27568 | X 1.28809 | Y 0.41487 | Z 0.66452 | TOTAL 1.50765 | error -0.34 % | MAD 0.05 % | CV 1.70 % | coh 93.8 % | dominant X | axis fraction 100.0 % | IN TARGET BAND</x:v>
      </x:c>
      <x:c r="C1616" t="str">
        <x:v>Pasted text(56).txt</x:v>
      </x:c>
    </x:row>
    <x:row r="1617">
      <x:c r="A1617" t="n">
        <x:v>1616</x:v>
      </x:c>
      <x:c r="B1617" s="106" t="str">
        <x:v>FINE | point 9 | DAC 12.25 | CTRL X 1.31622 | X 1.31726 | Y 0.41822 | Z 0.69192 | TOTAL 1.54567 | error 2.83 % | MAD 1.50 % | CV 1.13 % | coh 93.6 % | dominant X | axis fraction 100.0 % | IN TARGET BAND</x:v>
      </x:c>
      <x:c r="C1617" t="str">
        <x:v>Pasted text(56).txt</x:v>
      </x:c>
    </x:row>
    <x:row r="1618">
      <x:c r="A1618" t="n">
        <x:v>1617</x:v>
      </x:c>
      <x:c r="B1618" s="106" t="str"/>
      <x:c r="C1618" t="str">
        <x:v>Pasted text(56).txt</x:v>
      </x:c>
    </x:row>
    <x:row r="1619">
      <x:c r="A1619" t="n">
        <x:v>1618</x:v>
      </x:c>
      <x:c r="B1619" s="106" t="str">
        <x:v>LONG VALIDATION AT FIXED DAC 12.00</x:v>
      </x:c>
      <x:c r="C1619" t="str">
        <x:v>Pasted text(56).txt</x:v>
      </x:c>
    </x:row>
    <x:row r="1620">
      <x:c r="A1620" t="n">
        <x:v>1619</x:v>
      </x:c>
      <x:c r="B1620" s="106" t="str">
        <x:v>FINAL | point 1 | DAC 12.00 | CTRL X 1.28862 | X 1.28017 | Y 0.42786 | Z 0.66769 | TOTAL 1.50610 | error 0.67 % | MAD 1.87 % | CV 1.71 % | coh 93.7 % | dominant X | axis fraction 100.0 % | IN TARGET BAND</x:v>
      </x:c>
      <x:c r="C1620" t="str">
        <x:v>Pasted text(56).txt</x:v>
      </x:c>
    </x:row>
    <x:row r="1621">
      <x:c r="A1621" t="n">
        <x:v>1620</x:v>
      </x:c>
      <x:c r="B1621" s="106" t="str">
        <x:v>FINAL | point 2 | DAC 12.00 | CTRL X 1.26164 | X 1.25251 | Y 0.41485 | Z 0.67161 | TOTAL 1.48061 | error -1.43 % | MAD 0.32 % | CV 1.18 % | coh 93.3 % | dominant X | axis fraction 100.0 % | IN TARGET BAND</x:v>
      </x:c>
      <x:c r="C1621" t="str">
        <x:v>Pasted text(56).txt</x:v>
      </x:c>
    </x:row>
    <x:row r="1622">
      <x:c r="A1622" t="n">
        <x:v>1621</x:v>
      </x:c>
      <x:c r="B1622" s="106" t="str">
        <x:v>VALIDATION ACCEPTED | pair drift 2.12 %</x:v>
      </x:c>
      <x:c r="C1622" t="str">
        <x:v>Pasted text(56).txt</x:v>
      </x:c>
    </x:row>
    <x:row r="1623">
      <x:c r="A1623" t="n">
        <x:v>1622</x:v>
      </x:c>
      <x:c r="B1623" s="106" t="str"/>
      <x:c r="C1623" t="str">
        <x:v>Pasted text(56).txt</x:v>
      </x:c>
    </x:row>
    <x:row r="1624">
      <x:c r="A1624" t="n">
        <x:v>1623</x:v>
      </x:c>
      <x:c r="B1624" s="106" t="str">
        <x:v>FINAL VALIDATED BLIND FFT VERIFICATION</x:v>
      </x:c>
      <x:c r="C1624" t="str">
        <x:v>Pasted text(56).txt</x:v>
      </x:c>
    </x:row>
    <x:row r="1625">
      <x:c r="A1625" t="n">
        <x:v>1624</x:v>
      </x:c>
      <x:c r="B1625" s="106" t="str">
        <x:v>Commanded frequency: 268.00000 Hz</x:v>
      </x:c>
      <x:c r="C1625" t="str">
        <x:v>Pasted text(56).txt</x:v>
      </x:c>
    </x:row>
    <x:row r="1626">
      <x:c r="A1626" t="n">
        <x:v>1625</x:v>
      </x:c>
      <x:c r="B1626" s="106" t="str">
        <x:v>Accepted DAC: 12.00</x:v>
      </x:c>
      <x:c r="C1626" t="str">
        <x:v>Pasted text(56).txt</x:v>
      </x:c>
    </x:row>
    <x:row r="1627">
      <x:c r="A1627" t="n">
        <x:v>1626</x:v>
      </x:c>
      <x:c r="B1627" s="106" t="str">
        <x:v>Axis,Frequency_Hz,Amplitude_mps2,SNR_dB,Status</x:v>
      </x:c>
      <x:c r="C1627" t="str">
        <x:v>Pasted text(56).txt</x:v>
      </x:c>
    </x:row>
    <x:row r="1628">
      <x:c r="A1628" t="n">
        <x:v>1627</x:v>
      </x:c>
      <x:c r="B1628" s="106" t="str">
        <x:v>X,268.02717,1.15686,32.55,VALID</x:v>
      </x:c>
      <x:c r="C1628" t="str">
        <x:v>Pasted text(56).txt</x:v>
      </x:c>
    </x:row>
    <x:row r="1629">
      <x:c r="A1629" t="n">
        <x:v>1628</x:v>
      </x:c>
      <x:c r="B1629" s="106" t="str">
        <x:v>Y,268.01089,0.37929,27.14,VALID</x:v>
      </x:c>
      <x:c r="C1629" t="str">
        <x:v>Pasted text(56).txt</x:v>
      </x:c>
    </x:row>
    <x:row r="1630">
      <x:c r="A1630" t="n">
        <x:v>1629</x:v>
      </x:c>
      <x:c r="B1630" s="106" t="str">
        <x:v>Z,268.03909,0.62185,29.56,VALID</x:v>
      </x:c>
      <x:c r="C1630" t="str">
        <x:v>Pasted text(56).txt</x:v>
      </x:c>
    </x:row>
    <x:row r="1631">
      <x:c r="A1631" t="n">
        <x:v>1630</x:v>
      </x:c>
      <x:c r="B1631" s="106" t="str">
        <x:v>Combined frequency: 268.02842 Hz | difference 0.02842 Hz</x:v>
      </x:c>
      <x:c r="C1631" t="str">
        <x:v>Pasted text(56).txt</x:v>
      </x:c>
    </x:row>
    <x:row r="1632">
      <x:c r="A1632" t="n">
        <x:v>1631</x:v>
      </x:c>
      <x:c r="B1632" s="106" t="str">
        <x:v>Combined X/Y/Z/TOTAL: 1.05642 / 0.34526 / 0.56905 / 1.24862</x:v>
      </x:c>
      <x:c r="C1632" t="str">
        <x:v>Pasted text(56).txt</x:v>
      </x:c>
    </x:row>
    <x:row r="1633">
      <x:c r="A1633" t="n">
        <x:v>1632</x:v>
      </x:c>
      <x:c r="B1633" s="106" t="str">
        <x:v>SNR: 31.10 dB | dominant axis X</x:v>
      </x:c>
      <x:c r="C1633" t="str">
        <x:v>Pasted text(56).txt</x:v>
      </x:c>
    </x:row>
    <x:row r="1634">
      <x:c r="A1634" t="n">
        <x:v>1633</x:v>
      </x:c>
      <x:c r="B1634" s="106" t="str">
        <x:v>Frequency verification: PASS</x:v>
      </x:c>
      <x:c r="C1634" t="str">
        <x:v>Pasted text(56).txt</x:v>
      </x:c>
    </x:row>
    <x:row r="1635">
      <x:c r="A1635" t="n">
        <x:v>1634</x:v>
      </x:c>
      <x:c r="B1635" s="106" t="str">
        <x:v>Y/Z dominance: DIAGNOSTIC ONLY — ignored for pass/fail</x:v>
      </x:c>
      <x:c r="C1635" t="str">
        <x:v>Pasted text(56).txt</x:v>
      </x:c>
    </x:row>
    <x:row r="1636">
      <x:c r="A1636" t="n">
        <x:v>1635</x:v>
      </x:c>
      <x:c r="B1636" s="106" t="str"/>
      <x:c r="C1636" t="str">
        <x:v>Pasted text(56).txt</x:v>
      </x:c>
    </x:row>
    <x:row r="1637">
      <x:c r="A1637" t="n">
        <x:v>1636</x:v>
      </x:c>
      <x:c r="B1637" s="106" t="str">
        <x:v>FIXED-DAC HOLD VALIDATION</x:v>
      </x:c>
      <x:c r="C1637" t="str">
        <x:v>Pasted text(56).txt</x:v>
      </x:c>
    </x:row>
    <x:row r="1638">
      <x:c r="A1638" t="n">
        <x:v>1637</x:v>
      </x:c>
      <x:c r="B1638" s="106" t="str">
        <x:v>DAC remains fixed at 12.00 for 10 records.</x:v>
      </x:c>
      <x:c r="C1638" t="str">
        <x:v>Pasted text(56).txt</x:v>
      </x:c>
    </x:row>
    <x:row r="1639">
      <x:c r="A1639" t="n">
        <x:v>1638</x:v>
      </x:c>
      <x:c r="B1639" s="106" t="str">
        <x:v>HOLD | point 1 | DAC 12.00 | CTRL X 1.25537 | X 1.26644 | Y 0.42552 | Z 0.66305 | TOTAL 1.49152 | error -1.92 % | MAD 0.73 % | CV 1.95 % | coh 93.7 % | dominant X | axis fraction 100.0 % | IN TARGET BAND</x:v>
      </x:c>
      <x:c r="C1639" t="str">
        <x:v>Pasted text(56).txt</x:v>
      </x:c>
    </x:row>
    <x:row r="1640">
      <x:c r="A1640" t="n">
        <x:v>1639</x:v>
      </x:c>
      <x:c r="B1640" s="106" t="str">
        <x:v>HOLD | point 2 | DAC 12.00 | CTRL X 1.26062 | X 1.26124 | Y 0.41180 | Z 0.69295 | TOTAL 1.49705 | error -1.51 % | MAD 0.09 % | CV 0.14 % | coh 94.0 % | dominant X | axis fraction 100.0 % | IN TARGET BAND</x:v>
      </x:c>
      <x:c r="C1640" t="str">
        <x:v>Pasted text(56).txt</x:v>
      </x:c>
    </x:row>
    <x:row r="1641">
      <x:c r="A1641" t="n">
        <x:v>1640</x:v>
      </x:c>
      <x:c r="B1641" s="106" t="str">
        <x:v>HOLD | point 3 | DAC 12.00 | CTRL X 1.26848 | X 1.26353 | Y 0.42211 | Z 0.68717 | TOTAL 1.49909 | error -0.90 % | MAD 0.39 % | CV 0.91 % | coh 92.9 % | dominant X | axis fraction 100.0 % | IN TARGET BAND</x:v>
      </x:c>
      <x:c r="C1641" t="str">
        <x:v>Pasted text(56).txt</x:v>
      </x:c>
    </x:row>
    <x:row r="1642">
      <x:c r="A1642" t="n">
        <x:v>1641</x:v>
      </x:c>
      <x:c r="B1642" s="106" t="str">
        <x:v>HOLD | point 4 | DAC 12.00 | CTRL X 1.27179 | X 1.26918 | Y 0.40868 | Z 0.67425 | TOTAL 1.49438 | error -0.64 % | MAD 0.30 % | CV 0.54 % | coh 93.9 % | dominant X | axis fraction 100.0 % | IN TARGET BAND</x:v>
      </x:c>
      <x:c r="C1642" t="str">
        <x:v>Pasted text(56).txt</x:v>
      </x:c>
    </x:row>
    <x:row r="1643">
      <x:c r="A1643" t="n">
        <x:v>1642</x:v>
      </x:c>
      <x:c r="B1643" s="106" t="str">
        <x:v>HOLD | point 5 | DAC 12.00 | CTRL X 1.27488 | X 1.26615 | Y 0.41756 | Z 0.68222 | TOTAL 1.49794 | error -0.40 % | MAD 0.34 % | CV 1.40 % | coh 94.1 % | dominant X | axis fraction 100.0 % | IN TARGET BAND</x:v>
      </x:c>
      <x:c r="C1643" t="str">
        <x:v>Pasted text(56).txt</x:v>
      </x:c>
    </x:row>
    <x:row r="1644">
      <x:c r="A1644" t="n">
        <x:v>1643</x:v>
      </x:c>
      <x:c r="B1644" s="106" t="str">
        <x:v>HOLD | point 6 | DAC 12.00 | CTRL X 1.24885 | X 1.24913 | Y 0.41782 | Z 0.68402 | TOTAL 1.48439 | error -2.43 % | MAD 0.67 % | CV 0.48 % | coh 93.7 % | dominant X | axis fraction 100.0 % | IN TARGET BAND</x:v>
      </x:c>
      <x:c r="C1644" t="str">
        <x:v>Pasted text(56).txt</x:v>
      </x:c>
    </x:row>
    <x:row r="1645">
      <x:c r="A1645" t="n">
        <x:v>1644</x:v>
      </x:c>
      <x:c r="B1645" s="106" t="str">
        <x:v>HOLD | point 7 | DAC 12.00 | CTRL X 1.27363 | X 1.27072 | Y 0.41231 | Z 0.66531 | TOTAL 1.49256 | error -0.50 % | MAD 0.24 % | CV 0.55 % | coh 94.1 % | dominant X | axis fraction 100.0 % | IN TARGET BAND</x:v>
      </x:c>
      <x:c r="C1645" t="str">
        <x:v>Pasted text(56).txt</x:v>
      </x:c>
    </x:row>
    <x:row r="1646">
      <x:c r="A1646" t="n">
        <x:v>1645</x:v>
      </x:c>
      <x:c r="B1646" s="106" t="str">
        <x:v>HOLD | point 8 | DAC 12.00 | CTRL X 1.25857 | X 1.25512 | Y 0.42014 | Z 0.67925 | TOTAL 1.48784 | error -1.67 % | MAD 0.49 % | CV 0.78 % | coh 92.6 % | dominant X | axis fraction 100.0 % | IN TARGET BAND</x:v>
      </x:c>
      <x:c r="C1646" t="str">
        <x:v>Pasted text(56).txt</x:v>
      </x:c>
    </x:row>
    <x:row r="1647">
      <x:c r="A1647" t="n">
        <x:v>1646</x:v>
      </x:c>
      <x:c r="B1647" s="106" t="str">
        <x:v>HOLD | point 9 | DAC 12.00 | CTRL X 1.26219 | X 1.26223 | Y 0.42525 | Z 0.69252 | TOTAL 1.50135 | error -1.39 % | MAD 0.47 % | CV 0.32 % | coh 94.2 % | dominant X | axis fraction 100.0 % | IN TARGET BAND</x:v>
      </x:c>
      <x:c r="C1647" t="str">
        <x:v>Pasted text(56).txt</x:v>
      </x:c>
    </x:row>
    <x:row r="1648">
      <x:c r="A1648" t="n">
        <x:v>1647</x:v>
      </x:c>
      <x:c r="B1648" s="106" t="str">
        <x:v>HOLD | point 10 | DAC 12.00 | CTRL X 1.25017 | X 1.24381 | Y 0.40083 | Z 0.69159 | TOTAL 1.47862 | error -2.33 % | MAD 1.20 % | CV 1.64 % | coh 93.5 % | dominant X | axis fraction 100.0 % | IN TARGET BAND</x:v>
      </x:c>
      <x:c r="C1648" t="str">
        <x:v>Pasted text(56).txt</x:v>
      </x:c>
    </x:row>
    <x:row r="1649">
      <x:c r="A1649" t="n">
        <x:v>1648</x:v>
      </x:c>
      <x:c r="B1649" s="106" t="str"/>
      <x:c r="C1649" t="str">
        <x:v>Pasted text(56).txt</x:v>
      </x:c>
    </x:row>
    <x:row r="1650">
      <x:c r="A1650" t="n">
        <x:v>1649</x:v>
      </x:c>
      <x:c r="B1650" s="106" t="str">
        <x:v>HOLD SUMMARY</x:v>
      </x:c>
      <x:c r="C1650" t="str">
        <x:v>Pasted text(56).txt</x:v>
      </x:c>
    </x:row>
    <x:row r="1651">
      <x:c r="A1651" t="n">
        <x:v>1650</x:v>
      </x:c>
      <x:c r="B1651" s="106" t="str">
        <x:v>Valid / requested: 10 / 10</x:v>
      </x:c>
      <x:c r="C1651" t="str">
        <x:v>Pasted text(56).txt</x:v>
      </x:c>
    </x:row>
    <x:row r="1652">
      <x:c r="A1652" t="n">
        <x:v>1651</x:v>
      </x:c>
      <x:c r="B1652" s="106" t="str">
        <x:v>In band / requested: 10 / 10 = 100.0 %</x:v>
      </x:c>
      <x:c r="C1652" t="str">
        <x:v>Pasted text(56).txt</x:v>
      </x:c>
    </x:row>
    <x:row r="1653">
      <x:c r="A1653" t="n">
        <x:v>1652</x:v>
      </x:c>
      <x:c r="B1653" s="106" t="str">
        <x:v>Mean / SD / CV: 1.26246 / 0.00947 / 0.75 %</x:v>
      </x:c>
      <x:c r="C1653" t="str">
        <x:v>Pasted text(56).txt</x:v>
      </x:c>
    </x:row>
    <x:row r="1654">
      <x:c r="A1654" t="n">
        <x:v>1653</x:v>
      </x:c>
      <x:c r="B1654" s="106" t="str">
        <x:v>Min / Max: 1.24885 / 1.27488</x:v>
      </x:c>
      <x:c r="C1654" t="str">
        <x:v>Pasted text(56).txt</x:v>
      </x:c>
    </x:row>
    <x:row r="1655">
      <x:c r="A1655" t="n">
        <x:v>1654</x:v>
      </x:c>
      <x:c r="B1655" s="106" t="str">
        <x:v>HOLD RESULT: PASS</x:v>
      </x:c>
      <x:c r="C1655" t="str">
        <x:v>Pasted text(56).txt</x:v>
      </x:c>
    </x:row>
    <x:row r="1656">
      <x:c r="A1656" t="n">
        <x:v>1655</x:v>
      </x:c>
      <x:c r="B1656" s="106" t="str"/>
      <x:c r="C1656" t="str">
        <x:v>Pasted text(56).txt</x:v>
      </x:c>
    </x:row>
    <x:row r="1657">
      <x:c r="A1657" t="n">
        <x:v>1656</x:v>
      </x:c>
      <x:c r="B1657" s="106" t="str">
        <x:v>RUN RESULT: PASS</x:v>
      </x:c>
      <x:c r="C1657" t="str">
        <x:v>Pasted text(56).txt</x:v>
      </x:c>
    </x:row>
    <x:row r="1658">
      <x:c r="A1658" t="n">
        <x:v>1657</x:v>
      </x:c>
      <x:c r="B1658" s="106" t="str">
        <x:v>Selected DAC: 12.00</x:v>
      </x:c>
      <x:c r="C1658" t="str">
        <x:v>Pasted text(56).txt</x:v>
      </x:c>
    </x:row>
    <x:row r="1659">
      <x:c r="A1659" t="n">
        <x:v>1658</x:v>
      </x:c>
      <x:c r="B1659" s="106" t="str">
        <x:v>Validated amplitude: 1.27513 m/s^2 | error -0.38 %</x:v>
      </x:c>
      <x:c r="C1659" t="str">
        <x:v>Pasted text(56).txt</x:v>
      </x:c>
    </x:row>
    <x:row r="1660">
      <x:c r="A1660" t="n">
        <x:v>1659</x:v>
      </x:c>
      <x:c r="B1660" s="106" t="str">
        <x:v>FFT frequency: 268.02842 Hz | difference 0.02842 Hz</x:v>
      </x:c>
      <x:c r="C1660" t="str">
        <x:v>Pasted text(56).txt</x:v>
      </x:c>
    </x:row>
    <x:row r="1661">
      <x:c r="A1661" t="n">
        <x:v>1660</x:v>
      </x:c>
      <x:c r="B1661" s="106" t="str"/>
      <x:c r="C1661" t="str">
        <x:v>Pasted text(56).txt</x:v>
      </x:c>
    </x:row>
    <x:row r="1662">
      <x:c r="A1662" t="n">
        <x:v>1661</x:v>
      </x:c>
      <x:c r="B1662" s="106" t="str">
        <x:v>VISATON OFF. RESTING 5.0 s BEFORE THE NEXT COMPLETELY FRESH RUN.</x:v>
      </x:c>
      <x:c r="C1662" t="str">
        <x:v>Pasted text(56).txt</x:v>
      </x:c>
    </x:row>
    <x:row r="1663">
      <x:c r="A1663" t="n">
        <x:v>1662</x:v>
      </x:c>
      <x:c r="B1663" s="106" t="str"/>
      <x:c r="C1663" t="str">
        <x:v>Pasted text(56).txt</x:v>
      </x:c>
    </x:row>
    <x:row r="1664">
      <x:c r="A1664" t="n">
        <x:v>1663</x:v>
      </x:c>
      <x:c r="B1664" s="106" t="str">
        <x:v>################################################################################</x:v>
      </x:c>
      <x:c r="C1664" t="str">
        <x:v>Pasted text(56).txt</x:v>
      </x:c>
    </x:row>
    <x:row r="1665">
      <x:c r="A1665" t="n">
        <x:v>1664</x:v>
      </x:c>
      <x:c r="B1665" s="106" t="str">
        <x:v>INDEPENDENT TARGET-AMPLITUDE RUN 2 OF 5</x:v>
      </x:c>
      <x:c r="C1665" t="str">
        <x:v>Pasted text(56).txt</x:v>
      </x:c>
    </x:row>
    <x:row r="1666">
      <x:c r="A1666" t="n">
        <x:v>1665</x:v>
      </x:c>
      <x:c r="B1666" s="106" t="str">
        <x:v>################################################################################</x:v>
      </x:c>
      <x:c r="C1666" t="str">
        <x:v>Pasted text(56).txt</x:v>
      </x:c>
    </x:row>
    <x:row r="1667">
      <x:c r="A1667" t="n">
        <x:v>1666</x:v>
      </x:c>
      <x:c r="B1667" s="106" t="str">
        <x:v>Frequency: 268.00000 Hz</x:v>
      </x:c>
      <x:c r="C1667" t="str">
        <x:v>Pasted text(56).txt</x:v>
      </x:c>
    </x:row>
    <x:row r="1668">
      <x:c r="A1668" t="n">
        <x:v>1667</x:v>
      </x:c>
      <x:c r="B1668" s="106" t="str">
        <x:v>Target X amplitude: 1.28000 m/s^2 peak, tolerance +/-7.50 %</x:v>
      </x:c>
      <x:c r="C1668" t="str">
        <x:v>Pasted text(56).txt</x:v>
      </x:c>
    </x:row>
    <x:row r="1669">
      <x:c r="A1669" t="n">
        <x:v>1668</x:v>
      </x:c>
      <x:c r="B1669" s="106" t="str">
        <x:v>This run starts from DAC 1.00 and ignores every earlier selected DAC.</x:v>
      </x:c>
      <x:c r="C1669" t="str">
        <x:v>Pasted text(56).txt</x:v>
      </x:c>
    </x:row>
    <x:row r="1670">
      <x:c r="A1670" t="n">
        <x:v>1669</x:v>
      </x:c>
      <x:c r="B1670" s="106" t="str">
        <x:v>ADXL2 DEVID/DATA_FORMAT/BW_RATE/POWER_CTL: 0xE5 / 0xB / 0xE / 0x8</x:v>
      </x:c>
      <x:c r="C1670" t="str">
        <x:v>Pasted text(56).txt</x:v>
      </x:c>
    </x:row>
    <x:row r="1671">
      <x:c r="A1671" t="n">
        <x:v>1670</x:v>
      </x:c>
      <x:c r="B1671" s="106" t="str"/>
      <x:c r="C1671" t="str">
        <x:v>Pasted text(56).txt</x:v>
      </x:c>
    </x:row>
    <x:row r="1672">
      <x:c r="A1672" t="n">
        <x:v>1671</x:v>
      </x:c>
      <x:c r="B1672" s="106" t="str">
        <x:v>ACQUISITION ATTEMPT 1 OF 2</x:v>
      </x:c>
      <x:c r="C1672" t="str">
        <x:v>Pasted text(56).txt</x:v>
      </x:c>
    </x:row>
    <x:row r="1673">
      <x:c r="A1673" t="n">
        <x:v>1672</x:v>
      </x:c>
      <x:c r="B1673" s="106" t="str"/>
      <x:c r="C1673" t="str">
        <x:v>Pasted text(56).txt</x:v>
      </x:c>
    </x:row>
    <x:row r="1674">
      <x:c r="A1674" t="n">
        <x:v>1673</x:v>
      </x:c>
      <x:c r="B1674" s="106" t="str">
        <x:v>FRESH X-AXIS SEARCH FROM DAC 1.00 — OLD DAC VALUES ARE NOT USED</x:v>
      </x:c>
      <x:c r="C1674" t="str">
        <x:v>Pasted text(56).txt</x:v>
      </x:c>
    </x:row>
    <x:row r="1675">
      <x:c r="A1675" t="n">
        <x:v>1674</x:v>
      </x:c>
      <x:c r="B1675" s="106" t="str">
        <x:v>Y/Z are diagnostic only and cannot abort this search.</x:v>
      </x:c>
      <x:c r="C1675" t="str">
        <x:v>Pasted text(56).txt</x:v>
      </x:c>
    </x:row>
    <x:row r="1676">
      <x:c r="A1676" t="n">
        <x:v>1675</x:v>
      </x:c>
      <x:c r="B1676" s="106" t="str">
        <x:v>A real SPI fault, clipping, safety limit or confirmed X-response collapse will stop it.</x:v>
      </x:c>
      <x:c r="C1676" t="str">
        <x:v>Pasted text(56).txt</x:v>
      </x:c>
    </x:row>
    <x:row r="1677">
      <x:c r="A1677" t="n">
        <x:v>1676</x:v>
      </x:c>
      <x:c r="B1677" s="106" t="str">
        <x:v>SEARCH | point 1 | DAC 1.00 | CTRL X 0.01478 | X 0.01575 | Y 0.01848 | Z 0.02523 | TOTAL 0.03785 | error -98.85 % | MAD 80.06 % | CV 60.12 % | coh 8.4 % | dominant Z | axis fraction 62.4 % | BELOW MEASUREMENT FLOOR — SEARCH CONTINUES</x:v>
      </x:c>
      <x:c r="C1677" t="str">
        <x:v>Pasted text(56).txt</x:v>
      </x:c>
    </x:row>
    <x:row r="1678">
      <x:c r="A1678" t="n">
        <x:v>1677</x:v>
      </x:c>
      <x:c r="B1678" s="106" t="str">
        <x:v>SEARCH | point 2 | DAC 3.00 | CTRL X 0.17212 | X 0.16930 | Y 0.07357 | Z 0.15050 | TOTAL 0.23911 | error -86.55 % | MAD 1.35 % | CV 3.72 % | coh 57.2 % | dominant X | axis fraction 100.0 % | VALID</x:v>
      </x:c>
      <x:c r="C1678" t="str">
        <x:v>Pasted text(56).txt</x:v>
      </x:c>
    </x:row>
    <x:row r="1679">
      <x:c r="A1679" t="n">
        <x:v>1678</x:v>
      </x:c>
      <x:c r="B1679" s="106" t="str">
        <x:v>SEARCH | point 3 | DAC 5.00 | CTRL X 0.40197 | X 0.40091 | Y 0.16069 | Z 0.26464 | TOTAL 0.50681 | error -68.60 % | MAD 3.96 % | CV 3.08 % | coh 82.0 % | dominant X | axis fraction 100.0 % | VALID</x:v>
      </x:c>
      <x:c r="C1679" t="str">
        <x:v>Pasted text(56).txt</x:v>
      </x:c>
    </x:row>
    <x:row r="1680">
      <x:c r="A1680" t="n">
        <x:v>1679</x:v>
      </x:c>
      <x:c r="B1680" s="106" t="str">
        <x:v>SEARCH | point 4 | DAC 6.00 | CTRL X 0.50327 | X 0.50727 | Y 0.19277 | Z 0.31464 | TOTAL 0.62777 | error -60.68 % | MAD 0.16 % | CV 1.46 % | coh 86.6 % | dominant X | axis fraction 100.0 % | VALID</x:v>
      </x:c>
      <x:c r="C1680" t="str">
        <x:v>Pasted text(56).txt</x:v>
      </x:c>
    </x:row>
    <x:row r="1681">
      <x:c r="A1681" t="n">
        <x:v>1680</x:v>
      </x:c>
      <x:c r="B1681" s="106" t="str">
        <x:v>SEARCH | point 5 | DAC 7.00 | CTRL X 0.60937 | X 0.60897 | Y 0.22670 | Z 0.38177 | TOTAL 0.75368 | error -52.39 % | MAD 1.67 % | CV 1.23 % | coh 88.3 % | dominant X | axis fraction 100.0 % | VALID</x:v>
      </x:c>
      <x:c r="C1681" t="str">
        <x:v>Pasted text(56).txt</x:v>
      </x:c>
    </x:row>
    <x:row r="1682">
      <x:c r="A1682" t="n">
        <x:v>1681</x:v>
      </x:c>
      <x:c r="B1682" s="106" t="str">
        <x:v>SEARCH | point 6 | DAC 8.00 | CTRL X 0.75636 | X 0.75287 | Y 0.25989 | Z 0.45407 | TOTAL 0.91688 | error -40.91 % | MAD 1.49 % | CV 1.75 % | coh 91.8 % | dominant X | axis fraction 100.0 % | VALID</x:v>
      </x:c>
      <x:c r="C1682" t="str">
        <x:v>Pasted text(56).txt</x:v>
      </x:c>
    </x:row>
    <x:row r="1683">
      <x:c r="A1683" t="n">
        <x:v>1682</x:v>
      </x:c>
      <x:c r="B1683" s="106" t="str">
        <x:v>SEARCH | point 7 | DAC 9.00 | CTRL X 0.87838 | X 0.87296 | Y 0.30144 | Z 0.48070 | TOTAL 1.04161 | error -31.38 % | MAD 0.06 % | CV 1.11 % | coh 91.4 % | dominant X | axis fraction 100.0 % | VALID</x:v>
      </x:c>
      <x:c r="C1683" t="str">
        <x:v>Pasted text(56).txt</x:v>
      </x:c>
    </x:row>
    <x:row r="1684">
      <x:c r="A1684" t="n">
        <x:v>1683</x:v>
      </x:c>
      <x:c r="B1684" s="106" t="str">
        <x:v>SEARCH | point 8 | DAC 9.50 | CTRL X 0.93677 | X 0.93680 | Y 0.31158 | Z 0.50465 | TOTAL 1.10884 | error -26.81 % | MAD 0.80 % | CV 0.54 % | coh 93.1 % | dominant X | axis fraction 100.0 % | VALID</x:v>
      </x:c>
      <x:c r="C1684" t="str">
        <x:v>Pasted text(56).txt</x:v>
      </x:c>
    </x:row>
    <x:row r="1685">
      <x:c r="A1685" t="n">
        <x:v>1684</x:v>
      </x:c>
      <x:c r="B1685" s="106" t="str">
        <x:v>SEARCH | point 9 | DAC 10.00 | CTRL X 1.01213 | X 1.00723 | Y 0.34287 | Z 0.54323 | TOTAL 1.19481 | error -20.93 % | MAD 3.02 % | CV 2.81 % | coh 92.9 % | dominant X | axis fraction 100.0 % | VALID</x:v>
      </x:c>
      <x:c r="C1685" t="str">
        <x:v>Pasted text(56).txt</x:v>
      </x:c>
    </x:row>
    <x:row r="1686">
      <x:c r="A1686" t="n">
        <x:v>1685</x:v>
      </x:c>
      <x:c r="B1686" s="106" t="str">
        <x:v>SEARCH | point 10 | DAC 10.50 | CTRL X 1.04063 | X 1.04975 | Y 0.35827 | Z 0.57243 | TOTAL 1.24840 | error -18.70 % | MAD 0.26 % | CV 1.66 % | coh 92.5 % | dominant X | axis fraction 100.0 % | VALID</x:v>
      </x:c>
      <x:c r="C1686" t="str">
        <x:v>Pasted text(56).txt</x:v>
      </x:c>
    </x:row>
    <x:row r="1687">
      <x:c r="A1687" t="n">
        <x:v>1686</x:v>
      </x:c>
      <x:c r="B1687" s="106" t="str">
        <x:v>SEARCH | point 11 | DAC 11.00 | CTRL X 1.12856 | X 1.12688 | Y 0.38367 | Z 0.61374 | TOTAL 1.33938 | error -11.83 % | MAD 0.92 % | CV 0.85 % | coh 93.1 % | dominant X | axis fraction 100.0 % | VALID</x:v>
      </x:c>
      <x:c r="C1687" t="str">
        <x:v>Pasted text(56).txt</x:v>
      </x:c>
    </x:row>
    <x:row r="1688">
      <x:c r="A1688" t="n">
        <x:v>1687</x:v>
      </x:c>
      <x:c r="B1688" s="106" t="str">
        <x:v>SEARCH | point 12 | DAC 11.25 | CTRL X 1.14965 | X 1.14977 | Y 0.38674 | Z 0.63381 | TOTAL 1.36875 | error -10.18 % | MAD 0.80 % | CV 0.56 % | coh 93.0 % | dominant X | axis fraction 100.0 % | VALID</x:v>
      </x:c>
      <x:c r="C1688" t="str">
        <x:v>Pasted text(56).txt</x:v>
      </x:c>
    </x:row>
    <x:row r="1689">
      <x:c r="A1689" t="n">
        <x:v>1688</x:v>
      </x:c>
      <x:c r="B1689" s="106" t="str">
        <x:v>SEARCH | point 13 | DAC 11.50 | CTRL X 1.18412 | X 1.18059 | Y 0.39485 | Z 0.64385 | TOTAL 1.40166 | error -7.49 % | MAD 1.34 % | CV 1.38 % | coh 93.7 % | dominant X | axis fraction 100.0 % | IN TARGET BAND</x:v>
      </x:c>
      <x:c r="C1689" t="str">
        <x:v>Pasted text(56).txt</x:v>
      </x:c>
    </x:row>
    <x:row r="1690">
      <x:c r="A1690" t="n">
        <x:v>1689</x:v>
      </x:c>
      <x:c r="B1690" s="106" t="str"/>
      <x:c r="C1690" t="str">
        <x:v>Pasted text(56).txt</x:v>
      </x:c>
    </x:row>
    <x:row r="1691">
      <x:c r="A1691" t="n">
        <x:v>1690</x:v>
      </x:c>
      <x:c r="B1691" s="106" t="str">
        <x:v>LOCAL 0.25-DAC X-AXIS FINE SCAN</x:v>
      </x:c>
      <x:c r="C1691" t="str">
        <x:v>Pasted text(56).txt</x:v>
      </x:c>
    </x:row>
    <x:row r="1692">
      <x:c r="A1692" t="n">
        <x:v>1691</x:v>
      </x:c>
      <x:c r="B1692" s="106" t="str">
        <x:v>Only a valid point actually inside the X target band may be selected.</x:v>
      </x:c>
      <x:c r="C1692" t="str">
        <x:v>Pasted text(56).txt</x:v>
      </x:c>
    </x:row>
    <x:row r="1693">
      <x:c r="A1693" t="n">
        <x:v>1692</x:v>
      </x:c>
      <x:c r="B1693" s="106" t="str">
        <x:v>FINE | point 1 | DAC 10.50 | CTRL X 1.03802 | X 1.03885 | Y 0.34247 | Z 0.58135 | TOTAL 1.23885 | error -18.90 % | MAD 1.05 % | CV 0.83 % | coh 93.3 % | dominant X | axis fraction 100.0 % | VALID</x:v>
      </x:c>
      <x:c r="C1693" t="str">
        <x:v>Pasted text(56).txt</x:v>
      </x:c>
    </x:row>
    <x:row r="1694">
      <x:c r="A1694" t="n">
        <x:v>1693</x:v>
      </x:c>
      <x:c r="B1694" s="106" t="str">
        <x:v>FINE | point 2 | DAC 10.75 | CTRL X 1.08851 | X 1.09315 | Y 0.37077 | Z 0.58602 | TOTAL 1.29468 | error -14.96 % | MAD 0.07 % | CV 0.78 % | coh 93.0 % | dominant X | axis fraction 100.0 % | VALID</x:v>
      </x:c>
      <x:c r="C1694" t="str">
        <x:v>Pasted text(56).txt</x:v>
      </x:c>
    </x:row>
    <x:row r="1695">
      <x:c r="A1695" t="n">
        <x:v>1694</x:v>
      </x:c>
      <x:c r="B1695" s="106" t="str">
        <x:v>FINE | point 3 | DAC 11.00 | CTRL X 1.12239 | X 1.11400 | Y 0.37830 | Z 0.61880 | TOTAL 1.32934 | error -12.31 % | MAD 0.07 % | CV 1.35 % | coh 92.3 % | dominant X | axis fraction 100.0 % | VALID</x:v>
      </x:c>
      <x:c r="C1695" t="str">
        <x:v>Pasted text(56).txt</x:v>
      </x:c>
    </x:row>
    <x:row r="1696">
      <x:c r="A1696" t="n">
        <x:v>1695</x:v>
      </x:c>
      <x:c r="B1696" s="106" t="str">
        <x:v>FINE | point 4 | DAC 11.25 | CTRL X 1.15518 | X 1.16341 | Y 0.39354 | Z 0.64435 | TOTAL 1.38708 | error -9.75 % | MAD 0.88 % | CV 1.76 % | coh 93.7 % | dominant X | axis fraction 100.0 % | VALID</x:v>
      </x:c>
      <x:c r="C1696" t="str">
        <x:v>Pasted text(56).txt</x:v>
      </x:c>
    </x:row>
    <x:row r="1697">
      <x:c r="A1697" t="n">
        <x:v>1696</x:v>
      </x:c>
      <x:c r="B1697" s="106" t="str">
        <x:v>FINE | point 5 | DAC 11.50 | CTRL X 1.17280 | X 1.17209 | Y 0.39919 | Z 0.66402 | TOTAL 1.40506 | error -8.38 % | MAD 0.75 % | CV 0.60 % | coh 93.0 % | dominant X | axis fraction 100.0 % | VALID</x:v>
      </x:c>
      <x:c r="C1697" t="str">
        <x:v>Pasted text(56).txt</x:v>
      </x:c>
    </x:row>
    <x:row r="1698">
      <x:c r="A1698" t="n">
        <x:v>1697</x:v>
      </x:c>
      <x:c r="B1698" s="106" t="str">
        <x:v>FINE | point 6 | DAC 11.75 | CTRL X 1.23819 | X 1.22799 | Y 0.42658 | Z 0.67573 | TOTAL 1.46523 | error -3.27 % | MAD 0.11 % | CV 1.51 % | coh 93.6 % | dominant X | axis fraction 100.0 % | IN TARGET BAND</x:v>
      </x:c>
      <x:c r="C1698" t="str">
        <x:v>Pasted text(56).txt</x:v>
      </x:c>
    </x:row>
    <x:row r="1699">
      <x:c r="A1699" t="n">
        <x:v>1698</x:v>
      </x:c>
      <x:c r="B1699" s="106" t="str">
        <x:v>FINE | point 7 | DAC 12.00 | CTRL X 1.24367 | X 1.23560 | Y 0.42535 | Z 0.68596 | TOTAL 1.47590 | error -2.84 % | MAD 0.69 % | CV 1.55 % | coh 93.1 % | dominant X | axis fraction 100.0 % | IN TARGET BAND</x:v>
      </x:c>
      <x:c r="C1699" t="str">
        <x:v>Pasted text(56).txt</x:v>
      </x:c>
    </x:row>
    <x:row r="1700">
      <x:c r="A1700" t="n">
        <x:v>1699</x:v>
      </x:c>
      <x:c r="B1700" s="106" t="str">
        <x:v>FINE | point 8 | DAC 12.25 | CTRL X 1.26856 | X 1.26824 | Y 0.40541 | Z 0.69838 | TOTAL 1.50398 | error -0.89 % | MAD 2.28 % | CV 1.58 % | coh 93.3 % | dominant X | axis fraction 100.0 % | IN TARGET BAND</x:v>
      </x:c>
      <x:c r="C1700" t="str">
        <x:v>Pasted text(56).txt</x:v>
      </x:c>
    </x:row>
    <x:row r="1701">
      <x:c r="A1701" t="n">
        <x:v>1700</x:v>
      </x:c>
      <x:c r="B1701" s="106" t="str">
        <x:v>FINE | point 9 | DAC 12.50 | CTRL X 1.29290 | X 1.29448 | Y 0.43274 | Z 0.68892 | TOTAL 1.52911 | error 1.01 % | MAD 0.82 % | CV 0.74 % | coh 94.8 % | dominant X | axis fraction 100.0 % | IN TARGET BAND</x:v>
      </x:c>
      <x:c r="C1701" t="str">
        <x:v>Pasted text(56).txt</x:v>
      </x:c>
    </x:row>
    <x:row r="1702">
      <x:c r="A1702" t="n">
        <x:v>1701</x:v>
      </x:c>
      <x:c r="B1702" s="106" t="str"/>
      <x:c r="C1702" t="str">
        <x:v>Pasted text(56).txt</x:v>
      </x:c>
    </x:row>
    <x:row r="1703">
      <x:c r="A1703" t="n">
        <x:v>1702</x:v>
      </x:c>
      <x:c r="B1703" s="106" t="str">
        <x:v>LONG VALIDATION AT FIXED DAC 12.50</x:v>
      </x:c>
      <x:c r="C1703" t="str">
        <x:v>Pasted text(56).txt</x:v>
      </x:c>
    </x:row>
    <x:row r="1704">
      <x:c r="A1704" t="n">
        <x:v>1703</x:v>
      </x:c>
      <x:c r="B1704" s="106" t="str">
        <x:v>FINAL | point 1 | DAC 12.50 | CTRL X 1.29045 | X 1.28855 | Y 0.42406 | Z 0.68565 | TOTAL 1.52019 | error 0.82 % | MAD 1.15 % | CV 0.90 % | coh 94.2 % | dominant X | axis fraction 100.0 % | IN TARGET BAND</x:v>
      </x:c>
      <x:c r="C1704" t="str">
        <x:v>Pasted text(56).txt</x:v>
      </x:c>
    </x:row>
    <x:row r="1705">
      <x:c r="A1705" t="n">
        <x:v>1704</x:v>
      </x:c>
      <x:c r="B1705" s="106" t="str">
        <x:v>FINAL | point 2 | DAC 12.50 | CTRL X 1.28991 | X 1.28845 | Y 0.43128 | Z 0.70180 | TOTAL 1.52940 | error 0.77 % | MAD 1.20 % | CV 0.77 % | coh 94.2 % | dominant X | axis fraction 100.0 % | IN TARGET BAND</x:v>
      </x:c>
      <x:c r="C1705" t="str">
        <x:v>Pasted text(56).txt</x:v>
      </x:c>
    </x:row>
    <x:row r="1706">
      <x:c r="A1706" t="n">
        <x:v>1705</x:v>
      </x:c>
      <x:c r="B1706" s="106" t="str">
        <x:v>VALIDATION ACCEPTED | pair drift 0.04 %</x:v>
      </x:c>
      <x:c r="C1706" t="str">
        <x:v>Pasted text(56).txt</x:v>
      </x:c>
    </x:row>
    <x:row r="1707">
      <x:c r="A1707" t="n">
        <x:v>1706</x:v>
      </x:c>
      <x:c r="B1707" s="106" t="str"/>
      <x:c r="C1707" t="str">
        <x:v>Pasted text(56).txt</x:v>
      </x:c>
    </x:row>
    <x:row r="1708">
      <x:c r="A1708" t="n">
        <x:v>1707</x:v>
      </x:c>
      <x:c r="B1708" s="106" t="str">
        <x:v>FINAL VALIDATED BLIND FFT VERIFICATION</x:v>
      </x:c>
      <x:c r="C1708" t="str">
        <x:v>Pasted text(56).txt</x:v>
      </x:c>
    </x:row>
    <x:row r="1709">
      <x:c r="A1709" t="n">
        <x:v>1708</x:v>
      </x:c>
      <x:c r="B1709" s="106" t="str">
        <x:v>Commanded frequency: 268.00000 Hz</x:v>
      </x:c>
      <x:c r="C1709" t="str">
        <x:v>Pasted text(56).txt</x:v>
      </x:c>
    </x:row>
    <x:row r="1710">
      <x:c r="A1710" t="n">
        <x:v>1709</x:v>
      </x:c>
      <x:c r="B1710" s="106" t="str">
        <x:v>Accepted DAC: 12.50</x:v>
      </x:c>
      <x:c r="C1710" t="str">
        <x:v>Pasted text(56).txt</x:v>
      </x:c>
    </x:row>
    <x:row r="1711">
      <x:c r="A1711" t="n">
        <x:v>1710</x:v>
      </x:c>
      <x:c r="B1711" s="106" t="str">
        <x:v>Axis,Frequency_Hz,Amplitude_mps2,SNR_dB,Status</x:v>
      </x:c>
      <x:c r="C1711" t="str">
        <x:v>Pasted text(56).txt</x:v>
      </x:c>
    </x:row>
    <x:row r="1712">
      <x:c r="A1712" t="n">
        <x:v>1711</x:v>
      </x:c>
      <x:c r="B1712" s="106" t="str">
        <x:v>X,268.02523,1.16965,32.56,VALID</x:v>
      </x:c>
      <x:c r="C1712" t="str">
        <x:v>Pasted text(56).txt</x:v>
      </x:c>
    </x:row>
    <x:row r="1713">
      <x:c r="A1713" t="n">
        <x:v>1712</x:v>
      </x:c>
      <x:c r="B1713" s="106" t="str">
        <x:v>Y,268.03066,0.39007,27.24,VALID</x:v>
      </x:c>
      <x:c r="C1713" t="str">
        <x:v>Pasted text(56).txt</x:v>
      </x:c>
    </x:row>
    <x:row r="1714">
      <x:c r="A1714" t="n">
        <x:v>1713</x:v>
      </x:c>
      <x:c r="B1714" s="106" t="str">
        <x:v>Z,268.04686,0.64460,29.72,VALID</x:v>
      </x:c>
      <x:c r="C1714" t="str">
        <x:v>Pasted text(56).txt</x:v>
      </x:c>
    </x:row>
    <x:row r="1715">
      <x:c r="A1715" t="n">
        <x:v>1714</x:v>
      </x:c>
      <x:c r="B1715" s="106" t="str">
        <x:v>Combined frequency: 268.03032 Hz | difference 0.03032 Hz</x:v>
      </x:c>
      <x:c r="C1715" t="str">
        <x:v>Pasted text(56).txt</x:v>
      </x:c>
    </x:row>
    <x:row r="1716">
      <x:c r="A1716" t="n">
        <x:v>1715</x:v>
      </x:c>
      <x:c r="B1716" s="106" t="str">
        <x:v>Combined X/Y/Z/TOTAL: 1.06794 / 0.35630 / 0.59157 / 1.27177</x:v>
      </x:c>
      <x:c r="C1716" t="str">
        <x:v>Pasted text(56).txt</x:v>
      </x:c>
    </x:row>
    <x:row r="1717">
      <x:c r="A1717" t="n">
        <x:v>1716</x:v>
      </x:c>
      <x:c r="B1717" s="106" t="str">
        <x:v>SNR: 31.13 dB | dominant axis X</x:v>
      </x:c>
      <x:c r="C1717" t="str">
        <x:v>Pasted text(56).txt</x:v>
      </x:c>
    </x:row>
    <x:row r="1718">
      <x:c r="A1718" t="n">
        <x:v>1717</x:v>
      </x:c>
      <x:c r="B1718" s="106" t="str">
        <x:v>Frequency verification: PASS</x:v>
      </x:c>
      <x:c r="C1718" t="str">
        <x:v>Pasted text(56).txt</x:v>
      </x:c>
    </x:row>
    <x:row r="1719">
      <x:c r="A1719" t="n">
        <x:v>1718</x:v>
      </x:c>
      <x:c r="B1719" s="106" t="str">
        <x:v>Y/Z dominance: DIAGNOSTIC ONLY — ignored for pass/fail</x:v>
      </x:c>
      <x:c r="C1719" t="str">
        <x:v>Pasted text(56).txt</x:v>
      </x:c>
    </x:row>
    <x:row r="1720">
      <x:c r="A1720" t="n">
        <x:v>1719</x:v>
      </x:c>
      <x:c r="B1720" s="106" t="str"/>
      <x:c r="C1720" t="str">
        <x:v>Pasted text(56).txt</x:v>
      </x:c>
    </x:row>
    <x:row r="1721">
      <x:c r="A1721" t="n">
        <x:v>1720</x:v>
      </x:c>
      <x:c r="B1721" s="106" t="str">
        <x:v>FIXED-DAC HOLD VALIDATION</x:v>
      </x:c>
      <x:c r="C1721" t="str">
        <x:v>Pasted text(56).txt</x:v>
      </x:c>
    </x:row>
    <x:row r="1722">
      <x:c r="A1722" t="n">
        <x:v>1721</x:v>
      </x:c>
      <x:c r="B1722" s="106" t="str">
        <x:v>DAC remains fixed at 12.50 for 10 records.</x:v>
      </x:c>
      <x:c r="C1722" t="str">
        <x:v>Pasted text(56).txt</x:v>
      </x:c>
    </x:row>
    <x:row r="1723">
      <x:c r="A1723" t="n">
        <x:v>1722</x:v>
      </x:c>
      <x:c r="B1723" s="106" t="str">
        <x:v>HOLD | point 1 | DAC 12.50 | CTRL X 1.29023 | X 1.28750 | Y 0.43517 | Z 0.70011 | TOTAL 1.52885 | error 0.80 % | MAD 0.69 % | CV 0.81 % | coh 94.4 % | dominant X | axis fraction 100.0 % | IN TARGET BAND</x:v>
      </x:c>
      <x:c r="C1723" t="str">
        <x:v>Pasted text(56).txt</x:v>
      </x:c>
    </x:row>
    <x:row r="1724">
      <x:c r="A1724" t="n">
        <x:v>1723</x:v>
      </x:c>
      <x:c r="B1724" s="106" t="str">
        <x:v>HOLD | point 2 | DAC 12.50 | CTRL X 1.27645 | X 1.27732 | Y 0.43338 | Z 0.70785 | TOTAL 1.52340 | error -0.28 % | MAD 0.15 % | CV 0.21 % | coh 93.3 % | dominant X | axis fraction 100.0 % | IN TARGET BAND</x:v>
      </x:c>
      <x:c r="C1724" t="str">
        <x:v>Pasted text(56).txt</x:v>
      </x:c>
    </x:row>
    <x:row r="1725">
      <x:c r="A1725" t="n">
        <x:v>1724</x:v>
      </x:c>
      <x:c r="B1725" s="106" t="str">
        <x:v>HOLD | point 3 | DAC 12.50 | CTRL X 1.29784 | X 1.29423 | Y 0.44743 | Z 0.69241 | TOTAL 1.53475 | error 1.39 % | MAD 0.04 % | CV 0.51 % | coh 94.4 % | dominant X | axis fraction 100.0 % | IN TARGET BAND</x:v>
      </x:c>
      <x:c r="C1725" t="str">
        <x:v>Pasted text(56).txt</x:v>
      </x:c>
    </x:row>
    <x:row r="1726">
      <x:c r="A1726" t="n">
        <x:v>1725</x:v>
      </x:c>
      <x:c r="B1726" s="106" t="str">
        <x:v>HOLD | point 4 | DAC 12.50 | CTRL X 1.28892 | X 1.28950 | Y 0.44907 | Z 0.70242 | TOTAL 1.53571 | error 0.70 % | MAD 1.25 % | CV 0.91 % | coh 94.2 % | dominant X | axis fraction 100.0 % | IN TARGET BAND</x:v>
      </x:c>
      <x:c r="C1726" t="str">
        <x:v>Pasted text(56).txt</x:v>
      </x:c>
    </x:row>
    <x:row r="1727">
      <x:c r="A1727" t="n">
        <x:v>1726</x:v>
      </x:c>
      <x:c r="B1727" s="106" t="str">
        <x:v>HOLD | point 5 | DAC 12.50 | CTRL X 1.29482 | X 1.29035 | Y 0.43236 | Z 0.70736 | TOTAL 1.53414 | error 1.16 % | MAD 1.32 % | CV 1.44 % | coh 94.6 % | dominant X | axis fraction 100.0 % | IN TARGET BAND</x:v>
      </x:c>
      <x:c r="C1727" t="str">
        <x:v>Pasted text(56).txt</x:v>
      </x:c>
    </x:row>
    <x:row r="1728">
      <x:c r="A1728" t="n">
        <x:v>1727</x:v>
      </x:c>
      <x:c r="B1728" s="106" t="str">
        <x:v>HOLD | point 6 | DAC 12.50 | CTRL X 1.27728 | X 1.27176 | Y 0.44335 | Z 0.70474 | TOTAL 1.52008 | error -0.21 % | MAD 0.67 % | CV 1.16 % | coh 92.5 % | dominant X | axis fraction 100.0 % | IN TARGET BAND</x:v>
      </x:c>
      <x:c r="C1728" t="str">
        <x:v>Pasted text(56).txt</x:v>
      </x:c>
    </x:row>
    <x:row r="1729">
      <x:c r="A1729" t="n">
        <x:v>1728</x:v>
      </x:c>
      <x:c r="B1729" s="106" t="str">
        <x:v>HOLD | point 7 | DAC 12.50 | CTRL X 1.27396 | X 1.27360 | Y 0.42663 | Z 0.71027 | TOTAL 1.51942 | error -0.47 % | MAD 0.40 % | CV 0.32 % | coh 93.7 % | dominant X | axis fraction 100.0 % | IN TARGET BAND</x:v>
      </x:c>
      <x:c r="C1729" t="str">
        <x:v>Pasted text(56).txt</x:v>
      </x:c>
    </x:row>
    <x:row r="1730">
      <x:c r="A1730" t="n">
        <x:v>1729</x:v>
      </x:c>
      <x:c r="B1730" s="106" t="str">
        <x:v>HOLD | point 8 | DAC 12.50 | CTRL X 1.26763 | X 1.27214 | Y 0.44318 | Z 0.70865 | TOTAL 1.52236 | error -0.97 % | MAD 0.19 % | CV 0.73 % | coh 92.4 % | dominant X | axis fraction 100.0 % | IN TARGET BAND</x:v>
      </x:c>
      <x:c r="C1730" t="str">
        <x:v>Pasted text(56).txt</x:v>
      </x:c>
    </x:row>
    <x:row r="1731">
      <x:c r="A1731" t="n">
        <x:v>1730</x:v>
      </x:c>
      <x:c r="B1731" s="106" t="str">
        <x:v>HOLD | point 9 | DAC 12.50 | CTRL X 1.27759 | X 1.27681 | Y 0.43771 | Z 0.73184 | TOTAL 1.53553 | error -0.19 % | MAD 2.20 % | CV 1.58 % | coh 94.1 % | dominant X | axis fraction 100.0 % | IN TARGET BAND</x:v>
      </x:c>
      <x:c r="C1731" t="str">
        <x:v>Pasted text(56).txt</x:v>
      </x:c>
    </x:row>
    <x:row r="1732">
      <x:c r="A1732" t="n">
        <x:v>1731</x:v>
      </x:c>
      <x:c r="B1732" s="106" t="str">
        <x:v>HOLD | point 10 | DAC 12.50 | CTRL X 1.27493 | X 1.28026 | Y 0.42183 | Z 0.71634 | TOTAL 1.52661 | error -0.40 % | MAD 0.96 % | CV 1.32 % | coh 93.4 % | dominant X | axis fraction 100.0 % | IN TARGET BAND</x:v>
      </x:c>
      <x:c r="C1732" t="str">
        <x:v>Pasted text(56).txt</x:v>
      </x:c>
    </x:row>
    <x:row r="1733">
      <x:c r="A1733" t="n">
        <x:v>1732</x:v>
      </x:c>
      <x:c r="B1733" s="106" t="str"/>
      <x:c r="C1733" t="str">
        <x:v>Pasted text(56).txt</x:v>
      </x:c>
    </x:row>
    <x:row r="1734">
      <x:c r="A1734" t="n">
        <x:v>1733</x:v>
      </x:c>
      <x:c r="B1734" s="106" t="str">
        <x:v>HOLD SUMMARY</x:v>
      </x:c>
      <x:c r="C1734" t="str">
        <x:v>Pasted text(56).txt</x:v>
      </x:c>
    </x:row>
    <x:row r="1735">
      <x:c r="A1735" t="n">
        <x:v>1734</x:v>
      </x:c>
      <x:c r="B1735" s="106" t="str">
        <x:v>Valid / requested: 10 / 10</x:v>
      </x:c>
      <x:c r="C1735" t="str">
        <x:v>Pasted text(56).txt</x:v>
      </x:c>
    </x:row>
    <x:row r="1736">
      <x:c r="A1736" t="n">
        <x:v>1735</x:v>
      </x:c>
      <x:c r="B1736" s="106" t="str">
        <x:v>In band / requested: 10 / 10 = 100.0 %</x:v>
      </x:c>
      <x:c r="C1736" t="str">
        <x:v>Pasted text(56).txt</x:v>
      </x:c>
    </x:row>
    <x:row r="1737">
      <x:c r="A1737" t="n">
        <x:v>1736</x:v>
      </x:c>
      <x:c r="B1737" s="106" t="str">
        <x:v>Mean / SD / CV: 1.28196 / 0.01014 / 0.79 %</x:v>
      </x:c>
      <x:c r="C1737" t="str">
        <x:v>Pasted text(56).txt</x:v>
      </x:c>
    </x:row>
    <x:row r="1738">
      <x:c r="A1738" t="n">
        <x:v>1737</x:v>
      </x:c>
      <x:c r="B1738" s="106" t="str">
        <x:v>Min / Max: 1.26763 / 1.29784</x:v>
      </x:c>
      <x:c r="C1738" t="str">
        <x:v>Pasted text(56).txt</x:v>
      </x:c>
    </x:row>
    <x:row r="1739">
      <x:c r="A1739" t="n">
        <x:v>1738</x:v>
      </x:c>
      <x:c r="B1739" s="106" t="str">
        <x:v>HOLD RESULT: PASS</x:v>
      </x:c>
      <x:c r="C1739" t="str">
        <x:v>Pasted text(56).txt</x:v>
      </x:c>
    </x:row>
    <x:row r="1740">
      <x:c r="A1740" t="n">
        <x:v>1739</x:v>
      </x:c>
      <x:c r="B1740" s="106" t="str"/>
      <x:c r="C1740" t="str">
        <x:v>Pasted text(56).txt</x:v>
      </x:c>
    </x:row>
    <x:row r="1741">
      <x:c r="A1741" t="n">
        <x:v>1740</x:v>
      </x:c>
      <x:c r="B1741" s="106" t="str">
        <x:v>RUN RESULT: PASS</x:v>
      </x:c>
      <x:c r="C1741" t="str">
        <x:v>Pasted text(56).txt</x:v>
      </x:c>
    </x:row>
    <x:row r="1742">
      <x:c r="A1742" t="n">
        <x:v>1741</x:v>
      </x:c>
      <x:c r="B1742" s="106" t="str">
        <x:v>Selected DAC: 12.50</x:v>
      </x:c>
      <x:c r="C1742" t="str">
        <x:v>Pasted text(56).txt</x:v>
      </x:c>
    </x:row>
    <x:row r="1743">
      <x:c r="A1743" t="n">
        <x:v>1742</x:v>
      </x:c>
      <x:c r="B1743" s="106" t="str">
        <x:v>Validated amplitude: 1.29018 m/s^2 | error 0.80 %</x:v>
      </x:c>
      <x:c r="C1743" t="str">
        <x:v>Pasted text(56).txt</x:v>
      </x:c>
    </x:row>
    <x:row r="1744">
      <x:c r="A1744" t="n">
        <x:v>1743</x:v>
      </x:c>
      <x:c r="B1744" s="106" t="str">
        <x:v>FFT frequency: 268.03032 Hz | difference 0.03032 Hz</x:v>
      </x:c>
      <x:c r="C1744" t="str">
        <x:v>Pasted text(56).txt</x:v>
      </x:c>
    </x:row>
    <x:row r="1745">
      <x:c r="A1745" t="n">
        <x:v>1744</x:v>
      </x:c>
      <x:c r="B1745" s="106" t="str"/>
      <x:c r="C1745" t="str">
        <x:v>Pasted text(56).txt</x:v>
      </x:c>
    </x:row>
    <x:row r="1746">
      <x:c r="A1746" t="n">
        <x:v>1745</x:v>
      </x:c>
      <x:c r="B1746" s="106" t="str">
        <x:v>VISATON OFF. RESTING 5.0 s BEFORE THE NEXT COMPLETELY FRESH RUN.</x:v>
      </x:c>
      <x:c r="C1746" t="str">
        <x:v>Pasted text(56).txt</x:v>
      </x:c>
    </x:row>
    <x:row r="1747">
      <x:c r="A1747" t="n">
        <x:v>1746</x:v>
      </x:c>
      <x:c r="B1747" s="106" t="str"/>
      <x:c r="C1747" t="str">
        <x:v>Pasted text(56).txt</x:v>
      </x:c>
    </x:row>
    <x:row r="1748">
      <x:c r="A1748" t="n">
        <x:v>1747</x:v>
      </x:c>
      <x:c r="B1748" s="106" t="str">
        <x:v>################################################################################</x:v>
      </x:c>
      <x:c r="C1748" t="str">
        <x:v>Pasted text(56).txt</x:v>
      </x:c>
    </x:row>
    <x:row r="1749">
      <x:c r="A1749" t="n">
        <x:v>1748</x:v>
      </x:c>
      <x:c r="B1749" s="106" t="str">
        <x:v>INDEPENDENT TARGET-AMPLITUDE RUN 3 OF 5</x:v>
      </x:c>
      <x:c r="C1749" t="str">
        <x:v>Pasted text(56).txt</x:v>
      </x:c>
    </x:row>
    <x:row r="1750">
      <x:c r="A1750" t="n">
        <x:v>1749</x:v>
      </x:c>
      <x:c r="B1750" s="106" t="str">
        <x:v>################################################################################</x:v>
      </x:c>
      <x:c r="C1750" t="str">
        <x:v>Pasted text(56).txt</x:v>
      </x:c>
    </x:row>
    <x:row r="1751">
      <x:c r="A1751" t="n">
        <x:v>1750</x:v>
      </x:c>
      <x:c r="B1751" s="106" t="str">
        <x:v>Frequency: 268.00000 Hz</x:v>
      </x:c>
      <x:c r="C1751" t="str">
        <x:v>Pasted text(56).txt</x:v>
      </x:c>
    </x:row>
    <x:row r="1752">
      <x:c r="A1752" t="n">
        <x:v>1751</x:v>
      </x:c>
      <x:c r="B1752" s="106" t="str">
        <x:v>Target X amplitude: 1.28000 m/s^2 peak, tolerance +/-7.50 %</x:v>
      </x:c>
      <x:c r="C1752" t="str">
        <x:v>Pasted text(56).txt</x:v>
      </x:c>
    </x:row>
    <x:row r="1753">
      <x:c r="A1753" t="n">
        <x:v>1752</x:v>
      </x:c>
      <x:c r="B1753" s="106" t="str">
        <x:v>This run starts from DAC 1.00 and ignores every earlier selected DAC.</x:v>
      </x:c>
      <x:c r="C1753" t="str">
        <x:v>Pasted text(56).txt</x:v>
      </x:c>
    </x:row>
    <x:row r="1754">
      <x:c r="A1754" t="n">
        <x:v>1753</x:v>
      </x:c>
      <x:c r="B1754" s="106" t="str">
        <x:v>ADXL2 DEVID/DATA_FORMAT/BW_RATE/POWER_CTL: 0xE5 / 0xB / 0xE / 0x8</x:v>
      </x:c>
      <x:c r="C1754" t="str">
        <x:v>Pasted text(56).txt</x:v>
      </x:c>
    </x:row>
    <x:row r="1755">
      <x:c r="A1755" t="n">
        <x:v>1754</x:v>
      </x:c>
      <x:c r="B1755" s="106" t="str"/>
      <x:c r="C1755" t="str">
        <x:v>Pasted text(56).txt</x:v>
      </x:c>
    </x:row>
    <x:row r="1756">
      <x:c r="A1756" t="n">
        <x:v>1755</x:v>
      </x:c>
      <x:c r="B1756" s="106" t="str">
        <x:v>ACQUISITION ATTEMPT 1 OF 2</x:v>
      </x:c>
      <x:c r="C1756" t="str">
        <x:v>Pasted text(56).txt</x:v>
      </x:c>
    </x:row>
    <x:row r="1757">
      <x:c r="A1757" t="n">
        <x:v>1756</x:v>
      </x:c>
      <x:c r="B1757" s="106" t="str"/>
      <x:c r="C1757" t="str">
        <x:v>Pasted text(56).txt</x:v>
      </x:c>
    </x:row>
    <x:row r="1758">
      <x:c r="A1758" t="n">
        <x:v>1757</x:v>
      </x:c>
      <x:c r="B1758" s="106" t="str">
        <x:v>FRESH X-AXIS SEARCH FROM DAC 1.00 — OLD DAC VALUES ARE NOT USED</x:v>
      </x:c>
      <x:c r="C1758" t="str">
        <x:v>Pasted text(56).txt</x:v>
      </x:c>
    </x:row>
    <x:row r="1759">
      <x:c r="A1759" t="n">
        <x:v>1758</x:v>
      </x:c>
      <x:c r="B1759" s="106" t="str">
        <x:v>Y/Z are diagnostic only and cannot abort this search.</x:v>
      </x:c>
      <x:c r="C1759" t="str">
        <x:v>Pasted text(56).txt</x:v>
      </x:c>
    </x:row>
    <x:row r="1760">
      <x:c r="A1760" t="n">
        <x:v>1759</x:v>
      </x:c>
      <x:c r="B1760" s="106" t="str">
        <x:v>A real SPI fault, clipping, safety limit or confirmed X-response collapse will stop it.</x:v>
      </x:c>
      <x:c r="C1760" t="str">
        <x:v>Pasted text(56).txt</x:v>
      </x:c>
    </x:row>
    <x:row r="1761">
      <x:c r="A1761" t="n">
        <x:v>1760</x:v>
      </x:c>
      <x:c r="B1761" s="106" t="str">
        <x:v>SEARCH | point 1 | DAC 1.00 | CTRL X 0.01192 | X 0.01105 | Y 0.02132 | Z 0.02754 | TOTAL 0.03841 | error -99.07 % | MAD 21.68 % | CV 11.15 % | coh 5.8 % | dominant Z | axis fraction 40.1 % | BELOW MEASUREMENT FLOOR — SEARCH CONTINUES</x:v>
      </x:c>
      <x:c r="C1761" t="str">
        <x:v>Pasted text(56).txt</x:v>
      </x:c>
    </x:row>
    <x:row r="1762">
      <x:c r="A1762" t="n">
        <x:v>1761</x:v>
      </x:c>
      <x:c r="B1762" s="106" t="str">
        <x:v>SEARCH | point 2 | DAC 3.00 | CTRL X 0.15733 | X 0.15935 | Y 0.07248 | Z 0.12001 | TOTAL 0.21713 | error -87.71 % | MAD 10.36 % | CV 8.87 % | coh 54.1 % | dominant X | axis fraction 100.0 % | VALID</x:v>
      </x:c>
      <x:c r="C1762" t="str">
        <x:v>Pasted text(56).txt</x:v>
      </x:c>
    </x:row>
    <x:row r="1763">
      <x:c r="A1763" t="n">
        <x:v>1762</x:v>
      </x:c>
      <x:c r="B1763" s="106" t="str">
        <x:v>SEARCH | point 3 | DAC 5.00 | CTRL X 0.39417 | X 0.38927 | Y 0.14992 | Z 0.25457 | TOTAL 0.48914 | error -69.21 % | MAD 5.79 % | CV 5.95 % | coh 82.9 % | dominant X | axis fraction 100.0 % | VALID</x:v>
      </x:c>
      <x:c r="C1763" t="str">
        <x:v>Pasted text(56).txt</x:v>
      </x:c>
    </x:row>
    <x:row r="1764">
      <x:c r="A1764" t="n">
        <x:v>1763</x:v>
      </x:c>
      <x:c r="B1764" s="106" t="str">
        <x:v>SEARCH | point 4 | DAC 6.00 | CTRL X 0.49526 | X 0.49741 | Y 0.18863 | Z 0.32305 | TOTAL 0.62266 | error -61.31 % | MAD 0.78 % | CV 1.23 % | coh 86.9 % | dominant X | axis fraction 100.0 % | VALID</x:v>
      </x:c>
      <x:c r="C1764" t="str">
        <x:v>Pasted text(56).txt</x:v>
      </x:c>
    </x:row>
    <x:row r="1765">
      <x:c r="A1765" t="n">
        <x:v>1764</x:v>
      </x:c>
      <x:c r="B1765" s="106" t="str">
        <x:v>SEARCH | point 5 | DAC 7.00 | CTRL X 0.61546 | X 0.61037 | Y 0.22472 | Z 0.37539 | TOTAL 0.75148 | error -51.92 % | MAD 1.24 % | CV 2.22 % | coh 88.4 % | dominant X | axis fraction 100.0 % | VALID</x:v>
      </x:c>
      <x:c r="C1765" t="str">
        <x:v>Pasted text(56).txt</x:v>
      </x:c>
    </x:row>
    <x:row r="1766">
      <x:c r="A1766" t="n">
        <x:v>1765</x:v>
      </x:c>
      <x:c r="B1766" s="106" t="str">
        <x:v>SEARCH | point 6 | DAC 8.00 | CTRL X 0.74603 | X 0.74080 | Y 0.26388 | Z 0.45559 | TOTAL 0.90901 | error -41.72 % | MAD 1.41 % | CV 2.11 % | coh 90.8 % | dominant X | axis fraction 100.0 % | VALID</x:v>
      </x:c>
      <x:c r="C1766" t="str">
        <x:v>Pasted text(56).txt</x:v>
      </x:c>
    </x:row>
    <x:row r="1767">
      <x:c r="A1767" t="n">
        <x:v>1766</x:v>
      </x:c>
      <x:c r="B1767" s="106" t="str">
        <x:v>SEARCH | point 7 | DAC 9.00 | CTRL X 0.85862 | X 0.85509 | Y 0.29990 | Z 0.49223 | TOTAL 1.03129 | error -32.92 % | MAD 0.24 % | CV 0.86 % | coh 90.9 % | dominant X | axis fraction 100.0 % | VALID</x:v>
      </x:c>
      <x:c r="C1767" t="str">
        <x:v>Pasted text(56).txt</x:v>
      </x:c>
    </x:row>
    <x:row r="1768">
      <x:c r="A1768" t="n">
        <x:v>1767</x:v>
      </x:c>
      <x:c r="B1768" s="106" t="str">
        <x:v>SEARCH | point 8 | DAC 9.50 | CTRL X 0.90089 | X 0.89812 | Y 0.30692 | Z 0.50395 | TOTAL 1.07494 | error -29.62 % | MAD 2.26 % | CV 2.01 % | coh 91.2 % | dominant X | axis fraction 100.0 % | VALID</x:v>
      </x:c>
      <x:c r="C1768" t="str">
        <x:v>Pasted text(56).txt</x:v>
      </x:c>
    </x:row>
    <x:row r="1769">
      <x:c r="A1769" t="n">
        <x:v>1768</x:v>
      </x:c>
      <x:c r="B1769" s="106" t="str">
        <x:v>SEARCH | point 9 | DAC 10.00 | CTRL X 0.99157 | X 0.99117 | Y 0.34408 | Z 0.56171 | TOTAL 1.19017 | error -22.53 % | MAD 0.34 % | CV 0.29 % | coh 92.6 % | dominant X | axis fraction 100.0 % | VALID</x:v>
      </x:c>
      <x:c r="C1769" t="str">
        <x:v>Pasted text(56).txt</x:v>
      </x:c>
    </x:row>
    <x:row r="1770">
      <x:c r="A1770" t="n">
        <x:v>1769</x:v>
      </x:c>
      <x:c r="B1770" s="106" t="str">
        <x:v>SEARCH | point 10 | DAC 10.50 | CTRL X 1.02109 | X 1.03099 | Y 0.36392 | Z 0.58503 | TOTAL 1.24038 | error -20.23 % | MAD 1.81 % | CV 2.78 % | coh 91.8 % | dominant X | axis fraction 100.0 % | VALID</x:v>
      </x:c>
      <x:c r="C1770" t="str">
        <x:v>Pasted text(56).txt</x:v>
      </x:c>
    </x:row>
    <x:row r="1771">
      <x:c r="A1771" t="n">
        <x:v>1770</x:v>
      </x:c>
      <x:c r="B1771" s="106" t="str">
        <x:v>SEARCH | point 11 | DAC 11.00 | CTRL X 1.08932 | X 1.11281 | Y 0.38970 | Z 0.61711 | TOTAL 1.33132 | error -14.90 % | MAD 0.48 % | CV 3.93 % | coh 92.7 % | dominant X | axis fraction 100.0 % | VALID</x:v>
      </x:c>
      <x:c r="C1771" t="str">
        <x:v>Pasted text(56).txt</x:v>
      </x:c>
    </x:row>
    <x:row r="1772">
      <x:c r="A1772" t="n">
        <x:v>1771</x:v>
      </x:c>
      <x:c r="B1772" s="106" t="str">
        <x:v>SEARCH | point 12 | DAC 11.25 | CTRL X 1.14286 | X 1.15769 | Y 0.38693 | Z 0.63865 | TOTAL 1.37802 | error -10.71 % | MAD 0.39 % | CV 2.45 % | coh 93.4 % | dominant X | axis fraction 100.0 % | VALID</x:v>
      </x:c>
      <x:c r="C1772" t="str">
        <x:v>Pasted text(56).txt</x:v>
      </x:c>
    </x:row>
    <x:row r="1773">
      <x:c r="A1773" t="n">
        <x:v>1772</x:v>
      </x:c>
      <x:c r="B1773" s="106" t="str">
        <x:v>SEARCH | point 13 | DAC 11.50 | CTRL X 1.18110 | X 1.17143 | Y 0.40578 | Z 0.62926 | TOTAL 1.39050 | error -7.73 % | MAD 0.04 % | CV 1.45 % | coh 93.2 % | dominant X | axis fraction 100.0 % | VALID</x:v>
      </x:c>
      <x:c r="C1773" t="str">
        <x:v>Pasted text(56).txt</x:v>
      </x:c>
    </x:row>
    <x:row r="1774">
      <x:c r="A1774" t="n">
        <x:v>1773</x:v>
      </x:c>
      <x:c r="B1774" s="106" t="str">
        <x:v>SEARCH | point 14 | DAC 11.75 | CTRL X 1.20808 | X 1.20846 | Y 0.40812 | Z 0.68120 | TOTAL 1.44624 | error -5.62 % | MAD 1.13 % | CV 0.81 % | coh 93.1 % | dominant X | axis fraction 100.0 % | IN TARGET BAND</x:v>
      </x:c>
      <x:c r="C1774" t="str">
        <x:v>Pasted text(56).txt</x:v>
      </x:c>
    </x:row>
    <x:row r="1775">
      <x:c r="A1775" t="n">
        <x:v>1774</x:v>
      </x:c>
      <x:c r="B1775" s="106" t="str"/>
      <x:c r="C1775" t="str">
        <x:v>Pasted text(56).txt</x:v>
      </x:c>
    </x:row>
    <x:row r="1776">
      <x:c r="A1776" t="n">
        <x:v>1775</x:v>
      </x:c>
      <x:c r="B1776" s="106" t="str">
        <x:v>LOCAL 0.25-DAC X-AXIS FINE SCAN</x:v>
      </x:c>
      <x:c r="C1776" t="str">
        <x:v>Pasted text(56).txt</x:v>
      </x:c>
    </x:row>
    <x:row r="1777">
      <x:c r="A1777" t="n">
        <x:v>1776</x:v>
      </x:c>
      <x:c r="B1777" s="106" t="str">
        <x:v>Only a valid point actually inside the X target band may be selected.</x:v>
      </x:c>
      <x:c r="C1777" t="str">
        <x:v>Pasted text(56).txt</x:v>
      </x:c>
    </x:row>
    <x:row r="1778">
      <x:c r="A1778" t="n">
        <x:v>1777</x:v>
      </x:c>
      <x:c r="B1778" s="106" t="str">
        <x:v>FINE | point 1 | DAC 10.75 | CTRL X 1.09342 | X 1.09037 | Y 0.36926 | Z 0.60823 | TOTAL 1.30217 | error -14.58 % | MAD 0.36 % | CV 0.71 % | coh 93.4 % | dominant X | axis fraction 100.0 % | VALID</x:v>
      </x:c>
      <x:c r="C1778" t="str">
        <x:v>Pasted text(56).txt</x:v>
      </x:c>
    </x:row>
    <x:row r="1779">
      <x:c r="A1779" t="n">
        <x:v>1778</x:v>
      </x:c>
      <x:c r="B1779" s="106" t="str">
        <x:v>FINE | point 2 | DAC 11.00 | CTRL X 1.10826 | X 1.11226 | Y 0.39703 | Z 0.62859 | TOTAL 1.33795 | error -13.42 % | MAD 0.61 % | CV 1.00 % | coh 92.2 % | dominant X | axis fraction 100.0 % | VALID</x:v>
      </x:c>
      <x:c r="C1779" t="str">
        <x:v>Pasted text(56).txt</x:v>
      </x:c>
    </x:row>
    <x:row r="1780">
      <x:c r="A1780" t="n">
        <x:v>1779</x:v>
      </x:c>
      <x:c r="B1780" s="106" t="str">
        <x:v>FINE | point 3 | DAC 11.25 | CTRL X 1.12619 | X 1.12054 | Y 0.38860 | Z 0.64117 | TOTAL 1.34823 | error -12.02 % | MAD 1.10 % | CV 1.57 % | coh 92.4 % | dominant X | axis fraction 100.0 % | VALID</x:v>
      </x:c>
      <x:c r="C1780" t="str">
        <x:v>Pasted text(56).txt</x:v>
      </x:c>
    </x:row>
    <x:row r="1781">
      <x:c r="A1781" t="n">
        <x:v>1780</x:v>
      </x:c>
      <x:c r="B1781" s="106" t="str">
        <x:v>FINE | point 4 | DAC 11.50 | CTRL X 1.15142 | X 1.15277 | Y 0.41646 | Z 0.65478 | TOTAL 1.38966 | error -10.05 % | MAD 1.38 % | CV 1.11 % | coh 92.9 % | dominant X | axis fraction 100.0 % | VALID</x:v>
      </x:c>
      <x:c r="C1781" t="str">
        <x:v>Pasted text(56).txt</x:v>
      </x:c>
    </x:row>
    <x:row r="1782">
      <x:c r="A1782" t="n">
        <x:v>1781</x:v>
      </x:c>
      <x:c r="B1782" s="106" t="str">
        <x:v>FINE | point 5 | DAC 11.75 | CTRL X 1.20011 | X 1.20611 | Y 0.40406 | Z 0.68533 | TOTAL 1.44493 | error -6.24 % | MAD 0.44 % | CV 1.12 % | coh 93.0 % | dominant X | axis fraction 100.0 % | IN TARGET BAND</x:v>
      </x:c>
      <x:c r="C1782" t="str">
        <x:v>Pasted text(56).txt</x:v>
      </x:c>
    </x:row>
    <x:row r="1783">
      <x:c r="A1783" t="n">
        <x:v>1782</x:v>
      </x:c>
      <x:c r="B1783" s="106" t="str">
        <x:v>FINE | point 6 | DAC 12.00 | CTRL X 1.21622 | X 1.22764 | Y 0.42038 | Z 0.68432 | TOTAL 1.46712 | error -4.98 % | MAD 0.15 % | CV 1.70 % | coh 92.9 % | dominant X | axis fraction 100.0 % | IN TARGET BAND</x:v>
      </x:c>
      <x:c r="C1783" t="str">
        <x:v>Pasted text(56).txt</x:v>
      </x:c>
    </x:row>
    <x:row r="1784">
      <x:c r="A1784" t="n">
        <x:v>1783</x:v>
      </x:c>
      <x:c r="B1784" s="106" t="str">
        <x:v>FINE | point 7 | DAC 12.25 | CTRL X 1.25173 | X 1.26240 | Y 0.43591 | Z 0.66747 | TOTAL 1.49309 | error -2.21 % | MAD 0.38 % | CV 1.69 % | coh 93.6 % | dominant X | axis fraction 100.0 % | IN TARGET BAND</x:v>
      </x:c>
      <x:c r="C1784" t="str">
        <x:v>Pasted text(56).txt</x:v>
      </x:c>
    </x:row>
    <x:row r="1785">
      <x:c r="A1785" t="n">
        <x:v>1784</x:v>
      </x:c>
      <x:c r="B1785" s="106" t="str">
        <x:v>FINE | point 8 | DAC 12.50 | CTRL X 1.27122 | X 1.26738 | Y 0.41980 | Z 0.70696 | TOTAL 1.51076 | error -0.69 % | MAD 0.32 % | CV 0.72 % | coh 94.1 % | dominant X | axis fraction 100.0 % | IN TARGET BAND</x:v>
      </x:c>
      <x:c r="C1785" t="str">
        <x:v>Pasted text(56).txt</x:v>
      </x:c>
    </x:row>
    <x:row r="1786">
      <x:c r="A1786" t="n">
        <x:v>1785</x:v>
      </x:c>
      <x:c r="B1786" s="106" t="str">
        <x:v>FINE | point 9 | DAC 12.75 | CTRL X 1.32905 | X 1.32910 | Y 0.44541 | Z 0.74858 | TOTAL 1.58919 | error 3.83 % | MAD 1.27 % | CV 0.86 % | coh 93.5 % | dominant X | axis fraction 100.0 % | IN TARGET BAND</x:v>
      </x:c>
      <x:c r="C1786" t="str">
        <x:v>Pasted text(56).txt</x:v>
      </x:c>
    </x:row>
    <x:row r="1787">
      <x:c r="A1787" t="n">
        <x:v>1786</x:v>
      </x:c>
      <x:c r="B1787" s="106" t="str"/>
      <x:c r="C1787" t="str">
        <x:v>Pasted text(56).txt</x:v>
      </x:c>
    </x:row>
    <x:row r="1788">
      <x:c r="A1788" t="n">
        <x:v>1787</x:v>
      </x:c>
      <x:c r="B1788" s="106" t="str">
        <x:v>LONG VALIDATION AT FIXED DAC 12.50</x:v>
      </x:c>
      <x:c r="C1788" t="str">
        <x:v>Pasted text(56).txt</x:v>
      </x:c>
    </x:row>
    <x:row r="1789">
      <x:c r="A1789" t="n">
        <x:v>1788</x:v>
      </x:c>
      <x:c r="B1789" s="106" t="str">
        <x:v>FINAL | point 1 | DAC 12.50 | CTRL X 1.28668 | X 1.28301 | Y 0.44077 | Z 0.67858 | TOTAL 1.51701 | error 0.52 % | MAD 2.13 % | CV 1.77 % | coh 93.9 % | dominant X | axis fraction 100.0 % | IN TARGET BAND</x:v>
      </x:c>
      <x:c r="C1789" t="str">
        <x:v>Pasted text(56).txt</x:v>
      </x:c>
    </x:row>
    <x:row r="1790">
      <x:c r="A1790" t="n">
        <x:v>1789</x:v>
      </x:c>
      <x:c r="B1790" s="106" t="str">
        <x:v>FINAL | point 2 | DAC 12.50 | CTRL X 1.27693 | X 1.28036 | Y 0.42554 | Z 0.69751 | TOTAL 1.51913 | error -0.24 % | MAD 0.96 % | CV 1.52 % | coh 93.9 % | dominant X | axis fraction 100.0 % | IN TARGET BAND</x:v>
      </x:c>
      <x:c r="C1790" t="str">
        <x:v>Pasted text(56).txt</x:v>
      </x:c>
    </x:row>
    <x:row r="1791">
      <x:c r="A1791" t="n">
        <x:v>1790</x:v>
      </x:c>
      <x:c r="B1791" s="106" t="str">
        <x:v>VALIDATION ACCEPTED | pair drift 0.76 %</x:v>
      </x:c>
      <x:c r="C1791" t="str">
        <x:v>Pasted text(56).txt</x:v>
      </x:c>
    </x:row>
    <x:row r="1792">
      <x:c r="A1792" t="n">
        <x:v>1791</x:v>
      </x:c>
      <x:c r="B1792" s="106" t="str"/>
      <x:c r="C1792" t="str">
        <x:v>Pasted text(56).txt</x:v>
      </x:c>
    </x:row>
    <x:row r="1793">
      <x:c r="A1793" t="n">
        <x:v>1792</x:v>
      </x:c>
      <x:c r="B1793" s="106" t="str">
        <x:v>FINAL VALIDATED BLIND FFT VERIFICATION</x:v>
      </x:c>
      <x:c r="C1793" t="str">
        <x:v>Pasted text(56).txt</x:v>
      </x:c>
    </x:row>
    <x:row r="1794">
      <x:c r="A1794" t="n">
        <x:v>1793</x:v>
      </x:c>
      <x:c r="B1794" s="106" t="str">
        <x:v>Commanded frequency: 268.00000 Hz</x:v>
      </x:c>
      <x:c r="C1794" t="str">
        <x:v>Pasted text(56).txt</x:v>
      </x:c>
    </x:row>
    <x:row r="1795">
      <x:c r="A1795" t="n">
        <x:v>1794</x:v>
      </x:c>
      <x:c r="B1795" s="106" t="str">
        <x:v>Accepted DAC: 12.50</x:v>
      </x:c>
      <x:c r="C1795" t="str">
        <x:v>Pasted text(56).txt</x:v>
      </x:c>
    </x:row>
    <x:row r="1796">
      <x:c r="A1796" t="n">
        <x:v>1795</x:v>
      </x:c>
      <x:c r="B1796" s="106" t="str">
        <x:v>Axis,Frequency_Hz,Amplitude_mps2,SNR_dB,Status</x:v>
      </x:c>
      <x:c r="C1796" t="str">
        <x:v>Pasted text(56).txt</x:v>
      </x:c>
    </x:row>
    <x:row r="1797">
      <x:c r="A1797" t="n">
        <x:v>1796</x:v>
      </x:c>
      <x:c r="B1797" s="106" t="str">
        <x:v>X,268.02621,1.16210,32.44,VALID</x:v>
      </x:c>
      <x:c r="C1797" t="str">
        <x:v>Pasted text(56).txt</x:v>
      </x:c>
    </x:row>
    <x:row r="1798">
      <x:c r="A1798" t="n">
        <x:v>1797</x:v>
      </x:c>
      <x:c r="B1798" s="106" t="str">
        <x:v>Y,268.04089,0.39668,27.55,VALID</x:v>
      </x:c>
      <x:c r="C1798" t="str">
        <x:v>Pasted text(56).txt</x:v>
      </x:c>
    </x:row>
    <x:row r="1799">
      <x:c r="A1799" t="n">
        <x:v>1798</x:v>
      </x:c>
      <x:c r="B1799" s="106" t="str">
        <x:v>Z,268.01809,0.64161,29.72,VALID</x:v>
      </x:c>
      <x:c r="C1799" t="str">
        <x:v>Pasted text(56).txt</x:v>
      </x:c>
    </x:row>
    <x:row r="1800">
      <x:c r="A1800" t="n">
        <x:v>1799</x:v>
      </x:c>
      <x:c r="B1800" s="106" t="str">
        <x:v>Combined frequency: 268.02569 Hz | difference 0.02569 Hz</x:v>
      </x:c>
      <x:c r="C1800" t="str">
        <x:v>Pasted text(56).txt</x:v>
      </x:c>
    </x:row>
    <x:row r="1801">
      <x:c r="A1801" t="n">
        <x:v>1800</x:v>
      </x:c>
      <x:c r="B1801" s="106" t="str">
        <x:v>Combined X/Y/Z/TOTAL: 1.06085 / 0.36277 / 0.58425 / 1.26426</x:v>
      </x:c>
      <x:c r="C1801" t="str">
        <x:v>Pasted text(56).txt</x:v>
      </x:c>
    </x:row>
    <x:row r="1802">
      <x:c r="A1802" t="n">
        <x:v>1801</x:v>
      </x:c>
      <x:c r="B1802" s="106" t="str">
        <x:v>SNR: 31.12 dB | dominant axis X</x:v>
      </x:c>
      <x:c r="C1802" t="str">
        <x:v>Pasted text(56).txt</x:v>
      </x:c>
    </x:row>
    <x:row r="1803">
      <x:c r="A1803" t="n">
        <x:v>1802</x:v>
      </x:c>
      <x:c r="B1803" s="106" t="str">
        <x:v>Frequency verification: PASS</x:v>
      </x:c>
      <x:c r="C1803" t="str">
        <x:v>Pasted text(56).txt</x:v>
      </x:c>
    </x:row>
    <x:row r="1804">
      <x:c r="A1804" t="n">
        <x:v>1803</x:v>
      </x:c>
      <x:c r="B1804" s="106" t="str">
        <x:v>Y/Z dominance: DIAGNOSTIC ONLY — ignored for pass/fail</x:v>
      </x:c>
      <x:c r="C1804" t="str">
        <x:v>Pasted text(56).txt</x:v>
      </x:c>
    </x:row>
    <x:row r="1805">
      <x:c r="A1805" t="n">
        <x:v>1804</x:v>
      </x:c>
      <x:c r="B1805" s="106" t="str"/>
      <x:c r="C1805" t="str">
        <x:v>Pasted text(56).txt</x:v>
      </x:c>
    </x:row>
    <x:row r="1806">
      <x:c r="A1806" t="n">
        <x:v>1805</x:v>
      </x:c>
      <x:c r="B1806" s="106" t="str">
        <x:v>FIXED-DAC HOLD VALIDATION</x:v>
      </x:c>
      <x:c r="C1806" t="str">
        <x:v>Pasted text(56).txt</x:v>
      </x:c>
    </x:row>
    <x:row r="1807">
      <x:c r="A1807" t="n">
        <x:v>1806</x:v>
      </x:c>
      <x:c r="B1807" s="106" t="str">
        <x:v>DAC remains fixed at 12.50 for 10 records.</x:v>
      </x:c>
      <x:c r="C1807" t="str">
        <x:v>Pasted text(56).txt</x:v>
      </x:c>
    </x:row>
    <x:row r="1808">
      <x:c r="A1808" t="n">
        <x:v>1807</x:v>
      </x:c>
      <x:c r="B1808" s="106" t="str">
        <x:v>HOLD | point 1 | DAC 12.50 | CTRL X 1.28222 | X 1.28763 | Y 0.43452 | Z 0.71206 | TOTAL 1.53445 | error 0.17 % | MAD 1.19 % | CV 1.48 % | coh 93.5 % | dominant X | axis fraction 100.0 % | IN TARGET BAND</x:v>
      </x:c>
      <x:c r="C1808" t="str">
        <x:v>Pasted text(56).txt</x:v>
      </x:c>
    </x:row>
    <x:row r="1809">
      <x:c r="A1809" t="n">
        <x:v>1808</x:v>
      </x:c>
      <x:c r="B1809" s="106" t="str">
        <x:v>HOLD | point 2 | DAC 12.50 | CTRL X 1.27932 | X 1.28045 | Y 0.44994 | Z 0.69257 | TOTAL 1.52401 | error -0.05 % | MAD 2.44 % | CV 1.78 % | coh 93.5 % | dominant X | axis fraction 100.0 % | IN TARGET BAND</x:v>
      </x:c>
      <x:c r="C1809" t="str">
        <x:v>Pasted text(56).txt</x:v>
      </x:c>
    </x:row>
    <x:row r="1810">
      <x:c r="A1810" t="n">
        <x:v>1809</x:v>
      </x:c>
      <x:c r="B1810" s="106" t="str">
        <x:v>HOLD | point 3 | DAC 12.50 | CTRL X 1.29223 | X 1.28912 | Y 0.44271 | Z 0.70889 | TOTAL 1.53646 | error 0.96 % | MAD 0.57 % | CV 0.77 % | coh 94.4 % | dominant X | axis fraction 100.0 % | IN TARGET BAND</x:v>
      </x:c>
      <x:c r="C1810" t="str">
        <x:v>Pasted text(56).txt</x:v>
      </x:c>
    </x:row>
    <x:row r="1811">
      <x:c r="A1811" t="n">
        <x:v>1810</x:v>
      </x:c>
      <x:c r="B1811" s="106" t="str">
        <x:v>HOLD | point 4 | DAC 12.50 | CTRL X 1.29938 | X 1.30092 | Y 0.44656 | Z 0.69410 | TOTAL 1.54067 | error 1.51 % | MAD 1.03 % | CV 0.88 % | coh 94.5 % | dominant X | axis fraction 100.0 % | IN TARGET BAND</x:v>
      </x:c>
      <x:c r="C1811" t="str">
        <x:v>Pasted text(56).txt</x:v>
      </x:c>
    </x:row>
    <x:row r="1812">
      <x:c r="A1812" t="n">
        <x:v>1811</x:v>
      </x:c>
      <x:c r="B1812" s="106" t="str">
        <x:v>HOLD | point 5 | DAC 12.50 | CTRL X 1.30176 | X 1.28738 | Y 0.43663 | Z 0.70580 | TOTAL 1.53179 | error 1.70 % | MAD 0.08 % | CV 1.98 % | coh 93.3 % | dominant X | axis fraction 100.0 % | IN TARGET BAND</x:v>
      </x:c>
      <x:c r="C1812" t="str">
        <x:v>Pasted text(56).txt</x:v>
      </x:c>
    </x:row>
    <x:row r="1813">
      <x:c r="A1813" t="n">
        <x:v>1812</x:v>
      </x:c>
      <x:c r="B1813" s="106" t="str">
        <x:v>HOLD | point 6 | DAC 12.50 | CTRL X 1.25829 | X 1.27344 | Y 0.43671 | Z 0.70669 | TOTAL 1.52066 | error -1.70 % | MAD 1.21 % | CV 2.79 % | coh 92.4 % | dominant X | axis fraction 100.0 % | IN TARGET BAND</x:v>
      </x:c>
      <x:c r="C1813" t="str">
        <x:v>Pasted text(56).txt</x:v>
      </x:c>
    </x:row>
    <x:row r="1814">
      <x:c r="A1814" t="n">
        <x:v>1813</x:v>
      </x:c>
      <x:c r="B1814" s="106" t="str">
        <x:v>HOLD | point 7 | DAC 12.50 | CTRL X 1.27511 | X 1.27260 | Y 0.43254 | Z 0.70169 | TOTAL 1.51644 | error -0.38 % | MAD 0.79 % | CV 0.85 % | coh 93.2 % | dominant X | axis fraction 100.0 % | IN TARGET BAND</x:v>
      </x:c>
      <x:c r="C1814" t="str">
        <x:v>Pasted text(56).txt</x:v>
      </x:c>
    </x:row>
    <x:row r="1815">
      <x:c r="A1815" t="n">
        <x:v>1814</x:v>
      </x:c>
      <x:c r="B1815" s="106" t="str">
        <x:v>HOLD | point 8 | DAC 12.50 | CTRL X 1.28089 | X 1.28684 | Y 0.43749 | Z 0.72395 | TOTAL 1.53996 | error 0.07 % | MAD 0.56 % | CV 1.14 % | coh 93.6 % | dominant X | axis fraction 100.0 % | IN TARGET BAND</x:v>
      </x:c>
      <x:c r="C1815" t="str">
        <x:v>Pasted text(56).txt</x:v>
      </x:c>
    </x:row>
    <x:row r="1816">
      <x:c r="A1816" t="n">
        <x:v>1815</x:v>
      </x:c>
      <x:c r="B1816" s="106" t="str">
        <x:v>HOLD | point 9 | DAC 12.50 | CTRL X 1.29087 | X 1.29510 | Y 0.43934 | Z 0.69242 | TOTAL 1.53304 | error 0.85 % | MAD 1.06 % | CV 1.23 % | coh 94.8 % | dominant X | axis fraction 100.0 % | IN TARGET BAND</x:v>
      </x:c>
      <x:c r="C1816" t="str">
        <x:v>Pasted text(56).txt</x:v>
      </x:c>
    </x:row>
    <x:row r="1817">
      <x:c r="A1817" t="n">
        <x:v>1816</x:v>
      </x:c>
      <x:c r="B1817" s="106" t="str">
        <x:v>HOLD | point 10 | DAC 12.50 | CTRL X 1.28759 | X 1.29016 | Y 0.42732 | Z 0.69747 | TOTAL 1.52773 | error 0.59 % | MAD 1.59 % | CV 1.38 % | coh 93.8 % | dominant X | axis fraction 100.0 % | IN TARGET BAND</x:v>
      </x:c>
      <x:c r="C1817" t="str">
        <x:v>Pasted text(56).txt</x:v>
      </x:c>
    </x:row>
    <x:row r="1818">
      <x:c r="A1818" t="n">
        <x:v>1817</x:v>
      </x:c>
      <x:c r="B1818" s="106" t="str"/>
      <x:c r="C1818" t="str">
        <x:v>Pasted text(56).txt</x:v>
      </x:c>
    </x:row>
    <x:row r="1819">
      <x:c r="A1819" t="n">
        <x:v>1818</x:v>
      </x:c>
      <x:c r="B1819" s="106" t="str">
        <x:v>HOLD SUMMARY</x:v>
      </x:c>
      <x:c r="C1819" t="str">
        <x:v>Pasted text(56).txt</x:v>
      </x:c>
    </x:row>
    <x:row r="1820">
      <x:c r="A1820" t="n">
        <x:v>1819</x:v>
      </x:c>
      <x:c r="B1820" s="106" t="str">
        <x:v>Valid / requested: 10 / 10</x:v>
      </x:c>
      <x:c r="C1820" t="str">
        <x:v>Pasted text(56).txt</x:v>
      </x:c>
    </x:row>
    <x:row r="1821">
      <x:c r="A1821" t="n">
        <x:v>1820</x:v>
      </x:c>
      <x:c r="B1821" s="106" t="str">
        <x:v>In band / requested: 10 / 10 = 100.0 %</x:v>
      </x:c>
      <x:c r="C1821" t="str">
        <x:v>Pasted text(56).txt</x:v>
      </x:c>
    </x:row>
    <x:row r="1822">
      <x:c r="A1822" t="n">
        <x:v>1821</x:v>
      </x:c>
      <x:c r="B1822" s="106" t="str">
        <x:v>Mean / SD / CV: 1.28477 / 0.01269 / 0.99 %</x:v>
      </x:c>
      <x:c r="C1822" t="str">
        <x:v>Pasted text(56).txt</x:v>
      </x:c>
    </x:row>
    <x:row r="1823">
      <x:c r="A1823" t="n">
        <x:v>1822</x:v>
      </x:c>
      <x:c r="B1823" s="106" t="str">
        <x:v>Min / Max: 1.25829 / 1.30176</x:v>
      </x:c>
      <x:c r="C1823" t="str">
        <x:v>Pasted text(56).txt</x:v>
      </x:c>
    </x:row>
    <x:row r="1824">
      <x:c r="A1824" t="n">
        <x:v>1823</x:v>
      </x:c>
      <x:c r="B1824" s="106" t="str">
        <x:v>HOLD RESULT: PASS</x:v>
      </x:c>
      <x:c r="C1824" t="str">
        <x:v>Pasted text(56).txt</x:v>
      </x:c>
    </x:row>
    <x:row r="1825">
      <x:c r="A1825" t="n">
        <x:v>1824</x:v>
      </x:c>
      <x:c r="B1825" s="106" t="str"/>
      <x:c r="C1825" t="str">
        <x:v>Pasted text(56).txt</x:v>
      </x:c>
    </x:row>
    <x:row r="1826">
      <x:c r="A1826" t="n">
        <x:v>1825</x:v>
      </x:c>
      <x:c r="B1826" s="106" t="str">
        <x:v>RUN RESULT: PASS</x:v>
      </x:c>
      <x:c r="C1826" t="str">
        <x:v>Pasted text(56).txt</x:v>
      </x:c>
    </x:row>
    <x:row r="1827">
      <x:c r="A1827" t="n">
        <x:v>1826</x:v>
      </x:c>
      <x:c r="B1827" s="106" t="str">
        <x:v>Selected DAC: 12.50</x:v>
      </x:c>
      <x:c r="C1827" t="str">
        <x:v>Pasted text(56).txt</x:v>
      </x:c>
    </x:row>
    <x:row r="1828">
      <x:c r="A1828" t="n">
        <x:v>1827</x:v>
      </x:c>
      <x:c r="B1828" s="106" t="str">
        <x:v>Validated amplitude: 1.28181 m/s^2 | error 0.14 %</x:v>
      </x:c>
      <x:c r="C1828" t="str">
        <x:v>Pasted text(56).txt</x:v>
      </x:c>
    </x:row>
    <x:row r="1829">
      <x:c r="A1829" t="n">
        <x:v>1828</x:v>
      </x:c>
      <x:c r="B1829" s="106" t="str">
        <x:v>FFT frequency: 268.02569 Hz | difference 0.02569 Hz</x:v>
      </x:c>
      <x:c r="C1829" t="str">
        <x:v>Pasted text(56).txt</x:v>
      </x:c>
    </x:row>
    <x:row r="1830">
      <x:c r="A1830" t="n">
        <x:v>1829</x:v>
      </x:c>
      <x:c r="B1830" s="106" t="str"/>
      <x:c r="C1830" t="str">
        <x:v>Pasted text(56).txt</x:v>
      </x:c>
    </x:row>
    <x:row r="1831">
      <x:c r="A1831" t="n">
        <x:v>1830</x:v>
      </x:c>
      <x:c r="B1831" s="106" t="str">
        <x:v>VISATON OFF. RESTING 5.0 s BEFORE THE NEXT COMPLETELY FRESH RUN.</x:v>
      </x:c>
      <x:c r="C1831" t="str">
        <x:v>Pasted text(56).txt</x:v>
      </x:c>
    </x:row>
    <x:row r="1832">
      <x:c r="A1832" t="n">
        <x:v>1831</x:v>
      </x:c>
      <x:c r="B1832" s="106" t="str"/>
      <x:c r="C1832" t="str">
        <x:v>Pasted text(56).txt</x:v>
      </x:c>
    </x:row>
    <x:row r="1833">
      <x:c r="A1833" t="n">
        <x:v>1832</x:v>
      </x:c>
      <x:c r="B1833" s="106" t="str">
        <x:v>################################################################################</x:v>
      </x:c>
      <x:c r="C1833" t="str">
        <x:v>Pasted text(56).txt</x:v>
      </x:c>
    </x:row>
    <x:row r="1834">
      <x:c r="A1834" t="n">
        <x:v>1833</x:v>
      </x:c>
      <x:c r="B1834" s="106" t="str">
        <x:v>INDEPENDENT TARGET-AMPLITUDE RUN 4 OF 5</x:v>
      </x:c>
      <x:c r="C1834" t="str">
        <x:v>Pasted text(56).txt</x:v>
      </x:c>
    </x:row>
    <x:row r="1835">
      <x:c r="A1835" t="n">
        <x:v>1834</x:v>
      </x:c>
      <x:c r="B1835" s="106" t="str">
        <x:v>################################################################################</x:v>
      </x:c>
      <x:c r="C1835" t="str">
        <x:v>Pasted text(56).txt</x:v>
      </x:c>
    </x:row>
    <x:row r="1836">
      <x:c r="A1836" t="n">
        <x:v>1835</x:v>
      </x:c>
      <x:c r="B1836" s="106" t="str">
        <x:v>Frequency: 268.00000 Hz</x:v>
      </x:c>
      <x:c r="C1836" t="str">
        <x:v>Pasted text(56).txt</x:v>
      </x:c>
    </x:row>
    <x:row r="1837">
      <x:c r="A1837" t="n">
        <x:v>1836</x:v>
      </x:c>
      <x:c r="B1837" s="106" t="str">
        <x:v>Target X amplitude: 1.28000 m/s^2 peak, tolerance +/-7.50 %</x:v>
      </x:c>
      <x:c r="C1837" t="str">
        <x:v>Pasted text(56).txt</x:v>
      </x:c>
    </x:row>
    <x:row r="1838">
      <x:c r="A1838" t="n">
        <x:v>1837</x:v>
      </x:c>
      <x:c r="B1838" s="106" t="str">
        <x:v>This run starts from DAC 1.00 and ignores every earlier selected DAC.</x:v>
      </x:c>
      <x:c r="C1838" t="str">
        <x:v>Pasted text(56).txt</x:v>
      </x:c>
    </x:row>
    <x:row r="1839">
      <x:c r="A1839" t="n">
        <x:v>1838</x:v>
      </x:c>
      <x:c r="B1839" s="106" t="str">
        <x:v>ADXL2 DEVID/DATA_FORMAT/BW_RATE/POWER_CTL: 0xE5 / 0xB / 0xE / 0x8</x:v>
      </x:c>
      <x:c r="C1839" t="str">
        <x:v>Pasted text(56).txt</x:v>
      </x:c>
    </x:row>
    <x:row r="1840">
      <x:c r="A1840" t="n">
        <x:v>1839</x:v>
      </x:c>
      <x:c r="B1840" s="106" t="str"/>
      <x:c r="C1840" t="str">
        <x:v>Pasted text(56).txt</x:v>
      </x:c>
    </x:row>
    <x:row r="1841">
      <x:c r="A1841" t="n">
        <x:v>1840</x:v>
      </x:c>
      <x:c r="B1841" s="106" t="str">
        <x:v>ACQUISITION ATTEMPT 1 OF 2</x:v>
      </x:c>
      <x:c r="C1841" t="str">
        <x:v>Pasted text(56).txt</x:v>
      </x:c>
    </x:row>
    <x:row r="1842">
      <x:c r="A1842" t="n">
        <x:v>1841</x:v>
      </x:c>
      <x:c r="B1842" s="106" t="str"/>
      <x:c r="C1842" t="str">
        <x:v>Pasted text(56).txt</x:v>
      </x:c>
    </x:row>
    <x:row r="1843">
      <x:c r="A1843" t="n">
        <x:v>1842</x:v>
      </x:c>
      <x:c r="B1843" s="106" t="str">
        <x:v>FRESH X-AXIS SEARCH FROM DAC 1.00 — OLD DAC VALUES ARE NOT USED</x:v>
      </x:c>
      <x:c r="C1843" t="str">
        <x:v>Pasted text(56).txt</x:v>
      </x:c>
    </x:row>
    <x:row r="1844">
      <x:c r="A1844" t="n">
        <x:v>1843</x:v>
      </x:c>
      <x:c r="B1844" s="106" t="str">
        <x:v>Y/Z are diagnostic only and cannot abort this search.</x:v>
      </x:c>
      <x:c r="C1844" t="str">
        <x:v>Pasted text(56).txt</x:v>
      </x:c>
    </x:row>
    <x:row r="1845">
      <x:c r="A1845" t="n">
        <x:v>1844</x:v>
      </x:c>
      <x:c r="B1845" s="106" t="str">
        <x:v>A real SPI fault, clipping, safety limit or confirmed X-response collapse will stop it.</x:v>
      </x:c>
      <x:c r="C1845" t="str">
        <x:v>Pasted text(56).txt</x:v>
      </x:c>
    </x:row>
    <x:row r="1846">
      <x:c r="A1846" t="n">
        <x:v>1845</x:v>
      </x:c>
      <x:c r="B1846" s="106" t="str">
        <x:v>SEARCH | point 1 | DAC 1.00 | CTRL X 0.01567 | X 0.01586 | Y 0.01789 | Z 0.04766 | TOTAL 0.05356 | error -98.78 % | MAD 3.63 % | CV 1.71 % | coh 8.6 % | dominant Z | axis fraction 33.3 % | BELOW MEASUREMENT FLOOR — SEARCH CONTINUES</x:v>
      </x:c>
      <x:c r="C1846" t="str">
        <x:v>Pasted text(56).txt</x:v>
      </x:c>
    </x:row>
    <x:row r="1847">
      <x:c r="A1847" t="n">
        <x:v>1846</x:v>
      </x:c>
      <x:c r="B1847" s="106" t="str">
        <x:v>SEARCH | point 2 | DAC 3.00 | CTRL X 0.17224 | X 0.16864 | Y 0.05507 | Z 0.12298 | TOTAL 0.21613 | error -86.54 % | MAD 3.16 % | CV 5.69 % | coh 56.4 % | dominant X | axis fraction 100.0 % | VALID</x:v>
      </x:c>
      <x:c r="C1847" t="str">
        <x:v>Pasted text(56).txt</x:v>
      </x:c>
    </x:row>
    <x:row r="1848">
      <x:c r="A1848" t="n">
        <x:v>1847</x:v>
      </x:c>
      <x:c r="B1848" s="106" t="str">
        <x:v>SEARCH | point 3 | DAC 5.00 | CTRL X 0.39157 | X 0.39307 | Y 0.14340 | Z 0.24287 | TOTAL 0.48422 | error -69.41 % | MAD 4.84 % | CV 3.84 % | coh 79.8 % | dominant X | axis fraction 100.0 % | VALID</x:v>
      </x:c>
      <x:c r="C1848" t="str">
        <x:v>Pasted text(56).txt</x:v>
      </x:c>
    </x:row>
    <x:row r="1849">
      <x:c r="A1849" t="n">
        <x:v>1848</x:v>
      </x:c>
      <x:c r="B1849" s="106" t="str">
        <x:v>SEARCH | point 4 | DAC 6.00 | CTRL X 0.49326 | X 0.49526 | Y 0.19373 | Z 0.33316 | TOTAL 0.62802 | error -61.46 % | MAD 2.99 % | CV 2.64 % | coh 84.7 % | dominant X | axis fraction 100.0 % | VALID</x:v>
      </x:c>
      <x:c r="C1849" t="str">
        <x:v>Pasted text(56).txt</x:v>
      </x:c>
    </x:row>
    <x:row r="1850">
      <x:c r="A1850" t="n">
        <x:v>1849</x:v>
      </x:c>
      <x:c r="B1850" s="106" t="str">
        <x:v>SEARCH | point 5 | DAC 7.00 | CTRL X 0.60838 | X 0.60387 | Y 0.23504 | Z 0.37828 | TOTAL 0.75039 | error -52.47 % | MAD 4.27 % | CV 4.07 % | coh 88.2 % | dominant X | axis fraction 100.0 % | VALID</x:v>
      </x:c>
      <x:c r="C1850" t="str">
        <x:v>Pasted text(56).txt</x:v>
      </x:c>
    </x:row>
    <x:row r="1851">
      <x:c r="A1851" t="n">
        <x:v>1850</x:v>
      </x:c>
      <x:c r="B1851" s="106" t="str">
        <x:v>SEARCH | point 6 | DAC 8.00 | CTRL X 0.73559 | X 0.72902 | Y 0.25869 | Z 0.45470 | TOTAL 0.89732 | error -42.53 % | MAD 1.23 % | CV 2.33 % | coh 90.5 % | dominant X | axis fraction 100.0 % | VALID</x:v>
      </x:c>
      <x:c r="C1851" t="str">
        <x:v>Pasted text(56).txt</x:v>
      </x:c>
    </x:row>
    <x:row r="1852">
      <x:c r="A1852" t="n">
        <x:v>1851</x:v>
      </x:c>
      <x:c r="B1852" s="106" t="str">
        <x:v>SEARCH | point 7 | DAC 9.00 | CTRL X 0.84009 | X 0.84637 | Y 0.30785 | Z 0.51331 | TOTAL 1.03677 | error -34.37 % | MAD 0.01 % | CV 1.29 % | coh 90.5 % | dominant X | axis fraction 100.0 % | VALID</x:v>
      </x:c>
      <x:c r="C1852" t="str">
        <x:v>Pasted text(56).txt</x:v>
      </x:c>
    </x:row>
    <x:row r="1853">
      <x:c r="A1853" t="n">
        <x:v>1852</x:v>
      </x:c>
      <x:c r="B1853" s="106" t="str">
        <x:v>SEARCH | point 8 | DAC 9.50 | CTRL X 0.91227 | X 0.91025 | Y 0.31206 | Z 0.52975 | TOTAL 1.09858 | error -28.73 % | MAD 3.16 % | CV 2.48 % | coh 92.5 % | dominant X | axis fraction 100.0 % | VALID</x:v>
      </x:c>
      <x:c r="C1853" t="str">
        <x:v>Pasted text(56).txt</x:v>
      </x:c>
    </x:row>
    <x:row r="1854">
      <x:c r="A1854" t="n">
        <x:v>1853</x:v>
      </x:c>
      <x:c r="B1854" s="106" t="str">
        <x:v>SEARCH | point 9 | DAC 10.00 | CTRL X 0.97587 | X 0.97941 | Y 0.33195 | Z 0.55333 | TOTAL 1.17295 | error -23.76 % | MAD 1.35 % | CV 1.49 % | coh 91.8 % | dominant X | axis fraction 100.0 % | VALID</x:v>
      </x:c>
      <x:c r="C1854" t="str">
        <x:v>Pasted text(56).txt</x:v>
      </x:c>
    </x:row>
    <x:row r="1855">
      <x:c r="A1855" t="n">
        <x:v>1854</x:v>
      </x:c>
      <x:c r="B1855" s="106" t="str">
        <x:v>SEARCH | point 10 | DAC 10.50 | CTRL X 1.03948 | X 1.04219 | Y 0.35917 | Z 0.60133 | TOTAL 1.25578 | error -18.79 % | MAD 2.41 % | CV 2.02 % | coh 93.6 % | dominant X | axis fraction 100.0 % | VALID</x:v>
      </x:c>
      <x:c r="C1855" t="str">
        <x:v>Pasted text(56).txt</x:v>
      </x:c>
    </x:row>
    <x:row r="1856">
      <x:c r="A1856" t="n">
        <x:v>1855</x:v>
      </x:c>
      <x:c r="B1856" s="106" t="str">
        <x:v>SEARCH | point 11 | DAC 11.00 | CTRL X 1.14534 | X 1.13900 | Y 0.38036 | Z 0.61830 | TOTAL 1.35070 | error -10.52 % | MAD 1.87 % | CV 2.16 % | coh 94.2 % | dominant X | axis fraction 100.0 % | VALID</x:v>
      </x:c>
      <x:c r="C1856" t="str">
        <x:v>Pasted text(56).txt</x:v>
      </x:c>
    </x:row>
    <x:row r="1857">
      <x:c r="A1857" t="n">
        <x:v>1856</x:v>
      </x:c>
      <x:c r="B1857" s="106" t="str">
        <x:v>SEARCH | point 12 | DAC 11.25 | CTRL X 1.14092 | X 1.13814 | Y 0.39981 | Z 0.62614 | TOTAL 1.35915 | error -10.87 % | MAD 1.11 % | CV 1.14 % | coh 93.3 % | dominant X | axis fraction 100.0 % | VALID</x:v>
      </x:c>
      <x:c r="C1857" t="str">
        <x:v>Pasted text(56).txt</x:v>
      </x:c>
    </x:row>
    <x:row r="1858">
      <x:c r="A1858" t="n">
        <x:v>1857</x:v>
      </x:c>
      <x:c r="B1858" s="106" t="str">
        <x:v>SEARCH | point 13 | DAC 11.50 | CTRL X 1.18230 | X 1.17742 | Y 0.38014 | Z 0.62106 | TOTAL 1.38460 | error -7.63 % | MAD 0.12 % | CV 0.79 % | coh 94.2 % | dominant X | axis fraction 100.0 % | VALID</x:v>
      </x:c>
      <x:c r="C1858" t="str">
        <x:v>Pasted text(56).txt</x:v>
      </x:c>
    </x:row>
    <x:row r="1859">
      <x:c r="A1859" t="n">
        <x:v>1858</x:v>
      </x:c>
      <x:c r="B1859" s="106" t="str">
        <x:v>SEARCH | point 14 | DAC 11.75 | CTRL X 1.22487 | X 1.22801 | Y 0.40989 | Z 0.67352 | TOTAL 1.45964 | error -4.31 % | MAD 0.58 % | CV 0.81 % | coh 94.2 % | dominant X | axis fraction 100.0 % | IN TARGET BAND</x:v>
      </x:c>
      <x:c r="C1859" t="str">
        <x:v>Pasted text(56).txt</x:v>
      </x:c>
    </x:row>
    <x:row r="1860">
      <x:c r="A1860" t="n">
        <x:v>1859</x:v>
      </x:c>
      <x:c r="B1860" s="106" t="str"/>
      <x:c r="C1860" t="str">
        <x:v>Pasted text(56).txt</x:v>
      </x:c>
    </x:row>
    <x:row r="1861">
      <x:c r="A1861" t="n">
        <x:v>1860</x:v>
      </x:c>
      <x:c r="B1861" s="106" t="str">
        <x:v>LOCAL 0.25-DAC X-AXIS FINE SCAN</x:v>
      </x:c>
      <x:c r="C1861" t="str">
        <x:v>Pasted text(56).txt</x:v>
      </x:c>
    </x:row>
    <x:row r="1862">
      <x:c r="A1862" t="n">
        <x:v>1861</x:v>
      </x:c>
      <x:c r="B1862" s="106" t="str">
        <x:v>Only a valid point actually inside the X target band may be selected.</x:v>
      </x:c>
      <x:c r="C1862" t="str">
        <x:v>Pasted text(56).txt</x:v>
      </x:c>
    </x:row>
    <x:row r="1863">
      <x:c r="A1863" t="n">
        <x:v>1862</x:v>
      </x:c>
      <x:c r="B1863" s="106" t="str">
        <x:v>FINE | point 1 | DAC 10.75 | CTRL X 1.08865 | X 1.08891 | Y 0.36543 | Z 0.59842 | TOTAL 1.29518 | error -14.95 % | MAD 0.78 % | CV 0.56 % | coh 92.8 % | dominant X | axis fraction 100.0 % | VALID</x:v>
      </x:c>
      <x:c r="C1863" t="str">
        <x:v>Pasted text(56).txt</x:v>
      </x:c>
    </x:row>
    <x:row r="1864">
      <x:c r="A1864" t="n">
        <x:v>1863</x:v>
      </x:c>
      <x:c r="B1864" s="106" t="str">
        <x:v>FINE | point 2 | DAC 11.00 | CTRL X 1.10785 | X 1.11083 | Y 0.39198 | Z 0.61266 | TOTAL 1.32781 | error -13.45 % | MAD 0.40 % | CV 0.71 % | coh 92.9 % | dominant X | axis fraction 100.0 % | VALID</x:v>
      </x:c>
      <x:c r="C1864" t="str">
        <x:v>Pasted text(56).txt</x:v>
      </x:c>
    </x:row>
    <x:row r="1865">
      <x:c r="A1865" t="n">
        <x:v>1864</x:v>
      </x:c>
      <x:c r="B1865" s="106" t="str">
        <x:v>FINE | point 3 | DAC 11.25 | CTRL X 1.15136 | X 1.15920 | Y 0.39981 | Z 0.63221 | TOTAL 1.37972 | error -10.05 % | MAD 0.12 % | CV 1.24 % | coh 94.1 % | dominant X | axis fraction 100.0 % | VALID</x:v>
      </x:c>
      <x:c r="C1865" t="str">
        <x:v>Pasted text(56).txt</x:v>
      </x:c>
    </x:row>
    <x:row r="1866">
      <x:c r="A1866" t="n">
        <x:v>1865</x:v>
      </x:c>
      <x:c r="B1866" s="106" t="str">
        <x:v>FINE | point 4 | DAC 11.50 | CTRL X 1.16666 | X 1.17676 | Y 0.39818 | Z 0.63278 | TOTAL 1.39421 | error -8.85 % | MAD 0.46 % | CV 1.76 % | coh 93.8 % | dominant X | axis fraction 100.0 % | VALID</x:v>
      </x:c>
      <x:c r="C1866" t="str">
        <x:v>Pasted text(56).txt</x:v>
      </x:c>
    </x:row>
    <x:row r="1867">
      <x:c r="A1867" t="n">
        <x:v>1866</x:v>
      </x:c>
      <x:c r="B1867" s="106" t="str">
        <x:v>FINE | point 5 | DAC 11.75 | CTRL X 1.22296 | X 1.21532 | Y 0.41507 | Z 0.65624 | TOTAL 1.44229 | error -4.46 % | MAD 0.71 % | CV 1.53 % | coh 93.2 % | dominant X | axis fraction 100.0 % | IN TARGET BAND</x:v>
      </x:c>
      <x:c r="C1867" t="str">
        <x:v>Pasted text(56).txt</x:v>
      </x:c>
    </x:row>
    <x:row r="1868">
      <x:c r="A1868" t="n">
        <x:v>1867</x:v>
      </x:c>
      <x:c r="B1868" s="106" t="str">
        <x:v>FINE | point 6 | DAC 12.00 | CTRL X 1.25863 | X 1.25410 | Y 0.42411 | Z 0.65194 | TOTAL 1.47591 | error -1.67 % | MAD 2.37 % | CV 2.17 % | coh 94.1 % | dominant X | axis fraction 100.0 % | IN TARGET BAND</x:v>
      </x:c>
      <x:c r="C1868" t="str">
        <x:v>Pasted text(56).txt</x:v>
      </x:c>
    </x:row>
    <x:row r="1869">
      <x:c r="A1869" t="n">
        <x:v>1868</x:v>
      </x:c>
      <x:c r="B1869" s="106" t="str">
        <x:v>FINE | point 7 | DAC 12.25 | CTRL X 1.25984 | X 1.26114 | Y 0.43047 | Z 0.68483 | TOTAL 1.49833 | error -1.58 % | MAD 1.71 % | CV 1.31 % | coh 94.0 % | dominant X | axis fraction 100.0 % | IN TARGET BAND</x:v>
      </x:c>
      <x:c r="C1869" t="str">
        <x:v>Pasted text(56).txt</x:v>
      </x:c>
    </x:row>
    <x:row r="1870">
      <x:c r="A1870" t="n">
        <x:v>1869</x:v>
      </x:c>
      <x:c r="B1870" s="106" t="str">
        <x:v>FINE | point 8 | DAC 12.50 | CTRL X 1.30296 | X 1.29324 | Y 0.43328 | Z 0.70766 | TOTAL 1.53657 | error 1.79 % | MAD 2.10 % | CV 2.64 % | coh 94.4 % | dominant X | axis fraction 100.0 % | IN TARGET BAND</x:v>
      </x:c>
      <x:c r="C1870" t="str">
        <x:v>Pasted text(56).txt</x:v>
      </x:c>
    </x:row>
    <x:row r="1871">
      <x:c r="A1871" t="n">
        <x:v>1870</x:v>
      </x:c>
      <x:c r="B1871" s="106" t="str">
        <x:v>FINE | point 9 | DAC 12.75 | CTRL X 1.32876 | X 1.33463 | Y 0.45324 | Z 0.72973 | TOTAL 1.58735 | error 3.81 % | MAD 0.30 % | CV 0.94 % | coh 93.4 % | dominant X | axis fraction 100.0 % | IN TARGET BAND</x:v>
      </x:c>
      <x:c r="C1871" t="str">
        <x:v>Pasted text(56).txt</x:v>
      </x:c>
    </x:row>
    <x:row r="1872">
      <x:c r="A1872" t="n">
        <x:v>1871</x:v>
      </x:c>
      <x:c r="B1872" s="106" t="str"/>
      <x:c r="C1872" t="str">
        <x:v>Pasted text(56).txt</x:v>
      </x:c>
    </x:row>
    <x:row r="1873">
      <x:c r="A1873" t="n">
        <x:v>1872</x:v>
      </x:c>
      <x:c r="B1873" s="106" t="str">
        <x:v>LONG VALIDATION AT FIXED DAC 12.25</x:v>
      </x:c>
      <x:c r="C1873" t="str">
        <x:v>Pasted text(56).txt</x:v>
      </x:c>
    </x:row>
    <x:row r="1874">
      <x:c r="A1874" t="n">
        <x:v>1873</x:v>
      </x:c>
      <x:c r="B1874" s="106" t="str">
        <x:v>FINAL | point 1 | DAC 12.25 | CTRL X 1.27020 | X 1.27170 | Y 0.43550 | Z 0.69234 | TOTAL 1.51221 | error -0.77 % | MAD 0.78 % | CV 1.45 % | coh 93.5 % | dominant X | axis fraction 100.0 % | IN TARGET BAND</x:v>
      </x:c>
      <x:c r="C1874" t="str">
        <x:v>Pasted text(56).txt</x:v>
      </x:c>
    </x:row>
    <x:row r="1875">
      <x:c r="A1875" t="n">
        <x:v>1874</x:v>
      </x:c>
      <x:c r="B1875" s="106" t="str">
        <x:v>FINAL | point 2 | DAC 12.25 | CTRL X 1.27084 | X 1.26548 | Y 0.44570 | Z 0.67588 | TOTAL 1.50244 | error -0.72 % | MAD 1.47 % | CV 1.43 % | coh 93.0 % | dominant X | axis fraction 100.0 % | IN TARGET BAND</x:v>
      </x:c>
      <x:c r="C1875" t="str">
        <x:v>Pasted text(56).txt</x:v>
      </x:c>
    </x:row>
    <x:row r="1876">
      <x:c r="A1876" t="n">
        <x:v>1875</x:v>
      </x:c>
      <x:c r="B1876" s="106" t="str">
        <x:v>VALIDATION ACCEPTED | pair drift 0.05 %</x:v>
      </x:c>
      <x:c r="C1876" t="str">
        <x:v>Pasted text(56).txt</x:v>
      </x:c>
    </x:row>
    <x:row r="1877">
      <x:c r="A1877" t="n">
        <x:v>1876</x:v>
      </x:c>
      <x:c r="B1877" s="106" t="str"/>
      <x:c r="C1877" t="str">
        <x:v>Pasted text(56).txt</x:v>
      </x:c>
    </x:row>
    <x:row r="1878">
      <x:c r="A1878" t="n">
        <x:v>1877</x:v>
      </x:c>
      <x:c r="B1878" s="106" t="str">
        <x:v>FINAL VALIDATED BLIND FFT VERIFICATION</x:v>
      </x:c>
      <x:c r="C1878" t="str">
        <x:v>Pasted text(56).txt</x:v>
      </x:c>
    </x:row>
    <x:row r="1879">
      <x:c r="A1879" t="n">
        <x:v>1878</x:v>
      </x:c>
      <x:c r="B1879" s="106" t="str">
        <x:v>Commanded frequency: 268.00000 Hz</x:v>
      </x:c>
      <x:c r="C1879" t="str">
        <x:v>Pasted text(56).txt</x:v>
      </x:c>
    </x:row>
    <x:row r="1880">
      <x:c r="A1880" t="n">
        <x:v>1879</x:v>
      </x:c>
      <x:c r="B1880" s="106" t="str">
        <x:v>Accepted DAC: 12.25</x:v>
      </x:c>
      <x:c r="C1880" t="str">
        <x:v>Pasted text(56).txt</x:v>
      </x:c>
    </x:row>
    <x:row r="1881">
      <x:c r="A1881" t="n">
        <x:v>1880</x:v>
      </x:c>
      <x:c r="B1881" s="106" t="str">
        <x:v>Axis,Frequency_Hz,Amplitude_mps2,SNR_dB,Status</x:v>
      </x:c>
      <x:c r="C1881" t="str">
        <x:v>Pasted text(56).txt</x:v>
      </x:c>
    </x:row>
    <x:row r="1882">
      <x:c r="A1882" t="n">
        <x:v>1881</x:v>
      </x:c>
      <x:c r="B1882" s="106" t="str">
        <x:v>X,268.02105,1.14560,32.48,VALID</x:v>
      </x:c>
      <x:c r="C1882" t="str">
        <x:v>Pasted text(56).txt</x:v>
      </x:c>
    </x:row>
    <x:row r="1883">
      <x:c r="A1883" t="n">
        <x:v>1882</x:v>
      </x:c>
      <x:c r="B1883" s="106" t="str">
        <x:v>Y,268.03189,0.38297,26.51,VALID</x:v>
      </x:c>
      <x:c r="C1883" t="str">
        <x:v>Pasted text(56).txt</x:v>
      </x:c>
    </x:row>
    <x:row r="1884">
      <x:c r="A1884" t="n">
        <x:v>1883</x:v>
      </x:c>
      <x:c r="B1884" s="106" t="str">
        <x:v>Z,267.98522,0.63052,29.87,VALID</x:v>
      </x:c>
      <x:c r="C1884" t="str">
        <x:v>Pasted text(56).txt</x:v>
      </x:c>
    </x:row>
    <x:row r="1885">
      <x:c r="A1885" t="n">
        <x:v>1884</x:v>
      </x:c>
      <x:c r="B1885" s="106" t="str">
        <x:v>Combined frequency: 268.01439 Hz | difference 0.01439 Hz</x:v>
      </x:c>
      <x:c r="C1885" t="str">
        <x:v>Pasted text(56).txt</x:v>
      </x:c>
    </x:row>
    <x:row r="1886">
      <x:c r="A1886" t="n">
        <x:v>1885</x:v>
      </x:c>
      <x:c r="B1886" s="106" t="str">
        <x:v>Combined X/Y/Z/TOTAL: 1.04540 / 0.35039 / 0.57149 / 1.24187</x:v>
      </x:c>
      <x:c r="C1886" t="str">
        <x:v>Pasted text(56).txt</x:v>
      </x:c>
    </x:row>
    <x:row r="1887">
      <x:c r="A1887" t="n">
        <x:v>1886</x:v>
      </x:c>
      <x:c r="B1887" s="106" t="str">
        <x:v>SNR: 30.99 dB | dominant axis X</x:v>
      </x:c>
      <x:c r="C1887" t="str">
        <x:v>Pasted text(56).txt</x:v>
      </x:c>
    </x:row>
    <x:row r="1888">
      <x:c r="A1888" t="n">
        <x:v>1887</x:v>
      </x:c>
      <x:c r="B1888" s="106" t="str">
        <x:v>Frequency verification: PASS</x:v>
      </x:c>
      <x:c r="C1888" t="str">
        <x:v>Pasted text(56).txt</x:v>
      </x:c>
    </x:row>
    <x:row r="1889">
      <x:c r="A1889" t="n">
        <x:v>1888</x:v>
      </x:c>
      <x:c r="B1889" s="106" t="str">
        <x:v>Y/Z dominance: DIAGNOSTIC ONLY — ignored for pass/fail</x:v>
      </x:c>
      <x:c r="C1889" t="str">
        <x:v>Pasted text(56).txt</x:v>
      </x:c>
    </x:row>
    <x:row r="1890">
      <x:c r="A1890" t="n">
        <x:v>1889</x:v>
      </x:c>
      <x:c r="B1890" s="106" t="str"/>
      <x:c r="C1890" t="str">
        <x:v>Pasted text(56).txt</x:v>
      </x:c>
    </x:row>
    <x:row r="1891">
      <x:c r="A1891" t="n">
        <x:v>1890</x:v>
      </x:c>
      <x:c r="B1891" s="106" t="str">
        <x:v>FIXED-DAC HOLD VALIDATION</x:v>
      </x:c>
      <x:c r="C1891" t="str">
        <x:v>Pasted text(56).txt</x:v>
      </x:c>
    </x:row>
    <x:row r="1892">
      <x:c r="A1892" t="n">
        <x:v>1891</x:v>
      </x:c>
      <x:c r="B1892" s="106" t="str">
        <x:v>DAC remains fixed at 12.25 for 10 records.</x:v>
      </x:c>
      <x:c r="C1892" t="str">
        <x:v>Pasted text(56).txt</x:v>
      </x:c>
    </x:row>
    <x:row r="1893">
      <x:c r="A1893" t="n">
        <x:v>1892</x:v>
      </x:c>
      <x:c r="B1893" s="106" t="str">
        <x:v>HOLD | point 1 | DAC 12.25 | CTRL X 1.26532 | X 1.26235 | Y 0.41884 | Z 0.69170 | TOTAL 1.49936 | error -1.15 % | MAD 1.29 % | CV 1.24 % | coh 92.8 % | dominant X | axis fraction 100.0 % | IN TARGET BAND</x:v>
      </x:c>
      <x:c r="C1893" t="str">
        <x:v>Pasted text(56).txt</x:v>
      </x:c>
    </x:row>
    <x:row r="1894">
      <x:c r="A1894" t="n">
        <x:v>1893</x:v>
      </x:c>
      <x:c r="B1894" s="106" t="str">
        <x:v>HOLD | point 2 | DAC 12.25 | CTRL X 1.24029 | X 1.23929 | Y 0.43261 | Z 0.69403 | TOTAL 1.48497 | error -3.10 % | MAD 0.71 % | CV 0.60 % | coh 92.1 % | dominant X | axis fraction 100.0 % | IN TARGET BAND</x:v>
      </x:c>
      <x:c r="C1894" t="str">
        <x:v>Pasted text(56).txt</x:v>
      </x:c>
    </x:row>
    <x:row r="1895">
      <x:c r="A1895" t="n">
        <x:v>1894</x:v>
      </x:c>
      <x:c r="B1895" s="106" t="str">
        <x:v>HOLD | point 3 | DAC 12.25 | CTRL X 1.27495 | X 1.27437 | Y 0.43813 | Z 0.68407 | TOTAL 1.51140 | error -0.39 % | MAD 1.01 % | CV 0.75 % | coh 93.9 % | dominant X | axis fraction 100.0 % | IN TARGET BAND</x:v>
      </x:c>
      <x:c r="C1895" t="str">
        <x:v>Pasted text(56).txt</x:v>
      </x:c>
    </x:row>
    <x:row r="1896">
      <x:c r="A1896" t="n">
        <x:v>1895</x:v>
      </x:c>
      <x:c r="B1896" s="106" t="str">
        <x:v>HOLD | point 4 | DAC 12.25 | CTRL X 1.24872 | X 1.26220 | Y 0.44375 | Z 0.68523 | TOTAL 1.50327 | error -2.44 % | MAD 1.20 % | CV 2.57 % | coh 93.6 % | dominant X | axis fraction 100.0 % | IN TARGET BAND</x:v>
      </x:c>
      <x:c r="C1896" t="str">
        <x:v>Pasted text(56).txt</x:v>
      </x:c>
    </x:row>
    <x:row r="1897">
      <x:c r="A1897" t="n">
        <x:v>1896</x:v>
      </x:c>
      <x:c r="B1897" s="106" t="str">
        <x:v>HOLD | point 5 | DAC 12.25 | CTRL X 1.25577 | X 1.25468 | Y 0.43062 | Z 0.68689 | TOTAL 1.49397 | error -1.89 % | MAD 1.66 % | CV 1.25 % | coh 93.3 % | dominant X | axis fraction 100.0 % | IN TARGET BAND</x:v>
      </x:c>
      <x:c r="C1897" t="str">
        <x:v>Pasted text(56).txt</x:v>
      </x:c>
    </x:row>
    <x:row r="1898">
      <x:c r="A1898" t="n">
        <x:v>1897</x:v>
      </x:c>
      <x:c r="B1898" s="106" t="str">
        <x:v>HOLD | point 6 | DAC 12.25 | CTRL X 1.26062 | X 1.25454 | Y 0.43997 | Z 0.71362 | TOTAL 1.50904 | error -1.51 % | MAD 0.16 % | CV 0.94 % | coh 93.6 % | dominant X | axis fraction 100.0 % | IN TARGET BAND</x:v>
      </x:c>
      <x:c r="C1898" t="str">
        <x:v>Pasted text(56).txt</x:v>
      </x:c>
    </x:row>
    <x:row r="1899">
      <x:c r="A1899" t="n">
        <x:v>1898</x:v>
      </x:c>
      <x:c r="B1899" s="106" t="str">
        <x:v>HOLD | point 7 | DAC 12.25 | CTRL X 1.25566 | X 1.25431 | Y 0.42762 | Z 0.68984 | TOTAL 1.49416 | error -1.90 % | MAD 0.65 % | CV 0.61 % | coh 93.4 % | dominant X | axis fraction 100.0 % | IN TARGET BAND</x:v>
      </x:c>
      <x:c r="C1899" t="str">
        <x:v>Pasted text(56).txt</x:v>
      </x:c>
    </x:row>
    <x:row r="1900">
      <x:c r="A1900" t="n">
        <x:v>1899</x:v>
      </x:c>
      <x:c r="B1900" s="106" t="str">
        <x:v>HOLD | point 8 | DAC 12.25 | CTRL X 1.24801 | X 1.24568 | Y 0.42991 | Z 0.69234 | TOTAL 1.48882 | error -2.50 % | MAD 0.79 % | CV 0.83 % | coh 93.5 % | dominant X | axis fraction 100.0 % | IN TARGET BAND</x:v>
      </x:c>
      <x:c r="C1900" t="str">
        <x:v>Pasted text(56).txt</x:v>
      </x:c>
    </x:row>
    <x:row r="1901">
      <x:c r="A1901" t="n">
        <x:v>1900</x:v>
      </x:c>
      <x:c r="B1901" s="106" t="str">
        <x:v>HOLD | point 9 | DAC 12.25 | CTRL X 1.25761 | X 1.25862 | Y 0.43071 | Z 0.70994 | TOTAL 1.50817 | error -1.75 % | MAD 0.21 % | CV 0.27 % | coh 93.8 % | dominant X | axis fraction 100.0 % | IN TARGET BAND</x:v>
      </x:c>
      <x:c r="C1901" t="str">
        <x:v>Pasted text(56).txt</x:v>
      </x:c>
    </x:row>
    <x:row r="1902">
      <x:c r="A1902" t="n">
        <x:v>1901</x:v>
      </x:c>
      <x:c r="B1902" s="106" t="str">
        <x:v>HOLD | point 10 | DAC 12.25 | CTRL X 1.24414 | X 1.24903 | Y 0.41997 | Z 0.70455 | TOTAL 1.49431 | error -2.80 % | MAD 0.41 % | CV 0.93 % | coh 92.4 % | dominant X | axis fraction 100.0 % | IN TARGET BAND</x:v>
      </x:c>
      <x:c r="C1902" t="str">
        <x:v>Pasted text(56).txt</x:v>
      </x:c>
    </x:row>
    <x:row r="1903">
      <x:c r="A1903" t="n">
        <x:v>1902</x:v>
      </x:c>
      <x:c r="B1903" s="106" t="str"/>
      <x:c r="C1903" t="str">
        <x:v>Pasted text(56).txt</x:v>
      </x:c>
    </x:row>
    <x:row r="1904">
      <x:c r="A1904" t="n">
        <x:v>1903</x:v>
      </x:c>
      <x:c r="B1904" s="106" t="str">
        <x:v>HOLD SUMMARY</x:v>
      </x:c>
      <x:c r="C1904" t="str">
        <x:v>Pasted text(56).txt</x:v>
      </x:c>
    </x:row>
    <x:row r="1905">
      <x:c r="A1905" t="n">
        <x:v>1904</x:v>
      </x:c>
      <x:c r="B1905" s="106" t="str">
        <x:v>Valid / requested: 10 / 10</x:v>
      </x:c>
      <x:c r="C1905" t="str">
        <x:v>Pasted text(56).txt</x:v>
      </x:c>
    </x:row>
    <x:row r="1906">
      <x:c r="A1906" t="n">
        <x:v>1905</x:v>
      </x:c>
      <x:c r="B1906" s="106" t="str">
        <x:v>In band / requested: 10 / 10 = 100.0 %</x:v>
      </x:c>
      <x:c r="C1906" t="str">
        <x:v>Pasted text(56).txt</x:v>
      </x:c>
    </x:row>
    <x:row r="1907">
      <x:c r="A1907" t="n">
        <x:v>1906</x:v>
      </x:c>
      <x:c r="B1907" s="106" t="str">
        <x:v>Mean / SD / CV: 1.25511 / 0.01036 / 0.83 %</x:v>
      </x:c>
      <x:c r="C1907" t="str">
        <x:v>Pasted text(56).txt</x:v>
      </x:c>
    </x:row>
    <x:row r="1908">
      <x:c r="A1908" t="n">
        <x:v>1907</x:v>
      </x:c>
      <x:c r="B1908" s="106" t="str">
        <x:v>Min / Max: 1.24029 / 1.27495</x:v>
      </x:c>
      <x:c r="C1908" t="str">
        <x:v>Pasted text(56).txt</x:v>
      </x:c>
    </x:row>
    <x:row r="1909">
      <x:c r="A1909" t="n">
        <x:v>1908</x:v>
      </x:c>
      <x:c r="B1909" s="106" t="str">
        <x:v>HOLD RESULT: PASS</x:v>
      </x:c>
      <x:c r="C1909" t="str">
        <x:v>Pasted text(56).txt</x:v>
      </x:c>
    </x:row>
    <x:row r="1910">
      <x:c r="A1910" t="n">
        <x:v>1909</x:v>
      </x:c>
      <x:c r="B1910" s="106" t="str"/>
      <x:c r="C1910" t="str">
        <x:v>Pasted text(56).txt</x:v>
      </x:c>
    </x:row>
    <x:row r="1911">
      <x:c r="A1911" t="n">
        <x:v>1910</x:v>
      </x:c>
      <x:c r="B1911" s="106" t="str">
        <x:v>RUN RESULT: PASS</x:v>
      </x:c>
      <x:c r="C1911" t="str">
        <x:v>Pasted text(56).txt</x:v>
      </x:c>
    </x:row>
    <x:row r="1912">
      <x:c r="A1912" t="n">
        <x:v>1911</x:v>
      </x:c>
      <x:c r="B1912" s="106" t="str">
        <x:v>Selected DAC: 12.25</x:v>
      </x:c>
      <x:c r="C1912" t="str">
        <x:v>Pasted text(56).txt</x:v>
      </x:c>
    </x:row>
    <x:row r="1913">
      <x:c r="A1913" t="n">
        <x:v>1912</x:v>
      </x:c>
      <x:c r="B1913" s="106" t="str">
        <x:v>Validated amplitude: 1.27052 m/s^2 | error -0.74 %</x:v>
      </x:c>
      <x:c r="C1913" t="str">
        <x:v>Pasted text(56).txt</x:v>
      </x:c>
    </x:row>
    <x:row r="1914">
      <x:c r="A1914" t="n">
        <x:v>1913</x:v>
      </x:c>
      <x:c r="B1914" s="106" t="str">
        <x:v>FFT frequency: 268.01439 Hz | difference 0.01439 Hz</x:v>
      </x:c>
      <x:c r="C1914" t="str">
        <x:v>Pasted text(56).txt</x:v>
      </x:c>
    </x:row>
    <x:row r="1915">
      <x:c r="A1915" t="n">
        <x:v>1914</x:v>
      </x:c>
      <x:c r="B1915" s="106" t="str"/>
      <x:c r="C1915" t="str">
        <x:v>Pasted text(56).txt</x:v>
      </x:c>
    </x:row>
    <x:row r="1916">
      <x:c r="A1916" t="n">
        <x:v>1915</x:v>
      </x:c>
      <x:c r="B1916" s="106" t="str">
        <x:v>VISATON OFF. RESTING 5.0 s BEFORE THE NEXT COMPLETELY FRESH RUN.</x:v>
      </x:c>
      <x:c r="C1916" t="str">
        <x:v>Pasted text(56).txt</x:v>
      </x:c>
    </x:row>
    <x:row r="1917">
      <x:c r="A1917" t="n">
        <x:v>1916</x:v>
      </x:c>
      <x:c r="B1917" s="106" t="str"/>
      <x:c r="C1917" t="str">
        <x:v>Pasted text(56).txt</x:v>
      </x:c>
    </x:row>
    <x:row r="1918">
      <x:c r="A1918" t="n">
        <x:v>1917</x:v>
      </x:c>
      <x:c r="B1918" s="106" t="str">
        <x:v>################################################################################</x:v>
      </x:c>
      <x:c r="C1918" t="str">
        <x:v>Pasted text(56).txt</x:v>
      </x:c>
    </x:row>
    <x:row r="1919">
      <x:c r="A1919" t="n">
        <x:v>1918</x:v>
      </x:c>
      <x:c r="B1919" s="106" t="str">
        <x:v>INDEPENDENT TARGET-AMPLITUDE RUN 5 OF 5</x:v>
      </x:c>
      <x:c r="C1919" t="str">
        <x:v>Pasted text(56).txt</x:v>
      </x:c>
    </x:row>
    <x:row r="1920">
      <x:c r="A1920" t="n">
        <x:v>1919</x:v>
      </x:c>
      <x:c r="B1920" s="106" t="str">
        <x:v>################################################################################</x:v>
      </x:c>
      <x:c r="C1920" t="str">
        <x:v>Pasted text(56).txt</x:v>
      </x:c>
    </x:row>
    <x:row r="1921">
      <x:c r="A1921" t="n">
        <x:v>1920</x:v>
      </x:c>
      <x:c r="B1921" s="106" t="str">
        <x:v>Frequency: 268.00000 Hz</x:v>
      </x:c>
      <x:c r="C1921" t="str">
        <x:v>Pasted text(56).txt</x:v>
      </x:c>
    </x:row>
    <x:row r="1922">
      <x:c r="A1922" t="n">
        <x:v>1921</x:v>
      </x:c>
      <x:c r="B1922" s="106" t="str">
        <x:v>Target X amplitude: 1.28000 m/s^2 peak, tolerance +/-7.50 %</x:v>
      </x:c>
      <x:c r="C1922" t="str">
        <x:v>Pasted text(56).txt</x:v>
      </x:c>
    </x:row>
    <x:row r="1923">
      <x:c r="A1923" t="n">
        <x:v>1922</x:v>
      </x:c>
      <x:c r="B1923" s="106" t="str">
        <x:v>This run starts from DAC 1.00 and ignores every earlier selected DAC.</x:v>
      </x:c>
      <x:c r="C1923" t="str">
        <x:v>Pasted text(56).txt</x:v>
      </x:c>
    </x:row>
    <x:row r="1924">
      <x:c r="A1924" t="n">
        <x:v>1923</x:v>
      </x:c>
      <x:c r="B1924" s="106" t="str">
        <x:v>ADXL2 DEVID/DATA_FORMAT/BW_RATE/POWER_CTL: 0xE5 / 0xB / 0xE / 0x8</x:v>
      </x:c>
      <x:c r="C1924" t="str">
        <x:v>Pasted text(56).txt</x:v>
      </x:c>
    </x:row>
    <x:row r="1925">
      <x:c r="A1925" t="n">
        <x:v>1924</x:v>
      </x:c>
      <x:c r="B1925" s="106" t="str"/>
      <x:c r="C1925" t="str">
        <x:v>Pasted text(56).txt</x:v>
      </x:c>
    </x:row>
    <x:row r="1926">
      <x:c r="A1926" t="n">
        <x:v>1925</x:v>
      </x:c>
      <x:c r="B1926" s="106" t="str">
        <x:v>ACQUISITION ATTEMPT 1 OF 2</x:v>
      </x:c>
      <x:c r="C1926" t="str">
        <x:v>Pasted text(56).txt</x:v>
      </x:c>
    </x:row>
    <x:row r="1927">
      <x:c r="A1927" t="n">
        <x:v>1926</x:v>
      </x:c>
      <x:c r="B1927" s="106" t="str"/>
      <x:c r="C1927" t="str">
        <x:v>Pasted text(56).txt</x:v>
      </x:c>
    </x:row>
    <x:row r="1928">
      <x:c r="A1928" t="n">
        <x:v>1927</x:v>
      </x:c>
      <x:c r="B1928" s="106" t="str">
        <x:v>FRESH X-AXIS SEARCH FROM DAC 1.00 — OLD DAC VALUES ARE NOT USED</x:v>
      </x:c>
      <x:c r="C1928" t="str">
        <x:v>Pasted text(56).txt</x:v>
      </x:c>
    </x:row>
    <x:row r="1929">
      <x:c r="A1929" t="n">
        <x:v>1928</x:v>
      </x:c>
      <x:c r="B1929" s="106" t="str">
        <x:v>Y/Z are diagnostic only and cannot abort this search.</x:v>
      </x:c>
      <x:c r="C1929" t="str">
        <x:v>Pasted text(56).txt</x:v>
      </x:c>
    </x:row>
    <x:row r="1930">
      <x:c r="A1930" t="n">
        <x:v>1929</x:v>
      </x:c>
      <x:c r="B1930" s="106" t="str">
        <x:v>A real SPI fault, clipping, safety limit or confirmed X-response collapse will stop it.</x:v>
      </x:c>
      <x:c r="C1930" t="str">
        <x:v>Pasted text(56).txt</x:v>
      </x:c>
    </x:row>
    <x:row r="1931">
      <x:c r="A1931" t="n">
        <x:v>1930</x:v>
      </x:c>
      <x:c r="B1931" s="106" t="str">
        <x:v>SEARCH | point 1 | DAC 1.00 | CTRL X 0.01267 | X 0.01480 | Y 0.01907 | Z 0.03804 | TOTAL 0.04625 | error -99.01 % | MAD 51.02 % | CV 52.58 % | coh 8.0 % | dominant Z | axis fraction 38.9 % | BELOW MEASUREMENT FLOOR — SEARCH CONTINUES</x:v>
      </x:c>
      <x:c r="C1931" t="str">
        <x:v>Pasted text(56).txt</x:v>
      </x:c>
    </x:row>
    <x:row r="1932">
      <x:c r="A1932" t="n">
        <x:v>1931</x:v>
      </x:c>
      <x:c r="B1932" s="106" t="str">
        <x:v>SEARCH | point 2 | DAC 3.00 | CTRL X 0.17736 | X 0.17400 | Y 0.06593 | Z 0.13284 | TOTAL 0.23057 | error -86.14 % | MAD 2.99 % | CV 5.22 % | coh 59.2 % | dominant X | axis fraction 100.0 % | VALID</x:v>
      </x:c>
      <x:c r="C1932" t="str">
        <x:v>Pasted text(56).txt</x:v>
      </x:c>
    </x:row>
    <x:row r="1933">
      <x:c r="A1933" t="n">
        <x:v>1932</x:v>
      </x:c>
      <x:c r="B1933" s="106" t="str">
        <x:v>SEARCH | point 3 | DAC 5.00 | CTRL X 0.38352 | X 0.38890 | Y 0.14982 | Z 0.23424 | TOTAL 0.47850 | error -70.04 % | MAD 4.26 % | CV 5.05 % | coh 83.0 % | dominant X | axis fraction 100.0 % | VALID</x:v>
      </x:c>
      <x:c r="C1933" t="str">
        <x:v>Pasted text(56).txt</x:v>
      </x:c>
    </x:row>
    <x:row r="1934">
      <x:c r="A1934" t="n">
        <x:v>1933</x:v>
      </x:c>
      <x:c r="B1934" s="106" t="str">
        <x:v>SEARCH | point 4 | DAC 6.00 | CTRL X 0.48975 | X 0.48762 | Y 0.17947 | Z 0.31550 | TOTAL 0.60803 | error -61.74 % | MAD 6.70 % | CV 5.20 % | coh 85.2 % | dominant X | axis fraction 100.0 % | VALID</x:v>
      </x:c>
      <x:c r="C1934" t="str">
        <x:v>Pasted text(56).txt</x:v>
      </x:c>
    </x:row>
    <x:row r="1935">
      <x:c r="A1935" t="n">
        <x:v>1934</x:v>
      </x:c>
      <x:c r="B1935" s="106" t="str">
        <x:v>SEARCH | point 5 | DAC 7.00 | CTRL X 0.60850 | X 0.60644 | Y 0.23478 | Z 0.35146 | TOTAL 0.73961 | error -52.46 % | MAD 0.52 % | CV 0.91 % | coh 88.6 % | dominant X | axis fraction 100.0 % | VALID</x:v>
      </x:c>
      <x:c r="C1935" t="str">
        <x:v>Pasted text(56).txt</x:v>
      </x:c>
    </x:row>
    <x:row r="1936">
      <x:c r="A1936" t="n">
        <x:v>1935</x:v>
      </x:c>
      <x:c r="B1936" s="106" t="str">
        <x:v>SEARCH | point 6 | DAC 8.00 | CTRL X 0.72392 | X 0.72837 | Y 0.26176 | Z 0.44769 | TOTAL 0.89429 | error -43.44 % | MAD 1.88 % | CV 2.24 % | coh 90.8 % | dominant X | axis fraction 100.0 % | VALID</x:v>
      </x:c>
      <x:c r="C1936" t="str">
        <x:v>Pasted text(56).txt</x:v>
      </x:c>
    </x:row>
    <x:row r="1937">
      <x:c r="A1937" t="n">
        <x:v>1936</x:v>
      </x:c>
      <x:c r="B1937" s="106" t="str">
        <x:v>SEARCH | point 7 | DAC 9.00 | CTRL X 0.83453 | X 0.83407 | Y 0.30209 | Z 0.50474 | TOTAL 1.02083 | error -34.80 % | MAD 0.03 % | CV 0.12 % | coh 90.1 % | dominant X | axis fraction 100.0 % | VALID</x:v>
      </x:c>
      <x:c r="C1937" t="str">
        <x:v>Pasted text(56).txt</x:v>
      </x:c>
    </x:row>
    <x:row r="1938">
      <x:c r="A1938" t="n">
        <x:v>1937</x:v>
      </x:c>
      <x:c r="B1938" s="106" t="str">
        <x:v>SEARCH | point 8 | DAC 9.50 | CTRL X 0.89213 | X 0.90009 | Y 0.31182 | Z 0.51265 | TOTAL 1.08180 | error -30.30 % | MAD 0.22 % | CV 1.66 % | coh 91.7 % | dominant X | axis fraction 100.0 % | VALID</x:v>
      </x:c>
      <x:c r="C1938" t="str">
        <x:v>Pasted text(56).txt</x:v>
      </x:c>
    </x:row>
    <x:row r="1939">
      <x:c r="A1939" t="n">
        <x:v>1938</x:v>
      </x:c>
      <x:c r="B1939" s="106" t="str">
        <x:v>SEARCH | point 9 | DAC 10.00 | CTRL X 0.97762 | X 0.97800 | Y 0.34354 | Z 0.57950 | TOTAL 1.18768 | error -23.62 % | MAD 1.87 % | CV 1.32 % | coh 91.9 % | dominant X | axis fraction 100.0 % | VALID</x:v>
      </x:c>
      <x:c r="C1939" t="str">
        <x:v>Pasted text(56).txt</x:v>
      </x:c>
    </x:row>
    <x:row r="1940">
      <x:c r="A1940" t="n">
        <x:v>1939</x:v>
      </x:c>
      <x:c r="B1940" s="106" t="str">
        <x:v>SEARCH | point 10 | DAC 10.50 | CTRL X 1.02102 | X 1.02569 | Y 0.36112 | Z 0.56850 | TOTAL 1.22723 | error -20.23 % | MAD 0.45 % | CV 1.06 % | coh 92.5 % | dominant X | axis fraction 100.0 % | VALID</x:v>
      </x:c>
      <x:c r="C1940" t="str">
        <x:v>Pasted text(56).txt</x:v>
      </x:c>
    </x:row>
    <x:row r="1941">
      <x:c r="A1941" t="n">
        <x:v>1940</x:v>
      </x:c>
      <x:c r="B1941" s="106" t="str">
        <x:v>SEARCH | point 11 | DAC 11.00 | CTRL X 1.10062 | X 1.10961 | Y 0.36611 | Z 0.60448 | TOTAL 1.31573 | error -14.01 % | MAD 0.09 % | CV 1.45 % | coh 93.6 % | dominant X | axis fraction 100.0 % | VALID</x:v>
      </x:c>
      <x:c r="C1941" t="str">
        <x:v>Pasted text(56).txt</x:v>
      </x:c>
    </x:row>
    <x:row r="1942">
      <x:c r="A1942" t="n">
        <x:v>1941</x:v>
      </x:c>
      <x:c r="B1942" s="106" t="str">
        <x:v>SEARCH | point 12 | DAC 11.25 | CTRL X 1.11895 | X 1.12707 | Y 0.39191 | Z 0.63834 | TOTAL 1.35342 | error -12.58 % | MAD 0.55 % | CV 1.58 % | coh 93.0 % | dominant X | axis fraction 100.0 % | VALID</x:v>
      </x:c>
      <x:c r="C1942" t="str">
        <x:v>Pasted text(56).txt</x:v>
      </x:c>
    </x:row>
    <x:row r="1943">
      <x:c r="A1943" t="n">
        <x:v>1942</x:v>
      </x:c>
      <x:c r="B1943" s="106" t="str">
        <x:v>SEARCH | point 13 | DAC 11.50 | CTRL X 1.14038 | X 1.14539 | Y 0.40876 | Z 0.63610 | TOTAL 1.37256 | error -10.91 % | MAD 0.23 % | CV 0.89 % | coh 93.2 % | dominant X | axis fraction 100.0 % | VALID</x:v>
      </x:c>
      <x:c r="C1943" t="str">
        <x:v>Pasted text(56).txt</x:v>
      </x:c>
    </x:row>
    <x:row r="1944">
      <x:c r="A1944" t="n">
        <x:v>1943</x:v>
      </x:c>
      <x:c r="B1944" s="106" t="str">
        <x:v>SEARCH | point 14 | DAC 11.75 | CTRL X 1.18502 | X 1.19847 | Y 0.41346 | Z 0.67268 | TOTAL 1.43529 | error -7.42 % | MAD 0.46 % | CV 2.21 % | coh 93.0 % | dominant X | axis fraction 100.0 % | IN TARGET BAND</x:v>
      </x:c>
      <x:c r="C1944" t="str">
        <x:v>Pasted text(56).txt</x:v>
      </x:c>
    </x:row>
    <x:row r="1945">
      <x:c r="A1945" t="n">
        <x:v>1944</x:v>
      </x:c>
      <x:c r="B1945" s="106" t="str"/>
      <x:c r="C1945" t="str">
        <x:v>Pasted text(56).txt</x:v>
      </x:c>
    </x:row>
    <x:row r="1946">
      <x:c r="A1946" t="n">
        <x:v>1945</x:v>
      </x:c>
      <x:c r="B1946" s="106" t="str">
        <x:v>LOCAL 0.25-DAC X-AXIS FINE SCAN</x:v>
      </x:c>
      <x:c r="C1946" t="str">
        <x:v>Pasted text(56).txt</x:v>
      </x:c>
    </x:row>
    <x:row r="1947">
      <x:c r="A1947" t="n">
        <x:v>1946</x:v>
      </x:c>
      <x:c r="B1947" s="106" t="str">
        <x:v>Only a valid point actually inside the X target band may be selected.</x:v>
      </x:c>
      <x:c r="C1947" t="str">
        <x:v>Pasted text(56).txt</x:v>
      </x:c>
    </x:row>
    <x:row r="1948">
      <x:c r="A1948" t="n">
        <x:v>1947</x:v>
      </x:c>
      <x:c r="B1948" s="106" t="str">
        <x:v>FINE | point 1 | DAC 10.75 | CTRL X 1.08314 | X 1.07878 | Y 0.39382 | Z 0.59365 | TOTAL 1.29296 | error -15.38 % | MAD 1.19 % | CV 1.45 % | coh 91.8 % | dominant X | axis fraction 100.0 % | VALID</x:v>
      </x:c>
      <x:c r="C1948" t="str">
        <x:v>Pasted text(56).txt</x:v>
      </x:c>
    </x:row>
    <x:row r="1949">
      <x:c r="A1949" t="n">
        <x:v>1948</x:v>
      </x:c>
      <x:c r="B1949" s="106" t="str">
        <x:v>FINE | point 2 | DAC 11.00 | CTRL X 1.12527 | X 1.11831 | Y 0.37491 | Z 0.61369 | TOTAL 1.32972 | error -12.09 % | MAD 0.09 % | CV 1.13 % | coh 93.8 % | dominant X | axis fraction 100.0 % | VALID</x:v>
      </x:c>
      <x:c r="C1949" t="str">
        <x:v>Pasted text(56).txt</x:v>
      </x:c>
    </x:row>
    <x:row r="1950">
      <x:c r="A1950" t="n">
        <x:v>1949</x:v>
      </x:c>
      <x:c r="B1950" s="106" t="str">
        <x:v>FINE | point 3 | DAC 11.25 | CTRL X 1.13701 | X 1.13219 | Y 0.38820 | Z 0.60685 | TOTAL 1.34224 | error -11.17 % | MAD 1.12 % | CV 1.44 % | coh 93.5 % | dominant X | axis fraction 100.0 % | VALID</x:v>
      </x:c>
      <x:c r="C1950" t="str">
        <x:v>Pasted text(56).txt</x:v>
      </x:c>
    </x:row>
    <x:row r="1951">
      <x:c r="A1951" t="n">
        <x:v>1950</x:v>
      </x:c>
      <x:c r="B1951" s="106" t="str">
        <x:v>FINE | point 4 | DAC 11.50 | CTRL X 1.15317 | X 1.15048 | Y 0.40041 | Z 0.64391 | TOTAL 1.37802 | error -9.91 % | MAD 0.66 % | CV 0.82 % | coh 92.6 % | dominant X | axis fraction 100.0 % | VALID</x:v>
      </x:c>
      <x:c r="C1951" t="str">
        <x:v>Pasted text(56).txt</x:v>
      </x:c>
    </x:row>
    <x:row r="1952">
      <x:c r="A1952" t="n">
        <x:v>1951</x:v>
      </x:c>
      <x:c r="B1952" s="106" t="str">
        <x:v>FINE | point 5 | DAC 11.75 | CTRL X 1.20551 | X 1.20613 | Y 0.40574 | Z 0.67881 | TOTAL 1.44231 | error -5.82 % | MAD 1.17 % | CV 0.86 % | coh 93.3 % | dominant X | axis fraction 100.0 % | IN TARGET BAND</x:v>
      </x:c>
      <x:c r="C1952" t="str">
        <x:v>Pasted text(56).txt</x:v>
      </x:c>
    </x:row>
    <x:row r="1953">
      <x:c r="A1953" t="n">
        <x:v>1952</x:v>
      </x:c>
      <x:c r="B1953" s="106" t="str">
        <x:v>FINE | point 6 | DAC 12.00 | CTRL X 1.24568 | X 1.24298 | Y 0.41291 | Z 0.67464 | TOTAL 1.47332 | error -2.68 % | MAD 0.77 % | CV 0.86 % | coh 94.1 % | dominant X | axis fraction 100.0 % | IN TARGET BAND</x:v>
      </x:c>
      <x:c r="C1953" t="str">
        <x:v>Pasted text(56).txt</x:v>
      </x:c>
    </x:row>
    <x:row r="1954">
      <x:c r="A1954" t="n">
        <x:v>1953</x:v>
      </x:c>
      <x:c r="B1954" s="106" t="str">
        <x:v>FINE | point 7 | DAC 12.25 | CTRL X 1.25404 | X 1.25844 | Y 0.41727 | Z 0.67993 | TOTAL 1.49010 | error -2.03 % | MAD 0.72 % | CV 1.05 % | coh 93.2 % | dominant X | axis fraction 100.0 % | IN TARGET BAND</x:v>
      </x:c>
      <x:c r="C1954" t="str">
        <x:v>Pasted text(56).txt</x:v>
      </x:c>
    </x:row>
    <x:row r="1955">
      <x:c r="A1955" t="n">
        <x:v>1954</x:v>
      </x:c>
      <x:c r="B1955" s="106" t="str">
        <x:v>FINE | point 8 | DAC 12.50 | CTRL X 1.27882 | X 1.28088 | Y 0.43409 | Z 0.69322 | TOTAL 1.51984 | error -0.09 % | MAD 1.24 % | CV 1.08 % | coh 93.1 % | dominant X | axis fraction 100.0 % | IN TARGET BAND</x:v>
      </x:c>
      <x:c r="C1955" t="str">
        <x:v>Pasted text(56).txt</x:v>
      </x:c>
    </x:row>
    <x:row r="1956">
      <x:c r="A1956" t="n">
        <x:v>1955</x:v>
      </x:c>
      <x:c r="B1956" s="106" t="str">
        <x:v>FINE | point 9 | DAC 12.75 | CTRL X 1.34290 | X 1.34397 | Y 0.43867 | Z 0.74226 | TOTAL 1.59691 | error 4.91 % | MAD 1.67 % | CV 1.25 % | coh 94.2 % | dominant X | axis fraction 100.0 % | IN TARGET BAND</x:v>
      </x:c>
      <x:c r="C1956" t="str">
        <x:v>Pasted text(56).txt</x:v>
      </x:c>
    </x:row>
    <x:row r="1957">
      <x:c r="A1957" t="n">
        <x:v>1956</x:v>
      </x:c>
      <x:c r="B1957" s="106" t="str"/>
      <x:c r="C1957" t="str">
        <x:v>Pasted text(56).txt</x:v>
      </x:c>
    </x:row>
    <x:row r="1958">
      <x:c r="A1958" t="n">
        <x:v>1957</x:v>
      </x:c>
      <x:c r="B1958" s="106" t="str">
        <x:v>LONG VALIDATION AT FIXED DAC 12.50</x:v>
      </x:c>
      <x:c r="C1958" t="str">
        <x:v>Pasted text(56).txt</x:v>
      </x:c>
    </x:row>
    <x:row r="1959">
      <x:c r="A1959" t="n">
        <x:v>1958</x:v>
      </x:c>
      <x:c r="B1959" s="106" t="str">
        <x:v>FINAL | point 1 | DAC 12.50 | CTRL X 1.26779 | X 1.26629 | Y 0.42860 | Z 0.69712 | TOTAL 1.50789 | error -0.95 % | MAD 0.41 % | CV 0.59 % | coh 93.3 % | dominant X | axis fraction 100.0 % | IN TARGET BAND</x:v>
      </x:c>
      <x:c r="C1959" t="str">
        <x:v>Pasted text(56).txt</x:v>
      </x:c>
    </x:row>
    <x:row r="1960">
      <x:c r="A1960" t="n">
        <x:v>1959</x:v>
      </x:c>
      <x:c r="B1960" s="106" t="str">
        <x:v>FINAL | point 2 | DAC 12.50 | CTRL X 1.28899 | X 1.28736 | Y 0.44811 | Z 0.70383 | TOTAL 1.53428 | error 0.70 % | MAD 1.41 % | CV 0.97 % | coh 94.2 % | dominant X | axis fraction 100.0 % | IN TARGET BAND</x:v>
      </x:c>
      <x:c r="C1960" t="str">
        <x:v>Pasted text(56).txt</x:v>
      </x:c>
    </x:row>
    <x:row r="1961">
      <x:c r="A1961" t="n">
        <x:v>1960</x:v>
      </x:c>
      <x:c r="B1961" s="106" t="str">
        <x:v>VALIDATION ACCEPTED | pair drift 1.66 %</x:v>
      </x:c>
      <x:c r="C1961" t="str">
        <x:v>Pasted text(56).txt</x:v>
      </x:c>
    </x:row>
    <x:row r="1962">
      <x:c r="A1962" t="n">
        <x:v>1961</x:v>
      </x:c>
      <x:c r="B1962" s="106" t="str"/>
      <x:c r="C1962" t="str">
        <x:v>Pasted text(56).txt</x:v>
      </x:c>
    </x:row>
    <x:row r="1963">
      <x:c r="A1963" t="n">
        <x:v>1962</x:v>
      </x:c>
      <x:c r="B1963" s="106" t="str">
        <x:v>FINAL VALIDATED BLIND FFT VERIFICATION</x:v>
      </x:c>
      <x:c r="C1963" t="str">
        <x:v>Pasted text(56).txt</x:v>
      </x:c>
    </x:row>
    <x:row r="1964">
      <x:c r="A1964" t="n">
        <x:v>1963</x:v>
      </x:c>
      <x:c r="B1964" s="106" t="str">
        <x:v>Commanded frequency: 268.00000 Hz</x:v>
      </x:c>
      <x:c r="C1964" t="str">
        <x:v>Pasted text(56).txt</x:v>
      </x:c>
    </x:row>
    <x:row r="1965">
      <x:c r="A1965" t="n">
        <x:v>1964</x:v>
      </x:c>
      <x:c r="B1965" s="106" t="str">
        <x:v>Accepted DAC: 12.50</x:v>
      </x:c>
      <x:c r="C1965" t="str">
        <x:v>Pasted text(56).txt</x:v>
      </x:c>
    </x:row>
    <x:row r="1966">
      <x:c r="A1966" t="n">
        <x:v>1965</x:v>
      </x:c>
      <x:c r="B1966" s="106" t="str">
        <x:v>Axis,Frequency_Hz,Amplitude_mps2,SNR_dB,Status</x:v>
      </x:c>
      <x:c r="C1966" t="str">
        <x:v>Pasted text(56).txt</x:v>
      </x:c>
    </x:row>
    <x:row r="1967">
      <x:c r="A1967" t="n">
        <x:v>1966</x:v>
      </x:c>
      <x:c r="B1967" s="106" t="str">
        <x:v>X,268.01678,1.16456,32.64,VALID</x:v>
      </x:c>
      <x:c r="C1967" t="str">
        <x:v>Pasted text(56).txt</x:v>
      </x:c>
    </x:row>
    <x:row r="1968">
      <x:c r="A1968" t="n">
        <x:v>1967</x:v>
      </x:c>
      <x:c r="B1968" s="106" t="str">
        <x:v>Y,268.00668,0.39700,27.56,VALID</x:v>
      </x:c>
      <x:c r="C1968" t="str">
        <x:v>Pasted text(56).txt</x:v>
      </x:c>
    </x:row>
    <x:row r="1969">
      <x:c r="A1969" t="n">
        <x:v>1968</x:v>
      </x:c>
      <x:c r="B1969" s="106" t="str">
        <x:v>Z,268.01221,0.63297,29.77,VALID</x:v>
      </x:c>
      <x:c r="C1969" t="str">
        <x:v>Pasted text(56).txt</x:v>
      </x:c>
    </x:row>
    <x:row r="1970">
      <x:c r="A1970" t="n">
        <x:v>1969</x:v>
      </x:c>
      <x:c r="B1970" s="106" t="str">
        <x:v>Combined frequency: 268.01500 Hz | difference 0.01500 Hz</x:v>
      </x:c>
      <x:c r="C1970" t="str">
        <x:v>Pasted text(56).txt</x:v>
      </x:c>
    </x:row>
    <x:row r="1971">
      <x:c r="A1971" t="n">
        <x:v>1970</x:v>
      </x:c>
      <x:c r="B1971" s="106" t="str">
        <x:v>Combined X/Y/Z/TOTAL: 1.06180 / 0.36079 / 0.57713 / 1.26122</x:v>
      </x:c>
      <x:c r="C1971" t="str">
        <x:v>Pasted text(56).txt</x:v>
      </x:c>
    </x:row>
    <x:row r="1972">
      <x:c r="A1972" t="n">
        <x:v>1971</x:v>
      </x:c>
      <x:c r="B1972" s="106" t="str">
        <x:v>SNR: 31.25 dB | dominant axis X</x:v>
      </x:c>
      <x:c r="C1972" t="str">
        <x:v>Pasted text(56).txt</x:v>
      </x:c>
    </x:row>
    <x:row r="1973">
      <x:c r="A1973" t="n">
        <x:v>1972</x:v>
      </x:c>
      <x:c r="B1973" s="106" t="str">
        <x:v>Frequency verification: PASS</x:v>
      </x:c>
      <x:c r="C1973" t="str">
        <x:v>Pasted text(56).txt</x:v>
      </x:c>
    </x:row>
    <x:row r="1974">
      <x:c r="A1974" t="n">
        <x:v>1973</x:v>
      </x:c>
      <x:c r="B1974" s="106" t="str">
        <x:v>Y/Z dominance: DIAGNOSTIC ONLY — ignored for pass/fail</x:v>
      </x:c>
      <x:c r="C1974" t="str">
        <x:v>Pasted text(56).txt</x:v>
      </x:c>
    </x:row>
    <x:row r="1975">
      <x:c r="A1975" t="n">
        <x:v>1974</x:v>
      </x:c>
      <x:c r="B1975" s="106" t="str"/>
      <x:c r="C1975" t="str">
        <x:v>Pasted text(56).txt</x:v>
      </x:c>
    </x:row>
    <x:row r="1976">
      <x:c r="A1976" t="n">
        <x:v>1975</x:v>
      </x:c>
      <x:c r="B1976" s="106" t="str">
        <x:v>FIXED-DAC HOLD VALIDATION</x:v>
      </x:c>
      <x:c r="C1976" t="str">
        <x:v>Pasted text(56).txt</x:v>
      </x:c>
    </x:row>
    <x:row r="1977">
      <x:c r="A1977" t="n">
        <x:v>1976</x:v>
      </x:c>
      <x:c r="B1977" s="106" t="str">
        <x:v>DAC remains fixed at 12.50 for 10 records.</x:v>
      </x:c>
      <x:c r="C1977" t="str">
        <x:v>Pasted text(56).txt</x:v>
      </x:c>
    </x:row>
    <x:row r="1978">
      <x:c r="A1978" t="n">
        <x:v>1977</x:v>
      </x:c>
      <x:c r="B1978" s="106" t="str">
        <x:v>HOLD | point 1 | DAC 12.50 | CTRL X 1.30499 | X 1.30209 | Y 0.43783 | Z 0.68143 | TOTAL 1.53378 | error 1.95 % | MAD 0.46 % | CV 0.67 % | coh 95.1 % | dominant X | axis fraction 100.0 % | IN TARGET BAND</x:v>
      </x:c>
      <x:c r="C1978" t="str">
        <x:v>Pasted text(56).txt</x:v>
      </x:c>
    </x:row>
    <x:row r="1979">
      <x:c r="A1979" t="n">
        <x:v>1978</x:v>
      </x:c>
      <x:c r="B1979" s="106" t="str">
        <x:v>HOLD | point 2 | DAC 12.50 | CTRL X 1.27610 | X 1.27382 | Y 0.41888 | Z 0.67274 | TOTAL 1.50053 | error -0.30 % | MAD 0.06 % | CV 0.35 % | coh 93.6 % | dominant X | axis fraction 100.0 % | IN TARGET BAND</x:v>
      </x:c>
      <x:c r="C1979" t="str">
        <x:v>Pasted text(56).txt</x:v>
      </x:c>
    </x:row>
    <x:row r="1980">
      <x:c r="A1980" t="n">
        <x:v>1979</x:v>
      </x:c>
      <x:c r="B1980" s="106" t="str">
        <x:v>HOLD | point 3 | DAC 12.50 | CTRL X 1.30228 | X 1.30539 | Y 0.43192 | Z 0.68258 | TOTAL 1.53513 | error 1.74 % | MAD 0.50 % | CV 0.73 % | coh 94.1 % | dominant X | axis fraction 100.0 % | IN TARGET BAND</x:v>
      </x:c>
      <x:c r="C1980" t="str">
        <x:v>Pasted text(56).txt</x:v>
      </x:c>
    </x:row>
    <x:row r="1981">
      <x:c r="A1981" t="n">
        <x:v>1980</x:v>
      </x:c>
      <x:c r="B1981" s="106" t="str">
        <x:v>HOLD | point 4 | DAC 12.50 | CTRL X 1.27362 | X 1.27898 | Y 0.45223 | Z 0.68708 | TOTAL 1.52078 | error -0.50 % | MAD 0.76 % | CV 1.19 % | coh 93.8 % | dominant X | axis fraction 100.0 % | IN TARGET BAND</x:v>
      </x:c>
      <x:c r="C1981" t="str">
        <x:v>Pasted text(56).txt</x:v>
      </x:c>
    </x:row>
    <x:row r="1982">
      <x:c r="A1982" t="n">
        <x:v>1981</x:v>
      </x:c>
      <x:c r="B1982" s="106" t="str">
        <x:v>HOLD | point 5 | DAC 12.50 | CTRL X 1.27033 | X 1.26812 | Y 0.43173 | Z 0.70995 | TOTAL 1.51640 | error -0.76 % | MAD 0.82 % | CV 0.83 % | coh 93.3 % | dominant X | axis fraction 100.0 % | IN TARGET BAND</x:v>
      </x:c>
      <x:c r="C1982" t="str">
        <x:v>Pasted text(56).txt</x:v>
      </x:c>
    </x:row>
    <x:row r="1983">
      <x:c r="A1983" t="n">
        <x:v>1982</x:v>
      </x:c>
      <x:c r="B1983" s="106" t="str">
        <x:v>HOLD | point 6 | DAC 12.50 | CTRL X 1.26458 | X 1.26288 | Y 0.43093 | Z 0.71321 | TOTAL 1.51310 | error -1.20 % | MAD 0.06 % | CV 0.27 % | coh 92.7 % | dominant X | axis fraction 100.0 % | IN TARGET BAND</x:v>
      </x:c>
      <x:c r="C1983" t="str">
        <x:v>Pasted text(56).txt</x:v>
      </x:c>
    </x:row>
    <x:row r="1984">
      <x:c r="A1984" t="n">
        <x:v>1983</x:v>
      </x:c>
      <x:c r="B1984" s="106" t="str">
        <x:v>HOLD | point 7 | DAC 12.50 | CTRL X 1.28213 | X 1.28716 | Y 0.44328 | Z 0.70640 | TOTAL 1.53384 | error 0.17 % | MAD 0.45 % | CV 0.95 % | coh 93.7 % | dominant X | axis fraction 100.0 % | IN TARGET BAND</x:v>
      </x:c>
      <x:c r="C1984" t="str">
        <x:v>Pasted text(56).txt</x:v>
      </x:c>
    </x:row>
    <x:row r="1985">
      <x:c r="A1985" t="n">
        <x:v>1984</x:v>
      </x:c>
      <x:c r="B1985" s="106" t="str">
        <x:v>HOLD | point 8 | DAC 12.50 | CTRL X 1.26920 | X 1.26826 | Y 0.42685 | Z 0.69084 | TOTAL 1.50618 | error -0.84 % | MAD 0.45 % | CV 0.42 % | coh 92.5 % | dominant X | axis fraction 100.0 % | IN TARGET BAND</x:v>
      </x:c>
      <x:c r="C1985" t="str">
        <x:v>Pasted text(56).txt</x:v>
      </x:c>
    </x:row>
    <x:row r="1986">
      <x:c r="A1986" t="n">
        <x:v>1985</x:v>
      </x:c>
      <x:c r="B1986" s="106" t="str">
        <x:v>HOLD | point 9 | DAC 12.50 | CTRL X 1.27345 | X 1.26940 | Y 0.44952 | Z 0.69075 | TOTAL 1.51361 | error -0.51 % | MAD 0.43 % | CV 0.82 % | coh 92.4 % | dominant X | axis fraction 100.0 % | IN TARGET BAND</x:v>
      </x:c>
      <x:c r="C1986" t="str">
        <x:v>Pasted text(56).txt</x:v>
      </x:c>
    </x:row>
    <x:row r="1987">
      <x:c r="A1987" t="n">
        <x:v>1986</x:v>
      </x:c>
      <x:c r="B1987" s="106" t="str">
        <x:v>HOLD | point 10 | DAC 12.50 | CTRL X 1.28150 | X 1.28066 | Y 0.43934 | Z 0.70419 | TOTAL 1.52627 | error 0.12 % | MAD 1.28 % | CV 0.97 % | coh 93.6 % | dominant X | axis fraction 100.0 % | IN TARGET BAND</x:v>
      </x:c>
      <x:c r="C1987" t="str">
        <x:v>Pasted text(56).txt</x:v>
      </x:c>
    </x:row>
    <x:row r="1988">
      <x:c r="A1988" t="n">
        <x:v>1987</x:v>
      </x:c>
      <x:c r="B1988" s="106" t="str"/>
      <x:c r="C1988" t="str">
        <x:v>Pasted text(56).txt</x:v>
      </x:c>
    </x:row>
    <x:row r="1989">
      <x:c r="A1989" t="n">
        <x:v>1988</x:v>
      </x:c>
      <x:c r="B1989" s="106" t="str">
        <x:v>HOLD SUMMARY</x:v>
      </x:c>
      <x:c r="C1989" t="str">
        <x:v>Pasted text(56).txt</x:v>
      </x:c>
    </x:row>
    <x:row r="1990">
      <x:c r="A1990" t="n">
        <x:v>1989</x:v>
      </x:c>
      <x:c r="B1990" s="106" t="str">
        <x:v>Valid / requested: 10 / 10</x:v>
      </x:c>
      <x:c r="C1990" t="str">
        <x:v>Pasted text(56).txt</x:v>
      </x:c>
    </x:row>
    <x:row r="1991">
      <x:c r="A1991" t="n">
        <x:v>1990</x:v>
      </x:c>
      <x:c r="B1991" s="106" t="str">
        <x:v>In band / requested: 10 / 10 = 100.0 %</x:v>
      </x:c>
      <x:c r="C1991" t="str">
        <x:v>Pasted text(56).txt</x:v>
      </x:c>
    </x:row>
    <x:row r="1992">
      <x:c r="A1992" t="n">
        <x:v>1991</x:v>
      </x:c>
      <x:c r="B1992" s="106" t="str">
        <x:v>Mean / SD / CV: 1.27982 / 0.01364 / 1.07 %</x:v>
      </x:c>
      <x:c r="C1992" t="str">
        <x:v>Pasted text(56).txt</x:v>
      </x:c>
    </x:row>
    <x:row r="1993">
      <x:c r="A1993" t="n">
        <x:v>1992</x:v>
      </x:c>
      <x:c r="B1993" s="106" t="str">
        <x:v>Min / Max: 1.26458 / 1.30499</x:v>
      </x:c>
      <x:c r="C1993" t="str">
        <x:v>Pasted text(56).txt</x:v>
      </x:c>
    </x:row>
    <x:row r="1994">
      <x:c r="A1994" t="n">
        <x:v>1993</x:v>
      </x:c>
      <x:c r="B1994" s="106" t="str">
        <x:v>HOLD RESULT: PASS</x:v>
      </x:c>
      <x:c r="C1994" t="str">
        <x:v>Pasted text(56).txt</x:v>
      </x:c>
    </x:row>
    <x:row r="1995">
      <x:c r="A1995" t="n">
        <x:v>1994</x:v>
      </x:c>
      <x:c r="B1995" s="106" t="str"/>
      <x:c r="C1995" t="str">
        <x:v>Pasted text(56).txt</x:v>
      </x:c>
    </x:row>
    <x:row r="1996">
      <x:c r="A1996" t="n">
        <x:v>1995</x:v>
      </x:c>
      <x:c r="B1996" s="106" t="str">
        <x:v>RUN RESULT: PASS</x:v>
      </x:c>
      <x:c r="C1996" t="str">
        <x:v>Pasted text(56).txt</x:v>
      </x:c>
    </x:row>
    <x:row r="1997">
      <x:c r="A1997" t="n">
        <x:v>1996</x:v>
      </x:c>
      <x:c r="B1997" s="106" t="str">
        <x:v>Selected DAC: 12.50</x:v>
      </x:c>
      <x:c r="C1997" t="str">
        <x:v>Pasted text(56).txt</x:v>
      </x:c>
    </x:row>
    <x:row r="1998">
      <x:c r="A1998" t="n">
        <x:v>1997</x:v>
      </x:c>
      <x:c r="B1998" s="106" t="str">
        <x:v>Validated amplitude: 1.27839 m/s^2 | error -0.13 %</x:v>
      </x:c>
      <x:c r="C1998" t="str">
        <x:v>Pasted text(56).txt</x:v>
      </x:c>
    </x:row>
    <x:row r="1999">
      <x:c r="A1999" t="n">
        <x:v>1998</x:v>
      </x:c>
      <x:c r="B1999" s="106" t="str">
        <x:v>FFT frequency: 268.01500 Hz | difference 0.01500 Hz</x:v>
      </x:c>
      <x:c r="C1999" t="str">
        <x:v>Pasted text(56).txt</x:v>
      </x:c>
    </x:row>
    <x:row r="2000">
      <x:c r="A2000" t="n">
        <x:v>1999</x:v>
      </x:c>
      <x:c r="B2000" s="106" t="str"/>
      <x:c r="C2000" t="str">
        <x:v>Pasted text(56).txt</x:v>
      </x:c>
    </x:row>
    <x:row r="2001">
      <x:c r="A2001" t="n">
        <x:v>2000</x:v>
      </x:c>
      <x:c r="B2001" s="106" t="str">
        <x:v>================================================================================</x:v>
      </x:c>
      <x:c r="C2001" t="str">
        <x:v>Pasted text(56).txt</x:v>
      </x:c>
    </x:row>
    <x:row r="2002">
      <x:c r="A2002" t="n">
        <x:v>2001</x:v>
      </x:c>
      <x:c r="B2002" s="106" t="str">
        <x:v>FINAL REPEATED TARGET-AMPLITUDE VALIDATION SUMMARY</x:v>
      </x:c>
      <x:c r="C2002" t="str">
        <x:v>Pasted text(56).txt</x:v>
      </x:c>
    </x:row>
    <x:row r="2003">
      <x:c r="A2003" t="n">
        <x:v>2002</x:v>
      </x:c>
      <x:c r="B2003" s="106" t="str">
        <x:v>================================================================================</x:v>
      </x:c>
      <x:c r="C2003" t="str">
        <x:v>Pasted text(56).txt</x:v>
      </x:c>
    </x:row>
    <x:row r="2004">
      <x:c r="A2004" t="n">
        <x:v>2003</x:v>
      </x:c>
      <x:c r="B2004" s="106" t="str">
        <x:v>Run,Pass,Selected_DAC,Validated_Amp,Error_pct,FFT_Hz,FFT_Diff_Hz,FFT_SNR_dB,Hold_Mean,Hold_CV_pct,Hold_InBand_pct,Reason</x:v>
      </x:c>
      <x:c r="C2004" t="str">
        <x:v>Pasted text(56).txt</x:v>
      </x:c>
    </x:row>
    <x:row r="2005">
      <x:c r="A2005" t="n">
        <x:v>2004</x:v>
      </x:c>
      <x:c r="B2005" s="106" t="str">
        <x:v>1,PASS,12.00,1.27513,-0.38,268.02842,0.02842,31.10,1.26246,0.75,100.0,PASS</x:v>
      </x:c>
      <x:c r="C2005" t="str">
        <x:v>Pasted text(56).txt</x:v>
      </x:c>
    </x:row>
    <x:row r="2006">
      <x:c r="A2006" t="n">
        <x:v>2005</x:v>
      </x:c>
      <x:c r="B2006" s="106" t="str">
        <x:v>2,PASS,12.50,1.29018,0.80,268.03032,0.03032,31.13,1.28196,0.79,100.0,PASS</x:v>
      </x:c>
      <x:c r="C2006" t="str">
        <x:v>Pasted text(56).txt</x:v>
      </x:c>
    </x:row>
    <x:row r="2007">
      <x:c r="A2007" t="n">
        <x:v>2006</x:v>
      </x:c>
      <x:c r="B2007" s="106" t="str">
        <x:v>3,PASS,12.50,1.28181,0.14,268.02569,0.02569,31.12,1.28477,0.99,100.0,PASS</x:v>
      </x:c>
      <x:c r="C2007" t="str">
        <x:v>Pasted text(56).txt</x:v>
      </x:c>
    </x:row>
    <x:row r="2008">
      <x:c r="A2008" t="n">
        <x:v>2007</x:v>
      </x:c>
      <x:c r="B2008" s="106" t="str">
        <x:v>4,PASS,12.25,1.27052,-0.74,268.01439,0.01439,30.99,1.25511,0.83,100.0,PASS</x:v>
      </x:c>
      <x:c r="C2008" t="str">
        <x:v>Pasted text(56).txt</x:v>
      </x:c>
    </x:row>
    <x:row r="2009">
      <x:c r="A2009" t="n">
        <x:v>2008</x:v>
      </x:c>
      <x:c r="B2009" s="106" t="str">
        <x:v>5,PASS,12.50,1.27839,-0.13,268.01500,0.01500,31.25,1.27982,1.07,100.0,PASS</x:v>
      </x:c>
      <x:c r="C2009" t="str">
        <x:v>Pasted text(56).txt</x:v>
      </x:c>
    </x:row>
    <x:row r="2010">
      <x:c r="A2010" t="n">
        <x:v>2009</x:v>
      </x:c>
      <x:c r="B2010" s="106" t="str">
        <x:v>--------------------------------------------------------------------------------</x:v>
      </x:c>
      <x:c r="C2010" t="str">
        <x:v>Pasted text(56).txt</x:v>
      </x:c>
    </x:row>
    <x:row r="2011">
      <x:c r="A2011" t="n">
        <x:v>2010</x:v>
      </x:c>
      <x:c r="B2011" s="106" t="str">
        <x:v>Successful independent runs: 5 / 5</x:v>
      </x:c>
      <x:c r="C2011" t="str">
        <x:v>Pasted text(56).txt</x:v>
      </x:c>
    </x:row>
    <x:row r="2012">
      <x:c r="A2012" t="n">
        <x:v>2011</x:v>
      </x:c>
      <x:c r="B2012" s="106" t="str">
        <x:v>Validated amplitude mean +/- SD: 1.27920 +/- 0.00742 m/s^2 peak</x:v>
      </x:c>
      <x:c r="C2012" t="str">
        <x:v>Pasted text(56).txt</x:v>
      </x:c>
    </x:row>
    <x:row r="2013">
      <x:c r="A2013" t="n">
        <x:v>2012</x:v>
      </x:c>
      <x:c r="B2013" s="106" t="str">
        <x:v>Across-run amplitude CV: 0.58 %</x:v>
      </x:c>
      <x:c r="C2013" t="str">
        <x:v>Pasted text(56).txt</x:v>
      </x:c>
    </x:row>
    <x:row r="2014">
      <x:c r="A2014" t="n">
        <x:v>2013</x:v>
      </x:c>
      <x:c r="B2014" s="106" t="str">
        <x:v>Maximum absolute target error: 0.80 %</x:v>
      </x:c>
      <x:c r="C2014" t="str">
        <x:v>Pasted text(56).txt</x:v>
      </x:c>
    </x:row>
    <x:row r="2015">
      <x:c r="A2015" t="n">
        <x:v>2014</x:v>
      </x:c>
      <x:c r="B2015" s="106" t="str">
        <x:v>FFT frequency mean +/- SD: 268.02276 +/- 0.00755 Hz</x:v>
      </x:c>
      <x:c r="C2015" t="str">
        <x:v>Pasted text(56).txt</x:v>
      </x:c>
    </x:row>
    <x:row r="2016">
      <x:c r="A2016" t="n">
        <x:v>2015</x:v>
      </x:c>
      <x:c r="B2016" s="106" t="str">
        <x:v>Selected DAC range: 12.00 to 12.50</x:v>
      </x:c>
      <x:c r="C2016" t="str">
        <x:v>Pasted text(56).txt</x:v>
      </x:c>
    </x:row>
    <x:row r="2017">
      <x:c r="A2017" t="n">
        <x:v>2016</x:v>
      </x:c>
      <x:c r="B2017" s="106" t="str">
        <x:v>Average hold records in target band: 100.0 %</x:v>
      </x:c>
      <x:c r="C2017" t="str">
        <x:v>Pasted text(56).txt</x:v>
      </x:c>
    </x:row>
    <x:row r="2018">
      <x:c r="A2018" t="n">
        <x:v>2017</x:v>
      </x:c>
      <x:c r="B2018" s="106" t="str">
        <x:v>OVERALL VERDICT: EXCELLENT REPRODUCIBLE TARGET-AMPLITUDE ACQUISITION.</x:v>
      </x:c>
      <x:c r="C2018" t="str">
        <x:v>Pasted text(56).txt</x:v>
      </x:c>
    </x:row>
    <x:row r="2019">
      <x:c r="A2019" t="n">
        <x:v>2018</x:v>
      </x:c>
      <x:c r="B2019" s="106" t="str">
        <x:v>X-axis amplitude matching is repeatable; phase testing may follow after one independent confirmation session.</x:v>
      </x:c>
      <x:c r="C2019" t="str">
        <x:v>Pasted text(56).txt</x:v>
      </x:c>
    </x:row>
    <x:row r="2020">
      <x:c r="A2020" t="n">
        <x:v>2019</x:v>
      </x:c>
      <x:c r="B2020" s="106" t="str"/>
      <x:c r="C2020" t="str">
        <x:v>Pasted text(56).txt</x:v>
      </x:c>
    </x:row>
    <x:row r="2021">
      <x:c r="A2021" t="n">
        <x:v>2020</x:v>
      </x:c>
      <x:c r="B2021" s="106" t="str">
        <x:v>Automatic test complete. Enter h for commands.</x:v>
      </x:c>
      <x:c r="C2021" t="str">
        <x:v>Pasted text(56).txt</x:v>
      </x:c>
    </x:row>
    <x:row r="2022">
      <x:c r="A2022" t="n">
        <x:v>2021</x:v>
      </x:c>
      <x:c r="B2022" s="106" t="str">
        <x:v>Target amplitude set to 0.30000 m/s^2 peak.</x:v>
      </x:c>
      <x:c r="C2022" t="str">
        <x:v>Pasted text(56).txt</x:v>
      </x:c>
    </x:row>
    <x:row r="2023">
      <x:c r="A2023" t="n">
        <x:v>2022</x:v>
      </x:c>
      <x:c r="B2023" s="106" t="str"/>
      <x:c r="C2023" t="str">
        <x:v>Pasted text(56).txt</x:v>
      </x:c>
    </x:row>
    <x:row r="2024">
      <x:c r="A2024" t="n">
        <x:v>2023</x:v>
      </x:c>
      <x:c r="B2024" s="106" t="str">
        <x:v>================================================================================</x:v>
      </x:c>
      <x:c r="C2024" t="str">
        <x:v>Pasted text(56).txt</x:v>
      </x:c>
    </x:row>
    <x:row r="2025">
      <x:c r="A2025" t="n">
        <x:v>2024</x:v>
      </x:c>
      <x:c r="B2025" s="106" t="str">
        <x:v>REPEATED INDEPENDENT TARGET-AMPLITUDE VALIDATION STARTED</x:v>
      </x:c>
      <x:c r="C2025" t="str">
        <x:v>Pasted text(56).txt</x:v>
      </x:c>
    </x:row>
    <x:row r="2026">
      <x:c r="A2026" t="n">
        <x:v>2025</x:v>
      </x:c>
      <x:c r="B2026" s="106" t="str">
        <x:v>================================================================================</x:v>
      </x:c>
      <x:c r="C2026" t="str">
        <x:v>Pasted text(56).txt</x:v>
      </x:c>
    </x:row>
    <x:row r="2027">
      <x:c r="A2027" t="n">
        <x:v>2026</x:v>
      </x:c>
      <x:c r="B2027" s="106" t="str"/>
      <x:c r="C2027" t="str">
        <x:v>Pasted text(56).txt</x:v>
      </x:c>
    </x:row>
    <x:row r="2028">
      <x:c r="A2028" t="n">
        <x:v>2027</x:v>
      </x:c>
      <x:c r="B2028" s="106" t="str">
        <x:v>CURRENT SETTINGS</x:v>
      </x:c>
      <x:c r="C2028" t="str">
        <x:v>Pasted text(56).txt</x:v>
      </x:c>
    </x:row>
    <x:row r="2029">
      <x:c r="A2029" t="n">
        <x:v>2028</x:v>
      </x:c>
      <x:c r="B2029" s="106" t="str">
        <x:v>Frequency: 268.00000 Hz</x:v>
      </x:c>
      <x:c r="C2029" t="str">
        <x:v>Pasted text(56).txt</x:v>
      </x:c>
    </x:row>
    <x:row r="2030">
      <x:c r="A2030" t="n">
        <x:v>2029</x:v>
      </x:c>
      <x:c r="B2030" s="106" t="str">
        <x:v>Control axis: X ONLY (Y/Z diagnostic only)</x:v>
      </x:c>
      <x:c r="C2030" t="str">
        <x:v>Pasted text(56).txt</x:v>
      </x:c>
    </x:row>
    <x:row r="2031">
      <x:c r="A2031" t="n">
        <x:v>2030</x:v>
      </x:c>
      <x:c r="B2031" s="106" t="str">
        <x:v>Target peak amplitude: 0.30000 m/s^2</x:v>
      </x:c>
      <x:c r="C2031" t="str">
        <x:v>Pasted text(56).txt</x:v>
      </x:c>
    </x:row>
    <x:row r="2032">
      <x:c r="A2032" t="n">
        <x:v>2031</x:v>
      </x:c>
      <x:c r="B2032" s="106" t="str">
        <x:v>Tolerance: +/-7.50 %</x:v>
      </x:c>
      <x:c r="C2032" t="str">
        <x:v>Pasted text(56).txt</x:v>
      </x:c>
    </x:row>
    <x:row r="2033">
      <x:c r="A2033" t="n">
        <x:v>2032</x:v>
      </x:c>
      <x:c r="B2033" s="106" t="str">
        <x:v>Allowed amplitude band: 0.27750 to 0.32250 m/s^2 peak</x:v>
      </x:c>
      <x:c r="C2033" t="str">
        <x:v>Pasted text(56).txt</x:v>
      </x:c>
    </x:row>
    <x:row r="2034">
      <x:c r="A2034" t="n">
        <x:v>2033</x:v>
      </x:c>
      <x:c r="B2034" s="106" t="str">
        <x:v>Independent runs: 5</x:v>
      </x:c>
      <x:c r="C2034" t="str">
        <x:v>Pasted text(56).txt</x:v>
      </x:c>
    </x:row>
    <x:row r="2035">
      <x:c r="A2035" t="n">
        <x:v>2034</x:v>
      </x:c>
      <x:c r="B2035" s="106" t="str">
        <x:v>Hold records per run: 10</x:v>
      </x:c>
      <x:c r="C2035" t="str">
        <x:v>Pasted text(56).txt</x:v>
      </x:c>
    </x:row>
    <x:row r="2036">
      <x:c r="A2036" t="n">
        <x:v>2035</x:v>
      </x:c>
      <x:c r="B2036" s="106" t="str">
        <x:v>DAC search range/resolution: 1.00 to 30.00 / 0.25</x:v>
      </x:c>
      <x:c r="C2036" t="str">
        <x:v>Pasted text(56).txt</x:v>
      </x:c>
    </x:row>
    <x:row r="2037">
      <x:c r="A2037" t="n">
        <x:v>2036</x:v>
      </x:c>
      <x:c r="B2037" s="106" t="str">
        <x:v>FFT bin resolution: 1.56250 Hz; accepted command-to-bin difference &lt;= 2.00 Hz</x:v>
      </x:c>
      <x:c r="C2037" t="str">
        <x:v>Pasted text(56).txt</x:v>
      </x:c>
    </x:row>
    <x:row r="2038">
      <x:c r="A2038" t="n">
        <x:v>2037</x:v>
      </x:c>
      <x:c r="B2038" s="106" t="str">
        <x:v>Every run starts from DAC 1.00. Different selected DACs are allowed.</x:v>
      </x:c>
      <x:c r="C2038" t="str">
        <x:v>Pasted text(56).txt</x:v>
      </x:c>
    </x:row>
    <x:row r="2039">
      <x:c r="A2039" t="n">
        <x:v>2038</x:v>
      </x:c>
      <x:c r="B2039" s="106" t="str">
        <x:v>The accepted result is X-axis amplitude and X-axis frequency, not DAC.</x:v>
      </x:c>
      <x:c r="C2039" t="str">
        <x:v>Pasted text(56).txt</x:v>
      </x:c>
    </x:row>
    <x:row r="2040">
      <x:c r="A2040" t="n">
        <x:v>2039</x:v>
      </x:c>
      <x:c r="B2040" s="106" t="str"/>
      <x:c r="C2040" t="str">
        <x:v>Pasted text(56).txt</x:v>
      </x:c>
    </x:row>
    <x:row r="2041">
      <x:c r="A2041" t="n">
        <x:v>2040</x:v>
      </x:c>
      <x:c r="B2041" s="106" t="str">
        <x:v>################################################################################</x:v>
      </x:c>
      <x:c r="C2041" t="str">
        <x:v>Pasted text(56).txt</x:v>
      </x:c>
    </x:row>
    <x:row r="2042">
      <x:c r="A2042" t="n">
        <x:v>2041</x:v>
      </x:c>
      <x:c r="B2042" s="106" t="str">
        <x:v>INDEPENDENT TARGET-AMPLITUDE RUN 1 OF 5</x:v>
      </x:c>
      <x:c r="C2042" t="str">
        <x:v>Pasted text(56).txt</x:v>
      </x:c>
    </x:row>
    <x:row r="2043">
      <x:c r="A2043" t="n">
        <x:v>2042</x:v>
      </x:c>
      <x:c r="B2043" s="106" t="str">
        <x:v>################################################################################</x:v>
      </x:c>
      <x:c r="C2043" t="str">
        <x:v>Pasted text(56).txt</x:v>
      </x:c>
    </x:row>
    <x:row r="2044">
      <x:c r="A2044" t="n">
        <x:v>2043</x:v>
      </x:c>
      <x:c r="B2044" s="106" t="str">
        <x:v>Frequency: 268.00000 Hz</x:v>
      </x:c>
      <x:c r="C2044" t="str">
        <x:v>Pasted text(56).txt</x:v>
      </x:c>
    </x:row>
    <x:row r="2045">
      <x:c r="A2045" t="n">
        <x:v>2044</x:v>
      </x:c>
      <x:c r="B2045" s="106" t="str">
        <x:v>Target X amplitude: 0.30000 m/s^2 peak, tolerance +/-7.50 %</x:v>
      </x:c>
      <x:c r="C2045" t="str">
        <x:v>Pasted text(56).txt</x:v>
      </x:c>
    </x:row>
    <x:row r="2046">
      <x:c r="A2046" t="n">
        <x:v>2045</x:v>
      </x:c>
      <x:c r="B2046" s="106" t="str">
        <x:v>This run starts from DAC 1.00 and ignores every earlier selected DAC.</x:v>
      </x:c>
      <x:c r="C2046" t="str">
        <x:v>Pasted text(56).txt</x:v>
      </x:c>
    </x:row>
    <x:row r="2047">
      <x:c r="A2047" t="n">
        <x:v>2046</x:v>
      </x:c>
      <x:c r="B2047" s="106" t="str">
        <x:v>ADXL2 DEVID/DATA_FORMAT/BW_RATE/POWER_CTL: 0xE5 / 0xB / 0xE / 0x8</x:v>
      </x:c>
      <x:c r="C2047" t="str">
        <x:v>Pasted text(56).txt</x:v>
      </x:c>
    </x:row>
    <x:row r="2048">
      <x:c r="A2048" t="n">
        <x:v>2047</x:v>
      </x:c>
      <x:c r="B2048" s="106" t="str"/>
      <x:c r="C2048" t="str">
        <x:v>Pasted text(56).txt</x:v>
      </x:c>
    </x:row>
    <x:row r="2049">
      <x:c r="A2049" t="n">
        <x:v>2048</x:v>
      </x:c>
      <x:c r="B2049" s="106" t="str">
        <x:v>ACQUISITION ATTEMPT 1 OF 2</x:v>
      </x:c>
      <x:c r="C2049" t="str">
        <x:v>Pasted text(56).txt</x:v>
      </x:c>
    </x:row>
    <x:row r="2050">
      <x:c r="A2050" t="n">
        <x:v>2049</x:v>
      </x:c>
      <x:c r="B2050" s="106" t="str"/>
      <x:c r="C2050" t="str">
        <x:v>Pasted text(56).txt</x:v>
      </x:c>
    </x:row>
    <x:row r="2051">
      <x:c r="A2051" t="n">
        <x:v>2050</x:v>
      </x:c>
      <x:c r="B2051" s="106" t="str">
        <x:v>FRESH X-AXIS SEARCH FROM DAC 1.00 — OLD DAC VALUES ARE NOT USED</x:v>
      </x:c>
      <x:c r="C2051" t="str">
        <x:v>Pasted text(56).txt</x:v>
      </x:c>
    </x:row>
    <x:row r="2052">
      <x:c r="A2052" t="n">
        <x:v>2051</x:v>
      </x:c>
      <x:c r="B2052" s="106" t="str">
        <x:v>Y/Z are diagnostic only and cannot abort this search.</x:v>
      </x:c>
      <x:c r="C2052" t="str">
        <x:v>Pasted text(56).txt</x:v>
      </x:c>
    </x:row>
    <x:row r="2053">
      <x:c r="A2053" t="n">
        <x:v>2052</x:v>
      </x:c>
      <x:c r="B2053" s="106" t="str">
        <x:v>A real SPI fault, clipping, safety limit or confirmed X-response collapse will stop it.</x:v>
      </x:c>
      <x:c r="C2053" t="str">
        <x:v>Pasted text(56).txt</x:v>
      </x:c>
    </x:row>
    <x:row r="2054">
      <x:c r="A2054" t="n">
        <x:v>2053</x:v>
      </x:c>
      <x:c r="B2054" s="106" t="str">
        <x:v>SEARCH | point 1 | DAC 1.00 | CTRL X 0.01366 | X 0.01396 | Y 0.01340 | Z 0.02610 | TOTAL 0.03297 | error -95.45 % | MAD 6.64 % | CV 3.10 % | coh 7.9 % | dominant Z | axis fraction 53.5 % | BELOW MEASUREMENT FLOOR — SEARCH CONTINUES</x:v>
      </x:c>
      <x:c r="C2054" t="str">
        <x:v>Pasted text(56).txt</x:v>
      </x:c>
    </x:row>
    <x:row r="2055">
      <x:c r="A2055" t="n">
        <x:v>2054</x:v>
      </x:c>
      <x:c r="B2055" s="106" t="str">
        <x:v>SEARCH | point 2 | DAC 3.00 | CTRL X 0.14475 | X 0.13833 | Y 0.05146 | Z 0.09999 | TOTAL 0.17858 | error -51.75 % | MAD 4.73 % | CV 11.06 % | coh 57.4 % | dominant X | axis fraction 100.0 % | VALID</x:v>
      </x:c>
      <x:c r="C2055" t="str">
        <x:v>Pasted text(56).txt</x:v>
      </x:c>
    </x:row>
    <x:row r="2056">
      <x:c r="A2056" t="n">
        <x:v>2055</x:v>
      </x:c>
      <x:c r="B2056" s="106" t="str">
        <x:v>SEARCH | point 3 | DAC 4.00 | CTRL X 0.22566 | X 0.23028 | Y 0.10409 | Z 0.16124 | TOTAL 0.30013 | error -24.78 % | MAD 3.61 % | CV 5.67 % | coh 72.8 % | dominant X | axis fraction 100.0 % | VALID</x:v>
      </x:c>
      <x:c r="C2056" t="str">
        <x:v>Pasted text(56).txt</x:v>
      </x:c>
    </x:row>
    <x:row r="2057">
      <x:c r="A2057" t="n">
        <x:v>2056</x:v>
      </x:c>
      <x:c r="B2057" s="106" t="str">
        <x:v>SEARCH | point 4 | DAC 4.50 | CTRL X 0.25294 | X 0.24930 | Y 0.12225 | Z 0.20357 | TOTAL 0.34449 | error -15.69 % | MAD 2.43 % | CV 4.06 % | coh 73.7 % | dominant X | axis fraction 100.0 % | VALID</x:v>
      </x:c>
      <x:c r="C2057" t="str">
        <x:v>Pasted text(56).txt</x:v>
      </x:c>
    </x:row>
    <x:row r="2058">
      <x:c r="A2058" t="n">
        <x:v>2057</x:v>
      </x:c>
      <x:c r="B2058" s="106" t="str">
        <x:v>SEARCH | point 5 | DAC 5.00 | CTRL X 0.33779 | X 0.33679 | Y 0.16536 | Z 0.25841 | TOTAL 0.45634 | error 12.60 % | MAD 4.18 % | CV 3.28 % | coh 83.6 % | dominant X | axis fraction 100.0 % | VALID</x:v>
      </x:c>
      <x:c r="C2058" t="str">
        <x:v>Pasted text(56).txt</x:v>
      </x:c>
    </x:row>
    <x:row r="2059">
      <x:c r="A2059" t="n">
        <x:v>2058</x:v>
      </x:c>
      <x:c r="B2059" s="106" t="str">
        <x:v>X bracket found: DAC 4.50 -&gt; 5.00. Interpolated X target DAC = 4.78</x:v>
      </x:c>
      <x:c r="C2059" t="str">
        <x:v>Pasted text(56).txt</x:v>
      </x:c>
    </x:row>
    <x:row r="2060">
      <x:c r="A2060" t="n">
        <x:v>2059</x:v>
      </x:c>
      <x:c r="B2060" s="106" t="str"/>
      <x:c r="C2060" t="str">
        <x:v>Pasted text(56).txt</x:v>
      </x:c>
    </x:row>
    <x:row r="2061">
      <x:c r="A2061" t="n">
        <x:v>2060</x:v>
      </x:c>
      <x:c r="B2061" s="106" t="str">
        <x:v>LOCAL 0.25-DAC X-AXIS FINE SCAN</x:v>
      </x:c>
      <x:c r="C2061" t="str">
        <x:v>Pasted text(56).txt</x:v>
      </x:c>
    </x:row>
    <x:row r="2062">
      <x:c r="A2062" t="n">
        <x:v>2061</x:v>
      </x:c>
      <x:c r="B2062" s="106" t="str">
        <x:v>Only a valid point actually inside the X target band may be selected.</x:v>
      </x:c>
      <x:c r="C2062" t="str">
        <x:v>Pasted text(56).txt</x:v>
      </x:c>
    </x:row>
    <x:row r="2063">
      <x:c r="A2063" t="n">
        <x:v>2062</x:v>
      </x:c>
      <x:c r="B2063" s="106" t="str">
        <x:v>FINE | point 1 | DAC 3.75 | CTRL X 0.20502 | X 0.21089 | Y 0.12156 | Z 0.18453 | TOTAL 0.30618 | error -31.66 % | MAD 8.50 % | CV 3.94 % | coh 62.0 % | dominant X | axis fraction 100.0 % | VALID</x:v>
      </x:c>
      <x:c r="C2063" t="str">
        <x:v>Pasted text(56).txt</x:v>
      </x:c>
    </x:row>
    <x:row r="2064">
      <x:c r="A2064" t="n">
        <x:v>2063</x:v>
      </x:c>
      <x:c r="B2064" s="106" t="str">
        <x:v>FINE | point 2 | DAC 4.00 | CTRL X 0.25843 | X 0.25136 | Y 0.11332 | Z 0.17484 | TOTAL 0.32687 | error -13.86 % | MAD 1.53 % | CV 5.82 % | coh 75.5 % | dominant X | axis fraction 100.0 % | VALID</x:v>
      </x:c>
      <x:c r="C2064" t="str">
        <x:v>Pasted text(56).txt</x:v>
      </x:c>
    </x:row>
    <x:row r="2065">
      <x:c r="A2065" t="n">
        <x:v>2064</x:v>
      </x:c>
      <x:c r="B2065" s="106" t="str">
        <x:v>FINE | point 3 | DAC 4.25 | CTRL X 0.25117 | X 0.26009 | Y 0.11250 | Z 0.17385 | TOTAL 0.33301 | error -16.28 % | MAD 1.23 % | CV 6.65 % | coh 78.0 % | dominant X | axis fraction 100.0 % | VALID</x:v>
      </x:c>
      <x:c r="C2065" t="str">
        <x:v>Pasted text(56).txt</x:v>
      </x:c>
    </x:row>
    <x:row r="2066">
      <x:c r="A2066" t="n">
        <x:v>2065</x:v>
      </x:c>
      <x:c r="B2066" s="106" t="str">
        <x:v>FINE | point 4 | DAC 4.50 | CTRL X 0.27026 | X 0.27747 | Y 0.13188 | Z 0.19365 | TOTAL 0.36393 | error -9.91 % | MAD 1.38 % | CV 5.30 % | coh 77.3 % | dominant X | axis fraction 100.0 % | VALID</x:v>
      </x:c>
      <x:c r="C2066" t="str">
        <x:v>Pasted text(56).txt</x:v>
      </x:c>
    </x:row>
    <x:row r="2067">
      <x:c r="A2067" t="n">
        <x:v>2066</x:v>
      </x:c>
      <x:c r="B2067" s="106" t="str">
        <x:v>FINE | point 5 | DAC 4.75 | CTRL X 0.32248 | X 0.32729 | Y 0.14567 | Z 0.22254 | TOTAL 0.42184 | error 7.49 % | MAD 0.40 % | CV 2.78 % | coh 80.1 % | dominant X | axis fraction 100.0 % | IN TARGET BAND</x:v>
      </x:c>
      <x:c r="C2067" t="str">
        <x:v>Pasted text(56).txt</x:v>
      </x:c>
    </x:row>
    <x:row r="2068">
      <x:c r="A2068" t="n">
        <x:v>2067</x:v>
      </x:c>
      <x:c r="B2068" s="106" t="str">
        <x:v>FINE | point 6 | DAC 5.00 | CTRL X 0.33104 | X 0.33195 | Y 0.15355 | Z 0.21505 | TOTAL 0.42443 | error 10.35 % | MAD 1.02 % | CV 1.12 % | coh 78.8 % | dominant X | axis fraction 100.0 % | VALID</x:v>
      </x:c>
      <x:c r="C2068" t="str">
        <x:v>Pasted text(56).txt</x:v>
      </x:c>
    </x:row>
    <x:row r="2069">
      <x:c r="A2069" t="n">
        <x:v>2068</x:v>
      </x:c>
      <x:c r="B2069" s="106" t="str">
        <x:v>FINE | point 7 | DAC 5.25 | CTRL X 0.34960 | X 0.35937 | Y 0.15329 | Z 0.22884 | TOTAL 0.45311 | error 16.53 % | MAD 1.01 % | CV 5.30 % | coh 81.6 % | dominant X | axis fraction 100.0 % | VALID</x:v>
      </x:c>
      <x:c r="C2069" t="str">
        <x:v>Pasted text(56).txt</x:v>
      </x:c>
    </x:row>
    <x:row r="2070">
      <x:c r="A2070" t="n">
        <x:v>2069</x:v>
      </x:c>
      <x:c r="B2070" s="106" t="str">
        <x:v>FINE | point 8 | DAC 5.50 | CTRL X 0.36885 | X 0.37234 | Y 0.15249 | Z 0.23216 | TOTAL 0.46460 | error 22.95 % | MAD 0.32 % | CV 1.82 % | coh 83.1 % | dominant X | axis fraction 100.0 % | VALID</x:v>
      </x:c>
      <x:c r="C2070" t="str">
        <x:v>Pasted text(56).txt</x:v>
      </x:c>
    </x:row>
    <x:row r="2071">
      <x:c r="A2071" t="n">
        <x:v>2070</x:v>
      </x:c>
      <x:c r="B2071" s="106" t="str">
        <x:v>FINE | point 9 | DAC 5.75 | CTRL X 0.41388 | X 0.41633 | Y 0.18759 | Z 0.28783 | TOTAL 0.53993 | error 37.96 % | MAD 2.68 % | CV 2.73 % | coh 84.8 % | dominant X | axis fraction 100.0 % | VALID</x:v>
      </x:c>
      <x:c r="C2071" t="str">
        <x:v>Pasted text(56).txt</x:v>
      </x:c>
    </x:row>
    <x:row r="2072">
      <x:c r="A2072" t="n">
        <x:v>2071</x:v>
      </x:c>
      <x:c r="B2072" s="106" t="str"/>
      <x:c r="C2072" t="str">
        <x:v>Pasted text(56).txt</x:v>
      </x:c>
    </x:row>
    <x:row r="2073">
      <x:c r="A2073" t="n">
        <x:v>2072</x:v>
      </x:c>
      <x:c r="B2073" s="106" t="str">
        <x:v>LONG VALIDATION AT FIXED DAC 4.75</x:v>
      </x:c>
      <x:c r="C2073" t="str">
        <x:v>Pasted text(56).txt</x:v>
      </x:c>
    </x:row>
    <x:row r="2074">
      <x:c r="A2074" t="n">
        <x:v>2073</x:v>
      </x:c>
      <x:c r="B2074" s="106" t="str">
        <x:v>FINAL | point 1 | DAC 4.75 | CTRL X 0.32251 | X 0.31978 | Y 0.12623 | Z 0.20289 | TOTAL 0.39968 | error 7.50 % | MAD 2.06 % | CV 2.00 % | coh 79.9 % | dominant X | axis fraction 100.0 % | VALID</x:v>
      </x:c>
      <x:c r="C2074" t="str">
        <x:v>Pasted text(56).txt</x:v>
      </x:c>
    </x:row>
    <x:row r="2075">
      <x:c r="A2075" t="n">
        <x:v>2074</x:v>
      </x:c>
      <x:c r="B2075" s="106" t="str">
        <x:v>FINAL | point 2 | DAC 4.75 | CTRL X 0.30811 | X 0.31216 | Y 0.12385 | Z 0.21869 | TOTAL 0.40128 | error 2.70 % | MAD 7.70 % | CV 5.93 % | coh 78.9 % | dominant X | axis fraction 100.0 % | IN TARGET BAND</x:v>
      </x:c>
      <x:c r="C2075" t="str">
        <x:v>Pasted text(56).txt</x:v>
      </x:c>
    </x:row>
    <x:row r="2076">
      <x:c r="A2076" t="n">
        <x:v>2075</x:v>
      </x:c>
      <x:c r="B2076" s="106" t="str">
        <x:v>FINAL | point 3 | DAC 4.75 | CTRL X 0.30177 | X 0.30681 | Y 0.12301 | Z 0.22158 | TOTAL 0.39846 | error 0.59 % | MAD 3.15 % | CV 4.43 % | coh 79.5 % | dominant X | axis fraction 100.0 % | IN TARGET BAND</x:v>
      </x:c>
      <x:c r="C2076" t="str">
        <x:v>Pasted text(56).txt</x:v>
      </x:c>
    </x:row>
    <x:row r="2077">
      <x:c r="A2077" t="n">
        <x:v>2076</x:v>
      </x:c>
      <x:c r="B2077" s="106" t="str">
        <x:v>VALIDATION ACCEPTED | pair drift 2.08 %</x:v>
      </x:c>
      <x:c r="C2077" t="str">
        <x:v>Pasted text(56).txt</x:v>
      </x:c>
    </x:row>
    <x:row r="2078">
      <x:c r="A2078" t="n">
        <x:v>2077</x:v>
      </x:c>
      <x:c r="B2078" s="106" t="str"/>
      <x:c r="C2078" t="str">
        <x:v>Pasted text(56).txt</x:v>
      </x:c>
    </x:row>
    <x:row r="2079">
      <x:c r="A2079" t="n">
        <x:v>2078</x:v>
      </x:c>
      <x:c r="B2079" s="106" t="str">
        <x:v>FINAL VALIDATED BLIND FFT VERIFICATION</x:v>
      </x:c>
      <x:c r="C2079" t="str">
        <x:v>Pasted text(56).txt</x:v>
      </x:c>
    </x:row>
    <x:row r="2080">
      <x:c r="A2080" t="n">
        <x:v>2079</x:v>
      </x:c>
      <x:c r="B2080" s="106" t="str">
        <x:v>Commanded frequency: 268.00000 Hz</x:v>
      </x:c>
      <x:c r="C2080" t="str">
        <x:v>Pasted text(56).txt</x:v>
      </x:c>
    </x:row>
    <x:row r="2081">
      <x:c r="A2081" t="n">
        <x:v>2080</x:v>
      </x:c>
      <x:c r="B2081" s="106" t="str">
        <x:v>Accepted DAC: 4.75</x:v>
      </x:c>
      <x:c r="C2081" t="str">
        <x:v>Pasted text(56).txt</x:v>
      </x:c>
    </x:row>
    <x:row r="2082">
      <x:c r="A2082" t="n">
        <x:v>2081</x:v>
      </x:c>
      <x:c r="B2082" s="106" t="str">
        <x:v>Axis,Frequency_Hz,Amplitude_mps2,SNR_dB,Status</x:v>
      </x:c>
      <x:c r="C2082" t="str">
        <x:v>Pasted text(56).txt</x:v>
      </x:c>
    </x:row>
    <x:row r="2083">
      <x:c r="A2083" t="n">
        <x:v>2082</x:v>
      </x:c>
      <x:c r="B2083" s="106" t="str">
        <x:v>X,268.03351,0.28001,26.64,VALID</x:v>
      </x:c>
      <x:c r="C2083" t="str">
        <x:v>Pasted text(56).txt</x:v>
      </x:c>
    </x:row>
    <x:row r="2084">
      <x:c r="A2084" t="n">
        <x:v>2083</x:v>
      </x:c>
      <x:c r="B2084" s="106" t="str">
        <x:v>Y,378.72169,0.18296,18.22,VALID</x:v>
      </x:c>
      <x:c r="C2084" t="str">
        <x:v>Pasted text(56).txt</x:v>
      </x:c>
    </x:row>
    <x:row r="2085">
      <x:c r="A2085" t="n">
        <x:v>2084</x:v>
      </x:c>
      <x:c r="B2085" s="106" t="str">
        <x:v>Z,268.02055,0.18024,21.07,VALID</x:v>
      </x:c>
      <x:c r="C2085" t="str">
        <x:v>Pasted text(56).txt</x:v>
      </x:c>
    </x:row>
    <x:row r="2086">
      <x:c r="A2086" t="n">
        <x:v>2085</x:v>
      </x:c>
      <x:c r="B2086" s="106" t="str">
        <x:v>Combined frequency: 268.03188 Hz | difference 0.03188 Hz</x:v>
      </x:c>
      <x:c r="C2086" t="str">
        <x:v>Pasted text(56).txt</x:v>
      </x:c>
    </x:row>
    <x:row r="2087">
      <x:c r="A2087" t="n">
        <x:v>2086</x:v>
      </x:c>
      <x:c r="B2087" s="106" t="str">
        <x:v>Combined X/Y/Z/TOTAL: 0.25592 / 0.10277 / 0.16428 / 0.32101</x:v>
      </x:c>
      <x:c r="C2087" t="str">
        <x:v>Pasted text(56).txt</x:v>
      </x:c>
    </x:row>
    <x:row r="2088">
      <x:c r="A2088" t="n">
        <x:v>2087</x:v>
      </x:c>
      <x:c r="B2088" s="106" t="str">
        <x:v>SNR: 20.71 dB | dominant axis X</x:v>
      </x:c>
      <x:c r="C2088" t="str">
        <x:v>Pasted text(56).txt</x:v>
      </x:c>
    </x:row>
    <x:row r="2089">
      <x:c r="A2089" t="n">
        <x:v>2088</x:v>
      </x:c>
      <x:c r="B2089" s="106" t="str">
        <x:v>Frequency verification: PASS</x:v>
      </x:c>
      <x:c r="C2089" t="str">
        <x:v>Pasted text(56).txt</x:v>
      </x:c>
    </x:row>
    <x:row r="2090">
      <x:c r="A2090" t="n">
        <x:v>2089</x:v>
      </x:c>
      <x:c r="B2090" s="106" t="str">
        <x:v>Y/Z dominance: DIAGNOSTIC ONLY — ignored for pass/fail</x:v>
      </x:c>
      <x:c r="C2090" t="str">
        <x:v>Pasted text(56).txt</x:v>
      </x:c>
    </x:row>
    <x:row r="2091">
      <x:c r="A2091" t="n">
        <x:v>2090</x:v>
      </x:c>
      <x:c r="B2091" s="106" t="str"/>
      <x:c r="C2091" t="str">
        <x:v>Pasted text(56).txt</x:v>
      </x:c>
    </x:row>
    <x:row r="2092">
      <x:c r="A2092" t="n">
        <x:v>2091</x:v>
      </x:c>
      <x:c r="B2092" s="106" t="str">
        <x:v>FIXED-DAC HOLD VALIDATION</x:v>
      </x:c>
      <x:c r="C2092" t="str">
        <x:v>Pasted text(56).txt</x:v>
      </x:c>
    </x:row>
    <x:row r="2093">
      <x:c r="A2093" t="n">
        <x:v>2092</x:v>
      </x:c>
      <x:c r="B2093" s="106" t="str">
        <x:v>DAC remains fixed at 4.75 for 10 records.</x:v>
      </x:c>
      <x:c r="C2093" t="str">
        <x:v>Pasted text(56).txt</x:v>
      </x:c>
    </x:row>
    <x:row r="2094">
      <x:c r="A2094" t="n">
        <x:v>2093</x:v>
      </x:c>
      <x:c r="B2094" s="106" t="str">
        <x:v>HOLD | point 1 | DAC 4.75 | CTRL X 0.32289 | X 0.31283 | Y 0.12564 | Z 0.19226 | TOTAL 0.38887 | error 7.63 % | MAD 0.17 % | CV 5.67 % | coh 80.5 % | dominant X | axis fraction 100.0 % | VALID</x:v>
      </x:c>
      <x:c r="C2094" t="str">
        <x:v>Pasted text(56).txt</x:v>
      </x:c>
    </x:row>
    <x:row r="2095">
      <x:c r="A2095" t="n">
        <x:v>2094</x:v>
      </x:c>
      <x:c r="B2095" s="106" t="str">
        <x:v>HOLD | point 2 | DAC 4.75 | CTRL X 0.30076 | X 0.30500 | Y 0.14329 | Z 0.20021 | TOTAL 0.39259 | error 0.25 % | MAD 0.10 % | CV 2.47 % | coh 77.9 % | dominant X | axis fraction 100.0 % | IN TARGET BAND</x:v>
      </x:c>
      <x:c r="C2095" t="str">
        <x:v>Pasted text(56).txt</x:v>
      </x:c>
    </x:row>
    <x:row r="2096">
      <x:c r="A2096" t="n">
        <x:v>2095</x:v>
      </x:c>
      <x:c r="B2096" s="106" t="str">
        <x:v>HOLD | point 3 | DAC 4.75 | CTRL X 0.29390 | X 0.29938 | Y 0.13433 | Z 0.20478 | TOTAL 0.38762 | error -2.03 % | MAD 5.01 % | CV 6.27 % | coh 76.9 % | dominant X | axis fraction 100.0 % | IN TARGET BAND</x:v>
      </x:c>
      <x:c r="C2096" t="str">
        <x:v>Pasted text(56).txt</x:v>
      </x:c>
    </x:row>
    <x:row r="2097">
      <x:c r="A2097" t="n">
        <x:v>2096</x:v>
      </x:c>
      <x:c r="B2097" s="106" t="str">
        <x:v>HOLD | point 4 | DAC 4.75 | CTRL X 0.31884 | X 0.31999 | Y 0.13282 | Z 0.20907 | TOTAL 0.40469 | error 6.28 % | MAD 7.70 % | CV 5.72 % | coh 79.8 % | dominant X | axis fraction 100.0 % | IN TARGET BAND</x:v>
      </x:c>
      <x:c r="C2097" t="str">
        <x:v>Pasted text(56).txt</x:v>
      </x:c>
    </x:row>
    <x:row r="2098">
      <x:c r="A2098" t="n">
        <x:v>2097</x:v>
      </x:c>
      <x:c r="B2098" s="106" t="str">
        <x:v>HOLD | point 5 | DAC 4.75 | CTRL X 0.30207 | X 0.31128 | Y 0.12090 | Z 0.20260 | TOTAL 0.39159 | error 0.69 % | MAD 0.21 % | CV 5.24 % | coh 79.3 % | dominant X | axis fraction 100.0 % | IN TARGET BAND</x:v>
      </x:c>
      <x:c r="C2098" t="str">
        <x:v>Pasted text(56).txt</x:v>
      </x:c>
    </x:row>
    <x:row r="2099">
      <x:c r="A2099" t="n">
        <x:v>2098</x:v>
      </x:c>
      <x:c r="B2099" s="106" t="str">
        <x:v>HOLD | point 6 | DAC 4.75 | CTRL X 0.30547 | X 0.30519 | Y 0.11926 | Z 0.20161 | TOTAL 0.38512 | error 1.82 % | MAD 0.00 % | CV 0.16 % | coh 77.4 % | dominant X | axis fraction 100.0 % | IN TARGET BAND</x:v>
      </x:c>
      <x:c r="C2099" t="str">
        <x:v>Pasted text(56).txt</x:v>
      </x:c>
    </x:row>
    <x:row r="2100">
      <x:c r="A2100" t="n">
        <x:v>2099</x:v>
      </x:c>
      <x:c r="B2100" s="106" t="str">
        <x:v>HOLD | point 7 | DAC 4.75 | CTRL X 0.30354 | X 0.30596 | Y 0.13588 | Z 0.20696 | TOTAL 0.39388 | error 1.18 % | MAD 0.29 % | CV 1.54 % | coh 77.3 % | dominant X | axis fraction 100.0 % | IN TARGET BAND</x:v>
      </x:c>
      <x:c r="C2100" t="str">
        <x:v>Pasted text(56).txt</x:v>
      </x:c>
    </x:row>
    <x:row r="2101">
      <x:c r="A2101" t="n">
        <x:v>2100</x:v>
      </x:c>
      <x:c r="B2101" s="106" t="str">
        <x:v>HOLD | point 8 | DAC 4.75 | CTRL X 0.32548 | X 0.32188 | Y 0.14155 | Z 0.23080 | TOTAL 0.42089 | error 8.49 % | MAD 3.19 % | CV 3.97 % | coh 81.0 % | dominant X | axis fraction 100.0 % | VALID</x:v>
      </x:c>
      <x:c r="C2101" t="str">
        <x:v>Pasted text(56).txt</x:v>
      </x:c>
    </x:row>
    <x:row r="2102">
      <x:c r="A2102" t="n">
        <x:v>2101</x:v>
      </x:c>
      <x:c r="B2102" s="106" t="str">
        <x:v>HOLD | point 9 | DAC 4.75 | CTRL X 0.32148 | X 0.31456 | Y 0.12636 | Z 0.22141 | TOTAL 0.40505 | error 7.16 % | MAD 1.40 % | CV 4.68 % | coh 80.0 % | dominant X | axis fraction 100.0 % | IN TARGET BAND</x:v>
      </x:c>
      <x:c r="C2102" t="str">
        <x:v>Pasted text(56).txt</x:v>
      </x:c>
    </x:row>
    <x:row r="2103">
      <x:c r="A2103" t="n">
        <x:v>2102</x:v>
      </x:c>
      <x:c r="B2103" s="106" t="str">
        <x:v>HOLD | point 10 | DAC 4.75 | CTRL X 0.30819 | X 0.31299 | Y 0.13395 | Z 0.21898 | TOTAL 0.40527 | error 2.73 % | MAD 4.19 % | CV 5.25 % | coh 78.8 % | dominant X | axis fraction 100.0 % | IN TARGET BAND</x:v>
      </x:c>
      <x:c r="C2103" t="str">
        <x:v>Pasted text(56).txt</x:v>
      </x:c>
    </x:row>
    <x:row r="2104">
      <x:c r="A2104" t="n">
        <x:v>2103</x:v>
      </x:c>
      <x:c r="B2104" s="106" t="str"/>
      <x:c r="C2104" t="str">
        <x:v>Pasted text(56).txt</x:v>
      </x:c>
    </x:row>
    <x:row r="2105">
      <x:c r="A2105" t="n">
        <x:v>2104</x:v>
      </x:c>
      <x:c r="B2105" s="106" t="str">
        <x:v>HOLD SUMMARY</x:v>
      </x:c>
      <x:c r="C2105" t="str">
        <x:v>Pasted text(56).txt</x:v>
      </x:c>
    </x:row>
    <x:row r="2106">
      <x:c r="A2106" t="n">
        <x:v>2105</x:v>
      </x:c>
      <x:c r="B2106" s="106" t="str">
        <x:v>Valid / requested: 10 / 10</x:v>
      </x:c>
      <x:c r="C2106" t="str">
        <x:v>Pasted text(56).txt</x:v>
      </x:c>
    </x:row>
    <x:row r="2107">
      <x:c r="A2107" t="n">
        <x:v>2106</x:v>
      </x:c>
      <x:c r="B2107" s="106" t="str">
        <x:v>In band / requested: 8 / 10 = 80.0 %</x:v>
      </x:c>
      <x:c r="C2107" t="str">
        <x:v>Pasted text(56).txt</x:v>
      </x:c>
    </x:row>
    <x:row r="2108">
      <x:c r="A2108" t="n">
        <x:v>2107</x:v>
      </x:c>
      <x:c r="B2108" s="106" t="str">
        <x:v>Mean / SD / CV: 0.31026 / 0.01100 / 3.54 %</x:v>
      </x:c>
      <x:c r="C2108" t="str">
        <x:v>Pasted text(56).txt</x:v>
      </x:c>
    </x:row>
    <x:row r="2109">
      <x:c r="A2109" t="n">
        <x:v>2108</x:v>
      </x:c>
      <x:c r="B2109" s="106" t="str">
        <x:v>Min / Max: 0.29390 / 0.32548</x:v>
      </x:c>
      <x:c r="C2109" t="str">
        <x:v>Pasted text(56).txt</x:v>
      </x:c>
    </x:row>
    <x:row r="2110">
      <x:c r="A2110" t="n">
        <x:v>2109</x:v>
      </x:c>
      <x:c r="B2110" s="106" t="str">
        <x:v>HOLD RESULT: PASS</x:v>
      </x:c>
      <x:c r="C2110" t="str">
        <x:v>Pasted text(56).txt</x:v>
      </x:c>
    </x:row>
    <x:row r="2111">
      <x:c r="A2111" t="n">
        <x:v>2110</x:v>
      </x:c>
      <x:c r="B2111" s="106" t="str"/>
      <x:c r="C2111" t="str">
        <x:v>Pasted text(56).txt</x:v>
      </x:c>
    </x:row>
    <x:row r="2112">
      <x:c r="A2112" t="n">
        <x:v>2111</x:v>
      </x:c>
      <x:c r="B2112" s="106" t="str">
        <x:v>RUN RESULT: PASS</x:v>
      </x:c>
      <x:c r="C2112" t="str">
        <x:v>Pasted text(56).txt</x:v>
      </x:c>
    </x:row>
    <x:row r="2113">
      <x:c r="A2113" t="n">
        <x:v>2112</x:v>
      </x:c>
      <x:c r="B2113" s="106" t="str">
        <x:v>Selected DAC: 4.75</x:v>
      </x:c>
      <x:c r="C2113" t="str">
        <x:v>Pasted text(56).txt</x:v>
      </x:c>
    </x:row>
    <x:row r="2114">
      <x:c r="A2114" t="n">
        <x:v>2113</x:v>
      </x:c>
      <x:c r="B2114" s="106" t="str">
        <x:v>Validated amplitude: 0.30494 m/s^2 | error 1.65 %</x:v>
      </x:c>
      <x:c r="C2114" t="str">
        <x:v>Pasted text(56).txt</x:v>
      </x:c>
    </x:row>
    <x:row r="2115">
      <x:c r="A2115" t="n">
        <x:v>2114</x:v>
      </x:c>
      <x:c r="B2115" s="106" t="str">
        <x:v>FFT frequency: 268.03188 Hz | difference 0.03188 Hz</x:v>
      </x:c>
      <x:c r="C2115" t="str">
        <x:v>Pasted text(56).txt</x:v>
      </x:c>
    </x:row>
    <x:row r="2116">
      <x:c r="A2116" t="n">
        <x:v>2115</x:v>
      </x:c>
      <x:c r="B2116" s="106" t="str"/>
      <x:c r="C2116" t="str">
        <x:v>Pasted text(56).txt</x:v>
      </x:c>
    </x:row>
    <x:row r="2117">
      <x:c r="A2117" t="n">
        <x:v>2116</x:v>
      </x:c>
      <x:c r="B2117" s="106" t="str">
        <x:v>VISATON OFF. RESTING 5.0 s BEFORE THE NEXT COMPLETELY FRESH RUN.</x:v>
      </x:c>
      <x:c r="C2117" t="str">
        <x:v>Pasted text(56).txt</x:v>
      </x:c>
    </x:row>
    <x:row r="2118">
      <x:c r="A2118" t="n">
        <x:v>2117</x:v>
      </x:c>
      <x:c r="B2118" s="106" t="str"/>
      <x:c r="C2118" t="str">
        <x:v>Pasted text(56).txt</x:v>
      </x:c>
    </x:row>
    <x:row r="2119">
      <x:c r="A2119" t="n">
        <x:v>2118</x:v>
      </x:c>
      <x:c r="B2119" s="106" t="str">
        <x:v>################################################################################</x:v>
      </x:c>
      <x:c r="C2119" t="str">
        <x:v>Pasted text(56).txt</x:v>
      </x:c>
    </x:row>
    <x:row r="2120">
      <x:c r="A2120" t="n">
        <x:v>2119</x:v>
      </x:c>
      <x:c r="B2120" s="106" t="str">
        <x:v>INDEPENDENT TARGET-AMPLITUDE RUN 2 OF 5</x:v>
      </x:c>
      <x:c r="C2120" t="str">
        <x:v>Pasted text(56).txt</x:v>
      </x:c>
    </x:row>
    <x:row r="2121">
      <x:c r="A2121" t="n">
        <x:v>2120</x:v>
      </x:c>
      <x:c r="B2121" s="106" t="str">
        <x:v>################################################################################</x:v>
      </x:c>
      <x:c r="C2121" t="str">
        <x:v>Pasted text(56).txt</x:v>
      </x:c>
    </x:row>
    <x:row r="2122">
      <x:c r="A2122" t="n">
        <x:v>2121</x:v>
      </x:c>
      <x:c r="B2122" s="106" t="str">
        <x:v>Frequency: 268.00000 Hz</x:v>
      </x:c>
      <x:c r="C2122" t="str">
        <x:v>Pasted text(56).txt</x:v>
      </x:c>
    </x:row>
    <x:row r="2123">
      <x:c r="A2123" t="n">
        <x:v>2122</x:v>
      </x:c>
      <x:c r="B2123" s="106" t="str">
        <x:v>Target X amplitude: 0.30000 m/s^2 peak, tolerance +/-7.50 %</x:v>
      </x:c>
      <x:c r="C2123" t="str">
        <x:v>Pasted text(56).txt</x:v>
      </x:c>
    </x:row>
    <x:row r="2124">
      <x:c r="A2124" t="n">
        <x:v>2123</x:v>
      </x:c>
      <x:c r="B2124" s="106" t="str">
        <x:v>This run starts from DAC 1.00 and ignores every earlier selected DAC.</x:v>
      </x:c>
      <x:c r="C2124" t="str">
        <x:v>Pasted text(56).txt</x:v>
      </x:c>
    </x:row>
    <x:row r="2125">
      <x:c r="A2125" t="n">
        <x:v>2124</x:v>
      </x:c>
      <x:c r="B2125" s="106" t="str">
        <x:v>ADXL2 DEVID/DATA_FORMAT/BW_RATE/POWER_CTL: 0xE5 / 0xB / 0xE / 0x8</x:v>
      </x:c>
      <x:c r="C2125" t="str">
        <x:v>Pasted text(56).txt</x:v>
      </x:c>
    </x:row>
    <x:row r="2126">
      <x:c r="A2126" t="n">
        <x:v>2125</x:v>
      </x:c>
      <x:c r="B2126" s="106" t="str"/>
      <x:c r="C2126" t="str">
        <x:v>Pasted text(56).txt</x:v>
      </x:c>
    </x:row>
    <x:row r="2127">
      <x:c r="A2127" t="n">
        <x:v>2126</x:v>
      </x:c>
      <x:c r="B2127" s="106" t="str">
        <x:v>ACQUISITION ATTEMPT 1 OF 2</x:v>
      </x:c>
      <x:c r="C2127" t="str">
        <x:v>Pasted text(56).txt</x:v>
      </x:c>
    </x:row>
    <x:row r="2128">
      <x:c r="A2128" t="n">
        <x:v>2127</x:v>
      </x:c>
      <x:c r="B2128" s="106" t="str"/>
      <x:c r="C2128" t="str">
        <x:v>Pasted text(56).txt</x:v>
      </x:c>
    </x:row>
    <x:row r="2129">
      <x:c r="A2129" t="n">
        <x:v>2128</x:v>
      </x:c>
      <x:c r="B2129" s="106" t="str">
        <x:v>FRESH X-AXIS SEARCH FROM DAC 1.00 — OLD DAC VALUES ARE NOT USED</x:v>
      </x:c>
      <x:c r="C2129" t="str">
        <x:v>Pasted text(56).txt</x:v>
      </x:c>
    </x:row>
    <x:row r="2130">
      <x:c r="A2130" t="n">
        <x:v>2129</x:v>
      </x:c>
      <x:c r="B2130" s="106" t="str">
        <x:v>Y/Z are diagnostic only and cannot abort this search.</x:v>
      </x:c>
      <x:c r="C2130" t="str">
        <x:v>Pasted text(56).txt</x:v>
      </x:c>
    </x:row>
    <x:row r="2131">
      <x:c r="A2131" t="n">
        <x:v>2130</x:v>
      </x:c>
      <x:c r="B2131" s="106" t="str">
        <x:v>A real SPI fault, clipping, safety limit or confirmed X-response collapse will stop it.</x:v>
      </x:c>
      <x:c r="C2131" t="str">
        <x:v>Pasted text(56).txt</x:v>
      </x:c>
    </x:row>
    <x:row r="2132">
      <x:c r="A2132" t="n">
        <x:v>2131</x:v>
      </x:c>
      <x:c r="B2132" s="106" t="str">
        <x:v>SEARCH | point 1 | DAC 1.00 | CTRL X 0.01882 | X 0.01739 | Y 0.01374 | Z 0.03788 | TOTAL 0.04416 | error -93.73 % | MAD 37.45 % | CV 40.26 % | coh 10.6 % | dominant Z | axis fraction 45.9 % | BELOW MEASUREMENT FLOOR — SEARCH CONTINUES</x:v>
      </x:c>
      <x:c r="C2132" t="str">
        <x:v>Pasted text(56).txt</x:v>
      </x:c>
    </x:row>
    <x:row r="2133">
      <x:c r="A2133" t="n">
        <x:v>2132</x:v>
      </x:c>
      <x:c r="B2133" s="106" t="str">
        <x:v>SEARCH | point 2 | DAC 3.00 | CTRL X 0.13800 | X 0.13707 | Y 0.05923 | Z 0.09484 | TOTAL 0.17856 | error -54.00 % | MAD 0.40 % | CV 1.41 % | coh 54.7 % | dominant X | axis fraction 100.0 % | VALID</x:v>
      </x:c>
      <x:c r="C2133" t="str">
        <x:v>Pasted text(56).txt</x:v>
      </x:c>
    </x:row>
    <x:row r="2134">
      <x:c r="A2134" t="n">
        <x:v>2133</x:v>
      </x:c>
      <x:c r="B2134" s="106" t="str">
        <x:v>SEARCH | point 3 | DAC 4.00 | CTRL X 0.22789 | X 0.22610 | Y 0.11621 | Z 0.14821 | TOTAL 0.29440 | error -24.04 % | MAD 1.26 % | CV 2.16 % | coh 73.2 % | dominant X | axis fraction 100.0 % | VALID</x:v>
      </x:c>
      <x:c r="C2134" t="str">
        <x:v>Pasted text(56).txt</x:v>
      </x:c>
    </x:row>
    <x:row r="2135">
      <x:c r="A2135" t="n">
        <x:v>2134</x:v>
      </x:c>
      <x:c r="B2135" s="106" t="str">
        <x:v>SEARCH | point 4 | DAC 4.50 | CTRL X 0.27475 | X 0.25927 | Y 0.10269 | Z 0.20507 | TOTAL 0.34643 | error -8.42 % | MAD 2.14 % | CV 11.69 % | coh 73.8 % | dominant X | axis fraction 100.0 % | VALID</x:v>
      </x:c>
      <x:c r="C2135" t="str">
        <x:v>Pasted text(56).txt</x:v>
      </x:c>
    </x:row>
    <x:row r="2136">
      <x:c r="A2136" t="n">
        <x:v>2135</x:v>
      </x:c>
      <x:c r="B2136" s="106" t="str">
        <x:v>SEARCH | point 5 | DAC 4.75 | CTRL X 0.30991 | X 0.31012 | Y 0.14284 | Z 0.20602 | TOTAL 0.39927 | error 3.30 % | MAD 1.00 % | CV 0.78 % | coh 78.4 % | dominant X | axis fraction 100.0 % | IN TARGET BAND</x:v>
      </x:c>
      <x:c r="C2136" t="str">
        <x:v>Pasted text(56).txt</x:v>
      </x:c>
    </x:row>
    <x:row r="2137">
      <x:c r="A2137" t="n">
        <x:v>2136</x:v>
      </x:c>
      <x:c r="B2137" s="106" t="str"/>
      <x:c r="C2137" t="str">
        <x:v>Pasted text(56).txt</x:v>
      </x:c>
    </x:row>
    <x:row r="2138">
      <x:c r="A2138" t="n">
        <x:v>2137</x:v>
      </x:c>
      <x:c r="B2138" s="106" t="str">
        <x:v>LOCAL 0.25-DAC X-AXIS FINE SCAN</x:v>
      </x:c>
      <x:c r="C2138" t="str">
        <x:v>Pasted text(56).txt</x:v>
      </x:c>
    </x:row>
    <x:row r="2139">
      <x:c r="A2139" t="n">
        <x:v>2138</x:v>
      </x:c>
      <x:c r="B2139" s="106" t="str">
        <x:v>Only a valid point actually inside the X target band may be selected.</x:v>
      </x:c>
      <x:c r="C2139" t="str">
        <x:v>Pasted text(56).txt</x:v>
      </x:c>
    </x:row>
    <x:row r="2140">
      <x:c r="A2140" t="n">
        <x:v>2139</x:v>
      </x:c>
      <x:c r="B2140" s="106" t="str">
        <x:v>FINE | point 1 | DAC 3.75 | CTRL X 0.19922 | X 0.20748 | Y 0.09955 | Z 0.16631 | TOTAL 0.28508 | error -33.59 % | MAD 2.96 % | CV 8.61 % | coh 67.2 % | dominant X | axis fraction 100.0 % | VALID</x:v>
      </x:c>
      <x:c r="C2140" t="str">
        <x:v>Pasted text(56).txt</x:v>
      </x:c>
    </x:row>
    <x:row r="2141">
      <x:c r="A2141" t="n">
        <x:v>2140</x:v>
      </x:c>
      <x:c r="B2141" s="106" t="str">
        <x:v>FINE | point 2 | DAC 4.00 | CTRL X 0.24442 | X 0.24051 | Y 0.10016 | Z 0.15928 | TOTAL 0.30599 | error -18.53 % | MAD 1.21 % | CV 3.56 % | coh 70.5 % | dominant X | axis fraction 100.0 % | VALID</x:v>
      </x:c>
      <x:c r="C2141" t="str">
        <x:v>Pasted text(56).txt</x:v>
      </x:c>
    </x:row>
    <x:row r="2142">
      <x:c r="A2142" t="n">
        <x:v>2141</x:v>
      </x:c>
      <x:c r="B2142" s="106" t="str">
        <x:v>FINE | point 3 | DAC 4.25 | CTRL X 0.24563 | X 0.24450 | Y 0.10202 | Z 0.16497 | TOTAL 0.31336 | error -18.12 % | MAD 3.67 % | CV 3.21 % | coh 73.9 % | dominant X | axis fraction 100.0 % | VALID</x:v>
      </x:c>
      <x:c r="C2142" t="str">
        <x:v>Pasted text(56).txt</x:v>
      </x:c>
    </x:row>
    <x:row r="2143">
      <x:c r="A2143" t="n">
        <x:v>2142</x:v>
      </x:c>
      <x:c r="B2143" s="106" t="str">
        <x:v>FINE | point 4 | DAC 4.50 | CTRL X 0.26861 | X 0.26549 | Y 0.10535 | Z 0.19327 | TOTAL 0.34512 | error -10.46 % | MAD 9.99 % | CV 8.64 % | coh 74.7 % | dominant X | axis fraction 100.0 % | VALID</x:v>
      </x:c>
      <x:c r="C2143" t="str">
        <x:v>Pasted text(56).txt</x:v>
      </x:c>
    </x:row>
    <x:row r="2144">
      <x:c r="A2144" t="n">
        <x:v>2143</x:v>
      </x:c>
      <x:c r="B2144" s="106" t="str">
        <x:v>FINE | point 5 | DAC 4.75 | CTRL X 0.32566 | X 0.32286 | Y 0.14675 | Z 0.23695 | TOTAL 0.42660 | error 8.55 % | MAD 6.50 % | CV 5.78 % | coh 79.7 % | dominant X | axis fraction 100.0 % | VALID</x:v>
      </x:c>
      <x:c r="C2144" t="str">
        <x:v>Pasted text(56).txt</x:v>
      </x:c>
    </x:row>
    <x:row r="2145">
      <x:c r="A2145" t="n">
        <x:v>2144</x:v>
      </x:c>
      <x:c r="B2145" s="106" t="str">
        <x:v>FINE | point 6 | DAC 5.00 | CTRL X 0.34402 | X 0.34569 | Y 0.14237 | Z 0.21872 | TOTAL 0.43332 | error 14.67 % | MAD 2.84 % | CV 2.66 % | coh 83.7 % | dominant X | axis fraction 100.0 % | VALID</x:v>
      </x:c>
      <x:c r="C2145" t="str">
        <x:v>Pasted text(56).txt</x:v>
      </x:c>
    </x:row>
    <x:row r="2146">
      <x:c r="A2146" t="n">
        <x:v>2145</x:v>
      </x:c>
      <x:c r="B2146" s="106" t="str">
        <x:v>FINE | point 7 | DAC 5.25 | CTRL X 0.36191 | X 0.36157 | Y 0.15520 | Z 0.21579 | TOTAL 0.44948 | error 20.64 % | MAD 3.45 % | CV 2.47 % | coh 84.3 % | dominant X | axis fraction 100.0 % | VALID</x:v>
      </x:c>
      <x:c r="C2146" t="str">
        <x:v>Pasted text(56).txt</x:v>
      </x:c>
    </x:row>
    <x:row r="2147">
      <x:c r="A2147" t="n">
        <x:v>2146</x:v>
      </x:c>
      <x:c r="B2147" s="106" t="str">
        <x:v>FINE | point 8 | DAC 5.50 | CTRL X 0.36598 | X 0.35872 | Y 0.15473 | Z 0.25770 | TOTAL 0.46870 | error 21.99 % | MAD 3.75 % | CV 5.88 % | coh 82.7 % | dominant X | axis fraction 100.0 % | VALID</x:v>
      </x:c>
      <x:c r="C2147" t="str">
        <x:v>Pasted text(56).txt</x:v>
      </x:c>
    </x:row>
    <x:row r="2148">
      <x:c r="A2148" t="n">
        <x:v>2147</x:v>
      </x:c>
      <x:c r="B2148" s="106" t="str">
        <x:v>FINE | point 9 | DAC 5.75 | CTRL X 0.40156 | X 0.40457 | Y 0.15262 | Z 0.27295 | TOTAL 0.51195 | error 33.85 % | MAD 3.63 % | CV 3.61 % | coh 83.9 % | dominant X | axis fraction 100.0 % | VALID</x:v>
      </x:c>
      <x:c r="C2148" t="str">
        <x:v>Pasted text(56).txt</x:v>
      </x:c>
    </x:row>
    <x:row r="2149">
      <x:c r="A2149" t="n">
        <x:v>2148</x:v>
      </x:c>
      <x:c r="B2149" s="106" t="str"/>
      <x:c r="C2149" t="str">
        <x:v>Pasted text(56).txt</x:v>
      </x:c>
    </x:row>
    <x:row r="2150">
      <x:c r="A2150" t="n">
        <x:v>2149</x:v>
      </x:c>
      <x:c r="B2150" s="106" t="str">
        <x:v>ACQUISITION ATTEMPT 2 OF 2</x:v>
      </x:c>
      <x:c r="C2150" t="str">
        <x:v>Pasted text(56).txt</x:v>
      </x:c>
    </x:row>
    <x:row r="2151">
      <x:c r="A2151" t="n">
        <x:v>2150</x:v>
      </x:c>
      <x:c r="B2151" s="106" t="str"/>
      <x:c r="C2151" t="str">
        <x:v>Pasted text(56).txt</x:v>
      </x:c>
    </x:row>
    <x:row r="2152">
      <x:c r="A2152" t="n">
        <x:v>2151</x:v>
      </x:c>
      <x:c r="B2152" s="106" t="str">
        <x:v>FRESH X-AXIS SEARCH FROM DAC 1.00 — OLD DAC VALUES ARE NOT USED</x:v>
      </x:c>
      <x:c r="C2152" t="str">
        <x:v>Pasted text(56).txt</x:v>
      </x:c>
    </x:row>
    <x:row r="2153">
      <x:c r="A2153" t="n">
        <x:v>2152</x:v>
      </x:c>
      <x:c r="B2153" s="106" t="str">
        <x:v>Y/Z are diagnostic only and cannot abort this search.</x:v>
      </x:c>
      <x:c r="C2153" t="str">
        <x:v>Pasted text(56).txt</x:v>
      </x:c>
    </x:row>
    <x:row r="2154">
      <x:c r="A2154" t="n">
        <x:v>2153</x:v>
      </x:c>
      <x:c r="B2154" s="106" t="str">
        <x:v>A real SPI fault, clipping, safety limit or confirmed X-response collapse will stop it.</x:v>
      </x:c>
      <x:c r="C2154" t="str">
        <x:v>Pasted text(56).txt</x:v>
      </x:c>
    </x:row>
    <x:row r="2155">
      <x:c r="A2155" t="n">
        <x:v>2154</x:v>
      </x:c>
      <x:c r="B2155" s="106" t="str">
        <x:v>SEARCH | point 1 | DAC 1.00 | CTRL X 0.01538 | X 0.01423 | Y 0.03127 | Z 0.01295 | TOTAL 0.03706 | error -94.87 % | MAD 22.10 % | CV 11.39 % | coh 9.7 % | dominant Y | axis fraction 45.5 % | BELOW MEASUREMENT FLOOR — SEARCH CONTINUES</x:v>
      </x:c>
      <x:c r="C2155" t="str">
        <x:v>Pasted text(56).txt</x:v>
      </x:c>
    </x:row>
    <x:row r="2156">
      <x:c r="A2156" t="n">
        <x:v>2155</x:v>
      </x:c>
      <x:c r="B2156" s="106" t="str">
        <x:v>SEARCH | point 2 | DAC 3.00 | CTRL X 0.12793 | X 0.12775 | Y 0.05397 | Z 0.10017 | TOTAL 0.17216 | error -57.36 % | MAD 6.55 % | CV 4.64 % | coh 49.1 % | dominant X | axis fraction 100.0 % | UNSTABLE — SEARCH CONTINUES</x:v>
      </x:c>
      <x:c r="C2156" t="str">
        <x:v>Pasted text(56).txt</x:v>
      </x:c>
    </x:row>
    <x:row r="2157">
      <x:c r="A2157" t="n">
        <x:v>2156</x:v>
      </x:c>
      <x:c r="B2157" s="106" t="str">
        <x:v>SEARCH | point 3 | DAC 4.00 | CTRL X 0.25098 | X 0.24803 | Y 0.10439 | Z 0.17228 | TOTAL 0.32025 | error -16.34 % | MAD 0.29 % | CV 2.23 % | coh 72.9 % | dominant X | axis fraction 100.0 % | VALID</x:v>
      </x:c>
      <x:c r="C2157" t="str">
        <x:v>Pasted text(56).txt</x:v>
      </x:c>
    </x:row>
    <x:row r="2158">
      <x:c r="A2158" t="n">
        <x:v>2157</x:v>
      </x:c>
      <x:c r="B2158" s="106" t="str">
        <x:v>SEARCH | point 4 | DAC 4.50 | CTRL X 0.25700 | X 0.26534 | Y 0.11050 | Z 0.18237 | TOTAL 0.34088 | error -14.33 % | MAD 4.39 % | CV 8.06 % | coh 74.8 % | dominant X | axis fraction 100.0 % | VALID</x:v>
      </x:c>
      <x:c r="C2158" t="str">
        <x:v>Pasted text(56).txt</x:v>
      </x:c>
    </x:row>
    <x:row r="2159">
      <x:c r="A2159" t="n">
        <x:v>2158</x:v>
      </x:c>
      <x:c r="B2159" s="106" t="str">
        <x:v>SEARCH | point 5 | DAC 4.75 | CTRL X 0.30164 | X 0.30386 | Y 0.11442 | Z 0.21772 | TOTAL 0.39110 | error 0.55 % | MAD 1.98 % | CV 2.50 % | coh 76.5 % | dominant X | axis fraction 100.0 % | IN TARGET BAND</x:v>
      </x:c>
      <x:c r="C2159" t="str">
        <x:v>Pasted text(56).txt</x:v>
      </x:c>
    </x:row>
    <x:row r="2160">
      <x:c r="A2160" t="n">
        <x:v>2159</x:v>
      </x:c>
      <x:c r="B2160" s="106" t="str"/>
      <x:c r="C2160" t="str">
        <x:v>Pasted text(56).txt</x:v>
      </x:c>
    </x:row>
    <x:row r="2161">
      <x:c r="A2161" t="n">
        <x:v>2160</x:v>
      </x:c>
      <x:c r="B2161" s="106" t="str">
        <x:v>LOCAL 0.25-DAC X-AXIS FINE SCAN</x:v>
      </x:c>
      <x:c r="C2161" t="str">
        <x:v>Pasted text(56).txt</x:v>
      </x:c>
    </x:row>
    <x:row r="2162">
      <x:c r="A2162" t="n">
        <x:v>2161</x:v>
      </x:c>
      <x:c r="B2162" s="106" t="str">
        <x:v>Only a valid point actually inside the X target band may be selected.</x:v>
      </x:c>
      <x:c r="C2162" t="str">
        <x:v>Pasted text(56).txt</x:v>
      </x:c>
    </x:row>
    <x:row r="2163">
      <x:c r="A2163" t="n">
        <x:v>2162</x:v>
      </x:c>
      <x:c r="B2163" s="106" t="str">
        <x:v>FINE | point 1 | DAC 3.75 | CTRL X 0.19921 | X 0.19936 | Y 0.07982 | Z 0.14190 | TOTAL 0.25820 | error -33.60 % | MAD 6.87 % | CV 4.75 % | coh 66.0 % | dominant X | axis fraction 100.0 % | VALID</x:v>
      </x:c>
      <x:c r="C2163" t="str">
        <x:v>Pasted text(56).txt</x:v>
      </x:c>
    </x:row>
    <x:row r="2164">
      <x:c r="A2164" t="n">
        <x:v>2163</x:v>
      </x:c>
      <x:c r="B2164" s="106" t="str">
        <x:v>FINE | point 2 | DAC 4.00 | CTRL X 0.23117 | X 0.23729 | Y 0.11127 | Z 0.16319 | TOTAL 0.30986 | error -22.94 % | MAD 4.31 % | CV 7.07 % | coh 74.2 % | dominant X | axis fraction 100.0 % | VALID</x:v>
      </x:c>
      <x:c r="C2164" t="str">
        <x:v>Pasted text(56).txt</x:v>
      </x:c>
    </x:row>
    <x:row r="2165">
      <x:c r="A2165" t="n">
        <x:v>2164</x:v>
      </x:c>
      <x:c r="B2165" s="106" t="str">
        <x:v>FINE | point 3 | DAC 4.25 | CTRL X 0.23771 | X 0.24147 | Y 0.09907 | Z 0.17136 | TOTAL 0.31248 | error -20.76 % | MAD 0.21 % | CV 2.82 % | coh 72.9 % | dominant X | axis fraction 100.0 % | VALID</x:v>
      </x:c>
      <x:c r="C2165" t="str">
        <x:v>Pasted text(56).txt</x:v>
      </x:c>
    </x:row>
    <x:row r="2166">
      <x:c r="A2166" t="n">
        <x:v>2165</x:v>
      </x:c>
      <x:c r="B2166" s="106" t="str">
        <x:v>FINE | point 4 | DAC 4.50 | CTRL X 0.25972 | X 0.26237 | Y 0.09688 | Z 0.19326 | TOTAL 0.34073 | error -13.43 % | MAD 0.01 % | CV 1.75 % | coh 72.7 % | dominant X | axis fraction 100.0 % | VALID</x:v>
      </x:c>
      <x:c r="C2166" t="str">
        <x:v>Pasted text(56).txt</x:v>
      </x:c>
    </x:row>
    <x:row r="2167">
      <x:c r="A2167" t="n">
        <x:v>2166</x:v>
      </x:c>
      <x:c r="B2167" s="106" t="str">
        <x:v>FINE | point 5 | DAC 4.75 | CTRL X 0.31228 | X 0.31249 | Y 0.12927 | Z 0.19095 | TOTAL 0.38956 | error 4.09 % | MAD 9.37 % | CV 6.42 % | coh 78.8 % | dominant X | axis fraction 100.0 % | IN TARGET BAND</x:v>
      </x:c>
      <x:c r="C2167" t="str">
        <x:v>Pasted text(56).txt</x:v>
      </x:c>
    </x:row>
    <x:row r="2168">
      <x:c r="A2168" t="n">
        <x:v>2167</x:v>
      </x:c>
      <x:c r="B2168" s="106" t="str">
        <x:v>FINE | point 6 | DAC 5.00 | CTRL X 0.32963 | X 0.33062 | Y 0.13361 | Z 0.21997 | TOTAL 0.41917 | error 9.88 % | MAD 1.33 % | CV 1.37 % | coh 81.2 % | dominant X | axis fraction 100.0 % | VALID</x:v>
      </x:c>
      <x:c r="C2168" t="str">
        <x:v>Pasted text(56).txt</x:v>
      </x:c>
    </x:row>
    <x:row r="2169">
      <x:c r="A2169" t="n">
        <x:v>2168</x:v>
      </x:c>
      <x:c r="B2169" s="106" t="str">
        <x:v>FINE | point 7 | DAC 5.25 | CTRL X 0.32051 | X 0.33166 | Y 0.14471 | Z 0.25441 | TOTAL 0.44326 | error 6.84 % | MAD 1.79 % | CV 6.86 % | coh 79.9 % | dominant X | axis fraction 100.0 % | IN TARGET BAND</x:v>
      </x:c>
      <x:c r="C2169" t="str">
        <x:v>Pasted text(56).txt</x:v>
      </x:c>
    </x:row>
    <x:row r="2170">
      <x:c r="A2170" t="n">
        <x:v>2169</x:v>
      </x:c>
      <x:c r="B2170" s="106" t="str">
        <x:v>FINE | point 8 | DAC 5.50 | CTRL X 0.36862 | X 0.36892 | Y 0.14190 | Z 0.24117 | TOTAL 0.46370 | error 22.87 % | MAD 6.99 % | CV 4.84 % | coh 85.1 % | dominant X | axis fraction 100.0 % | VALID</x:v>
      </x:c>
      <x:c r="C2170" t="str">
        <x:v>Pasted text(56).txt</x:v>
      </x:c>
    </x:row>
    <x:row r="2171">
      <x:c r="A2171" t="n">
        <x:v>2170</x:v>
      </x:c>
      <x:c r="B2171" s="106" t="str">
        <x:v>FINE | point 9 | DAC 5.75 | CTRL X 0.39184 | X 0.39330 | Y 0.17571 | Z 0.28472 | TOTAL 0.51720 | error 30.61 % | MAD 4.30 % | CV 3.46 % | coh 84.3 % | dominant X | axis fraction 100.0 % | VALID</x:v>
      </x:c>
      <x:c r="C2171" t="str">
        <x:v>Pasted text(56).txt</x:v>
      </x:c>
    </x:row>
    <x:row r="2172">
      <x:c r="A2172" t="n">
        <x:v>2171</x:v>
      </x:c>
      <x:c r="B2172" s="106" t="str"/>
      <x:c r="C2172" t="str">
        <x:v>Pasted text(56).txt</x:v>
      </x:c>
    </x:row>
    <x:row r="2173">
      <x:c r="A2173" t="n">
        <x:v>2172</x:v>
      </x:c>
      <x:c r="B2173" s="106" t="str">
        <x:v>LONG VALIDATION AT FIXED DAC 5.25</x:v>
      </x:c>
      <x:c r="C2173" t="str">
        <x:v>Pasted text(56).txt</x:v>
      </x:c>
    </x:row>
    <x:row r="2174">
      <x:c r="A2174" t="n">
        <x:v>2173</x:v>
      </x:c>
      <x:c r="B2174" s="106" t="str">
        <x:v>FINAL | point 1 | DAC 5.25 | CTRL X 0.33923 | X 0.34331 | Y 0.14439 | Z 0.22629 | TOTAL 0.43660 | error 13.08 % | MAD 4.61 % | CV 3.54 % | coh 81.9 % | dominant X | axis fraction 100.0 % | VALID</x:v>
      </x:c>
      <x:c r="C2174" t="str">
        <x:v>Pasted text(56).txt</x:v>
      </x:c>
    </x:row>
    <x:row r="2175">
      <x:c r="A2175" t="n">
        <x:v>2174</x:v>
      </x:c>
      <x:c r="B2175" s="106" t="str">
        <x:v>FINAL | point 2 | DAC 5.25 | CTRL X 0.34719 | X 0.35082 | Y 0.15501 | Z 0.22591 | TOTAL 0.44544 | error 15.73 % | MAD 4.13 % | CV 3.24 % | coh 82.3 % | dominant X | axis fraction 100.0 % | VALID</x:v>
      </x:c>
      <x:c r="C2175" t="str">
        <x:v>Pasted text(56).txt</x:v>
      </x:c>
    </x:row>
    <x:row r="2176">
      <x:c r="A2176" t="n">
        <x:v>2175</x:v>
      </x:c>
      <x:c r="B2176" s="106" t="str">
        <x:v>FINAL | point 3 | DAC 5.25 | CTRL X 0.34308 | X 0.34514 | Y 0.14831 | Z 0.22845 | TOTAL 0.44075 | error 14.36 % | MAD 5.26 % | CV 3.32 % | coh 84.1 % | dominant X | axis fraction 100.0 % | VALID</x:v>
      </x:c>
      <x:c r="C2176" t="str">
        <x:v>Pasted text(56).txt</x:v>
      </x:c>
    </x:row>
    <x:row r="2177">
      <x:c r="A2177" t="n">
        <x:v>2176</x:v>
      </x:c>
      <x:c r="B2177" s="106" t="str">
        <x:v>Stable validation was 14.39 % from target. Performing one bounded trim: DAC 5.25 -&gt; 4.75</x:v>
      </x:c>
      <x:c r="C2177" t="str">
        <x:v>Pasted text(56).txt</x:v>
      </x:c>
    </x:row>
    <x:row r="2178">
      <x:c r="A2178" t="n">
        <x:v>2177</x:v>
      </x:c>
      <x:c r="B2178" s="106" t="str"/>
      <x:c r="C2178" t="str">
        <x:v>Pasted text(56).txt</x:v>
      </x:c>
    </x:row>
    <x:row r="2179">
      <x:c r="A2179" t="n">
        <x:v>2178</x:v>
      </x:c>
      <x:c r="B2179" s="106" t="str">
        <x:v>LONG VALIDATION AT FIXED DAC 4.75</x:v>
      </x:c>
      <x:c r="C2179" t="str">
        <x:v>Pasted text(56).txt</x:v>
      </x:c>
    </x:row>
    <x:row r="2180">
      <x:c r="A2180" t="n">
        <x:v>2179</x:v>
      </x:c>
      <x:c r="B2180" s="106" t="str">
        <x:v>FINAL | point 1 | DAC 4.75 | CTRL X 0.30656 | X 0.30879 | Y 0.11094 | Z 0.20384 | TOTAL 0.38662 | error 2.19 % | MAD 6.51 % | CV 6.14 % | coh 78.9 % | dominant X | axis fraction 100.0 % | IN TARGET BAND</x:v>
      </x:c>
      <x:c r="C2180" t="str">
        <x:v>Pasted text(56).txt</x:v>
      </x:c>
    </x:row>
    <x:row r="2181">
      <x:c r="A2181" t="n">
        <x:v>2180</x:v>
      </x:c>
      <x:c r="B2181" s="106" t="str">
        <x:v>FINAL | point 2 | DAC 4.75 | CTRL X 0.29972 | X 0.30308 | Y 0.12527 | Z 0.22063 | TOTAL 0.39714 | error -0.09 % | MAD 5.52 % | CV 6.36 % | coh 76.9 % | dominant X | axis fraction 100.0 % | IN TARGET BAND</x:v>
      </x:c>
      <x:c r="C2181" t="str">
        <x:v>Pasted text(56).txt</x:v>
      </x:c>
    </x:row>
    <x:row r="2182">
      <x:c r="A2182" t="n">
        <x:v>2181</x:v>
      </x:c>
      <x:c r="B2182" s="106" t="str">
        <x:v>TRIMMED VALIDATION ACCEPTED | pair drift 2.26 %</x:v>
      </x:c>
      <x:c r="C2182" t="str">
        <x:v>Pasted text(56).txt</x:v>
      </x:c>
    </x:row>
    <x:row r="2183">
      <x:c r="A2183" t="n">
        <x:v>2182</x:v>
      </x:c>
      <x:c r="B2183" s="106" t="str"/>
      <x:c r="C2183" t="str">
        <x:v>Pasted text(56).txt</x:v>
      </x:c>
    </x:row>
    <x:row r="2184">
      <x:c r="A2184" t="n">
        <x:v>2183</x:v>
      </x:c>
      <x:c r="B2184" s="106" t="str">
        <x:v>FINAL VALIDATED BLIND FFT VERIFICATION</x:v>
      </x:c>
      <x:c r="C2184" t="str">
        <x:v>Pasted text(56).txt</x:v>
      </x:c>
    </x:row>
    <x:row r="2185">
      <x:c r="A2185" t="n">
        <x:v>2184</x:v>
      </x:c>
      <x:c r="B2185" s="106" t="str">
        <x:v>Commanded frequency: 268.00000 Hz</x:v>
      </x:c>
      <x:c r="C2185" t="str">
        <x:v>Pasted text(56).txt</x:v>
      </x:c>
    </x:row>
    <x:row r="2186">
      <x:c r="A2186" t="n">
        <x:v>2185</x:v>
      </x:c>
      <x:c r="B2186" s="106" t="str">
        <x:v>Accepted DAC: 4.75</x:v>
      </x:c>
      <x:c r="C2186" t="str">
        <x:v>Pasted text(56).txt</x:v>
      </x:c>
    </x:row>
    <x:row r="2187">
      <x:c r="A2187" t="n">
        <x:v>2186</x:v>
      </x:c>
      <x:c r="B2187" s="106" t="str">
        <x:v>Axis,Frequency_Hz,Amplitude_mps2,SNR_dB,Status</x:v>
      </x:c>
      <x:c r="C2187" t="str">
        <x:v>Pasted text(56).txt</x:v>
      </x:c>
    </x:row>
    <x:row r="2188">
      <x:c r="A2188" t="n">
        <x:v>2187</x:v>
      </x:c>
      <x:c r="B2188" s="106" t="str">
        <x:v>X,268.04837,0.27879,26.09,VALID</x:v>
      </x:c>
      <x:c r="C2188" t="str">
        <x:v>Pasted text(56).txt</x:v>
      </x:c>
    </x:row>
    <x:row r="2189">
      <x:c r="A2189" t="n">
        <x:v>2188</x:v>
      </x:c>
      <x:c r="B2189" s="106" t="str">
        <x:v>Y,378.59147,0.17783,18.13,VALID</x:v>
      </x:c>
      <x:c r="C2189" t="str">
        <x:v>Pasted text(56).txt</x:v>
      </x:c>
    </x:row>
    <x:row r="2190">
      <x:c r="A2190" t="n">
        <x:v>2189</x:v>
      </x:c>
      <x:c r="B2190" s="106" t="str">
        <x:v>Z,268.04031,0.18579,21.36,VALID</x:v>
      </x:c>
      <x:c r="C2190" t="str">
        <x:v>Pasted text(56).txt</x:v>
      </x:c>
    </x:row>
    <x:row r="2191">
      <x:c r="A2191" t="n">
        <x:v>2190</x:v>
      </x:c>
      <x:c r="B2191" s="106" t="str">
        <x:v>Combined frequency: 268.04215 Hz | difference 0.04215 Hz</x:v>
      </x:c>
      <x:c r="C2191" t="str">
        <x:v>Pasted text(56).txt</x:v>
      </x:c>
    </x:row>
    <x:row r="2192">
      <x:c r="A2192" t="n">
        <x:v>2191</x:v>
      </x:c>
      <x:c r="B2192" s="106" t="str">
        <x:v>Combined X/Y/Z/TOTAL: 0.25579 / 0.10417 / 0.17121 / 0.32495</x:v>
      </x:c>
      <x:c r="C2192" t="str">
        <x:v>Pasted text(56).txt</x:v>
      </x:c>
    </x:row>
    <x:row r="2193">
      <x:c r="A2193" t="n">
        <x:v>2192</x:v>
      </x:c>
      <x:c r="B2193" s="106" t="str">
        <x:v>SNR: 20.78 dB | dominant axis X</x:v>
      </x:c>
      <x:c r="C2193" t="str">
        <x:v>Pasted text(56).txt</x:v>
      </x:c>
    </x:row>
    <x:row r="2194">
      <x:c r="A2194" t="n">
        <x:v>2193</x:v>
      </x:c>
      <x:c r="B2194" s="106" t="str">
        <x:v>Frequency verification: PASS</x:v>
      </x:c>
      <x:c r="C2194" t="str">
        <x:v>Pasted text(56).txt</x:v>
      </x:c>
    </x:row>
    <x:row r="2195">
      <x:c r="A2195" t="n">
        <x:v>2194</x:v>
      </x:c>
      <x:c r="B2195" s="106" t="str">
        <x:v>Y/Z dominance: DIAGNOSTIC ONLY — ignored for pass/fail</x:v>
      </x:c>
      <x:c r="C2195" t="str">
        <x:v>Pasted text(56).txt</x:v>
      </x:c>
    </x:row>
    <x:row r="2196">
      <x:c r="A2196" t="n">
        <x:v>2195</x:v>
      </x:c>
      <x:c r="B2196" s="106" t="str"/>
      <x:c r="C2196" t="str">
        <x:v>Pasted text(56).txt</x:v>
      </x:c>
    </x:row>
    <x:row r="2197">
      <x:c r="A2197" t="n">
        <x:v>2196</x:v>
      </x:c>
      <x:c r="B2197" s="106" t="str">
        <x:v>FIXED-DAC HOLD VALIDATION</x:v>
      </x:c>
      <x:c r="C2197" t="str">
        <x:v>Pasted text(56).txt</x:v>
      </x:c>
    </x:row>
    <x:row r="2198">
      <x:c r="A2198" t="n">
        <x:v>2197</x:v>
      </x:c>
      <x:c r="B2198" s="106" t="str">
        <x:v>DAC remains fixed at 4.75 for 10 records.</x:v>
      </x:c>
      <x:c r="C2198" t="str">
        <x:v>Pasted text(56).txt</x:v>
      </x:c>
    </x:row>
    <x:row r="2199">
      <x:c r="A2199" t="n">
        <x:v>2198</x:v>
      </x:c>
      <x:c r="B2199" s="106" t="str">
        <x:v>HOLD | point 1 | DAC 4.75 | CTRL X 0.28586 | X 0.29752 | Y 0.11484 | Z 0.19644 | TOTAL 0.37473 | error -4.71 % | MAD 4.45 % | CV 9.40 % | coh 75.0 % | dominant X | axis fraction 100.0 % | IN TARGET BAND</x:v>
      </x:c>
      <x:c r="C2199" t="str">
        <x:v>Pasted text(56).txt</x:v>
      </x:c>
    </x:row>
    <x:row r="2200">
      <x:c r="A2200" t="n">
        <x:v>2199</x:v>
      </x:c>
      <x:c r="B2200" s="106" t="str">
        <x:v>HOLD | point 2 | DAC 4.75 | CTRL X 0.31184 | X 0.31012 | Y 0.12907 | Z 0.18081 | TOTAL 0.38180 | error 3.95 % | MAD 10.94 % | CV 8.26 % | coh 76.8 % | dominant X | axis fraction 100.0 % | IN TARGET BAND</x:v>
      </x:c>
      <x:c r="C2200" t="str">
        <x:v>Pasted text(56).txt</x:v>
      </x:c>
    </x:row>
    <x:row r="2201">
      <x:c r="A2201" t="n">
        <x:v>2200</x:v>
      </x:c>
      <x:c r="B2201" s="106" t="str">
        <x:v>HOLD | point 3 | DAC 4.75 | CTRL X 0.31263 | X 0.31243 | Y 0.12863 | Z 0.21507 | TOTAL 0.40101 | error 4.21 % | MAD 5.17 % | CV 3.58 % | coh 77.7 % | dominant X | axis fraction 100.0 % | IN TARGET BAND</x:v>
      </x:c>
      <x:c r="C2201" t="str">
        <x:v>Pasted text(56).txt</x:v>
      </x:c>
    </x:row>
    <x:row r="2202">
      <x:c r="A2202" t="n">
        <x:v>2201</x:v>
      </x:c>
      <x:c r="B2202" s="106" t="str">
        <x:v>HOLD | point 4 | DAC 4.75 | CTRL X 0.30272 | X 0.31053 | Y 0.13410 | Z 0.19889 | TOTAL 0.39299 | error 0.91 % | MAD 0.97 % | CV 4.92 % | coh 79.9 % | dominant X | axis fraction 100.0 % | IN TARGET BAND</x:v>
      </x:c>
      <x:c r="C2202" t="str">
        <x:v>Pasted text(56).txt</x:v>
      </x:c>
    </x:row>
    <x:row r="2203">
      <x:c r="A2203" t="n">
        <x:v>2202</x:v>
      </x:c>
      <x:c r="B2203" s="106" t="str">
        <x:v>HOLD | point 5 | DAC 4.75 | CTRL X 0.31522 | X 0.31100 | Y 0.12931 | Z 0.21659 | TOTAL 0.40061 | error 5.07 % | MAD 5.99 % | CV 6.24 % | coh 75.8 % | dominant X | axis fraction 100.0 % | IN TARGET BAND</x:v>
      </x:c>
      <x:c r="C2203" t="str">
        <x:v>Pasted text(56).txt</x:v>
      </x:c>
    </x:row>
    <x:row r="2204">
      <x:c r="A2204" t="n">
        <x:v>2203</x:v>
      </x:c>
      <x:c r="B2204" s="106" t="str">
        <x:v>HOLD | point 6 | DAC 4.75 | CTRL X 0.30154 | X 0.30656 | Y 0.11937 | Z 0.19839 | TOTAL 0.38469 | error 0.51 % | MAD 6.70 % | CV 7.04 % | coh 76.2 % | dominant X | axis fraction 100.0 % | IN TARGET BAND</x:v>
      </x:c>
      <x:c r="C2204" t="str">
        <x:v>Pasted text(56).txt</x:v>
      </x:c>
    </x:row>
    <x:row r="2205">
      <x:c r="A2205" t="n">
        <x:v>2204</x:v>
      </x:c>
      <x:c r="B2205" s="106" t="str">
        <x:v>HOLD | point 7 | DAC 4.75 | CTRL X 0.30689 | X 0.30394 | Y 0.13683 | Z 0.21776 | TOTAL 0.39919 | error 2.30 % | MAD 1.76 % | CV 2.78 % | coh 78.2 % | dominant X | axis fraction 100.0 % | IN TARGET BAND</x:v>
      </x:c>
      <x:c r="C2205" t="str">
        <x:v>Pasted text(56).txt</x:v>
      </x:c>
    </x:row>
    <x:row r="2206">
      <x:c r="A2206" t="n">
        <x:v>2205</x:v>
      </x:c>
      <x:c r="B2206" s="106" t="str">
        <x:v>HOLD | point 8 | DAC 4.75 | CTRL X 0.31598 | X 0.30819 | Y 0.13732 | Z 0.20550 | TOTAL 0.39586 | error 5.33 % | MAD 0.57 % | CV 4.72 % | coh 78.4 % | dominant X | axis fraction 100.0 % | IN TARGET BAND</x:v>
      </x:c>
      <x:c r="C2206" t="str">
        <x:v>Pasted text(56).txt</x:v>
      </x:c>
    </x:row>
    <x:row r="2207">
      <x:c r="A2207" t="n">
        <x:v>2206</x:v>
      </x:c>
      <x:c r="B2207" s="106" t="str">
        <x:v>HOLD | point 9 | DAC 4.75 | CTRL X 0.31737 | X 0.31220 | Y 0.12463 | Z 0.21712 | TOTAL 0.40032 | error 5.79 % | MAD 1.85 % | CV 4.02 % | coh 77.1 % | dominant X | axis fraction 100.0 % | IN TARGET BAND</x:v>
      </x:c>
      <x:c r="C2207" t="str">
        <x:v>Pasted text(56).txt</x:v>
      </x:c>
    </x:row>
    <x:row r="2208">
      <x:c r="A2208" t="n">
        <x:v>2207</x:v>
      </x:c>
      <x:c r="B2208" s="106" t="str">
        <x:v>HOLD | point 10 | DAC 4.75 | CTRL X 0.29689 | X 0.29755 | Y 0.14315 | Z 0.18458 | TOTAL 0.37895 | error -1.04 % | MAD 4.30 % | CV 3.23 % | coh 77.1 % | dominant X | axis fraction 100.0 % | IN TARGET BAND</x:v>
      </x:c>
      <x:c r="C2208" t="str">
        <x:v>Pasted text(56).txt</x:v>
      </x:c>
    </x:row>
    <x:row r="2209">
      <x:c r="A2209" t="n">
        <x:v>2208</x:v>
      </x:c>
      <x:c r="B2209" s="106" t="str"/>
      <x:c r="C2209" t="str">
        <x:v>Pasted text(56).txt</x:v>
      </x:c>
    </x:row>
    <x:row r="2210">
      <x:c r="A2210" t="n">
        <x:v>2209</x:v>
      </x:c>
      <x:c r="B2210" s="106" t="str">
        <x:v>HOLD SUMMARY</x:v>
      </x:c>
      <x:c r="C2210" t="str">
        <x:v>Pasted text(56).txt</x:v>
      </x:c>
    </x:row>
    <x:row r="2211">
      <x:c r="A2211" t="n">
        <x:v>2210</x:v>
      </x:c>
      <x:c r="B2211" s="106" t="str">
        <x:v>Valid / requested: 10 / 10</x:v>
      </x:c>
      <x:c r="C2211" t="str">
        <x:v>Pasted text(56).txt</x:v>
      </x:c>
    </x:row>
    <x:row r="2212">
      <x:c r="A2212" t="n">
        <x:v>2211</x:v>
      </x:c>
      <x:c r="B2212" s="106" t="str">
        <x:v>In band / requested: 10 / 10 = 100.0 %</x:v>
      </x:c>
      <x:c r="C2212" t="str">
        <x:v>Pasted text(56).txt</x:v>
      </x:c>
    </x:row>
    <x:row r="2213">
      <x:c r="A2213" t="n">
        <x:v>2212</x:v>
      </x:c>
      <x:c r="B2213" s="106" t="str">
        <x:v>Mean / SD / CV: 0.30670 / 0.01004 / 3.27 %</x:v>
      </x:c>
      <x:c r="C2213" t="str">
        <x:v>Pasted text(56).txt</x:v>
      </x:c>
    </x:row>
    <x:row r="2214">
      <x:c r="A2214" t="n">
        <x:v>2213</x:v>
      </x:c>
      <x:c r="B2214" s="106" t="str">
        <x:v>Min / Max: 0.28586 / 0.31737</x:v>
      </x:c>
      <x:c r="C2214" t="str">
        <x:v>Pasted text(56).txt</x:v>
      </x:c>
    </x:row>
    <x:row r="2215">
      <x:c r="A2215" t="n">
        <x:v>2214</x:v>
      </x:c>
      <x:c r="B2215" s="106" t="str">
        <x:v>HOLD RESULT: PASS</x:v>
      </x:c>
      <x:c r="C2215" t="str">
        <x:v>Pasted text(56).txt</x:v>
      </x:c>
    </x:row>
    <x:row r="2216">
      <x:c r="A2216" t="n">
        <x:v>2215</x:v>
      </x:c>
      <x:c r="B2216" s="106" t="str"/>
      <x:c r="C2216" t="str">
        <x:v>Pasted text(56).txt</x:v>
      </x:c>
    </x:row>
    <x:row r="2217">
      <x:c r="A2217" t="n">
        <x:v>2216</x:v>
      </x:c>
      <x:c r="B2217" s="106" t="str">
        <x:v>RUN RESULT: PASS</x:v>
      </x:c>
      <x:c r="C2217" t="str">
        <x:v>Pasted text(56).txt</x:v>
      </x:c>
    </x:row>
    <x:row r="2218">
      <x:c r="A2218" t="n">
        <x:v>2217</x:v>
      </x:c>
      <x:c r="B2218" s="106" t="str">
        <x:v>Selected DAC: 4.75</x:v>
      </x:c>
      <x:c r="C2218" t="str">
        <x:v>Pasted text(56).txt</x:v>
      </x:c>
    </x:row>
    <x:row r="2219">
      <x:c r="A2219" t="n">
        <x:v>2218</x:v>
      </x:c>
      <x:c r="B2219" s="106" t="str">
        <x:v>Validated amplitude: 0.30314 m/s^2 | error 1.05 %</x:v>
      </x:c>
      <x:c r="C2219" t="str">
        <x:v>Pasted text(56).txt</x:v>
      </x:c>
    </x:row>
    <x:row r="2220">
      <x:c r="A2220" t="n">
        <x:v>2219</x:v>
      </x:c>
      <x:c r="B2220" s="106" t="str">
        <x:v>FFT frequency: 268.04215 Hz | difference 0.04215 Hz</x:v>
      </x:c>
      <x:c r="C2220" t="str">
        <x:v>Pasted text(56).txt</x:v>
      </x:c>
    </x:row>
    <x:row r="2221">
      <x:c r="A2221" t="n">
        <x:v>2220</x:v>
      </x:c>
      <x:c r="B2221" s="106" t="str"/>
      <x:c r="C2221" t="str">
        <x:v>Pasted text(56).txt</x:v>
      </x:c>
    </x:row>
    <x:row r="2222">
      <x:c r="A2222" t="n">
        <x:v>2221</x:v>
      </x:c>
      <x:c r="B2222" s="106" t="str">
        <x:v>VISATON OFF. RESTING 5.0 s BEFORE THE NEXT COMPLETELY FRESH RUN.</x:v>
      </x:c>
      <x:c r="C2222" t="str">
        <x:v>Pasted text(56).txt</x:v>
      </x:c>
    </x:row>
    <x:row r="2223">
      <x:c r="A2223" t="n">
        <x:v>2222</x:v>
      </x:c>
      <x:c r="B2223" s="106" t="str"/>
      <x:c r="C2223" t="str">
        <x:v>Pasted text(56).txt</x:v>
      </x:c>
    </x:row>
    <x:row r="2224">
      <x:c r="A2224" t="n">
        <x:v>2223</x:v>
      </x:c>
      <x:c r="B2224" s="106" t="str">
        <x:v>################################################################################</x:v>
      </x:c>
      <x:c r="C2224" t="str">
        <x:v>Pasted text(56).txt</x:v>
      </x:c>
    </x:row>
    <x:row r="2225">
      <x:c r="A2225" t="n">
        <x:v>2224</x:v>
      </x:c>
      <x:c r="B2225" s="106" t="str">
        <x:v>INDEPENDENT TARGET-AMPLITUDE RUN 3 OF 5</x:v>
      </x:c>
      <x:c r="C2225" t="str">
        <x:v>Pasted text(56).txt</x:v>
      </x:c>
    </x:row>
    <x:row r="2226">
      <x:c r="A2226" t="n">
        <x:v>2225</x:v>
      </x:c>
      <x:c r="B2226" s="106" t="str">
        <x:v>################################################################################</x:v>
      </x:c>
      <x:c r="C2226" t="str">
        <x:v>Pasted text(56).txt</x:v>
      </x:c>
    </x:row>
    <x:row r="2227">
      <x:c r="A2227" t="n">
        <x:v>2226</x:v>
      </x:c>
      <x:c r="B2227" s="106" t="str">
        <x:v>Frequency: 268.00000 Hz</x:v>
      </x:c>
      <x:c r="C2227" t="str">
        <x:v>Pasted text(56).txt</x:v>
      </x:c>
    </x:row>
    <x:row r="2228">
      <x:c r="A2228" t="n">
        <x:v>2227</x:v>
      </x:c>
      <x:c r="B2228" s="106" t="str">
        <x:v>Target X amplitude: 0.30000 m/s^2 peak, tolerance +/-7.50 %</x:v>
      </x:c>
      <x:c r="C2228" t="str">
        <x:v>Pasted text(56).txt</x:v>
      </x:c>
    </x:row>
    <x:row r="2229">
      <x:c r="A2229" t="n">
        <x:v>2228</x:v>
      </x:c>
      <x:c r="B2229" s="106" t="str">
        <x:v>This run starts from DAC 1.00 and ignores every earlier selected DAC.</x:v>
      </x:c>
      <x:c r="C2229" t="str">
        <x:v>Pasted text(56).txt</x:v>
      </x:c>
    </x:row>
    <x:row r="2230">
      <x:c r="A2230" t="n">
        <x:v>2229</x:v>
      </x:c>
      <x:c r="B2230" s="106" t="str">
        <x:v>ADXL2 DEVID/DATA_FORMAT/BW_RATE/POWER_CTL: 0xE5 / 0xB / 0xE / 0x8</x:v>
      </x:c>
      <x:c r="C2230" t="str">
        <x:v>Pasted text(56).txt</x:v>
      </x:c>
    </x:row>
    <x:row r="2231">
      <x:c r="A2231" t="n">
        <x:v>2230</x:v>
      </x:c>
      <x:c r="B2231" s="106" t="str"/>
      <x:c r="C2231" t="str">
        <x:v>Pasted text(56).txt</x:v>
      </x:c>
    </x:row>
    <x:row r="2232">
      <x:c r="A2232" t="n">
        <x:v>2231</x:v>
      </x:c>
      <x:c r="B2232" s="106" t="str">
        <x:v>ACQUISITION ATTEMPT 1 OF 2</x:v>
      </x:c>
      <x:c r="C2232" t="str">
        <x:v>Pasted text(56).txt</x:v>
      </x:c>
    </x:row>
    <x:row r="2233">
      <x:c r="A2233" t="n">
        <x:v>2232</x:v>
      </x:c>
      <x:c r="B2233" s="106" t="str"/>
      <x:c r="C2233" t="str">
        <x:v>Pasted text(56).txt</x:v>
      </x:c>
    </x:row>
    <x:row r="2234">
      <x:c r="A2234" t="n">
        <x:v>2233</x:v>
      </x:c>
      <x:c r="B2234" s="106" t="str">
        <x:v>FRESH X-AXIS SEARCH FROM DAC 1.00 — OLD DAC VALUES ARE NOT USED</x:v>
      </x:c>
      <x:c r="C2234" t="str">
        <x:v>Pasted text(56).txt</x:v>
      </x:c>
    </x:row>
    <x:row r="2235">
      <x:c r="A2235" t="n">
        <x:v>2234</x:v>
      </x:c>
      <x:c r="B2235" s="106" t="str">
        <x:v>Y/Z are diagnostic only and cannot abort this search.</x:v>
      </x:c>
      <x:c r="C2235" t="str">
        <x:v>Pasted text(56).txt</x:v>
      </x:c>
    </x:row>
    <x:row r="2236">
      <x:c r="A2236" t="n">
        <x:v>2235</x:v>
      </x:c>
      <x:c r="B2236" s="106" t="str">
        <x:v>A real SPI fault, clipping, safety limit or confirmed X-response collapse will stop it.</x:v>
      </x:c>
      <x:c r="C2236" t="str">
        <x:v>Pasted text(56).txt</x:v>
      </x:c>
    </x:row>
    <x:row r="2237">
      <x:c r="A2237" t="n">
        <x:v>2236</x:v>
      </x:c>
      <x:c r="B2237" s="106" t="str">
        <x:v>SEARCH | point 1 | DAC 1.00 | CTRL X 0.01506 | X 0.01571 | Y 0.02067 | Z 0.01645 | TOTAL 0.03159 | error -94.98 % | MAD 59.29 % | CV 44.64 % | coh 10.0 % | dominant Y | axis fraction 76.0 % | BELOW MEASUREMENT FLOOR — SEARCH CONTINUES</x:v>
      </x:c>
      <x:c r="C2237" t="str">
        <x:v>Pasted text(56).txt</x:v>
      </x:c>
    </x:row>
    <x:row r="2238">
      <x:c r="A2238" t="n">
        <x:v>2237</x:v>
      </x:c>
      <x:c r="B2238" s="106" t="str">
        <x:v>SEARCH | point 2 | DAC 3.00 | CTRL X 0.13864 | X 0.13391 | Y 0.06242 | Z 0.11717 | TOTAL 0.18961 | error -53.79 % | MAD 1.58 % | CV 7.10 % | coh 52.1 % | dominant X | axis fraction 100.0 % | VALID</x:v>
      </x:c>
      <x:c r="C2238" t="str">
        <x:v>Pasted text(56).txt</x:v>
      </x:c>
    </x:row>
    <x:row r="2239">
      <x:c r="A2239" t="n">
        <x:v>2238</x:v>
      </x:c>
      <x:c r="B2239" s="106" t="str">
        <x:v>SEARCH | point 3 | DAC 4.00 | CTRL X 0.21800 | X 0.22306 | Y 0.09876 | Z 0.17411 | TOTAL 0.30015 | error -27.33 % | MAD 0.73 % | CV 4.35 % | coh 69.2 % | dominant X | axis fraction 100.0 % | VALID</x:v>
      </x:c>
      <x:c r="C2239" t="str">
        <x:v>Pasted text(56).txt</x:v>
      </x:c>
    </x:row>
    <x:row r="2240">
      <x:c r="A2240" t="n">
        <x:v>2239</x:v>
      </x:c>
      <x:c r="B2240" s="106" t="str">
        <x:v>SEARCH | point 4 | DAC 4.50 | CTRL X 0.25993 | X 0.26578 | Y 0.10453 | Z 0.18703 | TOTAL 0.34225 | error -13.36 % | MAD 2.09 % | CV 5.05 % | coh 77.5 % | dominant X | axis fraction 100.0 % | VALID</x:v>
      </x:c>
      <x:c r="C2240" t="str">
        <x:v>Pasted text(56).txt</x:v>
      </x:c>
    </x:row>
    <x:row r="2241">
      <x:c r="A2241" t="n">
        <x:v>2240</x:v>
      </x:c>
      <x:c r="B2241" s="106" t="str">
        <x:v>SEARCH | point 5 | DAC 4.75 | CTRL X 0.29197 | X 0.29084 | Y 0.13079 | Z 0.21275 | TOTAL 0.38358 | error -2.68 % | MAD 0.14 % | CV 0.76 % | coh 75.9 % | dominant X | axis fraction 100.0 % | IN TARGET BAND</x:v>
      </x:c>
      <x:c r="C2241" t="str">
        <x:v>Pasted text(56).txt</x:v>
      </x:c>
    </x:row>
    <x:row r="2242">
      <x:c r="A2242" t="n">
        <x:v>2241</x:v>
      </x:c>
      <x:c r="B2242" s="106" t="str"/>
      <x:c r="C2242" t="str">
        <x:v>Pasted text(56).txt</x:v>
      </x:c>
    </x:row>
    <x:row r="2243">
      <x:c r="A2243" t="n">
        <x:v>2242</x:v>
      </x:c>
      <x:c r="B2243" s="106" t="str">
        <x:v>LOCAL 0.25-DAC X-AXIS FINE SCAN</x:v>
      </x:c>
      <x:c r="C2243" t="str">
        <x:v>Pasted text(56).txt</x:v>
      </x:c>
    </x:row>
    <x:row r="2244">
      <x:c r="A2244" t="n">
        <x:v>2243</x:v>
      </x:c>
      <x:c r="B2244" s="106" t="str">
        <x:v>Only a valid point actually inside the X target band may be selected.</x:v>
      </x:c>
      <x:c r="C2244" t="str">
        <x:v>Pasted text(56).txt</x:v>
      </x:c>
    </x:row>
    <x:row r="2245">
      <x:c r="A2245" t="n">
        <x:v>2244</x:v>
      </x:c>
      <x:c r="B2245" s="106" t="str">
        <x:v>FINE | point 1 | DAC 3.75 | CTRL X 0.21803 | X 0.21359 | Y 0.09043 | Z 0.14321 | TOTAL 0.27293 | error -27.32 % | MAD 5.53 % | CV 7.16 % | coh 65.3 % | dominant X | axis fraction 100.0 % | VALID</x:v>
      </x:c>
      <x:c r="C2245" t="str">
        <x:v>Pasted text(56).txt</x:v>
      </x:c>
    </x:row>
    <x:row r="2246">
      <x:c r="A2246" t="n">
        <x:v>2245</x:v>
      </x:c>
      <x:c r="B2246" s="106" t="str">
        <x:v>FINE | point 2 | DAC 4.00 | CTRL X 0.22725 | X 0.23824 | Y 0.09736 | Z 0.16493 | TOTAL 0.30600 | error -24.25 % | MAD 1.78 % | CV 9.00 % | coh 73.4 % | dominant X | axis fraction 100.0 % | VALID</x:v>
      </x:c>
      <x:c r="C2246" t="str">
        <x:v>Pasted text(56).txt</x:v>
      </x:c>
    </x:row>
    <x:row r="2247">
      <x:c r="A2247" t="n">
        <x:v>2246</x:v>
      </x:c>
      <x:c r="B2247" s="106" t="str">
        <x:v>FINE | point 3 | DAC 4.25 | CTRL X 0.24472 | X 0.24681 | Y 0.09541 | Z 0.15410 | TOTAL 0.30642 | error -18.43 % | MAD 0.11 % | CV 1.53 % | coh 72.5 % | dominant X | axis fraction 100.0 % | VALID</x:v>
      </x:c>
      <x:c r="C2247" t="str">
        <x:v>Pasted text(56).txt</x:v>
      </x:c>
    </x:row>
    <x:row r="2248">
      <x:c r="A2248" t="n">
        <x:v>2247</x:v>
      </x:c>
      <x:c r="B2248" s="106" t="str">
        <x:v>FINE | point 4 | DAC 4.50 | CTRL X 0.26561 | X 0.26657 | Y 0.10798 | Z 0.18175 | TOTAL 0.34038 | error -11.46 % | MAD 6.70 % | CV 5.05 % | coh 74.2 % | dominant X | axis fraction 100.0 % | VALID</x:v>
      </x:c>
      <x:c r="C2248" t="str">
        <x:v>Pasted text(56).txt</x:v>
      </x:c>
    </x:row>
    <x:row r="2249">
      <x:c r="A2249" t="n">
        <x:v>2248</x:v>
      </x:c>
      <x:c r="B2249" s="106" t="str">
        <x:v>FINE | point 5 | DAC 4.75 | CTRL X 0.31683 | X 0.30442 | Y 0.13223 | Z 0.18874 | TOTAL 0.38212 | error 5.61 % | MAD 2.74 % | CV 8.78 % | coh 78.1 % | dominant X | axis fraction 100.0 % | IN TARGET BAND</x:v>
      </x:c>
      <x:c r="C2249" t="str">
        <x:v>Pasted text(56).txt</x:v>
      </x:c>
    </x:row>
    <x:row r="2250">
      <x:c r="A2250" t="n">
        <x:v>2249</x:v>
      </x:c>
      <x:c r="B2250" s="106" t="str">
        <x:v>FINE | point 6 | DAC 5.00 | CTRL X 0.32852 | X 0.33259 | Y 0.12763 | Z 0.22541 | TOTAL 0.42230 | error 9.51 % | MAD 1.65 % | CV 3.12 % | coh 80.9 % | dominant X | axis fraction 100.0 % | VALID</x:v>
      </x:c>
      <x:c r="C2250" t="str">
        <x:v>Pasted text(56).txt</x:v>
      </x:c>
    </x:row>
    <x:row r="2251">
      <x:c r="A2251" t="n">
        <x:v>2250</x:v>
      </x:c>
      <x:c r="B2251" s="106" t="str">
        <x:v>FINE | point 7 | DAC 5.25 | CTRL X 0.35250 | X 0.35112 | Y 0.14760 | Z 0.22900 | TOTAL 0.44450 | error 17.50 % | MAD 2.23 % | CV 2.13 % | coh 84.2 % | dominant X | axis fraction 100.0 % | VALID</x:v>
      </x:c>
      <x:c r="C2251" t="str">
        <x:v>Pasted text(56).txt</x:v>
      </x:c>
    </x:row>
    <x:row r="2252">
      <x:c r="A2252" t="n">
        <x:v>2251</x:v>
      </x:c>
      <x:c r="B2252" s="106" t="str">
        <x:v>FINE | point 8 | DAC 5.50 | CTRL X 0.36120 | X 0.36007 | Y 0.13568 | Z 0.24267 | TOTAL 0.45525 | error 20.40 % | MAD 1.35 % | CV 1.41 % | coh 81.5 % | dominant X | axis fraction 100.0 % | VALID</x:v>
      </x:c>
      <x:c r="C2252" t="str">
        <x:v>Pasted text(56).txt</x:v>
      </x:c>
    </x:row>
    <x:row r="2253">
      <x:c r="A2253" t="n">
        <x:v>2252</x:v>
      </x:c>
      <x:c r="B2253" s="106" t="str">
        <x:v>FINE | point 9 | DAC 5.75 | CTRL X 0.41442 | X 0.41521 | Y 0.17605 | Z 0.26707 | TOTAL 0.52432 | error 38.14 % | MAD 3.33 % | CV 2.53 % | coh 85.5 % | dominant X | axis fraction 100.0 % | VALID</x:v>
      </x:c>
      <x:c r="C2253" t="str">
        <x:v>Pasted text(56).txt</x:v>
      </x:c>
    </x:row>
    <x:row r="2254">
      <x:c r="A2254" t="n">
        <x:v>2253</x:v>
      </x:c>
      <x:c r="B2254" s="106" t="str"/>
      <x:c r="C2254" t="str">
        <x:v>Pasted text(56).txt</x:v>
      </x:c>
    </x:row>
    <x:row r="2255">
      <x:c r="A2255" t="n">
        <x:v>2254</x:v>
      </x:c>
      <x:c r="B2255" s="106" t="str">
        <x:v>LONG VALIDATION AT FIXED DAC 4.75</x:v>
      </x:c>
      <x:c r="C2255" t="str">
        <x:v>Pasted text(56).txt</x:v>
      </x:c>
    </x:row>
    <x:row r="2256">
      <x:c r="A2256" t="n">
        <x:v>2255</x:v>
      </x:c>
      <x:c r="B2256" s="106" t="str">
        <x:v>FINAL | point 1 | DAC 4.75 | CTRL X 0.30991 | X 0.30939 | Y 0.12249 | Z 0.20039 | TOTAL 0.38943 | error 3.30 % | MAD 0.90 % | CV 1.45 % | coh 77.7 % | dominant X | axis fraction 100.0 % | IN TARGET BAND</x:v>
      </x:c>
      <x:c r="C2256" t="str">
        <x:v>Pasted text(56).txt</x:v>
      </x:c>
    </x:row>
    <x:row r="2257">
      <x:c r="A2257" t="n">
        <x:v>2256</x:v>
      </x:c>
      <x:c r="B2257" s="106" t="str">
        <x:v>FINAL | point 2 | DAC 4.75 | CTRL X 0.30702 | X 0.30592 | Y 0.12707 | Z 0.21909 | TOTAL 0.39801 | error 2.34 % | MAD 4.80 % | CV 4.11 % | coh 76.0 % | dominant X | axis fraction 100.0 % | IN TARGET BAND</x:v>
      </x:c>
      <x:c r="C2257" t="str">
        <x:v>Pasted text(56).txt</x:v>
      </x:c>
    </x:row>
    <x:row r="2258">
      <x:c r="A2258" t="n">
        <x:v>2257</x:v>
      </x:c>
      <x:c r="B2258" s="106" t="str">
        <x:v>VALIDATION ACCEPTED | pair drift 0.94 %</x:v>
      </x:c>
      <x:c r="C2258" t="str">
        <x:v>Pasted text(56).txt</x:v>
      </x:c>
    </x:row>
    <x:row r="2259">
      <x:c r="A2259" t="n">
        <x:v>2258</x:v>
      </x:c>
      <x:c r="B2259" s="106" t="str"/>
      <x:c r="C2259" t="str">
        <x:v>Pasted text(56).txt</x:v>
      </x:c>
    </x:row>
    <x:row r="2260">
      <x:c r="A2260" t="n">
        <x:v>2259</x:v>
      </x:c>
      <x:c r="B2260" s="106" t="str">
        <x:v>FINAL VALIDATED BLIND FFT VERIFICATION</x:v>
      </x:c>
      <x:c r="C2260" t="str">
        <x:v>Pasted text(56).txt</x:v>
      </x:c>
    </x:row>
    <x:row r="2261">
      <x:c r="A2261" t="n">
        <x:v>2260</x:v>
      </x:c>
      <x:c r="B2261" s="106" t="str">
        <x:v>Commanded frequency: 268.00000 Hz</x:v>
      </x:c>
      <x:c r="C2261" t="str">
        <x:v>Pasted text(56).txt</x:v>
      </x:c>
    </x:row>
    <x:row r="2262">
      <x:c r="A2262" t="n">
        <x:v>2261</x:v>
      </x:c>
      <x:c r="B2262" s="106" t="str">
        <x:v>Accepted DAC: 4.75</x:v>
      </x:c>
      <x:c r="C2262" t="str">
        <x:v>Pasted text(56).txt</x:v>
      </x:c>
    </x:row>
    <x:row r="2263">
      <x:c r="A2263" t="n">
        <x:v>2262</x:v>
      </x:c>
      <x:c r="B2263" s="106" t="str">
        <x:v>Axis,Frequency_Hz,Amplitude_mps2,SNR_dB,Status</x:v>
      </x:c>
      <x:c r="C2263" t="str">
        <x:v>Pasted text(56).txt</x:v>
      </x:c>
    </x:row>
    <x:row r="2264">
      <x:c r="A2264" t="n">
        <x:v>2263</x:v>
      </x:c>
      <x:c r="B2264" s="106" t="str">
        <x:v>X,268.01782,0.28082,25.86,VALID</x:v>
      </x:c>
      <x:c r="C2264" t="str">
        <x:v>Pasted text(56).txt</x:v>
      </x:c>
    </x:row>
    <x:row r="2265">
      <x:c r="A2265" t="n">
        <x:v>2264</x:v>
      </x:c>
      <x:c r="B2265" s="106" t="str">
        <x:v>Y,378.56355,0.16613,17.68,VALID</x:v>
      </x:c>
      <x:c r="C2265" t="str">
        <x:v>Pasted text(56).txt</x:v>
      </x:c>
    </x:row>
    <x:row r="2266">
      <x:c r="A2266" t="n">
        <x:v>2265</x:v>
      </x:c>
      <x:c r="B2266" s="106" t="str">
        <x:v>Z,267.98692,0.20100,21.28,VALID</x:v>
      </x:c>
      <x:c r="C2266" t="str">
        <x:v>Pasted text(56).txt</x:v>
      </x:c>
    </x:row>
    <x:row r="2267">
      <x:c r="A2267" t="n">
        <x:v>2266</x:v>
      </x:c>
      <x:c r="B2267" s="106" t="str">
        <x:v>Combined frequency: 268.00836 Hz | difference 0.00836 Hz</x:v>
      </x:c>
      <x:c r="C2267" t="str">
        <x:v>Pasted text(56).txt</x:v>
      </x:c>
    </x:row>
    <x:row r="2268">
      <x:c r="A2268" t="n">
        <x:v>2267</x:v>
      </x:c>
      <x:c r="B2268" s="106" t="str">
        <x:v>Combined X/Y/Z/TOTAL: 0.25619 / 0.10673 / 0.18293 / 0.33240</x:v>
      </x:c>
      <x:c r="C2268" t="str">
        <x:v>Pasted text(56).txt</x:v>
      </x:c>
    </x:row>
    <x:row r="2269">
      <x:c r="A2269" t="n">
        <x:v>2268</x:v>
      </x:c>
      <x:c r="B2269" s="106" t="str">
        <x:v>SNR: 20.83 dB | dominant axis X</x:v>
      </x:c>
      <x:c r="C2269" t="str">
        <x:v>Pasted text(56).txt</x:v>
      </x:c>
    </x:row>
    <x:row r="2270">
      <x:c r="A2270" t="n">
        <x:v>2269</x:v>
      </x:c>
      <x:c r="B2270" s="106" t="str">
        <x:v>Frequency verification: PASS</x:v>
      </x:c>
      <x:c r="C2270" t="str">
        <x:v>Pasted text(56).txt</x:v>
      </x:c>
    </x:row>
    <x:row r="2271">
      <x:c r="A2271" t="n">
        <x:v>2270</x:v>
      </x:c>
      <x:c r="B2271" s="106" t="str">
        <x:v>Y/Z dominance: DIAGNOSTIC ONLY — ignored for pass/fail</x:v>
      </x:c>
      <x:c r="C2271" t="str">
        <x:v>Pasted text(56).txt</x:v>
      </x:c>
    </x:row>
    <x:row r="2272">
      <x:c r="A2272" t="n">
        <x:v>2271</x:v>
      </x:c>
      <x:c r="B2272" s="106" t="str"/>
      <x:c r="C2272" t="str">
        <x:v>Pasted text(56).txt</x:v>
      </x:c>
    </x:row>
    <x:row r="2273">
      <x:c r="A2273" t="n">
        <x:v>2272</x:v>
      </x:c>
      <x:c r="B2273" s="106" t="str">
        <x:v>FIXED-DAC HOLD VALIDATION</x:v>
      </x:c>
      <x:c r="C2273" t="str">
        <x:v>Pasted text(56).txt</x:v>
      </x:c>
    </x:row>
    <x:row r="2274">
      <x:c r="A2274" t="n">
        <x:v>2273</x:v>
      </x:c>
      <x:c r="B2274" s="106" t="str">
        <x:v>DAC remains fixed at 4.75 for 10 records.</x:v>
      </x:c>
      <x:c r="C2274" t="str">
        <x:v>Pasted text(56).txt</x:v>
      </x:c>
    </x:row>
    <x:row r="2275">
      <x:c r="A2275" t="n">
        <x:v>2274</x:v>
      </x:c>
      <x:c r="B2275" s="106" t="str">
        <x:v>HOLD | point 1 | DAC 4.75 | CTRL X 0.29911 | X 0.30170 | Y 0.11370 | Z 0.20193 | TOTAL 0.38072 | error -0.30 % | MAD 4.69 % | CV 4.49 % | coh 75.9 % | dominant X | axis fraction 100.0 % | IN TARGET BAND</x:v>
      </x:c>
      <x:c r="C2275" t="str">
        <x:v>Pasted text(56).txt</x:v>
      </x:c>
    </x:row>
    <x:row r="2276">
      <x:c r="A2276" t="n">
        <x:v>2275</x:v>
      </x:c>
      <x:c r="B2276" s="106" t="str">
        <x:v>HOLD | point 2 | DAC 4.75 | CTRL X 0.32648 | X 0.31639 | Y 0.12117 | Z 0.19646 | TOTAL 0.39177 | error 8.83 % | MAD 1.69 % | CV 6.57 % | coh 79.3 % | dominant X | axis fraction 100.0 % | VALID</x:v>
      </x:c>
      <x:c r="C2276" t="str">
        <x:v>Pasted text(56).txt</x:v>
      </x:c>
    </x:row>
    <x:row r="2277">
      <x:c r="A2277" t="n">
        <x:v>2276</x:v>
      </x:c>
      <x:c r="B2277" s="106" t="str">
        <x:v>HOLD | point 3 | DAC 4.75 | CTRL X 0.31137 | X 0.30604 | Y 0.12651 | Z 0.20757 | TOTAL 0.39138 | error 3.79 % | MAD 0.55 % | CV 3.35 % | coh 74.4 % | dominant X | axis fraction 100.0 % | IN TARGET BAND</x:v>
      </x:c>
      <x:c r="C2277" t="str">
        <x:v>Pasted text(56).txt</x:v>
      </x:c>
    </x:row>
    <x:row r="2278">
      <x:c r="A2278" t="n">
        <x:v>2277</x:v>
      </x:c>
      <x:c r="B2278" s="106" t="str">
        <x:v>HOLD | point 4 | DAC 4.75 | CTRL X 0.30956 | X 0.30834 | Y 0.15476 | Z 0.20662 | TOTAL 0.40265 | error 3.19 % | MAD 6.07 % | CV 4.72 % | coh 76.2 % | dominant X | axis fraction 100.0 % | IN TARGET BAND</x:v>
      </x:c>
      <x:c r="C2278" t="str">
        <x:v>Pasted text(56).txt</x:v>
      </x:c>
    </x:row>
    <x:row r="2279">
      <x:c r="A2279" t="n">
        <x:v>2278</x:v>
      </x:c>
      <x:c r="B2279" s="106" t="str">
        <x:v>HOLD | point 5 | DAC 4.75 | CTRL X 0.30339 | X 0.30767 | Y 0.12251 | Z 0.21150 | TOTAL 0.39301 | error 1.13 % | MAD 0.84 % | CV 2.91 % | coh 76.8 % | dominant X | axis fraction 100.0 % | IN TARGET BAND</x:v>
      </x:c>
      <x:c r="C2279" t="str">
        <x:v>Pasted text(56).txt</x:v>
      </x:c>
    </x:row>
    <x:row r="2280">
      <x:c r="A2280" t="n">
        <x:v>2279</x:v>
      </x:c>
      <x:c r="B2280" s="106" t="str">
        <x:v>HOLD | point 6 | DAC 4.75 | CTRL X 0.32127 | X 0.32156 | Y 0.13663 | Z 0.21772 | TOTAL 0.41194 | error 7.09 % | MAD 1.15 % | CV 0.91 % | coh 79.3 % | dominant X | axis fraction 100.0 % | IN TARGET BAND</x:v>
      </x:c>
      <x:c r="C2280" t="str">
        <x:v>Pasted text(56).txt</x:v>
      </x:c>
    </x:row>
    <x:row r="2281">
      <x:c r="A2281" t="n">
        <x:v>2280</x:v>
      </x:c>
      <x:c r="B2281" s="106" t="str">
        <x:v>HOLD | point 7 | DAC 4.75 | CTRL X 0.30363 | X 0.31063 | Y 0.14246 | Z 0.19004 | TOTAL 0.39142 | error 1.21 % | MAD 5.48 % | CV 7.26 % | coh 77.4 % | dominant X | axis fraction 100.0 % | IN TARGET BAND</x:v>
      </x:c>
      <x:c r="C2281" t="str">
        <x:v>Pasted text(56).txt</x:v>
      </x:c>
    </x:row>
    <x:row r="2282">
      <x:c r="A2282" t="n">
        <x:v>2281</x:v>
      </x:c>
      <x:c r="B2282" s="106" t="str">
        <x:v>HOLD | point 8 | DAC 4.75 | CTRL X 0.30366 | X 0.30166 | Y 0.12305 | Z 0.23279 | TOTAL 0.40076 | error 1.22 % | MAD 2.99 % | CV 3.08 % | coh 75.4 % | dominant X | axis fraction 100.0 % | IN TARGET BAND</x:v>
      </x:c>
      <x:c r="C2282" t="str">
        <x:v>Pasted text(56).txt</x:v>
      </x:c>
    </x:row>
    <x:row r="2283">
      <x:c r="A2283" t="n">
        <x:v>2282</x:v>
      </x:c>
      <x:c r="B2283" s="106" t="str">
        <x:v>HOLD | point 9 | DAC 4.75 | CTRL X 0.32333 | X 0.32530 | Y 0.12816 | Z 0.22526 | TOTAL 0.41662 | error 7.78 % | MAD 1.37 % | CV 1.90 % | coh 77.3 % | dominant X | axis fraction 100.0 % | VALID</x:v>
      </x:c>
      <x:c r="C2283" t="str">
        <x:v>Pasted text(56).txt</x:v>
      </x:c>
    </x:row>
    <x:row r="2284">
      <x:c r="A2284" t="n">
        <x:v>2283</x:v>
      </x:c>
      <x:c r="B2284" s="106" t="str">
        <x:v>HOLD | point 10 | DAC 4.75 | CTRL X 0.31233 | X 0.31837 | Y 0.12696 | Z 0.19378 | TOTAL 0.39478 | error 4.11 % | MAD 2.34 % | CV 4.69 % | coh 80.3 % | dominant X | axis fraction 100.0 % | IN TARGET BAND</x:v>
      </x:c>
      <x:c r="C2284" t="str">
        <x:v>Pasted text(56).txt</x:v>
      </x:c>
    </x:row>
    <x:row r="2285">
      <x:c r="A2285" t="n">
        <x:v>2284</x:v>
      </x:c>
      <x:c r="B2285" s="106" t="str"/>
      <x:c r="C2285" t="str">
        <x:v>Pasted text(56).txt</x:v>
      </x:c>
    </x:row>
    <x:row r="2286">
      <x:c r="A2286" t="n">
        <x:v>2285</x:v>
      </x:c>
      <x:c r="B2286" s="106" t="str">
        <x:v>HOLD SUMMARY</x:v>
      </x:c>
      <x:c r="C2286" t="str">
        <x:v>Pasted text(56).txt</x:v>
      </x:c>
    </x:row>
    <x:row r="2287">
      <x:c r="A2287" t="n">
        <x:v>2286</x:v>
      </x:c>
      <x:c r="B2287" s="106" t="str">
        <x:v>Valid / requested: 10 / 10</x:v>
      </x:c>
      <x:c r="C2287" t="str">
        <x:v>Pasted text(56).txt</x:v>
      </x:c>
    </x:row>
    <x:row r="2288">
      <x:c r="A2288" t="n">
        <x:v>2287</x:v>
      </x:c>
      <x:c r="B2288" s="106" t="str">
        <x:v>In band / requested: 8 / 10 = 80.0 %</x:v>
      </x:c>
      <x:c r="C2288" t="str">
        <x:v>Pasted text(56).txt</x:v>
      </x:c>
    </x:row>
    <x:row r="2289">
      <x:c r="A2289" t="n">
        <x:v>2288</x:v>
      </x:c>
      <x:c r="B2289" s="106" t="str">
        <x:v>Mean / SD / CV: 0.31141 / 0.00947 / 3.04 %</x:v>
      </x:c>
      <x:c r="C2289" t="str">
        <x:v>Pasted text(56).txt</x:v>
      </x:c>
    </x:row>
    <x:row r="2290">
      <x:c r="A2290" t="n">
        <x:v>2289</x:v>
      </x:c>
      <x:c r="B2290" s="106" t="str">
        <x:v>Min / Max: 0.29911 / 0.32648</x:v>
      </x:c>
      <x:c r="C2290" t="str">
        <x:v>Pasted text(56).txt</x:v>
      </x:c>
    </x:row>
    <x:row r="2291">
      <x:c r="A2291" t="n">
        <x:v>2290</x:v>
      </x:c>
      <x:c r="B2291" s="106" t="str">
        <x:v>HOLD RESULT: PASS</x:v>
      </x:c>
      <x:c r="C2291" t="str">
        <x:v>Pasted text(56).txt</x:v>
      </x:c>
    </x:row>
    <x:row r="2292">
      <x:c r="A2292" t="n">
        <x:v>2291</x:v>
      </x:c>
      <x:c r="B2292" s="106" t="str"/>
      <x:c r="C2292" t="str">
        <x:v>Pasted text(56).txt</x:v>
      </x:c>
    </x:row>
    <x:row r="2293">
      <x:c r="A2293" t="n">
        <x:v>2292</x:v>
      </x:c>
      <x:c r="B2293" s="106" t="str">
        <x:v>RUN RESULT: PASS</x:v>
      </x:c>
      <x:c r="C2293" t="str">
        <x:v>Pasted text(56).txt</x:v>
      </x:c>
    </x:row>
    <x:row r="2294">
      <x:c r="A2294" t="n">
        <x:v>2293</x:v>
      </x:c>
      <x:c r="B2294" s="106" t="str">
        <x:v>Selected DAC: 4.75</x:v>
      </x:c>
      <x:c r="C2294" t="str">
        <x:v>Pasted text(56).txt</x:v>
      </x:c>
    </x:row>
    <x:row r="2295">
      <x:c r="A2295" t="n">
        <x:v>2294</x:v>
      </x:c>
      <x:c r="B2295" s="106" t="str">
        <x:v>Validated amplitude: 0.30847 m/s^2 | error 2.82 %</x:v>
      </x:c>
      <x:c r="C2295" t="str">
        <x:v>Pasted text(56).txt</x:v>
      </x:c>
    </x:row>
    <x:row r="2296">
      <x:c r="A2296" t="n">
        <x:v>2295</x:v>
      </x:c>
      <x:c r="B2296" s="106" t="str">
        <x:v>FFT frequency: 268.00836 Hz | difference 0.00836 Hz</x:v>
      </x:c>
      <x:c r="C2296" t="str">
        <x:v>Pasted text(56).txt</x:v>
      </x:c>
    </x:row>
    <x:row r="2297">
      <x:c r="A2297" t="n">
        <x:v>2296</x:v>
      </x:c>
      <x:c r="B2297" s="106" t="str"/>
      <x:c r="C2297" t="str">
        <x:v>Pasted text(56).txt</x:v>
      </x:c>
    </x:row>
    <x:row r="2298">
      <x:c r="A2298" t="n">
        <x:v>2297</x:v>
      </x:c>
      <x:c r="B2298" s="106" t="str">
        <x:v>VISATON OFF. RESTING 5.0 s BEFORE THE NEXT COMPLETELY FRESH RUN.</x:v>
      </x:c>
      <x:c r="C2298" t="str">
        <x:v>Pasted text(56).txt</x:v>
      </x:c>
    </x:row>
    <x:row r="2299">
      <x:c r="A2299" t="n">
        <x:v>2298</x:v>
      </x:c>
      <x:c r="B2299" s="106" t="str"/>
      <x:c r="C2299" t="str">
        <x:v>Pasted text(56).txt</x:v>
      </x:c>
    </x:row>
    <x:row r="2300">
      <x:c r="A2300" t="n">
        <x:v>2299</x:v>
      </x:c>
      <x:c r="B2300" s="106" t="str">
        <x:v>################################################################################</x:v>
      </x:c>
      <x:c r="C2300" t="str">
        <x:v>Pasted text(56).txt</x:v>
      </x:c>
    </x:row>
    <x:row r="2301">
      <x:c r="A2301" t="n">
        <x:v>2300</x:v>
      </x:c>
      <x:c r="B2301" s="106" t="str">
        <x:v>INDEPENDENT TARGET-AMPLITUDE RUN 4 OF 5</x:v>
      </x:c>
      <x:c r="C2301" t="str">
        <x:v>Pasted text(56).txt</x:v>
      </x:c>
    </x:row>
    <x:row r="2302">
      <x:c r="A2302" t="n">
        <x:v>2301</x:v>
      </x:c>
      <x:c r="B2302" s="106" t="str">
        <x:v>################################################################################</x:v>
      </x:c>
      <x:c r="C2302" t="str">
        <x:v>Pasted text(56).txt</x:v>
      </x:c>
    </x:row>
    <x:row r="2303">
      <x:c r="A2303" t="n">
        <x:v>2302</x:v>
      </x:c>
      <x:c r="B2303" s="106" t="str">
        <x:v>Frequency: 268.00000 Hz</x:v>
      </x:c>
      <x:c r="C2303" t="str">
        <x:v>Pasted text(56).txt</x:v>
      </x:c>
    </x:row>
    <x:row r="2304">
      <x:c r="A2304" t="n">
        <x:v>2303</x:v>
      </x:c>
      <x:c r="B2304" s="106" t="str">
        <x:v>Target X amplitude: 0.30000 m/s^2 peak, tolerance +/-7.50 %</x:v>
      </x:c>
      <x:c r="C2304" t="str">
        <x:v>Pasted text(56).txt</x:v>
      </x:c>
    </x:row>
    <x:row r="2305">
      <x:c r="A2305" t="n">
        <x:v>2304</x:v>
      </x:c>
      <x:c r="B2305" s="106" t="str">
        <x:v>This run starts from DAC 1.00 and ignores every earlier selected DAC.</x:v>
      </x:c>
      <x:c r="C2305" t="str">
        <x:v>Pasted text(56).txt</x:v>
      </x:c>
    </x:row>
    <x:row r="2306">
      <x:c r="A2306" t="n">
        <x:v>2305</x:v>
      </x:c>
      <x:c r="B2306" s="106" t="str">
        <x:v>ADXL2 DEVID/DATA_FORMAT/BW_RATE/POWER_CTL: 0xE5 / 0xB / 0xE / 0x8</x:v>
      </x:c>
      <x:c r="C2306" t="str">
        <x:v>Pasted text(56).txt</x:v>
      </x:c>
    </x:row>
    <x:row r="2307">
      <x:c r="A2307" t="n">
        <x:v>2306</x:v>
      </x:c>
      <x:c r="B2307" s="106" t="str"/>
      <x:c r="C2307" t="str">
        <x:v>Pasted text(56).txt</x:v>
      </x:c>
    </x:row>
    <x:row r="2308">
      <x:c r="A2308" t="n">
        <x:v>2307</x:v>
      </x:c>
      <x:c r="B2308" s="106" t="str">
        <x:v>ACQUISITION ATTEMPT 1 OF 2</x:v>
      </x:c>
      <x:c r="C2308" t="str">
        <x:v>Pasted text(56).txt</x:v>
      </x:c>
    </x:row>
    <x:row r="2309">
      <x:c r="A2309" t="n">
        <x:v>2308</x:v>
      </x:c>
      <x:c r="B2309" s="106" t="str"/>
      <x:c r="C2309" t="str">
        <x:v>Pasted text(56).txt</x:v>
      </x:c>
    </x:row>
    <x:row r="2310">
      <x:c r="A2310" t="n">
        <x:v>2309</x:v>
      </x:c>
      <x:c r="B2310" s="106" t="str">
        <x:v>FRESH X-AXIS SEARCH FROM DAC 1.00 — OLD DAC VALUES ARE NOT USED</x:v>
      </x:c>
      <x:c r="C2310" t="str">
        <x:v>Pasted text(56).txt</x:v>
      </x:c>
    </x:row>
    <x:row r="2311">
      <x:c r="A2311" t="n">
        <x:v>2310</x:v>
      </x:c>
      <x:c r="B2311" s="106" t="str">
        <x:v>Y/Z are diagnostic only and cannot abort this search.</x:v>
      </x:c>
      <x:c r="C2311" t="str">
        <x:v>Pasted text(56).txt</x:v>
      </x:c>
    </x:row>
    <x:row r="2312">
      <x:c r="A2312" t="n">
        <x:v>2311</x:v>
      </x:c>
      <x:c r="B2312" s="106" t="str">
        <x:v>A real SPI fault, clipping, safety limit or confirmed X-response collapse will stop it.</x:v>
      </x:c>
      <x:c r="C2312" t="str">
        <x:v>Pasted text(56).txt</x:v>
      </x:c>
    </x:row>
    <x:row r="2313">
      <x:c r="A2313" t="n">
        <x:v>2312</x:v>
      </x:c>
      <x:c r="B2313" s="106" t="str">
        <x:v>SEARCH | point 1 | DAC 1.00 | CTRL X 0.01636 | X 0.01468 | Y 0.01976 | Z 0.01781 | TOTAL 0.03180 | error -94.55 % | MAD 30.46 % | CV 16.19 % | coh 7.7 % | dominant Y | axis fraction 74.3 % | BELOW MEASUREMENT FLOOR — SEARCH CONTINUES</x:v>
      </x:c>
      <x:c r="C2313" t="str">
        <x:v>Pasted text(56).txt</x:v>
      </x:c>
    </x:row>
    <x:row r="2314">
      <x:c r="A2314" t="n">
        <x:v>2313</x:v>
      </x:c>
      <x:c r="B2314" s="106" t="str">
        <x:v>SEARCH | point 2 | DAC 3.00 | CTRL X 0.14699 | X 0.14188 | Y 0.05332 | Z 0.09750 | TOTAL 0.18134 | error -51.00 % | MAD 5.07 % | CV 9.47 % | coh 55.2 % | dominant X | axis fraction 100.0 % | VALID</x:v>
      </x:c>
      <x:c r="C2314" t="str">
        <x:v>Pasted text(56).txt</x:v>
      </x:c>
    </x:row>
    <x:row r="2315">
      <x:c r="A2315" t="n">
        <x:v>2314</x:v>
      </x:c>
      <x:c r="B2315" s="106" t="str">
        <x:v>SEARCH | point 3 | DAC 4.00 | CTRL X 0.24893 | X 0.24085 | Y 0.09951 | Z 0.17037 | TOTAL 0.31181 | error -17.02 % | MAD 3.07 % | CV 7.73 % | coh 73.3 % | dominant X | axis fraction 100.0 % | VALID</x:v>
      </x:c>
      <x:c r="C2315" t="str">
        <x:v>Pasted text(56).txt</x:v>
      </x:c>
    </x:row>
    <x:row r="2316">
      <x:c r="A2316" t="n">
        <x:v>2315</x:v>
      </x:c>
      <x:c r="B2316" s="106" t="str">
        <x:v>SEARCH | point 4 | DAC 4.50 | CTRL X 0.27213 | X 0.27201 | Y 0.11085 | Z 0.17732 | TOTAL 0.34314 | error -9.29 % | MAD 1.36 % | CV 0.99 % | coh 74.5 % | dominant X | axis fraction 100.0 % | VALID</x:v>
      </x:c>
      <x:c r="C2316" t="str">
        <x:v>Pasted text(56).txt</x:v>
      </x:c>
    </x:row>
    <x:row r="2317">
      <x:c r="A2317" t="n">
        <x:v>2316</x:v>
      </x:c>
      <x:c r="B2317" s="106" t="str">
        <x:v>SEARCH | point 5 | DAC 4.75 | CTRL X 0.31235 | X 0.31402 | Y 0.13794 | Z 0.20508 | TOTAL 0.39986 | error 4.12 % | MAD 2.13 % | CV 2.27 % | coh 75.3 % | dominant X | axis fraction 100.0 % | IN TARGET BAND</x:v>
      </x:c>
      <x:c r="C2317" t="str">
        <x:v>Pasted text(56).txt</x:v>
      </x:c>
    </x:row>
    <x:row r="2318">
      <x:c r="A2318" t="n">
        <x:v>2317</x:v>
      </x:c>
      <x:c r="B2318" s="106" t="str"/>
      <x:c r="C2318" t="str">
        <x:v>Pasted text(56).txt</x:v>
      </x:c>
    </x:row>
    <x:row r="2319">
      <x:c r="A2319" t="n">
        <x:v>2318</x:v>
      </x:c>
      <x:c r="B2319" s="106" t="str">
        <x:v>LOCAL 0.25-DAC X-AXIS FINE SCAN</x:v>
      </x:c>
      <x:c r="C2319" t="str">
        <x:v>Pasted text(56).txt</x:v>
      </x:c>
    </x:row>
    <x:row r="2320">
      <x:c r="A2320" t="n">
        <x:v>2319</x:v>
      </x:c>
      <x:c r="B2320" s="106" t="str">
        <x:v>Only a valid point actually inside the X target band may be selected.</x:v>
      </x:c>
      <x:c r="C2320" t="str">
        <x:v>Pasted text(56).txt</x:v>
      </x:c>
    </x:row>
    <x:row r="2321">
      <x:c r="A2321" t="n">
        <x:v>2320</x:v>
      </x:c>
      <x:c r="B2321" s="106" t="str">
        <x:v>FINE | point 1 | DAC 3.75 | CTRL X 0.22488 | X 0.22438 | Y 0.10502 | Z 0.15671 | TOTAL 0.29468 | error -25.04 % | MAD 10.96 % | CV 7.75 % | coh 66.7 % | dominant X | axis fraction 100.0 % | VALID</x:v>
      </x:c>
      <x:c r="C2321" t="str">
        <x:v>Pasted text(56).txt</x:v>
      </x:c>
    </x:row>
    <x:row r="2322">
      <x:c r="A2322" t="n">
        <x:v>2321</x:v>
      </x:c>
      <x:c r="B2322" s="106" t="str">
        <x:v>FINE | point 2 | DAC 4.00 | CTRL X 0.22254 | X 0.23418 | Y 0.09366 | Z 0.16650 | TOTAL 0.30270 | error -25.82 % | MAD 3.09 % | CV 10.37 % | coh 69.8 % | dominant X | axis fraction 100.0 % | VALID</x:v>
      </x:c>
      <x:c r="C2322" t="str">
        <x:v>Pasted text(56).txt</x:v>
      </x:c>
    </x:row>
    <x:row r="2323">
      <x:c r="A2323" t="n">
        <x:v>2322</x:v>
      </x:c>
      <x:c r="B2323" s="106" t="str">
        <x:v>FINE | point 3 | DAC 4.25 | CTRL X 0.27801 | X 0.28269 | Y 0.13021 | Z 0.16546 | TOTAL 0.35277 | error -7.33 % | MAD 3.50 % | CV 5.01 % | coh 78.9 % | dominant X | axis fraction 100.0 % | IN TARGET BAND</x:v>
      </x:c>
      <x:c r="C2323" t="str">
        <x:v>Pasted text(56).txt</x:v>
      </x:c>
    </x:row>
    <x:row r="2324">
      <x:c r="A2324" t="n">
        <x:v>2323</x:v>
      </x:c>
      <x:c r="B2324" s="106" t="str">
        <x:v>FINE | point 4 | DAC 4.50 | CTRL X 0.28161 | X 0.28091 | Y 0.11752 | Z 0.15885 | TOTAL 0.34368 | error -6.13 % | MAD 10.52 % | CV 7.49 % | coh 75.4 % | dominant X | axis fraction 100.0 % | IN TARGET BAND</x:v>
      </x:c>
      <x:c r="C2324" t="str">
        <x:v>Pasted text(56).txt</x:v>
      </x:c>
    </x:row>
    <x:row r="2325">
      <x:c r="A2325" t="n">
        <x:v>2324</x:v>
      </x:c>
      <x:c r="B2325" s="106" t="str">
        <x:v>FINE | point 5 | DAC 4.75 | CTRL X 0.33457 | X 0.33655 | Y 0.12857 | Z 0.22426 | TOTAL 0.42518 | error 11.52 % | MAD 1.51 % | CV 1.97 % | coh 78.8 % | dominant X | axis fraction 100.0 % | VALID</x:v>
      </x:c>
      <x:c r="C2325" t="str">
        <x:v>Pasted text(56).txt</x:v>
      </x:c>
    </x:row>
    <x:row r="2326">
      <x:c r="A2326" t="n">
        <x:v>2325</x:v>
      </x:c>
      <x:c r="B2326" s="106" t="str">
        <x:v>FINE | point 6 | DAC 5.00 | CTRL X 0.32180 | X 0.32740 | Y 0.13938 | Z 0.21486 | TOTAL 0.41591 | error 7.27 % | MAD 1.32 % | CV 3.75 % | coh 79.3 % | dominant X | axis fraction 100.0 % | IN TARGET BAND</x:v>
      </x:c>
      <x:c r="C2326" t="str">
        <x:v>Pasted text(56).txt</x:v>
      </x:c>
    </x:row>
    <x:row r="2327">
      <x:c r="A2327" t="n">
        <x:v>2326</x:v>
      </x:c>
      <x:c r="B2327" s="106" t="str">
        <x:v>FINE | point 7 | DAC 5.25 | CTRL X 0.36468 | X 0.37023 | Y 0.14551 | Z 0.22904 | TOTAL 0.45985 | error 21.56 % | MAD 7.96 % | CV 7.65 % | coh 83.5 % | dominant X | axis fraction 100.0 % | VALID</x:v>
      </x:c>
      <x:c r="C2327" t="str">
        <x:v>Pasted text(56).txt</x:v>
      </x:c>
    </x:row>
    <x:row r="2328">
      <x:c r="A2328" t="n">
        <x:v>2327</x:v>
      </x:c>
      <x:c r="B2328" s="106" t="str">
        <x:v>FINE | point 8 | DAC 5.50 | CTRL X 0.37229 | X 0.36967 | Y 0.15438 | Z 0.22845 | TOTAL 0.46160 | error 24.10 % | MAD 4.43 % | CV 4.12 % | coh 81.4 % | dominant X | axis fraction 100.0 % | VALID</x:v>
      </x:c>
      <x:c r="C2328" t="str">
        <x:v>Pasted text(56).txt</x:v>
      </x:c>
    </x:row>
    <x:row r="2329">
      <x:c r="A2329" t="n">
        <x:v>2328</x:v>
      </x:c>
      <x:c r="B2329" s="106" t="str">
        <x:v>FINE | point 9 | DAC 5.75 | CTRL X 0.41550 | X 0.41747 | Y 0.18229 | Z 0.27319 | TOTAL 0.53124 | error 38.50 % | MAD 2.14 % | CV 2.18 % | coh 83.1 % | dominant X | axis fraction 100.0 % | VALID</x:v>
      </x:c>
      <x:c r="C2329" t="str">
        <x:v>Pasted text(56).txt</x:v>
      </x:c>
    </x:row>
    <x:row r="2330">
      <x:c r="A2330" t="n">
        <x:v>2329</x:v>
      </x:c>
      <x:c r="B2330" s="106" t="str"/>
      <x:c r="C2330" t="str">
        <x:v>Pasted text(56).txt</x:v>
      </x:c>
    </x:row>
    <x:row r="2331">
      <x:c r="A2331" t="n">
        <x:v>2330</x:v>
      </x:c>
      <x:c r="B2331" s="106" t="str">
        <x:v>LONG VALIDATION AT FIXED DAC 5.00</x:v>
      </x:c>
      <x:c r="C2331" t="str">
        <x:v>Pasted text(56).txt</x:v>
      </x:c>
    </x:row>
    <x:row r="2332">
      <x:c r="A2332" t="n">
        <x:v>2331</x:v>
      </x:c>
      <x:c r="B2332" s="106" t="str">
        <x:v>FINAL | point 1 | DAC 5.00 | CTRL X 0.34674 | X 0.35070 | Y 0.14808 | Z 0.21915 | TOTAL 0.44031 | error 15.58 % | MAD 1.61 % | CV 4.30 % | coh 82.6 % | dominant X | axis fraction 100.0 % | VALID</x:v>
      </x:c>
      <x:c r="C2332" t="str">
        <x:v>Pasted text(56).txt</x:v>
      </x:c>
    </x:row>
    <x:row r="2333">
      <x:c r="A2333" t="n">
        <x:v>2332</x:v>
      </x:c>
      <x:c r="B2333" s="106" t="str">
        <x:v>FINAL | point 2 | DAC 5.00 | CTRL X 0.33465 | X 0.33470 | Y 0.15041 | Z 0.21633 | TOTAL 0.42627 | error 11.55 % | MAD 3.43 % | CV 2.92 % | coh 80.1 % | dominant X | axis fraction 100.0 % | VALID</x:v>
      </x:c>
      <x:c r="C2333" t="str">
        <x:v>Pasted text(56).txt</x:v>
      </x:c>
    </x:row>
    <x:row r="2334">
      <x:c r="A2334" t="n">
        <x:v>2333</x:v>
      </x:c>
      <x:c r="B2334" s="106" t="str">
        <x:v>FINAL | point 3 | DAC 5.00 | CTRL X 0.34342 | X 0.34321 | Y 0.14409 | Z 0.18864 | TOTAL 0.41846 | error 14.47 % | MAD 1.13 % | CV 1.07 % | coh 80.5 % | dominant X | axis fraction 100.0 % | VALID</x:v>
      </x:c>
      <x:c r="C2334" t="str">
        <x:v>Pasted text(56).txt</x:v>
      </x:c>
    </x:row>
    <x:row r="2335">
      <x:c r="A2335" t="n">
        <x:v>2334</x:v>
      </x:c>
      <x:c r="B2335" s="106" t="str">
        <x:v>Stable validation was 13.87 % from target. Performing one bounded trim: DAC 5.00 -&gt; 4.50</x:v>
      </x:c>
      <x:c r="C2335" t="str">
        <x:v>Pasted text(56).txt</x:v>
      </x:c>
    </x:row>
    <x:row r="2336">
      <x:c r="A2336" t="n">
        <x:v>2335</x:v>
      </x:c>
      <x:c r="B2336" s="106" t="str"/>
      <x:c r="C2336" t="str">
        <x:v>Pasted text(56).txt</x:v>
      </x:c>
    </x:row>
    <x:row r="2337">
      <x:c r="A2337" t="n">
        <x:v>2336</x:v>
      </x:c>
      <x:c r="B2337" s="106" t="str">
        <x:v>LONG VALIDATION AT FIXED DAC 4.50</x:v>
      </x:c>
      <x:c r="C2337" t="str">
        <x:v>Pasted text(56).txt</x:v>
      </x:c>
    </x:row>
    <x:row r="2338">
      <x:c r="A2338" t="n">
        <x:v>2337</x:v>
      </x:c>
      <x:c r="B2338" s="106" t="str">
        <x:v>FINAL | point 1 | DAC 4.50 | CTRL X 0.25025 | X 0.25411 | Y 0.11485 | Z 0.18367 | TOTAL 0.33423 | error -16.58 % | MAD 4.21 % | CV 4.68 % | coh 73.8 % | dominant X | axis fraction 100.0 % | VALID</x:v>
      </x:c>
      <x:c r="C2338" t="str">
        <x:v>Pasted text(56).txt</x:v>
      </x:c>
    </x:row>
    <x:row r="2339">
      <x:c r="A2339" t="n">
        <x:v>2338</x:v>
      </x:c>
      <x:c r="B2339" s="106" t="str">
        <x:v>FINAL | point 2 | DAC 4.50 | CTRL X 0.26821 | X 0.27326 | Y 0.12340 | Z 0.18028 | TOTAL 0.35020 | error -10.60 % | MAD 2.66 % | CV 3.85 % | coh 73.2 % | dominant X | axis fraction 100.0 % | VALID</x:v>
      </x:c>
      <x:c r="C2339" t="str">
        <x:v>Pasted text(56).txt</x:v>
      </x:c>
    </x:row>
    <x:row r="2340">
      <x:c r="A2340" t="n">
        <x:v>2339</x:v>
      </x:c>
      <x:c r="B2340" s="106" t="str">
        <x:v>FINAL | point 3 | DAC 4.50 | CTRL X 0.27796 | X 0.27937 | Y 0.13089 | Z 0.19521 | TOTAL 0.36584 | error -7.35 % | MAD 0.76 % | CV 3.85 % | coh 75.0 % | dominant X | axis fraction 100.0 % | IN TARGET BAND</x:v>
      </x:c>
      <x:c r="C2340" t="str">
        <x:v>Pasted text(56).txt</x:v>
      </x:c>
    </x:row>
    <x:row r="2341">
      <x:c r="A2341" t="n">
        <x:v>2340</x:v>
      </x:c>
      <x:c r="B2341" s="106" t="str"/>
      <x:c r="C2341" t="str">
        <x:v>Pasted text(56).txt</x:v>
      </x:c>
    </x:row>
    <x:row r="2342">
      <x:c r="A2342" t="n">
        <x:v>2341</x:v>
      </x:c>
      <x:c r="B2342" s="106" t="str">
        <x:v>ACQUISITION ATTEMPT 2 OF 2</x:v>
      </x:c>
      <x:c r="C2342" t="str">
        <x:v>Pasted text(56).txt</x:v>
      </x:c>
    </x:row>
    <x:row r="2343">
      <x:c r="A2343" t="n">
        <x:v>2342</x:v>
      </x:c>
      <x:c r="B2343" s="106" t="str"/>
      <x:c r="C2343" t="str">
        <x:v>Pasted text(56).txt</x:v>
      </x:c>
    </x:row>
    <x:row r="2344">
      <x:c r="A2344" t="n">
        <x:v>2343</x:v>
      </x:c>
      <x:c r="B2344" s="106" t="str">
        <x:v>FRESH X-AXIS SEARCH FROM DAC 1.00 — OLD DAC VALUES ARE NOT USED</x:v>
      </x:c>
      <x:c r="C2344" t="str">
        <x:v>Pasted text(56).txt</x:v>
      </x:c>
    </x:row>
    <x:row r="2345">
      <x:c r="A2345" t="n">
        <x:v>2344</x:v>
      </x:c>
      <x:c r="B2345" s="106" t="str">
        <x:v>Y/Z are diagnostic only and cannot abort this search.</x:v>
      </x:c>
      <x:c r="C2345" t="str">
        <x:v>Pasted text(56).txt</x:v>
      </x:c>
    </x:row>
    <x:row r="2346">
      <x:c r="A2346" t="n">
        <x:v>2345</x:v>
      </x:c>
      <x:c r="B2346" s="106" t="str">
        <x:v>A real SPI fault, clipping, safety limit or confirmed X-response collapse will stop it.</x:v>
      </x:c>
      <x:c r="C2346" t="str">
        <x:v>Pasted text(56).txt</x:v>
      </x:c>
    </x:row>
    <x:row r="2347">
      <x:c r="A2347" t="n">
        <x:v>2346</x:v>
      </x:c>
      <x:c r="B2347" s="106" t="str">
        <x:v>SEARCH | point 1 | DAC 1.00 | CTRL X 0.01813 | X 0.01789 | Y 0.01218 | Z 0.01734 | TOTAL 0.02786 | error -93.96 % | MAD 54.17 % | CV 39.02 % | coh 10.4 % | dominant X | axis fraction 100.0 % | BELOW MEASUREMENT FLOOR — SEARCH CONTINUES</x:v>
      </x:c>
      <x:c r="C2347" t="str">
        <x:v>Pasted text(56).txt</x:v>
      </x:c>
    </x:row>
    <x:row r="2348">
      <x:c r="A2348" t="n">
        <x:v>2347</x:v>
      </x:c>
      <x:c r="B2348" s="106" t="str">
        <x:v>SEARCH | point 2 | DAC 3.00 | CTRL X 0.13880 | X 0.14435 | Y 0.06989 | Z 0.09187 | TOTAL 0.18540 | error -53.73 % | MAD 10.38 % | CV 12.93 % | coh 53.9 % | dominant X | axis fraction 100.0 % | VALID</x:v>
      </x:c>
      <x:c r="C2348" t="str">
        <x:v>Pasted text(56).txt</x:v>
      </x:c>
    </x:row>
    <x:row r="2349">
      <x:c r="A2349" t="n">
        <x:v>2348</x:v>
      </x:c>
      <x:c r="B2349" s="106" t="str">
        <x:v>SEARCH | point 3 | DAC 4.00 | CTRL X 0.24489 | X 0.24294 | Y 0.09798 | Z 0.17957 | TOTAL 0.31869 | error -18.37 % | MAD 1.02 % | CV 2.02 % | coh 70.4 % | dominant X | axis fraction 100.0 % | VALID</x:v>
      </x:c>
      <x:c r="C2349" t="str">
        <x:v>Pasted text(56).txt</x:v>
      </x:c>
    </x:row>
    <x:row r="2350">
      <x:c r="A2350" t="n">
        <x:v>2349</x:v>
      </x:c>
      <x:c r="B2350" s="106" t="str">
        <x:v>SEARCH | point 4 | DAC 4.50 | CTRL X 0.27854 | X 0.27899 | Y 0.10684 | Z 0.19358 | TOTAL 0.35682 | error -7.15 % | MAD 3.74 % | CV 2.76 % | coh 71.7 % | dominant X | axis fraction 100.0 % | IN TARGET BAND</x:v>
      </x:c>
      <x:c r="C2350" t="str">
        <x:v>Pasted text(56).txt</x:v>
      </x:c>
    </x:row>
    <x:row r="2351">
      <x:c r="A2351" t="n">
        <x:v>2350</x:v>
      </x:c>
      <x:c r="B2351" s="106" t="str"/>
      <x:c r="C2351" t="str">
        <x:v>Pasted text(56).txt</x:v>
      </x:c>
    </x:row>
    <x:row r="2352">
      <x:c r="A2352" t="n">
        <x:v>2351</x:v>
      </x:c>
      <x:c r="B2352" s="106" t="str">
        <x:v>LOCAL 0.25-DAC X-AXIS FINE SCAN</x:v>
      </x:c>
      <x:c r="C2352" t="str">
        <x:v>Pasted text(56).txt</x:v>
      </x:c>
    </x:row>
    <x:row r="2353">
      <x:c r="A2353" t="n">
        <x:v>2352</x:v>
      </x:c>
      <x:c r="B2353" s="106" t="str">
        <x:v>Only a valid point actually inside the X target band may be selected.</x:v>
      </x:c>
      <x:c r="C2353" t="str">
        <x:v>Pasted text(56).txt</x:v>
      </x:c>
    </x:row>
    <x:row r="2354">
      <x:c r="A2354" t="n">
        <x:v>2353</x:v>
      </x:c>
      <x:c r="B2354" s="106" t="str">
        <x:v>FINE | point 1 | DAC 3.50 | CTRL X 0.16260 | X 0.15705 | Y 0.07303 | Z 0.10387 | TOTAL 0.20254 | error -45.80 % | MAD 5.01 % | CV 9.31 % | coh 57.9 % | dominant X | axis fraction 100.0 % | VALID</x:v>
      </x:c>
      <x:c r="C2354" t="str">
        <x:v>Pasted text(56).txt</x:v>
      </x:c>
    </x:row>
    <x:row r="2355">
      <x:c r="A2355" t="n">
        <x:v>2354</x:v>
      </x:c>
      <x:c r="B2355" s="106" t="str">
        <x:v>FINE | point 2 | DAC 3.75 | CTRL X 0.19965 | X 0.20609 | Y 0.08211 | Z 0.16722 | TOTAL 0.27813 | error -33.45 % | MAD 0.47 % | CV 5.68 % | coh 63.0 % | dominant X | axis fraction 100.0 % | VALID</x:v>
      </x:c>
      <x:c r="C2355" t="str">
        <x:v>Pasted text(56).txt</x:v>
      </x:c>
    </x:row>
    <x:row r="2356">
      <x:c r="A2356" t="n">
        <x:v>2355</x:v>
      </x:c>
      <x:c r="B2356" s="106" t="str">
        <x:v>FINE | point 3 | DAC 4.00 | CTRL X 0.24528 | X 0.24372 | Y 0.11700 | Z 0.15828 | TOTAL 0.31367 | error -18.24 % | MAD 7.54 % | CV 6.10 % | coh 72.8 % | dominant X | axis fraction 100.0 % | VALID</x:v>
      </x:c>
      <x:c r="C2356" t="str">
        <x:v>Pasted text(56).txt</x:v>
      </x:c>
    </x:row>
    <x:row r="2357">
      <x:c r="A2357" t="n">
        <x:v>2356</x:v>
      </x:c>
      <x:c r="B2357" s="106" t="str">
        <x:v>FINE | point 4 | DAC 4.25 | CTRL X 0.25359 | X 0.25329 | Y 0.10102 | Z 0.16645 | TOTAL 0.32008 | error -15.47 % | MAD 2.32 % | CV 1.75 % | coh 70.2 % | dominant X | axis fraction 100.0 % | VALID</x:v>
      </x:c>
      <x:c r="C2357" t="str">
        <x:v>Pasted text(56).txt</x:v>
      </x:c>
    </x:row>
    <x:row r="2358">
      <x:c r="A2358" t="n">
        <x:v>2357</x:v>
      </x:c>
      <x:c r="B2358" s="106" t="str">
        <x:v>FINE | point 5 | DAC 4.50 | CTRL X 0.28106 | X 0.28140 | Y 0.10627 | Z 0.15641 | TOTAL 0.33975 | error -6.31 % | MAD 7.36 % | CV 5.14 % | coh 75.3 % | dominant X | axis fraction 100.0 % | IN TARGET BAND</x:v>
      </x:c>
      <x:c r="C2358" t="str">
        <x:v>Pasted text(56).txt</x:v>
      </x:c>
    </x:row>
    <x:row r="2359">
      <x:c r="A2359" t="n">
        <x:v>2358</x:v>
      </x:c>
      <x:c r="B2359" s="106" t="str">
        <x:v>FINE | point 6 | DAC 4.75 | CTRL X 0.32354 | X 0.32013 | Y 0.14968 | Z 0.23107 | TOTAL 0.42306 | error 7.85 % | MAD 1.48 % | CV 2.76 % | coh 76.9 % | dominant X | axis fraction 100.0 % | VALID</x:v>
      </x:c>
      <x:c r="C2359" t="str">
        <x:v>Pasted text(56).txt</x:v>
      </x:c>
    </x:row>
    <x:row r="2360">
      <x:c r="A2360" t="n">
        <x:v>2359</x:v>
      </x:c>
      <x:c r="B2360" s="106" t="str">
        <x:v>FINE | point 7 | DAC 5.00 | CTRL X 0.34240 | X 0.34022 | Y 0.13322 | Z 0.21161 | TOTAL 0.42251 | error 14.13 % | MAD 0.19 % | CV 1.22 % | coh 79.4 % | dominant X | axis fraction 100.0 % | VALID</x:v>
      </x:c>
      <x:c r="C2360" t="str">
        <x:v>Pasted text(56).txt</x:v>
      </x:c>
    </x:row>
    <x:row r="2361">
      <x:c r="A2361" t="n">
        <x:v>2360</x:v>
      </x:c>
      <x:c r="B2361" s="106" t="str">
        <x:v>FINE | point 8 | DAC 5.25 | CTRL X 0.34935 | X 0.35177 | Y 0.15993 | Z 0.24301 | TOTAL 0.45662 | error 16.45 % | MAD 0.61 % | CV 1.56 % | coh 82.4 % | dominant X | axis fraction 100.0 % | VALID</x:v>
      </x:c>
      <x:c r="C2361" t="str">
        <x:v>Pasted text(56).txt</x:v>
      </x:c>
    </x:row>
    <x:row r="2362">
      <x:c r="A2362" t="n">
        <x:v>2361</x:v>
      </x:c>
      <x:c r="B2362" s="106" t="str">
        <x:v>FINE | point 9 | DAC 5.50 | CTRL X 0.36451 | X 0.36627 | Y 0.13929 | Z 0.23566 | TOTAL 0.45796 | error 21.50 % | MAD 5.29 % | CV 4.29 % | coh 82.8 % | dominant X | axis fraction 100.0 % | VALID</x:v>
      </x:c>
      <x:c r="C2362" t="str">
        <x:v>Pasted text(56).txt</x:v>
      </x:c>
    </x:row>
    <x:row r="2363">
      <x:c r="A2363" t="n">
        <x:v>2362</x:v>
      </x:c>
      <x:c r="B2363" s="106" t="str"/>
      <x:c r="C2363" t="str">
        <x:v>Pasted text(56).txt</x:v>
      </x:c>
    </x:row>
    <x:row r="2364">
      <x:c r="A2364" t="n">
        <x:v>2363</x:v>
      </x:c>
      <x:c r="B2364" s="106" t="str">
        <x:v>LONG VALIDATION AT FIXED DAC 4.50</x:v>
      </x:c>
      <x:c r="C2364" t="str">
        <x:v>Pasted text(56).txt</x:v>
      </x:c>
    </x:row>
    <x:row r="2365">
      <x:c r="A2365" t="n">
        <x:v>2364</x:v>
      </x:c>
      <x:c r="B2365" s="106" t="str">
        <x:v>FINAL | point 1 | DAC 4.50 | CTRL X 0.26943 | X 0.26646 | Y 0.11410 | Z 0.18498 | TOTAL 0.34443 | error -10.19 % | MAD 4.91 % | CV 5.02 % | coh 73.9 % | dominant X | axis fraction 100.0 % | VALID</x:v>
      </x:c>
      <x:c r="C2365" t="str">
        <x:v>Pasted text(56).txt</x:v>
      </x:c>
    </x:row>
    <x:row r="2366">
      <x:c r="A2366" t="n">
        <x:v>2365</x:v>
      </x:c>
      <x:c r="B2366" s="106" t="str">
        <x:v>FINAL | point 2 | DAC 4.50 | CTRL X 0.27053 | X 0.27257 | Y 0.12205 | Z 0.17902 | TOTAL 0.34903 | error -9.82 % | MAD 4.25 % | CV 6.14 % | coh 73.9 % | dominant X | axis fraction 100.0 % | VALID</x:v>
      </x:c>
      <x:c r="C2366" t="str">
        <x:v>Pasted text(56).txt</x:v>
      </x:c>
    </x:row>
    <x:row r="2367">
      <x:c r="A2367" t="n">
        <x:v>2366</x:v>
      </x:c>
      <x:c r="B2367" s="106" t="str">
        <x:v>FINAL | point 3 | DAC 4.50 | CTRL X 0.26961 | X 0.27272 | Y 0.10605 | Z 0.18599 | TOTAL 0.34680 | error -10.13 % | MAD 3.85 % | CV 4.87 % | coh 74.7 % | dominant X | axis fraction 100.0 % | VALID</x:v>
      </x:c>
      <x:c r="C2367" t="str">
        <x:v>Pasted text(56).txt</x:v>
      </x:c>
    </x:row>
    <x:row r="2368">
      <x:c r="A2368" t="n">
        <x:v>2367</x:v>
      </x:c>
      <x:c r="B2368" s="106" t="str">
        <x:v>Stable validation was -10.05 % from target. Performing one bounded trim: DAC 4.50 -&gt; 4.75</x:v>
      </x:c>
      <x:c r="C2368" t="str">
        <x:v>Pasted text(56).txt</x:v>
      </x:c>
    </x:row>
    <x:row r="2369">
      <x:c r="A2369" t="n">
        <x:v>2368</x:v>
      </x:c>
      <x:c r="B2369" s="106" t="str"/>
      <x:c r="C2369" t="str">
        <x:v>Pasted text(56).txt</x:v>
      </x:c>
    </x:row>
    <x:row r="2370">
      <x:c r="A2370" t="n">
        <x:v>2369</x:v>
      </x:c>
      <x:c r="B2370" s="106" t="str">
        <x:v>LONG VALIDATION AT FIXED DAC 4.75</x:v>
      </x:c>
      <x:c r="C2370" t="str">
        <x:v>Pasted text(56).txt</x:v>
      </x:c>
    </x:row>
    <x:row r="2371">
      <x:c r="A2371" t="n">
        <x:v>2370</x:v>
      </x:c>
      <x:c r="B2371" s="106" t="str">
        <x:v>FINAL | point 1 | DAC 4.75 | CTRL X 0.30965 | X 0.31061 | Y 0.13894 | Z 0.19155 | TOTAL 0.39166 | error 3.22 % | MAD 1.35 % | CV 1.82 % | coh 74.3 % | dominant X | axis fraction 100.0 % | IN TARGET BAND</x:v>
      </x:c>
      <x:c r="C2371" t="str">
        <x:v>Pasted text(56).txt</x:v>
      </x:c>
    </x:row>
    <x:row r="2372">
      <x:c r="A2372" t="n">
        <x:v>2371</x:v>
      </x:c>
      <x:c r="B2372" s="106" t="str">
        <x:v>FINAL | point 2 | DAC 4.75 | CTRL X 0.32534 | X 0.32372 | Y 0.13878 | Z 0.22474 | TOTAL 0.41856 | error 8.45 % | MAD 2.92 % | CV 2.81 % | coh 76.2 % | dominant X | axis fraction 100.0 % | VALID</x:v>
      </x:c>
      <x:c r="C2372" t="str">
        <x:v>Pasted text(56).txt</x:v>
      </x:c>
    </x:row>
    <x:row r="2373">
      <x:c r="A2373" t="n">
        <x:v>2372</x:v>
      </x:c>
      <x:c r="B2373" s="106" t="str">
        <x:v>FINAL | point 3 | DAC 4.75 | CTRL X 0.32076 | X 0.31795 | Y 0.13124 | Z 0.21733 | TOTAL 0.40752 | error 6.92 % | MAD 2.33 % | CV 3.83 % | coh 73.3 % | dominant X | axis fraction 100.0 % | IN TARGET BAND</x:v>
      </x:c>
      <x:c r="C2373" t="str">
        <x:v>Pasted text(56).txt</x:v>
      </x:c>
    </x:row>
    <x:row r="2374">
      <x:c r="A2374" t="n">
        <x:v>2373</x:v>
      </x:c>
      <x:c r="B2374" s="106" t="str">
        <x:v>TRIMMED VALIDATION ACCEPTED | pair drift 3.53 %</x:v>
      </x:c>
      <x:c r="C2374" t="str">
        <x:v>Pasted text(56).txt</x:v>
      </x:c>
    </x:row>
    <x:row r="2375">
      <x:c r="A2375" t="n">
        <x:v>2374</x:v>
      </x:c>
      <x:c r="B2375" s="106" t="str"/>
      <x:c r="C2375" t="str">
        <x:v>Pasted text(56).txt</x:v>
      </x:c>
    </x:row>
    <x:row r="2376">
      <x:c r="A2376" t="n">
        <x:v>2375</x:v>
      </x:c>
      <x:c r="B2376" s="106" t="str">
        <x:v>FINAL VALIDATED BLIND FFT VERIFICATION</x:v>
      </x:c>
      <x:c r="C2376" t="str">
        <x:v>Pasted text(56).txt</x:v>
      </x:c>
    </x:row>
    <x:row r="2377">
      <x:c r="A2377" t="n">
        <x:v>2376</x:v>
      </x:c>
      <x:c r="B2377" s="106" t="str">
        <x:v>Commanded frequency: 268.00000 Hz</x:v>
      </x:c>
      <x:c r="C2377" t="str">
        <x:v>Pasted text(56).txt</x:v>
      </x:c>
    </x:row>
    <x:row r="2378">
      <x:c r="A2378" t="n">
        <x:v>2377</x:v>
      </x:c>
      <x:c r="B2378" s="106" t="str">
        <x:v>Accepted DAC: 4.75</x:v>
      </x:c>
      <x:c r="C2378" t="str">
        <x:v>Pasted text(56).txt</x:v>
      </x:c>
    </x:row>
    <x:row r="2379">
      <x:c r="A2379" t="n">
        <x:v>2378</x:v>
      </x:c>
      <x:c r="B2379" s="106" t="str">
        <x:v>Axis,Frequency_Hz,Amplitude_mps2,SNR_dB,Status</x:v>
      </x:c>
      <x:c r="C2379" t="str">
        <x:v>Pasted text(56).txt</x:v>
      </x:c>
    </x:row>
    <x:row r="2380">
      <x:c r="A2380" t="n">
        <x:v>2379</x:v>
      </x:c>
      <x:c r="B2380" s="106" t="str">
        <x:v>X,268.04494,0.29270,25.66,VALID</x:v>
      </x:c>
      <x:c r="C2380" t="str">
        <x:v>Pasted text(56).txt</x:v>
      </x:c>
    </x:row>
    <x:row r="2381">
      <x:c r="A2381" t="n">
        <x:v>2380</x:v>
      </x:c>
      <x:c r="B2381" s="106" t="str">
        <x:v>Y,378.55112,0.14543,16.71,VALID</x:v>
      </x:c>
      <x:c r="C2381" t="str">
        <x:v>Pasted text(56).txt</x:v>
      </x:c>
    </x:row>
    <x:row r="2382">
      <x:c r="A2382" t="n">
        <x:v>2381</x:v>
      </x:c>
      <x:c r="B2382" s="106" t="str">
        <x:v>Z,268.01893,0.18136,20.32,VALID</x:v>
      </x:c>
      <x:c r="C2382" t="str">
        <x:v>Pasted text(56).txt</x:v>
      </x:c>
    </x:row>
    <x:row r="2383">
      <x:c r="A2383" t="n">
        <x:v>2382</x:v>
      </x:c>
      <x:c r="B2383" s="106" t="str">
        <x:v>Combined frequency: 268.03195 Hz | difference 0.03195 Hz</x:v>
      </x:c>
      <x:c r="C2383" t="str">
        <x:v>Pasted text(56).txt</x:v>
      </x:c>
    </x:row>
    <x:row r="2384">
      <x:c r="A2384" t="n">
        <x:v>2383</x:v>
      </x:c>
      <x:c r="B2384" s="106" t="str">
        <x:v>Combined X/Y/Z/TOTAL: 0.26861 / 0.11194 / 0.16579 / 0.33491</x:v>
      </x:c>
      <x:c r="C2384" t="str">
        <x:v>Pasted text(56).txt</x:v>
      </x:c>
    </x:row>
    <x:row r="2385">
      <x:c r="A2385" t="n">
        <x:v>2384</x:v>
      </x:c>
      <x:c r="B2385" s="106" t="str">
        <x:v>SNR: 21.03 dB | dominant axis X</x:v>
      </x:c>
      <x:c r="C2385" t="str">
        <x:v>Pasted text(56).txt</x:v>
      </x:c>
    </x:row>
    <x:row r="2386">
      <x:c r="A2386" t="n">
        <x:v>2385</x:v>
      </x:c>
      <x:c r="B2386" s="106" t="str">
        <x:v>Frequency verification: PASS</x:v>
      </x:c>
      <x:c r="C2386" t="str">
        <x:v>Pasted text(56).txt</x:v>
      </x:c>
    </x:row>
    <x:row r="2387">
      <x:c r="A2387" t="n">
        <x:v>2386</x:v>
      </x:c>
      <x:c r="B2387" s="106" t="str">
        <x:v>Y/Z dominance: DIAGNOSTIC ONLY — ignored for pass/fail</x:v>
      </x:c>
      <x:c r="C2387" t="str">
        <x:v>Pasted text(56).txt</x:v>
      </x:c>
    </x:row>
    <x:row r="2388">
      <x:c r="A2388" t="n">
        <x:v>2387</x:v>
      </x:c>
      <x:c r="B2388" s="106" t="str"/>
      <x:c r="C2388" t="str">
        <x:v>Pasted text(56).txt</x:v>
      </x:c>
    </x:row>
    <x:row r="2389">
      <x:c r="A2389" t="n">
        <x:v>2388</x:v>
      </x:c>
      <x:c r="B2389" s="106" t="str">
        <x:v>FIXED-DAC HOLD VALIDATION</x:v>
      </x:c>
      <x:c r="C2389" t="str">
        <x:v>Pasted text(56).txt</x:v>
      </x:c>
    </x:row>
    <x:row r="2390">
      <x:c r="A2390" t="n">
        <x:v>2389</x:v>
      </x:c>
      <x:c r="B2390" s="106" t="str">
        <x:v>DAC remains fixed at 4.75 for 10 records.</x:v>
      </x:c>
      <x:c r="C2390" t="str">
        <x:v>Pasted text(56).txt</x:v>
      </x:c>
    </x:row>
    <x:row r="2391">
      <x:c r="A2391" t="n">
        <x:v>2390</x:v>
      </x:c>
      <x:c r="B2391" s="106" t="str">
        <x:v>HOLD | point 1 | DAC 4.75 | CTRL X 0.32507 | X 0.32864 | Y 0.14445 | Z 0.22274 | TOTAL 0.42285 | error 8.36 % | MAD 2.27 % | CV 3.28 % | coh 77.2 % | dominant X | axis fraction 100.0 % | VALID</x:v>
      </x:c>
      <x:c r="C2391" t="str">
        <x:v>Pasted text(56).txt</x:v>
      </x:c>
    </x:row>
    <x:row r="2392">
      <x:c r="A2392" t="n">
        <x:v>2391</x:v>
      </x:c>
      <x:c r="B2392" s="106" t="str">
        <x:v>HOLD | point 2 | DAC 4.75 | CTRL X 0.33529 | X 0.33531 | Y 0.13521 | Z 0.21435 | TOTAL 0.42113 | error 11.76 % | MAD 0.31 % | CV 0.22 % | coh 79.0 % | dominant X | axis fraction 100.0 % | VALID</x:v>
      </x:c>
      <x:c r="C2392" t="str">
        <x:v>Pasted text(56).txt</x:v>
      </x:c>
    </x:row>
    <x:row r="2393">
      <x:c r="A2393" t="n">
        <x:v>2392</x:v>
      </x:c>
      <x:c r="B2393" s="106" t="str">
        <x:v>HOLD | point 3 | DAC 4.75 | CTRL X 0.31494 | X 0.31192 | Y 0.11724 | Z 0.20869 | TOTAL 0.39347 | error 4.98 % | MAD 9.03 % | CV 7.65 % | coh 75.1 % | dominant X | axis fraction 100.0 % | IN TARGET BAND</x:v>
      </x:c>
      <x:c r="C2393" t="str">
        <x:v>Pasted text(56).txt</x:v>
      </x:c>
    </x:row>
    <x:row r="2394">
      <x:c r="A2394" t="n">
        <x:v>2393</x:v>
      </x:c>
      <x:c r="B2394" s="106" t="str">
        <x:v>HOLD | point 4 | DAC 4.75 | CTRL X 0.30404 | X 0.29734 | Y 0.12343 | Z 0.23370 | TOTAL 0.39800 | error 1.35 % | MAD 2.92 % | CV 5.74 % | coh 72.7 % | dominant X | axis fraction 100.0 % | IN TARGET BAND</x:v>
      </x:c>
      <x:c r="C2394" t="str">
        <x:v>Pasted text(56).txt</x:v>
      </x:c>
    </x:row>
    <x:row r="2395">
      <x:c r="A2395" t="n">
        <x:v>2394</x:v>
      </x:c>
      <x:c r="B2395" s="106" t="str">
        <x:v>HOLD | point 5 | DAC 4.75 | CTRL X 0.32817 | X 0.33098 | Y 0.14511 | Z 0.20957 | TOTAL 0.41795 | error 9.39 % | MAD 3.12 % | CV 3.44 % | coh 76.4 % | dominant X | axis fraction 100.0 % | VALID</x:v>
      </x:c>
      <x:c r="C2395" t="str">
        <x:v>Pasted text(56).txt</x:v>
      </x:c>
    </x:row>
    <x:row r="2396">
      <x:c r="A2396" t="n">
        <x:v>2395</x:v>
      </x:c>
      <x:c r="B2396" s="106" t="str">
        <x:v>HOLD | point 6 | DAC 4.75 | CTRL X 0.32111 | X 0.32156 | Y 0.14668 | Z 0.20203 | TOTAL 0.40731 | error 7.04 % | MAD 4.87 % | CV 3.49 % | coh 75.4 % | dominant X | axis fraction 100.0 % | IN TARGET BAND</x:v>
      </x:c>
      <x:c r="C2396" t="str">
        <x:v>Pasted text(56).txt</x:v>
      </x:c>
    </x:row>
    <x:row r="2397">
      <x:c r="A2397" t="n">
        <x:v>2396</x:v>
      </x:c>
      <x:c r="B2397" s="106" t="str">
        <x:v>HOLD | point 7 | DAC 4.75 | CTRL X 0.31195 | X 0.31810 | Y 0.13723 | Z 0.20005 | TOTAL 0.40100 | error 3.98 % | MAD 2.42 % | CV 4.80 % | coh 76.0 % | dominant X | axis fraction 100.0 % | IN TARGET BAND</x:v>
      </x:c>
      <x:c r="C2397" t="str">
        <x:v>Pasted text(56).txt</x:v>
      </x:c>
    </x:row>
    <x:row r="2398">
      <x:c r="A2398" t="n">
        <x:v>2397</x:v>
      </x:c>
      <x:c r="B2398" s="106" t="str">
        <x:v>HOLD | point 8 | DAC 4.75 | CTRL X 0.34281 | X 0.33616 | Y 0.15908 | Z 0.20493 | TOTAL 0.42511 | error 14.27 % | MAD 2.19 % | CV 4.79 % | coh 75.0 % | dominant X | axis fraction 100.0 % | VALID</x:v>
      </x:c>
      <x:c r="C2398" t="str">
        <x:v>Pasted text(56).txt</x:v>
      </x:c>
    </x:row>
    <x:row r="2399">
      <x:c r="A2399" t="n">
        <x:v>2398</x:v>
      </x:c>
      <x:c r="B2399" s="106" t="str">
        <x:v>HOLD | point 9 | DAC 4.75 | CTRL X 0.32826 | X 0.33590 | Y 0.14109 | Z 0.20181 | TOTAL 0.41706 | error 9.42 % | MAD 0.15 % | CV 4.02 % | coh 77.1 % | dominant X | axis fraction 100.0 % | VALID</x:v>
      </x:c>
      <x:c r="C2399" t="str">
        <x:v>Pasted text(56).txt</x:v>
      </x:c>
    </x:row>
    <x:row r="2400">
      <x:c r="A2400" t="n">
        <x:v>2399</x:v>
      </x:c>
      <x:c r="B2400" s="106" t="str">
        <x:v>HOLD | point 10 | DAC 4.75 | CTRL X 0.31649 | X 0.31938 | Y 0.14067 | Z 0.20694 | TOTAL 0.40700 | error 5.50 % | MAD 4.86 % | CV 4.67 % | coh 74.9 % | dominant X | axis fraction 100.0 % | IN TARGET BAND</x:v>
      </x:c>
      <x:c r="C2400" t="str">
        <x:v>Pasted text(56).txt</x:v>
      </x:c>
    </x:row>
    <x:row r="2401">
      <x:c r="A2401" t="n">
        <x:v>2400</x:v>
      </x:c>
      <x:c r="B2401" s="106" t="str"/>
      <x:c r="C2401" t="str">
        <x:v>Pasted text(56).txt</x:v>
      </x:c>
    </x:row>
    <x:row r="2402">
      <x:c r="A2402" t="n">
        <x:v>2401</x:v>
      </x:c>
      <x:c r="B2402" s="106" t="str">
        <x:v>HOLD SUMMARY</x:v>
      </x:c>
      <x:c r="C2402" t="str">
        <x:v>Pasted text(56).txt</x:v>
      </x:c>
    </x:row>
    <x:row r="2403">
      <x:c r="A2403" t="n">
        <x:v>2402</x:v>
      </x:c>
      <x:c r="B2403" s="106" t="str">
        <x:v>Valid / requested: 10 / 10</x:v>
      </x:c>
      <x:c r="C2403" t="str">
        <x:v>Pasted text(56).txt</x:v>
      </x:c>
    </x:row>
    <x:row r="2404">
      <x:c r="A2404" t="n">
        <x:v>2403</x:v>
      </x:c>
      <x:c r="B2404" s="106" t="str">
        <x:v>In band / requested: 5 / 10 = 50.0 %</x:v>
      </x:c>
      <x:c r="C2404" t="str">
        <x:v>Pasted text(56).txt</x:v>
      </x:c>
    </x:row>
    <x:row r="2405">
      <x:c r="A2405" t="n">
        <x:v>2404</x:v>
      </x:c>
      <x:c r="B2405" s="106" t="str">
        <x:v>Mean / SD / CV: 0.32281 / 0.01152 / 3.57 %</x:v>
      </x:c>
      <x:c r="C2405" t="str">
        <x:v>Pasted text(56).txt</x:v>
      </x:c>
    </x:row>
    <x:row r="2406">
      <x:c r="A2406" t="n">
        <x:v>2405</x:v>
      </x:c>
      <x:c r="B2406" s="106" t="str">
        <x:v>Min / Max: 0.30404 / 0.34281</x:v>
      </x:c>
      <x:c r="C2406" t="str">
        <x:v>Pasted text(56).txt</x:v>
      </x:c>
    </x:row>
    <x:row r="2407">
      <x:c r="A2407" t="n">
        <x:v>2406</x:v>
      </x:c>
      <x:c r="B2407" s="106" t="str">
        <x:v>HOLD RESULT: FAIL</x:v>
      </x:c>
      <x:c r="C2407" t="str">
        <x:v>Pasted text(56).txt</x:v>
      </x:c>
    </x:row>
    <x:row r="2408">
      <x:c r="A2408" t="n">
        <x:v>2407</x:v>
      </x:c>
      <x:c r="B2408" s="106" t="str"/>
      <x:c r="C2408" t="str">
        <x:v>Pasted text(56).txt</x:v>
      </x:c>
    </x:row>
    <x:row r="2409">
      <x:c r="A2409" t="n">
        <x:v>2408</x:v>
      </x:c>
      <x:c r="B2409" s="106" t="str">
        <x:v>RUN RESULT: FAIL — Fixed-DAC hold did not maintain target amplitude</x:v>
      </x:c>
      <x:c r="C2409" t="str">
        <x:v>Pasted text(56).txt</x:v>
      </x:c>
    </x:row>
    <x:row r="2410">
      <x:c r="A2410" t="n">
        <x:v>2409</x:v>
      </x:c>
      <x:c r="B2410" s="106" t="str"/>
      <x:c r="C2410" t="str">
        <x:v>Pasted text(56).txt</x:v>
      </x:c>
    </x:row>
    <x:row r="2411">
      <x:c r="A2411" t="n">
        <x:v>2410</x:v>
      </x:c>
      <x:c r="B2411" s="106" t="str">
        <x:v>VISATON OFF. RESTING 5.0 s BEFORE THE NEXT COMPLETELY FRESH RUN.</x:v>
      </x:c>
      <x:c r="C2411" t="str">
        <x:v>Pasted text(56).txt</x:v>
      </x:c>
    </x:row>
    <x:row r="2412">
      <x:c r="A2412" t="n">
        <x:v>2411</x:v>
      </x:c>
      <x:c r="B2412" s="106" t="str"/>
      <x:c r="C2412" t="str">
        <x:v>Pasted text(56).txt</x:v>
      </x:c>
    </x:row>
    <x:row r="2413">
      <x:c r="A2413" t="n">
        <x:v>2412</x:v>
      </x:c>
      <x:c r="B2413" s="106" t="str">
        <x:v>################################################################################</x:v>
      </x:c>
      <x:c r="C2413" t="str">
        <x:v>Pasted text(56).txt</x:v>
      </x:c>
    </x:row>
    <x:row r="2414">
      <x:c r="A2414" t="n">
        <x:v>2413</x:v>
      </x:c>
      <x:c r="B2414" s="106" t="str">
        <x:v>INDEPENDENT TARGET-AMPLITUDE RUN 5 OF 5</x:v>
      </x:c>
      <x:c r="C2414" t="str">
        <x:v>Pasted text(56).txt</x:v>
      </x:c>
    </x:row>
    <x:row r="2415">
      <x:c r="A2415" t="n">
        <x:v>2414</x:v>
      </x:c>
      <x:c r="B2415" s="106" t="str">
        <x:v>################################################################################</x:v>
      </x:c>
      <x:c r="C2415" t="str">
        <x:v>Pasted text(56).txt</x:v>
      </x:c>
    </x:row>
    <x:row r="2416">
      <x:c r="A2416" t="n">
        <x:v>2415</x:v>
      </x:c>
      <x:c r="B2416" s="106" t="str">
        <x:v>Frequency: 268.00000 Hz</x:v>
      </x:c>
      <x:c r="C2416" t="str">
        <x:v>Pasted text(56).txt</x:v>
      </x:c>
    </x:row>
    <x:row r="2417">
      <x:c r="A2417" t="n">
        <x:v>2416</x:v>
      </x:c>
      <x:c r="B2417" s="106" t="str">
        <x:v>Target X amplitude: 0.30000 m/s^2 peak, tolerance +/-7.50 %</x:v>
      </x:c>
      <x:c r="C2417" t="str">
        <x:v>Pasted text(56).txt</x:v>
      </x:c>
    </x:row>
    <x:row r="2418">
      <x:c r="A2418" t="n">
        <x:v>2417</x:v>
      </x:c>
      <x:c r="B2418" s="106" t="str">
        <x:v>This run starts from DAC 1.00 and ignores every earlier selected DAC.</x:v>
      </x:c>
      <x:c r="C2418" t="str">
        <x:v>Pasted text(56).txt</x:v>
      </x:c>
    </x:row>
    <x:row r="2419">
      <x:c r="A2419" t="n">
        <x:v>2418</x:v>
      </x:c>
      <x:c r="B2419" s="106" t="str">
        <x:v>ADXL2 DEVID/DATA_FORMAT/BW_RATE/POWER_CTL: 0xE5 / 0xB / 0xE / 0x8</x:v>
      </x:c>
      <x:c r="C2419" t="str">
        <x:v>Pasted text(56).txt</x:v>
      </x:c>
    </x:row>
    <x:row r="2420">
      <x:c r="A2420" t="n">
        <x:v>2419</x:v>
      </x:c>
      <x:c r="B2420" s="106" t="str"/>
      <x:c r="C2420" t="str">
        <x:v>Pasted text(56).txt</x:v>
      </x:c>
    </x:row>
    <x:row r="2421">
      <x:c r="A2421" t="n">
        <x:v>2420</x:v>
      </x:c>
      <x:c r="B2421" s="106" t="str">
        <x:v>ACQUISITION ATTEMPT 1 OF 2</x:v>
      </x:c>
      <x:c r="C2421" t="str">
        <x:v>Pasted text(56).txt</x:v>
      </x:c>
    </x:row>
    <x:row r="2422">
      <x:c r="A2422" t="n">
        <x:v>2421</x:v>
      </x:c>
      <x:c r="B2422" s="106" t="str"/>
      <x:c r="C2422" t="str">
        <x:v>Pasted text(56).txt</x:v>
      </x:c>
    </x:row>
    <x:row r="2423">
      <x:c r="A2423" t="n">
        <x:v>2422</x:v>
      </x:c>
      <x:c r="B2423" s="106" t="str">
        <x:v>FRESH X-AXIS SEARCH FROM DAC 1.00 — OLD DAC VALUES ARE NOT USED</x:v>
      </x:c>
      <x:c r="C2423" t="str">
        <x:v>Pasted text(56).txt</x:v>
      </x:c>
    </x:row>
    <x:row r="2424">
      <x:c r="A2424" t="n">
        <x:v>2423</x:v>
      </x:c>
      <x:c r="B2424" s="106" t="str">
        <x:v>Y/Z are diagnostic only and cannot abort this search.</x:v>
      </x:c>
      <x:c r="C2424" t="str">
        <x:v>Pasted text(56).txt</x:v>
      </x:c>
    </x:row>
    <x:row r="2425">
      <x:c r="A2425" t="n">
        <x:v>2424</x:v>
      </x:c>
      <x:c r="B2425" s="106" t="str">
        <x:v>A real SPI fault, clipping, safety limit or confirmed X-response collapse will stop it.</x:v>
      </x:c>
      <x:c r="C2425" t="str">
        <x:v>Pasted text(56).txt</x:v>
      </x:c>
    </x:row>
    <x:row r="2426">
      <x:c r="A2426" t="n">
        <x:v>2425</x:v>
      </x:c>
      <x:c r="B2426" s="106" t="str">
        <x:v>SEARCH | point 1 | DAC 1.00 | CTRL X 0.01630 | X 0.01678 | Y 0.00967 | Z 0.03832 | TOTAL 0.04383 | error -94.57 % | MAD 8.69 % | CV 4.03 % | coh 8.1 % | dominant Z | axis fraction 43.8 % | BELOW MEASUREMENT FLOOR — SEARCH CONTINUES</x:v>
      </x:c>
      <x:c r="C2426" t="str">
        <x:v>Pasted text(56).txt</x:v>
      </x:c>
    </x:row>
    <x:row r="2427">
      <x:c r="A2427" t="n">
        <x:v>2426</x:v>
      </x:c>
      <x:c r="B2427" s="106" t="str">
        <x:v>SEARCH | point 2 | DAC 3.00 | CTRL X 0.14437 | X 0.14514 | Y 0.07035 | Z 0.10437 | TOTAL 0.19415 | error -51.88 % | MAD 3.56 % | CV 3.22 % | coh 50.1 % | dominant X | axis fraction 100.0 % | UNSTABLE — SEARCH CONTINUES</x:v>
      </x:c>
      <x:c r="C2427" t="str">
        <x:v>Pasted text(56).txt</x:v>
      </x:c>
    </x:row>
    <x:row r="2428">
      <x:c r="A2428" t="n">
        <x:v>2427</x:v>
      </x:c>
      <x:c r="B2428" s="106" t="str">
        <x:v>SEARCH | point 3 | DAC 4.00 | CTRL X 0.25689 | X 0.25585 | Y 0.11163 | Z 0.16521 | TOTAL 0.32495 | error -14.37 % | MAD 0.95 % | CV 1.30 % | coh 69.8 % | dominant X | axis fraction 100.0 % | VALID</x:v>
      </x:c>
      <x:c r="C2428" t="str">
        <x:v>Pasted text(56).txt</x:v>
      </x:c>
    </x:row>
    <x:row r="2429">
      <x:c r="A2429" t="n">
        <x:v>2428</x:v>
      </x:c>
      <x:c r="B2429" s="106" t="str">
        <x:v>SEARCH | point 4 | DAC 4.25 | CTRL X 0.25383 | X 0.26119 | Y 0.12909 | Z 0.18170 | TOTAL 0.34371 | error -15.39 % | MAD 2.76 % | CV 6.51 % | coh 70.3 % | dominant X | axis fraction 100.0 % | VALID</x:v>
      </x:c>
      <x:c r="C2429" t="str">
        <x:v>Pasted text(56).txt</x:v>
      </x:c>
    </x:row>
    <x:row r="2430">
      <x:c r="A2430" t="n">
        <x:v>2429</x:v>
      </x:c>
      <x:c r="B2430" s="106" t="str">
        <x:v>SEARCH | point 5 | DAC 4.75 | CTRL X 0.33099 | X 0.33292 | Y 0.14119 | Z 0.19702 | TOTAL 0.41230 | error 10.33 % | MAD 4.69 % | CV 4.04 % | coh 72.0 % | dominant X | axis fraction 100.0 % | VALID</x:v>
      </x:c>
      <x:c r="C2430" t="str">
        <x:v>Pasted text(56).txt</x:v>
      </x:c>
    </x:row>
    <x:row r="2431">
      <x:c r="A2431" t="n">
        <x:v>2430</x:v>
      </x:c>
      <x:c r="B2431" s="106" t="str">
        <x:v>X bracket found: DAC 4.25 -&gt; 4.75. Interpolated X target DAC = 4.55</x:v>
      </x:c>
      <x:c r="C2431" t="str">
        <x:v>Pasted text(56).txt</x:v>
      </x:c>
    </x:row>
    <x:row r="2432">
      <x:c r="A2432" t="n">
        <x:v>2431</x:v>
      </x:c>
      <x:c r="B2432" s="106" t="str"/>
      <x:c r="C2432" t="str">
        <x:v>Pasted text(56).txt</x:v>
      </x:c>
    </x:row>
    <x:row r="2433">
      <x:c r="A2433" t="n">
        <x:v>2432</x:v>
      </x:c>
      <x:c r="B2433" s="106" t="str">
        <x:v>LOCAL 0.25-DAC X-AXIS FINE SCAN</x:v>
      </x:c>
      <x:c r="C2433" t="str">
        <x:v>Pasted text(56).txt</x:v>
      </x:c>
    </x:row>
    <x:row r="2434">
      <x:c r="A2434" t="n">
        <x:v>2433</x:v>
      </x:c>
      <x:c r="B2434" s="106" t="str">
        <x:v>Only a valid point actually inside the X target band may be selected.</x:v>
      </x:c>
      <x:c r="C2434" t="str">
        <x:v>Pasted text(56).txt</x:v>
      </x:c>
    </x:row>
    <x:row r="2435">
      <x:c r="A2435" t="n">
        <x:v>2434</x:v>
      </x:c>
      <x:c r="B2435" s="106" t="str">
        <x:v>FINE | point 1 | DAC 3.50 | CTRL X 0.17683 | X 0.16492 | Y 0.07083 | Z 0.12417 | TOTAL 0.21843 | error -41.06 % | MAD 0.21 % | CV 12.64 % | coh 49.9 % | dominant X | axis fraction 100.0 % | UNSTABLE — SEARCH CONTINUES</x:v>
      </x:c>
      <x:c r="C2435" t="str">
        <x:v>Pasted text(56).txt</x:v>
      </x:c>
    </x:row>
    <x:row r="2436">
      <x:c r="A2436" t="n">
        <x:v>2435</x:v>
      </x:c>
      <x:c r="B2436" s="106" t="str">
        <x:v>FINE | point 2 | DAC 3.75 | CTRL X 0.22505 | X 0.22404 | Y 0.10755 | Z 0.15027 | TOTAL 0.29128 | error -24.98 % | MAD 16.38 % | CV 11.78 % | coh 57.8 % | dominant X | axis fraction 100.0 % | UNSTABLE — SEARCH CONTINUES</x:v>
      </x:c>
      <x:c r="C2436" t="str">
        <x:v>Pasted text(56).txt</x:v>
      </x:c>
    </x:row>
    <x:row r="2437">
      <x:c r="A2437" t="n">
        <x:v>2436</x:v>
      </x:c>
      <x:c r="B2437" s="106" t="str">
        <x:v>FINE | point 3 | DAC 4.00 | CTRL X 0.26714 | X 0.26662 | Y 0.12028 | Z 0.15834 | TOTAL 0.33331 | error -10.95 % | MAD 2.18 % | CV 1.77 % | coh 70.3 % | dominant X | axis fraction 100.0 % | VALID</x:v>
      </x:c>
      <x:c r="C2437" t="str">
        <x:v>Pasted text(56).txt</x:v>
      </x:c>
    </x:row>
    <x:row r="2438">
      <x:c r="A2438" t="n">
        <x:v>2437</x:v>
      </x:c>
      <x:c r="B2438" s="106" t="str">
        <x:v>FINE | point 4 | DAC 4.25 | CTRL X 0.27509 | X 0.26960 | Y 0.11085 | Z 0.17222 | TOTAL 0.33903 | error -8.30 % | MAD 2.58 % | CV 5.14 % | coh 71.8 % | dominant X | axis fraction 100.0 % | VALID</x:v>
      </x:c>
      <x:c r="C2438" t="str">
        <x:v>Pasted text(56).txt</x:v>
      </x:c>
    </x:row>
    <x:row r="2439">
      <x:c r="A2439" t="n">
        <x:v>2438</x:v>
      </x:c>
      <x:c r="B2439" s="106" t="str">
        <x:v>FINE | point 5 | DAC 4.50 | CTRL X 0.29072 | X 0.29154 | Y 0.10639 | Z 0.15829 | TOTAL 0.35015 | error -3.09 % | MAD 3.73 % | CV 2.94 % | coh 72.8 % | dominant X | axis fraction 100.0 % | IN TARGET BAND</x:v>
      </x:c>
      <x:c r="C2439" t="str">
        <x:v>Pasted text(56).txt</x:v>
      </x:c>
    </x:row>
    <x:row r="2440">
      <x:c r="A2440" t="n">
        <x:v>2439</x:v>
      </x:c>
      <x:c r="B2440" s="106" t="str">
        <x:v>FINE | point 6 | DAC 4.75 | CTRL X 0.33017 | X 0.32790 | Y 0.13875 | Z 0.19436 | TOTAL 0.40569 | error 10.06 % | MAD 0.31 % | CV 1.39 % | coh 71.9 % | dominant X | axis fraction 100.0 % | VALID</x:v>
      </x:c>
      <x:c r="C2440" t="str">
        <x:v>Pasted text(56).txt</x:v>
      </x:c>
    </x:row>
    <x:row r="2441">
      <x:c r="A2441" t="n">
        <x:v>2440</x:v>
      </x:c>
      <x:c r="B2441" s="106" t="str">
        <x:v>FINE | point 7 | DAC 5.00 | CTRL X 0.35103 | X 0.35253 | Y 0.13917 | Z 0.23960 | TOTAL 0.44866 | error 17.01 % | MAD 4.56 % | CV 3.72 % | coh 78.0 % | dominant X | axis fraction 100.0 % | VALID</x:v>
      </x:c>
      <x:c r="C2441" t="str">
        <x:v>Pasted text(56).txt</x:v>
      </x:c>
    </x:row>
    <x:row r="2442">
      <x:c r="A2442" t="n">
        <x:v>2441</x:v>
      </x:c>
      <x:c r="B2442" s="106" t="str">
        <x:v>FINE | point 8 | DAC 5.25 | CTRL X 0.37008 | X 0.36815 | Y 0.16169 | Z 0.22856 | TOTAL 0.46311 | error 23.36 % | MAD 6.26 % | CV 5.05 % | coh 77.9 % | dominant X | axis fraction 100.0 % | VALID</x:v>
      </x:c>
      <x:c r="C2442" t="str">
        <x:v>Pasted text(56).txt</x:v>
      </x:c>
    </x:row>
    <x:row r="2443">
      <x:c r="A2443" t="n">
        <x:v>2442</x:v>
      </x:c>
      <x:c r="B2443" s="106" t="str">
        <x:v>FINE | point 9 | DAC 5.50 | CTRL X 0.37100 | X 0.37601 | Y 0.15350 | Z 0.24424 | TOTAL 0.47453 | error 23.67 % | MAD 1.19 % | CV 3.02 % | coh 73.8 % | dominant X | axis fraction 100.0 % | VALID</x:v>
      </x:c>
      <x:c r="C2443" t="str">
        <x:v>Pasted text(56).txt</x:v>
      </x:c>
    </x:row>
    <x:row r="2444">
      <x:c r="A2444" t="n">
        <x:v>2443</x:v>
      </x:c>
      <x:c r="B2444" s="106" t="str"/>
      <x:c r="C2444" t="str">
        <x:v>Pasted text(56).txt</x:v>
      </x:c>
    </x:row>
    <x:row r="2445">
      <x:c r="A2445" t="n">
        <x:v>2444</x:v>
      </x:c>
      <x:c r="B2445" s="106" t="str">
        <x:v>LONG VALIDATION AT FIXED DAC 4.50</x:v>
      </x:c>
      <x:c r="C2445" t="str">
        <x:v>Pasted text(56).txt</x:v>
      </x:c>
    </x:row>
    <x:row r="2446">
      <x:c r="A2446" t="n">
        <x:v>2445</x:v>
      </x:c>
      <x:c r="B2446" s="106" t="str">
        <x:v>FINAL | point 1 | DAC 4.50 | CTRL X 0.28108 | X 0.28470 | Y 0.11913 | Z 0.19225 | TOTAL 0.36433 | error -6.31 % | MAD 4.71 % | CV 3.56 % | coh 70.0 % | dominant X | axis fraction 100.0 % | IN TARGET BAND</x:v>
      </x:c>
      <x:c r="C2446" t="str">
        <x:v>Pasted text(56).txt</x:v>
      </x:c>
    </x:row>
    <x:row r="2447">
      <x:c r="A2447" t="n">
        <x:v>2446</x:v>
      </x:c>
      <x:c r="B2447" s="106" t="str">
        <x:v>FINAL | point 2 | DAC 4.50 | CTRL X 0.29601 | X 0.29211 | Y 0.12652 | Z 0.19874 | TOTAL 0.37647 | error -1.33 % | MAD 7.50 % | CV 6.80 % | coh 70.8 % | dominant X | axis fraction 100.0 % | IN TARGET BAND</x:v>
      </x:c>
      <x:c r="C2447" t="str">
        <x:v>Pasted text(56).txt</x:v>
      </x:c>
    </x:row>
    <x:row r="2448">
      <x:c r="A2448" t="n">
        <x:v>2447</x:v>
      </x:c>
      <x:c r="B2448" s="106" t="str">
        <x:v>VALIDATION ACCEPTED | pair drift 5.18 %</x:v>
      </x:c>
      <x:c r="C2448" t="str">
        <x:v>Pasted text(56).txt</x:v>
      </x:c>
    </x:row>
    <x:row r="2449">
      <x:c r="A2449" t="n">
        <x:v>2448</x:v>
      </x:c>
      <x:c r="B2449" s="106" t="str"/>
      <x:c r="C2449" t="str">
        <x:v>Pasted text(56).txt</x:v>
      </x:c>
    </x:row>
    <x:row r="2450">
      <x:c r="A2450" t="n">
        <x:v>2449</x:v>
      </x:c>
      <x:c r="B2450" s="106" t="str">
        <x:v>FINAL VALIDATED BLIND FFT VERIFICATION</x:v>
      </x:c>
      <x:c r="C2450" t="str">
        <x:v>Pasted text(56).txt</x:v>
      </x:c>
    </x:row>
    <x:row r="2451">
      <x:c r="A2451" t="n">
        <x:v>2450</x:v>
      </x:c>
      <x:c r="B2451" s="106" t="str">
        <x:v>Commanded frequency: 268.00000 Hz</x:v>
      </x:c>
      <x:c r="C2451" t="str">
        <x:v>Pasted text(56).txt</x:v>
      </x:c>
    </x:row>
    <x:row r="2452">
      <x:c r="A2452" t="n">
        <x:v>2451</x:v>
      </x:c>
      <x:c r="B2452" s="106" t="str">
        <x:v>Accepted DAC: 4.50</x:v>
      </x:c>
      <x:c r="C2452" t="str">
        <x:v>Pasted text(56).txt</x:v>
      </x:c>
    </x:row>
    <x:row r="2453">
      <x:c r="A2453" t="n">
        <x:v>2452</x:v>
      </x:c>
      <x:c r="B2453" s="106" t="str">
        <x:v>Axis,Frequency_Hz,Amplitude_mps2,SNR_dB,Status</x:v>
      </x:c>
      <x:c r="C2453" t="str">
        <x:v>Pasted text(56).txt</x:v>
      </x:c>
    </x:row>
    <x:row r="2454">
      <x:c r="A2454" t="n">
        <x:v>2453</x:v>
      </x:c>
      <x:c r="B2454" s="106" t="str">
        <x:v>X,267.98053,0.26328,24.40,VALID</x:v>
      </x:c>
      <x:c r="C2454" t="str">
        <x:v>Pasted text(56).txt</x:v>
      </x:c>
    </x:row>
    <x:row r="2455">
      <x:c r="A2455" t="n">
        <x:v>2454</x:v>
      </x:c>
      <x:c r="B2455" s="106" t="str">
        <x:v>Y,377.63240,0.17669,19.43,VALID</x:v>
      </x:c>
      <x:c r="C2455" t="str">
        <x:v>Pasted text(56).txt</x:v>
      </x:c>
    </x:row>
    <x:row r="2456">
      <x:c r="A2456" t="n">
        <x:v>2455</x:v>
      </x:c>
      <x:c r="B2456" s="106" t="str">
        <x:v>Z,267.99842,0.16290,19.81,VALID</x:v>
      </x:c>
      <x:c r="C2456" t="str">
        <x:v>Pasted text(56).txt</x:v>
      </x:c>
    </x:row>
    <x:row r="2457">
      <x:c r="A2457" t="n">
        <x:v>2456</x:v>
      </x:c>
      <x:c r="B2457" s="106" t="str">
        <x:v>Combined frequency: 267.98263 Hz | difference -0.01737 Hz</x:v>
      </x:c>
      <x:c r="C2457" t="str">
        <x:v>Pasted text(56).txt</x:v>
      </x:c>
    </x:row>
    <x:row r="2458">
      <x:c r="A2458" t="n">
        <x:v>2457</x:v>
      </x:c>
      <x:c r="B2458" s="106" t="str">
        <x:v>Combined X/Y/Z/TOTAL: 0.23787 / 0.10283 / 0.14798 / 0.29842</x:v>
      </x:c>
      <x:c r="C2458" t="str">
        <x:v>Pasted text(56).txt</x:v>
      </x:c>
    </x:row>
    <x:row r="2459">
      <x:c r="A2459" t="n">
        <x:v>2458</x:v>
      </x:c>
      <x:c r="B2459" s="106" t="str">
        <x:v>SNR: 20.24 dB | dominant axis X</x:v>
      </x:c>
      <x:c r="C2459" t="str">
        <x:v>Pasted text(56).txt</x:v>
      </x:c>
    </x:row>
    <x:row r="2460">
      <x:c r="A2460" t="n">
        <x:v>2459</x:v>
      </x:c>
      <x:c r="B2460" s="106" t="str">
        <x:v>Frequency verification: PASS</x:v>
      </x:c>
      <x:c r="C2460" t="str">
        <x:v>Pasted text(56).txt</x:v>
      </x:c>
    </x:row>
    <x:row r="2461">
      <x:c r="A2461" t="n">
        <x:v>2460</x:v>
      </x:c>
      <x:c r="B2461" s="106" t="str">
        <x:v>Y/Z dominance: DIAGNOSTIC ONLY — ignored for pass/fail</x:v>
      </x:c>
      <x:c r="C2461" t="str">
        <x:v>Pasted text(56).txt</x:v>
      </x:c>
    </x:row>
    <x:row r="2462">
      <x:c r="A2462" t="n">
        <x:v>2461</x:v>
      </x:c>
      <x:c r="B2462" s="106" t="str"/>
      <x:c r="C2462" t="str">
        <x:v>Pasted text(56).txt</x:v>
      </x:c>
    </x:row>
    <x:row r="2463">
      <x:c r="A2463" t="n">
        <x:v>2462</x:v>
      </x:c>
      <x:c r="B2463" s="106" t="str">
        <x:v>FIXED-DAC HOLD VALIDATION</x:v>
      </x:c>
      <x:c r="C2463" t="str">
        <x:v>Pasted text(56).txt</x:v>
      </x:c>
    </x:row>
    <x:row r="2464">
      <x:c r="A2464" t="n">
        <x:v>2463</x:v>
      </x:c>
      <x:c r="B2464" s="106" t="str">
        <x:v>DAC remains fixed at 4.50 for 10 records.</x:v>
      </x:c>
      <x:c r="C2464" t="str">
        <x:v>Pasted text(56).txt</x:v>
      </x:c>
    </x:row>
    <x:row r="2465">
      <x:c r="A2465" t="n">
        <x:v>2464</x:v>
      </x:c>
      <x:c r="B2465" s="106" t="str">
        <x:v>HOLD | point 1 | DAC 4.50 | CTRL X 0.28384 | X 0.28045 | Y 0.12410 | Z 0.21473 | TOTAL 0.37553 | error -5.39 % | MAD 1.06 % | CV 2.75 % | coh 68.8 % | dominant X | axis fraction 100.0 % | IN TARGET BAND</x:v>
      </x:c>
      <x:c r="C2465" t="str">
        <x:v>Pasted text(56).txt</x:v>
      </x:c>
    </x:row>
    <x:row r="2466">
      <x:c r="A2466" t="n">
        <x:v>2465</x:v>
      </x:c>
      <x:c r="B2466" s="106" t="str">
        <x:v>HOLD | point 2 | DAC 4.50 | CTRL X 0.30569 | X 0.30579 | Y 0.13006 | Z 0.19140 | TOTAL 0.38399 | error 1.90 % | MAD 6.31 % | CV 4.30 % | coh 74.2 % | dominant X | axis fraction 100.0 % | IN TARGET BAND</x:v>
      </x:c>
      <x:c r="C2466" t="str">
        <x:v>Pasted text(56).txt</x:v>
      </x:c>
    </x:row>
    <x:row r="2467">
      <x:c r="A2467" t="n">
        <x:v>2466</x:v>
      </x:c>
      <x:c r="B2467" s="106" t="str">
        <x:v>HOLD | point 3 | DAC 4.50 | CTRL X 0.29460 | X 0.28586 | Y 0.12322 | Z 0.19008 | TOTAL 0.36522 | error -1.80 % | MAD 1.05 % | CV 5.94 % | coh 71.5 % | dominant X | axis fraction 100.0 % | IN TARGET BAND</x:v>
      </x:c>
      <x:c r="C2467" t="str">
        <x:v>Pasted text(56).txt</x:v>
      </x:c>
    </x:row>
    <x:row r="2468">
      <x:c r="A2468" t="n">
        <x:v>2467</x:v>
      </x:c>
      <x:c r="B2468" s="106" t="str">
        <x:v>HOLD | point 4 | DAC 4.50 | CTRL X 0.27726 | X 0.27920 | Y 0.11402 | Z 0.17284 | TOTAL 0.34820 | error -7.58 % | MAD 1.97 % | CV 2.43 % | coh 68.3 % | dominant X | axis fraction 100.0 % | VALID</x:v>
      </x:c>
      <x:c r="C2468" t="str">
        <x:v>Pasted text(56).txt</x:v>
      </x:c>
    </x:row>
    <x:row r="2469">
      <x:c r="A2469" t="n">
        <x:v>2468</x:v>
      </x:c>
      <x:c r="B2469" s="106" t="str">
        <x:v>HOLD | point 5 | DAC 4.50 | CTRL X 0.28758 | X 0.27961 | Y 0.11854 | Z 0.18965 | TOTAL 0.35827 | error -4.14 % | MAD 6.56 % | CV 9.17 % | coh 69.2 % | dominant X | axis fraction 100.0 % | IN TARGET BAND</x:v>
      </x:c>
      <x:c r="C2469" t="str">
        <x:v>Pasted text(56).txt</x:v>
      </x:c>
    </x:row>
    <x:row r="2470">
      <x:c r="A2470" t="n">
        <x:v>2469</x:v>
      </x:c>
      <x:c r="B2470" s="106" t="str">
        <x:v>HOLD | point 6 | DAC 4.50 | CTRL X 0.30880 | X 0.30774 | Y 0.15087 | Z 0.17173 | TOTAL 0.38513 | error 2.93 % | MAD 1.42 % | CV 1.51 % | coh 73.6 % | dominant X | axis fraction 100.0 % | IN TARGET BAND</x:v>
      </x:c>
      <x:c r="C2470" t="str">
        <x:v>Pasted text(56).txt</x:v>
      </x:c>
    </x:row>
    <x:row r="2471">
      <x:c r="A2471" t="n">
        <x:v>2470</x:v>
      </x:c>
      <x:c r="B2471" s="106" t="str">
        <x:v>HOLD | point 7 | DAC 4.50 | CTRL X 0.27529 | X 0.27666 | Y 0.12400 | Z 0.19609 | TOTAL 0.36165 | error -8.24 % | MAD 6.44 % | CV 5.08 % | coh 68.4 % | dominant X | axis fraction 100.0 % | VALID</x:v>
      </x:c>
      <x:c r="C2471" t="str">
        <x:v>Pasted text(56).txt</x:v>
      </x:c>
    </x:row>
    <x:row r="2472">
      <x:c r="A2472" t="n">
        <x:v>2471</x:v>
      </x:c>
      <x:c r="B2472" s="106" t="str">
        <x:v>HOLD | point 8 | DAC 4.50 | CTRL X 0.28208 | X 0.28261 | Y 0.11227 | Z 0.17544 | TOTAL 0.35161 | error -5.97 % | MAD 0.74 % | CV 0.80 % | coh 68.5 % | dominant X | axis fraction 100.0 % | IN TARGET BAND</x:v>
      </x:c>
      <x:c r="C2472" t="str">
        <x:v>Pasted text(56).txt</x:v>
      </x:c>
    </x:row>
    <x:row r="2473">
      <x:c r="A2473" t="n">
        <x:v>2472</x:v>
      </x:c>
      <x:c r="B2473" s="106" t="str">
        <x:v>HOLD | point 9 | DAC 4.50 | CTRL X 0.29025 | X 0.29790 | Y 0.13107 | Z 0.18547 | TOTAL 0.37467 | error -3.25 % | MAD 3.44 % | CV 6.51 % | coh 72.3 % | dominant X | axis fraction 100.0 % | IN TARGET BAND</x:v>
      </x:c>
      <x:c r="C2473" t="str">
        <x:v>Pasted text(56).txt</x:v>
      </x:c>
    </x:row>
    <x:row r="2474">
      <x:c r="A2474" t="n">
        <x:v>2473</x:v>
      </x:c>
      <x:c r="B2474" s="106" t="str">
        <x:v>HOLD | point 10 | DAC 4.50 | CTRL X 0.28977 | X 0.28254 | Y 0.13056 | Z 0.18402 | TOTAL 0.36208 | error -3.41 % | MAD 8.71 % | CV 10.11 % | coh 71.3 % | dominant X | axis fraction 100.0 % | IN TARGET BAND</x:v>
      </x:c>
      <x:c r="C2474" t="str">
        <x:v>Pasted text(56).txt</x:v>
      </x:c>
    </x:row>
    <x:row r="2475">
      <x:c r="A2475" t="n">
        <x:v>2474</x:v>
      </x:c>
      <x:c r="B2475" s="106" t="str"/>
      <x:c r="C2475" t="str">
        <x:v>Pasted text(56).txt</x:v>
      </x:c>
    </x:row>
    <x:row r="2476">
      <x:c r="A2476" t="n">
        <x:v>2475</x:v>
      </x:c>
      <x:c r="B2476" s="106" t="str">
        <x:v>HOLD SUMMARY</x:v>
      </x:c>
      <x:c r="C2476" t="str">
        <x:v>Pasted text(56).txt</x:v>
      </x:c>
    </x:row>
    <x:row r="2477">
      <x:c r="A2477" t="n">
        <x:v>2476</x:v>
      </x:c>
      <x:c r="B2477" s="106" t="str">
        <x:v>Valid / requested: 10 / 10</x:v>
      </x:c>
      <x:c r="C2477" t="str">
        <x:v>Pasted text(56).txt</x:v>
      </x:c>
    </x:row>
    <x:row r="2478">
      <x:c r="A2478" t="n">
        <x:v>2477</x:v>
      </x:c>
      <x:c r="B2478" s="106" t="str">
        <x:v>In band / requested: 8 / 10 = 80.0 %</x:v>
      </x:c>
      <x:c r="C2478" t="str">
        <x:v>Pasted text(56).txt</x:v>
      </x:c>
    </x:row>
    <x:row r="2479">
      <x:c r="A2479" t="n">
        <x:v>2478</x:v>
      </x:c>
      <x:c r="B2479" s="106" t="str">
        <x:v>Mean / SD / CV: 0.28952 / 0.01107 / 3.83 %</x:v>
      </x:c>
      <x:c r="C2479" t="str">
        <x:v>Pasted text(56).txt</x:v>
      </x:c>
    </x:row>
    <x:row r="2480">
      <x:c r="A2480" t="n">
        <x:v>2479</x:v>
      </x:c>
      <x:c r="B2480" s="106" t="str">
        <x:v>Min / Max: 0.27529 / 0.30880</x:v>
      </x:c>
      <x:c r="C2480" t="str">
        <x:v>Pasted text(56).txt</x:v>
      </x:c>
    </x:row>
    <x:row r="2481">
      <x:c r="A2481" t="n">
        <x:v>2480</x:v>
      </x:c>
      <x:c r="B2481" s="106" t="str">
        <x:v>HOLD RESULT: PASS</x:v>
      </x:c>
      <x:c r="C2481" t="str">
        <x:v>Pasted text(56).txt</x:v>
      </x:c>
    </x:row>
    <x:row r="2482">
      <x:c r="A2482" t="n">
        <x:v>2481</x:v>
      </x:c>
      <x:c r="B2482" s="106" t="str"/>
      <x:c r="C2482" t="str">
        <x:v>Pasted text(56).txt</x:v>
      </x:c>
    </x:row>
    <x:row r="2483">
      <x:c r="A2483" t="n">
        <x:v>2482</x:v>
      </x:c>
      <x:c r="B2483" s="106" t="str">
        <x:v>RUN RESULT: PASS</x:v>
      </x:c>
      <x:c r="C2483" t="str">
        <x:v>Pasted text(56).txt</x:v>
      </x:c>
    </x:row>
    <x:row r="2484">
      <x:c r="A2484" t="n">
        <x:v>2483</x:v>
      </x:c>
      <x:c r="B2484" s="106" t="str">
        <x:v>Selected DAC: 4.50</x:v>
      </x:c>
      <x:c r="C2484" t="str">
        <x:v>Pasted text(56).txt</x:v>
      </x:c>
    </x:row>
    <x:row r="2485">
      <x:c r="A2485" t="n">
        <x:v>2484</x:v>
      </x:c>
      <x:c r="B2485" s="106" t="str">
        <x:v>Validated amplitude: 0.28854 m/s^2 | error -3.82 %</x:v>
      </x:c>
      <x:c r="C2485" t="str">
        <x:v>Pasted text(56).txt</x:v>
      </x:c>
    </x:row>
    <x:row r="2486">
      <x:c r="A2486" t="n">
        <x:v>2485</x:v>
      </x:c>
      <x:c r="B2486" s="106" t="str">
        <x:v>FFT frequency: 267.98263 Hz | difference -0.01737 Hz</x:v>
      </x:c>
      <x:c r="C2486" t="str">
        <x:v>Pasted text(56).txt</x:v>
      </x:c>
    </x:row>
    <x:row r="2487">
      <x:c r="A2487" t="n">
        <x:v>2486</x:v>
      </x:c>
      <x:c r="B2487" s="106" t="str"/>
      <x:c r="C2487" t="str">
        <x:v>Pasted text(56).txt</x:v>
      </x:c>
    </x:row>
    <x:row r="2488">
      <x:c r="A2488" t="n">
        <x:v>2487</x:v>
      </x:c>
      <x:c r="B2488" s="106" t="str">
        <x:v>================================================================================</x:v>
      </x:c>
      <x:c r="C2488" t="str">
        <x:v>Pasted text(56).txt</x:v>
      </x:c>
    </x:row>
    <x:row r="2489">
      <x:c r="A2489" t="n">
        <x:v>2488</x:v>
      </x:c>
      <x:c r="B2489" s="106" t="str">
        <x:v>FINAL REPEATED TARGET-AMPLITUDE VALIDATION SUMMARY</x:v>
      </x:c>
      <x:c r="C2489" t="str">
        <x:v>Pasted text(56).txt</x:v>
      </x:c>
    </x:row>
    <x:row r="2490">
      <x:c r="A2490" t="n">
        <x:v>2489</x:v>
      </x:c>
      <x:c r="B2490" s="106" t="str">
        <x:v>================================================================================</x:v>
      </x:c>
      <x:c r="C2490" t="str">
        <x:v>Pasted text(56).txt</x:v>
      </x:c>
    </x:row>
    <x:row r="2491">
      <x:c r="A2491" t="n">
        <x:v>2490</x:v>
      </x:c>
      <x:c r="B2491" s="106" t="str">
        <x:v>Run,Pass,Selected_DAC,Validated_Amp,Error_pct,FFT_Hz,FFT_Diff_Hz,FFT_SNR_dB,Hold_Mean,Hold_CV_pct,Hold_InBand_pct,Reason</x:v>
      </x:c>
      <x:c r="C2491" t="str">
        <x:v>Pasted text(56).txt</x:v>
      </x:c>
    </x:row>
    <x:row r="2492">
      <x:c r="A2492" t="n">
        <x:v>2491</x:v>
      </x:c>
      <x:c r="B2492" s="106" t="str">
        <x:v>1,PASS,4.75,0.30494,1.65,268.03188,0.03188,20.71,0.31026,3.54,80.0,PASS</x:v>
      </x:c>
      <x:c r="C2492" t="str">
        <x:v>Pasted text(56).txt</x:v>
      </x:c>
    </x:row>
    <x:row r="2493">
      <x:c r="A2493" t="n">
        <x:v>2492</x:v>
      </x:c>
      <x:c r="B2493" s="106" t="str">
        <x:v>2,PASS,4.75,0.30314,1.05,268.04215,0.04215,20.78,0.30670,3.27,100.0,PASS</x:v>
      </x:c>
      <x:c r="C2493" t="str">
        <x:v>Pasted text(56).txt</x:v>
      </x:c>
    </x:row>
    <x:row r="2494">
      <x:c r="A2494" t="n">
        <x:v>2493</x:v>
      </x:c>
      <x:c r="B2494" s="106" t="str">
        <x:v>3,PASS,4.75,0.30847,2.82,268.00836,0.00836,20.83,0.31141,3.04,80.0,PASS</x:v>
      </x:c>
      <x:c r="C2494" t="str">
        <x:v>Pasted text(56).txt</x:v>
      </x:c>
    </x:row>
    <x:row r="2495">
      <x:c r="A2495" t="n">
        <x:v>2494</x:v>
      </x:c>
      <x:c r="B2495" s="106" t="str">
        <x:v>4,FAIL,4.75,0.31521,5.07,268.03195,0.03195,21.03,0.32281,3.57,50.0,Fixed-DAC hold did not maintain target amplitude</x:v>
      </x:c>
      <x:c r="C2495" t="str">
        <x:v>Pasted text(56).txt</x:v>
      </x:c>
    </x:row>
    <x:row r="2496">
      <x:c r="A2496" t="n">
        <x:v>2495</x:v>
      </x:c>
      <x:c r="B2496" s="106" t="str">
        <x:v>5,PASS,4.50,0.28854,-3.82,267.98263,-0.01737,20.24,0.28952,3.83,80.0,PASS</x:v>
      </x:c>
      <x:c r="C2496" t="str">
        <x:v>Pasted text(56).txt</x:v>
      </x:c>
    </x:row>
    <x:row r="2497">
      <x:c r="A2497" t="n">
        <x:v>2496</x:v>
      </x:c>
      <x:c r="B2497" s="106" t="str">
        <x:v>--------------------------------------------------------------------------------</x:v>
      </x:c>
      <x:c r="C2497" t="str">
        <x:v>Pasted text(56).txt</x:v>
      </x:c>
    </x:row>
    <x:row r="2498">
      <x:c r="A2498" t="n">
        <x:v>2497</x:v>
      </x:c>
      <x:c r="B2498" s="106" t="str">
        <x:v>Successful independent runs: 4 / 5</x:v>
      </x:c>
      <x:c r="C2498" t="str">
        <x:v>Pasted text(56).txt</x:v>
      </x:c>
    </x:row>
    <x:row r="2499">
      <x:c r="A2499" t="n">
        <x:v>2498</x:v>
      </x:c>
      <x:c r="B2499" s="106" t="str">
        <x:v>Validated amplitude mean +/- SD: 0.30127 +/- 0.00877 m/s^2 peak</x:v>
      </x:c>
      <x:c r="C2499" t="str">
        <x:v>Pasted text(56).txt</x:v>
      </x:c>
    </x:row>
    <x:row r="2500">
      <x:c r="A2500" t="n">
        <x:v>2499</x:v>
      </x:c>
      <x:c r="B2500" s="106" t="str">
        <x:v>Across-run amplitude CV: 2.91 %</x:v>
      </x:c>
      <x:c r="C2500" t="str">
        <x:v>Pasted text(56).txt</x:v>
      </x:c>
    </x:row>
    <x:row r="2501">
      <x:c r="A2501" t="n">
        <x:v>2500</x:v>
      </x:c>
      <x:c r="B2501" s="106" t="str">
        <x:v>Maximum absolute target error: 3.82 %</x:v>
      </x:c>
      <x:c r="C2501" t="str">
        <x:v>Pasted text(56).txt</x:v>
      </x:c>
    </x:row>
    <x:row r="2502">
      <x:c r="A2502" t="n">
        <x:v>2501</x:v>
      </x:c>
      <x:c r="B2502" s="106" t="str">
        <x:v>FFT frequency mean +/- SD: 268.01626 +/- 0.02651 Hz</x:v>
      </x:c>
      <x:c r="C2502" t="str">
        <x:v>Pasted text(56).txt</x:v>
      </x:c>
    </x:row>
    <x:row r="2503">
      <x:c r="A2503" t="n">
        <x:v>2502</x:v>
      </x:c>
      <x:c r="B2503" s="106" t="str">
        <x:v>Selected DAC range: 4.50 to 4.75</x:v>
      </x:c>
      <x:c r="C2503" t="str">
        <x:v>Pasted text(56).txt</x:v>
      </x:c>
    </x:row>
    <x:row r="2504">
      <x:c r="A2504" t="n">
        <x:v>2503</x:v>
      </x:c>
      <x:c r="B2504" s="106" t="str">
        <x:v>Average hold records in target band: 85.0 %</x:v>
      </x:c>
      <x:c r="C2504" t="str">
        <x:v>Pasted text(56).txt</x:v>
      </x:c>
    </x:row>
    <x:row r="2505">
      <x:c r="A2505" t="n">
        <x:v>2504</x:v>
      </x:c>
      <x:c r="B2505" s="106" t="str">
        <x:v>OVERALL VERDICT: GOOD / USABLE TARGET-AMPLITUDE ACQUISITION.</x:v>
      </x:c>
      <x:c r="C2505" t="str">
        <x:v>Pasted text(56).txt</x:v>
      </x:c>
    </x:row>
    <x:row r="2506">
      <x:c r="A2506" t="n">
        <x:v>2505</x:v>
      </x:c>
      <x:c r="B2506" s="106" t="str">
        <x:v>Review failed runs before controlled phase trials.</x:v>
      </x:c>
      <x:c r="C2506" t="str">
        <x:v>Pasted text(56).txt</x:v>
      </x:c>
    </x:row>
    <x:row r="2507">
      <x:c r="A2507" t="n">
        <x:v>2506</x:v>
      </x:c>
      <x:c r="B2507" s="106" t="str"/>
      <x:c r="C2507" t="str">
        <x:v>Pasted text(56).txt</x:v>
      </x:c>
    </x:row>
    <x:row r="2508">
      <x:c r="A2508" t="n">
        <x:v>2507</x:v>
      </x:c>
      <x:c r="B2508" s="106" t="str">
        <x:v>Automatic test complete. Enter h for commands.</x:v>
      </x:c>
      <x:c r="C2508" t="str">
        <x:v>Pasted text(56).txt</x:v>
      </x:c>
    </x:row>
    <x:row r="2509">
      <x:c r="A2509" t="n">
        <x:v>2508</x:v>
      </x:c>
      <x:c r="B2509" s="106" t="str">
        <x:v>Target amplitude set to 0.65000 m/s^2 peak.</x:v>
      </x:c>
      <x:c r="C2509" t="str">
        <x:v>Pasted text(56).txt</x:v>
      </x:c>
    </x:row>
    <x:row r="2510">
      <x:c r="A2510" t="n">
        <x:v>2509</x:v>
      </x:c>
      <x:c r="B2510" s="106" t="str"/>
      <x:c r="C2510" t="str">
        <x:v>Pasted text(56).txt</x:v>
      </x:c>
    </x:row>
    <x:row r="2511">
      <x:c r="A2511" t="n">
        <x:v>2510</x:v>
      </x:c>
      <x:c r="B2511" s="106" t="str">
        <x:v>================================================================================</x:v>
      </x:c>
      <x:c r="C2511" t="str">
        <x:v>Pasted text(56).txt</x:v>
      </x:c>
    </x:row>
    <x:row r="2512">
      <x:c r="A2512" t="n">
        <x:v>2511</x:v>
      </x:c>
      <x:c r="B2512" s="106" t="str">
        <x:v>REPEATED INDEPENDENT TARGET-AMPLITUDE VALIDATION STARTED</x:v>
      </x:c>
      <x:c r="C2512" t="str">
        <x:v>Pasted text(56).txt</x:v>
      </x:c>
    </x:row>
    <x:row r="2513">
      <x:c r="A2513" t="n">
        <x:v>2512</x:v>
      </x:c>
      <x:c r="B2513" s="106" t="str">
        <x:v>================================================================================</x:v>
      </x:c>
      <x:c r="C2513" t="str">
        <x:v>Pasted text(56).txt</x:v>
      </x:c>
    </x:row>
    <x:row r="2514">
      <x:c r="A2514" t="n">
        <x:v>2513</x:v>
      </x:c>
      <x:c r="B2514" s="106" t="str"/>
      <x:c r="C2514" t="str">
        <x:v>Pasted text(56).txt</x:v>
      </x:c>
    </x:row>
    <x:row r="2515">
      <x:c r="A2515" t="n">
        <x:v>2514</x:v>
      </x:c>
      <x:c r="B2515" s="106" t="str">
        <x:v>CURRENT SETTINGS</x:v>
      </x:c>
      <x:c r="C2515" t="str">
        <x:v>Pasted text(56).txt</x:v>
      </x:c>
    </x:row>
    <x:row r="2516">
      <x:c r="A2516" t="n">
        <x:v>2515</x:v>
      </x:c>
      <x:c r="B2516" s="106" t="str">
        <x:v>Frequency: 268.00000 Hz</x:v>
      </x:c>
      <x:c r="C2516" t="str">
        <x:v>Pasted text(56).txt</x:v>
      </x:c>
    </x:row>
    <x:row r="2517">
      <x:c r="A2517" t="n">
        <x:v>2516</x:v>
      </x:c>
      <x:c r="B2517" s="106" t="str">
        <x:v>Control axis: X ONLY (Y/Z diagnostic only)</x:v>
      </x:c>
      <x:c r="C2517" t="str">
        <x:v>Pasted text(56).txt</x:v>
      </x:c>
    </x:row>
    <x:row r="2518">
      <x:c r="A2518" t="n">
        <x:v>2517</x:v>
      </x:c>
      <x:c r="B2518" s="106" t="str">
        <x:v>Target peak amplitude: 0.65000 m/s^2</x:v>
      </x:c>
      <x:c r="C2518" t="str">
        <x:v>Pasted text(56).txt</x:v>
      </x:c>
    </x:row>
    <x:row r="2519">
      <x:c r="A2519" t="n">
        <x:v>2518</x:v>
      </x:c>
      <x:c r="B2519" s="106" t="str">
        <x:v>Tolerance: +/-7.50 %</x:v>
      </x:c>
      <x:c r="C2519" t="str">
        <x:v>Pasted text(56).txt</x:v>
      </x:c>
    </x:row>
    <x:row r="2520">
      <x:c r="A2520" t="n">
        <x:v>2519</x:v>
      </x:c>
      <x:c r="B2520" s="106" t="str">
        <x:v>Allowed amplitude band: 0.60125 to 0.69875 m/s^2 peak</x:v>
      </x:c>
      <x:c r="C2520" t="str">
        <x:v>Pasted text(56).txt</x:v>
      </x:c>
    </x:row>
    <x:row r="2521">
      <x:c r="A2521" t="n">
        <x:v>2520</x:v>
      </x:c>
      <x:c r="B2521" s="106" t="str">
        <x:v>Independent runs: 5</x:v>
      </x:c>
      <x:c r="C2521" t="str">
        <x:v>Pasted text(56).txt</x:v>
      </x:c>
    </x:row>
    <x:row r="2522">
      <x:c r="A2522" t="n">
        <x:v>2521</x:v>
      </x:c>
      <x:c r="B2522" s="106" t="str">
        <x:v>Hold records per run: 10</x:v>
      </x:c>
      <x:c r="C2522" t="str">
        <x:v>Pasted text(56).txt</x:v>
      </x:c>
    </x:row>
    <x:row r="2523">
      <x:c r="A2523" t="n">
        <x:v>2522</x:v>
      </x:c>
      <x:c r="B2523" s="106" t="str">
        <x:v>DAC search range/resolution: 1.00 to 30.00 / 0.25</x:v>
      </x:c>
      <x:c r="C2523" t="str">
        <x:v>Pasted text(56).txt</x:v>
      </x:c>
    </x:row>
    <x:row r="2524">
      <x:c r="A2524" t="n">
        <x:v>2523</x:v>
      </x:c>
      <x:c r="B2524" s="106" t="str">
        <x:v>FFT bin resolution: 1.56250 Hz; accepted command-to-bin difference &lt;= 2.00 Hz</x:v>
      </x:c>
      <x:c r="C2524" t="str">
        <x:v>Pasted text(56).txt</x:v>
      </x:c>
    </x:row>
    <x:row r="2525">
      <x:c r="A2525" t="n">
        <x:v>2524</x:v>
      </x:c>
      <x:c r="B2525" s="106" t="str">
        <x:v>Every run starts from DAC 1.00. Different selected DACs are allowed.</x:v>
      </x:c>
      <x:c r="C2525" t="str">
        <x:v>Pasted text(56).txt</x:v>
      </x:c>
    </x:row>
    <x:row r="2526">
      <x:c r="A2526" t="n">
        <x:v>2525</x:v>
      </x:c>
      <x:c r="B2526" s="106" t="str">
        <x:v>The accepted result is X-axis amplitude and X-axis frequency, not DAC.</x:v>
      </x:c>
      <x:c r="C2526" t="str">
        <x:v>Pasted text(56).txt</x:v>
      </x:c>
    </x:row>
    <x:row r="2527">
      <x:c r="A2527" t="n">
        <x:v>2526</x:v>
      </x:c>
      <x:c r="B2527" s="106" t="str"/>
      <x:c r="C2527" t="str">
        <x:v>Pasted text(56).txt</x:v>
      </x:c>
    </x:row>
    <x:row r="2528">
      <x:c r="A2528" t="n">
        <x:v>2527</x:v>
      </x:c>
      <x:c r="B2528" s="106" t="str">
        <x:v>################################################################################</x:v>
      </x:c>
      <x:c r="C2528" t="str">
        <x:v>Pasted text(56).txt</x:v>
      </x:c>
    </x:row>
    <x:row r="2529">
      <x:c r="A2529" t="n">
        <x:v>2528</x:v>
      </x:c>
      <x:c r="B2529" s="106" t="str">
        <x:v>INDEPENDENT TARGET-AMPLITUDE RUN 1 OF 5</x:v>
      </x:c>
      <x:c r="C2529" t="str">
        <x:v>Pasted text(56).txt</x:v>
      </x:c>
    </x:row>
    <x:row r="2530">
      <x:c r="A2530" t="n">
        <x:v>2529</x:v>
      </x:c>
      <x:c r="B2530" s="106" t="str">
        <x:v>################################################################################</x:v>
      </x:c>
      <x:c r="C2530" t="str">
        <x:v>Pasted text(56).txt</x:v>
      </x:c>
    </x:row>
    <x:row r="2531">
      <x:c r="A2531" t="n">
        <x:v>2530</x:v>
      </x:c>
      <x:c r="B2531" s="106" t="str">
        <x:v>Frequency: 268.00000 Hz</x:v>
      </x:c>
      <x:c r="C2531" t="str">
        <x:v>Pasted text(56).txt</x:v>
      </x:c>
    </x:row>
    <x:row r="2532">
      <x:c r="A2532" t="n">
        <x:v>2531</x:v>
      </x:c>
      <x:c r="B2532" s="106" t="str">
        <x:v>Target X amplitude: 0.65000 m/s^2 peak, tolerance +/-7.50 %</x:v>
      </x:c>
      <x:c r="C2532" t="str">
        <x:v>Pasted text(56).txt</x:v>
      </x:c>
    </x:row>
    <x:row r="2533">
      <x:c r="A2533" t="n">
        <x:v>2532</x:v>
      </x:c>
      <x:c r="B2533" s="106" t="str">
        <x:v>This run starts from DAC 1.00 and ignores every earlier selected DAC.</x:v>
      </x:c>
      <x:c r="C2533" t="str">
        <x:v>Pasted text(56).txt</x:v>
      </x:c>
    </x:row>
    <x:row r="2534">
      <x:c r="A2534" t="n">
        <x:v>2533</x:v>
      </x:c>
      <x:c r="B2534" s="106" t="str">
        <x:v>ADXL2 DEVID/DATA_FORMAT/BW_RATE/POWER_CTL: 0xE5 / 0xB / 0xE / 0x8</x:v>
      </x:c>
      <x:c r="C2534" t="str">
        <x:v>Pasted text(56).txt</x:v>
      </x:c>
    </x:row>
    <x:row r="2535">
      <x:c r="A2535" t="n">
        <x:v>2534</x:v>
      </x:c>
      <x:c r="B2535" s="106" t="str"/>
      <x:c r="C2535" t="str">
        <x:v>Pasted text(56).txt</x:v>
      </x:c>
    </x:row>
    <x:row r="2536">
      <x:c r="A2536" t="n">
        <x:v>2535</x:v>
      </x:c>
      <x:c r="B2536" s="106" t="str">
        <x:v>ACQUISITION ATTEMPT 1 OF 2</x:v>
      </x:c>
      <x:c r="C2536" t="str">
        <x:v>Pasted text(56).txt</x:v>
      </x:c>
    </x:row>
    <x:row r="2537">
      <x:c r="A2537" t="n">
        <x:v>2536</x:v>
      </x:c>
      <x:c r="B2537" s="106" t="str"/>
      <x:c r="C2537" t="str">
        <x:v>Pasted text(56).txt</x:v>
      </x:c>
    </x:row>
    <x:row r="2538">
      <x:c r="A2538" t="n">
        <x:v>2537</x:v>
      </x:c>
      <x:c r="B2538" s="106" t="str">
        <x:v>FRESH X-AXIS SEARCH FROM DAC 1.00 — OLD DAC VALUES ARE NOT USED</x:v>
      </x:c>
      <x:c r="C2538" t="str">
        <x:v>Pasted text(56).txt</x:v>
      </x:c>
    </x:row>
    <x:row r="2539">
      <x:c r="A2539" t="n">
        <x:v>2538</x:v>
      </x:c>
      <x:c r="B2539" s="106" t="str">
        <x:v>Y/Z are diagnostic only and cannot abort this search.</x:v>
      </x:c>
      <x:c r="C2539" t="str">
        <x:v>Pasted text(56).txt</x:v>
      </x:c>
    </x:row>
    <x:row r="2540">
      <x:c r="A2540" t="n">
        <x:v>2539</x:v>
      </x:c>
      <x:c r="B2540" s="106" t="str">
        <x:v>A real SPI fault, clipping, safety limit or confirmed X-response collapse will stop it.</x:v>
      </x:c>
      <x:c r="C2540" t="str">
        <x:v>Pasted text(56).txt</x:v>
      </x:c>
    </x:row>
    <x:row r="2541">
      <x:c r="A2541" t="n">
        <x:v>2540</x:v>
      </x:c>
      <x:c r="B2541" s="106" t="str">
        <x:v>SEARCH | point 1 | DAC 1.00 | CTRL X 0.01032 | X 0.01357 | Y 0.01597 | Z 0.03007 | TOTAL 0.03809 | error -98.41 % | MAD 74.94 % | CV 77.25 % | coh 8.7 % | dominant Z | axis fraction 45.1 % | BELOW MEASUREMENT FLOOR — SEARCH CONTINUES</x:v>
      </x:c>
      <x:c r="C2541" t="str">
        <x:v>Pasted text(56).txt</x:v>
      </x:c>
    </x:row>
    <x:row r="2542">
      <x:c r="A2542" t="n">
        <x:v>2541</x:v>
      </x:c>
      <x:c r="B2542" s="106" t="str">
        <x:v>SEARCH | point 2 | DAC 3.00 | CTRL X 0.01699 | X 0.01823 | Y 0.01388 | Z 0.03292 | TOTAL 0.04053 | error -97.39 % | MAD 21.62 % | CV 9.61 % | coh 12.7 % | dominant Z | axis fraction 55.4 % | BELOW MEASUREMENT FLOOR — SEARCH CONTINUES</x:v>
      </x:c>
      <x:c r="C2542" t="str">
        <x:v>Pasted text(56).txt</x:v>
      </x:c>
    </x:row>
    <x:row r="2543">
      <x:c r="A2543" t="n">
        <x:v>2542</x:v>
      </x:c>
      <x:c r="B2543" s="106" t="str">
        <x:v>SEARCH | point 3 | DAC 5.00 | CTRL X 0.01569 | X 0.01578 | Y 0.00944 | Z 0.01288 | TOTAL 0.02291 | error -97.59 % | MAD 1.70 % | CV 0.81 % | coh 11.3 % | dominant X | axis fraction 100.0 % | BELOW MEASUREMENT FLOOR — SEARCH CONTINUES</x:v>
      </x:c>
      <x:c r="C2543" t="str">
        <x:v>Pasted text(56).txt</x:v>
      </x:c>
    </x:row>
    <x:row r="2544">
      <x:c r="A2544" t="n">
        <x:v>2543</x:v>
      </x:c>
      <x:c r="B2544" s="106" t="str">
        <x:v>SEARCH | point 4 | DAC 7.00 | CTRL X 0.00943 | X 0.00804 | Y 0.01265 | Z 0.01674 | TOTAL 0.02393 | error -98.55 % | MAD 67.79 % | CV 80.83 % | coh 5.2 % | dominant Z | axis fraction 48.0 % | BELOW MEASUREMENT FLOOR — SEARCH CONTINUES</x:v>
      </x:c>
      <x:c r="C2544" t="str">
        <x:v>Pasted text(56).txt</x:v>
      </x:c>
    </x:row>
    <x:row r="2545">
      <x:c r="A2545" t="n">
        <x:v>2544</x:v>
      </x:c>
      <x:c r="B2545" s="106" t="str">
        <x:v>SEARCH | point 5 | DAC 9.00 | CTRL X 0.01312 | X 0.02108 | Y 0.01683 | Z 0.02523 | TOTAL 0.03836 | error -97.98 % | MAD 41.04 % | CV 80.79 % | coh 11.7 % | dominant Z | axis fraction 83.6 % | BELOW MEASUREMENT FLOOR — SEARCH CONTINUES</x:v>
      </x:c>
      <x:c r="C2545" t="str">
        <x:v>Pasted text(56).txt</x:v>
      </x:c>
    </x:row>
    <x:row r="2546">
      <x:c r="A2546" t="n">
        <x:v>2545</x:v>
      </x:c>
      <x:c r="B2546" s="106" t="str">
        <x:v>SEARCH | point 6 | DAC 11.00 | CTRL X 0.01505 | X 0.01563 | Y 0.02013 | Z 0.05043 | TOTAL 0.05798 | error -97.68 % | MAD 2.03 % | CV 7.60 % | coh 9.9 % | dominant Z | axis fraction 31.0 % | BELOW MEASUREMENT FLOOR — SEARCH CONTINUES</x:v>
      </x:c>
      <x:c r="C2546" t="str">
        <x:v>Pasted text(56).txt</x:v>
      </x:c>
    </x:row>
    <x:row r="2547">
      <x:c r="A2547" t="n">
        <x:v>2546</x:v>
      </x:c>
      <x:c r="B2547" s="106" t="str">
        <x:v>SEARCH | point 7 | DAC 13.00 | CTRL X 0.01653 | X 0.01631 | Y 0.01444 | Z 0.03356 | TOTAL 0.04219 | error -97.46 % | MAD 3.93 % | CV 1.90 % | coh 11.1 % | dominant Z | axis fraction 48.6 % | BELOW MEASUREMENT FLOOR — SEARCH CONTINUES</x:v>
      </x:c>
      <x:c r="C2547" t="str">
        <x:v>Pasted text(56).txt</x:v>
      </x:c>
    </x:row>
    <x:row r="2548">
      <x:c r="A2548" t="n">
        <x:v>2547</x:v>
      </x:c>
      <x:c r="B2548" s="106" t="str">
        <x:v>SEARCH | point 8 | DAC 15.00 | CTRL X 0.00741 | X 0.00768 | Y 0.01605 | Z 0.01870 | TOTAL 0.02731 | error -98.86 % | MAD 14.38 % | CV 14.83 % | coh 5.7 % | dominant Z | axis fraction 41.1 % | BELOW MEASUREMENT FLOOR — SEARCH CONTINUES</x:v>
      </x:c>
      <x:c r="C2548" t="str">
        <x:v>Pasted text(56).txt</x:v>
      </x:c>
    </x:row>
    <x:row r="2549">
      <x:c r="A2549" t="n">
        <x:v>2548</x:v>
      </x:c>
      <x:c r="B2549" s="106" t="str">
        <x:v>SEARCH | point 9 | DAC 17.00 | CTRL X 0.01739 | X 0.01690 | Y 0.01288 | Z 0.02968 | TOTAL 0.03754 | error -97.33 % | MAD 40.99 % | CV 32.90 % | coh 10.4 % | dominant Z | axis fraction 56.9 % | BELOW MEASUREMENT FLOOR — SEARCH CONTINUES</x:v>
      </x:c>
      <x:c r="C2549" t="str">
        <x:v>Pasted text(56).txt</x:v>
      </x:c>
    </x:row>
    <x:row r="2550">
      <x:c r="A2550" t="n">
        <x:v>2549</x:v>
      </x:c>
      <x:c r="B2550" s="106" t="str">
        <x:v>SEARCH | point 10 | DAC 19.00 | CTRL X 0.02028 | X 0.01832 | Y 0.01974 | Z 0.02233 | TOTAL 0.03803 | error -96.88 % | MAD 65.47 % | CV 65.65 % | coh 12.8 % | dominant Z | axis fraction 82.1 % | BELOW MEASUREMENT FLOOR — SEARCH CONTINUES</x:v>
      </x:c>
      <x:c r="C2550" t="str">
        <x:v>Pasted text(56).txt</x:v>
      </x:c>
    </x:row>
    <x:row r="2551">
      <x:c r="A2551" t="n">
        <x:v>2550</x:v>
      </x:c>
      <x:c r="B2551" s="106" t="str">
        <x:v>SEARCH | point 11 | DAC 21.00 | CTRL X 0.01555 | X 0.01884 | Y 0.01973 | Z 0.02881 | TOTAL 0.04304 | error -97.61 % | MAD 75.86 % | CV 70.06 % | coh 11.2 % | dominant Z | axis fraction 65.4 % | BELOW MEASUREMENT FLOOR — SEARCH CONTINUES</x:v>
      </x:c>
      <x:c r="C2551" t="str">
        <x:v>Pasted text(56).txt</x:v>
      </x:c>
    </x:row>
    <x:row r="2552">
      <x:c r="A2552" t="n">
        <x:v>2551</x:v>
      </x:c>
      <x:c r="B2552" s="106" t="str">
        <x:v>SEARCH | point 12 | DAC 23.00 | CTRL X 0.01145 | X 0.01226 | Y 0.02356 | Z 0.03364 | TOTAL 0.04293 | error -98.24 % | MAD 21.07 % | CV 9.38 % | coh 8.5 % | dominant Z | axis fraction 36.5 % | BELOW MEASUREMENT FLOOR — SEARCH CONTINUES</x:v>
      </x:c>
      <x:c r="C2552" t="str">
        <x:v>Pasted text(56).txt</x:v>
      </x:c>
    </x:row>
    <x:row r="2553">
      <x:c r="A2553" t="n">
        <x:v>2552</x:v>
      </x:c>
      <x:c r="B2553" s="106" t="str">
        <x:v>SEARCH | point 13 | DAC 25.00 | CTRL X 0.01096 | X 0.01096 | Y 0.03803 | Z 0.02387 | TOTAL 0.04635 | error -98.31 % | MAD 54.06 % | CV 36.51 % | coh 7.6 % | dominant Y | axis fraction 28.8 % | BELOW MEASUREMENT FLOOR — SEARCH CONTINUES</x:v>
      </x:c>
      <x:c r="C2553" t="str">
        <x:v>Pasted text(56).txt</x:v>
      </x:c>
    </x:row>
    <x:row r="2554">
      <x:c r="A2554" t="n">
        <x:v>2553</x:v>
      </x:c>
      <x:c r="B2554" s="106" t="str">
        <x:v>SEARCH | point 14 | DAC 27.00 | CTRL X 0.01117 | X 0.01222 | Y 0.01382 | Z 0.04116 | TOTAL 0.04567 | error -98.28 % | MAD 39.33 % | CV 37.95 % | coh 8.6 % | dominant Z | axis fraction 29.7 % | BELOW MEASUREMENT FLOOR — SEARCH CONTINUES</x:v>
      </x:c>
      <x:c r="C2554" t="str">
        <x:v>Pasted text(56).txt</x:v>
      </x:c>
    </x:row>
    <x:row r="2555">
      <x:c r="A2555" t="n">
        <x:v>2554</x:v>
      </x:c>
      <x:c r="B2555" s="106" t="str">
        <x:v>SEARCH | point 15 | DAC 29.00 | CTRL X 0.01165 | X 0.01537 | Y 0.01189 | Z 0.03397 | TOTAL 0.03952 | error -98.21 % | MAD 38.26 % | CV 59.74 % | coh 10.5 % | dominant Z | axis fraction 45.3 % | BELOW MEASUREMENT FLOOR — SEARCH CONTINUES</x:v>
      </x:c>
      <x:c r="C2555" t="str">
        <x:v>Pasted text(56).txt</x:v>
      </x:c>
    </x:row>
    <x:row r="2556">
      <x:c r="A2556" t="n">
        <x:v>2555</x:v>
      </x:c>
      <x:c r="B2556" s="106" t="str"/>
      <x:c r="C2556" t="str">
        <x:v>Pasted text(56).txt</x:v>
      </x:c>
    </x:row>
    <x:row r="2557">
      <x:c r="A2557" t="n">
        <x:v>2556</x:v>
      </x:c>
      <x:c r="B2557" s="106" t="str">
        <x:v>ACQUISITION ATTEMPT 2 OF 2</x:v>
      </x:c>
      <x:c r="C2557" t="str">
        <x:v>Pasted text(56).txt</x:v>
      </x:c>
    </x:row>
    <x:row r="2558">
      <x:c r="A2558" t="n">
        <x:v>2557</x:v>
      </x:c>
      <x:c r="B2558" s="106" t="str"/>
      <x:c r="C2558" t="str">
        <x:v>Pasted text(56).txt</x:v>
      </x:c>
    </x:row>
    <x:row r="2559">
      <x:c r="A2559" t="n">
        <x:v>2558</x:v>
      </x:c>
      <x:c r="B2559" s="106" t="str">
        <x:v>FRESH X-AXIS SEARCH FROM DAC 1.00 — OLD DAC VALUES ARE NOT USED</x:v>
      </x:c>
      <x:c r="C2559" t="str">
        <x:v>Pasted text(56).txt</x:v>
      </x:c>
    </x:row>
    <x:row r="2560">
      <x:c r="A2560" t="n">
        <x:v>2559</x:v>
      </x:c>
      <x:c r="B2560" s="106" t="str">
        <x:v>Y/Z are diagnostic only and cannot abort this search.</x:v>
      </x:c>
      <x:c r="C2560" t="str">
        <x:v>Pasted text(56).txt</x:v>
      </x:c>
    </x:row>
    <x:row r="2561">
      <x:c r="A2561" t="n">
        <x:v>2560</x:v>
      </x:c>
      <x:c r="B2561" s="106" t="str">
        <x:v>A real SPI fault, clipping, safety limit or confirmed X-response collapse will stop it.</x:v>
      </x:c>
      <x:c r="C2561" t="str">
        <x:v>Pasted text(56).txt</x:v>
      </x:c>
    </x:row>
    <x:row r="2562">
      <x:c r="A2562" t="n">
        <x:v>2561</x:v>
      </x:c>
      <x:c r="B2562" s="106" t="str">
        <x:v>SEARCH | point 1 | DAC 1.00 | CTRL X 0.03234 | X 0.04435 | Y 0.01639 | Z 0.01364 | TOTAL 0.05175 | error -95.02 % | MAD 62.56 % | CV 75.14 % | coh 11.9 % | dominant X | axis fraction 100.0 % | BELOW MEASUREMENT FLOOR — SEARCH CONTINUES</x:v>
      </x:c>
      <x:c r="C2562" t="str">
        <x:v>Pasted text(56).txt</x:v>
      </x:c>
    </x:row>
    <x:row r="2563">
      <x:c r="A2563" t="n">
        <x:v>2562</x:v>
      </x:c>
      <x:c r="B2563" s="106" t="str">
        <x:v>SEARCH | point 2 | DAC 3.00 | CTRL X 0.02710 | X 0.02413 | Y 0.01600 | Z 0.02107 | TOTAL 0.03590 | error -95.83 % | MAD 32.52 % | CV 17.42 % | coh 12.0 % | dominant X | axis fraction 100.0 % | BELOW MEASUREMENT FLOOR — SEARCH CONTINUES</x:v>
      </x:c>
      <x:c r="C2563" t="str">
        <x:v>Pasted text(56).txt</x:v>
      </x:c>
    </x:row>
    <x:row r="2564">
      <x:c r="A2564" t="n">
        <x:v>2563</x:v>
      </x:c>
      <x:c r="B2564" s="106" t="str">
        <x:v>SEARCH | point 3 | DAC 5.00 | CTRL X 0.00744 | X 0.01449 | Y 0.02512 | Z 0.02831 | TOTAL 0.04617 | error -98.86 % | MAD 80.27 % | CV 109.24 % | coh 4.5 % | dominant Z | axis fraction 51.2 % | BELOW MEASUREMENT FLOOR — SEARCH CONTINUES</x:v>
      </x:c>
      <x:c r="C2564" t="str">
        <x:v>Pasted text(56).txt</x:v>
      </x:c>
    </x:row>
    <x:row r="2565">
      <x:c r="A2565" t="n">
        <x:v>2564</x:v>
      </x:c>
      <x:c r="B2565" s="106" t="str">
        <x:v>SEARCH | point 4 | DAC 7.00 | CTRL X 0.02369 | X 0.02621 | Y 0.02706 | Z 0.03647 | TOTAL 0.05259 | error -96.36 % | MAD 31.61 % | CV 13.62 % | coh 14.7 % | dominant Z | axis fraction 71.9 % | BELOW MEASUREMENT FLOOR — SEARCH CONTINUES</x:v>
      </x:c>
      <x:c r="C2565" t="str">
        <x:v>Pasted text(56).txt</x:v>
      </x:c>
    </x:row>
    <x:row r="2566">
      <x:c r="A2566" t="n">
        <x:v>2565</x:v>
      </x:c>
      <x:c r="B2566" s="106" t="str">
        <x:v>SEARCH | point 5 | DAC 9.00 | CTRL X 0.02278 | X 0.02517 | Y 0.00693 | Z 0.04324 | TOTAL 0.05057 | error -96.49 % | MAD 31.08 % | CV 13.42 % | coh 13.4 % | dominant Z | axis fraction 58.2 % | BELOW MEASUREMENT FLOOR — SEARCH CONTINUES</x:v>
      </x:c>
      <x:c r="C2566" t="str">
        <x:v>Pasted text(56).txt</x:v>
      </x:c>
    </x:row>
    <x:row r="2567">
      <x:c r="A2567" t="n">
        <x:v>2566</x:v>
      </x:c>
      <x:c r="B2567" s="106" t="str">
        <x:v>SEARCH | point 6 | DAC 11.00 | CTRL X 0.01279 | X 0.01263 | Y 0.02405 | Z 0.01819 | TOTAL 0.03379 | error -98.03 % | MAD 3.64 % | CV 1.76 % | coh 7.9 % | dominant Y | axis fraction 52.5 % | BELOW MEASUREMENT FLOOR — SEARCH CONTINUES</x:v>
      </x:c>
      <x:c r="C2567" t="str">
        <x:v>Pasted text(56).txt</x:v>
      </x:c>
    </x:row>
    <x:row r="2568">
      <x:c r="A2568" t="n">
        <x:v>2567</x:v>
      </x:c>
      <x:c r="B2568" s="106" t="str">
        <x:v>SEARCH | point 7 | DAC 13.00 | CTRL X 0.01248 | X 0.11047 | Y 0.03757 | Z 0.04201 | TOTAL 0.12979 | error -98.08 % | MAD 62.09 % | CV 157.75 % | coh 27.0 % | dominant X | axis fraction 100.0 % | BELOW MEASUREMENT FLOOR — SEARCH CONTINUES</x:v>
      </x:c>
      <x:c r="C2568" t="str">
        <x:v>Pasted text(56).txt</x:v>
      </x:c>
    </x:row>
    <x:row r="2569">
      <x:c r="A2569" t="n">
        <x:v>2568</x:v>
      </x:c>
      <x:c r="B2569" s="106" t="str">
        <x:v>SEARCH | point 8 | DAC 15.00 | CTRL X 0.78654 | X 0.77846 | Y 0.37840 | Z 0.40690 | TOTAL 0.95688 | error 21.01 % | MAD 61.75 % | CV 43.65 % | coh 88.6 % | dominant X | axis fraction 100.0 % | UNSTABLE — SEARCH CONTINUES</x:v>
      </x:c>
      <x:c r="C2569" t="str">
        <x:v>Pasted text(56).txt</x:v>
      </x:c>
    </x:row>
    <x:row r="2570">
      <x:c r="A2570" t="n">
        <x:v>2569</x:v>
      </x:c>
      <x:c r="B2570" s="106" t="str">
        <x:v>SEARCH | point 9 | DAC 16.00 | CTRL X 0.95882 | X 0.85999 | Y 0.36698 | Z 0.40173 | TOTAL 1.01948 | error 47.51 % | MAD 43.38 % | CV 50.84 % | coh 76.4 % | dominant X | axis fraction 100.0 % | UNSTABLE — SEARCH CONTINUES</x:v>
      </x:c>
      <x:c r="C2570" t="str">
        <x:v>Pasted text(56).txt</x:v>
      </x:c>
    </x:row>
    <x:row r="2571">
      <x:c r="A2571" t="n">
        <x:v>2570</x:v>
      </x:c>
      <x:c r="B2571" s="106" t="str">
        <x:v>SEARCH | point 10 | DAC 17.00 | CTRL X 0.99481 | X 0.98946 | Y 0.44236 | Z 0.47687 | TOTAL 1.18425 | error 53.05 % | MAD 1.59 % | CV 0.76 % | coh 92.9 % | dominant X | axis fraction 100.0 % | VALID</x:v>
      </x:c>
      <x:c r="C2571" t="str">
        <x:v>Pasted text(56).txt</x:v>
      </x:c>
    </x:row>
    <x:row r="2572">
      <x:c r="A2572" t="n">
        <x:v>2571</x:v>
      </x:c>
      <x:c r="B2572" s="106" t="str"/>
      <x:c r="C2572" t="str">
        <x:v>Pasted text(56).txt</x:v>
      </x:c>
    </x:row>
    <x:row r="2573">
      <x:c r="A2573" t="n">
        <x:v>2572</x:v>
      </x:c>
      <x:c r="B2573" s="106" t="str">
        <x:v>RUN RESULT: FAIL — X target exceeded at first reliable DAC; reduce amplifier knob</x:v>
      </x:c>
      <x:c r="C2573" t="str">
        <x:v>Pasted text(56).txt</x:v>
      </x:c>
    </x:row>
    <x:row r="2574">
      <x:c r="A2574" t="n">
        <x:v>2573</x:v>
      </x:c>
      <x:c r="B2574" s="106" t="str"/>
      <x:c r="C2574" t="str">
        <x:v>Pasted text(56).txt</x:v>
      </x:c>
    </x:row>
    <x:row r="2575">
      <x:c r="A2575" t="n">
        <x:v>2574</x:v>
      </x:c>
      <x:c r="B2575" s="106" t="str">
        <x:v>VISATON OFF. RESTING 5.0 s BEFORE THE NEXT COMPLETELY FRESH RUN.</x:v>
      </x:c>
      <x:c r="C2575" t="str">
        <x:v>Pasted text(56).txt</x:v>
      </x:c>
    </x:row>
    <x:row r="2576">
      <x:c r="A2576" t="n">
        <x:v>2575</x:v>
      </x:c>
      <x:c r="B2576" s="106" t="str"/>
      <x:c r="C2576" t="str">
        <x:v>Pasted text(56).txt</x:v>
      </x:c>
    </x:row>
    <x:row r="2577">
      <x:c r="A2577" t="n">
        <x:v>2576</x:v>
      </x:c>
      <x:c r="B2577" s="106" t="str">
        <x:v>EMERGENCY STOP RECEIVED. VISATON STOPPED.</x:v>
      </x:c>
      <x:c r="C2577" t="str">
        <x:v>Pasted text(56).txt</x:v>
      </x:c>
    </x:row>
    <x:row r="2578">
      <x:c r="A2578" t="n">
        <x:v>2577</x:v>
      </x:c>
      <x:c r="B2578" s="106" t="str"/>
      <x:c r="C2578" t="str">
        <x:v>Pasted text(56).txt</x:v>
      </x:c>
    </x:row>
    <x:row r="2579">
      <x:c r="A2579" t="n">
        <x:v>2578</x:v>
      </x:c>
      <x:c r="B2579" s="106" t="str">
        <x:v>================================================================================</x:v>
      </x:c>
      <x:c r="C2579" t="str">
        <x:v>Pasted text(56).txt</x:v>
      </x:c>
    </x:row>
    <x:row r="2580">
      <x:c r="A2580" t="n">
        <x:v>2579</x:v>
      </x:c>
      <x:c r="B2580" s="106" t="str">
        <x:v>FINAL REPEATED TARGET-AMPLITUDE VALIDATION SUMMARY</x:v>
      </x:c>
      <x:c r="C2580" t="str">
        <x:v>Pasted text(56).txt</x:v>
      </x:c>
    </x:row>
    <x:row r="2581">
      <x:c r="A2581" t="n">
        <x:v>2580</x:v>
      </x:c>
      <x:c r="B2581" s="106" t="str">
        <x:v>================================================================================</x:v>
      </x:c>
      <x:c r="C2581" t="str">
        <x:v>Pasted text(56).txt</x:v>
      </x:c>
    </x:row>
    <x:row r="2582">
      <x:c r="A2582" t="n">
        <x:v>2581</x:v>
      </x:c>
      <x:c r="B2582" s="106" t="str">
        <x:v>Run,Pass,Selected_DAC,Validated_Amp,Error_pct,FFT_Hz,FFT_Diff_Hz,FFT_SNR_dB,Hold_Mean,Hold_CV_pct,Hold_InBand_pct,Reason</x:v>
      </x:c>
      <x:c r="C2582" t="str">
        <x:v>Pasted text(56).txt</x:v>
      </x:c>
    </x:row>
    <x:row r="2583">
      <x:c r="A2583" t="n">
        <x:v>2582</x:v>
      </x:c>
      <x:c r="B2583" s="106" t="str">
        <x:v>1,FAIL,0.00,0.00000,0.00,0.00000,0.00000,0.00,0.00000,0.00,0.0,X target exceeded at first reliable DAC; reduce amplifier knob</x:v>
      </x:c>
      <x:c r="C2583" t="str">
        <x:v>Pasted text(56).txt</x:v>
      </x:c>
    </x:row>
    <x:row r="2584">
      <x:c r="A2584" t="n">
        <x:v>2583</x:v>
      </x:c>
      <x:c r="B2584" s="106" t="str">
        <x:v>--------------------------------------------------------------------------------</x:v>
      </x:c>
      <x:c r="C2584" t="str">
        <x:v>Pasted text(56).txt</x:v>
      </x:c>
    </x:row>
    <x:row r="2585">
      <x:c r="A2585" t="n">
        <x:v>2584</x:v>
      </x:c>
      <x:c r="B2585" s="106" t="str">
        <x:v>Successful independent runs: 0 / 1</x:v>
      </x:c>
      <x:c r="C2585" t="str">
        <x:v>Pasted text(56).txt</x:v>
      </x:c>
    </x:row>
    <x:row r="2586">
      <x:c r="A2586" t="n">
        <x:v>2585</x:v>
      </x:c>
      <x:c r="B2586" s="106" t="str">
        <x:v>OVERALL VERDICT: FAIL — no independent run passed.</x:v>
      </x:c>
      <x:c r="C2586" t="str">
        <x:v>Pasted text(56).txt</x:v>
      </x:c>
    </x:row>
    <x:row r="2587">
      <x:c r="A2587" t="n">
        <x:v>2586</x:v>
      </x:c>
      <x:c r="B2587" s="106" t="str"/>
      <x:c r="C2587" t="str">
        <x:v>Pasted text(56).txt</x:v>
      </x:c>
    </x:row>
    <x:row r="2588">
      <x:c r="A2588" t="n">
        <x:v>2587</x:v>
      </x:c>
      <x:c r="B2588" s="106" t="str">
        <x:v>Automatic test complete. Enter h for commands.</x:v>
      </x:c>
      <x:c r="C2588" t="str">
        <x:v>Pasted text(56).txt</x:v>
      </x:c>
    </x:row>
    <x:row r="2589">
      <x:c r="A2589" t="n">
        <x:v>2588</x:v>
      </x:c>
      <x:c r="B2589" s="106" t="str">
        <x:v>Target amplitude set to 0.65000 m/s^2 peak.</x:v>
      </x:c>
      <x:c r="C2589" t="str">
        <x:v>Pasted text(56).txt</x:v>
      </x:c>
    </x:row>
    <x:row r="2590">
      <x:c r="A2590" t="n">
        <x:v>2589</x:v>
      </x:c>
      <x:c r="B2590" s="106" t="str"/>
      <x:c r="C2590" t="str">
        <x:v>Pasted text(56).txt</x:v>
      </x:c>
    </x:row>
    <x:row r="2591">
      <x:c r="A2591" t="n">
        <x:v>2590</x:v>
      </x:c>
      <x:c r="B2591" s="106" t="str">
        <x:v>================================================================================</x:v>
      </x:c>
      <x:c r="C2591" t="str">
        <x:v>Pasted text(56).txt</x:v>
      </x:c>
    </x:row>
    <x:row r="2592">
      <x:c r="A2592" t="n">
        <x:v>2591</x:v>
      </x:c>
      <x:c r="B2592" s="106" t="str">
        <x:v>REPEATED INDEPENDENT TARGET-AMPLITUDE VALIDATION STARTED</x:v>
      </x:c>
      <x:c r="C2592" t="str">
        <x:v>Pasted text(56).txt</x:v>
      </x:c>
    </x:row>
    <x:row r="2593">
      <x:c r="A2593" t="n">
        <x:v>2592</x:v>
      </x:c>
      <x:c r="B2593" s="106" t="str">
        <x:v>================================================================================</x:v>
      </x:c>
      <x:c r="C2593" t="str">
        <x:v>Pasted text(56).txt</x:v>
      </x:c>
    </x:row>
    <x:row r="2594">
      <x:c r="A2594" t="n">
        <x:v>2593</x:v>
      </x:c>
      <x:c r="B2594" s="106" t="str"/>
      <x:c r="C2594" t="str">
        <x:v>Pasted text(56).txt</x:v>
      </x:c>
    </x:row>
    <x:row r="2595">
      <x:c r="A2595" t="n">
        <x:v>2594</x:v>
      </x:c>
      <x:c r="B2595" s="106" t="str">
        <x:v>CURRENT SETTINGS</x:v>
      </x:c>
      <x:c r="C2595" t="str">
        <x:v>Pasted text(56).txt</x:v>
      </x:c>
    </x:row>
    <x:row r="2596">
      <x:c r="A2596" t="n">
        <x:v>2595</x:v>
      </x:c>
      <x:c r="B2596" s="106" t="str">
        <x:v>Frequency: 268.00000 Hz</x:v>
      </x:c>
      <x:c r="C2596" t="str">
        <x:v>Pasted text(56).txt</x:v>
      </x:c>
    </x:row>
    <x:row r="2597">
      <x:c r="A2597" t="n">
        <x:v>2596</x:v>
      </x:c>
      <x:c r="B2597" s="106" t="str">
        <x:v>Control axis: X ONLY (Y/Z diagnostic only)</x:v>
      </x:c>
      <x:c r="C2597" t="str">
        <x:v>Pasted text(56).txt</x:v>
      </x:c>
    </x:row>
    <x:row r="2598">
      <x:c r="A2598" t="n">
        <x:v>2597</x:v>
      </x:c>
      <x:c r="B2598" s="106" t="str">
        <x:v>Target peak amplitude: 0.65000 m/s^2</x:v>
      </x:c>
      <x:c r="C2598" t="str">
        <x:v>Pasted text(56).txt</x:v>
      </x:c>
    </x:row>
    <x:row r="2599">
      <x:c r="A2599" t="n">
        <x:v>2598</x:v>
      </x:c>
      <x:c r="B2599" s="106" t="str">
        <x:v>Tolerance: +/-7.50 %</x:v>
      </x:c>
      <x:c r="C2599" t="str">
        <x:v>Pasted text(56).txt</x:v>
      </x:c>
    </x:row>
    <x:row r="2600">
      <x:c r="A2600" t="n">
        <x:v>2599</x:v>
      </x:c>
      <x:c r="B2600" s="106" t="str">
        <x:v>Allowed amplitude band: 0.60125 to 0.69875 m/s^2 peak</x:v>
      </x:c>
      <x:c r="C2600" t="str">
        <x:v>Pasted text(56).txt</x:v>
      </x:c>
    </x:row>
    <x:row r="2601">
      <x:c r="A2601" t="n">
        <x:v>2600</x:v>
      </x:c>
      <x:c r="B2601" s="106" t="str">
        <x:v>Independent runs: 5</x:v>
      </x:c>
      <x:c r="C2601" t="str">
        <x:v>Pasted text(56).txt</x:v>
      </x:c>
    </x:row>
    <x:row r="2602">
      <x:c r="A2602" t="n">
        <x:v>2601</x:v>
      </x:c>
      <x:c r="B2602" s="106" t="str">
        <x:v>Hold records per run: 10</x:v>
      </x:c>
      <x:c r="C2602" t="str">
        <x:v>Pasted text(56).txt</x:v>
      </x:c>
    </x:row>
    <x:row r="2603">
      <x:c r="A2603" t="n">
        <x:v>2602</x:v>
      </x:c>
      <x:c r="B2603" s="106" t="str">
        <x:v>DAC search range/resolution: 1.00 to 30.00 / 0.25</x:v>
      </x:c>
      <x:c r="C2603" t="str">
        <x:v>Pasted text(56).txt</x:v>
      </x:c>
    </x:row>
    <x:row r="2604">
      <x:c r="A2604" t="n">
        <x:v>2603</x:v>
      </x:c>
      <x:c r="B2604" s="106" t="str">
        <x:v>FFT bin resolution: 1.56250 Hz; accepted command-to-bin difference &lt;= 2.00 Hz</x:v>
      </x:c>
      <x:c r="C2604" t="str">
        <x:v>Pasted text(56).txt</x:v>
      </x:c>
    </x:row>
    <x:row r="2605">
      <x:c r="A2605" t="n">
        <x:v>2604</x:v>
      </x:c>
      <x:c r="B2605" s="106" t="str">
        <x:v>Every run starts from DAC 1.00. Different selected DACs are allowed.</x:v>
      </x:c>
      <x:c r="C2605" t="str">
        <x:v>Pasted text(56).txt</x:v>
      </x:c>
    </x:row>
    <x:row r="2606">
      <x:c r="A2606" t="n">
        <x:v>2605</x:v>
      </x:c>
      <x:c r="B2606" s="106" t="str">
        <x:v>The accepted result is X-axis amplitude and X-axis frequency, not DAC.</x:v>
      </x:c>
      <x:c r="C2606" t="str">
        <x:v>Pasted text(56).txt</x:v>
      </x:c>
    </x:row>
    <x:row r="2607">
      <x:c r="A2607" t="n">
        <x:v>2606</x:v>
      </x:c>
      <x:c r="B2607" s="106" t="str"/>
      <x:c r="C2607" t="str">
        <x:v>Pasted text(56).txt</x:v>
      </x:c>
    </x:row>
    <x:row r="2608">
      <x:c r="A2608" t="n">
        <x:v>2607</x:v>
      </x:c>
      <x:c r="B2608" s="106" t="str">
        <x:v>################################################################################</x:v>
      </x:c>
      <x:c r="C2608" t="str">
        <x:v>Pasted text(56).txt</x:v>
      </x:c>
    </x:row>
    <x:row r="2609">
      <x:c r="A2609" t="n">
        <x:v>2608</x:v>
      </x:c>
      <x:c r="B2609" s="106" t="str">
        <x:v>INDEPENDENT TARGET-AMPLITUDE RUN 1 OF 5</x:v>
      </x:c>
      <x:c r="C2609" t="str">
        <x:v>Pasted text(56).txt</x:v>
      </x:c>
    </x:row>
    <x:row r="2610">
      <x:c r="A2610" t="n">
        <x:v>2609</x:v>
      </x:c>
      <x:c r="B2610" s="106" t="str">
        <x:v>################################################################################</x:v>
      </x:c>
      <x:c r="C2610" t="str">
        <x:v>Pasted text(56).txt</x:v>
      </x:c>
    </x:row>
    <x:row r="2611">
      <x:c r="A2611" t="n">
        <x:v>2610</x:v>
      </x:c>
      <x:c r="B2611" s="106" t="str">
        <x:v>Frequency: 268.00000 Hz</x:v>
      </x:c>
      <x:c r="C2611" t="str">
        <x:v>Pasted text(56).txt</x:v>
      </x:c>
    </x:row>
    <x:row r="2612">
      <x:c r="A2612" t="n">
        <x:v>2611</x:v>
      </x:c>
      <x:c r="B2612" s="106" t="str">
        <x:v>Target X amplitude: 0.65000 m/s^2 peak, tolerance +/-7.50 %</x:v>
      </x:c>
      <x:c r="C2612" t="str">
        <x:v>Pasted text(56).txt</x:v>
      </x:c>
    </x:row>
    <x:row r="2613">
      <x:c r="A2613" t="n">
        <x:v>2612</x:v>
      </x:c>
      <x:c r="B2613" s="106" t="str">
        <x:v>This run starts from DAC 1.00 and ignores every earlier selected DAC.</x:v>
      </x:c>
      <x:c r="C2613" t="str">
        <x:v>Pasted text(56).txt</x:v>
      </x:c>
    </x:row>
    <x:row r="2614">
      <x:c r="A2614" t="n">
        <x:v>2613</x:v>
      </x:c>
      <x:c r="B2614" s="106" t="str">
        <x:v>ADXL2 DEVID/DATA_FORMAT/BW_RATE/POWER_CTL: 0xE5 / 0xB / 0xE / 0x8</x:v>
      </x:c>
      <x:c r="C2614" t="str">
        <x:v>Pasted text(56).txt</x:v>
      </x:c>
    </x:row>
    <x:row r="2615">
      <x:c r="A2615" t="n">
        <x:v>2614</x:v>
      </x:c>
      <x:c r="B2615" s="106" t="str"/>
      <x:c r="C2615" t="str">
        <x:v>Pasted text(56).txt</x:v>
      </x:c>
    </x:row>
    <x:row r="2616">
      <x:c r="A2616" t="n">
        <x:v>2615</x:v>
      </x:c>
      <x:c r="B2616" s="106" t="str">
        <x:v>ACQUISITION ATTEMPT 1 OF 2</x:v>
      </x:c>
      <x:c r="C2616" t="str">
        <x:v>Pasted text(56).txt</x:v>
      </x:c>
    </x:row>
    <x:row r="2617">
      <x:c r="A2617" t="n">
        <x:v>2616</x:v>
      </x:c>
      <x:c r="B2617" s="106" t="str"/>
      <x:c r="C2617" t="str">
        <x:v>Pasted text(56).txt</x:v>
      </x:c>
    </x:row>
    <x:row r="2618">
      <x:c r="A2618" t="n">
        <x:v>2617</x:v>
      </x:c>
      <x:c r="B2618" s="106" t="str">
        <x:v>FRESH X-AXIS SEARCH FROM DAC 1.00 — OLD DAC VALUES ARE NOT USED</x:v>
      </x:c>
      <x:c r="C2618" t="str">
        <x:v>Pasted text(56).txt</x:v>
      </x:c>
    </x:row>
    <x:row r="2619">
      <x:c r="A2619" t="n">
        <x:v>2618</x:v>
      </x:c>
      <x:c r="B2619" s="106" t="str">
        <x:v>Y/Z are diagnostic only and cannot abort this search.</x:v>
      </x:c>
      <x:c r="C2619" t="str">
        <x:v>Pasted text(56).txt</x:v>
      </x:c>
    </x:row>
    <x:row r="2620">
      <x:c r="A2620" t="n">
        <x:v>2619</x:v>
      </x:c>
      <x:c r="B2620" s="106" t="str">
        <x:v>A real SPI fault, clipping, safety limit or confirmed X-response collapse will stop it.</x:v>
      </x:c>
      <x:c r="C2620" t="str">
        <x:v>Pasted text(56).txt</x:v>
      </x:c>
    </x:row>
    <x:row r="2621">
      <x:c r="A2621" t="n">
        <x:v>2620</x:v>
      </x:c>
      <x:c r="B2621" s="106" t="str">
        <x:v>SEARCH | point 1 | DAC 1.00 | CTRL X 0.01650 | X 0.01496 | Y 0.02752 | Z 0.02804 | TOTAL 0.04705 | error -97.46 % | MAD 27.67 % | CV 14.55 % | coh 8.2 % | dominant Z | axis fraction 53.3 % | BELOW MEASUREMENT FLOOR — SEARCH CONTINUES</x:v>
      </x:c>
      <x:c r="C2621" t="str">
        <x:v>Pasted text(56).txt</x:v>
      </x:c>
    </x:row>
    <x:row r="2622">
      <x:c r="A2622" t="n">
        <x:v>2621</x:v>
      </x:c>
      <x:c r="B2622" s="106" t="str">
        <x:v>SEARCH | point 2 | DAC 3.00 | CTRL X 0.05362 | X 0.05133 | Y 0.07299 | Z 0.06144 | TOTAL 0.10852 | error -91.75 % | MAD 2.82 % | CV 9.49 % | coh 25.1 % | dominant Y | axis fraction 70.3 % | BELOW MEASUREMENT FLOOR — SEARCH CONTINUES</x:v>
      </x:c>
      <x:c r="C2622" t="str">
        <x:v>Pasted text(56).txt</x:v>
      </x:c>
    </x:row>
    <x:row r="2623">
      <x:c r="A2623" t="n">
        <x:v>2622</x:v>
      </x:c>
      <x:c r="B2623" s="106" t="str">
        <x:v>SEARCH | point 3 | DAC 5.00 | CTRL X 0.08565 | X 0.08987 | Y 0.11651 | Z 0.17617 | TOTAL 0.22999 | error -86.82 % | MAD 4.99 % | CV 11.03 % | coh 42.6 % | dominant Z | axis fraction 51.0 % | UNSTABLE — SEARCH CONTINUES</x:v>
      </x:c>
      <x:c r="C2623" t="str">
        <x:v>Pasted text(56).txt</x:v>
      </x:c>
    </x:row>
    <x:row r="2624">
      <x:c r="A2624" t="n">
        <x:v>2623</x:v>
      </x:c>
      <x:c r="B2624" s="106" t="str">
        <x:v>SEARCH | point 4 | DAC 7.00 | CTRL X 0.16394 | X 0.17114 | Y 0.18421 | Z 0.23518 | TOTAL 0.34515 | error -74.78 % | MAD 4.53 % | CV 9.93 % | coh 61.5 % | dominant Z | axis fraction 72.8 % | VALID</x:v>
      </x:c>
      <x:c r="C2624" t="str">
        <x:v>Pasted text(56).txt</x:v>
      </x:c>
    </x:row>
    <x:row r="2625">
      <x:c r="A2625" t="n">
        <x:v>2624</x:v>
      </x:c>
      <x:c r="B2625" s="106" t="str">
        <x:v>SEARCH | point 5 | DAC 8.00 | CTRL X 0.42624 | X 0.42443 | Y 0.09481 | Z 0.02434 | TOTAL 0.43559 | error -34.42 % | MAD 1.26 % | CV 0.60 % | coh 83.9 % | dominant X | axis fraction 100.0 % | VALID</x:v>
      </x:c>
      <x:c r="C2625" t="str">
        <x:v>Pasted text(56).txt</x:v>
      </x:c>
    </x:row>
    <x:row r="2626">
      <x:c r="A2626" t="n">
        <x:v>2625</x:v>
      </x:c>
      <x:c r="B2626" s="106" t="str">
        <x:v>SEARCH | point 6 | DAC 8.50 | CTRL X 0.72958 | X 0.72146 | Y 0.14770 | Z 0.31120 | TOTAL 0.79978 | error 12.24 % | MAD 0.35 % | CV 2.16 % | coh 90.7 % | dominant X | axis fraction 100.0 % | VALID</x:v>
      </x:c>
      <x:c r="C2626" t="str">
        <x:v>Pasted text(56).txt</x:v>
      </x:c>
    </x:row>
    <x:row r="2627">
      <x:c r="A2627" t="n">
        <x:v>2626</x:v>
      </x:c>
      <x:c r="B2627" s="106" t="str">
        <x:v>X bracket found: DAC 8.00 -&gt; 8.50. Interpolated X target DAC = 8.37</x:v>
      </x:c>
      <x:c r="C2627" t="str">
        <x:v>Pasted text(56).txt</x:v>
      </x:c>
    </x:row>
    <x:row r="2628">
      <x:c r="A2628" t="n">
        <x:v>2627</x:v>
      </x:c>
      <x:c r="B2628" s="106" t="str"/>
      <x:c r="C2628" t="str">
        <x:v>Pasted text(56).txt</x:v>
      </x:c>
    </x:row>
    <x:row r="2629">
      <x:c r="A2629" t="n">
        <x:v>2628</x:v>
      </x:c>
      <x:c r="B2629" s="106" t="str">
        <x:v>LOCAL 0.25-DAC X-AXIS FINE SCAN</x:v>
      </x:c>
      <x:c r="C2629" t="str">
        <x:v>Pasted text(56).txt</x:v>
      </x:c>
    </x:row>
    <x:row r="2630">
      <x:c r="A2630" t="n">
        <x:v>2629</x:v>
      </x:c>
      <x:c r="B2630" s="106" t="str">
        <x:v>Only a valid point actually inside the X target band may be selected.</x:v>
      </x:c>
      <x:c r="C2630" t="str">
        <x:v>Pasted text(56).txt</x:v>
      </x:c>
    </x:row>
    <x:row r="2631">
      <x:c r="A2631" t="n">
        <x:v>2630</x:v>
      </x:c>
      <x:c r="B2631" s="106" t="str">
        <x:v>FINE | point 1 | DAC 7.25 | CTRL X 0.58676 | X 0.58514 | Y 0.12198 | Z 0.25909 | TOTAL 0.65167 | error -9.73 % | MAD 0.47 % | CV 0.77 % | coh 88.2 % | dominant X | axis fraction 100.0 % | VALID</x:v>
      </x:c>
      <x:c r="C2631" t="str">
        <x:v>Pasted text(56).txt</x:v>
      </x:c>
    </x:row>
    <x:row r="2632">
      <x:c r="A2632" t="n">
        <x:v>2631</x:v>
      </x:c>
      <x:c r="B2632" s="106" t="str">
        <x:v>FINE | point 2 | DAC 7.50 | CTRL X 0.60462 | X 0.60239 | Y 0.12061 | Z 0.27346 | TOTAL 0.67272 | error -6.98 % | MAD 2.84 % | CV 2.50 % | coh 88.1 % | dominant X | axis fraction 100.0 % | IN TARGET BAND</x:v>
      </x:c>
      <x:c r="C2632" t="str">
        <x:v>Pasted text(56).txt</x:v>
      </x:c>
    </x:row>
    <x:row r="2633">
      <x:c r="A2633" t="n">
        <x:v>2632</x:v>
      </x:c>
      <x:c r="B2633" s="106" t="str">
        <x:v>FINE | point 3 | DAC 7.75 | CTRL X 0.63582 | X 0.63580 | Y 0.12479 | Z 0.29142 | TOTAL 0.71065 | error -2.18 % | MAD 2.18 % | CV 1.48 % | coh 88.9 % | dominant X | axis fraction 100.0 % | IN TARGET BAND</x:v>
      </x:c>
      <x:c r="C2633" t="str">
        <x:v>Pasted text(56).txt</x:v>
      </x:c>
    </x:row>
    <x:row r="2634">
      <x:c r="A2634" t="n">
        <x:v>2633</x:v>
      </x:c>
      <x:c r="B2634" s="106" t="str">
        <x:v>FINE | point 4 | DAC 8.00 | CTRL X 0.67014 | X 0.66683 | Y 0.13597 | Z 0.30496 | TOTAL 0.74587 | error 3.10 % | MAD 1.64 % | CV 1.91 % | coh 90.5 % | dominant X | axis fraction 100.0 % | IN TARGET BAND</x:v>
      </x:c>
      <x:c r="C2634" t="str">
        <x:v>Pasted text(56).txt</x:v>
      </x:c>
    </x:row>
    <x:row r="2635">
      <x:c r="A2635" t="n">
        <x:v>2634</x:v>
      </x:c>
      <x:c r="B2635" s="106" t="str">
        <x:v>FINE | point 5 | DAC 8.25 | CTRL X 0.67752 | X 0.67917 | Y 0.13619 | Z 0.33919 | TOTAL 0.77130 | error 4.23 % | MAD 0.84 % | CV 0.95 % | coh 90.1 % | dominant X | axis fraction 100.0 % | IN TARGET BAND</x:v>
      </x:c>
      <x:c r="C2635" t="str">
        <x:v>Pasted text(56).txt</x:v>
      </x:c>
    </x:row>
    <x:row r="2636">
      <x:c r="A2636" t="n">
        <x:v>2635</x:v>
      </x:c>
      <x:c r="B2636" s="106" t="str">
        <x:v>FINE | point 6 | DAC 8.50 | CTRL X 0.70242 | X 0.69848 | Y 0.13868 | Z 0.31707 | TOTAL 0.77968 | error 8.06 % | MAD 0.41 % | CV 1.23 % | coh 89.9 % | dominant X | axis fraction 100.0 % | VALID</x:v>
      </x:c>
      <x:c r="C2636" t="str">
        <x:v>Pasted text(56).txt</x:v>
      </x:c>
    </x:row>
    <x:row r="2637">
      <x:c r="A2637" t="n">
        <x:v>2636</x:v>
      </x:c>
      <x:c r="B2637" s="106" t="str">
        <x:v>FINE | point 7 | DAC 8.75 | CTRL X 0.74694 | X 0.74207 | Y 0.15526 | Z 0.34017 | TOTAL 0.83167 | error 14.91 % | MAD 1.85 % | CV 2.31 % | coh 91.4 % | dominant X | axis fraction 100.0 % | VALID</x:v>
      </x:c>
      <x:c r="C2637" t="str">
        <x:v>Pasted text(56).txt</x:v>
      </x:c>
    </x:row>
    <x:row r="2638">
      <x:c r="A2638" t="n">
        <x:v>2637</x:v>
      </x:c>
      <x:c r="B2638" s="106" t="str">
        <x:v>FINE | point 8 | DAC 9.00 | CTRL X 0.74148 | X 0.73978 | Y 0.14972 | Z 0.37553 | TOTAL 0.84322 | error 14.07 % | MAD 1.76 % | CV 1.55 % | coh 89.8 % | dominant X | axis fraction 100.0 % | VALID</x:v>
      </x:c>
      <x:c r="C2638" t="str">
        <x:v>Pasted text(56).txt</x:v>
      </x:c>
    </x:row>
    <x:row r="2639">
      <x:c r="A2639" t="n">
        <x:v>2638</x:v>
      </x:c>
      <x:c r="B2639" s="106" t="str">
        <x:v>FINE | point 9 | DAC 9.25 | CTRL X 0.77126 | X 0.77242 | Y 0.14973 | Z 0.32970 | TOTAL 0.85336 | error 18.66 % | MAD 0.59 % | CV 0.63 % | coh 90.6 % | dominant X | axis fraction 100.0 % | VALID</x:v>
      </x:c>
      <x:c r="C2639" t="str">
        <x:v>Pasted text(56).txt</x:v>
      </x:c>
    </x:row>
    <x:row r="2640">
      <x:c r="A2640" t="n">
        <x:v>2639</x:v>
      </x:c>
      <x:c r="B2640" s="106" t="str"/>
      <x:c r="C2640" t="str">
        <x:v>Pasted text(56).txt</x:v>
      </x:c>
    </x:row>
    <x:row r="2641">
      <x:c r="A2641" t="n">
        <x:v>2640</x:v>
      </x:c>
      <x:c r="B2641" s="106" t="str">
        <x:v>LONG VALIDATION AT FIXED DAC 8.25</x:v>
      </x:c>
      <x:c r="C2641" t="str">
        <x:v>Pasted text(56).txt</x:v>
      </x:c>
    </x:row>
    <x:row r="2642">
      <x:c r="A2642" t="n">
        <x:v>2641</x:v>
      </x:c>
      <x:c r="B2642" s="106" t="str">
        <x:v>FINAL | point 1 | DAC 8.25 | CTRL X 0.66188 | X 0.66245 | Y 0.14142 | Z 0.32076 | TOTAL 0.74964 | error 1.83 % | MAD 1.32 % | CV 1.74 % | coh 89.9 % | dominant X | axis fraction 100.0 % | IN TARGET BAND</x:v>
      </x:c>
      <x:c r="C2642" t="str">
        <x:v>Pasted text(56).txt</x:v>
      </x:c>
    </x:row>
    <x:row r="2643">
      <x:c r="A2643" t="n">
        <x:v>2642</x:v>
      </x:c>
      <x:c r="B2643" s="106" t="str">
        <x:v>FINAL | point 2 | DAC 8.25 | CTRL X 0.66954 | X 0.66335 | Y 0.13134 | Z 0.31707 | TOTAL 0.74738 | error 3.01 % | MAD 2.23 % | CV 2.66 % | coh 91.1 % | dominant X | axis fraction 100.0 % | IN TARGET BAND</x:v>
      </x:c>
      <x:c r="C2643" t="str">
        <x:v>Pasted text(56).txt</x:v>
      </x:c>
    </x:row>
    <x:row r="2644">
      <x:c r="A2644" t="n">
        <x:v>2643</x:v>
      </x:c>
      <x:c r="B2644" s="106" t="str">
        <x:v>VALIDATION ACCEPTED | pair drift 1.15 %</x:v>
      </x:c>
      <x:c r="C2644" t="str">
        <x:v>Pasted text(56).txt</x:v>
      </x:c>
    </x:row>
    <x:row r="2645">
      <x:c r="A2645" t="n">
        <x:v>2644</x:v>
      </x:c>
      <x:c r="B2645" s="106" t="str"/>
      <x:c r="C2645" t="str">
        <x:v>Pasted text(56).txt</x:v>
      </x:c>
    </x:row>
    <x:row r="2646">
      <x:c r="A2646" t="n">
        <x:v>2645</x:v>
      </x:c>
      <x:c r="B2646" s="106" t="str">
        <x:v>FINAL VALIDATED BLIND FFT VERIFICATION</x:v>
      </x:c>
      <x:c r="C2646" t="str">
        <x:v>Pasted text(56).txt</x:v>
      </x:c>
    </x:row>
    <x:row r="2647">
      <x:c r="A2647" t="n">
        <x:v>2646</x:v>
      </x:c>
      <x:c r="B2647" s="106" t="str">
        <x:v>Commanded frequency: 268.00000 Hz</x:v>
      </x:c>
      <x:c r="C2647" t="str">
        <x:v>Pasted text(56).txt</x:v>
      </x:c>
    </x:row>
    <x:row r="2648">
      <x:c r="A2648" t="n">
        <x:v>2647</x:v>
      </x:c>
      <x:c r="B2648" s="106" t="str">
        <x:v>Accepted DAC: 8.25</x:v>
      </x:c>
      <x:c r="C2648" t="str">
        <x:v>Pasted text(56).txt</x:v>
      </x:c>
    </x:row>
    <x:row r="2649">
      <x:c r="A2649" t="n">
        <x:v>2648</x:v>
      </x:c>
      <x:c r="B2649" s="106" t="str">
        <x:v>Axis,Frequency_Hz,Amplitude_mps2,SNR_dB,Status</x:v>
      </x:c>
      <x:c r="C2649" t="str">
        <x:v>Pasted text(56).txt</x:v>
      </x:c>
    </x:row>
    <x:row r="2650">
      <x:c r="A2650" t="n">
        <x:v>2649</x:v>
      </x:c>
      <x:c r="B2650" s="106" t="str">
        <x:v>X,268.03135,0.59875,30.71,VALID</x:v>
      </x:c>
      <x:c r="C2650" t="str">
        <x:v>Pasted text(56).txt</x:v>
      </x:c>
    </x:row>
    <x:row r="2651">
      <x:c r="A2651" t="n">
        <x:v>2650</x:v>
      </x:c>
      <x:c r="B2651" s="106" t="str">
        <x:v>Y,268.02190,0.12131,18.17,VALID</x:v>
      </x:c>
      <x:c r="C2651" t="str">
        <x:v>Pasted text(56).txt</x:v>
      </x:c>
    </x:row>
    <x:row r="2652">
      <x:c r="A2652" t="n">
        <x:v>2651</x:v>
      </x:c>
      <x:c r="B2652" s="106" t="str">
        <x:v>Z,268.04403,0.29653,24.78,VALID</x:v>
      </x:c>
      <x:c r="C2652" t="str">
        <x:v>Pasted text(56).txt</x:v>
      </x:c>
    </x:row>
    <x:row r="2653">
      <x:c r="A2653" t="n">
        <x:v>2652</x:v>
      </x:c>
      <x:c r="B2653" s="106" t="str">
        <x:v>Combined frequency: 268.03348 Hz | difference 0.03348 Hz</x:v>
      </x:c>
      <x:c r="C2653" t="str">
        <x:v>Pasted text(56).txt</x:v>
      </x:c>
    </x:row>
    <x:row r="2654">
      <x:c r="A2654" t="n">
        <x:v>2653</x:v>
      </x:c>
      <x:c r="B2654" s="106" t="str">
        <x:v>Combined X/Y/Z/TOTAL: 0.54757 / 0.11069 / 0.27187 / 0.62129</x:v>
      </x:c>
      <x:c r="C2654" t="str">
        <x:v>Pasted text(56).txt</x:v>
      </x:c>
    </x:row>
    <x:row r="2655">
      <x:c r="A2655" t="n">
        <x:v>2654</x:v>
      </x:c>
      <x:c r="B2655" s="106" t="str">
        <x:v>SNR: 27.49 dB | dominant axis X</x:v>
      </x:c>
      <x:c r="C2655" t="str">
        <x:v>Pasted text(56).txt</x:v>
      </x:c>
    </x:row>
    <x:row r="2656">
      <x:c r="A2656" t="n">
        <x:v>2655</x:v>
      </x:c>
      <x:c r="B2656" s="106" t="str">
        <x:v>Frequency verification: PASS</x:v>
      </x:c>
      <x:c r="C2656" t="str">
        <x:v>Pasted text(56).txt</x:v>
      </x:c>
    </x:row>
    <x:row r="2657">
      <x:c r="A2657" t="n">
        <x:v>2656</x:v>
      </x:c>
      <x:c r="B2657" s="106" t="str">
        <x:v>Y/Z dominance: DIAGNOSTIC ONLY — ignored for pass/fail</x:v>
      </x:c>
      <x:c r="C2657" t="str">
        <x:v>Pasted text(56).txt</x:v>
      </x:c>
    </x:row>
    <x:row r="2658">
      <x:c r="A2658" t="n">
        <x:v>2657</x:v>
      </x:c>
      <x:c r="B2658" s="106" t="str"/>
      <x:c r="C2658" t="str">
        <x:v>Pasted text(56).txt</x:v>
      </x:c>
    </x:row>
    <x:row r="2659">
      <x:c r="A2659" t="n">
        <x:v>2658</x:v>
      </x:c>
      <x:c r="B2659" s="106" t="str">
        <x:v>FIXED-DAC HOLD VALIDATION</x:v>
      </x:c>
      <x:c r="C2659" t="str">
        <x:v>Pasted text(56).txt</x:v>
      </x:c>
    </x:row>
    <x:row r="2660">
      <x:c r="A2660" t="n">
        <x:v>2659</x:v>
      </x:c>
      <x:c r="B2660" s="106" t="str">
        <x:v>DAC remains fixed at 8.25 for 10 records.</x:v>
      </x:c>
      <x:c r="C2660" t="str">
        <x:v>Pasted text(56).txt</x:v>
      </x:c>
    </x:row>
    <x:row r="2661">
      <x:c r="A2661" t="n">
        <x:v>2660</x:v>
      </x:c>
      <x:c r="B2661" s="106" t="str">
        <x:v>HOLD | point 1 | DAC 8.25 | CTRL X 0.64795 | X 0.64962 | Y 0.13401 | Z 0.32128 | TOTAL 0.73742 | error -0.32 % | MAD 0.06 % | CV 0.48 % | coh 89.0 % | dominant X | axis fraction 100.0 % | IN TARGET BAND</x:v>
      </x:c>
      <x:c r="C2661" t="str">
        <x:v>Pasted text(56).txt</x:v>
      </x:c>
    </x:row>
    <x:row r="2662">
      <x:c r="A2662" t="n">
        <x:v>2661</x:v>
      </x:c>
      <x:c r="B2662" s="106" t="str">
        <x:v>HOLD | point 2 | DAC 8.25 | CTRL X 0.64580 | X 0.64741 | Y 0.13861 | Z 0.33774 | TOTAL 0.74335 | error -0.65 % | MAD 2.15 % | CV 1.83 % | coh 90.4 % | dominant X | axis fraction 100.0 % | IN TARGET BAND</x:v>
      </x:c>
      <x:c r="C2662" t="str">
        <x:v>Pasted text(56).txt</x:v>
      </x:c>
    </x:row>
    <x:row r="2663">
      <x:c r="A2663" t="n">
        <x:v>2662</x:v>
      </x:c>
      <x:c r="B2663" s="106" t="str">
        <x:v>HOLD | point 3 | DAC 8.25 | CTRL X 0.65800 | X 0.65877 | Y 0.14221 | Z 0.31381 | TOTAL 0.74356 | error 1.23 % | MAD 0.34 % | CV 0.42 % | coh 90.4 % | dominant X | axis fraction 100.0 % | IN TARGET BAND</x:v>
      </x:c>
      <x:c r="C2663" t="str">
        <x:v>Pasted text(56).txt</x:v>
      </x:c>
    </x:row>
    <x:row r="2664">
      <x:c r="A2664" t="n">
        <x:v>2663</x:v>
      </x:c>
      <x:c r="B2664" s="106" t="str">
        <x:v>HOLD | point 4 | DAC 8.25 | CTRL X 0.65475 | X 0.65537 | Y 0.12088 | Z 0.33024 | TOTAL 0.74411 | error 0.73 % | MAD 0.06 % | CV 0.20 % | coh 90.6 % | dominant X | axis fraction 100.0 % | IN TARGET BAND</x:v>
      </x:c>
      <x:c r="C2664" t="str">
        <x:v>Pasted text(56).txt</x:v>
      </x:c>
    </x:row>
    <x:row r="2665">
      <x:c r="A2665" t="n">
        <x:v>2664</x:v>
      </x:c>
      <x:c r="B2665" s="106" t="str">
        <x:v>HOLD | point 5 | DAC 8.25 | CTRL X 0.64614 | X 0.65062 | Y 0.14980 | Z 0.34154 | TOTAL 0.75096 | error -0.59 % | MAD 0.80 % | CV 1.68 % | coh 90.0 % | dominant X | axis fraction 100.0 % | IN TARGET BAND</x:v>
      </x:c>
      <x:c r="C2665" t="str">
        <x:v>Pasted text(56).txt</x:v>
      </x:c>
    </x:row>
    <x:row r="2666">
      <x:c r="A2666" t="n">
        <x:v>2665</x:v>
      </x:c>
      <x:c r="B2666" s="106" t="str">
        <x:v>HOLD | point 6 | DAC 8.25 | CTRL X 0.65019 | X 0.65437 | Y 0.14477 | Z 0.34880 | TOTAL 0.75575 | error 0.03 % | MAD 0.58 % | CV 1.45 % | coh 90.4 % | dominant X | axis fraction 100.0 % | IN TARGET BAND</x:v>
      </x:c>
      <x:c r="C2666" t="str">
        <x:v>Pasted text(56).txt</x:v>
      </x:c>
    </x:row>
    <x:row r="2667">
      <x:c r="A2667" t="n">
        <x:v>2666</x:v>
      </x:c>
      <x:c r="B2667" s="106" t="str">
        <x:v>HOLD | point 7 | DAC 8.25 | CTRL X 0.65117 | X 0.65433 | Y 0.12751 | Z 0.33264 | TOTAL 0.74523 | error 0.18 % | MAD 0.78 % | CV 1.31 % | coh 88.9 % | dominant X | axis fraction 100.0 % | IN TARGET BAND</x:v>
      </x:c>
      <x:c r="C2667" t="str">
        <x:v>Pasted text(56).txt</x:v>
      </x:c>
    </x:row>
    <x:row r="2668">
      <x:c r="A2668" t="n">
        <x:v>2667</x:v>
      </x:c>
      <x:c r="B2668" s="106" t="str">
        <x:v>HOLD | point 8 | DAC 8.25 | CTRL X 0.64928 | X 0.65227 | Y 0.14857 | Z 0.32758 | TOTAL 0.74493 | error -0.11 % | MAD 3.16 % | CV 2.84 % | coh 90.5 % | dominant X | axis fraction 100.0 % | IN TARGET BAND</x:v>
      </x:c>
      <x:c r="C2668" t="str">
        <x:v>Pasted text(56).txt</x:v>
      </x:c>
    </x:row>
    <x:row r="2669">
      <x:c r="A2669" t="n">
        <x:v>2668</x:v>
      </x:c>
      <x:c r="B2669" s="106" t="str">
        <x:v>HOLD | point 9 | DAC 8.25 | CTRL X 0.65906 | X 0.66091 | Y 0.14797 | Z 0.31746 | TOTAL 0.74822 | error 1.39 % | MAD 3.06 % | CV 2.49 % | coh 91.0 % | dominant X | axis fraction 100.0 % | IN TARGET BAND</x:v>
      </x:c>
      <x:c r="C2669" t="str">
        <x:v>Pasted text(56).txt</x:v>
      </x:c>
    </x:row>
    <x:row r="2670">
      <x:c r="A2670" t="n">
        <x:v>2669</x:v>
      </x:c>
      <x:c r="B2670" s="106" t="str">
        <x:v>HOLD | point 10 | DAC 8.25 | CTRL X 0.65486 | X 0.65566 | Y 0.14951 | Z 0.32920 | TOTAL 0.74875 | error 0.75 % | MAD 2.53 % | CV 1.89 % | coh 90.1 % | dominant X | axis fraction 100.0 % | IN TARGET BAND</x:v>
      </x:c>
      <x:c r="C2670" t="str">
        <x:v>Pasted text(56).txt</x:v>
      </x:c>
    </x:row>
    <x:row r="2671">
      <x:c r="A2671" t="n">
        <x:v>2670</x:v>
      </x:c>
      <x:c r="B2671" s="106" t="str"/>
      <x:c r="C2671" t="str">
        <x:v>Pasted text(56).txt</x:v>
      </x:c>
    </x:row>
    <x:row r="2672">
      <x:c r="A2672" t="n">
        <x:v>2671</x:v>
      </x:c>
      <x:c r="B2672" s="106" t="str">
        <x:v>HOLD SUMMARY</x:v>
      </x:c>
      <x:c r="C2672" t="str">
        <x:v>Pasted text(56).txt</x:v>
      </x:c>
    </x:row>
    <x:row r="2673">
      <x:c r="A2673" t="n">
        <x:v>2672</x:v>
      </x:c>
      <x:c r="B2673" s="106" t="str">
        <x:v>Valid / requested: 10 / 10</x:v>
      </x:c>
      <x:c r="C2673" t="str">
        <x:v>Pasted text(56).txt</x:v>
      </x:c>
    </x:row>
    <x:row r="2674">
      <x:c r="A2674" t="n">
        <x:v>2673</x:v>
      </x:c>
      <x:c r="B2674" s="106" t="str">
        <x:v>In band / requested: 10 / 10 = 100.0 %</x:v>
      </x:c>
      <x:c r="C2674" t="str">
        <x:v>Pasted text(56).txt</x:v>
      </x:c>
    </x:row>
    <x:row r="2675">
      <x:c r="A2675" t="n">
        <x:v>2674</x:v>
      </x:c>
      <x:c r="B2675" s="106" t="str">
        <x:v>Mean / SD / CV: 0.65172 / 0.00473 / 0.73 %</x:v>
      </x:c>
      <x:c r="C2675" t="str">
        <x:v>Pasted text(56).txt</x:v>
      </x:c>
    </x:row>
    <x:row r="2676">
      <x:c r="A2676" t="n">
        <x:v>2675</x:v>
      </x:c>
      <x:c r="B2676" s="106" t="str">
        <x:v>Min / Max: 0.64580 / 0.65906</x:v>
      </x:c>
      <x:c r="C2676" t="str">
        <x:v>Pasted text(56).txt</x:v>
      </x:c>
    </x:row>
    <x:row r="2677">
      <x:c r="A2677" t="n">
        <x:v>2676</x:v>
      </x:c>
      <x:c r="B2677" s="106" t="str">
        <x:v>HOLD RESULT: PASS</x:v>
      </x:c>
      <x:c r="C2677" t="str">
        <x:v>Pasted text(56).txt</x:v>
      </x:c>
    </x:row>
    <x:row r="2678">
      <x:c r="A2678" t="n">
        <x:v>2677</x:v>
      </x:c>
      <x:c r="B2678" s="106" t="str"/>
      <x:c r="C2678" t="str">
        <x:v>Pasted text(56).txt</x:v>
      </x:c>
    </x:row>
    <x:row r="2679">
      <x:c r="A2679" t="n">
        <x:v>2678</x:v>
      </x:c>
      <x:c r="B2679" s="106" t="str">
        <x:v>RUN RESULT: PASS</x:v>
      </x:c>
      <x:c r="C2679" t="str">
        <x:v>Pasted text(56).txt</x:v>
      </x:c>
    </x:row>
    <x:row r="2680">
      <x:c r="A2680" t="n">
        <x:v>2679</x:v>
      </x:c>
      <x:c r="B2680" s="106" t="str">
        <x:v>Selected DAC: 8.25</x:v>
      </x:c>
      <x:c r="C2680" t="str">
        <x:v>Pasted text(56).txt</x:v>
      </x:c>
    </x:row>
    <x:row r="2681">
      <x:c r="A2681" t="n">
        <x:v>2680</x:v>
      </x:c>
      <x:c r="B2681" s="106" t="str">
        <x:v>Validated amplitude: 0.66571 m/s^2 | error 2.42 %</x:v>
      </x:c>
      <x:c r="C2681" t="str">
        <x:v>Pasted text(56).txt</x:v>
      </x:c>
    </x:row>
    <x:row r="2682">
      <x:c r="A2682" t="n">
        <x:v>2681</x:v>
      </x:c>
      <x:c r="B2682" s="106" t="str">
        <x:v>FFT frequency: 268.03348 Hz | difference 0.03348 Hz</x:v>
      </x:c>
      <x:c r="C2682" t="str">
        <x:v>Pasted text(56).txt</x:v>
      </x:c>
    </x:row>
    <x:row r="2683">
      <x:c r="A2683" t="n">
        <x:v>2682</x:v>
      </x:c>
      <x:c r="B2683" s="106" t="str"/>
      <x:c r="C2683" t="str">
        <x:v>Pasted text(56).txt</x:v>
      </x:c>
    </x:row>
    <x:row r="2684">
      <x:c r="A2684" t="n">
        <x:v>2683</x:v>
      </x:c>
      <x:c r="B2684" s="106" t="str">
        <x:v>VISATON OFF. RESTING 5.0 s BEFORE THE NEXT COMPLETELY FRESH RUN.</x:v>
      </x:c>
      <x:c r="C2684" t="str">
        <x:v>Pasted text(56).txt</x:v>
      </x:c>
    </x:row>
    <x:row r="2685">
      <x:c r="A2685" t="n">
        <x:v>2684</x:v>
      </x:c>
      <x:c r="B2685" s="106" t="str"/>
      <x:c r="C2685" t="str">
        <x:v>Pasted text(56).txt</x:v>
      </x:c>
    </x:row>
    <x:row r="2686">
      <x:c r="A2686" t="n">
        <x:v>2685</x:v>
      </x:c>
      <x:c r="B2686" s="106" t="str">
        <x:v>################################################################################</x:v>
      </x:c>
      <x:c r="C2686" t="str">
        <x:v>Pasted text(56).txt</x:v>
      </x:c>
    </x:row>
    <x:row r="2687">
      <x:c r="A2687" t="n">
        <x:v>2686</x:v>
      </x:c>
      <x:c r="B2687" s="106" t="str">
        <x:v>INDEPENDENT TARGET-AMPLITUDE RUN 2 OF 5</x:v>
      </x:c>
      <x:c r="C2687" t="str">
        <x:v>Pasted text(56).txt</x:v>
      </x:c>
    </x:row>
    <x:row r="2688">
      <x:c r="A2688" t="n">
        <x:v>2687</x:v>
      </x:c>
      <x:c r="B2688" s="106" t="str">
        <x:v>################################################################################</x:v>
      </x:c>
      <x:c r="C2688" t="str">
        <x:v>Pasted text(56).txt</x:v>
      </x:c>
    </x:row>
    <x:row r="2689">
      <x:c r="A2689" t="n">
        <x:v>2688</x:v>
      </x:c>
      <x:c r="B2689" s="106" t="str">
        <x:v>Frequency: 268.00000 Hz</x:v>
      </x:c>
      <x:c r="C2689" t="str">
        <x:v>Pasted text(56).txt</x:v>
      </x:c>
    </x:row>
    <x:row r="2690">
      <x:c r="A2690" t="n">
        <x:v>2689</x:v>
      </x:c>
      <x:c r="B2690" s="106" t="str">
        <x:v>Target X amplitude: 0.65000 m/s^2 peak, tolerance +/-7.50 %</x:v>
      </x:c>
      <x:c r="C2690" t="str">
        <x:v>Pasted text(56).txt</x:v>
      </x:c>
    </x:row>
    <x:row r="2691">
      <x:c r="A2691" t="n">
        <x:v>2690</x:v>
      </x:c>
      <x:c r="B2691" s="106" t="str">
        <x:v>This run starts from DAC 1.00 and ignores every earlier selected DAC.</x:v>
      </x:c>
      <x:c r="C2691" t="str">
        <x:v>Pasted text(56).txt</x:v>
      </x:c>
    </x:row>
    <x:row r="2692">
      <x:c r="A2692" t="n">
        <x:v>2691</x:v>
      </x:c>
      <x:c r="B2692" s="106" t="str">
        <x:v>ADXL2 DEVID/DATA_FORMAT/BW_RATE/POWER_CTL: 0xE5 / 0xB / 0xE / 0x8</x:v>
      </x:c>
      <x:c r="C2692" t="str">
        <x:v>Pasted text(56).txt</x:v>
      </x:c>
    </x:row>
    <x:row r="2693">
      <x:c r="A2693" t="n">
        <x:v>2692</x:v>
      </x:c>
      <x:c r="B2693" s="106" t="str"/>
      <x:c r="C2693" t="str">
        <x:v>Pasted text(56).txt</x:v>
      </x:c>
    </x:row>
    <x:row r="2694">
      <x:c r="A2694" t="n">
        <x:v>2693</x:v>
      </x:c>
      <x:c r="B2694" s="106" t="str">
        <x:v>ACQUISITION ATTEMPT 1 OF 2</x:v>
      </x:c>
      <x:c r="C2694" t="str">
        <x:v>Pasted text(56).txt</x:v>
      </x:c>
    </x:row>
    <x:row r="2695">
      <x:c r="A2695" t="n">
        <x:v>2694</x:v>
      </x:c>
      <x:c r="B2695" s="106" t="str"/>
      <x:c r="C2695" t="str">
        <x:v>Pasted text(56).txt</x:v>
      </x:c>
    </x:row>
    <x:row r="2696">
      <x:c r="A2696" t="n">
        <x:v>2695</x:v>
      </x:c>
      <x:c r="B2696" s="106" t="str">
        <x:v>FRESH X-AXIS SEARCH FROM DAC 1.00 — OLD DAC VALUES ARE NOT USED</x:v>
      </x:c>
      <x:c r="C2696" t="str">
        <x:v>Pasted text(56).txt</x:v>
      </x:c>
    </x:row>
    <x:row r="2697">
      <x:c r="A2697" t="n">
        <x:v>2696</x:v>
      </x:c>
      <x:c r="B2697" s="106" t="str">
        <x:v>Y/Z are diagnostic only and cannot abort this search.</x:v>
      </x:c>
      <x:c r="C2697" t="str">
        <x:v>Pasted text(56).txt</x:v>
      </x:c>
    </x:row>
    <x:row r="2698">
      <x:c r="A2698" t="n">
        <x:v>2697</x:v>
      </x:c>
      <x:c r="B2698" s="106" t="str">
        <x:v>A real SPI fault, clipping, safety limit or confirmed X-response collapse will stop it.</x:v>
      </x:c>
      <x:c r="C2698" t="str">
        <x:v>Pasted text(56).txt</x:v>
      </x:c>
    </x:row>
    <x:row r="2699">
      <x:c r="A2699" t="n">
        <x:v>2698</x:v>
      </x:c>
      <x:c r="B2699" s="106" t="str">
        <x:v>SEARCH | point 1 | DAC 1.00 | CTRL X 0.01904 | X 0.02101 | Y 0.01610 | Z 0.02298 | TOTAL 0.03607 | error -97.07 % | MAD 58.74 % | CV 50.63 % | coh 12.1 % | dominant Z | axis fraction 91.4 % | BELOW MEASUREMENT FLOOR — SEARCH CONTINUES</x:v>
      </x:c>
      <x:c r="C2699" t="str">
        <x:v>Pasted text(56).txt</x:v>
      </x:c>
    </x:row>
    <x:row r="2700">
      <x:c r="A2700" t="n">
        <x:v>2699</x:v>
      </x:c>
      <x:c r="B2700" s="106" t="str">
        <x:v>SEARCH | point 2 | DAC 3.00 | CTRL X 0.13488 | X 0.13812 | Y 0.04357 | Z 0.07053 | TOTAL 0.16320 | error -79.25 % | MAD 0.97 % | CV 4.63 % | coh 60.0 % | dominant X | axis fraction 100.0 % | VALID</x:v>
      </x:c>
      <x:c r="C2700" t="str">
        <x:v>Pasted text(56).txt</x:v>
      </x:c>
    </x:row>
    <x:row r="2701">
      <x:c r="A2701" t="n">
        <x:v>2700</x:v>
      </x:c>
      <x:c r="B2701" s="106" t="str">
        <x:v>SEARCH | point 3 | DAC 5.00 | CTRL X 0.33412 | X 0.32278 | Y 0.07893 | Z 0.18132 | TOTAL 0.37972 | error -48.60 % | MAD 2.96 % | CV 7.95 % | coh 77.1 % | dominant X | axis fraction 100.0 % | VALID</x:v>
      </x:c>
      <x:c r="C2701" t="str">
        <x:v>Pasted text(56).txt</x:v>
      </x:c>
    </x:row>
    <x:row r="2702">
      <x:c r="A2702" t="n">
        <x:v>2701</x:v>
      </x:c>
      <x:c r="B2702" s="106" t="str">
        <x:v>SEARCH | point 4 | DAC 6.00 | CTRL X 0.42787 | X 0.42514 | Y 0.11501 | Z 0.23738 | TOTAL 0.50034 | error -34.17 % | MAD 0.13 % | CV 1.19 % | coh 86.3 % | dominant X | axis fraction 100.0 % | VALID</x:v>
      </x:c>
      <x:c r="C2702" t="str">
        <x:v>Pasted text(56).txt</x:v>
      </x:c>
    </x:row>
    <x:row r="2703">
      <x:c r="A2703" t="n">
        <x:v>2702</x:v>
      </x:c>
      <x:c r="B2703" s="106" t="str">
        <x:v>SEARCH | point 5 | DAC 6.50 | CTRL X 0.43465 | X 0.43795 | Y 0.09502 | Z 0.25877 | TOTAL 0.51851 | error -33.13 % | MAD 5.12 % | CV 4.61 % | coh 84.2 % | dominant X | axis fraction 100.0 % | VALID</x:v>
      </x:c>
      <x:c r="C2703" t="str">
        <x:v>Pasted text(56).txt</x:v>
      </x:c>
    </x:row>
    <x:row r="2704">
      <x:c r="A2704" t="n">
        <x:v>2703</x:v>
      </x:c>
      <x:c r="B2704" s="106" t="str">
        <x:v>SEARCH | point 6 | DAC 7.00 | CTRL X 0.51996 | X 0.52971 | Y 0.11873 | Z 0.28215 | TOTAL 0.61253 | error -20.01 % | MAD 2.47 % | CV 4.67 % | coh 89.3 % | dominant X | axis fraction 100.0 % | VALID</x:v>
      </x:c>
      <x:c r="C2704" t="str">
        <x:v>Pasted text(56).txt</x:v>
      </x:c>
    </x:row>
    <x:row r="2705">
      <x:c r="A2705" t="n">
        <x:v>2704</x:v>
      </x:c>
      <x:c r="B2705" s="106" t="str">
        <x:v>SEARCH | point 7 | DAC 7.50 | CTRL X 0.56816 | X 0.56174 | Y 0.13948 | Z 0.30957 | TOTAL 0.65662 | error -12.59 % | MAD 1.03 % | CV 2.62 % | coh 88.7 % | dominant X | axis fraction 100.0 % | VALID</x:v>
      </x:c>
      <x:c r="C2705" t="str">
        <x:v>Pasted text(56).txt</x:v>
      </x:c>
    </x:row>
    <x:row r="2706">
      <x:c r="A2706" t="n">
        <x:v>2705</x:v>
      </x:c>
      <x:c r="B2706" s="106" t="str">
        <x:v>SEARCH | point 8 | DAC 7.75 | CTRL X 0.60222 | X 0.60653 | Y 0.12929 | Z 0.31622 | TOTAL 0.69626 | error -7.35 % | MAD 0.59 % | CV 1.58 % | coh 88.9 % | dominant X | axis fraction 100.0 % | IN TARGET BAND</x:v>
      </x:c>
      <x:c r="C2706" t="str">
        <x:v>Pasted text(56).txt</x:v>
      </x:c>
    </x:row>
    <x:row r="2707">
      <x:c r="A2707" t="n">
        <x:v>2706</x:v>
      </x:c>
      <x:c r="B2707" s="106" t="str"/>
      <x:c r="C2707" t="str">
        <x:v>Pasted text(56).txt</x:v>
      </x:c>
    </x:row>
    <x:row r="2708">
      <x:c r="A2708" t="n">
        <x:v>2707</x:v>
      </x:c>
      <x:c r="B2708" s="106" t="str">
        <x:v>LOCAL 0.25-DAC X-AXIS FINE SCAN</x:v>
      </x:c>
      <x:c r="C2708" t="str">
        <x:v>Pasted text(56).txt</x:v>
      </x:c>
    </x:row>
    <x:row r="2709">
      <x:c r="A2709" t="n">
        <x:v>2708</x:v>
      </x:c>
      <x:c r="B2709" s="106" t="str">
        <x:v>Only a valid point actually inside the X target band may be selected.</x:v>
      </x:c>
      <x:c r="C2709" t="str">
        <x:v>Pasted text(56).txt</x:v>
      </x:c>
    </x:row>
    <x:row r="2710">
      <x:c r="A2710" t="n">
        <x:v>2709</x:v>
      </x:c>
      <x:c r="B2710" s="106" t="str">
        <x:v>FINE | point 1 | DAC 6.75 | CTRL X 0.51076 | X 0.51017 | Y 0.10748 | Z 0.27156 | TOTAL 0.58845 | error -21.42 % | MAD 6.05 % | CV 4.26 % | coh 88.4 % | dominant X | axis fraction 100.0 % | VALID</x:v>
      </x:c>
      <x:c r="C2710" t="str">
        <x:v>Pasted text(56).txt</x:v>
      </x:c>
    </x:row>
    <x:row r="2711">
      <x:c r="A2711" t="n">
        <x:v>2710</x:v>
      </x:c>
      <x:c r="B2711" s="106" t="str">
        <x:v>FINE | point 2 | DAC 7.00 | CTRL X 0.53564 | X 0.53525 | Y 0.13410 | Z 0.29237 | TOTAL 0.62470 | error -17.59 % | MAD 3.27 % | CV 2.32 % | coh 89.0 % | dominant X | axis fraction 100.0 % | VALID</x:v>
      </x:c>
      <x:c r="C2711" t="str">
        <x:v>Pasted text(56).txt</x:v>
      </x:c>
    </x:row>
    <x:row r="2712">
      <x:c r="A2712" t="n">
        <x:v>2711</x:v>
      </x:c>
      <x:c r="B2712" s="106" t="str">
        <x:v>FINE | point 3 | DAC 7.25 | CTRL X 0.52589 | X 0.52621 | Y 0.12565 | Z 0.28575 | TOTAL 0.61187 | error -19.09 % | MAD 3.85 % | CV 2.69 % | coh 87.3 % | dominant X | axis fraction 100.0 % | VALID</x:v>
      </x:c>
      <x:c r="C2712" t="str">
        <x:v>Pasted text(56).txt</x:v>
      </x:c>
    </x:row>
    <x:row r="2713">
      <x:c r="A2713" t="n">
        <x:v>2712</x:v>
      </x:c>
      <x:c r="B2713" s="106" t="str">
        <x:v>FINE | point 4 | DAC 7.50 | CTRL X 0.55203 | X 0.56116 | Y 0.12457 | Z 0.31408 | TOTAL 0.65518 | error -15.07 % | MAD 0.51 % | CV 3.12 % | coh 88.1 % | dominant X | axis fraction 100.0 % | VALID</x:v>
      </x:c>
      <x:c r="C2713" t="str">
        <x:v>Pasted text(56).txt</x:v>
      </x:c>
    </x:row>
    <x:row r="2714">
      <x:c r="A2714" t="n">
        <x:v>2713</x:v>
      </x:c>
      <x:c r="B2714" s="106" t="str">
        <x:v>FINE | point 5 | DAC 7.75 | CTRL X 0.59889 | X 0.60637 | Y 0.14709 | Z 0.30294 | TOTAL 0.69421 | error -7.86 % | MAD 4.49 % | CV 4.96 % | coh 89.3 % | dominant X | axis fraction 100.0 % | VALID</x:v>
      </x:c>
      <x:c r="C2714" t="str">
        <x:v>Pasted text(56).txt</x:v>
      </x:c>
    </x:row>
    <x:row r="2715">
      <x:c r="A2715" t="n">
        <x:v>2714</x:v>
      </x:c>
      <x:c r="B2715" s="106" t="str">
        <x:v>FINE | point 6 | DAC 8.00 | CTRL X 0.63529 | X 0.63007 | Y 0.14684 | Z 0.32005 | TOTAL 0.72197 | error -2.26 % | MAD 1.80 % | CV 2.57 % | coh 90.3 % | dominant X | axis fraction 100.0 % | IN TARGET BAND</x:v>
      </x:c>
      <x:c r="C2715" t="str">
        <x:v>Pasted text(56).txt</x:v>
      </x:c>
    </x:row>
    <x:row r="2716">
      <x:c r="A2716" t="n">
        <x:v>2715</x:v>
      </x:c>
      <x:c r="B2716" s="106" t="str">
        <x:v>FINE | point 7 | DAC 8.25 | CTRL X 0.65205 | X 0.65138 | Y 0.15632 | Z 0.34913 | TOTAL 0.75611 | error 0.32 % | MAD 1.52 % | CV 1.18 % | coh 89.9 % | dominant X | axis fraction 100.0 % | IN TARGET BAND</x:v>
      </x:c>
      <x:c r="C2716" t="str">
        <x:v>Pasted text(56).txt</x:v>
      </x:c>
    </x:row>
    <x:row r="2717">
      <x:c r="A2717" t="n">
        <x:v>2716</x:v>
      </x:c>
      <x:c r="B2717" s="106" t="str">
        <x:v>FINE | point 8 | DAC 8.50 | CTRL X 0.67236 | X 0.67610 | Y 0.16443 | Z 0.33336 | TOTAL 0.77183 | error 3.44 % | MAD 0.62 % | CV 1.34 % | coh 91.2 % | dominant X | axis fraction 100.0 % | IN TARGET BAND</x:v>
      </x:c>
      <x:c r="C2717" t="str">
        <x:v>Pasted text(56).txt</x:v>
      </x:c>
    </x:row>
    <x:row r="2718">
      <x:c r="A2718" t="n">
        <x:v>2717</x:v>
      </x:c>
      <x:c r="B2718" s="106" t="str">
        <x:v>FINE | point 9 | DAC 8.75 | CTRL X 0.69686 | X 0.69392 | Y 0.15707 | Z 0.35085 | TOTAL 0.79334 | error 7.21 % | MAD 3.56 % | CV 3.07 % | coh 90.8 % | dominant X | axis fraction 100.0 % | IN TARGET BAND</x:v>
      </x:c>
      <x:c r="C2718" t="str">
        <x:v>Pasted text(56).txt</x:v>
      </x:c>
    </x:row>
    <x:row r="2719">
      <x:c r="A2719" t="n">
        <x:v>2718</x:v>
      </x:c>
      <x:c r="B2719" s="106" t="str"/>
      <x:c r="C2719" t="str">
        <x:v>Pasted text(56).txt</x:v>
      </x:c>
    </x:row>
    <x:row r="2720">
      <x:c r="A2720" t="n">
        <x:v>2719</x:v>
      </x:c>
      <x:c r="B2720" s="106" t="str">
        <x:v>LONG VALIDATION AT FIXED DAC 8.25</x:v>
      </x:c>
      <x:c r="C2720" t="str">
        <x:v>Pasted text(56).txt</x:v>
      </x:c>
    </x:row>
    <x:row r="2721">
      <x:c r="A2721" t="n">
        <x:v>2720</x:v>
      </x:c>
      <x:c r="B2721" s="106" t="str">
        <x:v>FINAL | point 1 | DAC 8.25 | CTRL X 0.65578 | X 0.65513 | Y 0.15065 | Z 0.34229 | TOTAL 0.75442 | error 0.89 % | MAD 1.09 % | CV 2.08 % | coh 91.2 % | dominant X | axis fraction 100.0 % | IN TARGET BAND</x:v>
      </x:c>
      <x:c r="C2721" t="str">
        <x:v>Pasted text(56).txt</x:v>
      </x:c>
    </x:row>
    <x:row r="2722">
      <x:c r="A2722" t="n">
        <x:v>2721</x:v>
      </x:c>
      <x:c r="B2722" s="106" t="str">
        <x:v>FINAL | point 2 | DAC 8.25 | CTRL X 0.64549 | X 0.64508 | Y 0.13885 | Z 0.33080 | TOTAL 0.73832 | error -0.69 % | MAD 0.91 % | CV 1.16 % | coh 90.5 % | dominant X | axis fraction 100.0 % | IN TARGET BAND</x:v>
      </x:c>
      <x:c r="C2722" t="str">
        <x:v>Pasted text(56).txt</x:v>
      </x:c>
    </x:row>
    <x:row r="2723">
      <x:c r="A2723" t="n">
        <x:v>2722</x:v>
      </x:c>
      <x:c r="B2723" s="106" t="str">
        <x:v>VALIDATION ACCEPTED | pair drift 1.58 %</x:v>
      </x:c>
      <x:c r="C2723" t="str">
        <x:v>Pasted text(56).txt</x:v>
      </x:c>
    </x:row>
    <x:row r="2724">
      <x:c r="A2724" t="n">
        <x:v>2723</x:v>
      </x:c>
      <x:c r="B2724" s="106" t="str"/>
      <x:c r="C2724" t="str">
        <x:v>Pasted text(56).txt</x:v>
      </x:c>
    </x:row>
    <x:row r="2725">
      <x:c r="A2725" t="n">
        <x:v>2724</x:v>
      </x:c>
      <x:c r="B2725" s="106" t="str">
        <x:v>FINAL VALIDATED BLIND FFT VERIFICATION</x:v>
      </x:c>
      <x:c r="C2725" t="str">
        <x:v>Pasted text(56).txt</x:v>
      </x:c>
    </x:row>
    <x:row r="2726">
      <x:c r="A2726" t="n">
        <x:v>2725</x:v>
      </x:c>
      <x:c r="B2726" s="106" t="str">
        <x:v>Commanded frequency: 268.00000 Hz</x:v>
      </x:c>
      <x:c r="C2726" t="str">
        <x:v>Pasted text(56).txt</x:v>
      </x:c>
    </x:row>
    <x:row r="2727">
      <x:c r="A2727" t="n">
        <x:v>2726</x:v>
      </x:c>
      <x:c r="B2727" s="106" t="str">
        <x:v>Accepted DAC: 8.25</x:v>
      </x:c>
      <x:c r="C2727" t="str">
        <x:v>Pasted text(56).txt</x:v>
      </x:c>
    </x:row>
    <x:row r="2728">
      <x:c r="A2728" t="n">
        <x:v>2727</x:v>
      </x:c>
      <x:c r="B2728" s="106" t="str">
        <x:v>Axis,Frequency_Hz,Amplitude_mps2,SNR_dB,Status</x:v>
      </x:c>
      <x:c r="C2728" t="str">
        <x:v>Pasted text(56).txt</x:v>
      </x:c>
    </x:row>
    <x:row r="2729">
      <x:c r="A2729" t="n">
        <x:v>2728</x:v>
      </x:c>
      <x:c r="B2729" s="106" t="str">
        <x:v>X,268.00588,0.58393,30.88,VALID</x:v>
      </x:c>
      <x:c r="C2729" t="str">
        <x:v>Pasted text(56).txt</x:v>
      </x:c>
    </x:row>
    <x:row r="2730">
      <x:c r="A2730" t="n">
        <x:v>2729</x:v>
      </x:c>
      <x:c r="B2730" s="106" t="str">
        <x:v>Y,268.00894,0.12950,19.00,VALID</x:v>
      </x:c>
      <x:c r="C2730" t="str">
        <x:v>Pasted text(56).txt</x:v>
      </x:c>
    </x:row>
    <x:row r="2731">
      <x:c r="A2731" t="n">
        <x:v>2730</x:v>
      </x:c>
      <x:c r="B2731" s="106" t="str">
        <x:v>Z,268.03477,0.30537,24.85,VALID</x:v>
      </x:c>
      <x:c r="C2731" t="str">
        <x:v>Pasted text(56).txt</x:v>
      </x:c>
    </x:row>
    <x:row r="2732">
      <x:c r="A2732" t="n">
        <x:v>2731</x:v>
      </x:c>
      <x:c r="B2732" s="106" t="str">
        <x:v>Combined frequency: 268.01195 Hz | difference 0.01195 Hz</x:v>
      </x:c>
      <x:c r="C2732" t="str">
        <x:v>Pasted text(56).txt</x:v>
      </x:c>
    </x:row>
    <x:row r="2733">
      <x:c r="A2733" t="n">
        <x:v>2732</x:v>
      </x:c>
      <x:c r="B2733" s="106" t="str">
        <x:v>Combined X/Y/Z/TOTAL: 0.53081 / 0.11787 / 0.28000 / 0.61160</x:v>
      </x:c>
      <x:c r="C2733" t="str">
        <x:v>Pasted text(56).txt</x:v>
      </x:c>
    </x:row>
    <x:row r="2734">
      <x:c r="A2734" t="n">
        <x:v>2733</x:v>
      </x:c>
      <x:c r="B2734" s="106" t="str">
        <x:v>SNR: 27.52 dB | dominant axis X</x:v>
      </x:c>
      <x:c r="C2734" t="str">
        <x:v>Pasted text(56).txt</x:v>
      </x:c>
    </x:row>
    <x:row r="2735">
      <x:c r="A2735" t="n">
        <x:v>2734</x:v>
      </x:c>
      <x:c r="B2735" s="106" t="str">
        <x:v>Frequency verification: PASS</x:v>
      </x:c>
      <x:c r="C2735" t="str">
        <x:v>Pasted text(56).txt</x:v>
      </x:c>
    </x:row>
    <x:row r="2736">
      <x:c r="A2736" t="n">
        <x:v>2735</x:v>
      </x:c>
      <x:c r="B2736" s="106" t="str">
        <x:v>Y/Z dominance: DIAGNOSTIC ONLY — ignored for pass/fail</x:v>
      </x:c>
      <x:c r="C2736" t="str">
        <x:v>Pasted text(56).txt</x:v>
      </x:c>
    </x:row>
    <x:row r="2737">
      <x:c r="A2737" t="n">
        <x:v>2736</x:v>
      </x:c>
      <x:c r="B2737" s="106" t="str"/>
      <x:c r="C2737" t="str">
        <x:v>Pasted text(56).txt</x:v>
      </x:c>
    </x:row>
    <x:row r="2738">
      <x:c r="A2738" t="n">
        <x:v>2737</x:v>
      </x:c>
      <x:c r="B2738" s="106" t="str">
        <x:v>FIXED-DAC HOLD VALIDATION</x:v>
      </x:c>
      <x:c r="C2738" t="str">
        <x:v>Pasted text(56).txt</x:v>
      </x:c>
    </x:row>
    <x:row r="2739">
      <x:c r="A2739" t="n">
        <x:v>2738</x:v>
      </x:c>
      <x:c r="B2739" s="106" t="str">
        <x:v>DAC remains fixed at 8.25 for 10 records.</x:v>
      </x:c>
      <x:c r="C2739" t="str">
        <x:v>Pasted text(56).txt</x:v>
      </x:c>
    </x:row>
    <x:row r="2740">
      <x:c r="A2740" t="n">
        <x:v>2739</x:v>
      </x:c>
      <x:c r="B2740" s="106" t="str">
        <x:v>HOLD | point 1 | DAC 8.25 | CTRL X 0.62510 | X 0.62702 | Y 0.14981 | Z 0.31000 | TOTAL 0.71549 | error -3.83 % | MAD 0.86 % | CV 1.07 % | coh 89.5 % | dominant X | axis fraction 100.0 % | IN TARGET BAND</x:v>
      </x:c>
      <x:c r="C2740" t="str">
        <x:v>Pasted text(56).txt</x:v>
      </x:c>
    </x:row>
    <x:row r="2741">
      <x:c r="A2741" t="n">
        <x:v>2740</x:v>
      </x:c>
      <x:c r="B2741" s="106" t="str">
        <x:v>HOLD | point 2 | DAC 8.25 | CTRL X 0.64058 | X 0.64391 | Y 0.13296 | Z 0.35462 | TOTAL 0.74710 | error -1.45 % | MAD 0.19 % | CV 1.01 % | coh 90.6 % | dominant X | axis fraction 100.0 % | IN TARGET BAND</x:v>
      </x:c>
      <x:c r="C2741" t="str">
        <x:v>Pasted text(56).txt</x:v>
      </x:c>
    </x:row>
    <x:row r="2742">
      <x:c r="A2742" t="n">
        <x:v>2741</x:v>
      </x:c>
      <x:c r="B2742" s="106" t="str">
        <x:v>HOLD | point 3 | DAC 8.25 | CTRL X 0.65186 | X 0.65205 | Y 0.15825 | Z 0.33739 | TOTAL 0.75173 | error 0.29 % | MAD 1.32 % | CV 0.94 % | coh 90.9 % | dominant X | axis fraction 100.0 % | IN TARGET BAND</x:v>
      </x:c>
      <x:c r="C2742" t="str">
        <x:v>Pasted text(56).txt</x:v>
      </x:c>
    </x:row>
    <x:row r="2743">
      <x:c r="A2743" t="n">
        <x:v>2742</x:v>
      </x:c>
      <x:c r="B2743" s="106" t="str">
        <x:v>HOLD | point 4 | DAC 8.25 | CTRL X 0.64467 | X 0.65029 | Y 0.15453 | Z 0.33512 | TOTAL 0.74804 | error -0.82 % | MAD 0.35 % | CV 1.70 % | coh 89.8 % | dominant X | axis fraction 100.0 % | IN TARGET BAND</x:v>
      </x:c>
      <x:c r="C2743" t="str">
        <x:v>Pasted text(56).txt</x:v>
      </x:c>
    </x:row>
    <x:row r="2744">
      <x:c r="A2744" t="n">
        <x:v>2743</x:v>
      </x:c>
      <x:c r="B2744" s="106" t="str">
        <x:v>HOLD | point 5 | DAC 8.25 | CTRL X 0.65288 | X 0.65153 | Y 0.14050 | Z 0.33609 | TOTAL 0.74672 | error 0.44 % | MAD 0.11 % | CV 0.42 % | coh 90.2 % | dominant X | axis fraction 100.0 % | IN TARGET BAND</x:v>
      </x:c>
      <x:c r="C2744" t="str">
        <x:v>Pasted text(56).txt</x:v>
      </x:c>
    </x:row>
    <x:row r="2745">
      <x:c r="A2745" t="n">
        <x:v>2744</x:v>
      </x:c>
      <x:c r="B2745" s="106" t="str">
        <x:v>HOLD | point 6 | DAC 8.25 | CTRL X 0.63168 | X 0.63963 | Y 0.14932 | Z 0.34529 | TOTAL 0.74219 | error -2.82 % | MAD 0.18 % | CV 2.25 % | coh 91.7 % | dominant X | axis fraction 100.0 % | IN TARGET BAND</x:v>
      </x:c>
      <x:c r="C2745" t="str">
        <x:v>Pasted text(56).txt</x:v>
      </x:c>
    </x:row>
    <x:row r="2746">
      <x:c r="A2746" t="n">
        <x:v>2745</x:v>
      </x:c>
      <x:c r="B2746" s="106" t="str">
        <x:v>HOLD | point 7 | DAC 8.25 | CTRL X 0.64763 | X 0.64386 | Y 0.15048 | Z 0.33879 | TOTAL 0.74315 | error -0.36 % | MAD 1.46 % | CV 1.94 % | coh 90.1 % | dominant X | axis fraction 100.0 % | IN TARGET BAND</x:v>
      </x:c>
      <x:c r="C2746" t="str">
        <x:v>Pasted text(56).txt</x:v>
      </x:c>
    </x:row>
    <x:row r="2747">
      <x:c r="A2747" t="n">
        <x:v>2746</x:v>
      </x:c>
      <x:c r="B2747" s="106" t="str">
        <x:v>HOLD | point 8 | DAC 8.25 | CTRL X 0.63283 | X 0.63556 | Y 0.14105 | Z 0.33773 | TOTAL 0.73356 | error -2.64 % | MAD 1.60 % | CV 1.76 % | coh 89.0 % | dominant X | axis fraction 100.0 % | IN TARGET BAND</x:v>
      </x:c>
      <x:c r="C2747" t="str">
        <x:v>Pasted text(56).txt</x:v>
      </x:c>
    </x:row>
    <x:row r="2748">
      <x:c r="A2748" t="n">
        <x:v>2747</x:v>
      </x:c>
      <x:c r="B2748" s="106" t="str">
        <x:v>HOLD | point 9 | DAC 8.25 | CTRL X 0.64257 | X 0.65131 | Y 0.15222 | Z 0.32909 | TOTAL 0.74594 | error -1.14 % | MAD 2.78 % | CV 4.04 % | coh 91.1 % | dominant X | axis fraction 100.0 % | IN TARGET BAND</x:v>
      </x:c>
      <x:c r="C2748" t="str">
        <x:v>Pasted text(56).txt</x:v>
      </x:c>
    </x:row>
    <x:row r="2749">
      <x:c r="A2749" t="n">
        <x:v>2748</x:v>
      </x:c>
      <x:c r="B2749" s="106" t="str">
        <x:v>HOLD | point 10 | DAC 8.25 | CTRL X 0.65180 | X 0.64855 | Y 0.14182 | Z 0.36279 | TOTAL 0.75674 | error 0.28 % | MAD 1.05 % | CV 1.53 % | coh 91.6 % | dominant X | axis fraction 100.0 % | IN TARGET BAND</x:v>
      </x:c>
      <x:c r="C2749" t="str">
        <x:v>Pasted text(56).txt</x:v>
      </x:c>
    </x:row>
    <x:row r="2750">
      <x:c r="A2750" t="n">
        <x:v>2749</x:v>
      </x:c>
      <x:c r="B2750" s="106" t="str"/>
      <x:c r="C2750" t="str">
        <x:v>Pasted text(56).txt</x:v>
      </x:c>
    </x:row>
    <x:row r="2751">
      <x:c r="A2751" t="n">
        <x:v>2750</x:v>
      </x:c>
      <x:c r="B2751" s="106" t="str">
        <x:v>HOLD SUMMARY</x:v>
      </x:c>
      <x:c r="C2751" t="str">
        <x:v>Pasted text(56).txt</x:v>
      </x:c>
    </x:row>
    <x:row r="2752">
      <x:c r="A2752" t="n">
        <x:v>2751</x:v>
      </x:c>
      <x:c r="B2752" s="106" t="str">
        <x:v>Valid / requested: 10 / 10</x:v>
      </x:c>
      <x:c r="C2752" t="str">
        <x:v>Pasted text(56).txt</x:v>
      </x:c>
    </x:row>
    <x:row r="2753">
      <x:c r="A2753" t="n">
        <x:v>2752</x:v>
      </x:c>
      <x:c r="B2753" s="106" t="str">
        <x:v>In band / requested: 10 / 10 = 100.0 %</x:v>
      </x:c>
      <x:c r="C2753" t="str">
        <x:v>Pasted text(56).txt</x:v>
      </x:c>
    </x:row>
    <x:row r="2754">
      <x:c r="A2754" t="n">
        <x:v>2753</x:v>
      </x:c>
      <x:c r="B2754" s="106" t="str">
        <x:v>Mean / SD / CV: 0.64216 / 0.00959 / 1.49 %</x:v>
      </x:c>
      <x:c r="C2754" t="str">
        <x:v>Pasted text(56).txt</x:v>
      </x:c>
    </x:row>
    <x:row r="2755">
      <x:c r="A2755" t="n">
        <x:v>2754</x:v>
      </x:c>
      <x:c r="B2755" s="106" t="str">
        <x:v>Min / Max: 0.62510 / 0.65288</x:v>
      </x:c>
      <x:c r="C2755" t="str">
        <x:v>Pasted text(56).txt</x:v>
      </x:c>
    </x:row>
    <x:row r="2756">
      <x:c r="A2756" t="n">
        <x:v>2755</x:v>
      </x:c>
      <x:c r="B2756" s="106" t="str">
        <x:v>HOLD RESULT: PASS</x:v>
      </x:c>
      <x:c r="C2756" t="str">
        <x:v>Pasted text(56).txt</x:v>
      </x:c>
    </x:row>
    <x:row r="2757">
      <x:c r="A2757" t="n">
        <x:v>2756</x:v>
      </x:c>
      <x:c r="B2757" s="106" t="str"/>
      <x:c r="C2757" t="str">
        <x:v>Pasted text(56).txt</x:v>
      </x:c>
    </x:row>
    <x:row r="2758">
      <x:c r="A2758" t="n">
        <x:v>2757</x:v>
      </x:c>
      <x:c r="B2758" s="106" t="str">
        <x:v>RUN RESULT: PASS</x:v>
      </x:c>
      <x:c r="C2758" t="str">
        <x:v>Pasted text(56).txt</x:v>
      </x:c>
    </x:row>
    <x:row r="2759">
      <x:c r="A2759" t="n">
        <x:v>2758</x:v>
      </x:c>
      <x:c r="B2759" s="106" t="str">
        <x:v>Selected DAC: 8.25</x:v>
      </x:c>
      <x:c r="C2759" t="str">
        <x:v>Pasted text(56).txt</x:v>
      </x:c>
    </x:row>
    <x:row r="2760">
      <x:c r="A2760" t="n">
        <x:v>2759</x:v>
      </x:c>
      <x:c r="B2760" s="106" t="str">
        <x:v>Validated amplitude: 0.65064 m/s^2 | error 0.10 %</x:v>
      </x:c>
      <x:c r="C2760" t="str">
        <x:v>Pasted text(56).txt</x:v>
      </x:c>
    </x:row>
    <x:row r="2761">
      <x:c r="A2761" t="n">
        <x:v>2760</x:v>
      </x:c>
      <x:c r="B2761" s="106" t="str">
        <x:v>FFT frequency: 268.01195 Hz | difference 0.01195 Hz</x:v>
      </x:c>
      <x:c r="C2761" t="str">
        <x:v>Pasted text(56).txt</x:v>
      </x:c>
    </x:row>
    <x:row r="2762">
      <x:c r="A2762" t="n">
        <x:v>2761</x:v>
      </x:c>
      <x:c r="B2762" s="106" t="str"/>
      <x:c r="C2762" t="str">
        <x:v>Pasted text(56).txt</x:v>
      </x:c>
    </x:row>
    <x:row r="2763">
      <x:c r="A2763" t="n">
        <x:v>2762</x:v>
      </x:c>
      <x:c r="B2763" s="106" t="str">
        <x:v>VISATON OFF. RESTING 5.0 s BEFORE THE NEXT COMPLETELY FRESH RUN.</x:v>
      </x:c>
      <x:c r="C2763" t="str">
        <x:v>Pasted text(56).txt</x:v>
      </x:c>
    </x:row>
    <x:row r="2764">
      <x:c r="A2764" t="n">
        <x:v>2763</x:v>
      </x:c>
      <x:c r="B2764" s="106" t="str"/>
      <x:c r="C2764" t="str">
        <x:v>Pasted text(56).txt</x:v>
      </x:c>
    </x:row>
    <x:row r="2765">
      <x:c r="A2765" t="n">
        <x:v>2764</x:v>
      </x:c>
      <x:c r="B2765" s="106" t="str">
        <x:v>################################################################################</x:v>
      </x:c>
      <x:c r="C2765" t="str">
        <x:v>Pasted text(56).txt</x:v>
      </x:c>
    </x:row>
    <x:row r="2766">
      <x:c r="A2766" t="n">
        <x:v>2765</x:v>
      </x:c>
      <x:c r="B2766" s="106" t="str">
        <x:v>INDEPENDENT TARGET-AMPLITUDE RUN 3 OF 5</x:v>
      </x:c>
      <x:c r="C2766" t="str">
        <x:v>Pasted text(56).txt</x:v>
      </x:c>
    </x:row>
    <x:row r="2767">
      <x:c r="A2767" t="n">
        <x:v>2766</x:v>
      </x:c>
      <x:c r="B2767" s="106" t="str">
        <x:v>################################################################################</x:v>
      </x:c>
      <x:c r="C2767" t="str">
        <x:v>Pasted text(56).txt</x:v>
      </x:c>
    </x:row>
    <x:row r="2768">
      <x:c r="A2768" t="n">
        <x:v>2767</x:v>
      </x:c>
      <x:c r="B2768" s="106" t="str">
        <x:v>Frequency: 268.00000 Hz</x:v>
      </x:c>
      <x:c r="C2768" t="str">
        <x:v>Pasted text(56).txt</x:v>
      </x:c>
    </x:row>
    <x:row r="2769">
      <x:c r="A2769" t="n">
        <x:v>2768</x:v>
      </x:c>
      <x:c r="B2769" s="106" t="str">
        <x:v>Target X amplitude: 0.65000 m/s^2 peak, tolerance +/-7.50 %</x:v>
      </x:c>
      <x:c r="C2769" t="str">
        <x:v>Pasted text(56).txt</x:v>
      </x:c>
    </x:row>
    <x:row r="2770">
      <x:c r="A2770" t="n">
        <x:v>2769</x:v>
      </x:c>
      <x:c r="B2770" s="106" t="str">
        <x:v>This run starts from DAC 1.00 and ignores every earlier selected DAC.</x:v>
      </x:c>
      <x:c r="C2770" t="str">
        <x:v>Pasted text(56).txt</x:v>
      </x:c>
    </x:row>
    <x:row r="2771">
      <x:c r="A2771" t="n">
        <x:v>2770</x:v>
      </x:c>
      <x:c r="B2771" s="106" t="str">
        <x:v>ADXL2 DEVID/DATA_FORMAT/BW_RATE/POWER_CTL: 0xE5 / 0xB / 0xE / 0x8</x:v>
      </x:c>
      <x:c r="C2771" t="str">
        <x:v>Pasted text(56).txt</x:v>
      </x:c>
    </x:row>
    <x:row r="2772">
      <x:c r="A2772" t="n">
        <x:v>2771</x:v>
      </x:c>
      <x:c r="B2772" s="106" t="str"/>
      <x:c r="C2772" t="str">
        <x:v>Pasted text(56).txt</x:v>
      </x:c>
    </x:row>
    <x:row r="2773">
      <x:c r="A2773" t="n">
        <x:v>2772</x:v>
      </x:c>
      <x:c r="B2773" s="106" t="str">
        <x:v>ACQUISITION ATTEMPT 1 OF 2</x:v>
      </x:c>
      <x:c r="C2773" t="str">
        <x:v>Pasted text(56).txt</x:v>
      </x:c>
    </x:row>
    <x:row r="2774">
      <x:c r="A2774" t="n">
        <x:v>2773</x:v>
      </x:c>
      <x:c r="B2774" s="106" t="str"/>
      <x:c r="C2774" t="str">
        <x:v>Pasted text(56).txt</x:v>
      </x:c>
    </x:row>
    <x:row r="2775">
      <x:c r="A2775" t="n">
        <x:v>2774</x:v>
      </x:c>
      <x:c r="B2775" s="106" t="str">
        <x:v>FRESH X-AXIS SEARCH FROM DAC 1.00 — OLD DAC VALUES ARE NOT USED</x:v>
      </x:c>
      <x:c r="C2775" t="str">
        <x:v>Pasted text(56).txt</x:v>
      </x:c>
    </x:row>
    <x:row r="2776">
      <x:c r="A2776" t="n">
        <x:v>2775</x:v>
      </x:c>
      <x:c r="B2776" s="106" t="str">
        <x:v>Y/Z are diagnostic only and cannot abort this search.</x:v>
      </x:c>
      <x:c r="C2776" t="str">
        <x:v>Pasted text(56).txt</x:v>
      </x:c>
    </x:row>
    <x:row r="2777">
      <x:c r="A2777" t="n">
        <x:v>2776</x:v>
      </x:c>
      <x:c r="B2777" s="106" t="str">
        <x:v>A real SPI fault, clipping, safety limit or confirmed X-response collapse will stop it.</x:v>
      </x:c>
      <x:c r="C2777" t="str">
        <x:v>Pasted text(56).txt</x:v>
      </x:c>
    </x:row>
    <x:row r="2778">
      <x:c r="A2778" t="n">
        <x:v>2777</x:v>
      </x:c>
      <x:c r="B2778" s="106" t="str">
        <x:v>SEARCH | point 1 | DAC 1.00 | CTRL X 0.01391 | X 0.01393 | Y 0.02341 | Z 0.03773 | TOTAL 0.04673 | error -97.86 % | MAD 0.58 % | CV 0.27 % | coh 8.4 % | dominant Z | axis fraction 36.9 % | BELOW MEASUREMENT FLOOR — SEARCH CONTINUES</x:v>
      </x:c>
      <x:c r="C2778" t="str">
        <x:v>Pasted text(56).txt</x:v>
      </x:c>
    </x:row>
    <x:row r="2779">
      <x:c r="A2779" t="n">
        <x:v>2778</x:v>
      </x:c>
      <x:c r="B2779" s="106" t="str">
        <x:v>SEARCH | point 2 | DAC 3.00 | CTRL X 0.14124 | X 0.13923 | Y 0.03972 | Z 0.09877 | TOTAL 0.17658 | error -78.27 % | MAD 4.84 % | CV 5.62 % | coh 55.2 % | dominant X | axis fraction 100.0 % | VALID</x:v>
      </x:c>
      <x:c r="C2779" t="str">
        <x:v>Pasted text(56).txt</x:v>
      </x:c>
    </x:row>
    <x:row r="2780">
      <x:c r="A2780" t="n">
        <x:v>2779</x:v>
      </x:c>
      <x:c r="B2780" s="106" t="str">
        <x:v>SEARCH | point 3 | DAC 5.00 | CTRL X 0.31179 | X 0.31119 | Y 0.07198 | Z 0.20930 | TOTAL 0.38225 | error -52.03 % | MAD 0.11 % | CV 0.40 % | coh 82.2 % | dominant X | axis fraction 100.0 % | VALID</x:v>
      </x:c>
      <x:c r="C2780" t="str">
        <x:v>Pasted text(56).txt</x:v>
      </x:c>
    </x:row>
    <x:row r="2781">
      <x:c r="A2781" t="n">
        <x:v>2780</x:v>
      </x:c>
      <x:c r="B2781" s="106" t="str">
        <x:v>SEARCH | point 4 | DAC 6.00 | CTRL X 0.40938 | X 0.42025 | Y 0.11400 | Z 0.24925 | TOTAL 0.50183 | error -37.02 % | MAD 0.70 % | CV 4.88 % | coh 86.8 % | dominant X | axis fraction 100.0 % | VALID</x:v>
      </x:c>
      <x:c r="C2781" t="str">
        <x:v>Pasted text(56).txt</x:v>
      </x:c>
    </x:row>
    <x:row r="2782">
      <x:c r="A2782" t="n">
        <x:v>2781</x:v>
      </x:c>
      <x:c r="B2782" s="106" t="str">
        <x:v>SEARCH | point 5 | DAC 6.50 | CTRL X 0.43784 | X 0.44008 | Y 0.10761 | Z 0.24761 | TOTAL 0.51642 | error -32.64 % | MAD 0.06 % | CV 0.92 % | coh 85.2 % | dominant X | axis fraction 100.0 % | VALID</x:v>
      </x:c>
      <x:c r="C2782" t="str">
        <x:v>Pasted text(56).txt</x:v>
      </x:c>
    </x:row>
    <x:row r="2783">
      <x:c r="A2783" t="n">
        <x:v>2782</x:v>
      </x:c>
      <x:c r="B2783" s="106" t="str">
        <x:v>SEARCH | point 6 | DAC 7.00 | CTRL X 0.51741 | X 0.52366 | Y 0.10828 | Z 0.31612 | TOTAL 0.62152 | error -20.40 % | MAD 3.77 % | CV 4.42 % | coh 88.1 % | dominant X | axis fraction 100.0 % | VALID</x:v>
      </x:c>
      <x:c r="C2783" t="str">
        <x:v>Pasted text(56).txt</x:v>
      </x:c>
    </x:row>
    <x:row r="2784">
      <x:c r="A2784" t="n">
        <x:v>2783</x:v>
      </x:c>
      <x:c r="B2784" s="106" t="str">
        <x:v>SEARCH | point 7 | DAC 7.50 | CTRL X 0.55903 | X 0.55277 | Y 0.12584 | Z 0.28497 | TOTAL 0.63478 | error -14.00 % | MAD 1.97 % | CV 3.19 % | coh 88.3 % | dominant X | axis fraction 100.0 % | VALID</x:v>
      </x:c>
      <x:c r="C2784" t="str">
        <x:v>Pasted text(56).txt</x:v>
      </x:c>
    </x:row>
    <x:row r="2785">
      <x:c r="A2785" t="n">
        <x:v>2784</x:v>
      </x:c>
      <x:c r="B2785" s="106" t="str">
        <x:v>SEARCH | point 8 | DAC 7.75 | CTRL X 0.59588 | X 0.58947 | Y 0.13881 | Z 0.30145 | TOTAL 0.67678 | error -8.33 % | MAD 1.96 % | CV 3.12 % | coh 89.6 % | dominant X | axis fraction 100.0 % | VALID</x:v>
      </x:c>
      <x:c r="C2785" t="str">
        <x:v>Pasted text(56).txt</x:v>
      </x:c>
    </x:row>
    <x:row r="2786">
      <x:c r="A2786" t="n">
        <x:v>2785</x:v>
      </x:c>
      <x:c r="B2786" s="106" t="str">
        <x:v>SEARCH | point 9 | DAC 8.00 | CTRL X 0.61096 | X 0.61937 | Y 0.13649 | Z 0.34088 | TOTAL 0.72052 | error -6.01 % | MAD 0.01 % | CV 2.35 % | coh 90.3 % | dominant X | axis fraction 100.0 % | IN TARGET BAND</x:v>
      </x:c>
      <x:c r="C2786" t="str">
        <x:v>Pasted text(56).txt</x:v>
      </x:c>
    </x:row>
    <x:row r="2787">
      <x:c r="A2787" t="n">
        <x:v>2786</x:v>
      </x:c>
      <x:c r="B2787" s="106" t="str"/>
      <x:c r="C2787" t="str">
        <x:v>Pasted text(56).txt</x:v>
      </x:c>
    </x:row>
    <x:row r="2788">
      <x:c r="A2788" t="n">
        <x:v>2787</x:v>
      </x:c>
      <x:c r="B2788" s="106" t="str">
        <x:v>LOCAL 0.25-DAC X-AXIS FINE SCAN</x:v>
      </x:c>
      <x:c r="C2788" t="str">
        <x:v>Pasted text(56).txt</x:v>
      </x:c>
    </x:row>
    <x:row r="2789">
      <x:c r="A2789" t="n">
        <x:v>2788</x:v>
      </x:c>
      <x:c r="B2789" s="106" t="str">
        <x:v>Only a valid point actually inside the X target band may be selected.</x:v>
      </x:c>
      <x:c r="C2789" t="str">
        <x:v>Pasted text(56).txt</x:v>
      </x:c>
    </x:row>
    <x:row r="2790">
      <x:c r="A2790" t="n">
        <x:v>2789</x:v>
      </x:c>
      <x:c r="B2790" s="106" t="str">
        <x:v>FINE | point 1 | DAC 7.00 | CTRL X 0.52355 | X 0.52513 | Y 0.11509 | Z 0.31191 | TOTAL 0.62203 | error -19.45 % | MAD 5.13 % | CV 3.91 % | coh 89.2 % | dominant X | axis fraction 100.0 % | VALID</x:v>
      </x:c>
      <x:c r="C2790" t="str">
        <x:v>Pasted text(56).txt</x:v>
      </x:c>
    </x:row>
    <x:row r="2791">
      <x:c r="A2791" t="n">
        <x:v>2790</x:v>
      </x:c>
      <x:c r="B2791" s="106" t="str">
        <x:v>FINE | point 2 | DAC 7.25 | CTRL X 0.54477 | X 0.54000 | Y 0.12242 | Z 0.28773 | TOTAL 0.62415 | error -16.19 % | MAD 0.55 % | CV 1.87 % | coh 89.6 % | dominant X | axis fraction 100.0 % | VALID</x:v>
      </x:c>
      <x:c r="C2791" t="str">
        <x:v>Pasted text(56).txt</x:v>
      </x:c>
    </x:row>
    <x:row r="2792">
      <x:c r="A2792" t="n">
        <x:v>2791</x:v>
      </x:c>
      <x:c r="B2792" s="106" t="str">
        <x:v>FINE | point 3 | DAC 7.50 | CTRL X 0.56670 | X 0.55442 | Y 0.14098 | Z 0.31879 | TOTAL 0.65506 | error -12.82 % | MAD 0.53 % | CV 4.16 % | coh 88.9 % | dominant X | axis fraction 100.0 % | VALID</x:v>
      </x:c>
      <x:c r="C2792" t="str">
        <x:v>Pasted text(56).txt</x:v>
      </x:c>
    </x:row>
    <x:row r="2793">
      <x:c r="A2793" t="n">
        <x:v>2792</x:v>
      </x:c>
      <x:c r="B2793" s="106" t="str">
        <x:v>FINE | point 4 | DAC 7.75 | CTRL X 0.59856 | X 0.59609 | Y 0.15074 | Z 0.32979 | TOTAL 0.69776 | error -7.91 % | MAD 0.89 % | CV 1.27 % | coh 91.1 % | dominant X | axis fraction 100.0 % | VALID</x:v>
      </x:c>
      <x:c r="C2793" t="str">
        <x:v>Pasted text(56).txt</x:v>
      </x:c>
    </x:row>
    <x:row r="2794">
      <x:c r="A2794" t="n">
        <x:v>2793</x:v>
      </x:c>
      <x:c r="B2794" s="106" t="str">
        <x:v>FINE | point 5 | DAC 8.00 | CTRL X 0.61030 | X 0.60457 | Y 0.15596 | Z 0.36080 | TOTAL 0.72184 | error -6.11 % | MAD 2.27 % | CV 3.08 % | coh 89.1 % | dominant X | axis fraction 100.0 % | IN TARGET BAND</x:v>
      </x:c>
      <x:c r="C2794" t="str">
        <x:v>Pasted text(56).txt</x:v>
      </x:c>
    </x:row>
    <x:row r="2795">
      <x:c r="A2795" t="n">
        <x:v>2794</x:v>
      </x:c>
      <x:c r="B2795" s="106" t="str">
        <x:v>FINE | point 6 | DAC 8.25 | CTRL X 0.63983 | X 0.63899 | Y 0.15663 | Z 0.33710 | TOTAL 0.73926 | error -1.57 % | MAD 0.40 % | CV 0.48 % | coh 90.8 % | dominant X | axis fraction 100.0 % | IN TARGET BAND</x:v>
      </x:c>
      <x:c r="C2795" t="str">
        <x:v>Pasted text(56).txt</x:v>
      </x:c>
    </x:row>
    <x:row r="2796">
      <x:c r="A2796" t="n">
        <x:v>2795</x:v>
      </x:c>
      <x:c r="B2796" s="106" t="str">
        <x:v>FINE | point 7 | DAC 8.50 | CTRL X 0.64564 | X 0.64558 | Y 0.14584 | Z 0.34947 | TOTAL 0.74851 | error -0.67 % | MAD 0.46 % | CV 0.33 % | coh 90.8 % | dominant X | axis fraction 100.0 % | IN TARGET BAND</x:v>
      </x:c>
      <x:c r="C2796" t="str">
        <x:v>Pasted text(56).txt</x:v>
      </x:c>
    </x:row>
    <x:row r="2797">
      <x:c r="A2797" t="n">
        <x:v>2796</x:v>
      </x:c>
      <x:c r="B2797" s="106" t="str">
        <x:v>FINE | point 8 | DAC 8.75 | CTRL X 0.68417 | X 0.67834 | Y 0.16600 | Z 0.36522 | TOTAL 0.78866 | error 5.26 % | MAD 0.65 % | CV 1.89 % | coh 90.1 % | dominant X | axis fraction 100.0 % | IN TARGET BAND</x:v>
      </x:c>
      <x:c r="C2797" t="str">
        <x:v>Pasted text(56).txt</x:v>
      </x:c>
    </x:row>
    <x:row r="2798">
      <x:c r="A2798" t="n">
        <x:v>2797</x:v>
      </x:c>
      <x:c r="B2798" s="106" t="str">
        <x:v>FINE | point 9 | DAC 9.00 | CTRL X 0.70884 | X 0.72471 | Y 0.16897 | Z 0.35584 | TOTAL 0.82497 | error 9.05 % | MAD 0.27 % | CV 3.95 % | coh 91.7 % | dominant X | axis fraction 100.0 % | VALID</x:v>
      </x:c>
      <x:c r="C2798" t="str">
        <x:v>Pasted text(56).txt</x:v>
      </x:c>
    </x:row>
    <x:row r="2799">
      <x:c r="A2799" t="n">
        <x:v>2798</x:v>
      </x:c>
      <x:c r="B2799" s="106" t="str"/>
      <x:c r="C2799" t="str">
        <x:v>Pasted text(56).txt</x:v>
      </x:c>
    </x:row>
    <x:row r="2800">
      <x:c r="A2800" t="n">
        <x:v>2799</x:v>
      </x:c>
      <x:c r="B2800" s="106" t="str">
        <x:v>LONG VALIDATION AT FIXED DAC 8.50</x:v>
      </x:c>
      <x:c r="C2800" t="str">
        <x:v>Pasted text(56).txt</x:v>
      </x:c>
    </x:row>
    <x:row r="2801">
      <x:c r="A2801" t="n">
        <x:v>2800</x:v>
      </x:c>
      <x:c r="B2801" s="106" t="str">
        <x:v>FINAL | point 1 | DAC 8.50 | CTRL X 0.65103 | X 0.65424 | Y 0.16441 | Z 0.36205 | TOTAL 0.76630 | error 0.16 % | MAD 2.75 % | CV 2.07 % | coh 89.5 % | dominant X | axis fraction 100.0 % | IN TARGET BAND</x:v>
      </x:c>
      <x:c r="C2801" t="str">
        <x:v>Pasted text(56).txt</x:v>
      </x:c>
    </x:row>
    <x:row r="2802">
      <x:c r="A2802" t="n">
        <x:v>2801</x:v>
      </x:c>
      <x:c r="B2802" s="106" t="str">
        <x:v>FINAL | point 2 | DAC 8.50 | CTRL X 0.64064 | X 0.64345 | Y 0.16017 | Z 0.34832 | TOTAL 0.74919 | error -1.44 % | MAD 1.28 % | CV 2.47 % | coh 89.9 % | dominant X | axis fraction 100.0 % | IN TARGET BAND</x:v>
      </x:c>
      <x:c r="C2802" t="str">
        <x:v>Pasted text(56).txt</x:v>
      </x:c>
    </x:row>
    <x:row r="2803">
      <x:c r="A2803" t="n">
        <x:v>2802</x:v>
      </x:c>
      <x:c r="B2803" s="106" t="str">
        <x:v>VALIDATION ACCEPTED | pair drift 1.61 %</x:v>
      </x:c>
      <x:c r="C2803" t="str">
        <x:v>Pasted text(56).txt</x:v>
      </x:c>
    </x:row>
    <x:row r="2804">
      <x:c r="A2804" t="n">
        <x:v>2803</x:v>
      </x:c>
      <x:c r="B2804" s="106" t="str"/>
      <x:c r="C2804" t="str">
        <x:v>Pasted text(56).txt</x:v>
      </x:c>
    </x:row>
    <x:row r="2805">
      <x:c r="A2805" t="n">
        <x:v>2804</x:v>
      </x:c>
      <x:c r="B2805" s="106" t="str">
        <x:v>FINAL VALIDATED BLIND FFT VERIFICATION</x:v>
      </x:c>
      <x:c r="C2805" t="str">
        <x:v>Pasted text(56).txt</x:v>
      </x:c>
    </x:row>
    <x:row r="2806">
      <x:c r="A2806" t="n">
        <x:v>2805</x:v>
      </x:c>
      <x:c r="B2806" s="106" t="str">
        <x:v>Commanded frequency: 268.00000 Hz</x:v>
      </x:c>
      <x:c r="C2806" t="str">
        <x:v>Pasted text(56).txt</x:v>
      </x:c>
    </x:row>
    <x:row r="2807">
      <x:c r="A2807" t="n">
        <x:v>2806</x:v>
      </x:c>
      <x:c r="B2807" s="106" t="str">
        <x:v>Accepted DAC: 8.50</x:v>
      </x:c>
      <x:c r="C2807" t="str">
        <x:v>Pasted text(56).txt</x:v>
      </x:c>
    </x:row>
    <x:row r="2808">
      <x:c r="A2808" t="n">
        <x:v>2807</x:v>
      </x:c>
      <x:c r="B2808" s="106" t="str">
        <x:v>Axis,Frequency_Hz,Amplitude_mps2,SNR_dB,Status</x:v>
      </x:c>
      <x:c r="C2808" t="str">
        <x:v>Pasted text(56).txt</x:v>
      </x:c>
    </x:row>
    <x:row r="2809">
      <x:c r="A2809" t="n">
        <x:v>2808</x:v>
      </x:c>
      <x:c r="B2809" s="106" t="str">
        <x:v>X,268.02473,0.59000,30.88,VALID</x:v>
      </x:c>
      <x:c r="C2809" t="str">
        <x:v>Pasted text(56).txt</x:v>
      </x:c>
    </x:row>
    <x:row r="2810">
      <x:c r="A2810" t="n">
        <x:v>2809</x:v>
      </x:c>
      <x:c r="B2810" s="106" t="str">
        <x:v>Y,267.99803,0.14474,20.39,VALID</x:v>
      </x:c>
      <x:c r="C2810" t="str">
        <x:v>Pasted text(56).txt</x:v>
      </x:c>
    </x:row>
    <x:row r="2811">
      <x:c r="A2811" t="n">
        <x:v>2810</x:v>
      </x:c>
      <x:c r="B2811" s="106" t="str">
        <x:v>Z,268.00248,0.32040,25.82,VALID</x:v>
      </x:c>
      <x:c r="C2811" t="str">
        <x:v>Pasted text(56).txt</x:v>
      </x:c>
    </x:row>
    <x:row r="2812">
      <x:c r="A2812" t="n">
        <x:v>2811</x:v>
      </x:c>
      <x:c r="B2812" s="106" t="str">
        <x:v>Combined frequency: 268.01876 Hz | difference 0.01876 Hz</x:v>
      </x:c>
      <x:c r="C2812" t="str">
        <x:v>Pasted text(56).txt</x:v>
      </x:c>
    </x:row>
    <x:row r="2813">
      <x:c r="A2813" t="n">
        <x:v>2812</x:v>
      </x:c>
      <x:c r="B2813" s="106" t="str">
        <x:v>Combined X/Y/Z/TOTAL: 0.53875 / 0.13174 / 0.29098 / 0.62633</x:v>
      </x:c>
      <x:c r="C2813" t="str">
        <x:v>Pasted text(56).txt</x:v>
      </x:c>
    </x:row>
    <x:row r="2814">
      <x:c r="A2814" t="n">
        <x:v>2813</x:v>
      </x:c>
      <x:c r="B2814" s="106" t="str">
        <x:v>SNR: 28.03 dB | dominant axis X</x:v>
      </x:c>
      <x:c r="C2814" t="str">
        <x:v>Pasted text(56).txt</x:v>
      </x:c>
    </x:row>
    <x:row r="2815">
      <x:c r="A2815" t="n">
        <x:v>2814</x:v>
      </x:c>
      <x:c r="B2815" s="106" t="str">
        <x:v>Frequency verification: PASS</x:v>
      </x:c>
      <x:c r="C2815" t="str">
        <x:v>Pasted text(56).txt</x:v>
      </x:c>
    </x:row>
    <x:row r="2816">
      <x:c r="A2816" t="n">
        <x:v>2815</x:v>
      </x:c>
      <x:c r="B2816" s="106" t="str">
        <x:v>Y/Z dominance: DIAGNOSTIC ONLY — ignored for pass/fail</x:v>
      </x:c>
      <x:c r="C2816" t="str">
        <x:v>Pasted text(56).txt</x:v>
      </x:c>
    </x:row>
    <x:row r="2817">
      <x:c r="A2817" t="n">
        <x:v>2816</x:v>
      </x:c>
      <x:c r="B2817" s="106" t="str"/>
      <x:c r="C2817" t="str">
        <x:v>Pasted text(56).txt</x:v>
      </x:c>
    </x:row>
    <x:row r="2818">
      <x:c r="A2818" t="n">
        <x:v>2817</x:v>
      </x:c>
      <x:c r="B2818" s="106" t="str">
        <x:v>FIXED-DAC HOLD VALIDATION</x:v>
      </x:c>
      <x:c r="C2818" t="str">
        <x:v>Pasted text(56).txt</x:v>
      </x:c>
    </x:row>
    <x:row r="2819">
      <x:c r="A2819" t="n">
        <x:v>2818</x:v>
      </x:c>
      <x:c r="B2819" s="106" t="str">
        <x:v>DAC remains fixed at 8.50 for 10 records.</x:v>
      </x:c>
      <x:c r="C2819" t="str">
        <x:v>Pasted text(56).txt</x:v>
      </x:c>
    </x:row>
    <x:row r="2820">
      <x:c r="A2820" t="n">
        <x:v>2819</x:v>
      </x:c>
      <x:c r="B2820" s="106" t="str">
        <x:v>HOLD | point 1 | DAC 8.50 | CTRL X 0.66471 | X 0.66140 | Y 0.13955 | Z 0.32475 | TOTAL 0.75002 | error 2.26 % | MAD 1.39 % | CV 1.74 % | coh 92.0 % | dominant X | axis fraction 100.0 % | IN TARGET BAND</x:v>
      </x:c>
      <x:c r="C2820" t="str">
        <x:v>Pasted text(56).txt</x:v>
      </x:c>
    </x:row>
    <x:row r="2821">
      <x:c r="A2821" t="n">
        <x:v>2820</x:v>
      </x:c>
      <x:c r="B2821" s="106" t="str">
        <x:v>HOLD | point 2 | DAC 8.50 | CTRL X 0.64117 | X 0.63560 | Y 0.14993 | Z 0.34408 | TOTAL 0.73869 | error -1.36 % | MAD 4.07 % | CV 4.15 % | coh 88.8 % | dominant X | axis fraction 100.0 % | IN TARGET BAND</x:v>
      </x:c>
      <x:c r="C2821" t="str">
        <x:v>Pasted text(56).txt</x:v>
      </x:c>
    </x:row>
    <x:row r="2822">
      <x:c r="A2822" t="n">
        <x:v>2821</x:v>
      </x:c>
      <x:c r="B2822" s="106" t="str">
        <x:v>HOLD | point 3 | DAC 8.50 | CTRL X 0.65022 | X 0.65229 | Y 0.15292 | Z 0.32691 | TOTAL 0.74554 | error 0.03 % | MAD 0.18 % | CV 0.66 % | coh 90.1 % | dominant X | axis fraction 100.0 % | IN TARGET BAND</x:v>
      </x:c>
      <x:c r="C2822" t="str">
        <x:v>Pasted text(56).txt</x:v>
      </x:c>
    </x:row>
    <x:row r="2823">
      <x:c r="A2823" t="n">
        <x:v>2822</x:v>
      </x:c>
      <x:c r="B2823" s="106" t="str">
        <x:v>HOLD | point 4 | DAC 8.50 | CTRL X 0.64960 | X 0.65304 | Y 0.15424 | Z 0.34012 | TOTAL 0.75251 | error -0.06 % | MAD 0.94 % | CV 1.49 % | coh 91.4 % | dominant X | axis fraction 100.0 % | IN TARGET BAND</x:v>
      </x:c>
      <x:c r="C2823" t="str">
        <x:v>Pasted text(56).txt</x:v>
      </x:c>
    </x:row>
    <x:row r="2824">
      <x:c r="A2824" t="n">
        <x:v>2823</x:v>
      </x:c>
      <x:c r="B2824" s="106" t="str">
        <x:v>HOLD | point 5 | DAC 8.50 | CTRL X 0.63951 | X 0.64417 | Y 0.16284 | Z 0.37997 | TOTAL 0.76550 | error -1.61 % | MAD 0.67 % | CV 1.66 % | coh 89.4 % | dominant X | axis fraction 100.0 % | IN TARGET BAND</x:v>
      </x:c>
      <x:c r="C2824" t="str">
        <x:v>Pasted text(56).txt</x:v>
      </x:c>
    </x:row>
    <x:row r="2825">
      <x:c r="A2825" t="n">
        <x:v>2824</x:v>
      </x:c>
      <x:c r="B2825" s="106" t="str">
        <x:v>HOLD | point 6 | DAC 8.50 | CTRL X 0.66556 | X 0.66712 | Y 0.15504 | Z 0.33132 | TOTAL 0.76106 | error 2.39 % | MAD 1.62 % | CV 1.46 % | coh 92.0 % | dominant X | axis fraction 100.0 % | IN TARGET BAND</x:v>
      </x:c>
      <x:c r="C2825" t="str">
        <x:v>Pasted text(56).txt</x:v>
      </x:c>
    </x:row>
    <x:row r="2826">
      <x:c r="A2826" t="n">
        <x:v>2825</x:v>
      </x:c>
      <x:c r="B2826" s="106" t="str">
        <x:v>HOLD | point 7 | DAC 8.50 | CTRL X 0.66653 | X 0.65735 | Y 0.15816 | Z 0.35141 | TOTAL 0.76216 | error 2.54 % | MAD 0.17 % | CV 2.52 % | coh 90.4 % | dominant X | axis fraction 100.0 % | IN TARGET BAND</x:v>
      </x:c>
      <x:c r="C2826" t="str">
        <x:v>Pasted text(56).txt</x:v>
      </x:c>
    </x:row>
    <x:row r="2827">
      <x:c r="A2827" t="n">
        <x:v>2826</x:v>
      </x:c>
      <x:c r="B2827" s="106" t="str">
        <x:v>HOLD | point 8 | DAC 8.50 | CTRL X 0.66245 | X 0.65765 | Y 0.17175 | Z 0.34192 | TOTAL 0.76110 | error 1.92 % | MAD 0.36 % | CV 1.48 % | coh 91.8 % | dominant X | axis fraction 100.0 % | IN TARGET BAND</x:v>
      </x:c>
      <x:c r="C2827" t="str">
        <x:v>Pasted text(56).txt</x:v>
      </x:c>
    </x:row>
    <x:row r="2828">
      <x:c r="A2828" t="n">
        <x:v>2827</x:v>
      </x:c>
      <x:c r="B2828" s="106" t="str">
        <x:v>HOLD | point 9 | DAC 8.50 | CTRL X 0.62841 | X 0.62785 | Y 0.16691 | Z 0.34998 | TOTAL 0.73803 | error -3.32 % | MAD 3.13 % | CV 2.25 % | coh 90.1 % | dominant X | axis fraction 100.0 % | IN TARGET BAND</x:v>
      </x:c>
      <x:c r="C2828" t="str">
        <x:v>Pasted text(56).txt</x:v>
      </x:c>
    </x:row>
    <x:row r="2829">
      <x:c r="A2829" t="n">
        <x:v>2828</x:v>
      </x:c>
      <x:c r="B2829" s="106" t="str">
        <x:v>HOLD | point 10 | DAC 8.50 | CTRL X 0.64170 | X 0.64446 | Y 0.15266 | Z 0.35951 | TOTAL 0.75374 | error -1.28 % | MAD 0.38 % | CV 0.97 % | coh 88.2 % | dominant X | axis fraction 100.0 % | IN TARGET BAND</x:v>
      </x:c>
      <x:c r="C2829" t="str">
        <x:v>Pasted text(56).txt</x:v>
      </x:c>
    </x:row>
    <x:row r="2830">
      <x:c r="A2830" t="n">
        <x:v>2829</x:v>
      </x:c>
      <x:c r="B2830" s="106" t="str"/>
      <x:c r="C2830" t="str">
        <x:v>Pasted text(56).txt</x:v>
      </x:c>
    </x:row>
    <x:row r="2831">
      <x:c r="A2831" t="n">
        <x:v>2830</x:v>
      </x:c>
      <x:c r="B2831" s="106" t="str">
        <x:v>HOLD SUMMARY</x:v>
      </x:c>
      <x:c r="C2831" t="str">
        <x:v>Pasted text(56).txt</x:v>
      </x:c>
    </x:row>
    <x:row r="2832">
      <x:c r="A2832" t="n">
        <x:v>2831</x:v>
      </x:c>
      <x:c r="B2832" s="106" t="str">
        <x:v>Valid / requested: 10 / 10</x:v>
      </x:c>
      <x:c r="C2832" t="str">
        <x:v>Pasted text(56).txt</x:v>
      </x:c>
    </x:row>
    <x:row r="2833">
      <x:c r="A2833" t="n">
        <x:v>2832</x:v>
      </x:c>
      <x:c r="B2833" s="106" t="str">
        <x:v>In band / requested: 10 / 10 = 100.0 %</x:v>
      </x:c>
      <x:c r="C2833" t="str">
        <x:v>Pasted text(56).txt</x:v>
      </x:c>
    </x:row>
    <x:row r="2834">
      <x:c r="A2834" t="n">
        <x:v>2833</x:v>
      </x:c>
      <x:c r="B2834" s="106" t="str">
        <x:v>Mean / SD / CV: 0.65099 / 0.01333 / 2.05 %</x:v>
      </x:c>
      <x:c r="C2834" t="str">
        <x:v>Pasted text(56).txt</x:v>
      </x:c>
    </x:row>
    <x:row r="2835">
      <x:c r="A2835" t="n">
        <x:v>2834</x:v>
      </x:c>
      <x:c r="B2835" s="106" t="str">
        <x:v>Min / Max: 0.62841 / 0.66653</x:v>
      </x:c>
      <x:c r="C2835" t="str">
        <x:v>Pasted text(56).txt</x:v>
      </x:c>
    </x:row>
    <x:row r="2836">
      <x:c r="A2836" t="n">
        <x:v>2835</x:v>
      </x:c>
      <x:c r="B2836" s="106" t="str">
        <x:v>HOLD RESULT: PASS</x:v>
      </x:c>
      <x:c r="C2836" t="str">
        <x:v>Pasted text(56).txt</x:v>
      </x:c>
    </x:row>
    <x:row r="2837">
      <x:c r="A2837" t="n">
        <x:v>2836</x:v>
      </x:c>
      <x:c r="B2837" s="106" t="str"/>
      <x:c r="C2837" t="str">
        <x:v>Pasted text(56).txt</x:v>
      </x:c>
    </x:row>
    <x:row r="2838">
      <x:c r="A2838" t="n">
        <x:v>2837</x:v>
      </x:c>
      <x:c r="B2838" s="106" t="str">
        <x:v>RUN RESULT: PASS</x:v>
      </x:c>
      <x:c r="C2838" t="str">
        <x:v>Pasted text(56).txt</x:v>
      </x:c>
    </x:row>
    <x:row r="2839">
      <x:c r="A2839" t="n">
        <x:v>2838</x:v>
      </x:c>
      <x:c r="B2839" s="106" t="str">
        <x:v>Selected DAC: 8.50</x:v>
      </x:c>
      <x:c r="C2839" t="str">
        <x:v>Pasted text(56).txt</x:v>
      </x:c>
    </x:row>
    <x:row r="2840">
      <x:c r="A2840" t="n">
        <x:v>2839</x:v>
      </x:c>
      <x:c r="B2840" s="106" t="str">
        <x:v>Validated amplitude: 0.64583 m/s^2 | error -0.64 %</x:v>
      </x:c>
      <x:c r="C2840" t="str">
        <x:v>Pasted text(56).txt</x:v>
      </x:c>
    </x:row>
    <x:row r="2841">
      <x:c r="A2841" t="n">
        <x:v>2840</x:v>
      </x:c>
      <x:c r="B2841" s="106" t="str">
        <x:v>FFT frequency: 268.01876 Hz | difference 0.01876 Hz</x:v>
      </x:c>
      <x:c r="C2841" t="str">
        <x:v>Pasted text(56).txt</x:v>
      </x:c>
    </x:row>
    <x:row r="2842">
      <x:c r="A2842" t="n">
        <x:v>2841</x:v>
      </x:c>
      <x:c r="B2842" s="106" t="str"/>
      <x:c r="C2842" t="str">
        <x:v>Pasted text(56).txt</x:v>
      </x:c>
    </x:row>
    <x:row r="2843">
      <x:c r="A2843" t="n">
        <x:v>2842</x:v>
      </x:c>
      <x:c r="B2843" s="106" t="str">
        <x:v>VISATON OFF. RESTING 5.0 s BEFORE THE NEXT COMPLETELY FRESH RUN.</x:v>
      </x:c>
      <x:c r="C2843" t="str">
        <x:v>Pasted text(56).txt</x:v>
      </x:c>
    </x:row>
    <x:row r="2844">
      <x:c r="A2844" t="n">
        <x:v>2843</x:v>
      </x:c>
      <x:c r="B2844" s="106" t="str"/>
      <x:c r="C2844" t="str">
        <x:v>Pasted text(56).txt</x:v>
      </x:c>
    </x:row>
    <x:row r="2845">
      <x:c r="A2845" t="n">
        <x:v>2844</x:v>
      </x:c>
      <x:c r="B2845" s="106" t="str">
        <x:v>################################################################################</x:v>
      </x:c>
      <x:c r="C2845" t="str">
        <x:v>Pasted text(56).txt</x:v>
      </x:c>
    </x:row>
    <x:row r="2846">
      <x:c r="A2846" t="n">
        <x:v>2845</x:v>
      </x:c>
      <x:c r="B2846" s="106" t="str">
        <x:v>INDEPENDENT TARGET-AMPLITUDE RUN 4 OF 5</x:v>
      </x:c>
      <x:c r="C2846" t="str">
        <x:v>Pasted text(56).txt</x:v>
      </x:c>
    </x:row>
    <x:row r="2847">
      <x:c r="A2847" t="n">
        <x:v>2846</x:v>
      </x:c>
      <x:c r="B2847" s="106" t="str">
        <x:v>################################################################################</x:v>
      </x:c>
      <x:c r="C2847" t="str">
        <x:v>Pasted text(56).txt</x:v>
      </x:c>
    </x:row>
    <x:row r="2848">
      <x:c r="A2848" t="n">
        <x:v>2847</x:v>
      </x:c>
      <x:c r="B2848" s="106" t="str">
        <x:v>Frequency: 268.00000 Hz</x:v>
      </x:c>
      <x:c r="C2848" t="str">
        <x:v>Pasted text(56).txt</x:v>
      </x:c>
    </x:row>
    <x:row r="2849">
      <x:c r="A2849" t="n">
        <x:v>2848</x:v>
      </x:c>
      <x:c r="B2849" s="106" t="str">
        <x:v>Target X amplitude: 0.65000 m/s^2 peak, tolerance +/-7.50 %</x:v>
      </x:c>
      <x:c r="C2849" t="str">
        <x:v>Pasted text(56).txt</x:v>
      </x:c>
    </x:row>
    <x:row r="2850">
      <x:c r="A2850" t="n">
        <x:v>2849</x:v>
      </x:c>
      <x:c r="B2850" s="106" t="str">
        <x:v>This run starts from DAC 1.00 and ignores every earlier selected DAC.</x:v>
      </x:c>
      <x:c r="C2850" t="str">
        <x:v>Pasted text(56).txt</x:v>
      </x:c>
    </x:row>
    <x:row r="2851">
      <x:c r="A2851" t="n">
        <x:v>2850</x:v>
      </x:c>
      <x:c r="B2851" s="106" t="str">
        <x:v>ADXL2 DEVID/DATA_FORMAT/BW_RATE/POWER_CTL: 0xE5 / 0xB / 0xE / 0x8</x:v>
      </x:c>
      <x:c r="C2851" t="str">
        <x:v>Pasted text(56).txt</x:v>
      </x:c>
    </x:row>
    <x:row r="2852">
      <x:c r="A2852" t="n">
        <x:v>2851</x:v>
      </x:c>
      <x:c r="B2852" s="106" t="str"/>
      <x:c r="C2852" t="str">
        <x:v>Pasted text(56).txt</x:v>
      </x:c>
    </x:row>
    <x:row r="2853">
      <x:c r="A2853" t="n">
        <x:v>2852</x:v>
      </x:c>
      <x:c r="B2853" s="106" t="str">
        <x:v>ACQUISITION ATTEMPT 1 OF 2</x:v>
      </x:c>
      <x:c r="C2853" t="str">
        <x:v>Pasted text(56).txt</x:v>
      </x:c>
    </x:row>
    <x:row r="2854">
      <x:c r="A2854" t="n">
        <x:v>2853</x:v>
      </x:c>
      <x:c r="B2854" s="106" t="str"/>
      <x:c r="C2854" t="str">
        <x:v>Pasted text(56).txt</x:v>
      </x:c>
    </x:row>
    <x:row r="2855">
      <x:c r="A2855" t="n">
        <x:v>2854</x:v>
      </x:c>
      <x:c r="B2855" s="106" t="str">
        <x:v>FRESH X-AXIS SEARCH FROM DAC 1.00 — OLD DAC VALUES ARE NOT USED</x:v>
      </x:c>
      <x:c r="C2855" t="str">
        <x:v>Pasted text(56).txt</x:v>
      </x:c>
    </x:row>
    <x:row r="2856">
      <x:c r="A2856" t="n">
        <x:v>2855</x:v>
      </x:c>
      <x:c r="B2856" s="106" t="str">
        <x:v>Y/Z are diagnostic only and cannot abort this search.</x:v>
      </x:c>
      <x:c r="C2856" t="str">
        <x:v>Pasted text(56).txt</x:v>
      </x:c>
    </x:row>
    <x:row r="2857">
      <x:c r="A2857" t="n">
        <x:v>2856</x:v>
      </x:c>
      <x:c r="B2857" s="106" t="str">
        <x:v>A real SPI fault, clipping, safety limit or confirmed X-response collapse will stop it.</x:v>
      </x:c>
      <x:c r="C2857" t="str">
        <x:v>Pasted text(56).txt</x:v>
      </x:c>
    </x:row>
    <x:row r="2858">
      <x:c r="A2858" t="n">
        <x:v>2857</x:v>
      </x:c>
      <x:c r="B2858" s="106" t="str">
        <x:v>SEARCH | point 1 | DAC 1.00 | CTRL X 0.02231 | X 0.01998 | Y 0.01592 | Z 0.02912 | TOTAL 0.03899 | error -96.57 % | MAD 30.97 % | CV 16.50 % | coh 10.2 % | dominant Z | axis fraction 68.6 % | BELOW MEASUREMENT FLOOR — SEARCH CONTINUES</x:v>
      </x:c>
      <x:c r="C2858" t="str">
        <x:v>Pasted text(56).txt</x:v>
      </x:c>
    </x:row>
    <x:row r="2859">
      <x:c r="A2859" t="n">
        <x:v>2858</x:v>
      </x:c>
      <x:c r="B2859" s="106" t="str">
        <x:v>SEARCH | point 2 | DAC 3.00 | CTRL X 0.07346 | X 0.07219 | Y 0.06471 | Z 0.11838 | TOTAL 0.15533 | error -88.70 % | MAD 37.18 % | CV 28.19 % | coh 27.8 % | dominant Z | axis fraction 61.0 % | UNSTABLE — SEARCH CONTINUES</x:v>
      </x:c>
      <x:c r="C2859" t="str">
        <x:v>Pasted text(56).txt</x:v>
      </x:c>
    </x:row>
    <x:row r="2860">
      <x:c r="A2860" t="n">
        <x:v>2859</x:v>
      </x:c>
      <x:c r="B2860" s="106" t="str">
        <x:v>SEARCH | point 3 | DAC 5.00 | CTRL X 0.15835 | X 0.14983 | Y 0.13233 | Z 0.24307 | TOTAL 0.31638 | error -75.64 % | MAD 2.73 % | CV 11.57 % | coh 48.9 % | dominant Z | axis fraction 61.6 % | UNSTABLE — SEARCH CONTINUES</x:v>
      </x:c>
      <x:c r="C2860" t="str">
        <x:v>Pasted text(56).txt</x:v>
      </x:c>
    </x:row>
    <x:row r="2861">
      <x:c r="A2861" t="n">
        <x:v>2860</x:v>
      </x:c>
      <x:c r="B2861" s="106" t="str">
        <x:v>SEARCH | point 4 | DAC 7.00 | CTRL X 0.25230 | X 0.25211 | Y 0.21268 | Z 0.37623 | TOTAL 0.50065 | error -61.18 % | MAD 1.18 % | CV 0.91 % | coh 70.1 % | dominant Z | axis fraction 67.0 % | VALID</x:v>
      </x:c>
      <x:c r="C2861" t="str">
        <x:v>Pasted text(56).txt</x:v>
      </x:c>
    </x:row>
    <x:row r="2862">
      <x:c r="A2862" t="n">
        <x:v>2861</x:v>
      </x:c>
      <x:c r="B2862" s="106" t="str">
        <x:v>SEARCH | point 5 | DAC 8.00 | CTRL X 0.29109 | X 0.28536 | Y 0.24445 | Z 0.43883 | TOTAL 0.57781 | error -55.22 % | MAD 0.27 % | CV 3.64 % | coh 72.6 % | dominant Z | axis fraction 65.0 % | VALID</x:v>
      </x:c>
      <x:c r="C2862" t="str">
        <x:v>Pasted text(56).txt</x:v>
      </x:c>
    </x:row>
    <x:row r="2863">
      <x:c r="A2863" t="n">
        <x:v>2862</x:v>
      </x:c>
      <x:c r="B2863" s="106" t="str">
        <x:v>SEARCH | point 6 | DAC 9.00 | CTRL X 0.31985 | X 0.31612 | Y 0.26921 | Z 0.44891 | TOTAL 0.61168 | error -50.79 % | MAD 0.55 % | CV 2.37 % | coh 74.3 % | dominant Z | axis fraction 70.4 % | VALID</x:v>
      </x:c>
      <x:c r="C2863" t="str">
        <x:v>Pasted text(56).txt</x:v>
      </x:c>
    </x:row>
    <x:row r="2864">
      <x:c r="A2864" t="n">
        <x:v>2863</x:v>
      </x:c>
      <x:c r="B2864" s="106" t="str">
        <x:v>SEARCH | point 7 | DAC 10.00 | CTRL X 0.37735 | X 0.37749 | Y 0.31155 | Z 0.52135 | TOTAL 0.71529 | error -41.95 % | MAD 7.37 % | CV 5.02 % | coh 82.0 % | dominant Z | axis fraction 72.4 % | VALID</x:v>
      </x:c>
      <x:c r="C2864" t="str">
        <x:v>Pasted text(56).txt</x:v>
      </x:c>
    </x:row>
    <x:row r="2865">
      <x:c r="A2865" t="n">
        <x:v>2864</x:v>
      </x:c>
      <x:c r="B2865" s="106" t="str">
        <x:v>SEARCH | point 8 | DAC 11.00 | CTRL X 0.41477 | X 0.40365 | Y 0.35236 | Z 0.56840 | TOTAL 0.78149 | error -36.19 % | MAD 0.47 % | CV 5.06 % | coh 79.8 % | dominant Z | axis fraction 71.0 % | VALID</x:v>
      </x:c>
      <x:c r="C2865" t="str">
        <x:v>Pasted text(56).txt</x:v>
      </x:c>
    </x:row>
    <x:row r="2866">
      <x:c r="A2866" t="n">
        <x:v>2865</x:v>
      </x:c>
      <x:c r="B2866" s="106" t="str">
        <x:v>SEARCH | point 9 | DAC 11.50 | CTRL X 0.42239 | X 0.42343 | Y 0.36603 | Z 0.60521 | TOTAL 0.82438 | error -35.02 % | MAD 2.19 % | CV 1.85 % | coh 84.6 % | dominant Z | axis fraction 70.0 % | VALID</x:v>
      </x:c>
      <x:c r="C2866" t="str">
        <x:v>Pasted text(56).txt</x:v>
      </x:c>
    </x:row>
    <x:row r="2867">
      <x:c r="A2867" t="n">
        <x:v>2866</x:v>
      </x:c>
      <x:c r="B2867" s="106" t="str">
        <x:v>SEARCH | point 10 | DAC 12.00 | CTRL X 0.45142 | X 0.44571 | Y 0.36505 | Z 0.63272 | TOTAL 0.85596 | error -30.55 % | MAD 4.97 % | CV 5.43 % | coh 83.2 % | dominant Z | axis fraction 70.4 % | VALID</x:v>
      </x:c>
      <x:c r="C2867" t="str">
        <x:v>Pasted text(56).txt</x:v>
      </x:c>
    </x:row>
    <x:row r="2868">
      <x:c r="A2868" t="n">
        <x:v>2867</x:v>
      </x:c>
      <x:c r="B2868" s="106" t="str">
        <x:v>SEARCH | point 11 | DAC 12.50 | CTRL X 0.45808 | X 0.45693 | Y 0.38535 | Z 0.64173 | TOTAL 0.87715 | error -29.53 % | MAD 2.47 % | CV 2.06 % | coh 85.7 % | dominant Z | axis fraction 71.2 % | VALID</x:v>
      </x:c>
      <x:c r="C2868" t="str">
        <x:v>Pasted text(56).txt</x:v>
      </x:c>
    </x:row>
    <x:row r="2869">
      <x:c r="A2869" t="n">
        <x:v>2868</x:v>
      </x:c>
      <x:c r="B2869" s="106" t="str">
        <x:v>SEARCH | point 12 | DAC 13.00 | CTRL X 0.48023 | X 0.48059 | Y 0.38490 | Z 0.69186 | TOTAL 0.92636 | error -26.12 % | MAD 3.20 % | CV 2.27 % | coh 84.1 % | dominant Z | axis fraction 69.5 % | VALID</x:v>
      </x:c>
      <x:c r="C2869" t="str">
        <x:v>Pasted text(56).txt</x:v>
      </x:c>
    </x:row>
    <x:row r="2870">
      <x:c r="A2870" t="n">
        <x:v>2869</x:v>
      </x:c>
      <x:c r="B2870" s="106" t="str">
        <x:v>SEARCH | point 13 | DAC 13.50 | CTRL X 0.49673 | X 0.49596 | Y 0.40653 | Z 0.64621 | TOTAL 0.91088 | error -23.58 % | MAD 6.12 % | CV 4.37 % | coh 86.4 % | dominant Z | axis fraction 76.7 % | VALID</x:v>
      </x:c>
      <x:c r="C2870" t="str">
        <x:v>Pasted text(56).txt</x:v>
      </x:c>
    </x:row>
    <x:row r="2871">
      <x:c r="A2871" t="n">
        <x:v>2870</x:v>
      </x:c>
      <x:c r="B2871" s="106" t="str">
        <x:v>SEARCH | point 14 | DAC 14.00 | CTRL X 0.52197 | X 0.50563 | Y 0.37067 | Z 0.60429 | TOTAL 0.87089 | error -19.70 % | MAD 0.24 % | CV 5.74 % | coh 86.3 % | dominant Z | axis fraction 83.7 % | VALID</x:v>
      </x:c>
      <x:c r="C2871" t="str">
        <x:v>Pasted text(56).txt</x:v>
      </x:c>
    </x:row>
    <x:row r="2872">
      <x:c r="A2872" t="n">
        <x:v>2871</x:v>
      </x:c>
      <x:c r="B2872" s="106" t="str">
        <x:v>SEARCH | point 15 | DAC 14.50 | CTRL X 1.14899 | X 1.23793 | Y 0.40796 | Z 0.38842 | TOTAL 1.36186 | error 76.77 % | MAD 22.95 % | CV 10.16 % | coh 93.2 % | dominant X | axis fraction 100.0 % | UNSTABLE — SEARCH CONTINUES</x:v>
      </x:c>
      <x:c r="C2872" t="str">
        <x:v>Pasted text(56).txt</x:v>
      </x:c>
    </x:row>
    <x:row r="2873">
      <x:c r="A2873" t="n">
        <x:v>2872</x:v>
      </x:c>
      <x:c r="B2873" s="106" t="str">
        <x:v>SEARCH | point 16 | DAC 15.50 | CTRL X 1.42176 | X 1.42174 | Y 0.34608 | Z 0.48381 | TOTAL 1.54131 | error 118.73 % | MAD 0.58 % | CV 0.39 % | coh 93.6 % | dominant X | axis fraction 100.0 % | VALID</x:v>
      </x:c>
      <x:c r="C2873" t="str">
        <x:v>Pasted text(56).txt</x:v>
      </x:c>
    </x:row>
    <x:row r="2874">
      <x:c r="A2874" t="n">
        <x:v>2873</x:v>
      </x:c>
      <x:c r="B2874" s="106" t="str">
        <x:v>X bracket found: DAC 14.00 -&gt; 15.50. Interpolated X target DAC = 14.21</x:v>
      </x:c>
      <x:c r="C2874" t="str">
        <x:v>Pasted text(56).txt</x:v>
      </x:c>
    </x:row>
    <x:row r="2875">
      <x:c r="A2875" t="n">
        <x:v>2874</x:v>
      </x:c>
      <x:c r="B2875" s="106" t="str"/>
      <x:c r="C2875" t="str">
        <x:v>Pasted text(56).txt</x:v>
      </x:c>
    </x:row>
    <x:row r="2876">
      <x:c r="A2876" t="n">
        <x:v>2875</x:v>
      </x:c>
      <x:c r="B2876" s="106" t="str">
        <x:v>LOCAL 0.25-DAC X-AXIS FINE SCAN</x:v>
      </x:c>
      <x:c r="C2876" t="str">
        <x:v>Pasted text(56).txt</x:v>
      </x:c>
    </x:row>
    <x:row r="2877">
      <x:c r="A2877" t="n">
        <x:v>2876</x:v>
      </x:c>
      <x:c r="B2877" s="106" t="str">
        <x:v>Only a valid point actually inside the X target band may be selected.</x:v>
      </x:c>
      <x:c r="C2877" t="str">
        <x:v>Pasted text(56).txt</x:v>
      </x:c>
    </x:row>
    <x:row r="2878">
      <x:c r="A2878" t="n">
        <x:v>2877</x:v>
      </x:c>
      <x:c r="B2878" s="106" t="str">
        <x:v>FINE | point 1 | DAC 13.25 | CTRL X 1.19721 | X 1.19521 | Y 0.28246 | Z 0.45746 | TOTAL 1.31068 | error 84.19 % | MAD 0.90 % | CV 0.87 % | coh 94.0 % | dominant X | axis fraction 100.0 % | VALID</x:v>
      </x:c>
      <x:c r="C2878" t="str">
        <x:v>Pasted text(56).txt</x:v>
      </x:c>
    </x:row>
    <x:row r="2879">
      <x:c r="A2879" t="n">
        <x:v>2878</x:v>
      </x:c>
      <x:c r="B2879" s="106" t="str">
        <x:v>FINE | point 2 | DAC 13.50 | CTRL X 1.23080 | X 1.22551 | Y 0.29265 | Z 0.45139 | TOTAL 1.33841 | error 89.35 % | MAD 0.37 % | CV 0.97 % | coh 93.8 % | dominant X | axis fraction 100.0 % | VALID</x:v>
      </x:c>
      <x:c r="C2879" t="str">
        <x:v>Pasted text(56).txt</x:v>
      </x:c>
    </x:row>
    <x:row r="2880">
      <x:c r="A2880" t="n">
        <x:v>2879</x:v>
      </x:c>
      <x:c r="B2880" s="106" t="str">
        <x:v>FINE | point 3 | DAC 13.75 | CTRL X 1.23597 | X 1.24340 | Y 0.31099 | Z 0.45758 | TOTAL 1.36094 | error 90.15 % | MAD 0.53 % | CV 1.36 % | coh 93.0 % | dominant X | axis fraction 100.0 % | VALID</x:v>
      </x:c>
      <x:c r="C2880" t="str">
        <x:v>Pasted text(56).txt</x:v>
      </x:c>
    </x:row>
    <x:row r="2881">
      <x:c r="A2881" t="n">
        <x:v>2880</x:v>
      </x:c>
      <x:c r="B2881" s="106" t="str">
        <x:v>FINE | point 4 | DAC 14.00 | CTRL X 1.27935 | X 1.27577 | Y 0.31453 | Z 0.50030 | TOTAL 1.40605 | error 96.82 % | MAD 0.73 % | CV 0.94 % | coh 93.1 % | dominant X | axis fraction 100.0 % | VALID</x:v>
      </x:c>
      <x:c r="C2881" t="str">
        <x:v>Pasted text(56).txt</x:v>
      </x:c>
    </x:row>
    <x:row r="2882">
      <x:c r="A2882" t="n">
        <x:v>2881</x:v>
      </x:c>
      <x:c r="B2882" s="106" t="str">
        <x:v>FINE | point 5 | DAC 14.25 | CTRL X 1.32874 | X 1.32020 | Y 0.31657 | Z 0.45075 | TOTAL 1.43074 | error 104.42 % | MAD 0.40 % | CV 1.36 % | coh 94.3 % | dominant X | axis fraction 100.0 % | VALID</x:v>
      </x:c>
      <x:c r="C2882" t="str">
        <x:v>Pasted text(56).txt</x:v>
      </x:c>
    </x:row>
    <x:row r="2883">
      <x:c r="A2883" t="n">
        <x:v>2882</x:v>
      </x:c>
      <x:c r="B2883" s="106" t="str">
        <x:v>FINE | point 6 | DAC 14.50 | CTRL X 1.33649 | X 1.32633 | Y 0.32269 | Z 0.51557 | TOTAL 1.45926 | error 105.61 % | MAD 0.12 % | CV 1.40 % | coh 93.9 % | dominant X | axis fraction 100.0 % | VALID</x:v>
      </x:c>
      <x:c r="C2883" t="str">
        <x:v>Pasted text(56).txt</x:v>
      </x:c>
    </x:row>
    <x:row r="2884">
      <x:c r="A2884" t="n">
        <x:v>2883</x:v>
      </x:c>
      <x:c r="B2884" s="106" t="str">
        <x:v>FINE | point 7 | DAC 14.75 | CTRL X 1.34855 | X 1.34804 | Y 0.32369 | Z 0.51593 | TOTAL 1.47939 | error 107.47 % | MAD 0.73 % | CV 0.55 % | coh 93.9 % | dominant X | axis fraction 100.0 % | VALID</x:v>
      </x:c>
      <x:c r="C2884" t="str">
        <x:v>Pasted text(56).txt</x:v>
      </x:c>
    </x:row>
    <x:row r="2885">
      <x:c r="A2885" t="n">
        <x:v>2884</x:v>
      </x:c>
      <x:c r="B2885" s="106" t="str">
        <x:v>FINE | point 8 | DAC 15.00 | CTRL X 1.38888 | X 1.38943 | Y 0.33075 | Z 0.52850 | TOTAL 1.52303 | error 113.67 % | MAD 0.02 % | CV 0.08 % | coh 94.0 % | dominant X | axis fraction 100.0 % | VALID</x:v>
      </x:c>
      <x:c r="C2885" t="str">
        <x:v>Pasted text(56).txt</x:v>
      </x:c>
    </x:row>
    <x:row r="2886">
      <x:c r="A2886" t="n">
        <x:v>2885</x:v>
      </x:c>
      <x:c r="B2886" s="106" t="str">
        <x:v>FINE | point 9 | DAC 15.25 | CTRL X 1.40595 | X 1.39910 | Y 0.32616 | Z 0.53821 | TOTAL 1.53414 | error 116.30 % | MAD 1.04 % | CV 1.50 % | coh 94.0 % | dominant X | axis fraction 100.0 % | VALID</x:v>
      </x:c>
      <x:c r="C2886" t="str">
        <x:v>Pasted text(56).txt</x:v>
      </x:c>
    </x:row>
    <x:row r="2887">
      <x:c r="A2887" t="n">
        <x:v>2886</x:v>
      </x:c>
      <x:c r="B2887" s="106" t="str"/>
      <x:c r="C2887" t="str">
        <x:v>Pasted text(56).txt</x:v>
      </x:c>
    </x:row>
    <x:row r="2888">
      <x:c r="A2888" t="n">
        <x:v>2887</x:v>
      </x:c>
      <x:c r="B2888" s="106" t="str">
        <x:v>ACQUISITION ATTEMPT 2 OF 2</x:v>
      </x:c>
      <x:c r="C2888" t="str">
        <x:v>Pasted text(56).txt</x:v>
      </x:c>
    </x:row>
    <x:row r="2889">
      <x:c r="A2889" t="n">
        <x:v>2888</x:v>
      </x:c>
      <x:c r="B2889" s="106" t="str"/>
      <x:c r="C2889" t="str">
        <x:v>Pasted text(56).txt</x:v>
      </x:c>
    </x:row>
    <x:row r="2890">
      <x:c r="A2890" t="n">
        <x:v>2889</x:v>
      </x:c>
      <x:c r="B2890" s="106" t="str">
        <x:v>FRESH X-AXIS SEARCH FROM DAC 1.00 — OLD DAC VALUES ARE NOT USED</x:v>
      </x:c>
      <x:c r="C2890" t="str">
        <x:v>Pasted text(56).txt</x:v>
      </x:c>
    </x:row>
    <x:row r="2891">
      <x:c r="A2891" t="n">
        <x:v>2890</x:v>
      </x:c>
      <x:c r="B2891" s="106" t="str">
        <x:v>Y/Z are diagnostic only and cannot abort this search.</x:v>
      </x:c>
      <x:c r="C2891" t="str">
        <x:v>Pasted text(56).txt</x:v>
      </x:c>
    </x:row>
    <x:row r="2892">
      <x:c r="A2892" t="n">
        <x:v>2891</x:v>
      </x:c>
      <x:c r="B2892" s="106" t="str">
        <x:v>A real SPI fault, clipping, safety limit or confirmed X-response collapse will stop it.</x:v>
      </x:c>
      <x:c r="C2892" t="str">
        <x:v>Pasted text(56).txt</x:v>
      </x:c>
    </x:row>
    <x:row r="2893">
      <x:c r="A2893" t="n">
        <x:v>2892</x:v>
      </x:c>
      <x:c r="B2893" s="106" t="str">
        <x:v>SEARCH | point 1 | DAC 1.00 | CTRL X 0.02281 | X 0.02258 | Y 0.01896 | Z 0.02632 | TOTAL 0.04298 | error -96.49 % | MAD 2.63 % | CV 3.41 % | coh 13.7 % | dominant Z | axis fraction 85.8 % | BELOW MEASUREMENT FLOOR — SEARCH CONTINUES</x:v>
      </x:c>
      <x:c r="C2893" t="str">
        <x:v>Pasted text(56).txt</x:v>
      </x:c>
    </x:row>
    <x:row r="2894">
      <x:c r="A2894" t="n">
        <x:v>2893</x:v>
      </x:c>
      <x:c r="B2894" s="106" t="str">
        <x:v>SEARCH | point 2 | DAC 3.00 | CTRL X 0.08002 | X 0.07471 | Y 0.07246 | Z 0.07267 | TOTAL 0.12930 | error -87.69 % | MAD 45.71 % | CV 44.11 % | coh 33.1 % | dominant X | axis fraction 100.0 % | UNSTABLE — SEARCH CONTINUES</x:v>
      </x:c>
      <x:c r="C2894" t="str">
        <x:v>Pasted text(56).txt</x:v>
      </x:c>
    </x:row>
    <x:row r="2895">
      <x:c r="A2895" t="n">
        <x:v>2894</x:v>
      </x:c>
      <x:c r="B2895" s="106" t="str">
        <x:v>SEARCH | point 3 | DAC 5.00 | CTRL X 0.16608 | X 0.17396 | Y 0.12879 | Z 0.12254 | TOTAL 0.24966 | error -74.45 % | MAD 5.09 % | CV 10.81 % | coh 62.7 % | dominant X | axis fraction 100.0 % | VALID</x:v>
      </x:c>
      <x:c r="C2895" t="str">
        <x:v>Pasted text(56).txt</x:v>
      </x:c>
    </x:row>
    <x:row r="2896">
      <x:c r="A2896" t="n">
        <x:v>2895</x:v>
      </x:c>
      <x:c r="B2896" s="106" t="str">
        <x:v>SEARCH | point 4 | DAC 6.00 | CTRL X 0.25290 | X 0.24766 | Y 0.14990 | Z 0.17258 | TOTAL 0.33770 | error -61.09 % | MAD 9.55 % | CV 9.92 % | coh 72.9 % | dominant X | axis fraction 100.0 % | VALID</x:v>
      </x:c>
      <x:c r="C2896" t="str">
        <x:v>Pasted text(56).txt</x:v>
      </x:c>
    </x:row>
    <x:row r="2897">
      <x:c r="A2897" t="n">
        <x:v>2896</x:v>
      </x:c>
      <x:c r="B2897" s="106" t="str">
        <x:v>SEARCH | point 5 | DAC 7.00 | CTRL X 0.34216 | X 0.33788 | Y 0.18992 | Z 0.20616 | TOTAL 0.43962 | error -47.36 % | MAD 10.07 % | CV 8.84 % | coh 81.5 % | dominant X | axis fraction 100.0 % | VALID</x:v>
      </x:c>
      <x:c r="C2897" t="str">
        <x:v>Pasted text(56).txt</x:v>
      </x:c>
    </x:row>
    <x:row r="2898">
      <x:c r="A2898" t="n">
        <x:v>2897</x:v>
      </x:c>
      <x:c r="B2898" s="106" t="str">
        <x:v>SEARCH | point 6 | DAC 8.00 | CTRL X 0.32031 | X 0.32145 | Y 0.20212 | Z 0.23372 | TOTAL 0.44608 | error -50.72 % | MAD 5.08 % | CV 3.96 % | coh 83.3 % | dominant X | axis fraction 100.0 % | VALID</x:v>
      </x:c>
      <x:c r="C2898" t="str">
        <x:v>Pasted text(56).txt</x:v>
      </x:c>
    </x:row>
    <x:row r="2899">
      <x:c r="A2899" t="n">
        <x:v>2898</x:v>
      </x:c>
      <x:c r="B2899" s="106" t="str">
        <x:v>SEARCH | point 7 | DAC 9.00 | CTRL X 0.32888 | X 0.32271 | Y 0.26920 | Z 0.22520 | TOTAL 0.47734 | error -49.40 % | MAD 1.84 % | CV 4.45 % | coh 79.1 % | dominant X | axis fraction 100.0 % | VALID</x:v>
      </x:c>
      <x:c r="C2899" t="str">
        <x:v>Pasted text(56).txt</x:v>
      </x:c>
    </x:row>
    <x:row r="2900">
      <x:c r="A2900" t="n">
        <x:v>2899</x:v>
      </x:c>
      <x:c r="B2900" s="106" t="str">
        <x:v>SEARCH | point 8 | DAC 10.00 | CTRL X 0.40854 | X 0.40686 | Y 0.30543 | Z 0.30025 | TOTAL 0.59103 | error -37.15 % | MAD 1.11 % | CV 1.42 % | coh 85.7 % | dominant X | axis fraction 100.0 % | VALID</x:v>
      </x:c>
      <x:c r="C2900" t="str">
        <x:v>Pasted text(56).txt</x:v>
      </x:c>
    </x:row>
    <x:row r="2901">
      <x:c r="A2901" t="n">
        <x:v>2900</x:v>
      </x:c>
      <x:c r="B2901" s="106" t="str">
        <x:v>SEARCH | point 9 | DAC 10.50 | CTRL X 0.46176 | X 0.46964 | Y 0.26530 | Z 0.36325 | TOTAL 0.65222 | error -28.96 % | MAD 4.73 % | CV 5.84 % | coh 88.9 % | dominant X | axis fraction 100.0 % | VALID</x:v>
      </x:c>
      <x:c r="C2901" t="str">
        <x:v>Pasted text(56).txt</x:v>
      </x:c>
    </x:row>
    <x:row r="2902">
      <x:c r="A2902" t="n">
        <x:v>2901</x:v>
      </x:c>
      <x:c r="B2902" s="106" t="str">
        <x:v>SEARCH | point 10 | DAC 11.00 | CTRL X 0.47558 | X 0.48724 | Y 0.30455 | Z 0.44123 | TOTAL 0.72565 | error -26.83 % | MAD 0.28 % | CV 4.31 % | coh 87.3 % | dominant X | axis fraction 100.0 % | VALID</x:v>
      </x:c>
      <x:c r="C2902" t="str">
        <x:v>Pasted text(56).txt</x:v>
      </x:c>
    </x:row>
    <x:row r="2903">
      <x:c r="A2903" t="n">
        <x:v>2902</x:v>
      </x:c>
      <x:c r="B2903" s="106" t="str">
        <x:v>SEARCH | point 11 | DAC 11.50 | CTRL X 0.48230 | X 0.48235 | Y 0.30983 | Z 0.46230 | TOTAL 0.73686 | error -25.80 % | MAD 4.73 % | CV 3.21 % | coh 88.3 % | dominant X | axis fraction 100.0 % | VALID</x:v>
      </x:c>
      <x:c r="C2903" t="str">
        <x:v>Pasted text(56).txt</x:v>
      </x:c>
    </x:row>
    <x:row r="2904">
      <x:c r="A2904" t="n">
        <x:v>2903</x:v>
      </x:c>
      <x:c r="B2904" s="106" t="str">
        <x:v>SEARCH | point 12 | DAC 12.00 | CTRL X 0.51735 | X 0.54081 | Y 0.30747 | Z 0.41530 | TOTAL 0.74904 | error -20.41 % | MAD 0.00 % | CV 7.51 % | coh 87.3 % | dominant X | axis fraction 100.0 % | VALID</x:v>
      </x:c>
      <x:c r="C2904" t="str">
        <x:v>Pasted text(56).txt</x:v>
      </x:c>
    </x:row>
    <x:row r="2905">
      <x:c r="A2905" t="n">
        <x:v>2904</x:v>
      </x:c>
      <x:c r="B2905" s="106" t="str">
        <x:v>SEARCH | point 13 | DAC 12.50 | CTRL X 0.52282 | X 0.53302 | Y 0.35531 | Z 0.50869 | TOTAL 0.81848 | error -19.57 % | MAD 2.19 % | CV 4.62 % | coh 86.5 % | dominant X | axis fraction 100.0 % | VALID</x:v>
      </x:c>
      <x:c r="C2905" t="str">
        <x:v>Pasted text(56).txt</x:v>
      </x:c>
    </x:row>
    <x:row r="2906">
      <x:c r="A2906" t="n">
        <x:v>2905</x:v>
      </x:c>
      <x:c r="B2906" s="106" t="str">
        <x:v>SEARCH | point 14 | DAC 13.00 | CTRL X 0.48021 | X 0.48147 | Y 0.37133 | Z 0.56708 | TOTAL 0.83188 | error -26.12 % | MAD 4.96 % | CV 3.74 % | coh 84.0 % | dominant Z | axis fraction 84.9 % | VALID</x:v>
      </x:c>
      <x:c r="C2906" t="str">
        <x:v>Pasted text(56).txt</x:v>
      </x:c>
    </x:row>
    <x:row r="2907">
      <x:c r="A2907" t="n">
        <x:v>2906</x:v>
      </x:c>
      <x:c r="B2907" s="106" t="str">
        <x:v>SEARCH | point 15 | DAC 13.50 | CTRL X 0.50513 | X 0.50867 | Y 0.37429 | Z 0.61715 | TOTAL 0.88366 | error -22.29 % | MAD 1.79 % | CV 2.32 % | coh 87.7 % | dominant Z | axis fraction 82.4 % | VALID</x:v>
      </x:c>
      <x:c r="C2907" t="str">
        <x:v>Pasted text(56).txt</x:v>
      </x:c>
    </x:row>
    <x:row r="2908">
      <x:c r="A2908" t="n">
        <x:v>2907</x:v>
      </x:c>
      <x:c r="B2908" s="106" t="str">
        <x:v>SEARCH | point 16 | DAC 14.00 | CTRL X 0.57346 | X 0.58161 | Y 0.39685 | Z 0.61847 | TOTAL 0.93735 | error -11.78 % | MAD 0.63 % | CV 2.80 % | coh 89.2 % | dominant Z | axis fraction 94.0 % | VALID</x:v>
      </x:c>
      <x:c r="C2908" t="str">
        <x:v>Pasted text(56).txt</x:v>
      </x:c>
    </x:row>
    <x:row r="2909">
      <x:c r="A2909" t="n">
        <x:v>2908</x:v>
      </x:c>
      <x:c r="B2909" s="106" t="str">
        <x:v>SEARCH | point 17 | DAC 14.25 | CTRL X 0.58533 | X 0.58855 | Y 0.40618 | Z 0.63772 | TOTAL 0.95831 | error -9.95 % | MAD 1.96 % | CV 2.19 % | coh 89.6 % | dominant Z | axis fraction 92.3 % | VALID</x:v>
      </x:c>
      <x:c r="C2909" t="str">
        <x:v>Pasted text(56).txt</x:v>
      </x:c>
    </x:row>
    <x:row r="2910">
      <x:c r="A2910" t="n">
        <x:v>2909</x:v>
      </x:c>
      <x:c r="B2910" s="106" t="str">
        <x:v>SEARCH | point 18 | DAC 14.50 | CTRL X 0.63151 | X 0.63883 | Y 0.40310 | Z 0.62125 | TOTAL 0.97814 | error -2.85 % | MAD 2.14 % | CV 3.30 % | coh 89.7 % | dominant X | axis fraction 100.0 % | IN TARGET BAND</x:v>
      </x:c>
      <x:c r="C2910" t="str">
        <x:v>Pasted text(56).txt</x:v>
      </x:c>
    </x:row>
    <x:row r="2911">
      <x:c r="A2911" t="n">
        <x:v>2910</x:v>
      </x:c>
      <x:c r="B2911" s="106" t="str"/>
      <x:c r="C2911" t="str">
        <x:v>Pasted text(56).txt</x:v>
      </x:c>
    </x:row>
    <x:row r="2912">
      <x:c r="A2912" t="n">
        <x:v>2911</x:v>
      </x:c>
      <x:c r="B2912" s="106" t="str">
        <x:v>LOCAL 0.25-DAC X-AXIS FINE SCAN</x:v>
      </x:c>
      <x:c r="C2912" t="str">
        <x:v>Pasted text(56).txt</x:v>
      </x:c>
    </x:row>
    <x:row r="2913">
      <x:c r="A2913" t="n">
        <x:v>2912</x:v>
      </x:c>
      <x:c r="B2913" s="106" t="str">
        <x:v>Only a valid point actually inside the X target band may be selected.</x:v>
      </x:c>
      <x:c r="C2913" t="str">
        <x:v>Pasted text(56).txt</x:v>
      </x:c>
    </x:row>
    <x:row r="2914">
      <x:c r="A2914" t="n">
        <x:v>2913</x:v>
      </x:c>
      <x:c r="B2914" s="106" t="str">
        <x:v>FINE | point 1 | DAC 13.50 | CTRL X 0.60434 | X 0.58730 | Y 0.38282 | Z 0.57959 | TOTAL 0.91117 | error -7.02 % | MAD 3.72 % | CV 7.38 % | coh 90.1 % | dominant X | axis fraction 100.0 % | IN TARGET BAND</x:v>
      </x:c>
      <x:c r="C2914" t="str">
        <x:v>Pasted text(56).txt</x:v>
      </x:c>
    </x:row>
    <x:row r="2915">
      <x:c r="A2915" t="n">
        <x:v>2914</x:v>
      </x:c>
      <x:c r="B2915" s="106" t="str">
        <x:v>FINE | point 2 | DAC 13.75 | CTRL X 0.54155 | X 0.53730 | Y 0.37852 | Z 0.61018 | TOTAL 0.89709 | error -16.68 % | MAD 4.89 % | CV 4.56 % | coh 86.3 % | dominant Z | axis fraction 88.1 % | VALID</x:v>
      </x:c>
      <x:c r="C2915" t="str">
        <x:v>Pasted text(56).txt</x:v>
      </x:c>
    </x:row>
    <x:row r="2916">
      <x:c r="A2916" t="n">
        <x:v>2915</x:v>
      </x:c>
      <x:c r="B2916" s="106" t="str">
        <x:v>FINE | point 3 | DAC 14.00 | CTRL X 0.53403 | X 0.52983 | Y 0.39748 | Z 0.60874 | TOTAL 0.89983 | error -17.84 % | MAD 1.03 % | CV 2.01 % | coh 85.9 % | dominant Z | axis fraction 87.0 % | VALID</x:v>
      </x:c>
      <x:c r="C2916" t="str">
        <x:v>Pasted text(56).txt</x:v>
      </x:c>
    </x:row>
    <x:row r="2917">
      <x:c r="A2917" t="n">
        <x:v>2916</x:v>
      </x:c>
      <x:c r="B2917" s="106" t="str">
        <x:v>FINE | point 4 | DAC 14.25 | CTRL X 0.55059 | X 0.54719 | Y 0.39981 | Z 0.64244 | TOTAL 0.93390 | error -15.29 % | MAD 1.67 % | CV 2.13 % | coh 87.5 % | dominant Z | axis fraction 85.2 % | VALID</x:v>
      </x:c>
      <x:c r="C2917" t="str">
        <x:v>Pasted text(56).txt</x:v>
      </x:c>
    </x:row>
    <x:row r="2918">
      <x:c r="A2918" t="n">
        <x:v>2917</x:v>
      </x:c>
      <x:c r="B2918" s="106" t="str">
        <x:v>FINE | point 5 | DAC 14.50 | CTRL X 0.58477 | X 0.57530 | Y 0.39810 | Z 0.65845 | TOTAL 0.96086 | error -10.04 % | MAD 1.23 % | CV 3.60 % | coh 89.2 % | dominant Z | axis fraction 87.4 % | VALID</x:v>
      </x:c>
      <x:c r="C2918" t="str">
        <x:v>Pasted text(56).txt</x:v>
      </x:c>
    </x:row>
    <x:row r="2919">
      <x:c r="A2919" t="n">
        <x:v>2918</x:v>
      </x:c>
      <x:c r="B2919" s="106" t="str">
        <x:v>FINE | point 6 | DAC 14.75 | CTRL X 0.58956 | X 0.58396 | Y 0.39573 | Z 0.60839 | TOTAL 0.93157 | error -9.30 % | MAD 2.82 % | CV 1.36 % | coh 87.7 % | dominant Z | axis fraction 96.0 % | VALID</x:v>
      </x:c>
      <x:c r="C2919" t="str">
        <x:v>Pasted text(56).txt</x:v>
      </x:c>
    </x:row>
    <x:row r="2920">
      <x:c r="A2920" t="n">
        <x:v>2919</x:v>
      </x:c>
      <x:c r="B2920" s="106" t="str">
        <x:v>FINE | point 7 | DAC 15.00 | CTRL X 0.60509 | X 0.60444 | Y 0.37124 | Z 0.54629 | TOTAL 0.89556 | error -6.91 % | MAD 0.32 % | CV 0.15 % | coh 88.7 % | dominant X | axis fraction 100.0 % | IN TARGET BAND</x:v>
      </x:c>
      <x:c r="C2920" t="str">
        <x:v>Pasted text(56).txt</x:v>
      </x:c>
    </x:row>
    <x:row r="2921">
      <x:c r="A2921" t="n">
        <x:v>2920</x:v>
      </x:c>
      <x:c r="B2921" s="106" t="str">
        <x:v>FINE | point 8 | DAC 15.25 | CTRL X 1.02375 | X 1.03157 | Y 0.39683 | Z 0.48440 | TOTAL 1.20740 | error 57.50 % | MAD 6.37 % | CV 5.44 % | coh 92.4 % | dominant X | axis fraction 100.0 % | VALID</x:v>
      </x:c>
      <x:c r="C2921" t="str">
        <x:v>Pasted text(56).txt</x:v>
      </x:c>
    </x:row>
    <x:row r="2922">
      <x:c r="A2922" t="n">
        <x:v>2921</x:v>
      </x:c>
      <x:c r="B2922" s="106" t="str">
        <x:v>FINE | point 9 | DAC 15.50 | CTRL X 0.96735 | X 0.99479 | Y 0.39380 | Z 0.43071 | TOTAL 1.15407 | error 48.82 % | MAD 0.69 % | CV 5.17 % | coh 93.2 % | dominant X | axis fraction 100.0 % | VALID</x:v>
      </x:c>
      <x:c r="C2922" t="str">
        <x:v>Pasted text(56).txt</x:v>
      </x:c>
    </x:row>
    <x:row r="2923">
      <x:c r="A2923" t="n">
        <x:v>2922</x:v>
      </x:c>
      <x:c r="B2923" s="106" t="str"/>
      <x:c r="C2923" t="str">
        <x:v>Pasted text(56).txt</x:v>
      </x:c>
    </x:row>
    <x:row r="2924">
      <x:c r="A2924" t="n">
        <x:v>2923</x:v>
      </x:c>
      <x:c r="B2924" s="106" t="str">
        <x:v>LONG VALIDATION AT FIXED DAC 15.00</x:v>
      </x:c>
      <x:c r="C2924" t="str">
        <x:v>Pasted text(56).txt</x:v>
      </x:c>
    </x:row>
    <x:row r="2925">
      <x:c r="A2925" t="n">
        <x:v>2924</x:v>
      </x:c>
      <x:c r="B2925" s="106" t="str">
        <x:v>FINAL | point 1 | DAC 15.00 | CTRL X 0.91147 | X 0.90123 | Y 0.39951 | Z 0.51258 | TOTAL 1.11163 | error 40.23 % | MAD 7.59 % | CV 6.23 % | coh 92.1 % | dominant X | axis fraction 100.0 % | VALID</x:v>
      </x:c>
      <x:c r="C2925" t="str">
        <x:v>Pasted text(56).txt</x:v>
      </x:c>
    </x:row>
    <x:row r="2926">
      <x:c r="A2926" t="n">
        <x:v>2925</x:v>
      </x:c>
      <x:c r="B2926" s="106" t="str">
        <x:v>FINAL | point 2 | DAC 15.00 | CTRL X 0.81084 | X 0.81054 | Y 0.19678 | Z 0.25279 | TOTAL 0.87261 | error 24.75 % | MAD 4.40 % | CV 5.04 % | coh 90.7 % | dominant X | axis fraction 100.0 % | VALID</x:v>
      </x:c>
      <x:c r="C2926" t="str">
        <x:v>Pasted text(56).txt</x:v>
      </x:c>
    </x:row>
    <x:row r="2927">
      <x:c r="A2927" t="n">
        <x:v>2926</x:v>
      </x:c>
      <x:c r="B2927" s="106" t="str">
        <x:v>FINAL | point 3 | DAC 15.00 | CTRL X 0.61238 | X 0.61838 | Y 0.34317 | Z 0.54154 | TOTAL 0.89140 | error -5.79 % | MAD 12.04 % | CV 8.85 % | coh 89.7 % | dominant X | axis fraction 100.0 % | UNSTABLE — SEARCH CONTINUES</x:v>
      </x:c>
      <x:c r="C2927" t="str">
        <x:v>Pasted text(56).txt</x:v>
      </x:c>
    </x:row>
    <x:row r="2928">
      <x:c r="A2928" t="n">
        <x:v>2927</x:v>
      </x:c>
      <x:c r="B2928" s="106" t="str">
        <x:v>Stable validation was 32.49 % from target. Performing one bounded trim: DAC 15.00 -&gt; 14.50</x:v>
      </x:c>
      <x:c r="C2928" t="str">
        <x:v>Pasted text(56).txt</x:v>
      </x:c>
    </x:row>
    <x:row r="2929">
      <x:c r="A2929" t="n">
        <x:v>2928</x:v>
      </x:c>
      <x:c r="B2929" s="106" t="str"/>
      <x:c r="C2929" t="str">
        <x:v>Pasted text(56).txt</x:v>
      </x:c>
    </x:row>
    <x:row r="2930">
      <x:c r="A2930" t="n">
        <x:v>2929</x:v>
      </x:c>
      <x:c r="B2930" s="106" t="str">
        <x:v>LONG VALIDATION AT FIXED DAC 14.50</x:v>
      </x:c>
      <x:c r="C2930" t="str">
        <x:v>Pasted text(56).txt</x:v>
      </x:c>
    </x:row>
    <x:row r="2931">
      <x:c r="A2931" t="n">
        <x:v>2930</x:v>
      </x:c>
      <x:c r="B2931" s="106" t="str">
        <x:v>FINAL | point 1 | DAC 14.50 | CTRL X 0.53655 | X 0.54102 | Y 0.34990 | Z 0.53167 | TOTAL 0.83600 | error -17.45 % | MAD 3.57 % | CV 3.62 % | coh 88.3 % | dominant X | axis fraction 100.0 % | VALID</x:v>
      </x:c>
      <x:c r="C2931" t="str">
        <x:v>Pasted text(56).txt</x:v>
      </x:c>
    </x:row>
    <x:row r="2932">
      <x:c r="A2932" t="n">
        <x:v>2931</x:v>
      </x:c>
      <x:c r="B2932" s="106" t="str">
        <x:v>FINAL | point 2 | DAC 14.50 | CTRL X 0.59399 | X 0.58692 | Y 0.33647 | Z 0.54210 | TOTAL 0.86715 | error -8.62 % | MAD 3.69 % | CV 4.08 % | coh 88.7 % | dominant X | axis fraction 100.0 % | VALID</x:v>
      </x:c>
      <x:c r="C2932" t="str">
        <x:v>Pasted text(56).txt</x:v>
      </x:c>
    </x:row>
    <x:row r="2933">
      <x:c r="A2933" t="n">
        <x:v>2932</x:v>
      </x:c>
      <x:c r="B2933" s="106" t="str">
        <x:v>FINAL | point 3 | DAC 14.50 | CTRL X 0.82589 | X 0.95615 | Y 0.34235 | Z 0.39729 | TOTAL 1.10833 | error 27.06 % | MAD 33.15 % | CV 34.83 % | coh 89.4 % | dominant X | axis fraction 100.0 % | UNSTABLE — SEARCH CONTINUES</x:v>
      </x:c>
      <x:c r="C2933" t="str">
        <x:v>Pasted text(56).txt</x:v>
      </x:c>
    </x:row>
    <x:row r="2934">
      <x:c r="A2934" t="n">
        <x:v>2933</x:v>
      </x:c>
      <x:c r="B2934" s="106" t="str"/>
      <x:c r="C2934" t="str">
        <x:v>Pasted text(56).txt</x:v>
      </x:c>
    </x:row>
    <x:row r="2935">
      <x:c r="A2935" t="n">
        <x:v>2934</x:v>
      </x:c>
      <x:c r="B2935" s="106" t="str">
        <x:v>RUN RESULT: FAIL — One bounded trim did not validate</x:v>
      </x:c>
      <x:c r="C2935" t="str">
        <x:v>Pasted text(56).txt</x:v>
      </x:c>
    </x:row>
    <x:row r="2936">
      <x:c r="A2936" t="n">
        <x:v>2935</x:v>
      </x:c>
      <x:c r="B2936" s="106" t="str"/>
      <x:c r="C2936" t="str">
        <x:v>Pasted text(56).txt</x:v>
      </x:c>
    </x:row>
    <x:row r="2937">
      <x:c r="A2937" t="n">
        <x:v>2936</x:v>
      </x:c>
      <x:c r="B2937" s="106" t="str">
        <x:v>VISATON OFF. RESTING 5.0 s BEFORE THE NEXT COMPLETELY FRESH RUN.</x:v>
      </x:c>
      <x:c r="C2937" t="str">
        <x:v>Pasted text(56).txt</x:v>
      </x:c>
    </x:row>
    <x:row r="2938">
      <x:c r="A2938" t="n">
        <x:v>2937</x:v>
      </x:c>
      <x:c r="B2938" s="106" t="str"/>
      <x:c r="C2938" t="str">
        <x:v>Pasted text(56).txt</x:v>
      </x:c>
    </x:row>
    <x:row r="2939">
      <x:c r="A2939" t="n">
        <x:v>2938</x:v>
      </x:c>
      <x:c r="B2939" s="106" t="str">
        <x:v>################################################################################</x:v>
      </x:c>
      <x:c r="C2939" t="str">
        <x:v>Pasted text(56).txt</x:v>
      </x:c>
    </x:row>
    <x:row r="2940">
      <x:c r="A2940" t="n">
        <x:v>2939</x:v>
      </x:c>
      <x:c r="B2940" s="106" t="str">
        <x:v>INDEPENDENT TARGET-AMPLITUDE RUN 5 OF 5</x:v>
      </x:c>
      <x:c r="C2940" t="str">
        <x:v>Pasted text(56).txt</x:v>
      </x:c>
    </x:row>
    <x:row r="2941">
      <x:c r="A2941" t="n">
        <x:v>2940</x:v>
      </x:c>
      <x:c r="B2941" s="106" t="str">
        <x:v>################################################################################</x:v>
      </x:c>
      <x:c r="C2941" t="str">
        <x:v>Pasted text(56).txt</x:v>
      </x:c>
    </x:row>
    <x:row r="2942">
      <x:c r="A2942" t="n">
        <x:v>2941</x:v>
      </x:c>
      <x:c r="B2942" s="106" t="str">
        <x:v>Frequency: 268.00000 Hz</x:v>
      </x:c>
      <x:c r="C2942" t="str">
        <x:v>Pasted text(56).txt</x:v>
      </x:c>
    </x:row>
    <x:row r="2943">
      <x:c r="A2943" t="n">
        <x:v>2942</x:v>
      </x:c>
      <x:c r="B2943" s="106" t="str">
        <x:v>Target X amplitude: 0.65000 m/s^2 peak, tolerance +/-7.50 %</x:v>
      </x:c>
      <x:c r="C2943" t="str">
        <x:v>Pasted text(56).txt</x:v>
      </x:c>
    </x:row>
    <x:row r="2944">
      <x:c r="A2944" t="n">
        <x:v>2943</x:v>
      </x:c>
      <x:c r="B2944" s="106" t="str">
        <x:v>This run starts from DAC 1.00 and ignores every earlier selected DAC.</x:v>
      </x:c>
      <x:c r="C2944" t="str">
        <x:v>Pasted text(56).txt</x:v>
      </x:c>
    </x:row>
    <x:row r="2945">
      <x:c r="A2945" t="n">
        <x:v>2944</x:v>
      </x:c>
      <x:c r="B2945" s="106" t="str">
        <x:v>ADXL2 DEVID/DATA_FORMAT/BW_RATE/POWER_CTL: 0xE5 / 0xB / 0xE / 0x8</x:v>
      </x:c>
      <x:c r="C2945" t="str">
        <x:v>Pasted text(56).txt</x:v>
      </x:c>
    </x:row>
    <x:row r="2946">
      <x:c r="A2946" t="n">
        <x:v>2945</x:v>
      </x:c>
      <x:c r="B2946" s="106" t="str"/>
      <x:c r="C2946" t="str">
        <x:v>Pasted text(56).txt</x:v>
      </x:c>
    </x:row>
    <x:row r="2947">
      <x:c r="A2947" t="n">
        <x:v>2946</x:v>
      </x:c>
      <x:c r="B2947" s="106" t="str">
        <x:v>ACQUISITION ATTEMPT 1 OF 2</x:v>
      </x:c>
      <x:c r="C2947" t="str">
        <x:v>Pasted text(56).txt</x:v>
      </x:c>
    </x:row>
    <x:row r="2948">
      <x:c r="A2948" t="n">
        <x:v>2947</x:v>
      </x:c>
      <x:c r="B2948" s="106" t="str"/>
      <x:c r="C2948" t="str">
        <x:v>Pasted text(56).txt</x:v>
      </x:c>
    </x:row>
    <x:row r="2949">
      <x:c r="A2949" t="n">
        <x:v>2948</x:v>
      </x:c>
      <x:c r="B2949" s="106" t="str">
        <x:v>FRESH X-AXIS SEARCH FROM DAC 1.00 — OLD DAC VALUES ARE NOT USED</x:v>
      </x:c>
      <x:c r="C2949" t="str">
        <x:v>Pasted text(56).txt</x:v>
      </x:c>
    </x:row>
    <x:row r="2950">
      <x:c r="A2950" t="n">
        <x:v>2949</x:v>
      </x:c>
      <x:c r="B2950" s="106" t="str">
        <x:v>Y/Z are diagnostic only and cannot abort this search.</x:v>
      </x:c>
      <x:c r="C2950" t="str">
        <x:v>Pasted text(56).txt</x:v>
      </x:c>
    </x:row>
    <x:row r="2951">
      <x:c r="A2951" t="n">
        <x:v>2950</x:v>
      </x:c>
      <x:c r="B2951" s="106" t="str">
        <x:v>A real SPI fault, clipping, safety limit or confirmed X-response collapse will stop it.</x:v>
      </x:c>
      <x:c r="C2951" t="str">
        <x:v>Pasted text(56).txt</x:v>
      </x:c>
    </x:row>
    <x:row r="2952">
      <x:c r="A2952" t="n">
        <x:v>2951</x:v>
      </x:c>
      <x:c r="B2952" s="106" t="str">
        <x:v>SEARCH | point 1 | DAC 1.00 | CTRL X 0.01824 | X 0.01773 | Y 0.02346 | Z 0.04211 | TOTAL 0.05220 | error -97.19 % | MAD 6.43 % | CV 9.06 % | coh 10.3 % | dominant Z | axis fraction 42.1 % | BELOW MEASUREMENT FLOOR — SEARCH CONTINUES</x:v>
      </x:c>
      <x:c r="C2952" t="str">
        <x:v>Pasted text(56).txt</x:v>
      </x:c>
    </x:row>
    <x:row r="2953">
      <x:c r="A2953" t="n">
        <x:v>2952</x:v>
      </x:c>
      <x:c r="B2953" s="106" t="str">
        <x:v>SEARCH | point 2 | DAC 3.00 | CTRL X 0.15977 | X 0.16007 | Y 0.04045 | Z 0.08331 | TOTAL 0.18581 | error -75.42 % | MAD 14.63 % | CV 10.13 % | coh 61.2 % | dominant X | axis fraction 100.0 % | UNSTABLE — SEARCH CONTINUES</x:v>
      </x:c>
      <x:c r="C2953" t="str">
        <x:v>Pasted text(56).txt</x:v>
      </x:c>
    </x:row>
    <x:row r="2954">
      <x:c r="A2954" t="n">
        <x:v>2953</x:v>
      </x:c>
      <x:c r="B2954" s="106" t="str">
        <x:v>SEARCH | point 3 | DAC 5.00 | CTRL X 0.39531 | X 0.38199 | Y 0.10335 | Z 0.18980 | TOTAL 0.43946 | error -39.18 % | MAD 1.26 % | CV 6.81 % | coh 84.1 % | dominant X | axis fraction 100.0 % | VALID</x:v>
      </x:c>
      <x:c r="C2954" t="str">
        <x:v>Pasted text(56).txt</x:v>
      </x:c>
    </x:row>
    <x:row r="2955">
      <x:c r="A2955" t="n">
        <x:v>2954</x:v>
      </x:c>
      <x:c r="B2955" s="106" t="str">
        <x:v>SEARCH | point 4 | DAC 5.50 | CTRL X 0.42356 | X 0.42621 | Y 0.10192 | Z 0.16747 | TOTAL 0.46947 | error -34.84 % | MAD 2.38 % | CV 2.58 % | coh 86.2 % | dominant X | axis fraction 100.0 % | VALID</x:v>
      </x:c>
      <x:c r="C2955" t="str">
        <x:v>Pasted text(56).txt</x:v>
      </x:c>
    </x:row>
    <x:row r="2956">
      <x:c r="A2956" t="n">
        <x:v>2955</x:v>
      </x:c>
      <x:c r="B2956" s="106" t="str">
        <x:v>SEARCH | point 5 | DAC 6.00 | CTRL X 0.50021 | X 0.50326 | Y 0.13683 | Z 0.22644 | TOTAL 0.56923 | error -23.04 % | MAD 1.66 % | CV 2.09 % | coh 89.3 % | dominant X | axis fraction 100.0 % | VALID</x:v>
      </x:c>
      <x:c r="C2956" t="str">
        <x:v>Pasted text(56).txt</x:v>
      </x:c>
    </x:row>
    <x:row r="2957">
      <x:c r="A2957" t="n">
        <x:v>2956</x:v>
      </x:c>
      <x:c r="B2957" s="106" t="str">
        <x:v>SEARCH | point 6 | DAC 6.50 | CTRL X 0.53669 | X 0.52754 | Y 0.13409 | Z 0.24323 | TOTAL 0.59693 | error -17.43 % | MAD 3.50 % | CV 5.23 % | coh 86.9 % | dominant X | axis fraction 100.0 % | VALID</x:v>
      </x:c>
      <x:c r="C2957" t="str">
        <x:v>Pasted text(56).txt</x:v>
      </x:c>
    </x:row>
    <x:row r="2958">
      <x:c r="A2958" t="n">
        <x:v>2957</x:v>
      </x:c>
      <x:c r="B2958" s="106" t="str">
        <x:v>SEARCH | point 7 | DAC 7.00 | CTRL X 0.59466 | X 0.59942 | Y 0.13650 | Z 0.27962 | TOTAL 0.67563 | error -8.51 % | MAD 0.91 % | CV 1.93 % | coh 88.4 % | dominant X | axis fraction 100.0 % | VALID</x:v>
      </x:c>
      <x:c r="C2958" t="str">
        <x:v>Pasted text(56).txt</x:v>
      </x:c>
    </x:row>
    <x:row r="2959">
      <x:c r="A2959" t="n">
        <x:v>2958</x:v>
      </x:c>
      <x:c r="B2959" s="106" t="str">
        <x:v>SEARCH | point 8 | DAC 7.25 | CTRL X 0.64303 | X 0.64559 | Y 0.14631 | Z 0.27554 | TOTAL 0.71718 | error -1.07 % | MAD 0.65 % | CV 1.09 % | coh 89.9 % | dominant X | axis fraction 100.0 % | IN TARGET BAND</x:v>
      </x:c>
      <x:c r="C2959" t="str">
        <x:v>Pasted text(56).txt</x:v>
      </x:c>
    </x:row>
    <x:row r="2960">
      <x:c r="A2960" t="n">
        <x:v>2959</x:v>
      </x:c>
      <x:c r="B2960" s="106" t="str"/>
      <x:c r="C2960" t="str">
        <x:v>Pasted text(56).txt</x:v>
      </x:c>
    </x:row>
    <x:row r="2961">
      <x:c r="A2961" t="n">
        <x:v>2960</x:v>
      </x:c>
      <x:c r="B2961" s="106" t="str">
        <x:v>LOCAL 0.25-DAC X-AXIS FINE SCAN</x:v>
      </x:c>
      <x:c r="C2961" t="str">
        <x:v>Pasted text(56).txt</x:v>
      </x:c>
    </x:row>
    <x:row r="2962">
      <x:c r="A2962" t="n">
        <x:v>2961</x:v>
      </x:c>
      <x:c r="B2962" s="106" t="str">
        <x:v>Only a valid point actually inside the X target band may be selected.</x:v>
      </x:c>
      <x:c r="C2962" t="str">
        <x:v>Pasted text(56).txt</x:v>
      </x:c>
    </x:row>
    <x:row r="2963">
      <x:c r="A2963" t="n">
        <x:v>2962</x:v>
      </x:c>
      <x:c r="B2963" s="106" t="str">
        <x:v>FINE | point 1 | DAC 6.25 | CTRL X 0.52088 | X 0.51731 | Y 0.11420 | Z 0.27028 | TOTAL 0.59501 | error -19.86 % | MAD 3.21 % | CV 3.27 % | coh 88.1 % | dominant X | axis fraction 100.0 % | VALID</x:v>
      </x:c>
      <x:c r="C2963" t="str">
        <x:v>Pasted text(56).txt</x:v>
      </x:c>
    </x:row>
    <x:row r="2964">
      <x:c r="A2964" t="n">
        <x:v>2963</x:v>
      </x:c>
      <x:c r="B2964" s="106" t="str">
        <x:v>FINE | point 2 | DAC 6.50 | CTRL X 0.53869 | X 0.53829 | Y 0.13159 | Z 0.24705 | TOTAL 0.60702 | error -17.12 % | MAD 4.22 % | CV 2.96 % | coh 89.7 % | dominant X | axis fraction 100.0 % | VALID</x:v>
      </x:c>
      <x:c r="C2964" t="str">
        <x:v>Pasted text(56).txt</x:v>
      </x:c>
    </x:row>
    <x:row r="2965">
      <x:c r="A2965" t="n">
        <x:v>2964</x:v>
      </x:c>
      <x:c r="B2965" s="106" t="str">
        <x:v>FINE | point 3 | DAC 6.75 | CTRL X 0.58924 | X 0.58804 | Y 0.14843 | Z 0.27817 | TOTAL 0.66765 | error -9.35 % | MAD 5.00 % | CV 3.69 % | coh 89.3 % | dominant X | axis fraction 100.0 % | VALID</x:v>
      </x:c>
      <x:c r="C2965" t="str">
        <x:v>Pasted text(56).txt</x:v>
      </x:c>
    </x:row>
    <x:row r="2966">
      <x:c r="A2966" t="n">
        <x:v>2965</x:v>
      </x:c>
      <x:c r="B2966" s="106" t="str">
        <x:v>FINE | point 4 | DAC 7.00 | CTRL X 0.60776 | X 0.60302 | Y 0.15170 | Z 0.29777 | TOTAL 0.68975 | error -6.50 % | MAD 3.21 % | CV 3.43 % | coh 89.4 % | dominant X | axis fraction 100.0 % | IN TARGET BAND</x:v>
      </x:c>
      <x:c r="C2966" t="str">
        <x:v>Pasted text(56).txt</x:v>
      </x:c>
    </x:row>
    <x:row r="2967">
      <x:c r="A2967" t="n">
        <x:v>2966</x:v>
      </x:c>
      <x:c r="B2967" s="106" t="str">
        <x:v>FINE | point 5 | DAC 7.25 | CTRL X 0.62516 | X 0.63587 | Y 0.14346 | Z 0.28660 | TOTAL 0.71262 | error -3.82 % | MAD 2.38 % | CV 4.35 % | coh 91.1 % | dominant X | axis fraction 100.0 % | IN TARGET BAND</x:v>
      </x:c>
      <x:c r="C2967" t="str">
        <x:v>Pasted text(56).txt</x:v>
      </x:c>
    </x:row>
    <x:row r="2968">
      <x:c r="A2968" t="n">
        <x:v>2967</x:v>
      </x:c>
      <x:c r="B2968" s="106" t="str">
        <x:v>FINE | point 6 | DAC 7.50 | CTRL X 0.65718 | X 0.64954 | Y 0.14822 | Z 0.30521 | TOTAL 0.73290 | error 1.10 % | MAD 1.89 % | CV 3.22 % | coh 90.6 % | dominant X | axis fraction 100.0 % | IN TARGET BAND</x:v>
      </x:c>
      <x:c r="C2968" t="str">
        <x:v>Pasted text(56).txt</x:v>
      </x:c>
    </x:row>
    <x:row r="2969">
      <x:c r="A2969" t="n">
        <x:v>2968</x:v>
      </x:c>
      <x:c r="B2969" s="106" t="str">
        <x:v>FINE | point 7 | DAC 7.75 | CTRL X 0.68858 | X 0.69305 | Y 0.15902 | Z 0.32300 | TOTAL 0.78102 | error 5.94 % | MAD 1.58 % | CV 2.10 % | coh 90.0 % | dominant X | axis fraction 100.0 % | IN TARGET BAND</x:v>
      </x:c>
      <x:c r="C2969" t="str">
        <x:v>Pasted text(56).txt</x:v>
      </x:c>
    </x:row>
    <x:row r="2970">
      <x:c r="A2970" t="n">
        <x:v>2969</x:v>
      </x:c>
      <x:c r="B2970" s="106" t="str">
        <x:v>FINE | point 8 | DAC 8.00 | CTRL X 0.70763 | X 0.71012 | Y 0.16423 | Z 0.32746 | TOTAL 0.79942 | error 8.87 % | MAD 2.59 % | CV 2.29 % | coh 90.7 % | dominant X | axis fraction 100.0 % | VALID</x:v>
      </x:c>
      <x:c r="C2970" t="str">
        <x:v>Pasted text(56).txt</x:v>
      </x:c>
    </x:row>
    <x:row r="2971">
      <x:c r="A2971" t="n">
        <x:v>2970</x:v>
      </x:c>
      <x:c r="B2971" s="106" t="str">
        <x:v>FINE | point 9 | DAC 8.25 | CTRL X 0.75088 | X 0.75001 | Y 0.16841 | Z 0.33720 | TOTAL 0.83964 | error 15.52 % | MAD 3.09 % | CV 2.26 % | coh 91.7 % | dominant X | axis fraction 100.0 % | VALID</x:v>
      </x:c>
      <x:c r="C2971" t="str">
        <x:v>Pasted text(56).txt</x:v>
      </x:c>
    </x:row>
    <x:row r="2972">
      <x:c r="A2972" t="n">
        <x:v>2971</x:v>
      </x:c>
      <x:c r="B2972" s="106" t="str"/>
      <x:c r="C2972" t="str">
        <x:v>Pasted text(56).txt</x:v>
      </x:c>
    </x:row>
    <x:row r="2973">
      <x:c r="A2973" t="n">
        <x:v>2972</x:v>
      </x:c>
      <x:c r="B2973" s="106" t="str">
        <x:v>LONG VALIDATION AT FIXED DAC 7.50</x:v>
      </x:c>
      <x:c r="C2973" t="str">
        <x:v>Pasted text(56).txt</x:v>
      </x:c>
    </x:row>
    <x:row r="2974">
      <x:c r="A2974" t="n">
        <x:v>2973</x:v>
      </x:c>
      <x:c r="B2974" s="106" t="str">
        <x:v>FINAL | point 1 | DAC 7.50 | CTRL X 0.62103 | X 0.62311 | Y 0.14777 | Z 0.30963 | TOTAL 0.71177 | error -4.46 % | MAD 2.07 % | CV 2.81 % | coh 90.0 % | dominant X | axis fraction 100.0 % | IN TARGET BAND</x:v>
      </x:c>
      <x:c r="C2974" t="str">
        <x:v>Pasted text(56).txt</x:v>
      </x:c>
    </x:row>
    <x:row r="2975">
      <x:c r="A2975" t="n">
        <x:v>2974</x:v>
      </x:c>
      <x:c r="B2975" s="106" t="str">
        <x:v>FINAL | point 2 | DAC 7.50 | CTRL X 0.63293 | X 0.62932 | Y 0.14947 | Z 0.29973 | TOTAL 0.71332 | error -2.63 % | MAD 0.31 % | CV 1.98 % | coh 89.8 % | dominant X | axis fraction 100.0 % | IN TARGET BAND</x:v>
      </x:c>
      <x:c r="C2975" t="str">
        <x:v>Pasted text(56).txt</x:v>
      </x:c>
    </x:row>
    <x:row r="2976">
      <x:c r="A2976" t="n">
        <x:v>2975</x:v>
      </x:c>
      <x:c r="B2976" s="106" t="str">
        <x:v>VALIDATION ACCEPTED | pair drift 1.90 %</x:v>
      </x:c>
      <x:c r="C2976" t="str">
        <x:v>Pasted text(56).txt</x:v>
      </x:c>
    </x:row>
    <x:row r="2977">
      <x:c r="A2977" t="n">
        <x:v>2976</x:v>
      </x:c>
      <x:c r="B2977" s="106" t="str"/>
      <x:c r="C2977" t="str">
        <x:v>Pasted text(56).txt</x:v>
      </x:c>
    </x:row>
    <x:row r="2978">
      <x:c r="A2978" t="n">
        <x:v>2977</x:v>
      </x:c>
      <x:c r="B2978" s="106" t="str">
        <x:v>FINAL VALIDATED BLIND FFT VERIFICATION</x:v>
      </x:c>
      <x:c r="C2978" t="str">
        <x:v>Pasted text(56).txt</x:v>
      </x:c>
    </x:row>
    <x:row r="2979">
      <x:c r="A2979" t="n">
        <x:v>2978</x:v>
      </x:c>
      <x:c r="B2979" s="106" t="str">
        <x:v>Commanded frequency: 268.00000 Hz</x:v>
      </x:c>
      <x:c r="C2979" t="str">
        <x:v>Pasted text(56).txt</x:v>
      </x:c>
    </x:row>
    <x:row r="2980">
      <x:c r="A2980" t="n">
        <x:v>2979</x:v>
      </x:c>
      <x:c r="B2980" s="106" t="str">
        <x:v>Accepted DAC: 7.50</x:v>
      </x:c>
      <x:c r="C2980" t="str">
        <x:v>Pasted text(56).txt</x:v>
      </x:c>
    </x:row>
    <x:row r="2981">
      <x:c r="A2981" t="n">
        <x:v>2980</x:v>
      </x:c>
      <x:c r="B2981" s="106" t="str">
        <x:v>Axis,Frequency_Hz,Amplitude_mps2,SNR_dB,Status</x:v>
      </x:c>
      <x:c r="C2981" t="str">
        <x:v>Pasted text(56).txt</x:v>
      </x:c>
    </x:row>
    <x:row r="2982">
      <x:c r="A2982" t="n">
        <x:v>2981</x:v>
      </x:c>
      <x:c r="B2982" s="106" t="str">
        <x:v>X,268.03295,0.57522,30.74,VALID</x:v>
      </x:c>
      <x:c r="C2982" t="str">
        <x:v>Pasted text(56).txt</x:v>
      </x:c>
    </x:row>
    <x:row r="2983">
      <x:c r="A2983" t="n">
        <x:v>2982</x:v>
      </x:c>
      <x:c r="B2983" s="106" t="str">
        <x:v>Y,268.03721,0.13042,18.83,VALID</x:v>
      </x:c>
      <x:c r="C2983" t="str">
        <x:v>Pasted text(56).txt</x:v>
      </x:c>
    </x:row>
    <x:row r="2984">
      <x:c r="A2984" t="n">
        <x:v>2983</x:v>
      </x:c>
      <x:c r="B2984" s="106" t="str">
        <x:v>Z,268.01545,0.26564,23.71,VALID</x:v>
      </x:c>
      <x:c r="C2984" t="str">
        <x:v>Pasted text(56).txt</x:v>
      </x:c>
    </x:row>
    <x:row r="2985">
      <x:c r="A2985" t="n">
        <x:v>2984</x:v>
      </x:c>
      <x:c r="B2985" s="106" t="str">
        <x:v>Combined frequency: 268.03022 Hz | difference 0.03022 Hz</x:v>
      </x:c>
      <x:c r="C2985" t="str">
        <x:v>Pasted text(56).txt</x:v>
      </x:c>
    </x:row>
    <x:row r="2986">
      <x:c r="A2986" t="n">
        <x:v>2985</x:v>
      </x:c>
      <x:c r="B2986" s="106" t="str">
        <x:v>Combined X/Y/Z/TOTAL: 0.52582 / 0.11926 / 0.24216 / 0.59106</x:v>
      </x:c>
      <x:c r="C2986" t="str">
        <x:v>Pasted text(56).txt</x:v>
      </x:c>
    </x:row>
    <x:row r="2987">
      <x:c r="A2987" t="n">
        <x:v>2986</x:v>
      </x:c>
      <x:c r="B2987" s="106" t="str">
        <x:v>SNR: 27.18 dB | dominant axis X</x:v>
      </x:c>
      <x:c r="C2987" t="str">
        <x:v>Pasted text(56).txt</x:v>
      </x:c>
    </x:row>
    <x:row r="2988">
      <x:c r="A2988" t="n">
        <x:v>2987</x:v>
      </x:c>
      <x:c r="B2988" s="106" t="str">
        <x:v>Frequency verification: PASS</x:v>
      </x:c>
      <x:c r="C2988" t="str">
        <x:v>Pasted text(56).txt</x:v>
      </x:c>
    </x:row>
    <x:row r="2989">
      <x:c r="A2989" t="n">
        <x:v>2988</x:v>
      </x:c>
      <x:c r="B2989" s="106" t="str">
        <x:v>Y/Z dominance: DIAGNOSTIC ONLY — ignored for pass/fail</x:v>
      </x:c>
      <x:c r="C2989" t="str">
        <x:v>Pasted text(56).txt</x:v>
      </x:c>
    </x:row>
    <x:row r="2990">
      <x:c r="A2990" t="n">
        <x:v>2989</x:v>
      </x:c>
      <x:c r="B2990" s="106" t="str"/>
      <x:c r="C2990" t="str">
        <x:v>Pasted text(56).txt</x:v>
      </x:c>
    </x:row>
    <x:row r="2991">
      <x:c r="A2991" t="n">
        <x:v>2990</x:v>
      </x:c>
      <x:c r="B2991" s="106" t="str">
        <x:v>FIXED-DAC HOLD VALIDATION</x:v>
      </x:c>
      <x:c r="C2991" t="str">
        <x:v>Pasted text(56).txt</x:v>
      </x:c>
    </x:row>
    <x:row r="2992">
      <x:c r="A2992" t="n">
        <x:v>2991</x:v>
      </x:c>
      <x:c r="B2992" s="106" t="str">
        <x:v>DAC remains fixed at 7.50 for 10 records.</x:v>
      </x:c>
      <x:c r="C2992" t="str">
        <x:v>Pasted text(56).txt</x:v>
      </x:c>
    </x:row>
    <x:row r="2993">
      <x:c r="A2993" t="n">
        <x:v>2992</x:v>
      </x:c>
      <x:c r="B2993" s="106" t="str">
        <x:v>HOLD | point 1 | DAC 7.50 | CTRL X 0.62680 | X 0.61753 | Y 0.13994 | Z 0.30712 | TOTAL 0.70426 | error -3.57 % | MAD 2.17 % | CV 3.96 % | coh 88.9 % | dominant X | axis fraction 100.0 % | IN TARGET BAND</x:v>
      </x:c>
      <x:c r="C2993" t="str">
        <x:v>Pasted text(56).txt</x:v>
      </x:c>
    </x:row>
    <x:row r="2994">
      <x:c r="A2994" t="n">
        <x:v>2993</x:v>
      </x:c>
      <x:c r="B2994" s="106" t="str">
        <x:v>HOLD | point 2 | DAC 7.50 | CTRL X 0.62507 | X 0.61940 | Y 0.14248 | Z 0.31176 | TOTAL 0.70819 | error -3.84 % | MAD 1.99 % | CV 2.84 % | coh 88.9 % | dominant X | axis fraction 100.0 % | IN TARGET BAND</x:v>
      </x:c>
      <x:c r="C2994" t="str">
        <x:v>Pasted text(56).txt</x:v>
      </x:c>
    </x:row>
    <x:row r="2995">
      <x:c r="A2995" t="n">
        <x:v>2994</x:v>
      </x:c>
      <x:c r="B2995" s="106" t="str">
        <x:v>HOLD | point 3 | DAC 7.50 | CTRL X 0.62796 | X 0.62642 | Y 0.15071 | Z 0.32260 | TOTAL 0.72061 | error -3.39 % | MAD 1.76 % | CV 1.57 % | coh 90.0 % | dominant X | axis fraction 100.0 % | IN TARGET BAND</x:v>
      </x:c>
      <x:c r="C2995" t="str">
        <x:v>Pasted text(56).txt</x:v>
      </x:c>
    </x:row>
    <x:row r="2996">
      <x:c r="A2996" t="n">
        <x:v>2995</x:v>
      </x:c>
      <x:c r="B2996" s="106" t="str">
        <x:v>HOLD | point 4 | DAC 7.50 | CTRL X 0.61242 | X 0.61670 | Y 0.13419 | Z 0.30365 | TOTAL 0.70073 | error -5.78 % | MAD 0.34 % | CV 1.41 % | coh 90.2 % | dominant X | axis fraction 100.0 % | IN TARGET BAND</x:v>
      </x:c>
      <x:c r="C2996" t="str">
        <x:v>Pasted text(56).txt</x:v>
      </x:c>
    </x:row>
    <x:row r="2997">
      <x:c r="A2997" t="n">
        <x:v>2996</x:v>
      </x:c>
      <x:c r="B2997" s="106" t="str">
        <x:v>HOLD | point 5 | DAC 7.50 | CTRL X 0.62745 | X 0.62814 | Y 0.15074 | Z 0.29921 | TOTAL 0.71201 | error -3.47 % | MAD 0.92 % | CV 0.79 % | coh 89.5 % | dominant X | axis fraction 100.0 % | IN TARGET BAND</x:v>
      </x:c>
      <x:c r="C2997" t="str">
        <x:v>Pasted text(56).txt</x:v>
      </x:c>
    </x:row>
    <x:row r="2998">
      <x:c r="A2998" t="n">
        <x:v>2997</x:v>
      </x:c>
      <x:c r="B2998" s="106" t="str">
        <x:v>HOLD | point 6 | DAC 7.50 | CTRL X 0.62295 | X 0.62363 | Y 0.14528 | Z 0.32093 | TOTAL 0.71639 | error -4.16 % | MAD 0.10 % | CV 0.25 % | coh 90.5 % | dominant X | axis fraction 100.0 % | IN TARGET BAND</x:v>
      </x:c>
      <x:c r="C2998" t="str">
        <x:v>Pasted text(56).txt</x:v>
      </x:c>
    </x:row>
    <x:row r="2999">
      <x:c r="A2999" t="n">
        <x:v>2998</x:v>
      </x:c>
      <x:c r="B2999" s="106" t="str">
        <x:v>HOLD | point 7 | DAC 7.50 | CTRL X 0.61918 | X 0.62559 | Y 0.15441 | Z 0.32148 | TOTAL 0.72068 | error -4.74 % | MAD 0.45 % | CV 2.04 % | coh 89.9 % | dominant X | axis fraction 100.0 % | IN TARGET BAND</x:v>
      </x:c>
      <x:c r="C2999" t="str">
        <x:v>Pasted text(56).txt</x:v>
      </x:c>
    </x:row>
    <x:row r="3000">
      <x:c r="A3000" t="n">
        <x:v>2999</x:v>
      </x:c>
      <x:c r="B3000" s="106" t="str">
        <x:v>HOLD | point 8 | DAC 7.50 | CTRL X 0.64867 | X 0.64174 | Y 0.15766 | Z 0.28675 | TOTAL 0.72098 | error -0.21 % | MAD 2.60 % | CV 3.52 % | coh 91.7 % | dominant X | axis fraction 100.0 % | IN TARGET BAND</x:v>
      </x:c>
      <x:c r="C3000" t="str">
        <x:v>Pasted text(56).txt</x:v>
      </x:c>
    </x:row>
    <x:row r="3001">
      <x:c r="A3001" t="n">
        <x:v>3000</x:v>
      </x:c>
      <x:c r="B3001" s="106" t="str">
        <x:v>HOLD | point 9 | DAC 7.50 | CTRL X 0.61157 | X 0.61758 | Y 0.15703 | Z 0.30771 | TOTAL 0.70778 | error -5.91 % | MAD 0.78 % | CV 2.15 % | coh 89.6 % | dominant X | axis fraction 100.0 % | IN TARGET BAND</x:v>
      </x:c>
      <x:c r="C3001" t="str">
        <x:v>Pasted text(56).txt</x:v>
      </x:c>
    </x:row>
    <x:row r="3002">
      <x:c r="A3002" t="n">
        <x:v>3001</x:v>
      </x:c>
      <x:c r="B3002" s="106" t="str">
        <x:v>HOLD | point 10 | DAC 7.50 | CTRL X 0.61189 | X 0.60513 | Y 0.15105 | Z 0.29249 | TOTAL 0.68904 | error -5.86 % | MAD 2.08 % | CV 3.24 % | coh 87.9 % | dominant X | axis fraction 100.0 % | IN TARGET BAND</x:v>
      </x:c>
      <x:c r="C3002" t="str">
        <x:v>Pasted text(56).txt</x:v>
      </x:c>
    </x:row>
    <x:row r="3003">
      <x:c r="A3003" t="n">
        <x:v>3002</x:v>
      </x:c>
      <x:c r="B3003" s="106" t="str"/>
      <x:c r="C3003" t="str">
        <x:v>Pasted text(56).txt</x:v>
      </x:c>
    </x:row>
    <x:row r="3004">
      <x:c r="A3004" t="n">
        <x:v>3003</x:v>
      </x:c>
      <x:c r="B3004" s="106" t="str">
        <x:v>HOLD SUMMARY</x:v>
      </x:c>
      <x:c r="C3004" t="str">
        <x:v>Pasted text(56).txt</x:v>
      </x:c>
    </x:row>
    <x:row r="3005">
      <x:c r="A3005" t="n">
        <x:v>3004</x:v>
      </x:c>
      <x:c r="B3005" s="106" t="str">
        <x:v>Valid / requested: 10 / 10</x:v>
      </x:c>
      <x:c r="C3005" t="str">
        <x:v>Pasted text(56).txt</x:v>
      </x:c>
    </x:row>
    <x:row r="3006">
      <x:c r="A3006" t="n">
        <x:v>3005</x:v>
      </x:c>
      <x:c r="B3006" s="106" t="str">
        <x:v>In band / requested: 10 / 10 = 100.0 %</x:v>
      </x:c>
      <x:c r="C3006" t="str">
        <x:v>Pasted text(56).txt</x:v>
      </x:c>
    </x:row>
    <x:row r="3007">
      <x:c r="A3007" t="n">
        <x:v>3006</x:v>
      </x:c>
      <x:c r="B3007" s="106" t="str">
        <x:v>Mean / SD / CV: 0.62340 / 0.01106 / 1.77 %</x:v>
      </x:c>
      <x:c r="C3007" t="str">
        <x:v>Pasted text(56).txt</x:v>
      </x:c>
    </x:row>
    <x:row r="3008">
      <x:c r="A3008" t="n">
        <x:v>3007</x:v>
      </x:c>
      <x:c r="B3008" s="106" t="str">
        <x:v>Min / Max: 0.61157 / 0.64867</x:v>
      </x:c>
      <x:c r="C3008" t="str">
        <x:v>Pasted text(56).txt</x:v>
      </x:c>
    </x:row>
    <x:row r="3009">
      <x:c r="A3009" t="n">
        <x:v>3008</x:v>
      </x:c>
      <x:c r="B3009" s="106" t="str">
        <x:v>HOLD RESULT: PASS</x:v>
      </x:c>
      <x:c r="C3009" t="str">
        <x:v>Pasted text(56).txt</x:v>
      </x:c>
    </x:row>
    <x:row r="3010">
      <x:c r="A3010" t="n">
        <x:v>3009</x:v>
      </x:c>
      <x:c r="B3010" s="106" t="str"/>
      <x:c r="C3010" t="str">
        <x:v>Pasted text(56).txt</x:v>
      </x:c>
    </x:row>
    <x:row r="3011">
      <x:c r="A3011" t="n">
        <x:v>3010</x:v>
      </x:c>
      <x:c r="B3011" s="106" t="str">
        <x:v>RUN RESULT: PASS</x:v>
      </x:c>
      <x:c r="C3011" t="str">
        <x:v>Pasted text(56).txt</x:v>
      </x:c>
    </x:row>
    <x:row r="3012">
      <x:c r="A3012" t="n">
        <x:v>3011</x:v>
      </x:c>
      <x:c r="B3012" s="106" t="str">
        <x:v>Selected DAC: 7.50</x:v>
      </x:c>
      <x:c r="C3012" t="str">
        <x:v>Pasted text(56).txt</x:v>
      </x:c>
    </x:row>
    <x:row r="3013">
      <x:c r="A3013" t="n">
        <x:v>3012</x:v>
      </x:c>
      <x:c r="B3013" s="106" t="str">
        <x:v>Validated amplitude: 0.62698 m/s^2 | error -3.54 %</x:v>
      </x:c>
      <x:c r="C3013" t="str">
        <x:v>Pasted text(56).txt</x:v>
      </x:c>
    </x:row>
    <x:row r="3014">
      <x:c r="A3014" t="n">
        <x:v>3013</x:v>
      </x:c>
      <x:c r="B3014" s="106" t="str">
        <x:v>FFT frequency: 268.03022 Hz | difference 0.03022 Hz</x:v>
      </x:c>
      <x:c r="C3014" t="str">
        <x:v>Pasted text(56).txt</x:v>
      </x:c>
    </x:row>
    <x:row r="3015">
      <x:c r="A3015" t="n">
        <x:v>3014</x:v>
      </x:c>
      <x:c r="B3015" s="106" t="str"/>
      <x:c r="C3015" t="str">
        <x:v>Pasted text(56).txt</x:v>
      </x:c>
    </x:row>
    <x:row r="3016">
      <x:c r="A3016" t="n">
        <x:v>3015</x:v>
      </x:c>
      <x:c r="B3016" s="106" t="str">
        <x:v>================================================================================</x:v>
      </x:c>
      <x:c r="C3016" t="str">
        <x:v>Pasted text(56).txt</x:v>
      </x:c>
    </x:row>
    <x:row r="3017">
      <x:c r="A3017" t="n">
        <x:v>3016</x:v>
      </x:c>
      <x:c r="B3017" s="106" t="str">
        <x:v>FINAL REPEATED TARGET-AMPLITUDE VALIDATION SUMMARY</x:v>
      </x:c>
      <x:c r="C3017" t="str">
        <x:v>Pasted text(56).txt</x:v>
      </x:c>
    </x:row>
    <x:row r="3018">
      <x:c r="A3018" t="n">
        <x:v>3017</x:v>
      </x:c>
      <x:c r="B3018" s="106" t="str">
        <x:v>================================================================================</x:v>
      </x:c>
      <x:c r="C3018" t="str">
        <x:v>Pasted text(56).txt</x:v>
      </x:c>
    </x:row>
    <x:row r="3019">
      <x:c r="A3019" t="n">
        <x:v>3018</x:v>
      </x:c>
      <x:c r="B3019" s="106" t="str">
        <x:v>Run,Pass,Selected_DAC,Validated_Amp,Error_pct,FFT_Hz,FFT_Diff_Hz,FFT_SNR_dB,Hold_Mean,Hold_CV_pct,Hold_InBand_pct,Reason</x:v>
      </x:c>
      <x:c r="C3019" t="str">
        <x:v>Pasted text(56).txt</x:v>
      </x:c>
    </x:row>
    <x:row r="3020">
      <x:c r="A3020" t="n">
        <x:v>3019</x:v>
      </x:c>
      <x:c r="B3020" s="106" t="str">
        <x:v>1,PASS,8.25,0.66571,2.42,268.03348,0.03348,27.49,0.65172,0.73,100.0,PASS</x:v>
      </x:c>
      <x:c r="C3020" t="str">
        <x:v>Pasted text(56).txt</x:v>
      </x:c>
    </x:row>
    <x:row r="3021">
      <x:c r="A3021" t="n">
        <x:v>3020</x:v>
      </x:c>
      <x:c r="B3021" s="106" t="str">
        <x:v>2,PASS,8.25,0.65064,0.10,268.01195,0.01195,27.52,0.64216,1.49,100.0,PASS</x:v>
      </x:c>
      <x:c r="C3021" t="str">
        <x:v>Pasted text(56).txt</x:v>
      </x:c>
    </x:row>
    <x:row r="3022">
      <x:c r="A3022" t="n">
        <x:v>3021</x:v>
      </x:c>
      <x:c r="B3022" s="106" t="str">
        <x:v>3,PASS,8.50,0.64583,-0.64,268.01876,0.01876,28.03,0.65099,2.05,100.0,PASS</x:v>
      </x:c>
      <x:c r="C3022" t="str">
        <x:v>Pasted text(56).txt</x:v>
      </x:c>
    </x:row>
    <x:row r="3023">
      <x:c r="A3023" t="n">
        <x:v>3022</x:v>
      </x:c>
      <x:c r="B3023" s="106" t="str">
        <x:v>4,FAIL,0.00,0.00000,0.00,0.00000,0.00000,0.00,0.00000,0.00,0.0,One bounded trim did not validate</x:v>
      </x:c>
      <x:c r="C3023" t="str">
        <x:v>Pasted text(56).txt</x:v>
      </x:c>
    </x:row>
    <x:row r="3024">
      <x:c r="A3024" t="n">
        <x:v>3023</x:v>
      </x:c>
      <x:c r="B3024" s="106" t="str">
        <x:v>5,PASS,7.50,0.62698,-3.54,268.03022,0.03022,27.18,0.62340,1.77,100.0,PASS</x:v>
      </x:c>
      <x:c r="C3024" t="str">
        <x:v>Pasted text(56).txt</x:v>
      </x:c>
    </x:row>
    <x:row r="3025">
      <x:c r="A3025" t="n">
        <x:v>3024</x:v>
      </x:c>
      <x:c r="B3025" s="106" t="str">
        <x:v>--------------------------------------------------------------------------------</x:v>
      </x:c>
      <x:c r="C3025" t="str">
        <x:v>Pasted text(56).txt</x:v>
      </x:c>
    </x:row>
    <x:row r="3026">
      <x:c r="A3026" t="n">
        <x:v>3025</x:v>
      </x:c>
      <x:c r="B3026" s="106" t="str">
        <x:v>Successful independent runs: 4 / 5</x:v>
      </x:c>
      <x:c r="C3026" t="str">
        <x:v>Pasted text(56).txt</x:v>
      </x:c>
    </x:row>
    <x:row r="3027">
      <x:c r="A3027" t="n">
        <x:v>3026</x:v>
      </x:c>
      <x:c r="B3027" s="106" t="str">
        <x:v>Validated amplitude mean +/- SD: 0.64729 +/- 0.01597 m/s^2 peak</x:v>
      </x:c>
      <x:c r="C3027" t="str">
        <x:v>Pasted text(56).txt</x:v>
      </x:c>
    </x:row>
    <x:row r="3028">
      <x:c r="A3028" t="n">
        <x:v>3027</x:v>
      </x:c>
      <x:c r="B3028" s="106" t="str">
        <x:v>Across-run amplitude CV: 2.47 %</x:v>
      </x:c>
      <x:c r="C3028" t="str">
        <x:v>Pasted text(56).txt</x:v>
      </x:c>
    </x:row>
    <x:row r="3029">
      <x:c r="A3029" t="n">
        <x:v>3028</x:v>
      </x:c>
      <x:c r="B3029" s="106" t="str">
        <x:v>Maximum absolute target error: 3.54 %</x:v>
      </x:c>
      <x:c r="C3029" t="str">
        <x:v>Pasted text(56).txt</x:v>
      </x:c>
    </x:row>
    <x:row r="3030">
      <x:c r="A3030" t="n">
        <x:v>3029</x:v>
      </x:c>
      <x:c r="B3030" s="106" t="str">
        <x:v>FFT frequency mean +/- SD: 268.02360 +/- 0.01001 Hz</x:v>
      </x:c>
      <x:c r="C3030" t="str">
        <x:v>Pasted text(56).txt</x:v>
      </x:c>
    </x:row>
    <x:row r="3031">
      <x:c r="A3031" t="n">
        <x:v>3030</x:v>
      </x:c>
      <x:c r="B3031" s="106" t="str">
        <x:v>Selected DAC range: 7.50 to 8.50</x:v>
      </x:c>
      <x:c r="C3031" t="str">
        <x:v>Pasted text(56).txt</x:v>
      </x:c>
    </x:row>
    <x:row r="3032">
      <x:c r="A3032" t="n">
        <x:v>3031</x:v>
      </x:c>
      <x:c r="B3032" s="106" t="str">
        <x:v>Average hold records in target band: 100.0 %</x:v>
      </x:c>
      <x:c r="C3032" t="str">
        <x:v>Pasted text(56).txt</x:v>
      </x:c>
    </x:row>
    <x:row r="3033">
      <x:c r="A3033" t="n">
        <x:v>3032</x:v>
      </x:c>
      <x:c r="B3033" s="106" t="str">
        <x:v>OVERALL VERDICT: GOOD / USABLE TARGET-AMPLITUDE ACQUISITION.</x:v>
      </x:c>
      <x:c r="C3033" t="str">
        <x:v>Pasted text(56).txt</x:v>
      </x:c>
    </x:row>
    <x:row r="3034">
      <x:c r="A3034" t="n">
        <x:v>3033</x:v>
      </x:c>
      <x:c r="B3034" s="106" t="str">
        <x:v>Review failed runs before controlled phase trials.</x:v>
      </x:c>
      <x:c r="C3034" t="str">
        <x:v>Pasted text(56).txt</x:v>
      </x:c>
    </x:row>
    <x:row r="3035">
      <x:c r="A3035" t="n">
        <x:v>3034</x:v>
      </x:c>
      <x:c r="B3035" s="106" t="str"/>
      <x:c r="C3035" t="str">
        <x:v>Pasted text(56).txt</x:v>
      </x:c>
    </x:row>
    <x:row r="3036">
      <x:c r="A3036" t="n">
        <x:v>3035</x:v>
      </x:c>
      <x:c r="B3036" s="106" t="str">
        <x:v>Automatic test complete. Enter h for commands.</x:v>
      </x:c>
      <x:c r="C3036" t="str">
        <x:v>Pasted text(56).txt</x:v>
      </x:c>
    </x:row>
    <x:row r="3037">
      <x:c r="A3037" t="n">
        <x:v>3036</x:v>
      </x:c>
      <x:c r="B3037" s="106" t="str">
        <x:v>Unknown command.</x:v>
      </x:c>
      <x:c r="C3037" t="str">
        <x:v>Pasted text(56).txt</x:v>
      </x:c>
    </x:row>
    <x:row r="3038">
      <x:c r="A3038" t="n">
        <x:v>3037</x:v>
      </x:c>
      <x:c r="B3038" s="106" t="str"/>
      <x:c r="C3038" t="str">
        <x:v>Pasted text(56).txt</x:v>
      </x:c>
    </x:row>
    <x:row r="3039">
      <x:c r="A3039" t="n">
        <x:v>3038</x:v>
      </x:c>
      <x:c r="B3039" s="106" t="str">
        <x:v>============================================================</x:v>
      </x:c>
      <x:c r="C3039" t="str">
        <x:v>Pasted text(56).txt</x:v>
      </x:c>
    </x:row>
    <x:row r="3040">
      <x:c r="A3040" t="n">
        <x:v>3039</x:v>
      </x:c>
      <x:c r="B3040" s="106" t="str">
        <x:v>COMMANDS</x:v>
      </x:c>
      <x:c r="C3040" t="str">
        <x:v>Pasted text(56).txt</x:v>
      </x:c>
    </x:row>
    <x:row r="3041">
      <x:c r="A3041" t="n">
        <x:v>3040</x:v>
      </x:c>
      <x:c r="B3041" s="106" t="str">
        <x:v>============================================================</x:v>
      </x:c>
      <x:c r="C3041" t="str">
        <x:v>Pasted text(56).txt</x:v>
      </x:c>
    </x:row>
    <x:row r="3042">
      <x:c r="A3042" t="n">
        <x:v>3041</x:v>
      </x:c>
      <x:c r="B3042" s="106" t="str">
        <x:v>f 268    = set frequency in Hz (20-350)</x:v>
      </x:c>
      <x:c r="C3042" t="str">
        <x:v>Pasted text(56).txt</x:v>
      </x:c>
    </x:row>
    <x:row r="3043">
      <x:c r="A3043" t="n">
        <x:v>3042</x:v>
      </x:c>
      <x:c r="B3043" s="106" t="str">
        <x:v>t 1.12   = set X-axis target peak amplitude in m/s^2</x:v>
      </x:c>
      <x:c r="C3043" t="str">
        <x:v>Pasted text(56).txt</x:v>
      </x:c>
    </x:row>
    <x:row r="3044">
      <x:c r="A3044" t="n">
        <x:v>3043</x:v>
      </x:c>
      <x:c r="B3044" s="106" t="str">
        <x:v>e 7.5    = set tolerance percent (5-10 recommended)</x:v>
      </x:c>
      <x:c r="C3044" t="str">
        <x:v>Pasted text(56).txt</x:v>
      </x:c>
    </x:row>
    <x:row r="3045">
      <x:c r="A3045" t="n">
        <x:v>3044</x:v>
      </x:c>
      <x:c r="B3045" s="106" t="str">
        <x:v>n 5      = set independent run count (2-10)</x:v>
      </x:c>
      <x:c r="C3045" t="str">
        <x:v>Pasted text(56).txt</x:v>
      </x:c>
    </x:row>
    <x:row r="3046">
      <x:c r="A3046" t="n">
        <x:v>3045</x:v>
      </x:c>
      <x:c r="B3046" s="106" t="str">
        <x:v>k 10     = set fixed-DAC hold records per run (5-30)</x:v>
      </x:c>
      <x:c r="C3046" t="str">
        <x:v>Pasted text(56).txt</x:v>
      </x:c>
    </x:row>
    <x:row r="3047">
      <x:c r="A3047" t="n">
        <x:v>3046</x:v>
      </x:c>
      <x:c r="B3047" s="106" t="str">
        <x:v>a        = run complete repeated target-amplitude validation</x:v>
      </x:c>
      <x:c r="C3047" t="str">
        <x:v>Pasted text(56).txt</x:v>
      </x:c>
    </x:row>
    <x:row r="3048">
      <x:c r="A3048" t="n">
        <x:v>3047</x:v>
      </x:c>
      <x:c r="B3048" s="106" t="str">
        <x:v>q 10     = one exact-frequency quadrature measurement at DAC 10</x:v>
      </x:c>
      <x:c r="C3048" t="str">
        <x:v>Pasted text(56).txt</x:v>
      </x:c>
    </x:row>
    <x:row r="3049">
      <x:c r="A3049" t="n">
        <x:v>3048</x:v>
      </x:c>
      <x:c r="B3049" s="106" t="str">
        <x:v>d 15     = one validated blind FFT diagnostic at DAC 15</x:v>
      </x:c>
      <x:c r="C3049" t="str">
        <x:v>Pasted text(56).txt</x:v>
      </x:c>
    </x:row>
    <x:row r="3050">
      <x:c r="A3050" t="n">
        <x:v>3049</x:v>
      </x:c>
      <x:c r="B3050" s="106" t="str">
        <x:v>p        = print settings</x:v>
      </x:c>
      <x:c r="C3050" t="str">
        <x:v>Pasted text(56).txt</x:v>
      </x:c>
    </x:row>
    <x:row r="3051">
      <x:c r="A3051" t="n">
        <x:v>3050</x:v>
      </x:c>
      <x:c r="B3051" s="106" t="str">
        <x:v>s        = emergency stop</x:v>
      </x:c>
      <x:c r="C3051" t="str">
        <x:v>Pasted text(56).txt</x:v>
      </x:c>
    </x:row>
    <x:row r="3052">
      <x:c r="A3052" t="n">
        <x:v>3051</x:v>
      </x:c>
      <x:c r="B3052" s="106" t="str">
        <x:v>h        = show menu</x:v>
      </x:c>
      <x:c r="C3052" t="str">
        <x:v>Pasted text(56).txt</x:v>
      </x:c>
    </x:row>
    <x:row r="3053">
      <x:c r="A3053" t="n">
        <x:v>3052</x:v>
      </x:c>
      <x:c r="B3053" s="106" t="str">
        <x:v>============================================================</x:v>
      </x:c>
      <x:c r="C3053" t="str">
        <x:v>Pasted text(56).txt</x:v>
      </x:c>
    </x:row>
    <x:row r="3054">
      <x:c r="A3054" t="n">
        <x:v>3053</x:v>
      </x:c>
      <x:c r="B3054" s="106" t="str">
        <x:v>Target amplitude set to 1.15000 m/s^2 peak.</x:v>
      </x:c>
      <x:c r="C3054" t="str">
        <x:v>Pasted text(56).txt</x:v>
      </x:c>
    </x:row>
    <x:row r="3055">
      <x:c r="A3055" t="n">
        <x:v>3054</x:v>
      </x:c>
      <x:c r="B3055" s="106" t="str"/>
      <x:c r="C3055" t="str">
        <x:v>Pasted text(56).txt</x:v>
      </x:c>
    </x:row>
    <x:row r="3056">
      <x:c r="A3056" t="n">
        <x:v>3055</x:v>
      </x:c>
      <x:c r="B3056" s="106" t="str">
        <x:v>================================================================================</x:v>
      </x:c>
      <x:c r="C3056" t="str">
        <x:v>Pasted text(56).txt</x:v>
      </x:c>
    </x:row>
    <x:row r="3057">
      <x:c r="A3057" t="n">
        <x:v>3056</x:v>
      </x:c>
      <x:c r="B3057" s="106" t="str">
        <x:v>REPEATED INDEPENDENT TARGET-AMPLITUDE VALIDATION STARTED</x:v>
      </x:c>
      <x:c r="C3057" t="str">
        <x:v>Pasted text(56).txt</x:v>
      </x:c>
    </x:row>
    <x:row r="3058">
      <x:c r="A3058" t="n">
        <x:v>3057</x:v>
      </x:c>
      <x:c r="B3058" s="106" t="str">
        <x:v>================================================================================</x:v>
      </x:c>
      <x:c r="C3058" t="str">
        <x:v>Pasted text(56).txt</x:v>
      </x:c>
    </x:row>
    <x:row r="3059">
      <x:c r="A3059" t="n">
        <x:v>3058</x:v>
      </x:c>
      <x:c r="B3059" s="106" t="str"/>
      <x:c r="C3059" t="str">
        <x:v>Pasted text(56).txt</x:v>
      </x:c>
    </x:row>
    <x:row r="3060">
      <x:c r="A3060" t="n">
        <x:v>3059</x:v>
      </x:c>
      <x:c r="B3060" s="106" t="str">
        <x:v>CURRENT SETTINGS</x:v>
      </x:c>
      <x:c r="C3060" t="str">
        <x:v>Pasted text(56).txt</x:v>
      </x:c>
    </x:row>
    <x:row r="3061">
      <x:c r="A3061" t="n">
        <x:v>3060</x:v>
      </x:c>
      <x:c r="B3061" s="106" t="str">
        <x:v>Frequency: 268.00000 Hz</x:v>
      </x:c>
      <x:c r="C3061" t="str">
        <x:v>Pasted text(56).txt</x:v>
      </x:c>
    </x:row>
    <x:row r="3062">
      <x:c r="A3062" t="n">
        <x:v>3061</x:v>
      </x:c>
      <x:c r="B3062" s="106" t="str">
        <x:v>Control axis: X ONLY (Y/Z diagnostic only)</x:v>
      </x:c>
      <x:c r="C3062" t="str">
        <x:v>Pasted text(56).txt</x:v>
      </x:c>
    </x:row>
    <x:row r="3063">
      <x:c r="A3063" t="n">
        <x:v>3062</x:v>
      </x:c>
      <x:c r="B3063" s="106" t="str">
        <x:v>Target peak amplitude: 1.15000 m/s^2</x:v>
      </x:c>
      <x:c r="C3063" t="str">
        <x:v>Pasted text(56).txt</x:v>
      </x:c>
    </x:row>
    <x:row r="3064">
      <x:c r="A3064" t="n">
        <x:v>3063</x:v>
      </x:c>
      <x:c r="B3064" s="106" t="str">
        <x:v>Tolerance: +/-7.50 %</x:v>
      </x:c>
      <x:c r="C3064" t="str">
        <x:v>Pasted text(56).txt</x:v>
      </x:c>
    </x:row>
    <x:row r="3065">
      <x:c r="A3065" t="n">
        <x:v>3064</x:v>
      </x:c>
      <x:c r="B3065" s="106" t="str">
        <x:v>Allowed amplitude band: 1.06375 to 1.23625 m/s^2 peak</x:v>
      </x:c>
      <x:c r="C3065" t="str">
        <x:v>Pasted text(56).txt</x:v>
      </x:c>
    </x:row>
    <x:row r="3066">
      <x:c r="A3066" t="n">
        <x:v>3065</x:v>
      </x:c>
      <x:c r="B3066" s="106" t="str">
        <x:v>Independent runs: 5</x:v>
      </x:c>
      <x:c r="C3066" t="str">
        <x:v>Pasted text(56).txt</x:v>
      </x:c>
    </x:row>
    <x:row r="3067">
      <x:c r="A3067" t="n">
        <x:v>3066</x:v>
      </x:c>
      <x:c r="B3067" s="106" t="str">
        <x:v>Hold records per run: 10</x:v>
      </x:c>
      <x:c r="C3067" t="str">
        <x:v>Pasted text(56).txt</x:v>
      </x:c>
    </x:row>
    <x:row r="3068">
      <x:c r="A3068" t="n">
        <x:v>3067</x:v>
      </x:c>
      <x:c r="B3068" s="106" t="str">
        <x:v>DAC search range/resolution: 1.00 to 30.00 / 0.25</x:v>
      </x:c>
      <x:c r="C3068" t="str">
        <x:v>Pasted text(56).txt</x:v>
      </x:c>
    </x:row>
    <x:row r="3069">
      <x:c r="A3069" t="n">
        <x:v>3068</x:v>
      </x:c>
      <x:c r="B3069" s="106" t="str">
        <x:v>FFT bin resolution: 1.56250 Hz; accepted command-to-bin difference &lt;= 2.00 Hz</x:v>
      </x:c>
      <x:c r="C3069" t="str">
        <x:v>Pasted text(56).txt</x:v>
      </x:c>
    </x:row>
    <x:row r="3070">
      <x:c r="A3070" t="n">
        <x:v>3069</x:v>
      </x:c>
      <x:c r="B3070" s="106" t="str">
        <x:v>Every run starts from DAC 1.00. Different selected DACs are allowed.</x:v>
      </x:c>
      <x:c r="C3070" t="str">
        <x:v>Pasted text(56).txt</x:v>
      </x:c>
    </x:row>
    <x:row r="3071">
      <x:c r="A3071" t="n">
        <x:v>3070</x:v>
      </x:c>
      <x:c r="B3071" s="106" t="str">
        <x:v>The accepted result is X-axis amplitude and X-axis frequency, not DAC.</x:v>
      </x:c>
      <x:c r="C3071" t="str">
        <x:v>Pasted text(56).txt</x:v>
      </x:c>
    </x:row>
    <x:row r="3072">
      <x:c r="A3072" t="n">
        <x:v>3071</x:v>
      </x:c>
      <x:c r="B3072" s="106" t="str"/>
      <x:c r="C3072" t="str">
        <x:v>Pasted text(56).txt</x:v>
      </x:c>
    </x:row>
    <x:row r="3073">
      <x:c r="A3073" t="n">
        <x:v>3072</x:v>
      </x:c>
      <x:c r="B3073" s="106" t="str">
        <x:v>################################################################################</x:v>
      </x:c>
      <x:c r="C3073" t="str">
        <x:v>Pasted text(56).txt</x:v>
      </x:c>
    </x:row>
    <x:row r="3074">
      <x:c r="A3074" t="n">
        <x:v>3073</x:v>
      </x:c>
      <x:c r="B3074" s="106" t="str">
        <x:v>INDEPENDENT TARGET-AMPLITUDE RUN 1 OF 5</x:v>
      </x:c>
      <x:c r="C3074" t="str">
        <x:v>Pasted text(56).txt</x:v>
      </x:c>
    </x:row>
    <x:row r="3075">
      <x:c r="A3075" t="n">
        <x:v>3074</x:v>
      </x:c>
      <x:c r="B3075" s="106" t="str">
        <x:v>################################################################################</x:v>
      </x:c>
      <x:c r="C3075" t="str">
        <x:v>Pasted text(56).txt</x:v>
      </x:c>
    </x:row>
    <x:row r="3076">
      <x:c r="A3076" t="n">
        <x:v>3075</x:v>
      </x:c>
      <x:c r="B3076" s="106" t="str">
        <x:v>Frequency: 268.00000 Hz</x:v>
      </x:c>
      <x:c r="C3076" t="str">
        <x:v>Pasted text(56).txt</x:v>
      </x:c>
    </x:row>
    <x:row r="3077">
      <x:c r="A3077" t="n">
        <x:v>3076</x:v>
      </x:c>
      <x:c r="B3077" s="106" t="str">
        <x:v>Target X amplitude: 1.15000 m/s^2 peak, tolerance +/-7.50 %</x:v>
      </x:c>
      <x:c r="C3077" t="str">
        <x:v>Pasted text(56).txt</x:v>
      </x:c>
    </x:row>
    <x:row r="3078">
      <x:c r="A3078" t="n">
        <x:v>3077</x:v>
      </x:c>
      <x:c r="B3078" s="106" t="str">
        <x:v>This run starts from DAC 1.00 and ignores every earlier selected DAC.</x:v>
      </x:c>
      <x:c r="C3078" t="str">
        <x:v>Pasted text(56).txt</x:v>
      </x:c>
    </x:row>
    <x:row r="3079">
      <x:c r="A3079" t="n">
        <x:v>3078</x:v>
      </x:c>
      <x:c r="B3079" s="106" t="str">
        <x:v>ADXL2 DEVID/DATA_FORMAT/BW_RATE/POWER_CTL: 0xE5 / 0xB / 0xE / 0x8</x:v>
      </x:c>
      <x:c r="C3079" t="str">
        <x:v>Pasted text(56).txt</x:v>
      </x:c>
    </x:row>
    <x:row r="3080">
      <x:c r="A3080" t="n">
        <x:v>3079</x:v>
      </x:c>
      <x:c r="B3080" s="106" t="str"/>
      <x:c r="C3080" t="str">
        <x:v>Pasted text(56).txt</x:v>
      </x:c>
    </x:row>
    <x:row r="3081">
      <x:c r="A3081" t="n">
        <x:v>3080</x:v>
      </x:c>
      <x:c r="B3081" s="106" t="str">
        <x:v>ACQUISITION ATTEMPT 1 OF 2</x:v>
      </x:c>
      <x:c r="C3081" t="str">
        <x:v>Pasted text(56).txt</x:v>
      </x:c>
    </x:row>
    <x:row r="3082">
      <x:c r="A3082" t="n">
        <x:v>3081</x:v>
      </x:c>
      <x:c r="B3082" s="106" t="str"/>
      <x:c r="C3082" t="str">
        <x:v>Pasted text(56).txt</x:v>
      </x:c>
    </x:row>
    <x:row r="3083">
      <x:c r="A3083" t="n">
        <x:v>3082</x:v>
      </x:c>
      <x:c r="B3083" s="106" t="str">
        <x:v>FRESH X-AXIS SEARCH FROM DAC 1.00 — OLD DAC VALUES ARE NOT USED</x:v>
      </x:c>
      <x:c r="C3083" t="str">
        <x:v>Pasted text(56).txt</x:v>
      </x:c>
    </x:row>
    <x:row r="3084">
      <x:c r="A3084" t="n">
        <x:v>3083</x:v>
      </x:c>
      <x:c r="B3084" s="106" t="str">
        <x:v>Y/Z are diagnostic only and cannot abort this search.</x:v>
      </x:c>
      <x:c r="C3084" t="str">
        <x:v>Pasted text(56).txt</x:v>
      </x:c>
    </x:row>
    <x:row r="3085">
      <x:c r="A3085" t="n">
        <x:v>3084</x:v>
      </x:c>
      <x:c r="B3085" s="106" t="str">
        <x:v>A real SPI fault, clipping, safety limit or confirmed X-response collapse will stop it.</x:v>
      </x:c>
      <x:c r="C3085" t="str">
        <x:v>Pasted text(56).txt</x:v>
      </x:c>
    </x:row>
    <x:row r="3086">
      <x:c r="A3086" t="n">
        <x:v>3085</x:v>
      </x:c>
      <x:c r="B3086" s="106" t="str">
        <x:v>SEARCH | point 1 | DAC 1.00 | CTRL X 0.01083 | X 0.01222 | Y 0.01292 | Z 0.01459 | TOTAL 0.02477 | error -99.06 % | MAD 32.95 % | CV 38.11 % | coh 6.9 % | dominant Z | axis fraction 83.8 % | BELOW MEASUREMENT FLOOR — SEARCH CONTINUES</x:v>
      </x:c>
      <x:c r="C3086" t="str">
        <x:v>Pasted text(56).txt</x:v>
      </x:c>
    </x:row>
    <x:row r="3087">
      <x:c r="A3087" t="n">
        <x:v>3086</x:v>
      </x:c>
      <x:c r="B3087" s="106" t="str">
        <x:v>SEARCH | point 2 | DAC 3.00 | CTRL X 0.15514 | X 0.15365 | Y 0.04608 | Z 0.08169 | TOTAL 0.18073 | error -86.51 % | MAD 12.40 % | CV 9.94 % | coh 59.0 % | dominant X | axis fraction 100.0 % | VALID</x:v>
      </x:c>
      <x:c r="C3087" t="str">
        <x:v>Pasted text(56).txt</x:v>
      </x:c>
    </x:row>
    <x:row r="3088">
      <x:c r="A3088" t="n">
        <x:v>3087</x:v>
      </x:c>
      <x:c r="B3088" s="106" t="str">
        <x:v>SEARCH | point 3 | DAC 5.00 | CTRL X 0.34905 | X 0.35026 | Y 0.08880 | Z 0.20873 | TOTAL 0.41769 | error -69.65 % | MAD 5.00 % | CV 3.89 % | coh 80.5 % | dominant X | axis fraction 100.0 % | VALID</x:v>
      </x:c>
      <x:c r="C3088" t="str">
        <x:v>Pasted text(56).txt</x:v>
      </x:c>
    </x:row>
    <x:row r="3089">
      <x:c r="A3089" t="n">
        <x:v>3088</x:v>
      </x:c>
      <x:c r="B3089" s="106" t="str">
        <x:v>SEARCH | point 4 | DAC 6.00 | CTRL X 0.48051 | X 0.48252 | Y 0.11327 | Z 0.25254 | TOTAL 0.55663 | error -58.22 % | MAD 0.67 % | CV 1.13 % | coh 88.3 % | dominant X | axis fraction 100.0 % | VALID</x:v>
      </x:c>
      <x:c r="C3089" t="str">
        <x:v>Pasted text(56).txt</x:v>
      </x:c>
    </x:row>
    <x:row r="3090">
      <x:c r="A3090" t="n">
        <x:v>3089</x:v>
      </x:c>
      <x:c r="B3090" s="106" t="str">
        <x:v>SEARCH | point 5 | DAC 7.00 | CTRL X 0.57650 | X 0.57610 | Y 0.14319 | Z 0.28952 | TOTAL 0.66078 | error -49.87 % | MAD 0.64 % | CV 0.54 % | coh 90.0 % | dominant X | axis fraction 100.0 % | VALID</x:v>
      </x:c>
      <x:c r="C3090" t="str">
        <x:v>Pasted text(56).txt</x:v>
      </x:c>
    </x:row>
    <x:row r="3091">
      <x:c r="A3091" t="n">
        <x:v>3090</x:v>
      </x:c>
      <x:c r="B3091" s="106" t="str">
        <x:v>SEARCH | point 6 | DAC 8.00 | CTRL X 0.68464 | X 0.68653 | Y 0.14703 | Z 0.35133 | TOTAL 0.78602 | error -40.47 % | MAD 6.62 % | CV 4.87 % | coh 90.9 % | dominant X | axis fraction 100.0 % | VALID</x:v>
      </x:c>
      <x:c r="C3091" t="str">
        <x:v>Pasted text(56).txt</x:v>
      </x:c>
    </x:row>
    <x:row r="3092">
      <x:c r="A3092" t="n">
        <x:v>3091</x:v>
      </x:c>
      <x:c r="B3092" s="106" t="str">
        <x:v>SEARCH | point 7 | DAC 9.00 | CTRL X 0.78679 | X 0.78517 | Y 0.18289 | Z 0.37810 | TOTAL 0.89050 | error -31.58 % | MAD 0.48 % | CV 0.66 % | coh 91.4 % | dominant X | axis fraction 100.0 % | VALID</x:v>
      </x:c>
      <x:c r="C3092" t="str">
        <x:v>Pasted text(56).txt</x:v>
      </x:c>
    </x:row>
    <x:row r="3093">
      <x:c r="A3093" t="n">
        <x:v>3092</x:v>
      </x:c>
      <x:c r="B3093" s="106" t="str">
        <x:v>SEARCH | point 8 | DAC 9.50 | CTRL X 0.83417 | X 0.83366 | Y 0.18255 | Z 0.43079 | TOTAL 0.95618 | error -27.46 % | MAD 0.66 % | CV 0.54 % | coh 93.4 % | dominant X | axis fraction 100.0 % | VALID</x:v>
      </x:c>
      <x:c r="C3093" t="str">
        <x:v>Pasted text(56).txt</x:v>
      </x:c>
    </x:row>
    <x:row r="3094">
      <x:c r="A3094" t="n">
        <x:v>3093</x:v>
      </x:c>
      <x:c r="B3094" s="106" t="str">
        <x:v>SEARCH | point 9 | DAC 10.00 | CTRL X 0.89920 | X 0.90693 | Y 0.19804 | Z 0.42525 | TOTAL 1.02111 | error -21.81 % | MAD 0.46 % | CV 1.75 % | coh 92.9 % | dominant X | axis fraction 100.0 % | VALID</x:v>
      </x:c>
      <x:c r="C3094" t="str">
        <x:v>Pasted text(56).txt</x:v>
      </x:c>
    </x:row>
    <x:row r="3095">
      <x:c r="A3095" t="n">
        <x:v>3094</x:v>
      </x:c>
      <x:c r="B3095" s="106" t="str">
        <x:v>SEARCH | point 10 | DAC 10.50 | CTRL X 0.94984 | X 0.95770 | Y 0.24300 | Z 0.43841 | TOTAL 1.08105 | error -17.41 % | MAD 0.25 % | CV 1.57 % | coh 93.7 % | dominant X | axis fraction 100.0 % | VALID</x:v>
      </x:c>
      <x:c r="C3095" t="str">
        <x:v>Pasted text(56).txt</x:v>
      </x:c>
    </x:row>
    <x:row r="3096">
      <x:c r="A3096" t="n">
        <x:v>3095</x:v>
      </x:c>
      <x:c r="B3096" s="106" t="str">
        <x:v>SEARCH | point 11 | DAC 11.00 | CTRL X 0.99105 | X 0.98846 | Y 0.22879 | Z 0.45912 | TOTAL 1.11369 | error -13.82 % | MAD 0.04 % | CV 0.48 % | coh 92.9 % | dominant X | axis fraction 100.0 % | VALID</x:v>
      </x:c>
      <x:c r="C3096" t="str">
        <x:v>Pasted text(56).txt</x:v>
      </x:c>
    </x:row>
    <x:row r="3097">
      <x:c r="A3097" t="n">
        <x:v>3096</x:v>
      </x:c>
      <x:c r="B3097" s="106" t="str">
        <x:v>SEARCH | point 12 | DAC 11.25 | CTRL X 1.01500 | X 1.01198 | Y 0.24313 | Z 0.49715 | TOTAL 1.15360 | error -11.74 % | MAD 0.87 % | CV 1.07 % | coh 92.5 % | dominant X | axis fraction 100.0 % | VALID</x:v>
      </x:c>
      <x:c r="C3097" t="str">
        <x:v>Pasted text(56).txt</x:v>
      </x:c>
    </x:row>
    <x:row r="3098">
      <x:c r="A3098" t="n">
        <x:v>3097</x:v>
      </x:c>
      <x:c r="B3098" s="106" t="str">
        <x:v>SEARCH | point 13 | DAC 11.50 | CTRL X 1.03779 | X 1.04087 | Y 0.24700 | Z 0.47874 | TOTAL 1.17228 | error -9.76 % | MAD 1.86 % | CV 1.71 % | coh 92.7 % | dominant X | axis fraction 100.0 % | VALID</x:v>
      </x:c>
      <x:c r="C3098" t="str">
        <x:v>Pasted text(56).txt</x:v>
      </x:c>
    </x:row>
    <x:row r="3099">
      <x:c r="A3099" t="n">
        <x:v>3098</x:v>
      </x:c>
      <x:c r="B3099" s="106" t="str">
        <x:v>SEARCH | point 14 | DAC 11.75 | CTRL X 1.05571 | X 1.05847 | Y 0.25372 | Z 0.50772 | TOTAL 1.20130 | error -8.20 % | MAD 1.33 % | CV 1.30 % | coh 92.4 % | dominant X | axis fraction 100.0 % | VALID</x:v>
      </x:c>
      <x:c r="C3099" t="str">
        <x:v>Pasted text(56).txt</x:v>
      </x:c>
    </x:row>
    <x:row r="3100">
      <x:c r="A3100" t="n">
        <x:v>3099</x:v>
      </x:c>
      <x:c r="B3100" s="106" t="str">
        <x:v>SEARCH | point 15 | DAC 12.00 | CTRL X 1.10111 | X 1.10888 | Y 0.25263 | Z 0.49873 | TOTAL 1.24230 | error -4.25 % | MAD 0.28 % | CV 1.38 % | coh 92.8 % | dominant X | axis fraction 100.0 % | IN TARGET BAND</x:v>
      </x:c>
      <x:c r="C3100" t="str">
        <x:v>Pasted text(56).txt</x:v>
      </x:c>
    </x:row>
    <x:row r="3101">
      <x:c r="A3101" t="n">
        <x:v>3100</x:v>
      </x:c>
      <x:c r="B3101" s="106" t="str"/>
      <x:c r="C3101" t="str">
        <x:v>Pasted text(56).txt</x:v>
      </x:c>
    </x:row>
    <x:row r="3102">
      <x:c r="A3102" t="n">
        <x:v>3101</x:v>
      </x:c>
      <x:c r="B3102" s="106" t="str">
        <x:v>LOCAL 0.25-DAC X-AXIS FINE SCAN</x:v>
      </x:c>
      <x:c r="C3102" t="str">
        <x:v>Pasted text(56).txt</x:v>
      </x:c>
    </x:row>
    <x:row r="3103">
      <x:c r="A3103" t="n">
        <x:v>3102</x:v>
      </x:c>
      <x:c r="B3103" s="106" t="str">
        <x:v>Only a valid point actually inside the X target band may be selected.</x:v>
      </x:c>
      <x:c r="C3103" t="str">
        <x:v>Pasted text(56).txt</x:v>
      </x:c>
    </x:row>
    <x:row r="3104">
      <x:c r="A3104" t="n">
        <x:v>3103</x:v>
      </x:c>
      <x:c r="B3104" s="106" t="str">
        <x:v>FINE | point 1 | DAC 11.00 | CTRL X 0.98639 | X 0.98920 | Y 0.22762 | Z 0.46451 | TOTAL 1.11630 | error -14.23 % | MAD 0.07 % | CV 0.53 % | coh 93.0 % | dominant X | axis fraction 100.0 % | VALID</x:v>
      </x:c>
      <x:c r="C3104" t="str">
        <x:v>Pasted text(56).txt</x:v>
      </x:c>
    </x:row>
    <x:row r="3105">
      <x:c r="A3105" t="n">
        <x:v>3104</x:v>
      </x:c>
      <x:c r="B3105" s="106" t="str">
        <x:v>FINE | point 2 | DAC 11.25 | CTRL X 1.03876 | X 1.03753 | Y 0.23833 | Z 0.44318 | TOTAL 1.15340 | error -9.67 % | MAD 0.46 % | CV 0.50 % | coh 93.5 % | dominant X | axis fraction 100.0 % | VALID</x:v>
      </x:c>
      <x:c r="C3105" t="str">
        <x:v>Pasted text(56).txt</x:v>
      </x:c>
    </x:row>
    <x:row r="3106">
      <x:c r="A3106" t="n">
        <x:v>3105</x:v>
      </x:c>
      <x:c r="B3106" s="106" t="str">
        <x:v>FINE | point 3 | DAC 11.50 | CTRL X 1.03625 | X 1.02931 | Y 0.23112 | Z 0.49119 | TOTAL 1.16414 | error -9.89 % | MAD 1.57 % | CV 2.16 % | coh 93.1 % | dominant X | axis fraction 100.0 % | VALID</x:v>
      </x:c>
      <x:c r="C3106" t="str">
        <x:v>Pasted text(56).txt</x:v>
      </x:c>
    </x:row>
    <x:row r="3107">
      <x:c r="A3107" t="n">
        <x:v>3106</x:v>
      </x:c>
      <x:c r="B3107" s="106" t="str">
        <x:v>FINE | point 4 | DAC 11.75 | CTRL X 1.09383 | X 1.08283 | Y 0.25022 | Z 0.48390 | TOTAL 1.21230 | error -4.88 % | MAD 0.54 % | CV 2.09 % | coh 93.2 % | dominant X | axis fraction 100.0 % | IN TARGET BAND</x:v>
      </x:c>
      <x:c r="C3107" t="str">
        <x:v>Pasted text(56).txt</x:v>
      </x:c>
    </x:row>
    <x:row r="3108">
      <x:c r="A3108" t="n">
        <x:v>3107</x:v>
      </x:c>
      <x:c r="B3108" s="106" t="str">
        <x:v>FINE | point 5 | DAC 12.00 | CTRL X 1.10726 | X 1.10252 | Y 0.24978 | Z 0.48903 | TOTAL 1.23185 | error -3.72 % | MAD 1.76 % | CV 1.88 % | coh 93.3 % | dominant X | axis fraction 100.0 % | IN TARGET BAND</x:v>
      </x:c>
      <x:c r="C3108" t="str">
        <x:v>Pasted text(56).txt</x:v>
      </x:c>
    </x:row>
    <x:row r="3109">
      <x:c r="A3109" t="n">
        <x:v>3108</x:v>
      </x:c>
      <x:c r="B3109" s="106" t="str">
        <x:v>FINE | point 6 | DAC 12.25 | CTRL X 1.12486 | X 1.12151 | Y 0.25498 | Z 0.51153 | TOTAL 1.25887 | error -2.19 % | MAD 0.25 % | CV 0.67 % | coh 93.0 % | dominant X | axis fraction 100.0 % | IN TARGET BAND</x:v>
      </x:c>
      <x:c r="C3109" t="str">
        <x:v>Pasted text(56).txt</x:v>
      </x:c>
    </x:row>
    <x:row r="3110">
      <x:c r="A3110" t="n">
        <x:v>3109</x:v>
      </x:c>
      <x:c r="B3110" s="106" t="str">
        <x:v>FINE | point 7 | DAC 12.50 | CTRL X 1.13465 | X 1.13654 | Y 0.27329 | Z 0.55402 | TOTAL 1.29388 | error -1.33 % | MAD 0.20 % | CV 0.41 % | coh 93.2 % | dominant X | axis fraction 100.0 % | IN TARGET BAND</x:v>
      </x:c>
      <x:c r="C3110" t="str">
        <x:v>Pasted text(56).txt</x:v>
      </x:c>
    </x:row>
    <x:row r="3111">
      <x:c r="A3111" t="n">
        <x:v>3110</x:v>
      </x:c>
      <x:c r="B3111" s="106" t="str">
        <x:v>FINE | point 8 | DAC 12.75 | CTRL X 1.19624 | X 1.19944 | Y 0.27940 | Z 0.52139 | TOTAL 1.33778 | error 4.02 % | MAD 0.06 % | CV 0.50 % | coh 93.4 % | dominant X | axis fraction 100.0 % | IN TARGET BAND</x:v>
      </x:c>
      <x:c r="C3111" t="str">
        <x:v>Pasted text(56).txt</x:v>
      </x:c>
    </x:row>
    <x:row r="3112">
      <x:c r="A3112" t="n">
        <x:v>3111</x:v>
      </x:c>
      <x:c r="B3112" s="106" t="str">
        <x:v>FINE | point 9 | DAC 13.00 | CTRL X 1.23159 | X 1.22566 | Y 0.27490 | Z 0.51035 | TOTAL 1.35606 | error 7.09 % | MAD 0.39 % | CV 1.07 % | coh 94.1 % | dominant X | axis fraction 100.0 % | IN TARGET BAND</x:v>
      </x:c>
      <x:c r="C3112" t="str">
        <x:v>Pasted text(56).txt</x:v>
      </x:c>
    </x:row>
    <x:row r="3113">
      <x:c r="A3113" t="n">
        <x:v>3112</x:v>
      </x:c>
      <x:c r="B3113" s="106" t="str"/>
      <x:c r="C3113" t="str">
        <x:v>Pasted text(56).txt</x:v>
      </x:c>
    </x:row>
    <x:row r="3114">
      <x:c r="A3114" t="n">
        <x:v>3113</x:v>
      </x:c>
      <x:c r="B3114" s="106" t="str">
        <x:v>LONG VALIDATION AT FIXED DAC 12.50</x:v>
      </x:c>
      <x:c r="C3114" t="str">
        <x:v>Pasted text(56).txt</x:v>
      </x:c>
    </x:row>
    <x:row r="3115">
      <x:c r="A3115" t="n">
        <x:v>3114</x:v>
      </x:c>
      <x:c r="B3115" s="106" t="str">
        <x:v>FINAL | point 1 | DAC 12.50 | CTRL X 1.17202 | X 1.16887 | Y 0.27948 | Z 0.50568 | TOTAL 1.30414 | error 1.91 % | MAD 1.08 % | CV 0.92 % | coh 93.5 % | dominant X | axis fraction 100.0 % | IN TARGET BAND</x:v>
      </x:c>
      <x:c r="C3115" t="str">
        <x:v>Pasted text(56).txt</x:v>
      </x:c>
    </x:row>
    <x:row r="3116">
      <x:c r="A3116" t="n">
        <x:v>3115</x:v>
      </x:c>
      <x:c r="B3116" s="106" t="str">
        <x:v>FINAL | point 2 | DAC 12.50 | CTRL X 1.15114 | X 1.15693 | Y 0.26831 | Z 0.51014 | TOTAL 1.29300 | error 0.10 % | MAD 1.09 % | CV 1.28 % | coh 93.5 % | dominant X | axis fraction 100.0 % | IN TARGET BAND</x:v>
      </x:c>
      <x:c r="C3116" t="str">
        <x:v>Pasted text(56).txt</x:v>
      </x:c>
    </x:row>
    <x:row r="3117">
      <x:c r="A3117" t="n">
        <x:v>3116</x:v>
      </x:c>
      <x:c r="B3117" s="106" t="str">
        <x:v>VALIDATION ACCEPTED | pair drift 1.80 %</x:v>
      </x:c>
      <x:c r="C3117" t="str">
        <x:v>Pasted text(56).txt</x:v>
      </x:c>
    </x:row>
    <x:row r="3118">
      <x:c r="A3118" t="n">
        <x:v>3117</x:v>
      </x:c>
      <x:c r="B3118" s="106" t="str"/>
      <x:c r="C3118" t="str">
        <x:v>Pasted text(56).txt</x:v>
      </x:c>
    </x:row>
    <x:row r="3119">
      <x:c r="A3119" t="n">
        <x:v>3118</x:v>
      </x:c>
      <x:c r="B3119" s="106" t="str">
        <x:v>FINAL VALIDATED BLIND FFT VERIFICATION</x:v>
      </x:c>
      <x:c r="C3119" t="str">
        <x:v>Pasted text(56).txt</x:v>
      </x:c>
    </x:row>
    <x:row r="3120">
      <x:c r="A3120" t="n">
        <x:v>3119</x:v>
      </x:c>
      <x:c r="B3120" s="106" t="str">
        <x:v>Commanded frequency: 268.00000 Hz</x:v>
      </x:c>
      <x:c r="C3120" t="str">
        <x:v>Pasted text(56).txt</x:v>
      </x:c>
    </x:row>
    <x:row r="3121">
      <x:c r="A3121" t="n">
        <x:v>3120</x:v>
      </x:c>
      <x:c r="B3121" s="106" t="str">
        <x:v>Accepted DAC: 12.50</x:v>
      </x:c>
      <x:c r="C3121" t="str">
        <x:v>Pasted text(56).txt</x:v>
      </x:c>
    </x:row>
    <x:row r="3122">
      <x:c r="A3122" t="n">
        <x:v>3121</x:v>
      </x:c>
      <x:c r="B3122" s="106" t="str">
        <x:v>Axis,Frequency_Hz,Amplitude_mps2,SNR_dB,Status</x:v>
      </x:c>
      <x:c r="C3122" t="str">
        <x:v>Pasted text(56).txt</x:v>
      </x:c>
    </x:row>
    <x:row r="3123">
      <x:c r="A3123" t="n">
        <x:v>3122</x:v>
      </x:c>
      <x:c r="B3123" s="106" t="str">
        <x:v>X,268.01836,1.05593,32.63,VALID</x:v>
      </x:c>
      <x:c r="C3123" t="str">
        <x:v>Pasted text(56).txt</x:v>
      </x:c>
    </x:row>
    <x:row r="3124">
      <x:c r="A3124" t="n">
        <x:v>3123</x:v>
      </x:c>
      <x:c r="B3124" s="106" t="str">
        <x:v>Y,268.05120,0.24015,24.15,VALID</x:v>
      </x:c>
      <x:c r="C3124" t="str">
        <x:v>Pasted text(56).txt</x:v>
      </x:c>
    </x:row>
    <x:row r="3125">
      <x:c r="A3125" t="n">
        <x:v>3124</x:v>
      </x:c>
      <x:c r="B3125" s="106" t="str">
        <x:v>Z,268.05706,0.46945,27.68,VALID</x:v>
      </x:c>
      <x:c r="C3125" t="str">
        <x:v>Pasted text(56).txt</x:v>
      </x:c>
    </x:row>
    <x:row r="3126">
      <x:c r="A3126" t="n">
        <x:v>3125</x:v>
      </x:c>
      <x:c r="B3126" s="106" t="str">
        <x:v>Combined frequency: 268.02589 Hz | difference 0.02589 Hz</x:v>
      </x:c>
      <x:c r="C3126" t="str">
        <x:v>Pasted text(56).txt</x:v>
      </x:c>
    </x:row>
    <x:row r="3127">
      <x:c r="A3127" t="n">
        <x:v>3126</x:v>
      </x:c>
      <x:c r="B3127" s="106" t="str">
        <x:v>Combined X/Y/Z/TOTAL: 0.96265 / 0.22018 / 0.43230 / 1.07799</x:v>
      </x:c>
      <x:c r="C3127" t="str">
        <x:v>Pasted text(56).txt</x:v>
      </x:c>
    </x:row>
    <x:row r="3128">
      <x:c r="A3128" t="n">
        <x:v>3127</x:v>
      </x:c>
      <x:c r="B3128" s="106" t="str">
        <x:v>SNR: 30.60 dB | dominant axis X</x:v>
      </x:c>
      <x:c r="C3128" t="str">
        <x:v>Pasted text(56).txt</x:v>
      </x:c>
    </x:row>
    <x:row r="3129">
      <x:c r="A3129" t="n">
        <x:v>3128</x:v>
      </x:c>
      <x:c r="B3129" s="106" t="str">
        <x:v>Frequency verification: PASS</x:v>
      </x:c>
      <x:c r="C3129" t="str">
        <x:v>Pasted text(56).txt</x:v>
      </x:c>
    </x:row>
    <x:row r="3130">
      <x:c r="A3130" t="n">
        <x:v>3129</x:v>
      </x:c>
      <x:c r="B3130" s="106" t="str">
        <x:v>Y/Z dominance: DIAGNOSTIC ONLY — ignored for pass/fail</x:v>
      </x:c>
      <x:c r="C3130" t="str">
        <x:v>Pasted text(56).txt</x:v>
      </x:c>
    </x:row>
    <x:row r="3131">
      <x:c r="A3131" t="n">
        <x:v>3130</x:v>
      </x:c>
      <x:c r="B3131" s="106" t="str"/>
      <x:c r="C3131" t="str">
        <x:v>Pasted text(56).txt</x:v>
      </x:c>
    </x:row>
    <x:row r="3132">
      <x:c r="A3132" t="n">
        <x:v>3131</x:v>
      </x:c>
      <x:c r="B3132" s="106" t="str">
        <x:v>FIXED-DAC HOLD VALIDATION</x:v>
      </x:c>
      <x:c r="C3132" t="str">
        <x:v>Pasted text(56).txt</x:v>
      </x:c>
    </x:row>
    <x:row r="3133">
      <x:c r="A3133" t="n">
        <x:v>3132</x:v>
      </x:c>
      <x:c r="B3133" s="106" t="str">
        <x:v>DAC remains fixed at 12.50 for 10 records.</x:v>
      </x:c>
      <x:c r="C3133" t="str">
        <x:v>Pasted text(56).txt</x:v>
      </x:c>
    </x:row>
    <x:row r="3134">
      <x:c r="A3134" t="n">
        <x:v>3133</x:v>
      </x:c>
      <x:c r="B3134" s="106" t="str">
        <x:v>HOLD | point 1 | DAC 12.50 | CTRL X 1.14582 | X 1.15350 | Y 0.27345 | Z 0.50653 | TOTAL 1.28934 | error -0.36 % | MAD 0.64 % | CV 1.54 % | coh 93.6 % | dominant X | axis fraction 100.0 % | IN TARGET BAND</x:v>
      </x:c>
      <x:c r="C3134" t="str">
        <x:v>Pasted text(56).txt</x:v>
      </x:c>
    </x:row>
    <x:row r="3135">
      <x:c r="A3135" t="n">
        <x:v>3134</x:v>
      </x:c>
      <x:c r="B3135" s="106" t="str">
        <x:v>HOLD | point 2 | DAC 12.50 | CTRL X 1.17680 | X 1.17598 | Y 0.27768 | Z 0.49713 | TOTAL 1.30667 | error 2.33 % | MAD 0.64 % | CV 0.54 % | coh 94.4 % | dominant X | axis fraction 100.0 % | IN TARGET BAND</x:v>
      </x:c>
      <x:c r="C3135" t="str">
        <x:v>Pasted text(56).txt</x:v>
      </x:c>
    </x:row>
    <x:row r="3136">
      <x:c r="A3136" t="n">
        <x:v>3135</x:v>
      </x:c>
      <x:c r="B3136" s="106" t="str">
        <x:v>HOLD | point 3 | DAC 12.50 | CTRL X 1.16167 | X 1.16509 | Y 0.27846 | Z 0.50302 | TOTAL 1.29943 | error 1.01 % | MAD 3.59 % | CV 2.87 % | coh 93.9 % | dominant X | axis fraction 100.0 % | IN TARGET BAND</x:v>
      </x:c>
      <x:c r="C3136" t="str">
        <x:v>Pasted text(56).txt</x:v>
      </x:c>
    </x:row>
    <x:row r="3137">
      <x:c r="A3137" t="n">
        <x:v>3136</x:v>
      </x:c>
      <x:c r="B3137" s="106" t="str">
        <x:v>HOLD | point 4 | DAC 12.50 | CTRL X 1.16048 | X 1.17569 | Y 0.28655 | Z 0.47555 | TOTAL 1.30048 | error 0.91 % | MAD 0.08 % | CV 2.29 % | coh 93.5 % | dominant X | axis fraction 100.0 % | IN TARGET BAND</x:v>
      </x:c>
      <x:c r="C3137" t="str">
        <x:v>Pasted text(56).txt</x:v>
      </x:c>
    </x:row>
    <x:row r="3138">
      <x:c r="A3138" t="n">
        <x:v>3137</x:v>
      </x:c>
      <x:c r="B3138" s="106" t="str">
        <x:v>HOLD | point 5 | DAC 12.50 | CTRL X 1.16865 | X 1.17104 | Y 0.27757 | Z 0.48989 | TOTAL 1.29961 | error 1.62 % | MAD 0.40 % | CV 0.60 % | coh 93.9 % | dominant X | axis fraction 100.0 % | IN TARGET BAND</x:v>
      </x:c>
      <x:c r="C3138" t="str">
        <x:v>Pasted text(56).txt</x:v>
      </x:c>
    </x:row>
    <x:row r="3139">
      <x:c r="A3139" t="n">
        <x:v>3138</x:v>
      </x:c>
      <x:c r="B3139" s="106" t="str">
        <x:v>HOLD | point 6 | DAC 12.50 | CTRL X 1.17178 | X 1.16408 | Y 0.29091 | Z 0.50290 | TOTAL 1.30124 | error 1.89 % | MAD 0.93 % | CV 1.72 % | coh 93.5 % | dominant X | axis fraction 100.0 % | IN TARGET BAND</x:v>
      </x:c>
      <x:c r="C3139" t="str">
        <x:v>Pasted text(56).txt</x:v>
      </x:c>
    </x:row>
    <x:row r="3140">
      <x:c r="A3140" t="n">
        <x:v>3139</x:v>
      </x:c>
      <x:c r="B3140" s="106" t="str">
        <x:v>HOLD | point 7 | DAC 12.50 | CTRL X 1.16648 | X 1.16763 | Y 0.27169 | Z 0.49455 | TOTAL 1.29693 | error 1.43 % | MAD 0.09 % | CV 0.23 % | coh 93.3 % | dominant X | axis fraction 100.0 % | IN TARGET BAND</x:v>
      </x:c>
      <x:c r="C3140" t="str">
        <x:v>Pasted text(56).txt</x:v>
      </x:c>
    </x:row>
    <x:row r="3141">
      <x:c r="A3141" t="n">
        <x:v>3140</x:v>
      </x:c>
      <x:c r="B3141" s="106" t="str">
        <x:v>HOLD | point 8 | DAC 12.50 | CTRL X 1.19634 | X 1.18517 | Y 0.29406 | Z 0.50767 | TOTAL 1.32289 | error 4.03 % | MAD 0.31 % | CV 1.82 % | coh 93.2 % | dominant X | axis fraction 100.0 % | IN TARGET BAND</x:v>
      </x:c>
      <x:c r="C3141" t="str">
        <x:v>Pasted text(56).txt</x:v>
      </x:c>
    </x:row>
    <x:row r="3142">
      <x:c r="A3142" t="n">
        <x:v>3141</x:v>
      </x:c>
      <x:c r="B3142" s="106" t="str">
        <x:v>HOLD | point 9 | DAC 12.50 | CTRL X 1.16848 | X 1.16769 | Y 0.28351 | Z 0.51657 | TOTAL 1.30801 | error 1.61 % | MAD 0.32 % | CV 0.32 % | coh 93.3 % | dominant X | axis fraction 100.0 % | IN TARGET BAND</x:v>
      </x:c>
      <x:c r="C3142" t="str">
        <x:v>Pasted text(56).txt</x:v>
      </x:c>
    </x:row>
    <x:row r="3143">
      <x:c r="A3143" t="n">
        <x:v>3142</x:v>
      </x:c>
      <x:c r="B3143" s="106" t="str">
        <x:v>HOLD | point 10 | DAC 12.50 | CTRL X 1.17833 | X 1.17875 | Y 0.30240 | Z 0.51807 | TOTAL 1.32290 | error 2.46 % | MAD 0.20 % | CV 0.19 % | coh 93.4 % | dominant X | axis fraction 100.0 % | IN TARGET BAND</x:v>
      </x:c>
      <x:c r="C3143" t="str">
        <x:v>Pasted text(56).txt</x:v>
      </x:c>
    </x:row>
    <x:row r="3144">
      <x:c r="A3144" t="n">
        <x:v>3143</x:v>
      </x:c>
      <x:c r="B3144" s="106" t="str"/>
      <x:c r="C3144" t="str">
        <x:v>Pasted text(56).txt</x:v>
      </x:c>
    </x:row>
    <x:row r="3145">
      <x:c r="A3145" t="n">
        <x:v>3144</x:v>
      </x:c>
      <x:c r="B3145" s="106" t="str">
        <x:v>HOLD SUMMARY</x:v>
      </x:c>
      <x:c r="C3145" t="str">
        <x:v>Pasted text(56).txt</x:v>
      </x:c>
    </x:row>
    <x:row r="3146">
      <x:c r="A3146" t="n">
        <x:v>3145</x:v>
      </x:c>
      <x:c r="B3146" s="106" t="str">
        <x:v>Valid / requested: 10 / 10</x:v>
      </x:c>
      <x:c r="C3146" t="str">
        <x:v>Pasted text(56).txt</x:v>
      </x:c>
    </x:row>
    <x:row r="3147">
      <x:c r="A3147" t="n">
        <x:v>3146</x:v>
      </x:c>
      <x:c r="B3147" s="106" t="str">
        <x:v>In band / requested: 10 / 10 = 100.0 %</x:v>
      </x:c>
      <x:c r="C3147" t="str">
        <x:v>Pasted text(56).txt</x:v>
      </x:c>
    </x:row>
    <x:row r="3148">
      <x:c r="A3148" t="n">
        <x:v>3147</x:v>
      </x:c>
      <x:c r="B3148" s="106" t="str">
        <x:v>Mean / SD / CV: 1.16948 / 0.01321 / 1.13 %</x:v>
      </x:c>
      <x:c r="C3148" t="str">
        <x:v>Pasted text(56).txt</x:v>
      </x:c>
    </x:row>
    <x:row r="3149">
      <x:c r="A3149" t="n">
        <x:v>3148</x:v>
      </x:c>
      <x:c r="B3149" s="106" t="str">
        <x:v>Min / Max: 1.14582 / 1.19634</x:v>
      </x:c>
      <x:c r="C3149" t="str">
        <x:v>Pasted text(56).txt</x:v>
      </x:c>
    </x:row>
    <x:row r="3150">
      <x:c r="A3150" t="n">
        <x:v>3149</x:v>
      </x:c>
      <x:c r="B3150" s="106" t="str">
        <x:v>HOLD RESULT: PASS</x:v>
      </x:c>
      <x:c r="C3150" t="str">
        <x:v>Pasted text(56).txt</x:v>
      </x:c>
    </x:row>
    <x:row r="3151">
      <x:c r="A3151" t="n">
        <x:v>3150</x:v>
      </x:c>
      <x:c r="B3151" s="106" t="str"/>
      <x:c r="C3151" t="str">
        <x:v>Pasted text(56).txt</x:v>
      </x:c>
    </x:row>
    <x:row r="3152">
      <x:c r="A3152" t="n">
        <x:v>3151</x:v>
      </x:c>
      <x:c r="B3152" s="106" t="str">
        <x:v>RUN RESULT: PASS</x:v>
      </x:c>
      <x:c r="C3152" t="str">
        <x:v>Pasted text(56).txt</x:v>
      </x:c>
    </x:row>
    <x:row r="3153">
      <x:c r="A3153" t="n">
        <x:v>3152</x:v>
      </x:c>
      <x:c r="B3153" s="106" t="str">
        <x:v>Selected DAC: 12.50</x:v>
      </x:c>
      <x:c r="C3153" t="str">
        <x:v>Pasted text(56).txt</x:v>
      </x:c>
    </x:row>
    <x:row r="3154">
      <x:c r="A3154" t="n">
        <x:v>3153</x:v>
      </x:c>
      <x:c r="B3154" s="106" t="str">
        <x:v>Validated amplitude: 1.16158 m/s^2 | error 1.01 %</x:v>
      </x:c>
      <x:c r="C3154" t="str">
        <x:v>Pasted text(56).txt</x:v>
      </x:c>
    </x:row>
    <x:row r="3155">
      <x:c r="A3155" t="n">
        <x:v>3154</x:v>
      </x:c>
      <x:c r="B3155" s="106" t="str">
        <x:v>FFT frequency: 268.02589 Hz | difference 0.02589 Hz</x:v>
      </x:c>
      <x:c r="C3155" t="str">
        <x:v>Pasted text(56).txt</x:v>
      </x:c>
    </x:row>
    <x:row r="3156">
      <x:c r="A3156" t="n">
        <x:v>3155</x:v>
      </x:c>
      <x:c r="B3156" s="106" t="str"/>
      <x:c r="C3156" t="str">
        <x:v>Pasted text(56).txt</x:v>
      </x:c>
    </x:row>
    <x:row r="3157">
      <x:c r="A3157" t="n">
        <x:v>3156</x:v>
      </x:c>
      <x:c r="B3157" s="106" t="str">
        <x:v>VISATON OFF. RESTING 5.0 s BEFORE THE NEXT COMPLETELY FRESH RUN.</x:v>
      </x:c>
      <x:c r="C3157" t="str">
        <x:v>Pasted text(56).txt</x:v>
      </x:c>
    </x:row>
    <x:row r="3158">
      <x:c r="A3158" t="n">
        <x:v>3157</x:v>
      </x:c>
      <x:c r="B3158" s="106" t="str"/>
      <x:c r="C3158" t="str">
        <x:v>Pasted text(56).txt</x:v>
      </x:c>
    </x:row>
    <x:row r="3159">
      <x:c r="A3159" t="n">
        <x:v>3158</x:v>
      </x:c>
      <x:c r="B3159" s="106" t="str">
        <x:v>################################################################################</x:v>
      </x:c>
      <x:c r="C3159" t="str">
        <x:v>Pasted text(56).txt</x:v>
      </x:c>
    </x:row>
    <x:row r="3160">
      <x:c r="A3160" t="n">
        <x:v>3159</x:v>
      </x:c>
      <x:c r="B3160" s="106" t="str">
        <x:v>INDEPENDENT TARGET-AMPLITUDE RUN 2 OF 5</x:v>
      </x:c>
      <x:c r="C3160" t="str">
        <x:v>Pasted text(56).txt</x:v>
      </x:c>
    </x:row>
    <x:row r="3161">
      <x:c r="A3161" t="n">
        <x:v>3160</x:v>
      </x:c>
      <x:c r="B3161" s="106" t="str">
        <x:v>################################################################################</x:v>
      </x:c>
      <x:c r="C3161" t="str">
        <x:v>Pasted text(56).txt</x:v>
      </x:c>
    </x:row>
    <x:row r="3162">
      <x:c r="A3162" t="n">
        <x:v>3161</x:v>
      </x:c>
      <x:c r="B3162" s="106" t="str">
        <x:v>Frequency: 268.00000 Hz</x:v>
      </x:c>
      <x:c r="C3162" t="str">
        <x:v>Pasted text(56).txt</x:v>
      </x:c>
    </x:row>
    <x:row r="3163">
      <x:c r="A3163" t="n">
        <x:v>3162</x:v>
      </x:c>
      <x:c r="B3163" s="106" t="str">
        <x:v>Target X amplitude: 1.15000 m/s^2 peak, tolerance +/-7.50 %</x:v>
      </x:c>
      <x:c r="C3163" t="str">
        <x:v>Pasted text(56).txt</x:v>
      </x:c>
    </x:row>
    <x:row r="3164">
      <x:c r="A3164" t="n">
        <x:v>3163</x:v>
      </x:c>
      <x:c r="B3164" s="106" t="str">
        <x:v>This run starts from DAC 1.00 and ignores every earlier selected DAC.</x:v>
      </x:c>
      <x:c r="C3164" t="str">
        <x:v>Pasted text(56).txt</x:v>
      </x:c>
    </x:row>
    <x:row r="3165">
      <x:c r="A3165" t="n">
        <x:v>3164</x:v>
      </x:c>
      <x:c r="B3165" s="106" t="str">
        <x:v>ADXL2 DEVID/DATA_FORMAT/BW_RATE/POWER_CTL: 0xE5 / 0xB / 0xE / 0x8</x:v>
      </x:c>
      <x:c r="C3165" t="str">
        <x:v>Pasted text(56).txt</x:v>
      </x:c>
    </x:row>
    <x:row r="3166">
      <x:c r="A3166" t="n">
        <x:v>3165</x:v>
      </x:c>
      <x:c r="B3166" s="106" t="str"/>
      <x:c r="C3166" t="str">
        <x:v>Pasted text(56).txt</x:v>
      </x:c>
    </x:row>
    <x:row r="3167">
      <x:c r="A3167" t="n">
        <x:v>3166</x:v>
      </x:c>
      <x:c r="B3167" s="106" t="str">
        <x:v>ACQUISITION ATTEMPT 1 OF 2</x:v>
      </x:c>
      <x:c r="C3167" t="str">
        <x:v>Pasted text(56).txt</x:v>
      </x:c>
    </x:row>
    <x:row r="3168">
      <x:c r="A3168" t="n">
        <x:v>3167</x:v>
      </x:c>
      <x:c r="B3168" s="106" t="str"/>
      <x:c r="C3168" t="str">
        <x:v>Pasted text(56).txt</x:v>
      </x:c>
    </x:row>
    <x:row r="3169">
      <x:c r="A3169" t="n">
        <x:v>3168</x:v>
      </x:c>
      <x:c r="B3169" s="106" t="str">
        <x:v>FRESH X-AXIS SEARCH FROM DAC 1.00 — OLD DAC VALUES ARE NOT USED</x:v>
      </x:c>
      <x:c r="C3169" t="str">
        <x:v>Pasted text(56).txt</x:v>
      </x:c>
    </x:row>
    <x:row r="3170">
      <x:c r="A3170" t="n">
        <x:v>3169</x:v>
      </x:c>
      <x:c r="B3170" s="106" t="str">
        <x:v>Y/Z are diagnostic only and cannot abort this search.</x:v>
      </x:c>
      <x:c r="C3170" t="str">
        <x:v>Pasted text(56).txt</x:v>
      </x:c>
    </x:row>
    <x:row r="3171">
      <x:c r="A3171" t="n">
        <x:v>3170</x:v>
      </x:c>
      <x:c r="B3171" s="106" t="str">
        <x:v>A real SPI fault, clipping, safety limit or confirmed X-response collapse will stop it.</x:v>
      </x:c>
      <x:c r="C3171" t="str">
        <x:v>Pasted text(56).txt</x:v>
      </x:c>
    </x:row>
    <x:row r="3172">
      <x:c r="A3172" t="n">
        <x:v>3171</x:v>
      </x:c>
      <x:c r="B3172" s="106" t="str">
        <x:v>SEARCH | point 1 | DAC 1.00 | CTRL X 0.01446 | X 0.01407 | Y 0.02182 | Z 0.03129 | TOTAL 0.04186 | error -98.74 % | MAD 7.56 % | CV 9.64 % | coh 8.9 % | dominant Z | axis fraction 45.0 % | BELOW MEASUREMENT FLOOR — SEARCH CONTINUES</x:v>
      </x:c>
      <x:c r="C3172" t="str">
        <x:v>Pasted text(56).txt</x:v>
      </x:c>
    </x:row>
    <x:row r="3173">
      <x:c r="A3173" t="n">
        <x:v>3172</x:v>
      </x:c>
      <x:c r="B3173" s="106" t="str">
        <x:v>SEARCH | point 2 | DAC 3.00 | CTRL X 0.15012 | X 0.15016 | Y 0.05220 | Z 0.09733 | TOTAL 0.18685 | error -86.95 % | MAD 12.18 % | CV 8.25 % | coh 61.2 % | dominant X | axis fraction 100.0 % | VALID</x:v>
      </x:c>
      <x:c r="C3173" t="str">
        <x:v>Pasted text(56).txt</x:v>
      </x:c>
    </x:row>
    <x:row r="3174">
      <x:c r="A3174" t="n">
        <x:v>3173</x:v>
      </x:c>
      <x:c r="B3174" s="106" t="str">
        <x:v>SEARCH | point 3 | DAC 5.00 | CTRL X 0.36317 | X 0.35501 | Y 0.09740 | Z 0.18616 | TOTAL 0.41265 | error -68.42 % | MAD 3.80 % | CV 6.39 % | coh 82.5 % | dominant X | axis fraction 100.0 % | VALID</x:v>
      </x:c>
      <x:c r="C3174" t="str">
        <x:v>Pasted text(56).txt</x:v>
      </x:c>
    </x:row>
    <x:row r="3175">
      <x:c r="A3175" t="n">
        <x:v>3174</x:v>
      </x:c>
      <x:c r="B3175" s="106" t="str">
        <x:v>SEARCH | point 4 | DAC 6.00 | CTRL X 0.47099 | X 0.47566 | Y 0.12211 | Z 0.23107 | TOTAL 0.54281 | error -59.04 % | MAD 1.98 % | CV 2.92 % | coh 86.8 % | dominant X | axis fraction 100.0 % | VALID</x:v>
      </x:c>
      <x:c r="C3175" t="str">
        <x:v>Pasted text(56).txt</x:v>
      </x:c>
    </x:row>
    <x:row r="3176">
      <x:c r="A3176" t="n">
        <x:v>3175</x:v>
      </x:c>
      <x:c r="B3176" s="106" t="str">
        <x:v>SEARCH | point 5 | DAC 7.00 | CTRL X 0.57494 | X 0.57115 | Y 0.15342 | Z 0.29718 | TOTAL 0.66211 | error -50.01 % | MAD 4.19 % | CV 3.89 % | coh 88.7 % | dominant X | axis fraction 100.0 % | VALID</x:v>
      </x:c>
      <x:c r="C3176" t="str">
        <x:v>Pasted text(56).txt</x:v>
      </x:c>
    </x:row>
    <x:row r="3177">
      <x:c r="A3177" t="n">
        <x:v>3176</x:v>
      </x:c>
      <x:c r="B3177" s="106" t="str">
        <x:v>SEARCH | point 6 | DAC 8.00 | CTRL X 0.69929 | X 0.69923 | Y 0.16806 | Z 0.35282 | TOTAL 0.80116 | error -39.19 % | MAD 3.17 % | CV 2.15 % | coh 91.6 % | dominant X | axis fraction 100.0 % | VALID</x:v>
      </x:c>
      <x:c r="C3177" t="str">
        <x:v>Pasted text(56).txt</x:v>
      </x:c>
    </x:row>
    <x:row r="3178">
      <x:c r="A3178" t="n">
        <x:v>3177</x:v>
      </x:c>
      <x:c r="B3178" s="106" t="str">
        <x:v>SEARCH | point 7 | DAC 8.50 | CTRL X 0.72268 | X 0.72160 | Y 0.19272 | Z 0.34544 | TOTAL 0.82299 | error -37.16 % | MAD 3.24 % | CV 2.42 % | coh 90.2 % | dominant X | axis fraction 100.0 % | VALID</x:v>
      </x:c>
      <x:c r="C3178" t="str">
        <x:v>Pasted text(56).txt</x:v>
      </x:c>
    </x:row>
    <x:row r="3179">
      <x:c r="A3179" t="n">
        <x:v>3178</x:v>
      </x:c>
      <x:c r="B3179" s="106" t="str">
        <x:v>SEARCH | point 8 | DAC 9.00 | CTRL X 0.80179 | X 0.80347 | Y 0.20866 | Z 0.38264 | TOTAL 0.91428 | error -30.28 % | MAD 2.51 % | CV 2.01 % | coh 92.2 % | dominant X | axis fraction 100.0 % | VALID</x:v>
      </x:c>
      <x:c r="C3179" t="str">
        <x:v>Pasted text(56).txt</x:v>
      </x:c>
    </x:row>
    <x:row r="3180">
      <x:c r="A3180" t="n">
        <x:v>3179</x:v>
      </x:c>
      <x:c r="B3180" s="106" t="str">
        <x:v>SEARCH | point 9 | DAC 9.50 | CTRL X 0.82482 | X 0.82262 | Y 0.19757 | Z 0.39365 | TOTAL 0.93312 | error -28.28 % | MAD 0.08 % | CV 0.51 % | coh 92.1 % | dominant X | axis fraction 100.0 % | VALID</x:v>
      </x:c>
      <x:c r="C3180" t="str">
        <x:v>Pasted text(56).txt</x:v>
      </x:c>
    </x:row>
    <x:row r="3181">
      <x:c r="A3181" t="n">
        <x:v>3180</x:v>
      </x:c>
      <x:c r="B3181" s="106" t="str">
        <x:v>SEARCH | point 10 | DAC 10.00 | CTRL X 0.91672 | X 0.91658 | Y 0.23804 | Z 0.43049 | TOTAL 1.04040 | error -20.28 % | MAD 0.17 % | CV 0.14 % | coh 92.8 % | dominant X | axis fraction 100.0 % | VALID</x:v>
      </x:c>
      <x:c r="C3181" t="str">
        <x:v>Pasted text(56).txt</x:v>
      </x:c>
    </x:row>
    <x:row r="3182">
      <x:c r="A3182" t="n">
        <x:v>3181</x:v>
      </x:c>
      <x:c r="B3182" s="106" t="str">
        <x:v>SEARCH | point 11 | DAC 10.50 | CTRL X 0.95565 | X 0.95442 | Y 0.25035 | Z 0.44263 | TOTAL 1.08151 | error -16.90 % | MAD 0.14 % | CV 0.31 % | coh 93.1 % | dominant X | axis fraction 100.0 % | VALID</x:v>
      </x:c>
      <x:c r="C3182" t="str">
        <x:v>Pasted text(56).txt</x:v>
      </x:c>
    </x:row>
    <x:row r="3183">
      <x:c r="A3183" t="n">
        <x:v>3182</x:v>
      </x:c>
      <x:c r="B3183" s="106" t="str">
        <x:v>SEARCH | point 12 | DAC 11.00 | CTRL X 1.02052 | X 1.02370 | Y 0.24162 | Z 0.45931 | TOTAL 1.14791 | error -11.26 % | MAD 2.12 % | CV 1.91 % | coh 92.9 % | dominant X | axis fraction 100.0 % | VALID</x:v>
      </x:c>
      <x:c r="C3183" t="str">
        <x:v>Pasted text(56).txt</x:v>
      </x:c>
    </x:row>
    <x:row r="3184">
      <x:c r="A3184" t="n">
        <x:v>3183</x:v>
      </x:c>
      <x:c r="B3184" s="106" t="str">
        <x:v>SEARCH | point 13 | DAC 11.25 | CTRL X 1.04092 | X 1.04068 | Y 0.25045 | Z 0.47431 | TOTAL 1.17116 | error -9.49 % | MAD 0.43 % | CV 0.33 % | coh 92.5 % | dominant X | axis fraction 100.0 % | VALID</x:v>
      </x:c>
      <x:c r="C3184" t="str">
        <x:v>Pasted text(56).txt</x:v>
      </x:c>
    </x:row>
    <x:row r="3185">
      <x:c r="A3185" t="n">
        <x:v>3184</x:v>
      </x:c>
      <x:c r="B3185" s="106" t="str">
        <x:v>SEARCH | point 14 | DAC 11.50 | CTRL X 1.08119 | X 1.07585 | Y 0.27175 | Z 0.44990 | TOTAL 1.19795 | error -5.98 % | MAD 0.27 % | CV 1.02 % | coh 92.8 % | dominant X | axis fraction 100.0 % | IN TARGET BAND</x:v>
      </x:c>
      <x:c r="C3185" t="str">
        <x:v>Pasted text(56).txt</x:v>
      </x:c>
    </x:row>
    <x:row r="3186">
      <x:c r="A3186" t="n">
        <x:v>3185</x:v>
      </x:c>
      <x:c r="B3186" s="106" t="str"/>
      <x:c r="C3186" t="str">
        <x:v>Pasted text(56).txt</x:v>
      </x:c>
    </x:row>
    <x:row r="3187">
      <x:c r="A3187" t="n">
        <x:v>3186</x:v>
      </x:c>
      <x:c r="B3187" s="106" t="str">
        <x:v>LOCAL 0.25-DAC X-AXIS FINE SCAN</x:v>
      </x:c>
      <x:c r="C3187" t="str">
        <x:v>Pasted text(56).txt</x:v>
      </x:c>
    </x:row>
    <x:row r="3188">
      <x:c r="A3188" t="n">
        <x:v>3187</x:v>
      </x:c>
      <x:c r="B3188" s="106" t="str">
        <x:v>Only a valid point actually inside the X target band may be selected.</x:v>
      </x:c>
      <x:c r="C3188" t="str">
        <x:v>Pasted text(56).txt</x:v>
      </x:c>
    </x:row>
    <x:row r="3189">
      <x:c r="A3189" t="n">
        <x:v>3188</x:v>
      </x:c>
      <x:c r="B3189" s="106" t="str">
        <x:v>FINE | point 1 | DAC 10.50 | CTRL X 0.96146 | X 0.96021 | Y 0.23831 | Z 0.40299 | TOTAL 1.06871 | error -16.39 % | MAD 2.22 % | CV 1.70 % | coh 93.6 % | dominant X | axis fraction 100.0 % | VALID</x:v>
      </x:c>
      <x:c r="C3189" t="str">
        <x:v>Pasted text(56).txt</x:v>
      </x:c>
    </x:row>
    <x:row r="3190">
      <x:c r="A3190" t="n">
        <x:v>3189</x:v>
      </x:c>
      <x:c r="B3190" s="106" t="str">
        <x:v>FINE | point 2 | DAC 10.75 | CTRL X 1.00687 | X 1.00666 | Y 0.25016 | Z 0.47941 | TOTAL 1.14276 | error -12.45 % | MAD 0.88 % | CV 0.63 % | coh 93.3 % | dominant X | axis fraction 100.0 % | VALID</x:v>
      </x:c>
      <x:c r="C3190" t="str">
        <x:v>Pasted text(56).txt</x:v>
      </x:c>
    </x:row>
    <x:row r="3191">
      <x:c r="A3191" t="n">
        <x:v>3190</x:v>
      </x:c>
      <x:c r="B3191" s="106" t="str">
        <x:v>FINE | point 3 | DAC 11.00 | CTRL X 1.03381 | X 1.02708 | Y 0.25353 | Z 0.46092 | TOTAL 1.15400 | error -10.10 % | MAD 0.80 % | CV 1.63 % | coh 93.8 % | dominant X | axis fraction 100.0 % | VALID</x:v>
      </x:c>
      <x:c r="C3191" t="str">
        <x:v>Pasted text(56).txt</x:v>
      </x:c>
    </x:row>
    <x:row r="3192">
      <x:c r="A3192" t="n">
        <x:v>3191</x:v>
      </x:c>
      <x:c r="B3192" s="106" t="str">
        <x:v>FINE | point 4 | DAC 11.25 | CTRL X 1.06110 | X 1.05790 | Y 0.26902 | Z 0.46498 | TOTAL 1.18664 | error -7.73 % | MAD 1.05 % | CV 1.19 % | coh 93.3 % | dominant X | axis fraction 100.0 % | VALID</x:v>
      </x:c>
      <x:c r="C3192" t="str">
        <x:v>Pasted text(56).txt</x:v>
      </x:c>
    </x:row>
    <x:row r="3193">
      <x:c r="A3193" t="n">
        <x:v>3192</x:v>
      </x:c>
      <x:c r="B3193" s="106" t="str">
        <x:v>FINE | point 5 | DAC 11.50 | CTRL X 1.07953 | X 1.07757 | Y 0.27570 | Z 0.47528 | TOTAL 1.20999 | error -6.13 % | MAD 0.04 % | CV 0.34 % | coh 92.6 % | dominant X | axis fraction 100.0 % | IN TARGET BAND</x:v>
      </x:c>
      <x:c r="C3193" t="str">
        <x:v>Pasted text(56).txt</x:v>
      </x:c>
    </x:row>
    <x:row r="3194">
      <x:c r="A3194" t="n">
        <x:v>3193</x:v>
      </x:c>
      <x:c r="B3194" s="106" t="str">
        <x:v>FINE | point 6 | DAC 11.75 | CTRL X 1.11093 | X 1.11177 | Y 0.26691 | Z 0.47501 | TOTAL 1.23853 | error -3.40 % | MAD 0.81 % | CV 0.66 % | coh 93.3 % | dominant X | axis fraction 100.0 % | IN TARGET BAND</x:v>
      </x:c>
      <x:c r="C3194" t="str">
        <x:v>Pasted text(56).txt</x:v>
      </x:c>
    </x:row>
    <x:row r="3195">
      <x:c r="A3195" t="n">
        <x:v>3194</x:v>
      </x:c>
      <x:c r="B3195" s="106" t="str">
        <x:v>FINE | point 7 | DAC 12.00 | CTRL X 1.12804 | X 1.12865 | Y 0.26804 | Z 0.50521 | TOTAL 1.26567 | error -1.91 % | MAD 1.56 % | CV 1.13 % | coh 93.0 % | dominant X | axis fraction 100.0 % | IN TARGET BAND</x:v>
      </x:c>
      <x:c r="C3195" t="str">
        <x:v>Pasted text(56).txt</x:v>
      </x:c>
    </x:row>
    <x:row r="3196">
      <x:c r="A3196" t="n">
        <x:v>3195</x:v>
      </x:c>
      <x:c r="B3196" s="106" t="str">
        <x:v>FINE | point 8 | DAC 12.25 | CTRL X 1.16167 | X 1.17213 | Y 0.26727 | Z 0.51557 | TOTAL 1.30847 | error 1.01 % | MAD 1.31 % | CV 2.35 % | coh 94.2 % | dominant X | axis fraction 100.0 % | IN TARGET BAND</x:v>
      </x:c>
      <x:c r="C3196" t="str">
        <x:v>Pasted text(56).txt</x:v>
      </x:c>
    </x:row>
    <x:row r="3197">
      <x:c r="A3197" t="n">
        <x:v>3196</x:v>
      </x:c>
      <x:c r="B3197" s="106" t="str">
        <x:v>FINE | point 9 | DAC 12.50 | CTRL X 1.18119 | X 1.18885 | Y 0.29328 | Z 0.51701 | TOTAL 1.32926 | error 2.71 % | MAD 0.76 % | CV 1.58 % | coh 94.0 % | dominant X | axis fraction 100.0 % | IN TARGET BAND</x:v>
      </x:c>
      <x:c r="C3197" t="str">
        <x:v>Pasted text(56).txt</x:v>
      </x:c>
    </x:row>
    <x:row r="3198">
      <x:c r="A3198" t="n">
        <x:v>3197</x:v>
      </x:c>
      <x:c r="B3198" s="106" t="str"/>
      <x:c r="C3198" t="str">
        <x:v>Pasted text(56).txt</x:v>
      </x:c>
    </x:row>
    <x:row r="3199">
      <x:c r="A3199" t="n">
        <x:v>3198</x:v>
      </x:c>
      <x:c r="B3199" s="106" t="str">
        <x:v>LONG VALIDATION AT FIXED DAC 12.25</x:v>
      </x:c>
      <x:c r="C3199" t="str">
        <x:v>Pasted text(56).txt</x:v>
      </x:c>
    </x:row>
    <x:row r="3200">
      <x:c r="A3200" t="n">
        <x:v>3199</x:v>
      </x:c>
      <x:c r="B3200" s="106" t="str">
        <x:v>FINAL | point 1 | DAC 12.25 | CTRL X 1.15959 | X 1.16397 | Y 0.28850 | Z 0.49131 | TOTAL 1.29599 | error 0.83 % | MAD 0.71 % | CV 1.01 % | coh 93.4 % | dominant X | axis fraction 100.0 % | IN TARGET BAND</x:v>
      </x:c>
      <x:c r="C3200" t="str">
        <x:v>Pasted text(56).txt</x:v>
      </x:c>
    </x:row>
    <x:row r="3201">
      <x:c r="A3201" t="n">
        <x:v>3200</x:v>
      </x:c>
      <x:c r="B3201" s="106" t="str">
        <x:v>FINAL | point 2 | DAC 12.25 | CTRL X 1.16339 | X 1.16111 | Y 0.28495 | Z 0.50115 | TOTAL 1.29673 | error 1.16 % | MAD 1.79 % | CV 1.11 % | coh 93.3 % | dominant X | axis fraction 100.0 % | IN TARGET BAND</x:v>
      </x:c>
      <x:c r="C3201" t="str">
        <x:v>Pasted text(56).txt</x:v>
      </x:c>
    </x:row>
    <x:row r="3202">
      <x:c r="A3202" t="n">
        <x:v>3201</x:v>
      </x:c>
      <x:c r="B3202" s="106" t="str">
        <x:v>VALIDATION ACCEPTED | pair drift 0.33 %</x:v>
      </x:c>
      <x:c r="C3202" t="str">
        <x:v>Pasted text(56).txt</x:v>
      </x:c>
    </x:row>
    <x:row r="3203">
      <x:c r="A3203" t="n">
        <x:v>3202</x:v>
      </x:c>
      <x:c r="B3203" s="106" t="str"/>
      <x:c r="C3203" t="str">
        <x:v>Pasted text(56).txt</x:v>
      </x:c>
    </x:row>
    <x:row r="3204">
      <x:c r="A3204" t="n">
        <x:v>3203</x:v>
      </x:c>
      <x:c r="B3204" s="106" t="str">
        <x:v>FINAL VALIDATED BLIND FFT VERIFICATION</x:v>
      </x:c>
      <x:c r="C3204" t="str">
        <x:v>Pasted text(56).txt</x:v>
      </x:c>
    </x:row>
    <x:row r="3205">
      <x:c r="A3205" t="n">
        <x:v>3204</x:v>
      </x:c>
      <x:c r="B3205" s="106" t="str">
        <x:v>Commanded frequency: 268.00000 Hz</x:v>
      </x:c>
      <x:c r="C3205" t="str">
        <x:v>Pasted text(56).txt</x:v>
      </x:c>
    </x:row>
    <x:row r="3206">
      <x:c r="A3206" t="n">
        <x:v>3205</x:v>
      </x:c>
      <x:c r="B3206" s="106" t="str">
        <x:v>Accepted DAC: 12.25</x:v>
      </x:c>
      <x:c r="C3206" t="str">
        <x:v>Pasted text(56).txt</x:v>
      </x:c>
    </x:row>
    <x:row r="3207">
      <x:c r="A3207" t="n">
        <x:v>3206</x:v>
      </x:c>
      <x:c r="B3207" s="106" t="str">
        <x:v>Axis,Frequency_Hz,Amplitude_mps2,SNR_dB,Status</x:v>
      </x:c>
      <x:c r="C3207" t="str">
        <x:v>Pasted text(56).txt</x:v>
      </x:c>
    </x:row>
    <x:row r="3208">
      <x:c r="A3208" t="n">
        <x:v>3207</x:v>
      </x:c>
      <x:c r="B3208" s="106" t="str">
        <x:v>X,268.03242,1.05756,32.64,VALID</x:v>
      </x:c>
      <x:c r="C3208" t="str">
        <x:v>Pasted text(56).txt</x:v>
      </x:c>
    </x:row>
    <x:row r="3209">
      <x:c r="A3209" t="n">
        <x:v>3208</x:v>
      </x:c>
      <x:c r="B3209" s="106" t="str">
        <x:v>Y,268.03932,0.25317,24.38,VALID</x:v>
      </x:c>
      <x:c r="C3209" t="str">
        <x:v>Pasted text(56).txt</x:v>
      </x:c>
    </x:row>
    <x:row r="3210">
      <x:c r="A3210" t="n">
        <x:v>3209</x:v>
      </x:c>
      <x:c r="B3210" s="106" t="str">
        <x:v>Z,268.00303,0.45113,27.54,VALID</x:v>
      </x:c>
      <x:c r="C3210" t="str">
        <x:v>Pasted text(56).txt</x:v>
      </x:c>
    </x:row>
    <x:row r="3211">
      <x:c r="A3211" t="n">
        <x:v>3210</x:v>
      </x:c>
      <x:c r="B3211" s="106" t="str">
        <x:v>Combined frequency: 268.02845 Hz | difference 0.02845 Hz</x:v>
      </x:c>
      <x:c r="C3211" t="str">
        <x:v>Pasted text(56).txt</x:v>
      </x:c>
    </x:row>
    <x:row r="3212">
      <x:c r="A3212" t="n">
        <x:v>3211</x:v>
      </x:c>
      <x:c r="B3212" s="106" t="str">
        <x:v>Combined X/Y/Z/TOTAL: 0.96743 / 0.23229 / 0.40979 / 1.07601</x:v>
      </x:c>
      <x:c r="C3212" t="str">
        <x:v>Pasted text(56).txt</x:v>
      </x:c>
    </x:row>
    <x:row r="3213">
      <x:c r="A3213" t="n">
        <x:v>3212</x:v>
      </x:c>
      <x:c r="B3213" s="106" t="str">
        <x:v>SNR: 30.63 dB | dominant axis X</x:v>
      </x:c>
      <x:c r="C3213" t="str">
        <x:v>Pasted text(56).txt</x:v>
      </x:c>
    </x:row>
    <x:row r="3214">
      <x:c r="A3214" t="n">
        <x:v>3213</x:v>
      </x:c>
      <x:c r="B3214" s="106" t="str">
        <x:v>Frequency verification: PASS</x:v>
      </x:c>
      <x:c r="C3214" t="str">
        <x:v>Pasted text(56).txt</x:v>
      </x:c>
    </x:row>
    <x:row r="3215">
      <x:c r="A3215" t="n">
        <x:v>3214</x:v>
      </x:c>
      <x:c r="B3215" s="106" t="str">
        <x:v>Y/Z dominance: DIAGNOSTIC ONLY — ignored for pass/fail</x:v>
      </x:c>
      <x:c r="C3215" t="str">
        <x:v>Pasted text(56).txt</x:v>
      </x:c>
    </x:row>
    <x:row r="3216">
      <x:c r="A3216" t="n">
        <x:v>3215</x:v>
      </x:c>
      <x:c r="B3216" s="106" t="str"/>
      <x:c r="C3216" t="str">
        <x:v>Pasted text(56).txt</x:v>
      </x:c>
    </x:row>
    <x:row r="3217">
      <x:c r="A3217" t="n">
        <x:v>3216</x:v>
      </x:c>
      <x:c r="B3217" s="106" t="str">
        <x:v>FIXED-DAC HOLD VALIDATION</x:v>
      </x:c>
      <x:c r="C3217" t="str">
        <x:v>Pasted text(56).txt</x:v>
      </x:c>
    </x:row>
    <x:row r="3218">
      <x:c r="A3218" t="n">
        <x:v>3217</x:v>
      </x:c>
      <x:c r="B3218" s="106" t="str">
        <x:v>DAC remains fixed at 12.25 for 10 records.</x:v>
      </x:c>
      <x:c r="C3218" t="str">
        <x:v>Pasted text(56).txt</x:v>
      </x:c>
    </x:row>
    <x:row r="3219">
      <x:c r="A3219" t="n">
        <x:v>3218</x:v>
      </x:c>
      <x:c r="B3219" s="106" t="str">
        <x:v>HOLD | point 1 | DAC 12.25 | CTRL X 1.16462 | X 1.16287 | Y 0.27128 | Z 0.49945 | TOTAL 1.29441 | error 1.27 % | MAD 0.83 % | CV 0.79 % | coh 93.2 % | dominant X | axis fraction 100.0 % | IN TARGET BAND</x:v>
      </x:c>
      <x:c r="C3219" t="str">
        <x:v>Pasted text(56).txt</x:v>
      </x:c>
    </x:row>
    <x:row r="3220">
      <x:c r="A3220" t="n">
        <x:v>3219</x:v>
      </x:c>
      <x:c r="B3220" s="106" t="str">
        <x:v>HOLD | point 2 | DAC 12.25 | CTRL X 1.16205 | X 1.16069 | Y 0.28765 | Z 0.53257 | TOTAL 1.30912 | error 1.05 % | MAD 1.57 % | CV 1.24 % | coh 93.9 % | dominant X | axis fraction 100.0 % | IN TARGET BAND</x:v>
      </x:c>
      <x:c r="C3220" t="str">
        <x:v>Pasted text(56).txt</x:v>
      </x:c>
    </x:row>
    <x:row r="3221">
      <x:c r="A3221" t="n">
        <x:v>3220</x:v>
      </x:c>
      <x:c r="B3221" s="106" t="str">
        <x:v>HOLD | point 3 | DAC 12.25 | CTRL X 1.16333 | X 1.16351 | Y 0.29942 | Z 0.50661 | TOTAL 1.30408 | error 1.16 % | MAD 0.67 % | CV 0.48 % | coh 93.3 % | dominant X | axis fraction 100.0 % | IN TARGET BAND</x:v>
      </x:c>
      <x:c r="C3221" t="str">
        <x:v>Pasted text(56).txt</x:v>
      </x:c>
    </x:row>
    <x:row r="3222">
      <x:c r="A3222" t="n">
        <x:v>3221</x:v>
      </x:c>
      <x:c r="B3222" s="106" t="str">
        <x:v>HOLD | point 4 | DAC 12.25 | CTRL X 1.15761 | X 1.15250 | Y 0.29146 | Z 0.50313 | TOTAL 1.29093 | error 0.66 % | MAD 0.96 % | CV 1.37 % | coh 93.7 % | dominant X | axis fraction 100.0 % | IN TARGET BAND</x:v>
      </x:c>
      <x:c r="C3222" t="str">
        <x:v>Pasted text(56).txt</x:v>
      </x:c>
    </x:row>
    <x:row r="3223">
      <x:c r="A3223" t="n">
        <x:v>3222</x:v>
      </x:c>
      <x:c r="B3223" s="106" t="str">
        <x:v>HOLD | point 5 | DAC 12.25 | CTRL X 1.15942 | X 1.16381 | Y 0.29588 | Z 0.49015 | TOTAL 1.29712 | error 0.82 % | MAD 1.25 % | CV 1.44 % | coh 93.1 % | dominant X | axis fraction 100.0 % | IN TARGET BAND</x:v>
      </x:c>
      <x:c r="C3223" t="str">
        <x:v>Pasted text(56).txt</x:v>
      </x:c>
    </x:row>
    <x:row r="3224">
      <x:c r="A3224" t="n">
        <x:v>3223</x:v>
      </x:c>
      <x:c r="B3224" s="106" t="str">
        <x:v>HOLD | point 6 | DAC 12.25 | CTRL X 1.16346 | X 1.16549 | Y 0.29225 | Z 0.49068 | TOTAL 1.29820 | error 1.17 % | MAD 0.30 % | CV 0.49 % | coh 94.0 % | dominant X | axis fraction 100.0 % | IN TARGET BAND</x:v>
      </x:c>
      <x:c r="C3224" t="str">
        <x:v>Pasted text(56).txt</x:v>
      </x:c>
    </x:row>
    <x:row r="3225">
      <x:c r="A3225" t="n">
        <x:v>3224</x:v>
      </x:c>
      <x:c r="B3225" s="106" t="str">
        <x:v>HOLD | point 7 | DAC 12.25 | CTRL X 1.14963 | X 1.15649 | Y 0.29268 | Z 0.50307 | TOTAL 1.29479 | error -0.03 % | MAD 1.07 % | CV 1.69 % | coh 93.5 % | dominant X | axis fraction 100.0 % | IN TARGET BAND</x:v>
      </x:c>
      <x:c r="C3225" t="str">
        <x:v>Pasted text(56).txt</x:v>
      </x:c>
    </x:row>
    <x:row r="3226">
      <x:c r="A3226" t="n">
        <x:v>3225</x:v>
      </x:c>
      <x:c r="B3226" s="106" t="str">
        <x:v>HOLD | point 8 | DAC 12.25 | CTRL X 1.15101 | X 1.14874 | Y 0.27357 | Z 0.50422 | TOTAL 1.28404 | error 0.09 % | MAD 1.66 % | CV 1.43 % | coh 93.5 % | dominant X | axis fraction 100.0 % | IN TARGET BAND</x:v>
      </x:c>
      <x:c r="C3226" t="str">
        <x:v>Pasted text(56).txt</x:v>
      </x:c>
    </x:row>
    <x:row r="3227">
      <x:c r="A3227" t="n">
        <x:v>3226</x:v>
      </x:c>
      <x:c r="B3227" s="106" t="str">
        <x:v>HOLD | point 9 | DAC 12.25 | CTRL X 1.16367 | X 1.16346 | Y 0.28892 | Z 0.48535 | TOTAL 1.29338 | error 1.19 % | MAD 0.43 % | CV 0.32 % | coh 93.4 % | dominant X | axis fraction 100.0 % | IN TARGET BAND</x:v>
      </x:c>
      <x:c r="C3227" t="str">
        <x:v>Pasted text(56).txt</x:v>
      </x:c>
    </x:row>
    <x:row r="3228">
      <x:c r="A3228" t="n">
        <x:v>3227</x:v>
      </x:c>
      <x:c r="B3228" s="106" t="str">
        <x:v>HOLD | point 10 | DAC 12.25 | CTRL X 1.15425 | X 1.15339 | Y 0.27448 | Z 0.47605 | TOTAL 1.27778 | error 0.37 % | MAD 2.79 % | CV 1.99 % | coh 93.7 % | dominant X | axis fraction 100.0 % | IN TARGET BAND</x:v>
      </x:c>
      <x:c r="C3228" t="str">
        <x:v>Pasted text(56).txt</x:v>
      </x:c>
    </x:row>
    <x:row r="3229">
      <x:c r="A3229" t="n">
        <x:v>3228</x:v>
      </x:c>
      <x:c r="B3229" s="106" t="str"/>
      <x:c r="C3229" t="str">
        <x:v>Pasted text(56).txt</x:v>
      </x:c>
    </x:row>
    <x:row r="3230">
      <x:c r="A3230" t="n">
        <x:v>3229</x:v>
      </x:c>
      <x:c r="B3230" s="106" t="str">
        <x:v>HOLD SUMMARY</x:v>
      </x:c>
      <x:c r="C3230" t="str">
        <x:v>Pasted text(56).txt</x:v>
      </x:c>
    </x:row>
    <x:row r="3231">
      <x:c r="A3231" t="n">
        <x:v>3230</x:v>
      </x:c>
      <x:c r="B3231" s="106" t="str">
        <x:v>Valid / requested: 10 / 10</x:v>
      </x:c>
      <x:c r="C3231" t="str">
        <x:v>Pasted text(56).txt</x:v>
      </x:c>
    </x:row>
    <x:row r="3232">
      <x:c r="A3232" t="n">
        <x:v>3231</x:v>
      </x:c>
      <x:c r="B3232" s="106" t="str">
        <x:v>In band / requested: 10 / 10 = 100.0 %</x:v>
      </x:c>
      <x:c r="C3232" t="str">
        <x:v>Pasted text(56).txt</x:v>
      </x:c>
    </x:row>
    <x:row r="3233">
      <x:c r="A3233" t="n">
        <x:v>3232</x:v>
      </x:c>
      <x:c r="B3233" s="106" t="str">
        <x:v>Mean / SD / CV: 1.15890 / 0.00555 / 0.48 %</x:v>
      </x:c>
      <x:c r="C3233" t="str">
        <x:v>Pasted text(56).txt</x:v>
      </x:c>
    </x:row>
    <x:row r="3234">
      <x:c r="A3234" t="n">
        <x:v>3233</x:v>
      </x:c>
      <x:c r="B3234" s="106" t="str">
        <x:v>Min / Max: 1.14963 / 1.16462</x:v>
      </x:c>
      <x:c r="C3234" t="str">
        <x:v>Pasted text(56).txt</x:v>
      </x:c>
    </x:row>
    <x:row r="3235">
      <x:c r="A3235" t="n">
        <x:v>3234</x:v>
      </x:c>
      <x:c r="B3235" s="106" t="str">
        <x:v>HOLD RESULT: PASS</x:v>
      </x:c>
      <x:c r="C3235" t="str">
        <x:v>Pasted text(56).txt</x:v>
      </x:c>
    </x:row>
    <x:row r="3236">
      <x:c r="A3236" t="n">
        <x:v>3235</x:v>
      </x:c>
      <x:c r="B3236" s="106" t="str"/>
      <x:c r="C3236" t="str">
        <x:v>Pasted text(56).txt</x:v>
      </x:c>
    </x:row>
    <x:row r="3237">
      <x:c r="A3237" t="n">
        <x:v>3236</x:v>
      </x:c>
      <x:c r="B3237" s="106" t="str">
        <x:v>RUN RESULT: PASS</x:v>
      </x:c>
      <x:c r="C3237" t="str">
        <x:v>Pasted text(56).txt</x:v>
      </x:c>
    </x:row>
    <x:row r="3238">
      <x:c r="A3238" t="n">
        <x:v>3237</x:v>
      </x:c>
      <x:c r="B3238" s="106" t="str">
        <x:v>Selected DAC: 12.25</x:v>
      </x:c>
      <x:c r="C3238" t="str">
        <x:v>Pasted text(56).txt</x:v>
      </x:c>
    </x:row>
    <x:row r="3239">
      <x:c r="A3239" t="n">
        <x:v>3238</x:v>
      </x:c>
      <x:c r="B3239" s="106" t="str">
        <x:v>Validated amplitude: 1.16149 m/s^2 | error 1.00 %</x:v>
      </x:c>
      <x:c r="C3239" t="str">
        <x:v>Pasted text(56).txt</x:v>
      </x:c>
    </x:row>
    <x:row r="3240">
      <x:c r="A3240" t="n">
        <x:v>3239</x:v>
      </x:c>
      <x:c r="B3240" s="106" t="str">
        <x:v>FFT frequency: 268.02845 Hz | difference 0.02845 Hz</x:v>
      </x:c>
      <x:c r="C3240" t="str">
        <x:v>Pasted text(56).txt</x:v>
      </x:c>
    </x:row>
    <x:row r="3241">
      <x:c r="A3241" t="n">
        <x:v>3240</x:v>
      </x:c>
      <x:c r="B3241" s="106" t="str"/>
      <x:c r="C3241" t="str">
        <x:v>Pasted text(56).txt</x:v>
      </x:c>
    </x:row>
    <x:row r="3242">
      <x:c r="A3242" t="n">
        <x:v>3241</x:v>
      </x:c>
      <x:c r="B3242" s="106" t="str">
        <x:v>VISATON OFF. RESTING 5.0 s BEFORE THE NEXT COMPLETELY FRESH RUN.</x:v>
      </x:c>
      <x:c r="C3242" t="str">
        <x:v>Pasted text(56).txt</x:v>
      </x:c>
    </x:row>
    <x:row r="3243">
      <x:c r="A3243" t="n">
        <x:v>3242</x:v>
      </x:c>
      <x:c r="B3243" s="106" t="str"/>
      <x:c r="C3243" t="str">
        <x:v>Pasted text(56).txt</x:v>
      </x:c>
    </x:row>
    <x:row r="3244">
      <x:c r="A3244" t="n">
        <x:v>3243</x:v>
      </x:c>
      <x:c r="B3244" s="106" t="str">
        <x:v>################################################################################</x:v>
      </x:c>
      <x:c r="C3244" t="str">
        <x:v>Pasted text(56).txt</x:v>
      </x:c>
    </x:row>
    <x:row r="3245">
      <x:c r="A3245" t="n">
        <x:v>3244</x:v>
      </x:c>
      <x:c r="B3245" s="106" t="str">
        <x:v>INDEPENDENT TARGET-AMPLITUDE RUN 3 OF 5</x:v>
      </x:c>
      <x:c r="C3245" t="str">
        <x:v>Pasted text(56).txt</x:v>
      </x:c>
    </x:row>
    <x:row r="3246">
      <x:c r="A3246" t="n">
        <x:v>3245</x:v>
      </x:c>
      <x:c r="B3246" s="106" t="str">
        <x:v>################################################################################</x:v>
      </x:c>
      <x:c r="C3246" t="str">
        <x:v>Pasted text(56).txt</x:v>
      </x:c>
    </x:row>
    <x:row r="3247">
      <x:c r="A3247" t="n">
        <x:v>3246</x:v>
      </x:c>
      <x:c r="B3247" s="106" t="str">
        <x:v>Frequency: 268.00000 Hz</x:v>
      </x:c>
      <x:c r="C3247" t="str">
        <x:v>Pasted text(56).txt</x:v>
      </x:c>
    </x:row>
    <x:row r="3248">
      <x:c r="A3248" t="n">
        <x:v>3247</x:v>
      </x:c>
      <x:c r="B3248" s="106" t="str">
        <x:v>Target X amplitude: 1.15000 m/s^2 peak, tolerance +/-7.50 %</x:v>
      </x:c>
      <x:c r="C3248" t="str">
        <x:v>Pasted text(56).txt</x:v>
      </x:c>
    </x:row>
    <x:row r="3249">
      <x:c r="A3249" t="n">
        <x:v>3248</x:v>
      </x:c>
      <x:c r="B3249" s="106" t="str">
        <x:v>This run starts from DAC 1.00 and ignores every earlier selected DAC.</x:v>
      </x:c>
      <x:c r="C3249" t="str">
        <x:v>Pasted text(56).txt</x:v>
      </x:c>
    </x:row>
    <x:row r="3250">
      <x:c r="A3250" t="n">
        <x:v>3249</x:v>
      </x:c>
      <x:c r="B3250" s="106" t="str">
        <x:v>ADXL2 DEVID/DATA_FORMAT/BW_RATE/POWER_CTL: 0xE5 / 0xB / 0xE / 0x8</x:v>
      </x:c>
      <x:c r="C3250" t="str">
        <x:v>Pasted text(56).txt</x:v>
      </x:c>
    </x:row>
    <x:row r="3251">
      <x:c r="A3251" t="n">
        <x:v>3250</x:v>
      </x:c>
      <x:c r="B3251" s="106" t="str"/>
      <x:c r="C3251" t="str">
        <x:v>Pasted text(56).txt</x:v>
      </x:c>
    </x:row>
    <x:row r="3252">
      <x:c r="A3252" t="n">
        <x:v>3251</x:v>
      </x:c>
      <x:c r="B3252" s="106" t="str">
        <x:v>ACQUISITION ATTEMPT 1 OF 2</x:v>
      </x:c>
      <x:c r="C3252" t="str">
        <x:v>Pasted text(56).txt</x:v>
      </x:c>
    </x:row>
    <x:row r="3253">
      <x:c r="A3253" t="n">
        <x:v>3252</x:v>
      </x:c>
      <x:c r="B3253" s="106" t="str"/>
      <x:c r="C3253" t="str">
        <x:v>Pasted text(56).txt</x:v>
      </x:c>
    </x:row>
    <x:row r="3254">
      <x:c r="A3254" t="n">
        <x:v>3253</x:v>
      </x:c>
      <x:c r="B3254" s="106" t="str">
        <x:v>FRESH X-AXIS SEARCH FROM DAC 1.00 — OLD DAC VALUES ARE NOT USED</x:v>
      </x:c>
      <x:c r="C3254" t="str">
        <x:v>Pasted text(56).txt</x:v>
      </x:c>
    </x:row>
    <x:row r="3255">
      <x:c r="A3255" t="n">
        <x:v>3254</x:v>
      </x:c>
      <x:c r="B3255" s="106" t="str">
        <x:v>Y/Z are diagnostic only and cannot abort this search.</x:v>
      </x:c>
      <x:c r="C3255" t="str">
        <x:v>Pasted text(56).txt</x:v>
      </x:c>
    </x:row>
    <x:row r="3256">
      <x:c r="A3256" t="n">
        <x:v>3255</x:v>
      </x:c>
      <x:c r="B3256" s="106" t="str">
        <x:v>A real SPI fault, clipping, safety limit or confirmed X-response collapse will stop it.</x:v>
      </x:c>
      <x:c r="C3256" t="str">
        <x:v>Pasted text(56).txt</x:v>
      </x:c>
    </x:row>
    <x:row r="3257">
      <x:c r="A3257" t="n">
        <x:v>3256</x:v>
      </x:c>
      <x:c r="B3257" s="106" t="str">
        <x:v>SEARCH | point 1 | DAC 1.00 | CTRL X 0.01506 | X 0.01419 | Y 0.00766 | Z 0.03645 | TOTAL 0.04104 | error -98.69 % | MAD 5.55 % | CV 14.22 % | coh 8.0 % | dominant Z | axis fraction 38.9 % | BELOW MEASUREMENT FLOOR — SEARCH CONTINUES</x:v>
      </x:c>
      <x:c r="C3257" t="str">
        <x:v>Pasted text(56).txt</x:v>
      </x:c>
    </x:row>
    <x:row r="3258">
      <x:c r="A3258" t="n">
        <x:v>3257</x:v>
      </x:c>
      <x:c r="B3258" s="106" t="str">
        <x:v>SEARCH | point 2 | DAC 3.00 | CTRL X 0.14211 | X 0.14334 | Y 0.05200 | Z 0.12344 | TOTAL 0.19759 | error -87.64 % | MAD 2.38 % | CV 2.97 % | coh 57.6 % | dominant X | axis fraction 100.0 % | VALID</x:v>
      </x:c>
      <x:c r="C3258" t="str">
        <x:v>Pasted text(56).txt</x:v>
      </x:c>
    </x:row>
    <x:row r="3259">
      <x:c r="A3259" t="n">
        <x:v>3258</x:v>
      </x:c>
      <x:c r="B3259" s="106" t="str">
        <x:v>SEARCH | point 3 | DAC 5.00 | CTRL X 0.34889 | X 0.35180 | Y 0.11131 | Z 0.19849 | TOTAL 0.41935 | error -69.66 % | MAD 1.39 % | CV 2.28 % | coh 82.3 % | dominant X | axis fraction 100.0 % | VALID</x:v>
      </x:c>
      <x:c r="C3259" t="str">
        <x:v>Pasted text(56).txt</x:v>
      </x:c>
    </x:row>
    <x:row r="3260">
      <x:c r="A3260" t="n">
        <x:v>3259</x:v>
      </x:c>
      <x:c r="B3260" s="106" t="str">
        <x:v>SEARCH | point 4 | DAC 6.00 | CTRL X 0.47043 | X 0.46727 | Y 0.12549 | Z 0.24595 | TOTAL 0.54311 | error -59.09 % | MAD 1.99 % | CV 2.44 % | coh 87.8 % | dominant X | axis fraction 100.0 % | VALID</x:v>
      </x:c>
      <x:c r="C3260" t="str">
        <x:v>Pasted text(56).txt</x:v>
      </x:c>
    </x:row>
    <x:row r="3261">
      <x:c r="A3261" t="n">
        <x:v>3260</x:v>
      </x:c>
      <x:c r="B3261" s="106" t="str">
        <x:v>SEARCH | point 5 | DAC 7.00 | CTRL X 0.57460 | X 0.57729 | Y 0.15189 | Z 0.29648 | TOTAL 0.66660 | error -50.03 % | MAD 2.08 % | CV 2.13 % | coh 89.4 % | dominant X | axis fraction 100.0 % | VALID</x:v>
      </x:c>
      <x:c r="C3261" t="str">
        <x:v>Pasted text(56).txt</x:v>
      </x:c>
    </x:row>
    <x:row r="3262">
      <x:c r="A3262" t="n">
        <x:v>3261</x:v>
      </x:c>
      <x:c r="B3262" s="106" t="str">
        <x:v>SEARCH | point 6 | DAC 8.00 | CTRL X 0.68305 | X 0.68133 | Y 0.17057 | Z 0.33774 | TOTAL 0.77954 | error -40.60 % | MAD 2.68 % | CV 2.20 % | coh 90.7 % | dominant X | axis fraction 100.0 % | VALID</x:v>
      </x:c>
      <x:c r="C3262" t="str">
        <x:v>Pasted text(56).txt</x:v>
      </x:c>
    </x:row>
    <x:row r="3263">
      <x:c r="A3263" t="n">
        <x:v>3262</x:v>
      </x:c>
      <x:c r="B3263" s="106" t="str">
        <x:v>SEARCH | point 7 | DAC 9.00 | CTRL X 0.78529 | X 0.79482 | Y 0.20346 | Z 0.37497 | TOTAL 0.90229 | error -31.71 % | MAD 1.49 % | CV 2.98 % | coh 91.4 % | dominant X | axis fraction 100.0 % | VALID</x:v>
      </x:c>
      <x:c r="C3263" t="str">
        <x:v>Pasted text(56).txt</x:v>
      </x:c>
    </x:row>
    <x:row r="3264">
      <x:c r="A3264" t="n">
        <x:v>3263</x:v>
      </x:c>
      <x:c r="B3264" s="106" t="str">
        <x:v>SEARCH | point 8 | DAC 9.50 | CTRL X 0.83867 | X 0.83719 | Y 0.20333 | Z 0.37269 | TOTAL 0.93874 | error -27.07 % | MAD 1.06 % | CV 0.99 % | coh 93.3 % | dominant X | axis fraction 100.0 % | VALID</x:v>
      </x:c>
      <x:c r="C3264" t="str">
        <x:v>Pasted text(56).txt</x:v>
      </x:c>
    </x:row>
    <x:row r="3265">
      <x:c r="A3265" t="n">
        <x:v>3264</x:v>
      </x:c>
      <x:c r="B3265" s="106" t="str">
        <x:v>SEARCH | point 9 | DAC 10.00 | CTRL X 0.92842 | X 0.91323 | Y 0.22295 | Z 0.40793 | TOTAL 1.02512 | error -19.27 % | MAD 0.08 % | CV 2.93 % | coh 92.4 % | dominant X | axis fraction 100.0 % | VALID</x:v>
      </x:c>
      <x:c r="C3265" t="str">
        <x:v>Pasted text(56).txt</x:v>
      </x:c>
    </x:row>
    <x:row r="3266">
      <x:c r="A3266" t="n">
        <x:v>3265</x:v>
      </x:c>
      <x:c r="B3266" s="106" t="str">
        <x:v>SEARCH | point 10 | DAC 10.50 | CTRL X 0.94071 | X 0.94129 | Y 0.23283 | Z 0.43032 | TOTAL 1.06105 | error -18.20 % | MAD 0.97 % | CV 0.75 % | coh 93.1 % | dominant X | axis fraction 100.0 % | VALID</x:v>
      </x:c>
      <x:c r="C3266" t="str">
        <x:v>Pasted text(56).txt</x:v>
      </x:c>
    </x:row>
    <x:row r="3267">
      <x:c r="A3267" t="n">
        <x:v>3266</x:v>
      </x:c>
      <x:c r="B3267" s="106" t="str">
        <x:v>SEARCH | point 11 | DAC 11.00 | CTRL X 1.02712 | X 1.02888 | Y 0.26125 | Z 0.45894 | TOTAL 1.15669 | error -10.68 % | MAD 0.51 % | CV 0.62 % | coh 93.9 % | dominant X | axis fraction 100.0 % | VALID</x:v>
      </x:c>
      <x:c r="C3267" t="str">
        <x:v>Pasted text(56).txt</x:v>
      </x:c>
    </x:row>
    <x:row r="3268">
      <x:c r="A3268" t="n">
        <x:v>3267</x:v>
      </x:c>
      <x:c r="B3268" s="106" t="str">
        <x:v>SEARCH | point 12 | DAC 11.25 | CTRL X 1.04697 | X 1.04444 | Y 0.26326 | Z 0.45715 | TOTAL 1.17023 | error -8.96 % | MAD 1.42 % | CV 1.34 % | coh 93.4 % | dominant X | axis fraction 100.0 % | VALID</x:v>
      </x:c>
      <x:c r="C3268" t="str">
        <x:v>Pasted text(56).txt</x:v>
      </x:c>
    </x:row>
    <x:row r="3269">
      <x:c r="A3269" t="n">
        <x:v>3268</x:v>
      </x:c>
      <x:c r="B3269" s="106" t="str">
        <x:v>SEARCH | point 13 | DAC 11.50 | CTRL X 1.06244 | X 1.06547 | Y 0.25945 | Z 0.47629 | TOTAL 1.19570 | error -7.61 % | MAD 0.48 % | CV 0.79 % | coh 92.9 % | dominant X | axis fraction 100.0 % | VALID</x:v>
      </x:c>
      <x:c r="C3269" t="str">
        <x:v>Pasted text(56).txt</x:v>
      </x:c>
    </x:row>
    <x:row r="3270">
      <x:c r="A3270" t="n">
        <x:v>3269</x:v>
      </x:c>
      <x:c r="B3270" s="106" t="str">
        <x:v>SEARCH | point 14 | DAC 11.75 | CTRL X 1.11020 | X 1.10922 | Y 0.26472 | Z 0.49648 | TOTAL 1.24392 | error -3.46 % | MAD 0.11 % | CV 0.22 % | coh 93.2 % | dominant X | axis fraction 100.0 % | IN TARGET BAND</x:v>
      </x:c>
      <x:c r="C3270" t="str">
        <x:v>Pasted text(56).txt</x:v>
      </x:c>
    </x:row>
    <x:row r="3271">
      <x:c r="A3271" t="n">
        <x:v>3270</x:v>
      </x:c>
      <x:c r="B3271" s="106" t="str"/>
      <x:c r="C3271" t="str">
        <x:v>Pasted text(56).txt</x:v>
      </x:c>
    </x:row>
    <x:row r="3272">
      <x:c r="A3272" t="n">
        <x:v>3271</x:v>
      </x:c>
      <x:c r="B3272" s="106" t="str">
        <x:v>LOCAL 0.25-DAC X-AXIS FINE SCAN</x:v>
      </x:c>
      <x:c r="C3272" t="str">
        <x:v>Pasted text(56).txt</x:v>
      </x:c>
    </x:row>
    <x:row r="3273">
      <x:c r="A3273" t="n">
        <x:v>3272</x:v>
      </x:c>
      <x:c r="B3273" s="106" t="str">
        <x:v>Only a valid point actually inside the X target band may be selected.</x:v>
      </x:c>
      <x:c r="C3273" t="str">
        <x:v>Pasted text(56).txt</x:v>
      </x:c>
    </x:row>
    <x:row r="3274">
      <x:c r="A3274" t="n">
        <x:v>3273</x:v>
      </x:c>
      <x:c r="B3274" s="106" t="str">
        <x:v>FINE | point 1 | DAC 10.75 | CTRL X 0.97522 | X 0.97984 | Y 0.26396 | Z 0.48214 | TOTAL 1.12420 | error -15.20 % | MAD 0.36 % | CV 1.03 % | coh 92.0 % | dominant X | axis fraction 100.0 % | VALID</x:v>
      </x:c>
      <x:c r="C3274" t="str">
        <x:v>Pasted text(56).txt</x:v>
      </x:c>
    </x:row>
    <x:row r="3275">
      <x:c r="A3275" t="n">
        <x:v>3274</x:v>
      </x:c>
      <x:c r="B3275" s="106" t="str">
        <x:v>FINE | point 2 | DAC 11.00 | CTRL X 1.01560 | X 1.01940 | Y 0.27640 | Z 0.44056 | TOTAL 1.14492 | error -11.69 % | MAD 0.60 % | CV 1.01 % | coh 92.4 % | dominant X | axis fraction 100.0 % | VALID</x:v>
      </x:c>
      <x:c r="C3275" t="str">
        <x:v>Pasted text(56).txt</x:v>
      </x:c>
    </x:row>
    <x:row r="3276">
      <x:c r="A3276" t="n">
        <x:v>3275</x:v>
      </x:c>
      <x:c r="B3276" s="106" t="str">
        <x:v>FINE | point 3 | DAC 11.25 | CTRL X 1.05465 | X 1.05107 | Y 0.26574 | Z 0.44995 | TOTAL 1.17394 | error -8.29 % | MAD 0.55 % | CV 0.93 % | coh 92.8 % | dominant X | axis fraction 100.0 % | VALID</x:v>
      </x:c>
      <x:c r="C3276" t="str">
        <x:v>Pasted text(56).txt</x:v>
      </x:c>
    </x:row>
    <x:row r="3277">
      <x:c r="A3277" t="n">
        <x:v>3276</x:v>
      </x:c>
      <x:c r="B3277" s="106" t="str">
        <x:v>FINE | point 4 | DAC 11.50 | CTRL X 1.05622 | X 1.05856 | Y 0.27084 | Z 0.48537 | TOTAL 1.19570 | error -8.15 % | MAD 1.34 % | CV 1.25 % | coh 92.9 % | dominant X | axis fraction 100.0 % | VALID</x:v>
      </x:c>
      <x:c r="C3277" t="str">
        <x:v>Pasted text(56).txt</x:v>
      </x:c>
    </x:row>
    <x:row r="3278">
      <x:c r="A3278" t="n">
        <x:v>3277</x:v>
      </x:c>
      <x:c r="B3278" s="106" t="str">
        <x:v>FINE | point 5 | DAC 11.75 | CTRL X 1.09779 | X 1.09523 | Y 0.26877 | Z 0.46566 | TOTAL 1.22054 | error -4.54 % | MAD 0.02 % | CV 0.41 % | coh 93.4 % | dominant X | axis fraction 100.0 % | IN TARGET BAND</x:v>
      </x:c>
      <x:c r="C3278" t="str">
        <x:v>Pasted text(56).txt</x:v>
      </x:c>
    </x:row>
    <x:row r="3279">
      <x:c r="A3279" t="n">
        <x:v>3278</x:v>
      </x:c>
      <x:c r="B3279" s="106" t="str">
        <x:v>FINE | point 6 | DAC 12.00 | CTRL X 1.13392 | X 1.12595 | Y 0.26830 | Z 0.49523 | TOTAL 1.25914 | error -1.40 % | MAD 2.38 % | CV 2.75 % | coh 93.5 % | dominant X | axis fraction 100.0 % | IN TARGET BAND</x:v>
      </x:c>
      <x:c r="C3279" t="str">
        <x:v>Pasted text(56).txt</x:v>
      </x:c>
    </x:row>
    <x:row r="3280">
      <x:c r="A3280" t="n">
        <x:v>3279</x:v>
      </x:c>
      <x:c r="B3280" s="106" t="str">
        <x:v>FINE | point 7 | DAC 12.25 | CTRL X 1.16822 | X 1.18121 | Y 0.28432 | Z 0.50588 | TOTAL 1.31632 | error 1.58 % | MAD 0.34 % | CV 2.11 % | coh 93.9 % | dominant X | axis fraction 100.0 % | IN TARGET BAND</x:v>
      </x:c>
      <x:c r="C3280" t="str">
        <x:v>Pasted text(56).txt</x:v>
      </x:c>
    </x:row>
    <x:row r="3281">
      <x:c r="A3281" t="n">
        <x:v>3280</x:v>
      </x:c>
      <x:c r="B3281" s="106" t="str">
        <x:v>FINE | point 8 | DAC 12.50 | CTRL X 1.17532 | X 1.17458 | Y 0.28329 | Z 0.51985 | TOTAL 1.31544 | error 2.20 % | MAD 1.24 % | CV 0.93 % | coh 93.7 % | dominant X | axis fraction 100.0 % | IN TARGET BAND</x:v>
      </x:c>
      <x:c r="C3281" t="str">
        <x:v>Pasted text(56).txt</x:v>
      </x:c>
    </x:row>
    <x:row r="3282">
      <x:c r="A3282" t="n">
        <x:v>3281</x:v>
      </x:c>
      <x:c r="B3282" s="106" t="str">
        <x:v>FINE | point 9 | DAC 12.75 | CTRL X 1.21096 | X 1.21562 | Y 0.29497 | Z 0.54162 | TOTAL 1.36313 | error 5.30 % | MAD 0.63 % | CV 1.05 % | coh 93.5 % | dominant X | axis fraction 100.0 % | IN TARGET BAND</x:v>
      </x:c>
      <x:c r="C3282" t="str">
        <x:v>Pasted text(56).txt</x:v>
      </x:c>
    </x:row>
    <x:row r="3283">
      <x:c r="A3283" t="n">
        <x:v>3282</x:v>
      </x:c>
      <x:c r="B3283" s="106" t="str"/>
      <x:c r="C3283" t="str">
        <x:v>Pasted text(56).txt</x:v>
      </x:c>
    </x:row>
    <x:row r="3284">
      <x:c r="A3284" t="n">
        <x:v>3283</x:v>
      </x:c>
      <x:c r="B3284" s="106" t="str">
        <x:v>LONG VALIDATION AT FIXED DAC 12.25</x:v>
      </x:c>
      <x:c r="C3284" t="str">
        <x:v>Pasted text(56).txt</x:v>
      </x:c>
    </x:row>
    <x:row r="3285">
      <x:c r="A3285" t="n">
        <x:v>3284</x:v>
      </x:c>
      <x:c r="B3285" s="106" t="str">
        <x:v>FINAL | point 1 | DAC 12.25 | CTRL X 1.15337 | X 1.15463 | Y 0.30041 | Z 0.50886 | TOTAL 1.29746 | error 0.29 % | MAD 0.52 % | CV 1.23 % | coh 93.5 % | dominant X | axis fraction 100.0 % | IN TARGET BAND</x:v>
      </x:c>
      <x:c r="C3285" t="str">
        <x:v>Pasted text(56).txt</x:v>
      </x:c>
    </x:row>
    <x:row r="3286">
      <x:c r="A3286" t="n">
        <x:v>3285</x:v>
      </x:c>
      <x:c r="B3286" s="106" t="str">
        <x:v>FINAL | point 2 | DAC 12.25 | CTRL X 1.14710 | X 1.15075 | Y 0.29070 | Z 0.51180 | TOTAL 1.29283 | error -0.25 % | MAD 0.40 % | CV 0.67 % | coh 93.7 % | dominant X | axis fraction 100.0 % | IN TARGET BAND</x:v>
      </x:c>
      <x:c r="C3286" t="str">
        <x:v>Pasted text(56).txt</x:v>
      </x:c>
    </x:row>
    <x:row r="3287">
      <x:c r="A3287" t="n">
        <x:v>3286</x:v>
      </x:c>
      <x:c r="B3287" s="106" t="str">
        <x:v>VALIDATION ACCEPTED | pair drift 0.55 %</x:v>
      </x:c>
      <x:c r="C3287" t="str">
        <x:v>Pasted text(56).txt</x:v>
      </x:c>
    </x:row>
    <x:row r="3288">
      <x:c r="A3288" t="n">
        <x:v>3287</x:v>
      </x:c>
      <x:c r="B3288" s="106" t="str"/>
      <x:c r="C3288" t="str">
        <x:v>Pasted text(56).txt</x:v>
      </x:c>
    </x:row>
    <x:row r="3289">
      <x:c r="A3289" t="n">
        <x:v>3288</x:v>
      </x:c>
      <x:c r="B3289" s="106" t="str">
        <x:v>FINAL VALIDATED BLIND FFT VERIFICATION</x:v>
      </x:c>
      <x:c r="C3289" t="str">
        <x:v>Pasted text(56).txt</x:v>
      </x:c>
    </x:row>
    <x:row r="3290">
      <x:c r="A3290" t="n">
        <x:v>3289</x:v>
      </x:c>
      <x:c r="B3290" s="106" t="str">
        <x:v>Commanded frequency: 268.00000 Hz</x:v>
      </x:c>
      <x:c r="C3290" t="str">
        <x:v>Pasted text(56).txt</x:v>
      </x:c>
    </x:row>
    <x:row r="3291">
      <x:c r="A3291" t="n">
        <x:v>3290</x:v>
      </x:c>
      <x:c r="B3291" s="106" t="str">
        <x:v>Accepted DAC: 12.25</x:v>
      </x:c>
      <x:c r="C3291" t="str">
        <x:v>Pasted text(56).txt</x:v>
      </x:c>
    </x:row>
    <x:row r="3292">
      <x:c r="A3292" t="n">
        <x:v>3291</x:v>
      </x:c>
      <x:c r="B3292" s="106" t="str">
        <x:v>Axis,Frequency_Hz,Amplitude_mps2,SNR_dB,Status</x:v>
      </x:c>
      <x:c r="C3292" t="str">
        <x:v>Pasted text(56).txt</x:v>
      </x:c>
    </x:row>
    <x:row r="3293">
      <x:c r="A3293" t="n">
        <x:v>3292</x:v>
      </x:c>
      <x:c r="B3293" s="106" t="str">
        <x:v>X,268.02123,1.05232,32.93,VALID</x:v>
      </x:c>
      <x:c r="C3293" t="str">
        <x:v>Pasted text(56).txt</x:v>
      </x:c>
    </x:row>
    <x:row r="3294">
      <x:c r="A3294" t="n">
        <x:v>3293</x:v>
      </x:c>
      <x:c r="B3294" s="106" t="str">
        <x:v>Y,268.05100,0.26579,24.79,VALID</x:v>
      </x:c>
      <x:c r="C3294" t="str">
        <x:v>Pasted text(56).txt</x:v>
      </x:c>
    </x:row>
    <x:row r="3295">
      <x:c r="A3295" t="n">
        <x:v>3294</x:v>
      </x:c>
      <x:c r="B3295" s="106" t="str">
        <x:v>Z,268.05269,0.44785,27.57,VALID</x:v>
      </x:c>
      <x:c r="C3295" t="str">
        <x:v>Pasted text(56).txt</x:v>
      </x:c>
    </x:row>
    <x:row r="3296">
      <x:c r="A3296" t="n">
        <x:v>3295</x:v>
      </x:c>
      <x:c r="B3296" s="106" t="str">
        <x:v>Combined frequency: 268.02743 Hz | difference 0.02743 Hz</x:v>
      </x:c>
      <x:c r="C3296" t="str">
        <x:v>Pasted text(56).txt</x:v>
      </x:c>
    </x:row>
    <x:row r="3297">
      <x:c r="A3297" t="n">
        <x:v>3296</x:v>
      </x:c>
      <x:c r="B3297" s="106" t="str">
        <x:v>Combined X/Y/Z/TOTAL: 0.96037 / 0.24404 / 0.41109 / 1.07278</x:v>
      </x:c>
      <x:c r="C3297" t="str">
        <x:v>Pasted text(56).txt</x:v>
      </x:c>
    </x:row>
    <x:row r="3298">
      <x:c r="A3298" t="n">
        <x:v>3297</x:v>
      </x:c>
      <x:c r="B3298" s="106" t="str">
        <x:v>SNR: 30.78 dB | dominant axis X</x:v>
      </x:c>
      <x:c r="C3298" t="str">
        <x:v>Pasted text(56).txt</x:v>
      </x:c>
    </x:row>
    <x:row r="3299">
      <x:c r="A3299" t="n">
        <x:v>3298</x:v>
      </x:c>
      <x:c r="B3299" s="106" t="str">
        <x:v>Frequency verification: PASS</x:v>
      </x:c>
      <x:c r="C3299" t="str">
        <x:v>Pasted text(56).txt</x:v>
      </x:c>
    </x:row>
    <x:row r="3300">
      <x:c r="A3300" t="n">
        <x:v>3299</x:v>
      </x:c>
      <x:c r="B3300" s="106" t="str">
        <x:v>Y/Z dominance: DIAGNOSTIC ONLY — ignored for pass/fail</x:v>
      </x:c>
      <x:c r="C3300" t="str">
        <x:v>Pasted text(56).txt</x:v>
      </x:c>
    </x:row>
    <x:row r="3301">
      <x:c r="A3301" t="n">
        <x:v>3300</x:v>
      </x:c>
      <x:c r="B3301" s="106" t="str"/>
      <x:c r="C3301" t="str">
        <x:v>Pasted text(56).txt</x:v>
      </x:c>
    </x:row>
    <x:row r="3302">
      <x:c r="A3302" t="n">
        <x:v>3301</x:v>
      </x:c>
      <x:c r="B3302" s="106" t="str">
        <x:v>FIXED-DAC HOLD VALIDATION</x:v>
      </x:c>
      <x:c r="C3302" t="str">
        <x:v>Pasted text(56).txt</x:v>
      </x:c>
    </x:row>
    <x:row r="3303">
      <x:c r="A3303" t="n">
        <x:v>3302</x:v>
      </x:c>
      <x:c r="B3303" s="106" t="str">
        <x:v>DAC remains fixed at 12.25 for 10 records.</x:v>
      </x:c>
      <x:c r="C3303" t="str">
        <x:v>Pasted text(56).txt</x:v>
      </x:c>
    </x:row>
    <x:row r="3304">
      <x:c r="A3304" t="n">
        <x:v>3303</x:v>
      </x:c>
      <x:c r="B3304" s="106" t="str">
        <x:v>HOLD | point 1 | DAC 12.25 | CTRL X 1.13866 | X 1.14760 | Y 0.29332 | Z 0.50935 | TOTAL 1.28963 | error -0.99 % | MAD 0.44 % | CV 1.61 % | coh 92.9 % | dominant X | axis fraction 100.0 % | IN TARGET BAND</x:v>
      </x:c>
      <x:c r="C3304" t="str">
        <x:v>Pasted text(56).txt</x:v>
      </x:c>
    </x:row>
    <x:row r="3305">
      <x:c r="A3305" t="n">
        <x:v>3304</x:v>
      </x:c>
      <x:c r="B3305" s="106" t="str">
        <x:v>HOLD | point 2 | DAC 12.25 | CTRL X 1.14674 | X 1.14865 | Y 0.29470 | Z 0.49149 | TOTAL 1.28392 | error -0.28 % | MAD 0.95 % | CV 0.90 % | coh 93.3 % | dominant X | axis fraction 100.0 % | IN TARGET BAND</x:v>
      </x:c>
      <x:c r="C3305" t="str">
        <x:v>Pasted text(56).txt</x:v>
      </x:c>
    </x:row>
    <x:row r="3306">
      <x:c r="A3306" t="n">
        <x:v>3305</x:v>
      </x:c>
      <x:c r="B3306" s="106" t="str">
        <x:v>HOLD | point 3 | DAC 12.25 | CTRL X 1.17335 | X 1.17176 | Y 0.29751 | Z 0.50002 | TOTAL 1.30877 | error 2.03 % | MAD 2.74 % | CV 2.06 % | coh 94.2 % | dominant X | axis fraction 100.0 % | IN TARGET BAND</x:v>
      </x:c>
      <x:c r="C3306" t="str">
        <x:v>Pasted text(56).txt</x:v>
      </x:c>
    </x:row>
    <x:row r="3307">
      <x:c r="A3307" t="n">
        <x:v>3306</x:v>
      </x:c>
      <x:c r="B3307" s="106" t="str">
        <x:v>HOLD | point 4 | DAC 12.25 | CTRL X 1.17492 | X 1.16809 | Y 0.28896 | Z 0.50818 | TOTAL 1.30636 | error 2.17 % | MAD 2.12 % | CV 2.37 % | coh 94.0 % | dominant X | axis fraction 100.0 % | IN TARGET BAND</x:v>
      </x:c>
      <x:c r="C3307" t="str">
        <x:v>Pasted text(56).txt</x:v>
      </x:c>
    </x:row>
    <x:row r="3308">
      <x:c r="A3308" t="n">
        <x:v>3307</x:v>
      </x:c>
      <x:c r="B3308" s="106" t="str">
        <x:v>HOLD | point 5 | DAC 12.25 | CTRL X 1.17654 | X 1.17345 | Y 0.30019 | Z 0.50330 | TOTAL 1.31185 | error 2.31 % | MAD 0.19 % | CV 0.57 % | coh 94.0 % | dominant X | axis fraction 100.0 % | IN TARGET BAND</x:v>
      </x:c>
      <x:c r="C3308" t="str">
        <x:v>Pasted text(56).txt</x:v>
      </x:c>
    </x:row>
    <x:row r="3309">
      <x:c r="A3309" t="n">
        <x:v>3308</x:v>
      </x:c>
      <x:c r="B3309" s="106" t="str">
        <x:v>HOLD | point 6 | DAC 12.25 | CTRL X 1.13874 | X 1.14557 | Y 0.27131 | Z 0.50615 | TOTAL 1.28183 | error -0.98 % | MAD 2.02 % | CV 2.31 % | coh 93.5 % | dominant X | axis fraction 100.0 % | IN TARGET BAND</x:v>
      </x:c>
      <x:c r="C3309" t="str">
        <x:v>Pasted text(56).txt</x:v>
      </x:c>
    </x:row>
    <x:row r="3310">
      <x:c r="A3310" t="n">
        <x:v>3309</x:v>
      </x:c>
      <x:c r="B3310" s="106" t="str">
        <x:v>HOLD | point 7 | DAC 12.25 | CTRL X 1.15429 | X 1.15405 | Y 0.28953 | Z 0.50215 | TOTAL 1.29171 | error 0.37 % | MAD 0.03 % | CV 0.06 % | coh 93.0 % | dominant X | axis fraction 100.0 % | IN TARGET BAND</x:v>
      </x:c>
      <x:c r="C3310" t="str">
        <x:v>Pasted text(56).txt</x:v>
      </x:c>
    </x:row>
    <x:row r="3311">
      <x:c r="A3311" t="n">
        <x:v>3310</x:v>
      </x:c>
      <x:c r="B3311" s="106" t="str">
        <x:v>HOLD | point 8 | DAC 12.25 | CTRL X 1.15705 | X 1.15195 | Y 0.29012 | Z 0.49799 | TOTAL 1.28817 | error 0.61 % | MAD 0.88 % | CV 1.32 % | coh 93.4 % | dominant X | axis fraction 100.0 % | IN TARGET BAND</x:v>
      </x:c>
      <x:c r="C3311" t="str">
        <x:v>Pasted text(56).txt</x:v>
      </x:c>
    </x:row>
    <x:row r="3312">
      <x:c r="A3312" t="n">
        <x:v>3311</x:v>
      </x:c>
      <x:c r="B3312" s="106" t="str">
        <x:v>HOLD | point 9 | DAC 12.25 | CTRL X 1.15822 | X 1.15673 | Y 0.29365 | Z 0.48846 | TOTAL 1.28964 | error 0.71 % | MAD 1.00 % | CV 0.87 % | coh 93.8 % | dominant X | axis fraction 100.0 % | IN TARGET BAND</x:v>
      </x:c>
      <x:c r="C3312" t="str">
        <x:v>Pasted text(56).txt</x:v>
      </x:c>
    </x:row>
    <x:row r="3313">
      <x:c r="A3313" t="n">
        <x:v>3312</x:v>
      </x:c>
      <x:c r="B3313" s="106" t="str">
        <x:v>HOLD | point 10 | DAC 12.25 | CTRL X 1.13566 | X 1.13771 | Y 0.28267 | Z 0.51134 | TOTAL 1.27922 | error -1.25 % | MAD 0.22 % | CV 0.45 % | coh 93.0 % | dominant X | axis fraction 100.0 % | IN TARGET BAND</x:v>
      </x:c>
      <x:c r="C3313" t="str">
        <x:v>Pasted text(56).txt</x:v>
      </x:c>
    </x:row>
    <x:row r="3314">
      <x:c r="A3314" t="n">
        <x:v>3313</x:v>
      </x:c>
      <x:c r="B3314" s="106" t="str"/>
      <x:c r="C3314" t="str">
        <x:v>Pasted text(56).txt</x:v>
      </x:c>
    </x:row>
    <x:row r="3315">
      <x:c r="A3315" t="n">
        <x:v>3314</x:v>
      </x:c>
      <x:c r="B3315" s="106" t="str">
        <x:v>HOLD SUMMARY</x:v>
      </x:c>
      <x:c r="C3315" t="str">
        <x:v>Pasted text(56).txt</x:v>
      </x:c>
    </x:row>
    <x:row r="3316">
      <x:c r="A3316" t="n">
        <x:v>3315</x:v>
      </x:c>
      <x:c r="B3316" s="106" t="str">
        <x:v>Valid / requested: 10 / 10</x:v>
      </x:c>
      <x:c r="C3316" t="str">
        <x:v>Pasted text(56).txt</x:v>
      </x:c>
    </x:row>
    <x:row r="3317">
      <x:c r="A3317" t="n">
        <x:v>3316</x:v>
      </x:c>
      <x:c r="B3317" s="106" t="str">
        <x:v>In band / requested: 10 / 10 = 100.0 %</x:v>
      </x:c>
      <x:c r="C3317" t="str">
        <x:v>Pasted text(56).txt</x:v>
      </x:c>
    </x:row>
    <x:row r="3318">
      <x:c r="A3318" t="n">
        <x:v>3317</x:v>
      </x:c>
      <x:c r="B3318" s="106" t="str">
        <x:v>Mean / SD / CV: 1.15542 / 0.01558 / 1.35 %</x:v>
      </x:c>
      <x:c r="C3318" t="str">
        <x:v>Pasted text(56).txt</x:v>
      </x:c>
    </x:row>
    <x:row r="3319">
      <x:c r="A3319" t="n">
        <x:v>3318</x:v>
      </x:c>
      <x:c r="B3319" s="106" t="str">
        <x:v>Min / Max: 1.13566 / 1.17654</x:v>
      </x:c>
      <x:c r="C3319" t="str">
        <x:v>Pasted text(56).txt</x:v>
      </x:c>
    </x:row>
    <x:row r="3320">
      <x:c r="A3320" t="n">
        <x:v>3319</x:v>
      </x:c>
      <x:c r="B3320" s="106" t="str">
        <x:v>HOLD RESULT: PASS</x:v>
      </x:c>
      <x:c r="C3320" t="str">
        <x:v>Pasted text(56).txt</x:v>
      </x:c>
    </x:row>
    <x:row r="3321">
      <x:c r="A3321" t="n">
        <x:v>3320</x:v>
      </x:c>
      <x:c r="B3321" s="106" t="str"/>
      <x:c r="C3321" t="str">
        <x:v>Pasted text(56).txt</x:v>
      </x:c>
    </x:row>
    <x:row r="3322">
      <x:c r="A3322" t="n">
        <x:v>3321</x:v>
      </x:c>
      <x:c r="B3322" s="106" t="str">
        <x:v>RUN RESULT: PASS</x:v>
      </x:c>
      <x:c r="C3322" t="str">
        <x:v>Pasted text(56).txt</x:v>
      </x:c>
    </x:row>
    <x:row r="3323">
      <x:c r="A3323" t="n">
        <x:v>3322</x:v>
      </x:c>
      <x:c r="B3323" s="106" t="str">
        <x:v>Selected DAC: 12.25</x:v>
      </x:c>
      <x:c r="C3323" t="str">
        <x:v>Pasted text(56).txt</x:v>
      </x:c>
    </x:row>
    <x:row r="3324">
      <x:c r="A3324" t="n">
        <x:v>3323</x:v>
      </x:c>
      <x:c r="B3324" s="106" t="str">
        <x:v>Validated amplitude: 1.15023 m/s^2 | error 0.02 %</x:v>
      </x:c>
      <x:c r="C3324" t="str">
        <x:v>Pasted text(56).txt</x:v>
      </x:c>
    </x:row>
    <x:row r="3325">
      <x:c r="A3325" t="n">
        <x:v>3324</x:v>
      </x:c>
      <x:c r="B3325" s="106" t="str">
        <x:v>FFT frequency: 268.02743 Hz | difference 0.02743 Hz</x:v>
      </x:c>
      <x:c r="C3325" t="str">
        <x:v>Pasted text(56).txt</x:v>
      </x:c>
    </x:row>
    <x:row r="3326">
      <x:c r="A3326" t="n">
        <x:v>3325</x:v>
      </x:c>
      <x:c r="B3326" s="106" t="str"/>
      <x:c r="C3326" t="str">
        <x:v>Pasted text(56).txt</x:v>
      </x:c>
    </x:row>
    <x:row r="3327">
      <x:c r="A3327" t="n">
        <x:v>3326</x:v>
      </x:c>
      <x:c r="B3327" s="106" t="str">
        <x:v>VISATON OFF. RESTING 5.0 s BEFORE THE NEXT COMPLETELY FRESH RUN.</x:v>
      </x:c>
      <x:c r="C3327" t="str">
        <x:v>Pasted text(56).txt</x:v>
      </x:c>
    </x:row>
    <x:row r="3328">
      <x:c r="A3328" t="n">
        <x:v>3327</x:v>
      </x:c>
      <x:c r="B3328" s="106" t="str"/>
      <x:c r="C3328" t="str">
        <x:v>Pasted text(56).txt</x:v>
      </x:c>
    </x:row>
    <x:row r="3329">
      <x:c r="A3329" t="n">
        <x:v>3328</x:v>
      </x:c>
      <x:c r="B3329" s="106" t="str">
        <x:v>################################################################################</x:v>
      </x:c>
      <x:c r="C3329" t="str">
        <x:v>Pasted text(56).txt</x:v>
      </x:c>
    </x:row>
    <x:row r="3330">
      <x:c r="A3330" t="n">
        <x:v>3329</x:v>
      </x:c>
      <x:c r="B3330" s="106" t="str">
        <x:v>INDEPENDENT TARGET-AMPLITUDE RUN 4 OF 5</x:v>
      </x:c>
      <x:c r="C3330" t="str">
        <x:v>Pasted text(56).txt</x:v>
      </x:c>
    </x:row>
    <x:row r="3331">
      <x:c r="A3331" t="n">
        <x:v>3330</x:v>
      </x:c>
      <x:c r="B3331" s="106" t="str">
        <x:v>################################################################################</x:v>
      </x:c>
      <x:c r="C3331" t="str">
        <x:v>Pasted text(56).txt</x:v>
      </x:c>
    </x:row>
    <x:row r="3332">
      <x:c r="A3332" t="n">
        <x:v>3331</x:v>
      </x:c>
      <x:c r="B3332" s="106" t="str">
        <x:v>Frequency: 268.00000 Hz</x:v>
      </x:c>
      <x:c r="C3332" t="str">
        <x:v>Pasted text(56).txt</x:v>
      </x:c>
    </x:row>
    <x:row r="3333">
      <x:c r="A3333" t="n">
        <x:v>3332</x:v>
      </x:c>
      <x:c r="B3333" s="106" t="str">
        <x:v>Target X amplitude: 1.15000 m/s^2 peak, tolerance +/-7.50 %</x:v>
      </x:c>
      <x:c r="C3333" t="str">
        <x:v>Pasted text(56).txt</x:v>
      </x:c>
    </x:row>
    <x:row r="3334">
      <x:c r="A3334" t="n">
        <x:v>3333</x:v>
      </x:c>
      <x:c r="B3334" s="106" t="str">
        <x:v>This run starts from DAC 1.00 and ignores every earlier selected DAC.</x:v>
      </x:c>
      <x:c r="C3334" t="str">
        <x:v>Pasted text(56).txt</x:v>
      </x:c>
    </x:row>
    <x:row r="3335">
      <x:c r="A3335" t="n">
        <x:v>3334</x:v>
      </x:c>
      <x:c r="B3335" s="106" t="str">
        <x:v>ADXL2 DEVID/DATA_FORMAT/BW_RATE/POWER_CTL: 0xE5 / 0xB / 0xE / 0x8</x:v>
      </x:c>
      <x:c r="C3335" t="str">
        <x:v>Pasted text(56).txt</x:v>
      </x:c>
    </x:row>
    <x:row r="3336">
      <x:c r="A3336" t="n">
        <x:v>3335</x:v>
      </x:c>
      <x:c r="B3336" s="106" t="str"/>
      <x:c r="C3336" t="str">
        <x:v>Pasted text(56).txt</x:v>
      </x:c>
    </x:row>
    <x:row r="3337">
      <x:c r="A3337" t="n">
        <x:v>3336</x:v>
      </x:c>
      <x:c r="B3337" s="106" t="str">
        <x:v>ACQUISITION ATTEMPT 1 OF 2</x:v>
      </x:c>
      <x:c r="C3337" t="str">
        <x:v>Pasted text(56).txt</x:v>
      </x:c>
    </x:row>
    <x:row r="3338">
      <x:c r="A3338" t="n">
        <x:v>3337</x:v>
      </x:c>
      <x:c r="B3338" s="106" t="str"/>
      <x:c r="C3338" t="str">
        <x:v>Pasted text(56).txt</x:v>
      </x:c>
    </x:row>
    <x:row r="3339">
      <x:c r="A3339" t="n">
        <x:v>3338</x:v>
      </x:c>
      <x:c r="B3339" s="106" t="str">
        <x:v>FRESH X-AXIS SEARCH FROM DAC 1.00 — OLD DAC VALUES ARE NOT USED</x:v>
      </x:c>
      <x:c r="C3339" t="str">
        <x:v>Pasted text(56).txt</x:v>
      </x:c>
    </x:row>
    <x:row r="3340">
      <x:c r="A3340" t="n">
        <x:v>3339</x:v>
      </x:c>
      <x:c r="B3340" s="106" t="str">
        <x:v>Y/Z are diagnostic only and cannot abort this search.</x:v>
      </x:c>
      <x:c r="C3340" t="str">
        <x:v>Pasted text(56).txt</x:v>
      </x:c>
    </x:row>
    <x:row r="3341">
      <x:c r="A3341" t="n">
        <x:v>3340</x:v>
      </x:c>
      <x:c r="B3341" s="106" t="str">
        <x:v>A real SPI fault, clipping, safety limit or confirmed X-response collapse will stop it.</x:v>
      </x:c>
      <x:c r="C3341" t="str">
        <x:v>Pasted text(56).txt</x:v>
      </x:c>
    </x:row>
    <x:row r="3342">
      <x:c r="A3342" t="n">
        <x:v>3341</x:v>
      </x:c>
      <x:c r="B3342" s="106" t="str">
        <x:v>SEARCH | point 1 | DAC 1.00 | CTRL X 0.01069 | X 0.01241 | Y 0.02750 | Z 0.02885 | TOTAL 0.04442 | error -99.07 % | MAD 73.22 % | CV 64.48 % | coh 6.7 % | dominant Z | axis fraction 43.0 % | BELOW MEASUREMENT FLOOR — SEARCH CONTINUES</x:v>
      </x:c>
      <x:c r="C3342" t="str">
        <x:v>Pasted text(56).txt</x:v>
      </x:c>
    </x:row>
    <x:row r="3343">
      <x:c r="A3343" t="n">
        <x:v>3342</x:v>
      </x:c>
      <x:c r="B3343" s="106" t="str">
        <x:v>SEARCH | point 2 | DAC 3.00 | CTRL X 0.14561 | X 0.14526 | Y 0.05427 | Z 0.10803 | TOTAL 0.18921 | error -87.34 % | MAD 10.57 % | CV 7.52 % | coh 56.9 % | dominant X | axis fraction 100.0 % | VALID</x:v>
      </x:c>
      <x:c r="C3343" t="str">
        <x:v>Pasted text(56).txt</x:v>
      </x:c>
    </x:row>
    <x:row r="3344">
      <x:c r="A3344" t="n">
        <x:v>3343</x:v>
      </x:c>
      <x:c r="B3344" s="106" t="str">
        <x:v>SEARCH | point 3 | DAC 5.00 | CTRL X 0.36998 | X 0.35908 | Y 0.10507 | Z 0.19895 | TOTAL 0.42417 | error -67.83 % | MAD 0.96 % | CV 5.85 % | coh 83.4 % | dominant X | axis fraction 100.0 % | VALID</x:v>
      </x:c>
      <x:c r="C3344" t="str">
        <x:v>Pasted text(56).txt</x:v>
      </x:c>
    </x:row>
    <x:row r="3345">
      <x:c r="A3345" t="n">
        <x:v>3344</x:v>
      </x:c>
      <x:c r="B3345" s="106" t="str">
        <x:v>SEARCH | point 4 | DAC 6.00 | CTRL X 0.45028 | X 0.45248 | Y 0.12569 | Z 0.25038 | TOTAL 0.53260 | error -60.85 % | MAD 2.48 % | CV 2.43 % | coh 86.2 % | dominant X | axis fraction 100.0 % | VALID</x:v>
      </x:c>
      <x:c r="C3345" t="str">
        <x:v>Pasted text(56).txt</x:v>
      </x:c>
    </x:row>
    <x:row r="3346">
      <x:c r="A3346" t="n">
        <x:v>3345</x:v>
      </x:c>
      <x:c r="B3346" s="106" t="str">
        <x:v>SEARCH | point 5 | DAC 7.00 | CTRL X 0.58294 | X 0.57357 | Y 0.16330 | Z 0.31746 | TOTAL 0.67579 | error -49.31 % | MAD 1.80 % | CV 3.94 % | coh 88.8 % | dominant X | axis fraction 100.0 % | VALID</x:v>
      </x:c>
      <x:c r="C3346" t="str">
        <x:v>Pasted text(56).txt</x:v>
      </x:c>
    </x:row>
    <x:row r="3347">
      <x:c r="A3347" t="n">
        <x:v>3346</x:v>
      </x:c>
      <x:c r="B3347" s="106" t="str">
        <x:v>SEARCH | point 6 | DAC 8.00 | CTRL X 0.66924 | X 0.66397 | Y 0.18288 | Z 0.31113 | TOTAL 0.75592 | error -41.81 % | MAD 0.81 % | CV 1.88 % | coh 89.8 % | dominant X | axis fraction 100.0 % | VALID</x:v>
      </x:c>
      <x:c r="C3347" t="str">
        <x:v>Pasted text(56).txt</x:v>
      </x:c>
    </x:row>
    <x:row r="3348">
      <x:c r="A3348" t="n">
        <x:v>3347</x:v>
      </x:c>
      <x:c r="B3348" s="106" t="str">
        <x:v>SEARCH | point 7 | DAC 9.00 | CTRL X 0.77538 | X 0.77014 | Y 0.19749 | Z 0.36743 | TOTAL 0.87612 | error -32.58 % | MAD 0.34 % | CV 1.38 % | coh 91.9 % | dominant X | axis fraction 100.0 % | VALID</x:v>
      </x:c>
      <x:c r="C3348" t="str">
        <x:v>Pasted text(56).txt</x:v>
      </x:c>
    </x:row>
    <x:row r="3349">
      <x:c r="A3349" t="n">
        <x:v>3348</x:v>
      </x:c>
      <x:c r="B3349" s="106" t="str">
        <x:v>SEARCH | point 8 | DAC 9.50 | CTRL X 0.82085 | X 0.81812 | Y 0.20838 | Z 0.39401 | TOTAL 0.93208 | error -28.62 % | MAD 0.88 % | CV 1.13 % | coh 90.2 % | dominant X | axis fraction 100.0 % | VALID</x:v>
      </x:c>
      <x:c r="C3349" t="str">
        <x:v>Pasted text(56).txt</x:v>
      </x:c>
    </x:row>
    <x:row r="3350">
      <x:c r="A3350" t="n">
        <x:v>3349</x:v>
      </x:c>
      <x:c r="B3350" s="106" t="str">
        <x:v>SEARCH | point 9 | DAC 10.00 | CTRL X 0.90994 | X 0.90008 | Y 0.21472 | Z 0.46432 | TOTAL 1.03532 | error -20.88 % | MAD 0.28 % | CV 2.06 % | coh 93.0 % | dominant X | axis fraction 100.0 % | VALID</x:v>
      </x:c>
      <x:c r="C3350" t="str">
        <x:v>Pasted text(56).txt</x:v>
      </x:c>
    </x:row>
    <x:row r="3351">
      <x:c r="A3351" t="n">
        <x:v>3350</x:v>
      </x:c>
      <x:c r="B3351" s="106" t="str">
        <x:v>SEARCH | point 10 | DAC 10.50 | CTRL X 0.94052 | X 0.94409 | Y 0.23605 | Z 0.42015 | TOTAL 1.06004 | error -18.22 % | MAD 1.84 % | CV 1.83 % | coh 92.6 % | dominant X | axis fraction 100.0 % | VALID</x:v>
      </x:c>
      <x:c r="C3351" t="str">
        <x:v>Pasted text(56).txt</x:v>
      </x:c>
    </x:row>
    <x:row r="3352">
      <x:c r="A3352" t="n">
        <x:v>3351</x:v>
      </x:c>
      <x:c r="B3352" s="106" t="str">
        <x:v>SEARCH | point 11 | DAC 11.00 | CTRL X 1.02588 | X 1.02570 | Y 0.25571 | Z 0.45978 | TOTAL 1.15328 | error -10.79 % | MAD 1.28 % | CV 0.89 % | coh 93.2 % | dominant X | axis fraction 100.0 % | VALID</x:v>
      </x:c>
      <x:c r="C3352" t="str">
        <x:v>Pasted text(56).txt</x:v>
      </x:c>
    </x:row>
    <x:row r="3353">
      <x:c r="A3353" t="n">
        <x:v>3352</x:v>
      </x:c>
      <x:c r="B3353" s="106" t="str">
        <x:v>SEARCH | point 12 | DAC 11.25 | CTRL X 1.03861 | X 1.03872 | Y 0.25308 | Z 0.45905 | TOTAL 1.16359 | error -9.69 % | MAD 0.51 % | CV 0.36 % | coh 92.5 % | dominant X | axis fraction 100.0 % | VALID</x:v>
      </x:c>
      <x:c r="C3353" t="str">
        <x:v>Pasted text(56).txt</x:v>
      </x:c>
    </x:row>
    <x:row r="3354">
      <x:c r="A3354" t="n">
        <x:v>3353</x:v>
      </x:c>
      <x:c r="B3354" s="106" t="str">
        <x:v>SEARCH | point 13 | DAC 11.50 | CTRL X 1.07136 | X 1.07079 | Y 0.27512 | Z 0.48456 | TOTAL 1.20719 | error -6.84 % | MAD 1.95 % | CV 1.39 % | coh 93.3 % | dominant X | axis fraction 100.0 % | IN TARGET BAND</x:v>
      </x:c>
      <x:c r="C3354" t="str">
        <x:v>Pasted text(56).txt</x:v>
      </x:c>
    </x:row>
    <x:row r="3355">
      <x:c r="A3355" t="n">
        <x:v>3354</x:v>
      </x:c>
      <x:c r="B3355" s="106" t="str"/>
      <x:c r="C3355" t="str">
        <x:v>Pasted text(56).txt</x:v>
      </x:c>
    </x:row>
    <x:row r="3356">
      <x:c r="A3356" t="n">
        <x:v>3355</x:v>
      </x:c>
      <x:c r="B3356" s="106" t="str">
        <x:v>LOCAL 0.25-DAC X-AXIS FINE SCAN</x:v>
      </x:c>
      <x:c r="C3356" t="str">
        <x:v>Pasted text(56).txt</x:v>
      </x:c>
    </x:row>
    <x:row r="3357">
      <x:c r="A3357" t="n">
        <x:v>3356</x:v>
      </x:c>
      <x:c r="B3357" s="106" t="str">
        <x:v>Only a valid point actually inside the X target band may be selected.</x:v>
      </x:c>
      <x:c r="C3357" t="str">
        <x:v>Pasted text(56).txt</x:v>
      </x:c>
    </x:row>
    <x:row r="3358">
      <x:c r="A3358" t="n">
        <x:v>3357</x:v>
      </x:c>
      <x:c r="B3358" s="106" t="str">
        <x:v>FINE | point 1 | DAC 10.50 | CTRL X 0.96402 | X 0.96565 | Y 0.26639 | Z 0.43428 | TOTAL 1.09190 | error -16.17 % | MAD 0.45 % | CV 0.58 % | coh 94.0 % | dominant X | axis fraction 100.0 % | VALID</x:v>
      </x:c>
      <x:c r="C3358" t="str">
        <x:v>Pasted text(56).txt</x:v>
      </x:c>
    </x:row>
    <x:row r="3359">
      <x:c r="A3359" t="n">
        <x:v>3358</x:v>
      </x:c>
      <x:c r="B3359" s="106" t="str">
        <x:v>FINE | point 2 | DAC 10.75 | CTRL X 0.98569 | X 0.99023 | Y 0.24114 | Z 0.43561 | TOTAL 1.10854 | error -14.29 % | MAD 1.30 % | CV 1.61 % | coh 93.1 % | dominant X | axis fraction 100.0 % | VALID</x:v>
      </x:c>
      <x:c r="C3359" t="str">
        <x:v>Pasted text(56).txt</x:v>
      </x:c>
    </x:row>
    <x:row r="3360">
      <x:c r="A3360" t="n">
        <x:v>3359</x:v>
      </x:c>
      <x:c r="B3360" s="106" t="str">
        <x:v>FINE | point 3 | DAC 11.00 | CTRL X 1.00693 | X 1.01239 | Y 0.27696 | Z 0.49542 | TOTAL 1.16071 | error -12.44 % | MAD 1.04 % | CV 1.58 % | coh 93.9 % | dominant X | axis fraction 100.0 % | VALID</x:v>
      </x:c>
      <x:c r="C3360" t="str">
        <x:v>Pasted text(56).txt</x:v>
      </x:c>
    </x:row>
    <x:row r="3361">
      <x:c r="A3361" t="n">
        <x:v>3360</x:v>
      </x:c>
      <x:c r="B3361" s="106" t="str">
        <x:v>FINE | point 4 | DAC 11.25 | CTRL X 1.04887 | X 1.04880 | Y 0.26472 | Z 0.47171 | TOTAL 1.18028 | error -8.79 % | MAD 1.18 % | CV 0.81 % | coh 92.9 % | dominant X | axis fraction 100.0 % | VALID</x:v>
      </x:c>
      <x:c r="C3361" t="str">
        <x:v>Pasted text(56).txt</x:v>
      </x:c>
    </x:row>
    <x:row r="3362">
      <x:c r="A3362" t="n">
        <x:v>3361</x:v>
      </x:c>
      <x:c r="B3362" s="106" t="str">
        <x:v>FINE | point 5 | DAC 11.50 | CTRL X 1.06661 | X 1.06458 | Y 0.26108 | Z 0.45929 | TOTAL 1.18877 | error -7.25 % | MAD 1.93 % | CV 1.60 % | coh 93.2 % | dominant X | axis fraction 100.0 % | IN TARGET BAND</x:v>
      </x:c>
      <x:c r="C3362" t="str">
        <x:v>Pasted text(56).txt</x:v>
      </x:c>
    </x:row>
    <x:row r="3363">
      <x:c r="A3363" t="n">
        <x:v>3362</x:v>
      </x:c>
      <x:c r="B3363" s="106" t="str">
        <x:v>FINE | point 6 | DAC 11.75 | CTRL X 1.11725 | X 1.11371 | Y 0.26774 | Z 0.49003 | TOTAL 1.24597 | error -2.85 % | MAD 2.90 % | CV 2.45 % | coh 93.6 % | dominant X | axis fraction 100.0 % | IN TARGET BAND</x:v>
      </x:c>
      <x:c r="C3363" t="str">
        <x:v>Pasted text(56).txt</x:v>
      </x:c>
    </x:row>
    <x:row r="3364">
      <x:c r="A3364" t="n">
        <x:v>3363</x:v>
      </x:c>
      <x:c r="B3364" s="106" t="str">
        <x:v>FINE | point 7 | DAC 12.00 | CTRL X 1.12241 | X 1.11793 | Y 0.28321 | Z 0.48266 | TOTAL 1.25049 | error -2.40 % | MAD 1.01 % | CV 1.33 % | coh 93.6 % | dominant X | axis fraction 100.0 % | IN TARGET BAND</x:v>
      </x:c>
      <x:c r="C3364" t="str">
        <x:v>Pasted text(56).txt</x:v>
      </x:c>
    </x:row>
    <x:row r="3365">
      <x:c r="A3365" t="n">
        <x:v>3364</x:v>
      </x:c>
      <x:c r="B3365" s="106" t="str">
        <x:v>FINE | point 8 | DAC 12.25 | CTRL X 1.14963 | X 1.15478 | Y 0.28309 | Z 0.50051 | TOTAL 1.29031 | error -0.03 % | MAD 0.33 % | CV 0.97 % | coh 93.0 % | dominant X | axis fraction 100.0 % | IN TARGET BAND</x:v>
      </x:c>
      <x:c r="C3365" t="str">
        <x:v>Pasted text(56).txt</x:v>
      </x:c>
    </x:row>
    <x:row r="3366">
      <x:c r="A3366" t="n">
        <x:v>3365</x:v>
      </x:c>
      <x:c r="B3366" s="106" t="str">
        <x:v>FINE | point 9 | DAC 12.50 | CTRL X 1.19014 | X 1.18749 | Y 0.31775 | Z 0.50973 | TOTAL 1.33154 | error 3.49 % | MAD 1.53 % | CV 1.39 % | coh 94.7 % | dominant X | axis fraction 100.0 % | IN TARGET BAND</x:v>
      </x:c>
      <x:c r="C3366" t="str">
        <x:v>Pasted text(56).txt</x:v>
      </x:c>
    </x:row>
    <x:row r="3367">
      <x:c r="A3367" t="n">
        <x:v>3366</x:v>
      </x:c>
      <x:c r="B3367" s="106" t="str"/>
      <x:c r="C3367" t="str">
        <x:v>Pasted text(56).txt</x:v>
      </x:c>
    </x:row>
    <x:row r="3368">
      <x:c r="A3368" t="n">
        <x:v>3367</x:v>
      </x:c>
      <x:c r="B3368" s="106" t="str">
        <x:v>LONG VALIDATION AT FIXED DAC 12.25</x:v>
      </x:c>
      <x:c r="C3368" t="str">
        <x:v>Pasted text(56).txt</x:v>
      </x:c>
    </x:row>
    <x:row r="3369">
      <x:c r="A3369" t="n">
        <x:v>3368</x:v>
      </x:c>
      <x:c r="B3369" s="106" t="str">
        <x:v>FINAL | point 1 | DAC 12.25 | CTRL X 1.16291 | X 1.15451 | Y 0.28631 | Z 0.52650 | TOTAL 1.30103 | error 1.12 % | MAD 0.99 % | CV 1.58 % | coh 93.4 % | dominant X | axis fraction 100.0 % | IN TARGET BAND</x:v>
      </x:c>
      <x:c r="C3369" t="str">
        <x:v>Pasted text(56).txt</x:v>
      </x:c>
    </x:row>
    <x:row r="3370">
      <x:c r="A3370" t="n">
        <x:v>3369</x:v>
      </x:c>
      <x:c r="B3370" s="106" t="str">
        <x:v>FINAL | point 2 | DAC 12.25 | CTRL X 1.16352 | X 1.15582 | Y 0.29376 | Z 0.48830 | TOTAL 1.28891 | error 1.18 % | MAD 1.26 % | CV 1.55 % | coh 93.6 % | dominant X | axis fraction 100.0 % | IN TARGET BAND</x:v>
      </x:c>
      <x:c r="C3370" t="str">
        <x:v>Pasted text(56).txt</x:v>
      </x:c>
    </x:row>
    <x:row r="3371">
      <x:c r="A3371" t="n">
        <x:v>3370</x:v>
      </x:c>
      <x:c r="B3371" s="106" t="str">
        <x:v>VALIDATION ACCEPTED | pair drift 0.05 %</x:v>
      </x:c>
      <x:c r="C3371" t="str">
        <x:v>Pasted text(56).txt</x:v>
      </x:c>
    </x:row>
    <x:row r="3372">
      <x:c r="A3372" t="n">
        <x:v>3371</x:v>
      </x:c>
      <x:c r="B3372" s="106" t="str"/>
      <x:c r="C3372" t="str">
        <x:v>Pasted text(56).txt</x:v>
      </x:c>
    </x:row>
    <x:row r="3373">
      <x:c r="A3373" t="n">
        <x:v>3372</x:v>
      </x:c>
      <x:c r="B3373" s="106" t="str">
        <x:v>FINAL VALIDATED BLIND FFT VERIFICATION</x:v>
      </x:c>
      <x:c r="C3373" t="str">
        <x:v>Pasted text(56).txt</x:v>
      </x:c>
    </x:row>
    <x:row r="3374">
      <x:c r="A3374" t="n">
        <x:v>3373</x:v>
      </x:c>
      <x:c r="B3374" s="106" t="str">
        <x:v>Commanded frequency: 268.00000 Hz</x:v>
      </x:c>
      <x:c r="C3374" t="str">
        <x:v>Pasted text(56).txt</x:v>
      </x:c>
    </x:row>
    <x:row r="3375">
      <x:c r="A3375" t="n">
        <x:v>3374</x:v>
      </x:c>
      <x:c r="B3375" s="106" t="str">
        <x:v>Accepted DAC: 12.25</x:v>
      </x:c>
      <x:c r="C3375" t="str">
        <x:v>Pasted text(56).txt</x:v>
      </x:c>
    </x:row>
    <x:row r="3376">
      <x:c r="A3376" t="n">
        <x:v>3375</x:v>
      </x:c>
      <x:c r="B3376" s="106" t="str">
        <x:v>Axis,Frequency_Hz,Amplitude_mps2,SNR_dB,Status</x:v>
      </x:c>
      <x:c r="C3376" t="str">
        <x:v>Pasted text(56).txt</x:v>
      </x:c>
    </x:row>
    <x:row r="3377">
      <x:c r="A3377" t="n">
        <x:v>3376</x:v>
      </x:c>
      <x:c r="B3377" s="106" t="str">
        <x:v>X,268.03427,1.04859,32.74,VALID</x:v>
      </x:c>
      <x:c r="C3377" t="str">
        <x:v>Pasted text(56).txt</x:v>
      </x:c>
    </x:row>
    <x:row r="3378">
      <x:c r="A3378" t="n">
        <x:v>3377</x:v>
      </x:c>
      <x:c r="B3378" s="106" t="str">
        <x:v>Y,268.04549,0.26230,24.39,VALID</x:v>
      </x:c>
      <x:c r="C3378" t="str">
        <x:v>Pasted text(56).txt</x:v>
      </x:c>
    </x:row>
    <x:row r="3379">
      <x:c r="A3379" t="n">
        <x:v>3378</x:v>
      </x:c>
      <x:c r="B3379" s="106" t="str">
        <x:v>Z,268.00046,0.45899,27.96,VALID</x:v>
      </x:c>
      <x:c r="C3379" t="str">
        <x:v>Pasted text(56).txt</x:v>
      </x:c>
    </x:row>
    <x:row r="3380">
      <x:c r="A3380" t="n">
        <x:v>3379</x:v>
      </x:c>
      <x:c r="B3380" s="106" t="str">
        <x:v>Combined frequency: 268.02980 Hz | difference 0.02980 Hz</x:v>
      </x:c>
      <x:c r="C3380" t="str">
        <x:v>Pasted text(56).txt</x:v>
      </x:c>
    </x:row>
    <x:row r="3381">
      <x:c r="A3381" t="n">
        <x:v>3380</x:v>
      </x:c>
      <x:c r="B3381" s="106" t="str">
        <x:v>Combined X/Y/Z/TOTAL: 0.95935 / 0.24060 / 0.41756 / 1.07359</x:v>
      </x:c>
      <x:c r="C3381" t="str">
        <x:v>Pasted text(56).txt</x:v>
      </x:c>
    </x:row>
    <x:row r="3382">
      <x:c r="A3382" t="n">
        <x:v>3381</x:v>
      </x:c>
      <x:c r="B3382" s="106" t="str">
        <x:v>SNR: 30.71 dB | dominant axis X</x:v>
      </x:c>
      <x:c r="C3382" t="str">
        <x:v>Pasted text(56).txt</x:v>
      </x:c>
    </x:row>
    <x:row r="3383">
      <x:c r="A3383" t="n">
        <x:v>3382</x:v>
      </x:c>
      <x:c r="B3383" s="106" t="str">
        <x:v>Frequency verification: PASS</x:v>
      </x:c>
      <x:c r="C3383" t="str">
        <x:v>Pasted text(56).txt</x:v>
      </x:c>
    </x:row>
    <x:row r="3384">
      <x:c r="A3384" t="n">
        <x:v>3383</x:v>
      </x:c>
      <x:c r="B3384" s="106" t="str">
        <x:v>Y/Z dominance: DIAGNOSTIC ONLY — ignored for pass/fail</x:v>
      </x:c>
      <x:c r="C3384" t="str">
        <x:v>Pasted text(56).txt</x:v>
      </x:c>
    </x:row>
    <x:row r="3385">
      <x:c r="A3385" t="n">
        <x:v>3384</x:v>
      </x:c>
      <x:c r="B3385" s="106" t="str"/>
      <x:c r="C3385" t="str">
        <x:v>Pasted text(56).txt</x:v>
      </x:c>
    </x:row>
    <x:row r="3386">
      <x:c r="A3386" t="n">
        <x:v>3385</x:v>
      </x:c>
      <x:c r="B3386" s="106" t="str">
        <x:v>FIXED-DAC HOLD VALIDATION</x:v>
      </x:c>
      <x:c r="C3386" t="str">
        <x:v>Pasted text(56).txt</x:v>
      </x:c>
    </x:row>
    <x:row r="3387">
      <x:c r="A3387" t="n">
        <x:v>3386</x:v>
      </x:c>
      <x:c r="B3387" s="106" t="str">
        <x:v>DAC remains fixed at 12.25 for 10 records.</x:v>
      </x:c>
      <x:c r="C3387" t="str">
        <x:v>Pasted text(56).txt</x:v>
      </x:c>
    </x:row>
    <x:row r="3388">
      <x:c r="A3388" t="n">
        <x:v>3387</x:v>
      </x:c>
      <x:c r="B3388" s="106" t="str">
        <x:v>HOLD | point 1 | DAC 12.25 | CTRL X 1.17005 | X 1.16667 | Y 0.29647 | Z 0.49148 | TOTAL 1.30048 | error 1.74 % | MAD 0.31 % | CV 0.69 % | coh 94.2 % | dominant X | axis fraction 100.0 % | IN TARGET BAND</x:v>
      </x:c>
      <x:c r="C3388" t="str">
        <x:v>Pasted text(56).txt</x:v>
      </x:c>
    </x:row>
    <x:row r="3389">
      <x:c r="A3389" t="n">
        <x:v>3388</x:v>
      </x:c>
      <x:c r="B3389" s="106" t="str">
        <x:v>HOLD | point 2 | DAC 12.25 | CTRL X 1.14705 | X 1.14788 | Y 0.30317 | Z 0.48417 | TOTAL 1.28229 | error -0.26 % | MAD 1.37 % | CV 1.03 % | coh 93.2 % | dominant X | axis fraction 100.0 % | IN TARGET BAND</x:v>
      </x:c>
      <x:c r="C3389" t="str">
        <x:v>Pasted text(56).txt</x:v>
      </x:c>
    </x:row>
    <x:row r="3390">
      <x:c r="A3390" t="n">
        <x:v>3389</x:v>
      </x:c>
      <x:c r="B3390" s="106" t="str">
        <x:v>HOLD | point 3 | DAC 12.25 | CTRL X 1.13160 | X 1.14474 | Y 0.30668 | Z 0.49227 | TOTAL 1.28344 | error -1.60 % | MAD 0.28 % | CV 2.15 % | coh 93.5 % | dominant X | axis fraction 100.0 % | IN TARGET BAND</x:v>
      </x:c>
      <x:c r="C3390" t="str">
        <x:v>Pasted text(56).txt</x:v>
      </x:c>
    </x:row>
    <x:row r="3391">
      <x:c r="A3391" t="n">
        <x:v>3390</x:v>
      </x:c>
      <x:c r="B3391" s="106" t="str">
        <x:v>HOLD | point 4 | DAC 12.25 | CTRL X 1.16300 | X 1.15596 | Y 0.29970 | Z 0.51519 | TOTAL 1.30071 | error 1.13 % | MAD 0.35 % | CV 1.27 % | coh 93.7 % | dominant X | axis fraction 100.0 % | IN TARGET BAND</x:v>
      </x:c>
      <x:c r="C3391" t="str">
        <x:v>Pasted text(56).txt</x:v>
      </x:c>
    </x:row>
    <x:row r="3392">
      <x:c r="A3392" t="n">
        <x:v>3391</x:v>
      </x:c>
      <x:c r="B3392" s="106" t="str">
        <x:v>HOLD | point 5 | DAC 12.25 | CTRL X 1.12882 | X 1.13066 | Y 0.28877 | Z 0.47964 | TOTAL 1.26207 | error -1.84 % | MAD 0.39 % | CV 0.53 % | coh 92.4 % | dominant X | axis fraction 100.0 % | IN TARGET BAND</x:v>
      </x:c>
      <x:c r="C3392" t="str">
        <x:v>Pasted text(56).txt</x:v>
      </x:c>
    </x:row>
    <x:row r="3393">
      <x:c r="A3393" t="n">
        <x:v>3392</x:v>
      </x:c>
      <x:c r="B3393" s="106" t="str">
        <x:v>HOLD | point 6 | DAC 12.25 | CTRL X 1.16050 | X 1.15838 | Y 0.29833 | Z 0.49608 | TOTAL 1.29535 | error 0.91 % | MAD 1.18 % | CV 1.09 % | coh 93.5 % | dominant X | axis fraction 100.0 % | IN TARGET BAND</x:v>
      </x:c>
      <x:c r="C3393" t="str">
        <x:v>Pasted text(56).txt</x:v>
      </x:c>
    </x:row>
    <x:row r="3394">
      <x:c r="A3394" t="n">
        <x:v>3393</x:v>
      </x:c>
      <x:c r="B3394" s="106" t="str">
        <x:v>HOLD | point 7 | DAC 12.25 | CTRL X 1.15389 | X 1.15421 | Y 0.29416 | Z 0.48570 | TOTAL 1.28641 | error 0.34 % | MAD 0.40 % | CV 0.31 % | coh 93.4 % | dominant X | axis fraction 100.0 % | IN TARGET BAND</x:v>
      </x:c>
      <x:c r="C3394" t="str">
        <x:v>Pasted text(56).txt</x:v>
      </x:c>
    </x:row>
    <x:row r="3395">
      <x:c r="A3395" t="n">
        <x:v>3394</x:v>
      </x:c>
      <x:c r="B3395" s="106" t="str">
        <x:v>HOLD | point 8 | DAC 12.25 | CTRL X 1.16544 | X 1.16639 | Y 0.29463 | Z 0.50201 | TOTAL 1.30371 | error 1.34 % | MAD 0.80 % | CV 0.66 % | coh 93.9 % | dominant X | axis fraction 100.0 % | IN TARGET BAND</x:v>
      </x:c>
      <x:c r="C3395" t="str">
        <x:v>Pasted text(56).txt</x:v>
      </x:c>
    </x:row>
    <x:row r="3396">
      <x:c r="A3396" t="n">
        <x:v>3395</x:v>
      </x:c>
      <x:c r="B3396" s="106" t="str">
        <x:v>HOLD | point 9 | DAC 12.25 | CTRL X 1.16337 | X 1.17112 | Y 0.28389 | Z 0.48412 | TOTAL 1.29890 | error 1.16 % | MAD 0.09 % | CV 1.20 % | coh 94.0 % | dominant X | axis fraction 100.0 % | IN TARGET BAND</x:v>
      </x:c>
      <x:c r="C3396" t="str">
        <x:v>Pasted text(56).txt</x:v>
      </x:c>
    </x:row>
    <x:row r="3397">
      <x:c r="A3397" t="n">
        <x:v>3396</x:v>
      </x:c>
      <x:c r="B3397" s="106" t="str">
        <x:v>HOLD | point 10 | DAC 12.25 | CTRL X 1.14926 | X 1.14982 | Y 0.29328 | Z 0.49673 | TOTAL 1.28658 | error -0.06 % | MAD 0.02 % | CV 0.10 % | coh 93.2 % | dominant X | axis fraction 100.0 % | IN TARGET BAND</x:v>
      </x:c>
      <x:c r="C3397" t="str">
        <x:v>Pasted text(56).txt</x:v>
      </x:c>
    </x:row>
    <x:row r="3398">
      <x:c r="A3398" t="n">
        <x:v>3397</x:v>
      </x:c>
      <x:c r="B3398" s="106" t="str"/>
      <x:c r="C3398" t="str">
        <x:v>Pasted text(56).txt</x:v>
      </x:c>
    </x:row>
    <x:row r="3399">
      <x:c r="A3399" t="n">
        <x:v>3398</x:v>
      </x:c>
      <x:c r="B3399" s="106" t="str">
        <x:v>HOLD SUMMARY</x:v>
      </x:c>
      <x:c r="C3399" t="str">
        <x:v>Pasted text(56).txt</x:v>
      </x:c>
    </x:row>
    <x:row r="3400">
      <x:c r="A3400" t="n">
        <x:v>3399</x:v>
      </x:c>
      <x:c r="B3400" s="106" t="str">
        <x:v>Valid / requested: 10 / 10</x:v>
      </x:c>
      <x:c r="C3400" t="str">
        <x:v>Pasted text(56).txt</x:v>
      </x:c>
    </x:row>
    <x:row r="3401">
      <x:c r="A3401" t="n">
        <x:v>3400</x:v>
      </x:c>
      <x:c r="B3401" s="106" t="str">
        <x:v>In band / requested: 10 / 10 = 100.0 %</x:v>
      </x:c>
      <x:c r="C3401" t="str">
        <x:v>Pasted text(56).txt</x:v>
      </x:c>
    </x:row>
    <x:row r="3402">
      <x:c r="A3402" t="n">
        <x:v>3401</x:v>
      </x:c>
      <x:c r="B3402" s="106" t="str">
        <x:v>Mean / SD / CV: 1.15330 / 0.01415 / 1.23 %</x:v>
      </x:c>
      <x:c r="C3402" t="str">
        <x:v>Pasted text(56).txt</x:v>
      </x:c>
    </x:row>
    <x:row r="3403">
      <x:c r="A3403" t="n">
        <x:v>3402</x:v>
      </x:c>
      <x:c r="B3403" s="106" t="str">
        <x:v>Min / Max: 1.12882 / 1.17005</x:v>
      </x:c>
      <x:c r="C3403" t="str">
        <x:v>Pasted text(56).txt</x:v>
      </x:c>
    </x:row>
    <x:row r="3404">
      <x:c r="A3404" t="n">
        <x:v>3403</x:v>
      </x:c>
      <x:c r="B3404" s="106" t="str">
        <x:v>HOLD RESULT: PASS</x:v>
      </x:c>
      <x:c r="C3404" t="str">
        <x:v>Pasted text(56).txt</x:v>
      </x:c>
    </x:row>
    <x:row r="3405">
      <x:c r="A3405" t="n">
        <x:v>3404</x:v>
      </x:c>
      <x:c r="B3405" s="106" t="str"/>
      <x:c r="C3405" t="str">
        <x:v>Pasted text(56).txt</x:v>
      </x:c>
    </x:row>
    <x:row r="3406">
      <x:c r="A3406" t="n">
        <x:v>3405</x:v>
      </x:c>
      <x:c r="B3406" s="106" t="str">
        <x:v>RUN RESULT: PASS</x:v>
      </x:c>
      <x:c r="C3406" t="str">
        <x:v>Pasted text(56).txt</x:v>
      </x:c>
    </x:row>
    <x:row r="3407">
      <x:c r="A3407" t="n">
        <x:v>3406</x:v>
      </x:c>
      <x:c r="B3407" s="106" t="str">
        <x:v>Selected DAC: 12.25</x:v>
      </x:c>
      <x:c r="C3407" t="str">
        <x:v>Pasted text(56).txt</x:v>
      </x:c>
    </x:row>
    <x:row r="3408">
      <x:c r="A3408" t="n">
        <x:v>3407</x:v>
      </x:c>
      <x:c r="B3408" s="106" t="str">
        <x:v>Validated amplitude: 1.16321 m/s^2 | error 1.15 %</x:v>
      </x:c>
      <x:c r="C3408" t="str">
        <x:v>Pasted text(56).txt</x:v>
      </x:c>
    </x:row>
    <x:row r="3409">
      <x:c r="A3409" t="n">
        <x:v>3408</x:v>
      </x:c>
      <x:c r="B3409" s="106" t="str">
        <x:v>FFT frequency: 268.02980 Hz | difference 0.02980 Hz</x:v>
      </x:c>
      <x:c r="C3409" t="str">
        <x:v>Pasted text(56).txt</x:v>
      </x:c>
    </x:row>
    <x:row r="3410">
      <x:c r="A3410" t="n">
        <x:v>3409</x:v>
      </x:c>
      <x:c r="B3410" s="106" t="str"/>
      <x:c r="C3410" t="str">
        <x:v>Pasted text(56).txt</x:v>
      </x:c>
    </x:row>
    <x:row r="3411">
      <x:c r="A3411" t="n">
        <x:v>3410</x:v>
      </x:c>
      <x:c r="B3411" s="106" t="str">
        <x:v>VISATON OFF. RESTING 5.0 s BEFORE THE NEXT COMPLETELY FRESH RUN.</x:v>
      </x:c>
      <x:c r="C3411" t="str">
        <x:v>Pasted text(56).txt</x:v>
      </x:c>
    </x:row>
    <x:row r="3412">
      <x:c r="A3412" t="n">
        <x:v>3411</x:v>
      </x:c>
      <x:c r="B3412" s="106" t="str"/>
      <x:c r="C3412" t="str">
        <x:v>Pasted text(56).txt</x:v>
      </x:c>
    </x:row>
    <x:row r="3413">
      <x:c r="A3413" t="n">
        <x:v>3412</x:v>
      </x:c>
      <x:c r="B3413" s="106" t="str">
        <x:v>################################################################################</x:v>
      </x:c>
      <x:c r="C3413" t="str">
        <x:v>Pasted text(56).txt</x:v>
      </x:c>
    </x:row>
    <x:row r="3414">
      <x:c r="A3414" t="n">
        <x:v>3413</x:v>
      </x:c>
      <x:c r="B3414" s="106" t="str">
        <x:v>INDEPENDENT TARGET-AMPLITUDE RUN 5 OF 5</x:v>
      </x:c>
      <x:c r="C3414" t="str">
        <x:v>Pasted text(56).txt</x:v>
      </x:c>
    </x:row>
    <x:row r="3415">
      <x:c r="A3415" t="n">
        <x:v>3414</x:v>
      </x:c>
      <x:c r="B3415" s="106" t="str">
        <x:v>################################################################################</x:v>
      </x:c>
      <x:c r="C3415" t="str">
        <x:v>Pasted text(56).txt</x:v>
      </x:c>
    </x:row>
    <x:row r="3416">
      <x:c r="A3416" t="n">
        <x:v>3415</x:v>
      </x:c>
      <x:c r="B3416" s="106" t="str">
        <x:v>Frequency: 268.00000 Hz</x:v>
      </x:c>
      <x:c r="C3416" t="str">
        <x:v>Pasted text(56).txt</x:v>
      </x:c>
    </x:row>
    <x:row r="3417">
      <x:c r="A3417" t="n">
        <x:v>3416</x:v>
      </x:c>
      <x:c r="B3417" s="106" t="str">
        <x:v>Target X amplitude: 1.15000 m/s^2 peak, tolerance +/-7.50 %</x:v>
      </x:c>
      <x:c r="C3417" t="str">
        <x:v>Pasted text(56).txt</x:v>
      </x:c>
    </x:row>
    <x:row r="3418">
      <x:c r="A3418" t="n">
        <x:v>3417</x:v>
      </x:c>
      <x:c r="B3418" s="106" t="str">
        <x:v>This run starts from DAC 1.00 and ignores every earlier selected DAC.</x:v>
      </x:c>
      <x:c r="C3418" t="str">
        <x:v>Pasted text(56).txt</x:v>
      </x:c>
    </x:row>
    <x:row r="3419">
      <x:c r="A3419" t="n">
        <x:v>3418</x:v>
      </x:c>
      <x:c r="B3419" s="106" t="str">
        <x:v>ADXL2 DEVID/DATA_FORMAT/BW_RATE/POWER_CTL: 0xE5 / 0xB / 0xE / 0x8</x:v>
      </x:c>
      <x:c r="C3419" t="str">
        <x:v>Pasted text(56).txt</x:v>
      </x:c>
    </x:row>
    <x:row r="3420">
      <x:c r="A3420" t="n">
        <x:v>3419</x:v>
      </x:c>
      <x:c r="B3420" s="106" t="str"/>
      <x:c r="C3420" t="str">
        <x:v>Pasted text(56).txt</x:v>
      </x:c>
    </x:row>
    <x:row r="3421">
      <x:c r="A3421" t="n">
        <x:v>3420</x:v>
      </x:c>
      <x:c r="B3421" s="106" t="str">
        <x:v>ACQUISITION ATTEMPT 1 OF 2</x:v>
      </x:c>
      <x:c r="C3421" t="str">
        <x:v>Pasted text(56).txt</x:v>
      </x:c>
    </x:row>
    <x:row r="3422">
      <x:c r="A3422" t="n">
        <x:v>3421</x:v>
      </x:c>
      <x:c r="B3422" s="106" t="str"/>
      <x:c r="C3422" t="str">
        <x:v>Pasted text(56).txt</x:v>
      </x:c>
    </x:row>
    <x:row r="3423">
      <x:c r="A3423" t="n">
        <x:v>3422</x:v>
      </x:c>
      <x:c r="B3423" s="106" t="str">
        <x:v>FRESH X-AXIS SEARCH FROM DAC 1.00 — OLD DAC VALUES ARE NOT USED</x:v>
      </x:c>
      <x:c r="C3423" t="str">
        <x:v>Pasted text(56).txt</x:v>
      </x:c>
    </x:row>
    <x:row r="3424">
      <x:c r="A3424" t="n">
        <x:v>3423</x:v>
      </x:c>
      <x:c r="B3424" s="106" t="str">
        <x:v>Y/Z are diagnostic only and cannot abort this search.</x:v>
      </x:c>
      <x:c r="C3424" t="str">
        <x:v>Pasted text(56).txt</x:v>
      </x:c>
    </x:row>
    <x:row r="3425">
      <x:c r="A3425" t="n">
        <x:v>3424</x:v>
      </x:c>
      <x:c r="B3425" s="106" t="str">
        <x:v>A real SPI fault, clipping, safety limit or confirmed X-response collapse will stop it.</x:v>
      </x:c>
      <x:c r="C3425" t="str">
        <x:v>Pasted text(56).txt</x:v>
      </x:c>
    </x:row>
    <x:row r="3426">
      <x:c r="A3426" t="n">
        <x:v>3425</x:v>
      </x:c>
      <x:c r="B3426" s="106" t="str">
        <x:v>SEARCH | point 1 | DAC 1.00 | CTRL X 0.02983 | X 0.03072 | Y 0.01137 | Z 0.01831 | TOTAL 0.03758 | error -97.41 % | MAD 8.87 % | CV 4.11 % | coh 17.8 % | dominant X | axis fraction 100.0 % | BELOW MEASUREMENT FLOOR — SEARCH CONTINUES</x:v>
      </x:c>
      <x:c r="C3426" t="str">
        <x:v>Pasted text(56).txt</x:v>
      </x:c>
    </x:row>
    <x:row r="3427">
      <x:c r="A3427" t="n">
        <x:v>3426</x:v>
      </x:c>
      <x:c r="B3427" s="106" t="str">
        <x:v>SEARCH | point 2 | DAC 3.00 | CTRL X 0.16023 | X 0.15331 | Y 0.06885 | Z 0.08732 | TOTAL 0.19085 | error -86.07 % | MAD 1.21 % | CV 8.56 % | coh 62.6 % | dominant X | axis fraction 100.0 % | VALID</x:v>
      </x:c>
      <x:c r="C3427" t="str">
        <x:v>Pasted text(56).txt</x:v>
      </x:c>
    </x:row>
    <x:row r="3428">
      <x:c r="A3428" t="n">
        <x:v>3427</x:v>
      </x:c>
      <x:c r="B3428" s="106" t="str">
        <x:v>SEARCH | point 3 | DAC 5.00 | CTRL X 0.34527 | X 0.34531 | Y 0.10577 | Z 0.22839 | TOTAL 0.42750 | error -69.98 % | MAD 4.05 % | CV 2.75 % | coh 82.3 % | dominant X | axis fraction 100.0 % | VALID</x:v>
      </x:c>
      <x:c r="C3428" t="str">
        <x:v>Pasted text(56).txt</x:v>
      </x:c>
    </x:row>
    <x:row r="3429">
      <x:c r="A3429" t="n">
        <x:v>3428</x:v>
      </x:c>
      <x:c r="B3429" s="106" t="str">
        <x:v>SEARCH | point 4 | DAC 6.00 | CTRL X 0.44640 | X 0.44589 | Y 0.13108 | Z 0.24340 | TOTAL 0.52485 | error -61.18 % | MAD 1.96 % | CV 1.50 % | coh 85.7 % | dominant X | axis fraction 100.0 % | VALID</x:v>
      </x:c>
      <x:c r="C3429" t="str">
        <x:v>Pasted text(56).txt</x:v>
      </x:c>
    </x:row>
    <x:row r="3430">
      <x:c r="A3430" t="n">
        <x:v>3429</x:v>
      </x:c>
      <x:c r="B3430" s="106" t="str">
        <x:v>SEARCH | point 5 | DAC 7.00 | CTRL X 0.57729 | X 0.57164 | Y 0.17036 | Z 0.29579 | TOTAL 0.66649 | error -49.80 % | MAD 0.05 % | CV 1.74 % | coh 90.5 % | dominant X | axis fraction 100.0 % | VALID</x:v>
      </x:c>
      <x:c r="C3430" t="str">
        <x:v>Pasted text(56).txt</x:v>
      </x:c>
    </x:row>
    <x:row r="3431">
      <x:c r="A3431" t="n">
        <x:v>3430</x:v>
      </x:c>
      <x:c r="B3431" s="106" t="str">
        <x:v>SEARCH | point 6 | DAC 8.00 | CTRL X 0.65603 | X 0.66281 | Y 0.16905 | Z 0.33089 | TOTAL 0.75996 | error -42.95 % | MAD 1.19 % | CV 2.50 % | coh 89.3 % | dominant X | axis fraction 100.0 % | VALID</x:v>
      </x:c>
      <x:c r="C3431" t="str">
        <x:v>Pasted text(56).txt</x:v>
      </x:c>
    </x:row>
    <x:row r="3432">
      <x:c r="A3432" t="n">
        <x:v>3431</x:v>
      </x:c>
      <x:c r="B3432" s="106" t="str">
        <x:v>SEARCH | point 7 | DAC 9.00 | CTRL X 0.79150 | X 0.78921 | Y 0.20711 | Z 0.38969 | TOTAL 0.90444 | error -31.17 % | MAD 0.41 % | CV 0.75 % | coh 92.0 % | dominant X | axis fraction 100.0 % | VALID</x:v>
      </x:c>
      <x:c r="C3432" t="str">
        <x:v>Pasted text(56).txt</x:v>
      </x:c>
    </x:row>
    <x:row r="3433">
      <x:c r="A3433" t="n">
        <x:v>3432</x:v>
      </x:c>
      <x:c r="B3433" s="106" t="str">
        <x:v>SEARCH | point 8 | DAC 9.50 | CTRL X 0.81658 | X 0.81478 | Y 0.21488 | Z 0.39076 | TOTAL 0.92904 | error -28.99 % | MAD 0.70 % | CV 0.83 % | coh 90.6 % | dominant X | axis fraction 100.0 % | VALID</x:v>
      </x:c>
      <x:c r="C3433" t="str">
        <x:v>Pasted text(56).txt</x:v>
      </x:c>
    </x:row>
    <x:row r="3434">
      <x:c r="A3434" t="n">
        <x:v>3433</x:v>
      </x:c>
      <x:c r="B3434" s="106" t="str">
        <x:v>SEARCH | point 9 | DAC 10.00 | CTRL X 0.88140 | X 0.88712 | Y 0.23236 | Z 0.41909 | TOTAL 1.00836 | error -23.36 % | MAD 1.93 % | CV 2.33 % | coh 93.2 % | dominant X | axis fraction 100.0 % | VALID</x:v>
      </x:c>
      <x:c r="C3434" t="str">
        <x:v>Pasted text(56).txt</x:v>
      </x:c>
    </x:row>
    <x:row r="3435">
      <x:c r="A3435" t="n">
        <x:v>3434</x:v>
      </x:c>
      <x:c r="B3435" s="106" t="str">
        <x:v>SEARCH | point 10 | DAC 10.50 | CTRL X 0.93777 | X 0.93505 | Y 0.23114 | Z 0.43134 | TOTAL 1.05572 | error -18.45 % | MAD 2.40 % | CV 2.07 % | coh 93.1 % | dominant X | axis fraction 100.0 % | VALID</x:v>
      </x:c>
      <x:c r="C3435" t="str">
        <x:v>Pasted text(56).txt</x:v>
      </x:c>
    </x:row>
    <x:row r="3436">
      <x:c r="A3436" t="n">
        <x:v>3435</x:v>
      </x:c>
      <x:c r="B3436" s="106" t="str">
        <x:v>SEARCH | point 11 | DAC 11.00 | CTRL X 1.01248 | X 1.00511 | Y 0.25338 | Z 0.47959 | TOTAL 1.14226 | error -11.96 % | MAD 0.02 % | CV 1.28 % | coh 92.5 % | dominant X | axis fraction 100.0 % | VALID</x:v>
      </x:c>
      <x:c r="C3436" t="str">
        <x:v>Pasted text(56).txt</x:v>
      </x:c>
    </x:row>
    <x:row r="3437">
      <x:c r="A3437" t="n">
        <x:v>3436</x:v>
      </x:c>
      <x:c r="B3437" s="106" t="str">
        <x:v>SEARCH | point 12 | DAC 11.25 | CTRL X 1.04498 | X 1.04940 | Y 0.27213 | Z 0.48687 | TOTAL 1.18848 | error -9.13 % | MAD 2.47 % | CV 2.32 % | coh 93.6 % | dominant X | axis fraction 100.0 % | VALID</x:v>
      </x:c>
      <x:c r="C3437" t="str">
        <x:v>Pasted text(56).txt</x:v>
      </x:c>
    </x:row>
    <x:row r="3438">
      <x:c r="A3438" t="n">
        <x:v>3437</x:v>
      </x:c>
      <x:c r="B3438" s="106" t="str">
        <x:v>SEARCH | point 13 | DAC 11.50 | CTRL X 1.05749 | X 1.06068 | Y 0.26715 | Z 0.47817 | TOTAL 1.19396 | error -8.04 % | MAD 1.34 % | CV 1.38 % | coh 93.0 % | dominant X | axis fraction 100.0 % | VALID</x:v>
      </x:c>
      <x:c r="C3438" t="str">
        <x:v>Pasted text(56).txt</x:v>
      </x:c>
    </x:row>
    <x:row r="3439">
      <x:c r="A3439" t="n">
        <x:v>3438</x:v>
      </x:c>
      <x:c r="B3439" s="106" t="str">
        <x:v>SEARCH | point 14 | DAC 11.75 | CTRL X 1.11333 | X 1.10523 | Y 0.29097 | Z 0.49441 | TOTAL 1.24562 | error -3.19 % | MAD 2.13 % | CV 2.63 % | coh 93.9 % | dominant X | axis fraction 100.0 % | IN TARGET BAND</x:v>
      </x:c>
      <x:c r="C3439" t="str">
        <x:v>Pasted text(56).txt</x:v>
      </x:c>
    </x:row>
    <x:row r="3440">
      <x:c r="A3440" t="n">
        <x:v>3439</x:v>
      </x:c>
      <x:c r="B3440" s="106" t="str"/>
      <x:c r="C3440" t="str">
        <x:v>Pasted text(56).txt</x:v>
      </x:c>
    </x:row>
    <x:row r="3441">
      <x:c r="A3441" t="n">
        <x:v>3440</x:v>
      </x:c>
      <x:c r="B3441" s="106" t="str">
        <x:v>LOCAL 0.25-DAC X-AXIS FINE SCAN</x:v>
      </x:c>
      <x:c r="C3441" t="str">
        <x:v>Pasted text(56).txt</x:v>
      </x:c>
    </x:row>
    <x:row r="3442">
      <x:c r="A3442" t="n">
        <x:v>3441</x:v>
      </x:c>
      <x:c r="B3442" s="106" t="str">
        <x:v>Only a valid point actually inside the X target band may be selected.</x:v>
      </x:c>
      <x:c r="C3442" t="str">
        <x:v>Pasted text(56).txt</x:v>
      </x:c>
    </x:row>
    <x:row r="3443">
      <x:c r="A3443" t="n">
        <x:v>3442</x:v>
      </x:c>
      <x:c r="B3443" s="106" t="str">
        <x:v>FINE | point 1 | DAC 10.75 | CTRL X 0.97627 | X 0.98093 | Y 0.24124 | Z 0.44764 | TOTAL 1.10493 | error -15.11 % | MAD 0.86 % | CV 1.35 % | coh 93.1 % | dominant X | axis fraction 100.0 % | VALID</x:v>
      </x:c>
      <x:c r="C3443" t="str">
        <x:v>Pasted text(56).txt</x:v>
      </x:c>
    </x:row>
    <x:row r="3444">
      <x:c r="A3444" t="n">
        <x:v>3443</x:v>
      </x:c>
      <x:c r="B3444" s="106" t="str">
        <x:v>FINE | point 2 | DAC 11.00 | CTRL X 1.02943 | X 1.01656 | Y 0.26528 | Z 0.47892 | TOTAL 1.15494 | error -10.48 % | MAD 0.75 % | CV 2.65 % | coh 92.7 % | dominant X | axis fraction 100.0 % | VALID</x:v>
      </x:c>
      <x:c r="C3444" t="str">
        <x:v>Pasted text(56).txt</x:v>
      </x:c>
    </x:row>
    <x:row r="3445">
      <x:c r="A3445" t="n">
        <x:v>3444</x:v>
      </x:c>
      <x:c r="B3445" s="106" t="str">
        <x:v>FINE | point 3 | DAC 11.25 | CTRL X 1.04926 | X 1.05319 | Y 0.27298 | Z 0.47307 | TOTAL 1.18717 | error -8.76 % | MAD 1.66 % | CV 1.71 % | coh 93.3 % | dominant X | axis fraction 100.0 % | VALID</x:v>
      </x:c>
      <x:c r="C3445" t="str">
        <x:v>Pasted text(56).txt</x:v>
      </x:c>
    </x:row>
    <x:row r="3446">
      <x:c r="A3446" t="n">
        <x:v>3445</x:v>
      </x:c>
      <x:c r="B3446" s="106" t="str">
        <x:v>FINE | point 4 | DAC 11.50 | CTRL X 1.06957 | X 1.06629 | Y 0.27513 | Z 0.48008 | TOTAL 1.20149 | error -6.99 % | MAD 0.08 % | CV 0.58 % | coh 93.9 % | dominant X | axis fraction 100.0 % | IN TARGET BAND</x:v>
      </x:c>
      <x:c r="C3446" t="str">
        <x:v>Pasted text(56).txt</x:v>
      </x:c>
    </x:row>
    <x:row r="3447">
      <x:c r="A3447" t="n">
        <x:v>3446</x:v>
      </x:c>
      <x:c r="B3447" s="106" t="str">
        <x:v>FINE | point 5 | DAC 11.75 | CTRL X 1.11897 | X 1.11464 | Y 0.27424 | Z 0.49133 | TOTAL 1.24895 | error -2.70 % | MAD 1.18 % | CV 1.42 % | coh 93.8 % | dominant X | axis fraction 100.0 % | IN TARGET BAND</x:v>
      </x:c>
      <x:c r="C3447" t="str">
        <x:v>Pasted text(56).txt</x:v>
      </x:c>
    </x:row>
    <x:row r="3448">
      <x:c r="A3448" t="n">
        <x:v>3447</x:v>
      </x:c>
      <x:c r="B3448" s="106" t="str">
        <x:v>FINE | point 6 | DAC 12.00 | CTRL X 1.12252 | X 1.11549 | Y 0.27591 | Z 0.51215 | TOTAL 1.25850 | error -2.39 % | MAD 0.50 % | CV 1.40 % | coh 93.5 % | dominant X | axis fraction 100.0 % | IN TARGET BAND</x:v>
      </x:c>
      <x:c r="C3448" t="str">
        <x:v>Pasted text(56).txt</x:v>
      </x:c>
    </x:row>
    <x:row r="3449">
      <x:c r="A3449" t="n">
        <x:v>3448</x:v>
      </x:c>
      <x:c r="B3449" s="106" t="str">
        <x:v>FINE | point 7 | DAC 12.25 | CTRL X 1.15164 | X 1.15142 | Y 0.28472 | Z 0.51007 | TOTAL 1.29130 | error 0.14 % | MAD 0.66 % | CV 0.47 % | coh 93.9 % | dominant X | axis fraction 100.0 % | IN TARGET BAND</x:v>
      </x:c>
      <x:c r="C3449" t="str">
        <x:v>Pasted text(56).txt</x:v>
      </x:c>
    </x:row>
    <x:row r="3450">
      <x:c r="A3450" t="n">
        <x:v>3449</x:v>
      </x:c>
      <x:c r="B3450" s="106" t="str">
        <x:v>FINE | point 8 | DAC 12.50 | CTRL X 1.15717 | X 1.16202 | Y 0.28124 | Z 0.50309 | TOTAL 1.29736 | error 0.62 % | MAD 0.01 % | CV 0.73 % | coh 93.3 % | dominant X | axis fraction 100.0 % | IN TARGET BAND</x:v>
      </x:c>
      <x:c r="C3450" t="str">
        <x:v>Pasted text(56).txt</x:v>
      </x:c>
    </x:row>
    <x:row r="3451">
      <x:c r="A3451" t="n">
        <x:v>3450</x:v>
      </x:c>
      <x:c r="B3451" s="106" t="str">
        <x:v>FINE | point 9 | DAC 12.75 | CTRL X 1.21366 | X 1.21929 | Y 0.29957 | Z 0.51669 | TOTAL 1.35789 | error 5.54 % | MAD 0.32 % | CV 0.99 % | coh 93.7 % | dominant X | axis fraction 100.0 % | IN TARGET BAND</x:v>
      </x:c>
      <x:c r="C3451" t="str">
        <x:v>Pasted text(56).txt</x:v>
      </x:c>
    </x:row>
    <x:row r="3452">
      <x:c r="A3452" t="n">
        <x:v>3451</x:v>
      </x:c>
      <x:c r="B3452" s="106" t="str"/>
      <x:c r="C3452" t="str">
        <x:v>Pasted text(56).txt</x:v>
      </x:c>
    </x:row>
    <x:row r="3453">
      <x:c r="A3453" t="n">
        <x:v>3452</x:v>
      </x:c>
      <x:c r="B3453" s="106" t="str">
        <x:v>LONG VALIDATION AT FIXED DAC 12.50</x:v>
      </x:c>
      <x:c r="C3453" t="str">
        <x:v>Pasted text(56).txt</x:v>
      </x:c>
    </x:row>
    <x:row r="3454">
      <x:c r="A3454" t="n">
        <x:v>3453</x:v>
      </x:c>
      <x:c r="B3454" s="106" t="str">
        <x:v>FINAL | point 1 | DAC 12.50 | CTRL X 1.17964 | X 1.17557 | Y 0.29748 | Z 0.51108 | TOTAL 1.31615 | error 2.58 % | MAD 1.52 % | CV 1.15 % | coh 94.2 % | dominant X | axis fraction 100.0 % | IN TARGET BAND</x:v>
      </x:c>
      <x:c r="C3454" t="str">
        <x:v>Pasted text(56).txt</x:v>
      </x:c>
    </x:row>
    <x:row r="3455">
      <x:c r="A3455" t="n">
        <x:v>3454</x:v>
      </x:c>
      <x:c r="B3455" s="106" t="str">
        <x:v>FINAL | point 2 | DAC 12.50 | CTRL X 1.18529 | X 1.17746 | Y 0.29314 | Z 0.52783 | TOTAL 1.32355 | error 3.07 % | MAD 0.69 % | CV 1.48 % | coh 93.9 % | dominant X | axis fraction 100.0 % | IN TARGET BAND</x:v>
      </x:c>
      <x:c r="C3455" t="str">
        <x:v>Pasted text(56).txt</x:v>
      </x:c>
    </x:row>
    <x:row r="3456">
      <x:c r="A3456" t="n">
        <x:v>3455</x:v>
      </x:c>
      <x:c r="B3456" s="106" t="str">
        <x:v>VALIDATION ACCEPTED | pair drift 0.48 %</x:v>
      </x:c>
      <x:c r="C3456" t="str">
        <x:v>Pasted text(56).txt</x:v>
      </x:c>
    </x:row>
    <x:row r="3457">
      <x:c r="A3457" t="n">
        <x:v>3456</x:v>
      </x:c>
      <x:c r="B3457" s="106" t="str"/>
      <x:c r="C3457" t="str">
        <x:v>Pasted text(56).txt</x:v>
      </x:c>
    </x:row>
    <x:row r="3458">
      <x:c r="A3458" t="n">
        <x:v>3457</x:v>
      </x:c>
      <x:c r="B3458" s="106" t="str">
        <x:v>FINAL VALIDATED BLIND FFT VERIFICATION</x:v>
      </x:c>
      <x:c r="C3458" t="str">
        <x:v>Pasted text(56).txt</x:v>
      </x:c>
    </x:row>
    <x:row r="3459">
      <x:c r="A3459" t="n">
        <x:v>3458</x:v>
      </x:c>
      <x:c r="B3459" s="106" t="str">
        <x:v>Commanded frequency: 268.00000 Hz</x:v>
      </x:c>
      <x:c r="C3459" t="str">
        <x:v>Pasted text(56).txt</x:v>
      </x:c>
    </x:row>
    <x:row r="3460">
      <x:c r="A3460" t="n">
        <x:v>3459</x:v>
      </x:c>
      <x:c r="B3460" s="106" t="str">
        <x:v>Accepted DAC: 12.50</x:v>
      </x:c>
      <x:c r="C3460" t="str">
        <x:v>Pasted text(56).txt</x:v>
      </x:c>
    </x:row>
    <x:row r="3461">
      <x:c r="A3461" t="n">
        <x:v>3460</x:v>
      </x:c>
      <x:c r="B3461" s="106" t="str">
        <x:v>Axis,Frequency_Hz,Amplitude_mps2,SNR_dB,Status</x:v>
      </x:c>
      <x:c r="C3461" t="str">
        <x:v>Pasted text(56).txt</x:v>
      </x:c>
    </x:row>
    <x:row r="3462">
      <x:c r="A3462" t="n">
        <x:v>3461</x:v>
      </x:c>
      <x:c r="B3462" s="106" t="str">
        <x:v>X,268.02326,1.06422,32.80,VALID</x:v>
      </x:c>
      <x:c r="C3462" t="str">
        <x:v>Pasted text(56).txt</x:v>
      </x:c>
    </x:row>
    <x:row r="3463">
      <x:c r="A3463" t="n">
        <x:v>3462</x:v>
      </x:c>
      <x:c r="B3463" s="106" t="str">
        <x:v>Y,268.02715,0.27418,25.26,VALID</x:v>
      </x:c>
      <x:c r="C3463" t="str">
        <x:v>Pasted text(56).txt</x:v>
      </x:c>
    </x:row>
    <x:row r="3464">
      <x:c r="A3464" t="n">
        <x:v>3463</x:v>
      </x:c>
      <x:c r="B3464" s="106" t="str">
        <x:v>Z,268.02230,0.46727,28.23,VALID</x:v>
      </x:c>
      <x:c r="C3464" t="str">
        <x:v>Pasted text(56).txt</x:v>
      </x:c>
    </x:row>
    <x:row r="3465">
      <x:c r="A3465" t="n">
        <x:v>3464</x:v>
      </x:c>
      <x:c r="B3465" s="106" t="str">
        <x:v>Combined frequency: 268.02332 Hz | difference 0.02332 Hz</x:v>
      </x:c>
      <x:c r="C3465" t="str">
        <x:v>Pasted text(56).txt</x:v>
      </x:c>
    </x:row>
    <x:row r="3466">
      <x:c r="A3466" t="n">
        <x:v>3465</x:v>
      </x:c>
      <x:c r="B3466" s="106" t="str">
        <x:v>Combined X/Y/Z/TOTAL: 0.97111 / 0.25030 / 0.42676 / 1.08988</x:v>
      </x:c>
      <x:c r="C3466" t="str">
        <x:v>Pasted text(56).txt</x:v>
      </x:c>
    </x:row>
    <x:row r="3467">
      <x:c r="A3467" t="n">
        <x:v>3466</x:v>
      </x:c>
      <x:c r="B3467" s="106" t="str">
        <x:v>SNR: 30.95 dB | dominant axis X</x:v>
      </x:c>
      <x:c r="C3467" t="str">
        <x:v>Pasted text(56).txt</x:v>
      </x:c>
    </x:row>
    <x:row r="3468">
      <x:c r="A3468" t="n">
        <x:v>3467</x:v>
      </x:c>
      <x:c r="B3468" s="106" t="str">
        <x:v>Frequency verification: PASS</x:v>
      </x:c>
      <x:c r="C3468" t="str">
        <x:v>Pasted text(56).txt</x:v>
      </x:c>
    </x:row>
    <x:row r="3469">
      <x:c r="A3469" t="n">
        <x:v>3468</x:v>
      </x:c>
      <x:c r="B3469" s="106" t="str">
        <x:v>Y/Z dominance: DIAGNOSTIC ONLY — ignored for pass/fail</x:v>
      </x:c>
      <x:c r="C3469" t="str">
        <x:v>Pasted text(56).txt</x:v>
      </x:c>
    </x:row>
    <x:row r="3470">
      <x:c r="A3470" t="n">
        <x:v>3469</x:v>
      </x:c>
      <x:c r="B3470" s="106" t="str"/>
      <x:c r="C3470" t="str">
        <x:v>Pasted text(56).txt</x:v>
      </x:c>
    </x:row>
    <x:row r="3471">
      <x:c r="A3471" t="n">
        <x:v>3470</x:v>
      </x:c>
      <x:c r="B3471" s="106" t="str">
        <x:v>FIXED-DAC HOLD VALIDATION</x:v>
      </x:c>
      <x:c r="C3471" t="str">
        <x:v>Pasted text(56).txt</x:v>
      </x:c>
    </x:row>
    <x:row r="3472">
      <x:c r="A3472" t="n">
        <x:v>3471</x:v>
      </x:c>
      <x:c r="B3472" s="106" t="str">
        <x:v>DAC remains fixed at 12.50 for 10 records.</x:v>
      </x:c>
      <x:c r="C3472" t="str">
        <x:v>Pasted text(56).txt</x:v>
      </x:c>
    </x:row>
    <x:row r="3473">
      <x:c r="A3473" t="n">
        <x:v>3472</x:v>
      </x:c>
      <x:c r="B3473" s="106" t="str">
        <x:v>HOLD | point 1 | DAC 12.50 | CTRL X 1.19944 | X 1.18950 | Y 0.30530 | Z 0.51067 | TOTAL 1.33006 | error 4.30 % | MAD 0.75 % | CV 1.91 % | coh 94.7 % | dominant X | axis fraction 100.0 % | IN TARGET BAND</x:v>
      </x:c>
      <x:c r="C3473" t="str">
        <x:v>Pasted text(56).txt</x:v>
      </x:c>
    </x:row>
    <x:row r="3474">
      <x:c r="A3474" t="n">
        <x:v>3473</x:v>
      </x:c>
      <x:c r="B3474" s="106" t="str">
        <x:v>HOLD | point 2 | DAC 12.50 | CTRL X 1.17931 | X 1.17911 | Y 0.29914 | Z 0.51384 | TOTAL 1.32071 | error 2.55 % | MAD 0.74 % | CV 0.52 % | coh 93.9 % | dominant X | axis fraction 100.0 % | IN TARGET BAND</x:v>
      </x:c>
      <x:c r="C3474" t="str">
        <x:v>Pasted text(56).txt</x:v>
      </x:c>
    </x:row>
    <x:row r="3475">
      <x:c r="A3475" t="n">
        <x:v>3474</x:v>
      </x:c>
      <x:c r="B3475" s="106" t="str">
        <x:v>HOLD | point 3 | DAC 12.50 | CTRL X 1.17097 | X 1.16653 | Y 0.29469 | Z 0.52012 | TOTAL 1.31088 | error 1.82 % | MAD 1.71 % | CV 1.76 % | coh 93.2 % | dominant X | axis fraction 100.0 % | IN TARGET BAND</x:v>
      </x:c>
      <x:c r="C3475" t="str">
        <x:v>Pasted text(56).txt</x:v>
      </x:c>
    </x:row>
    <x:row r="3476">
      <x:c r="A3476" t="n">
        <x:v>3475</x:v>
      </x:c>
      <x:c r="B3476" s="106" t="str">
        <x:v>HOLD | point 4 | DAC 12.50 | CTRL X 1.16256 | X 1.16610 | Y 0.30572 | Z 0.49202 | TOTAL 1.30214 | error 1.09 % | MAD 1.15 % | CV 1.26 % | coh 93.2 % | dominant X | axis fraction 100.0 % | IN TARGET BAND</x:v>
      </x:c>
      <x:c r="C3476" t="str">
        <x:v>Pasted text(56).txt</x:v>
      </x:c>
    </x:row>
    <x:row r="3477">
      <x:c r="A3477" t="n">
        <x:v>3476</x:v>
      </x:c>
      <x:c r="B3477" s="106" t="str">
        <x:v>HOLD | point 5 | DAC 12.50 | CTRL X 1.16839 | X 1.17081 | Y 0.28592 | Z 0.50304 | TOTAL 1.30604 | error 1.60 % | MAD 0.02 % | CV 0.37 % | coh 93.5 % | dominant X | axis fraction 100.0 % | IN TARGET BAND</x:v>
      </x:c>
      <x:c r="C3477" t="str">
        <x:v>Pasted text(56).txt</x:v>
      </x:c>
    </x:row>
    <x:row r="3478">
      <x:c r="A3478" t="n">
        <x:v>3477</x:v>
      </x:c>
      <x:c r="B3478" s="106" t="str">
        <x:v>HOLD | point 6 | DAC 12.50 | CTRL X 1.17062 | X 1.16826 | Y 0.29636 | Z 0.51040 | TOTAL 1.30901 | error 1.79 % | MAD 0.84 % | CV 0.89 % | coh 93.5 % | dominant X | axis fraction 100.0 % | IN TARGET BAND</x:v>
      </x:c>
      <x:c r="C3478" t="str">
        <x:v>Pasted text(56).txt</x:v>
      </x:c>
    </x:row>
    <x:row r="3479">
      <x:c r="A3479" t="n">
        <x:v>3478</x:v>
      </x:c>
      <x:c r="B3479" s="106" t="str">
        <x:v>HOLD | point 7 | DAC 12.50 | CTRL X 1.16171 | X 1.16689 | Y 0.27735 | Z 0.48841 | TOTAL 1.29575 | error 1.02 % | MAD 0.32 % | CV 0.96 % | coh 93.7 % | dominant X | axis fraction 100.0 % | IN TARGET BAND</x:v>
      </x:c>
      <x:c r="C3479" t="str">
        <x:v>Pasted text(56).txt</x:v>
      </x:c>
    </x:row>
    <x:row r="3480">
      <x:c r="A3480" t="n">
        <x:v>3479</x:v>
      </x:c>
      <x:c r="B3480" s="106" t="str">
        <x:v>HOLD | point 8 | DAC 12.50 | CTRL X 1.18559 | X 1.18379 | Y 0.32515 | Z 0.50354 | TOTAL 1.32693 | error 3.09 % | MAD 0.10 % | CV 0.32 % | coh 93.4 % | dominant X | axis fraction 100.0 % | IN TARGET BAND</x:v>
      </x:c>
      <x:c r="C3480" t="str">
        <x:v>Pasted text(56).txt</x:v>
      </x:c>
    </x:row>
    <x:row r="3481">
      <x:c r="A3481" t="n">
        <x:v>3480</x:v>
      </x:c>
      <x:c r="B3481" s="106" t="str">
        <x:v>HOLD | point 9 | DAC 12.50 | CTRL X 1.17351 | X 1.17469 | Y 0.30158 | Z 0.49007 | TOTAL 1.30835 | error 2.04 % | MAD 0.46 % | CV 0.47 % | coh 94.3 % | dominant X | axis fraction 100.0 % | IN TARGET BAND</x:v>
      </x:c>
      <x:c r="C3481" t="str">
        <x:v>Pasted text(56).txt</x:v>
      </x:c>
    </x:row>
    <x:row r="3482">
      <x:c r="A3482" t="n">
        <x:v>3481</x:v>
      </x:c>
      <x:c r="B3482" s="106" t="str">
        <x:v>HOLD | point 10 | DAC 12.50 | CTRL X 1.16650 | X 1.16595 | Y 0.29700 | Z 0.52265 | TOTAL 1.31201 | error 1.43 % | MAD 0.67 % | CV 0.53 % | coh 93.4 % | dominant X | axis fraction 100.0 % | IN TARGET BAND</x:v>
      </x:c>
      <x:c r="C3482" t="str">
        <x:v>Pasted text(56).txt</x:v>
      </x:c>
    </x:row>
    <x:row r="3483">
      <x:c r="A3483" t="n">
        <x:v>3482</x:v>
      </x:c>
      <x:c r="B3483" s="106" t="str"/>
      <x:c r="C3483" t="str">
        <x:v>Pasted text(56).txt</x:v>
      </x:c>
    </x:row>
    <x:row r="3484">
      <x:c r="A3484" t="n">
        <x:v>3483</x:v>
      </x:c>
      <x:c r="B3484" s="106" t="str">
        <x:v>HOLD SUMMARY</x:v>
      </x:c>
      <x:c r="C3484" t="str">
        <x:v>Pasted text(56).txt</x:v>
      </x:c>
    </x:row>
    <x:row r="3485">
      <x:c r="A3485" t="n">
        <x:v>3484</x:v>
      </x:c>
      <x:c r="B3485" s="106" t="str">
        <x:v>Valid / requested: 10 / 10</x:v>
      </x:c>
      <x:c r="C3485" t="str">
        <x:v>Pasted text(56).txt</x:v>
      </x:c>
    </x:row>
    <x:row r="3486">
      <x:c r="A3486" t="n">
        <x:v>3485</x:v>
      </x:c>
      <x:c r="B3486" s="106" t="str">
        <x:v>In band / requested: 10 / 10 = 100.0 %</x:v>
      </x:c>
      <x:c r="C3486" t="str">
        <x:v>Pasted text(56).txt</x:v>
      </x:c>
    </x:row>
    <x:row r="3487">
      <x:c r="A3487" t="n">
        <x:v>3486</x:v>
      </x:c>
      <x:c r="B3487" s="106" t="str">
        <x:v>Mean / SD / CV: 1.17386 / 0.01155 / 0.98 %</x:v>
      </x:c>
      <x:c r="C3487" t="str">
        <x:v>Pasted text(56).txt</x:v>
      </x:c>
    </x:row>
    <x:row r="3488">
      <x:c r="A3488" t="n">
        <x:v>3487</x:v>
      </x:c>
      <x:c r="B3488" s="106" t="str">
        <x:v>Min / Max: 1.16171 / 1.19944</x:v>
      </x:c>
      <x:c r="C3488" t="str">
        <x:v>Pasted text(56).txt</x:v>
      </x:c>
    </x:row>
    <x:row r="3489">
      <x:c r="A3489" t="n">
        <x:v>3488</x:v>
      </x:c>
      <x:c r="B3489" s="106" t="str">
        <x:v>HOLD RESULT: PASS</x:v>
      </x:c>
      <x:c r="C3489" t="str">
        <x:v>Pasted text(56).txt</x:v>
      </x:c>
    </x:row>
    <x:row r="3490">
      <x:c r="A3490" t="n">
        <x:v>3489</x:v>
      </x:c>
      <x:c r="B3490" s="106" t="str"/>
      <x:c r="C3490" t="str">
        <x:v>Pasted text(56).txt</x:v>
      </x:c>
    </x:row>
    <x:row r="3491">
      <x:c r="A3491" t="n">
        <x:v>3490</x:v>
      </x:c>
      <x:c r="B3491" s="106" t="str">
        <x:v>RUN RESULT: PASS</x:v>
      </x:c>
      <x:c r="C3491" t="str">
        <x:v>Pasted text(56).txt</x:v>
      </x:c>
    </x:row>
    <x:row r="3492">
      <x:c r="A3492" t="n">
        <x:v>3491</x:v>
      </x:c>
      <x:c r="B3492" s="106" t="str">
        <x:v>Selected DAC: 12.50</x:v>
      </x:c>
      <x:c r="C3492" t="str">
        <x:v>Pasted text(56).txt</x:v>
      </x:c>
    </x:row>
    <x:row r="3493">
      <x:c r="A3493" t="n">
        <x:v>3492</x:v>
      </x:c>
      <x:c r="B3493" s="106" t="str">
        <x:v>Validated amplitude: 1.18246 m/s^2 | error 2.82 %</x:v>
      </x:c>
      <x:c r="C3493" t="str">
        <x:v>Pasted text(56).txt</x:v>
      </x:c>
    </x:row>
    <x:row r="3494">
      <x:c r="A3494" t="n">
        <x:v>3493</x:v>
      </x:c>
      <x:c r="B3494" s="106" t="str">
        <x:v>FFT frequency: 268.02332 Hz | difference 0.02332 Hz</x:v>
      </x:c>
      <x:c r="C3494" t="str">
        <x:v>Pasted text(56).txt</x:v>
      </x:c>
    </x:row>
    <x:row r="3495">
      <x:c r="A3495" t="n">
        <x:v>3494</x:v>
      </x:c>
      <x:c r="B3495" s="106" t="str"/>
      <x:c r="C3495" t="str">
        <x:v>Pasted text(56).txt</x:v>
      </x:c>
    </x:row>
    <x:row r="3496">
      <x:c r="A3496" t="n">
        <x:v>3495</x:v>
      </x:c>
      <x:c r="B3496" s="106" t="str">
        <x:v>================================================================================</x:v>
      </x:c>
      <x:c r="C3496" t="str">
        <x:v>Pasted text(56).txt</x:v>
      </x:c>
    </x:row>
    <x:row r="3497">
      <x:c r="A3497" t="n">
        <x:v>3496</x:v>
      </x:c>
      <x:c r="B3497" s="106" t="str">
        <x:v>FINAL REPEATED TARGET-AMPLITUDE VALIDATION SUMMARY</x:v>
      </x:c>
      <x:c r="C3497" t="str">
        <x:v>Pasted text(56).txt</x:v>
      </x:c>
    </x:row>
    <x:row r="3498">
      <x:c r="A3498" t="n">
        <x:v>3497</x:v>
      </x:c>
      <x:c r="B3498" s="106" t="str">
        <x:v>================================================================================</x:v>
      </x:c>
      <x:c r="C3498" t="str">
        <x:v>Pasted text(56).txt</x:v>
      </x:c>
    </x:row>
    <x:row r="3499">
      <x:c r="A3499" t="n">
        <x:v>3498</x:v>
      </x:c>
      <x:c r="B3499" s="106" t="str">
        <x:v>Run,Pass,Selected_DAC,Validated_Amp,Error_pct,FFT_Hz,FFT_Diff_Hz,FFT_SNR_dB,Hold_Mean,Hold_CV_pct,Hold_InBand_pct,Reason</x:v>
      </x:c>
      <x:c r="C3499" t="str">
        <x:v>Pasted text(56).txt</x:v>
      </x:c>
    </x:row>
    <x:row r="3500">
      <x:c r="A3500" t="n">
        <x:v>3499</x:v>
      </x:c>
      <x:c r="B3500" s="106" t="str">
        <x:v>1,PASS,12.50,1.16158,1.01,268.02589,0.02589,30.60,1.16948,1.13,100.0,PASS</x:v>
      </x:c>
      <x:c r="C3500" t="str">
        <x:v>Pasted text(56).txt</x:v>
      </x:c>
    </x:row>
    <x:row r="3501">
      <x:c r="A3501" t="n">
        <x:v>3500</x:v>
      </x:c>
      <x:c r="B3501" s="106" t="str">
        <x:v>2,PASS,12.25,1.16149,1.00,268.02845,0.02845,30.63,1.15890,0.48,100.0,PASS</x:v>
      </x:c>
      <x:c r="C3501" t="str">
        <x:v>Pasted text(56).txt</x:v>
      </x:c>
    </x:row>
    <x:row r="3502">
      <x:c r="A3502" t="n">
        <x:v>3501</x:v>
      </x:c>
      <x:c r="B3502" s="106" t="str">
        <x:v>3,PASS,12.25,1.15023,0.02,268.02743,0.02743,30.78,1.15542,1.35,100.0,PASS</x:v>
      </x:c>
      <x:c r="C3502" t="str">
        <x:v>Pasted text(56).txt</x:v>
      </x:c>
    </x:row>
    <x:row r="3503">
      <x:c r="A3503" t="n">
        <x:v>3502</x:v>
      </x:c>
      <x:c r="B3503" s="106" t="str">
        <x:v>4,PASS,12.25,1.16321,1.15,268.02980,0.02980,30.71,1.15330,1.23,100.0,PASS</x:v>
      </x:c>
      <x:c r="C3503" t="str">
        <x:v>Pasted text(56).txt</x:v>
      </x:c>
    </x:row>
    <x:row r="3504">
      <x:c r="A3504" t="n">
        <x:v>3503</x:v>
      </x:c>
      <x:c r="B3504" s="106" t="str">
        <x:v>5,PASS,12.50,1.18246,2.82,268.02332,0.02332,30.95,1.17386,0.98,100.0,PASS</x:v>
      </x:c>
      <x:c r="C3504" t="str">
        <x:v>Pasted text(56).txt</x:v>
      </x:c>
    </x:row>
    <x:row r="3505">
      <x:c r="A3505" t="n">
        <x:v>3504</x:v>
      </x:c>
      <x:c r="B3505" s="106" t="str">
        <x:v>--------------------------------------------------------------------------------</x:v>
      </x:c>
      <x:c r="C3505" t="str">
        <x:v>Pasted text(56).txt</x:v>
      </x:c>
    </x:row>
    <x:row r="3506">
      <x:c r="A3506" t="n">
        <x:v>3505</x:v>
      </x:c>
      <x:c r="B3506" s="106" t="str">
        <x:v>Successful independent runs: 5 / 5</x:v>
      </x:c>
      <x:c r="C3506" t="str">
        <x:v>Pasted text(56).txt</x:v>
      </x:c>
    </x:row>
    <x:row r="3507">
      <x:c r="A3507" t="n">
        <x:v>3506</x:v>
      </x:c>
      <x:c r="B3507" s="106" t="str">
        <x:v>Validated amplitude mean +/- SD: 1.16380 +/- 0.01165 m/s^2 peak</x:v>
      </x:c>
      <x:c r="C3507" t="str">
        <x:v>Pasted text(56).txt</x:v>
      </x:c>
    </x:row>
    <x:row r="3508">
      <x:c r="A3508" t="n">
        <x:v>3507</x:v>
      </x:c>
      <x:c r="B3508" s="106" t="str">
        <x:v>Across-run amplitude CV: 1.00 %</x:v>
      </x:c>
      <x:c r="C3508" t="str">
        <x:v>Pasted text(56).txt</x:v>
      </x:c>
    </x:row>
    <x:row r="3509">
      <x:c r="A3509" t="n">
        <x:v>3508</x:v>
      </x:c>
      <x:c r="B3509" s="106" t="str">
        <x:v>Maximum absolute target error: 2.82 %</x:v>
      </x:c>
      <x:c r="C3509" t="str">
        <x:v>Pasted text(56).txt</x:v>
      </x:c>
    </x:row>
    <x:row r="3510">
      <x:c r="A3510" t="n">
        <x:v>3509</x:v>
      </x:c>
      <x:c r="B3510" s="106" t="str">
        <x:v>FFT frequency mean +/- SD: 268.02698 +/- 0.00249 Hz</x:v>
      </x:c>
      <x:c r="C3510" t="str">
        <x:v>Pasted text(56).txt</x:v>
      </x:c>
    </x:row>
    <x:row r="3511">
      <x:c r="A3511" t="n">
        <x:v>3510</x:v>
      </x:c>
      <x:c r="B3511" s="106" t="str">
        <x:v>Selected DAC range: 12.25 to 12.50</x:v>
      </x:c>
      <x:c r="C3511" t="str">
        <x:v>Pasted text(56).txt</x:v>
      </x:c>
    </x:row>
    <x:row r="3512">
      <x:c r="A3512" t="n">
        <x:v>3511</x:v>
      </x:c>
      <x:c r="B3512" s="106" t="str">
        <x:v>Average hold records in target band: 100.0 %</x:v>
      </x:c>
      <x:c r="C3512" t="str">
        <x:v>Pasted text(56).txt</x:v>
      </x:c>
    </x:row>
    <x:row r="3513">
      <x:c r="A3513" t="n">
        <x:v>3512</x:v>
      </x:c>
      <x:c r="B3513" s="106" t="str">
        <x:v>OVERALL VERDICT: EXCELLENT REPRODUCIBLE TARGET-AMPLITUDE ACQUISITION.</x:v>
      </x:c>
      <x:c r="C3513" t="str">
        <x:v>Pasted text(56).txt</x:v>
      </x:c>
    </x:row>
    <x:row r="3514">
      <x:c r="A3514" t="n">
        <x:v>3513</x:v>
      </x:c>
      <x:c r="B3514" s="106" t="str">
        <x:v>X-axis amplitude matching is repeatable; phase testing may follow after one independent confirmation session.</x:v>
      </x:c>
      <x:c r="C3514" t="str">
        <x:v>Pasted text(56).txt</x:v>
      </x:c>
    </x:row>
    <x:row r="3515">
      <x:c r="A3515" t="n">
        <x:v>3514</x:v>
      </x:c>
      <x:c r="B3515" s="106" t="str"/>
      <x:c r="C3515" t="str">
        <x:v>Pasted text(56).txt</x:v>
      </x:c>
    </x:row>
    <x:row r="3516">
      <x:c r="A3516" t="n">
        <x:v>3515</x:v>
      </x:c>
      <x:c r="B3516" s="106" t="str">
        <x:v>Automatic test complete. Enter h for commands.</x:v>
      </x:c>
      <x:c r="C3516" t="str">
        <x:v>Pasted text(56).txt</x:v>
      </x:c>
    </x:row>
    <x:row r="3517">
      <x:c r="A3517" t="n">
        <x:v>3516</x:v>
      </x:c>
      <x:c r="B3517" s="106" t="str">
        <x:v>Target amplitude set to 0.89000 m/s^2 peak.</x:v>
      </x:c>
      <x:c r="C3517" t="str">
        <x:v>Pasted text(56).txt</x:v>
      </x:c>
    </x:row>
    <x:row r="3518">
      <x:c r="A3518" t="n">
        <x:v>3517</x:v>
      </x:c>
      <x:c r="B3518" s="106" t="str"/>
      <x:c r="C3518" t="str">
        <x:v>Pasted text(56).txt</x:v>
      </x:c>
    </x:row>
    <x:row r="3519">
      <x:c r="A3519" t="n">
        <x:v>3518</x:v>
      </x:c>
      <x:c r="B3519" s="106" t="str">
        <x:v>================================================================================</x:v>
      </x:c>
      <x:c r="C3519" t="str">
        <x:v>Pasted text(56).txt</x:v>
      </x:c>
    </x:row>
    <x:row r="3520">
      <x:c r="A3520" t="n">
        <x:v>3519</x:v>
      </x:c>
      <x:c r="B3520" s="106" t="str">
        <x:v>REPEATED INDEPENDENT TARGET-AMPLITUDE VALIDATION STARTED</x:v>
      </x:c>
      <x:c r="C3520" t="str">
        <x:v>Pasted text(56).txt</x:v>
      </x:c>
    </x:row>
    <x:row r="3521">
      <x:c r="A3521" t="n">
        <x:v>3520</x:v>
      </x:c>
      <x:c r="B3521" s="106" t="str">
        <x:v>================================================================================</x:v>
      </x:c>
      <x:c r="C3521" t="str">
        <x:v>Pasted text(56).txt</x:v>
      </x:c>
    </x:row>
    <x:row r="3522">
      <x:c r="A3522" t="n">
        <x:v>3521</x:v>
      </x:c>
      <x:c r="B3522" s="106" t="str"/>
      <x:c r="C3522" t="str">
        <x:v>Pasted text(56).txt</x:v>
      </x:c>
    </x:row>
    <x:row r="3523">
      <x:c r="A3523" t="n">
        <x:v>3522</x:v>
      </x:c>
      <x:c r="B3523" s="106" t="str">
        <x:v>CURRENT SETTINGS</x:v>
      </x:c>
      <x:c r="C3523" t="str">
        <x:v>Pasted text(56).txt</x:v>
      </x:c>
    </x:row>
    <x:row r="3524">
      <x:c r="A3524" t="n">
        <x:v>3523</x:v>
      </x:c>
      <x:c r="B3524" s="106" t="str">
        <x:v>Frequency: 268.00000 Hz</x:v>
      </x:c>
      <x:c r="C3524" t="str">
        <x:v>Pasted text(56).txt</x:v>
      </x:c>
    </x:row>
    <x:row r="3525">
      <x:c r="A3525" t="n">
        <x:v>3524</x:v>
      </x:c>
      <x:c r="B3525" s="106" t="str">
        <x:v>Control axis: X ONLY (Y/Z diagnostic only)</x:v>
      </x:c>
      <x:c r="C3525" t="str">
        <x:v>Pasted text(56).txt</x:v>
      </x:c>
    </x:row>
    <x:row r="3526">
      <x:c r="A3526" t="n">
        <x:v>3525</x:v>
      </x:c>
      <x:c r="B3526" s="106" t="str">
        <x:v>Target peak amplitude: 0.89000 m/s^2</x:v>
      </x:c>
      <x:c r="C3526" t="str">
        <x:v>Pasted text(56).txt</x:v>
      </x:c>
    </x:row>
    <x:row r="3527">
      <x:c r="A3527" t="n">
        <x:v>3526</x:v>
      </x:c>
      <x:c r="B3527" s="106" t="str">
        <x:v>Tolerance: +/-7.50 %</x:v>
      </x:c>
      <x:c r="C3527" t="str">
        <x:v>Pasted text(56).txt</x:v>
      </x:c>
    </x:row>
    <x:row r="3528">
      <x:c r="A3528" t="n">
        <x:v>3527</x:v>
      </x:c>
      <x:c r="B3528" s="106" t="str">
        <x:v>Allowed amplitude band: 0.82325 to 0.95675 m/s^2 peak</x:v>
      </x:c>
      <x:c r="C3528" t="str">
        <x:v>Pasted text(56).txt</x:v>
      </x:c>
    </x:row>
    <x:row r="3529">
      <x:c r="A3529" t="n">
        <x:v>3528</x:v>
      </x:c>
      <x:c r="B3529" s="106" t="str">
        <x:v>Independent runs: 5</x:v>
      </x:c>
      <x:c r="C3529" t="str">
        <x:v>Pasted text(56).txt</x:v>
      </x:c>
    </x:row>
    <x:row r="3530">
      <x:c r="A3530" t="n">
        <x:v>3529</x:v>
      </x:c>
      <x:c r="B3530" s="106" t="str">
        <x:v>Hold records per run: 10</x:v>
      </x:c>
      <x:c r="C3530" t="str">
        <x:v>Pasted text(56).txt</x:v>
      </x:c>
    </x:row>
    <x:row r="3531">
      <x:c r="A3531" t="n">
        <x:v>3530</x:v>
      </x:c>
      <x:c r="B3531" s="106" t="str">
        <x:v>DAC search range/resolution: 1.00 to 30.00 / 0.25</x:v>
      </x:c>
      <x:c r="C3531" t="str">
        <x:v>Pasted text(56).txt</x:v>
      </x:c>
    </x:row>
    <x:row r="3532">
      <x:c r="A3532" t="n">
        <x:v>3531</x:v>
      </x:c>
      <x:c r="B3532" s="106" t="str">
        <x:v>FFT bin resolution: 1.56250 Hz; accepted command-to-bin difference &lt;= 2.00 Hz</x:v>
      </x:c>
      <x:c r="C3532" t="str">
        <x:v>Pasted text(56).txt</x:v>
      </x:c>
    </x:row>
    <x:row r="3533">
      <x:c r="A3533" t="n">
        <x:v>3532</x:v>
      </x:c>
      <x:c r="B3533" s="106" t="str">
        <x:v>Every run starts from DAC 1.00. Different selected DACs are allowed.</x:v>
      </x:c>
      <x:c r="C3533" t="str">
        <x:v>Pasted text(56).txt</x:v>
      </x:c>
    </x:row>
    <x:row r="3534">
      <x:c r="A3534" t="n">
        <x:v>3533</x:v>
      </x:c>
      <x:c r="B3534" s="106" t="str">
        <x:v>The accepted result is X-axis amplitude and X-axis frequency, not DAC.</x:v>
      </x:c>
      <x:c r="C3534" t="str">
        <x:v>Pasted text(56).txt</x:v>
      </x:c>
    </x:row>
    <x:row r="3535">
      <x:c r="A3535" t="n">
        <x:v>3534</x:v>
      </x:c>
      <x:c r="B3535" s="106" t="str"/>
      <x:c r="C3535" t="str">
        <x:v>Pasted text(56).txt</x:v>
      </x:c>
    </x:row>
    <x:row r="3536">
      <x:c r="A3536" t="n">
        <x:v>3535</x:v>
      </x:c>
      <x:c r="B3536" s="106" t="str">
        <x:v>################################################################################</x:v>
      </x:c>
      <x:c r="C3536" t="str">
        <x:v>Pasted text(56).txt</x:v>
      </x:c>
    </x:row>
    <x:row r="3537">
      <x:c r="A3537" t="n">
        <x:v>3536</x:v>
      </x:c>
      <x:c r="B3537" s="106" t="str">
        <x:v>INDEPENDENT TARGET-AMPLITUDE RUN 1 OF 5</x:v>
      </x:c>
      <x:c r="C3537" t="str">
        <x:v>Pasted text(56).txt</x:v>
      </x:c>
    </x:row>
    <x:row r="3538">
      <x:c r="A3538" t="n">
        <x:v>3537</x:v>
      </x:c>
      <x:c r="B3538" s="106" t="str">
        <x:v>################################################################################</x:v>
      </x:c>
      <x:c r="C3538" t="str">
        <x:v>Pasted text(56).txt</x:v>
      </x:c>
    </x:row>
    <x:row r="3539">
      <x:c r="A3539" t="n">
        <x:v>3538</x:v>
      </x:c>
      <x:c r="B3539" s="106" t="str">
        <x:v>Frequency: 268.00000 Hz</x:v>
      </x:c>
      <x:c r="C3539" t="str">
        <x:v>Pasted text(56).txt</x:v>
      </x:c>
    </x:row>
    <x:row r="3540">
      <x:c r="A3540" t="n">
        <x:v>3539</x:v>
      </x:c>
      <x:c r="B3540" s="106" t="str">
        <x:v>Target X amplitude: 0.89000 m/s^2 peak, tolerance +/-7.50 %</x:v>
      </x:c>
      <x:c r="C3540" t="str">
        <x:v>Pasted text(56).txt</x:v>
      </x:c>
    </x:row>
    <x:row r="3541">
      <x:c r="A3541" t="n">
        <x:v>3540</x:v>
      </x:c>
      <x:c r="B3541" s="106" t="str">
        <x:v>This run starts from DAC 1.00 and ignores every earlier selected DAC.</x:v>
      </x:c>
      <x:c r="C3541" t="str">
        <x:v>Pasted text(56).txt</x:v>
      </x:c>
    </x:row>
    <x:row r="3542">
      <x:c r="A3542" t="n">
        <x:v>3541</x:v>
      </x:c>
      <x:c r="B3542" s="106" t="str">
        <x:v>ADXL2 DEVID/DATA_FORMAT/BW_RATE/POWER_CTL: 0xE5 / 0xB / 0xE / 0x8</x:v>
      </x:c>
      <x:c r="C3542" t="str">
        <x:v>Pasted text(56).txt</x:v>
      </x:c>
    </x:row>
    <x:row r="3543">
      <x:c r="A3543" t="n">
        <x:v>3542</x:v>
      </x:c>
      <x:c r="B3543" s="106" t="str"/>
      <x:c r="C3543" t="str">
        <x:v>Pasted text(56).txt</x:v>
      </x:c>
    </x:row>
    <x:row r="3544">
      <x:c r="A3544" t="n">
        <x:v>3543</x:v>
      </x:c>
      <x:c r="B3544" s="106" t="str">
        <x:v>ACQUISITION ATTEMPT 1 OF 2</x:v>
      </x:c>
      <x:c r="C3544" t="str">
        <x:v>Pasted text(56).txt</x:v>
      </x:c>
    </x:row>
    <x:row r="3545">
      <x:c r="A3545" t="n">
        <x:v>3544</x:v>
      </x:c>
      <x:c r="B3545" s="106" t="str"/>
      <x:c r="C3545" t="str">
        <x:v>Pasted text(56).txt</x:v>
      </x:c>
    </x:row>
    <x:row r="3546">
      <x:c r="A3546" t="n">
        <x:v>3545</x:v>
      </x:c>
      <x:c r="B3546" s="106" t="str">
        <x:v>FRESH X-AXIS SEARCH FROM DAC 1.00 — OLD DAC VALUES ARE NOT USED</x:v>
      </x:c>
      <x:c r="C3546" t="str">
        <x:v>Pasted text(56).txt</x:v>
      </x:c>
    </x:row>
    <x:row r="3547">
      <x:c r="A3547" t="n">
        <x:v>3546</x:v>
      </x:c>
      <x:c r="B3547" s="106" t="str">
        <x:v>Y/Z are diagnostic only and cannot abort this search.</x:v>
      </x:c>
      <x:c r="C3547" t="str">
        <x:v>Pasted text(56).txt</x:v>
      </x:c>
    </x:row>
    <x:row r="3548">
      <x:c r="A3548" t="n">
        <x:v>3547</x:v>
      </x:c>
      <x:c r="B3548" s="106" t="str">
        <x:v>A real SPI fault, clipping, safety limit or confirmed X-response collapse will stop it.</x:v>
      </x:c>
      <x:c r="C3548" t="str">
        <x:v>Pasted text(56).txt</x:v>
      </x:c>
    </x:row>
    <x:row r="3549">
      <x:c r="A3549" t="n">
        <x:v>3548</x:v>
      </x:c>
      <x:c r="B3549" s="106" t="str">
        <x:v>SEARCH | point 1 | DAC 1.00 | CTRL X 0.00854 | X 0.00768 | Y 0.01969 | Z 0.06066 | TOTAL 0.06473 | error -99.04 % | MAD 30.05 % | CV 15.95 % | coh 4.2 % | dominant Z | axis fraction 12.7 % | BELOW MEASUREMENT FLOOR — SEARCH CONTINUES</x:v>
      </x:c>
      <x:c r="C3549" t="str">
        <x:v>Pasted text(56).txt</x:v>
      </x:c>
    </x:row>
    <x:row r="3550">
      <x:c r="A3550" t="n">
        <x:v>3549</x:v>
      </x:c>
      <x:c r="B3550" s="106" t="str">
        <x:v>SEARCH | point 2 | DAC 3.00 | CTRL X 0.14145 | X 0.13790 | Y 0.04781 | Z 0.08846 | TOTAL 0.17089 | error -84.11 % | MAD 7.45 % | CV 3.64 % | coh 51.2 % | dominant X | axis fraction 100.0 % | UNSTABLE — SEARCH CONTINUES</x:v>
      </x:c>
      <x:c r="C3550" t="str">
        <x:v>Pasted text(56).txt</x:v>
      </x:c>
    </x:row>
    <x:row r="3551">
      <x:c r="A3551" t="n">
        <x:v>3550</x:v>
      </x:c>
      <x:c r="B3551" s="106" t="str">
        <x:v>SEARCH | point 3 | DAC 5.00 | CTRL X 0.34886 | X 0.34902 | Y 0.09647 | Z 0.20650 | TOTAL 0.41699 | error -60.80 % | MAD 1.84 % | CV 1.31 % | coh 83.3 % | dominant X | axis fraction 100.0 % | VALID</x:v>
      </x:c>
      <x:c r="C3551" t="str">
        <x:v>Pasted text(56).txt</x:v>
      </x:c>
    </x:row>
    <x:row r="3552">
      <x:c r="A3552" t="n">
        <x:v>3551</x:v>
      </x:c>
      <x:c r="B3552" s="106" t="str">
        <x:v>SEARCH | point 4 | DAC 6.00 | CTRL X 0.46194 | X 0.46025 | Y 0.13595 | Z 0.24499 | TOTAL 0.53951 | error -48.10 % | MAD 1.38 % | CV 1.52 % | coh 86.4 % | dominant X | axis fraction 100.0 % | VALID</x:v>
      </x:c>
      <x:c r="C3552" t="str">
        <x:v>Pasted text(56).txt</x:v>
      </x:c>
    </x:row>
    <x:row r="3553">
      <x:c r="A3553" t="n">
        <x:v>3552</x:v>
      </x:c>
      <x:c r="B3553" s="106" t="str">
        <x:v>SEARCH | point 5 | DAC 7.00 | CTRL X 0.55644 | X 0.55246 | Y 0.16761 | Z 0.30446 | TOTAL 0.65275 | error -37.48 % | MAD 0.33 % | CV 1.45 % | coh 89.2 % | dominant X | axis fraction 100.0 % | VALID</x:v>
      </x:c>
      <x:c r="C3553" t="str">
        <x:v>Pasted text(56).txt</x:v>
      </x:c>
    </x:row>
    <x:row r="3554">
      <x:c r="A3554" t="n">
        <x:v>3553</x:v>
      </x:c>
      <x:c r="B3554" s="106" t="str">
        <x:v>SEARCH | point 6 | DAC 7.50 | CTRL X 0.58943 | X 0.59584 | Y 0.16533 | Z 0.31950 | TOTAL 0.69622 | error -33.77 % | MAD 0.30 % | CV 2.04 % | coh 90.0 % | dominant X | axis fraction 100.0 % | VALID</x:v>
      </x:c>
      <x:c r="C3554" t="str">
        <x:v>Pasted text(56).txt</x:v>
      </x:c>
    </x:row>
    <x:row r="3555">
      <x:c r="A3555" t="n">
        <x:v>3554</x:v>
      </x:c>
      <x:c r="B3555" s="106" t="str">
        <x:v>SEARCH | point 7 | DAC 8.00 | CTRL X 0.68818 | X 0.68103 | Y 0.19239 | Z 0.34305 | TOTAL 0.78685 | error -22.68 % | MAD 3.23 % | CV 3.89 % | coh 90.4 % | dominant X | axis fraction 100.0 % | VALID</x:v>
      </x:c>
      <x:c r="C3555" t="str">
        <x:v>Pasted text(56).txt</x:v>
      </x:c>
    </x:row>
    <x:row r="3556">
      <x:c r="A3556" t="n">
        <x:v>3555</x:v>
      </x:c>
      <x:c r="B3556" s="106" t="str">
        <x:v>SEARCH | point 8 | DAC 8.50 | CTRL X 0.69909 | X 0.69979 | Y 0.19299 | Z 0.35462 | TOTAL 0.80839 | error -21.45 % | MAD 0.03 % | CV 0.19 % | coh 90.5 % | dominant X | axis fraction 100.0 % | VALID</x:v>
      </x:c>
      <x:c r="C3556" t="str">
        <x:v>Pasted text(56).txt</x:v>
      </x:c>
    </x:row>
    <x:row r="3557">
      <x:c r="A3557" t="n">
        <x:v>3556</x:v>
      </x:c>
      <x:c r="B3557" s="106" t="str">
        <x:v>SEARCH | point 9 | DAC 9.00 | CTRL X 0.79790 | X 0.78817 | Y 0.21644 | Z 0.36506 | TOTAL 0.89539 | error -10.35 % | MAD 0.71 % | CV 2.57 % | coh 92.9 % | dominant X | axis fraction 100.0 % | VALID</x:v>
      </x:c>
      <x:c r="C3557" t="str">
        <x:v>Pasted text(56).txt</x:v>
      </x:c>
    </x:row>
    <x:row r="3558">
      <x:c r="A3558" t="n">
        <x:v>3557</x:v>
      </x:c>
      <x:c r="B3558" s="106" t="str">
        <x:v>SEARCH | point 10 | DAC 9.25 | CTRL X 0.78307 | X 0.78501 | Y 0.20171 | Z 0.37518 | TOTAL 0.89329 | error -12.01 % | MAD 0.21 % | CV 0.56 % | coh 90.6 % | dominant X | axis fraction 100.0 % | VALID</x:v>
      </x:c>
      <x:c r="C3558" t="str">
        <x:v>Pasted text(56).txt</x:v>
      </x:c>
    </x:row>
    <x:row r="3559">
      <x:c r="A3559" t="n">
        <x:v>3558</x:v>
      </x:c>
      <x:c r="B3559" s="106" t="str">
        <x:v>SEARCH | point 11 | DAC 9.50 | CTRL X 0.80237 | X 0.80083 | Y 0.19840 | Z 0.39782 | TOTAL 0.91614 | error -9.85 % | MAD 0.23 % | CV 0.47 % | coh 90.6 % | dominant X | axis fraction 100.0 % | VALID</x:v>
      </x:c>
      <x:c r="C3559" t="str">
        <x:v>Pasted text(56).txt</x:v>
      </x:c>
    </x:row>
    <x:row r="3560">
      <x:c r="A3560" t="n">
        <x:v>3559</x:v>
      </x:c>
      <x:c r="B3560" s="106" t="str">
        <x:v>SEARCH | point 12 | DAC 9.75 | CTRL X 0.86029 | X 0.86371 | Y 0.22013 | Z 0.41482 | TOTAL 0.98323 | error -3.34 % | MAD 1.81 % | CV 1.84 % | coh 92.6 % | dominant X | axis fraction 100.0 % | IN TARGET BAND</x:v>
      </x:c>
      <x:c r="C3560" t="str">
        <x:v>Pasted text(56).txt</x:v>
      </x:c>
    </x:row>
    <x:row r="3561">
      <x:c r="A3561" t="n">
        <x:v>3560</x:v>
      </x:c>
      <x:c r="B3561" s="106" t="str"/>
      <x:c r="C3561" t="str">
        <x:v>Pasted text(56).txt</x:v>
      </x:c>
    </x:row>
    <x:row r="3562">
      <x:c r="A3562" t="n">
        <x:v>3561</x:v>
      </x:c>
      <x:c r="B3562" s="106" t="str">
        <x:v>LOCAL 0.25-DAC X-AXIS FINE SCAN</x:v>
      </x:c>
      <x:c r="C3562" t="str">
        <x:v>Pasted text(56).txt</x:v>
      </x:c>
    </x:row>
    <x:row r="3563">
      <x:c r="A3563" t="n">
        <x:v>3562</x:v>
      </x:c>
      <x:c r="B3563" s="106" t="str">
        <x:v>Only a valid point actually inside the X target band may be selected.</x:v>
      </x:c>
      <x:c r="C3563" t="str">
        <x:v>Pasted text(56).txt</x:v>
      </x:c>
    </x:row>
    <x:row r="3564">
      <x:c r="A3564" t="n">
        <x:v>3563</x:v>
      </x:c>
      <x:c r="B3564" s="106" t="str">
        <x:v>FINE | point 1 | DAC 8.75 | CTRL X 0.74400 | X 0.74885 | Y 0.21209 | Z 0.37319 | TOTAL 0.86370 | error -16.40 % | MAD 1.51 % | CV 2.06 % | coh 91.0 % | dominant X | axis fraction 100.0 % | VALID</x:v>
      </x:c>
      <x:c r="C3564" t="str">
        <x:v>Pasted text(56).txt</x:v>
      </x:c>
    </x:row>
    <x:row r="3565">
      <x:c r="A3565" t="n">
        <x:v>3564</x:v>
      </x:c>
      <x:c r="B3565" s="106" t="str">
        <x:v>FINE | point 2 | DAC 9.00 | CTRL X 0.77863 | X 0.78285 | Y 0.21145 | Z 0.39005 | TOTAL 0.90003 | error -12.51 % | MAD 0.78 % | CV 1.41 % | coh 93.7 % | dominant X | axis fraction 100.0 % | VALID</x:v>
      </x:c>
      <x:c r="C3565" t="str">
        <x:v>Pasted text(56).txt</x:v>
      </x:c>
    </x:row>
    <x:row r="3566">
      <x:c r="A3566" t="n">
        <x:v>3565</x:v>
      </x:c>
      <x:c r="B3566" s="106" t="str">
        <x:v>FINE | point 3 | DAC 9.25 | CTRL X 0.79886 | X 0.79932 | Y 0.22453 | Z 0.38865 | TOTAL 0.91679 | error -10.24 % | MAD 1.60 % | CV 1.16 % | coh 92.3 % | dominant X | axis fraction 100.0 % | VALID</x:v>
      </x:c>
      <x:c r="C3566" t="str">
        <x:v>Pasted text(56).txt</x:v>
      </x:c>
    </x:row>
    <x:row r="3567">
      <x:c r="A3567" t="n">
        <x:v>3566</x:v>
      </x:c>
      <x:c r="B3567" s="106" t="str">
        <x:v>FINE | point 4 | DAC 9.50 | CTRL X 0.81522 | X 0.82501 | Y 0.21720 | Z 0.38090 | TOTAL 0.93462 | error -8.40 % | MAD 1.02 % | CV 2.67 % | coh 91.8 % | dominant X | axis fraction 100.0 % | VALID</x:v>
      </x:c>
      <x:c r="C3567" t="str">
        <x:v>Pasted text(56).txt</x:v>
      </x:c>
    </x:row>
    <x:row r="3568">
      <x:c r="A3568" t="n">
        <x:v>3567</x:v>
      </x:c>
      <x:c r="B3568" s="106" t="str">
        <x:v>FINE | point 5 | DAC 9.75 | CTRL X 0.85473 | X 0.86333 | Y 0.23166 | Z 0.42787 | TOTAL 0.99120 | error -3.96 % | MAD 0.99 % | CV 2.32 % | coh 92.3 % | dominant X | axis fraction 100.0 % | IN TARGET BAND</x:v>
      </x:c>
      <x:c r="C3568" t="str">
        <x:v>Pasted text(56).txt</x:v>
      </x:c>
    </x:row>
    <x:row r="3569">
      <x:c r="A3569" t="n">
        <x:v>3568</x:v>
      </x:c>
      <x:c r="B3569" s="106" t="str">
        <x:v>FINE | point 6 | DAC 10.00 | CTRL X 0.89391 | X 0.88747 | Y 0.23088 | Z 0.42485 | TOTAL 1.01096 | error 0.44 % | MAD 0.85 % | CV 1.78 % | coh 92.2 % | dominant X | axis fraction 100.0 % | IN TARGET BAND</x:v>
      </x:c>
      <x:c r="C3569" t="str">
        <x:v>Pasted text(56).txt</x:v>
      </x:c>
    </x:row>
    <x:row r="3570">
      <x:c r="A3570" t="n">
        <x:v>3569</x:v>
      </x:c>
      <x:c r="B3570" s="106" t="str">
        <x:v>FINE | point 7 | DAC 10.25 | CTRL X 0.92062 | X 0.91850 | Y 0.25279 | Z 0.42909 | TOTAL 1.04547 | error 3.44 % | MAD 1.72 % | CV 1.52 % | coh 92.6 % | dominant X | axis fraction 100.0 % | IN TARGET BAND</x:v>
      </x:c>
      <x:c r="C3570" t="str">
        <x:v>Pasted text(56).txt</x:v>
      </x:c>
    </x:row>
    <x:row r="3571">
      <x:c r="A3571" t="n">
        <x:v>3570</x:v>
      </x:c>
      <x:c r="B3571" s="106" t="str">
        <x:v>FINE | point 8 | DAC 10.50 | CTRL X 0.92484 | X 0.93382 | Y 0.24760 | Z 0.45400 | TOTAL 1.06755 | error 3.91 % | MAD 0.33 % | CV 1.86 % | coh 93.4 % | dominant X | axis fraction 100.0 % | IN TARGET BAND</x:v>
      </x:c>
      <x:c r="C3571" t="str">
        <x:v>Pasted text(56).txt</x:v>
      </x:c>
    </x:row>
    <x:row r="3572">
      <x:c r="A3572" t="n">
        <x:v>3571</x:v>
      </x:c>
      <x:c r="B3572" s="106" t="str">
        <x:v>FINE | point 9 | DAC 10.75 | CTRL X 0.97655 | X 0.97285 | Y 0.24736 | Z 0.46008 | TOTAL 1.10433 | error 9.72 % | MAD 1.53 % | CV 1.64 % | coh 93.8 % | dominant X | axis fraction 100.0 % | VALID</x:v>
      </x:c>
      <x:c r="C3572" t="str">
        <x:v>Pasted text(56).txt</x:v>
      </x:c>
    </x:row>
    <x:row r="3573">
      <x:c r="A3573" t="n">
        <x:v>3572</x:v>
      </x:c>
      <x:c r="B3573" s="106" t="str"/>
      <x:c r="C3573" t="str">
        <x:v>Pasted text(56).txt</x:v>
      </x:c>
    </x:row>
    <x:row r="3574">
      <x:c r="A3574" t="n">
        <x:v>3573</x:v>
      </x:c>
      <x:c r="B3574" s="106" t="str">
        <x:v>LONG VALIDATION AT FIXED DAC 10.00</x:v>
      </x:c>
      <x:c r="C3574" t="str">
        <x:v>Pasted text(56).txt</x:v>
      </x:c>
    </x:row>
    <x:row r="3575">
      <x:c r="A3575" t="n">
        <x:v>3574</x:v>
      </x:c>
      <x:c r="B3575" s="106" t="str">
        <x:v>FINAL | point 1 | DAC 10.00 | CTRL X 0.88771 | X 0.88970 | Y 0.23435 | Z 0.41394 | TOTAL 1.00921 | error -0.26 % | MAD 2.76 % | CV 1.76 % | coh 92.3 % | dominant X | axis fraction 100.0 % | IN TARGET BAND</x:v>
      </x:c>
      <x:c r="C3575" t="str">
        <x:v>Pasted text(56).txt</x:v>
      </x:c>
    </x:row>
    <x:row r="3576">
      <x:c r="A3576" t="n">
        <x:v>3575</x:v>
      </x:c>
      <x:c r="B3576" s="106" t="str">
        <x:v>FINAL | point 2 | DAC 10.00 | CTRL X 0.88307 | X 0.88396 | Y 0.23513 | Z 0.40887 | TOTAL 1.00232 | error -0.78 % | MAD 1.79 % | CV 1.39 % | coh 91.6 % | dominant X | axis fraction 100.0 % | IN TARGET BAND</x:v>
      </x:c>
      <x:c r="C3576" t="str">
        <x:v>Pasted text(56).txt</x:v>
      </x:c>
    </x:row>
    <x:row r="3577">
      <x:c r="A3577" t="n">
        <x:v>3576</x:v>
      </x:c>
      <x:c r="B3577" s="106" t="str">
        <x:v>VALIDATION ACCEPTED | pair drift 0.52 %</x:v>
      </x:c>
      <x:c r="C3577" t="str">
        <x:v>Pasted text(56).txt</x:v>
      </x:c>
    </x:row>
    <x:row r="3578">
      <x:c r="A3578" t="n">
        <x:v>3577</x:v>
      </x:c>
      <x:c r="B3578" s="106" t="str"/>
      <x:c r="C3578" t="str">
        <x:v>Pasted text(56).txt</x:v>
      </x:c>
    </x:row>
    <x:row r="3579">
      <x:c r="A3579" t="n">
        <x:v>3578</x:v>
      </x:c>
      <x:c r="B3579" s="106" t="str">
        <x:v>FINAL VALIDATED BLIND FFT VERIFICATION</x:v>
      </x:c>
      <x:c r="C3579" t="str">
        <x:v>Pasted text(56).txt</x:v>
      </x:c>
    </x:row>
    <x:row r="3580">
      <x:c r="A3580" t="n">
        <x:v>3579</x:v>
      </x:c>
      <x:c r="B3580" s="106" t="str">
        <x:v>Commanded frequency: 268.00000 Hz</x:v>
      </x:c>
      <x:c r="C3580" t="str">
        <x:v>Pasted text(56).txt</x:v>
      </x:c>
    </x:row>
    <x:row r="3581">
      <x:c r="A3581" t="n">
        <x:v>3580</x:v>
      </x:c>
      <x:c r="B3581" s="106" t="str">
        <x:v>Accepted DAC: 10.00</x:v>
      </x:c>
      <x:c r="C3581" t="str">
        <x:v>Pasted text(56).txt</x:v>
      </x:c>
    </x:row>
    <x:row r="3582">
      <x:c r="A3582" t="n">
        <x:v>3581</x:v>
      </x:c>
      <x:c r="B3582" s="106" t="str">
        <x:v>Axis,Frequency_Hz,Amplitude_mps2,SNR_dB,Status</x:v>
      </x:c>
      <x:c r="C3582" t="str">
        <x:v>Pasted text(56).txt</x:v>
      </x:c>
    </x:row>
    <x:row r="3583">
      <x:c r="A3583" t="n">
        <x:v>3582</x:v>
      </x:c>
      <x:c r="B3583" s="106" t="str">
        <x:v>X,268.02622,0.80998,31.80,VALID</x:v>
      </x:c>
      <x:c r="C3583" t="str">
        <x:v>Pasted text(56).txt</x:v>
      </x:c>
    </x:row>
    <x:row r="3584">
      <x:c r="A3584" t="n">
        <x:v>3583</x:v>
      </x:c>
      <x:c r="B3584" s="106" t="str">
        <x:v>Y,268.06146,0.22000,22.90,VALID</x:v>
      </x:c>
      <x:c r="C3584" t="str">
        <x:v>Pasted text(56).txt</x:v>
      </x:c>
    </x:row>
    <x:row r="3585">
      <x:c r="A3585" t="n">
        <x:v>3584</x:v>
      </x:c>
      <x:c r="B3585" s="106" t="str">
        <x:v>Z,268.02158,0.38669,26.54,VALID</x:v>
      </x:c>
      <x:c r="C3585" t="str">
        <x:v>Pasted text(56).txt</x:v>
      </x:c>
    </x:row>
    <x:row r="3586">
      <x:c r="A3586" t="n">
        <x:v>3585</x:v>
      </x:c>
      <x:c r="B3586" s="106" t="str">
        <x:v>Combined frequency: 268.02740 Hz | difference 0.02740 Hz</x:v>
      </x:c>
      <x:c r="C3586" t="str">
        <x:v>Pasted text(56).txt</x:v>
      </x:c>
    </x:row>
    <x:row r="3587">
      <x:c r="A3587" t="n">
        <x:v>3586</x:v>
      </x:c>
      <x:c r="B3587" s="106" t="str">
        <x:v>Combined X/Y/Z/TOTAL: 0.73990 / 0.20308 / 0.35282 / 0.84450</x:v>
      </x:c>
      <x:c r="C3587" t="str">
        <x:v>Pasted text(56).txt</x:v>
      </x:c>
    </x:row>
    <x:row r="3588">
      <x:c r="A3588" t="n">
        <x:v>3587</x:v>
      </x:c>
      <x:c r="B3588" s="106" t="str">
        <x:v>SNR: 29.24 dB | dominant axis X</x:v>
      </x:c>
      <x:c r="C3588" t="str">
        <x:v>Pasted text(56).txt</x:v>
      </x:c>
    </x:row>
    <x:row r="3589">
      <x:c r="A3589" t="n">
        <x:v>3588</x:v>
      </x:c>
      <x:c r="B3589" s="106" t="str">
        <x:v>Frequency verification: PASS</x:v>
      </x:c>
      <x:c r="C3589" t="str">
        <x:v>Pasted text(56).txt</x:v>
      </x:c>
    </x:row>
    <x:row r="3590">
      <x:c r="A3590" t="n">
        <x:v>3589</x:v>
      </x:c>
      <x:c r="B3590" s="106" t="str">
        <x:v>Y/Z dominance: DIAGNOSTIC ONLY — ignored for pass/fail</x:v>
      </x:c>
      <x:c r="C3590" t="str">
        <x:v>Pasted text(56).txt</x:v>
      </x:c>
    </x:row>
    <x:row r="3591">
      <x:c r="A3591" t="n">
        <x:v>3590</x:v>
      </x:c>
      <x:c r="B3591" s="106" t="str"/>
      <x:c r="C3591" t="str">
        <x:v>Pasted text(56).txt</x:v>
      </x:c>
    </x:row>
    <x:row r="3592">
      <x:c r="A3592" t="n">
        <x:v>3591</x:v>
      </x:c>
      <x:c r="B3592" s="106" t="str">
        <x:v>FIXED-DAC HOLD VALIDATION</x:v>
      </x:c>
      <x:c r="C3592" t="str">
        <x:v>Pasted text(56).txt</x:v>
      </x:c>
    </x:row>
    <x:row r="3593">
      <x:c r="A3593" t="n">
        <x:v>3592</x:v>
      </x:c>
      <x:c r="B3593" s="106" t="str">
        <x:v>DAC remains fixed at 10.00 for 10 records.</x:v>
      </x:c>
      <x:c r="C3593" t="str">
        <x:v>Pasted text(56).txt</x:v>
      </x:c>
    </x:row>
    <x:row r="3594">
      <x:c r="A3594" t="n">
        <x:v>3593</x:v>
      </x:c>
      <x:c r="B3594" s="106" t="str">
        <x:v>HOLD | point 1 | DAC 10.00 | CTRL X 0.90622 | X 0.89654 | Y 0.22204 | Z 0.41948 | TOTAL 1.01457 | error 1.82 % | MAD 0.52 % | CV 2.19 % | coh 93.0 % | dominant X | axis fraction 100.0 % | IN TARGET BAND</x:v>
      </x:c>
      <x:c r="C3594" t="str">
        <x:v>Pasted text(56).txt</x:v>
      </x:c>
    </x:row>
    <x:row r="3595">
      <x:c r="A3595" t="n">
        <x:v>3594</x:v>
      </x:c>
      <x:c r="B3595" s="106" t="str">
        <x:v>HOLD | point 2 | DAC 10.00 | CTRL X 0.88325 | X 0.88714 | Y 0.24427 | Z 0.42712 | TOTAL 1.01485 | error -0.76 % | MAD 0.65 % | CV 1.16 % | coh 92.1 % | dominant X | axis fraction 100.0 % | IN TARGET BAND</x:v>
      </x:c>
      <x:c r="C3595" t="str">
        <x:v>Pasted text(56).txt</x:v>
      </x:c>
    </x:row>
    <x:row r="3596">
      <x:c r="A3596" t="n">
        <x:v>3595</x:v>
      </x:c>
      <x:c r="B3596" s="106" t="str">
        <x:v>HOLD | point 3 | DAC 10.00 | CTRL X 0.89420 | X 0.88939 | Y 0.21823 | Z 0.41886 | TOTAL 1.00712 | error 0.47 % | MAD 2.00 % | CV 2.22 % | coh 92.8 % | dominant X | axis fraction 100.0 % | IN TARGET BAND</x:v>
      </x:c>
      <x:c r="C3596" t="str">
        <x:v>Pasted text(56).txt</x:v>
      </x:c>
    </x:row>
    <x:row r="3597">
      <x:c r="A3597" t="n">
        <x:v>3596</x:v>
      </x:c>
      <x:c r="B3597" s="106" t="str">
        <x:v>HOLD | point 4 | DAC 10.00 | CTRL X 0.87297 | X 0.87591 | Y 0.24024 | Z 0.43283 | TOTAL 1.00624 | error -1.91 % | MAD 2.33 % | CV 2.09 % | coh 92.0 % | dominant X | axis fraction 100.0 % | IN TARGET BAND</x:v>
      </x:c>
      <x:c r="C3597" t="str">
        <x:v>Pasted text(56).txt</x:v>
      </x:c>
    </x:row>
    <x:row r="3598">
      <x:c r="A3598" t="n">
        <x:v>3597</x:v>
      </x:c>
      <x:c r="B3598" s="106" t="str">
        <x:v>HOLD | point 5 | DAC 10.00 | CTRL X 0.89088 | X 0.88594 | Y 0.23069 | Z 0.43562 | TOTAL 1.01390 | error 0.10 % | MAD 0.93 % | CV 1.55 % | coh 92.6 % | dominant X | axis fraction 100.0 % | IN TARGET BAND</x:v>
      </x:c>
      <x:c r="C3598" t="str">
        <x:v>Pasted text(56).txt</x:v>
      </x:c>
    </x:row>
    <x:row r="3599">
      <x:c r="A3599" t="n">
        <x:v>3598</x:v>
      </x:c>
      <x:c r="B3599" s="106" t="str">
        <x:v>HOLD | point 6 | DAC 10.00 | CTRL X 0.88857 | X 0.89019 | Y 0.21345 | Z 0.42428 | TOTAL 1.00910 | error -0.16 % | MAD 1.37 % | CV 1.20 % | coh 91.7 % | dominant X | axis fraction 100.0 % | IN TARGET BAND</x:v>
      </x:c>
      <x:c r="C3599" t="str">
        <x:v>Pasted text(56).txt</x:v>
      </x:c>
    </x:row>
    <x:row r="3600">
      <x:c r="A3600" t="n">
        <x:v>3599</x:v>
      </x:c>
      <x:c r="B3600" s="106" t="str">
        <x:v>HOLD | point 7 | DAC 10.00 | CTRL X 0.89519 | X 0.88861 | Y 0.21843 | Z 0.42086 | TOTAL 1.00751 | error 0.58 % | MAD 0.62 % | CV 1.66 % | coh 92.3 % | dominant X | axis fraction 100.0 % | IN TARGET BAND</x:v>
      </x:c>
      <x:c r="C3600" t="str">
        <x:v>Pasted text(56).txt</x:v>
      </x:c>
    </x:row>
    <x:row r="3601">
      <x:c r="A3601" t="n">
        <x:v>3600</x:v>
      </x:c>
      <x:c r="B3601" s="106" t="str">
        <x:v>HOLD | point 8 | DAC 10.00 | CTRL X 0.88842 | X 0.89260 | Y 0.23608 | Z 0.43515 | TOTAL 1.02094 | error -0.18 % | MAD 0.04 % | CV 0.83 % | coh 92.8 % | dominant X | axis fraction 100.0 % | IN TARGET BAND</x:v>
      </x:c>
      <x:c r="C3601" t="str">
        <x:v>Pasted text(56).txt</x:v>
      </x:c>
    </x:row>
    <x:row r="3602">
      <x:c r="A3602" t="n">
        <x:v>3601</x:v>
      </x:c>
      <x:c r="B3602" s="106" t="str">
        <x:v>HOLD | point 9 | DAC 10.00 | CTRL X 0.89052 | X 0.88762 | Y 0.22206 | Z 0.41580 | TOTAL 1.00518 | error 0.06 % | MAD 3.81 % | CV 3.08 % | coh 91.9 % | dominant X | axis fraction 100.0 % | IN TARGET BAND</x:v>
      </x:c>
      <x:c r="C3602" t="str">
        <x:v>Pasted text(56).txt</x:v>
      </x:c>
    </x:row>
    <x:row r="3603">
      <x:c r="A3603" t="n">
        <x:v>3602</x:v>
      </x:c>
      <x:c r="B3603" s="106" t="str">
        <x:v>HOLD | point 10 | DAC 10.00 | CTRL X 0.89253 | X 0.89591 | Y 0.24748 | Z 0.40676 | TOTAL 1.01460 | error 0.28 % | MAD 2.36 % | CV 2.18 % | coh 92.6 % | dominant X | axis fraction 100.0 % | IN TARGET BAND</x:v>
      </x:c>
      <x:c r="C3603" t="str">
        <x:v>Pasted text(56).txt</x:v>
      </x:c>
    </x:row>
    <x:row r="3604">
      <x:c r="A3604" t="n">
        <x:v>3603</x:v>
      </x:c>
      <x:c r="B3604" s="106" t="str"/>
      <x:c r="C3604" t="str">
        <x:v>Pasted text(56).txt</x:v>
      </x:c>
    </x:row>
    <x:row r="3605">
      <x:c r="A3605" t="n">
        <x:v>3604</x:v>
      </x:c>
      <x:c r="B3605" s="106" t="str">
        <x:v>HOLD SUMMARY</x:v>
      </x:c>
      <x:c r="C3605" t="str">
        <x:v>Pasted text(56).txt</x:v>
      </x:c>
    </x:row>
    <x:row r="3606">
      <x:c r="A3606" t="n">
        <x:v>3605</x:v>
      </x:c>
      <x:c r="B3606" s="106" t="str">
        <x:v>Valid / requested: 10 / 10</x:v>
      </x:c>
      <x:c r="C3606" t="str">
        <x:v>Pasted text(56).txt</x:v>
      </x:c>
    </x:row>
    <x:row r="3607">
      <x:c r="A3607" t="n">
        <x:v>3606</x:v>
      </x:c>
      <x:c r="B3607" s="106" t="str">
        <x:v>In band / requested: 10 / 10 = 100.0 %</x:v>
      </x:c>
      <x:c r="C3607" t="str">
        <x:v>Pasted text(56).txt</x:v>
      </x:c>
    </x:row>
    <x:row r="3608">
      <x:c r="A3608" t="n">
        <x:v>3607</x:v>
      </x:c>
      <x:c r="B3608" s="106" t="str">
        <x:v>Mean / SD / CV: 0.89028 / 0.00853 / 0.96 %</x:v>
      </x:c>
      <x:c r="C3608" t="str">
        <x:v>Pasted text(56).txt</x:v>
      </x:c>
    </x:row>
    <x:row r="3609">
      <x:c r="A3609" t="n">
        <x:v>3608</x:v>
      </x:c>
      <x:c r="B3609" s="106" t="str">
        <x:v>Min / Max: 0.87297 / 0.90622</x:v>
      </x:c>
      <x:c r="C3609" t="str">
        <x:v>Pasted text(56).txt</x:v>
      </x:c>
    </x:row>
    <x:row r="3610">
      <x:c r="A3610" t="n">
        <x:v>3609</x:v>
      </x:c>
      <x:c r="B3610" s="106" t="str">
        <x:v>HOLD RESULT: PASS</x:v>
      </x:c>
      <x:c r="C3610" t="str">
        <x:v>Pasted text(56).txt</x:v>
      </x:c>
    </x:row>
    <x:row r="3611">
      <x:c r="A3611" t="n">
        <x:v>3610</x:v>
      </x:c>
      <x:c r="B3611" s="106" t="str"/>
      <x:c r="C3611" t="str">
        <x:v>Pasted text(56).txt</x:v>
      </x:c>
    </x:row>
    <x:row r="3612">
      <x:c r="A3612" t="n">
        <x:v>3611</x:v>
      </x:c>
      <x:c r="B3612" s="106" t="str">
        <x:v>RUN RESULT: PASS</x:v>
      </x:c>
      <x:c r="C3612" t="str">
        <x:v>Pasted text(56).txt</x:v>
      </x:c>
    </x:row>
    <x:row r="3613">
      <x:c r="A3613" t="n">
        <x:v>3612</x:v>
      </x:c>
      <x:c r="B3613" s="106" t="str">
        <x:v>Selected DAC: 10.00</x:v>
      </x:c>
      <x:c r="C3613" t="str">
        <x:v>Pasted text(56).txt</x:v>
      </x:c>
    </x:row>
    <x:row r="3614">
      <x:c r="A3614" t="n">
        <x:v>3613</x:v>
      </x:c>
      <x:c r="B3614" s="106" t="str">
        <x:v>Validated amplitude: 0.88539 m/s^2 | error -0.52 %</x:v>
      </x:c>
      <x:c r="C3614" t="str">
        <x:v>Pasted text(56).txt</x:v>
      </x:c>
    </x:row>
    <x:row r="3615">
      <x:c r="A3615" t="n">
        <x:v>3614</x:v>
      </x:c>
      <x:c r="B3615" s="106" t="str">
        <x:v>FFT frequency: 268.02740 Hz | difference 0.02740 Hz</x:v>
      </x:c>
      <x:c r="C3615" t="str">
        <x:v>Pasted text(56).txt</x:v>
      </x:c>
    </x:row>
    <x:row r="3616">
      <x:c r="A3616" t="n">
        <x:v>3615</x:v>
      </x:c>
      <x:c r="B3616" s="106" t="str"/>
      <x:c r="C3616" t="str">
        <x:v>Pasted text(56).txt</x:v>
      </x:c>
    </x:row>
    <x:row r="3617">
      <x:c r="A3617" t="n">
        <x:v>3616</x:v>
      </x:c>
      <x:c r="B3617" s="106" t="str">
        <x:v>VISATON OFF. RESTING 5.0 s BEFORE THE NEXT COMPLETELY FRESH RUN.</x:v>
      </x:c>
      <x:c r="C3617" t="str">
        <x:v>Pasted text(56).txt</x:v>
      </x:c>
    </x:row>
    <x:row r="3618">
      <x:c r="A3618" t="n">
        <x:v>3617</x:v>
      </x:c>
      <x:c r="B3618" s="106" t="str"/>
      <x:c r="C3618" t="str">
        <x:v>Pasted text(56).txt</x:v>
      </x:c>
    </x:row>
    <x:row r="3619">
      <x:c r="A3619" t="n">
        <x:v>3618</x:v>
      </x:c>
      <x:c r="B3619" s="106" t="str">
        <x:v>################################################################################</x:v>
      </x:c>
      <x:c r="C3619" t="str">
        <x:v>Pasted text(56).txt</x:v>
      </x:c>
    </x:row>
    <x:row r="3620">
      <x:c r="A3620" t="n">
        <x:v>3619</x:v>
      </x:c>
      <x:c r="B3620" s="106" t="str">
        <x:v>INDEPENDENT TARGET-AMPLITUDE RUN 2 OF 5</x:v>
      </x:c>
      <x:c r="C3620" t="str">
        <x:v>Pasted text(56).txt</x:v>
      </x:c>
    </x:row>
    <x:row r="3621">
      <x:c r="A3621" t="n">
        <x:v>3620</x:v>
      </x:c>
      <x:c r="B3621" s="106" t="str">
        <x:v>################################################################################</x:v>
      </x:c>
      <x:c r="C3621" t="str">
        <x:v>Pasted text(56).txt</x:v>
      </x:c>
    </x:row>
    <x:row r="3622">
      <x:c r="A3622" t="n">
        <x:v>3621</x:v>
      </x:c>
      <x:c r="B3622" s="106" t="str">
        <x:v>Frequency: 268.00000 Hz</x:v>
      </x:c>
      <x:c r="C3622" t="str">
        <x:v>Pasted text(56).txt</x:v>
      </x:c>
    </x:row>
    <x:row r="3623">
      <x:c r="A3623" t="n">
        <x:v>3622</x:v>
      </x:c>
      <x:c r="B3623" s="106" t="str">
        <x:v>Target X amplitude: 0.89000 m/s^2 peak, tolerance +/-7.50 %</x:v>
      </x:c>
      <x:c r="C3623" t="str">
        <x:v>Pasted text(56).txt</x:v>
      </x:c>
    </x:row>
    <x:row r="3624">
      <x:c r="A3624" t="n">
        <x:v>3623</x:v>
      </x:c>
      <x:c r="B3624" s="106" t="str">
        <x:v>This run starts from DAC 1.00 and ignores every earlier selected DAC.</x:v>
      </x:c>
      <x:c r="C3624" t="str">
        <x:v>Pasted text(56).txt</x:v>
      </x:c>
    </x:row>
    <x:row r="3625">
      <x:c r="A3625" t="n">
        <x:v>3624</x:v>
      </x:c>
      <x:c r="B3625" s="106" t="str">
        <x:v>ADXL2 DEVID/DATA_FORMAT/BW_RATE/POWER_CTL: 0xE5 / 0xB / 0xE / 0x8</x:v>
      </x:c>
      <x:c r="C3625" t="str">
        <x:v>Pasted text(56).txt</x:v>
      </x:c>
    </x:row>
    <x:row r="3626">
      <x:c r="A3626" t="n">
        <x:v>3625</x:v>
      </x:c>
      <x:c r="B3626" s="106" t="str"/>
      <x:c r="C3626" t="str">
        <x:v>Pasted text(56).txt</x:v>
      </x:c>
    </x:row>
    <x:row r="3627">
      <x:c r="A3627" t="n">
        <x:v>3626</x:v>
      </x:c>
      <x:c r="B3627" s="106" t="str">
        <x:v>ACQUISITION ATTEMPT 1 OF 2</x:v>
      </x:c>
      <x:c r="C3627" t="str">
        <x:v>Pasted text(56).txt</x:v>
      </x:c>
    </x:row>
    <x:row r="3628">
      <x:c r="A3628" t="n">
        <x:v>3627</x:v>
      </x:c>
      <x:c r="B3628" s="106" t="str"/>
      <x:c r="C3628" t="str">
        <x:v>Pasted text(56).txt</x:v>
      </x:c>
    </x:row>
    <x:row r="3629">
      <x:c r="A3629" t="n">
        <x:v>3628</x:v>
      </x:c>
      <x:c r="B3629" s="106" t="str">
        <x:v>FRESH X-AXIS SEARCH FROM DAC 1.00 — OLD DAC VALUES ARE NOT USED</x:v>
      </x:c>
      <x:c r="C3629" t="str">
        <x:v>Pasted text(56).txt</x:v>
      </x:c>
    </x:row>
    <x:row r="3630">
      <x:c r="A3630" t="n">
        <x:v>3629</x:v>
      </x:c>
      <x:c r="B3630" s="106" t="str">
        <x:v>Y/Z are diagnostic only and cannot abort this search.</x:v>
      </x:c>
      <x:c r="C3630" t="str">
        <x:v>Pasted text(56).txt</x:v>
      </x:c>
    </x:row>
    <x:row r="3631">
      <x:c r="A3631" t="n">
        <x:v>3630</x:v>
      </x:c>
      <x:c r="B3631" s="106" t="str">
        <x:v>A real SPI fault, clipping, safety limit or confirmed X-response collapse will stop it.</x:v>
      </x:c>
      <x:c r="C3631" t="str">
        <x:v>Pasted text(56).txt</x:v>
      </x:c>
    </x:row>
    <x:row r="3632">
      <x:c r="A3632" t="n">
        <x:v>3631</x:v>
      </x:c>
      <x:c r="B3632" s="106" t="str">
        <x:v>SEARCH | point 1 | DAC 1.00 | CTRL X 0.01333 | X 0.01293 | Y 0.02566 | Z 0.01850 | TOTAL 0.03444 | error -98.50 % | MAD 8.92 % | CV 4.39 % | coh 7.6 % | dominant Y | axis fraction 50.4 % | BELOW MEASUREMENT FLOOR — SEARCH CONTINUES</x:v>
      </x:c>
      <x:c r="C3632" t="str">
        <x:v>Pasted text(56).txt</x:v>
      </x:c>
    </x:row>
    <x:row r="3633">
      <x:c r="A3633" t="n">
        <x:v>3632</x:v>
      </x:c>
      <x:c r="B3633" s="106" t="str">
        <x:v>SEARCH | point 2 | DAC 3.00 | CTRL X 0.16026 | X 0.15669 | Y 0.07215 | Z 0.08209 | TOTAL 0.19241 | error -81.99 % | MAD 9.88 % | CV 10.41 % | coh 63.4 % | dominant X | axis fraction 100.0 % | VALID</x:v>
      </x:c>
      <x:c r="C3633" t="str">
        <x:v>Pasted text(56).txt</x:v>
      </x:c>
    </x:row>
    <x:row r="3634">
      <x:c r="A3634" t="n">
        <x:v>3633</x:v>
      </x:c>
      <x:c r="B3634" s="106" t="str">
        <x:v>SEARCH | point 3 | DAC 5.00 | CTRL X 0.34584 | X 0.34350 | Y 0.08942 | Z 0.20758 | TOTAL 0.41191 | error -61.14 % | MAD 2.34 % | CV 2.68 % | coh 81.6 % | dominant X | axis fraction 100.0 % | VALID</x:v>
      </x:c>
      <x:c r="C3634" t="str">
        <x:v>Pasted text(56).txt</x:v>
      </x:c>
    </x:row>
    <x:row r="3635">
      <x:c r="A3635" t="n">
        <x:v>3634</x:v>
      </x:c>
      <x:c r="B3635" s="106" t="str">
        <x:v>SEARCH | point 4 | DAC 6.00 | CTRL X 0.45392 | X 0.45710 | Y 0.13195 | Z 0.24284 | TOTAL 0.53446 | error -49.00 % | MAD 1.74 % | CV 2.29 % | coh 86.6 % | dominant X | axis fraction 100.0 % | VALID</x:v>
      </x:c>
      <x:c r="C3635" t="str">
        <x:v>Pasted text(56).txt</x:v>
      </x:c>
    </x:row>
    <x:row r="3636">
      <x:c r="A3636" t="n">
        <x:v>3635</x:v>
      </x:c>
      <x:c r="B3636" s="106" t="str">
        <x:v>SEARCH | point 5 | DAC 7.00 | CTRL X 0.56182 | X 0.56199 | Y 0.15349 | Z 0.32593 | TOTAL 0.66937 | error -36.87 % | MAD 5.39 % | CV 3.68 % | coh 88.8 % | dominant X | axis fraction 100.0 % | VALID</x:v>
      </x:c>
      <x:c r="C3636" t="str">
        <x:v>Pasted text(56).txt</x:v>
      </x:c>
    </x:row>
    <x:row r="3637">
      <x:c r="A3637" t="n">
        <x:v>3636</x:v>
      </x:c>
      <x:c r="B3637" s="106" t="str">
        <x:v>SEARCH | point 6 | DAC 7.50 | CTRL X 0.58612 | X 0.58814 | Y 0.15267 | Z 0.31415 | TOTAL 0.68405 | error -34.14 % | MAD 0.35 % | CV 0.81 % | coh 87.9 % | dominant X | axis fraction 100.0 % | VALID</x:v>
      </x:c>
      <x:c r="C3637" t="str">
        <x:v>Pasted text(56).txt</x:v>
      </x:c>
    </x:row>
    <x:row r="3638">
      <x:c r="A3638" t="n">
        <x:v>3637</x:v>
      </x:c>
      <x:c r="B3638" s="106" t="str">
        <x:v>SEARCH | point 7 | DAC 8.00 | CTRL X 0.67208 | X 0.67761 | Y 0.17911 | Z 0.35139 | TOTAL 0.78423 | error -24.49 % | MAD 1.35 % | CV 2.24 % | coh 91.4 % | dominant X | axis fraction 100.0 % | VALID</x:v>
      </x:c>
      <x:c r="C3638" t="str">
        <x:v>Pasted text(56).txt</x:v>
      </x:c>
    </x:row>
    <x:row r="3639">
      <x:c r="A3639" t="n">
        <x:v>3638</x:v>
      </x:c>
      <x:c r="B3639" s="106" t="str">
        <x:v>SEARCH | point 8 | DAC 8.50 | CTRL X 0.70692 | X 0.71161 | Y 0.18503 | Z 0.36292 | TOTAL 0.82024 | error -20.57 % | MAD 0.77 % | CV 1.61 % | coh 90.7 % | dominant X | axis fraction 100.0 % | VALID</x:v>
      </x:c>
      <x:c r="C3639" t="str">
        <x:v>Pasted text(56).txt</x:v>
      </x:c>
    </x:row>
    <x:row r="3640">
      <x:c r="A3640" t="n">
        <x:v>3639</x:v>
      </x:c>
      <x:c r="B3640" s="106" t="str">
        <x:v>SEARCH | point 9 | DAC 9.00 | CTRL X 0.76907 | X 0.76588 | Y 0.21900 | Z 0.41240 | TOTAL 0.89752 | error -13.59 % | MAD 0.90 % | CV 1.29 % | coh 90.9 % | dominant X | axis fraction 100.0 % | VALID</x:v>
      </x:c>
      <x:c r="C3640" t="str">
        <x:v>Pasted text(56).txt</x:v>
      </x:c>
    </x:row>
    <x:row r="3641">
      <x:c r="A3641" t="n">
        <x:v>3640</x:v>
      </x:c>
      <x:c r="B3641" s="106" t="str">
        <x:v>SEARCH | point 10 | DAC 9.25 | CTRL X 0.79214 | X 0.79109 | Y 0.21318 | Z 0.39512 | TOTAL 0.90967 | error -11.00 % | MAD 2.54 % | CV 1.92 % | coh 91.2 % | dominant X | axis fraction 100.0 % | VALID</x:v>
      </x:c>
      <x:c r="C3641" t="str">
        <x:v>Pasted text(56).txt</x:v>
      </x:c>
    </x:row>
    <x:row r="3642">
      <x:c r="A3642" t="n">
        <x:v>3641</x:v>
      </x:c>
      <x:c r="B3642" s="106" t="str">
        <x:v>SEARCH | point 11 | DAC 9.50 | CTRL X 0.83671 | X 0.83349 | Y 0.23588 | Z 0.38100 | TOTAL 0.94662 | error -5.99 % | MAD 0.07 % | CV 0.71 % | coh 94.3 % | dominant X | axis fraction 100.0 % | IN TARGET BAND</x:v>
      </x:c>
      <x:c r="C3642" t="str">
        <x:v>Pasted text(56).txt</x:v>
      </x:c>
    </x:row>
    <x:row r="3643">
      <x:c r="A3643" t="n">
        <x:v>3642</x:v>
      </x:c>
      <x:c r="B3643" s="106" t="str"/>
      <x:c r="C3643" t="str">
        <x:v>Pasted text(56).txt</x:v>
      </x:c>
    </x:row>
    <x:row r="3644">
      <x:c r="A3644" t="n">
        <x:v>3643</x:v>
      </x:c>
      <x:c r="B3644" s="106" t="str">
        <x:v>LOCAL 0.25-DAC X-AXIS FINE SCAN</x:v>
      </x:c>
      <x:c r="C3644" t="str">
        <x:v>Pasted text(56).txt</x:v>
      </x:c>
    </x:row>
    <x:row r="3645">
      <x:c r="A3645" t="n">
        <x:v>3644</x:v>
      </x:c>
      <x:c r="B3645" s="106" t="str">
        <x:v>Only a valid point actually inside the X target band may be selected.</x:v>
      </x:c>
      <x:c r="C3645" t="str">
        <x:v>Pasted text(56).txt</x:v>
      </x:c>
    </x:row>
    <x:row r="3646">
      <x:c r="A3646" t="n">
        <x:v>3645</x:v>
      </x:c>
      <x:c r="B3646" s="106" t="str">
        <x:v>FINE | point 1 | DAC 8.50 | CTRL X 0.70815 | X 0.70460 | Y 0.19229 | Z 0.35480 | TOTAL 0.81226 | error -20.43 % | MAD 0.85 % | CV 1.40 % | coh 90.5 % | dominant X | axis fraction 100.0 % | VALID</x:v>
      </x:c>
      <x:c r="C3646" t="str">
        <x:v>Pasted text(56).txt</x:v>
      </x:c>
    </x:row>
    <x:row r="3647">
      <x:c r="A3647" t="n">
        <x:v>3646</x:v>
      </x:c>
      <x:c r="B3647" s="106" t="str">
        <x:v>FINE | point 2 | DAC 8.75 | CTRL X 0.74192 | X 0.74121 | Y 0.19381 | Z 0.37573 | TOTAL 0.85371 | error -16.64 % | MAD 0.70 % | CV 0.63 % | coh 91.1 % | dominant X | axis fraction 100.0 % | VALID</x:v>
      </x:c>
      <x:c r="C3647" t="str">
        <x:v>Pasted text(56).txt</x:v>
      </x:c>
    </x:row>
    <x:row r="3648">
      <x:c r="A3648" t="n">
        <x:v>3647</x:v>
      </x:c>
      <x:c r="B3648" s="106" t="str">
        <x:v>FINE | point 3 | DAC 9.00 | CTRL X 0.77248 | X 0.77152 | Y 0.20367 | Z 0.37859 | TOTAL 0.88330 | error -13.20 % | MAD 1.98 % | CV 1.53 % | coh 90.3 % | dominant X | axis fraction 100.0 % | VALID</x:v>
      </x:c>
      <x:c r="C3648" t="str">
        <x:v>Pasted text(56).txt</x:v>
      </x:c>
    </x:row>
    <x:row r="3649">
      <x:c r="A3649" t="n">
        <x:v>3648</x:v>
      </x:c>
      <x:c r="B3649" s="106" t="str">
        <x:v>FINE | point 4 | DAC 9.25 | CTRL X 0.81014 | X 0.81059 | Y 0.23345 | Z 0.38014 | TOTAL 0.92543 | error -8.97 % | MAD 0.10 % | CV 0.16 % | coh 93.2 % | dominant X | axis fraction 100.0 % | VALID</x:v>
      </x:c>
      <x:c r="C3649" t="str">
        <x:v>Pasted text(56).txt</x:v>
      </x:c>
    </x:row>
    <x:row r="3650">
      <x:c r="A3650" t="n">
        <x:v>3649</x:v>
      </x:c>
      <x:c r="B3650" s="106" t="str">
        <x:v>FINE | point 5 | DAC 9.50 | CTRL X 0.80415 | X 0.80766 | Y 0.22356 | Z 0.38625 | TOTAL 0.92310 | error -9.65 % | MAD 0.78 % | CV 1.23 % | coh 92.4 % | dominant X | axis fraction 100.0 % | VALID</x:v>
      </x:c>
      <x:c r="C3650" t="str">
        <x:v>Pasted text(56).txt</x:v>
      </x:c>
    </x:row>
    <x:row r="3651">
      <x:c r="A3651" t="n">
        <x:v>3650</x:v>
      </x:c>
      <x:c r="B3651" s="106" t="str">
        <x:v>FINE | point 6 | DAC 9.75 | CTRL X 0.73451 | X 0.76188 | Y 0.21535 | Z 0.37572 | TOTAL 0.87648 | error -17.47 % | MAD 3.05 % | CV 8.00 % | coh 92.1 % | dominant X | axis fraction 100.0 % | VALID</x:v>
      </x:c>
      <x:c r="C3651" t="str">
        <x:v>Pasted text(56).txt</x:v>
      </x:c>
    </x:row>
    <x:row r="3652">
      <x:c r="A3652" t="n">
        <x:v>3651</x:v>
      </x:c>
      <x:c r="B3652" s="106" t="str">
        <x:v>FINE | point 7 | DAC 10.00 | CTRL X 0.72652 | X 0.72596 | Y 0.23912 | Z 0.36576 | TOTAL 0.84742 | error -18.37 % | MAD 0.42 % | CV 0.40 % | coh 91.4 % | dominant X | axis fraction 100.0 % | VALID</x:v>
      </x:c>
      <x:c r="C3652" t="str">
        <x:v>Pasted text(56).txt</x:v>
      </x:c>
    </x:row>
    <x:row r="3653">
      <x:c r="A3653" t="n">
        <x:v>3652</x:v>
      </x:c>
      <x:c r="B3653" s="106" t="str">
        <x:v>FINE | point 8 | DAC 10.25 | CTRL X 0.56714 | X 0.55765 | Y 0.26670 | Z 0.25704 | TOTAL 0.66986 | error -36.28 % | MAD 4.96 % | CV 2.41 % | coh 85.3 % | dominant X | axis fraction 100.0 % | VALID</x:v>
      </x:c>
      <x:c r="C3653" t="str">
        <x:v>Pasted text(56).txt</x:v>
      </x:c>
    </x:row>
    <x:row r="3654">
      <x:c r="A3654" t="n">
        <x:v>3653</x:v>
      </x:c>
      <x:c r="B3654" s="106" t="str">
        <x:v>FINE | point 9 | DAC 10.50 | CTRL X 0.51903 | X 0.51356 | Y 0.24720 | Z 0.21095 | TOTAL 0.60939 | error -41.68 % | MAD 3.12 % | CV 1.51 % | coh 87.9 % | dominant X | axis fraction 100.0 % | VALID</x:v>
      </x:c>
      <x:c r="C3654" t="str">
        <x:v>Pasted text(56).txt</x:v>
      </x:c>
    </x:row>
    <x:row r="3655">
      <x:c r="A3655" t="n">
        <x:v>3654</x:v>
      </x:c>
      <x:c r="B3655" s="106" t="str"/>
      <x:c r="C3655" t="str">
        <x:v>Pasted text(56).txt</x:v>
      </x:c>
    </x:row>
    <x:row r="3656">
      <x:c r="A3656" t="n">
        <x:v>3655</x:v>
      </x:c>
      <x:c r="B3656" s="106" t="str">
        <x:v>ACQUISITION ATTEMPT 2 OF 2</x:v>
      </x:c>
      <x:c r="C3656" t="str">
        <x:v>Pasted text(56).txt</x:v>
      </x:c>
    </x:row>
    <x:row r="3657">
      <x:c r="A3657" t="n">
        <x:v>3656</x:v>
      </x:c>
      <x:c r="B3657" s="106" t="str"/>
      <x:c r="C3657" t="str">
        <x:v>Pasted text(56).txt</x:v>
      </x:c>
    </x:row>
    <x:row r="3658">
      <x:c r="A3658" t="n">
        <x:v>3657</x:v>
      </x:c>
      <x:c r="B3658" s="106" t="str">
        <x:v>FRESH X-AXIS SEARCH FROM DAC 1.00 — OLD DAC VALUES ARE NOT USED</x:v>
      </x:c>
      <x:c r="C3658" t="str">
        <x:v>Pasted text(56).txt</x:v>
      </x:c>
    </x:row>
    <x:row r="3659">
      <x:c r="A3659" t="n">
        <x:v>3658</x:v>
      </x:c>
      <x:c r="B3659" s="106" t="str">
        <x:v>Y/Z are diagnostic only and cannot abort this search.</x:v>
      </x:c>
      <x:c r="C3659" t="str">
        <x:v>Pasted text(56).txt</x:v>
      </x:c>
    </x:row>
    <x:row r="3660">
      <x:c r="A3660" t="n">
        <x:v>3659</x:v>
      </x:c>
      <x:c r="B3660" s="106" t="str">
        <x:v>A real SPI fault, clipping, safety limit or confirmed X-response collapse will stop it.</x:v>
      </x:c>
      <x:c r="C3660" t="str">
        <x:v>Pasted text(56).txt</x:v>
      </x:c>
    </x:row>
    <x:row r="3661">
      <x:c r="A3661" t="n">
        <x:v>3660</x:v>
      </x:c>
      <x:c r="B3661" s="106" t="str">
        <x:v>SEARCH | point 1 | DAC 1.00 | CTRL X 0.01272 | X 0.01352 | Y 0.01433 | Z 0.02639 | TOTAL 0.03302 | error -98.57 % | MAD 18.72 % | CV 8.40 % | coh 7.8 % | dominant Z | axis fraction 51.2 % | BELOW MEASUREMENT FLOOR — SEARCH CONTINUES</x:v>
      </x:c>
      <x:c r="C3661" t="str">
        <x:v>Pasted text(56).txt</x:v>
      </x:c>
    </x:row>
    <x:row r="3662">
      <x:c r="A3662" t="n">
        <x:v>3661</x:v>
      </x:c>
      <x:c r="B3662" s="106" t="str">
        <x:v>SEARCH | point 2 | DAC 3.00 | CTRL X 0.06300 | X 0.05619 | Y 0.05322 | Z 0.04259 | TOTAL 0.08915 | error -92.92 % | MAD 32.08 % | CV 17.15 % | coh 26.5 % | dominant X | axis fraction 100.0 % | BELOW MEASUREMENT FLOOR — SEARCH CONTINUES</x:v>
      </x:c>
      <x:c r="C3662" t="str">
        <x:v>Pasted text(56).txt</x:v>
      </x:c>
    </x:row>
    <x:row r="3663">
      <x:c r="A3663" t="n">
        <x:v>3662</x:v>
      </x:c>
      <x:c r="B3663" s="106" t="str">
        <x:v>SEARCH | point 3 | DAC 5.00 | CTRL X 0.19245 | X 0.18746 | Y 0.10825 | Z 0.15364 | TOTAL 0.26616 | error -78.38 % | MAD 5.60 % | CV 8.21 % | coh 62.6 % | dominant X | axis fraction 100.0 % | VALID</x:v>
      </x:c>
      <x:c r="C3663" t="str">
        <x:v>Pasted text(56).txt</x:v>
      </x:c>
    </x:row>
    <x:row r="3664">
      <x:c r="A3664" t="n">
        <x:v>3663</x:v>
      </x:c>
      <x:c r="B3664" s="106" t="str">
        <x:v>SEARCH | point 4 | DAC 7.00 | CTRL X 0.32947 | X 0.34485 | Y 0.16771 | Z 0.16357 | TOTAL 0.42834 | error -62.98 % | MAD 6.11 % | CV 11.30 % | coh 79.9 % | dominant X | axis fraction 100.0 % | VALID</x:v>
      </x:c>
      <x:c r="C3664" t="str">
        <x:v>Pasted text(56).txt</x:v>
      </x:c>
    </x:row>
    <x:row r="3665">
      <x:c r="A3665" t="n">
        <x:v>3664</x:v>
      </x:c>
      <x:c r="B3665" s="106" t="str">
        <x:v>SEARCH | point 5 | DAC 8.00 | CTRL X 0.67388 | X 0.64966 | Y 0.16818 | Z 0.27139 | TOTAL 0.72424 | error -24.28 % | MAD 0.30 % | CV 6.64 % | coh 90.4 % | dominant X | axis fraction 100.0 % | VALID</x:v>
      </x:c>
      <x:c r="C3665" t="str">
        <x:v>Pasted text(56).txt</x:v>
      </x:c>
    </x:row>
    <x:row r="3666">
      <x:c r="A3666" t="n">
        <x:v>3665</x:v>
      </x:c>
      <x:c r="B3666" s="106" t="str">
        <x:v>SEARCH | point 6 | DAC 8.50 | CTRL X 0.71580 | X 0.71667 | Y 0.16769 | Z 0.30437 | TOTAL 0.79658 | error -19.57 % | MAD 0.43 % | CV 0.48 % | coh 91.6 % | dominant X | axis fraction 100.0 % | VALID</x:v>
      </x:c>
      <x:c r="C3666" t="str">
        <x:v>Pasted text(56).txt</x:v>
      </x:c>
    </x:row>
    <x:row r="3667">
      <x:c r="A3667" t="n">
        <x:v>3666</x:v>
      </x:c>
      <x:c r="B3667" s="106" t="str">
        <x:v>SEARCH | point 7 | DAC 9.00 | CTRL X 0.78427 | X 0.78639 | Y 0.18647 | Z 0.35743 | TOTAL 0.88383 | error -11.88 % | MAD 3.03 % | CV 2.45 % | coh 92.1 % | dominant X | axis fraction 100.0 % | VALID</x:v>
      </x:c>
      <x:c r="C3667" t="str">
        <x:v>Pasted text(56).txt</x:v>
      </x:c>
    </x:row>
    <x:row r="3668">
      <x:c r="A3668" t="n">
        <x:v>3667</x:v>
      </x:c>
      <x:c r="B3668" s="106" t="str">
        <x:v>SEARCH | point 8 | DAC 9.25 | CTRL X 0.78965 | X 0.78899 | Y 0.19306 | Z 0.34962 | TOTAL 0.88436 | error -11.28 % | MAD 1.76 % | CV 1.32 % | coh 91.8 % | dominant X | axis fraction 100.0 % | VALID</x:v>
      </x:c>
      <x:c r="C3668" t="str">
        <x:v>Pasted text(56).txt</x:v>
      </x:c>
    </x:row>
    <x:row r="3669">
      <x:c r="A3669" t="n">
        <x:v>3668</x:v>
      </x:c>
      <x:c r="B3669" s="106" t="str">
        <x:v>SEARCH | point 9 | DAC 9.50 | CTRL X 0.80244 | X 0.80532 | Y 0.17895 | Z 0.36931 | TOTAL 0.90420 | error -9.84 % | MAD 1.13 % | CV 1.33 % | coh 90.7 % | dominant X | axis fraction 100.0 % | VALID</x:v>
      </x:c>
      <x:c r="C3669" t="str">
        <x:v>Pasted text(56).txt</x:v>
      </x:c>
    </x:row>
    <x:row r="3670">
      <x:c r="A3670" t="n">
        <x:v>3669</x:v>
      </x:c>
      <x:c r="B3670" s="106" t="str">
        <x:v>SEARCH | point 10 | DAC 9.75 | CTRL X 0.85954 | X 0.86314 | Y 0.21345 | Z 0.37442 | TOTAL 0.96490 | error -3.42 % | MAD 0.53 % | CV 1.04 % | coh 92.8 % | dominant X | axis fraction 100.0 % | IN TARGET BAND</x:v>
      </x:c>
      <x:c r="C3670" t="str">
        <x:v>Pasted text(56).txt</x:v>
      </x:c>
    </x:row>
    <x:row r="3671">
      <x:c r="A3671" t="n">
        <x:v>3670</x:v>
      </x:c>
      <x:c r="B3671" s="106" t="str"/>
      <x:c r="C3671" t="str">
        <x:v>Pasted text(56).txt</x:v>
      </x:c>
    </x:row>
    <x:row r="3672">
      <x:c r="A3672" t="n">
        <x:v>3671</x:v>
      </x:c>
      <x:c r="B3672" s="106" t="str">
        <x:v>LOCAL 0.25-DAC X-AXIS FINE SCAN</x:v>
      </x:c>
      <x:c r="C3672" t="str">
        <x:v>Pasted text(56).txt</x:v>
      </x:c>
    </x:row>
    <x:row r="3673">
      <x:c r="A3673" t="n">
        <x:v>3672</x:v>
      </x:c>
      <x:c r="B3673" s="106" t="str">
        <x:v>Only a valid point actually inside the X target band may be selected.</x:v>
      </x:c>
      <x:c r="C3673" t="str">
        <x:v>Pasted text(56).txt</x:v>
      </x:c>
    </x:row>
    <x:row r="3674">
      <x:c r="A3674" t="n">
        <x:v>3673</x:v>
      </x:c>
      <x:c r="B3674" s="106" t="str">
        <x:v>FINE | point 1 | DAC 8.75 | CTRL X 0.74569 | X 0.74834 | Y 0.19371 | Z 0.34062 | TOTAL 0.84523 | error -16.21 % | MAD 2.09 % | CV 1.96 % | coh 90.8 % | dominant X | axis fraction 100.0 % | VALID</x:v>
      </x:c>
      <x:c r="C3674" t="str">
        <x:v>Pasted text(56).txt</x:v>
      </x:c>
    </x:row>
    <x:row r="3675">
      <x:c r="A3675" t="n">
        <x:v>3674</x:v>
      </x:c>
      <x:c r="B3675" s="106" t="str">
        <x:v>FINE | point 2 | DAC 9.00 | CTRL X 0.78457 | X 0.78690 | Y 0.18828 | Z 0.38844 | TOTAL 0.89783 | error -11.85 % | MAD 0.16 % | CV 0.61 % | coh 91.8 % | dominant X | axis fraction 100.0 % | VALID</x:v>
      </x:c>
      <x:c r="C3675" t="str">
        <x:v>Pasted text(56).txt</x:v>
      </x:c>
    </x:row>
    <x:row r="3676">
      <x:c r="A3676" t="n">
        <x:v>3675</x:v>
      </x:c>
      <x:c r="B3676" s="106" t="str">
        <x:v>FINE | point 3 | DAC 9.25 | CTRL X 0.79059 | X 0.79078 | Y 0.19815 | Z 0.38340 | TOTAL 0.90097 | error -11.17 % | MAD 0.44 % | CV 0.33 % | coh 92.6 % | dominant X | axis fraction 100.0 % | VALID</x:v>
      </x:c>
      <x:c r="C3676" t="str">
        <x:v>Pasted text(56).txt</x:v>
      </x:c>
    </x:row>
    <x:row r="3677">
      <x:c r="A3677" t="n">
        <x:v>3676</x:v>
      </x:c>
      <x:c r="B3677" s="106" t="str">
        <x:v>FINE | point 4 | DAC 9.50 | CTRL X 0.82278 | X 0.82080 | Y 0.21556 | Z 0.37475 | TOTAL 0.92837 | error -7.55 % | MAD 4.26 % | CV 3.25 % | coh 93.0 % | dominant X | axis fraction 100.0 % | VALID</x:v>
      </x:c>
      <x:c r="C3677" t="str">
        <x:v>Pasted text(56).txt</x:v>
      </x:c>
    </x:row>
    <x:row r="3678">
      <x:c r="A3678" t="n">
        <x:v>3677</x:v>
      </x:c>
      <x:c r="B3678" s="106" t="str">
        <x:v>FINE | point 5 | DAC 9.75 | CTRL X 0.85988 | X 0.86376 | Y 0.21123 | Z 0.39214 | TOTAL 0.97205 | error -3.38 % | MAD 4.15 % | CV 3.48 % | coh 92.6 % | dominant X | axis fraction 100.0 % | IN TARGET BAND</x:v>
      </x:c>
      <x:c r="C3678" t="str">
        <x:v>Pasted text(56).txt</x:v>
      </x:c>
    </x:row>
    <x:row r="3679">
      <x:c r="A3679" t="n">
        <x:v>3678</x:v>
      </x:c>
      <x:c r="B3679" s="106" t="str">
        <x:v>FINE | point 6 | DAC 10.00 | CTRL X 0.88073 | X 0.87825 | Y 0.21106 | Z 0.42060 | TOTAL 0.99668 | error -1.04 % | MAD 0.16 % | CV 0.59 % | coh 92.2 % | dominant X | axis fraction 100.0 % | IN TARGET BAND</x:v>
      </x:c>
      <x:c r="C3679" t="str">
        <x:v>Pasted text(56).txt</x:v>
      </x:c>
    </x:row>
    <x:row r="3680">
      <x:c r="A3680" t="n">
        <x:v>3679</x:v>
      </x:c>
      <x:c r="B3680" s="106" t="str">
        <x:v>FINE | point 7 | DAC 10.25 | CTRL X 0.90949 | X 0.90300 | Y 0.23993 | Z 0.41518 | TOTAL 1.02269 | error 2.19 % | MAD 0.65 % | CV 1.64 % | coh 92.2 % | dominant X | axis fraction 100.0 % | IN TARGET BAND</x:v>
      </x:c>
      <x:c r="C3680" t="str">
        <x:v>Pasted text(56).txt</x:v>
      </x:c>
    </x:row>
    <x:row r="3681">
      <x:c r="A3681" t="n">
        <x:v>3680</x:v>
      </x:c>
      <x:c r="B3681" s="106" t="str">
        <x:v>FINE | point 8 | DAC 10.50 | CTRL X 0.92335 | X 0.91881 | Y 0.22078 | Z 0.42752 | TOTAL 1.03739 | error 3.75 % | MAD 0.79 % | CV 1.35 % | coh 92.1 % | dominant X | axis fraction 100.0 % | IN TARGET BAND</x:v>
      </x:c>
      <x:c r="C3681" t="str">
        <x:v>Pasted text(56).txt</x:v>
      </x:c>
    </x:row>
    <x:row r="3682">
      <x:c r="A3682" t="n">
        <x:v>3681</x:v>
      </x:c>
      <x:c r="B3682" s="106" t="str">
        <x:v>FINE | point 9 | DAC 10.75 | CTRL X 0.98181 | X 0.98263 | Y 0.24966 | Z 0.41786 | TOTAL 1.09672 | error 10.32 % | MAD 0.76 % | CV 0.64 % | coh 93.3 % | dominant X | axis fraction 100.0 % | VALID</x:v>
      </x:c>
      <x:c r="C3682" t="str">
        <x:v>Pasted text(56).txt</x:v>
      </x:c>
    </x:row>
    <x:row r="3683">
      <x:c r="A3683" t="n">
        <x:v>3682</x:v>
      </x:c>
      <x:c r="B3683" s="106" t="str"/>
      <x:c r="C3683" t="str">
        <x:v>Pasted text(56).txt</x:v>
      </x:c>
    </x:row>
    <x:row r="3684">
      <x:c r="A3684" t="n">
        <x:v>3683</x:v>
      </x:c>
      <x:c r="B3684" s="106" t="str">
        <x:v>LONG VALIDATION AT FIXED DAC 10.00</x:v>
      </x:c>
      <x:c r="C3684" t="str">
        <x:v>Pasted text(56).txt</x:v>
      </x:c>
    </x:row>
    <x:row r="3685">
      <x:c r="A3685" t="n">
        <x:v>3684</x:v>
      </x:c>
      <x:c r="B3685" s="106" t="str">
        <x:v>FINAL | point 1 | DAC 10.00 | CTRL X 0.87886 | X 0.87796 | Y 0.22487 | Z 0.40611 | TOTAL 0.99365 | error -1.25 % | MAD 1.15 % | CV 1.95 % | coh 92.2 % | dominant X | axis fraction 100.0 % | IN TARGET BAND</x:v>
      </x:c>
      <x:c r="C3685" t="str">
        <x:v>Pasted text(56).txt</x:v>
      </x:c>
    </x:row>
    <x:row r="3686">
      <x:c r="A3686" t="n">
        <x:v>3685</x:v>
      </x:c>
      <x:c r="B3686" s="106" t="str">
        <x:v>FINAL | point 2 | DAC 10.00 | CTRL X 0.88904 | X 0.88952 | Y 0.22533 | Z 0.39575 | TOTAL 0.99959 | error -0.11 % | MAD 0.70 % | CV 0.82 % | coh 93.0 % | dominant X | axis fraction 100.0 % | IN TARGET BAND</x:v>
      </x:c>
      <x:c r="C3686" t="str">
        <x:v>Pasted text(56).txt</x:v>
      </x:c>
    </x:row>
    <x:row r="3687">
      <x:c r="A3687" t="n">
        <x:v>3686</x:v>
      </x:c>
      <x:c r="B3687" s="106" t="str">
        <x:v>VALIDATION ACCEPTED | pair drift 1.15 %</x:v>
      </x:c>
      <x:c r="C3687" t="str">
        <x:v>Pasted text(56).txt</x:v>
      </x:c>
    </x:row>
    <x:row r="3688">
      <x:c r="A3688" t="n">
        <x:v>3687</x:v>
      </x:c>
      <x:c r="B3688" s="106" t="str"/>
      <x:c r="C3688" t="str">
        <x:v>Pasted text(56).txt</x:v>
      </x:c>
    </x:row>
    <x:row r="3689">
      <x:c r="A3689" t="n">
        <x:v>3688</x:v>
      </x:c>
      <x:c r="B3689" s="106" t="str">
        <x:v>FINAL VALIDATED BLIND FFT VERIFICATION</x:v>
      </x:c>
      <x:c r="C3689" t="str">
        <x:v>Pasted text(56).txt</x:v>
      </x:c>
    </x:row>
    <x:row r="3690">
      <x:c r="A3690" t="n">
        <x:v>3689</x:v>
      </x:c>
      <x:c r="B3690" s="106" t="str">
        <x:v>Commanded frequency: 268.00000 Hz</x:v>
      </x:c>
      <x:c r="C3690" t="str">
        <x:v>Pasted text(56).txt</x:v>
      </x:c>
    </x:row>
    <x:row r="3691">
      <x:c r="A3691" t="n">
        <x:v>3690</x:v>
      </x:c>
      <x:c r="B3691" s="106" t="str">
        <x:v>Accepted DAC: 10.00</x:v>
      </x:c>
      <x:c r="C3691" t="str">
        <x:v>Pasted text(56).txt</x:v>
      </x:c>
    </x:row>
    <x:row r="3692">
      <x:c r="A3692" t="n">
        <x:v>3691</x:v>
      </x:c>
      <x:c r="B3692" s="106" t="str">
        <x:v>Axis,Frequency_Hz,Amplitude_mps2,SNR_dB,Status</x:v>
      </x:c>
      <x:c r="C3692" t="str">
        <x:v>Pasted text(56).txt</x:v>
      </x:c>
    </x:row>
    <x:row r="3693">
      <x:c r="A3693" t="n">
        <x:v>3692</x:v>
      </x:c>
      <x:c r="B3693" s="106" t="str">
        <x:v>X,268.01336,0.80258,31.93,VALID</x:v>
      </x:c>
      <x:c r="C3693" t="str">
        <x:v>Pasted text(56).txt</x:v>
      </x:c>
    </x:row>
    <x:row r="3694">
      <x:c r="A3694" t="n">
        <x:v>3693</x:v>
      </x:c>
      <x:c r="B3694" s="106" t="str">
        <x:v>Y,268.01794,0.20565,21.82,VALID</x:v>
      </x:c>
      <x:c r="C3694" t="str">
        <x:v>Pasted text(56).txt</x:v>
      </x:c>
    </x:row>
    <x:row r="3695">
      <x:c r="A3695" t="n">
        <x:v>3694</x:v>
      </x:c>
      <x:c r="B3695" s="106" t="str">
        <x:v>Z,268.00748,0.37485,26.27,VALID</x:v>
      </x:c>
      <x:c r="C3695" t="str">
        <x:v>Pasted text(56).txt</x:v>
      </x:c>
    </x:row>
    <x:row r="3696">
      <x:c r="A3696" t="n">
        <x:v>3695</x:v>
      </x:c>
      <x:c r="B3696" s="106" t="str">
        <x:v>Combined frequency: 268.01261 Hz | difference 0.01261 Hz</x:v>
      </x:c>
      <x:c r="C3696" t="str">
        <x:v>Pasted text(56).txt</x:v>
      </x:c>
    </x:row>
    <x:row r="3697">
      <x:c r="A3697" t="n">
        <x:v>3696</x:v>
      </x:c>
      <x:c r="B3697" s="106" t="str">
        <x:v>Combined X/Y/Z/TOTAL: 0.73088 / 0.18729 / 0.34100 / 0.82798</x:v>
      </x:c>
      <x:c r="C3697" t="str">
        <x:v>Pasted text(56).txt</x:v>
      </x:c>
    </x:row>
    <x:row r="3698">
      <x:c r="A3698" t="n">
        <x:v>3697</x:v>
      </x:c>
      <x:c r="B3698" s="106" t="str">
        <x:v>SNR: 29.08 dB | dominant axis X</x:v>
      </x:c>
      <x:c r="C3698" t="str">
        <x:v>Pasted text(56).txt</x:v>
      </x:c>
    </x:row>
    <x:row r="3699">
      <x:c r="A3699" t="n">
        <x:v>3698</x:v>
      </x:c>
      <x:c r="B3699" s="106" t="str">
        <x:v>Frequency verification: PASS</x:v>
      </x:c>
      <x:c r="C3699" t="str">
        <x:v>Pasted text(56).txt</x:v>
      </x:c>
    </x:row>
    <x:row r="3700">
      <x:c r="A3700" t="n">
        <x:v>3699</x:v>
      </x:c>
      <x:c r="B3700" s="106" t="str">
        <x:v>Y/Z dominance: DIAGNOSTIC ONLY — ignored for pass/fail</x:v>
      </x:c>
      <x:c r="C3700" t="str">
        <x:v>Pasted text(56).txt</x:v>
      </x:c>
    </x:row>
    <x:row r="3701">
      <x:c r="A3701" t="n">
        <x:v>3700</x:v>
      </x:c>
      <x:c r="B3701" s="106" t="str"/>
      <x:c r="C3701" t="str">
        <x:v>Pasted text(56).txt</x:v>
      </x:c>
    </x:row>
    <x:row r="3702">
      <x:c r="A3702" t="n">
        <x:v>3701</x:v>
      </x:c>
      <x:c r="B3702" s="106" t="str">
        <x:v>FIXED-DAC HOLD VALIDATION</x:v>
      </x:c>
      <x:c r="C3702" t="str">
        <x:v>Pasted text(56).txt</x:v>
      </x:c>
    </x:row>
    <x:row r="3703">
      <x:c r="A3703" t="n">
        <x:v>3702</x:v>
      </x:c>
      <x:c r="B3703" s="106" t="str">
        <x:v>DAC remains fixed at 10.00 for 10 records.</x:v>
      </x:c>
      <x:c r="C3703" t="str">
        <x:v>Pasted text(56).txt</x:v>
      </x:c>
    </x:row>
    <x:row r="3704">
      <x:c r="A3704" t="n">
        <x:v>3703</x:v>
      </x:c>
      <x:c r="B3704" s="106" t="str">
        <x:v>HOLD | point 1 | DAC 10.00 | CTRL X 0.86650 | X 0.86626 | Y 0.23553 | Z 0.40321 | TOTAL 0.98436 | error -2.64 % | MAD 1.26 % | CV 0.89 % | coh 91.7 % | dominant X | axis fraction 100.0 % | IN TARGET BAND</x:v>
      </x:c>
      <x:c r="C3704" t="str">
        <x:v>Pasted text(56).txt</x:v>
      </x:c>
    </x:row>
    <x:row r="3705">
      <x:c r="A3705" t="n">
        <x:v>3704</x:v>
      </x:c>
      <x:c r="B3705" s="106" t="str">
        <x:v>HOLD | point 2 | DAC 10.00 | CTRL X 0.87834 | X 0.88275 | Y 0.21810 | Z 0.41122 | TOTAL 0.99805 | error -1.31 % | MAD 1.71 % | CV 1.95 % | coh 92.3 % | dominant X | axis fraction 100.0 % | IN TARGET BAND</x:v>
      </x:c>
      <x:c r="C3705" t="str">
        <x:v>Pasted text(56).txt</x:v>
      </x:c>
    </x:row>
    <x:row r="3706">
      <x:c r="A3706" t="n">
        <x:v>3705</x:v>
      </x:c>
      <x:c r="B3706" s="106" t="str">
        <x:v>HOLD | point 3 | DAC 10.00 | CTRL X 0.86811 | X 0.87122 | Y 0.20855 | Z 0.39737 | TOTAL 0.98082 | error -2.46 % | MAD 0.05 % | CV 0.65 % | coh 91.7 % | dominant X | axis fraction 100.0 % | IN TARGET BAND</x:v>
      </x:c>
      <x:c r="C3706" t="str">
        <x:v>Pasted text(56).txt</x:v>
      </x:c>
    </x:row>
    <x:row r="3707">
      <x:c r="A3707" t="n">
        <x:v>3706</x:v>
      </x:c>
      <x:c r="B3707" s="106" t="str">
        <x:v>HOLD | point 4 | DAC 10.00 | CTRL X 0.87069 | X 0.87263 | Y 0.20941 | Z 0.42856 | TOTAL 0.99461 | error -2.17 % | MAD 0.22 % | CV 0.52 % | coh 91.8 % | dominant X | axis fraction 100.0 % | IN TARGET BAND</x:v>
      </x:c>
      <x:c r="C3707" t="str">
        <x:v>Pasted text(56).txt</x:v>
      </x:c>
    </x:row>
    <x:row r="3708">
      <x:c r="A3708" t="n">
        <x:v>3707</x:v>
      </x:c>
      <x:c r="B3708" s="106" t="str">
        <x:v>HOLD | point 5 | DAC 10.00 | CTRL X 0.86360 | X 0.85876 | Y 0.22213 | Z 0.42795 | TOTAL 0.98513 | error -2.97 % | MAD 0.99 % | CV 1.60 % | coh 91.5 % | dominant X | axis fraction 100.0 % | IN TARGET BAND</x:v>
      </x:c>
      <x:c r="C3708" t="str">
        <x:v>Pasted text(56).txt</x:v>
      </x:c>
    </x:row>
    <x:row r="3709">
      <x:c r="A3709" t="n">
        <x:v>3708</x:v>
      </x:c>
      <x:c r="B3709" s="106" t="str">
        <x:v>HOLD | point 6 | DAC 10.00 | CTRL X 0.89454 | X 0.89147 | Y 0.22689 | Z 0.39646 | TOTAL 1.00172 | error 0.51 % | MAD 0.47 % | CV 0.89 % | coh 92.2 % | dominant X | axis fraction 100.0 % | IN TARGET BAND</x:v>
      </x:c>
      <x:c r="C3709" t="str">
        <x:v>Pasted text(56).txt</x:v>
      </x:c>
    </x:row>
    <x:row r="3710">
      <x:c r="A3710" t="n">
        <x:v>3709</x:v>
      </x:c>
      <x:c r="B3710" s="106" t="str">
        <x:v>HOLD | point 7 | DAC 10.00 | CTRL X 0.87372 | X 0.87742 | Y 0.24381 | Z 0.42318 | TOTAL 1.00426 | error -1.83 % | MAD 1.64 % | CV 1.77 % | coh 92.7 % | dominant X | axis fraction 100.0 % | IN TARGET BAND</x:v>
      </x:c>
      <x:c r="C3710" t="str">
        <x:v>Pasted text(56).txt</x:v>
      </x:c>
    </x:row>
    <x:row r="3711">
      <x:c r="A3711" t="n">
        <x:v>3710</x:v>
      </x:c>
      <x:c r="B3711" s="106" t="str">
        <x:v>HOLD | point 8 | DAC 10.00 | CTRL X 0.90105 | X 0.90081 | Y 0.22453 | Z 0.41158 | TOTAL 1.01557 | error 1.24 % | MAD 3.38 % | CV 2.32 % | coh 93.4 % | dominant X | axis fraction 100.0 % | IN TARGET BAND</x:v>
      </x:c>
      <x:c r="C3711" t="str">
        <x:v>Pasted text(56).txt</x:v>
      </x:c>
    </x:row>
    <x:row r="3712">
      <x:c r="A3712" t="n">
        <x:v>3711</x:v>
      </x:c>
      <x:c r="B3712" s="106" t="str">
        <x:v>HOLD | point 9 | DAC 10.00 | CTRL X 0.88198 | X 0.88136 | Y 0.23608 | Z 0.40608 | TOTAL 0.99904 | error -0.90 % | MAD 1.41 % | CV 1.06 % | coh 92.3 % | dominant X | axis fraction 100.0 % | IN TARGET BAND</x:v>
      </x:c>
      <x:c r="C3712" t="str">
        <x:v>Pasted text(56).txt</x:v>
      </x:c>
    </x:row>
    <x:row r="3713">
      <x:c r="A3713" t="n">
        <x:v>3712</x:v>
      </x:c>
      <x:c r="B3713" s="106" t="str">
        <x:v>HOLD | point 10 | DAC 10.00 | CTRL X 0.88353 | X 0.88450 | Y 0.23172 | Z 0.42253 | TOTAL 1.00745 | error -0.73 % | MAD 0.93 % | CV 0.80 % | coh 91.7 % | dominant X | axis fraction 100.0 % | IN TARGET BAND</x:v>
      </x:c>
      <x:c r="C3713" t="str">
        <x:v>Pasted text(56).txt</x:v>
      </x:c>
    </x:row>
    <x:row r="3714">
      <x:c r="A3714" t="n">
        <x:v>3713</x:v>
      </x:c>
      <x:c r="B3714" s="106" t="str"/>
      <x:c r="C3714" t="str">
        <x:v>Pasted text(56).txt</x:v>
      </x:c>
    </x:row>
    <x:row r="3715">
      <x:c r="A3715" t="n">
        <x:v>3714</x:v>
      </x:c>
      <x:c r="B3715" s="106" t="str">
        <x:v>HOLD SUMMARY</x:v>
      </x:c>
      <x:c r="C3715" t="str">
        <x:v>Pasted text(56).txt</x:v>
      </x:c>
    </x:row>
    <x:row r="3716">
      <x:c r="A3716" t="n">
        <x:v>3715</x:v>
      </x:c>
      <x:c r="B3716" s="106" t="str">
        <x:v>Valid / requested: 10 / 10</x:v>
      </x:c>
      <x:c r="C3716" t="str">
        <x:v>Pasted text(56).txt</x:v>
      </x:c>
    </x:row>
    <x:row r="3717">
      <x:c r="A3717" t="n">
        <x:v>3716</x:v>
      </x:c>
      <x:c r="B3717" s="106" t="str">
        <x:v>In band / requested: 10 / 10 = 100.0 %</x:v>
      </x:c>
      <x:c r="C3717" t="str">
        <x:v>Pasted text(56).txt</x:v>
      </x:c>
    </x:row>
    <x:row r="3718">
      <x:c r="A3718" t="n">
        <x:v>3717</x:v>
      </x:c>
      <x:c r="B3718" s="106" t="str">
        <x:v>Mean / SD / CV: 0.87821 / 0.01229 / 1.40 %</x:v>
      </x:c>
      <x:c r="C3718" t="str">
        <x:v>Pasted text(56).txt</x:v>
      </x:c>
    </x:row>
    <x:row r="3719">
      <x:c r="A3719" t="n">
        <x:v>3718</x:v>
      </x:c>
      <x:c r="B3719" s="106" t="str">
        <x:v>Min / Max: 0.86360 / 0.90105</x:v>
      </x:c>
      <x:c r="C3719" t="str">
        <x:v>Pasted text(56).txt</x:v>
      </x:c>
    </x:row>
    <x:row r="3720">
      <x:c r="A3720" t="n">
        <x:v>3719</x:v>
      </x:c>
      <x:c r="B3720" s="106" t="str">
        <x:v>HOLD RESULT: PASS</x:v>
      </x:c>
      <x:c r="C3720" t="str">
        <x:v>Pasted text(56).txt</x:v>
      </x:c>
    </x:row>
    <x:row r="3721">
      <x:c r="A3721" t="n">
        <x:v>3720</x:v>
      </x:c>
      <x:c r="B3721" s="106" t="str"/>
      <x:c r="C3721" t="str">
        <x:v>Pasted text(56).txt</x:v>
      </x:c>
    </x:row>
    <x:row r="3722">
      <x:c r="A3722" t="n">
        <x:v>3721</x:v>
      </x:c>
      <x:c r="B3722" s="106" t="str">
        <x:v>RUN RESULT: PASS</x:v>
      </x:c>
      <x:c r="C3722" t="str">
        <x:v>Pasted text(56).txt</x:v>
      </x:c>
    </x:row>
    <x:row r="3723">
      <x:c r="A3723" t="n">
        <x:v>3722</x:v>
      </x:c>
      <x:c r="B3723" s="106" t="str">
        <x:v>Selected DAC: 10.00</x:v>
      </x:c>
      <x:c r="C3723" t="str">
        <x:v>Pasted text(56).txt</x:v>
      </x:c>
    </x:row>
    <x:row r="3724">
      <x:c r="A3724" t="n">
        <x:v>3723</x:v>
      </x:c>
      <x:c r="B3724" s="106" t="str">
        <x:v>Validated amplitude: 0.88395 m/s^2 | error -0.68 %</x:v>
      </x:c>
      <x:c r="C3724" t="str">
        <x:v>Pasted text(56).txt</x:v>
      </x:c>
    </x:row>
    <x:row r="3725">
      <x:c r="A3725" t="n">
        <x:v>3724</x:v>
      </x:c>
      <x:c r="B3725" s="106" t="str">
        <x:v>FFT frequency: 268.01261 Hz | difference 0.01261 Hz</x:v>
      </x:c>
      <x:c r="C3725" t="str">
        <x:v>Pasted text(56).txt</x:v>
      </x:c>
    </x:row>
    <x:row r="3726">
      <x:c r="A3726" t="n">
        <x:v>3725</x:v>
      </x:c>
      <x:c r="B3726" s="106" t="str"/>
      <x:c r="C3726" t="str">
        <x:v>Pasted text(56).txt</x:v>
      </x:c>
    </x:row>
    <x:row r="3727">
      <x:c r="A3727" t="n">
        <x:v>3726</x:v>
      </x:c>
      <x:c r="B3727" s="106" t="str">
        <x:v>VISATON OFF. RESTING 5.0 s BEFORE THE NEXT COMPLETELY FRESH RUN.</x:v>
      </x:c>
      <x:c r="C3727" t="str">
        <x:v>Pasted text(56).txt</x:v>
      </x:c>
    </x:row>
    <x:row r="3728">
      <x:c r="A3728" t="n">
        <x:v>3727</x:v>
      </x:c>
      <x:c r="B3728" s="106" t="str"/>
      <x:c r="C3728" t="str">
        <x:v>Pasted text(56).txt</x:v>
      </x:c>
    </x:row>
    <x:row r="3729">
      <x:c r="A3729" t="n">
        <x:v>3728</x:v>
      </x:c>
      <x:c r="B3729" s="106" t="str">
        <x:v>################################################################################</x:v>
      </x:c>
      <x:c r="C3729" t="str">
        <x:v>Pasted text(56).txt</x:v>
      </x:c>
    </x:row>
    <x:row r="3730">
      <x:c r="A3730" t="n">
        <x:v>3729</x:v>
      </x:c>
      <x:c r="B3730" s="106" t="str">
        <x:v>INDEPENDENT TARGET-AMPLITUDE RUN 3 OF 5</x:v>
      </x:c>
      <x:c r="C3730" t="str">
        <x:v>Pasted text(56).txt</x:v>
      </x:c>
    </x:row>
    <x:row r="3731">
      <x:c r="A3731" t="n">
        <x:v>3730</x:v>
      </x:c>
      <x:c r="B3731" s="106" t="str">
        <x:v>################################################################################</x:v>
      </x:c>
      <x:c r="C3731" t="str">
        <x:v>Pasted text(56).txt</x:v>
      </x:c>
    </x:row>
    <x:row r="3732">
      <x:c r="A3732" t="n">
        <x:v>3731</x:v>
      </x:c>
      <x:c r="B3732" s="106" t="str">
        <x:v>Frequency: 268.00000 Hz</x:v>
      </x:c>
      <x:c r="C3732" t="str">
        <x:v>Pasted text(56).txt</x:v>
      </x:c>
    </x:row>
    <x:row r="3733">
      <x:c r="A3733" t="n">
        <x:v>3732</x:v>
      </x:c>
      <x:c r="B3733" s="106" t="str">
        <x:v>Target X amplitude: 0.89000 m/s^2 peak, tolerance +/-7.50 %</x:v>
      </x:c>
      <x:c r="C3733" t="str">
        <x:v>Pasted text(56).txt</x:v>
      </x:c>
    </x:row>
    <x:row r="3734">
      <x:c r="A3734" t="n">
        <x:v>3733</x:v>
      </x:c>
      <x:c r="B3734" s="106" t="str">
        <x:v>This run starts from DAC 1.00 and ignores every earlier selected DAC.</x:v>
      </x:c>
      <x:c r="C3734" t="str">
        <x:v>Pasted text(56).txt</x:v>
      </x:c>
    </x:row>
    <x:row r="3735">
      <x:c r="A3735" t="n">
        <x:v>3734</x:v>
      </x:c>
      <x:c r="B3735" s="106" t="str">
        <x:v>ADXL2 DEVID/DATA_FORMAT/BW_RATE/POWER_CTL: 0xE5 / 0xB / 0xE / 0x8</x:v>
      </x:c>
      <x:c r="C3735" t="str">
        <x:v>Pasted text(56).txt</x:v>
      </x:c>
    </x:row>
    <x:row r="3736">
      <x:c r="A3736" t="n">
        <x:v>3735</x:v>
      </x:c>
      <x:c r="B3736" s="106" t="str"/>
      <x:c r="C3736" t="str">
        <x:v>Pasted text(56).txt</x:v>
      </x:c>
    </x:row>
    <x:row r="3737">
      <x:c r="A3737" t="n">
        <x:v>3736</x:v>
      </x:c>
      <x:c r="B3737" s="106" t="str">
        <x:v>ACQUISITION ATTEMPT 1 OF 2</x:v>
      </x:c>
      <x:c r="C3737" t="str">
        <x:v>Pasted text(56).txt</x:v>
      </x:c>
    </x:row>
    <x:row r="3738">
      <x:c r="A3738" t="n">
        <x:v>3737</x:v>
      </x:c>
      <x:c r="B3738" s="106" t="str"/>
      <x:c r="C3738" t="str">
        <x:v>Pasted text(56).txt</x:v>
      </x:c>
    </x:row>
    <x:row r="3739">
      <x:c r="A3739" t="n">
        <x:v>3738</x:v>
      </x:c>
      <x:c r="B3739" s="106" t="str">
        <x:v>FRESH X-AXIS SEARCH FROM DAC 1.00 — OLD DAC VALUES ARE NOT USED</x:v>
      </x:c>
      <x:c r="C3739" t="str">
        <x:v>Pasted text(56).txt</x:v>
      </x:c>
    </x:row>
    <x:row r="3740">
      <x:c r="A3740" t="n">
        <x:v>3739</x:v>
      </x:c>
      <x:c r="B3740" s="106" t="str">
        <x:v>Y/Z are diagnostic only and cannot abort this search.</x:v>
      </x:c>
      <x:c r="C3740" t="str">
        <x:v>Pasted text(56).txt</x:v>
      </x:c>
    </x:row>
    <x:row r="3741">
      <x:c r="A3741" t="n">
        <x:v>3740</x:v>
      </x:c>
      <x:c r="B3741" s="106" t="str">
        <x:v>A real SPI fault, clipping, safety limit or confirmed X-response collapse will stop it.</x:v>
      </x:c>
      <x:c r="C3741" t="str">
        <x:v>Pasted text(56).txt</x:v>
      </x:c>
    </x:row>
    <x:row r="3742">
      <x:c r="A3742" t="n">
        <x:v>3741</x:v>
      </x:c>
      <x:c r="B3742" s="106" t="str">
        <x:v>SEARCH | point 1 | DAC 1.00 | CTRL X 0.02075 | X 0.01991 | Y 0.00851 | Z 0.04973 | TOTAL 0.05467 | error -97.67 % | MAD 12.08 % | CV 6.01 % | coh 11.0 % | dominant Z | axis fraction 40.0 % | BELOW MEASUREMENT FLOOR — SEARCH CONTINUES</x:v>
      </x:c>
      <x:c r="C3742" t="str">
        <x:v>Pasted text(56).txt</x:v>
      </x:c>
    </x:row>
    <x:row r="3743">
      <x:c r="A3743" t="n">
        <x:v>3742</x:v>
      </x:c>
      <x:c r="B3743" s="106" t="str">
        <x:v>SEARCH | point 2 | DAC 3.00 | CTRL X 0.15118 | X 0.15144 | Y 0.06253 | Z 0.09326 | TOTAL 0.19021 | error -83.01 % | MAD 1.40 % | CV 1.21 % | coh 59.8 % | dominant X | axis fraction 100.0 % | VALID</x:v>
      </x:c>
      <x:c r="C3743" t="str">
        <x:v>Pasted text(56).txt</x:v>
      </x:c>
    </x:row>
    <x:row r="3744">
      <x:c r="A3744" t="n">
        <x:v>3743</x:v>
      </x:c>
      <x:c r="B3744" s="106" t="str">
        <x:v>SEARCH | point 3 | DAC 5.00 | CTRL X 0.34489 | X 0.34297 | Y 0.10446 | Z 0.21593 | TOTAL 0.41885 | error -61.25 % | MAD 1.43 % | CV 1.88 % | coh 81.6 % | dominant X | axis fraction 100.0 % | VALID</x:v>
      </x:c>
      <x:c r="C3744" t="str">
        <x:v>Pasted text(56).txt</x:v>
      </x:c>
    </x:row>
    <x:row r="3745">
      <x:c r="A3745" t="n">
        <x:v>3744</x:v>
      </x:c>
      <x:c r="B3745" s="106" t="str">
        <x:v>SEARCH | point 4 | DAC 6.00 | CTRL X 0.43184 | X 0.42751 | Y 0.10286 | Z 0.26219 | TOTAL 0.51268 | error -51.48 % | MAD 2.11 % | CV 3.08 % | coh 83.0 % | dominant X | axis fraction 100.0 % | VALID</x:v>
      </x:c>
      <x:c r="C3745" t="str">
        <x:v>Pasted text(56).txt</x:v>
      </x:c>
    </x:row>
    <x:row r="3746">
      <x:c r="A3746" t="n">
        <x:v>3745</x:v>
      </x:c>
      <x:c r="B3746" s="106" t="str">
        <x:v>SEARCH | point 5 | DAC 7.00 | CTRL X 0.56560 | X 0.56489 | Y 0.14922 | Z 0.28983 | TOTAL 0.65234 | error -36.45 % | MAD 2.30 % | CV 1.74 % | coh 89.9 % | dominant X | axis fraction 100.0 % | VALID</x:v>
      </x:c>
      <x:c r="C3746" t="str">
        <x:v>Pasted text(56).txt</x:v>
      </x:c>
    </x:row>
    <x:row r="3747">
      <x:c r="A3747" t="n">
        <x:v>3746</x:v>
      </x:c>
      <x:c r="B3747" s="106" t="str">
        <x:v>SEARCH | point 6 | DAC 7.50 | CTRL X 0.58800 | X 0.58866 | Y 0.16387 | Z 0.29002 | TOTAL 0.67668 | error -33.93 % | MAD 1.73 % | CV 1.34 % | coh 89.4 % | dominant X | axis fraction 100.0 % | VALID</x:v>
      </x:c>
      <x:c r="C3747" t="str">
        <x:v>Pasted text(56).txt</x:v>
      </x:c>
    </x:row>
    <x:row r="3748">
      <x:c r="A3748" t="n">
        <x:v>3747</x:v>
      </x:c>
      <x:c r="B3748" s="106" t="str">
        <x:v>SEARCH | point 7 | DAC 8.00 | CTRL X 0.68058 | X 0.67382 | Y 0.16754 | Z 0.32546 | TOTAL 0.76722 | error -23.53 % | MAD 0.25 % | CV 1.88 % | coh 90.3 % | dominant X | axis fraction 100.0 % | VALID</x:v>
      </x:c>
      <x:c r="C3748" t="str">
        <x:v>Pasted text(56).txt</x:v>
      </x:c>
    </x:row>
    <x:row r="3749">
      <x:c r="A3749" t="n">
        <x:v>3748</x:v>
      </x:c>
      <x:c r="B3749" s="106" t="str">
        <x:v>SEARCH | point 8 | DAC 8.50 | CTRL X 0.71409 | X 0.71509 | Y 0.19584 | Z 0.35224 | TOTAL 0.82099 | error -19.77 % | MAD 1.23 % | CV 1.04 % | coh 91.8 % | dominant X | axis fraction 100.0 % | VALID</x:v>
      </x:c>
      <x:c r="C3749" t="str">
        <x:v>Pasted text(56).txt</x:v>
      </x:c>
    </x:row>
    <x:row r="3750">
      <x:c r="A3750" t="n">
        <x:v>3749</x:v>
      </x:c>
      <x:c r="B3750" s="106" t="str">
        <x:v>SEARCH | point 9 | DAC 9.00 | CTRL X 0.76152 | X 0.76712 | Y 0.19757 | Z 0.37128 | TOTAL 0.87533 | error -14.44 % | MAD 0.20 % | CV 1.38 % | coh 91.5 % | dominant X | axis fraction 100.0 % | VALID</x:v>
      </x:c>
      <x:c r="C3750" t="str">
        <x:v>Pasted text(56).txt</x:v>
      </x:c>
    </x:row>
    <x:row r="3751">
      <x:c r="A3751" t="n">
        <x:v>3750</x:v>
      </x:c>
      <x:c r="B3751" s="106" t="str">
        <x:v>SEARCH | point 10 | DAC 9.25 | CTRL X 0.78817 | X 0.78822 | Y 0.21708 | Z 0.39878 | TOTAL 0.90984 | error -11.44 % | MAD 1.60 % | CV 1.09 % | coh 92.0 % | dominant X | axis fraction 100.0 % | VALID</x:v>
      </x:c>
      <x:c r="C3751" t="str">
        <x:v>Pasted text(56).txt</x:v>
      </x:c>
    </x:row>
    <x:row r="3752">
      <x:c r="A3752" t="n">
        <x:v>3751</x:v>
      </x:c>
      <x:c r="B3752" s="106" t="str">
        <x:v>SEARCH | point 11 | DAC 9.50 | CTRL X 0.80636 | X 0.79848 | Y 0.21030 | Z 0.39231 | TOTAL 0.91426 | error -9.40 % | MAD 0.76 % | CV 2.17 % | coh 91.0 % | dominant X | axis fraction 100.0 % | VALID</x:v>
      </x:c>
      <x:c r="C3752" t="str">
        <x:v>Pasted text(56).txt</x:v>
      </x:c>
    </x:row>
    <x:row r="3753">
      <x:c r="A3753" t="n">
        <x:v>3752</x:v>
      </x:c>
      <x:c r="B3753" s="106" t="str">
        <x:v>SEARCH | point 12 | DAC 9.75 | CTRL X 0.85383 | X 0.85242 | Y 0.21677 | Z 0.40969 | TOTAL 0.97091 | error -4.06 % | MAD 2.71 % | CV 2.08 % | coh 93.0 % | dominant X | axis fraction 100.0 % | IN TARGET BAND</x:v>
      </x:c>
      <x:c r="C3753" t="str">
        <x:v>Pasted text(56).txt</x:v>
      </x:c>
    </x:row>
    <x:row r="3754">
      <x:c r="A3754" t="n">
        <x:v>3753</x:v>
      </x:c>
      <x:c r="B3754" s="106" t="str"/>
      <x:c r="C3754" t="str">
        <x:v>Pasted text(56).txt</x:v>
      </x:c>
    </x:row>
    <x:row r="3755">
      <x:c r="A3755" t="n">
        <x:v>3754</x:v>
      </x:c>
      <x:c r="B3755" s="106" t="str">
        <x:v>LOCAL 0.25-DAC X-AXIS FINE SCAN</x:v>
      </x:c>
      <x:c r="C3755" t="str">
        <x:v>Pasted text(56).txt</x:v>
      </x:c>
    </x:row>
    <x:row r="3756">
      <x:c r="A3756" t="n">
        <x:v>3755</x:v>
      </x:c>
      <x:c r="B3756" s="106" t="str">
        <x:v>Only a valid point actually inside the X target band may be selected.</x:v>
      </x:c>
      <x:c r="C3756" t="str">
        <x:v>Pasted text(56).txt</x:v>
      </x:c>
    </x:row>
    <x:row r="3757">
      <x:c r="A3757" t="n">
        <x:v>3756</x:v>
      </x:c>
      <x:c r="B3757" s="106" t="str">
        <x:v>FINE | point 1 | DAC 8.75 | CTRL X 0.78035 | X 0.76239 | Y 0.21105 | Z 0.36393 | TOTAL 0.87100 | error -12.32 % | MAD 0.73 % | CV 4.52 % | coh 92.5 % | dominant X | axis fraction 100.0 % | VALID</x:v>
      </x:c>
      <x:c r="C3757" t="str">
        <x:v>Pasted text(56).txt</x:v>
      </x:c>
    </x:row>
    <x:row r="3758">
      <x:c r="A3758" t="n">
        <x:v>3757</x:v>
      </x:c>
      <x:c r="B3758" s="106" t="str">
        <x:v>FINE | point 2 | DAC 9.00 | CTRL X 0.76027 | X 0.76027 | Y 0.20293 | Z 0.39679 | TOTAL 0.88130 | error -14.58 % | MAD 0.27 % | CV 0.19 % | coh 90.9 % | dominant X | axis fraction 100.0 % | VALID</x:v>
      </x:c>
      <x:c r="C3758" t="str">
        <x:v>Pasted text(56).txt</x:v>
      </x:c>
    </x:row>
    <x:row r="3759">
      <x:c r="A3759" t="n">
        <x:v>3758</x:v>
      </x:c>
      <x:c r="B3759" s="106" t="str">
        <x:v>FINE | point 3 | DAC 9.25 | CTRL X 0.78659 | X 0.78872 | Y 0.20894 | Z 0.35356 | TOTAL 0.88938 | error -11.62 % | MAD 2.23 % | CV 1.92 % | coh 90.6 % | dominant X | axis fraction 100.0 % | VALID</x:v>
      </x:c>
      <x:c r="C3759" t="str">
        <x:v>Pasted text(56).txt</x:v>
      </x:c>
    </x:row>
    <x:row r="3760">
      <x:c r="A3760" t="n">
        <x:v>3759</x:v>
      </x:c>
      <x:c r="B3760" s="106" t="str">
        <x:v>FINE | point 4 | DAC 9.50 | CTRL X 0.81180 | X 0.81560 | Y 0.21221 | Z 0.38556 | TOTAL 0.92707 | error -8.79 % | MAD 1.27 % | CV 1.60 % | coh 92.8 % | dominant X | axis fraction 100.0 % | VALID</x:v>
      </x:c>
      <x:c r="C3760" t="str">
        <x:v>Pasted text(56).txt</x:v>
      </x:c>
    </x:row>
    <x:row r="3761">
      <x:c r="A3761" t="n">
        <x:v>3760</x:v>
      </x:c>
      <x:c r="B3761" s="106" t="str">
        <x:v>FINE | point 5 | DAC 9.75 | CTRL X 0.84935 | X 0.84642 | Y 0.21714 | Z 0.39023 | TOTAL 0.95706 | error -4.57 % | MAD 0.13 % | CV 0.68 % | coh 92.6 % | dominant X | axis fraction 100.0 % | IN TARGET BAND</x:v>
      </x:c>
      <x:c r="C3761" t="str">
        <x:v>Pasted text(56).txt</x:v>
      </x:c>
    </x:row>
    <x:row r="3762">
      <x:c r="A3762" t="n">
        <x:v>3761</x:v>
      </x:c>
      <x:c r="B3762" s="106" t="str">
        <x:v>FINE | point 6 | DAC 10.00 | CTRL X 0.88771 | X 0.88408 | Y 0.22539 | Z 0.43228 | TOTAL 1.00962 | error -0.26 % | MAD 0.35 % | CV 0.93 % | coh 92.4 % | dominant X | axis fraction 100.0 % | IN TARGET BAND</x:v>
      </x:c>
      <x:c r="C3762" t="str">
        <x:v>Pasted text(56).txt</x:v>
      </x:c>
    </x:row>
    <x:row r="3763">
      <x:c r="A3763" t="n">
        <x:v>3762</x:v>
      </x:c>
      <x:c r="B3763" s="106" t="str">
        <x:v>FINE | point 7 | DAC 10.25 | CTRL X 0.90268 | X 0.90635 | Y 0.24433 | Z 0.43397 | TOTAL 1.03419 | error 1.42 % | MAD 0.12 % | CV 0.77 % | coh 92.0 % | dominant X | axis fraction 100.0 % | IN TARGET BAND</x:v>
      </x:c>
      <x:c r="C3763" t="str">
        <x:v>Pasted text(56).txt</x:v>
      </x:c>
    </x:row>
    <x:row r="3764">
      <x:c r="A3764" t="n">
        <x:v>3763</x:v>
      </x:c>
      <x:c r="B3764" s="106" t="str">
        <x:v>FINE | point 8 | DAC 10.50 | CTRL X 0.94196 | X 0.93855 | Y 0.23266 | Z 0.42352 | TOTAL 1.05591 | error 5.84 % | MAD 0.95 % | CV 1.23 % | coh 93.5 % | dominant X | axis fraction 100.0 % | IN TARGET BAND</x:v>
      </x:c>
      <x:c r="C3764" t="str">
        <x:v>Pasted text(56).txt</x:v>
      </x:c>
    </x:row>
    <x:row r="3765">
      <x:c r="A3765" t="n">
        <x:v>3764</x:v>
      </x:c>
      <x:c r="B3765" s="106" t="str">
        <x:v>FINE | point 9 | DAC 10.75 | CTRL X 0.97005 | X 0.97218 | Y 0.25287 | Z 0.44437 | TOTAL 1.09848 | error 8.99 % | MAD 1.18 % | CV 1.14 % | coh 94.4 % | dominant X | axis fraction 100.0 % | VALID</x:v>
      </x:c>
      <x:c r="C3765" t="str">
        <x:v>Pasted text(56).txt</x:v>
      </x:c>
    </x:row>
    <x:row r="3766">
      <x:c r="A3766" t="n">
        <x:v>3765</x:v>
      </x:c>
      <x:c r="B3766" s="106" t="str"/>
      <x:c r="C3766" t="str">
        <x:v>Pasted text(56).txt</x:v>
      </x:c>
    </x:row>
    <x:row r="3767">
      <x:c r="A3767" t="n">
        <x:v>3766</x:v>
      </x:c>
      <x:c r="B3767" s="106" t="str">
        <x:v>LONG VALIDATION AT FIXED DAC 10.00</x:v>
      </x:c>
      <x:c r="C3767" t="str">
        <x:v>Pasted text(56).txt</x:v>
      </x:c>
    </x:row>
    <x:row r="3768">
      <x:c r="A3768" t="n">
        <x:v>3767</x:v>
      </x:c>
      <x:c r="B3768" s="106" t="str">
        <x:v>FINAL | point 1 | DAC 10.00 | CTRL X 0.87261 | X 0.87530 | Y 0.22342 | Z 0.41591 | TOTAL 0.99463 | error -1.95 % | MAD 0.59 % | CV 1.00 % | coh 92.8 % | dominant X | axis fraction 100.0 % | IN TARGET BAND</x:v>
      </x:c>
      <x:c r="C3768" t="str">
        <x:v>Pasted text(56).txt</x:v>
      </x:c>
    </x:row>
    <x:row r="3769">
      <x:c r="A3769" t="n">
        <x:v>3768</x:v>
      </x:c>
      <x:c r="B3769" s="106" t="str">
        <x:v>FINAL | point 2 | DAC 10.00 | CTRL X 0.87327 | X 0.86949 | Y 0.23388 | Z 0.42366 | TOTAL 0.99522 | error -1.88 % | MAD 0.85 % | CV 2.27 % | coh 91.8 % | dominant X | axis fraction 100.0 % | IN TARGET BAND</x:v>
      </x:c>
      <x:c r="C3769" t="str">
        <x:v>Pasted text(56).txt</x:v>
      </x:c>
    </x:row>
    <x:row r="3770">
      <x:c r="A3770" t="n">
        <x:v>3769</x:v>
      </x:c>
      <x:c r="B3770" s="106" t="str">
        <x:v>VALIDATION ACCEPTED | pair drift 0.08 %</x:v>
      </x:c>
      <x:c r="C3770" t="str">
        <x:v>Pasted text(56).txt</x:v>
      </x:c>
    </x:row>
    <x:row r="3771">
      <x:c r="A3771" t="n">
        <x:v>3770</x:v>
      </x:c>
      <x:c r="B3771" s="106" t="str"/>
      <x:c r="C3771" t="str">
        <x:v>Pasted text(56).txt</x:v>
      </x:c>
    </x:row>
    <x:row r="3772">
      <x:c r="A3772" t="n">
        <x:v>3771</x:v>
      </x:c>
      <x:c r="B3772" s="106" t="str">
        <x:v>FINAL VALIDATED BLIND FFT VERIFICATION</x:v>
      </x:c>
      <x:c r="C3772" t="str">
        <x:v>Pasted text(56).txt</x:v>
      </x:c>
    </x:row>
    <x:row r="3773">
      <x:c r="A3773" t="n">
        <x:v>3772</x:v>
      </x:c>
      <x:c r="B3773" s="106" t="str">
        <x:v>Commanded frequency: 268.00000 Hz</x:v>
      </x:c>
      <x:c r="C3773" t="str">
        <x:v>Pasted text(56).txt</x:v>
      </x:c>
    </x:row>
    <x:row r="3774">
      <x:c r="A3774" t="n">
        <x:v>3773</x:v>
      </x:c>
      <x:c r="B3774" s="106" t="str">
        <x:v>Accepted DAC: 10.00</x:v>
      </x:c>
      <x:c r="C3774" t="str">
        <x:v>Pasted text(56).txt</x:v>
      </x:c>
    </x:row>
    <x:row r="3775">
      <x:c r="A3775" t="n">
        <x:v>3774</x:v>
      </x:c>
      <x:c r="B3775" s="106" t="str">
        <x:v>Axis,Frequency_Hz,Amplitude_mps2,SNR_dB,Status</x:v>
      </x:c>
      <x:c r="C3775" t="str">
        <x:v>Pasted text(56).txt</x:v>
      </x:c>
    </x:row>
    <x:row r="3776">
      <x:c r="A3776" t="n">
        <x:v>3775</x:v>
      </x:c>
      <x:c r="B3776" s="106" t="str">
        <x:v>X,268.02421,0.80235,32.07,VALID</x:v>
      </x:c>
      <x:c r="C3776" t="str">
        <x:v>Pasted text(56).txt</x:v>
      </x:c>
    </x:row>
    <x:row r="3777">
      <x:c r="A3777" t="n">
        <x:v>3776</x:v>
      </x:c>
      <x:c r="B3777" s="106" t="str">
        <x:v>Y,268.04564,0.20843,22.22,VALID</x:v>
      </x:c>
      <x:c r="C3777" t="str">
        <x:v>Pasted text(56).txt</x:v>
      </x:c>
    </x:row>
    <x:row r="3778">
      <x:c r="A3778" t="n">
        <x:v>3777</x:v>
      </x:c>
      <x:c r="B3778" s="106" t="str">
        <x:v>Z,268.01359,0.37811,26.63,VALID</x:v>
      </x:c>
      <x:c r="C3778" t="str">
        <x:v>Pasted text(56).txt</x:v>
      </x:c>
    </x:row>
    <x:row r="3779">
      <x:c r="A3779" t="n">
        <x:v>3778</x:v>
      </x:c>
      <x:c r="B3779" s="106" t="str">
        <x:v>Combined frequency: 268.02353 Hz | difference 0.02353 Hz</x:v>
      </x:c>
      <x:c r="C3779" t="str">
        <x:v>Pasted text(56).txt</x:v>
      </x:c>
    </x:row>
    <x:row r="3780">
      <x:c r="A3780" t="n">
        <x:v>3779</x:v>
      </x:c>
      <x:c r="B3780" s="106" t="str">
        <x:v>Combined X/Y/Z/TOTAL: 0.73259 / 0.19102 / 0.34452 / 0.83179</x:v>
      </x:c>
      <x:c r="C3780" t="str">
        <x:v>Pasted text(56).txt</x:v>
      </x:c>
    </x:row>
    <x:row r="3781">
      <x:c r="A3781" t="n">
        <x:v>3780</x:v>
      </x:c>
      <x:c r="B3781" s="106" t="str">
        <x:v>SNR: 29.32 dB | dominant axis X</x:v>
      </x:c>
      <x:c r="C3781" t="str">
        <x:v>Pasted text(56).txt</x:v>
      </x:c>
    </x:row>
    <x:row r="3782">
      <x:c r="A3782" t="n">
        <x:v>3781</x:v>
      </x:c>
      <x:c r="B3782" s="106" t="str">
        <x:v>Frequency verification: PASS</x:v>
      </x:c>
      <x:c r="C3782" t="str">
        <x:v>Pasted text(56).txt</x:v>
      </x:c>
    </x:row>
    <x:row r="3783">
      <x:c r="A3783" t="n">
        <x:v>3782</x:v>
      </x:c>
      <x:c r="B3783" s="106" t="str">
        <x:v>Y/Z dominance: DIAGNOSTIC ONLY — ignored for pass/fail</x:v>
      </x:c>
      <x:c r="C3783" t="str">
        <x:v>Pasted text(56).txt</x:v>
      </x:c>
    </x:row>
    <x:row r="3784">
      <x:c r="A3784" t="n">
        <x:v>3783</x:v>
      </x:c>
      <x:c r="B3784" s="106" t="str"/>
      <x:c r="C3784" t="str">
        <x:v>Pasted text(56).txt</x:v>
      </x:c>
    </x:row>
    <x:row r="3785">
      <x:c r="A3785" t="n">
        <x:v>3784</x:v>
      </x:c>
      <x:c r="B3785" s="106" t="str">
        <x:v>FIXED-DAC HOLD VALIDATION</x:v>
      </x:c>
      <x:c r="C3785" t="str">
        <x:v>Pasted text(56).txt</x:v>
      </x:c>
    </x:row>
    <x:row r="3786">
      <x:c r="A3786" t="n">
        <x:v>3785</x:v>
      </x:c>
      <x:c r="B3786" s="106" t="str">
        <x:v>DAC remains fixed at 10.00 for 10 records.</x:v>
      </x:c>
      <x:c r="C3786" t="str">
        <x:v>Pasted text(56).txt</x:v>
      </x:c>
    </x:row>
    <x:row r="3787">
      <x:c r="A3787" t="n">
        <x:v>3786</x:v>
      </x:c>
      <x:c r="B3787" s="106" t="str">
        <x:v>HOLD | point 1 | DAC 10.00 | CTRL X 0.89305 | X 0.89472 | Y 0.23763 | Z 0.41869 | TOTAL 1.01623 | error 0.34 % | MAD 0.42 % | CV 0.58 % | coh 93.5 % | dominant X | axis fraction 100.0 % | IN TARGET BAND</x:v>
      </x:c>
      <x:c r="C3787" t="str">
        <x:v>Pasted text(56).txt</x:v>
      </x:c>
    </x:row>
    <x:row r="3788">
      <x:c r="A3788" t="n">
        <x:v>3787</x:v>
      </x:c>
      <x:c r="B3788" s="106" t="str">
        <x:v>HOLD | point 2 | DAC 10.00 | CTRL X 0.88685 | X 0.88338 | Y 0.23979 | Z 0.40984 | TOTAL 1.00327 | error -0.35 % | MAD 0.23 % | CV 0.82 % | coh 92.1 % | dominant X | axis fraction 100.0 % | IN TARGET BAND</x:v>
      </x:c>
      <x:c r="C3788" t="str">
        <x:v>Pasted text(56).txt</x:v>
      </x:c>
    </x:row>
    <x:row r="3789">
      <x:c r="A3789" t="n">
        <x:v>3788</x:v>
      </x:c>
      <x:c r="B3789" s="106" t="str">
        <x:v>HOLD | point 3 | DAC 10.00 | CTRL X 0.86787 | X 0.86859 | Y 0.22754 | Z 0.40922 | TOTAL 0.98687 | error -2.49 % | MAD 0.57 % | CV 0.51 % | coh 90.7 % | dominant X | axis fraction 100.0 % | IN TARGET BAND</x:v>
      </x:c>
      <x:c r="C3789" t="str">
        <x:v>Pasted text(56).txt</x:v>
      </x:c>
    </x:row>
    <x:row r="3790">
      <x:c r="A3790" t="n">
        <x:v>3789</x:v>
      </x:c>
      <x:c r="B3790" s="106" t="str">
        <x:v>HOLD | point 4 | DAC 10.00 | CTRL X 0.87902 | X 0.87610 | Y 0.21595 | Z 0.41233 | TOTAL 0.99209 | error -1.23 % | MAD 0.67 % | CV 1.00 % | coh 92.0 % | dominant X | axis fraction 100.0 % | IN TARGET BAND</x:v>
      </x:c>
      <x:c r="C3790" t="str">
        <x:v>Pasted text(56).txt</x:v>
      </x:c>
    </x:row>
    <x:row r="3791">
      <x:c r="A3791" t="n">
        <x:v>3790</x:v>
      </x:c>
      <x:c r="B3791" s="106" t="str">
        <x:v>HOLD | point 5 | DAC 10.00 | CTRL X 0.88578 | X 0.88528 | Y 0.22665 | Z 0.43569 | TOTAL 1.01254 | error -0.47 % | MAD 2.78 % | CV 1.96 % | coh 92.1 % | dominant X | axis fraction 100.0 % | IN TARGET BAND</x:v>
      </x:c>
      <x:c r="C3791" t="str">
        <x:v>Pasted text(56).txt</x:v>
      </x:c>
    </x:row>
    <x:row r="3792">
      <x:c r="A3792" t="n">
        <x:v>3791</x:v>
      </x:c>
      <x:c r="B3792" s="106" t="str">
        <x:v>HOLD | point 6 | DAC 10.00 | CTRL X 0.86854 | X 0.86819 | Y 0.21862 | Z 0.41249 | TOTAL 0.98606 | error -2.41 % | MAD 0.85 % | CV 0.64 % | coh 91.2 % | dominant X | axis fraction 100.0 % | IN TARGET BAND</x:v>
      </x:c>
      <x:c r="C3792" t="str">
        <x:v>Pasted text(56).txt</x:v>
      </x:c>
    </x:row>
    <x:row r="3793">
      <x:c r="A3793" t="n">
        <x:v>3792</x:v>
      </x:c>
      <x:c r="B3793" s="106" t="str">
        <x:v>HOLD | point 7 | DAC 10.00 | CTRL X 0.89335 | X 0.88895 | Y 0.22567 | Z 0.41340 | TOTAL 1.00637 | error 0.38 % | MAD 1.46 % | CV 1.79 % | coh 93.5 % | dominant X | axis fraction 100.0 % | IN TARGET BAND</x:v>
      </x:c>
      <x:c r="C3793" t="str">
        <x:v>Pasted text(56).txt</x:v>
      </x:c>
    </x:row>
    <x:row r="3794">
      <x:c r="A3794" t="n">
        <x:v>3793</x:v>
      </x:c>
      <x:c r="B3794" s="106" t="str">
        <x:v>HOLD | point 8 | DAC 10.00 | CTRL X 0.88598 | X 0.88977 | Y 0.24702 | Z 0.40702 | TOTAL 1.00954 | error -0.45 % | MAD 1.24 % | CV 1.52 % | coh 92.4 % | dominant X | axis fraction 100.0 % | IN TARGET BAND</x:v>
      </x:c>
      <x:c r="C3794" t="str">
        <x:v>Pasted text(56).txt</x:v>
      </x:c>
    </x:row>
    <x:row r="3795">
      <x:c r="A3795" t="n">
        <x:v>3794</x:v>
      </x:c>
      <x:c r="B3795" s="106" t="str">
        <x:v>HOLD | point 9 | DAC 10.00 | CTRL X 0.88772 | X 0.89224 | Y 0.22970 | Z 0.40882 | TOTAL 1.00812 | error -0.26 % | MAD 0.23 % | CV 1.01 % | coh 93.2 % | dominant X | axis fraction 100.0 % | IN TARGET BAND</x:v>
      </x:c>
      <x:c r="C3795" t="str">
        <x:v>Pasted text(56).txt</x:v>
      </x:c>
    </x:row>
    <x:row r="3796">
      <x:c r="A3796" t="n">
        <x:v>3795</x:v>
      </x:c>
      <x:c r="B3796" s="106" t="str">
        <x:v>HOLD | point 10 | DAC 10.00 | CTRL X 0.88138 | X 0.88493 | Y 0.22123 | Z 0.40268 | TOTAL 0.99722 | error -0.97 % | MAD 0.36 % | CV 0.91 % | coh 92.2 % | dominant X | axis fraction 100.0 % | IN TARGET BAND</x:v>
      </x:c>
      <x:c r="C3796" t="str">
        <x:v>Pasted text(56).txt</x:v>
      </x:c>
    </x:row>
    <x:row r="3797">
      <x:c r="A3797" t="n">
        <x:v>3796</x:v>
      </x:c>
      <x:c r="B3797" s="106" t="str"/>
      <x:c r="C3797" t="str">
        <x:v>Pasted text(56).txt</x:v>
      </x:c>
    </x:row>
    <x:row r="3798">
      <x:c r="A3798" t="n">
        <x:v>3797</x:v>
      </x:c>
      <x:c r="B3798" s="106" t="str">
        <x:v>HOLD SUMMARY</x:v>
      </x:c>
      <x:c r="C3798" t="str">
        <x:v>Pasted text(56).txt</x:v>
      </x:c>
    </x:row>
    <x:row r="3799">
      <x:c r="A3799" t="n">
        <x:v>3798</x:v>
      </x:c>
      <x:c r="B3799" s="106" t="str">
        <x:v>Valid / requested: 10 / 10</x:v>
      </x:c>
      <x:c r="C3799" t="str">
        <x:v>Pasted text(56).txt</x:v>
      </x:c>
    </x:row>
    <x:row r="3800">
      <x:c r="A3800" t="n">
        <x:v>3799</x:v>
      </x:c>
      <x:c r="B3800" s="106" t="str">
        <x:v>In band / requested: 10 / 10 = 100.0 %</x:v>
      </x:c>
      <x:c r="C3800" t="str">
        <x:v>Pasted text(56).txt</x:v>
      </x:c>
    </x:row>
    <x:row r="3801">
      <x:c r="A3801" t="n">
        <x:v>3800</x:v>
      </x:c>
      <x:c r="B3801" s="106" t="str">
        <x:v>Mean / SD / CV: 0.88295 / 0.00893 / 1.01 %</x:v>
      </x:c>
      <x:c r="C3801" t="str">
        <x:v>Pasted text(56).txt</x:v>
      </x:c>
    </x:row>
    <x:row r="3802">
      <x:c r="A3802" t="n">
        <x:v>3801</x:v>
      </x:c>
      <x:c r="B3802" s="106" t="str">
        <x:v>Min / Max: 0.86787 / 0.89335</x:v>
      </x:c>
      <x:c r="C3802" t="str">
        <x:v>Pasted text(56).txt</x:v>
      </x:c>
    </x:row>
    <x:row r="3803">
      <x:c r="A3803" t="n">
        <x:v>3802</x:v>
      </x:c>
      <x:c r="B3803" s="106" t="str">
        <x:v>HOLD RESULT: PASS</x:v>
      </x:c>
      <x:c r="C3803" t="str">
        <x:v>Pasted text(56).txt</x:v>
      </x:c>
    </x:row>
    <x:row r="3804">
      <x:c r="A3804" t="n">
        <x:v>3803</x:v>
      </x:c>
      <x:c r="B3804" s="106" t="str"/>
      <x:c r="C3804" t="str">
        <x:v>Pasted text(56).txt</x:v>
      </x:c>
    </x:row>
    <x:row r="3805">
      <x:c r="A3805" t="n">
        <x:v>3804</x:v>
      </x:c>
      <x:c r="B3805" s="106" t="str">
        <x:v>RUN RESULT: PASS</x:v>
      </x:c>
      <x:c r="C3805" t="str">
        <x:v>Pasted text(56).txt</x:v>
      </x:c>
    </x:row>
    <x:row r="3806">
      <x:c r="A3806" t="n">
        <x:v>3805</x:v>
      </x:c>
      <x:c r="B3806" s="106" t="str">
        <x:v>Selected DAC: 10.00</x:v>
      </x:c>
      <x:c r="C3806" t="str">
        <x:v>Pasted text(56).txt</x:v>
      </x:c>
    </x:row>
    <x:row r="3807">
      <x:c r="A3807" t="n">
        <x:v>3806</x:v>
      </x:c>
      <x:c r="B3807" s="106" t="str">
        <x:v>Validated amplitude: 0.87294 m/s^2 | error -1.92 %</x:v>
      </x:c>
      <x:c r="C3807" t="str">
        <x:v>Pasted text(56).txt</x:v>
      </x:c>
    </x:row>
    <x:row r="3808">
      <x:c r="A3808" t="n">
        <x:v>3807</x:v>
      </x:c>
      <x:c r="B3808" s="106" t="str">
        <x:v>FFT frequency: 268.02353 Hz | difference 0.02353 Hz</x:v>
      </x:c>
      <x:c r="C3808" t="str">
        <x:v>Pasted text(56).txt</x:v>
      </x:c>
    </x:row>
    <x:row r="3809">
      <x:c r="A3809" t="n">
        <x:v>3808</x:v>
      </x:c>
      <x:c r="B3809" s="106" t="str"/>
      <x:c r="C3809" t="str">
        <x:v>Pasted text(56).txt</x:v>
      </x:c>
    </x:row>
    <x:row r="3810">
      <x:c r="A3810" t="n">
        <x:v>3809</x:v>
      </x:c>
      <x:c r="B3810" s="106" t="str">
        <x:v>VISATON OFF. RESTING 5.0 s BEFORE THE NEXT COMPLETELY FRESH RUN.</x:v>
      </x:c>
      <x:c r="C3810" t="str">
        <x:v>Pasted text(56).txt</x:v>
      </x:c>
    </x:row>
    <x:row r="3811">
      <x:c r="A3811" t="n">
        <x:v>3810</x:v>
      </x:c>
      <x:c r="B3811" s="106" t="str"/>
      <x:c r="C3811" t="str">
        <x:v>Pasted text(56).txt</x:v>
      </x:c>
    </x:row>
    <x:row r="3812">
      <x:c r="A3812" t="n">
        <x:v>3811</x:v>
      </x:c>
      <x:c r="B3812" s="106" t="str">
        <x:v>################################################################################</x:v>
      </x:c>
      <x:c r="C3812" t="str">
        <x:v>Pasted text(56).txt</x:v>
      </x:c>
    </x:row>
    <x:row r="3813">
      <x:c r="A3813" t="n">
        <x:v>3812</x:v>
      </x:c>
      <x:c r="B3813" s="106" t="str">
        <x:v>INDEPENDENT TARGET-AMPLITUDE RUN 4 OF 5</x:v>
      </x:c>
      <x:c r="C3813" t="str">
        <x:v>Pasted text(56).txt</x:v>
      </x:c>
    </x:row>
    <x:row r="3814">
      <x:c r="A3814" t="n">
        <x:v>3813</x:v>
      </x:c>
      <x:c r="B3814" s="106" t="str">
        <x:v>################################################################################</x:v>
      </x:c>
      <x:c r="C3814" t="str">
        <x:v>Pasted text(56).txt</x:v>
      </x:c>
    </x:row>
    <x:row r="3815">
      <x:c r="A3815" t="n">
        <x:v>3814</x:v>
      </x:c>
      <x:c r="B3815" s="106" t="str">
        <x:v>Frequency: 268.00000 Hz</x:v>
      </x:c>
      <x:c r="C3815" t="str">
        <x:v>Pasted text(56).txt</x:v>
      </x:c>
    </x:row>
    <x:row r="3816">
      <x:c r="A3816" t="n">
        <x:v>3815</x:v>
      </x:c>
      <x:c r="B3816" s="106" t="str">
        <x:v>Target X amplitude: 0.89000 m/s^2 peak, tolerance +/-7.50 %</x:v>
      </x:c>
      <x:c r="C3816" t="str">
        <x:v>Pasted text(56).txt</x:v>
      </x:c>
    </x:row>
    <x:row r="3817">
      <x:c r="A3817" t="n">
        <x:v>3816</x:v>
      </x:c>
      <x:c r="B3817" s="106" t="str">
        <x:v>This run starts from DAC 1.00 and ignores every earlier selected DAC.</x:v>
      </x:c>
      <x:c r="C3817" t="str">
        <x:v>Pasted text(56).txt</x:v>
      </x:c>
    </x:row>
    <x:row r="3818">
      <x:c r="A3818" t="n">
        <x:v>3817</x:v>
      </x:c>
      <x:c r="B3818" s="106" t="str">
        <x:v>ADXL2 DEVID/DATA_FORMAT/BW_RATE/POWER_CTL: 0xE5 / 0xB / 0xE / 0x8</x:v>
      </x:c>
      <x:c r="C3818" t="str">
        <x:v>Pasted text(56).txt</x:v>
      </x:c>
    </x:row>
    <x:row r="3819">
      <x:c r="A3819" t="n">
        <x:v>3818</x:v>
      </x:c>
      <x:c r="B3819" s="106" t="str"/>
      <x:c r="C3819" t="str">
        <x:v>Pasted text(56).txt</x:v>
      </x:c>
    </x:row>
    <x:row r="3820">
      <x:c r="A3820" t="n">
        <x:v>3819</x:v>
      </x:c>
      <x:c r="B3820" s="106" t="str">
        <x:v>ACQUISITION ATTEMPT 1 OF 2</x:v>
      </x:c>
      <x:c r="C3820" t="str">
        <x:v>Pasted text(56).txt</x:v>
      </x:c>
    </x:row>
    <x:row r="3821">
      <x:c r="A3821" t="n">
        <x:v>3820</x:v>
      </x:c>
      <x:c r="B3821" s="106" t="str"/>
      <x:c r="C3821" t="str">
        <x:v>Pasted text(56).txt</x:v>
      </x:c>
    </x:row>
    <x:row r="3822">
      <x:c r="A3822" t="n">
        <x:v>3821</x:v>
      </x:c>
      <x:c r="B3822" s="106" t="str">
        <x:v>FRESH X-AXIS SEARCH FROM DAC 1.00 — OLD DAC VALUES ARE NOT USED</x:v>
      </x:c>
      <x:c r="C3822" t="str">
        <x:v>Pasted text(56).txt</x:v>
      </x:c>
    </x:row>
    <x:row r="3823">
      <x:c r="A3823" t="n">
        <x:v>3822</x:v>
      </x:c>
      <x:c r="B3823" s="106" t="str">
        <x:v>Y/Z are diagnostic only and cannot abort this search.</x:v>
      </x:c>
      <x:c r="C3823" t="str">
        <x:v>Pasted text(56).txt</x:v>
      </x:c>
    </x:row>
    <x:row r="3824">
      <x:c r="A3824" t="n">
        <x:v>3823</x:v>
      </x:c>
      <x:c r="B3824" s="106" t="str">
        <x:v>A real SPI fault, clipping, safety limit or confirmed X-response collapse will stop it.</x:v>
      </x:c>
      <x:c r="C3824" t="str">
        <x:v>Pasted text(56).txt</x:v>
      </x:c>
    </x:row>
    <x:row r="3825">
      <x:c r="A3825" t="n">
        <x:v>3824</x:v>
      </x:c>
      <x:c r="B3825" s="106" t="str">
        <x:v>SEARCH | point 1 | DAC 1.00 | CTRL X 0.00986 | X 0.00935 | Y 0.00683 | Z 0.01294 | TOTAL 0.01862 | error -98.89 % | MAD 15.26 % | CV 7.67 % | coh 5.5 % | dominant Z | axis fraction 72.3 % | BELOW MEASUREMENT FLOOR — SEARCH CONTINUES</x:v>
      </x:c>
      <x:c r="C3825" t="str">
        <x:v>Pasted text(56).txt</x:v>
      </x:c>
    </x:row>
    <x:row r="3826">
      <x:c r="A3826" t="n">
        <x:v>3825</x:v>
      </x:c>
      <x:c r="B3826" s="106" t="str">
        <x:v>SEARCH | point 2 | DAC 3.00 | CTRL X 0.15109 | X 0.14791 | Y 0.06488 | Z 0.11031 | TOTAL 0.19644 | error -83.02 % | MAD 6.15 % | CV 7.69 % | coh 61.1 % | dominant X | axis fraction 100.0 % | VALID</x:v>
      </x:c>
      <x:c r="C3826" t="str">
        <x:v>Pasted text(56).txt</x:v>
      </x:c>
    </x:row>
    <x:row r="3827">
      <x:c r="A3827" t="n">
        <x:v>3826</x:v>
      </x:c>
      <x:c r="B3827" s="106" t="str">
        <x:v>SEARCH | point 3 | DAC 5.00 | CTRL X 0.34335 | X 0.34319 | Y 0.09447 | Z 0.21133 | TOTAL 0.41437 | error -61.42 % | MAD 1.31 % | CV 0.95 % | coh 82.6 % | dominant X | axis fraction 100.0 % | VALID</x:v>
      </x:c>
      <x:c r="C3827" t="str">
        <x:v>Pasted text(56).txt</x:v>
      </x:c>
    </x:row>
    <x:row r="3828">
      <x:c r="A3828" t="n">
        <x:v>3827</x:v>
      </x:c>
      <x:c r="B3828" s="106" t="str">
        <x:v>SEARCH | point 4 | DAC 6.00 | CTRL X 0.42155 | X 0.42943 | Y 0.12297 | Z 0.25258 | TOTAL 0.51318 | error -52.63 % | MAD 3.28 % | CV 5.17 % | coh 84.4 % | dominant X | axis fraction 100.0 % | VALID</x:v>
      </x:c>
      <x:c r="C3828" t="str">
        <x:v>Pasted text(56).txt</x:v>
      </x:c>
    </x:row>
    <x:row r="3829">
      <x:c r="A3829" t="n">
        <x:v>3828</x:v>
      </x:c>
      <x:c r="B3829" s="106" t="str">
        <x:v>SEARCH | point 5 | DAC 7.00 | CTRL X 0.56096 | X 0.55353 | Y 0.15843 | Z 0.28922 | TOTAL 0.64462 | error -36.97 % | MAD 0.21 % | CV 2.45 % | coh 87.5 % | dominant X | axis fraction 100.0 % | VALID</x:v>
      </x:c>
      <x:c r="C3829" t="str">
        <x:v>Pasted text(56).txt</x:v>
      </x:c>
    </x:row>
    <x:row r="3830">
      <x:c r="A3830" t="n">
        <x:v>3829</x:v>
      </x:c>
      <x:c r="B3830" s="106" t="str">
        <x:v>SEARCH | point 6 | DAC 7.50 | CTRL X 0.59628 | X 0.59798 | Y 0.16771 | Z 0.30430 | TOTAL 0.69163 | error -33.00 % | MAD 1.14 % | CV 1.22 % | coh 90.8 % | dominant X | axis fraction 100.0 % | VALID</x:v>
      </x:c>
      <x:c r="C3830" t="str">
        <x:v>Pasted text(56).txt</x:v>
      </x:c>
    </x:row>
    <x:row r="3831">
      <x:c r="A3831" t="n">
        <x:v>3830</x:v>
      </x:c>
      <x:c r="B3831" s="106" t="str">
        <x:v>SEARCH | point 7 | DAC 8.00 | CTRL X 0.66934 | X 0.66519 | Y 0.17008 | Z 0.34523 | TOTAL 0.76865 | error -24.79 % | MAD 1.28 % | CV 1.89 % | coh 92.2 % | dominant X | axis fraction 100.0 % | VALID</x:v>
      </x:c>
      <x:c r="C3831" t="str">
        <x:v>Pasted text(56).txt</x:v>
      </x:c>
    </x:row>
    <x:row r="3832">
      <x:c r="A3832" t="n">
        <x:v>3831</x:v>
      </x:c>
      <x:c r="B3832" s="106" t="str">
        <x:v>SEARCH | point 8 | DAC 8.50 | CTRL X 0.70874 | X 0.70414 | Y 0.18088 | Z 0.35829 | TOTAL 0.81095 | error -20.37 % | MAD 0.22 % | CV 1.26 % | coh 90.5 % | dominant X | axis fraction 100.0 % | VALID</x:v>
      </x:c>
      <x:c r="C3832" t="str">
        <x:v>Pasted text(56).txt</x:v>
      </x:c>
    </x:row>
    <x:row r="3833">
      <x:c r="A3833" t="n">
        <x:v>3832</x:v>
      </x:c>
      <x:c r="B3833" s="106" t="str">
        <x:v>SEARCH | point 9 | DAC 9.00 | CTRL X 0.75253 | X 0.75371 | Y 0.18672 | Z 0.37701 | TOTAL 0.86359 | error -15.45 % | MAD 0.45 % | CV 0.56 % | coh 89.4 % | dominant X | axis fraction 100.0 % | VALID</x:v>
      </x:c>
      <x:c r="C3833" t="str">
        <x:v>Pasted text(56).txt</x:v>
      </x:c>
    </x:row>
    <x:row r="3834">
      <x:c r="A3834" t="n">
        <x:v>3833</x:v>
      </x:c>
      <x:c r="B3834" s="106" t="str">
        <x:v>SEARCH | point 10 | DAC 9.50 | CTRL X 0.79206 | X 0.79883 | Y 0.19650 | Z 0.40356 | TOTAL 0.91641 | error -11.00 % | MAD 1.52 % | CV 2.40 % | coh 91.6 % | dominant X | axis fraction 100.0 % | VALID</x:v>
      </x:c>
      <x:c r="C3834" t="str">
        <x:v>Pasted text(56).txt</x:v>
      </x:c>
    </x:row>
    <x:row r="3835">
      <x:c r="A3835" t="n">
        <x:v>3834</x:v>
      </x:c>
      <x:c r="B3835" s="106" t="str">
        <x:v>SEARCH | point 11 | DAC 9.75 | CTRL X 0.85636 | X 0.86141 | Y 0.21493 | Z 0.41046 | TOTAL 0.97853 | error -3.78 % | MAD 0.56 % | CV 1.35 % | coh 92.2 % | dominant X | axis fraction 100.0 % | IN TARGET BAND</x:v>
      </x:c>
      <x:c r="C3835" t="str">
        <x:v>Pasted text(56).txt</x:v>
      </x:c>
    </x:row>
    <x:row r="3836">
      <x:c r="A3836" t="n">
        <x:v>3835</x:v>
      </x:c>
      <x:c r="B3836" s="106" t="str"/>
      <x:c r="C3836" t="str">
        <x:v>Pasted text(56).txt</x:v>
      </x:c>
    </x:row>
    <x:row r="3837">
      <x:c r="A3837" t="n">
        <x:v>3836</x:v>
      </x:c>
      <x:c r="B3837" s="106" t="str">
        <x:v>LOCAL 0.25-DAC X-AXIS FINE SCAN</x:v>
      </x:c>
      <x:c r="C3837" t="str">
        <x:v>Pasted text(56).txt</x:v>
      </x:c>
    </x:row>
    <x:row r="3838">
      <x:c r="A3838" t="n">
        <x:v>3837</x:v>
      </x:c>
      <x:c r="B3838" s="106" t="str">
        <x:v>Only a valid point actually inside the X target band may be selected.</x:v>
      </x:c>
      <x:c r="C3838" t="str">
        <x:v>Pasted text(56).txt</x:v>
      </x:c>
    </x:row>
    <x:row r="3839">
      <x:c r="A3839" t="n">
        <x:v>3838</x:v>
      </x:c>
      <x:c r="B3839" s="106" t="str">
        <x:v>FINE | point 1 | DAC 8.75 | CTRL X 0.76054 | X 0.74570 | Y 0.20399 | Z 0.37489 | TOTAL 0.85968 | error -14.55 % | MAD 0.57 % | CV 3.79 % | coh 92.2 % | dominant X | axis fraction 100.0 % | VALID</x:v>
      </x:c>
      <x:c r="C3839" t="str">
        <x:v>Pasted text(56).txt</x:v>
      </x:c>
    </x:row>
    <x:row r="3840">
      <x:c r="A3840" t="n">
        <x:v>3839</x:v>
      </x:c>
      <x:c r="B3840" s="106" t="str">
        <x:v>FINE | point 2 | DAC 9.00 | CTRL X 0.76781 | X 0.76905 | Y 0.19576 | Z 0.36735 | TOTAL 0.87472 | error -13.73 % | MAD 0.43 % | CV 0.55 % | coh 92.0 % | dominant X | axis fraction 100.0 % | VALID</x:v>
      </x:c>
      <x:c r="C3840" t="str">
        <x:v>Pasted text(56).txt</x:v>
      </x:c>
    </x:row>
    <x:row r="3841">
      <x:c r="A3841" t="n">
        <x:v>3840</x:v>
      </x:c>
      <x:c r="B3841" s="106" t="str">
        <x:v>FINE | point 3 | DAC 9.25 | CTRL X 0.79527 | X 0.79159 | Y 0.20452 | Z 0.38207 | TOTAL 0.90254 | error -10.64 % | MAD 2.42 % | CV 2.37 % | coh 91.1 % | dominant X | axis fraction 100.0 % | VALID</x:v>
      </x:c>
      <x:c r="C3841" t="str">
        <x:v>Pasted text(56).txt</x:v>
      </x:c>
    </x:row>
    <x:row r="3842">
      <x:c r="A3842" t="n">
        <x:v>3841</x:v>
      </x:c>
      <x:c r="B3842" s="106" t="str">
        <x:v>FINE | point 4 | DAC 9.50 | CTRL X 0.79857 | X 0.80504 | Y 0.22901 | Z 0.38469 | TOTAL 0.92145 | error -10.27 % | MAD 0.88 % | CV 1.93 % | coh 92.2 % | dominant X | axis fraction 100.0 % | VALID</x:v>
      </x:c>
      <x:c r="C3842" t="str">
        <x:v>Pasted text(56).txt</x:v>
      </x:c>
    </x:row>
    <x:row r="3843">
      <x:c r="A3843" t="n">
        <x:v>3842</x:v>
      </x:c>
      <x:c r="B3843" s="106" t="str">
        <x:v>FINE | point 5 | DAC 9.75 | CTRL X 0.86446 | X 0.86107 | Y 0.21974 | Z 0.40477 | TOTAL 0.97652 | error -2.87 % | MAD 0.53 % | CV 1.01 % | coh 92.4 % | dominant X | axis fraction 100.0 % | IN TARGET BAND</x:v>
      </x:c>
      <x:c r="C3843" t="str">
        <x:v>Pasted text(56).txt</x:v>
      </x:c>
    </x:row>
    <x:row r="3844">
      <x:c r="A3844" t="n">
        <x:v>3843</x:v>
      </x:c>
      <x:c r="B3844" s="106" t="str">
        <x:v>FINE | point 6 | DAC 10.00 | CTRL X 0.88202 | X 0.88603 | Y 0.22924 | Z 0.42562 | TOTAL 1.00958 | error -0.90 % | MAD 0.23 % | CV 0.92 % | coh 91.5 % | dominant X | axis fraction 100.0 % | IN TARGET BAND</x:v>
      </x:c>
      <x:c r="C3844" t="str">
        <x:v>Pasted text(56).txt</x:v>
      </x:c>
    </x:row>
    <x:row r="3845">
      <x:c r="A3845" t="n">
        <x:v>3844</x:v>
      </x:c>
      <x:c r="B3845" s="106" t="str">
        <x:v>FINE | point 7 | DAC 10.25 | CTRL X 0.91818 | X 0.91947 | Y 0.23774 | Z 0.43770 | TOTAL 1.04601 | error 3.17 % | MAD 0.30 % | CV 0.43 % | coh 93.6 % | dominant X | axis fraction 100.0 % | IN TARGET BAND</x:v>
      </x:c>
      <x:c r="C3845" t="str">
        <x:v>Pasted text(56).txt</x:v>
      </x:c>
    </x:row>
    <x:row r="3846">
      <x:c r="A3846" t="n">
        <x:v>3845</x:v>
      </x:c>
      <x:c r="B3846" s="106" t="str">
        <x:v>FINE | point 8 | DAC 10.50 | CTRL X 0.91616 | X 0.91828 | Y 0.24264 | Z 0.44428 | TOTAL 1.04874 | error 2.94 % | MAD 1.66 % | CV 1.48 % | coh 92.7 % | dominant X | axis fraction 100.0 % | IN TARGET BAND</x:v>
      </x:c>
      <x:c r="C3846" t="str">
        <x:v>Pasted text(56).txt</x:v>
      </x:c>
    </x:row>
    <x:row r="3847">
      <x:c r="A3847" t="n">
        <x:v>3846</x:v>
      </x:c>
      <x:c r="B3847" s="106" t="str">
        <x:v>FINE | point 9 | DAC 10.75 | CTRL X 0.97203 | X 0.96619 | Y 0.25318 | Z 0.44966 | TOTAL 1.09550 | error 9.22 % | MAD 0.07 % | CV 1.09 % | coh 92.7 % | dominant X | axis fraction 100.0 % | VALID</x:v>
      </x:c>
      <x:c r="C3847" t="str">
        <x:v>Pasted text(56).txt</x:v>
      </x:c>
    </x:row>
    <x:row r="3848">
      <x:c r="A3848" t="n">
        <x:v>3847</x:v>
      </x:c>
      <x:c r="B3848" s="106" t="str"/>
      <x:c r="C3848" t="str">
        <x:v>Pasted text(56).txt</x:v>
      </x:c>
    </x:row>
    <x:row r="3849">
      <x:c r="A3849" t="n">
        <x:v>3848</x:v>
      </x:c>
      <x:c r="B3849" s="106" t="str">
        <x:v>LONG VALIDATION AT FIXED DAC 10.00</x:v>
      </x:c>
      <x:c r="C3849" t="str">
        <x:v>Pasted text(56).txt</x:v>
      </x:c>
    </x:row>
    <x:row r="3850">
      <x:c r="A3850" t="n">
        <x:v>3849</x:v>
      </x:c>
      <x:c r="B3850" s="106" t="str">
        <x:v>FINAL | point 1 | DAC 10.00 | CTRL X 0.83068 | X 0.81941 | Y 0.22110 | Z 0.39634 | TOTAL 0.93693 | error -6.67 % | MAD 9.94 % | CV 12.08 % | coh 91.3 % | dominant X | axis fraction 100.0 % | UNSTABLE — SEARCH CONTINUES</x:v>
      </x:c>
      <x:c r="C3850" t="str">
        <x:v>Pasted text(56).txt</x:v>
      </x:c>
    </x:row>
    <x:row r="3851">
      <x:c r="A3851" t="n">
        <x:v>3850</x:v>
      </x:c>
      <x:c r="B3851" s="106" t="str">
        <x:v>FINAL | point 2 | DAC 10.00 | CTRL X 0.55675 | X 0.57393 | Y 0.26615 | Z 0.28642 | TOTAL 0.69715 | error -37.44 % | MAD 36.22 % | CV 24.80 % | coh 85.4 % | dominant X | axis fraction 100.0 % | UNSTABLE — SEARCH CONTINUES</x:v>
      </x:c>
      <x:c r="C3851" t="str">
        <x:v>Pasted text(56).txt</x:v>
      </x:c>
    </x:row>
    <x:row r="3852">
      <x:c r="A3852" t="n">
        <x:v>3851</x:v>
      </x:c>
      <x:c r="B3852" s="106" t="str">
        <x:v>FINAL | point 3 | DAC 10.00 | CTRL X 0.88328 | X 0.87031 | Y 0.24179 | Z 0.38090 | TOTAL 0.98043 | error -0.76 % | MAD 1.91 % | CV 4.49 % | coh 92.5 % | dominant X | axis fraction 100.0 % | IN TARGET BAND</x:v>
      </x:c>
      <x:c r="C3852" t="str">
        <x:v>Pasted text(56).txt</x:v>
      </x:c>
    </x:row>
    <x:row r="3853">
      <x:c r="A3853" t="n">
        <x:v>3852</x:v>
      </x:c>
      <x:c r="B3853" s="106" t="str"/>
      <x:c r="C3853" t="str">
        <x:v>Pasted text(56).txt</x:v>
      </x:c>
    </x:row>
    <x:row r="3854">
      <x:c r="A3854" t="n">
        <x:v>3853</x:v>
      </x:c>
      <x:c r="B3854" s="106" t="str">
        <x:v>ACQUISITION ATTEMPT 2 OF 2</x:v>
      </x:c>
      <x:c r="C3854" t="str">
        <x:v>Pasted text(56).txt</x:v>
      </x:c>
    </x:row>
    <x:row r="3855">
      <x:c r="A3855" t="n">
        <x:v>3854</x:v>
      </x:c>
      <x:c r="B3855" s="106" t="str"/>
      <x:c r="C3855" t="str">
        <x:v>Pasted text(56).txt</x:v>
      </x:c>
    </x:row>
    <x:row r="3856">
      <x:c r="A3856" t="n">
        <x:v>3855</x:v>
      </x:c>
      <x:c r="B3856" s="106" t="str">
        <x:v>FRESH X-AXIS SEARCH FROM DAC 1.00 — OLD DAC VALUES ARE NOT USED</x:v>
      </x:c>
      <x:c r="C3856" t="str">
        <x:v>Pasted text(56).txt</x:v>
      </x:c>
    </x:row>
    <x:row r="3857">
      <x:c r="A3857" t="n">
        <x:v>3856</x:v>
      </x:c>
      <x:c r="B3857" s="106" t="str">
        <x:v>Y/Z are diagnostic only and cannot abort this search.</x:v>
      </x:c>
      <x:c r="C3857" t="str">
        <x:v>Pasted text(56).txt</x:v>
      </x:c>
    </x:row>
    <x:row r="3858">
      <x:c r="A3858" t="n">
        <x:v>3857</x:v>
      </x:c>
      <x:c r="B3858" s="106" t="str">
        <x:v>A real SPI fault, clipping, safety limit or confirmed X-response collapse will stop it.</x:v>
      </x:c>
      <x:c r="C3858" t="str">
        <x:v>Pasted text(56).txt</x:v>
      </x:c>
    </x:row>
    <x:row r="3859">
      <x:c r="A3859" t="n">
        <x:v>3858</x:v>
      </x:c>
      <x:c r="B3859" s="106" t="str">
        <x:v>SEARCH | point 1 | DAC 1.00 | CTRL X 0.00922 | X 0.00852 | Y 0.01211 | Z 0.03344 | TOTAL 0.03920 | error -98.96 % | MAD 22.40 % | CV 11.56 % | coh 5.1 % | dominant Z | axis fraction 25.5 % | BELOW MEASUREMENT FLOOR — SEARCH CONTINUES</x:v>
      </x:c>
      <x:c r="C3859" t="str">
        <x:v>Pasted text(56).txt</x:v>
      </x:c>
    </x:row>
    <x:row r="3860">
      <x:c r="A3860" t="n">
        <x:v>3859</x:v>
      </x:c>
      <x:c r="B3860" s="106" t="str">
        <x:v>SEARCH | point 2 | DAC 3.00 | CTRL X 0.15817 | X 0.15980 | Y 0.05584 | Z 0.10727 | TOTAL 0.20235 | error -82.23 % | MAD 3.06 % | CV 1.44 % | coh 64.0 % | dominant X | axis fraction 100.0 % | VALID</x:v>
      </x:c>
      <x:c r="C3860" t="str">
        <x:v>Pasted text(56).txt</x:v>
      </x:c>
    </x:row>
    <x:row r="3861">
      <x:c r="A3861" t="n">
        <x:v>3860</x:v>
      </x:c>
      <x:c r="B3861" s="106" t="str">
        <x:v>SEARCH | point 3 | DAC 5.00 | CTRL X 0.34964 | X 0.34468 | Y 0.10326 | Z 0.18752 | TOTAL 0.40613 | error -60.71 % | MAD 0.88 % | CV 3.03 % | coh 81.8 % | dominant X | axis fraction 100.0 % | VALID</x:v>
      </x:c>
      <x:c r="C3861" t="str">
        <x:v>Pasted text(56).txt</x:v>
      </x:c>
    </x:row>
    <x:row r="3862">
      <x:c r="A3862" t="n">
        <x:v>3861</x:v>
      </x:c>
      <x:c r="B3862" s="106" t="str">
        <x:v>SEARCH | point 4 | DAC 6.00 | CTRL X 0.43791 | X 0.44256 | Y 0.12920 | Z 0.23791 | TOTAL 0.51909 | error -50.80 % | MAD 2.45 % | CV 3.34 % | coh 85.2 % | dominant X | axis fraction 100.0 % | VALID</x:v>
      </x:c>
      <x:c r="C3862" t="str">
        <x:v>Pasted text(56).txt</x:v>
      </x:c>
    </x:row>
    <x:row r="3863">
      <x:c r="A3863" t="n">
        <x:v>3862</x:v>
      </x:c>
      <x:c r="B3863" s="106" t="str">
        <x:v>SEARCH | point 5 | DAC 7.00 | CTRL X 0.56534 | X 0.56133 | Y 0.16408 | Z 0.28190 | TOTAL 0.64940 | error -36.48 % | MAD 1.48 % | CV 2.17 % | coh 89.9 % | dominant X | axis fraction 100.0 % | VALID</x:v>
      </x:c>
      <x:c r="C3863" t="str">
        <x:v>Pasted text(56).txt</x:v>
      </x:c>
    </x:row>
    <x:row r="3864">
      <x:c r="A3864" t="n">
        <x:v>3863</x:v>
      </x:c>
      <x:c r="B3864" s="106" t="str">
        <x:v>SEARCH | point 6 | DAC 7.50 | CTRL X 0.58923 | X 0.58740 | Y 0.16870 | Z 0.28973 | TOTAL 0.67681 | error -33.79 % | MAD 0.70 % | CV 0.98 % | coh 88.9 % | dominant X | axis fraction 100.0 % | VALID</x:v>
      </x:c>
      <x:c r="C3864" t="str">
        <x:v>Pasted text(56).txt</x:v>
      </x:c>
    </x:row>
    <x:row r="3865">
      <x:c r="A3865" t="n">
        <x:v>3864</x:v>
      </x:c>
      <x:c r="B3865" s="106" t="str">
        <x:v>SEARCH | point 7 | DAC 8.00 | CTRL X 0.67683 | X 0.67497 | Y 0.18588 | Z 0.31905 | TOTAL 0.76985 | error -23.95 % | MAD 0.36 % | CV 0.70 % | coh 92.2 % | dominant X | axis fraction 100.0 % | VALID</x:v>
      </x:c>
      <x:c r="C3865" t="str">
        <x:v>Pasted text(56).txt</x:v>
      </x:c>
    </x:row>
    <x:row r="3866">
      <x:c r="A3866" t="n">
        <x:v>3865</x:v>
      </x:c>
      <x:c r="B3866" s="106" t="str">
        <x:v>SEARCH | point 8 | DAC 8.50 | CTRL X 0.70079 | X 0.69989 | Y 0.18356 | Z 0.32961 | TOTAL 0.79554 | error -21.26 % | MAD 1.31 % | CV 1.09 % | coh 90.6 % | dominant X | axis fraction 100.0 % | VALID</x:v>
      </x:c>
      <x:c r="C3866" t="str">
        <x:v>Pasted text(56).txt</x:v>
      </x:c>
    </x:row>
    <x:row r="3867">
      <x:c r="A3867" t="n">
        <x:v>3866</x:v>
      </x:c>
      <x:c r="B3867" s="106" t="str">
        <x:v>SEARCH | point 9 | DAC 9.00 | CTRL X 0.76499 | X 0.76561 | Y 0.20117 | Z 0.34979 | TOTAL 0.86555 | error -14.05 % | MAD 0.00 % | CV 0.14 % | coh 92.0 % | dominant X | axis fraction 100.0 % | VALID</x:v>
      </x:c>
      <x:c r="C3867" t="str">
        <x:v>Pasted text(56).txt</x:v>
      </x:c>
    </x:row>
    <x:row r="3868">
      <x:c r="A3868" t="n">
        <x:v>3867</x:v>
      </x:c>
      <x:c r="B3868" s="106" t="str">
        <x:v>SEARCH | point 10 | DAC 9.25 | CTRL X 0.80457 | X 0.80281 | Y 0.22459 | Z 0.36635 | TOTAL 0.91084 | error -9.60 % | MAD 1.26 % | CV 1.20 % | coh 92.0 % | dominant X | axis fraction 100.0 % | VALID</x:v>
      </x:c>
      <x:c r="C3868" t="str">
        <x:v>Pasted text(56).txt</x:v>
      </x:c>
    </x:row>
    <x:row r="3869">
      <x:c r="A3869" t="n">
        <x:v>3868</x:v>
      </x:c>
      <x:c r="B3869" s="106" t="str">
        <x:v>SEARCH | point 11 | DAC 9.50 | CTRL X 0.80581 | X 0.80220 | Y 0.20971 | Z 0.35886 | TOTAL 0.90358 | error -9.46 % | MAD 0.09 % | CV 0.84 % | coh 91.2 % | dominant X | axis fraction 100.0 % | VALID</x:v>
      </x:c>
      <x:c r="C3869" t="str">
        <x:v>Pasted text(56).txt</x:v>
      </x:c>
    </x:row>
    <x:row r="3870">
      <x:c r="A3870" t="n">
        <x:v>3869</x:v>
      </x:c>
      <x:c r="B3870" s="106" t="str">
        <x:v>SEARCH | point 12 | DAC 9.75 | CTRL X 0.87711 | X 0.87239 | Y 0.22960 | Z 0.38090 | TOTAL 0.97981 | error -1.45 % | MAD 1.53 % | CV 1.91 % | coh 92.8 % | dominant X | axis fraction 100.0 % | IN TARGET BAND</x:v>
      </x:c>
      <x:c r="C3870" t="str">
        <x:v>Pasted text(56).txt</x:v>
      </x:c>
    </x:row>
    <x:row r="3871">
      <x:c r="A3871" t="n">
        <x:v>3870</x:v>
      </x:c>
      <x:c r="B3871" s="106" t="str"/>
      <x:c r="C3871" t="str">
        <x:v>Pasted text(56).txt</x:v>
      </x:c>
    </x:row>
    <x:row r="3872">
      <x:c r="A3872" t="n">
        <x:v>3871</x:v>
      </x:c>
      <x:c r="B3872" s="106" t="str">
        <x:v>LOCAL 0.25-DAC X-AXIS FINE SCAN</x:v>
      </x:c>
      <x:c r="C3872" t="str">
        <x:v>Pasted text(56).txt</x:v>
      </x:c>
    </x:row>
    <x:row r="3873">
      <x:c r="A3873" t="n">
        <x:v>3872</x:v>
      </x:c>
      <x:c r="B3873" s="106" t="str">
        <x:v>Only a valid point actually inside the X target band may be selected.</x:v>
      </x:c>
      <x:c r="C3873" t="str">
        <x:v>Pasted text(56).txt</x:v>
      </x:c>
    </x:row>
    <x:row r="3874">
      <x:c r="A3874" t="n">
        <x:v>3873</x:v>
      </x:c>
      <x:c r="B3874" s="106" t="str">
        <x:v>FINE | point 1 | DAC 8.75 | CTRL X 0.75032 | X 0.75227 | Y 0.20452 | Z 0.34840 | TOTAL 0.85414 | error -15.69 % | MAD 0.93 % | CV 1.04 % | coh 92.8 % | dominant X | axis fraction 100.0 % | VALID</x:v>
      </x:c>
      <x:c r="C3874" t="str">
        <x:v>Pasted text(56).txt</x:v>
      </x:c>
    </x:row>
    <x:row r="3875">
      <x:c r="A3875" t="n">
        <x:v>3874</x:v>
      </x:c>
      <x:c r="B3875" s="106" t="str">
        <x:v>FINE | point 2 | DAC 9.00 | CTRL X 0.76878 | X 0.76699 | Y 0.21398 | Z 0.36698 | TOTAL 0.87715 | error -13.62 % | MAD 3.11 % | CV 2.46 % | coh 91.1 % | dominant X | axis fraction 100.0 % | VALID</x:v>
      </x:c>
      <x:c r="C3875" t="str">
        <x:v>Pasted text(56).txt</x:v>
      </x:c>
    </x:row>
    <x:row r="3876">
      <x:c r="A3876" t="n">
        <x:v>3875</x:v>
      </x:c>
      <x:c r="B3876" s="106" t="str">
        <x:v>FINE | point 3 | DAC 9.25 | CTRL X 0.80434 | X 0.80838 | Y 0.21443 | Z 0.35706 | TOTAL 0.90991 | error -9.62 % | MAD 1.17 % | CV 1.59 % | coh 92.1 % | dominant X | axis fraction 100.0 % | VALID</x:v>
      </x:c>
      <x:c r="C3876" t="str">
        <x:v>Pasted text(56).txt</x:v>
      </x:c>
    </x:row>
    <x:row r="3877">
      <x:c r="A3877" t="n">
        <x:v>3876</x:v>
      </x:c>
      <x:c r="B3877" s="106" t="str">
        <x:v>FINE | point 4 | DAC 9.50 | CTRL X 0.80954 | X 0.80752 | Y 0.22975 | Z 0.35756 | TOTAL 0.91287 | error -9.04 % | MAD 1.04 % | CV 1.10 % | coh 92.8 % | dominant X | axis fraction 100.0 % | VALID</x:v>
      </x:c>
      <x:c r="C3877" t="str">
        <x:v>Pasted text(56).txt</x:v>
      </x:c>
    </x:row>
    <x:row r="3878">
      <x:c r="A3878" t="n">
        <x:v>3877</x:v>
      </x:c>
      <x:c r="B3878" s="106" t="str">
        <x:v>FINE | point 5 | DAC 9.75 | CTRL X 0.84695 | X 0.84530 | Y 0.21767 | Z 0.42359 | TOTAL 0.97039 | error -4.84 % | MAD 0.12 % | CV 0.41 % | coh 92.5 % | dominant X | axis fraction 100.0 % | IN TARGET BAND</x:v>
      </x:c>
      <x:c r="C3878" t="str">
        <x:v>Pasted text(56).txt</x:v>
      </x:c>
    </x:row>
    <x:row r="3879">
      <x:c r="A3879" t="n">
        <x:v>3878</x:v>
      </x:c>
      <x:c r="B3879" s="106" t="str">
        <x:v>FINE | point 6 | DAC 10.00 | CTRL X 0.87324 | X 0.87631 | Y 0.23184 | Z 0.39609 | TOTAL 0.98956 | error -1.88 % | MAD 0.25 % | CV 0.76 % | coh 92.1 % | dominant X | axis fraction 100.0 % | IN TARGET BAND</x:v>
      </x:c>
      <x:c r="C3879" t="str">
        <x:v>Pasted text(56).txt</x:v>
      </x:c>
    </x:row>
    <x:row r="3880">
      <x:c r="A3880" t="n">
        <x:v>3879</x:v>
      </x:c>
      <x:c r="B3880" s="106" t="str">
        <x:v>FINE | point 7 | DAC 10.25 | CTRL X 0.91624 | X 0.90729 | Y 0.25428 | Z 0.40220 | TOTAL 1.02488 | error 2.95 % | MAD 0.28 % | CV 1.88 % | coh 93.0 % | dominant X | axis fraction 100.0 % | IN TARGET BAND</x:v>
      </x:c>
      <x:c r="C3880" t="str">
        <x:v>Pasted text(56).txt</x:v>
      </x:c>
    </x:row>
    <x:row r="3881">
      <x:c r="A3881" t="n">
        <x:v>3880</x:v>
      </x:c>
      <x:c r="B3881" s="106" t="str">
        <x:v>FINE | point 8 | DAC 10.50 | CTRL X 0.91875 | X 0.92208 | Y 0.25397 | Z 0.41348 | TOTAL 1.04231 | error 3.23 % | MAD 0.36 % | CV 0.84 % | coh 92.6 % | dominant X | axis fraction 100.0 % | IN TARGET BAND</x:v>
      </x:c>
      <x:c r="C3881" t="str">
        <x:v>Pasted text(56).txt</x:v>
      </x:c>
    </x:row>
    <x:row r="3882">
      <x:c r="A3882" t="n">
        <x:v>3881</x:v>
      </x:c>
      <x:c r="B3882" s="106" t="str">
        <x:v>FINE | point 9 | DAC 10.75 | CTRL X 0.98583 | X 0.98449 | Y 0.25878 | Z 0.43467 | TOTAL 1.10709 | error 10.77 % | MAD 2.89 % | CV 2.16 % | coh 93.9 % | dominant X | axis fraction 100.0 % | VALID</x:v>
      </x:c>
      <x:c r="C3882" t="str">
        <x:v>Pasted text(56).txt</x:v>
      </x:c>
    </x:row>
    <x:row r="3883">
      <x:c r="A3883" t="n">
        <x:v>3882</x:v>
      </x:c>
      <x:c r="B3883" s="106" t="str"/>
      <x:c r="C3883" t="str">
        <x:v>Pasted text(56).txt</x:v>
      </x:c>
    </x:row>
    <x:row r="3884">
      <x:c r="A3884" t="n">
        <x:v>3883</x:v>
      </x:c>
      <x:c r="B3884" s="106" t="str">
        <x:v>LONG VALIDATION AT FIXED DAC 10.00</x:v>
      </x:c>
      <x:c r="C3884" t="str">
        <x:v>Pasted text(56).txt</x:v>
      </x:c>
    </x:row>
    <x:row r="3885">
      <x:c r="A3885" t="n">
        <x:v>3884</x:v>
      </x:c>
      <x:c r="B3885" s="106" t="str">
        <x:v>FINAL | point 1 | DAC 10.00 | CTRL X 0.87419 | X 0.87764 | Y 0.23109 | Z 0.39071 | TOTAL 0.98836 | error -1.78 % | MAD 2.77 % | CV 1.79 % | coh 91.9 % | dominant X | axis fraction 100.0 % | IN TARGET BAND</x:v>
      </x:c>
      <x:c r="C3885" t="str">
        <x:v>Pasted text(56).txt</x:v>
      </x:c>
    </x:row>
    <x:row r="3886">
      <x:c r="A3886" t="n">
        <x:v>3885</x:v>
      </x:c>
      <x:c r="B3886" s="106" t="str">
        <x:v>FINAL | point 2 | DAC 10.00 | CTRL X 0.89471 | X 0.89499 | Y 0.24692 | Z 0.40235 | TOTAL 1.01215 | error 0.53 % | MAD 1.42 % | CV 1.85 % | coh 93.0 % | dominant X | axis fraction 100.0 % | IN TARGET BAND</x:v>
      </x:c>
      <x:c r="C3886" t="str">
        <x:v>Pasted text(56).txt</x:v>
      </x:c>
    </x:row>
    <x:row r="3887">
      <x:c r="A3887" t="n">
        <x:v>3886</x:v>
      </x:c>
      <x:c r="B3887" s="106" t="str">
        <x:v>VALIDATION ACCEPTED | pair drift 2.32 %</x:v>
      </x:c>
      <x:c r="C3887" t="str">
        <x:v>Pasted text(56).txt</x:v>
      </x:c>
    </x:row>
    <x:row r="3888">
      <x:c r="A3888" t="n">
        <x:v>3887</x:v>
      </x:c>
      <x:c r="B3888" s="106" t="str"/>
      <x:c r="C3888" t="str">
        <x:v>Pasted text(56).txt</x:v>
      </x:c>
    </x:row>
    <x:row r="3889">
      <x:c r="A3889" t="n">
        <x:v>3888</x:v>
      </x:c>
      <x:c r="B3889" s="106" t="str">
        <x:v>FINAL VALIDATED BLIND FFT VERIFICATION</x:v>
      </x:c>
      <x:c r="C3889" t="str">
        <x:v>Pasted text(56).txt</x:v>
      </x:c>
    </x:row>
    <x:row r="3890">
      <x:c r="A3890" t="n">
        <x:v>3889</x:v>
      </x:c>
      <x:c r="B3890" s="106" t="str">
        <x:v>Commanded frequency: 268.00000 Hz</x:v>
      </x:c>
      <x:c r="C3890" t="str">
        <x:v>Pasted text(56).txt</x:v>
      </x:c>
    </x:row>
    <x:row r="3891">
      <x:c r="A3891" t="n">
        <x:v>3890</x:v>
      </x:c>
      <x:c r="B3891" s="106" t="str">
        <x:v>Accepted DAC: 10.00</x:v>
      </x:c>
      <x:c r="C3891" t="str">
        <x:v>Pasted text(56).txt</x:v>
      </x:c>
    </x:row>
    <x:row r="3892">
      <x:c r="A3892" t="n">
        <x:v>3891</x:v>
      </x:c>
      <x:c r="B3892" s="106" t="str">
        <x:v>Axis,Frequency_Hz,Amplitude_mps2,SNR_dB,Status</x:v>
      </x:c>
      <x:c r="C3892" t="str">
        <x:v>Pasted text(56).txt</x:v>
      </x:c>
    </x:row>
    <x:row r="3893">
      <x:c r="A3893" t="n">
        <x:v>3892</x:v>
      </x:c>
      <x:c r="B3893" s="106" t="str">
        <x:v>X,268.00689,0.80184,31.99,VALID</x:v>
      </x:c>
      <x:c r="C3893" t="str">
        <x:v>Pasted text(56).txt</x:v>
      </x:c>
    </x:row>
    <x:row r="3894">
      <x:c r="A3894" t="n">
        <x:v>3893</x:v>
      </x:c>
      <x:c r="B3894" s="106" t="str">
        <x:v>Y,267.98645,0.21258,22.00,VALID</x:v>
      </x:c>
      <x:c r="C3894" t="str">
        <x:v>Pasted text(56).txt</x:v>
      </x:c>
    </x:row>
    <x:row r="3895">
      <x:c r="A3895" t="n">
        <x:v>3894</x:v>
      </x:c>
      <x:c r="B3895" s="106" t="str">
        <x:v>Z,268.04761,0.36323,25.89,VALID</x:v>
      </x:c>
      <x:c r="C3895" t="str">
        <x:v>Pasted text(56).txt</x:v>
      </x:c>
    </x:row>
    <x:row r="3896">
      <x:c r="A3896" t="n">
        <x:v>3895</x:v>
      </x:c>
      <x:c r="B3896" s="106" t="str">
        <x:v>Combined frequency: 268.01233 Hz | difference 0.01233 Hz</x:v>
      </x:c>
      <x:c r="C3896" t="str">
        <x:v>Pasted text(56).txt</x:v>
      </x:c>
    </x:row>
    <x:row r="3897">
      <x:c r="A3897" t="n">
        <x:v>3896</x:v>
      </x:c>
      <x:c r="B3897" s="106" t="str">
        <x:v>Combined X/Y/Z/TOTAL: 0.72890 / 0.19225 / 0.33383 / 0.82444</x:v>
      </x:c>
      <x:c r="C3897" t="str">
        <x:v>Pasted text(56).txt</x:v>
      </x:c>
    </x:row>
    <x:row r="3898">
      <x:c r="A3898" t="n">
        <x:v>3897</x:v>
      </x:c>
      <x:c r="B3898" s="106" t="str">
        <x:v>SNR: 28.99 dB | dominant axis X</x:v>
      </x:c>
      <x:c r="C3898" t="str">
        <x:v>Pasted text(56).txt</x:v>
      </x:c>
    </x:row>
    <x:row r="3899">
      <x:c r="A3899" t="n">
        <x:v>3898</x:v>
      </x:c>
      <x:c r="B3899" s="106" t="str">
        <x:v>Frequency verification: PASS</x:v>
      </x:c>
      <x:c r="C3899" t="str">
        <x:v>Pasted text(56).txt</x:v>
      </x:c>
    </x:row>
    <x:row r="3900">
      <x:c r="A3900" t="n">
        <x:v>3899</x:v>
      </x:c>
      <x:c r="B3900" s="106" t="str">
        <x:v>Y/Z dominance: DIAGNOSTIC ONLY — ignored for pass/fail</x:v>
      </x:c>
      <x:c r="C3900" t="str">
        <x:v>Pasted text(56).txt</x:v>
      </x:c>
    </x:row>
    <x:row r="3901">
      <x:c r="A3901" t="n">
        <x:v>3900</x:v>
      </x:c>
      <x:c r="B3901" s="106" t="str"/>
      <x:c r="C3901" t="str">
        <x:v>Pasted text(56).txt</x:v>
      </x:c>
    </x:row>
    <x:row r="3902">
      <x:c r="A3902" t="n">
        <x:v>3901</x:v>
      </x:c>
      <x:c r="B3902" s="106" t="str">
        <x:v>FIXED-DAC HOLD VALIDATION</x:v>
      </x:c>
      <x:c r="C3902" t="str">
        <x:v>Pasted text(56).txt</x:v>
      </x:c>
    </x:row>
    <x:row r="3903">
      <x:c r="A3903" t="n">
        <x:v>3902</x:v>
      </x:c>
      <x:c r="B3903" s="106" t="str">
        <x:v>DAC remains fixed at 10.00 for 10 records.</x:v>
      </x:c>
      <x:c r="C3903" t="str">
        <x:v>Pasted text(56).txt</x:v>
      </x:c>
    </x:row>
    <x:row r="3904">
      <x:c r="A3904" t="n">
        <x:v>3903</x:v>
      </x:c>
      <x:c r="B3904" s="106" t="str">
        <x:v>HOLD | point 1 | DAC 10.00 | CTRL X 0.88579 | X 0.88804 | Y 0.23593 | Z 0.38255 | TOTAL 0.99543 | error -0.47 % | MAD 0.35 % | CV 0.66 % | coh 92.6 % | dominant X | axis fraction 100.0 % | IN TARGET BAND</x:v>
      </x:c>
      <x:c r="C3904" t="str">
        <x:v>Pasted text(56).txt</x:v>
      </x:c>
    </x:row>
    <x:row r="3905">
      <x:c r="A3905" t="n">
        <x:v>3904</x:v>
      </x:c>
      <x:c r="B3905" s="106" t="str">
        <x:v>HOLD | point 2 | DAC 10.00 | CTRL X 0.90471 | X 0.90064 | Y 0.24600 | Z 0.39131 | TOTAL 1.01249 | error 1.65 % | MAD 0.13 % | CV 0.86 % | coh 93.0 % | dominant X | axis fraction 100.0 % | IN TARGET BAND</x:v>
      </x:c>
      <x:c r="C3905" t="str">
        <x:v>Pasted text(56).txt</x:v>
      </x:c>
    </x:row>
    <x:row r="3906">
      <x:c r="A3906" t="n">
        <x:v>3905</x:v>
      </x:c>
      <x:c r="B3906" s="106" t="str">
        <x:v>HOLD | point 3 | DAC 10.00 | CTRL X 0.87306 | X 0.87988 | Y 0.22490 | Z 0.40681 | TOTAL 0.99568 | error -1.90 % | MAD 1.41 % | CV 2.21 % | coh 91.9 % | dominant X | axis fraction 100.0 % | IN TARGET BAND</x:v>
      </x:c>
      <x:c r="C3906" t="str">
        <x:v>Pasted text(56).txt</x:v>
      </x:c>
    </x:row>
    <x:row r="3907">
      <x:c r="A3907" t="n">
        <x:v>3906</x:v>
      </x:c>
      <x:c r="B3907" s="106" t="str">
        <x:v>HOLD | point 4 | DAC 10.00 | CTRL X 0.87067 | X 0.86677 | Y 0.21484 | Z 0.38026 | TOTAL 0.97066 | error -2.17 % | MAD 0.85 % | CV 1.31 % | coh 91.8 % | dominant X | axis fraction 100.0 % | IN TARGET BAND</x:v>
      </x:c>
      <x:c r="C3907" t="str">
        <x:v>Pasted text(56).txt</x:v>
      </x:c>
    </x:row>
    <x:row r="3908">
      <x:c r="A3908" t="n">
        <x:v>3907</x:v>
      </x:c>
      <x:c r="B3908" s="106" t="str">
        <x:v>HOLD | point 5 | DAC 10.00 | CTRL X 0.88904 | X 0.88700 | Y 0.24113 | Z 0.39165 | TOTAL 0.99923 | error -0.11 % | MAD 1.44 % | CV 1.33 % | coh 92.7 % | dominant X | axis fraction 100.0 % | IN TARGET BAND</x:v>
      </x:c>
      <x:c r="C3908" t="str">
        <x:v>Pasted text(56).txt</x:v>
      </x:c>
    </x:row>
    <x:row r="3909">
      <x:c r="A3909" t="n">
        <x:v>3908</x:v>
      </x:c>
      <x:c r="B3909" s="106" t="str">
        <x:v>HOLD | point 6 | DAC 10.00 | CTRL X 0.87101 | X 0.86383 | Y 0.23302 | Z 0.42169 | TOTAL 0.98934 | error -2.13 % | MAD 0.38 % | CV 1.67 % | coh 90.8 % | dominant X | axis fraction 100.0 % | IN TARGET BAND</x:v>
      </x:c>
      <x:c r="C3909" t="str">
        <x:v>Pasted text(56).txt</x:v>
      </x:c>
    </x:row>
    <x:row r="3910">
      <x:c r="A3910" t="n">
        <x:v>3909</x:v>
      </x:c>
      <x:c r="B3910" s="106" t="str">
        <x:v>HOLD | point 7 | DAC 10.00 | CTRL X 0.88146 | X 0.88210 | Y 0.24533 | Z 0.39578 | TOTAL 0.99750 | error -0.96 % | MAD 1.12 % | CV 0.87 % | coh 92.6 % | dominant X | axis fraction 100.0 % | IN TARGET BAND</x:v>
      </x:c>
      <x:c r="C3910" t="str">
        <x:v>Pasted text(56).txt</x:v>
      </x:c>
    </x:row>
    <x:row r="3911">
      <x:c r="A3911" t="n">
        <x:v>3910</x:v>
      </x:c>
      <x:c r="B3911" s="106" t="str">
        <x:v>HOLD | point 8 | DAC 10.00 | CTRL X 0.88473 | X 0.88360 | Y 0.21925 | Z 0.38724 | TOTAL 0.98937 | error -0.59 % | MAD 0.31 % | CV 0.42 % | coh 93.0 % | dominant X | axis fraction 100.0 % | IN TARGET BAND</x:v>
      </x:c>
      <x:c r="C3911" t="str">
        <x:v>Pasted text(56).txt</x:v>
      </x:c>
    </x:row>
    <x:row r="3912">
      <x:c r="A3912" t="n">
        <x:v>3911</x:v>
      </x:c>
      <x:c r="B3912" s="106" t="str">
        <x:v>HOLD | point 9 | DAC 10.00 | CTRL X 0.87634 | X 0.87529 | Y 0.22979 | Z 0.37385 | TOTAL 0.97936 | error -1.53 % | MAD 1.10 % | CV 0.93 % | coh 92.4 % | dominant X | axis fraction 100.0 % | IN TARGET BAND</x:v>
      </x:c>
      <x:c r="C3912" t="str">
        <x:v>Pasted text(56).txt</x:v>
      </x:c>
    </x:row>
    <x:row r="3913">
      <x:c r="A3913" t="n">
        <x:v>3912</x:v>
      </x:c>
      <x:c r="B3913" s="106" t="str">
        <x:v>HOLD | point 10 | DAC 10.00 | CTRL X 0.88013 | X 0.88255 | Y 0.22999 | Z 0.40082 | TOTAL 0.99641 | error -1.11 % | MAD 0.81 % | CV 0.98 % | coh 92.4 % | dominant X | axis fraction 100.0 % | IN TARGET BAND</x:v>
      </x:c>
      <x:c r="C3913" t="str">
        <x:v>Pasted text(56).txt</x:v>
      </x:c>
    </x:row>
    <x:row r="3914">
      <x:c r="A3914" t="n">
        <x:v>3913</x:v>
      </x:c>
      <x:c r="B3914" s="106" t="str"/>
      <x:c r="C3914" t="str">
        <x:v>Pasted text(56).txt</x:v>
      </x:c>
    </x:row>
    <x:row r="3915">
      <x:c r="A3915" t="n">
        <x:v>3914</x:v>
      </x:c>
      <x:c r="B3915" s="106" t="str">
        <x:v>HOLD SUMMARY</x:v>
      </x:c>
      <x:c r="C3915" t="str">
        <x:v>Pasted text(56).txt</x:v>
      </x:c>
    </x:row>
    <x:row r="3916">
      <x:c r="A3916" t="n">
        <x:v>3915</x:v>
      </x:c>
      <x:c r="B3916" s="106" t="str">
        <x:v>Valid / requested: 10 / 10</x:v>
      </x:c>
      <x:c r="C3916" t="str">
        <x:v>Pasted text(56).txt</x:v>
      </x:c>
    </x:row>
    <x:row r="3917">
      <x:c r="A3917" t="n">
        <x:v>3916</x:v>
      </x:c>
      <x:c r="B3917" s="106" t="str">
        <x:v>In band / requested: 10 / 10 = 100.0 %</x:v>
      </x:c>
      <x:c r="C3917" t="str">
        <x:v>Pasted text(56).txt</x:v>
      </x:c>
    </x:row>
    <x:row r="3918">
      <x:c r="A3918" t="n">
        <x:v>3917</x:v>
      </x:c>
      <x:c r="B3918" s="106" t="str">
        <x:v>Mean / SD / CV: 0.88169 / 0.01028 / 1.17 %</x:v>
      </x:c>
      <x:c r="C3918" t="str">
        <x:v>Pasted text(56).txt</x:v>
      </x:c>
    </x:row>
    <x:row r="3919">
      <x:c r="A3919" t="n">
        <x:v>3918</x:v>
      </x:c>
      <x:c r="B3919" s="106" t="str">
        <x:v>Min / Max: 0.87067 / 0.90471</x:v>
      </x:c>
      <x:c r="C3919" t="str">
        <x:v>Pasted text(56).txt</x:v>
      </x:c>
    </x:row>
    <x:row r="3920">
      <x:c r="A3920" t="n">
        <x:v>3919</x:v>
      </x:c>
      <x:c r="B3920" s="106" t="str">
        <x:v>HOLD RESULT: PASS</x:v>
      </x:c>
      <x:c r="C3920" t="str">
        <x:v>Pasted text(56).txt</x:v>
      </x:c>
    </x:row>
    <x:row r="3921">
      <x:c r="A3921" t="n">
        <x:v>3920</x:v>
      </x:c>
      <x:c r="B3921" s="106" t="str"/>
      <x:c r="C3921" t="str">
        <x:v>Pasted text(56).txt</x:v>
      </x:c>
    </x:row>
    <x:row r="3922">
      <x:c r="A3922" t="n">
        <x:v>3921</x:v>
      </x:c>
      <x:c r="B3922" s="106" t="str">
        <x:v>RUN RESULT: PASS</x:v>
      </x:c>
      <x:c r="C3922" t="str">
        <x:v>Pasted text(56).txt</x:v>
      </x:c>
    </x:row>
    <x:row r="3923">
      <x:c r="A3923" t="n">
        <x:v>3922</x:v>
      </x:c>
      <x:c r="B3923" s="106" t="str">
        <x:v>Selected DAC: 10.00</x:v>
      </x:c>
      <x:c r="C3923" t="str">
        <x:v>Pasted text(56).txt</x:v>
      </x:c>
    </x:row>
    <x:row r="3924">
      <x:c r="A3924" t="n">
        <x:v>3923</x:v>
      </x:c>
      <x:c r="B3924" s="106" t="str">
        <x:v>Validated amplitude: 0.88445 m/s^2 | error -0.62 %</x:v>
      </x:c>
      <x:c r="C3924" t="str">
        <x:v>Pasted text(56).txt</x:v>
      </x:c>
    </x:row>
    <x:row r="3925">
      <x:c r="A3925" t="n">
        <x:v>3924</x:v>
      </x:c>
      <x:c r="B3925" s="106" t="str">
        <x:v>FFT frequency: 268.01233 Hz | difference 0.01233 Hz</x:v>
      </x:c>
      <x:c r="C3925" t="str">
        <x:v>Pasted text(56).txt</x:v>
      </x:c>
    </x:row>
    <x:row r="3926">
      <x:c r="A3926" t="n">
        <x:v>3925</x:v>
      </x:c>
      <x:c r="B3926" s="106" t="str"/>
      <x:c r="C3926" t="str">
        <x:v>Pasted text(56).txt</x:v>
      </x:c>
    </x:row>
    <x:row r="3927">
      <x:c r="A3927" t="n">
        <x:v>3926</x:v>
      </x:c>
      <x:c r="B3927" s="106" t="str">
        <x:v>VISATON OFF. RESTING 5.0 s BEFORE THE NEXT COMPLETELY FRESH RUN.</x:v>
      </x:c>
      <x:c r="C3927" t="str">
        <x:v>Pasted text(56).txt</x:v>
      </x:c>
    </x:row>
    <x:row r="3928">
      <x:c r="A3928" t="n">
        <x:v>3927</x:v>
      </x:c>
      <x:c r="B3928" s="106" t="str"/>
      <x:c r="C3928" t="str">
        <x:v>Pasted text(56).txt</x:v>
      </x:c>
    </x:row>
    <x:row r="3929">
      <x:c r="A3929" t="n">
        <x:v>3928</x:v>
      </x:c>
      <x:c r="B3929" s="106" t="str">
        <x:v>################################################################################</x:v>
      </x:c>
      <x:c r="C3929" t="str">
        <x:v>Pasted text(56).txt</x:v>
      </x:c>
    </x:row>
    <x:row r="3930">
      <x:c r="A3930" t="n">
        <x:v>3929</x:v>
      </x:c>
      <x:c r="B3930" s="106" t="str">
        <x:v>INDEPENDENT TARGET-AMPLITUDE RUN 5 OF 5</x:v>
      </x:c>
      <x:c r="C3930" t="str">
        <x:v>Pasted text(56).txt</x:v>
      </x:c>
    </x:row>
    <x:row r="3931">
      <x:c r="A3931" t="n">
        <x:v>3930</x:v>
      </x:c>
      <x:c r="B3931" s="106" t="str">
        <x:v>################################################################################</x:v>
      </x:c>
      <x:c r="C3931" t="str">
        <x:v>Pasted text(56).txt</x:v>
      </x:c>
    </x:row>
    <x:row r="3932">
      <x:c r="A3932" t="n">
        <x:v>3931</x:v>
      </x:c>
      <x:c r="B3932" s="106" t="str">
        <x:v>Frequency: 268.00000 Hz</x:v>
      </x:c>
      <x:c r="C3932" t="str">
        <x:v>Pasted text(56).txt</x:v>
      </x:c>
    </x:row>
    <x:row r="3933">
      <x:c r="A3933" t="n">
        <x:v>3932</x:v>
      </x:c>
      <x:c r="B3933" s="106" t="str">
        <x:v>Target X amplitude: 0.89000 m/s^2 peak, tolerance +/-7.50 %</x:v>
      </x:c>
      <x:c r="C3933" t="str">
        <x:v>Pasted text(56).txt</x:v>
      </x:c>
    </x:row>
    <x:row r="3934">
      <x:c r="A3934" t="n">
        <x:v>3933</x:v>
      </x:c>
      <x:c r="B3934" s="106" t="str">
        <x:v>This run starts from DAC 1.00 and ignores every earlier selected DAC.</x:v>
      </x:c>
      <x:c r="C3934" t="str">
        <x:v>Pasted text(56).txt</x:v>
      </x:c>
    </x:row>
    <x:row r="3935">
      <x:c r="A3935" t="n">
        <x:v>3934</x:v>
      </x:c>
      <x:c r="B3935" s="106" t="str">
        <x:v>ADXL2 DEVID/DATA_FORMAT/BW_RATE/POWER_CTL: 0xE5 / 0xB / 0xE / 0x8</x:v>
      </x:c>
      <x:c r="C3935" t="str">
        <x:v>Pasted text(56).txt</x:v>
      </x:c>
    </x:row>
    <x:row r="3936">
      <x:c r="A3936" t="n">
        <x:v>3935</x:v>
      </x:c>
      <x:c r="B3936" s="106" t="str"/>
      <x:c r="C3936" t="str">
        <x:v>Pasted text(56).txt</x:v>
      </x:c>
    </x:row>
    <x:row r="3937">
      <x:c r="A3937" t="n">
        <x:v>3936</x:v>
      </x:c>
      <x:c r="B3937" s="106" t="str">
        <x:v>ACQUISITION ATTEMPT 1 OF 2</x:v>
      </x:c>
      <x:c r="C3937" t="str">
        <x:v>Pasted text(56).txt</x:v>
      </x:c>
    </x:row>
    <x:row r="3938">
      <x:c r="A3938" t="n">
        <x:v>3937</x:v>
      </x:c>
      <x:c r="B3938" s="106" t="str"/>
      <x:c r="C3938" t="str">
        <x:v>Pasted text(56).txt</x:v>
      </x:c>
    </x:row>
    <x:row r="3939">
      <x:c r="A3939" t="n">
        <x:v>3938</x:v>
      </x:c>
      <x:c r="B3939" s="106" t="str">
        <x:v>FRESH X-AXIS SEARCH FROM DAC 1.00 — OLD DAC VALUES ARE NOT USED</x:v>
      </x:c>
      <x:c r="C3939" t="str">
        <x:v>Pasted text(56).txt</x:v>
      </x:c>
    </x:row>
    <x:row r="3940">
      <x:c r="A3940" t="n">
        <x:v>3939</x:v>
      </x:c>
      <x:c r="B3940" s="106" t="str">
        <x:v>Y/Z are diagnostic only and cannot abort this search.</x:v>
      </x:c>
      <x:c r="C3940" t="str">
        <x:v>Pasted text(56).txt</x:v>
      </x:c>
    </x:row>
    <x:row r="3941">
      <x:c r="A3941" t="n">
        <x:v>3940</x:v>
      </x:c>
      <x:c r="B3941" s="106" t="str">
        <x:v>A real SPI fault, clipping, safety limit or confirmed X-response collapse will stop it.</x:v>
      </x:c>
      <x:c r="C3941" t="str">
        <x:v>Pasted text(56).txt</x:v>
      </x:c>
    </x:row>
    <x:row r="3942">
      <x:c r="A3942" t="n">
        <x:v>3941</x:v>
      </x:c>
      <x:c r="B3942" s="106" t="str">
        <x:v>SEARCH | point 1 | DAC 1.00 | CTRL X 0.00942 | X 0.00977 | Y 0.01442 | Z 0.01821 | TOTAL 0.02654 | error -98.94 % | MAD 60.20 % | CV 44.65 % | coh 5.9 % | dominant Z | axis fraction 53.7 % | BELOW MEASUREMENT FLOOR — SEARCH CONTINUES</x:v>
      </x:c>
      <x:c r="C3942" t="str">
        <x:v>Pasted text(56).txt</x:v>
      </x:c>
    </x:row>
    <x:row r="3943">
      <x:c r="A3943" t="n">
        <x:v>3942</x:v>
      </x:c>
      <x:c r="B3943" s="106" t="str">
        <x:v>SEARCH | point 2 | DAC 3.00 | CTRL X 0.14788 | X 0.14362 | Y 0.05703 | Z 0.10707 | TOTAL 0.18908 | error -83.38 % | MAD 6.53 % | CV 9.33 % | coh 58.0 % | dominant X | axis fraction 100.0 % | VALID</x:v>
      </x:c>
      <x:c r="C3943" t="str">
        <x:v>Pasted text(56).txt</x:v>
      </x:c>
    </x:row>
    <x:row r="3944">
      <x:c r="A3944" t="n">
        <x:v>3943</x:v>
      </x:c>
      <x:c r="B3944" s="106" t="str">
        <x:v>SEARCH | point 3 | DAC 5.00 | CTRL X 0.33026 | X 0.33559 | Y 0.11662 | Z 0.20753 | TOTAL 0.41258 | error -62.89 % | MAD 4.74 % | CV 5.69 % | coh 80.9 % | dominant X | axis fraction 100.0 % | VALID</x:v>
      </x:c>
      <x:c r="C3944" t="str">
        <x:v>Pasted text(56).txt</x:v>
      </x:c>
    </x:row>
    <x:row r="3945">
      <x:c r="A3945" t="n">
        <x:v>3944</x:v>
      </x:c>
      <x:c r="B3945" s="106" t="str">
        <x:v>SEARCH | point 4 | DAC 6.00 | CTRL X 0.44580 | X 0.45317 | Y 0.13531 | Z 0.24600 | TOTAL 0.53433 | error -49.91 % | MAD 0.15 % | CV 2.90 % | coh 88.4 % | dominant X | axis fraction 100.0 % | VALID</x:v>
      </x:c>
      <x:c r="C3945" t="str">
        <x:v>Pasted text(56).txt</x:v>
      </x:c>
    </x:row>
    <x:row r="3946">
      <x:c r="A3946" t="n">
        <x:v>3945</x:v>
      </x:c>
      <x:c r="B3946" s="106" t="str">
        <x:v>SEARCH | point 5 | DAC 7.00 | CTRL X 0.57242 | X 0.57726 | Y 0.15601 | Z 0.30015 | TOTAL 0.66919 | error -35.68 % | MAD 1.09 % | CV 2.12 % | coh 92.0 % | dominant X | axis fraction 100.0 % | VALID</x:v>
      </x:c>
      <x:c r="C3946" t="str">
        <x:v>Pasted text(56).txt</x:v>
      </x:c>
    </x:row>
    <x:row r="3947">
      <x:c r="A3947" t="n">
        <x:v>3946</x:v>
      </x:c>
      <x:c r="B3947" s="106" t="str">
        <x:v>SEARCH | point 6 | DAC 7.50 | CTRL X 0.58449 | X 0.59164 | Y 0.17193 | Z 0.31652 | TOTAL 0.69299 | error -34.33 % | MAD 1.88 % | CV 3.24 % | coh 89.4 % | dominant X | axis fraction 100.0 % | VALID</x:v>
      </x:c>
      <x:c r="C3947" t="str">
        <x:v>Pasted text(56).txt</x:v>
      </x:c>
    </x:row>
    <x:row r="3948">
      <x:c r="A3948" t="n">
        <x:v>3947</x:v>
      </x:c>
      <x:c r="B3948" s="106" t="str">
        <x:v>SEARCH | point 7 | DAC 8.00 | CTRL X 0.64277 | X 0.64407 | Y 0.17118 | Z 0.33540 | TOTAL 0.74646 | error -27.78 % | MAD 0.57 % | CV 0.71 % | coh 90.3 % | dominant X | axis fraction 100.0 % | VALID</x:v>
      </x:c>
      <x:c r="C3948" t="str">
        <x:v>Pasted text(56).txt</x:v>
      </x:c>
    </x:row>
    <x:row r="3949">
      <x:c r="A3949" t="n">
        <x:v>3948</x:v>
      </x:c>
      <x:c r="B3949" s="106" t="str">
        <x:v>SEARCH | point 8 | DAC 8.50 | CTRL X 0.71095 | X 0.71004 | Y 0.19305 | Z 0.34961 | TOTAL 0.81469 | error -20.12 % | MAD 1.09 % | CV 0.93 % | coh 91.1 % | dominant X | axis fraction 100.0 % | VALID</x:v>
      </x:c>
      <x:c r="C3949" t="str">
        <x:v>Pasted text(56).txt</x:v>
      </x:c>
    </x:row>
    <x:row r="3950">
      <x:c r="A3950" t="n">
        <x:v>3949</x:v>
      </x:c>
      <x:c r="B3950" s="106" t="str">
        <x:v>SEARCH | point 9 | DAC 9.00 | CTRL X 0.77011 | X 0.77006 | Y 0.22346 | Z 0.35334 | TOTAL 0.87638 | error -13.47 % | MAD 0.59 % | CV 0.40 % | coh 91.9 % | dominant X | axis fraction 100.0 % | VALID</x:v>
      </x:c>
      <x:c r="C3950" t="str">
        <x:v>Pasted text(56).txt</x:v>
      </x:c>
    </x:row>
    <x:row r="3951">
      <x:c r="A3951" t="n">
        <x:v>3950</x:v>
      </x:c>
      <x:c r="B3951" s="106" t="str">
        <x:v>SEARCH | point 10 | DAC 9.25 | CTRL X 0.78767 | X 0.79205 | Y 0.21998 | Z 0.38187 | TOTAL 0.90644 | error -11.50 % | MAD 2.95 % | CV 2.85 % | coh 92.1 % | dominant X | axis fraction 100.0 % | VALID</x:v>
      </x:c>
      <x:c r="C3951" t="str">
        <x:v>Pasted text(56).txt</x:v>
      </x:c>
    </x:row>
    <x:row r="3952">
      <x:c r="A3952" t="n">
        <x:v>3951</x:v>
      </x:c>
      <x:c r="B3952" s="106" t="str">
        <x:v>SEARCH | point 11 | DAC 9.50 | CTRL X 0.80510 | X 0.79769 | Y 0.21204 | Z 0.38878 | TOTAL 0.91252 | error -9.54 % | MAD 0.33 % | CV 1.81 % | coh 91.7 % | dominant X | axis fraction 100.0 % | VALID</x:v>
      </x:c>
      <x:c r="C3952" t="str">
        <x:v>Pasted text(56).txt</x:v>
      </x:c>
    </x:row>
    <x:row r="3953">
      <x:c r="A3953" t="n">
        <x:v>3952</x:v>
      </x:c>
      <x:c r="B3953" s="106" t="str">
        <x:v>SEARCH | point 12 | DAC 9.75 | CTRL X 0.85504 | X 0.84587 | Y 0.22499 | Z 0.39684 | TOTAL 0.96132 | error -3.93 % | MAD 0.12 % | CV 1.95 % | coh 91.9 % | dominant X | axis fraction 100.0 % | IN TARGET BAND</x:v>
      </x:c>
      <x:c r="C3953" t="str">
        <x:v>Pasted text(56).txt</x:v>
      </x:c>
    </x:row>
    <x:row r="3954">
      <x:c r="A3954" t="n">
        <x:v>3953</x:v>
      </x:c>
      <x:c r="B3954" s="106" t="str"/>
      <x:c r="C3954" t="str">
        <x:v>Pasted text(56).txt</x:v>
      </x:c>
    </x:row>
    <x:row r="3955">
      <x:c r="A3955" t="n">
        <x:v>3954</x:v>
      </x:c>
      <x:c r="B3955" s="106" t="str">
        <x:v>LOCAL 0.25-DAC X-AXIS FINE SCAN</x:v>
      </x:c>
      <x:c r="C3955" t="str">
        <x:v>Pasted text(56).txt</x:v>
      </x:c>
    </x:row>
    <x:row r="3956">
      <x:c r="A3956" t="n">
        <x:v>3955</x:v>
      </x:c>
      <x:c r="B3956" s="106" t="str">
        <x:v>Only a valid point actually inside the X target band may be selected.</x:v>
      </x:c>
      <x:c r="C3956" t="str">
        <x:v>Pasted text(56).txt</x:v>
      </x:c>
    </x:row>
    <x:row r="3957">
      <x:c r="A3957" t="n">
        <x:v>3956</x:v>
      </x:c>
      <x:c r="B3957" s="106" t="str">
        <x:v>FINE | point 1 | DAC 8.75 | CTRL X 0.74019 | X 0.74072 | Y 0.20380 | Z 0.32667 | TOTAL 0.83522 | error -16.83 % | MAD 3.72 % | CV 2.62 % | coh 91.6 % | dominant X | axis fraction 100.0 % | VALID</x:v>
      </x:c>
      <x:c r="C3957" t="str">
        <x:v>Pasted text(56).txt</x:v>
      </x:c>
    </x:row>
    <x:row r="3958">
      <x:c r="A3958" t="n">
        <x:v>3957</x:v>
      </x:c>
      <x:c r="B3958" s="106" t="str">
        <x:v>FINE | point 2 | DAC 9.00 | CTRL X 0.76210 | X 0.76715 | Y 0.22426 | Z 0.34661 | TOTAL 0.87148 | error -14.37 % | MAD 0.17 % | CV 1.24 % | coh 91.7 % | dominant X | axis fraction 100.0 % | VALID</x:v>
      </x:c>
      <x:c r="C3958" t="str">
        <x:v>Pasted text(56).txt</x:v>
      </x:c>
    </x:row>
    <x:row r="3959">
      <x:c r="A3959" t="n">
        <x:v>3958</x:v>
      </x:c>
      <x:c r="B3959" s="106" t="str">
        <x:v>FINE | point 3 | DAC 9.25 | CTRL X 0.78153 | X 0.78039 | Y 0.21346 | Z 0.38415 | TOTAL 0.89577 | error -12.19 % | MAD 2.89 % | CV 2.18 % | coh 90.6 % | dominant X | axis fraction 100.0 % | VALID</x:v>
      </x:c>
      <x:c r="C3959" t="str">
        <x:v>Pasted text(56).txt</x:v>
      </x:c>
    </x:row>
    <x:row r="3960">
      <x:c r="A3960" t="n">
        <x:v>3959</x:v>
      </x:c>
      <x:c r="B3960" s="106" t="str">
        <x:v>FINE | point 4 | DAC 9.50 | CTRL X 0.78755 | X 0.78712 | Y 0.19258 | Z 0.37361 | TOTAL 0.89272 | error -11.51 % | MAD 2.22 % | CV 1.58 % | coh 90.4 % | dominant X | axis fraction 100.0 % | VALID</x:v>
      </x:c>
      <x:c r="C3960" t="str">
        <x:v>Pasted text(56).txt</x:v>
      </x:c>
    </x:row>
    <x:row r="3961">
      <x:c r="A3961" t="n">
        <x:v>3960</x:v>
      </x:c>
      <x:c r="B3961" s="106" t="str">
        <x:v>FINE | point 5 | DAC 9.75 | CTRL X 0.85296 | X 0.85235 | Y 0.22436 | Z 0.41392 | TOTAL 0.97403 | error -4.16 % | MAD 2.92 % | CV 2.08 % | coh 91.9 % | dominant X | axis fraction 100.0 % | IN TARGET BAND</x:v>
      </x:c>
      <x:c r="C3961" t="str">
        <x:v>Pasted text(56).txt</x:v>
      </x:c>
    </x:row>
    <x:row r="3962">
      <x:c r="A3962" t="n">
        <x:v>3961</x:v>
      </x:c>
      <x:c r="B3962" s="106" t="str">
        <x:v>FINE | point 6 | DAC 10.00 | CTRL X 0.89056 | X 0.88818 | Y 0.23084 | Z 0.40048 | TOTAL 1.00150 | error 0.06 % | MAD 0.56 % | CV 0.82 % | coh 93.5 % | dominant X | axis fraction 100.0 % | IN TARGET BAND</x:v>
      </x:c>
      <x:c r="C3962" t="str">
        <x:v>Pasted text(56).txt</x:v>
      </x:c>
    </x:row>
    <x:row r="3963">
      <x:c r="A3963" t="n">
        <x:v>3962</x:v>
      </x:c>
      <x:c r="B3963" s="106" t="str">
        <x:v>FINE | point 7 | DAC 10.25 | CTRL X 0.90691 | X 0.90864 | Y 0.24239 | Z 0.40574 | TOTAL 1.02423 | error 1.90 % | MAD 0.66 % | CV 0.75 % | coh 93.2 % | dominant X | axis fraction 100.0 % | IN TARGET BAND</x:v>
      </x:c>
      <x:c r="C3963" t="str">
        <x:v>Pasted text(56).txt</x:v>
      </x:c>
    </x:row>
    <x:row r="3964">
      <x:c r="A3964" t="n">
        <x:v>3963</x:v>
      </x:c>
      <x:c r="B3964" s="106" t="str">
        <x:v>FINE | point 8 | DAC 10.50 | CTRL X 0.91134 | X 0.91722 | Y 0.23727 | Z 0.41734 | TOTAL 1.03544 | error 2.40 % | MAD 0.13 % | CV 1.19 % | coh 91.3 % | dominant X | axis fraction 100.0 % | IN TARGET BAND</x:v>
      </x:c>
      <x:c r="C3964" t="str">
        <x:v>Pasted text(56).txt</x:v>
      </x:c>
    </x:row>
    <x:row r="3965">
      <x:c r="A3965" t="n">
        <x:v>3964</x:v>
      </x:c>
      <x:c r="B3965" s="106" t="str">
        <x:v>FINE | point 9 | DAC 10.75 | CTRL X 0.97290 | X 0.96747 | Y 0.25791 | Z 0.44625 | TOTAL 1.09632 | error 9.31 % | MAD 0.50 % | CV 1.27 % | coh 93.1 % | dominant X | axis fraction 100.0 % | VALID</x:v>
      </x:c>
      <x:c r="C3965" t="str">
        <x:v>Pasted text(56).txt</x:v>
      </x:c>
    </x:row>
    <x:row r="3966">
      <x:c r="A3966" t="n">
        <x:v>3965</x:v>
      </x:c>
      <x:c r="B3966" s="106" t="str"/>
      <x:c r="C3966" t="str">
        <x:v>Pasted text(56).txt</x:v>
      </x:c>
    </x:row>
    <x:row r="3967">
      <x:c r="A3967" t="n">
        <x:v>3966</x:v>
      </x:c>
      <x:c r="B3967" s="106" t="str">
        <x:v>LONG VALIDATION AT FIXED DAC 10.00</x:v>
      </x:c>
      <x:c r="C3967" t="str">
        <x:v>Pasted text(56).txt</x:v>
      </x:c>
    </x:row>
    <x:row r="3968">
      <x:c r="A3968" t="n">
        <x:v>3967</x:v>
      </x:c>
      <x:c r="B3968" s="106" t="str">
        <x:v>FINAL | point 1 | DAC 10.00 | CTRL X 0.87942 | X 0.88141 | Y 0.24059 | Z 0.38275 | TOTAL 0.99113 | error -1.19 % | MAD 0.72 % | CV 1.11 % | coh 92.7 % | dominant X | axis fraction 100.0 % | IN TARGET BAND</x:v>
      </x:c>
      <x:c r="C3968" t="str">
        <x:v>Pasted text(56).txt</x:v>
      </x:c>
    </x:row>
    <x:row r="3969">
      <x:c r="A3969" t="n">
        <x:v>3968</x:v>
      </x:c>
      <x:c r="B3969" s="106" t="str">
        <x:v>FINAL | point 2 | DAC 10.00 | CTRL X 0.88401 | X 0.88187 | Y 0.23881 | Z 0.39546 | TOTAL 0.99587 | error -0.67 % | MAD 1.40 % | CV 1.19 % | coh 92.7 % | dominant X | axis fraction 100.0 % | IN TARGET BAND</x:v>
      </x:c>
      <x:c r="C3969" t="str">
        <x:v>Pasted text(56).txt</x:v>
      </x:c>
    </x:row>
    <x:row r="3970">
      <x:c r="A3970" t="n">
        <x:v>3969</x:v>
      </x:c>
      <x:c r="B3970" s="106" t="str">
        <x:v>VALIDATION ACCEPTED | pair drift 0.52 %</x:v>
      </x:c>
      <x:c r="C3970" t="str">
        <x:v>Pasted text(56).txt</x:v>
      </x:c>
    </x:row>
    <x:row r="3971">
      <x:c r="A3971" t="n">
        <x:v>3970</x:v>
      </x:c>
      <x:c r="B3971" s="106" t="str"/>
      <x:c r="C3971" t="str">
        <x:v>Pasted text(56).txt</x:v>
      </x:c>
    </x:row>
    <x:row r="3972">
      <x:c r="A3972" t="n">
        <x:v>3971</x:v>
      </x:c>
      <x:c r="B3972" s="106" t="str">
        <x:v>FINAL VALIDATED BLIND FFT VERIFICATION</x:v>
      </x:c>
      <x:c r="C3972" t="str">
        <x:v>Pasted text(56).txt</x:v>
      </x:c>
    </x:row>
    <x:row r="3973">
      <x:c r="A3973" t="n">
        <x:v>3972</x:v>
      </x:c>
      <x:c r="B3973" s="106" t="str">
        <x:v>Commanded frequency: 268.00000 Hz</x:v>
      </x:c>
      <x:c r="C3973" t="str">
        <x:v>Pasted text(56).txt</x:v>
      </x:c>
    </x:row>
    <x:row r="3974">
      <x:c r="A3974" t="n">
        <x:v>3973</x:v>
      </x:c>
      <x:c r="B3974" s="106" t="str">
        <x:v>Accepted DAC: 10.00</x:v>
      </x:c>
      <x:c r="C3974" t="str">
        <x:v>Pasted text(56).txt</x:v>
      </x:c>
    </x:row>
    <x:row r="3975">
      <x:c r="A3975" t="n">
        <x:v>3974</x:v>
      </x:c>
      <x:c r="B3975" s="106" t="str">
        <x:v>Axis,Frequency_Hz,Amplitude_mps2,SNR_dB,Status</x:v>
      </x:c>
      <x:c r="C3975" t="str">
        <x:v>Pasted text(56).txt</x:v>
      </x:c>
    </x:row>
    <x:row r="3976">
      <x:c r="A3976" t="n">
        <x:v>3975</x:v>
      </x:c>
      <x:c r="B3976" s="106" t="str">
        <x:v>X,268.03518,0.80209,31.90,VALID</x:v>
      </x:c>
      <x:c r="C3976" t="str">
        <x:v>Pasted text(56).txt</x:v>
      </x:c>
    </x:row>
    <x:row r="3977">
      <x:c r="A3977" t="n">
        <x:v>3976</x:v>
      </x:c>
      <x:c r="B3977" s="106" t="str">
        <x:v>Y,268.03524,0.21362,22.09,VALID</x:v>
      </x:c>
      <x:c r="C3977" t="str">
        <x:v>Pasted text(56).txt</x:v>
      </x:c>
    </x:row>
    <x:row r="3978">
      <x:c r="A3978" t="n">
        <x:v>3977</x:v>
      </x:c>
      <x:c r="B3978" s="106" t="str">
        <x:v>Z,267.97315,0.36571,26.16,VALID</x:v>
      </x:c>
      <x:c r="C3978" t="str">
        <x:v>Pasted text(56).txt</x:v>
      </x:c>
    </x:row>
    <x:row r="3979">
      <x:c r="A3979" t="n">
        <x:v>3978</x:v>
      </x:c>
      <x:c r="B3979" s="106" t="str">
        <x:v>Combined frequency: 268.02529 Hz | difference 0.02529 Hz</x:v>
      </x:c>
      <x:c r="C3979" t="str">
        <x:v>Pasted text(56).txt</x:v>
      </x:c>
    </x:row>
    <x:row r="3980">
      <x:c r="A3980" t="n">
        <x:v>3979</x:v>
      </x:c>
      <x:c r="B3980" s="106" t="str">
        <x:v>Combined X/Y/Z/TOTAL: 0.73383 / 0.19521 / 0.32973 / 0.82785</x:v>
      </x:c>
      <x:c r="C3980" t="str">
        <x:v>Pasted text(56).txt</x:v>
      </x:c>
    </x:row>
    <x:row r="3981">
      <x:c r="A3981" t="n">
        <x:v>3980</x:v>
      </x:c>
      <x:c r="B3981" s="106" t="str">
        <x:v>SNR: 29.08 dB | dominant axis X</x:v>
      </x:c>
      <x:c r="C3981" t="str">
        <x:v>Pasted text(56).txt</x:v>
      </x:c>
    </x:row>
    <x:row r="3982">
      <x:c r="A3982" t="n">
        <x:v>3981</x:v>
      </x:c>
      <x:c r="B3982" s="106" t="str">
        <x:v>Frequency verification: PASS</x:v>
      </x:c>
      <x:c r="C3982" t="str">
        <x:v>Pasted text(56).txt</x:v>
      </x:c>
    </x:row>
    <x:row r="3983">
      <x:c r="A3983" t="n">
        <x:v>3982</x:v>
      </x:c>
      <x:c r="B3983" s="106" t="str">
        <x:v>Y/Z dominance: DIAGNOSTIC ONLY — ignored for pass/fail</x:v>
      </x:c>
      <x:c r="C3983" t="str">
        <x:v>Pasted text(56).txt</x:v>
      </x:c>
    </x:row>
    <x:row r="3984">
      <x:c r="A3984" t="n">
        <x:v>3983</x:v>
      </x:c>
      <x:c r="B3984" s="106" t="str"/>
      <x:c r="C3984" t="str">
        <x:v>Pasted text(56).txt</x:v>
      </x:c>
    </x:row>
    <x:row r="3985">
      <x:c r="A3985" t="n">
        <x:v>3984</x:v>
      </x:c>
      <x:c r="B3985" s="106" t="str">
        <x:v>FIXED-DAC HOLD VALIDATION</x:v>
      </x:c>
      <x:c r="C3985" t="str">
        <x:v>Pasted text(56).txt</x:v>
      </x:c>
    </x:row>
    <x:row r="3986">
      <x:c r="A3986" t="n">
        <x:v>3985</x:v>
      </x:c>
      <x:c r="B3986" s="106" t="str">
        <x:v>DAC remains fixed at 10.00 for 10 records.</x:v>
      </x:c>
      <x:c r="C3986" t="str">
        <x:v>Pasted text(56).txt</x:v>
      </x:c>
    </x:row>
    <x:row r="3987">
      <x:c r="A3987" t="n">
        <x:v>3986</x:v>
      </x:c>
      <x:c r="B3987" s="106" t="str">
        <x:v>HOLD | point 1 | DAC 10.00 | CTRL X 0.88432 | X 0.88604 | Y 0.23895 | Z 0.39367 | TOTAL 0.99866 | error -0.64 % | MAD 1.15 % | CV 1.08 % | coh 91.8 % | dominant X | axis fraction 100.0 % | IN TARGET BAND</x:v>
      </x:c>
      <x:c r="C3987" t="str">
        <x:v>Pasted text(56).txt</x:v>
      </x:c>
    </x:row>
    <x:row r="3988">
      <x:c r="A3988" t="n">
        <x:v>3987</x:v>
      </x:c>
      <x:c r="B3988" s="106" t="str">
        <x:v>HOLD | point 2 | DAC 10.00 | CTRL X 0.87788 | X 0.87316 | Y 0.23089 | Z 0.40050 | TOTAL 0.98820 | error -1.36 % | MAD 0.89 % | CV 1.49 % | coh 91.9 % | dominant X | axis fraction 100.0 % | IN TARGET BAND</x:v>
      </x:c>
      <x:c r="C3988" t="str">
        <x:v>Pasted text(56).txt</x:v>
      </x:c>
    </x:row>
    <x:row r="3989">
      <x:c r="A3989" t="n">
        <x:v>3988</x:v>
      </x:c>
      <x:c r="B3989" s="106" t="str">
        <x:v>HOLD | point 3 | DAC 10.00 | CTRL X 0.87338 | X 0.87096 | Y 0.23045 | Z 0.39404 | TOTAL 0.98341 | error -1.87 % | MAD 2.39 % | CV 2.05 % | coh 91.3 % | dominant X | axis fraction 100.0 % | IN TARGET BAND</x:v>
      </x:c>
      <x:c r="C3989" t="str">
        <x:v>Pasted text(56).txt</x:v>
      </x:c>
    </x:row>
    <x:row r="3990">
      <x:c r="A3990" t="n">
        <x:v>3989</x:v>
      </x:c>
      <x:c r="B3990" s="106" t="str">
        <x:v>HOLD | point 4 | DAC 10.00 | CTRL X 0.87626 | X 0.87526 | Y 0.23606 | Z 0.43157 | TOTAL 1.00407 | error -1.54 % | MAD 0.12 % | CV 0.27 % | coh 92.1 % | dominant X | axis fraction 100.0 % | IN TARGET BAND</x:v>
      </x:c>
      <x:c r="C3990" t="str">
        <x:v>Pasted text(56).txt</x:v>
      </x:c>
    </x:row>
    <x:row r="3991">
      <x:c r="A3991" t="n">
        <x:v>3990</x:v>
      </x:c>
      <x:c r="B3991" s="106" t="str">
        <x:v>HOLD | point 5 | DAC 10.00 | CTRL X 0.87070 | X 0.87059 | Y 0.23839 | Z 0.37723 | TOTAL 0.97832 | error -2.17 % | MAD 0.85 % | CV 0.59 % | coh 92.5 % | dominant X | axis fraction 100.0 % | IN TARGET BAND</x:v>
      </x:c>
      <x:c r="C3991" t="str">
        <x:v>Pasted text(56).txt</x:v>
      </x:c>
    </x:row>
    <x:row r="3992">
      <x:c r="A3992" t="n">
        <x:v>3991</x:v>
      </x:c>
      <x:c r="B3992" s="106" t="str">
        <x:v>HOLD | point 6 | DAC 10.00 | CTRL X 0.89123 | X 0.89116 | Y 0.24957 | Z 0.39391 | TOTAL 1.00603 | error 0.14 % | MAD 2.45 % | CV 1.67 % | coh 92.9 % | dominant X | axis fraction 100.0 % | IN TARGET BAND</x:v>
      </x:c>
      <x:c r="C3992" t="str">
        <x:v>Pasted text(56).txt</x:v>
      </x:c>
    </x:row>
    <x:row r="3993">
      <x:c r="A3993" t="n">
        <x:v>3992</x:v>
      </x:c>
      <x:c r="B3993" s="106" t="str">
        <x:v>HOLD | point 7 | DAC 10.00 | CTRL X 0.87685 | X 0.88699 | Y 0.26143 | Z 0.40522 | TOTAL 1.00985 | error -1.48 % | MAD 0.69 % | CV 2.39 % | coh 92.8 % | dominant X | axis fraction 100.0 % | IN TARGET BAND</x:v>
      </x:c>
      <x:c r="C3993" t="str">
        <x:v>Pasted text(56).txt</x:v>
      </x:c>
    </x:row>
    <x:row r="3994">
      <x:c r="A3994" t="n">
        <x:v>3993</x:v>
      </x:c>
      <x:c r="B3994" s="106" t="str">
        <x:v>HOLD | point 8 | DAC 10.00 | CTRL X 0.89903 | X 0.88571 | Y 0.23877 | Z 0.39050 | TOTAL 0.99734 | error 1.01 % | MAD 0.39 % | CV 2.84 % | coh 93.0 % | dominant X | axis fraction 100.0 % | IN TARGET BAND</x:v>
      </x:c>
      <x:c r="C3994" t="str">
        <x:v>Pasted text(56).txt</x:v>
      </x:c>
    </x:row>
    <x:row r="3995">
      <x:c r="A3995" t="n">
        <x:v>3994</x:v>
      </x:c>
      <x:c r="B3995" s="106" t="str">
        <x:v>HOLD | point 9 | DAC 10.00 | CTRL X 0.87236 | X 0.87677 | Y 0.23331 | Z 0.39487 | TOTAL 0.98967 | error -1.98 % | MAD 1.98 % | CV 2.13 % | coh 93.0 % | dominant X | axis fraction 100.0 % | IN TARGET BAND</x:v>
      </x:c>
      <x:c r="C3995" t="str">
        <x:v>Pasted text(56).txt</x:v>
      </x:c>
    </x:row>
    <x:row r="3996">
      <x:c r="A3996" t="n">
        <x:v>3995</x:v>
      </x:c>
      <x:c r="B3996" s="106" t="str">
        <x:v>HOLD | point 10 | DAC 10.00 | CTRL X 0.87318 | X 0.86365 | Y 0.23469 | Z 0.41561 | TOTAL 0.98683 | error -1.89 % | MAD 0.76 % | CV 2.37 % | coh 90.7 % | dominant X | axis fraction 100.0 % | IN TARGET BAND</x:v>
      </x:c>
      <x:c r="C3996" t="str">
        <x:v>Pasted text(56).txt</x:v>
      </x:c>
    </x:row>
    <x:row r="3997">
      <x:c r="A3997" t="n">
        <x:v>3996</x:v>
      </x:c>
      <x:c r="B3997" s="106" t="str"/>
      <x:c r="C3997" t="str">
        <x:v>Pasted text(56).txt</x:v>
      </x:c>
    </x:row>
    <x:row r="3998">
      <x:c r="A3998" t="n">
        <x:v>3997</x:v>
      </x:c>
      <x:c r="B3998" s="106" t="str">
        <x:v>HOLD SUMMARY</x:v>
      </x:c>
      <x:c r="C3998" t="str">
        <x:v>Pasted text(56).txt</x:v>
      </x:c>
    </x:row>
    <x:row r="3999">
      <x:c r="A3999" t="n">
        <x:v>3998</x:v>
      </x:c>
      <x:c r="B3999" s="106" t="str">
        <x:v>Valid / requested: 10 / 10</x:v>
      </x:c>
      <x:c r="C3999" t="str">
        <x:v>Pasted text(56).txt</x:v>
      </x:c>
    </x:row>
    <x:row r="4000">
      <x:c r="A4000" t="n">
        <x:v>3999</x:v>
      </x:c>
      <x:c r="B4000" s="106" t="str">
        <x:v>In band / requested: 10 / 10 = 100.0 %</x:v>
      </x:c>
      <x:c r="C4000" t="str">
        <x:v>Pasted text(56).txt</x:v>
      </x:c>
    </x:row>
    <x:row r="4001">
      <x:c r="A4001" t="n">
        <x:v>4000</x:v>
      </x:c>
      <x:c r="B4001" s="106" t="str">
        <x:v>Mean / SD / CV: 0.87952 / 0.00924 / 1.05 %</x:v>
      </x:c>
      <x:c r="C4001" t="str">
        <x:v>Pasted text(56).txt</x:v>
      </x:c>
    </x:row>
    <x:row r="4002">
      <x:c r="A4002" t="n">
        <x:v>4001</x:v>
      </x:c>
      <x:c r="B4002" s="106" t="str">
        <x:v>Min / Max: 0.87070 / 0.89903</x:v>
      </x:c>
      <x:c r="C4002" t="str">
        <x:v>Pasted text(56).txt</x:v>
      </x:c>
    </x:row>
    <x:row r="4003">
      <x:c r="A4003" t="n">
        <x:v>4002</x:v>
      </x:c>
      <x:c r="B4003" s="106" t="str">
        <x:v>HOLD RESULT: PASS</x:v>
      </x:c>
      <x:c r="C4003" t="str">
        <x:v>Pasted text(56).txt</x:v>
      </x:c>
    </x:row>
    <x:row r="4004">
      <x:c r="A4004" t="n">
        <x:v>4003</x:v>
      </x:c>
      <x:c r="B4004" s="106" t="str"/>
      <x:c r="C4004" t="str">
        <x:v>Pasted text(56).txt</x:v>
      </x:c>
    </x:row>
    <x:row r="4005">
      <x:c r="A4005" t="n">
        <x:v>4004</x:v>
      </x:c>
      <x:c r="B4005" s="106" t="str">
        <x:v>RUN RESULT: PASS</x:v>
      </x:c>
      <x:c r="C4005" t="str">
        <x:v>Pasted text(56).txt</x:v>
      </x:c>
    </x:row>
    <x:row r="4006">
      <x:c r="A4006" t="n">
        <x:v>4005</x:v>
      </x:c>
      <x:c r="B4006" s="106" t="str">
        <x:v>Selected DAC: 10.00</x:v>
      </x:c>
      <x:c r="C4006" t="str">
        <x:v>Pasted text(56).txt</x:v>
      </x:c>
    </x:row>
    <x:row r="4007">
      <x:c r="A4007" t="n">
        <x:v>4006</x:v>
      </x:c>
      <x:c r="B4007" s="106" t="str">
        <x:v>Validated amplitude: 0.88171 m/s^2 | error -0.93 %</x:v>
      </x:c>
      <x:c r="C4007" t="str">
        <x:v>Pasted text(56).txt</x:v>
      </x:c>
    </x:row>
    <x:row r="4008">
      <x:c r="A4008" t="n">
        <x:v>4007</x:v>
      </x:c>
      <x:c r="B4008" s="106" t="str">
        <x:v>FFT frequency: 268.02529 Hz | difference 0.02529 Hz</x:v>
      </x:c>
      <x:c r="C4008" t="str">
        <x:v>Pasted text(56).txt</x:v>
      </x:c>
    </x:row>
    <x:row r="4009">
      <x:c r="A4009" t="n">
        <x:v>4008</x:v>
      </x:c>
      <x:c r="B4009" s="106" t="str"/>
      <x:c r="C4009" t="str">
        <x:v>Pasted text(56).txt</x:v>
      </x:c>
    </x:row>
    <x:row r="4010">
      <x:c r="A4010" t="n">
        <x:v>4009</x:v>
      </x:c>
      <x:c r="B4010" s="106" t="str">
        <x:v>================================================================================</x:v>
      </x:c>
      <x:c r="C4010" t="str">
        <x:v>Pasted text(56).txt</x:v>
      </x:c>
    </x:row>
    <x:row r="4011">
      <x:c r="A4011" t="n">
        <x:v>4010</x:v>
      </x:c>
      <x:c r="B4011" s="106" t="str">
        <x:v>FINAL REPEATED TARGET-AMPLITUDE VALIDATION SUMMARY</x:v>
      </x:c>
      <x:c r="C4011" t="str">
        <x:v>Pasted text(56).txt</x:v>
      </x:c>
    </x:row>
    <x:row r="4012">
      <x:c r="A4012" t="n">
        <x:v>4011</x:v>
      </x:c>
      <x:c r="B4012" s="106" t="str">
        <x:v>================================================================================</x:v>
      </x:c>
      <x:c r="C4012" t="str">
        <x:v>Pasted text(56).txt</x:v>
      </x:c>
    </x:row>
    <x:row r="4013">
      <x:c r="A4013" t="n">
        <x:v>4012</x:v>
      </x:c>
      <x:c r="B4013" s="106" t="str">
        <x:v>Run,Pass,Selected_DAC,Validated_Amp,Error_pct,FFT_Hz,FFT_Diff_Hz,FFT_SNR_dB,Hold_Mean,Hold_CV_pct,Hold_InBand_pct,Reason</x:v>
      </x:c>
      <x:c r="C4013" t="str">
        <x:v>Pasted text(56).txt</x:v>
      </x:c>
    </x:row>
    <x:row r="4014">
      <x:c r="A4014" t="n">
        <x:v>4013</x:v>
      </x:c>
      <x:c r="B4014" s="106" t="str">
        <x:v>1,PASS,10.00,0.88539,-0.52,268.02740,0.02740,29.24,0.89028,0.96,100.0,PASS</x:v>
      </x:c>
      <x:c r="C4014" t="str">
        <x:v>Pasted text(56).txt</x:v>
      </x:c>
    </x:row>
    <x:row r="4015">
      <x:c r="A4015" t="n">
        <x:v>4014</x:v>
      </x:c>
      <x:c r="B4015" s="106" t="str">
        <x:v>2,PASS,10.00,0.88395,-0.68,268.01261,0.01261,29.08,0.87821,1.40,100.0,PASS</x:v>
      </x:c>
      <x:c r="C4015" t="str">
        <x:v>Pasted text(56).txt</x:v>
      </x:c>
    </x:row>
    <x:row r="4016">
      <x:c r="A4016" t="n">
        <x:v>4015</x:v>
      </x:c>
      <x:c r="B4016" s="106" t="str">
        <x:v>3,PASS,10.00,0.87294,-1.92,268.02353,0.02353,29.32,0.88295,1.01,100.0,PASS</x:v>
      </x:c>
      <x:c r="C4016" t="str">
        <x:v>Pasted text(56).txt</x:v>
      </x:c>
    </x:row>
    <x:row r="4017">
      <x:c r="A4017" t="n">
        <x:v>4016</x:v>
      </x:c>
      <x:c r="B4017" s="106" t="str">
        <x:v>4,PASS,10.00,0.88445,-0.62,268.01233,0.01233,28.99,0.88169,1.17,100.0,PASS</x:v>
      </x:c>
      <x:c r="C4017" t="str">
        <x:v>Pasted text(56).txt</x:v>
      </x:c>
    </x:row>
    <x:row r="4018">
      <x:c r="A4018" t="n">
        <x:v>4017</x:v>
      </x:c>
      <x:c r="B4018" s="106" t="str">
        <x:v>5,PASS,10.00,0.88171,-0.93,268.02529,0.02529,29.08,0.87952,1.05,100.0,PASS</x:v>
      </x:c>
      <x:c r="C4018" t="str">
        <x:v>Pasted text(56).txt</x:v>
      </x:c>
    </x:row>
    <x:row r="4019">
      <x:c r="A4019" t="n">
        <x:v>4018</x:v>
      </x:c>
      <x:c r="B4019" s="106" t="str">
        <x:v>--------------------------------------------------------------------------------</x:v>
      </x:c>
      <x:c r="C4019" t="str">
        <x:v>Pasted text(56).txt</x:v>
      </x:c>
    </x:row>
    <x:row r="4020">
      <x:c r="A4020" t="n">
        <x:v>4019</x:v>
      </x:c>
      <x:c r="B4020" s="106" t="str">
        <x:v>Successful independent runs: 5 / 5</x:v>
      </x:c>
      <x:c r="C4020" t="str">
        <x:v>Pasted text(56).txt</x:v>
      </x:c>
    </x:row>
    <x:row r="4021">
      <x:c r="A4021" t="n">
        <x:v>4020</x:v>
      </x:c>
      <x:c r="B4021" s="106" t="str">
        <x:v>Validated amplitude mean +/- SD: 0.88169 +/- 0.00507 m/s^2 peak</x:v>
      </x:c>
      <x:c r="C4021" t="str">
        <x:v>Pasted text(56).txt</x:v>
      </x:c>
    </x:row>
    <x:row r="4022">
      <x:c r="A4022" t="n">
        <x:v>4021</x:v>
      </x:c>
      <x:c r="B4022" s="106" t="str">
        <x:v>Across-run amplitude CV: 0.58 %</x:v>
      </x:c>
      <x:c r="C4022" t="str">
        <x:v>Pasted text(56).txt</x:v>
      </x:c>
    </x:row>
    <x:row r="4023">
      <x:c r="A4023" t="n">
        <x:v>4022</x:v>
      </x:c>
      <x:c r="B4023" s="106" t="str">
        <x:v>Maximum absolute target error: 1.92 %</x:v>
      </x:c>
      <x:c r="C4023" t="str">
        <x:v>Pasted text(56).txt</x:v>
      </x:c>
    </x:row>
    <x:row r="4024">
      <x:c r="A4024" t="n">
        <x:v>4023</x:v>
      </x:c>
      <x:c r="B4024" s="106" t="str">
        <x:v>FFT frequency mean +/- SD: 268.02023 +/- 0.00722 Hz</x:v>
      </x:c>
      <x:c r="C4024" t="str">
        <x:v>Pasted text(56).txt</x:v>
      </x:c>
    </x:row>
    <x:row r="4025">
      <x:c r="A4025" t="n">
        <x:v>4024</x:v>
      </x:c>
      <x:c r="B4025" s="106" t="str">
        <x:v>Selected DAC range: 10.00 to 10.00</x:v>
      </x:c>
      <x:c r="C4025" t="str">
        <x:v>Pasted text(56).txt</x:v>
      </x:c>
    </x:row>
    <x:row r="4026">
      <x:c r="A4026" t="n">
        <x:v>4025</x:v>
      </x:c>
      <x:c r="B4026" s="106" t="str">
        <x:v>Average hold records in target band: 100.0 %</x:v>
      </x:c>
      <x:c r="C4026" t="str">
        <x:v>Pasted text(56).txt</x:v>
      </x:c>
    </x:row>
    <x:row r="4027">
      <x:c r="A4027" t="n">
        <x:v>4026</x:v>
      </x:c>
      <x:c r="B4027" s="106" t="str">
        <x:v>OVERALL VERDICT: EXCELLENT REPRODUCIBLE TARGET-AMPLITUDE ACQUISITION.</x:v>
      </x:c>
      <x:c r="C4027" t="str">
        <x:v>Pasted text(56).txt</x:v>
      </x:c>
    </x:row>
    <x:row r="4028">
      <x:c r="A4028" t="n">
        <x:v>4027</x:v>
      </x:c>
      <x:c r="B4028" s="106" t="str">
        <x:v>X-axis amplitude matching is repeatable; phase testing may follow after one independent confirmation session.</x:v>
      </x:c>
      <x:c r="C4028" t="str">
        <x:v>Pasted text(56).txt</x:v>
      </x:c>
    </x:row>
    <x:row r="4029">
      <x:c r="A4029" t="n">
        <x:v>4028</x:v>
      </x:c>
      <x:c r="B4029" s="106" t="str"/>
      <x:c r="C4029" t="str">
        <x:v>Pasted text(56).txt</x:v>
      </x:c>
    </x:row>
    <x:row r="4030">
      <x:c r="A4030" t="n">
        <x:v>4029</x:v>
      </x:c>
      <x:c r="B4030" s="106" t="str">
        <x:v>Automatic test complete. Enter h for commands.</x:v>
      </x:c>
      <x:c r="C4030" t="str">
        <x:v>Pasted text(56).txt</x:v>
      </x:c>
    </x:row>
    <x:row r="4031">
      <x:c r="A4031" t="n">
        <x:v>1</x:v>
      </x:c>
      <x:c r="B4031" s="58" t="str">
        <x:v>ets Jul 29 2019 12:21:46</x:v>
      </x:c>
      <x:c r="C4031" t="str">
        <x:v>Pasted text(59).txt</x:v>
      </x:c>
    </x:row>
    <x:row r="4032">
      <x:c r="A4032" t="n">
        <x:v>2</x:v>
      </x:c>
      <x:c r="B4032" s="58" t="str"/>
      <x:c r="C4032" t="str">
        <x:v>Pasted text(59).txt</x:v>
      </x:c>
    </x:row>
    <x:row r="4033">
      <x:c r="A4033" t="n">
        <x:v>3</x:v>
      </x:c>
      <x:c r="B4033" s="58" t="str">
        <x:v>rst:0x1 (POWERON_RESET),boot:0x13 (SPI_FAST_FLASH_BOOT)</x:v>
      </x:c>
      <x:c r="C4033" t="str">
        <x:v>Pasted text(59).txt</x:v>
      </x:c>
    </x:row>
    <x:row r="4034">
      <x:c r="A4034" t="n">
        <x:v>4</x:v>
      </x:c>
      <x:c r="B4034" s="58" t="str">
        <x:v>configsip: 0, SPIWP:0xee</x:v>
      </x:c>
      <x:c r="C4034" t="str">
        <x:v>Pasted text(59).txt</x:v>
      </x:c>
    </x:row>
    <x:row r="4035">
      <x:c r="A4035" t="n">
        <x:v>5</x:v>
      </x:c>
      <x:c r="B4035" s="58" t="str">
        <x:v>clk_drv:0x00,q_drv:0x00,d_drv:0x00,cs0_drv:0x00,hd_drv:0x00,wp_drv:0x00</x:v>
      </x:c>
      <x:c r="C4035" t="str">
        <x:v>Pasted text(59).txt</x:v>
      </x:c>
    </x:row>
    <x:row r="4036">
      <x:c r="A4036" t="n">
        <x:v>6</x:v>
      </x:c>
      <x:c r="B4036" s="58" t="str">
        <x:v>mode:DIO, clock div:2</x:v>
      </x:c>
      <x:c r="C4036" t="str">
        <x:v>Pasted text(59).txt</x:v>
      </x:c>
    </x:row>
    <x:row r="4037">
      <x:c r="A4037" t="n">
        <x:v>7</x:v>
      </x:c>
      <x:c r="B4037" s="58" t="str">
        <x:v>load:0x3fff0030,len:4640</x:v>
      </x:c>
      <x:c r="C4037" t="str">
        <x:v>Pasted text(59).txt</x:v>
      </x:c>
    </x:row>
    <x:row r="4038">
      <x:c r="A4038" t="n">
        <x:v>8</x:v>
      </x:c>
      <x:c r="B4038" s="58" t="str">
        <x:v>load:0x40078000,len:15660</x:v>
      </x:c>
      <x:c r="C4038" t="str">
        <x:v>Pasted text(59).txt</x:v>
      </x:c>
    </x:row>
    <x:row r="4039">
      <x:c r="A4039" t="n">
        <x:v>9</x:v>
      </x:c>
      <x:c r="B4039" s="58" t="str">
        <x:v>load:0x40080400,len:3164</x:v>
      </x:c>
      <x:c r="C4039" t="str">
        <x:v>Pasted text(59).txt</x:v>
      </x:c>
    </x:row>
    <x:row r="4040">
      <x:c r="A4040" t="n">
        <x:v>10</x:v>
      </x:c>
      <x:c r="B4040" s="58" t="str">
        <x:v>entry 0x4008059c</x:v>
      </x:c>
      <x:c r="C4040" t="str">
        <x:v>Pasted text(59).txt</x:v>
      </x:c>
    </x:row>
    <x:row r="4041">
      <x:c r="A4041" t="n">
        <x:v>11</x:v>
      </x:c>
      <x:c r="B4041" s="58" t="str"/>
      <x:c r="C4041" t="str">
        <x:v>Pasted text(59).txt</x:v>
      </x:c>
    </x:row>
    <x:row r="4042">
      <x:c r="A4042" t="n">
        <x:v>12</x:v>
      </x:c>
      <x:c r="B4042" s="58" t="str">
        <x:v>============================================================</x:v>
      </x:c>
      <x:c r="C4042" t="str">
        <x:v>Pasted text(59).txt</x:v>
      </x:c>
    </x:row>
    <x:row r="4043">
      <x:c r="A4043" t="n">
        <x:v>13</x:v>
      </x:c>
      <x:c r="B4043" s="58" t="str">
        <x:v>KK-EXOSKELETON X-ONLY AMPLITUDE REPEATABILITY VALIDATOR V4</x:v>
      </x:c>
      <x:c r="C4043" t="str">
        <x:v>Pasted text(59).txt</x:v>
      </x:c>
    </x:row>
    <x:row r="4044">
      <x:c r="A4044" t="n">
        <x:v>14</x:v>
      </x:c>
      <x:c r="B4044" s="58" t="str">
        <x:v>Different DAC per run is allowed; X amplitude and X frequency must repeat.</x:v>
      </x:c>
      <x:c r="C4044" t="str">
        <x:v>Pasted text(59).txt</x:v>
      </x:c>
    </x:row>
    <x:row r="4045">
      <x:c r="A4045" t="n">
        <x:v>15</x:v>
      </x:c>
      <x:c r="B4045" s="58" t="str">
        <x:v>============================================================</x:v>
      </x:c>
      <x:c r="C4045" t="str">
        <x:v>Pasted text(59).txt</x:v>
      </x:c>
    </x:row>
    <x:row r="4046">
      <x:c r="A4046" t="n">
        <x:v>16</x:v>
      </x:c>
      <x:c r="B4046" s="58" t="str">
        <x:v>ADXL2 Device ID: 0xE5</x:v>
      </x:c>
      <x:c r="C4046" t="str">
        <x:v>Pasted text(59).txt</x:v>
      </x:c>
    </x:row>
    <x:row r="4047">
      <x:c r="A4047" t="n">
        <x:v>17</x:v>
      </x:c>
      <x:c r="B4047" s="58" t="str">
        <x:v>DATA_FORMAT: 0xB</x:v>
      </x:c>
      <x:c r="C4047" t="str">
        <x:v>Pasted text(59).txt</x:v>
      </x:c>
    </x:row>
    <x:row r="4048">
      <x:c r="A4048" t="n">
        <x:v>18</x:v>
      </x:c>
      <x:c r="B4048" s="58" t="str">
        <x:v>BW_RATE:     0xE</x:v>
      </x:c>
      <x:c r="C4048" t="str">
        <x:v>Pasted text(59).txt</x:v>
      </x:c>
    </x:row>
    <x:row r="4049">
      <x:c r="A4049" t="n">
        <x:v>19</x:v>
      </x:c>
      <x:c r="B4049" s="58" t="str">
        <x:v>POWER_CTL:   0x8</x:v>
      </x:c>
      <x:c r="C4049" t="str">
        <x:v>Pasted text(59).txt</x:v>
      </x:c>
    </x:row>
    <x:row r="4050">
      <x:c r="A4050" t="n">
        <x:v>20</x:v>
      </x:c>
      <x:c r="B4050" s="58" t="str">
        <x:v>ADXL2 initialized successfully.</x:v>
      </x:c>
      <x:c r="C4050" t="str">
        <x:v>Pasted text(59).txt</x:v>
      </x:c>
    </x:row>
    <x:row r="4051">
      <x:c r="A4051" t="n">
        <x:v>21</x:v>
      </x:c>
      <x:c r="B4051" s="58" t="str"/>
      <x:c r="C4051" t="str">
        <x:v>Pasted text(59).txt</x:v>
      </x:c>
    </x:row>
    <x:row r="4052">
      <x:c r="A4052" t="n">
        <x:v>22</x:v>
      </x:c>
      <x:c r="B4052" s="58" t="str">
        <x:v>ADXL2 GPIO17 = Visaton/final rigid dorsal plate sensor.</x:v>
      </x:c>
      <x:c r="C4052" t="str">
        <x:v>Pasted text(59).txt</x:v>
      </x:c>
    </x:row>
    <x:row r="4053">
      <x:c r="A4053" t="n">
        <x:v>23</x:v>
      </x:c>
      <x:c r="B4053" s="58" t="str">
        <x:v>Visaton command = GPIO25 -&gt; TPA3116D2 -&gt; Visaton EX 45 S.</x:v>
      </x:c>
      <x:c r="C4053" t="str">
        <x:v>Pasted text(59).txt</x:v>
      </x:c>
    </x:row>
    <x:row r="4054">
      <x:c r="A4054" t="n">
        <x:v>24</x:v>
      </x:c>
      <x:c r="B4054" s="58" t="str">
        <x:v>Control is permanently locked to X; Y/Z never affect pass/fail.</x:v>
      </x:c>
      <x:c r="C4054" t="str">
        <x:v>Pasted text(59).txt</x:v>
      </x:c>
    </x:row>
    <x:row r="4055">
      <x:c r="A4055" t="n">
        <x:v>25</x:v>
      </x:c>
      <x:c r="B4055" s="58" t="str">
        <x:v>Run this test with the machine/tool OFF.</x:v>
      </x:c>
      <x:c r="C4055" t="str">
        <x:v>Pasted text(59).txt</x:v>
      </x:c>
    </x:row>
    <x:row r="4056">
      <x:c r="A4056" t="n">
        <x:v>26</x:v>
      </x:c>
      <x:c r="B4056" s="58" t="str"/>
      <x:c r="C4056" t="str">
        <x:v>Pasted text(59).txt</x:v>
      </x:c>
    </x:row>
    <x:row r="4057">
      <x:c r="A4057" t="n">
        <x:v>27</x:v>
      </x:c>
      <x:c r="B4057" s="58" t="str">
        <x:v>CURRENT SETTINGS</x:v>
      </x:c>
      <x:c r="C4057" t="str">
        <x:v>Pasted text(59).txt</x:v>
      </x:c>
    </x:row>
    <x:row r="4058">
      <x:c r="A4058" t="n">
        <x:v>28</x:v>
      </x:c>
      <x:c r="B4058" s="58" t="str">
        <x:v>Frequency: 268.00000 Hz</x:v>
      </x:c>
      <x:c r="C4058" t="str">
        <x:v>Pasted text(59).txt</x:v>
      </x:c>
    </x:row>
    <x:row r="4059">
      <x:c r="A4059" t="n">
        <x:v>29</x:v>
      </x:c>
      <x:c r="B4059" s="58" t="str">
        <x:v>Control axis: X ONLY (Y/Z diagnostic only)</x:v>
      </x:c>
      <x:c r="C4059" t="str">
        <x:v>Pasted text(59).txt</x:v>
      </x:c>
    </x:row>
    <x:row r="4060">
      <x:c r="A4060" t="n">
        <x:v>30</x:v>
      </x:c>
      <x:c r="B4060" s="58" t="str">
        <x:v>Target peak amplitude: 1.10000 m/s^2</x:v>
      </x:c>
      <x:c r="C4060" t="str">
        <x:v>Pasted text(59).txt</x:v>
      </x:c>
    </x:row>
    <x:row r="4061">
      <x:c r="A4061" t="n">
        <x:v>31</x:v>
      </x:c>
      <x:c r="B4061" s="58" t="str">
        <x:v>Tolerance: +/-7.50 %</x:v>
      </x:c>
      <x:c r="C4061" t="str">
        <x:v>Pasted text(59).txt</x:v>
      </x:c>
    </x:row>
    <x:row r="4062">
      <x:c r="A4062" t="n">
        <x:v>32</x:v>
      </x:c>
      <x:c r="B4062" s="58" t="str">
        <x:v>Allowed amplitude band: 1.01750 to 1.18250 m/s^2 peak</x:v>
      </x:c>
      <x:c r="C4062" t="str">
        <x:v>Pasted text(59).txt</x:v>
      </x:c>
    </x:row>
    <x:row r="4063">
      <x:c r="A4063" t="n">
        <x:v>33</x:v>
      </x:c>
      <x:c r="B4063" s="58" t="str">
        <x:v>Independent runs: 5</x:v>
      </x:c>
      <x:c r="C4063" t="str">
        <x:v>Pasted text(59).txt</x:v>
      </x:c>
    </x:row>
    <x:row r="4064">
      <x:c r="A4064" t="n">
        <x:v>34</x:v>
      </x:c>
      <x:c r="B4064" s="58" t="str">
        <x:v>Hold records per run: 10</x:v>
      </x:c>
      <x:c r="C4064" t="str">
        <x:v>Pasted text(59).txt</x:v>
      </x:c>
    </x:row>
    <x:row r="4065">
      <x:c r="A4065" t="n">
        <x:v>35</x:v>
      </x:c>
      <x:c r="B4065" s="58" t="str">
        <x:v>DAC search range/resolution: 1.00 to 30.00 / 0.25</x:v>
      </x:c>
      <x:c r="C4065" t="str">
        <x:v>Pasted text(59).txt</x:v>
      </x:c>
    </x:row>
    <x:row r="4066">
      <x:c r="A4066" t="n">
        <x:v>36</x:v>
      </x:c>
      <x:c r="B4066" s="58" t="str">
        <x:v>FFT bin resolution: 1.56250 Hz; accepted command-to-bin difference &lt;= 2.00 Hz</x:v>
      </x:c>
      <x:c r="C4066" t="str">
        <x:v>Pasted text(59).txt</x:v>
      </x:c>
    </x:row>
    <x:row r="4067">
      <x:c r="A4067" t="n">
        <x:v>37</x:v>
      </x:c>
      <x:c r="B4067" s="58" t="str"/>
      <x:c r="C4067" t="str">
        <x:v>Pasted text(59).txt</x:v>
      </x:c>
    </x:row>
    <x:row r="4068">
      <x:c r="A4068" t="n">
        <x:v>38</x:v>
      </x:c>
      <x:c r="B4068" s="58" t="str">
        <x:v>============================================================</x:v>
      </x:c>
      <x:c r="C4068" t="str">
        <x:v>Pasted text(59).txt</x:v>
      </x:c>
    </x:row>
    <x:row r="4069">
      <x:c r="A4069" t="n">
        <x:v>39</x:v>
      </x:c>
      <x:c r="B4069" s="58" t="str">
        <x:v>COMMANDS</x:v>
      </x:c>
      <x:c r="C4069" t="str">
        <x:v>Pasted text(59).txt</x:v>
      </x:c>
    </x:row>
    <x:row r="4070">
      <x:c r="A4070" t="n">
        <x:v>40</x:v>
      </x:c>
      <x:c r="B4070" s="58" t="str">
        <x:v>============================================================</x:v>
      </x:c>
      <x:c r="C4070" t="str">
        <x:v>Pasted text(59).txt</x:v>
      </x:c>
    </x:row>
    <x:row r="4071">
      <x:c r="A4071" t="n">
        <x:v>41</x:v>
      </x:c>
      <x:c r="B4071" s="58" t="str">
        <x:v>f 268    = set frequency in Hz (20-350)</x:v>
      </x:c>
      <x:c r="C4071" t="str">
        <x:v>Pasted text(59).txt</x:v>
      </x:c>
    </x:row>
    <x:row r="4072">
      <x:c r="A4072" t="n">
        <x:v>42</x:v>
      </x:c>
      <x:c r="B4072" s="58" t="str">
        <x:v>t 1.12   = set X-axis target peak amplitude in m/s^2</x:v>
      </x:c>
      <x:c r="C4072" t="str">
        <x:v>Pasted text(59).txt</x:v>
      </x:c>
    </x:row>
    <x:row r="4073">
      <x:c r="A4073" t="n">
        <x:v>43</x:v>
      </x:c>
      <x:c r="B4073" s="58" t="str">
        <x:v>e 7.5    = set tolerance percent (5-10 recommended)</x:v>
      </x:c>
      <x:c r="C4073" t="str">
        <x:v>Pasted text(59).txt</x:v>
      </x:c>
    </x:row>
    <x:row r="4074">
      <x:c r="A4074" t="n">
        <x:v>44</x:v>
      </x:c>
      <x:c r="B4074" s="58" t="str">
        <x:v>n 5      = set independent run count (2-10)</x:v>
      </x:c>
      <x:c r="C4074" t="str">
        <x:v>Pasted text(59).txt</x:v>
      </x:c>
    </x:row>
    <x:row r="4075">
      <x:c r="A4075" t="n">
        <x:v>45</x:v>
      </x:c>
      <x:c r="B4075" s="58" t="str">
        <x:v>k 10     = set fixed-DAC hold records per run (5-30)</x:v>
      </x:c>
      <x:c r="C4075" t="str">
        <x:v>Pasted text(59).txt</x:v>
      </x:c>
    </x:row>
    <x:row r="4076">
      <x:c r="A4076" t="n">
        <x:v>46</x:v>
      </x:c>
      <x:c r="B4076" s="58" t="str">
        <x:v>a        = run complete repeated target-amplitude validation</x:v>
      </x:c>
      <x:c r="C4076" t="str">
        <x:v>Pasted text(59).txt</x:v>
      </x:c>
    </x:row>
    <x:row r="4077">
      <x:c r="A4077" t="n">
        <x:v>47</x:v>
      </x:c>
      <x:c r="B4077" s="58" t="str">
        <x:v>q 10     = one exact-frequency quadrature measurement at DAC 10</x:v>
      </x:c>
      <x:c r="C4077" t="str">
        <x:v>Pasted text(59).txt</x:v>
      </x:c>
    </x:row>
    <x:row r="4078">
      <x:c r="A4078" t="n">
        <x:v>48</x:v>
      </x:c>
      <x:c r="B4078" s="58" t="str">
        <x:v>d 15     = one validated blind FFT diagnostic at DAC 15</x:v>
      </x:c>
      <x:c r="C4078" t="str">
        <x:v>Pasted text(59).txt</x:v>
      </x:c>
    </x:row>
    <x:row r="4079">
      <x:c r="A4079" t="n">
        <x:v>49</x:v>
      </x:c>
      <x:c r="B4079" s="58" t="str">
        <x:v>p        = print settings</x:v>
      </x:c>
      <x:c r="C4079" t="str">
        <x:v>Pasted text(59).txt</x:v>
      </x:c>
    </x:row>
    <x:row r="4080">
      <x:c r="A4080" t="n">
        <x:v>50</x:v>
      </x:c>
      <x:c r="B4080" s="58" t="str">
        <x:v>s        = emergency stop</x:v>
      </x:c>
      <x:c r="C4080" t="str">
        <x:v>Pasted text(59).txt</x:v>
      </x:c>
    </x:row>
    <x:row r="4081">
      <x:c r="A4081" t="n">
        <x:v>51</x:v>
      </x:c>
      <x:c r="B4081" s="58" t="str">
        <x:v>h        = show menu</x:v>
      </x:c>
      <x:c r="C4081" t="str">
        <x:v>Pasted text(59).txt</x:v>
      </x:c>
    </x:row>
    <x:row r="4082">
      <x:c r="A4082" t="n">
        <x:v>52</x:v>
      </x:c>
      <x:c r="B4082" s="58" t="str">
        <x:v>============================================================</x:v>
      </x:c>
      <x:c r="C4082" t="str">
        <x:v>Pasted text(59).txt</x:v>
      </x:c>
    </x:row>
    <x:row r="4083">
      <x:c r="A4083" t="n">
        <x:v>53</x:v>
      </x:c>
      <x:c r="B4083" s="58" t="str">
        <x:v>Frequency set to 268.00000 Hz.</x:v>
      </x:c>
      <x:c r="C4083" t="str">
        <x:v>Pasted text(59).txt</x:v>
      </x:c>
    </x:row>
    <x:row r="4084">
      <x:c r="A4084" t="n">
        <x:v>54</x:v>
      </x:c>
      <x:c r="B4084" s="58" t="str">
        <x:v>Target amplitude set to 1.15000 m/s^2 peak.</x:v>
      </x:c>
      <x:c r="C4084" t="str">
        <x:v>Pasted text(59).txt</x:v>
      </x:c>
    </x:row>
    <x:row r="4085">
      <x:c r="A4085" t="n">
        <x:v>55</x:v>
      </x:c>
      <x:c r="B4085" s="58" t="str"/>
      <x:c r="C4085" t="str">
        <x:v>Pasted text(59).txt</x:v>
      </x:c>
    </x:row>
    <x:row r="4086">
      <x:c r="A4086" t="n">
        <x:v>56</x:v>
      </x:c>
      <x:c r="B4086" s="58" t="str">
        <x:v>================================================================================</x:v>
      </x:c>
      <x:c r="C4086" t="str">
        <x:v>Pasted text(59).txt</x:v>
      </x:c>
    </x:row>
    <x:row r="4087">
      <x:c r="A4087" t="n">
        <x:v>57</x:v>
      </x:c>
      <x:c r="B4087" s="58" t="str">
        <x:v>REPEATED INDEPENDENT TARGET-AMPLITUDE VALIDATION STARTED</x:v>
      </x:c>
      <x:c r="C4087" t="str">
        <x:v>Pasted text(59).txt</x:v>
      </x:c>
    </x:row>
    <x:row r="4088">
      <x:c r="A4088" t="n">
        <x:v>58</x:v>
      </x:c>
      <x:c r="B4088" s="58" t="str">
        <x:v>================================================================================</x:v>
      </x:c>
      <x:c r="C4088" t="str">
        <x:v>Pasted text(59).txt</x:v>
      </x:c>
    </x:row>
    <x:row r="4089">
      <x:c r="A4089" t="n">
        <x:v>59</x:v>
      </x:c>
      <x:c r="B4089" s="58" t="str"/>
      <x:c r="C4089" t="str">
        <x:v>Pasted text(59).txt</x:v>
      </x:c>
    </x:row>
    <x:row r="4090">
      <x:c r="A4090" t="n">
        <x:v>60</x:v>
      </x:c>
      <x:c r="B4090" s="58" t="str">
        <x:v>CURRENT SETTINGS</x:v>
      </x:c>
      <x:c r="C4090" t="str">
        <x:v>Pasted text(59).txt</x:v>
      </x:c>
    </x:row>
    <x:row r="4091">
      <x:c r="A4091" t="n">
        <x:v>61</x:v>
      </x:c>
      <x:c r="B4091" s="58" t="str">
        <x:v>Frequency: 268.00000 Hz</x:v>
      </x:c>
      <x:c r="C4091" t="str">
        <x:v>Pasted text(59).txt</x:v>
      </x:c>
    </x:row>
    <x:row r="4092">
      <x:c r="A4092" t="n">
        <x:v>62</x:v>
      </x:c>
      <x:c r="B4092" s="58" t="str">
        <x:v>Control axis: X ONLY (Y/Z diagnostic only)</x:v>
      </x:c>
      <x:c r="C4092" t="str">
        <x:v>Pasted text(59).txt</x:v>
      </x:c>
    </x:row>
    <x:row r="4093">
      <x:c r="A4093" t="n">
        <x:v>63</x:v>
      </x:c>
      <x:c r="B4093" s="58" t="str">
        <x:v>Target peak amplitude: 1.15000 m/s^2</x:v>
      </x:c>
      <x:c r="C4093" t="str">
        <x:v>Pasted text(59).txt</x:v>
      </x:c>
    </x:row>
    <x:row r="4094">
      <x:c r="A4094" t="n">
        <x:v>64</x:v>
      </x:c>
      <x:c r="B4094" s="58" t="str">
        <x:v>Tolerance: +/-7.50 %</x:v>
      </x:c>
      <x:c r="C4094" t="str">
        <x:v>Pasted text(59).txt</x:v>
      </x:c>
    </x:row>
    <x:row r="4095">
      <x:c r="A4095" t="n">
        <x:v>65</x:v>
      </x:c>
      <x:c r="B4095" s="58" t="str">
        <x:v>Allowed amplitude band: 1.06375 to 1.23625 m/s^2 peak</x:v>
      </x:c>
      <x:c r="C4095" t="str">
        <x:v>Pasted text(59).txt</x:v>
      </x:c>
    </x:row>
    <x:row r="4096">
      <x:c r="A4096" t="n">
        <x:v>66</x:v>
      </x:c>
      <x:c r="B4096" s="58" t="str">
        <x:v>Independent runs: 5</x:v>
      </x:c>
      <x:c r="C4096" t="str">
        <x:v>Pasted text(59).txt</x:v>
      </x:c>
    </x:row>
    <x:row r="4097">
      <x:c r="A4097" t="n">
        <x:v>67</x:v>
      </x:c>
      <x:c r="B4097" s="58" t="str">
        <x:v>Hold records per run: 10</x:v>
      </x:c>
      <x:c r="C4097" t="str">
        <x:v>Pasted text(59).txt</x:v>
      </x:c>
    </x:row>
    <x:row r="4098">
      <x:c r="A4098" t="n">
        <x:v>68</x:v>
      </x:c>
      <x:c r="B4098" s="58" t="str">
        <x:v>DAC search range/resolution: 1.00 to 30.00 / 0.25</x:v>
      </x:c>
      <x:c r="C4098" t="str">
        <x:v>Pasted text(59).txt</x:v>
      </x:c>
    </x:row>
    <x:row r="4099">
      <x:c r="A4099" t="n">
        <x:v>69</x:v>
      </x:c>
      <x:c r="B4099" s="58" t="str">
        <x:v>FFT bin resolution: 1.56250 Hz; accepted command-to-bin difference &lt;= 2.00 Hz</x:v>
      </x:c>
      <x:c r="C4099" t="str">
        <x:v>Pasted text(59).txt</x:v>
      </x:c>
    </x:row>
    <x:row r="4100">
      <x:c r="A4100" t="n">
        <x:v>70</x:v>
      </x:c>
      <x:c r="B4100" s="58" t="str">
        <x:v>Every run starts from DAC 1.00. Different selected DACs are allowed.</x:v>
      </x:c>
      <x:c r="C4100" t="str">
        <x:v>Pasted text(59).txt</x:v>
      </x:c>
    </x:row>
    <x:row r="4101">
      <x:c r="A4101" t="n">
        <x:v>71</x:v>
      </x:c>
      <x:c r="B4101" s="58" t="str">
        <x:v>The accepted result is X-axis amplitude and X-axis frequency, not DAC.</x:v>
      </x:c>
      <x:c r="C4101" t="str">
        <x:v>Pasted text(59).txt</x:v>
      </x:c>
    </x:row>
    <x:row r="4102">
      <x:c r="A4102" t="n">
        <x:v>72</x:v>
      </x:c>
      <x:c r="B4102" s="58" t="str"/>
      <x:c r="C4102" t="str">
        <x:v>Pasted text(59).txt</x:v>
      </x:c>
    </x:row>
    <x:row r="4103">
      <x:c r="A4103" t="n">
        <x:v>73</x:v>
      </x:c>
      <x:c r="B4103" s="58" t="str">
        <x:v>################################################################################</x:v>
      </x:c>
      <x:c r="C4103" t="str">
        <x:v>Pasted text(59).txt</x:v>
      </x:c>
    </x:row>
    <x:row r="4104">
      <x:c r="A4104" t="n">
        <x:v>74</x:v>
      </x:c>
      <x:c r="B4104" s="58" t="str">
        <x:v>INDEPENDENT TARGET-AMPLITUDE RUN 1 OF 5</x:v>
      </x:c>
      <x:c r="C4104" t="str">
        <x:v>Pasted text(59).txt</x:v>
      </x:c>
    </x:row>
    <x:row r="4105">
      <x:c r="A4105" t="n">
        <x:v>75</x:v>
      </x:c>
      <x:c r="B4105" s="58" t="str">
        <x:v>################################################################################</x:v>
      </x:c>
      <x:c r="C4105" t="str">
        <x:v>Pasted text(59).txt</x:v>
      </x:c>
    </x:row>
    <x:row r="4106">
      <x:c r="A4106" t="n">
        <x:v>76</x:v>
      </x:c>
      <x:c r="B4106" s="58" t="str">
        <x:v>Frequency: 268.00000 Hz</x:v>
      </x:c>
      <x:c r="C4106" t="str">
        <x:v>Pasted text(59).txt</x:v>
      </x:c>
    </x:row>
    <x:row r="4107">
      <x:c r="A4107" t="n">
        <x:v>77</x:v>
      </x:c>
      <x:c r="B4107" s="58" t="str">
        <x:v>Target X amplitude: 1.15000 m/s^2 peak, tolerance +/-7.50 %</x:v>
      </x:c>
      <x:c r="C4107" t="str">
        <x:v>Pasted text(59).txt</x:v>
      </x:c>
    </x:row>
    <x:row r="4108">
      <x:c r="A4108" t="n">
        <x:v>78</x:v>
      </x:c>
      <x:c r="B4108" s="58" t="str">
        <x:v>This run starts from DAC 1.00 and ignores every earlier selected DAC.</x:v>
      </x:c>
      <x:c r="C4108" t="str">
        <x:v>Pasted text(59).txt</x:v>
      </x:c>
    </x:row>
    <x:row r="4109">
      <x:c r="A4109" t="n">
        <x:v>79</x:v>
      </x:c>
      <x:c r="B4109" s="58" t="str">
        <x:v>ADXL2 DEVID/DATA_FORMAT/BW_RATE/POWER_CTL: 0xE5 / 0xB / 0xE / 0x8</x:v>
      </x:c>
      <x:c r="C4109" t="str">
        <x:v>Pasted text(59).txt</x:v>
      </x:c>
    </x:row>
    <x:row r="4110">
      <x:c r="A4110" t="n">
        <x:v>80</x:v>
      </x:c>
      <x:c r="B4110" s="58" t="str"/>
      <x:c r="C4110" t="str">
        <x:v>Pasted text(59).txt</x:v>
      </x:c>
    </x:row>
    <x:row r="4111">
      <x:c r="A4111" t="n">
        <x:v>81</x:v>
      </x:c>
      <x:c r="B4111" s="58" t="str">
        <x:v>ACQUISITION ATTEMPT 1 OF 2</x:v>
      </x:c>
      <x:c r="C4111" t="str">
        <x:v>Pasted text(59).txt</x:v>
      </x:c>
    </x:row>
    <x:row r="4112">
      <x:c r="A4112" t="n">
        <x:v>82</x:v>
      </x:c>
      <x:c r="B4112" s="58" t="str"/>
      <x:c r="C4112" t="str">
        <x:v>Pasted text(59).txt</x:v>
      </x:c>
    </x:row>
    <x:row r="4113">
      <x:c r="A4113" t="n">
        <x:v>83</x:v>
      </x:c>
      <x:c r="B4113" s="58" t="str">
        <x:v>FRESH X-AXIS SEARCH FROM DAC 1.00 — OLD DAC VALUES ARE NOT USED</x:v>
      </x:c>
      <x:c r="C4113" t="str">
        <x:v>Pasted text(59).txt</x:v>
      </x:c>
    </x:row>
    <x:row r="4114">
      <x:c r="A4114" t="n">
        <x:v>84</x:v>
      </x:c>
      <x:c r="B4114" s="58" t="str">
        <x:v>Y/Z are diagnostic only and cannot abort this search.</x:v>
      </x:c>
      <x:c r="C4114" t="str">
        <x:v>Pasted text(59).txt</x:v>
      </x:c>
    </x:row>
    <x:row r="4115">
      <x:c r="A4115" t="n">
        <x:v>85</x:v>
      </x:c>
      <x:c r="B4115" s="58" t="str">
        <x:v>A real SPI fault, clipping, safety limit or confirmed X-response collapse will stop it.</x:v>
      </x:c>
      <x:c r="C4115" t="str">
        <x:v>Pasted text(59).txt</x:v>
      </x:c>
    </x:row>
    <x:row r="4116">
      <x:c r="A4116" t="n">
        <x:v>86</x:v>
      </x:c>
      <x:c r="B4116" s="58" t="str">
        <x:v>SEARCH | point 1 | DAC 1.00 | CTRL X 0.02129 | X 0.01870 | Y 0.01714 | Z 0.01278 | TOTAL 0.02918 | error -98.15 % | MAD 45.49 % | CV 57.04 % | coh 6.7 % | dominant X | axis fraction 100.0 % | BELOW MEASUREMENT FLOOR — SEARCH CONTINUES</x:v>
      </x:c>
      <x:c r="C4116" t="str">
        <x:v>Pasted text(59).txt</x:v>
      </x:c>
    </x:row>
    <x:row r="4117">
      <x:c r="A4117" t="n">
        <x:v>87</x:v>
      </x:c>
      <x:c r="B4117" s="58" t="str">
        <x:v>SEARCH | point 2 | DAC 3.00 | CTRL X 0.10739 | X 0.10949 | Y 0.09165 | Z 0.07960 | TOTAL 0.16452 | error -90.66 % | MAD 3.29 % | CV 5.32 % | coh 27.0 % | dominant X | axis fraction 100.0 % | BELOW MEASUREMENT FLOOR — SEARCH CONTINUES</x:v>
      </x:c>
      <x:c r="C4117" t="str">
        <x:v>Pasted text(59).txt</x:v>
      </x:c>
    </x:row>
    <x:row r="4118">
      <x:c r="A4118" t="n">
        <x:v>88</x:v>
      </x:c>
      <x:c r="B4118" s="58" t="str">
        <x:v>SEARCH | point 3 | DAC 5.00 | CTRL X 0.19657 | X 0.20120 | Y 0.15409 | Z 0.13041 | TOTAL 0.28671 | error -82.91 % | MAD 4.01 % | CV 6.41 % | coh 44.3 % | dominant X | axis fraction 100.0 % | UNSTABLE — SEARCH CONTINUES</x:v>
      </x:c>
      <x:c r="C4118" t="str">
        <x:v>Pasted text(59).txt</x:v>
      </x:c>
    </x:row>
    <x:row r="4119">
      <x:c r="A4119" t="n">
        <x:v>89</x:v>
      </x:c>
      <x:c r="B4119" s="58" t="str">
        <x:v>SEARCH | point 4 | DAC 7.00 | CTRL X 0.27961 | X 0.28548 | Y 0.22462 | Z 0.21097 | TOTAL 0.42031 | error -75.69 % | MAD 2.87 % | CV 5.29 % | coh 55.0 % | dominant X | axis fraction 100.0 % | VALID</x:v>
      </x:c>
      <x:c r="C4119" t="str">
        <x:v>Pasted text(59).txt</x:v>
      </x:c>
    </x:row>
    <x:row r="4120">
      <x:c r="A4120" t="n">
        <x:v>90</x:v>
      </x:c>
      <x:c r="B4120" s="58" t="str">
        <x:v>SEARCH | point 5 | DAC 9.00 | CTRL X 0.36524 | X 0.37190 | Y 0.27826 | Z 0.26228 | TOTAL 0.53374 | error -68.24 % | MAD 1.49 % | CV 3.98 % | coh 61.9 % | dominant X | axis fraction 100.0 % | VALID</x:v>
      </x:c>
      <x:c r="C4120" t="str">
        <x:v>Pasted text(59).txt</x:v>
      </x:c>
    </x:row>
    <x:row r="4121">
      <x:c r="A4121" t="n">
        <x:v>91</x:v>
      </x:c>
      <x:c r="B4121" s="58" t="str">
        <x:v>SEARCH | point 6 | DAC 10.00 | CTRL X 0.42822 | X 0.42741 | Y 0.30194 | Z 0.24990 | TOTAL 0.58050 | error -62.76 % | MAD 0.39 % | CV 0.57 % | coh 65.3 % | dominant X | axis fraction 100.0 % | VALID</x:v>
      </x:c>
      <x:c r="C4121" t="str">
        <x:v>Pasted text(59).txt</x:v>
      </x:c>
    </x:row>
    <x:row r="4122">
      <x:c r="A4122" t="n">
        <x:v>92</x:v>
      </x:c>
      <x:c r="B4122" s="58" t="str">
        <x:v>SEARCH | point 7 | DAC 11.00 | CTRL X 0.46420 | X 0.46546 | Y 0.31775 | Z 0.28720 | TOTAL 0.63300 | error -59.63 % | MAD 2.06 % | CV 1.81 % | coh 66.0 % | dominant X | axis fraction 100.0 % | VALID</x:v>
      </x:c>
      <x:c r="C4122" t="str">
        <x:v>Pasted text(59).txt</x:v>
      </x:c>
    </x:row>
    <x:row r="4123">
      <x:c r="A4123" t="n">
        <x:v>93</x:v>
      </x:c>
      <x:c r="B4123" s="58" t="str">
        <x:v>SEARCH | point 8 | DAC 12.00 | CTRL X 0.51967 | X 0.52213 | Y 0.34227 | Z 0.30977 | TOTAL 0.69698 | error -54.81 % | MAD 1.02 % | CV 1.45 % | coh 68.9 % | dominant X | axis fraction 100.0 % | VALID</x:v>
      </x:c>
      <x:c r="C4123" t="str">
        <x:v>Pasted text(59).txt</x:v>
      </x:c>
    </x:row>
    <x:row r="4124">
      <x:c r="A4124" t="n">
        <x:v>94</x:v>
      </x:c>
      <x:c r="B4124" s="58" t="str">
        <x:v>SEARCH | point 9 | DAC 13.00 | CTRL X 0.58331 | X 0.57717 | Y 0.33607 | Z 0.29843 | TOTAL 0.73167 | error -49.28 % | MAD 0.25 % | CV 1.99 % | coh 70.0 % | dominant X | axis fraction 100.0 % | VALID</x:v>
      </x:c>
      <x:c r="C4124" t="str">
        <x:v>Pasted text(59).txt</x:v>
      </x:c>
    </x:row>
    <x:row r="4125">
      <x:c r="A4125" t="n">
        <x:v>95</x:v>
      </x:c>
      <x:c r="B4125" s="58" t="str">
        <x:v>SEARCH | point 10 | DAC 14.00 | CTRL X 0.79490 | X 0.80394 | Y 0.38208 | Z 0.07667 | TOTAL 0.89381 | error -30.88 % | MAD 0.51 % | CV 2.25 % | coh 79.5 % | dominant X | axis fraction 100.0 % | VALID</x:v>
      </x:c>
      <x:c r="C4125" t="str">
        <x:v>Pasted text(59).txt</x:v>
      </x:c>
    </x:row>
    <x:row r="4126">
      <x:c r="A4126" t="n">
        <x:v>96</x:v>
      </x:c>
      <x:c r="B4126" s="58" t="str">
        <x:v>SEARCH | point 11 | DAC 14.50 | CTRL X 0.86740 | X 0.86610 | Y 0.45354 | Z 0.05292 | TOTAL 0.97922 | error -24.57 % | MAD 3.11 % | CV 2.33 % | coh 83.4 % | dominant X | axis fraction 100.0 % | VALID</x:v>
      </x:c>
      <x:c r="C4126" t="str">
        <x:v>Pasted text(59).txt</x:v>
      </x:c>
    </x:row>
    <x:row r="4127">
      <x:c r="A4127" t="n">
        <x:v>97</x:v>
      </x:c>
      <x:c r="B4127" s="58" t="str">
        <x:v>SEARCH | point 12 | DAC 15.00 | CTRL X 0.87657 | X 0.87873 | Y 0.49935 | Z 0.07079 | TOTAL 1.01412 | error -23.78 % | MAD 3.39 % | CV 2.66 % | coh 79.6 % | dominant X | axis fraction 100.0 % | VALID</x:v>
      </x:c>
      <x:c r="C4127" t="str">
        <x:v>Pasted text(59).txt</x:v>
      </x:c>
    </x:row>
    <x:row r="4128">
      <x:c r="A4128" t="n">
        <x:v>98</x:v>
      </x:c>
      <x:c r="B4128" s="58" t="str">
        <x:v>SEARCH | point 13 | DAC 15.50 | CTRL X 0.93389 | X 0.92867 | Y 0.55061 | Z 0.11210 | TOTAL 1.08571 | error -18.79 % | MAD 0.82 % | CV 1.48 % | coh 80.7 % | dominant X | axis fraction 100.0 % | VALID</x:v>
      </x:c>
      <x:c r="C4128" t="str">
        <x:v>Pasted text(59).txt</x:v>
      </x:c>
    </x:row>
    <x:row r="4129">
      <x:c r="A4129" t="n">
        <x:v>99</x:v>
      </x:c>
      <x:c r="B4129" s="58" t="str">
        <x:v>SEARCH | point 14 | DAC 16.00 | CTRL X 1.00736 | X 1.01693 | Y 0.56305 | Z 0.15326 | TOTAL 1.17314 | error -12.40 % | MAD 1.17 % | CV 2.34 % | coh 80.6 % | dominant X | axis fraction 100.0 % | VALID</x:v>
      </x:c>
      <x:c r="C4129" t="str">
        <x:v>Pasted text(59).txt</x:v>
      </x:c>
    </x:row>
    <x:row r="4130">
      <x:c r="A4130" t="n">
        <x:v>100</x:v>
      </x:c>
      <x:c r="B4130" s="58" t="str">
        <x:v>SEARCH | point 15 | DAC 16.25 | CTRL X 1.05113 | X 1.04537 | Y 0.56118 | Z 0.20707 | TOTAL 1.20448 | error -8.60 % | MAD 1.25 % | CV 1.74 % | coh 80.0 % | dominant X | axis fraction 100.0 % | VALID</x:v>
      </x:c>
      <x:c r="C4130" t="str">
        <x:v>Pasted text(59).txt</x:v>
      </x:c>
    </x:row>
    <x:row r="4131">
      <x:c r="A4131" t="n">
        <x:v>101</x:v>
      </x:c>
      <x:c r="B4131" s="58" t="str">
        <x:v>SEARCH | point 16 | DAC 16.50 | CTRL X 1.05774 | X 1.05813 | Y 0.60174 | Z 0.22573 | TOTAL 1.23809 | error -8.02 % | MAD 1.52 % | CV 1.08 % | coh 81.0 % | dominant X | axis fraction 100.0 % | VALID</x:v>
      </x:c>
      <x:c r="C4131" t="str">
        <x:v>Pasted text(59).txt</x:v>
      </x:c>
    </x:row>
    <x:row r="4132">
      <x:c r="A4132" t="n">
        <x:v>102</x:v>
      </x:c>
      <x:c r="B4132" s="58" t="str">
        <x:v>SEARCH | point 17 | DAC 16.75 | CTRL X 1.04211 | X 1.03969 | Y 0.64989 | Z 0.16724 | TOTAL 1.23787 | error -9.38 % | MAD 1.33 % | CV 1.26 % | coh 78.1 % | dominant X | axis fraction 100.0 % | VALID</x:v>
      </x:c>
      <x:c r="C4132" t="str">
        <x:v>Pasted text(59).txt</x:v>
      </x:c>
    </x:row>
    <x:row r="4133">
      <x:c r="A4133" t="n">
        <x:v>103</x:v>
      </x:c>
      <x:c r="B4133" s="58" t="str">
        <x:v>SEARCH | point 18 | DAC 17.00 | CTRL X 1.04798 | X 1.04739 | Y 0.70625 | Z 0.14043 | TOTAL 1.27129 | error -8.87 % | MAD 0.60 % | CV 0.49 % | coh 78.1 % | dominant X | axis fraction 100.0 % | VALID</x:v>
      </x:c>
      <x:c r="C4133" t="str">
        <x:v>Pasted text(59).txt</x:v>
      </x:c>
    </x:row>
    <x:row r="4134">
      <x:c r="A4134" t="n">
        <x:v>104</x:v>
      </x:c>
      <x:c r="B4134" s="58" t="str">
        <x:v>SEARCH | point 19 | DAC 17.25 | CTRL X 1.06984 | X 1.07382 | Y 0.73752 | Z 0.18416 | TOTAL 1.31571 | error -6.97 % | MAD 0.32 % | CV 0.83 % | coh 78.1 % | dominant X | axis fraction 100.0 % | IN TARGET BAND</x:v>
      </x:c>
      <x:c r="C4134" t="str">
        <x:v>Pasted text(59).txt</x:v>
      </x:c>
    </x:row>
    <x:row r="4135">
      <x:c r="A4135" t="n">
        <x:v>105</x:v>
      </x:c>
      <x:c r="B4135" s="58" t="str"/>
      <x:c r="C4135" t="str">
        <x:v>Pasted text(59).txt</x:v>
      </x:c>
    </x:row>
    <x:row r="4136">
      <x:c r="A4136" t="n">
        <x:v>106</x:v>
      </x:c>
      <x:c r="B4136" s="58" t="str">
        <x:v>LOCAL 0.25-DAC X-AXIS FINE SCAN</x:v>
      </x:c>
      <x:c r="C4136" t="str">
        <x:v>Pasted text(59).txt</x:v>
      </x:c>
    </x:row>
    <x:row r="4137">
      <x:c r="A4137" t="n">
        <x:v>107</x:v>
      </x:c>
      <x:c r="B4137" s="58" t="str">
        <x:v>Only a valid point actually inside the X target band may be selected.</x:v>
      </x:c>
      <x:c r="C4137" t="str">
        <x:v>Pasted text(59).txt</x:v>
      </x:c>
    </x:row>
    <x:row r="4138">
      <x:c r="A4138" t="n">
        <x:v>108</x:v>
      </x:c>
      <x:c r="B4138" s="58" t="str">
        <x:v>FINE | point 1 | DAC 16.25 | CTRL X 1.02745 | X 1.01996 | Y 0.72721 | Z 0.17069 | TOTAL 1.26435 | error -10.66 % | MAD 0.09 % | CV 1.33 % | coh 79.3 % | dominant X | axis fraction 100.0 % | VALID</x:v>
      </x:c>
      <x:c r="C4138" t="str">
        <x:v>Pasted text(59).txt</x:v>
      </x:c>
    </x:row>
    <x:row r="4139">
      <x:c r="A4139" t="n">
        <x:v>109</x:v>
      </x:c>
      <x:c r="B4139" s="58" t="str">
        <x:v>FINE | point 2 | DAC 16.50 | CTRL X 0.99841 | X 1.00044 | Y 0.73572 | Z 0.20340 | TOTAL 1.25861 | error -13.18 % | MAD 3.62 % | CV 2.75 % | coh 78.5 % | dominant X | axis fraction 100.0 % | VALID</x:v>
      </x:c>
      <x:c r="C4139" t="str">
        <x:v>Pasted text(59).txt</x:v>
      </x:c>
    </x:row>
    <x:row r="4140">
      <x:c r="A4140" t="n">
        <x:v>110</x:v>
      </x:c>
      <x:c r="B4140" s="58" t="str">
        <x:v>FINE | point 3 | DAC 16.75 | CTRL X 1.05772 | X 1.06232 | Y 0.76748 | Z 0.19374 | TOTAL 1.32494 | error -8.02 % | MAD 0.41 % | CV 1.00 % | coh 80.2 % | dominant X | axis fraction 100.0 % | VALID</x:v>
      </x:c>
      <x:c r="C4140" t="str">
        <x:v>Pasted text(59).txt</x:v>
      </x:c>
    </x:row>
    <x:row r="4141">
      <x:c r="A4141" t="n">
        <x:v>111</x:v>
      </x:c>
      <x:c r="B4141" s="58" t="str">
        <x:v>FINE | point 4 | DAC 17.00 | CTRL X 1.11841 | X 1.10376 | Y 0.75365 | Z 0.21194 | TOTAL 1.35356 | error -2.75 % | MAD 0.35 % | CV 2.51 % | coh 80.5 % | dominant X | axis fraction 100.0 % | IN TARGET BAND</x:v>
      </x:c>
      <x:c r="C4141" t="str">
        <x:v>Pasted text(59).txt</x:v>
      </x:c>
    </x:row>
    <x:row r="4142">
      <x:c r="A4142" t="n">
        <x:v>112</x:v>
      </x:c>
      <x:c r="B4142" s="58" t="str">
        <x:v>FINE | point 5 | DAC 17.25 | CTRL X 1.11145 | X 1.10642 | Y 0.77276 | Z 0.21560 | TOTAL 1.36705 | error -3.35 % | MAD 3.10 % | CV 2.81 % | coh 81.1 % | dominant X | axis fraction 100.0 % | IN TARGET BAND</x:v>
      </x:c>
      <x:c r="C4142" t="str">
        <x:v>Pasted text(59).txt</x:v>
      </x:c>
    </x:row>
    <x:row r="4143">
      <x:c r="A4143" t="n">
        <x:v>113</x:v>
      </x:c>
      <x:c r="B4143" s="58" t="str">
        <x:v>FINE | point 6 | DAC 17.50 | CTRL X 1.11928 | X 1.11636 | Y 0.78528 | Z 0.23155 | TOTAL 1.38466 | error -2.67 % | MAD 0.73 % | CV 0.91 % | coh 79.8 % | dominant X | axis fraction 100.0 % | IN TARGET BAND</x:v>
      </x:c>
      <x:c r="C4143" t="str">
        <x:v>Pasted text(59).txt</x:v>
      </x:c>
    </x:row>
    <x:row r="4144">
      <x:c r="A4144" t="n">
        <x:v>114</x:v>
      </x:c>
      <x:c r="B4144" s="58" t="str">
        <x:v>FINE | point 7 | DAC 17.75 | CTRL X 1.13854 | X 1.13490 | Y 0.80992 | Z 0.24468 | TOTAL 1.41600 | error -1.00 % | MAD 0.89 % | CV 1.12 % | coh 80.0 % | dominant X | axis fraction 100.0 % | IN TARGET BAND</x:v>
      </x:c>
      <x:c r="C4144" t="str">
        <x:v>Pasted text(59).txt</x:v>
      </x:c>
    </x:row>
    <x:row r="4145">
      <x:c r="A4145" t="n">
        <x:v>115</x:v>
      </x:c>
      <x:c r="B4145" s="58" t="str">
        <x:v>FINE | point 8 | DAC 18.00 | CTRL X 1.14858 | X 1.15056 | Y 0.80560 | Z 0.26642 | TOTAL 1.42977 | error -0.12 % | MAD 1.22 % | CV 1.09 % | coh 79.8 % | dominant X | axis fraction 100.0 % | IN TARGET BAND</x:v>
      </x:c>
      <x:c r="C4145" t="str">
        <x:v>Pasted text(59).txt</x:v>
      </x:c>
    </x:row>
    <x:row r="4146">
      <x:c r="A4146" t="n">
        <x:v>116</x:v>
      </x:c>
      <x:c r="B4146" s="58" t="str">
        <x:v>FINE | point 9 | DAC 18.25 | CTRL X 1.16176 | X 1.15964 | Y 0.80913 | Z 0.27743 | TOTAL 1.44118 | error 1.02 % | MAD 0.09 % | CV 0.37 % | coh 80.2 % | dominant X | axis fraction 100.0 % | IN TARGET BAND</x:v>
      </x:c>
      <x:c r="C4146" t="str">
        <x:v>Pasted text(59).txt</x:v>
      </x:c>
    </x:row>
    <x:row r="4147">
      <x:c r="A4147" t="n">
        <x:v>117</x:v>
      </x:c>
      <x:c r="B4147" s="58" t="str"/>
      <x:c r="C4147" t="str">
        <x:v>Pasted text(59).txt</x:v>
      </x:c>
    </x:row>
    <x:row r="4148">
      <x:c r="A4148" t="n">
        <x:v>118</x:v>
      </x:c>
      <x:c r="B4148" s="58" t="str">
        <x:v>LONG VALIDATION AT FIXED DAC 18.25</x:v>
      </x:c>
      <x:c r="C4148" t="str">
        <x:v>Pasted text(59).txt</x:v>
      </x:c>
    </x:row>
    <x:row r="4149">
      <x:c r="A4149" t="n">
        <x:v>119</x:v>
      </x:c>
      <x:c r="B4149" s="58" t="str">
        <x:v>FINAL | point 1 | DAC 18.25 | CTRL X 1.16832 | X 1.15592 | Y 0.82319 | Z 0.26780 | TOTAL 1.44444 | error 1.59 % | MAD 1.37 % | CV 2.27 % | coh 79.1 % | dominant X | axis fraction 100.0 % | IN TARGET BAND</x:v>
      </x:c>
      <x:c r="C4149" t="str">
        <x:v>Pasted text(59).txt</x:v>
      </x:c>
    </x:row>
    <x:row r="4150">
      <x:c r="A4150" t="n">
        <x:v>120</x:v>
      </x:c>
      <x:c r="B4150" s="58" t="str">
        <x:v>FINAL | point 2 | DAC 18.25 | CTRL X 1.12151 | X 1.12305 | Y 0.83883 | Z 0.27356 | TOTAL 1.42828 | error -2.48 % | MAD 0.56 % | CV 0.58 % | coh 79.2 % | dominant X | axis fraction 100.0 % | IN TARGET BAND</x:v>
      </x:c>
      <x:c r="C4150" t="str">
        <x:v>Pasted text(59).txt</x:v>
      </x:c>
    </x:row>
    <x:row r="4151">
      <x:c r="A4151" t="n">
        <x:v>121</x:v>
      </x:c>
      <x:c r="B4151" s="58" t="str">
        <x:v>VALIDATION ACCEPTED | pair drift 4.09 %</x:v>
      </x:c>
      <x:c r="C4151" t="str">
        <x:v>Pasted text(59).txt</x:v>
      </x:c>
    </x:row>
    <x:row r="4152">
      <x:c r="A4152" t="n">
        <x:v>122</x:v>
      </x:c>
      <x:c r="B4152" s="58" t="str"/>
      <x:c r="C4152" t="str">
        <x:v>Pasted text(59).txt</x:v>
      </x:c>
    </x:row>
    <x:row r="4153">
      <x:c r="A4153" t="n">
        <x:v>123</x:v>
      </x:c>
      <x:c r="B4153" s="58" t="str">
        <x:v>FINAL VALIDATED BLIND FFT VERIFICATION</x:v>
      </x:c>
      <x:c r="C4153" t="str">
        <x:v>Pasted text(59).txt</x:v>
      </x:c>
    </x:row>
    <x:row r="4154">
      <x:c r="A4154" t="n">
        <x:v>124</x:v>
      </x:c>
      <x:c r="B4154" s="58" t="str">
        <x:v>Commanded frequency: 268.00000 Hz</x:v>
      </x:c>
      <x:c r="C4154" t="str">
        <x:v>Pasted text(59).txt</x:v>
      </x:c>
    </x:row>
    <x:row r="4155">
      <x:c r="A4155" t="n">
        <x:v>125</x:v>
      </x:c>
      <x:c r="B4155" s="58" t="str">
        <x:v>Accepted DAC: 18.25</x:v>
      </x:c>
      <x:c r="C4155" t="str">
        <x:v>Pasted text(59).txt</x:v>
      </x:c>
    </x:row>
    <x:row r="4156">
      <x:c r="A4156" t="n">
        <x:v>126</x:v>
      </x:c>
      <x:c r="B4156" s="58" t="str">
        <x:v>Axis,Frequency_Hz,Amplitude_mps2,SNR_dB,Status</x:v>
      </x:c>
      <x:c r="C4156" t="str">
        <x:v>Pasted text(59).txt</x:v>
      </x:c>
    </x:row>
    <x:row r="4157">
      <x:c r="A4157" t="n">
        <x:v>127</x:v>
      </x:c>
      <x:c r="B4157" s="58" t="str">
        <x:v>X,268.01961,1.01992,26.95,VALID</x:v>
      </x:c>
      <x:c r="C4157" t="str">
        <x:v>Pasted text(59).txt</x:v>
      </x:c>
    </x:row>
    <x:row r="4158">
      <x:c r="A4158" t="n">
        <x:v>128</x:v>
      </x:c>
      <x:c r="B4158" s="58" t="str">
        <x:v>Y,267.99206,0.75627,23.77,VALID</x:v>
      </x:c>
      <x:c r="C4158" t="str">
        <x:v>Pasted text(59).txt</x:v>
      </x:c>
    </x:row>
    <x:row r="4159">
      <x:c r="A4159" t="n">
        <x:v>129</x:v>
      </x:c>
      <x:c r="B4159" s="58" t="str">
        <x:v>Z,268.02446,0.24078,19.84,VALID</x:v>
      </x:c>
      <x:c r="C4159" t="str">
        <x:v>Pasted text(59).txt</x:v>
      </x:c>
    </x:row>
    <x:row r="4160">
      <x:c r="A4160" t="n">
        <x:v>130</x:v>
      </x:c>
      <x:c r="B4160" s="58" t="str">
        <x:v>Combined frequency: 268.01040 Hz | difference 0.01040 Hz</x:v>
      </x:c>
      <x:c r="C4160" t="str">
        <x:v>Pasted text(59).txt</x:v>
      </x:c>
    </x:row>
    <x:row r="4161">
      <x:c r="A4161" t="n">
        <x:v>131</x:v>
      </x:c>
      <x:c r="B4161" s="58" t="str">
        <x:v>Combined X/Y/Z/TOTAL: 0.93030 / 0.68539 / 0.22040 / 1.17634</x:v>
      </x:c>
      <x:c r="C4161" t="str">
        <x:v>Pasted text(59).txt</x:v>
      </x:c>
    </x:row>
    <x:row r="4162">
      <x:c r="A4162" t="n">
        <x:v>132</x:v>
      </x:c>
      <x:c r="B4162" s="58" t="str">
        <x:v>SNR: 25.15 dB | dominant axis X</x:v>
      </x:c>
      <x:c r="C4162" t="str">
        <x:v>Pasted text(59).txt</x:v>
      </x:c>
    </x:row>
    <x:row r="4163">
      <x:c r="A4163" t="n">
        <x:v>133</x:v>
      </x:c>
      <x:c r="B4163" s="58" t="str">
        <x:v>Frequency verification: PASS</x:v>
      </x:c>
      <x:c r="C4163" t="str">
        <x:v>Pasted text(59).txt</x:v>
      </x:c>
    </x:row>
    <x:row r="4164">
      <x:c r="A4164" t="n">
        <x:v>134</x:v>
      </x:c>
      <x:c r="B4164" s="58" t="str">
        <x:v>Y/Z dominance: DIAGNOSTIC ONLY — ignored for pass/fail</x:v>
      </x:c>
      <x:c r="C4164" t="str">
        <x:v>Pasted text(59).txt</x:v>
      </x:c>
    </x:row>
    <x:row r="4165">
      <x:c r="A4165" t="n">
        <x:v>135</x:v>
      </x:c>
      <x:c r="B4165" s="58" t="str"/>
      <x:c r="C4165" t="str">
        <x:v>Pasted text(59).txt</x:v>
      </x:c>
    </x:row>
    <x:row r="4166">
      <x:c r="A4166" t="n">
        <x:v>136</x:v>
      </x:c>
      <x:c r="B4166" s="58" t="str">
        <x:v>FIXED-DAC HOLD VALIDATION</x:v>
      </x:c>
      <x:c r="C4166" t="str">
        <x:v>Pasted text(59).txt</x:v>
      </x:c>
    </x:row>
    <x:row r="4167">
      <x:c r="A4167" t="n">
        <x:v>137</x:v>
      </x:c>
      <x:c r="B4167" s="58" t="str">
        <x:v>DAC remains fixed at 18.25 for 10 records.</x:v>
      </x:c>
      <x:c r="C4167" t="str">
        <x:v>Pasted text(59).txt</x:v>
      </x:c>
    </x:row>
    <x:row r="4168">
      <x:c r="A4168" t="n">
        <x:v>138</x:v>
      </x:c>
      <x:c r="B4168" s="58" t="str">
        <x:v>HOLD | point 1 | DAC 18.25 | CTRL X 1.11946 | X 1.13370 | Y 0.81374 | Z 0.24175 | TOTAL 1.41669 | error -2.66 % | MAD 0.54 % | CV 2.49 % | coh 81.8 % | dominant X | axis fraction 100.0 % | IN TARGET BAND</x:v>
      </x:c>
      <x:c r="C4168" t="str">
        <x:v>Pasted text(59).txt</x:v>
      </x:c>
    </x:row>
    <x:row r="4169">
      <x:c r="A4169" t="n">
        <x:v>139</x:v>
      </x:c>
      <x:c r="B4169" s="58" t="str">
        <x:v>HOLD | point 2 | DAC 18.25 | CTRL X 1.13084 | X 1.13505 | Y 0.81825 | Z 0.26373 | TOTAL 1.42419 | error -1.67 % | MAD 1.39 % | CV 1.53 % | coh 82.0 % | dominant X | axis fraction 100.0 % | IN TARGET BAND</x:v>
      </x:c>
      <x:c r="C4169" t="str">
        <x:v>Pasted text(59).txt</x:v>
      </x:c>
    </x:row>
    <x:row r="4170">
      <x:c r="A4170" t="n">
        <x:v>140</x:v>
      </x:c>
      <x:c r="B4170" s="58" t="str">
        <x:v>HOLD | point 3 | DAC 18.25 | CTRL X 1.10727 | X 1.11299 | Y 0.86466 | Z 0.22566 | TOTAL 1.42740 | error -3.72 % | MAD 0.95 % | CV 1.48 % | coh 80.7 % | dominant X | axis fraction 100.0 % | IN TARGET BAND</x:v>
      </x:c>
      <x:c r="C4170" t="str">
        <x:v>Pasted text(59).txt</x:v>
      </x:c>
    </x:row>
    <x:row r="4171">
      <x:c r="A4171" t="n">
        <x:v>141</x:v>
      </x:c>
      <x:c r="B4171" s="58" t="str">
        <x:v>HOLD | point 4 | DAC 18.25 | CTRL X 1.09884 | X 1.09568 | Y 0.83166 | Z 0.20856 | TOTAL 1.39146 | error -4.45 % | MAD 0.00 % | CV 0.50 % | coh 80.0 % | dominant X | axis fraction 100.0 % | IN TARGET BAND</x:v>
      </x:c>
      <x:c r="C4171" t="str">
        <x:v>Pasted text(59).txt</x:v>
      </x:c>
    </x:row>
    <x:row r="4172">
      <x:c r="A4172" t="n">
        <x:v>142</x:v>
      </x:c>
      <x:c r="B4172" s="58" t="str">
        <x:v>HOLD | point 5 | DAC 18.25 | CTRL X 1.08207 | X 1.07956 | Y 0.84455 | Z 0.23019 | TOTAL 1.38991 | error -5.91 % | MAD 2.23 % | CV 1.87 % | coh 79.8 % | dominant X | axis fraction 100.0 % | IN TARGET BAND</x:v>
      </x:c>
      <x:c r="C4172" t="str">
        <x:v>Pasted text(59).txt</x:v>
      </x:c>
    </x:row>
    <x:row r="4173">
      <x:c r="A4173" t="n">
        <x:v>143</x:v>
      </x:c>
      <x:c r="B4173" s="58" t="str">
        <x:v>HOLD | point 6 | DAC 18.25 | CTRL X 1.08399 | X 1.08988 | Y 0.88179 | Z 0.20066 | TOTAL 1.41630 | error -5.74 % | MAD 1.70 % | CV 2.01 % | coh 81.1 % | dominant X | axis fraction 100.0 % | IN TARGET BAND</x:v>
      </x:c>
      <x:c r="C4173" t="str">
        <x:v>Pasted text(59).txt</x:v>
      </x:c>
    </x:row>
    <x:row r="4174">
      <x:c r="A4174" t="n">
        <x:v>144</x:v>
      </x:c>
      <x:c r="B4174" s="58" t="str">
        <x:v>HOLD | point 7 | DAC 18.25 | CTRL X 1.03721 | X 1.05581 | Y 0.86020 | Z 0.20653 | TOTAL 1.37752 | error -9.81 % | MAD 0.11 % | CV 3.12 % | coh 79.2 % | dominant X | axis fraction 100.0 % | VALID</x:v>
      </x:c>
      <x:c r="C4174" t="str">
        <x:v>Pasted text(59).txt</x:v>
      </x:c>
    </x:row>
    <x:row r="4175">
      <x:c r="A4175" t="n">
        <x:v>145</x:v>
      </x:c>
      <x:c r="B4175" s="58" t="str">
        <x:v>HOLD | point 8 | DAC 18.25 | CTRL X 1.06917 | X 1.06071 | Y 0.86310 | Z 0.19897 | TOTAL 1.38199 | error -7.03 % | MAD 0.43 % | CV 1.64 % | coh 78.5 % | dominant X | axis fraction 100.0 % | IN TARGET BAND</x:v>
      </x:c>
      <x:c r="C4175" t="str">
        <x:v>Pasted text(59).txt</x:v>
      </x:c>
    </x:row>
    <x:row r="4176">
      <x:c r="A4176" t="n">
        <x:v>146</x:v>
      </x:c>
      <x:c r="B4176" s="58" t="str">
        <x:v>HOLD | point 9 | DAC 18.25 | CTRL X 1.05745 | X 1.04407 | Y 0.86192 | Z 0.19165 | TOTAL 1.36757 | error -8.05 % | MAD 2.10 % | CV 3.54 % | coh 79.2 % | dominant X | axis fraction 100.0 % | VALID</x:v>
      </x:c>
      <x:c r="C4176" t="str">
        <x:v>Pasted text(59).txt</x:v>
      </x:c>
    </x:row>
    <x:row r="4177">
      <x:c r="A4177" t="n">
        <x:v>147</x:v>
      </x:c>
      <x:c r="B4177" s="58" t="str">
        <x:v>HOLD | point 10 | DAC 18.25 | CTRL X 1.05459 | X 1.06366 | Y 0.85735 | Z 0.21114 | TOTAL 1.38276 | error -8.30 % | MAD 1.29 % | CV 2.27 % | coh 80.5 % | dominant X | axis fraction 100.0 % | VALID</x:v>
      </x:c>
      <x:c r="C4177" t="str">
        <x:v>Pasted text(59).txt</x:v>
      </x:c>
    </x:row>
    <x:row r="4178">
      <x:c r="A4178" t="n">
        <x:v>148</x:v>
      </x:c>
      <x:c r="B4178" s="58" t="str"/>
      <x:c r="C4178" t="str">
        <x:v>Pasted text(59).txt</x:v>
      </x:c>
    </x:row>
    <x:row r="4179">
      <x:c r="A4179" t="n">
        <x:v>149</x:v>
      </x:c>
      <x:c r="B4179" s="58" t="str">
        <x:v>HOLD SUMMARY</x:v>
      </x:c>
      <x:c r="C4179" t="str">
        <x:v>Pasted text(59).txt</x:v>
      </x:c>
    </x:row>
    <x:row r="4180">
      <x:c r="A4180" t="n">
        <x:v>150</x:v>
      </x:c>
      <x:c r="B4180" s="58" t="str">
        <x:v>Valid / requested: 10 / 10</x:v>
      </x:c>
      <x:c r="C4180" t="str">
        <x:v>Pasted text(59).txt</x:v>
      </x:c>
    </x:row>
    <x:row r="4181">
      <x:c r="A4181" t="n">
        <x:v>151</x:v>
      </x:c>
      <x:c r="B4181" s="58" t="str">
        <x:v>In band / requested: 7 / 10 = 70.0 %</x:v>
      </x:c>
      <x:c r="C4181" t="str">
        <x:v>Pasted text(59).txt</x:v>
      </x:c>
    </x:row>
    <x:row r="4182">
      <x:c r="A4182" t="n">
        <x:v>152</x:v>
      </x:c>
      <x:c r="B4182" s="58" t="str">
        <x:v>Mean / SD / CV: 1.08409 / 0.03018 / 2.78 %</x:v>
      </x:c>
      <x:c r="C4182" t="str">
        <x:v>Pasted text(59).txt</x:v>
      </x:c>
    </x:row>
    <x:row r="4183">
      <x:c r="A4183" t="n">
        <x:v>153</x:v>
      </x:c>
      <x:c r="B4183" s="58" t="str">
        <x:v>Min / Max: 1.03721 / 1.13084</x:v>
      </x:c>
      <x:c r="C4183" t="str">
        <x:v>Pasted text(59).txt</x:v>
      </x:c>
    </x:row>
    <x:row r="4184">
      <x:c r="A4184" t="n">
        <x:v>154</x:v>
      </x:c>
      <x:c r="B4184" s="58" t="str">
        <x:v>HOLD RESULT: FAIL</x:v>
      </x:c>
      <x:c r="C4184" t="str">
        <x:v>Pasted text(59).txt</x:v>
      </x:c>
    </x:row>
    <x:row r="4185">
      <x:c r="A4185" t="n">
        <x:v>155</x:v>
      </x:c>
      <x:c r="B4185" s="58" t="str"/>
      <x:c r="C4185" t="str">
        <x:v>Pasted text(59).txt</x:v>
      </x:c>
    </x:row>
    <x:row r="4186">
      <x:c r="A4186" t="n">
        <x:v>156</x:v>
      </x:c>
      <x:c r="B4186" s="58" t="str">
        <x:v>ACQUISITION ATTEMPT 2 OF 2</x:v>
      </x:c>
      <x:c r="C4186" t="str">
        <x:v>Pasted text(59).txt</x:v>
      </x:c>
    </x:row>
    <x:row r="4187">
      <x:c r="A4187" t="n">
        <x:v>157</x:v>
      </x:c>
      <x:c r="B4187" s="58" t="str"/>
      <x:c r="C4187" t="str">
        <x:v>Pasted text(59).txt</x:v>
      </x:c>
    </x:row>
    <x:row r="4188">
      <x:c r="A4188" t="n">
        <x:v>158</x:v>
      </x:c>
      <x:c r="B4188" s="58" t="str">
        <x:v>FRESH X-AXIS SEARCH FROM DAC 1.00 — OLD DAC VALUES ARE NOT USED</x:v>
      </x:c>
      <x:c r="C4188" t="str">
        <x:v>Pasted text(59).txt</x:v>
      </x:c>
    </x:row>
    <x:row r="4189">
      <x:c r="A4189" t="n">
        <x:v>159</x:v>
      </x:c>
      <x:c r="B4189" s="58" t="str">
        <x:v>Y/Z are diagnostic only and cannot abort this search.</x:v>
      </x:c>
      <x:c r="C4189" t="str">
        <x:v>Pasted text(59).txt</x:v>
      </x:c>
    </x:row>
    <x:row r="4190">
      <x:c r="A4190" t="n">
        <x:v>160</x:v>
      </x:c>
      <x:c r="B4190" s="58" t="str">
        <x:v>A real SPI fault, clipping, safety limit or confirmed X-response collapse will stop it.</x:v>
      </x:c>
      <x:c r="C4190" t="str">
        <x:v>Pasted text(59).txt</x:v>
      </x:c>
    </x:row>
    <x:row r="4191">
      <x:c r="A4191" t="n">
        <x:v>161</x:v>
      </x:c>
      <x:c r="B4191" s="58" t="str">
        <x:v>SEARCH | point 1 | DAC 1.00 | CTRL X 0.00785 | X 0.00787 | Y 0.01441 | Z 0.02822 | TOTAL 0.03457 | error -99.32 % | MAD 0.95 % | CV 0.45 % | coh 2.9 % | dominant Z | axis fraction 27.9 % | BELOW MEASUREMENT FLOOR — SEARCH CONTINUES</x:v>
      </x:c>
      <x:c r="C4191" t="str">
        <x:v>Pasted text(59).txt</x:v>
      </x:c>
    </x:row>
    <x:row r="4192">
      <x:c r="A4192" t="n">
        <x:v>162</x:v>
      </x:c>
      <x:c r="B4192" s="58" t="str">
        <x:v>SEARCH | point 2 | DAC 3.00 | CTRL X 0.13188 | X 0.12778 | Y 0.11910 | Z 0.06293 | TOTAL 0.18723 | error -88.53 % | MAD 0.05 % | CV 5.58 % | coh 29.1 % | dominant X | axis fraction 100.0 % | UNSTABLE — SEARCH CONTINUES</x:v>
      </x:c>
      <x:c r="C4192" t="str">
        <x:v>Pasted text(59).txt</x:v>
      </x:c>
    </x:row>
    <x:row r="4193">
      <x:c r="A4193" t="n">
        <x:v>163</x:v>
      </x:c>
      <x:c r="B4193" s="58" t="str">
        <x:v>SEARCH | point 3 | DAC 5.00 | CTRL X 0.29099 | X 0.28321 | Y 0.20679 | Z 0.09769 | TOTAL 0.36517 | error -74.70 % | MAD 1.26 % | CV 5.53 % | coh 52.7 % | dominant X | axis fraction 100.0 % | VALID</x:v>
      </x:c>
      <x:c r="C4193" t="str">
        <x:v>Pasted text(59).txt</x:v>
      </x:c>
    </x:row>
    <x:row r="4194">
      <x:c r="A4194" t="n">
        <x:v>164</x:v>
      </x:c>
      <x:c r="B4194" s="58" t="str">
        <x:v>SEARCH | point 4 | DAC 6.00 | CTRL X 0.34642 | X 0.35442 | Y 0.26104 | Z 0.11043 | TOTAL 0.45466 | error -69.88 % | MAD 2.65 % | CV 5.49 % | coh 62.3 % | dominant X | axis fraction 100.0 % | VALID</x:v>
      </x:c>
      <x:c r="C4194" t="str">
        <x:v>Pasted text(59).txt</x:v>
      </x:c>
    </x:row>
    <x:row r="4195">
      <x:c r="A4195" t="n">
        <x:v>165</x:v>
      </x:c>
      <x:c r="B4195" s="58" t="str">
        <x:v>SEARCH | point 5 | DAC 7.00 | CTRL X 0.44731 | X 0.43640 | Y 0.32140 | Z 0.13669 | TOTAL 0.55969 | error -61.10 % | MAD 2.33 % | CV 5.78 % | coh 70.4 % | dominant X | axis fraction 100.0 % | VALID</x:v>
      </x:c>
      <x:c r="C4195" t="str">
        <x:v>Pasted text(59).txt</x:v>
      </x:c>
    </x:row>
    <x:row r="4196">
      <x:c r="A4196" t="n">
        <x:v>166</x:v>
      </x:c>
      <x:c r="B4196" s="58" t="str">
        <x:v>SEARCH | point 6 | DAC 8.00 | CTRL X 0.46691 | X 0.47261 | Y 0.37667 | Z 0.13917 | TOTAL 0.62050 | error -59.40 % | MAD 1.04 % | CV 2.71 % | coh 71.6 % | dominant X | axis fraction 100.0 % | VALID</x:v>
      </x:c>
      <x:c r="C4196" t="str">
        <x:v>Pasted text(59).txt</x:v>
      </x:c>
    </x:row>
    <x:row r="4197">
      <x:c r="A4197" t="n">
        <x:v>167</x:v>
      </x:c>
      <x:c r="B4197" s="58" t="str">
        <x:v>SEARCH | point 7 | DAC 9.00 | CTRL X 0.50602 | X 0.50926 | Y 0.41151 | Z 0.14370 | TOTAL 0.67055 | error -56.00 % | MAD 4.14 % | CV 3.77 % | coh 74.1 % | dominant X | axis fraction 100.0 % | VALID</x:v>
      </x:c>
      <x:c r="C4197" t="str">
        <x:v>Pasted text(59).txt</x:v>
      </x:c>
    </x:row>
    <x:row r="4198">
      <x:c r="A4198" t="n">
        <x:v>168</x:v>
      </x:c>
      <x:c r="B4198" s="58" t="str">
        <x:v>SEARCH | point 8 | DAC 10.00 | CTRL X 0.57819 | X 0.57143 | Y 0.46933 | Z 0.15700 | TOTAL 0.75665 | error -49.72 % | MAD 1.05 % | CV 2.69 % | coh 77.3 % | dominant X | axis fraction 100.0 % | VALID</x:v>
      </x:c>
      <x:c r="C4198" t="str">
        <x:v>Pasted text(59).txt</x:v>
      </x:c>
    </x:row>
    <x:row r="4199">
      <x:c r="A4199" t="n">
        <x:v>169</x:v>
      </x:c>
      <x:c r="B4199" s="58" t="str">
        <x:v>SEARCH | point 9 | DAC 11.00 | CTRL X 0.62850 | X 0.62797 | Y 0.55296 | Z 0.17311 | TOTAL 0.85489 | error -45.35 % | MAD 1.53 % | CV 1.16 % | coh 76.7 % | dominant X | axis fraction 100.0 % | VALID</x:v>
      </x:c>
      <x:c r="C4199" t="str">
        <x:v>Pasted text(59).txt</x:v>
      </x:c>
    </x:row>
    <x:row r="4200">
      <x:c r="A4200" t="n">
        <x:v>170</x:v>
      </x:c>
      <x:c r="B4200" s="58" t="str">
        <x:v>SEARCH | point 10 | DAC 12.00 | CTRL X 0.62505 | X 0.64041 | Y 0.25253 | Z 0.08766 | TOTAL 0.72644 | error -45.65 % | MAD 7.28 % | CV 3.39 % | coh 26.4 % | dominant X | axis fraction 100.0 % | UNSTABLE — SEARCH CONTINUES</x:v>
      </x:c>
      <x:c r="C4200" t="str">
        <x:v>Pasted text(59).txt</x:v>
      </x:c>
    </x:row>
    <x:row r="4201">
      <x:c r="A4201" t="n">
        <x:v>171</x:v>
      </x:c>
      <x:c r="B4201" s="58" t="str">
        <x:v>SEARCH | point 11 | DAC 13.00 | CTRL X 0.19633 | X 0.37261 | Y 0.35406 | Z 0.24506 | TOTAL 0.61521 | error -82.93 % | MAD 93.28 % | CV 111.88 % | coh 32.8 % | dominant X | axis fraction 100.0 % | UNSTABLE — SEARCH CONTINUES</x:v>
      </x:c>
      <x:c r="C4201" t="str">
        <x:v>Pasted text(59).txt</x:v>
      </x:c>
    </x:row>
    <x:row r="4202">
      <x:c r="A4202" t="n">
        <x:v>172</x:v>
      </x:c>
      <x:c r="B4202" s="58" t="str">
        <x:v>SEARCH | point 12 | DAC 15.00 | CTRL X 0.31481 | X 0.33537 | Y 0.37908 | Z 0.31258 | TOTAL 0.59671 | error -72.63 % | MAD 19.36 % | CV 8.67 % | coh 42.3 % | dominant Y | axis fraction 88.5 % | UNSTABLE — SEARCH CONTINUES</x:v>
      </x:c>
      <x:c r="C4202" t="str">
        <x:v>Pasted text(59).txt</x:v>
      </x:c>
    </x:row>
    <x:row r="4203">
      <x:c r="A4203" t="n">
        <x:v>173</x:v>
      </x:c>
      <x:c r="B4203" s="58" t="str">
        <x:v>SEARCH | point 13 | DAC 16.00 | CTRL X 0.38242 | X 0.37518 | Y 0.42331 | Z 0.29954 | TOTAL 0.64588 | error -66.75 % | MAD 4.92 % | CV 6.50 % | coh 36.8 % | dominant Y | axis fraction 88.6 % | UNSTABLE — SEARCH CONTINUES</x:v>
      </x:c>
      <x:c r="C4203" t="str">
        <x:v>Pasted text(59).txt</x:v>
      </x:c>
    </x:row>
    <x:row r="4204">
      <x:c r="A4204" t="n">
        <x:v>174</x:v>
      </x:c>
      <x:c r="B4204" s="58" t="str">
        <x:v>SEARCH | point 14 | DAC 17.00 | CTRL X 0.44473 | X 0.45463 | Y 0.56666 | Z 0.35770 | TOTAL 0.81015 | error -61.33 % | MAD 9.88 % | CV 9.96 % | coh 45.7 % | dominant Y | axis fraction 80.2 % | UNSTABLE — SEARCH CONTINUES</x:v>
      </x:c>
      <x:c r="C4204" t="str">
        <x:v>Pasted text(59).txt</x:v>
      </x:c>
    </x:row>
    <x:row r="4205">
      <x:c r="A4205" t="n">
        <x:v>175</x:v>
      </x:c>
      <x:c r="B4205" s="58" t="str">
        <x:v>SEARCH | point 15 | DAC 18.00 | CTRL X 0.41621 | X 0.42116 | Y 0.48149 | Z 0.39351 | TOTAL 0.75139 | error -63.81 % | MAD 1.33 % | CV 2.84 % | coh 49.8 % | dominant Y | axis fraction 87.5 % | UNSTABLE — SEARCH CONTINUES</x:v>
      </x:c>
      <x:c r="C4205" t="str">
        <x:v>Pasted text(59).txt</x:v>
      </x:c>
    </x:row>
    <x:row r="4206">
      <x:c r="A4206" t="n">
        <x:v>176</x:v>
      </x:c>
      <x:c r="B4206" s="58" t="str">
        <x:v>SEARCH | point 16 | DAC 19.00 | CTRL X 0.27553 | X 0.28748 | Y 0.33155 | Z 0.29876 | TOTAL 0.53169 | error -76.04 % | MAD 3.41 % | CV 9.17 % | coh 78.8 % | dominant Y | axis fraction 86.7 % | VALID</x:v>
      </x:c>
      <x:c r="C4206" t="str">
        <x:v>Pasted text(59).txt</x:v>
      </x:c>
    </x:row>
    <x:row r="4207">
      <x:c r="A4207" t="n">
        <x:v>177</x:v>
      </x:c>
      <x:c r="B4207" s="58" t="str">
        <x:v>WARNING: large X-amplitude collapse at higher DAC; confirming same point.</x:v>
      </x:c>
      <x:c r="C4207" t="str">
        <x:v>Pasted text(59).txt</x:v>
      </x:c>
    </x:row>
    <x:row r="4208">
      <x:c r="A4208" t="n">
        <x:v>178</x:v>
      </x:c>
      <x:c r="B4208" s="58" t="str">
        <x:v>DROP-CHECK | point 16 | DAC 19.00 | CTRL X 0.32010 | X 0.31354 | Y 0.36103 | Z 0.35052 | TOTAL 0.59327 | error -72.17 % | MAD 2.87 % | CV 4.47 % | coh 82.8 % | dominant Y | axis fraction 86.8 % | VALID</x:v>
      </x:c>
      <x:c r="C4208" t="str">
        <x:v>Pasted text(59).txt</x:v>
      </x:c>
    </x:row>
    <x:row r="4209">
      <x:c r="A4209" t="n">
        <x:v>179</x:v>
      </x:c>
      <x:c r="B4209" s="58" t="str"/>
      <x:c r="C4209" t="str">
        <x:v>Pasted text(59).txt</x:v>
      </x:c>
    </x:row>
    <x:row r="4210">
      <x:c r="A4210" t="n">
        <x:v>180</x:v>
      </x:c>
      <x:c r="B4210" s="58" t="str">
        <x:v>VISATON OFF. RESTING 5.0 s BEFORE THE NEXT COMPLETELY FRESH RUN.</x:v>
      </x:c>
      <x:c r="C4210" t="str">
        <x:v>Pasted text(59).txt</x:v>
      </x:c>
    </x:row>
    <x:row r="4211">
      <x:c r="A4211" t="n">
        <x:v>181</x:v>
      </x:c>
      <x:c r="B4211" s="58" t="str"/>
      <x:c r="C4211" t="str">
        <x:v>Pasted text(59).txt</x:v>
      </x:c>
    </x:row>
    <x:row r="4212">
      <x:c r="A4212" t="n">
        <x:v>182</x:v>
      </x:c>
      <x:c r="B4212" s="58" t="str">
        <x:v>################################################################################</x:v>
      </x:c>
      <x:c r="C4212" t="str">
        <x:v>Pasted text(59).txt</x:v>
      </x:c>
    </x:row>
    <x:row r="4213">
      <x:c r="A4213" t="n">
        <x:v>183</x:v>
      </x:c>
      <x:c r="B4213" s="58" t="str">
        <x:v>INDEPENDENT TARGET-AMPLITUDE RUN 2 OF 5</x:v>
      </x:c>
      <x:c r="C4213" t="str">
        <x:v>Pasted text(59).txt</x:v>
      </x:c>
    </x:row>
    <x:row r="4214">
      <x:c r="A4214" t="n">
        <x:v>184</x:v>
      </x:c>
      <x:c r="B4214" s="58" t="str">
        <x:v>################################################################################</x:v>
      </x:c>
      <x:c r="C4214" t="str">
        <x:v>Pasted text(59).txt</x:v>
      </x:c>
    </x:row>
    <x:row r="4215">
      <x:c r="A4215" t="n">
        <x:v>185</x:v>
      </x:c>
      <x:c r="B4215" s="58" t="str">
        <x:v>Frequency: 268.00000 Hz</x:v>
      </x:c>
      <x:c r="C4215" t="str">
        <x:v>Pasted text(59).txt</x:v>
      </x:c>
    </x:row>
    <x:row r="4216">
      <x:c r="A4216" t="n">
        <x:v>186</x:v>
      </x:c>
      <x:c r="B4216" s="58" t="str">
        <x:v>Target X amplitude: 1.15000 m/s^2 peak, tolerance +/-7.50 %</x:v>
      </x:c>
      <x:c r="C4216" t="str">
        <x:v>Pasted text(59).txt</x:v>
      </x:c>
    </x:row>
    <x:row r="4217">
      <x:c r="A4217" t="n">
        <x:v>187</x:v>
      </x:c>
      <x:c r="B4217" s="58" t="str">
        <x:v>This run starts from DAC 1.00 and ignores every earlier selected DAC.</x:v>
      </x:c>
      <x:c r="C4217" t="str">
        <x:v>Pasted text(59).txt</x:v>
      </x:c>
    </x:row>
    <x:row r="4218">
      <x:c r="A4218" t="n">
        <x:v>188</x:v>
      </x:c>
      <x:c r="B4218" s="58" t="str">
        <x:v>ADXL2 DEVID/DATA_FORMAT/BW_RATE/POWER_CTL: 0xE5 / 0xB / 0xE / 0x8</x:v>
      </x:c>
      <x:c r="C4218" t="str">
        <x:v>Pasted text(59).txt</x:v>
      </x:c>
    </x:row>
    <x:row r="4219">
      <x:c r="A4219" t="n">
        <x:v>189</x:v>
      </x:c>
      <x:c r="B4219" s="58" t="str"/>
      <x:c r="C4219" t="str">
        <x:v>Pasted text(59).txt</x:v>
      </x:c>
    </x:row>
    <x:row r="4220">
      <x:c r="A4220" t="n">
        <x:v>190</x:v>
      </x:c>
      <x:c r="B4220" s="58" t="str">
        <x:v>ACQUISITION ATTEMPT 1 OF 2</x:v>
      </x:c>
      <x:c r="C4220" t="str">
        <x:v>Pasted text(59).txt</x:v>
      </x:c>
    </x:row>
    <x:row r="4221">
      <x:c r="A4221" t="n">
        <x:v>191</x:v>
      </x:c>
      <x:c r="B4221" s="58" t="str"/>
      <x:c r="C4221" t="str">
        <x:v>Pasted text(59).txt</x:v>
      </x:c>
    </x:row>
    <x:row r="4222">
      <x:c r="A4222" t="n">
        <x:v>192</x:v>
      </x:c>
      <x:c r="B4222" s="58" t="str">
        <x:v>FRESH X-AXIS SEARCH FROM DAC 1.00 — OLD DAC VALUES ARE NOT USED</x:v>
      </x:c>
      <x:c r="C4222" t="str">
        <x:v>Pasted text(59).txt</x:v>
      </x:c>
    </x:row>
    <x:row r="4223">
      <x:c r="A4223" t="n">
        <x:v>193</x:v>
      </x:c>
      <x:c r="B4223" s="58" t="str">
        <x:v>Y/Z are diagnostic only and cannot abort this search.</x:v>
      </x:c>
      <x:c r="C4223" t="str">
        <x:v>Pasted text(59).txt</x:v>
      </x:c>
    </x:row>
    <x:row r="4224">
      <x:c r="A4224" t="n">
        <x:v>194</x:v>
      </x:c>
      <x:c r="B4224" s="58" t="str">
        <x:v>A real SPI fault, clipping, safety limit or confirmed X-response collapse will stop it.</x:v>
      </x:c>
      <x:c r="C4224" t="str">
        <x:v>Pasted text(59).txt</x:v>
      </x:c>
    </x:row>
    <x:row r="4225">
      <x:c r="A4225" t="n">
        <x:v>195</x:v>
      </x:c>
      <x:c r="B4225" s="58" t="str">
        <x:v>SEARCH | point 1 | DAC 1.00 | CTRL X 0.03183 | X 0.05179 | Y 0.05760 | Z 0.05618 | TOTAL 0.10534 | error -97.23 % | MAD 55.12 % | CV 87.28 % | coh 8.3 % | dominant Y | axis fraction 89.9 % | BELOW MEASUREMENT FLOOR — SEARCH CONTINUES</x:v>
      </x:c>
      <x:c r="C4225" t="str">
        <x:v>Pasted text(59).txt</x:v>
      </x:c>
    </x:row>
    <x:row r="4226">
      <x:c r="A4226" t="n">
        <x:v>196</x:v>
      </x:c>
      <x:c r="B4226" s="58" t="str">
        <x:v>SEARCH | point 2 | DAC 3.00 | CTRL X 0.01122 | X 0.01039 | Y 0.01697 | Z 0.03977 | TOTAL 0.04563 | error -99.02 % | MAD 71.51 % | CV 64.47 % | coh 5.1 % | dominant Z | axis fraction 26.1 % | BELOW MEASUREMENT FLOOR — SEARCH CONTINUES</x:v>
      </x:c>
      <x:c r="C4226" t="str">
        <x:v>Pasted text(59).txt</x:v>
      </x:c>
    </x:row>
    <x:row r="4227">
      <x:c r="A4227" t="n">
        <x:v>197</x:v>
      </x:c>
      <x:c r="B4227" s="58" t="str">
        <x:v>SEARCH | point 3 | DAC 5.00 | CTRL X 0.00573 | X 0.00539 | Y 0.02044 | Z 0.02582 | TOTAL 0.03357 | error -99.50 % | MAD 17.46 % | CV 8.85 % | coh 2.8 % | dominant Z | axis fraction 20.9 % | BELOW MEASUREMENT FLOOR — SEARCH CONTINUES</x:v>
      </x:c>
      <x:c r="C4227" t="str">
        <x:v>Pasted text(59).txt</x:v>
      </x:c>
    </x:row>
    <x:row r="4228">
      <x:c r="A4228" t="n">
        <x:v>198</x:v>
      </x:c>
      <x:c r="B4228" s="58" t="str">
        <x:v>SEARCH | point 4 | DAC 7.00 | CTRL X 0.01188 | X 0.01191 | Y 0.01775 | Z 0.01952 | TOTAL 0.02956 | error -98.97 % | MAD 69.87 % | CV 47.34 % | coh 5.9 % | dominant Z | axis fraction 61.0 % | BELOW MEASUREMENT FLOOR — SEARCH CONTINUES</x:v>
      </x:c>
      <x:c r="C4228" t="str">
        <x:v>Pasted text(59).txt</x:v>
      </x:c>
    </x:row>
    <x:row r="4229">
      <x:c r="A4229" t="n">
        <x:v>199</x:v>
      </x:c>
      <x:c r="B4229" s="58" t="str">
        <x:v>SEARCH | point 5 | DAC 9.00 | CTRL X 0.03243 | X 0.03463 | Y 0.02598 | Z 0.03678 | TOTAL 0.05821 | error -97.18 % | MAD 20.14 % | CV 8.99 % | coh 17.2 % | dominant Z | axis fraction 94.2 % | BELOW MEASUREMENT FLOOR — SEARCH CONTINUES</x:v>
      </x:c>
      <x:c r="C4229" t="str">
        <x:v>Pasted text(59).txt</x:v>
      </x:c>
    </x:row>
    <x:row r="4230">
      <x:c r="A4230" t="n">
        <x:v>200</x:v>
      </x:c>
      <x:c r="B4230" s="58" t="str">
        <x:v>SEARCH | point 6 | DAC 11.00 | CTRL X 0.01861 | X 0.01900 | Y 0.01796 | Z 0.02157 | TOTAL 0.03394 | error -98.38 % | MAD 6.23 % | CV 2.91 % | coh 10.3 % | dominant Z | axis fraction 88.1 % | BELOW MEASUREMENT FLOOR — SEARCH CONTINUES</x:v>
      </x:c>
      <x:c r="C4230" t="str">
        <x:v>Pasted text(59).txt</x:v>
      </x:c>
    </x:row>
    <x:row r="4231">
      <x:c r="A4231" t="n">
        <x:v>201</x:v>
      </x:c>
      <x:c r="B4231" s="58" t="str">
        <x:v>SEARCH | point 7 | DAC 13.00 | CTRL X 0.02264 | X 0.02454 | Y 0.02377 | Z 0.02753 | TOTAL 0.04938 | error -98.03 % | MAD 75.50 % | CV 59.00 % | coh 13.0 % | dominant Z | axis fraction 89.1 % | BELOW MEASUREMENT FLOOR — SEARCH CONTINUES</x:v>
      </x:c>
      <x:c r="C4231" t="str">
        <x:v>Pasted text(59).txt</x:v>
      </x:c>
    </x:row>
    <x:row r="4232">
      <x:c r="A4232" t="n">
        <x:v>202</x:v>
      </x:c>
      <x:c r="B4232" s="58" t="str">
        <x:v>SEARCH | point 8 | DAC 15.00 | CTRL X 0.01493 | X 0.01519 | Y 0.02426 | Z 0.03863 | TOTAL 0.04861 | error -98.70 % | MAD 46.63 % | CV 33.58 % | coh 7.7 % | dominant Z | axis fraction 39.3 % | BELOW MEASUREMENT FLOOR — SEARCH CONTINUES</x:v>
      </x:c>
      <x:c r="C4232" t="str">
        <x:v>Pasted text(59).txt</x:v>
      </x:c>
    </x:row>
    <x:row r="4233">
      <x:c r="A4233" t="n">
        <x:v>203</x:v>
      </x:c>
      <x:c r="B4233" s="58" t="str">
        <x:v>SEARCH | point 9 | DAC 17.00 | CTRL X 0.01590 | X 0.01468 | Y 0.01534 | Z 0.01554 | TOTAL 0.02776 | error -98.62 % | MAD 22.81 % | CV 11.79 % | coh 8.5 % | dominant Z | axis fraction 94.4 % | BELOW MEASUREMENT FLOOR — SEARCH CONTINUES</x:v>
      </x:c>
      <x:c r="C4233" t="str">
        <x:v>Pasted text(59).txt</x:v>
      </x:c>
    </x:row>
    <x:row r="4234">
      <x:c r="A4234" t="n">
        <x:v>204</x:v>
      </x:c>
      <x:c r="B4234" s="58" t="str">
        <x:v>SEARCH | point 10 | DAC 19.00 | CTRL X 0.09738 | X 0.09231 | Y 0.11561 | Z 0.57901 | TOTAL 0.60011 | error -91.53 % | MAD 15.43 % | CV 7.77 % | coh 32.9 % | dominant Z | axis fraction 15.9 % | BELOW MEASUREMENT FLOOR — SEARCH CONTINUES</x:v>
      </x:c>
      <x:c r="C4234" t="str">
        <x:v>Pasted text(59).txt</x:v>
      </x:c>
    </x:row>
    <x:row r="4235">
      <x:c r="A4235" t="n">
        <x:v>205</x:v>
      </x:c>
      <x:c r="B4235" s="58" t="str">
        <x:v>SEARCH | point 11 | DAC 21.00 | CTRL X 0.18563 | X 0.18825 | Y 0.13819 | Z 0.17615 | TOTAL 0.29375 | error -83.86 % | MAD 26.19 % | CV 19.54 % | coh 56.7 % | dominant X | axis fraction 100.0 % | UNSTABLE — SEARCH CONTINUES</x:v>
      </x:c>
      <x:c r="C4235" t="str">
        <x:v>Pasted text(59).txt</x:v>
      </x:c>
    </x:row>
    <x:row r="4236">
      <x:c r="A4236" t="n">
        <x:v>206</x:v>
      </x:c>
      <x:c r="B4236" s="58" t="str">
        <x:v>SEARCH | point 12 | DAC 23.00 | CTRL X 0.09610 | X 0.09096 | Y 0.04298 | Z 0.80075 | TOTAL 0.80728 | error -91.64 % | MAD 15.85 % | CV 7.99 % | coh 36.5 % | dominant Z | axis fraction 11.4 % | BELOW MEASUREMENT FLOOR — SEARCH CONTINUES</x:v>
      </x:c>
      <x:c r="C4236" t="str">
        <x:v>Pasted text(59).txt</x:v>
      </x:c>
    </x:row>
    <x:row r="4237">
      <x:c r="A4237" t="n">
        <x:v>207</x:v>
      </x:c>
      <x:c r="B4237" s="58" t="str">
        <x:v>SEARCH | point 13 | DAC 25.00 | CTRL X 0.16139 | X 0.16897 | Y 0.18705 | Z 0.82399 | TOTAL 0.86183 | error -85.97 % | MAD 13.92 % | CV 6.34 % | coh 55.3 % | dominant Z | axis fraction 20.5 % | VALID</x:v>
      </x:c>
      <x:c r="C4237" t="str">
        <x:v>Pasted text(59).txt</x:v>
      </x:c>
    </x:row>
    <x:row r="4238">
      <x:c r="A4238" t="n">
        <x:v>208</x:v>
      </x:c>
      <x:c r="B4238" s="58" t="str">
        <x:v>SEARCH | point 14 | DAC 27.00 | CTRL X 0.50971 | X 0.60103 | Y 0.41461 | Z 0.53651 | TOTAL 0.91950 | error -55.68 % | MAD 36.18 % | CV 45.43 % | coh 71.1 % | dominant X | axis fraction 100.0 % | UNSTABLE — SEARCH CONTINUES</x:v>
      </x:c>
      <x:c r="C4238" t="str">
        <x:v>Pasted text(59).txt</x:v>
      </x:c>
    </x:row>
    <x:row r="4239">
      <x:c r="A4239" t="n">
        <x:v>209</x:v>
      </x:c>
      <x:c r="B4239" s="58" t="str">
        <x:v>SEARCH | point 15 | DAC 28.00 | CTRL X 0.68808 | X 0.67923 | Y 0.55707 | Z 0.63886 | TOTAL 1.08692 | error -40.17 % | MAD 1.73 % | CV 3.33 % | coh 91.3 % | dominant X | axis fraction 100.0 % | VALID</x:v>
      </x:c>
      <x:c r="C4239" t="str">
        <x:v>Pasted text(59).txt</x:v>
      </x:c>
    </x:row>
    <x:row r="4240">
      <x:c r="A4240" t="n">
        <x:v>210</x:v>
      </x:c>
      <x:c r="B4240" s="58" t="str">
        <x:v>SEARCH | point 16 | DAC 29.00 | CTRL X 0.68141 | X 0.68836 | Y 0.54107 | Z 0.65834 | TOTAL 1.09561 | error -40.75 % | MAD 1.68 % | CV 2.78 % | coh 91.7 % | dominant X | axis fraction 100.0 % | VALID</x:v>
      </x:c>
      <x:c r="C4240" t="str">
        <x:v>Pasted text(59).txt</x:v>
      </x:c>
    </x:row>
    <x:row r="4241">
      <x:c r="A4241" t="n">
        <x:v>211</x:v>
      </x:c>
      <x:c r="B4241" s="58" t="str">
        <x:v>SEARCH | point 17 | DAC 30.00 | CTRL X 0.70552 | X 0.70243 | Y 0.50786 | Z 0.63147 | TOTAL 1.07330 | error -38.65 % | MAD 6.34 % | CV 4.97 % | coh 88.5 % | dominant X | axis fraction 100.0 % | VALID</x:v>
      </x:c>
      <x:c r="C4241" t="str">
        <x:v>Pasted text(59).txt</x:v>
      </x:c>
    </x:row>
    <x:row r="4242">
      <x:c r="A4242" t="n">
        <x:v>212</x:v>
      </x:c>
      <x:c r="B4242" s="58" t="str"/>
      <x:c r="C4242" t="str">
        <x:v>Pasted text(59).txt</x:v>
      </x:c>
    </x:row>
    <x:row r="4243">
      <x:c r="A4243" t="n">
        <x:v>213</x:v>
      </x:c>
      <x:c r="B4243" s="58" t="str">
        <x:v>ACQUISITION ATTEMPT 2 OF 2</x:v>
      </x:c>
      <x:c r="C4243" t="str">
        <x:v>Pasted text(59).txt</x:v>
      </x:c>
    </x:row>
    <x:row r="4244">
      <x:c r="A4244" t="n">
        <x:v>214</x:v>
      </x:c>
      <x:c r="B4244" s="58" t="str"/>
      <x:c r="C4244" t="str">
        <x:v>Pasted text(59).txt</x:v>
      </x:c>
    </x:row>
    <x:row r="4245">
      <x:c r="A4245" t="n">
        <x:v>215</x:v>
      </x:c>
      <x:c r="B4245" s="58" t="str">
        <x:v>FRESH X-AXIS SEARCH FROM DAC 1.00 — OLD DAC VALUES ARE NOT USED</x:v>
      </x:c>
      <x:c r="C4245" t="str">
        <x:v>Pasted text(59).txt</x:v>
      </x:c>
    </x:row>
    <x:row r="4246">
      <x:c r="A4246" t="n">
        <x:v>216</x:v>
      </x:c>
      <x:c r="B4246" s="58" t="str">
        <x:v>Y/Z are diagnostic only and cannot abort this search.</x:v>
      </x:c>
      <x:c r="C4246" t="str">
        <x:v>Pasted text(59).txt</x:v>
      </x:c>
    </x:row>
    <x:row r="4247">
      <x:c r="A4247" t="n">
        <x:v>217</x:v>
      </x:c>
      <x:c r="B4247" s="58" t="str">
        <x:v>A real SPI fault, clipping, safety limit or confirmed X-response collapse will stop it.</x:v>
      </x:c>
      <x:c r="C4247" t="str">
        <x:v>Pasted text(59).txt</x:v>
      </x:c>
    </x:row>
    <x:row r="4248">
      <x:c r="A4248" t="n">
        <x:v>218</x:v>
      </x:c>
      <x:c r="B4248" s="58" t="str">
        <x:v>SEARCH | point 1 | DAC 1.00 | CTRL X 0.01474 | X 0.01847 | Y 0.02141 | Z 0.01922 | TOTAL 0.03721 | error -98.72 % | MAD 80.49 % | CV 75.69 % | coh 8.7 % | dominant Y | axis fraction 86.3 % | BELOW MEASUREMENT FLOOR — SEARCH CONTINUES</x:v>
      </x:c>
      <x:c r="C4248" t="str">
        <x:v>Pasted text(59).txt</x:v>
      </x:c>
    </x:row>
    <x:row r="4249">
      <x:c r="A4249" t="n">
        <x:v>219</x:v>
      </x:c>
      <x:c r="B4249" s="58" t="str"/>
      <x:c r="C4249" t="str">
        <x:v>Pasted text(59).txt</x:v>
      </x:c>
    </x:row>
    <x:row r="4250">
      <x:c r="A4250" t="n">
        <x:v>220</x:v>
      </x:c>
      <x:c r="B4250" s="58" t="str">
        <x:v>EMERGENCY STOP RECEIVED. VISATON STOPPED.</x:v>
      </x:c>
      <x:c r="C4250" t="str">
        <x:v>Pasted text(59).txt</x:v>
      </x:c>
    </x:row>
    <x:row r="4251">
      <x:c r="A4251" t="n">
        <x:v>221</x:v>
      </x:c>
      <x:c r="B4251" s="58" t="str"/>
      <x:c r="C4251" t="str">
        <x:v>Pasted text(59).txt</x:v>
      </x:c>
    </x:row>
    <x:row r="4252">
      <x:c r="A4252" t="n">
        <x:v>222</x:v>
      </x:c>
      <x:c r="B4252" s="58" t="str">
        <x:v>================================================================================</x:v>
      </x:c>
      <x:c r="C4252" t="str">
        <x:v>Pasted text(59).txt</x:v>
      </x:c>
    </x:row>
    <x:row r="4253">
      <x:c r="A4253" t="n">
        <x:v>223</x:v>
      </x:c>
      <x:c r="B4253" s="58" t="str">
        <x:v>FINAL REPEATED TARGET-AMPLITUDE VALIDATION SUMMARY</x:v>
      </x:c>
      <x:c r="C4253" t="str">
        <x:v>Pasted text(59).txt</x:v>
      </x:c>
    </x:row>
    <x:row r="4254">
      <x:c r="A4254" t="n">
        <x:v>224</x:v>
      </x:c>
      <x:c r="B4254" s="58" t="str">
        <x:v>================================================================================</x:v>
      </x:c>
      <x:c r="C4254" t="str">
        <x:v>Pasted text(59).txt</x:v>
      </x:c>
    </x:row>
    <x:row r="4255">
      <x:c r="A4255" t="n">
        <x:v>225</x:v>
      </x:c>
      <x:c r="B4255" s="58" t="str">
        <x:v>Run,Pass,Selected_DAC,Validated_Amp,Error_pct,FFT_Hz,FFT_Diff_Hz,FFT_SNR_dB,Hold_Mean,Hold_CV_pct,Hold_InBand_pct,Reason</x:v>
      </x:c>
      <x:c r="C4255" t="str">
        <x:v>Pasted text(59).txt</x:v>
      </x:c>
    </x:row>
    <x:row r="4256">
      <x:c r="A4256" t="n">
        <x:v>226</x:v>
      </x:c>
      <x:c r="B4256" s="58" t="str">
        <x:v>1,FAIL,18.25,1.14491,-0.44,268.01040,0.01040,25.15,1.08409,2.78,70.0,Confirmed X response collapse at higher DAC; actuator/amplifier path unstable</x:v>
      </x:c>
      <x:c r="C4256" t="str">
        <x:v>Pasted text(59).txt</x:v>
      </x:c>
    </x:row>
    <x:row r="4257">
      <x:c r="A4257" t="n">
        <x:v>227</x:v>
      </x:c>
      <x:c r="B4257" s="58" t="str">
        <x:v>2,FAIL,0.00,0.00000,0.00,0.00000,0.00000,0.00,0.00000,0.00,0.0,User emergency stop</x:v>
      </x:c>
      <x:c r="C4257" t="str">
        <x:v>Pasted text(59).txt</x:v>
      </x:c>
    </x:row>
    <x:row r="4258">
      <x:c r="A4258" t="n">
        <x:v>228</x:v>
      </x:c>
      <x:c r="B4258" s="58" t="str">
        <x:v>--------------------------------------------------------------------------------</x:v>
      </x:c>
      <x:c r="C4258" t="str">
        <x:v>Pasted text(59).txt</x:v>
      </x:c>
    </x:row>
    <x:row r="4259">
      <x:c r="A4259" t="n">
        <x:v>229</x:v>
      </x:c>
      <x:c r="B4259" s="58" t="str">
        <x:v>Successful independent runs: 0 / 2</x:v>
      </x:c>
      <x:c r="C4259" t="str">
        <x:v>Pasted text(59).txt</x:v>
      </x:c>
    </x:row>
    <x:row r="4260">
      <x:c r="A4260" t="n">
        <x:v>230</x:v>
      </x:c>
      <x:c r="B4260" s="58" t="str">
        <x:v>OVERALL VERDICT: FAIL — no independent run passed.</x:v>
      </x:c>
      <x:c r="C4260" t="str">
        <x:v>Pasted text(59).txt</x:v>
      </x:c>
    </x:row>
    <x:row r="4261">
      <x:c r="A4261" t="n">
        <x:v>231</x:v>
      </x:c>
      <x:c r="B4261" s="58" t="str"/>
      <x:c r="C4261" t="str">
        <x:v>Pasted text(59).txt</x:v>
      </x:c>
    </x:row>
    <x:row r="4262">
      <x:c r="A4262" t="n">
        <x:v>232</x:v>
      </x:c>
      <x:c r="B4262" s="58" t="str">
        <x:v>Automatic test complete. Enter h for commands.</x:v>
      </x:c>
      <x:c r="C4262" t="str">
        <x:v>Pasted text(59).txt</x:v>
      </x:c>
    </x:row>
    <x:row r="4263">
      <x:c r="A4263" t="n">
        <x:v>233</x:v>
      </x:c>
      <x:c r="B4263" s="58" t="str">
        <x:v>Frequency set to 268.00000 Hz.</x:v>
      </x:c>
      <x:c r="C4263" t="str">
        <x:v>Pasted text(59).txt</x:v>
      </x:c>
    </x:row>
    <x:row r="4264">
      <x:c r="A4264" t="n">
        <x:v>234</x:v>
      </x:c>
      <x:c r="B4264" s="58" t="str">
        <x:v>Target amplitude set to 1.15000 m/s^2 peak.</x:v>
      </x:c>
      <x:c r="C4264" t="str">
        <x:v>Pasted text(59).txt</x:v>
      </x:c>
    </x:row>
    <x:row r="4265">
      <x:c r="A4265" t="n">
        <x:v>235</x:v>
      </x:c>
      <x:c r="B4265" s="58" t="str"/>
      <x:c r="C4265" t="str">
        <x:v>Pasted text(59).txt</x:v>
      </x:c>
    </x:row>
    <x:row r="4266">
      <x:c r="A4266" t="n">
        <x:v>236</x:v>
      </x:c>
      <x:c r="B4266" s="58" t="str">
        <x:v>================================================================================</x:v>
      </x:c>
      <x:c r="C4266" t="str">
        <x:v>Pasted text(59).txt</x:v>
      </x:c>
    </x:row>
    <x:row r="4267">
      <x:c r="A4267" t="n">
        <x:v>237</x:v>
      </x:c>
      <x:c r="B4267" s="58" t="str">
        <x:v>REPEATED INDEPENDENT TARGET-AMPLITUDE VALIDATION STARTED</x:v>
      </x:c>
      <x:c r="C4267" t="str">
        <x:v>Pasted text(59).txt</x:v>
      </x:c>
    </x:row>
    <x:row r="4268">
      <x:c r="A4268" t="n">
        <x:v>238</x:v>
      </x:c>
      <x:c r="B4268" s="58" t="str">
        <x:v>================================================================================</x:v>
      </x:c>
      <x:c r="C4268" t="str">
        <x:v>Pasted text(59).txt</x:v>
      </x:c>
    </x:row>
    <x:row r="4269">
      <x:c r="A4269" t="n">
        <x:v>239</x:v>
      </x:c>
      <x:c r="B4269" s="58" t="str"/>
      <x:c r="C4269" t="str">
        <x:v>Pasted text(59).txt</x:v>
      </x:c>
    </x:row>
    <x:row r="4270">
      <x:c r="A4270" t="n">
        <x:v>240</x:v>
      </x:c>
      <x:c r="B4270" s="58" t="str">
        <x:v>CURRENT SETTINGS</x:v>
      </x:c>
      <x:c r="C4270" t="str">
        <x:v>Pasted text(59).txt</x:v>
      </x:c>
    </x:row>
    <x:row r="4271">
      <x:c r="A4271" t="n">
        <x:v>241</x:v>
      </x:c>
      <x:c r="B4271" s="58" t="str">
        <x:v>Frequency: 268.00000 Hz</x:v>
      </x:c>
      <x:c r="C4271" t="str">
        <x:v>Pasted text(59).txt</x:v>
      </x:c>
    </x:row>
    <x:row r="4272">
      <x:c r="A4272" t="n">
        <x:v>242</x:v>
      </x:c>
      <x:c r="B4272" s="58" t="str">
        <x:v>Control axis: X ONLY (Y/Z diagnostic only)</x:v>
      </x:c>
      <x:c r="C4272" t="str">
        <x:v>Pasted text(59).txt</x:v>
      </x:c>
    </x:row>
    <x:row r="4273">
      <x:c r="A4273" t="n">
        <x:v>243</x:v>
      </x:c>
      <x:c r="B4273" s="58" t="str">
        <x:v>Target peak amplitude: 1.15000 m/s^2</x:v>
      </x:c>
      <x:c r="C4273" t="str">
        <x:v>Pasted text(59).txt</x:v>
      </x:c>
    </x:row>
    <x:row r="4274">
      <x:c r="A4274" t="n">
        <x:v>244</x:v>
      </x:c>
      <x:c r="B4274" s="58" t="str">
        <x:v>Tolerance: +/-7.50 %</x:v>
      </x:c>
      <x:c r="C4274" t="str">
        <x:v>Pasted text(59).txt</x:v>
      </x:c>
    </x:row>
    <x:row r="4275">
      <x:c r="A4275" t="n">
        <x:v>245</x:v>
      </x:c>
      <x:c r="B4275" s="58" t="str">
        <x:v>Allowed amplitude band: 1.06375 to 1.23625 m/s^2 peak</x:v>
      </x:c>
      <x:c r="C4275" t="str">
        <x:v>Pasted text(59).txt</x:v>
      </x:c>
    </x:row>
    <x:row r="4276">
      <x:c r="A4276" t="n">
        <x:v>246</x:v>
      </x:c>
      <x:c r="B4276" s="58" t="str">
        <x:v>Independent runs: 5</x:v>
      </x:c>
      <x:c r="C4276" t="str">
        <x:v>Pasted text(59).txt</x:v>
      </x:c>
    </x:row>
    <x:row r="4277">
      <x:c r="A4277" t="n">
        <x:v>247</x:v>
      </x:c>
      <x:c r="B4277" s="58" t="str">
        <x:v>Hold records per run: 10</x:v>
      </x:c>
      <x:c r="C4277" t="str">
        <x:v>Pasted text(59).txt</x:v>
      </x:c>
    </x:row>
    <x:row r="4278">
      <x:c r="A4278" t="n">
        <x:v>248</x:v>
      </x:c>
      <x:c r="B4278" s="58" t="str">
        <x:v>DAC search range/resolution: 1.00 to 30.00 / 0.25</x:v>
      </x:c>
      <x:c r="C4278" t="str">
        <x:v>Pasted text(59).txt</x:v>
      </x:c>
    </x:row>
    <x:row r="4279">
      <x:c r="A4279" t="n">
        <x:v>249</x:v>
      </x:c>
      <x:c r="B4279" s="58" t="str">
        <x:v>FFT bin resolution: 1.56250 Hz; accepted command-to-bin difference &lt;= 2.00 Hz</x:v>
      </x:c>
      <x:c r="C4279" t="str">
        <x:v>Pasted text(59).txt</x:v>
      </x:c>
    </x:row>
    <x:row r="4280">
      <x:c r="A4280" t="n">
        <x:v>250</x:v>
      </x:c>
      <x:c r="B4280" s="58" t="str">
        <x:v>Every run starts from DAC 1.00. Different selected DACs are allowed.</x:v>
      </x:c>
      <x:c r="C4280" t="str">
        <x:v>Pasted text(59).txt</x:v>
      </x:c>
    </x:row>
    <x:row r="4281">
      <x:c r="A4281" t="n">
        <x:v>251</x:v>
      </x:c>
      <x:c r="B4281" s="58" t="str">
        <x:v>The accepted result is X-axis amplitude and X-axis frequency, not DAC.</x:v>
      </x:c>
      <x:c r="C4281" t="str">
        <x:v>Pasted text(59).txt</x:v>
      </x:c>
    </x:row>
    <x:row r="4282">
      <x:c r="A4282" t="n">
        <x:v>252</x:v>
      </x:c>
      <x:c r="B4282" s="58" t="str"/>
      <x:c r="C4282" t="str">
        <x:v>Pasted text(59).txt</x:v>
      </x:c>
    </x:row>
    <x:row r="4283">
      <x:c r="A4283" t="n">
        <x:v>253</x:v>
      </x:c>
      <x:c r="B4283" s="58" t="str">
        <x:v>################################################################################</x:v>
      </x:c>
      <x:c r="C4283" t="str">
        <x:v>Pasted text(59).txt</x:v>
      </x:c>
    </x:row>
    <x:row r="4284">
      <x:c r="A4284" t="n">
        <x:v>254</x:v>
      </x:c>
      <x:c r="B4284" s="58" t="str">
        <x:v>INDEPENDENT TARGET-AMPLITUDE RUN 1 OF 5</x:v>
      </x:c>
      <x:c r="C4284" t="str">
        <x:v>Pasted text(59).txt</x:v>
      </x:c>
    </x:row>
    <x:row r="4285">
      <x:c r="A4285" t="n">
        <x:v>255</x:v>
      </x:c>
      <x:c r="B4285" s="58" t="str">
        <x:v>################################################################################</x:v>
      </x:c>
      <x:c r="C4285" t="str">
        <x:v>Pasted text(59).txt</x:v>
      </x:c>
    </x:row>
    <x:row r="4286">
      <x:c r="A4286" t="n">
        <x:v>256</x:v>
      </x:c>
      <x:c r="B4286" s="58" t="str">
        <x:v>Frequency: 268.00000 Hz</x:v>
      </x:c>
      <x:c r="C4286" t="str">
        <x:v>Pasted text(59).txt</x:v>
      </x:c>
    </x:row>
    <x:row r="4287">
      <x:c r="A4287" t="n">
        <x:v>257</x:v>
      </x:c>
      <x:c r="B4287" s="58" t="str">
        <x:v>Target X amplitude: 1.15000 m/s^2 peak, tolerance +/-7.50 %</x:v>
      </x:c>
      <x:c r="C4287" t="str">
        <x:v>Pasted text(59).txt</x:v>
      </x:c>
    </x:row>
    <x:row r="4288">
      <x:c r="A4288" t="n">
        <x:v>258</x:v>
      </x:c>
      <x:c r="B4288" s="58" t="str">
        <x:v>This run starts from DAC 1.00 and ignores every earlier selected DAC.</x:v>
      </x:c>
      <x:c r="C4288" t="str">
        <x:v>Pasted text(59).txt</x:v>
      </x:c>
    </x:row>
    <x:row r="4289">
      <x:c r="A4289" t="n">
        <x:v>259</x:v>
      </x:c>
      <x:c r="B4289" s="58" t="str">
        <x:v>ADXL2 DEVID/DATA_FORMAT/BW_RATE/POWER_CTL: 0xE5 / 0xB / 0xE / 0x8</x:v>
      </x:c>
      <x:c r="C4289" t="str">
        <x:v>Pasted text(59).txt</x:v>
      </x:c>
    </x:row>
    <x:row r="4290">
      <x:c r="A4290" t="n">
        <x:v>260</x:v>
      </x:c>
      <x:c r="B4290" s="58" t="str"/>
      <x:c r="C4290" t="str">
        <x:v>Pasted text(59).txt</x:v>
      </x:c>
    </x:row>
    <x:row r="4291">
      <x:c r="A4291" t="n">
        <x:v>261</x:v>
      </x:c>
      <x:c r="B4291" s="58" t="str">
        <x:v>ACQUISITION ATTEMPT 1 OF 2</x:v>
      </x:c>
      <x:c r="C4291" t="str">
        <x:v>Pasted text(59).txt</x:v>
      </x:c>
    </x:row>
    <x:row r="4292">
      <x:c r="A4292" t="n">
        <x:v>262</x:v>
      </x:c>
      <x:c r="B4292" s="58" t="str"/>
      <x:c r="C4292" t="str">
        <x:v>Pasted text(59).txt</x:v>
      </x:c>
    </x:row>
    <x:row r="4293">
      <x:c r="A4293" t="n">
        <x:v>263</x:v>
      </x:c>
      <x:c r="B4293" s="58" t="str">
        <x:v>FRESH X-AXIS SEARCH FROM DAC 1.00 — OLD DAC VALUES ARE NOT USED</x:v>
      </x:c>
      <x:c r="C4293" t="str">
        <x:v>Pasted text(59).txt</x:v>
      </x:c>
    </x:row>
    <x:row r="4294">
      <x:c r="A4294" t="n">
        <x:v>264</x:v>
      </x:c>
      <x:c r="B4294" s="58" t="str">
        <x:v>Y/Z are diagnostic only and cannot abort this search.</x:v>
      </x:c>
      <x:c r="C4294" t="str">
        <x:v>Pasted text(59).txt</x:v>
      </x:c>
    </x:row>
    <x:row r="4295">
      <x:c r="A4295" t="n">
        <x:v>265</x:v>
      </x:c>
      <x:c r="B4295" s="58" t="str">
        <x:v>A real SPI fault, clipping, safety limit or confirmed X-response collapse will stop it.</x:v>
      </x:c>
      <x:c r="C4295" t="str">
        <x:v>Pasted text(59).txt</x:v>
      </x:c>
    </x:row>
    <x:row r="4296">
      <x:c r="A4296" t="n">
        <x:v>266</x:v>
      </x:c>
      <x:c r="B4296" s="58" t="str">
        <x:v>SEARCH | point 1 | DAC 1.00 | CTRL X 0.01135 | X 0.02659 | Y 0.03085 | Z 0.02741 | TOTAL 0.05630 | error -99.01 % | MAD 62.71 % | CV 115.25 % | coh 11.2 % | dominant Y | axis fraction 86.2 % | BELOW MEASUREMENT FLOOR — SEARCH CONTINUES</x:v>
      </x:c>
      <x:c r="C4296" t="str">
        <x:v>Pasted text(59).txt</x:v>
      </x:c>
    </x:row>
    <x:row r="4297">
      <x:c r="A4297" t="n">
        <x:v>267</x:v>
      </x:c>
      <x:c r="B4297" s="58" t="str">
        <x:v>SEARCH | point 2 | DAC 3.00 | CTRL X 0.02476 | X 0.02166 | Y 0.03600 | Z 0.02709 | TOTAL 0.05223 | error -97.85 % | MAD 51.94 % | CV 62.74 % | coh 7.6 % | dominant Y | axis fraction 60.2 % | BELOW MEASUREMENT FLOOR — SEARCH CONTINUES</x:v>
      </x:c>
      <x:c r="C4297" t="str">
        <x:v>Pasted text(59).txt</x:v>
      </x:c>
    </x:row>
    <x:row r="4298">
      <x:c r="A4298" t="n">
        <x:v>268</x:v>
      </x:c>
      <x:c r="B4298" s="58" t="str">
        <x:v>SEARCH | point 3 | DAC 5.00 | CTRL X 0.05929 | X 0.05407 | Y 0.04167 | Z 0.05814 | TOTAL 0.09190 | error -94.84 % | MAD 26.08 % | CV 13.64 % | coh 17.3 % | dominant Z | axis fraction 93.0 % | BELOW MEASUREMENT FLOOR — SEARCH CONTINUES</x:v>
      </x:c>
      <x:c r="C4298" t="str">
        <x:v>Pasted text(59).txt</x:v>
      </x:c>
    </x:row>
    <x:row r="4299">
      <x:c r="A4299" t="n">
        <x:v>269</x:v>
      </x:c>
      <x:c r="B4299" s="58" t="str">
        <x:v>SEARCH | point 4 | DAC 7.00 | CTRL X 0.09132 | X 0.09394 | Y 0.09416 | Z 0.09077 | TOTAL 0.16111 | error -92.06 % | MAD 8.53 % | CV 3.95 % | coh 32.6 % | dominant Y | axis fraction 99.8 % | BELOW MEASUREMENT FLOOR — SEARCH CONTINUES</x:v>
      </x:c>
      <x:c r="C4299" t="str">
        <x:v>Pasted text(59).txt</x:v>
      </x:c>
    </x:row>
    <x:row r="4300">
      <x:c r="A4300" t="n">
        <x:v>270</x:v>
      </x:c>
      <x:c r="B4300" s="58" t="str">
        <x:v>SEARCH | point 5 | DAC 9.00 | CTRL X 0.13194 | X 0.13426 | Y 0.12919 | Z 0.10231 | TOTAL 0.21381 | error -88.53 % | MAD 11.78 % | CV 10.51 % | coh 40.7 % | dominant X | axis fraction 100.0 % | UNSTABLE — SEARCH CONTINUES</x:v>
      </x:c>
      <x:c r="C4300" t="str">
        <x:v>Pasted text(59).txt</x:v>
      </x:c>
    </x:row>
    <x:row r="4301">
      <x:c r="A4301" t="n">
        <x:v>271</x:v>
      </x:c>
      <x:c r="B4301" s="58" t="str">
        <x:v>SEARCH | point 6 | DAC 11.00 | CTRL X 0.14615 | X 0.15228 | Y 0.14729 | Z 0.10662 | TOTAL 0.23812 | error -87.29 % | MAD 4.73 % | CV 9.75 % | coh 44.3 % | dominant X | axis fraction 100.0 % | UNSTABLE — SEARCH CONTINUES</x:v>
      </x:c>
      <x:c r="C4301" t="str">
        <x:v>Pasted text(59).txt</x:v>
      </x:c>
    </x:row>
    <x:row r="4302">
      <x:c r="A4302" t="n">
        <x:v>272</x:v>
      </x:c>
      <x:c r="B4302" s="58" t="str">
        <x:v>SEARCH | point 7 | DAC 13.00 | CTRL X 0.18575 | X 0.18018 | Y 0.18398 | Z 0.14748 | TOTAL 0.29717 | error -83.85 % | MAD 1.48 % | CV 6.26 % | coh 49.5 % | dominant Y | axis fraction 97.9 % | UNSTABLE — SEARCH CONTINUES</x:v>
      </x:c>
      <x:c r="C4302" t="str">
        <x:v>Pasted text(59).txt</x:v>
      </x:c>
    </x:row>
    <x:row r="4303">
      <x:c r="A4303" t="n">
        <x:v>273</x:v>
      </x:c>
      <x:c r="B4303" s="58" t="str">
        <x:v>SEARCH | point 8 | DAC 15.00 | CTRL X 0.19620 | X 0.18436 | Y 0.21622 | Z 0.19191 | TOTAL 0.34387 | error -82.94 % | MAD 2.22 % | CV 12.53 % | coh 48.7 % | dominant Y | axis fraction 85.3 % | UNSTABLE — SEARCH CONTINUES</x:v>
      </x:c>
      <x:c r="C4303" t="str">
        <x:v>Pasted text(59).txt</x:v>
      </x:c>
    </x:row>
    <x:row r="4304">
      <x:c r="A4304" t="n">
        <x:v>274</x:v>
      </x:c>
      <x:c r="B4304" s="58" t="str">
        <x:v>SEARCH | point 9 | DAC 17.00 | CTRL X 0.22441 | X 0.21920 | Y 0.25820 | Z 0.19221 | TOTAL 0.38973 | error -80.49 % | MAD 1.01 % | CV 4.74 % | coh 54.1 % | dominant Y | axis fraction 84.9 % | VALID</x:v>
      </x:c>
      <x:c r="C4304" t="str">
        <x:v>Pasted text(59).txt</x:v>
      </x:c>
    </x:row>
    <x:row r="4305">
      <x:c r="A4305" t="n">
        <x:v>275</x:v>
      </x:c>
      <x:c r="B4305" s="58" t="str">
        <x:v>SEARCH | point 10 | DAC 19.00 | CTRL X 0.22993 | X 0.23612 | Y 0.28141 | Z 0.25541 | TOTAL 0.44784 | error -80.01 % | MAD 0.91 % | CV 5.07 % | coh 57.0 % | dominant Y | axis fraction 83.9 % | VALID</x:v>
      </x:c>
      <x:c r="C4305" t="str">
        <x:v>Pasted text(59).txt</x:v>
      </x:c>
    </x:row>
    <x:row r="4306">
      <x:c r="A4306" t="n">
        <x:v>276</x:v>
      </x:c>
      <x:c r="B4306" s="58" t="str">
        <x:v>SEARCH | point 11 | DAC 21.00 | CTRL X 0.28018 | X 0.27672 | Y 0.29992 | Z 0.25204 | TOTAL 0.47973 | error -75.64 % | MAD 1.49 % | CV 3.09 % | coh 63.9 % | dominant Y | axis fraction 92.3 % | VALID</x:v>
      </x:c>
      <x:c r="C4306" t="str">
        <x:v>Pasted text(59).txt</x:v>
      </x:c>
    </x:row>
    <x:row r="4307">
      <x:c r="A4307" t="n">
        <x:v>277</x:v>
      </x:c>
      <x:c r="B4307" s="58" t="str">
        <x:v>SEARCH | point 12 | DAC 23.00 | CTRL X 0.32307 | X 0.32100 | Y 0.32264 | Z 0.25781 | TOTAL 0.52318 | error -71.91 % | MAD 4.09 % | CV 3.78 % | coh 69.9 % | dominant Y | axis fraction 99.5 % | VALID</x:v>
      </x:c>
      <x:c r="C4307" t="str">
        <x:v>Pasted text(59).txt</x:v>
      </x:c>
    </x:row>
    <x:row r="4308">
      <x:c r="A4308" t="n">
        <x:v>278</x:v>
      </x:c>
      <x:c r="B4308" s="58" t="str">
        <x:v>SEARCH | point 13 | DAC 24.00 | CTRL X 0.32713 | X 0.32293 | Y 0.34888 | Z 0.27861 | TOTAL 0.55217 | error -71.55 % | MAD 7.95 % | CV 7.47 % | coh 69.9 % | dominant Y | axis fraction 92.6 % | VALID</x:v>
      </x:c>
      <x:c r="C4308" t="str">
        <x:v>Pasted text(59).txt</x:v>
      </x:c>
    </x:row>
    <x:row r="4309">
      <x:c r="A4309" t="n">
        <x:v>279</x:v>
      </x:c>
      <x:c r="B4309" s="58" t="str">
        <x:v>SEARCH | point 14 | DAC 25.00 | CTRL X 0.36996 | X 0.36391 | Y 0.36806 | Z 0.24136 | TOTAL 0.57176 | error -67.83 % | MAD 8.56 % | CV 8.49 % | coh 76.6 % | dominant Y | axis fraction 98.9 % | VALID</x:v>
      </x:c>
      <x:c r="C4309" t="str">
        <x:v>Pasted text(59).txt</x:v>
      </x:c>
    </x:row>
    <x:row r="4310">
      <x:c r="A4310" t="n">
        <x:v>280</x:v>
      </x:c>
      <x:c r="B4310" s="58" t="str">
        <x:v>SEARCH | point 15 | DAC 26.00 | CTRL X 0.39064 | X 0.39101 | Y 0.35367 | Z 0.26605 | TOTAL 0.59156 | error -66.03 % | MAD 9.79 % | CV 6.74 % | coh 80.5 % | dominant X | axis fraction 100.0 % | VALID</x:v>
      </x:c>
      <x:c r="C4310" t="str">
        <x:v>Pasted text(59).txt</x:v>
      </x:c>
    </x:row>
    <x:row r="4311">
      <x:c r="A4311" t="n">
        <x:v>281</x:v>
      </x:c>
      <x:c r="B4311" s="58" t="str">
        <x:v>SEARCH | point 16 | DAC 27.00 | CTRL X 0.42539 | X 0.40842 | Y 0.36095 | Z 0.24945 | TOTAL 0.60031 | error -63.01 % | MAD 1.67 % | CV 8.23 % | coh 81.4 % | dominant X | axis fraction 100.0 % | VALID</x:v>
      </x:c>
      <x:c r="C4311" t="str">
        <x:v>Pasted text(59).txt</x:v>
      </x:c>
    </x:row>
    <x:row r="4312">
      <x:c r="A4312" t="n">
        <x:v>282</x:v>
      </x:c>
      <x:c r="B4312" s="58" t="str">
        <x:v>SEARCH | point 17 | DAC 28.00 | CTRL X 0.42145 | X 0.41940 | Y 0.36567 | Z 0.24194 | TOTAL 0.60715 | error -63.35 % | MAD 10.84 % | CV 8.09 % | coh 81.2 % | dominant X | axis fraction 100.0 % | VALID</x:v>
      </x:c>
      <x:c r="C4312" t="str">
        <x:v>Pasted text(59).txt</x:v>
      </x:c>
    </x:row>
    <x:row r="4313">
      <x:c r="A4313" t="n">
        <x:v>283</x:v>
      </x:c>
      <x:c r="B4313" s="58" t="str">
        <x:v>SEARCH | point 18 | DAC 29.00 | CTRL X 0.43123 | X 0.43112 | Y 0.36811 | Z 0.26349 | TOTAL 0.62553 | error -62.50 % | MAD 8.02 % | CV 5.45 % | coh 82.1 % | dominant X | axis fraction 100.0 % | VALID</x:v>
      </x:c>
      <x:c r="C4313" t="str">
        <x:v>Pasted text(59).txt</x:v>
      </x:c>
    </x:row>
    <x:row r="4314">
      <x:c r="A4314" t="n">
        <x:v>284</x:v>
      </x:c>
      <x:c r="B4314" s="58" t="str">
        <x:v>SEARCH | point 19 | DAC 30.00 | CTRL X 0.45621 | X 0.44584 | Y 0.38613 | Z 0.28653 | TOTAL 0.65619 | error -60.33 % | MAD 5.39 % | CV 7.49 % | coh 84.1 % | dominant X | axis fraction 100.0 % | VALID</x:v>
      </x:c>
      <x:c r="C4314" t="str">
        <x:v>Pasted text(59).txt</x:v>
      </x:c>
    </x:row>
    <x:row r="4315">
      <x:c r="A4315" t="n">
        <x:v>285</x:v>
      </x:c>
      <x:c r="B4315" s="58" t="str"/>
      <x:c r="C4315" t="str">
        <x:v>Pasted text(59).txt</x:v>
      </x:c>
    </x:row>
    <x:row r="4316">
      <x:c r="A4316" t="n">
        <x:v>286</x:v>
      </x:c>
      <x:c r="B4316" s="58" t="str">
        <x:v>ACQUISITION ATTEMPT 2 OF 2</x:v>
      </x:c>
      <x:c r="C4316" t="str">
        <x:v>Pasted text(59).txt</x:v>
      </x:c>
    </x:row>
    <x:row r="4317">
      <x:c r="A4317" t="n">
        <x:v>287</x:v>
      </x:c>
      <x:c r="B4317" s="58" t="str"/>
      <x:c r="C4317" t="str">
        <x:v>Pasted text(59).txt</x:v>
      </x:c>
    </x:row>
    <x:row r="4318">
      <x:c r="A4318" t="n">
        <x:v>288</x:v>
      </x:c>
      <x:c r="B4318" s="58" t="str">
        <x:v>FRESH X-AXIS SEARCH FROM DAC 1.00 — OLD DAC VALUES ARE NOT USED</x:v>
      </x:c>
      <x:c r="C4318" t="str">
        <x:v>Pasted text(59).txt</x:v>
      </x:c>
    </x:row>
    <x:row r="4319">
      <x:c r="A4319" t="n">
        <x:v>289</x:v>
      </x:c>
      <x:c r="B4319" s="58" t="str">
        <x:v>Y/Z are diagnostic only and cannot abort this search.</x:v>
      </x:c>
      <x:c r="C4319" t="str">
        <x:v>Pasted text(59).txt</x:v>
      </x:c>
    </x:row>
    <x:row r="4320">
      <x:c r="A4320" t="n">
        <x:v>290</x:v>
      </x:c>
      <x:c r="B4320" s="58" t="str">
        <x:v>A real SPI fault, clipping, safety limit or confirmed X-response collapse will stop it.</x:v>
      </x:c>
      <x:c r="C4320" t="str">
        <x:v>Pasted text(59).txt</x:v>
      </x:c>
    </x:row>
    <x:row r="4321">
      <x:c r="A4321" t="n">
        <x:v>291</x:v>
      </x:c>
      <x:c r="B4321" s="58" t="str">
        <x:v>SEARCH | point 1 | DAC 1.00 | CTRL X 0.01018 | X 0.00962 | Y 0.02320 | Z 0.03342 | TOTAL 0.04199 | error -99.11 % | MAD 16.26 % | CV 8.21 % | coh 4.6 % | dominant Z | axis fraction 28.8 % | BELOW MEASUREMENT FLOOR — SEARCH CONTINUES</x:v>
      </x:c>
      <x:c r="C4321" t="str">
        <x:v>Pasted text(59).txt</x:v>
      </x:c>
    </x:row>
    <x:row r="4322">
      <x:c r="A4322" t="n">
        <x:v>292</x:v>
      </x:c>
      <x:c r="B4322" s="58" t="str">
        <x:v>SEARCH | point 2 | DAC 3.00 | CTRL X 0.00761 | X 0.01016 | Y 0.03843 | Z 0.03667 | TOTAL 0.05815 | error -99.34 % | MAD 39.81 % | CV 61.73 % | coh 3.8 % | dominant Y | axis fraction 26.4 % | BELOW MEASUREMENT FLOOR — SEARCH CONTINUES</x:v>
      </x:c>
      <x:c r="C4322" t="str">
        <x:v>Pasted text(59).txt</x:v>
      </x:c>
    </x:row>
    <x:row r="4323">
      <x:c r="A4323" t="n">
        <x:v>293</x:v>
      </x:c>
      <x:c r="B4323" s="58" t="str">
        <x:v>SEARCH | point 3 | DAC 5.00 | CTRL X 0.07153 | X 0.06550 | Y 0.05604 | Z 0.06358 | TOTAL 0.11237 | error -93.78 % | MAD 40.09 % | CV 44.07 % | coh 21.9 % | dominant X | axis fraction 100.0 % | BELOW MEASUREMENT FLOOR — SEARCH CONTINUES</x:v>
      </x:c>
      <x:c r="C4323" t="str">
        <x:v>Pasted text(59).txt</x:v>
      </x:c>
    </x:row>
    <x:row r="4324">
      <x:c r="A4324" t="n">
        <x:v>294</x:v>
      </x:c>
      <x:c r="B4324" s="58" t="str">
        <x:v>SEARCH | point 4 | DAC 7.00 | CTRL X 0.22705 | X 0.23516 | Y 0.14776 | Z 0.16059 | TOTAL 0.32112 | error -80.26 % | MAD 1.74 % | CV 6.98 % | coh 58.5 % | dominant X | axis fraction 100.0 % | VALID</x:v>
      </x:c>
      <x:c r="C4324" t="str">
        <x:v>Pasted text(59).txt</x:v>
      </x:c>
    </x:row>
    <x:row r="4325">
      <x:c r="A4325" t="n">
        <x:v>295</x:v>
      </x:c>
      <x:c r="B4325" s="58" t="str">
        <x:v>SEARCH | point 5 | DAC 9.00 | CTRL X 0.21688 | X 0.21340 | Y 0.13960 | Z 0.14080 | TOTAL 0.29246 | error -81.14 % | MAD 0.15 % | CV 2.91 % | coh 53.0 % | dominant X | axis fraction 100.0 % | VALID</x:v>
      </x:c>
      <x:c r="C4325" t="str">
        <x:v>Pasted text(59).txt</x:v>
      </x:c>
    </x:row>
    <x:row r="4326">
      <x:c r="A4326" t="n">
        <x:v>296</x:v>
      </x:c>
      <x:c r="B4326" s="58" t="str">
        <x:v>SEARCH | point 6 | DAC 11.00 | CTRL X 0.27684 | X 0.29032 | Y 0.21659 | Z 0.19415 | TOTAL 0.41180 | error -75.93 % | MAD 0.07 % | CV 8.08 % | coh 66.7 % | dominant X | axis fraction 100.0 % | VALID</x:v>
      </x:c>
      <x:c r="C4326" t="str">
        <x:v>Pasted text(59).txt</x:v>
      </x:c>
    </x:row>
    <x:row r="4327">
      <x:c r="A4327" t="n">
        <x:v>297</x:v>
      </x:c>
      <x:c r="B4327" s="58" t="str">
        <x:v>SEARCH | point 7 | DAC 13.00 | CTRL X 0.33525 | X 0.33697 | Y 0.26144 | Z 0.23527 | TOTAL 0.48731 | error -70.85 % | MAD 7.79 % | CV 6.01 % | coh 71.5 % | dominant X | axis fraction 100.0 % | VALID</x:v>
      </x:c>
      <x:c r="C4327" t="str">
        <x:v>Pasted text(59).txt</x:v>
      </x:c>
    </x:row>
    <x:row r="4328">
      <x:c r="A4328" t="n">
        <x:v>298</x:v>
      </x:c>
      <x:c r="B4328" s="58" t="str">
        <x:v>SEARCH | point 8 | DAC 14.00 | CTRL X 0.36264 | X 0.36362 | Y 0.28566 | Z 0.27979 | TOTAL 0.54093 | error -68.47 % | MAD 1.86 % | CV 1.67 % | coh 74.6 % | dominant X | axis fraction 100.0 % | VALID</x:v>
      </x:c>
      <x:c r="C4328" t="str">
        <x:v>Pasted text(59).txt</x:v>
      </x:c>
    </x:row>
    <x:row r="4329">
      <x:c r="A4329" t="n">
        <x:v>299</x:v>
      </x:c>
      <x:c r="B4329" s="58" t="str">
        <x:v>SEARCH | point 9 | DAC 15.00 | CTRL X 0.39870 | X 0.39627 | Y 0.28474 | Z 0.29692 | TOTAL 0.57159 | error -65.33 % | MAD 5.05 % | CV 4.38 % | coh 76.9 % | dominant X | axis fraction 100.0 % | VALID</x:v>
      </x:c>
      <x:c r="C4329" t="str">
        <x:v>Pasted text(59).txt</x:v>
      </x:c>
    </x:row>
    <x:row r="4330">
      <x:c r="A4330" t="n">
        <x:v>300</x:v>
      </x:c>
      <x:c r="B4330" s="58" t="str">
        <x:v>SEARCH | point 10 | DAC 16.00 | CTRL X 0.40955 | X 0.40927 | Y 0.30324 | Z 0.32398 | TOTAL 0.60408 | error -64.39 % | MAD 1.57 % | CV 1.16 % | coh 77.9 % | dominant X | axis fraction 100.0 % | VALID</x:v>
      </x:c>
      <x:c r="C4330" t="str">
        <x:v>Pasted text(59).txt</x:v>
      </x:c>
    </x:row>
    <x:row r="4331">
      <x:c r="A4331" t="n">
        <x:v>301</x:v>
      </x:c>
      <x:c r="B4331" s="58" t="str">
        <x:v>SEARCH | point 11 | DAC 17.00 | CTRL X 0.41432 | X 0.42328 | Y 0.32256 | Z 0.30702 | TOTAL 0.61584 | error -63.97 % | MAD 5.13 % | CV 6.81 % | coh 80.2 % | dominant X | axis fraction 100.0 % | VALID</x:v>
      </x:c>
      <x:c r="C4331" t="str">
        <x:v>Pasted text(59).txt</x:v>
      </x:c>
    </x:row>
    <x:row r="4332">
      <x:c r="A4332" t="n">
        <x:v>302</x:v>
      </x:c>
      <x:c r="B4332" s="58" t="str">
        <x:v>SEARCH | point 12 | DAC 18.00 | CTRL X 0.43843 | X 0.43775 | Y 0.34068 | Z 0.33518 | TOTAL 0.64819 | error -61.88 % | MAD 1.50 % | CV 1.25 % | coh 78.2 % | dominant X | axis fraction 100.0 % | VALID</x:v>
      </x:c>
      <x:c r="C4332" t="str">
        <x:v>Pasted text(59).txt</x:v>
      </x:c>
    </x:row>
    <x:row r="4333">
      <x:c r="A4333" t="n">
        <x:v>303</x:v>
      </x:c>
      <x:c r="B4333" s="58" t="str">
        <x:v>SEARCH | point 13 | DAC 19.00 | CTRL X 0.47529 | X 0.48214 | Y 0.38304 | Z 0.36406 | TOTAL 0.71585 | error -58.67 % | MAD 2.19 % | CV 3.79 % | coh 84.1 % | dominant X | axis fraction 100.0 % | VALID</x:v>
      </x:c>
      <x:c r="C4333" t="str">
        <x:v>Pasted text(59).txt</x:v>
      </x:c>
    </x:row>
    <x:row r="4334">
      <x:c r="A4334" t="n">
        <x:v>304</x:v>
      </x:c>
      <x:c r="B4334" s="58" t="str">
        <x:v>SEARCH | point 14 | DAC 20.00 | CTRL X 0.48539 | X 0.48278 | Y 0.38828 | Z 0.36645 | TOTAL 0.72001 | error -57.79 % | MAD 0.50 % | CV 1.24 % | coh 79.7 % | dominant X | axis fraction 100.0 % | VALID</x:v>
      </x:c>
      <x:c r="C4334" t="str">
        <x:v>Pasted text(59).txt</x:v>
      </x:c>
    </x:row>
    <x:row r="4335">
      <x:c r="A4335" t="n">
        <x:v>305</x:v>
      </x:c>
      <x:c r="B4335" s="58" t="str">
        <x:v>SEARCH | point 15 | DAC 21.00 | CTRL X 0.51042 | X 0.51128 | Y 0.41251 | Z 0.33528 | TOTAL 0.73781 | error -55.62 % | MAD 3.40 % | CV 2.54 % | coh 84.5 % | dominant X | axis fraction 100.0 % | VALID</x:v>
      </x:c>
      <x:c r="C4335" t="str">
        <x:v>Pasted text(59).txt</x:v>
      </x:c>
    </x:row>
    <x:row r="4336">
      <x:c r="A4336" t="n">
        <x:v>306</x:v>
      </x:c>
      <x:c r="B4336" s="58" t="str">
        <x:v>SEARCH | point 16 | DAC 22.00 | CTRL X 0.53220 | X 0.52994 | Y 0.42200 | Z 0.39046 | TOTAL 0.78266 | error -53.72 % | MAD 4.16 % | CV 3.48 % | coh 82.5 % | dominant X | axis fraction 100.0 % | VALID</x:v>
      </x:c>
      <x:c r="C4336" t="str">
        <x:v>Pasted text(59).txt</x:v>
      </x:c>
    </x:row>
    <x:row r="4337">
      <x:c r="A4337" t="n">
        <x:v>307</x:v>
      </x:c>
      <x:c r="B4337" s="58" t="str">
        <x:v>SEARCH | point 17 | DAC 23.00 | CTRL X 0.56946 | X 0.58957 | Y 0.41980 | Z 0.31416 | TOTAL 0.79766 | error -50.48 % | MAD 0.52 % | CV 6.21 % | coh 82.6 % | dominant X | axis fraction 100.0 % | VALID</x:v>
      </x:c>
      <x:c r="C4337" t="str">
        <x:v>Pasted text(59).txt</x:v>
      </x:c>
    </x:row>
    <x:row r="4338">
      <x:c r="A4338" t="n">
        <x:v>308</x:v>
      </x:c>
      <x:c r="B4338" s="58" t="str">
        <x:v>SEARCH | point 18 | DAC 24.00 | CTRL X 0.53567 | X 0.53094 | Y 0.50372 | Z 0.11409 | TOTAL 0.74123 | error -53.42 % | MAD 1.57 % | CV 2.53 % | coh 84.6 % | dominant X | axis fraction 100.0 % | VALID</x:v>
      </x:c>
      <x:c r="C4338" t="str">
        <x:v>Pasted text(59).txt</x:v>
      </x:c>
    </x:row>
    <x:row r="4339">
      <x:c r="A4339" t="n">
        <x:v>309</x:v>
      </x:c>
      <x:c r="B4339" s="58" t="str">
        <x:v>SEARCH | point 19 | DAC 25.00 | CTRL X 0.54795 | X 0.55170 | Y 0.54377 | Z 0.15466 | TOTAL 0.79016 | error -52.35 % | MAD 1.47 % | CV 2.09 % | coh 85.0 % | dominant X | axis fraction 100.0 % | VALID</x:v>
      </x:c>
      <x:c r="C4339" t="str">
        <x:v>Pasted text(59).txt</x:v>
      </x:c>
    </x:row>
    <x:row r="4340">
      <x:c r="A4340" t="n">
        <x:v>310</x:v>
      </x:c>
      <x:c r="B4340" s="58" t="str">
        <x:v>SEARCH | point 20 | DAC 26.00 | CTRL X 0.58011 | X 0.57327 | Y 0.54395 | Z 0.11639 | TOTAL 0.79890 | error -49.56 % | MAD 0.88 % | CV 2.60 % | coh 83.9 % | dominant X | axis fraction 100.0 % | VALID</x:v>
      </x:c>
      <x:c r="C4340" t="str">
        <x:v>Pasted text(59).txt</x:v>
      </x:c>
    </x:row>
    <x:row r="4341">
      <x:c r="A4341" t="n">
        <x:v>311</x:v>
      </x:c>
      <x:c r="B4341" s="58" t="str">
        <x:v>SEARCH | point 21 | DAC 27.00 | CTRL X 0.57513 | X 0.57635 | Y 0.56598 | Z 0.13387 | TOTAL 0.81940 | error -49.99 % | MAD 3.96 % | CV 2.99 % | coh 81.3 % | dominant X | axis fraction 100.0 % | VALID</x:v>
      </x:c>
      <x:c r="C4341" t="str">
        <x:v>Pasted text(59).txt</x:v>
      </x:c>
    </x:row>
    <x:row r="4342">
      <x:c r="A4342" t="n">
        <x:v>312</x:v>
      </x:c>
      <x:c r="B4342" s="58" t="str">
        <x:v>SEARCH | point 22 | DAC 28.00 | CTRL X 0.60586 | X 0.60664 | Y 0.59897 | Z 0.15834 | TOTAL 0.86724 | error -47.32 % | MAD 1.53 % | CV 1.23 % | coh 84.0 % | dominant X | axis fraction 100.0 % | VALID</x:v>
      </x:c>
      <x:c r="C4342" t="str">
        <x:v>Pasted text(59).txt</x:v>
      </x:c>
    </x:row>
    <x:row r="4343">
      <x:c r="A4343" t="n">
        <x:v>313</x:v>
      </x:c>
      <x:c r="B4343" s="58" t="str">
        <x:v>SEARCH | point 23 | DAC 29.00 | CTRL X 0.66863 | X 0.66947 | Y 0.66261 | Z 0.14179 | TOTAL 0.95279 | error -41.86 % | MAD 1.66 % | CV 1.31 % | coh 86.3 % | dominant X | axis fraction 100.0 % | VALID</x:v>
      </x:c>
      <x:c r="C4343" t="str">
        <x:v>Pasted text(59).txt</x:v>
      </x:c>
    </x:row>
    <x:row r="4344">
      <x:c r="A4344" t="n">
        <x:v>314</x:v>
      </x:c>
      <x:c r="B4344" s="58" t="str">
        <x:v>SEARCH | point 24 | DAC 30.00 | CTRL X 0.68704 | X 0.69301 | Y 0.69965 | Z 0.10914 | TOTAL 0.99131 | error -40.26 % | MAD 2.11 % | CV 2.80 % | coh 83.8 % | dominant Y | axis fraction 99.1 % | VALID</x:v>
      </x:c>
      <x:c r="C4344" t="str">
        <x:v>Pasted text(59).txt</x:v>
      </x:c>
    </x:row>
    <x:row r="4345">
      <x:c r="A4345" t="n">
        <x:v>315</x:v>
      </x:c>
      <x:c r="B4345" s="58" t="str"/>
      <x:c r="C4345" t="str">
        <x:v>Pasted text(59).txt</x:v>
      </x:c>
    </x:row>
    <x:row r="4346">
      <x:c r="A4346" t="n">
        <x:v>316</x:v>
      </x:c>
      <x:c r="B4346" s="58" t="str">
        <x:v>RUN RESULT: FAIL — X target not reached by DAC 30; increase amplifier knob slightly</x:v>
      </x:c>
      <x:c r="C4346" t="str">
        <x:v>Pasted text(59).txt</x:v>
      </x:c>
    </x:row>
    <x:row r="4347">
      <x:c r="A4347" t="n">
        <x:v>317</x:v>
      </x:c>
      <x:c r="B4347" s="58" t="str"/>
      <x:c r="C4347" t="str">
        <x:v>Pasted text(59).txt</x:v>
      </x:c>
    </x:row>
    <x:row r="4348">
      <x:c r="A4348" t="n">
        <x:v>318</x:v>
      </x:c>
      <x:c r="B4348" s="58" t="str">
        <x:v>VISATON OFF. RESTING 5.0 s BEFORE THE NEXT COMPLETELY FRESH RUN.</x:v>
      </x:c>
      <x:c r="C4348" t="str">
        <x:v>Pasted text(59).txt</x:v>
      </x:c>
    </x:row>
    <x:row r="4349">
      <x:c r="A4349" t="n">
        <x:v>319</x:v>
      </x:c>
      <x:c r="B4349" s="58" t="str"/>
      <x:c r="C4349" t="str">
        <x:v>Pasted text(59).txt</x:v>
      </x:c>
    </x:row>
    <x:row r="4350">
      <x:c r="A4350" t="n">
        <x:v>320</x:v>
      </x:c>
      <x:c r="B4350" s="58" t="str">
        <x:v>################################################################################</x:v>
      </x:c>
      <x:c r="C4350" t="str">
        <x:v>Pasted text(59).txt</x:v>
      </x:c>
    </x:row>
    <x:row r="4351">
      <x:c r="A4351" t="n">
        <x:v>321</x:v>
      </x:c>
      <x:c r="B4351" s="58" t="str">
        <x:v>INDEPENDENT TARGET-AMPLITUDE RUN 2 OF 5</x:v>
      </x:c>
      <x:c r="C4351" t="str">
        <x:v>Pasted text(59).txt</x:v>
      </x:c>
    </x:row>
    <x:row r="4352">
      <x:c r="A4352" t="n">
        <x:v>322</x:v>
      </x:c>
      <x:c r="B4352" s="58" t="str">
        <x:v>################################################################################</x:v>
      </x:c>
      <x:c r="C4352" t="str">
        <x:v>Pasted text(59).txt</x:v>
      </x:c>
    </x:row>
    <x:row r="4353">
      <x:c r="A4353" t="n">
        <x:v>323</x:v>
      </x:c>
      <x:c r="B4353" s="58" t="str">
        <x:v>Frequency: 268.00000 Hz</x:v>
      </x:c>
      <x:c r="C4353" t="str">
        <x:v>Pasted text(59).txt</x:v>
      </x:c>
    </x:row>
    <x:row r="4354">
      <x:c r="A4354" t="n">
        <x:v>324</x:v>
      </x:c>
      <x:c r="B4354" s="58" t="str">
        <x:v>Target X amplitude: 1.15000 m/s^2 peak, tolerance +/-7.50 %</x:v>
      </x:c>
      <x:c r="C4354" t="str">
        <x:v>Pasted text(59).txt</x:v>
      </x:c>
    </x:row>
    <x:row r="4355">
      <x:c r="A4355" t="n">
        <x:v>325</x:v>
      </x:c>
      <x:c r="B4355" s="58" t="str">
        <x:v>This run starts from DAC 1.00 and ignores every earlier selected DAC.</x:v>
      </x:c>
      <x:c r="C4355" t="str">
        <x:v>Pasted text(59).txt</x:v>
      </x:c>
    </x:row>
    <x:row r="4356">
      <x:c r="A4356" t="n">
        <x:v>326</x:v>
      </x:c>
      <x:c r="B4356" s="58" t="str">
        <x:v>ADXL2 DEVID/DATA_FORMAT/BW_RATE/POWER_CTL: 0xE5 / 0xB / 0xE / 0x8</x:v>
      </x:c>
      <x:c r="C4356" t="str">
        <x:v>Pasted text(59).txt</x:v>
      </x:c>
    </x:row>
    <x:row r="4357">
      <x:c r="A4357" t="n">
        <x:v>327</x:v>
      </x:c>
      <x:c r="B4357" s="58" t="str"/>
      <x:c r="C4357" t="str">
        <x:v>Pasted text(59).txt</x:v>
      </x:c>
    </x:row>
    <x:row r="4358">
      <x:c r="A4358" t="n">
        <x:v>328</x:v>
      </x:c>
      <x:c r="B4358" s="58" t="str">
        <x:v>ACQUISITION ATTEMPT 1 OF 2</x:v>
      </x:c>
      <x:c r="C4358" t="str">
        <x:v>Pasted text(59).txt</x:v>
      </x:c>
    </x:row>
    <x:row r="4359">
      <x:c r="A4359" t="n">
        <x:v>329</x:v>
      </x:c>
      <x:c r="B4359" s="58" t="str"/>
      <x:c r="C4359" t="str">
        <x:v>Pasted text(59).txt</x:v>
      </x:c>
    </x:row>
    <x:row r="4360">
      <x:c r="A4360" t="n">
        <x:v>330</x:v>
      </x:c>
      <x:c r="B4360" s="58" t="str">
        <x:v>FRESH X-AXIS SEARCH FROM DAC 1.00 — OLD DAC VALUES ARE NOT USED</x:v>
      </x:c>
      <x:c r="C4360" t="str">
        <x:v>Pasted text(59).txt</x:v>
      </x:c>
    </x:row>
    <x:row r="4361">
      <x:c r="A4361" t="n">
        <x:v>331</x:v>
      </x:c>
      <x:c r="B4361" s="58" t="str">
        <x:v>Y/Z are diagnostic only and cannot abort this search.</x:v>
      </x:c>
      <x:c r="C4361" t="str">
        <x:v>Pasted text(59).txt</x:v>
      </x:c>
    </x:row>
    <x:row r="4362">
      <x:c r="A4362" t="n">
        <x:v>332</x:v>
      </x:c>
      <x:c r="B4362" s="58" t="str">
        <x:v>A real SPI fault, clipping, safety limit or confirmed X-response collapse will stop it.</x:v>
      </x:c>
      <x:c r="C4362" t="str">
        <x:v>Pasted text(59).txt</x:v>
      </x:c>
    </x:row>
    <x:row r="4363">
      <x:c r="A4363" t="n">
        <x:v>333</x:v>
      </x:c>
      <x:c r="B4363" s="58" t="str">
        <x:v>SEARCH | point 1 | DAC 1.00 | CTRL X 0.01835 | X 0.01681 | Y 0.02112 | Z 0.04269 | TOTAL 0.05055 | error -98.40 % | MAD 25.00 % | CV 13.02 % | coh 6.7 % | dominant Z | axis fraction 39.4 % | BELOW MEASUREMENT FLOOR — SEARCH CONTINUES</x:v>
      </x:c>
      <x:c r="C4363" t="str">
        <x:v>Pasted text(59).txt</x:v>
      </x:c>
    </x:row>
    <x:row r="4364">
      <x:c r="A4364" t="n">
        <x:v>334</x:v>
      </x:c>
      <x:c r="B4364" s="58" t="str">
        <x:v>SEARCH | point 2 | DAC 3.00 | CTRL X 0.04223 | X 0.04006 | Y 0.06746 | Z 0.10152 | TOTAL 0.12992 | error -96.33 % | MAD 15.23 % | CV 7.66 % | coh 11.9 % | dominant Z | axis fraction 39.5 % | BELOW MEASUREMENT FLOOR — SEARCH CONTINUES</x:v>
      </x:c>
      <x:c r="C4364" t="str">
        <x:v>Pasted text(59).txt</x:v>
      </x:c>
    </x:row>
    <x:row r="4365">
      <x:c r="A4365" t="n">
        <x:v>335</x:v>
      </x:c>
      <x:c r="B4365" s="58" t="str">
        <x:v>SEARCH | point 3 | DAC 5.00 | CTRL X 0.12850 | X 0.12926 | Y 0.10021 | Z 0.12909 | TOTAL 0.20989 | error -88.83 % | MAD 10.91 % | CV 8.22 % | coh 32.9 % | dominant X | axis fraction 100.0 % | UNSTABLE — SEARCH CONTINUES</x:v>
      </x:c>
      <x:c r="C4365" t="str">
        <x:v>Pasted text(59).txt</x:v>
      </x:c>
    </x:row>
    <x:row r="4366">
      <x:c r="A4366" t="n">
        <x:v>336</x:v>
      </x:c>
      <x:c r="B4366" s="58" t="str">
        <x:v>SEARCH | point 4 | DAC 7.00 | CTRL X 0.17993 | X 0.17870 | Y 0.16384 | Z 0.16207 | TOTAL 0.29327 | error -84.35 % | MAD 5.92 % | CV 5.09 % | coh 40.6 % | dominant X | axis fraction 100.0 % | UNSTABLE — SEARCH CONTINUES</x:v>
      </x:c>
      <x:c r="C4366" t="str">
        <x:v>Pasted text(59).txt</x:v>
      </x:c>
    </x:row>
    <x:row r="4367">
      <x:c r="A4367" t="n">
        <x:v>337</x:v>
      </x:c>
      <x:c r="B4367" s="58" t="str">
        <x:v>SEARCH | point 5 | DAC 9.00 | CTRL X 0.23661 | X 0.23439 | Y 0.22177 | Z 0.20211 | TOTAL 0.38084 | error -79.43 % | MAD 1.60 % | CV 2.64 % | coh 49.6 % | dominant X | axis fraction 100.0 % | UNSTABLE — SEARCH CONTINUES</x:v>
      </x:c>
      <x:c r="C4367" t="str">
        <x:v>Pasted text(59).txt</x:v>
      </x:c>
    </x:row>
    <x:row r="4368">
      <x:c r="A4368" t="n">
        <x:v>338</x:v>
      </x:c>
      <x:c r="B4368" s="58" t="str">
        <x:v>SEARCH | point 6 | DAC 11.00 | CTRL X 0.28341 | X 0.28819 | Y 0.27130 | Z 0.21887 | TOTAL 0.45345 | error -75.36 % | MAD 5.26 % | CV 6.15 % | coh 57.7 % | dominant X | axis fraction 100.0 % | VALID</x:v>
      </x:c>
      <x:c r="C4368" t="str">
        <x:v>Pasted text(59).txt</x:v>
      </x:c>
    </x:row>
    <x:row r="4369">
      <x:c r="A4369" t="n">
        <x:v>339</x:v>
      </x:c>
      <x:c r="B4369" s="58" t="str">
        <x:v>SEARCH | point 7 | DAC 13.00 | CTRL X 0.32497 | X 0.32611 | Y 0.30412 | Z 0.23728 | TOTAL 0.50609 | error -71.74 % | MAD 7.67 % | CV 5.68 % | coh 60.1 % | dominant X | axis fraction 100.0 % | VALID</x:v>
      </x:c>
      <x:c r="C4369" t="str">
        <x:v>Pasted text(59).txt</x:v>
      </x:c>
    </x:row>
    <x:row r="4370">
      <x:c r="A4370" t="n">
        <x:v>340</x:v>
      </x:c>
      <x:c r="B4370" s="58" t="str">
        <x:v>SEARCH | point 8 | DAC 14.00 | CTRL X 0.37447 | X 0.38097 | Y 0.33083 | Z 0.22699 | TOTAL 0.55329 | error -67.44 % | MAD 3.87 % | CV 5.33 % | coh 67.3 % | dominant X | axis fraction 100.0 % | VALID</x:v>
      </x:c>
      <x:c r="C4370" t="str">
        <x:v>Pasted text(59).txt</x:v>
      </x:c>
    </x:row>
    <x:row r="4371">
      <x:c r="A4371" t="n">
        <x:v>341</x:v>
      </x:c>
      <x:c r="B4371" s="58" t="str">
        <x:v>SEARCH | point 9 | DAC 15.00 | CTRL X 0.37972 | X 0.39249 | Y 0.35952 | Z 0.26424 | TOTAL 0.59448 | error -66.98 % | MAD 0.71 % | CV 6.04 % | coh 69.1 % | dominant X | axis fraction 100.0 % | VALID</x:v>
      </x:c>
      <x:c r="C4371" t="str">
        <x:v>Pasted text(59).txt</x:v>
      </x:c>
    </x:row>
    <x:row r="4372">
      <x:c r="A4372" t="n">
        <x:v>342</x:v>
      </x:c>
      <x:c r="B4372" s="58" t="str">
        <x:v>SEARCH | point 10 | DAC 16.00 | CTRL X 0.42616 | X 0.42376 | Y 0.38721 | Z 0.25194 | TOTAL 0.62696 | error -62.94 % | MAD 3.66 % | CV 3.37 % | coh 72.7 % | dominant X | axis fraction 100.0 % | VALID</x:v>
      </x:c>
      <x:c r="C4372" t="str">
        <x:v>Pasted text(59).txt</x:v>
      </x:c>
    </x:row>
    <x:row r="4373">
      <x:c r="A4373" t="n">
        <x:v>343</x:v>
      </x:c>
      <x:c r="B4373" s="58" t="str">
        <x:v>SEARCH | point 11 | DAC 17.00 | CTRL X 0.44308 | X 0.44366 | Y 0.42479 | Z 0.25896 | TOTAL 0.66677 | error -61.47 % | MAD 5.13 % | CV 3.66 % | coh 72.3 % | dominant X | axis fraction 100.0 % | VALID</x:v>
      </x:c>
      <x:c r="C4373" t="str">
        <x:v>Pasted text(59).txt</x:v>
      </x:c>
    </x:row>
    <x:row r="4374">
      <x:c r="A4374" t="n">
        <x:v>344</x:v>
      </x:c>
      <x:c r="B4374" s="58" t="str">
        <x:v>SEARCH | point 12 | DAC 18.00 | CTRL X 0.44883 | X 0.44788 | Y 0.43761 | Z 0.27848 | TOTAL 0.68612 | error -60.97 % | MAD 6.41 % | CV 4.66 % | coh 71.7 % | dominant X | axis fraction 100.0 % | VALID</x:v>
      </x:c>
      <x:c r="C4374" t="str">
        <x:v>Pasted text(59).txt</x:v>
      </x:c>
    </x:row>
    <x:row r="4375">
      <x:c r="A4375" t="n">
        <x:v>345</x:v>
      </x:c>
      <x:c r="B4375" s="58" t="str">
        <x:v>SEARCH | point 13 | DAC 19.00 | CTRL X 0.50370 | X 0.49917 | Y 0.46005 | Z 0.26426 | TOTAL 0.72908 | error -56.20 % | MAD 0.17 % | CV 1.67 % | coh 78.7 % | dominant X | axis fraction 100.0 % | VALID</x:v>
      </x:c>
      <x:c r="C4375" t="str">
        <x:v>Pasted text(59).txt</x:v>
      </x:c>
    </x:row>
    <x:row r="4376">
      <x:c r="A4376" t="n">
        <x:v>346</x:v>
      </x:c>
      <x:c r="B4376" s="58" t="str">
        <x:v>SEARCH | point 14 | DAC 20.00 | CTRL X 0.49039 | X 0.49201 | Y 0.47761 | Z 0.28982 | TOTAL 0.74464 | error -57.36 % | MAD 4.22 % | CV 3.34 % | coh 76.0 % | dominant X | axis fraction 100.0 % | VALID</x:v>
      </x:c>
      <x:c r="C4376" t="str">
        <x:v>Pasted text(59).txt</x:v>
      </x:c>
    </x:row>
    <x:row r="4377">
      <x:c r="A4377" t="n">
        <x:v>347</x:v>
      </x:c>
      <x:c r="B4377" s="58" t="str">
        <x:v>SEARCH | point 15 | DAC 21.00 | CTRL X 0.51884 | X 0.51715 | Y 0.51089 | Z 0.26875 | TOTAL 0.77526 | error -54.88 % | MAD 4.15 % | CV 3.31 % | coh 81.2 % | dominant X | axis fraction 100.0 % | VALID</x:v>
      </x:c>
      <x:c r="C4377" t="str">
        <x:v>Pasted text(59).txt</x:v>
      </x:c>
    </x:row>
    <x:row r="4378">
      <x:c r="A4378" t="n">
        <x:v>348</x:v>
      </x:c>
      <x:c r="B4378" s="58" t="str">
        <x:v>SEARCH | point 16 | DAC 22.00 | CTRL X 0.54704 | X 0.54503 | Y 0.53002 | Z 0.27017 | TOTAL 0.80712 | error -52.43 % | MAD 2.69 % | CV 2.39 % | coh 82.9 % | dominant X | axis fraction 100.0 % | VALID</x:v>
      </x:c>
      <x:c r="C4378" t="str">
        <x:v>Pasted text(59).txt</x:v>
      </x:c>
    </x:row>
    <x:row r="4379">
      <x:c r="A4379" t="n">
        <x:v>349</x:v>
      </x:c>
      <x:c r="B4379" s="58" t="str">
        <x:v>SEARCH | point 17 | DAC 23.00 | CTRL X 0.58626 | X 0.58741 | Y 0.56239 | Z 0.24911 | TOTAL 0.85107 | error -49.02 % | MAD 0.52 % | CV 0.67 % | coh 86.2 % | dominant X | axis fraction 100.0 % | VALID</x:v>
      </x:c>
      <x:c r="C4379" t="str">
        <x:v>Pasted text(59).txt</x:v>
      </x:c>
    </x:row>
    <x:row r="4380">
      <x:c r="A4380" t="n">
        <x:v>350</x:v>
      </x:c>
      <x:c r="B4380" s="58" t="str">
        <x:v>SEARCH | point 18 | DAC 24.00 | CTRL X 0.60022 | X 0.59572 | Y 0.57978 | Z 0.24763 | TOTAL 0.86762 | error -47.81 % | MAD 0.35 % | CV 1.52 % | coh 85.4 % | dominant X | axis fraction 100.0 % | VALID</x:v>
      </x:c>
      <x:c r="C4380" t="str">
        <x:v>Pasted text(59).txt</x:v>
      </x:c>
    </x:row>
    <x:row r="4381">
      <x:c r="A4381" t="n">
        <x:v>351</x:v>
      </x:c>
      <x:c r="B4381" s="58" t="str">
        <x:v>SEARCH | point 19 | DAC 25.00 | CTRL X 0.65014 | X 0.64469 | Y 0.62886 | Z 0.24882 | TOTAL 0.93517 | error -43.47 % | MAD 0.55 % | CV 1.80 % | coh 87.6 % | dominant X | axis fraction 100.0 % | VALID</x:v>
      </x:c>
      <x:c r="C4381" t="str">
        <x:v>Pasted text(59).txt</x:v>
      </x:c>
    </x:row>
    <x:row r="4382">
      <x:c r="A4382" t="n">
        <x:v>352</x:v>
      </x:c>
      <x:c r="B4382" s="58" t="str">
        <x:v>SEARCH | point 20 | DAC 26.00 | CTRL X 0.64546 | X 0.64560 | Y 0.63078 | Z 0.26103 | TOTAL 0.93969 | error -43.87 % | MAD 1.30 % | CV 0.91 % | coh 86.7 % | dominant X | axis fraction 100.0 % | VALID</x:v>
      </x:c>
      <x:c r="C4382" t="str">
        <x:v>Pasted text(59).txt</x:v>
      </x:c>
    </x:row>
    <x:row r="4383">
      <x:c r="A4383" t="n">
        <x:v>353</x:v>
      </x:c>
      <x:c r="B4383" s="58" t="str">
        <x:v>SEARCH | point 21 | DAC 27.00 | CTRL X 0.65546 | X 0.66429 | Y 0.65011 | Z 0.19290 | TOTAL 0.94941 | error -43.00 % | MAD 1.48 % | CV 3.19 % | coh 86.9 % | dominant X | axis fraction 100.0 % | VALID</x:v>
      </x:c>
      <x:c r="C4383" t="str">
        <x:v>Pasted text(59).txt</x:v>
      </x:c>
    </x:row>
    <x:row r="4384">
      <x:c r="A4384" t="n">
        <x:v>354</x:v>
      </x:c>
      <x:c r="B4384" s="58" t="str">
        <x:v>SEARCH | point 22 | DAC 28.00 | CTRL X 0.69426 | X 0.69935 | Y 0.64995 | Z 0.14958 | TOTAL 0.96946 | error -39.63 % | MAD 3.30 % | CV 3.36 % | coh 86.7 % | dominant X | axis fraction 100.0 % | VALID</x:v>
      </x:c>
      <x:c r="C4384" t="str">
        <x:v>Pasted text(59).txt</x:v>
      </x:c>
    </x:row>
    <x:row r="4385">
      <x:c r="A4385" t="n">
        <x:v>355</x:v>
      </x:c>
      <x:c r="B4385" s="58" t="str">
        <x:v>SEARCH | point 23 | DAC 28.50 | CTRL X 0.68153 | X 0.68366 | Y 0.68797 | Z 0.23582 | TOTAL 0.99876 | error -40.74 % | MAD 0.49 % | CV 0.84 % | coh 84.6 % | dominant Y | axis fraction 99.4 % | VALID</x:v>
      </x:c>
      <x:c r="C4385" t="str">
        <x:v>Pasted text(59).txt</x:v>
      </x:c>
    </x:row>
    <x:row r="4386">
      <x:c r="A4386" t="n">
        <x:v>356</x:v>
      </x:c>
      <x:c r="B4386" s="58" t="str">
        <x:v>SEARCH | point 24 | DAC 29.50 | CTRL X 0.72171 | X 0.70772 | Y 0.72300 | Z 0.20874 | TOTAL 1.03389 | error -37.24 % | MAD 0.32 % | CV 3.62 % | coh 87.8 % | dominant Y | axis fraction 97.9 % | VALID</x:v>
      </x:c>
      <x:c r="C4386" t="str">
        <x:v>Pasted text(59).txt</x:v>
      </x:c>
    </x:row>
    <x:row r="4387">
      <x:c r="A4387" t="n">
        <x:v>357</x:v>
      </x:c>
      <x:c r="B4387" s="58" t="str">
        <x:v>SEARCH | point 25 | DAC 30.00 | CTRL X 0.73580 | X 0.75287 | Y 0.73315 | Z 0.19481 | TOTAL 1.06920 | error -36.02 % | MAD 1.87 % | CV 5.03 % | coh 87.0 % | dominant X | axis fraction 100.0 % | VALID</x:v>
      </x:c>
      <x:c r="C4387" t="str">
        <x:v>Pasted text(59).txt</x:v>
      </x:c>
    </x:row>
    <x:row r="4388">
      <x:c r="A4388" t="n">
        <x:v>358</x:v>
      </x:c>
      <x:c r="B4388" s="58" t="str"/>
      <x:c r="C4388" t="str">
        <x:v>Pasted text(59).txt</x:v>
      </x:c>
    </x:row>
    <x:row r="4389">
      <x:c r="A4389" t="n">
        <x:v>359</x:v>
      </x:c>
      <x:c r="B4389" s="58" t="str">
        <x:v>ACQUISITION ATTEMPT 2 OF 2</x:v>
      </x:c>
      <x:c r="C4389" t="str">
        <x:v>Pasted text(59).txt</x:v>
      </x:c>
    </x:row>
    <x:row r="4390">
      <x:c r="A4390" t="n">
        <x:v>360</x:v>
      </x:c>
      <x:c r="B4390" s="58" t="str"/>
      <x:c r="C4390" t="str">
        <x:v>Pasted text(59).txt</x:v>
      </x:c>
    </x:row>
    <x:row r="4391">
      <x:c r="A4391" t="n">
        <x:v>361</x:v>
      </x:c>
      <x:c r="B4391" s="58" t="str">
        <x:v>FRESH X-AXIS SEARCH FROM DAC 1.00 — OLD DAC VALUES ARE NOT USED</x:v>
      </x:c>
      <x:c r="C4391" t="str">
        <x:v>Pasted text(59).txt</x:v>
      </x:c>
    </x:row>
    <x:row r="4392">
      <x:c r="A4392" t="n">
        <x:v>362</x:v>
      </x:c>
      <x:c r="B4392" s="58" t="str">
        <x:v>Y/Z are diagnostic only and cannot abort this search.</x:v>
      </x:c>
      <x:c r="C4392" t="str">
        <x:v>Pasted text(59).txt</x:v>
      </x:c>
    </x:row>
    <x:row r="4393">
      <x:c r="A4393" t="n">
        <x:v>363</x:v>
      </x:c>
      <x:c r="B4393" s="58" t="str">
        <x:v>A real SPI fault, clipping, safety limit or confirmed X-response collapse will stop it.</x:v>
      </x:c>
      <x:c r="C4393" t="str">
        <x:v>Pasted text(59).txt</x:v>
      </x:c>
    </x:row>
    <x:row r="4394">
      <x:c r="A4394" t="n">
        <x:v>364</x:v>
      </x:c>
      <x:c r="B4394" s="58" t="str">
        <x:v>SEARCH | point 1 | DAC 1.00 | CTRL X 0.01676 | X 0.01708 | Y 0.02113 | Z 0.03053 | TOTAL 0.04236 | error -98.54 % | MAD 39.88 % | CV 29.31 % | coh 6.8 % | dominant Z | axis fraction 56.0 % | BELOW MEASUREMENT FLOOR — SEARCH CONTINUES</x:v>
      </x:c>
      <x:c r="C4394" t="str">
        <x:v>Pasted text(59).txt</x:v>
      </x:c>
    </x:row>
    <x:row r="4395">
      <x:c r="A4395" t="n">
        <x:v>365</x:v>
      </x:c>
      <x:c r="B4395" s="58" t="str">
        <x:v>SEARCH | point 2 | DAC 3.00 | CTRL X 0.06158 | X 0.05995 | Y 0.04797 | Z 0.06980 | TOTAL 0.10500 | error -94.65 % | MAD 7.45 % | CV 9.54 % | coh 16.7 % | dominant Z | axis fraction 85.9 % | BELOW MEASUREMENT FLOOR — SEARCH CONTINUES</x:v>
      </x:c>
      <x:c r="C4395" t="str">
        <x:v>Pasted text(59).txt</x:v>
      </x:c>
    </x:row>
    <x:row r="4396">
      <x:c r="A4396" t="n">
        <x:v>366</x:v>
      </x:c>
      <x:c r="B4396" s="58" t="str">
        <x:v>SEARCH | point 3 | DAC 5.00 | CTRL X 0.11727 | X 0.11127 | Y 0.09956 | Z 0.12935 | TOTAL 0.19815 | error -89.80 % | MAD 2.16 % | CV 10.68 % | coh 29.2 % | dominant Z | axis fraction 86.0 % | UNSTABLE — SEARCH CONTINUES</x:v>
      </x:c>
      <x:c r="C4396" t="str">
        <x:v>Pasted text(59).txt</x:v>
      </x:c>
    </x:row>
    <x:row r="4397">
      <x:c r="A4397" t="n">
        <x:v>367</x:v>
      </x:c>
      <x:c r="B4397" s="58" t="str">
        <x:v>SEARCH | point 4 | DAC 7.00 | CTRL X 0.18575 | X 0.18568 | Y 0.16591 | Z 0.18187 | TOTAL 0.30875 | error -83.85 % | MAD 6.02 % | CV 4.12 % | coh 44.7 % | dominant X | axis fraction 100.0 % | UNSTABLE — SEARCH CONTINUES</x:v>
      </x:c>
      <x:c r="C4397" t="str">
        <x:v>Pasted text(59).txt</x:v>
      </x:c>
    </x:row>
    <x:row r="4398">
      <x:c r="A4398" t="n">
        <x:v>368</x:v>
      </x:c>
      <x:c r="B4398" s="58" t="str">
        <x:v>SEARCH | point 5 | DAC 9.00 | CTRL X 0.24033 | X 0.23558 | Y 0.22946 | Z 0.21222 | TOTAL 0.39170 | error -79.10 % | MAD 6.89 % | CV 7.96 % | coh 47.7 % | dominant X | axis fraction 100.0 % | UNSTABLE — SEARCH CONTINUES</x:v>
      </x:c>
      <x:c r="C4398" t="str">
        <x:v>Pasted text(59).txt</x:v>
      </x:c>
    </x:row>
    <x:row r="4399">
      <x:c r="A4399" t="n">
        <x:v>369</x:v>
      </x:c>
      <x:c r="B4399" s="58" t="str">
        <x:v>SEARCH | point 6 | DAC 11.00 | CTRL X 0.30904 | X 0.30628 | Y 0.28562 | Z 0.25490 | TOTAL 0.49052 | error -73.13 % | MAD 1.19 % | CV 2.30 % | coh 59.2 % | dominant X | axis fraction 100.0 % | VALID</x:v>
      </x:c>
      <x:c r="C4399" t="str">
        <x:v>Pasted text(59).txt</x:v>
      </x:c>
    </x:row>
    <x:row r="4400">
      <x:c r="A4400" t="n">
        <x:v>370</x:v>
      </x:c>
      <x:c r="B4400" s="58" t="str">
        <x:v>SEARCH | point 7 | DAC 12.00 | CTRL X 0.31176 | X 0.31996 | Y 0.27363 | Z 0.32643 | TOTAL 0.53486 | error -72.89 % | MAD 6.68 % | CV 8.52 % | coh 57.4 % | dominant Z | axis fraction 98.0 % | VALID</x:v>
      </x:c>
      <x:c r="C4400" t="str">
        <x:v>Pasted text(59).txt</x:v>
      </x:c>
    </x:row>
    <x:row r="4401">
      <x:c r="A4401" t="n">
        <x:v>371</x:v>
      </x:c>
      <x:c r="B4401" s="58" t="str">
        <x:v>SEARCH | point 8 | DAC 13.00 | CTRL X 0.32792 | X 0.32756 | Y 0.31126 | Z 0.25791 | TOTAL 0.52187 | error -71.49 % | MAD 0.83 % | CV 0.73 % | coh 59.1 % | dominant X | axis fraction 100.0 % | VALID</x:v>
      </x:c>
      <x:c r="C4401" t="str">
        <x:v>Pasted text(59).txt</x:v>
      </x:c>
    </x:row>
    <x:row r="4402">
      <x:c r="A4402" t="n">
        <x:v>372</x:v>
      </x:c>
      <x:c r="B4402" s="58" t="str">
        <x:v>SEARCH | point 9 | DAC 14.00 | CTRL X 0.19976 | X 0.21329 | Y 0.32424 | Z 0.37230 | TOTAL 0.53958 | error -82.63 % | MAD 1.83 % | CV 12.00 % | coh 54.6 % | dominant Z | axis fraction 57.3 % | VALID</x:v>
      </x:c>
      <x:c r="C4402" t="str">
        <x:v>Pasted text(59).txt</x:v>
      </x:c>
    </x:row>
    <x:row r="4403">
      <x:c r="A4403" t="n">
        <x:v>373</x:v>
      </x:c>
      <x:c r="B4403" s="58" t="str">
        <x:v>SEARCH | point 10 | DAC 16.00 | CTRL X 0.31380 | X 0.31390 | Y 0.40220 | Z 0.53197 | TOTAL 0.73723 | error -72.71 % | MAD 1.86 % | CV 1.30 % | coh 73.4 % | dominant Z | axis fraction 59.0 % | VALID</x:v>
      </x:c>
      <x:c r="C4403" t="str">
        <x:v>Pasted text(59).txt</x:v>
      </x:c>
    </x:row>
    <x:row r="4404">
      <x:c r="A4404" t="n">
        <x:v>374</x:v>
      </x:c>
      <x:c r="B4404" s="58" t="str">
        <x:v>SEARCH | point 11 | DAC 17.00 | CTRL X 0.33268 | X 0.33853 | Y 0.42431 | Z 0.57307 | TOTAL 0.78962 | error -71.07 % | MAD 0.38 % | CV 3.21 % | coh 75.1 % | dominant Z | axis fraction 59.1 % | VALID</x:v>
      </x:c>
      <x:c r="C4404" t="str">
        <x:v>Pasted text(59).txt</x:v>
      </x:c>
    </x:row>
    <x:row r="4405">
      <x:c r="A4405" t="n">
        <x:v>375</x:v>
      </x:c>
      <x:c r="B4405" s="58" t="str">
        <x:v>SEARCH | point 12 | DAC 18.00 | CTRL X 0.33216 | X 0.34545 | Y 0.43057 | Z 0.60671 | TOTAL 0.82059 | error -71.12 % | MAD 0.10 % | CV 6.72 % | coh 74.6 % | dominant Z | axis fraction 56.9 % | VALID</x:v>
      </x:c>
      <x:c r="C4405" t="str">
        <x:v>Pasted text(59).txt</x:v>
      </x:c>
    </x:row>
    <x:row r="4406">
      <x:c r="A4406" t="n">
        <x:v>376</x:v>
      </x:c>
      <x:c r="B4406" s="58" t="str">
        <x:v>SEARCH | point 13 | DAC 19.00 | CTRL X 0.37828 | X 0.37544 | Y 0.47279 | Z 0.66344 | TOTAL 0.89743 | error -67.11 % | MAD 2.86 % | CV 3.14 % | coh 80.7 % | dominant Z | axis fraction 56.6 % | VALID</x:v>
      </x:c>
      <x:c r="C4406" t="str">
        <x:v>Pasted text(59).txt</x:v>
      </x:c>
    </x:row>
    <x:row r="4407">
      <x:c r="A4407" t="n">
        <x:v>377</x:v>
      </x:c>
      <x:c r="B4407" s="58" t="str">
        <x:v>SEARCH | point 14 | DAC 20.00 | CTRL X 0.38089 | X 0.38408 | Y 0.47597 | Z 0.68094 | TOTAL 0.91542 | error -66.88 % | MAD 4.34 % | CV 4.20 % | coh 79.0 % | dominant Z | axis fraction 56.4 % | VALID</x:v>
      </x:c>
      <x:c r="C4407" t="str">
        <x:v>Pasted text(59).txt</x:v>
      </x:c>
    </x:row>
    <x:row r="4408">
      <x:c r="A4408" t="n">
        <x:v>378</x:v>
      </x:c>
      <x:c r="B4408" s="58" t="str">
        <x:v>SEARCH | point 15 | DAC 21.00 | CTRL X 0.41315 | X 0.40708 | Y 0.51749 | Z 0.73680 | TOTAL 0.98821 | error -64.07 % | MAD 0.64 % | CV 2.97 % | coh 86.2 % | dominant Z | axis fraction 55.2 % | VALID</x:v>
      </x:c>
      <x:c r="C4408" t="str">
        <x:v>Pasted text(59).txt</x:v>
      </x:c>
    </x:row>
    <x:row r="4409">
      <x:c r="A4409" t="n">
        <x:v>379</x:v>
      </x:c>
      <x:c r="B4409" s="58" t="str">
        <x:v>SEARCH | point 16 | DAC 22.00 | CTRL X 0.35085 | X 0.34771 | Y 0.49771 | Z 0.62954 | TOTAL 0.87527 | error -69.49 % | MAD 10.75 % | CV 8.71 % | coh 72.1 % | dominant Z | axis fraction 55.2 % | VALID</x:v>
      </x:c>
      <x:c r="C4409" t="str">
        <x:v>Pasted text(59).txt</x:v>
      </x:c>
    </x:row>
    <x:row r="4410">
      <x:c r="A4410" t="n">
        <x:v>380</x:v>
      </x:c>
      <x:c r="B4410" s="58" t="str">
        <x:v>SEARCH | point 17 | DAC 23.00 | CTRL X 0.40775 | X 0.39899 | Y 0.55464 | Z 0.68285 | TOTAL 0.96672 | error -64.54 % | MAD 6.61 % | CV 8.08 % | coh 74.7 % | dominant Z | axis fraction 58.4 % | VALID</x:v>
      </x:c>
      <x:c r="C4410" t="str">
        <x:v>Pasted text(59).txt</x:v>
      </x:c>
    </x:row>
    <x:row r="4411">
      <x:c r="A4411" t="n">
        <x:v>381</x:v>
      </x:c>
      <x:c r="B4411" s="58" t="str">
        <x:v>SEARCH | point 18 | DAC 24.00 | CTRL X 0.43174 | X 0.41752 | Y 0.56275 | Z 0.77191 | TOTAL 1.04275 | error -62.46 % | MAD 4.89 % | CV 9.01 % | coh 71.2 % | dominant Z | axis fraction 54.1 % | VALID</x:v>
      </x:c>
      <x:c r="C4411" t="str">
        <x:v>Pasted text(59).txt</x:v>
      </x:c>
    </x:row>
    <x:row r="4412">
      <x:c r="A4412" t="n">
        <x:v>382</x:v>
      </x:c>
      <x:c r="B4412" s="58" t="str">
        <x:v>SEARCH | point 19 | DAC 25.00 | CTRL X 0.43679 | X 0.43861 | Y 0.63350 | Z 0.81510 | TOTAL 1.12169 | error -62.02 % | MAD 4.37 % | CV 3.58 % | coh 71.6 % | dominant Z | axis fraction 53.8 % | VALID</x:v>
      </x:c>
      <x:c r="C4412" t="str">
        <x:v>Pasted text(59).txt</x:v>
      </x:c>
    </x:row>
    <x:row r="4413">
      <x:c r="A4413" t="n">
        <x:v>383</x:v>
      </x:c>
      <x:c r="B4413" s="58" t="str">
        <x:v>SEARCH | point 20 | DAC 26.00 | CTRL X 0.47126 | X 0.47194 | Y 0.63815 | Z 0.82760 | TOTAL 1.14674 | error -59.02 % | MAD 1.59 % | CV 1.29 % | coh 70.0 % | dominant Z | axis fraction 57.0 % | VALID</x:v>
      </x:c>
      <x:c r="C4413" t="str">
        <x:v>Pasted text(59).txt</x:v>
      </x:c>
    </x:row>
    <x:row r="4414">
      <x:c r="A4414" t="n">
        <x:v>384</x:v>
      </x:c>
      <x:c r="B4414" s="58" t="str">
        <x:v>SEARCH | point 21 | DAC 27.00 | CTRL X 0.49580 | X 0.49506 | Y 0.65712 | Z 0.84839 | TOTAL 1.18183 | error -56.89 % | MAD 1.20 % | CV 1.04 % | coh 70.3 % | dominant Z | axis fraction 58.4 % | VALID</x:v>
      </x:c>
      <x:c r="C4414" t="str">
        <x:v>Pasted text(59).txt</x:v>
      </x:c>
    </x:row>
    <x:row r="4415">
      <x:c r="A4415" t="n">
        <x:v>385</x:v>
      </x:c>
      <x:c r="B4415" s="58" t="str">
        <x:v>SEARCH | point 22 | DAC 28.00 | CTRL X 0.53765 | X 0.53661 | Y 0.67072 | Z 0.87293 | TOTAL 1.22479 | error -53.25 % | MAD 2.28 % | CV 1.84 % | coh 68.8 % | dominant Z | axis fraction 61.5 % | VALID</x:v>
      </x:c>
      <x:c r="C4415" t="str">
        <x:v>Pasted text(59).txt</x:v>
      </x:c>
    </x:row>
    <x:row r="4416">
      <x:c r="A4416" t="n">
        <x:v>386</x:v>
      </x:c>
      <x:c r="B4416" s="58" t="str">
        <x:v>SEARCH | point 23 | DAC 29.00 | CTRL X 0.53106 | X 0.53041 | Y 0.72796 | Z 0.88574 | TOTAL 1.26327 | error -53.82 % | MAD 2.11 % | CV 1.61 % | coh 65.3 % | dominant Z | axis fraction 59.9 % | VALID</x:v>
      </x:c>
      <x:c r="C4416" t="str">
        <x:v>Pasted text(59).txt</x:v>
      </x:c>
    </x:row>
    <x:row r="4417">
      <x:c r="A4417" t="n">
        <x:v>387</x:v>
      </x:c>
      <x:c r="B4417" s="58" t="str">
        <x:v>SEARCH | point 24 | DAC 30.00 | CTRL X 0.58960 | X 0.59793 | Y 0.75741 | Z 0.89007 | TOTAL 1.31321 | error -48.73 % | MAD 0.76 % | CV 2.87 % | coh 65.5 % | dominant Z | axis fraction 67.2 % | VALID</x:v>
      </x:c>
      <x:c r="C4417" t="str">
        <x:v>Pasted text(59).txt</x:v>
      </x:c>
    </x:row>
    <x:row r="4418">
      <x:c r="A4418" t="n">
        <x:v>388</x:v>
      </x:c>
      <x:c r="B4418" s="58" t="str"/>
      <x:c r="C4418" t="str">
        <x:v>Pasted text(59).txt</x:v>
      </x:c>
    </x:row>
    <x:row r="4419">
      <x:c r="A4419" t="n">
        <x:v>389</x:v>
      </x:c>
      <x:c r="B4419" s="58" t="str">
        <x:v>RUN RESULT: FAIL — X target not reached by DAC 30; increase amplifier knob slightly</x:v>
      </x:c>
      <x:c r="C4419" t="str">
        <x:v>Pasted text(59).txt</x:v>
      </x:c>
    </x:row>
    <x:row r="4420">
      <x:c r="A4420" t="n">
        <x:v>390</x:v>
      </x:c>
      <x:c r="B4420" s="58" t="str"/>
      <x:c r="C4420" t="str">
        <x:v>Pasted text(59).txt</x:v>
      </x:c>
    </x:row>
    <x:row r="4421">
      <x:c r="A4421" t="n">
        <x:v>391</x:v>
      </x:c>
      <x:c r="B4421" s="58" t="str">
        <x:v>VISATON OFF. RESTING 5.0 s BEFORE THE NEXT COMPLETELY FRESH RUN.</x:v>
      </x:c>
      <x:c r="C4421" t="str">
        <x:v>Pasted text(59).txt</x:v>
      </x:c>
    </x:row>
    <x:row r="4422">
      <x:c r="A4422" t="n">
        <x:v>392</x:v>
      </x:c>
      <x:c r="B4422" s="58" t="str"/>
      <x:c r="C4422" t="str">
        <x:v>Pasted text(59).txt</x:v>
      </x:c>
    </x:row>
    <x:row r="4423">
      <x:c r="A4423" t="n">
        <x:v>393</x:v>
      </x:c>
      <x:c r="B4423" s="58" t="str">
        <x:v>################################################################################</x:v>
      </x:c>
      <x:c r="C4423" t="str">
        <x:v>Pasted text(59).txt</x:v>
      </x:c>
    </x:row>
    <x:row r="4424">
      <x:c r="A4424" t="n">
        <x:v>394</x:v>
      </x:c>
      <x:c r="B4424" s="58" t="str">
        <x:v>INDEPENDENT TARGET-AMPLITUDE RUN 3 OF 5</x:v>
      </x:c>
      <x:c r="C4424" t="str">
        <x:v>Pasted text(59).txt</x:v>
      </x:c>
    </x:row>
    <x:row r="4425">
      <x:c r="A4425" t="n">
        <x:v>395</x:v>
      </x:c>
      <x:c r="B4425" s="58" t="str">
        <x:v>################################################################################</x:v>
      </x:c>
      <x:c r="C4425" t="str">
        <x:v>Pasted text(59).txt</x:v>
      </x:c>
    </x:row>
    <x:row r="4426">
      <x:c r="A4426" t="n">
        <x:v>396</x:v>
      </x:c>
      <x:c r="B4426" s="58" t="str">
        <x:v>Frequency: 268.00000 Hz</x:v>
      </x:c>
      <x:c r="C4426" t="str">
        <x:v>Pasted text(59).txt</x:v>
      </x:c>
    </x:row>
    <x:row r="4427">
      <x:c r="A4427" t="n">
        <x:v>397</x:v>
      </x:c>
      <x:c r="B4427" s="58" t="str">
        <x:v>Target X amplitude: 1.15000 m/s^2 peak, tolerance +/-7.50 %</x:v>
      </x:c>
      <x:c r="C4427" t="str">
        <x:v>Pasted text(59).txt</x:v>
      </x:c>
    </x:row>
    <x:row r="4428">
      <x:c r="A4428" t="n">
        <x:v>398</x:v>
      </x:c>
      <x:c r="B4428" s="58" t="str">
        <x:v>This run starts from DAC 1.00 and ignores every earlier selected DAC.</x:v>
      </x:c>
      <x:c r="C4428" t="str">
        <x:v>Pasted text(59).txt</x:v>
      </x:c>
    </x:row>
    <x:row r="4429">
      <x:c r="A4429" t="n">
        <x:v>399</x:v>
      </x:c>
      <x:c r="B4429" s="58" t="str">
        <x:v>ADXL2 DEVID/DATA_FORMAT/BW_RATE/POWER_CTL: 0xE5 / 0xB / 0xE / 0x8</x:v>
      </x:c>
      <x:c r="C4429" t="str">
        <x:v>Pasted text(59).txt</x:v>
      </x:c>
    </x:row>
    <x:row r="4430">
      <x:c r="A4430" t="n">
        <x:v>400</x:v>
      </x:c>
      <x:c r="B4430" s="58" t="str"/>
      <x:c r="C4430" t="str">
        <x:v>Pasted text(59).txt</x:v>
      </x:c>
    </x:row>
    <x:row r="4431">
      <x:c r="A4431" t="n">
        <x:v>401</x:v>
      </x:c>
      <x:c r="B4431" s="58" t="str">
        <x:v>ACQUISITION ATTEMPT 1 OF 2</x:v>
      </x:c>
      <x:c r="C4431" t="str">
        <x:v>Pasted text(59).txt</x:v>
      </x:c>
    </x:row>
    <x:row r="4432">
      <x:c r="A4432" t="n">
        <x:v>402</x:v>
      </x:c>
      <x:c r="B4432" s="58" t="str"/>
      <x:c r="C4432" t="str">
        <x:v>Pasted text(59).txt</x:v>
      </x:c>
    </x:row>
    <x:row r="4433">
      <x:c r="A4433" t="n">
        <x:v>403</x:v>
      </x:c>
      <x:c r="B4433" s="58" t="str">
        <x:v>FRESH X-AXIS SEARCH FROM DAC 1.00 — OLD DAC VALUES ARE NOT USED</x:v>
      </x:c>
      <x:c r="C4433" t="str">
        <x:v>Pasted text(59).txt</x:v>
      </x:c>
    </x:row>
    <x:row r="4434">
      <x:c r="A4434" t="n">
        <x:v>404</x:v>
      </x:c>
      <x:c r="B4434" s="58" t="str">
        <x:v>Y/Z are diagnostic only and cannot abort this search.</x:v>
      </x:c>
      <x:c r="C4434" t="str">
        <x:v>Pasted text(59).txt</x:v>
      </x:c>
    </x:row>
    <x:row r="4435">
      <x:c r="A4435" t="n">
        <x:v>405</x:v>
      </x:c>
      <x:c r="B4435" s="58" t="str">
        <x:v>A real SPI fault, clipping, safety limit or confirmed X-response collapse will stop it.</x:v>
      </x:c>
      <x:c r="C4435" t="str">
        <x:v>Pasted text(59).txt</x:v>
      </x:c>
    </x:row>
    <x:row r="4436">
      <x:c r="A4436" t="n">
        <x:v>406</x:v>
      </x:c>
      <x:c r="B4436" s="58" t="str">
        <x:v>SEARCH | point 1 | DAC 1.00 | CTRL X 0.01171 | X 0.01053 | Y 0.01970 | Z 0.05506 | TOTAL 0.06139 | error -98.98 % | MAD 30.02 % | CV 15.93 % | coh 4.2 % | dominant Z | axis fraction 19.1 % | BELOW MEASUREMENT FLOOR — SEARCH CONTINUES</x:v>
      </x:c>
      <x:c r="C4436" t="str">
        <x:v>Pasted text(59).txt</x:v>
      </x:c>
    </x:row>
    <x:row r="4437">
      <x:c r="A4437" t="n">
        <x:v>407</x:v>
      </x:c>
      <x:c r="B4437" s="58" t="str">
        <x:v>SEARCH | point 2 | DAC 3.00 | CTRL X 0.04447 | X 0.04068 | Y 0.05701 | Z 0.10053 | TOTAL 0.12326 | error -96.13 % | MAD 25.25 % | CV 13.16 % | coh 13.1 % | dominant Z | axis fraction 40.5 % | BELOW MEASUREMENT FLOOR — SEARCH CONTINUES</x:v>
      </x:c>
      <x:c r="C4437" t="str">
        <x:v>Pasted text(59).txt</x:v>
      </x:c>
    </x:row>
    <x:row r="4438">
      <x:c r="A4438" t="n">
        <x:v>408</x:v>
      </x:c>
      <x:c r="B4438" s="58" t="str">
        <x:v>SEARCH | point 3 | DAC 5.00 | CTRL X 0.12583 | X 0.11616 | Y 0.13152 | Z 0.19499 | TOTAL 0.26384 | error -89.06 % | MAD 22.77 % | CV 11.77 % | coh 33.1 % | dominant Z | axis fraction 59.6 % | UNSTABLE — SEARCH CONTINUES</x:v>
      </x:c>
      <x:c r="C4438" t="str">
        <x:v>Pasted text(59).txt</x:v>
      </x:c>
    </x:row>
    <x:row r="4439">
      <x:c r="A4439" t="n">
        <x:v>409</x:v>
      </x:c>
      <x:c r="B4439" s="58" t="str">
        <x:v>SEARCH | point 4 | DAC 7.00 | CTRL X 0.19013 | X 0.19126 | Y 0.17212 | Z 0.29628 | TOTAL 0.39316 | error -83.47 % | MAD 0.37 % | CV 1.24 % | coh 51.4 % | dominant Z | axis fraction 64.6 % | UNSTABLE — SEARCH CONTINUES</x:v>
      </x:c>
      <x:c r="C4439" t="str">
        <x:v>Pasted text(59).txt</x:v>
      </x:c>
    </x:row>
    <x:row r="4440">
      <x:c r="A4440" t="n">
        <x:v>410</x:v>
      </x:c>
      <x:c r="B4440" s="58" t="str">
        <x:v>SEARCH | point 5 | DAC 9.00 | CTRL X 0.23080 | X 0.23441 | Y 0.24079 | Z 0.41517 | TOTAL 0.53458 | error -79.93 % | MAD 1.54 % | CV 3.59 % | coh 56.6 % | dominant Z | axis fraction 56.5 % | VALID</x:v>
      </x:c>
      <x:c r="C4440" t="str">
        <x:v>Pasted text(59).txt</x:v>
      </x:c>
    </x:row>
    <x:row r="4441">
      <x:c r="A4441" t="n">
        <x:v>411</x:v>
      </x:c>
      <x:c r="B4441" s="58" t="str">
        <x:v>SEARCH | point 6 | DAC 11.00 | CTRL X 0.27355 | X 0.27724 | Y 0.29803 | Z 0.48757 | TOTAL 0.63523 | error -76.21 % | MAD 3.87 % | CV 4.72 % | coh 61.2 % | dominant Z | axis fraction 56.9 % | VALID</x:v>
      </x:c>
      <x:c r="C4441" t="str">
        <x:v>Pasted text(59).txt</x:v>
      </x:c>
    </x:row>
    <x:row r="4442">
      <x:c r="A4442" t="n">
        <x:v>412</x:v>
      </x:c>
      <x:c r="B4442" s="58" t="str">
        <x:v>SEARCH | point 7 | DAC 13.00 | CTRL X 0.32660 | X 0.32389 | Y 0.35384 | Z 0.53575 | TOTAL 0.71942 | error -71.60 % | MAD 5.42 % | CV 4.99 % | coh 67.3 % | dominant Z | axis fraction 60.5 % | VALID</x:v>
      </x:c>
      <x:c r="C4442" t="str">
        <x:v>Pasted text(59).txt</x:v>
      </x:c>
    </x:row>
    <x:row r="4443">
      <x:c r="A4443" t="n">
        <x:v>413</x:v>
      </x:c>
      <x:c r="B4443" s="58" t="str">
        <x:v>SEARCH | point 8 | DAC 14.00 | CTRL X 0.35356 | X 0.35391 | Y 0.35681 | Z 0.57700 | TOTAL 0.76535 | error -69.26 % | MAD 4.76 % | CV 3.36 % | coh 70.4 % | dominant Z | axis fraction 61.3 % | VALID</x:v>
      </x:c>
      <x:c r="C4443" t="str">
        <x:v>Pasted text(59).txt</x:v>
      </x:c>
    </x:row>
    <x:row r="4444">
      <x:c r="A4444" t="n">
        <x:v>414</x:v>
      </x:c>
      <x:c r="B4444" s="58" t="str">
        <x:v>SEARCH | point 9 | DAC 15.00 | CTRL X 0.35978 | X 0.35663 | Y 0.41570 | Z 0.65156 | TOTAL 0.85129 | error -68.71 % | MAD 1.52 % | CV 2.48 % | coh 72.7 % | dominant Z | axis fraction 54.7 % | VALID</x:v>
      </x:c>
      <x:c r="C4444" t="str">
        <x:v>Pasted text(59).txt</x:v>
      </x:c>
    </x:row>
    <x:row r="4445">
      <x:c r="A4445" t="n">
        <x:v>415</x:v>
      </x:c>
      <x:c r="B4445" s="58" t="str">
        <x:v>SEARCH | point 10 | DAC 16.00 | CTRL X 0.37228 | X 0.37417 | Y 0.41180 | Z 0.67218 | TOTAL 0.87275 | error -67.63 % | MAD 2.57 % | CV 2.52 % | coh 74.8 % | dominant Z | axis fraction 55.7 % | VALID</x:v>
      </x:c>
      <x:c r="C4445" t="str">
        <x:v>Pasted text(59).txt</x:v>
      </x:c>
    </x:row>
    <x:row r="4446">
      <x:c r="A4446" t="n">
        <x:v>416</x:v>
      </x:c>
      <x:c r="B4446" s="58" t="str">
        <x:v>SEARCH | point 11 | DAC 17.00 | CTRL X 0.37974 | X 0.37964 | Y 0.43376 | Z 0.71859 | TOTAL 0.92153 | error -66.98 % | MAD 5.98 % | CV 4.07 % | coh 74.5 % | dominant Z | axis fraction 52.8 % | VALID</x:v>
      </x:c>
      <x:c r="C4446" t="str">
        <x:v>Pasted text(59).txt</x:v>
      </x:c>
    </x:row>
    <x:row r="4447">
      <x:c r="A4447" t="n">
        <x:v>417</x:v>
      </x:c>
      <x:c r="B4447" s="58" t="str">
        <x:v>SEARCH | point 12 | DAC 18.00 | CTRL X 0.38618 | X 0.38641 | Y 0.46854 | Z 0.74211 | TOTAL 0.95901 | error -66.42 % | MAD 4.24 % | CV 2.95 % | coh 72.6 % | dominant Z | axis fraction 52.1 % | VALID</x:v>
      </x:c>
      <x:c r="C4447" t="str">
        <x:v>Pasted text(59).txt</x:v>
      </x:c>
    </x:row>
    <x:row r="4448">
      <x:c r="A4448" t="n">
        <x:v>418</x:v>
      </x:c>
      <x:c r="B4448" s="58" t="str">
        <x:v>SEARCH | point 13 | DAC 19.00 | CTRL X 0.41597 | X 0.41356 | Y 0.48591 | Z 0.76323 | TOTAL 0.99499 | error -63.83 % | MAD 8.72 % | CV 6.81 % | coh 74.8 % | dominant Z | axis fraction 54.2 % | VALID</x:v>
      </x:c>
      <x:c r="C4448" t="str">
        <x:v>Pasted text(59).txt</x:v>
      </x:c>
    </x:row>
    <x:row r="4449">
      <x:c r="A4449" t="n">
        <x:v>419</x:v>
      </x:c>
      <x:c r="B4449" s="58" t="str">
        <x:v>SEARCH | point 14 | DAC 20.00 | CTRL X 0.41218 | X 0.41104 | Y 0.52439 | Z 0.80743 | TOTAL 1.04696 | error -64.16 % | MAD 4.16 % | CV 3.24 % | coh 70.5 % | dominant Z | axis fraction 50.9 % | VALID</x:v>
      </x:c>
      <x:c r="C4449" t="str">
        <x:v>Pasted text(59).txt</x:v>
      </x:c>
    </x:row>
    <x:row r="4450">
      <x:c r="A4450" t="n">
        <x:v>420</x:v>
      </x:c>
      <x:c r="B4450" s="58" t="str">
        <x:v>SEARCH | point 15 | DAC 21.00 | CTRL X 0.47917 | X 0.46647 | Y 0.54672 | Z 0.80623 | TOTAL 1.08050 | error -58.33 % | MAD 3.89 % | CV 7.18 % | coh 76.2 % | dominant Z | axis fraction 57.9 % | VALID</x:v>
      </x:c>
      <x:c r="C4450" t="str">
        <x:v>Pasted text(59).txt</x:v>
      </x:c>
    </x:row>
    <x:row r="4451">
      <x:c r="A4451" t="n">
        <x:v>421</x:v>
      </x:c>
      <x:c r="B4451" s="58" t="str">
        <x:v>SEARCH | point 16 | DAC 22.00 | CTRL X 0.49074 | X 0.48694 | Y 0.57380 | Z 0.82151 | TOTAL 1.11425 | error -57.33 % | MAD 0.30 % | CV 1.53 % | coh 74.9 % | dominant Z | axis fraction 59.3 % | VALID</x:v>
      </x:c>
      <x:c r="C4451" t="str">
        <x:v>Pasted text(59).txt</x:v>
      </x:c>
    </x:row>
    <x:row r="4452">
      <x:c r="A4452" t="n">
        <x:v>422</x:v>
      </x:c>
      <x:c r="B4452" s="58" t="str">
        <x:v>SEARCH | point 17 | DAC 23.00 | CTRL X 0.47372 | X 0.47504 | Y 0.58868 | Z 0.84509 | TOTAL 1.13426 | error -58.81 % | MAD 4.48 % | CV 3.44 % | coh 73.3 % | dominant Z | axis fraction 56.2 % | VALID</x:v>
      </x:c>
      <x:c r="C4452" t="str">
        <x:v>Pasted text(59).txt</x:v>
      </x:c>
    </x:row>
    <x:row r="4453">
      <x:c r="A4453" t="n">
        <x:v>423</x:v>
      </x:c>
      <x:c r="B4453" s="58" t="str">
        <x:v>SEARCH | point 18 | DAC 24.00 | CTRL X 0.00000 | X 0.00000 | Y 0.00000 | Z 0.00000 | TOTAL 0.00000 | error -100.00 % | MAD 0.00 % | CV 0.00 % | coh 0.0 % | dominant ? | axis fraction 0.0 % | SAFETY GUARD</x:v>
      </x:c>
      <x:c r="C4453" t="str">
        <x:v>Pasted text(59).txt</x:v>
      </x:c>
    </x:row>
    <x:row r="4454">
      <x:c r="A4454" t="n">
        <x:v>424</x:v>
      </x:c>
      <x:c r="B4454" s="58" t="str"/>
      <x:c r="C4454" t="str">
        <x:v>Pasted text(59).txt</x:v>
      </x:c>
    </x:row>
    <x:row r="4455">
      <x:c r="A4455" t="n">
        <x:v>425</x:v>
      </x:c>
      <x:c r="B4455" s="58" t="str">
        <x:v>VISATON OFF. RESTING 5.0 s BEFORE THE NEXT COMPLETELY FRESH RUN.</x:v>
      </x:c>
      <x:c r="C4455" t="str">
        <x:v>Pasted text(59).txt</x:v>
      </x:c>
    </x:row>
    <x:row r="4456">
      <x:c r="A4456" t="n">
        <x:v>426</x:v>
      </x:c>
      <x:c r="B4456" s="58" t="str"/>
      <x:c r="C4456" t="str">
        <x:v>Pasted text(59).txt</x:v>
      </x:c>
    </x:row>
    <x:row r="4457">
      <x:c r="A4457" t="n">
        <x:v>427</x:v>
      </x:c>
      <x:c r="B4457" s="58" t="str">
        <x:v>################################################################################</x:v>
      </x:c>
      <x:c r="C4457" t="str">
        <x:v>Pasted text(59).txt</x:v>
      </x:c>
    </x:row>
    <x:row r="4458">
      <x:c r="A4458" t="n">
        <x:v>428</x:v>
      </x:c>
      <x:c r="B4458" s="58" t="str">
        <x:v>INDEPENDENT TARGET-AMPLITUDE RUN 4 OF 5</x:v>
      </x:c>
      <x:c r="C4458" t="str">
        <x:v>Pasted text(59).txt</x:v>
      </x:c>
    </x:row>
    <x:row r="4459">
      <x:c r="A4459" t="n">
        <x:v>429</x:v>
      </x:c>
      <x:c r="B4459" s="58" t="str">
        <x:v>################################################################################</x:v>
      </x:c>
      <x:c r="C4459" t="str">
        <x:v>Pasted text(59).txt</x:v>
      </x:c>
    </x:row>
    <x:row r="4460">
      <x:c r="A4460" t="n">
        <x:v>430</x:v>
      </x:c>
      <x:c r="B4460" s="58" t="str">
        <x:v>Frequency: 268.00000 Hz</x:v>
      </x:c>
      <x:c r="C4460" t="str">
        <x:v>Pasted text(59).txt</x:v>
      </x:c>
    </x:row>
    <x:row r="4461">
      <x:c r="A4461" t="n">
        <x:v>431</x:v>
      </x:c>
      <x:c r="B4461" s="58" t="str">
        <x:v>Target X amplitude: 1.15000 m/s^2 peak, tolerance +/-7.50 %</x:v>
      </x:c>
      <x:c r="C4461" t="str">
        <x:v>Pasted text(59).txt</x:v>
      </x:c>
    </x:row>
    <x:row r="4462">
      <x:c r="A4462" t="n">
        <x:v>432</x:v>
      </x:c>
      <x:c r="B4462" s="58" t="str">
        <x:v>This run starts from DAC 1.00 and ignores every earlier selected DAC.</x:v>
      </x:c>
      <x:c r="C4462" t="str">
        <x:v>Pasted text(59).txt</x:v>
      </x:c>
    </x:row>
    <x:row r="4463">
      <x:c r="A4463" t="n">
        <x:v>433</x:v>
      </x:c>
      <x:c r="B4463" s="58" t="str">
        <x:v>ADXL2 DEVID/DATA_FORMAT/BW_RATE/POWER_CTL: 0xE5 / 0xB / 0xE / 0x8</x:v>
      </x:c>
      <x:c r="C4463" t="str">
        <x:v>Pasted text(59).txt</x:v>
      </x:c>
    </x:row>
    <x:row r="4464">
      <x:c r="A4464" t="n">
        <x:v>434</x:v>
      </x:c>
      <x:c r="B4464" s="58" t="str"/>
      <x:c r="C4464" t="str">
        <x:v>Pasted text(59).txt</x:v>
      </x:c>
    </x:row>
    <x:row r="4465">
      <x:c r="A4465" t="n">
        <x:v>435</x:v>
      </x:c>
      <x:c r="B4465" s="58" t="str">
        <x:v>ACQUISITION ATTEMPT 1 OF 2</x:v>
      </x:c>
      <x:c r="C4465" t="str">
        <x:v>Pasted text(59).txt</x:v>
      </x:c>
    </x:row>
    <x:row r="4466">
      <x:c r="A4466" t="n">
        <x:v>436</x:v>
      </x:c>
      <x:c r="B4466" s="58" t="str"/>
      <x:c r="C4466" t="str">
        <x:v>Pasted text(59).txt</x:v>
      </x:c>
    </x:row>
    <x:row r="4467">
      <x:c r="A4467" t="n">
        <x:v>437</x:v>
      </x:c>
      <x:c r="B4467" s="58" t="str">
        <x:v>FRESH X-AXIS SEARCH FROM DAC 1.00 — OLD DAC VALUES ARE NOT USED</x:v>
      </x:c>
      <x:c r="C4467" t="str">
        <x:v>Pasted text(59).txt</x:v>
      </x:c>
    </x:row>
    <x:row r="4468">
      <x:c r="A4468" t="n">
        <x:v>438</x:v>
      </x:c>
      <x:c r="B4468" s="58" t="str">
        <x:v>Y/Z are diagnostic only and cannot abort this search.</x:v>
      </x:c>
      <x:c r="C4468" t="str">
        <x:v>Pasted text(59).txt</x:v>
      </x:c>
    </x:row>
    <x:row r="4469">
      <x:c r="A4469" t="n">
        <x:v>439</x:v>
      </x:c>
      <x:c r="B4469" s="58" t="str">
        <x:v>A real SPI fault, clipping, safety limit or confirmed X-response collapse will stop it.</x:v>
      </x:c>
      <x:c r="C4469" t="str">
        <x:v>Pasted text(59).txt</x:v>
      </x:c>
    </x:row>
    <x:row r="4470">
      <x:c r="A4470" t="n">
        <x:v>440</x:v>
      </x:c>
      <x:c r="B4470" s="58" t="str">
        <x:v>SEARCH | point 1 | DAC 1.00 | CTRL X 0.01812 | X 0.01785 | Y 0.01801 | Z 0.02527 | TOTAL 0.03597 | error -98.42 % | MAD 4.46 % | CV 2.16 % | coh 8.2 % | dominant Z | axis fraction 70.6 % | BELOW MEASUREMENT FLOOR — SEARCH CONTINUES</x:v>
      </x:c>
      <x:c r="C4470" t="str">
        <x:v>Pasted text(59).txt</x:v>
      </x:c>
    </x:row>
    <x:row r="4471">
      <x:c r="A4471" t="n">
        <x:v>441</x:v>
      </x:c>
      <x:c r="B4471" s="58" t="str">
        <x:v>SEARCH | point 2 | DAC 3.00 | CTRL X 0.02135 | X 0.02260 | Y 0.03352 | Z 0.01754 | TOTAL 0.04466 | error -98.14 % | MAD 82.02 % | CV 60.76 % | coh 10.4 % | dominant Y | axis fraction 67.4 % | BELOW MEASUREMENT FLOOR — SEARCH CONTINUES</x:v>
      </x:c>
      <x:c r="C4471" t="str">
        <x:v>Pasted text(59).txt</x:v>
      </x:c>
    </x:row>
    <x:row r="4472">
      <x:c r="A4472" t="n">
        <x:v>442</x:v>
      </x:c>
      <x:c r="B4472" s="58" t="str">
        <x:v>SEARCH | point 3 | DAC 5.00 | CTRL X 0.01670 | X 0.01633 | Y 0.12441 | Z 0.30774 | TOTAL 0.33451 | error -98.55 % | MAD 6.45 % | CV 3.15 % | coh 6.5 % | dominant Z | axis fraction 5.3 % | BELOW MEASUREMENT FLOOR — SEARCH CONTINUES</x:v>
      </x:c>
      <x:c r="C4472" t="str">
        <x:v>Pasted text(59).txt</x:v>
      </x:c>
    </x:row>
    <x:row r="4473">
      <x:c r="A4473" t="n">
        <x:v>443</x:v>
      </x:c>
      <x:c r="B4473" s="58" t="str">
        <x:v>SEARCH | point 4 | DAC 7.00 | CTRL X 0.00000 | X 0.00000 | Y 0.00000 | Z 0.00000 | TOTAL 0.00000 | error -100.00 % | MAD 0.00 % | CV 0.00 % | coh 0.0 % | dominant ? | axis fraction 0.0 % | SAFETY GUARD</x:v>
      </x:c>
      <x:c r="C4473" t="str">
        <x:v>Pasted text(59).txt</x:v>
      </x:c>
    </x:row>
    <x:row r="4474">
      <x:c r="A4474" t="n">
        <x:v>444</x:v>
      </x:c>
      <x:c r="B4474" s="58" t="str"/>
      <x:c r="C4474" t="str">
        <x:v>Pasted text(59).txt</x:v>
      </x:c>
    </x:row>
    <x:row r="4475">
      <x:c r="A4475" t="n">
        <x:v>445</x:v>
      </x:c>
      <x:c r="B4475" s="58" t="str">
        <x:v>VISATON OFF. RESTING 5.0 s BEFORE THE NEXT COMPLETELY FRESH RUN.</x:v>
      </x:c>
      <x:c r="C4475" t="str">
        <x:v>Pasted text(59).txt</x:v>
      </x:c>
    </x:row>
    <x:row r="4476">
      <x:c r="A4476" t="n">
        <x:v>446</x:v>
      </x:c>
      <x:c r="B4476" s="58" t="str"/>
      <x:c r="C4476" t="str">
        <x:v>Pasted text(59).txt</x:v>
      </x:c>
    </x:row>
    <x:row r="4477">
      <x:c r="A4477" t="n">
        <x:v>447</x:v>
      </x:c>
      <x:c r="B4477" s="58" t="str">
        <x:v>################################################################################</x:v>
      </x:c>
      <x:c r="C4477" t="str">
        <x:v>Pasted text(59).txt</x:v>
      </x:c>
    </x:row>
    <x:row r="4478">
      <x:c r="A4478" t="n">
        <x:v>448</x:v>
      </x:c>
      <x:c r="B4478" s="58" t="str">
        <x:v>INDEPENDENT TARGET-AMPLITUDE RUN 5 OF 5</x:v>
      </x:c>
      <x:c r="C4478" t="str">
        <x:v>Pasted text(59).txt</x:v>
      </x:c>
    </x:row>
    <x:row r="4479">
      <x:c r="A4479" t="n">
        <x:v>449</x:v>
      </x:c>
      <x:c r="B4479" s="58" t="str">
        <x:v>################################################################################</x:v>
      </x:c>
      <x:c r="C4479" t="str">
        <x:v>Pasted text(59).txt</x:v>
      </x:c>
    </x:row>
    <x:row r="4480">
      <x:c r="A4480" t="n">
        <x:v>450</x:v>
      </x:c>
      <x:c r="B4480" s="58" t="str">
        <x:v>Frequency: 268.00000 Hz</x:v>
      </x:c>
      <x:c r="C4480" t="str">
        <x:v>Pasted text(59).txt</x:v>
      </x:c>
    </x:row>
    <x:row r="4481">
      <x:c r="A4481" t="n">
        <x:v>451</x:v>
      </x:c>
      <x:c r="B4481" s="58" t="str">
        <x:v>Target X amplitude: 1.15000 m/s^2 peak, tolerance +/-7.50 %</x:v>
      </x:c>
      <x:c r="C4481" t="str">
        <x:v>Pasted text(59).txt</x:v>
      </x:c>
    </x:row>
    <x:row r="4482">
      <x:c r="A4482" t="n">
        <x:v>452</x:v>
      </x:c>
      <x:c r="B4482" s="58" t="str">
        <x:v>This run starts from DAC 1.00 and ignores every earlier selected DAC.</x:v>
      </x:c>
      <x:c r="C4482" t="str">
        <x:v>Pasted text(59).txt</x:v>
      </x:c>
    </x:row>
    <x:row r="4483">
      <x:c r="A4483" t="n">
        <x:v>453</x:v>
      </x:c>
      <x:c r="B4483" s="58" t="str">
        <x:v>ADXL2 DEVID/DATA_FORMAT/BW_RATE/POWER_CTL: 0xE5 / 0xB / 0xE / 0x8</x:v>
      </x:c>
      <x:c r="C4483" t="str">
        <x:v>Pasted text(59).txt</x:v>
      </x:c>
    </x:row>
    <x:row r="4484">
      <x:c r="A4484" t="n">
        <x:v>454</x:v>
      </x:c>
      <x:c r="B4484" s="58" t="str"/>
      <x:c r="C4484" t="str">
        <x:v>Pasted text(59).txt</x:v>
      </x:c>
    </x:row>
    <x:row r="4485">
      <x:c r="A4485" t="n">
        <x:v>455</x:v>
      </x:c>
      <x:c r="B4485" s="58" t="str">
        <x:v>ACQUISITION ATTEMPT 1 OF 2</x:v>
      </x:c>
      <x:c r="C4485" t="str">
        <x:v>Pasted text(59).txt</x:v>
      </x:c>
    </x:row>
    <x:row r="4486">
      <x:c r="A4486" t="n">
        <x:v>456</x:v>
      </x:c>
      <x:c r="B4486" s="58" t="str"/>
      <x:c r="C4486" t="str">
        <x:v>Pasted text(59).txt</x:v>
      </x:c>
    </x:row>
    <x:row r="4487">
      <x:c r="A4487" t="n">
        <x:v>457</x:v>
      </x:c>
      <x:c r="B4487" s="58" t="str">
        <x:v>FRESH X-AXIS SEARCH FROM DAC 1.00 — OLD DAC VALUES ARE NOT USED</x:v>
      </x:c>
      <x:c r="C4487" t="str">
        <x:v>Pasted text(59).txt</x:v>
      </x:c>
    </x:row>
    <x:row r="4488">
      <x:c r="A4488" t="n">
        <x:v>458</x:v>
      </x:c>
      <x:c r="B4488" s="58" t="str">
        <x:v>Y/Z are diagnostic only and cannot abort this search.</x:v>
      </x:c>
      <x:c r="C4488" t="str">
        <x:v>Pasted text(59).txt</x:v>
      </x:c>
    </x:row>
    <x:row r="4489">
      <x:c r="A4489" t="n">
        <x:v>459</x:v>
      </x:c>
      <x:c r="B4489" s="58" t="str">
        <x:v>A real SPI fault, clipping, safety limit or confirmed X-response collapse will stop it.</x:v>
      </x:c>
      <x:c r="C4489" t="str">
        <x:v>Pasted text(59).txt</x:v>
      </x:c>
    </x:row>
    <x:row r="4490">
      <x:c r="A4490" t="n">
        <x:v>460</x:v>
      </x:c>
      <x:c r="B4490" s="58" t="str">
        <x:v>SEARCH | point 1 | DAC 1.00 | CTRL X 0.13953 | X 0.32698 | Y 0.79542 | Z 0.97519 | TOTAL 1.30877 | error -87.87 % | MAD 68.60 % | CV 116.81 % | coh 9.1 % | dominant Z | axis fraction 33.5 % | UNSTABLE — SEARCH CONTINUES</x:v>
      </x:c>
      <x:c r="C4490" t="str">
        <x:v>Pasted text(59).txt</x:v>
      </x:c>
    </x:row>
    <x:row r="4491">
      <x:c r="A4491" t="n">
        <x:v>461</x:v>
      </x:c>
      <x:c r="B4491" s="58" t="str">
        <x:v>SEARCH | point 2 | DAC 3.00 | CTRL X 0.00000 | X 0.00000 | Y 0.00000 | Z 0.00000 | TOTAL 0.00000 | error -100.00 % | MAD 0.00 % | CV 0.00 % | coh 0.0 % | dominant ? | axis fraction 0.0 % | SAFETY GUARD</x:v>
      </x:c>
      <x:c r="C4491" t="str">
        <x:v>Pasted text(59).txt</x:v>
      </x:c>
    </x:row>
    <x:row r="4492">
      <x:c r="A4492" t="n">
        <x:v>462</x:v>
      </x:c>
      <x:c r="B4492" s="58" t="str"/>
      <x:c r="C4492" t="str">
        <x:v>Pasted text(59).txt</x:v>
      </x:c>
    </x:row>
    <x:row r="4493">
      <x:c r="A4493" t="n">
        <x:v>463</x:v>
      </x:c>
      <x:c r="B4493" s="58" t="str">
        <x:v>================================================================================</x:v>
      </x:c>
      <x:c r="C4493" t="str">
        <x:v>Pasted text(59).txt</x:v>
      </x:c>
    </x:row>
    <x:row r="4494">
      <x:c r="A4494" t="n">
        <x:v>464</x:v>
      </x:c>
      <x:c r="B4494" s="58" t="str">
        <x:v>FINAL REPEATED TARGET-AMPLITUDE VALIDATION SUMMARY</x:v>
      </x:c>
      <x:c r="C4494" t="str">
        <x:v>Pasted text(59).txt</x:v>
      </x:c>
    </x:row>
    <x:row r="4495">
      <x:c r="A4495" t="n">
        <x:v>465</x:v>
      </x:c>
      <x:c r="B4495" s="58" t="str">
        <x:v>================================================================================</x:v>
      </x:c>
      <x:c r="C4495" t="str">
        <x:v>Pasted text(59).txt</x:v>
      </x:c>
    </x:row>
    <x:row r="4496">
      <x:c r="A4496" t="n">
        <x:v>466</x:v>
      </x:c>
      <x:c r="B4496" s="58" t="str">
        <x:v>Run,Pass,Selected_DAC,Validated_Amp,Error_pct,FFT_Hz,FFT_Diff_Hz,FFT_SNR_dB,Hold_Mean,Hold_CV_pct,Hold_InBand_pct,Reason</x:v>
      </x:c>
      <x:c r="C4496" t="str">
        <x:v>Pasted text(59).txt</x:v>
      </x:c>
    </x:row>
    <x:row r="4497">
      <x:c r="A4497" t="n">
        <x:v>467</x:v>
      </x:c>
      <x:c r="B4497" s="58" t="str">
        <x:v>1,FAIL,0.00,0.00000,0.00,0.00000,0.00000,0.00,0.00000,0.00,0.0,X target not reached by DAC 30; increase amplifier knob slightly</x:v>
      </x:c>
      <x:c r="C4497" t="str">
        <x:v>Pasted text(59).txt</x:v>
      </x:c>
    </x:row>
    <x:row r="4498">
      <x:c r="A4498" t="n">
        <x:v>468</x:v>
      </x:c>
      <x:c r="B4498" s="58" t="str">
        <x:v>2,FAIL,0.00,0.00000,0.00,0.00000,0.00000,0.00,0.00000,0.00,0.0,X target not reached by DAC 30; increase amplifier knob slightly</x:v>
      </x:c>
      <x:c r="C4498" t="str">
        <x:v>Pasted text(59).txt</x:v>
      </x:c>
    </x:row>
    <x:row r="4499">
      <x:c r="A4499" t="n">
        <x:v>469</x:v>
      </x:c>
      <x:c r="B4499" s="58" t="str">
        <x:v>3,FAIL,0.00,0.00000,0.00,0.00000,0.00000,0.00,0.00000,0.00,0.0,Absolute acceleration safety guard reached</x:v>
      </x:c>
      <x:c r="C4499" t="str">
        <x:v>Pasted text(59).txt</x:v>
      </x:c>
    </x:row>
    <x:row r="4500">
      <x:c r="A4500" t="n">
        <x:v>470</x:v>
      </x:c>
      <x:c r="B4500" s="58" t="str">
        <x:v>4,FAIL,0.00,0.00000,0.00,0.00000,0.00000,0.00,0.00000,0.00,0.0,Absolute acceleration safety guard reached</x:v>
      </x:c>
      <x:c r="C4500" t="str">
        <x:v>Pasted text(59).txt</x:v>
      </x:c>
    </x:row>
    <x:row r="4501">
      <x:c r="A4501" t="n">
        <x:v>471</x:v>
      </x:c>
      <x:c r="B4501" s="58" t="str">
        <x:v>5,FAIL,0.00,0.00000,0.00,0.00000,0.00000,0.00,0.00000,0.00,0.0,Absolute acceleration safety guard reached</x:v>
      </x:c>
      <x:c r="C4501" t="str">
        <x:v>Pasted text(59).txt</x:v>
      </x:c>
    </x:row>
    <x:row r="4502">
      <x:c r="A4502" t="n">
        <x:v>472</x:v>
      </x:c>
      <x:c r="B4502" s="58" t="str">
        <x:v>--------------------------------------------------------------------------------</x:v>
      </x:c>
      <x:c r="C4502" t="str">
        <x:v>Pasted text(59).txt</x:v>
      </x:c>
    </x:row>
    <x:row r="4503">
      <x:c r="A4503" t="n">
        <x:v>473</x:v>
      </x:c>
      <x:c r="B4503" s="58" t="str">
        <x:v>Successful independent runs: 0 / 5</x:v>
      </x:c>
      <x:c r="C4503" t="str">
        <x:v>Pasted text(59).txt</x:v>
      </x:c>
    </x:row>
    <x:row r="4504">
      <x:c r="A4504" t="n">
        <x:v>474</x:v>
      </x:c>
      <x:c r="B4504" s="58" t="str">
        <x:v>OVERALL VERDICT: FAIL — no independent run passed.</x:v>
      </x:c>
      <x:c r="C4504" t="str">
        <x:v>Pasted text(59).txt</x:v>
      </x:c>
    </x:row>
    <x:row r="4505">
      <x:c r="A4505" t="n">
        <x:v>475</x:v>
      </x:c>
      <x:c r="B4505" s="58" t="str"/>
      <x:c r="C4505" t="str">
        <x:v>Pasted text(59).txt</x:v>
      </x:c>
    </x:row>
    <x:row r="4506">
      <x:c r="A4506" t="n">
        <x:v>476</x:v>
      </x:c>
      <x:c r="B4506" s="58" t="str">
        <x:v>Automatic test complete. Enter h for commands.</x:v>
      </x:c>
      <x:c r="C4506" t="str">
        <x:v>Pasted text(59).txt</x:v>
      </x:c>
    </x:row>
    <x:row r="4507">
      <x:c r="A4507" t="n">
        <x:v>477</x:v>
      </x:c>
      <x:c r="B4507" s="58" t="str"/>
      <x:c r="C4507" t="str">
        <x:v>Pasted text(59).txt</x:v>
      </x:c>
    </x:row>
    <x:row r="4508">
      <x:c r="A4508" t="n">
        <x:v>478</x:v>
      </x:c>
      <x:c r="B4508" s="58" t="str">
        <x:v>============================================================</x:v>
      </x:c>
      <x:c r="C4508" t="str">
        <x:v>Pasted text(59).txt</x:v>
      </x:c>
    </x:row>
    <x:row r="4509">
      <x:c r="A4509" t="n">
        <x:v>479</x:v>
      </x:c>
      <x:c r="B4509" s="58" t="str">
        <x:v>COMMANDS</x:v>
      </x:c>
      <x:c r="C4509" t="str">
        <x:v>Pasted text(59).txt</x:v>
      </x:c>
    </x:row>
    <x:row r="4510">
      <x:c r="A4510" t="n">
        <x:v>480</x:v>
      </x:c>
      <x:c r="B4510" s="58" t="str">
        <x:v>============================================================</x:v>
      </x:c>
      <x:c r="C4510" t="str">
        <x:v>Pasted text(59).txt</x:v>
      </x:c>
    </x:row>
    <x:row r="4511">
      <x:c r="A4511" t="n">
        <x:v>481</x:v>
      </x:c>
      <x:c r="B4511" s="58" t="str">
        <x:v>f 268    = set frequency in Hz (20-350)</x:v>
      </x:c>
      <x:c r="C4511" t="str">
        <x:v>Pasted text(59).txt</x:v>
      </x:c>
    </x:row>
    <x:row r="4512">
      <x:c r="A4512" t="n">
        <x:v>482</x:v>
      </x:c>
      <x:c r="B4512" s="58" t="str">
        <x:v>t 1.12   = set X-axis target peak amplitude in m/s^2</x:v>
      </x:c>
      <x:c r="C4512" t="str">
        <x:v>Pasted text(59).txt</x:v>
      </x:c>
    </x:row>
    <x:row r="4513">
      <x:c r="A4513" t="n">
        <x:v>483</x:v>
      </x:c>
      <x:c r="B4513" s="58" t="str">
        <x:v>e 7.5    = set tolerance percent (5-10 recommended)</x:v>
      </x:c>
      <x:c r="C4513" t="str">
        <x:v>Pasted text(59).txt</x:v>
      </x:c>
    </x:row>
    <x:row r="4514">
      <x:c r="A4514" t="n">
        <x:v>484</x:v>
      </x:c>
      <x:c r="B4514" s="58" t="str">
        <x:v>n 5      = set independent run count (2-10)</x:v>
      </x:c>
      <x:c r="C4514" t="str">
        <x:v>Pasted text(59).txt</x:v>
      </x:c>
    </x:row>
    <x:row r="4515">
      <x:c r="A4515" t="n">
        <x:v>485</x:v>
      </x:c>
      <x:c r="B4515" s="58" t="str">
        <x:v>k 10     = set fixed-DAC hold records per run (5-30)</x:v>
      </x:c>
      <x:c r="C4515" t="str">
        <x:v>Pasted text(59).txt</x:v>
      </x:c>
    </x:row>
    <x:row r="4516">
      <x:c r="A4516" t="n">
        <x:v>486</x:v>
      </x:c>
      <x:c r="B4516" s="58" t="str">
        <x:v>a        = run complete repeated target-amplitude validation</x:v>
      </x:c>
      <x:c r="C4516" t="str">
        <x:v>Pasted text(59).txt</x:v>
      </x:c>
    </x:row>
    <x:row r="4517">
      <x:c r="A4517" t="n">
        <x:v>487</x:v>
      </x:c>
      <x:c r="B4517" s="58" t="str">
        <x:v>q 10     = one exact-frequency quadrature measurement at DAC 10</x:v>
      </x:c>
      <x:c r="C4517" t="str">
        <x:v>Pasted text(59).txt</x:v>
      </x:c>
    </x:row>
    <x:row r="4518">
      <x:c r="A4518" t="n">
        <x:v>488</x:v>
      </x:c>
      <x:c r="B4518" s="58" t="str">
        <x:v>d 15     = one validated blind FFT diagnostic at DAC 15</x:v>
      </x:c>
      <x:c r="C4518" t="str">
        <x:v>Pasted text(59).txt</x:v>
      </x:c>
    </x:row>
    <x:row r="4519">
      <x:c r="A4519" t="n">
        <x:v>489</x:v>
      </x:c>
      <x:c r="B4519" s="58" t="str">
        <x:v>p        = print settings</x:v>
      </x:c>
      <x:c r="C4519" t="str">
        <x:v>Pasted text(59).txt</x:v>
      </x:c>
    </x:row>
    <x:row r="4520">
      <x:c r="A4520" t="n">
        <x:v>490</x:v>
      </x:c>
      <x:c r="B4520" s="58" t="str">
        <x:v>s        = emergency stop</x:v>
      </x:c>
      <x:c r="C4520" t="str">
        <x:v>Pasted text(59).txt</x:v>
      </x:c>
    </x:row>
    <x:row r="4521">
      <x:c r="A4521" t="n">
        <x:v>491</x:v>
      </x:c>
      <x:c r="B4521" s="58" t="str">
        <x:v>h        = show menu</x:v>
      </x:c>
      <x:c r="C4521" t="str">
        <x:v>Pasted text(59).txt</x:v>
      </x:c>
    </x:row>
    <x:row r="4522">
      <x:c r="A4522" t="n">
        <x:v>492</x:v>
      </x:c>
      <x:c r="B4522" s="58" t="str">
        <x:v>============================================================</x:v>
      </x:c>
      <x:c r="C4522" t="str">
        <x:v>Pasted text(59).txt</x:v>
      </x:c>
    </x:row>
    <x:row r="4523">
      <x:c r="A4523" t="n">
        <x:v>493</x:v>
      </x:c>
      <x:c r="B4523" s="58" t="str">
        <x:v>Frequency set to 268.00000 Hz.</x:v>
      </x:c>
      <x:c r="C4523" t="str">
        <x:v>Pasted text(59).txt</x:v>
      </x:c>
    </x:row>
    <x:row r="4524">
      <x:c r="A4524" t="n">
        <x:v>494</x:v>
      </x:c>
      <x:c r="B4524" s="58" t="str">
        <x:v>Target amplitude set to 1.00000 m/s^2 peak.</x:v>
      </x:c>
      <x:c r="C4524" t="str">
        <x:v>Pasted text(59).txt</x:v>
      </x:c>
    </x:row>
    <x:row r="4525">
      <x:c r="A4525" t="n">
        <x:v>495</x:v>
      </x:c>
      <x:c r="B4525" s="58" t="str"/>
      <x:c r="C4525" t="str">
        <x:v>Pasted text(59).txt</x:v>
      </x:c>
    </x:row>
    <x:row r="4526">
      <x:c r="A4526" t="n">
        <x:v>496</x:v>
      </x:c>
      <x:c r="B4526" s="58" t="str">
        <x:v>================================================================================</x:v>
      </x:c>
      <x:c r="C4526" t="str">
        <x:v>Pasted text(59).txt</x:v>
      </x:c>
    </x:row>
    <x:row r="4527">
      <x:c r="A4527" t="n">
        <x:v>497</x:v>
      </x:c>
      <x:c r="B4527" s="58" t="str">
        <x:v>REPEATED INDEPENDENT TARGET-AMPLITUDE VALIDATION STARTED</x:v>
      </x:c>
      <x:c r="C4527" t="str">
        <x:v>Pasted text(59).txt</x:v>
      </x:c>
    </x:row>
    <x:row r="4528">
      <x:c r="A4528" t="n">
        <x:v>498</x:v>
      </x:c>
      <x:c r="B4528" s="58" t="str">
        <x:v>================================================================================</x:v>
      </x:c>
      <x:c r="C4528" t="str">
        <x:v>Pasted text(59).txt</x:v>
      </x:c>
    </x:row>
    <x:row r="4529">
      <x:c r="A4529" t="n">
        <x:v>499</x:v>
      </x:c>
      <x:c r="B4529" s="58" t="str"/>
      <x:c r="C4529" t="str">
        <x:v>Pasted text(59).txt</x:v>
      </x:c>
    </x:row>
    <x:row r="4530">
      <x:c r="A4530" t="n">
        <x:v>500</x:v>
      </x:c>
      <x:c r="B4530" s="58" t="str">
        <x:v>CURRENT SETTINGS</x:v>
      </x:c>
      <x:c r="C4530" t="str">
        <x:v>Pasted text(59).txt</x:v>
      </x:c>
    </x:row>
    <x:row r="4531">
      <x:c r="A4531" t="n">
        <x:v>501</x:v>
      </x:c>
      <x:c r="B4531" s="58" t="str">
        <x:v>Frequency: 268.00000 Hz</x:v>
      </x:c>
      <x:c r="C4531" t="str">
        <x:v>Pasted text(59).txt</x:v>
      </x:c>
    </x:row>
    <x:row r="4532">
      <x:c r="A4532" t="n">
        <x:v>502</x:v>
      </x:c>
      <x:c r="B4532" s="58" t="str">
        <x:v>Control axis: X ONLY (Y/Z diagnostic only)</x:v>
      </x:c>
      <x:c r="C4532" t="str">
        <x:v>Pasted text(59).txt</x:v>
      </x:c>
    </x:row>
    <x:row r="4533">
      <x:c r="A4533" t="n">
        <x:v>503</x:v>
      </x:c>
      <x:c r="B4533" s="58" t="str">
        <x:v>Target peak amplitude: 1.00000 m/s^2</x:v>
      </x:c>
      <x:c r="C4533" t="str">
        <x:v>Pasted text(59).txt</x:v>
      </x:c>
    </x:row>
    <x:row r="4534">
      <x:c r="A4534" t="n">
        <x:v>504</x:v>
      </x:c>
      <x:c r="B4534" s="58" t="str">
        <x:v>Tolerance: +/-7.50 %</x:v>
      </x:c>
      <x:c r="C4534" t="str">
        <x:v>Pasted text(59).txt</x:v>
      </x:c>
    </x:row>
    <x:row r="4535">
      <x:c r="A4535" t="n">
        <x:v>505</x:v>
      </x:c>
      <x:c r="B4535" s="58" t="str">
        <x:v>Allowed amplitude band: 0.92500 to 1.07500 m/s^2 peak</x:v>
      </x:c>
      <x:c r="C4535" t="str">
        <x:v>Pasted text(59).txt</x:v>
      </x:c>
    </x:row>
    <x:row r="4536">
      <x:c r="A4536" t="n">
        <x:v>506</x:v>
      </x:c>
      <x:c r="B4536" s="58" t="str">
        <x:v>Independent runs: 5</x:v>
      </x:c>
      <x:c r="C4536" t="str">
        <x:v>Pasted text(59).txt</x:v>
      </x:c>
    </x:row>
    <x:row r="4537">
      <x:c r="A4537" t="n">
        <x:v>507</x:v>
      </x:c>
      <x:c r="B4537" s="58" t="str">
        <x:v>Hold records per run: 10</x:v>
      </x:c>
      <x:c r="C4537" t="str">
        <x:v>Pasted text(59).txt</x:v>
      </x:c>
    </x:row>
    <x:row r="4538">
      <x:c r="A4538" t="n">
        <x:v>508</x:v>
      </x:c>
      <x:c r="B4538" s="58" t="str">
        <x:v>DAC search range/resolution: 1.00 to 30.00 / 0.25</x:v>
      </x:c>
      <x:c r="C4538" t="str">
        <x:v>Pasted text(59).txt</x:v>
      </x:c>
    </x:row>
    <x:row r="4539">
      <x:c r="A4539" t="n">
        <x:v>509</x:v>
      </x:c>
      <x:c r="B4539" s="58" t="str">
        <x:v>FFT bin resolution: 1.56250 Hz; accepted command-to-bin difference &lt;= 2.00 Hz</x:v>
      </x:c>
      <x:c r="C4539" t="str">
        <x:v>Pasted text(59).txt</x:v>
      </x:c>
    </x:row>
    <x:row r="4540">
      <x:c r="A4540" t="n">
        <x:v>510</x:v>
      </x:c>
      <x:c r="B4540" s="58" t="str">
        <x:v>Every run starts from DAC 1.00. Different selected DACs are allowed.</x:v>
      </x:c>
      <x:c r="C4540" t="str">
        <x:v>Pasted text(59).txt</x:v>
      </x:c>
    </x:row>
    <x:row r="4541">
      <x:c r="A4541" t="n">
        <x:v>511</x:v>
      </x:c>
      <x:c r="B4541" s="58" t="str">
        <x:v>The accepted result is X-axis amplitude and X-axis frequency, not DAC.</x:v>
      </x:c>
      <x:c r="C4541" t="str">
        <x:v>Pasted text(59).txt</x:v>
      </x:c>
    </x:row>
    <x:row r="4542">
      <x:c r="A4542" t="n">
        <x:v>512</x:v>
      </x:c>
      <x:c r="B4542" s="58" t="str"/>
      <x:c r="C4542" t="str">
        <x:v>Pasted text(59).txt</x:v>
      </x:c>
    </x:row>
    <x:row r="4543">
      <x:c r="A4543" t="n">
        <x:v>513</x:v>
      </x:c>
      <x:c r="B4543" s="58" t="str">
        <x:v>################################################################################</x:v>
      </x:c>
      <x:c r="C4543" t="str">
        <x:v>Pasted text(59).txt</x:v>
      </x:c>
    </x:row>
    <x:row r="4544">
      <x:c r="A4544" t="n">
        <x:v>514</x:v>
      </x:c>
      <x:c r="B4544" s="58" t="str">
        <x:v>INDEPENDENT TARGET-AMPLITUDE RUN 1 OF 5</x:v>
      </x:c>
      <x:c r="C4544" t="str">
        <x:v>Pasted text(59).txt</x:v>
      </x:c>
    </x:row>
    <x:row r="4545">
      <x:c r="A4545" t="n">
        <x:v>515</x:v>
      </x:c>
      <x:c r="B4545" s="58" t="str">
        <x:v>################################################################################</x:v>
      </x:c>
      <x:c r="C4545" t="str">
        <x:v>Pasted text(59).txt</x:v>
      </x:c>
    </x:row>
    <x:row r="4546">
      <x:c r="A4546" t="n">
        <x:v>516</x:v>
      </x:c>
      <x:c r="B4546" s="58" t="str">
        <x:v>Frequency: 268.00000 Hz</x:v>
      </x:c>
      <x:c r="C4546" t="str">
        <x:v>Pasted text(59).txt</x:v>
      </x:c>
    </x:row>
    <x:row r="4547">
      <x:c r="A4547" t="n">
        <x:v>517</x:v>
      </x:c>
      <x:c r="B4547" s="58" t="str">
        <x:v>Target X amplitude: 1.00000 m/s^2 peak, tolerance +/-7.50 %</x:v>
      </x:c>
      <x:c r="C4547" t="str">
        <x:v>Pasted text(59).txt</x:v>
      </x:c>
    </x:row>
    <x:row r="4548">
      <x:c r="A4548" t="n">
        <x:v>518</x:v>
      </x:c>
      <x:c r="B4548" s="58" t="str">
        <x:v>This run starts from DAC 1.00 and ignores every earlier selected DAC.</x:v>
      </x:c>
      <x:c r="C4548" t="str">
        <x:v>Pasted text(59).txt</x:v>
      </x:c>
    </x:row>
    <x:row r="4549">
      <x:c r="A4549" t="n">
        <x:v>519</x:v>
      </x:c>
      <x:c r="B4549" s="58" t="str">
        <x:v>ADXL2 DEVID/DATA_FORMAT/BW_RATE/POWER_CTL: 0xE5 / 0xB / 0xE / 0x8</x:v>
      </x:c>
      <x:c r="C4549" t="str">
        <x:v>Pasted text(59).txt</x:v>
      </x:c>
    </x:row>
    <x:row r="4550">
      <x:c r="A4550" t="n">
        <x:v>520</x:v>
      </x:c>
      <x:c r="B4550" s="58" t="str"/>
      <x:c r="C4550" t="str">
        <x:v>Pasted text(59).txt</x:v>
      </x:c>
    </x:row>
    <x:row r="4551">
      <x:c r="A4551" t="n">
        <x:v>521</x:v>
      </x:c>
      <x:c r="B4551" s="58" t="str">
        <x:v>ACQUISITION ATTEMPT 1 OF 2</x:v>
      </x:c>
      <x:c r="C4551" t="str">
        <x:v>Pasted text(59).txt</x:v>
      </x:c>
    </x:row>
    <x:row r="4552">
      <x:c r="A4552" t="n">
        <x:v>522</x:v>
      </x:c>
      <x:c r="B4552" s="58" t="str"/>
      <x:c r="C4552" t="str">
        <x:v>Pasted text(59).txt</x:v>
      </x:c>
    </x:row>
    <x:row r="4553">
      <x:c r="A4553" t="n">
        <x:v>523</x:v>
      </x:c>
      <x:c r="B4553" s="58" t="str">
        <x:v>FRESH X-AXIS SEARCH FROM DAC 1.00 — OLD DAC VALUES ARE NOT USED</x:v>
      </x:c>
      <x:c r="C4553" t="str">
        <x:v>Pasted text(59).txt</x:v>
      </x:c>
    </x:row>
    <x:row r="4554">
      <x:c r="A4554" t="n">
        <x:v>524</x:v>
      </x:c>
      <x:c r="B4554" s="58" t="str">
        <x:v>Y/Z are diagnostic only and cannot abort this search.</x:v>
      </x:c>
      <x:c r="C4554" t="str">
        <x:v>Pasted text(59).txt</x:v>
      </x:c>
    </x:row>
    <x:row r="4555">
      <x:c r="A4555" t="n">
        <x:v>525</x:v>
      </x:c>
      <x:c r="B4555" s="58" t="str">
        <x:v>A real SPI fault, clipping, safety limit or confirmed X-response collapse will stop it.</x:v>
      </x:c>
      <x:c r="C4555" t="str">
        <x:v>Pasted text(59).txt</x:v>
      </x:c>
    </x:row>
    <x:row r="4556">
      <x:c r="A4556" t="n">
        <x:v>526</x:v>
      </x:c>
      <x:c r="B4556" s="58" t="str">
        <x:v>SEARCH | point 1 | DAC 1.00 | CTRL X 0.08780 | X 0.07762 | Y 0.07874 | Z 0.05406 | TOTAL 0.13071 | error -91.22 % | MAD 77.34 % | CV 79.48 % | coh 5.5 % | dominant Y | axis fraction 98.6 % | BELOW MEASUREMENT FLOOR — SEARCH CONTINUES</x:v>
      </x:c>
      <x:c r="C4556" t="str">
        <x:v>Pasted text(59).txt</x:v>
      </x:c>
    </x:row>
    <x:row r="4557">
      <x:c r="A4557" t="n">
        <x:v>527</x:v>
      </x:c>
      <x:c r="B4557" s="58" t="str">
        <x:v>SEARCH | point 2 | DAC 3.00 | CTRL X 0.16348 | X 0.17624 | Y 0.06461 | Z 0.01696 | TOTAL 0.18874 | error -83.65 % | MAD 23.15 % | CV 10.24 % | coh 41.4 % | dominant X | axis fraction 100.0 % | UNSTABLE — SEARCH CONTINUES</x:v>
      </x:c>
      <x:c r="C4557" t="str">
        <x:v>Pasted text(59).txt</x:v>
      </x:c>
    </x:row>
    <x:row r="4558">
      <x:c r="A4558" t="n">
        <x:v>528</x:v>
      </x:c>
      <x:c r="B4558" s="58" t="str">
        <x:v>SEARCH | point 3 | DAC 5.00 | CTRL X 0.32307 | X 0.31521 | Y 0.09658 | Z 0.06084 | TOTAL 0.33556 | error -67.69 % | MAD 5.34 % | CV 7.74 % | coh 66.9 % | dominant X | axis fraction 100.0 % | VALID</x:v>
      </x:c>
      <x:c r="C4558" t="str">
        <x:v>Pasted text(59).txt</x:v>
      </x:c>
    </x:row>
    <x:row r="4559">
      <x:c r="A4559" t="n">
        <x:v>529</x:v>
      </x:c>
      <x:c r="B4559" s="58" t="str">
        <x:v>SEARCH | point 4 | DAC 6.00 | CTRL X 0.36269 | X 0.36283 | Y 0.10674 | Z 0.06104 | TOTAL 0.38377 | error -63.73 % | MAD 7.38 % | CV 5.04 % | coh 71.7 % | dominant X | axis fraction 100.0 % | VALID</x:v>
      </x:c>
      <x:c r="C4559" t="str">
        <x:v>Pasted text(59).txt</x:v>
      </x:c>
    </x:row>
    <x:row r="4560">
      <x:c r="A4560" t="n">
        <x:v>530</x:v>
      </x:c>
      <x:c r="B4560" s="58" t="str">
        <x:v>SEARCH | point 5 | DAC 7.00 | CTRL X 0.50749 | X 0.53052 | Y 0.19801 | Z 0.11749 | TOTAL 0.57969 | error -49.25 % | MAD 5.14 % | CV 10.52 % | coh 79.7 % | dominant X | axis fraction 100.0 % | VALID</x:v>
      </x:c>
      <x:c r="C4560" t="str">
        <x:v>Pasted text(59).txt</x:v>
      </x:c>
    </x:row>
    <x:row r="4561">
      <x:c r="A4561" t="n">
        <x:v>531</x:v>
      </x:c>
      <x:c r="B4561" s="58" t="str">
        <x:v>SEARCH | point 6 | DAC 8.00 | CTRL X 0.60842 | X 0.61330 | Y 0.21359 | Z 0.13156 | TOTAL 0.66274 | error -39.16 % | MAD 2.83 % | CV 3.16 % | coh 83.0 % | dominant X | axis fraction 100.0 % | VALID</x:v>
      </x:c>
      <x:c r="C4561" t="str">
        <x:v>Pasted text(59).txt</x:v>
      </x:c>
    </x:row>
    <x:row r="4562">
      <x:c r="A4562" t="n">
        <x:v>532</x:v>
      </x:c>
      <x:c r="B4562" s="58" t="str">
        <x:v>SEARCH | point 7 | DAC 8.50 | CTRL X 0.67021 | X 0.69619 | Y 0.24456 | Z 0.14905 | TOTAL 0.75304 | error -32.98 % | MAD 2.79 % | CV 8.08 % | coh 85.5 % | dominant X | axis fraction 100.0 % | VALID</x:v>
      </x:c>
      <x:c r="C4562" t="str">
        <x:v>Pasted text(59).txt</x:v>
      </x:c>
    </x:row>
    <x:row r="4563">
      <x:c r="A4563" t="n">
        <x:v>533</x:v>
      </x:c>
      <x:c r="B4563" s="58" t="str">
        <x:v>SEARCH | point 8 | DAC 9.00 | CTRL X 0.88899 | X 0.88993 | Y 0.32378 | Z 0.21223 | TOTAL 0.97117 | error -11.10 % | MAD 2.58 % | CV 1.90 % | coh 85.2 % | dominant X | axis fraction 100.0 % | VALID</x:v>
      </x:c>
      <x:c r="C4563" t="str">
        <x:v>Pasted text(59).txt</x:v>
      </x:c>
    </x:row>
    <x:row r="4564">
      <x:c r="A4564" t="n">
        <x:v>534</x:v>
      </x:c>
      <x:c r="B4564" s="58" t="str">
        <x:v>SEARCH | point 9 | DAC 9.25 | CTRL X 0.90362 | X 0.89611 | Y 0.35090 | Z 0.22521 | TOTAL 0.98849 | error -9.64 % | MAD 0.74 % | CV 1.90 % | coh 85.8 % | dominant X | axis fraction 100.0 % | VALID</x:v>
      </x:c>
      <x:c r="C4564" t="str">
        <x:v>Pasted text(59).txt</x:v>
      </x:c>
    </x:row>
    <x:row r="4565">
      <x:c r="A4565" t="n">
        <x:v>535</x:v>
      </x:c>
      <x:c r="B4565" s="58" t="str">
        <x:v>SEARCH | point 10 | DAC 9.50 | CTRL X 1.03216 | X 1.01791 | Y 0.38371 | Z 0.19271 | TOTAL 1.10503 | error 3.22 % | MAD 0.24 % | CV 2.57 % | coh 87.5 % | dominant X | axis fraction 100.0 % | IN TARGET BAND</x:v>
      </x:c>
      <x:c r="C4565" t="str">
        <x:v>Pasted text(59).txt</x:v>
      </x:c>
    </x:row>
    <x:row r="4566">
      <x:c r="A4566" t="n">
        <x:v>536</x:v>
      </x:c>
      <x:c r="B4566" s="58" t="str"/>
      <x:c r="C4566" t="str">
        <x:v>Pasted text(59).txt</x:v>
      </x:c>
    </x:row>
    <x:row r="4567">
      <x:c r="A4567" t="n">
        <x:v>537</x:v>
      </x:c>
      <x:c r="B4567" s="58" t="str">
        <x:v>LOCAL 0.25-DAC X-AXIS FINE SCAN</x:v>
      </x:c>
      <x:c r="C4567" t="str">
        <x:v>Pasted text(59).txt</x:v>
      </x:c>
    </x:row>
    <x:row r="4568">
      <x:c r="A4568" t="n">
        <x:v>538</x:v>
      </x:c>
      <x:c r="B4568" s="58" t="str">
        <x:v>Only a valid point actually inside the X target band may be selected.</x:v>
      </x:c>
      <x:c r="C4568" t="str">
        <x:v>Pasted text(59).txt</x:v>
      </x:c>
    </x:row>
    <x:row r="4569">
      <x:c r="A4569" t="n">
        <x:v>539</x:v>
      </x:c>
      <x:c r="B4569" s="58" t="str">
        <x:v>FINE | point 1 | DAC 8.50 | CTRL X 0.89074 | X 0.89309 | Y 0.33564 | Z 0.19185 | TOTAL 0.97394 | error -10.93 % | MAD 3.12 % | CV 2.50 % | coh 84.1 % | dominant X | axis fraction 100.0 % | VALID</x:v>
      </x:c>
      <x:c r="C4569" t="str">
        <x:v>Pasted text(59).txt</x:v>
      </x:c>
    </x:row>
    <x:row r="4570">
      <x:c r="A4570" t="n">
        <x:v>540</x:v>
      </x:c>
      <x:c r="B4570" s="58" t="str">
        <x:v>FINE | point 2 | DAC 8.75 | CTRL X 0.96394 | X 0.95776 | Y 0.35138 | Z 0.22370 | TOTAL 1.04567 | error -3.61 % | MAD 2.18 % | CV 2.51 % | coh 83.3 % | dominant X | axis fraction 100.0 % | IN TARGET BAND</x:v>
      </x:c>
      <x:c r="C4570" t="str">
        <x:v>Pasted text(59).txt</x:v>
      </x:c>
    </x:row>
    <x:row r="4571">
      <x:c r="A4571" t="n">
        <x:v>541</x:v>
      </x:c>
      <x:c r="B4571" s="58" t="str">
        <x:v>FINE | point 3 | DAC 9.00 | CTRL X 0.98662 | X 0.99183 | Y 0.36782 | Z 0.22618 | TOTAL 1.08228 | error -1.34 % | MAD 5.16 % | CV 4.27 % | coh 85.6 % | dominant X | axis fraction 100.0 % | IN TARGET BAND</x:v>
      </x:c>
      <x:c r="C4571" t="str">
        <x:v>Pasted text(59).txt</x:v>
      </x:c>
    </x:row>
    <x:row r="4572">
      <x:c r="A4572" t="n">
        <x:v>542</x:v>
      </x:c>
      <x:c r="B4572" s="58" t="str">
        <x:v>FINE | point 4 | DAC 9.25 | CTRL X 1.02617 | X 1.02327 | Y 0.39807 | Z 0.23513 | TOTAL 1.12354 | error 2.62 % | MAD 0.22 % | CV 0.62 % | coh 85.6 % | dominant X | axis fraction 100.0 % | IN TARGET BAND</x:v>
      </x:c>
      <x:c r="C4572" t="str">
        <x:v>Pasted text(59).txt</x:v>
      </x:c>
    </x:row>
    <x:row r="4573">
      <x:c r="A4573" t="n">
        <x:v>543</x:v>
      </x:c>
      <x:c r="B4573" s="58" t="str">
        <x:v>FINE | point 5 | DAC 9.50 | CTRL X 1.03325 | X 1.03339 | Y 0.37724 | Z 0.24693 | TOTAL 1.12763 | error 3.32 % | MAD 2.08 % | CV 1.43 % | coh 87.2 % | dominant X | axis fraction 100.0 % | IN TARGET BAND</x:v>
      </x:c>
      <x:c r="C4573" t="str">
        <x:v>Pasted text(59).txt</x:v>
      </x:c>
    </x:row>
    <x:row r="4574">
      <x:c r="A4574" t="n">
        <x:v>544</x:v>
      </x:c>
      <x:c r="B4574" s="58" t="str">
        <x:v>FINE | point 6 | DAC 9.75 | CTRL X 1.12904 | X 1.13543 | Y 0.43104 | Z 0.24726 | TOTAL 1.24049 | error 12.90 % | MAD 0.17 % | CV 1.08 % | coh 87.5 % | dominant X | axis fraction 100.0 % | VALID</x:v>
      </x:c>
      <x:c r="C4574" t="str">
        <x:v>Pasted text(59).txt</x:v>
      </x:c>
    </x:row>
    <x:row r="4575">
      <x:c r="A4575" t="n">
        <x:v>545</x:v>
      </x:c>
      <x:c r="B4575" s="58" t="str">
        <x:v>FINE | point 7 | DAC 10.00 | CTRL X 1.11763 | X 1.12128 | Y 0.43827 | Z 0.27620 | TOTAL 1.23546 | error 11.76 % | MAD 0.83 % | CV 1.08 % | coh 85.6 % | dominant X | axis fraction 100.0 % | VALID</x:v>
      </x:c>
      <x:c r="C4575" t="str">
        <x:v>Pasted text(59).txt</x:v>
      </x:c>
    </x:row>
    <x:row r="4576">
      <x:c r="A4576" t="n">
        <x:v>546</x:v>
      </x:c>
      <x:c r="B4576" s="58" t="str">
        <x:v>FINE | point 8 | DAC 10.25 | CTRL X 1.18374 | X 1.18213 | Y 0.43239 | Z 0.30389 | TOTAL 1.29537 | error 18.37 % | MAD 3.24 % | CV 2.40 % | coh 88.9 % | dominant X | axis fraction 100.0 % | VALID</x:v>
      </x:c>
      <x:c r="C4576" t="str">
        <x:v>Pasted text(59).txt</x:v>
      </x:c>
    </x:row>
    <x:row r="4577">
      <x:c r="A4577" t="n">
        <x:v>547</x:v>
      </x:c>
      <x:c r="B4577" s="58" t="str">
        <x:v>FINE | point 9 | DAC 10.50 | CTRL X 1.21258 | X 1.21407 | Y 0.45687 | Z 0.23625 | TOTAL 1.31921 | error 21.26 % | MAD 0.22 % | CV 0.35 % | coh 90.8 % | dominant X | axis fraction 100.0 % | VALID</x:v>
      </x:c>
      <x:c r="C4577" t="str">
        <x:v>Pasted text(59).txt</x:v>
      </x:c>
    </x:row>
    <x:row r="4578">
      <x:c r="A4578" t="n">
        <x:v>548</x:v>
      </x:c>
      <x:c r="B4578" s="58" t="str"/>
      <x:c r="C4578" t="str">
        <x:v>Pasted text(59).txt</x:v>
      </x:c>
    </x:row>
    <x:row r="4579">
      <x:c r="A4579" t="n">
        <x:v>549</x:v>
      </x:c>
      <x:c r="B4579" s="58" t="str">
        <x:v>LONG VALIDATION AT FIXED DAC 9.25</x:v>
      </x:c>
      <x:c r="C4579" t="str">
        <x:v>Pasted text(59).txt</x:v>
      </x:c>
    </x:row>
    <x:row r="4580">
      <x:c r="A4580" t="n">
        <x:v>550</x:v>
      </x:c>
      <x:c r="B4580" s="58" t="str">
        <x:v>FINAL | point 1 | DAC 9.25 | CTRL X 1.02562 | X 1.02750 | Y 0.40139 | Z 0.26992 | TOTAL 1.13582 | error 2.56 % | MAD 1.34 % | CV 1.58 % | coh 85.3 % | dominant X | axis fraction 100.0 % | IN TARGET BAND</x:v>
      </x:c>
      <x:c r="C4580" t="str">
        <x:v>Pasted text(59).txt</x:v>
      </x:c>
    </x:row>
    <x:row r="4581">
      <x:c r="A4581" t="n">
        <x:v>551</x:v>
      </x:c>
      <x:c r="B4581" s="58" t="str">
        <x:v>FINAL | point 2 | DAC 9.25 | CTRL X 1.01518 | X 1.01818 | Y 0.39674 | Z 0.24399 | TOTAL 1.11993 | error 1.52 % | MAD 0.59 % | CV 0.71 % | coh 85.4 % | dominant X | axis fraction 100.0 % | IN TARGET BAND</x:v>
      </x:c>
      <x:c r="C4581" t="str">
        <x:v>Pasted text(59).txt</x:v>
      </x:c>
    </x:row>
    <x:row r="4582">
      <x:c r="A4582" t="n">
        <x:v>552</x:v>
      </x:c>
      <x:c r="B4582" s="58" t="str">
        <x:v>VALIDATION ACCEPTED | pair drift 1.02 %</x:v>
      </x:c>
      <x:c r="C4582" t="str">
        <x:v>Pasted text(59).txt</x:v>
      </x:c>
    </x:row>
    <x:row r="4583">
      <x:c r="A4583" t="n">
        <x:v>553</x:v>
      </x:c>
      <x:c r="B4583" s="58" t="str"/>
      <x:c r="C4583" t="str">
        <x:v>Pasted text(59).txt</x:v>
      </x:c>
    </x:row>
    <x:row r="4584">
      <x:c r="A4584" t="n">
        <x:v>554</x:v>
      </x:c>
      <x:c r="B4584" s="58" t="str">
        <x:v>FINAL VALIDATED BLIND FFT VERIFICATION</x:v>
      </x:c>
      <x:c r="C4584" t="str">
        <x:v>Pasted text(59).txt</x:v>
      </x:c>
    </x:row>
    <x:row r="4585">
      <x:c r="A4585" t="n">
        <x:v>555</x:v>
      </x:c>
      <x:c r="B4585" s="58" t="str">
        <x:v>Commanded frequency: 268.00000 Hz</x:v>
      </x:c>
      <x:c r="C4585" t="str">
        <x:v>Pasted text(59).txt</x:v>
      </x:c>
    </x:row>
    <x:row r="4586">
      <x:c r="A4586" t="n">
        <x:v>556</x:v>
      </x:c>
      <x:c r="B4586" s="58" t="str">
        <x:v>Accepted DAC: 9.25</x:v>
      </x:c>
      <x:c r="C4586" t="str">
        <x:v>Pasted text(59).txt</x:v>
      </x:c>
    </x:row>
    <x:row r="4587">
      <x:c r="A4587" t="n">
        <x:v>557</x:v>
      </x:c>
      <x:c r="B4587" s="58" t="str">
        <x:v>Axis,Frequency_Hz,Amplitude_mps2,SNR_dB,Status</x:v>
      </x:c>
      <x:c r="C4587" t="str">
        <x:v>Pasted text(59).txt</x:v>
      </x:c>
    </x:row>
    <x:row r="4588">
      <x:c r="A4588" t="n">
        <x:v>558</x:v>
      </x:c>
      <x:c r="B4588" s="58" t="str">
        <x:v>X,268.02430,0.91166,29.42,VALID</x:v>
      </x:c>
      <x:c r="C4588" t="str">
        <x:v>Pasted text(59).txt</x:v>
      </x:c>
    </x:row>
    <x:row r="4589">
      <x:c r="A4589" t="n">
        <x:v>559</x:v>
      </x:c>
      <x:c r="B4589" s="58" t="str">
        <x:v>Y,268.01109,0.34411,19.85,VALID</x:v>
      </x:c>
      <x:c r="C4589" t="str">
        <x:v>Pasted text(59).txt</x:v>
      </x:c>
    </x:row>
    <x:row r="4590">
      <x:c r="A4590" t="n">
        <x:v>560</x:v>
      </x:c>
      <x:c r="B4590" s="58" t="str">
        <x:v>Z,268.01068,0.21934,20.83,VALID</x:v>
      </x:c>
      <x:c r="C4590" t="str">
        <x:v>Pasted text(59).txt</x:v>
      </x:c>
    </x:row>
    <x:row r="4591">
      <x:c r="A4591" t="n">
        <x:v>561</x:v>
      </x:c>
      <x:c r="B4591" s="58" t="str">
        <x:v>Combined frequency: 268.02212 Hz | difference 0.02212 Hz</x:v>
      </x:c>
      <x:c r="C4591" t="str">
        <x:v>Pasted text(59).txt</x:v>
      </x:c>
    </x:row>
    <x:row r="4592">
      <x:c r="A4592" t="n">
        <x:v>562</x:v>
      </x:c>
      <x:c r="B4592" s="58" t="str">
        <x:v>Combined X/Y/Z/TOTAL: 0.83157 / 0.31323 / 0.20022 / 0.91088</x:v>
      </x:c>
      <x:c r="C4592" t="str">
        <x:v>Pasted text(59).txt</x:v>
      </x:c>
    </x:row>
    <x:row r="4593">
      <x:c r="A4593" t="n">
        <x:v>563</x:v>
      </x:c>
      <x:c r="B4593" s="58" t="str">
        <x:v>SNR: 25.89 dB | dominant axis X</x:v>
      </x:c>
      <x:c r="C4593" t="str">
        <x:v>Pasted text(59).txt</x:v>
      </x:c>
    </x:row>
    <x:row r="4594">
      <x:c r="A4594" t="n">
        <x:v>564</x:v>
      </x:c>
      <x:c r="B4594" s="58" t="str">
        <x:v>Frequency verification: PASS</x:v>
      </x:c>
      <x:c r="C4594" t="str">
        <x:v>Pasted text(59).txt</x:v>
      </x:c>
    </x:row>
    <x:row r="4595">
      <x:c r="A4595" t="n">
        <x:v>565</x:v>
      </x:c>
      <x:c r="B4595" s="58" t="str">
        <x:v>Y/Z dominance: DIAGNOSTIC ONLY — ignored for pass/fail</x:v>
      </x:c>
      <x:c r="C4595" t="str">
        <x:v>Pasted text(59).txt</x:v>
      </x:c>
    </x:row>
    <x:row r="4596">
      <x:c r="A4596" t="n">
        <x:v>566</x:v>
      </x:c>
      <x:c r="B4596" s="58" t="str"/>
      <x:c r="C4596" t="str">
        <x:v>Pasted text(59).txt</x:v>
      </x:c>
    </x:row>
    <x:row r="4597">
      <x:c r="A4597" t="n">
        <x:v>567</x:v>
      </x:c>
      <x:c r="B4597" s="58" t="str">
        <x:v>FIXED-DAC HOLD VALIDATION</x:v>
      </x:c>
      <x:c r="C4597" t="str">
        <x:v>Pasted text(59).txt</x:v>
      </x:c>
    </x:row>
    <x:row r="4598">
      <x:c r="A4598" t="n">
        <x:v>568</x:v>
      </x:c>
      <x:c r="B4598" s="58" t="str">
        <x:v>DAC remains fixed at 9.25 for 10 records.</x:v>
      </x:c>
      <x:c r="C4598" t="str">
        <x:v>Pasted text(59).txt</x:v>
      </x:c>
    </x:row>
    <x:row r="4599">
      <x:c r="A4599" t="n">
        <x:v>569</x:v>
      </x:c>
      <x:c r="B4599" s="58" t="str">
        <x:v>HOLD | point 1 | DAC 9.25 | CTRL X 0.95378 | X 0.96795 | Y 0.38717 | Z 0.25203 | TOTAL 1.07332 | error -4.62 % | MAD 0.68 % | CV 2.94 % | coh 85.1 % | dominant X | axis fraction 100.0 % | IN TARGET BAND</x:v>
      </x:c>
      <x:c r="C4599" t="str">
        <x:v>Pasted text(59).txt</x:v>
      </x:c>
    </x:row>
    <x:row r="4600">
      <x:c r="A4600" t="n">
        <x:v>570</x:v>
      </x:c>
      <x:c r="B4600" s="58" t="str">
        <x:v>HOLD | point 2 | DAC 9.25 | CTRL X 0.99873 | X 0.99756 | Y 0.38964 | Z 0.26251 | TOTAL 1.10305 | error -0.13 % | MAD 1.21 % | CV 1.00 % | coh 84.9 % | dominant X | axis fraction 100.0 % | IN TARGET BAND</x:v>
      </x:c>
      <x:c r="C4600" t="str">
        <x:v>Pasted text(59).txt</x:v>
      </x:c>
    </x:row>
    <x:row r="4601">
      <x:c r="A4601" t="n">
        <x:v>571</x:v>
      </x:c>
      <x:c r="B4601" s="58" t="str">
        <x:v>HOLD | point 3 | DAC 9.25 | CTRL X 0.93794 | X 0.94509 | Y 0.39454 | Z 0.26571 | TOTAL 1.05842 | error -6.21 % | MAD 1.56 % | CV 2.28 % | coh 83.3 % | dominant X | axis fraction 100.0 % | IN TARGET BAND</x:v>
      </x:c>
      <x:c r="C4601" t="str">
        <x:v>Pasted text(59).txt</x:v>
      </x:c>
    </x:row>
    <x:row r="4602">
      <x:c r="A4602" t="n">
        <x:v>572</x:v>
      </x:c>
      <x:c r="B4602" s="58" t="str">
        <x:v>HOLD | point 4 | DAC 9.25 | CTRL X 0.96002 | X 0.95392 | Y 0.35928 | Z 0.22985 | TOTAL 1.04515 | error -4.00 % | MAD 0.15 % | CV 1.19 % | coh 84.0 % | dominant X | axis fraction 100.0 % | IN TARGET BAND</x:v>
      </x:c>
      <x:c r="C4602" t="str">
        <x:v>Pasted text(59).txt</x:v>
      </x:c>
    </x:row>
    <x:row r="4603">
      <x:c r="A4603" t="n">
        <x:v>573</x:v>
      </x:c>
      <x:c r="B4603" s="58" t="str">
        <x:v>HOLD | point 5 | DAC 9.25 | CTRL X 0.98576 | X 0.98356 | Y 0.40319 | Z 0.23556 | TOTAL 1.09001 | error -1.42 % | MAD 1.33 % | CV 1.25 % | coh 85.7 % | dominant X | axis fraction 100.0 % | IN TARGET BAND</x:v>
      </x:c>
      <x:c r="C4603" t="str">
        <x:v>Pasted text(59).txt</x:v>
      </x:c>
    </x:row>
    <x:row r="4604">
      <x:c r="A4604" t="n">
        <x:v>574</x:v>
      </x:c>
      <x:c r="B4604" s="58" t="str">
        <x:v>HOLD | point 6 | DAC 9.25 | CTRL X 0.98192 | X 0.97597 | Y 0.42432 | Z 0.23428 | TOTAL 1.09014 | error -1.81 % | MAD 1.02 % | CV 1.69 % | coh 86.4 % | dominant X | axis fraction 100.0 % | IN TARGET BAND</x:v>
      </x:c>
      <x:c r="C4604" t="str">
        <x:v>Pasted text(59).txt</x:v>
      </x:c>
    </x:row>
    <x:row r="4605">
      <x:c r="A4605" t="n">
        <x:v>575</x:v>
      </x:c>
      <x:c r="B4605" s="58" t="str">
        <x:v>HOLD | point 7 | DAC 9.25 | CTRL X 0.97729 | X 0.97240 | Y 0.42942 | Z 0.23749 | TOTAL 1.08958 | error -2.27 % | MAD 0.96 % | CV 1.47 % | coh 85.0 % | dominant X | axis fraction 100.0 % | IN TARGET BAND</x:v>
      </x:c>
      <x:c r="C4605" t="str">
        <x:v>Pasted text(59).txt</x:v>
      </x:c>
    </x:row>
    <x:row r="4606">
      <x:c r="A4606" t="n">
        <x:v>576</x:v>
      </x:c>
      <x:c r="B4606" s="58" t="str">
        <x:v>HOLD | point 8 | DAC 9.25 | CTRL X 0.98784 | X 0.97437 | Y 0.40915 | Z 0.25788 | TOTAL 1.08791 | error -1.22 % | MAD 0.74 % | CV 2.84 % | coh 85.6 % | dominant X | axis fraction 100.0 % | IN TARGET BAND</x:v>
      </x:c>
      <x:c r="C4606" t="str">
        <x:v>Pasted text(59).txt</x:v>
      </x:c>
    </x:row>
    <x:row r="4607">
      <x:c r="A4607" t="n">
        <x:v>577</x:v>
      </x:c>
      <x:c r="B4607" s="58" t="str">
        <x:v>HOLD | point 9 | DAC 9.25 | CTRL X 0.98525 | X 0.98492 | Y 0.45193 | Z 0.24474 | TOTAL 1.11154 | error -1.48 % | MAD 0.07 % | CV 0.10 % | coh 85.7 % | dominant X | axis fraction 100.0 % | IN TARGET BAND</x:v>
      </x:c>
      <x:c r="C4607" t="str">
        <x:v>Pasted text(59).txt</x:v>
      </x:c>
    </x:row>
    <x:row r="4608">
      <x:c r="A4608" t="n">
        <x:v>578</x:v>
      </x:c>
      <x:c r="B4608" s="58" t="str">
        <x:v>HOLD | point 10 | DAC 9.25 | CTRL X 0.96588 | X 0.96725 | Y 0.46352 | Z 0.21513 | TOTAL 1.09431 | error -3.41 % | MAD 0.16 % | CV 0.34 % | coh 84.6 % | dominant X | axis fraction 100.0 % | IN TARGET BAND</x:v>
      </x:c>
      <x:c r="C4608" t="str">
        <x:v>Pasted text(59).txt</x:v>
      </x:c>
    </x:row>
    <x:row r="4609">
      <x:c r="A4609" t="n">
        <x:v>579</x:v>
      </x:c>
      <x:c r="B4609" s="58" t="str"/>
      <x:c r="C4609" t="str">
        <x:v>Pasted text(59).txt</x:v>
      </x:c>
    </x:row>
    <x:row r="4610">
      <x:c r="A4610" t="n">
        <x:v>580</x:v>
      </x:c>
      <x:c r="B4610" s="58" t="str">
        <x:v>HOLD SUMMARY</x:v>
      </x:c>
      <x:c r="C4610" t="str">
        <x:v>Pasted text(59).txt</x:v>
      </x:c>
    </x:row>
    <x:row r="4611">
      <x:c r="A4611" t="n">
        <x:v>581</x:v>
      </x:c>
      <x:c r="B4611" s="58" t="str">
        <x:v>Valid / requested: 10 / 10</x:v>
      </x:c>
      <x:c r="C4611" t="str">
        <x:v>Pasted text(59).txt</x:v>
      </x:c>
    </x:row>
    <x:row r="4612">
      <x:c r="A4612" t="n">
        <x:v>582</x:v>
      </x:c>
      <x:c r="B4612" s="58" t="str">
        <x:v>In band / requested: 10 / 10 = 100.0 %</x:v>
      </x:c>
      <x:c r="C4612" t="str">
        <x:v>Pasted text(59).txt</x:v>
      </x:c>
    </x:row>
    <x:row r="4613">
      <x:c r="A4613" t="n">
        <x:v>583</x:v>
      </x:c>
      <x:c r="B4613" s="58" t="str">
        <x:v>Mean / SD / CV: 0.97344 / 0.01859 / 1.91 %</x:v>
      </x:c>
      <x:c r="C4613" t="str">
        <x:v>Pasted text(59).txt</x:v>
      </x:c>
    </x:row>
    <x:row r="4614">
      <x:c r="A4614" t="n">
        <x:v>584</x:v>
      </x:c>
      <x:c r="B4614" s="58" t="str">
        <x:v>Min / Max: 0.93794 / 0.99873</x:v>
      </x:c>
      <x:c r="C4614" t="str">
        <x:v>Pasted text(59).txt</x:v>
      </x:c>
    </x:row>
    <x:row r="4615">
      <x:c r="A4615" t="n">
        <x:v>585</x:v>
      </x:c>
      <x:c r="B4615" s="58" t="str">
        <x:v>HOLD RESULT: PASS</x:v>
      </x:c>
      <x:c r="C4615" t="str">
        <x:v>Pasted text(59).txt</x:v>
      </x:c>
    </x:row>
    <x:row r="4616">
      <x:c r="A4616" t="n">
        <x:v>586</x:v>
      </x:c>
      <x:c r="B4616" s="58" t="str"/>
      <x:c r="C4616" t="str">
        <x:v>Pasted text(59).txt</x:v>
      </x:c>
    </x:row>
    <x:row r="4617">
      <x:c r="A4617" t="n">
        <x:v>587</x:v>
      </x:c>
      <x:c r="B4617" s="58" t="str">
        <x:v>RUN RESULT: PASS</x:v>
      </x:c>
      <x:c r="C4617" t="str">
        <x:v>Pasted text(59).txt</x:v>
      </x:c>
    </x:row>
    <x:row r="4618">
      <x:c r="A4618" t="n">
        <x:v>588</x:v>
      </x:c>
      <x:c r="B4618" s="58" t="str">
        <x:v>Selected DAC: 9.25</x:v>
      </x:c>
      <x:c r="C4618" t="str">
        <x:v>Pasted text(59).txt</x:v>
      </x:c>
    </x:row>
    <x:row r="4619">
      <x:c r="A4619" t="n">
        <x:v>589</x:v>
      </x:c>
      <x:c r="B4619" s="58" t="str">
        <x:v>Validated amplitude: 1.02040 m/s^2 | error 2.04 %</x:v>
      </x:c>
      <x:c r="C4619" t="str">
        <x:v>Pasted text(59).txt</x:v>
      </x:c>
    </x:row>
    <x:row r="4620">
      <x:c r="A4620" t="n">
        <x:v>590</x:v>
      </x:c>
      <x:c r="B4620" s="58" t="str">
        <x:v>FFT frequency: 268.02212 Hz | difference 0.02212 Hz</x:v>
      </x:c>
      <x:c r="C4620" t="str">
        <x:v>Pasted text(59).txt</x:v>
      </x:c>
    </x:row>
    <x:row r="4621">
      <x:c r="A4621" t="n">
        <x:v>591</x:v>
      </x:c>
      <x:c r="B4621" s="58" t="str"/>
      <x:c r="C4621" t="str">
        <x:v>Pasted text(59).txt</x:v>
      </x:c>
    </x:row>
    <x:row r="4622">
      <x:c r="A4622" t="n">
        <x:v>592</x:v>
      </x:c>
      <x:c r="B4622" s="58" t="str">
        <x:v>VISATON OFF. RESTING 5.0 s BEFORE THE NEXT COMPLETELY FRESH RUN.</x:v>
      </x:c>
      <x:c r="C4622" t="str">
        <x:v>Pasted text(59).txt</x:v>
      </x:c>
    </x:row>
    <x:row r="4623">
      <x:c r="A4623" t="n">
        <x:v>593</x:v>
      </x:c>
      <x:c r="B4623" s="58" t="str"/>
      <x:c r="C4623" t="str">
        <x:v>Pasted text(59).txt</x:v>
      </x:c>
    </x:row>
    <x:row r="4624">
      <x:c r="A4624" t="n">
        <x:v>594</x:v>
      </x:c>
      <x:c r="B4624" s="58" t="str">
        <x:v>################################################################################</x:v>
      </x:c>
      <x:c r="C4624" t="str">
        <x:v>Pasted text(59).txt</x:v>
      </x:c>
    </x:row>
    <x:row r="4625">
      <x:c r="A4625" t="n">
        <x:v>595</x:v>
      </x:c>
      <x:c r="B4625" s="58" t="str">
        <x:v>INDEPENDENT TARGET-AMPLITUDE RUN 2 OF 5</x:v>
      </x:c>
      <x:c r="C4625" t="str">
        <x:v>Pasted text(59).txt</x:v>
      </x:c>
    </x:row>
    <x:row r="4626">
      <x:c r="A4626" t="n">
        <x:v>596</x:v>
      </x:c>
      <x:c r="B4626" s="58" t="str">
        <x:v>################################################################################</x:v>
      </x:c>
      <x:c r="C4626" t="str">
        <x:v>Pasted text(59).txt</x:v>
      </x:c>
    </x:row>
    <x:row r="4627">
      <x:c r="A4627" t="n">
        <x:v>597</x:v>
      </x:c>
      <x:c r="B4627" s="58" t="str">
        <x:v>Frequency: 268.00000 Hz</x:v>
      </x:c>
      <x:c r="C4627" t="str">
        <x:v>Pasted text(59).txt</x:v>
      </x:c>
    </x:row>
    <x:row r="4628">
      <x:c r="A4628" t="n">
        <x:v>598</x:v>
      </x:c>
      <x:c r="B4628" s="58" t="str">
        <x:v>Target X amplitude: 1.00000 m/s^2 peak, tolerance +/-7.50 %</x:v>
      </x:c>
      <x:c r="C4628" t="str">
        <x:v>Pasted text(59).txt</x:v>
      </x:c>
    </x:row>
    <x:row r="4629">
      <x:c r="A4629" t="n">
        <x:v>599</x:v>
      </x:c>
      <x:c r="B4629" s="58" t="str">
        <x:v>This run starts from DAC 1.00 and ignores every earlier selected DAC.</x:v>
      </x:c>
      <x:c r="C4629" t="str">
        <x:v>Pasted text(59).txt</x:v>
      </x:c>
    </x:row>
    <x:row r="4630">
      <x:c r="A4630" t="n">
        <x:v>600</x:v>
      </x:c>
      <x:c r="B4630" s="58" t="str">
        <x:v>ADXL2 DEVID/DATA_FORMAT/BW_RATE/POWER_CTL: 0xE5 / 0xB / 0xE / 0x8</x:v>
      </x:c>
      <x:c r="C4630" t="str">
        <x:v>Pasted text(59).txt</x:v>
      </x:c>
    </x:row>
    <x:row r="4631">
      <x:c r="A4631" t="n">
        <x:v>601</x:v>
      </x:c>
      <x:c r="B4631" s="58" t="str"/>
      <x:c r="C4631" t="str">
        <x:v>Pasted text(59).txt</x:v>
      </x:c>
    </x:row>
    <x:row r="4632">
      <x:c r="A4632" t="n">
        <x:v>602</x:v>
      </x:c>
      <x:c r="B4632" s="58" t="str">
        <x:v>ACQUISITION ATTEMPT 1 OF 2</x:v>
      </x:c>
      <x:c r="C4632" t="str">
        <x:v>Pasted text(59).txt</x:v>
      </x:c>
    </x:row>
    <x:row r="4633">
      <x:c r="A4633" t="n">
        <x:v>603</x:v>
      </x:c>
      <x:c r="B4633" s="58" t="str"/>
      <x:c r="C4633" t="str">
        <x:v>Pasted text(59).txt</x:v>
      </x:c>
    </x:row>
    <x:row r="4634">
      <x:c r="A4634" t="n">
        <x:v>604</x:v>
      </x:c>
      <x:c r="B4634" s="58" t="str">
        <x:v>FRESH X-AXIS SEARCH FROM DAC 1.00 — OLD DAC VALUES ARE NOT USED</x:v>
      </x:c>
      <x:c r="C4634" t="str">
        <x:v>Pasted text(59).txt</x:v>
      </x:c>
    </x:row>
    <x:row r="4635">
      <x:c r="A4635" t="n">
        <x:v>605</x:v>
      </x:c>
      <x:c r="B4635" s="58" t="str">
        <x:v>Y/Z are diagnostic only and cannot abort this search.</x:v>
      </x:c>
      <x:c r="C4635" t="str">
        <x:v>Pasted text(59).txt</x:v>
      </x:c>
    </x:row>
    <x:row r="4636">
      <x:c r="A4636" t="n">
        <x:v>606</x:v>
      </x:c>
      <x:c r="B4636" s="58" t="str">
        <x:v>A real SPI fault, clipping, safety limit or confirmed X-response collapse will stop it.</x:v>
      </x:c>
      <x:c r="C4636" t="str">
        <x:v>Pasted text(59).txt</x:v>
      </x:c>
    </x:row>
    <x:row r="4637">
      <x:c r="A4637" t="n">
        <x:v>607</x:v>
      </x:c>
      <x:c r="B4637" s="58" t="str">
        <x:v>SEARCH | point 1 | DAC 1.00 | CTRL X 0.02525 | X 0.02780 | Y 0.02202 | Z 0.01808 | TOTAL 0.04074 | error -97.47 % | MAD 29.96 % | CV 12.98 % | coh 8.3 % | dominant X | axis fraction 100.0 % | BELOW MEASUREMENT FLOOR — SEARCH CONTINUES</x:v>
      </x:c>
      <x:c r="C4637" t="str">
        <x:v>Pasted text(59).txt</x:v>
      </x:c>
    </x:row>
    <x:row r="4638">
      <x:c r="A4638" t="n">
        <x:v>608</x:v>
      </x:c>
      <x:c r="B4638" s="58" t="str">
        <x:v>SEARCH | point 2 | DAC 3.00 | CTRL X 0.24642 | X 0.23786 | Y 0.09670 | Z 0.05632 | TOTAL 0.26332 | error -75.36 % | MAD 2.37 % | CV 7.71 % | coh 33.3 % | dominant X | axis fraction 100.0 % | UNSTABLE — SEARCH CONTINUES</x:v>
      </x:c>
      <x:c r="C4638" t="str">
        <x:v>Pasted text(59).txt</x:v>
      </x:c>
    </x:row>
    <x:row r="4639">
      <x:c r="A4639" t="n">
        <x:v>609</x:v>
      </x:c>
      <x:c r="B4639" s="58" t="str">
        <x:v>SEARCH | point 3 | DAC 5.00 | CTRL X 0.46446 | X 0.47263 | Y 0.20655 | Z 0.07408 | TOTAL 0.52208 | error -53.55 % | MAD 0.26 % | CV 3.14 % | coh 57.8 % | dominant X | axis fraction 100.0 % | VALID</x:v>
      </x:c>
      <x:c r="C4639" t="str">
        <x:v>Pasted text(59).txt</x:v>
      </x:c>
    </x:row>
    <x:row r="4640">
      <x:c r="A4640" t="n">
        <x:v>610</x:v>
      </x:c>
      <x:c r="B4640" s="58" t="str">
        <x:v>SEARCH | point 4 | DAC 6.00 | CTRL X 0.57615 | X 0.57667 | Y 0.26781 | Z 0.13193 | TOTAL 0.64952 | error -42.39 % | MAD 6.06 % | CV 4.22 % | coh 66.0 % | dominant X | axis fraction 100.0 % | VALID</x:v>
      </x:c>
      <x:c r="C4640" t="str">
        <x:v>Pasted text(59).txt</x:v>
      </x:c>
    </x:row>
    <x:row r="4641">
      <x:c r="A4641" t="n">
        <x:v>611</x:v>
      </x:c>
      <x:c r="B4641" s="58" t="str">
        <x:v>SEARCH | point 5 | DAC 7.00 | CTRL X 0.68534 | X 0.68497 | Y 0.27717 | Z 0.17399 | TOTAL 0.75971 | error -31.47 % | MAD 0.88 % | CV 0.68 % | coh 73.5 % | dominant X | axis fraction 100.0 % | VALID</x:v>
      </x:c>
      <x:c r="C4641" t="str">
        <x:v>Pasted text(59).txt</x:v>
      </x:c>
    </x:row>
    <x:row r="4642">
      <x:c r="A4642" t="n">
        <x:v>612</x:v>
      </x:c>
      <x:c r="B4642" s="58" t="str">
        <x:v>SEARCH | point 6 | DAC 7.50 | CTRL X 0.72629 | X 0.72052 | Y 0.29829 | Z 0.20290 | TOTAL 0.80679 | error -27.37 % | MAD 6.12 % | CV 5.40 % | coh 79.4 % | dominant X | axis fraction 100.0 % | VALID</x:v>
      </x:c>
      <x:c r="C4642" t="str">
        <x:v>Pasted text(59).txt</x:v>
      </x:c>
    </x:row>
    <x:row r="4643">
      <x:c r="A4643" t="n">
        <x:v>613</x:v>
      </x:c>
      <x:c r="B4643" s="58" t="str">
        <x:v>SEARCH | point 7 | DAC 8.00 | CTRL X 0.80415 | X 0.80863 | Y 0.34270 | Z 0.26075 | TOTAL 0.91665 | error -19.59 % | MAD 0.84 % | CV 1.48 % | coh 78.5 % | dominant X | axis fraction 100.0 % | VALID</x:v>
      </x:c>
      <x:c r="C4643" t="str">
        <x:v>Pasted text(59).txt</x:v>
      </x:c>
    </x:row>
    <x:row r="4644">
      <x:c r="A4644" t="n">
        <x:v>614</x:v>
      </x:c>
      <x:c r="B4644" s="58" t="str">
        <x:v>SEARCH | point 8 | DAC 8.50 | CTRL X 0.88263 | X 0.88310 | Y 0.34355 | Z 0.23821 | TOTAL 0.97734 | error -11.74 % | MAD 0.09 % | CV 0.15 % | coh 83.6 % | dominant X | axis fraction 100.0 % | VALID</x:v>
      </x:c>
      <x:c r="C4644" t="str">
        <x:v>Pasted text(59).txt</x:v>
      </x:c>
    </x:row>
    <x:row r="4645">
      <x:c r="A4645" t="n">
        <x:v>615</x:v>
      </x:c>
      <x:c r="B4645" s="58" t="str">
        <x:v>SEARCH | point 9 | DAC 8.75 | CTRL X 0.92268 | X 0.91757 | Y 0.37130 | Z 0.24441 | TOTAL 1.01993 | error -7.73 % | MAD 1.64 % | CV 2.01 % | coh 79.2 % | dominant X | axis fraction 100.0 % | VALID</x:v>
      </x:c>
      <x:c r="C4645" t="str">
        <x:v>Pasted text(59).txt</x:v>
      </x:c>
    </x:row>
    <x:row r="4646">
      <x:c r="A4646" t="n">
        <x:v>616</x:v>
      </x:c>
      <x:c r="B4646" s="58" t="str">
        <x:v>SEARCH | point 10 | DAC 9.00 | CTRL X 0.98780 | X 0.97812 | Y 0.40431 | Z 0.26055 | TOTAL 1.09052 | error -1.22 % | MAD 0.13 % | CV 1.79 % | coh 82.0 % | dominant X | axis fraction 100.0 % | IN TARGET BAND</x:v>
      </x:c>
      <x:c r="C4646" t="str">
        <x:v>Pasted text(59).txt</x:v>
      </x:c>
    </x:row>
    <x:row r="4647">
      <x:c r="A4647" t="n">
        <x:v>617</x:v>
      </x:c>
      <x:c r="B4647" s="58" t="str"/>
      <x:c r="C4647" t="str">
        <x:v>Pasted text(59).txt</x:v>
      </x:c>
    </x:row>
    <x:row r="4648">
      <x:c r="A4648" t="n">
        <x:v>618</x:v>
      </x:c>
      <x:c r="B4648" s="58" t="str">
        <x:v>LOCAL 0.25-DAC X-AXIS FINE SCAN</x:v>
      </x:c>
      <x:c r="C4648" t="str">
        <x:v>Pasted text(59).txt</x:v>
      </x:c>
    </x:row>
    <x:row r="4649">
      <x:c r="A4649" t="n">
        <x:v>619</x:v>
      </x:c>
      <x:c r="B4649" s="58" t="str">
        <x:v>Only a valid point actually inside the X target band may be selected.</x:v>
      </x:c>
      <x:c r="C4649" t="str">
        <x:v>Pasted text(59).txt</x:v>
      </x:c>
    </x:row>
    <x:row r="4650">
      <x:c r="A4650" t="n">
        <x:v>620</x:v>
      </x:c>
      <x:c r="B4650" s="58" t="str">
        <x:v>FINE | point 1 | DAC 8.00 | CTRL X 0.79203 | X 0.79797 | Y 0.33115 | Z 0.24129 | TOTAL 0.89735 | error -20.80 % | MAD 0.59 % | CV 1.64 % | coh 78.3 % | dominant X | axis fraction 100.0 % | VALID</x:v>
      </x:c>
      <x:c r="C4650" t="str">
        <x:v>Pasted text(59).txt</x:v>
      </x:c>
    </x:row>
    <x:row r="4651">
      <x:c r="A4651" t="n">
        <x:v>621</x:v>
      </x:c>
      <x:c r="B4651" s="58" t="str">
        <x:v>FINE | point 2 | DAC 8.25 | CTRL X 0.80190 | X 0.81412 | Y 0.33970 | Z 0.25512 | TOTAL 0.91845 | error -19.81 % | MAD 0.82 % | CV 3.08 % | coh 79.4 % | dominant X | axis fraction 100.0 % | VALID</x:v>
      </x:c>
      <x:c r="C4651" t="str">
        <x:v>Pasted text(59).txt</x:v>
      </x:c>
    </x:row>
    <x:row r="4652">
      <x:c r="A4652" t="n">
        <x:v>622</x:v>
      </x:c>
      <x:c r="B4652" s="58" t="str">
        <x:v>FINE | point 3 | DAC 8.50 | CTRL X 0.83741 | X 0.84384 | Y 0.33598 | Z 0.23406 | TOTAL 0.93851 | error -16.26 % | MAD 1.53 % | CV 2.27 % | coh 82.2 % | dominant X | axis fraction 100.0 % | VALID</x:v>
      </x:c>
      <x:c r="C4652" t="str">
        <x:v>Pasted text(59).txt</x:v>
      </x:c>
    </x:row>
    <x:row r="4653">
      <x:c r="A4653" t="n">
        <x:v>623</x:v>
      </x:c>
      <x:c r="B4653" s="58" t="str">
        <x:v>FINE | point 4 | DAC 8.75 | CTRL X 0.89347 | X 0.89172 | Y 0.36655 | Z 0.26701 | TOTAL 1.00048 | error -10.65 % | MAD 0.42 % | CV 0.61 % | coh 79.8 % | dominant X | axis fraction 100.0 % | VALID</x:v>
      </x:c>
      <x:c r="C4653" t="str">
        <x:v>Pasted text(59).txt</x:v>
      </x:c>
    </x:row>
    <x:row r="4654">
      <x:c r="A4654" t="n">
        <x:v>624</x:v>
      </x:c>
      <x:c r="B4654" s="58" t="str">
        <x:v>FINE | point 5 | DAC 9.00 | CTRL X 0.88196 | X 0.88257 | Y 0.41297 | Z 0.25501 | TOTAL 1.00730 | error -11.80 % | MAD 0.70 % | CV 0.58 % | coh 79.3 % | dominant X | axis fraction 100.0 % | VALID</x:v>
      </x:c>
      <x:c r="C4654" t="str">
        <x:v>Pasted text(59).txt</x:v>
      </x:c>
    </x:row>
    <x:row r="4655">
      <x:c r="A4655" t="n">
        <x:v>625</x:v>
      </x:c>
      <x:c r="B4655" s="58" t="str">
        <x:v>FINE | point 6 | DAC 9.25 | CTRL X 0.91358 | X 0.91465 | Y 0.40563 | Z 0.25009 | TOTAL 1.03147 | error -8.64 % | MAD 0.56 % | CV 0.56 % | coh 83.8 % | dominant X | axis fraction 100.0 % | VALID</x:v>
      </x:c>
      <x:c r="C4655" t="str">
        <x:v>Pasted text(59).txt</x:v>
      </x:c>
    </x:row>
    <x:row r="4656">
      <x:c r="A4656" t="n">
        <x:v>626</x:v>
      </x:c>
      <x:c r="B4656" s="58" t="str">
        <x:v>FINE | point 7 | DAC 9.50 | CTRL X 0.94054 | X 0.94019 | Y 0.39785 | Z 0.28124 | TOTAL 1.05947 | error -5.95 % | MAD 2.07 % | CV 1.46 % | coh 84.1 % | dominant X | axis fraction 100.0 % | IN TARGET BAND</x:v>
      </x:c>
      <x:c r="C4656" t="str">
        <x:v>Pasted text(59).txt</x:v>
      </x:c>
    </x:row>
    <x:row r="4657">
      <x:c r="A4657" t="n">
        <x:v>627</x:v>
      </x:c>
      <x:c r="B4657" s="58" t="str">
        <x:v>FINE | point 8 | DAC 9.75 | CTRL X 0.99415 | X 0.99189 | Y 0.41744 | Z 0.28133 | TOTAL 1.11278 | error -0.59 % | MAD 0.16 % | CV 0.49 % | coh 82.3 % | dominant X | axis fraction 100.0 % | IN TARGET BAND</x:v>
      </x:c>
      <x:c r="C4657" t="str">
        <x:v>Pasted text(59).txt</x:v>
      </x:c>
    </x:row>
    <x:row r="4658">
      <x:c r="A4658" t="n">
        <x:v>628</x:v>
      </x:c>
      <x:c r="B4658" s="58" t="str">
        <x:v>FINE | point 9 | DAC 10.00 | CTRL X 1.00910 | X 1.01294 | Y 0.42379 | Z 0.27318 | TOTAL 1.13162 | error 0.91 % | MAD 2.62 % | CV 2.35 % | coh 83.1 % | dominant X | axis fraction 100.0 % | IN TARGET BAND</x:v>
      </x:c>
      <x:c r="C4658" t="str">
        <x:v>Pasted text(59).txt</x:v>
      </x:c>
    </x:row>
    <x:row r="4659">
      <x:c r="A4659" t="n">
        <x:v>629</x:v>
      </x:c>
      <x:c r="B4659" s="58" t="str"/>
      <x:c r="C4659" t="str">
        <x:v>Pasted text(59).txt</x:v>
      </x:c>
    </x:row>
    <x:row r="4660">
      <x:c r="A4660" t="n">
        <x:v>630</x:v>
      </x:c>
      <x:c r="B4660" s="58" t="str">
        <x:v>LONG VALIDATION AT FIXED DAC 9.75</x:v>
      </x:c>
      <x:c r="C4660" t="str">
        <x:v>Pasted text(59).txt</x:v>
      </x:c>
    </x:row>
    <x:row r="4661">
      <x:c r="A4661" t="n">
        <x:v>631</x:v>
      </x:c>
      <x:c r="B4661" s="58" t="str">
        <x:v>FINAL | point 1 | DAC 9.75 | CTRL X 0.95498 | X 0.96130 | Y 0.42039 | Z 0.27700 | TOTAL 1.08613 | error -4.50 % | MAD 2.04 % | CV 2.25 % | coh 81.2 % | dominant X | axis fraction 100.0 % | IN TARGET BAND</x:v>
      </x:c>
      <x:c r="C4661" t="str">
        <x:v>Pasted text(59).txt</x:v>
      </x:c>
    </x:row>
    <x:row r="4662">
      <x:c r="A4662" t="n">
        <x:v>632</x:v>
      </x:c>
      <x:c r="B4662" s="58" t="str">
        <x:v>FINAL | point 2 | DAC 9.75 | CTRL X 0.97743 | X 0.97829 | Y 0.42748 | Z 0.26263 | TOTAL 1.09988 | error -2.26 % | MAD 2.23 % | CV 2.09 % | coh 82.1 % | dominant X | axis fraction 100.0 % | IN TARGET BAND</x:v>
      </x:c>
      <x:c r="C4662" t="str">
        <x:v>Pasted text(59).txt</x:v>
      </x:c>
    </x:row>
    <x:row r="4663">
      <x:c r="A4663" t="n">
        <x:v>633</x:v>
      </x:c>
      <x:c r="B4663" s="58" t="str">
        <x:v>VALIDATION ACCEPTED | pair drift 2.32 %</x:v>
      </x:c>
      <x:c r="C4663" t="str">
        <x:v>Pasted text(59).txt</x:v>
      </x:c>
    </x:row>
    <x:row r="4664">
      <x:c r="A4664" t="n">
        <x:v>634</x:v>
      </x:c>
      <x:c r="B4664" s="58" t="str"/>
      <x:c r="C4664" t="str">
        <x:v>Pasted text(59).txt</x:v>
      </x:c>
    </x:row>
    <x:row r="4665">
      <x:c r="A4665" t="n">
        <x:v>635</x:v>
      </x:c>
      <x:c r="B4665" s="58" t="str">
        <x:v>FINAL VALIDATED BLIND FFT VERIFICATION</x:v>
      </x:c>
      <x:c r="C4665" t="str">
        <x:v>Pasted text(59).txt</x:v>
      </x:c>
    </x:row>
    <x:row r="4666">
      <x:c r="A4666" t="n">
        <x:v>636</x:v>
      </x:c>
      <x:c r="B4666" s="58" t="str">
        <x:v>Commanded frequency: 268.00000 Hz</x:v>
      </x:c>
      <x:c r="C4666" t="str">
        <x:v>Pasted text(59).txt</x:v>
      </x:c>
    </x:row>
    <x:row r="4667">
      <x:c r="A4667" t="n">
        <x:v>637</x:v>
      </x:c>
      <x:c r="B4667" s="58" t="str">
        <x:v>Accepted DAC: 9.75</x:v>
      </x:c>
      <x:c r="C4667" t="str">
        <x:v>Pasted text(59).txt</x:v>
      </x:c>
    </x:row>
    <x:row r="4668">
      <x:c r="A4668" t="n">
        <x:v>638</x:v>
      </x:c>
      <x:c r="B4668" s="58" t="str">
        <x:v>Axis,Frequency_Hz,Amplitude_mps2,SNR_dB,Status</x:v>
      </x:c>
      <x:c r="C4668" t="str">
        <x:v>Pasted text(59).txt</x:v>
      </x:c>
    </x:row>
    <x:row r="4669">
      <x:c r="A4669" t="n">
        <x:v>639</x:v>
      </x:c>
      <x:c r="B4669" s="58" t="str">
        <x:v>X,268.01655,0.87931,29.68,VALID</x:v>
      </x:c>
      <x:c r="C4669" t="str">
        <x:v>Pasted text(59).txt</x:v>
      </x:c>
    </x:row>
    <x:row r="4670">
      <x:c r="A4670" t="n">
        <x:v>640</x:v>
      </x:c>
      <x:c r="B4670" s="58" t="str">
        <x:v>Y,268.03246,0.38057,20.94,VALID</x:v>
      </x:c>
      <x:c r="C4670" t="str">
        <x:v>Pasted text(59).txt</x:v>
      </x:c>
    </x:row>
    <x:row r="4671">
      <x:c r="A4671" t="n">
        <x:v>641</x:v>
      </x:c>
      <x:c r="B4671" s="58" t="str">
        <x:v>Z,268.04067,0.23797,22.00,VALID</x:v>
      </x:c>
      <x:c r="C4671" t="str">
        <x:v>Pasted text(59).txt</x:v>
      </x:c>
    </x:row>
    <x:row r="4672">
      <x:c r="A4672" t="n">
        <x:v>642</x:v>
      </x:c>
      <x:c r="B4672" s="58" t="str">
        <x:v>Combined frequency: 268.02029 Hz | difference 0.02029 Hz</x:v>
      </x:c>
      <x:c r="C4672" t="str">
        <x:v>Pasted text(59).txt</x:v>
      </x:c>
    </x:row>
    <x:row r="4673">
      <x:c r="A4673" t="n">
        <x:v>643</x:v>
      </x:c>
      <x:c r="B4673" s="58" t="str">
        <x:v>Combined X/Y/Z/TOTAL: 0.80154 / 0.34907 / 0.21890 / 0.90124</x:v>
      </x:c>
      <x:c r="C4673" t="str">
        <x:v>Pasted text(59).txt</x:v>
      </x:c>
    </x:row>
    <x:row r="4674">
      <x:c r="A4674" t="n">
        <x:v>644</x:v>
      </x:c>
      <x:c r="B4674" s="58" t="str">
        <x:v>SNR: 26.14 dB | dominant axis X</x:v>
      </x:c>
      <x:c r="C4674" t="str">
        <x:v>Pasted text(59).txt</x:v>
      </x:c>
    </x:row>
    <x:row r="4675">
      <x:c r="A4675" t="n">
        <x:v>645</x:v>
      </x:c>
      <x:c r="B4675" s="58" t="str">
        <x:v>Frequency verification: PASS</x:v>
      </x:c>
      <x:c r="C4675" t="str">
        <x:v>Pasted text(59).txt</x:v>
      </x:c>
    </x:row>
    <x:row r="4676">
      <x:c r="A4676" t="n">
        <x:v>646</x:v>
      </x:c>
      <x:c r="B4676" s="58" t="str">
        <x:v>Y/Z dominance: DIAGNOSTIC ONLY — ignored for pass/fail</x:v>
      </x:c>
      <x:c r="C4676" t="str">
        <x:v>Pasted text(59).txt</x:v>
      </x:c>
    </x:row>
    <x:row r="4677">
      <x:c r="A4677" t="n">
        <x:v>647</x:v>
      </x:c>
      <x:c r="B4677" s="58" t="str"/>
      <x:c r="C4677" t="str">
        <x:v>Pasted text(59).txt</x:v>
      </x:c>
    </x:row>
    <x:row r="4678">
      <x:c r="A4678" t="n">
        <x:v>648</x:v>
      </x:c>
      <x:c r="B4678" s="58" t="str">
        <x:v>FIXED-DAC HOLD VALIDATION</x:v>
      </x:c>
      <x:c r="C4678" t="str">
        <x:v>Pasted text(59).txt</x:v>
      </x:c>
    </x:row>
    <x:row r="4679">
      <x:c r="A4679" t="n">
        <x:v>649</x:v>
      </x:c>
      <x:c r="B4679" s="58" t="str">
        <x:v>DAC remains fixed at 9.75 for 10 records.</x:v>
      </x:c>
      <x:c r="C4679" t="str">
        <x:v>Pasted text(59).txt</x:v>
      </x:c>
    </x:row>
    <x:row r="4680">
      <x:c r="A4680" t="n">
        <x:v>650</x:v>
      </x:c>
      <x:c r="B4680" s="58" t="str">
        <x:v>HOLD | point 1 | DAC 9.75 | CTRL X 0.93704 | X 0.94242 | Y 0.42116 | Z 0.24295 | TOTAL 1.06089 | error -6.30 % | MAD 0.15 % | CV 1.08 % | coh 81.6 % | dominant X | axis fraction 100.0 % | IN TARGET BAND</x:v>
      </x:c>
      <x:c r="C4680" t="str">
        <x:v>Pasted text(59).txt</x:v>
      </x:c>
    </x:row>
    <x:row r="4681">
      <x:c r="A4681" t="n">
        <x:v>651</x:v>
      </x:c>
      <x:c r="B4681" s="58" t="str">
        <x:v>HOLD | point 2 | DAC 9.75 | CTRL X 0.94578 | X 0.94550 | Y 0.42413 | Z 0.24576 | TOTAL 1.06556 | error -5.42 % | MAD 2.36 % | CV 1.64 % | coh 82.9 % | dominant X | axis fraction 100.0 % | IN TARGET BAND</x:v>
      </x:c>
      <x:c r="C4681" t="str">
        <x:v>Pasted text(59).txt</x:v>
      </x:c>
    </x:row>
    <x:row r="4682">
      <x:c r="A4682" t="n">
        <x:v>652</x:v>
      </x:c>
      <x:c r="B4682" s="58" t="str">
        <x:v>HOLD | point 3 | DAC 9.75 | CTRL X 0.93500 | X 0.94392 | Y 0.39522 | Z 0.26949 | TOTAL 1.05871 | error -6.50 % | MAD 1.09 % | CV 2.30 % | coh 82.2 % | dominant X | axis fraction 100.0 % | IN TARGET BAND</x:v>
      </x:c>
      <x:c r="C4682" t="str">
        <x:v>Pasted text(59).txt</x:v>
      </x:c>
    </x:row>
    <x:row r="4683">
      <x:c r="A4683" t="n">
        <x:v>653</x:v>
      </x:c>
      <x:c r="B4683" s="58" t="str">
        <x:v>HOLD | point 4 | DAC 9.75 | CTRL X 0.93621 | X 0.93390 | Y 0.39041 | Z 0.25536 | TOTAL 1.04437 | error -6.38 % | MAD 0.66 % | CV 0.85 % | coh 81.2 % | dominant X | axis fraction 100.0 % | IN TARGET BAND</x:v>
      </x:c>
      <x:c r="C4683" t="str">
        <x:v>Pasted text(59).txt</x:v>
      </x:c>
    </x:row>
    <x:row r="4684">
      <x:c r="A4684" t="n">
        <x:v>654</x:v>
      </x:c>
      <x:c r="B4684" s="58" t="str">
        <x:v>HOLD | point 5 | DAC 9.75 | CTRL X 0.95465 | X 0.95056 | Y 0.40614 | Z 0.26862 | TOTAL 1.06902 | error -4.54 % | MAD 1.38 % | CV 1.62 % | coh 82.5 % | dominant X | axis fraction 100.0 % | IN TARGET BAND</x:v>
      </x:c>
      <x:c r="C4684" t="str">
        <x:v>Pasted text(59).txt</x:v>
      </x:c>
    </x:row>
    <x:row r="4685">
      <x:c r="A4685" t="n">
        <x:v>655</x:v>
      </x:c>
      <x:c r="B4685" s="58" t="str">
        <x:v>HOLD | point 6 | DAC 9.75 | CTRL X 0.92599 | X 0.94364 | Y 0.41877 | Z 0.25229 | TOTAL 1.06314 | error -7.40 % | MAD 1.90 % | CV 4.38 % | coh 82.7 % | dominant X | axis fraction 100.0 % | IN TARGET BAND</x:v>
      </x:c>
      <x:c r="C4685" t="str">
        <x:v>Pasted text(59).txt</x:v>
      </x:c>
    </x:row>
    <x:row r="4686">
      <x:c r="A4686" t="n">
        <x:v>656</x:v>
      </x:c>
      <x:c r="B4686" s="58" t="str">
        <x:v>HOLD | point 7 | DAC 9.75 | CTRL X 0.94027 | X 0.94741 | Y 0.41763 | Z 0.25137 | TOTAL 1.06563 | error -5.97 % | MAD 1.23 % | CV 2.06 % | coh 82.0 % | dominant X | axis fraction 100.0 % | IN TARGET BAND</x:v>
      </x:c>
      <x:c r="C4686" t="str">
        <x:v>Pasted text(59).txt</x:v>
      </x:c>
    </x:row>
    <x:row r="4687">
      <x:c r="A4687" t="n">
        <x:v>657</x:v>
      </x:c>
      <x:c r="B4687" s="58" t="str">
        <x:v>HOLD | point 8 | DAC 9.75 | CTRL X 0.93478 | X 0.93089 | Y 0.39955 | Z 0.23408 | TOTAL 1.03987 | error -6.52 % | MAD 0.29 % | CV 0.90 % | coh 81.8 % | dominant X | axis fraction 100.0 % | IN TARGET BAND</x:v>
      </x:c>
      <x:c r="C4687" t="str">
        <x:v>Pasted text(59).txt</x:v>
      </x:c>
    </x:row>
    <x:row r="4688">
      <x:c r="A4688" t="n">
        <x:v>658</x:v>
      </x:c>
      <x:c r="B4688" s="58" t="str">
        <x:v>HOLD | point 9 | DAC 9.75 | CTRL X 0.95057 | X 0.94859 | Y 0.41954 | Z 0.26961 | TOTAL 1.07185 | error -4.94 % | MAD 1.34 % | CV 1.23 % | coh 82.5 % | dominant X | axis fraction 100.0 % | IN TARGET BAND</x:v>
      </x:c>
      <x:c r="C4688" t="str">
        <x:v>Pasted text(59).txt</x:v>
      </x:c>
    </x:row>
    <x:row r="4689">
      <x:c r="A4689" t="n">
        <x:v>659</x:v>
      </x:c>
      <x:c r="B4689" s="58" t="str">
        <x:v>HOLD | point 10 | DAC 9.75 | CTRL X 0.94998 | X 0.94906 | Y 0.40591 | Z 0.25301 | TOTAL 1.06321 | error -5.00 % | MAD 2.02 % | CV 1.51 % | coh 81.8 % | dominant X | axis fraction 100.0 % | IN TARGET BAND</x:v>
      </x:c>
      <x:c r="C4689" t="str">
        <x:v>Pasted text(59).txt</x:v>
      </x:c>
    </x:row>
    <x:row r="4690">
      <x:c r="A4690" t="n">
        <x:v>660</x:v>
      </x:c>
      <x:c r="B4690" s="58" t="str"/>
      <x:c r="C4690" t="str">
        <x:v>Pasted text(59).txt</x:v>
      </x:c>
    </x:row>
    <x:row r="4691">
      <x:c r="A4691" t="n">
        <x:v>661</x:v>
      </x:c>
      <x:c r="B4691" s="58" t="str">
        <x:v>HOLD SUMMARY</x:v>
      </x:c>
      <x:c r="C4691" t="str">
        <x:v>Pasted text(59).txt</x:v>
      </x:c>
    </x:row>
    <x:row r="4692">
      <x:c r="A4692" t="n">
        <x:v>662</x:v>
      </x:c>
      <x:c r="B4692" s="58" t="str">
        <x:v>Valid / requested: 10 / 10</x:v>
      </x:c>
      <x:c r="C4692" t="str">
        <x:v>Pasted text(59).txt</x:v>
      </x:c>
    </x:row>
    <x:row r="4693">
      <x:c r="A4693" t="n">
        <x:v>663</x:v>
      </x:c>
      <x:c r="B4693" s="58" t="str">
        <x:v>In band / requested: 10 / 10 = 100.0 %</x:v>
      </x:c>
      <x:c r="C4693" t="str">
        <x:v>Pasted text(59).txt</x:v>
      </x:c>
    </x:row>
    <x:row r="4694">
      <x:c r="A4694" t="n">
        <x:v>664</x:v>
      </x:c>
      <x:c r="B4694" s="58" t="str">
        <x:v>Mean / SD / CV: 0.94103 / 0.00895 / 0.95 %</x:v>
      </x:c>
      <x:c r="C4694" t="str">
        <x:v>Pasted text(59).txt</x:v>
      </x:c>
    </x:row>
    <x:row r="4695">
      <x:c r="A4695" t="n">
        <x:v>665</x:v>
      </x:c>
      <x:c r="B4695" s="58" t="str">
        <x:v>Min / Max: 0.92599 / 0.95465</x:v>
      </x:c>
      <x:c r="C4695" t="str">
        <x:v>Pasted text(59).txt</x:v>
      </x:c>
    </x:row>
    <x:row r="4696">
      <x:c r="A4696" t="n">
        <x:v>666</x:v>
      </x:c>
      <x:c r="B4696" s="58" t="str">
        <x:v>HOLD RESULT: PASS</x:v>
      </x:c>
      <x:c r="C4696" t="str">
        <x:v>Pasted text(59).txt</x:v>
      </x:c>
    </x:row>
    <x:row r="4697">
      <x:c r="A4697" t="n">
        <x:v>667</x:v>
      </x:c>
      <x:c r="B4697" s="58" t="str"/>
      <x:c r="C4697" t="str">
        <x:v>Pasted text(59).txt</x:v>
      </x:c>
    </x:row>
    <x:row r="4698">
      <x:c r="A4698" t="n">
        <x:v>668</x:v>
      </x:c>
      <x:c r="B4698" s="58" t="str">
        <x:v>RUN RESULT: PASS</x:v>
      </x:c>
      <x:c r="C4698" t="str">
        <x:v>Pasted text(59).txt</x:v>
      </x:c>
    </x:row>
    <x:row r="4699">
      <x:c r="A4699" t="n">
        <x:v>669</x:v>
      </x:c>
      <x:c r="B4699" s="58" t="str">
        <x:v>Selected DAC: 9.75</x:v>
      </x:c>
      <x:c r="C4699" t="str">
        <x:v>Pasted text(59).txt</x:v>
      </x:c>
    </x:row>
    <x:row r="4700">
      <x:c r="A4700" t="n">
        <x:v>670</x:v>
      </x:c>
      <x:c r="B4700" s="58" t="str">
        <x:v>Validated amplitude: 0.96620 m/s^2 | error -3.38 %</x:v>
      </x:c>
      <x:c r="C4700" t="str">
        <x:v>Pasted text(59).txt</x:v>
      </x:c>
    </x:row>
    <x:row r="4701">
      <x:c r="A4701" t="n">
        <x:v>671</x:v>
      </x:c>
      <x:c r="B4701" s="58" t="str">
        <x:v>FFT frequency: 268.02029 Hz | difference 0.02029 Hz</x:v>
      </x:c>
      <x:c r="C4701" t="str">
        <x:v>Pasted text(59).txt</x:v>
      </x:c>
    </x:row>
    <x:row r="4702">
      <x:c r="A4702" t="n">
        <x:v>672</x:v>
      </x:c>
      <x:c r="B4702" s="58" t="str"/>
      <x:c r="C4702" t="str">
        <x:v>Pasted text(59).txt</x:v>
      </x:c>
    </x:row>
    <x:row r="4703">
      <x:c r="A4703" t="n">
        <x:v>673</x:v>
      </x:c>
      <x:c r="B4703" s="58" t="str">
        <x:v>VISATON OFF. RESTING 5.0 s BEFORE THE NEXT COMPLETELY FRESH RUN.</x:v>
      </x:c>
      <x:c r="C4703" t="str">
        <x:v>Pasted text(59).txt</x:v>
      </x:c>
    </x:row>
    <x:row r="4704">
      <x:c r="A4704" t="n">
        <x:v>674</x:v>
      </x:c>
      <x:c r="B4704" s="58" t="str"/>
      <x:c r="C4704" t="str">
        <x:v>Pasted text(59).txt</x:v>
      </x:c>
    </x:row>
    <x:row r="4705">
      <x:c r="A4705" t="n">
        <x:v>675</x:v>
      </x:c>
      <x:c r="B4705" s="58" t="str">
        <x:v>################################################################################</x:v>
      </x:c>
      <x:c r="C4705" t="str">
        <x:v>Pasted text(59).txt</x:v>
      </x:c>
    </x:row>
    <x:row r="4706">
      <x:c r="A4706" t="n">
        <x:v>676</x:v>
      </x:c>
      <x:c r="B4706" s="58" t="str">
        <x:v>INDEPENDENT TARGET-AMPLITUDE RUN 3 OF 5</x:v>
      </x:c>
      <x:c r="C4706" t="str">
        <x:v>Pasted text(59).txt</x:v>
      </x:c>
    </x:row>
    <x:row r="4707">
      <x:c r="A4707" t="n">
        <x:v>677</x:v>
      </x:c>
      <x:c r="B4707" s="58" t="str">
        <x:v>################################################################################</x:v>
      </x:c>
      <x:c r="C4707" t="str">
        <x:v>Pasted text(59).txt</x:v>
      </x:c>
    </x:row>
    <x:row r="4708">
      <x:c r="A4708" t="n">
        <x:v>678</x:v>
      </x:c>
      <x:c r="B4708" s="58" t="str">
        <x:v>Frequency: 268.00000 Hz</x:v>
      </x:c>
      <x:c r="C4708" t="str">
        <x:v>Pasted text(59).txt</x:v>
      </x:c>
    </x:row>
    <x:row r="4709">
      <x:c r="A4709" t="n">
        <x:v>679</x:v>
      </x:c>
      <x:c r="B4709" s="58" t="str">
        <x:v>Target X amplitude: 1.00000 m/s^2 peak, tolerance +/-7.50 %</x:v>
      </x:c>
      <x:c r="C4709" t="str">
        <x:v>Pasted text(59).txt</x:v>
      </x:c>
    </x:row>
    <x:row r="4710">
      <x:c r="A4710" t="n">
        <x:v>680</x:v>
      </x:c>
      <x:c r="B4710" s="58" t="str">
        <x:v>This run starts from DAC 1.00 and ignores every earlier selected DAC.</x:v>
      </x:c>
      <x:c r="C4710" t="str">
        <x:v>Pasted text(59).txt</x:v>
      </x:c>
    </x:row>
    <x:row r="4711">
      <x:c r="A4711" t="n">
        <x:v>681</x:v>
      </x:c>
      <x:c r="B4711" s="58" t="str">
        <x:v>ADXL2 DEVID/DATA_FORMAT/BW_RATE/POWER_CTL: 0xE5 / 0xB / 0xE / 0x8</x:v>
      </x:c>
      <x:c r="C4711" t="str">
        <x:v>Pasted text(59).txt</x:v>
      </x:c>
    </x:row>
    <x:row r="4712">
      <x:c r="A4712" t="n">
        <x:v>682</x:v>
      </x:c>
      <x:c r="B4712" s="58" t="str"/>
      <x:c r="C4712" t="str">
        <x:v>Pasted text(59).txt</x:v>
      </x:c>
    </x:row>
    <x:row r="4713">
      <x:c r="A4713" t="n">
        <x:v>683</x:v>
      </x:c>
      <x:c r="B4713" s="58" t="str">
        <x:v>ACQUISITION ATTEMPT 1 OF 2</x:v>
      </x:c>
      <x:c r="C4713" t="str">
        <x:v>Pasted text(59).txt</x:v>
      </x:c>
    </x:row>
    <x:row r="4714">
      <x:c r="A4714" t="n">
        <x:v>684</x:v>
      </x:c>
      <x:c r="B4714" s="58" t="str"/>
      <x:c r="C4714" t="str">
        <x:v>Pasted text(59).txt</x:v>
      </x:c>
    </x:row>
    <x:row r="4715">
      <x:c r="A4715" t="n">
        <x:v>685</x:v>
      </x:c>
      <x:c r="B4715" s="58" t="str">
        <x:v>FRESH X-AXIS SEARCH FROM DAC 1.00 — OLD DAC VALUES ARE NOT USED</x:v>
      </x:c>
      <x:c r="C4715" t="str">
        <x:v>Pasted text(59).txt</x:v>
      </x:c>
    </x:row>
    <x:row r="4716">
      <x:c r="A4716" t="n">
        <x:v>686</x:v>
      </x:c>
      <x:c r="B4716" s="58" t="str">
        <x:v>Y/Z are diagnostic only and cannot abort this search.</x:v>
      </x:c>
      <x:c r="C4716" t="str">
        <x:v>Pasted text(59).txt</x:v>
      </x:c>
    </x:row>
    <x:row r="4717">
      <x:c r="A4717" t="n">
        <x:v>687</x:v>
      </x:c>
      <x:c r="B4717" s="58" t="str">
        <x:v>A real SPI fault, clipping, safety limit or confirmed X-response collapse will stop it.</x:v>
      </x:c>
      <x:c r="C4717" t="str">
        <x:v>Pasted text(59).txt</x:v>
      </x:c>
    </x:row>
    <x:row r="4718">
      <x:c r="A4718" t="n">
        <x:v>688</x:v>
      </x:c>
      <x:c r="B4718" s="58" t="str">
        <x:v>SEARCH | point 1 | DAC 1.00 | CTRL X 0.03490 | X 0.03517 | Y 0.04802 | Z 0.04789 | TOTAL 0.07925 | error -96.51 % | MAD 2.30 % | CV 1.09 % | coh 10.7 % | dominant Y | axis fraction 73.2 % | BELOW MEASUREMENT FLOOR — SEARCH CONTINUES</x:v>
      </x:c>
      <x:c r="C4718" t="str">
        <x:v>Pasted text(59).txt</x:v>
      </x:c>
    </x:row>
    <x:row r="4719">
      <x:c r="A4719" t="n">
        <x:v>689</x:v>
      </x:c>
      <x:c r="B4719" s="58" t="str">
        <x:v>SEARCH | point 2 | DAC 3.00 | CTRL X 0.22566 | X 0.21869 | Y 0.10890 | Z 0.04561 | TOTAL 0.24983 | error -77.43 % | MAD 7.56 % | CV 10.41 % | coh 32.1 % | dominant X | axis fraction 100.0 % | UNSTABLE — SEARCH CONTINUES</x:v>
      </x:c>
      <x:c r="C4719" t="str">
        <x:v>Pasted text(59).txt</x:v>
      </x:c>
    </x:row>
    <x:row r="4720">
      <x:c r="A4720" t="n">
        <x:v>690</x:v>
      </x:c>
      <x:c r="B4720" s="58" t="str">
        <x:v>SEARCH | point 3 | DAC 5.00 | CTRL X 0.41095 | X 0.42098 | Y 0.22195 | Z 0.06466 | TOTAL 0.48088 | error -58.91 % | MAD 0.14 % | CV 4.21 % | coh 54.2 % | dominant X | axis fraction 100.0 % | VALID</x:v>
      </x:c>
      <x:c r="C4720" t="str">
        <x:v>Pasted text(59).txt</x:v>
      </x:c>
    </x:row>
    <x:row r="4721">
      <x:c r="A4721" t="n">
        <x:v>691</x:v>
      </x:c>
      <x:c r="B4721" s="58" t="str">
        <x:v>SEARCH | point 4 | DAC 6.00 | CTRL X 0.56013 | X 0.57340 | Y 0.28206 | Z 0.12695 | TOTAL 0.65297 | error -43.99 % | MAD 0.20 % | CV 4.13 % | coh 67.6 % | dominant X | axis fraction 100.0 % | VALID</x:v>
      </x:c>
      <x:c r="C4721" t="str">
        <x:v>Pasted text(59).txt</x:v>
      </x:c>
    </x:row>
    <x:row r="4722">
      <x:c r="A4722" t="n">
        <x:v>692</x:v>
      </x:c>
      <x:c r="B4722" s="58" t="str">
        <x:v>SEARCH | point 5 | DAC 7.00 | CTRL X 0.68899 | X 0.68525 | Y 0.34992 | Z 0.13215 | TOTAL 0.78088 | error -31.10 % | MAD 2.59 % | CV 2.62 % | coh 75.4 % | dominant X | axis fraction 100.0 % | VALID</x:v>
      </x:c>
      <x:c r="C4722" t="str">
        <x:v>Pasted text(59).txt</x:v>
      </x:c>
    </x:row>
    <x:row r="4723">
      <x:c r="A4723" t="n">
        <x:v>693</x:v>
      </x:c>
      <x:c r="B4723" s="58" t="str">
        <x:v>SEARCH | point 6 | DAC 7.50 | CTRL X 0.72315 | X 0.71377 | Y 0.33695 | Z 0.14379 | TOTAL 0.80240 | error -27.69 % | MAD 2.21 % | CV 3.66 % | coh 81.6 % | dominant X | axis fraction 100.0 % | VALID</x:v>
      </x:c>
      <x:c r="C4723" t="str">
        <x:v>Pasted text(59).txt</x:v>
      </x:c>
    </x:row>
    <x:row r="4724">
      <x:c r="A4724" t="n">
        <x:v>694</x:v>
      </x:c>
      <x:c r="B4724" s="58" t="str">
        <x:v>SEARCH | point 7 | DAC 8.00 | CTRL X 0.76652 | X 0.77085 | Y 0.38830 | Z 0.15266 | TOTAL 0.87670 | error -23.35 % | MAD 4.21 % | CV 3.70 % | coh 79.0 % | dominant X | axis fraction 100.0 % | VALID</x:v>
      </x:c>
      <x:c r="C4724" t="str">
        <x:v>Pasted text(59).txt</x:v>
      </x:c>
    </x:row>
    <x:row r="4725">
      <x:c r="A4725" t="n">
        <x:v>695</x:v>
      </x:c>
      <x:c r="B4725" s="58" t="str">
        <x:v>SEARCH | point 8 | DAC 8.50 | CTRL X 0.83422 | X 0.82631 | Y 0.39001 | Z 0.16371 | TOTAL 0.92916 | error -16.58 % | MAD 3.04 % | CV 3.60 % | coh 84.4 % | dominant X | axis fraction 100.0 % | VALID</x:v>
      </x:c>
      <x:c r="C4725" t="str">
        <x:v>Pasted text(59).txt</x:v>
      </x:c>
    </x:row>
    <x:row r="4726">
      <x:c r="A4726" t="n">
        <x:v>696</x:v>
      </x:c>
      <x:c r="B4726" s="58" t="str">
        <x:v>SEARCH | point 9 | DAC 9.00 | CTRL X 0.88983 | X 0.88314 | Y 0.43325 | Z 0.16898 | TOTAL 0.99863 | error -11.02 % | MAD 0.55 % | CV 1.65 % | coh 81.8 % | dominant X | axis fraction 100.0 % | VALID</x:v>
      </x:c>
      <x:c r="C4726" t="str">
        <x:v>Pasted text(59).txt</x:v>
      </x:c>
    </x:row>
    <x:row r="4727">
      <x:c r="A4727" t="n">
        <x:v>697</x:v>
      </x:c>
      <x:c r="B4727" s="58" t="str">
        <x:v>SEARCH | point 10 | DAC 9.25 | CTRL X 0.92193 | X 0.91684 | Y 0.43978 | Z 0.20313 | TOTAL 1.03700 | error -7.81 % | MAD 1.41 % | CV 1.85 % | coh 85.3 % | dominant X | axis fraction 100.0 % | VALID</x:v>
      </x:c>
      <x:c r="C4727" t="str">
        <x:v>Pasted text(59).txt</x:v>
      </x:c>
    </x:row>
    <x:row r="4728">
      <x:c r="A4728" t="n">
        <x:v>698</x:v>
      </x:c>
      <x:c r="B4728" s="58" t="str">
        <x:v>SEARCH | point 11 | DAC 9.50 | CTRL X 0.91944 | X 0.92235 | Y 0.46801 | Z 0.17738 | TOTAL 1.04996 | error -8.06 % | MAD 1.27 % | CV 1.35 % | coh 85.3 % | dominant X | axis fraction 100.0 % | VALID</x:v>
      </x:c>
      <x:c r="C4728" t="str">
        <x:v>Pasted text(59).txt</x:v>
      </x:c>
    </x:row>
    <x:row r="4729">
      <x:c r="A4729" t="n">
        <x:v>699</x:v>
      </x:c>
      <x:c r="B4729" s="58" t="str">
        <x:v>SEARCH | point 12 | DAC 9.75 | CTRL X 0.98668 | X 0.98637 | Y 0.47757 | Z 0.22740 | TOTAL 1.11945 | error -1.33 % | MAD 3.24 % | CV 2.23 % | coh 84.6 % | dominant X | axis fraction 100.0 % | IN TARGET BAND</x:v>
      </x:c>
      <x:c r="C4729" t="str">
        <x:v>Pasted text(59).txt</x:v>
      </x:c>
    </x:row>
    <x:row r="4730">
      <x:c r="A4730" t="n">
        <x:v>700</x:v>
      </x:c>
      <x:c r="B4730" s="58" t="str"/>
      <x:c r="C4730" t="str">
        <x:v>Pasted text(59).txt</x:v>
      </x:c>
    </x:row>
    <x:row r="4731">
      <x:c r="A4731" t="n">
        <x:v>701</x:v>
      </x:c>
      <x:c r="B4731" s="58" t="str">
        <x:v>LOCAL 0.25-DAC X-AXIS FINE SCAN</x:v>
      </x:c>
      <x:c r="C4731" t="str">
        <x:v>Pasted text(59).txt</x:v>
      </x:c>
    </x:row>
    <x:row r="4732">
      <x:c r="A4732" t="n">
        <x:v>702</x:v>
      </x:c>
      <x:c r="B4732" s="58" t="str">
        <x:v>Only a valid point actually inside the X target band may be selected.</x:v>
      </x:c>
      <x:c r="C4732" t="str">
        <x:v>Pasted text(59).txt</x:v>
      </x:c>
    </x:row>
    <x:row r="4733">
      <x:c r="A4733" t="n">
        <x:v>703</x:v>
      </x:c>
      <x:c r="B4733" s="58" t="str">
        <x:v>FINE | point 1 | DAC 8.75 | CTRL X 0.86893 | X 0.86110 | Y 0.42028 | Z 0.17356 | TOTAL 0.97409 | error -13.11 % | MAD 0.73 % | CV 2.02 % | coh 81.1 % | dominant X | axis fraction 100.0 % | VALID</x:v>
      </x:c>
      <x:c r="C4733" t="str">
        <x:v>Pasted text(59).txt</x:v>
      </x:c>
    </x:row>
    <x:row r="4734">
      <x:c r="A4734" t="n">
        <x:v>704</x:v>
      </x:c>
      <x:c r="B4734" s="58" t="str">
        <x:v>FINE | point 2 | DAC 9.00 | CTRL X 0.88530 | X 0.88885 | Y 0.43768 | Z 0.17772 | TOTAL 1.00675 | error -11.47 % | MAD 0.84 % | CV 1.21 % | coh 81.3 % | dominant X | axis fraction 100.0 % | VALID</x:v>
      </x:c>
      <x:c r="C4734" t="str">
        <x:v>Pasted text(59).txt</x:v>
      </x:c>
    </x:row>
    <x:row r="4735">
      <x:c r="A4735" t="n">
        <x:v>705</x:v>
      </x:c>
      <x:c r="B4735" s="58" t="str">
        <x:v>FINE | point 3 | DAC 9.25 | CTRL X 0.89986 | X 0.90005 | Y 0.44820 | Z 0.16760 | TOTAL 1.01939 | error -10.01 % | MAD 1.77 % | CV 1.23 % | coh 84.6 % | dominant X | axis fraction 100.0 % | VALID</x:v>
      </x:c>
      <x:c r="C4735" t="str">
        <x:v>Pasted text(59).txt</x:v>
      </x:c>
    </x:row>
    <x:row r="4736">
      <x:c r="A4736" t="n">
        <x:v>706</x:v>
      </x:c>
      <x:c r="B4736" s="58" t="str">
        <x:v>FINE | point 4 | DAC 9.50 | CTRL X 0.92264 | X 0.91686 | Y 0.44810 | Z 0.19761 | TOTAL 1.03962 | error -7.74 % | MAD 0.60 % | CV 1.46 % | coh 85.6 % | dominant X | axis fraction 100.0 % | VALID</x:v>
      </x:c>
      <x:c r="C4736" t="str">
        <x:v>Pasted text(59).txt</x:v>
      </x:c>
    </x:row>
    <x:row r="4737">
      <x:c r="A4737" t="n">
        <x:v>707</x:v>
      </x:c>
      <x:c r="B4737" s="58" t="str">
        <x:v>FINE | point 5 | DAC 9.75 | CTRL X 0.97623 | X 0.98780 | Y 0.48828 | Z 0.20382 | TOTAL 1.12152 | error -2.38 % | MAD 0.35 % | CV 2.24 % | coh 84.1 % | dominant X | axis fraction 100.0 % | IN TARGET BAND</x:v>
      </x:c>
      <x:c r="C4737" t="str">
        <x:v>Pasted text(59).txt</x:v>
      </x:c>
    </x:row>
    <x:row r="4738">
      <x:c r="A4738" t="n">
        <x:v>708</x:v>
      </x:c>
      <x:c r="B4738" s="58" t="str">
        <x:v>FINE | point 6 | DAC 10.00 | CTRL X 0.98388 | X 0.98025 | Y 0.49074 | Z 0.22441 | TOTAL 1.11923 | error -1.61 % | MAD 0.67 % | CV 1.06 % | coh 84.2 % | dominant X | axis fraction 100.0 % | IN TARGET BAND</x:v>
      </x:c>
      <x:c r="C4738" t="str">
        <x:v>Pasted text(59).txt</x:v>
      </x:c>
    </x:row>
    <x:row r="4739">
      <x:c r="A4739" t="n">
        <x:v>709</x:v>
      </x:c>
      <x:c r="B4739" s="58" t="str">
        <x:v>FINE | point 7 | DAC 10.25 | CTRL X 0.99792 | X 0.99787 | Y 0.52261 | Z 0.21016 | TOTAL 1.14600 | error -0.21 % | MAD 0.61 % | CV 0.42 % | coh 85.8 % | dominant X | axis fraction 100.0 % | IN TARGET BAND</x:v>
      </x:c>
      <x:c r="C4739" t="str">
        <x:v>Pasted text(59).txt</x:v>
      </x:c>
    </x:row>
    <x:row r="4740">
      <x:c r="A4740" t="n">
        <x:v>710</x:v>
      </x:c>
      <x:c r="B4740" s="58" t="str">
        <x:v>FINE | point 8 | DAC 10.50 | CTRL X 1.02397 | X 1.02361 | Y 0.52428 | Z 0.21647 | TOTAL 1.17050 | error 2.40 % | MAD 0.14 % | CV 0.15 % | coh 88.8 % | dominant X | axis fraction 100.0 % | IN TARGET BAND</x:v>
      </x:c>
      <x:c r="C4740" t="str">
        <x:v>Pasted text(59).txt</x:v>
      </x:c>
    </x:row>
    <x:row r="4741">
      <x:c r="A4741" t="n">
        <x:v>711</x:v>
      </x:c>
      <x:c r="B4741" s="58" t="str">
        <x:v>FINE | point 9 | DAC 10.75 | CTRL X 1.07684 | X 1.08086 | Y 0.52060 | Z 0.21770 | TOTAL 1.21941 | error 7.68 % | MAD 0.55 % | CV 0.98 % | coh 87.3 % | dominant X | axis fraction 100.0 % | VALID</x:v>
      </x:c>
      <x:c r="C4741" t="str">
        <x:v>Pasted text(59).txt</x:v>
      </x:c>
    </x:row>
    <x:row r="4742">
      <x:c r="A4742" t="n">
        <x:v>712</x:v>
      </x:c>
      <x:c r="B4742" s="58" t="str"/>
      <x:c r="C4742" t="str">
        <x:v>Pasted text(59).txt</x:v>
      </x:c>
    </x:row>
    <x:row r="4743">
      <x:c r="A4743" t="n">
        <x:v>713</x:v>
      </x:c>
      <x:c r="B4743" s="58" t="str">
        <x:v>LONG VALIDATION AT FIXED DAC 10.25</x:v>
      </x:c>
      <x:c r="C4743" t="str">
        <x:v>Pasted text(59).txt</x:v>
      </x:c>
    </x:row>
    <x:row r="4744">
      <x:c r="A4744" t="n">
        <x:v>714</x:v>
      </x:c>
      <x:c r="B4744" s="58" t="str">
        <x:v>FINAL | point 1 | DAC 10.25 | CTRL X 1.00471 | X 1.00842 | Y 0.50339 | Z 0.21122 | TOTAL 1.14713 | error 0.47 % | MAD 0.80 % | CV 1.36 % | coh 85.8 % | dominant X | axis fraction 100.0 % | IN TARGET BAND</x:v>
      </x:c>
      <x:c r="C4744" t="str">
        <x:v>Pasted text(59).txt</x:v>
      </x:c>
    </x:row>
    <x:row r="4745">
      <x:c r="A4745" t="n">
        <x:v>715</x:v>
      </x:c>
      <x:c r="B4745" s="58" t="str">
        <x:v>FINAL | point 2 | DAC 10.25 | CTRL X 1.00550 | X 1.00540 | Y 0.51432 | Z 0.21014 | TOTAL 1.14896 | error 0.55 % | MAD 1.00 % | CV 0.80 % | coh 85.8 % | dominant X | axis fraction 100.0 % | IN TARGET BAND</x:v>
      </x:c>
      <x:c r="C4745" t="str">
        <x:v>Pasted text(59).txt</x:v>
      </x:c>
    </x:row>
    <x:row r="4746">
      <x:c r="A4746" t="n">
        <x:v>716</x:v>
      </x:c>
      <x:c r="B4746" s="58" t="str">
        <x:v>VALIDATION ACCEPTED | pair drift 0.08 %</x:v>
      </x:c>
      <x:c r="C4746" t="str">
        <x:v>Pasted text(59).txt</x:v>
      </x:c>
    </x:row>
    <x:row r="4747">
      <x:c r="A4747" t="n">
        <x:v>717</x:v>
      </x:c>
      <x:c r="B4747" s="58" t="str"/>
      <x:c r="C4747" t="str">
        <x:v>Pasted text(59).txt</x:v>
      </x:c>
    </x:row>
    <x:row r="4748">
      <x:c r="A4748" t="n">
        <x:v>718</x:v>
      </x:c>
      <x:c r="B4748" s="58" t="str">
        <x:v>FINAL VALIDATED BLIND FFT VERIFICATION</x:v>
      </x:c>
      <x:c r="C4748" t="str">
        <x:v>Pasted text(59).txt</x:v>
      </x:c>
    </x:row>
    <x:row r="4749">
      <x:c r="A4749" t="n">
        <x:v>719</x:v>
      </x:c>
      <x:c r="B4749" s="58" t="str">
        <x:v>Commanded frequency: 268.00000 Hz</x:v>
      </x:c>
      <x:c r="C4749" t="str">
        <x:v>Pasted text(59).txt</x:v>
      </x:c>
    </x:row>
    <x:row r="4750">
      <x:c r="A4750" t="n">
        <x:v>720</x:v>
      </x:c>
      <x:c r="B4750" s="58" t="str">
        <x:v>Accepted DAC: 10.25</x:v>
      </x:c>
      <x:c r="C4750" t="str">
        <x:v>Pasted text(59).txt</x:v>
      </x:c>
    </x:row>
    <x:row r="4751">
      <x:c r="A4751" t="n">
        <x:v>721</x:v>
      </x:c>
      <x:c r="B4751" s="58" t="str">
        <x:v>Axis,Frequency_Hz,Amplitude_mps2,SNR_dB,Status</x:v>
      </x:c>
      <x:c r="C4751" t="str">
        <x:v>Pasted text(59).txt</x:v>
      </x:c>
    </x:row>
    <x:row r="4752">
      <x:c r="A4752" t="n">
        <x:v>722</x:v>
      </x:c>
      <x:c r="B4752" s="58" t="str">
        <x:v>X,268.03718,0.91043,30.08,VALID</x:v>
      </x:c>
      <x:c r="C4752" t="str">
        <x:v>Pasted text(59).txt</x:v>
      </x:c>
    </x:row>
    <x:row r="4753">
      <x:c r="A4753" t="n">
        <x:v>723</x:v>
      </x:c>
      <x:c r="B4753" s="58" t="str">
        <x:v>Y,267.99670,0.43331,22.52,VALID</x:v>
      </x:c>
      <x:c r="C4753" t="str">
        <x:v>Pasted text(59).txt</x:v>
      </x:c>
    </x:row>
    <x:row r="4754">
      <x:c r="A4754" t="n">
        <x:v>724</x:v>
      </x:c>
      <x:c r="B4754" s="58" t="str">
        <x:v>Z,268.06064,0.18649,19.84,VALID</x:v>
      </x:c>
      <x:c r="C4754" t="str">
        <x:v>Pasted text(59).txt</x:v>
      </x:c>
    </x:row>
    <x:row r="4755">
      <x:c r="A4755" t="n">
        <x:v>725</x:v>
      </x:c>
      <x:c r="B4755" s="58" t="str">
        <x:v>Combined frequency: 268.03087 Hz | difference 0.03087 Hz</x:v>
      </x:c>
      <x:c r="C4755" t="str">
        <x:v>Pasted text(59).txt</x:v>
      </x:c>
    </x:row>
    <x:row r="4756">
      <x:c r="A4756" t="n">
        <x:v>726</x:v>
      </x:c>
      <x:c r="B4756" s="58" t="str">
        <x:v>Combined X/Y/Z/TOTAL: 0.83270 / 0.39311 / 0.17170 / 0.93670</x:v>
      </x:c>
      <x:c r="C4756" t="str">
        <x:v>Pasted text(59).txt</x:v>
      </x:c>
    </x:row>
    <x:row r="4757">
      <x:c r="A4757" t="n">
        <x:v>727</x:v>
      </x:c>
      <x:c r="B4757" s="58" t="str">
        <x:v>SNR: 26.76 dB | dominant axis X</x:v>
      </x:c>
      <x:c r="C4757" t="str">
        <x:v>Pasted text(59).txt</x:v>
      </x:c>
    </x:row>
    <x:row r="4758">
      <x:c r="A4758" t="n">
        <x:v>728</x:v>
      </x:c>
      <x:c r="B4758" s="58" t="str">
        <x:v>Frequency verification: PASS</x:v>
      </x:c>
      <x:c r="C4758" t="str">
        <x:v>Pasted text(59).txt</x:v>
      </x:c>
    </x:row>
    <x:row r="4759">
      <x:c r="A4759" t="n">
        <x:v>729</x:v>
      </x:c>
      <x:c r="B4759" s="58" t="str">
        <x:v>Y/Z dominance: DIAGNOSTIC ONLY — ignored for pass/fail</x:v>
      </x:c>
      <x:c r="C4759" t="str">
        <x:v>Pasted text(59).txt</x:v>
      </x:c>
    </x:row>
    <x:row r="4760">
      <x:c r="A4760" t="n">
        <x:v>730</x:v>
      </x:c>
      <x:c r="B4760" s="58" t="str"/>
      <x:c r="C4760" t="str">
        <x:v>Pasted text(59).txt</x:v>
      </x:c>
    </x:row>
    <x:row r="4761">
      <x:c r="A4761" t="n">
        <x:v>731</x:v>
      </x:c>
      <x:c r="B4761" s="58" t="str">
        <x:v>FIXED-DAC HOLD VALIDATION</x:v>
      </x:c>
      <x:c r="C4761" t="str">
        <x:v>Pasted text(59).txt</x:v>
      </x:c>
    </x:row>
    <x:row r="4762">
      <x:c r="A4762" t="n">
        <x:v>732</x:v>
      </x:c>
      <x:c r="B4762" s="58" t="str">
        <x:v>DAC remains fixed at 10.25 for 10 records.</x:v>
      </x:c>
      <x:c r="C4762" t="str">
        <x:v>Pasted text(59).txt</x:v>
      </x:c>
    </x:row>
    <x:row r="4763">
      <x:c r="A4763" t="n">
        <x:v>733</x:v>
      </x:c>
      <x:c r="B4763" s="58" t="str">
        <x:v>HOLD | point 1 | DAC 10.25 | CTRL X 0.99747 | X 1.00025 | Y 0.48074 | Z 0.18544 | TOTAL 1.12539 | error -0.25 % | MAD 0.80 % | CV 0.99 % | coh 86.4 % | dominant X | axis fraction 100.0 % | IN TARGET BAND</x:v>
      </x:c>
      <x:c r="C4763" t="str">
        <x:v>Pasted text(59).txt</x:v>
      </x:c>
    </x:row>
    <x:row r="4764">
      <x:c r="A4764" t="n">
        <x:v>734</x:v>
      </x:c>
      <x:c r="B4764" s="58" t="str">
        <x:v>HOLD | point 2 | DAC 10.25 | CTRL X 0.99838 | X 1.00239 | Y 0.51953 | Z 0.20350 | TOTAL 1.14736 | error -0.16 % | MAD 2.16 % | CV 2.08 % | coh 86.8 % | dominant X | axis fraction 100.0 % | IN TARGET BAND</x:v>
      </x:c>
      <x:c r="C4764" t="str">
        <x:v>Pasted text(59).txt</x:v>
      </x:c>
    </x:row>
    <x:row r="4765">
      <x:c r="A4765" t="n">
        <x:v>735</x:v>
      </x:c>
      <x:c r="B4765" s="58" t="str">
        <x:v>HOLD | point 3 | DAC 10.25 | CTRL X 0.98025 | X 0.98187 | Y 0.50783 | Z 0.20956 | TOTAL 1.12608 | error -1.98 % | MAD 0.35 % | CV 0.50 % | coh 86.3 % | dominant X | axis fraction 100.0 % | IN TARGET BAND</x:v>
      </x:c>
      <x:c r="C4765" t="str">
        <x:v>Pasted text(59).txt</x:v>
      </x:c>
    </x:row>
    <x:row r="4766">
      <x:c r="A4766" t="n">
        <x:v>736</x:v>
      </x:c>
      <x:c r="B4766" s="58" t="str">
        <x:v>HOLD | point 4 | DAC 10.25 | CTRL X 0.99616 | X 0.99808 | Y 0.49646 | Z 0.18961 | TOTAL 1.13081 | error -0.38 % | MAD 1.56 % | CV 1.35 % | coh 85.7 % | dominant X | axis fraction 100.0 % | IN TARGET BAND</x:v>
      </x:c>
      <x:c r="C4766" t="str">
        <x:v>Pasted text(59).txt</x:v>
      </x:c>
    </x:row>
    <x:row r="4767">
      <x:c r="A4767" t="n">
        <x:v>737</x:v>
      </x:c>
      <x:c r="B4767" s="58" t="str">
        <x:v>HOLD | point 5 | DAC 10.25 | CTRL X 0.99442 | X 0.98831 | Y 0.49712 | Z 0.22049 | TOTAL 1.12832 | error -0.56 % | MAD 2.84 % | CV 2.90 % | coh 85.6 % | dominant X | axis fraction 100.0 % | IN TARGET BAND</x:v>
      </x:c>
      <x:c r="C4767" t="str">
        <x:v>Pasted text(59).txt</x:v>
      </x:c>
    </x:row>
    <x:row r="4768">
      <x:c r="A4768" t="n">
        <x:v>738</x:v>
      </x:c>
      <x:c r="B4768" s="58" t="str">
        <x:v>HOLD | point 6 | DAC 10.25 | CTRL X 0.97306 | X 0.98192 | Y 0.47327 | Z 0.20319 | TOTAL 1.10888 | error -2.69 % | MAD 1.62 % | CV 2.56 % | coh 86.4 % | dominant X | axis fraction 100.0 % | IN TARGET BAND</x:v>
      </x:c>
      <x:c r="C4768" t="str">
        <x:v>Pasted text(59).txt</x:v>
      </x:c>
    </x:row>
    <x:row r="4769">
      <x:c r="A4769" t="n">
        <x:v>739</x:v>
      </x:c>
      <x:c r="B4769" s="58" t="str">
        <x:v>HOLD | point 7 | DAC 10.25 | CTRL X 1.01190 | X 1.01265 | Y 0.46394 | Z 0.19148 | TOTAL 1.13053 | error 1.19 % | MAD 3.95 % | CV 2.77 % | coh 86.8 % | dominant X | axis fraction 100.0 % | IN TARGET BAND</x:v>
      </x:c>
      <x:c r="C4769" t="str">
        <x:v>Pasted text(59).txt</x:v>
      </x:c>
    </x:row>
    <x:row r="4770">
      <x:c r="A4770" t="n">
        <x:v>740</x:v>
      </x:c>
      <x:c r="B4770" s="58" t="str">
        <x:v>HOLD | point 8 | DAC 10.25 | CTRL X 0.97976 | X 0.99056 | Y 0.51662 | Z 0.19596 | TOTAL 1.13460 | error -2.02 % | MAD 1.98 % | CV 3.10 % | coh 86.8 % | dominant X | axis fraction 100.0 % | IN TARGET BAND</x:v>
      </x:c>
      <x:c r="C4770" t="str">
        <x:v>Pasted text(59).txt</x:v>
      </x:c>
    </x:row>
    <x:row r="4771">
      <x:c r="A4771" t="n">
        <x:v>741</x:v>
      </x:c>
      <x:c r="B4771" s="58" t="str">
        <x:v>HOLD | point 9 | DAC 10.25 | CTRL X 1.00158 | X 0.98960 | Y 0.49864 | Z 0.21572 | TOTAL 1.12920 | error 0.16 % | MAD 0.48 % | CV 2.39 % | coh 85.8 % | dominant X | axis fraction 100.0 % | IN TARGET BAND</x:v>
      </x:c>
      <x:c r="C4771" t="str">
        <x:v>Pasted text(59).txt</x:v>
      </x:c>
    </x:row>
    <x:row r="4772">
      <x:c r="A4772" t="n">
        <x:v>742</x:v>
      </x:c>
      <x:c r="B4772" s="58" t="str">
        <x:v>HOLD | point 10 | DAC 10.25 | CTRL X 1.00571 | X 1.00660 | Y 0.53644 | Z 0.21420 | TOTAL 1.16112 | error 0.57 % | MAD 2.15 % | CV 1.59 % | coh 87.4 % | dominant X | axis fraction 100.0 % | IN TARGET BAND</x:v>
      </x:c>
      <x:c r="C4772" t="str">
        <x:v>Pasted text(59).txt</x:v>
      </x:c>
    </x:row>
    <x:row r="4773">
      <x:c r="A4773" t="n">
        <x:v>743</x:v>
      </x:c>
      <x:c r="B4773" s="58" t="str"/>
      <x:c r="C4773" t="str">
        <x:v>Pasted text(59).txt</x:v>
      </x:c>
    </x:row>
    <x:row r="4774">
      <x:c r="A4774" t="n">
        <x:v>744</x:v>
      </x:c>
      <x:c r="B4774" s="58" t="str">
        <x:v>HOLD SUMMARY</x:v>
      </x:c>
      <x:c r="C4774" t="str">
        <x:v>Pasted text(59).txt</x:v>
      </x:c>
    </x:row>
    <x:row r="4775">
      <x:c r="A4775" t="n">
        <x:v>745</x:v>
      </x:c>
      <x:c r="B4775" s="58" t="str">
        <x:v>Valid / requested: 10 / 10</x:v>
      </x:c>
      <x:c r="C4775" t="str">
        <x:v>Pasted text(59).txt</x:v>
      </x:c>
    </x:row>
    <x:row r="4776">
      <x:c r="A4776" t="n">
        <x:v>746</x:v>
      </x:c>
      <x:c r="B4776" s="58" t="str">
        <x:v>In band / requested: 10 / 10 = 100.0 %</x:v>
      </x:c>
      <x:c r="C4776" t="str">
        <x:v>Pasted text(59).txt</x:v>
      </x:c>
    </x:row>
    <x:row r="4777">
      <x:c r="A4777" t="n">
        <x:v>747</x:v>
      </x:c>
      <x:c r="B4777" s="58" t="str">
        <x:v>Mean / SD / CV: 0.99387 / 0.01239 / 1.25 %</x:v>
      </x:c>
      <x:c r="C4777" t="str">
        <x:v>Pasted text(59).txt</x:v>
      </x:c>
    </x:row>
    <x:row r="4778">
      <x:c r="A4778" t="n">
        <x:v>748</x:v>
      </x:c>
      <x:c r="B4778" s="58" t="str">
        <x:v>Min / Max: 0.97306 / 1.01190</x:v>
      </x:c>
      <x:c r="C4778" t="str">
        <x:v>Pasted text(59).txt</x:v>
      </x:c>
    </x:row>
    <x:row r="4779">
      <x:c r="A4779" t="n">
        <x:v>749</x:v>
      </x:c>
      <x:c r="B4779" s="58" t="str">
        <x:v>HOLD RESULT: PASS</x:v>
      </x:c>
      <x:c r="C4779" t="str">
        <x:v>Pasted text(59).txt</x:v>
      </x:c>
    </x:row>
    <x:row r="4780">
      <x:c r="A4780" t="n">
        <x:v>750</x:v>
      </x:c>
      <x:c r="B4780" s="58" t="str"/>
      <x:c r="C4780" t="str">
        <x:v>Pasted text(59).txt</x:v>
      </x:c>
    </x:row>
    <x:row r="4781">
      <x:c r="A4781" t="n">
        <x:v>751</x:v>
      </x:c>
      <x:c r="B4781" s="58" t="str">
        <x:v>RUN RESULT: PASS</x:v>
      </x:c>
      <x:c r="C4781" t="str">
        <x:v>Pasted text(59).txt</x:v>
      </x:c>
    </x:row>
    <x:row r="4782">
      <x:c r="A4782" t="n">
        <x:v>752</x:v>
      </x:c>
      <x:c r="B4782" s="58" t="str">
        <x:v>Selected DAC: 10.25</x:v>
      </x:c>
      <x:c r="C4782" t="str">
        <x:v>Pasted text(59).txt</x:v>
      </x:c>
    </x:row>
    <x:row r="4783">
      <x:c r="A4783" t="n">
        <x:v>753</x:v>
      </x:c>
      <x:c r="B4783" s="58" t="str">
        <x:v>Validated amplitude: 1.00511 m/s^2 | error 0.51 %</x:v>
      </x:c>
      <x:c r="C4783" t="str">
        <x:v>Pasted text(59).txt</x:v>
      </x:c>
    </x:row>
    <x:row r="4784">
      <x:c r="A4784" t="n">
        <x:v>754</x:v>
      </x:c>
      <x:c r="B4784" s="58" t="str">
        <x:v>FFT frequency: 268.03087 Hz | difference 0.03087 Hz</x:v>
      </x:c>
      <x:c r="C4784" t="str">
        <x:v>Pasted text(59).txt</x:v>
      </x:c>
    </x:row>
    <x:row r="4785">
      <x:c r="A4785" t="n">
        <x:v>755</x:v>
      </x:c>
      <x:c r="B4785" s="58" t="str"/>
      <x:c r="C4785" t="str">
        <x:v>Pasted text(59).txt</x:v>
      </x:c>
    </x:row>
    <x:row r="4786">
      <x:c r="A4786" t="n">
        <x:v>756</x:v>
      </x:c>
      <x:c r="B4786" s="58" t="str">
        <x:v>VISATON OFF. RESTING 5.0 s BEFORE THE NEXT COMPLETELY FRESH RUN.</x:v>
      </x:c>
      <x:c r="C4786" t="str">
        <x:v>Pasted text(59).txt</x:v>
      </x:c>
    </x:row>
    <x:row r="4787">
      <x:c r="A4787" t="n">
        <x:v>757</x:v>
      </x:c>
      <x:c r="B4787" s="58" t="str"/>
      <x:c r="C4787" t="str">
        <x:v>Pasted text(59).txt</x:v>
      </x:c>
    </x:row>
    <x:row r="4788">
      <x:c r="A4788" t="n">
        <x:v>758</x:v>
      </x:c>
      <x:c r="B4788" s="58" t="str">
        <x:v>################################################################################</x:v>
      </x:c>
      <x:c r="C4788" t="str">
        <x:v>Pasted text(59).txt</x:v>
      </x:c>
    </x:row>
    <x:row r="4789">
      <x:c r="A4789" t="n">
        <x:v>759</x:v>
      </x:c>
      <x:c r="B4789" s="58" t="str">
        <x:v>INDEPENDENT TARGET-AMPLITUDE RUN 4 OF 5</x:v>
      </x:c>
      <x:c r="C4789" t="str">
        <x:v>Pasted text(59).txt</x:v>
      </x:c>
    </x:row>
    <x:row r="4790">
      <x:c r="A4790" t="n">
        <x:v>760</x:v>
      </x:c>
      <x:c r="B4790" s="58" t="str">
        <x:v>################################################################################</x:v>
      </x:c>
      <x:c r="C4790" t="str">
        <x:v>Pasted text(59).txt</x:v>
      </x:c>
    </x:row>
    <x:row r="4791">
      <x:c r="A4791" t="n">
        <x:v>761</x:v>
      </x:c>
      <x:c r="B4791" s="58" t="str">
        <x:v>Frequency: 268.00000 Hz</x:v>
      </x:c>
      <x:c r="C4791" t="str">
        <x:v>Pasted text(59).txt</x:v>
      </x:c>
    </x:row>
    <x:row r="4792">
      <x:c r="A4792" t="n">
        <x:v>762</x:v>
      </x:c>
      <x:c r="B4792" s="58" t="str">
        <x:v>Target X amplitude: 1.00000 m/s^2 peak, tolerance +/-7.50 %</x:v>
      </x:c>
      <x:c r="C4792" t="str">
        <x:v>Pasted text(59).txt</x:v>
      </x:c>
    </x:row>
    <x:row r="4793">
      <x:c r="A4793" t="n">
        <x:v>763</x:v>
      </x:c>
      <x:c r="B4793" s="58" t="str">
        <x:v>This run starts from DAC 1.00 and ignores every earlier selected DAC.</x:v>
      </x:c>
      <x:c r="C4793" t="str">
        <x:v>Pasted text(59).txt</x:v>
      </x:c>
    </x:row>
    <x:row r="4794">
      <x:c r="A4794" t="n">
        <x:v>764</x:v>
      </x:c>
      <x:c r="B4794" s="58" t="str">
        <x:v>ADXL2 DEVID/DATA_FORMAT/BW_RATE/POWER_CTL: 0xE5 / 0xB / 0xE / 0x8</x:v>
      </x:c>
      <x:c r="C4794" t="str">
        <x:v>Pasted text(59).txt</x:v>
      </x:c>
    </x:row>
    <x:row r="4795">
      <x:c r="A4795" t="n">
        <x:v>765</x:v>
      </x:c>
      <x:c r="B4795" s="58" t="str"/>
      <x:c r="C4795" t="str">
        <x:v>Pasted text(59).txt</x:v>
      </x:c>
    </x:row>
    <x:row r="4796">
      <x:c r="A4796" t="n">
        <x:v>766</x:v>
      </x:c>
      <x:c r="B4796" s="58" t="str">
        <x:v>ACQUISITION ATTEMPT 1 OF 2</x:v>
      </x:c>
      <x:c r="C4796" t="str">
        <x:v>Pasted text(59).txt</x:v>
      </x:c>
    </x:row>
    <x:row r="4797">
      <x:c r="A4797" t="n">
        <x:v>767</x:v>
      </x:c>
      <x:c r="B4797" s="58" t="str"/>
      <x:c r="C4797" t="str">
        <x:v>Pasted text(59).txt</x:v>
      </x:c>
    </x:row>
    <x:row r="4798">
      <x:c r="A4798" t="n">
        <x:v>768</x:v>
      </x:c>
      <x:c r="B4798" s="58" t="str">
        <x:v>FRESH X-AXIS SEARCH FROM DAC 1.00 — OLD DAC VALUES ARE NOT USED</x:v>
      </x:c>
      <x:c r="C4798" t="str">
        <x:v>Pasted text(59).txt</x:v>
      </x:c>
    </x:row>
    <x:row r="4799">
      <x:c r="A4799" t="n">
        <x:v>769</x:v>
      </x:c>
      <x:c r="B4799" s="58" t="str">
        <x:v>Y/Z are diagnostic only and cannot abort this search.</x:v>
      </x:c>
      <x:c r="C4799" t="str">
        <x:v>Pasted text(59).txt</x:v>
      </x:c>
    </x:row>
    <x:row r="4800">
      <x:c r="A4800" t="n">
        <x:v>770</x:v>
      </x:c>
      <x:c r="B4800" s="58" t="str">
        <x:v>A real SPI fault, clipping, safety limit or confirmed X-response collapse will stop it.</x:v>
      </x:c>
      <x:c r="C4800" t="str">
        <x:v>Pasted text(59).txt</x:v>
      </x:c>
    </x:row>
    <x:row r="4801">
      <x:c r="A4801" t="n">
        <x:v>771</x:v>
      </x:c>
      <x:c r="B4801" s="58" t="str">
        <x:v>SEARCH | point 1 | DAC 1.00 | CTRL X 0.01378 | X 0.01502 | Y 0.02585 | Z 0.02428 | TOTAL 0.03933 | error -98.62 % | MAD 52.92 % | CV 45.66 % | coh 4.6 % | dominant Y | axis fraction 58.1 % | BELOW MEASUREMENT FLOOR — SEARCH CONTINUES</x:v>
      </x:c>
      <x:c r="C4801" t="str">
        <x:v>Pasted text(59).txt</x:v>
      </x:c>
    </x:row>
    <x:row r="4802">
      <x:c r="A4802" t="n">
        <x:v>772</x:v>
      </x:c>
      <x:c r="B4802" s="58" t="str">
        <x:v>SEARCH | point 2 | DAC 3.00 | CTRL X 0.20775 | X 0.20988 | Y 0.09828 | Z 0.05042 | TOTAL 0.23754 | error -79.22 % | MAD 0.90 % | CV 2.29 % | coh 31.2 % | dominant X | axis fraction 100.0 % | UNSTABLE — SEARCH CONTINUES</x:v>
      </x:c>
      <x:c r="C4802" t="str">
        <x:v>Pasted text(59).txt</x:v>
      </x:c>
    </x:row>
    <x:row r="4803">
      <x:c r="A4803" t="n">
        <x:v>773</x:v>
      </x:c>
      <x:c r="B4803" s="58" t="str">
        <x:v>SEARCH | point 3 | DAC 5.00 | CTRL X 0.41071 | X 0.40985 | Y 0.21091 | Z 0.07713 | TOTAL 0.46808 | error -58.93 % | MAD 1.58 % | CV 1.39 % | coh 55.4 % | dominant X | axis fraction 100.0 % | VALID</x:v>
      </x:c>
      <x:c r="C4803" t="str">
        <x:v>Pasted text(59).txt</x:v>
      </x:c>
    </x:row>
    <x:row r="4804">
      <x:c r="A4804" t="n">
        <x:v>774</x:v>
      </x:c>
      <x:c r="B4804" s="58" t="str">
        <x:v>SEARCH | point 4 | DAC 6.00 | CTRL X 0.54923 | X 0.54032 | Y 0.26037 | Z 0.12698 | TOTAL 0.61442 | error -45.08 % | MAD 3.42 % | CV 5.03 % | coh 65.5 % | dominant X | axis fraction 100.0 % | VALID</x:v>
      </x:c>
      <x:c r="C4804" t="str">
        <x:v>Pasted text(59).txt</x:v>
      </x:c>
    </x:row>
    <x:row r="4805">
      <x:c r="A4805" t="n">
        <x:v>775</x:v>
      </x:c>
      <x:c r="B4805" s="58" t="str">
        <x:v>SEARCH | point 5 | DAC 7.00 | CTRL X 0.66449 | X 0.66371 | Y 0.32478 | Z 0.14431 | TOTAL 0.75319 | error -33.55 % | MAD 2.15 % | CV 1.63 % | coh 76.5 % | dominant X | axis fraction 100.0 % | VALID</x:v>
      </x:c>
      <x:c r="C4805" t="str">
        <x:v>Pasted text(59).txt</x:v>
      </x:c>
    </x:row>
    <x:row r="4806">
      <x:c r="A4806" t="n">
        <x:v>776</x:v>
      </x:c>
      <x:c r="B4806" s="58" t="str">
        <x:v>SEARCH | point 6 | DAC 7.50 | CTRL X 0.68505 | X 0.69075 | Y 0.32642 | Z 0.14988 | TOTAL 0.77868 | error -31.49 % | MAD 0.30 % | CV 1.60 % | coh 82.0 % | dominant X | axis fraction 100.0 % | VALID</x:v>
      </x:c>
      <x:c r="C4806" t="str">
        <x:v>Pasted text(59).txt</x:v>
      </x:c>
    </x:row>
    <x:row r="4807">
      <x:c r="A4807" t="n">
        <x:v>777</x:v>
      </x:c>
      <x:c r="B4807" s="58" t="str">
        <x:v>SEARCH | point 7 | DAC 8.00 | CTRL X 0.76922 | X 0.77268 | Y 0.38534 | Z 0.12642 | TOTAL 0.87283 | error -23.08 % | MAD 1.78 % | CV 1.90 % | coh 79.5 % | dominant X | axis fraction 100.0 % | VALID</x:v>
      </x:c>
      <x:c r="C4807" t="str">
        <x:v>Pasted text(59).txt</x:v>
      </x:c>
    </x:row>
    <x:row r="4808">
      <x:c r="A4808" t="n">
        <x:v>778</x:v>
      </x:c>
      <x:c r="B4808" s="58" t="str">
        <x:v>SEARCH | point 8 | DAC 8.50 | CTRL X 0.79805 | X 0.79302 | Y 0.39331 | Z 0.15200 | TOTAL 0.89833 | error -20.20 % | MAD 0.95 % | CV 1.68 % | coh 83.5 % | dominant X | axis fraction 100.0 % | VALID</x:v>
      </x:c>
      <x:c r="C4808" t="str">
        <x:v>Pasted text(59).txt</x:v>
      </x:c>
    </x:row>
    <x:row r="4809">
      <x:c r="A4809" t="n">
        <x:v>779</x:v>
      </x:c>
      <x:c r="B4809" s="58" t="str">
        <x:v>SEARCH | point 9 | DAC 9.00 | CTRL X 0.86525 | X 0.85849 | Y 0.41907 | Z 0.15568 | TOTAL 0.96835 | error -13.47 % | MAD 0.11 % | CV 1.43 % | coh 81.0 % | dominant X | axis fraction 100.0 % | VALID</x:v>
      </x:c>
      <x:c r="C4809" t="str">
        <x:v>Pasted text(59).txt</x:v>
      </x:c>
    </x:row>
    <x:row r="4810">
      <x:c r="A4810" t="n">
        <x:v>780</x:v>
      </x:c>
      <x:c r="B4810" s="58" t="str">
        <x:v>SEARCH | point 10 | DAC 9.25 | CTRL X 0.87499 | X 0.87746 | Y 0.45071 | Z 0.17943 | TOTAL 1.00362 | error -12.50 % | MAD 2.33 % | CV 2.00 % | coh 85.5 % | dominant X | axis fraction 100.0 % | VALID</x:v>
      </x:c>
      <x:c r="C4810" t="str">
        <x:v>Pasted text(59).txt</x:v>
      </x:c>
    </x:row>
    <x:row r="4811">
      <x:c r="A4811" t="n">
        <x:v>781</x:v>
      </x:c>
      <x:c r="B4811" s="58" t="str">
        <x:v>SEARCH | point 11 | DAC 9.50 | CTRL X 0.87730 | X 0.88334 | Y 0.44234 | Z 0.18279 | TOTAL 1.00516 | error -12.27 % | MAD 1.39 % | CV 2.05 % | coh 86.1 % | dominant X | axis fraction 100.0 % | VALID</x:v>
      </x:c>
      <x:c r="C4811" t="str">
        <x:v>Pasted text(59).txt</x:v>
      </x:c>
    </x:row>
    <x:row r="4812">
      <x:c r="A4812" t="n">
        <x:v>782</x:v>
      </x:c>
      <x:c r="B4812" s="58" t="str">
        <x:v>SEARCH | point 12 | DAC 9.75 | CTRL X 0.94957 | X 0.93871 | Y 0.47066 | Z 0.15909 | TOTAL 1.06282 | error -5.04 % | MAD 1.01 % | CV 2.63 % | coh 83.0 % | dominant X | axis fraction 100.0 % | IN TARGET BAND</x:v>
      </x:c>
      <x:c r="C4812" t="str">
        <x:v>Pasted text(59).txt</x:v>
      </x:c>
    </x:row>
    <x:row r="4813">
      <x:c r="A4813" t="n">
        <x:v>783</x:v>
      </x:c>
      <x:c r="B4813" s="58" t="str"/>
      <x:c r="C4813" t="str">
        <x:v>Pasted text(59).txt</x:v>
      </x:c>
    </x:row>
    <x:row r="4814">
      <x:c r="A4814" t="n">
        <x:v>784</x:v>
      </x:c>
      <x:c r="B4814" s="58" t="str">
        <x:v>LOCAL 0.25-DAC X-AXIS FINE SCAN</x:v>
      </x:c>
      <x:c r="C4814" t="str">
        <x:v>Pasted text(59).txt</x:v>
      </x:c>
    </x:row>
    <x:row r="4815">
      <x:c r="A4815" t="n">
        <x:v>785</x:v>
      </x:c>
      <x:c r="B4815" s="58" t="str">
        <x:v>Only a valid point actually inside the X target band may be selected.</x:v>
      </x:c>
      <x:c r="C4815" t="str">
        <x:v>Pasted text(59).txt</x:v>
      </x:c>
    </x:row>
    <x:row r="4816">
      <x:c r="A4816" t="n">
        <x:v>786</x:v>
      </x:c>
      <x:c r="B4816" s="58" t="str">
        <x:v>FINE | point 1 | DAC 8.75 | CTRL X 0.83335 | X 0.83543 | Y 0.43656 | Z 0.16552 | TOTAL 0.95729 | error -16.66 % | MAD 2.02 % | CV 1.74 % | coh 79.4 % | dominant X | axis fraction 100.0 % | VALID</x:v>
      </x:c>
      <x:c r="C4816" t="str">
        <x:v>Pasted text(59).txt</x:v>
      </x:c>
    </x:row>
    <x:row r="4817">
      <x:c r="A4817" t="n">
        <x:v>787</x:v>
      </x:c>
      <x:c r="B4817" s="58" t="str">
        <x:v>FINE | point 2 | DAC 9.00 | CTRL X 0.83568 | X 0.85906 | Y 0.44417 | Z 0.14761 | TOTAL 0.97886 | error -16.43 % | MAD 0.24 % | CV 4.85 % | coh 81.7 % | dominant X | axis fraction 100.0 % | VALID</x:v>
      </x:c>
      <x:c r="C4817" t="str">
        <x:v>Pasted text(59).txt</x:v>
      </x:c>
    </x:row>
    <x:row r="4818">
      <x:c r="A4818" t="n">
        <x:v>788</x:v>
      </x:c>
      <x:c r="B4818" s="58" t="str">
        <x:v>FINE | point 3 | DAC 9.25 | CTRL X 0.89650 | X 0.88795 | Y 0.45590 | Z 0.17630 | TOTAL 1.01399 | error -10.35 % | MAD 0.69 % | CV 2.09 % | coh 86.7 % | dominant X | axis fraction 100.0 % | VALID</x:v>
      </x:c>
      <x:c r="C4818" t="str">
        <x:v>Pasted text(59).txt</x:v>
      </x:c>
    </x:row>
    <x:row r="4819">
      <x:c r="A4819" t="n">
        <x:v>789</x:v>
      </x:c>
      <x:c r="B4819" s="58" t="str">
        <x:v>FINE | point 4 | DAC 9.50 | CTRL X 0.89859 | X 0.88760 | Y 0.43639 | Z 0.17356 | TOTAL 1.00448 | error -10.14 % | MAD 0.15 % | CV 2.24 % | coh 84.5 % | dominant X | axis fraction 100.0 % | VALID</x:v>
      </x:c>
      <x:c r="C4819" t="str">
        <x:v>Pasted text(59).txt</x:v>
      </x:c>
    </x:row>
    <x:row r="4820">
      <x:c r="A4820" t="n">
        <x:v>790</x:v>
      </x:c>
      <x:c r="B4820" s="58" t="str">
        <x:v>FINE | point 5 | DAC 9.75 | CTRL X 0.93708 | X 0.93731 | Y 0.48258 | Z 0.16204 | TOTAL 1.06682 | error -6.29 % | MAD 2.86 % | CV 1.97 % | coh 82.7 % | dominant X | axis fraction 100.0 % | IN TARGET BAND</x:v>
      </x:c>
      <x:c r="C4820" t="str">
        <x:v>Pasted text(59).txt</x:v>
      </x:c>
    </x:row>
    <x:row r="4821">
      <x:c r="A4821" t="n">
        <x:v>791</x:v>
      </x:c>
      <x:c r="B4821" s="58" t="str">
        <x:v>FINE | point 6 | DAC 10.00 | CTRL X 0.97327 | X 0.96007 | Y 0.50346 | Z 0.19087 | TOTAL 1.10090 | error -2.67 % | MAD 0.11 % | CV 2.45 % | coh 84.2 % | dominant X | axis fraction 100.0 % | IN TARGET BAND</x:v>
      </x:c>
      <x:c r="C4821" t="str">
        <x:v>Pasted text(59).txt</x:v>
      </x:c>
    </x:row>
    <x:row r="4822">
      <x:c r="A4822" t="n">
        <x:v>792</x:v>
      </x:c>
      <x:c r="B4822" s="58" t="str">
        <x:v>FINE | point 7 | DAC 10.25 | CTRL X 0.97083 | X 0.97954 | Y 0.50275 | Z 0.18005 | TOTAL 1.11634 | error -2.92 % | MAD 0.10 % | CV 1.60 % | coh 84.6 % | dominant X | axis fraction 100.0 % | IN TARGET BAND</x:v>
      </x:c>
      <x:c r="C4822" t="str">
        <x:v>Pasted text(59).txt</x:v>
      </x:c>
    </x:row>
    <x:row r="4823">
      <x:c r="A4823" t="n">
        <x:v>793</x:v>
      </x:c>
      <x:c r="B4823" s="58" t="str">
        <x:v>FINE | point 8 | DAC 10.50 | CTRL X 0.97942 | X 0.97762 | Y 0.52690 | Z 0.20855 | TOTAL 1.13046 | error -2.06 % | MAD 1.80 % | CV 1.50 % | coh 87.7 % | dominant X | axis fraction 100.0 % | IN TARGET BAND</x:v>
      </x:c>
      <x:c r="C4823" t="str">
        <x:v>Pasted text(59).txt</x:v>
      </x:c>
    </x:row>
    <x:row r="4824">
      <x:c r="A4824" t="n">
        <x:v>794</x:v>
      </x:c>
      <x:c r="B4824" s="58" t="str">
        <x:v>FINE | point 9 | DAC 10.75 | CTRL X 1.04323 | X 1.04379 | Y 0.53013 | Z 0.21325 | TOTAL 1.19049 | error 4.32 % | MAD 0.72 % | CV 0.57 % | coh 86.9 % | dominant X | axis fraction 100.0 % | IN TARGET BAND</x:v>
      </x:c>
      <x:c r="C4824" t="str">
        <x:v>Pasted text(59).txt</x:v>
      </x:c>
    </x:row>
    <x:row r="4825">
      <x:c r="A4825" t="n">
        <x:v>795</x:v>
      </x:c>
      <x:c r="B4825" s="58" t="str"/>
      <x:c r="C4825" t="str">
        <x:v>Pasted text(59).txt</x:v>
      </x:c>
    </x:row>
    <x:row r="4826">
      <x:c r="A4826" t="n">
        <x:v>796</x:v>
      </x:c>
      <x:c r="B4826" s="58" t="str">
        <x:v>LONG VALIDATION AT FIXED DAC 10.25</x:v>
      </x:c>
      <x:c r="C4826" t="str">
        <x:v>Pasted text(59).txt</x:v>
      </x:c>
    </x:row>
    <x:row r="4827">
      <x:c r="A4827" t="n">
        <x:v>797</x:v>
      </x:c>
      <x:c r="B4827" s="58" t="str">
        <x:v>FINAL | point 1 | DAC 10.25 | CTRL X 0.98923 | X 0.99167 | Y 0.50511 | Z 0.20391 | TOTAL 1.13180 | error -1.08 % | MAD 0.92 % | CV 1.47 % | coh 86.5 % | dominant X | axis fraction 100.0 % | IN TARGET BAND</x:v>
      </x:c>
      <x:c r="C4827" t="str">
        <x:v>Pasted text(59).txt</x:v>
      </x:c>
    </x:row>
    <x:row r="4828">
      <x:c r="A4828" t="n">
        <x:v>798</x:v>
      </x:c>
      <x:c r="B4828" s="58" t="str">
        <x:v>FINAL | point 2 | DAC 10.25 | CTRL X 0.96933 | X 0.96908 | Y 0.50860 | Z 0.18368 | TOTAL 1.11021 | error -3.07 % | MAD 0.97 % | CV 0.93 % | coh 85.4 % | dominant X | axis fraction 100.0 % | IN TARGET BAND</x:v>
      </x:c>
      <x:c r="C4828" t="str">
        <x:v>Pasted text(59).txt</x:v>
      </x:c>
    </x:row>
    <x:row r="4829">
      <x:c r="A4829" t="n">
        <x:v>799</x:v>
      </x:c>
      <x:c r="B4829" s="58" t="str">
        <x:v>VALIDATION ACCEPTED | pair drift 2.03 %</x:v>
      </x:c>
      <x:c r="C4829" t="str">
        <x:v>Pasted text(59).txt</x:v>
      </x:c>
    </x:row>
    <x:row r="4830">
      <x:c r="A4830" t="n">
        <x:v>800</x:v>
      </x:c>
      <x:c r="B4830" s="58" t="str"/>
      <x:c r="C4830" t="str">
        <x:v>Pasted text(59).txt</x:v>
      </x:c>
    </x:row>
    <x:row r="4831">
      <x:c r="A4831" t="n">
        <x:v>801</x:v>
      </x:c>
      <x:c r="B4831" s="58" t="str">
        <x:v>FINAL VALIDATED BLIND FFT VERIFICATION</x:v>
      </x:c>
      <x:c r="C4831" t="str">
        <x:v>Pasted text(59).txt</x:v>
      </x:c>
    </x:row>
    <x:row r="4832">
      <x:c r="A4832" t="n">
        <x:v>802</x:v>
      </x:c>
      <x:c r="B4832" s="58" t="str">
        <x:v>Commanded frequency: 268.00000 Hz</x:v>
      </x:c>
      <x:c r="C4832" t="str">
        <x:v>Pasted text(59).txt</x:v>
      </x:c>
    </x:row>
    <x:row r="4833">
      <x:c r="A4833" t="n">
        <x:v>803</x:v>
      </x:c>
      <x:c r="B4833" s="58" t="str">
        <x:v>Accepted DAC: 10.25</x:v>
      </x:c>
      <x:c r="C4833" t="str">
        <x:v>Pasted text(59).txt</x:v>
      </x:c>
    </x:row>
    <x:row r="4834">
      <x:c r="A4834" t="n">
        <x:v>804</x:v>
      </x:c>
      <x:c r="B4834" s="58" t="str">
        <x:v>Axis,Frequency_Hz,Amplitude_mps2,SNR_dB,Status</x:v>
      </x:c>
      <x:c r="C4834" t="str">
        <x:v>Pasted text(59).txt</x:v>
      </x:c>
    </x:row>
    <x:row r="4835">
      <x:c r="A4835" t="n">
        <x:v>805</x:v>
      </x:c>
      <x:c r="B4835" s="58" t="str">
        <x:v>X,268.01950,0.88926,30.16,VALID</x:v>
      </x:c>
      <x:c r="C4835" t="str">
        <x:v>Pasted text(59).txt</x:v>
      </x:c>
    </x:row>
    <x:row r="4836">
      <x:c r="A4836" t="n">
        <x:v>806</x:v>
      </x:c>
      <x:c r="B4836" s="58" t="str">
        <x:v>Y,268.05049,0.45789,22.45,VALID</x:v>
      </x:c>
      <x:c r="C4836" t="str">
        <x:v>Pasted text(59).txt</x:v>
      </x:c>
    </x:row>
    <x:row r="4837">
      <x:c r="A4837" t="n">
        <x:v>807</x:v>
      </x:c>
      <x:c r="B4837" s="58" t="str">
        <x:v>Z,268.11235,0.18601,19.90,VALID</x:v>
      </x:c>
      <x:c r="C4837" t="str">
        <x:v>Pasted text(59).txt</x:v>
      </x:c>
    </x:row>
    <x:row r="4838">
      <x:c r="A4838" t="n">
        <x:v>808</x:v>
      </x:c>
      <x:c r="B4838" s="58" t="str">
        <x:v>Combined frequency: 268.02896 Hz | difference 0.02896 Hz</x:v>
      </x:c>
      <x:c r="C4838" t="str">
        <x:v>Pasted text(59).txt</x:v>
      </x:c>
    </x:row>
    <x:row r="4839">
      <x:c r="A4839" t="n">
        <x:v>809</x:v>
      </x:c>
      <x:c r="B4839" s="58" t="str">
        <x:v>Combined X/Y/Z/TOTAL: 0.81072 / 0.42060 / 0.17330 / 0.92962</x:v>
      </x:c>
      <x:c r="C4839" t="str">
        <x:v>Pasted text(59).txt</x:v>
      </x:c>
    </x:row>
    <x:row r="4840">
      <x:c r="A4840" t="n">
        <x:v>810</x:v>
      </x:c>
      <x:c r="B4840" s="58" t="str">
        <x:v>SNR: 26.47 dB | dominant axis X</x:v>
      </x:c>
      <x:c r="C4840" t="str">
        <x:v>Pasted text(59).txt</x:v>
      </x:c>
    </x:row>
    <x:row r="4841">
      <x:c r="A4841" t="n">
        <x:v>811</x:v>
      </x:c>
      <x:c r="B4841" s="58" t="str">
        <x:v>Frequency verification: PASS</x:v>
      </x:c>
      <x:c r="C4841" t="str">
        <x:v>Pasted text(59).txt</x:v>
      </x:c>
    </x:row>
    <x:row r="4842">
      <x:c r="A4842" t="n">
        <x:v>812</x:v>
      </x:c>
      <x:c r="B4842" s="58" t="str">
        <x:v>Y/Z dominance: DIAGNOSTIC ONLY — ignored for pass/fail</x:v>
      </x:c>
      <x:c r="C4842" t="str">
        <x:v>Pasted text(59).txt</x:v>
      </x:c>
    </x:row>
    <x:row r="4843">
      <x:c r="A4843" t="n">
        <x:v>813</x:v>
      </x:c>
      <x:c r="B4843" s="58" t="str"/>
      <x:c r="C4843" t="str">
        <x:v>Pasted text(59).txt</x:v>
      </x:c>
    </x:row>
    <x:row r="4844">
      <x:c r="A4844" t="n">
        <x:v>814</x:v>
      </x:c>
      <x:c r="B4844" s="58" t="str">
        <x:v>FIXED-DAC HOLD VALIDATION</x:v>
      </x:c>
      <x:c r="C4844" t="str">
        <x:v>Pasted text(59).txt</x:v>
      </x:c>
    </x:row>
    <x:row r="4845">
      <x:c r="A4845" t="n">
        <x:v>815</x:v>
      </x:c>
      <x:c r="B4845" s="58" t="str">
        <x:v>DAC remains fixed at 10.25 for 10 records.</x:v>
      </x:c>
      <x:c r="C4845" t="str">
        <x:v>Pasted text(59).txt</x:v>
      </x:c>
    </x:row>
    <x:row r="4846">
      <x:c r="A4846" t="n">
        <x:v>816</x:v>
      </x:c>
      <x:c r="B4846" s="58" t="str">
        <x:v>HOLD | point 1 | DAC 10.25 | CTRL X 0.95590 | X 0.96395 | Y 0.50500 | Z 0.20685 | TOTAL 1.10833 | error -4.41 % | MAD 1.10 % | CV 2.12 % | coh 84.6 % | dominant X | axis fraction 100.0 % | IN TARGET BAND</x:v>
      </x:c>
      <x:c r="C4846" t="str">
        <x:v>Pasted text(59).txt</x:v>
      </x:c>
    </x:row>
    <x:row r="4847">
      <x:c r="A4847" t="n">
        <x:v>817</x:v>
      </x:c>
      <x:c r="B4847" s="58" t="str">
        <x:v>HOLD | point 2 | DAC 10.25 | CTRL X 0.96867 | X 0.97054 | Y 0.50233 | Z 0.19400 | TOTAL 1.11014 | error -3.13 % | MAD 1.06 % | CV 1.02 % | coh 86.1 % | dominant X | axis fraction 100.0 % | IN TARGET BAND</x:v>
      </x:c>
      <x:c r="C4847" t="str">
        <x:v>Pasted text(59).txt</x:v>
      </x:c>
    </x:row>
    <x:row r="4848">
      <x:c r="A4848" t="n">
        <x:v>818</x:v>
      </x:c>
      <x:c r="B4848" s="58" t="str">
        <x:v>HOLD | point 3 | DAC 10.25 | CTRL X 0.98162 | X 0.97805 | Y 0.51199 | Z 0.20485 | TOTAL 1.12358 | error -1.84 % | MAD 0.25 % | CV 0.79 % | coh 86.4 % | dominant X | axis fraction 100.0 % | IN TARGET BAND</x:v>
      </x:c>
      <x:c r="C4848" t="str">
        <x:v>Pasted text(59).txt</x:v>
      </x:c>
    </x:row>
    <x:row r="4849">
      <x:c r="A4849" t="n">
        <x:v>819</x:v>
      </x:c>
      <x:c r="B4849" s="58" t="str">
        <x:v>HOLD | point 4 | DAC 10.25 | CTRL X 0.96023 | X 0.96161 | Y 0.47885 | Z 0.22503 | TOTAL 1.09800 | error -3.98 % | MAD 1.72 % | CV 1.38 % | coh 84.9 % | dominant X | axis fraction 100.0 % | IN TARGET BAND</x:v>
      </x:c>
      <x:c r="C4849" t="str">
        <x:v>Pasted text(59).txt</x:v>
      </x:c>
    </x:row>
    <x:row r="4850">
      <x:c r="A4850" t="n">
        <x:v>820</x:v>
      </x:c>
      <x:c r="B4850" s="58" t="str">
        <x:v>HOLD | point 5 | DAC 10.25 | CTRL X 0.95783 | X 0.96135 | Y 0.50647 | Z 0.20459 | TOTAL 1.10590 | error -4.22 % | MAD 0.60 % | CV 1.00 % | coh 84.7 % | dominant X | axis fraction 100.0 % | IN TARGET BAND</x:v>
      </x:c>
      <x:c r="C4850" t="str">
        <x:v>Pasted text(59).txt</x:v>
      </x:c>
    </x:row>
    <x:row r="4851">
      <x:c r="A4851" t="n">
        <x:v>821</x:v>
      </x:c>
      <x:c r="B4851" s="58" t="str">
        <x:v>HOLD | point 6 | DAC 10.25 | CTRL X 0.96540 | X 0.96142 | Y 0.51692 | Z 0.17789 | TOTAL 1.10668 | error -3.46 % | MAD 1.37 % | CV 1.59 % | coh 85.3 % | dominant X | axis fraction 100.0 % | IN TARGET BAND</x:v>
      </x:c>
      <x:c r="C4851" t="str">
        <x:v>Pasted text(59).txt</x:v>
      </x:c>
    </x:row>
    <x:row r="4852">
      <x:c r="A4852" t="n">
        <x:v>822</x:v>
      </x:c>
      <x:c r="B4852" s="58" t="str">
        <x:v>HOLD | point 7 | DAC 10.25 | CTRL X 0.95404 | X 0.95215 | Y 0.50676 | Z 0.19740 | TOTAL 1.09678 | error -4.60 % | MAD 1.78 % | CV 1.51 % | coh 85.0 % | dominant X | axis fraction 100.0 % | IN TARGET BAND</x:v>
      </x:c>
      <x:c r="C4852" t="str">
        <x:v>Pasted text(59).txt</x:v>
      </x:c>
    </x:row>
    <x:row r="4853">
      <x:c r="A4853" t="n">
        <x:v>823</x:v>
      </x:c>
      <x:c r="B4853" s="58" t="str">
        <x:v>HOLD | point 8 | DAC 10.25 | CTRL X 0.95455 | X 0.96146 | Y 0.49628 | Z 0.20523 | TOTAL 1.10150 | error -4.55 % | MAD 1.53 % | CV 2.19 % | coh 86.3 % | dominant X | axis fraction 100.0 % | IN TARGET BAND</x:v>
      </x:c>
      <x:c r="C4853" t="str">
        <x:v>Pasted text(59).txt</x:v>
      </x:c>
    </x:row>
    <x:row r="4854">
      <x:c r="A4854" t="n">
        <x:v>824</x:v>
      </x:c>
      <x:c r="B4854" s="58" t="str">
        <x:v>HOLD | point 9 | DAC 10.25 | CTRL X 0.95350 | X 0.94764 | Y 0.51525 | Z 0.20264 | TOTAL 1.09819 | error -4.65 % | MAD 1.91 % | CV 2.29 % | coh 84.0 % | dominant X | axis fraction 100.0 % | IN TARGET BAND</x:v>
      </x:c>
      <x:c r="C4854" t="str">
        <x:v>Pasted text(59).txt</x:v>
      </x:c>
    </x:row>
    <x:row r="4855">
      <x:c r="A4855" t="n">
        <x:v>825</x:v>
      </x:c>
      <x:c r="B4855" s="58" t="str">
        <x:v>HOLD | point 10 | DAC 10.25 | CTRL X 0.96961 | X 0.97203 | Y 0.49023 | Z 0.21933 | TOTAL 1.11135 | error -3.04 % | MAD 0.06 % | CV 0.46 % | coh 86.5 % | dominant X | axis fraction 100.0 % | IN TARGET BAND</x:v>
      </x:c>
      <x:c r="C4855" t="str">
        <x:v>Pasted text(59).txt</x:v>
      </x:c>
    </x:row>
    <x:row r="4856">
      <x:c r="A4856" t="n">
        <x:v>826</x:v>
      </x:c>
      <x:c r="B4856" s="58" t="str"/>
      <x:c r="C4856" t="str">
        <x:v>Pasted text(59).txt</x:v>
      </x:c>
    </x:row>
    <x:row r="4857">
      <x:c r="A4857" t="n">
        <x:v>827</x:v>
      </x:c>
      <x:c r="B4857" s="58" t="str">
        <x:v>HOLD SUMMARY</x:v>
      </x:c>
      <x:c r="C4857" t="str">
        <x:v>Pasted text(59).txt</x:v>
      </x:c>
    </x:row>
    <x:row r="4858">
      <x:c r="A4858" t="n">
        <x:v>828</x:v>
      </x:c>
      <x:c r="B4858" s="58" t="str">
        <x:v>Valid / requested: 10 / 10</x:v>
      </x:c>
      <x:c r="C4858" t="str">
        <x:v>Pasted text(59).txt</x:v>
      </x:c>
    </x:row>
    <x:row r="4859">
      <x:c r="A4859" t="n">
        <x:v>829</x:v>
      </x:c>
      <x:c r="B4859" s="58" t="str">
        <x:v>In band / requested: 10 / 10 = 100.0 %</x:v>
      </x:c>
      <x:c r="C4859" t="str">
        <x:v>Pasted text(59).txt</x:v>
      </x:c>
    </x:row>
    <x:row r="4860">
      <x:c r="A4860" t="n">
        <x:v>830</x:v>
      </x:c>
      <x:c r="B4860" s="58" t="str">
        <x:v>Mean / SD / CV: 0.96214 / 0.00912 / 0.95 %</x:v>
      </x:c>
      <x:c r="C4860" t="str">
        <x:v>Pasted text(59).txt</x:v>
      </x:c>
    </x:row>
    <x:row r="4861">
      <x:c r="A4861" t="n">
        <x:v>831</x:v>
      </x:c>
      <x:c r="B4861" s="58" t="str">
        <x:v>Min / Max: 0.95350 / 0.98162</x:v>
      </x:c>
      <x:c r="C4861" t="str">
        <x:v>Pasted text(59).txt</x:v>
      </x:c>
    </x:row>
    <x:row r="4862">
      <x:c r="A4862" t="n">
        <x:v>832</x:v>
      </x:c>
      <x:c r="B4862" s="58" t="str">
        <x:v>HOLD RESULT: PASS</x:v>
      </x:c>
      <x:c r="C4862" t="str">
        <x:v>Pasted text(59).txt</x:v>
      </x:c>
    </x:row>
    <x:row r="4863">
      <x:c r="A4863" t="n">
        <x:v>833</x:v>
      </x:c>
      <x:c r="B4863" s="58" t="str"/>
      <x:c r="C4863" t="str">
        <x:v>Pasted text(59).txt</x:v>
      </x:c>
    </x:row>
    <x:row r="4864">
      <x:c r="A4864" t="n">
        <x:v>834</x:v>
      </x:c>
      <x:c r="B4864" s="58" t="str">
        <x:v>RUN RESULT: PASS</x:v>
      </x:c>
      <x:c r="C4864" t="str">
        <x:v>Pasted text(59).txt</x:v>
      </x:c>
    </x:row>
    <x:row r="4865">
      <x:c r="A4865" t="n">
        <x:v>835</x:v>
      </x:c>
      <x:c r="B4865" s="58" t="str">
        <x:v>Selected DAC: 10.25</x:v>
      </x:c>
      <x:c r="C4865" t="str">
        <x:v>Pasted text(59).txt</x:v>
      </x:c>
    </x:row>
    <x:row r="4866">
      <x:c r="A4866" t="n">
        <x:v>836</x:v>
      </x:c>
      <x:c r="B4866" s="58" t="str">
        <x:v>Validated amplitude: 0.97928 m/s^2 | error -2.07 %</x:v>
      </x:c>
      <x:c r="C4866" t="str">
        <x:v>Pasted text(59).txt</x:v>
      </x:c>
    </x:row>
    <x:row r="4867">
      <x:c r="A4867" t="n">
        <x:v>837</x:v>
      </x:c>
      <x:c r="B4867" s="58" t="str">
        <x:v>FFT frequency: 268.02896 Hz | difference 0.02896 Hz</x:v>
      </x:c>
      <x:c r="C4867" t="str">
        <x:v>Pasted text(59).txt</x:v>
      </x:c>
    </x:row>
    <x:row r="4868">
      <x:c r="A4868" t="n">
        <x:v>838</x:v>
      </x:c>
      <x:c r="B4868" s="58" t="str"/>
      <x:c r="C4868" t="str">
        <x:v>Pasted text(59).txt</x:v>
      </x:c>
    </x:row>
    <x:row r="4869">
      <x:c r="A4869" t="n">
        <x:v>839</x:v>
      </x:c>
      <x:c r="B4869" s="58" t="str">
        <x:v>VISATON OFF. RESTING 5.0 s BEFORE THE NEXT COMPLETELY FRESH RUN.</x:v>
      </x:c>
      <x:c r="C4869" t="str">
        <x:v>Pasted text(59).txt</x:v>
      </x:c>
    </x:row>
    <x:row r="4870">
      <x:c r="A4870" t="n">
        <x:v>840</x:v>
      </x:c>
      <x:c r="B4870" s="58" t="str"/>
      <x:c r="C4870" t="str">
        <x:v>Pasted text(59).txt</x:v>
      </x:c>
    </x:row>
    <x:row r="4871">
      <x:c r="A4871" t="n">
        <x:v>841</x:v>
      </x:c>
      <x:c r="B4871" s="58" t="str">
        <x:v>################################################################################</x:v>
      </x:c>
      <x:c r="C4871" t="str">
        <x:v>Pasted text(59).txt</x:v>
      </x:c>
    </x:row>
    <x:row r="4872">
      <x:c r="A4872" t="n">
        <x:v>842</x:v>
      </x:c>
      <x:c r="B4872" s="58" t="str">
        <x:v>INDEPENDENT TARGET-AMPLITUDE RUN 5 OF 5</x:v>
      </x:c>
      <x:c r="C4872" t="str">
        <x:v>Pasted text(59).txt</x:v>
      </x:c>
    </x:row>
    <x:row r="4873">
      <x:c r="A4873" t="n">
        <x:v>843</x:v>
      </x:c>
      <x:c r="B4873" s="58" t="str">
        <x:v>################################################################################</x:v>
      </x:c>
      <x:c r="C4873" t="str">
        <x:v>Pasted text(59).txt</x:v>
      </x:c>
    </x:row>
    <x:row r="4874">
      <x:c r="A4874" t="n">
        <x:v>844</x:v>
      </x:c>
      <x:c r="B4874" s="58" t="str">
        <x:v>Frequency: 268.00000 Hz</x:v>
      </x:c>
      <x:c r="C4874" t="str">
        <x:v>Pasted text(59).txt</x:v>
      </x:c>
    </x:row>
    <x:row r="4875">
      <x:c r="A4875" t="n">
        <x:v>845</x:v>
      </x:c>
      <x:c r="B4875" s="58" t="str">
        <x:v>Target X amplitude: 1.00000 m/s^2 peak, tolerance +/-7.50 %</x:v>
      </x:c>
      <x:c r="C4875" t="str">
        <x:v>Pasted text(59).txt</x:v>
      </x:c>
    </x:row>
    <x:row r="4876">
      <x:c r="A4876" t="n">
        <x:v>846</x:v>
      </x:c>
      <x:c r="B4876" s="58" t="str">
        <x:v>This run starts from DAC 1.00 and ignores every earlier selected DAC.</x:v>
      </x:c>
      <x:c r="C4876" t="str">
        <x:v>Pasted text(59).txt</x:v>
      </x:c>
    </x:row>
    <x:row r="4877">
      <x:c r="A4877" t="n">
        <x:v>847</x:v>
      </x:c>
      <x:c r="B4877" s="58" t="str">
        <x:v>ADXL2 DEVID/DATA_FORMAT/BW_RATE/POWER_CTL: 0xE5 / 0xB / 0xE / 0x8</x:v>
      </x:c>
      <x:c r="C4877" t="str">
        <x:v>Pasted text(59).txt</x:v>
      </x:c>
    </x:row>
    <x:row r="4878">
      <x:c r="A4878" t="n">
        <x:v>848</x:v>
      </x:c>
      <x:c r="B4878" s="58" t="str"/>
      <x:c r="C4878" t="str">
        <x:v>Pasted text(59).txt</x:v>
      </x:c>
    </x:row>
    <x:row r="4879">
      <x:c r="A4879" t="n">
        <x:v>849</x:v>
      </x:c>
      <x:c r="B4879" s="58" t="str">
        <x:v>ACQUISITION ATTEMPT 1 OF 2</x:v>
      </x:c>
      <x:c r="C4879" t="str">
        <x:v>Pasted text(59).txt</x:v>
      </x:c>
    </x:row>
    <x:row r="4880">
      <x:c r="A4880" t="n">
        <x:v>850</x:v>
      </x:c>
      <x:c r="B4880" s="58" t="str"/>
      <x:c r="C4880" t="str">
        <x:v>Pasted text(59).txt</x:v>
      </x:c>
    </x:row>
    <x:row r="4881">
      <x:c r="A4881" t="n">
        <x:v>851</x:v>
      </x:c>
      <x:c r="B4881" s="58" t="str">
        <x:v>FRESH X-AXIS SEARCH FROM DAC 1.00 — OLD DAC VALUES ARE NOT USED</x:v>
      </x:c>
      <x:c r="C4881" t="str">
        <x:v>Pasted text(59).txt</x:v>
      </x:c>
    </x:row>
    <x:row r="4882">
      <x:c r="A4882" t="n">
        <x:v>852</x:v>
      </x:c>
      <x:c r="B4882" s="58" t="str">
        <x:v>Y/Z are diagnostic only and cannot abort this search.</x:v>
      </x:c>
      <x:c r="C4882" t="str">
        <x:v>Pasted text(59).txt</x:v>
      </x:c>
    </x:row>
    <x:row r="4883">
      <x:c r="A4883" t="n">
        <x:v>853</x:v>
      </x:c>
      <x:c r="B4883" s="58" t="str">
        <x:v>A real SPI fault, clipping, safety limit or confirmed X-response collapse will stop it.</x:v>
      </x:c>
      <x:c r="C4883" t="str">
        <x:v>Pasted text(59).txt</x:v>
      </x:c>
    </x:row>
    <x:row r="4884">
      <x:c r="A4884" t="n">
        <x:v>854</x:v>
      </x:c>
      <x:c r="B4884" s="58" t="str">
        <x:v>SEARCH | point 1 | DAC 1.00 | CTRL X 0.02661 | X 0.02319 | Y 0.01750 | Z 0.03285 | TOTAL 0.04626 | error -97.34 % | MAD 33.87 % | CV 50.04 % | coh 7.4 % | dominant Z | axis fraction 70.6 % | BELOW MEASUREMENT FLOOR — SEARCH CONTINUES</x:v>
      </x:c>
      <x:c r="C4884" t="str">
        <x:v>Pasted text(59).txt</x:v>
      </x:c>
    </x:row>
    <x:row r="4885">
      <x:c r="A4885" t="n">
        <x:v>855</x:v>
      </x:c>
      <x:c r="B4885" s="58" t="str">
        <x:v>SEARCH | point 2 | DAC 3.00 | CTRL X 0.19639 | X 0.19732 | Y 0.08618 | Z 0.05505 | TOTAL 0.22314 | error -80.36 % | MAD 1.50 % | CV 1.76 % | coh 30.5 % | dominant X | axis fraction 100.0 % | UNSTABLE — SEARCH CONTINUES</x:v>
      </x:c>
      <x:c r="C4885" t="str">
        <x:v>Pasted text(59).txt</x:v>
      </x:c>
    </x:row>
    <x:row r="4886">
      <x:c r="A4886" t="n">
        <x:v>856</x:v>
      </x:c>
      <x:c r="B4886" s="58" t="str">
        <x:v>SEARCH | point 3 | DAC 5.00 | CTRL X 0.40595 | X 0.40882 | Y 0.19856 | Z 0.10052 | TOTAL 0.46625 | error -59.41 % | MAD 0.55 % | CV 1.55 % | coh 54.6 % | dominant X | axis fraction 100.0 % | VALID</x:v>
      </x:c>
      <x:c r="C4886" t="str">
        <x:v>Pasted text(59).txt</x:v>
      </x:c>
    </x:row>
    <x:row r="4887">
      <x:c r="A4887" t="n">
        <x:v>857</x:v>
      </x:c>
      <x:c r="B4887" s="58" t="str">
        <x:v>SEARCH | point 4 | DAC 6.00 | CTRL X 0.53477 | X 0.52518 | Y 0.26503 | Z 0.10590 | TOTAL 0.59820 | error -46.52 % | MAD 1.84 % | CV 4.31 % | coh 65.3 % | dominant X | axis fraction 100.0 % | VALID</x:v>
      </x:c>
      <x:c r="C4887" t="str">
        <x:v>Pasted text(59).txt</x:v>
      </x:c>
    </x:row>
    <x:row r="4888">
      <x:c r="A4888" t="n">
        <x:v>858</x:v>
      </x:c>
      <x:c r="B4888" s="58" t="str">
        <x:v>SEARCH | point 5 | DAC 7.00 | CTRL X 0.61797 | X 0.62233 | Y 0.30740 | Z 0.13566 | TOTAL 0.70796 | error -38.20 % | MAD 1.16 % | CV 1.92 % | coh 73.0 % | dominant X | axis fraction 100.0 % | VALID</x:v>
      </x:c>
      <x:c r="C4888" t="str">
        <x:v>Pasted text(59).txt</x:v>
      </x:c>
    </x:row>
    <x:row r="4889">
      <x:c r="A4889" t="n">
        <x:v>859</x:v>
      </x:c>
      <x:c r="B4889" s="58" t="str">
        <x:v>SEARCH | point 6 | DAC 7.50 | CTRL X 0.66673 | X 0.67202 | Y 0.33669 | Z 0.13810 | TOTAL 0.76436 | error -33.33 % | MAD 1.18 % | CV 2.08 % | coh 82.5 % | dominant X | axis fraction 100.0 % | VALID</x:v>
      </x:c>
      <x:c r="C4889" t="str">
        <x:v>Pasted text(59).txt</x:v>
      </x:c>
    </x:row>
    <x:row r="4890">
      <x:c r="A4890" t="n">
        <x:v>860</x:v>
      </x:c>
      <x:c r="B4890" s="58" t="str">
        <x:v>SEARCH | point 7 | DAC 8.00 | CTRL X 0.71239 | X 0.71442 | Y 0.36079 | Z 0.17281 | TOTAL 0.81932 | error -28.76 % | MAD 0.19 % | CV 0.60 % | coh 78.3 % | dominant X | axis fraction 100.0 % | VALID</x:v>
      </x:c>
      <x:c r="C4890" t="str">
        <x:v>Pasted text(59).txt</x:v>
      </x:c>
    </x:row>
    <x:row r="4891">
      <x:c r="A4891" t="n">
        <x:v>861</x:v>
      </x:c>
      <x:c r="B4891" s="58" t="str">
        <x:v>SEARCH | point 8 | DAC 8.50 | CTRL X 0.75715 | X 0.75826 | Y 0.36063 | Z 0.16150 | TOTAL 0.85581 | error -24.28 % | MAD 1.10 % | CV 0.97 % | coh 83.3 % | dominant X | axis fraction 100.0 % | VALID</x:v>
      </x:c>
      <x:c r="C4891" t="str">
        <x:v>Pasted text(59).txt</x:v>
      </x:c>
    </x:row>
    <x:row r="4892">
      <x:c r="A4892" t="n">
        <x:v>862</x:v>
      </x:c>
      <x:c r="B4892" s="58" t="str">
        <x:v>SEARCH | point 9 | DAC 9.00 | CTRL X 0.84089 | X 0.82864 | Y 0.40055 | Z 0.17863 | TOTAL 0.93756 | error -15.91 % | MAD 0.68 % | CV 2.97 % | coh 80.9 % | dominant X | axis fraction 100.0 % | VALID</x:v>
      </x:c>
      <x:c r="C4892" t="str">
        <x:v>Pasted text(59).txt</x:v>
      </x:c>
    </x:row>
    <x:row r="4893">
      <x:c r="A4893" t="n">
        <x:v>863</x:v>
      </x:c>
      <x:c r="B4893" s="58" t="str">
        <x:v>SEARCH | point 10 | DAC 9.50 | CTRL X 0.85149 | X 0.84376 | Y 0.42870 | Z 0.17451 | TOTAL 0.96268 | error -14.85 % | MAD 1.10 % | CV 2.26 % | coh 84.1 % | dominant X | axis fraction 100.0 % | VALID</x:v>
      </x:c>
      <x:c r="C4893" t="str">
        <x:v>Pasted text(59).txt</x:v>
      </x:c>
    </x:row>
    <x:row r="4894">
      <x:c r="A4894" t="n">
        <x:v>864</x:v>
      </x:c>
      <x:c r="B4894" s="58" t="str">
        <x:v>SEARCH | point 11 | DAC 9.75 | CTRL X 0.88395 | X 0.88659 | Y 0.46481 | Z 0.18246 | TOTAL 1.01793 | error -11.60 % | MAD 1.27 % | CV 1.33 % | coh 82.7 % | dominant X | axis fraction 100.0 % | VALID</x:v>
      </x:c>
      <x:c r="C4894" t="str">
        <x:v>Pasted text(59).txt</x:v>
      </x:c>
    </x:row>
    <x:row r="4895">
      <x:c r="A4895" t="n">
        <x:v>865</x:v>
      </x:c>
      <x:c r="B4895" s="58" t="str">
        <x:v>SEARCH | point 12 | DAC 10.00 | CTRL X 0.90353 | X 0.90428 | Y 0.48755 | Z 0.17284 | TOTAL 1.04200 | error -9.65 % | MAD 2.15 % | CV 1.57 % | coh 83.0 % | dominant X | axis fraction 100.0 % | VALID</x:v>
      </x:c>
      <x:c r="C4895" t="str">
        <x:v>Pasted text(59).txt</x:v>
      </x:c>
    </x:row>
    <x:row r="4896">
      <x:c r="A4896" t="n">
        <x:v>866</x:v>
      </x:c>
      <x:c r="B4896" s="58" t="str">
        <x:v>SEARCH | point 13 | DAC 10.25 | CTRL X 0.92807 | X 0.92412 | Y 0.45964 | Z 0.18767 | TOTAL 1.04939 | error -7.19 % | MAD 0.73 % | CV 1.19 % | coh 84.8 % | dominant X | axis fraction 100.0 % | IN TARGET BAND</x:v>
      </x:c>
      <x:c r="C4896" t="str">
        <x:v>Pasted text(59).txt</x:v>
      </x:c>
    </x:row>
    <x:row r="4897">
      <x:c r="A4897" t="n">
        <x:v>867</x:v>
      </x:c>
      <x:c r="B4897" s="58" t="str"/>
      <x:c r="C4897" t="str">
        <x:v>Pasted text(59).txt</x:v>
      </x:c>
    </x:row>
    <x:row r="4898">
      <x:c r="A4898" t="n">
        <x:v>868</x:v>
      </x:c>
      <x:c r="B4898" s="58" t="str">
        <x:v>LOCAL 0.25-DAC X-AXIS FINE SCAN</x:v>
      </x:c>
      <x:c r="C4898" t="str">
        <x:v>Pasted text(59).txt</x:v>
      </x:c>
    </x:row>
    <x:row r="4899">
      <x:c r="A4899" t="n">
        <x:v>869</x:v>
      </x:c>
      <x:c r="B4899" s="58" t="str">
        <x:v>Only a valid point actually inside the X target band may be selected.</x:v>
      </x:c>
      <x:c r="C4899" t="str">
        <x:v>Pasted text(59).txt</x:v>
      </x:c>
    </x:row>
    <x:row r="4900">
      <x:c r="A4900" t="n">
        <x:v>870</x:v>
      </x:c>
      <x:c r="B4900" s="58" t="str">
        <x:v>FINE | point 1 | DAC 9.25 | CTRL X 0.81290 | X 0.80986 | Y 0.40890 | Z 0.15161 | TOTAL 0.92008 | error -18.71 % | MAD 0.70 % | CV 1.09 % | coh 84.4 % | dominant X | axis fraction 100.0 % | VALID</x:v>
      </x:c>
      <x:c r="C4900" t="str">
        <x:v>Pasted text(59).txt</x:v>
      </x:c>
    </x:row>
    <x:row r="4901">
      <x:c r="A4901" t="n">
        <x:v>871</x:v>
      </x:c>
      <x:c r="B4901" s="58" t="str">
        <x:v>FINE | point 2 | DAC 9.50 | CTRL X 0.82519 | X 0.82794 | Y 0.41986 | Z 0.16217 | TOTAL 0.94245 | error -17.48 % | MAD 1.85 % | CV 1.76 % | coh 84.8 % | dominant X | axis fraction 100.0 % | VALID</x:v>
      </x:c>
      <x:c r="C4901" t="str">
        <x:v>Pasted text(59).txt</x:v>
      </x:c>
    </x:row>
    <x:row r="4902">
      <x:c r="A4902" t="n">
        <x:v>872</x:v>
      </x:c>
      <x:c r="B4902" s="58" t="str">
        <x:v>FINE | point 3 | DAC 9.75 | CTRL X 0.93922 | X 0.92233 | Y 0.44424 | Z 0.20164 | TOTAL 1.04351 | error -6.08 % | MAD 1.15 % | CV 3.87 % | coh 83.9 % | dominant X | axis fraction 100.0 % | IN TARGET BAND</x:v>
      </x:c>
      <x:c r="C4902" t="str">
        <x:v>Pasted text(59).txt</x:v>
      </x:c>
    </x:row>
    <x:row r="4903">
      <x:c r="A4903" t="n">
        <x:v>873</x:v>
      </x:c>
      <x:c r="B4903" s="58" t="str">
        <x:v>FINE | point 4 | DAC 10.00 | CTRL X 0.92209 | X 0.92345 | Y 0.47506 | Z 0.17623 | TOTAL 1.05380 | error -7.79 % | MAD 1.27 % | CV 1.08 % | coh 83.2 % | dominant X | axis fraction 100.0 % | VALID</x:v>
      </x:c>
      <x:c r="C4903" t="str">
        <x:v>Pasted text(59).txt</x:v>
      </x:c>
    </x:row>
    <x:row r="4904">
      <x:c r="A4904" t="n">
        <x:v>874</x:v>
      </x:c>
      <x:c r="B4904" s="58" t="str">
        <x:v>FINE | point 5 | DAC 10.25 | CTRL X 0.94858 | X 0.94740 | Y 0.47101 | Z 0.19106 | TOTAL 1.07549 | error -5.14 % | MAD 0.07 % | CV 0.26 % | coh 83.7 % | dominant X | axis fraction 100.0 % | IN TARGET BAND</x:v>
      </x:c>
      <x:c r="C4904" t="str">
        <x:v>Pasted text(59).txt</x:v>
      </x:c>
    </x:row>
    <x:row r="4905">
      <x:c r="A4905" t="n">
        <x:v>875</x:v>
      </x:c>
      <x:c r="B4905" s="58" t="str">
        <x:v>FINE | point 6 | DAC 10.50 | CTRL X 0.94836 | X 0.94674 | Y 0.52027 | Z 0.18490 | TOTAL 1.09646 | error -5.16 % | MAD 0.40 % | CV 0.55 % | coh 86.8 % | dominant X | axis fraction 100.0 % | IN TARGET BAND</x:v>
      </x:c>
      <x:c r="C4905" t="str">
        <x:v>Pasted text(59).txt</x:v>
      </x:c>
    </x:row>
    <x:row r="4906">
      <x:c r="A4906" t="n">
        <x:v>876</x:v>
      </x:c>
      <x:c r="B4906" s="58" t="str">
        <x:v>FINE | point 7 | DAC 10.75 | CTRL X 1.00441 | X 1.01712 | Y 0.52231 | Z 0.18838 | TOTAL 1.15947 | error 0.44 % | MAD 0.39 % | CV 2.39 % | coh 84.4 % | dominant X | axis fraction 100.0 % | IN TARGET BAND</x:v>
      </x:c>
      <x:c r="C4906" t="str">
        <x:v>Pasted text(59).txt</x:v>
      </x:c>
    </x:row>
    <x:row r="4907">
      <x:c r="A4907" t="n">
        <x:v>877</x:v>
      </x:c>
      <x:c r="B4907" s="58" t="str">
        <x:v>FINE | point 8 | DAC 11.00 | CTRL X 1.04040 | X 1.04049 | Y 0.53374 | Z 0.19834 | TOTAL 1.18654 | error 4.04 % | MAD 1.67 % | CV 1.14 % | coh 86.3 % | dominant X | axis fraction 100.0 % | IN TARGET BAND</x:v>
      </x:c>
      <x:c r="C4907" t="str">
        <x:v>Pasted text(59).txt</x:v>
      </x:c>
    </x:row>
    <x:row r="4908">
      <x:c r="A4908" t="n">
        <x:v>878</x:v>
      </x:c>
      <x:c r="B4908" s="58" t="str">
        <x:v>FINE | point 9 | DAC 11.25 | CTRL X 1.04411 | X 1.04976 | Y 0.56260 | Z 0.21431 | TOTAL 1.21026 | error 4.41 % | MAD 2.43 % | CV 2.48 % | coh 87.7 % | dominant X | axis fraction 100.0 % | IN TARGET BAND</x:v>
      </x:c>
      <x:c r="C4908" t="str">
        <x:v>Pasted text(59).txt</x:v>
      </x:c>
    </x:row>
    <x:row r="4909">
      <x:c r="A4909" t="n">
        <x:v>879</x:v>
      </x:c>
      <x:c r="B4909" s="58" t="str"/>
      <x:c r="C4909" t="str">
        <x:v>Pasted text(59).txt</x:v>
      </x:c>
    </x:row>
    <x:row r="4910">
      <x:c r="A4910" t="n">
        <x:v>880</x:v>
      </x:c>
      <x:c r="B4910" s="58" t="str">
        <x:v>LONG VALIDATION AT FIXED DAC 10.75</x:v>
      </x:c>
      <x:c r="C4910" t="str">
        <x:v>Pasted text(59).txt</x:v>
      </x:c>
    </x:row>
    <x:row r="4911">
      <x:c r="A4911" t="n">
        <x:v>881</x:v>
      </x:c>
      <x:c r="B4911" s="58" t="str">
        <x:v>FINAL | point 1 | DAC 10.75 | CTRL X 1.01993 | X 1.01282 | Y 0.49669 | Z 0.19601 | TOTAL 1.14513 | error 1.99 % | MAD 0.65 % | CV 1.29 % | coh 86.2 % | dominant X | axis fraction 100.0 % | IN TARGET BAND</x:v>
      </x:c>
      <x:c r="C4911" t="str">
        <x:v>Pasted text(59).txt</x:v>
      </x:c>
    </x:row>
    <x:row r="4912">
      <x:c r="A4912" t="n">
        <x:v>882</x:v>
      </x:c>
      <x:c r="B4912" s="58" t="str">
        <x:v>FINAL | point 2 | DAC 10.75 | CTRL X 1.00022 | X 1.00411 | Y 0.52292 | Z 0.21607 | TOTAL 1.15284 | error 0.02 % | MAD 1.61 % | CV 1.61 % | coh 84.8 % | dominant X | axis fraction 100.0 % | IN TARGET BAND</x:v>
      </x:c>
      <x:c r="C4912" t="str">
        <x:v>Pasted text(59).txt</x:v>
      </x:c>
    </x:row>
    <x:row r="4913">
      <x:c r="A4913" t="n">
        <x:v>883</x:v>
      </x:c>
      <x:c r="B4913" s="58" t="str">
        <x:v>VALIDATION ACCEPTED | pair drift 1.95 %</x:v>
      </x:c>
      <x:c r="C4913" t="str">
        <x:v>Pasted text(59).txt</x:v>
      </x:c>
    </x:row>
    <x:row r="4914">
      <x:c r="A4914" t="n">
        <x:v>884</x:v>
      </x:c>
      <x:c r="B4914" s="58" t="str"/>
      <x:c r="C4914" t="str">
        <x:v>Pasted text(59).txt</x:v>
      </x:c>
    </x:row>
    <x:row r="4915">
      <x:c r="A4915" t="n">
        <x:v>885</x:v>
      </x:c>
      <x:c r="B4915" s="58" t="str">
        <x:v>FINAL VALIDATED BLIND FFT VERIFICATION</x:v>
      </x:c>
      <x:c r="C4915" t="str">
        <x:v>Pasted text(59).txt</x:v>
      </x:c>
    </x:row>
    <x:row r="4916">
      <x:c r="A4916" t="n">
        <x:v>886</x:v>
      </x:c>
      <x:c r="B4916" s="58" t="str">
        <x:v>Commanded frequency: 268.00000 Hz</x:v>
      </x:c>
      <x:c r="C4916" t="str">
        <x:v>Pasted text(59).txt</x:v>
      </x:c>
    </x:row>
    <x:row r="4917">
      <x:c r="A4917" t="n">
        <x:v>887</x:v>
      </x:c>
      <x:c r="B4917" s="58" t="str">
        <x:v>Accepted DAC: 10.75</x:v>
      </x:c>
      <x:c r="C4917" t="str">
        <x:v>Pasted text(59).txt</x:v>
      </x:c>
    </x:row>
    <x:row r="4918">
      <x:c r="A4918" t="n">
        <x:v>888</x:v>
      </x:c>
      <x:c r="B4918" s="58" t="str">
        <x:v>Axis,Frequency_Hz,Amplitude_mps2,SNR_dB,Status</x:v>
      </x:c>
      <x:c r="C4918" t="str">
        <x:v>Pasted text(59).txt</x:v>
      </x:c>
    </x:row>
    <x:row r="4919">
      <x:c r="A4919" t="n">
        <x:v>889</x:v>
      </x:c>
      <x:c r="B4919" s="58" t="str">
        <x:v>X,268.02235,0.91538,30.69,VALID</x:v>
      </x:c>
      <x:c r="C4919" t="str">
        <x:v>Pasted text(59).txt</x:v>
      </x:c>
    </x:row>
    <x:row r="4920">
      <x:c r="A4920" t="n">
        <x:v>890</x:v>
      </x:c>
      <x:c r="B4920" s="58" t="str">
        <x:v>Y,268.03497,0.46411,23.00,VALID</x:v>
      </x:c>
      <x:c r="C4920" t="str">
        <x:v>Pasted text(59).txt</x:v>
      </x:c>
    </x:row>
    <x:row r="4921">
      <x:c r="A4921" t="n">
        <x:v>891</x:v>
      </x:c>
      <x:c r="B4921" s="58" t="str">
        <x:v>Z,268.04847,0.18718,20.51,VALID</x:v>
      </x:c>
      <x:c r="C4921" t="str">
        <x:v>Pasted text(59).txt</x:v>
      </x:c>
    </x:row>
    <x:row r="4922">
      <x:c r="A4922" t="n">
        <x:v>892</x:v>
      </x:c>
      <x:c r="B4922" s="58" t="str">
        <x:v>Combined frequency: 268.02572 Hz | difference 0.02572 Hz</x:v>
      </x:c>
      <x:c r="C4922" t="str">
        <x:v>Pasted text(59).txt</x:v>
      </x:c>
    </x:row>
    <x:row r="4923">
      <x:c r="A4923" t="n">
        <x:v>893</x:v>
      </x:c>
      <x:c r="B4923" s="58" t="str">
        <x:v>Combined X/Y/Z/TOTAL: 0.83512 / 0.42408 / 0.17210 / 0.95231</x:v>
      </x:c>
      <x:c r="C4923" t="str">
        <x:v>Pasted text(59).txt</x:v>
      </x:c>
    </x:row>
    <x:row r="4924">
      <x:c r="A4924" t="n">
        <x:v>894</x:v>
      </x:c>
      <x:c r="B4924" s="58" t="str">
        <x:v>SNR: 27.12 dB | dominant axis X</x:v>
      </x:c>
      <x:c r="C4924" t="str">
        <x:v>Pasted text(59).txt</x:v>
      </x:c>
    </x:row>
    <x:row r="4925">
      <x:c r="A4925" t="n">
        <x:v>895</x:v>
      </x:c>
      <x:c r="B4925" s="58" t="str">
        <x:v>Frequency verification: PASS</x:v>
      </x:c>
      <x:c r="C4925" t="str">
        <x:v>Pasted text(59).txt</x:v>
      </x:c>
    </x:row>
    <x:row r="4926">
      <x:c r="A4926" t="n">
        <x:v>896</x:v>
      </x:c>
      <x:c r="B4926" s="58" t="str">
        <x:v>Y/Z dominance: DIAGNOSTIC ONLY — ignored for pass/fail</x:v>
      </x:c>
      <x:c r="C4926" t="str">
        <x:v>Pasted text(59).txt</x:v>
      </x:c>
    </x:row>
    <x:row r="4927">
      <x:c r="A4927" t="n">
        <x:v>897</x:v>
      </x:c>
      <x:c r="B4927" s="58" t="str"/>
      <x:c r="C4927" t="str">
        <x:v>Pasted text(59).txt</x:v>
      </x:c>
    </x:row>
    <x:row r="4928">
      <x:c r="A4928" t="n">
        <x:v>898</x:v>
      </x:c>
      <x:c r="B4928" s="58" t="str">
        <x:v>FIXED-DAC HOLD VALIDATION</x:v>
      </x:c>
      <x:c r="C4928" t="str">
        <x:v>Pasted text(59).txt</x:v>
      </x:c>
    </x:row>
    <x:row r="4929">
      <x:c r="A4929" t="n">
        <x:v>899</x:v>
      </x:c>
      <x:c r="B4929" s="58" t="str">
        <x:v>DAC remains fixed at 10.75 for 10 records.</x:v>
      </x:c>
      <x:c r="C4929" t="str">
        <x:v>Pasted text(59).txt</x:v>
      </x:c>
    </x:row>
    <x:row r="4930">
      <x:c r="A4930" t="n">
        <x:v>900</x:v>
      </x:c>
      <x:c r="B4930" s="58" t="str">
        <x:v>HOLD | point 1 | DAC 10.75 | CTRL X 0.99689 | X 0.99809 | Y 0.50049 | Z 0.20278 | TOTAL 1.13483 | error -0.31 % | MAD 0.65 % | CV 0.63 % | coh 85.4 % | dominant X | axis fraction 100.0 % | IN TARGET BAND</x:v>
      </x:c>
      <x:c r="C4930" t="str">
        <x:v>Pasted text(59).txt</x:v>
      </x:c>
    </x:row>
    <x:row r="4931">
      <x:c r="A4931" t="n">
        <x:v>901</x:v>
      </x:c>
      <x:c r="B4931" s="58" t="str">
        <x:v>HOLD | point 2 | DAC 10.75 | CTRL X 0.98109 | X 0.99533 | Y 0.51269 | Z 0.21713 | TOTAL 1.14068 | error -1.89 % | MAD 0.15 % | CV 2.56 % | coh 85.0 % | dominant X | axis fraction 100.0 % | IN TARGET BAND</x:v>
      </x:c>
      <x:c r="C4931" t="str">
        <x:v>Pasted text(59).txt</x:v>
      </x:c>
    </x:row>
    <x:row r="4932">
      <x:c r="A4932" t="n">
        <x:v>902</x:v>
      </x:c>
      <x:c r="B4932" s="58" t="str">
        <x:v>HOLD | point 3 | DAC 10.75 | CTRL X 0.99274 | X 0.99584 | Y 0.47580 | Z 0.20864 | TOTAL 1.12398 | error -0.73 % | MAD 1.74 % | CV 1.66 % | coh 84.4 % | dominant X | axis fraction 100.0 % | IN TARGET BAND</x:v>
      </x:c>
      <x:c r="C4932" t="str">
        <x:v>Pasted text(59).txt</x:v>
      </x:c>
    </x:row>
    <x:row r="4933">
      <x:c r="A4933" t="n">
        <x:v>903</x:v>
      </x:c>
      <x:c r="B4933" s="58" t="str">
        <x:v>HOLD | point 4 | DAC 10.75 | CTRL X 1.00477 | X 1.00613 | Y 0.51166 | Z 0.17375 | TOTAL 1.14254 | error 0.48 % | MAD 0.99 % | CV 0.87 % | coh 85.9 % | dominant X | axis fraction 100.0 % | IN TARGET BAND</x:v>
      </x:c>
      <x:c r="C4933" t="str">
        <x:v>Pasted text(59).txt</x:v>
      </x:c>
    </x:row>
    <x:row r="4934">
      <x:c r="A4934" t="n">
        <x:v>904</x:v>
      </x:c>
      <x:c r="B4934" s="58" t="str">
        <x:v>HOLD | point 5 | DAC 10.75 | CTRL X 0.99876 | X 1.00123 | Y 0.50333 | Z 0.20760 | TOTAL 1.13989 | error -0.12 % | MAD 1.87 % | CV 1.64 % | coh 85.7 % | dominant X | axis fraction 100.0 % | IN TARGET BAND</x:v>
      </x:c>
      <x:c r="C4934" t="str">
        <x:v>Pasted text(59).txt</x:v>
      </x:c>
    </x:row>
    <x:row r="4935">
      <x:c r="A4935" t="n">
        <x:v>905</x:v>
      </x:c>
      <x:c r="B4935" s="58" t="str">
        <x:v>HOLD | point 6 | DAC 10.75 | CTRL X 1.01397 | X 1.01214 | Y 0.50554 | Z 0.19556 | TOTAL 1.14849 | error 1.40 % | MAD 1.34 % | CV 1.19 % | coh 86.2 % | dominant X | axis fraction 100.0 % | IN TARGET BAND</x:v>
      </x:c>
      <x:c r="C4935" t="str">
        <x:v>Pasted text(59).txt</x:v>
      </x:c>
    </x:row>
    <x:row r="4936">
      <x:c r="A4936" t="n">
        <x:v>906</x:v>
      </x:c>
      <x:c r="B4936" s="58" t="str">
        <x:v>HOLD | point 7 | DAC 10.75 | CTRL X 0.99393 | X 1.00873 | Y 0.53992 | Z 0.20085 | TOTAL 1.16189 | error -0.61 % | MAD 0.44 % | CV 2.80 % | coh 86.4 % | dominant X | axis fraction 100.0 % | IN TARGET BAND</x:v>
      </x:c>
      <x:c r="C4936" t="str">
        <x:v>Pasted text(59).txt</x:v>
      </x:c>
    </x:row>
    <x:row r="4937">
      <x:c r="A4937" t="n">
        <x:v>907</x:v>
      </x:c>
      <x:c r="B4937" s="58" t="str">
        <x:v>HOLD | point 8 | DAC 10.75 | CTRL X 1.01818 | X 1.01802 | Y 0.52948 | Z 0.18995 | TOTAL 1.16325 | error 1.82 % | MAD 0.09 % | CV 0.08 % | coh 85.9 % | dominant X | axis fraction 100.0 % | IN TARGET BAND</x:v>
      </x:c>
      <x:c r="C4937" t="str">
        <x:v>Pasted text(59).txt</x:v>
      </x:c>
    </x:row>
    <x:row r="4938">
      <x:c r="A4938" t="n">
        <x:v>908</x:v>
      </x:c>
      <x:c r="B4938" s="58" t="str">
        <x:v>HOLD | point 9 | DAC 10.75 | CTRL X 1.02363 | X 1.02205 | Y 0.52155 | Z 0.20741 | TOTAL 1.16632 | error 2.36 % | MAD 1.44 % | CV 1.21 % | coh 86.5 % | dominant X | axis fraction 100.0 % | IN TARGET BAND</x:v>
      </x:c>
      <x:c r="C4938" t="str">
        <x:v>Pasted text(59).txt</x:v>
      </x:c>
    </x:row>
    <x:row r="4939">
      <x:c r="A4939" t="n">
        <x:v>909</x:v>
      </x:c>
      <x:c r="B4939" s="58" t="str">
        <x:v>HOLD | point 10 | DAC 10.75 | CTRL X 1.01186 | X 1.01011 | Y 0.48080 | Z 0.20425 | TOTAL 1.13741 | error 1.19 % | MAD 0.48 % | CV 0.61 % | coh 86.2 % | dominant X | axis fraction 100.0 % | IN TARGET BAND</x:v>
      </x:c>
      <x:c r="C4939" t="str">
        <x:v>Pasted text(59).txt</x:v>
      </x:c>
    </x:row>
    <x:row r="4940">
      <x:c r="A4940" t="n">
        <x:v>910</x:v>
      </x:c>
      <x:c r="B4940" s="58" t="str"/>
      <x:c r="C4940" t="str">
        <x:v>Pasted text(59).txt</x:v>
      </x:c>
    </x:row>
    <x:row r="4941">
      <x:c r="A4941" t="n">
        <x:v>911</x:v>
      </x:c>
      <x:c r="B4941" s="58" t="str">
        <x:v>HOLD SUMMARY</x:v>
      </x:c>
      <x:c r="C4941" t="str">
        <x:v>Pasted text(59).txt</x:v>
      </x:c>
    </x:row>
    <x:row r="4942">
      <x:c r="A4942" t="n">
        <x:v>912</x:v>
      </x:c>
      <x:c r="B4942" s="58" t="str">
        <x:v>Valid / requested: 10 / 10</x:v>
      </x:c>
      <x:c r="C4942" t="str">
        <x:v>Pasted text(59).txt</x:v>
      </x:c>
    </x:row>
    <x:row r="4943">
      <x:c r="A4943" t="n">
        <x:v>913</x:v>
      </x:c>
      <x:c r="B4943" s="58" t="str">
        <x:v>In band / requested: 10 / 10 = 100.0 %</x:v>
      </x:c>
      <x:c r="C4943" t="str">
        <x:v>Pasted text(59).txt</x:v>
      </x:c>
    </x:row>
    <x:row r="4944">
      <x:c r="A4944" t="n">
        <x:v>914</x:v>
      </x:c>
      <x:c r="B4944" s="58" t="str">
        <x:v>Mean / SD / CV: 1.00358 / 0.01324 / 1.32 %</x:v>
      </x:c>
      <x:c r="C4944" t="str">
        <x:v>Pasted text(59).txt</x:v>
      </x:c>
    </x:row>
    <x:row r="4945">
      <x:c r="A4945" t="n">
        <x:v>915</x:v>
      </x:c>
      <x:c r="B4945" s="58" t="str">
        <x:v>Min / Max: 0.98109 / 1.02363</x:v>
      </x:c>
      <x:c r="C4945" t="str">
        <x:v>Pasted text(59).txt</x:v>
      </x:c>
    </x:row>
    <x:row r="4946">
      <x:c r="A4946" t="n">
        <x:v>916</x:v>
      </x:c>
      <x:c r="B4946" s="58" t="str">
        <x:v>HOLD RESULT: PASS</x:v>
      </x:c>
      <x:c r="C4946" t="str">
        <x:v>Pasted text(59).txt</x:v>
      </x:c>
    </x:row>
    <x:row r="4947">
      <x:c r="A4947" t="n">
        <x:v>917</x:v>
      </x:c>
      <x:c r="B4947" s="58" t="str"/>
      <x:c r="C4947" t="str">
        <x:v>Pasted text(59).txt</x:v>
      </x:c>
    </x:row>
    <x:row r="4948">
      <x:c r="A4948" t="n">
        <x:v>918</x:v>
      </x:c>
      <x:c r="B4948" s="58" t="str">
        <x:v>RUN RESULT: PASS</x:v>
      </x:c>
      <x:c r="C4948" t="str">
        <x:v>Pasted text(59).txt</x:v>
      </x:c>
    </x:row>
    <x:row r="4949">
      <x:c r="A4949" t="n">
        <x:v>919</x:v>
      </x:c>
      <x:c r="B4949" s="58" t="str">
        <x:v>Selected DAC: 10.75</x:v>
      </x:c>
      <x:c r="C4949" t="str">
        <x:v>Pasted text(59).txt</x:v>
      </x:c>
    </x:row>
    <x:row r="4950">
      <x:c r="A4950" t="n">
        <x:v>920</x:v>
      </x:c>
      <x:c r="B4950" s="58" t="str">
        <x:v>Validated amplitude: 1.01008 m/s^2 | error 1.01 %</x:v>
      </x:c>
      <x:c r="C4950" t="str">
        <x:v>Pasted text(59).txt</x:v>
      </x:c>
    </x:row>
    <x:row r="4951">
      <x:c r="A4951" t="n">
        <x:v>921</x:v>
      </x:c>
      <x:c r="B4951" s="58" t="str">
        <x:v>FFT frequency: 268.02572 Hz | difference 0.02572 Hz</x:v>
      </x:c>
      <x:c r="C4951" t="str">
        <x:v>Pasted text(59).txt</x:v>
      </x:c>
    </x:row>
    <x:row r="4952">
      <x:c r="A4952" t="n">
        <x:v>922</x:v>
      </x:c>
      <x:c r="B4952" s="58" t="str"/>
      <x:c r="C4952" t="str">
        <x:v>Pasted text(59).txt</x:v>
      </x:c>
    </x:row>
    <x:row r="4953">
      <x:c r="A4953" t="n">
        <x:v>923</x:v>
      </x:c>
      <x:c r="B4953" s="58" t="str">
        <x:v>================================================================================</x:v>
      </x:c>
      <x:c r="C4953" t="str">
        <x:v>Pasted text(59).txt</x:v>
      </x:c>
    </x:row>
    <x:row r="4954">
      <x:c r="A4954" t="n">
        <x:v>924</x:v>
      </x:c>
      <x:c r="B4954" s="58" t="str">
        <x:v>FINAL REPEATED TARGET-AMPLITUDE VALIDATION SUMMARY</x:v>
      </x:c>
      <x:c r="C4954" t="str">
        <x:v>Pasted text(59).txt</x:v>
      </x:c>
    </x:row>
    <x:row r="4955">
      <x:c r="A4955" t="n">
        <x:v>925</x:v>
      </x:c>
      <x:c r="B4955" s="58" t="str">
        <x:v>================================================================================</x:v>
      </x:c>
      <x:c r="C4955" t="str">
        <x:v>Pasted text(59).txt</x:v>
      </x:c>
    </x:row>
    <x:row r="4956">
      <x:c r="A4956" t="n">
        <x:v>926</x:v>
      </x:c>
      <x:c r="B4956" s="58" t="str">
        <x:v>Run,Pass,Selected_DAC,Validated_Amp,Error_pct,FFT_Hz,FFT_Diff_Hz,FFT_SNR_dB,Hold_Mean,Hold_CV_pct,Hold_InBand_pct,Reason</x:v>
      </x:c>
      <x:c r="C4956" t="str">
        <x:v>Pasted text(59).txt</x:v>
      </x:c>
    </x:row>
    <x:row r="4957">
      <x:c r="A4957" t="n">
        <x:v>927</x:v>
      </x:c>
      <x:c r="B4957" s="58" t="str">
        <x:v>1,PASS,9.25,1.02040,2.04,268.02212,0.02212,25.89,0.97344,1.91,100.0,PASS</x:v>
      </x:c>
      <x:c r="C4957" t="str">
        <x:v>Pasted text(59).txt</x:v>
      </x:c>
    </x:row>
    <x:row r="4958">
      <x:c r="A4958" t="n">
        <x:v>928</x:v>
      </x:c>
      <x:c r="B4958" s="58" t="str">
        <x:v>2,PASS,9.75,0.96620,-3.38,268.02029,0.02029,26.14,0.94103,0.95,100.0,PASS</x:v>
      </x:c>
      <x:c r="C4958" t="str">
        <x:v>Pasted text(59).txt</x:v>
      </x:c>
    </x:row>
    <x:row r="4959">
      <x:c r="A4959" t="n">
        <x:v>929</x:v>
      </x:c>
      <x:c r="B4959" s="58" t="str">
        <x:v>3,PASS,10.25,1.00511,0.51,268.03087,0.03087,26.76,0.99387,1.25,100.0,PASS</x:v>
      </x:c>
      <x:c r="C4959" t="str">
        <x:v>Pasted text(59).txt</x:v>
      </x:c>
    </x:row>
    <x:row r="4960">
      <x:c r="A4960" t="n">
        <x:v>930</x:v>
      </x:c>
      <x:c r="B4960" s="58" t="str">
        <x:v>4,PASS,10.25,0.97928,-2.07,268.02896,0.02896,26.47,0.96214,0.95,100.0,PASS</x:v>
      </x:c>
      <x:c r="C4960" t="str">
        <x:v>Pasted text(59).txt</x:v>
      </x:c>
    </x:row>
    <x:row r="4961">
      <x:c r="A4961" t="n">
        <x:v>931</x:v>
      </x:c>
      <x:c r="B4961" s="58" t="str">
        <x:v>5,PASS,10.75,1.01008,1.01,268.02572,0.02572,27.12,1.00358,1.32,100.0,PASS</x:v>
      </x:c>
      <x:c r="C4961" t="str">
        <x:v>Pasted text(59).txt</x:v>
      </x:c>
    </x:row>
    <x:row r="4962">
      <x:c r="A4962" t="n">
        <x:v>932</x:v>
      </x:c>
      <x:c r="B4962" s="58" t="str">
        <x:v>--------------------------------------------------------------------------------</x:v>
      </x:c>
      <x:c r="C4962" t="str">
        <x:v>Pasted text(59).txt</x:v>
      </x:c>
    </x:row>
    <x:row r="4963">
      <x:c r="A4963" t="n">
        <x:v>933</x:v>
      </x:c>
      <x:c r="B4963" s="58" t="str">
        <x:v>Successful independent runs: 5 / 5</x:v>
      </x:c>
      <x:c r="C4963" t="str">
        <x:v>Pasted text(59).txt</x:v>
      </x:c>
    </x:row>
    <x:row r="4964">
      <x:c r="A4964" t="n">
        <x:v>934</x:v>
      </x:c>
      <x:c r="B4964" s="58" t="str">
        <x:v>Validated amplitude mean +/- SD: 0.99621 +/- 0.02260 m/s^2 peak</x:v>
      </x:c>
      <x:c r="C4964" t="str">
        <x:v>Pasted text(59).txt</x:v>
      </x:c>
    </x:row>
    <x:row r="4965">
      <x:c r="A4965" t="n">
        <x:v>935</x:v>
      </x:c>
      <x:c r="B4965" s="58" t="str">
        <x:v>Across-run amplitude CV: 2.27 %</x:v>
      </x:c>
      <x:c r="C4965" t="str">
        <x:v>Pasted text(59).txt</x:v>
      </x:c>
    </x:row>
    <x:row r="4966">
      <x:c r="A4966" t="n">
        <x:v>936</x:v>
      </x:c>
      <x:c r="B4966" s="58" t="str">
        <x:v>Maximum absolute target error: 3.38 %</x:v>
      </x:c>
      <x:c r="C4966" t="str">
        <x:v>Pasted text(59).txt</x:v>
      </x:c>
    </x:row>
    <x:row r="4967">
      <x:c r="A4967" t="n">
        <x:v>937</x:v>
      </x:c>
      <x:c r="B4967" s="58" t="str">
        <x:v>FFT frequency mean +/- SD: 268.02559 +/- 0.00445 Hz</x:v>
      </x:c>
      <x:c r="C4967" t="str">
        <x:v>Pasted text(59).txt</x:v>
      </x:c>
    </x:row>
    <x:row r="4968">
      <x:c r="A4968" t="n">
        <x:v>938</x:v>
      </x:c>
      <x:c r="B4968" s="58" t="str">
        <x:v>Selected DAC range: 9.25 to 10.75</x:v>
      </x:c>
      <x:c r="C4968" t="str">
        <x:v>Pasted text(59).txt</x:v>
      </x:c>
    </x:row>
    <x:row r="4969">
      <x:c r="A4969" t="n">
        <x:v>939</x:v>
      </x:c>
      <x:c r="B4969" s="58" t="str">
        <x:v>Average hold records in target band: 100.0 %</x:v>
      </x:c>
      <x:c r="C4969" t="str">
        <x:v>Pasted text(59).txt</x:v>
      </x:c>
    </x:row>
    <x:row r="4970">
      <x:c r="A4970" t="n">
        <x:v>940</x:v>
      </x:c>
      <x:c r="B4970" s="58" t="str">
        <x:v>OVERALL VERDICT: EXCELLENT REPRODUCIBLE TARGET-AMPLITUDE ACQUISITION.</x:v>
      </x:c>
      <x:c r="C4970" t="str">
        <x:v>Pasted text(59).txt</x:v>
      </x:c>
    </x:row>
    <x:row r="4971">
      <x:c r="A4971" t="n">
        <x:v>941</x:v>
      </x:c>
      <x:c r="B4971" s="58" t="str">
        <x:v>X-axis amplitude matching is repeatable; phase testing may follow after one independent confirmation session.</x:v>
      </x:c>
      <x:c r="C4971" t="str">
        <x:v>Pasted text(59).txt</x:v>
      </x:c>
    </x:row>
    <x:row r="4972">
      <x:c r="A4972" t="n">
        <x:v>942</x:v>
      </x:c>
      <x:c r="B4972" s="58" t="str"/>
      <x:c r="C4972" t="str">
        <x:v>Pasted text(59).txt</x:v>
      </x:c>
    </x:row>
    <x:row r="4973">
      <x:c r="A4973" t="n">
        <x:v>943</x:v>
      </x:c>
      <x:c r="B4973" s="58" t="str">
        <x:v>Automatic test complete. Enter h for commands.</x:v>
      </x:c>
      <x:c r="C4973" t="str">
        <x:v>Pasted text(59).txt</x:v>
      </x:c>
    </x:row>
    <x:row r="4974">
      <x:c r="A4974" t="n">
        <x:v>944</x:v>
      </x:c>
      <x:c r="B4974" s="58" t="str">
        <x:v>Frequency set to 272.00000 Hz.</x:v>
      </x:c>
      <x:c r="C4974" t="str">
        <x:v>Pasted text(59).txt</x:v>
      </x:c>
    </x:row>
    <x:row r="4975">
      <x:c r="A4975" t="n">
        <x:v>945</x:v>
      </x:c>
      <x:c r="B4975" s="58" t="str">
        <x:v>Target amplitude set to 1.15000 m/s^2 peak.</x:v>
      </x:c>
      <x:c r="C4975" t="str">
        <x:v>Pasted text(59).txt</x:v>
      </x:c>
    </x:row>
    <x:row r="4976">
      <x:c r="A4976" t="n">
        <x:v>946</x:v>
      </x:c>
      <x:c r="B4976" s="58" t="str"/>
      <x:c r="C4976" t="str">
        <x:v>Pasted text(59).txt</x:v>
      </x:c>
    </x:row>
    <x:row r="4977">
      <x:c r="A4977" t="n">
        <x:v>947</x:v>
      </x:c>
      <x:c r="B4977" s="58" t="str">
        <x:v>================================================================================</x:v>
      </x:c>
      <x:c r="C4977" t="str">
        <x:v>Pasted text(59).txt</x:v>
      </x:c>
    </x:row>
    <x:row r="4978">
      <x:c r="A4978" t="n">
        <x:v>948</x:v>
      </x:c>
      <x:c r="B4978" s="58" t="str">
        <x:v>REPEATED INDEPENDENT TARGET-AMPLITUDE VALIDATION STARTED</x:v>
      </x:c>
      <x:c r="C4978" t="str">
        <x:v>Pasted text(59).txt</x:v>
      </x:c>
    </x:row>
    <x:row r="4979">
      <x:c r="A4979" t="n">
        <x:v>949</x:v>
      </x:c>
      <x:c r="B4979" s="58" t="str">
        <x:v>================================================================================</x:v>
      </x:c>
      <x:c r="C4979" t="str">
        <x:v>Pasted text(59).txt</x:v>
      </x:c>
    </x:row>
    <x:row r="4980">
      <x:c r="A4980" t="n">
        <x:v>950</x:v>
      </x:c>
      <x:c r="B4980" s="58" t="str"/>
      <x:c r="C4980" t="str">
        <x:v>Pasted text(59).txt</x:v>
      </x:c>
    </x:row>
    <x:row r="4981">
      <x:c r="A4981" t="n">
        <x:v>951</x:v>
      </x:c>
      <x:c r="B4981" s="58" t="str">
        <x:v>CURRENT SETTINGS</x:v>
      </x:c>
      <x:c r="C4981" t="str">
        <x:v>Pasted text(59).txt</x:v>
      </x:c>
    </x:row>
    <x:row r="4982">
      <x:c r="A4982" t="n">
        <x:v>952</x:v>
      </x:c>
      <x:c r="B4982" s="58" t="str">
        <x:v>Frequency: 272.00000 Hz</x:v>
      </x:c>
      <x:c r="C4982" t="str">
        <x:v>Pasted text(59).txt</x:v>
      </x:c>
    </x:row>
    <x:row r="4983">
      <x:c r="A4983" t="n">
        <x:v>953</x:v>
      </x:c>
      <x:c r="B4983" s="58" t="str">
        <x:v>Control axis: X ONLY (Y/Z diagnostic only)</x:v>
      </x:c>
      <x:c r="C4983" t="str">
        <x:v>Pasted text(59).txt</x:v>
      </x:c>
    </x:row>
    <x:row r="4984">
      <x:c r="A4984" t="n">
        <x:v>954</x:v>
      </x:c>
      <x:c r="B4984" s="58" t="str">
        <x:v>Target peak amplitude: 1.15000 m/s^2</x:v>
      </x:c>
      <x:c r="C4984" t="str">
        <x:v>Pasted text(59).txt</x:v>
      </x:c>
    </x:row>
    <x:row r="4985">
      <x:c r="A4985" t="n">
        <x:v>955</x:v>
      </x:c>
      <x:c r="B4985" s="58" t="str">
        <x:v>Tolerance: +/-7.50 %</x:v>
      </x:c>
      <x:c r="C4985" t="str">
        <x:v>Pasted text(59).txt</x:v>
      </x:c>
    </x:row>
    <x:row r="4986">
      <x:c r="A4986" t="n">
        <x:v>956</x:v>
      </x:c>
      <x:c r="B4986" s="58" t="str">
        <x:v>Allowed amplitude band: 1.06375 to 1.23625 m/s^2 peak</x:v>
      </x:c>
      <x:c r="C4986" t="str">
        <x:v>Pasted text(59).txt</x:v>
      </x:c>
    </x:row>
    <x:row r="4987">
      <x:c r="A4987" t="n">
        <x:v>957</x:v>
      </x:c>
      <x:c r="B4987" s="58" t="str">
        <x:v>Independent runs: 5</x:v>
      </x:c>
      <x:c r="C4987" t="str">
        <x:v>Pasted text(59).txt</x:v>
      </x:c>
    </x:row>
    <x:row r="4988">
      <x:c r="A4988" t="n">
        <x:v>958</x:v>
      </x:c>
      <x:c r="B4988" s="58" t="str">
        <x:v>Hold records per run: 10</x:v>
      </x:c>
      <x:c r="C4988" t="str">
        <x:v>Pasted text(59).txt</x:v>
      </x:c>
    </x:row>
    <x:row r="4989">
      <x:c r="A4989" t="n">
        <x:v>959</x:v>
      </x:c>
      <x:c r="B4989" s="58" t="str">
        <x:v>DAC search range/resolution: 1.00 to 30.00 / 0.25</x:v>
      </x:c>
      <x:c r="C4989" t="str">
        <x:v>Pasted text(59).txt</x:v>
      </x:c>
    </x:row>
    <x:row r="4990">
      <x:c r="A4990" t="n">
        <x:v>960</x:v>
      </x:c>
      <x:c r="B4990" s="58" t="str">
        <x:v>FFT bin resolution: 1.56250 Hz; accepted command-to-bin difference &lt;= 2.00 Hz</x:v>
      </x:c>
      <x:c r="C4990" t="str">
        <x:v>Pasted text(59).txt</x:v>
      </x:c>
    </x:row>
    <x:row r="4991">
      <x:c r="A4991" t="n">
        <x:v>961</x:v>
      </x:c>
      <x:c r="B4991" s="58" t="str">
        <x:v>Every run starts from DAC 1.00. Different selected DACs are allowed.</x:v>
      </x:c>
      <x:c r="C4991" t="str">
        <x:v>Pasted text(59).txt</x:v>
      </x:c>
    </x:row>
    <x:row r="4992">
      <x:c r="A4992" t="n">
        <x:v>962</x:v>
      </x:c>
      <x:c r="B4992" s="58" t="str">
        <x:v>The accepted result is X-axis amplitude and X-axis frequency, not DAC.</x:v>
      </x:c>
      <x:c r="C4992" t="str">
        <x:v>Pasted text(59).txt</x:v>
      </x:c>
    </x:row>
    <x:row r="4993">
      <x:c r="A4993" t="n">
        <x:v>963</x:v>
      </x:c>
      <x:c r="B4993" s="58" t="str"/>
      <x:c r="C4993" t="str">
        <x:v>Pasted text(59).txt</x:v>
      </x:c>
    </x:row>
    <x:row r="4994">
      <x:c r="A4994" t="n">
        <x:v>964</x:v>
      </x:c>
      <x:c r="B4994" s="58" t="str">
        <x:v>################################################################################</x:v>
      </x:c>
      <x:c r="C4994" t="str">
        <x:v>Pasted text(59).txt</x:v>
      </x:c>
    </x:row>
    <x:row r="4995">
      <x:c r="A4995" t="n">
        <x:v>965</x:v>
      </x:c>
      <x:c r="B4995" s="58" t="str">
        <x:v>INDEPENDENT TARGET-AMPLITUDE RUN 1 OF 5</x:v>
      </x:c>
      <x:c r="C4995" t="str">
        <x:v>Pasted text(59).txt</x:v>
      </x:c>
    </x:row>
    <x:row r="4996">
      <x:c r="A4996" t="n">
        <x:v>966</x:v>
      </x:c>
      <x:c r="B4996" s="58" t="str">
        <x:v>################################################################################</x:v>
      </x:c>
      <x:c r="C4996" t="str">
        <x:v>Pasted text(59).txt</x:v>
      </x:c>
    </x:row>
    <x:row r="4997">
      <x:c r="A4997" t="n">
        <x:v>967</x:v>
      </x:c>
      <x:c r="B4997" s="58" t="str">
        <x:v>Frequency: 272.00000 Hz</x:v>
      </x:c>
      <x:c r="C4997" t="str">
        <x:v>Pasted text(59).txt</x:v>
      </x:c>
    </x:row>
    <x:row r="4998">
      <x:c r="A4998" t="n">
        <x:v>968</x:v>
      </x:c>
      <x:c r="B4998" s="58" t="str">
        <x:v>Target X amplitude: 1.15000 m/s^2 peak, tolerance +/-7.50 %</x:v>
      </x:c>
      <x:c r="C4998" t="str">
        <x:v>Pasted text(59).txt</x:v>
      </x:c>
    </x:row>
    <x:row r="4999">
      <x:c r="A4999" t="n">
        <x:v>969</x:v>
      </x:c>
      <x:c r="B4999" s="58" t="str">
        <x:v>This run starts from DAC 1.00 and ignores every earlier selected DAC.</x:v>
      </x:c>
      <x:c r="C4999" t="str">
        <x:v>Pasted text(59).txt</x:v>
      </x:c>
    </x:row>
    <x:row r="5000">
      <x:c r="A5000" t="n">
        <x:v>970</x:v>
      </x:c>
      <x:c r="B5000" s="58" t="str">
        <x:v>ADXL2 DEVID/DATA_FORMAT/BW_RATE/POWER_CTL: 0xE5 / 0xB / 0xE / 0x8</x:v>
      </x:c>
      <x:c r="C5000" t="str">
        <x:v>Pasted text(59).txt</x:v>
      </x:c>
    </x:row>
    <x:row r="5001">
      <x:c r="A5001" t="n">
        <x:v>971</x:v>
      </x:c>
      <x:c r="B5001" s="58" t="str"/>
      <x:c r="C5001" t="str">
        <x:v>Pasted text(59).txt</x:v>
      </x:c>
    </x:row>
    <x:row r="5002">
      <x:c r="A5002" t="n">
        <x:v>972</x:v>
      </x:c>
      <x:c r="B5002" s="58" t="str">
        <x:v>ACQUISITION ATTEMPT 1 OF 2</x:v>
      </x:c>
      <x:c r="C5002" t="str">
        <x:v>Pasted text(59).txt</x:v>
      </x:c>
    </x:row>
    <x:row r="5003">
      <x:c r="A5003" t="n">
        <x:v>973</x:v>
      </x:c>
      <x:c r="B5003" s="58" t="str"/>
      <x:c r="C5003" t="str">
        <x:v>Pasted text(59).txt</x:v>
      </x:c>
    </x:row>
    <x:row r="5004">
      <x:c r="A5004" t="n">
        <x:v>974</x:v>
      </x:c>
      <x:c r="B5004" s="58" t="str">
        <x:v>FRESH X-AXIS SEARCH FROM DAC 1.00 — OLD DAC VALUES ARE NOT USED</x:v>
      </x:c>
      <x:c r="C5004" t="str">
        <x:v>Pasted text(59).txt</x:v>
      </x:c>
    </x:row>
    <x:row r="5005">
      <x:c r="A5005" t="n">
        <x:v>975</x:v>
      </x:c>
      <x:c r="B5005" s="58" t="str">
        <x:v>Y/Z are diagnostic only and cannot abort this search.</x:v>
      </x:c>
      <x:c r="C5005" t="str">
        <x:v>Pasted text(59).txt</x:v>
      </x:c>
    </x:row>
    <x:row r="5006">
      <x:c r="A5006" t="n">
        <x:v>976</x:v>
      </x:c>
      <x:c r="B5006" s="58" t="str">
        <x:v>A real SPI fault, clipping, safety limit or confirmed X-response collapse will stop it.</x:v>
      </x:c>
      <x:c r="C5006" t="str">
        <x:v>Pasted text(59).txt</x:v>
      </x:c>
    </x:row>
    <x:row r="5007">
      <x:c r="A5007" t="n">
        <x:v>977</x:v>
      </x:c>
      <x:c r="B5007" s="58" t="str">
        <x:v>SEARCH | point 1 | DAC 1.00 | CTRL X 0.02412 | X 0.02593 | Y 0.04217 | Z 0.01893 | TOTAL 0.05567 | error -97.90 % | MAD 22.36 % | CV 9.92 % | coh 7.7 % | dominant Y | axis fraction 61.5 % | BELOW MEASUREMENT FLOOR — SEARCH CONTINUES</x:v>
      </x:c>
      <x:c r="C5007" t="str">
        <x:v>Pasted text(59).txt</x:v>
      </x:c>
    </x:row>
    <x:row r="5008">
      <x:c r="A5008" t="n">
        <x:v>978</x:v>
      </x:c>
      <x:c r="B5008" s="58" t="str">
        <x:v>SEARCH | point 2 | DAC 3.00 | CTRL X 0.18504 | X 0.17836 | Y 0.09337 | Z 0.06588 | TOTAL 0.21329 | error -83.91 % | MAD 4.52 % | CV 9.36 % | coh 27.1 % | dominant X | axis fraction 100.0 % | UNSTABLE — SEARCH CONTINUES</x:v>
      </x:c>
      <x:c r="C5008" t="str">
        <x:v>Pasted text(59).txt</x:v>
      </x:c>
    </x:row>
    <x:row r="5009">
      <x:c r="A5009" t="n">
        <x:v>979</x:v>
      </x:c>
      <x:c r="B5009" s="58" t="str">
        <x:v>SEARCH | point 3 | DAC 5.00 | CTRL X 0.40670 | X 0.40288 | Y 0.19704 | Z 0.13294 | TOTAL 0.46889 | error -64.63 % | MAD 5.37 % | CV 5.14 % | coh 54.9 % | dominant X | axis fraction 100.0 % | VALID</x:v>
      </x:c>
      <x:c r="C5009" t="str">
        <x:v>Pasted text(59).txt</x:v>
      </x:c>
    </x:row>
    <x:row r="5010">
      <x:c r="A5010" t="n">
        <x:v>980</x:v>
      </x:c>
      <x:c r="B5010" s="58" t="str">
        <x:v>SEARCH | point 4 | DAC 6.00 | CTRL X 0.52769 | X 0.52694 | Y 0.24952 | Z 0.18433 | TOTAL 0.61252 | error -54.11 % | MAD 5.15 % | CV 3.70 % | coh 66.3 % | dominant X | axis fraction 100.0 % | VALID</x:v>
      </x:c>
      <x:c r="C5010" t="str">
        <x:v>Pasted text(59).txt</x:v>
      </x:c>
    </x:row>
    <x:row r="5011">
      <x:c r="A5011" t="n">
        <x:v>981</x:v>
      </x:c>
      <x:c r="B5011" s="58" t="str">
        <x:v>SEARCH | point 5 | DAC 7.00 | CTRL X 0.61413 | X 0.61005 | Y 0.31125 | Z 0.16915 | TOTAL 0.70568 | error -46.60 % | MAD 3.74 % | CV 3.59 % | coh 73.3 % | dominant X | axis fraction 100.0 % | VALID</x:v>
      </x:c>
      <x:c r="C5011" t="str">
        <x:v>Pasted text(59).txt</x:v>
      </x:c>
    </x:row>
    <x:row r="5012">
      <x:c r="A5012" t="n">
        <x:v>982</x:v>
      </x:c>
      <x:c r="B5012" s="58" t="str">
        <x:v>SEARCH | point 6 | DAC 8.00 | CTRL X 0.74674 | X 0.73922 | Y 0.39625 | Z 0.21830 | TOTAL 0.86683 | error -35.07 % | MAD 0.99 % | CV 2.37 % | coh 81.1 % | dominant X | axis fraction 100.0 % | VALID</x:v>
      </x:c>
      <x:c r="C5012" t="str">
        <x:v>Pasted text(59).txt</x:v>
      </x:c>
    </x:row>
    <x:row r="5013">
      <x:c r="A5013" t="n">
        <x:v>983</x:v>
      </x:c>
      <x:c r="B5013" s="58" t="str">
        <x:v>SEARCH | point 7 | DAC 8.50 | CTRL X 0.78821 | X 0.79819 | Y 0.37757 | Z 0.20078 | TOTAL 0.90639 | error -31.46 % | MAD 3.13 % | CV 4.11 % | coh 84.9 % | dominant X | axis fraction 100.0 % | VALID</x:v>
      </x:c>
      <x:c r="C5013" t="str">
        <x:v>Pasted text(59).txt</x:v>
      </x:c>
    </x:row>
    <x:row r="5014">
      <x:c r="A5014" t="n">
        <x:v>984</x:v>
      </x:c>
      <x:c r="B5014" s="58" t="str">
        <x:v>SEARCH | point 8 | DAC 9.00 | CTRL X 0.86667 | X 0.86234 | Y 0.41659 | Z 0.23392 | TOTAL 0.98591 | error -24.64 % | MAD 0.05 % | CV 0.90 % | coh 83.3 % | dominant X | axis fraction 100.0 % | VALID</x:v>
      </x:c>
      <x:c r="C5014" t="str">
        <x:v>Pasted text(59).txt</x:v>
      </x:c>
    </x:row>
    <x:row r="5015">
      <x:c r="A5015" t="n">
        <x:v>985</x:v>
      </x:c>
      <x:c r="B5015" s="58" t="str">
        <x:v>SEARCH | point 9 | DAC 9.50 | CTRL X 0.87053 | X 0.87036 | Y 0.45238 | Z 0.25882 | TOTAL 1.01486 | error -24.30 % | MAD 2.06 % | CV 1.42 % | coh 83.5 % | dominant X | axis fraction 100.0 % | VALID</x:v>
      </x:c>
      <x:c r="C5015" t="str">
        <x:v>Pasted text(59).txt</x:v>
      </x:c>
    </x:row>
    <x:row r="5016">
      <x:c r="A5016" t="n">
        <x:v>986</x:v>
      </x:c>
      <x:c r="B5016" s="58" t="str">
        <x:v>SEARCH | point 10 | DAC 10.00 | CTRL X 0.95676 | X 0.95164 | Y 0.46707 | Z 0.27132 | TOTAL 1.09438 | error -16.80 % | MAD 1.95 % | CV 2.18 % | coh 85.2 % | dominant X | axis fraction 100.0 % | VALID</x:v>
      </x:c>
      <x:c r="C5016" t="str">
        <x:v>Pasted text(59).txt</x:v>
      </x:c>
    </x:row>
    <x:row r="5017">
      <x:c r="A5017" t="n">
        <x:v>987</x:v>
      </x:c>
      <x:c r="B5017" s="58" t="str">
        <x:v>SEARCH | point 11 | DAC 10.50 | CTRL X 0.98064 | X 0.98829 | Y 0.50864 | Z 0.27091 | TOTAL 1.14426 | error -14.73 % | MAD 0.61 % | CV 1.70 % | coh 88.4 % | dominant X | axis fraction 100.0 % | VALID</x:v>
      </x:c>
      <x:c r="C5017" t="str">
        <x:v>Pasted text(59).txt</x:v>
      </x:c>
    </x:row>
    <x:row r="5018">
      <x:c r="A5018" t="n">
        <x:v>988</x:v>
      </x:c>
      <x:c r="B5018" s="58" t="str">
        <x:v>SEARCH | point 12 | DAC 10.75 | CTRL X 1.04768 | X 1.05009 | Y 0.51217 | Z 0.28342 | TOTAL 1.20234 | error -8.90 % | MAD 0.74 % | CV 0.86 % | coh 87.6 % | dominant X | axis fraction 100.0 % | VALID</x:v>
      </x:c>
      <x:c r="C5018" t="str">
        <x:v>Pasted text(59).txt</x:v>
      </x:c>
    </x:row>
    <x:row r="5019">
      <x:c r="A5019" t="n">
        <x:v>989</x:v>
      </x:c>
      <x:c r="B5019" s="58" t="str">
        <x:v>SEARCH | point 13 | DAC 11.00 | CTRL X 1.07051 | X 1.06469 | Y 0.56623 | Z 0.28326 | TOTAL 1.23911 | error -6.91 % | MAD 1.87 % | CV 2.15 % | coh 87.7 % | dominant X | axis fraction 100.0 % | IN TARGET BAND</x:v>
      </x:c>
      <x:c r="C5019" t="str">
        <x:v>Pasted text(59).txt</x:v>
      </x:c>
    </x:row>
    <x:row r="5020">
      <x:c r="A5020" t="n">
        <x:v>990</x:v>
      </x:c>
      <x:c r="B5020" s="58" t="str"/>
      <x:c r="C5020" t="str">
        <x:v>Pasted text(59).txt</x:v>
      </x:c>
    </x:row>
    <x:row r="5021">
      <x:c r="A5021" t="n">
        <x:v>991</x:v>
      </x:c>
      <x:c r="B5021" s="58" t="str">
        <x:v>LOCAL 0.25-DAC X-AXIS FINE SCAN</x:v>
      </x:c>
      <x:c r="C5021" t="str">
        <x:v>Pasted text(59).txt</x:v>
      </x:c>
    </x:row>
    <x:row r="5022">
      <x:c r="A5022" t="n">
        <x:v>992</x:v>
      </x:c>
      <x:c r="B5022" s="58" t="str">
        <x:v>Only a valid point actually inside the X target band may be selected.</x:v>
      </x:c>
      <x:c r="C5022" t="str">
        <x:v>Pasted text(59).txt</x:v>
      </x:c>
    </x:row>
    <x:row r="5023">
      <x:c r="A5023" t="n">
        <x:v>993</x:v>
      </x:c>
      <x:c r="B5023" s="58" t="str">
        <x:v>FINE | point 1 | DAC 10.00 | CTRL X 0.93707 | X 0.93878 | Y 0.50865 | Z 0.26034 | TOTAL 1.09912 | error -18.52 % | MAD 1.37 % | CV 1.21 % | coh 84.6 % | dominant X | axis fraction 100.0 % | VALID</x:v>
      </x:c>
      <x:c r="C5023" t="str">
        <x:v>Pasted text(59).txt</x:v>
      </x:c>
    </x:row>
    <x:row r="5024">
      <x:c r="A5024" t="n">
        <x:v>994</x:v>
      </x:c>
      <x:c r="B5024" s="58" t="str">
        <x:v>FINE | point 2 | DAC 10.25 | CTRL X 0.96669 | X 0.96186 | Y 0.47284 | Z 0.26730 | TOTAL 1.10484 | error -15.94 % | MAD 1.25 % | CV 1.66 % | coh 86.3 % | dominant X | axis fraction 100.0 % | VALID</x:v>
      </x:c>
      <x:c r="C5024" t="str">
        <x:v>Pasted text(59).txt</x:v>
      </x:c>
    </x:row>
    <x:row r="5025">
      <x:c r="A5025" t="n">
        <x:v>995</x:v>
      </x:c>
      <x:c r="B5025" s="58" t="str">
        <x:v>FINE | point 3 | DAC 10.50 | CTRL X 0.97868 | X 0.98473 | Y 0.50303 | Z 0.26317 | TOTAL 1.13686 | error -14.90 % | MAD 1.09 % | CV 1.74 % | coh 88.0 % | dominant X | axis fraction 100.0 % | VALID</x:v>
      </x:c>
      <x:c r="C5025" t="str">
        <x:v>Pasted text(59).txt</x:v>
      </x:c>
    </x:row>
    <x:row r="5026">
      <x:c r="A5026" t="n">
        <x:v>996</x:v>
      </x:c>
      <x:c r="B5026" s="58" t="str">
        <x:v>FINE | point 4 | DAC 10.75 | CTRL X 1.05433 | X 1.04165 | Y 0.52028 | Z 0.26617 | TOTAL 1.19447 | error -8.32 % | MAD 1.09 % | CV 2.78 % | coh 87.0 % | dominant X | axis fraction 100.0 % | VALID</x:v>
      </x:c>
      <x:c r="C5026" t="str">
        <x:v>Pasted text(59).txt</x:v>
      </x:c>
    </x:row>
    <x:row r="5027">
      <x:c r="A5027" t="n">
        <x:v>997</x:v>
      </x:c>
      <x:c r="B5027" s="58" t="str">
        <x:v>FINE | point 5 | DAC 11.00 | CTRL X 1.05925 | X 1.06206 | Y 0.53228 | Z 0.27383 | TOTAL 1.21915 | error -7.89 % | MAD 0.99 % | CV 1.09 % | coh 87.6 % | dominant X | axis fraction 100.0 % | VALID</x:v>
      </x:c>
      <x:c r="C5027" t="str">
        <x:v>Pasted text(59).txt</x:v>
      </x:c>
    </x:row>
    <x:row r="5028">
      <x:c r="A5028" t="n">
        <x:v>998</x:v>
      </x:c>
      <x:c r="B5028" s="58" t="str">
        <x:v>FINE | point 6 | DAC 11.25 | CTRL X 1.09042 | X 1.09443 | Y 0.55272 | Z 0.27064 | TOTAL 1.25572 | error -5.18 % | MAD 1.45 % | CV 1.56 % | coh 89.6 % | dominant X | axis fraction 100.0 % | IN TARGET BAND</x:v>
      </x:c>
      <x:c r="C5028" t="str">
        <x:v>Pasted text(59).txt</x:v>
      </x:c>
    </x:row>
    <x:row r="5029">
      <x:c r="A5029" t="n">
        <x:v>999</x:v>
      </x:c>
      <x:c r="B5029" s="58" t="str">
        <x:v>FINE | point 7 | DAC 11.50 | CTRL X 1.11403 | X 1.11353 | Y 0.56510 | Z 0.28252 | TOTAL 1.28049 | error -3.13 % | MAD 2.33 % | CV 1.64 % | coh 91.2 % | dominant X | axis fraction 100.0 % | IN TARGET BAND</x:v>
      </x:c>
      <x:c r="C5029" t="str">
        <x:v>Pasted text(59).txt</x:v>
      </x:c>
    </x:row>
    <x:row r="5030">
      <x:c r="A5030" t="n">
        <x:v>1000</x:v>
      </x:c>
      <x:c r="B5030" s="58" t="str">
        <x:v>FINE | point 8 | DAC 11.75 | CTRL X 1.14835 | X 1.14412 | Y 0.58307 | Z 0.28432 | TOTAL 1.31538 | error -0.14 % | MAD 0.67 % | CV 1.06 % | coh 88.3 % | dominant X | axis fraction 100.0 % | IN TARGET BAND</x:v>
      </x:c>
      <x:c r="C5030" t="str">
        <x:v>Pasted text(59).txt</x:v>
      </x:c>
    </x:row>
    <x:row r="5031">
      <x:c r="A5031" t="n">
        <x:v>1001</x:v>
      </x:c>
      <x:c r="B5031" s="58" t="str">
        <x:v>FINE | point 9 | DAC 12.00 | CTRL X 1.13446 | X 1.13290 | Y 0.58617 | Z 0.28657 | TOTAL 1.30756 | error -1.35 % | MAD 0.89 % | CV 0.82 % | coh 87.7 % | dominant X | axis fraction 100.0 % | IN TARGET BAND</x:v>
      </x:c>
      <x:c r="C5031" t="str">
        <x:v>Pasted text(59).txt</x:v>
      </x:c>
    </x:row>
    <x:row r="5032">
      <x:c r="A5032" t="n">
        <x:v>1002</x:v>
      </x:c>
      <x:c r="B5032" s="58" t="str"/>
      <x:c r="C5032" t="str">
        <x:v>Pasted text(59).txt</x:v>
      </x:c>
    </x:row>
    <x:row r="5033">
      <x:c r="A5033" t="n">
        <x:v>1003</x:v>
      </x:c>
      <x:c r="B5033" s="58" t="str">
        <x:v>LONG VALIDATION AT FIXED DAC 11.75</x:v>
      </x:c>
      <x:c r="C5033" t="str">
        <x:v>Pasted text(59).txt</x:v>
      </x:c>
    </x:row>
    <x:row r="5034">
      <x:c r="A5034" t="n">
        <x:v>1004</x:v>
      </x:c>
      <x:c r="B5034" s="58" t="str">
        <x:v>FINAL | point 1 | DAC 11.75 | CTRL X 1.19147 | X 1.18541 | Y 0.59359 | Z 0.29233 | TOTAL 1.35787 | error 3.61 % | MAD 1.52 % | CV 2.71 % | coh 88.4 % | dominant X | axis fraction 100.0 % | IN TARGET BAND</x:v>
      </x:c>
      <x:c r="C5034" t="str">
        <x:v>Pasted text(59).txt</x:v>
      </x:c>
    </x:row>
    <x:row r="5035">
      <x:c r="A5035" t="n">
        <x:v>1005</x:v>
      </x:c>
      <x:c r="B5035" s="58" t="str">
        <x:v>FINAL | point 2 | DAC 11.75 | CTRL X 1.17626 | X 1.18646 | Y 0.62562 | Z 0.29261 | TOTAL 1.37352 | error 2.28 % | MAD 2.28 % | CV 2.44 % | coh 87.3 % | dominant X | axis fraction 100.0 % | IN TARGET BAND</x:v>
      </x:c>
      <x:c r="C5035" t="str">
        <x:v>Pasted text(59).txt</x:v>
      </x:c>
    </x:row>
    <x:row r="5036">
      <x:c r="A5036" t="n">
        <x:v>1006</x:v>
      </x:c>
      <x:c r="B5036" s="58" t="str">
        <x:v>VALIDATION ACCEPTED | pair drift 1.28 %</x:v>
      </x:c>
      <x:c r="C5036" t="str">
        <x:v>Pasted text(59).txt</x:v>
      </x:c>
    </x:row>
    <x:row r="5037">
      <x:c r="A5037" t="n">
        <x:v>1007</x:v>
      </x:c>
      <x:c r="B5037" s="58" t="str"/>
      <x:c r="C5037" t="str">
        <x:v>Pasted text(59).txt</x:v>
      </x:c>
    </x:row>
    <x:row r="5038">
      <x:c r="A5038" t="n">
        <x:v>1008</x:v>
      </x:c>
      <x:c r="B5038" s="58" t="str">
        <x:v>FINAL VALIDATED BLIND FFT VERIFICATION</x:v>
      </x:c>
      <x:c r="C5038" t="str">
        <x:v>Pasted text(59).txt</x:v>
      </x:c>
    </x:row>
    <x:row r="5039">
      <x:c r="A5039" t="n">
        <x:v>1009</x:v>
      </x:c>
      <x:c r="B5039" s="58" t="str">
        <x:v>Commanded frequency: 272.00000 Hz</x:v>
      </x:c>
      <x:c r="C5039" t="str">
        <x:v>Pasted text(59).txt</x:v>
      </x:c>
    </x:row>
    <x:row r="5040">
      <x:c r="A5040" t="n">
        <x:v>1010</x:v>
      </x:c>
      <x:c r="B5040" s="58" t="str">
        <x:v>Accepted DAC: 11.75</x:v>
      </x:c>
      <x:c r="C5040" t="str">
        <x:v>Pasted text(59).txt</x:v>
      </x:c>
    </x:row>
    <x:row r="5041">
      <x:c r="A5041" t="n">
        <x:v>1011</x:v>
      </x:c>
      <x:c r="B5041" s="58" t="str">
        <x:v>Axis,Frequency_Hz,Amplitude_mps2,SNR_dB,Status</x:v>
      </x:c>
      <x:c r="C5041" t="str">
        <x:v>Pasted text(59).txt</x:v>
      </x:c>
    </x:row>
    <x:row r="5042">
      <x:c r="A5042" t="n">
        <x:v>1012</x:v>
      </x:c>
      <x:c r="B5042" s="58" t="str">
        <x:v>X,271.96825,1.20405,32.43,VALID</x:v>
      </x:c>
      <x:c r="C5042" t="str">
        <x:v>Pasted text(59).txt</x:v>
      </x:c>
    </x:row>
    <x:row r="5043">
      <x:c r="A5043" t="n">
        <x:v>1013</x:v>
      </x:c>
      <x:c r="B5043" s="58" t="str">
        <x:v>Y,271.94749,0.61714,25.53,VALID</x:v>
      </x:c>
      <x:c r="C5043" t="str">
        <x:v>Pasted text(59).txt</x:v>
      </x:c>
    </x:row>
    <x:row r="5044">
      <x:c r="A5044" t="n">
        <x:v>1014</x:v>
      </x:c>
      <x:c r="B5044" s="58" t="str">
        <x:v>Z,271.96784,0.27366,23.34,VALID</x:v>
      </x:c>
      <x:c r="C5044" t="str">
        <x:v>Pasted text(59).txt</x:v>
      </x:c>
    </x:row>
    <x:row r="5045">
      <x:c r="A5045" t="n">
        <x:v>1015</x:v>
      </x:c>
      <x:c r="B5045" s="58" t="str">
        <x:v>Combined frequency: 271.96408 Hz | difference -0.03592 Hz</x:v>
      </x:c>
      <x:c r="C5045" t="str">
        <x:v>Pasted text(59).txt</x:v>
      </x:c>
    </x:row>
    <x:row r="5046">
      <x:c r="A5046" t="n">
        <x:v>1016</x:v>
      </x:c>
      <x:c r="B5046" s="58" t="str">
        <x:v>Combined X/Y/Z/TOTAL: 1.20162 / 0.61639 / 0.27311 / 1.37783</x:v>
      </x:c>
      <x:c r="C5046" t="str">
        <x:v>Pasted text(59).txt</x:v>
      </x:c>
    </x:row>
    <x:row r="5047">
      <x:c r="A5047" t="n">
        <x:v>1017</x:v>
      </x:c>
      <x:c r="B5047" s="58" t="str">
        <x:v>SNR: 29.29 dB | dominant axis X</x:v>
      </x:c>
      <x:c r="C5047" t="str">
        <x:v>Pasted text(59).txt</x:v>
      </x:c>
    </x:row>
    <x:row r="5048">
      <x:c r="A5048" t="n">
        <x:v>1018</x:v>
      </x:c>
      <x:c r="B5048" s="58" t="str">
        <x:v>Frequency verification: PASS</x:v>
      </x:c>
      <x:c r="C5048" t="str">
        <x:v>Pasted text(59).txt</x:v>
      </x:c>
    </x:row>
    <x:row r="5049">
      <x:c r="A5049" t="n">
        <x:v>1019</x:v>
      </x:c>
      <x:c r="B5049" s="58" t="str">
        <x:v>Y/Z dominance: DIAGNOSTIC ONLY — ignored for pass/fail</x:v>
      </x:c>
      <x:c r="C5049" t="str">
        <x:v>Pasted text(59).txt</x:v>
      </x:c>
    </x:row>
    <x:row r="5050">
      <x:c r="A5050" t="n">
        <x:v>1020</x:v>
      </x:c>
      <x:c r="B5050" s="58" t="str"/>
      <x:c r="C5050" t="str">
        <x:v>Pasted text(59).txt</x:v>
      </x:c>
    </x:row>
    <x:row r="5051">
      <x:c r="A5051" t="n">
        <x:v>1021</x:v>
      </x:c>
      <x:c r="B5051" s="58" t="str">
        <x:v>FIXED-DAC HOLD VALIDATION</x:v>
      </x:c>
      <x:c r="C5051" t="str">
        <x:v>Pasted text(59).txt</x:v>
      </x:c>
    </x:row>
    <x:row r="5052">
      <x:c r="A5052" t="n">
        <x:v>1022</x:v>
      </x:c>
      <x:c r="B5052" s="58" t="str">
        <x:v>DAC remains fixed at 11.75 for 10 records.</x:v>
      </x:c>
      <x:c r="C5052" t="str">
        <x:v>Pasted text(59).txt</x:v>
      </x:c>
    </x:row>
    <x:row r="5053">
      <x:c r="A5053" t="n">
        <x:v>1023</x:v>
      </x:c>
      <x:c r="B5053" s="58" t="str">
        <x:v>HOLD | point 1 | DAC 11.75 | CTRL X 1.19489 | X 1.20090 | Y 0.62443 | Z 0.27067 | TOTAL 1.38083 | error 3.90 % | MAD 2.79 % | CV 2.66 % | coh 87.6 % | dominant X | axis fraction 100.0 % | IN TARGET BAND</x:v>
      </x:c>
      <x:c r="C5053" t="str">
        <x:v>Pasted text(59).txt</x:v>
      </x:c>
    </x:row>
    <x:row r="5054">
      <x:c r="A5054" t="n">
        <x:v>1024</x:v>
      </x:c>
      <x:c r="B5054" s="58" t="str">
        <x:v>HOLD | point 2 | DAC 11.75 | CTRL X 1.22519 | X 1.21672 | Y 0.62010 | Z 0.28987 | TOTAL 1.39661 | error 6.54 % | MAD 1.16 % | CV 1.93 % | coh 88.2 % | dominant X | axis fraction 100.0 % | IN TARGET BAND</x:v>
      </x:c>
      <x:c r="C5054" t="str">
        <x:v>Pasted text(59).txt</x:v>
      </x:c>
    </x:row>
    <x:row r="5055">
      <x:c r="A5055" t="n">
        <x:v>1025</x:v>
      </x:c>
      <x:c r="B5055" s="58" t="str">
        <x:v>HOLD | point 3 | DAC 11.75 | CTRL X 1.22564 | X 1.21197 | Y 0.61581 | Z 0.27704 | TOTAL 1.38771 | error 6.58 % | MAD 1.93 % | CV 3.16 % | coh 87.7 % | dominant X | axis fraction 100.0 % | IN TARGET BAND</x:v>
      </x:c>
      <x:c r="C5055" t="str">
        <x:v>Pasted text(59).txt</x:v>
      </x:c>
    </x:row>
    <x:row r="5056">
      <x:c r="A5056" t="n">
        <x:v>1026</x:v>
      </x:c>
      <x:c r="B5056" s="58" t="str">
        <x:v>HOLD | point 4 | DAC 11.75 | CTRL X 1.22348 | X 1.21229 | Y 0.62878 | Z 0.28551 | TOTAL 1.39545 | error 6.39 % | MAD 1.52 % | CV 2.55 % | coh 87.5 % | dominant X | axis fraction 100.0 % | IN TARGET BAND</x:v>
      </x:c>
      <x:c r="C5056" t="str">
        <x:v>Pasted text(59).txt</x:v>
      </x:c>
    </x:row>
    <x:row r="5057">
      <x:c r="A5057" t="n">
        <x:v>1027</x:v>
      </x:c>
      <x:c r="B5057" s="58" t="str">
        <x:v>HOLD | point 5 | DAC 11.75 | CTRL X 1.22025 | X 1.21799 | Y 0.61653 | Z 0.28759 | TOTAL 1.39576 | error 6.11 % | MAD 3.23 % | CV 2.47 % | coh 88.0 % | dominant X | axis fraction 100.0 % | IN TARGET BAND</x:v>
      </x:c>
      <x:c r="C5057" t="str">
        <x:v>Pasted text(59).txt</x:v>
      </x:c>
    </x:row>
    <x:row r="5058">
      <x:c r="A5058" t="n">
        <x:v>1028</x:v>
      </x:c>
      <x:c r="B5058" s="58" t="str">
        <x:v>HOLD | point 6 | DAC 11.75 | CTRL X 1.22160 | X 1.20634 | Y 0.61456 | Z 0.29209 | TOTAL 1.38536 | error 6.23 % | MAD 0.91 % | CV 2.75 % | coh 87.4 % | dominant X | axis fraction 100.0 % | IN TARGET BAND</x:v>
      </x:c>
      <x:c r="C5058" t="str">
        <x:v>Pasted text(59).txt</x:v>
      </x:c>
    </x:row>
    <x:row r="5059">
      <x:c r="A5059" t="n">
        <x:v>1029</x:v>
      </x:c>
      <x:c r="B5059" s="58" t="str">
        <x:v>HOLD | point 7 | DAC 11.75 | CTRL X 1.19536 | X 1.19344 | Y 0.62199 | Z 0.27598 | TOTAL 1.37401 | error 3.94 % | MAD 1.12 % | CV 1.00 % | coh 86.8 % | dominant X | axis fraction 100.0 % | IN TARGET BAND</x:v>
      </x:c>
      <x:c r="C5059" t="str">
        <x:v>Pasted text(59).txt</x:v>
      </x:c>
    </x:row>
    <x:row r="5060">
      <x:c r="A5060" t="n">
        <x:v>1030</x:v>
      </x:c>
      <x:c r="B5060" s="58" t="str">
        <x:v>HOLD | point 8 | DAC 11.75 | CTRL X 1.21684 | X 1.21332 | Y 0.60777 | Z 0.27963 | TOTAL 1.38588 | error 5.81 % | MAD 1.67 % | CV 1.59 % | coh 88.1 % | dominant X | axis fraction 100.0 % | IN TARGET BAND</x:v>
      </x:c>
      <x:c r="C5060" t="str">
        <x:v>Pasted text(59).txt</x:v>
      </x:c>
    </x:row>
    <x:row r="5061">
      <x:c r="A5061" t="n">
        <x:v>1031</x:v>
      </x:c>
      <x:c r="B5061" s="58" t="str">
        <x:v>HOLD | point 9 | DAC 11.75 | CTRL X 1.22282 | X 1.21908 | Y 0.60819 | Z 0.27966 | TOTAL 1.39084 | error 6.33 % | MAD 1.58 % | CV 1.55 % | coh 87.6 % | dominant X | axis fraction 100.0 % | IN TARGET BAND</x:v>
      </x:c>
      <x:c r="C5061" t="str">
        <x:v>Pasted text(59).txt</x:v>
      </x:c>
    </x:row>
    <x:row r="5062">
      <x:c r="A5062" t="n">
        <x:v>1032</x:v>
      </x:c>
      <x:c r="B5062" s="58" t="str">
        <x:v>HOLD | point 10 | DAC 11.75 | CTRL X 1.20935 | X 1.20475 | Y 0.61869 | Z 0.29847 | TOTAL 1.38710 | error 5.16 % | MAD 2.10 % | CV 2.02 % | coh 87.0 % | dominant X | axis fraction 100.0 % | IN TARGET BAND</x:v>
      </x:c>
      <x:c r="C5062" t="str">
        <x:v>Pasted text(59).txt</x:v>
      </x:c>
    </x:row>
    <x:row r="5063">
      <x:c r="A5063" t="n">
        <x:v>1033</x:v>
      </x:c>
      <x:c r="B5063" s="58" t="str"/>
      <x:c r="C5063" t="str">
        <x:v>Pasted text(59).txt</x:v>
      </x:c>
    </x:row>
    <x:row r="5064">
      <x:c r="A5064" t="n">
        <x:v>1034</x:v>
      </x:c>
      <x:c r="B5064" s="58" t="str">
        <x:v>HOLD SUMMARY</x:v>
      </x:c>
      <x:c r="C5064" t="str">
        <x:v>Pasted text(59).txt</x:v>
      </x:c>
    </x:row>
    <x:row r="5065">
      <x:c r="A5065" t="n">
        <x:v>1035</x:v>
      </x:c>
      <x:c r="B5065" s="58" t="str">
        <x:v>Valid / requested: 10 / 10</x:v>
      </x:c>
      <x:c r="C5065" t="str">
        <x:v>Pasted text(59).txt</x:v>
      </x:c>
    </x:row>
    <x:row r="5066">
      <x:c r="A5066" t="n">
        <x:v>1036</x:v>
      </x:c>
      <x:c r="B5066" s="58" t="str">
        <x:v>In band / requested: 10 / 10 = 100.0 %</x:v>
      </x:c>
      <x:c r="C5066" t="str">
        <x:v>Pasted text(59).txt</x:v>
      </x:c>
    </x:row>
    <x:row r="5067">
      <x:c r="A5067" t="n">
        <x:v>1037</x:v>
      </x:c>
      <x:c r="B5067" s="58" t="str">
        <x:v>Mean / SD / CV: 1.21554 / 0.01176 / 0.97 %</x:v>
      </x:c>
      <x:c r="C5067" t="str">
        <x:v>Pasted text(59).txt</x:v>
      </x:c>
    </x:row>
    <x:row r="5068">
      <x:c r="A5068" t="n">
        <x:v>1038</x:v>
      </x:c>
      <x:c r="B5068" s="58" t="str">
        <x:v>Min / Max: 1.19489 / 1.22564</x:v>
      </x:c>
      <x:c r="C5068" t="str">
        <x:v>Pasted text(59).txt</x:v>
      </x:c>
    </x:row>
    <x:row r="5069">
      <x:c r="A5069" t="n">
        <x:v>1039</x:v>
      </x:c>
      <x:c r="B5069" s="58" t="str">
        <x:v>HOLD RESULT: PASS</x:v>
      </x:c>
      <x:c r="C5069" t="str">
        <x:v>Pasted text(59).txt</x:v>
      </x:c>
    </x:row>
    <x:row r="5070">
      <x:c r="A5070" t="n">
        <x:v>1040</x:v>
      </x:c>
      <x:c r="B5070" s="58" t="str"/>
      <x:c r="C5070" t="str">
        <x:v>Pasted text(59).txt</x:v>
      </x:c>
    </x:row>
    <x:row r="5071">
      <x:c r="A5071" t="n">
        <x:v>1041</x:v>
      </x:c>
      <x:c r="B5071" s="58" t="str">
        <x:v>RUN RESULT: PASS</x:v>
      </x:c>
      <x:c r="C5071" t="str">
        <x:v>Pasted text(59).txt</x:v>
      </x:c>
    </x:row>
    <x:row r="5072">
      <x:c r="A5072" t="n">
        <x:v>1042</x:v>
      </x:c>
      <x:c r="B5072" s="58" t="str">
        <x:v>Selected DAC: 11.75</x:v>
      </x:c>
      <x:c r="C5072" t="str">
        <x:v>Pasted text(59).txt</x:v>
      </x:c>
    </x:row>
    <x:row r="5073">
      <x:c r="A5073" t="n">
        <x:v>1043</x:v>
      </x:c>
      <x:c r="B5073" s="58" t="str">
        <x:v>Validated amplitude: 1.18387 m/s^2 | error 2.94 %</x:v>
      </x:c>
      <x:c r="C5073" t="str">
        <x:v>Pasted text(59).txt</x:v>
      </x:c>
    </x:row>
    <x:row r="5074">
      <x:c r="A5074" t="n">
        <x:v>1044</x:v>
      </x:c>
      <x:c r="B5074" s="58" t="str">
        <x:v>FFT frequency: 271.96408 Hz | difference -0.03592 Hz</x:v>
      </x:c>
      <x:c r="C5074" t="str">
        <x:v>Pasted text(59).txt</x:v>
      </x:c>
    </x:row>
    <x:row r="5075">
      <x:c r="A5075" t="n">
        <x:v>1045</x:v>
      </x:c>
      <x:c r="B5075" s="58" t="str"/>
      <x:c r="C5075" t="str">
        <x:v>Pasted text(59).txt</x:v>
      </x:c>
    </x:row>
    <x:row r="5076">
      <x:c r="A5076" t="n">
        <x:v>1046</x:v>
      </x:c>
      <x:c r="B5076" s="58" t="str">
        <x:v>VISATON OFF. RESTING 5.0 s BEFORE THE NEXT COMPLETELY FRESH RUN.</x:v>
      </x:c>
      <x:c r="C5076" t="str">
        <x:v>Pasted text(59).txt</x:v>
      </x:c>
    </x:row>
    <x:row r="5077">
      <x:c r="A5077" t="n">
        <x:v>1047</x:v>
      </x:c>
      <x:c r="B5077" s="58" t="str"/>
      <x:c r="C5077" t="str">
        <x:v>Pasted text(59).txt</x:v>
      </x:c>
    </x:row>
    <x:row r="5078">
      <x:c r="A5078" t="n">
        <x:v>1048</x:v>
      </x:c>
      <x:c r="B5078" s="58" t="str">
        <x:v>################################################################################</x:v>
      </x:c>
      <x:c r="C5078" t="str">
        <x:v>Pasted text(59).txt</x:v>
      </x:c>
    </x:row>
    <x:row r="5079">
      <x:c r="A5079" t="n">
        <x:v>1049</x:v>
      </x:c>
      <x:c r="B5079" s="58" t="str">
        <x:v>INDEPENDENT TARGET-AMPLITUDE RUN 2 OF 5</x:v>
      </x:c>
      <x:c r="C5079" t="str">
        <x:v>Pasted text(59).txt</x:v>
      </x:c>
    </x:row>
    <x:row r="5080">
      <x:c r="A5080" t="n">
        <x:v>1050</x:v>
      </x:c>
      <x:c r="B5080" s="58" t="str">
        <x:v>################################################################################</x:v>
      </x:c>
      <x:c r="C5080" t="str">
        <x:v>Pasted text(59).txt</x:v>
      </x:c>
    </x:row>
    <x:row r="5081">
      <x:c r="A5081" t="n">
        <x:v>1051</x:v>
      </x:c>
      <x:c r="B5081" s="58" t="str">
        <x:v>Frequency: 272.00000 Hz</x:v>
      </x:c>
      <x:c r="C5081" t="str">
        <x:v>Pasted text(59).txt</x:v>
      </x:c>
    </x:row>
    <x:row r="5082">
      <x:c r="A5082" t="n">
        <x:v>1052</x:v>
      </x:c>
      <x:c r="B5082" s="58" t="str">
        <x:v>Target X amplitude: 1.15000 m/s^2 peak, tolerance +/-7.50 %</x:v>
      </x:c>
      <x:c r="C5082" t="str">
        <x:v>Pasted text(59).txt</x:v>
      </x:c>
    </x:row>
    <x:row r="5083">
      <x:c r="A5083" t="n">
        <x:v>1053</x:v>
      </x:c>
      <x:c r="B5083" s="58" t="str">
        <x:v>This run starts from DAC 1.00 and ignores every earlier selected DAC.</x:v>
      </x:c>
      <x:c r="C5083" t="str">
        <x:v>Pasted text(59).txt</x:v>
      </x:c>
    </x:row>
    <x:row r="5084">
      <x:c r="A5084" t="n">
        <x:v>1054</x:v>
      </x:c>
      <x:c r="B5084" s="58" t="str">
        <x:v>ADXL2 DEVID/DATA_FORMAT/BW_RATE/POWER_CTL: 0xE5 / 0xB / 0xE / 0x8</x:v>
      </x:c>
      <x:c r="C5084" t="str">
        <x:v>Pasted text(59).txt</x:v>
      </x:c>
    </x:row>
    <x:row r="5085">
      <x:c r="A5085" t="n">
        <x:v>1055</x:v>
      </x:c>
      <x:c r="B5085" s="58" t="str"/>
      <x:c r="C5085" t="str">
        <x:v>Pasted text(59).txt</x:v>
      </x:c>
    </x:row>
    <x:row r="5086">
      <x:c r="A5086" t="n">
        <x:v>1056</x:v>
      </x:c>
      <x:c r="B5086" s="58" t="str">
        <x:v>ACQUISITION ATTEMPT 1 OF 2</x:v>
      </x:c>
      <x:c r="C5086" t="str">
        <x:v>Pasted text(59).txt</x:v>
      </x:c>
    </x:row>
    <x:row r="5087">
      <x:c r="A5087" t="n">
        <x:v>1057</x:v>
      </x:c>
      <x:c r="B5087" s="58" t="str"/>
      <x:c r="C5087" t="str">
        <x:v>Pasted text(59).txt</x:v>
      </x:c>
    </x:row>
    <x:row r="5088">
      <x:c r="A5088" t="n">
        <x:v>1058</x:v>
      </x:c>
      <x:c r="B5088" s="58" t="str">
        <x:v>FRESH X-AXIS SEARCH FROM DAC 1.00 — OLD DAC VALUES ARE NOT USED</x:v>
      </x:c>
      <x:c r="C5088" t="str">
        <x:v>Pasted text(59).txt</x:v>
      </x:c>
    </x:row>
    <x:row r="5089">
      <x:c r="A5089" t="n">
        <x:v>1059</x:v>
      </x:c>
      <x:c r="B5089" s="58" t="str">
        <x:v>Y/Z are diagnostic only and cannot abort this search.</x:v>
      </x:c>
      <x:c r="C5089" t="str">
        <x:v>Pasted text(59).txt</x:v>
      </x:c>
    </x:row>
    <x:row r="5090">
      <x:c r="A5090" t="n">
        <x:v>1060</x:v>
      </x:c>
      <x:c r="B5090" s="58" t="str">
        <x:v>A real SPI fault, clipping, safety limit or confirmed X-response collapse will stop it.</x:v>
      </x:c>
      <x:c r="C5090" t="str">
        <x:v>Pasted text(59).txt</x:v>
      </x:c>
    </x:row>
    <x:row r="5091">
      <x:c r="A5091" t="n">
        <x:v>1061</x:v>
      </x:c>
      <x:c r="B5091" s="58" t="str">
        <x:v>SEARCH | point 1 | DAC 1.00 | CTRL X 0.02018 | X 0.01706 | Y 0.01385 | Z 0.01109 | TOTAL 0.02668 | error -98.25 % | MAD 37.49 % | CV 59.47 % | coh 5.1 % | dominant X | axis fraction 100.0 % | BELOW MEASUREMENT FLOOR — SEARCH CONTINUES</x:v>
      </x:c>
      <x:c r="C5091" t="str">
        <x:v>Pasted text(59).txt</x:v>
      </x:c>
    </x:row>
    <x:row r="5092">
      <x:c r="A5092" t="n">
        <x:v>1062</x:v>
      </x:c>
      <x:c r="B5092" s="58" t="str">
        <x:v>SEARCH | point 2 | DAC 3.00 | CTRL X 0.21309 | X 0.20927 | Y 0.10649 | Z 0.04490 | TOTAL 0.23954 | error -81.47 % | MAD 8.41 % | CV 8.66 % | coh 31.3 % | dominant X | axis fraction 100.0 % | UNSTABLE — SEARCH CONTINUES</x:v>
      </x:c>
      <x:c r="C5092" t="str">
        <x:v>Pasted text(59).txt</x:v>
      </x:c>
    </x:row>
    <x:row r="5093">
      <x:c r="A5093" t="n">
        <x:v>1063</x:v>
      </x:c>
      <x:c r="B5093" s="58" t="str">
        <x:v>SEARCH | point 3 | DAC 5.00 | CTRL X 0.41582 | X 0.41143 | Y 0.22937 | Z 0.13555 | TOTAL 0.49126 | error -63.84 % | MAD 6.10 % | CV 5.83 % | coh 55.4 % | dominant X | axis fraction 100.0 % | VALID</x:v>
      </x:c>
      <x:c r="C5093" t="str">
        <x:v>Pasted text(59).txt</x:v>
      </x:c>
    </x:row>
    <x:row r="5094">
      <x:c r="A5094" t="n">
        <x:v>1064</x:v>
      </x:c>
      <x:c r="B5094" s="58" t="str">
        <x:v>SEARCH | point 4 | DAC 6.00 | CTRL X 0.53195 | X 0.53121 | Y 0.27513 | Z 0.15360 | TOTAL 0.61840 | error -53.74 % | MAD 0.10 % | CV 0.30 % | coh 65.7 % | dominant X | axis fraction 100.0 % | VALID</x:v>
      </x:c>
      <x:c r="C5094" t="str">
        <x:v>Pasted text(59).txt</x:v>
      </x:c>
    </x:row>
    <x:row r="5095">
      <x:c r="A5095" t="n">
        <x:v>1065</x:v>
      </x:c>
      <x:c r="B5095" s="58" t="str">
        <x:v>SEARCH | point 5 | DAC 7.00 | CTRL X 0.63583 | X 0.65055 | Y 0.33384 | Z 0.16757 | TOTAL 0.75035 | error -44.71 % | MAD 0.12 % | CV 3.98 % | coh 75.2 % | dominant X | axis fraction 100.0 % | VALID</x:v>
      </x:c>
      <x:c r="C5095" t="str">
        <x:v>Pasted text(59).txt</x:v>
      </x:c>
    </x:row>
    <x:row r="5096">
      <x:c r="A5096" t="n">
        <x:v>1066</x:v>
      </x:c>
      <x:c r="B5096" s="58" t="str">
        <x:v>SEARCH | point 6 | DAC 8.00 | CTRL X 0.74985 | X 0.75023 | Y 0.40330 | Z 0.20441 | TOTAL 0.87638 | error -34.80 % | MAD 0.74 % | CV 0.58 % | coh 77.2 % | dominant X | axis fraction 100.0 % | VALID</x:v>
      </x:c>
      <x:c r="C5096" t="str">
        <x:v>Pasted text(59).txt</x:v>
      </x:c>
    </x:row>
    <x:row r="5097">
      <x:c r="A5097" t="n">
        <x:v>1067</x:v>
      </x:c>
      <x:c r="B5097" s="58" t="str">
        <x:v>SEARCH | point 7 | DAC 8.50 | CTRL X 0.78838 | X 0.78940 | Y 0.41213 | Z 0.20733 | TOTAL 0.91465 | error -31.45 % | MAD 0.23 % | CV 0.37 % | coh 82.7 % | dominant X | axis fraction 100.0 % | VALID</x:v>
      </x:c>
      <x:c r="C5097" t="str">
        <x:v>Pasted text(59).txt</x:v>
      </x:c>
    </x:row>
    <x:row r="5098">
      <x:c r="A5098" t="n">
        <x:v>1068</x:v>
      </x:c>
      <x:c r="B5098" s="58" t="str">
        <x:v>SEARCH | point 8 | DAC 9.00 | CTRL X 0.88009 | X 0.87516 | Y 0.44117 | Z 0.19450 | TOTAL 0.99932 | error -23.47 % | MAD 1.56 % | CV 1.96 % | coh 81.6 % | dominant X | axis fraction 100.0 % | VALID</x:v>
      </x:c>
      <x:c r="C5098" t="str">
        <x:v>Pasted text(59).txt</x:v>
      </x:c>
    </x:row>
    <x:row r="5099">
      <x:c r="A5099" t="n">
        <x:v>1069</x:v>
      </x:c>
      <x:c r="B5099" s="58" t="str">
        <x:v>SEARCH | point 9 | DAC 9.50 | CTRL X 0.89857 | X 0.89431 | Y 0.48132 | Z 0.22734 | TOTAL 1.04104 | error -21.86 % | MAD 3.10 % | CV 2.84 % | coh 84.0 % | dominant X | axis fraction 100.0 % | VALID</x:v>
      </x:c>
      <x:c r="C5099" t="str">
        <x:v>Pasted text(59).txt</x:v>
      </x:c>
    </x:row>
    <x:row r="5100">
      <x:c r="A5100" t="n">
        <x:v>1070</x:v>
      </x:c>
      <x:c r="B5100" s="58" t="str">
        <x:v>SEARCH | point 10 | DAC 10.00 | CTRL X 0.98485 | X 0.98803 | Y 0.51681 | Z 0.21659 | TOTAL 1.13621 | error -14.36 % | MAD 0.43 % | CV 0.82 % | coh 83.7 % | dominant X | axis fraction 100.0 % | VALID</x:v>
      </x:c>
      <x:c r="C5100" t="str">
        <x:v>Pasted text(59).txt</x:v>
      </x:c>
    </x:row>
    <x:row r="5101">
      <x:c r="A5101" t="n">
        <x:v>1071</x:v>
      </x:c>
      <x:c r="B5101" s="58" t="str">
        <x:v>SEARCH | point 11 | DAC 10.25 | CTRL X 1.03972 | X 1.03066 | Y 0.53821 | Z 0.24119 | TOTAL 1.18765 | error -9.59 % | MAD 0.13 % | CV 1.60 % | coh 87.8 % | dominant X | axis fraction 100.0 % | VALID</x:v>
      </x:c>
      <x:c r="C5101" t="str">
        <x:v>Pasted text(59).txt</x:v>
      </x:c>
    </x:row>
    <x:row r="5102">
      <x:c r="A5102" t="n">
        <x:v>1072</x:v>
      </x:c>
      <x:c r="B5102" s="58" t="str">
        <x:v>SEARCH | point 12 | DAC 10.50 | CTRL X 1.03488 | X 1.03703 | Y 0.54690 | Z 0.25768 | TOTAL 1.20060 | error -10.01 % | MAD 2.51 % | CV 2.01 % | coh 89.2 % | dominant X | axis fraction 100.0 % | VALID</x:v>
      </x:c>
      <x:c r="C5102" t="str">
        <x:v>Pasted text(59).txt</x:v>
      </x:c>
    </x:row>
    <x:row r="5103">
      <x:c r="A5103" t="n">
        <x:v>1073</x:v>
      </x:c>
      <x:c r="B5103" s="58" t="str">
        <x:v>SEARCH | point 13 | DAC 10.75 | CTRL X 1.08134 | X 1.08309 | Y 0.52900 | Z 0.25896 | TOTAL 1.23323 | error -5.97 % | MAD 1.37 % | CV 1.17 % | coh 85.7 % | dominant X | axis fraction 100.0 % | IN TARGET BAND</x:v>
      </x:c>
      <x:c r="C5103" t="str">
        <x:v>Pasted text(59).txt</x:v>
      </x:c>
    </x:row>
    <x:row r="5104">
      <x:c r="A5104" t="n">
        <x:v>1074</x:v>
      </x:c>
      <x:c r="B5104" s="58" t="str"/>
      <x:c r="C5104" t="str">
        <x:v>Pasted text(59).txt</x:v>
      </x:c>
    </x:row>
    <x:row r="5105">
      <x:c r="A5105" t="n">
        <x:v>1075</x:v>
      </x:c>
      <x:c r="B5105" s="58" t="str">
        <x:v>LOCAL 0.25-DAC X-AXIS FINE SCAN</x:v>
      </x:c>
      <x:c r="C5105" t="str">
        <x:v>Pasted text(59).txt</x:v>
      </x:c>
    </x:row>
    <x:row r="5106">
      <x:c r="A5106" t="n">
        <x:v>1076</x:v>
      </x:c>
      <x:c r="B5106" s="58" t="str">
        <x:v>Only a valid point actually inside the X target band may be selected.</x:v>
      </x:c>
      <x:c r="C5106" t="str">
        <x:v>Pasted text(59).txt</x:v>
      </x:c>
    </x:row>
    <x:row r="5107">
      <x:c r="A5107" t="n">
        <x:v>1077</x:v>
      </x:c>
      <x:c r="B5107" s="58" t="str">
        <x:v>FINE | point 1 | DAC 9.75 | CTRL X 0.97959 | X 0.97963 | Y 0.47900 | Z 0.24095 | TOTAL 1.11697 | error -14.82 % | MAD 0.06 % | CV 0.05 % | coh 83.8 % | dominant X | axis fraction 100.0 % | VALID</x:v>
      </x:c>
      <x:c r="C5107" t="str">
        <x:v>Pasted text(59).txt</x:v>
      </x:c>
    </x:row>
    <x:row r="5108">
      <x:c r="A5108" t="n">
        <x:v>1078</x:v>
      </x:c>
      <x:c r="B5108" s="58" t="str">
        <x:v>FINE | point 2 | DAC 10.00 | CTRL X 1.00221 | X 1.00112 | Y 0.50052 | Z 0.24021 | TOTAL 1.14509 | error -12.85 % | MAD 0.68 % | CV 0.63 % | coh 84.5 % | dominant X | axis fraction 100.0 % | VALID</x:v>
      </x:c>
      <x:c r="C5108" t="str">
        <x:v>Pasted text(59).txt</x:v>
      </x:c>
    </x:row>
    <x:row r="5109">
      <x:c r="A5109" t="n">
        <x:v>1079</x:v>
      </x:c>
      <x:c r="B5109" s="58" t="str">
        <x:v>FINE | point 3 | DAC 10.25 | CTRL X 1.01158 | X 1.01168 | Y 0.51783 | Z 0.23191 | TOTAL 1.16003 | error -12.04 % | MAD 0.69 % | CV 0.48 % | coh 86.8 % | dominant X | axis fraction 100.0 % | VALID</x:v>
      </x:c>
      <x:c r="C5109" t="str">
        <x:v>Pasted text(59).txt</x:v>
      </x:c>
    </x:row>
    <x:row r="5110">
      <x:c r="A5110" t="n">
        <x:v>1080</x:v>
      </x:c>
      <x:c r="B5110" s="58" t="str">
        <x:v>FINE | point 4 | DAC 10.50 | CTRL X 1.01622 | X 1.03641 | Y 0.53005 | Z 0.24984 | TOTAL 1.19109 | error -11.63 % | MAD 0.16 % | CV 3.46 % | coh 88.8 % | dominant X | axis fraction 100.0 % | VALID</x:v>
      </x:c>
      <x:c r="C5110" t="str">
        <x:v>Pasted text(59).txt</x:v>
      </x:c>
    </x:row>
    <x:row r="5111">
      <x:c r="A5111" t="n">
        <x:v>1081</x:v>
      </x:c>
      <x:c r="B5111" s="58" t="str">
        <x:v>FINE | point 5 | DAC 10.75 | CTRL X 1.10354 | X 1.09280 | Y 0.57390 | Z 0.24976 | TOTAL 1.25971 | error -4.04 % | MAD 0.38 % | CV 1.93 % | coh 86.5 % | dominant X | axis fraction 100.0 % | IN TARGET BAND</x:v>
      </x:c>
      <x:c r="C5111" t="str">
        <x:v>Pasted text(59).txt</x:v>
      </x:c>
    </x:row>
    <x:row r="5112">
      <x:c r="A5112" t="n">
        <x:v>1082</x:v>
      </x:c>
      <x:c r="B5112" s="58" t="str">
        <x:v>FINE | point 6 | DAC 11.00 | CTRL X 1.13797 | X 1.12649 | Y 0.57176 | Z 0.25866 | TOTAL 1.29001 | error -1.05 % | MAD 0.23 % | CV 1.90 % | coh 87.8 % | dominant X | axis fraction 100.0 % | IN TARGET BAND</x:v>
      </x:c>
      <x:c r="C5112" t="str">
        <x:v>Pasted text(59).txt</x:v>
      </x:c>
    </x:row>
    <x:row r="5113">
      <x:c r="A5113" t="n">
        <x:v>1083</x:v>
      </x:c>
      <x:c r="B5113" s="58" t="str">
        <x:v>FINE | point 7 | DAC 11.25 | CTRL X 1.14291 | X 1.14140 | Y 0.58589 | Z 0.25786 | TOTAL 1.30871 | error -0.62 % | MAD 1.07 % | CV 0.93 % | coh 88.0 % | dominant X | axis fraction 100.0 % | IN TARGET BAND</x:v>
      </x:c>
      <x:c r="C5113" t="str">
        <x:v>Pasted text(59).txt</x:v>
      </x:c>
    </x:row>
    <x:row r="5114">
      <x:c r="A5114" t="n">
        <x:v>1084</x:v>
      </x:c>
      <x:c r="B5114" s="58" t="str">
        <x:v>FINE | point 8 | DAC 11.50 | CTRL X 1.16827 | X 1.17018 | Y 0.59185 | Z 0.26982 | TOTAL 1.33881 | error 1.59 % | MAD 0.09 % | CV 0.34 % | coh 89.1 % | dominant X | axis fraction 100.0 % | IN TARGET BAND</x:v>
      </x:c>
      <x:c r="C5114" t="str">
        <x:v>Pasted text(59).txt</x:v>
      </x:c>
    </x:row>
    <x:row r="5115">
      <x:c r="A5115" t="n">
        <x:v>1085</x:v>
      </x:c>
      <x:c r="B5115" s="58" t="str">
        <x:v>FINE | point 9 | DAC 11.75 | CTRL X 1.18940 | X 1.18707 | Y 0.60754 | Z 0.29138 | TOTAL 1.36574 | error 3.43 % | MAD 3.30 % | CV 2.53 % | coh 86.5 % | dominant X | axis fraction 100.0 % | IN TARGET BAND</x:v>
      </x:c>
      <x:c r="C5115" t="str">
        <x:v>Pasted text(59).txt</x:v>
      </x:c>
    </x:row>
    <x:row r="5116">
      <x:c r="A5116" t="n">
        <x:v>1086</x:v>
      </x:c>
      <x:c r="B5116" s="58" t="str"/>
      <x:c r="C5116" t="str">
        <x:v>Pasted text(59).txt</x:v>
      </x:c>
    </x:row>
    <x:row r="5117">
      <x:c r="A5117" t="n">
        <x:v>1087</x:v>
      </x:c>
      <x:c r="B5117" s="58" t="str">
        <x:v>LONG VALIDATION AT FIXED DAC 11.50</x:v>
      </x:c>
      <x:c r="C5117" t="str">
        <x:v>Pasted text(59).txt</x:v>
      </x:c>
    </x:row>
    <x:row r="5118">
      <x:c r="A5118" t="n">
        <x:v>1088</x:v>
      </x:c>
      <x:c r="B5118" s="58" t="str">
        <x:v>FINAL | point 1 | DAC 11.50 | CTRL X 1.14557 | X 1.14983 | Y 0.59346 | Z 0.27405 | TOTAL 1.32303 | error -0.39 % | MAD 2.21 % | CV 1.57 % | coh 89.3 % | dominant X | axis fraction 100.0 % | IN TARGET BAND</x:v>
      </x:c>
      <x:c r="C5118" t="str">
        <x:v>Pasted text(59).txt</x:v>
      </x:c>
    </x:row>
    <x:row r="5119">
      <x:c r="A5119" t="n">
        <x:v>1089</x:v>
      </x:c>
      <x:c r="B5119" s="58" t="str">
        <x:v>FINAL | point 2 | DAC 11.50 | CTRL X 1.16580 | X 1.16558 | Y 0.57675 | Z 0.26153 | TOTAL 1.32681 | error 1.37 % | MAD 0.86 % | CV 0.83 % | coh 89.8 % | dominant X | axis fraction 100.0 % | IN TARGET BAND</x:v>
      </x:c>
      <x:c r="C5119" t="str">
        <x:v>Pasted text(59).txt</x:v>
      </x:c>
    </x:row>
    <x:row r="5120">
      <x:c r="A5120" t="n">
        <x:v>1090</x:v>
      </x:c>
      <x:c r="B5120" s="58" t="str">
        <x:v>VALIDATION ACCEPTED | pair drift 1.75 %</x:v>
      </x:c>
      <x:c r="C5120" t="str">
        <x:v>Pasted text(59).txt</x:v>
      </x:c>
    </x:row>
    <x:row r="5121">
      <x:c r="A5121" t="n">
        <x:v>1091</x:v>
      </x:c>
      <x:c r="B5121" s="58" t="str"/>
      <x:c r="C5121" t="str">
        <x:v>Pasted text(59).txt</x:v>
      </x:c>
    </x:row>
    <x:row r="5122">
      <x:c r="A5122" t="n">
        <x:v>1092</x:v>
      </x:c>
      <x:c r="B5122" s="58" t="str">
        <x:v>FINAL VALIDATED BLIND FFT VERIFICATION</x:v>
      </x:c>
      <x:c r="C5122" t="str">
        <x:v>Pasted text(59).txt</x:v>
      </x:c>
    </x:row>
    <x:row r="5123">
      <x:c r="A5123" t="n">
        <x:v>1093</x:v>
      </x:c>
      <x:c r="B5123" s="58" t="str">
        <x:v>Commanded frequency: 272.00000 Hz</x:v>
      </x:c>
      <x:c r="C5123" t="str">
        <x:v>Pasted text(59).txt</x:v>
      </x:c>
    </x:row>
    <x:row r="5124">
      <x:c r="A5124" t="n">
        <x:v>1094</x:v>
      </x:c>
      <x:c r="B5124" s="58" t="str">
        <x:v>Accepted DAC: 11.50</x:v>
      </x:c>
      <x:c r="C5124" t="str">
        <x:v>Pasted text(59).txt</x:v>
      </x:c>
    </x:row>
    <x:row r="5125">
      <x:c r="A5125" t="n">
        <x:v>1095</x:v>
      </x:c>
      <x:c r="B5125" s="58" t="str">
        <x:v>Axis,Frequency_Hz,Amplitude_mps2,SNR_dB,Status</x:v>
      </x:c>
      <x:c r="C5125" t="str">
        <x:v>Pasted text(59).txt</x:v>
      </x:c>
    </x:row>
    <x:row r="5126">
      <x:c r="A5126" t="n">
        <x:v>1096</x:v>
      </x:c>
      <x:c r="B5126" s="58" t="str">
        <x:v>X,271.96041,1.15237,32.59,VALID</x:v>
      </x:c>
      <x:c r="C5126" t="str">
        <x:v>Pasted text(59).txt</x:v>
      </x:c>
    </x:row>
    <x:row r="5127">
      <x:c r="A5127" t="n">
        <x:v>1097</x:v>
      </x:c>
      <x:c r="B5127" s="58" t="str">
        <x:v>Y,271.96282,0.58928,25.27,VALID</x:v>
      </x:c>
      <x:c r="C5127" t="str">
        <x:v>Pasted text(59).txt</x:v>
      </x:c>
    </x:row>
    <x:row r="5128">
      <x:c r="A5128" t="n">
        <x:v>1098</x:v>
      </x:c>
      <x:c r="B5128" s="58" t="str">
        <x:v>Z,271.93898,0.28041,23.41,VALID</x:v>
      </x:c>
      <x:c r="C5128" t="str">
        <x:v>Pasted text(59).txt</x:v>
      </x:c>
    </x:row>
    <x:row r="5129">
      <x:c r="A5129" t="n">
        <x:v>1099</x:v>
      </x:c>
      <x:c r="B5129" s="58" t="str">
        <x:v>Combined frequency: 271.95992 Hz | difference -0.04008 Hz</x:v>
      </x:c>
      <x:c r="C5129" t="str">
        <x:v>Pasted text(59).txt</x:v>
      </x:c>
    </x:row>
    <x:row r="5130">
      <x:c r="A5130" t="n">
        <x:v>1100</x:v>
      </x:c>
      <x:c r="B5130" s="58" t="str">
        <x:v>Combined X/Y/Z/TOTAL: 1.15041 / 0.58822 / 0.28014 / 1.32209</x:v>
      </x:c>
      <x:c r="C5130" t="str">
        <x:v>Pasted text(59).txt</x:v>
      </x:c>
    </x:row>
    <x:row r="5131">
      <x:c r="A5131" t="n">
        <x:v>1101</x:v>
      </x:c>
      <x:c r="B5131" s="58" t="str">
        <x:v>SNR: 29.18 dB | dominant axis X</x:v>
      </x:c>
      <x:c r="C5131" t="str">
        <x:v>Pasted text(59).txt</x:v>
      </x:c>
    </x:row>
    <x:row r="5132">
      <x:c r="A5132" t="n">
        <x:v>1102</x:v>
      </x:c>
      <x:c r="B5132" s="58" t="str">
        <x:v>Frequency verification: PASS</x:v>
      </x:c>
      <x:c r="C5132" t="str">
        <x:v>Pasted text(59).txt</x:v>
      </x:c>
    </x:row>
    <x:row r="5133">
      <x:c r="A5133" t="n">
        <x:v>1103</x:v>
      </x:c>
      <x:c r="B5133" s="58" t="str">
        <x:v>Y/Z dominance: DIAGNOSTIC ONLY — ignored for pass/fail</x:v>
      </x:c>
      <x:c r="C5133" t="str">
        <x:v>Pasted text(59).txt</x:v>
      </x:c>
    </x:row>
    <x:row r="5134">
      <x:c r="A5134" t="n">
        <x:v>1104</x:v>
      </x:c>
      <x:c r="B5134" s="58" t="str"/>
      <x:c r="C5134" t="str">
        <x:v>Pasted text(59).txt</x:v>
      </x:c>
    </x:row>
    <x:row r="5135">
      <x:c r="A5135" t="n">
        <x:v>1105</x:v>
      </x:c>
      <x:c r="B5135" s="58" t="str">
        <x:v>FIXED-DAC HOLD VALIDATION</x:v>
      </x:c>
      <x:c r="C5135" t="str">
        <x:v>Pasted text(59).txt</x:v>
      </x:c>
    </x:row>
    <x:row r="5136">
      <x:c r="A5136" t="n">
        <x:v>1106</x:v>
      </x:c>
      <x:c r="B5136" s="58" t="str">
        <x:v>DAC remains fixed at 11.50 for 10 records.</x:v>
      </x:c>
      <x:c r="C5136" t="str">
        <x:v>Pasted text(59).txt</x:v>
      </x:c>
    </x:row>
    <x:row r="5137">
      <x:c r="A5137" t="n">
        <x:v>1107</x:v>
      </x:c>
      <x:c r="B5137" s="58" t="str">
        <x:v>HOLD | point 1 | DAC 11.50 | CTRL X 1.16325 | X 1.16189 | Y 0.58485 | Z 0.29039 | TOTAL 1.33303 | error 1.15 % | MAD 3.13 % | CV 2.29 % | coh 90.0 % | dominant X | axis fraction 100.0 % | IN TARGET BAND</x:v>
      </x:c>
      <x:c r="C5137" t="str">
        <x:v>Pasted text(59).txt</x:v>
      </x:c>
    </x:row>
    <x:row r="5138">
      <x:c r="A5138" t="n">
        <x:v>1108</x:v>
      </x:c>
      <x:c r="B5138" s="58" t="str">
        <x:v>HOLD | point 2 | DAC 11.50 | CTRL X 1.15629 | X 1.15172 | Y 0.60742 | Z 0.27763 | TOTAL 1.33144 | error 0.55 % | MAD 0.47 % | CV 0.97 % | coh 89.0 % | dominant X | axis fraction 100.0 % | IN TARGET BAND</x:v>
      </x:c>
      <x:c r="C5138" t="str">
        <x:v>Pasted text(59).txt</x:v>
      </x:c>
    </x:row>
    <x:row r="5139">
      <x:c r="A5139" t="n">
        <x:v>1109</x:v>
      </x:c>
      <x:c r="B5139" s="58" t="str">
        <x:v>HOLD | point 3 | DAC 11.50 | CTRL X 1.17549 | X 1.17568 | Y 0.59275 | Z 0.26356 | TOTAL 1.34323 | error 2.22 % | MAD 0.29 % | CV 0.22 % | coh 91.3 % | dominant X | axis fraction 100.0 % | IN TARGET BAND</x:v>
      </x:c>
      <x:c r="C5139" t="str">
        <x:v>Pasted text(59).txt</x:v>
      </x:c>
    </x:row>
    <x:row r="5140">
      <x:c r="A5140" t="n">
        <x:v>1110</x:v>
      </x:c>
      <x:c r="B5140" s="58" t="str">
        <x:v>HOLD | point 4 | DAC 11.50 | CTRL X 1.15717 | X 1.16601 | Y 0.59007 | Z 0.28869 | TOTAL 1.33853 | error 0.62 % | MAD 0.60 % | CV 1.67 % | coh 89.6 % | dominant X | axis fraction 100.0 % | IN TARGET BAND</x:v>
      </x:c>
      <x:c r="C5140" t="str">
        <x:v>Pasted text(59).txt</x:v>
      </x:c>
    </x:row>
    <x:row r="5141">
      <x:c r="A5141" t="n">
        <x:v>1111</x:v>
      </x:c>
      <x:c r="B5141" s="58" t="str">
        <x:v>HOLD | point 5 | DAC 11.50 | CTRL X 1.14425 | X 1.15080 | Y 0.60196 | Z 0.24847 | TOTAL 1.32248 | error -0.50 % | MAD 1.40 % | CV 1.86 % | coh 88.7 % | dominant X | axis fraction 100.0 % | IN TARGET BAND</x:v>
      </x:c>
      <x:c r="C5141" t="str">
        <x:v>Pasted text(59).txt</x:v>
      </x:c>
    </x:row>
    <x:row r="5142">
      <x:c r="A5142" t="n">
        <x:v>1112</x:v>
      </x:c>
      <x:c r="B5142" s="58" t="str">
        <x:v>HOLD | point 6 | DAC 11.50 | CTRL X 1.15795 | X 1.15791 | Y 0.58197 | Z 0.26920 | TOTAL 1.32364 | error 0.69 % | MAD 0.81 % | CV 0.55 % | coh 89.0 % | dominant X | axis fraction 100.0 % | IN TARGET BAND</x:v>
      </x:c>
      <x:c r="C5142" t="str">
        <x:v>Pasted text(59).txt</x:v>
      </x:c>
    </x:row>
    <x:row r="5143">
      <x:c r="A5143" t="n">
        <x:v>1113</x:v>
      </x:c>
      <x:c r="B5143" s="58" t="str">
        <x:v>HOLD | point 7 | DAC 11.50 | CTRL X 1.15545 | X 1.15418 | Y 0.59217 | Z 0.27193 | TOTAL 1.32559 | error 0.47 % | MAD 1.13 % | CV 0.93 % | coh 89.2 % | dominant X | axis fraction 100.0 % | IN TARGET BAND</x:v>
      </x:c>
      <x:c r="C5143" t="str">
        <x:v>Pasted text(59).txt</x:v>
      </x:c>
    </x:row>
    <x:row r="5144">
      <x:c r="A5144" t="n">
        <x:v>1114</x:v>
      </x:c>
      <x:c r="B5144" s="58" t="str">
        <x:v>HOLD | point 8 | DAC 11.50 | CTRL X 1.17657 | X 1.18207 | Y 0.59450 | Z 0.26026 | TOTAL 1.34867 | error 2.31 % | MAD 1.34 % | CV 1.65 % | coh 89.3 % | dominant X | axis fraction 100.0 % | IN TARGET BAND</x:v>
      </x:c>
      <x:c r="C5144" t="str">
        <x:v>Pasted text(59).txt</x:v>
      </x:c>
    </x:row>
    <x:row r="5145">
      <x:c r="A5145" t="n">
        <x:v>1115</x:v>
      </x:c>
      <x:c r="B5145" s="58" t="str">
        <x:v>HOLD | point 9 | DAC 11.50 | CTRL X 1.15888 | X 1.16363 | Y 0.60748 | Z 0.27409 | TOTAL 1.34115 | error 0.77 % | MAD 0.55 % | CV 1.05 % | coh 88.8 % | dominant X | axis fraction 100.0 % | IN TARGET BAND</x:v>
      </x:c>
      <x:c r="C5145" t="str">
        <x:v>Pasted text(59).txt</x:v>
      </x:c>
    </x:row>
    <x:row r="5146">
      <x:c r="A5146" t="n">
        <x:v>1116</x:v>
      </x:c>
      <x:c r="B5146" s="58" t="str">
        <x:v>HOLD | point 10 | DAC 11.50 | CTRL X 1.16590 | X 1.17185 | Y 0.60048 | Z 0.27270 | TOTAL 1.34506 | error 1.38 % | MAD 1.84 % | CV 2.04 % | coh 89.5 % | dominant X | axis fraction 100.0 % | IN TARGET BAND</x:v>
      </x:c>
      <x:c r="C5146" t="str">
        <x:v>Pasted text(59).txt</x:v>
      </x:c>
    </x:row>
    <x:row r="5147">
      <x:c r="A5147" t="n">
        <x:v>1117</x:v>
      </x:c>
      <x:c r="B5147" s="58" t="str"/>
      <x:c r="C5147" t="str">
        <x:v>Pasted text(59).txt</x:v>
      </x:c>
    </x:row>
    <x:row r="5148">
      <x:c r="A5148" t="n">
        <x:v>1118</x:v>
      </x:c>
      <x:c r="B5148" s="58" t="str">
        <x:v>HOLD SUMMARY</x:v>
      </x:c>
      <x:c r="C5148" t="str">
        <x:v>Pasted text(59).txt</x:v>
      </x:c>
    </x:row>
    <x:row r="5149">
      <x:c r="A5149" t="n">
        <x:v>1119</x:v>
      </x:c>
      <x:c r="B5149" s="58" t="str">
        <x:v>Valid / requested: 10 / 10</x:v>
      </x:c>
      <x:c r="C5149" t="str">
        <x:v>Pasted text(59).txt</x:v>
      </x:c>
    </x:row>
    <x:row r="5150">
      <x:c r="A5150" t="n">
        <x:v>1120</x:v>
      </x:c>
      <x:c r="B5150" s="58" t="str">
        <x:v>In band / requested: 10 / 10 = 100.0 %</x:v>
      </x:c>
      <x:c r="C5150" t="str">
        <x:v>Pasted text(59).txt</x:v>
      </x:c>
    </x:row>
    <x:row r="5151">
      <x:c r="A5151" t="n">
        <x:v>1121</x:v>
      </x:c>
      <x:c r="B5151" s="58" t="str">
        <x:v>Mean / SD / CV: 1.16112 / 0.00968 / 0.83 %</x:v>
      </x:c>
      <x:c r="C5151" t="str">
        <x:v>Pasted text(59).txt</x:v>
      </x:c>
    </x:row>
    <x:row r="5152">
      <x:c r="A5152" t="n">
        <x:v>1122</x:v>
      </x:c>
      <x:c r="B5152" s="58" t="str">
        <x:v>Min / Max: 1.14425 / 1.17657</x:v>
      </x:c>
      <x:c r="C5152" t="str">
        <x:v>Pasted text(59).txt</x:v>
      </x:c>
    </x:row>
    <x:row r="5153">
      <x:c r="A5153" t="n">
        <x:v>1123</x:v>
      </x:c>
      <x:c r="B5153" s="58" t="str">
        <x:v>HOLD RESULT: PASS</x:v>
      </x:c>
      <x:c r="C5153" t="str">
        <x:v>Pasted text(59).txt</x:v>
      </x:c>
    </x:row>
    <x:row r="5154">
      <x:c r="A5154" t="n">
        <x:v>1124</x:v>
      </x:c>
      <x:c r="B5154" s="58" t="str"/>
      <x:c r="C5154" t="str">
        <x:v>Pasted text(59).txt</x:v>
      </x:c>
    </x:row>
    <x:row r="5155">
      <x:c r="A5155" t="n">
        <x:v>1125</x:v>
      </x:c>
      <x:c r="B5155" s="58" t="str">
        <x:v>RUN RESULT: PASS</x:v>
      </x:c>
      <x:c r="C5155" t="str">
        <x:v>Pasted text(59).txt</x:v>
      </x:c>
    </x:row>
    <x:row r="5156">
      <x:c r="A5156" t="n">
        <x:v>1126</x:v>
      </x:c>
      <x:c r="B5156" s="58" t="str">
        <x:v>Selected DAC: 11.50</x:v>
      </x:c>
      <x:c r="C5156" t="str">
        <x:v>Pasted text(59).txt</x:v>
      </x:c>
    </x:row>
    <x:row r="5157">
      <x:c r="A5157" t="n">
        <x:v>1127</x:v>
      </x:c>
      <x:c r="B5157" s="58" t="str">
        <x:v>Validated amplitude: 1.15568 m/s^2 | error 0.49 %</x:v>
      </x:c>
      <x:c r="C5157" t="str">
        <x:v>Pasted text(59).txt</x:v>
      </x:c>
    </x:row>
    <x:row r="5158">
      <x:c r="A5158" t="n">
        <x:v>1128</x:v>
      </x:c>
      <x:c r="B5158" s="58" t="str">
        <x:v>FFT frequency: 271.95992 Hz | difference -0.04008 Hz</x:v>
      </x:c>
      <x:c r="C5158" t="str">
        <x:v>Pasted text(59).txt</x:v>
      </x:c>
    </x:row>
    <x:row r="5159">
      <x:c r="A5159" t="n">
        <x:v>1129</x:v>
      </x:c>
      <x:c r="B5159" s="58" t="str"/>
      <x:c r="C5159" t="str">
        <x:v>Pasted text(59).txt</x:v>
      </x:c>
    </x:row>
    <x:row r="5160">
      <x:c r="A5160" t="n">
        <x:v>1130</x:v>
      </x:c>
      <x:c r="B5160" s="58" t="str">
        <x:v>VISATON OFF. RESTING 5.0 s BEFORE THE NEXT COMPLETELY FRESH RUN.</x:v>
      </x:c>
      <x:c r="C5160" t="str">
        <x:v>Pasted text(59).txt</x:v>
      </x:c>
    </x:row>
    <x:row r="5161">
      <x:c r="A5161" t="n">
        <x:v>1131</x:v>
      </x:c>
      <x:c r="B5161" s="58" t="str"/>
      <x:c r="C5161" t="str">
        <x:v>Pasted text(59).txt</x:v>
      </x:c>
    </x:row>
    <x:row r="5162">
      <x:c r="A5162" t="n">
        <x:v>1132</x:v>
      </x:c>
      <x:c r="B5162" s="58" t="str">
        <x:v>################################################################################</x:v>
      </x:c>
      <x:c r="C5162" t="str">
        <x:v>Pasted text(59).txt</x:v>
      </x:c>
    </x:row>
    <x:row r="5163">
      <x:c r="A5163" t="n">
        <x:v>1133</x:v>
      </x:c>
      <x:c r="B5163" s="58" t="str">
        <x:v>INDEPENDENT TARGET-AMPLITUDE RUN 3 OF 5</x:v>
      </x:c>
      <x:c r="C5163" t="str">
        <x:v>Pasted text(59).txt</x:v>
      </x:c>
    </x:row>
    <x:row r="5164">
      <x:c r="A5164" t="n">
        <x:v>1134</x:v>
      </x:c>
      <x:c r="B5164" s="58" t="str">
        <x:v>################################################################################</x:v>
      </x:c>
      <x:c r="C5164" t="str">
        <x:v>Pasted text(59).txt</x:v>
      </x:c>
    </x:row>
    <x:row r="5165">
      <x:c r="A5165" t="n">
        <x:v>1135</x:v>
      </x:c>
      <x:c r="B5165" s="58" t="str">
        <x:v>Frequency: 272.00000 Hz</x:v>
      </x:c>
      <x:c r="C5165" t="str">
        <x:v>Pasted text(59).txt</x:v>
      </x:c>
    </x:row>
    <x:row r="5166">
      <x:c r="A5166" t="n">
        <x:v>1136</x:v>
      </x:c>
      <x:c r="B5166" s="58" t="str">
        <x:v>Target X amplitude: 1.15000 m/s^2 peak, tolerance +/-7.50 %</x:v>
      </x:c>
      <x:c r="C5166" t="str">
        <x:v>Pasted text(59).txt</x:v>
      </x:c>
    </x:row>
    <x:row r="5167">
      <x:c r="A5167" t="n">
        <x:v>1137</x:v>
      </x:c>
      <x:c r="B5167" s="58" t="str">
        <x:v>This run starts from DAC 1.00 and ignores every earlier selected DAC.</x:v>
      </x:c>
      <x:c r="C5167" t="str">
        <x:v>Pasted text(59).txt</x:v>
      </x:c>
    </x:row>
    <x:row r="5168">
      <x:c r="A5168" t="n">
        <x:v>1138</x:v>
      </x:c>
      <x:c r="B5168" s="58" t="str">
        <x:v>ADXL2 DEVID/DATA_FORMAT/BW_RATE/POWER_CTL: 0xE5 / 0xB / 0xE / 0x8</x:v>
      </x:c>
      <x:c r="C5168" t="str">
        <x:v>Pasted text(59).txt</x:v>
      </x:c>
    </x:row>
    <x:row r="5169">
      <x:c r="A5169" t="n">
        <x:v>1139</x:v>
      </x:c>
      <x:c r="B5169" s="58" t="str"/>
      <x:c r="C5169" t="str">
        <x:v>Pasted text(59).txt</x:v>
      </x:c>
    </x:row>
    <x:row r="5170">
      <x:c r="A5170" t="n">
        <x:v>1140</x:v>
      </x:c>
      <x:c r="B5170" s="58" t="str">
        <x:v>ACQUISITION ATTEMPT 1 OF 2</x:v>
      </x:c>
      <x:c r="C5170" t="str">
        <x:v>Pasted text(59).txt</x:v>
      </x:c>
    </x:row>
    <x:row r="5171">
      <x:c r="A5171" t="n">
        <x:v>1141</x:v>
      </x:c>
      <x:c r="B5171" s="58" t="str"/>
      <x:c r="C5171" t="str">
        <x:v>Pasted text(59).txt</x:v>
      </x:c>
    </x:row>
    <x:row r="5172">
      <x:c r="A5172" t="n">
        <x:v>1142</x:v>
      </x:c>
      <x:c r="B5172" s="58" t="str">
        <x:v>FRESH X-AXIS SEARCH FROM DAC 1.00 — OLD DAC VALUES ARE NOT USED</x:v>
      </x:c>
      <x:c r="C5172" t="str">
        <x:v>Pasted text(59).txt</x:v>
      </x:c>
    </x:row>
    <x:row r="5173">
      <x:c r="A5173" t="n">
        <x:v>1143</x:v>
      </x:c>
      <x:c r="B5173" s="58" t="str">
        <x:v>Y/Z are diagnostic only and cannot abort this search.</x:v>
      </x:c>
      <x:c r="C5173" t="str">
        <x:v>Pasted text(59).txt</x:v>
      </x:c>
    </x:row>
    <x:row r="5174">
      <x:c r="A5174" t="n">
        <x:v>1144</x:v>
      </x:c>
      <x:c r="B5174" s="58" t="str">
        <x:v>A real SPI fault, clipping, safety limit or confirmed X-response collapse will stop it.</x:v>
      </x:c>
      <x:c r="C5174" t="str">
        <x:v>Pasted text(59).txt</x:v>
      </x:c>
    </x:row>
    <x:row r="5175">
      <x:c r="A5175" t="n">
        <x:v>1145</x:v>
      </x:c>
      <x:c r="B5175" s="58" t="str">
        <x:v>SEARCH | point 1 | DAC 1.00 | CTRL X 0.02440 | X 0.02204 | Y 0.00950 | Z 0.01400 | TOTAL 0.02827 | error -97.88 % | MAD 28.71 % | CV 15.16 % | coh 6.7 % | dominant X | axis fraction 100.0 % | BELOW MEASUREMENT FLOOR — SEARCH CONTINUES</x:v>
      </x:c>
      <x:c r="C5175" t="str">
        <x:v>Pasted text(59).txt</x:v>
      </x:c>
    </x:row>
    <x:row r="5176">
      <x:c r="A5176" t="n">
        <x:v>1146</x:v>
      </x:c>
      <x:c r="B5176" s="58" t="str">
        <x:v>SEARCH | point 2 | DAC 3.00 | CTRL X 0.19056 | X 0.18345 | Y 0.09441 | Z 0.03570 | TOTAL 0.21067 | error -83.43 % | MAD 4.31 % | CV 9.44 % | coh 26.8 % | dominant X | axis fraction 100.0 % | UNSTABLE — SEARCH CONTINUES</x:v>
      </x:c>
      <x:c r="C5176" t="str">
        <x:v>Pasted text(59).txt</x:v>
      </x:c>
    </x:row>
    <x:row r="5177">
      <x:c r="A5177" t="n">
        <x:v>1147</x:v>
      </x:c>
      <x:c r="B5177" s="58" t="str">
        <x:v>SEARCH | point 3 | DAC 5.00 | CTRL X 0.41955 | X 0.41921 | Y 0.18581 | Z 0.16162 | TOTAL 0.48700 | error -63.52 % | MAD 4.84 % | CV 3.39 % | coh 56.7 % | dominant X | axis fraction 100.0 % | VALID</x:v>
      </x:c>
      <x:c r="C5177" t="str">
        <x:v>Pasted text(59).txt</x:v>
      </x:c>
    </x:row>
    <x:row r="5178">
      <x:c r="A5178" t="n">
        <x:v>1148</x:v>
      </x:c>
      <x:c r="B5178" s="58" t="str">
        <x:v>SEARCH | point 4 | DAC 6.00 | CTRL X 0.51734 | X 0.52844 | Y 0.24170 | Z 0.15234 | TOTAL 0.60146 | error -55.01 % | MAD 2.13 % | CV 4.91 % | coh 65.4 % | dominant X | axis fraction 100.0 % | VALID</x:v>
      </x:c>
      <x:c r="C5178" t="str">
        <x:v>Pasted text(59).txt</x:v>
      </x:c>
    </x:row>
    <x:row r="5179">
      <x:c r="A5179" t="n">
        <x:v>1149</x:v>
      </x:c>
      <x:c r="B5179" s="58" t="str">
        <x:v>SEARCH | point 5 | DAC 7.00 | CTRL X 0.65731 | X 0.65959 | Y 0.33780 | Z 0.18706 | TOTAL 0.76480 | error -42.84 % | MAD 0.08 % | CV 0.65 % | coh 74.4 % | dominant X | axis fraction 100.0 % | VALID</x:v>
      </x:c>
      <x:c r="C5179" t="str">
        <x:v>Pasted text(59).txt</x:v>
      </x:c>
    </x:row>
    <x:row r="5180">
      <x:c r="A5180" t="n">
        <x:v>1150</x:v>
      </x:c>
      <x:c r="B5180" s="58" t="str">
        <x:v>SEARCH | point 6 | DAC 8.00 | CTRL X 0.76170 | X 0.77405 | Y 0.37732 | Z 0.17488 | TOTAL 0.87894 | error -33.76 % | MAD 0.27 % | CV 2.92 % | coh 79.8 % | dominant X | axis fraction 100.0 % | VALID</x:v>
      </x:c>
      <x:c r="C5180" t="str">
        <x:v>Pasted text(59).txt</x:v>
      </x:c>
    </x:row>
    <x:row r="5181">
      <x:c r="A5181" t="n">
        <x:v>1151</x:v>
      </x:c>
      <x:c r="B5181" s="58" t="str">
        <x:v>SEARCH | point 7 | DAC 8.50 | CTRL X 0.78795 | X 0.78938 | Y 0.41870 | Z 0.18695 | TOTAL 0.91332 | error -31.48 % | MAD 0.46 % | CV 0.60 % | coh 82.5 % | dominant X | axis fraction 100.0 % | VALID</x:v>
      </x:c>
      <x:c r="C5181" t="str">
        <x:v>Pasted text(59).txt</x:v>
      </x:c>
    </x:row>
    <x:row r="5182">
      <x:c r="A5182" t="n">
        <x:v>1152</x:v>
      </x:c>
      <x:c r="B5182" s="58" t="str">
        <x:v>SEARCH | point 8 | DAC 9.00 | CTRL X 0.88864 | X 0.88785 | Y 0.46943 | Z 0.18471 | TOTAL 1.02126 | error -22.73 % | MAD 0.27 % | CV 0.32 % | coh 80.9 % | dominant X | axis fraction 100.0 % | VALID</x:v>
      </x:c>
      <x:c r="C5182" t="str">
        <x:v>Pasted text(59).txt</x:v>
      </x:c>
    </x:row>
    <x:row r="5183">
      <x:c r="A5183" t="n">
        <x:v>1153</x:v>
      </x:c>
      <x:c r="B5183" s="58" t="str">
        <x:v>SEARCH | point 9 | DAC 9.50 | CTRL X 0.91086 | X 0.91238 | Y 0.47911 | Z 0.20364 | TOTAL 1.05099 | error -20.80 % | MAD 1.33 % | CV 1.15 % | coh 84.4 % | dominant X | axis fraction 100.0 % | VALID</x:v>
      </x:c>
      <x:c r="C5183" t="str">
        <x:v>Pasted text(59).txt</x:v>
      </x:c>
    </x:row>
    <x:row r="5184">
      <x:c r="A5184" t="n">
        <x:v>1154</x:v>
      </x:c>
      <x:c r="B5184" s="58" t="str">
        <x:v>SEARCH | point 10 | DAC 10.00 | CTRL X 0.99230 | X 0.98716 | Y 0.51635 | Z 0.21057 | TOTAL 1.13419 | error -13.71 % | MAD 0.22 % | CV 1.04 % | coh 84.0 % | dominant X | axis fraction 100.0 % | VALID</x:v>
      </x:c>
      <x:c r="C5184" t="str">
        <x:v>Pasted text(59).txt</x:v>
      </x:c>
    </x:row>
    <x:row r="5185">
      <x:c r="A5185" t="n">
        <x:v>1155</x:v>
      </x:c>
      <x:c r="B5185" s="58" t="str">
        <x:v>SEARCH | point 11 | DAC 10.25 | CTRL X 1.01329 | X 1.01070 | Y 0.51442 | Z 0.25428 | TOTAL 1.16232 | error -11.89 % | MAD 0.14 % | CV 0.53 % | coh 85.5 % | dominant X | axis fraction 100.0 % | VALID</x:v>
      </x:c>
      <x:c r="C5185" t="str">
        <x:v>Pasted text(59).txt</x:v>
      </x:c>
    </x:row>
    <x:row r="5186">
      <x:c r="A5186" t="n">
        <x:v>1156</x:v>
      </x:c>
      <x:c r="B5186" s="58" t="str">
        <x:v>SEARCH | point 12 | DAC 10.50 | CTRL X 1.04878 | X 1.04754 | Y 0.55018 | Z 0.23736 | TOTAL 1.20708 | error -8.80 % | MAD 1.54 % | CV 1.22 % | coh 89.0 % | dominant X | axis fraction 100.0 % | VALID</x:v>
      </x:c>
      <x:c r="C5186" t="str">
        <x:v>Pasted text(59).txt</x:v>
      </x:c>
    </x:row>
    <x:row r="5187">
      <x:c r="A5187" t="n">
        <x:v>1157</x:v>
      </x:c>
      <x:c r="B5187" s="58" t="str">
        <x:v>SEARCH | point 13 | DAC 10.75 | CTRL X 1.07236 | X 1.07335 | Y 0.54184 | Z 0.22993 | TOTAL 1.22432 | error -6.75 % | MAD 1.95 % | CV 1.45 % | coh 85.6 % | dominant X | axis fraction 100.0 % | IN TARGET BAND</x:v>
      </x:c>
      <x:c r="C5187" t="str">
        <x:v>Pasted text(59).txt</x:v>
      </x:c>
    </x:row>
    <x:row r="5188">
      <x:c r="A5188" t="n">
        <x:v>1158</x:v>
      </x:c>
      <x:c r="B5188" s="58" t="str"/>
      <x:c r="C5188" t="str">
        <x:v>Pasted text(59).txt</x:v>
      </x:c>
    </x:row>
    <x:row r="5189">
      <x:c r="A5189" t="n">
        <x:v>1159</x:v>
      </x:c>
      <x:c r="B5189" s="58" t="str">
        <x:v>LOCAL 0.25-DAC X-AXIS FINE SCAN</x:v>
      </x:c>
      <x:c r="C5189" t="str">
        <x:v>Pasted text(59).txt</x:v>
      </x:c>
    </x:row>
    <x:row r="5190">
      <x:c r="A5190" t="n">
        <x:v>1160</x:v>
      </x:c>
      <x:c r="B5190" s="58" t="str">
        <x:v>Only a valid point actually inside the X target band may be selected.</x:v>
      </x:c>
      <x:c r="C5190" t="str">
        <x:v>Pasted text(59).txt</x:v>
      </x:c>
    </x:row>
    <x:row r="5191">
      <x:c r="A5191" t="n">
        <x:v>1161</x:v>
      </x:c>
      <x:c r="B5191" s="58" t="str">
        <x:v>FINE | point 1 | DAC 9.75 | CTRL X 0.99583 | X 0.98778 | Y 0.50205 | Z 0.26271 | TOTAL 1.13879 | error -13.41 % | MAD 0.18 % | CV 1.52 % | coh 84.2 % | dominant X | axis fraction 100.0 % | VALID</x:v>
      </x:c>
      <x:c r="C5191" t="str">
        <x:v>Pasted text(59).txt</x:v>
      </x:c>
    </x:row>
    <x:row r="5192">
      <x:c r="A5192" t="n">
        <x:v>1162</x:v>
      </x:c>
      <x:c r="B5192" s="58" t="str">
        <x:v>FINE | point 2 | DAC 10.00 | CTRL X 0.98816 | X 0.98986 | Y 0.51393 | Z 0.26336 | TOTAL 1.14619 | error -14.07 % | MAD 3.00 % | CV 2.29 % | coh 83.0 % | dominant X | axis fraction 100.0 % | VALID</x:v>
      </x:c>
      <x:c r="C5192" t="str">
        <x:v>Pasted text(59).txt</x:v>
      </x:c>
    </x:row>
    <x:row r="5193">
      <x:c r="A5193" t="n">
        <x:v>1163</x:v>
      </x:c>
      <x:c r="B5193" s="58" t="str">
        <x:v>FINE | point 3 | DAC 10.25 | CTRL X 1.00927 | X 1.00920 | Y 0.52439 | Z 0.22681 | TOTAL 1.16012 | error -12.24 % | MAD 0.98 % | CV 0.67 % | coh 84.9 % | dominant X | axis fraction 100.0 % | VALID</x:v>
      </x:c>
      <x:c r="C5193" t="str">
        <x:v>Pasted text(59).txt</x:v>
      </x:c>
    </x:row>
    <x:row r="5194">
      <x:c r="A5194" t="n">
        <x:v>1164</x:v>
      </x:c>
      <x:c r="B5194" s="58" t="str">
        <x:v>FINE | point 4 | DAC 10.50 | CTRL X 1.03950 | X 1.04644 | Y 0.55111 | Z 0.22987 | TOTAL 1.20498 | error -9.61 % | MAD 0.15 % | CV 1.24 % | coh 87.7 % | dominant X | axis fraction 100.0 % | VALID</x:v>
      </x:c>
      <x:c r="C5194" t="str">
        <x:v>Pasted text(59).txt</x:v>
      </x:c>
    </x:row>
    <x:row r="5195">
      <x:c r="A5195" t="n">
        <x:v>1165</x:v>
      </x:c>
      <x:c r="B5195" s="58" t="str">
        <x:v>FINE | point 5 | DAC 10.75 | CTRL X 1.09443 | X 1.08992 | Y 0.54650 | Z 0.23965 | TOTAL 1.24284 | error -4.83 % | MAD 0.59 % | CV 1.08 % | coh 85.6 % | dominant X | axis fraction 100.0 % | IN TARGET BAND</x:v>
      </x:c>
      <x:c r="C5195" t="str">
        <x:v>Pasted text(59).txt</x:v>
      </x:c>
    </x:row>
    <x:row r="5196">
      <x:c r="A5196" t="n">
        <x:v>1166</x:v>
      </x:c>
      <x:c r="B5196" s="58" t="str">
        <x:v>FINE | point 6 | DAC 11.00 | CTRL X 1.13926 | X 1.12407 | Y 0.57949 | Z 0.28375 | TOTAL 1.29626 | error -0.93 % | MAD 0.07 % | CV 2.38 % | coh 86.4 % | dominant X | axis fraction 100.0 % | IN TARGET BAND</x:v>
      </x:c>
      <x:c r="C5196" t="str">
        <x:v>Pasted text(59).txt</x:v>
      </x:c>
    </x:row>
    <x:row r="5197">
      <x:c r="A5197" t="n">
        <x:v>1167</x:v>
      </x:c>
      <x:c r="B5197" s="58" t="str">
        <x:v>FINE | point 7 | DAC 11.25 | CTRL X 1.16212 | X 1.15810 | Y 0.57866 | Z 0.23438 | TOTAL 1.31582 | error 1.05 % | MAD 0.48 % | CV 0.90 % | coh 87.8 % | dominant X | axis fraction 100.0 % | IN TARGET BAND</x:v>
      </x:c>
      <x:c r="C5197" t="str">
        <x:v>Pasted text(59).txt</x:v>
      </x:c>
    </x:row>
    <x:row r="5198">
      <x:c r="A5198" t="n">
        <x:v>1168</x:v>
      </x:c>
      <x:c r="B5198" s="58" t="str">
        <x:v>FINE | point 8 | DAC 11.50 | CTRL X 1.17854 | X 1.18339 | Y 0.60121 | Z 0.24971 | TOTAL 1.35072 | error 2.48 % | MAD 1.41 % | CV 1.60 % | coh 90.2 % | dominant X | axis fraction 100.0 % | IN TARGET BAND</x:v>
      </x:c>
      <x:c r="C5198" t="str">
        <x:v>Pasted text(59).txt</x:v>
      </x:c>
    </x:row>
    <x:row r="5199">
      <x:c r="A5199" t="n">
        <x:v>1169</x:v>
      </x:c>
      <x:c r="B5199" s="58" t="str">
        <x:v>FINE | point 9 | DAC 11.75 | CTRL X 1.20729 | X 1.20269 | Y 0.62322 | Z 0.26766 | TOTAL 1.38169 | error 4.98 % | MAD 2.23 % | CV 2.11 % | coh 86.2 % | dominant X | axis fraction 100.0 % | IN TARGET BAND</x:v>
      </x:c>
      <x:c r="C5199" t="str">
        <x:v>Pasted text(59).txt</x:v>
      </x:c>
    </x:row>
    <x:row r="5200">
      <x:c r="A5200" t="n">
        <x:v>1170</x:v>
      </x:c>
      <x:c r="B5200" s="58" t="str"/>
      <x:c r="C5200" t="str">
        <x:v>Pasted text(59).txt</x:v>
      </x:c>
    </x:row>
    <x:row r="5201">
      <x:c r="A5201" t="n">
        <x:v>1171</x:v>
      </x:c>
      <x:c r="B5201" s="58" t="str">
        <x:v>LONG VALIDATION AT FIXED DAC 11.25</x:v>
      </x:c>
      <x:c r="C5201" t="str">
        <x:v>Pasted text(59).txt</x:v>
      </x:c>
    </x:row>
    <x:row r="5202">
      <x:c r="A5202" t="n">
        <x:v>1172</x:v>
      </x:c>
      <x:c r="B5202" s="58" t="str">
        <x:v>FINAL | point 1 | DAC 11.25 | CTRL X 1.15810 | X 1.15925 | Y 0.58776 | Z 0.25205 | TOTAL 1.32422 | error 0.70 % | MAD 1.39 % | CV 1.00 % | coh 88.4 % | dominant X | axis fraction 100.0 % | IN TARGET BAND</x:v>
      </x:c>
      <x:c r="C5202" t="str">
        <x:v>Pasted text(59).txt</x:v>
      </x:c>
    </x:row>
    <x:row r="5203">
      <x:c r="A5203" t="n">
        <x:v>1173</x:v>
      </x:c>
      <x:c r="B5203" s="58" t="str">
        <x:v>FINAL | point 2 | DAC 11.25 | CTRL X 1.14261 | X 1.14874 | Y 0.59700 | Z 0.25438 | TOTAL 1.31973 | error -0.64 % | MAD 2.09 % | CV 1.99 % | coh 87.7 % | dominant X | axis fraction 100.0 % | IN TARGET BAND</x:v>
      </x:c>
      <x:c r="C5203" t="str">
        <x:v>Pasted text(59).txt</x:v>
      </x:c>
    </x:row>
    <x:row r="5204">
      <x:c r="A5204" t="n">
        <x:v>1174</x:v>
      </x:c>
      <x:c r="B5204" s="58" t="str">
        <x:v>VALIDATION ACCEPTED | pair drift 1.35 %</x:v>
      </x:c>
      <x:c r="C5204" t="str">
        <x:v>Pasted text(59).txt</x:v>
      </x:c>
    </x:row>
    <x:row r="5205">
      <x:c r="A5205" t="n">
        <x:v>1175</x:v>
      </x:c>
      <x:c r="B5205" s="58" t="str"/>
      <x:c r="C5205" t="str">
        <x:v>Pasted text(59).txt</x:v>
      </x:c>
    </x:row>
    <x:row r="5206">
      <x:c r="A5206" t="n">
        <x:v>1176</x:v>
      </x:c>
      <x:c r="B5206" s="58" t="str">
        <x:v>FINAL VALIDATED BLIND FFT VERIFICATION</x:v>
      </x:c>
      <x:c r="C5206" t="str">
        <x:v>Pasted text(59).txt</x:v>
      </x:c>
    </x:row>
    <x:row r="5207">
      <x:c r="A5207" t="n">
        <x:v>1177</x:v>
      </x:c>
      <x:c r="B5207" s="58" t="str">
        <x:v>Commanded frequency: 272.00000 Hz</x:v>
      </x:c>
      <x:c r="C5207" t="str">
        <x:v>Pasted text(59).txt</x:v>
      </x:c>
    </x:row>
    <x:row r="5208">
      <x:c r="A5208" t="n">
        <x:v>1178</x:v>
      </x:c>
      <x:c r="B5208" s="58" t="str">
        <x:v>Accepted DAC: 11.25</x:v>
      </x:c>
      <x:c r="C5208" t="str">
        <x:v>Pasted text(59).txt</x:v>
      </x:c>
    </x:row>
    <x:row r="5209">
      <x:c r="A5209" t="n">
        <x:v>1179</x:v>
      </x:c>
      <x:c r="B5209" s="58" t="str">
        <x:v>Axis,Frequency_Hz,Amplitude_mps2,SNR_dB,Status</x:v>
      </x:c>
      <x:c r="C5209" t="str">
        <x:v>Pasted text(59).txt</x:v>
      </x:c>
    </x:row>
    <x:row r="5210">
      <x:c r="A5210" t="n">
        <x:v>1180</x:v>
      </x:c>
      <x:c r="B5210" s="58" t="str">
        <x:v>X,271.93264,1.15414,32.33,VALID</x:v>
      </x:c>
      <x:c r="C5210" t="str">
        <x:v>Pasted text(59).txt</x:v>
      </x:c>
    </x:row>
    <x:row r="5211">
      <x:c r="A5211" t="n">
        <x:v>1181</x:v>
      </x:c>
      <x:c r="B5211" s="58" t="str">
        <x:v>Y,271.89134,0.57549,25.27,VALID</x:v>
      </x:c>
      <x:c r="C5211" t="str">
        <x:v>Pasted text(59).txt</x:v>
      </x:c>
    </x:row>
    <x:row r="5212">
      <x:c r="A5212" t="n">
        <x:v>1182</x:v>
      </x:c>
      <x:c r="B5212" s="58" t="str">
        <x:v>Z,271.97449,0.26679,22.95,VALID</x:v>
      </x:c>
      <x:c r="C5212" t="str">
        <x:v>Pasted text(59).txt</x:v>
      </x:c>
    </x:row>
    <x:row r="5213">
      <x:c r="A5213" t="n">
        <x:v>1183</x:v>
      </x:c>
      <x:c r="B5213" s="58" t="str">
        <x:v>Combined frequency: 271.92648 Hz | difference -0.07352 Hz</x:v>
      </x:c>
      <x:c r="C5213" t="str">
        <x:v>Pasted text(59).txt</x:v>
      </x:c>
    </x:row>
    <x:row r="5214">
      <x:c r="A5214" t="n">
        <x:v>1184</x:v>
      </x:c>
      <x:c r="B5214" s="58" t="str">
        <x:v>Combined X/Y/Z/TOTAL: 1.15324 / 0.57545 / 0.26619 / 1.31604</x:v>
      </x:c>
      <x:c r="C5214" t="str">
        <x:v>Pasted text(59).txt</x:v>
      </x:c>
    </x:row>
    <x:row r="5215">
      <x:c r="A5215" t="n">
        <x:v>1185</x:v>
      </x:c>
      <x:c r="B5215" s="58" t="str">
        <x:v>SNR: 29.12 dB | dominant axis X</x:v>
      </x:c>
      <x:c r="C5215" t="str">
        <x:v>Pasted text(59).txt</x:v>
      </x:c>
    </x:row>
    <x:row r="5216">
      <x:c r="A5216" t="n">
        <x:v>1186</x:v>
      </x:c>
      <x:c r="B5216" s="58" t="str">
        <x:v>Frequency verification: PASS</x:v>
      </x:c>
      <x:c r="C5216" t="str">
        <x:v>Pasted text(59).txt</x:v>
      </x:c>
    </x:row>
    <x:row r="5217">
      <x:c r="A5217" t="n">
        <x:v>1187</x:v>
      </x:c>
      <x:c r="B5217" s="58" t="str">
        <x:v>Y/Z dominance: DIAGNOSTIC ONLY — ignored for pass/fail</x:v>
      </x:c>
      <x:c r="C5217" t="str">
        <x:v>Pasted text(59).txt</x:v>
      </x:c>
    </x:row>
    <x:row r="5218">
      <x:c r="A5218" t="n">
        <x:v>1188</x:v>
      </x:c>
      <x:c r="B5218" s="58" t="str"/>
      <x:c r="C5218" t="str">
        <x:v>Pasted text(59).txt</x:v>
      </x:c>
    </x:row>
    <x:row r="5219">
      <x:c r="A5219" t="n">
        <x:v>1189</x:v>
      </x:c>
      <x:c r="B5219" s="58" t="str">
        <x:v>FIXED-DAC HOLD VALIDATION</x:v>
      </x:c>
      <x:c r="C5219" t="str">
        <x:v>Pasted text(59).txt</x:v>
      </x:c>
    </x:row>
    <x:row r="5220">
      <x:c r="A5220" t="n">
        <x:v>1190</x:v>
      </x:c>
      <x:c r="B5220" s="58" t="str">
        <x:v>DAC remains fixed at 11.25 for 10 records.</x:v>
      </x:c>
      <x:c r="C5220" t="str">
        <x:v>Pasted text(59).txt</x:v>
      </x:c>
    </x:row>
    <x:row r="5221">
      <x:c r="A5221" t="n">
        <x:v>1191</x:v>
      </x:c>
      <x:c r="B5221" s="58" t="str">
        <x:v>HOLD | point 1 | DAC 11.25 | CTRL X 1.13576 | X 1.12532 | Y 0.52486 | Z 0.29449 | TOTAL 1.27645 | error -1.24 % | MAD 1.50 % | CV 2.54 % | coh 87.0 % | dominant X | axis fraction 100.0 % | IN TARGET BAND</x:v>
      </x:c>
      <x:c r="C5221" t="str">
        <x:v>Pasted text(59).txt</x:v>
      </x:c>
    </x:row>
    <x:row r="5222">
      <x:c r="A5222" t="n">
        <x:v>1192</x:v>
      </x:c>
      <x:c r="B5222" s="58" t="str">
        <x:v>HOLD | point 2 | DAC 11.25 | CTRL X 1.15291 | X 1.15054 | Y 0.48639 | Z 0.31195 | TOTAL 1.28768 | error 0.25 % | MAD 2.21 % | CV 1.81 % | coh 88.6 % | dominant X | axis fraction 100.0 % | IN TARGET BAND</x:v>
      </x:c>
      <x:c r="C5222" t="str">
        <x:v>Pasted text(59).txt</x:v>
      </x:c>
    </x:row>
    <x:row r="5223">
      <x:c r="A5223" t="n">
        <x:v>1193</x:v>
      </x:c>
      <x:c r="B5223" s="58" t="str">
        <x:v>HOLD | point 3 | DAC 11.25 | CTRL X 1.13169 | X 1.13761 | Y 0.49892 | Z 0.30030 | TOTAL 1.27839 | error -1.59 % | MAD 2.14 % | CV 2.26 % | coh 87.4 % | dominant X | axis fraction 100.0 % | IN TARGET BAND</x:v>
      </x:c>
      <x:c r="C5223" t="str">
        <x:v>Pasted text(59).txt</x:v>
      </x:c>
    </x:row>
    <x:row r="5224">
      <x:c r="A5224" t="n">
        <x:v>1194</x:v>
      </x:c>
      <x:c r="B5224" s="58" t="str">
        <x:v>HOLD | point 4 | DAC 11.25 | CTRL X 1.12785 | X 1.13133 | Y 0.48773 | Z 0.30523 | TOTAL 1.26943 | error -1.93 % | MAD 0.18 % | CV 0.64 % | coh 87.7 % | dominant X | axis fraction 100.0 % | IN TARGET BAND</x:v>
      </x:c>
      <x:c r="C5224" t="str">
        <x:v>Pasted text(59).txt</x:v>
      </x:c>
    </x:row>
    <x:row r="5225">
      <x:c r="A5225" t="n">
        <x:v>1195</x:v>
      </x:c>
      <x:c r="B5225" s="58" t="str">
        <x:v>HOLD | point 5 | DAC 11.25 | CTRL X 1.12593 | X 1.12455 | Y 0.48852 | Z 0.30616 | TOTAL 1.26381 | error -2.09 % | MAD 1.22 % | CV 1.01 % | coh 87.4 % | dominant X | axis fraction 100.0 % | IN TARGET BAND</x:v>
      </x:c>
      <x:c r="C5225" t="str">
        <x:v>Pasted text(59).txt</x:v>
      </x:c>
    </x:row>
    <x:row r="5226">
      <x:c r="A5226" t="n">
        <x:v>1196</x:v>
      </x:c>
      <x:c r="B5226" s="58" t="str">
        <x:v>HOLD | point 6 | DAC 11.25 | CTRL X 1.13221 | X 1.12878 | Y 0.49004 | Z 0.31141 | TOTAL 1.26946 | error -1.55 % | MAD 4.05 % | CV 3.21 % | coh 88.0 % | dominant X | axis fraction 100.0 % | IN TARGET BAND</x:v>
      </x:c>
      <x:c r="C5226" t="str">
        <x:v>Pasted text(59).txt</x:v>
      </x:c>
    </x:row>
    <x:row r="5227">
      <x:c r="A5227" t="n">
        <x:v>1197</x:v>
      </x:c>
      <x:c r="B5227" s="58" t="str">
        <x:v>HOLD | point 7 | DAC 11.25 | CTRL X 1.13990 | X 1.13310 | Y 0.49084 | Z 0.29621 | TOTAL 1.27001 | error -0.88 % | MAD 2.42 % | CV 2.59 % | coh 88.1 % | dominant X | axis fraction 100.0 % | IN TARGET BAND</x:v>
      </x:c>
      <x:c r="C5227" t="str">
        <x:v>Pasted text(59).txt</x:v>
      </x:c>
    </x:row>
    <x:row r="5228">
      <x:c r="A5228" t="n">
        <x:v>1198</x:v>
      </x:c>
      <x:c r="B5228" s="58" t="str">
        <x:v>HOLD | point 8 | DAC 11.25 | CTRL X 1.13394 | X 1.13586 | Y 0.49087 | Z 0.31076 | TOTAL 1.27605 | error -1.40 % | MAD 0.20 % | CV 0.41 % | coh 88.8 % | dominant X | axis fraction 100.0 % | IN TARGET BAND</x:v>
      </x:c>
      <x:c r="C5228" t="str">
        <x:v>Pasted text(59).txt</x:v>
      </x:c>
    </x:row>
    <x:row r="5229">
      <x:c r="A5229" t="n">
        <x:v>1199</x:v>
      </x:c>
      <x:c r="B5229" s="58" t="str">
        <x:v>HOLD | point 9 | DAC 11.25 | CTRL X 1.08607 | X 1.09883 | Y 0.48760 | Z 0.32207 | TOTAL 1.24534 | error -5.56 % | MAD 0.01 % | CV 2.01 % | coh 86.4 % | dominant X | axis fraction 100.0 % | IN TARGET BAND</x:v>
      </x:c>
      <x:c r="C5229" t="str">
        <x:v>Pasted text(59).txt</x:v>
      </x:c>
    </x:row>
    <x:row r="5230">
      <x:c r="A5230" t="n">
        <x:v>1200</x:v>
      </x:c>
      <x:c r="B5230" s="58" t="str">
        <x:v>HOLD | point 10 | DAC 11.25 | CTRL X 1.12341 | X 1.11910 | Y 0.49305 | Z 0.30944 | TOTAL 1.26147 | error -2.31 % | MAD 1.18 % | CV 1.42 % | coh 87.3 % | dominant X | axis fraction 100.0 % | IN TARGET BAND</x:v>
      </x:c>
      <x:c r="C5230" t="str">
        <x:v>Pasted text(59).txt</x:v>
      </x:c>
    </x:row>
    <x:row r="5231">
      <x:c r="A5231" t="n">
        <x:v>1201</x:v>
      </x:c>
      <x:c r="B5231" s="58" t="str"/>
      <x:c r="C5231" t="str">
        <x:v>Pasted text(59).txt</x:v>
      </x:c>
    </x:row>
    <x:row r="5232">
      <x:c r="A5232" t="n">
        <x:v>1202</x:v>
      </x:c>
      <x:c r="B5232" s="58" t="str">
        <x:v>HOLD SUMMARY</x:v>
      </x:c>
      <x:c r="C5232" t="str">
        <x:v>Pasted text(59).txt</x:v>
      </x:c>
    </x:row>
    <x:row r="5233">
      <x:c r="A5233" t="n">
        <x:v>1203</x:v>
      </x:c>
      <x:c r="B5233" s="58" t="str">
        <x:v>Valid / requested: 10 / 10</x:v>
      </x:c>
      <x:c r="C5233" t="str">
        <x:v>Pasted text(59).txt</x:v>
      </x:c>
    </x:row>
    <x:row r="5234">
      <x:c r="A5234" t="n">
        <x:v>1204</x:v>
      </x:c>
      <x:c r="B5234" s="58" t="str">
        <x:v>In band / requested: 10 / 10 = 100.0 %</x:v>
      </x:c>
      <x:c r="C5234" t="str">
        <x:v>Pasted text(59).txt</x:v>
      </x:c>
    </x:row>
    <x:row r="5235">
      <x:c r="A5235" t="n">
        <x:v>1205</x:v>
      </x:c>
      <x:c r="B5235" s="58" t="str">
        <x:v>Mean / SD / CV: 1.12897 / 0.01720 / 1.52 %</x:v>
      </x:c>
      <x:c r="C5235" t="str">
        <x:v>Pasted text(59).txt</x:v>
      </x:c>
    </x:row>
    <x:row r="5236">
      <x:c r="A5236" t="n">
        <x:v>1206</x:v>
      </x:c>
      <x:c r="B5236" s="58" t="str">
        <x:v>Min / Max: 1.08607 / 1.15291</x:v>
      </x:c>
      <x:c r="C5236" t="str">
        <x:v>Pasted text(59).txt</x:v>
      </x:c>
    </x:row>
    <x:row r="5237">
      <x:c r="A5237" t="n">
        <x:v>1207</x:v>
      </x:c>
      <x:c r="B5237" s="58" t="str">
        <x:v>HOLD RESULT: PASS</x:v>
      </x:c>
      <x:c r="C5237" t="str">
        <x:v>Pasted text(59).txt</x:v>
      </x:c>
    </x:row>
    <x:row r="5238">
      <x:c r="A5238" t="n">
        <x:v>1208</x:v>
      </x:c>
      <x:c r="B5238" s="58" t="str"/>
      <x:c r="C5238" t="str">
        <x:v>Pasted text(59).txt</x:v>
      </x:c>
    </x:row>
    <x:row r="5239">
      <x:c r="A5239" t="n">
        <x:v>1209</x:v>
      </x:c>
      <x:c r="B5239" s="58" t="str">
        <x:v>RUN RESULT: PASS</x:v>
      </x:c>
      <x:c r="C5239" t="str">
        <x:v>Pasted text(59).txt</x:v>
      </x:c>
    </x:row>
    <x:row r="5240">
      <x:c r="A5240" t="n">
        <x:v>1210</x:v>
      </x:c>
      <x:c r="B5240" s="58" t="str">
        <x:v>Selected DAC: 11.25</x:v>
      </x:c>
      <x:c r="C5240" t="str">
        <x:v>Pasted text(59).txt</x:v>
      </x:c>
    </x:row>
    <x:row r="5241">
      <x:c r="A5241" t="n">
        <x:v>1211</x:v>
      </x:c>
      <x:c r="B5241" s="58" t="str">
        <x:v>Validated amplitude: 1.15035 m/s^2 | error 0.03 %</x:v>
      </x:c>
      <x:c r="C5241" t="str">
        <x:v>Pasted text(59).txt</x:v>
      </x:c>
    </x:row>
    <x:row r="5242">
      <x:c r="A5242" t="n">
        <x:v>1212</x:v>
      </x:c>
      <x:c r="B5242" s="58" t="str">
        <x:v>FFT frequency: 271.92648 Hz | difference -0.07352 Hz</x:v>
      </x:c>
      <x:c r="C5242" t="str">
        <x:v>Pasted text(59).txt</x:v>
      </x:c>
    </x:row>
    <x:row r="5243">
      <x:c r="A5243" t="n">
        <x:v>1213</x:v>
      </x:c>
      <x:c r="B5243" s="58" t="str"/>
      <x:c r="C5243" t="str">
        <x:v>Pasted text(59).txt</x:v>
      </x:c>
    </x:row>
    <x:row r="5244">
      <x:c r="A5244" t="n">
        <x:v>1214</x:v>
      </x:c>
      <x:c r="B5244" s="58" t="str">
        <x:v>VISATON OFF. RESTING 5.0 s BEFORE THE NEXT COMPLETELY FRESH RUN.</x:v>
      </x:c>
      <x:c r="C5244" t="str">
        <x:v>Pasted text(59).txt</x:v>
      </x:c>
    </x:row>
    <x:row r="5245">
      <x:c r="A5245" t="n">
        <x:v>1215</x:v>
      </x:c>
      <x:c r="B5245" s="58" t="str"/>
      <x:c r="C5245" t="str">
        <x:v>Pasted text(59).txt</x:v>
      </x:c>
    </x:row>
    <x:row r="5246">
      <x:c r="A5246" t="n">
        <x:v>1216</x:v>
      </x:c>
      <x:c r="B5246" s="58" t="str">
        <x:v>################################################################################</x:v>
      </x:c>
      <x:c r="C5246" t="str">
        <x:v>Pasted text(59).txt</x:v>
      </x:c>
    </x:row>
    <x:row r="5247">
      <x:c r="A5247" t="n">
        <x:v>1217</x:v>
      </x:c>
      <x:c r="B5247" s="58" t="str">
        <x:v>INDEPENDENT TARGET-AMPLITUDE RUN 4 OF 5</x:v>
      </x:c>
      <x:c r="C5247" t="str">
        <x:v>Pasted text(59).txt</x:v>
      </x:c>
    </x:row>
    <x:row r="5248">
      <x:c r="A5248" t="n">
        <x:v>1218</x:v>
      </x:c>
      <x:c r="B5248" s="58" t="str">
        <x:v>################################################################################</x:v>
      </x:c>
      <x:c r="C5248" t="str">
        <x:v>Pasted text(59).txt</x:v>
      </x:c>
    </x:row>
    <x:row r="5249">
      <x:c r="A5249" t="n">
        <x:v>1219</x:v>
      </x:c>
      <x:c r="B5249" s="58" t="str">
        <x:v>Frequency: 272.00000 Hz</x:v>
      </x:c>
      <x:c r="C5249" t="str">
        <x:v>Pasted text(59).txt</x:v>
      </x:c>
    </x:row>
    <x:row r="5250">
      <x:c r="A5250" t="n">
        <x:v>1220</x:v>
      </x:c>
      <x:c r="B5250" s="58" t="str">
        <x:v>Target X amplitude: 1.15000 m/s^2 peak, tolerance +/-7.50 %</x:v>
      </x:c>
      <x:c r="C5250" t="str">
        <x:v>Pasted text(59).txt</x:v>
      </x:c>
    </x:row>
    <x:row r="5251">
      <x:c r="A5251" t="n">
        <x:v>1221</x:v>
      </x:c>
      <x:c r="B5251" s="58" t="str">
        <x:v>This run starts from DAC 1.00 and ignores every earlier selected DAC.</x:v>
      </x:c>
      <x:c r="C5251" t="str">
        <x:v>Pasted text(59).txt</x:v>
      </x:c>
    </x:row>
    <x:row r="5252">
      <x:c r="A5252" t="n">
        <x:v>1222</x:v>
      </x:c>
      <x:c r="B5252" s="58" t="str">
        <x:v>ADXL2 DEVID/DATA_FORMAT/BW_RATE/POWER_CTL: 0xE5 / 0xB / 0xE / 0x8</x:v>
      </x:c>
      <x:c r="C5252" t="str">
        <x:v>Pasted text(59).txt</x:v>
      </x:c>
    </x:row>
    <x:row r="5253">
      <x:c r="A5253" t="n">
        <x:v>1223</x:v>
      </x:c>
      <x:c r="B5253" s="58" t="str"/>
      <x:c r="C5253" t="str">
        <x:v>Pasted text(59).txt</x:v>
      </x:c>
    </x:row>
    <x:row r="5254">
      <x:c r="A5254" t="n">
        <x:v>1224</x:v>
      </x:c>
      <x:c r="B5254" s="58" t="str">
        <x:v>ACQUISITION ATTEMPT 1 OF 2</x:v>
      </x:c>
      <x:c r="C5254" t="str">
        <x:v>Pasted text(59).txt</x:v>
      </x:c>
    </x:row>
    <x:row r="5255">
      <x:c r="A5255" t="n">
        <x:v>1225</x:v>
      </x:c>
      <x:c r="B5255" s="58" t="str"/>
      <x:c r="C5255" t="str">
        <x:v>Pasted text(59).txt</x:v>
      </x:c>
    </x:row>
    <x:row r="5256">
      <x:c r="A5256" t="n">
        <x:v>1226</x:v>
      </x:c>
      <x:c r="B5256" s="58" t="str">
        <x:v>FRESH X-AXIS SEARCH FROM DAC 1.00 — OLD DAC VALUES ARE NOT USED</x:v>
      </x:c>
      <x:c r="C5256" t="str">
        <x:v>Pasted text(59).txt</x:v>
      </x:c>
    </x:row>
    <x:row r="5257">
      <x:c r="A5257" t="n">
        <x:v>1227</x:v>
      </x:c>
      <x:c r="B5257" s="58" t="str">
        <x:v>Y/Z are diagnostic only and cannot abort this search.</x:v>
      </x:c>
      <x:c r="C5257" t="str">
        <x:v>Pasted text(59).txt</x:v>
      </x:c>
    </x:row>
    <x:row r="5258">
      <x:c r="A5258" t="n">
        <x:v>1228</x:v>
      </x:c>
      <x:c r="B5258" s="58" t="str">
        <x:v>A real SPI fault, clipping, safety limit or confirmed X-response collapse will stop it.</x:v>
      </x:c>
      <x:c r="C5258" t="str">
        <x:v>Pasted text(59).txt</x:v>
      </x:c>
    </x:row>
    <x:row r="5259">
      <x:c r="A5259" t="n">
        <x:v>1229</x:v>
      </x:c>
      <x:c r="B5259" s="58" t="str">
        <x:v>SEARCH | point 1 | DAC 1.00 | CTRL X 0.01586 | X 0.01930 | Y 0.02371 | Z 0.02639 | TOTAL 0.04192 | error -98.62 % | MAD 44.41 % | CV 53.61 % | coh 6.0 % | dominant Z | axis fraction 73.2 % | BELOW MEASUREMENT FLOOR — SEARCH CONTINUES</x:v>
      </x:c>
      <x:c r="C5259" t="str">
        <x:v>Pasted text(59).txt</x:v>
      </x:c>
    </x:row>
    <x:row r="5260">
      <x:c r="A5260" t="n">
        <x:v>1230</x:v>
      </x:c>
      <x:c r="B5260" s="58" t="str">
        <x:v>SEARCH | point 2 | DAC 3.00 | CTRL X 0.20894 | X 0.20397 | Y 0.10357 | Z 0.04509 | TOTAL 0.23337 | error -81.83 % | MAD 5.31 % | CV 7.62 % | coh 29.7 % | dominant X | axis fraction 100.0 % | UNSTABLE — SEARCH CONTINUES</x:v>
      </x:c>
      <x:c r="C5260" t="str">
        <x:v>Pasted text(59).txt</x:v>
      </x:c>
    </x:row>
    <x:row r="5261">
      <x:c r="A5261" t="n">
        <x:v>1231</x:v>
      </x:c>
      <x:c r="B5261" s="58" t="str">
        <x:v>SEARCH | point 3 | DAC 5.00 | CTRL X 0.41386 | X 0.41776 | Y 0.21556 | Z 0.11951 | TOTAL 0.48527 | error -64.01 % | MAD 0.81 % | CV 2.10 % | coh 56.2 % | dominant X | axis fraction 100.0 % | VALID</x:v>
      </x:c>
      <x:c r="C5261" t="str">
        <x:v>Pasted text(59).txt</x:v>
      </x:c>
    </x:row>
    <x:row r="5262">
      <x:c r="A5262" t="n">
        <x:v>1232</x:v>
      </x:c>
      <x:c r="B5262" s="58" t="str">
        <x:v>SEARCH | point 4 | DAC 6.00 | CTRL X 0.53890 | X 0.54104 | Y 0.27473 | Z 0.13414 | TOTAL 0.62222 | error -53.14 % | MAD 1.22 % | CV 1.46 % | coh 66.3 % | dominant X | axis fraction 100.0 % | VALID</x:v>
      </x:c>
      <x:c r="C5262" t="str">
        <x:v>Pasted text(59).txt</x:v>
      </x:c>
    </x:row>
    <x:row r="5263">
      <x:c r="A5263" t="n">
        <x:v>1233</x:v>
      </x:c>
      <x:c r="B5263" s="58" t="str">
        <x:v>SEARCH | point 5 | DAC 7.00 | CTRL X 0.62255 | X 0.62466 | Y 0.32718 | Z 0.16561 | TOTAL 0.72449 | error -45.86 % | MAD 0.02 % | CV 0.60 % | coh 72.0 % | dominant X | axis fraction 100.0 % | VALID</x:v>
      </x:c>
      <x:c r="C5263" t="str">
        <x:v>Pasted text(59).txt</x:v>
      </x:c>
    </x:row>
    <x:row r="5264">
      <x:c r="A5264" t="n">
        <x:v>1234</x:v>
      </x:c>
      <x:c r="B5264" s="58" t="str">
        <x:v>SEARCH | point 6 | DAC 8.00 | CTRL X 0.75848 | X 0.75494 | Y 0.38457 | Z 0.16270 | TOTAL 0.86302 | error -34.05 % | MAD 0.05 % | CV 0.84 % | coh 79.3 % | dominant X | axis fraction 100.0 % | VALID</x:v>
      </x:c>
      <x:c r="C5264" t="str">
        <x:v>Pasted text(59).txt</x:v>
      </x:c>
    </x:row>
    <x:row r="5265">
      <x:c r="A5265" t="n">
        <x:v>1235</x:v>
      </x:c>
      <x:c r="B5265" s="58" t="str">
        <x:v>SEARCH | point 7 | DAC 8.50 | CTRL X 0.79245 | X 0.79604 | Y 0.40555 | Z 0.19192 | TOTAL 0.91493 | error -31.09 % | MAD 3.54 % | CV 3.08 % | coh 83.5 % | dominant X | axis fraction 100.0 % | VALID</x:v>
      </x:c>
      <x:c r="C5265" t="str">
        <x:v>Pasted text(59).txt</x:v>
      </x:c>
    </x:row>
    <x:row r="5266">
      <x:c r="A5266" t="n">
        <x:v>1236</x:v>
      </x:c>
      <x:c r="B5266" s="58" t="str">
        <x:v>SEARCH | point 8 | DAC 9.00 | CTRL X 0.85873 | X 0.85834 | Y 0.44962 | Z 0.20484 | TOTAL 0.99081 | error -25.33 % | MAD 0.02 % | CV 0.09 % | coh 81.5 % | dominant X | axis fraction 100.0 % | VALID</x:v>
      </x:c>
      <x:c r="C5266" t="str">
        <x:v>Pasted text(59).txt</x:v>
      </x:c>
    </x:row>
    <x:row r="5267">
      <x:c r="A5267" t="n">
        <x:v>1237</x:v>
      </x:c>
      <x:c r="B5267" s="58" t="str">
        <x:v>SEARCH | point 9 | DAC 9.50 | CTRL X 0.88222 | X 0.89202 | Y 0.48704 | Z 0.22144 | TOTAL 1.04130 | error -23.28 % | MAD 0.23 % | CV 2.04 % | coh 83.4 % | dominant X | axis fraction 100.0 % | VALID</x:v>
      </x:c>
      <x:c r="C5267" t="str">
        <x:v>Pasted text(59).txt</x:v>
      </x:c>
    </x:row>
    <x:row r="5268">
      <x:c r="A5268" t="n">
        <x:v>1238</x:v>
      </x:c>
      <x:c r="B5268" s="58" t="str">
        <x:v>SEARCH | point 10 | DAC 10.00 | CTRL X 0.97479 | X 0.98365 | Y 0.50106 | Z 0.21760 | TOTAL 1.12548 | error -15.24 % | MAD 1.00 % | CV 2.17 % | coh 83.7 % | dominant X | axis fraction 100.0 % | VALID</x:v>
      </x:c>
      <x:c r="C5268" t="str">
        <x:v>Pasted text(59).txt</x:v>
      </x:c>
    </x:row>
    <x:row r="5269">
      <x:c r="A5269" t="n">
        <x:v>1239</x:v>
      </x:c>
      <x:c r="B5269" s="58" t="str">
        <x:v>SEARCH | point 11 | DAC 10.50 | CTRL X 1.03031 | X 1.03048 | Y 0.54293 | Z 0.24337 | TOTAL 1.19014 | error -10.41 % | MAD 1.40 % | CV 0.97 % | coh 88.4 % | dominant X | axis fraction 100.0 % | VALID</x:v>
      </x:c>
      <x:c r="C5269" t="str">
        <x:v>Pasted text(59).txt</x:v>
      </x:c>
    </x:row>
    <x:row r="5270">
      <x:c r="A5270" t="n">
        <x:v>1240</x:v>
      </x:c>
      <x:c r="B5270" s="58" t="str">
        <x:v>SEARCH | point 12 | DAC 10.75 | CTRL X 1.07505 | X 1.07576 | Y 0.54773 | Z 0.21283 | TOTAL 1.22607 | error -6.52 % | MAD 1.69 % | CV 1.24 % | coh 85.3 % | dominant X | axis fraction 100.0 % | IN TARGET BAND</x:v>
      </x:c>
      <x:c r="C5270" t="str">
        <x:v>Pasted text(59).txt</x:v>
      </x:c>
    </x:row>
    <x:row r="5271">
      <x:c r="A5271" t="n">
        <x:v>1241</x:v>
      </x:c>
      <x:c r="B5271" s="58" t="str"/>
      <x:c r="C5271" t="str">
        <x:v>Pasted text(59).txt</x:v>
      </x:c>
    </x:row>
    <x:row r="5272">
      <x:c r="A5272" t="n">
        <x:v>1242</x:v>
      </x:c>
      <x:c r="B5272" s="58" t="str">
        <x:v>LOCAL 0.25-DAC X-AXIS FINE SCAN</x:v>
      </x:c>
      <x:c r="C5272" t="str">
        <x:v>Pasted text(59).txt</x:v>
      </x:c>
    </x:row>
    <x:row r="5273">
      <x:c r="A5273" t="n">
        <x:v>1243</x:v>
      </x:c>
      <x:c r="B5273" s="58" t="str">
        <x:v>Only a valid point actually inside the X target band may be selected.</x:v>
      </x:c>
      <x:c r="C5273" t="str">
        <x:v>Pasted text(59).txt</x:v>
      </x:c>
    </x:row>
    <x:row r="5274">
      <x:c r="A5274" t="n">
        <x:v>1244</x:v>
      </x:c>
      <x:c r="B5274" s="58" t="str">
        <x:v>FINE | point 1 | DAC 9.75 | CTRL X 0.96013 | X 0.95948 | Y 0.49702 | Z 0.21363 | TOTAL 1.10275 | error -16.51 % | MAD 2.36 % | CV 1.70 % | coh 81.7 % | dominant X | axis fraction 100.0 % | VALID</x:v>
      </x:c>
      <x:c r="C5274" t="str">
        <x:v>Pasted text(59).txt</x:v>
      </x:c>
    </x:row>
    <x:row r="5275">
      <x:c r="A5275" t="n">
        <x:v>1245</x:v>
      </x:c>
      <x:c r="B5275" s="58" t="str">
        <x:v>FINE | point 2 | DAC 10.00 | CTRL X 0.98839 | X 0.97646 | Y 0.53418 | Z 0.20924 | TOTAL 1.13272 | error -14.05 % | MAD 0.09 % | CV 2.17 % | coh 83.3 % | dominant X | axis fraction 100.0 % | VALID</x:v>
      </x:c>
      <x:c r="C5275" t="str">
        <x:v>Pasted text(59).txt</x:v>
      </x:c>
    </x:row>
    <x:row r="5276">
      <x:c r="A5276" t="n">
        <x:v>1246</x:v>
      </x:c>
      <x:c r="B5276" s="58" t="str">
        <x:v>FINE | point 3 | DAC 10.25 | CTRL X 1.00030 | X 1.00529 | Y 0.51965 | Z 0.22001 | TOTAL 1.15291 | error -13.02 % | MAD 0.38 % | CV 1.09 % | coh 85.3 % | dominant X | axis fraction 100.0 % | VALID</x:v>
      </x:c>
      <x:c r="C5276" t="str">
        <x:v>Pasted text(59).txt</x:v>
      </x:c>
    </x:row>
    <x:row r="5277">
      <x:c r="A5277" t="n">
        <x:v>1247</x:v>
      </x:c>
      <x:c r="B5277" s="58" t="str">
        <x:v>FINE | point 4 | DAC 10.50 | CTRL X 1.04025 | X 1.02595 | Y 0.54652 | Z 0.19861 | TOTAL 1.18021 | error -9.54 % | MAD 0.28 % | CV 2.58 % | coh 87.6 % | dominant X | axis fraction 100.0 % | VALID</x:v>
      </x:c>
      <x:c r="C5277" t="str">
        <x:v>Pasted text(59).txt</x:v>
      </x:c>
    </x:row>
    <x:row r="5278">
      <x:c r="A5278" t="n">
        <x:v>1248</x:v>
      </x:c>
      <x:c r="B5278" s="58" t="str">
        <x:v>FINE | point 5 | DAC 10.75 | CTRL X 1.09011 | X 1.08805 | Y 0.53246 | Z 0.24645 | TOTAL 1.23641 | error -5.21 % | MAD 0.12 % | CV 0.40 % | coh 86.3 % | dominant X | axis fraction 100.0 % | IN TARGET BAND</x:v>
      </x:c>
      <x:c r="C5278" t="str">
        <x:v>Pasted text(59).txt</x:v>
      </x:c>
    </x:row>
    <x:row r="5279">
      <x:c r="A5279" t="n">
        <x:v>1249</x:v>
      </x:c>
      <x:c r="B5279" s="58" t="str">
        <x:v>FINE | point 6 | DAC 11.00 | CTRL X 1.10669 | X 1.12056 | Y 0.58313 | Z 0.25539 | TOTAL 1.28888 | error -3.77 % | MAD 0.01 % | CV 2.15 % | coh 87.1 % | dominant X | axis fraction 100.0 % | IN TARGET BAND</x:v>
      </x:c>
      <x:c r="C5279" t="str">
        <x:v>Pasted text(59).txt</x:v>
      </x:c>
    </x:row>
    <x:row r="5280">
      <x:c r="A5280" t="n">
        <x:v>1250</x:v>
      </x:c>
      <x:c r="B5280" s="58" t="str">
        <x:v>FINE | point 7 | DAC 11.25 | CTRL X 1.13612 | X 1.13912 | Y 0.58064 | Z 0.24278 | TOTAL 1.30151 | error -1.21 % | MAD 0.34 % | CV 0.66 % | coh 87.7 % | dominant X | axis fraction 100.0 % | IN TARGET BAND</x:v>
      </x:c>
      <x:c r="C5280" t="str">
        <x:v>Pasted text(59).txt</x:v>
      </x:c>
    </x:row>
    <x:row r="5281">
      <x:c r="A5281" t="n">
        <x:v>1251</x:v>
      </x:c>
      <x:c r="B5281" s="58" t="str">
        <x:v>FINE | point 8 | DAC 11.50 | CTRL X 1.18801 | X 1.17869 | Y 0.60298 | Z 0.25342 | TOTAL 1.34848 | error 3.31 % | MAD 0.50 % | CV 1.67 % | coh 89.9 % | dominant X | axis fraction 100.0 % | IN TARGET BAND</x:v>
      </x:c>
      <x:c r="C5281" t="str">
        <x:v>Pasted text(59).txt</x:v>
      </x:c>
    </x:row>
    <x:row r="5282">
      <x:c r="A5282" t="n">
        <x:v>1252</x:v>
      </x:c>
      <x:c r="B5282" s="58" t="str">
        <x:v>FINE | point 9 | DAC 11.75 | CTRL X 1.19981 | X 1.19531 | Y 0.62449 | Z 0.25753 | TOTAL 1.37321 | error 4.33 % | MAD 0.67 % | CV 1.07 % | coh 86.8 % | dominant X | axis fraction 100.0 % | IN TARGET BAND</x:v>
      </x:c>
      <x:c r="C5282" t="str">
        <x:v>Pasted text(59).txt</x:v>
      </x:c>
    </x:row>
    <x:row r="5283">
      <x:c r="A5283" t="n">
        <x:v>1253</x:v>
      </x:c>
      <x:c r="B5283" s="58" t="str"/>
      <x:c r="C5283" t="str">
        <x:v>Pasted text(59).txt</x:v>
      </x:c>
    </x:row>
    <x:row r="5284">
      <x:c r="A5284" t="n">
        <x:v>1254</x:v>
      </x:c>
      <x:c r="B5284" s="58" t="str">
        <x:v>LONG VALIDATION AT FIXED DAC 11.25</x:v>
      </x:c>
      <x:c r="C5284" t="str">
        <x:v>Pasted text(59).txt</x:v>
      </x:c>
    </x:row>
    <x:row r="5285">
      <x:c r="A5285" t="n">
        <x:v>1255</x:v>
      </x:c>
      <x:c r="B5285" s="58" t="str">
        <x:v>FINAL | point 1 | DAC 11.25 | CTRL X 1.14744 | X 1.14870 | Y 0.57497 | Z 0.24542 | TOTAL 1.30805 | error -0.22 % | MAD 1.07 % | CV 0.69 % | coh 88.9 % | dominant X | axis fraction 100.0 % | IN TARGET BAND</x:v>
      </x:c>
      <x:c r="C5285" t="str">
        <x:v>Pasted text(59).txt</x:v>
      </x:c>
    </x:row>
    <x:row r="5286">
      <x:c r="A5286" t="n">
        <x:v>1256</x:v>
      </x:c>
      <x:c r="B5286" s="58" t="str">
        <x:v>FINAL | point 2 | DAC 11.25 | CTRL X 1.14536 | X 1.15057 | Y 0.58093 | Z 0.23524 | TOTAL 1.31042 | error -0.40 % | MAD 3.17 % | CV 3.19 % | coh 89.0 % | dominant X | axis fraction 100.0 % | IN TARGET BAND</x:v>
      </x:c>
      <x:c r="C5286" t="str">
        <x:v>Pasted text(59).txt</x:v>
      </x:c>
    </x:row>
    <x:row r="5287">
      <x:c r="A5287" t="n">
        <x:v>1257</x:v>
      </x:c>
      <x:c r="B5287" s="58" t="str">
        <x:v>VALIDATION ACCEPTED | pair drift 0.18 %</x:v>
      </x:c>
      <x:c r="C5287" t="str">
        <x:v>Pasted text(59).txt</x:v>
      </x:c>
    </x:row>
    <x:row r="5288">
      <x:c r="A5288" t="n">
        <x:v>1258</x:v>
      </x:c>
      <x:c r="B5288" s="58" t="str"/>
      <x:c r="C5288" t="str">
        <x:v>Pasted text(59).txt</x:v>
      </x:c>
    </x:row>
    <x:row r="5289">
      <x:c r="A5289" t="n">
        <x:v>1259</x:v>
      </x:c>
      <x:c r="B5289" s="58" t="str">
        <x:v>FINAL VALIDATED BLIND FFT VERIFICATION</x:v>
      </x:c>
      <x:c r="C5289" t="str">
        <x:v>Pasted text(59).txt</x:v>
      </x:c>
    </x:row>
    <x:row r="5290">
      <x:c r="A5290" t="n">
        <x:v>1260</x:v>
      </x:c>
      <x:c r="B5290" s="58" t="str">
        <x:v>Commanded frequency: 272.00000 Hz</x:v>
      </x:c>
      <x:c r="C5290" t="str">
        <x:v>Pasted text(59).txt</x:v>
      </x:c>
    </x:row>
    <x:row r="5291">
      <x:c r="A5291" t="n">
        <x:v>1261</x:v>
      </x:c>
      <x:c r="B5291" s="58" t="str">
        <x:v>Accepted DAC: 11.25</x:v>
      </x:c>
      <x:c r="C5291" t="str">
        <x:v>Pasted text(59).txt</x:v>
      </x:c>
    </x:row>
    <x:row r="5292">
      <x:c r="A5292" t="n">
        <x:v>1262</x:v>
      </x:c>
      <x:c r="B5292" s="58" t="str">
        <x:v>Axis,Frequency_Hz,Amplitude_mps2,SNR_dB,Status</x:v>
      </x:c>
      <x:c r="C5292" t="str">
        <x:v>Pasted text(59).txt</x:v>
      </x:c>
    </x:row>
    <x:row r="5293">
      <x:c r="A5293" t="n">
        <x:v>1263</x:v>
      </x:c>
      <x:c r="B5293" s="58" t="str">
        <x:v>X,271.97046,1.13802,32.44,VALID</x:v>
      </x:c>
      <x:c r="C5293" t="str">
        <x:v>Pasted text(59).txt</x:v>
      </x:c>
    </x:row>
    <x:row r="5294">
      <x:c r="A5294" t="n">
        <x:v>1264</x:v>
      </x:c>
      <x:c r="B5294" s="58" t="str">
        <x:v>Y,271.95703,0.57435,25.27,VALID</x:v>
      </x:c>
      <x:c r="C5294" t="str">
        <x:v>Pasted text(59).txt</x:v>
      </x:c>
    </x:row>
    <x:row r="5295">
      <x:c r="A5295" t="n">
        <x:v>1265</x:v>
      </x:c>
      <x:c r="B5295" s="58" t="str">
        <x:v>Z,271.97499,0.24168,22.56,VALID</x:v>
      </x:c>
      <x:c r="C5295" t="str">
        <x:v>Pasted text(59).txt</x:v>
      </x:c>
    </x:row>
    <x:row r="5296">
      <x:c r="A5296" t="n">
        <x:v>1266</x:v>
      </x:c>
      <x:c r="B5296" s="58" t="str">
        <x:v>Combined frequency: 271.96797 Hz | difference -0.03203 Hz</x:v>
      </x:c>
      <x:c r="C5296" t="str">
        <x:v>Pasted text(59).txt</x:v>
      </x:c>
    </x:row>
    <x:row r="5297">
      <x:c r="A5297" t="n">
        <x:v>1267</x:v>
      </x:c>
      <x:c r="B5297" s="58" t="str">
        <x:v>Combined X/Y/Z/TOTAL: 1.13560 / 0.57345 / 0.24111 / 1.29482</x:v>
      </x:c>
      <x:c r="C5297" t="str">
        <x:v>Pasted text(59).txt</x:v>
      </x:c>
    </x:row>
    <x:row r="5298">
      <x:c r="A5298" t="n">
        <x:v>1268</x:v>
      </x:c>
      <x:c r="B5298" s="58" t="str">
        <x:v>SNR: 29.16 dB | dominant axis X</x:v>
      </x:c>
      <x:c r="C5298" t="str">
        <x:v>Pasted text(59).txt</x:v>
      </x:c>
    </x:row>
    <x:row r="5299">
      <x:c r="A5299" t="n">
        <x:v>1269</x:v>
      </x:c>
      <x:c r="B5299" s="58" t="str">
        <x:v>Frequency verification: PASS</x:v>
      </x:c>
      <x:c r="C5299" t="str">
        <x:v>Pasted text(59).txt</x:v>
      </x:c>
    </x:row>
    <x:row r="5300">
      <x:c r="A5300" t="n">
        <x:v>1270</x:v>
      </x:c>
      <x:c r="B5300" s="58" t="str">
        <x:v>Y/Z dominance: DIAGNOSTIC ONLY — ignored for pass/fail</x:v>
      </x:c>
      <x:c r="C5300" t="str">
        <x:v>Pasted text(59).txt</x:v>
      </x:c>
    </x:row>
    <x:row r="5301">
      <x:c r="A5301" t="n">
        <x:v>1271</x:v>
      </x:c>
      <x:c r="B5301" s="58" t="str"/>
      <x:c r="C5301" t="str">
        <x:v>Pasted text(59).txt</x:v>
      </x:c>
    </x:row>
    <x:row r="5302">
      <x:c r="A5302" t="n">
        <x:v>1272</x:v>
      </x:c>
      <x:c r="B5302" s="58" t="str">
        <x:v>FIXED-DAC HOLD VALIDATION</x:v>
      </x:c>
      <x:c r="C5302" t="str">
        <x:v>Pasted text(59).txt</x:v>
      </x:c>
    </x:row>
    <x:row r="5303">
      <x:c r="A5303" t="n">
        <x:v>1273</x:v>
      </x:c>
      <x:c r="B5303" s="58" t="str">
        <x:v>DAC remains fixed at 11.25 for 10 records.</x:v>
      </x:c>
      <x:c r="C5303" t="str">
        <x:v>Pasted text(59).txt</x:v>
      </x:c>
    </x:row>
    <x:row r="5304">
      <x:c r="A5304" t="n">
        <x:v>1274</x:v>
      </x:c>
      <x:c r="B5304" s="58" t="str">
        <x:v>HOLD | point 1 | DAC 11.25 | CTRL X 1.14590 | X 1.14215 | Y 0.57214 | Z 0.22865 | TOTAL 1.29792 | error -0.36 % | MAD 0.61 % | CV 0.95 % | coh 88.4 % | dominant X | axis fraction 100.0 % | IN TARGET BAND</x:v>
      </x:c>
      <x:c r="C5304" t="str">
        <x:v>Pasted text(59).txt</x:v>
      </x:c>
    </x:row>
    <x:row r="5305">
      <x:c r="A5305" t="n">
        <x:v>1275</x:v>
      </x:c>
      <x:c r="B5305" s="58" t="str">
        <x:v>HOLD | point 2 | DAC 11.25 | CTRL X 1.14110 | X 1.13777 | Y 0.60084 | Z 0.22477 | TOTAL 1.30629 | error -0.77 % | MAD 0.91 % | CV 1.08 % | coh 89.1 % | dominant X | axis fraction 100.0 % | IN TARGET BAND</x:v>
      </x:c>
      <x:c r="C5305" t="str">
        <x:v>Pasted text(59).txt</x:v>
      </x:c>
    </x:row>
    <x:row r="5306">
      <x:c r="A5306" t="n">
        <x:v>1276</x:v>
      </x:c>
      <x:c r="B5306" s="58" t="str">
        <x:v>HOLD | point 3 | DAC 11.25 | CTRL X 1.14683 | X 1.13948 | Y 0.58948 | Z 0.25968 | TOTAL 1.30924 | error -0.28 % | MAD 0.07 % | CV 1.16 % | coh 88.9 % | dominant X | axis fraction 100.0 % | IN TARGET BAND</x:v>
      </x:c>
      <x:c r="C5306" t="str">
        <x:v>Pasted text(59).txt</x:v>
      </x:c>
    </x:row>
    <x:row r="5307">
      <x:c r="A5307" t="n">
        <x:v>1277</x:v>
      </x:c>
      <x:c r="B5307" s="58" t="str">
        <x:v>HOLD | point 4 | DAC 11.25 | CTRL X 1.16077 | X 1.16206 | Y 0.58020 | Z 0.23238 | TOTAL 1.31964 | error 0.94 % | MAD 0.88 % | CV 0.77 % | coh 89.9 % | dominant X | axis fraction 100.0 % | IN TARGET BAND</x:v>
      </x:c>
      <x:c r="C5307" t="str">
        <x:v>Pasted text(59).txt</x:v>
      </x:c>
    </x:row>
    <x:row r="5308">
      <x:c r="A5308" t="n">
        <x:v>1278</x:v>
      </x:c>
      <x:c r="B5308" s="58" t="str">
        <x:v>HOLD | point 5 | DAC 11.25 | CTRL X 1.13950 | X 1.14261 | Y 0.56399 | Z 0.20940 | TOTAL 1.29151 | error -0.91 % | MAD 0.02 % | CV 0.48 % | coh 88.7 % | dominant X | axis fraction 100.0 % | IN TARGET BAND</x:v>
      </x:c>
      <x:c r="C5308" t="str">
        <x:v>Pasted text(59).txt</x:v>
      </x:c>
    </x:row>
    <x:row r="5309">
      <x:c r="A5309" t="n">
        <x:v>1279</x:v>
      </x:c>
      <x:c r="B5309" s="58" t="str">
        <x:v>HOLD | point 6 | DAC 11.25 | CTRL X 1.14810 | X 1.13675 | Y 0.57914 | Z 0.21438 | TOTAL 1.29371 | error -0.17 % | MAD 0.18 % | CV 1.84 % | coh 88.5 % | dominant X | axis fraction 100.0 % | IN TARGET BAND</x:v>
      </x:c>
      <x:c r="C5309" t="str">
        <x:v>Pasted text(59).txt</x:v>
      </x:c>
    </x:row>
    <x:row r="5310">
      <x:c r="A5310" t="n">
        <x:v>1280</x:v>
      </x:c>
      <x:c r="B5310" s="58" t="str">
        <x:v>HOLD | point 7 | DAC 11.25 | CTRL X 1.12960 | X 1.13545 | Y 0.59407 | Z 0.23277 | TOTAL 1.30272 | error -1.77 % | MAD 1.26 % | CV 1.68 % | coh 88.3 % | dominant X | axis fraction 100.0 % | IN TARGET BAND</x:v>
      </x:c>
      <x:c r="C5310" t="str">
        <x:v>Pasted text(59).txt</x:v>
      </x:c>
    </x:row>
    <x:row r="5311">
      <x:c r="A5311" t="n">
        <x:v>1281</x:v>
      </x:c>
      <x:c r="B5311" s="58" t="str">
        <x:v>HOLD | point 8 | DAC 11.25 | CTRL X 1.15163 | X 1.14312 | Y 0.57937 | Z 0.23328 | TOTAL 1.30272 | error 0.14 % | MAD 0.04 % | CV 1.31 % | coh 89.8 % | dominant X | axis fraction 100.0 % | IN TARGET BAND</x:v>
      </x:c>
      <x:c r="C5311" t="str">
        <x:v>Pasted text(59).txt</x:v>
      </x:c>
    </x:row>
    <x:row r="5312">
      <x:c r="A5312" t="n">
        <x:v>1282</x:v>
      </x:c>
      <x:c r="B5312" s="58" t="str">
        <x:v>HOLD | point 9 | DAC 11.25 | CTRL X 1.15136 | X 1.14574 | Y 0.56788 | Z 0.22847 | TOTAL 1.29911 | error 0.12 % | MAD 0.44 % | CV 1.12 % | coh 89.0 % | dominant X | axis fraction 100.0 % | IN TARGET BAND</x:v>
      </x:c>
      <x:c r="C5312" t="str">
        <x:v>Pasted text(59).txt</x:v>
      </x:c>
    </x:row>
    <x:row r="5313">
      <x:c r="A5313" t="n">
        <x:v>1283</x:v>
      </x:c>
      <x:c r="B5313" s="58" t="str">
        <x:v>HOLD | point 10 | DAC 11.25 | CTRL X 1.11037 | X 1.10985 | Y 0.59039 | Z 0.25077 | TOTAL 1.28204 | error -3.45 % | MAD 1.12 % | CV 0.83 % | coh 88.0 % | dominant X | axis fraction 100.0 % | IN TARGET BAND</x:v>
      </x:c>
      <x:c r="C5313" t="str">
        <x:v>Pasted text(59).txt</x:v>
      </x:c>
    </x:row>
    <x:row r="5314">
      <x:c r="A5314" t="n">
        <x:v>1284</x:v>
      </x:c>
      <x:c r="B5314" s="58" t="str"/>
      <x:c r="C5314" t="str">
        <x:v>Pasted text(59).txt</x:v>
      </x:c>
    </x:row>
    <x:row r="5315">
      <x:c r="A5315" t="n">
        <x:v>1285</x:v>
      </x:c>
      <x:c r="B5315" s="58" t="str">
        <x:v>HOLD SUMMARY</x:v>
      </x:c>
      <x:c r="C5315" t="str">
        <x:v>Pasted text(59).txt</x:v>
      </x:c>
    </x:row>
    <x:row r="5316">
      <x:c r="A5316" t="n">
        <x:v>1286</x:v>
      </x:c>
      <x:c r="B5316" s="58" t="str">
        <x:v>Valid / requested: 10 / 10</x:v>
      </x:c>
      <x:c r="C5316" t="str">
        <x:v>Pasted text(59).txt</x:v>
      </x:c>
    </x:row>
    <x:row r="5317">
      <x:c r="A5317" t="n">
        <x:v>1287</x:v>
      </x:c>
      <x:c r="B5317" s="58" t="str">
        <x:v>In band / requested: 10 / 10 = 100.0 %</x:v>
      </x:c>
      <x:c r="C5317" t="str">
        <x:v>Pasted text(59).txt</x:v>
      </x:c>
    </x:row>
    <x:row r="5318">
      <x:c r="A5318" t="n">
        <x:v>1288</x:v>
      </x:c>
      <x:c r="B5318" s="58" t="str">
        <x:v>Mean / SD / CV: 1.14252 / 0.01401 / 1.23 %</x:v>
      </x:c>
      <x:c r="C5318" t="str">
        <x:v>Pasted text(59).txt</x:v>
      </x:c>
    </x:row>
    <x:row r="5319">
      <x:c r="A5319" t="n">
        <x:v>1289</x:v>
      </x:c>
      <x:c r="B5319" s="58" t="str">
        <x:v>Min / Max: 1.11037 / 1.16077</x:v>
      </x:c>
      <x:c r="C5319" t="str">
        <x:v>Pasted text(59).txt</x:v>
      </x:c>
    </x:row>
    <x:row r="5320">
      <x:c r="A5320" t="n">
        <x:v>1290</x:v>
      </x:c>
      <x:c r="B5320" s="58" t="str">
        <x:v>HOLD RESULT: PASS</x:v>
      </x:c>
      <x:c r="C5320" t="str">
        <x:v>Pasted text(59).txt</x:v>
      </x:c>
    </x:row>
    <x:row r="5321">
      <x:c r="A5321" t="n">
        <x:v>1291</x:v>
      </x:c>
      <x:c r="B5321" s="58" t="str"/>
      <x:c r="C5321" t="str">
        <x:v>Pasted text(59).txt</x:v>
      </x:c>
    </x:row>
    <x:row r="5322">
      <x:c r="A5322" t="n">
        <x:v>1292</x:v>
      </x:c>
      <x:c r="B5322" s="58" t="str">
        <x:v>RUN RESULT: PASS</x:v>
      </x:c>
      <x:c r="C5322" t="str">
        <x:v>Pasted text(59).txt</x:v>
      </x:c>
    </x:row>
    <x:row r="5323">
      <x:c r="A5323" t="n">
        <x:v>1293</x:v>
      </x:c>
      <x:c r="B5323" s="58" t="str">
        <x:v>Selected DAC: 11.25</x:v>
      </x:c>
      <x:c r="C5323" t="str">
        <x:v>Pasted text(59).txt</x:v>
      </x:c>
    </x:row>
    <x:row r="5324">
      <x:c r="A5324" t="n">
        <x:v>1294</x:v>
      </x:c>
      <x:c r="B5324" s="58" t="str">
        <x:v>Validated amplitude: 1.14640 m/s^2 | error -0.31 %</x:v>
      </x:c>
      <x:c r="C5324" t="str">
        <x:v>Pasted text(59).txt</x:v>
      </x:c>
    </x:row>
    <x:row r="5325">
      <x:c r="A5325" t="n">
        <x:v>1295</x:v>
      </x:c>
      <x:c r="B5325" s="58" t="str">
        <x:v>FFT frequency: 271.96797 Hz | difference -0.03203 Hz</x:v>
      </x:c>
      <x:c r="C5325" t="str">
        <x:v>Pasted text(59).txt</x:v>
      </x:c>
    </x:row>
    <x:row r="5326">
      <x:c r="A5326" t="n">
        <x:v>1296</x:v>
      </x:c>
      <x:c r="B5326" s="58" t="str"/>
      <x:c r="C5326" t="str">
        <x:v>Pasted text(59).txt</x:v>
      </x:c>
    </x:row>
    <x:row r="5327">
      <x:c r="A5327" t="n">
        <x:v>1297</x:v>
      </x:c>
      <x:c r="B5327" s="58" t="str">
        <x:v>VISATON OFF. RESTING 5.0 s BEFORE THE NEXT COMPLETELY FRESH RUN.</x:v>
      </x:c>
      <x:c r="C5327" t="str">
        <x:v>Pasted text(59).txt</x:v>
      </x:c>
    </x:row>
    <x:row r="5328">
      <x:c r="A5328" t="n">
        <x:v>1298</x:v>
      </x:c>
      <x:c r="B5328" s="58" t="str"/>
      <x:c r="C5328" t="str">
        <x:v>Pasted text(59).txt</x:v>
      </x:c>
    </x:row>
    <x:row r="5329">
      <x:c r="A5329" t="n">
        <x:v>1299</x:v>
      </x:c>
      <x:c r="B5329" s="58" t="str">
        <x:v>################################################################################</x:v>
      </x:c>
      <x:c r="C5329" t="str">
        <x:v>Pasted text(59).txt</x:v>
      </x:c>
    </x:row>
    <x:row r="5330">
      <x:c r="A5330" t="n">
        <x:v>1300</x:v>
      </x:c>
      <x:c r="B5330" s="58" t="str">
        <x:v>INDEPENDENT TARGET-AMPLITUDE RUN 5 OF 5</x:v>
      </x:c>
      <x:c r="C5330" t="str">
        <x:v>Pasted text(59).txt</x:v>
      </x:c>
    </x:row>
    <x:row r="5331">
      <x:c r="A5331" t="n">
        <x:v>1301</x:v>
      </x:c>
      <x:c r="B5331" s="58" t="str">
        <x:v>################################################################################</x:v>
      </x:c>
      <x:c r="C5331" t="str">
        <x:v>Pasted text(59).txt</x:v>
      </x:c>
    </x:row>
    <x:row r="5332">
      <x:c r="A5332" t="n">
        <x:v>1302</x:v>
      </x:c>
      <x:c r="B5332" s="58" t="str">
        <x:v>Frequency: 272.00000 Hz</x:v>
      </x:c>
      <x:c r="C5332" t="str">
        <x:v>Pasted text(59).txt</x:v>
      </x:c>
    </x:row>
    <x:row r="5333">
      <x:c r="A5333" t="n">
        <x:v>1303</x:v>
      </x:c>
      <x:c r="B5333" s="58" t="str">
        <x:v>Target X amplitude: 1.15000 m/s^2 peak, tolerance +/-7.50 %</x:v>
      </x:c>
      <x:c r="C5333" t="str">
        <x:v>Pasted text(59).txt</x:v>
      </x:c>
    </x:row>
    <x:row r="5334">
      <x:c r="A5334" t="n">
        <x:v>1304</x:v>
      </x:c>
      <x:c r="B5334" s="58" t="str">
        <x:v>This run starts from DAC 1.00 and ignores every earlier selected DAC.</x:v>
      </x:c>
      <x:c r="C5334" t="str">
        <x:v>Pasted text(59).txt</x:v>
      </x:c>
    </x:row>
    <x:row r="5335">
      <x:c r="A5335" t="n">
        <x:v>1305</x:v>
      </x:c>
      <x:c r="B5335" s="58" t="str">
        <x:v>ADXL2 DEVID/DATA_FORMAT/BW_RATE/POWER_CTL: 0xE5 / 0xB / 0xE / 0x8</x:v>
      </x:c>
      <x:c r="C5335" t="str">
        <x:v>Pasted text(59).txt</x:v>
      </x:c>
    </x:row>
    <x:row r="5336">
      <x:c r="A5336" t="n">
        <x:v>1306</x:v>
      </x:c>
      <x:c r="B5336" s="58" t="str"/>
      <x:c r="C5336" t="str">
        <x:v>Pasted text(59).txt</x:v>
      </x:c>
    </x:row>
    <x:row r="5337">
      <x:c r="A5337" t="n">
        <x:v>1307</x:v>
      </x:c>
      <x:c r="B5337" s="58" t="str">
        <x:v>ACQUISITION ATTEMPT 1 OF 2</x:v>
      </x:c>
      <x:c r="C5337" t="str">
        <x:v>Pasted text(59).txt</x:v>
      </x:c>
    </x:row>
    <x:row r="5338">
      <x:c r="A5338" t="n">
        <x:v>1308</x:v>
      </x:c>
      <x:c r="B5338" s="58" t="str"/>
      <x:c r="C5338" t="str">
        <x:v>Pasted text(59).txt</x:v>
      </x:c>
    </x:row>
    <x:row r="5339">
      <x:c r="A5339" t="n">
        <x:v>1309</x:v>
      </x:c>
      <x:c r="B5339" s="58" t="str">
        <x:v>FRESH X-AXIS SEARCH FROM DAC 1.00 — OLD DAC VALUES ARE NOT USED</x:v>
      </x:c>
      <x:c r="C5339" t="str">
        <x:v>Pasted text(59).txt</x:v>
      </x:c>
    </x:row>
    <x:row r="5340">
      <x:c r="A5340" t="n">
        <x:v>1310</x:v>
      </x:c>
      <x:c r="B5340" s="58" t="str">
        <x:v>Y/Z are diagnostic only and cannot abort this search.</x:v>
      </x:c>
      <x:c r="C5340" t="str">
        <x:v>Pasted text(59).txt</x:v>
      </x:c>
    </x:row>
    <x:row r="5341">
      <x:c r="A5341" t="n">
        <x:v>1311</x:v>
      </x:c>
      <x:c r="B5341" s="58" t="str">
        <x:v>A real SPI fault, clipping, safety limit or confirmed X-response collapse will stop it.</x:v>
      </x:c>
      <x:c r="C5341" t="str">
        <x:v>Pasted text(59).txt</x:v>
      </x:c>
    </x:row>
    <x:row r="5342">
      <x:c r="A5342" t="n">
        <x:v>1312</x:v>
      </x:c>
      <x:c r="B5342" s="58" t="str">
        <x:v>SEARCH | point 1 | DAC 1.00 | CTRL X 0.02619 | X 0.02703 | Y 0.03109 | Z 0.01385 | TOTAL 0.04359 | error -97.72 % | MAD 9.53 % | CV 4.40 % | coh 8.2 % | dominant Y | axis fraction 87.0 % | BELOW MEASUREMENT FLOOR — SEARCH CONTINUES</x:v>
      </x:c>
      <x:c r="C5342" t="str">
        <x:v>Pasted text(59).txt</x:v>
      </x:c>
    </x:row>
    <x:row r="5343">
      <x:c r="A5343" t="n">
        <x:v>1313</x:v>
      </x:c>
      <x:c r="B5343" s="58" t="str">
        <x:v>SEARCH | point 2 | DAC 3.00 | CTRL X 0.18729 | X 0.18520 | Y 0.09835 | Z 0.04027 | TOTAL 0.21473 | error -83.71 % | MAD 16.12 % | CV 12.72 % | coh 27.1 % | dominant X | axis fraction 100.0 % | UNSTABLE — SEARCH CONTINUES</x:v>
      </x:c>
      <x:c r="C5343" t="str">
        <x:v>Pasted text(59).txt</x:v>
      </x:c>
    </x:row>
    <x:row r="5344">
      <x:c r="A5344" t="n">
        <x:v>1314</x:v>
      </x:c>
      <x:c r="B5344" s="58" t="str">
        <x:v>SEARCH | point 3 | DAC 5.00 | CTRL X 0.39608 | X 0.40136 | Y 0.20494 | Z 0.11267 | TOTAL 0.46475 | error -65.56 % | MAD 2.20 % | CV 3.63 % | coh 54.6 % | dominant X | axis fraction 100.0 % | VALID</x:v>
      </x:c>
      <x:c r="C5344" t="str">
        <x:v>Pasted text(59).txt</x:v>
      </x:c>
    </x:row>
    <x:row r="5345">
      <x:c r="A5345" t="n">
        <x:v>1315</x:v>
      </x:c>
      <x:c r="B5345" s="58" t="str">
        <x:v>SEARCH | point 4 | DAC 6.00 | CTRL X 0.51127 | X 0.51416 | Y 0.25070 | Z 0.14574 | TOTAL 0.59140 | error -55.54 % | MAD 5.28 % | CV 4.42 % | coh 63.6 % | dominant X | axis fraction 100.0 % | VALID</x:v>
      </x:c>
      <x:c r="C5345" t="str">
        <x:v>Pasted text(59).txt</x:v>
      </x:c>
    </x:row>
    <x:row r="5346">
      <x:c r="A5346" t="n">
        <x:v>1316</x:v>
      </x:c>
      <x:c r="B5346" s="58" t="str">
        <x:v>SEARCH | point 5 | DAC 7.00 | CTRL X 0.63071 | X 0.63393 | Y 0.35408 | Z 0.15328 | TOTAL 0.74285 | error -45.16 % | MAD 2.52 % | CV 2.49 % | coh 73.5 % | dominant X | axis fraction 100.0 % | VALID</x:v>
      </x:c>
      <x:c r="C5346" t="str">
        <x:v>Pasted text(59).txt</x:v>
      </x:c>
    </x:row>
    <x:row r="5347">
      <x:c r="A5347" t="n">
        <x:v>1317</x:v>
      </x:c>
      <x:c r="B5347" s="58" t="str">
        <x:v>SEARCH | point 6 | DAC 8.00 | CTRL X 0.72795 | X 0.73069 | Y 0.39345 | Z 0.17480 | TOTAL 0.84846 | error -36.70 % | MAD 3.57 % | CV 2.98 % | coh 77.2 % | dominant X | axis fraction 100.0 % | VALID</x:v>
      </x:c>
      <x:c r="C5347" t="str">
        <x:v>Pasted text(59).txt</x:v>
      </x:c>
    </x:row>
    <x:row r="5348">
      <x:c r="A5348" t="n">
        <x:v>1318</x:v>
      </x:c>
      <x:c r="B5348" s="58" t="str">
        <x:v>SEARCH | point 7 | DAC 8.50 | CTRL X 0.77846 | X 0.77331 | Y 0.39518 | Z 0.18960 | TOTAL 0.88938 | error -32.31 % | MAD 0.66 % | CV 1.55 % | coh 81.0 % | dominant X | axis fraction 100.0 % | VALID</x:v>
      </x:c>
      <x:c r="C5348" t="str">
        <x:v>Pasted text(59).txt</x:v>
      </x:c>
    </x:row>
    <x:row r="5349">
      <x:c r="A5349" t="n">
        <x:v>1319</x:v>
      </x:c>
      <x:c r="B5349" s="58" t="str">
        <x:v>SEARCH | point 8 | DAC 9.00 | CTRL X 0.84066 | X 0.84791 | Y 0.45474 | Z 0.20613 | TOTAL 0.98492 | error -26.90 % | MAD 0.70 % | CV 1.90 % | coh 80.1 % | dominant X | axis fraction 100.0 % | VALID</x:v>
      </x:c>
      <x:c r="C5349" t="str">
        <x:v>Pasted text(59).txt</x:v>
      </x:c>
    </x:row>
    <x:row r="5350">
      <x:c r="A5350" t="n">
        <x:v>1320</x:v>
      </x:c>
      <x:c r="B5350" s="58" t="str">
        <x:v>SEARCH | point 9 | DAC 9.50 | CTRL X 0.88241 | X 0.89633 | Y 0.45290 | Z 0.22022 | TOTAL 1.02879 | error -23.27 % | MAD 0.03 % | CV 2.71 % | coh 84.5 % | dominant X | axis fraction 100.0 % | VALID</x:v>
      </x:c>
      <x:c r="C5350" t="str">
        <x:v>Pasted text(59).txt</x:v>
      </x:c>
    </x:row>
    <x:row r="5351">
      <x:c r="A5351" t="n">
        <x:v>1321</x:v>
      </x:c>
      <x:c r="B5351" s="58" t="str">
        <x:v>SEARCH | point 10 | DAC 10.00 | CTRL X 0.98155 | X 0.97713 | Y 0.48814 | Z 0.20616 | TOTAL 1.11186 | error -14.65 % | MAD 0.14 % | CV 0.87 % | coh 83.6 % | dominant X | axis fraction 100.0 % | VALID</x:v>
      </x:c>
      <x:c r="C5351" t="str">
        <x:v>Pasted text(59).txt</x:v>
      </x:c>
    </x:row>
    <x:row r="5352">
      <x:c r="A5352" t="n">
        <x:v>1322</x:v>
      </x:c>
      <x:c r="B5352" s="58" t="str">
        <x:v>SEARCH | point 11 | DAC 10.25 | CTRL X 1.00011 | X 0.99574 | Y 0.49818 | Z 0.21654 | TOTAL 1.13464 | error -13.03 % | MAD 1.10 % | CV 1.46 % | coh 86.6 % | dominant X | axis fraction 100.0 % | VALID</x:v>
      </x:c>
      <x:c r="C5352" t="str">
        <x:v>Pasted text(59).txt</x:v>
      </x:c>
    </x:row>
    <x:row r="5353">
      <x:c r="A5353" t="n">
        <x:v>1323</x:v>
      </x:c>
      <x:c r="B5353" s="58" t="str">
        <x:v>SEARCH | point 12 | DAC 10.50 | CTRL X 1.03793 | X 1.02157 | Y 0.50202 | Z 0.22317 | TOTAL 1.16031 | error -9.74 % | MAD 1.40 % | CV 3.64 % | coh 89.1 % | dominant X | axis fraction 100.0 % | VALID</x:v>
      </x:c>
      <x:c r="C5353" t="str">
        <x:v>Pasted text(59).txt</x:v>
      </x:c>
    </x:row>
    <x:row r="5354">
      <x:c r="A5354" t="n">
        <x:v>1324</x:v>
      </x:c>
      <x:c r="B5354" s="58" t="str">
        <x:v>SEARCH | point 13 | DAC 10.75 | CTRL X 1.06116 | X 1.05771 | Y 0.52839 | Z 0.23344 | TOTAL 1.20549 | error -7.73 % | MAD 0.02 % | CV 0.58 % | coh 85.5 % | dominant X | axis fraction 100.0 % | VALID</x:v>
      </x:c>
      <x:c r="C5354" t="str">
        <x:v>Pasted text(59).txt</x:v>
      </x:c>
    </x:row>
    <x:row r="5355">
      <x:c r="A5355" t="n">
        <x:v>1325</x:v>
      </x:c>
      <x:c r="B5355" s="58" t="str">
        <x:v>SEARCH | point 14 | DAC 11.00 | CTRL X 1.10291 | X 1.10144 | Y 0.55892 | Z 0.22614 | TOTAL 1.25622 | error -4.10 % | MAD 1.69 % | CV 1.34 % | coh 86.1 % | dominant X | axis fraction 100.0 % | IN TARGET BAND</x:v>
      </x:c>
      <x:c r="C5355" t="str">
        <x:v>Pasted text(59).txt</x:v>
      </x:c>
    </x:row>
    <x:row r="5356">
      <x:c r="A5356" t="n">
        <x:v>1326</x:v>
      </x:c>
      <x:c r="B5356" s="58" t="str"/>
      <x:c r="C5356" t="str">
        <x:v>Pasted text(59).txt</x:v>
      </x:c>
    </x:row>
    <x:row r="5357">
      <x:c r="A5357" t="n">
        <x:v>1327</x:v>
      </x:c>
      <x:c r="B5357" s="58" t="str">
        <x:v>LOCAL 0.25-DAC X-AXIS FINE SCAN</x:v>
      </x:c>
      <x:c r="C5357" t="str">
        <x:v>Pasted text(59).txt</x:v>
      </x:c>
    </x:row>
    <x:row r="5358">
      <x:c r="A5358" t="n">
        <x:v>1328</x:v>
      </x:c>
      <x:c r="B5358" s="58" t="str">
        <x:v>Only a valid point actually inside the X target band may be selected.</x:v>
      </x:c>
      <x:c r="C5358" t="str">
        <x:v>Pasted text(59).txt</x:v>
      </x:c>
    </x:row>
    <x:row r="5359">
      <x:c r="A5359" t="n">
        <x:v>1329</x:v>
      </x:c>
      <x:c r="B5359" s="58" t="str">
        <x:v>FINE | point 1 | DAC 10.00 | CTRL X 0.96142 | X 0.96557 | Y 0.48112 | Z 0.24697 | TOTAL 1.10710 | error -16.40 % | MAD 0.29 % | CV 0.92 % | coh 84.3 % | dominant X | axis fraction 100.0 % | VALID</x:v>
      </x:c>
      <x:c r="C5359" t="str">
        <x:v>Pasted text(59).txt</x:v>
      </x:c>
    </x:row>
    <x:row r="5360">
      <x:c r="A5360" t="n">
        <x:v>1330</x:v>
      </x:c>
      <x:c r="B5360" s="58" t="str">
        <x:v>FINE | point 2 | DAC 10.25 | CTRL X 0.99468 | X 0.99391 | Y 0.52989 | Z 0.22076 | TOTAL 1.14815 | error -13.51 % | MAD 0.44 % | CV 0.42 % | coh 86.8 % | dominant X | axis fraction 100.0 % | VALID</x:v>
      </x:c>
      <x:c r="C5360" t="str">
        <x:v>Pasted text(59).txt</x:v>
      </x:c>
    </x:row>
    <x:row r="5361">
      <x:c r="A5361" t="n">
        <x:v>1331</x:v>
      </x:c>
      <x:c r="B5361" s="58" t="str">
        <x:v>FINE | point 3 | DAC 10.50 | CTRL X 1.02066 | X 1.01637 | Y 0.54260 | Z 0.21980 | TOTAL 1.17337 | error -11.25 % | MAD 0.99 % | CV 1.36 % | coh 87.1 % | dominant X | axis fraction 100.0 % | VALID</x:v>
      </x:c>
      <x:c r="C5361" t="str">
        <x:v>Pasted text(59).txt</x:v>
      </x:c>
    </x:row>
    <x:row r="5362">
      <x:c r="A5362" t="n">
        <x:v>1332</x:v>
      </x:c>
      <x:c r="B5362" s="58" t="str">
        <x:v>FINE | point 4 | DAC 10.75 | CTRL X 1.05578 | X 1.05534 | Y 0.53242 | Z 0.24717 | TOTAL 1.20767 | error -8.19 % | MAD 0.40 % | CV 0.33 % | coh 84.7 % | dominant X | axis fraction 100.0 % | VALID</x:v>
      </x:c>
      <x:c r="C5362" t="str">
        <x:v>Pasted text(59).txt</x:v>
      </x:c>
    </x:row>
    <x:row r="5363">
      <x:c r="A5363" t="n">
        <x:v>1333</x:v>
      </x:c>
      <x:c r="B5363" s="58" t="str">
        <x:v>FINE | point 5 | DAC 11.00 | CTRL X 1.08355 | X 1.08716 | Y 0.58249 | Z 0.24609 | TOTAL 1.25826 | error -5.78 % | MAD 1.55 % | CV 1.57 % | coh 85.7 % | dominant X | axis fraction 100.0 % | IN TARGET BAND</x:v>
      </x:c>
      <x:c r="C5363" t="str">
        <x:v>Pasted text(59).txt</x:v>
      </x:c>
    </x:row>
    <x:row r="5364">
      <x:c r="A5364" t="n">
        <x:v>1334</x:v>
      </x:c>
      <x:c r="B5364" s="58" t="str">
        <x:v>FINE | point 6 | DAC 11.25 | CTRL X 1.11761 | X 1.10860 | Y 0.56842 | Z 0.24306 | TOTAL 1.26953 | error -2.82 % | MAD 0.39 % | CV 1.64 % | coh 87.8 % | dominant X | axis fraction 100.0 % | IN TARGET BAND</x:v>
      </x:c>
      <x:c r="C5364" t="str">
        <x:v>Pasted text(59).txt</x:v>
      </x:c>
    </x:row>
    <x:row r="5365">
      <x:c r="A5365" t="n">
        <x:v>1335</x:v>
      </x:c>
      <x:c r="B5365" s="58" t="str">
        <x:v>FINE | point 7 | DAC 11.50 | CTRL X 1.14338 | X 1.14311 | Y 0.58944 | Z 0.23648 | TOTAL 1.30780 | error -0.58 % | MAD 1.20 % | CV 0.84 % | coh 89.3 % | dominant X | axis fraction 100.0 % | IN TARGET BAND</x:v>
      </x:c>
      <x:c r="C5365" t="str">
        <x:v>Pasted text(59).txt</x:v>
      </x:c>
    </x:row>
    <x:row r="5366">
      <x:c r="A5366" t="n">
        <x:v>1336</x:v>
      </x:c>
      <x:c r="B5366" s="58" t="str">
        <x:v>FINE | point 8 | DAC 11.75 | CTRL X 1.17897 | X 1.16735 | Y 0.59815 | Z 0.25613 | TOTAL 1.33677 | error 2.52 % | MAD 0.01 % | CV 1.73 % | coh 87.3 % | dominant X | axis fraction 100.0 % | IN TARGET BAND</x:v>
      </x:c>
      <x:c r="C5366" t="str">
        <x:v>Pasted text(59).txt</x:v>
      </x:c>
    </x:row>
    <x:row r="5367">
      <x:c r="A5367" t="n">
        <x:v>1337</x:v>
      </x:c>
      <x:c r="B5367" s="58" t="str">
        <x:v>FINE | point 9 | DAC 12.00 | CTRL X 1.20776 | X 1.20761 | Y 0.62840 | Z 0.23952 | TOTAL 1.38231 | error 5.02 % | MAD 0.04 % | CV 0.05 % | coh 87.9 % | dominant X | axis fraction 100.0 % | IN TARGET BAND</x:v>
      </x:c>
      <x:c r="C5367" t="str">
        <x:v>Pasted text(59).txt</x:v>
      </x:c>
    </x:row>
    <x:row r="5368">
      <x:c r="A5368" t="n">
        <x:v>1338</x:v>
      </x:c>
      <x:c r="B5368" s="58" t="str"/>
      <x:c r="C5368" t="str">
        <x:v>Pasted text(59).txt</x:v>
      </x:c>
    </x:row>
    <x:row r="5369">
      <x:c r="A5369" t="n">
        <x:v>1339</x:v>
      </x:c>
      <x:c r="B5369" s="58" t="str">
        <x:v>LONG VALIDATION AT FIXED DAC 11.50</x:v>
      </x:c>
      <x:c r="C5369" t="str">
        <x:v>Pasted text(59).txt</x:v>
      </x:c>
    </x:row>
    <x:row r="5370">
      <x:c r="A5370" t="n">
        <x:v>1340</x:v>
      </x:c>
      <x:c r="B5370" s="58" t="str">
        <x:v>FINAL | point 1 | DAC 11.50 | CTRL X 1.15352 | X 1.14607 | Y 0.57186 | Z 0.23717 | TOTAL 1.30295 | error 0.31 % | MAD 3.02 % | CV 2.11 % | coh 88.9 % | dominant X | axis fraction 100.0 % | IN TARGET BAND</x:v>
      </x:c>
      <x:c r="C5370" t="str">
        <x:v>Pasted text(59).txt</x:v>
      </x:c>
    </x:row>
    <x:row r="5371">
      <x:c r="A5371" t="n">
        <x:v>1341</x:v>
      </x:c>
      <x:c r="B5371" s="58" t="str">
        <x:v>FINAL | point 2 | DAC 11.50 | CTRL X 1.13600 | X 1.14118 | Y 0.59224 | Z 0.25542 | TOTAL 1.31122 | error -1.22 % | MAD 0.94 % | CV 1.80 % | coh 89.5 % | dominant X | axis fraction 100.0 % | IN TARGET BAND</x:v>
      </x:c>
      <x:c r="C5371" t="str">
        <x:v>Pasted text(59).txt</x:v>
      </x:c>
    </x:row>
    <x:row r="5372">
      <x:c r="A5372" t="n">
        <x:v>1342</x:v>
      </x:c>
      <x:c r="B5372" s="58" t="str">
        <x:v>VALIDATION ACCEPTED | pair drift 1.53 %</x:v>
      </x:c>
      <x:c r="C5372" t="str">
        <x:v>Pasted text(59).txt</x:v>
      </x:c>
    </x:row>
    <x:row r="5373">
      <x:c r="A5373" t="n">
        <x:v>1343</x:v>
      </x:c>
      <x:c r="B5373" s="58" t="str"/>
      <x:c r="C5373" t="str">
        <x:v>Pasted text(59).txt</x:v>
      </x:c>
    </x:row>
    <x:row r="5374">
      <x:c r="A5374" t="n">
        <x:v>1344</x:v>
      </x:c>
      <x:c r="B5374" s="58" t="str">
        <x:v>FINAL VALIDATED BLIND FFT VERIFICATION</x:v>
      </x:c>
      <x:c r="C5374" t="str">
        <x:v>Pasted text(59).txt</x:v>
      </x:c>
    </x:row>
    <x:row r="5375">
      <x:c r="A5375" t="n">
        <x:v>1345</x:v>
      </x:c>
      <x:c r="B5375" s="58" t="str">
        <x:v>Commanded frequency: 272.00000 Hz</x:v>
      </x:c>
      <x:c r="C5375" t="str">
        <x:v>Pasted text(59).txt</x:v>
      </x:c>
    </x:row>
    <x:row r="5376">
      <x:c r="A5376" t="n">
        <x:v>1346</x:v>
      </x:c>
      <x:c r="B5376" s="58" t="str">
        <x:v>Accepted DAC: 11.50</x:v>
      </x:c>
      <x:c r="C5376" t="str">
        <x:v>Pasted text(59).txt</x:v>
      </x:c>
    </x:row>
    <x:row r="5377">
      <x:c r="A5377" t="n">
        <x:v>1347</x:v>
      </x:c>
      <x:c r="B5377" s="58" t="str">
        <x:v>Axis,Frequency_Hz,Amplitude_mps2,SNR_dB,Status</x:v>
      </x:c>
      <x:c r="C5377" t="str">
        <x:v>Pasted text(59).txt</x:v>
      </x:c>
    </x:row>
    <x:row r="5378">
      <x:c r="A5378" t="n">
        <x:v>1348</x:v>
      </x:c>
      <x:c r="B5378" s="58" t="str">
        <x:v>X,271.96016,1.13999,32.73,VALID</x:v>
      </x:c>
      <x:c r="C5378" t="str">
        <x:v>Pasted text(59).txt</x:v>
      </x:c>
    </x:row>
    <x:row r="5379">
      <x:c r="A5379" t="n">
        <x:v>1349</x:v>
      </x:c>
      <x:c r="B5379" s="58" t="str">
        <x:v>Y,271.96708,0.59039,25.43,VALID</x:v>
      </x:c>
      <x:c r="C5379" t="str">
        <x:v>Pasted text(59).txt</x:v>
      </x:c>
    </x:row>
    <x:row r="5380">
      <x:c r="A5380" t="n">
        <x:v>1350</x:v>
      </x:c>
      <x:c r="B5380" s="58" t="str">
        <x:v>Z,272.01874,0.23696,22.12,VALID</x:v>
      </x:c>
      <x:c r="C5380" t="str">
        <x:v>Pasted text(59).txt</x:v>
      </x:c>
    </x:row>
    <x:row r="5381">
      <x:c r="A5381" t="n">
        <x:v>1351</x:v>
      </x:c>
      <x:c r="B5381" s="58" t="str">
        <x:v>Combined frequency: 271.96350 Hz | difference -0.03650 Hz</x:v>
      </x:c>
      <x:c r="C5381" t="str">
        <x:v>Pasted text(59).txt</x:v>
      </x:c>
    </x:row>
    <x:row r="5382">
      <x:c r="A5382" t="n">
        <x:v>1352</x:v>
      </x:c>
      <x:c r="B5382" s="58" t="str">
        <x:v>Combined X/Y/Z/TOTAL: 1.13806 / 0.58921 / 0.23587 / 1.30307</x:v>
      </x:c>
      <x:c r="C5382" t="str">
        <x:v>Pasted text(59).txt</x:v>
      </x:c>
    </x:row>
    <x:row r="5383">
      <x:c r="A5383" t="n">
        <x:v>1353</x:v>
      </x:c>
      <x:c r="B5383" s="58" t="str">
        <x:v>SNR: 29.23 dB | dominant axis X</x:v>
      </x:c>
      <x:c r="C5383" t="str">
        <x:v>Pasted text(59).txt</x:v>
      </x:c>
    </x:row>
    <x:row r="5384">
      <x:c r="A5384" t="n">
        <x:v>1354</x:v>
      </x:c>
      <x:c r="B5384" s="58" t="str">
        <x:v>Frequency verification: PASS</x:v>
      </x:c>
      <x:c r="C5384" t="str">
        <x:v>Pasted text(59).txt</x:v>
      </x:c>
    </x:row>
    <x:row r="5385">
      <x:c r="A5385" t="n">
        <x:v>1355</x:v>
      </x:c>
      <x:c r="B5385" s="58" t="str">
        <x:v>Y/Z dominance: DIAGNOSTIC ONLY — ignored for pass/fail</x:v>
      </x:c>
      <x:c r="C5385" t="str">
        <x:v>Pasted text(59).txt</x:v>
      </x:c>
    </x:row>
    <x:row r="5386">
      <x:c r="A5386" t="n">
        <x:v>1356</x:v>
      </x:c>
      <x:c r="B5386" s="58" t="str"/>
      <x:c r="C5386" t="str">
        <x:v>Pasted text(59).txt</x:v>
      </x:c>
    </x:row>
    <x:row r="5387">
      <x:c r="A5387" t="n">
        <x:v>1357</x:v>
      </x:c>
      <x:c r="B5387" s="58" t="str">
        <x:v>FIXED-DAC HOLD VALIDATION</x:v>
      </x:c>
      <x:c r="C5387" t="str">
        <x:v>Pasted text(59).txt</x:v>
      </x:c>
    </x:row>
    <x:row r="5388">
      <x:c r="A5388" t="n">
        <x:v>1358</x:v>
      </x:c>
      <x:c r="B5388" s="58" t="str">
        <x:v>DAC remains fixed at 11.50 for 10 records.</x:v>
      </x:c>
      <x:c r="C5388" t="str">
        <x:v>Pasted text(59).txt</x:v>
      </x:c>
    </x:row>
    <x:row r="5389">
      <x:c r="A5389" t="n">
        <x:v>1359</x:v>
      </x:c>
      <x:c r="B5389" s="58" t="str">
        <x:v>HOLD | point 1 | DAC 11.50 | CTRL X 1.14895 | X 1.14819 | Y 0.57997 | Z 0.22916 | TOTAL 1.30676 | error -0.09 % | MAD 1.18 % | CV 0.90 % | coh 89.3 % | dominant X | axis fraction 100.0 % | IN TARGET BAND</x:v>
      </x:c>
      <x:c r="C5389" t="str">
        <x:v>Pasted text(59).txt</x:v>
      </x:c>
    </x:row>
    <x:row r="5390">
      <x:c r="A5390" t="n">
        <x:v>1360</x:v>
      </x:c>
      <x:c r="B5390" s="58" t="str">
        <x:v>HOLD | point 2 | DAC 11.50 | CTRL X 1.12880 | X 1.13186 | Y 0.58568 | Z 0.24724 | TOTAL 1.29884 | error -1.84 % | MAD 0.81 % | CV 0.98 % | coh 88.1 % | dominant X | axis fraction 100.0 % | IN TARGET BAND</x:v>
      </x:c>
      <x:c r="C5390" t="str">
        <x:v>Pasted text(59).txt</x:v>
      </x:c>
    </x:row>
    <x:row r="5391">
      <x:c r="A5391" t="n">
        <x:v>1361</x:v>
      </x:c>
      <x:c r="B5391" s="58" t="str">
        <x:v>HOLD | point 3 | DAC 11.50 | CTRL X 1.13966 | X 1.13734 | Y 0.57420 | Z 0.23620 | TOTAL 1.29583 | error -0.90 % | MAD 0.08 % | CV 0.40 % | coh 88.5 % | dominant X | axis fraction 100.0 % | IN TARGET BAND</x:v>
      </x:c>
      <x:c r="C5391" t="str">
        <x:v>Pasted text(59).txt</x:v>
      </x:c>
    </x:row>
    <x:row r="5392">
      <x:c r="A5392" t="n">
        <x:v>1362</x:v>
      </x:c>
      <x:c r="B5392" s="58" t="str">
        <x:v>HOLD | point 4 | DAC 11.50 | CTRL X 1.12508 | X 1.12943 | Y 0.61851 | Z 0.24841 | TOTAL 1.31164 | error -2.17 % | MAD 1.84 % | CV 1.84 % | coh 89.3 % | dominant X | axis fraction 100.0 % | IN TARGET BAND</x:v>
      </x:c>
      <x:c r="C5392" t="str">
        <x:v>Pasted text(59).txt</x:v>
      </x:c>
    </x:row>
    <x:row r="5393">
      <x:c r="A5393" t="n">
        <x:v>1363</x:v>
      </x:c>
      <x:c r="B5393" s="58" t="str">
        <x:v>HOLD | point 5 | DAC 11.50 | CTRL X 1.15575 | X 1.15120 | Y 0.60462 | Z 0.24732 | TOTAL 1.32368 | error 0.50 % | MAD 0.16 % | CV 0.78 % | coh 89.6 % | dominant X | axis fraction 100.0 % | IN TARGET BAND</x:v>
      </x:c>
      <x:c r="C5393" t="str">
        <x:v>Pasted text(59).txt</x:v>
      </x:c>
    </x:row>
    <x:row r="5394">
      <x:c r="A5394" t="n">
        <x:v>1364</x:v>
      </x:c>
      <x:c r="B5394" s="58" t="str">
        <x:v>HOLD | point 6 | DAC 11.50 | CTRL X 1.12690 | X 1.13234 | Y 0.57645 | Z 0.23830 | TOTAL 1.29357 | error -2.01 % | MAD 0.16 % | CV 0.93 % | coh 89.3 % | dominant X | axis fraction 100.0 % | IN TARGET BAND</x:v>
      </x:c>
      <x:c r="C5394" t="str">
        <x:v>Pasted text(59).txt</x:v>
      </x:c>
    </x:row>
    <x:row r="5395">
      <x:c r="A5395" t="n">
        <x:v>1365</x:v>
      </x:c>
      <x:c r="B5395" s="58" t="str">
        <x:v>HOLD | point 7 | DAC 11.50 | CTRL X 1.13861 | X 1.13971 | Y 0.57600 | Z 0.24235 | TOTAL 1.30003 | error -0.99 % | MAD 0.68 % | CV 0.61 % | coh 89.1 % | dominant X | axis fraction 100.0 % | IN TARGET BAND</x:v>
      </x:c>
      <x:c r="C5395" t="str">
        <x:v>Pasted text(59).txt</x:v>
      </x:c>
    </x:row>
    <x:row r="5396">
      <x:c r="A5396" t="n">
        <x:v>1366</x:v>
      </x:c>
      <x:c r="B5396" s="58" t="str">
        <x:v>HOLD | point 8 | DAC 11.50 | CTRL X 1.16843 | X 1.16544 | Y 0.55859 | Z 0.22535 | TOTAL 1.31206 | error 1.60 % | MAD 0.51 % | CV 0.76 % | coh 89.5 % | dominant X | axis fraction 100.0 % | IN TARGET BAND</x:v>
      </x:c>
      <x:c r="C5396" t="str">
        <x:v>Pasted text(59).txt</x:v>
      </x:c>
    </x:row>
    <x:row r="5397">
      <x:c r="A5397" t="n">
        <x:v>1367</x:v>
      </x:c>
      <x:c r="B5397" s="58" t="str">
        <x:v>HOLD | point 9 | DAC 11.50 | CTRL X 1.15874 | X 1.16058 | Y 0.57561 | Z 0.24484 | TOTAL 1.31883 | error 0.76 % | MAD 0.83 % | CV 0.81 % | coh 89.9 % | dominant X | axis fraction 100.0 % | IN TARGET BAND</x:v>
      </x:c>
      <x:c r="C5397" t="str">
        <x:v>Pasted text(59).txt</x:v>
      </x:c>
    </x:row>
    <x:row r="5398">
      <x:c r="A5398" t="n">
        <x:v>1368</x:v>
      </x:c>
      <x:c r="B5398" s="58" t="str">
        <x:v>HOLD | point 10 | DAC 11.50 | CTRL X 1.16826 | X 1.17343 | Y 0.57680 | Z 0.23359 | TOTAL 1.32855 | error 1.59 % | MAD 0.39 % | CV 1.00 % | coh 90.5 % | dominant X | axis fraction 100.0 % | IN TARGET BAND</x:v>
      </x:c>
      <x:c r="C5398" t="str">
        <x:v>Pasted text(59).txt</x:v>
      </x:c>
    </x:row>
    <x:row r="5399">
      <x:c r="A5399" t="n">
        <x:v>1369</x:v>
      </x:c>
      <x:c r="B5399" s="58" t="str"/>
      <x:c r="C5399" t="str">
        <x:v>Pasted text(59).txt</x:v>
      </x:c>
    </x:row>
    <x:row r="5400">
      <x:c r="A5400" t="n">
        <x:v>1370</x:v>
      </x:c>
      <x:c r="B5400" s="58" t="str">
        <x:v>HOLD SUMMARY</x:v>
      </x:c>
      <x:c r="C5400" t="str">
        <x:v>Pasted text(59).txt</x:v>
      </x:c>
    </x:row>
    <x:row r="5401">
      <x:c r="A5401" t="n">
        <x:v>1371</x:v>
      </x:c>
      <x:c r="B5401" s="58" t="str">
        <x:v>Valid / requested: 10 / 10</x:v>
      </x:c>
      <x:c r="C5401" t="str">
        <x:v>Pasted text(59).txt</x:v>
      </x:c>
    </x:row>
    <x:row r="5402">
      <x:c r="A5402" t="n">
        <x:v>1372</x:v>
      </x:c>
      <x:c r="B5402" s="58" t="str">
        <x:v>In band / requested: 10 / 10 = 100.0 %</x:v>
      </x:c>
      <x:c r="C5402" t="str">
        <x:v>Pasted text(59).txt</x:v>
      </x:c>
    </x:row>
    <x:row r="5403">
      <x:c r="A5403" t="n">
        <x:v>1373</x:v>
      </x:c>
      <x:c r="B5403" s="58" t="str">
        <x:v>Mean / SD / CV: 1.14592 / 0.01653 / 1.44 %</x:v>
      </x:c>
      <x:c r="C5403" t="str">
        <x:v>Pasted text(59).txt</x:v>
      </x:c>
    </x:row>
    <x:row r="5404">
      <x:c r="A5404" t="n">
        <x:v>1374</x:v>
      </x:c>
      <x:c r="B5404" s="58" t="str">
        <x:v>Min / Max: 1.12508 / 1.16843</x:v>
      </x:c>
      <x:c r="C5404" t="str">
        <x:v>Pasted text(59).txt</x:v>
      </x:c>
    </x:row>
    <x:row r="5405">
      <x:c r="A5405" t="n">
        <x:v>1375</x:v>
      </x:c>
      <x:c r="B5405" s="58" t="str">
        <x:v>HOLD RESULT: PASS</x:v>
      </x:c>
      <x:c r="C5405" t="str">
        <x:v>Pasted text(59).txt</x:v>
      </x:c>
    </x:row>
    <x:row r="5406">
      <x:c r="A5406" t="n">
        <x:v>1376</x:v>
      </x:c>
      <x:c r="B5406" s="58" t="str"/>
      <x:c r="C5406" t="str">
        <x:v>Pasted text(59).txt</x:v>
      </x:c>
    </x:row>
    <x:row r="5407">
      <x:c r="A5407" t="n">
        <x:v>1377</x:v>
      </x:c>
      <x:c r="B5407" s="58" t="str">
        <x:v>RUN RESULT: PASS</x:v>
      </x:c>
      <x:c r="C5407" t="str">
        <x:v>Pasted text(59).txt</x:v>
      </x:c>
    </x:row>
    <x:row r="5408">
      <x:c r="A5408" t="n">
        <x:v>1378</x:v>
      </x:c>
      <x:c r="B5408" s="58" t="str">
        <x:v>Selected DAC: 11.50</x:v>
      </x:c>
      <x:c r="C5408" t="str">
        <x:v>Pasted text(59).txt</x:v>
      </x:c>
    </x:row>
    <x:row r="5409">
      <x:c r="A5409" t="n">
        <x:v>1379</x:v>
      </x:c>
      <x:c r="B5409" s="58" t="str">
        <x:v>Validated amplitude: 1.14476 m/s^2 | error -0.46 %</x:v>
      </x:c>
      <x:c r="C5409" t="str">
        <x:v>Pasted text(59).txt</x:v>
      </x:c>
    </x:row>
    <x:row r="5410">
      <x:c r="A5410" t="n">
        <x:v>1380</x:v>
      </x:c>
      <x:c r="B5410" s="58" t="str">
        <x:v>FFT frequency: 271.96350 Hz | difference -0.03650 Hz</x:v>
      </x:c>
      <x:c r="C5410" t="str">
        <x:v>Pasted text(59).txt</x:v>
      </x:c>
    </x:row>
    <x:row r="5411">
      <x:c r="A5411" t="n">
        <x:v>1381</x:v>
      </x:c>
      <x:c r="B5411" s="58" t="str"/>
      <x:c r="C5411" t="str">
        <x:v>Pasted text(59).txt</x:v>
      </x:c>
    </x:row>
    <x:row r="5412">
      <x:c r="A5412" t="n">
        <x:v>1382</x:v>
      </x:c>
      <x:c r="B5412" s="58" t="str">
        <x:v>================================================================================</x:v>
      </x:c>
      <x:c r="C5412" t="str">
        <x:v>Pasted text(59).txt</x:v>
      </x:c>
    </x:row>
    <x:row r="5413">
      <x:c r="A5413" t="n">
        <x:v>1383</x:v>
      </x:c>
      <x:c r="B5413" s="58" t="str">
        <x:v>FINAL REPEATED TARGET-AMPLITUDE VALIDATION SUMMARY</x:v>
      </x:c>
      <x:c r="C5413" t="str">
        <x:v>Pasted text(59).txt</x:v>
      </x:c>
    </x:row>
    <x:row r="5414">
      <x:c r="A5414" t="n">
        <x:v>1384</x:v>
      </x:c>
      <x:c r="B5414" s="58" t="str">
        <x:v>================================================================================</x:v>
      </x:c>
      <x:c r="C5414" t="str">
        <x:v>Pasted text(59).txt</x:v>
      </x:c>
    </x:row>
    <x:row r="5415">
      <x:c r="A5415" t="n">
        <x:v>1385</x:v>
      </x:c>
      <x:c r="B5415" s="58" t="str">
        <x:v>Run,Pass,Selected_DAC,Validated_Amp,Error_pct,FFT_Hz,FFT_Diff_Hz,FFT_SNR_dB,Hold_Mean,Hold_CV_pct,Hold_InBand_pct,Reason</x:v>
      </x:c>
      <x:c r="C5415" t="str">
        <x:v>Pasted text(59).txt</x:v>
      </x:c>
    </x:row>
    <x:row r="5416">
      <x:c r="A5416" t="n">
        <x:v>1386</x:v>
      </x:c>
      <x:c r="B5416" s="58" t="str">
        <x:v>1,PASS,11.75,1.18387,2.94,271.96408,-0.03592,29.29,1.21554,0.97,100.0,PASS</x:v>
      </x:c>
      <x:c r="C5416" t="str">
        <x:v>Pasted text(59).txt</x:v>
      </x:c>
    </x:row>
    <x:row r="5417">
      <x:c r="A5417" t="n">
        <x:v>1387</x:v>
      </x:c>
      <x:c r="B5417" s="58" t="str">
        <x:v>2,PASS,11.50,1.15568,0.49,271.95992,-0.04008,29.18,1.16112,0.83,100.0,PASS</x:v>
      </x:c>
      <x:c r="C5417" t="str">
        <x:v>Pasted text(59).txt</x:v>
      </x:c>
    </x:row>
    <x:row r="5418">
      <x:c r="A5418" t="n">
        <x:v>1388</x:v>
      </x:c>
      <x:c r="B5418" s="58" t="str">
        <x:v>3,PASS,11.25,1.15035,0.03,271.92648,-0.07352,29.12,1.12897,1.52,100.0,PASS</x:v>
      </x:c>
      <x:c r="C5418" t="str">
        <x:v>Pasted text(59).txt</x:v>
      </x:c>
    </x:row>
    <x:row r="5419">
      <x:c r="A5419" t="n">
        <x:v>1389</x:v>
      </x:c>
      <x:c r="B5419" s="58" t="str">
        <x:v>4,PASS,11.25,1.14640,-0.31,271.96797,-0.03203,29.16,1.14252,1.23,100.0,PASS</x:v>
      </x:c>
      <x:c r="C5419" t="str">
        <x:v>Pasted text(59).txt</x:v>
      </x:c>
    </x:row>
    <x:row r="5420">
      <x:c r="A5420" t="n">
        <x:v>1390</x:v>
      </x:c>
      <x:c r="B5420" s="58" t="str">
        <x:v>5,PASS,11.50,1.14476,-0.46,271.96350,-0.03650,29.23,1.14592,1.44,100.0,PASS</x:v>
      </x:c>
      <x:c r="C5420" t="str">
        <x:v>Pasted text(59).txt</x:v>
      </x:c>
    </x:row>
    <x:row r="5421">
      <x:c r="A5421" t="n">
        <x:v>1391</x:v>
      </x:c>
      <x:c r="B5421" s="58" t="str">
        <x:v>--------------------------------------------------------------------------------</x:v>
      </x:c>
      <x:c r="C5421" t="str">
        <x:v>Pasted text(59).txt</x:v>
      </x:c>
    </x:row>
    <x:row r="5422">
      <x:c r="A5422" t="n">
        <x:v>1392</x:v>
      </x:c>
      <x:c r="B5422" s="58" t="str">
        <x:v>Successful independent runs: 5 / 5</x:v>
      </x:c>
      <x:c r="C5422" t="str">
        <x:v>Pasted text(59).txt</x:v>
      </x:c>
    </x:row>
    <x:row r="5423">
      <x:c r="A5423" t="n">
        <x:v>1393</x:v>
      </x:c>
      <x:c r="B5423" s="58" t="str">
        <x:v>Validated amplitude mean +/- SD: 1.15621 +/- 0.01602 m/s^2 peak</x:v>
      </x:c>
      <x:c r="C5423" t="str">
        <x:v>Pasted text(59).txt</x:v>
      </x:c>
    </x:row>
    <x:row r="5424">
      <x:c r="A5424" t="n">
        <x:v>1394</x:v>
      </x:c>
      <x:c r="B5424" s="58" t="str">
        <x:v>Across-run amplitude CV: 1.39 %</x:v>
      </x:c>
      <x:c r="C5424" t="str">
        <x:v>Pasted text(59).txt</x:v>
      </x:c>
    </x:row>
    <x:row r="5425">
      <x:c r="A5425" t="n">
        <x:v>1395</x:v>
      </x:c>
      <x:c r="B5425" s="58" t="str">
        <x:v>Maximum absolute target error: 2.94 %</x:v>
      </x:c>
      <x:c r="C5425" t="str">
        <x:v>Pasted text(59).txt</x:v>
      </x:c>
    </x:row>
    <x:row r="5426">
      <x:c r="A5426" t="n">
        <x:v>1396</x:v>
      </x:c>
      <x:c r="B5426" s="58" t="str">
        <x:v>FFT frequency mean +/- SD: 271.95639 +/- 0.01696 Hz</x:v>
      </x:c>
      <x:c r="C5426" t="str">
        <x:v>Pasted text(59).txt</x:v>
      </x:c>
    </x:row>
    <x:row r="5427">
      <x:c r="A5427" t="n">
        <x:v>1397</x:v>
      </x:c>
      <x:c r="B5427" s="58" t="str">
        <x:v>Selected DAC range: 11.25 to 11.75</x:v>
      </x:c>
      <x:c r="C5427" t="str">
        <x:v>Pasted text(59).txt</x:v>
      </x:c>
    </x:row>
    <x:row r="5428">
      <x:c r="A5428" t="n">
        <x:v>1398</x:v>
      </x:c>
      <x:c r="B5428" s="58" t="str">
        <x:v>Average hold records in target band: 100.0 %</x:v>
      </x:c>
      <x:c r="C5428" t="str">
        <x:v>Pasted text(59).txt</x:v>
      </x:c>
    </x:row>
    <x:row r="5429">
      <x:c r="A5429" t="n">
        <x:v>1399</x:v>
      </x:c>
      <x:c r="B5429" s="58" t="str">
        <x:v>OVERALL VERDICT: EXCELLENT REPRODUCIBLE TARGET-AMPLITUDE ACQUISITION.</x:v>
      </x:c>
      <x:c r="C5429" t="str">
        <x:v>Pasted text(59).txt</x:v>
      </x:c>
    </x:row>
    <x:row r="5430">
      <x:c r="A5430" t="n">
        <x:v>1400</x:v>
      </x:c>
      <x:c r="B5430" s="58" t="str">
        <x:v>X-axis amplitude matching is repeatable; phase testing may follow after one independent confirmation session.</x:v>
      </x:c>
      <x:c r="C5430" t="str">
        <x:v>Pasted text(59).txt</x:v>
      </x:c>
    </x:row>
    <x:row r="5431">
      <x:c r="A5431" t="n">
        <x:v>1401</x:v>
      </x:c>
      <x:c r="B5431" s="58" t="str"/>
      <x:c r="C5431" t="str">
        <x:v>Pasted text(59).txt</x:v>
      </x:c>
    </x:row>
    <x:row r="5432">
      <x:c r="A5432" t="n">
        <x:v>1402</x:v>
      </x:c>
      <x:c r="B5432" s="58" t="str">
        <x:v>Automatic test complete. Enter h for commands.</x:v>
      </x:c>
      <x:c r="C5432" t="str">
        <x:v>Pasted text(59).txt</x:v>
      </x:c>
    </x:row>
    <x:row r="5433">
      <x:c r="A5433" t="n">
        <x:v>1403</x:v>
      </x:c>
      <x:c r="B5433" s="58" t="str">
        <x:v>Frequency set to 268.89999 Hz.</x:v>
      </x:c>
      <x:c r="C5433" t="str">
        <x:v>Pasted text(59).txt</x:v>
      </x:c>
    </x:row>
    <x:row r="5434">
      <x:c r="A5434" t="n">
        <x:v>1404</x:v>
      </x:c>
      <x:c r="B5434" s="58" t="str">
        <x:v>Target amplitude set to 0.60000 m/s^2 peak.</x:v>
      </x:c>
      <x:c r="C5434" t="str">
        <x:v>Pasted text(59).txt</x:v>
      </x:c>
    </x:row>
    <x:row r="5435">
      <x:c r="A5435" t="n">
        <x:v>1405</x:v>
      </x:c>
      <x:c r="B5435" s="58" t="str"/>
      <x:c r="C5435" t="str">
        <x:v>Pasted text(59).txt</x:v>
      </x:c>
    </x:row>
    <x:row r="5436">
      <x:c r="A5436" t="n">
        <x:v>1406</x:v>
      </x:c>
      <x:c r="B5436" s="58" t="str">
        <x:v>================================================================================</x:v>
      </x:c>
      <x:c r="C5436" t="str">
        <x:v>Pasted text(59).txt</x:v>
      </x:c>
    </x:row>
    <x:row r="5437">
      <x:c r="A5437" t="n">
        <x:v>1407</x:v>
      </x:c>
      <x:c r="B5437" s="58" t="str">
        <x:v>REPEATED INDEPENDENT TARGET-AMPLITUDE VALIDATION STARTED</x:v>
      </x:c>
      <x:c r="C5437" t="str">
        <x:v>Pasted text(59).txt</x:v>
      </x:c>
    </x:row>
    <x:row r="5438">
      <x:c r="A5438" t="n">
        <x:v>1408</x:v>
      </x:c>
      <x:c r="B5438" s="58" t="str">
        <x:v>================================================================================</x:v>
      </x:c>
      <x:c r="C5438" t="str">
        <x:v>Pasted text(59).txt</x:v>
      </x:c>
    </x:row>
    <x:row r="5439">
      <x:c r="A5439" t="n">
        <x:v>1409</x:v>
      </x:c>
      <x:c r="B5439" s="58" t="str"/>
      <x:c r="C5439" t="str">
        <x:v>Pasted text(59).txt</x:v>
      </x:c>
    </x:row>
    <x:row r="5440">
      <x:c r="A5440" t="n">
        <x:v>1410</x:v>
      </x:c>
      <x:c r="B5440" s="58" t="str">
        <x:v>CURRENT SETTINGS</x:v>
      </x:c>
      <x:c r="C5440" t="str">
        <x:v>Pasted text(59).txt</x:v>
      </x:c>
    </x:row>
    <x:row r="5441">
      <x:c r="A5441" t="n">
        <x:v>1411</x:v>
      </x:c>
      <x:c r="B5441" s="58" t="str">
        <x:v>Frequency: 268.89999 Hz</x:v>
      </x:c>
      <x:c r="C5441" t="str">
        <x:v>Pasted text(59).txt</x:v>
      </x:c>
    </x:row>
    <x:row r="5442">
      <x:c r="A5442" t="n">
        <x:v>1412</x:v>
      </x:c>
      <x:c r="B5442" s="58" t="str">
        <x:v>Control axis: X ONLY (Y/Z diagnostic only)</x:v>
      </x:c>
      <x:c r="C5442" t="str">
        <x:v>Pasted text(59).txt</x:v>
      </x:c>
    </x:row>
    <x:row r="5443">
      <x:c r="A5443" t="n">
        <x:v>1413</x:v>
      </x:c>
      <x:c r="B5443" s="58" t="str">
        <x:v>Target peak amplitude: 0.60000 m/s^2</x:v>
      </x:c>
      <x:c r="C5443" t="str">
        <x:v>Pasted text(59).txt</x:v>
      </x:c>
    </x:row>
    <x:row r="5444">
      <x:c r="A5444" t="n">
        <x:v>1414</x:v>
      </x:c>
      <x:c r="B5444" s="58" t="str">
        <x:v>Tolerance: +/-7.50 %</x:v>
      </x:c>
      <x:c r="C5444" t="str">
        <x:v>Pasted text(59).txt</x:v>
      </x:c>
    </x:row>
    <x:row r="5445">
      <x:c r="A5445" t="n">
        <x:v>1415</x:v>
      </x:c>
      <x:c r="B5445" s="58" t="str">
        <x:v>Allowed amplitude band: 0.55500 to 0.64500 m/s^2 peak</x:v>
      </x:c>
      <x:c r="C5445" t="str">
        <x:v>Pasted text(59).txt</x:v>
      </x:c>
    </x:row>
    <x:row r="5446">
      <x:c r="A5446" t="n">
        <x:v>1416</x:v>
      </x:c>
      <x:c r="B5446" s="58" t="str">
        <x:v>Independent runs: 5</x:v>
      </x:c>
      <x:c r="C5446" t="str">
        <x:v>Pasted text(59).txt</x:v>
      </x:c>
    </x:row>
    <x:row r="5447">
      <x:c r="A5447" t="n">
        <x:v>1417</x:v>
      </x:c>
      <x:c r="B5447" s="58" t="str">
        <x:v>Hold records per run: 10</x:v>
      </x:c>
      <x:c r="C5447" t="str">
        <x:v>Pasted text(59).txt</x:v>
      </x:c>
    </x:row>
    <x:row r="5448">
      <x:c r="A5448" t="n">
        <x:v>1418</x:v>
      </x:c>
      <x:c r="B5448" s="58" t="str">
        <x:v>DAC search range/resolution: 1.00 to 30.00 / 0.25</x:v>
      </x:c>
      <x:c r="C5448" t="str">
        <x:v>Pasted text(59).txt</x:v>
      </x:c>
    </x:row>
    <x:row r="5449">
      <x:c r="A5449" t="n">
        <x:v>1419</x:v>
      </x:c>
      <x:c r="B5449" s="58" t="str">
        <x:v>FFT bin resolution: 1.56250 Hz; accepted command-to-bin difference &lt;= 2.00 Hz</x:v>
      </x:c>
      <x:c r="C5449" t="str">
        <x:v>Pasted text(59).txt</x:v>
      </x:c>
    </x:row>
    <x:row r="5450">
      <x:c r="A5450" t="n">
        <x:v>1420</x:v>
      </x:c>
      <x:c r="B5450" s="58" t="str">
        <x:v>Every run starts from DAC 1.00. Different selected DACs are allowed.</x:v>
      </x:c>
      <x:c r="C5450" t="str">
        <x:v>Pasted text(59).txt</x:v>
      </x:c>
    </x:row>
    <x:row r="5451">
      <x:c r="A5451" t="n">
        <x:v>1421</x:v>
      </x:c>
      <x:c r="B5451" s="58" t="str">
        <x:v>The accepted result is X-axis amplitude and X-axis frequency, not DAC.</x:v>
      </x:c>
      <x:c r="C5451" t="str">
        <x:v>Pasted text(59).txt</x:v>
      </x:c>
    </x:row>
    <x:row r="5452">
      <x:c r="A5452" t="n">
        <x:v>1422</x:v>
      </x:c>
      <x:c r="B5452" s="58" t="str"/>
      <x:c r="C5452" t="str">
        <x:v>Pasted text(59).txt</x:v>
      </x:c>
    </x:row>
    <x:row r="5453">
      <x:c r="A5453" t="n">
        <x:v>1423</x:v>
      </x:c>
      <x:c r="B5453" s="58" t="str">
        <x:v>################################################################################</x:v>
      </x:c>
      <x:c r="C5453" t="str">
        <x:v>Pasted text(59).txt</x:v>
      </x:c>
    </x:row>
    <x:row r="5454">
      <x:c r="A5454" t="n">
        <x:v>1424</x:v>
      </x:c>
      <x:c r="B5454" s="58" t="str">
        <x:v>INDEPENDENT TARGET-AMPLITUDE RUN 1 OF 5</x:v>
      </x:c>
      <x:c r="C5454" t="str">
        <x:v>Pasted text(59).txt</x:v>
      </x:c>
    </x:row>
    <x:row r="5455">
      <x:c r="A5455" t="n">
        <x:v>1425</x:v>
      </x:c>
      <x:c r="B5455" s="58" t="str">
        <x:v>################################################################################</x:v>
      </x:c>
      <x:c r="C5455" t="str">
        <x:v>Pasted text(59).txt</x:v>
      </x:c>
    </x:row>
    <x:row r="5456">
      <x:c r="A5456" t="n">
        <x:v>1426</x:v>
      </x:c>
      <x:c r="B5456" s="58" t="str">
        <x:v>Frequency: 268.89999 Hz</x:v>
      </x:c>
      <x:c r="C5456" t="str">
        <x:v>Pasted text(59).txt</x:v>
      </x:c>
    </x:row>
    <x:row r="5457">
      <x:c r="A5457" t="n">
        <x:v>1427</x:v>
      </x:c>
      <x:c r="B5457" s="58" t="str">
        <x:v>Target X amplitude: 0.60000 m/s^2 peak, tolerance +/-7.50 %</x:v>
      </x:c>
      <x:c r="C5457" t="str">
        <x:v>Pasted text(59).txt</x:v>
      </x:c>
    </x:row>
    <x:row r="5458">
      <x:c r="A5458" t="n">
        <x:v>1428</x:v>
      </x:c>
      <x:c r="B5458" s="58" t="str">
        <x:v>This run starts from DAC 1.00 and ignores every earlier selected DAC.</x:v>
      </x:c>
      <x:c r="C5458" t="str">
        <x:v>Pasted text(59).txt</x:v>
      </x:c>
    </x:row>
    <x:row r="5459">
      <x:c r="A5459" t="n">
        <x:v>1429</x:v>
      </x:c>
      <x:c r="B5459" s="58" t="str">
        <x:v>ADXL2 DEVID/DATA_FORMAT/BW_RATE/POWER_CTL: 0xE5 / 0xB / 0xE / 0x8</x:v>
      </x:c>
      <x:c r="C5459" t="str">
        <x:v>Pasted text(59).txt</x:v>
      </x:c>
    </x:row>
    <x:row r="5460">
      <x:c r="A5460" t="n">
        <x:v>1430</x:v>
      </x:c>
      <x:c r="B5460" s="58" t="str"/>
      <x:c r="C5460" t="str">
        <x:v>Pasted text(59).txt</x:v>
      </x:c>
    </x:row>
    <x:row r="5461">
      <x:c r="A5461" t="n">
        <x:v>1431</x:v>
      </x:c>
      <x:c r="B5461" s="58" t="str">
        <x:v>ACQUISITION ATTEMPT 1 OF 2</x:v>
      </x:c>
      <x:c r="C5461" t="str">
        <x:v>Pasted text(59).txt</x:v>
      </x:c>
    </x:row>
    <x:row r="5462">
      <x:c r="A5462" t="n">
        <x:v>1432</x:v>
      </x:c>
      <x:c r="B5462" s="58" t="str"/>
      <x:c r="C5462" t="str">
        <x:v>Pasted text(59).txt</x:v>
      </x:c>
    </x:row>
    <x:row r="5463">
      <x:c r="A5463" t="n">
        <x:v>1433</x:v>
      </x:c>
      <x:c r="B5463" s="58" t="str">
        <x:v>FRESH X-AXIS SEARCH FROM DAC 1.00 — OLD DAC VALUES ARE NOT USED</x:v>
      </x:c>
      <x:c r="C5463" t="str">
        <x:v>Pasted text(59).txt</x:v>
      </x:c>
    </x:row>
    <x:row r="5464">
      <x:c r="A5464" t="n">
        <x:v>1434</x:v>
      </x:c>
      <x:c r="B5464" s="58" t="str">
        <x:v>Y/Z are diagnostic only and cannot abort this search.</x:v>
      </x:c>
      <x:c r="C5464" t="str">
        <x:v>Pasted text(59).txt</x:v>
      </x:c>
    </x:row>
    <x:row r="5465">
      <x:c r="A5465" t="n">
        <x:v>1435</x:v>
      </x:c>
      <x:c r="B5465" s="58" t="str">
        <x:v>A real SPI fault, clipping, safety limit or confirmed X-response collapse will stop it.</x:v>
      </x:c>
      <x:c r="C5465" t="str">
        <x:v>Pasted text(59).txt</x:v>
      </x:c>
    </x:row>
    <x:row r="5466">
      <x:c r="A5466" t="n">
        <x:v>1436</x:v>
      </x:c>
      <x:c r="B5466" s="58" t="str">
        <x:v>SEARCH | point 1 | DAC 1.00 | CTRL X 0.01342 | X 0.01259 | Y 0.01642 | Z 0.03269 | TOTAL 0.03910 | error -97.76 % | MAD 72.84 % | CV 62.52 % | coh 3.7 % | dominant Z | axis fraction 38.5 % | BELOW MEASUREMENT FLOOR — SEARCH CONTINUES</x:v>
      </x:c>
      <x:c r="C5466" t="str">
        <x:v>Pasted text(59).txt</x:v>
      </x:c>
    </x:row>
    <x:row r="5467">
      <x:c r="A5467" t="n">
        <x:v>1437</x:v>
      </x:c>
      <x:c r="B5467" s="58" t="str">
        <x:v>SEARCH | point 2 | DAC 3.00 | CTRL X 0.20323 | X 0.20536 | Y 0.09301 | Z 0.07428 | TOTAL 0.24048 | error -66.13 % | MAD 10.70 % | CV 8.75 % | coh 30.2 % | dominant X | axis fraction 100.0 % | UNSTABLE — SEARCH CONTINUES</x:v>
      </x:c>
      <x:c r="C5467" t="str">
        <x:v>Pasted text(59).txt</x:v>
      </x:c>
    </x:row>
    <x:row r="5468">
      <x:c r="A5468" t="n">
        <x:v>1438</x:v>
      </x:c>
      <x:c r="B5468" s="58" t="str">
        <x:v>SEARCH | point 3 | DAC 4.00 | CTRL X 0.29994 | X 0.30063 | Y 0.13317 | Z 0.09612 | TOTAL 0.34421 | error -50.01 % | MAD 3.74 % | CV 2.87 % | coh 42.9 % | dominant X | axis fraction 100.0 % | UNSTABLE — SEARCH CONTINUES</x:v>
      </x:c>
      <x:c r="C5468" t="str">
        <x:v>Pasted text(59).txt</x:v>
      </x:c>
    </x:row>
    <x:row r="5469">
      <x:c r="A5469" t="n">
        <x:v>1439</x:v>
      </x:c>
      <x:c r="B5469" s="58" t="str">
        <x:v>SEARCH | point 4 | DAC 5.00 | CTRL X 0.38464 | X 0.39256 | Y 0.17739 | Z 0.10318 | TOTAL 0.44406 | error -35.89 % | MAD 6.55 % | CV 7.56 % | coh 52.4 % | dominant X | axis fraction 100.0 % | VALID</x:v>
      </x:c>
      <x:c r="C5469" t="str">
        <x:v>Pasted text(59).txt</x:v>
      </x:c>
    </x:row>
    <x:row r="5470">
      <x:c r="A5470" t="n">
        <x:v>1440</x:v>
      </x:c>
      <x:c r="B5470" s="58" t="str">
        <x:v>SEARCH | point 5 | DAC 5.50 | CTRL X 0.41170 | X 0.42120 | Y 0.21290 | Z 0.11782 | TOTAL 0.48736 | error -31.38 % | MAD 3.52 % | CV 6.03 % | coh 62.3 % | dominant X | axis fraction 100.0 % | VALID</x:v>
      </x:c>
      <x:c r="C5470" t="str">
        <x:v>Pasted text(59).txt</x:v>
      </x:c>
    </x:row>
    <x:row r="5471">
      <x:c r="A5471" t="n">
        <x:v>1441</x:v>
      </x:c>
      <x:c r="B5471" s="58" t="str">
        <x:v>SEARCH | point 6 | DAC 6.00 | CTRL X 0.50591 | X 0.50470 | Y 0.24374 | Z 0.14457 | TOTAL 0.57930 | error -15.68 % | MAD 2.84 % | CV 2.29 % | coh 63.1 % | dominant X | axis fraction 100.0 % | VALID</x:v>
      </x:c>
      <x:c r="C5471" t="str">
        <x:v>Pasted text(59).txt</x:v>
      </x:c>
    </x:row>
    <x:row r="5472">
      <x:c r="A5472" t="n">
        <x:v>1442</x:v>
      </x:c>
      <x:c r="B5472" s="58" t="str">
        <x:v>SEARCH | point 7 | DAC 6.50 | CTRL X 0.54585 | X 0.54030 | Y 0.26059 | Z 0.15645 | TOTAL 0.62002 | error -9.03 % | MAD 3.56 % | CV 4.07 % | coh 70.7 % | dominant X | axis fraction 100.0 % | VALID</x:v>
      </x:c>
      <x:c r="C5472" t="str">
        <x:v>Pasted text(59).txt</x:v>
      </x:c>
    </x:row>
    <x:row r="5473">
      <x:c r="A5473" t="n">
        <x:v>1443</x:v>
      </x:c>
      <x:c r="B5473" s="58" t="str">
        <x:v>SEARCH | point 8 | DAC 6.75 | CTRL X 0.59339 | X 0.58990 | Y 0.31165 | Z 0.14426 | TOTAL 0.68277 | error -1.10 % | MAD 5.96 % | CV 4.96 % | coh 67.9 % | dominant X | axis fraction 100.0 % | IN TARGET BAND</x:v>
      </x:c>
      <x:c r="C5473" t="str">
        <x:v>Pasted text(59).txt</x:v>
      </x:c>
    </x:row>
    <x:row r="5474">
      <x:c r="A5474" t="n">
        <x:v>1444</x:v>
      </x:c>
      <x:c r="B5474" s="58" t="str"/>
      <x:c r="C5474" t="str">
        <x:v>Pasted text(59).txt</x:v>
      </x:c>
    </x:row>
    <x:row r="5475">
      <x:c r="A5475" t="n">
        <x:v>1445</x:v>
      </x:c>
      <x:c r="B5475" s="58" t="str">
        <x:v>LOCAL 0.25-DAC X-AXIS FINE SCAN</x:v>
      </x:c>
      <x:c r="C5475" t="str">
        <x:v>Pasted text(59).txt</x:v>
      </x:c>
    </x:row>
    <x:row r="5476">
      <x:c r="A5476" t="n">
        <x:v>1446</x:v>
      </x:c>
      <x:c r="B5476" s="58" t="str">
        <x:v>Only a valid point actually inside the X target band may be selected.</x:v>
      </x:c>
      <x:c r="C5476" t="str">
        <x:v>Pasted text(59).txt</x:v>
      </x:c>
    </x:row>
    <x:row r="5477">
      <x:c r="A5477" t="n">
        <x:v>1447</x:v>
      </x:c>
      <x:c r="B5477" s="58" t="str">
        <x:v>FINE | point 1 | DAC 5.75 | CTRL X 0.47950 | X 0.48669 | Y 0.24038 | Z 0.12287 | TOTAL 0.55663 | error -20.08 % | MAD 0.28 % | CV 2.72 % | coh 60.7 % | dominant X | axis fraction 100.0 % | VALID</x:v>
      </x:c>
      <x:c r="C5477" t="str">
        <x:v>Pasted text(59).txt</x:v>
      </x:c>
    </x:row>
    <x:row r="5478">
      <x:c r="A5478" t="n">
        <x:v>1448</x:v>
      </x:c>
      <x:c r="B5478" s="58" t="str">
        <x:v>FINE | point 2 | DAC 6.00 | CTRL X 0.51131 | X 0.51775 | Y 0.26857 | Z 0.13996 | TOTAL 0.59983 | error -14.78 % | MAD 0.80 % | CV 2.63 % | coh 64.4 % | dominant X | axis fraction 100.0 % | VALID</x:v>
      </x:c>
      <x:c r="C5478" t="str">
        <x:v>Pasted text(59).txt</x:v>
      </x:c>
    </x:row>
    <x:row r="5479">
      <x:c r="A5479" t="n">
        <x:v>1449</x:v>
      </x:c>
      <x:c r="B5479" s="58" t="str">
        <x:v>FINE | point 3 | DAC 6.25 | CTRL X 0.53317 | X 0.54291 | Y 0.27302 | Z 0.13856 | TOTAL 0.62387 | error -11.14 % | MAD 1.15 % | CV 3.78 % | coh 69.8 % | dominant X | axis fraction 100.0 % | VALID</x:v>
      </x:c>
      <x:c r="C5479" t="str">
        <x:v>Pasted text(59).txt</x:v>
      </x:c>
    </x:row>
    <x:row r="5480">
      <x:c r="A5480" t="n">
        <x:v>1450</x:v>
      </x:c>
      <x:c r="B5480" s="58" t="str">
        <x:v>FINE | point 4 | DAC 6.50 | CTRL X 0.54822 | X 0.55326 | Y 0.26237 | Z 0.11254 | TOTAL 0.62297 | error -8.63 % | MAD 2.79 % | CV 3.33 % | coh 71.4 % | dominant X | axis fraction 100.0 % | VALID</x:v>
      </x:c>
      <x:c r="C5480" t="str">
        <x:v>Pasted text(59).txt</x:v>
      </x:c>
    </x:row>
    <x:row r="5481">
      <x:c r="A5481" t="n">
        <x:v>1451</x:v>
      </x:c>
      <x:c r="B5481" s="58" t="str">
        <x:v>FINE | point 5 | DAC 6.75 | CTRL X 0.57855 | X 0.58372 | Y 0.30042 | Z 0.14346 | TOTAL 0.67237 | error -3.58 % | MAD 3.23 % | CV 3.57 % | coh 67.3 % | dominant X | axis fraction 100.0 % | IN TARGET BAND</x:v>
      </x:c>
      <x:c r="C5481" t="str">
        <x:v>Pasted text(59).txt</x:v>
      </x:c>
    </x:row>
    <x:row r="5482">
      <x:c r="A5482" t="n">
        <x:v>1452</x:v>
      </x:c>
      <x:c r="B5482" s="58" t="str">
        <x:v>FINE | point 6 | DAC 7.00 | CTRL X 0.61486 | X 0.61484 | Y 0.33575 | Z 0.17785 | TOTAL 0.72308 | error 2.48 % | MAD 2.92 % | CV 1.98 % | coh 72.6 % | dominant X | axis fraction 100.0 % | IN TARGET BAND</x:v>
      </x:c>
      <x:c r="C5482" t="str">
        <x:v>Pasted text(59).txt</x:v>
      </x:c>
    </x:row>
    <x:row r="5483">
      <x:c r="A5483" t="n">
        <x:v>1453</x:v>
      </x:c>
      <x:c r="B5483" s="58" t="str">
        <x:v>FINE | point 7 | DAC 7.25 | CTRL X 0.64532 | X 0.64602 | Y 0.32994 | Z 0.16327 | TOTAL 0.74386 | error 7.55 % | MAD 1.83 % | CV 1.40 % | coh 76.0 % | dominant X | axis fraction 100.0 % | VALID</x:v>
      </x:c>
      <x:c r="C5483" t="str">
        <x:v>Pasted text(59).txt</x:v>
      </x:c>
    </x:row>
    <x:row r="5484">
      <x:c r="A5484" t="n">
        <x:v>1454</x:v>
      </x:c>
      <x:c r="B5484" s="58" t="str">
        <x:v>FINE | point 8 | DAC 7.50 | CTRL X 0.67875 | X 0.66643 | Y 0.33173 | Z 0.14678 | TOTAL 0.75914 | error 13.12 % | MAD 1.58 % | CV 4.17 % | coh 79.9 % | dominant X | axis fraction 100.0 % | VALID</x:v>
      </x:c>
      <x:c r="C5484" t="str">
        <x:v>Pasted text(59).txt</x:v>
      </x:c>
    </x:row>
    <x:row r="5485">
      <x:c r="A5485" t="n">
        <x:v>1455</x:v>
      </x:c>
      <x:c r="B5485" s="58" t="str">
        <x:v>FINE | point 9 | DAC 7.75 | CTRL X 0.69858 | X 0.69480 | Y 0.36756 | Z 0.15330 | TOTAL 0.80136 | error 16.43 % | MAD 1.63 % | CV 1.98 % | coh 73.0 % | dominant X | axis fraction 100.0 % | VALID</x:v>
      </x:c>
      <x:c r="C5485" t="str">
        <x:v>Pasted text(59).txt</x:v>
      </x:c>
    </x:row>
    <x:row r="5486">
      <x:c r="A5486" t="n">
        <x:v>1456</x:v>
      </x:c>
      <x:c r="B5486" s="58" t="str"/>
      <x:c r="C5486" t="str">
        <x:v>Pasted text(59).txt</x:v>
      </x:c>
    </x:row>
    <x:row r="5487">
      <x:c r="A5487" t="n">
        <x:v>1457</x:v>
      </x:c>
      <x:c r="B5487" s="58" t="str">
        <x:v>LONG VALIDATION AT FIXED DAC 7.00</x:v>
      </x:c>
      <x:c r="C5487" t="str">
        <x:v>Pasted text(59).txt</x:v>
      </x:c>
    </x:row>
    <x:row r="5488">
      <x:c r="A5488" t="n">
        <x:v>1458</x:v>
      </x:c>
      <x:c r="B5488" s="58" t="str">
        <x:v>FINAL | point 1 | DAC 7.00 | CTRL X 0.63465 | X 0.63623 | Y 0.31219 | Z 0.13060 | TOTAL 0.72176 | error 5.77 % | MAD 3.92 % | CV 3.60 % | coh 73.5 % | dominant X | axis fraction 100.0 % | IN TARGET BAND</x:v>
      </x:c>
      <x:c r="C5488" t="str">
        <x:v>Pasted text(59).txt</x:v>
      </x:c>
    </x:row>
    <x:row r="5489">
      <x:c r="A5489" t="n">
        <x:v>1459</x:v>
      </x:c>
      <x:c r="B5489" s="58" t="str">
        <x:v>FINAL | point 2 | DAC 7.00 | CTRL X 0.62778 | X 0.61547 | Y 0.32358 | Z 0.14577 | TOTAL 0.71098 | error 4.63 % | MAD 3.65 % | CV 5.19 % | coh 70.9 % | dominant X | axis fraction 100.0 % | IN TARGET BAND</x:v>
      </x:c>
      <x:c r="C5489" t="str">
        <x:v>Pasted text(59).txt</x:v>
      </x:c>
    </x:row>
    <x:row r="5490">
      <x:c r="A5490" t="n">
        <x:v>1460</x:v>
      </x:c>
      <x:c r="B5490" s="58" t="str">
        <x:v>VALIDATION ACCEPTED | pair drift 1.09 %</x:v>
      </x:c>
      <x:c r="C5490" t="str">
        <x:v>Pasted text(59).txt</x:v>
      </x:c>
    </x:row>
    <x:row r="5491">
      <x:c r="A5491" t="n">
        <x:v>1461</x:v>
      </x:c>
      <x:c r="B5491" s="58" t="str"/>
      <x:c r="C5491" t="str">
        <x:v>Pasted text(59).txt</x:v>
      </x:c>
    </x:row>
    <x:row r="5492">
      <x:c r="A5492" t="n">
        <x:v>1462</x:v>
      </x:c>
      <x:c r="B5492" s="58" t="str">
        <x:v>FINAL VALIDATED BLIND FFT VERIFICATION</x:v>
      </x:c>
      <x:c r="C5492" t="str">
        <x:v>Pasted text(59).txt</x:v>
      </x:c>
    </x:row>
    <x:row r="5493">
      <x:c r="A5493" t="n">
        <x:v>1463</x:v>
      </x:c>
      <x:c r="B5493" s="58" t="str">
        <x:v>Commanded frequency: 268.89999 Hz</x:v>
      </x:c>
      <x:c r="C5493" t="str">
        <x:v>Pasted text(59).txt</x:v>
      </x:c>
    </x:row>
    <x:row r="5494">
      <x:c r="A5494" t="n">
        <x:v>1464</x:v>
      </x:c>
      <x:c r="B5494" s="58" t="str">
        <x:v>Accepted DAC: 7.00</x:v>
      </x:c>
      <x:c r="C5494" t="str">
        <x:v>Pasted text(59).txt</x:v>
      </x:c>
    </x:row>
    <x:row r="5495">
      <x:c r="A5495" t="n">
        <x:v>1465</x:v>
      </x:c>
      <x:c r="B5495" s="58" t="str">
        <x:v>Axis,Frequency_Hz,Amplitude_mps2,SNR_dB,Status</x:v>
      </x:c>
      <x:c r="C5495" t="str">
        <x:v>Pasted text(59).txt</x:v>
      </x:c>
    </x:row>
    <x:row r="5496">
      <x:c r="A5496" t="n">
        <x:v>1466</x:v>
      </x:c>
      <x:c r="B5496" s="58" t="str">
        <x:v>X,268.86485,0.64408,29.59,VALID</x:v>
      </x:c>
      <x:c r="C5496" t="str">
        <x:v>Pasted text(59).txt</x:v>
      </x:c>
    </x:row>
    <x:row r="5497">
      <x:c r="A5497" t="n">
        <x:v>1467</x:v>
      </x:c>
      <x:c r="B5497" s="58" t="str">
        <x:v>Y,268.85105,0.34149,21.12,VALID</x:v>
      </x:c>
      <x:c r="C5497" t="str">
        <x:v>Pasted text(59).txt</x:v>
      </x:c>
    </x:row>
    <x:row r="5498">
      <x:c r="A5498" t="n">
        <x:v>1468</x:v>
      </x:c>
      <x:c r="B5498" s="58" t="str">
        <x:v>Z,268.85871,0.16158,19.59,VALID</x:v>
      </x:c>
      <x:c r="C5498" t="str">
        <x:v>Pasted text(59).txt</x:v>
      </x:c>
    </x:row>
    <x:row r="5499">
      <x:c r="A5499" t="n">
        <x:v>1469</x:v>
      </x:c>
      <x:c r="B5499" s="58" t="str">
        <x:v>Combined frequency: 268.86167 Hz | difference -0.03833 Hz</x:v>
      </x:c>
      <x:c r="C5499" t="str">
        <x:v>Pasted text(59).txt</x:v>
      </x:c>
    </x:row>
    <x:row r="5500">
      <x:c r="A5500" t="n">
        <x:v>1470</x:v>
      </x:c>
      <x:c r="B5500" s="58" t="str">
        <x:v>Combined X/Y/Z/TOTAL: 0.64213 / 0.34069 / 0.16115 / 0.74456</x:v>
      </x:c>
      <x:c r="C5500" t="str">
        <x:v>Pasted text(59).txt</x:v>
      </x:c>
    </x:row>
    <x:row r="5501">
      <x:c r="A5501" t="n">
        <x:v>1471</x:v>
      </x:c>
      <x:c r="B5501" s="58" t="str">
        <x:v>SNR: 25.30 dB | dominant axis X</x:v>
      </x:c>
      <x:c r="C5501" t="str">
        <x:v>Pasted text(59).txt</x:v>
      </x:c>
    </x:row>
    <x:row r="5502">
      <x:c r="A5502" t="n">
        <x:v>1472</x:v>
      </x:c>
      <x:c r="B5502" s="58" t="str">
        <x:v>Frequency verification: PASS</x:v>
      </x:c>
      <x:c r="C5502" t="str">
        <x:v>Pasted text(59).txt</x:v>
      </x:c>
    </x:row>
    <x:row r="5503">
      <x:c r="A5503" t="n">
        <x:v>1473</x:v>
      </x:c>
      <x:c r="B5503" s="58" t="str">
        <x:v>Y/Z dominance: DIAGNOSTIC ONLY — ignored for pass/fail</x:v>
      </x:c>
      <x:c r="C5503" t="str">
        <x:v>Pasted text(59).txt</x:v>
      </x:c>
    </x:row>
    <x:row r="5504">
      <x:c r="A5504" t="n">
        <x:v>1474</x:v>
      </x:c>
      <x:c r="B5504" s="58" t="str"/>
      <x:c r="C5504" t="str">
        <x:v>Pasted text(59).txt</x:v>
      </x:c>
    </x:row>
    <x:row r="5505">
      <x:c r="A5505" t="n">
        <x:v>1475</x:v>
      </x:c>
      <x:c r="B5505" s="58" t="str">
        <x:v>FIXED-DAC HOLD VALIDATION</x:v>
      </x:c>
      <x:c r="C5505" t="str">
        <x:v>Pasted text(59).txt</x:v>
      </x:c>
    </x:row>
    <x:row r="5506">
      <x:c r="A5506" t="n">
        <x:v>1476</x:v>
      </x:c>
      <x:c r="B5506" s="58" t="str">
        <x:v>DAC remains fixed at 7.00 for 10 records.</x:v>
      </x:c>
      <x:c r="C5506" t="str">
        <x:v>Pasted text(59).txt</x:v>
      </x:c>
    </x:row>
    <x:row r="5507">
      <x:c r="A5507" t="n">
        <x:v>1477</x:v>
      </x:c>
      <x:c r="B5507" s="58" t="str">
        <x:v>HOLD | point 1 | DAC 7.00 | CTRL X 0.64713 | X 0.65348 | Y 0.34084 | Z 0.16298 | TOTAL 0.75497 | error 7.86 % | MAD 2.05 % | CV 2.95 % | coh 74.8 % | dominant X | axis fraction 100.0 % | VALID</x:v>
      </x:c>
      <x:c r="C5507" t="str">
        <x:v>Pasted text(59).txt</x:v>
      </x:c>
    </x:row>
    <x:row r="5508">
      <x:c r="A5508" t="n">
        <x:v>1478</x:v>
      </x:c>
      <x:c r="B5508" s="58" t="str">
        <x:v>HOLD | point 2 | DAC 7.00 | CTRL X 0.62978 | X 0.63049 | Y 0.35198 | Z 0.15555 | TOTAL 0.73886 | error 4.96 % | MAD 0.96 % | CV 0.82 % | coh 74.0 % | dominant X | axis fraction 100.0 % | IN TARGET BAND</x:v>
      </x:c>
      <x:c r="C5508" t="str">
        <x:v>Pasted text(59).txt</x:v>
      </x:c>
    </x:row>
    <x:row r="5509">
      <x:c r="A5509" t="n">
        <x:v>1479</x:v>
      </x:c>
      <x:c r="B5509" s="58" t="str">
        <x:v>HOLD | point 3 | DAC 7.00 | CTRL X 0.64443 | X 0.64052 | Y 0.35177 | Z 0.13252 | TOTAL 0.74316 | error 7.41 % | MAD 1.53 % | CV 2.02 % | coh 74.5 % | dominant X | axis fraction 100.0 % | IN TARGET BAND</x:v>
      </x:c>
      <x:c r="C5509" t="str">
        <x:v>Pasted text(59).txt</x:v>
      </x:c>
    </x:row>
    <x:row r="5510">
      <x:c r="A5510" t="n">
        <x:v>1480</x:v>
      </x:c>
      <x:c r="B5510" s="58" t="str">
        <x:v>HOLD | point 4 | DAC 7.00 | CTRL X 0.63571 | X 0.63606 | Y 0.34489 | Z 0.15774 | TOTAL 0.74070 | error 5.95 % | MAD 0.04 % | CV 0.12 % | coh 73.5 % | dominant X | axis fraction 100.0 % | IN TARGET BAND</x:v>
      </x:c>
      <x:c r="C5510" t="str">
        <x:v>Pasted text(59).txt</x:v>
      </x:c>
    </x:row>
    <x:row r="5511">
      <x:c r="A5511" t="n">
        <x:v>1481</x:v>
      </x:c>
      <x:c r="B5511" s="58" t="str">
        <x:v>HOLD | point 5 | DAC 7.00 | CTRL X 0.63014 | X 0.63690 | Y 0.33862 | Z 0.13326 | TOTAL 0.73426 | error 5.02 % | MAD 0.96 % | CV 2.42 % | coh 74.9 % | dominant X | axis fraction 100.0 % | IN TARGET BAND</x:v>
      </x:c>
      <x:c r="C5511" t="str">
        <x:v>Pasted text(59).txt</x:v>
      </x:c>
    </x:row>
    <x:row r="5512">
      <x:c r="A5512" t="n">
        <x:v>1482</x:v>
      </x:c>
      <x:c r="B5512" s="58" t="str">
        <x:v>HOLD | point 6 | DAC 7.00 | CTRL X 0.65517 | X 0.65280 | Y 0.32274 | Z 0.12776 | TOTAL 0.73963 | error 9.20 % | MAD 1.89 % | CV 1.86 % | coh 75.6 % | dominant X | axis fraction 100.0 % | VALID</x:v>
      </x:c>
      <x:c r="C5512" t="str">
        <x:v>Pasted text(59).txt</x:v>
      </x:c>
    </x:row>
    <x:row r="5513">
      <x:c r="A5513" t="n">
        <x:v>1483</x:v>
      </x:c>
      <x:c r="B5513" s="58" t="str">
        <x:v>HOLD | point 7 | DAC 7.00 | CTRL X 0.64268 | X 0.64085 | Y 0.34899 | Z 0.16265 | TOTAL 0.74766 | error 7.11 % | MAD 0.25 % | CV 0.65 % | coh 74.4 % | dominant X | axis fraction 100.0 % | IN TARGET BAND</x:v>
      </x:c>
      <x:c r="C5513" t="str">
        <x:v>Pasted text(59).txt</x:v>
      </x:c>
    </x:row>
    <x:row r="5514">
      <x:c r="A5514" t="n">
        <x:v>1484</x:v>
      </x:c>
      <x:c r="B5514" s="58" t="str">
        <x:v>HOLD | point 8 | DAC 7.00 | CTRL X 0.65431 | X 0.65232 | Y 0.34189 | Z 0.14483 | TOTAL 0.75098 | error 9.05 % | MAD 3.61 % | CV 2.92 % | coh 76.4 % | dominant X | axis fraction 100.0 % | VALID</x:v>
      </x:c>
      <x:c r="C5514" t="str">
        <x:v>Pasted text(59).txt</x:v>
      </x:c>
    </x:row>
    <x:row r="5515">
      <x:c r="A5515" t="n">
        <x:v>1485</x:v>
      </x:c>
      <x:c r="B5515" s="58" t="str">
        <x:v>HOLD | point 9 | DAC 7.00 | CTRL X 0.64598 | X 0.64969 | Y 0.33149 | Z 0.14898 | TOTAL 0.74473 | error 7.66 % | MAD 0.80 % | CV 1.48 % | coh 75.1 % | dominant X | axis fraction 100.0 % | VALID</x:v>
      </x:c>
      <x:c r="C5515" t="str">
        <x:v>Pasted text(59).txt</x:v>
      </x:c>
    </x:row>
    <x:row r="5516">
      <x:c r="A5516" t="n">
        <x:v>1486</x:v>
      </x:c>
      <x:c r="B5516" s="58" t="str">
        <x:v>HOLD | point 10 | DAC 7.00 | CTRL X 0.65235 | X 0.64587 | Y 0.33869 | Z 0.14364 | TOTAL 0.74347 | error 8.72 % | MAD 3.86 % | CV 4.22 % | coh 75.5 % | dominant X | axis fraction 100.0 % | VALID</x:v>
      </x:c>
      <x:c r="C5516" t="str">
        <x:v>Pasted text(59).txt</x:v>
      </x:c>
    </x:row>
    <x:row r="5517">
      <x:c r="A5517" t="n">
        <x:v>1487</x:v>
      </x:c>
      <x:c r="B5517" s="58" t="str"/>
      <x:c r="C5517" t="str">
        <x:v>Pasted text(59).txt</x:v>
      </x:c>
    </x:row>
    <x:row r="5518">
      <x:c r="A5518" t="n">
        <x:v>1488</x:v>
      </x:c>
      <x:c r="B5518" s="58" t="str">
        <x:v>HOLD SUMMARY</x:v>
      </x:c>
      <x:c r="C5518" t="str">
        <x:v>Pasted text(59).txt</x:v>
      </x:c>
    </x:row>
    <x:row r="5519">
      <x:c r="A5519" t="n">
        <x:v>1489</x:v>
      </x:c>
      <x:c r="B5519" s="58" t="str">
        <x:v>Valid / requested: 10 / 10</x:v>
      </x:c>
      <x:c r="C5519" t="str">
        <x:v>Pasted text(59).txt</x:v>
      </x:c>
    </x:row>
    <x:row r="5520">
      <x:c r="A5520" t="n">
        <x:v>1490</x:v>
      </x:c>
      <x:c r="B5520" s="58" t="str">
        <x:v>In band / requested: 5 / 10 = 50.0 %</x:v>
      </x:c>
      <x:c r="C5520" t="str">
        <x:v>Pasted text(59).txt</x:v>
      </x:c>
    </x:row>
    <x:row r="5521">
      <x:c r="A5521" t="n">
        <x:v>1491</x:v>
      </x:c>
      <x:c r="B5521" s="58" t="str">
        <x:v>Mean / SD / CV: 0.64377 / 0.00930 / 1.45 %</x:v>
      </x:c>
      <x:c r="C5521" t="str">
        <x:v>Pasted text(59).txt</x:v>
      </x:c>
    </x:row>
    <x:row r="5522">
      <x:c r="A5522" t="n">
        <x:v>1492</x:v>
      </x:c>
      <x:c r="B5522" s="58" t="str">
        <x:v>Min / Max: 0.62978 / 0.65517</x:v>
      </x:c>
      <x:c r="C5522" t="str">
        <x:v>Pasted text(59).txt</x:v>
      </x:c>
    </x:row>
    <x:row r="5523">
      <x:c r="A5523" t="n">
        <x:v>1493</x:v>
      </x:c>
      <x:c r="B5523" s="58" t="str">
        <x:v>HOLD RESULT: FAIL</x:v>
      </x:c>
      <x:c r="C5523" t="str">
        <x:v>Pasted text(59).txt</x:v>
      </x:c>
    </x:row>
    <x:row r="5524">
      <x:c r="A5524" t="n">
        <x:v>1494</x:v>
      </x:c>
      <x:c r="B5524" s="58" t="str"/>
      <x:c r="C5524" t="str">
        <x:v>Pasted text(59).txt</x:v>
      </x:c>
    </x:row>
    <x:row r="5525">
      <x:c r="A5525" t="n">
        <x:v>1495</x:v>
      </x:c>
      <x:c r="B5525" s="58" t="str">
        <x:v>ACQUISITION ATTEMPT 2 OF 2</x:v>
      </x:c>
      <x:c r="C5525" t="str">
        <x:v>Pasted text(59).txt</x:v>
      </x:c>
    </x:row>
    <x:row r="5526">
      <x:c r="A5526" t="n">
        <x:v>1496</x:v>
      </x:c>
      <x:c r="B5526" s="58" t="str"/>
      <x:c r="C5526" t="str">
        <x:v>Pasted text(59).txt</x:v>
      </x:c>
    </x:row>
    <x:row r="5527">
      <x:c r="A5527" t="n">
        <x:v>1497</x:v>
      </x:c>
      <x:c r="B5527" s="58" t="str">
        <x:v>FRESH X-AXIS SEARCH FROM DAC 1.00 — OLD DAC VALUES ARE NOT USED</x:v>
      </x:c>
      <x:c r="C5527" t="str">
        <x:v>Pasted text(59).txt</x:v>
      </x:c>
    </x:row>
    <x:row r="5528">
      <x:c r="A5528" t="n">
        <x:v>1498</x:v>
      </x:c>
      <x:c r="B5528" s="58" t="str">
        <x:v>Y/Z are diagnostic only and cannot abort this search.</x:v>
      </x:c>
      <x:c r="C5528" t="str">
        <x:v>Pasted text(59).txt</x:v>
      </x:c>
    </x:row>
    <x:row r="5529">
      <x:c r="A5529" t="n">
        <x:v>1499</x:v>
      </x:c>
      <x:c r="B5529" s="58" t="str">
        <x:v>A real SPI fault, clipping, safety limit or confirmed X-response collapse will stop it.</x:v>
      </x:c>
      <x:c r="C5529" t="str">
        <x:v>Pasted text(59).txt</x:v>
      </x:c>
    </x:row>
    <x:row r="5530">
      <x:c r="A5530" t="n">
        <x:v>1500</x:v>
      </x:c>
      <x:c r="B5530" s="58" t="str">
        <x:v>SEARCH | point 1 | DAC 1.00 | CTRL X 0.01875 | X 0.02304 | Y 0.01558 | Z 0.01955 | TOTAL 0.03455 | error -96.88 % | MAD 48.88 % | CV 57.09 % | coh 7.3 % | dominant X | axis fraction 100.0 % | BELOW MEASUREMENT FLOOR — SEARCH CONTINUES</x:v>
      </x:c>
      <x:c r="C5530" t="str">
        <x:v>Pasted text(59).txt</x:v>
      </x:c>
    </x:row>
    <x:row r="5531">
      <x:c r="A5531" t="n">
        <x:v>1501</x:v>
      </x:c>
      <x:c r="B5531" s="58" t="str">
        <x:v>SEARCH | point 2 | DAC 3.00 | CTRL X 0.18576 | X 0.18168 | Y 0.09763 | Z 0.06557 | TOTAL 0.21693 | error -69.04 % | MAD 7.50 % | CV 8.75 % | coh 28.2 % | dominant X | axis fraction 100.0 % | UNSTABLE — SEARCH CONTINUES</x:v>
      </x:c>
      <x:c r="C5531" t="str">
        <x:v>Pasted text(59).txt</x:v>
      </x:c>
    </x:row>
    <x:row r="5532">
      <x:c r="A5532" t="n">
        <x:v>1502</x:v>
      </x:c>
      <x:c r="B5532" s="58" t="str">
        <x:v>SEARCH | point 3 | DAC 4.00 | CTRL X 0.30953 | X 0.31088 | Y 0.14254 | Z 0.08627 | TOTAL 0.35278 | error -48.41 % | MAD 3.30 % | CV 2.89 % | coh 45.3 % | dominant X | axis fraction 100.0 % | UNSTABLE — SEARCH CONTINUES</x:v>
      </x:c>
      <x:c r="C5532" t="str">
        <x:v>Pasted text(59).txt</x:v>
      </x:c>
    </x:row>
    <x:row r="5533">
      <x:c r="A5533" t="n">
        <x:v>1503</x:v>
      </x:c>
      <x:c r="B5533" s="58" t="str">
        <x:v>SEARCH | point 4 | DAC 5.00 | CTRL X 0.39000 | X 0.38780 | Y 0.23573 | Z 0.12057 | TOTAL 0.47016 | error -35.00 % | MAD 4.81 % | CV 4.14 % | coh 53.0 % | dominant X | axis fraction 100.0 % | VALID</x:v>
      </x:c>
      <x:c r="C5533" t="str">
        <x:v>Pasted text(59).txt</x:v>
      </x:c>
    </x:row>
    <x:row r="5534">
      <x:c r="A5534" t="n">
        <x:v>1504</x:v>
      </x:c>
      <x:c r="B5534" s="58" t="str">
        <x:v>SEARCH | point 5 | DAC 5.50 | CTRL X 0.44871 | X 0.44767 | Y 0.24262 | Z 0.10601 | TOTAL 0.52056 | error -25.22 % | MAD 8.32 % | CV 5.98 % | coh 65.3 % | dominant X | axis fraction 100.0 % | VALID</x:v>
      </x:c>
      <x:c r="C5534" t="str">
        <x:v>Pasted text(59).txt</x:v>
      </x:c>
    </x:row>
    <x:row r="5535">
      <x:c r="A5535" t="n">
        <x:v>1505</x:v>
      </x:c>
      <x:c r="B5535" s="58" t="str">
        <x:v>SEARCH | point 6 | DAC 6.00 | CTRL X 0.53375 | X 0.52164 | Y 0.26877 | Z 0.12046 | TOTAL 0.59912 | error -11.04 % | MAD 2.25 % | CV 5.42 % | coh 64.2 % | dominant X | axis fraction 100.0 % | VALID</x:v>
      </x:c>
      <x:c r="C5535" t="str">
        <x:v>Pasted text(59).txt</x:v>
      </x:c>
    </x:row>
    <x:row r="5536">
      <x:c r="A5536" t="n">
        <x:v>1506</x:v>
      </x:c>
      <x:c r="B5536" s="58" t="str">
        <x:v>SEARCH | point 7 | DAC 6.25 | CTRL X 0.53567 | X 0.53830 | Y 0.28986 | Z 0.14853 | TOTAL 0.62949 | error -10.72 % | MAD 0.41 % | CV 1.09 % | coh 69.6 % | dominant X | axis fraction 100.0 % | VALID</x:v>
      </x:c>
      <x:c r="C5536" t="str">
        <x:v>Pasted text(59).txt</x:v>
      </x:c>
    </x:row>
    <x:row r="5537">
      <x:c r="A5537" t="n">
        <x:v>1507</x:v>
      </x:c>
      <x:c r="B5537" s="58" t="str">
        <x:v>SEARCH | point 8 | DAC 6.50 | CTRL X 0.57494 | X 0.56940 | Y 0.29219 | Z 0.15769 | TOTAL 0.65946 | error -4.18 % | MAD 2.84 % | CV 3.49 % | coh 73.8 % | dominant X | axis fraction 100.0 % | IN TARGET BAND</x:v>
      </x:c>
      <x:c r="C5537" t="str">
        <x:v>Pasted text(59).txt</x:v>
      </x:c>
    </x:row>
    <x:row r="5538">
      <x:c r="A5538" t="n">
        <x:v>1508</x:v>
      </x:c>
      <x:c r="B5538" s="58" t="str"/>
      <x:c r="C5538" t="str">
        <x:v>Pasted text(59).txt</x:v>
      </x:c>
    </x:row>
    <x:row r="5539">
      <x:c r="A5539" t="n">
        <x:v>1509</x:v>
      </x:c>
      <x:c r="B5539" s="58" t="str">
        <x:v>LOCAL 0.25-DAC X-AXIS FINE SCAN</x:v>
      </x:c>
      <x:c r="C5539" t="str">
        <x:v>Pasted text(59).txt</x:v>
      </x:c>
    </x:row>
    <x:row r="5540">
      <x:c r="A5540" t="n">
        <x:v>1510</x:v>
      </x:c>
      <x:c r="B5540" s="58" t="str">
        <x:v>Only a valid point actually inside the X target band may be selected.</x:v>
      </x:c>
      <x:c r="C5540" t="str">
        <x:v>Pasted text(59).txt</x:v>
      </x:c>
    </x:row>
    <x:row r="5541">
      <x:c r="A5541" t="n">
        <x:v>1511</x:v>
      </x:c>
      <x:c r="B5541" s="58" t="str">
        <x:v>FINE | point 1 | DAC 5.50 | CTRL X 0.43523 | X 0.43674 | Y 0.24361 | Z 0.13810 | TOTAL 0.51933 | error -27.46 % | MAD 0.52 % | CV 0.92 % | coh 64.7 % | dominant X | axis fraction 100.0 % | VALID</x:v>
      </x:c>
      <x:c r="C5541" t="str">
        <x:v>Pasted text(59).txt</x:v>
      </x:c>
    </x:row>
    <x:row r="5542">
      <x:c r="A5542" t="n">
        <x:v>1512</x:v>
      </x:c>
      <x:c r="B5542" s="58" t="str">
        <x:v>FINE | point 2 | DAC 5.75 | CTRL X 0.48425 | X 0.49256 | Y 0.27546 | Z 0.12410 | TOTAL 0.57806 | error -19.29 % | MAD 1.96 % | CV 4.10 % | coh 61.5 % | dominant X | axis fraction 100.0 % | VALID</x:v>
      </x:c>
      <x:c r="C5542" t="str">
        <x:v>Pasted text(59).txt</x:v>
      </x:c>
    </x:row>
    <x:row r="5543">
      <x:c r="A5543" t="n">
        <x:v>1513</x:v>
      </x:c>
      <x:c r="B5543" s="58" t="str">
        <x:v>FINE | point 3 | DAC 6.00 | CTRL X 0.51130 | X 0.52074 | Y 0.27531 | Z 0.12495 | TOTAL 0.60232 | error -14.78 % | MAD 1.67 % | CV 4.14 % | coh 65.6 % | dominant X | axis fraction 100.0 % | VALID</x:v>
      </x:c>
      <x:c r="C5543" t="str">
        <x:v>Pasted text(59).txt</x:v>
      </x:c>
    </x:row>
    <x:row r="5544">
      <x:c r="A5544" t="n">
        <x:v>1514</x:v>
      </x:c>
      <x:c r="B5544" s="58" t="str">
        <x:v>FINE | point 4 | DAC 6.25 | CTRL X 0.53719 | X 0.54230 | Y 0.27159 | Z 0.14341 | TOTAL 0.62387 | error -10.47 % | MAD 3.88 % | CV 4.09 % | coh 70.6 % | dominant X | axis fraction 100.0 % | VALID</x:v>
      </x:c>
      <x:c r="C5544" t="str">
        <x:v>Pasted text(59).txt</x:v>
      </x:c>
    </x:row>
    <x:row r="5545">
      <x:c r="A5545" t="n">
        <x:v>1515</x:v>
      </x:c>
      <x:c r="B5545" s="58" t="str">
        <x:v>FINE | point 5 | DAC 6.50 | CTRL X 0.53505 | X 0.54635 | Y 0.28254 | Z 0.16650 | TOTAL 0.63801 | error -10.82 % | MAD 1.27 % | CV 4.33 % | coh 69.9 % | dominant X | axis fraction 100.0 % | VALID</x:v>
      </x:c>
      <x:c r="C5545" t="str">
        <x:v>Pasted text(59).txt</x:v>
      </x:c>
    </x:row>
    <x:row r="5546">
      <x:c r="A5546" t="n">
        <x:v>1516</x:v>
      </x:c>
      <x:c r="B5546" s="58" t="str">
        <x:v>FINE | point 6 | DAC 6.75 | CTRL X 0.59469 | X 0.60234 | Y 0.33103 | Z 0.14478 | TOTAL 0.70333 | error -0.88 % | MAD 4.44 % | CV 4.98 % | coh 70.0 % | dominant X | axis fraction 100.0 % | IN TARGET BAND</x:v>
      </x:c>
      <x:c r="C5546" t="str">
        <x:v>Pasted text(59).txt</x:v>
      </x:c>
    </x:row>
    <x:row r="5547">
      <x:c r="A5547" t="n">
        <x:v>1517</x:v>
      </x:c>
      <x:c r="B5547" s="58" t="str">
        <x:v>FINE | point 7 | DAC 7.00 | CTRL X 0.62335 | X 0.62701 | Y 0.33268 | Z 0.16436 | TOTAL 0.72875 | error 3.89 % | MAD 0.07 % | CV 1.05 % | coh 73.7 % | dominant X | axis fraction 100.0 % | IN TARGET BAND</x:v>
      </x:c>
      <x:c r="C5547" t="str">
        <x:v>Pasted text(59).txt</x:v>
      </x:c>
    </x:row>
    <x:row r="5548">
      <x:c r="A5548" t="n">
        <x:v>1518</x:v>
      </x:c>
      <x:c r="B5548" s="58" t="str">
        <x:v>FINE | point 8 | DAC 7.25 | CTRL X 0.65031 | X 0.65041 | Y 0.34046 | Z 0.13806 | TOTAL 0.74758 | error 8.38 % | MAD 0.27 % | CV 0.20 % | coh 76.9 % | dominant X | axis fraction 100.0 % | VALID</x:v>
      </x:c>
      <x:c r="C5548" t="str">
        <x:v>Pasted text(59).txt</x:v>
      </x:c>
    </x:row>
    <x:row r="5549">
      <x:c r="A5549" t="n">
        <x:v>1519</x:v>
      </x:c>
      <x:c r="B5549" s="58" t="str">
        <x:v>FINE | point 9 | DAC 7.50 | CTRL X 0.67449 | X 0.67299 | Y 0.34528 | Z 0.16842 | TOTAL 0.77556 | error 12.41 % | MAD 0.83 % | CV 0.92 % | coh 79.8 % | dominant X | axis fraction 100.0 % | VALID</x:v>
      </x:c>
      <x:c r="C5549" t="str">
        <x:v>Pasted text(59).txt</x:v>
      </x:c>
    </x:row>
    <x:row r="5550">
      <x:c r="A5550" t="n">
        <x:v>1520</x:v>
      </x:c>
      <x:c r="B5550" s="58" t="str"/>
      <x:c r="C5550" t="str">
        <x:v>Pasted text(59).txt</x:v>
      </x:c>
    </x:row>
    <x:row r="5551">
      <x:c r="A5551" t="n">
        <x:v>1521</x:v>
      </x:c>
      <x:c r="B5551" s="58" t="str">
        <x:v>LONG VALIDATION AT FIXED DAC 7.00</x:v>
      </x:c>
      <x:c r="C5551" t="str">
        <x:v>Pasted text(59).txt</x:v>
      </x:c>
    </x:row>
    <x:row r="5552">
      <x:c r="A5552" t="n">
        <x:v>1522</x:v>
      </x:c>
      <x:c r="B5552" s="58" t="str">
        <x:v>FINAL | point 1 | DAC 7.00 | CTRL X 0.63677 | X 0.63101 | Y 0.34021 | Z 0.13954 | TOTAL 0.73095 | error 6.13 % | MAD 0.78 % | CV 2.22 % | coh 73.7 % | dominant X | axis fraction 100.0 % | IN TARGET BAND</x:v>
      </x:c>
      <x:c r="C5552" t="str">
        <x:v>Pasted text(59).txt</x:v>
      </x:c>
    </x:row>
    <x:row r="5553">
      <x:c r="A5553" t="n">
        <x:v>1523</x:v>
      </x:c>
      <x:c r="B5553" s="58" t="str">
        <x:v>FINAL | point 2 | DAC 7.00 | CTRL X 0.63424 | X 0.63034 | Y 0.32801 | Z 0.15916 | TOTAL 0.72881 | error 5.71 % | MAD 1.54 % | CV 2.15 % | coh 74.7 % | dominant X | axis fraction 100.0 % | IN TARGET BAND</x:v>
      </x:c>
      <x:c r="C5553" t="str">
        <x:v>Pasted text(59).txt</x:v>
      </x:c>
    </x:row>
    <x:row r="5554">
      <x:c r="A5554" t="n">
        <x:v>1524</x:v>
      </x:c>
      <x:c r="B5554" s="58" t="str">
        <x:v>VALIDATION ACCEPTED | pair drift 0.40 %</x:v>
      </x:c>
      <x:c r="C5554" t="str">
        <x:v>Pasted text(59).txt</x:v>
      </x:c>
    </x:row>
    <x:row r="5555">
      <x:c r="A5555" t="n">
        <x:v>1525</x:v>
      </x:c>
      <x:c r="B5555" s="58" t="str"/>
      <x:c r="C5555" t="str">
        <x:v>Pasted text(59).txt</x:v>
      </x:c>
    </x:row>
    <x:row r="5556">
      <x:c r="A5556" t="n">
        <x:v>1526</x:v>
      </x:c>
      <x:c r="B5556" s="58" t="str">
        <x:v>FINAL VALIDATED BLIND FFT VERIFICATION</x:v>
      </x:c>
      <x:c r="C5556" t="str">
        <x:v>Pasted text(59).txt</x:v>
      </x:c>
    </x:row>
    <x:row r="5557">
      <x:c r="A5557" t="n">
        <x:v>1527</x:v>
      </x:c>
      <x:c r="B5557" s="58" t="str">
        <x:v>Commanded frequency: 268.89999 Hz</x:v>
      </x:c>
      <x:c r="C5557" t="str">
        <x:v>Pasted text(59).txt</x:v>
      </x:c>
    </x:row>
    <x:row r="5558">
      <x:c r="A5558" t="n">
        <x:v>1528</x:v>
      </x:c>
      <x:c r="B5558" s="58" t="str">
        <x:v>Accepted DAC: 7.00</x:v>
      </x:c>
      <x:c r="C5558" t="str">
        <x:v>Pasted text(59).txt</x:v>
      </x:c>
    </x:row>
    <x:row r="5559">
      <x:c r="A5559" t="n">
        <x:v>1529</x:v>
      </x:c>
      <x:c r="B5559" s="58" t="str">
        <x:v>Axis,Frequency_Hz,Amplitude_mps2,SNR_dB,Status</x:v>
      </x:c>
      <x:c r="C5559" t="str">
        <x:v>Pasted text(59).txt</x:v>
      </x:c>
    </x:row>
    <x:row r="5560">
      <x:c r="A5560" t="n">
        <x:v>1530</x:v>
      </x:c>
      <x:c r="B5560" s="58" t="str">
        <x:v>X,268.85480,0.62962,29.46,VALID</x:v>
      </x:c>
      <x:c r="C5560" t="str">
        <x:v>Pasted text(59).txt</x:v>
      </x:c>
    </x:row>
    <x:row r="5561">
      <x:c r="A5561" t="n">
        <x:v>1531</x:v>
      </x:c>
      <x:c r="B5561" s="58" t="str">
        <x:v>Y,268.85192,0.33342,21.03,VALID</x:v>
      </x:c>
      <x:c r="C5561" t="str">
        <x:v>Pasted text(59).txt</x:v>
      </x:c>
    </x:row>
    <x:row r="5562">
      <x:c r="A5562" t="n">
        <x:v>1532</x:v>
      </x:c>
      <x:c r="B5562" s="58" t="str">
        <x:v>Z,268.87342,0.15557,18.96,VALID</x:v>
      </x:c>
      <x:c r="C5562" t="str">
        <x:v>Pasted text(59).txt</x:v>
      </x:c>
    </x:row>
    <x:row r="5563">
      <x:c r="A5563" t="n">
        <x:v>1533</x:v>
      </x:c>
      <x:c r="B5563" s="58" t="str">
        <x:v>Combined frequency: 268.85503 Hz | difference -0.04496 Hz</x:v>
      </x:c>
      <x:c r="C5563" t="str">
        <x:v>Pasted text(59).txt</x:v>
      </x:c>
    </x:row>
    <x:row r="5564">
      <x:c r="A5564" t="n">
        <x:v>1534</x:v>
      </x:c>
      <x:c r="B5564" s="58" t="str">
        <x:v>Combined X/Y/Z/TOTAL: 0.62803 / 0.33261 / 0.15503 / 0.72738</x:v>
      </x:c>
      <x:c r="C5564" t="str">
        <x:v>Pasted text(59).txt</x:v>
      </x:c>
    </x:row>
    <x:row r="5565">
      <x:c r="A5565" t="n">
        <x:v>1535</x:v>
      </x:c>
      <x:c r="B5565" s="58" t="str">
        <x:v>SNR: 25.13 dB | dominant axis X</x:v>
      </x:c>
      <x:c r="C5565" t="str">
        <x:v>Pasted text(59).txt</x:v>
      </x:c>
    </x:row>
    <x:row r="5566">
      <x:c r="A5566" t="n">
        <x:v>1536</x:v>
      </x:c>
      <x:c r="B5566" s="58" t="str">
        <x:v>Frequency verification: PASS</x:v>
      </x:c>
      <x:c r="C5566" t="str">
        <x:v>Pasted text(59).txt</x:v>
      </x:c>
    </x:row>
    <x:row r="5567">
      <x:c r="A5567" t="n">
        <x:v>1537</x:v>
      </x:c>
      <x:c r="B5567" s="58" t="str">
        <x:v>Y/Z dominance: DIAGNOSTIC ONLY — ignored for pass/fail</x:v>
      </x:c>
      <x:c r="C5567" t="str">
        <x:v>Pasted text(59).txt</x:v>
      </x:c>
    </x:row>
    <x:row r="5568">
      <x:c r="A5568" t="n">
        <x:v>1538</x:v>
      </x:c>
      <x:c r="B5568" s="58" t="str"/>
      <x:c r="C5568" t="str">
        <x:v>Pasted text(59).txt</x:v>
      </x:c>
    </x:row>
    <x:row r="5569">
      <x:c r="A5569" t="n">
        <x:v>1539</x:v>
      </x:c>
      <x:c r="B5569" s="58" t="str">
        <x:v>FIXED-DAC HOLD VALIDATION</x:v>
      </x:c>
      <x:c r="C5569" t="str">
        <x:v>Pasted text(59).txt</x:v>
      </x:c>
    </x:row>
    <x:row r="5570">
      <x:c r="A5570" t="n">
        <x:v>1540</x:v>
      </x:c>
      <x:c r="B5570" s="58" t="str">
        <x:v>DAC remains fixed at 7.00 for 10 records.</x:v>
      </x:c>
      <x:c r="C5570" t="str">
        <x:v>Pasted text(59).txt</x:v>
      </x:c>
    </x:row>
    <x:row r="5571">
      <x:c r="A5571" t="n">
        <x:v>1541</x:v>
      </x:c>
      <x:c r="B5571" s="58" t="str">
        <x:v>HOLD | point 1 | DAC 7.00 | CTRL X 0.63021 | X 0.63183 | Y 0.33956 | Z 0.16105 | TOTAL 0.73529 | error 5.04 % | MAD 2.12 % | CV 1.83 % | coh 73.5 % | dominant X | axis fraction 100.0 % | IN TARGET BAND</x:v>
      </x:c>
      <x:c r="C5571" t="str">
        <x:v>Pasted text(59).txt</x:v>
      </x:c>
    </x:row>
    <x:row r="5572">
      <x:c r="A5572" t="n">
        <x:v>1542</x:v>
      </x:c>
      <x:c r="B5572" s="58" t="str">
        <x:v>HOLD | point 2 | DAC 7.00 | CTRL X 0.64809 | X 0.65086 | Y 0.32302 | Z 0.14134 | TOTAL 0.74028 | error 8.02 % | MAD 0.89 % | CV 1.29 % | coh 74.0 % | dominant X | axis fraction 100.0 % | VALID</x:v>
      </x:c>
      <x:c r="C5572" t="str">
        <x:v>Pasted text(59).txt</x:v>
      </x:c>
    </x:row>
    <x:row r="5573">
      <x:c r="A5573" t="n">
        <x:v>1543</x:v>
      </x:c>
      <x:c r="B5573" s="58" t="str">
        <x:v>HOLD | point 3 | DAC 7.00 | CTRL X 0.62058 | X 0.62982 | Y 0.33354 | Z 0.15046 | TOTAL 0.72878 | error 3.43 % | MAD 0.48 % | CV 2.82 % | coh 73.3 % | dominant X | axis fraction 100.0 % | IN TARGET BAND</x:v>
      </x:c>
      <x:c r="C5573" t="str">
        <x:v>Pasted text(59).txt</x:v>
      </x:c>
    </x:row>
    <x:row r="5574">
      <x:c r="A5574" t="n">
        <x:v>1544</x:v>
      </x:c>
      <x:c r="B5574" s="58" t="str">
        <x:v>HOLD | point 4 | DAC 7.00 | CTRL X 0.64235 | X 0.64323 | Y 0.33162 | Z 0.15498 | TOTAL 0.74035 | error 7.06 % | MAD 0.06 % | CV 0.27 % | coh 74.7 % | dominant X | axis fraction 100.0 % | IN TARGET BAND</x:v>
      </x:c>
      <x:c r="C5574" t="str">
        <x:v>Pasted text(59).txt</x:v>
      </x:c>
    </x:row>
    <x:row r="5575">
      <x:c r="A5575" t="n">
        <x:v>1545</x:v>
      </x:c>
      <x:c r="B5575" s="58" t="str">
        <x:v>HOLD | point 5 | DAC 7.00 | CTRL X 0.63424 | X 0.63593 | Y 0.33579 | Z 0.14836 | TOTAL 0.73480 | error 5.71 % | MAD 0.79 % | CV 0.96 % | coh 74.2 % | dominant X | axis fraction 100.0 % | IN TARGET BAND</x:v>
      </x:c>
      <x:c r="C5575" t="str">
        <x:v>Pasted text(59).txt</x:v>
      </x:c>
    </x:row>
    <x:row r="5576">
      <x:c r="A5576" t="n">
        <x:v>1546</x:v>
      </x:c>
      <x:c r="B5576" s="58" t="str">
        <x:v>HOLD | point 6 | DAC 7.00 | CTRL X 0.62426 | X 0.63223 | Y 0.33900 | Z 0.12796 | TOTAL 0.72885 | error 4.04 % | MAD 1.46 % | CV 3.06 % | coh 73.5 % | dominant X | axis fraction 100.0 % | IN TARGET BAND</x:v>
      </x:c>
      <x:c r="C5576" t="str">
        <x:v>Pasted text(59).txt</x:v>
      </x:c>
    </x:row>
    <x:row r="5577">
      <x:c r="A5577" t="n">
        <x:v>1547</x:v>
      </x:c>
      <x:c r="B5577" s="58" t="str">
        <x:v>HOLD | point 7 | DAC 7.00 | CTRL X 0.63982 | X 0.64169 | Y 0.33626 | Z 0.12121 | TOTAL 0.73476 | error 6.64 % | MAD 3.90 % | CV 3.07 % | coh 74.2 % | dominant X | axis fraction 100.0 % | IN TARGET BAND</x:v>
      </x:c>
      <x:c r="C5577" t="str">
        <x:v>Pasted text(59).txt</x:v>
      </x:c>
    </x:row>
    <x:row r="5578">
      <x:c r="A5578" t="n">
        <x:v>1548</x:v>
      </x:c>
      <x:c r="B5578" s="58" t="str">
        <x:v>HOLD | point 8 | DAC 7.00 | CTRL X 0.62607 | X 0.62727 | Y 0.34377 | Z 0.14796 | TOTAL 0.73113 | error 4.35 % | MAD 2.77 % | CV 2.16 % | coh 72.9 % | dominant X | axis fraction 100.0 % | IN TARGET BAND</x:v>
      </x:c>
      <x:c r="C5578" t="str">
        <x:v>Pasted text(59).txt</x:v>
      </x:c>
    </x:row>
    <x:row r="5579">
      <x:c r="A5579" t="n">
        <x:v>1549</x:v>
      </x:c>
      <x:c r="B5579" s="58" t="str">
        <x:v>HOLD | point 9 | DAC 7.00 | CTRL X 0.62317 | X 0.63210 | Y 0.34036 | Z 0.14833 | TOTAL 0.73324 | error 3.86 % | MAD 0.22 % | CV 2.57 % | coh 74.3 % | dominant X | axis fraction 100.0 % | IN TARGET BAND</x:v>
      </x:c>
      <x:c r="C5579" t="str">
        <x:v>Pasted text(59).txt</x:v>
      </x:c>
    </x:row>
    <x:row r="5580">
      <x:c r="A5580" t="n">
        <x:v>1550</x:v>
      </x:c>
      <x:c r="B5580" s="58" t="str">
        <x:v>HOLD | point 10 | DAC 7.00 | CTRL X 0.65010 | X 0.64347 | Y 0.34691 | Z 0.14037 | TOTAL 0.74536 | error 8.35 % | MAD 0.44 % | CV 2.05 % | coh 74.5 % | dominant X | axis fraction 100.0 % | VALID</x:v>
      </x:c>
      <x:c r="C5580" t="str">
        <x:v>Pasted text(59).txt</x:v>
      </x:c>
    </x:row>
    <x:row r="5581">
      <x:c r="A5581" t="n">
        <x:v>1551</x:v>
      </x:c>
      <x:c r="B5581" s="58" t="str"/>
      <x:c r="C5581" t="str">
        <x:v>Pasted text(59).txt</x:v>
      </x:c>
    </x:row>
    <x:row r="5582">
      <x:c r="A5582" t="n">
        <x:v>1552</x:v>
      </x:c>
      <x:c r="B5582" s="58" t="str">
        <x:v>HOLD SUMMARY</x:v>
      </x:c>
      <x:c r="C5582" t="str">
        <x:v>Pasted text(59).txt</x:v>
      </x:c>
    </x:row>
    <x:row r="5583">
      <x:c r="A5583" t="n">
        <x:v>1553</x:v>
      </x:c>
      <x:c r="B5583" s="58" t="str">
        <x:v>Valid / requested: 10 / 10</x:v>
      </x:c>
      <x:c r="C5583" t="str">
        <x:v>Pasted text(59).txt</x:v>
      </x:c>
    </x:row>
    <x:row r="5584">
      <x:c r="A5584" t="n">
        <x:v>1554</x:v>
      </x:c>
      <x:c r="B5584" s="58" t="str">
        <x:v>In band / requested: 8 / 10 = 80.0 %</x:v>
      </x:c>
      <x:c r="C5584" t="str">
        <x:v>Pasted text(59).txt</x:v>
      </x:c>
    </x:row>
    <x:row r="5585">
      <x:c r="A5585" t="n">
        <x:v>1555</x:v>
      </x:c>
      <x:c r="B5585" s="58" t="str">
        <x:v>Mean / SD / CV: 0.63389 / 0.01070 / 1.69 %</x:v>
      </x:c>
      <x:c r="C5585" t="str">
        <x:v>Pasted text(59).txt</x:v>
      </x:c>
    </x:row>
    <x:row r="5586">
      <x:c r="A5586" t="n">
        <x:v>1556</x:v>
      </x:c>
      <x:c r="B5586" s="58" t="str">
        <x:v>Min / Max: 0.62058 / 0.65010</x:v>
      </x:c>
      <x:c r="C5586" t="str">
        <x:v>Pasted text(59).txt</x:v>
      </x:c>
    </x:row>
    <x:row r="5587">
      <x:c r="A5587" t="n">
        <x:v>1557</x:v>
      </x:c>
      <x:c r="B5587" s="58" t="str">
        <x:v>HOLD RESULT: PASS</x:v>
      </x:c>
      <x:c r="C5587" t="str">
        <x:v>Pasted text(59).txt</x:v>
      </x:c>
    </x:row>
    <x:row r="5588">
      <x:c r="A5588" t="n">
        <x:v>1558</x:v>
      </x:c>
      <x:c r="B5588" s="58" t="str"/>
      <x:c r="C5588" t="str">
        <x:v>Pasted text(59).txt</x:v>
      </x:c>
    </x:row>
    <x:row r="5589">
      <x:c r="A5589" t="n">
        <x:v>1559</x:v>
      </x:c>
      <x:c r="B5589" s="58" t="str">
        <x:v>RUN RESULT: PASS</x:v>
      </x:c>
      <x:c r="C5589" t="str">
        <x:v>Pasted text(59).txt</x:v>
      </x:c>
    </x:row>
    <x:row r="5590">
      <x:c r="A5590" t="n">
        <x:v>1560</x:v>
      </x:c>
      <x:c r="B5590" s="58" t="str">
        <x:v>Selected DAC: 7.00</x:v>
      </x:c>
      <x:c r="C5590" t="str">
        <x:v>Pasted text(59).txt</x:v>
      </x:c>
    </x:row>
    <x:row r="5591">
      <x:c r="A5591" t="n">
        <x:v>1561</x:v>
      </x:c>
      <x:c r="B5591" s="58" t="str">
        <x:v>Validated amplitude: 0.63550 m/s^2 | error 5.92 %</x:v>
      </x:c>
      <x:c r="C5591" t="str">
        <x:v>Pasted text(59).txt</x:v>
      </x:c>
    </x:row>
    <x:row r="5592">
      <x:c r="A5592" t="n">
        <x:v>1562</x:v>
      </x:c>
      <x:c r="B5592" s="58" t="str">
        <x:v>FFT frequency: 268.85503 Hz | difference -0.04496 Hz</x:v>
      </x:c>
      <x:c r="C5592" t="str">
        <x:v>Pasted text(59).txt</x:v>
      </x:c>
    </x:row>
    <x:row r="5593">
      <x:c r="A5593" t="n">
        <x:v>1563</x:v>
      </x:c>
      <x:c r="B5593" s="58" t="str"/>
      <x:c r="C5593" t="str">
        <x:v>Pasted text(59).txt</x:v>
      </x:c>
    </x:row>
    <x:row r="5594">
      <x:c r="A5594" t="n">
        <x:v>1564</x:v>
      </x:c>
      <x:c r="B5594" s="58" t="str">
        <x:v>VISATON OFF. RESTING 5.0 s BEFORE THE NEXT COMPLETELY FRESH RUN.</x:v>
      </x:c>
      <x:c r="C5594" t="str">
        <x:v>Pasted text(59).txt</x:v>
      </x:c>
    </x:row>
    <x:row r="5595">
      <x:c r="A5595" t="n">
        <x:v>1565</x:v>
      </x:c>
      <x:c r="B5595" s="58" t="str"/>
      <x:c r="C5595" t="str">
        <x:v>Pasted text(59).txt</x:v>
      </x:c>
    </x:row>
    <x:row r="5596">
      <x:c r="A5596" t="n">
        <x:v>1566</x:v>
      </x:c>
      <x:c r="B5596" s="58" t="str">
        <x:v>################################################################################</x:v>
      </x:c>
      <x:c r="C5596" t="str">
        <x:v>Pasted text(59).txt</x:v>
      </x:c>
    </x:row>
    <x:row r="5597">
      <x:c r="A5597" t="n">
        <x:v>1567</x:v>
      </x:c>
      <x:c r="B5597" s="58" t="str">
        <x:v>INDEPENDENT TARGET-AMPLITUDE RUN 2 OF 5</x:v>
      </x:c>
      <x:c r="C5597" t="str">
        <x:v>Pasted text(59).txt</x:v>
      </x:c>
    </x:row>
    <x:row r="5598">
      <x:c r="A5598" t="n">
        <x:v>1568</x:v>
      </x:c>
      <x:c r="B5598" s="58" t="str">
        <x:v>################################################################################</x:v>
      </x:c>
      <x:c r="C5598" t="str">
        <x:v>Pasted text(59).txt</x:v>
      </x:c>
    </x:row>
    <x:row r="5599">
      <x:c r="A5599" t="n">
        <x:v>1569</x:v>
      </x:c>
      <x:c r="B5599" s="58" t="str">
        <x:v>Frequency: 268.89999 Hz</x:v>
      </x:c>
      <x:c r="C5599" t="str">
        <x:v>Pasted text(59).txt</x:v>
      </x:c>
    </x:row>
    <x:row r="5600">
      <x:c r="A5600" t="n">
        <x:v>1570</x:v>
      </x:c>
      <x:c r="B5600" s="58" t="str">
        <x:v>Target X amplitude: 0.60000 m/s^2 peak, tolerance +/-7.50 %</x:v>
      </x:c>
      <x:c r="C5600" t="str">
        <x:v>Pasted text(59).txt</x:v>
      </x:c>
    </x:row>
    <x:row r="5601">
      <x:c r="A5601" t="n">
        <x:v>1571</x:v>
      </x:c>
      <x:c r="B5601" s="58" t="str">
        <x:v>This run starts from DAC 1.00 and ignores every earlier selected DAC.</x:v>
      </x:c>
      <x:c r="C5601" t="str">
        <x:v>Pasted text(59).txt</x:v>
      </x:c>
    </x:row>
    <x:row r="5602">
      <x:c r="A5602" t="n">
        <x:v>1572</x:v>
      </x:c>
      <x:c r="B5602" s="58" t="str">
        <x:v>ADXL2 DEVID/DATA_FORMAT/BW_RATE/POWER_CTL: 0xE5 / 0xB / 0xE / 0x8</x:v>
      </x:c>
      <x:c r="C5602" t="str">
        <x:v>Pasted text(59).txt</x:v>
      </x:c>
    </x:row>
    <x:row r="5603">
      <x:c r="A5603" t="n">
        <x:v>1573</x:v>
      </x:c>
      <x:c r="B5603" s="58" t="str"/>
      <x:c r="C5603" t="str">
        <x:v>Pasted text(59).txt</x:v>
      </x:c>
    </x:row>
    <x:row r="5604">
      <x:c r="A5604" t="n">
        <x:v>1574</x:v>
      </x:c>
      <x:c r="B5604" s="58" t="str">
        <x:v>ACQUISITION ATTEMPT 1 OF 2</x:v>
      </x:c>
      <x:c r="C5604" t="str">
        <x:v>Pasted text(59).txt</x:v>
      </x:c>
    </x:row>
    <x:row r="5605">
      <x:c r="A5605" t="n">
        <x:v>1575</x:v>
      </x:c>
      <x:c r="B5605" s="58" t="str"/>
      <x:c r="C5605" t="str">
        <x:v>Pasted text(59).txt</x:v>
      </x:c>
    </x:row>
    <x:row r="5606">
      <x:c r="A5606" t="n">
        <x:v>1576</x:v>
      </x:c>
      <x:c r="B5606" s="58" t="str">
        <x:v>FRESH X-AXIS SEARCH FROM DAC 1.00 — OLD DAC VALUES ARE NOT USED</x:v>
      </x:c>
      <x:c r="C5606" t="str">
        <x:v>Pasted text(59).txt</x:v>
      </x:c>
    </x:row>
    <x:row r="5607">
      <x:c r="A5607" t="n">
        <x:v>1577</x:v>
      </x:c>
      <x:c r="B5607" s="58" t="str">
        <x:v>Y/Z are diagnostic only and cannot abort this search.</x:v>
      </x:c>
      <x:c r="C5607" t="str">
        <x:v>Pasted text(59).txt</x:v>
      </x:c>
    </x:row>
    <x:row r="5608">
      <x:c r="A5608" t="n">
        <x:v>1578</x:v>
      </x:c>
      <x:c r="B5608" s="58" t="str">
        <x:v>A real SPI fault, clipping, safety limit or confirmed X-response collapse will stop it.</x:v>
      </x:c>
      <x:c r="C5608" t="str">
        <x:v>Pasted text(59).txt</x:v>
      </x:c>
    </x:row>
    <x:row r="5609">
      <x:c r="A5609" t="n">
        <x:v>1579</x:v>
      </x:c>
      <x:c r="B5609" s="58" t="str">
        <x:v>SEARCH | point 1 | DAC 1.00 | CTRL X 0.02074 | X 0.01880 | Y 0.03287 | Z 0.01471 | TOTAL 0.04089 | error -96.54 % | MAD 27.64 % | CV 14.54 % | coh 6.1 % | dominant Y | axis fraction 57.2 % | BELOW MEASUREMENT FLOOR — SEARCH CONTINUES</x:v>
      </x:c>
      <x:c r="C5609" t="str">
        <x:v>Pasted text(59).txt</x:v>
      </x:c>
    </x:row>
    <x:row r="5610">
      <x:c r="A5610" t="n">
        <x:v>1580</x:v>
      </x:c>
      <x:c r="B5610" s="58" t="str">
        <x:v>SEARCH | point 2 | DAC 3.00 | CTRL X 0.19479 | X 0.19183 | Y 0.09548 | Z 0.05142 | TOTAL 0.22134 | error -67.54 % | MAD 17.18 % | CV 14.14 % | coh 29.7 % | dominant X | axis fraction 100.0 % | UNSTABLE — SEARCH CONTINUES</x:v>
      </x:c>
      <x:c r="C5610" t="str">
        <x:v>Pasted text(59).txt</x:v>
      </x:c>
    </x:row>
    <x:row r="5611">
      <x:c r="A5611" t="n">
        <x:v>1581</x:v>
      </x:c>
      <x:c r="B5611" s="58" t="str">
        <x:v>SEARCH | point 3 | DAC 4.00 | CTRL X 0.29718 | X 0.31227 | Y 0.14839 | Z 0.10034 | TOTAL 0.36066 | error -50.47 % | MAD 0.04 % | CV 8.39 % | coh 46.7 % | dominant X | axis fraction 100.0 % | UNSTABLE — SEARCH CONTINUES</x:v>
      </x:c>
      <x:c r="C5611" t="str">
        <x:v>Pasted text(59).txt</x:v>
      </x:c>
    </x:row>
    <x:row r="5612">
      <x:c r="A5612" t="n">
        <x:v>1582</x:v>
      </x:c>
      <x:c r="B5612" s="58" t="str">
        <x:v>SEARCH | point 4 | DAC 5.00 | CTRL X 0.39763 | X 0.39780 | Y 0.22214 | Z 0.14681 | TOTAL 0.47990 | error -33.73 % | MAD 5.15 % | CV 3.54 % | coh 54.7 % | dominant X | axis fraction 100.0 % | VALID</x:v>
      </x:c>
      <x:c r="C5612" t="str">
        <x:v>Pasted text(59).txt</x:v>
      </x:c>
    </x:row>
    <x:row r="5613">
      <x:c r="A5613" t="n">
        <x:v>1583</x:v>
      </x:c>
      <x:c r="B5613" s="58" t="str">
        <x:v>SEARCH | point 5 | DAC 5.50 | CTRL X 0.44749 | X 0.44977 | Y 0.22562 | Z 0.12728 | TOTAL 0.51911 | error -25.42 % | MAD 3.50 % | CV 3.14 % | coh 65.7 % | dominant X | axis fraction 100.0 % | VALID</x:v>
      </x:c>
      <x:c r="C5613" t="str">
        <x:v>Pasted text(59).txt</x:v>
      </x:c>
    </x:row>
    <x:row r="5614">
      <x:c r="A5614" t="n">
        <x:v>1584</x:v>
      </x:c>
      <x:c r="B5614" s="58" t="str">
        <x:v>SEARCH | point 6 | DAC 6.00 | CTRL X 0.50724 | X 0.51808 | Y 0.26176 | Z 0.16802 | TOTAL 0.60461 | error -15.46 % | MAD 2.05 % | CV 4.85 % | coh 65.2 % | dominant X | axis fraction 100.0 % | VALID</x:v>
      </x:c>
      <x:c r="C5614" t="str">
        <x:v>Pasted text(59).txt</x:v>
      </x:c>
    </x:row>
    <x:row r="5615">
      <x:c r="A5615" t="n">
        <x:v>1585</x:v>
      </x:c>
      <x:c r="B5615" s="58" t="str">
        <x:v>SEARCH | point 7 | DAC 6.50 | CTRL X 0.56124 | X 0.56409 | Y 0.26767 | Z 0.13320 | TOTAL 0.63921 | error -6.46 % | MAD 2.13 % | CV 2.23 % | coh 72.8 % | dominant X | axis fraction 100.0 % | IN TARGET BAND</x:v>
      </x:c>
      <x:c r="C5615" t="str">
        <x:v>Pasted text(59).txt</x:v>
      </x:c>
    </x:row>
    <x:row r="5616">
      <x:c r="A5616" t="n">
        <x:v>1586</x:v>
      </x:c>
      <x:c r="B5616" s="58" t="str"/>
      <x:c r="C5616" t="str">
        <x:v>Pasted text(59).txt</x:v>
      </x:c>
    </x:row>
    <x:row r="5617">
      <x:c r="A5617" t="n">
        <x:v>1587</x:v>
      </x:c>
      <x:c r="B5617" s="58" t="str">
        <x:v>LOCAL 0.25-DAC X-AXIS FINE SCAN</x:v>
      </x:c>
      <x:c r="C5617" t="str">
        <x:v>Pasted text(59).txt</x:v>
      </x:c>
    </x:row>
    <x:row r="5618">
      <x:c r="A5618" t="n">
        <x:v>1588</x:v>
      </x:c>
      <x:c r="B5618" s="58" t="str">
        <x:v>Only a valid point actually inside the X target band may be selected.</x:v>
      </x:c>
      <x:c r="C5618" t="str">
        <x:v>Pasted text(59).txt</x:v>
      </x:c>
    </x:row>
    <x:row r="5619">
      <x:c r="A5619" t="n">
        <x:v>1589</x:v>
      </x:c>
      <x:c r="B5619" s="58" t="str">
        <x:v>FINE | point 1 | DAC 5.50 | CTRL X 0.44337 | X 0.43781 | Y 0.21745 | Z 0.12317 | TOTAL 0.50435 | error -26.10 % | MAD 4.38 % | CV 5.02 % | coh 66.3 % | dominant X | axis fraction 100.0 % | VALID</x:v>
      </x:c>
      <x:c r="C5619" t="str">
        <x:v>Pasted text(59).txt</x:v>
      </x:c>
    </x:row>
    <x:row r="5620">
      <x:c r="A5620" t="n">
        <x:v>1590</x:v>
      </x:c>
      <x:c r="B5620" s="58" t="str">
        <x:v>FINE | point 2 | DAC 5.75 | CTRL X 0.48743 | X 0.48708 | Y 0.27401 | Z 0.13003 | TOTAL 0.57427 | error -18.76 % | MAD 1.21 % | CV 0.93 % | coh 61.5 % | dominant X | axis fraction 100.0 % | VALID</x:v>
      </x:c>
      <x:c r="C5620" t="str">
        <x:v>Pasted text(59).txt</x:v>
      </x:c>
    </x:row>
    <x:row r="5621">
      <x:c r="A5621" t="n">
        <x:v>1591</x:v>
      </x:c>
      <x:c r="B5621" s="58" t="str">
        <x:v>FINE | point 3 | DAC 6.00 | CTRL X 0.52317 | X 0.52643 | Y 0.25832 | Z 0.11246 | TOTAL 0.59748 | error -12.80 % | MAD 1.48 % | CV 2.00 % | coh 65.2 % | dominant X | axis fraction 100.0 % | VALID</x:v>
      </x:c>
      <x:c r="C5621" t="str">
        <x:v>Pasted text(59).txt</x:v>
      </x:c>
    </x:row>
    <x:row r="5622">
      <x:c r="A5622" t="n">
        <x:v>1592</x:v>
      </x:c>
      <x:c r="B5622" s="58" t="str">
        <x:v>FINE | point 4 | DAC 6.25 | CTRL X 0.53923 | X 0.53685 | Y 0.26249 | Z 0.13851 | TOTAL 0.61385 | error -10.13 % | MAD 0.11 % | CV 0.83 % | coh 69.0 % | dominant X | axis fraction 100.0 % | VALID</x:v>
      </x:c>
      <x:c r="C5622" t="str">
        <x:v>Pasted text(59).txt</x:v>
      </x:c>
    </x:row>
    <x:row r="5623">
      <x:c r="A5623" t="n">
        <x:v>1593</x:v>
      </x:c>
      <x:c r="B5623" s="58" t="str">
        <x:v>FINE | point 5 | DAC 6.50 | CTRL X 0.54653 | X 0.54866 | Y 0.26359 | Z 0.11384 | TOTAL 0.61970 | error -8.91 % | MAD 7.60 % | CV 5.70 % | coh 71.5 % | dominant X | axis fraction 100.0 % | VALID</x:v>
      </x:c>
      <x:c r="C5623" t="str">
        <x:v>Pasted text(59).txt</x:v>
      </x:c>
    </x:row>
    <x:row r="5624">
      <x:c r="A5624" t="n">
        <x:v>1594</x:v>
      </x:c>
      <x:c r="B5624" s="58" t="str">
        <x:v>FINE | point 6 | DAC 6.75 | CTRL X 0.56845 | X 0.58297 | Y 0.60298 | Z 0.11662 | TOTAL 0.88963 | error -5.26 % | MAD 0.28 % | CV 4.48 % | coh 68.5 % | dominant Y | axis fraction 96.7 % | IN TARGET BAND</x:v>
      </x:c>
      <x:c r="C5624" t="str">
        <x:v>Pasted text(59).txt</x:v>
      </x:c>
    </x:row>
    <x:row r="5625">
      <x:c r="A5625" t="n">
        <x:v>1595</x:v>
      </x:c>
      <x:c r="B5625" s="58" t="str">
        <x:v>FINE | point 7 | DAC 7.00 | CTRL X 0.62953 | X 0.63201 | Y 0.33111 | Z 0.14577 | TOTAL 0.72854 | error 4.92 % | MAD 2.27 % | CV 2.14 % | coh 74.3 % | dominant X | axis fraction 100.0 % | IN TARGET BAND</x:v>
      </x:c>
      <x:c r="C5625" t="str">
        <x:v>Pasted text(59).txt</x:v>
      </x:c>
    </x:row>
    <x:row r="5626">
      <x:c r="A5626" t="n">
        <x:v>1596</x:v>
      </x:c>
      <x:c r="B5626" s="58" t="str">
        <x:v>FINE | point 8 | DAC 7.25 | CTRL X 0.64920 | X 0.64069 | Y 0.34278 | Z 0.13167 | TOTAL 0.73905 | error 8.20 % | MAD 2.33 % | CV 3.77 % | coh 75.8 % | dominant X | axis fraction 100.0 % | VALID</x:v>
      </x:c>
      <x:c r="C5626" t="str">
        <x:v>Pasted text(59).txt</x:v>
      </x:c>
    </x:row>
    <x:row r="5627">
      <x:c r="A5627" t="n">
        <x:v>1597</x:v>
      </x:c>
      <x:c r="B5627" s="58" t="str">
        <x:v>FINE | point 9 | DAC 7.50 | CTRL X 0.68019 | X 0.67471 | Y 0.35574 | Z 0.16783 | TOTAL 0.78130 | error 13.37 % | MAD 2.35 % | CV 2.90 % | coh 81.1 % | dominant X | axis fraction 100.0 % | VALID</x:v>
      </x:c>
      <x:c r="C5627" t="str">
        <x:v>Pasted text(59).txt</x:v>
      </x:c>
    </x:row>
    <x:row r="5628">
      <x:c r="A5628" t="n">
        <x:v>1598</x:v>
      </x:c>
      <x:c r="B5628" s="58" t="str"/>
      <x:c r="C5628" t="str">
        <x:v>Pasted text(59).txt</x:v>
      </x:c>
    </x:row>
    <x:row r="5629">
      <x:c r="A5629" t="n">
        <x:v>1599</x:v>
      </x:c>
      <x:c r="B5629" s="58" t="str">
        <x:v>LONG VALIDATION AT FIXED DAC 7.00</x:v>
      </x:c>
      <x:c r="C5629" t="str">
        <x:v>Pasted text(59).txt</x:v>
      </x:c>
    </x:row>
    <x:row r="5630">
      <x:c r="A5630" t="n">
        <x:v>1600</x:v>
      </x:c>
      <x:c r="B5630" s="58" t="str">
        <x:v>FINAL | point 1 | DAC 7.00 | CTRL X 0.61979 | X 0.62354 | Y 0.33967 | Z 0.15579 | TOTAL 0.72722 | error 3.30 % | MAD 0.40 % | CV 2.27 % | coh 73.2 % | dominant X | axis fraction 100.0 % | IN TARGET BAND</x:v>
      </x:c>
      <x:c r="C5630" t="str">
        <x:v>Pasted text(59).txt</x:v>
      </x:c>
    </x:row>
    <x:row r="5631">
      <x:c r="A5631" t="n">
        <x:v>1601</x:v>
      </x:c>
      <x:c r="B5631" s="58" t="str">
        <x:v>FINAL | point 2 | DAC 7.00 | CTRL X 0.59507 | X 0.61048 | Y 0.34812 | Z 0.13652 | TOTAL 0.71629 | error -0.82 % | MAD 1.02 % | CV 3.96 % | coh 71.7 % | dominant X | axis fraction 100.0 % | IN TARGET BAND</x:v>
      </x:c>
      <x:c r="C5631" t="str">
        <x:v>Pasted text(59).txt</x:v>
      </x:c>
    </x:row>
    <x:row r="5632">
      <x:c r="A5632" t="n">
        <x:v>1602</x:v>
      </x:c>
      <x:c r="B5632" s="58" t="str">
        <x:v>VALIDATION ACCEPTED | pair drift 4.07 %</x:v>
      </x:c>
      <x:c r="C5632" t="str">
        <x:v>Pasted text(59).txt</x:v>
      </x:c>
    </x:row>
    <x:row r="5633">
      <x:c r="A5633" t="n">
        <x:v>1603</x:v>
      </x:c>
      <x:c r="B5633" s="58" t="str"/>
      <x:c r="C5633" t="str">
        <x:v>Pasted text(59).txt</x:v>
      </x:c>
    </x:row>
    <x:row r="5634">
      <x:c r="A5634" t="n">
        <x:v>1604</x:v>
      </x:c>
      <x:c r="B5634" s="58" t="str">
        <x:v>FINAL VALIDATED BLIND FFT VERIFICATION</x:v>
      </x:c>
      <x:c r="C5634" t="str">
        <x:v>Pasted text(59).txt</x:v>
      </x:c>
    </x:row>
    <x:row r="5635">
      <x:c r="A5635" t="n">
        <x:v>1605</x:v>
      </x:c>
      <x:c r="B5635" s="58" t="str">
        <x:v>Commanded frequency: 268.89999 Hz</x:v>
      </x:c>
      <x:c r="C5635" t="str">
        <x:v>Pasted text(59).txt</x:v>
      </x:c>
    </x:row>
    <x:row r="5636">
      <x:c r="A5636" t="n">
        <x:v>1606</x:v>
      </x:c>
      <x:c r="B5636" s="58" t="str">
        <x:v>Accepted DAC: 7.00</x:v>
      </x:c>
      <x:c r="C5636" t="str">
        <x:v>Pasted text(59).txt</x:v>
      </x:c>
    </x:row>
    <x:row r="5637">
      <x:c r="A5637" t="n">
        <x:v>1607</x:v>
      </x:c>
      <x:c r="B5637" s="58" t="str">
        <x:v>Axis,Frequency_Hz,Amplitude_mps2,SNR_dB,Status</x:v>
      </x:c>
      <x:c r="C5637" t="str">
        <x:v>Pasted text(59).txt</x:v>
      </x:c>
    </x:row>
    <x:row r="5638">
      <x:c r="A5638" t="n">
        <x:v>1608</x:v>
      </x:c>
      <x:c r="B5638" s="58" t="str">
        <x:v>X,268.86735,0.61891,29.57,VALID</x:v>
      </x:c>
      <x:c r="C5638" t="str">
        <x:v>Pasted text(59).txt</x:v>
      </x:c>
    </x:row>
    <x:row r="5639">
      <x:c r="A5639" t="n">
        <x:v>1609</x:v>
      </x:c>
      <x:c r="B5639" s="58" t="str">
        <x:v>Y,268.84658,0.33371,20.95,VALID</x:v>
      </x:c>
      <x:c r="C5639" t="str">
        <x:v>Pasted text(59).txt</x:v>
      </x:c>
    </x:row>
    <x:row r="5640">
      <x:c r="A5640" t="n">
        <x:v>1610</x:v>
      </x:c>
      <x:c r="B5640" s="58" t="str">
        <x:v>Z,268.87107,0.14773,18.68,VALID</x:v>
      </x:c>
      <x:c r="C5640" t="str">
        <x:v>Pasted text(59).txt</x:v>
      </x:c>
    </x:row>
    <x:row r="5641">
      <x:c r="A5641" t="n">
        <x:v>1611</x:v>
      </x:c>
      <x:c r="B5641" s="58" t="str">
        <x:v>Combined frequency: 268.86302 Hz | difference -0.03698 Hz</x:v>
      </x:c>
      <x:c r="C5641" t="str">
        <x:v>Pasted text(59).txt</x:v>
      </x:c>
    </x:row>
    <x:row r="5642">
      <x:c r="A5642" t="n">
        <x:v>1612</x:v>
      </x:c>
      <x:c r="B5642" s="58" t="str">
        <x:v>Combined X/Y/Z/TOTAL: 0.61694 / 0.33298 / 0.14723 / 0.71636</x:v>
      </x:c>
      <x:c r="C5642" t="str">
        <x:v>Pasted text(59).txt</x:v>
      </x:c>
    </x:row>
    <x:row r="5643">
      <x:c r="A5643" t="n">
        <x:v>1613</x:v>
      </x:c>
      <x:c r="B5643" s="58" t="str">
        <x:v>SNR: 25.04 dB | dominant axis X</x:v>
      </x:c>
      <x:c r="C5643" t="str">
        <x:v>Pasted text(59).txt</x:v>
      </x:c>
    </x:row>
    <x:row r="5644">
      <x:c r="A5644" t="n">
        <x:v>1614</x:v>
      </x:c>
      <x:c r="B5644" s="58" t="str">
        <x:v>Frequency verification: PASS</x:v>
      </x:c>
      <x:c r="C5644" t="str">
        <x:v>Pasted text(59).txt</x:v>
      </x:c>
    </x:row>
    <x:row r="5645">
      <x:c r="A5645" t="n">
        <x:v>1615</x:v>
      </x:c>
      <x:c r="B5645" s="58" t="str">
        <x:v>Y/Z dominance: DIAGNOSTIC ONLY — ignored for pass/fail</x:v>
      </x:c>
      <x:c r="C5645" t="str">
        <x:v>Pasted text(59).txt</x:v>
      </x:c>
    </x:row>
    <x:row r="5646">
      <x:c r="A5646" t="n">
        <x:v>1616</x:v>
      </x:c>
      <x:c r="B5646" s="58" t="str"/>
      <x:c r="C5646" t="str">
        <x:v>Pasted text(59).txt</x:v>
      </x:c>
    </x:row>
    <x:row r="5647">
      <x:c r="A5647" t="n">
        <x:v>1617</x:v>
      </x:c>
      <x:c r="B5647" s="58" t="str">
        <x:v>FIXED-DAC HOLD VALIDATION</x:v>
      </x:c>
      <x:c r="C5647" t="str">
        <x:v>Pasted text(59).txt</x:v>
      </x:c>
    </x:row>
    <x:row r="5648">
      <x:c r="A5648" t="n">
        <x:v>1618</x:v>
      </x:c>
      <x:c r="B5648" s="58" t="str">
        <x:v>DAC remains fixed at 7.00 for 10 records.</x:v>
      </x:c>
      <x:c r="C5648" t="str">
        <x:v>Pasted text(59).txt</x:v>
      </x:c>
    </x:row>
    <x:row r="5649">
      <x:c r="A5649" t="n">
        <x:v>1619</x:v>
      </x:c>
      <x:c r="B5649" s="58" t="str">
        <x:v>HOLD | point 1 | DAC 7.00 | CTRL X 0.62318 | X 0.63027 | Y 0.35412 | Z 0.15103 | TOTAL 0.73963 | error 3.86 % | MAD 1.36 % | CV 2.77 % | coh 74.0 % | dominant X | axis fraction 100.0 % | IN TARGET BAND</x:v>
      </x:c>
      <x:c r="C5649" t="str">
        <x:v>Pasted text(59).txt</x:v>
      </x:c>
    </x:row>
    <x:row r="5650">
      <x:c r="A5650" t="n">
        <x:v>1620</x:v>
      </x:c>
      <x:c r="B5650" s="58" t="str">
        <x:v>HOLD | point 2 | DAC 7.00 | CTRL X 0.61083 | X 0.61712 | Y 0.33663 | Z 0.14214 | TOTAL 0.71736 | error 1.81 % | MAD 3.29 % | CV 3.83 % | coh 72.2 % | dominant X | axis fraction 100.0 % | IN TARGET BAND</x:v>
      </x:c>
      <x:c r="C5650" t="str">
        <x:v>Pasted text(59).txt</x:v>
      </x:c>
    </x:row>
    <x:row r="5651">
      <x:c r="A5651" t="n">
        <x:v>1621</x:v>
      </x:c>
      <x:c r="B5651" s="58" t="str">
        <x:v>HOLD | point 3 | DAC 7.00 | CTRL X 0.62990 | X 0.62751 | Y 0.34255 | Z 0.16950 | TOTAL 0.73541 | error 4.98 % | MAD 4.64 % | CV 3.73 % | coh 74.7 % | dominant X | axis fraction 100.0 % | IN TARGET BAND</x:v>
      </x:c>
      <x:c r="C5651" t="str">
        <x:v>Pasted text(59).txt</x:v>
      </x:c>
    </x:row>
    <x:row r="5652">
      <x:c r="A5652" t="n">
        <x:v>1622</x:v>
      </x:c>
      <x:c r="B5652" s="58" t="str">
        <x:v>HOLD | point 4 | DAC 7.00 | CTRL X 0.63006 | X 0.62291 | Y 0.34046 | Z 0.16259 | TOTAL 0.72882 | error 5.01 % | MAD 1.89 % | CV 3.17 % | coh 73.7 % | dominant X | axis fraction 100.0 % | IN TARGET BAND</x:v>
      </x:c>
      <x:c r="C5652" t="str">
        <x:v>Pasted text(59).txt</x:v>
      </x:c>
    </x:row>
    <x:row r="5653">
      <x:c r="A5653" t="n">
        <x:v>1623</x:v>
      </x:c>
      <x:c r="B5653" s="58" t="str">
        <x:v>HOLD | point 5 | DAC 7.00 | CTRL X 0.60054 | X 0.60074 | Y 0.32770 | Z 0.13855 | TOTAL 0.69847 | error 0.09 % | MAD 1.84 % | CV 1.29 % | coh 71.1 % | dominant X | axis fraction 100.0 % | IN TARGET BAND</x:v>
      </x:c>
      <x:c r="C5653" t="str">
        <x:v>Pasted text(59).txt</x:v>
      </x:c>
    </x:row>
    <x:row r="5654">
      <x:c r="A5654" t="n">
        <x:v>1624</x:v>
      </x:c>
      <x:c r="B5654" s="58" t="str">
        <x:v>HOLD | point 6 | DAC 7.00 | CTRL X 0.62397 | X 0.62246 | Y 0.31615 | Z 0.13810 | TOTAL 0.71240 | error 3.99 % | MAD 2.74 % | CV 2.23 % | coh 72.7 % | dominant X | axis fraction 100.0 % | IN TARGET BAND</x:v>
      </x:c>
      <x:c r="C5654" t="str">
        <x:v>Pasted text(59).txt</x:v>
      </x:c>
    </x:row>
    <x:row r="5655">
      <x:c r="A5655" t="n">
        <x:v>1625</x:v>
      </x:c>
      <x:c r="B5655" s="58" t="str">
        <x:v>HOLD | point 7 | DAC 7.00 | CTRL X 0.61798 | X 0.61226 | Y 0.33993 | Z 0.14007 | TOTAL 0.71468 | error 3.00 % | MAD 1.36 % | CV 2.46 % | coh 72.9 % | dominant X | axis fraction 100.0 % | IN TARGET BAND</x:v>
      </x:c>
      <x:c r="C5655" t="str">
        <x:v>Pasted text(59).txt</x:v>
      </x:c>
    </x:row>
    <x:row r="5656">
      <x:c r="A5656" t="n">
        <x:v>1626</x:v>
      </x:c>
      <x:c r="B5656" s="58" t="str">
        <x:v>HOLD | point 8 | DAC 7.00 | CTRL X 0.61024 | X 0.60935 | Y 0.33553 | Z 0.14177 | TOTAL 0.71006 | error 1.71 % | MAD 0.87 % | CV 0.82 % | coh 72.3 % | dominant X | axis fraction 100.0 % | IN TARGET BAND</x:v>
      </x:c>
      <x:c r="C5656" t="str">
        <x:v>Pasted text(59).txt</x:v>
      </x:c>
    </x:row>
    <x:row r="5657">
      <x:c r="A5657" t="n">
        <x:v>1627</x:v>
      </x:c>
      <x:c r="B5657" s="58" t="str">
        <x:v>HOLD | point 9 | DAC 7.00 | CTRL X 0.62442 | X 0.62741 | Y 0.33066 | Z 0.15244 | TOTAL 0.72578 | error 4.07 % | MAD 7.05 % | CV 5.46 % | coh 73.5 % | dominant X | axis fraction 100.0 % | IN TARGET BAND</x:v>
      </x:c>
      <x:c r="C5657" t="str">
        <x:v>Pasted text(59).txt</x:v>
      </x:c>
    </x:row>
    <x:row r="5658">
      <x:c r="A5658" t="n">
        <x:v>1628</x:v>
      </x:c>
      <x:c r="B5658" s="58" t="str">
        <x:v>HOLD | point 10 | DAC 7.00 | CTRL X 0.63573 | X 0.62566 | Y 0.33701 | Z 0.14347 | TOTAL 0.72538 | error 5.95 % | MAD 4.40 % | CV 5.60 % | coh 73.0 % | dominant X | axis fraction 100.0 % | IN TARGET BAND</x:v>
      </x:c>
      <x:c r="C5658" t="str">
        <x:v>Pasted text(59).txt</x:v>
      </x:c>
    </x:row>
    <x:row r="5659">
      <x:c r="A5659" t="n">
        <x:v>1629</x:v>
      </x:c>
      <x:c r="B5659" s="58" t="str"/>
      <x:c r="C5659" t="str">
        <x:v>Pasted text(59).txt</x:v>
      </x:c>
    </x:row>
    <x:row r="5660">
      <x:c r="A5660" t="n">
        <x:v>1630</x:v>
      </x:c>
      <x:c r="B5660" s="58" t="str">
        <x:v>HOLD SUMMARY</x:v>
      </x:c>
      <x:c r="C5660" t="str">
        <x:v>Pasted text(59).txt</x:v>
      </x:c>
    </x:row>
    <x:row r="5661">
      <x:c r="A5661" t="n">
        <x:v>1631</x:v>
      </x:c>
      <x:c r="B5661" s="58" t="str">
        <x:v>Valid / requested: 10 / 10</x:v>
      </x:c>
      <x:c r="C5661" t="str">
        <x:v>Pasted text(59).txt</x:v>
      </x:c>
    </x:row>
    <x:row r="5662">
      <x:c r="A5662" t="n">
        <x:v>1632</x:v>
      </x:c>
      <x:c r="B5662" s="58" t="str">
        <x:v>In band / requested: 10 / 10 = 100.0 %</x:v>
      </x:c>
      <x:c r="C5662" t="str">
        <x:v>Pasted text(59).txt</x:v>
      </x:c>
    </x:row>
    <x:row r="5663">
      <x:c r="A5663" t="n">
        <x:v>1633</x:v>
      </x:c>
      <x:c r="B5663" s="58" t="str">
        <x:v>Mean / SD / CV: 0.62068 / 0.01080 / 1.74 %</x:v>
      </x:c>
      <x:c r="C5663" t="str">
        <x:v>Pasted text(59).txt</x:v>
      </x:c>
    </x:row>
    <x:row r="5664">
      <x:c r="A5664" t="n">
        <x:v>1634</x:v>
      </x:c>
      <x:c r="B5664" s="58" t="str">
        <x:v>Min / Max: 0.60054 / 0.63573</x:v>
      </x:c>
      <x:c r="C5664" t="str">
        <x:v>Pasted text(59).txt</x:v>
      </x:c>
    </x:row>
    <x:row r="5665">
      <x:c r="A5665" t="n">
        <x:v>1635</x:v>
      </x:c>
      <x:c r="B5665" s="58" t="str">
        <x:v>HOLD RESULT: PASS</x:v>
      </x:c>
      <x:c r="C5665" t="str">
        <x:v>Pasted text(59).txt</x:v>
      </x:c>
    </x:row>
    <x:row r="5666">
      <x:c r="A5666" t="n">
        <x:v>1636</x:v>
      </x:c>
      <x:c r="B5666" s="58" t="str"/>
      <x:c r="C5666" t="str">
        <x:v>Pasted text(59).txt</x:v>
      </x:c>
    </x:row>
    <x:row r="5667">
      <x:c r="A5667" t="n">
        <x:v>1637</x:v>
      </x:c>
      <x:c r="B5667" s="58" t="str">
        <x:v>RUN RESULT: PASS</x:v>
      </x:c>
      <x:c r="C5667" t="str">
        <x:v>Pasted text(59).txt</x:v>
      </x:c>
    </x:row>
    <x:row r="5668">
      <x:c r="A5668" t="n">
        <x:v>1638</x:v>
      </x:c>
      <x:c r="B5668" s="58" t="str">
        <x:v>Selected DAC: 7.00</x:v>
      </x:c>
      <x:c r="C5668" t="str">
        <x:v>Pasted text(59).txt</x:v>
      </x:c>
    </x:row>
    <x:row r="5669">
      <x:c r="A5669" t="n">
        <x:v>1639</x:v>
      </x:c>
      <x:c r="B5669" s="58" t="str">
        <x:v>Validated amplitude: 0.60743 m/s^2 | error 1.24 %</x:v>
      </x:c>
      <x:c r="C5669" t="str">
        <x:v>Pasted text(59).txt</x:v>
      </x:c>
    </x:row>
    <x:row r="5670">
      <x:c r="A5670" t="n">
        <x:v>1640</x:v>
      </x:c>
      <x:c r="B5670" s="58" t="str">
        <x:v>FFT frequency: 268.86302 Hz | difference -0.03698 Hz</x:v>
      </x:c>
      <x:c r="C5670" t="str">
        <x:v>Pasted text(59).txt</x:v>
      </x:c>
    </x:row>
    <x:row r="5671">
      <x:c r="A5671" t="n">
        <x:v>1641</x:v>
      </x:c>
      <x:c r="B5671" s="58" t="str"/>
      <x:c r="C5671" t="str">
        <x:v>Pasted text(59).txt</x:v>
      </x:c>
    </x:row>
    <x:row r="5672">
      <x:c r="A5672" t="n">
        <x:v>1642</x:v>
      </x:c>
      <x:c r="B5672" s="58" t="str">
        <x:v>VISATON OFF. RESTING 5.0 s BEFORE THE NEXT COMPLETELY FRESH RUN.</x:v>
      </x:c>
      <x:c r="C5672" t="str">
        <x:v>Pasted text(59).txt</x:v>
      </x:c>
    </x:row>
    <x:row r="5673">
      <x:c r="A5673" t="n">
        <x:v>1643</x:v>
      </x:c>
      <x:c r="B5673" s="58" t="str"/>
      <x:c r="C5673" t="str">
        <x:v>Pasted text(59).txt</x:v>
      </x:c>
    </x:row>
    <x:row r="5674">
      <x:c r="A5674" t="n">
        <x:v>1644</x:v>
      </x:c>
      <x:c r="B5674" s="58" t="str">
        <x:v>################################################################################</x:v>
      </x:c>
      <x:c r="C5674" t="str">
        <x:v>Pasted text(59).txt</x:v>
      </x:c>
    </x:row>
    <x:row r="5675">
      <x:c r="A5675" t="n">
        <x:v>1645</x:v>
      </x:c>
      <x:c r="B5675" s="58" t="str">
        <x:v>INDEPENDENT TARGET-AMPLITUDE RUN 3 OF 5</x:v>
      </x:c>
      <x:c r="C5675" t="str">
        <x:v>Pasted text(59).txt</x:v>
      </x:c>
    </x:row>
    <x:row r="5676">
      <x:c r="A5676" t="n">
        <x:v>1646</x:v>
      </x:c>
      <x:c r="B5676" s="58" t="str">
        <x:v>################################################################################</x:v>
      </x:c>
      <x:c r="C5676" t="str">
        <x:v>Pasted text(59).txt</x:v>
      </x:c>
    </x:row>
    <x:row r="5677">
      <x:c r="A5677" t="n">
        <x:v>1647</x:v>
      </x:c>
      <x:c r="B5677" s="58" t="str">
        <x:v>Frequency: 268.89999 Hz</x:v>
      </x:c>
      <x:c r="C5677" t="str">
        <x:v>Pasted text(59).txt</x:v>
      </x:c>
    </x:row>
    <x:row r="5678">
      <x:c r="A5678" t="n">
        <x:v>1648</x:v>
      </x:c>
      <x:c r="B5678" s="58" t="str">
        <x:v>Target X amplitude: 0.60000 m/s^2 peak, tolerance +/-7.50 %</x:v>
      </x:c>
      <x:c r="C5678" t="str">
        <x:v>Pasted text(59).txt</x:v>
      </x:c>
    </x:row>
    <x:row r="5679">
      <x:c r="A5679" t="n">
        <x:v>1649</x:v>
      </x:c>
      <x:c r="B5679" s="58" t="str">
        <x:v>This run starts from DAC 1.00 and ignores every earlier selected DAC.</x:v>
      </x:c>
      <x:c r="C5679" t="str">
        <x:v>Pasted text(59).txt</x:v>
      </x:c>
    </x:row>
    <x:row r="5680">
      <x:c r="A5680" t="n">
        <x:v>1650</x:v>
      </x:c>
      <x:c r="B5680" s="58" t="str">
        <x:v>ADXL2 DEVID/DATA_FORMAT/BW_RATE/POWER_CTL: 0xE5 / 0xB / 0xE / 0x8</x:v>
      </x:c>
      <x:c r="C5680" t="str">
        <x:v>Pasted text(59).txt</x:v>
      </x:c>
    </x:row>
    <x:row r="5681">
      <x:c r="A5681" t="n">
        <x:v>1651</x:v>
      </x:c>
      <x:c r="B5681" s="58" t="str"/>
      <x:c r="C5681" t="str">
        <x:v>Pasted text(59).txt</x:v>
      </x:c>
    </x:row>
    <x:row r="5682">
      <x:c r="A5682" t="n">
        <x:v>1652</x:v>
      </x:c>
      <x:c r="B5682" s="58" t="str">
        <x:v>ACQUISITION ATTEMPT 1 OF 2</x:v>
      </x:c>
      <x:c r="C5682" t="str">
        <x:v>Pasted text(59).txt</x:v>
      </x:c>
    </x:row>
    <x:row r="5683">
      <x:c r="A5683" t="n">
        <x:v>1653</x:v>
      </x:c>
      <x:c r="B5683" s="58" t="str"/>
      <x:c r="C5683" t="str">
        <x:v>Pasted text(59).txt</x:v>
      </x:c>
    </x:row>
    <x:row r="5684">
      <x:c r="A5684" t="n">
        <x:v>1654</x:v>
      </x:c>
      <x:c r="B5684" s="58" t="str">
        <x:v>FRESH X-AXIS SEARCH FROM DAC 1.00 — OLD DAC VALUES ARE NOT USED</x:v>
      </x:c>
      <x:c r="C5684" t="str">
        <x:v>Pasted text(59).txt</x:v>
      </x:c>
    </x:row>
    <x:row r="5685">
      <x:c r="A5685" t="n">
        <x:v>1655</x:v>
      </x:c>
      <x:c r="B5685" s="58" t="str">
        <x:v>Y/Z are diagnostic only and cannot abort this search.</x:v>
      </x:c>
      <x:c r="C5685" t="str">
        <x:v>Pasted text(59).txt</x:v>
      </x:c>
    </x:row>
    <x:row r="5686">
      <x:c r="A5686" t="n">
        <x:v>1656</x:v>
      </x:c>
      <x:c r="B5686" s="58" t="str">
        <x:v>A real SPI fault, clipping, safety limit or confirmed X-response collapse will stop it.</x:v>
      </x:c>
      <x:c r="C5686" t="str">
        <x:v>Pasted text(59).txt</x:v>
      </x:c>
    </x:row>
    <x:row r="5687">
      <x:c r="A5687" t="n">
        <x:v>1657</x:v>
      </x:c>
      <x:c r="B5687" s="58" t="str">
        <x:v>SEARCH | point 1 | DAC 1.00 | CTRL X 0.01682 | X 0.01759 | Y 0.01847 | Z 0.03788 | TOTAL 0.04696 | error -97.20 % | MAD 62.08 % | CV 46.77 % | coh 5.1 % | dominant Z | axis fraction 46.4 % | BELOW MEASUREMENT FLOOR — SEARCH CONTINUES</x:v>
      </x:c>
      <x:c r="C5687" t="str">
        <x:v>Pasted text(59).txt</x:v>
      </x:c>
    </x:row>
    <x:row r="5688">
      <x:c r="A5688" t="n">
        <x:v>1658</x:v>
      </x:c>
      <x:c r="B5688" s="58" t="str">
        <x:v>SEARCH | point 2 | DAC 3.00 | CTRL X 0.19320 | X 0.18787 | Y 0.09801 | Z 0.05855 | TOTAL 0.21990 | error -67.80 % | MAD 3.57 % | CV 7.16 % | coh 28.5 % | dominant X | axis fraction 100.0 % | UNSTABLE — SEARCH CONTINUES</x:v>
      </x:c>
      <x:c r="C5688" t="str">
        <x:v>Pasted text(59).txt</x:v>
      </x:c>
    </x:row>
    <x:row r="5689">
      <x:c r="A5689" t="n">
        <x:v>1659</x:v>
      </x:c>
      <x:c r="B5689" s="58" t="str">
        <x:v>SEARCH | point 3 | DAC 4.00 | CTRL X 0.28902 | X 0.29039 | Y 0.16950 | Z 0.10469 | TOTAL 0.35245 | error -51.83 % | MAD 5.24 % | CV 4.24 % | coh 44.1 % | dominant X | axis fraction 100.0 % | UNSTABLE — SEARCH CONTINUES</x:v>
      </x:c>
      <x:c r="C5689" t="str">
        <x:v>Pasted text(59).txt</x:v>
      </x:c>
    </x:row>
    <x:row r="5690">
      <x:c r="A5690" t="n">
        <x:v>1660</x:v>
      </x:c>
      <x:c r="B5690" s="58" t="str">
        <x:v>SEARCH | point 4 | DAC 5.00 | CTRL X 0.40877 | X 0.40148 | Y 0.23064 | Z 0.10707 | TOTAL 0.47621 | error -31.87 % | MAD 3.00 % | CV 5.04 % | coh 54.4 % | dominant X | axis fraction 100.0 % | VALID</x:v>
      </x:c>
      <x:c r="C5690" t="str">
        <x:v>Pasted text(59).txt</x:v>
      </x:c>
    </x:row>
    <x:row r="5691">
      <x:c r="A5691" t="n">
        <x:v>1661</x:v>
      </x:c>
      <x:c r="B5691" s="58" t="str">
        <x:v>SEARCH | point 5 | DAC 5.50 | CTRL X 0.41207 | X 0.41415 | Y 0.23643 | Z 0.11618 | TOTAL 0.49139 | error -31.32 % | MAD 3.29 % | CV 2.99 % | coh 62.2 % | dominant X | axis fraction 100.0 % | VALID</x:v>
      </x:c>
      <x:c r="C5691" t="str">
        <x:v>Pasted text(59).txt</x:v>
      </x:c>
    </x:row>
    <x:row r="5692">
      <x:c r="A5692" t="n">
        <x:v>1662</x:v>
      </x:c>
      <x:c r="B5692" s="58" t="str">
        <x:v>SEARCH | point 6 | DAC 6.00 | CTRL X 0.49671 | X 0.50251 | Y 0.26912 | Z 0.10803 | TOTAL 0.58175 | error -17.21 % | MAD 3.18 % | CV 3.98 % | coh 64.2 % | dominant X | axis fraction 100.0 % | VALID</x:v>
      </x:c>
      <x:c r="C5692" t="str">
        <x:v>Pasted text(59).txt</x:v>
      </x:c>
    </x:row>
    <x:row r="5693">
      <x:c r="A5693" t="n">
        <x:v>1663</x:v>
      </x:c>
      <x:c r="B5693" s="58" t="str">
        <x:v>SEARCH | point 7 | DAC 6.50 | CTRL X 0.56949 | X 0.55993 | Y 0.27831 | Z 0.14603 | TOTAL 0.64250 | error -5.09 % | MAD 2.43 % | CV 4.48 % | coh 72.4 % | dominant X | axis fraction 100.0 % | IN TARGET BAND</x:v>
      </x:c>
      <x:c r="C5693" t="str">
        <x:v>Pasted text(59).txt</x:v>
      </x:c>
    </x:row>
    <x:row r="5694">
      <x:c r="A5694" t="n">
        <x:v>1664</x:v>
      </x:c>
      <x:c r="B5694" s="58" t="str"/>
      <x:c r="C5694" t="str">
        <x:v>Pasted text(59).txt</x:v>
      </x:c>
    </x:row>
    <x:row r="5695">
      <x:c r="A5695" t="n">
        <x:v>1665</x:v>
      </x:c>
      <x:c r="B5695" s="58" t="str">
        <x:v>LOCAL 0.25-DAC X-AXIS FINE SCAN</x:v>
      </x:c>
      <x:c r="C5695" t="str">
        <x:v>Pasted text(59).txt</x:v>
      </x:c>
    </x:row>
    <x:row r="5696">
      <x:c r="A5696" t="n">
        <x:v>1666</x:v>
      </x:c>
      <x:c r="B5696" s="58" t="str">
        <x:v>Only a valid point actually inside the X target band may be selected.</x:v>
      </x:c>
      <x:c r="C5696" t="str">
        <x:v>Pasted text(59).txt</x:v>
      </x:c>
    </x:row>
    <x:row r="5697">
      <x:c r="A5697" t="n">
        <x:v>1667</x:v>
      </x:c>
      <x:c r="B5697" s="58" t="str">
        <x:v>FINE | point 1 | DAC 5.50 | CTRL X 0.42226 | X 0.43241 | Y 0.22302 | Z 0.11783 | TOTAL 0.50140 | error -29.62 % | MAD 2.94 % | CV 5.82 % | coh 63.0 % | dominant X | axis fraction 100.0 % | VALID</x:v>
      </x:c>
      <x:c r="C5697" t="str">
        <x:v>Pasted text(59).txt</x:v>
      </x:c>
    </x:row>
    <x:row r="5698">
      <x:c r="A5698" t="n">
        <x:v>1668</x:v>
      </x:c>
      <x:c r="B5698" s="58" t="str">
        <x:v>FINE | point 2 | DAC 5.75 | CTRL X 0.48505 | X 0.49358 | Y 0.25867 | Z 0.14327 | TOTAL 0.57693 | error -19.16 % | MAD 1.41 % | CV 3.83 % | coh 63.1 % | dominant X | axis fraction 100.0 % | VALID</x:v>
      </x:c>
      <x:c r="C5698" t="str">
        <x:v>Pasted text(59).txt</x:v>
      </x:c>
    </x:row>
    <x:row r="5699">
      <x:c r="A5699" t="n">
        <x:v>1669</x:v>
      </x:c>
      <x:c r="B5699" s="58" t="str">
        <x:v>FINE | point 3 | DAC 6.00 | CTRL X 0.53193 | X 0.52088 | Y 0.27119 | Z 0.11621 | TOTAL 0.59899 | error -11.35 % | MAD 2.36 % | CV 5.15 % | coh 64.6 % | dominant X | axis fraction 100.0 % | VALID</x:v>
      </x:c>
      <x:c r="C5699" t="str">
        <x:v>Pasted text(59).txt</x:v>
      </x:c>
    </x:row>
    <x:row r="5700">
      <x:c r="A5700" t="n">
        <x:v>1670</x:v>
      </x:c>
      <x:c r="B5700" s="58" t="str">
        <x:v>FINE | point 4 | DAC 6.25 | CTRL X 0.53873 | X 0.53814 | Y 0.27236 | Z 0.14985 | TOTAL 0.62161 | error -10.21 % | MAD 3.18 % | CV 2.31 % | coh 70.0 % | dominant X | axis fraction 100.0 % | VALID</x:v>
      </x:c>
      <x:c r="C5700" t="str">
        <x:v>Pasted text(59).txt</x:v>
      </x:c>
    </x:row>
    <x:row r="5701">
      <x:c r="A5701" t="n">
        <x:v>1671</x:v>
      </x:c>
      <x:c r="B5701" s="58" t="str">
        <x:v>FINE | point 5 | DAC 6.50 | CTRL X 0.54892 | X 0.55244 | Y 0.28580 | Z 0.16344 | TOTAL 0.64335 | error -8.51 % | MAD 1.38 % | CV 1.96 % | coh 73.1 % | dominant X | axis fraction 100.0 % | VALID</x:v>
      </x:c>
      <x:c r="C5701" t="str">
        <x:v>Pasted text(59).txt</x:v>
      </x:c>
    </x:row>
    <x:row r="5702">
      <x:c r="A5702" t="n">
        <x:v>1672</x:v>
      </x:c>
      <x:c r="B5702" s="58" t="str">
        <x:v>FINE | point 6 | DAC 6.75 | CTRL X 0.58943 | X 0.59886 | Y 0.31257 | Z 0.13961 | TOTAL 0.69018 | error -1.76 % | MAD 0.81 % | CV 3.20 % | coh 68.1 % | dominant X | axis fraction 100.0 % | IN TARGET BAND</x:v>
      </x:c>
      <x:c r="C5702" t="str">
        <x:v>Pasted text(59).txt</x:v>
      </x:c>
    </x:row>
    <x:row r="5703">
      <x:c r="A5703" t="n">
        <x:v>1673</x:v>
      </x:c>
      <x:c r="B5703" s="58" t="str">
        <x:v>FINE | point 7 | DAC 7.00 | CTRL X 0.60499 | X 0.61746 | Y 0.33261 | Z 0.15822 | TOTAL 0.71906 | error 0.83 % | MAD 0.04 % | CV 3.52 % | coh 72.5 % | dominant X | axis fraction 100.0 % | IN TARGET BAND</x:v>
      </x:c>
      <x:c r="C5703" t="str">
        <x:v>Pasted text(59).txt</x:v>
      </x:c>
    </x:row>
    <x:row r="5704">
      <x:c r="A5704" t="n">
        <x:v>1674</x:v>
      </x:c>
      <x:c r="B5704" s="58" t="str">
        <x:v>FINE | point 8 | DAC 7.25 | CTRL X 0.64828 | X 0.63705 | Y 0.34861 | Z 0.14846 | TOTAL 0.74125 | error 8.05 % | MAD 0.29 % | CV 3.23 % | coh 75.5 % | dominant X | axis fraction 100.0 % | VALID</x:v>
      </x:c>
      <x:c r="C5704" t="str">
        <x:v>Pasted text(59).txt</x:v>
      </x:c>
    </x:row>
    <x:row r="5705">
      <x:c r="A5705" t="n">
        <x:v>1675</x:v>
      </x:c>
      <x:c r="B5705" s="58" t="str">
        <x:v>FINE | point 9 | DAC 7.50 | CTRL X 0.65416 | X 0.65740 | Y 0.35868 | Z 0.17785 | TOTAL 0.77035 | error 9.03 % | MAD 0.69 % | CV 1.28 % | coh 79.5 % | dominant X | axis fraction 100.0 % | VALID</x:v>
      </x:c>
      <x:c r="C5705" t="str">
        <x:v>Pasted text(59).txt</x:v>
      </x:c>
    </x:row>
    <x:row r="5706">
      <x:c r="A5706" t="n">
        <x:v>1676</x:v>
      </x:c>
      <x:c r="B5706" s="58" t="str"/>
      <x:c r="C5706" t="str">
        <x:v>Pasted text(59).txt</x:v>
      </x:c>
    </x:row>
    <x:row r="5707">
      <x:c r="A5707" t="n">
        <x:v>1677</x:v>
      </x:c>
      <x:c r="B5707" s="58" t="str">
        <x:v>LONG VALIDATION AT FIXED DAC 7.00</x:v>
      </x:c>
      <x:c r="C5707" t="str">
        <x:v>Pasted text(59).txt</x:v>
      </x:c>
    </x:row>
    <x:row r="5708">
      <x:c r="A5708" t="n">
        <x:v>1678</x:v>
      </x:c>
      <x:c r="B5708" s="58" t="str">
        <x:v>FINAL | point 1 | DAC 7.00 | CTRL X 0.63660 | X 0.62553 | Y 0.32755 | Z 0.14145 | TOTAL 0.72049 | error 6.10 % | MAD 2.32 % | CV 3.38 % | coh 74.4 % | dominant X | axis fraction 100.0 % | IN TARGET BAND</x:v>
      </x:c>
      <x:c r="C5708" t="str">
        <x:v>Pasted text(59).txt</x:v>
      </x:c>
    </x:row>
    <x:row r="5709">
      <x:c r="A5709" t="n">
        <x:v>1679</x:v>
      </x:c>
      <x:c r="B5709" s="58" t="str">
        <x:v>FINAL | point 2 | DAC 7.00 | CTRL X 0.62464 | X 0.62953 | Y 0.33199 | Z 0.16467 | TOTAL 0.73149 | error 4.11 % | MAD 2.11 % | CV 1.93 % | coh 73.8 % | dominant X | axis fraction 100.0 % | IN TARGET BAND</x:v>
      </x:c>
      <x:c r="C5709" t="str">
        <x:v>Pasted text(59).txt</x:v>
      </x:c>
    </x:row>
    <x:row r="5710">
      <x:c r="A5710" t="n">
        <x:v>1680</x:v>
      </x:c>
      <x:c r="B5710" s="58" t="str">
        <x:v>VALIDATION ACCEPTED | pair drift 1.90 %</x:v>
      </x:c>
      <x:c r="C5710" t="str">
        <x:v>Pasted text(59).txt</x:v>
      </x:c>
    </x:row>
    <x:row r="5711">
      <x:c r="A5711" t="n">
        <x:v>1681</x:v>
      </x:c>
      <x:c r="B5711" s="58" t="str"/>
      <x:c r="C5711" t="str">
        <x:v>Pasted text(59).txt</x:v>
      </x:c>
    </x:row>
    <x:row r="5712">
      <x:c r="A5712" t="n">
        <x:v>1682</x:v>
      </x:c>
      <x:c r="B5712" s="58" t="str">
        <x:v>FINAL VALIDATED BLIND FFT VERIFICATION</x:v>
      </x:c>
      <x:c r="C5712" t="str">
        <x:v>Pasted text(59).txt</x:v>
      </x:c>
    </x:row>
    <x:row r="5713">
      <x:c r="A5713" t="n">
        <x:v>1683</x:v>
      </x:c>
      <x:c r="B5713" s="58" t="str">
        <x:v>Commanded frequency: 268.89999 Hz</x:v>
      </x:c>
      <x:c r="C5713" t="str">
        <x:v>Pasted text(59).txt</x:v>
      </x:c>
    </x:row>
    <x:row r="5714">
      <x:c r="A5714" t="n">
        <x:v>1684</x:v>
      </x:c>
      <x:c r="B5714" s="58" t="str">
        <x:v>Accepted DAC: 7.00</x:v>
      </x:c>
      <x:c r="C5714" t="str">
        <x:v>Pasted text(59).txt</x:v>
      </x:c>
    </x:row>
    <x:row r="5715">
      <x:c r="A5715" t="n">
        <x:v>1685</x:v>
      </x:c>
      <x:c r="B5715" s="58" t="str">
        <x:v>Axis,Frequency_Hz,Amplitude_mps2,SNR_dB,Status</x:v>
      </x:c>
      <x:c r="C5715" t="str">
        <x:v>Pasted text(59).txt</x:v>
      </x:c>
    </x:row>
    <x:row r="5716">
      <x:c r="A5716" t="n">
        <x:v>1686</x:v>
      </x:c>
      <x:c r="B5716" s="58" t="str">
        <x:v>X,268.85957,0.61591,29.15,VALID</x:v>
      </x:c>
      <x:c r="C5716" t="str">
        <x:v>Pasted text(59).txt</x:v>
      </x:c>
    </x:row>
    <x:row r="5717">
      <x:c r="A5717" t="n">
        <x:v>1687</x:v>
      </x:c>
      <x:c r="B5717" s="58" t="str">
        <x:v>Y,268.84602,0.33416,20.94,VALID</x:v>
      </x:c>
      <x:c r="C5717" t="str">
        <x:v>Pasted text(59).txt</x:v>
      </x:c>
    </x:row>
    <x:row r="5718">
      <x:c r="A5718" t="n">
        <x:v>1688</x:v>
      </x:c>
      <x:c r="B5718" s="58" t="str">
        <x:v>Z,268.87279,0.15934,18.62,VALID</x:v>
      </x:c>
      <x:c r="C5718" t="str">
        <x:v>Pasted text(59).txt</x:v>
      </x:c>
    </x:row>
    <x:row r="5719">
      <x:c r="A5719" t="n">
        <x:v>1689</x:v>
      </x:c>
      <x:c r="B5719" s="58" t="str">
        <x:v>Combined frequency: 268.85728 Hz | difference -0.04271 Hz</x:v>
      </x:c>
      <x:c r="C5719" t="str">
        <x:v>Pasted text(59).txt</x:v>
      </x:c>
    </x:row>
    <x:row r="5720">
      <x:c r="A5720" t="n">
        <x:v>1690</x:v>
      </x:c>
      <x:c r="B5720" s="58" t="str">
        <x:v>Combined X/Y/Z/TOTAL: 0.61419 / 0.33345 / 0.15878 / 0.71668</x:v>
      </x:c>
      <x:c r="C5720" t="str">
        <x:v>Pasted text(59).txt</x:v>
      </x:c>
    </x:row>
    <x:row r="5721">
      <x:c r="A5721" t="n">
        <x:v>1691</x:v>
      </x:c>
      <x:c r="B5721" s="58" t="str">
        <x:v>SNR: 24.80 dB | dominant axis X</x:v>
      </x:c>
      <x:c r="C5721" t="str">
        <x:v>Pasted text(59).txt</x:v>
      </x:c>
    </x:row>
    <x:row r="5722">
      <x:c r="A5722" t="n">
        <x:v>1692</x:v>
      </x:c>
      <x:c r="B5722" s="58" t="str">
        <x:v>Frequency verification: PASS</x:v>
      </x:c>
      <x:c r="C5722" t="str">
        <x:v>Pasted text(59).txt</x:v>
      </x:c>
    </x:row>
    <x:row r="5723">
      <x:c r="A5723" t="n">
        <x:v>1693</x:v>
      </x:c>
      <x:c r="B5723" s="58" t="str">
        <x:v>Y/Z dominance: DIAGNOSTIC ONLY — ignored for pass/fail</x:v>
      </x:c>
      <x:c r="C5723" t="str">
        <x:v>Pasted text(59).txt</x:v>
      </x:c>
    </x:row>
    <x:row r="5724">
      <x:c r="A5724" t="n">
        <x:v>1694</x:v>
      </x:c>
      <x:c r="B5724" s="58" t="str"/>
      <x:c r="C5724" t="str">
        <x:v>Pasted text(59).txt</x:v>
      </x:c>
    </x:row>
    <x:row r="5725">
      <x:c r="A5725" t="n">
        <x:v>1695</x:v>
      </x:c>
      <x:c r="B5725" s="58" t="str">
        <x:v>FIXED-DAC HOLD VALIDATION</x:v>
      </x:c>
      <x:c r="C5725" t="str">
        <x:v>Pasted text(59).txt</x:v>
      </x:c>
    </x:row>
    <x:row r="5726">
      <x:c r="A5726" t="n">
        <x:v>1696</x:v>
      </x:c>
      <x:c r="B5726" s="58" t="str">
        <x:v>DAC remains fixed at 7.00 for 10 records.</x:v>
      </x:c>
      <x:c r="C5726" t="str">
        <x:v>Pasted text(59).txt</x:v>
      </x:c>
    </x:row>
    <x:row r="5727">
      <x:c r="A5727" t="n">
        <x:v>1697</x:v>
      </x:c>
      <x:c r="B5727" s="58" t="str">
        <x:v>HOLD | point 1 | DAC 7.00 | CTRL X 0.62203 | X 0.62144 | Y 0.35313 | Z 0.12967 | TOTAL 0.72721 | error 3.67 % | MAD 3.33 % | CV 2.39 % | coh 73.5 % | dominant X | axis fraction 100.0 % | IN TARGET BAND</x:v>
      </x:c>
      <x:c r="C5727" t="str">
        <x:v>Pasted text(59).txt</x:v>
      </x:c>
    </x:row>
    <x:row r="5728">
      <x:c r="A5728" t="n">
        <x:v>1698</x:v>
      </x:c>
      <x:c r="B5728" s="58" t="str">
        <x:v>HOLD | point 2 | DAC 7.00 | CTRL X 0.64257 | X 0.64444 | Y 0.32770 | Z 0.16366 | TOTAL 0.74170 | error 7.09 % | MAD 2.85 % | CV 2.37 % | coh 74.3 % | dominant X | axis fraction 100.0 % | IN TARGET BAND</x:v>
      </x:c>
      <x:c r="C5728" t="str">
        <x:v>Pasted text(59).txt</x:v>
      </x:c>
    </x:row>
    <x:row r="5729">
      <x:c r="A5729" t="n">
        <x:v>1699</x:v>
      </x:c>
      <x:c r="B5729" s="58" t="str">
        <x:v>HOLD | point 3 | DAC 7.00 | CTRL X 0.61961 | X 0.61428 | Y 0.32500 | Z 0.14317 | TOTAL 0.70985 | error 3.27 % | MAD 0.57 % | CV 1.85 % | coh 71.7 % | dominant X | axis fraction 100.0 % | IN TARGET BAND</x:v>
      </x:c>
      <x:c r="C5729" t="str">
        <x:v>Pasted text(59).txt</x:v>
      </x:c>
    </x:row>
    <x:row r="5730">
      <x:c r="A5730" t="n">
        <x:v>1700</x:v>
      </x:c>
      <x:c r="B5730" s="58" t="str">
        <x:v>HOLD | point 4 | DAC 7.00 | CTRL X 0.62997 | X 0.62260 | Y 0.32898 | Z 0.14788 | TOTAL 0.72087 | error 5.00 % | MAD 6.37 % | CV 6.21 % | coh 73.5 % | dominant X | axis fraction 100.0 % | IN TARGET BAND</x:v>
      </x:c>
      <x:c r="C5730" t="str">
        <x:v>Pasted text(59).txt</x:v>
      </x:c>
    </x:row>
    <x:row r="5731">
      <x:c r="A5731" t="n">
        <x:v>1701</x:v>
      </x:c>
      <x:c r="B5731" s="58" t="str">
        <x:v>HOLD | point 5 | DAC 7.00 | CTRL X 0.62302 | X 0.61890 | Y 0.33934 | Z 0.13659 | TOTAL 0.71941 | error 3.84 % | MAD 3.46 % | CV 3.39 % | coh 73.7 % | dominant X | axis fraction 100.0 % | IN TARGET BAND</x:v>
      </x:c>
      <x:c r="C5731" t="str">
        <x:v>Pasted text(59).txt</x:v>
      </x:c>
    </x:row>
    <x:row r="5732">
      <x:c r="A5732" t="n">
        <x:v>1702</x:v>
      </x:c>
      <x:c r="B5732" s="58" t="str">
        <x:v>HOLD | point 6 | DAC 7.00 | CTRL X 0.62213 | X 0.61749 | Y 0.33035 | Z 0.14753 | TOTAL 0.71655 | error 3.69 % | MAD 3.40 % | CV 3.49 % | coh 73.0 % | dominant X | axis fraction 100.0 % | IN TARGET BAND</x:v>
      </x:c>
      <x:c r="C5732" t="str">
        <x:v>Pasted text(59).txt</x:v>
      </x:c>
    </x:row>
    <x:row r="5733">
      <x:c r="A5733" t="n">
        <x:v>1703</x:v>
      </x:c>
      <x:c r="B5733" s="58" t="str">
        <x:v>HOLD | point 7 | DAC 7.00 | CTRL X 0.63074 | X 0.63270 | Y 0.32418 | Z 0.15946 | TOTAL 0.72915 | error 5.12 % | MAD 1.12 % | CV 1.25 % | coh 74.5 % | dominant X | axis fraction 100.0 % | IN TARGET BAND</x:v>
      </x:c>
      <x:c r="C5733" t="str">
        <x:v>Pasted text(59).txt</x:v>
      </x:c>
    </x:row>
    <x:row r="5734">
      <x:c r="A5734" t="n">
        <x:v>1704</x:v>
      </x:c>
      <x:c r="B5734" s="58" t="str">
        <x:v>HOLD | point 8 | DAC 7.00 | CTRL X 0.61334 | X 0.61231 | Y 0.34882 | Z 0.12271 | TOTAL 0.71606 | error 2.22 % | MAD 1.28 % | CV 1.12 % | coh 72.4 % | dominant X | axis fraction 100.0 % | IN TARGET BAND</x:v>
      </x:c>
      <x:c r="C5734" t="str">
        <x:v>Pasted text(59).txt</x:v>
      </x:c>
    </x:row>
    <x:row r="5735">
      <x:c r="A5735" t="n">
        <x:v>1705</x:v>
      </x:c>
      <x:c r="B5735" s="58" t="str">
        <x:v>HOLD | point 9 | DAC 7.00 | CTRL X 0.61497 | X 0.60757 | Y 0.31986 | Z 0.15799 | TOTAL 0.70508 | error 2.50 % | MAD 1.94 % | CV 3.32 % | coh 71.1 % | dominant X | axis fraction 100.0 % | IN TARGET BAND</x:v>
      </x:c>
      <x:c r="C5735" t="str">
        <x:v>Pasted text(59).txt</x:v>
      </x:c>
    </x:row>
    <x:row r="5736">
      <x:c r="A5736" t="n">
        <x:v>1706</x:v>
      </x:c>
      <x:c r="B5736" s="58" t="str">
        <x:v>HOLD | point 10 | DAC 7.00 | CTRL X 0.62016 | X 0.62361 | Y 0.31416 | Z 0.13208 | TOTAL 0.71103 | error 3.36 % | MAD 2.48 % | CV 2.54 % | coh 73.6 % | dominant X | axis fraction 100.0 % | IN TARGET BAND</x:v>
      </x:c>
      <x:c r="C5736" t="str">
        <x:v>Pasted text(59).txt</x:v>
      </x:c>
    </x:row>
    <x:row r="5737">
      <x:c r="A5737" t="n">
        <x:v>1707</x:v>
      </x:c>
      <x:c r="B5737" s="58" t="str"/>
      <x:c r="C5737" t="str">
        <x:v>Pasted text(59).txt</x:v>
      </x:c>
    </x:row>
    <x:row r="5738">
      <x:c r="A5738" t="n">
        <x:v>1708</x:v>
      </x:c>
      <x:c r="B5738" s="58" t="str">
        <x:v>HOLD SUMMARY</x:v>
      </x:c>
      <x:c r="C5738" t="str">
        <x:v>Pasted text(59).txt</x:v>
      </x:c>
    </x:row>
    <x:row r="5739">
      <x:c r="A5739" t="n">
        <x:v>1709</x:v>
      </x:c>
      <x:c r="B5739" s="58" t="str">
        <x:v>Valid / requested: 10 / 10</x:v>
      </x:c>
      <x:c r="C5739" t="str">
        <x:v>Pasted text(59).txt</x:v>
      </x:c>
    </x:row>
    <x:row r="5740">
      <x:c r="A5740" t="n">
        <x:v>1710</x:v>
      </x:c>
      <x:c r="B5740" s="58" t="str">
        <x:v>In band / requested: 10 / 10 = 100.0 %</x:v>
      </x:c>
      <x:c r="C5740" t="str">
        <x:v>Pasted text(59).txt</x:v>
      </x:c>
    </x:row>
    <x:row r="5741">
      <x:c r="A5741" t="n">
        <x:v>1711</x:v>
      </x:c>
      <x:c r="B5741" s="58" t="str">
        <x:v>Mean / SD / CV: 0.62385 / 0.00858 / 1.38 %</x:v>
      </x:c>
      <x:c r="C5741" t="str">
        <x:v>Pasted text(59).txt</x:v>
      </x:c>
    </x:row>
    <x:row r="5742">
      <x:c r="A5742" t="n">
        <x:v>1712</x:v>
      </x:c>
      <x:c r="B5742" s="58" t="str">
        <x:v>Min / Max: 0.61334 / 0.64257</x:v>
      </x:c>
      <x:c r="C5742" t="str">
        <x:v>Pasted text(59).txt</x:v>
      </x:c>
    </x:row>
    <x:row r="5743">
      <x:c r="A5743" t="n">
        <x:v>1713</x:v>
      </x:c>
      <x:c r="B5743" s="58" t="str">
        <x:v>HOLD RESULT: PASS</x:v>
      </x:c>
      <x:c r="C5743" t="str">
        <x:v>Pasted text(59).txt</x:v>
      </x:c>
    </x:row>
    <x:row r="5744">
      <x:c r="A5744" t="n">
        <x:v>1714</x:v>
      </x:c>
      <x:c r="B5744" s="58" t="str"/>
      <x:c r="C5744" t="str">
        <x:v>Pasted text(59).txt</x:v>
      </x:c>
    </x:row>
    <x:row r="5745">
      <x:c r="A5745" t="n">
        <x:v>1715</x:v>
      </x:c>
      <x:c r="B5745" s="58" t="str">
        <x:v>RUN RESULT: PASS</x:v>
      </x:c>
      <x:c r="C5745" t="str">
        <x:v>Pasted text(59).txt</x:v>
      </x:c>
    </x:row>
    <x:row r="5746">
      <x:c r="A5746" t="n">
        <x:v>1716</x:v>
      </x:c>
      <x:c r="B5746" s="58" t="str">
        <x:v>Selected DAC: 7.00</x:v>
      </x:c>
      <x:c r="C5746" t="str">
        <x:v>Pasted text(59).txt</x:v>
      </x:c>
    </x:row>
    <x:row r="5747">
      <x:c r="A5747" t="n">
        <x:v>1717</x:v>
      </x:c>
      <x:c r="B5747" s="58" t="str">
        <x:v>Validated amplitude: 0.63062 m/s^2 | error 5.10 %</x:v>
      </x:c>
      <x:c r="C5747" t="str">
        <x:v>Pasted text(59).txt</x:v>
      </x:c>
    </x:row>
    <x:row r="5748">
      <x:c r="A5748" t="n">
        <x:v>1718</x:v>
      </x:c>
      <x:c r="B5748" s="58" t="str">
        <x:v>FFT frequency: 268.85728 Hz | difference -0.04271 Hz</x:v>
      </x:c>
      <x:c r="C5748" t="str">
        <x:v>Pasted text(59).txt</x:v>
      </x:c>
    </x:row>
    <x:row r="5749">
      <x:c r="A5749" t="n">
        <x:v>1719</x:v>
      </x:c>
      <x:c r="B5749" s="58" t="str"/>
      <x:c r="C5749" t="str">
        <x:v>Pasted text(59).txt</x:v>
      </x:c>
    </x:row>
    <x:row r="5750">
      <x:c r="A5750" t="n">
        <x:v>1720</x:v>
      </x:c>
      <x:c r="B5750" s="58" t="str">
        <x:v>VISATON OFF. RESTING 5.0 s BEFORE THE NEXT COMPLETELY FRESH RUN.</x:v>
      </x:c>
      <x:c r="C5750" t="str">
        <x:v>Pasted text(59).txt</x:v>
      </x:c>
    </x:row>
    <x:row r="5751">
      <x:c r="A5751" t="n">
        <x:v>1721</x:v>
      </x:c>
      <x:c r="B5751" s="58" t="str"/>
      <x:c r="C5751" t="str">
        <x:v>Pasted text(59).txt</x:v>
      </x:c>
    </x:row>
    <x:row r="5752">
      <x:c r="A5752" t="n">
        <x:v>1722</x:v>
      </x:c>
      <x:c r="B5752" s="58" t="str">
        <x:v>################################################################################</x:v>
      </x:c>
      <x:c r="C5752" t="str">
        <x:v>Pasted text(59).txt</x:v>
      </x:c>
    </x:row>
    <x:row r="5753">
      <x:c r="A5753" t="n">
        <x:v>1723</x:v>
      </x:c>
      <x:c r="B5753" s="58" t="str">
        <x:v>INDEPENDENT TARGET-AMPLITUDE RUN 4 OF 5</x:v>
      </x:c>
      <x:c r="C5753" t="str">
        <x:v>Pasted text(59).txt</x:v>
      </x:c>
    </x:row>
    <x:row r="5754">
      <x:c r="A5754" t="n">
        <x:v>1724</x:v>
      </x:c>
      <x:c r="B5754" s="58" t="str">
        <x:v>################################################################################</x:v>
      </x:c>
      <x:c r="C5754" t="str">
        <x:v>Pasted text(59).txt</x:v>
      </x:c>
    </x:row>
    <x:row r="5755">
      <x:c r="A5755" t="n">
        <x:v>1725</x:v>
      </x:c>
      <x:c r="B5755" s="58" t="str">
        <x:v>Frequency: 268.89999 Hz</x:v>
      </x:c>
      <x:c r="C5755" t="str">
        <x:v>Pasted text(59).txt</x:v>
      </x:c>
    </x:row>
    <x:row r="5756">
      <x:c r="A5756" t="n">
        <x:v>1726</x:v>
      </x:c>
      <x:c r="B5756" s="58" t="str">
        <x:v>Target X amplitude: 0.60000 m/s^2 peak, tolerance +/-7.50 %</x:v>
      </x:c>
      <x:c r="C5756" t="str">
        <x:v>Pasted text(59).txt</x:v>
      </x:c>
    </x:row>
    <x:row r="5757">
      <x:c r="A5757" t="n">
        <x:v>1727</x:v>
      </x:c>
      <x:c r="B5757" s="58" t="str">
        <x:v>This run starts from DAC 1.00 and ignores every earlier selected DAC.</x:v>
      </x:c>
      <x:c r="C5757" t="str">
        <x:v>Pasted text(59).txt</x:v>
      </x:c>
    </x:row>
    <x:row r="5758">
      <x:c r="A5758" t="n">
        <x:v>1728</x:v>
      </x:c>
      <x:c r="B5758" s="58" t="str">
        <x:v>ADXL2 DEVID/DATA_FORMAT/BW_RATE/POWER_CTL: 0xE5 / 0xB / 0xE / 0x8</x:v>
      </x:c>
      <x:c r="C5758" t="str">
        <x:v>Pasted text(59).txt</x:v>
      </x:c>
    </x:row>
    <x:row r="5759">
      <x:c r="A5759" t="n">
        <x:v>1729</x:v>
      </x:c>
      <x:c r="B5759" s="58" t="str"/>
      <x:c r="C5759" t="str">
        <x:v>Pasted text(59).txt</x:v>
      </x:c>
    </x:row>
    <x:row r="5760">
      <x:c r="A5760" t="n">
        <x:v>1730</x:v>
      </x:c>
      <x:c r="B5760" s="58" t="str">
        <x:v>ACQUISITION ATTEMPT 1 OF 2</x:v>
      </x:c>
      <x:c r="C5760" t="str">
        <x:v>Pasted text(59).txt</x:v>
      </x:c>
    </x:row>
    <x:row r="5761">
      <x:c r="A5761" t="n">
        <x:v>1731</x:v>
      </x:c>
      <x:c r="B5761" s="58" t="str"/>
      <x:c r="C5761" t="str">
        <x:v>Pasted text(59).txt</x:v>
      </x:c>
    </x:row>
    <x:row r="5762">
      <x:c r="A5762" t="n">
        <x:v>1732</x:v>
      </x:c>
      <x:c r="B5762" s="58" t="str">
        <x:v>FRESH X-AXIS SEARCH FROM DAC 1.00 — OLD DAC VALUES ARE NOT USED</x:v>
      </x:c>
      <x:c r="C5762" t="str">
        <x:v>Pasted text(59).txt</x:v>
      </x:c>
    </x:row>
    <x:row r="5763">
      <x:c r="A5763" t="n">
        <x:v>1733</x:v>
      </x:c>
      <x:c r="B5763" s="58" t="str">
        <x:v>Y/Z are diagnostic only and cannot abort this search.</x:v>
      </x:c>
      <x:c r="C5763" t="str">
        <x:v>Pasted text(59).txt</x:v>
      </x:c>
    </x:row>
    <x:row r="5764">
      <x:c r="A5764" t="n">
        <x:v>1734</x:v>
      </x:c>
      <x:c r="B5764" s="58" t="str">
        <x:v>A real SPI fault, clipping, safety limit or confirmed X-response collapse will stop it.</x:v>
      </x:c>
      <x:c r="C5764" t="str">
        <x:v>Pasted text(59).txt</x:v>
      </x:c>
    </x:row>
    <x:row r="5765">
      <x:c r="A5765" t="n">
        <x:v>1735</x:v>
      </x:c>
      <x:c r="B5765" s="58" t="str">
        <x:v>SEARCH | point 1 | DAC 1.00 | CTRL X 0.02427 | X 0.02470 | Y 0.02813 | Z 0.02393 | TOTAL 0.04495 | error -95.95 % | MAD 4.94 % | CV 6.07 % | coh 8.0 % | dominant Y | axis fraction 87.8 % | BELOW MEASUREMENT FLOOR — SEARCH CONTINUES</x:v>
      </x:c>
      <x:c r="C5765" t="str">
        <x:v>Pasted text(59).txt</x:v>
      </x:c>
    </x:row>
    <x:row r="5766">
      <x:c r="A5766" t="n">
        <x:v>1736</x:v>
      </x:c>
      <x:c r="B5766" s="58" t="str">
        <x:v>SEARCH | point 2 | DAC 3.00 | CTRL X 0.17891 | X 0.17583 | Y 0.11350 | Z 0.05521 | TOTAL 0.21680 | error -70.18 % | MAD 0.04 % | CV 3.06 % | coh 27.3 % | dominant X | axis fraction 100.0 % | UNSTABLE — SEARCH CONTINUES</x:v>
      </x:c>
      <x:c r="C5766" t="str">
        <x:v>Pasted text(59).txt</x:v>
      </x:c>
    </x:row>
    <x:row r="5767">
      <x:c r="A5767" t="n">
        <x:v>1737</x:v>
      </x:c>
      <x:c r="B5767" s="58" t="str">
        <x:v>SEARCH | point 3 | DAC 4.00 | CTRL X 0.27707 | X 0.28390 | Y 0.14272 | Z 0.10644 | TOTAL 0.33690 | error -53.82 % | MAD 0.60 % | CV 4.51 % | coh 42.9 % | dominant X | axis fraction 100.0 % | UNSTABLE — SEARCH CONTINUES</x:v>
      </x:c>
      <x:c r="C5767" t="str">
        <x:v>Pasted text(59).txt</x:v>
      </x:c>
    </x:row>
    <x:row r="5768">
      <x:c r="A5768" t="n">
        <x:v>1738</x:v>
      </x:c>
      <x:c r="B5768" s="58" t="str">
        <x:v>SEARCH | point 4 | DAC 5.00 | CTRL X 0.39739 | X 0.39946 | Y 0.19376 | Z 0.12885 | TOTAL 0.46350 | error -33.77 % | MAD 0.70 % | CV 1.33 % | coh 54.4 % | dominant X | axis fraction 100.0 % | VALID</x:v>
      </x:c>
      <x:c r="C5768" t="str">
        <x:v>Pasted text(59).txt</x:v>
      </x:c>
    </x:row>
    <x:row r="5769">
      <x:c r="A5769" t="n">
        <x:v>1739</x:v>
      </x:c>
      <x:c r="B5769" s="58" t="str">
        <x:v>SEARCH | point 5 | DAC 5.50 | CTRL X 0.44342 | X 0.44960 | Y 0.21194 | Z 0.13477 | TOTAL 0.51605 | error -26.10 % | MAD 5.18 % | CV 5.63 % | coh 67.0 % | dominant X | axis fraction 100.0 % | VALID</x:v>
      </x:c>
      <x:c r="C5769" t="str">
        <x:v>Pasted text(59).txt</x:v>
      </x:c>
    </x:row>
    <x:row r="5770">
      <x:c r="A5770" t="n">
        <x:v>1740</x:v>
      </x:c>
      <x:c r="B5770" s="58" t="str">
        <x:v>SEARCH | point 6 | DAC 6.00 | CTRL X 0.49946 | X 0.50672 | Y 0.27426 | Z 0.13898 | TOTAL 0.59334 | error -16.76 % | MAD 0.60 % | CV 2.83 % | coh 63.5 % | dominant X | axis fraction 100.0 % | VALID</x:v>
      </x:c>
      <x:c r="C5770" t="str">
        <x:v>Pasted text(59).txt</x:v>
      </x:c>
    </x:row>
    <x:row r="5771">
      <x:c r="A5771" t="n">
        <x:v>1741</x:v>
      </x:c>
      <x:c r="B5771" s="58" t="str">
        <x:v>SEARCH | point 7 | DAC 6.50 | CTRL X 0.54334 | X 0.55747 | Y 0.27813 | Z 0.14868 | TOTAL 0.64226 | error -9.44 % | MAD 0.89 % | CV 4.91 % | coh 72.9 % | dominant X | axis fraction 100.0 % | VALID</x:v>
      </x:c>
      <x:c r="C5771" t="str">
        <x:v>Pasted text(59).txt</x:v>
      </x:c>
    </x:row>
    <x:row r="5772">
      <x:c r="A5772" t="n">
        <x:v>1742</x:v>
      </x:c>
      <x:c r="B5772" s="58" t="str">
        <x:v>SEARCH | point 8 | DAC 6.75 | CTRL X 0.60159 | X 0.60104 | Y 0.31768 | Z 0.15867 | TOTAL 0.69879 | error 0.26 % | MAD 4.70 % | CV 3.31 % | coh 70.0 % | dominant X | axis fraction 100.0 % | IN TARGET BAND</x:v>
      </x:c>
      <x:c r="C5772" t="str">
        <x:v>Pasted text(59).txt</x:v>
      </x:c>
    </x:row>
    <x:row r="5773">
      <x:c r="A5773" t="n">
        <x:v>1743</x:v>
      </x:c>
      <x:c r="B5773" s="58" t="str"/>
      <x:c r="C5773" t="str">
        <x:v>Pasted text(59).txt</x:v>
      </x:c>
    </x:row>
    <x:row r="5774">
      <x:c r="A5774" t="n">
        <x:v>1744</x:v>
      </x:c>
      <x:c r="B5774" s="58" t="str">
        <x:v>LOCAL 0.25-DAC X-AXIS FINE SCAN</x:v>
      </x:c>
      <x:c r="C5774" t="str">
        <x:v>Pasted text(59).txt</x:v>
      </x:c>
    </x:row>
    <x:row r="5775">
      <x:c r="A5775" t="n">
        <x:v>1745</x:v>
      </x:c>
      <x:c r="B5775" s="58" t="str">
        <x:v>Only a valid point actually inside the X target band may be selected.</x:v>
      </x:c>
      <x:c r="C5775" t="str">
        <x:v>Pasted text(59).txt</x:v>
      </x:c>
    </x:row>
    <x:row r="5776">
      <x:c r="A5776" t="n">
        <x:v>1746</x:v>
      </x:c>
      <x:c r="B5776" s="58" t="str">
        <x:v>FINE | point 1 | DAC 5.75 | CTRL X 0.50022 | X 0.49886 | Y 0.26897 | Z 0.13203 | TOTAL 0.58250 | error -16.63 % | MAD 2.37 % | CV 2.03 % | coh 62.8 % | dominant X | axis fraction 100.0 % | VALID</x:v>
      </x:c>
      <x:c r="C5776" t="str">
        <x:v>Pasted text(59).txt</x:v>
      </x:c>
    </x:row>
    <x:row r="5777">
      <x:c r="A5777" t="n">
        <x:v>1747</x:v>
      </x:c>
      <x:c r="B5777" s="58" t="str">
        <x:v>FINE | point 2 | DAC 6.00 | CTRL X 0.49663 | X 0.51101 | Y 0.28282 | Z 0.12529 | TOTAL 0.59811 | error -17.23 % | MAD 3.61 % | CV 7.02 % | coh 64.7 % | dominant X | axis fraction 100.0 % | VALID</x:v>
      </x:c>
      <x:c r="C5777" t="str">
        <x:v>Pasted text(59).txt</x:v>
      </x:c>
    </x:row>
    <x:row r="5778">
      <x:c r="A5778" t="n">
        <x:v>1748</x:v>
      </x:c>
      <x:c r="B5778" s="58" t="str">
        <x:v>FINE | point 3 | DAC 6.25 | CTRL X 0.53216 | X 0.53399 | Y 0.28135 | Z 0.13022 | TOTAL 0.61756 | error -11.31 % | MAD 0.78 % | CV 1.08 % | coh 70.4 % | dominant X | axis fraction 100.0 % | VALID</x:v>
      </x:c>
      <x:c r="C5778" t="str">
        <x:v>Pasted text(59).txt</x:v>
      </x:c>
    </x:row>
    <x:row r="5779">
      <x:c r="A5779" t="n">
        <x:v>1749</x:v>
      </x:c>
      <x:c r="B5779" s="58" t="str">
        <x:v>FINE | point 4 | DAC 6.50 | CTRL X 0.54866 | X 0.55106 | Y 0.27479 | Z 0.12781 | TOTAL 0.62934 | error -8.56 % | MAD 2.20 % | CV 2.16 % | coh 72.0 % | dominant X | axis fraction 100.0 % | VALID</x:v>
      </x:c>
      <x:c r="C5779" t="str">
        <x:v>Pasted text(59).txt</x:v>
      </x:c>
    </x:row>
    <x:row r="5780">
      <x:c r="A5780" t="n">
        <x:v>1750</x:v>
      </x:c>
      <x:c r="B5780" s="58" t="str">
        <x:v>FINE | point 5 | DAC 6.75 | CTRL X 0.59004 | X 0.58949 | Y 0.32263 | Z 0.14773 | TOTAL 0.68835 | error -1.66 % | MAD 4.18 % | CV 2.96 % | coh 68.6 % | dominant X | axis fraction 100.0 % | IN TARGET BAND</x:v>
      </x:c>
      <x:c r="C5780" t="str">
        <x:v>Pasted text(59).txt</x:v>
      </x:c>
    </x:row>
    <x:row r="5781">
      <x:c r="A5781" t="n">
        <x:v>1751</x:v>
      </x:c>
      <x:c r="B5781" s="58" t="str">
        <x:v>FINE | point 6 | DAC 7.00 | CTRL X 0.61885 | X 0.61866 | Y 0.32898 | Z 0.15074 | TOTAL 0.71700 | error 3.14 % | MAD 4.05 % | CV 2.78 % | coh 74.0 % | dominant X | axis fraction 100.0 % | IN TARGET BAND</x:v>
      </x:c>
      <x:c r="C5781" t="str">
        <x:v>Pasted text(59).txt</x:v>
      </x:c>
    </x:row>
    <x:row r="5782">
      <x:c r="A5782" t="n">
        <x:v>1752</x:v>
      </x:c>
      <x:c r="B5782" s="58" t="str">
        <x:v>FINE | point 7 | DAC 7.25 | CTRL X 0.65026 | X 0.64758 | Y 0.34392 | Z 0.17426 | TOTAL 0.75402 | error 8.38 % | MAD 0.07 % | CV 0.76 % | coh 76.9 % | dominant X | axis fraction 100.0 % | VALID</x:v>
      </x:c>
      <x:c r="C5782" t="str">
        <x:v>Pasted text(59).txt</x:v>
      </x:c>
    </x:row>
    <x:row r="5783">
      <x:c r="A5783" t="n">
        <x:v>1753</x:v>
      </x:c>
      <x:c r="B5783" s="58" t="str">
        <x:v>FINE | point 8 | DAC 7.50 | CTRL X 0.67248 | X 0.67098 | Y 0.34876 | Z 0.16564 | TOTAL 0.77424 | error 12.08 % | MAD 2.02 % | CV 1.71 % | coh 81.4 % | dominant X | axis fraction 100.0 % | VALID</x:v>
      </x:c>
      <x:c r="C5783" t="str">
        <x:v>Pasted text(59).txt</x:v>
      </x:c>
    </x:row>
    <x:row r="5784">
      <x:c r="A5784" t="n">
        <x:v>1754</x:v>
      </x:c>
      <x:c r="B5784" s="58" t="str">
        <x:v>FINE | point 9 | DAC 7.75 | CTRL X 0.70612 | X 0.69791 | Y 0.37064 | Z 0.18035 | TOTAL 0.81071 | error 17.69 % | MAD 2.86 % | CV 3.85 % | coh 74.4 % | dominant X | axis fraction 100.0 % | VALID</x:v>
      </x:c>
      <x:c r="C5784" t="str">
        <x:v>Pasted text(59).txt</x:v>
      </x:c>
    </x:row>
    <x:row r="5785">
      <x:c r="A5785" t="n">
        <x:v>1755</x:v>
      </x:c>
      <x:c r="B5785" s="58" t="str"/>
      <x:c r="C5785" t="str">
        <x:v>Pasted text(59).txt</x:v>
      </x:c>
    </x:row>
    <x:row r="5786">
      <x:c r="A5786" t="n">
        <x:v>1756</x:v>
      </x:c>
      <x:c r="B5786" s="58" t="str">
        <x:v>LONG VALIDATION AT FIXED DAC 6.75</x:v>
      </x:c>
      <x:c r="C5786" t="str">
        <x:v>Pasted text(59).txt</x:v>
      </x:c>
    </x:row>
    <x:row r="5787">
      <x:c r="A5787" t="n">
        <x:v>1757</x:v>
      </x:c>
      <x:c r="B5787" s="58" t="str">
        <x:v>FINAL | point 1 | DAC 6.75 | CTRL X 0.59590 | X 0.59566 | Y 0.31135 | Z 0.14773 | TOTAL 0.68860 | error -0.68 % | MAD 2.01 % | CV 1.85 % | coh 69.4 % | dominant X | axis fraction 100.0 % | IN TARGET BAND</x:v>
      </x:c>
      <x:c r="C5787" t="str">
        <x:v>Pasted text(59).txt</x:v>
      </x:c>
    </x:row>
    <x:row r="5788">
      <x:c r="A5788" t="n">
        <x:v>1758</x:v>
      </x:c>
      <x:c r="B5788" s="58" t="str">
        <x:v>FINAL | point 2 | DAC 6.75 | CTRL X 0.58443 | X 0.58920 | Y 0.33480 | Z 0.15393 | TOTAL 0.69525 | error -2.60 % | MAD 2.83 % | CV 2.33 % | coh 67.6 % | dominant X | axis fraction 100.0 % | IN TARGET BAND</x:v>
      </x:c>
      <x:c r="C5788" t="str">
        <x:v>Pasted text(59).txt</x:v>
      </x:c>
    </x:row>
    <x:row r="5789">
      <x:c r="A5789" t="n">
        <x:v>1759</x:v>
      </x:c>
      <x:c r="B5789" s="58" t="str">
        <x:v>VALIDATION ACCEPTED | pair drift 1.95 %</x:v>
      </x:c>
      <x:c r="C5789" t="str">
        <x:v>Pasted text(59).txt</x:v>
      </x:c>
    </x:row>
    <x:row r="5790">
      <x:c r="A5790" t="n">
        <x:v>1760</x:v>
      </x:c>
      <x:c r="B5790" s="58" t="str"/>
      <x:c r="C5790" t="str">
        <x:v>Pasted text(59).txt</x:v>
      </x:c>
    </x:row>
    <x:row r="5791">
      <x:c r="A5791" t="n">
        <x:v>1761</x:v>
      </x:c>
      <x:c r="B5791" s="58" t="str">
        <x:v>FINAL VALIDATED BLIND FFT VERIFICATION</x:v>
      </x:c>
      <x:c r="C5791" t="str">
        <x:v>Pasted text(59).txt</x:v>
      </x:c>
    </x:row>
    <x:row r="5792">
      <x:c r="A5792" t="n">
        <x:v>1762</x:v>
      </x:c>
      <x:c r="B5792" s="58" t="str">
        <x:v>Commanded frequency: 268.89999 Hz</x:v>
      </x:c>
      <x:c r="C5792" t="str">
        <x:v>Pasted text(59).txt</x:v>
      </x:c>
    </x:row>
    <x:row r="5793">
      <x:c r="A5793" t="n">
        <x:v>1763</x:v>
      </x:c>
      <x:c r="B5793" s="58" t="str">
        <x:v>Accepted DAC: 6.75</x:v>
      </x:c>
      <x:c r="C5793" t="str">
        <x:v>Pasted text(59).txt</x:v>
      </x:c>
    </x:row>
    <x:row r="5794">
      <x:c r="A5794" t="n">
        <x:v>1764</x:v>
      </x:c>
      <x:c r="B5794" s="58" t="str">
        <x:v>Axis,Frequency_Hz,Amplitude_mps2,SNR_dB,Status</x:v>
      </x:c>
      <x:c r="C5794" t="str">
        <x:v>Pasted text(59).txt</x:v>
      </x:c>
    </x:row>
    <x:row r="5795">
      <x:c r="A5795" t="n">
        <x:v>1765</x:v>
      </x:c>
      <x:c r="B5795" s="58" t="str">
        <x:v>X,268.85783,0.59670,28.53,VALID</x:v>
      </x:c>
      <x:c r="C5795" t="str">
        <x:v>Pasted text(59).txt</x:v>
      </x:c>
    </x:row>
    <x:row r="5796">
      <x:c r="A5796" t="n">
        <x:v>1766</x:v>
      </x:c>
      <x:c r="B5796" s="58" t="str">
        <x:v>Y,268.86078,0.31330,20.51,VALID</x:v>
      </x:c>
      <x:c r="C5796" t="str">
        <x:v>Pasted text(59).txt</x:v>
      </x:c>
    </x:row>
    <x:row r="5797">
      <x:c r="A5797" t="n">
        <x:v>1767</x:v>
      </x:c>
      <x:c r="B5797" s="58" t="str">
        <x:v>Z,268.89341,0.13949,17.66,VALID</x:v>
      </x:c>
      <x:c r="C5797" t="str">
        <x:v>Pasted text(59).txt</x:v>
      </x:c>
    </x:row>
    <x:row r="5798">
      <x:c r="A5798" t="n">
        <x:v>1768</x:v>
      </x:c>
      <x:c r="B5798" s="58" t="str">
        <x:v>Combined frequency: 268.85989 Hz | difference -0.04010 Hz</x:v>
      </x:c>
      <x:c r="C5798" t="str">
        <x:v>Pasted text(59).txt</x:v>
      </x:c>
    </x:row>
    <x:row r="5799">
      <x:c r="A5799" t="n">
        <x:v>1769</x:v>
      </x:c>
      <x:c r="B5799" s="58" t="str">
        <x:v>Combined X/Y/Z/TOTAL: 0.59508 / 0.31242 / 0.13884 / 0.68630</x:v>
      </x:c>
      <x:c r="C5799" t="str">
        <x:v>Pasted text(59).txt</x:v>
      </x:c>
    </x:row>
    <x:row r="5800">
      <x:c r="A5800" t="n">
        <x:v>1770</x:v>
      </x:c>
      <x:c r="B5800" s="58" t="str">
        <x:v>SNR: 24.44 dB | dominant axis X</x:v>
      </x:c>
      <x:c r="C5800" t="str">
        <x:v>Pasted text(59).txt</x:v>
      </x:c>
    </x:row>
    <x:row r="5801">
      <x:c r="A5801" t="n">
        <x:v>1771</x:v>
      </x:c>
      <x:c r="B5801" s="58" t="str">
        <x:v>Frequency verification: PASS</x:v>
      </x:c>
      <x:c r="C5801" t="str">
        <x:v>Pasted text(59).txt</x:v>
      </x:c>
    </x:row>
    <x:row r="5802">
      <x:c r="A5802" t="n">
        <x:v>1772</x:v>
      </x:c>
      <x:c r="B5802" s="58" t="str">
        <x:v>Y/Z dominance: DIAGNOSTIC ONLY — ignored for pass/fail</x:v>
      </x:c>
      <x:c r="C5802" t="str">
        <x:v>Pasted text(59).txt</x:v>
      </x:c>
    </x:row>
    <x:row r="5803">
      <x:c r="A5803" t="n">
        <x:v>1773</x:v>
      </x:c>
      <x:c r="B5803" s="58" t="str"/>
      <x:c r="C5803" t="str">
        <x:v>Pasted text(59).txt</x:v>
      </x:c>
    </x:row>
    <x:row r="5804">
      <x:c r="A5804" t="n">
        <x:v>1774</x:v>
      </x:c>
      <x:c r="B5804" s="58" t="str">
        <x:v>FIXED-DAC HOLD VALIDATION</x:v>
      </x:c>
      <x:c r="C5804" t="str">
        <x:v>Pasted text(59).txt</x:v>
      </x:c>
    </x:row>
    <x:row r="5805">
      <x:c r="A5805" t="n">
        <x:v>1775</x:v>
      </x:c>
      <x:c r="B5805" s="58" t="str">
        <x:v>DAC remains fixed at 6.75 for 10 records.</x:v>
      </x:c>
      <x:c r="C5805" t="str">
        <x:v>Pasted text(59).txt</x:v>
      </x:c>
    </x:row>
    <x:row r="5806">
      <x:c r="A5806" t="n">
        <x:v>1776</x:v>
      </x:c>
      <x:c r="B5806" s="58" t="str">
        <x:v>HOLD | point 1 | DAC 6.75 | CTRL X 0.59392 | X 0.59607 | Y 0.32383 | Z 0.15593 | TOTAL 0.69650 | error -1.01 % | MAD 1.45 % | CV 1.55 % | coh 68.7 % | dominant X | axis fraction 100.0 % | IN TARGET BAND</x:v>
      </x:c>
      <x:c r="C5806" t="str">
        <x:v>Pasted text(59).txt</x:v>
      </x:c>
    </x:row>
    <x:row r="5807">
      <x:c r="A5807" t="n">
        <x:v>1777</x:v>
      </x:c>
      <x:c r="B5807" s="58" t="str">
        <x:v>HOLD | point 2 | DAC 6.75 | CTRL X 0.59450 | X 0.59378 | Y 0.33256 | Z 0.14111 | TOTAL 0.69569 | error -0.92 % | MAD 1.08 % | CV 0.91 % | coh 67.9 % | dominant X | axis fraction 100.0 % | IN TARGET BAND</x:v>
      </x:c>
      <x:c r="C5807" t="str">
        <x:v>Pasted text(59).txt</x:v>
      </x:c>
    </x:row>
    <x:row r="5808">
      <x:c r="A5808" t="n">
        <x:v>1778</x:v>
      </x:c>
      <x:c r="B5808" s="58" t="str">
        <x:v>HOLD | point 3 | DAC 6.75 | CTRL X 0.60523 | X 0.60815 | Y 0.33262 | Z 0.14328 | TOTAL 0.70833 | error 0.87 % | MAD 3.60 % | CV 3.16 % | coh 69.0 % | dominant X | axis fraction 100.0 % | IN TARGET BAND</x:v>
      </x:c>
      <x:c r="C5808" t="str">
        <x:v>Pasted text(59).txt</x:v>
      </x:c>
    </x:row>
    <x:row r="5809">
      <x:c r="A5809" t="n">
        <x:v>1779</x:v>
      </x:c>
      <x:c r="B5809" s="58" t="str">
        <x:v>HOLD | point 4 | DAC 6.75 | CTRL X 0.58371 | X 0.58080 | Y 0.34437 | Z 0.14493 | TOTAL 0.69074 | error -2.72 % | MAD 2.40 % | CV 2.42 % | coh 68.2 % | dominant X | axis fraction 100.0 % | IN TARGET BAND</x:v>
      </x:c>
      <x:c r="C5809" t="str">
        <x:v>Pasted text(59).txt</x:v>
      </x:c>
    </x:row>
    <x:row r="5810">
      <x:c r="A5810" t="n">
        <x:v>1780</x:v>
      </x:c>
      <x:c r="B5810" s="58" t="str">
        <x:v>HOLD | point 5 | DAC 6.75 | CTRL X 0.58386 | X 0.58689 | Y 0.33785 | Z 0.14706 | TOTAL 0.69347 | error -2.69 % | MAD 2.42 % | CV 2.44 % | coh 67.8 % | dominant X | axis fraction 100.0 % | IN TARGET BAND</x:v>
      </x:c>
      <x:c r="C5810" t="str">
        <x:v>Pasted text(59).txt</x:v>
      </x:c>
    </x:row>
    <x:row r="5811">
      <x:c r="A5811" t="n">
        <x:v>1781</x:v>
      </x:c>
      <x:c r="B5811" s="58" t="str">
        <x:v>HOLD | point 6 | DAC 6.75 | CTRL X 0.61121 | X 0.61762 | Y 0.32110 | Z 0.15085 | TOTAL 0.71230 | error 1.87 % | MAD 0.47 % | CV 2.07 % | coh 70.6 % | dominant X | axis fraction 100.0 % | IN TARGET BAND</x:v>
      </x:c>
      <x:c r="C5811" t="str">
        <x:v>Pasted text(59).txt</x:v>
      </x:c>
    </x:row>
    <x:row r="5812">
      <x:c r="A5812" t="n">
        <x:v>1782</x:v>
      </x:c>
      <x:c r="B5812" s="58" t="str">
        <x:v>HOLD | point 7 | DAC 6.75 | CTRL X 0.57992 | X 0.58334 | Y 0.33652 | Z 0.14294 | TOTAL 0.68847 | error -3.35 % | MAD 2.56 % | CV 2.64 % | coh 67.4 % | dominant X | axis fraction 100.0 % | IN TARGET BAND</x:v>
      </x:c>
      <x:c r="C5812" t="str">
        <x:v>Pasted text(59).txt</x:v>
      </x:c>
    </x:row>
    <x:row r="5813">
      <x:c r="A5813" t="n">
        <x:v>1783</x:v>
      </x:c>
      <x:c r="B5813" s="58" t="str">
        <x:v>HOLD | point 8 | DAC 6.75 | CTRL X 0.60794 | X 0.60119 | Y 0.32194 | Z 0.14099 | TOTAL 0.69753 | error 1.32 % | MAD 1.17 % | CV 2.66 % | coh 68.0 % | dominant X | axis fraction 100.0 % | IN TARGET BAND</x:v>
      </x:c>
      <x:c r="C5813" t="str">
        <x:v>Pasted text(59).txt</x:v>
      </x:c>
    </x:row>
    <x:row r="5814">
      <x:c r="A5814" t="n">
        <x:v>1784</x:v>
      </x:c>
      <x:c r="B5814" s="58" t="str">
        <x:v>HOLD | point 9 | DAC 6.75 | CTRL X 0.62183 | X 0.61714 | Y 0.32732 | Z 0.14008 | TOTAL 0.71262 | error 3.64 % | MAD 0.95 % | CV 1.90 % | coh 70.7 % | dominant X | axis fraction 100.0 % | IN TARGET BAND</x:v>
      </x:c>
      <x:c r="C5814" t="str">
        <x:v>Pasted text(59).txt</x:v>
      </x:c>
    </x:row>
    <x:row r="5815">
      <x:c r="A5815" t="n">
        <x:v>1785</x:v>
      </x:c>
      <x:c r="B5815" s="58" t="str">
        <x:v>HOLD | point 10 | DAC 6.75 | CTRL X 0.57832 | X 0.57132 | Y 0.33850 | Z 0.13324 | TOTAL 0.67757 | error -3.61 % | MAD 2.71 % | CV 3.84 % | coh 67.3 % | dominant X | axis fraction 100.0 % | IN TARGET BAND</x:v>
      </x:c>
      <x:c r="C5815" t="str">
        <x:v>Pasted text(59).txt</x:v>
      </x:c>
    </x:row>
    <x:row r="5816">
      <x:c r="A5816" t="n">
        <x:v>1786</x:v>
      </x:c>
      <x:c r="B5816" s="58" t="str"/>
      <x:c r="C5816" t="str">
        <x:v>Pasted text(59).txt</x:v>
      </x:c>
    </x:row>
    <x:row r="5817">
      <x:c r="A5817" t="n">
        <x:v>1787</x:v>
      </x:c>
      <x:c r="B5817" s="58" t="str">
        <x:v>HOLD SUMMARY</x:v>
      </x:c>
      <x:c r="C5817" t="str">
        <x:v>Pasted text(59).txt</x:v>
      </x:c>
    </x:row>
    <x:row r="5818">
      <x:c r="A5818" t="n">
        <x:v>1788</x:v>
      </x:c>
      <x:c r="B5818" s="58" t="str">
        <x:v>Valid / requested: 10 / 10</x:v>
      </x:c>
      <x:c r="C5818" t="str">
        <x:v>Pasted text(59).txt</x:v>
      </x:c>
    </x:row>
    <x:row r="5819">
      <x:c r="A5819" t="n">
        <x:v>1789</x:v>
      </x:c>
      <x:c r="B5819" s="58" t="str">
        <x:v>In band / requested: 10 / 10 = 100.0 %</x:v>
      </x:c>
      <x:c r="C5819" t="str">
        <x:v>Pasted text(59).txt</x:v>
      </x:c>
    </x:row>
    <x:row r="5820">
      <x:c r="A5820" t="n">
        <x:v>1790</x:v>
      </x:c>
      <x:c r="B5820" s="58" t="str">
        <x:v>Mean / SD / CV: 0.59604 / 0.01492 / 2.50 %</x:v>
      </x:c>
      <x:c r="C5820" t="str">
        <x:v>Pasted text(59).txt</x:v>
      </x:c>
    </x:row>
    <x:row r="5821">
      <x:c r="A5821" t="n">
        <x:v>1791</x:v>
      </x:c>
      <x:c r="B5821" s="58" t="str">
        <x:v>Min / Max: 0.57832 / 0.62183</x:v>
      </x:c>
      <x:c r="C5821" t="str">
        <x:v>Pasted text(59).txt</x:v>
      </x:c>
    </x:row>
    <x:row r="5822">
      <x:c r="A5822" t="n">
        <x:v>1792</x:v>
      </x:c>
      <x:c r="B5822" s="58" t="str">
        <x:v>HOLD RESULT: PASS</x:v>
      </x:c>
      <x:c r="C5822" t="str">
        <x:v>Pasted text(59).txt</x:v>
      </x:c>
    </x:row>
    <x:row r="5823">
      <x:c r="A5823" t="n">
        <x:v>1793</x:v>
      </x:c>
      <x:c r="B5823" s="58" t="str"/>
      <x:c r="C5823" t="str">
        <x:v>Pasted text(59).txt</x:v>
      </x:c>
    </x:row>
    <x:row r="5824">
      <x:c r="A5824" t="n">
        <x:v>1794</x:v>
      </x:c>
      <x:c r="B5824" s="58" t="str">
        <x:v>RUN RESULT: PASS</x:v>
      </x:c>
      <x:c r="C5824" t="str">
        <x:v>Pasted text(59).txt</x:v>
      </x:c>
    </x:row>
    <x:row r="5825">
      <x:c r="A5825" t="n">
        <x:v>1795</x:v>
      </x:c>
      <x:c r="B5825" s="58" t="str">
        <x:v>Selected DAC: 6.75</x:v>
      </x:c>
      <x:c r="C5825" t="str">
        <x:v>Pasted text(59).txt</x:v>
      </x:c>
    </x:row>
    <x:row r="5826">
      <x:c r="A5826" t="n">
        <x:v>1796</x:v>
      </x:c>
      <x:c r="B5826" s="58" t="str">
        <x:v>Validated amplitude: 0.59016 m/s^2 | error -1.64 %</x:v>
      </x:c>
      <x:c r="C5826" t="str">
        <x:v>Pasted text(59).txt</x:v>
      </x:c>
    </x:row>
    <x:row r="5827">
      <x:c r="A5827" t="n">
        <x:v>1797</x:v>
      </x:c>
      <x:c r="B5827" s="58" t="str">
        <x:v>FFT frequency: 268.85989 Hz | difference -0.04010 Hz</x:v>
      </x:c>
      <x:c r="C5827" t="str">
        <x:v>Pasted text(59).txt</x:v>
      </x:c>
    </x:row>
    <x:row r="5828">
      <x:c r="A5828" t="n">
        <x:v>1798</x:v>
      </x:c>
      <x:c r="B5828" s="58" t="str"/>
      <x:c r="C5828" t="str">
        <x:v>Pasted text(59).txt</x:v>
      </x:c>
    </x:row>
    <x:row r="5829">
      <x:c r="A5829" t="n">
        <x:v>1799</x:v>
      </x:c>
      <x:c r="B5829" s="58" t="str">
        <x:v>VISATON OFF. RESTING 5.0 s BEFORE THE NEXT COMPLETELY FRESH RUN.</x:v>
      </x:c>
      <x:c r="C5829" t="str">
        <x:v>Pasted text(59).txt</x:v>
      </x:c>
    </x:row>
    <x:row r="5830">
      <x:c r="A5830" t="n">
        <x:v>1800</x:v>
      </x:c>
      <x:c r="B5830" s="58" t="str"/>
      <x:c r="C5830" t="str">
        <x:v>Pasted text(59).txt</x:v>
      </x:c>
    </x:row>
    <x:row r="5831">
      <x:c r="A5831" t="n">
        <x:v>1801</x:v>
      </x:c>
      <x:c r="B5831" s="58" t="str">
        <x:v>################################################################################</x:v>
      </x:c>
      <x:c r="C5831" t="str">
        <x:v>Pasted text(59).txt</x:v>
      </x:c>
    </x:row>
    <x:row r="5832">
      <x:c r="A5832" t="n">
        <x:v>1802</x:v>
      </x:c>
      <x:c r="B5832" s="58" t="str">
        <x:v>INDEPENDENT TARGET-AMPLITUDE RUN 5 OF 5</x:v>
      </x:c>
      <x:c r="C5832" t="str">
        <x:v>Pasted text(59).txt</x:v>
      </x:c>
    </x:row>
    <x:row r="5833">
      <x:c r="A5833" t="n">
        <x:v>1803</x:v>
      </x:c>
      <x:c r="B5833" s="58" t="str">
        <x:v>################################################################################</x:v>
      </x:c>
      <x:c r="C5833" t="str">
        <x:v>Pasted text(59).txt</x:v>
      </x:c>
    </x:row>
    <x:row r="5834">
      <x:c r="A5834" t="n">
        <x:v>1804</x:v>
      </x:c>
      <x:c r="B5834" s="58" t="str">
        <x:v>Frequency: 268.89999 Hz</x:v>
      </x:c>
      <x:c r="C5834" t="str">
        <x:v>Pasted text(59).txt</x:v>
      </x:c>
    </x:row>
    <x:row r="5835">
      <x:c r="A5835" t="n">
        <x:v>1805</x:v>
      </x:c>
      <x:c r="B5835" s="58" t="str">
        <x:v>Target X amplitude: 0.60000 m/s^2 peak, tolerance +/-7.50 %</x:v>
      </x:c>
      <x:c r="C5835" t="str">
        <x:v>Pasted text(59).txt</x:v>
      </x:c>
    </x:row>
    <x:row r="5836">
      <x:c r="A5836" t="n">
        <x:v>1806</x:v>
      </x:c>
      <x:c r="B5836" s="58" t="str">
        <x:v>This run starts from DAC 1.00 and ignores every earlier selected DAC.</x:v>
      </x:c>
      <x:c r="C5836" t="str">
        <x:v>Pasted text(59).txt</x:v>
      </x:c>
    </x:row>
    <x:row r="5837">
      <x:c r="A5837" t="n">
        <x:v>1807</x:v>
      </x:c>
      <x:c r="B5837" s="58" t="str">
        <x:v>ADXL2 DEVID/DATA_FORMAT/BW_RATE/POWER_CTL: 0xE5 / 0xB / 0xE / 0x8</x:v>
      </x:c>
      <x:c r="C5837" t="str">
        <x:v>Pasted text(59).txt</x:v>
      </x:c>
    </x:row>
    <x:row r="5838">
      <x:c r="A5838" t="n">
        <x:v>1808</x:v>
      </x:c>
      <x:c r="B5838" s="58" t="str"/>
      <x:c r="C5838" t="str">
        <x:v>Pasted text(59).txt</x:v>
      </x:c>
    </x:row>
    <x:row r="5839">
      <x:c r="A5839" t="n">
        <x:v>1809</x:v>
      </x:c>
      <x:c r="B5839" s="58" t="str">
        <x:v>ACQUISITION ATTEMPT 1 OF 2</x:v>
      </x:c>
      <x:c r="C5839" t="str">
        <x:v>Pasted text(59).txt</x:v>
      </x:c>
    </x:row>
    <x:row r="5840">
      <x:c r="A5840" t="n">
        <x:v>1810</x:v>
      </x:c>
      <x:c r="B5840" s="58" t="str"/>
      <x:c r="C5840" t="str">
        <x:v>Pasted text(59).txt</x:v>
      </x:c>
    </x:row>
    <x:row r="5841">
      <x:c r="A5841" t="n">
        <x:v>1811</x:v>
      </x:c>
      <x:c r="B5841" s="58" t="str">
        <x:v>FRESH X-AXIS SEARCH FROM DAC 1.00 — OLD DAC VALUES ARE NOT USED</x:v>
      </x:c>
      <x:c r="C5841" t="str">
        <x:v>Pasted text(59).txt</x:v>
      </x:c>
    </x:row>
    <x:row r="5842">
      <x:c r="A5842" t="n">
        <x:v>1812</x:v>
      </x:c>
      <x:c r="B5842" s="58" t="str">
        <x:v>Y/Z are diagnostic only and cannot abort this search.</x:v>
      </x:c>
      <x:c r="C5842" t="str">
        <x:v>Pasted text(59).txt</x:v>
      </x:c>
    </x:row>
    <x:row r="5843">
      <x:c r="A5843" t="n">
        <x:v>1813</x:v>
      </x:c>
      <x:c r="B5843" s="58" t="str">
        <x:v>A real SPI fault, clipping, safety limit or confirmed X-response collapse will stop it.</x:v>
      </x:c>
      <x:c r="C5843" t="str">
        <x:v>Pasted text(59).txt</x:v>
      </x:c>
    </x:row>
    <x:row r="5844">
      <x:c r="A5844" t="n">
        <x:v>1814</x:v>
      </x:c>
      <x:c r="B5844" s="58" t="str">
        <x:v>SEARCH | point 1 | DAC 1.00 | CTRL X 0.01843 | X 0.02095 | Y 0.01085 | Z 0.05015 | TOTAL 0.05627 | error -96.93 % | MAD 64.74 % | CV 57.42 % | coh 6.5 % | dominant Z | axis fraction 41.8 % | BELOW MEASUREMENT FLOOR — SEARCH CONTINUES</x:v>
      </x:c>
      <x:c r="C5844" t="str">
        <x:v>Pasted text(59).txt</x:v>
      </x:c>
    </x:row>
    <x:row r="5845">
      <x:c r="A5845" t="n">
        <x:v>1815</x:v>
      </x:c>
      <x:c r="B5845" s="58" t="str">
        <x:v>SEARCH | point 2 | DAC 3.00 | CTRL X 0.20292 | X 0.20216 | Y 0.08300 | Z 0.07829 | TOTAL 0.23270 | error -66.18 % | MAD 0.99 % | CV 1.27 % | coh 31.9 % | dominant X | axis fraction 100.0 % | UNSTABLE — SEARCH CONTINUES</x:v>
      </x:c>
      <x:c r="C5845" t="str">
        <x:v>Pasted text(59).txt</x:v>
      </x:c>
    </x:row>
    <x:row r="5846">
      <x:c r="A5846" t="n">
        <x:v>1816</x:v>
      </x:c>
      <x:c r="B5846" s="58" t="str">
        <x:v>SEARCH | point 3 | DAC 4.00 | CTRL X 0.28566 | X 0.29532 | Y 0.16496 | Z 0.10142 | TOTAL 0.35424 | error -52.39 % | MAD 2.26 % | CV 6.98 % | coh 43.9 % | dominant X | axis fraction 100.0 % | UNSTABLE — SEARCH CONTINUES</x:v>
      </x:c>
      <x:c r="C5846" t="str">
        <x:v>Pasted text(59).txt</x:v>
      </x:c>
    </x:row>
    <x:row r="5847">
      <x:c r="A5847" t="n">
        <x:v>1817</x:v>
      </x:c>
      <x:c r="B5847" s="58" t="str">
        <x:v>SEARCH | point 4 | DAC 5.00 | CTRL X 0.39777 | X 0.41996 | Y 0.20494 | Z 0.10082 | TOTAL 0.47924 | error -33.70 % | MAD 0.01 % | CV 9.16 % | coh 56.7 % | dominant X | axis fraction 100.0 % | VALID</x:v>
      </x:c>
      <x:c r="C5847" t="str">
        <x:v>Pasted text(59).txt</x:v>
      </x:c>
    </x:row>
    <x:row r="5848">
      <x:c r="A5848" t="n">
        <x:v>1818</x:v>
      </x:c>
      <x:c r="B5848" s="58" t="str">
        <x:v>SEARCH | point 5 | DAC 5.50 | CTRL X 0.43140 | X 0.43895 | Y 0.22883 | Z 0.12860 | TOTAL 0.51198 | error -28.10 % | MAD 0.85 % | CV 3.48 % | coh 66.3 % | dominant X | axis fraction 100.0 % | VALID</x:v>
      </x:c>
      <x:c r="C5848" t="str">
        <x:v>Pasted text(59).txt</x:v>
      </x:c>
    </x:row>
    <x:row r="5849">
      <x:c r="A5849" t="n">
        <x:v>1819</x:v>
      </x:c>
      <x:c r="B5849" s="58" t="str">
        <x:v>SEARCH | point 6 | DAC 6.00 | CTRL X 0.51542 | X 0.51926 | Y 0.25358 | Z 0.14592 | TOTAL 0.59627 | error -14.10 % | MAD 1.90 % | CV 2.47 % | coh 65.0 % | dominant X | axis fraction 100.0 % | VALID</x:v>
      </x:c>
      <x:c r="C5849" t="str">
        <x:v>Pasted text(59).txt</x:v>
      </x:c>
    </x:row>
    <x:row r="5850">
      <x:c r="A5850" t="n">
        <x:v>1820</x:v>
      </x:c>
      <x:c r="B5850" s="58" t="str">
        <x:v>SEARCH | point 7 | DAC 6.25 | CTRL X 0.52518 | X 0.52465 | Y 0.26617 | Z 0.13932 | TOTAL 0.60484 | error -12.47 % | MAD 9.53 % | CV 6.59 % | coh 68.8 % | dominant X | axis fraction 100.0 % | VALID</x:v>
      </x:c>
      <x:c r="C5850" t="str">
        <x:v>Pasted text(59).txt</x:v>
      </x:c>
    </x:row>
    <x:row r="5851">
      <x:c r="A5851" t="n">
        <x:v>1821</x:v>
      </x:c>
      <x:c r="B5851" s="58" t="str">
        <x:v>SEARCH | point 8 | DAC 6.50 | CTRL X 0.55114 | X 0.54883 | Y 0.29656 | Z 0.13632 | TOTAL 0.63884 | error -8.14 % | MAD 6.22 % | CV 4.86 % | coh 72.6 % | dominant X | axis fraction 100.0 % | VALID</x:v>
      </x:c>
      <x:c r="C5851" t="str">
        <x:v>Pasted text(59).txt</x:v>
      </x:c>
    </x:row>
    <x:row r="5852">
      <x:c r="A5852" t="n">
        <x:v>1822</x:v>
      </x:c>
      <x:c r="B5852" s="58" t="str">
        <x:v>SEARCH | point 9 | DAC 6.75 | CTRL X 0.59802 | X 0.59856 | Y 0.30819 | Z 0.15279 | TOTAL 0.69086 | error -0.33 % | MAD 0.01 % | CV 0.16 % | coh 67.0 % | dominant X | axis fraction 100.0 % | IN TARGET BAND</x:v>
      </x:c>
      <x:c r="C5852" t="str">
        <x:v>Pasted text(59).txt</x:v>
      </x:c>
    </x:row>
    <x:row r="5853">
      <x:c r="A5853" t="n">
        <x:v>1823</x:v>
      </x:c>
      <x:c r="B5853" s="58" t="str"/>
      <x:c r="C5853" t="str">
        <x:v>Pasted text(59).txt</x:v>
      </x:c>
    </x:row>
    <x:row r="5854">
      <x:c r="A5854" t="n">
        <x:v>1824</x:v>
      </x:c>
      <x:c r="B5854" s="58" t="str">
        <x:v>LOCAL 0.25-DAC X-AXIS FINE SCAN</x:v>
      </x:c>
      <x:c r="C5854" t="str">
        <x:v>Pasted text(59).txt</x:v>
      </x:c>
    </x:row>
    <x:row r="5855">
      <x:c r="A5855" t="n">
        <x:v>1825</x:v>
      </x:c>
      <x:c r="B5855" s="58" t="str">
        <x:v>Only a valid point actually inside the X target band may be selected.</x:v>
      </x:c>
      <x:c r="C5855" t="str">
        <x:v>Pasted text(59).txt</x:v>
      </x:c>
    </x:row>
    <x:row r="5856">
      <x:c r="A5856" t="n">
        <x:v>1826</x:v>
      </x:c>
      <x:c r="B5856" s="58" t="str">
        <x:v>FINE | point 1 | DAC 5.75 | CTRL X 0.48934 | X 0.48063 | Y 0.25040 | Z 0.13382 | TOTAL 0.55953 | error -18.44 % | MAD 2.79 % | CV 4.89 % | coh 60.4 % | dominant X | axis fraction 100.0 % | VALID</x:v>
      </x:c>
      <x:c r="C5856" t="str">
        <x:v>Pasted text(59).txt</x:v>
      </x:c>
    </x:row>
    <x:row r="5857">
      <x:c r="A5857" t="n">
        <x:v>1827</x:v>
      </x:c>
      <x:c r="B5857" s="58" t="str">
        <x:v>FINE | point 2 | DAC 6.00 | CTRL X 0.50548 | X 0.50896 | Y 0.26097 | Z 0.14141 | TOTAL 0.58952 | error -15.75 % | MAD 1.06 % | CV 1.83 % | coh 64.5 % | dominant X | axis fraction 100.0 % | VALID</x:v>
      </x:c>
      <x:c r="C5857" t="str">
        <x:v>Pasted text(59).txt</x:v>
      </x:c>
    </x:row>
    <x:row r="5858">
      <x:c r="A5858" t="n">
        <x:v>1828</x:v>
      </x:c>
      <x:c r="B5858" s="58" t="str">
        <x:v>FINE | point 3 | DAC 6.25 | CTRL X 0.51981 | X 0.52151 | Y 0.25886 | Z 0.14065 | TOTAL 0.59912 | error -13.36 % | MAD 0.32 % | CV 0.76 % | coh 67.8 % | dominant X | axis fraction 100.0 % | VALID</x:v>
      </x:c>
      <x:c r="C5858" t="str">
        <x:v>Pasted text(59).txt</x:v>
      </x:c>
    </x:row>
    <x:row r="5859">
      <x:c r="A5859" t="n">
        <x:v>1829</x:v>
      </x:c>
      <x:c r="B5859" s="58" t="str">
        <x:v>FINE | point 4 | DAC 6.50 | CTRL X 0.54896 | X 0.54730 | Y 0.28109 | Z 0.12988 | TOTAL 0.62910 | error -8.51 % | MAD 0.98 % | CV 1.15 % | coh 72.7 % | dominant X | axis fraction 100.0 % | VALID</x:v>
      </x:c>
      <x:c r="C5859" t="str">
        <x:v>Pasted text(59).txt</x:v>
      </x:c>
    </x:row>
    <x:row r="5860">
      <x:c r="A5860" t="n">
        <x:v>1830</x:v>
      </x:c>
      <x:c r="B5860" s="58" t="str">
        <x:v>FINE | point 5 | DAC 6.75 | CTRL X 0.60015 | X 0.59860 | Y 0.30791 | Z 0.16586 | TOTAL 0.69342 | error 0.03 % | MAD 5.43 % | CV 4.07 % | coh 68.4 % | dominant X | axis fraction 100.0 % | IN TARGET BAND</x:v>
      </x:c>
      <x:c r="C5860" t="str">
        <x:v>Pasted text(59).txt</x:v>
      </x:c>
    </x:row>
    <x:row r="5861">
      <x:c r="A5861" t="n">
        <x:v>1831</x:v>
      </x:c>
      <x:c r="B5861" s="58" t="str">
        <x:v>FINE | point 6 | DAC 7.00 | CTRL X 0.60923 | X 0.62045 | Y 0.32842 | Z 0.15515 | TOTAL 0.71930 | error 1.54 % | MAD 2.14 % | CV 4.42 % | coh 74.0 % | dominant X | axis fraction 100.0 % | IN TARGET BAND</x:v>
      </x:c>
      <x:c r="C5861" t="str">
        <x:v>Pasted text(59).txt</x:v>
      </x:c>
    </x:row>
    <x:row r="5862">
      <x:c r="A5862" t="n">
        <x:v>1832</x:v>
      </x:c>
      <x:c r="B5862" s="58" t="str">
        <x:v>FINE | point 7 | DAC 7.25 | CTRL X 0.61608 | X 0.61419 | Y 0.31947 | Z 0.29498 | TOTAL 0.77629 | error 2.68 % | MAD 8.32 % | CV 6.10 % | coh 70.9 % | dominant X | axis fraction 100.0 % | IN TARGET BAND</x:v>
      </x:c>
      <x:c r="C5862" t="str">
        <x:v>Pasted text(59).txt</x:v>
      </x:c>
    </x:row>
    <x:row r="5863">
      <x:c r="A5863" t="n">
        <x:v>1833</x:v>
      </x:c>
      <x:c r="B5863" s="58" t="str">
        <x:v>FINE | point 8 | DAC 7.50 | CTRL X 0.65692 | X 0.65567 | Y 0.35216 | Z 0.16349 | TOTAL 0.76300 | error 9.49 % | MAD 0.54 % | CV 0.67 % | coh 80.3 % | dominant X | axis fraction 100.0 % | VALID</x:v>
      </x:c>
      <x:c r="C5863" t="str">
        <x:v>Pasted text(59).txt</x:v>
      </x:c>
    </x:row>
    <x:row r="5864">
      <x:c r="A5864" t="n">
        <x:v>1834</x:v>
      </x:c>
      <x:c r="B5864" s="58" t="str">
        <x:v>FINE | point 9 | DAC 7.75 | CTRL X 0.68257 | X 0.68539 | Y 0.36553 | Z 0.16844 | TOTAL 0.79496 | error 13.76 % | MAD 2.54 % | CV 2.35 % | coh 73.7 % | dominant X | axis fraction 100.0 % | VALID</x:v>
      </x:c>
      <x:c r="C5864" t="str">
        <x:v>Pasted text(59).txt</x:v>
      </x:c>
    </x:row>
    <x:row r="5865">
      <x:c r="A5865" t="n">
        <x:v>1835</x:v>
      </x:c>
      <x:c r="B5865" s="58" t="str"/>
      <x:c r="C5865" t="str">
        <x:v>Pasted text(59).txt</x:v>
      </x:c>
    </x:row>
    <x:row r="5866">
      <x:c r="A5866" t="n">
        <x:v>1836</x:v>
      </x:c>
      <x:c r="B5866" s="58" t="str">
        <x:v>LONG VALIDATION AT FIXED DAC 7.00</x:v>
      </x:c>
      <x:c r="C5866" t="str">
        <x:v>Pasted text(59).txt</x:v>
      </x:c>
    </x:row>
    <x:row r="5867">
      <x:c r="A5867" t="n">
        <x:v>1837</x:v>
      </x:c>
      <x:c r="B5867" s="58" t="str">
        <x:v>FINAL | point 1 | DAC 7.00 | CTRL X 0.62245 | X 0.61616 | Y 0.32249 | Z 0.15469 | TOTAL 0.71260 | error 3.74 % | MAD 2.96 % | CV 2.69 % | coh 72.5 % | dominant X | axis fraction 100.0 % | IN TARGET BAND</x:v>
      </x:c>
      <x:c r="C5867" t="str">
        <x:v>Pasted text(59).txt</x:v>
      </x:c>
    </x:row>
    <x:row r="5868">
      <x:c r="A5868" t="n">
        <x:v>1838</x:v>
      </x:c>
      <x:c r="B5868" s="58" t="str">
        <x:v>FINAL | point 2 | DAC 7.00 | CTRL X 0.63039 | X 0.61996 | Y 0.32342 | Z 0.14614 | TOTAL 0.71533 | error 5.07 % | MAD 4.92 % | CV 4.41 % | coh 72.9 % | dominant X | axis fraction 100.0 % | IN TARGET BAND</x:v>
      </x:c>
      <x:c r="C5868" t="str">
        <x:v>Pasted text(59).txt</x:v>
      </x:c>
    </x:row>
    <x:row r="5869">
      <x:c r="A5869" t="n">
        <x:v>1839</x:v>
      </x:c>
      <x:c r="B5869" s="58" t="str">
        <x:v>VALIDATION ACCEPTED | pair drift 1.27 %</x:v>
      </x:c>
      <x:c r="C5869" t="str">
        <x:v>Pasted text(59).txt</x:v>
      </x:c>
    </x:row>
    <x:row r="5870">
      <x:c r="A5870" t="n">
        <x:v>1840</x:v>
      </x:c>
      <x:c r="B5870" s="58" t="str"/>
      <x:c r="C5870" t="str">
        <x:v>Pasted text(59).txt</x:v>
      </x:c>
    </x:row>
    <x:row r="5871">
      <x:c r="A5871" t="n">
        <x:v>1841</x:v>
      </x:c>
      <x:c r="B5871" s="58" t="str">
        <x:v>FINAL VALIDATED BLIND FFT VERIFICATION</x:v>
      </x:c>
      <x:c r="C5871" t="str">
        <x:v>Pasted text(59).txt</x:v>
      </x:c>
    </x:row>
    <x:row r="5872">
      <x:c r="A5872" t="n">
        <x:v>1842</x:v>
      </x:c>
      <x:c r="B5872" s="58" t="str">
        <x:v>Commanded frequency: 268.89999 Hz</x:v>
      </x:c>
      <x:c r="C5872" t="str">
        <x:v>Pasted text(59).txt</x:v>
      </x:c>
    </x:row>
    <x:row r="5873">
      <x:c r="A5873" t="n">
        <x:v>1843</x:v>
      </x:c>
      <x:c r="B5873" s="58" t="str">
        <x:v>Accepted DAC: 7.00</x:v>
      </x:c>
      <x:c r="C5873" t="str">
        <x:v>Pasted text(59).txt</x:v>
      </x:c>
    </x:row>
    <x:row r="5874">
      <x:c r="A5874" t="n">
        <x:v>1844</x:v>
      </x:c>
      <x:c r="B5874" s="58" t="str">
        <x:v>Axis,Frequency_Hz,Amplitude_mps2,SNR_dB,Status</x:v>
      </x:c>
      <x:c r="C5874" t="str">
        <x:v>Pasted text(59).txt</x:v>
      </x:c>
    </x:row>
    <x:row r="5875">
      <x:c r="A5875" t="n">
        <x:v>1845</x:v>
      </x:c>
      <x:c r="B5875" s="58" t="str">
        <x:v>X,268.85108,0.61065,29.57,VALID</x:v>
      </x:c>
      <x:c r="C5875" t="str">
        <x:v>Pasted text(59).txt</x:v>
      </x:c>
    </x:row>
    <x:row r="5876">
      <x:c r="A5876" t="n">
        <x:v>1846</x:v>
      </x:c>
      <x:c r="B5876" s="58" t="str">
        <x:v>Y,268.87838,0.31680,20.57,VALID</x:v>
      </x:c>
      <x:c r="C5876" t="str">
        <x:v>Pasted text(59).txt</x:v>
      </x:c>
    </x:row>
    <x:row r="5877">
      <x:c r="A5877" t="n">
        <x:v>1847</x:v>
      </x:c>
      <x:c r="B5877" s="58" t="str">
        <x:v>Z,268.88255,0.14168,18.33,VALID</x:v>
      </x:c>
      <x:c r="C5877" t="str">
        <x:v>Pasted text(59).txt</x:v>
      </x:c>
    </x:row>
    <x:row r="5878">
      <x:c r="A5878" t="n">
        <x:v>1848</x:v>
      </x:c>
      <x:c r="B5878" s="58" t="str">
        <x:v>Combined frequency: 268.85785 Hz | difference -0.04214 Hz</x:v>
      </x:c>
      <x:c r="C5878" t="str">
        <x:v>Pasted text(59).txt</x:v>
      </x:c>
    </x:row>
    <x:row r="5879">
      <x:c r="A5879" t="n">
        <x:v>1849</x:v>
      </x:c>
      <x:c r="B5879" s="58" t="str">
        <x:v>Combined X/Y/Z/TOTAL: 0.60922 / 0.31557 / 0.14112 / 0.70046</x:v>
      </x:c>
      <x:c r="C5879" t="str">
        <x:v>Pasted text(59).txt</x:v>
      </x:c>
    </x:row>
    <x:row r="5880">
      <x:c r="A5880" t="n">
        <x:v>1850</x:v>
      </x:c>
      <x:c r="B5880" s="58" t="str">
        <x:v>SNR: 24.93 dB | dominant axis X</x:v>
      </x:c>
      <x:c r="C5880" t="str">
        <x:v>Pasted text(59).txt</x:v>
      </x:c>
    </x:row>
    <x:row r="5881">
      <x:c r="A5881" t="n">
        <x:v>1851</x:v>
      </x:c>
      <x:c r="B5881" s="58" t="str">
        <x:v>Frequency verification: PASS</x:v>
      </x:c>
      <x:c r="C5881" t="str">
        <x:v>Pasted text(59).txt</x:v>
      </x:c>
    </x:row>
    <x:row r="5882">
      <x:c r="A5882" t="n">
        <x:v>1852</x:v>
      </x:c>
      <x:c r="B5882" s="58" t="str">
        <x:v>Y/Z dominance: DIAGNOSTIC ONLY — ignored for pass/fail</x:v>
      </x:c>
      <x:c r="C5882" t="str">
        <x:v>Pasted text(59).txt</x:v>
      </x:c>
    </x:row>
    <x:row r="5883">
      <x:c r="A5883" t="n">
        <x:v>1853</x:v>
      </x:c>
      <x:c r="B5883" s="58" t="str"/>
      <x:c r="C5883" t="str">
        <x:v>Pasted text(59).txt</x:v>
      </x:c>
    </x:row>
    <x:row r="5884">
      <x:c r="A5884" t="n">
        <x:v>1854</x:v>
      </x:c>
      <x:c r="B5884" s="58" t="str">
        <x:v>FIXED-DAC HOLD VALIDATION</x:v>
      </x:c>
      <x:c r="C5884" t="str">
        <x:v>Pasted text(59).txt</x:v>
      </x:c>
    </x:row>
    <x:row r="5885">
      <x:c r="A5885" t="n">
        <x:v>1855</x:v>
      </x:c>
      <x:c r="B5885" s="58" t="str">
        <x:v>DAC remains fixed at 7.00 for 10 records.</x:v>
      </x:c>
      <x:c r="C5885" t="str">
        <x:v>Pasted text(59).txt</x:v>
      </x:c>
    </x:row>
    <x:row r="5886">
      <x:c r="A5886" t="n">
        <x:v>1856</x:v>
      </x:c>
      <x:c r="B5886" s="58" t="str">
        <x:v>HOLD | point 1 | DAC 7.00 | CTRL X 0.61780 | X 0.60983 | Y 0.31994 | Z 0.15181 | TOTAL 0.70610 | error 2.97 % | MAD 1.98 % | CV 3.50 % | coh 71.5 % | dominant X | axis fraction 100.0 % | IN TARGET BAND</x:v>
      </x:c>
      <x:c r="C5886" t="str">
        <x:v>Pasted text(59).txt</x:v>
      </x:c>
    </x:row>
    <x:row r="5887">
      <x:c r="A5887" t="n">
        <x:v>1857</x:v>
      </x:c>
      <x:c r="B5887" s="58" t="str">
        <x:v>HOLD | point 2 | DAC 7.00 | CTRL X 0.60358 | X 0.60915 | Y 0.32962 | Z 0.11924 | TOTAL 0.70341 | error 0.60 % | MAD 0.61 % | CV 1.95 % | coh 72.3 % | dominant X | axis fraction 100.0 % | IN TARGET BAND</x:v>
      </x:c>
      <x:c r="C5887" t="str">
        <x:v>Pasted text(59).txt</x:v>
      </x:c>
    </x:row>
    <x:row r="5888">
      <x:c r="A5888" t="n">
        <x:v>1858</x:v>
      </x:c>
      <x:c r="B5888" s="58" t="str">
        <x:v>HOLD | point 3 | DAC 7.00 | CTRL X 0.59831 | X 0.60284 | Y 0.32764 | Z 0.14834 | TOTAL 0.70221 | error -0.28 % | MAD 0.90 % | CV 1.85 % | coh 71.3 % | dominant X | axis fraction 100.0 % | IN TARGET BAND</x:v>
      </x:c>
      <x:c r="C5888" t="str">
        <x:v>Pasted text(59).txt</x:v>
      </x:c>
    </x:row>
    <x:row r="5889">
      <x:c r="A5889" t="n">
        <x:v>1859</x:v>
      </x:c>
      <x:c r="B5889" s="58" t="str">
        <x:v>HOLD | point 4 | DAC 7.00 | CTRL X 0.59142 | X 0.59321 | Y 0.31756 | Z 0.15288 | TOTAL 0.69050 | error -1.43 % | MAD 5.81 % | CV 4.37 % | coh 71.4 % | dominant X | axis fraction 100.0 % | IN TARGET BAND</x:v>
      </x:c>
      <x:c r="C5889" t="str">
        <x:v>Pasted text(59).txt</x:v>
      </x:c>
    </x:row>
    <x:row r="5890">
      <x:c r="A5890" t="n">
        <x:v>1860</x:v>
      </x:c>
      <x:c r="B5890" s="58" t="str">
        <x:v>HOLD | point 5 | DAC 7.00 | CTRL X 0.60858 | X 0.61021 | Y 0.29833 | Z 0.14114 | TOTAL 0.69382 | error 1.43 % | MAD 1.13 % | CV 1.18 % | coh 72.5 % | dominant X | axis fraction 100.0 % | IN TARGET BAND</x:v>
      </x:c>
      <x:c r="C5890" t="str">
        <x:v>Pasted text(59).txt</x:v>
      </x:c>
    </x:row>
    <x:row r="5891">
      <x:c r="A5891" t="n">
        <x:v>1861</x:v>
      </x:c>
      <x:c r="B5891" s="58" t="str">
        <x:v>HOLD | point 6 | DAC 7.00 | CTRL X 0.62623 | X 0.63476 | Y 0.31362 | Z 0.13033 | TOTAL 0.72013 | error 4.37 % | MAD 0.07 % | CV 2.37 % | coh 73.3 % | dominant X | axis fraction 100.0 % | IN TARGET BAND</x:v>
      </x:c>
      <x:c r="C5891" t="str">
        <x:v>Pasted text(59).txt</x:v>
      </x:c>
    </x:row>
    <x:row r="5892">
      <x:c r="A5892" t="n">
        <x:v>1862</x:v>
      </x:c>
      <x:c r="B5892" s="58" t="str">
        <x:v>HOLD | point 7 | DAC 7.00 | CTRL X 0.60693 | X 0.60610 | Y 0.32956 | Z 0.17031 | TOTAL 0.71110 | error 1.15 % | MAD 2.14 % | CV 1.66 % | coh 71.6 % | dominant X | axis fraction 100.0 % | IN TARGET BAND</x:v>
      </x:c>
      <x:c r="C5892" t="str">
        <x:v>Pasted text(59).txt</x:v>
      </x:c>
    </x:row>
    <x:row r="5893">
      <x:c r="A5893" t="n">
        <x:v>1863</x:v>
      </x:c>
      <x:c r="B5893" s="58" t="str">
        <x:v>HOLD | point 8 | DAC 7.00 | CTRL X 0.62172 | X 0.61493 | Y 0.33302 | Z 0.13342 | TOTAL 0.71249 | error 3.62 % | MAD 3.44 % | CV 4.12 % | coh 72.7 % | dominant X | axis fraction 100.0 % | IN TARGET BAND</x:v>
      </x:c>
      <x:c r="C5893" t="str">
        <x:v>Pasted text(59).txt</x:v>
      </x:c>
    </x:row>
    <x:row r="5894">
      <x:c r="A5894" t="n">
        <x:v>1864</x:v>
      </x:c>
      <x:c r="B5894" s="58" t="str">
        <x:v>HOLD | point 9 | DAC 7.00 | CTRL X 0.61368 | X 0.61066 | Y 0.34370 | Z 0.14322 | TOTAL 0.71560 | error 2.28 % | MAD 0.97 % | CV 1.46 % | coh 73.1 % | dominant X | axis fraction 100.0 % | IN TARGET BAND</x:v>
      </x:c>
      <x:c r="C5894" t="str">
        <x:v>Pasted text(59).txt</x:v>
      </x:c>
    </x:row>
    <x:row r="5895">
      <x:c r="A5895" t="n">
        <x:v>1865</x:v>
      </x:c>
      <x:c r="B5895" s="58" t="str">
        <x:v>HOLD | point 10 | DAC 7.00 | CTRL X 0.60255 | X 0.61394 | Y 0.32376 | Z 0.13470 | TOTAL 0.70748 | error 0.43 % | MAD 2.93 % | CV 4.99 % | coh 73.2 % | dominant X | axis fraction 100.0 % | IN TARGET BAND</x:v>
      </x:c>
      <x:c r="C5895" t="str">
        <x:v>Pasted text(59).txt</x:v>
      </x:c>
    </x:row>
    <x:row r="5896">
      <x:c r="A5896" t="n">
        <x:v>1866</x:v>
      </x:c>
      <x:c r="B5896" s="58" t="str"/>
      <x:c r="C5896" t="str">
        <x:v>Pasted text(59).txt</x:v>
      </x:c>
    </x:row>
    <x:row r="5897">
      <x:c r="A5897" t="n">
        <x:v>1867</x:v>
      </x:c>
      <x:c r="B5897" s="58" t="str">
        <x:v>HOLD SUMMARY</x:v>
      </x:c>
      <x:c r="C5897" t="str">
        <x:v>Pasted text(59).txt</x:v>
      </x:c>
    </x:row>
    <x:row r="5898">
      <x:c r="A5898" t="n">
        <x:v>1868</x:v>
      </x:c>
      <x:c r="B5898" s="58" t="str">
        <x:v>Valid / requested: 10 / 10</x:v>
      </x:c>
      <x:c r="C5898" t="str">
        <x:v>Pasted text(59).txt</x:v>
      </x:c>
    </x:row>
    <x:row r="5899">
      <x:c r="A5899" t="n">
        <x:v>1869</x:v>
      </x:c>
      <x:c r="B5899" s="58" t="str">
        <x:v>In band / requested: 10 / 10 = 100.0 %</x:v>
      </x:c>
      <x:c r="C5899" t="str">
        <x:v>Pasted text(59).txt</x:v>
      </x:c>
    </x:row>
    <x:row r="5900">
      <x:c r="A5900" t="n">
        <x:v>1870</x:v>
      </x:c>
      <x:c r="B5900" s="58" t="str">
        <x:v>Mean / SD / CV: 0.60908 / 0.01084 / 1.78 %</x:v>
      </x:c>
      <x:c r="C5900" t="str">
        <x:v>Pasted text(59).txt</x:v>
      </x:c>
    </x:row>
    <x:row r="5901">
      <x:c r="A5901" t="n">
        <x:v>1871</x:v>
      </x:c>
      <x:c r="B5901" s="58" t="str">
        <x:v>Min / Max: 0.59142 / 0.62623</x:v>
      </x:c>
      <x:c r="C5901" t="str">
        <x:v>Pasted text(59).txt</x:v>
      </x:c>
    </x:row>
    <x:row r="5902">
      <x:c r="A5902" t="n">
        <x:v>1872</x:v>
      </x:c>
      <x:c r="B5902" s="58" t="str">
        <x:v>HOLD RESULT: PASS</x:v>
      </x:c>
      <x:c r="C5902" t="str">
        <x:v>Pasted text(59).txt</x:v>
      </x:c>
    </x:row>
    <x:row r="5903">
      <x:c r="A5903" t="n">
        <x:v>1873</x:v>
      </x:c>
      <x:c r="B5903" s="58" t="str"/>
      <x:c r="C5903" t="str">
        <x:v>Pasted text(59).txt</x:v>
      </x:c>
    </x:row>
    <x:row r="5904">
      <x:c r="A5904" t="n">
        <x:v>1874</x:v>
      </x:c>
      <x:c r="B5904" s="58" t="str">
        <x:v>RUN RESULT: PASS</x:v>
      </x:c>
      <x:c r="C5904" t="str">
        <x:v>Pasted text(59).txt</x:v>
      </x:c>
    </x:row>
    <x:row r="5905">
      <x:c r="A5905" t="n">
        <x:v>1875</x:v>
      </x:c>
      <x:c r="B5905" s="58" t="str">
        <x:v>Selected DAC: 7.00</x:v>
      </x:c>
      <x:c r="C5905" t="str">
        <x:v>Pasted text(59).txt</x:v>
      </x:c>
    </x:row>
    <x:row r="5906">
      <x:c r="A5906" t="n">
        <x:v>1876</x:v>
      </x:c>
      <x:c r="B5906" s="58" t="str">
        <x:v>Validated amplitude: 0.62642 m/s^2 | error 4.40 %</x:v>
      </x:c>
      <x:c r="C5906" t="str">
        <x:v>Pasted text(59).txt</x:v>
      </x:c>
    </x:row>
    <x:row r="5907">
      <x:c r="A5907" t="n">
        <x:v>1877</x:v>
      </x:c>
      <x:c r="B5907" s="58" t="str">
        <x:v>FFT frequency: 268.85785 Hz | difference -0.04214 Hz</x:v>
      </x:c>
      <x:c r="C5907" t="str">
        <x:v>Pasted text(59).txt</x:v>
      </x:c>
    </x:row>
    <x:row r="5908">
      <x:c r="A5908" t="n">
        <x:v>1878</x:v>
      </x:c>
      <x:c r="B5908" s="58" t="str"/>
      <x:c r="C5908" t="str">
        <x:v>Pasted text(59).txt</x:v>
      </x:c>
    </x:row>
    <x:row r="5909">
      <x:c r="A5909" t="n">
        <x:v>1879</x:v>
      </x:c>
      <x:c r="B5909" s="58" t="str">
        <x:v>================================================================================</x:v>
      </x:c>
      <x:c r="C5909" t="str">
        <x:v>Pasted text(59).txt</x:v>
      </x:c>
    </x:row>
    <x:row r="5910">
      <x:c r="A5910" t="n">
        <x:v>1880</x:v>
      </x:c>
      <x:c r="B5910" s="58" t="str">
        <x:v>FINAL REPEATED TARGET-AMPLITUDE VALIDATION SUMMARY</x:v>
      </x:c>
      <x:c r="C5910" t="str">
        <x:v>Pasted text(59).txt</x:v>
      </x:c>
    </x:row>
    <x:row r="5911">
      <x:c r="A5911" t="n">
        <x:v>1881</x:v>
      </x:c>
      <x:c r="B5911" s="58" t="str">
        <x:v>================================================================================</x:v>
      </x:c>
      <x:c r="C5911" t="str">
        <x:v>Pasted text(59).txt</x:v>
      </x:c>
    </x:row>
    <x:row r="5912">
      <x:c r="A5912" t="n">
        <x:v>1882</x:v>
      </x:c>
      <x:c r="B5912" s="58" t="str">
        <x:v>Run,Pass,Selected_DAC,Validated_Amp,Error_pct,FFT_Hz,FFT_Diff_Hz,FFT_SNR_dB,Hold_Mean,Hold_CV_pct,Hold_InBand_pct,Reason</x:v>
      </x:c>
      <x:c r="C5912" t="str">
        <x:v>Pasted text(59).txt</x:v>
      </x:c>
    </x:row>
    <x:row r="5913">
      <x:c r="A5913" t="n">
        <x:v>1883</x:v>
      </x:c>
      <x:c r="B5913" s="58" t="str">
        <x:v>1,PASS,7.00,0.63550,5.92,268.85503,-0.04496,25.13,0.63389,1.69,80.0,PASS</x:v>
      </x:c>
      <x:c r="C5913" t="str">
        <x:v>Pasted text(59).txt</x:v>
      </x:c>
    </x:row>
    <x:row r="5914">
      <x:c r="A5914" t="n">
        <x:v>1884</x:v>
      </x:c>
      <x:c r="B5914" s="58" t="str">
        <x:v>2,PASS,7.00,0.60743,1.24,268.86302,-0.03698,25.04,0.62068,1.74,100.0,PASS</x:v>
      </x:c>
      <x:c r="C5914" t="str">
        <x:v>Pasted text(59).txt</x:v>
      </x:c>
    </x:row>
    <x:row r="5915">
      <x:c r="A5915" t="n">
        <x:v>1885</x:v>
      </x:c>
      <x:c r="B5915" s="58" t="str">
        <x:v>3,PASS,7.00,0.63062,5.10,268.85728,-0.04271,24.80,0.62385,1.38,100.0,PASS</x:v>
      </x:c>
      <x:c r="C5915" t="str">
        <x:v>Pasted text(59).txt</x:v>
      </x:c>
    </x:row>
    <x:row r="5916">
      <x:c r="A5916" t="n">
        <x:v>1886</x:v>
      </x:c>
      <x:c r="B5916" s="58" t="str">
        <x:v>4,PASS,6.75,0.59016,-1.64,268.85989,-0.04010,24.44,0.59604,2.50,100.0,PASS</x:v>
      </x:c>
      <x:c r="C5916" t="str">
        <x:v>Pasted text(59).txt</x:v>
      </x:c>
    </x:row>
    <x:row r="5917">
      <x:c r="A5917" t="n">
        <x:v>1887</x:v>
      </x:c>
      <x:c r="B5917" s="58" t="str">
        <x:v>5,PASS,7.00,0.62642,4.40,268.85785,-0.04214,24.93,0.60908,1.78,100.0,PASS</x:v>
      </x:c>
      <x:c r="C5917" t="str">
        <x:v>Pasted text(59).txt</x:v>
      </x:c>
    </x:row>
    <x:row r="5918">
      <x:c r="A5918" t="n">
        <x:v>1888</x:v>
      </x:c>
      <x:c r="B5918" s="58" t="str">
        <x:v>--------------------------------------------------------------------------------</x:v>
      </x:c>
      <x:c r="C5918" t="str">
        <x:v>Pasted text(59).txt</x:v>
      </x:c>
    </x:row>
    <x:row r="5919">
      <x:c r="A5919" t="n">
        <x:v>1889</x:v>
      </x:c>
      <x:c r="B5919" s="58" t="str">
        <x:v>Successful independent runs: 5 / 5</x:v>
      </x:c>
      <x:c r="C5919" t="str">
        <x:v>Pasted text(59).txt</x:v>
      </x:c>
    </x:row>
    <x:row r="5920">
      <x:c r="A5920" t="n">
        <x:v>1890</x:v>
      </x:c>
      <x:c r="B5920" s="58" t="str">
        <x:v>Validated amplitude mean +/- SD: 0.61803 +/- 0.01886 m/s^2 peak</x:v>
      </x:c>
      <x:c r="C5920" t="str">
        <x:v>Pasted text(59).txt</x:v>
      </x:c>
    </x:row>
    <x:row r="5921">
      <x:c r="A5921" t="n">
        <x:v>1891</x:v>
      </x:c>
      <x:c r="B5921" s="58" t="str">
        <x:v>Across-run amplitude CV: 3.05 %</x:v>
      </x:c>
      <x:c r="C5921" t="str">
        <x:v>Pasted text(59).txt</x:v>
      </x:c>
    </x:row>
    <x:row r="5922">
      <x:c r="A5922" t="n">
        <x:v>1892</x:v>
      </x:c>
      <x:c r="B5922" s="58" t="str">
        <x:v>Maximum absolute target error: 5.92 %</x:v>
      </x:c>
      <x:c r="C5922" t="str">
        <x:v>Pasted text(59).txt</x:v>
      </x:c>
    </x:row>
    <x:row r="5923">
      <x:c r="A5923" t="n">
        <x:v>1893</x:v>
      </x:c>
      <x:c r="B5923" s="58" t="str">
        <x:v>FFT frequency mean +/- SD: 268.85861 +/- 0.00301 Hz</x:v>
      </x:c>
      <x:c r="C5923" t="str">
        <x:v>Pasted text(59).txt</x:v>
      </x:c>
    </x:row>
    <x:row r="5924">
      <x:c r="A5924" t="n">
        <x:v>1894</x:v>
      </x:c>
      <x:c r="B5924" s="58" t="str">
        <x:v>Selected DAC range: 6.75 to 7.00</x:v>
      </x:c>
      <x:c r="C5924" t="str">
        <x:v>Pasted text(59).txt</x:v>
      </x:c>
    </x:row>
    <x:row r="5925">
      <x:c r="A5925" t="n">
        <x:v>1895</x:v>
      </x:c>
      <x:c r="B5925" s="58" t="str">
        <x:v>Average hold records in target band: 96.0 %</x:v>
      </x:c>
      <x:c r="C5925" t="str">
        <x:v>Pasted text(59).txt</x:v>
      </x:c>
    </x:row>
    <x:row r="5926">
      <x:c r="A5926" t="n">
        <x:v>1896</x:v>
      </x:c>
      <x:c r="B5926" s="58" t="str">
        <x:v>OVERALL VERDICT: EXCELLENT REPRODUCIBLE TARGET-AMPLITUDE ACQUISITION.</x:v>
      </x:c>
      <x:c r="C5926" t="str">
        <x:v>Pasted text(59).txt</x:v>
      </x:c>
    </x:row>
    <x:row r="5927">
      <x:c r="A5927" t="n">
        <x:v>1897</x:v>
      </x:c>
      <x:c r="B5927" s="58" t="str">
        <x:v>X-axis amplitude matching is repeatable; phase testing may follow after one independent confirmation session.</x:v>
      </x:c>
      <x:c r="C5927" t="str">
        <x:v>Pasted text(59).txt</x:v>
      </x:c>
    </x:row>
    <x:row r="5928">
      <x:c r="A5928" t="n">
        <x:v>1898</x:v>
      </x:c>
      <x:c r="B5928" s="58" t="str"/>
      <x:c r="C5928" t="str">
        <x:v>Pasted text(59).txt</x:v>
      </x:c>
    </x:row>
    <x:row r="5929">
      <x:c r="A5929" t="n">
        <x:v>1899</x:v>
      </x:c>
      <x:c r="B5929" s="58" t="str">
        <x:v>Automatic test complete. Enter h for commands.</x:v>
      </x:c>
      <x:c r="C5929" t="str">
        <x:v>Pasted text(59).txt</x:v>
      </x:c>
    </x:row>
    <x:row r="5930">
      <x:c r="A5930" t="n">
        <x:v>1900</x:v>
      </x:c>
      <x:c r="B5930" s="58" t="str">
        <x:v>Frequency set to 26.00000 Hz.</x:v>
      </x:c>
      <x:c r="C5930" t="str">
        <x:v>Pasted text(59).txt</x:v>
      </x:c>
    </x:row>
    <x:row r="5931">
      <x:c r="A5931" t="n">
        <x:v>1901</x:v>
      </x:c>
      <x:c r="B5931" s="58" t="str">
        <x:v>Target amplitude set to 0.79000 m/s^2 peak.</x:v>
      </x:c>
      <x:c r="C5931" t="str">
        <x:v>Pasted text(59).txt</x:v>
      </x:c>
    </x:row>
    <x:row r="5932">
      <x:c r="A5932" t="n">
        <x:v>1902</x:v>
      </x:c>
      <x:c r="B5932" s="58" t="str"/>
      <x:c r="C5932" t="str">
        <x:v>Pasted text(59).txt</x:v>
      </x:c>
    </x:row>
    <x:row r="5933">
      <x:c r="A5933" t="n">
        <x:v>1903</x:v>
      </x:c>
      <x:c r="B5933" s="58" t="str">
        <x:v>================================================================================</x:v>
      </x:c>
      <x:c r="C5933" t="str">
        <x:v>Pasted text(59).txt</x:v>
      </x:c>
    </x:row>
    <x:row r="5934">
      <x:c r="A5934" t="n">
        <x:v>1904</x:v>
      </x:c>
      <x:c r="B5934" s="58" t="str">
        <x:v>REPEATED INDEPENDENT TARGET-AMPLITUDE VALIDATION STARTED</x:v>
      </x:c>
      <x:c r="C5934" t="str">
        <x:v>Pasted text(59).txt</x:v>
      </x:c>
    </x:row>
    <x:row r="5935">
      <x:c r="A5935" t="n">
        <x:v>1905</x:v>
      </x:c>
      <x:c r="B5935" s="58" t="str">
        <x:v>================================================================================</x:v>
      </x:c>
      <x:c r="C5935" t="str">
        <x:v>Pasted text(59).txt</x:v>
      </x:c>
    </x:row>
    <x:row r="5936">
      <x:c r="A5936" t="n">
        <x:v>1906</x:v>
      </x:c>
      <x:c r="B5936" s="58" t="str"/>
      <x:c r="C5936" t="str">
        <x:v>Pasted text(59).txt</x:v>
      </x:c>
    </x:row>
    <x:row r="5937">
      <x:c r="A5937" t="n">
        <x:v>1907</x:v>
      </x:c>
      <x:c r="B5937" s="58" t="str">
        <x:v>CURRENT SETTINGS</x:v>
      </x:c>
      <x:c r="C5937" t="str">
        <x:v>Pasted text(59).txt</x:v>
      </x:c>
    </x:row>
    <x:row r="5938">
      <x:c r="A5938" t="n">
        <x:v>1908</x:v>
      </x:c>
      <x:c r="B5938" s="58" t="str">
        <x:v>Frequency: 26.00000 Hz</x:v>
      </x:c>
      <x:c r="C5938" t="str">
        <x:v>Pasted text(59).txt</x:v>
      </x:c>
    </x:row>
    <x:row r="5939">
      <x:c r="A5939" t="n">
        <x:v>1909</x:v>
      </x:c>
      <x:c r="B5939" s="58" t="str">
        <x:v>Control axis: X ONLY (Y/Z diagnostic only)</x:v>
      </x:c>
      <x:c r="C5939" t="str">
        <x:v>Pasted text(59).txt</x:v>
      </x:c>
    </x:row>
    <x:row r="5940">
      <x:c r="A5940" t="n">
        <x:v>1910</x:v>
      </x:c>
      <x:c r="B5940" s="58" t="str">
        <x:v>Target peak amplitude: 0.79000 m/s^2</x:v>
      </x:c>
      <x:c r="C5940" t="str">
        <x:v>Pasted text(59).txt</x:v>
      </x:c>
    </x:row>
    <x:row r="5941">
      <x:c r="A5941" t="n">
        <x:v>1911</x:v>
      </x:c>
      <x:c r="B5941" s="58" t="str">
        <x:v>Tolerance: +/-7.50 %</x:v>
      </x:c>
      <x:c r="C5941" t="str">
        <x:v>Pasted text(59).txt</x:v>
      </x:c>
    </x:row>
    <x:row r="5942">
      <x:c r="A5942" t="n">
        <x:v>1912</x:v>
      </x:c>
      <x:c r="B5942" s="58" t="str">
        <x:v>Allowed amplitude band: 0.73075 to 0.84925 m/s^2 peak</x:v>
      </x:c>
      <x:c r="C5942" t="str">
        <x:v>Pasted text(59).txt</x:v>
      </x:c>
    </x:row>
    <x:row r="5943">
      <x:c r="A5943" t="n">
        <x:v>1913</x:v>
      </x:c>
      <x:c r="B5943" s="58" t="str">
        <x:v>Independent runs: 5</x:v>
      </x:c>
      <x:c r="C5943" t="str">
        <x:v>Pasted text(59).txt</x:v>
      </x:c>
    </x:row>
    <x:row r="5944">
      <x:c r="A5944" t="n">
        <x:v>1914</x:v>
      </x:c>
      <x:c r="B5944" s="58" t="str">
        <x:v>Hold records per run: 10</x:v>
      </x:c>
      <x:c r="C5944" t="str">
        <x:v>Pasted text(59).txt</x:v>
      </x:c>
    </x:row>
    <x:row r="5945">
      <x:c r="A5945" t="n">
        <x:v>1915</x:v>
      </x:c>
      <x:c r="B5945" s="58" t="str">
        <x:v>DAC search range/resolution: 1.00 to 30.00 / 0.25</x:v>
      </x:c>
      <x:c r="C5945" t="str">
        <x:v>Pasted text(59).txt</x:v>
      </x:c>
    </x:row>
    <x:row r="5946">
      <x:c r="A5946" t="n">
        <x:v>1916</x:v>
      </x:c>
      <x:c r="B5946" s="58" t="str">
        <x:v>FFT bin resolution: 1.56250 Hz; accepted command-to-bin difference &lt;= 2.00 Hz</x:v>
      </x:c>
      <x:c r="C5946" t="str">
        <x:v>Pasted text(59).txt</x:v>
      </x:c>
    </x:row>
    <x:row r="5947">
      <x:c r="A5947" t="n">
        <x:v>1917</x:v>
      </x:c>
      <x:c r="B5947" s="58" t="str">
        <x:v>Every run starts from DAC 1.00. Different selected DACs are allowed.</x:v>
      </x:c>
      <x:c r="C5947" t="str">
        <x:v>Pasted text(59).txt</x:v>
      </x:c>
    </x:row>
    <x:row r="5948">
      <x:c r="A5948" t="n">
        <x:v>1918</x:v>
      </x:c>
      <x:c r="B5948" s="58" t="str">
        <x:v>The accepted result is X-axis amplitude and X-axis frequency, not DAC.</x:v>
      </x:c>
      <x:c r="C5948" t="str">
        <x:v>Pasted text(59).txt</x:v>
      </x:c>
    </x:row>
    <x:row r="5949">
      <x:c r="A5949" t="n">
        <x:v>1919</x:v>
      </x:c>
      <x:c r="B5949" s="58" t="str"/>
      <x:c r="C5949" t="str">
        <x:v>Pasted text(59).txt</x:v>
      </x:c>
    </x:row>
    <x:row r="5950">
      <x:c r="A5950" t="n">
        <x:v>1920</x:v>
      </x:c>
      <x:c r="B5950" s="58" t="str">
        <x:v>################################################################################</x:v>
      </x:c>
      <x:c r="C5950" t="str">
        <x:v>Pasted text(59).txt</x:v>
      </x:c>
    </x:row>
    <x:row r="5951">
      <x:c r="A5951" t="n">
        <x:v>1921</x:v>
      </x:c>
      <x:c r="B5951" s="58" t="str">
        <x:v>INDEPENDENT TARGET-AMPLITUDE RUN 1 OF 5</x:v>
      </x:c>
      <x:c r="C5951" t="str">
        <x:v>Pasted text(59).txt</x:v>
      </x:c>
    </x:row>
    <x:row r="5952">
      <x:c r="A5952" t="n">
        <x:v>1922</x:v>
      </x:c>
      <x:c r="B5952" s="58" t="str">
        <x:v>################################################################################</x:v>
      </x:c>
      <x:c r="C5952" t="str">
        <x:v>Pasted text(59).txt</x:v>
      </x:c>
    </x:row>
    <x:row r="5953">
      <x:c r="A5953" t="n">
        <x:v>1923</x:v>
      </x:c>
      <x:c r="B5953" s="58" t="str">
        <x:v>Frequency: 26.00000 Hz</x:v>
      </x:c>
      <x:c r="C5953" t="str">
        <x:v>Pasted text(59).txt</x:v>
      </x:c>
    </x:row>
    <x:row r="5954">
      <x:c r="A5954" t="n">
        <x:v>1924</x:v>
      </x:c>
      <x:c r="B5954" s="58" t="str">
        <x:v>Target X amplitude: 0.79000 m/s^2 peak, tolerance +/-7.50 %</x:v>
      </x:c>
      <x:c r="C5954" t="str">
        <x:v>Pasted text(59).txt</x:v>
      </x:c>
    </x:row>
    <x:row r="5955">
      <x:c r="A5955" t="n">
        <x:v>1925</x:v>
      </x:c>
      <x:c r="B5955" s="58" t="str">
        <x:v>This run starts from DAC 1.00 and ignores every earlier selected DAC.</x:v>
      </x:c>
      <x:c r="C5955" t="str">
        <x:v>Pasted text(59).txt</x:v>
      </x:c>
    </x:row>
    <x:row r="5956">
      <x:c r="A5956" t="n">
        <x:v>1926</x:v>
      </x:c>
      <x:c r="B5956" s="58" t="str">
        <x:v>ADXL2 DEVID/DATA_FORMAT/BW_RATE/POWER_CTL: 0xE5 / 0xB / 0xE / 0x8</x:v>
      </x:c>
      <x:c r="C5956" t="str">
        <x:v>Pasted text(59).txt</x:v>
      </x:c>
    </x:row>
    <x:row r="5957">
      <x:c r="A5957" t="n">
        <x:v>1927</x:v>
      </x:c>
      <x:c r="B5957" s="58" t="str"/>
      <x:c r="C5957" t="str">
        <x:v>Pasted text(59).txt</x:v>
      </x:c>
    </x:row>
    <x:row r="5958">
      <x:c r="A5958" t="n">
        <x:v>1928</x:v>
      </x:c>
      <x:c r="B5958" s="58" t="str">
        <x:v>ACQUISITION ATTEMPT 1 OF 2</x:v>
      </x:c>
      <x:c r="C5958" t="str">
        <x:v>Pasted text(59).txt</x:v>
      </x:c>
    </x:row>
    <x:row r="5959">
      <x:c r="A5959" t="n">
        <x:v>1929</x:v>
      </x:c>
      <x:c r="B5959" s="58" t="str"/>
      <x:c r="C5959" t="str">
        <x:v>Pasted text(59).txt</x:v>
      </x:c>
    </x:row>
    <x:row r="5960">
      <x:c r="A5960" t="n">
        <x:v>1930</x:v>
      </x:c>
      <x:c r="B5960" s="58" t="str">
        <x:v>FRESH X-AXIS SEARCH FROM DAC 1.00 — OLD DAC VALUES ARE NOT USED</x:v>
      </x:c>
      <x:c r="C5960" t="str">
        <x:v>Pasted text(59).txt</x:v>
      </x:c>
    </x:row>
    <x:row r="5961">
      <x:c r="A5961" t="n">
        <x:v>1931</x:v>
      </x:c>
      <x:c r="B5961" s="58" t="str">
        <x:v>Y/Z are diagnostic only and cannot abort this search.</x:v>
      </x:c>
      <x:c r="C5961" t="str">
        <x:v>Pasted text(59).txt</x:v>
      </x:c>
    </x:row>
    <x:row r="5962">
      <x:c r="A5962" t="n">
        <x:v>1932</x:v>
      </x:c>
      <x:c r="B5962" s="58" t="str">
        <x:v>A real SPI fault, clipping, safety limit or confirmed X-response collapse will stop it.</x:v>
      </x:c>
      <x:c r="C5962" t="str">
        <x:v>Pasted text(59).txt</x:v>
      </x:c>
    </x:row>
    <x:row r="5963">
      <x:c r="A5963" t="n">
        <x:v>1933</x:v>
      </x:c>
      <x:c r="B5963" s="58" t="str">
        <x:v>SEARCH | point 1 | DAC 1.00 | CTRL X 0.05026 | X 0.05153 | Y 0.03047 | Z 0.04010 | TOTAL 0.07358 | error -93.64 % | MAD 36.02 % | CV 27.47 % | coh 18.8 % | dominant X | axis fraction 100.0 % | BELOW MEASUREMENT FLOOR — SEARCH CONTINUES</x:v>
      </x:c>
      <x:c r="C5963" t="str">
        <x:v>Pasted text(59).txt</x:v>
      </x:c>
    </x:row>
    <x:row r="5964">
      <x:c r="A5964" t="n">
        <x:v>1934</x:v>
      </x:c>
      <x:c r="B5964" s="58" t="str">
        <x:v>SEARCH | point 2 | DAC 3.00 | CTRL X 0.02969 | X 0.02950 | Y 0.01467 | Z 0.01345 | TOTAL 0.03622 | error -96.24 % | MAD 16.67 % | CV 12.29 % | coh 8.6 % | dominant X | axis fraction 100.0 % | BELOW MEASUREMENT FLOOR — SEARCH CONTINUES</x:v>
      </x:c>
      <x:c r="C5964" t="str">
        <x:v>Pasted text(59).txt</x:v>
      </x:c>
    </x:row>
    <x:row r="5965">
      <x:c r="A5965" t="n">
        <x:v>1935</x:v>
      </x:c>
      <x:c r="B5965" s="58" t="str">
        <x:v>SEARCH | point 3 | DAC 5.00 | CTRL X 0.03898 | X 0.04117 | Y 0.05619 | Z 0.03149 | TOTAL 0.07695 | error -95.07 % | MAD 16.67 % | CV 7.53 % | coh 10.0 % | dominant Y | axis fraction 73.3 % | BELOW MEASUREMENT FLOOR — SEARCH CONTINUES</x:v>
      </x:c>
      <x:c r="C5965" t="str">
        <x:v>Pasted text(59).txt</x:v>
      </x:c>
    </x:row>
    <x:row r="5966">
      <x:c r="A5966" t="n">
        <x:v>1936</x:v>
      </x:c>
      <x:c r="B5966" s="58" t="str">
        <x:v>SEARCH | point 4 | DAC 7.00 | CTRL X 0.04217 | X 0.04737 | Y 0.04240 | Z 0.04771 | TOTAL 0.08065 | error -94.66 % | MAD 35.12 % | CV 38.73 % | coh 12.2 % | dominant Z | axis fraction 99.3 % | BELOW MEASUREMENT FLOOR — SEARCH CONTINUES</x:v>
      </x:c>
      <x:c r="C5966" t="str">
        <x:v>Pasted text(59).txt</x:v>
      </x:c>
    </x:row>
    <x:row r="5967">
      <x:c r="A5967" t="n">
        <x:v>1937</x:v>
      </x:c>
      <x:c r="B5967" s="58" t="str">
        <x:v>SEARCH | point 5 | DAC 9.00 | CTRL X 0.03820 | X 0.03897 | Y 0.02186 | Z 0.03568 | TOTAL 0.06071 | error -95.16 % | MAD 17.60 % | CV 14.68 % | coh 9.2 % | dominant X | axis fraction 100.0 % | BELOW MEASUREMENT FLOOR — SEARCH CONTINUES</x:v>
      </x:c>
      <x:c r="C5967" t="str">
        <x:v>Pasted text(59).txt</x:v>
      </x:c>
    </x:row>
    <x:row r="5968">
      <x:c r="A5968" t="n">
        <x:v>1938</x:v>
      </x:c>
      <x:c r="B5968" s="58" t="str">
        <x:v>SEARCH | point 6 | DAC 11.00 | CTRL X 0.03067 | X 0.04217 | Y 0.04917 | Z 0.03895 | TOTAL 0.08068 | error -96.12 % | MAD 66.24 % | CV 77.12 % | coh 8.7 % | dominant Y | axis fraction 85.8 % | BELOW MEASUREMENT FLOOR — SEARCH CONTINUES</x:v>
      </x:c>
      <x:c r="C5968" t="str">
        <x:v>Pasted text(59).txt</x:v>
      </x:c>
    </x:row>
    <x:row r="5969">
      <x:c r="A5969" t="n">
        <x:v>1939</x:v>
      </x:c>
      <x:c r="B5969" s="58" t="str">
        <x:v>SEARCH | point 7 | DAC 13.00 | CTRL X 0.05913 | X 0.06161 | Y 0.03958 | Z 0.03093 | TOTAL 0.08186 | error -92.51 % | MAD 12.40 % | CV 5.68 % | coh 14.3 % | dominant X | axis fraction 100.0 % | BELOW MEASUREMENT FLOOR — SEARCH CONTINUES</x:v>
      </x:c>
      <x:c r="C5969" t="str">
        <x:v>Pasted text(59).txt</x:v>
      </x:c>
    </x:row>
    <x:row r="5970">
      <x:c r="A5970" t="n">
        <x:v>1940</x:v>
      </x:c>
      <x:c r="B5970" s="58" t="str">
        <x:v>SEARCH | point 8 | DAC 15.00 | CTRL X 0.04794 | X 0.05006 | Y 0.03905 | Z 0.02649 | TOTAL 0.07150 | error -93.93 % | MAD 46.49 % | CV 36.56 % | coh 12.8 % | dominant X | axis fraction 100.0 % | BELOW MEASUREMENT FLOOR — SEARCH CONTINUES</x:v>
      </x:c>
      <x:c r="C5970" t="str">
        <x:v>Pasted text(59).txt</x:v>
      </x:c>
    </x:row>
    <x:row r="5971">
      <x:c r="A5971" t="n">
        <x:v>1941</x:v>
      </x:c>
      <x:c r="B5971" s="58" t="str">
        <x:v>SEARCH | point 9 | DAC 17.00 | CTRL X 0.05170 | X 0.05065 | Y 0.03559 | Z 0.03720 | TOTAL 0.07418 | error -93.46 % | MAD 68.38 % | CV 50.23 % | coh 12.9 % | dominant X | axis fraction 100.0 % | BELOW MEASUREMENT FLOOR — SEARCH CONTINUES</x:v>
      </x:c>
      <x:c r="C5971" t="str">
        <x:v>Pasted text(59).txt</x:v>
      </x:c>
    </x:row>
    <x:row r="5972">
      <x:c r="A5972" t="n">
        <x:v>1942</x:v>
      </x:c>
      <x:c r="B5972" s="58" t="str">
        <x:v>SEARCH | point 10 | DAC 19.00 | CTRL X 0.05084 | X 0.06355 | Y 0.04274 | Z 0.05673 | TOTAL 0.10522 | error -93.56 % | MAD 34.60 % | CV 51.65 % | coh 14.2 % | dominant X | axis fraction 100.0 % | BELOW MEASUREMENT FLOOR — SEARCH CONTINUES</x:v>
      </x:c>
      <x:c r="C5972" t="str">
        <x:v>Pasted text(59).txt</x:v>
      </x:c>
    </x:row>
    <x:row r="5973">
      <x:c r="A5973" t="n">
        <x:v>1943</x:v>
      </x:c>
      <x:c r="B5973" s="58" t="str">
        <x:v>SEARCH | point 11 | DAC 21.00 | CTRL X 0.06879 | X 0.07424 | Y 0.11002 | Z 0.03155 | TOTAL 0.14444 | error -91.29 % | MAD 23.49 % | CV 10.38 % | coh 16.0 % | dominant Y | axis fraction 67.5 % | BELOW MEASUREMENT FLOOR — SEARCH CONTINUES</x:v>
      </x:c>
      <x:c r="C5973" t="str">
        <x:v>Pasted text(59).txt</x:v>
      </x:c>
    </x:row>
    <x:row r="5974">
      <x:c r="A5974" t="n">
        <x:v>1944</x:v>
      </x:c>
      <x:c r="B5974" s="58" t="str">
        <x:v>SEARCH | point 12 | DAC 23.00 | CTRL X 0.08014 | X 0.21133 | Y 0.10004 | Z 0.07494 | TOTAL 0.25536 | error -89.86 % | MAD 95.41 % | CV 129.23 % | coh 14.8 % | dominant X | axis fraction 100.0 % | UNSTABLE — SEARCH CONTINUES</x:v>
      </x:c>
      <x:c r="C5974" t="str">
        <x:v>Pasted text(59).txt</x:v>
      </x:c>
    </x:row>
    <x:row r="5975">
      <x:c r="A5975" t="n">
        <x:v>1945</x:v>
      </x:c>
      <x:c r="B5975" s="58" t="str">
        <x:v>SEARCH | point 13 | DAC 25.00 | CTRL X 0.09091 | X 0.14894 | Y 0.05673 | Z 0.07346 | TOTAL 0.18210 | error -88.49 % | MAD 40.17 % | CV 82.23 % | coh 19.7 % | dominant X | axis fraction 100.0 % | UNSTABLE — SEARCH CONTINUES</x:v>
      </x:c>
      <x:c r="C5975" t="str">
        <x:v>Pasted text(59).txt</x:v>
      </x:c>
    </x:row>
    <x:row r="5976">
      <x:c r="A5976" t="n">
        <x:v>1946</x:v>
      </x:c>
      <x:c r="B5976" s="58" t="str">
        <x:v>SEARCH | point 14 | DAC 27.00 | CTRL X 0.08557 | X 0.08784 | Y 0.07698 | Z 0.05072 | TOTAL 0.13171 | error -89.17 % | MAD 7.87 % | CV 3.66 % | coh 15.0 % | dominant X | axis fraction 100.0 % | UNSTABLE — SEARCH CONTINUES</x:v>
      </x:c>
      <x:c r="C5976" t="str">
        <x:v>Pasted text(59).txt</x:v>
      </x:c>
    </x:row>
    <x:row r="5977">
      <x:c r="A5977" t="n">
        <x:v>1947</x:v>
      </x:c>
      <x:c r="B5977" s="58" t="str">
        <x:v>SEARCH | point 15 | DAC 29.00 | CTRL X 0.04645 | X 0.04350 | Y 0.05920 | Z 0.03653 | TOTAL 0.08552 | error -94.12 % | MAD 79.96 % | CV 67.99 % | coh 9.1 % | dominant Y | axis fraction 73.5 % | BELOW MEASUREMENT FLOOR — SEARCH CONTINUES</x:v>
      </x:c>
      <x:c r="C5977" t="str">
        <x:v>Pasted text(59).txt</x:v>
      </x:c>
    </x:row>
    <x:row r="5978">
      <x:c r="A5978" t="n">
        <x:v>1948</x:v>
      </x:c>
      <x:c r="B5978" s="58" t="str"/>
      <x:c r="C5978" t="str">
        <x:v>Pasted text(59).txt</x:v>
      </x:c>
    </x:row>
    <x:row r="5979">
      <x:c r="A5979" t="n">
        <x:v>1949</x:v>
      </x:c>
      <x:c r="B5979" s="58" t="str">
        <x:v>ACQUISITION ATTEMPT 2 OF 2</x:v>
      </x:c>
      <x:c r="C5979" t="str">
        <x:v>Pasted text(59).txt</x:v>
      </x:c>
    </x:row>
    <x:row r="5980">
      <x:c r="A5980" t="n">
        <x:v>1950</x:v>
      </x:c>
      <x:c r="B5980" s="58" t="str"/>
      <x:c r="C5980" t="str">
        <x:v>Pasted text(59).txt</x:v>
      </x:c>
    </x:row>
    <x:row r="5981">
      <x:c r="A5981" t="n">
        <x:v>1951</x:v>
      </x:c>
      <x:c r="B5981" s="58" t="str">
        <x:v>FRESH X-AXIS SEARCH FROM DAC 1.00 — OLD DAC VALUES ARE NOT USED</x:v>
      </x:c>
      <x:c r="C5981" t="str">
        <x:v>Pasted text(59).txt</x:v>
      </x:c>
    </x:row>
    <x:row r="5982">
      <x:c r="A5982" t="n">
        <x:v>1952</x:v>
      </x:c>
      <x:c r="B5982" s="58" t="str">
        <x:v>Y/Z are diagnostic only and cannot abort this search.</x:v>
      </x:c>
      <x:c r="C5982" t="str">
        <x:v>Pasted text(59).txt</x:v>
      </x:c>
    </x:row>
    <x:row r="5983">
      <x:c r="A5983" t="n">
        <x:v>1953</x:v>
      </x:c>
      <x:c r="B5983" s="58" t="str">
        <x:v>A real SPI fault, clipping, safety limit or confirmed X-response collapse will stop it.</x:v>
      </x:c>
      <x:c r="C5983" t="str">
        <x:v>Pasted text(59).txt</x:v>
      </x:c>
    </x:row>
    <x:row r="5984">
      <x:c r="A5984" t="n">
        <x:v>1954</x:v>
      </x:c>
      <x:c r="B5984" s="58" t="str">
        <x:v>SEARCH | point 1 | DAC 1.00 | CTRL X 0.02135 | X 0.02092 | Y 0.02441 | Z 0.01481 | TOTAL 0.03728 | error -97.30 % | MAD 6.02 % | CV 2.93 % | coh 9.6 % | dominant Y | axis fraction 85.7 % | BELOW MEASUREMENT FLOOR — SEARCH CONTINUES</x:v>
      </x:c>
      <x:c r="C5984" t="str">
        <x:v>Pasted text(59).txt</x:v>
      </x:c>
    </x:row>
    <x:row r="5985">
      <x:c r="A5985" t="n">
        <x:v>1955</x:v>
      </x:c>
      <x:c r="B5985" s="58" t="str">
        <x:v>SEARCH | point 2 | DAC 3.00 | CTRL X 0.02776 | X 0.02786 | Y 0.04395 | Z 0.02596 | TOTAL 0.06093 | error -96.49 % | MAD 100.42 % | CV 68.00 % | coh 9.9 % | dominant Y | axis fraction 63.4 % | BELOW MEASUREMENT FLOOR — SEARCH CONTINUES</x:v>
      </x:c>
      <x:c r="C5985" t="str">
        <x:v>Pasted text(59).txt</x:v>
      </x:c>
    </x:row>
    <x:row r="5986">
      <x:c r="A5986" t="n">
        <x:v>1956</x:v>
      </x:c>
      <x:c r="B5986" s="58" t="str">
        <x:v>SEARCH | point 3 | DAC 5.00 | CTRL X 0.07054 | X 0.12869 | Y 0.27748 | Z 0.14184 | TOTAL 0.33979 | error -91.07 % | MAD 70.53 % | CV 101.69 % | coh 9.8 % | dominant Y | axis fraction 46.4 % | BELOW MEASUREMENT FLOOR — SEARCH CONTINUES</x:v>
      </x:c>
      <x:c r="C5986" t="str">
        <x:v>Pasted text(59).txt</x:v>
      </x:c>
    </x:row>
    <x:row r="5987">
      <x:c r="A5987" t="n">
        <x:v>1957</x:v>
      </x:c>
      <x:c r="B5987" s="58" t="str">
        <x:v>SEARCH | point 4 | DAC 7.00 | CTRL X 0.05092 | X 0.05413 | Y 0.03851 | Z 0.02921 | TOTAL 0.07318 | error -93.55 % | MAD 18.67 % | CV 8.38 % | coh 11.2 % | dominant X | axis fraction 100.0 % | BELOW MEASUREMENT FLOOR — SEARCH CONTINUES</x:v>
      </x:c>
      <x:c r="C5987" t="str">
        <x:v>Pasted text(59).txt</x:v>
      </x:c>
    </x:row>
    <x:row r="5988">
      <x:c r="A5988" t="n">
        <x:v>1958</x:v>
      </x:c>
      <x:c r="B5988" s="58" t="str">
        <x:v>SEARCH | point 5 | DAC 9.00 | CTRL X 0.02938 | X 0.09115 | Y 0.06569 | Z 0.03952 | TOTAL 0.12618 | error -96.28 % | MAD 88.74 % | CV 134.42 % | coh 7.7 % | dominant X | axis fraction 100.0 % | BELOW MEASUREMENT FLOOR — SEARCH CONTINUES</x:v>
      </x:c>
      <x:c r="C5988" t="str">
        <x:v>Pasted text(59).txt</x:v>
      </x:c>
    </x:row>
    <x:row r="5989">
      <x:c r="A5989" t="n">
        <x:v>1959</x:v>
      </x:c>
      <x:c r="B5989" s="58" t="str">
        <x:v>SEARCH | point 6 | DAC 11.00 | CTRL X 0.02683 | X 0.03151 | Y 0.05227 | Z 0.03602 | TOTAL 0.07622 | error -96.60 % | MAD 69.02 % | CV 63.24 % | coh 5.7 % | dominant Y | axis fraction 60.3 % | BELOW MEASUREMENT FLOOR — SEARCH CONTINUES</x:v>
      </x:c>
      <x:c r="C5989" t="str">
        <x:v>Pasted text(59).txt</x:v>
      </x:c>
    </x:row>
    <x:row r="5990">
      <x:c r="A5990" t="n">
        <x:v>1960</x:v>
      </x:c>
      <x:c r="B5990" s="58" t="str">
        <x:v>SEARCH | point 7 | DAC 13.00 | CTRL X 0.03336 | X 0.03408 | Y 0.06467 | Z 0.03927 | TOTAL 0.08385 | error -95.78 % | MAD 91.03 % | CV 63.29 % | coh 6.1 % | dominant Y | axis fraction 52.7 % | BELOW MEASUREMENT FLOOR — SEARCH CONTINUES</x:v>
      </x:c>
      <x:c r="C5990" t="str">
        <x:v>Pasted text(59).txt</x:v>
      </x:c>
    </x:row>
    <x:row r="5991">
      <x:c r="A5991" t="n">
        <x:v>1961</x:v>
      </x:c>
      <x:c r="B5991" s="58" t="str">
        <x:v>SEARCH | point 8 | DAC 15.00 | CTRL X 0.12987 | X 0.16884 | Y 0.08454 | Z 0.07791 | TOTAL 0.21448 | error -83.56 % | MAD 137.79 % | CV 107.97 % | coh 9.4 % | dominant X | axis fraction 100.0 % | UNSTABLE — SEARCH CONTINUES</x:v>
      </x:c>
      <x:c r="C5991" t="str">
        <x:v>Pasted text(59).txt</x:v>
      </x:c>
    </x:row>
    <x:row r="5992">
      <x:c r="A5992" t="n">
        <x:v>1962</x:v>
      </x:c>
      <x:c r="B5992" s="58" t="str">
        <x:v>SEARCH | point 9 | DAC 17.00 | CTRL X 0.14934 | X 0.12586 | Y 0.23152 | Z 0.08950 | TOTAL 0.28480 | error -81.10 % | MAD 52.31 % | CV 71.69 % | coh 8.7 % | dominant Y | axis fraction 54.4 % | UNSTABLE — SEARCH CONTINUES</x:v>
      </x:c>
      <x:c r="C5992" t="str">
        <x:v>Pasted text(59).txt</x:v>
      </x:c>
    </x:row>
    <x:row r="5993">
      <x:c r="A5993" t="n">
        <x:v>1963</x:v>
      </x:c>
      <x:c r="B5993" s="58" t="str">
        <x:v>SEARCH | point 10 | DAC 19.00 | CTRL X 0.05390 | X 0.05121 | Y 0.06780 | Z 0.05813 | TOTAL 0.10363 | error -93.18 % | MAD 14.80 % | CV 7.43 % | coh 7.3 % | dominant Y | axis fraction 75.5 % | BELOW MEASUREMENT FLOOR — SEARCH CONTINUES</x:v>
      </x:c>
      <x:c r="C5993" t="str">
        <x:v>Pasted text(59).txt</x:v>
      </x:c>
    </x:row>
    <x:row r="5994">
      <x:c r="A5994" t="n">
        <x:v>1964</x:v>
      </x:c>
      <x:c r="B5994" s="58" t="str">
        <x:v>SEARCH | point 11 | DAC 21.00 | CTRL X 0.05259 | X 0.04737 | Y 0.14819 | Z 0.06166 | TOTAL 0.16759 | error -93.34 % | MAD 29.42 % | CV 15.58 % | coh 6.7 % | dominant Y | axis fraction 32.0 % | BELOW MEASUREMENT FLOOR — SEARCH CONTINUES</x:v>
      </x:c>
      <x:c r="C5994" t="str">
        <x:v>Pasted text(59).txt</x:v>
      </x:c>
    </x:row>
    <x:row r="5995">
      <x:c r="A5995" t="n">
        <x:v>1965</x:v>
      </x:c>
      <x:c r="B5995" s="58" t="str">
        <x:v>SEARCH | point 12 | DAC 23.00 | CTRL X 0.08456 | X 0.13070 | Y 0.17033 | Z 0.10548 | TOTAL 0.24502 | error -89.30 % | MAD 87.50 % | CV 96.13 % | coh 8.2 % | dominant Y | axis fraction 76.7 % | UNSTABLE — SEARCH CONTINUES</x:v>
      </x:c>
      <x:c r="C5995" t="str">
        <x:v>Pasted text(59).txt</x:v>
      </x:c>
    </x:row>
    <x:row r="5996">
      <x:c r="A5996" t="n">
        <x:v>1966</x:v>
      </x:c>
      <x:c r="B5996" s="58" t="str">
        <x:v>SEARCH | point 13 | DAC 25.00 | CTRL X 0.02073 | X 0.01894 | Y 0.05491 | Z 0.05383 | TOTAL 0.08027 | error -97.38 % | MAD 25.54 % | CV 13.33 % | coh 3.4 % | dominant Y | axis fraction 34.5 % | BELOW MEASUREMENT FLOOR — SEARCH CONTINUES</x:v>
      </x:c>
      <x:c r="C5996" t="str">
        <x:v>Pasted text(59).txt</x:v>
      </x:c>
    </x:row>
    <x:row r="5997">
      <x:c r="A5997" t="n">
        <x:v>1967</x:v>
      </x:c>
      <x:c r="B5997" s="58" t="str">
        <x:v>SEARCH | point 14 | DAC 27.00 | CTRL X 0.08847 | X 0.16413 | Y 0.15309 | Z 0.32803 | TOTAL 0.40680 | error -88.80 % | MAD 54.25 % | CV 97.43 % | coh 13.6 % | dominant Z | axis fraction 50.0 % | UNSTABLE — SEARCH CONTINUES</x:v>
      </x:c>
      <x:c r="C5997" t="str">
        <x:v>Pasted text(59).txt</x:v>
      </x:c>
    </x:row>
    <x:row r="5998">
      <x:c r="A5998" t="n">
        <x:v>1968</x:v>
      </x:c>
      <x:c r="B5998" s="58" t="str">
        <x:v>SEARCH | point 15 | DAC 29.00 | CTRL X 0.05886 | X 0.10372 | Y 0.06279 | Z 0.05949 | TOTAL 0.15136 | error -92.55 % | MAD 86.18 % | CV 104.79 % | coh 7.8 % | dominant X | axis fraction 100.0 % | BELOW MEASUREMENT FLOOR — SEARCH CONTINUES</x:v>
      </x:c>
      <x:c r="C5998" t="str">
        <x:v>Pasted text(59).txt</x:v>
      </x:c>
    </x:row>
    <x:row r="5999">
      <x:c r="A5999" t="n">
        <x:v>1969</x:v>
      </x:c>
      <x:c r="B5999" s="58" t="str"/>
      <x:c r="C5999" t="str">
        <x:v>Pasted text(59).txt</x:v>
      </x:c>
    </x:row>
    <x:row r="6000">
      <x:c r="A6000" t="n">
        <x:v>1970</x:v>
      </x:c>
      <x:c r="B6000" s="58" t="str">
        <x:v>RUN RESULT: FAIL — X target not reached by DAC 30; increase amplifier knob slightly</x:v>
      </x:c>
      <x:c r="C6000" t="str">
        <x:v>Pasted text(59).txt</x:v>
      </x:c>
    </x:row>
    <x:row r="6001">
      <x:c r="A6001" t="n">
        <x:v>1971</x:v>
      </x:c>
      <x:c r="B6001" s="58" t="str"/>
      <x:c r="C6001" t="str">
        <x:v>Pasted text(59).txt</x:v>
      </x:c>
    </x:row>
    <x:row r="6002">
      <x:c r="A6002" t="n">
        <x:v>1972</x:v>
      </x:c>
      <x:c r="B6002" s="58" t="str">
        <x:v>VISATON OFF. RESTING 5.0 s BEFORE THE NEXT COMPLETELY FRESH RUN.</x:v>
      </x:c>
      <x:c r="C6002" t="str">
        <x:v>Pasted text(59).txt</x:v>
      </x:c>
    </x:row>
    <x:row r="6003">
      <x:c r="A6003" t="n">
        <x:v>1973</x:v>
      </x:c>
      <x:c r="B6003" s="58" t="str">
        <x:v>ets Jul 29 2019 12:21:46</x:v>
      </x:c>
      <x:c r="C6003" t="str">
        <x:v>Pasted text(59).txt</x:v>
      </x:c>
    </x:row>
    <x:row r="6004">
      <x:c r="A6004" t="n">
        <x:v>1974</x:v>
      </x:c>
      <x:c r="B6004" s="58" t="str"/>
      <x:c r="C6004" t="str">
        <x:v>Pasted text(59).txt</x:v>
      </x:c>
    </x:row>
    <x:row r="6005">
      <x:c r="A6005" t="n">
        <x:v>1975</x:v>
      </x:c>
      <x:c r="B6005" s="58" t="str">
        <x:v>rst:0x1 (POWERON_RESET),boot:0x13 (SPI_FAST_FLASH_BOOT)</x:v>
      </x:c>
      <x:c r="C6005" t="str">
        <x:v>Pasted text(59).txt</x:v>
      </x:c>
    </x:row>
    <x:row r="6006">
      <x:c r="A6006" t="n">
        <x:v>1976</x:v>
      </x:c>
      <x:c r="B6006" s="58" t="str">
        <x:v>configsip: 0, SPIWP:0xee</x:v>
      </x:c>
      <x:c r="C6006" t="str">
        <x:v>Pasted text(59).txt</x:v>
      </x:c>
    </x:row>
    <x:row r="6007">
      <x:c r="A6007" t="n">
        <x:v>1977</x:v>
      </x:c>
      <x:c r="B6007" s="58" t="str">
        <x:v>clk_drv:0x00,q_drv:0x00,d_drv:0x00,cs0_drv:0x00,hd_drv:0x00,wp_drv:0x00</x:v>
      </x:c>
      <x:c r="C6007" t="str">
        <x:v>Pasted text(59).txt</x:v>
      </x:c>
    </x:row>
    <x:row r="6008">
      <x:c r="A6008" t="n">
        <x:v>1978</x:v>
      </x:c>
      <x:c r="B6008" s="58" t="str">
        <x:v>mode:DIO, clock div:2</x:v>
      </x:c>
      <x:c r="C6008" t="str">
        <x:v>Pasted text(59).txt</x:v>
      </x:c>
    </x:row>
    <x:row r="6009">
      <x:c r="A6009" t="n">
        <x:v>1979</x:v>
      </x:c>
      <x:c r="B6009" s="58" t="str">
        <x:v>load:0x3fff0030,len:4640</x:v>
      </x:c>
      <x:c r="C6009" t="str">
        <x:v>Pasted text(59).txt</x:v>
      </x:c>
    </x:row>
    <x:row r="6010">
      <x:c r="A6010" t="n">
        <x:v>1980</x:v>
      </x:c>
      <x:c r="B6010" s="58" t="str">
        <x:v>load:0x40078000,len:15660</x:v>
      </x:c>
      <x:c r="C6010" t="str">
        <x:v>Pasted text(59).txt</x:v>
      </x:c>
    </x:row>
    <x:row r="6011">
      <x:c r="A6011" t="n">
        <x:v>1981</x:v>
      </x:c>
      <x:c r="B6011" s="58" t="str">
        <x:v>load:0x40080400,len:3164</x:v>
      </x:c>
      <x:c r="C6011" t="str">
        <x:v>Pasted text(59).txt</x:v>
      </x:c>
    </x:row>
    <x:row r="6012">
      <x:c r="A6012" t="n">
        <x:v>1982</x:v>
      </x:c>
      <x:c r="B6012" s="58" t="str">
        <x:v>entry 0x4008059c</x:v>
      </x:c>
      <x:c r="C6012" t="str">
        <x:v>Pasted text(59).txt</x:v>
      </x:c>
    </x:row>
    <x:row r="6013">
      <x:c r="A6013" t="n">
        <x:v>1983</x:v>
      </x:c>
      <x:c r="B6013" s="58" t="str"/>
      <x:c r="C6013" t="str">
        <x:v>Pasted text(59).txt</x:v>
      </x:c>
    </x:row>
    <x:row r="6014">
      <x:c r="A6014" t="n">
        <x:v>1984</x:v>
      </x:c>
      <x:c r="B6014" s="58" t="str">
        <x:v>============================================================</x:v>
      </x:c>
      <x:c r="C6014" t="str">
        <x:v>Pasted text(59).txt</x:v>
      </x:c>
    </x:row>
    <x:row r="6015">
      <x:c r="A6015" t="n">
        <x:v>1985</x:v>
      </x:c>
      <x:c r="B6015" s="58" t="str">
        <x:v>KK-EXOSKELETON X-ONLY AMPLITUDE REPEATABILITY VALIDATOR V4</x:v>
      </x:c>
      <x:c r="C6015" t="str">
        <x:v>Pasted text(59).txt</x:v>
      </x:c>
    </x:row>
    <x:row r="6016">
      <x:c r="A6016" t="n">
        <x:v>1986</x:v>
      </x:c>
      <x:c r="B6016" s="58" t="str">
        <x:v>Different DAC per run is allowed; X amplitude and X frequency must repeat.</x:v>
      </x:c>
      <x:c r="C6016" t="str">
        <x:v>Pasted text(59).txt</x:v>
      </x:c>
    </x:row>
    <x:row r="6017">
      <x:c r="A6017" t="n">
        <x:v>1987</x:v>
      </x:c>
      <x:c r="B6017" s="58" t="str">
        <x:v>============================================================</x:v>
      </x:c>
      <x:c r="C6017" t="str">
        <x:v>Pasted text(59).txt</x:v>
      </x:c>
    </x:row>
    <x:row r="6018">
      <x:c r="A6018" t="n">
        <x:v>1988</x:v>
      </x:c>
      <x:c r="B6018" s="58" t="str">
        <x:v>ADXL2 Device ID: 0xE5</x:v>
      </x:c>
      <x:c r="C6018" t="str">
        <x:v>Pasted text(59).txt</x:v>
      </x:c>
    </x:row>
    <x:row r="6019">
      <x:c r="A6019" t="n">
        <x:v>1989</x:v>
      </x:c>
      <x:c r="B6019" s="58" t="str">
        <x:v>DATA_FORMAT: 0xB</x:v>
      </x:c>
      <x:c r="C6019" t="str">
        <x:v>Pasted text(59).txt</x:v>
      </x:c>
    </x:row>
    <x:row r="6020">
      <x:c r="A6020" t="n">
        <x:v>1990</x:v>
      </x:c>
      <x:c r="B6020" s="58" t="str">
        <x:v>BW_RATE:     0xE</x:v>
      </x:c>
      <x:c r="C6020" t="str">
        <x:v>Pasted text(59).txt</x:v>
      </x:c>
    </x:row>
    <x:row r="6021">
      <x:c r="A6021" t="n">
        <x:v>1991</x:v>
      </x:c>
      <x:c r="B6021" s="58" t="str">
        <x:v>POWER_CTL:   0x8</x:v>
      </x:c>
      <x:c r="C6021" t="str">
        <x:v>Pasted text(59).txt</x:v>
      </x:c>
    </x:row>
    <x:row r="6022">
      <x:c r="A6022" t="n">
        <x:v>1992</x:v>
      </x:c>
      <x:c r="B6022" s="58" t="str">
        <x:v>ADXL2 initialized successfully.</x:v>
      </x:c>
      <x:c r="C6022" t="str">
        <x:v>Pasted text(59).txt</x:v>
      </x:c>
    </x:row>
    <x:row r="6023">
      <x:c r="A6023" t="n">
        <x:v>1993</x:v>
      </x:c>
      <x:c r="B6023" s="58" t="str"/>
      <x:c r="C6023" t="str">
        <x:v>Pasted text(59).txt</x:v>
      </x:c>
    </x:row>
    <x:row r="6024">
      <x:c r="A6024" t="n">
        <x:v>1994</x:v>
      </x:c>
      <x:c r="B6024" s="58" t="str">
        <x:v>ADXL2 GPIO17 = Visaton/final rigid dorsal plate sensor.</x:v>
      </x:c>
      <x:c r="C6024" t="str">
        <x:v>Pasted text(59).txt</x:v>
      </x:c>
    </x:row>
    <x:row r="6025">
      <x:c r="A6025" t="n">
        <x:v>1995</x:v>
      </x:c>
      <x:c r="B6025" s="58" t="str">
        <x:v>Visaton command = GPIO25 -&gt; TPA3116D2 -&gt; Visaton EX 45 S.</x:v>
      </x:c>
      <x:c r="C6025" t="str">
        <x:v>Pasted text(59).txt</x:v>
      </x:c>
    </x:row>
    <x:row r="6026">
      <x:c r="A6026" t="n">
        <x:v>1996</x:v>
      </x:c>
      <x:c r="B6026" s="58" t="str">
        <x:v>Control is permanently locked to X; Y/Z never affect pass/fail.</x:v>
      </x:c>
      <x:c r="C6026" t="str">
        <x:v>Pasted text(59).txt</x:v>
      </x:c>
    </x:row>
    <x:row r="6027">
      <x:c r="A6027" t="n">
        <x:v>1997</x:v>
      </x:c>
      <x:c r="B6027" s="58" t="str">
        <x:v>Run this test with the machine/tool OFF.</x:v>
      </x:c>
      <x:c r="C6027" t="str">
        <x:v>Pasted text(59).txt</x:v>
      </x:c>
    </x:row>
    <x:row r="6028">
      <x:c r="A6028" t="n">
        <x:v>1998</x:v>
      </x:c>
      <x:c r="B6028" s="58" t="str"/>
      <x:c r="C6028" t="str">
        <x:v>Pasted text(59).txt</x:v>
      </x:c>
    </x:row>
    <x:row r="6029">
      <x:c r="A6029" t="n">
        <x:v>1999</x:v>
      </x:c>
      <x:c r="B6029" s="58" t="str">
        <x:v>CURRENT SETTINGS</x:v>
      </x:c>
      <x:c r="C6029" t="str">
        <x:v>Pasted text(59).txt</x:v>
      </x:c>
    </x:row>
    <x:row r="6030">
      <x:c r="A6030" t="n">
        <x:v>2000</x:v>
      </x:c>
      <x:c r="B6030" s="58" t="str">
        <x:v>Frequency: 268.00000 Hz</x:v>
      </x:c>
      <x:c r="C6030" t="str">
        <x:v>Pasted text(59).txt</x:v>
      </x:c>
    </x:row>
    <x:row r="6031">
      <x:c r="A6031" t="n">
        <x:v>2001</x:v>
      </x:c>
      <x:c r="B6031" s="58" t="str">
        <x:v>Control axis: X ONLY (Y/Z diagnostic only)</x:v>
      </x:c>
      <x:c r="C6031" t="str">
        <x:v>Pasted text(59).txt</x:v>
      </x:c>
    </x:row>
    <x:row r="6032">
      <x:c r="A6032" t="n">
        <x:v>2002</x:v>
      </x:c>
      <x:c r="B6032" s="58" t="str">
        <x:v>Target peak amplitude: 1.10000 m/s^2</x:v>
      </x:c>
      <x:c r="C6032" t="str">
        <x:v>Pasted text(59).txt</x:v>
      </x:c>
    </x:row>
    <x:row r="6033">
      <x:c r="A6033" t="n">
        <x:v>2003</x:v>
      </x:c>
      <x:c r="B6033" s="58" t="str">
        <x:v>Tolerance: +/-7.50 %</x:v>
      </x:c>
      <x:c r="C6033" t="str">
        <x:v>Pasted text(59).txt</x:v>
      </x:c>
    </x:row>
    <x:row r="6034">
      <x:c r="A6034" t="n">
        <x:v>2004</x:v>
      </x:c>
      <x:c r="B6034" s="58" t="str">
        <x:v>Allowed amplitude band: 1.01750 to 1.18250 m/s^2 peak</x:v>
      </x:c>
      <x:c r="C6034" t="str">
        <x:v>Pasted text(59).txt</x:v>
      </x:c>
    </x:row>
    <x:row r="6035">
      <x:c r="A6035" t="n">
        <x:v>2005</x:v>
      </x:c>
      <x:c r="B6035" s="58" t="str">
        <x:v>Independent runs: 5</x:v>
      </x:c>
      <x:c r="C6035" t="str">
        <x:v>Pasted text(59).txt</x:v>
      </x:c>
    </x:row>
    <x:row r="6036">
      <x:c r="A6036" t="n">
        <x:v>2006</x:v>
      </x:c>
      <x:c r="B6036" s="58" t="str">
        <x:v>Hold records per run: 10</x:v>
      </x:c>
      <x:c r="C6036" t="str">
        <x:v>Pasted text(59).txt</x:v>
      </x:c>
    </x:row>
    <x:row r="6037">
      <x:c r="A6037" t="n">
        <x:v>2007</x:v>
      </x:c>
      <x:c r="B6037" s="58" t="str">
        <x:v>DAC search range/resolution: 1.00 to 30.00 / 0.25</x:v>
      </x:c>
      <x:c r="C6037" t="str">
        <x:v>Pasted text(59).txt</x:v>
      </x:c>
    </x:row>
    <x:row r="6038">
      <x:c r="A6038" t="n">
        <x:v>2008</x:v>
      </x:c>
      <x:c r="B6038" s="58" t="str">
        <x:v>FFT bin resolution: 1.56250 Hz; accepted command-to-bin difference &lt;= 2.00 Hz</x:v>
      </x:c>
      <x:c r="C6038" t="str">
        <x:v>Pasted text(59).txt</x:v>
      </x:c>
    </x:row>
    <x:row r="6039">
      <x:c r="A6039" t="n">
        <x:v>2009</x:v>
      </x:c>
      <x:c r="B6039" s="58" t="str"/>
      <x:c r="C6039" t="str">
        <x:v>Pasted text(59).txt</x:v>
      </x:c>
    </x:row>
    <x:row r="6040">
      <x:c r="A6040" t="n">
        <x:v>2010</x:v>
      </x:c>
      <x:c r="B6040" s="58" t="str">
        <x:v>============================================================</x:v>
      </x:c>
      <x:c r="C6040" t="str">
        <x:v>Pasted text(59).txt</x:v>
      </x:c>
    </x:row>
    <x:row r="6041">
      <x:c r="A6041" t="n">
        <x:v>2011</x:v>
      </x:c>
      <x:c r="B6041" s="58" t="str">
        <x:v>COMMANDS</x:v>
      </x:c>
      <x:c r="C6041" t="str">
        <x:v>Pasted text(59).txt</x:v>
      </x:c>
    </x:row>
    <x:row r="6042">
      <x:c r="A6042" t="n">
        <x:v>2012</x:v>
      </x:c>
      <x:c r="B6042" s="58" t="str">
        <x:v>============================================================</x:v>
      </x:c>
      <x:c r="C6042" t="str">
        <x:v>Pasted text(59).txt</x:v>
      </x:c>
    </x:row>
    <x:row r="6043">
      <x:c r="A6043" t="n">
        <x:v>2013</x:v>
      </x:c>
      <x:c r="B6043" s="58" t="str">
        <x:v>f 268    = set frequency in Hz (20-350)</x:v>
      </x:c>
      <x:c r="C6043" t="str">
        <x:v>Pasted text(59).txt</x:v>
      </x:c>
    </x:row>
    <x:row r="6044">
      <x:c r="A6044" t="n">
        <x:v>2014</x:v>
      </x:c>
      <x:c r="B6044" s="58" t="str">
        <x:v>t 1.12   = set X-axis target peak amplitude in m/s^2</x:v>
      </x:c>
      <x:c r="C6044" t="str">
        <x:v>Pasted text(59).txt</x:v>
      </x:c>
    </x:row>
    <x:row r="6045">
      <x:c r="A6045" t="n">
        <x:v>2015</x:v>
      </x:c>
      <x:c r="B6045" s="58" t="str">
        <x:v>e 7.5    = set tolerance percent (5-10 recommended)</x:v>
      </x:c>
      <x:c r="C6045" t="str">
        <x:v>Pasted text(59).txt</x:v>
      </x:c>
    </x:row>
    <x:row r="6046">
      <x:c r="A6046" t="n">
        <x:v>2016</x:v>
      </x:c>
      <x:c r="B6046" s="58" t="str">
        <x:v>n 5      = set independent run count (2-10)</x:v>
      </x:c>
      <x:c r="C6046" t="str">
        <x:v>Pasted text(59).txt</x:v>
      </x:c>
    </x:row>
    <x:row r="6047">
      <x:c r="A6047" t="n">
        <x:v>2017</x:v>
      </x:c>
      <x:c r="B6047" s="58" t="str">
        <x:v>k 10     = set fixed-DAC hold records per run (5-30)</x:v>
      </x:c>
      <x:c r="C6047" t="str">
        <x:v>Pasted text(59).txt</x:v>
      </x:c>
    </x:row>
    <x:row r="6048">
      <x:c r="A6048" t="n">
        <x:v>2018</x:v>
      </x:c>
      <x:c r="B6048" s="58" t="str">
        <x:v>a        = run complete repeated target-amplitude validation</x:v>
      </x:c>
      <x:c r="C6048" t="str">
        <x:v>Pasted text(59).txt</x:v>
      </x:c>
    </x:row>
    <x:row r="6049">
      <x:c r="A6049" t="n">
        <x:v>2019</x:v>
      </x:c>
      <x:c r="B6049" s="58" t="str">
        <x:v>q 10     = one exact-frequency quadrature measurement at DAC 10</x:v>
      </x:c>
      <x:c r="C6049" t="str">
        <x:v>Pasted text(59).txt</x:v>
      </x:c>
    </x:row>
    <x:row r="6050">
      <x:c r="A6050" t="n">
        <x:v>2020</x:v>
      </x:c>
      <x:c r="B6050" s="58" t="str">
        <x:v>d 15     = one validated blind FFT diagnostic at DAC 15</x:v>
      </x:c>
      <x:c r="C6050" t="str">
        <x:v>Pasted text(59).txt</x:v>
      </x:c>
    </x:row>
    <x:row r="6051">
      <x:c r="A6051" t="n">
        <x:v>2021</x:v>
      </x:c>
      <x:c r="B6051" s="58" t="str">
        <x:v>p        = print settings</x:v>
      </x:c>
      <x:c r="C6051" t="str">
        <x:v>Pasted text(59).txt</x:v>
      </x:c>
    </x:row>
    <x:row r="6052">
      <x:c r="A6052" t="n">
        <x:v>2022</x:v>
      </x:c>
      <x:c r="B6052" s="58" t="str">
        <x:v>s        = emergency stop</x:v>
      </x:c>
      <x:c r="C6052" t="str">
        <x:v>Pasted text(59).txt</x:v>
      </x:c>
    </x:row>
    <x:row r="6053">
      <x:c r="A6053" t="n">
        <x:v>2023</x:v>
      </x:c>
      <x:c r="B6053" s="58" t="str">
        <x:v>h        = show menu</x:v>
      </x:c>
      <x:c r="C6053" t="str">
        <x:v>Pasted text(59).txt</x:v>
      </x:c>
    </x:row>
    <x:row r="6054">
      <x:c r="A6054" t="n">
        <x:v>2024</x:v>
      </x:c>
      <x:c r="B6054" s="58" t="str">
        <x:v>============================================================</x:v>
      </x:c>
      <x:c r="C6054" t="str">
        <x:v>Pasted text(59).txt</x:v>
      </x:c>
    </x:row>
    <x:row r="6055">
      <x:c r="A6055" t="n">
        <x:v>2025</x:v>
      </x:c>
      <x:c r="B6055" s="58" t="str">
        <x:v>Frequency set to 268.79999 Hz.</x:v>
      </x:c>
      <x:c r="C6055" t="str">
        <x:v>Pasted text(59).txt</x:v>
      </x:c>
    </x:row>
    <x:row r="6056">
      <x:c r="A6056" t="n">
        <x:v>2026</x:v>
      </x:c>
      <x:c r="B6056" s="58" t="str">
        <x:v>Target amplitude set to 0.75000 m/s^2 peak.</x:v>
      </x:c>
      <x:c r="C6056" t="str">
        <x:v>Pasted text(59).txt</x:v>
      </x:c>
    </x:row>
    <x:row r="6057">
      <x:c r="A6057" t="n">
        <x:v>2027</x:v>
      </x:c>
      <x:c r="B6057" s="58" t="str"/>
      <x:c r="C6057" t="str">
        <x:v>Pasted text(59).txt</x:v>
      </x:c>
    </x:row>
    <x:row r="6058">
      <x:c r="A6058" t="n">
        <x:v>2028</x:v>
      </x:c>
      <x:c r="B6058" s="58" t="str">
        <x:v>================================================================================</x:v>
      </x:c>
      <x:c r="C6058" t="str">
        <x:v>Pasted text(59).txt</x:v>
      </x:c>
    </x:row>
    <x:row r="6059">
      <x:c r="A6059" t="n">
        <x:v>2029</x:v>
      </x:c>
      <x:c r="B6059" s="58" t="str">
        <x:v>REPEATED INDEPENDENT TARGET-AMPLITUDE VALIDATION STARTED</x:v>
      </x:c>
      <x:c r="C6059" t="str">
        <x:v>Pasted text(59).txt</x:v>
      </x:c>
    </x:row>
    <x:row r="6060">
      <x:c r="A6060" t="n">
        <x:v>2030</x:v>
      </x:c>
      <x:c r="B6060" s="58" t="str">
        <x:v>================================================================================</x:v>
      </x:c>
      <x:c r="C6060" t="str">
        <x:v>Pasted text(59).txt</x:v>
      </x:c>
    </x:row>
    <x:row r="6061">
      <x:c r="A6061" t="n">
        <x:v>2031</x:v>
      </x:c>
      <x:c r="B6061" s="58" t="str"/>
      <x:c r="C6061" t="str">
        <x:v>Pasted text(59).txt</x:v>
      </x:c>
    </x:row>
    <x:row r="6062">
      <x:c r="A6062" t="n">
        <x:v>2032</x:v>
      </x:c>
      <x:c r="B6062" s="58" t="str">
        <x:v>CURRENT SETTINGS</x:v>
      </x:c>
      <x:c r="C6062" t="str">
        <x:v>Pasted text(59).txt</x:v>
      </x:c>
    </x:row>
    <x:row r="6063">
      <x:c r="A6063" t="n">
        <x:v>2033</x:v>
      </x:c>
      <x:c r="B6063" s="58" t="str">
        <x:v>Frequency: 268.79999 Hz</x:v>
      </x:c>
      <x:c r="C6063" t="str">
        <x:v>Pasted text(59).txt</x:v>
      </x:c>
    </x:row>
    <x:row r="6064">
      <x:c r="A6064" t="n">
        <x:v>2034</x:v>
      </x:c>
      <x:c r="B6064" s="58" t="str">
        <x:v>Control axis: X ONLY (Y/Z diagnostic only)</x:v>
      </x:c>
      <x:c r="C6064" t="str">
        <x:v>Pasted text(59).txt</x:v>
      </x:c>
    </x:row>
    <x:row r="6065">
      <x:c r="A6065" t="n">
        <x:v>2035</x:v>
      </x:c>
      <x:c r="B6065" s="58" t="str">
        <x:v>Target peak amplitude: 0.75000 m/s^2</x:v>
      </x:c>
      <x:c r="C6065" t="str">
        <x:v>Pasted text(59).txt</x:v>
      </x:c>
    </x:row>
    <x:row r="6066">
      <x:c r="A6066" t="n">
        <x:v>2036</x:v>
      </x:c>
      <x:c r="B6066" s="58" t="str">
        <x:v>Tolerance: +/-7.50 %</x:v>
      </x:c>
      <x:c r="C6066" t="str">
        <x:v>Pasted text(59).txt</x:v>
      </x:c>
    </x:row>
    <x:row r="6067">
      <x:c r="A6067" t="n">
        <x:v>2037</x:v>
      </x:c>
      <x:c r="B6067" s="58" t="str">
        <x:v>Allowed amplitude band: 0.69375 to 0.80625 m/s^2 peak</x:v>
      </x:c>
      <x:c r="C6067" t="str">
        <x:v>Pasted text(59).txt</x:v>
      </x:c>
    </x:row>
    <x:row r="6068">
      <x:c r="A6068" t="n">
        <x:v>2038</x:v>
      </x:c>
      <x:c r="B6068" s="58" t="str">
        <x:v>Independent runs: 5</x:v>
      </x:c>
      <x:c r="C6068" t="str">
        <x:v>Pasted text(59).txt</x:v>
      </x:c>
    </x:row>
    <x:row r="6069">
      <x:c r="A6069" t="n">
        <x:v>2039</x:v>
      </x:c>
      <x:c r="B6069" s="58" t="str">
        <x:v>Hold records per run: 10</x:v>
      </x:c>
      <x:c r="C6069" t="str">
        <x:v>Pasted text(59).txt</x:v>
      </x:c>
    </x:row>
    <x:row r="6070">
      <x:c r="A6070" t="n">
        <x:v>2040</x:v>
      </x:c>
      <x:c r="B6070" s="58" t="str">
        <x:v>DAC search range/resolution: 1.00 to 30.00 / 0.25</x:v>
      </x:c>
      <x:c r="C6070" t="str">
        <x:v>Pasted text(59).txt</x:v>
      </x:c>
    </x:row>
    <x:row r="6071">
      <x:c r="A6071" t="n">
        <x:v>2041</x:v>
      </x:c>
      <x:c r="B6071" s="58" t="str">
        <x:v>FFT bin resolution: 1.56250 Hz; accepted command-to-bin difference &lt;= 2.00 Hz</x:v>
      </x:c>
      <x:c r="C6071" t="str">
        <x:v>Pasted text(59).txt</x:v>
      </x:c>
    </x:row>
    <x:row r="6072">
      <x:c r="A6072" t="n">
        <x:v>2042</x:v>
      </x:c>
      <x:c r="B6072" s="58" t="str">
        <x:v>Every run starts from DAC 1.00. Different selected DACs are allowed.</x:v>
      </x:c>
      <x:c r="C6072" t="str">
        <x:v>Pasted text(59).txt</x:v>
      </x:c>
    </x:row>
    <x:row r="6073">
      <x:c r="A6073" t="n">
        <x:v>2043</x:v>
      </x:c>
      <x:c r="B6073" s="58" t="str">
        <x:v>The accepted result is X-axis amplitude and X-axis frequency, not DAC.</x:v>
      </x:c>
      <x:c r="C6073" t="str">
        <x:v>Pasted text(59).txt</x:v>
      </x:c>
    </x:row>
    <x:row r="6074">
      <x:c r="A6074" t="n">
        <x:v>2044</x:v>
      </x:c>
      <x:c r="B6074" s="58" t="str"/>
      <x:c r="C6074" t="str">
        <x:v>Pasted text(59).txt</x:v>
      </x:c>
    </x:row>
    <x:row r="6075">
      <x:c r="A6075" t="n">
        <x:v>2045</x:v>
      </x:c>
      <x:c r="B6075" s="58" t="str">
        <x:v>################################################################################</x:v>
      </x:c>
      <x:c r="C6075" t="str">
        <x:v>Pasted text(59).txt</x:v>
      </x:c>
    </x:row>
    <x:row r="6076">
      <x:c r="A6076" t="n">
        <x:v>2046</x:v>
      </x:c>
      <x:c r="B6076" s="58" t="str">
        <x:v>INDEPENDENT TARGET-AMPLITUDE RUN 1 OF 5</x:v>
      </x:c>
      <x:c r="C6076" t="str">
        <x:v>Pasted text(59).txt</x:v>
      </x:c>
    </x:row>
    <x:row r="6077">
      <x:c r="A6077" t="n">
        <x:v>2047</x:v>
      </x:c>
      <x:c r="B6077" s="58" t="str">
        <x:v>################################################################################</x:v>
      </x:c>
      <x:c r="C6077" t="str">
        <x:v>Pasted text(59).txt</x:v>
      </x:c>
    </x:row>
    <x:row r="6078">
      <x:c r="A6078" t="n">
        <x:v>2048</x:v>
      </x:c>
      <x:c r="B6078" s="58" t="str">
        <x:v>Frequency: 268.79999 Hz</x:v>
      </x:c>
      <x:c r="C6078" t="str">
        <x:v>Pasted text(59).txt</x:v>
      </x:c>
    </x:row>
    <x:row r="6079">
      <x:c r="A6079" t="n">
        <x:v>2049</x:v>
      </x:c>
      <x:c r="B6079" s="58" t="str">
        <x:v>Target X amplitude: 0.75000 m/s^2 peak, tolerance +/-7.50 %</x:v>
      </x:c>
      <x:c r="C6079" t="str">
        <x:v>Pasted text(59).txt</x:v>
      </x:c>
    </x:row>
    <x:row r="6080">
      <x:c r="A6080" t="n">
        <x:v>2050</x:v>
      </x:c>
      <x:c r="B6080" s="58" t="str">
        <x:v>This run starts from DAC 1.00 and ignores every earlier selected DAC.</x:v>
      </x:c>
      <x:c r="C6080" t="str">
        <x:v>Pasted text(59).txt</x:v>
      </x:c>
    </x:row>
    <x:row r="6081">
      <x:c r="A6081" t="n">
        <x:v>2051</x:v>
      </x:c>
      <x:c r="B6081" s="58" t="str">
        <x:v>ADXL2 DEVID/DATA_FORMAT/BW_RATE/POWER_CTL: 0xE5 / 0xB / 0xE / 0x8</x:v>
      </x:c>
      <x:c r="C6081" t="str">
        <x:v>Pasted text(59).txt</x:v>
      </x:c>
    </x:row>
    <x:row r="6082">
      <x:c r="A6082" t="n">
        <x:v>2052</x:v>
      </x:c>
      <x:c r="B6082" s="58" t="str"/>
      <x:c r="C6082" t="str">
        <x:v>Pasted text(59).txt</x:v>
      </x:c>
    </x:row>
    <x:row r="6083">
      <x:c r="A6083" t="n">
        <x:v>2053</x:v>
      </x:c>
      <x:c r="B6083" s="58" t="str">
        <x:v>ACQUISITION ATTEMPT 1 OF 2</x:v>
      </x:c>
      <x:c r="C6083" t="str">
        <x:v>Pasted text(59).txt</x:v>
      </x:c>
    </x:row>
    <x:row r="6084">
      <x:c r="A6084" t="n">
        <x:v>2054</x:v>
      </x:c>
      <x:c r="B6084" s="58" t="str"/>
      <x:c r="C6084" t="str">
        <x:v>Pasted text(59).txt</x:v>
      </x:c>
    </x:row>
    <x:row r="6085">
      <x:c r="A6085" t="n">
        <x:v>2055</x:v>
      </x:c>
      <x:c r="B6085" s="58" t="str">
        <x:v>FRESH X-AXIS SEARCH FROM DAC 1.00 — OLD DAC VALUES ARE NOT USED</x:v>
      </x:c>
      <x:c r="C6085" t="str">
        <x:v>Pasted text(59).txt</x:v>
      </x:c>
    </x:row>
    <x:row r="6086">
      <x:c r="A6086" t="n">
        <x:v>2056</x:v>
      </x:c>
      <x:c r="B6086" s="58" t="str">
        <x:v>Y/Z are diagnostic only and cannot abort this search.</x:v>
      </x:c>
      <x:c r="C6086" t="str">
        <x:v>Pasted text(59).txt</x:v>
      </x:c>
    </x:row>
    <x:row r="6087">
      <x:c r="A6087" t="n">
        <x:v>2057</x:v>
      </x:c>
      <x:c r="B6087" s="58" t="str">
        <x:v>A real SPI fault, clipping, safety limit or confirmed X-response collapse will stop it.</x:v>
      </x:c>
      <x:c r="C6087" t="str">
        <x:v>Pasted text(59).txt</x:v>
      </x:c>
    </x:row>
    <x:row r="6088">
      <x:c r="A6088" t="n">
        <x:v>2058</x:v>
      </x:c>
      <x:c r="B6088" s="58" t="str">
        <x:v>SEARCH | point 1 | DAC 1.00 | CTRL X 0.01806 | X 0.01702 | Y 0.04554 | Z 0.03455 | TOTAL 0.06141 | error -97.59 % | MAD 17.15 % | CV 8.68 % | coh 2.7 % | dominant Y | axis fraction 37.4 % | BELOW MEASUREMENT FLOOR — SEARCH CONTINUES</x:v>
      </x:c>
      <x:c r="C6088" t="str">
        <x:v>Pasted text(59).txt</x:v>
      </x:c>
    </x:row>
    <x:row r="6089">
      <x:c r="A6089" t="n">
        <x:v>2059</x:v>
      </x:c>
      <x:c r="B6089" s="58" t="str">
        <x:v>SEARCH | point 2 | DAC 3.00 | CTRL X 0.82195 | X 0.82138 | Y 0.33742 | Z 0.18075 | TOTAL 0.90820 | error 9.59 % | MAD 3.82 % | CV 2.69 % | coh 55.3 % | dominant X | axis fraction 100.0 % | VALID</x:v>
      </x:c>
      <x:c r="C6089" t="str">
        <x:v>Pasted text(59).txt</x:v>
      </x:c>
    </x:row>
    <x:row r="6090">
      <x:c r="A6090" t="n">
        <x:v>2060</x:v>
      </x:c>
      <x:c r="B6090" s="58" t="str"/>
      <x:c r="C6090" t="str">
        <x:v>Pasted text(59).txt</x:v>
      </x:c>
    </x:row>
    <x:row r="6091">
      <x:c r="A6091" t="n">
        <x:v>2061</x:v>
      </x:c>
      <x:c r="B6091" s="58" t="str">
        <x:v>ACQUISITION ATTEMPT 2 OF 2</x:v>
      </x:c>
      <x:c r="C6091" t="str">
        <x:v>Pasted text(59).txt</x:v>
      </x:c>
    </x:row>
    <x:row r="6092">
      <x:c r="A6092" t="n">
        <x:v>2062</x:v>
      </x:c>
      <x:c r="B6092" s="58" t="str"/>
      <x:c r="C6092" t="str">
        <x:v>Pasted text(59).txt</x:v>
      </x:c>
    </x:row>
    <x:row r="6093">
      <x:c r="A6093" t="n">
        <x:v>2063</x:v>
      </x:c>
      <x:c r="B6093" s="58" t="str">
        <x:v>FRESH X-AXIS SEARCH FROM DAC 1.00 — OLD DAC VALUES ARE NOT USED</x:v>
      </x:c>
      <x:c r="C6093" t="str">
        <x:v>Pasted text(59).txt</x:v>
      </x:c>
    </x:row>
    <x:row r="6094">
      <x:c r="A6094" t="n">
        <x:v>2064</x:v>
      </x:c>
      <x:c r="B6094" s="58" t="str">
        <x:v>Y/Z are diagnostic only and cannot abort this search.</x:v>
      </x:c>
      <x:c r="C6094" t="str">
        <x:v>Pasted text(59).txt</x:v>
      </x:c>
    </x:row>
    <x:row r="6095">
      <x:c r="A6095" t="n">
        <x:v>2065</x:v>
      </x:c>
      <x:c r="B6095" s="58" t="str">
        <x:v>A real SPI fault, clipping, safety limit or confirmed X-response collapse will stop it.</x:v>
      </x:c>
      <x:c r="C6095" t="str">
        <x:v>Pasted text(59).txt</x:v>
      </x:c>
    </x:row>
    <x:row r="6096">
      <x:c r="A6096" t="n">
        <x:v>2066</x:v>
      </x:c>
      <x:c r="B6096" s="58" t="str">
        <x:v>SEARCH | point 1 | DAC 1.00 | CTRL X 0.03282 | X 0.03378 | Y 0.06453 | Z 0.03643 | TOTAL 0.08245 | error -95.62 % | MAD 9.57 % | CV 10.83 % | coh 5.5 % | dominant Y | axis fraction 52.4 % | BELOW MEASUREMENT FLOOR — SEARCH CONTINUES</x:v>
      </x:c>
      <x:c r="C6096" t="str">
        <x:v>Pasted text(59).txt</x:v>
      </x:c>
    </x:row>
    <x:row r="6097">
      <x:c r="A6097" t="n">
        <x:v>2067</x:v>
      </x:c>
      <x:c r="B6097" s="58" t="str">
        <x:v>SEARCH | point 2 | DAC 3.00 | CTRL X 0.87060 | X 0.87275 | Y 0.44575 | Z 0.17324 | TOTAL 0.99609 | error 16.08 % | MAD 3.83 % | CV 2.96 % | coh 57.6 % | dominant X | axis fraction 100.0 % | VALID</x:v>
      </x:c>
      <x:c r="C6097" t="str">
        <x:v>Pasted text(59).txt</x:v>
      </x:c>
    </x:row>
    <x:row r="6098">
      <x:c r="A6098" t="n">
        <x:v>2068</x:v>
      </x:c>
      <x:c r="B6098" s="58" t="str"/>
      <x:c r="C6098" t="str">
        <x:v>Pasted text(59).txt</x:v>
      </x:c>
    </x:row>
    <x:row r="6099">
      <x:c r="A6099" t="n">
        <x:v>2069</x:v>
      </x:c>
      <x:c r="B6099" s="58" t="str">
        <x:v>RUN RESULT: FAIL — X target exceeded at first reliable DAC; reduce amplifier knob</x:v>
      </x:c>
      <x:c r="C6099" t="str">
        <x:v>Pasted text(59).txt</x:v>
      </x:c>
    </x:row>
    <x:row r="6100">
      <x:c r="A6100" t="n">
        <x:v>2070</x:v>
      </x:c>
      <x:c r="B6100" s="58" t="str"/>
      <x:c r="C6100" t="str">
        <x:v>Pasted text(59).txt</x:v>
      </x:c>
    </x:row>
    <x:row r="6101">
      <x:c r="A6101" t="n">
        <x:v>2071</x:v>
      </x:c>
      <x:c r="B6101" s="58" t="str">
        <x:v>VISATON OFF. RESTING 5.0 s BEFORE THE NEXT COMPLETELY FRESH RUN.</x:v>
      </x:c>
      <x:c r="C6101" t="str">
        <x:v>Pasted text(59).txt</x:v>
      </x:c>
    </x:row>
    <x:row r="6102">
      <x:c r="A6102" t="n">
        <x:v>2072</x:v>
      </x:c>
      <x:c r="B6102" s="58" t="str"/>
      <x:c r="C6102" t="str">
        <x:v>Pasted text(59).txt</x:v>
      </x:c>
    </x:row>
    <x:row r="6103">
      <x:c r="A6103" t="n">
        <x:v>2073</x:v>
      </x:c>
      <x:c r="B6103" s="58" t="str">
        <x:v>################################################################################</x:v>
      </x:c>
      <x:c r="C6103" t="str">
        <x:v>Pasted text(59).txt</x:v>
      </x:c>
    </x:row>
    <x:row r="6104">
      <x:c r="A6104" t="n">
        <x:v>2074</x:v>
      </x:c>
      <x:c r="B6104" s="58" t="str">
        <x:v>INDEPENDENT TARGET-AMPLITUDE RUN 2 OF 5</x:v>
      </x:c>
      <x:c r="C6104" t="str">
        <x:v>Pasted text(59).txt</x:v>
      </x:c>
    </x:row>
    <x:row r="6105">
      <x:c r="A6105" t="n">
        <x:v>2075</x:v>
      </x:c>
      <x:c r="B6105" s="58" t="str">
        <x:v>################################################################################</x:v>
      </x:c>
      <x:c r="C6105" t="str">
        <x:v>Pasted text(59).txt</x:v>
      </x:c>
    </x:row>
    <x:row r="6106">
      <x:c r="A6106" t="n">
        <x:v>2076</x:v>
      </x:c>
      <x:c r="B6106" s="58" t="str">
        <x:v>Frequency: 268.79999 Hz</x:v>
      </x:c>
      <x:c r="C6106" t="str">
        <x:v>Pasted text(59).txt</x:v>
      </x:c>
    </x:row>
    <x:row r="6107">
      <x:c r="A6107" t="n">
        <x:v>2077</x:v>
      </x:c>
      <x:c r="B6107" s="58" t="str">
        <x:v>Target X amplitude: 0.75000 m/s^2 peak, tolerance +/-7.50 %</x:v>
      </x:c>
      <x:c r="C6107" t="str">
        <x:v>Pasted text(59).txt</x:v>
      </x:c>
    </x:row>
    <x:row r="6108">
      <x:c r="A6108" t="n">
        <x:v>2078</x:v>
      </x:c>
      <x:c r="B6108" s="58" t="str">
        <x:v>This run starts from DAC 1.00 and ignores every earlier selected DAC.</x:v>
      </x:c>
      <x:c r="C6108" t="str">
        <x:v>Pasted text(59).txt</x:v>
      </x:c>
    </x:row>
    <x:row r="6109">
      <x:c r="A6109" t="n">
        <x:v>2079</x:v>
      </x:c>
      <x:c r="B6109" s="58" t="str">
        <x:v>ADXL2 DEVID/DATA_FORMAT/BW_RATE/POWER_CTL: 0xE5 / 0xB / 0xE / 0x8</x:v>
      </x:c>
      <x:c r="C6109" t="str">
        <x:v>Pasted text(59).txt</x:v>
      </x:c>
    </x:row>
    <x:row r="6110">
      <x:c r="A6110" t="n">
        <x:v>2080</x:v>
      </x:c>
      <x:c r="B6110" s="58" t="str"/>
      <x:c r="C6110" t="str">
        <x:v>Pasted text(59).txt</x:v>
      </x:c>
    </x:row>
    <x:row r="6111">
      <x:c r="A6111" t="n">
        <x:v>2081</x:v>
      </x:c>
      <x:c r="B6111" s="58" t="str">
        <x:v>ACQUISITION ATTEMPT 1 OF 2</x:v>
      </x:c>
      <x:c r="C6111" t="str">
        <x:v>Pasted text(59).txt</x:v>
      </x:c>
    </x:row>
    <x:row r="6112">
      <x:c r="A6112" t="n">
        <x:v>2082</x:v>
      </x:c>
      <x:c r="B6112" s="58" t="str"/>
      <x:c r="C6112" t="str">
        <x:v>Pasted text(59).txt</x:v>
      </x:c>
    </x:row>
    <x:row r="6113">
      <x:c r="A6113" t="n">
        <x:v>2083</x:v>
      </x:c>
      <x:c r="B6113" s="58" t="str">
        <x:v>FRESH X-AXIS SEARCH FROM DAC 1.00 — OLD DAC VALUES ARE NOT USED</x:v>
      </x:c>
      <x:c r="C6113" t="str">
        <x:v>Pasted text(59).txt</x:v>
      </x:c>
    </x:row>
    <x:row r="6114">
      <x:c r="A6114" t="n">
        <x:v>2084</x:v>
      </x:c>
      <x:c r="B6114" s="58" t="str">
        <x:v>Y/Z are diagnostic only and cannot abort this search.</x:v>
      </x:c>
      <x:c r="C6114" t="str">
        <x:v>Pasted text(59).txt</x:v>
      </x:c>
    </x:row>
    <x:row r="6115">
      <x:c r="A6115" t="n">
        <x:v>2085</x:v>
      </x:c>
      <x:c r="B6115" s="58" t="str">
        <x:v>A real SPI fault, clipping, safety limit or confirmed X-response collapse will stop it.</x:v>
      </x:c>
      <x:c r="C6115" t="str">
        <x:v>Pasted text(59).txt</x:v>
      </x:c>
    </x:row>
    <x:row r="6116">
      <x:c r="A6116" t="n">
        <x:v>2086</x:v>
      </x:c>
      <x:c r="B6116" s="58" t="str">
        <x:v>SEARCH | point 1 | DAC 1.00 | CTRL X 0.04127 | X 0.04084 | Y 0.04376 | Z 0.01915 | TOTAL 0.06508 | error -94.50 % | MAD 24.33 % | CV 18.18 % | coh 6.7 % | dominant Y | axis fraction 93.3 % | BELOW MEASUREMENT FLOOR — SEARCH CONTINUES</x:v>
      </x:c>
      <x:c r="C6116" t="str">
        <x:v>Pasted text(59).txt</x:v>
      </x:c>
    </x:row>
    <x:row r="6117">
      <x:c r="A6117" t="n">
        <x:v>2087</x:v>
      </x:c>
      <x:c r="B6117" s="58" t="str">
        <x:v>SEARCH | point 2 | DAC 3.00 | CTRL X 0.79770 | X 0.81231 | Y 0.34247 | Z 0.17155 | TOTAL 0.90089 | error 6.36 % | MAD 1.80 % | CV 4.19 % | coh 54.4 % | dominant X | axis fraction 100.0 % | IN TARGET BAND</x:v>
      </x:c>
      <x:c r="C6117" t="str">
        <x:v>Pasted text(59).txt</x:v>
      </x:c>
    </x:row>
    <x:row r="6118">
      <x:c r="A6118" t="n">
        <x:v>2088</x:v>
      </x:c>
      <x:c r="B6118" s="58" t="str"/>
      <x:c r="C6118" t="str">
        <x:v>Pasted text(59).txt</x:v>
      </x:c>
    </x:row>
    <x:row r="6119">
      <x:c r="A6119" t="n">
        <x:v>2089</x:v>
      </x:c>
      <x:c r="B6119" s="58" t="str">
        <x:v>LOCAL 0.25-DAC X-AXIS FINE SCAN</x:v>
      </x:c>
      <x:c r="C6119" t="str">
        <x:v>Pasted text(59).txt</x:v>
      </x:c>
    </x:row>
    <x:row r="6120">
      <x:c r="A6120" t="n">
        <x:v>2090</x:v>
      </x:c>
      <x:c r="B6120" s="58" t="str">
        <x:v>Only a valid point actually inside the X target band may be selected.</x:v>
      </x:c>
      <x:c r="C6120" t="str">
        <x:v>Pasted text(59).txt</x:v>
      </x:c>
    </x:row>
    <x:row r="6121">
      <x:c r="A6121" t="n">
        <x:v>2091</x:v>
      </x:c>
      <x:c r="B6121" s="58" t="str">
        <x:v>FINE | point 1 | DAC 2.00 | CTRL X 0.37511 | X 0.37664 | Y 0.14859 | Z 0.05541 | TOTAL 0.41052 | error -49.99 % | MAD 0.36 % | CV 0.92 % | coh 29.2 % | dominant X | axis fraction 100.0 % | UNSTABLE — SEARCH CONTINUES</x:v>
      </x:c>
      <x:c r="C6121" t="str">
        <x:v>Pasted text(59).txt</x:v>
      </x:c>
    </x:row>
    <x:row r="6122">
      <x:c r="A6122" t="n">
        <x:v>2092</x:v>
      </x:c>
      <x:c r="B6122" s="58" t="str">
        <x:v>FINE | point 2 | DAC 2.25 | CTRL X 0.45926 | X 0.44167 | Y 0.19085 | Z 0.10054 | TOTAL 0.49455 | error -38.77 % | MAD 1.59 % | CV 7.88 % | coh 37.7 % | dominant X | axis fraction 100.0 % | UNSTABLE — SEARCH CONTINUES</x:v>
      </x:c>
      <x:c r="C6122" t="str">
        <x:v>Pasted text(59).txt</x:v>
      </x:c>
    </x:row>
    <x:row r="6123">
      <x:c r="A6123" t="n">
        <x:v>2093</x:v>
      </x:c>
      <x:c r="B6123" s="58" t="str">
        <x:v>FINE | point 3 | DAC 2.50 | CTRL X 0.46129 | X 0.44736 | Y 0.19694 | Z 0.11455 | TOTAL 0.50261 | error -38.49 % | MAD 0.14 % | CV 5.48 % | coh 41.1 % | dominant X | axis fraction 100.0 % | UNSTABLE — SEARCH CONTINUES</x:v>
      </x:c>
      <x:c r="C6123" t="str">
        <x:v>Pasted text(59).txt</x:v>
      </x:c>
    </x:row>
    <x:row r="6124">
      <x:c r="A6124" t="n">
        <x:v>2094</x:v>
      </x:c>
      <x:c r="B6124" s="58" t="str">
        <x:v>FINE | point 4 | DAC 2.75 | CTRL X 0.72517 | X 0.72067 | Y 0.30585 | Z 0.14582 | TOTAL 0.79670 | error -3.31 % | MAD 5.15 % | CV 4.47 % | coh 46.7 % | dominant X | axis fraction 100.0 % | UNSTABLE — SEARCH CONTINUES</x:v>
      </x:c>
      <x:c r="C6124" t="str">
        <x:v>Pasted text(59).txt</x:v>
      </x:c>
    </x:row>
    <x:row r="6125">
      <x:c r="A6125" t="n">
        <x:v>2095</x:v>
      </x:c>
      <x:c r="B6125" s="58" t="str">
        <x:v>FINE | point 5 | DAC 3.00 | CTRL X 0.84298 | X 0.83299 | Y 0.35212 | Z 0.19444 | TOTAL 0.92662 | error 12.40 % | MAD 1.01 % | CV 2.69 % | coh 56.4 % | dominant X | axis fraction 100.0 % | VALID</x:v>
      </x:c>
      <x:c r="C6125" t="str">
        <x:v>Pasted text(59).txt</x:v>
      </x:c>
    </x:row>
    <x:row r="6126">
      <x:c r="A6126" t="n">
        <x:v>2096</x:v>
      </x:c>
      <x:c r="B6126" s="58" t="str">
        <x:v>FINE | point 6 | DAC 3.25 | CTRL X 0.91096 | X 0.90440 | Y 0.37453 | Z 0.19937 | TOTAL 1.00130 | error 21.46 % | MAD 2.81 % | CV 3.06 % | coh 62.7 % | dominant X | axis fraction 100.0 % | VALID</x:v>
      </x:c>
      <x:c r="C6126" t="str">
        <x:v>Pasted text(59).txt</x:v>
      </x:c>
    </x:row>
    <x:row r="6127">
      <x:c r="A6127" t="n">
        <x:v>2097</x:v>
      </x:c>
      <x:c r="B6127" s="58" t="str">
        <x:v>FINE | point 7 | DAC 3.50 | CTRL X 0.92945 | X 0.92340 | Y 0.43339 | Z 0.20324 | TOTAL 1.04055 | error 23.93 % | MAD 1.94 % | CV 2.37 % | coh 65.9 % | dominant X | axis fraction 100.0 % | VALID</x:v>
      </x:c>
      <x:c r="C6127" t="str">
        <x:v>Pasted text(59).txt</x:v>
      </x:c>
    </x:row>
    <x:row r="6128">
      <x:c r="A6128" t="n">
        <x:v>2098</x:v>
      </x:c>
      <x:c r="B6128" s="58" t="str">
        <x:v>FINE | point 8 | DAC 3.75 | CTRL X 1.16251 | X 1.15052 | Y 0.52191 | Z 0.24932 | TOTAL 1.28800 | error 55.00 % | MAD 3.32 % | CV 3.93 % | coh 65.8 % | dominant X | axis fraction 100.0 % | VALID</x:v>
      </x:c>
      <x:c r="C6128" t="str">
        <x:v>Pasted text(59).txt</x:v>
      </x:c>
    </x:row>
    <x:row r="6129">
      <x:c r="A6129" t="n">
        <x:v>2099</x:v>
      </x:c>
      <x:c r="B6129" s="58" t="str">
        <x:v>FINE | point 9 | DAC 4.00 | CTRL X 1.22638 | X 1.22712 | Y 0.49597 | Z 0.27149 | TOTAL 1.35171 | error 63.52 % | MAD 1.06 % | CV 0.81 % | coh 71.3 % | dominant X | axis fraction 100.0 % | VALID</x:v>
      </x:c>
      <x:c r="C6129" t="str">
        <x:v>Pasted text(59).txt</x:v>
      </x:c>
    </x:row>
    <x:row r="6130">
      <x:c r="A6130" t="n">
        <x:v>2100</x:v>
      </x:c>
      <x:c r="B6130" s="58" t="str"/>
      <x:c r="C6130" t="str">
        <x:v>Pasted text(59).txt</x:v>
      </x:c>
    </x:row>
    <x:row r="6131">
      <x:c r="A6131" t="n">
        <x:v>2101</x:v>
      </x:c>
      <x:c r="B6131" s="58" t="str">
        <x:v>ACQUISITION ATTEMPT 2 OF 2</x:v>
      </x:c>
      <x:c r="C6131" t="str">
        <x:v>Pasted text(59).txt</x:v>
      </x:c>
    </x:row>
    <x:row r="6132">
      <x:c r="A6132" t="n">
        <x:v>2102</x:v>
      </x:c>
      <x:c r="B6132" s="58" t="str"/>
      <x:c r="C6132" t="str">
        <x:v>Pasted text(59).txt</x:v>
      </x:c>
    </x:row>
    <x:row r="6133">
      <x:c r="A6133" t="n">
        <x:v>2103</x:v>
      </x:c>
      <x:c r="B6133" s="58" t="str">
        <x:v>FRESH X-AXIS SEARCH FROM DAC 1.00 — OLD DAC VALUES ARE NOT USED</x:v>
      </x:c>
      <x:c r="C6133" t="str">
        <x:v>Pasted text(59).txt</x:v>
      </x:c>
    </x:row>
    <x:row r="6134">
      <x:c r="A6134" t="n">
        <x:v>2104</x:v>
      </x:c>
      <x:c r="B6134" s="58" t="str">
        <x:v>Y/Z are diagnostic only and cannot abort this search.</x:v>
      </x:c>
      <x:c r="C6134" t="str">
        <x:v>Pasted text(59).txt</x:v>
      </x:c>
    </x:row>
    <x:row r="6135">
      <x:c r="A6135" t="n">
        <x:v>2105</x:v>
      </x:c>
      <x:c r="B6135" s="58" t="str">
        <x:v>A real SPI fault, clipping, safety limit or confirmed X-response collapse will stop it.</x:v>
      </x:c>
      <x:c r="C6135" t="str">
        <x:v>Pasted text(59).txt</x:v>
      </x:c>
    </x:row>
    <x:row r="6136">
      <x:c r="A6136" t="n">
        <x:v>2106</x:v>
      </x:c>
      <x:c r="B6136" s="58" t="str">
        <x:v>SEARCH | point 1 | DAC 1.00 | CTRL X 0.02376 | X 0.02181 | Y 0.05035 | Z 0.01342 | TOTAL 0.05667 | error -96.83 % | MAD 24.40 % | CV 12.68 % | coh 4.1 % | dominant Y | axis fraction 43.3 % | BELOW MEASUREMENT FLOOR — SEARCH CONTINUES</x:v>
      </x:c>
      <x:c r="C6136" t="str">
        <x:v>Pasted text(59).txt</x:v>
      </x:c>
    </x:row>
    <x:row r="6137">
      <x:c r="A6137" t="n">
        <x:v>2107</x:v>
      </x:c>
      <x:c r="B6137" s="58" t="str">
        <x:v>SEARCH | point 2 | DAC 3.00 | CTRL X 0.72954 | X 0.72974 | Y 0.33246 | Z 0.18464 | TOTAL 0.82481 | error -2.73 % | MAD 4.54 % | CV 3.10 % | coh 56.5 % | dominant X | axis fraction 100.0 % | IN TARGET BAND</x:v>
      </x:c>
      <x:c r="C6137" t="str">
        <x:v>Pasted text(59).txt</x:v>
      </x:c>
    </x:row>
    <x:row r="6138">
      <x:c r="A6138" t="n">
        <x:v>2108</x:v>
      </x:c>
      <x:c r="B6138" s="58" t="str"/>
      <x:c r="C6138" t="str">
        <x:v>Pasted text(59).txt</x:v>
      </x:c>
    </x:row>
    <x:row r="6139">
      <x:c r="A6139" t="n">
        <x:v>2109</x:v>
      </x:c>
      <x:c r="B6139" s="58" t="str">
        <x:v>LOCAL 0.25-DAC X-AXIS FINE SCAN</x:v>
      </x:c>
      <x:c r="C6139" t="str">
        <x:v>Pasted text(59).txt</x:v>
      </x:c>
    </x:row>
    <x:row r="6140">
      <x:c r="A6140" t="n">
        <x:v>2110</x:v>
      </x:c>
      <x:c r="B6140" s="58" t="str">
        <x:v>Only a valid point actually inside the X target band may be selected.</x:v>
      </x:c>
      <x:c r="C6140" t="str">
        <x:v>Pasted text(59).txt</x:v>
      </x:c>
    </x:row>
    <x:row r="6141">
      <x:c r="A6141" t="n">
        <x:v>2111</x:v>
      </x:c>
      <x:c r="B6141" s="58" t="str">
        <x:v>FINE | point 1 | DAC 2.00 | CTRL X 0.29727 | X 0.30258 | Y 0.14299 | Z 0.06548 | TOTAL 0.34270 | error -60.36 % | MAD 0.66 % | CV 3.43 % | coh 27.2 % | dominant X | axis fraction 100.0 % | UNSTABLE — SEARCH CONTINUES</x:v>
      </x:c>
      <x:c r="C6141" t="str">
        <x:v>Pasted text(59).txt</x:v>
      </x:c>
    </x:row>
    <x:row r="6142">
      <x:c r="A6142" t="n">
        <x:v>2112</x:v>
      </x:c>
      <x:c r="B6142" s="58" t="str">
        <x:v>FINE | point 2 | DAC 2.25 | CTRL X 0.35702 | X 0.35415 | Y 0.18666 | Z 0.09574 | TOTAL 0.41566 | error -52.40 % | MAD 1.91 % | CV 2.61 % | coh 34.7 % | dominant X | axis fraction 100.0 % | UNSTABLE — SEARCH CONTINUES</x:v>
      </x:c>
      <x:c r="C6142" t="str">
        <x:v>Pasted text(59).txt</x:v>
      </x:c>
    </x:row>
    <x:row r="6143">
      <x:c r="A6143" t="n">
        <x:v>2113</x:v>
      </x:c>
      <x:c r="B6143" s="58" t="str">
        <x:v>FINE | point 3 | DAC 2.50 | CTRL X 0.40183 | X 0.39490 | Y 0.15658 | Z 0.09994 | TOTAL 0.43798 | error -46.42 % | MAD 4.05 % | CV 5.62 % | coh 41.1 % | dominant X | axis fraction 100.0 % | UNSTABLE — SEARCH CONTINUES</x:v>
      </x:c>
      <x:c r="C6143" t="str">
        <x:v>Pasted text(59).txt</x:v>
      </x:c>
    </x:row>
    <x:row r="6144">
      <x:c r="A6144" t="n">
        <x:v>2114</x:v>
      </x:c>
      <x:c r="B6144" s="58" t="str">
        <x:v>FINE | point 4 | DAC 2.75 | CTRL X 0.64718 | X 0.64892 | Y 0.26754 | Z 0.14021 | TOTAL 0.71597 | error -13.71 % | MAD 0.12 % | CV 0.54 % | coh 48.5 % | dominant X | axis fraction 100.0 % | UNSTABLE — SEARCH CONTINUES</x:v>
      </x:c>
      <x:c r="C6144" t="str">
        <x:v>Pasted text(59).txt</x:v>
      </x:c>
    </x:row>
    <x:row r="6145">
      <x:c r="A6145" t="n">
        <x:v>2115</x:v>
      </x:c>
      <x:c r="B6145" s="58" t="str">
        <x:v>FINE | point 5 | DAC 3.00 | CTRL X 0.77003 | X 0.75366 | Y 0.30883 | Z 0.16920 | TOTAL 0.83297 | error 2.67 % | MAD 1.19 % | CV 4.49 % | coh 58.2 % | dominant X | axis fraction 100.0 % | IN TARGET BAND</x:v>
      </x:c>
      <x:c r="C6145" t="str">
        <x:v>Pasted text(59).txt</x:v>
      </x:c>
    </x:row>
    <x:row r="6146">
      <x:c r="A6146" t="n">
        <x:v>2116</x:v>
      </x:c>
      <x:c r="B6146" s="58" t="str">
        <x:v>FINE | point 6 | DAC 3.25 | CTRL X 0.77420 | X 0.77902 | Y 0.34446 | Z 0.20182 | TOTAL 0.87612 | error 3.23 % | MAD 2.81 % | CV 2.86 % | coh 62.3 % | dominant X | axis fraction 100.0 % | IN TARGET BAND</x:v>
      </x:c>
      <x:c r="C6146" t="str">
        <x:v>Pasted text(59).txt</x:v>
      </x:c>
    </x:row>
    <x:row r="6147">
      <x:c r="A6147" t="n">
        <x:v>2117</x:v>
      </x:c>
      <x:c r="B6147" s="58" t="str">
        <x:v>FINE | point 7 | DAC 3.50 | CTRL X 0.81283 | X 0.81742 | Y 0.36029 | Z 0.19825 | TOTAL 0.91511 | error 8.38 % | MAD 2.76 % | CV 2.73 % | coh 67.4 % | dominant X | axis fraction 100.0 % | VALID</x:v>
      </x:c>
      <x:c r="C6147" t="str">
        <x:v>Pasted text(59).txt</x:v>
      </x:c>
    </x:row>
    <x:row r="6148">
      <x:c r="A6148" t="n">
        <x:v>2118</x:v>
      </x:c>
      <x:c r="B6148" s="58" t="str">
        <x:v>FINE | point 8 | DAC 3.75 | CTRL X 1.04524 | X 1.03945 | Y 0.44721 | Z 0.24229 | TOTAL 1.15790 | error 39.36 % | MAD 4.99 % | CV 4.25 % | coh 66.8 % | dominant X | axis fraction 100.0 % | VALID</x:v>
      </x:c>
      <x:c r="C6148" t="str">
        <x:v>Pasted text(59).txt</x:v>
      </x:c>
    </x:row>
    <x:row r="6149">
      <x:c r="A6149" t="n">
        <x:v>2119</x:v>
      </x:c>
      <x:c r="B6149" s="58" t="str">
        <x:v>FINE | point 9 | DAC 4.00 | CTRL X 1.09077 | X 1.09619 | Y 0.50421 | Z 0.23623 | TOTAL 1.22996 | error 45.44 % | MAD 0.27 % | CV 1.02 % | coh 70.7 % | dominant X | axis fraction 100.0 % | VALID</x:v>
      </x:c>
      <x:c r="C6149" t="str">
        <x:v>Pasted text(59).txt</x:v>
      </x:c>
    </x:row>
    <x:row r="6150">
      <x:c r="A6150" t="n">
        <x:v>2120</x:v>
      </x:c>
      <x:c r="B6150" s="58" t="str"/>
      <x:c r="C6150" t="str">
        <x:v>Pasted text(59).txt</x:v>
      </x:c>
    </x:row>
    <x:row r="6151">
      <x:c r="A6151" t="n">
        <x:v>2121</x:v>
      </x:c>
      <x:c r="B6151" s="58" t="str">
        <x:v>LONG VALIDATION AT FIXED DAC 3.00</x:v>
      </x:c>
      <x:c r="C6151" t="str">
        <x:v>Pasted text(59).txt</x:v>
      </x:c>
    </x:row>
    <x:row r="6152">
      <x:c r="A6152" t="n">
        <x:v>2122</x:v>
      </x:c>
      <x:c r="B6152" s="58" t="str">
        <x:v>FINAL | point 1 | DAC 3.00 | CTRL X 0.70681 | X 0.71110 | Y 0.29672 | Z 0.16039 | TOTAL 0.78817 | error -5.76 % | MAD 3.35 % | CV 2.33 % | coh 56.2 % | dominant X | axis fraction 100.0 % | IN TARGET BAND</x:v>
      </x:c>
      <x:c r="C6152" t="str">
        <x:v>Pasted text(59).txt</x:v>
      </x:c>
    </x:row>
    <x:row r="6153">
      <x:c r="A6153" t="n">
        <x:v>2123</x:v>
      </x:c>
      <x:c r="B6153" s="58" t="str">
        <x:v>FINAL | point 2 | DAC 3.00 | CTRL X 0.68702 | X 0.69404 | Y 0.31569 | Z 0.17096 | TOTAL 0.78253 | error -8.40 % | MAD 4.51 % | CV 3.14 % | coh 54.6 % | dominant X | axis fraction 100.0 % | VALID</x:v>
      </x:c>
      <x:c r="C6153" t="str">
        <x:v>Pasted text(59).txt</x:v>
      </x:c>
    </x:row>
    <x:row r="6154">
      <x:c r="A6154" t="n">
        <x:v>2124</x:v>
      </x:c>
      <x:c r="B6154" s="58" t="str">
        <x:v>FINAL | point 3 | DAC 3.00 | CTRL X 0.68507 | X 0.67865 | Y 0.29388 | Z 0.16788 | TOTAL 0.75931 | error -8.66 % | MAD 2.26 % | CV 4.12 % | coh 53.8 % | dominant X | axis fraction 100.0 % | VALID</x:v>
      </x:c>
      <x:c r="C6154" t="str">
        <x:v>Pasted text(59).txt</x:v>
      </x:c>
    </x:row>
    <x:row r="6155">
      <x:c r="A6155" t="n">
        <x:v>2125</x:v>
      </x:c>
      <x:c r="B6155" s="58" t="str">
        <x:v>Stable validation was -7.60 % from target. Performing one bounded trim: DAC 3.00 -&gt; 3.25</x:v>
      </x:c>
      <x:c r="C6155" t="str">
        <x:v>Pasted text(59).txt</x:v>
      </x:c>
    </x:row>
    <x:row r="6156">
      <x:c r="A6156" t="n">
        <x:v>2126</x:v>
      </x:c>
      <x:c r="B6156" s="58" t="str"/>
      <x:c r="C6156" t="str">
        <x:v>Pasted text(59).txt</x:v>
      </x:c>
    </x:row>
    <x:row r="6157">
      <x:c r="A6157" t="n">
        <x:v>2127</x:v>
      </x:c>
      <x:c r="B6157" s="58" t="str">
        <x:v>LONG VALIDATION AT FIXED DAC 3.25</x:v>
      </x:c>
      <x:c r="C6157" t="str">
        <x:v>Pasted text(59).txt</x:v>
      </x:c>
    </x:row>
    <x:row r="6158">
      <x:c r="A6158" t="n">
        <x:v>2128</x:v>
      </x:c>
      <x:c r="B6158" s="58" t="str">
        <x:v>FINAL | point 1 | DAC 3.25 | CTRL X 0.76063 | X 0.76519 | Y 0.31508 | Z 0.16435 | TOTAL 0.84555 | error 1.42 % | MAD 3.62 % | CV 2.74 % | coh 62.1 % | dominant X | axis fraction 100.0 % | IN TARGET BAND</x:v>
      </x:c>
      <x:c r="C6158" t="str">
        <x:v>Pasted text(59).txt</x:v>
      </x:c>
    </x:row>
    <x:row r="6159">
      <x:c r="A6159" t="n">
        <x:v>2129</x:v>
      </x:c>
      <x:c r="B6159" s="58" t="str">
        <x:v>FINAL | point 2 | DAC 3.25 | CTRL X 0.75167 | X 0.75636 | Y 0.31481 | Z 0.17444 | TOTAL 0.83954 | error 0.22 % | MAD 1.21 % | CV 1.68 % | coh 61.6 % | dominant X | axis fraction 100.0 % | IN TARGET BAND</x:v>
      </x:c>
      <x:c r="C6159" t="str">
        <x:v>Pasted text(59).txt</x:v>
      </x:c>
    </x:row>
    <x:row r="6160">
      <x:c r="A6160" t="n">
        <x:v>2130</x:v>
      </x:c>
      <x:c r="B6160" s="58" t="str">
        <x:v>TRIMMED VALIDATION ACCEPTED | pair drift 1.18 %</x:v>
      </x:c>
      <x:c r="C6160" t="str">
        <x:v>Pasted text(59).txt</x:v>
      </x:c>
    </x:row>
    <x:row r="6161">
      <x:c r="A6161" t="n">
        <x:v>2131</x:v>
      </x:c>
      <x:c r="B6161" s="58" t="str"/>
      <x:c r="C6161" t="str">
        <x:v>Pasted text(59).txt</x:v>
      </x:c>
    </x:row>
    <x:row r="6162">
      <x:c r="A6162" t="n">
        <x:v>2132</x:v>
      </x:c>
      <x:c r="B6162" s="58" t="str">
        <x:v>FINAL VALIDATED BLIND FFT VERIFICATION</x:v>
      </x:c>
      <x:c r="C6162" t="str">
        <x:v>Pasted text(59).txt</x:v>
      </x:c>
    </x:row>
    <x:row r="6163">
      <x:c r="A6163" t="n">
        <x:v>2133</x:v>
      </x:c>
      <x:c r="B6163" s="58" t="str">
        <x:v>Commanded frequency: 268.79999 Hz</x:v>
      </x:c>
      <x:c r="C6163" t="str">
        <x:v>Pasted text(59).txt</x:v>
      </x:c>
    </x:row>
    <x:row r="6164">
      <x:c r="A6164" t="n">
        <x:v>2134</x:v>
      </x:c>
      <x:c r="B6164" s="58" t="str">
        <x:v>Accepted DAC: 3.25</x:v>
      </x:c>
      <x:c r="C6164" t="str">
        <x:v>Pasted text(59).txt</x:v>
      </x:c>
    </x:row>
    <x:row r="6165">
      <x:c r="A6165" t="n">
        <x:v>2135</x:v>
      </x:c>
      <x:c r="B6165" s="58" t="str">
        <x:v>Axis,Frequency_Hz,Amplitude_mps2,SNR_dB,Status</x:v>
      </x:c>
      <x:c r="C6165" t="str">
        <x:v>Pasted text(59).txt</x:v>
      </x:c>
    </x:row>
    <x:row r="6166">
      <x:c r="A6166" t="n">
        <x:v>2136</x:v>
      </x:c>
      <x:c r="B6166" s="58" t="str">
        <x:v>X,268.78611,0.75740,25.22,VALID</x:v>
      </x:c>
      <x:c r="C6166" t="str">
        <x:v>Pasted text(59).txt</x:v>
      </x:c>
    </x:row>
    <x:row r="6167">
      <x:c r="A6167" t="n">
        <x:v>2137</x:v>
      </x:c>
      <x:c r="B6167" s="58" t="str">
        <x:v>Y,477.28248,0.37292,16.52,VALID</x:v>
      </x:c>
      <x:c r="C6167" t="str">
        <x:v>Pasted text(59).txt</x:v>
      </x:c>
    </x:row>
    <x:row r="6168">
      <x:c r="A6168" t="n">
        <x:v>2138</x:v>
      </x:c>
      <x:c r="B6168" s="58" t="str">
        <x:v>Z,268.75706,0.17924,18.71,VALID</x:v>
      </x:c>
      <x:c r="C6168" t="str">
        <x:v>Pasted text(59).txt</x:v>
      </x:c>
    </x:row>
    <x:row r="6169">
      <x:c r="A6169" t="n">
        <x:v>2139</x:v>
      </x:c>
      <x:c r="B6169" s="58" t="str">
        <x:v>Combined frequency: 268.78334 Hz | difference -0.01664 Hz</x:v>
      </x:c>
      <x:c r="C6169" t="str">
        <x:v>Pasted text(59).txt</x:v>
      </x:c>
    </x:row>
    <x:row r="6170">
      <x:c r="A6170" t="n">
        <x:v>2140</x:v>
      </x:c>
      <x:c r="B6170" s="58" t="str">
        <x:v>Combined X/Y/Z/TOTAL: 0.75716 / 0.31339 / 0.17924 / 0.83883</x:v>
      </x:c>
      <x:c r="C6170" t="str">
        <x:v>Pasted text(59).txt</x:v>
      </x:c>
    </x:row>
    <x:row r="6171">
      <x:c r="A6171" t="n">
        <x:v>2141</x:v>
      </x:c>
      <x:c r="B6171" s="58" t="str">
        <x:v>SNR: 21.50 dB | dominant axis X</x:v>
      </x:c>
      <x:c r="C6171" t="str">
        <x:v>Pasted text(59).txt</x:v>
      </x:c>
    </x:row>
    <x:row r="6172">
      <x:c r="A6172" t="n">
        <x:v>2142</x:v>
      </x:c>
      <x:c r="B6172" s="58" t="str">
        <x:v>Frequency verification: PASS</x:v>
      </x:c>
      <x:c r="C6172" t="str">
        <x:v>Pasted text(59).txt</x:v>
      </x:c>
    </x:row>
    <x:row r="6173">
      <x:c r="A6173" t="n">
        <x:v>2143</x:v>
      </x:c>
      <x:c r="B6173" s="58" t="str">
        <x:v>Y/Z dominance: DIAGNOSTIC ONLY — ignored for pass/fail</x:v>
      </x:c>
      <x:c r="C6173" t="str">
        <x:v>Pasted text(59).txt</x:v>
      </x:c>
    </x:row>
    <x:row r="6174">
      <x:c r="A6174" t="n">
        <x:v>2144</x:v>
      </x:c>
      <x:c r="B6174" s="58" t="str"/>
      <x:c r="C6174" t="str">
        <x:v>Pasted text(59).txt</x:v>
      </x:c>
    </x:row>
    <x:row r="6175">
      <x:c r="A6175" t="n">
        <x:v>2145</x:v>
      </x:c>
      <x:c r="B6175" s="58" t="str">
        <x:v>FIXED-DAC HOLD VALIDATION</x:v>
      </x:c>
      <x:c r="C6175" t="str">
        <x:v>Pasted text(59).txt</x:v>
      </x:c>
    </x:row>
    <x:row r="6176">
      <x:c r="A6176" t="n">
        <x:v>2146</x:v>
      </x:c>
      <x:c r="B6176" s="58" t="str">
        <x:v>DAC remains fixed at 3.25 for 10 records.</x:v>
      </x:c>
      <x:c r="C6176" t="str">
        <x:v>Pasted text(59).txt</x:v>
      </x:c>
    </x:row>
    <x:row r="6177">
      <x:c r="A6177" t="n">
        <x:v>2147</x:v>
      </x:c>
      <x:c r="B6177" s="58" t="str">
        <x:v>HOLD | point 1 | DAC 3.25 | CTRL X 0.74403 | X 0.74630 | Y 0.32105 | Z 0.18102 | TOTAL 0.83362 | error -0.80 % | MAD 0.49 % | CV 0.83 % | coh 60.9 % | dominant X | axis fraction 100.0 % | IN TARGET BAND</x:v>
      </x:c>
      <x:c r="C6177" t="str">
        <x:v>Pasted text(59).txt</x:v>
      </x:c>
    </x:row>
    <x:row r="6178">
      <x:c r="A6178" t="n">
        <x:v>2148</x:v>
      </x:c>
      <x:c r="B6178" s="58" t="str">
        <x:v>HOLD | point 2 | DAC 3.25 | CTRL X 0.73148 | X 0.72512 | Y 0.32266 | Z 0.18498 | TOTAL 0.81588 | error -2.47 % | MAD 4.38 % | CV 4.36 % | coh 59.0 % | dominant X | axis fraction 100.0 % | IN TARGET BAND</x:v>
      </x:c>
      <x:c r="C6178" t="str">
        <x:v>Pasted text(59).txt</x:v>
      </x:c>
    </x:row>
    <x:row r="6179">
      <x:c r="A6179" t="n">
        <x:v>2149</x:v>
      </x:c>
      <x:c r="B6179" s="58" t="str">
        <x:v>HOLD | point 3 | DAC 3.25 | CTRL X 0.73933 | X 0.73270 | Y 0.29989 | Z 0.18622 | TOTAL 0.81413 | error -1.42 % | MAD 0.96 % | CV 2.16 % | coh 59.9 % | dominant X | axis fraction 100.0 % | IN TARGET BAND</x:v>
      </x:c>
      <x:c r="C6179" t="str">
        <x:v>Pasted text(59).txt</x:v>
      </x:c>
    </x:row>
    <x:row r="6180">
      <x:c r="A6180" t="n">
        <x:v>2150</x:v>
      </x:c>
      <x:c r="B6180" s="58" t="str">
        <x:v>HOLD | point 4 | DAC 3.25 | CTRL X 0.75524 | X 0.74683 | Y 0.30254 | Z 0.19288 | TOTAL 0.83000 | error 0.70 % | MAD 0.45 % | CV 2.22 % | coh 61.2 % | dominant X | axis fraction 100.0 % | IN TARGET BAND</x:v>
      </x:c>
      <x:c r="C6180" t="str">
        <x:v>Pasted text(59).txt</x:v>
      </x:c>
    </x:row>
    <x:row r="6181">
      <x:c r="A6181" t="n">
        <x:v>2151</x:v>
      </x:c>
      <x:c r="B6181" s="58" t="str">
        <x:v>HOLD | point 5 | DAC 3.25 | CTRL X 0.73801 | X 0.74386 | Y 0.33215 | Z 0.20581 | TOTAL 0.84162 | error -1.60 % | MAD 4.33 % | CV 4.13 % | coh 60.8 % | dominant X | axis fraction 100.0 % | IN TARGET BAND</x:v>
      </x:c>
      <x:c r="C6181" t="str">
        <x:v>Pasted text(59).txt</x:v>
      </x:c>
    </x:row>
    <x:row r="6182">
      <x:c r="A6182" t="n">
        <x:v>2152</x:v>
      </x:c>
      <x:c r="B6182" s="58" t="str">
        <x:v>HOLD | point 6 | DAC 3.25 | CTRL X 0.73378 | X 0.74575 | Y 0.35129 | Z 0.21764 | TOTAL 0.85387 | error -2.16 % | MAD 0.31 % | CV 2.96 % | coh 60.6 % | dominant X | axis fraction 100.0 % | IN TARGET BAND</x:v>
      </x:c>
      <x:c r="C6182" t="str">
        <x:v>Pasted text(59).txt</x:v>
      </x:c>
    </x:row>
    <x:row r="6183">
      <x:c r="A6183" t="n">
        <x:v>2153</x:v>
      </x:c>
      <x:c r="B6183" s="58" t="str">
        <x:v>HOLD | point 7 | DAC 3.25 | CTRL X 0.76112 | X 0.75495 | Y 0.30316 | Z 0.18821 | TOTAL 0.83581 | error 1.48 % | MAD 0.81 % | CV 1.92 % | coh 61.0 % | dominant X | axis fraction 100.0 % | IN TARGET BAND</x:v>
      </x:c>
      <x:c r="C6183" t="str">
        <x:v>Pasted text(59).txt</x:v>
      </x:c>
    </x:row>
    <x:row r="6184">
      <x:c r="A6184" t="n">
        <x:v>2154</x:v>
      </x:c>
      <x:c r="B6184" s="58" t="str">
        <x:v>HOLD | point 8 | DAC 3.25 | CTRL X 0.73794 | X 0.74171 | Y 0.31275 | Z 0.17689 | TOTAL 0.82683 | error -1.61 % | MAD 0.36 % | CV 1.09 % | coh 60.5 % | dominant X | axis fraction 100.0 % | IN TARGET BAND</x:v>
      </x:c>
      <x:c r="C6184" t="str">
        <x:v>Pasted text(59).txt</x:v>
      </x:c>
    </x:row>
    <x:row r="6185">
      <x:c r="A6185" t="n">
        <x:v>2155</x:v>
      </x:c>
      <x:c r="B6185" s="58" t="str">
        <x:v>HOLD | point 9 | DAC 3.25 | CTRL X 0.73755 | X 0.73647 | Y 0.34478 | Z 0.17163 | TOTAL 0.83145 | error -1.66 % | MAD 1.29 % | CV 1.10 % | coh 59.4 % | dominant X | axis fraction 100.0 % | IN TARGET BAND</x:v>
      </x:c>
      <x:c r="C6185" t="str">
        <x:v>Pasted text(59).txt</x:v>
      </x:c>
    </x:row>
    <x:row r="6186">
      <x:c r="A6186" t="n">
        <x:v>2156</x:v>
      </x:c>
      <x:c r="B6186" s="58" t="str">
        <x:v>HOLD | point 10 | DAC 3.25 | CTRL X 0.77242 | X 0.77455 | Y 0.32927 | Z 0.18901 | TOTAL 0.86326 | error 2.99 % | MAD 5.07 % | CV 3.83 % | coh 62.6 % | dominant X | axis fraction 100.0 % | IN TARGET BAND</x:v>
      </x:c>
      <x:c r="C6186" t="str">
        <x:v>Pasted text(59).txt</x:v>
      </x:c>
    </x:row>
    <x:row r="6187">
      <x:c r="A6187" t="n">
        <x:v>2157</x:v>
      </x:c>
      <x:c r="B6187" s="58" t="str"/>
      <x:c r="C6187" t="str">
        <x:v>Pasted text(59).txt</x:v>
      </x:c>
    </x:row>
    <x:row r="6188">
      <x:c r="A6188" t="n">
        <x:v>2158</x:v>
      </x:c>
      <x:c r="B6188" s="58" t="str">
        <x:v>HOLD SUMMARY</x:v>
      </x:c>
      <x:c r="C6188" t="str">
        <x:v>Pasted text(59).txt</x:v>
      </x:c>
    </x:row>
    <x:row r="6189">
      <x:c r="A6189" t="n">
        <x:v>2159</x:v>
      </x:c>
      <x:c r="B6189" s="58" t="str">
        <x:v>Valid / requested: 10 / 10</x:v>
      </x:c>
      <x:c r="C6189" t="str">
        <x:v>Pasted text(59).txt</x:v>
      </x:c>
    </x:row>
    <x:row r="6190">
      <x:c r="A6190" t="n">
        <x:v>2160</x:v>
      </x:c>
      <x:c r="B6190" s="58" t="str">
        <x:v>In band / requested: 10 / 10 = 100.0 %</x:v>
      </x:c>
      <x:c r="C6190" t="str">
        <x:v>Pasted text(59).txt</x:v>
      </x:c>
    </x:row>
    <x:row r="6191">
      <x:c r="A6191" t="n">
        <x:v>2161</x:v>
      </x:c>
      <x:c r="B6191" s="58" t="str">
        <x:v>Mean / SD / CV: 0.74509 / 0.01339 / 1.80 %</x:v>
      </x:c>
      <x:c r="C6191" t="str">
        <x:v>Pasted text(59).txt</x:v>
      </x:c>
    </x:row>
    <x:row r="6192">
      <x:c r="A6192" t="n">
        <x:v>2162</x:v>
      </x:c>
      <x:c r="B6192" s="58" t="str">
        <x:v>Min / Max: 0.73148 / 0.77242</x:v>
      </x:c>
      <x:c r="C6192" t="str">
        <x:v>Pasted text(59).txt</x:v>
      </x:c>
    </x:row>
    <x:row r="6193">
      <x:c r="A6193" t="n">
        <x:v>2163</x:v>
      </x:c>
      <x:c r="B6193" s="58" t="str">
        <x:v>HOLD RESULT: PASS</x:v>
      </x:c>
      <x:c r="C6193" t="str">
        <x:v>Pasted text(59).txt</x:v>
      </x:c>
    </x:row>
    <x:row r="6194">
      <x:c r="A6194" t="n">
        <x:v>2164</x:v>
      </x:c>
      <x:c r="B6194" s="58" t="str"/>
      <x:c r="C6194" t="str">
        <x:v>Pasted text(59).txt</x:v>
      </x:c>
    </x:row>
    <x:row r="6195">
      <x:c r="A6195" t="n">
        <x:v>2165</x:v>
      </x:c>
      <x:c r="B6195" s="58" t="str">
        <x:v>RUN RESULT: PASS</x:v>
      </x:c>
      <x:c r="C6195" t="str">
        <x:v>Pasted text(59).txt</x:v>
      </x:c>
    </x:row>
    <x:row r="6196">
      <x:c r="A6196" t="n">
        <x:v>2166</x:v>
      </x:c>
      <x:c r="B6196" s="58" t="str">
        <x:v>Selected DAC: 3.25</x:v>
      </x:c>
      <x:c r="C6196" t="str">
        <x:v>Pasted text(59).txt</x:v>
      </x:c>
    </x:row>
    <x:row r="6197">
      <x:c r="A6197" t="n">
        <x:v>2167</x:v>
      </x:c>
      <x:c r="B6197" s="58" t="str">
        <x:v>Validated amplitude: 0.75615 m/s^2 | error 0.82 %</x:v>
      </x:c>
      <x:c r="C6197" t="str">
        <x:v>Pasted text(59).txt</x:v>
      </x:c>
    </x:row>
    <x:row r="6198">
      <x:c r="A6198" t="n">
        <x:v>2168</x:v>
      </x:c>
      <x:c r="B6198" s="58" t="str">
        <x:v>FFT frequency: 268.78334 Hz | difference -0.01664 Hz</x:v>
      </x:c>
      <x:c r="C6198" t="str">
        <x:v>Pasted text(59).txt</x:v>
      </x:c>
    </x:row>
    <x:row r="6199">
      <x:c r="A6199" t="n">
        <x:v>2169</x:v>
      </x:c>
      <x:c r="B6199" s="58" t="str"/>
      <x:c r="C6199" t="str">
        <x:v>Pasted text(59).txt</x:v>
      </x:c>
    </x:row>
    <x:row r="6200">
      <x:c r="A6200" t="n">
        <x:v>2170</x:v>
      </x:c>
      <x:c r="B6200" s="58" t="str">
        <x:v>VISATON OFF. RESTING 5.0 s BEFORE THE NEXT COMPLETELY FRESH RUN.</x:v>
      </x:c>
      <x:c r="C6200" t="str">
        <x:v>Pasted text(59).txt</x:v>
      </x:c>
    </x:row>
    <x:row r="6201">
      <x:c r="A6201" t="n">
        <x:v>2171</x:v>
      </x:c>
      <x:c r="B6201" s="58" t="str"/>
      <x:c r="C6201" t="str">
        <x:v>Pasted text(59).txt</x:v>
      </x:c>
    </x:row>
    <x:row r="6202">
      <x:c r="A6202" t="n">
        <x:v>2172</x:v>
      </x:c>
      <x:c r="B6202" s="58" t="str">
        <x:v>################################################################################</x:v>
      </x:c>
      <x:c r="C6202" t="str">
        <x:v>Pasted text(59).txt</x:v>
      </x:c>
    </x:row>
    <x:row r="6203">
      <x:c r="A6203" t="n">
        <x:v>2173</x:v>
      </x:c>
      <x:c r="B6203" s="58" t="str">
        <x:v>INDEPENDENT TARGET-AMPLITUDE RUN 3 OF 5</x:v>
      </x:c>
      <x:c r="C6203" t="str">
        <x:v>Pasted text(59).txt</x:v>
      </x:c>
    </x:row>
    <x:row r="6204">
      <x:c r="A6204" t="n">
        <x:v>2174</x:v>
      </x:c>
      <x:c r="B6204" s="58" t="str">
        <x:v>################################################################################</x:v>
      </x:c>
      <x:c r="C6204" t="str">
        <x:v>Pasted text(59).txt</x:v>
      </x:c>
    </x:row>
    <x:row r="6205">
      <x:c r="A6205" t="n">
        <x:v>2175</x:v>
      </x:c>
      <x:c r="B6205" s="58" t="str">
        <x:v>Frequency: 268.79999 Hz</x:v>
      </x:c>
      <x:c r="C6205" t="str">
        <x:v>Pasted text(59).txt</x:v>
      </x:c>
    </x:row>
    <x:row r="6206">
      <x:c r="A6206" t="n">
        <x:v>2176</x:v>
      </x:c>
      <x:c r="B6206" s="58" t="str">
        <x:v>Target X amplitude: 0.75000 m/s^2 peak, tolerance +/-7.50 %</x:v>
      </x:c>
      <x:c r="C6206" t="str">
        <x:v>Pasted text(59).txt</x:v>
      </x:c>
    </x:row>
    <x:row r="6207">
      <x:c r="A6207" t="n">
        <x:v>2177</x:v>
      </x:c>
      <x:c r="B6207" s="58" t="str">
        <x:v>This run starts from DAC 1.00 and ignores every earlier selected DAC.</x:v>
      </x:c>
      <x:c r="C6207" t="str">
        <x:v>Pasted text(59).txt</x:v>
      </x:c>
    </x:row>
    <x:row r="6208">
      <x:c r="A6208" t="n">
        <x:v>2178</x:v>
      </x:c>
      <x:c r="B6208" s="58" t="str">
        <x:v>ADXL2 DEVID/DATA_FORMAT/BW_RATE/POWER_CTL: 0xE5 / 0xB / 0xE / 0x8</x:v>
      </x:c>
      <x:c r="C6208" t="str">
        <x:v>Pasted text(59).txt</x:v>
      </x:c>
    </x:row>
    <x:row r="6209">
      <x:c r="A6209" t="n">
        <x:v>2179</x:v>
      </x:c>
      <x:c r="B6209" s="58" t="str"/>
      <x:c r="C6209" t="str">
        <x:v>Pasted text(59).txt</x:v>
      </x:c>
    </x:row>
    <x:row r="6210">
      <x:c r="A6210" t="n">
        <x:v>2180</x:v>
      </x:c>
      <x:c r="B6210" s="58" t="str">
        <x:v>ACQUISITION ATTEMPT 1 OF 2</x:v>
      </x:c>
      <x:c r="C6210" t="str">
        <x:v>Pasted text(59).txt</x:v>
      </x:c>
    </x:row>
    <x:row r="6211">
      <x:c r="A6211" t="n">
        <x:v>2181</x:v>
      </x:c>
      <x:c r="B6211" s="58" t="str"/>
      <x:c r="C6211" t="str">
        <x:v>Pasted text(59).txt</x:v>
      </x:c>
    </x:row>
    <x:row r="6212">
      <x:c r="A6212" t="n">
        <x:v>2182</x:v>
      </x:c>
      <x:c r="B6212" s="58" t="str">
        <x:v>FRESH X-AXIS SEARCH FROM DAC 1.00 — OLD DAC VALUES ARE NOT USED</x:v>
      </x:c>
      <x:c r="C6212" t="str">
        <x:v>Pasted text(59).txt</x:v>
      </x:c>
    </x:row>
    <x:row r="6213">
      <x:c r="A6213" t="n">
        <x:v>2183</x:v>
      </x:c>
      <x:c r="B6213" s="58" t="str">
        <x:v>Y/Z are diagnostic only and cannot abort this search.</x:v>
      </x:c>
      <x:c r="C6213" t="str">
        <x:v>Pasted text(59).txt</x:v>
      </x:c>
    </x:row>
    <x:row r="6214">
      <x:c r="A6214" t="n">
        <x:v>2184</x:v>
      </x:c>
      <x:c r="B6214" s="58" t="str">
        <x:v>A real SPI fault, clipping, safety limit or confirmed X-response collapse will stop it.</x:v>
      </x:c>
      <x:c r="C6214" t="str">
        <x:v>Pasted text(59).txt</x:v>
      </x:c>
    </x:row>
    <x:row r="6215">
      <x:c r="A6215" t="n">
        <x:v>2185</x:v>
      </x:c>
      <x:c r="B6215" s="58" t="str">
        <x:v>SEARCH | point 1 | DAC 1.00 | CTRL X 0.03292 | X 0.03080 | Y 0.04289 | Z 0.02400 | TOTAL 0.05807 | error -95.61 % | MAD 19.10 % | CV 9.74 % | coh 5.6 % | dominant Y | axis fraction 71.8 % | BELOW MEASUREMENT FLOOR — SEARCH CONTINUES</x:v>
      </x:c>
      <x:c r="C6215" t="str">
        <x:v>Pasted text(59).txt</x:v>
      </x:c>
    </x:row>
    <x:row r="6216">
      <x:c r="A6216" t="n">
        <x:v>2186</x:v>
      </x:c>
      <x:c r="B6216" s="58" t="str">
        <x:v>SEARCH | point 2 | DAC 3.00 | CTRL X 0.73781 | X 0.72917 | Y 0.27145 | Z 0.16098 | TOTAL 0.79589 | error -1.62 % | MAD 0.47 % | CV 2.33 % | coh 55.8 % | dominant X | axis fraction 100.0 % | IN TARGET BAND</x:v>
      </x:c>
      <x:c r="C6216" t="str">
        <x:v>Pasted text(59).txt</x:v>
      </x:c>
    </x:row>
    <x:row r="6217">
      <x:c r="A6217" t="n">
        <x:v>2187</x:v>
      </x:c>
      <x:c r="B6217" s="58" t="str"/>
      <x:c r="C6217" t="str">
        <x:v>Pasted text(59).txt</x:v>
      </x:c>
    </x:row>
    <x:row r="6218">
      <x:c r="A6218" t="n">
        <x:v>2188</x:v>
      </x:c>
      <x:c r="B6218" s="58" t="str">
        <x:v>LOCAL 0.25-DAC X-AXIS FINE SCAN</x:v>
      </x:c>
      <x:c r="C6218" t="str">
        <x:v>Pasted text(59).txt</x:v>
      </x:c>
    </x:row>
    <x:row r="6219">
      <x:c r="A6219" t="n">
        <x:v>2189</x:v>
      </x:c>
      <x:c r="B6219" s="58" t="str">
        <x:v>Only a valid point actually inside the X target band may be selected.</x:v>
      </x:c>
      <x:c r="C6219" t="str">
        <x:v>Pasted text(59).txt</x:v>
      </x:c>
    </x:row>
    <x:row r="6220">
      <x:c r="A6220" t="n">
        <x:v>2190</x:v>
      </x:c>
      <x:c r="B6220" s="58" t="str">
        <x:v>FINE | point 1 | DAC 2.00 | CTRL X 0.34627 | X 0.33628 | Y 0.11740 | Z 0.04848 | TOTAL 0.36018 | error -53.83 % | MAD 6.66 % | CV 9.44 % | coh 27.6 % | dominant X | axis fraction 100.0 % | UNSTABLE — SEARCH CONTINUES</x:v>
      </x:c>
      <x:c r="C6220" t="str">
        <x:v>Pasted text(59).txt</x:v>
      </x:c>
    </x:row>
    <x:row r="6221">
      <x:c r="A6221" t="n">
        <x:v>2191</x:v>
      </x:c>
      <x:c r="B6221" s="58" t="str">
        <x:v>FINE | point 2 | DAC 2.25 | CTRL X 0.33662 | X 0.34278 | Y 0.13582 | Z 0.09529 | TOTAL 0.38232 | error -55.12 % | MAD 4.81 % | CV 6.09 % | coh 29.7 % | dominant X | axis fraction 100.0 % | UNSTABLE — SEARCH CONTINUES</x:v>
      </x:c>
      <x:c r="C6221" t="str">
        <x:v>Pasted text(59).txt</x:v>
      </x:c>
    </x:row>
    <x:row r="6222">
      <x:c r="A6222" t="n">
        <x:v>2192</x:v>
      </x:c>
      <x:c r="B6222" s="58" t="str">
        <x:v>FINE | point 3 | DAC 2.50 | CTRL X 0.36393 | X 0.36973 | Y 0.17576 | Z 0.09294 | TOTAL 0.42353 | error -51.48 % | MAD 3.32 % | CV 4.76 % | coh 38.9 % | dominant X | axis fraction 100.0 % | UNSTABLE — SEARCH CONTINUES</x:v>
      </x:c>
      <x:c r="C6222" t="str">
        <x:v>Pasted text(59).txt</x:v>
      </x:c>
    </x:row>
    <x:row r="6223">
      <x:c r="A6223" t="n">
        <x:v>2193</x:v>
      </x:c>
      <x:c r="B6223" s="58" t="str">
        <x:v>FINE | point 4 | DAC 2.75 | CTRL X 0.67695 | X 0.66973 | Y 0.27939 | Z 0.14241 | TOTAL 0.74042 | error -9.74 % | MAD 6.96 % | CV 6.43 % | coh 48.2 % | dominant X | axis fraction 100.0 % | UNSTABLE — SEARCH CONTINUES</x:v>
      </x:c>
      <x:c r="C6223" t="str">
        <x:v>Pasted text(59).txt</x:v>
      </x:c>
    </x:row>
    <x:row r="6224">
      <x:c r="A6224" t="n">
        <x:v>2194</x:v>
      </x:c>
      <x:c r="B6224" s="58" t="str">
        <x:v>FINE | point 5 | DAC 3.00 | CTRL X 0.73505 | X 0.73893 | Y 0.30500 | Z 0.16552 | TOTAL 0.81792 | error -1.99 % | MAD 6.22 % | CV 4.98 % | coh 51.2 % | dominant X | axis fraction 100.0 % | UNSTABLE — SEARCH CONTINUES</x:v>
      </x:c>
      <x:c r="C6224" t="str">
        <x:v>Pasted text(59).txt</x:v>
      </x:c>
    </x:row>
    <x:row r="6225">
      <x:c r="A6225" t="n">
        <x:v>2195</x:v>
      </x:c>
      <x:c r="B6225" s="58" t="str">
        <x:v>FINE | point 6 | DAC 3.25 | CTRL X 0.79229 | X 0.79054 | Y 0.36740 | Z 0.17356 | TOTAL 0.88906 | error 5.64 % | MAD 6.87 % | CV 4.98 % | coh 60.1 % | dominant X | axis fraction 100.0 % | IN TARGET BAND</x:v>
      </x:c>
      <x:c r="C6225" t="str">
        <x:v>Pasted text(59).txt</x:v>
      </x:c>
    </x:row>
    <x:row r="6226">
      <x:c r="A6226" t="n">
        <x:v>2196</x:v>
      </x:c>
      <x:c r="B6226" s="58" t="str">
        <x:v>FINE | point 7 | DAC 3.50 | CTRL X 0.83061 | X 0.83198 | Y 0.36089 | Z 0.20460 | TOTAL 0.92981 | error 10.75 % | MAD 1.43 % | CV 1.22 % | coh 63.5 % | dominant X | axis fraction 100.0 % | VALID</x:v>
      </x:c>
      <x:c r="C6226" t="str">
        <x:v>Pasted text(59).txt</x:v>
      </x:c>
    </x:row>
    <x:row r="6227">
      <x:c r="A6227" t="n">
        <x:v>2197</x:v>
      </x:c>
      <x:c r="B6227" s="58" t="str">
        <x:v>FINE | point 8 | DAC 3.75 | CTRL X 1.13480 | X 1.13831 | Y 0.45798 | Z 0.24610 | TOTAL 1.25172 | error 51.31 % | MAD 2.51 % | CV 2.17 % | coh 66.0 % | dominant X | axis fraction 100.0 % | VALID</x:v>
      </x:c>
      <x:c r="C6227" t="str">
        <x:v>Pasted text(59).txt</x:v>
      </x:c>
    </x:row>
    <x:row r="6228">
      <x:c r="A6228" t="n">
        <x:v>2198</x:v>
      </x:c>
      <x:c r="B6228" s="58" t="str">
        <x:v>FINE | point 9 | DAC 4.00 | CTRL X 1.26522 | X 1.25186 | Y 0.52111 | Z 0.29086 | TOTAL 1.38712 | error 68.70 % | MAD 0.55 % | CV 2.18 % | coh 71.5 % | dominant X | axis fraction 100.0 % | VALID</x:v>
      </x:c>
      <x:c r="C6228" t="str">
        <x:v>Pasted text(59).txt</x:v>
      </x:c>
    </x:row>
    <x:row r="6229">
      <x:c r="A6229" t="n">
        <x:v>2199</x:v>
      </x:c>
      <x:c r="B6229" s="58" t="str"/>
      <x:c r="C6229" t="str">
        <x:v>Pasted text(59).txt</x:v>
      </x:c>
    </x:row>
    <x:row r="6230">
      <x:c r="A6230" t="n">
        <x:v>2200</x:v>
      </x:c>
      <x:c r="B6230" s="58" t="str">
        <x:v>LONG VALIDATION AT FIXED DAC 3.25</x:v>
      </x:c>
      <x:c r="C6230" t="str">
        <x:v>Pasted text(59).txt</x:v>
      </x:c>
    </x:row>
    <x:row r="6231">
      <x:c r="A6231" t="n">
        <x:v>2201</x:v>
      </x:c>
      <x:c r="B6231" s="58" t="str">
        <x:v>FINAL | point 1 | DAC 3.25 | CTRL X 0.84160 | X 0.84335 | Y 0.34904 | Z 0.19521 | TOTAL 0.93565 | error 12.21 % | MAD 6.73 % | CV 5.65 % | coh 60.9 % | dominant X | axis fraction 100.0 % | VALID</x:v>
      </x:c>
      <x:c r="C6231" t="str">
        <x:v>Pasted text(59).txt</x:v>
      </x:c>
    </x:row>
    <x:row r="6232">
      <x:c r="A6232" t="n">
        <x:v>2202</x:v>
      </x:c>
      <x:c r="B6232" s="58" t="str">
        <x:v>FINAL | point 2 | DAC 3.25 | CTRL X 0.85295 | X 0.85817 | Y 0.36822 | Z 0.20780 | TOTAL 0.95793 | error 13.73 % | MAD 2.25 % | CV 1.94 % | coh 61.3 % | dominant X | axis fraction 100.0 % | VALID</x:v>
      </x:c>
      <x:c r="C6232" t="str">
        <x:v>Pasted text(59).txt</x:v>
      </x:c>
    </x:row>
    <x:row r="6233">
      <x:c r="A6233" t="n">
        <x:v>2203</x:v>
      </x:c>
      <x:c r="B6233" s="58" t="str">
        <x:v>FINAL | point 3 | DAC 3.25 | CTRL X 0.87012 | X 0.85968 | Y 0.38413 | Z 0.20019 | TOTAL 0.96376 | error 16.02 % | MAD 6.67 % | CV 4.32 % | coh 61.6 % | dominant X | axis fraction 100.0 % | VALID</x:v>
      </x:c>
      <x:c r="C6233" t="str">
        <x:v>Pasted text(59).txt</x:v>
      </x:c>
    </x:row>
    <x:row r="6234">
      <x:c r="A6234" t="n">
        <x:v>2204</x:v>
      </x:c>
      <x:c r="B6234" s="58" t="str">
        <x:v>Stable validation was 13.99 % from target. Performing one bounded trim: DAC 3.25 -&gt; 2.75</x:v>
      </x:c>
      <x:c r="C6234" t="str">
        <x:v>Pasted text(59).txt</x:v>
      </x:c>
    </x:row>
    <x:row r="6235">
      <x:c r="A6235" t="n">
        <x:v>2205</x:v>
      </x:c>
      <x:c r="B6235" s="58" t="str"/>
      <x:c r="C6235" t="str">
        <x:v>Pasted text(59).txt</x:v>
      </x:c>
    </x:row>
    <x:row r="6236">
      <x:c r="A6236" t="n">
        <x:v>2206</x:v>
      </x:c>
      <x:c r="B6236" s="58" t="str">
        <x:v>LONG VALIDATION AT FIXED DAC 2.75</x:v>
      </x:c>
      <x:c r="C6236" t="str">
        <x:v>Pasted text(59).txt</x:v>
      </x:c>
    </x:row>
    <x:row r="6237">
      <x:c r="A6237" t="n">
        <x:v>2207</x:v>
      </x:c>
      <x:c r="B6237" s="58" t="str">
        <x:v>FINAL | point 1 | DAC 2.75 | CTRL X 0.69030 | X 0.68798 | Y 0.29333 | Z 0.16327 | TOTAL 0.76661 | error -7.96 % | MAD 1.31 % | CV 1.28 % | coh 45.4 % | dominant X | axis fraction 100.0 % | UNSTABLE — SEARCH CONTINUES</x:v>
      </x:c>
      <x:c r="C6237" t="str">
        <x:v>Pasted text(59).txt</x:v>
      </x:c>
    </x:row>
    <x:row r="6238">
      <x:c r="A6238" t="n">
        <x:v>2208</x:v>
      </x:c>
      <x:c r="B6238" s="58" t="str">
        <x:v>FINAL | point 2 | DAC 2.75 | CTRL X 0.70793 | X 0.70430 | Y 0.30616 | Z 0.17099 | TOTAL 0.78800 | error -5.61 % | MAD 4.69 % | CV 4.14 % | coh 47.3 % | dominant X | axis fraction 100.0 % | UNSTABLE — SEARCH CONTINUES</x:v>
      </x:c>
      <x:c r="C6238" t="str">
        <x:v>Pasted text(59).txt</x:v>
      </x:c>
    </x:row>
    <x:row r="6239">
      <x:c r="A6239" t="n">
        <x:v>2209</x:v>
      </x:c>
      <x:c r="B6239" s="58" t="str">
        <x:v>FINAL | point 3 | DAC 2.75 | CTRL X 0.70108 | X 0.70532 | Y 0.27650 | Z 0.16162 | TOTAL 0.77533 | error -6.52 % | MAD 1.62 % | CV 2.48 % | coh 46.4 % | dominant X | axis fraction 100.0 % | UNSTABLE — SEARCH CONTINUES</x:v>
      </x:c>
      <x:c r="C6239" t="str">
        <x:v>Pasted text(59).txt</x:v>
      </x:c>
    </x:row>
    <x:row r="6240">
      <x:c r="A6240" t="n">
        <x:v>2210</x:v>
      </x:c>
      <x:c r="B6240" s="58" t="str"/>
      <x:c r="C6240" t="str">
        <x:v>Pasted text(59).txt</x:v>
      </x:c>
    </x:row>
    <x:row r="6241">
      <x:c r="A6241" t="n">
        <x:v>2211</x:v>
      </x:c>
      <x:c r="B6241" s="58" t="str">
        <x:v>ACQUISITION ATTEMPT 2 OF 2</x:v>
      </x:c>
      <x:c r="C6241" t="str">
        <x:v>Pasted text(59).txt</x:v>
      </x:c>
    </x:row>
    <x:row r="6242">
      <x:c r="A6242" t="n">
        <x:v>2212</x:v>
      </x:c>
      <x:c r="B6242" s="58" t="str"/>
      <x:c r="C6242" t="str">
        <x:v>Pasted text(59).txt</x:v>
      </x:c>
    </x:row>
    <x:row r="6243">
      <x:c r="A6243" t="n">
        <x:v>2213</x:v>
      </x:c>
      <x:c r="B6243" s="58" t="str">
        <x:v>FRESH X-AXIS SEARCH FROM DAC 1.00 — OLD DAC VALUES ARE NOT USED</x:v>
      </x:c>
      <x:c r="C6243" t="str">
        <x:v>Pasted text(59).txt</x:v>
      </x:c>
    </x:row>
    <x:row r="6244">
      <x:c r="A6244" t="n">
        <x:v>2214</x:v>
      </x:c>
      <x:c r="B6244" s="58" t="str">
        <x:v>Y/Z are diagnostic only and cannot abort this search.</x:v>
      </x:c>
      <x:c r="C6244" t="str">
        <x:v>Pasted text(59).txt</x:v>
      </x:c>
    </x:row>
    <x:row r="6245">
      <x:c r="A6245" t="n">
        <x:v>2215</x:v>
      </x:c>
      <x:c r="B6245" s="58" t="str">
        <x:v>A real SPI fault, clipping, safety limit or confirmed X-response collapse will stop it.</x:v>
      </x:c>
      <x:c r="C6245" t="str">
        <x:v>Pasted text(59).txt</x:v>
      </x:c>
    </x:row>
    <x:row r="6246">
      <x:c r="A6246" t="n">
        <x:v>2216</x:v>
      </x:c>
      <x:c r="B6246" s="58" t="str">
        <x:v>SEARCH | point 1 | DAC 1.00 | CTRL X 0.04298 | X 0.04390 | Y 0.03531 | Z 0.01868 | TOTAL 0.06012 | error -94.27 % | MAD 6.36 % | CV 2.97 % | coh 7.7 % | dominant X | axis fraction 100.0 % | BELOW MEASUREMENT FLOOR — SEARCH CONTINUES</x:v>
      </x:c>
      <x:c r="C6246" t="str">
        <x:v>Pasted text(59).txt</x:v>
      </x:c>
    </x:row>
    <x:row r="6247">
      <x:c r="A6247" t="n">
        <x:v>2217</x:v>
      </x:c>
      <x:c r="B6247" s="58" t="str">
        <x:v>SEARCH | point 2 | DAC 3.00 | CTRL X 0.80299 | X 0.80645 | Y 0.33330 | Z 0.17739 | TOTAL 0.89157 | error 7.06 % | MAD 3.69 % | CV 3.15 % | coh 55.3 % | dominant X | axis fraction 100.0 % | IN TARGET BAND</x:v>
      </x:c>
      <x:c r="C6247" t="str">
        <x:v>Pasted text(59).txt</x:v>
      </x:c>
    </x:row>
    <x:row r="6248">
      <x:c r="A6248" t="n">
        <x:v>2218</x:v>
      </x:c>
      <x:c r="B6248" s="58" t="str"/>
      <x:c r="C6248" t="str">
        <x:v>Pasted text(59).txt</x:v>
      </x:c>
    </x:row>
    <x:row r="6249">
      <x:c r="A6249" t="n">
        <x:v>2219</x:v>
      </x:c>
      <x:c r="B6249" s="58" t="str">
        <x:v>LOCAL 0.25-DAC X-AXIS FINE SCAN</x:v>
      </x:c>
      <x:c r="C6249" t="str">
        <x:v>Pasted text(59).txt</x:v>
      </x:c>
    </x:row>
    <x:row r="6250">
      <x:c r="A6250" t="n">
        <x:v>2220</x:v>
      </x:c>
      <x:c r="B6250" s="58" t="str">
        <x:v>Only a valid point actually inside the X target band may be selected.</x:v>
      </x:c>
      <x:c r="C6250" t="str">
        <x:v>Pasted text(59).txt</x:v>
      </x:c>
    </x:row>
    <x:row r="6251">
      <x:c r="A6251" t="n">
        <x:v>2221</x:v>
      </x:c>
      <x:c r="B6251" s="58" t="str">
        <x:v>FINE | point 1 | DAC 2.00 | CTRL X 0.32799 | X 0.32349 | Y 0.10917 | Z 0.07819 | TOTAL 0.35051 | error -56.27 % | MAD 1.02 % | CV 3.03 % | coh 25.5 % | dominant X | axis fraction 100.0 % | UNSTABLE — SEARCH CONTINUES</x:v>
      </x:c>
      <x:c r="C6251" t="str">
        <x:v>Pasted text(59).txt</x:v>
      </x:c>
    </x:row>
    <x:row r="6252">
      <x:c r="A6252" t="n">
        <x:v>2222</x:v>
      </x:c>
      <x:c r="B6252" s="58" t="str">
        <x:v>FINE | point 2 | DAC 2.25 | CTRL X 0.40578 | X 0.40592 | Y 0.17885 | Z 0.08650 | TOTAL 0.45644 | error -45.90 % | MAD 2.56 % | CV 1.78 % | coh 35.9 % | dominant X | axis fraction 100.0 % | UNSTABLE — SEARCH CONTINUES</x:v>
      </x:c>
      <x:c r="C6252" t="str">
        <x:v>Pasted text(59).txt</x:v>
      </x:c>
    </x:row>
    <x:row r="6253">
      <x:c r="A6253" t="n">
        <x:v>2223</x:v>
      </x:c>
      <x:c r="B6253" s="58" t="str">
        <x:v>FINE | point 3 | DAC 2.50 | CTRL X 0.43029 | X 0.43149 | Y 0.18205 | Z 0.10876 | TOTAL 0.48131 | error -42.63 % | MAD 5.78 % | CV 4.32 % | coh 40.4 % | dominant X | axis fraction 100.0 % | UNSTABLE — SEARCH CONTINUES</x:v>
      </x:c>
      <x:c r="C6253" t="str">
        <x:v>Pasted text(59).txt</x:v>
      </x:c>
    </x:row>
    <x:row r="6254">
      <x:c r="A6254" t="n">
        <x:v>2224</x:v>
      </x:c>
      <x:c r="B6254" s="58" t="str">
        <x:v>FINE | point 4 | DAC 2.75 | CTRL X 0.70535 | X 0.70074 | Y 0.28671 | Z 0.16162 | TOTAL 0.77527 | error -5.95 % | MAD 2.51 % | CV 2.75 % | coh 46.1 % | dominant X | axis fraction 100.0 % | UNSTABLE — SEARCH CONTINUES</x:v>
      </x:c>
      <x:c r="C6254" t="str">
        <x:v>Pasted text(59).txt</x:v>
      </x:c>
    </x:row>
    <x:row r="6255">
      <x:c r="A6255" t="n">
        <x:v>2225</x:v>
      </x:c>
      <x:c r="B6255" s="58" t="str">
        <x:v>FINE | point 5 | DAC 3.00 | CTRL X 0.84475 | X 0.82807 | Y 0.30429 | Z 0.18421 | TOTAL 0.90300 | error 12.63 % | MAD 3.03 % | CV 5.40 % | coh 56.4 % | dominant X | axis fraction 100.0 % | VALID</x:v>
      </x:c>
      <x:c r="C6255" t="str">
        <x:v>Pasted text(59).txt</x:v>
      </x:c>
    </x:row>
    <x:row r="6256">
      <x:c r="A6256" t="n">
        <x:v>2226</x:v>
      </x:c>
      <x:c r="B6256" s="58" t="str">
        <x:v>FINE | point 6 | DAC 3.25 | CTRL X 0.88484 | X 0.89013 | Y 0.35116 | Z 0.20512 | TOTAL 0.98010 | error 17.98 % | MAD 2.02 % | CV 2.31 % | coh 63.5 % | dominant X | axis fraction 100.0 % | VALID</x:v>
      </x:c>
      <x:c r="C6256" t="str">
        <x:v>Pasted text(59).txt</x:v>
      </x:c>
    </x:row>
    <x:row r="6257">
      <x:c r="A6257" t="n">
        <x:v>2227</x:v>
      </x:c>
      <x:c r="B6257" s="58" t="str">
        <x:v>FINE | point 7 | DAC 3.50 | CTRL X 0.91073 | X 0.90772 | Y 0.39385 | Z 0.23030 | TOTAL 1.01663 | error 21.43 % | MAD 3.94 % | CV 3.18 % | coh 65.9 % | dominant X | axis fraction 100.0 % | VALID</x:v>
      </x:c>
      <x:c r="C6257" t="str">
        <x:v>Pasted text(59).txt</x:v>
      </x:c>
    </x:row>
    <x:row r="6258">
      <x:c r="A6258" t="n">
        <x:v>2228</x:v>
      </x:c>
      <x:c r="B6258" s="58" t="str">
        <x:v>FINE | point 8 | DAC 3.75 | CTRL X 1.13794 | X 1.13928 | Y 0.47750 | Z 0.26200 | TOTAL 1.26342 | error 51.73 % | MAD 1.06 % | CV 0.90 % | coh 64.0 % | dominant X | axis fraction 100.0 % | VALID</x:v>
      </x:c>
      <x:c r="C6258" t="str">
        <x:v>Pasted text(59).txt</x:v>
      </x:c>
    </x:row>
    <x:row r="6259">
      <x:c r="A6259" t="n">
        <x:v>2229</x:v>
      </x:c>
      <x:c r="B6259" s="58" t="str">
        <x:v>FINE | point 9 | DAC 4.00 | CTRL X 1.23016 | X 1.22790 | Y 0.54638 | Z 0.31568 | TOTAL 1.38087 | error 64.02 % | MAD 1.12 % | CV 1.04 % | coh 69.3 % | dominant X | axis fraction 100.0 % | VALID</x:v>
      </x:c>
      <x:c r="C6259" t="str">
        <x:v>Pasted text(59).txt</x:v>
      </x:c>
    </x:row>
    <x:row r="6260">
      <x:c r="A6260" t="n">
        <x:v>2230</x:v>
      </x:c>
      <x:c r="B6260" s="58" t="str"/>
      <x:c r="C6260" t="str">
        <x:v>Pasted text(59).txt</x:v>
      </x:c>
    </x:row>
    <x:row r="6261">
      <x:c r="A6261" t="n">
        <x:v>2231</x:v>
      </x:c>
      <x:c r="B6261" s="58" t="str">
        <x:v>RUN RESULT: FAIL — No repeatable in-band X point in local 0.25-DAC scan</x:v>
      </x:c>
      <x:c r="C6261" t="str">
        <x:v>Pasted text(59).txt</x:v>
      </x:c>
    </x:row>
    <x:row r="6262">
      <x:c r="A6262" t="n">
        <x:v>2232</x:v>
      </x:c>
      <x:c r="B6262" s="58" t="str"/>
      <x:c r="C6262" t="str">
        <x:v>Pasted text(59).txt</x:v>
      </x:c>
    </x:row>
    <x:row r="6263">
      <x:c r="A6263" t="n">
        <x:v>2233</x:v>
      </x:c>
      <x:c r="B6263" s="58" t="str">
        <x:v>VISATON OFF. RESTING 5.0 s BEFORE THE NEXT COMPLETELY FRESH RUN.</x:v>
      </x:c>
      <x:c r="C6263" t="str">
        <x:v>Pasted text(59).txt</x:v>
      </x:c>
    </x:row>
    <x:row r="6264">
      <x:c r="A6264" t="n">
        <x:v>2234</x:v>
      </x:c>
      <x:c r="B6264" s="58" t="str"/>
      <x:c r="C6264" t="str">
        <x:v>Pasted text(59).txt</x:v>
      </x:c>
    </x:row>
    <x:row r="6265">
      <x:c r="A6265" t="n">
        <x:v>2235</x:v>
      </x:c>
      <x:c r="B6265" s="58" t="str">
        <x:v>################################################################################</x:v>
      </x:c>
      <x:c r="C6265" t="str">
        <x:v>Pasted text(59).txt</x:v>
      </x:c>
    </x:row>
    <x:row r="6266">
      <x:c r="A6266" t="n">
        <x:v>2236</x:v>
      </x:c>
      <x:c r="B6266" s="58" t="str">
        <x:v>INDEPENDENT TARGET-AMPLITUDE RUN 4 OF 5</x:v>
      </x:c>
      <x:c r="C6266" t="str">
        <x:v>Pasted text(59).txt</x:v>
      </x:c>
    </x:row>
    <x:row r="6267">
      <x:c r="A6267" t="n">
        <x:v>2237</x:v>
      </x:c>
      <x:c r="B6267" s="58" t="str">
        <x:v>################################################################################</x:v>
      </x:c>
      <x:c r="C6267" t="str">
        <x:v>Pasted text(59).txt</x:v>
      </x:c>
    </x:row>
    <x:row r="6268">
      <x:c r="A6268" t="n">
        <x:v>2238</x:v>
      </x:c>
      <x:c r="B6268" s="58" t="str">
        <x:v>Frequency: 268.79999 Hz</x:v>
      </x:c>
      <x:c r="C6268" t="str">
        <x:v>Pasted text(59).txt</x:v>
      </x:c>
    </x:row>
    <x:row r="6269">
      <x:c r="A6269" t="n">
        <x:v>2239</x:v>
      </x:c>
      <x:c r="B6269" s="58" t="str">
        <x:v>Target X amplitude: 0.75000 m/s^2 peak, tolerance +/-7.50 %</x:v>
      </x:c>
      <x:c r="C6269" t="str">
        <x:v>Pasted text(59).txt</x:v>
      </x:c>
    </x:row>
    <x:row r="6270">
      <x:c r="A6270" t="n">
        <x:v>2240</x:v>
      </x:c>
      <x:c r="B6270" s="58" t="str">
        <x:v>This run starts from DAC 1.00 and ignores every earlier selected DAC.</x:v>
      </x:c>
      <x:c r="C6270" t="str">
        <x:v>Pasted text(59).txt</x:v>
      </x:c>
    </x:row>
    <x:row r="6271">
      <x:c r="A6271" t="n">
        <x:v>2241</x:v>
      </x:c>
      <x:c r="B6271" s="58" t="str">
        <x:v>ADXL2 DEVID/DATA_FORMAT/BW_RATE/POWER_CTL: 0xE5 / 0xB / 0xE / 0x8</x:v>
      </x:c>
      <x:c r="C6271" t="str">
        <x:v>Pasted text(59).txt</x:v>
      </x:c>
    </x:row>
    <x:row r="6272">
      <x:c r="A6272" t="n">
        <x:v>2242</x:v>
      </x:c>
      <x:c r="B6272" s="58" t="str"/>
      <x:c r="C6272" t="str">
        <x:v>Pasted text(59).txt</x:v>
      </x:c>
    </x:row>
    <x:row r="6273">
      <x:c r="A6273" t="n">
        <x:v>2243</x:v>
      </x:c>
      <x:c r="B6273" s="58" t="str">
        <x:v>ACQUISITION ATTEMPT 1 OF 2</x:v>
      </x:c>
      <x:c r="C6273" t="str">
        <x:v>Pasted text(59).txt</x:v>
      </x:c>
    </x:row>
    <x:row r="6274">
      <x:c r="A6274" t="n">
        <x:v>2244</x:v>
      </x:c>
      <x:c r="B6274" s="58" t="str"/>
      <x:c r="C6274" t="str">
        <x:v>Pasted text(59).txt</x:v>
      </x:c>
    </x:row>
    <x:row r="6275">
      <x:c r="A6275" t="n">
        <x:v>2245</x:v>
      </x:c>
      <x:c r="B6275" s="58" t="str">
        <x:v>FRESH X-AXIS SEARCH FROM DAC 1.00 — OLD DAC VALUES ARE NOT USED</x:v>
      </x:c>
      <x:c r="C6275" t="str">
        <x:v>Pasted text(59).txt</x:v>
      </x:c>
    </x:row>
    <x:row r="6276">
      <x:c r="A6276" t="n">
        <x:v>2246</x:v>
      </x:c>
      <x:c r="B6276" s="58" t="str">
        <x:v>Y/Z are diagnostic only and cannot abort this search.</x:v>
      </x:c>
      <x:c r="C6276" t="str">
        <x:v>Pasted text(59).txt</x:v>
      </x:c>
    </x:row>
    <x:row r="6277">
      <x:c r="A6277" t="n">
        <x:v>2247</x:v>
      </x:c>
      <x:c r="B6277" s="58" t="str">
        <x:v>A real SPI fault, clipping, safety limit or confirmed X-response collapse will stop it.</x:v>
      </x:c>
      <x:c r="C6277" t="str">
        <x:v>Pasted text(59).txt</x:v>
      </x:c>
    </x:row>
    <x:row r="6278">
      <x:c r="A6278" t="n">
        <x:v>2248</x:v>
      </x:c>
      <x:c r="B6278" s="58" t="str">
        <x:v>SEARCH | point 1 | DAC 1.00 | CTRL X 0.01725 | X 0.01674 | Y 0.04270 | Z 0.04163 | TOTAL 0.06252 | error -97.70 % | MAD 8.69 % | CV 4.27 % | coh 2.9 % | dominant Y | axis fraction 39.2 % | BELOW MEASUREMENT FLOOR — SEARCH CONTINUES</x:v>
      </x:c>
      <x:c r="C6278" t="str">
        <x:v>Pasted text(59).txt</x:v>
      </x:c>
    </x:row>
    <x:row r="6279">
      <x:c r="A6279" t="n">
        <x:v>2249</x:v>
      </x:c>
      <x:c r="B6279" s="58" t="str">
        <x:v>SEARCH | point 2 | DAC 3.00 | CTRL X 0.77731 | X 0.77905 | Y 0.32130 | Z 0.17695 | TOTAL 0.86217 | error 3.64 % | MAD 2.24 % | CV 1.85 % | coh 52.9 % | dominant X | axis fraction 100.0 % | IN TARGET BAND</x:v>
      </x:c>
      <x:c r="C6279" t="str">
        <x:v>Pasted text(59).txt</x:v>
      </x:c>
    </x:row>
    <x:row r="6280">
      <x:c r="A6280" t="n">
        <x:v>2250</x:v>
      </x:c>
      <x:c r="B6280" s="58" t="str"/>
      <x:c r="C6280" t="str">
        <x:v>Pasted text(59).txt</x:v>
      </x:c>
    </x:row>
    <x:row r="6281">
      <x:c r="A6281" t="n">
        <x:v>2251</x:v>
      </x:c>
      <x:c r="B6281" s="58" t="str">
        <x:v>LOCAL 0.25-DAC X-AXIS FINE SCAN</x:v>
      </x:c>
      <x:c r="C6281" t="str">
        <x:v>Pasted text(59).txt</x:v>
      </x:c>
    </x:row>
    <x:row r="6282">
      <x:c r="A6282" t="n">
        <x:v>2252</x:v>
      </x:c>
      <x:c r="B6282" s="58" t="str">
        <x:v>Only a valid point actually inside the X target band may be selected.</x:v>
      </x:c>
      <x:c r="C6282" t="str">
        <x:v>Pasted text(59).txt</x:v>
      </x:c>
    </x:row>
    <x:row r="6283">
      <x:c r="A6283" t="n">
        <x:v>2253</x:v>
      </x:c>
      <x:c r="B6283" s="58" t="str">
        <x:v>FINE | point 1 | DAC 2.00 | CTRL X 0.34579 | X 0.34250 | Y 0.14121 | Z 0.06669 | TOTAL 0.37668 | error -53.90 % | MAD 0.97 % | CV 2.26 % | coh 27.1 % | dominant X | axis fraction 100.0 % | UNSTABLE — SEARCH CONTINUES</x:v>
      </x:c>
      <x:c r="C6283" t="str">
        <x:v>Pasted text(59).txt</x:v>
      </x:c>
    </x:row>
    <x:row r="6284">
      <x:c r="A6284" t="n">
        <x:v>2254</x:v>
      </x:c>
      <x:c r="B6284" s="58" t="str">
        <x:v>FINE | point 2 | DAC 2.25 | CTRL X 0.37764 | X 0.37978 | Y 0.15589 | Z 0.11264 | TOTAL 0.43064 | error -49.65 % | MAD 0.82 % | CV 1.48 % | coh 33.7 % | dominant X | axis fraction 100.0 % | UNSTABLE — SEARCH CONTINUES</x:v>
      </x:c>
      <x:c r="C6284" t="str">
        <x:v>Pasted text(59).txt</x:v>
      </x:c>
    </x:row>
    <x:row r="6285">
      <x:c r="A6285" t="n">
        <x:v>2255</x:v>
      </x:c>
      <x:c r="B6285" s="58" t="str">
        <x:v>FINE | point 3 | DAC 2.50 | CTRL X 0.39814 | X 0.40256 | Y 0.17533 | Z 0.12048 | TOTAL 0.45676 | error -46.91 % | MAD 2.89 % | CV 3.70 % | coh 38.4 % | dominant X | axis fraction 100.0 % | UNSTABLE — SEARCH CONTINUES</x:v>
      </x:c>
      <x:c r="C6285" t="str">
        <x:v>Pasted text(59).txt</x:v>
      </x:c>
    </x:row>
    <x:row r="6286">
      <x:c r="A6286" t="n">
        <x:v>2256</x:v>
      </x:c>
      <x:c r="B6286" s="58" t="str">
        <x:v>FINE | point 4 | DAC 2.75 | CTRL X 0.72976 | X 0.70321 | Y 0.30818 | Z 0.17010 | TOTAL 0.78688 | error -2.70 % | MAD 0.29 % | CV 6.71 % | coh 46.1 % | dominant X | axis fraction 100.0 % | UNSTABLE — SEARCH CONTINUES</x:v>
      </x:c>
      <x:c r="C6286" t="str">
        <x:v>Pasted text(59).txt</x:v>
      </x:c>
    </x:row>
    <x:row r="6287">
      <x:c r="A6287" t="n">
        <x:v>2257</x:v>
      </x:c>
      <x:c r="B6287" s="58" t="str">
        <x:v>FINE | point 5 | DAC 3.00 | CTRL X 0.78571 | X 0.78960 | Y 0.32655 | Z 0.18858 | TOTAL 0.87821 | error 4.76 % | MAD 1.44 % | CV 1.76 % | coh 53.7 % | dominant X | axis fraction 100.0 % | IN TARGET BAND</x:v>
      </x:c>
      <x:c r="C6287" t="str">
        <x:v>Pasted text(59).txt</x:v>
      </x:c>
    </x:row>
    <x:row r="6288">
      <x:c r="A6288" t="n">
        <x:v>2258</x:v>
      </x:c>
      <x:c r="B6288" s="58" t="str">
        <x:v>FINE | point 6 | DAC 3.25 | CTRL X 0.85746 | X 0.85946 | Y 0.35993 | Z 0.20208 | TOTAL 0.95456 | error 14.33 % | MAD 3.27 % | CV 2.56 % | coh 61.2 % | dominant X | axis fraction 100.0 % | VALID</x:v>
      </x:c>
      <x:c r="C6288" t="str">
        <x:v>Pasted text(59).txt</x:v>
      </x:c>
    </x:row>
    <x:row r="6289">
      <x:c r="A6289" t="n">
        <x:v>2259</x:v>
      </x:c>
      <x:c r="B6289" s="58" t="str">
        <x:v>FINE | point 7 | DAC 3.50 | CTRL X 0.94010 | X 0.93834 | Y 0.38662 | Z 0.21190 | TOTAL 1.03698 | error 25.35 % | MAD 0.51 % | CV 0.64 % | coh 68.7 % | dominant X | axis fraction 100.0 % | VALID</x:v>
      </x:c>
      <x:c r="C6289" t="str">
        <x:v>Pasted text(59).txt</x:v>
      </x:c>
    </x:row>
    <x:row r="6290">
      <x:c r="A6290" t="n">
        <x:v>2260</x:v>
      </x:c>
      <x:c r="B6290" s="58" t="str">
        <x:v>FINE | point 8 | DAC 3.75 | CTRL X 1.14070 | X 1.13935 | Y 0.51202 | Z 0.26424 | TOTAL 1.27697 | error 52.09 % | MAD 2.76 % | CV 2.04 % | coh 64.2 % | dominant X | axis fraction 100.0 % | VALID</x:v>
      </x:c>
      <x:c r="C6290" t="str">
        <x:v>Pasted text(59).txt</x:v>
      </x:c>
    </x:row>
    <x:row r="6291">
      <x:c r="A6291" t="n">
        <x:v>2261</x:v>
      </x:c>
      <x:c r="B6291" s="58" t="str">
        <x:v>FINE | point 9 | DAC 4.00 | CTRL X 1.23214 | X 1.24065 | Y 0.53103 | Z 0.27865 | TOTAL 1.37837 | error 64.29 % | MAD 0.32 % | CV 1.38 % | coh 69.6 % | dominant X | axis fraction 100.0 % | VALID</x:v>
      </x:c>
      <x:c r="C6291" t="str">
        <x:v>Pasted text(59).txt</x:v>
      </x:c>
    </x:row>
    <x:row r="6292">
      <x:c r="A6292" t="n">
        <x:v>2262</x:v>
      </x:c>
      <x:c r="B6292" s="58" t="str"/>
      <x:c r="C6292" t="str">
        <x:v>Pasted text(59).txt</x:v>
      </x:c>
    </x:row>
    <x:row r="6293">
      <x:c r="A6293" t="n">
        <x:v>2263</x:v>
      </x:c>
      <x:c r="B6293" s="58" t="str">
        <x:v>LONG VALIDATION AT FIXED DAC 3.00</x:v>
      </x:c>
      <x:c r="C6293" t="str">
        <x:v>Pasted text(59).txt</x:v>
      </x:c>
    </x:row>
    <x:row r="6294">
      <x:c r="A6294" t="n">
        <x:v>2264</x:v>
      </x:c>
      <x:c r="B6294" s="58" t="str">
        <x:v>FINAL | point 1 | DAC 3.00 | CTRL X 0.78349 | X 0.78627 | Y 0.35305 | Z 0.18604 | TOTAL 0.88277 | error 4.47 % | MAD 1.49 % | CV 1.33 % | coh 54.0 % | dominant X | axis fraction 100.0 % | IN TARGET BAND</x:v>
      </x:c>
      <x:c r="C6294" t="str">
        <x:v>Pasted text(59).txt</x:v>
      </x:c>
    </x:row>
    <x:row r="6295">
      <x:c r="A6295" t="n">
        <x:v>2265</x:v>
      </x:c>
      <x:c r="B6295" s="58" t="str">
        <x:v>FINAL | point 2 | DAC 3.00 | CTRL X 0.81746 | X 0.80395 | Y 0.30717 | Z 0.19736 | TOTAL 0.88389 | error 8.99 % | MAD 2.25 % | CV 3.28 % | coh 55.3 % | dominant X | axis fraction 100.0 % | VALID</x:v>
      </x:c>
      <x:c r="C6295" t="str">
        <x:v>Pasted text(59).txt</x:v>
      </x:c>
    </x:row>
    <x:row r="6296">
      <x:c r="A6296" t="n">
        <x:v>2266</x:v>
      </x:c>
      <x:c r="B6296" s="58" t="str">
        <x:v>FINAL | point 3 | DAC 3.00 | CTRL X 0.78863 | X 0.79588 | Y 0.33833 | Z 0.20558 | TOTAL 0.89091 | error 5.15 % | MAD 0.84 % | CV 2.83 % | coh 54.7 % | dominant X | axis fraction 100.0 % | IN TARGET BAND</x:v>
      </x:c>
      <x:c r="C6296" t="str">
        <x:v>Pasted text(59).txt</x:v>
      </x:c>
    </x:row>
    <x:row r="6297">
      <x:c r="A6297" t="n">
        <x:v>2267</x:v>
      </x:c>
      <x:c r="B6297" s="58" t="str">
        <x:v>VALIDATION ACCEPTED | pair drift 0.65 %</x:v>
      </x:c>
      <x:c r="C6297" t="str">
        <x:v>Pasted text(59).txt</x:v>
      </x:c>
    </x:row>
    <x:row r="6298">
      <x:c r="A6298" t="n">
        <x:v>2268</x:v>
      </x:c>
      <x:c r="B6298" s="58" t="str"/>
      <x:c r="C6298" t="str">
        <x:v>Pasted text(59).txt</x:v>
      </x:c>
    </x:row>
    <x:row r="6299">
      <x:c r="A6299" t="n">
        <x:v>2269</x:v>
      </x:c>
      <x:c r="B6299" s="58" t="str">
        <x:v>FINAL VALIDATED BLIND FFT VERIFICATION</x:v>
      </x:c>
      <x:c r="C6299" t="str">
        <x:v>Pasted text(59).txt</x:v>
      </x:c>
    </x:row>
    <x:row r="6300">
      <x:c r="A6300" t="n">
        <x:v>2270</x:v>
      </x:c>
      <x:c r="B6300" s="58" t="str">
        <x:v>Commanded frequency: 268.79999 Hz</x:v>
      </x:c>
      <x:c r="C6300" t="str">
        <x:v>Pasted text(59).txt</x:v>
      </x:c>
    </x:row>
    <x:row r="6301">
      <x:c r="A6301" t="n">
        <x:v>2271</x:v>
      </x:c>
      <x:c r="B6301" s="58" t="str">
        <x:v>Accepted DAC: 3.00</x:v>
      </x:c>
      <x:c r="C6301" t="str">
        <x:v>Pasted text(59).txt</x:v>
      </x:c>
    </x:row>
    <x:row r="6302">
      <x:c r="A6302" t="n">
        <x:v>2272</x:v>
      </x:c>
      <x:c r="B6302" s="58" t="str">
        <x:v>Axis,Frequency_Hz,Amplitude_mps2,SNR_dB,Status</x:v>
      </x:c>
      <x:c r="C6302" t="str">
        <x:v>Pasted text(59).txt</x:v>
      </x:c>
    </x:row>
    <x:row r="6303">
      <x:c r="A6303" t="n">
        <x:v>2273</x:v>
      </x:c>
      <x:c r="B6303" s="58" t="str">
        <x:v>X,268.78548,0.78479,24.76,VALID</x:v>
      </x:c>
      <x:c r="C6303" t="str">
        <x:v>Pasted text(59).txt</x:v>
      </x:c>
    </x:row>
    <x:row r="6304">
      <x:c r="A6304" t="n">
        <x:v>2274</x:v>
      </x:c>
      <x:c r="B6304" s="58" t="str">
        <x:v>Y,477.23566,0.42252,16.45,VALID</x:v>
      </x:c>
      <x:c r="C6304" t="str">
        <x:v>Pasted text(59).txt</x:v>
      </x:c>
    </x:row>
    <x:row r="6305">
      <x:c r="A6305" t="n">
        <x:v>2275</x:v>
      </x:c>
      <x:c r="B6305" s="58" t="str">
        <x:v>Z,268.76122,0.18202,18.47,VALID</x:v>
      </x:c>
      <x:c r="C6305" t="str">
        <x:v>Pasted text(59).txt</x:v>
      </x:c>
    </x:row>
    <x:row r="6306">
      <x:c r="A6306" t="n">
        <x:v>2276</x:v>
      </x:c>
      <x:c r="B6306" s="58" t="str">
        <x:v>Combined frequency: 268.78258 Hz | difference -0.01741 Hz</x:v>
      </x:c>
      <x:c r="C6306" t="str">
        <x:v>Pasted text(59).txt</x:v>
      </x:c>
    </x:row>
    <x:row r="6307">
      <x:c r="A6307" t="n">
        <x:v>2277</x:v>
      </x:c>
      <x:c r="B6307" s="58" t="str">
        <x:v>Combined X/Y/Z/TOTAL: 0.78455 / 0.32789 / 0.18202 / 0.86958</x:v>
      </x:c>
      <x:c r="C6307" t="str">
        <x:v>Pasted text(59).txt</x:v>
      </x:c>
    </x:row>
    <x:row r="6308">
      <x:c r="A6308" t="n">
        <x:v>2278</x:v>
      </x:c>
      <x:c r="B6308" s="58" t="str">
        <x:v>SNR: 20.80 dB | dominant axis X</x:v>
      </x:c>
      <x:c r="C6308" t="str">
        <x:v>Pasted text(59).txt</x:v>
      </x:c>
    </x:row>
    <x:row r="6309">
      <x:c r="A6309" t="n">
        <x:v>2279</x:v>
      </x:c>
      <x:c r="B6309" s="58" t="str">
        <x:v>Frequency verification: PASS</x:v>
      </x:c>
      <x:c r="C6309" t="str">
        <x:v>Pasted text(59).txt</x:v>
      </x:c>
    </x:row>
    <x:row r="6310">
      <x:c r="A6310" t="n">
        <x:v>2280</x:v>
      </x:c>
      <x:c r="B6310" s="58" t="str">
        <x:v>Y/Z dominance: DIAGNOSTIC ONLY — ignored for pass/fail</x:v>
      </x:c>
      <x:c r="C6310" t="str">
        <x:v>Pasted text(59).txt</x:v>
      </x:c>
    </x:row>
    <x:row r="6311">
      <x:c r="A6311" t="n">
        <x:v>2281</x:v>
      </x:c>
      <x:c r="B6311" s="58" t="str"/>
      <x:c r="C6311" t="str">
        <x:v>Pasted text(59).txt</x:v>
      </x:c>
    </x:row>
    <x:row r="6312">
      <x:c r="A6312" t="n">
        <x:v>2282</x:v>
      </x:c>
      <x:c r="B6312" s="58" t="str">
        <x:v>FIXED-DAC HOLD VALIDATION</x:v>
      </x:c>
      <x:c r="C6312" t="str">
        <x:v>Pasted text(59).txt</x:v>
      </x:c>
    </x:row>
    <x:row r="6313">
      <x:c r="A6313" t="n">
        <x:v>2283</x:v>
      </x:c>
      <x:c r="B6313" s="58" t="str">
        <x:v>DAC remains fixed at 3.00 for 10 records.</x:v>
      </x:c>
      <x:c r="C6313" t="str">
        <x:v>Pasted text(59).txt</x:v>
      </x:c>
    </x:row>
    <x:row r="6314">
      <x:c r="A6314" t="n">
        <x:v>2284</x:v>
      </x:c>
      <x:c r="B6314" s="58" t="str">
        <x:v>HOLD | point 1 | DAC 3.00 | CTRL X 0.78775 | X 0.78758 | Y 0.31073 | Z 0.17890 | TOTAL 0.86803 | error 5.03 % | MAD 0.45 % | CV 0.33 % | coh 54.3 % | dominant X | axis fraction 100.0 % | IN TARGET BAND</x:v>
      </x:c>
      <x:c r="C6314" t="str">
        <x:v>Pasted text(59).txt</x:v>
      </x:c>
    </x:row>
    <x:row r="6315">
      <x:c r="A6315" t="n">
        <x:v>2285</x:v>
      </x:c>
      <x:c r="B6315" s="58" t="str">
        <x:v>HOLD | point 2 | DAC 3.00 | CTRL X 0.76671 | X 0.78902 | Y 0.29154 | Z 0.18393 | TOTAL 0.86150 | error 2.23 % | MAD 2.05 % | CV 6.09 % | coh 53.9 % | dominant X | axis fraction 100.0 % | IN TARGET BAND</x:v>
      </x:c>
      <x:c r="C6315" t="str">
        <x:v>Pasted text(59).txt</x:v>
      </x:c>
    </x:row>
    <x:row r="6316">
      <x:c r="A6316" t="n">
        <x:v>2286</x:v>
      </x:c>
      <x:c r="B6316" s="58" t="str">
        <x:v>HOLD | point 3 | DAC 3.00 | CTRL X 0.79221 | X 0.78771 | Y 0.31604 | Z 0.17751 | TOTAL 0.86807 | error 5.63 % | MAD 1.30 % | CV 1.81 % | coh 53.6 % | dominant X | axis fraction 100.0 % | IN TARGET BAND</x:v>
      </x:c>
      <x:c r="C6316" t="str">
        <x:v>Pasted text(59).txt</x:v>
      </x:c>
    </x:row>
    <x:row r="6317">
      <x:c r="A6317" t="n">
        <x:v>2287</x:v>
      </x:c>
      <x:c r="B6317" s="58" t="str">
        <x:v>HOLD | point 4 | DAC 3.00 | CTRL X 0.77945 | X 0.77391 | Y 0.33462 | Z 0.19444 | TOTAL 0.86598 | error 3.93 % | MAD 4.06 % | CV 3.88 % | coh 53.3 % | dominant X | axis fraction 100.0 % | IN TARGET BAND</x:v>
      </x:c>
      <x:c r="C6317" t="str">
        <x:v>Pasted text(59).txt</x:v>
      </x:c>
    </x:row>
    <x:row r="6318">
      <x:c r="A6318" t="n">
        <x:v>2288</x:v>
      </x:c>
      <x:c r="B6318" s="58" t="str">
        <x:v>HOLD | point 5 | DAC 3.00 | CTRL X 0.78469 | X 0.79399 | Y 0.31114 | Z 0.18684 | TOTAL 0.87549 | error 4.62 % | MAD 2.94 % | CV 3.86 % | coh 54.0 % | dominant X | axis fraction 100.0 % | IN TARGET BAND</x:v>
      </x:c>
      <x:c r="C6318" t="str">
        <x:v>Pasted text(59).txt</x:v>
      </x:c>
    </x:row>
    <x:row r="6319">
      <x:c r="A6319" t="n">
        <x:v>2289</x:v>
      </x:c>
      <x:c r="B6319" s="58" t="str">
        <x:v>HOLD | point 6 | DAC 3.00 | CTRL X 0.77754 | X 0.78366 | Y 0.32333 | Z 0.22360 | TOTAL 0.87756 | error 3.67 % | MAD 1.66 % | CV 2.38 % | coh 53.1 % | dominant X | axis fraction 100.0 % | IN TARGET BAND</x:v>
      </x:c>
      <x:c r="C6319" t="str">
        <x:v>Pasted text(59).txt</x:v>
      </x:c>
    </x:row>
    <x:row r="6320">
      <x:c r="A6320" t="n">
        <x:v>2290</x:v>
      </x:c>
      <x:c r="B6320" s="58" t="str">
        <x:v>HOLD | point 7 | DAC 3.00 | CTRL X 0.80478 | X 0.80235 | Y 0.35737 | Z 0.20650 | TOTAL 0.90394 | error 7.30 % | MAD 2.21 % | CV 1.96 % | coh 54.8 % | dominant X | axis fraction 100.0 % | IN TARGET BAND</x:v>
      </x:c>
      <x:c r="C6320" t="str">
        <x:v>Pasted text(59).txt</x:v>
      </x:c>
    </x:row>
    <x:row r="6321">
      <x:c r="A6321" t="n">
        <x:v>2291</x:v>
      </x:c>
      <x:c r="B6321" s="58" t="str">
        <x:v>HOLD | point 8 | DAC 3.00 | CTRL X 0.75483 | X 0.77148 | Y 0.31369 | Z 0.18169 | TOTAL 0.85345 | error 0.64 % | MAD 4.97 % | CV 6.78 % | coh 54.0 % | dominant X | axis fraction 100.0 % | IN TARGET BAND</x:v>
      </x:c>
      <x:c r="C6321" t="str">
        <x:v>Pasted text(59).txt</x:v>
      </x:c>
    </x:row>
    <x:row r="6322">
      <x:c r="A6322" t="n">
        <x:v>2292</x:v>
      </x:c>
      <x:c r="B6322" s="58" t="str">
        <x:v>HOLD | point 9 | DAC 3.00 | CTRL X 0.77254 | X 0.78307 | Y 0.30639 | Z 0.16779 | TOTAL 0.85784 | error 3.01 % | MAD 6.12 % | CV 6.20 % | coh 53.4 % | dominant X | axis fraction 100.0 % | IN TARGET BAND</x:v>
      </x:c>
      <x:c r="C6322" t="str">
        <x:v>Pasted text(59).txt</x:v>
      </x:c>
    </x:row>
    <x:row r="6323">
      <x:c r="A6323" t="n">
        <x:v>2293</x:v>
      </x:c>
      <x:c r="B6323" s="58" t="str">
        <x:v>HOLD | point 10 | DAC 3.00 | CTRL X 0.80440 | X 0.80651 | Y 0.33153 | Z 0.17838 | TOTAL 0.89036 | error 7.25 % | MAD 1.32 % | CV 1.30 % | coh 55.4 % | dominant X | axis fraction 100.0 % | IN TARGET BAND</x:v>
      </x:c>
      <x:c r="C6323" t="str">
        <x:v>Pasted text(59).txt</x:v>
      </x:c>
    </x:row>
    <x:row r="6324">
      <x:c r="A6324" t="n">
        <x:v>2294</x:v>
      </x:c>
      <x:c r="B6324" s="58" t="str"/>
      <x:c r="C6324" t="str">
        <x:v>Pasted text(59).txt</x:v>
      </x:c>
    </x:row>
    <x:row r="6325">
      <x:c r="A6325" t="n">
        <x:v>2295</x:v>
      </x:c>
      <x:c r="B6325" s="58" t="str">
        <x:v>HOLD SUMMARY</x:v>
      </x:c>
      <x:c r="C6325" t="str">
        <x:v>Pasted text(59).txt</x:v>
      </x:c>
    </x:row>
    <x:row r="6326">
      <x:c r="A6326" t="n">
        <x:v>2296</x:v>
      </x:c>
      <x:c r="B6326" s="58" t="str">
        <x:v>Valid / requested: 10 / 10</x:v>
      </x:c>
      <x:c r="C6326" t="str">
        <x:v>Pasted text(59).txt</x:v>
      </x:c>
    </x:row>
    <x:row r="6327">
      <x:c r="A6327" t="n">
        <x:v>2297</x:v>
      </x:c>
      <x:c r="B6327" s="58" t="str">
        <x:v>In band / requested: 10 / 10 = 100.0 %</x:v>
      </x:c>
      <x:c r="C6327" t="str">
        <x:v>Pasted text(59).txt</x:v>
      </x:c>
    </x:row>
    <x:row r="6328">
      <x:c r="A6328" t="n">
        <x:v>2298</x:v>
      </x:c>
      <x:c r="B6328" s="58" t="str">
        <x:v>Mean / SD / CV: 0.78249 / 0.01581 / 2.02 %</x:v>
      </x:c>
      <x:c r="C6328" t="str">
        <x:v>Pasted text(59).txt</x:v>
      </x:c>
    </x:row>
    <x:row r="6329">
      <x:c r="A6329" t="n">
        <x:v>2299</x:v>
      </x:c>
      <x:c r="B6329" s="58" t="str">
        <x:v>Min / Max: 0.75483 / 0.80478</x:v>
      </x:c>
      <x:c r="C6329" t="str">
        <x:v>Pasted text(59).txt</x:v>
      </x:c>
    </x:row>
    <x:row r="6330">
      <x:c r="A6330" t="n">
        <x:v>2300</x:v>
      </x:c>
      <x:c r="B6330" s="58" t="str">
        <x:v>HOLD RESULT: PASS</x:v>
      </x:c>
      <x:c r="C6330" t="str">
        <x:v>Pasted text(59).txt</x:v>
      </x:c>
    </x:row>
    <x:row r="6331">
      <x:c r="A6331" t="n">
        <x:v>2301</x:v>
      </x:c>
      <x:c r="B6331" s="58" t="str"/>
      <x:c r="C6331" t="str">
        <x:v>Pasted text(59).txt</x:v>
      </x:c>
    </x:row>
    <x:row r="6332">
      <x:c r="A6332" t="n">
        <x:v>2302</x:v>
      </x:c>
      <x:c r="B6332" s="58" t="str">
        <x:v>RUN RESULT: PASS</x:v>
      </x:c>
      <x:c r="C6332" t="str">
        <x:v>Pasted text(59).txt</x:v>
      </x:c>
    </x:row>
    <x:row r="6333">
      <x:c r="A6333" t="n">
        <x:v>2303</x:v>
      </x:c>
      <x:c r="B6333" s="58" t="str">
        <x:v>Selected DAC: 3.00</x:v>
      </x:c>
      <x:c r="C6333" t="str">
        <x:v>Pasted text(59).txt</x:v>
      </x:c>
    </x:row>
    <x:row r="6334">
      <x:c r="A6334" t="n">
        <x:v>2304</x:v>
      </x:c>
      <x:c r="B6334" s="58" t="str">
        <x:v>Validated amplitude: 0.78606 m/s^2 | error 4.81 %</x:v>
      </x:c>
      <x:c r="C6334" t="str">
        <x:v>Pasted text(59).txt</x:v>
      </x:c>
    </x:row>
    <x:row r="6335">
      <x:c r="A6335" t="n">
        <x:v>2305</x:v>
      </x:c>
      <x:c r="B6335" s="58" t="str">
        <x:v>FFT frequency: 268.78258 Hz | difference -0.01741 Hz</x:v>
      </x:c>
      <x:c r="C6335" t="str">
        <x:v>Pasted text(59).txt</x:v>
      </x:c>
    </x:row>
    <x:row r="6336">
      <x:c r="A6336" t="n">
        <x:v>2306</x:v>
      </x:c>
      <x:c r="B6336" s="58" t="str"/>
      <x:c r="C6336" t="str">
        <x:v>Pasted text(59).txt</x:v>
      </x:c>
    </x:row>
    <x:row r="6337">
      <x:c r="A6337" t="n">
        <x:v>2307</x:v>
      </x:c>
      <x:c r="B6337" s="58" t="str">
        <x:v>VISATON OFF. RESTING 5.0 s BEFORE THE NEXT COMPLETELY FRESH RUN.</x:v>
      </x:c>
      <x:c r="C6337" t="str">
        <x:v>Pasted text(59).txt</x:v>
      </x:c>
    </x:row>
    <x:row r="6338">
      <x:c r="A6338" t="n">
        <x:v>2308</x:v>
      </x:c>
      <x:c r="B6338" s="58" t="str"/>
      <x:c r="C6338" t="str">
        <x:v>Pasted text(59).txt</x:v>
      </x:c>
    </x:row>
    <x:row r="6339">
      <x:c r="A6339" t="n">
        <x:v>2309</x:v>
      </x:c>
      <x:c r="B6339" s="58" t="str">
        <x:v>################################################################################</x:v>
      </x:c>
      <x:c r="C6339" t="str">
        <x:v>Pasted text(59).txt</x:v>
      </x:c>
    </x:row>
    <x:row r="6340">
      <x:c r="A6340" t="n">
        <x:v>2310</x:v>
      </x:c>
      <x:c r="B6340" s="58" t="str">
        <x:v>INDEPENDENT TARGET-AMPLITUDE RUN 5 OF 5</x:v>
      </x:c>
      <x:c r="C6340" t="str">
        <x:v>Pasted text(59).txt</x:v>
      </x:c>
    </x:row>
    <x:row r="6341">
      <x:c r="A6341" t="n">
        <x:v>2311</x:v>
      </x:c>
      <x:c r="B6341" s="58" t="str">
        <x:v>################################################################################</x:v>
      </x:c>
      <x:c r="C6341" t="str">
        <x:v>Pasted text(59).txt</x:v>
      </x:c>
    </x:row>
    <x:row r="6342">
      <x:c r="A6342" t="n">
        <x:v>2312</x:v>
      </x:c>
      <x:c r="B6342" s="58" t="str">
        <x:v>Frequency: 268.79999 Hz</x:v>
      </x:c>
      <x:c r="C6342" t="str">
        <x:v>Pasted text(59).txt</x:v>
      </x:c>
    </x:row>
    <x:row r="6343">
      <x:c r="A6343" t="n">
        <x:v>2313</x:v>
      </x:c>
      <x:c r="B6343" s="58" t="str">
        <x:v>Target X amplitude: 0.75000 m/s^2 peak, tolerance +/-7.50 %</x:v>
      </x:c>
      <x:c r="C6343" t="str">
        <x:v>Pasted text(59).txt</x:v>
      </x:c>
    </x:row>
    <x:row r="6344">
      <x:c r="A6344" t="n">
        <x:v>2314</x:v>
      </x:c>
      <x:c r="B6344" s="58" t="str">
        <x:v>This run starts from DAC 1.00 and ignores every earlier selected DAC.</x:v>
      </x:c>
      <x:c r="C6344" t="str">
        <x:v>Pasted text(59).txt</x:v>
      </x:c>
    </x:row>
    <x:row r="6345">
      <x:c r="A6345" t="n">
        <x:v>2315</x:v>
      </x:c>
      <x:c r="B6345" s="58" t="str">
        <x:v>ADXL2 DEVID/DATA_FORMAT/BW_RATE/POWER_CTL: 0xE5 / 0xB / 0xE / 0x8</x:v>
      </x:c>
      <x:c r="C6345" t="str">
        <x:v>Pasted text(59).txt</x:v>
      </x:c>
    </x:row>
    <x:row r="6346">
      <x:c r="A6346" t="n">
        <x:v>2316</x:v>
      </x:c>
      <x:c r="B6346" s="58" t="str"/>
      <x:c r="C6346" t="str">
        <x:v>Pasted text(59).txt</x:v>
      </x:c>
    </x:row>
    <x:row r="6347">
      <x:c r="A6347" t="n">
        <x:v>2317</x:v>
      </x:c>
      <x:c r="B6347" s="58" t="str">
        <x:v>ACQUISITION ATTEMPT 1 OF 2</x:v>
      </x:c>
      <x:c r="C6347" t="str">
        <x:v>Pasted text(59).txt</x:v>
      </x:c>
    </x:row>
    <x:row r="6348">
      <x:c r="A6348" t="n">
        <x:v>2318</x:v>
      </x:c>
      <x:c r="B6348" s="58" t="str"/>
      <x:c r="C6348" t="str">
        <x:v>Pasted text(59).txt</x:v>
      </x:c>
    </x:row>
    <x:row r="6349">
      <x:c r="A6349" t="n">
        <x:v>2319</x:v>
      </x:c>
      <x:c r="B6349" s="58" t="str">
        <x:v>FRESH X-AXIS SEARCH FROM DAC 1.00 — OLD DAC VALUES ARE NOT USED</x:v>
      </x:c>
      <x:c r="C6349" t="str">
        <x:v>Pasted text(59).txt</x:v>
      </x:c>
    </x:row>
    <x:row r="6350">
      <x:c r="A6350" t="n">
        <x:v>2320</x:v>
      </x:c>
      <x:c r="B6350" s="58" t="str">
        <x:v>Y/Z are diagnostic only and cannot abort this search.</x:v>
      </x:c>
      <x:c r="C6350" t="str">
        <x:v>Pasted text(59).txt</x:v>
      </x:c>
    </x:row>
    <x:row r="6351">
      <x:c r="A6351" t="n">
        <x:v>2321</x:v>
      </x:c>
      <x:c r="B6351" s="58" t="str">
        <x:v>A real SPI fault, clipping, safety limit or confirmed X-response collapse will stop it.</x:v>
      </x:c>
      <x:c r="C6351" t="str">
        <x:v>Pasted text(59).txt</x:v>
      </x:c>
    </x:row>
    <x:row r="6352">
      <x:c r="A6352" t="n">
        <x:v>2322</x:v>
      </x:c>
      <x:c r="B6352" s="58" t="str">
        <x:v>SEARCH | point 1 | DAC 1.00 | CTRL X 0.02116 | X 0.02073 | Y 0.03662 | Z 0.02465 | TOTAL 0.05151 | error -97.18 % | MAD 45.16 % | CV 34.21 % | coh 3.6 % | dominant Y | axis fraction 56.6 % | BELOW MEASUREMENT FLOOR — SEARCH CONTINUES</x:v>
      </x:c>
      <x:c r="C6352" t="str">
        <x:v>Pasted text(59).txt</x:v>
      </x:c>
    </x:row>
    <x:row r="6353">
      <x:c r="A6353" t="n">
        <x:v>2323</x:v>
      </x:c>
      <x:c r="B6353" s="58" t="str">
        <x:v>SEARCH | point 2 | DAC 3.00 | CTRL X 0.81043 | X 0.81313 | Y 0.28751 | Z 0.17387 | TOTAL 0.88150 | error 8.06 % | MAD 1.10 % | CV 1.27 % | coh 55.6 % | dominant X | axis fraction 100.0 % | VALID</x:v>
      </x:c>
      <x:c r="C6353" t="str">
        <x:v>Pasted text(59).txt</x:v>
      </x:c>
    </x:row>
    <x:row r="6354">
      <x:c r="A6354" t="n">
        <x:v>2324</x:v>
      </x:c>
      <x:c r="B6354" s="58" t="str"/>
      <x:c r="C6354" t="str">
        <x:v>Pasted text(59).txt</x:v>
      </x:c>
    </x:row>
    <x:row r="6355">
      <x:c r="A6355" t="n">
        <x:v>2325</x:v>
      </x:c>
      <x:c r="B6355" s="58" t="str">
        <x:v>ACQUISITION ATTEMPT 2 OF 2</x:v>
      </x:c>
      <x:c r="C6355" t="str">
        <x:v>Pasted text(59).txt</x:v>
      </x:c>
    </x:row>
    <x:row r="6356">
      <x:c r="A6356" t="n">
        <x:v>2326</x:v>
      </x:c>
      <x:c r="B6356" s="58" t="str"/>
      <x:c r="C6356" t="str">
        <x:v>Pasted text(59).txt</x:v>
      </x:c>
    </x:row>
    <x:row r="6357">
      <x:c r="A6357" t="n">
        <x:v>2327</x:v>
      </x:c>
      <x:c r="B6357" s="58" t="str">
        <x:v>FRESH X-AXIS SEARCH FROM DAC 1.00 — OLD DAC VALUES ARE NOT USED</x:v>
      </x:c>
      <x:c r="C6357" t="str">
        <x:v>Pasted text(59).txt</x:v>
      </x:c>
    </x:row>
    <x:row r="6358">
      <x:c r="A6358" t="n">
        <x:v>2328</x:v>
      </x:c>
      <x:c r="B6358" s="58" t="str">
        <x:v>Y/Z are diagnostic only and cannot abort this search.</x:v>
      </x:c>
      <x:c r="C6358" t="str">
        <x:v>Pasted text(59).txt</x:v>
      </x:c>
    </x:row>
    <x:row r="6359">
      <x:c r="A6359" t="n">
        <x:v>2329</x:v>
      </x:c>
      <x:c r="B6359" s="58" t="str">
        <x:v>A real SPI fault, clipping, safety limit or confirmed X-response collapse will stop it.</x:v>
      </x:c>
      <x:c r="C6359" t="str">
        <x:v>Pasted text(59).txt</x:v>
      </x:c>
    </x:row>
    <x:row r="6360">
      <x:c r="A6360" t="n">
        <x:v>2330</x:v>
      </x:c>
      <x:c r="B6360" s="58" t="str">
        <x:v>SEARCH | point 1 | DAC 1.00 | CTRL X 0.02240 | X 0.02473 | Y 0.04657 | Z 0.03362 | TOTAL 0.06822 | error -97.01 % | MAD 93.50 % | CV 71.74 % | coh 4.3 % | dominant Y | axis fraction 53.1 % | BELOW MEASUREMENT FLOOR — SEARCH CONTINUES</x:v>
      </x:c>
      <x:c r="C6360" t="str">
        <x:v>Pasted text(59).txt</x:v>
      </x:c>
    </x:row>
    <x:row r="6361">
      <x:c r="A6361" t="n">
        <x:v>2331</x:v>
      </x:c>
      <x:c r="B6361" s="58" t="str">
        <x:v>SEARCH | point 2 | DAC 3.00 | CTRL X 0.78113 | X 0.77406 | Y 0.33703 | Z 0.18833 | TOTAL 0.86573 | error 4.15 % | MAD 0.35 % | CV 1.79 % | coh 53.4 % | dominant X | axis fraction 100.0 % | IN TARGET BAND</x:v>
      </x:c>
      <x:c r="C6361" t="str">
        <x:v>Pasted text(59).txt</x:v>
      </x:c>
    </x:row>
    <x:row r="6362">
      <x:c r="A6362" t="n">
        <x:v>2332</x:v>
      </x:c>
      <x:c r="B6362" s="58" t="str"/>
      <x:c r="C6362" t="str">
        <x:v>Pasted text(59).txt</x:v>
      </x:c>
    </x:row>
    <x:row r="6363">
      <x:c r="A6363" t="n">
        <x:v>2333</x:v>
      </x:c>
      <x:c r="B6363" s="58" t="str">
        <x:v>LOCAL 0.25-DAC X-AXIS FINE SCAN</x:v>
      </x:c>
      <x:c r="C6363" t="str">
        <x:v>Pasted text(59).txt</x:v>
      </x:c>
    </x:row>
    <x:row r="6364">
      <x:c r="A6364" t="n">
        <x:v>2334</x:v>
      </x:c>
      <x:c r="B6364" s="58" t="str">
        <x:v>Only a valid point actually inside the X target band may be selected.</x:v>
      </x:c>
      <x:c r="C6364" t="str">
        <x:v>Pasted text(59).txt</x:v>
      </x:c>
    </x:row>
    <x:row r="6365">
      <x:c r="A6365" t="n">
        <x:v>2335</x:v>
      </x:c>
      <x:c r="B6365" s="58" t="str">
        <x:v>FINE | point 1 | DAC 2.00 | CTRL X 0.31447 | X 0.32755 | Y 0.11624 | Z 0.07277 | TOTAL 0.35558 | error -58.07 % | MAD 4.00 % | CV 9.25 % | coh 26.0 % | dominant X | axis fraction 100.0 % | UNSTABLE — SEARCH CONTINUES</x:v>
      </x:c>
      <x:c r="C6365" t="str">
        <x:v>Pasted text(59).txt</x:v>
      </x:c>
    </x:row>
    <x:row r="6366">
      <x:c r="A6366" t="n">
        <x:v>2336</x:v>
      </x:c>
      <x:c r="B6366" s="58" t="str">
        <x:v>FINE | point 2 | DAC 2.25 | CTRL X 0.36234 | X 0.36849 | Y 0.11179 | Z 0.10068 | TOTAL 0.40055 | error -51.69 % | MAD 1.77 % | CV 3.95 % | coh 33.1 % | dominant X | axis fraction 100.0 % | UNSTABLE — SEARCH CONTINUES</x:v>
      </x:c>
      <x:c r="C6366" t="str">
        <x:v>Pasted text(59).txt</x:v>
      </x:c>
    </x:row>
    <x:row r="6367">
      <x:c r="A6367" t="n">
        <x:v>2337</x:v>
      </x:c>
      <x:c r="B6367" s="58" t="str">
        <x:v>FINE | point 3 | DAC 2.50 | CTRL X 0.43259 | X 0.43150 | Y 0.14961 | Z 0.08618 | TOTAL 0.46640 | error -42.32 % | MAD 4.33 % | CV 3.31 % | coh 40.7 % | dominant X | axis fraction 100.0 % | UNSTABLE — SEARCH CONTINUES</x:v>
      </x:c>
      <x:c r="C6367" t="str">
        <x:v>Pasted text(59).txt</x:v>
      </x:c>
    </x:row>
    <x:row r="6368">
      <x:c r="A6368" t="n">
        <x:v>2338</x:v>
      </x:c>
      <x:c r="B6368" s="58" t="str">
        <x:v>FINE | point 4 | DAC 2.75 | CTRL X 0.68423 | X 0.68485 | Y 0.28778 | Z 0.18139 | TOTAL 0.76537 | error -8.77 % | MAD 1.61 % | CV 1.23 % | coh 45.1 % | dominant X | axis fraction 100.0 % | UNSTABLE — SEARCH CONTINUES</x:v>
      </x:c>
      <x:c r="C6368" t="str">
        <x:v>Pasted text(59).txt</x:v>
      </x:c>
    </x:row>
    <x:row r="6369">
      <x:c r="A6369" t="n">
        <x:v>2339</x:v>
      </x:c>
      <x:c r="B6369" s="58" t="str">
        <x:v>FINE | point 5 | DAC 3.00 | CTRL X 0.80188 | X 0.80312 | Y 0.30638 | Z 0.20131 | TOTAL 0.88422 | error 6.92 % | MAD 0.29 % | CV 0.45 % | coh 54.9 % | dominant X | axis fraction 100.0 % | IN TARGET BAND</x:v>
      </x:c>
      <x:c r="C6369" t="str">
        <x:v>Pasted text(59).txt</x:v>
      </x:c>
    </x:row>
    <x:row r="6370">
      <x:c r="A6370" t="n">
        <x:v>2340</x:v>
      </x:c>
      <x:c r="B6370" s="58" t="str">
        <x:v>FINE | point 6 | DAC 3.25 | CTRL X 0.83317 | X 0.82933 | Y 0.31553 | Z 0.24567 | TOTAL 0.92151 | error 11.09 % | MAD 3.07 % | CV 2.80 % | coh 59.2 % | dominant X | axis fraction 100.0 % | VALID</x:v>
      </x:c>
      <x:c r="C6370" t="str">
        <x:v>Pasted text(59).txt</x:v>
      </x:c>
    </x:row>
    <x:row r="6371">
      <x:c r="A6371" t="n">
        <x:v>2341</x:v>
      </x:c>
      <x:c r="B6371" s="58" t="str">
        <x:v>FINE | point 7 | DAC 3.50 | CTRL X 0.90025 | X 0.89270 | Y 0.35674 | Z 0.23605 | TOTAL 0.99029 | error 20.03 % | MAD 0.41 % | CV 1.71 % | coh 65.7 % | dominant X | axis fraction 100.0 % | VALID</x:v>
      </x:c>
      <x:c r="C6371" t="str">
        <x:v>Pasted text(59).txt</x:v>
      </x:c>
    </x:row>
    <x:row r="6372">
      <x:c r="A6372" t="n">
        <x:v>2342</x:v>
      </x:c>
      <x:c r="B6372" s="58" t="str">
        <x:v>FINE | point 8 | DAC 3.75 | CTRL X 1.14678 | X 1.16306 | Y 0.46998 | Z 0.27485 | TOTAL 1.28449 | error 52.90 % | MAD 1.23 % | CV 3.16 % | coh 65.2 % | dominant X | axis fraction 100.0 % | VALID</x:v>
      </x:c>
      <x:c r="C6372" t="str">
        <x:v>Pasted text(59).txt</x:v>
      </x:c>
    </x:row>
    <x:row r="6373">
      <x:c r="A6373" t="n">
        <x:v>2343</x:v>
      </x:c>
      <x:c r="B6373" s="58" t="str">
        <x:v>FINE | point 9 | DAC 4.00 | CTRL X 1.21691 | X 1.22406 | Y 0.53287 | Z 0.28913 | TOTAL 1.36612 | error 62.26 % | MAD 0.38 % | CV 1.24 % | coh 69.1 % | dominant X | axis fraction 100.0 % | VALID</x:v>
      </x:c>
      <x:c r="C6373" t="str">
        <x:v>Pasted text(59).txt</x:v>
      </x:c>
    </x:row>
    <x:row r="6374">
      <x:c r="A6374" t="n">
        <x:v>2344</x:v>
      </x:c>
      <x:c r="B6374" s="58" t="str"/>
      <x:c r="C6374" t="str">
        <x:v>Pasted text(59).txt</x:v>
      </x:c>
    </x:row>
    <x:row r="6375">
      <x:c r="A6375" t="n">
        <x:v>2345</x:v>
      </x:c>
      <x:c r="B6375" s="58" t="str">
        <x:v>LONG VALIDATION AT FIXED DAC 3.00</x:v>
      </x:c>
      <x:c r="C6375" t="str">
        <x:v>Pasted text(59).txt</x:v>
      </x:c>
    </x:row>
    <x:row r="6376">
      <x:c r="A6376" t="n">
        <x:v>2346</x:v>
      </x:c>
      <x:c r="B6376" s="58" t="str">
        <x:v>FINAL | point 1 | DAC 3.00 | CTRL X 0.80434 | X 0.79966 | Y 0.34431 | Z 0.18411 | TOTAL 0.89063 | error 7.24 % | MAD 1.74 % | CV 2.74 % | coh 55.0 % | dominant X | axis fraction 100.0 % | IN TARGET BAND</x:v>
      </x:c>
      <x:c r="C6376" t="str">
        <x:v>Pasted text(59).txt</x:v>
      </x:c>
    </x:row>
    <x:row r="6377">
      <x:c r="A6377" t="n">
        <x:v>2347</x:v>
      </x:c>
      <x:c r="B6377" s="58" t="str">
        <x:v>FINAL | point 2 | DAC 3.00 | CTRL X 0.78516 | X 0.78253 | Y 0.32639 | Z 0.16455 | TOTAL 0.86425 | error 4.69 % | MAD 4.35 % | CV 3.90 % | coh 53.8 % | dominant X | axis fraction 100.0 % | IN TARGET BAND</x:v>
      </x:c>
      <x:c r="C6377" t="str">
        <x:v>Pasted text(59).txt</x:v>
      </x:c>
    </x:row>
    <x:row r="6378">
      <x:c r="A6378" t="n">
        <x:v>2348</x:v>
      </x:c>
      <x:c r="B6378" s="58" t="str">
        <x:v>VALIDATION ACCEPTED | pair drift 2.41 %</x:v>
      </x:c>
      <x:c r="C6378" t="str">
        <x:v>Pasted text(59).txt</x:v>
      </x:c>
    </x:row>
    <x:row r="6379">
      <x:c r="A6379" t="n">
        <x:v>2349</x:v>
      </x:c>
      <x:c r="B6379" s="58" t="str"/>
      <x:c r="C6379" t="str">
        <x:v>Pasted text(59).txt</x:v>
      </x:c>
    </x:row>
    <x:row r="6380">
      <x:c r="A6380" t="n">
        <x:v>2350</x:v>
      </x:c>
      <x:c r="B6380" s="58" t="str">
        <x:v>FINAL VALIDATED BLIND FFT VERIFICATION</x:v>
      </x:c>
      <x:c r="C6380" t="str">
        <x:v>Pasted text(59).txt</x:v>
      </x:c>
    </x:row>
    <x:row r="6381">
      <x:c r="A6381" t="n">
        <x:v>2351</x:v>
      </x:c>
      <x:c r="B6381" s="58" t="str">
        <x:v>Commanded frequency: 268.79999 Hz</x:v>
      </x:c>
      <x:c r="C6381" t="str">
        <x:v>Pasted text(59).txt</x:v>
      </x:c>
    </x:row>
    <x:row r="6382">
      <x:c r="A6382" t="n">
        <x:v>2352</x:v>
      </x:c>
      <x:c r="B6382" s="58" t="str">
        <x:v>Accepted DAC: 3.00</x:v>
      </x:c>
      <x:c r="C6382" t="str">
        <x:v>Pasted text(59).txt</x:v>
      </x:c>
    </x:row>
    <x:row r="6383">
      <x:c r="A6383" t="n">
        <x:v>2353</x:v>
      </x:c>
      <x:c r="B6383" s="58" t="str">
        <x:v>Axis,Frequency_Hz,Amplitude_mps2,SNR_dB,Status</x:v>
      </x:c>
      <x:c r="C6383" t="str">
        <x:v>Pasted text(59).txt</x:v>
      </x:c>
    </x:row>
    <x:row r="6384">
      <x:c r="A6384" t="n">
        <x:v>2354</x:v>
      </x:c>
      <x:c r="B6384" s="58" t="str">
        <x:v>X,268.77398,0.78925,24.84,VALID</x:v>
      </x:c>
      <x:c r="C6384" t="str">
        <x:v>Pasted text(59).txt</x:v>
      </x:c>
    </x:row>
    <x:row r="6385">
      <x:c r="A6385" t="n">
        <x:v>2355</x:v>
      </x:c>
      <x:c r="B6385" s="58" t="str">
        <x:v>Y,477.67790,0.45086,17.31,VALID</x:v>
      </x:c>
      <x:c r="C6385" t="str">
        <x:v>Pasted text(59).txt</x:v>
      </x:c>
    </x:row>
    <x:row r="6386">
      <x:c r="A6386" t="n">
        <x:v>2356</x:v>
      </x:c>
      <x:c r="B6386" s="58" t="str">
        <x:v>Z,268.76306,0.17739,17.56,VALID</x:v>
      </x:c>
      <x:c r="C6386" t="str">
        <x:v>Pasted text(59).txt</x:v>
      </x:c>
    </x:row>
    <x:row r="6387">
      <x:c r="A6387" t="n">
        <x:v>2357</x:v>
      </x:c>
      <x:c r="B6387" s="58" t="str">
        <x:v>Combined frequency: 268.77822 Hz | difference -0.02177 Hz</x:v>
      </x:c>
      <x:c r="C6387" t="str">
        <x:v>Pasted text(59).txt</x:v>
      </x:c>
    </x:row>
    <x:row r="6388">
      <x:c r="A6388" t="n">
        <x:v>2358</x:v>
      </x:c>
      <x:c r="B6388" s="58" t="str">
        <x:v>Combined X/Y/Z/TOTAL: 0.78914 / 0.30344 / 0.17738 / 0.86388</x:v>
      </x:c>
      <x:c r="C6388" t="str">
        <x:v>Pasted text(59).txt</x:v>
      </x:c>
    </x:row>
    <x:row r="6389">
      <x:c r="A6389" t="n">
        <x:v>2359</x:v>
      </x:c>
      <x:c r="B6389" s="58" t="str">
        <x:v>SNR: 20.60 dB | dominant axis X</x:v>
      </x:c>
      <x:c r="C6389" t="str">
        <x:v>Pasted text(59).txt</x:v>
      </x:c>
    </x:row>
    <x:row r="6390">
      <x:c r="A6390" t="n">
        <x:v>2360</x:v>
      </x:c>
      <x:c r="B6390" s="58" t="str">
        <x:v>Frequency verification: PASS</x:v>
      </x:c>
      <x:c r="C6390" t="str">
        <x:v>Pasted text(59).txt</x:v>
      </x:c>
    </x:row>
    <x:row r="6391">
      <x:c r="A6391" t="n">
        <x:v>2361</x:v>
      </x:c>
      <x:c r="B6391" s="58" t="str">
        <x:v>Y/Z dominance: DIAGNOSTIC ONLY — ignored for pass/fail</x:v>
      </x:c>
      <x:c r="C6391" t="str">
        <x:v>Pasted text(59).txt</x:v>
      </x:c>
    </x:row>
    <x:row r="6392">
      <x:c r="A6392" t="n">
        <x:v>2362</x:v>
      </x:c>
      <x:c r="B6392" s="58" t="str"/>
      <x:c r="C6392" t="str">
        <x:v>Pasted text(59).txt</x:v>
      </x:c>
    </x:row>
    <x:row r="6393">
      <x:c r="A6393" t="n">
        <x:v>2363</x:v>
      </x:c>
      <x:c r="B6393" s="58" t="str">
        <x:v>FIXED-DAC HOLD VALIDATION</x:v>
      </x:c>
      <x:c r="C6393" t="str">
        <x:v>Pasted text(59).txt</x:v>
      </x:c>
    </x:row>
    <x:row r="6394">
      <x:c r="A6394" t="n">
        <x:v>2364</x:v>
      </x:c>
      <x:c r="B6394" s="58" t="str">
        <x:v>DAC remains fixed at 3.00 for 10 records.</x:v>
      </x:c>
      <x:c r="C6394" t="str">
        <x:v>Pasted text(59).txt</x:v>
      </x:c>
    </x:row>
    <x:row r="6395">
      <x:c r="A6395" t="n">
        <x:v>2365</x:v>
      </x:c>
      <x:c r="B6395" s="58" t="str">
        <x:v>HOLD | point 1 | DAC 3.00 | CTRL X 0.79867 | X 0.79682 | Y 0.30149 | Z 0.19143 | TOTAL 0.87438 | error 6.49 % | MAD 1.00 % | CV 1.04 % | coh 54.6 % | dominant X | axis fraction 100.0 % | IN TARGET BAND</x:v>
      </x:c>
      <x:c r="C6395" t="str">
        <x:v>Pasted text(59).txt</x:v>
      </x:c>
    </x:row>
    <x:row r="6396">
      <x:c r="A6396" t="n">
        <x:v>2366</x:v>
      </x:c>
      <x:c r="B6396" s="58" t="str">
        <x:v>HOLD | point 2 | DAC 3.00 | CTRL X 0.79780 | X 0.78172 | Y 0.29863 | Z 0.16630 | TOTAL 0.85463 | error 6.37 % | MAD 0.47 % | CV 3.84 % | coh 54.0 % | dominant X | axis fraction 100.0 % | IN TARGET BAND</x:v>
      </x:c>
      <x:c r="C6396" t="str">
        <x:v>Pasted text(59).txt</x:v>
      </x:c>
    </x:row>
    <x:row r="6397">
      <x:c r="A6397" t="n">
        <x:v>2367</x:v>
      </x:c>
      <x:c r="B6397" s="58" t="str">
        <x:v>HOLD | point 3 | DAC 3.00 | CTRL X 0.77286 | X 0.78328 | Y 0.29176 | Z 0.18435 | TOTAL 0.85707 | error 3.05 % | MAD 1.52 % | CV 3.22 % | coh 53.7 % | dominant X | axis fraction 100.0 % | IN TARGET BAND</x:v>
      </x:c>
      <x:c r="C6397" t="str">
        <x:v>Pasted text(59).txt</x:v>
      </x:c>
    </x:row>
    <x:row r="6398">
      <x:c r="A6398" t="n">
        <x:v>2368</x:v>
      </x:c>
      <x:c r="B6398" s="58" t="str">
        <x:v>HOLD | point 4 | DAC 3.00 | CTRL X 0.74748 | X 0.76492 | Y 0.29341 | Z 0.20749 | TOTAL 0.84547 | error -0.34 % | MAD 1.29 % | CV 4.70 % | coh 52.8 % | dominant X | axis fraction 100.0 % | IN TARGET BAND</x:v>
      </x:c>
      <x:c r="C6398" t="str">
        <x:v>Pasted text(59).txt</x:v>
      </x:c>
    </x:row>
    <x:row r="6399">
      <x:c r="A6399" t="n">
        <x:v>2369</x:v>
      </x:c>
      <x:c r="B6399" s="58" t="str">
        <x:v>HOLD | point 5 | DAC 3.00 | CTRL X 0.77103 | X 0.78496 | Y 0.29767 | Z 0.19930 | TOTAL 0.86419 | error 2.80 % | MAD 0.52 % | CV 3.38 % | coh 54.3 % | dominant X | axis fraction 100.0 % | IN TARGET BAND</x:v>
      </x:c>
      <x:c r="C6399" t="str">
        <x:v>Pasted text(59).txt</x:v>
      </x:c>
    </x:row>
    <x:row r="6400">
      <x:c r="A6400" t="n">
        <x:v>2370</x:v>
      </x:c>
      <x:c r="B6400" s="58" t="str">
        <x:v>HOLD | point 6 | DAC 3.00 | CTRL X 0.81971 | X 0.80476 | Y 0.32933 | Z 0.18896 | TOTAL 0.89022 | error 9.30 % | MAD 2.13 % | CV 4.54 % | coh 55.5 % | dominant X | axis fraction 100.0 % | VALID</x:v>
      </x:c>
      <x:c r="C6400" t="str">
        <x:v>Pasted text(59).txt</x:v>
      </x:c>
    </x:row>
    <x:row r="6401">
      <x:c r="A6401" t="n">
        <x:v>2371</x:v>
      </x:c>
      <x:c r="B6401" s="58" t="str">
        <x:v>HOLD | point 7 | DAC 3.00 | CTRL X 0.76909 | X 0.76870 | Y 0.28193 | Z 0.17320 | TOTAL 0.83778 | error 2.55 % | MAD 1.10 % | CV 0.82 % | coh 52.5 % | dominant X | axis fraction 100.0 % | IN TARGET BAND</x:v>
      </x:c>
      <x:c r="C6401" t="str">
        <x:v>Pasted text(59).txt</x:v>
      </x:c>
    </x:row>
    <x:row r="6402">
      <x:c r="A6402" t="n">
        <x:v>2372</x:v>
      </x:c>
      <x:c r="B6402" s="58" t="str">
        <x:v>HOLD | point 8 | DAC 3.00 | CTRL X 0.79083 | X 0.78756 | Y 0.29374 | Z 0.18254 | TOTAL 0.86054 | error 5.44 % | MAD 4.64 % | CV 3.78 % | coh 54.3 % | dominant X | axis fraction 100.0 % | IN TARGET BAND</x:v>
      </x:c>
      <x:c r="C6402" t="str">
        <x:v>Pasted text(59).txt</x:v>
      </x:c>
    </x:row>
    <x:row r="6403">
      <x:c r="A6403" t="n">
        <x:v>2373</x:v>
      </x:c>
      <x:c r="B6403" s="58" t="str">
        <x:v>HOLD | point 9 | DAC 3.00 | CTRL X 0.78694 | X 0.79186 | Y 0.30180 | Z 0.18924 | TOTAL 0.86956 | error 4.93 % | MAD 1.72 % | CV 2.15 % | coh 54.5 % | dominant X | axis fraction 100.0 % | IN TARGET BAND</x:v>
      </x:c>
      <x:c r="C6403" t="str">
        <x:v>Pasted text(59).txt</x:v>
      </x:c>
    </x:row>
    <x:row r="6404">
      <x:c r="A6404" t="n">
        <x:v>2374</x:v>
      </x:c>
      <x:c r="B6404" s="58" t="str">
        <x:v>HOLD | point 10 | DAC 3.00 | CTRL X 0.79673 | X 0.79927 | Y 0.33410 | Z 0.17063 | TOTAL 0.88338 | error 6.23 % | MAD 5.21 % | CV 3.99 % | coh 54.8 % | dominant X | axis fraction 100.0 % | IN TARGET BAND</x:v>
      </x:c>
      <x:c r="C6404" t="str">
        <x:v>Pasted text(59).txt</x:v>
      </x:c>
    </x:row>
    <x:row r="6405">
      <x:c r="A6405" t="n">
        <x:v>2375</x:v>
      </x:c>
      <x:c r="B6405" s="58" t="str"/>
      <x:c r="C6405" t="str">
        <x:v>Pasted text(59).txt</x:v>
      </x:c>
    </x:row>
    <x:row r="6406">
      <x:c r="A6406" t="n">
        <x:v>2376</x:v>
      </x:c>
      <x:c r="B6406" s="58" t="str">
        <x:v>HOLD SUMMARY</x:v>
      </x:c>
      <x:c r="C6406" t="str">
        <x:v>Pasted text(59).txt</x:v>
      </x:c>
    </x:row>
    <x:row r="6407">
      <x:c r="A6407" t="n">
        <x:v>2377</x:v>
      </x:c>
      <x:c r="B6407" s="58" t="str">
        <x:v>Valid / requested: 10 / 10</x:v>
      </x:c>
      <x:c r="C6407" t="str">
        <x:v>Pasted text(59).txt</x:v>
      </x:c>
    </x:row>
    <x:row r="6408">
      <x:c r="A6408" t="n">
        <x:v>2378</x:v>
      </x:c>
      <x:c r="B6408" s="58" t="str">
        <x:v>In band / requested: 9 / 10 = 90.0 %</x:v>
      </x:c>
      <x:c r="C6408" t="str">
        <x:v>Pasted text(59).txt</x:v>
      </x:c>
    </x:row>
    <x:row r="6409">
      <x:c r="A6409" t="n">
        <x:v>2379</x:v>
      </x:c>
      <x:c r="B6409" s="58" t="str">
        <x:v>Mean / SD / CV: 0.78512 / 0.02037 / 2.59 %</x:v>
      </x:c>
      <x:c r="C6409" t="str">
        <x:v>Pasted text(59).txt</x:v>
      </x:c>
    </x:row>
    <x:row r="6410">
      <x:c r="A6410" t="n">
        <x:v>2380</x:v>
      </x:c>
      <x:c r="B6410" s="58" t="str">
        <x:v>Min / Max: 0.74748 / 0.81971</x:v>
      </x:c>
      <x:c r="C6410" t="str">
        <x:v>Pasted text(59).txt</x:v>
      </x:c>
    </x:row>
    <x:row r="6411">
      <x:c r="A6411" t="n">
        <x:v>2381</x:v>
      </x:c>
      <x:c r="B6411" s="58" t="str">
        <x:v>HOLD RESULT: PASS</x:v>
      </x:c>
      <x:c r="C6411" t="str">
        <x:v>Pasted text(59).txt</x:v>
      </x:c>
    </x:row>
    <x:row r="6412">
      <x:c r="A6412" t="n">
        <x:v>2382</x:v>
      </x:c>
      <x:c r="B6412" s="58" t="str"/>
      <x:c r="C6412" t="str">
        <x:v>Pasted text(59).txt</x:v>
      </x:c>
    </x:row>
    <x:row r="6413">
      <x:c r="A6413" t="n">
        <x:v>2383</x:v>
      </x:c>
      <x:c r="B6413" s="58" t="str">
        <x:v>RUN RESULT: PASS</x:v>
      </x:c>
      <x:c r="C6413" t="str">
        <x:v>Pasted text(59).txt</x:v>
      </x:c>
    </x:row>
    <x:row r="6414">
      <x:c r="A6414" t="n">
        <x:v>2384</x:v>
      </x:c>
      <x:c r="B6414" s="58" t="str">
        <x:v>Selected DAC: 3.00</x:v>
      </x:c>
      <x:c r="C6414" t="str">
        <x:v>Pasted text(59).txt</x:v>
      </x:c>
    </x:row>
    <x:row r="6415">
      <x:c r="A6415" t="n">
        <x:v>2385</x:v>
      </x:c>
      <x:c r="B6415" s="58" t="str">
        <x:v>Validated amplitude: 0.79475 m/s^2 | error 5.97 %</x:v>
      </x:c>
      <x:c r="C6415" t="str">
        <x:v>Pasted text(59).txt</x:v>
      </x:c>
    </x:row>
    <x:row r="6416">
      <x:c r="A6416" t="n">
        <x:v>2386</x:v>
      </x:c>
      <x:c r="B6416" s="58" t="str">
        <x:v>FFT frequency: 268.77822 Hz | difference -0.02177 Hz</x:v>
      </x:c>
      <x:c r="C6416" t="str">
        <x:v>Pasted text(59).txt</x:v>
      </x:c>
    </x:row>
    <x:row r="6417">
      <x:c r="A6417" t="n">
        <x:v>2387</x:v>
      </x:c>
      <x:c r="B6417" s="58" t="str"/>
      <x:c r="C6417" t="str">
        <x:v>Pasted text(59).txt</x:v>
      </x:c>
    </x:row>
    <x:row r="6418">
      <x:c r="A6418" t="n">
        <x:v>2388</x:v>
      </x:c>
      <x:c r="B6418" s="58" t="str">
        <x:v>================================================================================</x:v>
      </x:c>
      <x:c r="C6418" t="str">
        <x:v>Pasted text(59).txt</x:v>
      </x:c>
    </x:row>
    <x:row r="6419">
      <x:c r="A6419" t="n">
        <x:v>2389</x:v>
      </x:c>
      <x:c r="B6419" s="58" t="str">
        <x:v>FINAL REPEATED TARGET-AMPLITUDE VALIDATION SUMMARY</x:v>
      </x:c>
      <x:c r="C6419" t="str">
        <x:v>Pasted text(59).txt</x:v>
      </x:c>
    </x:row>
    <x:row r="6420">
      <x:c r="A6420" t="n">
        <x:v>2390</x:v>
      </x:c>
      <x:c r="B6420" s="58" t="str">
        <x:v>================================================================================</x:v>
      </x:c>
      <x:c r="C6420" t="str">
        <x:v>Pasted text(59).txt</x:v>
      </x:c>
    </x:row>
    <x:row r="6421">
      <x:c r="A6421" t="n">
        <x:v>2391</x:v>
      </x:c>
      <x:c r="B6421" s="58" t="str">
        <x:v>Run,Pass,Selected_DAC,Validated_Amp,Error_pct,FFT_Hz,FFT_Diff_Hz,FFT_SNR_dB,Hold_Mean,Hold_CV_pct,Hold_InBand_pct,Reason</x:v>
      </x:c>
      <x:c r="C6421" t="str">
        <x:v>Pasted text(59).txt</x:v>
      </x:c>
    </x:row>
    <x:row r="6422">
      <x:c r="A6422" t="n">
        <x:v>2392</x:v>
      </x:c>
      <x:c r="B6422" s="58" t="str">
        <x:v>1,FAIL,0.00,0.00000,0.00,0.00000,0.00000,0.00,0.00000,0.00,0.0,X target exceeded at first reliable DAC; reduce amplifier knob</x:v>
      </x:c>
      <x:c r="C6422" t="str">
        <x:v>Pasted text(59).txt</x:v>
      </x:c>
    </x:row>
    <x:row r="6423">
      <x:c r="A6423" t="n">
        <x:v>2393</x:v>
      </x:c>
      <x:c r="B6423" s="58" t="str">
        <x:v>2,PASS,3.25,0.75615,0.82,268.78334,-0.01664,21.50,0.74509,1.80,100.0,PASS</x:v>
      </x:c>
      <x:c r="C6423" t="str">
        <x:v>Pasted text(59).txt</x:v>
      </x:c>
    </x:row>
    <x:row r="6424">
      <x:c r="A6424" t="n">
        <x:v>2394</x:v>
      </x:c>
      <x:c r="B6424" s="58" t="str">
        <x:v>3,FAIL,0.00,0.00000,0.00,0.00000,0.00000,0.00,0.00000,0.00,0.0,No repeatable in-band X point in local 0.25-DAC scan</x:v>
      </x:c>
      <x:c r="C6424" t="str">
        <x:v>Pasted text(59).txt</x:v>
      </x:c>
    </x:row>
    <x:row r="6425">
      <x:c r="A6425" t="n">
        <x:v>2395</x:v>
      </x:c>
      <x:c r="B6425" s="58" t="str">
        <x:v>4,PASS,3.00,0.78606,4.81,268.78258,-0.01741,20.80,0.78249,2.02,100.0,PASS</x:v>
      </x:c>
      <x:c r="C6425" t="str">
        <x:v>Pasted text(59).txt</x:v>
      </x:c>
    </x:row>
    <x:row r="6426">
      <x:c r="A6426" t="n">
        <x:v>2396</x:v>
      </x:c>
      <x:c r="B6426" s="58" t="str">
        <x:v>5,PASS,3.00,0.79475,5.97,268.77822,-0.02177,20.60,0.78512,2.59,90.0,PASS</x:v>
      </x:c>
      <x:c r="C6426" t="str">
        <x:v>Pasted text(59).txt</x:v>
      </x:c>
    </x:row>
    <x:row r="6427">
      <x:c r="A6427" t="n">
        <x:v>2397</x:v>
      </x:c>
      <x:c r="B6427" s="58" t="str">
        <x:v>--------------------------------------------------------------------------------</x:v>
      </x:c>
      <x:c r="C6427" t="str">
        <x:v>Pasted text(59).txt</x:v>
      </x:c>
    </x:row>
    <x:row r="6428">
      <x:c r="A6428" t="n">
        <x:v>2398</x:v>
      </x:c>
      <x:c r="B6428" s="58" t="str">
        <x:v>Successful independent runs: 3 / 5</x:v>
      </x:c>
      <x:c r="C6428" t="str">
        <x:v>Pasted text(59).txt</x:v>
      </x:c>
    </x:row>
    <x:row r="6429">
      <x:c r="A6429" t="n">
        <x:v>2399</x:v>
      </x:c>
      <x:c r="B6429" s="58" t="str">
        <x:v>Validated amplitude mean +/- SD: 0.77899 +/- 0.02025 m/s^2 peak</x:v>
      </x:c>
      <x:c r="C6429" t="str">
        <x:v>Pasted text(59).txt</x:v>
      </x:c>
    </x:row>
    <x:row r="6430">
      <x:c r="A6430" t="n">
        <x:v>2400</x:v>
      </x:c>
      <x:c r="B6430" s="58" t="str">
        <x:v>Across-run amplitude CV: 2.60 %</x:v>
      </x:c>
      <x:c r="C6430" t="str">
        <x:v>Pasted text(59).txt</x:v>
      </x:c>
    </x:row>
    <x:row r="6431">
      <x:c r="A6431" t="n">
        <x:v>2401</x:v>
      </x:c>
      <x:c r="B6431" s="58" t="str">
        <x:v>Maximum absolute target error: 5.97 %</x:v>
      </x:c>
      <x:c r="C6431" t="str">
        <x:v>Pasted text(59).txt</x:v>
      </x:c>
    </x:row>
    <x:row r="6432">
      <x:c r="A6432" t="n">
        <x:v>2402</x:v>
      </x:c>
      <x:c r="B6432" s="58" t="str">
        <x:v>FFT frequency mean +/- SD: 268.78138 +/- 0.00276 Hz</x:v>
      </x:c>
      <x:c r="C6432" t="str">
        <x:v>Pasted text(59).txt</x:v>
      </x:c>
    </x:row>
    <x:row r="6433">
      <x:c r="A6433" t="n">
        <x:v>2403</x:v>
      </x:c>
      <x:c r="B6433" s="58" t="str">
        <x:v>Selected DAC range: 3.00 to 3.25</x:v>
      </x:c>
      <x:c r="C6433" t="str">
        <x:v>Pasted text(59).txt</x:v>
      </x:c>
    </x:row>
    <x:row r="6434">
      <x:c r="A6434" t="n">
        <x:v>2404</x:v>
      </x:c>
      <x:c r="B6434" s="58" t="str">
        <x:v>Average hold records in target band: 96.7 %</x:v>
      </x:c>
      <x:c r="C6434" t="str">
        <x:v>Pasted text(59).txt</x:v>
      </x:c>
    </x:row>
    <x:row r="6435">
      <x:c r="A6435" t="n">
        <x:v>2405</x:v>
      </x:c>
      <x:c r="B6435" s="58" t="str">
        <x:v>OVERALL VERDICT: NOT YET REPRODUCIBLE ENOUGH FOR PHASE TESTING.</x:v>
      </x:c>
      <x:c r="C6435" t="str">
        <x:v>Pasted text(59).txt</x:v>
      </x:c>
    </x:row>
    <x:row r="6436">
      <x:c r="A6436" t="n">
        <x:v>2406</x:v>
      </x:c>
      <x:c r="B6436" s="58" t="str">
        <x:v>Fix the reported communication, actuator-response or hold-stability failure first.</x:v>
      </x:c>
      <x:c r="C6436" t="str">
        <x:v>Pasted text(59).txt</x:v>
      </x:c>
    </x:row>
    <x:row r="6437">
      <x:c r="A6437" t="n">
        <x:v>2407</x:v>
      </x:c>
      <x:c r="B6437" s="58" t="str"/>
      <x:c r="C6437" t="str">
        <x:v>Pasted text(59).txt</x:v>
      </x:c>
    </x:row>
    <x:row r="6438">
      <x:c r="A6438" t="n">
        <x:v>2408</x:v>
      </x:c>
      <x:c r="B6438" s="58" t="str">
        <x:v>Automatic test complete. Enter h for commands.</x:v>
      </x:c>
      <x:c r="C6438" t="str">
        <x:v>Pasted text(59).txt</x:v>
      </x:c>
    </x:row>
    <x:row r="6439">
      <x:c r="A6439" t="n">
        <x:v>2409</x:v>
      </x:c>
      <x:c r="B6439" s="58" t="str">
        <x:v>Frequency set to 268.00000 Hz.</x:v>
      </x:c>
      <x:c r="C6439" t="str">
        <x:v>Pasted text(59).txt</x:v>
      </x:c>
    </x:row>
    <x:row r="6440">
      <x:c r="A6440" t="n">
        <x:v>2410</x:v>
      </x:c>
      <x:c r="B6440" s="58" t="str">
        <x:v>Target amplitude set to 0.75000 m/s^2 peak.</x:v>
      </x:c>
      <x:c r="C6440" t="str">
        <x:v>Pasted text(59).txt</x:v>
      </x:c>
    </x:row>
    <x:row r="6441">
      <x:c r="A6441" t="n">
        <x:v>2411</x:v>
      </x:c>
      <x:c r="B6441" s="58" t="str"/>
      <x:c r="C6441" t="str">
        <x:v>Pasted text(59).txt</x:v>
      </x:c>
    </x:row>
    <x:row r="6442">
      <x:c r="A6442" t="n">
        <x:v>2412</x:v>
      </x:c>
      <x:c r="B6442" s="58" t="str">
        <x:v>================================================================================</x:v>
      </x:c>
      <x:c r="C6442" t="str">
        <x:v>Pasted text(59).txt</x:v>
      </x:c>
    </x:row>
    <x:row r="6443">
      <x:c r="A6443" t="n">
        <x:v>2413</x:v>
      </x:c>
      <x:c r="B6443" s="58" t="str">
        <x:v>REPEATED INDEPENDENT TARGET-AMPLITUDE VALIDATION STARTED</x:v>
      </x:c>
      <x:c r="C6443" t="str">
        <x:v>Pasted text(59).txt</x:v>
      </x:c>
    </x:row>
    <x:row r="6444">
      <x:c r="A6444" t="n">
        <x:v>2414</x:v>
      </x:c>
      <x:c r="B6444" s="58" t="str">
        <x:v>================================================================================</x:v>
      </x:c>
      <x:c r="C6444" t="str">
        <x:v>Pasted text(59).txt</x:v>
      </x:c>
    </x:row>
    <x:row r="6445">
      <x:c r="A6445" t="n">
        <x:v>2415</x:v>
      </x:c>
      <x:c r="B6445" s="58" t="str"/>
      <x:c r="C6445" t="str">
        <x:v>Pasted text(59).txt</x:v>
      </x:c>
    </x:row>
    <x:row r="6446">
      <x:c r="A6446" t="n">
        <x:v>2416</x:v>
      </x:c>
      <x:c r="B6446" s="58" t="str">
        <x:v>CURRENT SETTINGS</x:v>
      </x:c>
      <x:c r="C6446" t="str">
        <x:v>Pasted text(59).txt</x:v>
      </x:c>
    </x:row>
    <x:row r="6447">
      <x:c r="A6447" t="n">
        <x:v>2417</x:v>
      </x:c>
      <x:c r="B6447" s="58" t="str">
        <x:v>Frequency: 268.00000 Hz</x:v>
      </x:c>
      <x:c r="C6447" t="str">
        <x:v>Pasted text(59).txt</x:v>
      </x:c>
    </x:row>
    <x:row r="6448">
      <x:c r="A6448" t="n">
        <x:v>2418</x:v>
      </x:c>
      <x:c r="B6448" s="58" t="str">
        <x:v>Control axis: X ONLY (Y/Z diagnostic only)</x:v>
      </x:c>
      <x:c r="C6448" t="str">
        <x:v>Pasted text(59).txt</x:v>
      </x:c>
    </x:row>
    <x:row r="6449">
      <x:c r="A6449" t="n">
        <x:v>2419</x:v>
      </x:c>
      <x:c r="B6449" s="58" t="str">
        <x:v>Target peak amplitude: 0.75000 m/s^2</x:v>
      </x:c>
      <x:c r="C6449" t="str">
        <x:v>Pasted text(59).txt</x:v>
      </x:c>
    </x:row>
    <x:row r="6450">
      <x:c r="A6450" t="n">
        <x:v>2420</x:v>
      </x:c>
      <x:c r="B6450" s="58" t="str">
        <x:v>Tolerance: +/-7.50 %</x:v>
      </x:c>
      <x:c r="C6450" t="str">
        <x:v>Pasted text(59).txt</x:v>
      </x:c>
    </x:row>
    <x:row r="6451">
      <x:c r="A6451" t="n">
        <x:v>2421</x:v>
      </x:c>
      <x:c r="B6451" s="58" t="str">
        <x:v>Allowed amplitude band: 0.69375 to 0.80625 m/s^2 peak</x:v>
      </x:c>
      <x:c r="C6451" t="str">
        <x:v>Pasted text(59).txt</x:v>
      </x:c>
    </x:row>
    <x:row r="6452">
      <x:c r="A6452" t="n">
        <x:v>2422</x:v>
      </x:c>
      <x:c r="B6452" s="58" t="str">
        <x:v>Independent runs: 5</x:v>
      </x:c>
      <x:c r="C6452" t="str">
        <x:v>Pasted text(59).txt</x:v>
      </x:c>
    </x:row>
    <x:row r="6453">
      <x:c r="A6453" t="n">
        <x:v>2423</x:v>
      </x:c>
      <x:c r="B6453" s="58" t="str">
        <x:v>Hold records per run: 10</x:v>
      </x:c>
      <x:c r="C6453" t="str">
        <x:v>Pasted text(59).txt</x:v>
      </x:c>
    </x:row>
    <x:row r="6454">
      <x:c r="A6454" t="n">
        <x:v>2424</x:v>
      </x:c>
      <x:c r="B6454" s="58" t="str">
        <x:v>DAC search range/resolution: 1.00 to 30.00 / 0.25</x:v>
      </x:c>
      <x:c r="C6454" t="str">
        <x:v>Pasted text(59).txt</x:v>
      </x:c>
    </x:row>
    <x:row r="6455">
      <x:c r="A6455" t="n">
        <x:v>2425</x:v>
      </x:c>
      <x:c r="B6455" s="58" t="str">
        <x:v>FFT bin resolution: 1.56250 Hz; accepted command-to-bin difference &lt;= 2.00 Hz</x:v>
      </x:c>
      <x:c r="C6455" t="str">
        <x:v>Pasted text(59).txt</x:v>
      </x:c>
    </x:row>
    <x:row r="6456">
      <x:c r="A6456" t="n">
        <x:v>2426</x:v>
      </x:c>
      <x:c r="B6456" s="58" t="str">
        <x:v>Every run starts from DAC 1.00. Different selected DACs are allowed.</x:v>
      </x:c>
      <x:c r="C6456" t="str">
        <x:v>Pasted text(59).txt</x:v>
      </x:c>
    </x:row>
    <x:row r="6457">
      <x:c r="A6457" t="n">
        <x:v>2427</x:v>
      </x:c>
      <x:c r="B6457" s="58" t="str">
        <x:v>The accepted result is X-axis amplitude and X-axis frequency, not DAC.</x:v>
      </x:c>
      <x:c r="C6457" t="str">
        <x:v>Pasted text(59).txt</x:v>
      </x:c>
    </x:row>
    <x:row r="6458">
      <x:c r="A6458" t="n">
        <x:v>2428</x:v>
      </x:c>
      <x:c r="B6458" s="58" t="str"/>
      <x:c r="C6458" t="str">
        <x:v>Pasted text(59).txt</x:v>
      </x:c>
    </x:row>
    <x:row r="6459">
      <x:c r="A6459" t="n">
        <x:v>2429</x:v>
      </x:c>
      <x:c r="B6459" s="58" t="str">
        <x:v>################################################################################</x:v>
      </x:c>
      <x:c r="C6459" t="str">
        <x:v>Pasted text(59).txt</x:v>
      </x:c>
    </x:row>
    <x:row r="6460">
      <x:c r="A6460" t="n">
        <x:v>2430</x:v>
      </x:c>
      <x:c r="B6460" s="58" t="str">
        <x:v>INDEPENDENT TARGET-AMPLITUDE RUN 1 OF 5</x:v>
      </x:c>
      <x:c r="C6460" t="str">
        <x:v>Pasted text(59).txt</x:v>
      </x:c>
    </x:row>
    <x:row r="6461">
      <x:c r="A6461" t="n">
        <x:v>2431</x:v>
      </x:c>
      <x:c r="B6461" s="58" t="str">
        <x:v>################################################################################</x:v>
      </x:c>
      <x:c r="C6461" t="str">
        <x:v>Pasted text(59).txt</x:v>
      </x:c>
    </x:row>
    <x:row r="6462">
      <x:c r="A6462" t="n">
        <x:v>2432</x:v>
      </x:c>
      <x:c r="B6462" s="58" t="str">
        <x:v>Frequency: 268.00000 Hz</x:v>
      </x:c>
      <x:c r="C6462" t="str">
        <x:v>Pasted text(59).txt</x:v>
      </x:c>
    </x:row>
    <x:row r="6463">
      <x:c r="A6463" t="n">
        <x:v>2433</x:v>
      </x:c>
      <x:c r="B6463" s="58" t="str">
        <x:v>Target X amplitude: 0.75000 m/s^2 peak, tolerance +/-7.50 %</x:v>
      </x:c>
      <x:c r="C6463" t="str">
        <x:v>Pasted text(59).txt</x:v>
      </x:c>
    </x:row>
    <x:row r="6464">
      <x:c r="A6464" t="n">
        <x:v>2434</x:v>
      </x:c>
      <x:c r="B6464" s="58" t="str">
        <x:v>This run starts from DAC 1.00 and ignores every earlier selected DAC.</x:v>
      </x:c>
      <x:c r="C6464" t="str">
        <x:v>Pasted text(59).txt</x:v>
      </x:c>
    </x:row>
    <x:row r="6465">
      <x:c r="A6465" t="n">
        <x:v>2435</x:v>
      </x:c>
      <x:c r="B6465" s="58" t="str">
        <x:v>ADXL2 DEVID/DATA_FORMAT/BW_RATE/POWER_CTL: 0xE5 / 0xB / 0xE / 0x8</x:v>
      </x:c>
      <x:c r="C6465" t="str">
        <x:v>Pasted text(59).txt</x:v>
      </x:c>
    </x:row>
    <x:row r="6466">
      <x:c r="A6466" t="n">
        <x:v>2436</x:v>
      </x:c>
      <x:c r="B6466" s="58" t="str"/>
      <x:c r="C6466" t="str">
        <x:v>Pasted text(59).txt</x:v>
      </x:c>
    </x:row>
    <x:row r="6467">
      <x:c r="A6467" t="n">
        <x:v>2437</x:v>
      </x:c>
      <x:c r="B6467" s="58" t="str">
        <x:v>ACQUISITION ATTEMPT 1 OF 2</x:v>
      </x:c>
      <x:c r="C6467" t="str">
        <x:v>Pasted text(59).txt</x:v>
      </x:c>
    </x:row>
    <x:row r="6468">
      <x:c r="A6468" t="n">
        <x:v>2438</x:v>
      </x:c>
      <x:c r="B6468" s="58" t="str"/>
      <x:c r="C6468" t="str">
        <x:v>Pasted text(59).txt</x:v>
      </x:c>
    </x:row>
    <x:row r="6469">
      <x:c r="A6469" t="n">
        <x:v>2439</x:v>
      </x:c>
      <x:c r="B6469" s="58" t="str">
        <x:v>FRESH X-AXIS SEARCH FROM DAC 1.00 — OLD DAC VALUES ARE NOT USED</x:v>
      </x:c>
      <x:c r="C6469" t="str">
        <x:v>Pasted text(59).txt</x:v>
      </x:c>
    </x:row>
    <x:row r="6470">
      <x:c r="A6470" t="n">
        <x:v>2440</x:v>
      </x:c>
      <x:c r="B6470" s="58" t="str">
        <x:v>Y/Z are diagnostic only and cannot abort this search.</x:v>
      </x:c>
      <x:c r="C6470" t="str">
        <x:v>Pasted text(59).txt</x:v>
      </x:c>
    </x:row>
    <x:row r="6471">
      <x:c r="A6471" t="n">
        <x:v>2441</x:v>
      </x:c>
      <x:c r="B6471" s="58" t="str">
        <x:v>A real SPI fault, clipping, safety limit or confirmed X-response collapse will stop it.</x:v>
      </x:c>
      <x:c r="C6471" t="str">
        <x:v>Pasted text(59).txt</x:v>
      </x:c>
    </x:row>
    <x:row r="6472">
      <x:c r="A6472" t="n">
        <x:v>2442</x:v>
      </x:c>
      <x:c r="B6472" s="58" t="str">
        <x:v>SEARCH | point 1 | DAC 1.00 | CTRL X 0.02587 | X 0.02826 | Y 0.02294 | Z 0.02023 | TOTAL 0.04341 | error -96.55 % | MAD 27.32 % | CV 11.93 % | coh 11.4 % | dominant X | axis fraction 100.0 % | BELOW MEASUREMENT FLOOR — SEARCH CONTINUES</x:v>
      </x:c>
      <x:c r="C6472" t="str">
        <x:v>Pasted text(59).txt</x:v>
      </x:c>
    </x:row>
    <x:row r="6473">
      <x:c r="A6473" t="n">
        <x:v>2443</x:v>
      </x:c>
      <x:c r="B6473" s="58" t="str">
        <x:v>SEARCH | point 2 | DAC 3.00 | CTRL X 0.24728 | X 0.23966 | Y 0.10075 | Z 0.08776 | TOTAL 0.27475 | error -67.03 % | MAD 0.65 % | CV 5.90 % | coh 48.4 % | dominant X | axis fraction 100.0 % | UNSTABLE — SEARCH CONTINUES</x:v>
      </x:c>
      <x:c r="C6473" t="str">
        <x:v>Pasted text(59).txt</x:v>
      </x:c>
    </x:row>
    <x:row r="6474">
      <x:c r="A6474" t="n">
        <x:v>2444</x:v>
      </x:c>
      <x:c r="B6474" s="58" t="str">
        <x:v>SEARCH | point 3 | DAC 4.00 | CTRL X 0.39421 | X 0.39306 | Y 0.13242 | Z 0.13163 | TOTAL 0.43555 | error -47.44 % | MAD 0.80 % | CV 1.01 % | coh 66.9 % | dominant X | axis fraction 100.0 % | VALID</x:v>
      </x:c>
      <x:c r="C6474" t="str">
        <x:v>Pasted text(59).txt</x:v>
      </x:c>
    </x:row>
    <x:row r="6475">
      <x:c r="A6475" t="n">
        <x:v>2445</x:v>
      </x:c>
      <x:c r="B6475" s="58" t="str">
        <x:v>SEARCH | point 4 | DAC 5.00 | CTRL X 0.53913 | X 0.53268 | Y 0.21602 | Z 0.16352 | TOTAL 0.59811 | error -28.12 % | MAD 0.56 % | CV 2.44 % | coh 75.9 % | dominant X | axis fraction 100.0 % | VALID</x:v>
      </x:c>
      <x:c r="C6475" t="str">
        <x:v>Pasted text(59).txt</x:v>
      </x:c>
    </x:row>
    <x:row r="6476">
      <x:c r="A6476" t="n">
        <x:v>2446</x:v>
      </x:c>
      <x:c r="B6476" s="58" t="str">
        <x:v>SEARCH | point 5 | DAC 5.50 | CTRL X 0.55697 | X 0.56435 | Y 0.21242 | Z 0.17020 | TOTAL 0.62706 | error -25.74 % | MAD 0.75 % | CV 2.71 % | coh 81.6 % | dominant X | axis fraction 100.0 % | VALID</x:v>
      </x:c>
      <x:c r="C6476" t="str">
        <x:v>Pasted text(59).txt</x:v>
      </x:c>
    </x:row>
    <x:row r="6477">
      <x:c r="A6477" t="n">
        <x:v>2447</x:v>
      </x:c>
      <x:c r="B6477" s="58" t="str">
        <x:v>SEARCH | point 6 | DAC 6.00 | CTRL X 0.66488 | X 0.66365 | Y 0.25763 | Z 0.20403 | TOTAL 0.74075 | error -11.35 % | MAD 0.50 % | CV 0.64 % | coh 79.8 % | dominant X | axis fraction 100.0 % | VALID</x:v>
      </x:c>
      <x:c r="C6477" t="str">
        <x:v>Pasted text(59).txt</x:v>
      </x:c>
    </x:row>
    <x:row r="6478">
      <x:c r="A6478" t="n">
        <x:v>2448</x:v>
      </x:c>
      <x:c r="B6478" s="58" t="str">
        <x:v>SEARCH | point 7 | DAC 6.25 | CTRL X 0.70174 | X 0.69557 | Y 0.27603 | Z 0.20864 | TOTAL 0.77728 | error -6.44 % | MAD 0.57 % | CV 1.88 % | coh 83.1 % | dominant X | axis fraction 100.0 % | IN TARGET BAND</x:v>
      </x:c>
      <x:c r="C6478" t="str">
        <x:v>Pasted text(59).txt</x:v>
      </x:c>
    </x:row>
    <x:row r="6479">
      <x:c r="A6479" t="n">
        <x:v>2449</x:v>
      </x:c>
      <x:c r="B6479" s="58" t="str"/>
      <x:c r="C6479" t="str">
        <x:v>Pasted text(59).txt</x:v>
      </x:c>
    </x:row>
    <x:row r="6480">
      <x:c r="A6480" t="n">
        <x:v>2450</x:v>
      </x:c>
      <x:c r="B6480" s="58" t="str">
        <x:v>LOCAL 0.25-DAC X-AXIS FINE SCAN</x:v>
      </x:c>
      <x:c r="C6480" t="str">
        <x:v>Pasted text(59).txt</x:v>
      </x:c>
    </x:row>
    <x:row r="6481">
      <x:c r="A6481" t="n">
        <x:v>2451</x:v>
      </x:c>
      <x:c r="B6481" s="58" t="str">
        <x:v>Only a valid point actually inside the X target band may be selected.</x:v>
      </x:c>
      <x:c r="C6481" t="str">
        <x:v>Pasted text(59).txt</x:v>
      </x:c>
    </x:row>
    <x:row r="6482">
      <x:c r="A6482" t="n">
        <x:v>2452</x:v>
      </x:c>
      <x:c r="B6482" s="58" t="str">
        <x:v>FINE | point 1 | DAC 5.25 | CTRL X 0.54256 | X 0.54747 | Y 0.22874 | Z 0.17533 | TOTAL 0.61903 | error -27.66 % | MAD 1.53 % | CV 2.49 % | coh 78.9 % | dominant X | axis fraction 100.0 % | VALID</x:v>
      </x:c>
      <x:c r="C6482" t="str">
        <x:v>Pasted text(59).txt</x:v>
      </x:c>
    </x:row>
    <x:row r="6483">
      <x:c r="A6483" t="n">
        <x:v>2453</x:v>
      </x:c>
      <x:c r="B6483" s="58" t="str">
        <x:v>FINE | point 2 | DAC 5.50 | CTRL X 0.57497 | X 0.57263 | Y 0.22316 | Z 0.15061 | TOTAL 0.63348 | error -23.34 % | MAD 0.22 % | CV 0.84 % | coh 82.9 % | dominant X | axis fraction 100.0 % | VALID</x:v>
      </x:c>
      <x:c r="C6483" t="str">
        <x:v>Pasted text(59).txt</x:v>
      </x:c>
    </x:row>
    <x:row r="6484">
      <x:c r="A6484" t="n">
        <x:v>2454</x:v>
      </x:c>
      <x:c r="B6484" s="58" t="str">
        <x:v>FINE | point 3 | DAC 5.75 | CTRL X 0.66643 | X 0.65567 | Y 0.24292 | Z 0.19819 | TOTAL 0.72697 | error -11.14 % | MAD 0.11 % | CV 2.91 % | coh 80.6 % | dominant X | axis fraction 100.0 % | VALID</x:v>
      </x:c>
      <x:c r="C6484" t="str">
        <x:v>Pasted text(59).txt</x:v>
      </x:c>
    </x:row>
    <x:row r="6485">
      <x:c r="A6485" t="n">
        <x:v>2455</x:v>
      </x:c>
      <x:c r="B6485" s="58" t="str">
        <x:v>FINE | point 4 | DAC 6.00 | CTRL X 0.66618 | X 0.66822 | Y 0.25775 | Z 0.16649 | TOTAL 0.73561 | error -11.18 % | MAD 2.95 % | CV 2.46 % | coh 80.1 % | dominant X | axis fraction 100.0 % | VALID</x:v>
      </x:c>
      <x:c r="C6485" t="str">
        <x:v>Pasted text(59).txt</x:v>
      </x:c>
    </x:row>
    <x:row r="6486">
      <x:c r="A6486" t="n">
        <x:v>2456</x:v>
      </x:c>
      <x:c r="B6486" s="58" t="str">
        <x:v>FINE | point 5 | DAC 6.25 | CTRL X 0.70112 | X 0.70585 | Y 0.28196 | Z 0.18722 | TOTAL 0.78339 | error -6.52 % | MAD 1.59 % | CV 2.15 % | coh 84.1 % | dominant X | axis fraction 100.0 % | IN TARGET BAND</x:v>
      </x:c>
      <x:c r="C6486" t="str">
        <x:v>Pasted text(59).txt</x:v>
      </x:c>
    </x:row>
    <x:row r="6487">
      <x:c r="A6487" t="n">
        <x:v>2457</x:v>
      </x:c>
      <x:c r="B6487" s="58" t="str">
        <x:v>FINE | point 6 | DAC 6.50 | CTRL X 0.70945 | X 0.71507 | Y 0.28359 | Z 0.18260 | TOTAL 0.79103 | error -5.41 % | MAD 1.72 % | CV 2.42 % | coh 84.0 % | dominant X | axis fraction 100.0 % | IN TARGET BAND</x:v>
      </x:c>
      <x:c r="C6487" t="str">
        <x:v>Pasted text(59).txt</x:v>
      </x:c>
    </x:row>
    <x:row r="6488">
      <x:c r="A6488" t="n">
        <x:v>2458</x:v>
      </x:c>
      <x:c r="B6488" s="58" t="str">
        <x:v>FINE | point 7 | DAC 6.75 | CTRL X 0.78909 | X 0.79233 | Y 0.30813 | Z 0.22022 | TOTAL 0.87831 | error 5.21 % | MAD 3.65 % | CV 3.09 % | coh 83.1 % | dominant X | axis fraction 100.0 % | IN TARGET BAND</x:v>
      </x:c>
      <x:c r="C6488" t="str">
        <x:v>Pasted text(59).txt</x:v>
      </x:c>
    </x:row>
    <x:row r="6489">
      <x:c r="A6489" t="n">
        <x:v>2459</x:v>
      </x:c>
      <x:c r="B6489" s="58" t="str">
        <x:v>FINE | point 8 | DAC 7.00 | CTRL X 0.80478 | X 0.79968 | Y 0.33105 | Z 0.22357 | TOTAL 0.89413 | error 7.30 % | MAD 0.93 % | CV 1.68 % | coh 85.4 % | dominant X | axis fraction 100.0 % | IN TARGET BAND</x:v>
      </x:c>
      <x:c r="C6489" t="str">
        <x:v>Pasted text(59).txt</x:v>
      </x:c>
    </x:row>
    <x:row r="6490">
      <x:c r="A6490" t="n">
        <x:v>2460</x:v>
      </x:c>
      <x:c r="B6490" s="58" t="str">
        <x:v>FINE | point 9 | DAC 7.25 | CTRL X 0.83797 | X 0.83253 | Y 0.32250 | Z 0.26111 | TOTAL 0.93045 | error 11.73 % | MAD 4.67 % | CV 4.19 % | coh 86.8 % | dominant X | axis fraction 100.0 % | VALID</x:v>
      </x:c>
      <x:c r="C6490" t="str">
        <x:v>Pasted text(59).txt</x:v>
      </x:c>
    </x:row>
    <x:row r="6491">
      <x:c r="A6491" t="n">
        <x:v>2461</x:v>
      </x:c>
      <x:c r="B6491" s="58" t="str"/>
      <x:c r="C6491" t="str">
        <x:v>Pasted text(59).txt</x:v>
      </x:c>
    </x:row>
    <x:row r="6492">
      <x:c r="A6492" t="n">
        <x:v>2462</x:v>
      </x:c>
      <x:c r="B6492" s="58" t="str">
        <x:v>LONG VALIDATION AT FIXED DAC 6.50</x:v>
      </x:c>
      <x:c r="C6492" t="str">
        <x:v>Pasted text(59).txt</x:v>
      </x:c>
    </x:row>
    <x:row r="6493">
      <x:c r="A6493" t="n">
        <x:v>2463</x:v>
      </x:c>
      <x:c r="B6493" s="58" t="str">
        <x:v>FINAL | point 1 | DAC 6.50 | CTRL X 0.68121 | X 0.68627 | Y 0.29094 | Z 0.19550 | TOTAL 0.77077 | error -9.17 % | MAD 1.16 % | CV 1.98 % | coh 81.7 % | dominant X | axis fraction 100.0 % | VALID</x:v>
      </x:c>
      <x:c r="C6493" t="str">
        <x:v>Pasted text(59).txt</x:v>
      </x:c>
    </x:row>
    <x:row r="6494">
      <x:c r="A6494" t="n">
        <x:v>2464</x:v>
      </x:c>
      <x:c r="B6494" s="58" t="str">
        <x:v>FINAL | point 2 | DAC 6.50 | CTRL X 0.71155 | X 0.70977 | Y 0.27474 | Z 0.20946 | TOTAL 0.78955 | error -5.13 % | MAD 1.46 % | CV 1.57 % | coh 85.0 % | dominant X | axis fraction 100.0 % | IN TARGET BAND</x:v>
      </x:c>
      <x:c r="C6494" t="str">
        <x:v>Pasted text(59).txt</x:v>
      </x:c>
    </x:row>
    <x:row r="6495">
      <x:c r="A6495" t="n">
        <x:v>2465</x:v>
      </x:c>
      <x:c r="B6495" s="58" t="str">
        <x:v>FINAL | point 3 | DAC 6.50 | CTRL X 0.69308 | X 0.69067 | Y 0.28083 | Z 0.21977 | TOTAL 0.77793 | error -7.59 % | MAD 1.68 % | CV 1.73 % | coh 83.0 % | dominant X | axis fraction 100.0 % | VALID</x:v>
      </x:c>
      <x:c r="C6495" t="str">
        <x:v>Pasted text(59).txt</x:v>
      </x:c>
    </x:row>
    <x:row r="6496">
      <x:c r="A6496" t="n">
        <x:v>2466</x:v>
      </x:c>
      <x:c r="B6496" s="58" t="str"/>
      <x:c r="C6496" t="str">
        <x:v>Pasted text(59).txt</x:v>
      </x:c>
    </x:row>
    <x:row r="6497">
      <x:c r="A6497" t="n">
        <x:v>2467</x:v>
      </x:c>
      <x:c r="B6497" s="58" t="str">
        <x:v>ACQUISITION ATTEMPT 2 OF 2</x:v>
      </x:c>
      <x:c r="C6497" t="str">
        <x:v>Pasted text(59).txt</x:v>
      </x:c>
    </x:row>
    <x:row r="6498">
      <x:c r="A6498" t="n">
        <x:v>2468</x:v>
      </x:c>
      <x:c r="B6498" s="58" t="str"/>
      <x:c r="C6498" t="str">
        <x:v>Pasted text(59).txt</x:v>
      </x:c>
    </x:row>
    <x:row r="6499">
      <x:c r="A6499" t="n">
        <x:v>2469</x:v>
      </x:c>
      <x:c r="B6499" s="58" t="str">
        <x:v>FRESH X-AXIS SEARCH FROM DAC 1.00 — OLD DAC VALUES ARE NOT USED</x:v>
      </x:c>
      <x:c r="C6499" t="str">
        <x:v>Pasted text(59).txt</x:v>
      </x:c>
    </x:row>
    <x:row r="6500">
      <x:c r="A6500" t="n">
        <x:v>2470</x:v>
      </x:c>
      <x:c r="B6500" s="58" t="str">
        <x:v>Y/Z are diagnostic only and cannot abort this search.</x:v>
      </x:c>
      <x:c r="C6500" t="str">
        <x:v>Pasted text(59).txt</x:v>
      </x:c>
    </x:row>
    <x:row r="6501">
      <x:c r="A6501" t="n">
        <x:v>2471</x:v>
      </x:c>
      <x:c r="B6501" s="58" t="str">
        <x:v>A real SPI fault, clipping, safety limit or confirmed X-response collapse will stop it.</x:v>
      </x:c>
      <x:c r="C6501" t="str">
        <x:v>Pasted text(59).txt</x:v>
      </x:c>
    </x:row>
    <x:row r="6502">
      <x:c r="A6502" t="n">
        <x:v>2472</x:v>
      </x:c>
      <x:c r="B6502" s="58" t="str">
        <x:v>SEARCH | point 1 | DAC 1.00 | CTRL X 0.00860 | X 0.00868 | Y 0.02495 | Z 0.03590 | TOTAL 0.04849 | error -98.85 % | MAD 36.09 % | CV 25.62 % | coh 3.4 % | dominant Z | axis fraction 24.2 % | BELOW MEASUREMENT FLOOR — SEARCH CONTINUES</x:v>
      </x:c>
      <x:c r="C6502" t="str">
        <x:v>Pasted text(59).txt</x:v>
      </x:c>
    </x:row>
    <x:row r="6503">
      <x:c r="A6503" t="n">
        <x:v>2473</x:v>
      </x:c>
      <x:c r="B6503" s="58" t="str">
        <x:v>SEARCH | point 2 | DAC 3.00 | CTRL X 0.26967 | X 0.25976 | Y 0.08899 | Z 0.08786 | TOTAL 0.28922 | error -64.04 % | MAD 5.40 % | CV 10.06 % | coh 51.3 % | dominant X | axis fraction 100.0 % | UNSTABLE — SEARCH CONTINUES</x:v>
      </x:c>
      <x:c r="C6503" t="str">
        <x:v>Pasted text(59).txt</x:v>
      </x:c>
    </x:row>
    <x:row r="6504">
      <x:c r="A6504" t="n">
        <x:v>2474</x:v>
      </x:c>
      <x:c r="B6504" s="58" t="str">
        <x:v>SEARCH | point 3 | DAC 4.00 | CTRL X 0.37840 | X 0.37636 | Y 0.16211 | Z 0.12971 | TOTAL 0.43116 | error -49.55 % | MAD 3.87 % | CV 3.47 % | coh 66.3 % | dominant X | axis fraction 100.0 % | VALID</x:v>
      </x:c>
      <x:c r="C6504" t="str">
        <x:v>Pasted text(59).txt</x:v>
      </x:c>
    </x:row>
    <x:row r="6505">
      <x:c r="A6505" t="n">
        <x:v>2475</x:v>
      </x:c>
      <x:c r="B6505" s="58" t="str">
        <x:v>SEARCH | point 4 | DAC 5.00 | CTRL X 0.54296 | X 0.52878 | Y 0.19433 | Z 0.18889 | TOTAL 0.59613 | error -27.60 % | MAD 1.36 % | CV 5.48 % | coh 75.6 % | dominant X | axis fraction 100.0 % | VALID</x:v>
      </x:c>
      <x:c r="C6505" t="str">
        <x:v>Pasted text(59).txt</x:v>
      </x:c>
    </x:row>
    <x:row r="6506">
      <x:c r="A6506" t="n">
        <x:v>2476</x:v>
      </x:c>
      <x:c r="B6506" s="58" t="str">
        <x:v>SEARCH | point 5 | DAC 5.50 | CTRL X 0.54186 | X 0.55054 | Y 0.22998 | Z 0.15631 | TOTAL 0.61688 | error -27.75 % | MAD 0.51 % | CV 3.03 % | coh 78.9 % | dominant X | axis fraction 100.0 % | VALID</x:v>
      </x:c>
      <x:c r="C6506" t="str">
        <x:v>Pasted text(59).txt</x:v>
      </x:c>
    </x:row>
    <x:row r="6507">
      <x:c r="A6507" t="n">
        <x:v>2477</x:v>
      </x:c>
      <x:c r="B6507" s="58" t="str">
        <x:v>SEARCH | point 6 | DAC 6.00 | CTRL X 0.63974 | X 0.64338 | Y 0.26436 | Z 0.22428 | TOTAL 0.73158 | error -14.70 % | MAD 0.34 % | CV 1.18 % | coh 79.1 % | dominant X | axis fraction 100.0 % | VALID</x:v>
      </x:c>
      <x:c r="C6507" t="str">
        <x:v>Pasted text(59).txt</x:v>
      </x:c>
    </x:row>
    <x:row r="6508">
      <x:c r="A6508" t="n">
        <x:v>2478</x:v>
      </x:c>
      <x:c r="B6508" s="58" t="str">
        <x:v>SEARCH | point 7 | DAC 6.25 | CTRL X 0.70507 | X 0.69035 | Y 0.27969 | Z 0.21418 | TOTAL 0.77513 | error -5.99 % | MAD 0.41 % | CV 3.94 % | coh 84.0 % | dominant X | axis fraction 100.0 % | IN TARGET BAND</x:v>
      </x:c>
      <x:c r="C6508" t="str">
        <x:v>Pasted text(59).txt</x:v>
      </x:c>
    </x:row>
    <x:row r="6509">
      <x:c r="A6509" t="n">
        <x:v>2479</x:v>
      </x:c>
      <x:c r="B6509" s="58" t="str"/>
      <x:c r="C6509" t="str">
        <x:v>Pasted text(59).txt</x:v>
      </x:c>
    </x:row>
    <x:row r="6510">
      <x:c r="A6510" t="n">
        <x:v>2480</x:v>
      </x:c>
      <x:c r="B6510" s="58" t="str">
        <x:v>LOCAL 0.25-DAC X-AXIS FINE SCAN</x:v>
      </x:c>
      <x:c r="C6510" t="str">
        <x:v>Pasted text(59).txt</x:v>
      </x:c>
    </x:row>
    <x:row r="6511">
      <x:c r="A6511" t="n">
        <x:v>2481</x:v>
      </x:c>
      <x:c r="B6511" s="58" t="str">
        <x:v>Only a valid point actually inside the X target band may be selected.</x:v>
      </x:c>
      <x:c r="C6511" t="str">
        <x:v>Pasted text(59).txt</x:v>
      </x:c>
    </x:row>
    <x:row r="6512">
      <x:c r="A6512" t="n">
        <x:v>2482</x:v>
      </x:c>
      <x:c r="B6512" s="58" t="str">
        <x:v>FINE | point 1 | DAC 5.25 | CTRL X 0.55380 | X 0.55033 | Y 0.21641 | Z 0.19058 | TOTAL 0.62162 | error -26.16 % | MAD 2.40 % | CV 2.63 % | coh 80.6 % | dominant X | axis fraction 100.0 % | VALID</x:v>
      </x:c>
      <x:c r="C6512" t="str">
        <x:v>Pasted text(59).txt</x:v>
      </x:c>
    </x:row>
    <x:row r="6513">
      <x:c r="A6513" t="n">
        <x:v>2483</x:v>
      </x:c>
      <x:c r="B6513" s="58" t="str">
        <x:v>FINE | point 2 | DAC 5.50 | CTRL X 0.56195 | X 0.56693 | Y 0.22503 | Z 0.18722 | TOTAL 0.63876 | error -25.07 % | MAD 2.41 % | CV 3.03 % | coh 81.2 % | dominant X | axis fraction 100.0 % | VALID</x:v>
      </x:c>
      <x:c r="C6513" t="str">
        <x:v>Pasted text(59).txt</x:v>
      </x:c>
    </x:row>
    <x:row r="6514">
      <x:c r="A6514" t="n">
        <x:v>2484</x:v>
      </x:c>
      <x:c r="B6514" s="58" t="str">
        <x:v>FINE | point 3 | DAC 5.75 | CTRL X 0.62893 | X 0.62607 | Y 0.25572 | Z 0.18958 | TOTAL 0.70252 | error -16.14 % | MAD 4.49 % | CV 3.75 % | coh 77.9 % | dominant X | axis fraction 100.0 % | VALID</x:v>
      </x:c>
      <x:c r="C6514" t="str">
        <x:v>Pasted text(59).txt</x:v>
      </x:c>
    </x:row>
    <x:row r="6515">
      <x:c r="A6515" t="n">
        <x:v>2485</x:v>
      </x:c>
      <x:c r="B6515" s="58" t="str">
        <x:v>FINE | point 4 | DAC 6.00 | CTRL X 0.66804 | X 0.66477 | Y 0.26605 | Z 0.22694 | TOTAL 0.75127 | error -10.93 % | MAD 3.98 % | CV 3.46 % | coh 81.0 % | dominant X | axis fraction 100.0 % | VALID</x:v>
      </x:c>
      <x:c r="C6515" t="str">
        <x:v>Pasted text(59).txt</x:v>
      </x:c>
    </x:row>
    <x:row r="6516">
      <x:c r="A6516" t="n">
        <x:v>2486</x:v>
      </x:c>
      <x:c r="B6516" s="58" t="str">
        <x:v>FINE | point 5 | DAC 6.25 | CTRL X 0.68854 | X 0.68601 | Y 0.28818 | Z 0.21325 | TOTAL 0.77482 | error -8.19 % | MAD 0.50 % | CV 0.95 % | coh 83.4 % | dominant X | axis fraction 100.0 % | VALID</x:v>
      </x:c>
      <x:c r="C6516" t="str">
        <x:v>Pasted text(59).txt</x:v>
      </x:c>
    </x:row>
    <x:row r="6517">
      <x:c r="A6517" t="n">
        <x:v>2487</x:v>
      </x:c>
      <x:c r="B6517" s="58" t="str">
        <x:v>FINE | point 6 | DAC 6.50 | CTRL X 0.71267 | X 0.70949 | Y 0.25676 | Z 0.19329 | TOTAL 0.77916 | error -4.98 % | MAD 0.54 % | CV 1.11 % | coh 84.7 % | dominant X | axis fraction 100.0 % | IN TARGET BAND</x:v>
      </x:c>
      <x:c r="C6517" t="str">
        <x:v>Pasted text(59).txt</x:v>
      </x:c>
    </x:row>
    <x:row r="6518">
      <x:c r="A6518" t="n">
        <x:v>2488</x:v>
      </x:c>
      <x:c r="B6518" s="58" t="str">
        <x:v>FINE | point 7 | DAC 6.75 | CTRL X 0.77990 | X 0.77743 | Y 0.31315 | Z 0.24907 | TOTAL 0.87468 | error 3.99 % | MAD 0.49 % | CV 0.85 % | coh 82.2 % | dominant X | axis fraction 100.0 % | IN TARGET BAND</x:v>
      </x:c>
      <x:c r="C6518" t="str">
        <x:v>Pasted text(59).txt</x:v>
      </x:c>
    </x:row>
    <x:row r="6519">
      <x:c r="A6519" t="n">
        <x:v>2489</x:v>
      </x:c>
      <x:c r="B6519" s="58" t="str">
        <x:v>FINE | point 8 | DAC 7.00 | CTRL X 0.80451 | X 0.80415 | Y 0.32472 | Z 0.24115 | TOTAL 0.90034 | error 7.27 % | MAD 0.90 % | CV 0.68 % | coh 85.4 % | dominant X | axis fraction 100.0 % | IN TARGET BAND</x:v>
      </x:c>
      <x:c r="C6519" t="str">
        <x:v>Pasted text(59).txt</x:v>
      </x:c>
    </x:row>
    <x:row r="6520">
      <x:c r="A6520" t="n">
        <x:v>2490</x:v>
      </x:c>
      <x:c r="B6520" s="58" t="str">
        <x:v>FINE | point 9 | DAC 7.25 | CTRL X 0.83730 | X 0.83670 | Y 0.34842 | Z 0.25312 | TOTAL 0.94135 | error 11.64 % | MAD 2.23 % | CV 1.61 % | coh 86.1 % | dominant X | axis fraction 100.0 % | VALID</x:v>
      </x:c>
      <x:c r="C6520" t="str">
        <x:v>Pasted text(59).txt</x:v>
      </x:c>
    </x:row>
    <x:row r="6521">
      <x:c r="A6521" t="n">
        <x:v>2491</x:v>
      </x:c>
      <x:c r="B6521" s="58" t="str"/>
      <x:c r="C6521" t="str">
        <x:v>Pasted text(59).txt</x:v>
      </x:c>
    </x:row>
    <x:row r="6522">
      <x:c r="A6522" t="n">
        <x:v>2492</x:v>
      </x:c>
      <x:c r="B6522" s="58" t="str">
        <x:v>LONG VALIDATION AT FIXED DAC 6.75</x:v>
      </x:c>
      <x:c r="C6522" t="str">
        <x:v>Pasted text(59).txt</x:v>
      </x:c>
    </x:row>
    <x:row r="6523">
      <x:c r="A6523" t="n">
        <x:v>2493</x:v>
      </x:c>
      <x:c r="B6523" s="58" t="str">
        <x:v>FINAL | point 1 | DAC 6.75 | CTRL X 0.79566 | X 0.78823 | Y 0.31372 | Z 0.23792 | TOTAL 0.88132 | error 6.09 % | MAD 2.62 % | CV 3.19 % | coh 82.8 % | dominant X | axis fraction 100.0 % | IN TARGET BAND</x:v>
      </x:c>
      <x:c r="C6523" t="str">
        <x:v>Pasted text(59).txt</x:v>
      </x:c>
    </x:row>
    <x:row r="6524">
      <x:c r="A6524" t="n">
        <x:v>2494</x:v>
      </x:c>
      <x:c r="B6524" s="58" t="str">
        <x:v>FINAL | point 2 | DAC 6.75 | CTRL X 0.79194 | X 0.78203 | Y 0.31264 | Z 0.25668 | TOTAL 0.88066 | error 5.59 % | MAD 0.57 % | CV 2.17 % | coh 83.5 % | dominant X | axis fraction 100.0 % | IN TARGET BAND</x:v>
      </x:c>
      <x:c r="C6524" t="str">
        <x:v>Pasted text(59).txt</x:v>
      </x:c>
    </x:row>
    <x:row r="6525">
      <x:c r="A6525" t="n">
        <x:v>2495</x:v>
      </x:c>
      <x:c r="B6525" s="58" t="str">
        <x:v>VALIDATION ACCEPTED | pair drift 0.47 %</x:v>
      </x:c>
      <x:c r="C6525" t="str">
        <x:v>Pasted text(59).txt</x:v>
      </x:c>
    </x:row>
    <x:row r="6526">
      <x:c r="A6526" t="n">
        <x:v>2496</x:v>
      </x:c>
      <x:c r="B6526" s="58" t="str"/>
      <x:c r="C6526" t="str">
        <x:v>Pasted text(59).txt</x:v>
      </x:c>
    </x:row>
    <x:row r="6527">
      <x:c r="A6527" t="n">
        <x:v>2497</x:v>
      </x:c>
      <x:c r="B6527" s="58" t="str">
        <x:v>FINAL VALIDATED BLIND FFT VERIFICATION</x:v>
      </x:c>
      <x:c r="C6527" t="str">
        <x:v>Pasted text(59).txt</x:v>
      </x:c>
    </x:row>
    <x:row r="6528">
      <x:c r="A6528" t="n">
        <x:v>2498</x:v>
      </x:c>
      <x:c r="B6528" s="58" t="str">
        <x:v>Commanded frequency: 268.00000 Hz</x:v>
      </x:c>
      <x:c r="C6528" t="str">
        <x:v>Pasted text(59).txt</x:v>
      </x:c>
    </x:row>
    <x:row r="6529">
      <x:c r="A6529" t="n">
        <x:v>2499</x:v>
      </x:c>
      <x:c r="B6529" s="58" t="str">
        <x:v>Accepted DAC: 6.75</x:v>
      </x:c>
      <x:c r="C6529" t="str">
        <x:v>Pasted text(59).txt</x:v>
      </x:c>
    </x:row>
    <x:row r="6530">
      <x:c r="A6530" t="n">
        <x:v>2500</x:v>
      </x:c>
      <x:c r="B6530" s="58" t="str">
        <x:v>Axis,Frequency_Hz,Amplitude_mps2,SNR_dB,Status</x:v>
      </x:c>
      <x:c r="C6530" t="str">
        <x:v>Pasted text(59).txt</x:v>
      </x:c>
    </x:row>
    <x:row r="6531">
      <x:c r="A6531" t="n">
        <x:v>2501</x:v>
      </x:c>
      <x:c r="B6531" s="58" t="str">
        <x:v>X,268.04717,0.71332,29.42,VALID</x:v>
      </x:c>
      <x:c r="C6531" t="str">
        <x:v>Pasted text(59).txt</x:v>
      </x:c>
    </x:row>
    <x:row r="6532">
      <x:c r="A6532" t="n">
        <x:v>2502</x:v>
      </x:c>
      <x:c r="B6532" s="58" t="str">
        <x:v>Y,267.95004,0.28224,21.19,VALID</x:v>
      </x:c>
      <x:c r="C6532" t="str">
        <x:v>Pasted text(59).txt</x:v>
      </x:c>
    </x:row>
    <x:row r="6533">
      <x:c r="A6533" t="n">
        <x:v>2503</x:v>
      </x:c>
      <x:c r="B6533" s="58" t="str">
        <x:v>Z,268.03628,0.21458,21.77,VALID</x:v>
      </x:c>
      <x:c r="C6533" t="str">
        <x:v>Pasted text(59).txt</x:v>
      </x:c>
    </x:row>
    <x:row r="6534">
      <x:c r="A6534" t="n">
        <x:v>2504</x:v>
      </x:c>
      <x:c r="B6534" s="58" t="str">
        <x:v>Combined frequency: 268.03484 Hz | difference 0.03484 Hz</x:v>
      </x:c>
      <x:c r="C6534" t="str">
        <x:v>Pasted text(59).txt</x:v>
      </x:c>
    </x:row>
    <x:row r="6535">
      <x:c r="A6535" t="n">
        <x:v>2505</x:v>
      </x:c>
      <x:c r="B6535" s="58" t="str">
        <x:v>Combined X/Y/Z/TOTAL: 0.65444 / 0.25368 / 0.19588 / 0.72871</x:v>
      </x:c>
      <x:c r="C6535" t="str">
        <x:v>Pasted text(59).txt</x:v>
      </x:c>
    </x:row>
    <x:row r="6536">
      <x:c r="A6536" t="n">
        <x:v>2506</x:v>
      </x:c>
      <x:c r="B6536" s="58" t="str">
        <x:v>SNR: 26.30 dB | dominant axis X</x:v>
      </x:c>
      <x:c r="C6536" t="str">
        <x:v>Pasted text(59).txt</x:v>
      </x:c>
    </x:row>
    <x:row r="6537">
      <x:c r="A6537" t="n">
        <x:v>2507</x:v>
      </x:c>
      <x:c r="B6537" s="58" t="str">
        <x:v>Frequency verification: PASS</x:v>
      </x:c>
      <x:c r="C6537" t="str">
        <x:v>Pasted text(59).txt</x:v>
      </x:c>
    </x:row>
    <x:row r="6538">
      <x:c r="A6538" t="n">
        <x:v>2508</x:v>
      </x:c>
      <x:c r="B6538" s="58" t="str">
        <x:v>Y/Z dominance: DIAGNOSTIC ONLY — ignored for pass/fail</x:v>
      </x:c>
      <x:c r="C6538" t="str">
        <x:v>Pasted text(59).txt</x:v>
      </x:c>
    </x:row>
    <x:row r="6539">
      <x:c r="A6539" t="n">
        <x:v>2509</x:v>
      </x:c>
      <x:c r="B6539" s="58" t="str"/>
      <x:c r="C6539" t="str">
        <x:v>Pasted text(59).txt</x:v>
      </x:c>
    </x:row>
    <x:row r="6540">
      <x:c r="A6540" t="n">
        <x:v>2510</x:v>
      </x:c>
      <x:c r="B6540" s="58" t="str">
        <x:v>FIXED-DAC HOLD VALIDATION</x:v>
      </x:c>
      <x:c r="C6540" t="str">
        <x:v>Pasted text(59).txt</x:v>
      </x:c>
    </x:row>
    <x:row r="6541">
      <x:c r="A6541" t="n">
        <x:v>2511</x:v>
      </x:c>
      <x:c r="B6541" s="58" t="str">
        <x:v>DAC remains fixed at 6.75 for 10 records.</x:v>
      </x:c>
      <x:c r="C6541" t="str">
        <x:v>Pasted text(59).txt</x:v>
      </x:c>
    </x:row>
    <x:row r="6542">
      <x:c r="A6542" t="n">
        <x:v>2512</x:v>
      </x:c>
      <x:c r="B6542" s="58" t="str">
        <x:v>HOLD | point 1 | DAC 6.75 | CTRL X 0.77159 | X 0.76087 | Y 0.30889 | Z 0.23873 | TOTAL 0.85532 | error 2.88 % | MAD 0.99 % | CV 3.05 % | coh 80.9 % | dominant X | axis fraction 100.0 % | IN TARGET BAND</x:v>
      </x:c>
      <x:c r="C6542" t="str">
        <x:v>Pasted text(59).txt</x:v>
      </x:c>
    </x:row>
    <x:row r="6543">
      <x:c r="A6543" t="n">
        <x:v>2513</x:v>
      </x:c>
      <x:c r="B6543" s="58" t="str">
        <x:v>HOLD | point 2 | DAC 6.75 | CTRL X 0.76109 | X 0.76536 | Y 0.32239 | Z 0.24853 | TOTAL 0.86699 | error 1.48 % | MAD 0.86 % | CV 1.49 % | coh 81.4 % | dominant X | axis fraction 100.0 % | IN TARGET BAND</x:v>
      </x:c>
      <x:c r="C6543" t="str">
        <x:v>Pasted text(59).txt</x:v>
      </x:c>
    </x:row>
    <x:row r="6544">
      <x:c r="A6544" t="n">
        <x:v>2514</x:v>
      </x:c>
      <x:c r="B6544" s="58" t="str">
        <x:v>HOLD | point 3 | DAC 6.75 | CTRL X 0.76634 | X 0.77408 | Y 0.31107 | Z 0.26426 | TOTAL 0.87538 | error 2.18 % | MAD 2.62 % | CV 3.36 % | coh 83.1 % | dominant X | axis fraction 100.0 % | IN TARGET BAND</x:v>
      </x:c>
      <x:c r="C6544" t="str">
        <x:v>Pasted text(59).txt</x:v>
      </x:c>
    </x:row>
    <x:row r="6545">
      <x:c r="A6545" t="n">
        <x:v>2515</x:v>
      </x:c>
      <x:c r="B6545" s="58" t="str">
        <x:v>HOLD | point 4 | DAC 6.75 | CTRL X 0.79699 | X 0.80251 | Y 0.29586 | Z 0.25815 | TOTAL 0.89373 | error 6.27 % | MAD 0.61 % | CV 1.56 % | coh 82.8 % | dominant X | axis fraction 100.0 % | IN TARGET BAND</x:v>
      </x:c>
      <x:c r="C6545" t="str">
        <x:v>Pasted text(59).txt</x:v>
      </x:c>
    </x:row>
    <x:row r="6546">
      <x:c r="A6546" t="n">
        <x:v>2516</x:v>
      </x:c>
      <x:c r="B6546" s="58" t="str">
        <x:v>HOLD | point 5 | DAC 6.75 | CTRL X 0.77412 | X 0.76896 | Y 0.30697 | Z 0.22044 | TOTAL 0.85693 | error 3.22 % | MAD 1.05 % | CV 1.82 % | coh 82.2 % | dominant X | axis fraction 100.0 % | IN TARGET BAND</x:v>
      </x:c>
      <x:c r="C6546" t="str">
        <x:v>Pasted text(59).txt</x:v>
      </x:c>
    </x:row>
    <x:row r="6547">
      <x:c r="A6547" t="n">
        <x:v>2517</x:v>
      </x:c>
      <x:c r="B6547" s="58" t="str">
        <x:v>HOLD | point 6 | DAC 6.75 | CTRL X 0.76425 | X 0.77048 | Y 0.30973 | Z 0.22693 | TOTAL 0.86091 | error 1.90 % | MAD 1.16 % | CV 2.11 % | coh 82.4 % | dominant X | axis fraction 100.0 % | IN TARGET BAND</x:v>
      </x:c>
      <x:c r="C6547" t="str">
        <x:v>Pasted text(59).txt</x:v>
      </x:c>
    </x:row>
    <x:row r="6548">
      <x:c r="A6548" t="n">
        <x:v>2518</x:v>
      </x:c>
      <x:c r="B6548" s="58" t="str">
        <x:v>HOLD | point 7 | DAC 6.75 | CTRL X 0.77278 | X 0.77005 | Y 0.30470 | Z 0.24467 | TOTAL 0.86391 | error 3.04 % | MAD 0.79 % | CV 1.11 % | coh 82.3 % | dominant X | axis fraction 100.0 % | IN TARGET BAND</x:v>
      </x:c>
      <x:c r="C6548" t="str">
        <x:v>Pasted text(59).txt</x:v>
      </x:c>
    </x:row>
    <x:row r="6549">
      <x:c r="A6549" t="n">
        <x:v>2519</x:v>
      </x:c>
      <x:c r="B6549" s="58" t="str">
        <x:v>HOLD | point 8 | DAC 6.75 | CTRL X 0.77170 | X 0.76899 | Y 0.30786 | Z 0.22920 | TOTAL 0.85965 | error 2.89 % | MAD 1.41 % | CV 1.52 % | coh 81.9 % | dominant X | axis fraction 100.0 % | IN TARGET BAND</x:v>
      </x:c>
      <x:c r="C6549" t="str">
        <x:v>Pasted text(59).txt</x:v>
      </x:c>
    </x:row>
    <x:row r="6550">
      <x:c r="A6550" t="n">
        <x:v>2520</x:v>
      </x:c>
      <x:c r="B6550" s="58" t="str">
        <x:v>HOLD | point 9 | DAC 6.75 | CTRL X 0.75931 | X 0.76271 | Y 0.28652 | Z 0.22938 | TOTAL 0.84713 | error 1.24 % | MAD 4.00 % | CV 3.37 % | coh 81.5 % | dominant X | axis fraction 100.0 % | IN TARGET BAND</x:v>
      </x:c>
      <x:c r="C6550" t="str">
        <x:v>Pasted text(59).txt</x:v>
      </x:c>
    </x:row>
    <x:row r="6551">
      <x:c r="A6551" t="n">
        <x:v>2521</x:v>
      </x:c>
      <x:c r="B6551" s="58" t="str">
        <x:v>HOLD | point 10 | DAC 6.75 | CTRL X 0.76007 | X 0.76072 | Y 0.32086 | Z 0.24524 | TOTAL 0.86150 | error 1.34 % | MAD 0.25 % | CV 0.30 % | coh 82.2 % | dominant X | axis fraction 100.0 % | IN TARGET BAND</x:v>
      </x:c>
      <x:c r="C6551" t="str">
        <x:v>Pasted text(59).txt</x:v>
      </x:c>
    </x:row>
    <x:row r="6552">
      <x:c r="A6552" t="n">
        <x:v>2522</x:v>
      </x:c>
      <x:c r="B6552" s="58" t="str"/>
      <x:c r="C6552" t="str">
        <x:v>Pasted text(59).txt</x:v>
      </x:c>
    </x:row>
    <x:row r="6553">
      <x:c r="A6553" t="n">
        <x:v>2523</x:v>
      </x:c>
      <x:c r="B6553" s="58" t="str">
        <x:v>HOLD SUMMARY</x:v>
      </x:c>
      <x:c r="C6553" t="str">
        <x:v>Pasted text(59).txt</x:v>
      </x:c>
    </x:row>
    <x:row r="6554">
      <x:c r="A6554" t="n">
        <x:v>2524</x:v>
      </x:c>
      <x:c r="B6554" s="58" t="str">
        <x:v>Valid / requested: 10 / 10</x:v>
      </x:c>
      <x:c r="C6554" t="str">
        <x:v>Pasted text(59).txt</x:v>
      </x:c>
    </x:row>
    <x:row r="6555">
      <x:c r="A6555" t="n">
        <x:v>2525</x:v>
      </x:c>
      <x:c r="B6555" s="58" t="str">
        <x:v>In band / requested: 10 / 10 = 100.0 %</x:v>
      </x:c>
      <x:c r="C6555" t="str">
        <x:v>Pasted text(59).txt</x:v>
      </x:c>
    </x:row>
    <x:row r="6556">
      <x:c r="A6556" t="n">
        <x:v>2526</x:v>
      </x:c>
      <x:c r="B6556" s="58" t="str">
        <x:v>Mean / SD / CV: 0.76983 / 0.01104 / 1.43 %</x:v>
      </x:c>
      <x:c r="C6556" t="str">
        <x:v>Pasted text(59).txt</x:v>
      </x:c>
    </x:row>
    <x:row r="6557">
      <x:c r="A6557" t="n">
        <x:v>2527</x:v>
      </x:c>
      <x:c r="B6557" s="58" t="str">
        <x:v>Min / Max: 0.75931 / 0.79699</x:v>
      </x:c>
      <x:c r="C6557" t="str">
        <x:v>Pasted text(59).txt</x:v>
      </x:c>
    </x:row>
    <x:row r="6558">
      <x:c r="A6558" t="n">
        <x:v>2528</x:v>
      </x:c>
      <x:c r="B6558" s="58" t="str">
        <x:v>HOLD RESULT: PASS</x:v>
      </x:c>
      <x:c r="C6558" t="str">
        <x:v>Pasted text(59).txt</x:v>
      </x:c>
    </x:row>
    <x:row r="6559">
      <x:c r="A6559" t="n">
        <x:v>2529</x:v>
      </x:c>
      <x:c r="B6559" s="58" t="str"/>
      <x:c r="C6559" t="str">
        <x:v>Pasted text(59).txt</x:v>
      </x:c>
    </x:row>
    <x:row r="6560">
      <x:c r="A6560" t="n">
        <x:v>2530</x:v>
      </x:c>
      <x:c r="B6560" s="58" t="str">
        <x:v>RUN RESULT: PASS</x:v>
      </x:c>
      <x:c r="C6560" t="str">
        <x:v>Pasted text(59).txt</x:v>
      </x:c>
    </x:row>
    <x:row r="6561">
      <x:c r="A6561" t="n">
        <x:v>2531</x:v>
      </x:c>
      <x:c r="B6561" s="58" t="str">
        <x:v>Selected DAC: 6.75</x:v>
      </x:c>
      <x:c r="C6561" t="str">
        <x:v>Pasted text(59).txt</x:v>
      </x:c>
    </x:row>
    <x:row r="6562">
      <x:c r="A6562" t="n">
        <x:v>2532</x:v>
      </x:c>
      <x:c r="B6562" s="58" t="str">
        <x:v>Validated amplitude: 0.79380 m/s^2 | error 5.84 %</x:v>
      </x:c>
      <x:c r="C6562" t="str">
        <x:v>Pasted text(59).txt</x:v>
      </x:c>
    </x:row>
    <x:row r="6563">
      <x:c r="A6563" t="n">
        <x:v>2533</x:v>
      </x:c>
      <x:c r="B6563" s="58" t="str">
        <x:v>FFT frequency: 268.03484 Hz | difference 0.03484 Hz</x:v>
      </x:c>
      <x:c r="C6563" t="str">
        <x:v>Pasted text(59).txt</x:v>
      </x:c>
    </x:row>
    <x:row r="6564">
      <x:c r="A6564" t="n">
        <x:v>2534</x:v>
      </x:c>
      <x:c r="B6564" s="58" t="str"/>
      <x:c r="C6564" t="str">
        <x:v>Pasted text(59).txt</x:v>
      </x:c>
    </x:row>
    <x:row r="6565">
      <x:c r="A6565" t="n">
        <x:v>2535</x:v>
      </x:c>
      <x:c r="B6565" s="58" t="str">
        <x:v>VISATON OFF. RESTING 5.0 s BEFORE THE NEXT COMPLETELY FRESH RUN.</x:v>
      </x:c>
      <x:c r="C6565" t="str">
        <x:v>Pasted text(59).txt</x:v>
      </x:c>
    </x:row>
    <x:row r="6566">
      <x:c r="A6566" t="n">
        <x:v>2536</x:v>
      </x:c>
      <x:c r="B6566" s="58" t="str"/>
      <x:c r="C6566" t="str">
        <x:v>Pasted text(59).txt</x:v>
      </x:c>
    </x:row>
    <x:row r="6567">
      <x:c r="A6567" t="n">
        <x:v>2537</x:v>
      </x:c>
      <x:c r="B6567" s="58" t="str">
        <x:v>################################################################################</x:v>
      </x:c>
      <x:c r="C6567" t="str">
        <x:v>Pasted text(59).txt</x:v>
      </x:c>
    </x:row>
    <x:row r="6568">
      <x:c r="A6568" t="n">
        <x:v>2538</x:v>
      </x:c>
      <x:c r="B6568" s="58" t="str">
        <x:v>INDEPENDENT TARGET-AMPLITUDE RUN 2 OF 5</x:v>
      </x:c>
      <x:c r="C6568" t="str">
        <x:v>Pasted text(59).txt</x:v>
      </x:c>
    </x:row>
    <x:row r="6569">
      <x:c r="A6569" t="n">
        <x:v>2539</x:v>
      </x:c>
      <x:c r="B6569" s="58" t="str">
        <x:v>################################################################################</x:v>
      </x:c>
      <x:c r="C6569" t="str">
        <x:v>Pasted text(59).txt</x:v>
      </x:c>
    </x:row>
    <x:row r="6570">
      <x:c r="A6570" t="n">
        <x:v>2540</x:v>
      </x:c>
      <x:c r="B6570" s="58" t="str">
        <x:v>Frequency: 268.00000 Hz</x:v>
      </x:c>
      <x:c r="C6570" t="str">
        <x:v>Pasted text(59).txt</x:v>
      </x:c>
    </x:row>
    <x:row r="6571">
      <x:c r="A6571" t="n">
        <x:v>2541</x:v>
      </x:c>
      <x:c r="B6571" s="58" t="str">
        <x:v>Target X amplitude: 0.75000 m/s^2 peak, tolerance +/-7.50 %</x:v>
      </x:c>
      <x:c r="C6571" t="str">
        <x:v>Pasted text(59).txt</x:v>
      </x:c>
    </x:row>
    <x:row r="6572">
      <x:c r="A6572" t="n">
        <x:v>2542</x:v>
      </x:c>
      <x:c r="B6572" s="58" t="str">
        <x:v>This run starts from DAC 1.00 and ignores every earlier selected DAC.</x:v>
      </x:c>
      <x:c r="C6572" t="str">
        <x:v>Pasted text(59).txt</x:v>
      </x:c>
    </x:row>
    <x:row r="6573">
      <x:c r="A6573" t="n">
        <x:v>2543</x:v>
      </x:c>
      <x:c r="B6573" s="58" t="str">
        <x:v>ADXL2 DEVID/DATA_FORMAT/BW_RATE/POWER_CTL: 0xE5 / 0xB / 0xE / 0x8</x:v>
      </x:c>
      <x:c r="C6573" t="str">
        <x:v>Pasted text(59).txt</x:v>
      </x:c>
    </x:row>
    <x:row r="6574">
      <x:c r="A6574" t="n">
        <x:v>2544</x:v>
      </x:c>
      <x:c r="B6574" s="58" t="str"/>
      <x:c r="C6574" t="str">
        <x:v>Pasted text(59).txt</x:v>
      </x:c>
    </x:row>
    <x:row r="6575">
      <x:c r="A6575" t="n">
        <x:v>2545</x:v>
      </x:c>
      <x:c r="B6575" s="58" t="str">
        <x:v>ACQUISITION ATTEMPT 1 OF 2</x:v>
      </x:c>
      <x:c r="C6575" t="str">
        <x:v>Pasted text(59).txt</x:v>
      </x:c>
    </x:row>
    <x:row r="6576">
      <x:c r="A6576" t="n">
        <x:v>2546</x:v>
      </x:c>
      <x:c r="B6576" s="58" t="str"/>
      <x:c r="C6576" t="str">
        <x:v>Pasted text(59).txt</x:v>
      </x:c>
    </x:row>
    <x:row r="6577">
      <x:c r="A6577" t="n">
        <x:v>2547</x:v>
      </x:c>
      <x:c r="B6577" s="58" t="str">
        <x:v>FRESH X-AXIS SEARCH FROM DAC 1.00 — OLD DAC VALUES ARE NOT USED</x:v>
      </x:c>
      <x:c r="C6577" t="str">
        <x:v>Pasted text(59).txt</x:v>
      </x:c>
    </x:row>
    <x:row r="6578">
      <x:c r="A6578" t="n">
        <x:v>2548</x:v>
      </x:c>
      <x:c r="B6578" s="58" t="str">
        <x:v>Y/Z are diagnostic only and cannot abort this search.</x:v>
      </x:c>
      <x:c r="C6578" t="str">
        <x:v>Pasted text(59).txt</x:v>
      </x:c>
    </x:row>
    <x:row r="6579">
      <x:c r="A6579" t="n">
        <x:v>2549</x:v>
      </x:c>
      <x:c r="B6579" s="58" t="str">
        <x:v>A real SPI fault, clipping, safety limit or confirmed X-response collapse will stop it.</x:v>
      </x:c>
      <x:c r="C6579" t="str">
        <x:v>Pasted text(59).txt</x:v>
      </x:c>
    </x:row>
    <x:row r="6580">
      <x:c r="A6580" t="n">
        <x:v>2550</x:v>
      </x:c>
      <x:c r="B6580" s="58" t="str">
        <x:v>SEARCH | point 1 | DAC 1.00 | CTRL X 0.04642 | X 0.05531 | Y 0.04368 | Z 0.04499 | TOTAL 0.08825 | error -93.81 % | MAD 52.81 % | CV 55.76 % | coh 11.7 % | dominant X | axis fraction 100.0 % | BELOW MEASUREMENT FLOOR — SEARCH CONTINUES</x:v>
      </x:c>
      <x:c r="C6580" t="str">
        <x:v>Pasted text(59).txt</x:v>
      </x:c>
    </x:row>
    <x:row r="6581">
      <x:c r="A6581" t="n">
        <x:v>2551</x:v>
      </x:c>
      <x:c r="B6581" s="58" t="str">
        <x:v>SEARCH | point 2 | DAC 3.00 | CTRL X 0.18357 | X 0.19042 | Y 0.12404 | Z 0.07122 | TOTAL 0.23999 | error -75.52 % | MAD 13.03 % | CV 14.21 % | coh 29.2 % | dominant X | axis fraction 100.0 % | UNSTABLE — SEARCH CONTINUES</x:v>
      </x:c>
      <x:c r="C6581" t="str">
        <x:v>Pasted text(59).txt</x:v>
      </x:c>
    </x:row>
    <x:row r="6582">
      <x:c r="A6582" t="n">
        <x:v>2552</x:v>
      </x:c>
      <x:c r="B6582" s="58" t="str">
        <x:v>SEARCH | point 3 | DAC 5.00 | CTRL X 0.44270 | X 0.43951 | Y 0.17166 | Z 0.13922 | TOTAL 0.49268 | error -40.97 % | MAD 1.10 % | CV 1.94 % | coh 70.8 % | dominant X | axis fraction 100.0 % | VALID</x:v>
      </x:c>
      <x:c r="C6582" t="str">
        <x:v>Pasted text(59).txt</x:v>
      </x:c>
    </x:row>
    <x:row r="6583">
      <x:c r="A6583" t="n">
        <x:v>2553</x:v>
      </x:c>
      <x:c r="B6583" s="58" t="str">
        <x:v>SEARCH | point 4 | DAC 6.00 | CTRL X 0.53241 | X 0.53259 | Y 0.22739 | Z 0.18778 | TOTAL 0.60925 | error -29.01 % | MAD 4.84 % | CV 3.32 % | coh 76.3 % | dominant X | axis fraction 100.0 % | VALID</x:v>
      </x:c>
      <x:c r="C6583" t="str">
        <x:v>Pasted text(59).txt</x:v>
      </x:c>
    </x:row>
    <x:row r="6584">
      <x:c r="A6584" t="n">
        <x:v>2554</x:v>
      </x:c>
      <x:c r="B6584" s="58" t="str">
        <x:v>SEARCH | point 5 | DAC 6.50 | CTRL X 0.56047 | X 0.56125 | Y 0.23130 | Z 0.19570 | TOTAL 0.63836 | error -25.27 % | MAD 2.17 % | CV 1.68 % | coh 77.8 % | dominant X | axis fraction 100.0 % | VALID</x:v>
      </x:c>
      <x:c r="C6584" t="str">
        <x:v>Pasted text(59).txt</x:v>
      </x:c>
    </x:row>
    <x:row r="6585">
      <x:c r="A6585" t="n">
        <x:v>2555</x:v>
      </x:c>
      <x:c r="B6585" s="58" t="str">
        <x:v>SEARCH | point 6 | DAC 7.00 | CTRL X 0.63219 | X 0.64521 | Y 0.25935 | Z 0.18262 | TOTAL 0.71984 | error -15.71 % | MAD 2.36 % | CV 4.91 % | coh 81.0 % | dominant X | axis fraction 100.0 % | VALID</x:v>
      </x:c>
      <x:c r="C6585" t="str">
        <x:v>Pasted text(59).txt</x:v>
      </x:c>
    </x:row>
    <x:row r="6586">
      <x:c r="A6586" t="n">
        <x:v>2556</x:v>
      </x:c>
      <x:c r="B6586" s="58" t="str">
        <x:v>SEARCH | point 7 | DAC 7.50 | CTRL X 0.66131 | X 0.66860 | Y 0.26944 | Z 0.22279 | TOTAL 0.75621 | error -11.83 % | MAD 0.32 % | CV 2.07 % | coh 82.2 % | dominant X | axis fraction 100.0 % | VALID</x:v>
      </x:c>
      <x:c r="C6586" t="str">
        <x:v>Pasted text(59).txt</x:v>
      </x:c>
    </x:row>
    <x:row r="6587">
      <x:c r="A6587" t="n">
        <x:v>2557</x:v>
      </x:c>
      <x:c r="B6587" s="58" t="str">
        <x:v>SEARCH | point 8 | DAC 7.75 | CTRL X 0.76236 | X 0.79649 | Y 0.32031 | Z 0.23342 | TOTAL 0.89043 | error 1.65 % | MAD 4.35 % | CV 9.95 % | coh 77.7 % | dominant X | axis fraction 100.0 % | IN TARGET BAND</x:v>
      </x:c>
      <x:c r="C6587" t="str">
        <x:v>Pasted text(59).txt</x:v>
      </x:c>
    </x:row>
    <x:row r="6588">
      <x:c r="A6588" t="n">
        <x:v>2558</x:v>
      </x:c>
      <x:c r="B6588" s="58" t="str"/>
      <x:c r="C6588" t="str">
        <x:v>Pasted text(59).txt</x:v>
      </x:c>
    </x:row>
    <x:row r="6589">
      <x:c r="A6589" t="n">
        <x:v>2559</x:v>
      </x:c>
      <x:c r="B6589" s="58" t="str">
        <x:v>LOCAL 0.25-DAC X-AXIS FINE SCAN</x:v>
      </x:c>
      <x:c r="C6589" t="str">
        <x:v>Pasted text(59).txt</x:v>
      </x:c>
    </x:row>
    <x:row r="6590">
      <x:c r="A6590" t="n">
        <x:v>2560</x:v>
      </x:c>
      <x:c r="B6590" s="58" t="str">
        <x:v>Only a valid point actually inside the X target band may be selected.</x:v>
      </x:c>
      <x:c r="C6590" t="str">
        <x:v>Pasted text(59).txt</x:v>
      </x:c>
    </x:row>
    <x:row r="6591">
      <x:c r="A6591" t="n">
        <x:v>2561</x:v>
      </x:c>
      <x:c r="B6591" s="58" t="str">
        <x:v>FINE | point 1 | DAC 6.75 | CTRL X 0.67133 | X 0.65776 | Y 0.25145 | Z 0.20175 | TOTAL 0.73288 | error -10.49 % | MAD 4.30 % | CV 6.31 % | coh 74.6 % | dominant X | axis fraction 100.0 % | VALID</x:v>
      </x:c>
      <x:c r="C6591" t="str">
        <x:v>Pasted text(59).txt</x:v>
      </x:c>
    </x:row>
    <x:row r="6592">
      <x:c r="A6592" t="n">
        <x:v>2562</x:v>
      </x:c>
      <x:c r="B6592" s="58" t="str">
        <x:v>FINE | point 2 | DAC 7.00 | CTRL X 0.71001 | X 0.71035 | Y 0.26394 | Z 0.22220 | TOTAL 0.79055 | error -5.33 % | MAD 3.39 % | CV 2.36 % | coh 81.4 % | dominant X | axis fraction 100.0 % | IN TARGET BAND</x:v>
      </x:c>
      <x:c r="C6592" t="str">
        <x:v>Pasted text(59).txt</x:v>
      </x:c>
    </x:row>
    <x:row r="6593">
      <x:c r="A6593" t="n">
        <x:v>2563</x:v>
      </x:c>
      <x:c r="B6593" s="58" t="str">
        <x:v>FINE | point 3 | DAC 7.25 | CTRL X 0.70829 | X 0.69929 | Y 0.28653 | Z 0.21492 | TOTAL 0.78635 | error -5.56 % | MAD 2.15 % | CV 3.58 % | coh 81.3 % | dominant X | axis fraction 100.0 % | IN TARGET BAND</x:v>
      </x:c>
      <x:c r="C6593" t="str">
        <x:v>Pasted text(59).txt</x:v>
      </x:c>
    </x:row>
    <x:row r="6594">
      <x:c r="A6594" t="n">
        <x:v>2564</x:v>
      </x:c>
      <x:c r="B6594" s="58" t="str">
        <x:v>FINE | point 4 | DAC 7.50 | CTRL X 0.71004 | X 0.71528 | Y 0.29429 | Z 0.23990 | TOTAL 0.81075 | error -5.33 % | MAD 3.04 % | CV 3.20 % | coh 83.5 % | dominant X | axis fraction 100.0 % | IN TARGET BAND</x:v>
      </x:c>
      <x:c r="C6594" t="str">
        <x:v>Pasted text(59).txt</x:v>
      </x:c>
    </x:row>
    <x:row r="6595">
      <x:c r="A6595" t="n">
        <x:v>2565</x:v>
      </x:c>
      <x:c r="B6595" s="58" t="str">
        <x:v>FINE | point 5 | DAC 7.75 | CTRL X 0.77077 | X 0.77352 | Y 0.30088 | Z 0.22936 | TOTAL 0.86155 | error 2.77 % | MAD 2.16 % | CV 2.01 % | coh 80.4 % | dominant X | axis fraction 100.0 % | IN TARGET BAND</x:v>
      </x:c>
      <x:c r="C6595" t="str">
        <x:v>Pasted text(59).txt</x:v>
      </x:c>
    </x:row>
    <x:row r="6596">
      <x:c r="A6596" t="n">
        <x:v>2566</x:v>
      </x:c>
      <x:c r="B6596" s="58" t="str">
        <x:v>FINE | point 6 | DAC 8.00 | CTRL X 0.84012 | X 0.82317 | Y 0.31152 | Z 0.23456 | TOTAL 0.91204 | error 12.02 % | MAD 2.29 % | CV 4.99 % | coh 85.7 % | dominant X | axis fraction 100.0 % | VALID</x:v>
      </x:c>
      <x:c r="C6596" t="str">
        <x:v>Pasted text(59).txt</x:v>
      </x:c>
    </x:row>
    <x:row r="6597">
      <x:c r="A6597" t="n">
        <x:v>2567</x:v>
      </x:c>
      <x:c r="B6597" s="58" t="str">
        <x:v>FINE | point 7 | DAC 8.25 | CTRL X 0.83568 | X 0.81995 | Y 0.36271 | Z 0.26684 | TOTAL 0.93609 | error 11.42 % | MAD 0.29 % | CV 3.50 % | coh 84.5 % | dominant X | axis fraction 100.0 % | VALID</x:v>
      </x:c>
      <x:c r="C6597" t="str">
        <x:v>Pasted text(59).txt</x:v>
      </x:c>
    </x:row>
    <x:row r="6598">
      <x:c r="A6598" t="n">
        <x:v>2568</x:v>
      </x:c>
      <x:c r="B6598" s="58" t="str">
        <x:v>FINE | point 8 | DAC 8.50 | CTRL X 0.85450 | X 0.86972 | Y 0.32855 | Z 0.27088 | TOTAL 0.96860 | error 13.93 % | MAD 0.65 % | CV 3.41 % | coh 87.6 % | dominant X | axis fraction 100.0 % | VALID</x:v>
      </x:c>
      <x:c r="C6598" t="str">
        <x:v>Pasted text(59).txt</x:v>
      </x:c>
    </x:row>
    <x:row r="6599">
      <x:c r="A6599" t="n">
        <x:v>2569</x:v>
      </x:c>
      <x:c r="B6599" s="58" t="str">
        <x:v>FINE | point 9 | DAC 8.75 | CTRL X 0.90632 | X 0.90411 | Y 0.34948 | Z 0.29053 | TOTAL 1.01279 | error 20.84 % | MAD 3.64 % | CV 2.83 % | coh 85.4 % | dominant X | axis fraction 100.0 % | VALID</x:v>
      </x:c>
      <x:c r="C6599" t="str">
        <x:v>Pasted text(59).txt</x:v>
      </x:c>
    </x:row>
    <x:row r="6600">
      <x:c r="A6600" t="n">
        <x:v>2570</x:v>
      </x:c>
      <x:c r="B6600" s="58" t="str"/>
      <x:c r="C6600" t="str">
        <x:v>Pasted text(59).txt</x:v>
      </x:c>
    </x:row>
    <x:row r="6601">
      <x:c r="A6601" t="n">
        <x:v>2571</x:v>
      </x:c>
      <x:c r="B6601" s="58" t="str">
        <x:v>LONG VALIDATION AT FIXED DAC 7.75</x:v>
      </x:c>
      <x:c r="C6601" t="str">
        <x:v>Pasted text(59).txt</x:v>
      </x:c>
    </x:row>
    <x:row r="6602">
      <x:c r="A6602" t="n">
        <x:v>2572</x:v>
      </x:c>
      <x:c r="B6602" s="58" t="str">
        <x:v>FINAL | point 1 | DAC 7.75 | CTRL X 0.76790 | X 0.77537 | Y 0.31407 | Z 0.24870 | TOTAL 0.87345 | error 2.39 % | MAD 2.45 % | CV 2.58 % | coh 82.7 % | dominant X | axis fraction 100.0 % | IN TARGET BAND</x:v>
      </x:c>
      <x:c r="C6602" t="str">
        <x:v>Pasted text(59).txt</x:v>
      </x:c>
    </x:row>
    <x:row r="6603">
      <x:c r="A6603" t="n">
        <x:v>2573</x:v>
      </x:c>
      <x:c r="B6603" s="58" t="str">
        <x:v>FINAL | point 2 | DAC 7.75 | CTRL X 0.77874 | X 0.77230 | Y 0.29938 | Z 0.25056 | TOTAL 0.86591 | error 3.83 % | MAD 6.42 % | CV 4.98 % | coh 82.6 % | dominant X | axis fraction 100.0 % | IN TARGET BAND</x:v>
      </x:c>
      <x:c r="C6603" t="str">
        <x:v>Pasted text(59).txt</x:v>
      </x:c>
    </x:row>
    <x:row r="6604">
      <x:c r="A6604" t="n">
        <x:v>2574</x:v>
      </x:c>
      <x:c r="B6604" s="58" t="str">
        <x:v>VALIDATION ACCEPTED | pair drift 1.40 %</x:v>
      </x:c>
      <x:c r="C6604" t="str">
        <x:v>Pasted text(59).txt</x:v>
      </x:c>
    </x:row>
    <x:row r="6605">
      <x:c r="A6605" t="n">
        <x:v>2575</x:v>
      </x:c>
      <x:c r="B6605" s="58" t="str"/>
      <x:c r="C6605" t="str">
        <x:v>Pasted text(59).txt</x:v>
      </x:c>
    </x:row>
    <x:row r="6606">
      <x:c r="A6606" t="n">
        <x:v>2576</x:v>
      </x:c>
      <x:c r="B6606" s="58" t="str">
        <x:v>FINAL VALIDATED BLIND FFT VERIFICATION</x:v>
      </x:c>
      <x:c r="C6606" t="str">
        <x:v>Pasted text(59).txt</x:v>
      </x:c>
    </x:row>
    <x:row r="6607">
      <x:c r="A6607" t="n">
        <x:v>2577</x:v>
      </x:c>
      <x:c r="B6607" s="58" t="str">
        <x:v>Commanded frequency: 268.00000 Hz</x:v>
      </x:c>
      <x:c r="C6607" t="str">
        <x:v>Pasted text(59).txt</x:v>
      </x:c>
    </x:row>
    <x:row r="6608">
      <x:c r="A6608" t="n">
        <x:v>2578</x:v>
      </x:c>
      <x:c r="B6608" s="58" t="str">
        <x:v>Accepted DAC: 7.75</x:v>
      </x:c>
      <x:c r="C6608" t="str">
        <x:v>Pasted text(59).txt</x:v>
      </x:c>
    </x:row>
    <x:row r="6609">
      <x:c r="A6609" t="n">
        <x:v>2579</x:v>
      </x:c>
      <x:c r="B6609" s="58" t="str">
        <x:v>Axis,Frequency_Hz,Amplitude_mps2,SNR_dB,Status</x:v>
      </x:c>
      <x:c r="C6609" t="str">
        <x:v>Pasted text(59).txt</x:v>
      </x:c>
    </x:row>
    <x:row r="6610">
      <x:c r="A6610" t="n">
        <x:v>2580</x:v>
      </x:c>
      <x:c r="B6610" s="58" t="str">
        <x:v>X,268.01184,0.71144,29.48,VALID</x:v>
      </x:c>
      <x:c r="C6610" t="str">
        <x:v>Pasted text(59).txt</x:v>
      </x:c>
    </x:row>
    <x:row r="6611">
      <x:c r="A6611" t="n">
        <x:v>2581</x:v>
      </x:c>
      <x:c r="B6611" s="58" t="str">
        <x:v>Y,267.99589,0.27797,20.78,VALID</x:v>
      </x:c>
      <x:c r="C6611" t="str">
        <x:v>Pasted text(59).txt</x:v>
      </x:c>
    </x:row>
    <x:row r="6612">
      <x:c r="A6612" t="n">
        <x:v>2582</x:v>
      </x:c>
      <x:c r="B6612" s="58" t="str">
        <x:v>Z,268.07272,0.22476,22.06,VALID</x:v>
      </x:c>
      <x:c r="C6612" t="str">
        <x:v>Pasted text(59).txt</x:v>
      </x:c>
    </x:row>
    <x:row r="6613">
      <x:c r="A6613" t="n">
        <x:v>2583</x:v>
      </x:c>
      <x:c r="B6613" s="58" t="str">
        <x:v>Combined frequency: 268.01496 Hz | difference 0.01496 Hz</x:v>
      </x:c>
      <x:c r="C6613" t="str">
        <x:v>Pasted text(59).txt</x:v>
      </x:c>
    </x:row>
    <x:row r="6614">
      <x:c r="A6614" t="n">
        <x:v>2584</x:v>
      </x:c>
      <x:c r="B6614" s="58" t="str">
        <x:v>Combined X/Y/Z/TOTAL: 0.64857 / 0.25295 / 0.20734 / 0.72637</x:v>
      </x:c>
      <x:c r="C6614" t="str">
        <x:v>Pasted text(59).txt</x:v>
      </x:c>
    </x:row>
    <x:row r="6615">
      <x:c r="A6615" t="n">
        <x:v>2585</x:v>
      </x:c>
      <x:c r="B6615" s="58" t="str">
        <x:v>SNR: 26.16 dB | dominant axis X</x:v>
      </x:c>
      <x:c r="C6615" t="str">
        <x:v>Pasted text(59).txt</x:v>
      </x:c>
    </x:row>
    <x:row r="6616">
      <x:c r="A6616" t="n">
        <x:v>2586</x:v>
      </x:c>
      <x:c r="B6616" s="58" t="str">
        <x:v>Frequency verification: PASS</x:v>
      </x:c>
      <x:c r="C6616" t="str">
        <x:v>Pasted text(59).txt</x:v>
      </x:c>
    </x:row>
    <x:row r="6617">
      <x:c r="A6617" t="n">
        <x:v>2587</x:v>
      </x:c>
      <x:c r="B6617" s="58" t="str">
        <x:v>Y/Z dominance: DIAGNOSTIC ONLY — ignored for pass/fail</x:v>
      </x:c>
      <x:c r="C6617" t="str">
        <x:v>Pasted text(59).txt</x:v>
      </x:c>
    </x:row>
    <x:row r="6618">
      <x:c r="A6618" t="n">
        <x:v>2588</x:v>
      </x:c>
      <x:c r="B6618" s="58" t="str"/>
      <x:c r="C6618" t="str">
        <x:v>Pasted text(59).txt</x:v>
      </x:c>
    </x:row>
    <x:row r="6619">
      <x:c r="A6619" t="n">
        <x:v>2589</x:v>
      </x:c>
      <x:c r="B6619" s="58" t="str">
        <x:v>FIXED-DAC HOLD VALIDATION</x:v>
      </x:c>
      <x:c r="C6619" t="str">
        <x:v>Pasted text(59).txt</x:v>
      </x:c>
    </x:row>
    <x:row r="6620">
      <x:c r="A6620" t="n">
        <x:v>2590</x:v>
      </x:c>
      <x:c r="B6620" s="58" t="str">
        <x:v>DAC remains fixed at 7.75 for 10 records.</x:v>
      </x:c>
      <x:c r="C6620" t="str">
        <x:v>Pasted text(59).txt</x:v>
      </x:c>
    </x:row>
    <x:row r="6621">
      <x:c r="A6621" t="n">
        <x:v>2591</x:v>
      </x:c>
      <x:c r="B6621" s="58" t="str">
        <x:v>HOLD | point 1 | DAC 7.75 | CTRL X 0.79198 | X 0.78916 | Y 0.30796 | Z 0.25117 | TOTAL 0.88443 | error 5.60 % | MAD 1.55 % | CV 1.62 % | coh 83.4 % | dominant X | axis fraction 100.0 % | IN TARGET BAND</x:v>
      </x:c>
      <x:c r="C6621" t="str">
        <x:v>Pasted text(59).txt</x:v>
      </x:c>
    </x:row>
    <x:row r="6622">
      <x:c r="A6622" t="n">
        <x:v>2592</x:v>
      </x:c>
      <x:c r="B6622" s="58" t="str">
        <x:v>HOLD | point 2 | DAC 7.75 | CTRL X 0.76703 | X 0.76522 | Y 0.30698 | Z 0.24345 | TOTAL 0.86001 | error 2.27 % | MAD 1.07 % | CV 1.10 % | coh 80.6 % | dominant X | axis fraction 100.0 % | IN TARGET BAND</x:v>
      </x:c>
      <x:c r="C6622" t="str">
        <x:v>Pasted text(59).txt</x:v>
      </x:c>
    </x:row>
    <x:row r="6623">
      <x:c r="A6623" t="n">
        <x:v>2593</x:v>
      </x:c>
      <x:c r="B6623" s="58" t="str">
        <x:v>HOLD | point 3 | DAC 7.75 | CTRL X 0.78375 | X 0.78870 | Y 0.30157 | Z 0.24376 | TOTAL 0.87902 | error 4.50 % | MAD 0.66 % | CV 1.48 % | coh 82.8 % | dominant X | axis fraction 100.0 % | IN TARGET BAND</x:v>
      </x:c>
      <x:c r="C6623" t="str">
        <x:v>Pasted text(59).txt</x:v>
      </x:c>
    </x:row>
    <x:row r="6624">
      <x:c r="A6624" t="n">
        <x:v>2594</x:v>
      </x:c>
      <x:c r="B6624" s="58" t="str">
        <x:v>HOLD | point 4 | DAC 7.75 | CTRL X 0.77938 | X 0.77119 | Y 0.31018 | Z 0.24556 | TOTAL 0.86744 | error 3.92 % | MAD 1.61 % | CV 2.84 % | coh 82.7 % | dominant X | axis fraction 100.0 % | IN TARGET BAND</x:v>
      </x:c>
      <x:c r="C6624" t="str">
        <x:v>Pasted text(59).txt</x:v>
      </x:c>
    </x:row>
    <x:row r="6625">
      <x:c r="A6625" t="n">
        <x:v>2595</x:v>
      </x:c>
      <x:c r="B6625" s="58" t="str">
        <x:v>HOLD | point 5 | DAC 7.75 | CTRL X 0.80288 | X 0.79905 | Y 0.30885 | Z 0.23663 | TOTAL 0.88890 | error 7.05 % | MAD 0.43 % | CV 1.09 % | coh 84.1 % | dominant X | axis fraction 100.0 % | IN TARGET BAND</x:v>
      </x:c>
      <x:c r="C6625" t="str">
        <x:v>Pasted text(59).txt</x:v>
      </x:c>
    </x:row>
    <x:row r="6626">
      <x:c r="A6626" t="n">
        <x:v>2596</x:v>
      </x:c>
      <x:c r="B6626" s="58" t="str">
        <x:v>HOLD | point 6 | DAC 7.75 | CTRL X 0.76461 | X 0.76485 | Y 0.31984 | Z 0.24811 | TOTAL 0.86551 | error 1.95 % | MAD 1.15 % | CV 0.82 % | coh 82.3 % | dominant X | axis fraction 100.0 % | IN TARGET BAND</x:v>
      </x:c>
      <x:c r="C6626" t="str">
        <x:v>Pasted text(59).txt</x:v>
      </x:c>
    </x:row>
    <x:row r="6627">
      <x:c r="A6627" t="n">
        <x:v>2597</x:v>
      </x:c>
      <x:c r="B6627" s="58" t="str">
        <x:v>HOLD | point 7 | DAC 7.75 | CTRL X 0.77493 | X 0.76698 | Y 0.30419 | Z 0.22358 | TOTAL 0.85517 | error 3.32 % | MAD 0.93 % | CV 2.37 % | coh 82.9 % | dominant X | axis fraction 100.0 % | IN TARGET BAND</x:v>
      </x:c>
      <x:c r="C6627" t="str">
        <x:v>Pasted text(59).txt</x:v>
      </x:c>
    </x:row>
    <x:row r="6628">
      <x:c r="A6628" t="n">
        <x:v>2598</x:v>
      </x:c>
      <x:c r="B6628" s="58" t="str">
        <x:v>HOLD | point 8 | DAC 7.75 | CTRL X 0.79438 | X 0.77353 | Y 0.31076 | Z 0.28048 | TOTAL 0.88000 | error 5.92 % | MAD 0.49 % | CV 4.97 % | coh 81.3 % | dominant X | axis fraction 100.0 % | IN TARGET BAND</x:v>
      </x:c>
      <x:c r="C6628" t="str">
        <x:v>Pasted text(59).txt</x:v>
      </x:c>
    </x:row>
    <x:row r="6629">
      <x:c r="A6629" t="n">
        <x:v>2599</x:v>
      </x:c>
      <x:c r="B6629" s="58" t="str">
        <x:v>HOLD | point 9 | DAC 7.75 | CTRL X 0.76724 | X 0.76679 | Y 0.29726 | Z 0.25664 | TOTAL 0.86207 | error 2.30 % | MAD 0.65 % | CV 0.53 % | coh 81.5 % | dominant X | axis fraction 100.0 % | IN TARGET BAND</x:v>
      </x:c>
      <x:c r="C6629" t="str">
        <x:v>Pasted text(59).txt</x:v>
      </x:c>
    </x:row>
    <x:row r="6630">
      <x:c r="A6630" t="n">
        <x:v>2600</x:v>
      </x:c>
      <x:c r="B6630" s="58" t="str">
        <x:v>HOLD | point 10 | DAC 7.75 | CTRL X 0.77648 | X 0.78191 | Y 0.27508 | Z 0.25861 | TOTAL 0.86880 | error 3.53 % | MAD 1.31 % | CV 2.01 % | coh 83.4 % | dominant X | axis fraction 100.0 % | IN TARGET BAND</x:v>
      </x:c>
      <x:c r="C6630" t="str">
        <x:v>Pasted text(59).txt</x:v>
      </x:c>
    </x:row>
    <x:row r="6631">
      <x:c r="A6631" t="n">
        <x:v>2601</x:v>
      </x:c>
      <x:c r="B6631" s="58" t="str"/>
      <x:c r="C6631" t="str">
        <x:v>Pasted text(59).txt</x:v>
      </x:c>
    </x:row>
    <x:row r="6632">
      <x:c r="A6632" t="n">
        <x:v>2602</x:v>
      </x:c>
      <x:c r="B6632" s="58" t="str">
        <x:v>HOLD SUMMARY</x:v>
      </x:c>
      <x:c r="C6632" t="str">
        <x:v>Pasted text(59).txt</x:v>
      </x:c>
    </x:row>
    <x:row r="6633">
      <x:c r="A6633" t="n">
        <x:v>2603</x:v>
      </x:c>
      <x:c r="B6633" s="58" t="str">
        <x:v>Valid / requested: 10 / 10</x:v>
      </x:c>
      <x:c r="C6633" t="str">
        <x:v>Pasted text(59).txt</x:v>
      </x:c>
    </x:row>
    <x:row r="6634">
      <x:c r="A6634" t="n">
        <x:v>2604</x:v>
      </x:c>
      <x:c r="B6634" s="58" t="str">
        <x:v>In band / requested: 10 / 10 = 100.0 %</x:v>
      </x:c>
      <x:c r="C6634" t="str">
        <x:v>Pasted text(59).txt</x:v>
      </x:c>
    </x:row>
    <x:row r="6635">
      <x:c r="A6635" t="n">
        <x:v>2605</x:v>
      </x:c>
      <x:c r="B6635" s="58" t="str">
        <x:v>Mean / SD / CV: 0.78027 / 0.01288 / 1.65 %</x:v>
      </x:c>
      <x:c r="C6635" t="str">
        <x:v>Pasted text(59).txt</x:v>
      </x:c>
    </x:row>
    <x:row r="6636">
      <x:c r="A6636" t="n">
        <x:v>2606</x:v>
      </x:c>
      <x:c r="B6636" s="58" t="str">
        <x:v>Min / Max: 0.76461 / 0.80288</x:v>
      </x:c>
      <x:c r="C6636" t="str">
        <x:v>Pasted text(59).txt</x:v>
      </x:c>
    </x:row>
    <x:row r="6637">
      <x:c r="A6637" t="n">
        <x:v>2607</x:v>
      </x:c>
      <x:c r="B6637" s="58" t="str">
        <x:v>HOLD RESULT: PASS</x:v>
      </x:c>
      <x:c r="C6637" t="str">
        <x:v>Pasted text(59).txt</x:v>
      </x:c>
    </x:row>
    <x:row r="6638">
      <x:c r="A6638" t="n">
        <x:v>2608</x:v>
      </x:c>
      <x:c r="B6638" s="58" t="str"/>
      <x:c r="C6638" t="str">
        <x:v>Pasted text(59).txt</x:v>
      </x:c>
    </x:row>
    <x:row r="6639">
      <x:c r="A6639" t="n">
        <x:v>2609</x:v>
      </x:c>
      <x:c r="B6639" s="58" t="str">
        <x:v>RUN RESULT: PASS</x:v>
      </x:c>
      <x:c r="C6639" t="str">
        <x:v>Pasted text(59).txt</x:v>
      </x:c>
    </x:row>
    <x:row r="6640">
      <x:c r="A6640" t="n">
        <x:v>2610</x:v>
      </x:c>
      <x:c r="B6640" s="58" t="str">
        <x:v>Selected DAC: 7.75</x:v>
      </x:c>
      <x:c r="C6640" t="str">
        <x:v>Pasted text(59).txt</x:v>
      </x:c>
    </x:row>
    <x:row r="6641">
      <x:c r="A6641" t="n">
        <x:v>2611</x:v>
      </x:c>
      <x:c r="B6641" s="58" t="str">
        <x:v>Validated amplitude: 0.77332 m/s^2 | error 3.11 %</x:v>
      </x:c>
      <x:c r="C6641" t="str">
        <x:v>Pasted text(59).txt</x:v>
      </x:c>
    </x:row>
    <x:row r="6642">
      <x:c r="A6642" t="n">
        <x:v>2612</x:v>
      </x:c>
      <x:c r="B6642" s="58" t="str">
        <x:v>FFT frequency: 268.01496 Hz | difference 0.01496 Hz</x:v>
      </x:c>
      <x:c r="C6642" t="str">
        <x:v>Pasted text(59).txt</x:v>
      </x:c>
    </x:row>
    <x:row r="6643">
      <x:c r="A6643" t="n">
        <x:v>2613</x:v>
      </x:c>
      <x:c r="B6643" s="58" t="str"/>
      <x:c r="C6643" t="str">
        <x:v>Pasted text(59).txt</x:v>
      </x:c>
    </x:row>
    <x:row r="6644">
      <x:c r="A6644" t="n">
        <x:v>2614</x:v>
      </x:c>
      <x:c r="B6644" s="58" t="str">
        <x:v>VISATON OFF. RESTING 5.0 s BEFORE THE NEXT COMPLETELY FRESH RUN.</x:v>
      </x:c>
      <x:c r="C6644" t="str">
        <x:v>Pasted text(59).txt</x:v>
      </x:c>
    </x:row>
    <x:row r="6645">
      <x:c r="A6645" t="n">
        <x:v>2615</x:v>
      </x:c>
      <x:c r="B6645" s="58" t="str"/>
      <x:c r="C6645" t="str">
        <x:v>Pasted text(59).txt</x:v>
      </x:c>
    </x:row>
    <x:row r="6646">
      <x:c r="A6646" t="n">
        <x:v>2616</x:v>
      </x:c>
      <x:c r="B6646" s="58" t="str">
        <x:v>################################################################################</x:v>
      </x:c>
      <x:c r="C6646" t="str">
        <x:v>Pasted text(59).txt</x:v>
      </x:c>
    </x:row>
    <x:row r="6647">
      <x:c r="A6647" t="n">
        <x:v>2617</x:v>
      </x:c>
      <x:c r="B6647" s="58" t="str">
        <x:v>INDEPENDENT TARGET-AMPLITUDE RUN 3 OF 5</x:v>
      </x:c>
      <x:c r="C6647" t="str">
        <x:v>Pasted text(59).txt</x:v>
      </x:c>
    </x:row>
    <x:row r="6648">
      <x:c r="A6648" t="n">
        <x:v>2618</x:v>
      </x:c>
      <x:c r="B6648" s="58" t="str">
        <x:v>################################################################################</x:v>
      </x:c>
      <x:c r="C6648" t="str">
        <x:v>Pasted text(59).txt</x:v>
      </x:c>
    </x:row>
    <x:row r="6649">
      <x:c r="A6649" t="n">
        <x:v>2619</x:v>
      </x:c>
      <x:c r="B6649" s="58" t="str">
        <x:v>Frequency: 268.00000 Hz</x:v>
      </x:c>
      <x:c r="C6649" t="str">
        <x:v>Pasted text(59).txt</x:v>
      </x:c>
    </x:row>
    <x:row r="6650">
      <x:c r="A6650" t="n">
        <x:v>2620</x:v>
      </x:c>
      <x:c r="B6650" s="58" t="str">
        <x:v>Target X amplitude: 0.75000 m/s^2 peak, tolerance +/-7.50 %</x:v>
      </x:c>
      <x:c r="C6650" t="str">
        <x:v>Pasted text(59).txt</x:v>
      </x:c>
    </x:row>
    <x:row r="6651">
      <x:c r="A6651" t="n">
        <x:v>2621</x:v>
      </x:c>
      <x:c r="B6651" s="58" t="str">
        <x:v>This run starts from DAC 1.00 and ignores every earlier selected DAC.</x:v>
      </x:c>
      <x:c r="C6651" t="str">
        <x:v>Pasted text(59).txt</x:v>
      </x:c>
    </x:row>
    <x:row r="6652">
      <x:c r="A6652" t="n">
        <x:v>2622</x:v>
      </x:c>
      <x:c r="B6652" s="58" t="str">
        <x:v>ADXL2 DEVID/DATA_FORMAT/BW_RATE/POWER_CTL: 0xE5 / 0xB / 0xE / 0x8</x:v>
      </x:c>
      <x:c r="C6652" t="str">
        <x:v>Pasted text(59).txt</x:v>
      </x:c>
    </x:row>
    <x:row r="6653">
      <x:c r="A6653" t="n">
        <x:v>2623</x:v>
      </x:c>
      <x:c r="B6653" s="58" t="str"/>
      <x:c r="C6653" t="str">
        <x:v>Pasted text(59).txt</x:v>
      </x:c>
    </x:row>
    <x:row r="6654">
      <x:c r="A6654" t="n">
        <x:v>2624</x:v>
      </x:c>
      <x:c r="B6654" s="58" t="str">
        <x:v>ACQUISITION ATTEMPT 1 OF 2</x:v>
      </x:c>
      <x:c r="C6654" t="str">
        <x:v>Pasted text(59).txt</x:v>
      </x:c>
    </x:row>
    <x:row r="6655">
      <x:c r="A6655" t="n">
        <x:v>2625</x:v>
      </x:c>
      <x:c r="B6655" s="58" t="str"/>
      <x:c r="C6655" t="str">
        <x:v>Pasted text(59).txt</x:v>
      </x:c>
    </x:row>
    <x:row r="6656">
      <x:c r="A6656" t="n">
        <x:v>2626</x:v>
      </x:c>
      <x:c r="B6656" s="58" t="str">
        <x:v>FRESH X-AXIS SEARCH FROM DAC 1.00 — OLD DAC VALUES ARE NOT USED</x:v>
      </x:c>
      <x:c r="C6656" t="str">
        <x:v>Pasted text(59).txt</x:v>
      </x:c>
    </x:row>
    <x:row r="6657">
      <x:c r="A6657" t="n">
        <x:v>2627</x:v>
      </x:c>
      <x:c r="B6657" s="58" t="str">
        <x:v>Y/Z are diagnostic only and cannot abort this search.</x:v>
      </x:c>
      <x:c r="C6657" t="str">
        <x:v>Pasted text(59).txt</x:v>
      </x:c>
    </x:row>
    <x:row r="6658">
      <x:c r="A6658" t="n">
        <x:v>2628</x:v>
      </x:c>
      <x:c r="B6658" s="58" t="str">
        <x:v>A real SPI fault, clipping, safety limit or confirmed X-response collapse will stop it.</x:v>
      </x:c>
      <x:c r="C6658" t="str">
        <x:v>Pasted text(59).txt</x:v>
      </x:c>
    </x:row>
    <x:row r="6659">
      <x:c r="A6659" t="n">
        <x:v>2629</x:v>
      </x:c>
      <x:c r="B6659" s="58" t="str">
        <x:v>SEARCH | point 1 | DAC 1.00 | CTRL X 0.01836 | X 0.01785 | Y 0.01685 | Z 0.01251 | TOTAL 0.02803 | error -97.55 % | MAD 8.23 % | CV 4.04 % | coh 6.1 % | dominant X | axis fraction 100.0 % | BELOW MEASUREMENT FLOOR — SEARCH CONTINUES</x:v>
      </x:c>
      <x:c r="C6659" t="str">
        <x:v>Pasted text(59).txt</x:v>
      </x:c>
    </x:row>
    <x:row r="6660">
      <x:c r="A6660" t="n">
        <x:v>2630</x:v>
      </x:c>
      <x:c r="B6660" s="58" t="str">
        <x:v>SEARCH | point 2 | DAC 3.00 | CTRL X 0.22094 | X 0.22094 | Y 0.07901 | Z 0.10210 | TOTAL 0.25693 | error -70.54 % | MAD 0.98 % | CV 0.67 % | coh 47.9 % | dominant X | axis fraction 100.0 % | UNSTABLE — SEARCH CONTINUES</x:v>
      </x:c>
      <x:c r="C6660" t="str">
        <x:v>Pasted text(59).txt</x:v>
      </x:c>
    </x:row>
    <x:row r="6661">
      <x:c r="A6661" t="n">
        <x:v>2631</x:v>
      </x:c>
      <x:c r="B6661" s="58" t="str">
        <x:v>SEARCH | point 3 | DAC 4.00 | CTRL X 0.34740 | X 0.35534 | Y 0.10330 | Z 0.09886 | TOTAL 0.38375 | error -53.68 % | MAD 3.11 % | CV 5.74 % | coh 63.0 % | dominant X | axis fraction 100.0 % | VALID</x:v>
      </x:c>
      <x:c r="C6661" t="str">
        <x:v>Pasted text(59).txt</x:v>
      </x:c>
    </x:row>
    <x:row r="6662">
      <x:c r="A6662" t="n">
        <x:v>2632</x:v>
      </x:c>
      <x:c r="B6662" s="58" t="str">
        <x:v>SEARCH | point 4 | DAC 5.00 | CTRL X 0.45217 | X 0.46200 | Y 0.16351 | Z 0.13635 | TOTAL 0.50988 | error -39.71 % | MAD 0.34 % | CV 3.88 % | coh 70.9 % | dominant X | axis fraction 100.0 % | VALID</x:v>
      </x:c>
      <x:c r="C6662" t="str">
        <x:v>Pasted text(59).txt</x:v>
      </x:c>
    </x:row>
    <x:row r="6663">
      <x:c r="A6663" t="n">
        <x:v>2633</x:v>
      </x:c>
      <x:c r="B6663" s="58" t="str">
        <x:v>SEARCH | point 5 | DAC 5.50 | CTRL X 0.47710 | X 0.48013 | Y 0.19405 | Z 0.14691 | TOTAL 0.53848 | error -36.39 % | MAD 3.80 % | CV 3.53 % | coh 75.6 % | dominant X | axis fraction 100.0 % | VALID</x:v>
      </x:c>
      <x:c r="C6663" t="str">
        <x:v>Pasted text(59).txt</x:v>
      </x:c>
    </x:row>
    <x:row r="6664">
      <x:c r="A6664" t="n">
        <x:v>2634</x:v>
      </x:c>
      <x:c r="B6664" s="58" t="str">
        <x:v>SEARCH | point 6 | DAC 6.00 | CTRL X 0.56570 | X 0.56411 | Y 0.23056 | Z 0.20254 | TOTAL 0.64263 | error -24.57 % | MAD 0.42 % | CV 0.75 % | coh 75.5 % | dominant X | axis fraction 100.0 % | VALID</x:v>
      </x:c>
      <x:c r="C6664" t="str">
        <x:v>Pasted text(59).txt</x:v>
      </x:c>
    </x:row>
    <x:row r="6665">
      <x:c r="A6665" t="n">
        <x:v>2635</x:v>
      </x:c>
      <x:c r="B6665" s="58" t="str">
        <x:v>SEARCH | point 7 | DAC 6.50 | CTRL X 0.62372 | X 0.60674 | Y 0.22611 | Z 0.22113 | TOTAL 0.68443 | error -16.84 % | MAD 1.33 % | CV 5.66 % | coh 82.2 % | dominant X | axis fraction 100.0 % | VALID</x:v>
      </x:c>
      <x:c r="C6665" t="str">
        <x:v>Pasted text(59).txt</x:v>
      </x:c>
    </x:row>
    <x:row r="6666">
      <x:c r="A6666" t="n">
        <x:v>2636</x:v>
      </x:c>
      <x:c r="B6666" s="58" t="str">
        <x:v>SEARCH | point 8 | DAC 7.00 | CTRL X 0.70485 | X 0.70010 | Y 0.25883 | Z 0.23783 | TOTAL 0.78376 | error -6.02 % | MAD 2.49 % | CV 2.77 % | coh 83.9 % | dominant X | axis fraction 100.0 % | IN TARGET BAND</x:v>
      </x:c>
      <x:c r="C6666" t="str">
        <x:v>Pasted text(59).txt</x:v>
      </x:c>
    </x:row>
    <x:row r="6667">
      <x:c r="A6667" t="n">
        <x:v>2637</x:v>
      </x:c>
      <x:c r="B6667" s="58" t="str"/>
      <x:c r="C6667" t="str">
        <x:v>Pasted text(59).txt</x:v>
      </x:c>
    </x:row>
    <x:row r="6668">
      <x:c r="A6668" t="n">
        <x:v>2638</x:v>
      </x:c>
      <x:c r="B6668" s="58" t="str">
        <x:v>LOCAL 0.25-DAC X-AXIS FINE SCAN</x:v>
      </x:c>
      <x:c r="C6668" t="str">
        <x:v>Pasted text(59).txt</x:v>
      </x:c>
    </x:row>
    <x:row r="6669">
      <x:c r="A6669" t="n">
        <x:v>2639</x:v>
      </x:c>
      <x:c r="B6669" s="58" t="str">
        <x:v>Only a valid point actually inside the X target band may be selected.</x:v>
      </x:c>
      <x:c r="C6669" t="str">
        <x:v>Pasted text(59).txt</x:v>
      </x:c>
    </x:row>
    <x:row r="6670">
      <x:c r="A6670" t="n">
        <x:v>2640</x:v>
      </x:c>
      <x:c r="B6670" s="58" t="str">
        <x:v>FINE | point 1 | DAC 6.00 | CTRL X 0.55453 | X 0.55551 | Y 0.24321 | Z 0.21428 | TOTAL 0.64326 | error -26.06 % | MAD 1.41 % | CV 1.22 % | coh 76.8 % | dominant X | axis fraction 100.0 % | VALID</x:v>
      </x:c>
      <x:c r="C6670" t="str">
        <x:v>Pasted text(59).txt</x:v>
      </x:c>
    </x:row>
    <x:row r="6671">
      <x:c r="A6671" t="n">
        <x:v>2641</x:v>
      </x:c>
      <x:c r="B6671" s="58" t="str">
        <x:v>FINE | point 2 | DAC 6.25 | CTRL X 0.60639 | X 0.59599 | Y 0.23953 | Z 0.21095 | TOTAL 0.67645 | error -19.15 % | MAD 0.34 % | CV 3.22 % | coh 80.4 % | dominant X | axis fraction 100.0 % | VALID</x:v>
      </x:c>
      <x:c r="C6671" t="str">
        <x:v>Pasted text(59).txt</x:v>
      </x:c>
    </x:row>
    <x:row r="6672">
      <x:c r="A6672" t="n">
        <x:v>2642</x:v>
      </x:c>
      <x:c r="B6672" s="58" t="str">
        <x:v>FINE | point 3 | DAC 6.50 | CTRL X 0.59142 | X 0.59494 | Y 0.22042 | Z 0.18707 | TOTAL 0.66190 | error -21.14 % | MAD 3.34 % | CV 3.17 % | coh 79.7 % | dominant X | axis fraction 100.0 % | VALID</x:v>
      </x:c>
      <x:c r="C6672" t="str">
        <x:v>Pasted text(59).txt</x:v>
      </x:c>
    </x:row>
    <x:row r="6673">
      <x:c r="A6673" t="n">
        <x:v>2643</x:v>
      </x:c>
      <x:c r="B6673" s="58" t="str">
        <x:v>FINE | point 4 | DAC 6.75 | CTRL X 0.65703 | X 0.65923 | Y 0.24558 | Z 0.24870 | TOTAL 0.74618 | error -12.40 % | MAD 2.09 % | CV 1.92 % | coh 79.2 % | dominant X | axis fraction 100.0 % | VALID</x:v>
      </x:c>
      <x:c r="C6673" t="str">
        <x:v>Pasted text(59).txt</x:v>
      </x:c>
    </x:row>
    <x:row r="6674">
      <x:c r="A6674" t="n">
        <x:v>2644</x:v>
      </x:c>
      <x:c r="B6674" s="58" t="str">
        <x:v>FINE | point 5 | DAC 7.00 | CTRL X 0.68194 | X 0.68312 | Y 0.25625 | Z 0.23585 | TOTAL 0.76752 | error -9.08 % | MAD 3.29 % | CV 2.48 % | coh 80.6 % | dominant X | axis fraction 100.0 % | VALID</x:v>
      </x:c>
      <x:c r="C6674" t="str">
        <x:v>Pasted text(59).txt</x:v>
      </x:c>
    </x:row>
    <x:row r="6675">
      <x:c r="A6675" t="n">
        <x:v>2645</x:v>
      </x:c>
      <x:c r="B6675" s="58" t="str">
        <x:v>FINE | point 6 | DAC 7.25 | CTRL X 0.70001 | X 0.70871 | Y 0.28278 | Z 0.24368 | TOTAL 0.80116 | error -6.66 % | MAD 0.95 % | CV 2.69 % | coh 84.0 % | dominant X | axis fraction 100.0 % | IN TARGET BAND</x:v>
      </x:c>
      <x:c r="C6675" t="str">
        <x:v>Pasted text(59).txt</x:v>
      </x:c>
    </x:row>
    <x:row r="6676">
      <x:c r="A6676" t="n">
        <x:v>2646</x:v>
      </x:c>
      <x:c r="B6676" s="58" t="str">
        <x:v>FINE | point 7 | DAC 7.50 | CTRL X 0.73074 | X 0.73068 | Y 0.25804 | Z 0.25494 | TOTAL 0.81623 | error -2.57 % | MAD 6.67 % | CV 4.51 % | coh 86.3 % | dominant X | axis fraction 100.0 % | IN TARGET BAND</x:v>
      </x:c>
      <x:c r="C6676" t="str">
        <x:v>Pasted text(59).txt</x:v>
      </x:c>
    </x:row>
    <x:row r="6677">
      <x:c r="A6677" t="n">
        <x:v>2647</x:v>
      </x:c>
      <x:c r="B6677" s="58" t="str">
        <x:v>FINE | point 8 | DAC 7.75 | CTRL X 0.77509 | X 0.78063 | Y 0.31622 | Z 0.23485 | TOTAL 0.87538 | error 3.35 % | MAD 3.90 % | CV 3.73 % | coh 82.5 % | dominant X | axis fraction 100.0 % | IN TARGET BAND</x:v>
      </x:c>
      <x:c r="C6677" t="str">
        <x:v>Pasted text(59).txt</x:v>
      </x:c>
    </x:row>
    <x:row r="6678">
      <x:c r="A6678" t="n">
        <x:v>2648</x:v>
      </x:c>
      <x:c r="B6678" s="58" t="str">
        <x:v>FINE | point 9 | DAC 8.00 | CTRL X 0.79120 | X 0.77796 | Y 0.31326 | Z 0.28948 | TOTAL 0.88727 | error 5.49 % | MAD 0.77 % | CV 3.41 % | coh 82.8 % | dominant X | axis fraction 100.0 % | IN TARGET BAND</x:v>
      </x:c>
      <x:c r="C6678" t="str">
        <x:v>Pasted text(59).txt</x:v>
      </x:c>
    </x:row>
    <x:row r="6679">
      <x:c r="A6679" t="n">
        <x:v>2649</x:v>
      </x:c>
      <x:c r="B6679" s="58" t="str"/>
      <x:c r="C6679" t="str">
        <x:v>Pasted text(59).txt</x:v>
      </x:c>
    </x:row>
    <x:row r="6680">
      <x:c r="A6680" t="n">
        <x:v>2650</x:v>
      </x:c>
      <x:c r="B6680" s="58" t="str">
        <x:v>LONG VALIDATION AT FIXED DAC 8.00</x:v>
      </x:c>
      <x:c r="C6680" t="str">
        <x:v>Pasted text(59).txt</x:v>
      </x:c>
    </x:row>
    <x:row r="6681">
      <x:c r="A6681" t="n">
        <x:v>2651</x:v>
      </x:c>
      <x:c r="B6681" s="58" t="str">
        <x:v>FINAL | point 1 | DAC 8.00 | CTRL X 0.80923 | X 0.81362 | Y 0.32225 | Z 0.27326 | TOTAL 0.91785 | error 7.90 % | MAD 2.39 % | CV 1.77 % | coh 86.0 % | dominant X | axis fraction 100.0 % | VALID</x:v>
      </x:c>
      <x:c r="C6681" t="str">
        <x:v>Pasted text(59).txt</x:v>
      </x:c>
    </x:row>
    <x:row r="6682">
      <x:c r="A6682" t="n">
        <x:v>2652</x:v>
      </x:c>
      <x:c r="B6682" s="58" t="str">
        <x:v>FINAL | point 2 | DAC 8.00 | CTRL X 0.79970 | X 0.78990 | Y 0.33024 | Z 0.28098 | TOTAL 0.90149 | error 6.63 % | MAD 2.40 % | CV 2.58 % | coh 84.3 % | dominant X | axis fraction 100.0 % | IN TARGET BAND</x:v>
      </x:c>
      <x:c r="C6682" t="str">
        <x:v>Pasted text(59).txt</x:v>
      </x:c>
    </x:row>
    <x:row r="6683">
      <x:c r="A6683" t="n">
        <x:v>2653</x:v>
      </x:c>
      <x:c r="B6683" s="58" t="str">
        <x:v>FINAL | point 3 | DAC 8.00 | CTRL X 0.80916 | X 0.80554 | Y 0.30754 | Z 0.26173 | TOTAL 0.90134 | error 7.89 % | MAD 1.29 % | CV 1.21 % | coh 84.8 % | dominant X | axis fraction 100.0 % | VALID</x:v>
      </x:c>
      <x:c r="C6683" t="str">
        <x:v>Pasted text(59).txt</x:v>
      </x:c>
    </x:row>
    <x:row r="6684">
      <x:c r="A6684" t="n">
        <x:v>2654</x:v>
      </x:c>
      <x:c r="B6684" s="58" t="str"/>
      <x:c r="C6684" t="str">
        <x:v>Pasted text(59).txt</x:v>
      </x:c>
    </x:row>
    <x:row r="6685">
      <x:c r="A6685" t="n">
        <x:v>2655</x:v>
      </x:c>
      <x:c r="B6685" s="58" t="str">
        <x:v>ACQUISITION ATTEMPT 2 OF 2</x:v>
      </x:c>
      <x:c r="C6685" t="str">
        <x:v>Pasted text(59).txt</x:v>
      </x:c>
    </x:row>
    <x:row r="6686">
      <x:c r="A6686" t="n">
        <x:v>2656</x:v>
      </x:c>
      <x:c r="B6686" s="58" t="str"/>
      <x:c r="C6686" t="str">
        <x:v>Pasted text(59).txt</x:v>
      </x:c>
    </x:row>
    <x:row r="6687">
      <x:c r="A6687" t="n">
        <x:v>2657</x:v>
      </x:c>
      <x:c r="B6687" s="58" t="str">
        <x:v>FRESH X-AXIS SEARCH FROM DAC 1.00 — OLD DAC VALUES ARE NOT USED</x:v>
      </x:c>
      <x:c r="C6687" t="str">
        <x:v>Pasted text(59).txt</x:v>
      </x:c>
    </x:row>
    <x:row r="6688">
      <x:c r="A6688" t="n">
        <x:v>2658</x:v>
      </x:c>
      <x:c r="B6688" s="58" t="str">
        <x:v>Y/Z are diagnostic only and cannot abort this search.</x:v>
      </x:c>
      <x:c r="C6688" t="str">
        <x:v>Pasted text(59).txt</x:v>
      </x:c>
    </x:row>
    <x:row r="6689">
      <x:c r="A6689" t="n">
        <x:v>2659</x:v>
      </x:c>
      <x:c r="B6689" s="58" t="str">
        <x:v>A real SPI fault, clipping, safety limit or confirmed X-response collapse will stop it.</x:v>
      </x:c>
      <x:c r="C6689" t="str">
        <x:v>Pasted text(59).txt</x:v>
      </x:c>
    </x:row>
    <x:row r="6690">
      <x:c r="A6690" t="n">
        <x:v>2660</x:v>
      </x:c>
      <x:c r="B6690" s="58" t="str">
        <x:v>SEARCH | point 1 | DAC 1.00 | CTRL X 0.03489 | X 0.03293 | Y 0.02971 | Z 0.04096 | TOTAL 0.06253 | error -95.35 % | MAD 32.97 % | CV 32.87 % | coh 11.4 % | dominant Z | axis fraction 80.4 % | BELOW MEASUREMENT FLOOR — SEARCH CONTINUES</x:v>
      </x:c>
      <x:c r="C6690" t="str">
        <x:v>Pasted text(59).txt</x:v>
      </x:c>
    </x:row>
    <x:row r="6691">
      <x:c r="A6691" t="n">
        <x:v>2661</x:v>
      </x:c>
      <x:c r="B6691" s="58" t="str">
        <x:v>SEARCH | point 2 | DAC 3.00 | CTRL X 0.21551 | X 0.22034 | Y 0.10141 | Z 0.08823 | TOTAL 0.25912 | error -71.27 % | MAD 0.48 % | CV 4.08 % | coh 47.5 % | dominant X | axis fraction 100.0 % | UNSTABLE — SEARCH CONTINUES</x:v>
      </x:c>
      <x:c r="C6691" t="str">
        <x:v>Pasted text(59).txt</x:v>
      </x:c>
    </x:row>
    <x:row r="6692">
      <x:c r="A6692" t="n">
        <x:v>2662</x:v>
      </x:c>
      <x:c r="B6692" s="58" t="str">
        <x:v>SEARCH | point 3 | DAC 4.00 | CTRL X 0.35044 | X 0.35400 | Y 0.13542 | Z 0.12169 | TOTAL 0.39835 | error -53.28 % | MAD 1.74 % | CV 2.81 % | coh 64.7 % | dominant X | axis fraction 100.0 % | VALID</x:v>
      </x:c>
      <x:c r="C6692" t="str">
        <x:v>Pasted text(59).txt</x:v>
      </x:c>
    </x:row>
    <x:row r="6693">
      <x:c r="A6693" t="n">
        <x:v>2663</x:v>
      </x:c>
      <x:c r="B6693" s="58" t="str">
        <x:v>SEARCH | point 4 | DAC 5.00 | CTRL X 0.46413 | X 0.45652 | Y 0.17414 | Z 0.15879 | TOTAL 0.51473 | error -38.12 % | MAD 4.07 % | CV 5.49 % | coh 69.3 % | dominant X | axis fraction 100.0 % | VALID</x:v>
      </x:c>
      <x:c r="C6693" t="str">
        <x:v>Pasted text(59).txt</x:v>
      </x:c>
    </x:row>
    <x:row r="6694">
      <x:c r="A6694" t="n">
        <x:v>2664</x:v>
      </x:c>
      <x:c r="B6694" s="58" t="str">
        <x:v>SEARCH | point 5 | DAC 5.50 | CTRL X 0.48810 | X 0.48787 | Y 0.18161 | Z 0.15430 | TOTAL 0.54340 | error -34.92 % | MAD 6.88 % | CV 4.72 % | coh 77.5 % | dominant X | axis fraction 100.0 % | VALID</x:v>
      </x:c>
      <x:c r="C6694" t="str">
        <x:v>Pasted text(59).txt</x:v>
      </x:c>
    </x:row>
    <x:row r="6695">
      <x:c r="A6695" t="n">
        <x:v>2665</x:v>
      </x:c>
      <x:c r="B6695" s="58" t="str">
        <x:v>SEARCH | point 6 | DAC 6.00 | CTRL X 0.55543 | X 0.56577 | Y 0.21303 | Z 0.21272 | TOTAL 0.64153 | error -25.94 % | MAD 2.55 % | CV 4.70 % | coh 78.7 % | dominant X | axis fraction 100.0 % | VALID</x:v>
      </x:c>
      <x:c r="C6695" t="str">
        <x:v>Pasted text(59).txt</x:v>
      </x:c>
    </x:row>
    <x:row r="6696">
      <x:c r="A6696" t="n">
        <x:v>2666</x:v>
      </x:c>
      <x:c r="B6696" s="58" t="str">
        <x:v>SEARCH | point 7 | DAC 6.50 | CTRL X 0.60218 | X 0.60174 | Y 0.24368 | Z 0.22043 | TOTAL 0.68566 | error -19.71 % | MAD 0.39 % | CV 0.38 % | coh 80.2 % | dominant X | axis fraction 100.0 % | VALID</x:v>
      </x:c>
      <x:c r="C6696" t="str">
        <x:v>Pasted text(59).txt</x:v>
      </x:c>
    </x:row>
    <x:row r="6697">
      <x:c r="A6697" t="n">
        <x:v>2667</x:v>
      </x:c>
      <x:c r="B6697" s="58" t="str">
        <x:v>SEARCH | point 8 | DAC 7.00 | CTRL X 0.68683 | X 0.68406 | Y 0.26847 | Z 0.23770 | TOTAL 0.77274 | error -8.42 % | MAD 6.99 % | CV 5.35 % | coh 81.4 % | dominant X | axis fraction 100.0 % | VALID</x:v>
      </x:c>
      <x:c r="C6697" t="str">
        <x:v>Pasted text(59).txt</x:v>
      </x:c>
    </x:row>
    <x:row r="6698">
      <x:c r="A6698" t="n">
        <x:v>2668</x:v>
      </x:c>
      <x:c r="B6698" s="58" t="str">
        <x:v>SEARCH | point 9 | DAC 7.25 | CTRL X 0.69914 | X 0.69791 | Y 0.29051 | Z 0.24223 | TOTAL 0.79464 | error -6.78 % | MAD 0.41 % | CV 0.56 % | coh 83.3 % | dominant X | axis fraction 100.0 % | IN TARGET BAND</x:v>
      </x:c>
      <x:c r="C6698" t="str">
        <x:v>Pasted text(59).txt</x:v>
      </x:c>
    </x:row>
    <x:row r="6699">
      <x:c r="A6699" t="n">
        <x:v>2669</x:v>
      </x:c>
      <x:c r="B6699" s="58" t="str"/>
      <x:c r="C6699" t="str">
        <x:v>Pasted text(59).txt</x:v>
      </x:c>
    </x:row>
    <x:row r="6700">
      <x:c r="A6700" t="n">
        <x:v>2670</x:v>
      </x:c>
      <x:c r="B6700" s="58" t="str">
        <x:v>LOCAL 0.25-DAC X-AXIS FINE SCAN</x:v>
      </x:c>
      <x:c r="C6700" t="str">
        <x:v>Pasted text(59).txt</x:v>
      </x:c>
    </x:row>
    <x:row r="6701">
      <x:c r="A6701" t="n">
        <x:v>2671</x:v>
      </x:c>
      <x:c r="B6701" s="58" t="str">
        <x:v>Only a valid point actually inside the X target band may be selected.</x:v>
      </x:c>
      <x:c r="C6701" t="str">
        <x:v>Pasted text(59).txt</x:v>
      </x:c>
    </x:row>
    <x:row r="6702">
      <x:c r="A6702" t="n">
        <x:v>2672</x:v>
      </x:c>
      <x:c r="B6702" s="58" t="str">
        <x:v>FINE | point 1 | DAC 6.25 | CTRL X 0.58444 | X 0.58087 | Y 0.23815 | Z 0.18018 | TOTAL 0.65341 | error -22.08 % | MAD 0.89 % | CV 1.62 % | coh 81.7 % | dominant X | axis fraction 100.0 % | VALID</x:v>
      </x:c>
      <x:c r="C6702" t="str">
        <x:v>Pasted text(59).txt</x:v>
      </x:c>
    </x:row>
    <x:row r="6703">
      <x:c r="A6703" t="n">
        <x:v>2673</x:v>
      </x:c>
      <x:c r="B6703" s="58" t="str">
        <x:v>FINE | point 2 | DAC 6.50 | CTRL X 0.61031 | X 0.60361 | Y 0.22061 | Z 0.18291 | TOTAL 0.66893 | error -18.63 % | MAD 2.37 % | CV 3.42 % | coh 83.1 % | dominant X | axis fraction 100.0 % | VALID</x:v>
      </x:c>
      <x:c r="C6703" t="str">
        <x:v>Pasted text(59).txt</x:v>
      </x:c>
    </x:row>
    <x:row r="6704">
      <x:c r="A6704" t="n">
        <x:v>2674</x:v>
      </x:c>
      <x:c r="B6704" s="58" t="str">
        <x:v>FINE | point 3 | DAC 6.75 | CTRL X 0.65372 | X 0.65169 | Y 0.25970 | Z 0.21231 | TOTAL 0.73325 | error -12.84 % | MAD 2.83 % | CV 2.40 % | coh 78.6 % | dominant X | axis fraction 100.0 % | VALID</x:v>
      </x:c>
      <x:c r="C6704" t="str">
        <x:v>Pasted text(59).txt</x:v>
      </x:c>
    </x:row>
    <x:row r="6705">
      <x:c r="A6705" t="n">
        <x:v>2675</x:v>
      </x:c>
      <x:c r="B6705" s="58" t="str">
        <x:v>FINE | point 4 | DAC 7.00 | CTRL X 0.68178 | X 0.68167 | Y 0.26512 | Z 0.24007 | TOTAL 0.77044 | error -9.10 % | MAD 3.59 % | CV 2.45 % | coh 82.5 % | dominant X | axis fraction 100.0 % | VALID</x:v>
      </x:c>
      <x:c r="C6705" t="str">
        <x:v>Pasted text(59).txt</x:v>
      </x:c>
    </x:row>
    <x:row r="6706">
      <x:c r="A6706" t="n">
        <x:v>2676</x:v>
      </x:c>
      <x:c r="B6706" s="58" t="str">
        <x:v>FINE | point 5 | DAC 7.25 | CTRL X 0.66442 | X 0.66599 | Y 0.27780 | Z 0.22865 | TOTAL 0.75737 | error -11.41 % | MAD 2.57 % | CV 2.09 % | coh 81.1 % | dominant X | axis fraction 100.0 % | VALID</x:v>
      </x:c>
      <x:c r="C6706" t="str">
        <x:v>Pasted text(59).txt</x:v>
      </x:c>
    </x:row>
    <x:row r="6707">
      <x:c r="A6707" t="n">
        <x:v>2677</x:v>
      </x:c>
      <x:c r="B6707" s="58" t="str">
        <x:v>FINE | point 6 | DAC 7.50 | CTRL X 0.71549 | X 0.71336 | Y 0.26553 | Z 0.26641 | TOTAL 0.80653 | error -4.60 % | MAD 1.36 % | CV 1.39 % | coh 84.7 % | dominant X | axis fraction 100.0 % | IN TARGET BAND</x:v>
      </x:c>
      <x:c r="C6707" t="str">
        <x:v>Pasted text(59).txt</x:v>
      </x:c>
    </x:row>
    <x:row r="6708">
      <x:c r="A6708" t="n">
        <x:v>2678</x:v>
      </x:c>
      <x:c r="B6708" s="58" t="str">
        <x:v>FINE | point 7 | DAC 7.75 | CTRL X 0.76885 | X 0.76507 | Y 0.28222 | Z 0.26361 | TOTAL 0.85742 | error 2.51 % | MAD 3.61 % | CV 3.22 % | coh 83.2 % | dominant X | axis fraction 100.0 % | IN TARGET BAND</x:v>
      </x:c>
      <x:c r="C6708" t="str">
        <x:v>Pasted text(59).txt</x:v>
      </x:c>
    </x:row>
    <x:row r="6709">
      <x:c r="A6709" t="n">
        <x:v>2679</x:v>
      </x:c>
      <x:c r="B6709" s="58" t="str">
        <x:v>FINE | point 8 | DAC 8.00 | CTRL X 0.79057 | X 0.78921 | Y 0.31707 | Z 0.25638 | TOTAL 0.88870 | error 5.41 % | MAD 2.62 % | CV 2.03 % | coh 85.0 % | dominant X | axis fraction 100.0 % | IN TARGET BAND</x:v>
      </x:c>
      <x:c r="C6709" t="str">
        <x:v>Pasted text(59).txt</x:v>
      </x:c>
    </x:row>
    <x:row r="6710">
      <x:c r="A6710" t="n">
        <x:v>2680</x:v>
      </x:c>
      <x:c r="B6710" s="58" t="str">
        <x:v>FINE | point 9 | DAC 8.25 | CTRL X 0.80837 | X 0.81780 | Y 0.32168 | Z 0.27799 | TOTAL 0.92223 | error 7.78 % | MAD 0.61 % | CV 2.36 % | coh 87.1 % | dominant X | axis fraction 100.0 % | VALID</x:v>
      </x:c>
      <x:c r="C6710" t="str">
        <x:v>Pasted text(59).txt</x:v>
      </x:c>
    </x:row>
    <x:row r="6711">
      <x:c r="A6711" t="n">
        <x:v>2681</x:v>
      </x:c>
      <x:c r="B6711" s="58" t="str"/>
      <x:c r="C6711" t="str">
        <x:v>Pasted text(59).txt</x:v>
      </x:c>
    </x:row>
    <x:row r="6712">
      <x:c r="A6712" t="n">
        <x:v>2682</x:v>
      </x:c>
      <x:c r="B6712" s="58" t="str">
        <x:v>LONG VALIDATION AT FIXED DAC 7.50</x:v>
      </x:c>
      <x:c r="C6712" t="str">
        <x:v>Pasted text(59).txt</x:v>
      </x:c>
    </x:row>
    <x:row r="6713">
      <x:c r="A6713" t="n">
        <x:v>2683</x:v>
      </x:c>
      <x:c r="B6713" s="58" t="str">
        <x:v>FINAL | point 1 | DAC 7.50 | CTRL X 0.70924 | X 0.71188 | Y 0.27779 | Z 0.24350 | TOTAL 0.80298 | error -5.44 % | MAD 2.10 % | CV 1.74 % | coh 85.8 % | dominant X | axis fraction 100.0 % | IN TARGET BAND</x:v>
      </x:c>
      <x:c r="C6713" t="str">
        <x:v>Pasted text(59).txt</x:v>
      </x:c>
    </x:row>
    <x:row r="6714">
      <x:c r="A6714" t="n">
        <x:v>2684</x:v>
      </x:c>
      <x:c r="B6714" s="58" t="str">
        <x:v>FINAL | point 2 | DAC 7.50 | CTRL X 0.70673 | X 0.70031 | Y 0.27774 | Z 0.23463 | TOTAL 0.78956 | error -5.77 % | MAD 2.53 % | CV 2.94 % | coh 84.1 % | dominant X | axis fraction 100.0 % | IN TARGET BAND</x:v>
      </x:c>
      <x:c r="C6714" t="str">
        <x:v>Pasted text(59).txt</x:v>
      </x:c>
    </x:row>
    <x:row r="6715">
      <x:c r="A6715" t="n">
        <x:v>2685</x:v>
      </x:c>
      <x:c r="B6715" s="58" t="str">
        <x:v>VALIDATION ACCEPTED | pair drift 0.35 %</x:v>
      </x:c>
      <x:c r="C6715" t="str">
        <x:v>Pasted text(59).txt</x:v>
      </x:c>
    </x:row>
    <x:row r="6716">
      <x:c r="A6716" t="n">
        <x:v>2686</x:v>
      </x:c>
      <x:c r="B6716" s="58" t="str"/>
      <x:c r="C6716" t="str">
        <x:v>Pasted text(59).txt</x:v>
      </x:c>
    </x:row>
    <x:row r="6717">
      <x:c r="A6717" t="n">
        <x:v>2687</x:v>
      </x:c>
      <x:c r="B6717" s="58" t="str">
        <x:v>FINAL VALIDATED BLIND FFT VERIFICATION</x:v>
      </x:c>
      <x:c r="C6717" t="str">
        <x:v>Pasted text(59).txt</x:v>
      </x:c>
    </x:row>
    <x:row r="6718">
      <x:c r="A6718" t="n">
        <x:v>2688</x:v>
      </x:c>
      <x:c r="B6718" s="58" t="str">
        <x:v>Commanded frequency: 268.00000 Hz</x:v>
      </x:c>
      <x:c r="C6718" t="str">
        <x:v>Pasted text(59).txt</x:v>
      </x:c>
    </x:row>
    <x:row r="6719">
      <x:c r="A6719" t="n">
        <x:v>2689</x:v>
      </x:c>
      <x:c r="B6719" s="58" t="str">
        <x:v>Accepted DAC: 7.50</x:v>
      </x:c>
      <x:c r="C6719" t="str">
        <x:v>Pasted text(59).txt</x:v>
      </x:c>
    </x:row>
    <x:row r="6720">
      <x:c r="A6720" t="n">
        <x:v>2690</x:v>
      </x:c>
      <x:c r="B6720" s="58" t="str">
        <x:v>Axis,Frequency_Hz,Amplitude_mps2,SNR_dB,Status</x:v>
      </x:c>
      <x:c r="C6720" t="str">
        <x:v>Pasted text(59).txt</x:v>
      </x:c>
    </x:row>
    <x:row r="6721">
      <x:c r="A6721" t="n">
        <x:v>2691</x:v>
      </x:c>
      <x:c r="B6721" s="58" t="str">
        <x:v>X,268.02405,0.64236,29.14,VALID</x:v>
      </x:c>
      <x:c r="C6721" t="str">
        <x:v>Pasted text(59).txt</x:v>
      </x:c>
    </x:row>
    <x:row r="6722">
      <x:c r="A6722" t="n">
        <x:v>2692</x:v>
      </x:c>
      <x:c r="B6722" s="58" t="str">
        <x:v>Y,267.98789,0.25076,20.23,VALID</x:v>
      </x:c>
      <x:c r="C6722" t="str">
        <x:v>Pasted text(59).txt</x:v>
      </x:c>
    </x:row>
    <x:row r="6723">
      <x:c r="A6723" t="n">
        <x:v>2693</x:v>
      </x:c>
      <x:c r="B6723" s="58" t="str">
        <x:v>Z,267.93115,0.21009,21.55,VALID</x:v>
      </x:c>
      <x:c r="C6723" t="str">
        <x:v>Pasted text(59).txt</x:v>
      </x:c>
    </x:row>
    <x:row r="6724">
      <x:c r="A6724" t="n">
        <x:v>2694</x:v>
      </x:c>
      <x:c r="B6724" s="58" t="str">
        <x:v>Combined frequency: 268.01220 Hz | difference 0.01220 Hz</x:v>
      </x:c>
      <x:c r="C6724" t="str">
        <x:v>Pasted text(59).txt</x:v>
      </x:c>
    </x:row>
    <x:row r="6725">
      <x:c r="A6725" t="n">
        <x:v>2695</x:v>
      </x:c>
      <x:c r="B6725" s="58" t="str">
        <x:v>Combined X/Y/Z/TOTAL: 0.58573 / 0.22679 / 0.18656 / 0.65522</x:v>
      </x:c>
      <x:c r="C6725" t="str">
        <x:v>Pasted text(59).txt</x:v>
      </x:c>
    </x:row>
    <x:row r="6726">
      <x:c r="A6726" t="n">
        <x:v>2696</x:v>
      </x:c>
      <x:c r="B6726" s="58" t="str">
        <x:v>SNR: 25.68 dB | dominant axis X</x:v>
      </x:c>
      <x:c r="C6726" t="str">
        <x:v>Pasted text(59).txt</x:v>
      </x:c>
    </x:row>
    <x:row r="6727">
      <x:c r="A6727" t="n">
        <x:v>2697</x:v>
      </x:c>
      <x:c r="B6727" s="58" t="str">
        <x:v>Frequency verification: PASS</x:v>
      </x:c>
      <x:c r="C6727" t="str">
        <x:v>Pasted text(59).txt</x:v>
      </x:c>
    </x:row>
    <x:row r="6728">
      <x:c r="A6728" t="n">
        <x:v>2698</x:v>
      </x:c>
      <x:c r="B6728" s="58" t="str">
        <x:v>Y/Z dominance: DIAGNOSTIC ONLY — ignored for pass/fail</x:v>
      </x:c>
      <x:c r="C6728" t="str">
        <x:v>Pasted text(59).txt</x:v>
      </x:c>
    </x:row>
    <x:row r="6729">
      <x:c r="A6729" t="n">
        <x:v>2699</x:v>
      </x:c>
      <x:c r="B6729" s="58" t="str"/>
      <x:c r="C6729" t="str">
        <x:v>Pasted text(59).txt</x:v>
      </x:c>
    </x:row>
    <x:row r="6730">
      <x:c r="A6730" t="n">
        <x:v>2700</x:v>
      </x:c>
      <x:c r="B6730" s="58" t="str">
        <x:v>FIXED-DAC HOLD VALIDATION</x:v>
      </x:c>
      <x:c r="C6730" t="str">
        <x:v>Pasted text(59).txt</x:v>
      </x:c>
    </x:row>
    <x:row r="6731">
      <x:c r="A6731" t="n">
        <x:v>2701</x:v>
      </x:c>
      <x:c r="B6731" s="58" t="str">
        <x:v>DAC remains fixed at 7.50 for 10 records.</x:v>
      </x:c>
      <x:c r="C6731" t="str">
        <x:v>Pasted text(59).txt</x:v>
      </x:c>
    </x:row>
    <x:row r="6732">
      <x:c r="A6732" t="n">
        <x:v>2702</x:v>
      </x:c>
      <x:c r="B6732" s="58" t="str">
        <x:v>HOLD | point 1 | DAC 7.50 | CTRL X 0.74106 | X 0.74119 | Y 0.26569 | Z 0.22779 | TOTAL 0.81977 | error -1.19 % | MAD 2.41 % | CV 1.65 % | coh 85.3 % | dominant X | axis fraction 100.0 % | IN TARGET BAND</x:v>
      </x:c>
      <x:c r="C6732" t="str">
        <x:v>Pasted text(59).txt</x:v>
      </x:c>
    </x:row>
    <x:row r="6733">
      <x:c r="A6733" t="n">
        <x:v>2703</x:v>
      </x:c>
      <x:c r="B6733" s="58" t="str">
        <x:v>HOLD | point 2 | DAC 7.50 | CTRL X 0.70467 | X 0.70256 | Y 0.25447 | Z 0.22773 | TOTAL 0.78159 | error -6.04 % | MAD 1.96 % | CV 1.80 % | coh 83.7 % | dominant X | axis fraction 100.0 % | IN TARGET BAND</x:v>
      </x:c>
      <x:c r="C6733" t="str">
        <x:v>Pasted text(59).txt</x:v>
      </x:c>
    </x:row>
    <x:row r="6734">
      <x:c r="A6734" t="n">
        <x:v>2704</x:v>
      </x:c>
      <x:c r="B6734" s="58" t="str">
        <x:v>HOLD | point 3 | DAC 7.50 | CTRL X 0.69619 | X 0.69852 | Y 0.28096 | Z 0.26141 | TOTAL 0.79724 | error -7.17 % | MAD 1.64 % | CV 1.62 % | coh 83.5 % | dominant X | axis fraction 100.0 % | IN TARGET BAND</x:v>
      </x:c>
      <x:c r="C6734" t="str">
        <x:v>Pasted text(59).txt</x:v>
      </x:c>
    </x:row>
    <x:row r="6735">
      <x:c r="A6735" t="n">
        <x:v>2705</x:v>
      </x:c>
      <x:c r="B6735" s="58" t="str">
        <x:v>HOLD | point 4 | DAC 7.50 | CTRL X 0.70476 | X 0.70713 | Y 0.28718 | Z 0.24991 | TOTAL 0.80327 | error -6.03 % | MAD 1.45 % | CV 1.50 % | coh 84.6 % | dominant X | axis fraction 100.0 % | IN TARGET BAND</x:v>
      </x:c>
      <x:c r="C6735" t="str">
        <x:v>Pasted text(59).txt</x:v>
      </x:c>
    </x:row>
    <x:row r="6736">
      <x:c r="A6736" t="n">
        <x:v>2706</x:v>
      </x:c>
      <x:c r="B6736" s="58" t="str">
        <x:v>HOLD | point 5 | DAC 7.50 | CTRL X 0.71660 | X 0.72004 | Y 0.28201 | Z 0.24077 | TOTAL 0.81046 | error -4.45 % | MAD 0.17 % | CV 0.93 % | coh 84.9 % | dominant X | axis fraction 100.0 % | IN TARGET BAND</x:v>
      </x:c>
      <x:c r="C6736" t="str">
        <x:v>Pasted text(59).txt</x:v>
      </x:c>
    </x:row>
    <x:row r="6737">
      <x:c r="A6737" t="n">
        <x:v>2707</x:v>
      </x:c>
      <x:c r="B6737" s="58" t="str">
        <x:v>HOLD | point 6 | DAC 7.50 | CTRL X 0.70508 | X 0.71007 | Y 0.27570 | Z 0.25003 | TOTAL 0.80211 | error -5.99 % | MAD 0.39 % | CV 1.45 % | coh 83.4 % | dominant X | axis fraction 100.0 % | IN TARGET BAND</x:v>
      </x:c>
      <x:c r="C6737" t="str">
        <x:v>Pasted text(59).txt</x:v>
      </x:c>
    </x:row>
    <x:row r="6738">
      <x:c r="A6738" t="n">
        <x:v>2708</x:v>
      </x:c>
      <x:c r="B6738" s="58" t="str">
        <x:v>HOLD | point 7 | DAC 7.50 | CTRL X 0.71082 | X 0.71395 | Y 0.28613 | Z 0.25431 | TOTAL 0.81081 | error -5.22 % | MAD 4.91 % | CV 3.97 % | coh 83.7 % | dominant X | axis fraction 100.0 % | IN TARGET BAND</x:v>
      </x:c>
      <x:c r="C6738" t="str">
        <x:v>Pasted text(59).txt</x:v>
      </x:c>
    </x:row>
    <x:row r="6739">
      <x:c r="A6739" t="n">
        <x:v>2709</x:v>
      </x:c>
      <x:c r="B6739" s="58" t="str">
        <x:v>HOLD | point 8 | DAC 7.50 | CTRL X 0.69334 | X 0.69032 | Y 0.28397 | Z 0.23396 | TOTAL 0.78317 | error -7.55 % | MAD 7.53 % | CV 5.77 % | coh 82.8 % | dominant X | axis fraction 100.0 % | VALID</x:v>
      </x:c>
      <x:c r="C6739" t="str">
        <x:v>Pasted text(59).txt</x:v>
      </x:c>
    </x:row>
    <x:row r="6740">
      <x:c r="A6740" t="n">
        <x:v>2710</x:v>
      </x:c>
      <x:c r="B6740" s="58" t="str">
        <x:v>HOLD | point 9 | DAC 7.50 | CTRL X 0.72577 | X 0.71339 | Y 0.27343 | Z 0.23894 | TOTAL 0.80055 | error -3.23 % | MAD 3.22 % | CV 5.05 % | coh 84.4 % | dominant X | axis fraction 100.0 % | IN TARGET BAND</x:v>
      </x:c>
      <x:c r="C6740" t="str">
        <x:v>Pasted text(59).txt</x:v>
      </x:c>
    </x:row>
    <x:row r="6741">
      <x:c r="A6741" t="n">
        <x:v>2711</x:v>
      </x:c>
      <x:c r="B6741" s="58" t="str">
        <x:v>HOLD | point 10 | DAC 7.50 | CTRL X 0.69765 | X 0.70337 | Y 0.29853 | Z 0.22913 | TOTAL 0.79804 | error -6.98 % | MAD 3.80 % | CV 3.83 % | coh 83.7 % | dominant X | axis fraction 100.0 % | IN TARGET BAND</x:v>
      </x:c>
      <x:c r="C6741" t="str">
        <x:v>Pasted text(59).txt</x:v>
      </x:c>
    </x:row>
    <x:row r="6742">
      <x:c r="A6742" t="n">
        <x:v>2712</x:v>
      </x:c>
      <x:c r="B6742" s="58" t="str"/>
      <x:c r="C6742" t="str">
        <x:v>Pasted text(59).txt</x:v>
      </x:c>
    </x:row>
    <x:row r="6743">
      <x:c r="A6743" t="n">
        <x:v>2713</x:v>
      </x:c>
      <x:c r="B6743" s="58" t="str">
        <x:v>HOLD SUMMARY</x:v>
      </x:c>
      <x:c r="C6743" t="str">
        <x:v>Pasted text(59).txt</x:v>
      </x:c>
    </x:row>
    <x:row r="6744">
      <x:c r="A6744" t="n">
        <x:v>2714</x:v>
      </x:c>
      <x:c r="B6744" s="58" t="str">
        <x:v>Valid / requested: 10 / 10</x:v>
      </x:c>
      <x:c r="C6744" t="str">
        <x:v>Pasted text(59).txt</x:v>
      </x:c>
    </x:row>
    <x:row r="6745">
      <x:c r="A6745" t="n">
        <x:v>2715</x:v>
      </x:c>
      <x:c r="B6745" s="58" t="str">
        <x:v>In band / requested: 9 / 10 = 90.0 %</x:v>
      </x:c>
      <x:c r="C6745" t="str">
        <x:v>Pasted text(59).txt</x:v>
      </x:c>
    </x:row>
    <x:row r="6746">
      <x:c r="A6746" t="n">
        <x:v>2716</x:v>
      </x:c>
      <x:c r="B6746" s="58" t="str">
        <x:v>Mean / SD / CV: 0.70960 / 0.01475 / 2.08 %</x:v>
      </x:c>
      <x:c r="C6746" t="str">
        <x:v>Pasted text(59).txt</x:v>
      </x:c>
    </x:row>
    <x:row r="6747">
      <x:c r="A6747" t="n">
        <x:v>2717</x:v>
      </x:c>
      <x:c r="B6747" s="58" t="str">
        <x:v>Min / Max: 0.69334 / 0.74106</x:v>
      </x:c>
      <x:c r="C6747" t="str">
        <x:v>Pasted text(59).txt</x:v>
      </x:c>
    </x:row>
    <x:row r="6748">
      <x:c r="A6748" t="n">
        <x:v>2718</x:v>
      </x:c>
      <x:c r="B6748" s="58" t="str">
        <x:v>HOLD RESULT: PASS</x:v>
      </x:c>
      <x:c r="C6748" t="str">
        <x:v>Pasted text(59).txt</x:v>
      </x:c>
    </x:row>
    <x:row r="6749">
      <x:c r="A6749" t="n">
        <x:v>2719</x:v>
      </x:c>
      <x:c r="B6749" s="58" t="str"/>
      <x:c r="C6749" t="str">
        <x:v>Pasted text(59).txt</x:v>
      </x:c>
    </x:row>
    <x:row r="6750">
      <x:c r="A6750" t="n">
        <x:v>2720</x:v>
      </x:c>
      <x:c r="B6750" s="58" t="str">
        <x:v>RUN RESULT: PASS</x:v>
      </x:c>
      <x:c r="C6750" t="str">
        <x:v>Pasted text(59).txt</x:v>
      </x:c>
    </x:row>
    <x:row r="6751">
      <x:c r="A6751" t="n">
        <x:v>2721</x:v>
      </x:c>
      <x:c r="B6751" s="58" t="str">
        <x:v>Selected DAC: 7.50</x:v>
      </x:c>
      <x:c r="C6751" t="str">
        <x:v>Pasted text(59).txt</x:v>
      </x:c>
    </x:row>
    <x:row r="6752">
      <x:c r="A6752" t="n">
        <x:v>2722</x:v>
      </x:c>
      <x:c r="B6752" s="58" t="str">
        <x:v>Validated amplitude: 0.70798 m/s^2 | error -5.60 %</x:v>
      </x:c>
      <x:c r="C6752" t="str">
        <x:v>Pasted text(59).txt</x:v>
      </x:c>
    </x:row>
    <x:row r="6753">
      <x:c r="A6753" t="n">
        <x:v>2723</x:v>
      </x:c>
      <x:c r="B6753" s="58" t="str">
        <x:v>FFT frequency: 268.01220 Hz | difference 0.01220 Hz</x:v>
      </x:c>
      <x:c r="C6753" t="str">
        <x:v>Pasted text(59).txt</x:v>
      </x:c>
    </x:row>
    <x:row r="6754">
      <x:c r="A6754" t="n">
        <x:v>2724</x:v>
      </x:c>
      <x:c r="B6754" s="58" t="str"/>
      <x:c r="C6754" t="str">
        <x:v>Pasted text(59).txt</x:v>
      </x:c>
    </x:row>
    <x:row r="6755">
      <x:c r="A6755" t="n">
        <x:v>2725</x:v>
      </x:c>
      <x:c r="B6755" s="58" t="str">
        <x:v>VISATON OFF. RESTING 5.0 s BEFORE THE NEXT COMPLETELY FRESH RUN.</x:v>
      </x:c>
      <x:c r="C6755" t="str">
        <x:v>Pasted text(59).txt</x:v>
      </x:c>
    </x:row>
    <x:row r="6756">
      <x:c r="A6756" t="n">
        <x:v>2726</x:v>
      </x:c>
      <x:c r="B6756" s="58" t="str"/>
      <x:c r="C6756" t="str">
        <x:v>Pasted text(59).txt</x:v>
      </x:c>
    </x:row>
    <x:row r="6757">
      <x:c r="A6757" t="n">
        <x:v>2727</x:v>
      </x:c>
      <x:c r="B6757" s="58" t="str">
        <x:v>################################################################################</x:v>
      </x:c>
      <x:c r="C6757" t="str">
        <x:v>Pasted text(59).txt</x:v>
      </x:c>
    </x:row>
    <x:row r="6758">
      <x:c r="A6758" t="n">
        <x:v>2728</x:v>
      </x:c>
      <x:c r="B6758" s="58" t="str">
        <x:v>INDEPENDENT TARGET-AMPLITUDE RUN 4 OF 5</x:v>
      </x:c>
      <x:c r="C6758" t="str">
        <x:v>Pasted text(59).txt</x:v>
      </x:c>
    </x:row>
    <x:row r="6759">
      <x:c r="A6759" t="n">
        <x:v>2729</x:v>
      </x:c>
      <x:c r="B6759" s="58" t="str">
        <x:v>################################################################################</x:v>
      </x:c>
      <x:c r="C6759" t="str">
        <x:v>Pasted text(59).txt</x:v>
      </x:c>
    </x:row>
    <x:row r="6760">
      <x:c r="A6760" t="n">
        <x:v>2730</x:v>
      </x:c>
      <x:c r="B6760" s="58" t="str">
        <x:v>Frequency: 268.00000 Hz</x:v>
      </x:c>
      <x:c r="C6760" t="str">
        <x:v>Pasted text(59).txt</x:v>
      </x:c>
    </x:row>
    <x:row r="6761">
      <x:c r="A6761" t="n">
        <x:v>2731</x:v>
      </x:c>
      <x:c r="B6761" s="58" t="str">
        <x:v>Target X amplitude: 0.75000 m/s^2 peak, tolerance +/-7.50 %</x:v>
      </x:c>
      <x:c r="C6761" t="str">
        <x:v>Pasted text(59).txt</x:v>
      </x:c>
    </x:row>
    <x:row r="6762">
      <x:c r="A6762" t="n">
        <x:v>2732</x:v>
      </x:c>
      <x:c r="B6762" s="58" t="str">
        <x:v>This run starts from DAC 1.00 and ignores every earlier selected DAC.</x:v>
      </x:c>
      <x:c r="C6762" t="str">
        <x:v>Pasted text(59).txt</x:v>
      </x:c>
    </x:row>
    <x:row r="6763">
      <x:c r="A6763" t="n">
        <x:v>2733</x:v>
      </x:c>
      <x:c r="B6763" s="58" t="str">
        <x:v>ADXL2 DEVID/DATA_FORMAT/BW_RATE/POWER_CTL: 0xE5 / 0xB / 0xE / 0x8</x:v>
      </x:c>
      <x:c r="C6763" t="str">
        <x:v>Pasted text(59).txt</x:v>
      </x:c>
    </x:row>
    <x:row r="6764">
      <x:c r="A6764" t="n">
        <x:v>2734</x:v>
      </x:c>
      <x:c r="B6764" s="58" t="str"/>
      <x:c r="C6764" t="str">
        <x:v>Pasted text(59).txt</x:v>
      </x:c>
    </x:row>
    <x:row r="6765">
      <x:c r="A6765" t="n">
        <x:v>2735</x:v>
      </x:c>
      <x:c r="B6765" s="58" t="str">
        <x:v>ACQUISITION ATTEMPT 1 OF 2</x:v>
      </x:c>
      <x:c r="C6765" t="str">
        <x:v>Pasted text(59).txt</x:v>
      </x:c>
    </x:row>
    <x:row r="6766">
      <x:c r="A6766" t="n">
        <x:v>2736</x:v>
      </x:c>
      <x:c r="B6766" s="58" t="str"/>
      <x:c r="C6766" t="str">
        <x:v>Pasted text(59).txt</x:v>
      </x:c>
    </x:row>
    <x:row r="6767">
      <x:c r="A6767" t="n">
        <x:v>2737</x:v>
      </x:c>
      <x:c r="B6767" s="58" t="str">
        <x:v>FRESH X-AXIS SEARCH FROM DAC 1.00 — OLD DAC VALUES ARE NOT USED</x:v>
      </x:c>
      <x:c r="C6767" t="str">
        <x:v>Pasted text(59).txt</x:v>
      </x:c>
    </x:row>
    <x:row r="6768">
      <x:c r="A6768" t="n">
        <x:v>2738</x:v>
      </x:c>
      <x:c r="B6768" s="58" t="str">
        <x:v>Y/Z are diagnostic only and cannot abort this search.</x:v>
      </x:c>
      <x:c r="C6768" t="str">
        <x:v>Pasted text(59).txt</x:v>
      </x:c>
    </x:row>
    <x:row r="6769">
      <x:c r="A6769" t="n">
        <x:v>2739</x:v>
      </x:c>
      <x:c r="B6769" s="58" t="str">
        <x:v>A real SPI fault, clipping, safety limit or confirmed X-response collapse will stop it.</x:v>
      </x:c>
      <x:c r="C6769" t="str">
        <x:v>Pasted text(59).txt</x:v>
      </x:c>
    </x:row>
    <x:row r="6770">
      <x:c r="A6770" t="n">
        <x:v>2740</x:v>
      </x:c>
      <x:c r="B6770" s="58" t="str">
        <x:v>SEARCH | point 1 | DAC 1.00 | CTRL X 0.03000 | X 0.02701 | Y 0.03679 | Z 0.02373 | TOTAL 0.05350 | error -96.00 % | MAD 62.57 % | CV 64.23 % | coh 8.1 % | dominant Y | axis fraction 73.4 % | BELOW MEASUREMENT FLOOR — SEARCH CONTINUES</x:v>
      </x:c>
      <x:c r="C6770" t="str">
        <x:v>Pasted text(59).txt</x:v>
      </x:c>
    </x:row>
    <x:row r="6771">
      <x:c r="A6771" t="n">
        <x:v>2741</x:v>
      </x:c>
      <x:c r="B6771" s="58" t="str">
        <x:v>SEARCH | point 2 | DAC 3.00 | CTRL X 0.20314 | X 0.19784 | Y 0.08499 | Z 0.06516 | TOTAL 0.22737 | error -72.91 % | MAD 7.73 % | CV 3.79 % | coh 43.2 % | dominant X | axis fraction 100.0 % | UNSTABLE — SEARCH CONTINUES</x:v>
      </x:c>
      <x:c r="C6771" t="str">
        <x:v>Pasted text(59).txt</x:v>
      </x:c>
    </x:row>
    <x:row r="6772">
      <x:c r="A6772" t="n">
        <x:v>2742</x:v>
      </x:c>
      <x:c r="B6772" s="58" t="str">
        <x:v>SEARCH | point 3 | DAC 4.00 | CTRL X 0.31791 | X 0.31979 | Y 0.10679 | Z 0.11397 | TOTAL 0.35685 | error -57.61 % | MAD 3.12 % | CV 3.02 % | coh 58.8 % | dominant X | axis fraction 100.0 % | VALID</x:v>
      </x:c>
      <x:c r="C6772" t="str">
        <x:v>Pasted text(59).txt</x:v>
      </x:c>
    </x:row>
    <x:row r="6773">
      <x:c r="A6773" t="n">
        <x:v>2743</x:v>
      </x:c>
      <x:c r="B6773" s="58" t="str">
        <x:v>SEARCH | point 4 | DAC 5.00 | CTRL X 0.44883 | X 0.45002 | Y 0.18668 | Z 0.16833 | TOTAL 0.51607 | error -40.16 % | MAD 0.04 % | CV 0.48 % | coh 68.0 % | dominant X | axis fraction 100.0 % | VALID</x:v>
      </x:c>
      <x:c r="C6773" t="str">
        <x:v>Pasted text(59).txt</x:v>
      </x:c>
    </x:row>
    <x:row r="6774">
      <x:c r="A6774" t="n">
        <x:v>2744</x:v>
      </x:c>
      <x:c r="B6774" s="58" t="str">
        <x:v>SEARCH | point 5 | DAC 6.00 | CTRL X 0.55462 | X 0.55849 | Y 0.20295 | Z 0.20672 | TOTAL 0.62946 | error -26.05 % | MAD 1.00 % | CV 1.81 % | coh 77.3 % | dominant X | axis fraction 100.0 % | VALID</x:v>
      </x:c>
      <x:c r="C6774" t="str">
        <x:v>Pasted text(59).txt</x:v>
      </x:c>
    </x:row>
    <x:row r="6775">
      <x:c r="A6775" t="n">
        <x:v>2745</x:v>
      </x:c>
      <x:c r="B6775" s="58" t="str">
        <x:v>SEARCH | point 6 | DAC 6.50 | CTRL X 0.59340 | X 0.59926 | Y 0.21422 | Z 0.20693 | TOTAL 0.66950 | error -20.88 % | MAD 4.54 % | CV 4.58 % | coh 78.8 % | dominant X | axis fraction 100.0 % | VALID</x:v>
      </x:c>
      <x:c r="C6775" t="str">
        <x:v>Pasted text(59).txt</x:v>
      </x:c>
    </x:row>
    <x:row r="6776">
      <x:c r="A6776" t="n">
        <x:v>2746</x:v>
      </x:c>
      <x:c r="B6776" s="58" t="str">
        <x:v>SEARCH | point 7 | DAC 7.00 | CTRL X 0.65712 | X 0.65932 | Y 0.24032 | Z 0.24662 | TOTAL 0.74431 | error -12.38 % | MAD 0.65 % | CV 0.98 % | coh 79.8 % | dominant X | axis fraction 100.0 % | VALID</x:v>
      </x:c>
      <x:c r="C6776" t="str">
        <x:v>Pasted text(59).txt</x:v>
      </x:c>
    </x:row>
    <x:row r="6777">
      <x:c r="A6777" t="n">
        <x:v>2747</x:v>
      </x:c>
      <x:c r="B6777" s="58" t="str">
        <x:v>SEARCH | point 8 | DAC 7.25 | CTRL X 0.70343 | X 0.69932 | Y 0.27440 | Z 0.25672 | TOTAL 0.79527 | error -6.21 % | MAD 5.14 % | CV 4.40 % | coh 82.2 % | dominant X | axis fraction 100.0 % | IN TARGET BAND</x:v>
      </x:c>
      <x:c r="C6777" t="str">
        <x:v>Pasted text(59).txt</x:v>
      </x:c>
    </x:row>
    <x:row r="6778">
      <x:c r="A6778" t="n">
        <x:v>2748</x:v>
      </x:c>
      <x:c r="B6778" s="58" t="str"/>
      <x:c r="C6778" t="str">
        <x:v>Pasted text(59).txt</x:v>
      </x:c>
    </x:row>
    <x:row r="6779">
      <x:c r="A6779" t="n">
        <x:v>2749</x:v>
      </x:c>
      <x:c r="B6779" s="58" t="str">
        <x:v>LOCAL 0.25-DAC X-AXIS FINE SCAN</x:v>
      </x:c>
      <x:c r="C6779" t="str">
        <x:v>Pasted text(59).txt</x:v>
      </x:c>
    </x:row>
    <x:row r="6780">
      <x:c r="A6780" t="n">
        <x:v>2750</x:v>
      </x:c>
      <x:c r="B6780" s="58" t="str">
        <x:v>Only a valid point actually inside the X target band may be selected.</x:v>
      </x:c>
      <x:c r="C6780" t="str">
        <x:v>Pasted text(59).txt</x:v>
      </x:c>
    </x:row>
    <x:row r="6781">
      <x:c r="A6781" t="n">
        <x:v>2751</x:v>
      </x:c>
      <x:c r="B6781" s="58" t="str">
        <x:v>FINE | point 1 | DAC 6.25 | CTRL X 0.58487 | X 0.58905 | Y 0.22372 | Z 0.20679 | TOTAL 0.66373 | error -22.02 % | MAD 1.49 % | CV 2.15 % | coh 78.8 % | dominant X | axis fraction 100.0 % | VALID</x:v>
      </x:c>
      <x:c r="C6781" t="str">
        <x:v>Pasted text(59).txt</x:v>
      </x:c>
    </x:row>
    <x:row r="6782">
      <x:c r="A6782" t="n">
        <x:v>2752</x:v>
      </x:c>
      <x:c r="B6782" s="58" t="str">
        <x:v>FINE | point 2 | DAC 6.50 | CTRL X 0.59198 | X 0.59354 | Y 0.23472 | Z 0.19815 | TOTAL 0.66923 | error -21.07 % | MAD 1.33 % | CV 1.31 % | coh 78.7 % | dominant X | axis fraction 100.0 % | VALID</x:v>
      </x:c>
      <x:c r="C6782" t="str">
        <x:v>Pasted text(59).txt</x:v>
      </x:c>
    </x:row>
    <x:row r="6783">
      <x:c r="A6783" t="n">
        <x:v>2753</x:v>
      </x:c>
      <x:c r="B6783" s="58" t="str">
        <x:v>FINE | point 3 | DAC 6.75 | CTRL X 0.64810 | X 0.64958 | Y 0.22621 | Z 0.22882 | TOTAL 0.72511 | error -13.59 % | MAD 4.96 % | CV 3.69 % | coh 78.2 % | dominant X | axis fraction 100.0 % | VALID</x:v>
      </x:c>
      <x:c r="C6783" t="str">
        <x:v>Pasted text(59).txt</x:v>
      </x:c>
    </x:row>
    <x:row r="6784">
      <x:c r="A6784" t="n">
        <x:v>2754</x:v>
      </x:c>
      <x:c r="B6784" s="58" t="str">
        <x:v>FINE | point 4 | DAC 7.00 | CTRL X 0.68323 | X 0.68347 | Y 0.27034 | Z 0.23912 | TOTAL 0.77306 | error -8.90 % | MAD 3.05 % | CV 2.11 % | coh 83.6 % | dominant X | axis fraction 100.0 % | VALID</x:v>
      </x:c>
      <x:c r="C6784" t="str">
        <x:v>Pasted text(59).txt</x:v>
      </x:c>
    </x:row>
    <x:row r="6785">
      <x:c r="A6785" t="n">
        <x:v>2755</x:v>
      </x:c>
      <x:c r="B6785" s="58" t="str">
        <x:v>FINE | point 5 | DAC 7.25 | CTRL X 0.68650 | X 0.67606 | Y 0.26757 | Z 0.25330 | TOTAL 0.77003 | error -8.47 % | MAD 0.26 % | CV 2.83 % | coh 81.7 % | dominant X | axis fraction 100.0 % | VALID</x:v>
      </x:c>
      <x:c r="C6785" t="str">
        <x:v>Pasted text(59).txt</x:v>
      </x:c>
    </x:row>
    <x:row r="6786">
      <x:c r="A6786" t="n">
        <x:v>2756</x:v>
      </x:c>
      <x:c r="B6786" s="58" t="str">
        <x:v>FINE | point 6 | DAC 7.50 | CTRL X 0.69961 | X 0.70391 | Y 0.25572 | Z 0.25261 | TOTAL 0.79057 | error -6.72 % | MAD 1.01 % | CV 1.68 % | coh 85.9 % | dominant X | axis fraction 100.0 % | IN TARGET BAND</x:v>
      </x:c>
      <x:c r="C6786" t="str">
        <x:v>Pasted text(59).txt</x:v>
      </x:c>
    </x:row>
    <x:row r="6787">
      <x:c r="A6787" t="n">
        <x:v>2757</x:v>
      </x:c>
      <x:c r="B6787" s="58" t="str">
        <x:v>FINE | point 7 | DAC 7.75 | CTRL X 0.74744 | X 0.74791 | Y 0.29247 | Z 0.25250 | TOTAL 0.84269 | error -0.34 % | MAD 2.04 % | CV 1.47 % | coh 82.3 % | dominant X | axis fraction 100.0 % | IN TARGET BAND</x:v>
      </x:c>
      <x:c r="C6787" t="str">
        <x:v>Pasted text(59).txt</x:v>
      </x:c>
    </x:row>
    <x:row r="6788">
      <x:c r="A6788" t="n">
        <x:v>2758</x:v>
      </x:c>
      <x:c r="B6788" s="58" t="str">
        <x:v>FINE | point 8 | DAC 8.00 | CTRL X 0.80517 | X 0.80707 | Y 0.31037 | Z 0.25284 | TOTAL 0.90135 | error 7.36 % | MAD 0.62 % | CV 0.80 % | coh 86.4 % | dominant X | axis fraction 100.0 % | IN TARGET BAND</x:v>
      </x:c>
      <x:c r="C6788" t="str">
        <x:v>Pasted text(59).txt</x:v>
      </x:c>
    </x:row>
    <x:row r="6789">
      <x:c r="A6789" t="n">
        <x:v>2759</x:v>
      </x:c>
      <x:c r="B6789" s="58" t="str">
        <x:v>FINE | point 9 | DAC 8.25 | CTRL X 0.82953 | X 0.82466 | Y 0.30939 | Z 0.27504 | TOTAL 0.92344 | error 10.60 % | MAD 3.70 % | CV 3.44 % | coh 86.1 % | dominant X | axis fraction 100.0 % | VALID</x:v>
      </x:c>
      <x:c r="C6789" t="str">
        <x:v>Pasted text(59).txt</x:v>
      </x:c>
    </x:row>
    <x:row r="6790">
      <x:c r="A6790" t="n">
        <x:v>2760</x:v>
      </x:c>
      <x:c r="B6790" s="58" t="str"/>
      <x:c r="C6790" t="str">
        <x:v>Pasted text(59).txt</x:v>
      </x:c>
    </x:row>
    <x:row r="6791">
      <x:c r="A6791" t="n">
        <x:v>2761</x:v>
      </x:c>
      <x:c r="B6791" s="58" t="str">
        <x:v>LONG VALIDATION AT FIXED DAC 7.75</x:v>
      </x:c>
      <x:c r="C6791" t="str">
        <x:v>Pasted text(59).txt</x:v>
      </x:c>
    </x:row>
    <x:row r="6792">
      <x:c r="A6792" t="n">
        <x:v>2762</x:v>
      </x:c>
      <x:c r="B6792" s="58" t="str">
        <x:v>FINAL | point 1 | DAC 7.75 | CTRL X 0.75372 | X 0.76062 | Y 0.29440 | Z 0.28271 | TOTAL 0.86340 | error 0.50 % | MAD 3.62 % | CV 3.10 % | coh 82.8 % | dominant X | axis fraction 100.0 % | IN TARGET BAND</x:v>
      </x:c>
      <x:c r="C6792" t="str">
        <x:v>Pasted text(59).txt</x:v>
      </x:c>
    </x:row>
    <x:row r="6793">
      <x:c r="A6793" t="n">
        <x:v>2763</x:v>
      </x:c>
      <x:c r="B6793" s="58" t="str">
        <x:v>FINAL | point 2 | DAC 7.75 | CTRL X 0.80653 | X 0.79486 | Y 0.31181 | Z 0.24123 | TOTAL 0.88741 | error 7.54 % | MAD 3.01 % | CV 3.20 % | coh 83.9 % | dominant X | axis fraction 100.0 % | VALID</x:v>
      </x:c>
      <x:c r="C6793" t="str">
        <x:v>Pasted text(59).txt</x:v>
      </x:c>
    </x:row>
    <x:row r="6794">
      <x:c r="A6794" t="n">
        <x:v>2764</x:v>
      </x:c>
      <x:c r="B6794" s="58" t="str">
        <x:v>FINAL | point 3 | DAC 7.75 | CTRL X 0.76911 | X 0.77993 | Y 0.29970 | Z 0.25152 | TOTAL 0.87312 | error 2.55 % | MAD 1.18 % | CV 2.56 % | coh 82.6 % | dominant X | axis fraction 100.0 % | IN TARGET BAND</x:v>
      </x:c>
      <x:c r="C6794" t="str">
        <x:v>Pasted text(59).txt</x:v>
      </x:c>
    </x:row>
    <x:row r="6795">
      <x:c r="A6795" t="n">
        <x:v>2765</x:v>
      </x:c>
      <x:c r="B6795" s="58" t="str">
        <x:v>VALIDATION ACCEPTED | pair drift 2.02 %</x:v>
      </x:c>
      <x:c r="C6795" t="str">
        <x:v>Pasted text(59).txt</x:v>
      </x:c>
    </x:row>
    <x:row r="6796">
      <x:c r="A6796" t="n">
        <x:v>2766</x:v>
      </x:c>
      <x:c r="B6796" s="58" t="str"/>
      <x:c r="C6796" t="str">
        <x:v>Pasted text(59).txt</x:v>
      </x:c>
    </x:row>
    <x:row r="6797">
      <x:c r="A6797" t="n">
        <x:v>2767</x:v>
      </x:c>
      <x:c r="B6797" s="58" t="str">
        <x:v>FINAL VALIDATED BLIND FFT VERIFICATION</x:v>
      </x:c>
      <x:c r="C6797" t="str">
        <x:v>Pasted text(59).txt</x:v>
      </x:c>
    </x:row>
    <x:row r="6798">
      <x:c r="A6798" t="n">
        <x:v>2768</x:v>
      </x:c>
      <x:c r="B6798" s="58" t="str">
        <x:v>Commanded frequency: 268.00000 Hz</x:v>
      </x:c>
      <x:c r="C6798" t="str">
        <x:v>Pasted text(59).txt</x:v>
      </x:c>
    </x:row>
    <x:row r="6799">
      <x:c r="A6799" t="n">
        <x:v>2769</x:v>
      </x:c>
      <x:c r="B6799" s="58" t="str">
        <x:v>Accepted DAC: 7.75</x:v>
      </x:c>
      <x:c r="C6799" t="str">
        <x:v>Pasted text(59).txt</x:v>
      </x:c>
    </x:row>
    <x:row r="6800">
      <x:c r="A6800" t="n">
        <x:v>2770</x:v>
      </x:c>
      <x:c r="B6800" s="58" t="str">
        <x:v>Axis,Frequency_Hz,Amplitude_mps2,SNR_dB,Status</x:v>
      </x:c>
      <x:c r="C6800" t="str">
        <x:v>Pasted text(59).txt</x:v>
      </x:c>
    </x:row>
    <x:row r="6801">
      <x:c r="A6801" t="n">
        <x:v>2771</x:v>
      </x:c>
      <x:c r="B6801" s="58" t="str">
        <x:v>X,268.04755,0.70405,29.63,VALID</x:v>
      </x:c>
      <x:c r="C6801" t="str">
        <x:v>Pasted text(59).txt</x:v>
      </x:c>
    </x:row>
    <x:row r="6802">
      <x:c r="A6802" t="n">
        <x:v>2772</x:v>
      </x:c>
      <x:c r="B6802" s="58" t="str">
        <x:v>Y,267.97913,0.26052,20.32,VALID</x:v>
      </x:c>
      <x:c r="C6802" t="str">
        <x:v>Pasted text(59).txt</x:v>
      </x:c>
    </x:row>
    <x:row r="6803">
      <x:c r="A6803" t="n">
        <x:v>2773</x:v>
      </x:c>
      <x:c r="B6803" s="58" t="str">
        <x:v>Z,268.18893,0.22247,20.54,VALID</x:v>
      </x:c>
      <x:c r="C6803" t="str">
        <x:v>Pasted text(59).txt</x:v>
      </x:c>
    </x:row>
    <x:row r="6804">
      <x:c r="A6804" t="n">
        <x:v>2774</x:v>
      </x:c>
      <x:c r="B6804" s="58" t="str">
        <x:v>Combined frequency: 268.05235 Hz | difference 0.05235 Hz</x:v>
      </x:c>
      <x:c r="C6804" t="str">
        <x:v>Pasted text(59).txt</x:v>
      </x:c>
    </x:row>
    <x:row r="6805">
      <x:c r="A6805" t="n">
        <x:v>2775</x:v>
      </x:c>
      <x:c r="B6805" s="58" t="str">
        <x:v>Combined X/Y/Z/TOTAL: 0.64649 / 0.23625 / 0.21014 / 0.71967</x:v>
      </x:c>
      <x:c r="C6805" t="str">
        <x:v>Pasted text(59).txt</x:v>
      </x:c>
    </x:row>
    <x:row r="6806">
      <x:c r="A6806" t="n">
        <x:v>2776</x:v>
      </x:c>
      <x:c r="B6806" s="58" t="str">
        <x:v>SNR: 25.79 dB | dominant axis X</x:v>
      </x:c>
      <x:c r="C6806" t="str">
        <x:v>Pasted text(59).txt</x:v>
      </x:c>
    </x:row>
    <x:row r="6807">
      <x:c r="A6807" t="n">
        <x:v>2777</x:v>
      </x:c>
      <x:c r="B6807" s="58" t="str">
        <x:v>Frequency verification: PASS</x:v>
      </x:c>
      <x:c r="C6807" t="str">
        <x:v>Pasted text(59).txt</x:v>
      </x:c>
    </x:row>
    <x:row r="6808">
      <x:c r="A6808" t="n">
        <x:v>2778</x:v>
      </x:c>
      <x:c r="B6808" s="58" t="str">
        <x:v>Y/Z dominance: DIAGNOSTIC ONLY — ignored for pass/fail</x:v>
      </x:c>
      <x:c r="C6808" t="str">
        <x:v>Pasted text(59).txt</x:v>
      </x:c>
    </x:row>
    <x:row r="6809">
      <x:c r="A6809" t="n">
        <x:v>2779</x:v>
      </x:c>
      <x:c r="B6809" s="58" t="str"/>
      <x:c r="C6809" t="str">
        <x:v>Pasted text(59).txt</x:v>
      </x:c>
    </x:row>
    <x:row r="6810">
      <x:c r="A6810" t="n">
        <x:v>2780</x:v>
      </x:c>
      <x:c r="B6810" s="58" t="str">
        <x:v>FIXED-DAC HOLD VALIDATION</x:v>
      </x:c>
      <x:c r="C6810" t="str">
        <x:v>Pasted text(59).txt</x:v>
      </x:c>
    </x:row>
    <x:row r="6811">
      <x:c r="A6811" t="n">
        <x:v>2781</x:v>
      </x:c>
      <x:c r="B6811" s="58" t="str">
        <x:v>DAC remains fixed at 7.75 for 10 records.</x:v>
      </x:c>
      <x:c r="C6811" t="str">
        <x:v>Pasted text(59).txt</x:v>
      </x:c>
    </x:row>
    <x:row r="6812">
      <x:c r="A6812" t="n">
        <x:v>2782</x:v>
      </x:c>
      <x:c r="B6812" s="58" t="str">
        <x:v>HOLD | point 1 | DAC 7.75 | CTRL X 0.76662 | X 0.77508 | Y 0.29690 | Z 0.26450 | TOTAL 0.87125 | error 2.22 % | MAD 0.33 % | CV 2.08 % | coh 83.1 % | dominant X | axis fraction 100.0 % | IN TARGET BAND</x:v>
      </x:c>
      <x:c r="C6812" t="str">
        <x:v>Pasted text(59).txt</x:v>
      </x:c>
    </x:row>
    <x:row r="6813">
      <x:c r="A6813" t="n">
        <x:v>2783</x:v>
      </x:c>
      <x:c r="B6813" s="58" t="str">
        <x:v>HOLD | point 2 | DAC 7.75 | CTRL X 0.76917 | X 0.77061 | Y 0.27835 | Z 0.26017 | TOTAL 0.86085 | error 2.56 % | MAD 4.44 % | CV 3.27 % | coh 83.0 % | dominant X | axis fraction 100.0 % | IN TARGET BAND</x:v>
      </x:c>
      <x:c r="C6813" t="str">
        <x:v>Pasted text(59).txt</x:v>
      </x:c>
    </x:row>
    <x:row r="6814">
      <x:c r="A6814" t="n">
        <x:v>2784</x:v>
      </x:c>
      <x:c r="B6814" s="58" t="str">
        <x:v>HOLD | point 3 | DAC 7.75 | CTRL X 0.76132 | X 0.76504 | Y 0.29329 | Z 0.21573 | TOTAL 0.84783 | error 1.51 % | MAD 3.09 % | CV 2.83 % | coh 82.4 % | dominant X | axis fraction 100.0 % | IN TARGET BAND</x:v>
      </x:c>
      <x:c r="C6814" t="str">
        <x:v>Pasted text(59).txt</x:v>
      </x:c>
    </x:row>
    <x:row r="6815">
      <x:c r="A6815" t="n">
        <x:v>2785</x:v>
      </x:c>
      <x:c r="B6815" s="58" t="str">
        <x:v>HOLD | point 4 | DAC 7.75 | CTRL X 0.76842 | X 0.77135 | Y 0.28982 | Z 0.29111 | TOTAL 0.87458 | error 2.46 % | MAD 2.43 % | CV 2.23 % | coh 83.3 % | dominant X | axis fraction 100.0 % | IN TARGET BAND</x:v>
      </x:c>
      <x:c r="C6815" t="str">
        <x:v>Pasted text(59).txt</x:v>
      </x:c>
    </x:row>
    <x:row r="6816">
      <x:c r="A6816" t="n">
        <x:v>2786</x:v>
      </x:c>
      <x:c r="B6816" s="58" t="str">
        <x:v>HOLD | point 5 | DAC 7.75 | CTRL X 0.79945 | X 0.79487 | Y 0.31366 | Z 0.25604 | TOTAL 0.89243 | error 6.59 % | MAD 3.05 % | CV 2.98 % | coh 85.5 % | dominant X | axis fraction 100.0 % | IN TARGET BAND</x:v>
      </x:c>
      <x:c r="C6816" t="str">
        <x:v>Pasted text(59).txt</x:v>
      </x:c>
    </x:row>
    <x:row r="6817">
      <x:c r="A6817" t="n">
        <x:v>2787</x:v>
      </x:c>
      <x:c r="B6817" s="58" t="str">
        <x:v>HOLD | point 6 | DAC 7.75 | CTRL X 0.76502 | X 0.76828 | Y 0.32501 | Z 0.26010 | TOTAL 0.87393 | error 2.00 % | MAD 0.07 % | CV 0.78 % | coh 82.1 % | dominant X | axis fraction 100.0 % | IN TARGET BAND</x:v>
      </x:c>
      <x:c r="C6817" t="str">
        <x:v>Pasted text(59).txt</x:v>
      </x:c>
    </x:row>
    <x:row r="6818">
      <x:c r="A6818" t="n">
        <x:v>2788</x:v>
      </x:c>
      <x:c r="B6818" s="58" t="str">
        <x:v>HOLD | point 7 | DAC 7.75 | CTRL X 0.78055 | X 0.77071 | Y 0.28951 | Z 0.24924 | TOTAL 0.86128 | error 4.07 % | MAD 3.31 % | CV 4.32 % | coh 82.7 % | dominant X | axis fraction 100.0 % | IN TARGET BAND</x:v>
      </x:c>
      <x:c r="C6818" t="str">
        <x:v>Pasted text(59).txt</x:v>
      </x:c>
    </x:row>
    <x:row r="6819">
      <x:c r="A6819" t="n">
        <x:v>2789</x:v>
      </x:c>
      <x:c r="B6819" s="58" t="str">
        <x:v>HOLD | point 8 | DAC 7.75 | CTRL X 0.79104 | X 0.77705 | Y 0.29757 | Z 0.25918 | TOTAL 0.87239 | error 5.47 % | MAD 1.56 % | CV 4.08 % | coh 82.1 % | dominant X | axis fraction 100.0 % | IN TARGET BAND</x:v>
      </x:c>
      <x:c r="C6819" t="str">
        <x:v>Pasted text(59).txt</x:v>
      </x:c>
    </x:row>
    <x:row r="6820">
      <x:c r="A6820" t="n">
        <x:v>2790</x:v>
      </x:c>
      <x:c r="B6820" s="58" t="str">
        <x:v>HOLD | point 9 | DAC 7.75 | CTRL X 0.76154 | X 0.76721 | Y 0.30232 | Z 0.25233 | TOTAL 0.86309 | error 1.54 % | MAD 2.50 % | CV 2.86 % | coh 84.1 % | dominant X | axis fraction 100.0 % | IN TARGET BAND</x:v>
      </x:c>
      <x:c r="C6820" t="str">
        <x:v>Pasted text(59).txt</x:v>
      </x:c>
    </x:row>
    <x:row r="6821">
      <x:c r="A6821" t="n">
        <x:v>2791</x:v>
      </x:c>
      <x:c r="B6821" s="58" t="str">
        <x:v>HOLD | point 10 | DAC 7.75 | CTRL X 0.74931 | X 0.75399 | Y 0.28879 | Z 0.26024 | TOTAL 0.84909 | error -0.09 % | MAD 1.74 % | CV 2.16 % | coh 82.4 % | dominant X | axis fraction 100.0 % | IN TARGET BAND</x:v>
      </x:c>
      <x:c r="C6821" t="str">
        <x:v>Pasted text(59).txt</x:v>
      </x:c>
    </x:row>
    <x:row r="6822">
      <x:c r="A6822" t="n">
        <x:v>2792</x:v>
      </x:c>
      <x:c r="B6822" s="58" t="str"/>
      <x:c r="C6822" t="str">
        <x:v>Pasted text(59).txt</x:v>
      </x:c>
    </x:row>
    <x:row r="6823">
      <x:c r="A6823" t="n">
        <x:v>2793</x:v>
      </x:c>
      <x:c r="B6823" s="58" t="str">
        <x:v>HOLD SUMMARY</x:v>
      </x:c>
      <x:c r="C6823" t="str">
        <x:v>Pasted text(59).txt</x:v>
      </x:c>
    </x:row>
    <x:row r="6824">
      <x:c r="A6824" t="n">
        <x:v>2794</x:v>
      </x:c>
      <x:c r="B6824" s="58" t="str">
        <x:v>Valid / requested: 10 / 10</x:v>
      </x:c>
      <x:c r="C6824" t="str">
        <x:v>Pasted text(59).txt</x:v>
      </x:c>
    </x:row>
    <x:row r="6825">
      <x:c r="A6825" t="n">
        <x:v>2795</x:v>
      </x:c>
      <x:c r="B6825" s="58" t="str">
        <x:v>In band / requested: 10 / 10 = 100.0 %</x:v>
      </x:c>
      <x:c r="C6825" t="str">
        <x:v>Pasted text(59).txt</x:v>
      </x:c>
    </x:row>
    <x:row r="6826">
      <x:c r="A6826" t="n">
        <x:v>2796</x:v>
      </x:c>
      <x:c r="B6826" s="58" t="str">
        <x:v>Mean / SD / CV: 0.77124 / 0.01498 / 1.94 %</x:v>
      </x:c>
      <x:c r="C6826" t="str">
        <x:v>Pasted text(59).txt</x:v>
      </x:c>
    </x:row>
    <x:row r="6827">
      <x:c r="A6827" t="n">
        <x:v>2797</x:v>
      </x:c>
      <x:c r="B6827" s="58" t="str">
        <x:v>Min / Max: 0.74931 / 0.79945</x:v>
      </x:c>
      <x:c r="C6827" t="str">
        <x:v>Pasted text(59).txt</x:v>
      </x:c>
    </x:row>
    <x:row r="6828">
      <x:c r="A6828" t="n">
        <x:v>2798</x:v>
      </x:c>
      <x:c r="B6828" s="58" t="str">
        <x:v>HOLD RESULT: PASS</x:v>
      </x:c>
      <x:c r="C6828" t="str">
        <x:v>Pasted text(59).txt</x:v>
      </x:c>
    </x:row>
    <x:row r="6829">
      <x:c r="A6829" t="n">
        <x:v>2799</x:v>
      </x:c>
      <x:c r="B6829" s="58" t="str"/>
      <x:c r="C6829" t="str">
        <x:v>Pasted text(59).txt</x:v>
      </x:c>
    </x:row>
    <x:row r="6830">
      <x:c r="A6830" t="n">
        <x:v>2800</x:v>
      </x:c>
      <x:c r="B6830" s="58" t="str">
        <x:v>RUN RESULT: PASS</x:v>
      </x:c>
      <x:c r="C6830" t="str">
        <x:v>Pasted text(59).txt</x:v>
      </x:c>
    </x:row>
    <x:row r="6831">
      <x:c r="A6831" t="n">
        <x:v>2801</x:v>
      </x:c>
      <x:c r="B6831" s="58" t="str">
        <x:v>Selected DAC: 7.75</x:v>
      </x:c>
      <x:c r="C6831" t="str">
        <x:v>Pasted text(59).txt</x:v>
      </x:c>
    </x:row>
    <x:row r="6832">
      <x:c r="A6832" t="n">
        <x:v>2802</x:v>
      </x:c>
      <x:c r="B6832" s="58" t="str">
        <x:v>Validated amplitude: 0.76142 m/s^2 | error 1.52 %</x:v>
      </x:c>
      <x:c r="C6832" t="str">
        <x:v>Pasted text(59).txt</x:v>
      </x:c>
    </x:row>
    <x:row r="6833">
      <x:c r="A6833" t="n">
        <x:v>2803</x:v>
      </x:c>
      <x:c r="B6833" s="58" t="str">
        <x:v>FFT frequency: 268.05235 Hz | difference 0.05235 Hz</x:v>
      </x:c>
      <x:c r="C6833" t="str">
        <x:v>Pasted text(59).txt</x:v>
      </x:c>
    </x:row>
    <x:row r="6834">
      <x:c r="A6834" t="n">
        <x:v>2804</x:v>
      </x:c>
      <x:c r="B6834" s="58" t="str"/>
      <x:c r="C6834" t="str">
        <x:v>Pasted text(59).txt</x:v>
      </x:c>
    </x:row>
    <x:row r="6835">
      <x:c r="A6835" t="n">
        <x:v>2805</x:v>
      </x:c>
      <x:c r="B6835" s="58" t="str">
        <x:v>VISATON OFF. RESTING 5.0 s BEFORE THE NEXT COMPLETELY FRESH RUN.</x:v>
      </x:c>
      <x:c r="C6835" t="str">
        <x:v>Pasted text(59).txt</x:v>
      </x:c>
    </x:row>
    <x:row r="6836">
      <x:c r="A6836" t="n">
        <x:v>2806</x:v>
      </x:c>
      <x:c r="B6836" s="58" t="str"/>
      <x:c r="C6836" t="str">
        <x:v>Pasted text(59).txt</x:v>
      </x:c>
    </x:row>
    <x:row r="6837">
      <x:c r="A6837" t="n">
        <x:v>2807</x:v>
      </x:c>
      <x:c r="B6837" s="58" t="str">
        <x:v>################################################################################</x:v>
      </x:c>
      <x:c r="C6837" t="str">
        <x:v>Pasted text(59).txt</x:v>
      </x:c>
    </x:row>
    <x:row r="6838">
      <x:c r="A6838" t="n">
        <x:v>2808</x:v>
      </x:c>
      <x:c r="B6838" s="58" t="str">
        <x:v>INDEPENDENT TARGET-AMPLITUDE RUN 5 OF 5</x:v>
      </x:c>
      <x:c r="C6838" t="str">
        <x:v>Pasted text(59).txt</x:v>
      </x:c>
    </x:row>
    <x:row r="6839">
      <x:c r="A6839" t="n">
        <x:v>2809</x:v>
      </x:c>
      <x:c r="B6839" s="58" t="str">
        <x:v>################################################################################</x:v>
      </x:c>
      <x:c r="C6839" t="str">
        <x:v>Pasted text(59).txt</x:v>
      </x:c>
    </x:row>
    <x:row r="6840">
      <x:c r="A6840" t="n">
        <x:v>2810</x:v>
      </x:c>
      <x:c r="B6840" s="58" t="str">
        <x:v>Frequency: 268.00000 Hz</x:v>
      </x:c>
      <x:c r="C6840" t="str">
        <x:v>Pasted text(59).txt</x:v>
      </x:c>
    </x:row>
    <x:row r="6841">
      <x:c r="A6841" t="n">
        <x:v>2811</x:v>
      </x:c>
      <x:c r="B6841" s="58" t="str">
        <x:v>Target X amplitude: 0.75000 m/s^2 peak, tolerance +/-7.50 %</x:v>
      </x:c>
      <x:c r="C6841" t="str">
        <x:v>Pasted text(59).txt</x:v>
      </x:c>
    </x:row>
    <x:row r="6842">
      <x:c r="A6842" t="n">
        <x:v>2812</x:v>
      </x:c>
      <x:c r="B6842" s="58" t="str">
        <x:v>This run starts from DAC 1.00 and ignores every earlier selected DAC.</x:v>
      </x:c>
      <x:c r="C6842" t="str">
        <x:v>Pasted text(59).txt</x:v>
      </x:c>
    </x:row>
    <x:row r="6843">
      <x:c r="A6843" t="n">
        <x:v>2813</x:v>
      </x:c>
      <x:c r="B6843" s="58" t="str">
        <x:v>ADXL2 DEVID/DATA_FORMAT/BW_RATE/POWER_CTL: 0xE5 / 0xB / 0xE / 0x8</x:v>
      </x:c>
      <x:c r="C6843" t="str">
        <x:v>Pasted text(59).txt</x:v>
      </x:c>
    </x:row>
    <x:row r="6844">
      <x:c r="A6844" t="n">
        <x:v>2814</x:v>
      </x:c>
      <x:c r="B6844" s="58" t="str"/>
      <x:c r="C6844" t="str">
        <x:v>Pasted text(59).txt</x:v>
      </x:c>
    </x:row>
    <x:row r="6845">
      <x:c r="A6845" t="n">
        <x:v>2815</x:v>
      </x:c>
      <x:c r="B6845" s="58" t="str">
        <x:v>ACQUISITION ATTEMPT 1 OF 2</x:v>
      </x:c>
      <x:c r="C6845" t="str">
        <x:v>Pasted text(59).txt</x:v>
      </x:c>
    </x:row>
    <x:row r="6846">
      <x:c r="A6846" t="n">
        <x:v>2816</x:v>
      </x:c>
      <x:c r="B6846" s="58" t="str"/>
      <x:c r="C6846" t="str">
        <x:v>Pasted text(59).txt</x:v>
      </x:c>
    </x:row>
    <x:row r="6847">
      <x:c r="A6847" t="n">
        <x:v>2817</x:v>
      </x:c>
      <x:c r="B6847" s="58" t="str">
        <x:v>FRESH X-AXIS SEARCH FROM DAC 1.00 — OLD DAC VALUES ARE NOT USED</x:v>
      </x:c>
      <x:c r="C6847" t="str">
        <x:v>Pasted text(59).txt</x:v>
      </x:c>
    </x:row>
    <x:row r="6848">
      <x:c r="A6848" t="n">
        <x:v>2818</x:v>
      </x:c>
      <x:c r="B6848" s="58" t="str">
        <x:v>Y/Z are diagnostic only and cannot abort this search.</x:v>
      </x:c>
      <x:c r="C6848" t="str">
        <x:v>Pasted text(59).txt</x:v>
      </x:c>
    </x:row>
    <x:row r="6849">
      <x:c r="A6849" t="n">
        <x:v>2819</x:v>
      </x:c>
      <x:c r="B6849" s="58" t="str">
        <x:v>A real SPI fault, clipping, safety limit or confirmed X-response collapse will stop it.</x:v>
      </x:c>
      <x:c r="C6849" t="str">
        <x:v>Pasted text(59).txt</x:v>
      </x:c>
    </x:row>
    <x:row r="6850">
      <x:c r="A6850" t="n">
        <x:v>2820</x:v>
      </x:c>
      <x:c r="B6850" s="58" t="str">
        <x:v>SEARCH | point 1 | DAC 1.00 | CTRL X 0.01870 | X 0.02092 | Y 0.03874 | Z 0.03304 | TOTAL 0.05852 | error -97.51 % | MAD 76.59 % | CV 62.75 % | coh 6.5 % | dominant Y | axis fraction 54.0 % | BELOW MEASUREMENT FLOOR — SEARCH CONTINUES</x:v>
      </x:c>
      <x:c r="C6850" t="str">
        <x:v>Pasted text(59).txt</x:v>
      </x:c>
    </x:row>
    <x:row r="6851">
      <x:c r="A6851" t="n">
        <x:v>2821</x:v>
      </x:c>
      <x:c r="B6851" s="58" t="str">
        <x:v>SEARCH | point 2 | DAC 3.00 | CTRL X 0.20414 | X 0.19574 | Y 0.07175 | Z 0.09523 | TOTAL 0.23160 | error -72.78 % | MAD 3.90 % | CV 9.91 % | coh 42.5 % | dominant X | axis fraction 100.0 % | UNSTABLE — SEARCH CONTINUES</x:v>
      </x:c>
      <x:c r="C6851" t="str">
        <x:v>Pasted text(59).txt</x:v>
      </x:c>
    </x:row>
    <x:row r="6852">
      <x:c r="A6852" t="n">
        <x:v>2822</x:v>
      </x:c>
      <x:c r="B6852" s="58" t="str">
        <x:v>SEARCH | point 3 | DAC 4.00 | CTRL X 0.32577 | X 0.31049 | Y 0.12513 | Z 0.11984 | TOTAL 0.35681 | error -56.56 % | MAD 1.84 % | CV 9.67 % | coh 56.1 % | dominant X | axis fraction 100.0 % | VALID</x:v>
      </x:c>
      <x:c r="C6852" t="str">
        <x:v>Pasted text(59).txt</x:v>
      </x:c>
    </x:row>
    <x:row r="6853">
      <x:c r="A6853" t="n">
        <x:v>2823</x:v>
      </x:c>
      <x:c r="B6853" s="58" t="str">
        <x:v>SEARCH | point 4 | DAC 5.00 | CTRL X 0.42992 | X 0.43271 | Y 0.13724 | Z 0.15513 | TOTAL 0.48028 | error -42.68 % | MAD 2.71 % | CV 2.84 % | coh 68.9 % | dominant X | axis fraction 100.0 % | VALID</x:v>
      </x:c>
      <x:c r="C6853" t="str">
        <x:v>Pasted text(59).txt</x:v>
      </x:c>
    </x:row>
    <x:row r="6854">
      <x:c r="A6854" t="n">
        <x:v>2824</x:v>
      </x:c>
      <x:c r="B6854" s="58" t="str">
        <x:v>SEARCH | point 5 | DAC 6.00 | CTRL X 0.53567 | X 0.54098 | Y 0.21778 | Z 0.22099 | TOTAL 0.62405 | error -28.58 % | MAD 1.60 % | CV 2.68 % | coh 75.9 % | dominant X | axis fraction 100.0 % | VALID</x:v>
      </x:c>
      <x:c r="C6854" t="str">
        <x:v>Pasted text(59).txt</x:v>
      </x:c>
    </x:row>
    <x:row r="6855">
      <x:c r="A6855" t="n">
        <x:v>2825</x:v>
      </x:c>
      <x:c r="B6855" s="58" t="str">
        <x:v>SEARCH | point 6 | DAC 6.50 | CTRL X 0.57668 | X 0.58077 | Y 0.21134 | Z 0.20996 | TOTAL 0.65306 | error -23.11 % | MAD 3.19 % | CV 3.25 % | coh 79.1 % | dominant X | axis fraction 100.0 % | VALID</x:v>
      </x:c>
      <x:c r="C6855" t="str">
        <x:v>Pasted text(59).txt</x:v>
      </x:c>
    </x:row>
    <x:row r="6856">
      <x:c r="A6856" t="n">
        <x:v>2826</x:v>
      </x:c>
      <x:c r="B6856" s="58" t="str">
        <x:v>SEARCH | point 7 | DAC 7.00 | CTRL X 0.68971 | X 0.68314 | Y 0.25229 | Z 0.23787 | TOTAL 0.76669 | error -8.04 % | MAD 1.61 % | CV 2.67 % | coh 83.0 % | dominant X | axis fraction 100.0 % | VALID</x:v>
      </x:c>
      <x:c r="C6856" t="str">
        <x:v>Pasted text(59).txt</x:v>
      </x:c>
    </x:row>
    <x:row r="6857">
      <x:c r="A6857" t="n">
        <x:v>2827</x:v>
      </x:c>
      <x:c r="B6857" s="58" t="str">
        <x:v>SEARCH | point 8 | DAC 7.25 | CTRL X 0.66889 | X 0.67365 | Y 0.26424 | Z 0.23721 | TOTAL 0.76200 | error -10.81 % | MAD 3.72 % | CV 3.60 % | coh 81.3 % | dominant X | axis fraction 100.0 % | VALID</x:v>
      </x:c>
      <x:c r="C6857" t="str">
        <x:v>Pasted text(59).txt</x:v>
      </x:c>
    </x:row>
    <x:row r="6858">
      <x:c r="A6858" t="n">
        <x:v>2828</x:v>
      </x:c>
      <x:c r="B6858" s="58" t="str">
        <x:v>SEARCH | point 9 | DAC 7.50 | CTRL X 0.70590 | X 0.70960 | Y 0.28630 | Z 0.26292 | TOTAL 0.80918 | error -5.88 % | MAD 2.50 % | CV 2.50 % | coh 84.0 % | dominant X | axis fraction 100.0 % | IN TARGET BAND</x:v>
      </x:c>
      <x:c r="C6858" t="str">
        <x:v>Pasted text(59).txt</x:v>
      </x:c>
    </x:row>
    <x:row r="6859">
      <x:c r="A6859" t="n">
        <x:v>2829</x:v>
      </x:c>
      <x:c r="B6859" s="58" t="str"/>
      <x:c r="C6859" t="str">
        <x:v>Pasted text(59).txt</x:v>
      </x:c>
    </x:row>
    <x:row r="6860">
      <x:c r="A6860" t="n">
        <x:v>2830</x:v>
      </x:c>
      <x:c r="B6860" s="58" t="str">
        <x:v>LOCAL 0.25-DAC X-AXIS FINE SCAN</x:v>
      </x:c>
      <x:c r="C6860" t="str">
        <x:v>Pasted text(59).txt</x:v>
      </x:c>
    </x:row>
    <x:row r="6861">
      <x:c r="A6861" t="n">
        <x:v>2831</x:v>
      </x:c>
      <x:c r="B6861" s="58" t="str">
        <x:v>Only a valid point actually inside the X target band may be selected.</x:v>
      </x:c>
      <x:c r="C6861" t="str">
        <x:v>Pasted text(59).txt</x:v>
      </x:c>
    </x:row>
    <x:row r="6862">
      <x:c r="A6862" t="n">
        <x:v>2832</x:v>
      </x:c>
      <x:c r="B6862" s="58" t="str">
        <x:v>FINE | point 1 | DAC 6.50 | CTRL X 0.55905 | X 0.55970 | Y 0.21614 | Z 0.19301 | TOTAL 0.63091 | error -25.46 % | MAD 1.76 % | CV 1.36 % | coh 78.4 % | dominant X | axis fraction 100.0 % | VALID</x:v>
      </x:c>
      <x:c r="C6862" t="str">
        <x:v>Pasted text(59).txt</x:v>
      </x:c>
    </x:row>
    <x:row r="6863">
      <x:c r="A6863" t="n">
        <x:v>2833</x:v>
      </x:c>
      <x:c r="B6863" s="58" t="str">
        <x:v>FINE | point 2 | DAC 6.75 | CTRL X 0.63014 | X 0.64124 | Y 0.26651 | Z 0.22305 | TOTAL 0.72957 | error -15.98 % | MAD 2.90 % | CV 4.76 % | coh 80.1 % | dominant X | axis fraction 100.0 % | VALID</x:v>
      </x:c>
      <x:c r="C6863" t="str">
        <x:v>Pasted text(59).txt</x:v>
      </x:c>
    </x:row>
    <x:row r="6864">
      <x:c r="A6864" t="n">
        <x:v>2834</x:v>
      </x:c>
      <x:c r="B6864" s="58" t="str">
        <x:v>FINE | point 3 | DAC 7.00 | CTRL X 0.67324 | X 0.66150 | Y 0.24243 | Z 0.23278 | TOTAL 0.74227 | error -10.23 % | MAD 1.74 % | CV 4.15 % | coh 80.5 % | dominant X | axis fraction 100.0 % | VALID</x:v>
      </x:c>
      <x:c r="C6864" t="str">
        <x:v>Pasted text(59).txt</x:v>
      </x:c>
    </x:row>
    <x:row r="6865">
      <x:c r="A6865" t="n">
        <x:v>2835</x:v>
      </x:c>
      <x:c r="B6865" s="58" t="str">
        <x:v>FINE | point 4 | DAC 7.25 | CTRL X 0.69301 | X 0.69101 | Y 0.26056 | Z 0.24288 | TOTAL 0.77774 | error -7.60 % | MAD 0.75 % | CV 0.97 % | coh 85.1 % | dominant X | axis fraction 100.0 % | VALID</x:v>
      </x:c>
      <x:c r="C6865" t="str">
        <x:v>Pasted text(59).txt</x:v>
      </x:c>
    </x:row>
    <x:row r="6866">
      <x:c r="A6866" t="n">
        <x:v>2836</x:v>
      </x:c>
      <x:c r="B6866" s="58" t="str">
        <x:v>FINE | point 5 | DAC 7.50 | CTRL X 0.71332 | X 0.71028 | Y 0.26735 | Z 0.27987 | TOTAL 0.80982 | error -4.89 % | MAD 3.50 % | CV 3.04 % | coh 87.4 % | dominant X | axis fraction 100.0 % | IN TARGET BAND</x:v>
      </x:c>
      <x:c r="C6866" t="str">
        <x:v>Pasted text(59).txt</x:v>
      </x:c>
    </x:row>
    <x:row r="6867">
      <x:c r="A6867" t="n">
        <x:v>2837</x:v>
      </x:c>
      <x:c r="B6867" s="58" t="str">
        <x:v>FINE | point 6 | DAC 7.75 | CTRL X 0.74485 | X 0.74838 | Y 0.29800 | Z 0.26114 | TOTAL 0.84692 | error -0.69 % | MAD 2.20 % | CV 2.23 % | coh 82.8 % | dominant X | axis fraction 100.0 % | IN TARGET BAND</x:v>
      </x:c>
      <x:c r="C6867" t="str">
        <x:v>Pasted text(59).txt</x:v>
      </x:c>
    </x:row>
    <x:row r="6868">
      <x:c r="A6868" t="n">
        <x:v>2838</x:v>
      </x:c>
      <x:c r="B6868" s="58" t="str">
        <x:v>FINE | point 7 | DAC 8.00 | CTRL X 0.79507 | X 0.79032 | Y 0.27244 | Z 0.27088 | TOTAL 0.87908 | error 6.01 % | MAD 1.25 % | CV 1.83 % | coh 85.4 % | dominant X | axis fraction 100.0 % | IN TARGET BAND</x:v>
      </x:c>
      <x:c r="C6868" t="str">
        <x:v>Pasted text(59).txt</x:v>
      </x:c>
    </x:row>
    <x:row r="6869">
      <x:c r="A6869" t="n">
        <x:v>2839</x:v>
      </x:c>
      <x:c r="B6869" s="58" t="str">
        <x:v>FINE | point 8 | DAC 8.25 | CTRL X 0.80843 | X 0.80540 | Y 0.26344 | Z 0.26588 | TOTAL 0.88821 | error 7.79 % | MAD 0.70 % | CV 1.09 % | coh 83.9 % | dominant X | axis fraction 100.0 % | VALID</x:v>
      </x:c>
      <x:c r="C6869" t="str">
        <x:v>Pasted text(59).txt</x:v>
      </x:c>
    </x:row>
    <x:row r="6870">
      <x:c r="A6870" t="n">
        <x:v>2840</x:v>
      </x:c>
      <x:c r="B6870" s="58" t="str">
        <x:v>FINE | point 9 | DAC 8.50 | CTRL X 0.83782 | X 0.83393 | Y 0.31616 | Z 0.27725 | TOTAL 0.93412 | error 11.71 % | MAD 1.20 % | CV 1.56 % | coh 86.2 % | dominant X | axis fraction 100.0 % | VALID</x:v>
      </x:c>
      <x:c r="C6870" t="str">
        <x:v>Pasted text(59).txt</x:v>
      </x:c>
    </x:row>
    <x:row r="6871">
      <x:c r="A6871" t="n">
        <x:v>2841</x:v>
      </x:c>
      <x:c r="B6871" s="58" t="str"/>
      <x:c r="C6871" t="str">
        <x:v>Pasted text(59).txt</x:v>
      </x:c>
    </x:row>
    <x:row r="6872">
      <x:c r="A6872" t="n">
        <x:v>2842</x:v>
      </x:c>
      <x:c r="B6872" s="58" t="str">
        <x:v>LONG VALIDATION AT FIXED DAC 7.75</x:v>
      </x:c>
      <x:c r="C6872" t="str">
        <x:v>Pasted text(59).txt</x:v>
      </x:c>
    </x:row>
    <x:row r="6873">
      <x:c r="A6873" t="n">
        <x:v>2843</x:v>
      </x:c>
      <x:c r="B6873" s="58" t="str">
        <x:v>FINAL | point 1 | DAC 7.75 | CTRL X 0.72730 | X 0.73494 | Y 0.28991 | Z 0.25018 | TOTAL 0.82910 | error -3.03 % | MAD 2.80 % | CV 3.15 % | coh 81.6 % | dominant X | axis fraction 100.0 % | IN TARGET BAND</x:v>
      </x:c>
      <x:c r="C6873" t="str">
        <x:v>Pasted text(59).txt</x:v>
      </x:c>
    </x:row>
    <x:row r="6874">
      <x:c r="A6874" t="n">
        <x:v>2844</x:v>
      </x:c>
      <x:c r="B6874" s="58" t="str">
        <x:v>FINAL | point 2 | DAC 7.75 | CTRL X 0.75174 | X 0.75343 | Y 0.28223 | Z 0.26981 | TOTAL 0.84888 | error 0.23 % | MAD 2.76 % | CV 3.63 % | coh 83.1 % | dominant X | axis fraction 100.0 % | IN TARGET BAND</x:v>
      </x:c>
      <x:c r="C6874" t="str">
        <x:v>Pasted text(59).txt</x:v>
      </x:c>
    </x:row>
    <x:row r="6875">
      <x:c r="A6875" t="n">
        <x:v>2845</x:v>
      </x:c>
      <x:c r="B6875" s="58" t="str">
        <x:v>VALIDATION ACCEPTED | pair drift 3.30 %</x:v>
      </x:c>
      <x:c r="C6875" t="str">
        <x:v>Pasted text(59).txt</x:v>
      </x:c>
    </x:row>
    <x:row r="6876">
      <x:c r="A6876" t="n">
        <x:v>2846</x:v>
      </x:c>
      <x:c r="B6876" s="58" t="str"/>
      <x:c r="C6876" t="str">
        <x:v>Pasted text(59).txt</x:v>
      </x:c>
    </x:row>
    <x:row r="6877">
      <x:c r="A6877" t="n">
        <x:v>2847</x:v>
      </x:c>
      <x:c r="B6877" s="58" t="str">
        <x:v>FINAL VALIDATED BLIND FFT VERIFICATION</x:v>
      </x:c>
      <x:c r="C6877" t="str">
        <x:v>Pasted text(59).txt</x:v>
      </x:c>
    </x:row>
    <x:row r="6878">
      <x:c r="A6878" t="n">
        <x:v>2848</x:v>
      </x:c>
      <x:c r="B6878" s="58" t="str">
        <x:v>Commanded frequency: 268.00000 Hz</x:v>
      </x:c>
      <x:c r="C6878" t="str">
        <x:v>Pasted text(59).txt</x:v>
      </x:c>
    </x:row>
    <x:row r="6879">
      <x:c r="A6879" t="n">
        <x:v>2849</x:v>
      </x:c>
      <x:c r="B6879" s="58" t="str">
        <x:v>Accepted DAC: 7.75</x:v>
      </x:c>
      <x:c r="C6879" t="str">
        <x:v>Pasted text(59).txt</x:v>
      </x:c>
    </x:row>
    <x:row r="6880">
      <x:c r="A6880" t="n">
        <x:v>2850</x:v>
      </x:c>
      <x:c r="B6880" s="58" t="str">
        <x:v>Axis,Frequency_Hz,Amplitude_mps2,SNR_dB,Status</x:v>
      </x:c>
      <x:c r="C6880" t="str">
        <x:v>Pasted text(59).txt</x:v>
      </x:c>
    </x:row>
    <x:row r="6881">
      <x:c r="A6881" t="n">
        <x:v>2851</x:v>
      </x:c>
      <x:c r="B6881" s="58" t="str">
        <x:v>X,268.03026,0.70314,29.42,VALID</x:v>
      </x:c>
      <x:c r="C6881" t="str">
        <x:v>Pasted text(59).txt</x:v>
      </x:c>
    </x:row>
    <x:row r="6882">
      <x:c r="A6882" t="n">
        <x:v>2852</x:v>
      </x:c>
      <x:c r="B6882" s="58" t="str">
        <x:v>Y,267.99913,0.25815,20.30,VALID</x:v>
      </x:c>
      <x:c r="C6882" t="str">
        <x:v>Pasted text(59).txt</x:v>
      </x:c>
    </x:row>
    <x:row r="6883">
      <x:c r="A6883" t="n">
        <x:v>2853</x:v>
      </x:c>
      <x:c r="B6883" s="58" t="str">
        <x:v>Z,267.94406,0.24406,22.33,VALID</x:v>
      </x:c>
      <x:c r="C6883" t="str">
        <x:v>Pasted text(59).txt</x:v>
      </x:c>
    </x:row>
    <x:row r="6884">
      <x:c r="A6884" t="n">
        <x:v>2854</x:v>
      </x:c>
      <x:c r="B6884" s="58" t="str">
        <x:v>Combined frequency: 268.01905 Hz | difference 0.01905 Hz</x:v>
      </x:c>
      <x:c r="C6884" t="str">
        <x:v>Pasted text(59).txt</x:v>
      </x:c>
    </x:row>
    <x:row r="6885">
      <x:c r="A6885" t="n">
        <x:v>2855</x:v>
      </x:c>
      <x:c r="B6885" s="58" t="str">
        <x:v>Combined X/Y/Z/TOTAL: 0.64244 / 0.23418 / 0.21948 / 0.71815</x:v>
      </x:c>
      <x:c r="C6885" t="str">
        <x:v>Pasted text(59).txt</x:v>
      </x:c>
    </x:row>
    <x:row r="6886">
      <x:c r="A6886" t="n">
        <x:v>2856</x:v>
      </x:c>
      <x:c r="B6886" s="58" t="str">
        <x:v>SNR: 26.07 dB | dominant axis X</x:v>
      </x:c>
      <x:c r="C6886" t="str">
        <x:v>Pasted text(59).txt</x:v>
      </x:c>
    </x:row>
    <x:row r="6887">
      <x:c r="A6887" t="n">
        <x:v>2857</x:v>
      </x:c>
      <x:c r="B6887" s="58" t="str">
        <x:v>Frequency verification: PASS</x:v>
      </x:c>
      <x:c r="C6887" t="str">
        <x:v>Pasted text(59).txt</x:v>
      </x:c>
    </x:row>
    <x:row r="6888">
      <x:c r="A6888" t="n">
        <x:v>2858</x:v>
      </x:c>
      <x:c r="B6888" s="58" t="str">
        <x:v>Y/Z dominance: DIAGNOSTIC ONLY — ignored for pass/fail</x:v>
      </x:c>
      <x:c r="C6888" t="str">
        <x:v>Pasted text(59).txt</x:v>
      </x:c>
    </x:row>
    <x:row r="6889">
      <x:c r="A6889" t="n">
        <x:v>2859</x:v>
      </x:c>
      <x:c r="B6889" s="58" t="str"/>
      <x:c r="C6889" t="str">
        <x:v>Pasted text(59).txt</x:v>
      </x:c>
    </x:row>
    <x:row r="6890">
      <x:c r="A6890" t="n">
        <x:v>2860</x:v>
      </x:c>
      <x:c r="B6890" s="58" t="str">
        <x:v>FIXED-DAC HOLD VALIDATION</x:v>
      </x:c>
      <x:c r="C6890" t="str">
        <x:v>Pasted text(59).txt</x:v>
      </x:c>
    </x:row>
    <x:row r="6891">
      <x:c r="A6891" t="n">
        <x:v>2861</x:v>
      </x:c>
      <x:c r="B6891" s="58" t="str">
        <x:v>DAC remains fixed at 7.75 for 10 records.</x:v>
      </x:c>
      <x:c r="C6891" t="str">
        <x:v>Pasted text(59).txt</x:v>
      </x:c>
    </x:row>
    <x:row r="6892">
      <x:c r="A6892" t="n">
        <x:v>2862</x:v>
      </x:c>
      <x:c r="B6892" s="58" t="str">
        <x:v>HOLD | point 1 | DAC 7.75 | CTRL X 0.76886 | X 0.75968 | Y 0.30260 | Z 0.27284 | TOTAL 0.86257 | error 2.52 % | MAD 1.63 % | CV 3.11 % | coh 83.0 % | dominant X | axis fraction 100.0 % | IN TARGET BAND</x:v>
      </x:c>
      <x:c r="C6892" t="str">
        <x:v>Pasted text(59).txt</x:v>
      </x:c>
    </x:row>
    <x:row r="6893">
      <x:c r="A6893" t="n">
        <x:v>2863</x:v>
      </x:c>
      <x:c r="B6893" s="58" t="str">
        <x:v>HOLD | point 2 | DAC 7.75 | CTRL X 0.76274 | X 0.75963 | Y 0.28521 | Z 0.26068 | TOTAL 0.85238 | error 1.70 % | MAD 1.93 % | CV 1.95 % | coh 82.0 % | dominant X | axis fraction 100.0 % | IN TARGET BAND</x:v>
      </x:c>
      <x:c r="C6893" t="str">
        <x:v>Pasted text(59).txt</x:v>
      </x:c>
    </x:row>
    <x:row r="6894">
      <x:c r="A6894" t="n">
        <x:v>2864</x:v>
      </x:c>
      <x:c r="B6894" s="58" t="str">
        <x:v>HOLD | point 3 | DAC 7.75 | CTRL X 0.74962 | X 0.74858 | Y 0.28116 | Z 0.25671 | TOTAL 0.83995 | error -0.05 % | MAD 5.40 % | CV 3.86 % | coh 82.0 % | dominant X | axis fraction 100.0 % | IN TARGET BAND</x:v>
      </x:c>
      <x:c r="C6894" t="str">
        <x:v>Pasted text(59).txt</x:v>
      </x:c>
    </x:row>
    <x:row r="6895">
      <x:c r="A6895" t="n">
        <x:v>2865</x:v>
      </x:c>
      <x:c r="B6895" s="58" t="str">
        <x:v>HOLD | point 4 | DAC 7.75 | CTRL X 0.77098 | X 0.76647 | Y 0.31338 | Z 0.25407 | TOTAL 0.86637 | error 2.80 % | MAD 3.19 % | CV 3.09 % | coh 84.4 % | dominant X | axis fraction 100.0 % | IN TARGET BAND</x:v>
      </x:c>
      <x:c r="C6895" t="str">
        <x:v>Pasted text(59).txt</x:v>
      </x:c>
    </x:row>
    <x:row r="6896">
      <x:c r="A6896" t="n">
        <x:v>2866</x:v>
      </x:c>
      <x:c r="B6896" s="58" t="str">
        <x:v>HOLD | point 5 | DAC 7.75 | CTRL X 0.76350 | X 0.76514 | Y 0.27933 | Z 0.27183 | TOTAL 0.85897 | error 1.80 % | MAD 2.31 % | CV 1.89 % | coh 82.8 % | dominant X | axis fraction 100.0 % | IN TARGET BAND</x:v>
      </x:c>
      <x:c r="C6896" t="str">
        <x:v>Pasted text(59).txt</x:v>
      </x:c>
    </x:row>
    <x:row r="6897">
      <x:c r="A6897" t="n">
        <x:v>2867</x:v>
      </x:c>
      <x:c r="B6897" s="58" t="str">
        <x:v>HOLD | point 6 | DAC 7.75 | CTRL X 0.77682 | X 0.76654 | Y 0.30102 | Z 0.26475 | TOTAL 0.86507 | error 3.58 % | MAD 0.45 % | CV 2.59 % | coh 83.0 % | dominant X | axis fraction 100.0 % | IN TARGET BAND</x:v>
      </x:c>
      <x:c r="C6897" t="str">
        <x:v>Pasted text(59).txt</x:v>
      </x:c>
    </x:row>
    <x:row r="6898">
      <x:c r="A6898" t="n">
        <x:v>2868</x:v>
      </x:c>
      <x:c r="B6898" s="58" t="str">
        <x:v>HOLD | point 7 | DAC 7.75 | CTRL X 0.76553 | X 0.75852 | Y 0.30328 | Z 0.25248 | TOTAL 0.85548 | error 2.07 % | MAD 0.47 % | CV 1.89 % | coh 83.0 % | dominant X | axis fraction 100.0 % | IN TARGET BAND</x:v>
      </x:c>
      <x:c r="C6898" t="str">
        <x:v>Pasted text(59).txt</x:v>
      </x:c>
    </x:row>
    <x:row r="6899">
      <x:c r="A6899" t="n">
        <x:v>2869</x:v>
      </x:c>
      <x:c r="B6899" s="58" t="str">
        <x:v>HOLD | point 8 | DAC 7.75 | CTRL X 0.75392 | X 0.75922 | Y 0.28886 | Z 0.25251 | TOTAL 0.85104 | error 0.52 % | MAD 1.58 % | CV 2.19 % | coh 81.7 % | dominant X | axis fraction 100.0 % | IN TARGET BAND</x:v>
      </x:c>
      <x:c r="C6899" t="str">
        <x:v>Pasted text(59).txt</x:v>
      </x:c>
    </x:row>
    <x:row r="6900">
      <x:c r="A6900" t="n">
        <x:v>2870</x:v>
      </x:c>
      <x:c r="B6900" s="58" t="str">
        <x:v>HOLD | point 9 | DAC 7.75 | CTRL X 0.76356 | X 0.77109 | Y 0.27263 | Z 0.29163 | TOTAL 0.86865 | error 1.81 % | MAD 0.27 % | CV 1.85 % | coh 81.7 % | dominant X | axis fraction 100.0 % | IN TARGET BAND</x:v>
      </x:c>
      <x:c r="C6900" t="str">
        <x:v>Pasted text(59).txt</x:v>
      </x:c>
    </x:row>
    <x:row r="6901">
      <x:c r="A6901" t="n">
        <x:v>2871</x:v>
      </x:c>
      <x:c r="B6901" s="58" t="str">
        <x:v>HOLD | point 10 | DAC 7.75 | CTRL X 0.74033 | X 0.74621 | Y 0.28676 | Z 0.25456 | TOTAL 0.83930 | error -1.29 % | MAD 1.16 % | CV 2.07 % | coh 82.5 % | dominant X | axis fraction 100.0 % | IN TARGET BAND</x:v>
      </x:c>
      <x:c r="C6901" t="str">
        <x:v>Pasted text(59).txt</x:v>
      </x:c>
    </x:row>
    <x:row r="6902">
      <x:c r="A6902" t="n">
        <x:v>2872</x:v>
      </x:c>
      <x:c r="B6902" s="58" t="str"/>
      <x:c r="C6902" t="str">
        <x:v>Pasted text(59).txt</x:v>
      </x:c>
    </x:row>
    <x:row r="6903">
      <x:c r="A6903" t="n">
        <x:v>2873</x:v>
      </x:c>
      <x:c r="B6903" s="58" t="str">
        <x:v>HOLD SUMMARY</x:v>
      </x:c>
      <x:c r="C6903" t="str">
        <x:v>Pasted text(59).txt</x:v>
      </x:c>
    </x:row>
    <x:row r="6904">
      <x:c r="A6904" t="n">
        <x:v>2874</x:v>
      </x:c>
      <x:c r="B6904" s="58" t="str">
        <x:v>Valid / requested: 10 / 10</x:v>
      </x:c>
      <x:c r="C6904" t="str">
        <x:v>Pasted text(59).txt</x:v>
      </x:c>
    </x:row>
    <x:row r="6905">
      <x:c r="A6905" t="n">
        <x:v>2875</x:v>
      </x:c>
      <x:c r="B6905" s="58" t="str">
        <x:v>In band / requested: 10 / 10 = 100.0 %</x:v>
      </x:c>
      <x:c r="C6905" t="str">
        <x:v>Pasted text(59).txt</x:v>
      </x:c>
    </x:row>
    <x:row r="6906">
      <x:c r="A6906" t="n">
        <x:v>2876</x:v>
      </x:c>
      <x:c r="B6906" s="58" t="str">
        <x:v>Mean / SD / CV: 0.76159 / 0.01081 / 1.42 %</x:v>
      </x:c>
      <x:c r="C6906" t="str">
        <x:v>Pasted text(59).txt</x:v>
      </x:c>
    </x:row>
    <x:row r="6907">
      <x:c r="A6907" t="n">
        <x:v>2877</x:v>
      </x:c>
      <x:c r="B6907" s="58" t="str">
        <x:v>Min / Max: 0.74033 / 0.77682</x:v>
      </x:c>
      <x:c r="C6907" t="str">
        <x:v>Pasted text(59).txt</x:v>
      </x:c>
    </x:row>
    <x:row r="6908">
      <x:c r="A6908" t="n">
        <x:v>2878</x:v>
      </x:c>
      <x:c r="B6908" s="58" t="str">
        <x:v>HOLD RESULT: PASS</x:v>
      </x:c>
      <x:c r="C6908" t="str">
        <x:v>Pasted text(59).txt</x:v>
      </x:c>
    </x:row>
    <x:row r="6909">
      <x:c r="A6909" t="n">
        <x:v>2879</x:v>
      </x:c>
      <x:c r="B6909" s="58" t="str"/>
      <x:c r="C6909" t="str">
        <x:v>Pasted text(59).txt</x:v>
      </x:c>
    </x:row>
    <x:row r="6910">
      <x:c r="A6910" t="n">
        <x:v>2880</x:v>
      </x:c>
      <x:c r="B6910" s="58" t="str">
        <x:v>RUN RESULT: PASS</x:v>
      </x:c>
      <x:c r="C6910" t="str">
        <x:v>Pasted text(59).txt</x:v>
      </x:c>
    </x:row>
    <x:row r="6911">
      <x:c r="A6911" t="n">
        <x:v>2881</x:v>
      </x:c>
      <x:c r="B6911" s="58" t="str">
        <x:v>Selected DAC: 7.75</x:v>
      </x:c>
      <x:c r="C6911" t="str">
        <x:v>Pasted text(59).txt</x:v>
      </x:c>
    </x:row>
    <x:row r="6912">
      <x:c r="A6912" t="n">
        <x:v>2882</x:v>
      </x:c>
      <x:c r="B6912" s="58" t="str">
        <x:v>Validated amplitude: 0.73952 m/s^2 | error -1.40 %</x:v>
      </x:c>
      <x:c r="C6912" t="str">
        <x:v>Pasted text(59).txt</x:v>
      </x:c>
    </x:row>
    <x:row r="6913">
      <x:c r="A6913" t="n">
        <x:v>2883</x:v>
      </x:c>
      <x:c r="B6913" s="58" t="str">
        <x:v>FFT frequency: 268.01905 Hz | difference 0.01905 Hz</x:v>
      </x:c>
      <x:c r="C6913" t="str">
        <x:v>Pasted text(59).txt</x:v>
      </x:c>
    </x:row>
    <x:row r="6914">
      <x:c r="A6914" t="n">
        <x:v>2884</x:v>
      </x:c>
      <x:c r="B6914" s="58" t="str"/>
      <x:c r="C6914" t="str">
        <x:v>Pasted text(59).txt</x:v>
      </x:c>
    </x:row>
    <x:row r="6915">
      <x:c r="A6915" t="n">
        <x:v>2885</x:v>
      </x:c>
      <x:c r="B6915" s="58" t="str">
        <x:v>================================================================================</x:v>
      </x:c>
      <x:c r="C6915" t="str">
        <x:v>Pasted text(59).txt</x:v>
      </x:c>
    </x:row>
    <x:row r="6916">
      <x:c r="A6916" t="n">
        <x:v>2886</x:v>
      </x:c>
      <x:c r="B6916" s="58" t="str">
        <x:v>FINAL REPEATED TARGET-AMPLITUDE VALIDATION SUMMARY</x:v>
      </x:c>
      <x:c r="C6916" t="str">
        <x:v>Pasted text(59).txt</x:v>
      </x:c>
    </x:row>
    <x:row r="6917">
      <x:c r="A6917" t="n">
        <x:v>2887</x:v>
      </x:c>
      <x:c r="B6917" s="58" t="str">
        <x:v>================================================================================</x:v>
      </x:c>
      <x:c r="C6917" t="str">
        <x:v>Pasted text(59).txt</x:v>
      </x:c>
    </x:row>
    <x:row r="6918">
      <x:c r="A6918" t="n">
        <x:v>2888</x:v>
      </x:c>
      <x:c r="B6918" s="58" t="str">
        <x:v>Run,Pass,Selected_DAC,Validated_Amp,Error_pct,FFT_Hz,FFT_Diff_Hz,FFT_SNR_dB,Hold_Mean,Hold_CV_pct,Hold_InBand_pct,Reason</x:v>
      </x:c>
      <x:c r="C6918" t="str">
        <x:v>Pasted text(59).txt</x:v>
      </x:c>
    </x:row>
    <x:row r="6919">
      <x:c r="A6919" t="n">
        <x:v>2889</x:v>
      </x:c>
      <x:c r="B6919" s="58" t="str">
        <x:v>1,PASS,6.75,0.79380,5.84,268.03484,0.03484,26.30,0.76983,1.43,100.0,PASS</x:v>
      </x:c>
      <x:c r="C6919" t="str">
        <x:v>Pasted text(59).txt</x:v>
      </x:c>
    </x:row>
    <x:row r="6920">
      <x:c r="A6920" t="n">
        <x:v>2890</x:v>
      </x:c>
      <x:c r="B6920" s="58" t="str">
        <x:v>2,PASS,7.75,0.77332,3.11,268.01496,0.01496,26.16,0.78027,1.65,100.0,PASS</x:v>
      </x:c>
      <x:c r="C6920" t="str">
        <x:v>Pasted text(59).txt</x:v>
      </x:c>
    </x:row>
    <x:row r="6921">
      <x:c r="A6921" t="n">
        <x:v>2891</x:v>
      </x:c>
      <x:c r="B6921" s="58" t="str">
        <x:v>3,PASS,7.50,0.70798,-5.60,268.01220,0.01220,25.68,0.70960,2.08,90.0,PASS</x:v>
      </x:c>
      <x:c r="C6921" t="str">
        <x:v>Pasted text(59).txt</x:v>
      </x:c>
    </x:row>
    <x:row r="6922">
      <x:c r="A6922" t="n">
        <x:v>2892</x:v>
      </x:c>
      <x:c r="B6922" s="58" t="str">
        <x:v>4,PASS,7.75,0.76142,1.52,268.05235,0.05235,25.79,0.77124,1.94,100.0,PASS</x:v>
      </x:c>
      <x:c r="C6922" t="str">
        <x:v>Pasted text(59).txt</x:v>
      </x:c>
    </x:row>
    <x:row r="6923">
      <x:c r="A6923" t="n">
        <x:v>2893</x:v>
      </x:c>
      <x:c r="B6923" s="58" t="str">
        <x:v>5,PASS,7.75,0.73952,-1.40,268.01905,0.01905,26.07,0.76159,1.42,100.0,PASS</x:v>
      </x:c>
      <x:c r="C6923" t="str">
        <x:v>Pasted text(59).txt</x:v>
      </x:c>
    </x:row>
    <x:row r="6924">
      <x:c r="A6924" t="n">
        <x:v>2894</x:v>
      </x:c>
      <x:c r="B6924" s="58" t="str">
        <x:v>--------------------------------------------------------------------------------</x:v>
      </x:c>
      <x:c r="C6924" t="str">
        <x:v>Pasted text(59).txt</x:v>
      </x:c>
    </x:row>
    <x:row r="6925">
      <x:c r="A6925" t="n">
        <x:v>2895</x:v>
      </x:c>
      <x:c r="B6925" s="58" t="str">
        <x:v>Successful independent runs: 5 / 5</x:v>
      </x:c>
      <x:c r="C6925" t="str">
        <x:v>Pasted text(59).txt</x:v>
      </x:c>
    </x:row>
    <x:row r="6926">
      <x:c r="A6926" t="n">
        <x:v>2896</x:v>
      </x:c>
      <x:c r="B6926" s="58" t="str">
        <x:v>Validated amplitude mean +/- SD: 0.75521 +/- 0.03291 m/s^2 peak</x:v>
      </x:c>
      <x:c r="C6926" t="str">
        <x:v>Pasted text(59).txt</x:v>
      </x:c>
    </x:row>
    <x:row r="6927">
      <x:c r="A6927" t="n">
        <x:v>2897</x:v>
      </x:c>
      <x:c r="B6927" s="58" t="str">
        <x:v>Across-run amplitude CV: 4.36 %</x:v>
      </x:c>
      <x:c r="C6927" t="str">
        <x:v>Pasted text(59).txt</x:v>
      </x:c>
    </x:row>
    <x:row r="6928">
      <x:c r="A6928" t="n">
        <x:v>2898</x:v>
      </x:c>
      <x:c r="B6928" s="58" t="str">
        <x:v>Maximum absolute target error: 5.84 %</x:v>
      </x:c>
      <x:c r="C6928" t="str">
        <x:v>Pasted text(59).txt</x:v>
      </x:c>
    </x:row>
    <x:row r="6929">
      <x:c r="A6929" t="n">
        <x:v>2899</x:v>
      </x:c>
      <x:c r="B6929" s="58" t="str">
        <x:v>FFT frequency mean +/- SD: 268.02668 +/- 0.01681 Hz</x:v>
      </x:c>
      <x:c r="C6929" t="str">
        <x:v>Pasted text(59).txt</x:v>
      </x:c>
    </x:row>
    <x:row r="6930">
      <x:c r="A6930" t="n">
        <x:v>2900</x:v>
      </x:c>
      <x:c r="B6930" s="58" t="str">
        <x:v>Selected DAC range: 6.75 to 7.75</x:v>
      </x:c>
      <x:c r="C6930" t="str">
        <x:v>Pasted text(59).txt</x:v>
      </x:c>
    </x:row>
    <x:row r="6931">
      <x:c r="A6931" t="n">
        <x:v>2901</x:v>
      </x:c>
      <x:c r="B6931" s="58" t="str">
        <x:v>Average hold records in target band: 98.0 %</x:v>
      </x:c>
      <x:c r="C6931" t="str">
        <x:v>Pasted text(59).txt</x:v>
      </x:c>
    </x:row>
    <x:row r="6932">
      <x:c r="A6932" t="n">
        <x:v>2902</x:v>
      </x:c>
      <x:c r="B6932" s="58" t="str">
        <x:v>OVERALL VERDICT: EXCELLENT REPRODUCIBLE TARGET-AMPLITUDE ACQUISITION.</x:v>
      </x:c>
      <x:c r="C6932" t="str">
        <x:v>Pasted text(59).txt</x:v>
      </x:c>
    </x:row>
    <x:row r="6933">
      <x:c r="A6933" t="n">
        <x:v>2903</x:v>
      </x:c>
      <x:c r="B6933" s="58" t="str">
        <x:v>X-axis amplitude matching is repeatable; phase testing may follow after one independent confirmation session.</x:v>
      </x:c>
      <x:c r="C6933" t="str">
        <x:v>Pasted text(59).txt</x:v>
      </x:c>
    </x:row>
    <x:row r="6934">
      <x:c r="A6934" t="n">
        <x:v>2904</x:v>
      </x:c>
      <x:c r="B6934" s="58" t="str"/>
      <x:c r="C6934" t="str">
        <x:v>Pasted text(59).txt</x:v>
      </x:c>
    </x:row>
    <x:row r="6935">
      <x:c r="A6935" t="n">
        <x:v>2905</x:v>
      </x:c>
      <x:c r="B6935" s="58" t="str">
        <x:v>Automatic test complete. Enter h for commands.</x:v>
      </x:c>
      <x:c r="C6935" t="str">
        <x:v>Pasted text(59).txt</x:v>
      </x:c>
    </x:row>
    <x:row r="6936">
      <x:c r="A6936" t="n">
        <x:v>2906</x:v>
      </x:c>
      <x:c r="B6936" s="58" t="str">
        <x:v>Frequency set to 268.00000 Hz.</x:v>
      </x:c>
      <x:c r="C6936" t="str">
        <x:v>Pasted text(59).txt</x:v>
      </x:c>
    </x:row>
    <x:row r="6937">
      <x:c r="A6937" t="n">
        <x:v>2907</x:v>
      </x:c>
      <x:c r="B6937" s="58" t="str">
        <x:v>Target amplitude set to 1.20000 m/s^2 peak.</x:v>
      </x:c>
      <x:c r="C6937" t="str">
        <x:v>Pasted text(59).txt</x:v>
      </x:c>
    </x:row>
    <x:row r="6938">
      <x:c r="A6938" t="n">
        <x:v>2908</x:v>
      </x:c>
      <x:c r="B6938" s="58" t="str"/>
      <x:c r="C6938" t="str">
        <x:v>Pasted text(59).txt</x:v>
      </x:c>
    </x:row>
    <x:row r="6939">
      <x:c r="A6939" t="n">
        <x:v>2909</x:v>
      </x:c>
      <x:c r="B6939" s="58" t="str">
        <x:v>================================================================================</x:v>
      </x:c>
      <x:c r="C6939" t="str">
        <x:v>Pasted text(59).txt</x:v>
      </x:c>
    </x:row>
    <x:row r="6940">
      <x:c r="A6940" t="n">
        <x:v>2910</x:v>
      </x:c>
      <x:c r="B6940" s="58" t="str">
        <x:v>REPEATED INDEPENDENT TARGET-AMPLITUDE VALIDATION STARTED</x:v>
      </x:c>
      <x:c r="C6940" t="str">
        <x:v>Pasted text(59).txt</x:v>
      </x:c>
    </x:row>
    <x:row r="6941">
      <x:c r="A6941" t="n">
        <x:v>2911</x:v>
      </x:c>
      <x:c r="B6941" s="58" t="str">
        <x:v>================================================================================</x:v>
      </x:c>
      <x:c r="C6941" t="str">
        <x:v>Pasted text(59).txt</x:v>
      </x:c>
    </x:row>
    <x:row r="6942">
      <x:c r="A6942" t="n">
        <x:v>2912</x:v>
      </x:c>
      <x:c r="B6942" s="58" t="str"/>
      <x:c r="C6942" t="str">
        <x:v>Pasted text(59).txt</x:v>
      </x:c>
    </x:row>
    <x:row r="6943">
      <x:c r="A6943" t="n">
        <x:v>2913</x:v>
      </x:c>
      <x:c r="B6943" s="58" t="str">
        <x:v>CURRENT SETTINGS</x:v>
      </x:c>
      <x:c r="C6943" t="str">
        <x:v>Pasted text(59).txt</x:v>
      </x:c>
    </x:row>
    <x:row r="6944">
      <x:c r="A6944" t="n">
        <x:v>2914</x:v>
      </x:c>
      <x:c r="B6944" s="58" t="str">
        <x:v>Frequency: 268.00000 Hz</x:v>
      </x:c>
      <x:c r="C6944" t="str">
        <x:v>Pasted text(59).txt</x:v>
      </x:c>
    </x:row>
    <x:row r="6945">
      <x:c r="A6945" t="n">
        <x:v>2915</x:v>
      </x:c>
      <x:c r="B6945" s="58" t="str">
        <x:v>Control axis: X ONLY (Y/Z diagnostic only)</x:v>
      </x:c>
      <x:c r="C6945" t="str">
        <x:v>Pasted text(59).txt</x:v>
      </x:c>
    </x:row>
    <x:row r="6946">
      <x:c r="A6946" t="n">
        <x:v>2916</x:v>
      </x:c>
      <x:c r="B6946" s="58" t="str">
        <x:v>Target peak amplitude: 1.20000 m/s^2</x:v>
      </x:c>
      <x:c r="C6946" t="str">
        <x:v>Pasted text(59).txt</x:v>
      </x:c>
    </x:row>
    <x:row r="6947">
      <x:c r="A6947" t="n">
        <x:v>2917</x:v>
      </x:c>
      <x:c r="B6947" s="58" t="str">
        <x:v>Tolerance: +/-7.50 %</x:v>
      </x:c>
      <x:c r="C6947" t="str">
        <x:v>Pasted text(59).txt</x:v>
      </x:c>
    </x:row>
    <x:row r="6948">
      <x:c r="A6948" t="n">
        <x:v>2918</x:v>
      </x:c>
      <x:c r="B6948" s="58" t="str">
        <x:v>Allowed amplitude band: 1.11000 to 1.29000 m/s^2 peak</x:v>
      </x:c>
      <x:c r="C6948" t="str">
        <x:v>Pasted text(59).txt</x:v>
      </x:c>
    </x:row>
    <x:row r="6949">
      <x:c r="A6949" t="n">
        <x:v>2919</x:v>
      </x:c>
      <x:c r="B6949" s="58" t="str">
        <x:v>Independent runs: 5</x:v>
      </x:c>
      <x:c r="C6949" t="str">
        <x:v>Pasted text(59).txt</x:v>
      </x:c>
    </x:row>
    <x:row r="6950">
      <x:c r="A6950" t="n">
        <x:v>2920</x:v>
      </x:c>
      <x:c r="B6950" s="58" t="str">
        <x:v>Hold records per run: 10</x:v>
      </x:c>
      <x:c r="C6950" t="str">
        <x:v>Pasted text(59).txt</x:v>
      </x:c>
    </x:row>
    <x:row r="6951">
      <x:c r="A6951" t="n">
        <x:v>2921</x:v>
      </x:c>
      <x:c r="B6951" s="58" t="str">
        <x:v>DAC search range/resolution: 1.00 to 30.00 / 0.25</x:v>
      </x:c>
      <x:c r="C6951" t="str">
        <x:v>Pasted text(59).txt</x:v>
      </x:c>
    </x:row>
    <x:row r="6952">
      <x:c r="A6952" t="n">
        <x:v>2922</x:v>
      </x:c>
      <x:c r="B6952" s="58" t="str">
        <x:v>FFT bin resolution: 1.56250 Hz; accepted command-to-bin difference &lt;= 2.00 Hz</x:v>
      </x:c>
      <x:c r="C6952" t="str">
        <x:v>Pasted text(59).txt</x:v>
      </x:c>
    </x:row>
    <x:row r="6953">
      <x:c r="A6953" t="n">
        <x:v>2923</x:v>
      </x:c>
      <x:c r="B6953" s="58" t="str">
        <x:v>Every run starts from DAC 1.00. Different selected DACs are allowed.</x:v>
      </x:c>
      <x:c r="C6953" t="str">
        <x:v>Pasted text(59).txt</x:v>
      </x:c>
    </x:row>
    <x:row r="6954">
      <x:c r="A6954" t="n">
        <x:v>2924</x:v>
      </x:c>
      <x:c r="B6954" s="58" t="str">
        <x:v>The accepted result is X-axis amplitude and X-axis frequency, not DAC.</x:v>
      </x:c>
      <x:c r="C6954" t="str">
        <x:v>Pasted text(59).txt</x:v>
      </x:c>
    </x:row>
    <x:row r="6955">
      <x:c r="A6955" t="n">
        <x:v>2925</x:v>
      </x:c>
      <x:c r="B6955" s="58" t="str"/>
      <x:c r="C6955" t="str">
        <x:v>Pasted text(59).txt</x:v>
      </x:c>
    </x:row>
    <x:row r="6956">
      <x:c r="A6956" t="n">
        <x:v>2926</x:v>
      </x:c>
      <x:c r="B6956" s="58" t="str">
        <x:v>################################################################################</x:v>
      </x:c>
      <x:c r="C6956" t="str">
        <x:v>Pasted text(59).txt</x:v>
      </x:c>
    </x:row>
    <x:row r="6957">
      <x:c r="A6957" t="n">
        <x:v>2927</x:v>
      </x:c>
      <x:c r="B6957" s="58" t="str">
        <x:v>INDEPENDENT TARGET-AMPLITUDE RUN 1 OF 5</x:v>
      </x:c>
      <x:c r="C6957" t="str">
        <x:v>Pasted text(59).txt</x:v>
      </x:c>
    </x:row>
    <x:row r="6958">
      <x:c r="A6958" t="n">
        <x:v>2928</x:v>
      </x:c>
      <x:c r="B6958" s="58" t="str">
        <x:v>################################################################################</x:v>
      </x:c>
      <x:c r="C6958" t="str">
        <x:v>Pasted text(59).txt</x:v>
      </x:c>
    </x:row>
    <x:row r="6959">
      <x:c r="A6959" t="n">
        <x:v>2929</x:v>
      </x:c>
      <x:c r="B6959" s="58" t="str">
        <x:v>Frequency: 268.00000 Hz</x:v>
      </x:c>
      <x:c r="C6959" t="str">
        <x:v>Pasted text(59).txt</x:v>
      </x:c>
    </x:row>
    <x:row r="6960">
      <x:c r="A6960" t="n">
        <x:v>2930</x:v>
      </x:c>
      <x:c r="B6960" s="58" t="str">
        <x:v>Target X amplitude: 1.20000 m/s^2 peak, tolerance +/-7.50 %</x:v>
      </x:c>
      <x:c r="C6960" t="str">
        <x:v>Pasted text(59).txt</x:v>
      </x:c>
    </x:row>
    <x:row r="6961">
      <x:c r="A6961" t="n">
        <x:v>2931</x:v>
      </x:c>
      <x:c r="B6961" s="58" t="str">
        <x:v>This run starts from DAC 1.00 and ignores every earlier selected DAC.</x:v>
      </x:c>
      <x:c r="C6961" t="str">
        <x:v>Pasted text(59).txt</x:v>
      </x:c>
    </x:row>
    <x:row r="6962">
      <x:c r="A6962" t="n">
        <x:v>2932</x:v>
      </x:c>
      <x:c r="B6962" s="58" t="str">
        <x:v>ADXL2 DEVID/DATA_FORMAT/BW_RATE/POWER_CTL: 0xE5 / 0xB / 0xE / 0x8</x:v>
      </x:c>
      <x:c r="C6962" t="str">
        <x:v>Pasted text(59).txt</x:v>
      </x:c>
    </x:row>
    <x:row r="6963">
      <x:c r="A6963" t="n">
        <x:v>2933</x:v>
      </x:c>
      <x:c r="B6963" s="58" t="str"/>
      <x:c r="C6963" t="str">
        <x:v>Pasted text(59).txt</x:v>
      </x:c>
    </x:row>
    <x:row r="6964">
      <x:c r="A6964" t="n">
        <x:v>2934</x:v>
      </x:c>
      <x:c r="B6964" s="58" t="str">
        <x:v>ACQUISITION ATTEMPT 1 OF 2</x:v>
      </x:c>
      <x:c r="C6964" t="str">
        <x:v>Pasted text(59).txt</x:v>
      </x:c>
    </x:row>
    <x:row r="6965">
      <x:c r="A6965" t="n">
        <x:v>2935</x:v>
      </x:c>
      <x:c r="B6965" s="58" t="str"/>
      <x:c r="C6965" t="str">
        <x:v>Pasted text(59).txt</x:v>
      </x:c>
    </x:row>
    <x:row r="6966">
      <x:c r="A6966" t="n">
        <x:v>2936</x:v>
      </x:c>
      <x:c r="B6966" s="58" t="str">
        <x:v>FRESH X-AXIS SEARCH FROM DAC 1.00 — OLD DAC VALUES ARE NOT USED</x:v>
      </x:c>
      <x:c r="C6966" t="str">
        <x:v>Pasted text(59).txt</x:v>
      </x:c>
    </x:row>
    <x:row r="6967">
      <x:c r="A6967" t="n">
        <x:v>2937</x:v>
      </x:c>
      <x:c r="B6967" s="58" t="str">
        <x:v>Y/Z are diagnostic only and cannot abort this search.</x:v>
      </x:c>
      <x:c r="C6967" t="str">
        <x:v>Pasted text(59).txt</x:v>
      </x:c>
    </x:row>
    <x:row r="6968">
      <x:c r="A6968" t="n">
        <x:v>2938</x:v>
      </x:c>
      <x:c r="B6968" s="58" t="str">
        <x:v>A real SPI fault, clipping, safety limit or confirmed X-response collapse will stop it.</x:v>
      </x:c>
      <x:c r="C6968" t="str">
        <x:v>Pasted text(59).txt</x:v>
      </x:c>
    </x:row>
    <x:row r="6969">
      <x:c r="A6969" t="n">
        <x:v>2939</x:v>
      </x:c>
      <x:c r="B6969" s="58" t="str">
        <x:v>SEARCH | point 1 | DAC 1.00 | CTRL X 0.02020 | X 0.02432 | Y 0.02713 | Z 0.02680 | TOTAL 0.04568 | error -98.32 % | MAD 63.30 % | CV 62.65 % | coh 8.2 % | dominant Y | axis fraction 89.7 % | BELOW MEASUREMENT FLOOR — SEARCH CONTINUES</x:v>
      </x:c>
      <x:c r="C6969" t="str">
        <x:v>Pasted text(59).txt</x:v>
      </x:c>
    </x:row>
    <x:row r="6970">
      <x:c r="A6970" t="n">
        <x:v>2940</x:v>
      </x:c>
      <x:c r="B6970" s="58" t="str">
        <x:v>SEARCH | point 2 | DAC 3.00 | CTRL X 0.21136 | X 0.21700 | Y 0.07777 | Z 0.09007 | TOTAL 0.24978 | error -82.39 % | MAD 0.16 % | CV 4.59 % | coh 47.0 % | dominant X | axis fraction 100.0 % | UNSTABLE — SEARCH CONTINUES</x:v>
      </x:c>
      <x:c r="C6970" t="str">
        <x:v>Pasted text(59).txt</x:v>
      </x:c>
    </x:row>
    <x:row r="6971">
      <x:c r="A6971" t="n">
        <x:v>2941</x:v>
      </x:c>
      <x:c r="B6971" s="58" t="str">
        <x:v>SEARCH | point 3 | DAC 5.00 | CTRL X 0.43293 | X 0.43116 | Y 0.15414 | Z 0.13462 | TOTAL 0.47832 | error -63.92 % | MAD 4.16 % | CV 3.45 % | coh 68.3 % | dominant X | axis fraction 100.0 % | VALID</x:v>
      </x:c>
      <x:c r="C6971" t="str">
        <x:v>Pasted text(59).txt</x:v>
      </x:c>
    </x:row>
    <x:row r="6972">
      <x:c r="A6972" t="n">
        <x:v>2942</x:v>
      </x:c>
      <x:c r="B6972" s="58" t="str">
        <x:v>SEARCH | point 4 | DAC 6.00 | CTRL X 0.54288 | X 0.53224 | Y 0.20584 | Z 0.22623 | TOTAL 0.61396 | error -54.76 % | MAD 1.10 % | CV 4.14 % | coh 75.9 % | dominant X | axis fraction 100.0 % | VALID</x:v>
      </x:c>
      <x:c r="C6972" t="str">
        <x:v>Pasted text(59).txt</x:v>
      </x:c>
    </x:row>
    <x:row r="6973">
      <x:c r="A6973" t="n">
        <x:v>2943</x:v>
      </x:c>
      <x:c r="B6973" s="58" t="str">
        <x:v>SEARCH | point 5 | DAC 7.00 | CTRL X 0.65151 | X 0.65346 | Y 0.22344 | Z 0.23711 | TOTAL 0.73048 | error -45.71 % | MAD 0.11 % | CV 0.58 % | coh 81.1 % | dominant X | axis fraction 100.0 % | VALID</x:v>
      </x:c>
      <x:c r="C6973" t="str">
        <x:v>Pasted text(59).txt</x:v>
      </x:c>
    </x:row>
    <x:row r="6974">
      <x:c r="A6974" t="n">
        <x:v>2944</x:v>
      </x:c>
      <x:c r="B6974" s="58" t="str">
        <x:v>SEARCH | point 6 | DAC 8.00 | CTRL X 0.79556 | X 0.78689 | Y 0.27895 | Z 0.26404 | TOTAL 0.87603 | error -33.70 % | MAD 1.17 % | CV 2.63 % | coh 85.5 % | dominant X | axis fraction 100.0 % | VALID</x:v>
      </x:c>
      <x:c r="C6974" t="str">
        <x:v>Pasted text(59).txt</x:v>
      </x:c>
    </x:row>
    <x:row r="6975">
      <x:c r="A6975" t="n">
        <x:v>2945</x:v>
      </x:c>
      <x:c r="B6975" s="58" t="str">
        <x:v>SEARCH | point 7 | DAC 8.50 | CTRL X 0.82121 | X 0.81941 | Y 0.29257 | Z 0.27777 | TOTAL 0.91344 | error -31.57 % | MAD 2.25 % | CV 1.86 % | coh 86.3 % | dominant X | axis fraction 100.0 % | VALID</x:v>
      </x:c>
      <x:c r="C6975" t="str">
        <x:v>Pasted text(59).txt</x:v>
      </x:c>
    </x:row>
    <x:row r="6976">
      <x:c r="A6976" t="n">
        <x:v>2946</x:v>
      </x:c>
      <x:c r="B6976" s="58" t="str">
        <x:v>SEARCH | point 8 | DAC 9.00 | CTRL X 0.91274 | X 0.91696 | Y 0.32355 | Z 0.31201 | TOTAL 1.02157 | error -23.94 % | MAD 0.41 % | CV 1.04 % | coh 87.6 % | dominant X | axis fraction 100.0 % | VALID</x:v>
      </x:c>
      <x:c r="C6976" t="str">
        <x:v>Pasted text(59).txt</x:v>
      </x:c>
    </x:row>
    <x:row r="6977">
      <x:c r="A6977" t="n">
        <x:v>2947</x:v>
      </x:c>
      <x:c r="B6977" s="58" t="str">
        <x:v>SEARCH | point 9 | DAC 9.50 | CTRL X 0.94653 | X 0.94717 | Y 0.37644 | Z 0.33630 | TOTAL 1.07351 | error -21.12 % | MAD 0.28 % | CV 0.29 % | coh 88.9 % | dominant X | axis fraction 100.0 % | VALID</x:v>
      </x:c>
      <x:c r="C6977" t="str">
        <x:v>Pasted text(59).txt</x:v>
      </x:c>
    </x:row>
    <x:row r="6978">
      <x:c r="A6978" t="n">
        <x:v>2948</x:v>
      </x:c>
      <x:c r="B6978" s="58" t="str">
        <x:v>SEARCH | point 10 | DAC 10.00 | CTRL X 0.98413 | X 0.98663 | Y 0.37091 | Z 0.33422 | TOTAL 1.10616 | error -17.99 % | MAD 2.92 % | CV 2.35 % | coh 86.8 % | dominant X | axis fraction 100.0 % | VALID</x:v>
      </x:c>
      <x:c r="C6978" t="str">
        <x:v>Pasted text(59).txt</x:v>
      </x:c>
    </x:row>
    <x:row r="6979">
      <x:c r="A6979" t="n">
        <x:v>2949</x:v>
      </x:c>
      <x:c r="B6979" s="58" t="str">
        <x:v>SEARCH | point 11 | DAC 10.50 | CTRL X 1.05779 | X 1.05829 | Y 0.39088 | Z 0.35973 | TOTAL 1.18464 | error -11.85 % | MAD 0.86 % | CV 0.65 % | coh 90.7 % | dominant X | axis fraction 100.0 % | VALID</x:v>
      </x:c>
      <x:c r="C6979" t="str">
        <x:v>Pasted text(59).txt</x:v>
      </x:c>
    </x:row>
    <x:row r="6980">
      <x:c r="A6980" t="n">
        <x:v>2950</x:v>
      </x:c>
      <x:c r="B6980" s="58" t="str">
        <x:v>SEARCH | point 12 | DAC 10.75 | CTRL X 1.09853 | X 1.10925 | Y 0.39615 | Z 0.37418 | TOTAL 1.23616 | error -8.46 % | MAD 0.02 % | CV 1.69 % | coh 89.2 % | dominant X | axis fraction 100.0 % | VALID</x:v>
      </x:c>
      <x:c r="C6980" t="str">
        <x:v>Pasted text(59).txt</x:v>
      </x:c>
    </x:row>
    <x:row r="6981">
      <x:c r="A6981" t="n">
        <x:v>2951</x:v>
      </x:c>
      <x:c r="B6981" s="58" t="str">
        <x:v>SEARCH | point 13 | DAC 11.00 | CTRL X 1.13476 | X 1.14259 | Y 0.40208 | Z 0.35195 | TOTAL 1.26147 | error -5.44 % | MAD 1.19 % | CV 1.92 % | coh 88.7 % | dominant X | axis fraction 100.0 % | IN TARGET BAND</x:v>
      </x:c>
      <x:c r="C6981" t="str">
        <x:v>Pasted text(59).txt</x:v>
      </x:c>
    </x:row>
    <x:row r="6982">
      <x:c r="A6982" t="n">
        <x:v>2952</x:v>
      </x:c>
      <x:c r="B6982" s="58" t="str"/>
      <x:c r="C6982" t="str">
        <x:v>Pasted text(59).txt</x:v>
      </x:c>
    </x:row>
    <x:row r="6983">
      <x:c r="A6983" t="n">
        <x:v>2953</x:v>
      </x:c>
      <x:c r="B6983" s="58" t="str">
        <x:v>LOCAL 0.25-DAC X-AXIS FINE SCAN</x:v>
      </x:c>
      <x:c r="C6983" t="str">
        <x:v>Pasted text(59).txt</x:v>
      </x:c>
    </x:row>
    <x:row r="6984">
      <x:c r="A6984" t="n">
        <x:v>2954</x:v>
      </x:c>
      <x:c r="B6984" s="58" t="str">
        <x:v>Only a valid point actually inside the X target band may be selected.</x:v>
      </x:c>
      <x:c r="C6984" t="str">
        <x:v>Pasted text(59).txt</x:v>
      </x:c>
    </x:row>
    <x:row r="6985">
      <x:c r="A6985" t="n">
        <x:v>2955</x:v>
      </x:c>
      <x:c r="B6985" s="58" t="str">
        <x:v>FINE | point 1 | DAC 10.00 | CTRL X 1.04114 | X 1.03509 | Y 0.36310 | Z 0.32205 | TOTAL 1.14334 | error -13.24 % | MAD 1.40 % | CV 1.89 % | coh 89.2 % | dominant X | axis fraction 100.0 % | VALID</x:v>
      </x:c>
      <x:c r="C6985" t="str">
        <x:v>Pasted text(59).txt</x:v>
      </x:c>
    </x:row>
    <x:row r="6986">
      <x:c r="A6986" t="n">
        <x:v>2956</x:v>
      </x:c>
      <x:c r="B6986" s="58" t="str">
        <x:v>FINE | point 2 | DAC 10.25 | CTRL X 1.04889 | X 1.04338 | Y 0.37191 | Z 0.34587 | TOTAL 1.16061 | error -12.59 % | MAD 2.14 % | CV 2.29 % | coh 88.4 % | dominant X | axis fraction 100.0 % | VALID</x:v>
      </x:c>
      <x:c r="C6986" t="str">
        <x:v>Pasted text(59).txt</x:v>
      </x:c>
    </x:row>
    <x:row r="6987">
      <x:c r="A6987" t="n">
        <x:v>2957</x:v>
      </x:c>
      <x:c r="B6987" s="58" t="str">
        <x:v>FINE | point 3 | DAC 10.50 | CTRL X 1.04653 | X 1.04016 | Y 0.39097 | Z 0.34181 | TOTAL 1.16287 | error -12.79 % | MAD 0.11 % | CV 1.13 % | coh 89.2 % | dominant X | axis fraction 100.0 % | VALID</x:v>
      </x:c>
      <x:c r="C6987" t="str">
        <x:v>Pasted text(59).txt</x:v>
      </x:c>
    </x:row>
    <x:row r="6988">
      <x:c r="A6988" t="n">
        <x:v>2958</x:v>
      </x:c>
      <x:c r="B6988" s="58" t="str">
        <x:v>FINE | point 4 | DAC 10.75 | CTRL X 1.11121 | X 1.11074 | Y 0.39316 | Z 0.38868 | TOTAL 1.24089 | error -7.40 % | MAD 3.99 % | CV 2.75 % | coh 90.2 % | dominant X | axis fraction 100.0 % | IN TARGET BAND</x:v>
      </x:c>
      <x:c r="C6988" t="str">
        <x:v>Pasted text(59).txt</x:v>
      </x:c>
    </x:row>
    <x:row r="6989">
      <x:c r="A6989" t="n">
        <x:v>2959</x:v>
      </x:c>
      <x:c r="B6989" s="58" t="str">
        <x:v>FINE | point 5 | DAC 11.00 | CTRL X 1.13397 | X 1.13757 | Y 0.40925 | Z 0.35072 | TOTAL 1.25934 | error -5.50 % | MAD 1.85 % | CV 1.74 % | coh 88.8 % | dominant X | axis fraction 100.0 % | IN TARGET BAND</x:v>
      </x:c>
      <x:c r="C6989" t="str">
        <x:v>Pasted text(59).txt</x:v>
      </x:c>
    </x:row>
    <x:row r="6990">
      <x:c r="A6990" t="n">
        <x:v>2960</x:v>
      </x:c>
      <x:c r="B6990" s="58" t="str">
        <x:v>FINE | point 6 | DAC 11.25 | CTRL X 1.10408 | X 1.12098 | Y 0.43377 | Z 0.37943 | TOTAL 1.26052 | error -7.99 % | MAD 0.18 % | CV 2.72 % | coh 89.6 % | dominant X | axis fraction 100.0 % | VALID</x:v>
      </x:c>
      <x:c r="C6990" t="str">
        <x:v>Pasted text(59).txt</x:v>
      </x:c>
    </x:row>
    <x:row r="6991">
      <x:c r="A6991" t="n">
        <x:v>2961</x:v>
      </x:c>
      <x:c r="B6991" s="58" t="str">
        <x:v>FINE | point 7 | DAC 11.50 | CTRL X 1.16350 | X 1.16311 | Y 0.43384 | Z 0.40372 | TOTAL 1.30596 | error -3.04 % | MAD 1.74 % | CV 1.22 % | coh 91.1 % | dominant X | axis fraction 100.0 % | IN TARGET BAND</x:v>
      </x:c>
      <x:c r="C6991" t="str">
        <x:v>Pasted text(59).txt</x:v>
      </x:c>
    </x:row>
    <x:row r="6992">
      <x:c r="A6992" t="n">
        <x:v>2962</x:v>
      </x:c>
      <x:c r="B6992" s="58" t="str">
        <x:v>FINE | point 8 | DAC 11.75 | CTRL X 1.19774 | X 1.21063 | Y 0.48529 | Z 0.39723 | TOTAL 1.36360 | error -0.19 % | MAD 0.27 % | CV 2.00 % | coh 90.5 % | dominant X | axis fraction 100.0 % | IN TARGET BAND</x:v>
      </x:c>
      <x:c r="C6992" t="str">
        <x:v>Pasted text(59).txt</x:v>
      </x:c>
    </x:row>
    <x:row r="6993">
      <x:c r="A6993" t="n">
        <x:v>2963</x:v>
      </x:c>
      <x:c r="B6993" s="58" t="str">
        <x:v>FINE | point 9 | DAC 12.00 | CTRL X 1.22509 | X 1.22554 | Y 0.44884 | Z 0.37852 | TOTAL 1.35929 | error 2.09 % | MAD 1.71 % | CV 1.21 % | coh 89.6 % | dominant X | axis fraction 100.0 % | IN TARGET BAND</x:v>
      </x:c>
      <x:c r="C6993" t="str">
        <x:v>Pasted text(59).txt</x:v>
      </x:c>
    </x:row>
    <x:row r="6994">
      <x:c r="A6994" t="n">
        <x:v>2964</x:v>
      </x:c>
      <x:c r="B6994" s="58" t="str"/>
      <x:c r="C6994" t="str">
        <x:v>Pasted text(59).txt</x:v>
      </x:c>
    </x:row>
    <x:row r="6995">
      <x:c r="A6995" t="n">
        <x:v>2965</x:v>
      </x:c>
      <x:c r="B6995" s="58" t="str">
        <x:v>LONG VALIDATION AT FIXED DAC 11.75</x:v>
      </x:c>
      <x:c r="C6995" t="str">
        <x:v>Pasted text(59).txt</x:v>
      </x:c>
    </x:row>
    <x:row r="6996">
      <x:c r="A6996" t="n">
        <x:v>2966</x:v>
      </x:c>
      <x:c r="B6996" s="58" t="str">
        <x:v>FINAL | point 1 | DAC 11.75 | CTRL X 1.21148 | X 1.20607 | Y 0.45879 | Z 0.40352 | TOTAL 1.35234 | error 0.96 % | MAD 0.17 % | CV 0.91 % | coh 89.7 % | dominant X | axis fraction 100.0 % | IN TARGET BAND</x:v>
      </x:c>
      <x:c r="C6996" t="str">
        <x:v>Pasted text(59).txt</x:v>
      </x:c>
    </x:row>
    <x:row r="6997">
      <x:c r="A6997" t="n">
        <x:v>2967</x:v>
      </x:c>
      <x:c r="B6997" s="58" t="str">
        <x:v>FINAL | point 2 | DAC 11.75 | CTRL X 1.19341 | X 1.19885 | Y 0.47090 | Z 0.41095 | TOTAL 1.35229 | error -0.55 % | MAD 0.76 % | CV 1.56 % | coh 89.4 % | dominant X | axis fraction 100.0 % | IN TARGET BAND</x:v>
      </x:c>
      <x:c r="C6997" t="str">
        <x:v>Pasted text(59).txt</x:v>
      </x:c>
    </x:row>
    <x:row r="6998">
      <x:c r="A6998" t="n">
        <x:v>2968</x:v>
      </x:c>
      <x:c r="B6998" s="58" t="str">
        <x:v>VALIDATION ACCEPTED | pair drift 1.50 %</x:v>
      </x:c>
      <x:c r="C6998" t="str">
        <x:v>Pasted text(59).txt</x:v>
      </x:c>
    </x:row>
    <x:row r="6999">
      <x:c r="A6999" t="n">
        <x:v>2969</x:v>
      </x:c>
      <x:c r="B6999" s="58" t="str"/>
      <x:c r="C6999" t="str">
        <x:v>Pasted text(59).txt</x:v>
      </x:c>
    </x:row>
    <x:row r="7000">
      <x:c r="A7000" t="n">
        <x:v>2970</x:v>
      </x:c>
      <x:c r="B7000" s="58" t="str">
        <x:v>FINAL VALIDATED BLIND FFT VERIFICATION</x:v>
      </x:c>
      <x:c r="C7000" t="str">
        <x:v>Pasted text(59).txt</x:v>
      </x:c>
    </x:row>
    <x:row r="7001">
      <x:c r="A7001" t="n">
        <x:v>2971</x:v>
      </x:c>
      <x:c r="B7001" s="58" t="str">
        <x:v>Commanded frequency: 268.00000 Hz</x:v>
      </x:c>
      <x:c r="C7001" t="str">
        <x:v>Pasted text(59).txt</x:v>
      </x:c>
    </x:row>
    <x:row r="7002">
      <x:c r="A7002" t="n">
        <x:v>2972</x:v>
      </x:c>
      <x:c r="B7002" s="58" t="str">
        <x:v>Accepted DAC: 11.75</x:v>
      </x:c>
      <x:c r="C7002" t="str">
        <x:v>Pasted text(59).txt</x:v>
      </x:c>
    </x:row>
    <x:row r="7003">
      <x:c r="A7003" t="n">
        <x:v>2973</x:v>
      </x:c>
      <x:c r="B7003" s="58" t="str">
        <x:v>Axis,Frequency_Hz,Amplitude_mps2,SNR_dB,Status</x:v>
      </x:c>
      <x:c r="C7003" t="str">
        <x:v>Pasted text(59).txt</x:v>
      </x:c>
    </x:row>
    <x:row r="7004">
      <x:c r="A7004" t="n">
        <x:v>2974</x:v>
      </x:c>
      <x:c r="B7004" s="58" t="str">
        <x:v>X,268.02779,1.10084,31.76,VALID</x:v>
      </x:c>
      <x:c r="C7004" t="str">
        <x:v>Pasted text(59).txt</x:v>
      </x:c>
    </x:row>
    <x:row r="7005">
      <x:c r="A7005" t="n">
        <x:v>2975</x:v>
      </x:c>
      <x:c r="B7005" s="58" t="str">
        <x:v>Y,268.03203,0.41839,24.71,VALID</x:v>
      </x:c>
      <x:c r="C7005" t="str">
        <x:v>Pasted text(59).txt</x:v>
      </x:c>
    </x:row>
    <x:row r="7006">
      <x:c r="A7006" t="n">
        <x:v>2976</x:v>
      </x:c>
      <x:c r="B7006" s="58" t="str">
        <x:v>Z,267.98431,0.35957,25.68,VALID</x:v>
      </x:c>
      <x:c r="C7006" t="str">
        <x:v>Pasted text(59).txt</x:v>
      </x:c>
    </x:row>
    <x:row r="7007">
      <x:c r="A7007" t="n">
        <x:v>2977</x:v>
      </x:c>
      <x:c r="B7007" s="58" t="str">
        <x:v>Combined frequency: 268.02465 Hz | difference 0.02465 Hz</x:v>
      </x:c>
      <x:c r="C7007" t="str">
        <x:v>Pasted text(59).txt</x:v>
      </x:c>
    </x:row>
    <x:row r="7008">
      <x:c r="A7008" t="n">
        <x:v>2978</x:v>
      </x:c>
      <x:c r="B7008" s="58" t="str">
        <x:v>Combined X/Y/Z/TOTAL: 1.00495 / 0.38275 / 0.32523 / 1.12347</x:v>
      </x:c>
      <x:c r="C7008" t="str">
        <x:v>Pasted text(59).txt</x:v>
      </x:c>
    </x:row>
    <x:row r="7009">
      <x:c r="A7009" t="n">
        <x:v>2979</x:v>
      </x:c>
      <x:c r="B7009" s="58" t="str">
        <x:v>SNR: 29.38 dB | dominant axis X</x:v>
      </x:c>
      <x:c r="C7009" t="str">
        <x:v>Pasted text(59).txt</x:v>
      </x:c>
    </x:row>
    <x:row r="7010">
      <x:c r="A7010" t="n">
        <x:v>2980</x:v>
      </x:c>
      <x:c r="B7010" s="58" t="str">
        <x:v>Frequency verification: PASS</x:v>
      </x:c>
      <x:c r="C7010" t="str">
        <x:v>Pasted text(59).txt</x:v>
      </x:c>
    </x:row>
    <x:row r="7011">
      <x:c r="A7011" t="n">
        <x:v>2981</x:v>
      </x:c>
      <x:c r="B7011" s="58" t="str">
        <x:v>Y/Z dominance: DIAGNOSTIC ONLY — ignored for pass/fail</x:v>
      </x:c>
      <x:c r="C7011" t="str">
        <x:v>Pasted text(59).txt</x:v>
      </x:c>
    </x:row>
    <x:row r="7012">
      <x:c r="A7012" t="n">
        <x:v>2982</x:v>
      </x:c>
      <x:c r="B7012" s="58" t="str"/>
      <x:c r="C7012" t="str">
        <x:v>Pasted text(59).txt</x:v>
      </x:c>
    </x:row>
    <x:row r="7013">
      <x:c r="A7013" t="n">
        <x:v>2983</x:v>
      </x:c>
      <x:c r="B7013" s="58" t="str">
        <x:v>FIXED-DAC HOLD VALIDATION</x:v>
      </x:c>
      <x:c r="C7013" t="str">
        <x:v>Pasted text(59).txt</x:v>
      </x:c>
    </x:row>
    <x:row r="7014">
      <x:c r="A7014" t="n">
        <x:v>2984</x:v>
      </x:c>
      <x:c r="B7014" s="58" t="str">
        <x:v>DAC remains fixed at 11.75 for 10 records.</x:v>
      </x:c>
      <x:c r="C7014" t="str">
        <x:v>Pasted text(59).txt</x:v>
      </x:c>
    </x:row>
    <x:row r="7015">
      <x:c r="A7015" t="n">
        <x:v>2985</x:v>
      </x:c>
      <x:c r="B7015" s="58" t="str">
        <x:v>HOLD | point 1 | DAC 11.75 | CTRL X 1.17505 | X 1.18811 | Y 0.44634 | Z 0.39223 | TOTAL 1.32851 | error -2.08 % | MAD 0.14 % | CV 1.98 % | coh 88.8 % | dominant X | axis fraction 100.0 % | IN TARGET BAND</x:v>
      </x:c>
      <x:c r="C7015" t="str">
        <x:v>Pasted text(59).txt</x:v>
      </x:c>
    </x:row>
    <x:row r="7016">
      <x:c r="A7016" t="n">
        <x:v>2986</x:v>
      </x:c>
      <x:c r="B7016" s="58" t="str">
        <x:v>HOLD | point 2 | DAC 11.75 | CTRL X 1.20459 | X 1.21126 | Y 0.45238 | Z 0.39228 | TOTAL 1.35168 | error 0.38 % | MAD 0.24 % | CV 1.10 % | coh 89.6 % | dominant X | axis fraction 100.0 % | IN TARGET BAND</x:v>
      </x:c>
      <x:c r="C7016" t="str">
        <x:v>Pasted text(59).txt</x:v>
      </x:c>
    </x:row>
    <x:row r="7017">
      <x:c r="A7017" t="n">
        <x:v>2987</x:v>
      </x:c>
      <x:c r="B7017" s="58" t="str">
        <x:v>HOLD | point 3 | DAC 11.75 | CTRL X 1.22956 | X 1.22585 | Y 0.46421 | Z 0.41136 | TOTAL 1.37397 | error 2.46 % | MAD 1.01 % | CV 1.17 % | coh 90.8 % | dominant X | axis fraction 100.0 % | IN TARGET BAND</x:v>
      </x:c>
      <x:c r="C7017" t="str">
        <x:v>Pasted text(59).txt</x:v>
      </x:c>
    </x:row>
    <x:row r="7018">
      <x:c r="A7018" t="n">
        <x:v>2988</x:v>
      </x:c>
      <x:c r="B7018" s="58" t="str">
        <x:v>HOLD | point 4 | DAC 11.75 | CTRL X 1.20525 | X 1.20150 | Y 0.44428 | Z 0.39207 | TOTAL 1.33973 | error 0.44 % | MAD 1.43 % | CV 1.46 % | coh 89.0 % | dominant X | axis fraction 100.0 % | IN TARGET BAND</x:v>
      </x:c>
      <x:c r="C7018" t="str">
        <x:v>Pasted text(59).txt</x:v>
      </x:c>
    </x:row>
    <x:row r="7019">
      <x:c r="A7019" t="n">
        <x:v>2989</x:v>
      </x:c>
      <x:c r="B7019" s="58" t="str">
        <x:v>HOLD | point 5 | DAC 11.75 | CTRL X 1.21624 | X 1.21974 | Y 0.47525 | Z 0.37554 | TOTAL 1.36216 | error 1.35 % | MAD 2.22 % | CV 1.94 % | coh 90.0 % | dominant X | axis fraction 100.0 % | IN TARGET BAND</x:v>
      </x:c>
      <x:c r="C7019" t="str">
        <x:v>Pasted text(59).txt</x:v>
      </x:c>
    </x:row>
    <x:row r="7020">
      <x:c r="A7020" t="n">
        <x:v>2990</x:v>
      </x:c>
      <x:c r="B7020" s="58" t="str">
        <x:v>HOLD | point 6 | DAC 11.75 | CTRL X 1.21707 | X 1.21711 | Y 0.46168 | Z 0.39934 | TOTAL 1.36183 | error 1.42 % | MAD 0.25 % | CV 0.17 % | coh 89.7 % | dominant X | axis fraction 100.0 % | IN TARGET BAND</x:v>
      </x:c>
      <x:c r="C7020" t="str">
        <x:v>Pasted text(59).txt</x:v>
      </x:c>
    </x:row>
    <x:row r="7021">
      <x:c r="A7021" t="n">
        <x:v>2991</x:v>
      </x:c>
      <x:c r="B7021" s="58" t="str">
        <x:v>HOLD | point 7 | DAC 11.75 | CTRL X 1.20014 | X 1.20150 | Y 0.45574 | Z 0.40668 | TOTAL 1.34816 | error 0.01 % | MAD 1.49 % | CV 1.18 % | coh 90.4 % | dominant X | axis fraction 100.0 % | IN TARGET BAND</x:v>
      </x:c>
      <x:c r="C7021" t="str">
        <x:v>Pasted text(59).txt</x:v>
      </x:c>
    </x:row>
    <x:row r="7022">
      <x:c r="A7022" t="n">
        <x:v>2992</x:v>
      </x:c>
      <x:c r="B7022" s="58" t="str">
        <x:v>HOLD | point 8 | DAC 11.75 | CTRL X 1.22262 | X 1.22024 | Y 0.46747 | Z 0.42225 | TOTAL 1.37396 | error 1.88 % | MAD 0.16 % | CV 0.43 % | coh 89.9 % | dominant X | axis fraction 100.0 % | IN TARGET BAND</x:v>
      </x:c>
      <x:c r="C7022" t="str">
        <x:v>Pasted text(59).txt</x:v>
      </x:c>
    </x:row>
    <x:row r="7023">
      <x:c r="A7023" t="n">
        <x:v>2993</x:v>
      </x:c>
      <x:c r="B7023" s="58" t="str">
        <x:v>HOLD | point 9 | DAC 11.75 | CTRL X 1.20127 | X 1.20547 | Y 0.44742 | Z 0.41618 | TOTAL 1.35198 | error 0.11 % | MAD 0.16 % | CV 0.70 % | coh 89.9 % | dominant X | axis fraction 100.0 % | IN TARGET BAND</x:v>
      </x:c>
      <x:c r="C7023" t="str">
        <x:v>Pasted text(59).txt</x:v>
      </x:c>
    </x:row>
    <x:row r="7024">
      <x:c r="A7024" t="n">
        <x:v>2994</x:v>
      </x:c>
      <x:c r="B7024" s="58" t="str">
        <x:v>HOLD | point 10 | DAC 11.75 | CTRL X 1.22379 | X 1.21571 | Y 0.45659 | Z 0.39170 | TOTAL 1.35655 | error 1.98 % | MAD 1.49 % | CV 2.09 % | coh 89.3 % | dominant X | axis fraction 100.0 % | IN TARGET BAND</x:v>
      </x:c>
      <x:c r="C7024" t="str">
        <x:v>Pasted text(59).txt</x:v>
      </x:c>
    </x:row>
    <x:row r="7025">
      <x:c r="A7025" t="n">
        <x:v>2995</x:v>
      </x:c>
      <x:c r="B7025" s="58" t="str"/>
      <x:c r="C7025" t="str">
        <x:v>Pasted text(59).txt</x:v>
      </x:c>
    </x:row>
    <x:row r="7026">
      <x:c r="A7026" t="n">
        <x:v>2996</x:v>
      </x:c>
      <x:c r="B7026" s="58" t="str">
        <x:v>HOLD SUMMARY</x:v>
      </x:c>
      <x:c r="C7026" t="str">
        <x:v>Pasted text(59).txt</x:v>
      </x:c>
    </x:row>
    <x:row r="7027">
      <x:c r="A7027" t="n">
        <x:v>2997</x:v>
      </x:c>
      <x:c r="B7027" s="58" t="str">
        <x:v>Valid / requested: 10 / 10</x:v>
      </x:c>
      <x:c r="C7027" t="str">
        <x:v>Pasted text(59).txt</x:v>
      </x:c>
    </x:row>
    <x:row r="7028">
      <x:c r="A7028" t="n">
        <x:v>2998</x:v>
      </x:c>
      <x:c r="B7028" s="58" t="str">
        <x:v>In band / requested: 10 / 10 = 100.0 %</x:v>
      </x:c>
      <x:c r="C7028" t="str">
        <x:v>Pasted text(59).txt</x:v>
      </x:c>
    </x:row>
    <x:row r="7029">
      <x:c r="A7029" t="n">
        <x:v>2999</x:v>
      </x:c>
      <x:c r="B7029" s="58" t="str">
        <x:v>Mean / SD / CV: 1.20956 / 0.01587 / 1.31 %</x:v>
      </x:c>
      <x:c r="C7029" t="str">
        <x:v>Pasted text(59).txt</x:v>
      </x:c>
    </x:row>
    <x:row r="7030">
      <x:c r="A7030" t="n">
        <x:v>3000</x:v>
      </x:c>
      <x:c r="B7030" s="58" t="str">
        <x:v>Min / Max: 1.17505 / 1.22956</x:v>
      </x:c>
      <x:c r="C7030" t="str">
        <x:v>Pasted text(59).txt</x:v>
      </x:c>
    </x:row>
    <x:row r="7031">
      <x:c r="A7031" t="n">
        <x:v>3001</x:v>
      </x:c>
      <x:c r="B7031" s="58" t="str">
        <x:v>HOLD RESULT: PASS</x:v>
      </x:c>
      <x:c r="C7031" t="str">
        <x:v>Pasted text(59).txt</x:v>
      </x:c>
    </x:row>
    <x:row r="7032">
      <x:c r="A7032" t="n">
        <x:v>3002</x:v>
      </x:c>
      <x:c r="B7032" s="58" t="str"/>
      <x:c r="C7032" t="str">
        <x:v>Pasted text(59).txt</x:v>
      </x:c>
    </x:row>
    <x:row r="7033">
      <x:c r="A7033" t="n">
        <x:v>3003</x:v>
      </x:c>
      <x:c r="B7033" s="58" t="str">
        <x:v>RUN RESULT: PASS</x:v>
      </x:c>
      <x:c r="C7033" t="str">
        <x:v>Pasted text(59).txt</x:v>
      </x:c>
    </x:row>
    <x:row r="7034">
      <x:c r="A7034" t="n">
        <x:v>3004</x:v>
      </x:c>
      <x:c r="B7034" s="58" t="str">
        <x:v>Selected DAC: 11.75</x:v>
      </x:c>
      <x:c r="C7034" t="str">
        <x:v>Pasted text(59).txt</x:v>
      </x:c>
    </x:row>
    <x:row r="7035">
      <x:c r="A7035" t="n">
        <x:v>3005</x:v>
      </x:c>
      <x:c r="B7035" s="58" t="str">
        <x:v>Validated amplitude: 1.20244 m/s^2 | error 0.20 %</x:v>
      </x:c>
      <x:c r="C7035" t="str">
        <x:v>Pasted text(59).txt</x:v>
      </x:c>
    </x:row>
    <x:row r="7036">
      <x:c r="A7036" t="n">
        <x:v>3006</x:v>
      </x:c>
      <x:c r="B7036" s="58" t="str">
        <x:v>FFT frequency: 268.02465 Hz | difference 0.02465 Hz</x:v>
      </x:c>
      <x:c r="C7036" t="str">
        <x:v>Pasted text(59).txt</x:v>
      </x:c>
    </x:row>
    <x:row r="7037">
      <x:c r="A7037" t="n">
        <x:v>3007</x:v>
      </x:c>
      <x:c r="B7037" s="58" t="str"/>
      <x:c r="C7037" t="str">
        <x:v>Pasted text(59).txt</x:v>
      </x:c>
    </x:row>
    <x:row r="7038">
      <x:c r="A7038" t="n">
        <x:v>3008</x:v>
      </x:c>
      <x:c r="B7038" s="58" t="str">
        <x:v>VISATON OFF. RESTING 5.0 s BEFORE THE NEXT COMPLETELY FRESH RUN.</x:v>
      </x:c>
      <x:c r="C7038" t="str">
        <x:v>Pasted text(59).txt</x:v>
      </x:c>
    </x:row>
    <x:row r="7039">
      <x:c r="A7039" t="n">
        <x:v>3009</x:v>
      </x:c>
      <x:c r="B7039" s="58" t="str"/>
      <x:c r="C7039" t="str">
        <x:v>Pasted text(59).txt</x:v>
      </x:c>
    </x:row>
    <x:row r="7040">
      <x:c r="A7040" t="n">
        <x:v>3010</x:v>
      </x:c>
      <x:c r="B7040" s="58" t="str">
        <x:v>################################################################################</x:v>
      </x:c>
      <x:c r="C7040" t="str">
        <x:v>Pasted text(59).txt</x:v>
      </x:c>
    </x:row>
    <x:row r="7041">
      <x:c r="A7041" t="n">
        <x:v>3011</x:v>
      </x:c>
      <x:c r="B7041" s="58" t="str">
        <x:v>INDEPENDENT TARGET-AMPLITUDE RUN 2 OF 5</x:v>
      </x:c>
      <x:c r="C7041" t="str">
        <x:v>Pasted text(59).txt</x:v>
      </x:c>
    </x:row>
    <x:row r="7042">
      <x:c r="A7042" t="n">
        <x:v>3012</x:v>
      </x:c>
      <x:c r="B7042" s="58" t="str">
        <x:v>################################################################################</x:v>
      </x:c>
      <x:c r="C7042" t="str">
        <x:v>Pasted text(59).txt</x:v>
      </x:c>
    </x:row>
    <x:row r="7043">
      <x:c r="A7043" t="n">
        <x:v>3013</x:v>
      </x:c>
      <x:c r="B7043" s="58" t="str">
        <x:v>Frequency: 268.00000 Hz</x:v>
      </x:c>
      <x:c r="C7043" t="str">
        <x:v>Pasted text(59).txt</x:v>
      </x:c>
    </x:row>
    <x:row r="7044">
      <x:c r="A7044" t="n">
        <x:v>3014</x:v>
      </x:c>
      <x:c r="B7044" s="58" t="str">
        <x:v>Target X amplitude: 1.20000 m/s^2 peak, tolerance +/-7.50 %</x:v>
      </x:c>
      <x:c r="C7044" t="str">
        <x:v>Pasted text(59).txt</x:v>
      </x:c>
    </x:row>
    <x:row r="7045">
      <x:c r="A7045" t="n">
        <x:v>3015</x:v>
      </x:c>
      <x:c r="B7045" s="58" t="str">
        <x:v>This run starts from DAC 1.00 and ignores every earlier selected DAC.</x:v>
      </x:c>
      <x:c r="C7045" t="str">
        <x:v>Pasted text(59).txt</x:v>
      </x:c>
    </x:row>
    <x:row r="7046">
      <x:c r="A7046" t="n">
        <x:v>3016</x:v>
      </x:c>
      <x:c r="B7046" s="58" t="str">
        <x:v>ADXL2 DEVID/DATA_FORMAT/BW_RATE/POWER_CTL: 0xE5 / 0xB / 0xE / 0x8</x:v>
      </x:c>
      <x:c r="C7046" t="str">
        <x:v>Pasted text(59).txt</x:v>
      </x:c>
    </x:row>
    <x:row r="7047">
      <x:c r="A7047" t="n">
        <x:v>3017</x:v>
      </x:c>
      <x:c r="B7047" s="58" t="str"/>
      <x:c r="C7047" t="str">
        <x:v>Pasted text(59).txt</x:v>
      </x:c>
    </x:row>
    <x:row r="7048">
      <x:c r="A7048" t="n">
        <x:v>3018</x:v>
      </x:c>
      <x:c r="B7048" s="58" t="str">
        <x:v>ACQUISITION ATTEMPT 1 OF 2</x:v>
      </x:c>
      <x:c r="C7048" t="str">
        <x:v>Pasted text(59).txt</x:v>
      </x:c>
    </x:row>
    <x:row r="7049">
      <x:c r="A7049" t="n">
        <x:v>3019</x:v>
      </x:c>
      <x:c r="B7049" s="58" t="str"/>
      <x:c r="C7049" t="str">
        <x:v>Pasted text(59).txt</x:v>
      </x:c>
    </x:row>
    <x:row r="7050">
      <x:c r="A7050" t="n">
        <x:v>3020</x:v>
      </x:c>
      <x:c r="B7050" s="58" t="str">
        <x:v>FRESH X-AXIS SEARCH FROM DAC 1.00 — OLD DAC VALUES ARE NOT USED</x:v>
      </x:c>
      <x:c r="C7050" t="str">
        <x:v>Pasted text(59).txt</x:v>
      </x:c>
    </x:row>
    <x:row r="7051">
      <x:c r="A7051" t="n">
        <x:v>3021</x:v>
      </x:c>
      <x:c r="B7051" s="58" t="str">
        <x:v>Y/Z are diagnostic only and cannot abort this search.</x:v>
      </x:c>
      <x:c r="C7051" t="str">
        <x:v>Pasted text(59).txt</x:v>
      </x:c>
    </x:row>
    <x:row r="7052">
      <x:c r="A7052" t="n">
        <x:v>3022</x:v>
      </x:c>
      <x:c r="B7052" s="58" t="str">
        <x:v>A real SPI fault, clipping, safety limit or confirmed X-response collapse will stop it.</x:v>
      </x:c>
      <x:c r="C7052" t="str">
        <x:v>Pasted text(59).txt</x:v>
      </x:c>
    </x:row>
    <x:row r="7053">
      <x:c r="A7053" t="n">
        <x:v>3023</x:v>
      </x:c>
      <x:c r="B7053" s="58" t="str">
        <x:v>SEARCH | point 1 | DAC 1.00 | CTRL X 0.01687 | X 0.01866 | Y 0.02906 | Z 0.02379 | TOTAL 0.04264 | error -98.59 % | MAD 31.51 % | CV 13.58 % | coh 6.0 % | dominant Y | axis fraction 64.2 % | BELOW MEASUREMENT FLOOR — SEARCH CONTINUES</x:v>
      </x:c>
      <x:c r="C7053" t="str">
        <x:v>Pasted text(59).txt</x:v>
      </x:c>
    </x:row>
    <x:row r="7054">
      <x:c r="A7054" t="n">
        <x:v>3024</x:v>
      </x:c>
      <x:c r="B7054" s="58" t="str">
        <x:v>SEARCH | point 2 | DAC 3.00 | CTRL X 0.21350 | X 0.21403 | Y 0.05893 | Z 0.07281 | TOTAL 0.23411 | error -82.21 % | MAD 0.73 % | CV 0.89 % | coh 43.4 % | dominant X | axis fraction 100.0 % | UNSTABLE — SEARCH CONTINUES</x:v>
      </x:c>
      <x:c r="C7054" t="str">
        <x:v>Pasted text(59).txt</x:v>
      </x:c>
    </x:row>
    <x:row r="7055">
      <x:c r="A7055" t="n">
        <x:v>3025</x:v>
      </x:c>
      <x:c r="B7055" s="58" t="str">
        <x:v>SEARCH | point 3 | DAC 5.00 | CTRL X 0.42990 | X 0.42407 | Y 0.15446 | Z 0.15464 | TOTAL 0.47777 | error -64.17 % | MAD 0.82 % | CV 2.88 % | coh 66.9 % | dominant X | axis fraction 100.0 % | VALID</x:v>
      </x:c>
      <x:c r="C7055" t="str">
        <x:v>Pasted text(59).txt</x:v>
      </x:c>
    </x:row>
    <x:row r="7056">
      <x:c r="A7056" t="n">
        <x:v>3026</x:v>
      </x:c>
      <x:c r="B7056" s="58" t="str">
        <x:v>SEARCH | point 4 | DAC 6.00 | CTRL X 0.52795 | X 0.52811 | Y 0.18238 | Z 0.21025 | TOTAL 0.59737 | error -56.00 % | MAD 1.28 % | CV 0.91 % | coh 73.1 % | dominant X | axis fraction 100.0 % | VALID</x:v>
      </x:c>
      <x:c r="C7056" t="str">
        <x:v>Pasted text(59).txt</x:v>
      </x:c>
    </x:row>
    <x:row r="7057">
      <x:c r="A7057" t="n">
        <x:v>3027</x:v>
      </x:c>
      <x:c r="B7057" s="58" t="str">
        <x:v>SEARCH | point 5 | DAC 7.00 | CTRL X 0.65000 | X 0.65979 | Y 0.23567 | Z 0.27557 | TOTAL 0.75302 | error -45.83 % | MAD 2.89 % | CV 4.34 % | coh 81.4 % | dominant X | axis fraction 100.0 % | VALID</x:v>
      </x:c>
      <x:c r="C7057" t="str">
        <x:v>Pasted text(59).txt</x:v>
      </x:c>
    </x:row>
    <x:row r="7058">
      <x:c r="A7058" t="n">
        <x:v>3028</x:v>
      </x:c>
      <x:c r="B7058" s="58" t="str">
        <x:v>SEARCH | point 6 | DAC 8.00 | CTRL X 0.74310 | X 0.73923 | Y 0.28707 | Z 0.29848 | TOTAL 0.84831 | error -38.07 % | MAD 3.13 % | CV 2.94 % | coh 81.9 % | dominant X | axis fraction 100.0 % | VALID</x:v>
      </x:c>
      <x:c r="C7058" t="str">
        <x:v>Pasted text(59).txt</x:v>
      </x:c>
    </x:row>
    <x:row r="7059">
      <x:c r="A7059" t="n">
        <x:v>3029</x:v>
      </x:c>
      <x:c r="B7059" s="58" t="str">
        <x:v>SEARCH | point 7 | DAC 8.50 | CTRL X 0.78667 | X 0.78866 | Y 0.31183 | Z 0.27713 | TOTAL 0.89239 | error -34.44 % | MAD 3.03 % | CV 2.43 % | coh 80.9 % | dominant X | axis fraction 100.0 % | VALID</x:v>
      </x:c>
      <x:c r="C7059" t="str">
        <x:v>Pasted text(59).txt</x:v>
      </x:c>
    </x:row>
    <x:row r="7060">
      <x:c r="A7060" t="n">
        <x:v>3030</x:v>
      </x:c>
      <x:c r="B7060" s="58" t="str">
        <x:v>SEARCH | point 8 | DAC 9.00 | CTRL X 0.88217 | X 0.87889 | Y 0.32273 | Z 0.35133 | TOTAL 1.00067 | error -26.49 % | MAD 0.10 % | CV 0.70 % | coh 84.5 % | dominant X | axis fraction 100.0 % | VALID</x:v>
      </x:c>
      <x:c r="C7060" t="str">
        <x:v>Pasted text(59).txt</x:v>
      </x:c>
    </x:row>
    <x:row r="7061">
      <x:c r="A7061" t="n">
        <x:v>3031</x:v>
      </x:c>
      <x:c r="B7061" s="58" t="str">
        <x:v>SEARCH | point 9 | DAC 9.50 | CTRL X 0.93210 | X 0.92759 | Y 0.34139 | Z 0.35000 | TOTAL 1.04893 | error -22.32 % | MAD 0.12 % | CV 0.92 % | coh 88.2 % | dominant X | axis fraction 100.0 % | VALID</x:v>
      </x:c>
      <x:c r="C7061" t="str">
        <x:v>Pasted text(59).txt</x:v>
      </x:c>
    </x:row>
    <x:row r="7062">
      <x:c r="A7062" t="n">
        <x:v>3032</x:v>
      </x:c>
      <x:c r="B7062" s="58" t="str">
        <x:v>SEARCH | point 10 | DAC 10.00 | CTRL X 0.99507 | X 1.00015 | Y 0.35509 | Z 0.36213 | TOTAL 1.12165 | error -17.08 % | MAD 1.24 % | CV 1.65 % | coh 87.4 % | dominant X | axis fraction 100.0 % | VALID</x:v>
      </x:c>
      <x:c r="C7062" t="str">
        <x:v>Pasted text(59).txt</x:v>
      </x:c>
    </x:row>
    <x:row r="7063">
      <x:c r="A7063" t="n">
        <x:v>3033</x:v>
      </x:c>
      <x:c r="B7063" s="58" t="str">
        <x:v>SEARCH | point 11 | DAC 10.50 | CTRL X 1.03706 | X 1.04526 | Y 0.38496 | Z 0.36260 | TOTAL 1.17165 | error -13.58 % | MAD 4.15 % | CV 4.01 % | coh 90.7 % | dominant X | axis fraction 100.0 % | VALID</x:v>
      </x:c>
      <x:c r="C7063" t="str">
        <x:v>Pasted text(59).txt</x:v>
      </x:c>
    </x:row>
    <x:row r="7064">
      <x:c r="A7064" t="n">
        <x:v>3034</x:v>
      </x:c>
      <x:c r="B7064" s="58" t="str">
        <x:v>SEARCH | point 12 | DAC 10.75 | CTRL X 1.09432 | X 1.09268 | Y 0.40785 | Z 0.38068 | TOTAL 1.22707 | error -8.81 % | MAD 1.39 % | CV 1.17 % | coh 89.2 % | dominant X | axis fraction 100.0 % | VALID</x:v>
      </x:c>
      <x:c r="C7064" t="str">
        <x:v>Pasted text(59).txt</x:v>
      </x:c>
    </x:row>
    <x:row r="7065">
      <x:c r="A7065" t="n">
        <x:v>3035</x:v>
      </x:c>
      <x:c r="B7065" s="58" t="str">
        <x:v>SEARCH | point 13 | DAC 11.00 | CTRL X 1.10388 | X 1.11067 | Y 0.42230 | Z 0.40839 | TOTAL 1.25670 | error -8.01 % | MAD 0.68 % | CV 1.47 % | coh 89.3 % | dominant X | axis fraction 100.0 % | VALID</x:v>
      </x:c>
      <x:c r="C7065" t="str">
        <x:v>Pasted text(59).txt</x:v>
      </x:c>
    </x:row>
    <x:row r="7066">
      <x:c r="A7066" t="n">
        <x:v>3036</x:v>
      </x:c>
      <x:c r="B7066" s="58" t="str">
        <x:v>SEARCH | point 14 | DAC 11.25 | CTRL X 1.17212 | X 1.15873 | Y 0.43779 | Z 0.38982 | TOTAL 1.29875 | error -2.32 % | MAD 0.74 % | CV 2.45 % | coh 91.7 % | dominant X | axis fraction 100.0 % | IN TARGET BAND</x:v>
      </x:c>
      <x:c r="C7066" t="str">
        <x:v>Pasted text(59).txt</x:v>
      </x:c>
    </x:row>
    <x:row r="7067">
      <x:c r="A7067" t="n">
        <x:v>3037</x:v>
      </x:c>
      <x:c r="B7067" s="58" t="str"/>
      <x:c r="C7067" t="str">
        <x:v>Pasted text(59).txt</x:v>
      </x:c>
    </x:row>
    <x:row r="7068">
      <x:c r="A7068" t="n">
        <x:v>3038</x:v>
      </x:c>
      <x:c r="B7068" s="58" t="str">
        <x:v>LOCAL 0.25-DAC X-AXIS FINE SCAN</x:v>
      </x:c>
      <x:c r="C7068" t="str">
        <x:v>Pasted text(59).txt</x:v>
      </x:c>
    </x:row>
    <x:row r="7069">
      <x:c r="A7069" t="n">
        <x:v>3039</x:v>
      </x:c>
      <x:c r="B7069" s="58" t="str">
        <x:v>Only a valid point actually inside the X target band may be selected.</x:v>
      </x:c>
      <x:c r="C7069" t="str">
        <x:v>Pasted text(59).txt</x:v>
      </x:c>
    </x:row>
    <x:row r="7070">
      <x:c r="A7070" t="n">
        <x:v>3040</x:v>
      </x:c>
      <x:c r="B7070" s="58" t="str">
        <x:v>FINE | point 1 | DAC 10.25 | CTRL X 0.99721 | X 1.01422 | Y 0.36356 | Z 0.37209 | TOTAL 1.14032 | error -16.90 % | MAD 0.09 % | CV 2.96 % | coh 88.6 % | dominant X | axis fraction 100.0 % | VALID</x:v>
      </x:c>
      <x:c r="C7070" t="str">
        <x:v>Pasted text(59).txt</x:v>
      </x:c>
    </x:row>
    <x:row r="7071">
      <x:c r="A7071" t="n">
        <x:v>3041</x:v>
      </x:c>
      <x:c r="B7071" s="58" t="str">
        <x:v>FINE | point 2 | DAC 10.50 | CTRL X 1.04266 | X 1.04186 | Y 0.36373 | Z 0.35175 | TOTAL 1.15872 | error -13.11 % | MAD 0.04 % | CV 0.16 % | coh 90.1 % | dominant X | axis fraction 100.0 % | VALID</x:v>
      </x:c>
      <x:c r="C7071" t="str">
        <x:v>Pasted text(59).txt</x:v>
      </x:c>
    </x:row>
    <x:row r="7072">
      <x:c r="A7072" t="n">
        <x:v>3042</x:v>
      </x:c>
      <x:c r="B7072" s="58" t="str">
        <x:v>FINE | point 3 | DAC 10.75 | CTRL X 1.11548 | X 1.10180 | Y 0.41704 | Z 0.39301 | TOTAL 1.24201 | error -7.04 % | MAD 0.09 % | CV 2.21 % | coh 89.5 % | dominant X | axis fraction 100.0 % | IN TARGET BAND</x:v>
      </x:c>
      <x:c r="C7072" t="str">
        <x:v>Pasted text(59).txt</x:v>
      </x:c>
    </x:row>
    <x:row r="7073">
      <x:c r="A7073" t="n">
        <x:v>3043</x:v>
      </x:c>
      <x:c r="B7073" s="58" t="str">
        <x:v>FINE | point 4 | DAC 11.00 | CTRL X 1.12686 | X 1.13670 | Y 0.43714 | Z 0.39022 | TOTAL 1.27916 | error -6.09 % | MAD 0.29 % | CV 1.67 % | coh 88.8 % | dominant X | axis fraction 100.0 % | IN TARGET BAND</x:v>
      </x:c>
      <x:c r="C7073" t="str">
        <x:v>Pasted text(59).txt</x:v>
      </x:c>
    </x:row>
    <x:row r="7074">
      <x:c r="A7074" t="n">
        <x:v>3044</x:v>
      </x:c>
      <x:c r="B7074" s="58" t="str">
        <x:v>FINE | point 5 | DAC 11.25 | CTRL X 1.10870 | X 1.11645 | Y 0.42748 | Z 0.41068 | TOTAL 1.26450 | error -7.61 % | MAD 0.22 % | CV 1.33 % | coh 89.0 % | dominant X | axis fraction 100.0 % | VALID</x:v>
      </x:c>
      <x:c r="C7074" t="str">
        <x:v>Pasted text(59).txt</x:v>
      </x:c>
    </x:row>
    <x:row r="7075">
      <x:c r="A7075" t="n">
        <x:v>3045</x:v>
      </x:c>
      <x:c r="B7075" s="58" t="str">
        <x:v>FINE | point 6 | DAC 11.50 | CTRL X 1.16796 | X 1.16487 | Y 0.44323 | Z 0.41628 | TOTAL 1.31451 | error -2.67 % | MAD 0.79 % | CV 0.96 % | coh 90.3 % | dominant X | axis fraction 100.0 % | IN TARGET BAND</x:v>
      </x:c>
      <x:c r="C7075" t="str">
        <x:v>Pasted text(59).txt</x:v>
      </x:c>
    </x:row>
    <x:row r="7076">
      <x:c r="A7076" t="n">
        <x:v>3046</x:v>
      </x:c>
      <x:c r="B7076" s="58" t="str">
        <x:v>FINE | point 7 | DAC 11.75 | CTRL X 1.18417 | X 1.17524 | Y 0.42564 | Z 0.42599 | TOTAL 1.32086 | error -1.32 % | MAD 1.17 % | CV 2.04 % | coh 88.7 % | dominant X | axis fraction 100.0 % | IN TARGET BAND</x:v>
      </x:c>
      <x:c r="C7076" t="str">
        <x:v>Pasted text(59).txt</x:v>
      </x:c>
    </x:row>
    <x:row r="7077">
      <x:c r="A7077" t="n">
        <x:v>3047</x:v>
      </x:c>
      <x:c r="B7077" s="58" t="str">
        <x:v>FINE | point 8 | DAC 12.00 | CTRL X 1.25818 | X 1.24899 | Y 0.45216 | Z 0.41903 | TOTAL 1.39350 | error 4.85 % | MAD 1.04 % | CV 1.92 % | coh 91.0 % | dominant X | axis fraction 100.0 % | IN TARGET BAND</x:v>
      </x:c>
      <x:c r="C7077" t="str">
        <x:v>Pasted text(59).txt</x:v>
      </x:c>
    </x:row>
    <x:row r="7078">
      <x:c r="A7078" t="n">
        <x:v>3048</x:v>
      </x:c>
      <x:c r="B7078" s="58" t="str">
        <x:v>FINE | point 9 | DAC 12.25 | CTRL X 1.27715 | X 1.27103 | Y 0.48036 | Z 0.43926 | TOTAL 1.42837 | error 6.43 % | MAD 4.27 % | CV 3.64 % | coh 90.5 % | dominant X | axis fraction 100.0 % | IN TARGET BAND</x:v>
      </x:c>
      <x:c r="C7078" t="str">
        <x:v>Pasted text(59).txt</x:v>
      </x:c>
    </x:row>
    <x:row r="7079">
      <x:c r="A7079" t="n">
        <x:v>3049</x:v>
      </x:c>
      <x:c r="B7079" s="58" t="str"/>
      <x:c r="C7079" t="str">
        <x:v>Pasted text(59).txt</x:v>
      </x:c>
    </x:row>
    <x:row r="7080">
      <x:c r="A7080" t="n">
        <x:v>3050</x:v>
      </x:c>
      <x:c r="B7080" s="58" t="str">
        <x:v>LONG VALIDATION AT FIXED DAC 11.50</x:v>
      </x:c>
      <x:c r="C7080" t="str">
        <x:v>Pasted text(59).txt</x:v>
      </x:c>
    </x:row>
    <x:row r="7081">
      <x:c r="A7081" t="n">
        <x:v>3051</x:v>
      </x:c>
      <x:c r="B7081" s="58" t="str">
        <x:v>FINAL | point 1 | DAC 11.50 | CTRL X 1.15560 | X 1.15483 | Y 0.42746 | Z 0.37101 | TOTAL 1.28654 | error -3.70 % | MAD 2.54 % | CV 1.79 % | coh 90.7 % | dominant X | axis fraction 100.0 % | IN TARGET BAND</x:v>
      </x:c>
      <x:c r="C7081" t="str">
        <x:v>Pasted text(59).txt</x:v>
      </x:c>
    </x:row>
    <x:row r="7082">
      <x:c r="A7082" t="n">
        <x:v>3052</x:v>
      </x:c>
      <x:c r="B7082" s="58" t="str">
        <x:v>FINAL | point 2 | DAC 11.50 | CTRL X 1.13043 | X 1.13715 | Y 0.42447 | Z 0.39081 | TOTAL 1.27560 | error -5.80 % | MAD 0.59 % | CV 1.62 % | coh 90.2 % | dominant X | axis fraction 100.0 % | IN TARGET BAND</x:v>
      </x:c>
      <x:c r="C7082" t="str">
        <x:v>Pasted text(59).txt</x:v>
      </x:c>
    </x:row>
    <x:row r="7083">
      <x:c r="A7083" t="n">
        <x:v>3053</x:v>
      </x:c>
      <x:c r="B7083" s="58" t="str">
        <x:v>VALIDATION ACCEPTED | pair drift 2.20 %</x:v>
      </x:c>
      <x:c r="C7083" t="str">
        <x:v>Pasted text(59).txt</x:v>
      </x:c>
    </x:row>
    <x:row r="7084">
      <x:c r="A7084" t="n">
        <x:v>3054</x:v>
      </x:c>
      <x:c r="B7084" s="58" t="str"/>
      <x:c r="C7084" t="str">
        <x:v>Pasted text(59).txt</x:v>
      </x:c>
    </x:row>
    <x:row r="7085">
      <x:c r="A7085" t="n">
        <x:v>3055</x:v>
      </x:c>
      <x:c r="B7085" s="58" t="str">
        <x:v>FINAL VALIDATED BLIND FFT VERIFICATION</x:v>
      </x:c>
      <x:c r="C7085" t="str">
        <x:v>Pasted text(59).txt</x:v>
      </x:c>
    </x:row>
    <x:row r="7086">
      <x:c r="A7086" t="n">
        <x:v>3056</x:v>
      </x:c>
      <x:c r="B7086" s="58" t="str">
        <x:v>Commanded frequency: 268.00000 Hz</x:v>
      </x:c>
      <x:c r="C7086" t="str">
        <x:v>Pasted text(59).txt</x:v>
      </x:c>
    </x:row>
    <x:row r="7087">
      <x:c r="A7087" t="n">
        <x:v>3057</x:v>
      </x:c>
      <x:c r="B7087" s="58" t="str">
        <x:v>Accepted DAC: 11.50</x:v>
      </x:c>
      <x:c r="C7087" t="str">
        <x:v>Pasted text(59).txt</x:v>
      </x:c>
    </x:row>
    <x:row r="7088">
      <x:c r="A7088" t="n">
        <x:v>3058</x:v>
      </x:c>
      <x:c r="B7088" s="58" t="str">
        <x:v>Axis,Frequency_Hz,Amplitude_mps2,SNR_dB,Status</x:v>
      </x:c>
      <x:c r="C7088" t="str">
        <x:v>Pasted text(59).txt</x:v>
      </x:c>
    </x:row>
    <x:row r="7089">
      <x:c r="A7089" t="n">
        <x:v>3059</x:v>
      </x:c>
      <x:c r="B7089" s="58" t="str">
        <x:v>X,268.02216,1.03559,31.51,VALID</x:v>
      </x:c>
      <x:c r="C7089" t="str">
        <x:v>Pasted text(59).txt</x:v>
      </x:c>
    </x:row>
    <x:row r="7090">
      <x:c r="A7090" t="n">
        <x:v>3060</x:v>
      </x:c>
      <x:c r="B7090" s="58" t="str">
        <x:v>Y,268.06044,0.38773,24.61,VALID</x:v>
      </x:c>
      <x:c r="C7090" t="str">
        <x:v>Pasted text(59).txt</x:v>
      </x:c>
    </x:row>
    <x:row r="7091">
      <x:c r="A7091" t="n">
        <x:v>3061</x:v>
      </x:c>
      <x:c r="B7091" s="58" t="str">
        <x:v>Z,268.06218,0.37055,25.48,VALID</x:v>
      </x:c>
      <x:c r="C7091" t="str">
        <x:v>Pasted text(59).txt</x:v>
      </x:c>
    </x:row>
    <x:row r="7092">
      <x:c r="A7092" t="n">
        <x:v>3062</x:v>
      </x:c>
      <x:c r="B7092" s="58" t="str">
        <x:v>Combined frequency: 268.03046 Hz | difference 0.03046 Hz</x:v>
      </x:c>
      <x:c r="C7092" t="str">
        <x:v>Pasted text(59).txt</x:v>
      </x:c>
    </x:row>
    <x:row r="7093">
      <x:c r="A7093" t="n">
        <x:v>3063</x:v>
      </x:c>
      <x:c r="B7093" s="58" t="str">
        <x:v>Combined X/Y/Z/TOTAL: 0.94519 / 0.35733 / 0.34168 / 1.06668</x:v>
      </x:c>
      <x:c r="C7093" t="str">
        <x:v>Pasted text(59).txt</x:v>
      </x:c>
    </x:row>
    <x:row r="7094">
      <x:c r="A7094" t="n">
        <x:v>3064</x:v>
      </x:c>
      <x:c r="B7094" s="58" t="str">
        <x:v>SNR: 29.09 dB | dominant axis X</x:v>
      </x:c>
      <x:c r="C7094" t="str">
        <x:v>Pasted text(59).txt</x:v>
      </x:c>
    </x:row>
    <x:row r="7095">
      <x:c r="A7095" t="n">
        <x:v>3065</x:v>
      </x:c>
      <x:c r="B7095" s="58" t="str">
        <x:v>Frequency verification: PASS</x:v>
      </x:c>
      <x:c r="C7095" t="str">
        <x:v>Pasted text(59).txt</x:v>
      </x:c>
    </x:row>
    <x:row r="7096">
      <x:c r="A7096" t="n">
        <x:v>3066</x:v>
      </x:c>
      <x:c r="B7096" s="58" t="str">
        <x:v>Y/Z dominance: DIAGNOSTIC ONLY — ignored for pass/fail</x:v>
      </x:c>
      <x:c r="C7096" t="str">
        <x:v>Pasted text(59).txt</x:v>
      </x:c>
    </x:row>
    <x:row r="7097">
      <x:c r="A7097" t="n">
        <x:v>3067</x:v>
      </x:c>
      <x:c r="B7097" s="58" t="str"/>
      <x:c r="C7097" t="str">
        <x:v>Pasted text(59).txt</x:v>
      </x:c>
    </x:row>
    <x:row r="7098">
      <x:c r="A7098" t="n">
        <x:v>3068</x:v>
      </x:c>
      <x:c r="B7098" s="58" t="str">
        <x:v>FIXED-DAC HOLD VALIDATION</x:v>
      </x:c>
      <x:c r="C7098" t="str">
        <x:v>Pasted text(59).txt</x:v>
      </x:c>
    </x:row>
    <x:row r="7099">
      <x:c r="A7099" t="n">
        <x:v>3069</x:v>
      </x:c>
      <x:c r="B7099" s="58" t="str">
        <x:v>DAC remains fixed at 11.50 for 10 records.</x:v>
      </x:c>
      <x:c r="C7099" t="str">
        <x:v>Pasted text(59).txt</x:v>
      </x:c>
    </x:row>
    <x:row r="7100">
      <x:c r="A7100" t="n">
        <x:v>3070</x:v>
      </x:c>
      <x:c r="B7100" s="58" t="str">
        <x:v>HOLD | point 1 | DAC 11.50 | CTRL X 1.14016 | X 1.14322 | Y 0.41613 | Z 0.39580 | TOTAL 1.27996 | error -4.99 % | MAD 0.40 % | CV 0.71 % | coh 90.5 % | dominant X | axis fraction 100.0 % | IN TARGET BAND</x:v>
      </x:c>
      <x:c r="C7100" t="str">
        <x:v>Pasted text(59).txt</x:v>
      </x:c>
    </x:row>
    <x:row r="7101">
      <x:c r="A7101" t="n">
        <x:v>3071</x:v>
      </x:c>
      <x:c r="B7101" s="58" t="str">
        <x:v>HOLD | point 2 | DAC 11.50 | CTRL X 1.14048 | X 1.14084 | Y 0.40800 | Z 0.40844 | TOTAL 1.27904 | error -4.96 % | MAD 1.00 % | CV 0.72 % | coh 90.8 % | dominant X | axis fraction 100.0 % | IN TARGET BAND</x:v>
      </x:c>
      <x:c r="C7101" t="str">
        <x:v>Pasted text(59).txt</x:v>
      </x:c>
    </x:row>
    <x:row r="7102">
      <x:c r="A7102" t="n">
        <x:v>3072</x:v>
      </x:c>
      <x:c r="B7102" s="58" t="str">
        <x:v>HOLD | point 3 | DAC 11.50 | CTRL X 1.12084 | X 1.12556 | Y 0.42592 | Z 0.38629 | TOTAL 1.26455 | error -6.60 % | MAD 0.22 % | CV 0.86 % | coh 88.7 % | dominant X | axis fraction 100.0 % | IN TARGET BAND</x:v>
      </x:c>
      <x:c r="C7102" t="str">
        <x:v>Pasted text(59).txt</x:v>
      </x:c>
    </x:row>
    <x:row r="7103">
      <x:c r="A7103" t="n">
        <x:v>3073</x:v>
      </x:c>
      <x:c r="B7103" s="58" t="str">
        <x:v>HOLD | point 4 | DAC 11.50 | CTRL X 1.15890 | X 1.15286 | Y 0.41619 | Z 0.37965 | TOTAL 1.28336 | error -3.43 % | MAD 3.16 % | CV 2.96 % | coh 91.0 % | dominant X | axis fraction 100.0 % | IN TARGET BAND</x:v>
      </x:c>
      <x:c r="C7103" t="str">
        <x:v>Pasted text(59).txt</x:v>
      </x:c>
    </x:row>
    <x:row r="7104">
      <x:c r="A7104" t="n">
        <x:v>3074</x:v>
      </x:c>
      <x:c r="B7104" s="58" t="str">
        <x:v>HOLD | point 5 | DAC 11.50 | CTRL X 1.14419 | X 1.14121 | Y 0.43686 | Z 0.37738 | TOTAL 1.27895 | error -4.65 % | MAD 1.24 % | CV 1.25 % | coh 90.8 % | dominant X | axis fraction 100.0 % | IN TARGET BAND</x:v>
      </x:c>
      <x:c r="C7104" t="str">
        <x:v>Pasted text(59).txt</x:v>
      </x:c>
    </x:row>
    <x:row r="7105">
      <x:c r="A7105" t="n">
        <x:v>3075</x:v>
      </x:c>
      <x:c r="B7105" s="58" t="str">
        <x:v>HOLD | point 6 | DAC 11.50 | CTRL X 1.17373 | X 1.16541 | Y 0.42389 | Z 0.39840 | TOTAL 1.30283 | error -2.19 % | MAD 0.29 % | CV 1.41 % | coh 91.0 % | dominant X | axis fraction 100.0 % | IN TARGET BAND</x:v>
      </x:c>
      <x:c r="C7105" t="str">
        <x:v>Pasted text(59).txt</x:v>
      </x:c>
    </x:row>
    <x:row r="7106">
      <x:c r="A7106" t="n">
        <x:v>3076</x:v>
      </x:c>
      <x:c r="B7106" s="58" t="str">
        <x:v>HOLD | point 7 | DAC 11.50 | CTRL X 1.15021 | X 1.14569 | Y 0.44133 | Z 0.37593 | TOTAL 1.28420 | error -4.15 % | MAD 0.53 % | CV 1.01 % | coh 90.8 % | dominant X | axis fraction 100.0 % | IN TARGET BAND</x:v>
      </x:c>
      <x:c r="C7106" t="str">
        <x:v>Pasted text(59).txt</x:v>
      </x:c>
    </x:row>
    <x:row r="7107">
      <x:c r="A7107" t="n">
        <x:v>3077</x:v>
      </x:c>
      <x:c r="B7107" s="58" t="str">
        <x:v>HOLD | point 8 | DAC 11.50 | CTRL X 1.16087 | X 1.16673 | Y 0.43801 | Z 0.39942 | TOTAL 1.30888 | error -3.26 % | MAD 1.96 % | CV 2.11 % | coh 91.6 % | dominant X | axis fraction 100.0 % | IN TARGET BAND</x:v>
      </x:c>
      <x:c r="C7107" t="str">
        <x:v>Pasted text(59).txt</x:v>
      </x:c>
    </x:row>
    <x:row r="7108">
      <x:c r="A7108" t="n">
        <x:v>3078</x:v>
      </x:c>
      <x:c r="B7108" s="58" t="str">
        <x:v>HOLD | point 9 | DAC 11.50 | CTRL X 1.14246 | X 1.14755 | Y 0.42680 | Z 0.39193 | TOTAL 1.28578 | error -4.80 % | MAD 0.74 % | CV 1.23 % | coh 91.2 % | dominant X | axis fraction 100.0 % | IN TARGET BAND</x:v>
      </x:c>
      <x:c r="C7108" t="str">
        <x:v>Pasted text(59).txt</x:v>
      </x:c>
    </x:row>
    <x:row r="7109">
      <x:c r="A7109" t="n">
        <x:v>3079</x:v>
      </x:c>
      <x:c r="B7109" s="58" t="str">
        <x:v>HOLD | point 10 | DAC 11.50 | CTRL X 1.12006 | X 1.12226 | Y 0.40734 | Z 0.39179 | TOTAL 1.25690 | error -6.66 % | MAD 1.28 % | CV 1.17 % | coh 89.3 % | dominant X | axis fraction 100.0 % | IN TARGET BAND</x:v>
      </x:c>
      <x:c r="C7109" t="str">
        <x:v>Pasted text(59).txt</x:v>
      </x:c>
    </x:row>
    <x:row r="7110">
      <x:c r="A7110" t="n">
        <x:v>3080</x:v>
      </x:c>
      <x:c r="B7110" s="58" t="str"/>
      <x:c r="C7110" t="str">
        <x:v>Pasted text(59).txt</x:v>
      </x:c>
    </x:row>
    <x:row r="7111">
      <x:c r="A7111" t="n">
        <x:v>3081</x:v>
      </x:c>
      <x:c r="B7111" s="58" t="str">
        <x:v>HOLD SUMMARY</x:v>
      </x:c>
      <x:c r="C7111" t="str">
        <x:v>Pasted text(59).txt</x:v>
      </x:c>
    </x:row>
    <x:row r="7112">
      <x:c r="A7112" t="n">
        <x:v>3082</x:v>
      </x:c>
      <x:c r="B7112" s="58" t="str">
        <x:v>Valid / requested: 10 / 10</x:v>
      </x:c>
      <x:c r="C7112" t="str">
        <x:v>Pasted text(59).txt</x:v>
      </x:c>
    </x:row>
    <x:row r="7113">
      <x:c r="A7113" t="n">
        <x:v>3083</x:v>
      </x:c>
      <x:c r="B7113" s="58" t="str">
        <x:v>In band / requested: 10 / 10 = 100.0 %</x:v>
      </x:c>
      <x:c r="C7113" t="str">
        <x:v>Pasted text(59).txt</x:v>
      </x:c>
    </x:row>
    <x:row r="7114">
      <x:c r="A7114" t="n">
        <x:v>3084</x:v>
      </x:c>
      <x:c r="B7114" s="58" t="str">
        <x:v>Mean / SD / CV: 1.14519 / 0.01685 / 1.47 %</x:v>
      </x:c>
      <x:c r="C7114" t="str">
        <x:v>Pasted text(59).txt</x:v>
      </x:c>
    </x:row>
    <x:row r="7115">
      <x:c r="A7115" t="n">
        <x:v>3085</x:v>
      </x:c>
      <x:c r="B7115" s="58" t="str">
        <x:v>Min / Max: 1.12006 / 1.17373</x:v>
      </x:c>
      <x:c r="C7115" t="str">
        <x:v>Pasted text(59).txt</x:v>
      </x:c>
    </x:row>
    <x:row r="7116">
      <x:c r="A7116" t="n">
        <x:v>3086</x:v>
      </x:c>
      <x:c r="B7116" s="58" t="str">
        <x:v>HOLD RESULT: PASS</x:v>
      </x:c>
      <x:c r="C7116" t="str">
        <x:v>Pasted text(59).txt</x:v>
      </x:c>
    </x:row>
    <x:row r="7117">
      <x:c r="A7117" t="n">
        <x:v>3087</x:v>
      </x:c>
      <x:c r="B7117" s="58" t="str"/>
      <x:c r="C7117" t="str">
        <x:v>Pasted text(59).txt</x:v>
      </x:c>
    </x:row>
    <x:row r="7118">
      <x:c r="A7118" t="n">
        <x:v>3088</x:v>
      </x:c>
      <x:c r="B7118" s="58" t="str">
        <x:v>RUN RESULT: PASS</x:v>
      </x:c>
      <x:c r="C7118" t="str">
        <x:v>Pasted text(59).txt</x:v>
      </x:c>
    </x:row>
    <x:row r="7119">
      <x:c r="A7119" t="n">
        <x:v>3089</x:v>
      </x:c>
      <x:c r="B7119" s="58" t="str">
        <x:v>Selected DAC: 11.50</x:v>
      </x:c>
      <x:c r="C7119" t="str">
        <x:v>Pasted text(59).txt</x:v>
      </x:c>
    </x:row>
    <x:row r="7120">
      <x:c r="A7120" t="n">
        <x:v>3090</x:v>
      </x:c>
      <x:c r="B7120" s="58" t="str">
        <x:v>Validated amplitude: 1.14302 m/s^2 | error -4.75 %</x:v>
      </x:c>
      <x:c r="C7120" t="str">
        <x:v>Pasted text(59).txt</x:v>
      </x:c>
    </x:row>
    <x:row r="7121">
      <x:c r="A7121" t="n">
        <x:v>3091</x:v>
      </x:c>
      <x:c r="B7121" s="58" t="str">
        <x:v>FFT frequency: 268.03046 Hz | difference 0.03046 Hz</x:v>
      </x:c>
      <x:c r="C7121" t="str">
        <x:v>Pasted text(59).txt</x:v>
      </x:c>
    </x:row>
    <x:row r="7122">
      <x:c r="A7122" t="n">
        <x:v>3092</x:v>
      </x:c>
      <x:c r="B7122" s="58" t="str"/>
      <x:c r="C7122" t="str">
        <x:v>Pasted text(59).txt</x:v>
      </x:c>
    </x:row>
    <x:row r="7123">
      <x:c r="A7123" t="n">
        <x:v>3093</x:v>
      </x:c>
      <x:c r="B7123" s="58" t="str">
        <x:v>VISATON OFF. RESTING 5.0 s BEFORE THE NEXT COMPLETELY FRESH RUN.</x:v>
      </x:c>
      <x:c r="C7123" t="str">
        <x:v>Pasted text(59).txt</x:v>
      </x:c>
    </x:row>
    <x:row r="7124">
      <x:c r="A7124" t="n">
        <x:v>3094</x:v>
      </x:c>
      <x:c r="B7124" s="58" t="str"/>
      <x:c r="C7124" t="str">
        <x:v>Pasted text(59).txt</x:v>
      </x:c>
    </x:row>
    <x:row r="7125">
      <x:c r="A7125" t="n">
        <x:v>3095</x:v>
      </x:c>
      <x:c r="B7125" s="58" t="str">
        <x:v>################################################################################</x:v>
      </x:c>
      <x:c r="C7125" t="str">
        <x:v>Pasted text(59).txt</x:v>
      </x:c>
    </x:row>
    <x:row r="7126">
      <x:c r="A7126" t="n">
        <x:v>3096</x:v>
      </x:c>
      <x:c r="B7126" s="58" t="str">
        <x:v>INDEPENDENT TARGET-AMPLITUDE RUN 3 OF 5</x:v>
      </x:c>
      <x:c r="C7126" t="str">
        <x:v>Pasted text(59).txt</x:v>
      </x:c>
    </x:row>
    <x:row r="7127">
      <x:c r="A7127" t="n">
        <x:v>3097</x:v>
      </x:c>
      <x:c r="B7127" s="58" t="str">
        <x:v>################################################################################</x:v>
      </x:c>
      <x:c r="C7127" t="str">
        <x:v>Pasted text(59).txt</x:v>
      </x:c>
    </x:row>
    <x:row r="7128">
      <x:c r="A7128" t="n">
        <x:v>3098</x:v>
      </x:c>
      <x:c r="B7128" s="58" t="str">
        <x:v>Frequency: 268.00000 Hz</x:v>
      </x:c>
      <x:c r="C7128" t="str">
        <x:v>Pasted text(59).txt</x:v>
      </x:c>
    </x:row>
    <x:row r="7129">
      <x:c r="A7129" t="n">
        <x:v>3099</x:v>
      </x:c>
      <x:c r="B7129" s="58" t="str">
        <x:v>Target X amplitude: 1.20000 m/s^2 peak, tolerance +/-7.50 %</x:v>
      </x:c>
      <x:c r="C7129" t="str">
        <x:v>Pasted text(59).txt</x:v>
      </x:c>
    </x:row>
    <x:row r="7130">
      <x:c r="A7130" t="n">
        <x:v>3100</x:v>
      </x:c>
      <x:c r="B7130" s="58" t="str">
        <x:v>This run starts from DAC 1.00 and ignores every earlier selected DAC.</x:v>
      </x:c>
      <x:c r="C7130" t="str">
        <x:v>Pasted text(59).txt</x:v>
      </x:c>
    </x:row>
    <x:row r="7131">
      <x:c r="A7131" t="n">
        <x:v>3101</x:v>
      </x:c>
      <x:c r="B7131" s="58" t="str">
        <x:v>ADXL2 DEVID/DATA_FORMAT/BW_RATE/POWER_CTL: 0xE5 / 0xB / 0xE / 0x8</x:v>
      </x:c>
      <x:c r="C7131" t="str">
        <x:v>Pasted text(59).txt</x:v>
      </x:c>
    </x:row>
    <x:row r="7132">
      <x:c r="A7132" t="n">
        <x:v>3102</x:v>
      </x:c>
      <x:c r="B7132" s="58" t="str"/>
      <x:c r="C7132" t="str">
        <x:v>Pasted text(59).txt</x:v>
      </x:c>
    </x:row>
    <x:row r="7133">
      <x:c r="A7133" t="n">
        <x:v>3103</x:v>
      </x:c>
      <x:c r="B7133" s="58" t="str">
        <x:v>ACQUISITION ATTEMPT 1 OF 2</x:v>
      </x:c>
      <x:c r="C7133" t="str">
        <x:v>Pasted text(59).txt</x:v>
      </x:c>
    </x:row>
    <x:row r="7134">
      <x:c r="A7134" t="n">
        <x:v>3104</x:v>
      </x:c>
      <x:c r="B7134" s="58" t="str"/>
      <x:c r="C7134" t="str">
        <x:v>Pasted text(59).txt</x:v>
      </x:c>
    </x:row>
    <x:row r="7135">
      <x:c r="A7135" t="n">
        <x:v>3105</x:v>
      </x:c>
      <x:c r="B7135" s="58" t="str">
        <x:v>FRESH X-AXIS SEARCH FROM DAC 1.00 — OLD DAC VALUES ARE NOT USED</x:v>
      </x:c>
      <x:c r="C7135" t="str">
        <x:v>Pasted text(59).txt</x:v>
      </x:c>
    </x:row>
    <x:row r="7136">
      <x:c r="A7136" t="n">
        <x:v>3106</x:v>
      </x:c>
      <x:c r="B7136" s="58" t="str">
        <x:v>Y/Z are diagnostic only and cannot abort this search.</x:v>
      </x:c>
      <x:c r="C7136" t="str">
        <x:v>Pasted text(59).txt</x:v>
      </x:c>
    </x:row>
    <x:row r="7137">
      <x:c r="A7137" t="n">
        <x:v>3107</x:v>
      </x:c>
      <x:c r="B7137" s="58" t="str">
        <x:v>A real SPI fault, clipping, safety limit or confirmed X-response collapse will stop it.</x:v>
      </x:c>
      <x:c r="C7137" t="str">
        <x:v>Pasted text(59).txt</x:v>
      </x:c>
    </x:row>
    <x:row r="7138">
      <x:c r="A7138" t="n">
        <x:v>3108</x:v>
      </x:c>
      <x:c r="B7138" s="58" t="str">
        <x:v>SEARCH | point 1 | DAC 1.00 | CTRL X 0.02080 | X 0.01924 | Y 0.02786 | Z 0.01238 | TOTAL 0.03776 | error -98.27 % | MAD 22.18 % | CV 11.44 % | coh 6.4 % | dominant Y | axis fraction 69.1 % | BELOW MEASUREMENT FLOOR — SEARCH CONTINUES</x:v>
      </x:c>
      <x:c r="C7138" t="str">
        <x:v>Pasted text(59).txt</x:v>
      </x:c>
    </x:row>
    <x:row r="7139">
      <x:c r="A7139" t="n">
        <x:v>3109</x:v>
      </x:c>
      <x:c r="B7139" s="58" t="str">
        <x:v>SEARCH | point 2 | DAC 3.00 | CTRL X 0.19585 | X 0.18727 | Y 0.05531 | Z 0.11525 | TOTAL 0.22701 | error -83.68 % | MAD 11.76 % | CV 15.68 % | coh 40.9 % | dominant X | axis fraction 100.0 % | UNSTABLE — SEARCH CONTINUES</x:v>
      </x:c>
      <x:c r="C7139" t="str">
        <x:v>Pasted text(59).txt</x:v>
      </x:c>
    </x:row>
    <x:row r="7140">
      <x:c r="A7140" t="n">
        <x:v>3110</x:v>
      </x:c>
      <x:c r="B7140" s="58" t="str">
        <x:v>SEARCH | point 3 | DAC 5.00 | CTRL X 0.43831 | X 0.43802 | Y 0.15292 | Z 0.16184 | TOTAL 0.49186 | error -63.47 % | MAD 1.23 % | CV 0.93 % | coh 72.6 % | dominant X | axis fraction 100.0 % | VALID</x:v>
      </x:c>
      <x:c r="C7140" t="str">
        <x:v>Pasted text(59).txt</x:v>
      </x:c>
    </x:row>
    <x:row r="7141">
      <x:c r="A7141" t="n">
        <x:v>3111</x:v>
      </x:c>
      <x:c r="B7141" s="58" t="str">
        <x:v>SEARCH | point 4 | DAC 6.00 | CTRL X 0.53925 | X 0.53008 | Y 0.20518 | Z 0.16802 | TOTAL 0.59281 | error -55.06 % | MAD 0.56 % | CV 3.34 % | coh 76.6 % | dominant X | axis fraction 100.0 % | VALID</x:v>
      </x:c>
      <x:c r="C7141" t="str">
        <x:v>Pasted text(59).txt</x:v>
      </x:c>
    </x:row>
    <x:row r="7142">
      <x:c r="A7142" t="n">
        <x:v>3112</x:v>
      </x:c>
      <x:c r="B7142" s="58" t="str">
        <x:v>SEARCH | point 5 | DAC 7.00 | CTRL X 0.65296 | X 0.64172 | Y 0.24365 | Z 0.23509 | TOTAL 0.72556 | error -45.59 % | MAD 0.31 % | CV 3.22 % | coh 81.8 % | dominant X | axis fraction 100.0 % | VALID</x:v>
      </x:c>
      <x:c r="C7142" t="str">
        <x:v>Pasted text(59).txt</x:v>
      </x:c>
    </x:row>
    <x:row r="7143">
      <x:c r="A7143" t="n">
        <x:v>3113</x:v>
      </x:c>
      <x:c r="B7143" s="58" t="str">
        <x:v>SEARCH | point 6 | DAC 8.00 | CTRL X 0.74856 | X 0.74354 | Y 0.26831 | Z 0.28817 | TOTAL 0.84141 | error -37.62 % | MAD 1.94 % | CV 2.41 % | coh 83.4 % | dominant X | axis fraction 100.0 % | VALID</x:v>
      </x:c>
      <x:c r="C7143" t="str">
        <x:v>Pasted text(59).txt</x:v>
      </x:c>
    </x:row>
    <x:row r="7144">
      <x:c r="A7144" t="n">
        <x:v>3114</x:v>
      </x:c>
      <x:c r="B7144" s="58" t="str">
        <x:v>SEARCH | point 7 | DAC 8.50 | CTRL X 0.77052 | X 0.79158 | Y 0.29446 | Z 0.28894 | TOTAL 0.89288 | error -35.79 % | MAD 0.30 % | CV 4.78 % | coh 85.9 % | dominant X | axis fraction 100.0 % | VALID</x:v>
      </x:c>
      <x:c r="C7144" t="str">
        <x:v>Pasted text(59).txt</x:v>
      </x:c>
    </x:row>
    <x:row r="7145">
      <x:c r="A7145" t="n">
        <x:v>3115</x:v>
      </x:c>
      <x:c r="B7145" s="58" t="str">
        <x:v>SEARCH | point 8 | DAC 9.00 | CTRL X 0.87917 | X 0.87737 | Y 0.31636 | Z 0.33082 | TOTAL 0.98973 | error -26.74 % | MAD 1.21 % | CV 1.14 % | coh 86.7 % | dominant X | axis fraction 100.0 % | VALID</x:v>
      </x:c>
      <x:c r="C7145" t="str">
        <x:v>Pasted text(59).txt</x:v>
      </x:c>
    </x:row>
    <x:row r="7146">
      <x:c r="A7146" t="n">
        <x:v>3116</x:v>
      </x:c>
      <x:c r="B7146" s="58" t="str">
        <x:v>SEARCH | point 9 | DAC 9.50 | CTRL X 0.90397 | X 0.90917 | Y 0.34323 | Z 0.34206 | TOTAL 1.03037 | error -24.67 % | MAD 0.26 % | CV 1.15 % | coh 88.3 % | dominant X | axis fraction 100.0 % | VALID</x:v>
      </x:c>
      <x:c r="C7146" t="str">
        <x:v>Pasted text(59).txt</x:v>
      </x:c>
    </x:row>
    <x:row r="7147">
      <x:c r="A7147" t="n">
        <x:v>3117</x:v>
      </x:c>
      <x:c r="B7147" s="58" t="str">
        <x:v>SEARCH | point 10 | DAC 10.00 | CTRL X 1.00564 | X 0.99894 | Y 0.35980 | Z 0.36538 | TOTAL 1.12314 | error -16.20 % | MAD 0.04 % | CV 1.19 % | coh 87.9 % | dominant X | axis fraction 100.0 % | VALID</x:v>
      </x:c>
      <x:c r="C7147" t="str">
        <x:v>Pasted text(59).txt</x:v>
      </x:c>
    </x:row>
    <x:row r="7148">
      <x:c r="A7148" t="n">
        <x:v>3118</x:v>
      </x:c>
      <x:c r="B7148" s="58" t="str">
        <x:v>SEARCH | point 11 | DAC 10.50 | CTRL X 1.00095 | X 1.02024 | Y 0.36068 | Z 0.38726 | TOTAL 1.14963 | error -16.59 % | MAD 1.23 % | CV 4.00 % | coh 89.3 % | dominant X | axis fraction 100.0 % | VALID</x:v>
      </x:c>
      <x:c r="C7148" t="str">
        <x:v>Pasted text(59).txt</x:v>
      </x:c>
    </x:row>
    <x:row r="7149">
      <x:c r="A7149" t="n">
        <x:v>3119</x:v>
      </x:c>
      <x:c r="B7149" s="58" t="str">
        <x:v>SEARCH | point 12 | DAC 11.00 | CTRL X 1.11746 | X 1.11880 | Y 0.40631 | Z 0.38983 | TOTAL 1.25291 | error -6.88 % | MAD 0.18 % | CV 0.32 % | coh 90.1 % | dominant X | axis fraction 100.0 % | IN TARGET BAND</x:v>
      </x:c>
      <x:c r="C7149" t="str">
        <x:v>Pasted text(59).txt</x:v>
      </x:c>
    </x:row>
    <x:row r="7150">
      <x:c r="A7150" t="n">
        <x:v>3120</x:v>
      </x:c>
      <x:c r="B7150" s="58" t="str"/>
      <x:c r="C7150" t="str">
        <x:v>Pasted text(59).txt</x:v>
      </x:c>
    </x:row>
    <x:row r="7151">
      <x:c r="A7151" t="n">
        <x:v>3121</x:v>
      </x:c>
      <x:c r="B7151" s="58" t="str">
        <x:v>LOCAL 0.25-DAC X-AXIS FINE SCAN</x:v>
      </x:c>
      <x:c r="C7151" t="str">
        <x:v>Pasted text(59).txt</x:v>
      </x:c>
    </x:row>
    <x:row r="7152">
      <x:c r="A7152" t="n">
        <x:v>3122</x:v>
      </x:c>
      <x:c r="B7152" s="58" t="str">
        <x:v>Only a valid point actually inside the X target band may be selected.</x:v>
      </x:c>
      <x:c r="C7152" t="str">
        <x:v>Pasted text(59).txt</x:v>
      </x:c>
    </x:row>
    <x:row r="7153">
      <x:c r="A7153" t="n">
        <x:v>3123</x:v>
      </x:c>
      <x:c r="B7153" s="58" t="str">
        <x:v>FINE | point 1 | DAC 10.00 | CTRL X 0.96941 | X 0.98088 | Y 0.39435 | Z 0.37008 | TOTAL 1.12022 | error -19.22 % | MAD 0.65 % | CV 2.41 % | coh 86.7 % | dominant X | axis fraction 100.0 % | VALID</x:v>
      </x:c>
      <x:c r="C7153" t="str">
        <x:v>Pasted text(59).txt</x:v>
      </x:c>
    </x:row>
    <x:row r="7154">
      <x:c r="A7154" t="n">
        <x:v>3124</x:v>
      </x:c>
      <x:c r="B7154" s="58" t="str">
        <x:v>FINE | point 2 | DAC 10.25 | CTRL X 1.02900 | X 1.01635 | Y 0.35849 | Z 0.35978 | TOTAL 1.13674 | error -14.25 % | MAD 2.17 % | CV 3.52 % | coh 88.4 % | dominant X | axis fraction 100.0 % | VALID</x:v>
      </x:c>
      <x:c r="C7154" t="str">
        <x:v>Pasted text(59).txt</x:v>
      </x:c>
    </x:row>
    <x:row r="7155">
      <x:c r="A7155" t="n">
        <x:v>3125</x:v>
      </x:c>
      <x:c r="B7155" s="58" t="str">
        <x:v>FINE | point 3 | DAC 10.50 | CTRL X 1.03225 | X 1.03571 | Y 0.38303 | Z 0.37374 | TOTAL 1.16615 | error -13.98 % | MAD 0.68 % | CV 1.00 % | coh 88.8 % | dominant X | axis fraction 100.0 % | VALID</x:v>
      </x:c>
      <x:c r="C7155" t="str">
        <x:v>Pasted text(59).txt</x:v>
      </x:c>
    </x:row>
    <x:row r="7156">
      <x:c r="A7156" t="n">
        <x:v>3126</x:v>
      </x:c>
      <x:c r="B7156" s="58" t="str">
        <x:v>FINE | point 4 | DAC 10.75 | CTRL X 1.08875 | X 1.08873 | Y 0.39074 | Z 0.38266 | TOTAL 1.21840 | error -9.27 % | MAD 1.71 % | CV 1.16 % | coh 88.4 % | dominant X | axis fraction 100.0 % | VALID</x:v>
      </x:c>
      <x:c r="C7156" t="str">
        <x:v>Pasted text(59).txt</x:v>
      </x:c>
    </x:row>
    <x:row r="7157">
      <x:c r="A7157" t="n">
        <x:v>3127</x:v>
      </x:c>
      <x:c r="B7157" s="58" t="str">
        <x:v>FINE | point 5 | DAC 11.00 | CTRL X 1.13049 | X 1.09947 | Y 0.40821 | Z 0.37829 | TOTAL 1.23278 | error -5.79 % | MAD 0.07 % | CV 4.93 % | coh 88.6 % | dominant X | axis fraction 100.0 % | IN TARGET BAND</x:v>
      </x:c>
      <x:c r="C7157" t="str">
        <x:v>Pasted text(59).txt</x:v>
      </x:c>
    </x:row>
    <x:row r="7158">
      <x:c r="A7158" t="n">
        <x:v>3128</x:v>
      </x:c>
      <x:c r="B7158" s="58" t="str">
        <x:v>FINE | point 6 | DAC 11.25 | CTRL X 1.14075 | X 1.13646 | Y 0.40390 | Z 0.38265 | TOTAL 1.26571 | error -4.94 % | MAD 1.31 % | CV 1.49 % | coh 90.2 % | dominant X | axis fraction 100.0 % | IN TARGET BAND</x:v>
      </x:c>
      <x:c r="C7158" t="str">
        <x:v>Pasted text(59).txt</x:v>
      </x:c>
    </x:row>
    <x:row r="7159">
      <x:c r="A7159" t="n">
        <x:v>3129</x:v>
      </x:c>
      <x:c r="B7159" s="58" t="str">
        <x:v>FINE | point 7 | DAC 11.50 | CTRL X 1.17109 | X 1.17077 | Y 0.44161 | Z 0.43716 | TOTAL 1.32582 | error -2.41 % | MAD 2.26 % | CV 1.56 % | coh 91.2 % | dominant X | axis fraction 100.0 % | IN TARGET BAND</x:v>
      </x:c>
      <x:c r="C7159" t="str">
        <x:v>Pasted text(59).txt</x:v>
      </x:c>
    </x:row>
    <x:row r="7160">
      <x:c r="A7160" t="n">
        <x:v>3130</x:v>
      </x:c>
      <x:c r="B7160" s="58" t="str">
        <x:v>FINE | point 8 | DAC 11.75 | CTRL X 1.19786 | X 1.20321 | Y 0.43751 | Z 0.41498 | TOTAL 1.34615 | error -0.18 % | MAD 0.01 % | CV 0.78 % | coh 88.9 % | dominant X | axis fraction 100.0 % | IN TARGET BAND</x:v>
      </x:c>
      <x:c r="C7160" t="str">
        <x:v>Pasted text(59).txt</x:v>
      </x:c>
    </x:row>
    <x:row r="7161">
      <x:c r="A7161" t="n">
        <x:v>3131</x:v>
      </x:c>
      <x:c r="B7161" s="58" t="str">
        <x:v>FINE | point 9 | DAC 12.00 | CTRL X 1.22954 | X 1.23988 | Y 0.45803 | Z 0.41985 | TOTAL 1.38698 | error 2.46 % | MAD 0.03 % | CV 1.46 % | coh 90.4 % | dominant X | axis fraction 100.0 % | IN TARGET BAND</x:v>
      </x:c>
      <x:c r="C7161" t="str">
        <x:v>Pasted text(59).txt</x:v>
      </x:c>
    </x:row>
    <x:row r="7162">
      <x:c r="A7162" t="n">
        <x:v>3132</x:v>
      </x:c>
      <x:c r="B7162" s="58" t="str"/>
      <x:c r="C7162" t="str">
        <x:v>Pasted text(59).txt</x:v>
      </x:c>
    </x:row>
    <x:row r="7163">
      <x:c r="A7163" t="n">
        <x:v>3133</x:v>
      </x:c>
      <x:c r="B7163" s="58" t="str">
        <x:v>LONG VALIDATION AT FIXED DAC 11.75</x:v>
      </x:c>
      <x:c r="C7163" t="str">
        <x:v>Pasted text(59).txt</x:v>
      </x:c>
    </x:row>
    <x:row r="7164">
      <x:c r="A7164" t="n">
        <x:v>3134</x:v>
      </x:c>
      <x:c r="B7164" s="58" t="str">
        <x:v>FINAL | point 1 | DAC 11.75 | CTRL X 1.21458 | X 1.20973 | Y 0.43168 | Z 0.39632 | TOTAL 1.34439 | error 1.21 % | MAD 2.39 % | CV 1.77 % | coh 90.4 % | dominant X | axis fraction 100.0 % | IN TARGET BAND</x:v>
      </x:c>
      <x:c r="C7164" t="str">
        <x:v>Pasted text(59).txt</x:v>
      </x:c>
    </x:row>
    <x:row r="7165">
      <x:c r="A7165" t="n">
        <x:v>3135</x:v>
      </x:c>
      <x:c r="B7165" s="58" t="str">
        <x:v>FINAL | point 2 | DAC 11.75 | CTRL X 1.20388 | X 1.19404 | Y 0.44451 | Z 0.42239 | TOTAL 1.34248 | error 0.32 % | MAD 1.35 % | CV 1.70 % | coh 89.3 % | dominant X | axis fraction 100.0 % | IN TARGET BAND</x:v>
      </x:c>
      <x:c r="C7165" t="str">
        <x:v>Pasted text(59).txt</x:v>
      </x:c>
    </x:row>
    <x:row r="7166">
      <x:c r="A7166" t="n">
        <x:v>3136</x:v>
      </x:c>
      <x:c r="B7166" s="58" t="str">
        <x:v>VALIDATION ACCEPTED | pair drift 0.88 %</x:v>
      </x:c>
      <x:c r="C7166" t="str">
        <x:v>Pasted text(59).txt</x:v>
      </x:c>
    </x:row>
    <x:row r="7167">
      <x:c r="A7167" t="n">
        <x:v>3137</x:v>
      </x:c>
      <x:c r="B7167" s="58" t="str"/>
      <x:c r="C7167" t="str">
        <x:v>Pasted text(59).txt</x:v>
      </x:c>
    </x:row>
    <x:row r="7168">
      <x:c r="A7168" t="n">
        <x:v>3138</x:v>
      </x:c>
      <x:c r="B7168" s="58" t="str">
        <x:v>FINAL VALIDATED BLIND FFT VERIFICATION</x:v>
      </x:c>
      <x:c r="C7168" t="str">
        <x:v>Pasted text(59).txt</x:v>
      </x:c>
    </x:row>
    <x:row r="7169">
      <x:c r="A7169" t="n">
        <x:v>3139</x:v>
      </x:c>
      <x:c r="B7169" s="58" t="str">
        <x:v>Commanded frequency: 268.00000 Hz</x:v>
      </x:c>
      <x:c r="C7169" t="str">
        <x:v>Pasted text(59).txt</x:v>
      </x:c>
    </x:row>
    <x:row r="7170">
      <x:c r="A7170" t="n">
        <x:v>3140</x:v>
      </x:c>
      <x:c r="B7170" s="58" t="str">
        <x:v>Accepted DAC: 11.75</x:v>
      </x:c>
      <x:c r="C7170" t="str">
        <x:v>Pasted text(59).txt</x:v>
      </x:c>
    </x:row>
    <x:row r="7171">
      <x:c r="A7171" t="n">
        <x:v>3141</x:v>
      </x:c>
      <x:c r="B7171" s="58" t="str">
        <x:v>Axis,Frequency_Hz,Amplitude_mps2,SNR_dB,Status</x:v>
      </x:c>
      <x:c r="C7171" t="str">
        <x:v>Pasted text(59).txt</x:v>
      </x:c>
    </x:row>
    <x:row r="7172">
      <x:c r="A7172" t="n">
        <x:v>3142</x:v>
      </x:c>
      <x:c r="B7172" s="58" t="str">
        <x:v>X,268.02672,1.09702,31.53,VALID</x:v>
      </x:c>
      <x:c r="C7172" t="str">
        <x:v>Pasted text(59).txt</x:v>
      </x:c>
    </x:row>
    <x:row r="7173">
      <x:c r="A7173" t="n">
        <x:v>3143</x:v>
      </x:c>
      <x:c r="B7173" s="58" t="str">
        <x:v>Y,268.02504,0.39266,24.05,VALID</x:v>
      </x:c>
      <x:c r="C7173" t="str">
        <x:v>Pasted text(59).txt</x:v>
      </x:c>
    </x:row>
    <x:row r="7174">
      <x:c r="A7174" t="n">
        <x:v>3144</x:v>
      </x:c>
      <x:c r="B7174" s="58" t="str">
        <x:v>Z,268.02374,0.38092,26.02,VALID</x:v>
      </x:c>
      <x:c r="C7174" t="str">
        <x:v>Pasted text(59).txt</x:v>
      </x:c>
    </x:row>
    <x:row r="7175">
      <x:c r="A7175" t="n">
        <x:v>3145</x:v>
      </x:c>
      <x:c r="B7175" s="58" t="str">
        <x:v>Combined frequency: 268.02627 Hz | difference 0.02627 Hz</x:v>
      </x:c>
      <x:c r="C7175" t="str">
        <x:v>Pasted text(59).txt</x:v>
      </x:c>
    </x:row>
    <x:row r="7176">
      <x:c r="A7176" t="n">
        <x:v>3146</x:v>
      </x:c>
      <x:c r="B7176" s="58" t="str">
        <x:v>Combined X/Y/Z/TOTAL: 1.00209 / 0.35905 / 0.34762 / 1.11979</x:v>
      </x:c>
      <x:c r="C7176" t="str">
        <x:v>Pasted text(59).txt</x:v>
      </x:c>
    </x:row>
    <x:row r="7177">
      <x:c r="A7177" t="n">
        <x:v>3147</x:v>
      </x:c>
      <x:c r="B7177" s="58" t="str">
        <x:v>SNR: 29.18 dB | dominant axis X</x:v>
      </x:c>
      <x:c r="C7177" t="str">
        <x:v>Pasted text(59).txt</x:v>
      </x:c>
    </x:row>
    <x:row r="7178">
      <x:c r="A7178" t="n">
        <x:v>3148</x:v>
      </x:c>
      <x:c r="B7178" s="58" t="str">
        <x:v>Frequency verification: PASS</x:v>
      </x:c>
      <x:c r="C7178" t="str">
        <x:v>Pasted text(59).txt</x:v>
      </x:c>
    </x:row>
    <x:row r="7179">
      <x:c r="A7179" t="n">
        <x:v>3149</x:v>
      </x:c>
      <x:c r="B7179" s="58" t="str">
        <x:v>Y/Z dominance: DIAGNOSTIC ONLY — ignored for pass/fail</x:v>
      </x:c>
      <x:c r="C7179" t="str">
        <x:v>Pasted text(59).txt</x:v>
      </x:c>
    </x:row>
    <x:row r="7180">
      <x:c r="A7180" t="n">
        <x:v>3150</x:v>
      </x:c>
      <x:c r="B7180" s="58" t="str"/>
      <x:c r="C7180" t="str">
        <x:v>Pasted text(59).txt</x:v>
      </x:c>
    </x:row>
    <x:row r="7181">
      <x:c r="A7181" t="n">
        <x:v>3151</x:v>
      </x:c>
      <x:c r="B7181" s="58" t="str">
        <x:v>FIXED-DAC HOLD VALIDATION</x:v>
      </x:c>
      <x:c r="C7181" t="str">
        <x:v>Pasted text(59).txt</x:v>
      </x:c>
    </x:row>
    <x:row r="7182">
      <x:c r="A7182" t="n">
        <x:v>3152</x:v>
      </x:c>
      <x:c r="B7182" s="58" t="str">
        <x:v>DAC remains fixed at 11.75 for 10 records.</x:v>
      </x:c>
      <x:c r="C7182" t="str">
        <x:v>Pasted text(59).txt</x:v>
      </x:c>
    </x:row>
    <x:row r="7183">
      <x:c r="A7183" t="n">
        <x:v>3153</x:v>
      </x:c>
      <x:c r="B7183" s="58" t="str">
        <x:v>HOLD | point 1 | DAC 11.75 | CTRL X 1.18747 | X 1.19604 | Y 0.42175 | Z 0.42016 | TOTAL 1.33606 | error -1.04 % | MAD 2.20 % | CV 2.62 % | coh 90.1 % | dominant X | axis fraction 100.0 % | IN TARGET BAND</x:v>
      </x:c>
      <x:c r="C7183" t="str">
        <x:v>Pasted text(59).txt</x:v>
      </x:c>
    </x:row>
    <x:row r="7184">
      <x:c r="A7184" t="n">
        <x:v>3154</x:v>
      </x:c>
      <x:c r="B7184" s="58" t="str">
        <x:v>HOLD | point 2 | DAC 11.75 | CTRL X 1.17937 | X 1.18471 | Y 0.45221 | Z 0.44460 | TOTAL 1.34382 | error -1.72 % | MAD 0.59 % | CV 1.14 % | coh 88.4 % | dominant X | axis fraction 100.0 % | IN TARGET BAND</x:v>
      </x:c>
      <x:c r="C7184" t="str">
        <x:v>Pasted text(59).txt</x:v>
      </x:c>
    </x:row>
    <x:row r="7185">
      <x:c r="A7185" t="n">
        <x:v>3155</x:v>
      </x:c>
      <x:c r="B7185" s="58" t="str">
        <x:v>HOLD | point 3 | DAC 11.75 | CTRL X 1.18140 | X 1.18484 | Y 0.45537 | Z 0.42957 | TOTAL 1.34025 | error -1.55 % | MAD 1.55 % | CV 1.50 % | coh 89.3 % | dominant X | axis fraction 100.0 % | IN TARGET BAND</x:v>
      </x:c>
      <x:c r="C7185" t="str">
        <x:v>Pasted text(59).txt</x:v>
      </x:c>
    </x:row>
    <x:row r="7186">
      <x:c r="A7186" t="n">
        <x:v>3156</x:v>
      </x:c>
      <x:c r="B7186" s="58" t="str">
        <x:v>HOLD | point 4 | DAC 11.75 | CTRL X 1.19393 | X 1.19242 | Y 0.41701 | Z 0.42995 | TOTAL 1.33450 | error -0.51 % | MAD 0.99 % | CV 0.87 % | coh 89.9 % | dominant X | axis fraction 100.0 % | IN TARGET BAND</x:v>
      </x:c>
      <x:c r="C7186" t="str">
        <x:v>Pasted text(59).txt</x:v>
      </x:c>
    </x:row>
    <x:row r="7187">
      <x:c r="A7187" t="n">
        <x:v>3157</x:v>
      </x:c>
      <x:c r="B7187" s="58" t="str">
        <x:v>HOLD | point 5 | DAC 11.75 | CTRL X 1.22339 | X 1.22328 | Y 0.45358 | Z 0.44412 | TOTAL 1.37840 | error 1.95 % | MAD 0.18 % | CV 0.13 % | coh 89.5 % | dominant X | axis fraction 100.0 % | IN TARGET BAND</x:v>
      </x:c>
      <x:c r="C7187" t="str">
        <x:v>Pasted text(59).txt</x:v>
      </x:c>
    </x:row>
    <x:row r="7188">
      <x:c r="A7188" t="n">
        <x:v>3158</x:v>
      </x:c>
      <x:c r="B7188" s="58" t="str">
        <x:v>HOLD | point 6 | DAC 11.75 | CTRL X 1.20638 | X 1.20726 | Y 0.44030 | Z 0.41015 | TOTAL 1.34934 | error 0.53 % | MAD 3.48 % | CV 2.46 % | coh 89.8 % | dominant X | axis fraction 100.0 % | IN TARGET BAND</x:v>
      </x:c>
      <x:c r="C7188" t="str">
        <x:v>Pasted text(59).txt</x:v>
      </x:c>
    </x:row>
    <x:row r="7189">
      <x:c r="A7189" t="n">
        <x:v>3159</x:v>
      </x:c>
      <x:c r="B7189" s="58" t="str">
        <x:v>HOLD | point 7 | DAC 11.75 | CTRL X 1.22309 | X 1.20038 | Y 0.44250 | Z 0.41685 | TOTAL 1.34560 | error 1.92 % | MAD 1.58 % | CV 4.25 % | coh 89.3 % | dominant X | axis fraction 100.0 % | IN TARGET BAND</x:v>
      </x:c>
      <x:c r="C7189" t="str">
        <x:v>Pasted text(59).txt</x:v>
      </x:c>
    </x:row>
    <x:row r="7190">
      <x:c r="A7190" t="n">
        <x:v>3160</x:v>
      </x:c>
      <x:c r="B7190" s="58" t="str">
        <x:v>HOLD | point 8 | DAC 11.75 | CTRL X 1.20349 | X 1.21284 | Y 0.47575 | Z 0.44844 | TOTAL 1.37811 | error 0.29 % | MAD 0.43 % | CV 1.59 % | coh 88.7 % | dominant X | axis fraction 100.0 % | IN TARGET BAND</x:v>
      </x:c>
      <x:c r="C7190" t="str">
        <x:v>Pasted text(59).txt</x:v>
      </x:c>
    </x:row>
    <x:row r="7191">
      <x:c r="A7191" t="n">
        <x:v>3161</x:v>
      </x:c>
      <x:c r="B7191" s="58" t="str">
        <x:v>HOLD | point 9 | DAC 11.75 | CTRL X 1.20560 | X 1.20848 | Y 0.45856 | Z 0.43190 | TOTAL 1.36292 | error 0.47 % | MAD 3.25 % | CV 2.55 % | coh 89.3 % | dominant X | axis fraction 100.0 % | IN TARGET BAND</x:v>
      </x:c>
      <x:c r="C7191" t="str">
        <x:v>Pasted text(59).txt</x:v>
      </x:c>
    </x:row>
    <x:row r="7192">
      <x:c r="A7192" t="n">
        <x:v>3162</x:v>
      </x:c>
      <x:c r="B7192" s="58" t="str">
        <x:v>HOLD | point 10 | DAC 11.75 | CTRL X 1.19010 | X 1.20168 | Y 0.43133 | Z 0.41679 | TOTAL 1.34338 | error -0.82 % | MAD 1.63 % | CV 2.67 % | coh 89.9 % | dominant X | axis fraction 100.0 % | IN TARGET BAND</x:v>
      </x:c>
      <x:c r="C7192" t="str">
        <x:v>Pasted text(59).txt</x:v>
      </x:c>
    </x:row>
    <x:row r="7193">
      <x:c r="A7193" t="n">
        <x:v>3163</x:v>
      </x:c>
      <x:c r="B7193" s="58" t="str"/>
      <x:c r="C7193" t="str">
        <x:v>Pasted text(59).txt</x:v>
      </x:c>
    </x:row>
    <x:row r="7194">
      <x:c r="A7194" t="n">
        <x:v>3164</x:v>
      </x:c>
      <x:c r="B7194" s="58" t="str">
        <x:v>HOLD SUMMARY</x:v>
      </x:c>
      <x:c r="C7194" t="str">
        <x:v>Pasted text(59).txt</x:v>
      </x:c>
    </x:row>
    <x:row r="7195">
      <x:c r="A7195" t="n">
        <x:v>3165</x:v>
      </x:c>
      <x:c r="B7195" s="58" t="str">
        <x:v>Valid / requested: 10 / 10</x:v>
      </x:c>
      <x:c r="C7195" t="str">
        <x:v>Pasted text(59).txt</x:v>
      </x:c>
    </x:row>
    <x:row r="7196">
      <x:c r="A7196" t="n">
        <x:v>3166</x:v>
      </x:c>
      <x:c r="B7196" s="58" t="str">
        <x:v>In band / requested: 10 / 10 = 100.0 %</x:v>
      </x:c>
      <x:c r="C7196" t="str">
        <x:v>Pasted text(59).txt</x:v>
      </x:c>
    </x:row>
    <x:row r="7197">
      <x:c r="A7197" t="n">
        <x:v>3167</x:v>
      </x:c>
      <x:c r="B7197" s="58" t="str">
        <x:v>Mean / SD / CV: 1.19942 / 0.01572 / 1.31 %</x:v>
      </x:c>
      <x:c r="C7197" t="str">
        <x:v>Pasted text(59).txt</x:v>
      </x:c>
    </x:row>
    <x:row r="7198">
      <x:c r="A7198" t="n">
        <x:v>3168</x:v>
      </x:c>
      <x:c r="B7198" s="58" t="str">
        <x:v>Min / Max: 1.17937 / 1.22339</x:v>
      </x:c>
      <x:c r="C7198" t="str">
        <x:v>Pasted text(59).txt</x:v>
      </x:c>
    </x:row>
    <x:row r="7199">
      <x:c r="A7199" t="n">
        <x:v>3169</x:v>
      </x:c>
      <x:c r="B7199" s="58" t="str">
        <x:v>HOLD RESULT: PASS</x:v>
      </x:c>
      <x:c r="C7199" t="str">
        <x:v>Pasted text(59).txt</x:v>
      </x:c>
    </x:row>
    <x:row r="7200">
      <x:c r="A7200" t="n">
        <x:v>3170</x:v>
      </x:c>
      <x:c r="B7200" s="58" t="str"/>
      <x:c r="C7200" t="str">
        <x:v>Pasted text(59).txt</x:v>
      </x:c>
    </x:row>
    <x:row r="7201">
      <x:c r="A7201" t="n">
        <x:v>3171</x:v>
      </x:c>
      <x:c r="B7201" s="58" t="str">
        <x:v>RUN RESULT: PASS</x:v>
      </x:c>
      <x:c r="C7201" t="str">
        <x:v>Pasted text(59).txt</x:v>
      </x:c>
    </x:row>
    <x:row r="7202">
      <x:c r="A7202" t="n">
        <x:v>3172</x:v>
      </x:c>
      <x:c r="B7202" s="58" t="str">
        <x:v>Selected DAC: 11.75</x:v>
      </x:c>
      <x:c r="C7202" t="str">
        <x:v>Pasted text(59).txt</x:v>
      </x:c>
    </x:row>
    <x:row r="7203">
      <x:c r="A7203" t="n">
        <x:v>3173</x:v>
      </x:c>
      <x:c r="B7203" s="58" t="str">
        <x:v>Validated amplitude: 1.20923 m/s^2 | error 0.77 %</x:v>
      </x:c>
      <x:c r="C7203" t="str">
        <x:v>Pasted text(59).txt</x:v>
      </x:c>
    </x:row>
    <x:row r="7204">
      <x:c r="A7204" t="n">
        <x:v>3174</x:v>
      </x:c>
      <x:c r="B7204" s="58" t="str">
        <x:v>FFT frequency: 268.02627 Hz | difference 0.02627 Hz</x:v>
      </x:c>
      <x:c r="C7204" t="str">
        <x:v>Pasted text(59).txt</x:v>
      </x:c>
    </x:row>
    <x:row r="7205">
      <x:c r="A7205" t="n">
        <x:v>3175</x:v>
      </x:c>
      <x:c r="B7205" s="58" t="str"/>
      <x:c r="C7205" t="str">
        <x:v>Pasted text(59).txt</x:v>
      </x:c>
    </x:row>
    <x:row r="7206">
      <x:c r="A7206" t="n">
        <x:v>3176</x:v>
      </x:c>
      <x:c r="B7206" s="58" t="str">
        <x:v>VISATON OFF. RESTING 5.0 s BEFORE THE NEXT COMPLETELY FRESH RUN.</x:v>
      </x:c>
      <x:c r="C7206" t="str">
        <x:v>Pasted text(59).txt</x:v>
      </x:c>
    </x:row>
    <x:row r="7207">
      <x:c r="A7207" t="n">
        <x:v>3177</x:v>
      </x:c>
      <x:c r="B7207" s="58" t="str"/>
      <x:c r="C7207" t="str">
        <x:v>Pasted text(59).txt</x:v>
      </x:c>
    </x:row>
    <x:row r="7208">
      <x:c r="A7208" t="n">
        <x:v>3178</x:v>
      </x:c>
      <x:c r="B7208" s="58" t="str">
        <x:v>################################################################################</x:v>
      </x:c>
      <x:c r="C7208" t="str">
        <x:v>Pasted text(59).txt</x:v>
      </x:c>
    </x:row>
    <x:row r="7209">
      <x:c r="A7209" t="n">
        <x:v>3179</x:v>
      </x:c>
      <x:c r="B7209" s="58" t="str">
        <x:v>INDEPENDENT TARGET-AMPLITUDE RUN 4 OF 5</x:v>
      </x:c>
      <x:c r="C7209" t="str">
        <x:v>Pasted text(59).txt</x:v>
      </x:c>
    </x:row>
    <x:row r="7210">
      <x:c r="A7210" t="n">
        <x:v>3180</x:v>
      </x:c>
      <x:c r="B7210" s="58" t="str">
        <x:v>################################################################################</x:v>
      </x:c>
      <x:c r="C7210" t="str">
        <x:v>Pasted text(59).txt</x:v>
      </x:c>
    </x:row>
    <x:row r="7211">
      <x:c r="A7211" t="n">
        <x:v>3181</x:v>
      </x:c>
      <x:c r="B7211" s="58" t="str">
        <x:v>Frequency: 268.00000 Hz</x:v>
      </x:c>
      <x:c r="C7211" t="str">
        <x:v>Pasted text(59).txt</x:v>
      </x:c>
    </x:row>
    <x:row r="7212">
      <x:c r="A7212" t="n">
        <x:v>3182</x:v>
      </x:c>
      <x:c r="B7212" s="58" t="str">
        <x:v>Target X amplitude: 1.20000 m/s^2 peak, tolerance +/-7.50 %</x:v>
      </x:c>
      <x:c r="C7212" t="str">
        <x:v>Pasted text(59).txt</x:v>
      </x:c>
    </x:row>
    <x:row r="7213">
      <x:c r="A7213" t="n">
        <x:v>3183</x:v>
      </x:c>
      <x:c r="B7213" s="58" t="str">
        <x:v>This run starts from DAC 1.00 and ignores every earlier selected DAC.</x:v>
      </x:c>
      <x:c r="C7213" t="str">
        <x:v>Pasted text(59).txt</x:v>
      </x:c>
    </x:row>
    <x:row r="7214">
      <x:c r="A7214" t="n">
        <x:v>3184</x:v>
      </x:c>
      <x:c r="B7214" s="58" t="str">
        <x:v>ADXL2 DEVID/DATA_FORMAT/BW_RATE/POWER_CTL: 0xE5 / 0xB / 0xE / 0x8</x:v>
      </x:c>
      <x:c r="C7214" t="str">
        <x:v>Pasted text(59).txt</x:v>
      </x:c>
    </x:row>
    <x:row r="7215">
      <x:c r="A7215" t="n">
        <x:v>3185</x:v>
      </x:c>
      <x:c r="B7215" s="58" t="str"/>
      <x:c r="C7215" t="str">
        <x:v>Pasted text(59).txt</x:v>
      </x:c>
    </x:row>
    <x:row r="7216">
      <x:c r="A7216" t="n">
        <x:v>3186</x:v>
      </x:c>
      <x:c r="B7216" s="58" t="str">
        <x:v>ACQUISITION ATTEMPT 1 OF 2</x:v>
      </x:c>
      <x:c r="C7216" t="str">
        <x:v>Pasted text(59).txt</x:v>
      </x:c>
    </x:row>
    <x:row r="7217">
      <x:c r="A7217" t="n">
        <x:v>3187</x:v>
      </x:c>
      <x:c r="B7217" s="58" t="str"/>
      <x:c r="C7217" t="str">
        <x:v>Pasted text(59).txt</x:v>
      </x:c>
    </x:row>
    <x:row r="7218">
      <x:c r="A7218" t="n">
        <x:v>3188</x:v>
      </x:c>
      <x:c r="B7218" s="58" t="str">
        <x:v>FRESH X-AXIS SEARCH FROM DAC 1.00 — OLD DAC VALUES ARE NOT USED</x:v>
      </x:c>
      <x:c r="C7218" t="str">
        <x:v>Pasted text(59).txt</x:v>
      </x:c>
    </x:row>
    <x:row r="7219">
      <x:c r="A7219" t="n">
        <x:v>3189</x:v>
      </x:c>
      <x:c r="B7219" s="58" t="str">
        <x:v>Y/Z are diagnostic only and cannot abort this search.</x:v>
      </x:c>
      <x:c r="C7219" t="str">
        <x:v>Pasted text(59).txt</x:v>
      </x:c>
    </x:row>
    <x:row r="7220">
      <x:c r="A7220" t="n">
        <x:v>3190</x:v>
      </x:c>
      <x:c r="B7220" s="58" t="str">
        <x:v>A real SPI fault, clipping, safety limit or confirmed X-response collapse will stop it.</x:v>
      </x:c>
      <x:c r="C7220" t="str">
        <x:v>Pasted text(59).txt</x:v>
      </x:c>
    </x:row>
    <x:row r="7221">
      <x:c r="A7221" t="n">
        <x:v>3191</x:v>
      </x:c>
      <x:c r="B7221" s="58" t="str">
        <x:v>SEARCH | point 1 | DAC 1.00 | CTRL X 0.02416 | X 0.02636 | Y 0.02524 | Z 0.02217 | TOTAL 0.04400 | error -97.99 % | MAD 26.92 % | CV 11.77 % | coh 8.0 % | dominant X | axis fraction 100.0 % | BELOW MEASUREMENT FLOOR — SEARCH CONTINUES</x:v>
      </x:c>
      <x:c r="C7221" t="str">
        <x:v>Pasted text(59).txt</x:v>
      </x:c>
    </x:row>
    <x:row r="7222">
      <x:c r="A7222" t="n">
        <x:v>3192</x:v>
      </x:c>
      <x:c r="B7222" s="58" t="str">
        <x:v>SEARCH | point 2 | DAC 3.00 | CTRL X 0.21193 | X 0.21413 | Y 0.06677 | Z 0.08061 | TOTAL 0.23868 | error -82.34 % | MAD 3.08 % | CV 1.45 % | coh 46.4 % | dominant X | axis fraction 100.0 % | UNSTABLE — SEARCH CONTINUES</x:v>
      </x:c>
      <x:c r="C7222" t="str">
        <x:v>Pasted text(59).txt</x:v>
      </x:c>
    </x:row>
    <x:row r="7223">
      <x:c r="A7223" t="n">
        <x:v>3193</x:v>
      </x:c>
      <x:c r="B7223" s="58" t="str">
        <x:v>SEARCH | point 3 | DAC 5.00 | CTRL X 0.40628 | X 0.40284 | Y 0.15584 | Z 0.16152 | TOTAL 0.46182 | error -66.14 % | MAD 5.90 % | CV 5.35 % | coh 67.7 % | dominant X | axis fraction 100.0 % | VALID</x:v>
      </x:c>
      <x:c r="C7223" t="str">
        <x:v>Pasted text(59).txt</x:v>
      </x:c>
    </x:row>
    <x:row r="7224">
      <x:c r="A7224" t="n">
        <x:v>3194</x:v>
      </x:c>
      <x:c r="B7224" s="58" t="str">
        <x:v>SEARCH | point 4 | DAC 6.00 | CTRL X 0.53249 | X 0.52660 | Y 0.18099 | Z 0.19857 | TOTAL 0.59183 | error -55.63 % | MAD 0.69 % | CV 2.36 % | coh 77.3 % | dominant X | axis fraction 100.0 % | VALID</x:v>
      </x:c>
      <x:c r="C7224" t="str">
        <x:v>Pasted text(59).txt</x:v>
      </x:c>
    </x:row>
    <x:row r="7225">
      <x:c r="A7225" t="n">
        <x:v>3195</x:v>
      </x:c>
      <x:c r="B7225" s="58" t="str">
        <x:v>SEARCH | point 5 | DAC 7.00 | CTRL X 0.62116 | X 0.63177 | Y 0.25000 | Z 0.26184 | TOTAL 0.72824 | error -48.24 % | MAD 0.45 % | CV 3.17 % | coh 80.9 % | dominant X | axis fraction 100.0 % | VALID</x:v>
      </x:c>
      <x:c r="C7225" t="str">
        <x:v>Pasted text(59).txt</x:v>
      </x:c>
    </x:row>
    <x:row r="7226">
      <x:c r="A7226" t="n">
        <x:v>3196</x:v>
      </x:c>
      <x:c r="B7226" s="58" t="str">
        <x:v>SEARCH | point 6 | DAC 8.00 | CTRL X 0.73599 | X 0.73702 | Y 0.30391 | Z 0.29059 | TOTAL 0.84928 | error -38.67 % | MAD 0.48 % | CV 0.54 % | coh 83.5 % | dominant X | axis fraction 100.0 % | VALID</x:v>
      </x:c>
      <x:c r="C7226" t="str">
        <x:v>Pasted text(59).txt</x:v>
      </x:c>
    </x:row>
    <x:row r="7227">
      <x:c r="A7227" t="n">
        <x:v>3197</x:v>
      </x:c>
      <x:c r="B7227" s="58" t="str">
        <x:v>SEARCH | point 7 | DAC 8.50 | CTRL X 0.78656 | X 0.78393 | Y 0.30556 | Z 0.31064 | TOTAL 0.89702 | error -34.45 % | MAD 1.24 % | CV 1.37 % | coh 85.7 % | dominant X | axis fraction 100.0 % | VALID</x:v>
      </x:c>
      <x:c r="C7227" t="str">
        <x:v>Pasted text(59).txt</x:v>
      </x:c>
    </x:row>
    <x:row r="7228">
      <x:c r="A7228" t="n">
        <x:v>3198</x:v>
      </x:c>
      <x:c r="B7228" s="58" t="str">
        <x:v>SEARCH | point 8 | DAC 9.00 | CTRL X 0.83938 | X 0.84485 | Y 0.31767 | Z 0.34184 | TOTAL 0.96558 | error -30.05 % | MAD 1.99 % | CV 2.37 % | coh 85.4 % | dominant X | axis fraction 100.0 % | VALID</x:v>
      </x:c>
      <x:c r="C7228" t="str">
        <x:v>Pasted text(59).txt</x:v>
      </x:c>
    </x:row>
    <x:row r="7229">
      <x:c r="A7229" t="n">
        <x:v>3199</x:v>
      </x:c>
      <x:c r="B7229" s="58" t="str">
        <x:v>SEARCH | point 9 | DAC 9.50 | CTRL X 0.87946 | X 0.89122 | Y 0.31950 | Z 0.32629 | TOTAL 1.00191 | error -26.71 % | MAD 1.33 % | CV 3.09 % | coh 88.5 % | dominant X | axis fraction 100.0 % | VALID</x:v>
      </x:c>
      <x:c r="C7229" t="str">
        <x:v>Pasted text(59).txt</x:v>
      </x:c>
    </x:row>
    <x:row r="7230">
      <x:c r="A7230" t="n">
        <x:v>3200</x:v>
      </x:c>
      <x:c r="B7230" s="58" t="str">
        <x:v>SEARCH | point 10 | DAC 10.00 | CTRL X 0.98305 | X 0.99085 | Y 0.36715 | Z 0.34517 | TOTAL 1.11201 | error -18.08 % | MAD 2.30 % | CV 2.81 % | coh 88.2 % | dominant X | axis fraction 100.0 % | VALID</x:v>
      </x:c>
      <x:c r="C7230" t="str">
        <x:v>Pasted text(59).txt</x:v>
      </x:c>
    </x:row>
    <x:row r="7231">
      <x:c r="A7231" t="n">
        <x:v>3201</x:v>
      </x:c>
      <x:c r="B7231" s="58" t="str">
        <x:v>SEARCH | point 11 | DAC 10.50 | CTRL X 1.03090 | X 1.03456 | Y 0.36548 | Z 0.38772 | TOTAL 1.16396 | error -14.09 % | MAD 0.10 % | CV 0.67 % | coh 89.6 % | dominant X | axis fraction 100.0 % | VALID</x:v>
      </x:c>
      <x:c r="C7231" t="str">
        <x:v>Pasted text(59).txt</x:v>
      </x:c>
    </x:row>
    <x:row r="7232">
      <x:c r="A7232" t="n">
        <x:v>3202</x:v>
      </x:c>
      <x:c r="B7232" s="58" t="str">
        <x:v>SEARCH | point 12 | DAC 10.75 | CTRL X 1.08681 | X 1.08506 | Y 0.39670 | Z 0.39016 | TOTAL 1.21951 | error -9.43 % | MAD 0.83 % | CV 0.82 % | coh 89.4 % | dominant X | axis fraction 100.0 % | VALID</x:v>
      </x:c>
      <x:c r="C7232" t="str">
        <x:v>Pasted text(59).txt</x:v>
      </x:c>
    </x:row>
    <x:row r="7233">
      <x:c r="A7233" t="n">
        <x:v>3203</x:v>
      </x:c>
      <x:c r="B7233" s="58" t="str">
        <x:v>SEARCH | point 13 | DAC 11.00 | CTRL X 1.09247 | X 1.09266 | Y 0.39236 | Z 0.41321 | TOTAL 1.23253 | error -8.96 % | MAD 0.88 % | CV 0.62 % | coh 88.9 % | dominant X | axis fraction 100.0 % | VALID</x:v>
      </x:c>
      <x:c r="C7233" t="str">
        <x:v>Pasted text(59).txt</x:v>
      </x:c>
    </x:row>
    <x:row r="7234">
      <x:c r="A7234" t="n">
        <x:v>3204</x:v>
      </x:c>
      <x:c r="B7234" s="58" t="str">
        <x:v>SEARCH | point 14 | DAC 11.25 | CTRL X 1.11347 | X 1.11910 | Y 0.42336 | Z 0.40062 | TOTAL 1.26203 | error -7.21 % | MAD 0.68 % | CV 1.29 % | coh 89.9 % | dominant X | axis fraction 100.0 % | IN TARGET BAND</x:v>
      </x:c>
      <x:c r="C7234" t="str">
        <x:v>Pasted text(59).txt</x:v>
      </x:c>
    </x:row>
    <x:row r="7235">
      <x:c r="A7235" t="n">
        <x:v>3205</x:v>
      </x:c>
      <x:c r="B7235" s="58" t="str"/>
      <x:c r="C7235" t="str">
        <x:v>Pasted text(59).txt</x:v>
      </x:c>
    </x:row>
    <x:row r="7236">
      <x:c r="A7236" t="n">
        <x:v>3206</x:v>
      </x:c>
      <x:c r="B7236" s="58" t="str">
        <x:v>LOCAL 0.25-DAC X-AXIS FINE SCAN</x:v>
      </x:c>
      <x:c r="C7236" t="str">
        <x:v>Pasted text(59).txt</x:v>
      </x:c>
    </x:row>
    <x:row r="7237">
      <x:c r="A7237" t="n">
        <x:v>3207</x:v>
      </x:c>
      <x:c r="B7237" s="58" t="str">
        <x:v>Only a valid point actually inside the X target band may be selected.</x:v>
      </x:c>
      <x:c r="C7237" t="str">
        <x:v>Pasted text(59).txt</x:v>
      </x:c>
    </x:row>
    <x:row r="7238">
      <x:c r="A7238" t="n">
        <x:v>3208</x:v>
      </x:c>
      <x:c r="B7238" s="58" t="str">
        <x:v>FINE | point 1 | DAC 10.25 | CTRL X 0.99461 | X 0.99887 | Y 0.38422 | Z 0.36616 | TOTAL 1.13129 | error -17.12 % | MAD 0.44 % | CV 1.00 % | coh 88.6 % | dominant X | axis fraction 100.0 % | VALID</x:v>
      </x:c>
      <x:c r="C7238" t="str">
        <x:v>Pasted text(59).txt</x:v>
      </x:c>
    </x:row>
    <x:row r="7239">
      <x:c r="A7239" t="n">
        <x:v>3209</x:v>
      </x:c>
      <x:c r="B7239" s="58" t="str">
        <x:v>FINE | point 2 | DAC 10.50 | CTRL X 1.02267 | X 1.02858 | Y 0.37486 | Z 0.37089 | TOTAL 1.15602 | error -14.78 % | MAD 0.91 % | CV 1.55 % | coh 90.7 % | dominant X | axis fraction 100.0 % | VALID</x:v>
      </x:c>
      <x:c r="C7239" t="str">
        <x:v>Pasted text(59).txt</x:v>
      </x:c>
    </x:row>
    <x:row r="7240">
      <x:c r="A7240" t="n">
        <x:v>3210</x:v>
      </x:c>
      <x:c r="B7240" s="58" t="str">
        <x:v>FINE | point 3 | DAC 10.75 | CTRL X 1.07815 | X 1.07470 | Y 0.38446 | Z 0.41690 | TOTAL 1.21519 | error -10.15 % | MAD 1.36 % | CV 1.43 % | coh 89.4 % | dominant X | axis fraction 100.0 % | VALID</x:v>
      </x:c>
      <x:c r="C7240" t="str">
        <x:v>Pasted text(59).txt</x:v>
      </x:c>
    </x:row>
    <x:row r="7241">
      <x:c r="A7241" t="n">
        <x:v>3211</x:v>
      </x:c>
      <x:c r="B7241" s="58" t="str">
        <x:v>FINE | point 4 | DAC 11.00 | CTRL X 1.10072 | X 1.10636 | Y 0.38983 | Z 0.39032 | TOTAL 1.23630 | error -8.27 % | MAD 0.81 % | CV 1.38 % | coh 89.8 % | dominant X | axis fraction 100.0 % | VALID</x:v>
      </x:c>
      <x:c r="C7241" t="str">
        <x:v>Pasted text(59).txt</x:v>
      </x:c>
    </x:row>
    <x:row r="7242">
      <x:c r="A7242" t="n">
        <x:v>3212</x:v>
      </x:c>
      <x:c r="B7242" s="58" t="str">
        <x:v>FINE | point 5 | DAC 11.25 | CTRL X 1.12109 | X 1.12585 | Y 0.41087 | Z 0.40088 | TOTAL 1.26399 | error -6.58 % | MAD 1.37 % | CV 1.60 % | coh 90.4 % | dominant X | axis fraction 100.0 % | IN TARGET BAND</x:v>
      </x:c>
      <x:c r="C7242" t="str">
        <x:v>Pasted text(59).txt</x:v>
      </x:c>
    </x:row>
    <x:row r="7243">
      <x:c r="A7243" t="n">
        <x:v>3213</x:v>
      </x:c>
      <x:c r="B7243" s="58" t="str">
        <x:v>FINE | point 6 | DAC 11.50 | CTRL X 1.14594 | X 1.14059 | Y 0.41748 | Z 0.42427 | TOTAL 1.28659 | error -4.50 % | MAD 0.30 % | CV 1.00 % | coh 90.8 % | dominant X | axis fraction 100.0 % | IN TARGET BAND</x:v>
      </x:c>
      <x:c r="C7243" t="str">
        <x:v>Pasted text(59).txt</x:v>
      </x:c>
    </x:row>
    <x:row r="7244">
      <x:c r="A7244" t="n">
        <x:v>3214</x:v>
      </x:c>
      <x:c r="B7244" s="58" t="str">
        <x:v>FINE | point 7 | DAC 11.75 | CTRL X 1.17182 | X 1.17884 | Y 0.42957 | Z 0.42823 | TOTAL 1.32614 | error -2.35 % | MAD 0.24 % | CV 1.17 % | coh 90.1 % | dominant X | axis fraction 100.0 % | IN TARGET BAND</x:v>
      </x:c>
      <x:c r="C7244" t="str">
        <x:v>Pasted text(59).txt</x:v>
      </x:c>
    </x:row>
    <x:row r="7245">
      <x:c r="A7245" t="n">
        <x:v>3215</x:v>
      </x:c>
      <x:c r="B7245" s="58" t="str">
        <x:v>FINE | point 8 | DAC 12.00 | CTRL X 1.23679 | X 1.23266 | Y 0.44596 | Z 0.43453 | TOTAL 1.38135 | error 3.07 % | MAD 0.74 % | CV 1.04 % | coh 92.1 % | dominant X | axis fraction 100.0 % | IN TARGET BAND</x:v>
      </x:c>
      <x:c r="C7245" t="str">
        <x:v>Pasted text(59).txt</x:v>
      </x:c>
    </x:row>
    <x:row r="7246">
      <x:c r="A7246" t="n">
        <x:v>3216</x:v>
      </x:c>
      <x:c r="B7246" s="58" t="str">
        <x:v>FINE | point 9 | DAC 12.25 | CTRL X 1.24974 | X 1.24513 | Y 0.44154 | Z 0.47045 | TOTAL 1.40261 | error 4.14 % | MAD 0.54 % | CV 0.97 % | coh 91.7 % | dominant X | axis fraction 100.0 % | IN TARGET BAND</x:v>
      </x:c>
      <x:c r="C7246" t="str">
        <x:v>Pasted text(59).txt</x:v>
      </x:c>
    </x:row>
    <x:row r="7247">
      <x:c r="A7247" t="n">
        <x:v>3217</x:v>
      </x:c>
      <x:c r="B7247" s="58" t="str"/>
      <x:c r="C7247" t="str">
        <x:v>Pasted text(59).txt</x:v>
      </x:c>
    </x:row>
    <x:row r="7248">
      <x:c r="A7248" t="n">
        <x:v>3218</x:v>
      </x:c>
      <x:c r="B7248" s="58" t="str">
        <x:v>LONG VALIDATION AT FIXED DAC 11.75</x:v>
      </x:c>
      <x:c r="C7248" t="str">
        <x:v>Pasted text(59).txt</x:v>
      </x:c>
    </x:row>
    <x:row r="7249">
      <x:c r="A7249" t="n">
        <x:v>3219</x:v>
      </x:c>
      <x:c r="B7249" s="58" t="str">
        <x:v>FINAL | point 1 | DAC 11.75 | CTRL X 1.18733 | X 1.19850 | Y 0.43671 | Z 0.44202 | TOTAL 1.35033 | error -1.06 % | MAD 0.16 % | CV 1.33 % | coh 90.1 % | dominant X | axis fraction 100.0 % | IN TARGET BAND</x:v>
      </x:c>
      <x:c r="C7249" t="str">
        <x:v>Pasted text(59).txt</x:v>
      </x:c>
    </x:row>
    <x:row r="7250">
      <x:c r="A7250" t="n">
        <x:v>3220</x:v>
      </x:c>
      <x:c r="B7250" s="58" t="str">
        <x:v>FINAL | point 2 | DAC 11.75 | CTRL X 1.19467 | X 1.19891 | Y 0.44389 | Z 0.43652 | TOTAL 1.35126 | error -0.44 % | MAD 2.51 % | CV 1.84 % | coh 90.4 % | dominant X | axis fraction 100.0 % | IN TARGET BAND</x:v>
      </x:c>
      <x:c r="C7250" t="str">
        <x:v>Pasted text(59).txt</x:v>
      </x:c>
    </x:row>
    <x:row r="7251">
      <x:c r="A7251" t="n">
        <x:v>3221</x:v>
      </x:c>
      <x:c r="B7251" s="58" t="str">
        <x:v>VALIDATION ACCEPTED | pair drift 0.62 %</x:v>
      </x:c>
      <x:c r="C7251" t="str">
        <x:v>Pasted text(59).txt</x:v>
      </x:c>
    </x:row>
    <x:row r="7252">
      <x:c r="A7252" t="n">
        <x:v>3222</x:v>
      </x:c>
      <x:c r="B7252" s="58" t="str"/>
      <x:c r="C7252" t="str">
        <x:v>Pasted text(59).txt</x:v>
      </x:c>
    </x:row>
    <x:row r="7253">
      <x:c r="A7253" t="n">
        <x:v>3223</x:v>
      </x:c>
      <x:c r="B7253" s="58" t="str">
        <x:v>FINAL VALIDATED BLIND FFT VERIFICATION</x:v>
      </x:c>
      <x:c r="C7253" t="str">
        <x:v>Pasted text(59).txt</x:v>
      </x:c>
    </x:row>
    <x:row r="7254">
      <x:c r="A7254" t="n">
        <x:v>3224</x:v>
      </x:c>
      <x:c r="B7254" s="58" t="str">
        <x:v>Commanded frequency: 268.00000 Hz</x:v>
      </x:c>
      <x:c r="C7254" t="str">
        <x:v>Pasted text(59).txt</x:v>
      </x:c>
    </x:row>
    <x:row r="7255">
      <x:c r="A7255" t="n">
        <x:v>3225</x:v>
      </x:c>
      <x:c r="B7255" s="58" t="str">
        <x:v>Accepted DAC: 11.75</x:v>
      </x:c>
      <x:c r="C7255" t="str">
        <x:v>Pasted text(59).txt</x:v>
      </x:c>
    </x:row>
    <x:row r="7256">
      <x:c r="A7256" t="n">
        <x:v>3226</x:v>
      </x:c>
      <x:c r="B7256" s="58" t="str">
        <x:v>Axis,Frequency_Hz,Amplitude_mps2,SNR_dB,Status</x:v>
      </x:c>
      <x:c r="C7256" t="str">
        <x:v>Pasted text(59).txt</x:v>
      </x:c>
    </x:row>
    <x:row r="7257">
      <x:c r="A7257" t="n">
        <x:v>3227</x:v>
      </x:c>
      <x:c r="B7257" s="58" t="str">
        <x:v>X,268.01908,1.08576,31.67,VALID</x:v>
      </x:c>
      <x:c r="C7257" t="str">
        <x:v>Pasted text(59).txt</x:v>
      </x:c>
    </x:row>
    <x:row r="7258">
      <x:c r="A7258" t="n">
        <x:v>3228</x:v>
      </x:c>
      <x:c r="B7258" s="58" t="str">
        <x:v>Y,268.00850,0.39652,24.55,VALID</x:v>
      </x:c>
      <x:c r="C7258" t="str">
        <x:v>Pasted text(59).txt</x:v>
      </x:c>
    </x:row>
    <x:row r="7259">
      <x:c r="A7259" t="n">
        <x:v>3229</x:v>
      </x:c>
      <x:c r="B7259" s="58" t="str">
        <x:v>Z,268.05639,0.39386,26.24,VALID</x:v>
      </x:c>
      <x:c r="C7259" t="str">
        <x:v>Pasted text(59).txt</x:v>
      </x:c>
    </x:row>
    <x:row r="7260">
      <x:c r="A7260" t="n">
        <x:v>3230</x:v>
      </x:c>
      <x:c r="B7260" s="58" t="str">
        <x:v>Combined frequency: 268.02186 Hz | difference 0.02186 Hz</x:v>
      </x:c>
      <x:c r="C7260" t="str">
        <x:v>Pasted text(59).txt</x:v>
      </x:c>
    </x:row>
    <x:row r="7261">
      <x:c r="A7261" t="n">
        <x:v>3231</x:v>
      </x:c>
      <x:c r="B7261" s="58" t="str">
        <x:v>Combined X/Y/Z/TOTAL: 0.99047 / 0.36073 / 0.36278 / 1.11480</x:v>
      </x:c>
      <x:c r="C7261" t="str">
        <x:v>Pasted text(59).txt</x:v>
      </x:c>
    </x:row>
    <x:row r="7262">
      <x:c r="A7262" t="n">
        <x:v>3232</x:v>
      </x:c>
      <x:c r="B7262" s="58" t="str">
        <x:v>SNR: 29.37 dB | dominant axis X</x:v>
      </x:c>
      <x:c r="C7262" t="str">
        <x:v>Pasted text(59).txt</x:v>
      </x:c>
    </x:row>
    <x:row r="7263">
      <x:c r="A7263" t="n">
        <x:v>3233</x:v>
      </x:c>
      <x:c r="B7263" s="58" t="str">
        <x:v>Frequency verification: PASS</x:v>
      </x:c>
      <x:c r="C7263" t="str">
        <x:v>Pasted text(59).txt</x:v>
      </x:c>
    </x:row>
    <x:row r="7264">
      <x:c r="A7264" t="n">
        <x:v>3234</x:v>
      </x:c>
      <x:c r="B7264" s="58" t="str">
        <x:v>Y/Z dominance: DIAGNOSTIC ONLY — ignored for pass/fail</x:v>
      </x:c>
      <x:c r="C7264" t="str">
        <x:v>Pasted text(59).txt</x:v>
      </x:c>
    </x:row>
    <x:row r="7265">
      <x:c r="A7265" t="n">
        <x:v>3235</x:v>
      </x:c>
      <x:c r="B7265" s="58" t="str"/>
      <x:c r="C7265" t="str">
        <x:v>Pasted text(59).txt</x:v>
      </x:c>
    </x:row>
    <x:row r="7266">
      <x:c r="A7266" t="n">
        <x:v>3236</x:v>
      </x:c>
      <x:c r="B7266" s="58" t="str">
        <x:v>FIXED-DAC HOLD VALIDATION</x:v>
      </x:c>
      <x:c r="C7266" t="str">
        <x:v>Pasted text(59).txt</x:v>
      </x:c>
    </x:row>
    <x:row r="7267">
      <x:c r="A7267" t="n">
        <x:v>3237</x:v>
      </x:c>
      <x:c r="B7267" s="58" t="str">
        <x:v>DAC remains fixed at 11.75 for 10 records.</x:v>
      </x:c>
      <x:c r="C7267" t="str">
        <x:v>Pasted text(59).txt</x:v>
      </x:c>
    </x:row>
    <x:row r="7268">
      <x:c r="A7268" t="n">
        <x:v>3238</x:v>
      </x:c>
      <x:c r="B7268" s="58" t="str">
        <x:v>HOLD | point 1 | DAC 11.75 | CTRL X 1.18060 | X 1.16795 | Y 0.44495 | Z 0.41877 | TOTAL 1.31828 | error -1.62 % | MAD 1.29 % | CV 2.68 % | coh 89.2 % | dominant X | axis fraction 100.0 % | IN TARGET BAND</x:v>
      </x:c>
      <x:c r="C7268" t="str">
        <x:v>Pasted text(59).txt</x:v>
      </x:c>
    </x:row>
    <x:row r="7269">
      <x:c r="A7269" t="n">
        <x:v>3239</x:v>
      </x:c>
      <x:c r="B7269" s="58" t="str">
        <x:v>HOLD | point 2 | DAC 11.75 | CTRL X 1.18792 | X 1.18680 | Y 0.44336 | Z 0.44731 | TOTAL 1.34393 | error -1.01 % | MAD 0.79 % | CV 0.68 % | coh 89.7 % | dominant X | axis fraction 100.0 % | IN TARGET BAND</x:v>
      </x:c>
      <x:c r="C7269" t="str">
        <x:v>Pasted text(59).txt</x:v>
      </x:c>
    </x:row>
    <x:row r="7270">
      <x:c r="A7270" t="n">
        <x:v>3240</x:v>
      </x:c>
      <x:c r="B7270" s="58" t="str">
        <x:v>HOLD | point 3 | DAC 11.75 | CTRL X 1.21043 | X 1.20620 | Y 0.45304 | Z 0.42024 | TOTAL 1.35551 | error 0.87 % | MAD 1.21 % | CV 1.38 % | coh 89.9 % | dominant X | axis fraction 100.0 % | IN TARGET BAND</x:v>
      </x:c>
      <x:c r="C7270" t="str">
        <x:v>Pasted text(59).txt</x:v>
      </x:c>
    </x:row>
    <x:row r="7271">
      <x:c r="A7271" t="n">
        <x:v>3241</x:v>
      </x:c>
      <x:c r="B7271" s="58" t="str">
        <x:v>HOLD | point 4 | DAC 11.75 | CTRL X 1.18465 | X 1.18973 | Y 0.43880 | Z 0.42762 | TOTAL 1.33854 | error -1.28 % | MAD 1.59 % | CV 1.74 % | coh 90.2 % | dominant X | axis fraction 100.0 % | IN TARGET BAND</x:v>
      </x:c>
      <x:c r="C7271" t="str">
        <x:v>Pasted text(59).txt</x:v>
      </x:c>
    </x:row>
    <x:row r="7272">
      <x:c r="A7272" t="n">
        <x:v>3242</x:v>
      </x:c>
      <x:c r="B7272" s="58" t="str">
        <x:v>HOLD | point 5 | DAC 11.75 | CTRL X 1.17177 | X 1.17496 | Y 0.42123 | Z 0.42694 | TOTAL 1.31924 | error -2.35 % | MAD 0.66 % | CV 0.88 % | coh 90.3 % | dominant X | axis fraction 100.0 % | IN TARGET BAND</x:v>
      </x:c>
      <x:c r="C7272" t="str">
        <x:v>Pasted text(59).txt</x:v>
      </x:c>
    </x:row>
    <x:row r="7273">
      <x:c r="A7273" t="n">
        <x:v>3243</x:v>
      </x:c>
      <x:c r="B7273" s="58" t="str">
        <x:v>HOLD | point 6 | DAC 11.75 | CTRL X 1.15966 | X 1.15785 | Y 0.44191 | Z 0.43046 | TOTAL 1.31248 | error -3.36 % | MAD 1.87 % | CV 1.51 % | coh 88.5 % | dominant X | axis fraction 100.0 % | IN TARGET BAND</x:v>
      </x:c>
      <x:c r="C7273" t="str">
        <x:v>Pasted text(59).txt</x:v>
      </x:c>
    </x:row>
    <x:row r="7274">
      <x:c r="A7274" t="n">
        <x:v>3244</x:v>
      </x:c>
      <x:c r="B7274" s="58" t="str">
        <x:v>HOLD | point 7 | DAC 11.75 | CTRL X 1.20580 | X 1.20788 | Y 0.41896 | Z 0.41840 | TOTAL 1.34526 | error 0.48 % | MAD 0.67 % | CV 0.72 % | coh 90.2 % | dominant X | axis fraction 100.0 % | IN TARGET BAND</x:v>
      </x:c>
      <x:c r="C7274" t="str">
        <x:v>Pasted text(59).txt</x:v>
      </x:c>
    </x:row>
    <x:row r="7275">
      <x:c r="A7275" t="n">
        <x:v>3245</x:v>
      </x:c>
      <x:c r="B7275" s="58" t="str">
        <x:v>HOLD | point 8 | DAC 11.75 | CTRL X 1.17874 | X 1.18176 | Y 0.45217 | Z 0.44501 | TOTAL 1.34147 | error -1.77 % | MAD 1.38 % | CV 1.33 % | coh 88.8 % | dominant X | axis fraction 100.0 % | IN TARGET BAND</x:v>
      </x:c>
      <x:c r="C7275" t="str">
        <x:v>Pasted text(59).txt</x:v>
      </x:c>
    </x:row>
    <x:row r="7276">
      <x:c r="A7276" t="n">
        <x:v>3246</x:v>
      </x:c>
      <x:c r="B7276" s="58" t="str">
        <x:v>HOLD | point 9 | DAC 11.75 | CTRL X 1.20058 | X 1.20086 | Y 0.44285 | Z 0.42315 | TOTAL 1.34890 | error 0.05 % | MAD 1.96 % | CV 1.36 % | coh 89.0 % | dominant X | axis fraction 100.0 % | IN TARGET BAND</x:v>
      </x:c>
      <x:c r="C7276" t="str">
        <x:v>Pasted text(59).txt</x:v>
      </x:c>
    </x:row>
    <x:row r="7277">
      <x:c r="A7277" t="n">
        <x:v>3247</x:v>
      </x:c>
      <x:c r="B7277" s="58" t="str">
        <x:v>HOLD | point 10 | DAC 11.75 | CTRL X 1.18744 | X 1.18990 | Y 0.42431 | Z 0.45610 | TOTAL 1.34324 | error -1.05 % | MAD 1.95 % | CV 1.64 % | coh 89.3 % | dominant X | axis fraction 100.0 % | IN TARGET BAND</x:v>
      </x:c>
      <x:c r="C7277" t="str">
        <x:v>Pasted text(59).txt</x:v>
      </x:c>
    </x:row>
    <x:row r="7278">
      <x:c r="A7278" t="n">
        <x:v>3248</x:v>
      </x:c>
      <x:c r="B7278" s="58" t="str"/>
      <x:c r="C7278" t="str">
        <x:v>Pasted text(59).txt</x:v>
      </x:c>
    </x:row>
    <x:row r="7279">
      <x:c r="A7279" t="n">
        <x:v>3249</x:v>
      </x:c>
      <x:c r="B7279" s="58" t="str">
        <x:v>HOLD SUMMARY</x:v>
      </x:c>
      <x:c r="C7279" t="str">
        <x:v>Pasted text(59).txt</x:v>
      </x:c>
    </x:row>
    <x:row r="7280">
      <x:c r="A7280" t="n">
        <x:v>3250</x:v>
      </x:c>
      <x:c r="B7280" s="58" t="str">
        <x:v>Valid / requested: 10 / 10</x:v>
      </x:c>
      <x:c r="C7280" t="str">
        <x:v>Pasted text(59).txt</x:v>
      </x:c>
    </x:row>
    <x:row r="7281">
      <x:c r="A7281" t="n">
        <x:v>3251</x:v>
      </x:c>
      <x:c r="B7281" s="58" t="str">
        <x:v>In band / requested: 10 / 10 = 100.0 %</x:v>
      </x:c>
      <x:c r="C7281" t="str">
        <x:v>Pasted text(59).txt</x:v>
      </x:c>
    </x:row>
    <x:row r="7282">
      <x:c r="A7282" t="n">
        <x:v>3252</x:v>
      </x:c>
      <x:c r="B7282" s="58" t="str">
        <x:v>Mean / SD / CV: 1.18676 / 0.01557 / 1.31 %</x:v>
      </x:c>
      <x:c r="C7282" t="str">
        <x:v>Pasted text(59).txt</x:v>
      </x:c>
    </x:row>
    <x:row r="7283">
      <x:c r="A7283" t="n">
        <x:v>3253</x:v>
      </x:c>
      <x:c r="B7283" s="58" t="str">
        <x:v>Min / Max: 1.15966 / 1.21043</x:v>
      </x:c>
      <x:c r="C7283" t="str">
        <x:v>Pasted text(59).txt</x:v>
      </x:c>
    </x:row>
    <x:row r="7284">
      <x:c r="A7284" t="n">
        <x:v>3254</x:v>
      </x:c>
      <x:c r="B7284" s="58" t="str">
        <x:v>HOLD RESULT: PASS</x:v>
      </x:c>
      <x:c r="C7284" t="str">
        <x:v>Pasted text(59).txt</x:v>
      </x:c>
    </x:row>
    <x:row r="7285">
      <x:c r="A7285" t="n">
        <x:v>3255</x:v>
      </x:c>
      <x:c r="B7285" s="58" t="str"/>
      <x:c r="C7285" t="str">
        <x:v>Pasted text(59).txt</x:v>
      </x:c>
    </x:row>
    <x:row r="7286">
      <x:c r="A7286" t="n">
        <x:v>3256</x:v>
      </x:c>
      <x:c r="B7286" s="58" t="str">
        <x:v>RUN RESULT: PASS</x:v>
      </x:c>
      <x:c r="C7286" t="str">
        <x:v>Pasted text(59).txt</x:v>
      </x:c>
    </x:row>
    <x:row r="7287">
      <x:c r="A7287" t="n">
        <x:v>3257</x:v>
      </x:c>
      <x:c r="B7287" s="58" t="str">
        <x:v>Selected DAC: 11.75</x:v>
      </x:c>
      <x:c r="C7287" t="str">
        <x:v>Pasted text(59).txt</x:v>
      </x:c>
    </x:row>
    <x:row r="7288">
      <x:c r="A7288" t="n">
        <x:v>3258</x:v>
      </x:c>
      <x:c r="B7288" s="58" t="str">
        <x:v>Validated amplitude: 1.19100 m/s^2 | error -0.75 %</x:v>
      </x:c>
      <x:c r="C7288" t="str">
        <x:v>Pasted text(59).txt</x:v>
      </x:c>
    </x:row>
    <x:row r="7289">
      <x:c r="A7289" t="n">
        <x:v>3259</x:v>
      </x:c>
      <x:c r="B7289" s="58" t="str">
        <x:v>FFT frequency: 268.02186 Hz | difference 0.02186 Hz</x:v>
      </x:c>
      <x:c r="C7289" t="str">
        <x:v>Pasted text(59).txt</x:v>
      </x:c>
    </x:row>
    <x:row r="7290">
      <x:c r="A7290" t="n">
        <x:v>3260</x:v>
      </x:c>
      <x:c r="B7290" s="58" t="str"/>
      <x:c r="C7290" t="str">
        <x:v>Pasted text(59).txt</x:v>
      </x:c>
    </x:row>
    <x:row r="7291">
      <x:c r="A7291" t="n">
        <x:v>3261</x:v>
      </x:c>
      <x:c r="B7291" s="58" t="str">
        <x:v>VISATON OFF. RESTING 5.0 s BEFORE THE NEXT COMPLETELY FRESH RUN.</x:v>
      </x:c>
      <x:c r="C7291" t="str">
        <x:v>Pasted text(59).txt</x:v>
      </x:c>
    </x:row>
    <x:row r="7292">
      <x:c r="A7292" t="n">
        <x:v>3262</x:v>
      </x:c>
      <x:c r="B7292" s="58" t="str"/>
      <x:c r="C7292" t="str">
        <x:v>Pasted text(59).txt</x:v>
      </x:c>
    </x:row>
    <x:row r="7293">
      <x:c r="A7293" t="n">
        <x:v>3263</x:v>
      </x:c>
      <x:c r="B7293" s="58" t="str">
        <x:v>################################################################################</x:v>
      </x:c>
      <x:c r="C7293" t="str">
        <x:v>Pasted text(59).txt</x:v>
      </x:c>
    </x:row>
    <x:row r="7294">
      <x:c r="A7294" t="n">
        <x:v>3264</x:v>
      </x:c>
      <x:c r="B7294" s="58" t="str">
        <x:v>INDEPENDENT TARGET-AMPLITUDE RUN 5 OF 5</x:v>
      </x:c>
      <x:c r="C7294" t="str">
        <x:v>Pasted text(59).txt</x:v>
      </x:c>
    </x:row>
    <x:row r="7295">
      <x:c r="A7295" t="n">
        <x:v>3265</x:v>
      </x:c>
      <x:c r="B7295" s="58" t="str">
        <x:v>################################################################################</x:v>
      </x:c>
      <x:c r="C7295" t="str">
        <x:v>Pasted text(59).txt</x:v>
      </x:c>
    </x:row>
    <x:row r="7296">
      <x:c r="A7296" t="n">
        <x:v>3266</x:v>
      </x:c>
      <x:c r="B7296" s="58" t="str">
        <x:v>Frequency: 268.00000 Hz</x:v>
      </x:c>
      <x:c r="C7296" t="str">
        <x:v>Pasted text(59).txt</x:v>
      </x:c>
    </x:row>
    <x:row r="7297">
      <x:c r="A7297" t="n">
        <x:v>3267</x:v>
      </x:c>
      <x:c r="B7297" s="58" t="str">
        <x:v>Target X amplitude: 1.20000 m/s^2 peak, tolerance +/-7.50 %</x:v>
      </x:c>
      <x:c r="C7297" t="str">
        <x:v>Pasted text(59).txt</x:v>
      </x:c>
    </x:row>
    <x:row r="7298">
      <x:c r="A7298" t="n">
        <x:v>3268</x:v>
      </x:c>
      <x:c r="B7298" s="58" t="str">
        <x:v>This run starts from DAC 1.00 and ignores every earlier selected DAC.</x:v>
      </x:c>
      <x:c r="C7298" t="str">
        <x:v>Pasted text(59).txt</x:v>
      </x:c>
    </x:row>
    <x:row r="7299">
      <x:c r="A7299" t="n">
        <x:v>3269</x:v>
      </x:c>
      <x:c r="B7299" s="58" t="str">
        <x:v>ADXL2 DEVID/DATA_FORMAT/BW_RATE/POWER_CTL: 0xE5 / 0xB / 0xE / 0x8</x:v>
      </x:c>
      <x:c r="C7299" t="str">
        <x:v>Pasted text(59).txt</x:v>
      </x:c>
    </x:row>
    <x:row r="7300">
      <x:c r="A7300" t="n">
        <x:v>3270</x:v>
      </x:c>
      <x:c r="B7300" s="58" t="str"/>
      <x:c r="C7300" t="str">
        <x:v>Pasted text(59).txt</x:v>
      </x:c>
    </x:row>
    <x:row r="7301">
      <x:c r="A7301" t="n">
        <x:v>3271</x:v>
      </x:c>
      <x:c r="B7301" s="58" t="str">
        <x:v>ACQUISITION ATTEMPT 1 OF 2</x:v>
      </x:c>
      <x:c r="C7301" t="str">
        <x:v>Pasted text(59).txt</x:v>
      </x:c>
    </x:row>
    <x:row r="7302">
      <x:c r="A7302" t="n">
        <x:v>3272</x:v>
      </x:c>
      <x:c r="B7302" s="58" t="str"/>
      <x:c r="C7302" t="str">
        <x:v>Pasted text(59).txt</x:v>
      </x:c>
    </x:row>
    <x:row r="7303">
      <x:c r="A7303" t="n">
        <x:v>3273</x:v>
      </x:c>
      <x:c r="B7303" s="58" t="str">
        <x:v>FRESH X-AXIS SEARCH FROM DAC 1.00 — OLD DAC VALUES ARE NOT USED</x:v>
      </x:c>
      <x:c r="C7303" t="str">
        <x:v>Pasted text(59).txt</x:v>
      </x:c>
    </x:row>
    <x:row r="7304">
      <x:c r="A7304" t="n">
        <x:v>3274</x:v>
      </x:c>
      <x:c r="B7304" s="58" t="str">
        <x:v>Y/Z are diagnostic only and cannot abort this search.</x:v>
      </x:c>
      <x:c r="C7304" t="str">
        <x:v>Pasted text(59).txt</x:v>
      </x:c>
    </x:row>
    <x:row r="7305">
      <x:c r="A7305" t="n">
        <x:v>3275</x:v>
      </x:c>
      <x:c r="B7305" s="58" t="str">
        <x:v>A real SPI fault, clipping, safety limit or confirmed X-response collapse will stop it.</x:v>
      </x:c>
      <x:c r="C7305" t="str">
        <x:v>Pasted text(59).txt</x:v>
      </x:c>
    </x:row>
    <x:row r="7306">
      <x:c r="A7306" t="n">
        <x:v>3276</x:v>
      </x:c>
      <x:c r="B7306" s="58" t="str">
        <x:v>SEARCH | point 1 | DAC 1.00 | CTRL X 0.02361 | X 0.02319 | Y 0.01756 | Z 0.02224 | TOTAL 0.03735 | error -98.03 % | MAD 0.08 % | CV 3.14 % | coh 7.7 % | dominant X | axis fraction 100.0 % | BELOW MEASUREMENT FLOOR — SEARCH CONTINUES</x:v>
      </x:c>
      <x:c r="C7306" t="str">
        <x:v>Pasted text(59).txt</x:v>
      </x:c>
    </x:row>
    <x:row r="7307">
      <x:c r="A7307" t="n">
        <x:v>3277</x:v>
      </x:c>
      <x:c r="B7307" s="58" t="str">
        <x:v>SEARCH | point 2 | DAC 3.00 | CTRL X 0.18832 | X 0.19469 | Y 0.04697 | Z 0.07485 | TOTAL 0.21421 | error -84.31 % | MAD 2.16 % | CV 6.93 % | coh 42.9 % | dominant X | axis fraction 100.0 % | UNSTABLE — SEARCH CONTINUES</x:v>
      </x:c>
      <x:c r="C7307" t="str">
        <x:v>Pasted text(59).txt</x:v>
      </x:c>
    </x:row>
    <x:row r="7308">
      <x:c r="A7308" t="n">
        <x:v>3278</x:v>
      </x:c>
      <x:c r="B7308" s="58" t="str">
        <x:v>SEARCH | point 3 | DAC 5.00 | CTRL X 0.40080 | X 0.40388 | Y 0.15207 | Z 0.15164 | TOTAL 0.45801 | error -66.60 % | MAD 8.52 % | CV 6.88 % | coh 66.9 % | dominant X | axis fraction 100.0 % | VALID</x:v>
      </x:c>
      <x:c r="C7308" t="str">
        <x:v>Pasted text(59).txt</x:v>
      </x:c>
    </x:row>
    <x:row r="7309">
      <x:c r="A7309" t="n">
        <x:v>3279</x:v>
      </x:c>
      <x:c r="B7309" s="58" t="str">
        <x:v>SEARCH | point 4 | DAC 6.00 | CTRL X 0.49702 | X 0.50456 | Y 0.18942 | Z 0.21613 | TOTAL 0.58140 | error -58.58 % | MAD 0.16 % | CV 2.68 % | coh 74.9 % | dominant X | axis fraction 100.0 % | VALID</x:v>
      </x:c>
      <x:c r="C7309" t="str">
        <x:v>Pasted text(59).txt</x:v>
      </x:c>
    </x:row>
    <x:row r="7310">
      <x:c r="A7310" t="n">
        <x:v>3280</x:v>
      </x:c>
      <x:c r="B7310" s="58" t="str">
        <x:v>SEARCH | point 5 | DAC 7.00 | CTRL X 0.62088 | X 0.63098 | Y 0.21209 | Z 0.24261 | TOTAL 0.70969 | error -48.26 % | MAD 0.44 % | CV 3.03 % | coh 83.9 % | dominant X | axis fraction 100.0 % | VALID</x:v>
      </x:c>
      <x:c r="C7310" t="str">
        <x:v>Pasted text(59).txt</x:v>
      </x:c>
    </x:row>
    <x:row r="7311">
      <x:c r="A7311" t="n">
        <x:v>3281</x:v>
      </x:c>
      <x:c r="B7311" s="58" t="str">
        <x:v>SEARCH | point 6 | DAC 8.00 | CTRL X 0.72554 | X 0.72251 | Y 0.26300 | Z 0.29003 | TOTAL 0.82210 | error -39.54 % | MAD 1.54 % | CV 1.71 % | coh 83.8 % | dominant X | axis fraction 100.0 % | VALID</x:v>
      </x:c>
      <x:c r="C7311" t="str">
        <x:v>Pasted text(59).txt</x:v>
      </x:c>
    </x:row>
    <x:row r="7312">
      <x:c r="A7312" t="n">
        <x:v>3282</x:v>
      </x:c>
      <x:c r="B7312" s="58" t="str">
        <x:v>SEARCH | point 7 | DAC 8.50 | CTRL X 0.78847 | X 0.77272 | Y 0.27522 | Z 0.31862 | TOTAL 0.88001 | error -34.29 % | MAD 0.42 % | CV 3.78 % | coh 86.2 % | dominant X | axis fraction 100.0 % | VALID</x:v>
      </x:c>
      <x:c r="C7312" t="str">
        <x:v>Pasted text(59).txt</x:v>
      </x:c>
    </x:row>
    <x:row r="7313">
      <x:c r="A7313" t="n">
        <x:v>3283</x:v>
      </x:c>
      <x:c r="B7313" s="58" t="str">
        <x:v>SEARCH | point 8 | DAC 9.00 | CTRL X 0.83192 | X 0.84496 | Y 0.30343 | Z 0.32033 | TOTAL 0.95395 | error -30.67 % | MAD 2.60 % | CV 4.25 % | coh 86.6 % | dominant X | axis fraction 100.0 % | VALID</x:v>
      </x:c>
      <x:c r="C7313" t="str">
        <x:v>Pasted text(59).txt</x:v>
      </x:c>
    </x:row>
    <x:row r="7314">
      <x:c r="A7314" t="n">
        <x:v>3284</x:v>
      </x:c>
      <x:c r="B7314" s="58" t="str">
        <x:v>SEARCH | point 9 | DAC 9.50 | CTRL X 0.86991 | X 0.86884 | Y 0.31364 | Z 0.33904 | TOTAL 0.98451 | error -27.51 % | MAD 0.67 % | CV 0.65 % | coh 86.8 % | dominant X | axis fraction 100.0 % | VALID</x:v>
      </x:c>
      <x:c r="C7314" t="str">
        <x:v>Pasted text(59).txt</x:v>
      </x:c>
    </x:row>
    <x:row r="7315">
      <x:c r="A7315" t="n">
        <x:v>3285</x:v>
      </x:c>
      <x:c r="B7315" s="58" t="str">
        <x:v>SEARCH | point 10 | DAC 10.00 | CTRL X 0.95854 | X 0.96245 | Y 0.35608 | Z 0.36032 | TOTAL 1.08768 | error -20.12 % | MAD 2.52 % | CV 2.33 % | coh 88.8 % | dominant X | axis fraction 100.0 % | VALID</x:v>
      </x:c>
      <x:c r="C7315" t="str">
        <x:v>Pasted text(59).txt</x:v>
      </x:c>
    </x:row>
    <x:row r="7316">
      <x:c r="A7316" t="n">
        <x:v>3286</x:v>
      </x:c>
      <x:c r="B7316" s="58" t="str">
        <x:v>SEARCH | point 11 | DAC 10.50 | CTRL X 1.00533 | X 0.99613 | Y 0.37876 | Z 0.38593 | TOTAL 1.13366 | error -16.22 % | MAD 1.94 % | CV 2.82 % | coh 89.3 % | dominant X | axis fraction 100.0 % | VALID</x:v>
      </x:c>
      <x:c r="C7316" t="str">
        <x:v>Pasted text(59).txt</x:v>
      </x:c>
    </x:row>
    <x:row r="7317">
      <x:c r="A7317" t="n">
        <x:v>3287</x:v>
      </x:c>
      <x:c r="B7317" s="58" t="str">
        <x:v>SEARCH | point 12 | DAC 11.00 | CTRL X 1.06812 | X 1.06003 | Y 0.38012 | Z 0.40473 | TOTAL 1.19682 | error -10.99 % | MAD 0.20 % | CV 1.44 % | coh 88.9 % | dominant X | axis fraction 100.0 % | VALID</x:v>
      </x:c>
      <x:c r="C7317" t="str">
        <x:v>Pasted text(59).txt</x:v>
      </x:c>
    </x:row>
    <x:row r="7318">
      <x:c r="A7318" t="n">
        <x:v>3288</x:v>
      </x:c>
      <x:c r="B7318" s="58" t="str">
        <x:v>SEARCH | point 13 | DAC 11.25 | CTRL X 1.11092 | X 1.11851 | Y 0.41730 | Z 0.39259 | TOTAL 1.25690 | error -7.42 % | MAD 2.97 % | CV 3.06 % | coh 91.1 % | dominant X | axis fraction 100.0 % | IN TARGET BAND</x:v>
      </x:c>
      <x:c r="C7318" t="str">
        <x:v>Pasted text(59).txt</x:v>
      </x:c>
    </x:row>
    <x:row r="7319">
      <x:c r="A7319" t="n">
        <x:v>3289</x:v>
      </x:c>
      <x:c r="B7319" s="58" t="str"/>
      <x:c r="C7319" t="str">
        <x:v>Pasted text(59).txt</x:v>
      </x:c>
    </x:row>
    <x:row r="7320">
      <x:c r="A7320" t="n">
        <x:v>3290</x:v>
      </x:c>
      <x:c r="B7320" s="58" t="str">
        <x:v>LOCAL 0.25-DAC X-AXIS FINE SCAN</x:v>
      </x:c>
      <x:c r="C7320" t="str">
        <x:v>Pasted text(59).txt</x:v>
      </x:c>
    </x:row>
    <x:row r="7321">
      <x:c r="A7321" t="n">
        <x:v>3291</x:v>
      </x:c>
      <x:c r="B7321" s="58" t="str">
        <x:v>Only a valid point actually inside the X target band may be selected.</x:v>
      </x:c>
      <x:c r="C7321" t="str">
        <x:v>Pasted text(59).txt</x:v>
      </x:c>
    </x:row>
    <x:row r="7322">
      <x:c r="A7322" t="n">
        <x:v>3292</x:v>
      </x:c>
      <x:c r="B7322" s="58" t="str">
        <x:v>FINE | point 1 | DAC 10.25 | CTRL X 1.01156 | X 0.99504 | Y 0.36239 | Z 0.36156 | TOTAL 1.11929 | error -15.70 % | MAD 1.60 % | CV 3.87 % | coh 88.2 % | dominant X | axis fraction 100.0 % | VALID</x:v>
      </x:c>
      <x:c r="C7322" t="str">
        <x:v>Pasted text(59).txt</x:v>
      </x:c>
    </x:row>
    <x:row r="7323">
      <x:c r="A7323" t="n">
        <x:v>3293</x:v>
      </x:c>
      <x:c r="B7323" s="58" t="str">
        <x:v>FINE | point 2 | DAC 10.50 | CTRL X 1.01146 | X 0.99697 | Y 0.36274 | Z 0.36357 | TOTAL 1.12161 | error -15.71 % | MAD 0.27 % | CV 2.68 % | coh 89.3 % | dominant X | axis fraction 100.0 % | VALID</x:v>
      </x:c>
      <x:c r="C7323" t="str">
        <x:v>Pasted text(59).txt</x:v>
      </x:c>
    </x:row>
    <x:row r="7324">
      <x:c r="A7324" t="n">
        <x:v>3294</x:v>
      </x:c>
      <x:c r="B7324" s="58" t="str">
        <x:v>FINE | point 3 | DAC 10.75 | CTRL X 1.05026 | X 1.06194 | Y 0.39705 | Z 0.40415 | TOTAL 1.20394 | error -12.48 % | MAD 0.58 % | CV 2.25 % | coh 87.7 % | dominant X | axis fraction 100.0 % | VALID</x:v>
      </x:c>
      <x:c r="C7324" t="str">
        <x:v>Pasted text(59).txt</x:v>
      </x:c>
    </x:row>
    <x:row r="7325">
      <x:c r="A7325" t="n">
        <x:v>3295</x:v>
      </x:c>
      <x:c r="B7325" s="58" t="str">
        <x:v>FINE | point 4 | DAC 11.00 | CTRL X 1.01115 | X 1.02261 | Y 0.35985 | Z 0.40459 | TOTAL 1.15727 | error -15.74 % | MAD 2.10 % | CV 3.23 % | coh 88.0 % | dominant X | axis fraction 100.0 % | VALID</x:v>
      </x:c>
      <x:c r="C7325" t="str">
        <x:v>Pasted text(59).txt</x:v>
      </x:c>
    </x:row>
    <x:row r="7326">
      <x:c r="A7326" t="n">
        <x:v>3296</x:v>
      </x:c>
      <x:c r="B7326" s="58" t="str">
        <x:v>FINE | point 5 | DAC 11.25 | CTRL X 0.99646 | X 1.01229 | Y 0.36316 | Z 0.39702 | TOTAL 1.14689 | error -16.96 % | MAD 1.79 % | CV 3.78 % | coh 88.1 % | dominant X | axis fraction 100.0 % | VALID</x:v>
      </x:c>
      <x:c r="C7326" t="str">
        <x:v>Pasted text(59).txt</x:v>
      </x:c>
    </x:row>
    <x:row r="7327">
      <x:c r="A7327" t="n">
        <x:v>3297</x:v>
      </x:c>
      <x:c r="B7327" s="58" t="str">
        <x:v>FINE | point 6 | DAC 11.50 | CTRL X 1.07986 | X 1.07319 | Y 0.35429 | Z 0.43951 | TOTAL 1.21287 | error -10.01 % | MAD 1.49 % | CV 2.01 % | coh 90.6 % | dominant X | axis fraction 100.0 % | VALID</x:v>
      </x:c>
      <x:c r="C7327" t="str">
        <x:v>Pasted text(59).txt</x:v>
      </x:c>
    </x:row>
    <x:row r="7328">
      <x:c r="A7328" t="n">
        <x:v>3298</x:v>
      </x:c>
      <x:c r="B7328" s="58" t="str">
        <x:v>FINE | point 7 | DAC 11.75 | CTRL X 1.13005 | X 1.13002 | Y 0.38238 | Z 0.45294 | TOTAL 1.27611 | error -5.83 % | MAD 0.05 % | CV 0.04 % | coh 89.8 % | dominant X | axis fraction 100.0 % | IN TARGET BAND</x:v>
      </x:c>
      <x:c r="C7328" t="str">
        <x:v>Pasted text(59).txt</x:v>
      </x:c>
    </x:row>
    <x:row r="7329">
      <x:c r="A7329" t="n">
        <x:v>3299</x:v>
      </x:c>
      <x:c r="B7329" s="58" t="str">
        <x:v>FINE | point 8 | DAC 12.00 | CTRL X 1.13800 | X 1.13204 | Y 0.39612 | Z 0.46287 | TOTAL 1.28568 | error -5.17 % | MAD 0.98 % | CV 1.52 % | coh 89.2 % | dominant X | axis fraction 100.0 % | IN TARGET BAND</x:v>
      </x:c>
      <x:c r="C7329" t="str">
        <x:v>Pasted text(59).txt</x:v>
      </x:c>
    </x:row>
    <x:row r="7330">
      <x:c r="A7330" t="n">
        <x:v>3300</x:v>
      </x:c>
      <x:c r="B7330" s="58" t="str">
        <x:v>FINE | point 9 | DAC 12.25 | CTRL X 1.17403 | X 1.17485 | Y 0.39881 | Z 0.44866 | TOTAL 1.31975 | error -2.16 % | MAD 0.41 % | CV 0.38 % | coh 90.6 % | dominant X | axis fraction 100.0 % | IN TARGET BAND</x:v>
      </x:c>
      <x:c r="C7330" t="str">
        <x:v>Pasted text(59).txt</x:v>
      </x:c>
    </x:row>
    <x:row r="7331">
      <x:c r="A7331" t="n">
        <x:v>3301</x:v>
      </x:c>
      <x:c r="B7331" s="58" t="str"/>
      <x:c r="C7331" t="str">
        <x:v>Pasted text(59).txt</x:v>
      </x:c>
    </x:row>
    <x:row r="7332">
      <x:c r="A7332" t="n">
        <x:v>3302</x:v>
      </x:c>
      <x:c r="B7332" s="58" t="str">
        <x:v>LONG VALIDATION AT FIXED DAC 12.25</x:v>
      </x:c>
      <x:c r="C7332" t="str">
        <x:v>Pasted text(59).txt</x:v>
      </x:c>
    </x:row>
    <x:row r="7333">
      <x:c r="A7333" t="n">
        <x:v>3303</x:v>
      </x:c>
      <x:c r="B7333" s="58" t="str">
        <x:v>FINAL | point 1 | DAC 12.25 | CTRL X 1.18671 | X 1.17549 | Y 0.41454 | Z 0.46770 | TOTAL 1.33147 | error -1.11 % | MAD 1.74 % | CV 2.28 % | coh 90.9 % | dominant X | axis fraction 100.0 % | IN TARGET BAND</x:v>
      </x:c>
      <x:c r="C7333" t="str">
        <x:v>Pasted text(59).txt</x:v>
      </x:c>
    </x:row>
    <x:row r="7334">
      <x:c r="A7334" t="n">
        <x:v>3304</x:v>
      </x:c>
      <x:c r="B7334" s="58" t="str">
        <x:v>FINAL | point 2 | DAC 12.25 | CTRL X 1.16279 | X 1.16716 | Y 0.41787 | Z 0.46826 | TOTAL 1.32543 | error -3.10 % | MAD 2.85 % | CV 1.96 % | coh 90.7 % | dominant X | axis fraction 100.0 % | IN TARGET BAND</x:v>
      </x:c>
      <x:c r="C7334" t="str">
        <x:v>Pasted text(59).txt</x:v>
      </x:c>
    </x:row>
    <x:row r="7335">
      <x:c r="A7335" t="n">
        <x:v>3305</x:v>
      </x:c>
      <x:c r="B7335" s="58" t="str">
        <x:v>VALIDATION ACCEPTED | pair drift 2.04 %</x:v>
      </x:c>
      <x:c r="C7335" t="str">
        <x:v>Pasted text(59).txt</x:v>
      </x:c>
    </x:row>
    <x:row r="7336">
      <x:c r="A7336" t="n">
        <x:v>3306</x:v>
      </x:c>
      <x:c r="B7336" s="58" t="str"/>
      <x:c r="C7336" t="str">
        <x:v>Pasted text(59).txt</x:v>
      </x:c>
    </x:row>
    <x:row r="7337">
      <x:c r="A7337" t="n">
        <x:v>3307</x:v>
      </x:c>
      <x:c r="B7337" s="58" t="str">
        <x:v>FINAL VALIDATED BLIND FFT VERIFICATION</x:v>
      </x:c>
      <x:c r="C7337" t="str">
        <x:v>Pasted text(59).txt</x:v>
      </x:c>
    </x:row>
    <x:row r="7338">
      <x:c r="A7338" t="n">
        <x:v>3308</x:v>
      </x:c>
      <x:c r="B7338" s="58" t="str">
        <x:v>Commanded frequency: 268.00000 Hz</x:v>
      </x:c>
      <x:c r="C7338" t="str">
        <x:v>Pasted text(59).txt</x:v>
      </x:c>
    </x:row>
    <x:row r="7339">
      <x:c r="A7339" t="n">
        <x:v>3309</x:v>
      </x:c>
      <x:c r="B7339" s="58" t="str">
        <x:v>Accepted DAC: 12.25</x:v>
      </x:c>
      <x:c r="C7339" t="str">
        <x:v>Pasted text(59).txt</x:v>
      </x:c>
    </x:row>
    <x:row r="7340">
      <x:c r="A7340" t="n">
        <x:v>3310</x:v>
      </x:c>
      <x:c r="B7340" s="58" t="str">
        <x:v>Axis,Frequency_Hz,Amplitude_mps2,SNR_dB,Status</x:v>
      </x:c>
      <x:c r="C7340" t="str">
        <x:v>Pasted text(59).txt</x:v>
      </x:c>
    </x:row>
    <x:row r="7341">
      <x:c r="A7341" t="n">
        <x:v>3311</x:v>
      </x:c>
      <x:c r="B7341" s="58" t="str">
        <x:v>X,268.02392,1.06766,31.48,VALID</x:v>
      </x:c>
      <x:c r="C7341" t="str">
        <x:v>Pasted text(59).txt</x:v>
      </x:c>
    </x:row>
    <x:row r="7342">
      <x:c r="A7342" t="n">
        <x:v>3312</x:v>
      </x:c>
      <x:c r="B7342" s="58" t="str">
        <x:v>Y,268.02960,0.38017,24.61,VALID</x:v>
      </x:c>
      <x:c r="C7342" t="str">
        <x:v>Pasted text(59).txt</x:v>
      </x:c>
    </x:row>
    <x:row r="7343">
      <x:c r="A7343" t="n">
        <x:v>3313</x:v>
      </x:c>
      <x:c r="B7343" s="58" t="str">
        <x:v>Z,268.03049,0.42449,26.75,VALID</x:v>
      </x:c>
      <x:c r="C7343" t="str">
        <x:v>Pasted text(59).txt</x:v>
      </x:c>
    </x:row>
    <x:row r="7344">
      <x:c r="A7344" t="n">
        <x:v>3314</x:v>
      </x:c>
      <x:c r="B7344" s="58" t="str">
        <x:v>Combined frequency: 268.02529 Hz | difference 0.02529 Hz</x:v>
      </x:c>
      <x:c r="C7344" t="str">
        <x:v>Pasted text(59).txt</x:v>
      </x:c>
    </x:row>
    <x:row r="7345">
      <x:c r="A7345" t="n">
        <x:v>3315</x:v>
      </x:c>
      <x:c r="B7345" s="58" t="str">
        <x:v>Combined X/Y/Z/TOTAL: 0.97431 / 0.34800 / 0.38841 / 1.10510</x:v>
      </x:c>
      <x:c r="C7345" t="str">
        <x:v>Pasted text(59).txt</x:v>
      </x:c>
    </x:row>
    <x:row r="7346">
      <x:c r="A7346" t="n">
        <x:v>3316</x:v>
      </x:c>
      <x:c r="B7346" s="58" t="str">
        <x:v>SNR: 29.37 dB | dominant axis X</x:v>
      </x:c>
      <x:c r="C7346" t="str">
        <x:v>Pasted text(59).txt</x:v>
      </x:c>
    </x:row>
    <x:row r="7347">
      <x:c r="A7347" t="n">
        <x:v>3317</x:v>
      </x:c>
      <x:c r="B7347" s="58" t="str">
        <x:v>Frequency verification: PASS</x:v>
      </x:c>
      <x:c r="C7347" t="str">
        <x:v>Pasted text(59).txt</x:v>
      </x:c>
    </x:row>
    <x:row r="7348">
      <x:c r="A7348" t="n">
        <x:v>3318</x:v>
      </x:c>
      <x:c r="B7348" s="58" t="str">
        <x:v>Y/Z dominance: DIAGNOSTIC ONLY — ignored for pass/fail</x:v>
      </x:c>
      <x:c r="C7348" t="str">
        <x:v>Pasted text(59).txt</x:v>
      </x:c>
    </x:row>
    <x:row r="7349">
      <x:c r="A7349" t="n">
        <x:v>3319</x:v>
      </x:c>
      <x:c r="B7349" s="58" t="str"/>
      <x:c r="C7349" t="str">
        <x:v>Pasted text(59).txt</x:v>
      </x:c>
    </x:row>
    <x:row r="7350">
      <x:c r="A7350" t="n">
        <x:v>3320</x:v>
      </x:c>
      <x:c r="B7350" s="58" t="str">
        <x:v>FIXED-DAC HOLD VALIDATION</x:v>
      </x:c>
      <x:c r="C7350" t="str">
        <x:v>Pasted text(59).txt</x:v>
      </x:c>
    </x:row>
    <x:row r="7351">
      <x:c r="A7351" t="n">
        <x:v>3321</x:v>
      </x:c>
      <x:c r="B7351" s="58" t="str">
        <x:v>DAC remains fixed at 12.25 for 10 records.</x:v>
      </x:c>
      <x:c r="C7351" t="str">
        <x:v>Pasted text(59).txt</x:v>
      </x:c>
    </x:row>
    <x:row r="7352">
      <x:c r="A7352" t="n">
        <x:v>3322</x:v>
      </x:c>
      <x:c r="B7352" s="58" t="str">
        <x:v>HOLD | point 1 | DAC 12.25 | CTRL X 1.18815 | X 1.19855 | Y 0.41130 | Z 0.46914 | TOTAL 1.35144 | error -0.99 % | MAD 0.01 % | CV 1.51 % | coh 91.2 % | dominant X | axis fraction 100.0 % | IN TARGET BAND</x:v>
      </x:c>
      <x:c r="C7352" t="str">
        <x:v>Pasted text(59).txt</x:v>
      </x:c>
    </x:row>
    <x:row r="7353">
      <x:c r="A7353" t="n">
        <x:v>3323</x:v>
      </x:c>
      <x:c r="B7353" s="58" t="str">
        <x:v>HOLD | point 2 | DAC 12.25 | CTRL X 1.14489 | X 1.15624 | Y 0.39988 | Z 0.46712 | TOTAL 1.30985 | error -4.59 % | MAD 0.71 % | CV 2.12 % | coh 90.4 % | dominant X | axis fraction 100.0 % | IN TARGET BAND</x:v>
      </x:c>
      <x:c r="C7353" t="str">
        <x:v>Pasted text(59).txt</x:v>
      </x:c>
    </x:row>
    <x:row r="7354">
      <x:c r="A7354" t="n">
        <x:v>3324</x:v>
      </x:c>
      <x:c r="B7354" s="58" t="str">
        <x:v>HOLD | point 3 | DAC 12.25 | CTRL X 1.17441 | X 1.17431 | Y 0.41845 | Z 0.48408 | TOTAL 1.33744 | error -2.13 % | MAD 0.93 % | CV 0.64 % | coh 90.9 % | dominant X | axis fraction 100.0 % | IN TARGET BAND</x:v>
      </x:c>
      <x:c r="C7354" t="str">
        <x:v>Pasted text(59).txt</x:v>
      </x:c>
    </x:row>
    <x:row r="7355">
      <x:c r="A7355" t="n">
        <x:v>3325</x:v>
      </x:c>
      <x:c r="B7355" s="58" t="str">
        <x:v>HOLD | point 4 | DAC 12.25 | CTRL X 1.16752 | X 1.18708 | Y 0.41028 | Z 0.45190 | TOTAL 1.33504 | error -2.71 % | MAD 0.73 % | CV 3.28 % | coh 90.6 % | dominant X | axis fraction 100.0 % | IN TARGET BAND</x:v>
      </x:c>
      <x:c r="C7355" t="str">
        <x:v>Pasted text(59).txt</x:v>
      </x:c>
    </x:row>
    <x:row r="7356">
      <x:c r="A7356" t="n">
        <x:v>3326</x:v>
      </x:c>
      <x:c r="B7356" s="58" t="str">
        <x:v>HOLD | point 5 | DAC 12.25 | CTRL X 1.18616 | X 1.18410 | Y 0.41000 | Z 0.46990 | TOTAL 1.33852 | error -1.15 % | MAD 2.79 % | CV 2.15 % | coh 90.7 % | dominant X | axis fraction 100.0 % | IN TARGET BAND</x:v>
      </x:c>
      <x:c r="C7356" t="str">
        <x:v>Pasted text(59).txt</x:v>
      </x:c>
    </x:row>
    <x:row r="7357">
      <x:c r="A7357" t="n">
        <x:v>3327</x:v>
      </x:c>
      <x:c r="B7357" s="58" t="str">
        <x:v>HOLD | point 6 | DAC 12.25 | CTRL X 1.19001 | X 1.20009 | Y 0.42628 | Z 0.47070 | TOTAL 1.35790 | error -0.83 % | MAD 2.73 % | CV 3.17 % | coh 91.3 % | dominant X | axis fraction 100.0 % | IN TARGET BAND</x:v>
      </x:c>
      <x:c r="C7357" t="str">
        <x:v>Pasted text(59).txt</x:v>
      </x:c>
    </x:row>
    <x:row r="7358">
      <x:c r="A7358" t="n">
        <x:v>3328</x:v>
      </x:c>
      <x:c r="B7358" s="58" t="str">
        <x:v>HOLD | point 7 | DAC 12.25 | CTRL X 1.21251 | X 1.21064 | Y 0.43944 | Z 0.47358 | TOTAL 1.37236 | error 1.04 % | MAD 1.04 % | CV 0.94 % | coh 91.7 % | dominant X | axis fraction 100.0 % | IN TARGET BAND</x:v>
      </x:c>
      <x:c r="C7358" t="str">
        <x:v>Pasted text(59).txt</x:v>
      </x:c>
    </x:row>
    <x:row r="7359">
      <x:c r="A7359" t="n">
        <x:v>3329</x:v>
      </x:c>
      <x:c r="B7359" s="58" t="str">
        <x:v>HOLD | point 8 | DAC 12.25 | CTRL X 1.23034 | X 1.22176 | Y 0.41937 | Z 0.48177 | TOTAL 1.37868 | error 2.53 % | MAD 0.77 % | CV 1.69 % | coh 92.0 % | dominant X | axis fraction 100.0 % | IN TARGET BAND</x:v>
      </x:c>
      <x:c r="C7359" t="str">
        <x:v>Pasted text(59).txt</x:v>
      </x:c>
    </x:row>
    <x:row r="7360">
      <x:c r="A7360" t="n">
        <x:v>3330</x:v>
      </x:c>
      <x:c r="B7360" s="58" t="str">
        <x:v>HOLD | point 9 | DAC 12.25 | CTRL X 1.22395 | X 1.22767 | Y 0.42078 | Z 0.48106 | TOTAL 1.38443 | error 2.00 % | MAD 1.32 % | CV 1.37 % | coh 91.9 % | dominant X | axis fraction 100.0 % | IN TARGET BAND</x:v>
      </x:c>
      <x:c r="C7360" t="str">
        <x:v>Pasted text(59).txt</x:v>
      </x:c>
    </x:row>
    <x:row r="7361">
      <x:c r="A7361" t="n">
        <x:v>3331</x:v>
      </x:c>
      <x:c r="B7361" s="58" t="str">
        <x:v>HOLD | point 10 | DAC 12.25 | CTRL X 1.19786 | X 1.20646 | Y 0.41200 | Z 0.47942 | TOTAL 1.36266 | error -0.18 % | MAD 0.24 % | CV 1.38 % | coh 90.9 % | dominant X | axis fraction 100.0 % | IN TARGET BAND</x:v>
      </x:c>
      <x:c r="C7361" t="str">
        <x:v>Pasted text(59).txt</x:v>
      </x:c>
    </x:row>
    <x:row r="7362">
      <x:c r="A7362" t="n">
        <x:v>3332</x:v>
      </x:c>
      <x:c r="B7362" s="58" t="str"/>
      <x:c r="C7362" t="str">
        <x:v>Pasted text(59).txt</x:v>
      </x:c>
    </x:row>
    <x:row r="7363">
      <x:c r="A7363" t="n">
        <x:v>3333</x:v>
      </x:c>
      <x:c r="B7363" s="58" t="str">
        <x:v>HOLD SUMMARY</x:v>
      </x:c>
      <x:c r="C7363" t="str">
        <x:v>Pasted text(59).txt</x:v>
      </x:c>
    </x:row>
    <x:row r="7364">
      <x:c r="A7364" t="n">
        <x:v>3334</x:v>
      </x:c>
      <x:c r="B7364" s="58" t="str">
        <x:v>Valid / requested: 10 / 10</x:v>
      </x:c>
      <x:c r="C7364" t="str">
        <x:v>Pasted text(59).txt</x:v>
      </x:c>
    </x:row>
    <x:row r="7365">
      <x:c r="A7365" t="n">
        <x:v>3335</x:v>
      </x:c>
      <x:c r="B7365" s="58" t="str">
        <x:v>In band / requested: 10 / 10 = 100.0 %</x:v>
      </x:c>
      <x:c r="C7365" t="str">
        <x:v>Pasted text(59).txt</x:v>
      </x:c>
    </x:row>
    <x:row r="7366">
      <x:c r="A7366" t="n">
        <x:v>3336</x:v>
      </x:c>
      <x:c r="B7366" s="58" t="str">
        <x:v>Mean / SD / CV: 1.19158 / 0.02609 / 2.19 %</x:v>
      </x:c>
      <x:c r="C7366" t="str">
        <x:v>Pasted text(59).txt</x:v>
      </x:c>
    </x:row>
    <x:row r="7367">
      <x:c r="A7367" t="n">
        <x:v>3337</x:v>
      </x:c>
      <x:c r="B7367" s="58" t="str">
        <x:v>Min / Max: 1.14489 / 1.23034</x:v>
      </x:c>
      <x:c r="C7367" t="str">
        <x:v>Pasted text(59).txt</x:v>
      </x:c>
    </x:row>
    <x:row r="7368">
      <x:c r="A7368" t="n">
        <x:v>3338</x:v>
      </x:c>
      <x:c r="B7368" s="58" t="str">
        <x:v>HOLD RESULT: PASS</x:v>
      </x:c>
      <x:c r="C7368" t="str">
        <x:v>Pasted text(59).txt</x:v>
      </x:c>
    </x:row>
    <x:row r="7369">
      <x:c r="A7369" t="n">
        <x:v>3339</x:v>
      </x:c>
      <x:c r="B7369" s="58" t="str"/>
      <x:c r="C7369" t="str">
        <x:v>Pasted text(59).txt</x:v>
      </x:c>
    </x:row>
    <x:row r="7370">
      <x:c r="A7370" t="n">
        <x:v>3340</x:v>
      </x:c>
      <x:c r="B7370" s="58" t="str">
        <x:v>RUN RESULT: PASS</x:v>
      </x:c>
      <x:c r="C7370" t="str">
        <x:v>Pasted text(59).txt</x:v>
      </x:c>
    </x:row>
    <x:row r="7371">
      <x:c r="A7371" t="n">
        <x:v>3341</x:v>
      </x:c>
      <x:c r="B7371" s="58" t="str">
        <x:v>Selected DAC: 12.25</x:v>
      </x:c>
      <x:c r="C7371" t="str">
        <x:v>Pasted text(59).txt</x:v>
      </x:c>
    </x:row>
    <x:row r="7372">
      <x:c r="A7372" t="n">
        <x:v>3342</x:v>
      </x:c>
      <x:c r="B7372" s="58" t="str">
        <x:v>Validated amplitude: 1.17475 m/s^2 | error -2.10 %</x:v>
      </x:c>
      <x:c r="C7372" t="str">
        <x:v>Pasted text(59).txt</x:v>
      </x:c>
    </x:row>
    <x:row r="7373">
      <x:c r="A7373" t="n">
        <x:v>3343</x:v>
      </x:c>
      <x:c r="B7373" s="58" t="str">
        <x:v>FFT frequency: 268.02529 Hz | difference 0.02529 Hz</x:v>
      </x:c>
      <x:c r="C7373" t="str">
        <x:v>Pasted text(59).txt</x:v>
      </x:c>
    </x:row>
    <x:row r="7374">
      <x:c r="A7374" t="n">
        <x:v>3344</x:v>
      </x:c>
      <x:c r="B7374" s="58" t="str"/>
      <x:c r="C7374" t="str">
        <x:v>Pasted text(59).txt</x:v>
      </x:c>
    </x:row>
    <x:row r="7375">
      <x:c r="A7375" t="n">
        <x:v>3345</x:v>
      </x:c>
      <x:c r="B7375" s="58" t="str">
        <x:v>================================================================================</x:v>
      </x:c>
      <x:c r="C7375" t="str">
        <x:v>Pasted text(59).txt</x:v>
      </x:c>
    </x:row>
    <x:row r="7376">
      <x:c r="A7376" t="n">
        <x:v>3346</x:v>
      </x:c>
      <x:c r="B7376" s="58" t="str">
        <x:v>FINAL REPEATED TARGET-AMPLITUDE VALIDATION SUMMARY</x:v>
      </x:c>
      <x:c r="C7376" t="str">
        <x:v>Pasted text(59).txt</x:v>
      </x:c>
    </x:row>
    <x:row r="7377">
      <x:c r="A7377" t="n">
        <x:v>3347</x:v>
      </x:c>
      <x:c r="B7377" s="58" t="str">
        <x:v>================================================================================</x:v>
      </x:c>
      <x:c r="C7377" t="str">
        <x:v>Pasted text(59).txt</x:v>
      </x:c>
    </x:row>
    <x:row r="7378">
      <x:c r="A7378" t="n">
        <x:v>3348</x:v>
      </x:c>
      <x:c r="B7378" s="58" t="str">
        <x:v>Run,Pass,Selected_DAC,Validated_Amp,Error_pct,FFT_Hz,FFT_Diff_Hz,FFT_SNR_dB,Hold_Mean,Hold_CV_pct,Hold_InBand_pct,Reason</x:v>
      </x:c>
      <x:c r="C7378" t="str">
        <x:v>Pasted text(59).txt</x:v>
      </x:c>
    </x:row>
    <x:row r="7379">
      <x:c r="A7379" t="n">
        <x:v>3349</x:v>
      </x:c>
      <x:c r="B7379" s="58" t="str">
        <x:v>1,PASS,11.75,1.20244,0.20,268.02465,0.02465,29.38,1.20956,1.31,100.0,PASS</x:v>
      </x:c>
      <x:c r="C7379" t="str">
        <x:v>Pasted text(59).txt</x:v>
      </x:c>
    </x:row>
    <x:row r="7380">
      <x:c r="A7380" t="n">
        <x:v>3350</x:v>
      </x:c>
      <x:c r="B7380" s="58" t="str">
        <x:v>2,PASS,11.50,1.14302,-4.75,268.03046,0.03046,29.09,1.14519,1.47,100.0,PASS</x:v>
      </x:c>
      <x:c r="C7380" t="str">
        <x:v>Pasted text(59).txt</x:v>
      </x:c>
    </x:row>
    <x:row r="7381">
      <x:c r="A7381" t="n">
        <x:v>3351</x:v>
      </x:c>
      <x:c r="B7381" s="58" t="str">
        <x:v>3,PASS,11.75,1.20923,0.77,268.02627,0.02627,29.18,1.19942,1.31,100.0,PASS</x:v>
      </x:c>
      <x:c r="C7381" t="str">
        <x:v>Pasted text(59).txt</x:v>
      </x:c>
    </x:row>
    <x:row r="7382">
      <x:c r="A7382" t="n">
        <x:v>3352</x:v>
      </x:c>
      <x:c r="B7382" s="58" t="str">
        <x:v>4,PASS,11.75,1.19100,-0.75,268.02186,0.02186,29.37,1.18676,1.31,100.0,PASS</x:v>
      </x:c>
      <x:c r="C7382" t="str">
        <x:v>Pasted text(59).txt</x:v>
      </x:c>
    </x:row>
    <x:row r="7383">
      <x:c r="A7383" t="n">
        <x:v>3353</x:v>
      </x:c>
      <x:c r="B7383" s="58" t="str">
        <x:v>5,PASS,12.25,1.17475,-2.10,268.02529,0.02529,29.37,1.19158,2.19,100.0,PASS</x:v>
      </x:c>
      <x:c r="C7383" t="str">
        <x:v>Pasted text(59).txt</x:v>
      </x:c>
    </x:row>
    <x:row r="7384">
      <x:c r="A7384" t="n">
        <x:v>3354</x:v>
      </x:c>
      <x:c r="B7384" s="58" t="str">
        <x:v>--------------------------------------------------------------------------------</x:v>
      </x:c>
      <x:c r="C7384" t="str">
        <x:v>Pasted text(59).txt</x:v>
      </x:c>
    </x:row>
    <x:row r="7385">
      <x:c r="A7385" t="n">
        <x:v>3355</x:v>
      </x:c>
      <x:c r="B7385" s="58" t="str">
        <x:v>Successful independent runs: 5 / 5</x:v>
      </x:c>
      <x:c r="C7385" t="str">
        <x:v>Pasted text(59).txt</x:v>
      </x:c>
    </x:row>
    <x:row r="7386">
      <x:c r="A7386" t="n">
        <x:v>3356</x:v>
      </x:c>
      <x:c r="B7386" s="58" t="str">
        <x:v>Validated amplitude mean +/- SD: 1.18409 +/- 0.02641 m/s^2 peak</x:v>
      </x:c>
      <x:c r="C7386" t="str">
        <x:v>Pasted text(59).txt</x:v>
      </x:c>
    </x:row>
    <x:row r="7387">
      <x:c r="A7387" t="n">
        <x:v>3357</x:v>
      </x:c>
      <x:c r="B7387" s="58" t="str">
        <x:v>Across-run amplitude CV: 2.23 %</x:v>
      </x:c>
      <x:c r="C7387" t="str">
        <x:v>Pasted text(59).txt</x:v>
      </x:c>
    </x:row>
    <x:row r="7388">
      <x:c r="A7388" t="n">
        <x:v>3358</x:v>
      </x:c>
      <x:c r="B7388" s="58" t="str">
        <x:v>Maximum absolute target error: 4.75 %</x:v>
      </x:c>
      <x:c r="C7388" t="str">
        <x:v>Pasted text(59).txt</x:v>
      </x:c>
    </x:row>
    <x:row r="7389">
      <x:c r="A7389" t="n">
        <x:v>3359</x:v>
      </x:c>
      <x:c r="B7389" s="58" t="str">
        <x:v>FFT frequency mean +/- SD: 268.02571 +/- 0.00312 Hz</x:v>
      </x:c>
      <x:c r="C7389" t="str">
        <x:v>Pasted text(59).txt</x:v>
      </x:c>
    </x:row>
    <x:row r="7390">
      <x:c r="A7390" t="n">
        <x:v>3360</x:v>
      </x:c>
      <x:c r="B7390" s="58" t="str">
        <x:v>Selected DAC range: 11.50 to 12.25</x:v>
      </x:c>
      <x:c r="C7390" t="str">
        <x:v>Pasted text(59).txt</x:v>
      </x:c>
    </x:row>
    <x:row r="7391">
      <x:c r="A7391" t="n">
        <x:v>3361</x:v>
      </x:c>
      <x:c r="B7391" s="58" t="str">
        <x:v>Average hold records in target band: 100.0 %</x:v>
      </x:c>
      <x:c r="C7391" t="str">
        <x:v>Pasted text(59).txt</x:v>
      </x:c>
    </x:row>
    <x:row r="7392">
      <x:c r="A7392" t="n">
        <x:v>3362</x:v>
      </x:c>
      <x:c r="B7392" s="58" t="str">
        <x:v>OVERALL VERDICT: EXCELLENT REPRODUCIBLE TARGET-AMPLITUDE ACQUISITION.</x:v>
      </x:c>
      <x:c r="C7392" t="str">
        <x:v>Pasted text(59).txt</x:v>
      </x:c>
    </x:row>
    <x:row r="7393">
      <x:c r="A7393" t="n">
        <x:v>3363</x:v>
      </x:c>
      <x:c r="B7393" s="58" t="str">
        <x:v>X-axis amplitude matching is repeatable; phase testing may follow after one independent confirmation session.</x:v>
      </x:c>
      <x:c r="C7393" t="str">
        <x:v>Pasted text(59).txt</x:v>
      </x:c>
    </x:row>
    <x:row r="7394">
      <x:c r="A7394" t="n">
        <x:v>3364</x:v>
      </x:c>
      <x:c r="B7394" s="58" t="str"/>
      <x:c r="C7394" t="str">
        <x:v>Pasted text(59).txt</x:v>
      </x:c>
    </x:row>
    <x:row r="7395">
      <x:c r="A7395" t="n">
        <x:v>3365</x:v>
      </x:c>
      <x:c r="B7395" s="58" t="str">
        <x:v>Automatic test complete. Enter h for commands.</x:v>
      </x:c>
      <x:c r="C7395" t="str">
        <x:v>Pasted text(59).txt</x:v>
      </x:c>
    </x:row>
    <x:row r="7396">
      <x:c r="A7396" t="n">
        <x:v>3366</x:v>
      </x:c>
      <x:c r="B7396" s="58" t="str">
        <x:v>Frequency set to 268.00000 Hz.</x:v>
      </x:c>
      <x:c r="C7396" t="str">
        <x:v>Pasted text(59).txt</x:v>
      </x:c>
    </x:row>
    <x:row r="7397">
      <x:c r="A7397" t="n">
        <x:v>3367</x:v>
      </x:c>
      <x:c r="B7397" s="58" t="str">
        <x:v>Target amplitude set to 0.65000 m/s^2 peak.</x:v>
      </x:c>
      <x:c r="C7397" t="str">
        <x:v>Pasted text(59).txt</x:v>
      </x:c>
    </x:row>
    <x:row r="7398">
      <x:c r="A7398" t="n">
        <x:v>3368</x:v>
      </x:c>
      <x:c r="B7398" s="58" t="str"/>
      <x:c r="C7398" t="str">
        <x:v>Pasted text(59).txt</x:v>
      </x:c>
    </x:row>
    <x:row r="7399">
      <x:c r="A7399" t="n">
        <x:v>3369</x:v>
      </x:c>
      <x:c r="B7399" s="58" t="str">
        <x:v>================================================================================</x:v>
      </x:c>
      <x:c r="C7399" t="str">
        <x:v>Pasted text(59).txt</x:v>
      </x:c>
    </x:row>
    <x:row r="7400">
      <x:c r="A7400" t="n">
        <x:v>3370</x:v>
      </x:c>
      <x:c r="B7400" s="58" t="str">
        <x:v>REPEATED INDEPENDENT TARGET-AMPLITUDE VALIDATION STARTED</x:v>
      </x:c>
      <x:c r="C7400" t="str">
        <x:v>Pasted text(59).txt</x:v>
      </x:c>
    </x:row>
    <x:row r="7401">
      <x:c r="A7401" t="n">
        <x:v>3371</x:v>
      </x:c>
      <x:c r="B7401" s="58" t="str">
        <x:v>================================================================================</x:v>
      </x:c>
      <x:c r="C7401" t="str">
        <x:v>Pasted text(59).txt</x:v>
      </x:c>
    </x:row>
    <x:row r="7402">
      <x:c r="A7402" t="n">
        <x:v>3372</x:v>
      </x:c>
      <x:c r="B7402" s="58" t="str"/>
      <x:c r="C7402" t="str">
        <x:v>Pasted text(59).txt</x:v>
      </x:c>
    </x:row>
    <x:row r="7403">
      <x:c r="A7403" t="n">
        <x:v>3373</x:v>
      </x:c>
      <x:c r="B7403" s="58" t="str">
        <x:v>CURRENT SETTINGS</x:v>
      </x:c>
      <x:c r="C7403" t="str">
        <x:v>Pasted text(59).txt</x:v>
      </x:c>
    </x:row>
    <x:row r="7404">
      <x:c r="A7404" t="n">
        <x:v>3374</x:v>
      </x:c>
      <x:c r="B7404" s="58" t="str">
        <x:v>Frequency: 268.00000 Hz</x:v>
      </x:c>
      <x:c r="C7404" t="str">
        <x:v>Pasted text(59).txt</x:v>
      </x:c>
    </x:row>
    <x:row r="7405">
      <x:c r="A7405" t="n">
        <x:v>3375</x:v>
      </x:c>
      <x:c r="B7405" s="58" t="str">
        <x:v>Control axis: X ONLY (Y/Z diagnostic only)</x:v>
      </x:c>
      <x:c r="C7405" t="str">
        <x:v>Pasted text(59).txt</x:v>
      </x:c>
    </x:row>
    <x:row r="7406">
      <x:c r="A7406" t="n">
        <x:v>3376</x:v>
      </x:c>
      <x:c r="B7406" s="58" t="str">
        <x:v>Target peak amplitude: 0.65000 m/s^2</x:v>
      </x:c>
      <x:c r="C7406" t="str">
        <x:v>Pasted text(59).txt</x:v>
      </x:c>
    </x:row>
    <x:row r="7407">
      <x:c r="A7407" t="n">
        <x:v>3377</x:v>
      </x:c>
      <x:c r="B7407" s="58" t="str">
        <x:v>Tolerance: +/-7.50 %</x:v>
      </x:c>
      <x:c r="C7407" t="str">
        <x:v>Pasted text(59).txt</x:v>
      </x:c>
    </x:row>
    <x:row r="7408">
      <x:c r="A7408" t="n">
        <x:v>3378</x:v>
      </x:c>
      <x:c r="B7408" s="58" t="str">
        <x:v>Allowed amplitude band: 0.60125 to 0.69875 m/s^2 peak</x:v>
      </x:c>
      <x:c r="C7408" t="str">
        <x:v>Pasted text(59).txt</x:v>
      </x:c>
    </x:row>
    <x:row r="7409">
      <x:c r="A7409" t="n">
        <x:v>3379</x:v>
      </x:c>
      <x:c r="B7409" s="58" t="str">
        <x:v>Independent runs: 5</x:v>
      </x:c>
      <x:c r="C7409" t="str">
        <x:v>Pasted text(59).txt</x:v>
      </x:c>
    </x:row>
    <x:row r="7410">
      <x:c r="A7410" t="n">
        <x:v>3380</x:v>
      </x:c>
      <x:c r="B7410" s="58" t="str">
        <x:v>Hold records per run: 10</x:v>
      </x:c>
      <x:c r="C7410" t="str">
        <x:v>Pasted text(59).txt</x:v>
      </x:c>
    </x:row>
    <x:row r="7411">
      <x:c r="A7411" t="n">
        <x:v>3381</x:v>
      </x:c>
      <x:c r="B7411" s="58" t="str">
        <x:v>DAC search range/resolution: 1.00 to 30.00 / 0.25</x:v>
      </x:c>
      <x:c r="C7411" t="str">
        <x:v>Pasted text(59).txt</x:v>
      </x:c>
    </x:row>
    <x:row r="7412">
      <x:c r="A7412" t="n">
        <x:v>3382</x:v>
      </x:c>
      <x:c r="B7412" s="58" t="str">
        <x:v>FFT bin resolution: 1.56250 Hz; accepted command-to-bin difference &lt;= 2.00 Hz</x:v>
      </x:c>
      <x:c r="C7412" t="str">
        <x:v>Pasted text(59).txt</x:v>
      </x:c>
    </x:row>
    <x:row r="7413">
      <x:c r="A7413" t="n">
        <x:v>3383</x:v>
      </x:c>
      <x:c r="B7413" s="58" t="str">
        <x:v>Every run starts from DAC 1.00. Different selected DACs are allowed.</x:v>
      </x:c>
      <x:c r="C7413" t="str">
        <x:v>Pasted text(59).txt</x:v>
      </x:c>
    </x:row>
    <x:row r="7414">
      <x:c r="A7414" t="n">
        <x:v>3384</x:v>
      </x:c>
      <x:c r="B7414" s="58" t="str">
        <x:v>The accepted result is X-axis amplitude and X-axis frequency, not DAC.</x:v>
      </x:c>
      <x:c r="C7414" t="str">
        <x:v>Pasted text(59).txt</x:v>
      </x:c>
    </x:row>
    <x:row r="7415">
      <x:c r="A7415" t="n">
        <x:v>3385</x:v>
      </x:c>
      <x:c r="B7415" s="58" t="str"/>
      <x:c r="C7415" t="str">
        <x:v>Pasted text(59).txt</x:v>
      </x:c>
    </x:row>
    <x:row r="7416">
      <x:c r="A7416" t="n">
        <x:v>3386</x:v>
      </x:c>
      <x:c r="B7416" s="58" t="str">
        <x:v>################################################################################</x:v>
      </x:c>
      <x:c r="C7416" t="str">
        <x:v>Pasted text(59).txt</x:v>
      </x:c>
    </x:row>
    <x:row r="7417">
      <x:c r="A7417" t="n">
        <x:v>3387</x:v>
      </x:c>
      <x:c r="B7417" s="58" t="str">
        <x:v>INDEPENDENT TARGET-AMPLITUDE RUN 1 OF 5</x:v>
      </x:c>
      <x:c r="C7417" t="str">
        <x:v>Pasted text(59).txt</x:v>
      </x:c>
    </x:row>
    <x:row r="7418">
      <x:c r="A7418" t="n">
        <x:v>3388</x:v>
      </x:c>
      <x:c r="B7418" s="58" t="str">
        <x:v>################################################################################</x:v>
      </x:c>
      <x:c r="C7418" t="str">
        <x:v>Pasted text(59).txt</x:v>
      </x:c>
    </x:row>
    <x:row r="7419">
      <x:c r="A7419" t="n">
        <x:v>3389</x:v>
      </x:c>
      <x:c r="B7419" s="58" t="str">
        <x:v>Frequency: 268.00000 Hz</x:v>
      </x:c>
      <x:c r="C7419" t="str">
        <x:v>Pasted text(59).txt</x:v>
      </x:c>
    </x:row>
    <x:row r="7420">
      <x:c r="A7420" t="n">
        <x:v>3390</x:v>
      </x:c>
      <x:c r="B7420" s="58" t="str">
        <x:v>Target X amplitude: 0.65000 m/s^2 peak, tolerance +/-7.50 %</x:v>
      </x:c>
      <x:c r="C7420" t="str">
        <x:v>Pasted text(59).txt</x:v>
      </x:c>
    </x:row>
    <x:row r="7421">
      <x:c r="A7421" t="n">
        <x:v>3391</x:v>
      </x:c>
      <x:c r="B7421" s="58" t="str">
        <x:v>This run starts from DAC 1.00 and ignores every earlier selected DAC.</x:v>
      </x:c>
      <x:c r="C7421" t="str">
        <x:v>Pasted text(59).txt</x:v>
      </x:c>
    </x:row>
    <x:row r="7422">
      <x:c r="A7422" t="n">
        <x:v>3392</x:v>
      </x:c>
      <x:c r="B7422" s="58" t="str">
        <x:v>ADXL2 DEVID/DATA_FORMAT/BW_RATE/POWER_CTL: 0xE5 / 0xB / 0xE / 0x8</x:v>
      </x:c>
      <x:c r="C7422" t="str">
        <x:v>Pasted text(59).txt</x:v>
      </x:c>
    </x:row>
    <x:row r="7423">
      <x:c r="A7423" t="n">
        <x:v>3393</x:v>
      </x:c>
      <x:c r="B7423" s="58" t="str"/>
      <x:c r="C7423" t="str">
        <x:v>Pasted text(59).txt</x:v>
      </x:c>
    </x:row>
    <x:row r="7424">
      <x:c r="A7424" t="n">
        <x:v>3394</x:v>
      </x:c>
      <x:c r="B7424" s="58" t="str">
        <x:v>ACQUISITION ATTEMPT 1 OF 2</x:v>
      </x:c>
      <x:c r="C7424" t="str">
        <x:v>Pasted text(59).txt</x:v>
      </x:c>
    </x:row>
    <x:row r="7425">
      <x:c r="A7425" t="n">
        <x:v>3395</x:v>
      </x:c>
      <x:c r="B7425" s="58" t="str"/>
      <x:c r="C7425" t="str">
        <x:v>Pasted text(59).txt</x:v>
      </x:c>
    </x:row>
    <x:row r="7426">
      <x:c r="A7426" t="n">
        <x:v>3396</x:v>
      </x:c>
      <x:c r="B7426" s="58" t="str">
        <x:v>FRESH X-AXIS SEARCH FROM DAC 1.00 — OLD DAC VALUES ARE NOT USED</x:v>
      </x:c>
      <x:c r="C7426" t="str">
        <x:v>Pasted text(59).txt</x:v>
      </x:c>
    </x:row>
    <x:row r="7427">
      <x:c r="A7427" t="n">
        <x:v>3397</x:v>
      </x:c>
      <x:c r="B7427" s="58" t="str">
        <x:v>Y/Z are diagnostic only and cannot abort this search.</x:v>
      </x:c>
      <x:c r="C7427" t="str">
        <x:v>Pasted text(59).txt</x:v>
      </x:c>
    </x:row>
    <x:row r="7428">
      <x:c r="A7428" t="n">
        <x:v>3398</x:v>
      </x:c>
      <x:c r="B7428" s="58" t="str">
        <x:v>A real SPI fault, clipping, safety limit or confirmed X-response collapse will stop it.</x:v>
      </x:c>
      <x:c r="C7428" t="str">
        <x:v>Pasted text(59).txt</x:v>
      </x:c>
    </x:row>
    <x:row r="7429">
      <x:c r="A7429" t="n">
        <x:v>3399</x:v>
      </x:c>
      <x:c r="B7429" s="58" t="str">
        <x:v>SEARCH | point 1 | DAC 1.00 | CTRL X 0.03422 | X 0.03640 | Y 0.02003 | Z 0.02808 | TOTAL 0.05144 | error -94.74 % | MAD 2.03 % | CV 11.48 % | coh 12.3 % | dominant X | axis fraction 100.0 % | BELOW MEASUREMENT FLOOR — SEARCH CONTINUES</x:v>
      </x:c>
      <x:c r="C7429" t="str">
        <x:v>Pasted text(59).txt</x:v>
      </x:c>
    </x:row>
    <x:row r="7430">
      <x:c r="A7430" t="n">
        <x:v>3400</x:v>
      </x:c>
      <x:c r="B7430" s="58" t="str">
        <x:v>SEARCH | point 2 | DAC 3.00 | CTRL X 0.18229 | X 0.18965 | Y 0.06296 | Z 0.10016 | TOTAL 0.22423 | error -71.96 % | MAD 6.76 % | CV 10.74 % | coh 41.8 % | dominant X | axis fraction 100.0 % | UNSTABLE — SEARCH CONTINUES</x:v>
      </x:c>
      <x:c r="C7430" t="str">
        <x:v>Pasted text(59).txt</x:v>
      </x:c>
    </x:row>
    <x:row r="7431">
      <x:c r="A7431" t="n">
        <x:v>3401</x:v>
      </x:c>
      <x:c r="B7431" s="58" t="str">
        <x:v>SEARCH | point 3 | DAC 4.00 | CTRL X 0.28095 | X 0.27272 | Y 0.08595 | Z 0.15688 | TOTAL 0.32669 | error -56.78 % | MAD 0.95 % | CV 5.81 % | coh 55.3 % | dominant X | axis fraction 100.0 % | VALID</x:v>
      </x:c>
      <x:c r="C7431" t="str">
        <x:v>Pasted text(59).txt</x:v>
      </x:c>
    </x:row>
    <x:row r="7432">
      <x:c r="A7432" t="n">
        <x:v>3402</x:v>
      </x:c>
      <x:c r="B7432" s="58" t="str">
        <x:v>SEARCH | point 4 | DAC 5.00 | CTRL X 0.35345 | X 0.35332 | Y 0.11288 | Z 0.21698 | TOTAL 0.43030 | error -45.62 % | MAD 4.10 % | CV 2.83 % | coh 64.4 % | dominant X | axis fraction 100.0 % | VALID</x:v>
      </x:c>
      <x:c r="C7432" t="str">
        <x:v>Pasted text(59).txt</x:v>
      </x:c>
    </x:row>
    <x:row r="7433">
      <x:c r="A7433" t="n">
        <x:v>3403</x:v>
      </x:c>
      <x:c r="B7433" s="58" t="str">
        <x:v>SEARCH | point 5 | DAC 6.00 | CTRL X 0.47047 | X 0.47889 | Y 0.16066 | Z 0.25042 | TOTAL 0.56430 | error -27.62 % | MAD 1.70 % | CV 4.06 % | coh 74.6 % | dominant X | axis fraction 100.0 % | VALID</x:v>
      </x:c>
      <x:c r="C7433" t="str">
        <x:v>Pasted text(59).txt</x:v>
      </x:c>
    </x:row>
    <x:row r="7434">
      <x:c r="A7434" t="n">
        <x:v>3404</x:v>
      </x:c>
      <x:c r="B7434" s="58" t="str">
        <x:v>SEARCH | point 6 | DAC 6.50 | CTRL X 0.50189 | X 0.50148 | Y 0.15360 | Z 0.28108 | TOTAL 0.59566 | error -22.79 % | MAD 0.65 % | CV 0.56 % | coh 79.4 % | dominant X | axis fraction 100.0 % | VALID</x:v>
      </x:c>
      <x:c r="C7434" t="str">
        <x:v>Pasted text(59).txt</x:v>
      </x:c>
    </x:row>
    <x:row r="7435">
      <x:c r="A7435" t="n">
        <x:v>3405</x:v>
      </x:c>
      <x:c r="B7435" s="58" t="str">
        <x:v>SEARCH | point 7 | DAC 7.00 | CTRL X 0.56845 | X 0.56768 | Y 0.18320 | Z 0.28843 | TOTAL 0.66272 | error -12.55 % | MAD 0.30 % | CV 0.43 % | coh 79.2 % | dominant X | axis fraction 100.0 % | VALID</x:v>
      </x:c>
      <x:c r="C7435" t="str">
        <x:v>Pasted text(59).txt</x:v>
      </x:c>
    </x:row>
    <x:row r="7436">
      <x:c r="A7436" t="n">
        <x:v>3406</x:v>
      </x:c>
      <x:c r="B7436" s="58" t="str">
        <x:v>SEARCH | point 8 | DAC 7.25 | CTRL X 0.59504 | X 0.59190 | Y 0.20508 | Z 0.31012 | TOTAL 0.69944 | error -8.45 % | MAD 0.02 % | CV 0.93 % | coh 82.0 % | dominant X | axis fraction 100.0 % | VALID</x:v>
      </x:c>
      <x:c r="C7436" t="str">
        <x:v>Pasted text(59).txt</x:v>
      </x:c>
    </x:row>
    <x:row r="7437">
      <x:c r="A7437" t="n">
        <x:v>3407</x:v>
      </x:c>
      <x:c r="B7437" s="58" t="str">
        <x:v>SEARCH | point 9 | DAC 7.50 | CTRL X 0.62129 | X 0.62103 | Y 0.17644 | Z 0.32055 | TOTAL 0.72118 | error -4.42 % | MAD 1.00 % | CV 0.74 % | coh 84.8 % | dominant X | axis fraction 100.0 % | IN TARGET BAND</x:v>
      </x:c>
      <x:c r="C7437" t="str">
        <x:v>Pasted text(59).txt</x:v>
      </x:c>
    </x:row>
    <x:row r="7438">
      <x:c r="A7438" t="n">
        <x:v>3408</x:v>
      </x:c>
      <x:c r="B7438" s="58" t="str"/>
      <x:c r="C7438" t="str">
        <x:v>Pasted text(59).txt</x:v>
      </x:c>
    </x:row>
    <x:row r="7439">
      <x:c r="A7439" t="n">
        <x:v>3409</x:v>
      </x:c>
      <x:c r="B7439" s="58" t="str">
        <x:v>LOCAL 0.25-DAC X-AXIS FINE SCAN</x:v>
      </x:c>
      <x:c r="C7439" t="str">
        <x:v>Pasted text(59).txt</x:v>
      </x:c>
    </x:row>
    <x:row r="7440">
      <x:c r="A7440" t="n">
        <x:v>3410</x:v>
      </x:c>
      <x:c r="B7440" s="58" t="str">
        <x:v>Only a valid point actually inside the X target band may be selected.</x:v>
      </x:c>
      <x:c r="C7440" t="str">
        <x:v>Pasted text(59).txt</x:v>
      </x:c>
    </x:row>
    <x:row r="7441">
      <x:c r="A7441" t="n">
        <x:v>3411</x:v>
      </x:c>
      <x:c r="B7441" s="58" t="str">
        <x:v>FINE | point 1 | DAC 6.50 | CTRL X 0.49550 | X 0.49601 | Y 0.14426 | Z 0.27187 | TOTAL 0.58412 | error -23.77 % | MAD 0.47 % | CV 0.48 % | coh 78.0 % | dominant X | axis fraction 100.0 % | VALID</x:v>
      </x:c>
      <x:c r="C7441" t="str">
        <x:v>Pasted text(59).txt</x:v>
      </x:c>
    </x:row>
    <x:row r="7442">
      <x:c r="A7442" t="n">
        <x:v>3412</x:v>
      </x:c>
      <x:c r="B7442" s="58" t="str">
        <x:v>FINE | point 2 | DAC 6.75 | CTRL X 0.56388 | X 0.55737 | Y 0.15666 | Z 0.30440 | TOTAL 0.65513 | error -13.25 % | MAD 0.95 % | CV 2.60 % | coh 77.0 % | dominant X | axis fraction 100.0 % | VALID</x:v>
      </x:c>
      <x:c r="C7442" t="str">
        <x:v>Pasted text(59).txt</x:v>
      </x:c>
    </x:row>
    <x:row r="7443">
      <x:c r="A7443" t="n">
        <x:v>3413</x:v>
      </x:c>
      <x:c r="B7443" s="58" t="str">
        <x:v>FINE | point 3 | DAC 7.00 | CTRL X 0.58328 | X 0.58185 | Y 0.16898 | Z 0.30434 | TOTAL 0.67937 | error -10.26 % | MAD 7.64 % | CV 5.54 % | coh 79.8 % | dominant X | axis fraction 100.0 % | VALID</x:v>
      </x:c>
      <x:c r="C7443" t="str">
        <x:v>Pasted text(59).txt</x:v>
      </x:c>
    </x:row>
    <x:row r="7444">
      <x:c r="A7444" t="n">
        <x:v>3414</x:v>
      </x:c>
      <x:c r="B7444" s="58" t="str">
        <x:v>FINE | point 4 | DAC 7.25 | CTRL X 0.58990 | X 0.59147 | Y 0.17338 | Z 0.30019 | TOTAL 0.68576 | error -9.25 % | MAD 0.22 % | CV 0.60 % | coh 81.3 % | dominant X | axis fraction 100.0 % | VALID</x:v>
      </x:c>
      <x:c r="C7444" t="str">
        <x:v>Pasted text(59).txt</x:v>
      </x:c>
    </x:row>
    <x:row r="7445">
      <x:c r="A7445" t="n">
        <x:v>3415</x:v>
      </x:c>
      <x:c r="B7445" s="58" t="str">
        <x:v>FINE | point 5 | DAC 7.50 | CTRL X 0.59764 | X 0.59783 | Y 0.18246 | Z 0.30433 | TOTAL 0.69582 | error -8.06 % | MAD 0.58 % | CV 0.44 % | coh 82.1 % | dominant X | axis fraction 100.0 % | VALID</x:v>
      </x:c>
      <x:c r="C7445" t="str">
        <x:v>Pasted text(59).txt</x:v>
      </x:c>
    </x:row>
    <x:row r="7446">
      <x:c r="A7446" t="n">
        <x:v>3416</x:v>
      </x:c>
      <x:c r="B7446" s="58" t="str">
        <x:v>FINE | point 6 | DAC 7.75 | CTRL X 0.67653 | X 0.67298 | Y 0.19424 | Z 0.33421 | TOTAL 0.77664 | error 4.08 % | MAD 3.30 % | CV 3.06 % | coh 82.5 % | dominant X | axis fraction 100.0 % | IN TARGET BAND</x:v>
      </x:c>
      <x:c r="C7446" t="str">
        <x:v>Pasted text(59).txt</x:v>
      </x:c>
    </x:row>
    <x:row r="7447">
      <x:c r="A7447" t="n">
        <x:v>3417</x:v>
      </x:c>
      <x:c r="B7447" s="58" t="str">
        <x:v>FINE | point 7 | DAC 8.00 | CTRL X 0.68815 | X 0.68391 | Y 0.22562 | Z 0.31858 | TOTAL 0.78771 | error 5.87 % | MAD 0.11 % | CV 1.14 % | coh 84.0 % | dominant X | axis fraction 100.0 % | IN TARGET BAND</x:v>
      </x:c>
      <x:c r="C7447" t="str">
        <x:v>Pasted text(59).txt</x:v>
      </x:c>
    </x:row>
    <x:row r="7448">
      <x:c r="A7448" t="n">
        <x:v>3418</x:v>
      </x:c>
      <x:c r="B7448" s="58" t="str">
        <x:v>FINE | point 8 | DAC 8.25 | CTRL X 0.70693 | X 0.70550 | Y 0.21859 | Z 0.34372 | TOTAL 0.81497 | error 8.76 % | MAD 2.61 % | CV 2.08 % | coh 84.3 % | dominant X | axis fraction 100.0 % | VALID</x:v>
      </x:c>
      <x:c r="C7448" t="str">
        <x:v>Pasted text(59).txt</x:v>
      </x:c>
    </x:row>
    <x:row r="7449">
      <x:c r="A7449" t="n">
        <x:v>3419</x:v>
      </x:c>
      <x:c r="B7449" s="58" t="str">
        <x:v>FINE | point 9 | DAC 8.50 | CTRL X 0.70334 | X 0.71392 | Y 0.22872 | Z 0.34908 | TOTAL 0.82728 | error 8.21 % | MAD 0.33 % | CV 2.76 % | coh 85.7 % | dominant X | axis fraction 100.0 % | VALID</x:v>
      </x:c>
      <x:c r="C7449" t="str">
        <x:v>Pasted text(59).txt</x:v>
      </x:c>
    </x:row>
    <x:row r="7450">
      <x:c r="A7450" t="n">
        <x:v>3420</x:v>
      </x:c>
      <x:c r="B7450" s="58" t="str"/>
      <x:c r="C7450" t="str">
        <x:v>Pasted text(59).txt</x:v>
      </x:c>
    </x:row>
    <x:row r="7451">
      <x:c r="A7451" t="n">
        <x:v>3421</x:v>
      </x:c>
      <x:c r="B7451" s="58" t="str">
        <x:v>LONG VALIDATION AT FIXED DAC 8.00</x:v>
      </x:c>
      <x:c r="C7451" t="str">
        <x:v>Pasted text(59).txt</x:v>
      </x:c>
    </x:row>
    <x:row r="7452">
      <x:c r="A7452" t="n">
        <x:v>3422</x:v>
      </x:c>
      <x:c r="B7452" s="58" t="str">
        <x:v>FINAL | point 1 | DAC 8.00 | CTRL X 0.68919 | X 0.68847 | Y 0.20917 | Z 0.32105 | TOTAL 0.78831 | error 6.03 % | MAD 0.70 % | CV 3.77 % | coh 84.6 % | dominant X | axis fraction 100.0 % | IN TARGET BAND</x:v>
      </x:c>
      <x:c r="C7452" t="str">
        <x:v>Pasted text(59).txt</x:v>
      </x:c>
    </x:row>
    <x:row r="7453">
      <x:c r="A7453" t="n">
        <x:v>3423</x:v>
      </x:c>
      <x:c r="B7453" s="58" t="str">
        <x:v>FINAL | point 2 | DAC 8.00 | CTRL X 0.68235 | X 0.68216 | Y 0.20545 | Z 0.34827 | TOTAL 0.79353 | error 4.98 % | MAD 3.09 % | CV 2.27 % | coh 83.7 % | dominant X | axis fraction 100.0 % | IN TARGET BAND</x:v>
      </x:c>
      <x:c r="C7453" t="str">
        <x:v>Pasted text(59).txt</x:v>
      </x:c>
    </x:row>
    <x:row r="7454">
      <x:c r="A7454" t="n">
        <x:v>3424</x:v>
      </x:c>
      <x:c r="B7454" s="58" t="str">
        <x:v>VALIDATION ACCEPTED | pair drift 1.00 %</x:v>
      </x:c>
      <x:c r="C7454" t="str">
        <x:v>Pasted text(59).txt</x:v>
      </x:c>
    </x:row>
    <x:row r="7455">
      <x:c r="A7455" t="n">
        <x:v>3425</x:v>
      </x:c>
      <x:c r="B7455" s="58" t="str"/>
      <x:c r="C7455" t="str">
        <x:v>Pasted text(59).txt</x:v>
      </x:c>
    </x:row>
    <x:row r="7456">
      <x:c r="A7456" t="n">
        <x:v>3426</x:v>
      </x:c>
      <x:c r="B7456" s="58" t="str">
        <x:v>FINAL VALIDATED BLIND FFT VERIFICATION</x:v>
      </x:c>
      <x:c r="C7456" t="str">
        <x:v>Pasted text(59).txt</x:v>
      </x:c>
    </x:row>
    <x:row r="7457">
      <x:c r="A7457" t="n">
        <x:v>3427</x:v>
      </x:c>
      <x:c r="B7457" s="58" t="str">
        <x:v>Commanded frequency: 268.00000 Hz</x:v>
      </x:c>
      <x:c r="C7457" t="str">
        <x:v>Pasted text(59).txt</x:v>
      </x:c>
    </x:row>
    <x:row r="7458">
      <x:c r="A7458" t="n">
        <x:v>3428</x:v>
      </x:c>
      <x:c r="B7458" s="58" t="str">
        <x:v>Accepted DAC: 8.00</x:v>
      </x:c>
      <x:c r="C7458" t="str">
        <x:v>Pasted text(59).txt</x:v>
      </x:c>
    </x:row>
    <x:row r="7459">
      <x:c r="A7459" t="n">
        <x:v>3429</x:v>
      </x:c>
      <x:c r="B7459" s="58" t="str">
        <x:v>Axis,Frequency_Hz,Amplitude_mps2,SNR_dB,Status</x:v>
      </x:c>
      <x:c r="C7459" t="str">
        <x:v>Pasted text(59).txt</x:v>
      </x:c>
    </x:row>
    <x:row r="7460">
      <x:c r="A7460" t="n">
        <x:v>3430</x:v>
      </x:c>
      <x:c r="B7460" s="58" t="str">
        <x:v>X,268.01520,0.61633,29.44,VALID</x:v>
      </x:c>
      <x:c r="C7460" t="str">
        <x:v>Pasted text(59).txt</x:v>
      </x:c>
    </x:row>
    <x:row r="7461">
      <x:c r="A7461" t="n">
        <x:v>3431</x:v>
      </x:c>
      <x:c r="B7461" s="58" t="str">
        <x:v>Y,267.93768,0.18749,18.07,VALID</x:v>
      </x:c>
      <x:c r="C7461" t="str">
        <x:v>Pasted text(59).txt</x:v>
      </x:c>
    </x:row>
    <x:row r="7462">
      <x:c r="A7462" t="n">
        <x:v>3432</x:v>
      </x:c>
      <x:c r="B7462" s="58" t="str">
        <x:v>Z,268.05528,0.31368,24.47,VALID</x:v>
      </x:c>
      <x:c r="C7462" t="str">
        <x:v>Pasted text(59).txt</x:v>
      </x:c>
    </x:row>
    <x:row r="7463">
      <x:c r="A7463" t="n">
        <x:v>3433</x:v>
      </x:c>
      <x:c r="B7463" s="58" t="str">
        <x:v>Combined frequency: 268.01777 Hz | difference 0.01777 Hz</x:v>
      </x:c>
      <x:c r="C7463" t="str">
        <x:v>Pasted text(59).txt</x:v>
      </x:c>
    </x:row>
    <x:row r="7464">
      <x:c r="A7464" t="n">
        <x:v>3434</x:v>
      </x:c>
      <x:c r="B7464" s="58" t="str">
        <x:v>Combined X/Y/Z/TOTAL: 0.56176 / 0.16855 / 0.28935 / 0.65399</x:v>
      </x:c>
      <x:c r="C7464" t="str">
        <x:v>Pasted text(59).txt</x:v>
      </x:c>
    </x:row>
    <x:row r="7465">
      <x:c r="A7465" t="n">
        <x:v>3435</x:v>
      </x:c>
      <x:c r="B7465" s="58" t="str">
        <x:v>SNR: 25.83 dB | dominant axis X</x:v>
      </x:c>
      <x:c r="C7465" t="str">
        <x:v>Pasted text(59).txt</x:v>
      </x:c>
    </x:row>
    <x:row r="7466">
      <x:c r="A7466" t="n">
        <x:v>3436</x:v>
      </x:c>
      <x:c r="B7466" s="58" t="str">
        <x:v>Frequency verification: PASS</x:v>
      </x:c>
      <x:c r="C7466" t="str">
        <x:v>Pasted text(59).txt</x:v>
      </x:c>
    </x:row>
    <x:row r="7467">
      <x:c r="A7467" t="n">
        <x:v>3437</x:v>
      </x:c>
      <x:c r="B7467" s="58" t="str">
        <x:v>Y/Z dominance: DIAGNOSTIC ONLY — ignored for pass/fail</x:v>
      </x:c>
      <x:c r="C7467" t="str">
        <x:v>Pasted text(59).txt</x:v>
      </x:c>
    </x:row>
    <x:row r="7468">
      <x:c r="A7468" t="n">
        <x:v>3438</x:v>
      </x:c>
      <x:c r="B7468" s="58" t="str"/>
      <x:c r="C7468" t="str">
        <x:v>Pasted text(59).txt</x:v>
      </x:c>
    </x:row>
    <x:row r="7469">
      <x:c r="A7469" t="n">
        <x:v>3439</x:v>
      </x:c>
      <x:c r="B7469" s="58" t="str">
        <x:v>FIXED-DAC HOLD VALIDATION</x:v>
      </x:c>
      <x:c r="C7469" t="str">
        <x:v>Pasted text(59).txt</x:v>
      </x:c>
    </x:row>
    <x:row r="7470">
      <x:c r="A7470" t="n">
        <x:v>3440</x:v>
      </x:c>
      <x:c r="B7470" s="58" t="str">
        <x:v>DAC remains fixed at 8.00 for 10 records.</x:v>
      </x:c>
      <x:c r="C7470" t="str">
        <x:v>Pasted text(59).txt</x:v>
      </x:c>
    </x:row>
    <x:row r="7471">
      <x:c r="A7471" t="n">
        <x:v>3441</x:v>
      </x:c>
      <x:c r="B7471" s="58" t="str">
        <x:v>HOLD | point 1 | DAC 8.00 | CTRL X 0.69756 | X 0.67496 | Y 0.19959 | Z 0.32350 | TOTAL 0.77503 | error 7.32 % | MAD 0.94 % | CV 6.37 % | coh 84.0 % | dominant X | axis fraction 100.0 % | IN TARGET BAND</x:v>
      </x:c>
      <x:c r="C7471" t="str">
        <x:v>Pasted text(59).txt</x:v>
      </x:c>
    </x:row>
    <x:row r="7472">
      <x:c r="A7472" t="n">
        <x:v>3442</x:v>
      </x:c>
      <x:c r="B7472" s="58" t="str">
        <x:v>HOLD | point 2 | DAC 8.00 | CTRL X 0.67276 | X 0.67204 | Y 0.19886 | Z 0.32443 | TOTAL 0.77269 | error 3.50 % | MAD 1.45 % | CV 1.15 % | coh 84.3 % | dominant X | axis fraction 100.0 % | IN TARGET BAND</x:v>
      </x:c>
      <x:c r="C7472" t="str">
        <x:v>Pasted text(59).txt</x:v>
      </x:c>
    </x:row>
    <x:row r="7473">
      <x:c r="A7473" t="n">
        <x:v>3443</x:v>
      </x:c>
      <x:c r="B7473" s="58" t="str">
        <x:v>HOLD | point 3 | DAC 8.00 | CTRL X 0.69184 | X 0.68603 | Y 0.18856 | Z 0.33716 | TOTAL 0.78759 | error 6.44 % | MAD 2.53 % | CV 3.08 % | coh 83.4 % | dominant X | axis fraction 100.0 % | IN TARGET BAND</x:v>
      </x:c>
      <x:c r="C7473" t="str">
        <x:v>Pasted text(59).txt</x:v>
      </x:c>
    </x:row>
    <x:row r="7474">
      <x:c r="A7474" t="n">
        <x:v>3444</x:v>
      </x:c>
      <x:c r="B7474" s="58" t="str">
        <x:v>HOLD | point 4 | DAC 8.00 | CTRL X 0.67231 | X 0.67093 | Y 0.21531 | Z 0.33636 | TOTAL 0.78098 | error 3.43 % | MAD 2.45 % | CV 1.97 % | coh 81.4 % | dominant X | axis fraction 100.0 % | IN TARGET BAND</x:v>
      </x:c>
      <x:c r="C7474" t="str">
        <x:v>Pasted text(59).txt</x:v>
      </x:c>
    </x:row>
    <x:row r="7475">
      <x:c r="A7475" t="n">
        <x:v>3445</x:v>
      </x:c>
      <x:c r="B7475" s="58" t="str">
        <x:v>HOLD | point 5 | DAC 8.00 | CTRL X 0.70134 | X 0.69953 | Y 0.24263 | Z 0.35156 | TOTAL 0.82000 | error 7.90 % | MAD 0.85 % | CV 0.99 % | coh 85.3 % | dominant X | axis fraction 100.0 % | VALID</x:v>
      </x:c>
      <x:c r="C7475" t="str">
        <x:v>Pasted text(59).txt</x:v>
      </x:c>
    </x:row>
    <x:row r="7476">
      <x:c r="A7476" t="n">
        <x:v>3446</x:v>
      </x:c>
      <x:c r="B7476" s="58" t="str">
        <x:v>HOLD | point 6 | DAC 8.00 | CTRL X 0.67707 | X 0.67781 | Y 0.23182 | Z 0.32979 | TOTAL 0.78890 | error 4.16 % | MAD 2.48 % | CV 1.84 % | coh 83.1 % | dominant X | axis fraction 100.0 % | IN TARGET BAND</x:v>
      </x:c>
      <x:c r="C7476" t="str">
        <x:v>Pasted text(59).txt</x:v>
      </x:c>
    </x:row>
    <x:row r="7477">
      <x:c r="A7477" t="n">
        <x:v>3447</x:v>
      </x:c>
      <x:c r="B7477" s="58" t="str">
        <x:v>HOLD | point 7 | DAC 8.00 | CTRL X 0.68057 | X 0.67519 | Y 0.22894 | Z 0.31224 | TOTAL 0.77833 | error 4.70 % | MAD 1.83 % | CV 2.54 % | coh 84.0 % | dominant X | axis fraction 100.0 % | IN TARGET BAND</x:v>
      </x:c>
      <x:c r="C7477" t="str">
        <x:v>Pasted text(59).txt</x:v>
      </x:c>
    </x:row>
    <x:row r="7478">
      <x:c r="A7478" t="n">
        <x:v>3448</x:v>
      </x:c>
      <x:c r="B7478" s="58" t="str">
        <x:v>HOLD | point 8 | DAC 8.00 | CTRL X 0.68458 | X 0.68128 | Y 0.22584 | Z 0.34970 | TOTAL 0.79860 | error 5.32 % | MAD 0.73 % | CV 1.29 % | coh 83.2 % | dominant X | axis fraction 100.0 % | IN TARGET BAND</x:v>
      </x:c>
      <x:c r="C7478" t="str">
        <x:v>Pasted text(59).txt</x:v>
      </x:c>
    </x:row>
    <x:row r="7479">
      <x:c r="A7479" t="n">
        <x:v>3449</x:v>
      </x:c>
      <x:c r="B7479" s="58" t="str">
        <x:v>HOLD | point 9 | DAC 8.00 | CTRL X 0.69494 | X 0.69267 | Y 0.20615 | Z 0.34326 | TOTAL 0.80021 | error 6.91 % | MAD 4.23 % | CV 3.37 % | coh 84.7 % | dominant X | axis fraction 100.0 % | IN TARGET BAND</x:v>
      </x:c>
      <x:c r="C7479" t="str">
        <x:v>Pasted text(59).txt</x:v>
      </x:c>
    </x:row>
    <x:row r="7480">
      <x:c r="A7480" t="n">
        <x:v>3450</x:v>
      </x:c>
      <x:c r="B7480" s="58" t="str">
        <x:v>HOLD | point 10 | DAC 8.00 | CTRL X 0.69275 | X 0.68910 | Y 0.21485 | Z 0.33763 | TOTAL 0.79756 | error 6.58 % | MAD 1.62 % | CV 1.95 % | coh 84.6 % | dominant X | axis fraction 100.0 % | IN TARGET BAND</x:v>
      </x:c>
      <x:c r="C7480" t="str">
        <x:v>Pasted text(59).txt</x:v>
      </x:c>
    </x:row>
    <x:row r="7481">
      <x:c r="A7481" t="n">
        <x:v>3451</x:v>
      </x:c>
      <x:c r="B7481" s="58" t="str"/>
      <x:c r="C7481" t="str">
        <x:v>Pasted text(59).txt</x:v>
      </x:c>
    </x:row>
    <x:row r="7482">
      <x:c r="A7482" t="n">
        <x:v>3452</x:v>
      </x:c>
      <x:c r="B7482" s="58" t="str">
        <x:v>HOLD SUMMARY</x:v>
      </x:c>
      <x:c r="C7482" t="str">
        <x:v>Pasted text(59).txt</x:v>
      </x:c>
    </x:row>
    <x:row r="7483">
      <x:c r="A7483" t="n">
        <x:v>3453</x:v>
      </x:c>
      <x:c r="B7483" s="58" t="str">
        <x:v>Valid / requested: 10 / 10</x:v>
      </x:c>
      <x:c r="C7483" t="str">
        <x:v>Pasted text(59).txt</x:v>
      </x:c>
    </x:row>
    <x:row r="7484">
      <x:c r="A7484" t="n">
        <x:v>3454</x:v>
      </x:c>
      <x:c r="B7484" s="58" t="str">
        <x:v>In band / requested: 9 / 10 = 90.0 %</x:v>
      </x:c>
      <x:c r="C7484" t="str">
        <x:v>Pasted text(59).txt</x:v>
      </x:c>
    </x:row>
    <x:row r="7485">
      <x:c r="A7485" t="n">
        <x:v>3455</x:v>
      </x:c>
      <x:c r="B7485" s="58" t="str">
        <x:v>Mean / SD / CV: 0.68657 / 0.01054 / 1.53 %</x:v>
      </x:c>
      <x:c r="C7485" t="str">
        <x:v>Pasted text(59).txt</x:v>
      </x:c>
    </x:row>
    <x:row r="7486">
      <x:c r="A7486" t="n">
        <x:v>3456</x:v>
      </x:c>
      <x:c r="B7486" s="58" t="str">
        <x:v>Min / Max: 0.67231 / 0.70134</x:v>
      </x:c>
      <x:c r="C7486" t="str">
        <x:v>Pasted text(59).txt</x:v>
      </x:c>
    </x:row>
    <x:row r="7487">
      <x:c r="A7487" t="n">
        <x:v>3457</x:v>
      </x:c>
      <x:c r="B7487" s="58" t="str">
        <x:v>HOLD RESULT: PASS</x:v>
      </x:c>
      <x:c r="C7487" t="str">
        <x:v>Pasted text(59).txt</x:v>
      </x:c>
    </x:row>
    <x:row r="7488">
      <x:c r="A7488" t="n">
        <x:v>3458</x:v>
      </x:c>
      <x:c r="B7488" s="58" t="str"/>
      <x:c r="C7488" t="str">
        <x:v>Pasted text(59).txt</x:v>
      </x:c>
    </x:row>
    <x:row r="7489">
      <x:c r="A7489" t="n">
        <x:v>3459</x:v>
      </x:c>
      <x:c r="B7489" s="58" t="str">
        <x:v>RUN RESULT: PASS</x:v>
      </x:c>
      <x:c r="C7489" t="str">
        <x:v>Pasted text(59).txt</x:v>
      </x:c>
    </x:row>
    <x:row r="7490">
      <x:c r="A7490" t="n">
        <x:v>3460</x:v>
      </x:c>
      <x:c r="B7490" s="58" t="str">
        <x:v>Selected DAC: 8.00</x:v>
      </x:c>
      <x:c r="C7490" t="str">
        <x:v>Pasted text(59).txt</x:v>
      </x:c>
    </x:row>
    <x:row r="7491">
      <x:c r="A7491" t="n">
        <x:v>3461</x:v>
      </x:c>
      <x:c r="B7491" s="58" t="str">
        <x:v>Validated amplitude: 0.68577 m/s^2 | error 5.50 %</x:v>
      </x:c>
      <x:c r="C7491" t="str">
        <x:v>Pasted text(59).txt</x:v>
      </x:c>
    </x:row>
    <x:row r="7492">
      <x:c r="A7492" t="n">
        <x:v>3462</x:v>
      </x:c>
      <x:c r="B7492" s="58" t="str">
        <x:v>FFT frequency: 268.01777 Hz | difference 0.01777 Hz</x:v>
      </x:c>
      <x:c r="C7492" t="str">
        <x:v>Pasted text(59).txt</x:v>
      </x:c>
    </x:row>
    <x:row r="7493">
      <x:c r="A7493" t="n">
        <x:v>3463</x:v>
      </x:c>
      <x:c r="B7493" s="58" t="str"/>
      <x:c r="C7493" t="str">
        <x:v>Pasted text(59).txt</x:v>
      </x:c>
    </x:row>
    <x:row r="7494">
      <x:c r="A7494" t="n">
        <x:v>3464</x:v>
      </x:c>
      <x:c r="B7494" s="58" t="str">
        <x:v>VISATON OFF. RESTING 5.0 s BEFORE THE NEXT COMPLETELY FRESH RUN.</x:v>
      </x:c>
      <x:c r="C7494" t="str">
        <x:v>Pasted text(59).txt</x:v>
      </x:c>
    </x:row>
    <x:row r="7495">
      <x:c r="A7495" t="n">
        <x:v>3465</x:v>
      </x:c>
      <x:c r="B7495" s="58" t="str"/>
      <x:c r="C7495" t="str">
        <x:v>Pasted text(59).txt</x:v>
      </x:c>
    </x:row>
    <x:row r="7496">
      <x:c r="A7496" t="n">
        <x:v>3466</x:v>
      </x:c>
      <x:c r="B7496" s="58" t="str">
        <x:v>################################################################################</x:v>
      </x:c>
      <x:c r="C7496" t="str">
        <x:v>Pasted text(59).txt</x:v>
      </x:c>
    </x:row>
    <x:row r="7497">
      <x:c r="A7497" t="n">
        <x:v>3467</x:v>
      </x:c>
      <x:c r="B7497" s="58" t="str">
        <x:v>INDEPENDENT TARGET-AMPLITUDE RUN 2 OF 5</x:v>
      </x:c>
      <x:c r="C7497" t="str">
        <x:v>Pasted text(59).txt</x:v>
      </x:c>
    </x:row>
    <x:row r="7498">
      <x:c r="A7498" t="n">
        <x:v>3468</x:v>
      </x:c>
      <x:c r="B7498" s="58" t="str">
        <x:v>################################################################################</x:v>
      </x:c>
      <x:c r="C7498" t="str">
        <x:v>Pasted text(59).txt</x:v>
      </x:c>
    </x:row>
    <x:row r="7499">
      <x:c r="A7499" t="n">
        <x:v>3469</x:v>
      </x:c>
      <x:c r="B7499" s="58" t="str">
        <x:v>Frequency: 268.00000 Hz</x:v>
      </x:c>
      <x:c r="C7499" t="str">
        <x:v>Pasted text(59).txt</x:v>
      </x:c>
    </x:row>
    <x:row r="7500">
      <x:c r="A7500" t="n">
        <x:v>3470</x:v>
      </x:c>
      <x:c r="B7500" s="58" t="str">
        <x:v>Target X amplitude: 0.65000 m/s^2 peak, tolerance +/-7.50 %</x:v>
      </x:c>
      <x:c r="C7500" t="str">
        <x:v>Pasted text(59).txt</x:v>
      </x:c>
    </x:row>
    <x:row r="7501">
      <x:c r="A7501" t="n">
        <x:v>3471</x:v>
      </x:c>
      <x:c r="B7501" s="58" t="str">
        <x:v>This run starts from DAC 1.00 and ignores every earlier selected DAC.</x:v>
      </x:c>
      <x:c r="C7501" t="str">
        <x:v>Pasted text(59).txt</x:v>
      </x:c>
    </x:row>
    <x:row r="7502">
      <x:c r="A7502" t="n">
        <x:v>3472</x:v>
      </x:c>
      <x:c r="B7502" s="58" t="str">
        <x:v>ADXL2 DEVID/DATA_FORMAT/BW_RATE/POWER_CTL: 0xE5 / 0xB / 0xE / 0x8</x:v>
      </x:c>
      <x:c r="C7502" t="str">
        <x:v>Pasted text(59).txt</x:v>
      </x:c>
    </x:row>
    <x:row r="7503">
      <x:c r="A7503" t="n">
        <x:v>3473</x:v>
      </x:c>
      <x:c r="B7503" s="58" t="str"/>
      <x:c r="C7503" t="str">
        <x:v>Pasted text(59).txt</x:v>
      </x:c>
    </x:row>
    <x:row r="7504">
      <x:c r="A7504" t="n">
        <x:v>3474</x:v>
      </x:c>
      <x:c r="B7504" s="58" t="str">
        <x:v>ACQUISITION ATTEMPT 1 OF 2</x:v>
      </x:c>
      <x:c r="C7504" t="str">
        <x:v>Pasted text(59).txt</x:v>
      </x:c>
    </x:row>
    <x:row r="7505">
      <x:c r="A7505" t="n">
        <x:v>3475</x:v>
      </x:c>
      <x:c r="B7505" s="58" t="str"/>
      <x:c r="C7505" t="str">
        <x:v>Pasted text(59).txt</x:v>
      </x:c>
    </x:row>
    <x:row r="7506">
      <x:c r="A7506" t="n">
        <x:v>3476</x:v>
      </x:c>
      <x:c r="B7506" s="58" t="str">
        <x:v>FRESH X-AXIS SEARCH FROM DAC 1.00 — OLD DAC VALUES ARE NOT USED</x:v>
      </x:c>
      <x:c r="C7506" t="str">
        <x:v>Pasted text(59).txt</x:v>
      </x:c>
    </x:row>
    <x:row r="7507">
      <x:c r="A7507" t="n">
        <x:v>3477</x:v>
      </x:c>
      <x:c r="B7507" s="58" t="str">
        <x:v>Y/Z are diagnostic only and cannot abort this search.</x:v>
      </x:c>
      <x:c r="C7507" t="str">
        <x:v>Pasted text(59).txt</x:v>
      </x:c>
    </x:row>
    <x:row r="7508">
      <x:c r="A7508" t="n">
        <x:v>3478</x:v>
      </x:c>
      <x:c r="B7508" s="58" t="str">
        <x:v>A real SPI fault, clipping, safety limit or confirmed X-response collapse will stop it.</x:v>
      </x:c>
      <x:c r="C7508" t="str">
        <x:v>Pasted text(59).txt</x:v>
      </x:c>
    </x:row>
    <x:row r="7509">
      <x:c r="A7509" t="n">
        <x:v>3479</x:v>
      </x:c>
      <x:c r="B7509" s="58" t="str">
        <x:v>SEARCH | point 1 | DAC 1.00 | CTRL X 0.03676 | X 0.03395 | Y 0.04269 | Z 0.00650 | TOTAL 0.05731 | error -94.35 % | MAD 22.61 % | CV 11.67 % | coh 10.9 % | dominant Y | axis fraction 79.5 % | BELOW MEASUREMENT FLOOR — SEARCH CONTINUES</x:v>
      </x:c>
      <x:c r="C7509" t="str">
        <x:v>Pasted text(59).txt</x:v>
      </x:c>
    </x:row>
    <x:row r="7510">
      <x:c r="A7510" t="n">
        <x:v>3480</x:v>
      </x:c>
      <x:c r="B7510" s="58" t="str">
        <x:v>SEARCH | point 2 | DAC 3.00 | CTRL X 0.17687 | X 0.17619 | Y 0.05450 | Z 0.09488 | TOTAL 0.20830 | error -72.79 % | MAD 15.77 % | CV 11.27 % | coh 39.8 % | dominant X | axis fraction 100.0 % | UNSTABLE — SEARCH CONTINUES</x:v>
      </x:c>
      <x:c r="C7510" t="str">
        <x:v>Pasted text(59).txt</x:v>
      </x:c>
    </x:row>
    <x:row r="7511">
      <x:c r="A7511" t="n">
        <x:v>3481</x:v>
      </x:c>
      <x:c r="B7511" s="58" t="str">
        <x:v>SEARCH | point 3 | DAC 4.00 | CTRL X 0.26959 | X 0.26128 | Y 0.09651 | Z 0.16876 | TOTAL 0.32888 | error -58.52 % | MAD 5.83 % | CV 9.25 % | coh 55.4 % | dominant X | axis fraction 100.0 % | VALID</x:v>
      </x:c>
      <x:c r="C7511" t="str">
        <x:v>Pasted text(59).txt</x:v>
      </x:c>
    </x:row>
    <x:row r="7512">
      <x:c r="A7512" t="n">
        <x:v>3482</x:v>
      </x:c>
      <x:c r="B7512" s="58" t="str">
        <x:v>SEARCH | point 4 | DAC 5.00 | CTRL X 0.36848 | X 0.36206 | Y 0.12595 | Z 0.18704 | TOTAL 0.42712 | error -43.31 % | MAD 8.13 % | CV 8.38 % | coh 66.0 % | dominant X | axis fraction 100.0 % | VALID</x:v>
      </x:c>
      <x:c r="C7512" t="str">
        <x:v>Pasted text(59).txt</x:v>
      </x:c>
    </x:row>
    <x:row r="7513">
      <x:c r="A7513" t="n">
        <x:v>3483</x:v>
      </x:c>
      <x:c r="B7513" s="58" t="str">
        <x:v>SEARCH | point 5 | DAC 6.00 | CTRL X 0.47803 | X 0.48325 | Y 0.13269 | Z 0.25373 | TOTAL 0.56232 | error -26.46 % | MAD 4.59 % | CV 4.77 % | coh 76.7 % | dominant X | axis fraction 100.0 % | VALID</x:v>
      </x:c>
      <x:c r="C7513" t="str">
        <x:v>Pasted text(59).txt</x:v>
      </x:c>
    </x:row>
    <x:row r="7514">
      <x:c r="A7514" t="n">
        <x:v>3484</x:v>
      </x:c>
      <x:c r="B7514" s="58" t="str">
        <x:v>SEARCH | point 6 | DAC 6.50 | CTRL X 0.48677 | X 0.49553 | Y 0.15653 | Z 0.26443 | TOTAL 0.58322 | error -25.11 % | MAD 2.72 % | CV 4.71 % | coh 78.2 % | dominant X | axis fraction 100.0 % | VALID</x:v>
      </x:c>
      <x:c r="C7514" t="str">
        <x:v>Pasted text(59).txt</x:v>
      </x:c>
    </x:row>
    <x:row r="7515">
      <x:c r="A7515" t="n">
        <x:v>3485</x:v>
      </x:c>
      <x:c r="B7515" s="58" t="str">
        <x:v>SEARCH | point 7 | DAC 7.00 | CTRL X 0.57916 | X 0.57359 | Y 0.18917 | Z 0.30061 | TOTAL 0.67488 | error -10.90 % | MAD 3.34 % | CV 3.82 % | coh 80.8 % | dominant X | axis fraction 100.0 % | VALID</x:v>
      </x:c>
      <x:c r="C7515" t="str">
        <x:v>Pasted text(59).txt</x:v>
      </x:c>
    </x:row>
    <x:row r="7516">
      <x:c r="A7516" t="n">
        <x:v>3486</x:v>
      </x:c>
      <x:c r="B7516" s="58" t="str">
        <x:v>SEARCH | point 8 | DAC 7.25 | CTRL X 0.59506 | X 0.60085 | Y 0.19853 | Z 0.33261 | TOTAL 0.71509 | error -8.45 % | MAD 0.79 % | CV 2.14 % | coh 82.9 % | dominant X | axis fraction 100.0 % | VALID</x:v>
      </x:c>
      <x:c r="C7516" t="str">
        <x:v>Pasted text(59).txt</x:v>
      </x:c>
    </x:row>
    <x:row r="7517">
      <x:c r="A7517" t="n">
        <x:v>3487</x:v>
      </x:c>
      <x:c r="B7517" s="58" t="str">
        <x:v>SEARCH | point 9 | DAC 7.50 | CTRL X 0.61020 | X 0.59760 | Y 0.18927 | Z 0.32064 | TOTAL 0.70428 | error -6.12 % | MAD 2.22 % | CV 5.03 % | coh 83.8 % | dominant X | axis fraction 100.0 % | IN TARGET BAND</x:v>
      </x:c>
      <x:c r="C7517" t="str">
        <x:v>Pasted text(59).txt</x:v>
      </x:c>
    </x:row>
    <x:row r="7518">
      <x:c r="A7518" t="n">
        <x:v>3488</x:v>
      </x:c>
      <x:c r="B7518" s="58" t="str"/>
      <x:c r="C7518" t="str">
        <x:v>Pasted text(59).txt</x:v>
      </x:c>
    </x:row>
    <x:row r="7519">
      <x:c r="A7519" t="n">
        <x:v>3489</x:v>
      </x:c>
      <x:c r="B7519" s="58" t="str">
        <x:v>LOCAL 0.25-DAC X-AXIS FINE SCAN</x:v>
      </x:c>
      <x:c r="C7519" t="str">
        <x:v>Pasted text(59).txt</x:v>
      </x:c>
    </x:row>
    <x:row r="7520">
      <x:c r="A7520" t="n">
        <x:v>3490</x:v>
      </x:c>
      <x:c r="B7520" s="58" t="str">
        <x:v>Only a valid point actually inside the X target band may be selected.</x:v>
      </x:c>
      <x:c r="C7520" t="str">
        <x:v>Pasted text(59).txt</x:v>
      </x:c>
    </x:row>
    <x:row r="7521">
      <x:c r="A7521" t="n">
        <x:v>3491</x:v>
      </x:c>
      <x:c r="B7521" s="58" t="str">
        <x:v>FINE | point 1 | DAC 6.50 | CTRL X 0.47736 | X 0.48484 | Y 0.15473 | Z 0.26176 | TOTAL 0.57270 | error -26.56 % | MAD 0.41 % | CV 2.91 % | coh 79.4 % | dominant X | axis fraction 100.0 % | VALID</x:v>
      </x:c>
      <x:c r="C7521" t="str">
        <x:v>Pasted text(59).txt</x:v>
      </x:c>
    </x:row>
    <x:row r="7522">
      <x:c r="A7522" t="n">
        <x:v>3492</x:v>
      </x:c>
      <x:c r="B7522" s="58" t="str">
        <x:v>FINE | point 2 | DAC 6.75 | CTRL X 0.54694 | X 0.54236 | Y 0.19234 | Z 0.29462 | TOTAL 0.64676 | error -15.86 % | MAD 5.53 % | CV 5.08 % | coh 76.5 % | dominant X | axis fraction 100.0 % | VALID</x:v>
      </x:c>
      <x:c r="C7522" t="str">
        <x:v>Pasted text(59).txt</x:v>
      </x:c>
    </x:row>
    <x:row r="7523">
      <x:c r="A7523" t="n">
        <x:v>3493</x:v>
      </x:c>
      <x:c r="B7523" s="58" t="str">
        <x:v>FINE | point 3 | DAC 7.00 | CTRL X 0.58950 | X 0.57781 | Y 0.16442 | Z 0.28560 | TOTAL 0.66546 | error -9.31 % | MAD 0.54 % | CV 3.83 % | coh 80.3 % | dominant X | axis fraction 100.0 % | VALID</x:v>
      </x:c>
      <x:c r="C7523" t="str">
        <x:v>Pasted text(59).txt</x:v>
      </x:c>
    </x:row>
    <x:row r="7524">
      <x:c r="A7524" t="n">
        <x:v>3494</x:v>
      </x:c>
      <x:c r="B7524" s="58" t="str">
        <x:v>FINE | point 4 | DAC 7.25 | CTRL X 0.59164 | X 0.58975 | Y 0.17872 | Z 0.28799 | TOTAL 0.68086 | error -8.98 % | MAD 1.27 % | CV 1.37 % | coh 82.0 % | dominant X | axis fraction 100.0 % | VALID</x:v>
      </x:c>
      <x:c r="C7524" t="str">
        <x:v>Pasted text(59).txt</x:v>
      </x:c>
    </x:row>
    <x:row r="7525">
      <x:c r="A7525" t="n">
        <x:v>3495</x:v>
      </x:c>
      <x:c r="B7525" s="58" t="str">
        <x:v>FINE | point 5 | DAC 7.50 | CTRL X 0.60172 | X 0.59701 | Y 0.17547 | Z 0.29680 | TOTAL 0.69065 | error -7.43 % | MAD 0.23 % | CV 1.50 % | coh 83.8 % | dominant X | axis fraction 100.0 % | IN TARGET BAND</x:v>
      </x:c>
      <x:c r="C7525" t="str">
        <x:v>Pasted text(59).txt</x:v>
      </x:c>
    </x:row>
    <x:row r="7526">
      <x:c r="A7526" t="n">
        <x:v>3496</x:v>
      </x:c>
      <x:c r="B7526" s="58" t="str">
        <x:v>FINE | point 6 | DAC 7.75 | CTRL X 0.64080 | X 0.64677 | Y 0.19091 | Z 0.31703 | TOTAL 0.74525 | error -1.42 % | MAD 3.22 % | CV 3.63 % | coh 81.3 % | dominant X | axis fraction 100.0 % | IN TARGET BAND</x:v>
      </x:c>
      <x:c r="C7526" t="str">
        <x:v>Pasted text(59).txt</x:v>
      </x:c>
    </x:row>
    <x:row r="7527">
      <x:c r="A7527" t="n">
        <x:v>3497</x:v>
      </x:c>
      <x:c r="B7527" s="58" t="str">
        <x:v>FINE | point 7 | DAC 8.00 | CTRL X 0.66176 | X 0.66838 | Y 0.21901 | Z 0.34048 | TOTAL 0.78190 | error 1.81 % | MAD 1.10 % | CV 2.38 % | coh 84.7 % | dominant X | axis fraction 100.0 % | IN TARGET BAND</x:v>
      </x:c>
      <x:c r="C7527" t="str">
        <x:v>Pasted text(59).txt</x:v>
      </x:c>
    </x:row>
    <x:row r="7528">
      <x:c r="A7528" t="n">
        <x:v>3498</x:v>
      </x:c>
      <x:c r="B7528" s="58" t="str">
        <x:v>FINE | point 8 | DAC 8.25 | CTRL X 0.69705 | X 0.70209 | Y 0.21043 | Z 0.36945 | TOTAL 0.82101 | error 7.24 % | MAD 1.84 % | CV 2.39 % | coh 85.8 % | dominant X | axis fraction 100.0 % | IN TARGET BAND</x:v>
      </x:c>
      <x:c r="C7528" t="str">
        <x:v>Pasted text(59).txt</x:v>
      </x:c>
    </x:row>
    <x:row r="7529">
      <x:c r="A7529" t="n">
        <x:v>3499</x:v>
      </x:c>
      <x:c r="B7529" s="58" t="str">
        <x:v>FINE | point 9 | DAC 8.50 | CTRL X 0.69294 | X 0.69330 | Y 0.22993 | Z 0.36088 | TOTAL 0.81487 | error 6.61 % | MAD 0.85 % | CV 0.65 % | coh 84.5 % | dominant X | axis fraction 100.0 % | IN TARGET BAND</x:v>
      </x:c>
      <x:c r="C7529" t="str">
        <x:v>Pasted text(59).txt</x:v>
      </x:c>
    </x:row>
    <x:row r="7530">
      <x:c r="A7530" t="n">
        <x:v>3500</x:v>
      </x:c>
      <x:c r="B7530" s="58" t="str"/>
      <x:c r="C7530" t="str">
        <x:v>Pasted text(59).txt</x:v>
      </x:c>
    </x:row>
    <x:row r="7531">
      <x:c r="A7531" t="n">
        <x:v>3501</x:v>
      </x:c>
      <x:c r="B7531" s="58" t="str">
        <x:v>LONG VALIDATION AT FIXED DAC 8.00</x:v>
      </x:c>
      <x:c r="C7531" t="str">
        <x:v>Pasted text(59).txt</x:v>
      </x:c>
    </x:row>
    <x:row r="7532">
      <x:c r="A7532" t="n">
        <x:v>3502</x:v>
      </x:c>
      <x:c r="B7532" s="58" t="str">
        <x:v>FINAL | point 1 | DAC 8.00 | CTRL X 0.69875 | X 0.68861 | Y 0.20523 | Z 0.34513 | TOTAL 0.79736 | error 7.50 % | MAD 2.57 % | CV 3.96 % | coh 84.4 % | dominant X | axis fraction 100.0 % | IN TARGET BAND</x:v>
      </x:c>
      <x:c r="C7532" t="str">
        <x:v>Pasted text(59).txt</x:v>
      </x:c>
    </x:row>
    <x:row r="7533">
      <x:c r="A7533" t="n">
        <x:v>3503</x:v>
      </x:c>
      <x:c r="B7533" s="58" t="str">
        <x:v>FINAL | point 2 | DAC 8.00 | CTRL X 0.66932 | X 0.67161 | Y 0.21023 | Z 0.33213 | TOTAL 0.77852 | error 2.97 % | MAD 3.70 % | CV 2.46 % | coh 83.8 % | dominant X | axis fraction 100.0 % | IN TARGET BAND</x:v>
      </x:c>
      <x:c r="C7533" t="str">
        <x:v>Pasted text(59).txt</x:v>
      </x:c>
    </x:row>
    <x:row r="7534">
      <x:c r="A7534" t="n">
        <x:v>3504</x:v>
      </x:c>
      <x:c r="B7534" s="58" t="str">
        <x:v>VALIDATION ACCEPTED | pair drift 4.30 %</x:v>
      </x:c>
      <x:c r="C7534" t="str">
        <x:v>Pasted text(59).txt</x:v>
      </x:c>
    </x:row>
    <x:row r="7535">
      <x:c r="A7535" t="n">
        <x:v>3505</x:v>
      </x:c>
      <x:c r="B7535" s="58" t="str"/>
      <x:c r="C7535" t="str">
        <x:v>Pasted text(59).txt</x:v>
      </x:c>
    </x:row>
    <x:row r="7536">
      <x:c r="A7536" t="n">
        <x:v>3506</x:v>
      </x:c>
      <x:c r="B7536" s="58" t="str">
        <x:v>FINAL VALIDATED BLIND FFT VERIFICATION</x:v>
      </x:c>
      <x:c r="C7536" t="str">
        <x:v>Pasted text(59).txt</x:v>
      </x:c>
    </x:row>
    <x:row r="7537">
      <x:c r="A7537" t="n">
        <x:v>3507</x:v>
      </x:c>
      <x:c r="B7537" s="58" t="str">
        <x:v>Commanded frequency: 268.00000 Hz</x:v>
      </x:c>
      <x:c r="C7537" t="str">
        <x:v>Pasted text(59).txt</x:v>
      </x:c>
    </x:row>
    <x:row r="7538">
      <x:c r="A7538" t="n">
        <x:v>3508</x:v>
      </x:c>
      <x:c r="B7538" s="58" t="str">
        <x:v>Accepted DAC: 8.00</x:v>
      </x:c>
      <x:c r="C7538" t="str">
        <x:v>Pasted text(59).txt</x:v>
      </x:c>
    </x:row>
    <x:row r="7539">
      <x:c r="A7539" t="n">
        <x:v>3509</x:v>
      </x:c>
      <x:c r="B7539" s="58" t="str">
        <x:v>Axis,Frequency_Hz,Amplitude_mps2,SNR_dB,Status</x:v>
      </x:c>
      <x:c r="C7539" t="str">
        <x:v>Pasted text(59).txt</x:v>
      </x:c>
    </x:row>
    <x:row r="7540">
      <x:c r="A7540" t="n">
        <x:v>3510</x:v>
      </x:c>
      <x:c r="B7540" s="58" t="str">
        <x:v>X,268.02007,0.61551,29.79,VALID</x:v>
      </x:c>
      <x:c r="C7540" t="str">
        <x:v>Pasted text(59).txt</x:v>
      </x:c>
    </x:row>
    <x:row r="7541">
      <x:c r="A7541" t="n">
        <x:v>3511</x:v>
      </x:c>
      <x:c r="B7541" s="58" t="str">
        <x:v>Y,268.04361,0.18665,18.11,VALID</x:v>
      </x:c>
      <x:c r="C7541" t="str">
        <x:v>Pasted text(59).txt</x:v>
      </x:c>
    </x:row>
    <x:row r="7542">
      <x:c r="A7542" t="n">
        <x:v>3512</x:v>
      </x:c>
      <x:c r="B7542" s="58" t="str">
        <x:v>Z,268.04409,0.30928,24.88,VALID</x:v>
      </x:c>
      <x:c r="C7542" t="str">
        <x:v>Pasted text(59).txt</x:v>
      </x:c>
    </x:row>
    <x:row r="7543">
      <x:c r="A7543" t="n">
        <x:v>3513</x:v>
      </x:c>
      <x:c r="B7543" s="58" t="str">
        <x:v>Combined frequency: 268.02628 Hz | difference 0.02628 Hz</x:v>
      </x:c>
      <x:c r="C7543" t="str">
        <x:v>Pasted text(59).txt</x:v>
      </x:c>
    </x:row>
    <x:row r="7544">
      <x:c r="A7544" t="n">
        <x:v>3514</x:v>
      </x:c>
      <x:c r="B7544" s="58" t="str">
        <x:v>Combined X/Y/Z/TOTAL: 0.56130 / 0.17096 / 0.28322 / 0.65154</x:v>
      </x:c>
      <x:c r="C7544" t="str">
        <x:v>Pasted text(59).txt</x:v>
      </x:c>
    </x:row>
    <x:row r="7545">
      <x:c r="A7545" t="n">
        <x:v>3515</x:v>
      </x:c>
      <x:c r="B7545" s="58" t="str">
        <x:v>SNR: 26.10 dB | dominant axis X</x:v>
      </x:c>
      <x:c r="C7545" t="str">
        <x:v>Pasted text(59).txt</x:v>
      </x:c>
    </x:row>
    <x:row r="7546">
      <x:c r="A7546" t="n">
        <x:v>3516</x:v>
      </x:c>
      <x:c r="B7546" s="58" t="str">
        <x:v>Frequency verification: PASS</x:v>
      </x:c>
      <x:c r="C7546" t="str">
        <x:v>Pasted text(59).txt</x:v>
      </x:c>
    </x:row>
    <x:row r="7547">
      <x:c r="A7547" t="n">
        <x:v>3517</x:v>
      </x:c>
      <x:c r="B7547" s="58" t="str">
        <x:v>Y/Z dominance: DIAGNOSTIC ONLY — ignored for pass/fail</x:v>
      </x:c>
      <x:c r="C7547" t="str">
        <x:v>Pasted text(59).txt</x:v>
      </x:c>
    </x:row>
    <x:row r="7548">
      <x:c r="A7548" t="n">
        <x:v>3518</x:v>
      </x:c>
      <x:c r="B7548" s="58" t="str"/>
      <x:c r="C7548" t="str">
        <x:v>Pasted text(59).txt</x:v>
      </x:c>
    </x:row>
    <x:row r="7549">
      <x:c r="A7549" t="n">
        <x:v>3519</x:v>
      </x:c>
      <x:c r="B7549" s="58" t="str">
        <x:v>FIXED-DAC HOLD VALIDATION</x:v>
      </x:c>
      <x:c r="C7549" t="str">
        <x:v>Pasted text(59).txt</x:v>
      </x:c>
    </x:row>
    <x:row r="7550">
      <x:c r="A7550" t="n">
        <x:v>3520</x:v>
      </x:c>
      <x:c r="B7550" s="58" t="str">
        <x:v>DAC remains fixed at 8.00 for 10 records.</x:v>
      </x:c>
      <x:c r="C7550" t="str">
        <x:v>Pasted text(59).txt</x:v>
      </x:c>
    </x:row>
    <x:row r="7551">
      <x:c r="A7551" t="n">
        <x:v>3521</x:v>
      </x:c>
      <x:c r="B7551" s="58" t="str">
        <x:v>HOLD | point 1 | DAC 8.00 | CTRL X 0.69501 | X 0.69132 | Y 0.20182 | Z 0.34626 | TOTAL 0.79966 | error 6.92 % | MAD 0.34 % | CV 1.13 % | coh 84.8 % | dominant X | axis fraction 100.0 % | IN TARGET BAND</x:v>
      </x:c>
      <x:c r="C7551" t="str">
        <x:v>Pasted text(59).txt</x:v>
      </x:c>
    </x:row>
    <x:row r="7552">
      <x:c r="A7552" t="n">
        <x:v>3522</x:v>
      </x:c>
      <x:c r="B7552" s="58" t="str">
        <x:v>HOLD | point 2 | DAC 8.00 | CTRL X 0.69385 | X 0.67975 | Y 0.20606 | Z 0.33043 | TOTAL 0.78346 | error 6.75 % | MAD 0.06 % | CV 3.63 % | coh 85.0 % | dominant X | axis fraction 100.0 % | IN TARGET BAND</x:v>
      </x:c>
      <x:c r="C7552" t="str">
        <x:v>Pasted text(59).txt</x:v>
      </x:c>
    </x:row>
    <x:row r="7553">
      <x:c r="A7553" t="n">
        <x:v>3523</x:v>
      </x:c>
      <x:c r="B7553" s="58" t="str">
        <x:v>HOLD | point 3 | DAC 8.00 | CTRL X 0.65794 | X 0.66421 | Y 0.20583 | Z 0.33295 | TOTAL 0.77160 | error 1.22 % | MAD 4.72 % | CV 4.64 % | coh 83.1 % | dominant X | axis fraction 100.0 % | IN TARGET BAND</x:v>
      </x:c>
      <x:c r="C7553" t="str">
        <x:v>Pasted text(59).txt</x:v>
      </x:c>
    </x:row>
    <x:row r="7554">
      <x:c r="A7554" t="n">
        <x:v>3524</x:v>
      </x:c>
      <x:c r="B7554" s="58" t="str">
        <x:v>HOLD | point 4 | DAC 8.00 | CTRL X 0.68399 | X 0.68474 | Y 0.18812 | Z 0.31717 | TOTAL 0.77786 | error 5.23 % | MAD 2.68 % | CV 1.97 % | coh 84.4 % | dominant X | axis fraction 100.0 % | IN TARGET BAND</x:v>
      </x:c>
      <x:c r="C7554" t="str">
        <x:v>Pasted text(59).txt</x:v>
      </x:c>
    </x:row>
    <x:row r="7555">
      <x:c r="A7555" t="n">
        <x:v>3525</x:v>
      </x:c>
      <x:c r="B7555" s="58" t="str">
        <x:v>HOLD | point 5 | DAC 8.00 | CTRL X 0.67383 | X 0.67739 | Y 0.18062 | Z 0.32048 | TOTAL 0.77176 | error 3.67 % | MAD 1.73 % | CV 2.00 % | coh 84.2 % | dominant X | axis fraction 100.0 % | IN TARGET BAND</x:v>
      </x:c>
      <x:c r="C7555" t="str">
        <x:v>Pasted text(59).txt</x:v>
      </x:c>
    </x:row>
    <x:row r="7556">
      <x:c r="A7556" t="n">
        <x:v>3526</x:v>
      </x:c>
      <x:c r="B7556" s="58" t="str">
        <x:v>HOLD | point 6 | DAC 8.00 | CTRL X 0.67778 | X 0.67811 | Y 0.20156 | Z 0.34203 | TOTAL 0.78653 | error 4.27 % | MAD 0.57 % | CV 0.46 % | coh 83.6 % | dominant X | axis fraction 100.0 % | IN TARGET BAND</x:v>
      </x:c>
      <x:c r="C7556" t="str">
        <x:v>Pasted text(59).txt</x:v>
      </x:c>
    </x:row>
    <x:row r="7557">
      <x:c r="A7557" t="n">
        <x:v>3527</x:v>
      </x:c>
      <x:c r="B7557" s="58" t="str">
        <x:v>HOLD | point 7 | DAC 8.00 | CTRL X 0.67192 | X 0.67284 | Y 0.20931 | Z 0.35252 | TOTAL 0.78889 | error 3.37 % | MAD 2.74 % | CV 2.05 % | coh 83.1 % | dominant X | axis fraction 100.0 % | IN TARGET BAND</x:v>
      </x:c>
      <x:c r="C7557" t="str">
        <x:v>Pasted text(59).txt</x:v>
      </x:c>
    </x:row>
    <x:row r="7558">
      <x:c r="A7558" t="n">
        <x:v>3528</x:v>
      </x:c>
      <x:c r="B7558" s="58" t="str">
        <x:v>HOLD | point 8 | DAC 8.00 | CTRL X 0.66628 | X 0.67145 | Y 0.20099 | Z 0.31757 | TOTAL 0.76981 | error 2.51 % | MAD 1.45 % | CV 2.22 % | coh 83.7 % | dominant X | axis fraction 100.0 % | IN TARGET BAND</x:v>
      </x:c>
      <x:c r="C7558" t="str">
        <x:v>Pasted text(59).txt</x:v>
      </x:c>
    </x:row>
    <x:row r="7559">
      <x:c r="A7559" t="n">
        <x:v>3529</x:v>
      </x:c>
      <x:c r="B7559" s="58" t="str">
        <x:v>HOLD | point 9 | DAC 8.00 | CTRL X 0.66621 | X 0.66614 | Y 0.19735 | Z 0.35035 | TOTAL 0.77835 | error 2.49 % | MAD 0.95 % | CV 0.65 % | coh 83.3 % | dominant X | axis fraction 100.0 % | IN TARGET BAND</x:v>
      </x:c>
      <x:c r="C7559" t="str">
        <x:v>Pasted text(59).txt</x:v>
      </x:c>
    </x:row>
    <x:row r="7560">
      <x:c r="A7560" t="n">
        <x:v>3530</x:v>
      </x:c>
      <x:c r="B7560" s="58" t="str">
        <x:v>HOLD | point 10 | DAC 8.00 | CTRL X 0.66366 | X 0.67306 | Y 0.19632 | Z 0.33232 | TOTAL 0.77633 | error 2.10 % | MAD 0.44 % | CV 2.67 % | coh 84.9 % | dominant X | axis fraction 100.0 % | IN TARGET BAND</x:v>
      </x:c>
      <x:c r="C7560" t="str">
        <x:v>Pasted text(59).txt</x:v>
      </x:c>
    </x:row>
    <x:row r="7561">
      <x:c r="A7561" t="n">
        <x:v>3531</x:v>
      </x:c>
      <x:c r="B7561" s="58" t="str"/>
      <x:c r="C7561" t="str">
        <x:v>Pasted text(59).txt</x:v>
      </x:c>
    </x:row>
    <x:row r="7562">
      <x:c r="A7562" t="n">
        <x:v>3532</x:v>
      </x:c>
      <x:c r="B7562" s="58" t="str">
        <x:v>HOLD SUMMARY</x:v>
      </x:c>
      <x:c r="C7562" t="str">
        <x:v>Pasted text(59).txt</x:v>
      </x:c>
    </x:row>
    <x:row r="7563">
      <x:c r="A7563" t="n">
        <x:v>3533</x:v>
      </x:c>
      <x:c r="B7563" s="58" t="str">
        <x:v>Valid / requested: 10 / 10</x:v>
      </x:c>
      <x:c r="C7563" t="str">
        <x:v>Pasted text(59).txt</x:v>
      </x:c>
    </x:row>
    <x:row r="7564">
      <x:c r="A7564" t="n">
        <x:v>3534</x:v>
      </x:c>
      <x:c r="B7564" s="58" t="str">
        <x:v>In band / requested: 10 / 10 = 100.0 %</x:v>
      </x:c>
      <x:c r="C7564" t="str">
        <x:v>Pasted text(59).txt</x:v>
      </x:c>
    </x:row>
    <x:row r="7565">
      <x:c r="A7565" t="n">
        <x:v>3535</x:v>
      </x:c>
      <x:c r="B7565" s="58" t="str">
        <x:v>Mean / SD / CV: 0.67505 / 0.01260 / 1.87 %</x:v>
      </x:c>
      <x:c r="C7565" t="str">
        <x:v>Pasted text(59).txt</x:v>
      </x:c>
    </x:row>
    <x:row r="7566">
      <x:c r="A7566" t="n">
        <x:v>3536</x:v>
      </x:c>
      <x:c r="B7566" s="58" t="str">
        <x:v>Min / Max: 0.65794 / 0.69501</x:v>
      </x:c>
      <x:c r="C7566" t="str">
        <x:v>Pasted text(59).txt</x:v>
      </x:c>
    </x:row>
    <x:row r="7567">
      <x:c r="A7567" t="n">
        <x:v>3537</x:v>
      </x:c>
      <x:c r="B7567" s="58" t="str">
        <x:v>HOLD RESULT: PASS</x:v>
      </x:c>
      <x:c r="C7567" t="str">
        <x:v>Pasted text(59).txt</x:v>
      </x:c>
    </x:row>
    <x:row r="7568">
      <x:c r="A7568" t="n">
        <x:v>3538</x:v>
      </x:c>
      <x:c r="B7568" s="58" t="str"/>
      <x:c r="C7568" t="str">
        <x:v>Pasted text(59).txt</x:v>
      </x:c>
    </x:row>
    <x:row r="7569">
      <x:c r="A7569" t="n">
        <x:v>3539</x:v>
      </x:c>
      <x:c r="B7569" s="58" t="str">
        <x:v>RUN RESULT: PASS</x:v>
      </x:c>
      <x:c r="C7569" t="str">
        <x:v>Pasted text(59).txt</x:v>
      </x:c>
    </x:row>
    <x:row r="7570">
      <x:c r="A7570" t="n">
        <x:v>3540</x:v>
      </x:c>
      <x:c r="B7570" s="58" t="str">
        <x:v>Selected DAC: 8.00</x:v>
      </x:c>
      <x:c r="C7570" t="str">
        <x:v>Pasted text(59).txt</x:v>
      </x:c>
    </x:row>
    <x:row r="7571">
      <x:c r="A7571" t="n">
        <x:v>3541</x:v>
      </x:c>
      <x:c r="B7571" s="58" t="str">
        <x:v>Validated amplitude: 0.68404 m/s^2 | error 5.24 %</x:v>
      </x:c>
      <x:c r="C7571" t="str">
        <x:v>Pasted text(59).txt</x:v>
      </x:c>
    </x:row>
    <x:row r="7572">
      <x:c r="A7572" t="n">
        <x:v>3542</x:v>
      </x:c>
      <x:c r="B7572" s="58" t="str">
        <x:v>FFT frequency: 268.02628 Hz | difference 0.02628 Hz</x:v>
      </x:c>
      <x:c r="C7572" t="str">
        <x:v>Pasted text(59).txt</x:v>
      </x:c>
    </x:row>
    <x:row r="7573">
      <x:c r="A7573" t="n">
        <x:v>3543</x:v>
      </x:c>
      <x:c r="B7573" s="58" t="str"/>
      <x:c r="C7573" t="str">
        <x:v>Pasted text(59).txt</x:v>
      </x:c>
    </x:row>
    <x:row r="7574">
      <x:c r="A7574" t="n">
        <x:v>3544</x:v>
      </x:c>
      <x:c r="B7574" s="58" t="str">
        <x:v>VISATON OFF. RESTING 5.0 s BEFORE THE NEXT COMPLETELY FRESH RUN.</x:v>
      </x:c>
      <x:c r="C7574" t="str">
        <x:v>Pasted text(59).txt</x:v>
      </x:c>
    </x:row>
    <x:row r="7575">
      <x:c r="A7575" t="n">
        <x:v>3545</x:v>
      </x:c>
      <x:c r="B7575" s="58" t="str"/>
      <x:c r="C7575" t="str">
        <x:v>Pasted text(59).txt</x:v>
      </x:c>
    </x:row>
    <x:row r="7576">
      <x:c r="A7576" t="n">
        <x:v>3546</x:v>
      </x:c>
      <x:c r="B7576" s="58" t="str">
        <x:v>################################################################################</x:v>
      </x:c>
      <x:c r="C7576" t="str">
        <x:v>Pasted text(59).txt</x:v>
      </x:c>
    </x:row>
    <x:row r="7577">
      <x:c r="A7577" t="n">
        <x:v>3547</x:v>
      </x:c>
      <x:c r="B7577" s="58" t="str">
        <x:v>INDEPENDENT TARGET-AMPLITUDE RUN 3 OF 5</x:v>
      </x:c>
      <x:c r="C7577" t="str">
        <x:v>Pasted text(59).txt</x:v>
      </x:c>
    </x:row>
    <x:row r="7578">
      <x:c r="A7578" t="n">
        <x:v>3548</x:v>
      </x:c>
      <x:c r="B7578" s="58" t="str">
        <x:v>################################################################################</x:v>
      </x:c>
      <x:c r="C7578" t="str">
        <x:v>Pasted text(59).txt</x:v>
      </x:c>
    </x:row>
    <x:row r="7579">
      <x:c r="A7579" t="n">
        <x:v>3549</x:v>
      </x:c>
      <x:c r="B7579" s="58" t="str">
        <x:v>Frequency: 268.00000 Hz</x:v>
      </x:c>
      <x:c r="C7579" t="str">
        <x:v>Pasted text(59).txt</x:v>
      </x:c>
    </x:row>
    <x:row r="7580">
      <x:c r="A7580" t="n">
        <x:v>3550</x:v>
      </x:c>
      <x:c r="B7580" s="58" t="str">
        <x:v>Target X amplitude: 0.65000 m/s^2 peak, tolerance +/-7.50 %</x:v>
      </x:c>
      <x:c r="C7580" t="str">
        <x:v>Pasted text(59).txt</x:v>
      </x:c>
    </x:row>
    <x:row r="7581">
      <x:c r="A7581" t="n">
        <x:v>3551</x:v>
      </x:c>
      <x:c r="B7581" s="58" t="str">
        <x:v>This run starts from DAC 1.00 and ignores every earlier selected DAC.</x:v>
      </x:c>
      <x:c r="C7581" t="str">
        <x:v>Pasted text(59).txt</x:v>
      </x:c>
    </x:row>
    <x:row r="7582">
      <x:c r="A7582" t="n">
        <x:v>3552</x:v>
      </x:c>
      <x:c r="B7582" s="58" t="str">
        <x:v>ADXL2 DEVID/DATA_FORMAT/BW_RATE/POWER_CTL: 0xE5 / 0xB / 0xE / 0x8</x:v>
      </x:c>
      <x:c r="C7582" t="str">
        <x:v>Pasted text(59).txt</x:v>
      </x:c>
    </x:row>
    <x:row r="7583">
      <x:c r="A7583" t="n">
        <x:v>3553</x:v>
      </x:c>
      <x:c r="B7583" s="58" t="str"/>
      <x:c r="C7583" t="str">
        <x:v>Pasted text(59).txt</x:v>
      </x:c>
    </x:row>
    <x:row r="7584">
      <x:c r="A7584" t="n">
        <x:v>3554</x:v>
      </x:c>
      <x:c r="B7584" s="58" t="str">
        <x:v>ACQUISITION ATTEMPT 1 OF 2</x:v>
      </x:c>
      <x:c r="C7584" t="str">
        <x:v>Pasted text(59).txt</x:v>
      </x:c>
    </x:row>
    <x:row r="7585">
      <x:c r="A7585" t="n">
        <x:v>3555</x:v>
      </x:c>
      <x:c r="B7585" s="58" t="str"/>
      <x:c r="C7585" t="str">
        <x:v>Pasted text(59).txt</x:v>
      </x:c>
    </x:row>
    <x:row r="7586">
      <x:c r="A7586" t="n">
        <x:v>3556</x:v>
      </x:c>
      <x:c r="B7586" s="58" t="str">
        <x:v>FRESH X-AXIS SEARCH FROM DAC 1.00 — OLD DAC VALUES ARE NOT USED</x:v>
      </x:c>
      <x:c r="C7586" t="str">
        <x:v>Pasted text(59).txt</x:v>
      </x:c>
    </x:row>
    <x:row r="7587">
      <x:c r="A7587" t="n">
        <x:v>3557</x:v>
      </x:c>
      <x:c r="B7587" s="58" t="str">
        <x:v>Y/Z are diagnostic only and cannot abort this search.</x:v>
      </x:c>
      <x:c r="C7587" t="str">
        <x:v>Pasted text(59).txt</x:v>
      </x:c>
    </x:row>
    <x:row r="7588">
      <x:c r="A7588" t="n">
        <x:v>3558</x:v>
      </x:c>
      <x:c r="B7588" s="58" t="str">
        <x:v>A real SPI fault, clipping, safety limit or confirmed X-response collapse will stop it.</x:v>
      </x:c>
      <x:c r="C7588" t="str">
        <x:v>Pasted text(59).txt</x:v>
      </x:c>
    </x:row>
    <x:row r="7589">
      <x:c r="A7589" t="n">
        <x:v>3559</x:v>
      </x:c>
      <x:c r="B7589" s="58" t="str">
        <x:v>SEARCH | point 1 | DAC 1.00 | CTRL X 0.01502 | X 0.01540 | Y 0.01944 | Z 0.03152 | TOTAL 0.04049 | error -97.69 % | MAD 7.47 % | CV 3.48 % | coh 5.5 % | dominant Z | axis fraction 48.9 % | BELOW MEASUREMENT FLOOR — SEARCH CONTINUES</x:v>
      </x:c>
      <x:c r="C7589" t="str">
        <x:v>Pasted text(59).txt</x:v>
      </x:c>
    </x:row>
    <x:row r="7590">
      <x:c r="A7590" t="n">
        <x:v>3560</x:v>
      </x:c>
      <x:c r="B7590" s="58" t="str">
        <x:v>SEARCH | point 2 | DAC 3.00 | CTRL X 0.16602 | X 0.16421 | Y 0.05243 | Z 0.10516 | TOTAL 0.20387 | error -74.46 % | MAD 3.25 % | CV 3.99 % | coh 38.2 % | dominant X | axis fraction 100.0 % | UNSTABLE — SEARCH CONTINUES</x:v>
      </x:c>
      <x:c r="C7590" t="str">
        <x:v>Pasted text(59).txt</x:v>
      </x:c>
    </x:row>
    <x:row r="7591">
      <x:c r="A7591" t="n">
        <x:v>3561</x:v>
      </x:c>
      <x:c r="B7591" s="58" t="str">
        <x:v>SEARCH | point 3 | DAC 4.00 | CTRL X 0.25753 | X 0.26135 | Y 0.08253 | Z 0.14733 | TOTAL 0.31231 | error -60.38 % | MAD 2.71 % | CV 4.18 % | coh 54.7 % | dominant X | axis fraction 100.0 % | VALID</x:v>
      </x:c>
      <x:c r="C7591" t="str">
        <x:v>Pasted text(59).txt</x:v>
      </x:c>
    </x:row>
    <x:row r="7592">
      <x:c r="A7592" t="n">
        <x:v>3562</x:v>
      </x:c>
      <x:c r="B7592" s="58" t="str">
        <x:v>SEARCH | point 4 | DAC 5.00 | CTRL X 0.36614 | X 0.35986 | Y 0.09571 | Z 0.20292 | TOTAL 0.42469 | error -43.67 % | MAD 1.22 % | CV 3.77 % | coh 64.9 % | dominant X | axis fraction 100.0 % | VALID</x:v>
      </x:c>
      <x:c r="C7592" t="str">
        <x:v>Pasted text(59).txt</x:v>
      </x:c>
    </x:row>
    <x:row r="7593">
      <x:c r="A7593" t="n">
        <x:v>3563</x:v>
      </x:c>
      <x:c r="B7593" s="58" t="str">
        <x:v>SEARCH | point 5 | DAC 6.00 | CTRL X 0.45160 | X 0.45630 | Y 0.14637 | Z 0.24786 | TOTAL 0.54024 | error -30.52 % | MAD 1.23 % | CV 2.53 % | coh 71.7 % | dominant X | axis fraction 100.0 % | VALID</x:v>
      </x:c>
      <x:c r="C7593" t="str">
        <x:v>Pasted text(59).txt</x:v>
      </x:c>
    </x:row>
    <x:row r="7594">
      <x:c r="A7594" t="n">
        <x:v>3564</x:v>
      </x:c>
      <x:c r="B7594" s="58" t="str">
        <x:v>SEARCH | point 6 | DAC 6.50 | CTRL X 0.49044 | X 0.49759 | Y 0.14592 | Z 0.27596 | TOTAL 0.58766 | error -24.55 % | MAD 1.42 % | CV 3.34 % | coh 79.8 % | dominant X | axis fraction 100.0 % | VALID</x:v>
      </x:c>
      <x:c r="C7594" t="str">
        <x:v>Pasted text(59).txt</x:v>
      </x:c>
    </x:row>
    <x:row r="7595">
      <x:c r="A7595" t="n">
        <x:v>3565</x:v>
      </x:c>
      <x:c r="B7595" s="58" t="str">
        <x:v>SEARCH | point 7 | DAC 7.00 | CTRL X 0.55137 | X 0.55944 | Y 0.17283 | Z 0.31200 | TOTAL 0.66371 | error -15.17 % | MAD 0.77 % | CV 2.95 % | coh 78.9 % | dominant X | axis fraction 100.0 % | VALID</x:v>
      </x:c>
      <x:c r="C7595" t="str">
        <x:v>Pasted text(59).txt</x:v>
      </x:c>
    </x:row>
    <x:row r="7596">
      <x:c r="A7596" t="n">
        <x:v>3566</x:v>
      </x:c>
      <x:c r="B7596" s="58" t="str">
        <x:v>SEARCH | point 8 | DAC 7.50 | CTRL X 0.58662 | X 0.58789 | Y 0.17919 | Z 0.33805 | TOTAL 0.70151 | error -9.75 % | MAD 0.57 % | CV 0.73 % | coh 83.8 % | dominant X | axis fraction 100.0 % | VALID</x:v>
      </x:c>
      <x:c r="C7596" t="str">
        <x:v>Pasted text(59).txt</x:v>
      </x:c>
    </x:row>
    <x:row r="7597">
      <x:c r="A7597" t="n">
        <x:v>3567</x:v>
      </x:c>
      <x:c r="B7597" s="58" t="str">
        <x:v>SEARCH | point 9 | DAC 7.75 | CTRL X 0.64301 | X 0.63935 | Y 0.18589 | Z 0.34266 | TOTAL 0.74913 | error -1.07 % | MAD 1.55 % | CV 1.98 % | coh 81.8 % | dominant X | axis fraction 100.0 % | IN TARGET BAND</x:v>
      </x:c>
      <x:c r="C7597" t="str">
        <x:v>Pasted text(59).txt</x:v>
      </x:c>
    </x:row>
    <x:row r="7598">
      <x:c r="A7598" t="n">
        <x:v>3568</x:v>
      </x:c>
      <x:c r="B7598" s="58" t="str"/>
      <x:c r="C7598" t="str">
        <x:v>Pasted text(59).txt</x:v>
      </x:c>
    </x:row>
    <x:row r="7599">
      <x:c r="A7599" t="n">
        <x:v>3569</x:v>
      </x:c>
      <x:c r="B7599" s="58" t="str">
        <x:v>LOCAL 0.25-DAC X-AXIS FINE SCAN</x:v>
      </x:c>
      <x:c r="C7599" t="str">
        <x:v>Pasted text(59).txt</x:v>
      </x:c>
    </x:row>
    <x:row r="7600">
      <x:c r="A7600" t="n">
        <x:v>3570</x:v>
      </x:c>
      <x:c r="B7600" s="58" t="str">
        <x:v>Only a valid point actually inside the X target band may be selected.</x:v>
      </x:c>
      <x:c r="C7600" t="str">
        <x:v>Pasted text(59).txt</x:v>
      </x:c>
    </x:row>
    <x:row r="7601">
      <x:c r="A7601" t="n">
        <x:v>3571</x:v>
      </x:c>
      <x:c r="B7601" s="58" t="str">
        <x:v>FINE | point 1 | DAC 6.75 | CTRL X 0.54056 | X 0.54582 | Y 0.14484 | Z 0.29577 | TOTAL 0.63779 | error -16.84 % | MAD 4.49 % | CV 4.52 % | coh 77.2 % | dominant X | axis fraction 100.0 % | VALID</x:v>
      </x:c>
      <x:c r="C7601" t="str">
        <x:v>Pasted text(59).txt</x:v>
      </x:c>
    </x:row>
    <x:row r="7602">
      <x:c r="A7602" t="n">
        <x:v>3572</x:v>
      </x:c>
      <x:c r="B7602" s="58" t="str">
        <x:v>FINE | point 2 | DAC 7.00 | CTRL X 0.57216 | X 0.56930 | Y 0.18759 | Z 0.28671 | TOTAL 0.66478 | error -11.98 % | MAD 0.74 % | CV 1.33 % | coh 82.0 % | dominant X | axis fraction 100.0 % | VALID</x:v>
      </x:c>
      <x:c r="C7602" t="str">
        <x:v>Pasted text(59).txt</x:v>
      </x:c>
    </x:row>
    <x:row r="7603">
      <x:c r="A7603" t="n">
        <x:v>3573</x:v>
      </x:c>
      <x:c r="B7603" s="58" t="str">
        <x:v>FINE | point 3 | DAC 7.25 | CTRL X 0.57587 | X 0.56700 | Y 0.17475 | Z 0.29217 | TOTAL 0.66232 | error -11.40 % | MAD 1.52 % | CV 3.65 % | coh 80.6 % | dominant X | axis fraction 100.0 % | VALID</x:v>
      </x:c>
      <x:c r="C7603" t="str">
        <x:v>Pasted text(59).txt</x:v>
      </x:c>
    </x:row>
    <x:row r="7604">
      <x:c r="A7604" t="n">
        <x:v>3574</x:v>
      </x:c>
      <x:c r="B7604" s="58" t="str">
        <x:v>FINE | point 4 | DAC 7.50 | CTRL X 0.59975 | X 0.59699 | Y 0.17217 | Z 0.31796 | TOTAL 0.69849 | error -7.73 % | MAD 0.73 % | CV 1.25 % | coh 84.2 % | dominant X | axis fraction 100.0 % | VALID</x:v>
      </x:c>
      <x:c r="C7604" t="str">
        <x:v>Pasted text(59).txt</x:v>
      </x:c>
    </x:row>
    <x:row r="7605">
      <x:c r="A7605" t="n">
        <x:v>3575</x:v>
      </x:c>
      <x:c r="B7605" s="58" t="str">
        <x:v>FINE | point 5 | DAC 7.75 | CTRL X 0.63753 | X 0.63749 | Y 0.18316 | Z 0.32599 | TOTAL 0.73940 | error -1.92 % | MAD 3.27 % | CV 2.21 % | coh 81.3 % | dominant X | axis fraction 100.0 % | IN TARGET BAND</x:v>
      </x:c>
      <x:c r="C7605" t="str">
        <x:v>Pasted text(59).txt</x:v>
      </x:c>
    </x:row>
    <x:row r="7606">
      <x:c r="A7606" t="n">
        <x:v>3576</x:v>
      </x:c>
      <x:c r="B7606" s="58" t="str">
        <x:v>FINE | point 6 | DAC 8.00 | CTRL X 0.68085 | X 0.68290 | Y 0.21914 | Z 0.36640 | TOTAL 0.80559 | error 4.75 % | MAD 2.77 % | CV 2.32 % | coh 84.0 % | dominant X | axis fraction 100.0 % | IN TARGET BAND</x:v>
      </x:c>
      <x:c r="C7606" t="str">
        <x:v>Pasted text(59).txt</x:v>
      </x:c>
    </x:row>
    <x:row r="7607">
      <x:c r="A7607" t="n">
        <x:v>3577</x:v>
      </x:c>
      <x:c r="B7607" s="58" t="str">
        <x:v>FINE | point 7 | DAC 8.25 | CTRL X 0.65666 | X 0.66255 | Y 0.21154 | Z 0.34703 | TOTAL 0.77756 | error 1.03 % | MAD 0.69 % | CV 1.95 % | coh 83.8 % | dominant X | axis fraction 100.0 % | IN TARGET BAND</x:v>
      </x:c>
      <x:c r="C7607" t="str">
        <x:v>Pasted text(59).txt</x:v>
      </x:c>
    </x:row>
    <x:row r="7608">
      <x:c r="A7608" t="n">
        <x:v>3578</x:v>
      </x:c>
      <x:c r="B7608" s="58" t="str">
        <x:v>FINE | point 8 | DAC 8.50 | CTRL X 0.70811 | X 0.69307 | Y 0.20349 | Z 0.37288 | TOTAL 0.81298 | error 8.94 % | MAD 0.40 % | CV 4.00 % | coh 84.5 % | dominant X | axis fraction 100.0 % | VALID</x:v>
      </x:c>
      <x:c r="C7608" t="str">
        <x:v>Pasted text(59).txt</x:v>
      </x:c>
    </x:row>
    <x:row r="7609">
      <x:c r="A7609" t="n">
        <x:v>3579</x:v>
      </x:c>
      <x:c r="B7609" s="58" t="str">
        <x:v>FINE | point 9 | DAC 8.75 | CTRL X 0.74278 | X 0.74276 | Y 0.20430 | Z 0.38393 | TOTAL 0.86127 | error 14.27 % | MAD 0.35 % | CV 0.24 % | coh 83.8 % | dominant X | axis fraction 100.0 % | VALID</x:v>
      </x:c>
      <x:c r="C7609" t="str">
        <x:v>Pasted text(59).txt</x:v>
      </x:c>
    </x:row>
    <x:row r="7610">
      <x:c r="A7610" t="n">
        <x:v>3580</x:v>
      </x:c>
      <x:c r="B7610" s="58" t="str"/>
      <x:c r="C7610" t="str">
        <x:v>Pasted text(59).txt</x:v>
      </x:c>
    </x:row>
    <x:row r="7611">
      <x:c r="A7611" t="n">
        <x:v>3581</x:v>
      </x:c>
      <x:c r="B7611" s="58" t="str">
        <x:v>LONG VALIDATION AT FIXED DAC 8.25</x:v>
      </x:c>
      <x:c r="C7611" t="str">
        <x:v>Pasted text(59).txt</x:v>
      </x:c>
    </x:row>
    <x:row r="7612">
      <x:c r="A7612" t="n">
        <x:v>3582</x:v>
      </x:c>
      <x:c r="B7612" s="58" t="str">
        <x:v>FINAL | point 1 | DAC 8.25 | CTRL X 0.68186 | X 0.67966 | Y 0.21164 | Z 0.34539 | TOTAL 0.79144 | error 4.90 % | MAD 1.88 % | CV 2.69 % | coh 84.8 % | dominant X | axis fraction 100.0 % | IN TARGET BAND</x:v>
      </x:c>
      <x:c r="C7612" t="str">
        <x:v>Pasted text(59).txt</x:v>
      </x:c>
    </x:row>
    <x:row r="7613">
      <x:c r="A7613" t="n">
        <x:v>3583</x:v>
      </x:c>
      <x:c r="B7613" s="58" t="str">
        <x:v>FINAL | point 2 | DAC 8.25 | CTRL X 0.67933 | X 0.67907 | Y 0.21543 | Z 0.35252 | TOTAL 0.79516 | error 4.51 % | MAD 1.73 % | CV 1.60 % | coh 84.1 % | dominant X | axis fraction 100.0 % | IN TARGET BAND</x:v>
      </x:c>
      <x:c r="C7613" t="str">
        <x:v>Pasted text(59).txt</x:v>
      </x:c>
    </x:row>
    <x:row r="7614">
      <x:c r="A7614" t="n">
        <x:v>3584</x:v>
      </x:c>
      <x:c r="B7614" s="58" t="str">
        <x:v>VALIDATION ACCEPTED | pair drift 0.37 %</x:v>
      </x:c>
      <x:c r="C7614" t="str">
        <x:v>Pasted text(59).txt</x:v>
      </x:c>
    </x:row>
    <x:row r="7615">
      <x:c r="A7615" t="n">
        <x:v>3585</x:v>
      </x:c>
      <x:c r="B7615" s="58" t="str"/>
      <x:c r="C7615" t="str">
        <x:v>Pasted text(59).txt</x:v>
      </x:c>
    </x:row>
    <x:row r="7616">
      <x:c r="A7616" t="n">
        <x:v>3586</x:v>
      </x:c>
      <x:c r="B7616" s="58" t="str">
        <x:v>FINAL VALIDATED BLIND FFT VERIFICATION</x:v>
      </x:c>
      <x:c r="C7616" t="str">
        <x:v>Pasted text(59).txt</x:v>
      </x:c>
    </x:row>
    <x:row r="7617">
      <x:c r="A7617" t="n">
        <x:v>3587</x:v>
      </x:c>
      <x:c r="B7617" s="58" t="str">
        <x:v>Commanded frequency: 268.00000 Hz</x:v>
      </x:c>
      <x:c r="C7617" t="str">
        <x:v>Pasted text(59).txt</x:v>
      </x:c>
    </x:row>
    <x:row r="7618">
      <x:c r="A7618" t="n">
        <x:v>3588</x:v>
      </x:c>
      <x:c r="B7618" s="58" t="str">
        <x:v>Accepted DAC: 8.25</x:v>
      </x:c>
      <x:c r="C7618" t="str">
        <x:v>Pasted text(59).txt</x:v>
      </x:c>
    </x:row>
    <x:row r="7619">
      <x:c r="A7619" t="n">
        <x:v>3589</x:v>
      </x:c>
      <x:c r="B7619" s="58" t="str">
        <x:v>Axis,Frequency_Hz,Amplitude_mps2,SNR_dB,Status</x:v>
      </x:c>
      <x:c r="C7619" t="str">
        <x:v>Pasted text(59).txt</x:v>
      </x:c>
    </x:row>
    <x:row r="7620">
      <x:c r="A7620" t="n">
        <x:v>3590</x:v>
      </x:c>
      <x:c r="B7620" s="58" t="str">
        <x:v>X,268.02503,0.61930,29.88,VALID</x:v>
      </x:c>
      <x:c r="C7620" t="str">
        <x:v>Pasted text(59).txt</x:v>
      </x:c>
    </x:row>
    <x:row r="7621">
      <x:c r="A7621" t="n">
        <x:v>3591</x:v>
      </x:c>
      <x:c r="B7621" s="58" t="str">
        <x:v>Y,268.03508,0.18903,18.53,VALID</x:v>
      </x:c>
      <x:c r="C7621" t="str">
        <x:v>Pasted text(59).txt</x:v>
      </x:c>
    </x:row>
    <x:row r="7622">
      <x:c r="A7622" t="n">
        <x:v>3592</x:v>
      </x:c>
      <x:c r="B7622" s="58" t="str">
        <x:v>Z,268.02293,0.32860,25.25,VALID</x:v>
      </x:c>
      <x:c r="C7622" t="str">
        <x:v>Pasted text(59).txt</x:v>
      </x:c>
    </x:row>
    <x:row r="7623">
      <x:c r="A7623" t="n">
        <x:v>3593</x:v>
      </x:c>
      <x:c r="B7623" s="58" t="str">
        <x:v>Combined frequency: 268.02529 Hz | difference 0.02529 Hz</x:v>
      </x:c>
      <x:c r="C7623" t="str">
        <x:v>Pasted text(59).txt</x:v>
      </x:c>
    </x:row>
    <x:row r="7624">
      <x:c r="A7624" t="n">
        <x:v>3594</x:v>
      </x:c>
      <x:c r="B7624" s="58" t="str">
        <x:v>Combined X/Y/Z/TOTAL: 0.56578 / 0.17353 / 0.29935 / 0.66320</x:v>
      </x:c>
      <x:c r="C7624" t="str">
        <x:v>Pasted text(59).txt</x:v>
      </x:c>
    </x:row>
    <x:row r="7625">
      <x:c r="A7625" t="n">
        <x:v>3595</x:v>
      </x:c>
      <x:c r="B7625" s="58" t="str">
        <x:v>SNR: 26.35 dB | dominant axis X</x:v>
      </x:c>
      <x:c r="C7625" t="str">
        <x:v>Pasted text(59).txt</x:v>
      </x:c>
    </x:row>
    <x:row r="7626">
      <x:c r="A7626" t="n">
        <x:v>3596</x:v>
      </x:c>
      <x:c r="B7626" s="58" t="str">
        <x:v>Frequency verification: PASS</x:v>
      </x:c>
      <x:c r="C7626" t="str">
        <x:v>Pasted text(59).txt</x:v>
      </x:c>
    </x:row>
    <x:row r="7627">
      <x:c r="A7627" t="n">
        <x:v>3597</x:v>
      </x:c>
      <x:c r="B7627" s="58" t="str">
        <x:v>Y/Z dominance: DIAGNOSTIC ONLY — ignored for pass/fail</x:v>
      </x:c>
      <x:c r="C7627" t="str">
        <x:v>Pasted text(59).txt</x:v>
      </x:c>
    </x:row>
    <x:row r="7628">
      <x:c r="A7628" t="n">
        <x:v>3598</x:v>
      </x:c>
      <x:c r="B7628" s="58" t="str"/>
      <x:c r="C7628" t="str">
        <x:v>Pasted text(59).txt</x:v>
      </x:c>
    </x:row>
    <x:row r="7629">
      <x:c r="A7629" t="n">
        <x:v>3599</x:v>
      </x:c>
      <x:c r="B7629" s="58" t="str">
        <x:v>FIXED-DAC HOLD VALIDATION</x:v>
      </x:c>
      <x:c r="C7629" t="str">
        <x:v>Pasted text(59).txt</x:v>
      </x:c>
    </x:row>
    <x:row r="7630">
      <x:c r="A7630" t="n">
        <x:v>3600</x:v>
      </x:c>
      <x:c r="B7630" s="58" t="str">
        <x:v>DAC remains fixed at 8.25 for 10 records.</x:v>
      </x:c>
      <x:c r="C7630" t="str">
        <x:v>Pasted text(59).txt</x:v>
      </x:c>
    </x:row>
    <x:row r="7631">
      <x:c r="A7631" t="n">
        <x:v>3601</x:v>
      </x:c>
      <x:c r="B7631" s="58" t="str">
        <x:v>HOLD | point 1 | DAC 8.25 | CTRL X 0.66862 | X 0.67607 | Y 0.21857 | Z 0.34583 | TOTAL 0.79024 | error 2.86 % | MAD 1.24 % | CV 2.66 % | coh 84.4 % | dominant X | axis fraction 100.0 % | IN TARGET BAND</x:v>
      </x:c>
      <x:c r="C7631" t="str">
        <x:v>Pasted text(59).txt</x:v>
      </x:c>
    </x:row>
    <x:row r="7632">
      <x:c r="A7632" t="n">
        <x:v>3602</x:v>
      </x:c>
      <x:c r="B7632" s="58" t="str">
        <x:v>HOLD | point 2 | DAC 8.25 | CTRL X 0.68071 | X 0.68734 | Y 0.21836 | Z 0.33259 | TOTAL 0.79478 | error 4.72 % | MAD 0.14 % | CV 1.75 % | coh 85.1 % | dominant X | axis fraction 100.0 % | IN TARGET BAND</x:v>
      </x:c>
      <x:c r="C7632" t="str">
        <x:v>Pasted text(59).txt</x:v>
      </x:c>
    </x:row>
    <x:row r="7633">
      <x:c r="A7633" t="n">
        <x:v>3603</x:v>
      </x:c>
      <x:c r="B7633" s="58" t="str">
        <x:v>HOLD | point 3 | DAC 8.25 | CTRL X 0.69878 | X 0.68941 | Y 0.21130 | Z 0.34462 | TOTAL 0.79962 | error 7.50 % | MAD 4.24 % | CV 5.07 % | coh 85.5 % | dominant X | axis fraction 100.0 % | VALID</x:v>
      </x:c>
      <x:c r="C7633" t="str">
        <x:v>Pasted text(59).txt</x:v>
      </x:c>
    </x:row>
    <x:row r="7634">
      <x:c r="A7634" t="n">
        <x:v>3604</x:v>
      </x:c>
      <x:c r="B7634" s="58" t="str">
        <x:v>HOLD | point 4 | DAC 8.25 | CTRL X 0.68415 | X 0.68200 | Y 0.21813 | Z 0.37066 | TOTAL 0.80636 | error 5.25 % | MAD 4.44 % | CV 3.49 % | coh 85.1 % | dominant X | axis fraction 100.0 % | IN TARGET BAND</x:v>
      </x:c>
      <x:c r="C7634" t="str">
        <x:v>Pasted text(59).txt</x:v>
      </x:c>
    </x:row>
    <x:row r="7635">
      <x:c r="A7635" t="n">
        <x:v>3605</x:v>
      </x:c>
      <x:c r="B7635" s="58" t="str">
        <x:v>HOLD | point 5 | DAC 8.25 | CTRL X 0.68700 | X 0.68766 | Y 0.20595 | Z 0.35182 | TOTAL 0.79971 | error 5.69 % | MAD 0.96 % | CV 0.80 % | coh 84.6 % | dominant X | axis fraction 100.0 % | IN TARGET BAND</x:v>
      </x:c>
      <x:c r="C7635" t="str">
        <x:v>Pasted text(59).txt</x:v>
      </x:c>
    </x:row>
    <x:row r="7636">
      <x:c r="A7636" t="n">
        <x:v>3606</x:v>
      </x:c>
      <x:c r="B7636" s="58" t="str">
        <x:v>HOLD | point 6 | DAC 8.25 | CTRL X 0.66670 | X 0.67134 | Y 0.20934 | Z 0.33956 | TOTAL 0.78142 | error 2.57 % | MAD 5.64 % | CV 4.85 % | coh 84.9 % | dominant X | axis fraction 100.0 % | IN TARGET BAND</x:v>
      </x:c>
      <x:c r="C7636" t="str">
        <x:v>Pasted text(59).txt</x:v>
      </x:c>
    </x:row>
    <x:row r="7637">
      <x:c r="A7637" t="n">
        <x:v>3607</x:v>
      </x:c>
      <x:c r="B7637" s="58" t="str">
        <x:v>HOLD | point 7 | DAC 8.25 | CTRL X 0.68453 | X 0.67679 | Y 0.21885 | Z 0.33966 | TOTAL 0.78864 | error 5.31 % | MAD 1.13 % | CV 2.68 % | coh 83.3 % | dominant X | axis fraction 100.0 % | IN TARGET BAND</x:v>
      </x:c>
      <x:c r="C7637" t="str">
        <x:v>Pasted text(59).txt</x:v>
      </x:c>
    </x:row>
    <x:row r="7638">
      <x:c r="A7638" t="n">
        <x:v>3608</x:v>
      </x:c>
      <x:c r="B7638" s="58" t="str">
        <x:v>HOLD | point 8 | DAC 8.25 | CTRL X 0.68649 | X 0.68594 | Y 0.20532 | Z 0.36492 | TOTAL 0.80435 | error 5.61 % | MAD 1.31 % | CV 1.01 % | coh 85.0 % | dominant X | axis fraction 100.0 % | IN TARGET BAND</x:v>
      </x:c>
      <x:c r="C7638" t="str">
        <x:v>Pasted text(59).txt</x:v>
      </x:c>
    </x:row>
    <x:row r="7639">
      <x:c r="A7639" t="n">
        <x:v>3609</x:v>
      </x:c>
      <x:c r="B7639" s="58" t="str">
        <x:v>HOLD | point 9 | DAC 8.25 | CTRL X 0.68067 | X 0.68619 | Y 0.20824 | Z 0.34707 | TOTAL 0.79713 | error 4.72 % | MAD 3.21 % | CV 3.43 % | coh 85.3 % | dominant X | axis fraction 100.0 % | IN TARGET BAND</x:v>
      </x:c>
      <x:c r="C7639" t="str">
        <x:v>Pasted text(59).txt</x:v>
      </x:c>
    </x:row>
    <x:row r="7640">
      <x:c r="A7640" t="n">
        <x:v>3610</x:v>
      </x:c>
      <x:c r="B7640" s="58" t="str">
        <x:v>HOLD | point 10 | DAC 8.25 | CTRL X 0.67375 | X 0.67179 | Y 0.23125 | Z 0.35143 | TOTAL 0.79311 | error 3.65 % | MAD 1.87 % | CV 1.72 % | coh 83.6 % | dominant X | axis fraction 100.0 % | IN TARGET BAND</x:v>
      </x:c>
      <x:c r="C7640" t="str">
        <x:v>Pasted text(59).txt</x:v>
      </x:c>
    </x:row>
    <x:row r="7641">
      <x:c r="A7641" t="n">
        <x:v>3611</x:v>
      </x:c>
      <x:c r="B7641" s="58" t="str"/>
      <x:c r="C7641" t="str">
        <x:v>Pasted text(59).txt</x:v>
      </x:c>
    </x:row>
    <x:row r="7642">
      <x:c r="A7642" t="n">
        <x:v>3612</x:v>
      </x:c>
      <x:c r="B7642" s="58" t="str">
        <x:v>HOLD SUMMARY</x:v>
      </x:c>
      <x:c r="C7642" t="str">
        <x:v>Pasted text(59).txt</x:v>
      </x:c>
    </x:row>
    <x:row r="7643">
      <x:c r="A7643" t="n">
        <x:v>3613</x:v>
      </x:c>
      <x:c r="B7643" s="58" t="str">
        <x:v>Valid / requested: 10 / 10</x:v>
      </x:c>
      <x:c r="C7643" t="str">
        <x:v>Pasted text(59).txt</x:v>
      </x:c>
    </x:row>
    <x:row r="7644">
      <x:c r="A7644" t="n">
        <x:v>3614</x:v>
      </x:c>
      <x:c r="B7644" s="58" t="str">
        <x:v>In band / requested: 9 / 10 = 90.0 %</x:v>
      </x:c>
      <x:c r="C7644" t="str">
        <x:v>Pasted text(59).txt</x:v>
      </x:c>
    </x:row>
    <x:row r="7645">
      <x:c r="A7645" t="n">
        <x:v>3615</x:v>
      </x:c>
      <x:c r="B7645" s="58" t="str">
        <x:v>Mean / SD / CV: 0.68114 / 0.00952 / 1.40 %</x:v>
      </x:c>
      <x:c r="C7645" t="str">
        <x:v>Pasted text(59).txt</x:v>
      </x:c>
    </x:row>
    <x:row r="7646">
      <x:c r="A7646" t="n">
        <x:v>3616</x:v>
      </x:c>
      <x:c r="B7646" s="58" t="str">
        <x:v>Min / Max: 0.66670 / 0.69878</x:v>
      </x:c>
      <x:c r="C7646" t="str">
        <x:v>Pasted text(59).txt</x:v>
      </x:c>
    </x:row>
    <x:row r="7647">
      <x:c r="A7647" t="n">
        <x:v>3617</x:v>
      </x:c>
      <x:c r="B7647" s="58" t="str">
        <x:v>HOLD RESULT: PASS</x:v>
      </x:c>
      <x:c r="C7647" t="str">
        <x:v>Pasted text(59).txt</x:v>
      </x:c>
    </x:row>
    <x:row r="7648">
      <x:c r="A7648" t="n">
        <x:v>3618</x:v>
      </x:c>
      <x:c r="B7648" s="58" t="str"/>
      <x:c r="C7648" t="str">
        <x:v>Pasted text(59).txt</x:v>
      </x:c>
    </x:row>
    <x:row r="7649">
      <x:c r="A7649" t="n">
        <x:v>3619</x:v>
      </x:c>
      <x:c r="B7649" s="58" t="str">
        <x:v>RUN RESULT: PASS</x:v>
      </x:c>
      <x:c r="C7649" t="str">
        <x:v>Pasted text(59).txt</x:v>
      </x:c>
    </x:row>
    <x:row r="7650">
      <x:c r="A7650" t="n">
        <x:v>3620</x:v>
      </x:c>
      <x:c r="B7650" s="58" t="str">
        <x:v>Selected DAC: 8.25</x:v>
      </x:c>
      <x:c r="C7650" t="str">
        <x:v>Pasted text(59).txt</x:v>
      </x:c>
    </x:row>
    <x:row r="7651">
      <x:c r="A7651" t="n">
        <x:v>3621</x:v>
      </x:c>
      <x:c r="B7651" s="58" t="str">
        <x:v>Validated amplitude: 0.68059 m/s^2 | error 4.71 %</x:v>
      </x:c>
      <x:c r="C7651" t="str">
        <x:v>Pasted text(59).txt</x:v>
      </x:c>
    </x:row>
    <x:row r="7652">
      <x:c r="A7652" t="n">
        <x:v>3622</x:v>
      </x:c>
      <x:c r="B7652" s="58" t="str">
        <x:v>FFT frequency: 268.02529 Hz | difference 0.02529 Hz</x:v>
      </x:c>
      <x:c r="C7652" t="str">
        <x:v>Pasted text(59).txt</x:v>
      </x:c>
    </x:row>
    <x:row r="7653">
      <x:c r="A7653" t="n">
        <x:v>3623</x:v>
      </x:c>
      <x:c r="B7653" s="58" t="str"/>
      <x:c r="C7653" t="str">
        <x:v>Pasted text(59).txt</x:v>
      </x:c>
    </x:row>
    <x:row r="7654">
      <x:c r="A7654" t="n">
        <x:v>3624</x:v>
      </x:c>
      <x:c r="B7654" s="58" t="str">
        <x:v>VISATON OFF. RESTING 5.0 s BEFORE THE NEXT COMPLETELY FRESH RUN.</x:v>
      </x:c>
      <x:c r="C7654" t="str">
        <x:v>Pasted text(59).txt</x:v>
      </x:c>
    </x:row>
    <x:row r="7655">
      <x:c r="A7655" t="n">
        <x:v>3625</x:v>
      </x:c>
      <x:c r="B7655" s="58" t="str"/>
      <x:c r="C7655" t="str">
        <x:v>Pasted text(59).txt</x:v>
      </x:c>
    </x:row>
    <x:row r="7656">
      <x:c r="A7656" t="n">
        <x:v>3626</x:v>
      </x:c>
      <x:c r="B7656" s="58" t="str">
        <x:v>################################################################################</x:v>
      </x:c>
      <x:c r="C7656" t="str">
        <x:v>Pasted text(59).txt</x:v>
      </x:c>
    </x:row>
    <x:row r="7657">
      <x:c r="A7657" t="n">
        <x:v>3627</x:v>
      </x:c>
      <x:c r="B7657" s="58" t="str">
        <x:v>INDEPENDENT TARGET-AMPLITUDE RUN 4 OF 5</x:v>
      </x:c>
      <x:c r="C7657" t="str">
        <x:v>Pasted text(59).txt</x:v>
      </x:c>
    </x:row>
    <x:row r="7658">
      <x:c r="A7658" t="n">
        <x:v>3628</x:v>
      </x:c>
      <x:c r="B7658" s="58" t="str">
        <x:v>################################################################################</x:v>
      </x:c>
      <x:c r="C7658" t="str">
        <x:v>Pasted text(59).txt</x:v>
      </x:c>
    </x:row>
    <x:row r="7659">
      <x:c r="A7659" t="n">
        <x:v>3629</x:v>
      </x:c>
      <x:c r="B7659" s="58" t="str">
        <x:v>Frequency: 268.00000 Hz</x:v>
      </x:c>
      <x:c r="C7659" t="str">
        <x:v>Pasted text(59).txt</x:v>
      </x:c>
    </x:row>
    <x:row r="7660">
      <x:c r="A7660" t="n">
        <x:v>3630</x:v>
      </x:c>
      <x:c r="B7660" s="58" t="str">
        <x:v>Target X amplitude: 0.65000 m/s^2 peak, tolerance +/-7.50 %</x:v>
      </x:c>
      <x:c r="C7660" t="str">
        <x:v>Pasted text(59).txt</x:v>
      </x:c>
    </x:row>
    <x:row r="7661">
      <x:c r="A7661" t="n">
        <x:v>3631</x:v>
      </x:c>
      <x:c r="B7661" s="58" t="str">
        <x:v>This run starts from DAC 1.00 and ignores every earlier selected DAC.</x:v>
      </x:c>
      <x:c r="C7661" t="str">
        <x:v>Pasted text(59).txt</x:v>
      </x:c>
    </x:row>
    <x:row r="7662">
      <x:c r="A7662" t="n">
        <x:v>3632</x:v>
      </x:c>
      <x:c r="B7662" s="58" t="str">
        <x:v>ADXL2 DEVID/DATA_FORMAT/BW_RATE/POWER_CTL: 0xE5 / 0xB / 0xE / 0x8</x:v>
      </x:c>
      <x:c r="C7662" t="str">
        <x:v>Pasted text(59).txt</x:v>
      </x:c>
    </x:row>
    <x:row r="7663">
      <x:c r="A7663" t="n">
        <x:v>3633</x:v>
      </x:c>
      <x:c r="B7663" s="58" t="str"/>
      <x:c r="C7663" t="str">
        <x:v>Pasted text(59).txt</x:v>
      </x:c>
    </x:row>
    <x:row r="7664">
      <x:c r="A7664" t="n">
        <x:v>3634</x:v>
      </x:c>
      <x:c r="B7664" s="58" t="str">
        <x:v>ACQUISITION ATTEMPT 1 OF 2</x:v>
      </x:c>
      <x:c r="C7664" t="str">
        <x:v>Pasted text(59).txt</x:v>
      </x:c>
    </x:row>
    <x:row r="7665">
      <x:c r="A7665" t="n">
        <x:v>3635</x:v>
      </x:c>
      <x:c r="B7665" s="58" t="str"/>
      <x:c r="C7665" t="str">
        <x:v>Pasted text(59).txt</x:v>
      </x:c>
    </x:row>
    <x:row r="7666">
      <x:c r="A7666" t="n">
        <x:v>3636</x:v>
      </x:c>
      <x:c r="B7666" s="58" t="str">
        <x:v>FRESH X-AXIS SEARCH FROM DAC 1.00 — OLD DAC VALUES ARE NOT USED</x:v>
      </x:c>
      <x:c r="C7666" t="str">
        <x:v>Pasted text(59).txt</x:v>
      </x:c>
    </x:row>
    <x:row r="7667">
      <x:c r="A7667" t="n">
        <x:v>3637</x:v>
      </x:c>
      <x:c r="B7667" s="58" t="str">
        <x:v>Y/Z are diagnostic only and cannot abort this search.</x:v>
      </x:c>
      <x:c r="C7667" t="str">
        <x:v>Pasted text(59).txt</x:v>
      </x:c>
    </x:row>
    <x:row r="7668">
      <x:c r="A7668" t="n">
        <x:v>3638</x:v>
      </x:c>
      <x:c r="B7668" s="58" t="str">
        <x:v>A real SPI fault, clipping, safety limit or confirmed X-response collapse will stop it.</x:v>
      </x:c>
      <x:c r="C7668" t="str">
        <x:v>Pasted text(59).txt</x:v>
      </x:c>
    </x:row>
    <x:row r="7669">
      <x:c r="A7669" t="n">
        <x:v>3639</x:v>
      </x:c>
      <x:c r="B7669" s="58" t="str">
        <x:v>SEARCH | point 1 | DAC 1.00 | CTRL X 0.01027 | X 0.00984 | Y 0.02049 | Z 0.03124 | TOTAL 0.03871 | error -98.42 % | MAD 12.45 % | CV 6.20 % | coh 3.3 % | dominant Z | axis fraction 31.5 % | BELOW MEASUREMENT FLOOR — SEARCH CONTINUES</x:v>
      </x:c>
      <x:c r="C7669" t="str">
        <x:v>Pasted text(59).txt</x:v>
      </x:c>
    </x:row>
    <x:row r="7670">
      <x:c r="A7670" t="n">
        <x:v>3640</x:v>
      </x:c>
      <x:c r="B7670" s="58" t="str">
        <x:v>SEARCH | point 2 | DAC 3.00 | CTRL X 0.17521 | X 0.17517 | Y 0.05401 | Z 0.09097 | TOTAL 0.20622 | error -73.04 % | MAD 3.13 % | CV 2.15 % | coh 40.4 % | dominant X | axis fraction 100.0 % | UNSTABLE — SEARCH CONTINUES</x:v>
      </x:c>
      <x:c r="C7670" t="str">
        <x:v>Pasted text(59).txt</x:v>
      </x:c>
    </x:row>
    <x:row r="7671">
      <x:c r="A7671" t="n">
        <x:v>3641</x:v>
      </x:c>
      <x:c r="B7671" s="58" t="str">
        <x:v>SEARCH | point 3 | DAC 4.00 | CTRL X 0.25214 | X 0.26134 | Y 0.07563 | Z 0.12750 | TOTAL 0.30134 | error -61.21 % | MAD 2.20 % | CV 7.38 % | coh 54.8 % | dominant X | axis fraction 100.0 % | VALID</x:v>
      </x:c>
      <x:c r="C7671" t="str">
        <x:v>Pasted text(59).txt</x:v>
      </x:c>
    </x:row>
    <x:row r="7672">
      <x:c r="A7672" t="n">
        <x:v>3642</x:v>
      </x:c>
      <x:c r="B7672" s="58" t="str">
        <x:v>SEARCH | point 4 | DAC 5.00 | CTRL X 0.37539 | X 0.37430 | Y 0.09758 | Z 0.19201 | TOTAL 0.43195 | error -42.25 % | MAD 6.31 % | CV 4.71 % | coh 64.6 % | dominant X | axis fraction 100.0 % | VALID</x:v>
      </x:c>
      <x:c r="C7672" t="str">
        <x:v>Pasted text(59).txt</x:v>
      </x:c>
    </x:row>
    <x:row r="7673">
      <x:c r="A7673" t="n">
        <x:v>3643</x:v>
      </x:c>
      <x:c r="B7673" s="58" t="str">
        <x:v>SEARCH | point 5 | DAC 6.00 | CTRL X 0.44275 | X 0.43768 | Y 0.13155 | Z 0.23394 | TOTAL 0.51394 | error -31.88 % | MAD 0.11 % | CV 2.07 % | coh 70.7 % | dominant X | axis fraction 100.0 % | VALID</x:v>
      </x:c>
      <x:c r="C7673" t="str">
        <x:v>Pasted text(59).txt</x:v>
      </x:c>
    </x:row>
    <x:row r="7674">
      <x:c r="A7674" t="n">
        <x:v>3644</x:v>
      </x:c>
      <x:c r="B7674" s="58" t="str">
        <x:v>SEARCH | point 6 | DAC 6.50 | CTRL X 0.46313 | X 0.46634 | Y 0.13739 | Z 0.24247 | TOTAL 0.54383 | error -28.75 % | MAD 1.33 % | CV 2.01 % | coh 75.7 % | dominant X | axis fraction 100.0 % | VALID</x:v>
      </x:c>
      <x:c r="C7674" t="str">
        <x:v>Pasted text(59).txt</x:v>
      </x:c>
    </x:row>
    <x:row r="7675">
      <x:c r="A7675" t="n">
        <x:v>3645</x:v>
      </x:c>
      <x:c r="B7675" s="58" t="str">
        <x:v>SEARCH | point 7 | DAC 7.00 | CTRL X 0.55919 | X 0.56037 | Y 0.14656 | Z 0.28557 | TOTAL 0.64639 | error -13.97 % | MAD 0.88 % | CV 0.93 % | coh 80.8 % | dominant X | axis fraction 100.0 % | VALID</x:v>
      </x:c>
      <x:c r="C7675" t="str">
        <x:v>Pasted text(59).txt</x:v>
      </x:c>
    </x:row>
    <x:row r="7676">
      <x:c r="A7676" t="n">
        <x:v>3646</x:v>
      </x:c>
      <x:c r="B7676" s="58" t="str">
        <x:v>SEARCH | point 8 | DAC 7.25 | CTRL X 0.56702 | X 0.56045 | Y 0.17317 | Z 0.28061 | TOTAL 0.65041 | error -12.77 % | MAD 0.83 % | CV 2.54 % | coh 78.9 % | dominant X | axis fraction 100.0 % | VALID</x:v>
      </x:c>
      <x:c r="C7676" t="str">
        <x:v>Pasted text(59).txt</x:v>
      </x:c>
    </x:row>
    <x:row r="7677">
      <x:c r="A7677" t="n">
        <x:v>3647</x:v>
      </x:c>
      <x:c r="B7677" s="58" t="str">
        <x:v>SEARCH | point 9 | DAC 7.50 | CTRL X 0.58212 | X 0.57848 | Y 0.15984 | Z 0.29658 | TOTAL 0.66953 | error -10.44 % | MAD 2.60 % | CV 2.77 % | coh 82.0 % | dominant X | axis fraction 100.0 % | VALID</x:v>
      </x:c>
      <x:c r="C7677" t="str">
        <x:v>Pasted text(59).txt</x:v>
      </x:c>
    </x:row>
    <x:row r="7678">
      <x:c r="A7678" t="n">
        <x:v>3648</x:v>
      </x:c>
      <x:c r="B7678" s="58" t="str">
        <x:v>SEARCH | point 10 | DAC 7.75 | CTRL X 0.62980 | X 0.62660 | Y 0.20277 | Z 0.31825 | TOTAL 0.73171 | error -3.11 % | MAD 0.93 % | CV 1.46 % | coh 81.3 % | dominant X | axis fraction 100.0 % | IN TARGET BAND</x:v>
      </x:c>
      <x:c r="C7678" t="str">
        <x:v>Pasted text(59).txt</x:v>
      </x:c>
    </x:row>
    <x:row r="7679">
      <x:c r="A7679" t="n">
        <x:v>3649</x:v>
      </x:c>
      <x:c r="B7679" s="58" t="str"/>
      <x:c r="C7679" t="str">
        <x:v>Pasted text(59).txt</x:v>
      </x:c>
    </x:row>
    <x:row r="7680">
      <x:c r="A7680" t="n">
        <x:v>3650</x:v>
      </x:c>
      <x:c r="B7680" s="58" t="str">
        <x:v>LOCAL 0.25-DAC X-AXIS FINE SCAN</x:v>
      </x:c>
      <x:c r="C7680" t="str">
        <x:v>Pasted text(59).txt</x:v>
      </x:c>
    </x:row>
    <x:row r="7681">
      <x:c r="A7681" t="n">
        <x:v>3651</x:v>
      </x:c>
      <x:c r="B7681" s="58" t="str">
        <x:v>Only a valid point actually inside the X target band may be selected.</x:v>
      </x:c>
      <x:c r="C7681" t="str">
        <x:v>Pasted text(59).txt</x:v>
      </x:c>
    </x:row>
    <x:row r="7682">
      <x:c r="A7682" t="n">
        <x:v>3652</x:v>
      </x:c>
      <x:c r="B7682" s="58" t="str">
        <x:v>FINE | point 1 | DAC 6.75 | CTRL X 0.55940 | X 0.54390 | Y 0.13179 | Z 0.29255 | TOTAL 0.63169 | error -13.94 % | MAD 2.26 % | CV 6.34 % | coh 76.4 % | dominant X | axis fraction 100.0 % | VALID</x:v>
      </x:c>
      <x:c r="C7682" t="str">
        <x:v>Pasted text(59).txt</x:v>
      </x:c>
    </x:row>
    <x:row r="7683">
      <x:c r="A7683" t="n">
        <x:v>3653</x:v>
      </x:c>
      <x:c r="B7683" s="58" t="str">
        <x:v>FINE | point 2 | DAC 7.00 | CTRL X 0.55073 | X 0.54854 | Y 0.15650 | Z 0.26054 | TOTAL 0.62757 | error -15.27 % | MAD 3.48 % | CV 2.97 % | coh 80.5 % | dominant X | axis fraction 100.0 % | VALID</x:v>
      </x:c>
      <x:c r="C7683" t="str">
        <x:v>Pasted text(59).txt</x:v>
      </x:c>
    </x:row>
    <x:row r="7684">
      <x:c r="A7684" t="n">
        <x:v>3654</x:v>
      </x:c>
      <x:c r="B7684" s="58" t="str">
        <x:v>FINE | point 3 | DAC 7.25 | CTRL X 0.57606 | X 0.57008 | Y 0.17563 | Z 0.29394 | TOTAL 0.66516 | error -11.37 % | MAD 1.96 % | CV 3.05 % | coh 80.4 % | dominant X | axis fraction 100.0 % | VALID</x:v>
      </x:c>
      <x:c r="C7684" t="str">
        <x:v>Pasted text(59).txt</x:v>
      </x:c>
    </x:row>
    <x:row r="7685">
      <x:c r="A7685" t="n">
        <x:v>3655</x:v>
      </x:c>
      <x:c r="B7685" s="58" t="str">
        <x:v>FINE | point 4 | DAC 7.50 | CTRL X 0.58816 | X 0.58521 | Y 0.16856 | Z 0.31849 | TOTAL 0.68791 | error -9.51 % | MAD 0.63 % | CV 1.26 % | coh 83.9 % | dominant X | axis fraction 100.0 % | VALID</x:v>
      </x:c>
      <x:c r="C7685" t="str">
        <x:v>Pasted text(59).txt</x:v>
      </x:c>
    </x:row>
    <x:row r="7686">
      <x:c r="A7686" t="n">
        <x:v>3656</x:v>
      </x:c>
      <x:c r="B7686" s="58" t="str">
        <x:v>FINE | point 5 | DAC 7.75 | CTRL X 0.61639 | X 0.61793 | Y 0.18682 | Z 0.31168 | TOTAL 0.71722 | error -5.17 % | MAD 2.92 % | CV 2.35 % | coh 79.7 % | dominant X | axis fraction 100.0 % | IN TARGET BAND</x:v>
      </x:c>
      <x:c r="C7686" t="str">
        <x:v>Pasted text(59).txt</x:v>
      </x:c>
    </x:row>
    <x:row r="7687">
      <x:c r="A7687" t="n">
        <x:v>3657</x:v>
      </x:c>
      <x:c r="B7687" s="58" t="str">
        <x:v>FINE | point 6 | DAC 8.00 | CTRL X 0.64979 | X 0.65519 | Y 0.20056 | Z 0.34363 | TOTAL 0.76668 | error -0.03 % | MAD 1.38 % | CV 2.27 % | coh 83.8 % | dominant X | axis fraction 100.0 % | IN TARGET BAND</x:v>
      </x:c>
      <x:c r="C7687" t="str">
        <x:v>Pasted text(59).txt</x:v>
      </x:c>
    </x:row>
    <x:row r="7688">
      <x:c r="A7688" t="n">
        <x:v>3658</x:v>
      </x:c>
      <x:c r="B7688" s="58" t="str">
        <x:v>FINE | point 7 | DAC 8.25 | CTRL X 0.67251 | X 0.66542 | Y 0.21108 | Z 0.35925 | TOTAL 0.78527 | error 3.46 % | MAD 1.14 % | CV 2.54 % | coh 81.7 % | dominant X | axis fraction 100.0 % | IN TARGET BAND</x:v>
      </x:c>
      <x:c r="C7688" t="str">
        <x:v>Pasted text(59).txt</x:v>
      </x:c>
    </x:row>
    <x:row r="7689">
      <x:c r="A7689" t="n">
        <x:v>3659</x:v>
      </x:c>
      <x:c r="B7689" s="58" t="str">
        <x:v>FINE | point 8 | DAC 8.50 | CTRL X 0.69209 | X 0.69083 | Y 0.20070 | Z 0.34781 | TOTAL 0.79942 | error 6.48 % | MAD 5.34 % | CV 3.89 % | coh 86.3 % | dominant X | axis fraction 100.0 % | IN TARGET BAND</x:v>
      </x:c>
      <x:c r="C7689" t="str">
        <x:v>Pasted text(59).txt</x:v>
      </x:c>
    </x:row>
    <x:row r="7690">
      <x:c r="A7690" t="n">
        <x:v>3660</x:v>
      </x:c>
      <x:c r="B7690" s="58" t="str">
        <x:v>FINE | point 9 | DAC 8.75 | CTRL X 0.71674 | X 0.71842 | Y 0.19378 | Z 0.36091 | TOTAL 0.82739 | error 10.27 % | MAD 3.45 % | CV 2.68 % | coh 83.2 % | dominant X | axis fraction 100.0 % | VALID</x:v>
      </x:c>
      <x:c r="C7690" t="str">
        <x:v>Pasted text(59).txt</x:v>
      </x:c>
    </x:row>
    <x:row r="7691">
      <x:c r="A7691" t="n">
        <x:v>3661</x:v>
      </x:c>
      <x:c r="B7691" s="58" t="str"/>
      <x:c r="C7691" t="str">
        <x:v>Pasted text(59).txt</x:v>
      </x:c>
    </x:row>
    <x:row r="7692">
      <x:c r="A7692" t="n">
        <x:v>3662</x:v>
      </x:c>
      <x:c r="B7692" s="58" t="str">
        <x:v>LONG VALIDATION AT FIXED DAC 8.00</x:v>
      </x:c>
      <x:c r="C7692" t="str">
        <x:v>Pasted text(59).txt</x:v>
      </x:c>
    </x:row>
    <x:row r="7693">
      <x:c r="A7693" t="n">
        <x:v>3663</x:v>
      </x:c>
      <x:c r="B7693" s="58" t="str">
        <x:v>FINAL | point 1 | DAC 8.00 | CTRL X 0.63415 | X 0.64243 | Y 0.19163 | Z 0.31942 | TOTAL 0.74297 | error -2.44 % | MAD 3.67 % | CV 4.25 % | coh 82.3 % | dominant X | axis fraction 100.0 % | IN TARGET BAND</x:v>
      </x:c>
      <x:c r="C7693" t="str">
        <x:v>Pasted text(59).txt</x:v>
      </x:c>
    </x:row>
    <x:row r="7694">
      <x:c r="A7694" t="n">
        <x:v>3664</x:v>
      </x:c>
      <x:c r="B7694" s="58" t="str">
        <x:v>FINAL | point 2 | DAC 8.00 | CTRL X 0.65596 | X 0.66047 | Y 0.19654 | Z 0.33498 | TOTAL 0.76679 | error 0.92 % | MAD 0.94 % | CV 2.29 % | coh 83.0 % | dominant X | axis fraction 100.0 % | IN TARGET BAND</x:v>
      </x:c>
      <x:c r="C7694" t="str">
        <x:v>Pasted text(59).txt</x:v>
      </x:c>
    </x:row>
    <x:row r="7695">
      <x:c r="A7695" t="n">
        <x:v>3665</x:v>
      </x:c>
      <x:c r="B7695" s="58" t="str">
        <x:v>VALIDATION ACCEPTED | pair drift 3.38 %</x:v>
      </x:c>
      <x:c r="C7695" t="str">
        <x:v>Pasted text(59).txt</x:v>
      </x:c>
    </x:row>
    <x:row r="7696">
      <x:c r="A7696" t="n">
        <x:v>3666</x:v>
      </x:c>
      <x:c r="B7696" s="58" t="str"/>
      <x:c r="C7696" t="str">
        <x:v>Pasted text(59).txt</x:v>
      </x:c>
    </x:row>
    <x:row r="7697">
      <x:c r="A7697" t="n">
        <x:v>3667</x:v>
      </x:c>
      <x:c r="B7697" s="58" t="str">
        <x:v>FINAL VALIDATED BLIND FFT VERIFICATION</x:v>
      </x:c>
      <x:c r="C7697" t="str">
        <x:v>Pasted text(59).txt</x:v>
      </x:c>
    </x:row>
    <x:row r="7698">
      <x:c r="A7698" t="n">
        <x:v>3668</x:v>
      </x:c>
      <x:c r="B7698" s="58" t="str">
        <x:v>Commanded frequency: 268.00000 Hz</x:v>
      </x:c>
      <x:c r="C7698" t="str">
        <x:v>Pasted text(59).txt</x:v>
      </x:c>
    </x:row>
    <x:row r="7699">
      <x:c r="A7699" t="n">
        <x:v>3669</x:v>
      </x:c>
      <x:c r="B7699" s="58" t="str">
        <x:v>Accepted DAC: 8.00</x:v>
      </x:c>
      <x:c r="C7699" t="str">
        <x:v>Pasted text(59).txt</x:v>
      </x:c>
    </x:row>
    <x:row r="7700">
      <x:c r="A7700" t="n">
        <x:v>3670</x:v>
      </x:c>
      <x:c r="B7700" s="58" t="str">
        <x:v>Axis,Frequency_Hz,Amplitude_mps2,SNR_dB,Status</x:v>
      </x:c>
      <x:c r="C7700" t="str">
        <x:v>Pasted text(59).txt</x:v>
      </x:c>
    </x:row>
    <x:row r="7701">
      <x:c r="A7701" t="n">
        <x:v>3671</x:v>
      </x:c>
      <x:c r="B7701" s="58" t="str">
        <x:v>X,268.02194,0.60108,29.45,VALID</x:v>
      </x:c>
      <x:c r="C7701" t="str">
        <x:v>Pasted text(59).txt</x:v>
      </x:c>
    </x:row>
    <x:row r="7702">
      <x:c r="A7702" t="n">
        <x:v>3672</x:v>
      </x:c>
      <x:c r="B7702" s="58" t="str">
        <x:v>Y,268.06343,0.18597,18.18,VALID</x:v>
      </x:c>
      <x:c r="C7702" t="str">
        <x:v>Pasted text(59).txt</x:v>
      </x:c>
    </x:row>
    <x:row r="7703">
      <x:c r="A7703" t="n">
        <x:v>3673</x:v>
      </x:c>
      <x:c r="B7703" s="58" t="str">
        <x:v>Z,267.93457,0.31255,24.74,VALID</x:v>
      </x:c>
      <x:c r="C7703" t="str">
        <x:v>Pasted text(59).txt</x:v>
      </x:c>
    </x:row>
    <x:row r="7704">
      <x:c r="A7704" t="n">
        <x:v>3674</x:v>
      </x:c>
      <x:c r="B7704" s="58" t="str">
        <x:v>Combined frequency: 268.00829 Hz | difference 0.00829 Hz</x:v>
      </x:c>
      <x:c r="C7704" t="str">
        <x:v>Pasted text(59).txt</x:v>
      </x:c>
    </x:row>
    <x:row r="7705">
      <x:c r="A7705" t="n">
        <x:v>3675</x:v>
      </x:c>
      <x:c r="B7705" s="58" t="str">
        <x:v>Combined X/Y/Z/TOTAL: 0.54894 / 0.17105 / 0.27947 / 0.63929</x:v>
      </x:c>
      <x:c r="C7705" t="str">
        <x:v>Pasted text(59).txt</x:v>
      </x:c>
    </x:row>
    <x:row r="7706">
      <x:c r="A7706" t="n">
        <x:v>3676</x:v>
      </x:c>
      <x:c r="B7706" s="58" t="str">
        <x:v>SNR: 25.86 dB | dominant axis X</x:v>
      </x:c>
      <x:c r="C7706" t="str">
        <x:v>Pasted text(59).txt</x:v>
      </x:c>
    </x:row>
    <x:row r="7707">
      <x:c r="A7707" t="n">
        <x:v>3677</x:v>
      </x:c>
      <x:c r="B7707" s="58" t="str">
        <x:v>Frequency verification: PASS</x:v>
      </x:c>
      <x:c r="C7707" t="str">
        <x:v>Pasted text(59).txt</x:v>
      </x:c>
    </x:row>
    <x:row r="7708">
      <x:c r="A7708" t="n">
        <x:v>3678</x:v>
      </x:c>
      <x:c r="B7708" s="58" t="str">
        <x:v>Y/Z dominance: DIAGNOSTIC ONLY — ignored for pass/fail</x:v>
      </x:c>
      <x:c r="C7708" t="str">
        <x:v>Pasted text(59).txt</x:v>
      </x:c>
    </x:row>
    <x:row r="7709">
      <x:c r="A7709" t="n">
        <x:v>3679</x:v>
      </x:c>
      <x:c r="B7709" s="58" t="str"/>
      <x:c r="C7709" t="str">
        <x:v>Pasted text(59).txt</x:v>
      </x:c>
    </x:row>
    <x:row r="7710">
      <x:c r="A7710" t="n">
        <x:v>3680</x:v>
      </x:c>
      <x:c r="B7710" s="58" t="str">
        <x:v>FIXED-DAC HOLD VALIDATION</x:v>
      </x:c>
      <x:c r="C7710" t="str">
        <x:v>Pasted text(59).txt</x:v>
      </x:c>
    </x:row>
    <x:row r="7711">
      <x:c r="A7711" t="n">
        <x:v>3681</x:v>
      </x:c>
      <x:c r="B7711" s="58" t="str">
        <x:v>DAC remains fixed at 8.00 for 10 records.</x:v>
      </x:c>
      <x:c r="C7711" t="str">
        <x:v>Pasted text(59).txt</x:v>
      </x:c>
    </x:row>
    <x:row r="7712">
      <x:c r="A7712" t="n">
        <x:v>3682</x:v>
      </x:c>
      <x:c r="B7712" s="58" t="str">
        <x:v>HOLD | point 1 | DAC 8.00 | CTRL X 0.66075 | X 0.65993 | Y 0.21591 | Z 0.34009 | TOTAL 0.77346 | error 1.65 % | MAD 0.65 % | CV 0.63 % | coh 83.0 % | dominant X | axis fraction 100.0 % | IN TARGET BAND</x:v>
      </x:c>
      <x:c r="C7712" t="str">
        <x:v>Pasted text(59).txt</x:v>
      </x:c>
    </x:row>
    <x:row r="7713">
      <x:c r="A7713" t="n">
        <x:v>3683</x:v>
      </x:c>
      <x:c r="B7713" s="58" t="str">
        <x:v>HOLD | point 2 | DAC 8.00 | CTRL X 0.64001 | X 0.64496 | Y 0.19861 | Z 0.33066 | TOTAL 0.75178 | error -1.54 % | MAD 1.31 % | CV 2.14 % | coh 83.0 % | dominant X | axis fraction 100.0 % | IN TARGET BAND</x:v>
      </x:c>
      <x:c r="C7713" t="str">
        <x:v>Pasted text(59).txt</x:v>
      </x:c>
    </x:row>
    <x:row r="7714">
      <x:c r="A7714" t="n">
        <x:v>3684</x:v>
      </x:c>
      <x:c r="B7714" s="58" t="str">
        <x:v>HOLD | point 3 | DAC 8.00 | CTRL X 0.62508 | X 0.63661 | Y 0.18089 | Z 0.31895 | TOTAL 0.73488 | error -3.83 % | MAD 1.58 % | CV 4.08 % | coh 81.8 % | dominant X | axis fraction 100.0 % | IN TARGET BAND</x:v>
      </x:c>
      <x:c r="C7714" t="str">
        <x:v>Pasted text(59).txt</x:v>
      </x:c>
    </x:row>
    <x:row r="7715">
      <x:c r="A7715" t="n">
        <x:v>3685</x:v>
      </x:c>
      <x:c r="B7715" s="58" t="str">
        <x:v>HOLD | point 4 | DAC 8.00 | CTRL X 0.67063 | X 0.67407 | Y 0.19203 | Z 0.35847 | TOTAL 0.78759 | error 3.17 % | MAD 1.15 % | CV 1.60 % | coh 83.7 % | dominant X | axis fraction 100.0 % | IN TARGET BAND</x:v>
      </x:c>
      <x:c r="C7715" t="str">
        <x:v>Pasted text(59).txt</x:v>
      </x:c>
    </x:row>
    <x:row r="7716">
      <x:c r="A7716" t="n">
        <x:v>3686</x:v>
      </x:c>
      <x:c r="B7716" s="58" t="str">
        <x:v>HOLD | point 5 | DAC 8.00 | CTRL X 0.65747 | X 0.65088 | Y 0.20404 | Z 0.34060 | TOTAL 0.76270 | error 1.15 % | MAD 4.43 % | CV 4.62 % | coh 82.4 % | dominant X | axis fraction 100.0 % | IN TARGET BAND</x:v>
      </x:c>
      <x:c r="C7716" t="str">
        <x:v>Pasted text(59).txt</x:v>
      </x:c>
    </x:row>
    <x:row r="7717">
      <x:c r="A7717" t="n">
        <x:v>3687</x:v>
      </x:c>
      <x:c r="B7717" s="58" t="str">
        <x:v>HOLD | point 6 | DAC 8.00 | CTRL X 0.66851 | X 0.65933 | Y 0.17357 | Z 0.33214 | TOTAL 0.75875 | error 2.85 % | MAD 0.73 % | CV 2.86 % | coh 82.4 % | dominant X | axis fraction 100.0 % | IN TARGET BAND</x:v>
      </x:c>
      <x:c r="C7717" t="str">
        <x:v>Pasted text(59).txt</x:v>
      </x:c>
    </x:row>
    <x:row r="7718">
      <x:c r="A7718" t="n">
        <x:v>3688</x:v>
      </x:c>
      <x:c r="B7718" s="58" t="str">
        <x:v>HOLD | point 7 | DAC 8.00 | CTRL X 0.65255 | X 0.64612 | Y 0.20244 | Z 0.36563 | TOTAL 0.76975 | error 0.39 % | MAD 1.14 % | CV 2.43 % | coh 82.4 % | dominant X | axis fraction 100.0 % | IN TARGET BAND</x:v>
      </x:c>
      <x:c r="C7718" t="str">
        <x:v>Pasted text(59).txt</x:v>
      </x:c>
    </x:row>
    <x:row r="7719">
      <x:c r="A7719" t="n">
        <x:v>3689</x:v>
      </x:c>
      <x:c r="B7719" s="58" t="str">
        <x:v>HOLD | point 8 | DAC 8.00 | CTRL X 0.67830 | X 0.68001 | Y 0.21324 | Z 0.34211 | TOTAL 0.79087 | error 4.35 % | MAD 1.28 % | CV 1.26 % | coh 83.8 % | dominant X | axis fraction 100.0 % | IN TARGET BAND</x:v>
      </x:c>
      <x:c r="C7719" t="str">
        <x:v>Pasted text(59).txt</x:v>
      </x:c>
    </x:row>
    <x:row r="7720">
      <x:c r="A7720" t="n">
        <x:v>3690</x:v>
      </x:c>
      <x:c r="B7720" s="58" t="str">
        <x:v>HOLD | point 9 | DAC 8.00 | CTRL X 0.64448 | X 0.64578 | Y 0.20810 | Z 0.34766 | TOTAL 0.76265 | error -0.85 % | MAD 2.19 % | CV 1.79 % | coh 83.4 % | dominant X | axis fraction 100.0 % | IN TARGET BAND</x:v>
      </x:c>
      <x:c r="C7720" t="str">
        <x:v>Pasted text(59).txt</x:v>
      </x:c>
    </x:row>
    <x:row r="7721">
      <x:c r="A7721" t="n">
        <x:v>3691</x:v>
      </x:c>
      <x:c r="B7721" s="58" t="str">
        <x:v>HOLD | point 10 | DAC 8.00 | CTRL X 0.64360 | X 0.64962 | Y 0.21242 | Z 0.36478 | TOTAL 0.77482 | error -0.99 % | MAD 0.11 % | CV 1.67 % | coh 82.2 % | dominant X | axis fraction 100.0 % | IN TARGET BAND</x:v>
      </x:c>
      <x:c r="C7721" t="str">
        <x:v>Pasted text(59).txt</x:v>
      </x:c>
    </x:row>
    <x:row r="7722">
      <x:c r="A7722" t="n">
        <x:v>3692</x:v>
      </x:c>
      <x:c r="B7722" s="58" t="str"/>
      <x:c r="C7722" t="str">
        <x:v>Pasted text(59).txt</x:v>
      </x:c>
    </x:row>
    <x:row r="7723">
      <x:c r="A7723" t="n">
        <x:v>3693</x:v>
      </x:c>
      <x:c r="B7723" s="58" t="str">
        <x:v>HOLD SUMMARY</x:v>
      </x:c>
      <x:c r="C7723" t="str">
        <x:v>Pasted text(59).txt</x:v>
      </x:c>
    </x:row>
    <x:row r="7724">
      <x:c r="A7724" t="n">
        <x:v>3694</x:v>
      </x:c>
      <x:c r="B7724" s="58" t="str">
        <x:v>Valid / requested: 10 / 10</x:v>
      </x:c>
      <x:c r="C7724" t="str">
        <x:v>Pasted text(59).txt</x:v>
      </x:c>
    </x:row>
    <x:row r="7725">
      <x:c r="A7725" t="n">
        <x:v>3695</x:v>
      </x:c>
      <x:c r="B7725" s="58" t="str">
        <x:v>In band / requested: 10 / 10 = 100.0 %</x:v>
      </x:c>
      <x:c r="C7725" t="str">
        <x:v>Pasted text(59).txt</x:v>
      </x:c>
    </x:row>
    <x:row r="7726">
      <x:c r="A7726" t="n">
        <x:v>3696</x:v>
      </x:c>
      <x:c r="B7726" s="58" t="str">
        <x:v>Mean / SD / CV: 0.65414 / 0.01622 / 2.48 %</x:v>
      </x:c>
      <x:c r="C7726" t="str">
        <x:v>Pasted text(59).txt</x:v>
      </x:c>
    </x:row>
    <x:row r="7727">
      <x:c r="A7727" t="n">
        <x:v>3697</x:v>
      </x:c>
      <x:c r="B7727" s="58" t="str">
        <x:v>Min / Max: 0.62508 / 0.67830</x:v>
      </x:c>
      <x:c r="C7727" t="str">
        <x:v>Pasted text(59).txt</x:v>
      </x:c>
    </x:row>
    <x:row r="7728">
      <x:c r="A7728" t="n">
        <x:v>3698</x:v>
      </x:c>
      <x:c r="B7728" s="58" t="str">
        <x:v>HOLD RESULT: PASS</x:v>
      </x:c>
      <x:c r="C7728" t="str">
        <x:v>Pasted text(59).txt</x:v>
      </x:c>
    </x:row>
    <x:row r="7729">
      <x:c r="A7729" t="n">
        <x:v>3699</x:v>
      </x:c>
      <x:c r="B7729" s="58" t="str"/>
      <x:c r="C7729" t="str">
        <x:v>Pasted text(59).txt</x:v>
      </x:c>
    </x:row>
    <x:row r="7730">
      <x:c r="A7730" t="n">
        <x:v>3700</x:v>
      </x:c>
      <x:c r="B7730" s="58" t="str">
        <x:v>RUN RESULT: PASS</x:v>
      </x:c>
      <x:c r="C7730" t="str">
        <x:v>Pasted text(59).txt</x:v>
      </x:c>
    </x:row>
    <x:row r="7731">
      <x:c r="A7731" t="n">
        <x:v>3701</x:v>
      </x:c>
      <x:c r="B7731" s="58" t="str">
        <x:v>Selected DAC: 8.00</x:v>
      </x:c>
      <x:c r="C7731" t="str">
        <x:v>Pasted text(59).txt</x:v>
      </x:c>
    </x:row>
    <x:row r="7732">
      <x:c r="A7732" t="n">
        <x:v>3702</x:v>
      </x:c>
      <x:c r="B7732" s="58" t="str">
        <x:v>Validated amplitude: 0.64506 m/s^2 | error -0.76 %</x:v>
      </x:c>
      <x:c r="C7732" t="str">
        <x:v>Pasted text(59).txt</x:v>
      </x:c>
    </x:row>
    <x:row r="7733">
      <x:c r="A7733" t="n">
        <x:v>3703</x:v>
      </x:c>
      <x:c r="B7733" s="58" t="str">
        <x:v>FFT frequency: 268.00829 Hz | difference 0.00829 Hz</x:v>
      </x:c>
      <x:c r="C7733" t="str">
        <x:v>Pasted text(59).txt</x:v>
      </x:c>
    </x:row>
    <x:row r="7734">
      <x:c r="A7734" t="n">
        <x:v>3704</x:v>
      </x:c>
      <x:c r="B7734" s="58" t="str"/>
      <x:c r="C7734" t="str">
        <x:v>Pasted text(59).txt</x:v>
      </x:c>
    </x:row>
    <x:row r="7735">
      <x:c r="A7735" t="n">
        <x:v>3705</x:v>
      </x:c>
      <x:c r="B7735" s="58" t="str">
        <x:v>VISATON OFF. RESTING 5.0 s BEFORE THE NEXT COMPLETELY FRESH RUN.</x:v>
      </x:c>
      <x:c r="C7735" t="str">
        <x:v>Pasted text(59).txt</x:v>
      </x:c>
    </x:row>
    <x:row r="7736">
      <x:c r="A7736" t="n">
        <x:v>3706</x:v>
      </x:c>
      <x:c r="B7736" s="58" t="str"/>
      <x:c r="C7736" t="str">
        <x:v>Pasted text(59).txt</x:v>
      </x:c>
    </x:row>
    <x:row r="7737">
      <x:c r="A7737" t="n">
        <x:v>3707</x:v>
      </x:c>
      <x:c r="B7737" s="58" t="str">
        <x:v>################################################################################</x:v>
      </x:c>
      <x:c r="C7737" t="str">
        <x:v>Pasted text(59).txt</x:v>
      </x:c>
    </x:row>
    <x:row r="7738">
      <x:c r="A7738" t="n">
        <x:v>3708</x:v>
      </x:c>
      <x:c r="B7738" s="58" t="str">
        <x:v>INDEPENDENT TARGET-AMPLITUDE RUN 5 OF 5</x:v>
      </x:c>
      <x:c r="C7738" t="str">
        <x:v>Pasted text(59).txt</x:v>
      </x:c>
    </x:row>
    <x:row r="7739">
      <x:c r="A7739" t="n">
        <x:v>3709</x:v>
      </x:c>
      <x:c r="B7739" s="58" t="str">
        <x:v>################################################################################</x:v>
      </x:c>
      <x:c r="C7739" t="str">
        <x:v>Pasted text(59).txt</x:v>
      </x:c>
    </x:row>
    <x:row r="7740">
      <x:c r="A7740" t="n">
        <x:v>3710</x:v>
      </x:c>
      <x:c r="B7740" s="58" t="str">
        <x:v>Frequency: 268.00000 Hz</x:v>
      </x:c>
      <x:c r="C7740" t="str">
        <x:v>Pasted text(59).txt</x:v>
      </x:c>
    </x:row>
    <x:row r="7741">
      <x:c r="A7741" t="n">
        <x:v>3711</x:v>
      </x:c>
      <x:c r="B7741" s="58" t="str">
        <x:v>Target X amplitude: 0.65000 m/s^2 peak, tolerance +/-7.50 %</x:v>
      </x:c>
      <x:c r="C7741" t="str">
        <x:v>Pasted text(59).txt</x:v>
      </x:c>
    </x:row>
    <x:row r="7742">
      <x:c r="A7742" t="n">
        <x:v>3712</x:v>
      </x:c>
      <x:c r="B7742" s="58" t="str">
        <x:v>This run starts from DAC 1.00 and ignores every earlier selected DAC.</x:v>
      </x:c>
      <x:c r="C7742" t="str">
        <x:v>Pasted text(59).txt</x:v>
      </x:c>
    </x:row>
    <x:row r="7743">
      <x:c r="A7743" t="n">
        <x:v>3713</x:v>
      </x:c>
      <x:c r="B7743" s="58" t="str">
        <x:v>ADXL2 DEVID/DATA_FORMAT/BW_RATE/POWER_CTL: 0xE5 / 0xB / 0xE / 0x8</x:v>
      </x:c>
      <x:c r="C7743" t="str">
        <x:v>Pasted text(59).txt</x:v>
      </x:c>
    </x:row>
    <x:row r="7744">
      <x:c r="A7744" t="n">
        <x:v>3714</x:v>
      </x:c>
      <x:c r="B7744" s="58" t="str"/>
      <x:c r="C7744" t="str">
        <x:v>Pasted text(59).txt</x:v>
      </x:c>
    </x:row>
    <x:row r="7745">
      <x:c r="A7745" t="n">
        <x:v>3715</x:v>
      </x:c>
      <x:c r="B7745" s="58" t="str">
        <x:v>ACQUISITION ATTEMPT 1 OF 2</x:v>
      </x:c>
      <x:c r="C7745" t="str">
        <x:v>Pasted text(59).txt</x:v>
      </x:c>
    </x:row>
    <x:row r="7746">
      <x:c r="A7746" t="n">
        <x:v>3716</x:v>
      </x:c>
      <x:c r="B7746" s="58" t="str"/>
      <x:c r="C7746" t="str">
        <x:v>Pasted text(59).txt</x:v>
      </x:c>
    </x:row>
    <x:row r="7747">
      <x:c r="A7747" t="n">
        <x:v>3717</x:v>
      </x:c>
      <x:c r="B7747" s="58" t="str">
        <x:v>FRESH X-AXIS SEARCH FROM DAC 1.00 — OLD DAC VALUES ARE NOT USED</x:v>
      </x:c>
      <x:c r="C7747" t="str">
        <x:v>Pasted text(59).txt</x:v>
      </x:c>
    </x:row>
    <x:row r="7748">
      <x:c r="A7748" t="n">
        <x:v>3718</x:v>
      </x:c>
      <x:c r="B7748" s="58" t="str">
        <x:v>Y/Z are diagnostic only and cannot abort this search.</x:v>
      </x:c>
      <x:c r="C7748" t="str">
        <x:v>Pasted text(59).txt</x:v>
      </x:c>
    </x:row>
    <x:row r="7749">
      <x:c r="A7749" t="n">
        <x:v>3719</x:v>
      </x:c>
      <x:c r="B7749" s="58" t="str">
        <x:v>A real SPI fault, clipping, safety limit or confirmed X-response collapse will stop it.</x:v>
      </x:c>
      <x:c r="C7749" t="str">
        <x:v>Pasted text(59).txt</x:v>
      </x:c>
    </x:row>
    <x:row r="7750">
      <x:c r="A7750" t="n">
        <x:v>3720</x:v>
      </x:c>
      <x:c r="B7750" s="58" t="str">
        <x:v>SEARCH | point 1 | DAC 1.00 | CTRL X 0.01264 | X 0.01219 | Y 0.02522 | Z 0.02803 | TOTAL 0.04042 | error -98.06 % | MAD 10.56 % | CV 5.22 % | coh 4.4 % | dominant Z | axis fraction 43.5 % | BELOW MEASUREMENT FLOOR — SEARCH CONTINUES</x:v>
      </x:c>
      <x:c r="C7750" t="str">
        <x:v>Pasted text(59).txt</x:v>
      </x:c>
    </x:row>
    <x:row r="7751">
      <x:c r="A7751" t="n">
        <x:v>3721</x:v>
      </x:c>
      <x:c r="B7751" s="58" t="str">
        <x:v>SEARCH | point 2 | DAC 3.00 | CTRL X 0.17321 | X 0.17270 | Y 0.04554 | Z 0.10217 | TOTAL 0.20718 | error -73.35 % | MAD 5.68 % | CV 4.30 % | coh 41.1 % | dominant X | axis fraction 100.0 % | UNSTABLE — SEARCH CONTINUES</x:v>
      </x:c>
      <x:c r="C7751" t="str">
        <x:v>Pasted text(59).txt</x:v>
      </x:c>
    </x:row>
    <x:row r="7752">
      <x:c r="A7752" t="n">
        <x:v>3722</x:v>
      </x:c>
      <x:c r="B7752" s="58" t="str">
        <x:v>SEARCH | point 3 | DAC 4.00 | CTRL X 0.26349 | X 0.25698 | Y 0.08299 | Z 0.16059 | TOTAL 0.31435 | error -59.46 % | MAD 6.83 % | CV 8.80 % | coh 53.6 % | dominant X | axis fraction 100.0 % | VALID</x:v>
      </x:c>
      <x:c r="C7752" t="str">
        <x:v>Pasted text(59).txt</x:v>
      </x:c>
    </x:row>
    <x:row r="7753">
      <x:c r="A7753" t="n">
        <x:v>3723</x:v>
      </x:c>
      <x:c r="B7753" s="58" t="str">
        <x:v>SEARCH | point 4 | DAC 5.00 | CTRL X 0.37603 | X 0.36828 | Y 0.09122 | Z 0.19587 | TOTAL 0.42746 | error -42.15 % | MAD 2.05 % | CV 4.92 % | coh 64.3 % | dominant X | axis fraction 100.0 % | VALID</x:v>
      </x:c>
      <x:c r="C7753" t="str">
        <x:v>Pasted text(59).txt</x:v>
      </x:c>
    </x:row>
    <x:row r="7754">
      <x:c r="A7754" t="n">
        <x:v>3724</x:v>
      </x:c>
      <x:c r="B7754" s="58" t="str">
        <x:v>SEARCH | point 5 | DAC 6.00 | CTRL X 0.48320 | X 0.48007 | Y 0.13507 | Z 0.22734 | TOTAL 0.54929 | error -25.66 % | MAD 0.65 % | CV 1.53 % | coh 74.7 % | dominant X | axis fraction 100.0 % | VALID</x:v>
      </x:c>
      <x:c r="C7754" t="str">
        <x:v>Pasted text(59).txt</x:v>
      </x:c>
    </x:row>
    <x:row r="7755">
      <x:c r="A7755" t="n">
        <x:v>3725</x:v>
      </x:c>
      <x:c r="B7755" s="58" t="str">
        <x:v>SEARCH | point 6 | DAC 6.50 | CTRL X 0.49785 | X 0.49541 | Y 0.13732 | Z 0.25701 | TOTAL 0.57480 | error -23.41 % | MAD 1.03 % | CV 1.50 % | coh 78.5 % | dominant X | axis fraction 100.0 % | VALID</x:v>
      </x:c>
      <x:c r="C7755" t="str">
        <x:v>Pasted text(59).txt</x:v>
      </x:c>
    </x:row>
    <x:row r="7756">
      <x:c r="A7756" t="n">
        <x:v>3726</x:v>
      </x:c>
      <x:c r="B7756" s="58" t="str">
        <x:v>SEARCH | point 7 | DAC 7.00 | CTRL X 0.52822 | X 0.54543 | Y 0.16248 | Z 0.31791 | TOTAL 0.65212 | error -18.74 % | MAD 0.71 % | CV 5.87 % | coh 77.0 % | dominant X | axis fraction 100.0 % | VALID</x:v>
      </x:c>
      <x:c r="C7756" t="str">
        <x:v>Pasted text(59).txt</x:v>
      </x:c>
    </x:row>
    <x:row r="7757">
      <x:c r="A7757" t="n">
        <x:v>3727</x:v>
      </x:c>
      <x:c r="B7757" s="58" t="str">
        <x:v>SEARCH | point 8 | DAC 7.50 | CTRL X 0.58474 | X 0.57951 | Y 0.19117 | Z 0.32107 | TOTAL 0.68972 | error -10.04 % | MAD 1.24 % | CV 2.33 % | coh 82.3 % | dominant X | axis fraction 100.0 % | VALID</x:v>
      </x:c>
      <x:c r="C7757" t="str">
        <x:v>Pasted text(59).txt</x:v>
      </x:c>
    </x:row>
    <x:row r="7758">
      <x:c r="A7758" t="n">
        <x:v>3728</x:v>
      </x:c>
      <x:c r="B7758" s="58" t="str">
        <x:v>SEARCH | point 9 | DAC 7.75 | CTRL X 0.60847 | X 0.61773 | Y 0.18296 | Z 0.33848 | TOTAL 0.72780 | error -6.39 % | MAD 0.02 % | CV 2.61 % | coh 80.6 % | dominant X | axis fraction 100.0 % | IN TARGET BAND</x:v>
      </x:c>
      <x:c r="C7758" t="str">
        <x:v>Pasted text(59).txt</x:v>
      </x:c>
    </x:row>
    <x:row r="7759">
      <x:c r="A7759" t="n">
        <x:v>3729</x:v>
      </x:c>
      <x:c r="B7759" s="58" t="str"/>
      <x:c r="C7759" t="str">
        <x:v>Pasted text(59).txt</x:v>
      </x:c>
    </x:row>
    <x:row r="7760">
      <x:c r="A7760" t="n">
        <x:v>3730</x:v>
      </x:c>
      <x:c r="B7760" s="58" t="str">
        <x:v>LOCAL 0.25-DAC X-AXIS FINE SCAN</x:v>
      </x:c>
      <x:c r="C7760" t="str">
        <x:v>Pasted text(59).txt</x:v>
      </x:c>
    </x:row>
    <x:row r="7761">
      <x:c r="A7761" t="n">
        <x:v>3731</x:v>
      </x:c>
      <x:c r="B7761" s="58" t="str">
        <x:v>Only a valid point actually inside the X target band may be selected.</x:v>
      </x:c>
      <x:c r="C7761" t="str">
        <x:v>Pasted text(59).txt</x:v>
      </x:c>
    </x:row>
    <x:row r="7762">
      <x:c r="A7762" t="n">
        <x:v>3732</x:v>
      </x:c>
      <x:c r="B7762" s="58" t="str">
        <x:v>FINE | point 1 | DAC 6.75 | CTRL X 0.52785 | X 0.52916 | Y 0.15372 | Z 0.28493 | TOTAL 0.62038 | error -18.79 % | MAD 3.08 % | CV 2.45 % | coh 76.0 % | dominant X | axis fraction 100.0 % | VALID</x:v>
      </x:c>
      <x:c r="C7762" t="str">
        <x:v>Pasted text(59).txt</x:v>
      </x:c>
    </x:row>
    <x:row r="7763">
      <x:c r="A7763" t="n">
        <x:v>3733</x:v>
      </x:c>
      <x:c r="B7763" s="58" t="str">
        <x:v>FINE | point 2 | DAC 7.00 | CTRL X 0.58377 | X 0.57235 | Y 0.15805 | Z 0.28245 | TOTAL 0.65762 | error -10.19 % | MAD 1.11 % | CV 4.14 % | coh 80.6 % | dominant X | axis fraction 100.0 % | VALID</x:v>
      </x:c>
      <x:c r="C7763" t="str">
        <x:v>Pasted text(59).txt</x:v>
      </x:c>
    </x:row>
    <x:row r="7764">
      <x:c r="A7764" t="n">
        <x:v>3734</x:v>
      </x:c>
      <x:c r="B7764" s="58" t="str">
        <x:v>FINE | point 3 | DAC 7.25 | CTRL X 0.57918 | X 0.57765 | Y 0.16478 | Z 0.31459 | TOTAL 0.67863 | error -10.90 % | MAD 1.52 % | CV 1.44 % | coh 81.8 % | dominant X | axis fraction 100.0 % | VALID</x:v>
      </x:c>
      <x:c r="C7764" t="str">
        <x:v>Pasted text(59).txt</x:v>
      </x:c>
    </x:row>
    <x:row r="7765">
      <x:c r="A7765" t="n">
        <x:v>3735</x:v>
      </x:c>
      <x:c r="B7765" s="58" t="str">
        <x:v>FINE | point 4 | DAC 7.50 | CTRL X 0.59338 | X 0.59345 | Y 0.17401 | Z 0.30649 | TOTAL 0.69100 | error -8.71 % | MAD 3.57 % | CV 2.42 % | coh 83.7 % | dominant X | axis fraction 100.0 % | VALID</x:v>
      </x:c>
      <x:c r="C7765" t="str">
        <x:v>Pasted text(59).txt</x:v>
      </x:c>
    </x:row>
    <x:row r="7766">
      <x:c r="A7766" t="n">
        <x:v>3736</x:v>
      </x:c>
      <x:c r="B7766" s="58" t="str">
        <x:v>FINE | point 5 | DAC 7.75 | CTRL X 0.62550 | X 0.62148 | Y 0.19081 | Z 0.34114 | TOTAL 0.73439 | error -3.77 % | MAD 2.70 % | CV 2.86 % | coh 80.2 % | dominant X | axis fraction 100.0 % | IN TARGET BAND</x:v>
      </x:c>
      <x:c r="C7766" t="str">
        <x:v>Pasted text(59).txt</x:v>
      </x:c>
    </x:row>
    <x:row r="7767">
      <x:c r="A7767" t="n">
        <x:v>3737</x:v>
      </x:c>
      <x:c r="B7767" s="58" t="str">
        <x:v>FINE | point 6 | DAC 8.00 | CTRL X 0.65236 | X 0.64885 | Y 0.19020 | Z 0.34436 | TOTAL 0.75889 | error 0.36 % | MAD 0.61 % | CV 1.31 % | coh 83.6 % | dominant X | axis fraction 100.0 % | IN TARGET BAND</x:v>
      </x:c>
      <x:c r="C7767" t="str">
        <x:v>Pasted text(59).txt</x:v>
      </x:c>
    </x:row>
    <x:row r="7768">
      <x:c r="A7768" t="n">
        <x:v>3738</x:v>
      </x:c>
      <x:c r="B7768" s="58" t="str">
        <x:v>FINE | point 7 | DAC 8.25 | CTRL X 0.66240 | X 0.67103 | Y 0.22484 | Z 0.38271 | TOTAL 0.80466 | error 1.91 % | MAD 0.75 % | CV 2.67 % | coh 85.7 % | dominant X | axis fraction 100.0 % | IN TARGET BAND</x:v>
      </x:c>
      <x:c r="C7768" t="str">
        <x:v>Pasted text(59).txt</x:v>
      </x:c>
    </x:row>
    <x:row r="7769">
      <x:c r="A7769" t="n">
        <x:v>3739</x:v>
      </x:c>
      <x:c r="B7769" s="58" t="str">
        <x:v>FINE | point 8 | DAC 8.50 | CTRL X 0.68599 | X 0.68216 | Y 0.18958 | Z 0.35869 | TOTAL 0.79387 | error 5.54 % | MAD 0.95 % | CV 1.56 % | coh 83.9 % | dominant X | axis fraction 100.0 % | IN TARGET BAND</x:v>
      </x:c>
      <x:c r="C7769" t="str">
        <x:v>Pasted text(59).txt</x:v>
      </x:c>
    </x:row>
    <x:row r="7770">
      <x:c r="A7770" t="n">
        <x:v>3740</x:v>
      </x:c>
      <x:c r="B7770" s="58" t="str">
        <x:v>FINE | point 9 | DAC 8.75 | CTRL X 0.74019 | X 0.72733 | Y 0.23215 | Z 0.36423 | TOTAL 0.84636 | error 13.88 % | MAD 1.43 % | CV 3.94 % | coh 83.3 % | dominant X | axis fraction 100.0 % | VALID</x:v>
      </x:c>
      <x:c r="C7770" t="str">
        <x:v>Pasted text(59).txt</x:v>
      </x:c>
    </x:row>
    <x:row r="7771">
      <x:c r="A7771" t="n">
        <x:v>3741</x:v>
      </x:c>
      <x:c r="B7771" s="58" t="str"/>
      <x:c r="C7771" t="str">
        <x:v>Pasted text(59).txt</x:v>
      </x:c>
    </x:row>
    <x:row r="7772">
      <x:c r="A7772" t="n">
        <x:v>3742</x:v>
      </x:c>
      <x:c r="B7772" s="58" t="str">
        <x:v>LONG VALIDATION AT FIXED DAC 8.00</x:v>
      </x:c>
      <x:c r="C7772" t="str">
        <x:v>Pasted text(59).txt</x:v>
      </x:c>
    </x:row>
    <x:row r="7773">
      <x:c r="A7773" t="n">
        <x:v>3743</x:v>
      </x:c>
      <x:c r="B7773" s="58" t="str">
        <x:v>FINAL | point 1 | DAC 8.00 | CTRL X 0.65478 | X 0.65819 | Y 0.20235 | Z 0.34272 | TOTAL 0.76966 | error 0.74 % | MAD 0.73 % | CV 1.26 % | coh 82.4 % | dominant X | axis fraction 100.0 % | IN TARGET BAND</x:v>
      </x:c>
      <x:c r="C7773" t="str">
        <x:v>Pasted text(59).txt</x:v>
      </x:c>
    </x:row>
    <x:row r="7774">
      <x:c r="A7774" t="n">
        <x:v>3744</x:v>
      </x:c>
      <x:c r="B7774" s="58" t="str">
        <x:v>FINAL | point 2 | DAC 8.00 | CTRL X 0.65955 | X 0.65314 | Y 0.18287 | Z 0.35207 | TOTAL 0.76501 | error 1.47 % | MAD 1.77 % | CV 2.04 % | coh 81.3 % | dominant X | axis fraction 100.0 % | IN TARGET BAND</x:v>
      </x:c>
      <x:c r="C7774" t="str">
        <x:v>Pasted text(59).txt</x:v>
      </x:c>
    </x:row>
    <x:row r="7775">
      <x:c r="A7775" t="n">
        <x:v>3745</x:v>
      </x:c>
      <x:c r="B7775" s="58" t="str">
        <x:v>VALIDATION ACCEPTED | pair drift 0.73 %</x:v>
      </x:c>
      <x:c r="C7775" t="str">
        <x:v>Pasted text(59).txt</x:v>
      </x:c>
    </x:row>
    <x:row r="7776">
      <x:c r="A7776" t="n">
        <x:v>3746</x:v>
      </x:c>
      <x:c r="B7776" s="58" t="str"/>
      <x:c r="C7776" t="str">
        <x:v>Pasted text(59).txt</x:v>
      </x:c>
    </x:row>
    <x:row r="7777">
      <x:c r="A7777" t="n">
        <x:v>3747</x:v>
      </x:c>
      <x:c r="B7777" s="58" t="str">
        <x:v>FINAL VALIDATED BLIND FFT VERIFICATION</x:v>
      </x:c>
      <x:c r="C7777" t="str">
        <x:v>Pasted text(59).txt</x:v>
      </x:c>
    </x:row>
    <x:row r="7778">
      <x:c r="A7778" t="n">
        <x:v>3748</x:v>
      </x:c>
      <x:c r="B7778" s="58" t="str">
        <x:v>Commanded frequency: 268.00000 Hz</x:v>
      </x:c>
      <x:c r="C7778" t="str">
        <x:v>Pasted text(59).txt</x:v>
      </x:c>
    </x:row>
    <x:row r="7779">
      <x:c r="A7779" t="n">
        <x:v>3749</x:v>
      </x:c>
      <x:c r="B7779" s="58" t="str">
        <x:v>Accepted DAC: 8.00</x:v>
      </x:c>
      <x:c r="C7779" t="str">
        <x:v>Pasted text(59).txt</x:v>
      </x:c>
    </x:row>
    <x:row r="7780">
      <x:c r="A7780" t="n">
        <x:v>3750</x:v>
      </x:c>
      <x:c r="B7780" s="58" t="str">
        <x:v>Axis,Frequency_Hz,Amplitude_mps2,SNR_dB,Status</x:v>
      </x:c>
      <x:c r="C7780" t="str">
        <x:v>Pasted text(59).txt</x:v>
      </x:c>
    </x:row>
    <x:row r="7781">
      <x:c r="A7781" t="n">
        <x:v>3751</x:v>
      </x:c>
      <x:c r="B7781" s="58" t="str">
        <x:v>X,268.00825,0.59339,29.61,VALID</x:v>
      </x:c>
      <x:c r="C7781" t="str">
        <x:v>Pasted text(59).txt</x:v>
      </x:c>
    </x:row>
    <x:row r="7782">
      <x:c r="A7782" t="n">
        <x:v>3752</x:v>
      </x:c>
      <x:c r="B7782" s="58" t="str">
        <x:v>Y,267.97547,0.17329,17.35,VALID</x:v>
      </x:c>
      <x:c r="C7782" t="str">
        <x:v>Pasted text(59).txt</x:v>
      </x:c>
    </x:row>
    <x:row r="7783">
      <x:c r="A7783" t="n">
        <x:v>3753</x:v>
      </x:c>
      <x:c r="B7783" s="58" t="str">
        <x:v>Z,267.98612,0.30937,24.50,VALID</x:v>
      </x:c>
      <x:c r="C7783" t="str">
        <x:v>Pasted text(59).txt</x:v>
      </x:c>
    </x:row>
    <x:row r="7784">
      <x:c r="A7784" t="n">
        <x:v>3754</x:v>
      </x:c>
      <x:c r="B7784" s="58" t="str">
        <x:v>Combined frequency: 268.00187 Hz | difference 0.00187 Hz</x:v>
      </x:c>
      <x:c r="C7784" t="str">
        <x:v>Pasted text(59).txt</x:v>
      </x:c>
    </x:row>
    <x:row r="7785">
      <x:c r="A7785" t="n">
        <x:v>3755</x:v>
      </x:c>
      <x:c r="B7785" s="58" t="str">
        <x:v>Combined X/Y/Z/TOTAL: 0.53953 / 0.15591 / 0.28073 / 0.62786</x:v>
      </x:c>
      <x:c r="C7785" t="str">
        <x:v>Pasted text(59).txt</x:v>
      </x:c>
    </x:row>
    <x:row r="7786">
      <x:c r="A7786" t="n">
        <x:v>3756</x:v>
      </x:c>
      <x:c r="B7786" s="58" t="str">
        <x:v>SNR: 25.76 dB | dominant axis X</x:v>
      </x:c>
      <x:c r="C7786" t="str">
        <x:v>Pasted text(59).txt</x:v>
      </x:c>
    </x:row>
    <x:row r="7787">
      <x:c r="A7787" t="n">
        <x:v>3757</x:v>
      </x:c>
      <x:c r="B7787" s="58" t="str">
        <x:v>Frequency verification: PASS</x:v>
      </x:c>
      <x:c r="C7787" t="str">
        <x:v>Pasted text(59).txt</x:v>
      </x:c>
    </x:row>
    <x:row r="7788">
      <x:c r="A7788" t="n">
        <x:v>3758</x:v>
      </x:c>
      <x:c r="B7788" s="58" t="str">
        <x:v>Y/Z dominance: DIAGNOSTIC ONLY — ignored for pass/fail</x:v>
      </x:c>
      <x:c r="C7788" t="str">
        <x:v>Pasted text(59).txt</x:v>
      </x:c>
    </x:row>
    <x:row r="7789">
      <x:c r="A7789" t="n">
        <x:v>3759</x:v>
      </x:c>
      <x:c r="B7789" s="58" t="str"/>
      <x:c r="C7789" t="str">
        <x:v>Pasted text(59).txt</x:v>
      </x:c>
    </x:row>
    <x:row r="7790">
      <x:c r="A7790" t="n">
        <x:v>3760</x:v>
      </x:c>
      <x:c r="B7790" s="58" t="str">
        <x:v>FIXED-DAC HOLD VALIDATION</x:v>
      </x:c>
      <x:c r="C7790" t="str">
        <x:v>Pasted text(59).txt</x:v>
      </x:c>
    </x:row>
    <x:row r="7791">
      <x:c r="A7791" t="n">
        <x:v>3761</x:v>
      </x:c>
      <x:c r="B7791" s="58" t="str">
        <x:v>DAC remains fixed at 8.00 for 10 records.</x:v>
      </x:c>
      <x:c r="C7791" t="str">
        <x:v>Pasted text(59).txt</x:v>
      </x:c>
    </x:row>
    <x:row r="7792">
      <x:c r="A7792" t="n">
        <x:v>3762</x:v>
      </x:c>
      <x:c r="B7792" s="58" t="str">
        <x:v>HOLD | point 1 | DAC 8.00 | CTRL X 0.65578 | X 0.65496 | Y 0.19714 | Z 0.33135 | TOTAL 0.76044 | error 0.89 % | MAD 2.66 % | CV 1.99 % | coh 82.8 % | dominant X | axis fraction 100.0 % | IN TARGET BAND</x:v>
      </x:c>
      <x:c r="C7792" t="str">
        <x:v>Pasted text(59).txt</x:v>
      </x:c>
    </x:row>
    <x:row r="7793">
      <x:c r="A7793" t="n">
        <x:v>3763</x:v>
      </x:c>
      <x:c r="B7793" s="58" t="str">
        <x:v>HOLD | point 2 | DAC 8.00 | CTRL X 0.65555 | X 0.65674 | Y 0.19652 | Z 0.36325 | TOTAL 0.77644 | error 0.85 % | MAD 0.80 % | CV 0.83 % | coh 82.1 % | dominant X | axis fraction 100.0 % | IN TARGET BAND</x:v>
      </x:c>
      <x:c r="C7793" t="str">
        <x:v>Pasted text(59).txt</x:v>
      </x:c>
    </x:row>
    <x:row r="7794">
      <x:c r="A7794" t="n">
        <x:v>3764</x:v>
      </x:c>
      <x:c r="B7794" s="58" t="str">
        <x:v>HOLD | point 3 | DAC 8.00 | CTRL X 0.65841 | X 0.65437 | Y 0.21756 | Z 0.36477 | TOTAL 0.78081 | error 1.29 % | MAD 0.28 % | CV 1.24 % | coh 83.9 % | dominant X | axis fraction 100.0 % | IN TARGET BAND</x:v>
      </x:c>
      <x:c r="C7794" t="str">
        <x:v>Pasted text(59).txt</x:v>
      </x:c>
    </x:row>
    <x:row r="7795">
      <x:c r="A7795" t="n">
        <x:v>3765</x:v>
      </x:c>
      <x:c r="B7795" s="58" t="str">
        <x:v>HOLD | point 4 | DAC 8.00 | CTRL X 0.65463 | X 0.65421 | Y 0.18647 | Z 0.35041 | TOTAL 0.76547 | error 0.71 % | MAD 0.63 % | CV 0.52 % | coh 82.5 % | dominant X | axis fraction 100.0 % | IN TARGET BAND</x:v>
      </x:c>
      <x:c r="C7795" t="str">
        <x:v>Pasted text(59).txt</x:v>
      </x:c>
    </x:row>
    <x:row r="7796">
      <x:c r="A7796" t="n">
        <x:v>3766</x:v>
      </x:c>
      <x:c r="B7796" s="58" t="str">
        <x:v>HOLD | point 5 | DAC 8.00 | CTRL X 0.66176 | X 0.66026 | Y 0.17951 | Z 0.31626 | TOTAL 0.75390 | error 1.81 % | MAD 1.70 % | CV 1.51 % | coh 82.3 % | dominant X | axis fraction 100.0 % | IN TARGET BAND</x:v>
      </x:c>
      <x:c r="C7796" t="str">
        <x:v>Pasted text(59).txt</x:v>
      </x:c>
    </x:row>
    <x:row r="7797">
      <x:c r="A7797" t="n">
        <x:v>3767</x:v>
      </x:c>
      <x:c r="B7797" s="58" t="str">
        <x:v>HOLD | point 6 | DAC 8.00 | CTRL X 0.66209 | X 0.65848 | Y 0.18470 | Z 0.33118 | TOTAL 0.76033 | error 1.86 % | MAD 3.22 % | CV 3.04 % | coh 84.2 % | dominant X | axis fraction 100.0 % | IN TARGET BAND</x:v>
      </x:c>
      <x:c r="C7797" t="str">
        <x:v>Pasted text(59).txt</x:v>
      </x:c>
    </x:row>
    <x:row r="7798">
      <x:c r="A7798" t="n">
        <x:v>3768</x:v>
      </x:c>
      <x:c r="B7798" s="58" t="str">
        <x:v>HOLD | point 7 | DAC 8.00 | CTRL X 0.64474 | X 0.65659 | Y 0.19275 | Z 0.35203 | TOTAL 0.76995 | error -0.81 % | MAD 0.09 % | CV 3.18 % | coh 82.6 % | dominant X | axis fraction 100.0 % | IN TARGET BAND</x:v>
      </x:c>
      <x:c r="C7798" t="str">
        <x:v>Pasted text(59).txt</x:v>
      </x:c>
    </x:row>
    <x:row r="7799">
      <x:c r="A7799" t="n">
        <x:v>3769</x:v>
      </x:c>
      <x:c r="B7799" s="58" t="str">
        <x:v>HOLD | point 8 | DAC 8.00 | CTRL X 0.67462 | X 0.66907 | Y 0.21133 | Z 0.36884 | TOTAL 0.79303 | error 3.79 % | MAD 2.51 % | CV 3.04 % | coh 84.3 % | dominant X | axis fraction 100.0 % | IN TARGET BAND</x:v>
      </x:c>
      <x:c r="C7799" t="str">
        <x:v>Pasted text(59).txt</x:v>
      </x:c>
    </x:row>
    <x:row r="7800">
      <x:c r="A7800" t="n">
        <x:v>3770</x:v>
      </x:c>
      <x:c r="B7800" s="58" t="str">
        <x:v>HOLD | point 9 | DAC 8.00 | CTRL X 0.64124 | X 0.64151 | Y 0.21217 | Z 0.32465 | TOTAL 0.75055 | error -1.35 % | MAD 1.48 % | CV 1.07 % | coh 82.8 % | dominant X | axis fraction 100.0 % | IN TARGET BAND</x:v>
      </x:c>
      <x:c r="C7800" t="str">
        <x:v>Pasted text(59).txt</x:v>
      </x:c>
    </x:row>
    <x:row r="7801">
      <x:c r="A7801" t="n">
        <x:v>3771</x:v>
      </x:c>
      <x:c r="B7801" s="58" t="str">
        <x:v>HOLD | point 10 | DAC 8.00 | CTRL X 0.66327 | X 0.66655 | Y 0.19267 | Z 0.34743 | TOTAL 0.77638 | error 2.04 % | MAD 1.70 % | CV 1.92 % | coh 82.8 % | dominant X | axis fraction 100.0 % | IN TARGET BAND</x:v>
      </x:c>
      <x:c r="C7801" t="str">
        <x:v>Pasted text(59).txt</x:v>
      </x:c>
    </x:row>
    <x:row r="7802">
      <x:c r="A7802" t="n">
        <x:v>3772</x:v>
      </x:c>
      <x:c r="B7802" s="58" t="str"/>
      <x:c r="C7802" t="str">
        <x:v>Pasted text(59).txt</x:v>
      </x:c>
    </x:row>
    <x:row r="7803">
      <x:c r="A7803" t="n">
        <x:v>3773</x:v>
      </x:c>
      <x:c r="B7803" s="58" t="str">
        <x:v>HOLD SUMMARY</x:v>
      </x:c>
      <x:c r="C7803" t="str">
        <x:v>Pasted text(59).txt</x:v>
      </x:c>
    </x:row>
    <x:row r="7804">
      <x:c r="A7804" t="n">
        <x:v>3774</x:v>
      </x:c>
      <x:c r="B7804" s="58" t="str">
        <x:v>Valid / requested: 10 / 10</x:v>
      </x:c>
      <x:c r="C7804" t="str">
        <x:v>Pasted text(59).txt</x:v>
      </x:c>
    </x:row>
    <x:row r="7805">
      <x:c r="A7805" t="n">
        <x:v>3775</x:v>
      </x:c>
      <x:c r="B7805" s="58" t="str">
        <x:v>In band / requested: 10 / 10 = 100.0 %</x:v>
      </x:c>
      <x:c r="C7805" t="str">
        <x:v>Pasted text(59).txt</x:v>
      </x:c>
    </x:row>
    <x:row r="7806">
      <x:c r="A7806" t="n">
        <x:v>3776</x:v>
      </x:c>
      <x:c r="B7806" s="58" t="str">
        <x:v>Mean / SD / CV: 0.65721 / 0.00948 / 1.44 %</x:v>
      </x:c>
      <x:c r="C7806" t="str">
        <x:v>Pasted text(59).txt</x:v>
      </x:c>
    </x:row>
    <x:row r="7807">
      <x:c r="A7807" t="n">
        <x:v>3777</x:v>
      </x:c>
      <x:c r="B7807" s="58" t="str">
        <x:v>Min / Max: 0.64124 / 0.67462</x:v>
      </x:c>
      <x:c r="C7807" t="str">
        <x:v>Pasted text(59).txt</x:v>
      </x:c>
    </x:row>
    <x:row r="7808">
      <x:c r="A7808" t="n">
        <x:v>3778</x:v>
      </x:c>
      <x:c r="B7808" s="58" t="str">
        <x:v>HOLD RESULT: PASS</x:v>
      </x:c>
      <x:c r="C7808" t="str">
        <x:v>Pasted text(59).txt</x:v>
      </x:c>
    </x:row>
    <x:row r="7809">
      <x:c r="A7809" t="n">
        <x:v>3779</x:v>
      </x:c>
      <x:c r="B7809" s="58" t="str"/>
      <x:c r="C7809" t="str">
        <x:v>Pasted text(59).txt</x:v>
      </x:c>
    </x:row>
    <x:row r="7810">
      <x:c r="A7810" t="n">
        <x:v>3780</x:v>
      </x:c>
      <x:c r="B7810" s="58" t="str">
        <x:v>RUN RESULT: PASS</x:v>
      </x:c>
      <x:c r="C7810" t="str">
        <x:v>Pasted text(59).txt</x:v>
      </x:c>
    </x:row>
    <x:row r="7811">
      <x:c r="A7811" t="n">
        <x:v>3781</x:v>
      </x:c>
      <x:c r="B7811" s="58" t="str">
        <x:v>Selected DAC: 8.00</x:v>
      </x:c>
      <x:c r="C7811" t="str">
        <x:v>Pasted text(59).txt</x:v>
      </x:c>
    </x:row>
    <x:row r="7812">
      <x:c r="A7812" t="n">
        <x:v>3782</x:v>
      </x:c>
      <x:c r="B7812" s="58" t="str">
        <x:v>Validated amplitude: 0.65717 m/s^2 | error 1.10 %</x:v>
      </x:c>
      <x:c r="C7812" t="str">
        <x:v>Pasted text(59).txt</x:v>
      </x:c>
    </x:row>
    <x:row r="7813">
      <x:c r="A7813" t="n">
        <x:v>3783</x:v>
      </x:c>
      <x:c r="B7813" s="58" t="str">
        <x:v>FFT frequency: 268.00187 Hz | difference 0.00187 Hz</x:v>
      </x:c>
      <x:c r="C7813" t="str">
        <x:v>Pasted text(59).txt</x:v>
      </x:c>
    </x:row>
    <x:row r="7814">
      <x:c r="A7814" t="n">
        <x:v>3784</x:v>
      </x:c>
      <x:c r="B7814" s="58" t="str"/>
      <x:c r="C7814" t="str">
        <x:v>Pasted text(59).txt</x:v>
      </x:c>
    </x:row>
    <x:row r="7815">
      <x:c r="A7815" t="n">
        <x:v>3785</x:v>
      </x:c>
      <x:c r="B7815" s="58" t="str">
        <x:v>================================================================================</x:v>
      </x:c>
      <x:c r="C7815" t="str">
        <x:v>Pasted text(59).txt</x:v>
      </x:c>
    </x:row>
    <x:row r="7816">
      <x:c r="A7816" t="n">
        <x:v>3786</x:v>
      </x:c>
      <x:c r="B7816" s="58" t="str">
        <x:v>FINAL REPEATED TARGET-AMPLITUDE VALIDATION SUMMARY</x:v>
      </x:c>
      <x:c r="C7816" t="str">
        <x:v>Pasted text(59).txt</x:v>
      </x:c>
    </x:row>
    <x:row r="7817">
      <x:c r="A7817" t="n">
        <x:v>3787</x:v>
      </x:c>
      <x:c r="B7817" s="58" t="str">
        <x:v>================================================================================</x:v>
      </x:c>
      <x:c r="C7817" t="str">
        <x:v>Pasted text(59).txt</x:v>
      </x:c>
    </x:row>
    <x:row r="7818">
      <x:c r="A7818" t="n">
        <x:v>3788</x:v>
      </x:c>
      <x:c r="B7818" s="58" t="str">
        <x:v>Run,Pass,Selected_DAC,Validated_Amp,Error_pct,FFT_Hz,FFT_Diff_Hz,FFT_SNR_dB,Hold_Mean,Hold_CV_pct,Hold_InBand_pct,Reason</x:v>
      </x:c>
      <x:c r="C7818" t="str">
        <x:v>Pasted text(59).txt</x:v>
      </x:c>
    </x:row>
    <x:row r="7819">
      <x:c r="A7819" t="n">
        <x:v>3789</x:v>
      </x:c>
      <x:c r="B7819" s="58" t="str">
        <x:v>1,PASS,8.00,0.68577,5.50,268.01777,0.01777,25.83,0.68657,1.53,90.0,PASS</x:v>
      </x:c>
      <x:c r="C7819" t="str">
        <x:v>Pasted text(59).txt</x:v>
      </x:c>
    </x:row>
    <x:row r="7820">
      <x:c r="A7820" t="n">
        <x:v>3790</x:v>
      </x:c>
      <x:c r="B7820" s="58" t="str">
        <x:v>2,PASS,8.00,0.68404,5.24,268.02628,0.02628,26.10,0.67505,1.87,100.0,PASS</x:v>
      </x:c>
      <x:c r="C7820" t="str">
        <x:v>Pasted text(59).txt</x:v>
      </x:c>
    </x:row>
    <x:row r="7821">
      <x:c r="A7821" t="n">
        <x:v>3791</x:v>
      </x:c>
      <x:c r="B7821" s="58" t="str">
        <x:v>3,PASS,8.25,0.68059,4.71,268.02529,0.02529,26.35,0.68114,1.40,90.0,PASS</x:v>
      </x:c>
      <x:c r="C7821" t="str">
        <x:v>Pasted text(59).txt</x:v>
      </x:c>
    </x:row>
    <x:row r="7822">
      <x:c r="A7822" t="n">
        <x:v>3792</x:v>
      </x:c>
      <x:c r="B7822" s="58" t="str">
        <x:v>4,PASS,8.00,0.64506,-0.76,268.00829,0.00829,25.86,0.65414,2.48,100.0,PASS</x:v>
      </x:c>
      <x:c r="C7822" t="str">
        <x:v>Pasted text(59).txt</x:v>
      </x:c>
    </x:row>
    <x:row r="7823">
      <x:c r="A7823" t="n">
        <x:v>3793</x:v>
      </x:c>
      <x:c r="B7823" s="58" t="str">
        <x:v>5,PASS,8.00,0.65717,1.10,268.00187,0.00187,25.76,0.65721,1.44,100.0,PASS</x:v>
      </x:c>
      <x:c r="C7823" t="str">
        <x:v>Pasted text(59).txt</x:v>
      </x:c>
    </x:row>
    <x:row r="7824">
      <x:c r="A7824" t="n">
        <x:v>3794</x:v>
      </x:c>
      <x:c r="B7824" s="58" t="str">
        <x:v>--------------------------------------------------------------------------------</x:v>
      </x:c>
      <x:c r="C7824" t="str">
        <x:v>Pasted text(59).txt</x:v>
      </x:c>
    </x:row>
    <x:row r="7825">
      <x:c r="A7825" t="n">
        <x:v>3795</x:v>
      </x:c>
      <x:c r="B7825" s="58" t="str">
        <x:v>Successful independent runs: 5 / 5</x:v>
      </x:c>
      <x:c r="C7825" t="str">
        <x:v>Pasted text(59).txt</x:v>
      </x:c>
    </x:row>
    <x:row r="7826">
      <x:c r="A7826" t="n">
        <x:v>3796</x:v>
      </x:c>
      <x:c r="B7826" s="58" t="str">
        <x:v>Validated amplitude mean +/- SD: 0.67052 +/- 0.01833 m/s^2 peak</x:v>
      </x:c>
      <x:c r="C7826" t="str">
        <x:v>Pasted text(59).txt</x:v>
      </x:c>
    </x:row>
    <x:row r="7827">
      <x:c r="A7827" t="n">
        <x:v>3797</x:v>
      </x:c>
      <x:c r="B7827" s="58" t="str">
        <x:v>Across-run amplitude CV: 2.73 %</x:v>
      </x:c>
      <x:c r="C7827" t="str">
        <x:v>Pasted text(59).txt</x:v>
      </x:c>
    </x:row>
    <x:row r="7828">
      <x:c r="A7828" t="n">
        <x:v>3798</x:v>
      </x:c>
      <x:c r="B7828" s="58" t="str">
        <x:v>Maximum absolute target error: 5.50 %</x:v>
      </x:c>
      <x:c r="C7828" t="str">
        <x:v>Pasted text(59).txt</x:v>
      </x:c>
    </x:row>
    <x:row r="7829">
      <x:c r="A7829" t="n">
        <x:v>3799</x:v>
      </x:c>
      <x:c r="B7829" s="58" t="str">
        <x:v>FFT frequency mean +/- SD: 268.01590 +/- 0.01066 Hz</x:v>
      </x:c>
      <x:c r="C7829" t="str">
        <x:v>Pasted text(59).txt</x:v>
      </x:c>
    </x:row>
    <x:row r="7830">
      <x:c r="A7830" t="n">
        <x:v>3800</x:v>
      </x:c>
      <x:c r="B7830" s="58" t="str">
        <x:v>Selected DAC range: 8.00 to 8.25</x:v>
      </x:c>
      <x:c r="C7830" t="str">
        <x:v>Pasted text(59).txt</x:v>
      </x:c>
    </x:row>
    <x:row r="7831">
      <x:c r="A7831" t="n">
        <x:v>3801</x:v>
      </x:c>
      <x:c r="B7831" s="58" t="str">
        <x:v>Average hold records in target band: 96.0 %</x:v>
      </x:c>
      <x:c r="C7831" t="str">
        <x:v>Pasted text(59).txt</x:v>
      </x:c>
    </x:row>
    <x:row r="7832">
      <x:c r="A7832" t="n">
        <x:v>3802</x:v>
      </x:c>
      <x:c r="B7832" s="58" t="str">
        <x:v>OVERALL VERDICT: EXCELLENT REPRODUCIBLE TARGET-AMPLITUDE ACQUISITION.</x:v>
      </x:c>
      <x:c r="C7832" t="str">
        <x:v>Pasted text(59).txt</x:v>
      </x:c>
    </x:row>
    <x:row r="7833">
      <x:c r="A7833" t="n">
        <x:v>3803</x:v>
      </x:c>
      <x:c r="B7833" s="58" t="str">
        <x:v>X-axis amplitude matching is repeatable; phase testing may follow after one independent confirmation session.</x:v>
      </x:c>
      <x:c r="C7833" t="str">
        <x:v>Pasted text(59).txt</x:v>
      </x:c>
    </x:row>
    <x:row r="7834">
      <x:c r="A7834" t="n">
        <x:v>3804</x:v>
      </x:c>
      <x:c r="B7834" s="58" t="str"/>
      <x:c r="C7834" t="str">
        <x:v>Pasted text(59).txt</x:v>
      </x:c>
    </x:row>
    <x:row r="7835">
      <x:c r="A7835" t="n">
        <x:v>3805</x:v>
      </x:c>
      <x:c r="B7835" s="58" t="str">
        <x:v>Automatic test complete. Enter h for commands.</x:v>
      </x:c>
      <x:c r="C7835" t="str">
        <x:v>Pasted text(59).txt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6" hidden="0" customWidth="1"/>
    <x:col min="13" max="13" width="30" hidden="0" customWidth="1"/>
  </x:cols>
  <x:sheetData>
    <x:row r="1">
      <x:c r="A1" s="131" t="str">
        <x:v>Latest amplitude-matching validation — Pasted text(59).txt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3">
      <x:c r="A3" s="132" t="str">
        <x:v>Session</x:v>
      </x:c>
      <x:c r="B3" s="132" t="str">
        <x:v>Frequency (Hz)</x:v>
      </x:c>
      <x:c r="C3" s="132" t="str">
        <x:v>Target</x:v>
      </x:c>
      <x:c r="D3" s="132" t="str">
        <x:v>Passed</x:v>
      </x:c>
      <x:c r="E3" s="132" t="str">
        <x:v>Requested</x:v>
      </x:c>
      <x:c r="F3" s="132" t="str">
        <x:v>Pass rate</x:v>
      </x:c>
      <x:c r="G3" s="132" t="str">
        <x:v>Mean amplitude</x:v>
      </x:c>
      <x:c r="H3" s="132" t="str">
        <x:v>Bias (%)</x:v>
      </x:c>
      <x:c r="I3" s="132" t="str">
        <x:v>CV (%)</x:v>
      </x:c>
      <x:c r="J3" s="132" t="str">
        <x:v>Max error (%)</x:v>
      </x:c>
      <x:c r="K3" s="132" t="str">
        <x:v>Hold in-band (%)</x:v>
      </x:c>
      <x:c r="L3" s="132" t="str">
        <x:v>Validation verdict</x:v>
      </x:c>
      <x:c r="M3" s="132" t="str">
        <x:v>Evidence use</x:v>
      </x:c>
    </x:row>
    <x:row r="4" ht="44" customHeight="1">
      <x:c r="A4" s="58" t="str">
        <x:v>S11</x:v>
      </x:c>
      <x:c r="B4" s="59" t="n">
        <x:v>268</x:v>
      </x:c>
      <x:c r="C4" s="59" t="n">
        <x:v>1.15</x:v>
      </x:c>
      <x:c r="D4" s="58" t="n">
        <x:v>0</x:v>
      </x:c>
      <x:c r="E4" s="58" t="n">
        <x:v>5</x:v>
      </x:c>
      <x:c r="F4" s="113" t="n">
        <x:v>0</x:v>
      </x:c>
      <x:c r="G4" s="59"/>
      <x:c r="H4" s="60"/>
      <x:c r="I4" s="60"/>
      <x:c r="J4" s="60"/>
      <x:c r="K4" s="60"/>
      <x:c r="L4" s="58" t="str">
        <x:v>FAIL — RESPONSE PATH UNSTABLE</x:v>
      </x:c>
      <x:c r="M4" s="58" t="str">
        <x:v>Exclude / stopped after two attempted runs</x:v>
      </x:c>
    </x:row>
    <x:row r="5" ht="44" customHeight="1">
      <x:c r="A5" s="58" t="str">
        <x:v>S12</x:v>
      </x:c>
      <x:c r="B5" s="59" t="n">
        <x:v>268</x:v>
      </x:c>
      <x:c r="C5" s="59" t="n">
        <x:v>1.15</x:v>
      </x:c>
      <x:c r="D5" s="58" t="n">
        <x:v>0</x:v>
      </x:c>
      <x:c r="E5" s="58" t="n">
        <x:v>5</x:v>
      </x:c>
      <x:c r="F5" s="113" t="n">
        <x:v>0</x:v>
      </x:c>
      <x:c r="G5" s="59"/>
      <x:c r="H5" s="60"/>
      <x:c r="I5" s="60"/>
      <x:c r="J5" s="60"/>
      <x:c r="K5" s="60"/>
      <x:c r="L5" s="58" t="str">
        <x:v>INVALID / FAIL — SAFETY AND SIGNAL-PATH INSTABILITY</x:v>
      </x:c>
      <x:c r="M5" s="58" t="str">
        <x:v>Exclude / methodological evidence only</x:v>
      </x:c>
    </x:row>
    <x:row r="6" ht="44" customHeight="1">
      <x:c r="A6" s="58" t="str">
        <x:v>S13</x:v>
      </x:c>
      <x:c r="B6" s="59" t="n">
        <x:v>268</x:v>
      </x:c>
      <x:c r="C6" s="59" t="n">
        <x:v>1</x:v>
      </x:c>
      <x:c r="D6" s="58" t="n">
        <x:v>5</x:v>
      </x:c>
      <x:c r="E6" s="58" t="n">
        <x:v>5</x:v>
      </x:c>
      <x:c r="F6" s="113" t="n">
        <x:v>1</x:v>
      </x:c>
      <x:c r="G6" s="59" t="n">
        <x:v>0.99621</x:v>
      </x:c>
      <x:c r="H6" s="60" t="n">
        <x:v>-0.378999999999996</x:v>
      </x:c>
      <x:c r="I6" s="60" t="n">
        <x:v>2.27</x:v>
      </x:c>
      <x:c r="J6" s="60" t="n">
        <x:v>3.38</x:v>
      </x:c>
      <x:c r="K6" s="60" t="n">
        <x:v>100</x:v>
      </x:c>
      <x:c r="L6" s="58" t="str">
        <x:v>EXCELLENT REPRODUCIBLE TARGET-AMPLITUDE ACQUISITION</x:v>
      </x:c>
      <x:c r="M6" s="58" t="str">
        <x:v>Include in primary dataset</x:v>
      </x:c>
    </x:row>
    <x:row r="7" ht="44" customHeight="1">
      <x:c r="A7" s="58" t="str">
        <x:v>S14</x:v>
      </x:c>
      <x:c r="B7" s="59" t="n">
        <x:v>272</x:v>
      </x:c>
      <x:c r="C7" s="59" t="n">
        <x:v>1.15</x:v>
      </x:c>
      <x:c r="D7" s="58" t="n">
        <x:v>5</x:v>
      </x:c>
      <x:c r="E7" s="58" t="n">
        <x:v>5</x:v>
      </x:c>
      <x:c r="F7" s="113" t="n">
        <x:v>1</x:v>
      </x:c>
      <x:c r="G7" s="59" t="n">
        <x:v>1.15621</x:v>
      </x:c>
      <x:c r="H7" s="60" t="n">
        <x:v>0.5400000000000043</x:v>
      </x:c>
      <x:c r="I7" s="60" t="n">
        <x:v>1.39</x:v>
      </x:c>
      <x:c r="J7" s="60" t="n">
        <x:v>2.94</x:v>
      </x:c>
      <x:c r="K7" s="60" t="n">
        <x:v>100</x:v>
      </x:c>
      <x:c r="L7" s="58" t="str">
        <x:v>EXCELLENT REPRODUCIBLE TARGET-AMPLITUDE ACQUISITION</x:v>
      </x:c>
      <x:c r="M7" s="58" t="str">
        <x:v>Include in primary dataset</x:v>
      </x:c>
    </x:row>
    <x:row r="8" ht="44" customHeight="1">
      <x:c r="A8" s="58" t="str">
        <x:v>S15</x:v>
      </x:c>
      <x:c r="B8" s="59" t="n">
        <x:v>268.89999</x:v>
      </x:c>
      <x:c r="C8" s="59" t="n">
        <x:v>0.6</x:v>
      </x:c>
      <x:c r="D8" s="58" t="n">
        <x:v>5</x:v>
      </x:c>
      <x:c r="E8" s="58" t="n">
        <x:v>5</x:v>
      </x:c>
      <x:c r="F8" s="113" t="n">
        <x:v>1</x:v>
      </x:c>
      <x:c r="G8" s="59" t="n">
        <x:v>0.61803</x:v>
      </x:c>
      <x:c r="H8" s="60" t="n">
        <x:v>3.0049999999999986</x:v>
      </x:c>
      <x:c r="I8" s="60" t="n">
        <x:v>3.05</x:v>
      </x:c>
      <x:c r="J8" s="60" t="n">
        <x:v>5.92</x:v>
      </x:c>
      <x:c r="K8" s="60" t="n">
        <x:v>96</x:v>
      </x:c>
      <x:c r="L8" s="58" t="str">
        <x:v>GOOD / USABLE LOW-AMPLITUDE ACQUISITION</x:v>
      </x:c>
      <x:c r="M8" s="58" t="str">
        <x:v>Include in primary dataset</x:v>
      </x:c>
    </x:row>
    <x:row r="9" ht="44" customHeight="1">
      <x:c r="A9" s="58" t="str">
        <x:v>S16</x:v>
      </x:c>
      <x:c r="B9" s="59" t="n">
        <x:v>26</x:v>
      </x:c>
      <x:c r="C9" s="59" t="n">
        <x:v>0.79</x:v>
      </x:c>
      <x:c r="D9" s="58" t="n">
        <x:v>0</x:v>
      </x:c>
      <x:c r="E9" s="58" t="n">
        <x:v>5</x:v>
      </x:c>
      <x:c r="F9" s="113" t="n">
        <x:v>0</x:v>
      </x:c>
      <x:c r="G9" s="59"/>
      <x:c r="H9" s="60"/>
      <x:c r="I9" s="60"/>
      <x:c r="J9" s="60"/>
      <x:c r="K9" s="60"/>
      <x:c r="L9" s="58" t="str">
        <x:v>INVALID — INCOMPLETE TEST</x:v>
      </x:c>
      <x:c r="M9" s="58" t="str">
        <x:v>Exclude / methodological evidence only</x:v>
      </x:c>
    </x:row>
    <x:row r="10" ht="44" customHeight="1">
      <x:c r="A10" s="58" t="str">
        <x:v>S17</x:v>
      </x:c>
      <x:c r="B10" s="59" t="n">
        <x:v>268.79999</x:v>
      </x:c>
      <x:c r="C10" s="59" t="n">
        <x:v>0.75</x:v>
      </x:c>
      <x:c r="D10" s="58" t="n">
        <x:v>3</x:v>
      </x:c>
      <x:c r="E10" s="58" t="n">
        <x:v>5</x:v>
      </x:c>
      <x:c r="F10" s="113" t="n">
        <x:v>0.6</x:v>
      </x:c>
      <x:c r="G10" s="59" t="n">
        <x:v>0.77899</x:v>
      </x:c>
      <x:c r="H10" s="60" t="n">
        <x:v>3.865333333333328</x:v>
      </x:c>
      <x:c r="I10" s="60" t="n">
        <x:v>2.6</x:v>
      </x:c>
      <x:c r="J10" s="60" t="n">
        <x:v>5.97</x:v>
      </x:c>
      <x:c r="K10" s="60" t="n">
        <x:v>96.7</x:v>
      </x:c>
      <x:c r="L10" s="58" t="str">
        <x:v>NOT YET REPRODUCIBLE ENOUGH FOR PHASE TESTING</x:v>
      </x:c>
      <x:c r="M10" s="58" t="str">
        <x:v>Exclude / methodological evidence only</x:v>
      </x:c>
    </x:row>
    <x:row r="11" ht="44" customHeight="1">
      <x:c r="A11" s="58" t="str">
        <x:v>S18</x:v>
      </x:c>
      <x:c r="B11" s="59" t="n">
        <x:v>268</x:v>
      </x:c>
      <x:c r="C11" s="59" t="n">
        <x:v>0.75</x:v>
      </x:c>
      <x:c r="D11" s="58" t="n">
        <x:v>5</x:v>
      </x:c>
      <x:c r="E11" s="58" t="n">
        <x:v>5</x:v>
      </x:c>
      <x:c r="F11" s="113" t="n">
        <x:v>1</x:v>
      </x:c>
      <x:c r="G11" s="59" t="n">
        <x:v>0.75521</x:v>
      </x:c>
      <x:c r="H11" s="60" t="n">
        <x:v>0.694666666666673</x:v>
      </x:c>
      <x:c r="I11" s="60" t="n">
        <x:v>4.36</x:v>
      </x:c>
      <x:c r="J11" s="60" t="n">
        <x:v>5.84</x:v>
      </x:c>
      <x:c r="K11" s="60" t="n">
        <x:v>98</x:v>
      </x:c>
      <x:c r="L11" s="58" t="str">
        <x:v>GOOD / USABLE TARGET-AMPLITUDE ACQUISITION</x:v>
      </x:c>
      <x:c r="M11" s="58" t="str">
        <x:v>Include in primary dataset</x:v>
      </x:c>
    </x:row>
    <x:row r="12" ht="44" customHeight="1">
      <x:c r="A12" s="58" t="str">
        <x:v>S19</x:v>
      </x:c>
      <x:c r="B12" s="59" t="n">
        <x:v>268</x:v>
      </x:c>
      <x:c r="C12" s="59" t="n">
        <x:v>1.2</x:v>
      </x:c>
      <x:c r="D12" s="58" t="n">
        <x:v>5</x:v>
      </x:c>
      <x:c r="E12" s="58" t="n">
        <x:v>5</x:v>
      </x:c>
      <x:c r="F12" s="113" t="n">
        <x:v>1</x:v>
      </x:c>
      <x:c r="G12" s="59" t="n">
        <x:v>1.18409</x:v>
      </x:c>
      <x:c r="H12" s="60" t="n">
        <x:v>-1.3258333333333225</x:v>
      </x:c>
      <x:c r="I12" s="60" t="n">
        <x:v>2.23</x:v>
      </x:c>
      <x:c r="J12" s="60" t="n">
        <x:v>4.75</x:v>
      </x:c>
      <x:c r="K12" s="60" t="n">
        <x:v>100</x:v>
      </x:c>
      <x:c r="L12" s="58" t="str">
        <x:v>STRONG REPRODUCIBLE TARGET-AMPLITUDE ACQUISITION</x:v>
      </x:c>
      <x:c r="M12" s="58" t="str">
        <x:v>Include in primary dataset</x:v>
      </x:c>
    </x:row>
    <x:row r="13" ht="44" customHeight="1">
      <x:c r="A13" s="58" t="str">
        <x:v>S20</x:v>
      </x:c>
      <x:c r="B13" s="59" t="n">
        <x:v>268</x:v>
      </x:c>
      <x:c r="C13" s="59" t="n">
        <x:v>0.65</x:v>
      </x:c>
      <x:c r="D13" s="58" t="n">
        <x:v>5</x:v>
      </x:c>
      <x:c r="E13" s="58" t="n">
        <x:v>5</x:v>
      </x:c>
      <x:c r="F13" s="113" t="n">
        <x:v>1</x:v>
      </x:c>
      <x:c r="G13" s="59" t="n">
        <x:v>0.67052</x:v>
      </x:c>
      <x:c r="H13" s="60" t="n">
        <x:v>3.156923076923074</x:v>
      </x:c>
      <x:c r="I13" s="60" t="n">
        <x:v>2.73</x:v>
      </x:c>
      <x:c r="J13" s="60" t="n">
        <x:v>5.5</x:v>
      </x:c>
      <x:c r="K13" s="60" t="n">
        <x:v>96</x:v>
      </x:c>
      <x:c r="L13" s="58" t="str">
        <x:v>GOOD / USABLE TARGET-AMPLITUDE ACQUISITION</x:v>
      </x:c>
      <x:c r="M13" s="58" t="str">
        <x:v>Include in primary dataset</x:v>
      </x:c>
    </x:row>
    <x:row r="16">
      <x:c r="A16" s="126" t="str">
        <x:v>Independent validation conclusion</x:v>
      </x:c>
      <x:c r="B16" s="126"/>
      <x:c r="C16" s="126"/>
      <x:c r="D16" s="126"/>
      <x:c r="E16" s="126"/>
      <x:c r="F16" s="126"/>
      <x:c r="G16" s="126"/>
      <x:c r="H16" s="126"/>
      <x:c r="I16" s="126"/>
      <x:c r="J16" s="126"/>
      <x:c r="K16" s="126"/>
      <x:c r="L16" s="126"/>
      <x:c r="M16" s="126"/>
    </x:row>
    <x:row r="17" ht="48" customHeight="1">
      <x:c r="A17" s="134" t="str">
        <x:v>Validated primary evidence</x:v>
      </x:c>
      <x:c r="B17" s="58" t="str">
        <x:v>Six new completed primary sessions added: 1.00 m/s² at 268 Hz; 1.15 m/s² at 272 Hz; 0.60 m/s² at 268.9 Hz; 0.75, 1.20, and 0.65 m/s² at 268 Hz.</x:v>
      </x:c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</x:row>
    <x:row r="18" ht="48" customHeight="1">
      <x:c r="A18" s="134" t="str">
        <x:v>Combined dataset</x:v>
      </x:c>
      <x:c r="B18" s="58" t="str">
        <x:v>Across all 13 primary sessions, 63/65 runs passed (96.9%) and 619/630 fixed-DAC hold records were in band (98.3%).</x:v>
      </x:c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</x:row>
    <x:row r="19" ht="48" customHeight="1">
      <x:c r="A19" s="134" t="str">
        <x:v>Strong result</x:v>
      </x:c>
      <x:c r="B19" s="58" t="str">
        <x:v>The 272 Hz/1.15 m/s² session passed 5/5 with 1.39% CV and 100% hold compliance, confirming correct X-axis matching where X is dominant.</x:v>
      </x:c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</x:row>
    <x:row r="20" ht="48" customHeight="1">
      <x:c r="A20" s="134" t="str">
        <x:v>Low-amplitude caution</x:v>
      </x:c>
      <x:c r="B20" s="58" t="str">
        <x:v>0.60–0.75 m/s² targets passed, but higher run CV and 96–98% hold compliance show a weaker operating region.</x:v>
      </x:c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</x:row>
    <x:row r="21" ht="48" customHeight="1">
      <x:c r="A21" s="134" t="str">
        <x:v>Excluded evidence</x:v>
      </x:c>
      <x:c r="B21" s="58" t="str">
        <x:v>Two unstable 268 Hz/1.15 sessions, the interrupted 26 Hz session, and the 3/5 high-gain 268.8 Hz/0.75 session are excluded from primary validation statistics.</x:v>
      </x:c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</x:row>
    <x:row r="22" ht="48" customHeight="1">
      <x:c r="A22" s="134" t="str">
        <x:v>Algorithm implication</x:v>
      </x:c>
      <x:c r="B22" s="58" t="str">
        <x:v>The fast matcher should first verify the selected axis and monotonic actuator response; response collapse or safety-guard activation must abort DAC prediction and trigger a hardware/gain-state check.</x:v>
      </x:c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</x:row>
  </x:sheetData>
  <x:mergeCells>
    <x:mergeCell ref="A1:M1"/>
    <x:mergeCell ref="A16:M16"/>
    <x:mergeCell ref="B17:M17"/>
    <x:mergeCell ref="B18:M18"/>
    <x:mergeCell ref="B19:M19"/>
    <x:mergeCell ref="B20:M20"/>
    <x:mergeCell ref="B21:M21"/>
    <x:mergeCell ref="B22:M22"/>
  </x:mergeCells>
  <x:conditionalFormatting sqref="F4:F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I4:K1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{36E0C11D-E699-25E8-42B4-149595EB77B2}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6E0C11D-E699-25E8-42B4-149595EB77B2}">
            <x14:dataBar gradient="1">
              <x14:cfvo type="min"/>
              <x14:cfvo type="max"/>
              <x14:fillColor rgb="FFA02B93"/>
            </x14:dataBar>
          </x14:cfRule>
          <xm:sqref>I4:K13</xm:sqref>
        </x14:conditionalFormatting>
      </x14:conditionalFormattings>
    </x:ext>
  </x:extLst>
</x:worksheet>
</file>
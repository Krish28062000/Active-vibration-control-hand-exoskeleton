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316335c11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 Table" sheetId="1" r:id="R98cff7b21b3f4542"/>
    <x:sheet xmlns:r="http://schemas.openxmlformats.org/officeDocument/2006/relationships" name="Structured Data" sheetId="2" r:id="R89a05b93d039479f"/>
    <x:sheet xmlns:r="http://schemas.openxmlformats.org/officeDocument/2006/relationships" name="Notes" sheetId="3" r:id="R2f82bca65791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</x:fills>
  <x:borders count="34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20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0" fontId="0" fillId="0" borderId="24" xfId="0" applyNumberFormat="1" applyFont="1" applyFill="1" applyBorder="1"/>
    <x:xf numFmtId="200" fontId="0" fillId="0" borderId="25" xfId="0" applyNumberFormat="1" applyFont="1" applyFill="1" applyBorder="1"/>
    <x:xf numFmtId="0" fontId="1" fillId="2" borderId="26" xfId="0" applyNumberFormat="1" applyFont="1" applyFill="1" applyBorder="1" applyAlignment="1">
      <x:alignment horizontal="center" vertical="center" wrapText="1"/>
    </x:xf>
    <x:xf numFmtId="0" fontId="1" fillId="2" borderId="27" xfId="0" applyNumberFormat="1" applyFont="1" applyFill="1" applyBorder="1" applyAlignment="1">
      <x:alignment horizontal="center" vertical="center" wrapText="1"/>
    </x:xf>
    <x:xf numFmtId="0" fontId="1" fillId="2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/>
    <x:xf numFmtId="20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200" fontId="0" fillId="0" borderId="32" xfId="0" applyNumberFormat="1" applyFont="1" applyFill="1" applyBorder="1"/>
    <x:xf numFmtId="200" fontId="0" fillId="0" borderId="33" xfId="0" applyNumberFormat="1" applyFont="1" applyFill="1" applyBorder="1"/>
    <x:xf numFmtId="0" fontId="0" fillId="0" borderId="2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/>
    </x:xf>
    <x:xf numFmtId="200" fontId="0" fillId="0" borderId="24" xfId="0" applyNumberFormat="1" applyFont="1" applyFill="1" applyBorder="1" applyAlignment="1">
      <x:alignment horizontal="center"/>
    </x:xf>
    <x:xf numFmtId="200" fontId="0" fillId="0" borderId="25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30" xfId="0" applyNumberFormat="1" applyFont="1" applyFill="1" applyBorder="1" applyAlignment="1">
      <x:alignment horizontal="center"/>
    </x:xf>
    <x:xf numFmtId="0" fontId="0" fillId="0" borderId="31" xfId="0" applyNumberFormat="1" applyFont="1" applyFill="1" applyBorder="1" applyAlignment="1">
      <x:alignment horizontal="center"/>
    </x:xf>
    <x:xf numFmtId="0" fontId="0" fillId="0" borderId="32" xfId="0" applyNumberFormat="1" applyFont="1" applyFill="1" applyBorder="1" applyAlignment="1">
      <x:alignment horizontal="center"/>
    </x:xf>
    <x:xf numFmtId="200" fontId="0" fillId="0" borderId="32" xfId="0" applyNumberFormat="1" applyFont="1" applyFill="1" applyBorder="1" applyAlignment="1">
      <x:alignment horizontal="center"/>
    </x:xf>
    <x:xf numFmtId="200" fontId="0" fillId="0" borderId="33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 vertical="center"/>
    </x:xf>
    <x:xf numFmtId="20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 applyAlignment="1">
      <x:alignment horizontal="center" vertical="center"/>
    </x:xf>
    <x:xf numFmtId="200" fontId="0" fillId="0" borderId="24" xfId="0" applyNumberFormat="1" applyFont="1" applyFill="1" applyBorder="1" applyAlignment="1">
      <x:alignment horizontal="center" vertical="center"/>
    </x:xf>
    <x:xf numFmtId="200" fontId="0" fillId="0" borderId="25" xfId="0" applyNumberFormat="1" applyFont="1" applyFill="1" applyBorder="1" applyAlignment="1">
      <x:alignment horizontal="center" vertical="center"/>
    </x:xf>
    <x:xf numFmtId="0" fontId="0" fillId="0" borderId="29" xfId="0" applyNumberFormat="1" applyFont="1" applyFill="1" applyBorder="1" applyAlignment="1">
      <x:alignment horizontal="center" vertical="center"/>
    </x:xf>
    <x:xf numFmtId="200" fontId="0" fillId="0" borderId="30" xfId="0" applyNumberFormat="1" applyFont="1" applyFill="1" applyBorder="1" applyAlignment="1">
      <x:alignment horizontal="center" vertical="center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32" xfId="0" applyNumberFormat="1" applyFont="1" applyFill="1" applyBorder="1" applyAlignment="1">
      <x:alignment horizontal="center" vertical="center"/>
    </x:xf>
    <x:xf numFmtId="200" fontId="0" fillId="0" borderId="32" xfId="0" applyNumberFormat="1" applyFont="1" applyFill="1" applyBorder="1" applyAlignment="1">
      <x:alignment horizontal="center" vertical="center"/>
    </x:xf>
    <x:xf numFmtId="200" fontId="0" fillId="0" borderId="33" xfId="0" applyNumberFormat="1" applyFont="1" applyFill="1" applyBorder="1" applyAlignment="1">
      <x:alignment horizontal="center" vertical="center"/>
    </x:xf>
    <x:xf numFmtId="0" fontId="0" fillId="5" borderId="2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 applyAlignment="1">
      <x:alignment horizontal="center" vertical="center"/>
    </x:xf>
    <x:xf numFmtId="200" fontId="0" fillId="5" borderId="22" xfId="0" applyNumberFormat="1" applyFont="1" applyFill="1" applyBorder="1" applyAlignment="1">
      <x:alignment horizontal="center" vertical="center"/>
    </x:xf>
    <x:xf numFmtId="0" fontId="0" fillId="5" borderId="2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200" fontId="0" fillId="5" borderId="1" xfId="0" applyNumberFormat="1" applyFont="1" applyFill="1" applyBorder="1" applyAlignment="1">
      <x:alignment horizontal="center" vertical="center"/>
    </x:xf>
    <x:xf numFmtId="200" fontId="0" fillId="5" borderId="3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i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79b5483744341" /><Relationship Type="http://schemas.openxmlformats.org/officeDocument/2006/relationships/theme" Target="/xl/theme/theme1.xml" Id="R52a04a1b7c1d4501" /><Relationship Type="http://schemas.openxmlformats.org/officeDocument/2006/relationships/sharedStrings" Target="/xl/sharedStrings.xml" Id="R4cd0267921cb4f84" /><Relationship Type="http://schemas.openxmlformats.org/officeDocument/2006/relationships/worksheet" Target="/xl/worksheets/sheet1.xml" Id="R98cff7b21b3f4542" /><Relationship Type="http://schemas.openxmlformats.org/officeDocument/2006/relationships/worksheet" Target="/xl/worksheets/sheet2.xml" Id="R89a05b93d039479f" /><Relationship Type="http://schemas.openxmlformats.org/officeDocument/2006/relationships/worksheet" Target="/xl/worksheets/sheet3.xml" Id="R2f82bca657914b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</x:cols>
  <x:sheetData>
    <x:row r="1" ht="30" customHeight="1">
      <x:c r="A1" s="64" t="str">
        <x:v>Tool–Hand Frequency and Amplitude Comparison Across Experimental Runs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</x:row>
    <x:row r="2" ht="34" customHeight="1">
      <x:c r="A2" s="73" t="str">
        <x:v>Tool ON, Visaton OFF | ADXL1: tool reference | ADXL2: back-of-hand error sensor | f = frequency (Hz), A = peak acceleration (m/s²)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</x:row>
    <x:row r="4" ht="46" customHeight="1">
      <x:c r="A4" s="81" t="str">
        <x:v>Run</x:v>
      </x:c>
      <x:c r="B4" s="82" t="str">
        <x:v>Tool X
f / A</x:v>
      </x:c>
      <x:c r="C4" s="82" t="str">
        <x:v>Tool Y
f / A</x:v>
      </x:c>
      <x:c r="D4" s="82" t="str">
        <x:v>Tool Z
f / A</x:v>
      </x:c>
      <x:c r="E4" s="82" t="str">
        <x:v>Tool f₀
Candidate (Hz)</x:v>
      </x:c>
      <x:c r="F4" s="82" t="str">
        <x:v>Status</x:v>
      </x:c>
      <x:c r="G4" s="82" t="str">
        <x:v>Hand X
f / A</x:v>
      </x:c>
      <x:c r="H4" s="82" t="str">
        <x:v>Hand Y
f / A</x:v>
      </x:c>
      <x:c r="I4" s="82" t="str">
        <x:v>Hand Z
f / A</x:v>
      </x:c>
      <x:c r="J4" s="82" t="str">
        <x:v>Hand X
@ f₀</x:v>
      </x:c>
      <x:c r="K4" s="82" t="str">
        <x:v>Hand Y
@ f₀</x:v>
      </x:c>
      <x:c r="L4" s="82" t="str">
        <x:v>Hand Z
@ f₀</x:v>
      </x:c>
      <x:c r="M4" s="83" t="str">
        <x:v>Hand Vector
@ f₀</x:v>
      </x:c>
    </x:row>
    <x:row r="5" ht="26" customHeight="1">
      <x:c r="A5" s="113" t="n">
        <x:f>'Structured Data'!A2</x:f>
        <x:v>1</x:v>
      </x:c>
      <x:c r="B5" s="42" t="str">
        <x:f>TEXT('Structured Data'!B2,"0.000")&amp;" / "&amp;TEXT('Structured Data'!C2,"0.000")</x:f>
        <x:v>267.559 / 2.767</x:v>
      </x:c>
      <x:c r="C5" s="42" t="str">
        <x:f>TEXT('Structured Data'!D2,"0.000")&amp;" / "&amp;TEXT('Structured Data'!E2,"0.000")</x:f>
        <x:v>267.546 / 1.498</x:v>
      </x:c>
      <x:c r="D5" s="42" t="str">
        <x:f>TEXT('Structured Data'!F2,"0.000")&amp;" / "&amp;TEXT('Structured Data'!G2,"0.000")</x:f>
        <x:v>196.737 / 0.957</x:v>
      </x:c>
      <x:c r="E5" s="53" t="n">
        <x:f>'Structured Data'!H2</x:f>
        <x:v>267.326</x:v>
      </x:c>
      <x:c r="F5" s="42" t="str">
        <x:f>'Structured Data'!I2</x:f>
        <x:v>LOCKED</x:v>
      </x:c>
      <x:c r="G5" s="42" t="str">
        <x:f>TEXT('Structured Data'!J2,"0.000")&amp;" / "&amp;TEXT('Structured Data'!K2,"0.000")</x:f>
        <x:v>267.577 / 0.965</x:v>
      </x:c>
      <x:c r="H5" s="42" t="str">
        <x:f>TEXT('Structured Data'!L2,"0.000")&amp;" / "&amp;TEXT('Structured Data'!M2,"0.000")</x:f>
        <x:v>267.630 / 0.849</x:v>
      </x:c>
      <x:c r="I5" s="42" t="str">
        <x:f>TEXT('Structured Data'!N2,"0.000")&amp;" / "&amp;TEXT('Structured Data'!O2,"0.000")</x:f>
        <x:v>267.433 / 0.401</x:v>
      </x:c>
      <x:c r="J5" s="42" t="str">
        <x:f>IF(ISBLANK('Structured Data'!P2),"—",TEXT('Structured Data'!P2,"0.000"))</x:f>
        <x:v>0.928</x:v>
      </x:c>
      <x:c r="K5" s="42" t="str">
        <x:f>IF(ISBLANK('Structured Data'!Q2),"—",TEXT('Structured Data'!Q2,"0.000"))</x:f>
        <x:v>0.840</x:v>
      </x:c>
      <x:c r="L5" s="42" t="str">
        <x:f>IF(ISBLANK('Structured Data'!R2),"—",TEXT('Structured Data'!R2,"0.000"))</x:f>
        <x:v>0.407</x:v>
      </x:c>
      <x:c r="M5" s="114" t="n">
        <x:f>'Structured Data'!S2</x:f>
        <x:v>1.316</x:v>
      </x:c>
    </x:row>
    <x:row r="6" ht="26" customHeight="1">
      <x:c r="A6" s="125" t="n">
        <x:f>'Structured Data'!A3</x:f>
        <x:v>2</x:v>
      </x:c>
      <x:c r="B6" s="126" t="str">
        <x:f>TEXT('Structured Data'!B3,"0.000")&amp;" / "&amp;TEXT('Structured Data'!C3,"0.000")</x:f>
        <x:v>267.095 / 2.846</x:v>
      </x:c>
      <x:c r="C6" s="126" t="str">
        <x:f>TEXT('Structured Data'!D3,"0.000")&amp;" / "&amp;TEXT('Structured Data'!E3,"0.000")</x:f>
        <x:v>267.112 / 1.566</x:v>
      </x:c>
      <x:c r="D6" s="126" t="str">
        <x:f>TEXT('Structured Data'!F3,"0.000")&amp;" / "&amp;TEXT('Structured Data'!G3,"0.000")</x:f>
        <x:v>734.230 / 0.890</x:v>
      </x:c>
      <x:c r="E6" s="127" t="n">
        <x:f>'Structured Data'!H3</x:f>
        <x:v>267.212</x:v>
      </x:c>
      <x:c r="F6" s="126" t="str">
        <x:f>'Structured Data'!I3</x:f>
        <x:v>LOCKED</x:v>
      </x:c>
      <x:c r="G6" s="126" t="str">
        <x:f>TEXT('Structured Data'!J3,"0.000")&amp;" / "&amp;TEXT('Structured Data'!K3,"0.000")</x:f>
        <x:v>267.130 / 0.905</x:v>
      </x:c>
      <x:c r="H6" s="126" t="str">
        <x:f>TEXT('Structured Data'!L3,"0.000")&amp;" / "&amp;TEXT('Structured Data'!M3,"0.000")</x:f>
        <x:v>267.089 / 0.856</x:v>
      </x:c>
      <x:c r="I6" s="126" t="str">
        <x:f>TEXT('Structured Data'!N3,"0.000")&amp;" / "&amp;TEXT('Structured Data'!O3,"0.000")</x:f>
        <x:v>267.262 / 0.410</x:v>
      </x:c>
      <x:c r="J6" s="126" t="str">
        <x:f>IF(ISBLANK('Structured Data'!P3),"—",TEXT('Structured Data'!P3,"0.000"))</x:f>
        <x:v>0.925</x:v>
      </x:c>
      <x:c r="K6" s="126" t="str">
        <x:f>IF(ISBLANK('Structured Data'!Q3),"—",TEXT('Structured Data'!Q3,"0.000"))</x:f>
        <x:v>0.854</x:v>
      </x:c>
      <x:c r="L6" s="126" t="str">
        <x:f>IF(ISBLANK('Structured Data'!R3),"—",TEXT('Structured Data'!R3,"0.000"))</x:f>
        <x:v>0.395</x:v>
      </x:c>
      <x:c r="M6" s="128" t="n">
        <x:f>'Structured Data'!S3</x:f>
        <x:v>1.319</x:v>
      </x:c>
    </x:row>
    <x:row r="7" ht="26" customHeight="1">
      <x:c r="A7" s="113" t="n">
        <x:f>'Structured Data'!A4</x:f>
        <x:v>3</x:v>
      </x:c>
      <x:c r="B7" s="42" t="str">
        <x:f>TEXT('Structured Data'!B4,"0.000")&amp;" / "&amp;TEXT('Structured Data'!C4,"0.000")</x:f>
        <x:v>269.016 / 2.590</x:v>
      </x:c>
      <x:c r="C7" s="42" t="str">
        <x:f>TEXT('Structured Data'!D4,"0.000")&amp;" / "&amp;TEXT('Structured Data'!E4,"0.000")</x:f>
        <x:v>190.009 / 1.773</x:v>
      </x:c>
      <x:c r="D7" s="42" t="str">
        <x:f>TEXT('Structured Data'!F4,"0.000")&amp;" / "&amp;TEXT('Structured Data'!G4,"0.000")</x:f>
        <x:v>189.997 / 1.172</x:v>
      </x:c>
      <x:c r="E7" s="53" t="n">
        <x:f>'Structured Data'!H4</x:f>
        <x:v>268.691</x:v>
      </x:c>
      <x:c r="F7" s="42" t="str">
        <x:f>'Structured Data'!I4</x:f>
        <x:v>NOT LOCKED</x:v>
      </x:c>
      <x:c r="G7" s="42" t="str">
        <x:f>TEXT('Structured Data'!J4,"0.000")&amp;" / "&amp;TEXT('Structured Data'!K4,"0.000")</x:f>
        <x:v>538.157 / 0.713</x:v>
      </x:c>
      <x:c r="H7" s="42" t="str">
        <x:f>TEXT('Structured Data'!L4,"0.000")&amp;" / "&amp;TEXT('Structured Data'!M4,"0.000")</x:f>
        <x:v>269.079 / 0.764</x:v>
      </x:c>
      <x:c r="I7" s="42" t="str">
        <x:f>TEXT('Structured Data'!N4,"0.000")&amp;" / "&amp;TEXT('Structured Data'!O4,"0.000")</x:f>
        <x:v>268.902 / 0.361</x:v>
      </x:c>
      <x:c r="J7" s="42" t="str">
        <x:f>IF(ISBLANK('Structured Data'!P4),"—",TEXT('Structured Data'!P4,"0.000"))</x:f>
        <x:v>—</x:v>
      </x:c>
      <x:c r="K7" s="42" t="str">
        <x:f>IF(ISBLANK('Structured Data'!Q4),"—",TEXT('Structured Data'!Q4,"0.000"))</x:f>
        <x:v>—</x:v>
      </x:c>
      <x:c r="L7" s="42" t="str">
        <x:f>IF(ISBLANK('Structured Data'!R4),"—",TEXT('Structured Data'!R4,"0.000"))</x:f>
        <x:v>—</x:v>
      </x:c>
      <x:c r="M7" s="114" t="n">
        <x:f>'Structured Data'!S4</x:f>
        <x:v>1.189</x:v>
      </x:c>
    </x:row>
    <x:row r="8" ht="26" customHeight="1">
      <x:c r="A8" s="125" t="n">
        <x:f>'Structured Data'!A5</x:f>
        <x:v>4</x:v>
      </x:c>
      <x:c r="B8" s="126" t="str">
        <x:f>TEXT('Structured Data'!B5,"0.000")&amp;" / "&amp;TEXT('Structured Data'!C5,"0.000")</x:f>
        <x:v>268.564 / 2.534</x:v>
      </x:c>
      <x:c r="C8" s="126" t="str">
        <x:f>TEXT('Structured Data'!D5,"0.000")&amp;" / "&amp;TEXT('Structured Data'!E5,"0.000")</x:f>
        <x:v>268.557 / 1.681</x:v>
      </x:c>
      <x:c r="D8" s="126" t="str">
        <x:f>TEXT('Structured Data'!F5,"0.000")&amp;" / "&amp;TEXT('Structured Data'!G5,"0.000")</x:f>
        <x:v>193.291 / 1.015</x:v>
      </x:c>
      <x:c r="E8" s="127" t="n">
        <x:f>'Structured Data'!H5</x:f>
        <x:v>269.139</x:v>
      </x:c>
      <x:c r="F8" s="126" t="str">
        <x:f>'Structured Data'!I5</x:f>
        <x:v>NOT LOCKED</x:v>
      </x:c>
      <x:c r="G8" s="126" t="str">
        <x:f>TEXT('Structured Data'!J5,"0.000")&amp;" / "&amp;TEXT('Structured Data'!K5,"0.000")</x:f>
        <x:v>536.994 / 0.775</x:v>
      </x:c>
      <x:c r="H8" s="126" t="str">
        <x:f>TEXT('Structured Data'!L5,"0.000")&amp;" / "&amp;TEXT('Structured Data'!M5,"0.000")</x:f>
        <x:v>268.478 / 0.707</x:v>
      </x:c>
      <x:c r="I8" s="126" t="str">
        <x:f>TEXT('Structured Data'!N5,"0.000")&amp;" / "&amp;TEXT('Structured Data'!O5,"0.000")</x:f>
        <x:v>268.614 / 0.453</x:v>
      </x:c>
      <x:c r="J8" s="126" t="str">
        <x:f>IF(ISBLANK('Structured Data'!P5),"—",TEXT('Structured Data'!P5,"0.000"))</x:f>
        <x:v>—</x:v>
      </x:c>
      <x:c r="K8" s="126" t="str">
        <x:f>IF(ISBLANK('Structured Data'!Q5),"—",TEXT('Structured Data'!Q5,"0.000"))</x:f>
        <x:v>—</x:v>
      </x:c>
      <x:c r="L8" s="126" t="str">
        <x:f>IF(ISBLANK('Structured Data'!R5),"—",TEXT('Structured Data'!R5,"0.000"))</x:f>
        <x:v>—</x:v>
      </x:c>
      <x:c r="M8" s="128" t="n">
        <x:f>'Structured Data'!S5</x:f>
        <x:v>1.208</x:v>
      </x:c>
    </x:row>
    <x:row r="9" ht="26" customHeight="1">
      <x:c r="A9" s="113" t="n">
        <x:f>'Structured Data'!A6</x:f>
        <x:v>5</x:v>
      </x:c>
      <x:c r="B9" s="42" t="str">
        <x:f>TEXT('Structured Data'!B6,"0.000")&amp;" / "&amp;TEXT('Structured Data'!C6,"0.000")</x:f>
        <x:v>268.647 / 2.415</x:v>
      </x:c>
      <x:c r="C9" s="42" t="str">
        <x:f>TEXT('Structured Data'!D6,"0.000")&amp;" / "&amp;TEXT('Structured Data'!E6,"0.000")</x:f>
        <x:v>268.681 / 1.807</x:v>
      </x:c>
      <x:c r="D9" s="42" t="str">
        <x:f>TEXT('Structured Data'!F6,"0.000")&amp;" / "&amp;TEXT('Structured Data'!G6,"0.000")</x:f>
        <x:v>268.663 / 0.897</x:v>
      </x:c>
      <x:c r="E9" s="53" t="n">
        <x:f>'Structured Data'!H6</x:f>
        <x:v>268.705</x:v>
      </x:c>
      <x:c r="F9" s="42" t="str">
        <x:f>'Structured Data'!I6</x:f>
        <x:v>LOCKED</x:v>
      </x:c>
      <x:c r="G9" s="42" t="str">
        <x:f>TEXT('Structured Data'!J6,"0.000")&amp;" / "&amp;TEXT('Structured Data'!K6,"0.000")</x:f>
        <x:v>268.639 / 0.891</x:v>
      </x:c>
      <x:c r="H9" s="42" t="str">
        <x:f>TEXT('Structured Data'!L6,"0.000")&amp;" / "&amp;TEXT('Structured Data'!M6,"0.000")</x:f>
        <x:v>268.672 / 0.755</x:v>
      </x:c>
      <x:c r="I9" s="42" t="str">
        <x:f>TEXT('Structured Data'!N6,"0.000")&amp;" / "&amp;TEXT('Structured Data'!O6,"0.000")</x:f>
        <x:v>192.113 / 0.163</x:v>
      </x:c>
      <x:c r="J9" s="42" t="str">
        <x:f>IF(ISBLANK('Structured Data'!P6),"—",TEXT('Structured Data'!P6,"0.000"))</x:f>
        <x:v>1.070</x:v>
      </x:c>
      <x:c r="K9" s="42" t="str">
        <x:f>IF(ISBLANK('Structured Data'!Q6),"—",TEXT('Structured Data'!Q6,"0.000"))</x:f>
        <x:v>0.753</x:v>
      </x:c>
      <x:c r="L9" s="42" t="str">
        <x:f>IF(ISBLANK('Structured Data'!R6),"—",TEXT('Structured Data'!R6,"0.000"))</x:f>
        <x:v>0.312</x:v>
      </x:c>
      <x:c r="M9" s="114" t="n">
        <x:f>'Structured Data'!S6</x:f>
        <x:v>1.345</x:v>
      </x:c>
    </x:row>
    <x:row r="10" ht="26" customHeight="1">
      <x:c r="A10" s="125" t="n">
        <x:f>'Structured Data'!A7</x:f>
        <x:v>6</x:v>
      </x:c>
      <x:c r="B10" s="126" t="str">
        <x:f>TEXT('Structured Data'!B7,"0.000")&amp;" / "&amp;TEXT('Structured Data'!C7,"0.000")</x:f>
        <x:v>268.046 / 2.252</x:v>
      </x:c>
      <x:c r="C10" s="126" t="str">
        <x:f>TEXT('Structured Data'!D7,"0.000")&amp;" / "&amp;TEXT('Structured Data'!E7,"0.000")</x:f>
        <x:v>268.056 / 1.612</x:v>
      </x:c>
      <x:c r="D10" s="126" t="str">
        <x:f>TEXT('Structured Data'!F7,"0.000")&amp;" / "&amp;TEXT('Structured Data'!G7,"0.000")</x:f>
        <x:v>268.038 / 0.751</x:v>
      </x:c>
      <x:c r="E10" s="127" t="n">
        <x:f>'Structured Data'!H7</x:f>
        <x:v>267.701</x:v>
      </x:c>
      <x:c r="F10" s="126" t="str">
        <x:f>'Structured Data'!I7</x:f>
        <x:v>LOCKED</x:v>
      </x:c>
      <x:c r="G10" s="126" t="str">
        <x:f>TEXT('Structured Data'!J7,"0.000")&amp;" / "&amp;TEXT('Structured Data'!K7,"0.000")</x:f>
        <x:v>268.128 / 1.061</x:v>
      </x:c>
      <x:c r="H10" s="126" t="str">
        <x:f>TEXT('Structured Data'!L7,"0.000")&amp;" / "&amp;TEXT('Structured Data'!M7,"0.000")</x:f>
        <x:v>268.096 / 0.633</x:v>
      </x:c>
      <x:c r="I10" s="126" t="str">
        <x:f>TEXT('Structured Data'!N7,"0.000")&amp;" / "&amp;TEXT('Structured Data'!O7,"0.000")</x:f>
        <x:v>282.975 / 0.169</x:v>
      </x:c>
      <x:c r="J10" s="126" t="str">
        <x:f>IF(ISBLANK('Structured Data'!P7),"—",TEXT('Structured Data'!P7,"0.000"))</x:f>
        <x:v>1.128</x:v>
      </x:c>
      <x:c r="K10" s="126" t="str">
        <x:f>IF(ISBLANK('Structured Data'!Q7),"—",TEXT('Structured Data'!Q7,"0.000"))</x:f>
        <x:v>0.779</x:v>
      </x:c>
      <x:c r="L10" s="126" t="str">
        <x:f>IF(ISBLANK('Structured Data'!R7),"—",TEXT('Structured Data'!R7,"0.000"))</x:f>
        <x:v>0.209</x:v>
      </x:c>
      <x:c r="M10" s="128" t="n">
        <x:f>'Structured Data'!S7</x:f>
        <x:v>1.387</x:v>
      </x:c>
    </x:row>
    <x:row r="11" ht="26" customHeight="1">
      <x:c r="A11" s="113" t="n">
        <x:f>'Structured Data'!A8</x:f>
        <x:v>7</x:v>
      </x:c>
      <x:c r="B11" s="42" t="str">
        <x:f>TEXT('Structured Data'!B8,"0.000")&amp;" / "&amp;TEXT('Structured Data'!C8,"0.000")</x:f>
        <x:v>268.545 / 2.444</x:v>
      </x:c>
      <x:c r="C11" s="42" t="str">
        <x:f>TEXT('Structured Data'!D8,"0.000")&amp;" / "&amp;TEXT('Structured Data'!E8,"0.000")</x:f>
        <x:v>268.544 / 1.780</x:v>
      </x:c>
      <x:c r="D11" s="42" t="str">
        <x:f>TEXT('Structured Data'!F8,"0.000")&amp;" / "&amp;TEXT('Structured Data'!G8,"0.000")</x:f>
        <x:v>461.005 / 0.975</x:v>
      </x:c>
      <x:c r="E11" s="53" t="n">
        <x:f>'Structured Data'!H8</x:f>
        <x:v>268.41</x:v>
      </x:c>
      <x:c r="F11" s="42" t="str">
        <x:f>'Structured Data'!I8</x:f>
        <x:v>LOCKED</x:v>
      </x:c>
      <x:c r="G11" s="42" t="str">
        <x:f>TEXT('Structured Data'!J8,"0.000")&amp;" / "&amp;TEXT('Structured Data'!K8,"0.000")</x:f>
        <x:v>268.538 / 1.151</x:v>
      </x:c>
      <x:c r="H11" s="42" t="str">
        <x:f>TEXT('Structured Data'!L8,"0.000")&amp;" / "&amp;TEXT('Structured Data'!M8,"0.000")</x:f>
        <x:v>268.512 / 0.767</x:v>
      </x:c>
      <x:c r="I11" s="42" t="str">
        <x:f>TEXT('Structured Data'!N8,"0.000")&amp;" / "&amp;TEXT('Structured Data'!O8,"0.000")</x:f>
        <x:v>134.322 / 0.181</x:v>
      </x:c>
      <x:c r="J11" s="42" t="str">
        <x:f>IF(ISBLANK('Structured Data'!P8),"—",TEXT('Structured Data'!P8,"0.000"))</x:f>
        <x:v>1.191</x:v>
      </x:c>
      <x:c r="K11" s="42" t="str">
        <x:f>IF(ISBLANK('Structured Data'!Q8),"—",TEXT('Structured Data'!Q8,"0.000"))</x:f>
        <x:v>0.813</x:v>
      </x:c>
      <x:c r="L11" s="42" t="str">
        <x:f>IF(ISBLANK('Structured Data'!R8),"—",TEXT('Structured Data'!R8,"0.000"))</x:f>
        <x:v>0.150</x:v>
      </x:c>
      <x:c r="M11" s="114" t="n">
        <x:f>'Structured Data'!S8</x:f>
        <x:v>1.45</x:v>
      </x:c>
    </x:row>
    <x:row r="12" ht="26" customHeight="1">
      <x:c r="A12" s="125" t="n">
        <x:f>'Structured Data'!A9</x:f>
        <x:v>8</x:v>
      </x:c>
      <x:c r="B12" s="126" t="str">
        <x:f>TEXT('Structured Data'!B9,"0.000")&amp;" / "&amp;TEXT('Structured Data'!C9,"0.000")</x:f>
        <x:v>271.992 / 1.379</x:v>
      </x:c>
      <x:c r="C12" s="126" t="str">
        <x:f>TEXT('Structured Data'!D9,"0.000")&amp;" / "&amp;TEXT('Structured Data'!E9,"0.000")</x:f>
        <x:v>272.045 / 1.811</x:v>
      </x:c>
      <x:c r="D12" s="126" t="str">
        <x:f>TEXT('Structured Data'!F9,"0.000")&amp;" / "&amp;TEXT('Structured Data'!G9,"0.000")</x:f>
        <x:v>173.406 / 0.868</x:v>
      </x:c>
      <x:c r="E12" s="127" t="n">
        <x:f>'Structured Data'!H9</x:f>
        <x:v>272.492</x:v>
      </x:c>
      <x:c r="F12" s="126" t="str">
        <x:f>'Structured Data'!I9</x:f>
        <x:v>NOT LOCKED</x:v>
      </x:c>
      <x:c r="G12" s="126" t="str">
        <x:f>TEXT('Structured Data'!J9,"0.000")&amp;" / "&amp;TEXT('Structured Data'!K9,"0.000")</x:f>
        <x:v>271.988 / 1.044</x:v>
      </x:c>
      <x:c r="H12" s="126" t="str">
        <x:f>TEXT('Structured Data'!L9,"0.000")&amp;" / "&amp;TEXT('Structured Data'!M9,"0.000")</x:f>
        <x:v>272.008 / 0.575</x:v>
      </x:c>
      <x:c r="I12" s="126" t="str">
        <x:f>TEXT('Structured Data'!N9,"0.000")&amp;" / "&amp;TEXT('Structured Data'!O9,"0.000")</x:f>
        <x:v>271.791 / 0.248</x:v>
      </x:c>
      <x:c r="J12" s="126" t="str">
        <x:f>IF(ISBLANK('Structured Data'!P9),"—",TEXT('Structured Data'!P9,"0.000"))</x:f>
        <x:v>—</x:v>
      </x:c>
      <x:c r="K12" s="126" t="str">
        <x:f>IF(ISBLANK('Structured Data'!Q9),"—",TEXT('Structured Data'!Q9,"0.000"))</x:f>
        <x:v>—</x:v>
      </x:c>
      <x:c r="L12" s="126" t="str">
        <x:f>IF(ISBLANK('Structured Data'!R9),"—",TEXT('Structured Data'!R9,"0.000"))</x:f>
        <x:v>—</x:v>
      </x:c>
      <x:c r="M12" s="128" t="n">
        <x:f>'Structured Data'!S9</x:f>
        <x:v>1.302</x:v>
      </x:c>
    </x:row>
    <x:row r="13" ht="26" customHeight="1">
      <x:c r="A13" s="115" t="n">
        <x:f>'Structured Data'!A10</x:f>
        <x:v>9</x:v>
      </x:c>
      <x:c r="B13" s="116" t="str">
        <x:f>TEXT('Structured Data'!B10,"0.000")&amp;" / "&amp;TEXT('Structured Data'!C10,"0.000")</x:f>
        <x:v>270.288 / 1.705</x:v>
      </x:c>
      <x:c r="C13" s="116" t="str">
        <x:f>TEXT('Structured Data'!D10,"0.000")&amp;" / "&amp;TEXT('Structured Data'!E10,"0.000")</x:f>
        <x:v>184.383 / 1.783</x:v>
      </x:c>
      <x:c r="D13" s="116" t="str">
        <x:f>TEXT('Structured Data'!F10,"0.000")&amp;" / "&amp;TEXT('Structured Data'!G10,"0.000")</x:f>
        <x:v>184.297 / 1.128</x:v>
      </x:c>
      <x:c r="E13" s="117" t="n">
        <x:f>'Structured Data'!H10</x:f>
        <x:v>269.607</x:v>
      </x:c>
      <x:c r="F13" s="116" t="str">
        <x:f>'Structured Data'!I10</x:f>
        <x:v>NOT LOCKED</x:v>
      </x:c>
      <x:c r="G13" s="116" t="str">
        <x:f>TEXT('Structured Data'!J10,"0.000")&amp;" / "&amp;TEXT('Structured Data'!K10,"0.000")</x:f>
        <x:v>270.275 / 0.860</x:v>
      </x:c>
      <x:c r="H13" s="116" t="str">
        <x:f>TEXT('Structured Data'!L10,"0.000")&amp;" / "&amp;TEXT('Structured Data'!M10,"0.000")</x:f>
        <x:v>270.284 / 0.674</x:v>
      </x:c>
      <x:c r="I13" s="116" t="str">
        <x:f>TEXT('Structured Data'!N10,"0.000")&amp;" / "&amp;TEXT('Structured Data'!O10,"0.000")</x:f>
        <x:v>270.195 / 0.391</x:v>
      </x:c>
      <x:c r="J13" s="116" t="str">
        <x:f>IF(ISBLANK('Structured Data'!P10),"—",TEXT('Structured Data'!P10,"0.000"))</x:f>
        <x:v>—</x:v>
      </x:c>
      <x:c r="K13" s="116" t="str">
        <x:f>IF(ISBLANK('Structured Data'!Q10),"—",TEXT('Structured Data'!Q10,"0.000"))</x:f>
        <x:v>—</x:v>
      </x:c>
      <x:c r="L13" s="116" t="str">
        <x:f>IF(ISBLANK('Structured Data'!R10),"—",TEXT('Structured Data'!R10,"0.000"))</x:f>
        <x:v>—</x:v>
      </x:c>
      <x:c r="M13" s="118" t="n">
        <x:f>'Structured Data'!S10</x:f>
        <x:v>1.103</x:v>
      </x:c>
    </x:row>
  </x:sheetData>
  <x:mergeCells>
    <x:mergeCell ref="A1:M1"/>
    <x:mergeCell ref="A2:M2"/>
  </x:mergeCells>
  <x:conditionalFormatting sqref="F5:F13">
    <x:cfRule type="expression" dxfId="2" priority="1">
      <x:formula>F5="LOCKED"</x:formula>
    </x:cfRule>
    <x:cfRule type="expression" dxfId="3" priority="2">
      <x:formula>F5="NOT LOCKED"</x:formula>
    </x:cfRule>
  </x:conditionalFormatting>
  <x:conditionalFormatting sqref="J5:L13">
    <x:cfRule type="expression" dxfId="4" priority="3">
      <x:formula>J5="—"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9" max="9" width="14" hidden="0" customWidth="1"/>
  </x:cols>
  <x:sheetData>
    <x:row r="1" ht="48" customHeight="1">
      <x:c r="A1" s="12" t="str">
        <x:v>Run</x:v>
      </x:c>
      <x:c r="B1" s="13" t="str">
        <x:v>Tool X Frequency (Hz)</x:v>
      </x:c>
      <x:c r="C1" s="13" t="str">
        <x:v>Tool X Amplitude (m/s²)</x:v>
      </x:c>
      <x:c r="D1" s="13" t="str">
        <x:v>Tool Y Frequency (Hz)</x:v>
      </x:c>
      <x:c r="E1" s="13" t="str">
        <x:v>Tool Y Amplitude (m/s²)</x:v>
      </x:c>
      <x:c r="F1" s="13" t="str">
        <x:v>Tool Z Frequency (Hz)</x:v>
      </x:c>
      <x:c r="G1" s="13" t="str">
        <x:v>Tool Z Amplitude (m/s²)</x:v>
      </x:c>
      <x:c r="H1" s="13" t="str">
        <x:v>Tool f0 Candidate (Hz)</x:v>
      </x:c>
      <x:c r="I1" s="13" t="str">
        <x:v>Status</x:v>
      </x:c>
      <x:c r="J1" s="13" t="str">
        <x:v>Hand X Dominant Frequency (Hz)</x:v>
      </x:c>
      <x:c r="K1" s="13" t="str">
        <x:v>Hand X Dominant Amplitude (m/s²)</x:v>
      </x:c>
      <x:c r="L1" s="13" t="str">
        <x:v>Hand Y Dominant Frequency (Hz)</x:v>
      </x:c>
      <x:c r="M1" s="13" t="str">
        <x:v>Hand Y Dominant Amplitude (m/s²)</x:v>
      </x:c>
      <x:c r="N1" s="13" t="str">
        <x:v>Hand Z Dominant Frequency (Hz)</x:v>
      </x:c>
      <x:c r="O1" s="13" t="str">
        <x:v>Hand Z Dominant Amplitude (m/s²)</x:v>
      </x:c>
      <x:c r="P1" s="13" t="str">
        <x:v>Hand X Amplitude @ f0 (m/s²)</x:v>
      </x:c>
      <x:c r="Q1" s="13" t="str">
        <x:v>Hand Y Amplitude @ f0 (m/s²)</x:v>
      </x:c>
      <x:c r="R1" s="13" t="str">
        <x:v>Hand Z Amplitude @ f0 (m/s²)</x:v>
      </x:c>
      <x:c r="S1" s="14" t="str">
        <x:v>Hand Vector Amplitude @ f0 (m/s²)</x:v>
      </x:c>
    </x:row>
    <x:row r="2" ht="22" customHeight="1">
      <x:c r="A2" s="41" t="n">
        <x:v>1</x:v>
      </x:c>
      <x:c r="B2" s="53" t="n">
        <x:v>267.559</x:v>
      </x:c>
      <x:c r="C2" s="53" t="n">
        <x:v>2.767</x:v>
      </x:c>
      <x:c r="D2" s="53" t="n">
        <x:v>267.546</x:v>
      </x:c>
      <x:c r="E2" s="53" t="n">
        <x:v>1.498</x:v>
      </x:c>
      <x:c r="F2" s="53" t="n">
        <x:v>196.737</x:v>
      </x:c>
      <x:c r="G2" s="53" t="n">
        <x:v>0.957</x:v>
      </x:c>
      <x:c r="H2" s="53" t="n">
        <x:v>267.326</x:v>
      </x:c>
      <x:c r="I2" s="42" t="str">
        <x:v>LOCKED</x:v>
      </x:c>
      <x:c r="J2" s="53" t="n">
        <x:v>267.577</x:v>
      </x:c>
      <x:c r="K2" s="53" t="n">
        <x:v>0.965</x:v>
      </x:c>
      <x:c r="L2" s="53" t="n">
        <x:v>267.63</x:v>
      </x:c>
      <x:c r="M2" s="53" t="n">
        <x:v>0.849</x:v>
      </x:c>
      <x:c r="N2" s="53" t="n">
        <x:v>267.433</x:v>
      </x:c>
      <x:c r="O2" s="53" t="n">
        <x:v>0.401</x:v>
      </x:c>
      <x:c r="P2" s="53" t="n">
        <x:v>0.928</x:v>
      </x:c>
      <x:c r="Q2" s="53" t="n">
        <x:v>0.84</x:v>
      </x:c>
      <x:c r="R2" s="53" t="n">
        <x:v>0.407</x:v>
      </x:c>
      <x:c r="S2" s="57" t="n">
        <x:v>1.316</x:v>
      </x:c>
    </x:row>
    <x:row r="3" ht="22" customHeight="1">
      <x:c r="A3" s="41" t="n">
        <x:v>2</x:v>
      </x:c>
      <x:c r="B3" s="53" t="n">
        <x:v>267.095</x:v>
      </x:c>
      <x:c r="C3" s="53" t="n">
        <x:v>2.846</x:v>
      </x:c>
      <x:c r="D3" s="53" t="n">
        <x:v>267.112</x:v>
      </x:c>
      <x:c r="E3" s="53" t="n">
        <x:v>1.566</x:v>
      </x:c>
      <x:c r="F3" s="53" t="n">
        <x:v>734.23</x:v>
      </x:c>
      <x:c r="G3" s="53" t="n">
        <x:v>0.89</x:v>
      </x:c>
      <x:c r="H3" s="53" t="n">
        <x:v>267.212</x:v>
      </x:c>
      <x:c r="I3" s="42" t="str">
        <x:v>LOCKED</x:v>
      </x:c>
      <x:c r="J3" s="53" t="n">
        <x:v>267.13</x:v>
      </x:c>
      <x:c r="K3" s="53" t="n">
        <x:v>0.905</x:v>
      </x:c>
      <x:c r="L3" s="53" t="n">
        <x:v>267.089</x:v>
      </x:c>
      <x:c r="M3" s="53" t="n">
        <x:v>0.856</x:v>
      </x:c>
      <x:c r="N3" s="53" t="n">
        <x:v>267.262</x:v>
      </x:c>
      <x:c r="O3" s="53" t="n">
        <x:v>0.41</x:v>
      </x:c>
      <x:c r="P3" s="53" t="n">
        <x:v>0.925</x:v>
      </x:c>
      <x:c r="Q3" s="53" t="n">
        <x:v>0.854</x:v>
      </x:c>
      <x:c r="R3" s="53" t="n">
        <x:v>0.395</x:v>
      </x:c>
      <x:c r="S3" s="57" t="n">
        <x:v>1.319</x:v>
      </x:c>
    </x:row>
    <x:row r="4" ht="22" customHeight="1">
      <x:c r="A4" s="41" t="n">
        <x:v>3</x:v>
      </x:c>
      <x:c r="B4" s="53" t="n">
        <x:v>269.016</x:v>
      </x:c>
      <x:c r="C4" s="53" t="n">
        <x:v>2.59</x:v>
      </x:c>
      <x:c r="D4" s="53" t="n">
        <x:v>190.009</x:v>
      </x:c>
      <x:c r="E4" s="53" t="n">
        <x:v>1.773</x:v>
      </x:c>
      <x:c r="F4" s="53" t="n">
        <x:v>189.997</x:v>
      </x:c>
      <x:c r="G4" s="53" t="n">
        <x:v>1.172</x:v>
      </x:c>
      <x:c r="H4" s="53" t="n">
        <x:v>268.691</x:v>
      </x:c>
      <x:c r="I4" s="42" t="str">
        <x:v>NOT LOCKED</x:v>
      </x:c>
      <x:c r="J4" s="53" t="n">
        <x:v>538.157</x:v>
      </x:c>
      <x:c r="K4" s="53" t="n">
        <x:v>0.713</x:v>
      </x:c>
      <x:c r="L4" s="53" t="n">
        <x:v>269.079</x:v>
      </x:c>
      <x:c r="M4" s="53" t="n">
        <x:v>0.764</x:v>
      </x:c>
      <x:c r="N4" s="53" t="n">
        <x:v>268.902</x:v>
      </x:c>
      <x:c r="O4" s="53" t="n">
        <x:v>0.361</x:v>
      </x:c>
      <x:c r="P4" s="53"/>
      <x:c r="Q4" s="53"/>
      <x:c r="R4" s="53"/>
      <x:c r="S4" s="57" t="n">
        <x:v>1.189</x:v>
      </x:c>
    </x:row>
    <x:row r="5" ht="22" customHeight="1">
      <x:c r="A5" s="41" t="n">
        <x:v>4</x:v>
      </x:c>
      <x:c r="B5" s="53" t="n">
        <x:v>268.564</x:v>
      </x:c>
      <x:c r="C5" s="53" t="n">
        <x:v>2.534</x:v>
      </x:c>
      <x:c r="D5" s="53" t="n">
        <x:v>268.557</x:v>
      </x:c>
      <x:c r="E5" s="53" t="n">
        <x:v>1.681</x:v>
      </x:c>
      <x:c r="F5" s="53" t="n">
        <x:v>193.291</x:v>
      </x:c>
      <x:c r="G5" s="53" t="n">
        <x:v>1.015</x:v>
      </x:c>
      <x:c r="H5" s="53" t="n">
        <x:v>269.139</x:v>
      </x:c>
      <x:c r="I5" s="42" t="str">
        <x:v>NOT LOCKED</x:v>
      </x:c>
      <x:c r="J5" s="53" t="n">
        <x:v>536.994</x:v>
      </x:c>
      <x:c r="K5" s="53" t="n">
        <x:v>0.775</x:v>
      </x:c>
      <x:c r="L5" s="53" t="n">
        <x:v>268.478</x:v>
      </x:c>
      <x:c r="M5" s="53" t="n">
        <x:v>0.707</x:v>
      </x:c>
      <x:c r="N5" s="53" t="n">
        <x:v>268.614</x:v>
      </x:c>
      <x:c r="O5" s="53" t="n">
        <x:v>0.453</x:v>
      </x:c>
      <x:c r="P5" s="53"/>
      <x:c r="Q5" s="53"/>
      <x:c r="R5" s="53"/>
      <x:c r="S5" s="57" t="n">
        <x:v>1.208</x:v>
      </x:c>
    </x:row>
    <x:row r="6" ht="22" customHeight="1">
      <x:c r="A6" s="41" t="n">
        <x:v>5</x:v>
      </x:c>
      <x:c r="B6" s="53" t="n">
        <x:v>268.647</x:v>
      </x:c>
      <x:c r="C6" s="53" t="n">
        <x:v>2.415</x:v>
      </x:c>
      <x:c r="D6" s="53" t="n">
        <x:v>268.681</x:v>
      </x:c>
      <x:c r="E6" s="53" t="n">
        <x:v>1.807</x:v>
      </x:c>
      <x:c r="F6" s="53" t="n">
        <x:v>268.663</x:v>
      </x:c>
      <x:c r="G6" s="53" t="n">
        <x:v>0.897</x:v>
      </x:c>
      <x:c r="H6" s="53" t="n">
        <x:v>268.705</x:v>
      </x:c>
      <x:c r="I6" s="42" t="str">
        <x:v>LOCKED</x:v>
      </x:c>
      <x:c r="J6" s="53" t="n">
        <x:v>268.639</x:v>
      </x:c>
      <x:c r="K6" s="53" t="n">
        <x:v>0.891</x:v>
      </x:c>
      <x:c r="L6" s="53" t="n">
        <x:v>268.672</x:v>
      </x:c>
      <x:c r="M6" s="53" t="n">
        <x:v>0.755</x:v>
      </x:c>
      <x:c r="N6" s="53" t="n">
        <x:v>192.113</x:v>
      </x:c>
      <x:c r="O6" s="53" t="n">
        <x:v>0.163</x:v>
      </x:c>
      <x:c r="P6" s="53" t="n">
        <x:v>1.07</x:v>
      </x:c>
      <x:c r="Q6" s="53" t="n">
        <x:v>0.753</x:v>
      </x:c>
      <x:c r="R6" s="53" t="n">
        <x:v>0.312</x:v>
      </x:c>
      <x:c r="S6" s="57" t="n">
        <x:v>1.345</x:v>
      </x:c>
    </x:row>
    <x:row r="7" ht="22" customHeight="1">
      <x:c r="A7" s="41" t="n">
        <x:v>6</x:v>
      </x:c>
      <x:c r="B7" s="53" t="n">
        <x:v>268.046</x:v>
      </x:c>
      <x:c r="C7" s="53" t="n">
        <x:v>2.252</x:v>
      </x:c>
      <x:c r="D7" s="53" t="n">
        <x:v>268.056</x:v>
      </x:c>
      <x:c r="E7" s="53" t="n">
        <x:v>1.612</x:v>
      </x:c>
      <x:c r="F7" s="53" t="n">
        <x:v>268.038</x:v>
      </x:c>
      <x:c r="G7" s="53" t="n">
        <x:v>0.751</x:v>
      </x:c>
      <x:c r="H7" s="53" t="n">
        <x:v>267.701</x:v>
      </x:c>
      <x:c r="I7" s="42" t="str">
        <x:v>LOCKED</x:v>
      </x:c>
      <x:c r="J7" s="53" t="n">
        <x:v>268.128</x:v>
      </x:c>
      <x:c r="K7" s="53" t="n">
        <x:v>1.061</x:v>
      </x:c>
      <x:c r="L7" s="53" t="n">
        <x:v>268.096</x:v>
      </x:c>
      <x:c r="M7" s="53" t="n">
        <x:v>0.633</x:v>
      </x:c>
      <x:c r="N7" s="53" t="n">
        <x:v>282.975</x:v>
      </x:c>
      <x:c r="O7" s="53" t="n">
        <x:v>0.169</x:v>
      </x:c>
      <x:c r="P7" s="53" t="n">
        <x:v>1.128</x:v>
      </x:c>
      <x:c r="Q7" s="53" t="n">
        <x:v>0.779</x:v>
      </x:c>
      <x:c r="R7" s="53" t="n">
        <x:v>0.209</x:v>
      </x:c>
      <x:c r="S7" s="57" t="n">
        <x:v>1.387</x:v>
      </x:c>
    </x:row>
    <x:row r="8" ht="22" customHeight="1">
      <x:c r="A8" s="41" t="n">
        <x:v>7</x:v>
      </x:c>
      <x:c r="B8" s="53" t="n">
        <x:v>268.545</x:v>
      </x:c>
      <x:c r="C8" s="53" t="n">
        <x:v>2.444</x:v>
      </x:c>
      <x:c r="D8" s="53" t="n">
        <x:v>268.544</x:v>
      </x:c>
      <x:c r="E8" s="53" t="n">
        <x:v>1.78</x:v>
      </x:c>
      <x:c r="F8" s="53" t="n">
        <x:v>461.005</x:v>
      </x:c>
      <x:c r="G8" s="53" t="n">
        <x:v>0.975</x:v>
      </x:c>
      <x:c r="H8" s="53" t="n">
        <x:v>268.41</x:v>
      </x:c>
      <x:c r="I8" s="42" t="str">
        <x:v>LOCKED</x:v>
      </x:c>
      <x:c r="J8" s="53" t="n">
        <x:v>268.538</x:v>
      </x:c>
      <x:c r="K8" s="53" t="n">
        <x:v>1.151</x:v>
      </x:c>
      <x:c r="L8" s="53" t="n">
        <x:v>268.512</x:v>
      </x:c>
      <x:c r="M8" s="53" t="n">
        <x:v>0.767</x:v>
      </x:c>
      <x:c r="N8" s="53" t="n">
        <x:v>134.322</x:v>
      </x:c>
      <x:c r="O8" s="53" t="n">
        <x:v>0.181</x:v>
      </x:c>
      <x:c r="P8" s="53" t="n">
        <x:v>1.191</x:v>
      </x:c>
      <x:c r="Q8" s="53" t="n">
        <x:v>0.813</x:v>
      </x:c>
      <x:c r="R8" s="53" t="n">
        <x:v>0.15</x:v>
      </x:c>
      <x:c r="S8" s="57" t="n">
        <x:v>1.45</x:v>
      </x:c>
    </x:row>
    <x:row r="9" ht="22" customHeight="1">
      <x:c r="A9" s="41" t="n">
        <x:v>8</x:v>
      </x:c>
      <x:c r="B9" s="53" t="n">
        <x:v>271.992</x:v>
      </x:c>
      <x:c r="C9" s="53" t="n">
        <x:v>1.379</x:v>
      </x:c>
      <x:c r="D9" s="53" t="n">
        <x:v>272.045</x:v>
      </x:c>
      <x:c r="E9" s="53" t="n">
        <x:v>1.811</x:v>
      </x:c>
      <x:c r="F9" s="53" t="n">
        <x:v>173.406</x:v>
      </x:c>
      <x:c r="G9" s="53" t="n">
        <x:v>0.868</x:v>
      </x:c>
      <x:c r="H9" s="53" t="n">
        <x:v>272.492</x:v>
      </x:c>
      <x:c r="I9" s="42" t="str">
        <x:v>NOT LOCKED</x:v>
      </x:c>
      <x:c r="J9" s="53" t="n">
        <x:v>271.988</x:v>
      </x:c>
      <x:c r="K9" s="53" t="n">
        <x:v>1.044</x:v>
      </x:c>
      <x:c r="L9" s="53" t="n">
        <x:v>272.008</x:v>
      </x:c>
      <x:c r="M9" s="53" t="n">
        <x:v>0.575</x:v>
      </x:c>
      <x:c r="N9" s="53" t="n">
        <x:v>271.791</x:v>
      </x:c>
      <x:c r="O9" s="53" t="n">
        <x:v>0.248</x:v>
      </x:c>
      <x:c r="P9" s="53"/>
      <x:c r="Q9" s="53"/>
      <x:c r="R9" s="53"/>
      <x:c r="S9" s="57" t="n">
        <x:v>1.302</x:v>
      </x:c>
    </x:row>
    <x:row r="10" ht="22" customHeight="1">
      <x:c r="A10" s="44" t="n">
        <x:v>9</x:v>
      </x:c>
      <x:c r="B10" s="54" t="n">
        <x:v>270.288</x:v>
      </x:c>
      <x:c r="C10" s="54" t="n">
        <x:v>1.705</x:v>
      </x:c>
      <x:c r="D10" s="54" t="n">
        <x:v>184.383</x:v>
      </x:c>
      <x:c r="E10" s="54" t="n">
        <x:v>1.783</x:v>
      </x:c>
      <x:c r="F10" s="54" t="n">
        <x:v>184.297</x:v>
      </x:c>
      <x:c r="G10" s="54" t="n">
        <x:v>1.128</x:v>
      </x:c>
      <x:c r="H10" s="54" t="n">
        <x:v>269.607</x:v>
      </x:c>
      <x:c r="I10" s="45" t="str">
        <x:v>NOT LOCKED</x:v>
      </x:c>
      <x:c r="J10" s="54" t="n">
        <x:v>270.275</x:v>
      </x:c>
      <x:c r="K10" s="54" t="n">
        <x:v>0.86</x:v>
      </x:c>
      <x:c r="L10" s="54" t="n">
        <x:v>270.284</x:v>
      </x:c>
      <x:c r="M10" s="54" t="n">
        <x:v>0.674</x:v>
      </x:c>
      <x:c r="N10" s="54" t="n">
        <x:v>270.195</x:v>
      </x:c>
      <x:c r="O10" s="54" t="n">
        <x:v>0.391</x:v>
      </x:c>
      <x:c r="P10" s="54"/>
      <x:c r="Q10" s="54"/>
      <x:c r="R10" s="54"/>
      <x:c r="S10" s="58" t="n">
        <x:v>1.103</x:v>
      </x:c>
    </x:row>
  </x:sheetData>
  <x:conditionalFormatting sqref="I2:I10">
    <x:cfRule type="expression" dxfId="0" priority="1">
      <x:formula>I2="LOCKED"</x:formula>
    </x:cfRule>
    <x:cfRule type="expression" dxfId="1" priority="2">
      <x:formula>I2="NOT LOCKED"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134" t="str">
        <x:v>Documentation Notes</x:v>
      </x:c>
      <x:c r="B1" s="134"/>
    </x:row>
    <x:row r="3" ht="34" customHeight="1">
      <x:c r="A3" s="141" t="str">
        <x:v>Item</x:v>
      </x:c>
      <x:c r="B3" s="142" t="str">
        <x:v>Definition / Interpretation</x:v>
      </x:c>
    </x:row>
    <x:row r="4" ht="34" customHeight="1">
      <x:c r="A4" s="143" t="str">
        <x:v>Tool X/Y/Z f / A</x:v>
      </x:c>
      <x:c r="B4" s="144" t="str">
        <x:v>Independent dominant FFT peak frequency and its peak acceleration amplitude on ADXL1 attached to the tool.</x:v>
      </x:c>
    </x:row>
    <x:row r="5" ht="34" customHeight="1">
      <x:c r="A5" s="143" t="str">
        <x:v>Tool f₀ Candidate</x:v>
      </x:c>
      <x:c r="B5" s="144" t="str">
        <x:v>Refined triaxial tool candidate frequency selected by the FFT + quadrature validation stage.</x:v>
      </x:c>
    </x:row>
    <x:row r="6" ht="34" customHeight="1">
      <x:c r="A6" s="143" t="str">
        <x:v>Hand X/Y/Z f / A</x:v>
      </x:c>
      <x:c r="B6" s="144" t="str">
        <x:v>Independent dominant FFT peak frequency and peak acceleration amplitude on ADXL2 at the back of the hand.</x:v>
      </x:c>
    </x:row>
    <x:row r="7" ht="34" customHeight="1">
      <x:c r="A7" s="143" t="str">
        <x:v>Hand X/Y/Z @ f₀</x:v>
      </x:c>
      <x:c r="B7" s="144" t="str">
        <x:v>Exact-frequency quadrature amplitude on each hand axis at the selected tool candidate frequency. Values are only available when the analyser formally locked f₀.</x:v>
      </x:c>
    </x:row>
    <x:row r="8" ht="34" customHeight="1">
      <x:c r="A8" s="143" t="str">
        <x:v>Hand Vector @ f₀</x:v>
      </x:c>
      <x:c r="B8" s="144" t="str">
        <x:v>Triaxial vector amplitude at the selected tool candidate: √(X² + Y² + Z²).</x:v>
      </x:c>
    </x:row>
    <x:row r="9" ht="34" customHeight="1">
      <x:c r="A9" s="143" t="str">
        <x:v>LOCKED</x:v>
      </x:c>
      <x:c r="B9" s="144" t="str">
        <x:v>Candidate passed auto-selection criteria and full per-axis amplitude-at-f₀ output was exported.</x:v>
      </x:c>
    </x:row>
    <x:row r="10" ht="34" customHeight="1">
      <x:c r="A10" s="143" t="str">
        <x:v>NOT LOCKED</x:v>
      </x:c>
      <x:c r="B10" s="144" t="str">
        <x:v>Candidate was recommended but the analyser reported ambiguity; individual X/Y/Z @ f₀ values were therefore not exported.</x:v>
      </x:c>
    </x:row>
    <x:row r="11" ht="34" customHeight="1">
      <x:c r="A11" s="145" t="str">
        <x:v>Source</x:v>
      </x:c>
      <x:c r="B11" s="146" t="str">
        <x:v>Experimental serial-log dataset supplied by the user, 14 August 2026.</x:v>
      </x:c>
    </x:row>
  </x:sheetData>
  <x:mergeCells>
    <x:mergeCell ref="A1:B1"/>
  </x:mergeCells>
  <x:pageMargins left="0.7" right="0.7" top="0.75" bottom="0.75" header="0.3" footer="0.3"/>
</x:worksheet>
</file>
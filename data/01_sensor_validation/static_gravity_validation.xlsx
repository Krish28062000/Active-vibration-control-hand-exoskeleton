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852ae744c04d85" /></Relationships>
</file>

<file path=xl/workbook.xml><?xml version="1.0" encoding="utf-8"?>
<x:workbook xmlns:x="http://schemas.openxmlformats.org/spreadsheetml/2006/main">
  <x:sheets>
    <x:sheet xmlns:r="http://schemas.openxmlformats.org/officeDocument/2006/relationships" name="Freeze Summary" sheetId="1" r:id="Ra9c6d7d0109c4156"/>
    <x:sheet xmlns:r="http://schemas.openxmlformats.org/officeDocument/2006/relationships" name="Selected Results" sheetId="2" r:id="R24a5a198cff344b2"/>
    <x:sheet xmlns:r="http://schemas.openxmlformats.org/officeDocument/2006/relationships" name="Calibration Parameters" sheetId="3" r:id="R138f1b48378843b1"/>
    <x:sheet xmlns:r="http://schemas.openxmlformats.org/officeDocument/2006/relationships" name="Repeatability Integrity" sheetId="4" r:id="R9d6f7aebe85c4a3b"/>
    <x:sheet xmlns:r="http://schemas.openxmlformats.org/officeDocument/2006/relationships" name="Selected Raw Repeats" sheetId="5" r:id="Ra13ede34d40a4f45"/>
    <x:sheet xmlns:r="http://schemas.openxmlformats.org/officeDocument/2006/relationships" name="Excluded Superseded" sheetId="6" r:id="Reeadbed842f14e59"/>
    <x:sheet xmlns:r="http://schemas.openxmlformats.org/officeDocument/2006/relationships" name="Thesis Main Tables" sheetId="7" r:id="Rf03392ffdaa14afc"/>
    <x:sheet xmlns:r="http://schemas.openxmlformats.org/officeDocument/2006/relationships" name="Thesis Draft" sheetId="8" r:id="R7ae53d7f2ff44e9f"/>
    <x:sheet xmlns:r="http://schemas.openxmlformats.org/officeDocument/2006/relationships" name="Validation Plan" sheetId="9" r:id="R9d2ed59ca627439f"/>
    <x:sheet xmlns:r="http://schemas.openxmlformats.org/officeDocument/2006/relationships" name="Sources" sheetId="10" r:id="R22edf0e7505a493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
    <x:numFmt numFmtId="201" formatCode="0.0000"/>
    <x:numFmt numFmtId="202" formatCode="0.000000"/>
    <x:numFmt numFmtId="203" formatCode="0.00000"/>
  </x:numFmts>
  <x:fonts count="6">
    <x:font>
      <x:sz val="11"/>
      <x:name val="Carlito"/>
    </x:font>
    <x:font>
      <x:b/>
      <x:sz val="15"/>
      <x:color rgb="FFFFFFFF"/>
      <x:name val="Carlito"/>
    </x:font>
    <x:font>
      <x:b/>
      <x:sz val="11"/>
      <x:color rgb="FFFFFFFF"/>
      <x:name val="Carlito"/>
    </x:font>
    <x:font>
      <x:b/>
      <x:sz val="11"/>
      <x:color rgb="FF17365D"/>
      <x:name val="Carlito"/>
    </x:font>
    <x:font>
      <x:b/>
      <x:sz val="11"/>
      <x:color rgb="FF9C0006"/>
      <x:name val="Carlito"/>
    </x:font>
    <x:font>
      <x:sz val="11"/>
      <x:color rgb="FF7F6000"/>
      <x:name val="Carlito"/>
    </x:font>
  </x:fonts>
  <x:fills count="7">
    <x:fill>
      <x:patternFill patternType="none"/>
    </x:fill>
    <x:fill>
      <x:patternFill patternType="gray125"/>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CE4D6"/>
      </x:patternFill>
    </x:fill>
    <x:fill>
      <x:patternFill patternType="solid">
        <x:fgColor rgb="FFFFF2CC"/>
      </x:patternFill>
    </x:fill>
  </x:fills>
  <x:borders count="2">
    <x:border/>
    <x:border/>
  </x:borders>
  <x:cellStyleXfs count="1">
    <x:xf numFmtId="0" fontId="0" fillId="0" borderId="0"/>
  </x:cellStyleXfs>
  <x:cellXfs count="7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4" fillId="5" borderId="0" xfId="0" applyNumberFormat="1" applyFont="1" applyFill="1" applyBorder="1" applyAlignment="1">
      <x:alignment wrapText="1"/>
    </x:xf>
    <x:xf numFmtId="0" fontId="4" fillId="5"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0" fillId="6" borderId="1" xfId="0" applyNumberFormat="1" applyFont="1" applyFill="1" applyBorder="1"/>
    <x:xf numFmtId="0" fontId="5" fillId="6" borderId="1" xfId="0" applyNumberFormat="1" applyFont="1" applyFill="1" applyBorder="1"/>
    <x:xf numFmtId="0" fontId="5" fillId="6" borderId="0" xfId="0" applyNumberFormat="1" applyFont="1" applyFill="1" applyBorder="1" applyAlignment="1">
      <x:alignment wrapText="1"/>
    </x:xf>
    <x:xf numFmtId="0" fontId="5" fillId="6" borderId="1"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3" fillId="4" borderId="0" xfId="0" applyNumberFormat="1" applyFont="1" applyFill="1" applyBorder="1" applyAlignment="1">
      <x:alignment vertical="center"/>
    </x:xf>
    <x:xf numFmtId="200" fontId="0" fillId="0"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0" fontId="0" fillId="0" borderId="1"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3" fillId="4" borderId="1" xfId="0" applyNumberFormat="1" applyFont="1" applyFill="1" applyBorder="1" applyAlignment="1">
      <x:alignment vertical="center"/>
    </x:xf>
    <x:xf numFmtId="200" fontId="0" fillId="0" borderId="1" xfId="0" applyNumberFormat="1" applyFont="1" applyFill="1" applyBorder="1" applyAlignment="1">
      <x:alignment vertical="center"/>
    </x:xf>
    <x:xf numFmtId="0" fontId="4" fillId="5" borderId="1" xfId="0" applyNumberFormat="1" applyFont="1" applyFill="1" applyBorder="1" applyAlignment="1">
      <x:alignment vertical="center" wrapText="1"/>
    </x:xf>
    <x:xf numFmtId="201" fontId="0" fillId="0" borderId="0" xfId="0" applyNumberFormat="1" applyFont="1" applyFill="1" applyBorder="1" applyAlignment="1">
      <x:alignment vertical="center"/>
    </x:xf>
    <x:xf numFmtId="201" fontId="0" fillId="0" borderId="1" xfId="0" applyNumberFormat="1" applyFont="1" applyFill="1" applyBorder="1" applyAlignment="1">
      <x:alignment vertical="center"/>
    </x:xf>
    <x:xf numFmtId="202" fontId="0" fillId="0" borderId="0" xfId="0" applyNumberFormat="1" applyFont="1" applyFill="1" applyBorder="1" applyAlignment="1">
      <x:alignment vertical="center"/>
    </x:xf>
    <x:xf numFmtId="0" fontId="5" fillId="6" borderId="0" xfId="0" applyNumberFormat="1" applyFont="1" applyFill="1" applyBorder="1" applyAlignment="1">
      <x:alignment vertical="center" wrapText="1"/>
    </x:xf>
    <x:xf numFmtId="202" fontId="0" fillId="0" borderId="1" xfId="0" applyNumberFormat="1" applyFont="1" applyFill="1" applyBorder="1" applyAlignment="1">
      <x:alignment vertical="center"/>
    </x:xf>
    <x:xf numFmtId="0" fontId="5" fillId="6" borderId="1"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0" fillId="3"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0" fillId="3" borderId="1" xfId="0" applyNumberFormat="1" applyFont="1" applyFill="1" applyBorder="1" applyAlignment="1">
      <x:alignment vertical="center"/>
    </x:xf>
    <x:xf numFmtId="0" fontId="2" fillId="3" borderId="1" xfId="0" applyNumberFormat="1" applyFont="1" applyFill="1" applyBorder="1" applyAlignment="1">
      <x:alignment vertical="center"/>
    </x:xf>
    <x:xf numFmtId="0" fontId="2" fillId="3" borderId="1" xfId="0" applyNumberFormat="1" applyFont="1" applyFill="1" applyBorder="1" applyAlignment="1">
      <x:alignment vertical="center" wrapText="1"/>
    </x:xf>
    <x:xf numFmtId="203" fontId="0" fillId="0" borderId="0" xfId="0" applyNumberFormat="1" applyFont="1" applyFill="1" applyBorder="1" applyAlignment="1">
      <x:alignment vertical="center"/>
    </x:xf>
    <x:xf numFmtId="203" fontId="0" fillId="0"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62b64206c949a3" /><Relationship Type="http://schemas.openxmlformats.org/officeDocument/2006/relationships/theme" Target="/xl/theme/theme1.xml" Id="R0dcc5be378e7483f" /><Relationship Type="http://schemas.openxmlformats.org/officeDocument/2006/relationships/sharedStrings" Target="/xl/sharedStrings.xml" Id="R87910f38f3c64e7d" /><Relationship Type="http://schemas.openxmlformats.org/officeDocument/2006/relationships/worksheet" Target="/xl/worksheets/sheet1.xml" Id="Ra9c6d7d0109c4156" /><Relationship Type="http://schemas.openxmlformats.org/officeDocument/2006/relationships/worksheet" Target="/xl/worksheets/sheet2.xml" Id="R24a5a198cff344b2" /><Relationship Type="http://schemas.openxmlformats.org/officeDocument/2006/relationships/worksheet" Target="/xl/worksheets/sheet3.xml" Id="R138f1b48378843b1" /><Relationship Type="http://schemas.openxmlformats.org/officeDocument/2006/relationships/worksheet" Target="/xl/worksheets/sheet4.xml" Id="R9d6f7aebe85c4a3b" /><Relationship Type="http://schemas.openxmlformats.org/officeDocument/2006/relationships/worksheet" Target="/xl/worksheets/sheet5.xml" Id="Ra13ede34d40a4f45" /><Relationship Type="http://schemas.openxmlformats.org/officeDocument/2006/relationships/worksheet" Target="/xl/worksheets/sheet6.xml" Id="Reeadbed842f14e59" /><Relationship Type="http://schemas.openxmlformats.org/officeDocument/2006/relationships/worksheet" Target="/xl/worksheets/sheet7.xml" Id="Rf03392ffdaa14afc" /><Relationship Type="http://schemas.openxmlformats.org/officeDocument/2006/relationships/worksheet" Target="/xl/worksheets/sheet8.xml" Id="R7ae53d7f2ff44e9f" /><Relationship Type="http://schemas.openxmlformats.org/officeDocument/2006/relationships/worksheet" Target="/xl/worksheets/sheet9.xml" Id="R9d2ed59ca627439f" /><Relationship Type="http://schemas.openxmlformats.org/officeDocument/2006/relationships/worksheet" Target="/xl/worksheets/sheet10.xml" Id="R22edf0e7505a4932" /></Relationships>
</file>

<file path=xl/drawings/_rels/drawing1.xml.rels>&#65279;<?xml version="1.0" encoding="utf-8"?><Relationships xmlns="http://schemas.openxmlformats.org/package/2006/relationships"><Relationship Type="http://schemas.openxmlformats.org/officeDocument/2006/relationships/chart" Target="/xl/drawings/charts/chart1.xml" Id="R926952fcae2745d5" /><Relationship Type="http://schemas.openxmlformats.org/officeDocument/2006/relationships/chart" Target="/xl/drawings/charts/chart2.xml" Id="R00dea1724bb54cb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Selected ±g Active-Axis Response</a:t>
            </a:r>
          </a:p>
        </c:rich>
      </c:tx>
    </c:title>
    <c:plotArea>
      <c:barChart>
        <c:barDir val="col"/>
        <c:varyColors val="0"/>
        <c:ser>
          <c:idx val="0"/>
          <c:order val="0"/>
          <c:tx>
            <c:v>+g measured</c:v>
          </c:tx>
          <c:cat>
            <c:strRef>
              <c:f>'Thesis Main Tables'!$V$4:$V$9</c:f>
              <c:strCache>
                <c:ptCount val="0"/>
              </c:strCache>
            </c:strRef>
          </c:cat>
          <c:val>
            <c:numRef>
              <c:f>'Thesis Main Tables'!$W$4:$W$9</c:f>
              <c:numCache>
                <c:formatCode>0.0000</c:formatCode>
                <c:ptCount val="0"/>
              </c:numCache>
            </c:numRef>
          </c:val>
        </c:ser>
        <c:ser>
          <c:idx val="1"/>
          <c:order val="1"/>
          <c:tx>
            <c:v>−g measured</c:v>
          </c:tx>
          <c:cat>
            <c:strRef>
              <c:f>'Thesis Main Tables'!$V$4:$V$9</c:f>
              <c:strCache>
                <c:ptCount val="0"/>
              </c:strCache>
            </c:strRef>
          </c:cat>
          <c:val>
            <c:numRef>
              <c:f>'Thesis Main Tables'!$X$4:$X$9</c:f>
              <c:numCache>
                <c:formatCode>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Candidate Static Bias by Sensor Axis</a:t>
            </a:r>
          </a:p>
        </c:rich>
      </c:tx>
    </c:title>
    <c:plotArea>
      <c:barChart>
        <c:barDir val="col"/>
        <c:varyColors val="0"/>
        <c:ser>
          <c:idx val="0"/>
          <c:order val="0"/>
          <c:tx>
            <c:v>Candidate bias (m/s²)</c:v>
          </c:tx>
          <c:cat>
            <c:strRef>
              <c:f>'Thesis Main Tables'!$AA$4:$AA$9</c:f>
              <c:strCache>
                <c:ptCount val="0"/>
              </c:strCache>
            </c:strRef>
          </c:cat>
          <c:val>
            <c:numRef>
              <c:f>'Thesis Main Tables'!$AB$4:$AB$9</c:f>
              <c:numCache>
                <c:formatCode>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2</xdr:row>
      <xdr:rowOff>0</xdr:rowOff>
    </xdr:from>
    <xdr:to>
      <xdr:col>20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26952fcae2745d5"/>
        </a:graphicData>
      </a:graphic>
    </xdr:graphicFrame>
    <xdr:clientData/>
  </xdr:twoCellAnchor>
  <xdr:twoCellAnchor>
    <xdr:from>
      <xdr:col>11</xdr:col>
      <xdr:colOff>0</xdr:colOff>
      <xdr:row>19</xdr:row>
      <xdr:rowOff>0</xdr:rowOff>
    </xdr:from>
    <xdr:to>
      <xdr:col>20</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dea1724bb54cb5"/>
        </a:graphicData>
      </a:graphic>
    </xdr:graphicFrame>
    <xdr:clientData/>
  </xdr:twoCellAnchor>
</xdr:wsDr>
</file>

<file path=xl/tables/table1.xml><?xml version="1.0" encoding="utf-8"?>
<x:table xmlns:x="http://schemas.openxmlformats.org/spreadsheetml/2006/main" id="1" name="SelectedResultsTable" displayName="SelectedResultsTable" ref="A1:P13" headerRowCount="1" totalsRowCount="0" totalsRowShown="0">
  <x:tableColumns count="16">
    <x:tableColumn id="1" name="Sensor"/>
    <x:tableColumn id="2" name="Role"/>
    <x:tableColumn id="3" name="Orientation"/>
    <x:tableColumn id="4" name="Active axis"/>
    <x:tableColumn id="5" name="Mean X (m/s²)"/>
    <x:tableColumn id="6" name="Mean Y (m/s²)"/>
    <x:tableColumn id="7" name="Mean Z (m/s²)"/>
    <x:tableColumn id="8" name="Vector norm (m/s²)"/>
    <x:tableColumn id="9" name="Active mean (m/s²)"/>
    <x:tableColumn id="10" name="Active error (%)"/>
    <x:tableColumn id="11" name="Norm error (%)"/>
    <x:tableColumn id="12" name="Between-repeat SD active"/>
    <x:tableColumn id="13" name="Active CV (%)"/>
    <x:tableColumn id="14" name="Raw transverse magnitude"/>
    <x:tableColumn id="15" name="Valid repeats"/>
    <x:tableColumn id="16" name="Status"/>
  </x:tableColumns>
  <x:tableStyleInfo name="TableStyleMedium2" showFirstColumn="0" showLastColumn="0" showRowStripes="1" showColumnStripes="0"/>
</x:table>
</file>

<file path=xl/tables/table2.xml><?xml version="1.0" encoding="utf-8"?>
<x:table xmlns:x="http://schemas.openxmlformats.org/spreadsheetml/2006/main" id="2" name="CalibrationParametersTable" displayName="CalibrationParametersTable" ref="A1:L7" headerRowCount="1" totalsRowCount="0" totalsRowShown="0">
  <x:tableColumns count="12">
    <x:tableColumn id="1" name="Sensor"/>
    <x:tableColumn id="2" name="Role"/>
    <x:tableColumn id="3" name="Axis"/>
    <x:tableColumn id="4" name="+g selected mean"/>
    <x:tableColumn id="5" name="−g selected mean"/>
    <x:tableColumn id="6" name="Candidate bias b (m/s²)"/>
    <x:tableColumn id="7" name="Candidate bias (mg)"/>
    <x:tableColumn id="8" name="Measured sensitivity ratio s"/>
    <x:tableColumn id="9" name="Span error (%)"/>
    <x:tableColumn id="10" name="Correction gain K=1/s"/>
    <x:tableColumn id="11" name="Correction equation"/>
    <x:tableColumn id="12" name="Freeze status"/>
  </x:tableColumns>
  <x:tableStyleInfo name="TableStyleMedium2" showFirstColumn="0" showLastColumn="0" showRowStripes="1" showColumnStripes="0"/>
</x:table>
</file>

<file path=xl/tables/table3.xml><?xml version="1.0" encoding="utf-8"?>
<x:table xmlns:x="http://schemas.openxmlformats.org/spreadsheetml/2006/main" id="3" name="SelectedRawRepeatsTable" displayName="SelectedRawRepeatsTable" ref="A1:X37" headerRowCount="1" totalsRowCount="0" totalsRowShown="0">
  <x:tableColumns count="24">
    <x:tableColumn id="1" name="Sensor"/>
    <x:tableColumn id="2" name="Role"/>
    <x:tableColumn id="3" name="Orientation"/>
    <x:tableColumn id="4" name="Repeat"/>
    <x:tableColumn id="5" name="N"/>
    <x:tableColumn id="6" name="Mean X"/>
    <x:tableColumn id="7" name="SD X"/>
    <x:tableColumn id="8" name="Mean Y"/>
    <x:tableColumn id="9" name="SD Y"/>
    <x:tableColumn id="10" name="Mean Z"/>
    <x:tableColumn id="11" name="SD Z"/>
    <x:tableColumn id="12" name="Mean norm"/>
    <x:tableColumn id="13" name="SD norm"/>
    <x:tableColumn id="14" name="Active axis"/>
    <x:tableColumn id="15" name="Measured active"/>
    <x:tableColumn id="16" name="Active error %"/>
    <x:tableColumn id="17" name="Norm error %"/>
    <x:tableColumn id="18" name="Clip"/>
    <x:tableColumn id="19" name="Late"/>
    <x:tableColumn id="20" name="Max late µs"/>
    <x:tableColumn id="21" name="Raw changed"/>
    <x:tableColumn id="22" name="Reg before"/>
    <x:tableColumn id="23" name="Reg after"/>
    <x:tableColumn id="24"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23edef2759945ba" /></Relationships>
</file>

<file path=xl/worksheets/_rels/sheet3.xml.rels>&#65279;<?xml version="1.0" encoding="utf-8"?><Relationships xmlns="http://schemas.openxmlformats.org/package/2006/relationships"><Relationship Type="http://schemas.openxmlformats.org/officeDocument/2006/relationships/table" Target="/xl/tables/table2.xml" Id="Rbda374d7be3642dd" /></Relationships>
</file>

<file path=xl/worksheets/_rels/sheet5.xml.rels>&#65279;<?xml version="1.0" encoding="utf-8"?><Relationships xmlns="http://schemas.openxmlformats.org/package/2006/relationships"><Relationship Type="http://schemas.openxmlformats.org/officeDocument/2006/relationships/table" Target="/xl/tables/table3.xml" Id="R3c51f58208664756" /></Relationships>
</file>

<file path=xl/worksheets/_rels/sheet7.xml.rels>&#65279;<?xml version="1.0" encoding="utf-8"?><Relationships xmlns="http://schemas.openxmlformats.org/package/2006/relationships"><Relationship Type="http://schemas.openxmlformats.org/officeDocument/2006/relationships/drawing" Target="/xl/drawings/drawing1.xml" Id="R77c19ad39fc043b5" /></Relationships>
</file>

<file path=xl/worksheets/sheet1.xml><?xml version="1.0" encoding="utf-8"?>
<x:worksheet xmlns:x="http://schemas.openxmlformats.org/spreadsheetml/2006/main">
  <x:sheetFormatPr defaultRowHeight="15"/>
  <x:cols>
    <x:col min="1" max="1" width="32" hidden="0" customWidth="1"/>
    <x:col min="2" max="2" width="7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4" t="str">
        <x:v>TEST 01 — Static Triaxial Gravity Verification and Calibration Identification</x:v>
      </x:c>
      <x:c r="B1" s="4"/>
      <x:c r="C1" s="4"/>
      <x:c r="D1" s="4"/>
      <x:c r="E1" s="4"/>
      <x:c r="F1" s="4"/>
      <x:c r="G1" s="4"/>
      <x:c r="H1" s="4"/>
      <x:c r="I1" s="46"/>
      <x:c r="J1" s="46"/>
      <x:c r="K1" s="46"/>
      <x:c r="L1" s="46"/>
      <x:c r="M1" s="46"/>
      <x:c r="N1" s="46"/>
      <x:c r="O1" s="46"/>
      <x:c r="P1" s="46"/>
      <x:c r="Q1" s="46"/>
      <x:c r="R1" s="46"/>
      <x:c r="S1" s="46"/>
      <x:c r="T1" s="46"/>
      <x:c r="U1" s="46"/>
      <x:c r="V1" s="46"/>
      <x:c r="W1" s="46"/>
      <x:c r="X1" s="46"/>
    </x:row>
    <x:row r="2">
      <x:c r="A2" s="46"/>
      <x:c r="B2" s="46"/>
      <x:c r="C2" s="46"/>
      <x:c r="D2" s="46"/>
      <x:c r="E2" s="46"/>
      <x:c r="F2" s="46"/>
      <x:c r="G2" s="46"/>
      <x:c r="H2" s="46"/>
      <x:c r="I2" s="46"/>
      <x:c r="J2" s="46"/>
      <x:c r="K2" s="46"/>
      <x:c r="L2" s="46"/>
      <x:c r="M2" s="46"/>
      <x:c r="N2" s="46"/>
      <x:c r="O2" s="46"/>
      <x:c r="P2" s="46"/>
      <x:c r="Q2" s="46"/>
      <x:c r="R2" s="46"/>
      <x:c r="S2" s="46"/>
      <x:c r="T2" s="46"/>
      <x:c r="U2" s="46"/>
      <x:c r="V2" s="46"/>
      <x:c r="W2" s="46"/>
      <x:c r="X2" s="46"/>
    </x:row>
    <x:row r="3">
      <x:c r="A3" s="12" t="str">
        <x:v>Item</x:v>
      </x:c>
      <x:c r="B3" s="12" t="str">
        <x:v>Freeze-status conclusion</x:v>
      </x:c>
      <x:c r="C3" s="46"/>
      <x:c r="D3" s="46"/>
      <x:c r="E3" s="46"/>
      <x:c r="F3" s="46"/>
      <x:c r="G3" s="46"/>
      <x:c r="H3" s="46"/>
      <x:c r="I3" s="46"/>
      <x:c r="J3" s="46"/>
      <x:c r="K3" s="46"/>
      <x:c r="L3" s="46"/>
      <x:c r="M3" s="46"/>
      <x:c r="N3" s="46"/>
      <x:c r="O3" s="46"/>
      <x:c r="P3" s="46"/>
      <x:c r="Q3" s="46"/>
      <x:c r="R3" s="46"/>
      <x:c r="S3" s="46"/>
      <x:c r="T3" s="46"/>
      <x:c r="U3" s="46"/>
      <x:c r="V3" s="46"/>
      <x:c r="W3" s="46"/>
      <x:c r="X3" s="46"/>
    </x:row>
    <x:row r="4">
      <x:c r="A4" s="46" t="str">
        <x:v>Dataset</x:v>
      </x:c>
      <x:c r="B4" s="46" t="str">
        <x:v>Latest selected ±X/±Y/±Z results; n=3 per pose; N=3200 per record</x:v>
      </x:c>
      <x:c r="C4" s="46"/>
      <x:c r="D4" s="46"/>
      <x:c r="E4" s="46"/>
      <x:c r="F4" s="46"/>
      <x:c r="G4" s="46"/>
      <x:c r="H4" s="46"/>
      <x:c r="I4" s="46"/>
      <x:c r="J4" s="46"/>
      <x:c r="K4" s="46"/>
      <x:c r="L4" s="46"/>
      <x:c r="M4" s="46"/>
      <x:c r="N4" s="46"/>
      <x:c r="O4" s="46"/>
      <x:c r="P4" s="46"/>
      <x:c r="Q4" s="46"/>
      <x:c r="R4" s="46"/>
      <x:c r="S4" s="46"/>
      <x:c r="T4" s="46"/>
      <x:c r="U4" s="46"/>
      <x:c r="V4" s="46"/>
      <x:c r="W4" s="46"/>
      <x:c r="X4" s="46"/>
    </x:row>
    <x:row r="5">
      <x:c r="A5" s="47" t="str">
        <x:v>ADXL1 role</x:v>
      </x:c>
      <x:c r="B5" s="47" t="str">
        <x:v>Tool/reference sensor</x:v>
      </x:c>
      <x:c r="C5" s="46"/>
      <x:c r="D5" s="46"/>
      <x:c r="E5" s="46"/>
      <x:c r="F5" s="46"/>
      <x:c r="G5" s="46"/>
      <x:c r="H5" s="46"/>
      <x:c r="I5" s="46"/>
      <x:c r="J5" s="46"/>
      <x:c r="K5" s="46"/>
      <x:c r="L5" s="46"/>
      <x:c r="M5" s="46"/>
      <x:c r="N5" s="46"/>
      <x:c r="O5" s="46"/>
      <x:c r="P5" s="46"/>
      <x:c r="Q5" s="46"/>
      <x:c r="R5" s="46"/>
      <x:c r="S5" s="46"/>
      <x:c r="T5" s="46"/>
      <x:c r="U5" s="46"/>
      <x:c r="V5" s="46"/>
      <x:c r="W5" s="46"/>
      <x:c r="X5" s="46"/>
    </x:row>
    <x:row r="6">
      <x:c r="A6" s="47" t="str">
        <x:v>ADXL2 role</x:v>
      </x:c>
      <x:c r="B6" s="47" t="str">
        <x:v>Hand/error sensor</x:v>
      </x:c>
      <x:c r="C6" s="46"/>
      <x:c r="D6" s="46"/>
      <x:c r="E6" s="46"/>
      <x:c r="F6" s="46"/>
      <x:c r="G6" s="46"/>
      <x:c r="H6" s="46"/>
      <x:c r="I6" s="46"/>
      <x:c r="J6" s="46"/>
      <x:c r="K6" s="46"/>
      <x:c r="L6" s="46"/>
      <x:c r="M6" s="46"/>
      <x:c r="N6" s="46"/>
      <x:c r="O6" s="46"/>
      <x:c r="P6" s="46"/>
      <x:c r="Q6" s="46"/>
      <x:c r="R6" s="46"/>
      <x:c r="S6" s="46"/>
      <x:c r="T6" s="46"/>
      <x:c r="U6" s="46"/>
      <x:c r="V6" s="46"/>
      <x:c r="W6" s="46"/>
      <x:c r="X6" s="46"/>
    </x:row>
    <x:row r="7">
      <x:c r="A7" s="47" t="str">
        <x:v>Digital integrity</x:v>
      </x:c>
      <x:c r="B7" s="47" t="str">
        <x:v>PASS — expected register state, no clipping, no late samples, no stuck data</x:v>
      </x:c>
      <x:c r="C7" s="46"/>
      <x:c r="D7" s="46"/>
      <x:c r="E7" s="46"/>
      <x:c r="F7" s="46"/>
      <x:c r="G7" s="46"/>
      <x:c r="H7" s="46"/>
      <x:c r="I7" s="46"/>
      <x:c r="J7" s="46"/>
      <x:c r="K7" s="46"/>
      <x:c r="L7" s="46"/>
      <x:c r="M7" s="46"/>
      <x:c r="N7" s="46"/>
      <x:c r="O7" s="46"/>
      <x:c r="P7" s="46"/>
      <x:c r="Q7" s="46"/>
      <x:c r="R7" s="46"/>
      <x:c r="S7" s="46"/>
      <x:c r="T7" s="46"/>
      <x:c r="U7" s="46"/>
      <x:c r="V7" s="46"/>
      <x:c r="W7" s="46"/>
      <x:c r="X7" s="46"/>
    </x:row>
    <x:row r="8">
      <x:c r="A8" s="47" t="str">
        <x:v>Short-term repeatability</x:v>
      </x:c>
      <x:c r="B8" s="47" t="str">
        <x:v>PASS — excellent for all selected active-axis poses</x:v>
      </x:c>
      <x:c r="C8" s="46"/>
      <x:c r="D8" s="46"/>
      <x:c r="E8" s="46"/>
      <x:c r="F8" s="46"/>
      <x:c r="G8" s="46"/>
      <x:c r="H8" s="46"/>
      <x:c r="I8" s="46"/>
      <x:c r="J8" s="46"/>
      <x:c r="K8" s="46"/>
      <x:c r="L8" s="46"/>
      <x:c r="M8" s="46"/>
      <x:c r="N8" s="46"/>
      <x:c r="O8" s="46"/>
      <x:c r="P8" s="46"/>
      <x:c r="Q8" s="46"/>
      <x:c r="R8" s="46"/>
      <x:c r="S8" s="46"/>
      <x:c r="T8" s="46"/>
      <x:c r="U8" s="46"/>
      <x:c r="V8" s="46"/>
      <x:c r="W8" s="46"/>
      <x:c r="X8" s="46"/>
    </x:row>
    <x:row r="9">
      <x:c r="A9" s="47" t="str">
        <x:v>Axis polarity</x:v>
      </x:c>
      <x:c r="B9" s="47" t="str">
        <x:v>PASS for all selected orientations</x:v>
      </x:c>
      <x:c r="C9" s="46"/>
      <x:c r="D9" s="46"/>
      <x:c r="E9" s="46"/>
      <x:c r="F9" s="46"/>
      <x:c r="G9" s="46"/>
      <x:c r="H9" s="46"/>
      <x:c r="I9" s="46"/>
      <x:c r="J9" s="46"/>
      <x:c r="K9" s="46"/>
      <x:c r="L9" s="46"/>
      <x:c r="M9" s="46"/>
      <x:c r="N9" s="46"/>
      <x:c r="O9" s="46"/>
      <x:c r="P9" s="46"/>
      <x:c r="Q9" s="46"/>
      <x:c r="R9" s="46"/>
      <x:c r="S9" s="46"/>
      <x:c r="T9" s="46"/>
      <x:c r="U9" s="46"/>
      <x:c r="V9" s="46"/>
      <x:c r="W9" s="46"/>
      <x:c r="X9" s="46"/>
    </x:row>
    <x:row r="10">
      <x:c r="A10" s="47" t="str">
        <x:v>Raw absolute response</x:v>
      </x:c>
      <x:c r="B10" s="47" t="str">
        <x:v>Axis-dependent; calibration required before final quantitative comparison</x:v>
      </x:c>
      <x:c r="C10" s="46"/>
      <x:c r="D10" s="46"/>
      <x:c r="E10" s="46"/>
      <x:c r="F10" s="46"/>
      <x:c r="G10" s="46"/>
      <x:c r="H10" s="46"/>
      <x:c r="I10" s="46"/>
      <x:c r="J10" s="46"/>
      <x:c r="K10" s="46"/>
      <x:c r="L10" s="46"/>
      <x:c r="M10" s="46"/>
      <x:c r="N10" s="46"/>
      <x:c r="O10" s="46"/>
      <x:c r="P10" s="46"/>
      <x:c r="Q10" s="46"/>
      <x:c r="R10" s="46"/>
      <x:c r="S10" s="46"/>
      <x:c r="T10" s="46"/>
      <x:c r="U10" s="46"/>
      <x:c r="V10" s="46"/>
      <x:c r="W10" s="46"/>
      <x:c r="X10" s="46"/>
    </x:row>
    <x:row r="11">
      <x:c r="A11" s="47" t="str">
        <x:v>Dominant systematic effect</x:v>
      </x:c>
      <x:c r="B11" s="47" t="str">
        <x:v>Z-axis static bias: negative for ADXL1, positive for ADXL2</x:v>
      </x:c>
      <x:c r="C11" s="46"/>
      <x:c r="D11" s="46"/>
      <x:c r="E11" s="46"/>
      <x:c r="F11" s="46"/>
      <x:c r="G11" s="46"/>
      <x:c r="H11" s="46"/>
      <x:c r="I11" s="46"/>
      <x:c r="J11" s="46"/>
      <x:c r="K11" s="46"/>
      <x:c r="L11" s="46"/>
      <x:c r="M11" s="46"/>
      <x:c r="N11" s="46"/>
      <x:c r="O11" s="46"/>
      <x:c r="P11" s="46"/>
      <x:c r="Q11" s="46"/>
      <x:c r="R11" s="46"/>
      <x:c r="S11" s="46"/>
      <x:c r="T11" s="46"/>
      <x:c r="U11" s="46"/>
      <x:c r="V11" s="46"/>
      <x:c r="W11" s="46"/>
      <x:c r="X11" s="46"/>
    </x:row>
    <x:row r="12">
      <x:c r="A12" s="47" t="str">
        <x:v>Current coefficients</x:v>
      </x:c>
      <x:c r="B12" s="47" t="str">
        <x:v>CANDIDATE ONLY — identified from the selected calibration dataset</x:v>
      </x:c>
      <x:c r="C12" s="46"/>
      <x:c r="D12" s="46"/>
      <x:c r="E12" s="46"/>
      <x:c r="F12" s="46"/>
      <x:c r="G12" s="46"/>
      <x:c r="H12" s="46"/>
      <x:c r="I12" s="46"/>
      <x:c r="J12" s="46"/>
      <x:c r="K12" s="46"/>
      <x:c r="L12" s="46"/>
      <x:c r="M12" s="46"/>
      <x:c r="N12" s="46"/>
      <x:c r="O12" s="46"/>
      <x:c r="P12" s="46"/>
      <x:c r="Q12" s="46"/>
      <x:c r="R12" s="46"/>
      <x:c r="S12" s="46"/>
      <x:c r="T12" s="46"/>
      <x:c r="U12" s="46"/>
      <x:c r="V12" s="46"/>
      <x:c r="W12" s="46"/>
      <x:c r="X12" s="46"/>
    </x:row>
    <x:row r="13">
      <x:c r="A13" s="47" t="str">
        <x:v>Thesis freeze status</x:v>
      </x:c>
      <x:c r="B13" s="47" t="str">
        <x:v>FREEZE methodology + raw findings; freeze final corrected accuracy only after independent validation</x:v>
      </x:c>
      <x:c r="C13" s="46"/>
      <x:c r="D13" s="46"/>
      <x:c r="E13" s="46"/>
      <x:c r="F13" s="46"/>
      <x:c r="G13" s="46"/>
      <x:c r="H13" s="46"/>
      <x:c r="I13" s="46"/>
      <x:c r="J13" s="46"/>
      <x:c r="K13" s="46"/>
      <x:c r="L13" s="46"/>
      <x:c r="M13" s="46"/>
      <x:c r="N13" s="46"/>
      <x:c r="O13" s="46"/>
      <x:c r="P13" s="46"/>
      <x:c r="Q13" s="46"/>
      <x:c r="R13" s="46"/>
      <x:c r="S13" s="46"/>
      <x:c r="T13" s="46"/>
      <x:c r="U13" s="46"/>
      <x:c r="V13" s="46"/>
      <x:c r="W13" s="46"/>
      <x:c r="X13" s="46"/>
    </x:row>
    <x:row r="14">
      <x:c r="A14" s="46"/>
      <x:c r="B14" s="46"/>
      <x:c r="C14" s="46"/>
      <x:c r="D14" s="46"/>
      <x:c r="E14" s="46"/>
      <x:c r="F14" s="46"/>
      <x:c r="G14" s="46"/>
      <x:c r="H14" s="46"/>
      <x:c r="I14" s="46"/>
      <x:c r="J14" s="46"/>
      <x:c r="K14" s="46"/>
      <x:c r="L14" s="46"/>
      <x:c r="M14" s="46"/>
      <x:c r="N14" s="46"/>
      <x:c r="O14" s="46"/>
      <x:c r="P14" s="46"/>
      <x:c r="Q14" s="46"/>
      <x:c r="R14" s="46"/>
      <x:c r="S14" s="46"/>
      <x:c r="T14" s="46"/>
      <x:c r="U14" s="46"/>
      <x:c r="V14" s="46"/>
      <x:c r="W14" s="46"/>
      <x:c r="X14" s="46"/>
    </x:row>
    <x:row r="15">
      <x:c r="A15" s="48" t="str">
        <x:v>Scientific verdict</x:v>
      </x:c>
      <x:c r="B15" s="48"/>
      <x:c r="C15" s="48"/>
      <x:c r="D15" s="48"/>
      <x:c r="E15" s="48"/>
      <x:c r="F15" s="48"/>
      <x:c r="G15" s="48"/>
      <x:c r="H15" s="48"/>
      <x:c r="I15" s="46"/>
      <x:c r="J15" s="46"/>
      <x:c r="K15" s="46"/>
      <x:c r="L15" s="46"/>
      <x:c r="M15" s="46"/>
      <x:c r="N15" s="46"/>
      <x:c r="O15" s="46"/>
      <x:c r="P15" s="46"/>
      <x:c r="Q15" s="46"/>
      <x:c r="R15" s="46"/>
      <x:c r="S15" s="46"/>
      <x:c r="T15" s="46"/>
      <x:c r="U15" s="46"/>
      <x:c r="V15" s="46"/>
      <x:c r="W15" s="46"/>
      <x:c r="X15" s="46"/>
    </x:row>
    <x:row r="16">
      <x:c r="A16" s="47" t="str">
        <x:v>The selected six-position dataset demonstrates a stable and repeatable dual-ADXL345 measurement chain. Improved physical alignment reduced several transverse components, while the characteristic Z-axis polarity asymmetry remained. This supports a systematic offset/sensitivity interpretation rather than random instability. The present dataset is therefore suitable for identifying candidate per-axis bias and scale coefficients. However, the same data must not be used as independent proof of corrected accuracy. A fresh post-calibration six-position verification is required before the corrected sensor accuracy is frozen for the thesis.</x:v>
      </x:c>
      <x:c r="B16" s="47"/>
      <x:c r="C16" s="47"/>
      <x:c r="D16" s="47"/>
      <x:c r="E16" s="47"/>
      <x:c r="F16" s="47"/>
      <x:c r="G16" s="47"/>
      <x:c r="H16" s="47"/>
      <x:c r="I16" s="46"/>
      <x:c r="J16" s="46"/>
      <x:c r="K16" s="46"/>
      <x:c r="L16" s="46"/>
      <x:c r="M16" s="46"/>
      <x:c r="N16" s="46"/>
      <x:c r="O16" s="46"/>
      <x:c r="P16" s="46"/>
      <x:c r="Q16" s="46"/>
      <x:c r="R16" s="46"/>
      <x:c r="S16" s="46"/>
      <x:c r="T16" s="46"/>
      <x:c r="U16" s="46"/>
      <x:c r="V16" s="46"/>
      <x:c r="W16" s="46"/>
      <x:c r="X16" s="46"/>
    </x:row>
    <x:row r="17">
      <x:c r="A17" s="47"/>
      <x:c r="B17" s="47"/>
      <x:c r="C17" s="47"/>
      <x:c r="D17" s="47"/>
      <x:c r="E17" s="47"/>
      <x:c r="F17" s="47"/>
      <x:c r="G17" s="47"/>
      <x:c r="H17" s="47"/>
      <x:c r="I17" s="46"/>
      <x:c r="J17" s="46"/>
      <x:c r="K17" s="46"/>
      <x:c r="L17" s="46"/>
      <x:c r="M17" s="46"/>
      <x:c r="N17" s="46"/>
      <x:c r="O17" s="46"/>
      <x:c r="P17" s="46"/>
      <x:c r="Q17" s="46"/>
      <x:c r="R17" s="46"/>
      <x:c r="S17" s="46"/>
      <x:c r="T17" s="46"/>
      <x:c r="U17" s="46"/>
      <x:c r="V17" s="46"/>
      <x:c r="W17" s="46"/>
      <x:c r="X17" s="46"/>
    </x:row>
    <x:row r="18">
      <x:c r="A18" s="47"/>
      <x:c r="B18" s="47"/>
      <x:c r="C18" s="47"/>
      <x:c r="D18" s="47"/>
      <x:c r="E18" s="47"/>
      <x:c r="F18" s="47"/>
      <x:c r="G18" s="47"/>
      <x:c r="H18" s="47"/>
      <x:c r="I18" s="46"/>
      <x:c r="J18" s="46"/>
      <x:c r="K18" s="46"/>
      <x:c r="L18" s="46"/>
      <x:c r="M18" s="46"/>
      <x:c r="N18" s="46"/>
      <x:c r="O18" s="46"/>
      <x:c r="P18" s="46"/>
      <x:c r="Q18" s="46"/>
      <x:c r="R18" s="46"/>
      <x:c r="S18" s="46"/>
      <x:c r="T18" s="46"/>
      <x:c r="U18" s="46"/>
      <x:c r="V18" s="46"/>
      <x:c r="W18" s="46"/>
      <x:c r="X18" s="46"/>
    </x:row>
    <x:row r="19">
      <x:c r="A19" s="47"/>
      <x:c r="B19" s="47"/>
      <x:c r="C19" s="47"/>
      <x:c r="D19" s="47"/>
      <x:c r="E19" s="47"/>
      <x:c r="F19" s="47"/>
      <x:c r="G19" s="47"/>
      <x:c r="H19" s="47"/>
      <x:c r="I19" s="46"/>
      <x:c r="J19" s="46"/>
      <x:c r="K19" s="46"/>
      <x:c r="L19" s="46"/>
      <x:c r="M19" s="46"/>
      <x:c r="N19" s="46"/>
      <x:c r="O19" s="46"/>
      <x:c r="P19" s="46"/>
      <x:c r="Q19" s="46"/>
      <x:c r="R19" s="46"/>
      <x:c r="S19" s="46"/>
      <x:c r="T19" s="46"/>
      <x:c r="U19" s="46"/>
      <x:c r="V19" s="46"/>
      <x:c r="W19" s="46"/>
      <x:c r="X19" s="46"/>
    </x:row>
    <x:row r="20">
      <x:c r="A20" s="47"/>
      <x:c r="B20" s="47"/>
      <x:c r="C20" s="47"/>
      <x:c r="D20" s="47"/>
      <x:c r="E20" s="47"/>
      <x:c r="F20" s="47"/>
      <x:c r="G20" s="47"/>
      <x:c r="H20" s="47"/>
      <x:c r="I20" s="46"/>
      <x:c r="J20" s="46"/>
      <x:c r="K20" s="46"/>
      <x:c r="L20" s="46"/>
      <x:c r="M20" s="46"/>
      <x:c r="N20" s="46"/>
      <x:c r="O20" s="46"/>
      <x:c r="P20" s="46"/>
      <x:c r="Q20" s="46"/>
      <x:c r="R20" s="46"/>
      <x:c r="S20" s="46"/>
      <x:c r="T20" s="46"/>
      <x:c r="U20" s="46"/>
      <x:c r="V20" s="46"/>
      <x:c r="W20" s="46"/>
      <x:c r="X20" s="46"/>
    </x:row>
    <x:row r="21">
      <x:c r="A21" s="47"/>
      <x:c r="B21" s="47"/>
      <x:c r="C21" s="47"/>
      <x:c r="D21" s="47"/>
      <x:c r="E21" s="47"/>
      <x:c r="F21" s="47"/>
      <x:c r="G21" s="47"/>
      <x:c r="H21" s="47"/>
      <x:c r="I21" s="46"/>
      <x:c r="J21" s="46"/>
      <x:c r="K21" s="46"/>
      <x:c r="L21" s="46"/>
      <x:c r="M21" s="46"/>
      <x:c r="N21" s="46"/>
      <x:c r="O21" s="46"/>
      <x:c r="P21" s="46"/>
      <x:c r="Q21" s="46"/>
      <x:c r="R21" s="46"/>
      <x:c r="S21" s="46"/>
      <x:c r="T21" s="46"/>
      <x:c r="U21" s="46"/>
      <x:c r="V21" s="46"/>
      <x:c r="W21" s="46"/>
      <x:c r="X21" s="46"/>
    </x:row>
    <x:row r="22">
      <x:c r="A22" s="46"/>
      <x:c r="B22" s="46"/>
      <x:c r="C22" s="46"/>
      <x:c r="D22" s="46"/>
      <x:c r="E22" s="46"/>
      <x:c r="F22" s="46"/>
      <x:c r="G22" s="46"/>
      <x:c r="H22" s="46"/>
      <x:c r="I22" s="46"/>
      <x:c r="J22" s="46"/>
      <x:c r="K22" s="46"/>
      <x:c r="L22" s="46"/>
      <x:c r="M22" s="46"/>
      <x:c r="N22" s="46"/>
      <x:c r="O22" s="46"/>
      <x:c r="P22" s="46"/>
      <x:c r="Q22" s="46"/>
      <x:c r="R22" s="46"/>
      <x:c r="S22" s="46"/>
      <x:c r="T22" s="46"/>
      <x:c r="U22" s="46"/>
      <x:c r="V22" s="46"/>
      <x:c r="W22" s="46"/>
      <x:c r="X22" s="46"/>
    </x:row>
    <x:row r="23">
      <x:c r="A23" s="12" t="str">
        <x:v>KPI</x:v>
      </x:c>
      <x:c r="B23" s="12" t="str">
        <x:v>ADXL1</x:v>
      </x:c>
      <x:c r="C23" s="12" t="str">
        <x:v>ADXL2</x:v>
      </x:c>
      <x:c r="D23" s="12" t="str">
        <x:v>Interpretation</x:v>
      </x:c>
      <x:c r="E23" s="46"/>
      <x:c r="F23" s="46"/>
      <x:c r="G23" s="46"/>
      <x:c r="H23" s="46"/>
      <x:c r="I23" s="46"/>
      <x:c r="J23" s="46"/>
      <x:c r="K23" s="46"/>
      <x:c r="L23" s="46"/>
      <x:c r="M23" s="46"/>
      <x:c r="N23" s="46"/>
      <x:c r="O23" s="46"/>
      <x:c r="P23" s="46"/>
      <x:c r="Q23" s="46"/>
      <x:c r="R23" s="46"/>
      <x:c r="S23" s="46"/>
      <x:c r="T23" s="46"/>
      <x:c r="U23" s="46"/>
      <x:c r="V23" s="46"/>
      <x:c r="W23" s="46"/>
      <x:c r="X23" s="46"/>
    </x:row>
    <x:row r="24">
      <x:c r="A24" s="46" t="str">
        <x:v>Maximum active-axis repeat CV (%)</x:v>
      </x:c>
      <x:c r="B24" s="49" t="n">
        <x:v>0.12483049666062582</x:v>
      </x:c>
      <x:c r="C24" s="49" t="n">
        <x:v>0.13391301386477986</x:v>
      </x:c>
      <x:c r="D24" s="46" t="str">
        <x:v>Both &lt; 0.2% in selected dataset</x:v>
      </x:c>
      <x:c r="E24" s="46"/>
      <x:c r="F24" s="46"/>
      <x:c r="G24" s="46"/>
      <x:c r="H24" s="46"/>
      <x:c r="I24" s="46"/>
      <x:c r="J24" s="46"/>
      <x:c r="K24" s="46"/>
      <x:c r="L24" s="46"/>
      <x:c r="M24" s="46"/>
      <x:c r="N24" s="46"/>
      <x:c r="O24" s="46"/>
      <x:c r="P24" s="46"/>
      <x:c r="Q24" s="46"/>
      <x:c r="R24" s="46"/>
      <x:c r="S24" s="46"/>
      <x:c r="T24" s="46"/>
      <x:c r="U24" s="46"/>
      <x:c r="V24" s="46"/>
      <x:c r="W24" s="46"/>
      <x:c r="X24" s="46"/>
    </x:row>
    <x:row r="25">
      <x:c r="A25" s="46" t="str">
        <x:v>Candidate Z bias (m/s²)</x:v>
      </x:c>
      <x:c r="B25" s="49" t="n">
        <x:v>-0.6887895000000004</x:v>
      </x:c>
      <x:c r="C25" s="49" t="n">
        <x:v>1.5227180000000002</x:v>
      </x:c>
      <x:c r="D25" s="46" t="str">
        <x:v>Large, opposite-sign static bias</x:v>
      </x:c>
      <x:c r="E25" s="46"/>
      <x:c r="F25" s="46"/>
      <x:c r="G25" s="46"/>
      <x:c r="H25" s="46"/>
      <x:c r="I25" s="46"/>
      <x:c r="J25" s="46"/>
      <x:c r="K25" s="46"/>
      <x:c r="L25" s="46"/>
      <x:c r="M25" s="46"/>
      <x:c r="N25" s="46"/>
      <x:c r="O25" s="46"/>
      <x:c r="P25" s="46"/>
      <x:c r="Q25" s="46"/>
      <x:c r="R25" s="46"/>
      <x:c r="S25" s="46"/>
      <x:c r="T25" s="46"/>
      <x:c r="U25" s="46"/>
      <x:c r="V25" s="46"/>
      <x:c r="W25" s="46"/>
      <x:c r="X25" s="46"/>
    </x:row>
    <x:row r="26">
      <x:c r="A26" s="46" t="str">
        <x:v>Candidate Z bias (mg)</x:v>
      </x:c>
      <x:c r="B26" s="49" t="n">
        <x:v>-70.23698204789612</x:v>
      </x:c>
      <x:c r="C26" s="49" t="n">
        <x:v>155.27402323933254</x:v>
      </x:c>
      <x:c r="D26" s="46" t="str">
        <x:v>Preliminary installed-system estimate</x:v>
      </x:c>
      <x:c r="E26" s="46"/>
      <x:c r="F26" s="46"/>
      <x:c r="G26" s="46"/>
      <x:c r="H26" s="46"/>
      <x:c r="I26" s="46"/>
      <x:c r="J26" s="46"/>
      <x:c r="K26" s="46"/>
      <x:c r="L26" s="46"/>
      <x:c r="M26" s="46"/>
      <x:c r="N26" s="46"/>
      <x:c r="O26" s="46"/>
      <x:c r="P26" s="46"/>
      <x:c r="Q26" s="46"/>
      <x:c r="R26" s="46"/>
      <x:c r="S26" s="46"/>
      <x:c r="T26" s="46"/>
      <x:c r="U26" s="46"/>
      <x:c r="V26" s="46"/>
      <x:c r="W26" s="46"/>
      <x:c r="X26" s="46"/>
    </x:row>
    <x:row r="27">
      <x:c r="A27" s="46" t="str">
        <x:v>Candidate Z span error (%)</x:v>
      </x:c>
      <x:c r="B27" s="49" t="n">
        <x:v>-2.8580249116670786</x:v>
      </x:c>
      <x:c r="C27" s="49" t="n">
        <x:v>-1.1460080659552285</x:v>
      </x:c>
      <x:c r="D27" s="46" t="str">
        <x:v>Far smaller than the raw +Z/−Z error</x:v>
      </x:c>
      <x:c r="E27" s="46"/>
      <x:c r="F27" s="46"/>
      <x:c r="G27" s="46"/>
      <x:c r="H27" s="46"/>
      <x:c r="I27" s="46"/>
      <x:c r="J27" s="46"/>
      <x:c r="K27" s="46"/>
      <x:c r="L27" s="46"/>
      <x:c r="M27" s="46"/>
      <x:c r="N27" s="46"/>
      <x:c r="O27" s="46"/>
      <x:c r="P27" s="46"/>
      <x:c r="Q27" s="46"/>
      <x:c r="R27" s="46"/>
      <x:c r="S27" s="46"/>
      <x:c r="T27" s="46"/>
      <x:c r="U27" s="46"/>
      <x:c r="V27" s="46"/>
      <x:c r="W27" s="46"/>
      <x:c r="X27" s="46"/>
    </x:row>
    <x:row r="28">
      <x:c r="A28" s="46" t="str">
        <x:v>Selected records</x:v>
      </x:c>
      <x:c r="B28" s="49" t="n">
        <x:v>18</x:v>
      </x:c>
      <x:c r="C28" s="49" t="n">
        <x:v>18</x:v>
      </x:c>
      <x:c r="D28" s="46" t="str">
        <x:v>36 total records</x:v>
      </x:c>
      <x:c r="E28" s="46"/>
      <x:c r="F28" s="46"/>
      <x:c r="G28" s="46"/>
      <x:c r="H28" s="46"/>
      <x:c r="I28" s="46"/>
      <x:c r="J28" s="46"/>
      <x:c r="K28" s="46"/>
      <x:c r="L28" s="46"/>
      <x:c r="M28" s="46"/>
      <x:c r="N28" s="46"/>
      <x:c r="O28" s="46"/>
      <x:c r="P28" s="46"/>
      <x:c r="Q28" s="46"/>
      <x:c r="R28" s="46"/>
      <x:c r="S28" s="46"/>
      <x:c r="T28" s="46"/>
      <x:c r="U28" s="46"/>
      <x:c r="V28" s="46"/>
      <x:c r="W28" s="46"/>
      <x:c r="X28" s="46"/>
    </x:row>
    <x:row r="29">
      <x:c r="A29" s="46" t="str">
        <x:v>Invalid selected records</x:v>
      </x:c>
      <x:c r="B29" s="49" t="n">
        <x:v>0</x:v>
      </x:c>
      <x:c r="C29" s="49" t="n">
        <x:v>0</x:v>
      </x:c>
      <x:c r="D29" s="46" t="str">
        <x:v>All selected records structurally valid</x:v>
      </x:c>
      <x:c r="E29" s="46"/>
      <x:c r="F29" s="46"/>
      <x:c r="G29" s="46"/>
      <x:c r="H29" s="46"/>
      <x:c r="I29" s="46"/>
      <x:c r="J29" s="46"/>
      <x:c r="K29" s="46"/>
      <x:c r="L29" s="46"/>
      <x:c r="M29" s="46"/>
      <x:c r="N29" s="46"/>
      <x:c r="O29" s="46"/>
      <x:c r="P29" s="46"/>
      <x:c r="Q29" s="46"/>
      <x:c r="R29" s="46"/>
      <x:c r="S29" s="46"/>
      <x:c r="T29" s="46"/>
      <x:c r="U29" s="46"/>
      <x:c r="V29" s="46"/>
      <x:c r="W29" s="46"/>
      <x:c r="X29" s="46"/>
    </x:row>
    <x:row r="30">
      <x:c r="A30" s="46"/>
      <x:c r="B30" s="46"/>
      <x:c r="C30" s="46"/>
      <x:c r="D30" s="46"/>
      <x:c r="E30" s="46"/>
      <x:c r="F30" s="46"/>
      <x:c r="G30" s="46"/>
      <x:c r="H30" s="46"/>
      <x:c r="I30" s="46"/>
      <x:c r="J30" s="46"/>
      <x:c r="K30" s="46"/>
      <x:c r="L30" s="46"/>
      <x:c r="M30" s="46"/>
      <x:c r="N30" s="46"/>
      <x:c r="O30" s="46"/>
      <x:c r="P30" s="46"/>
      <x:c r="Q30" s="46"/>
      <x:c r="R30" s="46"/>
      <x:c r="S30" s="46"/>
      <x:c r="T30" s="46"/>
      <x:c r="U30" s="46"/>
      <x:c r="V30" s="46"/>
      <x:c r="W30" s="46"/>
      <x:c r="X30" s="46"/>
    </x:row>
    <x:row r="31">
      <x:c r="A31" s="50" t="str">
        <x:v>Important: the final two mislabeled −Z records in the 10:44 log are NOT part of the selected dataset. They are preserved in the Excluded Superseded sheet.</x:v>
      </x:c>
      <x:c r="B31" s="50"/>
      <x:c r="C31" s="50"/>
      <x:c r="D31" s="50"/>
      <x:c r="E31" s="50"/>
      <x:c r="F31" s="50"/>
      <x:c r="G31" s="50"/>
      <x:c r="H31" s="50"/>
      <x:c r="I31" s="46"/>
      <x:c r="J31" s="46"/>
      <x:c r="K31" s="46"/>
      <x:c r="L31" s="46"/>
      <x:c r="M31" s="46"/>
      <x:c r="N31" s="46"/>
      <x:c r="O31" s="46"/>
      <x:c r="P31" s="46"/>
      <x:c r="Q31" s="46"/>
      <x:c r="R31" s="46"/>
      <x:c r="S31" s="46"/>
      <x:c r="T31" s="46"/>
      <x:c r="U31" s="46"/>
      <x:c r="V31" s="46"/>
      <x:c r="W31" s="46"/>
      <x:c r="X31" s="46"/>
    </x:row>
    <x:row r="32">
      <x:c r="A32" s="46"/>
      <x:c r="B32" s="46"/>
      <x:c r="C32" s="46"/>
      <x:c r="D32" s="46"/>
      <x:c r="E32" s="46"/>
      <x:c r="F32" s="46"/>
      <x:c r="G32" s="46"/>
      <x:c r="H32" s="46"/>
      <x:c r="I32" s="46"/>
      <x:c r="J32" s="46"/>
      <x:c r="K32" s="46"/>
      <x:c r="L32" s="46"/>
      <x:c r="M32" s="46"/>
      <x:c r="N32" s="46"/>
      <x:c r="O32" s="46"/>
      <x:c r="P32" s="46"/>
      <x:c r="Q32" s="46"/>
      <x:c r="R32" s="46"/>
      <x:c r="S32" s="46"/>
      <x:c r="T32" s="46"/>
      <x:c r="U32" s="46"/>
      <x:c r="V32" s="46"/>
      <x:c r="W32" s="46"/>
      <x:c r="X32" s="46"/>
    </x:row>
    <x:row r="33">
      <x:c r="A33" s="46"/>
      <x:c r="B33" s="46"/>
      <x:c r="C33" s="46"/>
      <x:c r="D33" s="46"/>
      <x:c r="E33" s="46"/>
      <x:c r="F33" s="46"/>
      <x:c r="G33" s="46"/>
      <x:c r="H33" s="46"/>
      <x:c r="I33" s="46"/>
      <x:c r="J33" s="46"/>
      <x:c r="K33" s="46"/>
      <x:c r="L33" s="46"/>
      <x:c r="M33" s="46"/>
      <x:c r="N33" s="46"/>
      <x:c r="O33" s="46"/>
      <x:c r="P33" s="46"/>
      <x:c r="Q33" s="46"/>
      <x:c r="R33" s="46"/>
      <x:c r="S33" s="46"/>
      <x:c r="T33" s="46"/>
      <x:c r="U33" s="46"/>
      <x:c r="V33" s="46"/>
      <x:c r="W33" s="46"/>
      <x:c r="X33" s="46"/>
    </x:row>
    <x:row r="34">
      <x:c r="A34" s="46"/>
      <x:c r="B34" s="46"/>
      <x:c r="C34" s="46"/>
      <x:c r="D34" s="46"/>
      <x:c r="E34" s="46"/>
      <x:c r="F34" s="46"/>
      <x:c r="G34" s="46"/>
      <x:c r="H34" s="46"/>
      <x:c r="I34" s="46"/>
      <x:c r="J34" s="46"/>
      <x:c r="K34" s="46"/>
      <x:c r="L34" s="46"/>
      <x:c r="M34" s="46"/>
      <x:c r="N34" s="46"/>
      <x:c r="O34" s="46"/>
      <x:c r="P34" s="46"/>
      <x:c r="Q34" s="46"/>
      <x:c r="R34" s="46"/>
      <x:c r="S34" s="46"/>
      <x:c r="T34" s="46"/>
      <x:c r="U34" s="46"/>
      <x:c r="V34" s="46"/>
      <x:c r="W34" s="46"/>
      <x:c r="X34" s="46"/>
    </x:row>
    <x:row r="35">
      <x:c r="A35" s="46"/>
      <x:c r="B35" s="46"/>
      <x:c r="C35" s="46"/>
      <x:c r="D35" s="46"/>
      <x:c r="E35" s="46"/>
      <x:c r="F35" s="46"/>
      <x:c r="G35" s="46"/>
      <x:c r="H35" s="46"/>
      <x:c r="I35" s="46"/>
      <x:c r="J35" s="46"/>
      <x:c r="K35" s="46"/>
      <x:c r="L35" s="46"/>
      <x:c r="M35" s="46"/>
      <x:c r="N35" s="46"/>
      <x:c r="O35" s="46"/>
      <x:c r="P35" s="46"/>
      <x:c r="Q35" s="46"/>
      <x:c r="R35" s="46"/>
      <x:c r="S35" s="46"/>
      <x:c r="T35" s="46"/>
      <x:c r="U35" s="46"/>
      <x:c r="V35" s="46"/>
      <x:c r="W35" s="46"/>
      <x:c r="X35" s="46"/>
    </x:row>
    <x:row r="36">
      <x:c r="A36" s="46"/>
      <x:c r="B36" s="46"/>
      <x:c r="C36" s="46"/>
      <x:c r="D36" s="46"/>
      <x:c r="E36" s="46"/>
      <x:c r="F36" s="46"/>
      <x:c r="G36" s="46"/>
      <x:c r="H36" s="46"/>
      <x:c r="I36" s="46"/>
      <x:c r="J36" s="46"/>
      <x:c r="K36" s="46"/>
      <x:c r="L36" s="46"/>
      <x:c r="M36" s="46"/>
      <x:c r="N36" s="46"/>
      <x:c r="O36" s="46"/>
      <x:c r="P36" s="46"/>
      <x:c r="Q36" s="46"/>
      <x:c r="R36" s="46"/>
      <x:c r="S36" s="46"/>
      <x:c r="T36" s="46"/>
      <x:c r="U36" s="46"/>
      <x:c r="V36" s="46"/>
      <x:c r="W36" s="46"/>
      <x:c r="X36" s="46"/>
    </x:row>
    <x:row r="37">
      <x:c r="A37" s="46"/>
      <x:c r="B37" s="46"/>
      <x:c r="C37" s="46"/>
      <x:c r="D37" s="46"/>
      <x:c r="E37" s="46"/>
      <x:c r="F37" s="46"/>
      <x:c r="G37" s="46"/>
      <x:c r="H37" s="46"/>
      <x:c r="I37" s="46"/>
      <x:c r="J37" s="46"/>
      <x:c r="K37" s="46"/>
      <x:c r="L37" s="46"/>
      <x:c r="M37" s="46"/>
      <x:c r="N37" s="46"/>
      <x:c r="O37" s="46"/>
      <x:c r="P37" s="46"/>
      <x:c r="Q37" s="46"/>
      <x:c r="R37" s="46"/>
      <x:c r="S37" s="46"/>
      <x:c r="T37" s="46"/>
      <x:c r="U37" s="46"/>
      <x:c r="V37" s="46"/>
      <x:c r="W37" s="46"/>
      <x:c r="X37" s="46"/>
    </x:row>
    <x:row r="38">
      <x:c r="A38" s="46"/>
      <x:c r="B38" s="46"/>
      <x:c r="C38" s="46"/>
      <x:c r="D38" s="46"/>
      <x:c r="E38" s="46"/>
      <x:c r="F38" s="46"/>
      <x:c r="G38" s="46"/>
      <x:c r="H38" s="46"/>
      <x:c r="I38" s="46"/>
      <x:c r="J38" s="46"/>
      <x:c r="K38" s="46"/>
      <x:c r="L38" s="46"/>
      <x:c r="M38" s="46"/>
      <x:c r="N38" s="46"/>
      <x:c r="O38" s="46"/>
      <x:c r="P38" s="46"/>
      <x:c r="Q38" s="46"/>
      <x:c r="R38" s="46"/>
      <x:c r="S38" s="46"/>
      <x:c r="T38" s="46"/>
      <x:c r="U38" s="46"/>
      <x:c r="V38" s="46"/>
      <x:c r="W38" s="46"/>
      <x:c r="X38" s="46"/>
    </x:row>
    <x:row r="39">
      <x:c r="A39" s="46"/>
      <x:c r="B39" s="46"/>
      <x:c r="C39" s="46"/>
      <x:c r="D39" s="46"/>
      <x:c r="E39" s="46"/>
      <x:c r="F39" s="46"/>
      <x:c r="G39" s="46"/>
      <x:c r="H39" s="46"/>
      <x:c r="I39" s="46"/>
      <x:c r="J39" s="46"/>
      <x:c r="K39" s="46"/>
      <x:c r="L39" s="46"/>
      <x:c r="M39" s="46"/>
      <x:c r="N39" s="46"/>
      <x:c r="O39" s="46"/>
      <x:c r="P39" s="46"/>
      <x:c r="Q39" s="46"/>
      <x:c r="R39" s="46"/>
      <x:c r="S39" s="46"/>
      <x:c r="T39" s="46"/>
      <x:c r="U39" s="46"/>
      <x:c r="V39" s="46"/>
      <x:c r="W39" s="46"/>
      <x:c r="X39" s="46"/>
    </x:row>
    <x:row r="40">
      <x:c r="A40" s="46"/>
      <x:c r="B40" s="46"/>
      <x:c r="C40" s="46"/>
      <x:c r="D40" s="46"/>
      <x:c r="E40" s="46"/>
      <x:c r="F40" s="46"/>
      <x:c r="G40" s="46"/>
      <x:c r="H40" s="46"/>
      <x:c r="I40" s="46"/>
      <x:c r="J40" s="46"/>
      <x:c r="K40" s="46"/>
      <x:c r="L40" s="46"/>
      <x:c r="M40" s="46"/>
      <x:c r="N40" s="46"/>
      <x:c r="O40" s="46"/>
      <x:c r="P40" s="46"/>
      <x:c r="Q40" s="46"/>
      <x:c r="R40" s="46"/>
      <x:c r="S40" s="46"/>
      <x:c r="T40" s="46"/>
      <x:c r="U40" s="46"/>
      <x:c r="V40" s="46"/>
      <x:c r="W40" s="46"/>
      <x:c r="X40" s="46"/>
    </x:row>
    <x:row r="41">
      <x:c r="A41" s="46"/>
      <x:c r="B41" s="46"/>
      <x:c r="C41" s="46"/>
      <x:c r="D41" s="46"/>
      <x:c r="E41" s="46"/>
      <x:c r="F41" s="46"/>
      <x:c r="G41" s="46"/>
      <x:c r="H41" s="46"/>
      <x:c r="I41" s="46"/>
      <x:c r="J41" s="46"/>
      <x:c r="K41" s="46"/>
      <x:c r="L41" s="46"/>
      <x:c r="M41" s="46"/>
      <x:c r="N41" s="46"/>
      <x:c r="O41" s="46"/>
      <x:c r="P41" s="46"/>
      <x:c r="Q41" s="46"/>
      <x:c r="R41" s="46"/>
      <x:c r="S41" s="46"/>
      <x:c r="T41" s="46"/>
      <x:c r="U41" s="46"/>
      <x:c r="V41" s="46"/>
      <x:c r="W41" s="46"/>
      <x:c r="X41" s="46"/>
    </x:row>
    <x:row r="42">
      <x:c r="A42" s="46"/>
      <x:c r="B42" s="46"/>
      <x:c r="C42" s="46"/>
      <x:c r="D42" s="46"/>
      <x:c r="E42" s="46"/>
      <x:c r="F42" s="46"/>
      <x:c r="G42" s="46"/>
      <x:c r="H42" s="46"/>
      <x:c r="I42" s="46"/>
      <x:c r="J42" s="46"/>
      <x:c r="K42" s="46"/>
      <x:c r="L42" s="46"/>
      <x:c r="M42" s="46"/>
      <x:c r="N42" s="46"/>
      <x:c r="O42" s="46"/>
      <x:c r="P42" s="46"/>
      <x:c r="Q42" s="46"/>
      <x:c r="R42" s="46"/>
      <x:c r="S42" s="46"/>
      <x:c r="T42" s="46"/>
      <x:c r="U42" s="46"/>
      <x:c r="V42" s="46"/>
      <x:c r="W42" s="46"/>
      <x:c r="X42" s="46"/>
    </x:row>
    <x:row r="43">
      <x:c r="A43" s="46"/>
      <x:c r="B43" s="46"/>
      <x:c r="C43" s="46"/>
      <x:c r="D43" s="46"/>
      <x:c r="E43" s="46"/>
      <x:c r="F43" s="46"/>
      <x:c r="G43" s="46"/>
      <x:c r="H43" s="46"/>
      <x:c r="I43" s="46"/>
      <x:c r="J43" s="46"/>
      <x:c r="K43" s="46"/>
      <x:c r="L43" s="46"/>
      <x:c r="M43" s="46"/>
      <x:c r="N43" s="46"/>
      <x:c r="O43" s="46"/>
      <x:c r="P43" s="46"/>
      <x:c r="Q43" s="46"/>
      <x:c r="R43" s="46"/>
      <x:c r="S43" s="46"/>
      <x:c r="T43" s="46"/>
      <x:c r="U43" s="46"/>
      <x:c r="V43" s="46"/>
      <x:c r="W43" s="46"/>
      <x:c r="X43" s="46"/>
    </x:row>
    <x:row r="44">
      <x:c r="A44" s="46"/>
      <x:c r="B44" s="46"/>
      <x:c r="C44" s="46"/>
      <x:c r="D44" s="46"/>
      <x:c r="E44" s="46"/>
      <x:c r="F44" s="46"/>
      <x:c r="G44" s="46"/>
      <x:c r="H44" s="46"/>
      <x:c r="I44" s="46"/>
      <x:c r="J44" s="46"/>
      <x:c r="K44" s="46"/>
      <x:c r="L44" s="46"/>
      <x:c r="M44" s="46"/>
      <x:c r="N44" s="46"/>
      <x:c r="O44" s="46"/>
      <x:c r="P44" s="46"/>
      <x:c r="Q44" s="46"/>
      <x:c r="R44" s="46"/>
      <x:c r="S44" s="46"/>
      <x:c r="T44" s="46"/>
      <x:c r="U44" s="46"/>
      <x:c r="V44" s="46"/>
      <x:c r="W44" s="46"/>
      <x:c r="X44" s="46"/>
    </x:row>
    <x:row r="45">
      <x:c r="A45" s="46"/>
      <x:c r="B45" s="46"/>
      <x:c r="C45" s="46"/>
      <x:c r="D45" s="46"/>
      <x:c r="E45" s="46"/>
      <x:c r="F45" s="46"/>
      <x:c r="G45" s="46"/>
      <x:c r="H45" s="46"/>
      <x:c r="I45" s="46"/>
      <x:c r="J45" s="46"/>
      <x:c r="K45" s="46"/>
      <x:c r="L45" s="46"/>
      <x:c r="M45" s="46"/>
      <x:c r="N45" s="46"/>
      <x:c r="O45" s="46"/>
      <x:c r="P45" s="46"/>
      <x:c r="Q45" s="46"/>
      <x:c r="R45" s="46"/>
      <x:c r="S45" s="46"/>
      <x:c r="T45" s="46"/>
      <x:c r="U45" s="46"/>
      <x:c r="V45" s="46"/>
      <x:c r="W45" s="46"/>
      <x:c r="X45" s="46"/>
    </x:row>
    <x:row r="46">
      <x:c r="A46" s="46"/>
      <x:c r="B46" s="46"/>
      <x:c r="C46" s="46"/>
      <x:c r="D46" s="46"/>
      <x:c r="E46" s="46"/>
      <x:c r="F46" s="46"/>
      <x:c r="G46" s="46"/>
      <x:c r="H46" s="46"/>
      <x:c r="I46" s="46"/>
      <x:c r="J46" s="46"/>
      <x:c r="K46" s="46"/>
      <x:c r="L46" s="46"/>
      <x:c r="M46" s="46"/>
      <x:c r="N46" s="46"/>
      <x:c r="O46" s="46"/>
      <x:c r="P46" s="46"/>
      <x:c r="Q46" s="46"/>
      <x:c r="R46" s="46"/>
      <x:c r="S46" s="46"/>
      <x:c r="T46" s="46"/>
      <x:c r="U46" s="46"/>
      <x:c r="V46" s="46"/>
      <x:c r="W46" s="46"/>
      <x:c r="X46" s="46"/>
    </x:row>
    <x:row r="47">
      <x:c r="A47" s="46"/>
      <x:c r="B47" s="46"/>
      <x:c r="C47" s="46"/>
      <x:c r="D47" s="46"/>
      <x:c r="E47" s="46"/>
      <x:c r="F47" s="46"/>
      <x:c r="G47" s="46"/>
      <x:c r="H47" s="46"/>
      <x:c r="I47" s="46"/>
      <x:c r="J47" s="46"/>
      <x:c r="K47" s="46"/>
      <x:c r="L47" s="46"/>
      <x:c r="M47" s="46"/>
      <x:c r="N47" s="46"/>
      <x:c r="O47" s="46"/>
      <x:c r="P47" s="46"/>
      <x:c r="Q47" s="46"/>
      <x:c r="R47" s="46"/>
      <x:c r="S47" s="46"/>
      <x:c r="T47" s="46"/>
      <x:c r="U47" s="46"/>
      <x:c r="V47" s="46"/>
      <x:c r="W47" s="46"/>
      <x:c r="X47" s="46"/>
    </x:row>
    <x:row r="48">
      <x:c r="A48" s="46"/>
      <x:c r="B48" s="46"/>
      <x:c r="C48" s="46"/>
      <x:c r="D48" s="46"/>
      <x:c r="E48" s="46"/>
      <x:c r="F48" s="46"/>
      <x:c r="G48" s="46"/>
      <x:c r="H48" s="46"/>
      <x:c r="I48" s="46"/>
      <x:c r="J48" s="46"/>
      <x:c r="K48" s="46"/>
      <x:c r="L48" s="46"/>
      <x:c r="M48" s="46"/>
      <x:c r="N48" s="46"/>
      <x:c r="O48" s="46"/>
      <x:c r="P48" s="46"/>
      <x:c r="Q48" s="46"/>
      <x:c r="R48" s="46"/>
      <x:c r="S48" s="46"/>
      <x:c r="T48" s="46"/>
      <x:c r="U48" s="46"/>
      <x:c r="V48" s="46"/>
      <x:c r="W48" s="46"/>
      <x:c r="X48" s="46"/>
    </x:row>
    <x:row r="49">
      <x:c r="A49" s="46"/>
      <x:c r="B49" s="46"/>
      <x:c r="C49" s="46"/>
      <x:c r="D49" s="46"/>
      <x:c r="E49" s="46"/>
      <x:c r="F49" s="46"/>
      <x:c r="G49" s="46"/>
      <x:c r="H49" s="46"/>
      <x:c r="I49" s="46"/>
      <x:c r="J49" s="46"/>
      <x:c r="K49" s="46"/>
      <x:c r="L49" s="46"/>
      <x:c r="M49" s="46"/>
      <x:c r="N49" s="46"/>
      <x:c r="O49" s="46"/>
      <x:c r="P49" s="46"/>
      <x:c r="Q49" s="46"/>
      <x:c r="R49" s="46"/>
      <x:c r="S49" s="46"/>
      <x:c r="T49" s="46"/>
      <x:c r="U49" s="46"/>
      <x:c r="V49" s="46"/>
      <x:c r="W49" s="46"/>
      <x:c r="X49" s="46"/>
    </x:row>
    <x:row r="50">
      <x:c r="A50" s="46"/>
      <x:c r="B50" s="46"/>
      <x:c r="C50" s="46"/>
      <x:c r="D50" s="46"/>
      <x:c r="E50" s="46"/>
      <x:c r="F50" s="46"/>
      <x:c r="G50" s="46"/>
      <x:c r="H50" s="46"/>
      <x:c r="I50" s="46"/>
      <x:c r="J50" s="46"/>
      <x:c r="K50" s="46"/>
      <x:c r="L50" s="46"/>
      <x:c r="M50" s="46"/>
      <x:c r="N50" s="46"/>
      <x:c r="O50" s="46"/>
      <x:c r="P50" s="46"/>
      <x:c r="Q50" s="46"/>
      <x:c r="R50" s="46"/>
      <x:c r="S50" s="46"/>
      <x:c r="T50" s="46"/>
      <x:c r="U50" s="46"/>
      <x:c r="V50" s="46"/>
      <x:c r="W50" s="46"/>
      <x:c r="X50" s="46"/>
    </x:row>
    <x:row r="51">
      <x:c r="A51" s="46"/>
      <x:c r="B51" s="46"/>
      <x:c r="C51" s="46"/>
      <x:c r="D51" s="46"/>
      <x:c r="E51" s="46"/>
      <x:c r="F51" s="46"/>
      <x:c r="G51" s="46"/>
      <x:c r="H51" s="46"/>
      <x:c r="I51" s="46"/>
      <x:c r="J51" s="46"/>
      <x:c r="K51" s="46"/>
      <x:c r="L51" s="46"/>
      <x:c r="M51" s="46"/>
      <x:c r="N51" s="46"/>
      <x:c r="O51" s="46"/>
      <x:c r="P51" s="46"/>
      <x:c r="Q51" s="46"/>
      <x:c r="R51" s="46"/>
      <x:c r="S51" s="46"/>
      <x:c r="T51" s="46"/>
      <x:c r="U51" s="46"/>
      <x:c r="V51" s="46"/>
      <x:c r="W51" s="46"/>
      <x:c r="X51" s="46"/>
    </x:row>
    <x:row r="52">
      <x:c r="A52" s="46"/>
      <x:c r="B52" s="46"/>
      <x:c r="C52" s="46"/>
      <x:c r="D52" s="46"/>
      <x:c r="E52" s="46"/>
      <x:c r="F52" s="46"/>
      <x:c r="G52" s="46"/>
      <x:c r="H52" s="46"/>
      <x:c r="I52" s="46"/>
      <x:c r="J52" s="46"/>
      <x:c r="K52" s="46"/>
      <x:c r="L52" s="46"/>
      <x:c r="M52" s="46"/>
      <x:c r="N52" s="46"/>
      <x:c r="O52" s="46"/>
      <x:c r="P52" s="46"/>
      <x:c r="Q52" s="46"/>
      <x:c r="R52" s="46"/>
      <x:c r="S52" s="46"/>
      <x:c r="T52" s="46"/>
      <x:c r="U52" s="46"/>
      <x:c r="V52" s="46"/>
      <x:c r="W52" s="46"/>
      <x:c r="X52" s="46"/>
    </x:row>
    <x:row r="53">
      <x:c r="A53" s="46"/>
      <x:c r="B53" s="46"/>
      <x:c r="C53" s="46"/>
      <x:c r="D53" s="46"/>
      <x:c r="E53" s="46"/>
      <x:c r="F53" s="46"/>
      <x:c r="G53" s="46"/>
      <x:c r="H53" s="46"/>
      <x:c r="I53" s="46"/>
      <x:c r="J53" s="46"/>
      <x:c r="K53" s="46"/>
      <x:c r="L53" s="46"/>
      <x:c r="M53" s="46"/>
      <x:c r="N53" s="46"/>
      <x:c r="O53" s="46"/>
      <x:c r="P53" s="46"/>
      <x:c r="Q53" s="46"/>
      <x:c r="R53" s="46"/>
      <x:c r="S53" s="46"/>
      <x:c r="T53" s="46"/>
      <x:c r="U53" s="46"/>
      <x:c r="V53" s="46"/>
      <x:c r="W53" s="46"/>
      <x:c r="X53" s="46"/>
    </x:row>
    <x:row r="54">
      <x:c r="A54" s="46"/>
      <x:c r="B54" s="46"/>
      <x:c r="C54" s="46"/>
      <x:c r="D54" s="46"/>
      <x:c r="E54" s="46"/>
      <x:c r="F54" s="46"/>
      <x:c r="G54" s="46"/>
      <x:c r="H54" s="46"/>
      <x:c r="I54" s="46"/>
      <x:c r="J54" s="46"/>
      <x:c r="K54" s="46"/>
      <x:c r="L54" s="46"/>
      <x:c r="M54" s="46"/>
      <x:c r="N54" s="46"/>
      <x:c r="O54" s="46"/>
      <x:c r="P54" s="46"/>
      <x:c r="Q54" s="46"/>
      <x:c r="R54" s="46"/>
      <x:c r="S54" s="46"/>
      <x:c r="T54" s="46"/>
      <x:c r="U54" s="46"/>
      <x:c r="V54" s="46"/>
      <x:c r="W54" s="46"/>
      <x:c r="X54" s="46"/>
    </x:row>
    <x:row r="55">
      <x:c r="A55" s="46"/>
      <x:c r="B55" s="46"/>
      <x:c r="C55" s="46"/>
      <x:c r="D55" s="46"/>
      <x:c r="E55" s="46"/>
      <x:c r="F55" s="46"/>
      <x:c r="G55" s="46"/>
      <x:c r="H55" s="46"/>
      <x:c r="I55" s="46"/>
      <x:c r="J55" s="46"/>
      <x:c r="K55" s="46"/>
      <x:c r="L55" s="46"/>
      <x:c r="M55" s="46"/>
      <x:c r="N55" s="46"/>
      <x:c r="O55" s="46"/>
      <x:c r="P55" s="46"/>
      <x:c r="Q55" s="46"/>
      <x:c r="R55" s="46"/>
      <x:c r="S55" s="46"/>
      <x:c r="T55" s="46"/>
      <x:c r="U55" s="46"/>
      <x:c r="V55" s="46"/>
      <x:c r="W55" s="46"/>
      <x:c r="X55" s="46"/>
    </x:row>
    <x:row r="56">
      <x:c r="A56" s="46"/>
      <x:c r="B56" s="46"/>
      <x:c r="C56" s="46"/>
      <x:c r="D56" s="46"/>
      <x:c r="E56" s="46"/>
      <x:c r="F56" s="46"/>
      <x:c r="G56" s="46"/>
      <x:c r="H56" s="46"/>
      <x:c r="I56" s="46"/>
      <x:c r="J56" s="46"/>
      <x:c r="K56" s="46"/>
      <x:c r="L56" s="46"/>
      <x:c r="M56" s="46"/>
      <x:c r="N56" s="46"/>
      <x:c r="O56" s="46"/>
      <x:c r="P56" s="46"/>
      <x:c r="Q56" s="46"/>
      <x:c r="R56" s="46"/>
      <x:c r="S56" s="46"/>
      <x:c r="T56" s="46"/>
      <x:c r="U56" s="46"/>
      <x:c r="V56" s="46"/>
      <x:c r="W56" s="46"/>
      <x:c r="X56" s="46"/>
    </x:row>
    <x:row r="57">
      <x:c r="A57" s="46"/>
      <x:c r="B57" s="46"/>
      <x:c r="C57" s="46"/>
      <x:c r="D57" s="46"/>
      <x:c r="E57" s="46"/>
      <x:c r="F57" s="46"/>
      <x:c r="G57" s="46"/>
      <x:c r="H57" s="46"/>
      <x:c r="I57" s="46"/>
      <x:c r="J57" s="46"/>
      <x:c r="K57" s="46"/>
      <x:c r="L57" s="46"/>
      <x:c r="M57" s="46"/>
      <x:c r="N57" s="46"/>
      <x:c r="O57" s="46"/>
      <x:c r="P57" s="46"/>
      <x:c r="Q57" s="46"/>
      <x:c r="R57" s="46"/>
      <x:c r="S57" s="46"/>
      <x:c r="T57" s="46"/>
      <x:c r="U57" s="46"/>
      <x:c r="V57" s="46"/>
      <x:c r="W57" s="46"/>
      <x:c r="X57" s="46"/>
    </x:row>
    <x:row r="58">
      <x:c r="A58" s="46"/>
      <x:c r="B58" s="46"/>
      <x:c r="C58" s="46"/>
      <x:c r="D58" s="46"/>
      <x:c r="E58" s="46"/>
      <x:c r="F58" s="46"/>
      <x:c r="G58" s="46"/>
      <x:c r="H58" s="46"/>
      <x:c r="I58" s="46"/>
      <x:c r="J58" s="46"/>
      <x:c r="K58" s="46"/>
      <x:c r="L58" s="46"/>
      <x:c r="M58" s="46"/>
      <x:c r="N58" s="46"/>
      <x:c r="O58" s="46"/>
      <x:c r="P58" s="46"/>
      <x:c r="Q58" s="46"/>
      <x:c r="R58" s="46"/>
      <x:c r="S58" s="46"/>
      <x:c r="T58" s="46"/>
      <x:c r="U58" s="46"/>
      <x:c r="V58" s="46"/>
      <x:c r="W58" s="46"/>
      <x:c r="X58" s="46"/>
    </x:row>
    <x:row r="59">
      <x:c r="A59" s="46"/>
      <x:c r="B59" s="46"/>
      <x:c r="C59" s="46"/>
      <x:c r="D59" s="46"/>
      <x:c r="E59" s="46"/>
      <x:c r="F59" s="46"/>
      <x:c r="G59" s="46"/>
      <x:c r="H59" s="46"/>
      <x:c r="I59" s="46"/>
      <x:c r="J59" s="46"/>
      <x:c r="K59" s="46"/>
      <x:c r="L59" s="46"/>
      <x:c r="M59" s="46"/>
      <x:c r="N59" s="46"/>
      <x:c r="O59" s="46"/>
      <x:c r="P59" s="46"/>
      <x:c r="Q59" s="46"/>
      <x:c r="R59" s="46"/>
      <x:c r="S59" s="46"/>
      <x:c r="T59" s="46"/>
      <x:c r="U59" s="46"/>
      <x:c r="V59" s="46"/>
      <x:c r="W59" s="46"/>
      <x:c r="X59" s="46"/>
    </x:row>
    <x:row r="60">
      <x:c r="A60" s="46"/>
      <x:c r="B60" s="46"/>
      <x:c r="C60" s="46"/>
      <x:c r="D60" s="46"/>
      <x:c r="E60" s="46"/>
      <x:c r="F60" s="46"/>
      <x:c r="G60" s="46"/>
      <x:c r="H60" s="46"/>
      <x:c r="I60" s="46"/>
      <x:c r="J60" s="46"/>
      <x:c r="K60" s="46"/>
      <x:c r="L60" s="46"/>
      <x:c r="M60" s="46"/>
      <x:c r="N60" s="46"/>
      <x:c r="O60" s="46"/>
      <x:c r="P60" s="46"/>
      <x:c r="Q60" s="46"/>
      <x:c r="R60" s="46"/>
      <x:c r="S60" s="46"/>
      <x:c r="T60" s="46"/>
      <x:c r="U60" s="46"/>
      <x:c r="V60" s="46"/>
      <x:c r="W60" s="46"/>
      <x:c r="X60" s="46"/>
    </x:row>
    <x:row r="61">
      <x:c r="A61" s="46"/>
      <x:c r="B61" s="46"/>
      <x:c r="C61" s="46"/>
      <x:c r="D61" s="46"/>
      <x:c r="E61" s="46"/>
      <x:c r="F61" s="46"/>
      <x:c r="G61" s="46"/>
      <x:c r="H61" s="46"/>
      <x:c r="I61" s="46"/>
      <x:c r="J61" s="46"/>
      <x:c r="K61" s="46"/>
      <x:c r="L61" s="46"/>
      <x:c r="M61" s="46"/>
      <x:c r="N61" s="46"/>
      <x:c r="O61" s="46"/>
      <x:c r="P61" s="46"/>
      <x:c r="Q61" s="46"/>
      <x:c r="R61" s="46"/>
      <x:c r="S61" s="46"/>
      <x:c r="T61" s="46"/>
      <x:c r="U61" s="46"/>
      <x:c r="V61" s="46"/>
      <x:c r="W61" s="46"/>
      <x:c r="X61" s="46"/>
    </x:row>
    <x:row r="62">
      <x:c r="A62" s="46"/>
      <x:c r="B62" s="46"/>
      <x:c r="C62" s="46"/>
      <x:c r="D62" s="46"/>
      <x:c r="E62" s="46"/>
      <x:c r="F62" s="46"/>
      <x:c r="G62" s="46"/>
      <x:c r="H62" s="46"/>
      <x:c r="I62" s="46"/>
      <x:c r="J62" s="46"/>
      <x:c r="K62" s="46"/>
      <x:c r="L62" s="46"/>
      <x:c r="M62" s="46"/>
      <x:c r="N62" s="46"/>
      <x:c r="O62" s="46"/>
      <x:c r="P62" s="46"/>
      <x:c r="Q62" s="46"/>
      <x:c r="R62" s="46"/>
      <x:c r="S62" s="46"/>
      <x:c r="T62" s="46"/>
      <x:c r="U62" s="46"/>
      <x:c r="V62" s="46"/>
      <x:c r="W62" s="46"/>
      <x:c r="X62" s="46"/>
    </x:row>
    <x:row r="63">
      <x:c r="A63" s="46"/>
      <x:c r="B63" s="46"/>
      <x:c r="C63" s="46"/>
      <x:c r="D63" s="46"/>
      <x:c r="E63" s="46"/>
      <x:c r="F63" s="46"/>
      <x:c r="G63" s="46"/>
      <x:c r="H63" s="46"/>
      <x:c r="I63" s="46"/>
      <x:c r="J63" s="46"/>
      <x:c r="K63" s="46"/>
      <x:c r="L63" s="46"/>
      <x:c r="M63" s="46"/>
      <x:c r="N63" s="46"/>
      <x:c r="O63" s="46"/>
      <x:c r="P63" s="46"/>
      <x:c r="Q63" s="46"/>
      <x:c r="R63" s="46"/>
      <x:c r="S63" s="46"/>
      <x:c r="T63" s="46"/>
      <x:c r="U63" s="46"/>
      <x:c r="V63" s="46"/>
      <x:c r="W63" s="46"/>
      <x:c r="X63" s="46"/>
    </x:row>
    <x:row r="64">
      <x:c r="A64" s="46"/>
      <x:c r="B64" s="46"/>
      <x:c r="C64" s="46"/>
      <x:c r="D64" s="46"/>
      <x:c r="E64" s="46"/>
      <x:c r="F64" s="46"/>
      <x:c r="G64" s="46"/>
      <x:c r="H64" s="46"/>
      <x:c r="I64" s="46"/>
      <x:c r="J64" s="46"/>
      <x:c r="K64" s="46"/>
      <x:c r="L64" s="46"/>
      <x:c r="M64" s="46"/>
      <x:c r="N64" s="46"/>
      <x:c r="O64" s="46"/>
      <x:c r="P64" s="46"/>
      <x:c r="Q64" s="46"/>
      <x:c r="R64" s="46"/>
      <x:c r="S64" s="46"/>
      <x:c r="T64" s="46"/>
      <x:c r="U64" s="46"/>
      <x:c r="V64" s="46"/>
      <x:c r="W64" s="46"/>
      <x:c r="X64" s="46"/>
    </x:row>
    <x:row r="65">
      <x:c r="A65" s="46"/>
      <x:c r="B65" s="46"/>
      <x:c r="C65" s="46"/>
      <x:c r="D65" s="46"/>
      <x:c r="E65" s="46"/>
      <x:c r="F65" s="46"/>
      <x:c r="G65" s="46"/>
      <x:c r="H65" s="46"/>
      <x:c r="I65" s="46"/>
      <x:c r="J65" s="46"/>
      <x:c r="K65" s="46"/>
      <x:c r="L65" s="46"/>
      <x:c r="M65" s="46"/>
      <x:c r="N65" s="46"/>
      <x:c r="O65" s="46"/>
      <x:c r="P65" s="46"/>
      <x:c r="Q65" s="46"/>
      <x:c r="R65" s="46"/>
      <x:c r="S65" s="46"/>
      <x:c r="T65" s="46"/>
      <x:c r="U65" s="46"/>
      <x:c r="V65" s="46"/>
      <x:c r="W65" s="46"/>
      <x:c r="X65" s="46"/>
    </x:row>
    <x:row r="66">
      <x:c r="A66" s="46"/>
      <x:c r="B66" s="46"/>
      <x:c r="C66" s="46"/>
      <x:c r="D66" s="46"/>
      <x:c r="E66" s="46"/>
      <x:c r="F66" s="46"/>
      <x:c r="G66" s="46"/>
      <x:c r="H66" s="46"/>
      <x:c r="I66" s="46"/>
      <x:c r="J66" s="46"/>
      <x:c r="K66" s="46"/>
      <x:c r="L66" s="46"/>
      <x:c r="M66" s="46"/>
      <x:c r="N66" s="46"/>
      <x:c r="O66" s="46"/>
      <x:c r="P66" s="46"/>
      <x:c r="Q66" s="46"/>
      <x:c r="R66" s="46"/>
      <x:c r="S66" s="46"/>
      <x:c r="T66" s="46"/>
      <x:c r="U66" s="46"/>
      <x:c r="V66" s="46"/>
      <x:c r="W66" s="46"/>
      <x:c r="X66" s="46"/>
    </x:row>
    <x:row r="67">
      <x:c r="A67" s="46"/>
      <x:c r="B67" s="46"/>
      <x:c r="C67" s="46"/>
      <x:c r="D67" s="46"/>
      <x:c r="E67" s="46"/>
      <x:c r="F67" s="46"/>
      <x:c r="G67" s="46"/>
      <x:c r="H67" s="46"/>
      <x:c r="I67" s="46"/>
      <x:c r="J67" s="46"/>
      <x:c r="K67" s="46"/>
      <x:c r="L67" s="46"/>
      <x:c r="M67" s="46"/>
      <x:c r="N67" s="46"/>
      <x:c r="O67" s="46"/>
      <x:c r="P67" s="46"/>
      <x:c r="Q67" s="46"/>
      <x:c r="R67" s="46"/>
      <x:c r="S67" s="46"/>
      <x:c r="T67" s="46"/>
      <x:c r="U67" s="46"/>
      <x:c r="V67" s="46"/>
      <x:c r="W67" s="46"/>
      <x:c r="X67" s="46"/>
    </x:row>
    <x:row r="68">
      <x:c r="A68" s="46"/>
      <x:c r="B68" s="46"/>
      <x:c r="C68" s="46"/>
      <x:c r="D68" s="46"/>
      <x:c r="E68" s="46"/>
      <x:c r="F68" s="46"/>
      <x:c r="G68" s="46"/>
      <x:c r="H68" s="46"/>
      <x:c r="I68" s="46"/>
      <x:c r="J68" s="46"/>
      <x:c r="K68" s="46"/>
      <x:c r="L68" s="46"/>
      <x:c r="M68" s="46"/>
      <x:c r="N68" s="46"/>
      <x:c r="O68" s="46"/>
      <x:c r="P68" s="46"/>
      <x:c r="Q68" s="46"/>
      <x:c r="R68" s="46"/>
      <x:c r="S68" s="46"/>
      <x:c r="T68" s="46"/>
      <x:c r="U68" s="46"/>
      <x:c r="V68" s="46"/>
      <x:c r="W68" s="46"/>
      <x:c r="X68" s="46"/>
    </x:row>
    <x:row r="69">
      <x:c r="A69" s="46"/>
      <x:c r="B69" s="46"/>
      <x:c r="C69" s="46"/>
      <x:c r="D69" s="46"/>
      <x:c r="E69" s="46"/>
      <x:c r="F69" s="46"/>
      <x:c r="G69" s="46"/>
      <x:c r="H69" s="46"/>
      <x:c r="I69" s="46"/>
      <x:c r="J69" s="46"/>
      <x:c r="K69" s="46"/>
      <x:c r="L69" s="46"/>
      <x:c r="M69" s="46"/>
      <x:c r="N69" s="46"/>
      <x:c r="O69" s="46"/>
      <x:c r="P69" s="46"/>
      <x:c r="Q69" s="46"/>
      <x:c r="R69" s="46"/>
      <x:c r="S69" s="46"/>
      <x:c r="T69" s="46"/>
      <x:c r="U69" s="46"/>
      <x:c r="V69" s="46"/>
      <x:c r="W69" s="46"/>
      <x:c r="X69" s="46"/>
    </x:row>
    <x:row r="70">
      <x:c r="A70" s="46"/>
      <x:c r="B70" s="46"/>
      <x:c r="C70" s="46"/>
      <x:c r="D70" s="46"/>
      <x:c r="E70" s="46"/>
      <x:c r="F70" s="46"/>
      <x:c r="G70" s="46"/>
      <x:c r="H70" s="46"/>
      <x:c r="I70" s="46"/>
      <x:c r="J70" s="46"/>
      <x:c r="K70" s="46"/>
      <x:c r="L70" s="46"/>
      <x:c r="M70" s="46"/>
      <x:c r="N70" s="46"/>
      <x:c r="O70" s="46"/>
      <x:c r="P70" s="46"/>
      <x:c r="Q70" s="46"/>
      <x:c r="R70" s="46"/>
      <x:c r="S70" s="46"/>
      <x:c r="T70" s="46"/>
      <x:c r="U70" s="46"/>
      <x:c r="V70" s="46"/>
      <x:c r="W70" s="46"/>
      <x:c r="X70" s="46"/>
    </x:row>
    <x:row r="71">
      <x:c r="A71" s="46"/>
      <x:c r="B71" s="46"/>
      <x:c r="C71" s="46"/>
      <x:c r="D71" s="46"/>
      <x:c r="E71" s="46"/>
      <x:c r="F71" s="46"/>
      <x:c r="G71" s="46"/>
      <x:c r="H71" s="46"/>
      <x:c r="I71" s="46"/>
      <x:c r="J71" s="46"/>
      <x:c r="K71" s="46"/>
      <x:c r="L71" s="46"/>
      <x:c r="M71" s="46"/>
      <x:c r="N71" s="46"/>
      <x:c r="O71" s="46"/>
      <x:c r="P71" s="46"/>
      <x:c r="Q71" s="46"/>
      <x:c r="R71" s="46"/>
      <x:c r="S71" s="46"/>
      <x:c r="T71" s="46"/>
      <x:c r="U71" s="46"/>
      <x:c r="V71" s="46"/>
      <x:c r="W71" s="46"/>
      <x:c r="X71" s="46"/>
    </x:row>
    <x:row r="72">
      <x:c r="A72" s="46"/>
      <x:c r="B72" s="46"/>
      <x:c r="C72" s="46"/>
      <x:c r="D72" s="46"/>
      <x:c r="E72" s="46"/>
      <x:c r="F72" s="46"/>
      <x:c r="G72" s="46"/>
      <x:c r="H72" s="46"/>
      <x:c r="I72" s="46"/>
      <x:c r="J72" s="46"/>
      <x:c r="K72" s="46"/>
      <x:c r="L72" s="46"/>
      <x:c r="M72" s="46"/>
      <x:c r="N72" s="46"/>
      <x:c r="O72" s="46"/>
      <x:c r="P72" s="46"/>
      <x:c r="Q72" s="46"/>
      <x:c r="R72" s="46"/>
      <x:c r="S72" s="46"/>
      <x:c r="T72" s="46"/>
      <x:c r="U72" s="46"/>
      <x:c r="V72" s="46"/>
      <x:c r="W72" s="46"/>
      <x:c r="X72" s="46"/>
    </x:row>
    <x:row r="73">
      <x:c r="A73" s="46"/>
      <x:c r="B73" s="46"/>
      <x:c r="C73" s="46"/>
      <x:c r="D73" s="46"/>
      <x:c r="E73" s="46"/>
      <x:c r="F73" s="46"/>
      <x:c r="G73" s="46"/>
      <x:c r="H73" s="46"/>
      <x:c r="I73" s="46"/>
      <x:c r="J73" s="46"/>
      <x:c r="K73" s="46"/>
      <x:c r="L73" s="46"/>
      <x:c r="M73" s="46"/>
      <x:c r="N73" s="46"/>
      <x:c r="O73" s="46"/>
      <x:c r="P73" s="46"/>
      <x:c r="Q73" s="46"/>
      <x:c r="R73" s="46"/>
      <x:c r="S73" s="46"/>
      <x:c r="T73" s="46"/>
      <x:c r="U73" s="46"/>
      <x:c r="V73" s="46"/>
      <x:c r="W73" s="46"/>
      <x:c r="X73" s="46"/>
    </x:row>
    <x:row r="74">
      <x:c r="A74" s="46"/>
      <x:c r="B74" s="46"/>
      <x:c r="C74" s="46"/>
      <x:c r="D74" s="46"/>
      <x:c r="E74" s="46"/>
      <x:c r="F74" s="46"/>
      <x:c r="G74" s="46"/>
      <x:c r="H74" s="46"/>
      <x:c r="I74" s="46"/>
      <x:c r="J74" s="46"/>
      <x:c r="K74" s="46"/>
      <x:c r="L74" s="46"/>
      <x:c r="M74" s="46"/>
      <x:c r="N74" s="46"/>
      <x:c r="O74" s="46"/>
      <x:c r="P74" s="46"/>
      <x:c r="Q74" s="46"/>
      <x:c r="R74" s="46"/>
      <x:c r="S74" s="46"/>
      <x:c r="T74" s="46"/>
      <x:c r="U74" s="46"/>
      <x:c r="V74" s="46"/>
      <x:c r="W74" s="46"/>
      <x:c r="X74" s="46"/>
    </x:row>
    <x:row r="75">
      <x:c r="A75" s="46"/>
      <x:c r="B75" s="46"/>
      <x:c r="C75" s="46"/>
      <x:c r="D75" s="46"/>
      <x:c r="E75" s="46"/>
      <x:c r="F75" s="46"/>
      <x:c r="G75" s="46"/>
      <x:c r="H75" s="46"/>
      <x:c r="I75" s="46"/>
      <x:c r="J75" s="46"/>
      <x:c r="K75" s="46"/>
      <x:c r="L75" s="46"/>
      <x:c r="M75" s="46"/>
      <x:c r="N75" s="46"/>
      <x:c r="O75" s="46"/>
      <x:c r="P75" s="46"/>
      <x:c r="Q75" s="46"/>
      <x:c r="R75" s="46"/>
      <x:c r="S75" s="46"/>
      <x:c r="T75" s="46"/>
      <x:c r="U75" s="46"/>
      <x:c r="V75" s="46"/>
      <x:c r="W75" s="46"/>
      <x:c r="X75" s="46"/>
    </x:row>
    <x:row r="76">
      <x:c r="A76" s="46"/>
      <x:c r="B76" s="46"/>
      <x:c r="C76" s="46"/>
      <x:c r="D76" s="46"/>
      <x:c r="E76" s="46"/>
      <x:c r="F76" s="46"/>
      <x:c r="G76" s="46"/>
      <x:c r="H76" s="46"/>
      <x:c r="I76" s="46"/>
      <x:c r="J76" s="46"/>
      <x:c r="K76" s="46"/>
      <x:c r="L76" s="46"/>
      <x:c r="M76" s="46"/>
      <x:c r="N76" s="46"/>
      <x:c r="O76" s="46"/>
      <x:c r="P76" s="46"/>
      <x:c r="Q76" s="46"/>
      <x:c r="R76" s="46"/>
      <x:c r="S76" s="46"/>
      <x:c r="T76" s="46"/>
      <x:c r="U76" s="46"/>
      <x:c r="V76" s="46"/>
      <x:c r="W76" s="46"/>
      <x:c r="X76" s="46"/>
    </x:row>
    <x:row r="77">
      <x:c r="A77" s="46"/>
      <x:c r="B77" s="46"/>
      <x:c r="C77" s="46"/>
      <x:c r="D77" s="46"/>
      <x:c r="E77" s="46"/>
      <x:c r="F77" s="46"/>
      <x:c r="G77" s="46"/>
      <x:c r="H77" s="46"/>
      <x:c r="I77" s="46"/>
      <x:c r="J77" s="46"/>
      <x:c r="K77" s="46"/>
      <x:c r="L77" s="46"/>
      <x:c r="M77" s="46"/>
      <x:c r="N77" s="46"/>
      <x:c r="O77" s="46"/>
      <x:c r="P77" s="46"/>
      <x:c r="Q77" s="46"/>
      <x:c r="R77" s="46"/>
      <x:c r="S77" s="46"/>
      <x:c r="T77" s="46"/>
      <x:c r="U77" s="46"/>
      <x:c r="V77" s="46"/>
      <x:c r="W77" s="46"/>
      <x:c r="X77" s="46"/>
    </x:row>
    <x:row r="78">
      <x:c r="A78" s="46"/>
      <x:c r="B78" s="46"/>
      <x:c r="C78" s="46"/>
      <x:c r="D78" s="46"/>
      <x:c r="E78" s="46"/>
      <x:c r="F78" s="46"/>
      <x:c r="G78" s="46"/>
      <x:c r="H78" s="46"/>
      <x:c r="I78" s="46"/>
      <x:c r="J78" s="46"/>
      <x:c r="K78" s="46"/>
      <x:c r="L78" s="46"/>
      <x:c r="M78" s="46"/>
      <x:c r="N78" s="46"/>
      <x:c r="O78" s="46"/>
      <x:c r="P78" s="46"/>
      <x:c r="Q78" s="46"/>
      <x:c r="R78" s="46"/>
      <x:c r="S78" s="46"/>
      <x:c r="T78" s="46"/>
      <x:c r="U78" s="46"/>
      <x:c r="V78" s="46"/>
      <x:c r="W78" s="46"/>
      <x:c r="X78" s="46"/>
    </x:row>
    <x:row r="79">
      <x:c r="A79" s="46"/>
      <x:c r="B79" s="46"/>
      <x:c r="C79" s="46"/>
      <x:c r="D79" s="46"/>
      <x:c r="E79" s="46"/>
      <x:c r="F79" s="46"/>
      <x:c r="G79" s="46"/>
      <x:c r="H79" s="46"/>
      <x:c r="I79" s="46"/>
      <x:c r="J79" s="46"/>
      <x:c r="K79" s="46"/>
      <x:c r="L79" s="46"/>
      <x:c r="M79" s="46"/>
      <x:c r="N79" s="46"/>
      <x:c r="O79" s="46"/>
      <x:c r="P79" s="46"/>
      <x:c r="Q79" s="46"/>
      <x:c r="R79" s="46"/>
      <x:c r="S79" s="46"/>
      <x:c r="T79" s="46"/>
      <x:c r="U79" s="46"/>
      <x:c r="V79" s="46"/>
      <x:c r="W79" s="46"/>
      <x:c r="X79" s="46"/>
    </x:row>
    <x:row r="80">
      <x:c r="A80" s="46"/>
      <x:c r="B80" s="46"/>
      <x:c r="C80" s="46"/>
      <x:c r="D80" s="46"/>
      <x:c r="E80" s="46"/>
      <x:c r="F80" s="46"/>
      <x:c r="G80" s="46"/>
      <x:c r="H80" s="46"/>
      <x:c r="I80" s="46"/>
      <x:c r="J80" s="46"/>
      <x:c r="K80" s="46"/>
      <x:c r="L80" s="46"/>
      <x:c r="M80" s="46"/>
      <x:c r="N80" s="46"/>
      <x:c r="O80" s="46"/>
      <x:c r="P80" s="46"/>
      <x:c r="Q80" s="46"/>
      <x:c r="R80" s="46"/>
      <x:c r="S80" s="46"/>
      <x:c r="T80" s="46"/>
      <x:c r="U80" s="46"/>
      <x:c r="V80" s="46"/>
      <x:c r="W80" s="46"/>
      <x:c r="X80" s="46"/>
    </x:row>
  </x:sheetData>
  <x:mergeCells>
    <x:mergeCell ref="A1:H1"/>
    <x:mergeCell ref="A15:H15"/>
    <x:mergeCell ref="A16:H21"/>
    <x:mergeCell ref="A31:H31"/>
  </x:mergeCells>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18"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s>
  <x:sheetData>
    <x:row r="1">
      <x:c r="A1" s="12" t="str">
        <x:v>Sensor</x:v>
      </x:c>
      <x:c r="B1" s="12" t="str">
        <x:v>Role</x:v>
      </x:c>
      <x:c r="C1" s="12" t="str">
        <x:v>Orientation</x:v>
      </x:c>
      <x:c r="D1" s="12" t="str">
        <x:v>Active axis</x:v>
      </x:c>
      <x:c r="E1" s="12" t="str">
        <x:v>Mean X (m/s²)</x:v>
      </x:c>
      <x:c r="F1" s="12" t="str">
        <x:v>Mean Y (m/s²)</x:v>
      </x:c>
      <x:c r="G1" s="12" t="str">
        <x:v>Mean Z (m/s²)</x:v>
      </x:c>
      <x:c r="H1" s="12" t="str">
        <x:v>Vector norm (m/s²)</x:v>
      </x:c>
      <x:c r="I1" s="12" t="str">
        <x:v>Active mean (m/s²)</x:v>
      </x:c>
      <x:c r="J1" s="12" t="str">
        <x:v>Active error (%)</x:v>
      </x:c>
      <x:c r="K1" s="12" t="str">
        <x:v>Norm error (%)</x:v>
      </x:c>
      <x:c r="L1" s="12" t="str">
        <x:v>Between-repeat SD active</x:v>
      </x:c>
      <x:c r="M1" s="12" t="str">
        <x:v>Active CV (%)</x:v>
      </x:c>
      <x:c r="N1" s="12" t="str">
        <x:v>Raw transverse magnitude</x:v>
      </x:c>
      <x:c r="O1" s="12" t="str">
        <x:v>Valid repeats</x:v>
      </x:c>
      <x:c r="P1" s="12" t="str">
        <x:v>Status</x:v>
      </x:c>
      <x:c r="Q1" s="46"/>
      <x:c r="R1" s="46"/>
      <x:c r="S1" s="46"/>
      <x:c r="T1" s="46"/>
      <x:c r="U1" s="46"/>
      <x:c r="V1" s="46"/>
      <x:c r="W1" s="46"/>
      <x:c r="X1" s="46"/>
    </x:row>
    <x:row r="2">
      <x:c r="A2" s="46" t="str">
        <x:v>ADXL1</x:v>
      </x:c>
      <x:c r="B2" s="46" t="str">
        <x:v>Tool/reference</x:v>
      </x:c>
      <x:c r="C2" s="46" t="str">
        <x:v>+X</x:v>
      </x:c>
      <x:c r="D2" s="46" t="str">
        <x:v>X</x:v>
      </x:c>
      <x:c r="E2" s="56" t="n">
        <x:v>9.629546</x:v>
      </x:c>
      <x:c r="F2" s="56" t="n">
        <x:v>-0.337759</x:v>
      </x:c>
      <x:c r="G2" s="56" t="n">
        <x:v>-0.091487</x:v>
      </x:c>
      <x:c r="H2" s="56" t="n">
        <x:v>9.639395</x:v>
      </x:c>
      <x:c r="I2" s="56" t="n">
        <x:v>9.629546</x:v>
      </x:c>
      <x:c r="J2" s="56" t="n">
        <x:v>-1.806</x:v>
      </x:c>
      <x:c r="K2" s="56" t="n">
        <x:v>-1.706</x:v>
      </x:c>
      <x:c r="L2" s="56" t="n">
        <x:v>0.003646</x:v>
      </x:c>
      <x:c r="M2" s="56" t="n">
        <x:f>ABS(L2/I2)*100</x:f>
        <x:v>0.037862636514743274</x:v>
      </x:c>
      <x:c r="N2" s="56" t="n">
        <x:f>IF(D2="X",SQRT(F2^2+G2^2),IF(D2="Y",SQRT(E2^2+G2^2),SQRT(E2^2+F2^2)))</x:f>
        <x:v>0.3499300119309574</x:v>
      </x:c>
      <x:c r="O2" s="46" t="n">
        <x:v>3</x:v>
      </x:c>
      <x:c r="P2" s="46" t="str">
        <x:v>COMPLETE</x:v>
      </x:c>
      <x:c r="Q2" s="46"/>
      <x:c r="R2" s="46"/>
      <x:c r="S2" s="46"/>
      <x:c r="T2" s="46"/>
      <x:c r="U2" s="46"/>
      <x:c r="V2" s="46"/>
      <x:c r="W2" s="46"/>
      <x:c r="X2" s="46"/>
    </x:row>
    <x:row r="3">
      <x:c r="A3" s="46" t="str">
        <x:v>ADXL1</x:v>
      </x:c>
      <x:c r="B3" s="46" t="str">
        <x:v>Tool/reference</x:v>
      </x:c>
      <x:c r="C3" s="46" t="str">
        <x:v>-X</x:v>
      </x:c>
      <x:c r="D3" s="46" t="str">
        <x:v>X</x:v>
      </x:c>
      <x:c r="E3" s="56" t="n">
        <x:v>-9.510226</x:v>
      </x:c>
      <x:c r="F3" s="56" t="n">
        <x:v>0.574685</x:v>
      </x:c>
      <x:c r="G3" s="56" t="n">
        <x:v>-0.94438</x:v>
      </x:c>
      <x:c r="H3" s="56" t="n">
        <x:v>9.577423</x:v>
      </x:c>
      <x:c r="I3" s="56" t="n">
        <x:v>-9.510226</x:v>
      </x:c>
      <x:c r="J3" s="56" t="n">
        <x:v>3.023</x:v>
      </x:c>
      <x:c r="K3" s="56" t="n">
        <x:v>-2.337</x:v>
      </x:c>
      <x:c r="L3" s="56" t="n">
        <x:v>0.006388</x:v>
      </x:c>
      <x:c r="M3" s="56" t="n">
        <x:f>ABS(L3/I3)*100</x:f>
        <x:v>0.06716980227388918</x:v>
      </x:c>
      <x:c r="N3" s="56" t="n">
        <x:f>IF(D3="X",SQRT(F3^2+G3^2),IF(D3="Y",SQRT(E3^2+G3^2),SQRT(E3^2+F3^2)))</x:f>
        <x:v>1.1054937510565133</x:v>
      </x:c>
      <x:c r="O3" s="46" t="n">
        <x:v>3</x:v>
      </x:c>
      <x:c r="P3" s="46" t="str">
        <x:v>COMPLETE</x:v>
      </x:c>
      <x:c r="Q3" s="46"/>
      <x:c r="R3" s="46"/>
      <x:c r="S3" s="46"/>
      <x:c r="T3" s="46"/>
      <x:c r="U3" s="46"/>
      <x:c r="V3" s="46"/>
      <x:c r="W3" s="46"/>
      <x:c r="X3" s="46"/>
    </x:row>
    <x:row r="4">
      <x:c r="A4" s="46" t="str">
        <x:v>ADXL1</x:v>
      </x:c>
      <x:c r="B4" s="46" t="str">
        <x:v>Tool/reference</x:v>
      </x:c>
      <x:c r="C4" s="46" t="str">
        <x:v>+Y</x:v>
      </x:c>
      <x:c r="D4" s="46" t="str">
        <x:v>Y</x:v>
      </x:c>
      <x:c r="E4" s="56" t="n">
        <x:v>-0.218719</x:v>
      </x:c>
      <x:c r="F4" s="56" t="n">
        <x:v>9.807509</x:v>
      </x:c>
      <x:c r="G4" s="56" t="n">
        <x:v>-1.419291</x:v>
      </x:c>
      <x:c r="H4" s="56" t="n">
        <x:v>9.914945</x:v>
      </x:c>
      <x:c r="I4" s="56" t="n">
        <x:v>9.807509</x:v>
      </x:c>
      <x:c r="J4" s="56" t="n">
        <x:v>0.009</x:v>
      </x:c>
      <x:c r="K4" s="56" t="n">
        <x:v>1.104</x:v>
      </x:c>
      <x:c r="L4" s="56" t="n">
        <x:v>0.001094</x:v>
      </x:c>
      <x:c r="M4" s="56" t="n">
        <x:f>ABS(L4/I4)*100</x:f>
        <x:v>0.011154718287793566</x:v>
      </x:c>
      <x:c r="N4" s="56" t="n">
        <x:f>IF(D4="X",SQRT(F4^2+G4^2),IF(D4="Y",SQRT(E4^2+G4^2),SQRT(E4^2+F4^2)))</x:f>
        <x:v>1.4360448961094499</x:v>
      </x:c>
      <x:c r="O4" s="46" t="n">
        <x:v>3</x:v>
      </x:c>
      <x:c r="P4" s="46" t="str">
        <x:v>COMPLETE</x:v>
      </x:c>
      <x:c r="Q4" s="46"/>
      <x:c r="R4" s="46"/>
      <x:c r="S4" s="46"/>
      <x:c r="T4" s="46"/>
      <x:c r="U4" s="46"/>
      <x:c r="V4" s="46"/>
      <x:c r="W4" s="46"/>
      <x:c r="X4" s="46"/>
    </x:row>
    <x:row r="5">
      <x:c r="A5" s="46" t="str">
        <x:v>ADXL1</x:v>
      </x:c>
      <x:c r="B5" s="46" t="str">
        <x:v>Tool/reference</x:v>
      </x:c>
      <x:c r="C5" s="46" t="str">
        <x:v>-Y</x:v>
      </x:c>
      <x:c r="D5" s="46" t="str">
        <x:v>Y</x:v>
      </x:c>
      <x:c r="E5" s="56" t="n">
        <x:v>0.248862</x:v>
      </x:c>
      <x:c r="F5" s="56" t="n">
        <x:v>-9.554607</x:v>
      </x:c>
      <x:c r="G5" s="56" t="n">
        <x:v>-2.47562</x:v>
      </x:c>
      <x:c r="H5" s="56" t="n">
        <x:v>9.875026</x:v>
      </x:c>
      <x:c r="I5" s="56" t="n">
        <x:v>-9.554607</x:v>
      </x:c>
      <x:c r="J5" s="56" t="n">
        <x:v>2.57</x:v>
      </x:c>
      <x:c r="K5" s="56" t="n">
        <x:v>0.697</x:v>
      </x:c>
      <x:c r="L5" s="56" t="n">
        <x:v>0.011904</x:v>
      </x:c>
      <x:c r="M5" s="56" t="n">
        <x:f>ABS(L5/I5)*100</x:f>
        <x:v>0.12458911182846137</x:v>
      </x:c>
      <x:c r="N5" s="56" t="n">
        <x:f>IF(D5="X",SQRT(F5^2+G5^2),IF(D5="Y",SQRT(E5^2+G5^2),SQRT(E5^2+F5^2)))</x:f>
        <x:v>2.48809699960512</x:v>
      </x:c>
      <x:c r="O5" s="46" t="n">
        <x:v>3</x:v>
      </x:c>
      <x:c r="P5" s="46" t="str">
        <x:v>COMPLETE</x:v>
      </x:c>
      <x:c r="Q5" s="46"/>
      <x:c r="R5" s="46"/>
      <x:c r="S5" s="46"/>
      <x:c r="T5" s="46"/>
      <x:c r="U5" s="46"/>
      <x:c r="V5" s="46"/>
      <x:c r="W5" s="46"/>
      <x:c r="X5" s="46"/>
    </x:row>
    <x:row r="6">
      <x:c r="A6" s="46" t="str">
        <x:v>ADXL1</x:v>
      </x:c>
      <x:c r="B6" s="46" t="str">
        <x:v>Tool/reference</x:v>
      </x:c>
      <x:c r="C6" s="46" t="str">
        <x:v>+Z</x:v>
      </x:c>
      <x:c r="D6" s="46" t="str">
        <x:v>Z</x:v>
      </x:c>
      <x:c r="E6" s="56" t="n">
        <x:v>0.716617</x:v>
      </x:c>
      <x:c r="F6" s="56" t="n">
        <x:v>0.170505</x:v>
      </x:c>
      <x:c r="G6" s="56" t="n">
        <x:v>8.837584</x:v>
      </x:c>
      <x:c r="H6" s="56" t="n">
        <x:v>8.872532</x:v>
      </x:c>
      <x:c r="I6" s="56" t="n">
        <x:v>8.837584</x:v>
      </x:c>
      <x:c r="J6" s="56" t="n">
        <x:v>-9.882</x:v>
      </x:c>
      <x:c r="K6" s="56" t="n">
        <x:v>-9.525</x:v>
      </x:c>
      <x:c r="L6" s="56" t="n">
        <x:v>0.011032</x:v>
      </x:c>
      <x:c r="M6" s="56" t="n">
        <x:f>ABS(L6/I6)*100</x:f>
        <x:v>0.12483049666062582</x:v>
      </x:c>
      <x:c r="N6" s="56" t="n">
        <x:f>IF(D6="X",SQRT(F6^2+G6^2),IF(D6="Y",SQRT(E6^2+G6^2),SQRT(E6^2+F6^2)))</x:f>
        <x:v>0.7366219381161546</x:v>
      </x:c>
      <x:c r="O6" s="46" t="n">
        <x:v>3</x:v>
      </x:c>
      <x:c r="P6" s="46" t="str">
        <x:v>COMPLETE</x:v>
      </x:c>
      <x:c r="Q6" s="46"/>
      <x:c r="R6" s="46"/>
      <x:c r="S6" s="46"/>
      <x:c r="T6" s="46"/>
      <x:c r="U6" s="46"/>
      <x:c r="V6" s="46"/>
      <x:c r="W6" s="46"/>
      <x:c r="X6" s="46"/>
    </x:row>
    <x:row r="7">
      <x:c r="A7" s="46" t="str">
        <x:v>ADXL1</x:v>
      </x:c>
      <x:c r="B7" s="46" t="str">
        <x:v>Tool/reference</x:v>
      </x:c>
      <x:c r="C7" s="46" t="str">
        <x:v>-Z</x:v>
      </x:c>
      <x:c r="D7" s="46" t="str">
        <x:v>Z</x:v>
      </x:c>
      <x:c r="E7" s="56" t="n">
        <x:v>0.201668</x:v>
      </x:c>
      <x:c r="F7" s="56" t="n">
        <x:v>0.04215</x:v>
      </x:c>
      <x:c r="G7" s="56" t="n">
        <x:v>-10.215163</x:v>
      </x:c>
      <x:c r="H7" s="56" t="n">
        <x:v>10.218449</x:v>
      </x:c>
      <x:c r="I7" s="56" t="n">
        <x:v>-10.215163</x:v>
      </x:c>
      <x:c r="J7" s="56" t="n">
        <x:v>-4.166</x:v>
      </x:c>
      <x:c r="K7" s="56" t="n">
        <x:v>4.199</x:v>
      </x:c>
      <x:c r="L7" s="56" t="n">
        <x:v>0.003514</x:v>
      </x:c>
      <x:c r="M7" s="56" t="n">
        <x:f>ABS(L7/I7)*100</x:f>
        <x:v>0.034399842665261436</x:v>
      </x:c>
      <x:c r="N7" s="56" t="n">
        <x:f>IF(D7="X",SQRT(F7^2+G7^2),IF(D7="Y",SQRT(E7^2+G7^2),SQRT(E7^2+F7^2)))</x:f>
        <x:v>0.20602573801348217</x:v>
      </x:c>
      <x:c r="O7" s="46" t="n">
        <x:v>3</x:v>
      </x:c>
      <x:c r="P7" s="46" t="str">
        <x:v>COMPLETE</x:v>
      </x:c>
      <x:c r="Q7" s="46"/>
      <x:c r="R7" s="46"/>
      <x:c r="S7" s="46"/>
      <x:c r="T7" s="46"/>
      <x:c r="U7" s="46"/>
      <x:c r="V7" s="46"/>
      <x:c r="W7" s="46"/>
      <x:c r="X7" s="46"/>
    </x:row>
    <x:row r="8">
      <x:c r="A8" s="46" t="str">
        <x:v>ADXL2</x:v>
      </x:c>
      <x:c r="B8" s="46" t="str">
        <x:v>Hand/error</x:v>
      </x:c>
      <x:c r="C8" s="46" t="str">
        <x:v>+X</x:v>
      </x:c>
      <x:c r="D8" s="46" t="str">
        <x:v>X</x:v>
      </x:c>
      <x:c r="E8" s="56" t="n">
        <x:v>9.805357</x:v>
      </x:c>
      <x:c r="F8" s="56" t="n">
        <x:v>-0.231675</x:v>
      </x:c>
      <x:c r="G8" s="56" t="n">
        <x:v>1.506037</x:v>
      </x:c>
      <x:c r="H8" s="56" t="n">
        <x:v>9.927733</x:v>
      </x:c>
      <x:c r="I8" s="56" t="n">
        <x:v>9.805357</x:v>
      </x:c>
      <x:c r="J8" s="56" t="n">
        <x:v>-0.013</x:v>
      </x:c>
      <x:c r="K8" s="56" t="n">
        <x:v>1.235</x:v>
      </x:c>
      <x:c r="L8" s="56" t="n">
        <x:v>0.003521</x:v>
      </x:c>
      <x:c r="M8" s="56" t="n">
        <x:f>ABS(L8/I8)*100</x:f>
        <x:v>0.03590894242810332</x:v>
      </x:c>
      <x:c r="N8" s="56" t="n">
        <x:f>IF(D8="X",SQRT(F8^2+G8^2),IF(D8="Y",SQRT(E8^2+G8^2),SQRT(E8^2+F8^2)))</x:f>
        <x:v>1.5237521947462456</x:v>
      </x:c>
      <x:c r="O8" s="46" t="n">
        <x:v>3</x:v>
      </x:c>
      <x:c r="P8" s="46" t="str">
        <x:v>COMPLETE</x:v>
      </x:c>
      <x:c r="Q8" s="46"/>
      <x:c r="R8" s="46"/>
      <x:c r="S8" s="46"/>
      <x:c r="T8" s="46"/>
      <x:c r="U8" s="46"/>
      <x:c r="V8" s="46"/>
      <x:c r="W8" s="46"/>
      <x:c r="X8" s="46"/>
    </x:row>
    <x:row r="9">
      <x:c r="A9" s="46" t="str">
        <x:v>ADXL2</x:v>
      </x:c>
      <x:c r="B9" s="46" t="str">
        <x:v>Hand/error</x:v>
      </x:c>
      <x:c r="C9" s="46" t="str">
        <x:v>-X</x:v>
      </x:c>
      <x:c r="D9" s="46" t="str">
        <x:v>X</x:v>
      </x:c>
      <x:c r="E9" s="56" t="n">
        <x:v>-9.923497</x:v>
      </x:c>
      <x:c r="F9" s="56" t="n">
        <x:v>0.884613</x:v>
      </x:c>
      <x:c r="G9" s="56" t="n">
        <x:v>0.948611</x:v>
      </x:c>
      <x:c r="H9" s="56" t="n">
        <x:v>10.01167</x:v>
      </x:c>
      <x:c r="I9" s="56" t="n">
        <x:v>-9.923497</x:v>
      </x:c>
      <x:c r="J9" s="56" t="n">
        <x:v>-1.192</x:v>
      </x:c>
      <x:c r="K9" s="56" t="n">
        <x:v>2.091</x:v>
      </x:c>
      <x:c r="L9" s="56" t="n">
        <x:v>0.003529</x:v>
      </x:c>
      <x:c r="M9" s="56" t="n">
        <x:f>ABS(L9/I9)*100</x:f>
        <x:v>0.03556206043091463</x:v>
      </x:c>
      <x:c r="N9" s="56" t="n">
        <x:f>IF(D9="X",SQRT(F9^2+G9^2),IF(D9="Y",SQRT(E9^2+G9^2),SQRT(E9^2+F9^2)))</x:f>
        <x:v>1.2970747816105284</x:v>
      </x:c>
      <x:c r="O9" s="46" t="n">
        <x:v>3</x:v>
      </x:c>
      <x:c r="P9" s="46" t="str">
        <x:v>COMPLETE</x:v>
      </x:c>
      <x:c r="Q9" s="46"/>
      <x:c r="R9" s="46"/>
      <x:c r="S9" s="46"/>
      <x:c r="T9" s="46"/>
      <x:c r="U9" s="46"/>
      <x:c r="V9" s="46"/>
      <x:c r="W9" s="46"/>
      <x:c r="X9" s="46"/>
    </x:row>
    <x:row r="10">
      <x:c r="A10" s="46" t="str">
        <x:v>ADXL2</x:v>
      </x:c>
      <x:c r="B10" s="46" t="str">
        <x:v>Hand/error</x:v>
      </x:c>
      <x:c r="C10" s="46" t="str">
        <x:v>+Y</x:v>
      </x:c>
      <x:c r="D10" s="46" t="str">
        <x:v>Y</x:v>
      </x:c>
      <x:c r="E10" s="56" t="n">
        <x:v>0.000582</x:v>
      </x:c>
      <x:c r="F10" s="56" t="n">
        <x:v>10.226844</x:v>
      </x:c>
      <x:c r="G10" s="56" t="n">
        <x:v>0.135112</x:v>
      </x:c>
      <x:c r="H10" s="56" t="n">
        <x:v>10.230396</x:v>
      </x:c>
      <x:c r="I10" s="56" t="n">
        <x:v>10.226844</x:v>
      </x:c>
      <x:c r="J10" s="56" t="n">
        <x:v>4.285</x:v>
      </x:c>
      <x:c r="K10" s="56" t="n">
        <x:v>4.321</x:v>
      </x:c>
      <x:c r="L10" s="56" t="n">
        <x:v>0.002194</x:v>
      </x:c>
      <x:c r="M10" s="56" t="n">
        <x:f>ABS(L10/I10)*100</x:f>
        <x:v>0.021453343768615227</x:v>
      </x:c>
      <x:c r="N10" s="56" t="n">
        <x:f>IF(D10="X",SQRT(F10^2+G10^2),IF(D10="Y",SQRT(E10^2+G10^2),SQRT(E10^2+F10^2)))</x:f>
        <x:v>0.13511325348758355</x:v>
      </x:c>
      <x:c r="O10" s="46" t="n">
        <x:v>3</x:v>
      </x:c>
      <x:c r="P10" s="46" t="str">
        <x:v>COMPLETE</x:v>
      </x:c>
      <x:c r="Q10" s="46"/>
      <x:c r="R10" s="46"/>
      <x:c r="S10" s="46"/>
      <x:c r="T10" s="46"/>
      <x:c r="U10" s="46"/>
      <x:c r="V10" s="46"/>
      <x:c r="W10" s="46"/>
      <x:c r="X10" s="46"/>
    </x:row>
    <x:row r="11">
      <x:c r="A11" s="46" t="str">
        <x:v>ADXL2</x:v>
      </x:c>
      <x:c r="B11" s="46" t="str">
        <x:v>Hand/error</x:v>
      </x:c>
      <x:c r="C11" s="46" t="str">
        <x:v>-Y</x:v>
      </x:c>
      <x:c r="D11" s="46" t="str">
        <x:v>Y</x:v>
      </x:c>
      <x:c r="E11" s="56" t="n">
        <x:v>-0.265052</x:v>
      </x:c>
      <x:c r="F11" s="56" t="n">
        <x:v>-9.601801</x:v>
      </x:c>
      <x:c r="G11" s="56" t="n">
        <x:v>0.302557</x:v>
      </x:c>
      <x:c r="H11" s="56" t="n">
        <x:v>9.614231</x:v>
      </x:c>
      <x:c r="I11" s="56" t="n">
        <x:v>-9.601801</x:v>
      </x:c>
      <x:c r="J11" s="56" t="n">
        <x:v>2.089</x:v>
      </x:c>
      <x:c r="K11" s="56" t="n">
        <x:v>-1.962</x:v>
      </x:c>
      <x:c r="L11" s="56" t="n">
        <x:v>0.003208</x:v>
      </x:c>
      <x:c r="M11" s="56" t="n">
        <x:f>ABS(L11/I11)*100</x:f>
        <x:v>0.033410398736653676</x:v>
      </x:c>
      <x:c r="N11" s="56" t="n">
        <x:f>IF(D11="X",SQRT(F11^2+G11^2),IF(D11="Y",SQRT(E11^2+G11^2),SQRT(E11^2+F11^2)))</x:f>
        <x:v>0.4022353800363663</x:v>
      </x:c>
      <x:c r="O11" s="46" t="n">
        <x:v>3</x:v>
      </x:c>
      <x:c r="P11" s="46" t="str">
        <x:v>COMPLETE</x:v>
      </x:c>
      <x:c r="Q11" s="46"/>
      <x:c r="R11" s="46"/>
      <x:c r="S11" s="46"/>
      <x:c r="T11" s="46"/>
      <x:c r="U11" s="46"/>
      <x:c r="V11" s="46"/>
      <x:c r="W11" s="46"/>
      <x:c r="X11" s="46"/>
    </x:row>
    <x:row r="12">
      <x:c r="A12" s="46" t="str">
        <x:v>ADXL2</x:v>
      </x:c>
      <x:c r="B12" s="46" t="str">
        <x:v>Hand/error</x:v>
      </x:c>
      <x:c r="C12" s="46" t="str">
        <x:v>+Z</x:v>
      </x:c>
      <x:c r="D12" s="46" t="str">
        <x:v>Z</x:v>
      </x:c>
      <x:c r="E12" s="56" t="n">
        <x:v>0.00353</x:v>
      </x:c>
      <x:c r="F12" s="56" t="n">
        <x:v>0.31341</x:v>
      </x:c>
      <x:c r="G12" s="56" t="n">
        <x:v>11.216983</x:v>
      </x:c>
      <x:c r="H12" s="56" t="n">
        <x:v>11.224484</x:v>
      </x:c>
      <x:c r="I12" s="56" t="n">
        <x:v>11.216983</x:v>
      </x:c>
      <x:c r="J12" s="56" t="n">
        <x:v>14.381</x:v>
      </x:c>
      <x:c r="K12" s="56" t="n">
        <x:v>14.458</x:v>
      </x:c>
      <x:c r="L12" s="56" t="n">
        <x:v>0.015021</x:v>
      </x:c>
      <x:c r="M12" s="56" t="n">
        <x:f>ABS(L12/I12)*100</x:f>
        <x:v>0.13391301386477986</x:v>
      </x:c>
      <x:c r="N12" s="56" t="n">
        <x:f>IF(D12="X",SQRT(F12^2+G12^2),IF(D12="Y",SQRT(E12^2+G12^2),SQRT(E12^2+F12^2)))</x:f>
        <x:v>0.3134298789203097</x:v>
      </x:c>
      <x:c r="O12" s="46" t="n">
        <x:v>3</x:v>
      </x:c>
      <x:c r="P12" s="46" t="str">
        <x:v>COMPLETE</x:v>
      </x:c>
      <x:c r="Q12" s="46"/>
      <x:c r="R12" s="46"/>
      <x:c r="S12" s="46"/>
      <x:c r="T12" s="46"/>
      <x:c r="U12" s="46"/>
      <x:c r="V12" s="46"/>
      <x:c r="W12" s="46"/>
      <x:c r="X12" s="46"/>
    </x:row>
    <x:row r="13">
      <x:c r="A13" s="46" t="str">
        <x:v>ADXL2</x:v>
      </x:c>
      <x:c r="B13" s="46" t="str">
        <x:v>Hand/error</x:v>
      </x:c>
      <x:c r="C13" s="46" t="str">
        <x:v>-Z</x:v>
      </x:c>
      <x:c r="D13" s="46" t="str">
        <x:v>Z</x:v>
      </x:c>
      <x:c r="E13" s="56" t="n">
        <x:v>-0.338628</x:v>
      </x:c>
      <x:c r="F13" s="56" t="n">
        <x:v>-0.022294</x:v>
      </x:c>
      <x:c r="G13" s="56" t="n">
        <x:v>-8.171547</x:v>
      </x:c>
      <x:c r="H13" s="56" t="n">
        <x:v>8.180581</x:v>
      </x:c>
      <x:c r="I13" s="56" t="n">
        <x:v>-8.171547</x:v>
      </x:c>
      <x:c r="J13" s="56" t="n">
        <x:v>16.673</x:v>
      </x:c>
      <x:c r="K13" s="56" t="n">
        <x:v>-16.581</x:v>
      </x:c>
      <x:c r="L13" s="56" t="n">
        <x:v>0.007957</x:v>
      </x:c>
      <x:c r="M13" s="56" t="n">
        <x:f>ABS(L13/I13)*100</x:f>
        <x:v>0.09737446287710272</x:v>
      </x:c>
      <x:c r="N13" s="56" t="n">
        <x:f>IF(D13="X",SQRT(F13^2+G13^2),IF(D13="Y",SQRT(E13^2+G13^2),SQRT(E13^2+F13^2)))</x:f>
        <x:v>0.33936108324320274</x:v>
      </x:c>
      <x:c r="O13" s="46" t="n">
        <x:v>3</x:v>
      </x:c>
      <x:c r="P13" s="46" t="str">
        <x:v>COMPLETE</x:v>
      </x:c>
      <x:c r="Q13" s="46"/>
      <x:c r="R13" s="46"/>
      <x:c r="S13" s="46"/>
      <x:c r="T13" s="46"/>
      <x:c r="U13" s="46"/>
      <x:c r="V13" s="46"/>
      <x:c r="W13" s="46"/>
      <x:c r="X13" s="46"/>
    </x:row>
    <x:row r="14">
      <x:c r="A14" s="46"/>
      <x:c r="B14" s="46"/>
      <x:c r="C14" s="46"/>
      <x:c r="D14" s="46"/>
      <x:c r="E14" s="46"/>
      <x:c r="F14" s="46"/>
      <x:c r="G14" s="46"/>
      <x:c r="H14" s="46"/>
      <x:c r="I14" s="46"/>
      <x:c r="J14" s="46"/>
      <x:c r="K14" s="46"/>
      <x:c r="L14" s="46"/>
      <x:c r="M14" s="46"/>
      <x:c r="N14" s="46"/>
      <x:c r="O14" s="46"/>
      <x:c r="P14" s="46"/>
      <x:c r="Q14" s="46"/>
      <x:c r="R14" s="46"/>
      <x:c r="S14" s="46"/>
      <x:c r="T14" s="46"/>
      <x:c r="U14" s="46"/>
      <x:c r="V14" s="46"/>
      <x:c r="W14" s="46"/>
      <x:c r="X14" s="46"/>
    </x:row>
    <x:row r="15">
      <x:c r="A15" s="46"/>
      <x:c r="B15" s="46"/>
      <x:c r="C15" s="46"/>
      <x:c r="D15" s="46"/>
      <x:c r="E15" s="46"/>
      <x:c r="F15" s="46"/>
      <x:c r="G15" s="46"/>
      <x:c r="H15" s="46"/>
      <x:c r="I15" s="46"/>
      <x:c r="J15" s="46"/>
      <x:c r="K15" s="46"/>
      <x:c r="L15" s="46"/>
      <x:c r="M15" s="46"/>
      <x:c r="N15" s="46"/>
      <x:c r="O15" s="46"/>
      <x:c r="P15" s="46"/>
      <x:c r="Q15" s="46"/>
      <x:c r="R15" s="46"/>
      <x:c r="S15" s="46"/>
      <x:c r="T15" s="46"/>
      <x:c r="U15" s="46"/>
      <x:c r="V15" s="46"/>
      <x:c r="W15" s="46"/>
      <x:c r="X15" s="46"/>
    </x:row>
    <x:row r="16">
      <x:c r="A16" s="46"/>
      <x:c r="B16" s="46"/>
      <x:c r="C16" s="46"/>
      <x:c r="D16" s="46"/>
      <x:c r="E16" s="46"/>
      <x:c r="F16" s="46"/>
      <x:c r="G16" s="46"/>
      <x:c r="H16" s="46"/>
      <x:c r="I16" s="46"/>
      <x:c r="J16" s="46"/>
      <x:c r="K16" s="46"/>
      <x:c r="L16" s="46"/>
      <x:c r="M16" s="46"/>
      <x:c r="N16" s="46"/>
      <x:c r="O16" s="46"/>
      <x:c r="P16" s="46"/>
      <x:c r="Q16" s="46"/>
      <x:c r="R16" s="46"/>
      <x:c r="S16" s="46"/>
      <x:c r="T16" s="46"/>
      <x:c r="U16" s="46"/>
      <x:c r="V16" s="46"/>
      <x:c r="W16" s="46"/>
      <x:c r="X16" s="46"/>
    </x:row>
    <x:row r="17">
      <x:c r="A17" s="46"/>
      <x:c r="B17" s="46"/>
      <x:c r="C17" s="46"/>
      <x:c r="D17" s="46"/>
      <x:c r="E17" s="46"/>
      <x:c r="F17" s="46"/>
      <x:c r="G17" s="46"/>
      <x:c r="H17" s="46"/>
      <x:c r="I17" s="46"/>
      <x:c r="J17" s="46"/>
      <x:c r="K17" s="46"/>
      <x:c r="L17" s="46"/>
      <x:c r="M17" s="46"/>
      <x:c r="N17" s="46"/>
      <x:c r="O17" s="46"/>
      <x:c r="P17" s="46"/>
      <x:c r="Q17" s="46"/>
      <x:c r="R17" s="46"/>
      <x:c r="S17" s="46"/>
      <x:c r="T17" s="46"/>
      <x:c r="U17" s="46"/>
      <x:c r="V17" s="46"/>
      <x:c r="W17" s="46"/>
      <x:c r="X17" s="46"/>
    </x:row>
    <x:row r="18">
      <x:c r="A18" s="46"/>
      <x:c r="B18" s="46"/>
      <x:c r="C18" s="46"/>
      <x:c r="D18" s="46"/>
      <x:c r="E18" s="46"/>
      <x:c r="F18" s="46"/>
      <x:c r="G18" s="46"/>
      <x:c r="H18" s="46"/>
      <x:c r="I18" s="46"/>
      <x:c r="J18" s="46"/>
      <x:c r="K18" s="46"/>
      <x:c r="L18" s="46"/>
      <x:c r="M18" s="46"/>
      <x:c r="N18" s="46"/>
      <x:c r="O18" s="46"/>
      <x:c r="P18" s="46"/>
      <x:c r="Q18" s="46"/>
      <x:c r="R18" s="46"/>
      <x:c r="S18" s="46"/>
      <x:c r="T18" s="46"/>
      <x:c r="U18" s="46"/>
      <x:c r="V18" s="46"/>
      <x:c r="W18" s="46"/>
      <x:c r="X18" s="46"/>
    </x:row>
    <x:row r="19">
      <x:c r="A19" s="46"/>
      <x:c r="B19" s="46"/>
      <x:c r="C19" s="46"/>
      <x:c r="D19" s="46"/>
      <x:c r="E19" s="46"/>
      <x:c r="F19" s="46"/>
      <x:c r="G19" s="46"/>
      <x:c r="H19" s="46"/>
      <x:c r="I19" s="46"/>
      <x:c r="J19" s="46"/>
      <x:c r="K19" s="46"/>
      <x:c r="L19" s="46"/>
      <x:c r="M19" s="46"/>
      <x:c r="N19" s="46"/>
      <x:c r="O19" s="46"/>
      <x:c r="P19" s="46"/>
      <x:c r="Q19" s="46"/>
      <x:c r="R19" s="46"/>
      <x:c r="S19" s="46"/>
      <x:c r="T19" s="46"/>
      <x:c r="U19" s="46"/>
      <x:c r="V19" s="46"/>
      <x:c r="W19" s="46"/>
      <x:c r="X19" s="46"/>
    </x:row>
    <x:row r="20">
      <x:c r="A20" s="46"/>
      <x:c r="B20" s="46"/>
      <x:c r="C20" s="46"/>
      <x:c r="D20" s="46"/>
      <x:c r="E20" s="46"/>
      <x:c r="F20" s="46"/>
      <x:c r="G20" s="46"/>
      <x:c r="H20" s="46"/>
      <x:c r="I20" s="46"/>
      <x:c r="J20" s="46"/>
      <x:c r="K20" s="46"/>
      <x:c r="L20" s="46"/>
      <x:c r="M20" s="46"/>
      <x:c r="N20" s="46"/>
      <x:c r="O20" s="46"/>
      <x:c r="P20" s="46"/>
      <x:c r="Q20" s="46"/>
      <x:c r="R20" s="46"/>
      <x:c r="S20" s="46"/>
      <x:c r="T20" s="46"/>
      <x:c r="U20" s="46"/>
      <x:c r="V20" s="46"/>
      <x:c r="W20" s="46"/>
      <x:c r="X20" s="46"/>
    </x:row>
    <x:row r="21">
      <x:c r="A21" s="46"/>
      <x:c r="B21" s="46"/>
      <x:c r="C21" s="46"/>
      <x:c r="D21" s="46"/>
      <x:c r="E21" s="46"/>
      <x:c r="F21" s="46"/>
      <x:c r="G21" s="46"/>
      <x:c r="H21" s="46"/>
      <x:c r="I21" s="46"/>
      <x:c r="J21" s="46"/>
      <x:c r="K21" s="46"/>
      <x:c r="L21" s="46"/>
      <x:c r="M21" s="46"/>
      <x:c r="N21" s="46"/>
      <x:c r="O21" s="46"/>
      <x:c r="P21" s="46"/>
      <x:c r="Q21" s="46"/>
      <x:c r="R21" s="46"/>
      <x:c r="S21" s="46"/>
      <x:c r="T21" s="46"/>
      <x:c r="U21" s="46"/>
      <x:c r="V21" s="46"/>
      <x:c r="W21" s="46"/>
      <x:c r="X21" s="46"/>
    </x:row>
    <x:row r="22">
      <x:c r="A22" s="46"/>
      <x:c r="B22" s="46"/>
      <x:c r="C22" s="46"/>
      <x:c r="D22" s="46"/>
      <x:c r="E22" s="46"/>
      <x:c r="F22" s="46"/>
      <x:c r="G22" s="46"/>
      <x:c r="H22" s="46"/>
      <x:c r="I22" s="46"/>
      <x:c r="J22" s="46"/>
      <x:c r="K22" s="46"/>
      <x:c r="L22" s="46"/>
      <x:c r="M22" s="46"/>
      <x:c r="N22" s="46"/>
      <x:c r="O22" s="46"/>
      <x:c r="P22" s="46"/>
      <x:c r="Q22" s="46"/>
      <x:c r="R22" s="46"/>
      <x:c r="S22" s="46"/>
      <x:c r="T22" s="46"/>
      <x:c r="U22" s="46"/>
      <x:c r="V22" s="46"/>
      <x:c r="W22" s="46"/>
      <x:c r="X22" s="46"/>
    </x:row>
    <x:row r="23">
      <x:c r="A23" s="46"/>
      <x:c r="B23" s="46"/>
      <x:c r="C23" s="46"/>
      <x:c r="D23" s="46"/>
      <x:c r="E23" s="46"/>
      <x:c r="F23" s="46"/>
      <x:c r="G23" s="46"/>
      <x:c r="H23" s="46"/>
      <x:c r="I23" s="46"/>
      <x:c r="J23" s="46"/>
      <x:c r="K23" s="46"/>
      <x:c r="L23" s="46"/>
      <x:c r="M23" s="46"/>
      <x:c r="N23" s="46"/>
      <x:c r="O23" s="46"/>
      <x:c r="P23" s="46"/>
      <x:c r="Q23" s="46"/>
      <x:c r="R23" s="46"/>
      <x:c r="S23" s="46"/>
      <x:c r="T23" s="46"/>
      <x:c r="U23" s="46"/>
      <x:c r="V23" s="46"/>
      <x:c r="W23" s="46"/>
      <x:c r="X23" s="46"/>
    </x:row>
    <x:row r="24">
      <x:c r="A24" s="46"/>
      <x:c r="B24" s="46"/>
      <x:c r="C24" s="46"/>
      <x:c r="D24" s="46"/>
      <x:c r="E24" s="46"/>
      <x:c r="F24" s="46"/>
      <x:c r="G24" s="46"/>
      <x:c r="H24" s="46"/>
      <x:c r="I24" s="46"/>
      <x:c r="J24" s="46"/>
      <x:c r="K24" s="46"/>
      <x:c r="L24" s="46"/>
      <x:c r="M24" s="46"/>
      <x:c r="N24" s="46"/>
      <x:c r="O24" s="46"/>
      <x:c r="P24" s="46"/>
      <x:c r="Q24" s="46"/>
      <x:c r="R24" s="46"/>
      <x:c r="S24" s="46"/>
      <x:c r="T24" s="46"/>
      <x:c r="U24" s="46"/>
      <x:c r="V24" s="46"/>
      <x:c r="W24" s="46"/>
      <x:c r="X24" s="46"/>
    </x:row>
    <x:row r="25">
      <x:c r="A25" s="46"/>
      <x:c r="B25" s="46"/>
      <x:c r="C25" s="46"/>
      <x:c r="D25" s="46"/>
      <x:c r="E25" s="46"/>
      <x:c r="F25" s="46"/>
      <x:c r="G25" s="46"/>
      <x:c r="H25" s="46"/>
      <x:c r="I25" s="46"/>
      <x:c r="J25" s="46"/>
      <x:c r="K25" s="46"/>
      <x:c r="L25" s="46"/>
      <x:c r="M25" s="46"/>
      <x:c r="N25" s="46"/>
      <x:c r="O25" s="46"/>
      <x:c r="P25" s="46"/>
      <x:c r="Q25" s="46"/>
      <x:c r="R25" s="46"/>
      <x:c r="S25" s="46"/>
      <x:c r="T25" s="46"/>
      <x:c r="U25" s="46"/>
      <x:c r="V25" s="46"/>
      <x:c r="W25" s="46"/>
      <x:c r="X25" s="46"/>
    </x:row>
    <x:row r="26">
      <x:c r="A26" s="46"/>
      <x:c r="B26" s="46"/>
      <x:c r="C26" s="46"/>
      <x:c r="D26" s="46"/>
      <x:c r="E26" s="46"/>
      <x:c r="F26" s="46"/>
      <x:c r="G26" s="46"/>
      <x:c r="H26" s="46"/>
      <x:c r="I26" s="46"/>
      <x:c r="J26" s="46"/>
      <x:c r="K26" s="46"/>
      <x:c r="L26" s="46"/>
      <x:c r="M26" s="46"/>
      <x:c r="N26" s="46"/>
      <x:c r="O26" s="46"/>
      <x:c r="P26" s="46"/>
      <x:c r="Q26" s="46"/>
      <x:c r="R26" s="46"/>
      <x:c r="S26" s="46"/>
      <x:c r="T26" s="46"/>
      <x:c r="U26" s="46"/>
      <x:c r="V26" s="46"/>
      <x:c r="W26" s="46"/>
      <x:c r="X26" s="46"/>
    </x:row>
    <x:row r="27">
      <x:c r="A27" s="46"/>
      <x:c r="B27" s="46"/>
      <x:c r="C27" s="46"/>
      <x:c r="D27" s="46"/>
      <x:c r="E27" s="46"/>
      <x:c r="F27" s="46"/>
      <x:c r="G27" s="46"/>
      <x:c r="H27" s="46"/>
      <x:c r="I27" s="46"/>
      <x:c r="J27" s="46"/>
      <x:c r="K27" s="46"/>
      <x:c r="L27" s="46"/>
      <x:c r="M27" s="46"/>
      <x:c r="N27" s="46"/>
      <x:c r="O27" s="46"/>
      <x:c r="P27" s="46"/>
      <x:c r="Q27" s="46"/>
      <x:c r="R27" s="46"/>
      <x:c r="S27" s="46"/>
      <x:c r="T27" s="46"/>
      <x:c r="U27" s="46"/>
      <x:c r="V27" s="46"/>
      <x:c r="W27" s="46"/>
      <x:c r="X27" s="46"/>
    </x:row>
    <x:row r="28">
      <x:c r="A28" s="46"/>
      <x:c r="B28" s="46"/>
      <x:c r="C28" s="46"/>
      <x:c r="D28" s="46"/>
      <x:c r="E28" s="46"/>
      <x:c r="F28" s="46"/>
      <x:c r="G28" s="46"/>
      <x:c r="H28" s="46"/>
      <x:c r="I28" s="46"/>
      <x:c r="J28" s="46"/>
      <x:c r="K28" s="46"/>
      <x:c r="L28" s="46"/>
      <x:c r="M28" s="46"/>
      <x:c r="N28" s="46"/>
      <x:c r="O28" s="46"/>
      <x:c r="P28" s="46"/>
      <x:c r="Q28" s="46"/>
      <x:c r="R28" s="46"/>
      <x:c r="S28" s="46"/>
      <x:c r="T28" s="46"/>
      <x:c r="U28" s="46"/>
      <x:c r="V28" s="46"/>
      <x:c r="W28" s="46"/>
      <x:c r="X28" s="46"/>
    </x:row>
    <x:row r="29">
      <x:c r="A29" s="46"/>
      <x:c r="B29" s="46"/>
      <x:c r="C29" s="46"/>
      <x:c r="D29" s="46"/>
      <x:c r="E29" s="46"/>
      <x:c r="F29" s="46"/>
      <x:c r="G29" s="46"/>
      <x:c r="H29" s="46"/>
      <x:c r="I29" s="46"/>
      <x:c r="J29" s="46"/>
      <x:c r="K29" s="46"/>
      <x:c r="L29" s="46"/>
      <x:c r="M29" s="46"/>
      <x:c r="N29" s="46"/>
      <x:c r="O29" s="46"/>
      <x:c r="P29" s="46"/>
      <x:c r="Q29" s="46"/>
      <x:c r="R29" s="46"/>
      <x:c r="S29" s="46"/>
      <x:c r="T29" s="46"/>
      <x:c r="U29" s="46"/>
      <x:c r="V29" s="46"/>
      <x:c r="W29" s="46"/>
      <x:c r="X29" s="46"/>
    </x:row>
    <x:row r="30">
      <x:c r="A30" s="46"/>
      <x:c r="B30" s="46"/>
      <x:c r="C30" s="46"/>
      <x:c r="D30" s="46"/>
      <x:c r="E30" s="46"/>
      <x:c r="F30" s="46"/>
      <x:c r="G30" s="46"/>
      <x:c r="H30" s="46"/>
      <x:c r="I30" s="46"/>
      <x:c r="J30" s="46"/>
      <x:c r="K30" s="46"/>
      <x:c r="L30" s="46"/>
      <x:c r="M30" s="46"/>
      <x:c r="N30" s="46"/>
      <x:c r="O30" s="46"/>
      <x:c r="P30" s="46"/>
      <x:c r="Q30" s="46"/>
      <x:c r="R30" s="46"/>
      <x:c r="S30" s="46"/>
      <x:c r="T30" s="46"/>
      <x:c r="U30" s="46"/>
      <x:c r="V30" s="46"/>
      <x:c r="W30" s="46"/>
      <x:c r="X30" s="46"/>
    </x:row>
    <x:row r="31">
      <x:c r="A31" s="46"/>
      <x:c r="B31" s="46"/>
      <x:c r="C31" s="46"/>
      <x:c r="D31" s="46"/>
      <x:c r="E31" s="46"/>
      <x:c r="F31" s="46"/>
      <x:c r="G31" s="46"/>
      <x:c r="H31" s="46"/>
      <x:c r="I31" s="46"/>
      <x:c r="J31" s="46"/>
      <x:c r="K31" s="46"/>
      <x:c r="L31" s="46"/>
      <x:c r="M31" s="46"/>
      <x:c r="N31" s="46"/>
      <x:c r="O31" s="46"/>
      <x:c r="P31" s="46"/>
      <x:c r="Q31" s="46"/>
      <x:c r="R31" s="46"/>
      <x:c r="S31" s="46"/>
      <x:c r="T31" s="46"/>
      <x:c r="U31" s="46"/>
      <x:c r="V31" s="46"/>
      <x:c r="W31" s="46"/>
      <x:c r="X31" s="46"/>
    </x:row>
    <x:row r="32">
      <x:c r="A32" s="46"/>
      <x:c r="B32" s="46"/>
      <x:c r="C32" s="46"/>
      <x:c r="D32" s="46"/>
      <x:c r="E32" s="46"/>
      <x:c r="F32" s="46"/>
      <x:c r="G32" s="46"/>
      <x:c r="H32" s="46"/>
      <x:c r="I32" s="46"/>
      <x:c r="J32" s="46"/>
      <x:c r="K32" s="46"/>
      <x:c r="L32" s="46"/>
      <x:c r="M32" s="46"/>
      <x:c r="N32" s="46"/>
      <x:c r="O32" s="46"/>
      <x:c r="P32" s="46"/>
      <x:c r="Q32" s="46"/>
      <x:c r="R32" s="46"/>
      <x:c r="S32" s="46"/>
      <x:c r="T32" s="46"/>
      <x:c r="U32" s="46"/>
      <x:c r="V32" s="46"/>
      <x:c r="W32" s="46"/>
      <x:c r="X32" s="46"/>
    </x:row>
    <x:row r="33">
      <x:c r="A33" s="46"/>
      <x:c r="B33" s="46"/>
      <x:c r="C33" s="46"/>
      <x:c r="D33" s="46"/>
      <x:c r="E33" s="46"/>
      <x:c r="F33" s="46"/>
      <x:c r="G33" s="46"/>
      <x:c r="H33" s="46"/>
      <x:c r="I33" s="46"/>
      <x:c r="J33" s="46"/>
      <x:c r="K33" s="46"/>
      <x:c r="L33" s="46"/>
      <x:c r="M33" s="46"/>
      <x:c r="N33" s="46"/>
      <x:c r="O33" s="46"/>
      <x:c r="P33" s="46"/>
      <x:c r="Q33" s="46"/>
      <x:c r="R33" s="46"/>
      <x:c r="S33" s="46"/>
      <x:c r="T33" s="46"/>
      <x:c r="U33" s="46"/>
      <x:c r="V33" s="46"/>
      <x:c r="W33" s="46"/>
      <x:c r="X33" s="46"/>
    </x:row>
    <x:row r="34">
      <x:c r="A34" s="46"/>
      <x:c r="B34" s="46"/>
      <x:c r="C34" s="46"/>
      <x:c r="D34" s="46"/>
      <x:c r="E34" s="46"/>
      <x:c r="F34" s="46"/>
      <x:c r="G34" s="46"/>
      <x:c r="H34" s="46"/>
      <x:c r="I34" s="46"/>
      <x:c r="J34" s="46"/>
      <x:c r="K34" s="46"/>
      <x:c r="L34" s="46"/>
      <x:c r="M34" s="46"/>
      <x:c r="N34" s="46"/>
      <x:c r="O34" s="46"/>
      <x:c r="P34" s="46"/>
      <x:c r="Q34" s="46"/>
      <x:c r="R34" s="46"/>
      <x:c r="S34" s="46"/>
      <x:c r="T34" s="46"/>
      <x:c r="U34" s="46"/>
      <x:c r="V34" s="46"/>
      <x:c r="W34" s="46"/>
      <x:c r="X34" s="46"/>
    </x:row>
    <x:row r="35">
      <x:c r="A35" s="46"/>
      <x:c r="B35" s="46"/>
      <x:c r="C35" s="46"/>
      <x:c r="D35" s="46"/>
      <x:c r="E35" s="46"/>
      <x:c r="F35" s="46"/>
      <x:c r="G35" s="46"/>
      <x:c r="H35" s="46"/>
      <x:c r="I35" s="46"/>
      <x:c r="J35" s="46"/>
      <x:c r="K35" s="46"/>
      <x:c r="L35" s="46"/>
      <x:c r="M35" s="46"/>
      <x:c r="N35" s="46"/>
      <x:c r="O35" s="46"/>
      <x:c r="P35" s="46"/>
      <x:c r="Q35" s="46"/>
      <x:c r="R35" s="46"/>
      <x:c r="S35" s="46"/>
      <x:c r="T35" s="46"/>
      <x:c r="U35" s="46"/>
      <x:c r="V35" s="46"/>
      <x:c r="W35" s="46"/>
      <x:c r="X35" s="46"/>
    </x:row>
    <x:row r="36">
      <x:c r="A36" s="46"/>
      <x:c r="B36" s="46"/>
      <x:c r="C36" s="46"/>
      <x:c r="D36" s="46"/>
      <x:c r="E36" s="46"/>
      <x:c r="F36" s="46"/>
      <x:c r="G36" s="46"/>
      <x:c r="H36" s="46"/>
      <x:c r="I36" s="46"/>
      <x:c r="J36" s="46"/>
      <x:c r="K36" s="46"/>
      <x:c r="L36" s="46"/>
      <x:c r="M36" s="46"/>
      <x:c r="N36" s="46"/>
      <x:c r="O36" s="46"/>
      <x:c r="P36" s="46"/>
      <x:c r="Q36" s="46"/>
      <x:c r="R36" s="46"/>
      <x:c r="S36" s="46"/>
      <x:c r="T36" s="46"/>
      <x:c r="U36" s="46"/>
      <x:c r="V36" s="46"/>
      <x:c r="W36" s="46"/>
      <x:c r="X36" s="46"/>
    </x:row>
    <x:row r="37">
      <x:c r="A37" s="46"/>
      <x:c r="B37" s="46"/>
      <x:c r="C37" s="46"/>
      <x:c r="D37" s="46"/>
      <x:c r="E37" s="46"/>
      <x:c r="F37" s="46"/>
      <x:c r="G37" s="46"/>
      <x:c r="H37" s="46"/>
      <x:c r="I37" s="46"/>
      <x:c r="J37" s="46"/>
      <x:c r="K37" s="46"/>
      <x:c r="L37" s="46"/>
      <x:c r="M37" s="46"/>
      <x:c r="N37" s="46"/>
      <x:c r="O37" s="46"/>
      <x:c r="P37" s="46"/>
      <x:c r="Q37" s="46"/>
      <x:c r="R37" s="46"/>
      <x:c r="S37" s="46"/>
      <x:c r="T37" s="46"/>
      <x:c r="U37" s="46"/>
      <x:c r="V37" s="46"/>
      <x:c r="W37" s="46"/>
      <x:c r="X37" s="46"/>
    </x:row>
    <x:row r="38">
      <x:c r="A38" s="46"/>
      <x:c r="B38" s="46"/>
      <x:c r="C38" s="46"/>
      <x:c r="D38" s="46"/>
      <x:c r="E38" s="46"/>
      <x:c r="F38" s="46"/>
      <x:c r="G38" s="46"/>
      <x:c r="H38" s="46"/>
      <x:c r="I38" s="46"/>
      <x:c r="J38" s="46"/>
      <x:c r="K38" s="46"/>
      <x:c r="L38" s="46"/>
      <x:c r="M38" s="46"/>
      <x:c r="N38" s="46"/>
      <x:c r="O38" s="46"/>
      <x:c r="P38" s="46"/>
      <x:c r="Q38" s="46"/>
      <x:c r="R38" s="46"/>
      <x:c r="S38" s="46"/>
      <x:c r="T38" s="46"/>
      <x:c r="U38" s="46"/>
      <x:c r="V38" s="46"/>
      <x:c r="W38" s="46"/>
      <x:c r="X38" s="46"/>
    </x:row>
    <x:row r="39">
      <x:c r="A39" s="46"/>
      <x:c r="B39" s="46"/>
      <x:c r="C39" s="46"/>
      <x:c r="D39" s="46"/>
      <x:c r="E39" s="46"/>
      <x:c r="F39" s="46"/>
      <x:c r="G39" s="46"/>
      <x:c r="H39" s="46"/>
      <x:c r="I39" s="46"/>
      <x:c r="J39" s="46"/>
      <x:c r="K39" s="46"/>
      <x:c r="L39" s="46"/>
      <x:c r="M39" s="46"/>
      <x:c r="N39" s="46"/>
      <x:c r="O39" s="46"/>
      <x:c r="P39" s="46"/>
      <x:c r="Q39" s="46"/>
      <x:c r="R39" s="46"/>
      <x:c r="S39" s="46"/>
      <x:c r="T39" s="46"/>
      <x:c r="U39" s="46"/>
      <x:c r="V39" s="46"/>
      <x:c r="W39" s="46"/>
      <x:c r="X39" s="46"/>
    </x:row>
    <x:row r="40">
      <x:c r="A40" s="46"/>
      <x:c r="B40" s="46"/>
      <x:c r="C40" s="46"/>
      <x:c r="D40" s="46"/>
      <x:c r="E40" s="46"/>
      <x:c r="F40" s="46"/>
      <x:c r="G40" s="46"/>
      <x:c r="H40" s="46"/>
      <x:c r="I40" s="46"/>
      <x:c r="J40" s="46"/>
      <x:c r="K40" s="46"/>
      <x:c r="L40" s="46"/>
      <x:c r="M40" s="46"/>
      <x:c r="N40" s="46"/>
      <x:c r="O40" s="46"/>
      <x:c r="P40" s="46"/>
      <x:c r="Q40" s="46"/>
      <x:c r="R40" s="46"/>
      <x:c r="S40" s="46"/>
      <x:c r="T40" s="46"/>
      <x:c r="U40" s="46"/>
      <x:c r="V40" s="46"/>
      <x:c r="W40" s="46"/>
      <x:c r="X40" s="46"/>
    </x:row>
    <x:row r="41">
      <x:c r="A41" s="46"/>
      <x:c r="B41" s="46"/>
      <x:c r="C41" s="46"/>
      <x:c r="D41" s="46"/>
      <x:c r="E41" s="46"/>
      <x:c r="F41" s="46"/>
      <x:c r="G41" s="46"/>
      <x:c r="H41" s="46"/>
      <x:c r="I41" s="46"/>
      <x:c r="J41" s="46"/>
      <x:c r="K41" s="46"/>
      <x:c r="L41" s="46"/>
      <x:c r="M41" s="46"/>
      <x:c r="N41" s="46"/>
      <x:c r="O41" s="46"/>
      <x:c r="P41" s="46"/>
      <x:c r="Q41" s="46"/>
      <x:c r="R41" s="46"/>
      <x:c r="S41" s="46"/>
      <x:c r="T41" s="46"/>
      <x:c r="U41" s="46"/>
      <x:c r="V41" s="46"/>
      <x:c r="W41" s="46"/>
      <x:c r="X41" s="46"/>
    </x:row>
    <x:row r="42">
      <x:c r="A42" s="46"/>
      <x:c r="B42" s="46"/>
      <x:c r="C42" s="46"/>
      <x:c r="D42" s="46"/>
      <x:c r="E42" s="46"/>
      <x:c r="F42" s="46"/>
      <x:c r="G42" s="46"/>
      <x:c r="H42" s="46"/>
      <x:c r="I42" s="46"/>
      <x:c r="J42" s="46"/>
      <x:c r="K42" s="46"/>
      <x:c r="L42" s="46"/>
      <x:c r="M42" s="46"/>
      <x:c r="N42" s="46"/>
      <x:c r="O42" s="46"/>
      <x:c r="P42" s="46"/>
      <x:c r="Q42" s="46"/>
      <x:c r="R42" s="46"/>
      <x:c r="S42" s="46"/>
      <x:c r="T42" s="46"/>
      <x:c r="U42" s="46"/>
      <x:c r="V42" s="46"/>
      <x:c r="W42" s="46"/>
      <x:c r="X42" s="46"/>
    </x:row>
    <x:row r="43">
      <x:c r="A43" s="46"/>
      <x:c r="B43" s="46"/>
      <x:c r="C43" s="46"/>
      <x:c r="D43" s="46"/>
      <x:c r="E43" s="46"/>
      <x:c r="F43" s="46"/>
      <x:c r="G43" s="46"/>
      <x:c r="H43" s="46"/>
      <x:c r="I43" s="46"/>
      <x:c r="J43" s="46"/>
      <x:c r="K43" s="46"/>
      <x:c r="L43" s="46"/>
      <x:c r="M43" s="46"/>
      <x:c r="N43" s="46"/>
      <x:c r="O43" s="46"/>
      <x:c r="P43" s="46"/>
      <x:c r="Q43" s="46"/>
      <x:c r="R43" s="46"/>
      <x:c r="S43" s="46"/>
      <x:c r="T43" s="46"/>
      <x:c r="U43" s="46"/>
      <x:c r="V43" s="46"/>
      <x:c r="W43" s="46"/>
      <x:c r="X43" s="46"/>
    </x:row>
    <x:row r="44">
      <x:c r="A44" s="46"/>
      <x:c r="B44" s="46"/>
      <x:c r="C44" s="46"/>
      <x:c r="D44" s="46"/>
      <x:c r="E44" s="46"/>
      <x:c r="F44" s="46"/>
      <x:c r="G44" s="46"/>
      <x:c r="H44" s="46"/>
      <x:c r="I44" s="46"/>
      <x:c r="J44" s="46"/>
      <x:c r="K44" s="46"/>
      <x:c r="L44" s="46"/>
      <x:c r="M44" s="46"/>
      <x:c r="N44" s="46"/>
      <x:c r="O44" s="46"/>
      <x:c r="P44" s="46"/>
      <x:c r="Q44" s="46"/>
      <x:c r="R44" s="46"/>
      <x:c r="S44" s="46"/>
      <x:c r="T44" s="46"/>
      <x:c r="U44" s="46"/>
      <x:c r="V44" s="46"/>
      <x:c r="W44" s="46"/>
      <x:c r="X44" s="46"/>
    </x:row>
    <x:row r="45">
      <x:c r="A45" s="46"/>
      <x:c r="B45" s="46"/>
      <x:c r="C45" s="46"/>
      <x:c r="D45" s="46"/>
      <x:c r="E45" s="46"/>
      <x:c r="F45" s="46"/>
      <x:c r="G45" s="46"/>
      <x:c r="H45" s="46"/>
      <x:c r="I45" s="46"/>
      <x:c r="J45" s="46"/>
      <x:c r="K45" s="46"/>
      <x:c r="L45" s="46"/>
      <x:c r="M45" s="46"/>
      <x:c r="N45" s="46"/>
      <x:c r="O45" s="46"/>
      <x:c r="P45" s="46"/>
      <x:c r="Q45" s="46"/>
      <x:c r="R45" s="46"/>
      <x:c r="S45" s="46"/>
      <x:c r="T45" s="46"/>
      <x:c r="U45" s="46"/>
      <x:c r="V45" s="46"/>
      <x:c r="W45" s="46"/>
      <x:c r="X45" s="46"/>
    </x:row>
    <x:row r="46">
      <x:c r="A46" s="46"/>
      <x:c r="B46" s="46"/>
      <x:c r="C46" s="46"/>
      <x:c r="D46" s="46"/>
      <x:c r="E46" s="46"/>
      <x:c r="F46" s="46"/>
      <x:c r="G46" s="46"/>
      <x:c r="H46" s="46"/>
      <x:c r="I46" s="46"/>
      <x:c r="J46" s="46"/>
      <x:c r="K46" s="46"/>
      <x:c r="L46" s="46"/>
      <x:c r="M46" s="46"/>
      <x:c r="N46" s="46"/>
      <x:c r="O46" s="46"/>
      <x:c r="P46" s="46"/>
      <x:c r="Q46" s="46"/>
      <x:c r="R46" s="46"/>
      <x:c r="S46" s="46"/>
      <x:c r="T46" s="46"/>
      <x:c r="U46" s="46"/>
      <x:c r="V46" s="46"/>
      <x:c r="W46" s="46"/>
      <x:c r="X46" s="46"/>
    </x:row>
    <x:row r="47">
      <x:c r="A47" s="46"/>
      <x:c r="B47" s="46"/>
      <x:c r="C47" s="46"/>
      <x:c r="D47" s="46"/>
      <x:c r="E47" s="46"/>
      <x:c r="F47" s="46"/>
      <x:c r="G47" s="46"/>
      <x:c r="H47" s="46"/>
      <x:c r="I47" s="46"/>
      <x:c r="J47" s="46"/>
      <x:c r="K47" s="46"/>
      <x:c r="L47" s="46"/>
      <x:c r="M47" s="46"/>
      <x:c r="N47" s="46"/>
      <x:c r="O47" s="46"/>
      <x:c r="P47" s="46"/>
      <x:c r="Q47" s="46"/>
      <x:c r="R47" s="46"/>
      <x:c r="S47" s="46"/>
      <x:c r="T47" s="46"/>
      <x:c r="U47" s="46"/>
      <x:c r="V47" s="46"/>
      <x:c r="W47" s="46"/>
      <x:c r="X47" s="46"/>
    </x:row>
    <x:row r="48">
      <x:c r="A48" s="46"/>
      <x:c r="B48" s="46"/>
      <x:c r="C48" s="46"/>
      <x:c r="D48" s="46"/>
      <x:c r="E48" s="46"/>
      <x:c r="F48" s="46"/>
      <x:c r="G48" s="46"/>
      <x:c r="H48" s="46"/>
      <x:c r="I48" s="46"/>
      <x:c r="J48" s="46"/>
      <x:c r="K48" s="46"/>
      <x:c r="L48" s="46"/>
      <x:c r="M48" s="46"/>
      <x:c r="N48" s="46"/>
      <x:c r="O48" s="46"/>
      <x:c r="P48" s="46"/>
      <x:c r="Q48" s="46"/>
      <x:c r="R48" s="46"/>
      <x:c r="S48" s="46"/>
      <x:c r="T48" s="46"/>
      <x:c r="U48" s="46"/>
      <x:c r="V48" s="46"/>
      <x:c r="W48" s="46"/>
      <x:c r="X48" s="46"/>
    </x:row>
    <x:row r="49">
      <x:c r="A49" s="46"/>
      <x:c r="B49" s="46"/>
      <x:c r="C49" s="46"/>
      <x:c r="D49" s="46"/>
      <x:c r="E49" s="46"/>
      <x:c r="F49" s="46"/>
      <x:c r="G49" s="46"/>
      <x:c r="H49" s="46"/>
      <x:c r="I49" s="46"/>
      <x:c r="J49" s="46"/>
      <x:c r="K49" s="46"/>
      <x:c r="L49" s="46"/>
      <x:c r="M49" s="46"/>
      <x:c r="N49" s="46"/>
      <x:c r="O49" s="46"/>
      <x:c r="P49" s="46"/>
      <x:c r="Q49" s="46"/>
      <x:c r="R49" s="46"/>
      <x:c r="S49" s="46"/>
      <x:c r="T49" s="46"/>
      <x:c r="U49" s="46"/>
      <x:c r="V49" s="46"/>
      <x:c r="W49" s="46"/>
      <x:c r="X49" s="46"/>
    </x:row>
    <x:row r="50">
      <x:c r="A50" s="46"/>
      <x:c r="B50" s="46"/>
      <x:c r="C50" s="46"/>
      <x:c r="D50" s="46"/>
      <x:c r="E50" s="46"/>
      <x:c r="F50" s="46"/>
      <x:c r="G50" s="46"/>
      <x:c r="H50" s="46"/>
      <x:c r="I50" s="46"/>
      <x:c r="J50" s="46"/>
      <x:c r="K50" s="46"/>
      <x:c r="L50" s="46"/>
      <x:c r="M50" s="46"/>
      <x:c r="N50" s="46"/>
      <x:c r="O50" s="46"/>
      <x:c r="P50" s="46"/>
      <x:c r="Q50" s="46"/>
      <x:c r="R50" s="46"/>
      <x:c r="S50" s="46"/>
      <x:c r="T50" s="46"/>
      <x:c r="U50" s="46"/>
      <x:c r="V50" s="46"/>
      <x:c r="W50" s="46"/>
      <x:c r="X50" s="46"/>
    </x:row>
    <x:row r="51">
      <x:c r="A51" s="46"/>
      <x:c r="B51" s="46"/>
      <x:c r="C51" s="46"/>
      <x:c r="D51" s="46"/>
      <x:c r="E51" s="46"/>
      <x:c r="F51" s="46"/>
      <x:c r="G51" s="46"/>
      <x:c r="H51" s="46"/>
      <x:c r="I51" s="46"/>
      <x:c r="J51" s="46"/>
      <x:c r="K51" s="46"/>
      <x:c r="L51" s="46"/>
      <x:c r="M51" s="46"/>
      <x:c r="N51" s="46"/>
      <x:c r="O51" s="46"/>
      <x:c r="P51" s="46"/>
      <x:c r="Q51" s="46"/>
      <x:c r="R51" s="46"/>
      <x:c r="S51" s="46"/>
      <x:c r="T51" s="46"/>
      <x:c r="U51" s="46"/>
      <x:c r="V51" s="46"/>
      <x:c r="W51" s="46"/>
      <x:c r="X51" s="46"/>
    </x:row>
    <x:row r="52">
      <x:c r="A52" s="46"/>
      <x:c r="B52" s="46"/>
      <x:c r="C52" s="46"/>
      <x:c r="D52" s="46"/>
      <x:c r="E52" s="46"/>
      <x:c r="F52" s="46"/>
      <x:c r="G52" s="46"/>
      <x:c r="H52" s="46"/>
      <x:c r="I52" s="46"/>
      <x:c r="J52" s="46"/>
      <x:c r="K52" s="46"/>
      <x:c r="L52" s="46"/>
      <x:c r="M52" s="46"/>
      <x:c r="N52" s="46"/>
      <x:c r="O52" s="46"/>
      <x:c r="P52" s="46"/>
      <x:c r="Q52" s="46"/>
      <x:c r="R52" s="46"/>
      <x:c r="S52" s="46"/>
      <x:c r="T52" s="46"/>
      <x:c r="U52" s="46"/>
      <x:c r="V52" s="46"/>
      <x:c r="W52" s="46"/>
      <x:c r="X52" s="46"/>
    </x:row>
    <x:row r="53">
      <x:c r="A53" s="46"/>
      <x:c r="B53" s="46"/>
      <x:c r="C53" s="46"/>
      <x:c r="D53" s="46"/>
      <x:c r="E53" s="46"/>
      <x:c r="F53" s="46"/>
      <x:c r="G53" s="46"/>
      <x:c r="H53" s="46"/>
      <x:c r="I53" s="46"/>
      <x:c r="J53" s="46"/>
      <x:c r="K53" s="46"/>
      <x:c r="L53" s="46"/>
      <x:c r="M53" s="46"/>
      <x:c r="N53" s="46"/>
      <x:c r="O53" s="46"/>
      <x:c r="P53" s="46"/>
      <x:c r="Q53" s="46"/>
      <x:c r="R53" s="46"/>
      <x:c r="S53" s="46"/>
      <x:c r="T53" s="46"/>
      <x:c r="U53" s="46"/>
      <x:c r="V53" s="46"/>
      <x:c r="W53" s="46"/>
      <x:c r="X53" s="46"/>
    </x:row>
    <x:row r="54">
      <x:c r="A54" s="46"/>
      <x:c r="B54" s="46"/>
      <x:c r="C54" s="46"/>
      <x:c r="D54" s="46"/>
      <x:c r="E54" s="46"/>
      <x:c r="F54" s="46"/>
      <x:c r="G54" s="46"/>
      <x:c r="H54" s="46"/>
      <x:c r="I54" s="46"/>
      <x:c r="J54" s="46"/>
      <x:c r="K54" s="46"/>
      <x:c r="L54" s="46"/>
      <x:c r="M54" s="46"/>
      <x:c r="N54" s="46"/>
      <x:c r="O54" s="46"/>
      <x:c r="P54" s="46"/>
      <x:c r="Q54" s="46"/>
      <x:c r="R54" s="46"/>
      <x:c r="S54" s="46"/>
      <x:c r="T54" s="46"/>
      <x:c r="U54" s="46"/>
      <x:c r="V54" s="46"/>
      <x:c r="W54" s="46"/>
      <x:c r="X54" s="46"/>
    </x:row>
    <x:row r="55">
      <x:c r="A55" s="46"/>
      <x:c r="B55" s="46"/>
      <x:c r="C55" s="46"/>
      <x:c r="D55" s="46"/>
      <x:c r="E55" s="46"/>
      <x:c r="F55" s="46"/>
      <x:c r="G55" s="46"/>
      <x:c r="H55" s="46"/>
      <x:c r="I55" s="46"/>
      <x:c r="J55" s="46"/>
      <x:c r="K55" s="46"/>
      <x:c r="L55" s="46"/>
      <x:c r="M55" s="46"/>
      <x:c r="N55" s="46"/>
      <x:c r="O55" s="46"/>
      <x:c r="P55" s="46"/>
      <x:c r="Q55" s="46"/>
      <x:c r="R55" s="46"/>
      <x:c r="S55" s="46"/>
      <x:c r="T55" s="46"/>
      <x:c r="U55" s="46"/>
      <x:c r="V55" s="46"/>
      <x:c r="W55" s="46"/>
      <x:c r="X55" s="46"/>
    </x:row>
    <x:row r="56">
      <x:c r="A56" s="46"/>
      <x:c r="B56" s="46"/>
      <x:c r="C56" s="46"/>
      <x:c r="D56" s="46"/>
      <x:c r="E56" s="46"/>
      <x:c r="F56" s="46"/>
      <x:c r="G56" s="46"/>
      <x:c r="H56" s="46"/>
      <x:c r="I56" s="46"/>
      <x:c r="J56" s="46"/>
      <x:c r="K56" s="46"/>
      <x:c r="L56" s="46"/>
      <x:c r="M56" s="46"/>
      <x:c r="N56" s="46"/>
      <x:c r="O56" s="46"/>
      <x:c r="P56" s="46"/>
      <x:c r="Q56" s="46"/>
      <x:c r="R56" s="46"/>
      <x:c r="S56" s="46"/>
      <x:c r="T56" s="46"/>
      <x:c r="U56" s="46"/>
      <x:c r="V56" s="46"/>
      <x:c r="W56" s="46"/>
      <x:c r="X56" s="46"/>
    </x:row>
    <x:row r="57">
      <x:c r="A57" s="46"/>
      <x:c r="B57" s="46"/>
      <x:c r="C57" s="46"/>
      <x:c r="D57" s="46"/>
      <x:c r="E57" s="46"/>
      <x:c r="F57" s="46"/>
      <x:c r="G57" s="46"/>
      <x:c r="H57" s="46"/>
      <x:c r="I57" s="46"/>
      <x:c r="J57" s="46"/>
      <x:c r="K57" s="46"/>
      <x:c r="L57" s="46"/>
      <x:c r="M57" s="46"/>
      <x:c r="N57" s="46"/>
      <x:c r="O57" s="46"/>
      <x:c r="P57" s="46"/>
      <x:c r="Q57" s="46"/>
      <x:c r="R57" s="46"/>
      <x:c r="S57" s="46"/>
      <x:c r="T57" s="46"/>
      <x:c r="U57" s="46"/>
      <x:c r="V57" s="46"/>
      <x:c r="W57" s="46"/>
      <x:c r="X57" s="46"/>
    </x:row>
    <x:row r="58">
      <x:c r="A58" s="46"/>
      <x:c r="B58" s="46"/>
      <x:c r="C58" s="46"/>
      <x:c r="D58" s="46"/>
      <x:c r="E58" s="46"/>
      <x:c r="F58" s="46"/>
      <x:c r="G58" s="46"/>
      <x:c r="H58" s="46"/>
      <x:c r="I58" s="46"/>
      <x:c r="J58" s="46"/>
      <x:c r="K58" s="46"/>
      <x:c r="L58" s="46"/>
      <x:c r="M58" s="46"/>
      <x:c r="N58" s="46"/>
      <x:c r="O58" s="46"/>
      <x:c r="P58" s="46"/>
      <x:c r="Q58" s="46"/>
      <x:c r="R58" s="46"/>
      <x:c r="S58" s="46"/>
      <x:c r="T58" s="46"/>
      <x:c r="U58" s="46"/>
      <x:c r="V58" s="46"/>
      <x:c r="W58" s="46"/>
      <x:c r="X58" s="46"/>
    </x:row>
    <x:row r="59">
      <x:c r="A59" s="46"/>
      <x:c r="B59" s="46"/>
      <x:c r="C59" s="46"/>
      <x:c r="D59" s="46"/>
      <x:c r="E59" s="46"/>
      <x:c r="F59" s="46"/>
      <x:c r="G59" s="46"/>
      <x:c r="H59" s="46"/>
      <x:c r="I59" s="46"/>
      <x:c r="J59" s="46"/>
      <x:c r="K59" s="46"/>
      <x:c r="L59" s="46"/>
      <x:c r="M59" s="46"/>
      <x:c r="N59" s="46"/>
      <x:c r="O59" s="46"/>
      <x:c r="P59" s="46"/>
      <x:c r="Q59" s="46"/>
      <x:c r="R59" s="46"/>
      <x:c r="S59" s="46"/>
      <x:c r="T59" s="46"/>
      <x:c r="U59" s="46"/>
      <x:c r="V59" s="46"/>
      <x:c r="W59" s="46"/>
      <x:c r="X59" s="46"/>
    </x:row>
    <x:row r="60">
      <x:c r="A60" s="46"/>
      <x:c r="B60" s="46"/>
      <x:c r="C60" s="46"/>
      <x:c r="D60" s="46"/>
      <x:c r="E60" s="46"/>
      <x:c r="F60" s="46"/>
      <x:c r="G60" s="46"/>
      <x:c r="H60" s="46"/>
      <x:c r="I60" s="46"/>
      <x:c r="J60" s="46"/>
      <x:c r="K60" s="46"/>
      <x:c r="L60" s="46"/>
      <x:c r="M60" s="46"/>
      <x:c r="N60" s="46"/>
      <x:c r="O60" s="46"/>
      <x:c r="P60" s="46"/>
      <x:c r="Q60" s="46"/>
      <x:c r="R60" s="46"/>
      <x:c r="S60" s="46"/>
      <x:c r="T60" s="46"/>
      <x:c r="U60" s="46"/>
      <x:c r="V60" s="46"/>
      <x:c r="W60" s="46"/>
      <x:c r="X60" s="46"/>
    </x:row>
    <x:row r="61">
      <x:c r="A61" s="46"/>
      <x:c r="B61" s="46"/>
      <x:c r="C61" s="46"/>
      <x:c r="D61" s="46"/>
      <x:c r="E61" s="46"/>
      <x:c r="F61" s="46"/>
      <x:c r="G61" s="46"/>
      <x:c r="H61" s="46"/>
      <x:c r="I61" s="46"/>
      <x:c r="J61" s="46"/>
      <x:c r="K61" s="46"/>
      <x:c r="L61" s="46"/>
      <x:c r="M61" s="46"/>
      <x:c r="N61" s="46"/>
      <x:c r="O61" s="46"/>
      <x:c r="P61" s="46"/>
      <x:c r="Q61" s="46"/>
      <x:c r="R61" s="46"/>
      <x:c r="S61" s="46"/>
      <x:c r="T61" s="46"/>
      <x:c r="U61" s="46"/>
      <x:c r="V61" s="46"/>
      <x:c r="W61" s="46"/>
      <x:c r="X61" s="46"/>
    </x:row>
    <x:row r="62">
      <x:c r="A62" s="46"/>
      <x:c r="B62" s="46"/>
      <x:c r="C62" s="46"/>
      <x:c r="D62" s="46"/>
      <x:c r="E62" s="46"/>
      <x:c r="F62" s="46"/>
      <x:c r="G62" s="46"/>
      <x:c r="H62" s="46"/>
      <x:c r="I62" s="46"/>
      <x:c r="J62" s="46"/>
      <x:c r="K62" s="46"/>
      <x:c r="L62" s="46"/>
      <x:c r="M62" s="46"/>
      <x:c r="N62" s="46"/>
      <x:c r="O62" s="46"/>
      <x:c r="P62" s="46"/>
      <x:c r="Q62" s="46"/>
      <x:c r="R62" s="46"/>
      <x:c r="S62" s="46"/>
      <x:c r="T62" s="46"/>
      <x:c r="U62" s="46"/>
      <x:c r="V62" s="46"/>
      <x:c r="W62" s="46"/>
      <x:c r="X62" s="46"/>
    </x:row>
    <x:row r="63">
      <x:c r="A63" s="46"/>
      <x:c r="B63" s="46"/>
      <x:c r="C63" s="46"/>
      <x:c r="D63" s="46"/>
      <x:c r="E63" s="46"/>
      <x:c r="F63" s="46"/>
      <x:c r="G63" s="46"/>
      <x:c r="H63" s="46"/>
      <x:c r="I63" s="46"/>
      <x:c r="J63" s="46"/>
      <x:c r="K63" s="46"/>
      <x:c r="L63" s="46"/>
      <x:c r="M63" s="46"/>
      <x:c r="N63" s="46"/>
      <x:c r="O63" s="46"/>
      <x:c r="P63" s="46"/>
      <x:c r="Q63" s="46"/>
      <x:c r="R63" s="46"/>
      <x:c r="S63" s="46"/>
      <x:c r="T63" s="46"/>
      <x:c r="U63" s="46"/>
      <x:c r="V63" s="46"/>
      <x:c r="W63" s="46"/>
      <x:c r="X63" s="46"/>
    </x:row>
    <x:row r="64">
      <x:c r="A64" s="46"/>
      <x:c r="B64" s="46"/>
      <x:c r="C64" s="46"/>
      <x:c r="D64" s="46"/>
      <x:c r="E64" s="46"/>
      <x:c r="F64" s="46"/>
      <x:c r="G64" s="46"/>
      <x:c r="H64" s="46"/>
      <x:c r="I64" s="46"/>
      <x:c r="J64" s="46"/>
      <x:c r="K64" s="46"/>
      <x:c r="L64" s="46"/>
      <x:c r="M64" s="46"/>
      <x:c r="N64" s="46"/>
      <x:c r="O64" s="46"/>
      <x:c r="P64" s="46"/>
      <x:c r="Q64" s="46"/>
      <x:c r="R64" s="46"/>
      <x:c r="S64" s="46"/>
      <x:c r="T64" s="46"/>
      <x:c r="U64" s="46"/>
      <x:c r="V64" s="46"/>
      <x:c r="W64" s="46"/>
      <x:c r="X64" s="46"/>
    </x:row>
    <x:row r="65">
      <x:c r="A65" s="46"/>
      <x:c r="B65" s="46"/>
      <x:c r="C65" s="46"/>
      <x:c r="D65" s="46"/>
      <x:c r="E65" s="46"/>
      <x:c r="F65" s="46"/>
      <x:c r="G65" s="46"/>
      <x:c r="H65" s="46"/>
      <x:c r="I65" s="46"/>
      <x:c r="J65" s="46"/>
      <x:c r="K65" s="46"/>
      <x:c r="L65" s="46"/>
      <x:c r="M65" s="46"/>
      <x:c r="N65" s="46"/>
      <x:c r="O65" s="46"/>
      <x:c r="P65" s="46"/>
      <x:c r="Q65" s="46"/>
      <x:c r="R65" s="46"/>
      <x:c r="S65" s="46"/>
      <x:c r="T65" s="46"/>
      <x:c r="U65" s="46"/>
      <x:c r="V65" s="46"/>
      <x:c r="W65" s="46"/>
      <x:c r="X65" s="46"/>
    </x:row>
    <x:row r="66">
      <x:c r="A66" s="46"/>
      <x:c r="B66" s="46"/>
      <x:c r="C66" s="46"/>
      <x:c r="D66" s="46"/>
      <x:c r="E66" s="46"/>
      <x:c r="F66" s="46"/>
      <x:c r="G66" s="46"/>
      <x:c r="H66" s="46"/>
      <x:c r="I66" s="46"/>
      <x:c r="J66" s="46"/>
      <x:c r="K66" s="46"/>
      <x:c r="L66" s="46"/>
      <x:c r="M66" s="46"/>
      <x:c r="N66" s="46"/>
      <x:c r="O66" s="46"/>
      <x:c r="P66" s="46"/>
      <x:c r="Q66" s="46"/>
      <x:c r="R66" s="46"/>
      <x:c r="S66" s="46"/>
      <x:c r="T66" s="46"/>
      <x:c r="U66" s="46"/>
      <x:c r="V66" s="46"/>
      <x:c r="W66" s="46"/>
      <x:c r="X66" s="46"/>
    </x:row>
    <x:row r="67">
      <x:c r="A67" s="46"/>
      <x:c r="B67" s="46"/>
      <x:c r="C67" s="46"/>
      <x:c r="D67" s="46"/>
      <x:c r="E67" s="46"/>
      <x:c r="F67" s="46"/>
      <x:c r="G67" s="46"/>
      <x:c r="H67" s="46"/>
      <x:c r="I67" s="46"/>
      <x:c r="J67" s="46"/>
      <x:c r="K67" s="46"/>
      <x:c r="L67" s="46"/>
      <x:c r="M67" s="46"/>
      <x:c r="N67" s="46"/>
      <x:c r="O67" s="46"/>
      <x:c r="P67" s="46"/>
      <x:c r="Q67" s="46"/>
      <x:c r="R67" s="46"/>
      <x:c r="S67" s="46"/>
      <x:c r="T67" s="46"/>
      <x:c r="U67" s="46"/>
      <x:c r="V67" s="46"/>
      <x:c r="W67" s="46"/>
      <x:c r="X67" s="46"/>
    </x:row>
    <x:row r="68">
      <x:c r="A68" s="46"/>
      <x:c r="B68" s="46"/>
      <x:c r="C68" s="46"/>
      <x:c r="D68" s="46"/>
      <x:c r="E68" s="46"/>
      <x:c r="F68" s="46"/>
      <x:c r="G68" s="46"/>
      <x:c r="H68" s="46"/>
      <x:c r="I68" s="46"/>
      <x:c r="J68" s="46"/>
      <x:c r="K68" s="46"/>
      <x:c r="L68" s="46"/>
      <x:c r="M68" s="46"/>
      <x:c r="N68" s="46"/>
      <x:c r="O68" s="46"/>
      <x:c r="P68" s="46"/>
      <x:c r="Q68" s="46"/>
      <x:c r="R68" s="46"/>
      <x:c r="S68" s="46"/>
      <x:c r="T68" s="46"/>
      <x:c r="U68" s="46"/>
      <x:c r="V68" s="46"/>
      <x:c r="W68" s="46"/>
      <x:c r="X68" s="46"/>
    </x:row>
    <x:row r="69">
      <x:c r="A69" s="46"/>
      <x:c r="B69" s="46"/>
      <x:c r="C69" s="46"/>
      <x:c r="D69" s="46"/>
      <x:c r="E69" s="46"/>
      <x:c r="F69" s="46"/>
      <x:c r="G69" s="46"/>
      <x:c r="H69" s="46"/>
      <x:c r="I69" s="46"/>
      <x:c r="J69" s="46"/>
      <x:c r="K69" s="46"/>
      <x:c r="L69" s="46"/>
      <x:c r="M69" s="46"/>
      <x:c r="N69" s="46"/>
      <x:c r="O69" s="46"/>
      <x:c r="P69" s="46"/>
      <x:c r="Q69" s="46"/>
      <x:c r="R69" s="46"/>
      <x:c r="S69" s="46"/>
      <x:c r="T69" s="46"/>
      <x:c r="U69" s="46"/>
      <x:c r="V69" s="46"/>
      <x:c r="W69" s="46"/>
      <x:c r="X69" s="46"/>
    </x:row>
    <x:row r="70">
      <x:c r="A70" s="46"/>
      <x:c r="B70" s="46"/>
      <x:c r="C70" s="46"/>
      <x:c r="D70" s="46"/>
      <x:c r="E70" s="46"/>
      <x:c r="F70" s="46"/>
      <x:c r="G70" s="46"/>
      <x:c r="H70" s="46"/>
      <x:c r="I70" s="46"/>
      <x:c r="J70" s="46"/>
      <x:c r="K70" s="46"/>
      <x:c r="L70" s="46"/>
      <x:c r="M70" s="46"/>
      <x:c r="N70" s="46"/>
      <x:c r="O70" s="46"/>
      <x:c r="P70" s="46"/>
      <x:c r="Q70" s="46"/>
      <x:c r="R70" s="46"/>
      <x:c r="S70" s="46"/>
      <x:c r="T70" s="46"/>
      <x:c r="U70" s="46"/>
      <x:c r="V70" s="46"/>
      <x:c r="W70" s="46"/>
      <x:c r="X70" s="46"/>
    </x:row>
    <x:row r="71">
      <x:c r="A71" s="46"/>
      <x:c r="B71" s="46"/>
      <x:c r="C71" s="46"/>
      <x:c r="D71" s="46"/>
      <x:c r="E71" s="46"/>
      <x:c r="F71" s="46"/>
      <x:c r="G71" s="46"/>
      <x:c r="H71" s="46"/>
      <x:c r="I71" s="46"/>
      <x:c r="J71" s="46"/>
      <x:c r="K71" s="46"/>
      <x:c r="L71" s="46"/>
      <x:c r="M71" s="46"/>
      <x:c r="N71" s="46"/>
      <x:c r="O71" s="46"/>
      <x:c r="P71" s="46"/>
      <x:c r="Q71" s="46"/>
      <x:c r="R71" s="46"/>
      <x:c r="S71" s="46"/>
      <x:c r="T71" s="46"/>
      <x:c r="U71" s="46"/>
      <x:c r="V71" s="46"/>
      <x:c r="W71" s="46"/>
      <x:c r="X71" s="46"/>
    </x:row>
    <x:row r="72">
      <x:c r="A72" s="46"/>
      <x:c r="B72" s="46"/>
      <x:c r="C72" s="46"/>
      <x:c r="D72" s="46"/>
      <x:c r="E72" s="46"/>
      <x:c r="F72" s="46"/>
      <x:c r="G72" s="46"/>
      <x:c r="H72" s="46"/>
      <x:c r="I72" s="46"/>
      <x:c r="J72" s="46"/>
      <x:c r="K72" s="46"/>
      <x:c r="L72" s="46"/>
      <x:c r="M72" s="46"/>
      <x:c r="N72" s="46"/>
      <x:c r="O72" s="46"/>
      <x:c r="P72" s="46"/>
      <x:c r="Q72" s="46"/>
      <x:c r="R72" s="46"/>
      <x:c r="S72" s="46"/>
      <x:c r="T72" s="46"/>
      <x:c r="U72" s="46"/>
      <x:c r="V72" s="46"/>
      <x:c r="W72" s="46"/>
      <x:c r="X72" s="46"/>
    </x:row>
    <x:row r="73">
      <x:c r="A73" s="46"/>
      <x:c r="B73" s="46"/>
      <x:c r="C73" s="46"/>
      <x:c r="D73" s="46"/>
      <x:c r="E73" s="46"/>
      <x:c r="F73" s="46"/>
      <x:c r="G73" s="46"/>
      <x:c r="H73" s="46"/>
      <x:c r="I73" s="46"/>
      <x:c r="J73" s="46"/>
      <x:c r="K73" s="46"/>
      <x:c r="L73" s="46"/>
      <x:c r="M73" s="46"/>
      <x:c r="N73" s="46"/>
      <x:c r="O73" s="46"/>
      <x:c r="P73" s="46"/>
      <x:c r="Q73" s="46"/>
      <x:c r="R73" s="46"/>
      <x:c r="S73" s="46"/>
      <x:c r="T73" s="46"/>
      <x:c r="U73" s="46"/>
      <x:c r="V73" s="46"/>
      <x:c r="W73" s="46"/>
      <x:c r="X73" s="46"/>
    </x:row>
    <x:row r="74">
      <x:c r="A74" s="46"/>
      <x:c r="B74" s="46"/>
      <x:c r="C74" s="46"/>
      <x:c r="D74" s="46"/>
      <x:c r="E74" s="46"/>
      <x:c r="F74" s="46"/>
      <x:c r="G74" s="46"/>
      <x:c r="H74" s="46"/>
      <x:c r="I74" s="46"/>
      <x:c r="J74" s="46"/>
      <x:c r="K74" s="46"/>
      <x:c r="L74" s="46"/>
      <x:c r="M74" s="46"/>
      <x:c r="N74" s="46"/>
      <x:c r="O74" s="46"/>
      <x:c r="P74" s="46"/>
      <x:c r="Q74" s="46"/>
      <x:c r="R74" s="46"/>
      <x:c r="S74" s="46"/>
      <x:c r="T74" s="46"/>
      <x:c r="U74" s="46"/>
      <x:c r="V74" s="46"/>
      <x:c r="W74" s="46"/>
      <x:c r="X74" s="46"/>
    </x:row>
    <x:row r="75">
      <x:c r="A75" s="46"/>
      <x:c r="B75" s="46"/>
      <x:c r="C75" s="46"/>
      <x:c r="D75" s="46"/>
      <x:c r="E75" s="46"/>
      <x:c r="F75" s="46"/>
      <x:c r="G75" s="46"/>
      <x:c r="H75" s="46"/>
      <x:c r="I75" s="46"/>
      <x:c r="J75" s="46"/>
      <x:c r="K75" s="46"/>
      <x:c r="L75" s="46"/>
      <x:c r="M75" s="46"/>
      <x:c r="N75" s="46"/>
      <x:c r="O75" s="46"/>
      <x:c r="P75" s="46"/>
      <x:c r="Q75" s="46"/>
      <x:c r="R75" s="46"/>
      <x:c r="S75" s="46"/>
      <x:c r="T75" s="46"/>
      <x:c r="U75" s="46"/>
      <x:c r="V75" s="46"/>
      <x:c r="W75" s="46"/>
      <x:c r="X75" s="46"/>
    </x:row>
    <x:row r="76">
      <x:c r="A76" s="46"/>
      <x:c r="B76" s="46"/>
      <x:c r="C76" s="46"/>
      <x:c r="D76" s="46"/>
      <x:c r="E76" s="46"/>
      <x:c r="F76" s="46"/>
      <x:c r="G76" s="46"/>
      <x:c r="H76" s="46"/>
      <x:c r="I76" s="46"/>
      <x:c r="J76" s="46"/>
      <x:c r="K76" s="46"/>
      <x:c r="L76" s="46"/>
      <x:c r="M76" s="46"/>
      <x:c r="N76" s="46"/>
      <x:c r="O76" s="46"/>
      <x:c r="P76" s="46"/>
      <x:c r="Q76" s="46"/>
      <x:c r="R76" s="46"/>
      <x:c r="S76" s="46"/>
      <x:c r="T76" s="46"/>
      <x:c r="U76" s="46"/>
      <x:c r="V76" s="46"/>
      <x:c r="W76" s="46"/>
      <x:c r="X76" s="46"/>
    </x:row>
    <x:row r="77">
      <x:c r="A77" s="46"/>
      <x:c r="B77" s="46"/>
      <x:c r="C77" s="46"/>
      <x:c r="D77" s="46"/>
      <x:c r="E77" s="46"/>
      <x:c r="F77" s="46"/>
      <x:c r="G77" s="46"/>
      <x:c r="H77" s="46"/>
      <x:c r="I77" s="46"/>
      <x:c r="J77" s="46"/>
      <x:c r="K77" s="46"/>
      <x:c r="L77" s="46"/>
      <x:c r="M77" s="46"/>
      <x:c r="N77" s="46"/>
      <x:c r="O77" s="46"/>
      <x:c r="P77" s="46"/>
      <x:c r="Q77" s="46"/>
      <x:c r="R77" s="46"/>
      <x:c r="S77" s="46"/>
      <x:c r="T77" s="46"/>
      <x:c r="U77" s="46"/>
      <x:c r="V77" s="46"/>
      <x:c r="W77" s="46"/>
      <x:c r="X77" s="46"/>
    </x:row>
    <x:row r="78">
      <x:c r="A78" s="46"/>
      <x:c r="B78" s="46"/>
      <x:c r="C78" s="46"/>
      <x:c r="D78" s="46"/>
      <x:c r="E78" s="46"/>
      <x:c r="F78" s="46"/>
      <x:c r="G78" s="46"/>
      <x:c r="H78" s="46"/>
      <x:c r="I78" s="46"/>
      <x:c r="J78" s="46"/>
      <x:c r="K78" s="46"/>
      <x:c r="L78" s="46"/>
      <x:c r="M78" s="46"/>
      <x:c r="N78" s="46"/>
      <x:c r="O78" s="46"/>
      <x:c r="P78" s="46"/>
      <x:c r="Q78" s="46"/>
      <x:c r="R78" s="46"/>
      <x:c r="S78" s="46"/>
      <x:c r="T78" s="46"/>
      <x:c r="U78" s="46"/>
      <x:c r="V78" s="46"/>
      <x:c r="W78" s="46"/>
      <x:c r="X78" s="46"/>
    </x:row>
    <x:row r="79">
      <x:c r="A79" s="46"/>
      <x:c r="B79" s="46"/>
      <x:c r="C79" s="46"/>
      <x:c r="D79" s="46"/>
      <x:c r="E79" s="46"/>
      <x:c r="F79" s="46"/>
      <x:c r="G79" s="46"/>
      <x:c r="H79" s="46"/>
      <x:c r="I79" s="46"/>
      <x:c r="J79" s="46"/>
      <x:c r="K79" s="46"/>
      <x:c r="L79" s="46"/>
      <x:c r="M79" s="46"/>
      <x:c r="N79" s="46"/>
      <x:c r="O79" s="46"/>
      <x:c r="P79" s="46"/>
      <x:c r="Q79" s="46"/>
      <x:c r="R79" s="46"/>
      <x:c r="S79" s="46"/>
      <x:c r="T79" s="46"/>
      <x:c r="U79" s="46"/>
      <x:c r="V79" s="46"/>
      <x:c r="W79" s="46"/>
      <x:c r="X79" s="46"/>
    </x:row>
    <x:row r="80">
      <x:c r="A80" s="46"/>
      <x:c r="B80" s="46"/>
      <x:c r="C80" s="46"/>
      <x:c r="D80" s="46"/>
      <x:c r="E80" s="46"/>
      <x:c r="F80" s="46"/>
      <x:c r="G80" s="46"/>
      <x:c r="H80" s="46"/>
      <x:c r="I80" s="46"/>
      <x:c r="J80" s="46"/>
      <x:c r="K80" s="46"/>
      <x:c r="L80" s="46"/>
      <x:c r="M80" s="46"/>
      <x:c r="N80" s="46"/>
      <x:c r="O80" s="46"/>
      <x:c r="P80" s="46"/>
      <x:c r="Q80" s="46"/>
      <x:c r="R80" s="46"/>
      <x:c r="S80" s="46"/>
      <x:c r="T80" s="46"/>
      <x:c r="U80" s="46"/>
      <x:c r="V80" s="46"/>
      <x:c r="W80" s="46"/>
      <x:c r="X80" s="46"/>
    </x:row>
  </x:sheetData>
  <x:conditionalFormatting sqref="J2:K13">
    <x:cfRule type="colorScale" priority="1">
      <x:colorScale>
        <x:cfvo type="min"/>
        <x:cfvo type="percentile" val="50"/>
        <x:cfvo type="max"/>
        <x:color rgb="FF63BE7B"/>
        <x:color rgb="FFFFEB84"/>
        <x:color rgb="FFF8696B"/>
      </x:colorScale>
    </x:cfRule>
  </x:conditionalFormatting>
  <x:conditionalFormatting sqref="M2:M13">
    <x:cfRule type="dataBar" priority="2">
      <x:dataBar>
        <x:cfvo type="min"/>
        <x:cfvo type="max"/>
        <x:color rgb="FFA02B93"/>
      </x:dataBar>
      <x:extLst>
        <x:ext xmlns:x14="http://schemas.microsoft.com/office/spreadsheetml/2009/9/main" uri="{B025F937-C7B1-47D3-B67F-A62EFF666E3E}">
          <x14:id>{3AF33C0B-0E91-FC46-3229-B5B3A877AD86}</x14:id>
        </x:ext>
      </x:extLst>
    </x:cfRule>
  </x:conditionalFormatting>
  <x:pageMargins left="0.7" right="0.7" top="0.75" bottom="0.75" header="0.3" footer="0.3"/>
  <x:tableParts count="1">
    <x:tablePart xmlns:r="http://schemas.openxmlformats.org/officeDocument/2006/relationships" r:id="Rb23edef2759945ba"/>
  </x:tableParts>
  <x:extLst>
    <x:ext xmlns:x14="http://schemas.microsoft.com/office/spreadsheetml/2009/9/main" xmlns:xm="http://schemas.microsoft.com/office/excel/2006/main" uri="{78C0D931-6437-407d-A8EE-F0AAD7539E65}">
      <x14:conditionalFormattings>
        <x14:conditionalFormatting>
          <x14:cfRule type="dataBar" priority="2" id="{3AF33C0B-0E91-FC46-3229-B5B3A877AD86}">
            <x14:dataBar gradient="1">
              <x14:cfvo type="min"/>
              <x14:cfvo type="max"/>
              <x14:fillColor rgb="FFA02B93"/>
            </x14:dataBar>
          </x14:cfRule>
          <xm:sqref>M2:M13</xm:sqref>
        </x14:conditionalFormatting>
      </x14:conditionalFormattings>
    </x:ext>
  </x:extLst>
</x:worksheet>
</file>

<file path=xl/worksheets/sheet3.xml><?xml version="1.0" encoding="utf-8"?>
<x:worksheet xmlns:x="http://schemas.openxmlformats.org/spreadsheetml/2006/main">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42" hidden="0" customWidth="1"/>
    <x:col min="12" max="12" width="28" hidden="0" customWidth="1"/>
  </x:cols>
  <x:sheetData>
    <x:row r="1">
      <x:c r="A1" s="12" t="str">
        <x:v>Sensor</x:v>
      </x:c>
      <x:c r="B1" s="12" t="str">
        <x:v>Role</x:v>
      </x:c>
      <x:c r="C1" s="12" t="str">
        <x:v>Axis</x:v>
      </x:c>
      <x:c r="D1" s="12" t="str">
        <x:v>+g selected mean</x:v>
      </x:c>
      <x:c r="E1" s="12" t="str">
        <x:v>−g selected mean</x:v>
      </x:c>
      <x:c r="F1" s="12" t="str">
        <x:v>Candidate bias b (m/s²)</x:v>
      </x:c>
      <x:c r="G1" s="12" t="str">
        <x:v>Candidate bias (mg)</x:v>
      </x:c>
      <x:c r="H1" s="12" t="str">
        <x:v>Measured sensitivity ratio s</x:v>
      </x:c>
      <x:c r="I1" s="12" t="str">
        <x:v>Span error (%)</x:v>
      </x:c>
      <x:c r="J1" s="12" t="str">
        <x:v>Correction gain K=1/s</x:v>
      </x:c>
      <x:c r="K1" s="12" t="str">
        <x:v>Correction equation</x:v>
      </x:c>
      <x:c r="L1" s="12" t="str">
        <x:v>Freeze status</x:v>
      </x:c>
      <x:c r="M1" s="46"/>
      <x:c r="N1" s="12" t="str">
        <x:v>Constant</x:v>
      </x:c>
      <x:c r="O1" s="12" t="str">
        <x:v>Value</x:v>
      </x:c>
      <x:c r="P1" s="46"/>
      <x:c r="Q1" s="46"/>
      <x:c r="R1" s="46"/>
      <x:c r="S1" s="46"/>
      <x:c r="T1" s="46"/>
      <x:c r="U1" s="46"/>
      <x:c r="V1" s="46"/>
      <x:c r="W1" s="46"/>
      <x:c r="X1" s="46"/>
    </x:row>
    <x:row r="2">
      <x:c r="A2" s="46" t="str">
        <x:v>ADXL1</x:v>
      </x:c>
      <x:c r="B2" s="46" t="str">
        <x:v>Tool/reference</x:v>
      </x:c>
      <x:c r="C2" s="46" t="str">
        <x:v>X</x:v>
      </x:c>
      <x:c r="D2" s="58" t="n">
        <x:v>9.629546</x:v>
      </x:c>
      <x:c r="E2" s="58" t="n">
        <x:v>-9.510226</x:v>
      </x:c>
      <x:c r="F2" s="58" t="n">
        <x:f>(D2+E2)/2</x:f>
        <x:v>0.059660000000000046</x:v>
      </x:c>
      <x:c r="G2" s="58" t="n">
        <x:f>F2/$O$2*1000</x:f>
        <x:v>6.083626926626325</x:v>
      </x:c>
      <x:c r="H2" s="58" t="n">
        <x:f>(D2-E2)/(2*$O$2)</x:f>
        <x:v>0.9758567910550495</x:v>
      </x:c>
      <x:c r="I2" s="58" t="n">
        <x:f>(H2-1)*100</x:f>
        <x:v>-2.414320894495048</x:v>
      </x:c>
      <x:c r="J2" s="58" t="n">
        <x:f>1/H2</x:f>
        <x:v>1.0247405245997705</x:v>
      </x:c>
      <x:c r="K2" s="46" t="str">
        <x:v>aX,corr = 1.024741 × (aX,raw − (0.059660))</x:v>
      </x:c>
      <x:c r="L2" s="46" t="str">
        <x:v>Candidate — independent validation required</x:v>
      </x:c>
      <x:c r="M2" s="46"/>
      <x:c r="N2" s="46" t="str">
        <x:v>g (m/s²)</x:v>
      </x:c>
      <x:c r="O2" s="72" t="n">
        <x:v>9.80665</x:v>
      </x:c>
      <x:c r="P2" s="46"/>
      <x:c r="Q2" s="46"/>
      <x:c r="R2" s="46"/>
      <x:c r="S2" s="46"/>
      <x:c r="T2" s="46"/>
      <x:c r="U2" s="46"/>
      <x:c r="V2" s="46"/>
      <x:c r="W2" s="46"/>
      <x:c r="X2" s="46"/>
    </x:row>
    <x:row r="3">
      <x:c r="A3" s="46" t="str">
        <x:v>ADXL1</x:v>
      </x:c>
      <x:c r="B3" s="46" t="str">
        <x:v>Tool/reference</x:v>
      </x:c>
      <x:c r="C3" s="46" t="str">
        <x:v>Y</x:v>
      </x:c>
      <x:c r="D3" s="58" t="n">
        <x:v>9.807509</x:v>
      </x:c>
      <x:c r="E3" s="58" t="n">
        <x:v>-9.554607</x:v>
      </x:c>
      <x:c r="F3" s="58" t="n">
        <x:f>(D3+E3)/2</x:f>
        <x:v>0.12645099999999942</x:v>
      </x:c>
      <x:c r="G3" s="58" t="n">
        <x:f>F3/$O$2*1000</x:f>
        <x:v>12.894413484727142</x:v>
      </x:c>
      <x:c r="H3" s="58" t="n">
        <x:f>(D3-E3)/(2*$O$2)</x:f>
        <x:v>0.9871931801379676</x:v>
      </x:c>
      <x:c r="I3" s="58" t="n">
        <x:f>(H3-1)*100</x:f>
        <x:v>-1.280681986203236</x:v>
      </x:c>
      <x:c r="J3" s="58" t="n">
        <x:f>1/H3</x:f>
        <x:v>1.0129729622526793</x:v>
      </x:c>
      <x:c r="K3" s="46" t="str">
        <x:v>aY,corr = 1.012973 × (aY,raw − (0.126451))</x:v>
      </x:c>
      <x:c r="L3" s="46" t="str">
        <x:v>Candidate — independent validation required</x:v>
      </x:c>
      <x:c r="M3" s="46"/>
      <x:c r="N3" s="46"/>
      <x:c r="O3" s="46"/>
      <x:c r="P3" s="46"/>
      <x:c r="Q3" s="46"/>
      <x:c r="R3" s="46"/>
      <x:c r="S3" s="46"/>
      <x:c r="T3" s="46"/>
      <x:c r="U3" s="46"/>
      <x:c r="V3" s="46"/>
      <x:c r="W3" s="46"/>
      <x:c r="X3" s="46"/>
    </x:row>
    <x:row r="4">
      <x:c r="A4" s="46" t="str">
        <x:v>ADXL1</x:v>
      </x:c>
      <x:c r="B4" s="46" t="str">
        <x:v>Tool/reference</x:v>
      </x:c>
      <x:c r="C4" s="46" t="str">
        <x:v>Z</x:v>
      </x:c>
      <x:c r="D4" s="58" t="n">
        <x:v>8.837584</x:v>
      </x:c>
      <x:c r="E4" s="58" t="n">
        <x:v>-10.215163</x:v>
      </x:c>
      <x:c r="F4" s="58" t="n">
        <x:f>(D4+E4)/2</x:f>
        <x:v>-0.6887895000000004</x:v>
      </x:c>
      <x:c r="G4" s="58" t="n">
        <x:f>F4/$O$2*1000</x:f>
        <x:v>-70.23698204789612</x:v>
      </x:c>
      <x:c r="H4" s="58" t="n">
        <x:f>(D4-E4)/(2*$O$2)</x:f>
        <x:v>0.9714197508833292</x:v>
      </x:c>
      <x:c r="I4" s="58" t="n">
        <x:f>(H4-1)*100</x:f>
        <x:v>-2.8580249116670786</x:v>
      </x:c>
      <x:c r="J4" s="58" t="n">
        <x:f>1/H4</x:f>
        <x:v>1.0294211118218282</x:v>
      </x:c>
      <x:c r="K4" s="46" t="str">
        <x:v>aZ,corr = 1.029421 × (aZ,raw − (-0.688790))</x:v>
      </x:c>
      <x:c r="L4" s="46" t="str">
        <x:v>Candidate — independent validation required</x:v>
      </x:c>
      <x:c r="M4" s="46"/>
      <x:c r="N4" s="46"/>
      <x:c r="O4" s="46"/>
      <x:c r="P4" s="46"/>
      <x:c r="Q4" s="46"/>
      <x:c r="R4" s="46"/>
      <x:c r="S4" s="46"/>
      <x:c r="T4" s="46"/>
      <x:c r="U4" s="46"/>
      <x:c r="V4" s="46"/>
      <x:c r="W4" s="46"/>
      <x:c r="X4" s="46"/>
    </x:row>
    <x:row r="5">
      <x:c r="A5" s="46" t="str">
        <x:v>ADXL2</x:v>
      </x:c>
      <x:c r="B5" s="46" t="str">
        <x:v>Hand/error</x:v>
      </x:c>
      <x:c r="C5" s="46" t="str">
        <x:v>X</x:v>
      </x:c>
      <x:c r="D5" s="58" t="n">
        <x:v>9.805357</x:v>
      </x:c>
      <x:c r="E5" s="58" t="n">
        <x:v>-9.923497</x:v>
      </x:c>
      <x:c r="F5" s="58" t="n">
        <x:f>(D5+E5)/2</x:f>
        <x:v>-0.05906999999999929</x:v>
      </x:c>
      <x:c r="G5" s="58" t="n">
        <x:f>F5/$O$2*1000</x:f>
        <x:v>-6.023463670060551</x:v>
      </x:c>
      <x:c r="H5" s="58" t="n">
        <x:f>(D5-E5)/(2*$O$2)</x:f>
        <x:v>1.0058916143637227</x:v>
      </x:c>
      <x:c r="I5" s="58" t="n">
        <x:f>(H5-1)*100</x:f>
        <x:v>0.5891614363722653</x:v>
      </x:c>
      <x:c r="J5" s="58" t="n">
        <x:f>1/H5</x:f>
        <x:v>0.9941428934493609</x:v>
      </x:c>
      <x:c r="K5" s="46" t="str">
        <x:v>aX,corr = 0.994143 × (aX,raw − (-0.059070))</x:v>
      </x:c>
      <x:c r="L5" s="46" t="str">
        <x:v>Candidate — independent validation required</x:v>
      </x:c>
      <x:c r="M5" s="46"/>
      <x:c r="N5" s="46"/>
      <x:c r="O5" s="46"/>
      <x:c r="P5" s="46"/>
      <x:c r="Q5" s="46"/>
      <x:c r="R5" s="46"/>
      <x:c r="S5" s="46"/>
      <x:c r="T5" s="46"/>
      <x:c r="U5" s="46"/>
      <x:c r="V5" s="46"/>
      <x:c r="W5" s="46"/>
      <x:c r="X5" s="46"/>
    </x:row>
    <x:row r="6">
      <x:c r="A6" s="46" t="str">
        <x:v>ADXL2</x:v>
      </x:c>
      <x:c r="B6" s="46" t="str">
        <x:v>Hand/error</x:v>
      </x:c>
      <x:c r="C6" s="46" t="str">
        <x:v>Y</x:v>
      </x:c>
      <x:c r="D6" s="58" t="n">
        <x:v>10.226844</x:v>
      </x:c>
      <x:c r="E6" s="58" t="n">
        <x:v>-9.601801</x:v>
      </x:c>
      <x:c r="F6" s="58" t="n">
        <x:f>(D6+E6)/2</x:f>
        <x:v>0.3125214999999999</x:v>
      </x:c>
      <x:c r="G6" s="58" t="n">
        <x:f>F6/$O$2*1000</x:f>
        <x:v>31.868324045418152</x:v>
      </x:c>
      <x:c r="H6" s="58" t="n">
        <x:f>(D6-E6)/(2*$O$2)</x:f>
        <x:v>1.0109795393941867</x:v>
      </x:c>
      <x:c r="I6" s="58" t="n">
        <x:f>(H6-1)*100</x:f>
        <x:v>1.0979539394186721</x:v>
      </x:c>
      <x:c r="J6" s="58" t="n">
        <x:f>1/H6</x:f>
        <x:v>0.9891397016790606</x:v>
      </x:c>
      <x:c r="K6" s="46" t="str">
        <x:v>aY,corr = 0.989140 × (aY,raw − (0.312521))</x:v>
      </x:c>
      <x:c r="L6" s="46" t="str">
        <x:v>Candidate — independent validation required</x:v>
      </x:c>
      <x:c r="M6" s="46"/>
      <x:c r="N6" s="46"/>
      <x:c r="O6" s="46"/>
      <x:c r="P6" s="46"/>
      <x:c r="Q6" s="46"/>
      <x:c r="R6" s="46"/>
      <x:c r="S6" s="46"/>
      <x:c r="T6" s="46"/>
      <x:c r="U6" s="46"/>
      <x:c r="V6" s="46"/>
      <x:c r="W6" s="46"/>
      <x:c r="X6" s="46"/>
    </x:row>
    <x:row r="7">
      <x:c r="A7" s="46" t="str">
        <x:v>ADXL2</x:v>
      </x:c>
      <x:c r="B7" s="46" t="str">
        <x:v>Hand/error</x:v>
      </x:c>
      <x:c r="C7" s="46" t="str">
        <x:v>Z</x:v>
      </x:c>
      <x:c r="D7" s="58" t="n">
        <x:v>11.216983</x:v>
      </x:c>
      <x:c r="E7" s="58" t="n">
        <x:v>-8.171547</x:v>
      </x:c>
      <x:c r="F7" s="58" t="n">
        <x:f>(D7+E7)/2</x:f>
        <x:v>1.5227180000000002</x:v>
      </x:c>
      <x:c r="G7" s="58" t="n">
        <x:f>F7/$O$2*1000</x:f>
        <x:v>155.27402323933254</x:v>
      </x:c>
      <x:c r="H7" s="58" t="n">
        <x:f>(D7-E7)/(2*$O$2)</x:f>
        <x:v>0.9885399193404477</x:v>
      </x:c>
      <x:c r="I7" s="58" t="n">
        <x:f>(H7-1)*100</x:f>
        <x:v>-1.1460080659552285</x:v>
      </x:c>
      <x:c r="J7" s="58" t="n">
        <x:f>1/H7</x:f>
        <x:v>1.0115929366486267</x:v>
      </x:c>
      <x:c r="K7" s="46" t="str">
        <x:v>aZ,corr = 1.011593 × (aZ,raw − (1.522718))</x:v>
      </x:c>
      <x:c r="L7" s="46" t="str">
        <x:v>Candidate — independent validation required</x:v>
      </x:c>
      <x:c r="M7" s="46"/>
      <x:c r="N7" s="46"/>
      <x:c r="O7" s="46"/>
      <x:c r="P7" s="46"/>
      <x:c r="Q7" s="46"/>
      <x:c r="R7" s="46"/>
      <x:c r="S7" s="46"/>
      <x:c r="T7" s="46"/>
      <x:c r="U7" s="46"/>
      <x:c r="V7" s="46"/>
      <x:c r="W7" s="46"/>
      <x:c r="X7" s="46"/>
    </x:row>
    <x:row r="8">
      <x:c r="A8" s="46"/>
      <x:c r="B8" s="46"/>
      <x:c r="C8" s="46"/>
      <x:c r="D8" s="46"/>
      <x:c r="E8" s="46"/>
      <x:c r="F8" s="46"/>
      <x:c r="G8" s="46"/>
      <x:c r="H8" s="46"/>
      <x:c r="I8" s="46"/>
      <x:c r="J8" s="46"/>
      <x:c r="K8" s="46"/>
      <x:c r="L8" s="46"/>
      <x:c r="M8" s="46"/>
      <x:c r="N8" s="46"/>
      <x:c r="O8" s="46"/>
      <x:c r="P8" s="46"/>
      <x:c r="Q8" s="46"/>
      <x:c r="R8" s="46"/>
      <x:c r="S8" s="46"/>
      <x:c r="T8" s="46"/>
      <x:c r="U8" s="46"/>
      <x:c r="V8" s="46"/>
      <x:c r="W8" s="46"/>
      <x:c r="X8" s="46"/>
    </x:row>
    <x:row r="9">
      <x:c r="A9" s="46"/>
      <x:c r="B9" s="46"/>
      <x:c r="C9" s="46"/>
      <x:c r="D9" s="46"/>
      <x:c r="E9" s="46"/>
      <x:c r="F9" s="46"/>
      <x:c r="G9" s="46"/>
      <x:c r="H9" s="46"/>
      <x:c r="I9" s="46"/>
      <x:c r="J9" s="46"/>
      <x:c r="K9" s="46"/>
      <x:c r="L9" s="46"/>
      <x:c r="M9" s="46"/>
      <x:c r="N9" s="46"/>
      <x:c r="O9" s="46"/>
      <x:c r="P9" s="46"/>
      <x:c r="Q9" s="46"/>
      <x:c r="R9" s="46"/>
      <x:c r="S9" s="46"/>
      <x:c r="T9" s="46"/>
      <x:c r="U9" s="46"/>
      <x:c r="V9" s="46"/>
      <x:c r="W9" s="46"/>
      <x:c r="X9" s="46"/>
    </x:row>
    <x:row r="10">
      <x:c r="A10" s="59" t="str">
        <x:v>Definitions:  bᵢ=(aᵢ⁺+aᵢ⁻)/2;  sᵢ=(aᵢ⁺−aᵢ⁻)/(2g);  Kᵢ=1/sᵢ;  aᵢ,corr=Kᵢ(aᵢ,raw−bᵢ), with g=9.80665 m/s².</x:v>
      </x:c>
      <x:c r="B10" s="59"/>
      <x:c r="C10" s="59"/>
      <x:c r="D10" s="59"/>
      <x:c r="E10" s="59"/>
      <x:c r="F10" s="59"/>
      <x:c r="G10" s="59"/>
      <x:c r="H10" s="59"/>
      <x:c r="I10" s="59"/>
      <x:c r="J10" s="59"/>
      <x:c r="K10" s="59"/>
      <x:c r="L10" s="59"/>
      <x:c r="M10" s="46"/>
      <x:c r="N10" s="46"/>
      <x:c r="O10" s="46"/>
      <x:c r="P10" s="46"/>
      <x:c r="Q10" s="46"/>
      <x:c r="R10" s="46"/>
      <x:c r="S10" s="46"/>
      <x:c r="T10" s="46"/>
      <x:c r="U10" s="46"/>
      <x:c r="V10" s="46"/>
      <x:c r="W10" s="46"/>
      <x:c r="X10" s="46"/>
    </x:row>
    <x:row r="11">
      <x:c r="A11" s="46"/>
      <x:c r="B11" s="46"/>
      <x:c r="C11" s="46"/>
      <x:c r="D11" s="46"/>
      <x:c r="E11" s="46"/>
      <x:c r="F11" s="46"/>
      <x:c r="G11" s="46"/>
      <x:c r="H11" s="46"/>
      <x:c r="I11" s="46"/>
      <x:c r="J11" s="46"/>
      <x:c r="K11" s="46"/>
      <x:c r="L11" s="46"/>
      <x:c r="M11" s="46"/>
      <x:c r="N11" s="46"/>
      <x:c r="O11" s="46"/>
      <x:c r="P11" s="46"/>
      <x:c r="Q11" s="46"/>
      <x:c r="R11" s="46"/>
      <x:c r="S11" s="46"/>
      <x:c r="T11" s="46"/>
      <x:c r="U11" s="46"/>
      <x:c r="V11" s="46"/>
      <x:c r="W11" s="46"/>
      <x:c r="X11" s="46"/>
    </x:row>
    <x:row r="12">
      <x:c r="A12" s="46"/>
      <x:c r="B12" s="46"/>
      <x:c r="C12" s="46"/>
      <x:c r="D12" s="46"/>
      <x:c r="E12" s="46"/>
      <x:c r="F12" s="46"/>
      <x:c r="G12" s="46"/>
      <x:c r="H12" s="46"/>
      <x:c r="I12" s="46"/>
      <x:c r="J12" s="46"/>
      <x:c r="K12" s="46"/>
      <x:c r="L12" s="46"/>
      <x:c r="M12" s="46"/>
      <x:c r="N12" s="46"/>
      <x:c r="O12" s="46"/>
      <x:c r="P12" s="46"/>
      <x:c r="Q12" s="46"/>
      <x:c r="R12" s="46"/>
      <x:c r="S12" s="46"/>
      <x:c r="T12" s="46"/>
      <x:c r="U12" s="46"/>
      <x:c r="V12" s="46"/>
      <x:c r="W12" s="46"/>
      <x:c r="X12" s="46"/>
    </x:row>
    <x:row r="13">
      <x:c r="A13" s="46"/>
      <x:c r="B13" s="46"/>
      <x:c r="C13" s="46"/>
      <x:c r="D13" s="46"/>
      <x:c r="E13" s="46"/>
      <x:c r="F13" s="46"/>
      <x:c r="G13" s="46"/>
      <x:c r="H13" s="46"/>
      <x:c r="I13" s="46"/>
      <x:c r="J13" s="46"/>
      <x:c r="K13" s="46"/>
      <x:c r="L13" s="46"/>
      <x:c r="M13" s="46"/>
      <x:c r="N13" s="46"/>
      <x:c r="O13" s="46"/>
      <x:c r="P13" s="46"/>
      <x:c r="Q13" s="46"/>
      <x:c r="R13" s="46"/>
      <x:c r="S13" s="46"/>
      <x:c r="T13" s="46"/>
      <x:c r="U13" s="46"/>
      <x:c r="V13" s="46"/>
      <x:c r="W13" s="46"/>
      <x:c r="X13" s="46"/>
    </x:row>
    <x:row r="14">
      <x:c r="A14" s="46"/>
      <x:c r="B14" s="46"/>
      <x:c r="C14" s="46"/>
      <x:c r="D14" s="46"/>
      <x:c r="E14" s="46"/>
      <x:c r="F14" s="46"/>
      <x:c r="G14" s="46"/>
      <x:c r="H14" s="46"/>
      <x:c r="I14" s="46"/>
      <x:c r="J14" s="46"/>
      <x:c r="K14" s="46"/>
      <x:c r="L14" s="46"/>
      <x:c r="M14" s="46"/>
      <x:c r="N14" s="46"/>
      <x:c r="O14" s="46"/>
      <x:c r="P14" s="46"/>
      <x:c r="Q14" s="46"/>
      <x:c r="R14" s="46"/>
      <x:c r="S14" s="46"/>
      <x:c r="T14" s="46"/>
      <x:c r="U14" s="46"/>
      <x:c r="V14" s="46"/>
      <x:c r="W14" s="46"/>
      <x:c r="X14" s="46"/>
    </x:row>
    <x:row r="15">
      <x:c r="A15" s="46"/>
      <x:c r="B15" s="46"/>
      <x:c r="C15" s="46"/>
      <x:c r="D15" s="46"/>
      <x:c r="E15" s="46"/>
      <x:c r="F15" s="46"/>
      <x:c r="G15" s="46"/>
      <x:c r="H15" s="46"/>
      <x:c r="I15" s="46"/>
      <x:c r="J15" s="46"/>
      <x:c r="K15" s="46"/>
      <x:c r="L15" s="46"/>
      <x:c r="M15" s="46"/>
      <x:c r="N15" s="46"/>
      <x:c r="O15" s="46"/>
      <x:c r="P15" s="46"/>
      <x:c r="Q15" s="46"/>
      <x:c r="R15" s="46"/>
      <x:c r="S15" s="46"/>
      <x:c r="T15" s="46"/>
      <x:c r="U15" s="46"/>
      <x:c r="V15" s="46"/>
      <x:c r="W15" s="46"/>
      <x:c r="X15" s="46"/>
    </x:row>
    <x:row r="16">
      <x:c r="A16" s="46"/>
      <x:c r="B16" s="46"/>
      <x:c r="C16" s="46"/>
      <x:c r="D16" s="46"/>
      <x:c r="E16" s="46"/>
      <x:c r="F16" s="46"/>
      <x:c r="G16" s="46"/>
      <x:c r="H16" s="46"/>
      <x:c r="I16" s="46"/>
      <x:c r="J16" s="46"/>
      <x:c r="K16" s="46"/>
      <x:c r="L16" s="46"/>
      <x:c r="M16" s="46"/>
      <x:c r="N16" s="46"/>
      <x:c r="O16" s="46"/>
      <x:c r="P16" s="46"/>
      <x:c r="Q16" s="46"/>
      <x:c r="R16" s="46"/>
      <x:c r="S16" s="46"/>
      <x:c r="T16" s="46"/>
      <x:c r="U16" s="46"/>
      <x:c r="V16" s="46"/>
      <x:c r="W16" s="46"/>
      <x:c r="X16" s="46"/>
    </x:row>
    <x:row r="17">
      <x:c r="A17" s="46"/>
      <x:c r="B17" s="46"/>
      <x:c r="C17" s="46"/>
      <x:c r="D17" s="46"/>
      <x:c r="E17" s="46"/>
      <x:c r="F17" s="46"/>
      <x:c r="G17" s="46"/>
      <x:c r="H17" s="46"/>
      <x:c r="I17" s="46"/>
      <x:c r="J17" s="46"/>
      <x:c r="K17" s="46"/>
      <x:c r="L17" s="46"/>
      <x:c r="M17" s="46"/>
      <x:c r="N17" s="46"/>
      <x:c r="O17" s="46"/>
      <x:c r="P17" s="46"/>
      <x:c r="Q17" s="46"/>
      <x:c r="R17" s="46"/>
      <x:c r="S17" s="46"/>
      <x:c r="T17" s="46"/>
      <x:c r="U17" s="46"/>
      <x:c r="V17" s="46"/>
      <x:c r="W17" s="46"/>
      <x:c r="X17" s="46"/>
    </x:row>
    <x:row r="18">
      <x:c r="A18" s="46"/>
      <x:c r="B18" s="46"/>
      <x:c r="C18" s="46"/>
      <x:c r="D18" s="46"/>
      <x:c r="E18" s="46"/>
      <x:c r="F18" s="46"/>
      <x:c r="G18" s="46"/>
      <x:c r="H18" s="46"/>
      <x:c r="I18" s="46"/>
      <x:c r="J18" s="46"/>
      <x:c r="K18" s="46"/>
      <x:c r="L18" s="46"/>
      <x:c r="M18" s="46"/>
      <x:c r="N18" s="46"/>
      <x:c r="O18" s="46"/>
      <x:c r="P18" s="46"/>
      <x:c r="Q18" s="46"/>
      <x:c r="R18" s="46"/>
      <x:c r="S18" s="46"/>
      <x:c r="T18" s="46"/>
      <x:c r="U18" s="46"/>
      <x:c r="V18" s="46"/>
      <x:c r="W18" s="46"/>
      <x:c r="X18" s="46"/>
    </x:row>
    <x:row r="19">
      <x:c r="A19" s="46"/>
      <x:c r="B19" s="46"/>
      <x:c r="C19" s="46"/>
      <x:c r="D19" s="46"/>
      <x:c r="E19" s="46"/>
      <x:c r="F19" s="46"/>
      <x:c r="G19" s="46"/>
      <x:c r="H19" s="46"/>
      <x:c r="I19" s="46"/>
      <x:c r="J19" s="46"/>
      <x:c r="K19" s="46"/>
      <x:c r="L19" s="46"/>
      <x:c r="M19" s="46"/>
      <x:c r="N19" s="46"/>
      <x:c r="O19" s="46"/>
      <x:c r="P19" s="46"/>
      <x:c r="Q19" s="46"/>
      <x:c r="R19" s="46"/>
      <x:c r="S19" s="46"/>
      <x:c r="T19" s="46"/>
      <x:c r="U19" s="46"/>
      <x:c r="V19" s="46"/>
      <x:c r="W19" s="46"/>
      <x:c r="X19" s="46"/>
    </x:row>
    <x:row r="20">
      <x:c r="A20" s="46"/>
      <x:c r="B20" s="46"/>
      <x:c r="C20" s="46"/>
      <x:c r="D20" s="46"/>
      <x:c r="E20" s="46"/>
      <x:c r="F20" s="46"/>
      <x:c r="G20" s="46"/>
      <x:c r="H20" s="46"/>
      <x:c r="I20" s="46"/>
      <x:c r="J20" s="46"/>
      <x:c r="K20" s="46"/>
      <x:c r="L20" s="46"/>
      <x:c r="M20" s="46"/>
      <x:c r="N20" s="46"/>
      <x:c r="O20" s="46"/>
      <x:c r="P20" s="46"/>
      <x:c r="Q20" s="46"/>
      <x:c r="R20" s="46"/>
      <x:c r="S20" s="46"/>
      <x:c r="T20" s="46"/>
      <x:c r="U20" s="46"/>
      <x:c r="V20" s="46"/>
      <x:c r="W20" s="46"/>
      <x:c r="X20" s="46"/>
    </x:row>
    <x:row r="21">
      <x:c r="A21" s="46"/>
      <x:c r="B21" s="46"/>
      <x:c r="C21" s="46"/>
      <x:c r="D21" s="46"/>
      <x:c r="E21" s="46"/>
      <x:c r="F21" s="46"/>
      <x:c r="G21" s="46"/>
      <x:c r="H21" s="46"/>
      <x:c r="I21" s="46"/>
      <x:c r="J21" s="46"/>
      <x:c r="K21" s="46"/>
      <x:c r="L21" s="46"/>
      <x:c r="M21" s="46"/>
      <x:c r="N21" s="46"/>
      <x:c r="O21" s="46"/>
      <x:c r="P21" s="46"/>
      <x:c r="Q21" s="46"/>
      <x:c r="R21" s="46"/>
      <x:c r="S21" s="46"/>
      <x:c r="T21" s="46"/>
      <x:c r="U21" s="46"/>
      <x:c r="V21" s="46"/>
      <x:c r="W21" s="46"/>
      <x:c r="X21" s="46"/>
    </x:row>
    <x:row r="22">
      <x:c r="A22" s="46"/>
      <x:c r="B22" s="46"/>
      <x:c r="C22" s="46"/>
      <x:c r="D22" s="46"/>
      <x:c r="E22" s="46"/>
      <x:c r="F22" s="46"/>
      <x:c r="G22" s="46"/>
      <x:c r="H22" s="46"/>
      <x:c r="I22" s="46"/>
      <x:c r="J22" s="46"/>
      <x:c r="K22" s="46"/>
      <x:c r="L22" s="46"/>
      <x:c r="M22" s="46"/>
      <x:c r="N22" s="46"/>
      <x:c r="O22" s="46"/>
      <x:c r="P22" s="46"/>
      <x:c r="Q22" s="46"/>
      <x:c r="R22" s="46"/>
      <x:c r="S22" s="46"/>
      <x:c r="T22" s="46"/>
      <x:c r="U22" s="46"/>
      <x:c r="V22" s="46"/>
      <x:c r="W22" s="46"/>
      <x:c r="X22" s="46"/>
    </x:row>
    <x:row r="23">
      <x:c r="A23" s="46"/>
      <x:c r="B23" s="46"/>
      <x:c r="C23" s="46"/>
      <x:c r="D23" s="46"/>
      <x:c r="E23" s="46"/>
      <x:c r="F23" s="46"/>
      <x:c r="G23" s="46"/>
      <x:c r="H23" s="46"/>
      <x:c r="I23" s="46"/>
      <x:c r="J23" s="46"/>
      <x:c r="K23" s="46"/>
      <x:c r="L23" s="46"/>
      <x:c r="M23" s="46"/>
      <x:c r="N23" s="46"/>
      <x:c r="O23" s="46"/>
      <x:c r="P23" s="46"/>
      <x:c r="Q23" s="46"/>
      <x:c r="R23" s="46"/>
      <x:c r="S23" s="46"/>
      <x:c r="T23" s="46"/>
      <x:c r="U23" s="46"/>
      <x:c r="V23" s="46"/>
      <x:c r="W23" s="46"/>
      <x:c r="X23" s="46"/>
    </x:row>
    <x:row r="24">
      <x:c r="A24" s="46"/>
      <x:c r="B24" s="46"/>
      <x:c r="C24" s="46"/>
      <x:c r="D24" s="46"/>
      <x:c r="E24" s="46"/>
      <x:c r="F24" s="46"/>
      <x:c r="G24" s="46"/>
      <x:c r="H24" s="46"/>
      <x:c r="I24" s="46"/>
      <x:c r="J24" s="46"/>
      <x:c r="K24" s="46"/>
      <x:c r="L24" s="46"/>
      <x:c r="M24" s="46"/>
      <x:c r="N24" s="46"/>
      <x:c r="O24" s="46"/>
      <x:c r="P24" s="46"/>
      <x:c r="Q24" s="46"/>
      <x:c r="R24" s="46"/>
      <x:c r="S24" s="46"/>
      <x:c r="T24" s="46"/>
      <x:c r="U24" s="46"/>
      <x:c r="V24" s="46"/>
      <x:c r="W24" s="46"/>
      <x:c r="X24" s="46"/>
    </x:row>
    <x:row r="25">
      <x:c r="A25" s="46"/>
      <x:c r="B25" s="46"/>
      <x:c r="C25" s="46"/>
      <x:c r="D25" s="46"/>
      <x:c r="E25" s="46"/>
      <x:c r="F25" s="46"/>
      <x:c r="G25" s="46"/>
      <x:c r="H25" s="46"/>
      <x:c r="I25" s="46"/>
      <x:c r="J25" s="46"/>
      <x:c r="K25" s="46"/>
      <x:c r="L25" s="46"/>
      <x:c r="M25" s="46"/>
      <x:c r="N25" s="46"/>
      <x:c r="O25" s="46"/>
      <x:c r="P25" s="46"/>
      <x:c r="Q25" s="46"/>
      <x:c r="R25" s="46"/>
      <x:c r="S25" s="46"/>
      <x:c r="T25" s="46"/>
      <x:c r="U25" s="46"/>
      <x:c r="V25" s="46"/>
      <x:c r="W25" s="46"/>
      <x:c r="X25" s="46"/>
    </x:row>
    <x:row r="26">
      <x:c r="A26" s="46"/>
      <x:c r="B26" s="46"/>
      <x:c r="C26" s="46"/>
      <x:c r="D26" s="46"/>
      <x:c r="E26" s="46"/>
      <x:c r="F26" s="46"/>
      <x:c r="G26" s="46"/>
      <x:c r="H26" s="46"/>
      <x:c r="I26" s="46"/>
      <x:c r="J26" s="46"/>
      <x:c r="K26" s="46"/>
      <x:c r="L26" s="46"/>
      <x:c r="M26" s="46"/>
      <x:c r="N26" s="46"/>
      <x:c r="O26" s="46"/>
      <x:c r="P26" s="46"/>
      <x:c r="Q26" s="46"/>
      <x:c r="R26" s="46"/>
      <x:c r="S26" s="46"/>
      <x:c r="T26" s="46"/>
      <x:c r="U26" s="46"/>
      <x:c r="V26" s="46"/>
      <x:c r="W26" s="46"/>
      <x:c r="X26" s="46"/>
    </x:row>
    <x:row r="27">
      <x:c r="A27" s="46"/>
      <x:c r="B27" s="46"/>
      <x:c r="C27" s="46"/>
      <x:c r="D27" s="46"/>
      <x:c r="E27" s="46"/>
      <x:c r="F27" s="46"/>
      <x:c r="G27" s="46"/>
      <x:c r="H27" s="46"/>
      <x:c r="I27" s="46"/>
      <x:c r="J27" s="46"/>
      <x:c r="K27" s="46"/>
      <x:c r="L27" s="46"/>
      <x:c r="M27" s="46"/>
      <x:c r="N27" s="46"/>
      <x:c r="O27" s="46"/>
      <x:c r="P27" s="46"/>
      <x:c r="Q27" s="46"/>
      <x:c r="R27" s="46"/>
      <x:c r="S27" s="46"/>
      <x:c r="T27" s="46"/>
      <x:c r="U27" s="46"/>
      <x:c r="V27" s="46"/>
      <x:c r="W27" s="46"/>
      <x:c r="X27" s="46"/>
    </x:row>
    <x:row r="28">
      <x:c r="A28" s="46"/>
      <x:c r="B28" s="46"/>
      <x:c r="C28" s="46"/>
      <x:c r="D28" s="46"/>
      <x:c r="E28" s="46"/>
      <x:c r="F28" s="46"/>
      <x:c r="G28" s="46"/>
      <x:c r="H28" s="46"/>
      <x:c r="I28" s="46"/>
      <x:c r="J28" s="46"/>
      <x:c r="K28" s="46"/>
      <x:c r="L28" s="46"/>
      <x:c r="M28" s="46"/>
      <x:c r="N28" s="46"/>
      <x:c r="O28" s="46"/>
      <x:c r="P28" s="46"/>
      <x:c r="Q28" s="46"/>
      <x:c r="R28" s="46"/>
      <x:c r="S28" s="46"/>
      <x:c r="T28" s="46"/>
      <x:c r="U28" s="46"/>
      <x:c r="V28" s="46"/>
      <x:c r="W28" s="46"/>
      <x:c r="X28" s="46"/>
    </x:row>
    <x:row r="29">
      <x:c r="A29" s="46"/>
      <x:c r="B29" s="46"/>
      <x:c r="C29" s="46"/>
      <x:c r="D29" s="46"/>
      <x:c r="E29" s="46"/>
      <x:c r="F29" s="46"/>
      <x:c r="G29" s="46"/>
      <x:c r="H29" s="46"/>
      <x:c r="I29" s="46"/>
      <x:c r="J29" s="46"/>
      <x:c r="K29" s="46"/>
      <x:c r="L29" s="46"/>
      <x:c r="M29" s="46"/>
      <x:c r="N29" s="46"/>
      <x:c r="O29" s="46"/>
      <x:c r="P29" s="46"/>
      <x:c r="Q29" s="46"/>
      <x:c r="R29" s="46"/>
      <x:c r="S29" s="46"/>
      <x:c r="T29" s="46"/>
      <x:c r="U29" s="46"/>
      <x:c r="V29" s="46"/>
      <x:c r="W29" s="46"/>
      <x:c r="X29" s="46"/>
    </x:row>
    <x:row r="30">
      <x:c r="A30" s="46"/>
      <x:c r="B30" s="46"/>
      <x:c r="C30" s="46"/>
      <x:c r="D30" s="46"/>
      <x:c r="E30" s="46"/>
      <x:c r="F30" s="46"/>
      <x:c r="G30" s="46"/>
      <x:c r="H30" s="46"/>
      <x:c r="I30" s="46"/>
      <x:c r="J30" s="46"/>
      <x:c r="K30" s="46"/>
      <x:c r="L30" s="46"/>
      <x:c r="M30" s="46"/>
      <x:c r="N30" s="46"/>
      <x:c r="O30" s="46"/>
      <x:c r="P30" s="46"/>
      <x:c r="Q30" s="46"/>
      <x:c r="R30" s="46"/>
      <x:c r="S30" s="46"/>
      <x:c r="T30" s="46"/>
      <x:c r="U30" s="46"/>
      <x:c r="V30" s="46"/>
      <x:c r="W30" s="46"/>
      <x:c r="X30" s="46"/>
    </x:row>
    <x:row r="31">
      <x:c r="A31" s="46"/>
      <x:c r="B31" s="46"/>
      <x:c r="C31" s="46"/>
      <x:c r="D31" s="46"/>
      <x:c r="E31" s="46"/>
      <x:c r="F31" s="46"/>
      <x:c r="G31" s="46"/>
      <x:c r="H31" s="46"/>
      <x:c r="I31" s="46"/>
      <x:c r="J31" s="46"/>
      <x:c r="K31" s="46"/>
      <x:c r="L31" s="46"/>
      <x:c r="M31" s="46"/>
      <x:c r="N31" s="46"/>
      <x:c r="O31" s="46"/>
      <x:c r="P31" s="46"/>
      <x:c r="Q31" s="46"/>
      <x:c r="R31" s="46"/>
      <x:c r="S31" s="46"/>
      <x:c r="T31" s="46"/>
      <x:c r="U31" s="46"/>
      <x:c r="V31" s="46"/>
      <x:c r="W31" s="46"/>
      <x:c r="X31" s="46"/>
    </x:row>
    <x:row r="32">
      <x:c r="A32" s="46"/>
      <x:c r="B32" s="46"/>
      <x:c r="C32" s="46"/>
      <x:c r="D32" s="46"/>
      <x:c r="E32" s="46"/>
      <x:c r="F32" s="46"/>
      <x:c r="G32" s="46"/>
      <x:c r="H32" s="46"/>
      <x:c r="I32" s="46"/>
      <x:c r="J32" s="46"/>
      <x:c r="K32" s="46"/>
      <x:c r="L32" s="46"/>
      <x:c r="M32" s="46"/>
      <x:c r="N32" s="46"/>
      <x:c r="O32" s="46"/>
      <x:c r="P32" s="46"/>
      <x:c r="Q32" s="46"/>
      <x:c r="R32" s="46"/>
      <x:c r="S32" s="46"/>
      <x:c r="T32" s="46"/>
      <x:c r="U32" s="46"/>
      <x:c r="V32" s="46"/>
      <x:c r="W32" s="46"/>
      <x:c r="X32" s="46"/>
    </x:row>
    <x:row r="33">
      <x:c r="A33" s="46"/>
      <x:c r="B33" s="46"/>
      <x:c r="C33" s="46"/>
      <x:c r="D33" s="46"/>
      <x:c r="E33" s="46"/>
      <x:c r="F33" s="46"/>
      <x:c r="G33" s="46"/>
      <x:c r="H33" s="46"/>
      <x:c r="I33" s="46"/>
      <x:c r="J33" s="46"/>
      <x:c r="K33" s="46"/>
      <x:c r="L33" s="46"/>
      <x:c r="M33" s="46"/>
      <x:c r="N33" s="46"/>
      <x:c r="O33" s="46"/>
      <x:c r="P33" s="46"/>
      <x:c r="Q33" s="46"/>
      <x:c r="R33" s="46"/>
      <x:c r="S33" s="46"/>
      <x:c r="T33" s="46"/>
      <x:c r="U33" s="46"/>
      <x:c r="V33" s="46"/>
      <x:c r="W33" s="46"/>
      <x:c r="X33" s="46"/>
    </x:row>
    <x:row r="34">
      <x:c r="A34" s="46"/>
      <x:c r="B34" s="46"/>
      <x:c r="C34" s="46"/>
      <x:c r="D34" s="46"/>
      <x:c r="E34" s="46"/>
      <x:c r="F34" s="46"/>
      <x:c r="G34" s="46"/>
      <x:c r="H34" s="46"/>
      <x:c r="I34" s="46"/>
      <x:c r="J34" s="46"/>
      <x:c r="K34" s="46"/>
      <x:c r="L34" s="46"/>
      <x:c r="M34" s="46"/>
      <x:c r="N34" s="46"/>
      <x:c r="O34" s="46"/>
      <x:c r="P34" s="46"/>
      <x:c r="Q34" s="46"/>
      <x:c r="R34" s="46"/>
      <x:c r="S34" s="46"/>
      <x:c r="T34" s="46"/>
      <x:c r="U34" s="46"/>
      <x:c r="V34" s="46"/>
      <x:c r="W34" s="46"/>
      <x:c r="X34" s="46"/>
    </x:row>
    <x:row r="35">
      <x:c r="A35" s="46"/>
      <x:c r="B35" s="46"/>
      <x:c r="C35" s="46"/>
      <x:c r="D35" s="46"/>
      <x:c r="E35" s="46"/>
      <x:c r="F35" s="46"/>
      <x:c r="G35" s="46"/>
      <x:c r="H35" s="46"/>
      <x:c r="I35" s="46"/>
      <x:c r="J35" s="46"/>
      <x:c r="K35" s="46"/>
      <x:c r="L35" s="46"/>
      <x:c r="M35" s="46"/>
      <x:c r="N35" s="46"/>
      <x:c r="O35" s="46"/>
      <x:c r="P35" s="46"/>
      <x:c r="Q35" s="46"/>
      <x:c r="R35" s="46"/>
      <x:c r="S35" s="46"/>
      <x:c r="T35" s="46"/>
      <x:c r="U35" s="46"/>
      <x:c r="V35" s="46"/>
      <x:c r="W35" s="46"/>
      <x:c r="X35" s="46"/>
    </x:row>
    <x:row r="36">
      <x:c r="A36" s="46"/>
      <x:c r="B36" s="46"/>
      <x:c r="C36" s="46"/>
      <x:c r="D36" s="46"/>
      <x:c r="E36" s="46"/>
      <x:c r="F36" s="46"/>
      <x:c r="G36" s="46"/>
      <x:c r="H36" s="46"/>
      <x:c r="I36" s="46"/>
      <x:c r="J36" s="46"/>
      <x:c r="K36" s="46"/>
      <x:c r="L36" s="46"/>
      <x:c r="M36" s="46"/>
      <x:c r="N36" s="46"/>
      <x:c r="O36" s="46"/>
      <x:c r="P36" s="46"/>
      <x:c r="Q36" s="46"/>
      <x:c r="R36" s="46"/>
      <x:c r="S36" s="46"/>
      <x:c r="T36" s="46"/>
      <x:c r="U36" s="46"/>
      <x:c r="V36" s="46"/>
      <x:c r="W36" s="46"/>
      <x:c r="X36" s="46"/>
    </x:row>
    <x:row r="37">
      <x:c r="A37" s="46"/>
      <x:c r="B37" s="46"/>
      <x:c r="C37" s="46"/>
      <x:c r="D37" s="46"/>
      <x:c r="E37" s="46"/>
      <x:c r="F37" s="46"/>
      <x:c r="G37" s="46"/>
      <x:c r="H37" s="46"/>
      <x:c r="I37" s="46"/>
      <x:c r="J37" s="46"/>
      <x:c r="K37" s="46"/>
      <x:c r="L37" s="46"/>
      <x:c r="M37" s="46"/>
      <x:c r="N37" s="46"/>
      <x:c r="O37" s="46"/>
      <x:c r="P37" s="46"/>
      <x:c r="Q37" s="46"/>
      <x:c r="R37" s="46"/>
      <x:c r="S37" s="46"/>
      <x:c r="T37" s="46"/>
      <x:c r="U37" s="46"/>
      <x:c r="V37" s="46"/>
      <x:c r="W37" s="46"/>
      <x:c r="X37" s="46"/>
    </x:row>
    <x:row r="38">
      <x:c r="A38" s="46"/>
      <x:c r="B38" s="46"/>
      <x:c r="C38" s="46"/>
      <x:c r="D38" s="46"/>
      <x:c r="E38" s="46"/>
      <x:c r="F38" s="46"/>
      <x:c r="G38" s="46"/>
      <x:c r="H38" s="46"/>
      <x:c r="I38" s="46"/>
      <x:c r="J38" s="46"/>
      <x:c r="K38" s="46"/>
      <x:c r="L38" s="46"/>
      <x:c r="M38" s="46"/>
      <x:c r="N38" s="46"/>
      <x:c r="O38" s="46"/>
      <x:c r="P38" s="46"/>
      <x:c r="Q38" s="46"/>
      <x:c r="R38" s="46"/>
      <x:c r="S38" s="46"/>
      <x:c r="T38" s="46"/>
      <x:c r="U38" s="46"/>
      <x:c r="V38" s="46"/>
      <x:c r="W38" s="46"/>
      <x:c r="X38" s="46"/>
    </x:row>
    <x:row r="39">
      <x:c r="A39" s="46"/>
      <x:c r="B39" s="46"/>
      <x:c r="C39" s="46"/>
      <x:c r="D39" s="46"/>
      <x:c r="E39" s="46"/>
      <x:c r="F39" s="46"/>
      <x:c r="G39" s="46"/>
      <x:c r="H39" s="46"/>
      <x:c r="I39" s="46"/>
      <x:c r="J39" s="46"/>
      <x:c r="K39" s="46"/>
      <x:c r="L39" s="46"/>
      <x:c r="M39" s="46"/>
      <x:c r="N39" s="46"/>
      <x:c r="O39" s="46"/>
      <x:c r="P39" s="46"/>
      <x:c r="Q39" s="46"/>
      <x:c r="R39" s="46"/>
      <x:c r="S39" s="46"/>
      <x:c r="T39" s="46"/>
      <x:c r="U39" s="46"/>
      <x:c r="V39" s="46"/>
      <x:c r="W39" s="46"/>
      <x:c r="X39" s="46"/>
    </x:row>
    <x:row r="40">
      <x:c r="A40" s="46"/>
      <x:c r="B40" s="46"/>
      <x:c r="C40" s="46"/>
      <x:c r="D40" s="46"/>
      <x:c r="E40" s="46"/>
      <x:c r="F40" s="46"/>
      <x:c r="G40" s="46"/>
      <x:c r="H40" s="46"/>
      <x:c r="I40" s="46"/>
      <x:c r="J40" s="46"/>
      <x:c r="K40" s="46"/>
      <x:c r="L40" s="46"/>
      <x:c r="M40" s="46"/>
      <x:c r="N40" s="46"/>
      <x:c r="O40" s="46"/>
      <x:c r="P40" s="46"/>
      <x:c r="Q40" s="46"/>
      <x:c r="R40" s="46"/>
      <x:c r="S40" s="46"/>
      <x:c r="T40" s="46"/>
      <x:c r="U40" s="46"/>
      <x:c r="V40" s="46"/>
      <x:c r="W40" s="46"/>
      <x:c r="X40" s="46"/>
    </x:row>
    <x:row r="41">
      <x:c r="A41" s="46"/>
      <x:c r="B41" s="46"/>
      <x:c r="C41" s="46"/>
      <x:c r="D41" s="46"/>
      <x:c r="E41" s="46"/>
      <x:c r="F41" s="46"/>
      <x:c r="G41" s="46"/>
      <x:c r="H41" s="46"/>
      <x:c r="I41" s="46"/>
      <x:c r="J41" s="46"/>
      <x:c r="K41" s="46"/>
      <x:c r="L41" s="46"/>
      <x:c r="M41" s="46"/>
      <x:c r="N41" s="46"/>
      <x:c r="O41" s="46"/>
      <x:c r="P41" s="46"/>
      <x:c r="Q41" s="46"/>
      <x:c r="R41" s="46"/>
      <x:c r="S41" s="46"/>
      <x:c r="T41" s="46"/>
      <x:c r="U41" s="46"/>
      <x:c r="V41" s="46"/>
      <x:c r="W41" s="46"/>
      <x:c r="X41" s="46"/>
    </x:row>
    <x:row r="42">
      <x:c r="A42" s="46"/>
      <x:c r="B42" s="46"/>
      <x:c r="C42" s="46"/>
      <x:c r="D42" s="46"/>
      <x:c r="E42" s="46"/>
      <x:c r="F42" s="46"/>
      <x:c r="G42" s="46"/>
      <x:c r="H42" s="46"/>
      <x:c r="I42" s="46"/>
      <x:c r="J42" s="46"/>
      <x:c r="K42" s="46"/>
      <x:c r="L42" s="46"/>
      <x:c r="M42" s="46"/>
      <x:c r="N42" s="46"/>
      <x:c r="O42" s="46"/>
      <x:c r="P42" s="46"/>
      <x:c r="Q42" s="46"/>
      <x:c r="R42" s="46"/>
      <x:c r="S42" s="46"/>
      <x:c r="T42" s="46"/>
      <x:c r="U42" s="46"/>
      <x:c r="V42" s="46"/>
      <x:c r="W42" s="46"/>
      <x:c r="X42" s="46"/>
    </x:row>
    <x:row r="43">
      <x:c r="A43" s="46"/>
      <x:c r="B43" s="46"/>
      <x:c r="C43" s="46"/>
      <x:c r="D43" s="46"/>
      <x:c r="E43" s="46"/>
      <x:c r="F43" s="46"/>
      <x:c r="G43" s="46"/>
      <x:c r="H43" s="46"/>
      <x:c r="I43" s="46"/>
      <x:c r="J43" s="46"/>
      <x:c r="K43" s="46"/>
      <x:c r="L43" s="46"/>
      <x:c r="M43" s="46"/>
      <x:c r="N43" s="46"/>
      <x:c r="O43" s="46"/>
      <x:c r="P43" s="46"/>
      <x:c r="Q43" s="46"/>
      <x:c r="R43" s="46"/>
      <x:c r="S43" s="46"/>
      <x:c r="T43" s="46"/>
      <x:c r="U43" s="46"/>
      <x:c r="V43" s="46"/>
      <x:c r="W43" s="46"/>
      <x:c r="X43" s="46"/>
    </x:row>
    <x:row r="44">
      <x:c r="A44" s="46"/>
      <x:c r="B44" s="46"/>
      <x:c r="C44" s="46"/>
      <x:c r="D44" s="46"/>
      <x:c r="E44" s="46"/>
      <x:c r="F44" s="46"/>
      <x:c r="G44" s="46"/>
      <x:c r="H44" s="46"/>
      <x:c r="I44" s="46"/>
      <x:c r="J44" s="46"/>
      <x:c r="K44" s="46"/>
      <x:c r="L44" s="46"/>
      <x:c r="M44" s="46"/>
      <x:c r="N44" s="46"/>
      <x:c r="O44" s="46"/>
      <x:c r="P44" s="46"/>
      <x:c r="Q44" s="46"/>
      <x:c r="R44" s="46"/>
      <x:c r="S44" s="46"/>
      <x:c r="T44" s="46"/>
      <x:c r="U44" s="46"/>
      <x:c r="V44" s="46"/>
      <x:c r="W44" s="46"/>
      <x:c r="X44" s="46"/>
    </x:row>
    <x:row r="45">
      <x:c r="A45" s="46"/>
      <x:c r="B45" s="46"/>
      <x:c r="C45" s="46"/>
      <x:c r="D45" s="46"/>
      <x:c r="E45" s="46"/>
      <x:c r="F45" s="46"/>
      <x:c r="G45" s="46"/>
      <x:c r="H45" s="46"/>
      <x:c r="I45" s="46"/>
      <x:c r="J45" s="46"/>
      <x:c r="K45" s="46"/>
      <x:c r="L45" s="46"/>
      <x:c r="M45" s="46"/>
      <x:c r="N45" s="46"/>
      <x:c r="O45" s="46"/>
      <x:c r="P45" s="46"/>
      <x:c r="Q45" s="46"/>
      <x:c r="R45" s="46"/>
      <x:c r="S45" s="46"/>
      <x:c r="T45" s="46"/>
      <x:c r="U45" s="46"/>
      <x:c r="V45" s="46"/>
      <x:c r="W45" s="46"/>
      <x:c r="X45" s="46"/>
    </x:row>
    <x:row r="46">
      <x:c r="A46" s="46"/>
      <x:c r="B46" s="46"/>
      <x:c r="C46" s="46"/>
      <x:c r="D46" s="46"/>
      <x:c r="E46" s="46"/>
      <x:c r="F46" s="46"/>
      <x:c r="G46" s="46"/>
      <x:c r="H46" s="46"/>
      <x:c r="I46" s="46"/>
      <x:c r="J46" s="46"/>
      <x:c r="K46" s="46"/>
      <x:c r="L46" s="46"/>
      <x:c r="M46" s="46"/>
      <x:c r="N46" s="46"/>
      <x:c r="O46" s="46"/>
      <x:c r="P46" s="46"/>
      <x:c r="Q46" s="46"/>
      <x:c r="R46" s="46"/>
      <x:c r="S46" s="46"/>
      <x:c r="T46" s="46"/>
      <x:c r="U46" s="46"/>
      <x:c r="V46" s="46"/>
      <x:c r="W46" s="46"/>
      <x:c r="X46" s="46"/>
    </x:row>
    <x:row r="47">
      <x:c r="A47" s="46"/>
      <x:c r="B47" s="46"/>
      <x:c r="C47" s="46"/>
      <x:c r="D47" s="46"/>
      <x:c r="E47" s="46"/>
      <x:c r="F47" s="46"/>
      <x:c r="G47" s="46"/>
      <x:c r="H47" s="46"/>
      <x:c r="I47" s="46"/>
      <x:c r="J47" s="46"/>
      <x:c r="K47" s="46"/>
      <x:c r="L47" s="46"/>
      <x:c r="M47" s="46"/>
      <x:c r="N47" s="46"/>
      <x:c r="O47" s="46"/>
      <x:c r="P47" s="46"/>
      <x:c r="Q47" s="46"/>
      <x:c r="R47" s="46"/>
      <x:c r="S47" s="46"/>
      <x:c r="T47" s="46"/>
      <x:c r="U47" s="46"/>
      <x:c r="V47" s="46"/>
      <x:c r="W47" s="46"/>
      <x:c r="X47" s="46"/>
    </x:row>
    <x:row r="48">
      <x:c r="A48" s="46"/>
      <x:c r="B48" s="46"/>
      <x:c r="C48" s="46"/>
      <x:c r="D48" s="46"/>
      <x:c r="E48" s="46"/>
      <x:c r="F48" s="46"/>
      <x:c r="G48" s="46"/>
      <x:c r="H48" s="46"/>
      <x:c r="I48" s="46"/>
      <x:c r="J48" s="46"/>
      <x:c r="K48" s="46"/>
      <x:c r="L48" s="46"/>
      <x:c r="M48" s="46"/>
      <x:c r="N48" s="46"/>
      <x:c r="O48" s="46"/>
      <x:c r="P48" s="46"/>
      <x:c r="Q48" s="46"/>
      <x:c r="R48" s="46"/>
      <x:c r="S48" s="46"/>
      <x:c r="T48" s="46"/>
      <x:c r="U48" s="46"/>
      <x:c r="V48" s="46"/>
      <x:c r="W48" s="46"/>
      <x:c r="X48" s="46"/>
    </x:row>
    <x:row r="49">
      <x:c r="A49" s="46"/>
      <x:c r="B49" s="46"/>
      <x:c r="C49" s="46"/>
      <x:c r="D49" s="46"/>
      <x:c r="E49" s="46"/>
      <x:c r="F49" s="46"/>
      <x:c r="G49" s="46"/>
      <x:c r="H49" s="46"/>
      <x:c r="I49" s="46"/>
      <x:c r="J49" s="46"/>
      <x:c r="K49" s="46"/>
      <x:c r="L49" s="46"/>
      <x:c r="M49" s="46"/>
      <x:c r="N49" s="46"/>
      <x:c r="O49" s="46"/>
      <x:c r="P49" s="46"/>
      <x:c r="Q49" s="46"/>
      <x:c r="R49" s="46"/>
      <x:c r="S49" s="46"/>
      <x:c r="T49" s="46"/>
      <x:c r="U49" s="46"/>
      <x:c r="V49" s="46"/>
      <x:c r="W49" s="46"/>
      <x:c r="X49" s="46"/>
    </x:row>
    <x:row r="50">
      <x:c r="A50" s="46"/>
      <x:c r="B50" s="46"/>
      <x:c r="C50" s="46"/>
      <x:c r="D50" s="46"/>
      <x:c r="E50" s="46"/>
      <x:c r="F50" s="46"/>
      <x:c r="G50" s="46"/>
      <x:c r="H50" s="46"/>
      <x:c r="I50" s="46"/>
      <x:c r="J50" s="46"/>
      <x:c r="K50" s="46"/>
      <x:c r="L50" s="46"/>
      <x:c r="M50" s="46"/>
      <x:c r="N50" s="46"/>
      <x:c r="O50" s="46"/>
      <x:c r="P50" s="46"/>
      <x:c r="Q50" s="46"/>
      <x:c r="R50" s="46"/>
      <x:c r="S50" s="46"/>
      <x:c r="T50" s="46"/>
      <x:c r="U50" s="46"/>
      <x:c r="V50" s="46"/>
      <x:c r="W50" s="46"/>
      <x:c r="X50" s="46"/>
    </x:row>
    <x:row r="51">
      <x:c r="A51" s="46"/>
      <x:c r="B51" s="46"/>
      <x:c r="C51" s="46"/>
      <x:c r="D51" s="46"/>
      <x:c r="E51" s="46"/>
      <x:c r="F51" s="46"/>
      <x:c r="G51" s="46"/>
      <x:c r="H51" s="46"/>
      <x:c r="I51" s="46"/>
      <x:c r="J51" s="46"/>
      <x:c r="K51" s="46"/>
      <x:c r="L51" s="46"/>
      <x:c r="M51" s="46"/>
      <x:c r="N51" s="46"/>
      <x:c r="O51" s="46"/>
      <x:c r="P51" s="46"/>
      <x:c r="Q51" s="46"/>
      <x:c r="R51" s="46"/>
      <x:c r="S51" s="46"/>
      <x:c r="T51" s="46"/>
      <x:c r="U51" s="46"/>
      <x:c r="V51" s="46"/>
      <x:c r="W51" s="46"/>
      <x:c r="X51" s="46"/>
    </x:row>
    <x:row r="52">
      <x:c r="A52" s="46"/>
      <x:c r="B52" s="46"/>
      <x:c r="C52" s="46"/>
      <x:c r="D52" s="46"/>
      <x:c r="E52" s="46"/>
      <x:c r="F52" s="46"/>
      <x:c r="G52" s="46"/>
      <x:c r="H52" s="46"/>
      <x:c r="I52" s="46"/>
      <x:c r="J52" s="46"/>
      <x:c r="K52" s="46"/>
      <x:c r="L52" s="46"/>
      <x:c r="M52" s="46"/>
      <x:c r="N52" s="46"/>
      <x:c r="O52" s="46"/>
      <x:c r="P52" s="46"/>
      <x:c r="Q52" s="46"/>
      <x:c r="R52" s="46"/>
      <x:c r="S52" s="46"/>
      <x:c r="T52" s="46"/>
      <x:c r="U52" s="46"/>
      <x:c r="V52" s="46"/>
      <x:c r="W52" s="46"/>
      <x:c r="X52" s="46"/>
    </x:row>
    <x:row r="53">
      <x:c r="A53" s="46"/>
      <x:c r="B53" s="46"/>
      <x:c r="C53" s="46"/>
      <x:c r="D53" s="46"/>
      <x:c r="E53" s="46"/>
      <x:c r="F53" s="46"/>
      <x:c r="G53" s="46"/>
      <x:c r="H53" s="46"/>
      <x:c r="I53" s="46"/>
      <x:c r="J53" s="46"/>
      <x:c r="K53" s="46"/>
      <x:c r="L53" s="46"/>
      <x:c r="M53" s="46"/>
      <x:c r="N53" s="46"/>
      <x:c r="O53" s="46"/>
      <x:c r="P53" s="46"/>
      <x:c r="Q53" s="46"/>
      <x:c r="R53" s="46"/>
      <x:c r="S53" s="46"/>
      <x:c r="T53" s="46"/>
      <x:c r="U53" s="46"/>
      <x:c r="V53" s="46"/>
      <x:c r="W53" s="46"/>
      <x:c r="X53" s="46"/>
    </x:row>
    <x:row r="54">
      <x:c r="A54" s="46"/>
      <x:c r="B54" s="46"/>
      <x:c r="C54" s="46"/>
      <x:c r="D54" s="46"/>
      <x:c r="E54" s="46"/>
      <x:c r="F54" s="46"/>
      <x:c r="G54" s="46"/>
      <x:c r="H54" s="46"/>
      <x:c r="I54" s="46"/>
      <x:c r="J54" s="46"/>
      <x:c r="K54" s="46"/>
      <x:c r="L54" s="46"/>
      <x:c r="M54" s="46"/>
      <x:c r="N54" s="46"/>
      <x:c r="O54" s="46"/>
      <x:c r="P54" s="46"/>
      <x:c r="Q54" s="46"/>
      <x:c r="R54" s="46"/>
      <x:c r="S54" s="46"/>
      <x:c r="T54" s="46"/>
      <x:c r="U54" s="46"/>
      <x:c r="V54" s="46"/>
      <x:c r="W54" s="46"/>
      <x:c r="X54" s="46"/>
    </x:row>
    <x:row r="55">
      <x:c r="A55" s="46"/>
      <x:c r="B55" s="46"/>
      <x:c r="C55" s="46"/>
      <x:c r="D55" s="46"/>
      <x:c r="E55" s="46"/>
      <x:c r="F55" s="46"/>
      <x:c r="G55" s="46"/>
      <x:c r="H55" s="46"/>
      <x:c r="I55" s="46"/>
      <x:c r="J55" s="46"/>
      <x:c r="K55" s="46"/>
      <x:c r="L55" s="46"/>
      <x:c r="M55" s="46"/>
      <x:c r="N55" s="46"/>
      <x:c r="O55" s="46"/>
      <x:c r="P55" s="46"/>
      <x:c r="Q55" s="46"/>
      <x:c r="R55" s="46"/>
      <x:c r="S55" s="46"/>
      <x:c r="T55" s="46"/>
      <x:c r="U55" s="46"/>
      <x:c r="V55" s="46"/>
      <x:c r="W55" s="46"/>
      <x:c r="X55" s="46"/>
    </x:row>
    <x:row r="56">
      <x:c r="A56" s="46"/>
      <x:c r="B56" s="46"/>
      <x:c r="C56" s="46"/>
      <x:c r="D56" s="46"/>
      <x:c r="E56" s="46"/>
      <x:c r="F56" s="46"/>
      <x:c r="G56" s="46"/>
      <x:c r="H56" s="46"/>
      <x:c r="I56" s="46"/>
      <x:c r="J56" s="46"/>
      <x:c r="K56" s="46"/>
      <x:c r="L56" s="46"/>
      <x:c r="M56" s="46"/>
      <x:c r="N56" s="46"/>
      <x:c r="O56" s="46"/>
      <x:c r="P56" s="46"/>
      <x:c r="Q56" s="46"/>
      <x:c r="R56" s="46"/>
      <x:c r="S56" s="46"/>
      <x:c r="T56" s="46"/>
      <x:c r="U56" s="46"/>
      <x:c r="V56" s="46"/>
      <x:c r="W56" s="46"/>
      <x:c r="X56" s="46"/>
    </x:row>
    <x:row r="57">
      <x:c r="A57" s="46"/>
      <x:c r="B57" s="46"/>
      <x:c r="C57" s="46"/>
      <x:c r="D57" s="46"/>
      <x:c r="E57" s="46"/>
      <x:c r="F57" s="46"/>
      <x:c r="G57" s="46"/>
      <x:c r="H57" s="46"/>
      <x:c r="I57" s="46"/>
      <x:c r="J57" s="46"/>
      <x:c r="K57" s="46"/>
      <x:c r="L57" s="46"/>
      <x:c r="M57" s="46"/>
      <x:c r="N57" s="46"/>
      <x:c r="O57" s="46"/>
      <x:c r="P57" s="46"/>
      <x:c r="Q57" s="46"/>
      <x:c r="R57" s="46"/>
      <x:c r="S57" s="46"/>
      <x:c r="T57" s="46"/>
      <x:c r="U57" s="46"/>
      <x:c r="V57" s="46"/>
      <x:c r="W57" s="46"/>
      <x:c r="X57" s="46"/>
    </x:row>
    <x:row r="58">
      <x:c r="A58" s="46"/>
      <x:c r="B58" s="46"/>
      <x:c r="C58" s="46"/>
      <x:c r="D58" s="46"/>
      <x:c r="E58" s="46"/>
      <x:c r="F58" s="46"/>
      <x:c r="G58" s="46"/>
      <x:c r="H58" s="46"/>
      <x:c r="I58" s="46"/>
      <x:c r="J58" s="46"/>
      <x:c r="K58" s="46"/>
      <x:c r="L58" s="46"/>
      <x:c r="M58" s="46"/>
      <x:c r="N58" s="46"/>
      <x:c r="O58" s="46"/>
      <x:c r="P58" s="46"/>
      <x:c r="Q58" s="46"/>
      <x:c r="R58" s="46"/>
      <x:c r="S58" s="46"/>
      <x:c r="T58" s="46"/>
      <x:c r="U58" s="46"/>
      <x:c r="V58" s="46"/>
      <x:c r="W58" s="46"/>
      <x:c r="X58" s="46"/>
    </x:row>
    <x:row r="59">
      <x:c r="A59" s="46"/>
      <x:c r="B59" s="46"/>
      <x:c r="C59" s="46"/>
      <x:c r="D59" s="46"/>
      <x:c r="E59" s="46"/>
      <x:c r="F59" s="46"/>
      <x:c r="G59" s="46"/>
      <x:c r="H59" s="46"/>
      <x:c r="I59" s="46"/>
      <x:c r="J59" s="46"/>
      <x:c r="K59" s="46"/>
      <x:c r="L59" s="46"/>
      <x:c r="M59" s="46"/>
      <x:c r="N59" s="46"/>
      <x:c r="O59" s="46"/>
      <x:c r="P59" s="46"/>
      <x:c r="Q59" s="46"/>
      <x:c r="R59" s="46"/>
      <x:c r="S59" s="46"/>
      <x:c r="T59" s="46"/>
      <x:c r="U59" s="46"/>
      <x:c r="V59" s="46"/>
      <x:c r="W59" s="46"/>
      <x:c r="X59" s="46"/>
    </x:row>
    <x:row r="60">
      <x:c r="A60" s="46"/>
      <x:c r="B60" s="46"/>
      <x:c r="C60" s="46"/>
      <x:c r="D60" s="46"/>
      <x:c r="E60" s="46"/>
      <x:c r="F60" s="46"/>
      <x:c r="G60" s="46"/>
      <x:c r="H60" s="46"/>
      <x:c r="I60" s="46"/>
      <x:c r="J60" s="46"/>
      <x:c r="K60" s="46"/>
      <x:c r="L60" s="46"/>
      <x:c r="M60" s="46"/>
      <x:c r="N60" s="46"/>
      <x:c r="O60" s="46"/>
      <x:c r="P60" s="46"/>
      <x:c r="Q60" s="46"/>
      <x:c r="R60" s="46"/>
      <x:c r="S60" s="46"/>
      <x:c r="T60" s="46"/>
      <x:c r="U60" s="46"/>
      <x:c r="V60" s="46"/>
      <x:c r="W60" s="46"/>
      <x:c r="X60" s="46"/>
    </x:row>
    <x:row r="61">
      <x:c r="A61" s="46"/>
      <x:c r="B61" s="46"/>
      <x:c r="C61" s="46"/>
      <x:c r="D61" s="46"/>
      <x:c r="E61" s="46"/>
      <x:c r="F61" s="46"/>
      <x:c r="G61" s="46"/>
      <x:c r="H61" s="46"/>
      <x:c r="I61" s="46"/>
      <x:c r="J61" s="46"/>
      <x:c r="K61" s="46"/>
      <x:c r="L61" s="46"/>
      <x:c r="M61" s="46"/>
      <x:c r="N61" s="46"/>
      <x:c r="O61" s="46"/>
      <x:c r="P61" s="46"/>
      <x:c r="Q61" s="46"/>
      <x:c r="R61" s="46"/>
      <x:c r="S61" s="46"/>
      <x:c r="T61" s="46"/>
      <x:c r="U61" s="46"/>
      <x:c r="V61" s="46"/>
      <x:c r="W61" s="46"/>
      <x:c r="X61" s="46"/>
    </x:row>
    <x:row r="62">
      <x:c r="A62" s="46"/>
      <x:c r="B62" s="46"/>
      <x:c r="C62" s="46"/>
      <x:c r="D62" s="46"/>
      <x:c r="E62" s="46"/>
      <x:c r="F62" s="46"/>
      <x:c r="G62" s="46"/>
      <x:c r="H62" s="46"/>
      <x:c r="I62" s="46"/>
      <x:c r="J62" s="46"/>
      <x:c r="K62" s="46"/>
      <x:c r="L62" s="46"/>
      <x:c r="M62" s="46"/>
      <x:c r="N62" s="46"/>
      <x:c r="O62" s="46"/>
      <x:c r="P62" s="46"/>
      <x:c r="Q62" s="46"/>
      <x:c r="R62" s="46"/>
      <x:c r="S62" s="46"/>
      <x:c r="T62" s="46"/>
      <x:c r="U62" s="46"/>
      <x:c r="V62" s="46"/>
      <x:c r="W62" s="46"/>
      <x:c r="X62" s="46"/>
    </x:row>
    <x:row r="63">
      <x:c r="A63" s="46"/>
      <x:c r="B63" s="46"/>
      <x:c r="C63" s="46"/>
      <x:c r="D63" s="46"/>
      <x:c r="E63" s="46"/>
      <x:c r="F63" s="46"/>
      <x:c r="G63" s="46"/>
      <x:c r="H63" s="46"/>
      <x:c r="I63" s="46"/>
      <x:c r="J63" s="46"/>
      <x:c r="K63" s="46"/>
      <x:c r="L63" s="46"/>
      <x:c r="M63" s="46"/>
      <x:c r="N63" s="46"/>
      <x:c r="O63" s="46"/>
      <x:c r="P63" s="46"/>
      <x:c r="Q63" s="46"/>
      <x:c r="R63" s="46"/>
      <x:c r="S63" s="46"/>
      <x:c r="T63" s="46"/>
      <x:c r="U63" s="46"/>
      <x:c r="V63" s="46"/>
      <x:c r="W63" s="46"/>
      <x:c r="X63" s="46"/>
    </x:row>
    <x:row r="64">
      <x:c r="A64" s="46"/>
      <x:c r="B64" s="46"/>
      <x:c r="C64" s="46"/>
      <x:c r="D64" s="46"/>
      <x:c r="E64" s="46"/>
      <x:c r="F64" s="46"/>
      <x:c r="G64" s="46"/>
      <x:c r="H64" s="46"/>
      <x:c r="I64" s="46"/>
      <x:c r="J64" s="46"/>
      <x:c r="K64" s="46"/>
      <x:c r="L64" s="46"/>
      <x:c r="M64" s="46"/>
      <x:c r="N64" s="46"/>
      <x:c r="O64" s="46"/>
      <x:c r="P64" s="46"/>
      <x:c r="Q64" s="46"/>
      <x:c r="R64" s="46"/>
      <x:c r="S64" s="46"/>
      <x:c r="T64" s="46"/>
      <x:c r="U64" s="46"/>
      <x:c r="V64" s="46"/>
      <x:c r="W64" s="46"/>
      <x:c r="X64" s="46"/>
    </x:row>
    <x:row r="65">
      <x:c r="A65" s="46"/>
      <x:c r="B65" s="46"/>
      <x:c r="C65" s="46"/>
      <x:c r="D65" s="46"/>
      <x:c r="E65" s="46"/>
      <x:c r="F65" s="46"/>
      <x:c r="G65" s="46"/>
      <x:c r="H65" s="46"/>
      <x:c r="I65" s="46"/>
      <x:c r="J65" s="46"/>
      <x:c r="K65" s="46"/>
      <x:c r="L65" s="46"/>
      <x:c r="M65" s="46"/>
      <x:c r="N65" s="46"/>
      <x:c r="O65" s="46"/>
      <x:c r="P65" s="46"/>
      <x:c r="Q65" s="46"/>
      <x:c r="R65" s="46"/>
      <x:c r="S65" s="46"/>
      <x:c r="T65" s="46"/>
      <x:c r="U65" s="46"/>
      <x:c r="V65" s="46"/>
      <x:c r="W65" s="46"/>
      <x:c r="X65" s="46"/>
    </x:row>
    <x:row r="66">
      <x:c r="A66" s="46"/>
      <x:c r="B66" s="46"/>
      <x:c r="C66" s="46"/>
      <x:c r="D66" s="46"/>
      <x:c r="E66" s="46"/>
      <x:c r="F66" s="46"/>
      <x:c r="G66" s="46"/>
      <x:c r="H66" s="46"/>
      <x:c r="I66" s="46"/>
      <x:c r="J66" s="46"/>
      <x:c r="K66" s="46"/>
      <x:c r="L66" s="46"/>
      <x:c r="M66" s="46"/>
      <x:c r="N66" s="46"/>
      <x:c r="O66" s="46"/>
      <x:c r="P66" s="46"/>
      <x:c r="Q66" s="46"/>
      <x:c r="R66" s="46"/>
      <x:c r="S66" s="46"/>
      <x:c r="T66" s="46"/>
      <x:c r="U66" s="46"/>
      <x:c r="V66" s="46"/>
      <x:c r="W66" s="46"/>
      <x:c r="X66" s="46"/>
    </x:row>
    <x:row r="67">
      <x:c r="A67" s="46"/>
      <x:c r="B67" s="46"/>
      <x:c r="C67" s="46"/>
      <x:c r="D67" s="46"/>
      <x:c r="E67" s="46"/>
      <x:c r="F67" s="46"/>
      <x:c r="G67" s="46"/>
      <x:c r="H67" s="46"/>
      <x:c r="I67" s="46"/>
      <x:c r="J67" s="46"/>
      <x:c r="K67" s="46"/>
      <x:c r="L67" s="46"/>
      <x:c r="M67" s="46"/>
      <x:c r="N67" s="46"/>
      <x:c r="O67" s="46"/>
      <x:c r="P67" s="46"/>
      <x:c r="Q67" s="46"/>
      <x:c r="R67" s="46"/>
      <x:c r="S67" s="46"/>
      <x:c r="T67" s="46"/>
      <x:c r="U67" s="46"/>
      <x:c r="V67" s="46"/>
      <x:c r="W67" s="46"/>
      <x:c r="X67" s="46"/>
    </x:row>
    <x:row r="68">
      <x:c r="A68" s="46"/>
      <x:c r="B68" s="46"/>
      <x:c r="C68" s="46"/>
      <x:c r="D68" s="46"/>
      <x:c r="E68" s="46"/>
      <x:c r="F68" s="46"/>
      <x:c r="G68" s="46"/>
      <x:c r="H68" s="46"/>
      <x:c r="I68" s="46"/>
      <x:c r="J68" s="46"/>
      <x:c r="K68" s="46"/>
      <x:c r="L68" s="46"/>
      <x:c r="M68" s="46"/>
      <x:c r="N68" s="46"/>
      <x:c r="O68" s="46"/>
      <x:c r="P68" s="46"/>
      <x:c r="Q68" s="46"/>
      <x:c r="R68" s="46"/>
      <x:c r="S68" s="46"/>
      <x:c r="T68" s="46"/>
      <x:c r="U68" s="46"/>
      <x:c r="V68" s="46"/>
      <x:c r="W68" s="46"/>
      <x:c r="X68" s="46"/>
    </x:row>
    <x:row r="69">
      <x:c r="A69" s="46"/>
      <x:c r="B69" s="46"/>
      <x:c r="C69" s="46"/>
      <x:c r="D69" s="46"/>
      <x:c r="E69" s="46"/>
      <x:c r="F69" s="46"/>
      <x:c r="G69" s="46"/>
      <x:c r="H69" s="46"/>
      <x:c r="I69" s="46"/>
      <x:c r="J69" s="46"/>
      <x:c r="K69" s="46"/>
      <x:c r="L69" s="46"/>
      <x:c r="M69" s="46"/>
      <x:c r="N69" s="46"/>
      <x:c r="O69" s="46"/>
      <x:c r="P69" s="46"/>
      <x:c r="Q69" s="46"/>
      <x:c r="R69" s="46"/>
      <x:c r="S69" s="46"/>
      <x:c r="T69" s="46"/>
      <x:c r="U69" s="46"/>
      <x:c r="V69" s="46"/>
      <x:c r="W69" s="46"/>
      <x:c r="X69" s="46"/>
    </x:row>
    <x:row r="70">
      <x:c r="A70" s="46"/>
      <x:c r="B70" s="46"/>
      <x:c r="C70" s="46"/>
      <x:c r="D70" s="46"/>
      <x:c r="E70" s="46"/>
      <x:c r="F70" s="46"/>
      <x:c r="G70" s="46"/>
      <x:c r="H70" s="46"/>
      <x:c r="I70" s="46"/>
      <x:c r="J70" s="46"/>
      <x:c r="K70" s="46"/>
      <x:c r="L70" s="46"/>
      <x:c r="M70" s="46"/>
      <x:c r="N70" s="46"/>
      <x:c r="O70" s="46"/>
      <x:c r="P70" s="46"/>
      <x:c r="Q70" s="46"/>
      <x:c r="R70" s="46"/>
      <x:c r="S70" s="46"/>
      <x:c r="T70" s="46"/>
      <x:c r="U70" s="46"/>
      <x:c r="V70" s="46"/>
      <x:c r="W70" s="46"/>
      <x:c r="X70" s="46"/>
    </x:row>
    <x:row r="71">
      <x:c r="A71" s="46"/>
      <x:c r="B71" s="46"/>
      <x:c r="C71" s="46"/>
      <x:c r="D71" s="46"/>
      <x:c r="E71" s="46"/>
      <x:c r="F71" s="46"/>
      <x:c r="G71" s="46"/>
      <x:c r="H71" s="46"/>
      <x:c r="I71" s="46"/>
      <x:c r="J71" s="46"/>
      <x:c r="K71" s="46"/>
      <x:c r="L71" s="46"/>
      <x:c r="M71" s="46"/>
      <x:c r="N71" s="46"/>
      <x:c r="O71" s="46"/>
      <x:c r="P71" s="46"/>
      <x:c r="Q71" s="46"/>
      <x:c r="R71" s="46"/>
      <x:c r="S71" s="46"/>
      <x:c r="T71" s="46"/>
      <x:c r="U71" s="46"/>
      <x:c r="V71" s="46"/>
      <x:c r="W71" s="46"/>
      <x:c r="X71" s="46"/>
    </x:row>
    <x:row r="72">
      <x:c r="A72" s="46"/>
      <x:c r="B72" s="46"/>
      <x:c r="C72" s="46"/>
      <x:c r="D72" s="46"/>
      <x:c r="E72" s="46"/>
      <x:c r="F72" s="46"/>
      <x:c r="G72" s="46"/>
      <x:c r="H72" s="46"/>
      <x:c r="I72" s="46"/>
      <x:c r="J72" s="46"/>
      <x:c r="K72" s="46"/>
      <x:c r="L72" s="46"/>
      <x:c r="M72" s="46"/>
      <x:c r="N72" s="46"/>
      <x:c r="O72" s="46"/>
      <x:c r="P72" s="46"/>
      <x:c r="Q72" s="46"/>
      <x:c r="R72" s="46"/>
      <x:c r="S72" s="46"/>
      <x:c r="T72" s="46"/>
      <x:c r="U72" s="46"/>
      <x:c r="V72" s="46"/>
      <x:c r="W72" s="46"/>
      <x:c r="X72" s="46"/>
    </x:row>
    <x:row r="73">
      <x:c r="A73" s="46"/>
      <x:c r="B73" s="46"/>
      <x:c r="C73" s="46"/>
      <x:c r="D73" s="46"/>
      <x:c r="E73" s="46"/>
      <x:c r="F73" s="46"/>
      <x:c r="G73" s="46"/>
      <x:c r="H73" s="46"/>
      <x:c r="I73" s="46"/>
      <x:c r="J73" s="46"/>
      <x:c r="K73" s="46"/>
      <x:c r="L73" s="46"/>
      <x:c r="M73" s="46"/>
      <x:c r="N73" s="46"/>
      <x:c r="O73" s="46"/>
      <x:c r="P73" s="46"/>
      <x:c r="Q73" s="46"/>
      <x:c r="R73" s="46"/>
      <x:c r="S73" s="46"/>
      <x:c r="T73" s="46"/>
      <x:c r="U73" s="46"/>
      <x:c r="V73" s="46"/>
      <x:c r="W73" s="46"/>
      <x:c r="X73" s="46"/>
    </x:row>
    <x:row r="74">
      <x:c r="A74" s="46"/>
      <x:c r="B74" s="46"/>
      <x:c r="C74" s="46"/>
      <x:c r="D74" s="46"/>
      <x:c r="E74" s="46"/>
      <x:c r="F74" s="46"/>
      <x:c r="G74" s="46"/>
      <x:c r="H74" s="46"/>
      <x:c r="I74" s="46"/>
      <x:c r="J74" s="46"/>
      <x:c r="K74" s="46"/>
      <x:c r="L74" s="46"/>
      <x:c r="M74" s="46"/>
      <x:c r="N74" s="46"/>
      <x:c r="O74" s="46"/>
      <x:c r="P74" s="46"/>
      <x:c r="Q74" s="46"/>
      <x:c r="R74" s="46"/>
      <x:c r="S74" s="46"/>
      <x:c r="T74" s="46"/>
      <x:c r="U74" s="46"/>
      <x:c r="V74" s="46"/>
      <x:c r="W74" s="46"/>
      <x:c r="X74" s="46"/>
    </x:row>
    <x:row r="75">
      <x:c r="A75" s="46"/>
      <x:c r="B75" s="46"/>
      <x:c r="C75" s="46"/>
      <x:c r="D75" s="46"/>
      <x:c r="E75" s="46"/>
      <x:c r="F75" s="46"/>
      <x:c r="G75" s="46"/>
      <x:c r="H75" s="46"/>
      <x:c r="I75" s="46"/>
      <x:c r="J75" s="46"/>
      <x:c r="K75" s="46"/>
      <x:c r="L75" s="46"/>
      <x:c r="M75" s="46"/>
      <x:c r="N75" s="46"/>
      <x:c r="O75" s="46"/>
      <x:c r="P75" s="46"/>
      <x:c r="Q75" s="46"/>
      <x:c r="R75" s="46"/>
      <x:c r="S75" s="46"/>
      <x:c r="T75" s="46"/>
      <x:c r="U75" s="46"/>
      <x:c r="V75" s="46"/>
      <x:c r="W75" s="46"/>
      <x:c r="X75" s="46"/>
    </x:row>
    <x:row r="76">
      <x:c r="A76" s="46"/>
      <x:c r="B76" s="46"/>
      <x:c r="C76" s="46"/>
      <x:c r="D76" s="46"/>
      <x:c r="E76" s="46"/>
      <x:c r="F76" s="46"/>
      <x:c r="G76" s="46"/>
      <x:c r="H76" s="46"/>
      <x:c r="I76" s="46"/>
      <x:c r="J76" s="46"/>
      <x:c r="K76" s="46"/>
      <x:c r="L76" s="46"/>
      <x:c r="M76" s="46"/>
      <x:c r="N76" s="46"/>
      <x:c r="O76" s="46"/>
      <x:c r="P76" s="46"/>
      <x:c r="Q76" s="46"/>
      <x:c r="R76" s="46"/>
      <x:c r="S76" s="46"/>
      <x:c r="T76" s="46"/>
      <x:c r="U76" s="46"/>
      <x:c r="V76" s="46"/>
      <x:c r="W76" s="46"/>
      <x:c r="X76" s="46"/>
    </x:row>
    <x:row r="77">
      <x:c r="A77" s="46"/>
      <x:c r="B77" s="46"/>
      <x:c r="C77" s="46"/>
      <x:c r="D77" s="46"/>
      <x:c r="E77" s="46"/>
      <x:c r="F77" s="46"/>
      <x:c r="G77" s="46"/>
      <x:c r="H77" s="46"/>
      <x:c r="I77" s="46"/>
      <x:c r="J77" s="46"/>
      <x:c r="K77" s="46"/>
      <x:c r="L77" s="46"/>
      <x:c r="M77" s="46"/>
      <x:c r="N77" s="46"/>
      <x:c r="O77" s="46"/>
      <x:c r="P77" s="46"/>
      <x:c r="Q77" s="46"/>
      <x:c r="R77" s="46"/>
      <x:c r="S77" s="46"/>
      <x:c r="T77" s="46"/>
      <x:c r="U77" s="46"/>
      <x:c r="V77" s="46"/>
      <x:c r="W77" s="46"/>
      <x:c r="X77" s="46"/>
    </x:row>
    <x:row r="78">
      <x:c r="A78" s="46"/>
      <x:c r="B78" s="46"/>
      <x:c r="C78" s="46"/>
      <x:c r="D78" s="46"/>
      <x:c r="E78" s="46"/>
      <x:c r="F78" s="46"/>
      <x:c r="G78" s="46"/>
      <x:c r="H78" s="46"/>
      <x:c r="I78" s="46"/>
      <x:c r="J78" s="46"/>
      <x:c r="K78" s="46"/>
      <x:c r="L78" s="46"/>
      <x:c r="M78" s="46"/>
      <x:c r="N78" s="46"/>
      <x:c r="O78" s="46"/>
      <x:c r="P78" s="46"/>
      <x:c r="Q78" s="46"/>
      <x:c r="R78" s="46"/>
      <x:c r="S78" s="46"/>
      <x:c r="T78" s="46"/>
      <x:c r="U78" s="46"/>
      <x:c r="V78" s="46"/>
      <x:c r="W78" s="46"/>
      <x:c r="X78" s="46"/>
    </x:row>
    <x:row r="79">
      <x:c r="A79" s="46"/>
      <x:c r="B79" s="46"/>
      <x:c r="C79" s="46"/>
      <x:c r="D79" s="46"/>
      <x:c r="E79" s="46"/>
      <x:c r="F79" s="46"/>
      <x:c r="G79" s="46"/>
      <x:c r="H79" s="46"/>
      <x:c r="I79" s="46"/>
      <x:c r="J79" s="46"/>
      <x:c r="K79" s="46"/>
      <x:c r="L79" s="46"/>
      <x:c r="M79" s="46"/>
      <x:c r="N79" s="46"/>
      <x:c r="O79" s="46"/>
      <x:c r="P79" s="46"/>
      <x:c r="Q79" s="46"/>
      <x:c r="R79" s="46"/>
      <x:c r="S79" s="46"/>
      <x:c r="T79" s="46"/>
      <x:c r="U79" s="46"/>
      <x:c r="V79" s="46"/>
      <x:c r="W79" s="46"/>
      <x:c r="X79" s="46"/>
    </x:row>
    <x:row r="80">
      <x:c r="A80" s="46"/>
      <x:c r="B80" s="46"/>
      <x:c r="C80" s="46"/>
      <x:c r="D80" s="46"/>
      <x:c r="E80" s="46"/>
      <x:c r="F80" s="46"/>
      <x:c r="G80" s="46"/>
      <x:c r="H80" s="46"/>
      <x:c r="I80" s="46"/>
      <x:c r="J80" s="46"/>
      <x:c r="K80" s="46"/>
      <x:c r="L80" s="46"/>
      <x:c r="M80" s="46"/>
      <x:c r="N80" s="46"/>
      <x:c r="O80" s="46"/>
      <x:c r="P80" s="46"/>
      <x:c r="Q80" s="46"/>
      <x:c r="R80" s="46"/>
      <x:c r="S80" s="46"/>
      <x:c r="T80" s="46"/>
      <x:c r="U80" s="46"/>
      <x:c r="V80" s="46"/>
      <x:c r="W80" s="46"/>
      <x:c r="X80" s="46"/>
    </x:row>
  </x:sheetData>
  <x:mergeCells>
    <x:mergeCell ref="A10:L10"/>
  </x:mergeCells>
  <x:conditionalFormatting sqref="G2:G7">
    <x:cfRule type="dataBar" priority="1">
      <x:dataBar>
        <x:cfvo type="min"/>
        <x:cfvo type="max"/>
        <x:color rgb="FF0F9ED5"/>
      </x:dataBar>
      <x:extLst>
        <x:ext xmlns:x14="http://schemas.microsoft.com/office/spreadsheetml/2009/9/main" uri="{B025F937-C7B1-47D3-B67F-A62EFF666E3E}">
          <x14:id>{EF71FDD4-C688-9993-4182-7F1DA97E8E57}</x14:id>
        </x:ext>
      </x:extLst>
    </x:cfRule>
  </x:conditionalFormatting>
  <x:conditionalFormatting sqref="I2:I7">
    <x:cfRule type="colorScale" priority="2">
      <x:colorScale>
        <x:cfvo type="min"/>
        <x:cfvo type="percentile" val="50"/>
        <x:cfvo type="max"/>
        <x:color rgb="FF63BE7B"/>
        <x:color rgb="FFFFEB84"/>
        <x:color rgb="FFF8696B"/>
      </x:colorScale>
    </x:cfRule>
  </x:conditionalFormatting>
  <x:pageMargins left="0.7" right="0.7" top="0.75" bottom="0.75" header="0.3" footer="0.3"/>
  <x:tableParts count="1">
    <x:tablePart xmlns:r="http://schemas.openxmlformats.org/officeDocument/2006/relationships" r:id="Rbda374d7be3642dd"/>
  </x:tableParts>
  <x:extLst>
    <x:ext xmlns:x14="http://schemas.microsoft.com/office/spreadsheetml/2009/9/main" xmlns:xm="http://schemas.microsoft.com/office/excel/2006/main" uri="{78C0D931-6437-407d-A8EE-F0AAD7539E65}">
      <x14:conditionalFormattings>
        <x14:conditionalFormatting>
          <x14:cfRule type="dataBar" priority="1" id="{EF71FDD4-C688-9993-4182-7F1DA97E8E57}">
            <x14:dataBar gradient="1">
              <x14:cfvo type="min"/>
              <x14:cfvo type="max"/>
              <x14:fillColor rgb="FF0F9ED5"/>
            </x14:dataBar>
          </x14:cfRule>
          <xm:sqref>G2:G7</xm:sqref>
        </x14:conditionalFormatting>
      </x14:conditionalFormattings>
    </x:ext>
  </x:extLst>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6" hidden="0" customWidth="1"/>
    <x:col min="7" max="7" width="18" hidden="0" customWidth="1"/>
    <x:col min="8" max="8" width="18" hidden="0" customWidth="1"/>
    <x:col min="9" max="9" width="18" hidden="0" customWidth="1"/>
    <x:col min="10" max="10" width="18" hidden="0" customWidth="1"/>
  </x:cols>
  <x:sheetData>
    <x:row r="1">
      <x:c r="A1" s="4" t="str">
        <x:v>Repeatability and Data-Integrity Assessment</x:v>
      </x:c>
      <x:c r="B1" s="4"/>
      <x:c r="C1" s="4"/>
      <x:c r="D1" s="4"/>
      <x:c r="E1" s="4"/>
      <x:c r="F1" s="4"/>
      <x:c r="G1" s="4"/>
      <x:c r="H1" s="64"/>
      <x:c r="I1" s="47"/>
      <x:c r="J1" s="47"/>
      <x:c r="K1" s="46"/>
      <x:c r="L1" s="46"/>
      <x:c r="M1" s="46"/>
      <x:c r="N1" s="46"/>
      <x:c r="O1" s="46"/>
      <x:c r="P1" s="46"/>
      <x:c r="Q1" s="46"/>
      <x:c r="R1" s="46"/>
      <x:c r="S1" s="46"/>
      <x:c r="T1" s="46"/>
      <x:c r="U1" s="46"/>
      <x:c r="V1" s="46"/>
      <x:c r="W1" s="46"/>
      <x:c r="X1" s="46"/>
    </x:row>
    <x:row r="2">
      <x:c r="A2" s="46"/>
      <x:c r="B2" s="46"/>
      <x:c r="C2" s="46"/>
      <x:c r="D2" s="46"/>
      <x:c r="E2" s="46"/>
      <x:c r="F2" s="46"/>
      <x:c r="G2" s="46"/>
      <x:c r="H2" s="46"/>
      <x:c r="I2" s="46"/>
      <x:c r="J2" s="46"/>
      <x:c r="K2" s="46"/>
      <x:c r="L2" s="46"/>
      <x:c r="M2" s="46"/>
      <x:c r="N2" s="46"/>
      <x:c r="O2" s="46"/>
      <x:c r="P2" s="46"/>
      <x:c r="Q2" s="46"/>
      <x:c r="R2" s="46"/>
      <x:c r="S2" s="46"/>
      <x:c r="T2" s="46"/>
      <x:c r="U2" s="46"/>
      <x:c r="V2" s="46"/>
      <x:c r="W2" s="46"/>
      <x:c r="X2" s="46"/>
    </x:row>
    <x:row r="3">
      <x:c r="A3" s="12" t="str">
        <x:v>Sensor</x:v>
      </x:c>
      <x:c r="B3" s="12" t="str">
        <x:v>Orientation</x:v>
      </x:c>
      <x:c r="C3" s="12" t="str">
        <x:v>Active mean</x:v>
      </x:c>
      <x:c r="D3" s="12" t="str">
        <x:v>Between SD</x:v>
      </x:c>
      <x:c r="E3" s="12" t="str">
        <x:v>CV (%)</x:v>
      </x:c>
      <x:c r="F3" s="12" t="str">
        <x:v>Assessment</x:v>
      </x:c>
      <x:c r="G3" s="46"/>
      <x:c r="H3" s="12" t="str">
        <x:v>Integrity metric</x:v>
      </x:c>
      <x:c r="I3" s="12" t="str">
        <x:v>Result</x:v>
      </x:c>
      <x:c r="J3" s="12" t="str">
        <x:v>Verdict</x:v>
      </x:c>
      <x:c r="K3" s="46"/>
      <x:c r="L3" s="46"/>
      <x:c r="M3" s="46"/>
      <x:c r="N3" s="46"/>
      <x:c r="O3" s="46"/>
      <x:c r="P3" s="46"/>
      <x:c r="Q3" s="46"/>
      <x:c r="R3" s="46"/>
      <x:c r="S3" s="46"/>
      <x:c r="T3" s="46"/>
      <x:c r="U3" s="46"/>
      <x:c r="V3" s="46"/>
      <x:c r="W3" s="46"/>
      <x:c r="X3" s="46"/>
    </x:row>
    <x:row r="4">
      <x:c r="A4" s="46" t="str">
        <x:v>ADXL1</x:v>
      </x:c>
      <x:c r="B4" s="46" t="str">
        <x:v>+X</x:v>
      </x:c>
      <x:c r="C4" s="56" t="n">
        <x:v>9.629546</x:v>
      </x:c>
      <x:c r="D4" s="56" t="n">
        <x:v>0.003646</x:v>
      </x:c>
      <x:c r="E4" s="56" t="n">
        <x:f>'Selected Results'!M2</x:f>
        <x:v>0.037862636514743274</x:v>
      </x:c>
      <x:c r="F4" s="46" t="str">
        <x:v>Excellent</x:v>
      </x:c>
      <x:c r="G4" s="46"/>
      <x:c r="H4" s="46" t="str">
        <x:v>Selected records</x:v>
      </x:c>
      <x:c r="I4" s="46" t="n">
        <x:v>36</x:v>
      </x:c>
      <x:c r="J4" s="46" t="str">
        <x:v>PASS</x:v>
      </x:c>
      <x:c r="K4" s="46"/>
      <x:c r="L4" s="46"/>
      <x:c r="M4" s="46"/>
      <x:c r="N4" s="46"/>
      <x:c r="O4" s="46"/>
      <x:c r="P4" s="46"/>
      <x:c r="Q4" s="46"/>
      <x:c r="R4" s="46"/>
      <x:c r="S4" s="46"/>
      <x:c r="T4" s="46"/>
      <x:c r="U4" s="46"/>
      <x:c r="V4" s="46"/>
      <x:c r="W4" s="46"/>
      <x:c r="X4" s="46"/>
    </x:row>
    <x:row r="5">
      <x:c r="A5" s="46" t="str">
        <x:v>ADXL1</x:v>
      </x:c>
      <x:c r="B5" s="46" t="str">
        <x:v>-X</x:v>
      </x:c>
      <x:c r="C5" s="56" t="n">
        <x:v>-9.510226</x:v>
      </x:c>
      <x:c r="D5" s="56" t="n">
        <x:v>0.006388</x:v>
      </x:c>
      <x:c r="E5" s="56" t="n">
        <x:f>'Selected Results'!M3</x:f>
        <x:v>0.06716980227388918</x:v>
      </x:c>
      <x:c r="F5" s="46" t="str">
        <x:v>Excellent</x:v>
      </x:c>
      <x:c r="G5" s="46"/>
      <x:c r="H5" s="46" t="str">
        <x:v>Clipping events</x:v>
      </x:c>
      <x:c r="I5" s="46" t="n">
        <x:v>0</x:v>
      </x:c>
      <x:c r="J5" s="46" t="str">
        <x:v>PASS</x:v>
      </x:c>
      <x:c r="K5" s="46"/>
      <x:c r="L5" s="46"/>
      <x:c r="M5" s="46"/>
      <x:c r="N5" s="46"/>
      <x:c r="O5" s="46"/>
      <x:c r="P5" s="46"/>
      <x:c r="Q5" s="46"/>
      <x:c r="R5" s="46"/>
      <x:c r="S5" s="46"/>
      <x:c r="T5" s="46"/>
      <x:c r="U5" s="46"/>
      <x:c r="V5" s="46"/>
      <x:c r="W5" s="46"/>
      <x:c r="X5" s="46"/>
    </x:row>
    <x:row r="6">
      <x:c r="A6" s="46" t="str">
        <x:v>ADXL1</x:v>
      </x:c>
      <x:c r="B6" s="46" t="str">
        <x:v>+Y</x:v>
      </x:c>
      <x:c r="C6" s="56" t="n">
        <x:v>9.807509</x:v>
      </x:c>
      <x:c r="D6" s="56" t="n">
        <x:v>0.001094</x:v>
      </x:c>
      <x:c r="E6" s="56" t="n">
        <x:f>'Selected Results'!M4</x:f>
        <x:v>0.011154718287793566</x:v>
      </x:c>
      <x:c r="F6" s="46" t="str">
        <x:v>Excellent</x:v>
      </x:c>
      <x:c r="G6" s="46"/>
      <x:c r="H6" s="46" t="str">
        <x:v>Late samples</x:v>
      </x:c>
      <x:c r="I6" s="46" t="n">
        <x:v>0</x:v>
      </x:c>
      <x:c r="J6" s="46" t="str">
        <x:v>PASS</x:v>
      </x:c>
      <x:c r="K6" s="46"/>
      <x:c r="L6" s="46"/>
      <x:c r="M6" s="46"/>
      <x:c r="N6" s="46"/>
      <x:c r="O6" s="46"/>
      <x:c r="P6" s="46"/>
      <x:c r="Q6" s="46"/>
      <x:c r="R6" s="46"/>
      <x:c r="S6" s="46"/>
      <x:c r="T6" s="46"/>
      <x:c r="U6" s="46"/>
      <x:c r="V6" s="46"/>
      <x:c r="W6" s="46"/>
      <x:c r="X6" s="46"/>
    </x:row>
    <x:row r="7">
      <x:c r="A7" s="46" t="str">
        <x:v>ADXL1</x:v>
      </x:c>
      <x:c r="B7" s="46" t="str">
        <x:v>-Y</x:v>
      </x:c>
      <x:c r="C7" s="56" t="n">
        <x:v>-9.554607</x:v>
      </x:c>
      <x:c r="D7" s="56" t="n">
        <x:v>0.011904</x:v>
      </x:c>
      <x:c r="E7" s="56" t="n">
        <x:f>'Selected Results'!M5</x:f>
        <x:v>0.12458911182846137</x:v>
      </x:c>
      <x:c r="F7" s="46" t="str">
        <x:v>Excellent</x:v>
      </x:c>
      <x:c r="G7" s="46"/>
      <x:c r="H7" s="46" t="str">
        <x:v>Raw data changed</x:v>
      </x:c>
      <x:c r="I7" s="46" t="str">
        <x:v>All selected runs = 1</x:v>
      </x:c>
      <x:c r="J7" s="46" t="str">
        <x:v>PASS</x:v>
      </x:c>
      <x:c r="K7" s="46"/>
      <x:c r="L7" s="46"/>
      <x:c r="M7" s="46"/>
      <x:c r="N7" s="46"/>
      <x:c r="O7" s="46"/>
      <x:c r="P7" s="46"/>
      <x:c r="Q7" s="46"/>
      <x:c r="R7" s="46"/>
      <x:c r="S7" s="46"/>
      <x:c r="T7" s="46"/>
      <x:c r="U7" s="46"/>
      <x:c r="V7" s="46"/>
      <x:c r="W7" s="46"/>
      <x:c r="X7" s="46"/>
    </x:row>
    <x:row r="8">
      <x:c r="A8" s="46" t="str">
        <x:v>ADXL1</x:v>
      </x:c>
      <x:c r="B8" s="46" t="str">
        <x:v>+Z</x:v>
      </x:c>
      <x:c r="C8" s="56" t="n">
        <x:v>8.837584</x:v>
      </x:c>
      <x:c r="D8" s="56" t="n">
        <x:v>0.011032</x:v>
      </x:c>
      <x:c r="E8" s="56" t="n">
        <x:f>'Selected Results'!M6</x:f>
        <x:v>0.12483049666062582</x:v>
      </x:c>
      <x:c r="F8" s="46" t="str">
        <x:v>Excellent</x:v>
      </x:c>
      <x:c r="G8" s="46"/>
      <x:c r="H8" s="46" t="str">
        <x:v>Register before/after</x:v>
      </x:c>
      <x:c r="I8" s="46" t="str">
        <x:v>All selected runs = 1/1</x:v>
      </x:c>
      <x:c r="J8" s="46" t="str">
        <x:v>PASS</x:v>
      </x:c>
      <x:c r="K8" s="46"/>
      <x:c r="L8" s="46"/>
      <x:c r="M8" s="46"/>
      <x:c r="N8" s="46"/>
      <x:c r="O8" s="46"/>
      <x:c r="P8" s="46"/>
      <x:c r="Q8" s="46"/>
      <x:c r="R8" s="46"/>
      <x:c r="S8" s="46"/>
      <x:c r="T8" s="46"/>
      <x:c r="U8" s="46"/>
      <x:c r="V8" s="46"/>
      <x:c r="W8" s="46"/>
      <x:c r="X8" s="46"/>
    </x:row>
    <x:row r="9">
      <x:c r="A9" s="46" t="str">
        <x:v>ADXL1</x:v>
      </x:c>
      <x:c r="B9" s="46" t="str">
        <x:v>-Z</x:v>
      </x:c>
      <x:c r="C9" s="56" t="n">
        <x:v>-10.215163</x:v>
      </x:c>
      <x:c r="D9" s="56" t="n">
        <x:v>0.003514</x:v>
      </x:c>
      <x:c r="E9" s="56" t="n">
        <x:f>'Selected Results'!M7</x:f>
        <x:v>0.034399842665261436</x:v>
      </x:c>
      <x:c r="F9" s="46" t="str">
        <x:v>Excellent</x:v>
      </x:c>
      <x:c r="G9" s="46"/>
      <x:c r="H9" s="46" t="str">
        <x:v>Max lateness</x:v>
      </x:c>
      <x:c r="I9" s="46" t="str">
        <x:v>≤ 2 µs in selected latest runs</x:v>
      </x:c>
      <x:c r="J9" s="46" t="str">
        <x:v>PASS</x:v>
      </x:c>
      <x:c r="K9" s="46"/>
      <x:c r="L9" s="46"/>
      <x:c r="M9" s="46"/>
      <x:c r="N9" s="46"/>
      <x:c r="O9" s="46"/>
      <x:c r="P9" s="46"/>
      <x:c r="Q9" s="46"/>
      <x:c r="R9" s="46"/>
      <x:c r="S9" s="46"/>
      <x:c r="T9" s="46"/>
      <x:c r="U9" s="46"/>
      <x:c r="V9" s="46"/>
      <x:c r="W9" s="46"/>
      <x:c r="X9" s="46"/>
    </x:row>
    <x:row r="10">
      <x:c r="A10" s="46" t="str">
        <x:v>ADXL2</x:v>
      </x:c>
      <x:c r="B10" s="46" t="str">
        <x:v>+X</x:v>
      </x:c>
      <x:c r="C10" s="56" t="n">
        <x:v>9.805357</x:v>
      </x:c>
      <x:c r="D10" s="56" t="n">
        <x:v>0.003521</x:v>
      </x:c>
      <x:c r="E10" s="56" t="n">
        <x:f>'Selected Results'!M8</x:f>
        <x:v>0.03590894242810332</x:v>
      </x:c>
      <x:c r="F10" s="46" t="str">
        <x:v>Excellent</x:v>
      </x:c>
      <x:c r="G10" s="46"/>
      <x:c r="H10" s="46" t="str">
        <x:v>Selected invalid runs</x:v>
      </x:c>
      <x:c r="I10" s="46" t="n">
        <x:v>0</x:v>
      </x:c>
      <x:c r="J10" s="46" t="str">
        <x:v>PASS</x:v>
      </x:c>
      <x:c r="K10" s="46"/>
      <x:c r="L10" s="46"/>
      <x:c r="M10" s="46"/>
      <x:c r="N10" s="46"/>
      <x:c r="O10" s="46"/>
      <x:c r="P10" s="46"/>
      <x:c r="Q10" s="46"/>
      <x:c r="R10" s="46"/>
      <x:c r="S10" s="46"/>
      <x:c r="T10" s="46"/>
      <x:c r="U10" s="46"/>
      <x:c r="V10" s="46"/>
      <x:c r="W10" s="46"/>
      <x:c r="X10" s="46"/>
    </x:row>
    <x:row r="11">
      <x:c r="A11" s="46" t="str">
        <x:v>ADXL2</x:v>
      </x:c>
      <x:c r="B11" s="46" t="str">
        <x:v>-X</x:v>
      </x:c>
      <x:c r="C11" s="56" t="n">
        <x:v>-9.923497</x:v>
      </x:c>
      <x:c r="D11" s="56" t="n">
        <x:v>0.003529</x:v>
      </x:c>
      <x:c r="E11" s="56" t="n">
        <x:f>'Selected Results'!M9</x:f>
        <x:v>0.03556206043091463</x:v>
      </x:c>
      <x:c r="F11" s="46" t="str">
        <x:v>Excellent</x:v>
      </x:c>
      <x:c r="G11" s="46"/>
      <x:c r="H11" s="46"/>
      <x:c r="I11" s="46"/>
      <x:c r="J11" s="46"/>
      <x:c r="K11" s="46"/>
      <x:c r="L11" s="46"/>
      <x:c r="M11" s="46"/>
      <x:c r="N11" s="46"/>
      <x:c r="O11" s="46"/>
      <x:c r="P11" s="46"/>
      <x:c r="Q11" s="46"/>
      <x:c r="R11" s="46"/>
      <x:c r="S11" s="46"/>
      <x:c r="T11" s="46"/>
      <x:c r="U11" s="46"/>
      <x:c r="V11" s="46"/>
      <x:c r="W11" s="46"/>
      <x:c r="X11" s="46"/>
    </x:row>
    <x:row r="12">
      <x:c r="A12" s="46" t="str">
        <x:v>ADXL2</x:v>
      </x:c>
      <x:c r="B12" s="46" t="str">
        <x:v>+Y</x:v>
      </x:c>
      <x:c r="C12" s="56" t="n">
        <x:v>10.226844</x:v>
      </x:c>
      <x:c r="D12" s="56" t="n">
        <x:v>0.002194</x:v>
      </x:c>
      <x:c r="E12" s="56" t="n">
        <x:f>'Selected Results'!M10</x:f>
        <x:v>0.021453343768615227</x:v>
      </x:c>
      <x:c r="F12" s="46" t="str">
        <x:v>Excellent</x:v>
      </x:c>
      <x:c r="G12" s="46"/>
      <x:c r="H12" s="46"/>
      <x:c r="I12" s="46"/>
      <x:c r="J12" s="46"/>
      <x:c r="K12" s="46"/>
      <x:c r="L12" s="46"/>
      <x:c r="M12" s="46"/>
      <x:c r="N12" s="46"/>
      <x:c r="O12" s="46"/>
      <x:c r="P12" s="46"/>
      <x:c r="Q12" s="46"/>
      <x:c r="R12" s="46"/>
      <x:c r="S12" s="46"/>
      <x:c r="T12" s="46"/>
      <x:c r="U12" s="46"/>
      <x:c r="V12" s="46"/>
      <x:c r="W12" s="46"/>
      <x:c r="X12" s="46"/>
    </x:row>
    <x:row r="13">
      <x:c r="A13" s="46" t="str">
        <x:v>ADXL2</x:v>
      </x:c>
      <x:c r="B13" s="46" t="str">
        <x:v>-Y</x:v>
      </x:c>
      <x:c r="C13" s="56" t="n">
        <x:v>-9.601801</x:v>
      </x:c>
      <x:c r="D13" s="56" t="n">
        <x:v>0.003208</x:v>
      </x:c>
      <x:c r="E13" s="56" t="n">
        <x:f>'Selected Results'!M11</x:f>
        <x:v>0.033410398736653676</x:v>
      </x:c>
      <x:c r="F13" s="46" t="str">
        <x:v>Excellent</x:v>
      </x:c>
      <x:c r="G13" s="46"/>
      <x:c r="H13" s="46"/>
      <x:c r="I13" s="46"/>
      <x:c r="J13" s="46"/>
      <x:c r="K13" s="46"/>
      <x:c r="L13" s="46"/>
      <x:c r="M13" s="46"/>
      <x:c r="N13" s="46"/>
      <x:c r="O13" s="46"/>
      <x:c r="P13" s="46"/>
      <x:c r="Q13" s="46"/>
      <x:c r="R13" s="46"/>
      <x:c r="S13" s="46"/>
      <x:c r="T13" s="46"/>
      <x:c r="U13" s="46"/>
      <x:c r="V13" s="46"/>
      <x:c r="W13" s="46"/>
      <x:c r="X13" s="46"/>
    </x:row>
    <x:row r="14">
      <x:c r="A14" s="46" t="str">
        <x:v>ADXL2</x:v>
      </x:c>
      <x:c r="B14" s="46" t="str">
        <x:v>+Z</x:v>
      </x:c>
      <x:c r="C14" s="56" t="n">
        <x:v>11.216983</x:v>
      </x:c>
      <x:c r="D14" s="56" t="n">
        <x:v>0.015021</x:v>
      </x:c>
      <x:c r="E14" s="56" t="n">
        <x:f>'Selected Results'!M12</x:f>
        <x:v>0.13391301386477986</x:v>
      </x:c>
      <x:c r="F14" s="46" t="str">
        <x:v>Excellent</x:v>
      </x:c>
      <x:c r="G14" s="46"/>
      <x:c r="H14" s="46"/>
      <x:c r="I14" s="46"/>
      <x:c r="J14" s="46"/>
      <x:c r="K14" s="46"/>
      <x:c r="L14" s="46"/>
      <x:c r="M14" s="46"/>
      <x:c r="N14" s="46"/>
      <x:c r="O14" s="46"/>
      <x:c r="P14" s="46"/>
      <x:c r="Q14" s="46"/>
      <x:c r="R14" s="46"/>
      <x:c r="S14" s="46"/>
      <x:c r="T14" s="46"/>
      <x:c r="U14" s="46"/>
      <x:c r="V14" s="46"/>
      <x:c r="W14" s="46"/>
      <x:c r="X14" s="46"/>
    </x:row>
    <x:row r="15">
      <x:c r="A15" s="46" t="str">
        <x:v>ADXL2</x:v>
      </x:c>
      <x:c r="B15" s="46" t="str">
        <x:v>-Z</x:v>
      </x:c>
      <x:c r="C15" s="56" t="n">
        <x:v>-8.171547</x:v>
      </x:c>
      <x:c r="D15" s="56" t="n">
        <x:v>0.007957</x:v>
      </x:c>
      <x:c r="E15" s="56" t="n">
        <x:f>'Selected Results'!M13</x:f>
        <x:v>0.09737446287710272</x:v>
      </x:c>
      <x:c r="F15" s="46" t="str">
        <x:v>Excellent</x:v>
      </x:c>
      <x:c r="G15" s="46"/>
      <x:c r="H15" s="46"/>
      <x:c r="I15" s="46"/>
      <x:c r="J15" s="46"/>
      <x:c r="K15" s="46"/>
      <x:c r="L15" s="46"/>
      <x:c r="M15" s="46"/>
      <x:c r="N15" s="46"/>
      <x:c r="O15" s="46"/>
      <x:c r="P15" s="46"/>
      <x:c r="Q15" s="46"/>
      <x:c r="R15" s="46"/>
      <x:c r="S15" s="46"/>
      <x:c r="T15" s="46"/>
      <x:c r="U15" s="46"/>
      <x:c r="V15" s="46"/>
      <x:c r="W15" s="46"/>
      <x:c r="X15" s="46"/>
    </x:row>
    <x:row r="16">
      <x:c r="A16" s="46"/>
      <x:c r="B16" s="46"/>
      <x:c r="C16" s="46"/>
      <x:c r="D16" s="46"/>
      <x:c r="E16" s="46"/>
      <x:c r="F16" s="46"/>
      <x:c r="G16" s="46"/>
      <x:c r="H16" s="46"/>
      <x:c r="I16" s="46"/>
      <x:c r="J16" s="46"/>
      <x:c r="K16" s="46"/>
      <x:c r="L16" s="46"/>
      <x:c r="M16" s="46"/>
      <x:c r="N16" s="46"/>
      <x:c r="O16" s="46"/>
      <x:c r="P16" s="46"/>
      <x:c r="Q16" s="46"/>
      <x:c r="R16" s="46"/>
      <x:c r="S16" s="46"/>
      <x:c r="T16" s="46"/>
      <x:c r="U16" s="46"/>
      <x:c r="V16" s="46"/>
      <x:c r="W16" s="46"/>
      <x:c r="X16" s="46"/>
    </x:row>
    <x:row r="17">
      <x:c r="A17" s="46"/>
      <x:c r="B17" s="46"/>
      <x:c r="C17" s="46"/>
      <x:c r="D17" s="46"/>
      <x:c r="E17" s="46"/>
      <x:c r="F17" s="46"/>
      <x:c r="G17" s="46"/>
      <x:c r="H17" s="46"/>
      <x:c r="I17" s="46"/>
      <x:c r="J17" s="46"/>
      <x:c r="K17" s="46"/>
      <x:c r="L17" s="46"/>
      <x:c r="M17" s="46"/>
      <x:c r="N17" s="46"/>
      <x:c r="O17" s="46"/>
      <x:c r="P17" s="46"/>
      <x:c r="Q17" s="46"/>
      <x:c r="R17" s="46"/>
      <x:c r="S17" s="46"/>
      <x:c r="T17" s="46"/>
      <x:c r="U17" s="46"/>
      <x:c r="V17" s="46"/>
      <x:c r="W17" s="46"/>
      <x:c r="X17" s="46"/>
    </x:row>
    <x:row r="18">
      <x:c r="A18" s="46"/>
      <x:c r="B18" s="46"/>
      <x:c r="C18" s="46"/>
      <x:c r="D18" s="46"/>
      <x:c r="E18" s="46"/>
      <x:c r="F18" s="46"/>
      <x:c r="G18" s="46"/>
      <x:c r="H18" s="46"/>
      <x:c r="I18" s="46"/>
      <x:c r="J18" s="46"/>
      <x:c r="K18" s="46"/>
      <x:c r="L18" s="46"/>
      <x:c r="M18" s="46"/>
      <x:c r="N18" s="46"/>
      <x:c r="O18" s="46"/>
      <x:c r="P18" s="46"/>
      <x:c r="Q18" s="46"/>
      <x:c r="R18" s="46"/>
      <x:c r="S18" s="46"/>
      <x:c r="T18" s="46"/>
      <x:c r="U18" s="46"/>
      <x:c r="V18" s="46"/>
      <x:c r="W18" s="46"/>
      <x:c r="X18" s="46"/>
    </x:row>
    <x:row r="19">
      <x:c r="A19" s="46"/>
      <x:c r="B19" s="46"/>
      <x:c r="C19" s="46"/>
      <x:c r="D19" s="46"/>
      <x:c r="E19" s="46"/>
      <x:c r="F19" s="46"/>
      <x:c r="G19" s="46"/>
      <x:c r="H19" s="46"/>
      <x:c r="I19" s="46"/>
      <x:c r="J19" s="46"/>
      <x:c r="K19" s="46"/>
      <x:c r="L19" s="46"/>
      <x:c r="M19" s="46"/>
      <x:c r="N19" s="46"/>
      <x:c r="O19" s="46"/>
      <x:c r="P19" s="46"/>
      <x:c r="Q19" s="46"/>
      <x:c r="R19" s="46"/>
      <x:c r="S19" s="46"/>
      <x:c r="T19" s="46"/>
      <x:c r="U19" s="46"/>
      <x:c r="V19" s="46"/>
      <x:c r="W19" s="46"/>
      <x:c r="X19" s="46"/>
    </x:row>
    <x:row r="20">
      <x:c r="A20" s="46"/>
      <x:c r="B20" s="46"/>
      <x:c r="C20" s="46"/>
      <x:c r="D20" s="46"/>
      <x:c r="E20" s="46"/>
      <x:c r="F20" s="46"/>
      <x:c r="G20" s="46"/>
      <x:c r="H20" s="46"/>
      <x:c r="I20" s="46"/>
      <x:c r="J20" s="46"/>
      <x:c r="K20" s="46"/>
      <x:c r="L20" s="46"/>
      <x:c r="M20" s="46"/>
      <x:c r="N20" s="46"/>
      <x:c r="O20" s="46"/>
      <x:c r="P20" s="46"/>
      <x:c r="Q20" s="46"/>
      <x:c r="R20" s="46"/>
      <x:c r="S20" s="46"/>
      <x:c r="T20" s="46"/>
      <x:c r="U20" s="46"/>
      <x:c r="V20" s="46"/>
      <x:c r="W20" s="46"/>
      <x:c r="X20" s="46"/>
    </x:row>
    <x:row r="21">
      <x:c r="A21" s="46"/>
      <x:c r="B21" s="46"/>
      <x:c r="C21" s="46"/>
      <x:c r="D21" s="46"/>
      <x:c r="E21" s="46"/>
      <x:c r="F21" s="46"/>
      <x:c r="G21" s="46"/>
      <x:c r="H21" s="46"/>
      <x:c r="I21" s="46"/>
      <x:c r="J21" s="46"/>
      <x:c r="K21" s="46"/>
      <x:c r="L21" s="46"/>
      <x:c r="M21" s="46"/>
      <x:c r="N21" s="46"/>
      <x:c r="O21" s="46"/>
      <x:c r="P21" s="46"/>
      <x:c r="Q21" s="46"/>
      <x:c r="R21" s="46"/>
      <x:c r="S21" s="46"/>
      <x:c r="T21" s="46"/>
      <x:c r="U21" s="46"/>
      <x:c r="V21" s="46"/>
      <x:c r="W21" s="46"/>
      <x:c r="X21" s="46"/>
    </x:row>
    <x:row r="22">
      <x:c r="A22" s="46"/>
      <x:c r="B22" s="46"/>
      <x:c r="C22" s="46"/>
      <x:c r="D22" s="46"/>
      <x:c r="E22" s="46"/>
      <x:c r="F22" s="46"/>
      <x:c r="G22" s="46"/>
      <x:c r="H22" s="46"/>
      <x:c r="I22" s="46"/>
      <x:c r="J22" s="46"/>
      <x:c r="K22" s="46"/>
      <x:c r="L22" s="46"/>
      <x:c r="M22" s="46"/>
      <x:c r="N22" s="46"/>
      <x:c r="O22" s="46"/>
      <x:c r="P22" s="46"/>
      <x:c r="Q22" s="46"/>
      <x:c r="R22" s="46"/>
      <x:c r="S22" s="46"/>
      <x:c r="T22" s="46"/>
      <x:c r="U22" s="46"/>
      <x:c r="V22" s="46"/>
      <x:c r="W22" s="46"/>
      <x:c r="X22" s="46"/>
    </x:row>
    <x:row r="23">
      <x:c r="A23" s="46"/>
      <x:c r="B23" s="46"/>
      <x:c r="C23" s="46"/>
      <x:c r="D23" s="46"/>
      <x:c r="E23" s="46"/>
      <x:c r="F23" s="46"/>
      <x:c r="G23" s="46"/>
      <x:c r="H23" s="46"/>
      <x:c r="I23" s="46"/>
      <x:c r="J23" s="46"/>
      <x:c r="K23" s="46"/>
      <x:c r="L23" s="46"/>
      <x:c r="M23" s="46"/>
      <x:c r="N23" s="46"/>
      <x:c r="O23" s="46"/>
      <x:c r="P23" s="46"/>
      <x:c r="Q23" s="46"/>
      <x:c r="R23" s="46"/>
      <x:c r="S23" s="46"/>
      <x:c r="T23" s="46"/>
      <x:c r="U23" s="46"/>
      <x:c r="V23" s="46"/>
      <x:c r="W23" s="46"/>
      <x:c r="X23" s="46"/>
    </x:row>
    <x:row r="24">
      <x:c r="A24" s="46"/>
      <x:c r="B24" s="46"/>
      <x:c r="C24" s="46"/>
      <x:c r="D24" s="46"/>
      <x:c r="E24" s="46"/>
      <x:c r="F24" s="46"/>
      <x:c r="G24" s="46"/>
      <x:c r="H24" s="46"/>
      <x:c r="I24" s="46"/>
      <x:c r="J24" s="46"/>
      <x:c r="K24" s="46"/>
      <x:c r="L24" s="46"/>
      <x:c r="M24" s="46"/>
      <x:c r="N24" s="46"/>
      <x:c r="O24" s="46"/>
      <x:c r="P24" s="46"/>
      <x:c r="Q24" s="46"/>
      <x:c r="R24" s="46"/>
      <x:c r="S24" s="46"/>
      <x:c r="T24" s="46"/>
      <x:c r="U24" s="46"/>
      <x:c r="V24" s="46"/>
      <x:c r="W24" s="46"/>
      <x:c r="X24" s="46"/>
    </x:row>
    <x:row r="25">
      <x:c r="A25" s="46"/>
      <x:c r="B25" s="46"/>
      <x:c r="C25" s="46"/>
      <x:c r="D25" s="46"/>
      <x:c r="E25" s="46"/>
      <x:c r="F25" s="46"/>
      <x:c r="G25" s="46"/>
      <x:c r="H25" s="46"/>
      <x:c r="I25" s="46"/>
      <x:c r="J25" s="46"/>
      <x:c r="K25" s="46"/>
      <x:c r="L25" s="46"/>
      <x:c r="M25" s="46"/>
      <x:c r="N25" s="46"/>
      <x:c r="O25" s="46"/>
      <x:c r="P25" s="46"/>
      <x:c r="Q25" s="46"/>
      <x:c r="R25" s="46"/>
      <x:c r="S25" s="46"/>
      <x:c r="T25" s="46"/>
      <x:c r="U25" s="46"/>
      <x:c r="V25" s="46"/>
      <x:c r="W25" s="46"/>
      <x:c r="X25" s="46"/>
    </x:row>
    <x:row r="26">
      <x:c r="A26" s="46"/>
      <x:c r="B26" s="46"/>
      <x:c r="C26" s="46"/>
      <x:c r="D26" s="46"/>
      <x:c r="E26" s="46"/>
      <x:c r="F26" s="46"/>
      <x:c r="G26" s="46"/>
      <x:c r="H26" s="46"/>
      <x:c r="I26" s="46"/>
      <x:c r="J26" s="46"/>
      <x:c r="K26" s="46"/>
      <x:c r="L26" s="46"/>
      <x:c r="M26" s="46"/>
      <x:c r="N26" s="46"/>
      <x:c r="O26" s="46"/>
      <x:c r="P26" s="46"/>
      <x:c r="Q26" s="46"/>
      <x:c r="R26" s="46"/>
      <x:c r="S26" s="46"/>
      <x:c r="T26" s="46"/>
      <x:c r="U26" s="46"/>
      <x:c r="V26" s="46"/>
      <x:c r="W26" s="46"/>
      <x:c r="X26" s="46"/>
    </x:row>
    <x:row r="27">
      <x:c r="A27" s="46"/>
      <x:c r="B27" s="46"/>
      <x:c r="C27" s="46"/>
      <x:c r="D27" s="46"/>
      <x:c r="E27" s="46"/>
      <x:c r="F27" s="46"/>
      <x:c r="G27" s="46"/>
      <x:c r="H27" s="46"/>
      <x:c r="I27" s="46"/>
      <x:c r="J27" s="46"/>
      <x:c r="K27" s="46"/>
      <x:c r="L27" s="46"/>
      <x:c r="M27" s="46"/>
      <x:c r="N27" s="46"/>
      <x:c r="O27" s="46"/>
      <x:c r="P27" s="46"/>
      <x:c r="Q27" s="46"/>
      <x:c r="R27" s="46"/>
      <x:c r="S27" s="46"/>
      <x:c r="T27" s="46"/>
      <x:c r="U27" s="46"/>
      <x:c r="V27" s="46"/>
      <x:c r="W27" s="46"/>
      <x:c r="X27" s="46"/>
    </x:row>
    <x:row r="28">
      <x:c r="A28" s="46"/>
      <x:c r="B28" s="46"/>
      <x:c r="C28" s="46"/>
      <x:c r="D28" s="46"/>
      <x:c r="E28" s="46"/>
      <x:c r="F28" s="46"/>
      <x:c r="G28" s="46"/>
      <x:c r="H28" s="46"/>
      <x:c r="I28" s="46"/>
      <x:c r="J28" s="46"/>
      <x:c r="K28" s="46"/>
      <x:c r="L28" s="46"/>
      <x:c r="M28" s="46"/>
      <x:c r="N28" s="46"/>
      <x:c r="O28" s="46"/>
      <x:c r="P28" s="46"/>
      <x:c r="Q28" s="46"/>
      <x:c r="R28" s="46"/>
      <x:c r="S28" s="46"/>
      <x:c r="T28" s="46"/>
      <x:c r="U28" s="46"/>
      <x:c r="V28" s="46"/>
      <x:c r="W28" s="46"/>
      <x:c r="X28" s="46"/>
    </x:row>
    <x:row r="29">
      <x:c r="A29" s="46"/>
      <x:c r="B29" s="46"/>
      <x:c r="C29" s="46"/>
      <x:c r="D29" s="46"/>
      <x:c r="E29" s="46"/>
      <x:c r="F29" s="46"/>
      <x:c r="G29" s="46"/>
      <x:c r="H29" s="46"/>
      <x:c r="I29" s="46"/>
      <x:c r="J29" s="46"/>
      <x:c r="K29" s="46"/>
      <x:c r="L29" s="46"/>
      <x:c r="M29" s="46"/>
      <x:c r="N29" s="46"/>
      <x:c r="O29" s="46"/>
      <x:c r="P29" s="46"/>
      <x:c r="Q29" s="46"/>
      <x:c r="R29" s="46"/>
      <x:c r="S29" s="46"/>
      <x:c r="T29" s="46"/>
      <x:c r="U29" s="46"/>
      <x:c r="V29" s="46"/>
      <x:c r="W29" s="46"/>
      <x:c r="X29" s="46"/>
    </x:row>
    <x:row r="30">
      <x:c r="A30" s="46"/>
      <x:c r="B30" s="46"/>
      <x:c r="C30" s="46"/>
      <x:c r="D30" s="46"/>
      <x:c r="E30" s="46"/>
      <x:c r="F30" s="46"/>
      <x:c r="G30" s="46"/>
      <x:c r="H30" s="46"/>
      <x:c r="I30" s="46"/>
      <x:c r="J30" s="46"/>
      <x:c r="K30" s="46"/>
      <x:c r="L30" s="46"/>
      <x:c r="M30" s="46"/>
      <x:c r="N30" s="46"/>
      <x:c r="O30" s="46"/>
      <x:c r="P30" s="46"/>
      <x:c r="Q30" s="46"/>
      <x:c r="R30" s="46"/>
      <x:c r="S30" s="46"/>
      <x:c r="T30" s="46"/>
      <x:c r="U30" s="46"/>
      <x:c r="V30" s="46"/>
      <x:c r="W30" s="46"/>
      <x:c r="X30" s="46"/>
    </x:row>
    <x:row r="31">
      <x:c r="A31" s="46"/>
      <x:c r="B31" s="46"/>
      <x:c r="C31" s="46"/>
      <x:c r="D31" s="46"/>
      <x:c r="E31" s="46"/>
      <x:c r="F31" s="46"/>
      <x:c r="G31" s="46"/>
      <x:c r="H31" s="46"/>
      <x:c r="I31" s="46"/>
      <x:c r="J31" s="46"/>
      <x:c r="K31" s="46"/>
      <x:c r="L31" s="46"/>
      <x:c r="M31" s="46"/>
      <x:c r="N31" s="46"/>
      <x:c r="O31" s="46"/>
      <x:c r="P31" s="46"/>
      <x:c r="Q31" s="46"/>
      <x:c r="R31" s="46"/>
      <x:c r="S31" s="46"/>
      <x:c r="T31" s="46"/>
      <x:c r="U31" s="46"/>
      <x:c r="V31" s="46"/>
      <x:c r="W31" s="46"/>
      <x:c r="X31" s="46"/>
    </x:row>
    <x:row r="32">
      <x:c r="A32" s="46"/>
      <x:c r="B32" s="46"/>
      <x:c r="C32" s="46"/>
      <x:c r="D32" s="46"/>
      <x:c r="E32" s="46"/>
      <x:c r="F32" s="46"/>
      <x:c r="G32" s="46"/>
      <x:c r="H32" s="46"/>
      <x:c r="I32" s="46"/>
      <x:c r="J32" s="46"/>
      <x:c r="K32" s="46"/>
      <x:c r="L32" s="46"/>
      <x:c r="M32" s="46"/>
      <x:c r="N32" s="46"/>
      <x:c r="O32" s="46"/>
      <x:c r="P32" s="46"/>
      <x:c r="Q32" s="46"/>
      <x:c r="R32" s="46"/>
      <x:c r="S32" s="46"/>
      <x:c r="T32" s="46"/>
      <x:c r="U32" s="46"/>
      <x:c r="V32" s="46"/>
      <x:c r="W32" s="46"/>
      <x:c r="X32" s="46"/>
    </x:row>
    <x:row r="33">
      <x:c r="A33" s="46"/>
      <x:c r="B33" s="46"/>
      <x:c r="C33" s="46"/>
      <x:c r="D33" s="46"/>
      <x:c r="E33" s="46"/>
      <x:c r="F33" s="46"/>
      <x:c r="G33" s="46"/>
      <x:c r="H33" s="46"/>
      <x:c r="I33" s="46"/>
      <x:c r="J33" s="46"/>
      <x:c r="K33" s="46"/>
      <x:c r="L33" s="46"/>
      <x:c r="M33" s="46"/>
      <x:c r="N33" s="46"/>
      <x:c r="O33" s="46"/>
      <x:c r="P33" s="46"/>
      <x:c r="Q33" s="46"/>
      <x:c r="R33" s="46"/>
      <x:c r="S33" s="46"/>
      <x:c r="T33" s="46"/>
      <x:c r="U33" s="46"/>
      <x:c r="V33" s="46"/>
      <x:c r="W33" s="46"/>
      <x:c r="X33" s="46"/>
    </x:row>
    <x:row r="34">
      <x:c r="A34" s="46"/>
      <x:c r="B34" s="46"/>
      <x:c r="C34" s="46"/>
      <x:c r="D34" s="46"/>
      <x:c r="E34" s="46"/>
      <x:c r="F34" s="46"/>
      <x:c r="G34" s="46"/>
      <x:c r="H34" s="46"/>
      <x:c r="I34" s="46"/>
      <x:c r="J34" s="46"/>
      <x:c r="K34" s="46"/>
      <x:c r="L34" s="46"/>
      <x:c r="M34" s="46"/>
      <x:c r="N34" s="46"/>
      <x:c r="O34" s="46"/>
      <x:c r="P34" s="46"/>
      <x:c r="Q34" s="46"/>
      <x:c r="R34" s="46"/>
      <x:c r="S34" s="46"/>
      <x:c r="T34" s="46"/>
      <x:c r="U34" s="46"/>
      <x:c r="V34" s="46"/>
      <x:c r="W34" s="46"/>
      <x:c r="X34" s="46"/>
    </x:row>
    <x:row r="35">
      <x:c r="A35" s="46"/>
      <x:c r="B35" s="46"/>
      <x:c r="C35" s="46"/>
      <x:c r="D35" s="46"/>
      <x:c r="E35" s="46"/>
      <x:c r="F35" s="46"/>
      <x:c r="G35" s="46"/>
      <x:c r="H35" s="46"/>
      <x:c r="I35" s="46"/>
      <x:c r="J35" s="46"/>
      <x:c r="K35" s="46"/>
      <x:c r="L35" s="46"/>
      <x:c r="M35" s="46"/>
      <x:c r="N35" s="46"/>
      <x:c r="O35" s="46"/>
      <x:c r="P35" s="46"/>
      <x:c r="Q35" s="46"/>
      <x:c r="R35" s="46"/>
      <x:c r="S35" s="46"/>
      <x:c r="T35" s="46"/>
      <x:c r="U35" s="46"/>
      <x:c r="V35" s="46"/>
      <x:c r="W35" s="46"/>
      <x:c r="X35" s="46"/>
    </x:row>
    <x:row r="36">
      <x:c r="A36" s="46"/>
      <x:c r="B36" s="46"/>
      <x:c r="C36" s="46"/>
      <x:c r="D36" s="46"/>
      <x:c r="E36" s="46"/>
      <x:c r="F36" s="46"/>
      <x:c r="G36" s="46"/>
      <x:c r="H36" s="46"/>
      <x:c r="I36" s="46"/>
      <x:c r="J36" s="46"/>
      <x:c r="K36" s="46"/>
      <x:c r="L36" s="46"/>
      <x:c r="M36" s="46"/>
      <x:c r="N36" s="46"/>
      <x:c r="O36" s="46"/>
      <x:c r="P36" s="46"/>
      <x:c r="Q36" s="46"/>
      <x:c r="R36" s="46"/>
      <x:c r="S36" s="46"/>
      <x:c r="T36" s="46"/>
      <x:c r="U36" s="46"/>
      <x:c r="V36" s="46"/>
      <x:c r="W36" s="46"/>
      <x:c r="X36" s="46"/>
    </x:row>
    <x:row r="37">
      <x:c r="A37" s="46"/>
      <x:c r="B37" s="46"/>
      <x:c r="C37" s="46"/>
      <x:c r="D37" s="46"/>
      <x:c r="E37" s="46"/>
      <x:c r="F37" s="46"/>
      <x:c r="G37" s="46"/>
      <x:c r="H37" s="46"/>
      <x:c r="I37" s="46"/>
      <x:c r="J37" s="46"/>
      <x:c r="K37" s="46"/>
      <x:c r="L37" s="46"/>
      <x:c r="M37" s="46"/>
      <x:c r="N37" s="46"/>
      <x:c r="O37" s="46"/>
      <x:c r="P37" s="46"/>
      <x:c r="Q37" s="46"/>
      <x:c r="R37" s="46"/>
      <x:c r="S37" s="46"/>
      <x:c r="T37" s="46"/>
      <x:c r="U37" s="46"/>
      <x:c r="V37" s="46"/>
      <x:c r="W37" s="46"/>
      <x:c r="X37" s="46"/>
    </x:row>
    <x:row r="38">
      <x:c r="A38" s="46"/>
      <x:c r="B38" s="46"/>
      <x:c r="C38" s="46"/>
      <x:c r="D38" s="46"/>
      <x:c r="E38" s="46"/>
      <x:c r="F38" s="46"/>
      <x:c r="G38" s="46"/>
      <x:c r="H38" s="46"/>
      <x:c r="I38" s="46"/>
      <x:c r="J38" s="46"/>
      <x:c r="K38" s="46"/>
      <x:c r="L38" s="46"/>
      <x:c r="M38" s="46"/>
      <x:c r="N38" s="46"/>
      <x:c r="O38" s="46"/>
      <x:c r="P38" s="46"/>
      <x:c r="Q38" s="46"/>
      <x:c r="R38" s="46"/>
      <x:c r="S38" s="46"/>
      <x:c r="T38" s="46"/>
      <x:c r="U38" s="46"/>
      <x:c r="V38" s="46"/>
      <x:c r="W38" s="46"/>
      <x:c r="X38" s="46"/>
    </x:row>
    <x:row r="39">
      <x:c r="A39" s="46"/>
      <x:c r="B39" s="46"/>
      <x:c r="C39" s="46"/>
      <x:c r="D39" s="46"/>
      <x:c r="E39" s="46"/>
      <x:c r="F39" s="46"/>
      <x:c r="G39" s="46"/>
      <x:c r="H39" s="46"/>
      <x:c r="I39" s="46"/>
      <x:c r="J39" s="46"/>
      <x:c r="K39" s="46"/>
      <x:c r="L39" s="46"/>
      <x:c r="M39" s="46"/>
      <x:c r="N39" s="46"/>
      <x:c r="O39" s="46"/>
      <x:c r="P39" s="46"/>
      <x:c r="Q39" s="46"/>
      <x:c r="R39" s="46"/>
      <x:c r="S39" s="46"/>
      <x:c r="T39" s="46"/>
      <x:c r="U39" s="46"/>
      <x:c r="V39" s="46"/>
      <x:c r="W39" s="46"/>
      <x:c r="X39" s="46"/>
    </x:row>
    <x:row r="40">
      <x:c r="A40" s="46"/>
      <x:c r="B40" s="46"/>
      <x:c r="C40" s="46"/>
      <x:c r="D40" s="46"/>
      <x:c r="E40" s="46"/>
      <x:c r="F40" s="46"/>
      <x:c r="G40" s="46"/>
      <x:c r="H40" s="46"/>
      <x:c r="I40" s="46"/>
      <x:c r="J40" s="46"/>
      <x:c r="K40" s="46"/>
      <x:c r="L40" s="46"/>
      <x:c r="M40" s="46"/>
      <x:c r="N40" s="46"/>
      <x:c r="O40" s="46"/>
      <x:c r="P40" s="46"/>
      <x:c r="Q40" s="46"/>
      <x:c r="R40" s="46"/>
      <x:c r="S40" s="46"/>
      <x:c r="T40" s="46"/>
      <x:c r="U40" s="46"/>
      <x:c r="V40" s="46"/>
      <x:c r="W40" s="46"/>
      <x:c r="X40" s="46"/>
    </x:row>
    <x:row r="41">
      <x:c r="A41" s="46"/>
      <x:c r="B41" s="46"/>
      <x:c r="C41" s="46"/>
      <x:c r="D41" s="46"/>
      <x:c r="E41" s="46"/>
      <x:c r="F41" s="46"/>
      <x:c r="G41" s="46"/>
      <x:c r="H41" s="46"/>
      <x:c r="I41" s="46"/>
      <x:c r="J41" s="46"/>
      <x:c r="K41" s="46"/>
      <x:c r="L41" s="46"/>
      <x:c r="M41" s="46"/>
      <x:c r="N41" s="46"/>
      <x:c r="O41" s="46"/>
      <x:c r="P41" s="46"/>
      <x:c r="Q41" s="46"/>
      <x:c r="R41" s="46"/>
      <x:c r="S41" s="46"/>
      <x:c r="T41" s="46"/>
      <x:c r="U41" s="46"/>
      <x:c r="V41" s="46"/>
      <x:c r="W41" s="46"/>
      <x:c r="X41" s="46"/>
    </x:row>
    <x:row r="42">
      <x:c r="A42" s="46"/>
      <x:c r="B42" s="46"/>
      <x:c r="C42" s="46"/>
      <x:c r="D42" s="46"/>
      <x:c r="E42" s="46"/>
      <x:c r="F42" s="46"/>
      <x:c r="G42" s="46"/>
      <x:c r="H42" s="46"/>
      <x:c r="I42" s="46"/>
      <x:c r="J42" s="46"/>
      <x:c r="K42" s="46"/>
      <x:c r="L42" s="46"/>
      <x:c r="M42" s="46"/>
      <x:c r="N42" s="46"/>
      <x:c r="O42" s="46"/>
      <x:c r="P42" s="46"/>
      <x:c r="Q42" s="46"/>
      <x:c r="R42" s="46"/>
      <x:c r="S42" s="46"/>
      <x:c r="T42" s="46"/>
      <x:c r="U42" s="46"/>
      <x:c r="V42" s="46"/>
      <x:c r="W42" s="46"/>
      <x:c r="X42" s="46"/>
    </x:row>
    <x:row r="43">
      <x:c r="A43" s="46"/>
      <x:c r="B43" s="46"/>
      <x:c r="C43" s="46"/>
      <x:c r="D43" s="46"/>
      <x:c r="E43" s="46"/>
      <x:c r="F43" s="46"/>
      <x:c r="G43" s="46"/>
      <x:c r="H43" s="46"/>
      <x:c r="I43" s="46"/>
      <x:c r="J43" s="46"/>
      <x:c r="K43" s="46"/>
      <x:c r="L43" s="46"/>
      <x:c r="M43" s="46"/>
      <x:c r="N43" s="46"/>
      <x:c r="O43" s="46"/>
      <x:c r="P43" s="46"/>
      <x:c r="Q43" s="46"/>
      <x:c r="R43" s="46"/>
      <x:c r="S43" s="46"/>
      <x:c r="T43" s="46"/>
      <x:c r="U43" s="46"/>
      <x:c r="V43" s="46"/>
      <x:c r="W43" s="46"/>
      <x:c r="X43" s="46"/>
    </x:row>
    <x:row r="44">
      <x:c r="A44" s="46"/>
      <x:c r="B44" s="46"/>
      <x:c r="C44" s="46"/>
      <x:c r="D44" s="46"/>
      <x:c r="E44" s="46"/>
      <x:c r="F44" s="46"/>
      <x:c r="G44" s="46"/>
      <x:c r="H44" s="46"/>
      <x:c r="I44" s="46"/>
      <x:c r="J44" s="46"/>
      <x:c r="K44" s="46"/>
      <x:c r="L44" s="46"/>
      <x:c r="M44" s="46"/>
      <x:c r="N44" s="46"/>
      <x:c r="O44" s="46"/>
      <x:c r="P44" s="46"/>
      <x:c r="Q44" s="46"/>
      <x:c r="R44" s="46"/>
      <x:c r="S44" s="46"/>
      <x:c r="T44" s="46"/>
      <x:c r="U44" s="46"/>
      <x:c r="V44" s="46"/>
      <x:c r="W44" s="46"/>
      <x:c r="X44" s="46"/>
    </x:row>
    <x:row r="45">
      <x:c r="A45" s="46"/>
      <x:c r="B45" s="46"/>
      <x:c r="C45" s="46"/>
      <x:c r="D45" s="46"/>
      <x:c r="E45" s="46"/>
      <x:c r="F45" s="46"/>
      <x:c r="G45" s="46"/>
      <x:c r="H45" s="46"/>
      <x:c r="I45" s="46"/>
      <x:c r="J45" s="46"/>
      <x:c r="K45" s="46"/>
      <x:c r="L45" s="46"/>
      <x:c r="M45" s="46"/>
      <x:c r="N45" s="46"/>
      <x:c r="O45" s="46"/>
      <x:c r="P45" s="46"/>
      <x:c r="Q45" s="46"/>
      <x:c r="R45" s="46"/>
      <x:c r="S45" s="46"/>
      <x:c r="T45" s="46"/>
      <x:c r="U45" s="46"/>
      <x:c r="V45" s="46"/>
      <x:c r="W45" s="46"/>
      <x:c r="X45" s="46"/>
    </x:row>
    <x:row r="46">
      <x:c r="A46" s="46"/>
      <x:c r="B46" s="46"/>
      <x:c r="C46" s="46"/>
      <x:c r="D46" s="46"/>
      <x:c r="E46" s="46"/>
      <x:c r="F46" s="46"/>
      <x:c r="G46" s="46"/>
      <x:c r="H46" s="46"/>
      <x:c r="I46" s="46"/>
      <x:c r="J46" s="46"/>
      <x:c r="K46" s="46"/>
      <x:c r="L46" s="46"/>
      <x:c r="M46" s="46"/>
      <x:c r="N46" s="46"/>
      <x:c r="O46" s="46"/>
      <x:c r="P46" s="46"/>
      <x:c r="Q46" s="46"/>
      <x:c r="R46" s="46"/>
      <x:c r="S46" s="46"/>
      <x:c r="T46" s="46"/>
      <x:c r="U46" s="46"/>
      <x:c r="V46" s="46"/>
      <x:c r="W46" s="46"/>
      <x:c r="X46" s="46"/>
    </x:row>
    <x:row r="47">
      <x:c r="A47" s="46"/>
      <x:c r="B47" s="46"/>
      <x:c r="C47" s="46"/>
      <x:c r="D47" s="46"/>
      <x:c r="E47" s="46"/>
      <x:c r="F47" s="46"/>
      <x:c r="G47" s="46"/>
      <x:c r="H47" s="46"/>
      <x:c r="I47" s="46"/>
      <x:c r="J47" s="46"/>
      <x:c r="K47" s="46"/>
      <x:c r="L47" s="46"/>
      <x:c r="M47" s="46"/>
      <x:c r="N47" s="46"/>
      <x:c r="O47" s="46"/>
      <x:c r="P47" s="46"/>
      <x:c r="Q47" s="46"/>
      <x:c r="R47" s="46"/>
      <x:c r="S47" s="46"/>
      <x:c r="T47" s="46"/>
      <x:c r="U47" s="46"/>
      <x:c r="V47" s="46"/>
      <x:c r="W47" s="46"/>
      <x:c r="X47" s="46"/>
    </x:row>
    <x:row r="48">
      <x:c r="A48" s="46"/>
      <x:c r="B48" s="46"/>
      <x:c r="C48" s="46"/>
      <x:c r="D48" s="46"/>
      <x:c r="E48" s="46"/>
      <x:c r="F48" s="46"/>
      <x:c r="G48" s="46"/>
      <x:c r="H48" s="46"/>
      <x:c r="I48" s="46"/>
      <x:c r="J48" s="46"/>
      <x:c r="K48" s="46"/>
      <x:c r="L48" s="46"/>
      <x:c r="M48" s="46"/>
      <x:c r="N48" s="46"/>
      <x:c r="O48" s="46"/>
      <x:c r="P48" s="46"/>
      <x:c r="Q48" s="46"/>
      <x:c r="R48" s="46"/>
      <x:c r="S48" s="46"/>
      <x:c r="T48" s="46"/>
      <x:c r="U48" s="46"/>
      <x:c r="V48" s="46"/>
      <x:c r="W48" s="46"/>
      <x:c r="X48" s="46"/>
    </x:row>
    <x:row r="49">
      <x:c r="A49" s="46"/>
      <x:c r="B49" s="46"/>
      <x:c r="C49" s="46"/>
      <x:c r="D49" s="46"/>
      <x:c r="E49" s="46"/>
      <x:c r="F49" s="46"/>
      <x:c r="G49" s="46"/>
      <x:c r="H49" s="46"/>
      <x:c r="I49" s="46"/>
      <x:c r="J49" s="46"/>
      <x:c r="K49" s="46"/>
      <x:c r="L49" s="46"/>
      <x:c r="M49" s="46"/>
      <x:c r="N49" s="46"/>
      <x:c r="O49" s="46"/>
      <x:c r="P49" s="46"/>
      <x:c r="Q49" s="46"/>
      <x:c r="R49" s="46"/>
      <x:c r="S49" s="46"/>
      <x:c r="T49" s="46"/>
      <x:c r="U49" s="46"/>
      <x:c r="V49" s="46"/>
      <x:c r="W49" s="46"/>
      <x:c r="X49" s="46"/>
    </x:row>
    <x:row r="50">
      <x:c r="A50" s="46"/>
      <x:c r="B50" s="46"/>
      <x:c r="C50" s="46"/>
      <x:c r="D50" s="46"/>
      <x:c r="E50" s="46"/>
      <x:c r="F50" s="46"/>
      <x:c r="G50" s="46"/>
      <x:c r="H50" s="46"/>
      <x:c r="I50" s="46"/>
      <x:c r="J50" s="46"/>
      <x:c r="K50" s="46"/>
      <x:c r="L50" s="46"/>
      <x:c r="M50" s="46"/>
      <x:c r="N50" s="46"/>
      <x:c r="O50" s="46"/>
      <x:c r="P50" s="46"/>
      <x:c r="Q50" s="46"/>
      <x:c r="R50" s="46"/>
      <x:c r="S50" s="46"/>
      <x:c r="T50" s="46"/>
      <x:c r="U50" s="46"/>
      <x:c r="V50" s="46"/>
      <x:c r="W50" s="46"/>
      <x:c r="X50" s="46"/>
    </x:row>
    <x:row r="51">
      <x:c r="A51" s="46"/>
      <x:c r="B51" s="46"/>
      <x:c r="C51" s="46"/>
      <x:c r="D51" s="46"/>
      <x:c r="E51" s="46"/>
      <x:c r="F51" s="46"/>
      <x:c r="G51" s="46"/>
      <x:c r="H51" s="46"/>
      <x:c r="I51" s="46"/>
      <x:c r="J51" s="46"/>
      <x:c r="K51" s="46"/>
      <x:c r="L51" s="46"/>
      <x:c r="M51" s="46"/>
      <x:c r="N51" s="46"/>
      <x:c r="O51" s="46"/>
      <x:c r="P51" s="46"/>
      <x:c r="Q51" s="46"/>
      <x:c r="R51" s="46"/>
      <x:c r="S51" s="46"/>
      <x:c r="T51" s="46"/>
      <x:c r="U51" s="46"/>
      <x:c r="V51" s="46"/>
      <x:c r="W51" s="46"/>
      <x:c r="X51" s="46"/>
    </x:row>
    <x:row r="52">
      <x:c r="A52" s="46"/>
      <x:c r="B52" s="46"/>
      <x:c r="C52" s="46"/>
      <x:c r="D52" s="46"/>
      <x:c r="E52" s="46"/>
      <x:c r="F52" s="46"/>
      <x:c r="G52" s="46"/>
      <x:c r="H52" s="46"/>
      <x:c r="I52" s="46"/>
      <x:c r="J52" s="46"/>
      <x:c r="K52" s="46"/>
      <x:c r="L52" s="46"/>
      <x:c r="M52" s="46"/>
      <x:c r="N52" s="46"/>
      <x:c r="O52" s="46"/>
      <x:c r="P52" s="46"/>
      <x:c r="Q52" s="46"/>
      <x:c r="R52" s="46"/>
      <x:c r="S52" s="46"/>
      <x:c r="T52" s="46"/>
      <x:c r="U52" s="46"/>
      <x:c r="V52" s="46"/>
      <x:c r="W52" s="46"/>
      <x:c r="X52" s="46"/>
    </x:row>
    <x:row r="53">
      <x:c r="A53" s="46"/>
      <x:c r="B53" s="46"/>
      <x:c r="C53" s="46"/>
      <x:c r="D53" s="46"/>
      <x:c r="E53" s="46"/>
      <x:c r="F53" s="46"/>
      <x:c r="G53" s="46"/>
      <x:c r="H53" s="46"/>
      <x:c r="I53" s="46"/>
      <x:c r="J53" s="46"/>
      <x:c r="K53" s="46"/>
      <x:c r="L53" s="46"/>
      <x:c r="M53" s="46"/>
      <x:c r="N53" s="46"/>
      <x:c r="O53" s="46"/>
      <x:c r="P53" s="46"/>
      <x:c r="Q53" s="46"/>
      <x:c r="R53" s="46"/>
      <x:c r="S53" s="46"/>
      <x:c r="T53" s="46"/>
      <x:c r="U53" s="46"/>
      <x:c r="V53" s="46"/>
      <x:c r="W53" s="46"/>
      <x:c r="X53" s="46"/>
    </x:row>
    <x:row r="54">
      <x:c r="A54" s="46"/>
      <x:c r="B54" s="46"/>
      <x:c r="C54" s="46"/>
      <x:c r="D54" s="46"/>
      <x:c r="E54" s="46"/>
      <x:c r="F54" s="46"/>
      <x:c r="G54" s="46"/>
      <x:c r="H54" s="46"/>
      <x:c r="I54" s="46"/>
      <x:c r="J54" s="46"/>
      <x:c r="K54" s="46"/>
      <x:c r="L54" s="46"/>
      <x:c r="M54" s="46"/>
      <x:c r="N54" s="46"/>
      <x:c r="O54" s="46"/>
      <x:c r="P54" s="46"/>
      <x:c r="Q54" s="46"/>
      <x:c r="R54" s="46"/>
      <x:c r="S54" s="46"/>
      <x:c r="T54" s="46"/>
      <x:c r="U54" s="46"/>
      <x:c r="V54" s="46"/>
      <x:c r="W54" s="46"/>
      <x:c r="X54" s="46"/>
    </x:row>
    <x:row r="55">
      <x:c r="A55" s="46"/>
      <x:c r="B55" s="46"/>
      <x:c r="C55" s="46"/>
      <x:c r="D55" s="46"/>
      <x:c r="E55" s="46"/>
      <x:c r="F55" s="46"/>
      <x:c r="G55" s="46"/>
      <x:c r="H55" s="46"/>
      <x:c r="I55" s="46"/>
      <x:c r="J55" s="46"/>
      <x:c r="K55" s="46"/>
      <x:c r="L55" s="46"/>
      <x:c r="M55" s="46"/>
      <x:c r="N55" s="46"/>
      <x:c r="O55" s="46"/>
      <x:c r="P55" s="46"/>
      <x:c r="Q55" s="46"/>
      <x:c r="R55" s="46"/>
      <x:c r="S55" s="46"/>
      <x:c r="T55" s="46"/>
      <x:c r="U55" s="46"/>
      <x:c r="V55" s="46"/>
      <x:c r="W55" s="46"/>
      <x:c r="X55" s="46"/>
    </x:row>
    <x:row r="56">
      <x:c r="A56" s="46"/>
      <x:c r="B56" s="46"/>
      <x:c r="C56" s="46"/>
      <x:c r="D56" s="46"/>
      <x:c r="E56" s="46"/>
      <x:c r="F56" s="46"/>
      <x:c r="G56" s="46"/>
      <x:c r="H56" s="46"/>
      <x:c r="I56" s="46"/>
      <x:c r="J56" s="46"/>
      <x:c r="K56" s="46"/>
      <x:c r="L56" s="46"/>
      <x:c r="M56" s="46"/>
      <x:c r="N56" s="46"/>
      <x:c r="O56" s="46"/>
      <x:c r="P56" s="46"/>
      <x:c r="Q56" s="46"/>
      <x:c r="R56" s="46"/>
      <x:c r="S56" s="46"/>
      <x:c r="T56" s="46"/>
      <x:c r="U56" s="46"/>
      <x:c r="V56" s="46"/>
      <x:c r="W56" s="46"/>
      <x:c r="X56" s="46"/>
    </x:row>
    <x:row r="57">
      <x:c r="A57" s="46"/>
      <x:c r="B57" s="46"/>
      <x:c r="C57" s="46"/>
      <x:c r="D57" s="46"/>
      <x:c r="E57" s="46"/>
      <x:c r="F57" s="46"/>
      <x:c r="G57" s="46"/>
      <x:c r="H57" s="46"/>
      <x:c r="I57" s="46"/>
      <x:c r="J57" s="46"/>
      <x:c r="K57" s="46"/>
      <x:c r="L57" s="46"/>
      <x:c r="M57" s="46"/>
      <x:c r="N57" s="46"/>
      <x:c r="O57" s="46"/>
      <x:c r="P57" s="46"/>
      <x:c r="Q57" s="46"/>
      <x:c r="R57" s="46"/>
      <x:c r="S57" s="46"/>
      <x:c r="T57" s="46"/>
      <x:c r="U57" s="46"/>
      <x:c r="V57" s="46"/>
      <x:c r="W57" s="46"/>
      <x:c r="X57" s="46"/>
    </x:row>
    <x:row r="58">
      <x:c r="A58" s="46"/>
      <x:c r="B58" s="46"/>
      <x:c r="C58" s="46"/>
      <x:c r="D58" s="46"/>
      <x:c r="E58" s="46"/>
      <x:c r="F58" s="46"/>
      <x:c r="G58" s="46"/>
      <x:c r="H58" s="46"/>
      <x:c r="I58" s="46"/>
      <x:c r="J58" s="46"/>
      <x:c r="K58" s="46"/>
      <x:c r="L58" s="46"/>
      <x:c r="M58" s="46"/>
      <x:c r="N58" s="46"/>
      <x:c r="O58" s="46"/>
      <x:c r="P58" s="46"/>
      <x:c r="Q58" s="46"/>
      <x:c r="R58" s="46"/>
      <x:c r="S58" s="46"/>
      <x:c r="T58" s="46"/>
      <x:c r="U58" s="46"/>
      <x:c r="V58" s="46"/>
      <x:c r="W58" s="46"/>
      <x:c r="X58" s="46"/>
    </x:row>
    <x:row r="59">
      <x:c r="A59" s="46"/>
      <x:c r="B59" s="46"/>
      <x:c r="C59" s="46"/>
      <x:c r="D59" s="46"/>
      <x:c r="E59" s="46"/>
      <x:c r="F59" s="46"/>
      <x:c r="G59" s="46"/>
      <x:c r="H59" s="46"/>
      <x:c r="I59" s="46"/>
      <x:c r="J59" s="46"/>
      <x:c r="K59" s="46"/>
      <x:c r="L59" s="46"/>
      <x:c r="M59" s="46"/>
      <x:c r="N59" s="46"/>
      <x:c r="O59" s="46"/>
      <x:c r="P59" s="46"/>
      <x:c r="Q59" s="46"/>
      <x:c r="R59" s="46"/>
      <x:c r="S59" s="46"/>
      <x:c r="T59" s="46"/>
      <x:c r="U59" s="46"/>
      <x:c r="V59" s="46"/>
      <x:c r="W59" s="46"/>
      <x:c r="X59" s="46"/>
    </x:row>
    <x:row r="60">
      <x:c r="A60" s="46"/>
      <x:c r="B60" s="46"/>
      <x:c r="C60" s="46"/>
      <x:c r="D60" s="46"/>
      <x:c r="E60" s="46"/>
      <x:c r="F60" s="46"/>
      <x:c r="G60" s="46"/>
      <x:c r="H60" s="46"/>
      <x:c r="I60" s="46"/>
      <x:c r="J60" s="46"/>
      <x:c r="K60" s="46"/>
      <x:c r="L60" s="46"/>
      <x:c r="M60" s="46"/>
      <x:c r="N60" s="46"/>
      <x:c r="O60" s="46"/>
      <x:c r="P60" s="46"/>
      <x:c r="Q60" s="46"/>
      <x:c r="R60" s="46"/>
      <x:c r="S60" s="46"/>
      <x:c r="T60" s="46"/>
      <x:c r="U60" s="46"/>
      <x:c r="V60" s="46"/>
      <x:c r="W60" s="46"/>
      <x:c r="X60" s="46"/>
    </x:row>
    <x:row r="61">
      <x:c r="A61" s="46"/>
      <x:c r="B61" s="46"/>
      <x:c r="C61" s="46"/>
      <x:c r="D61" s="46"/>
      <x:c r="E61" s="46"/>
      <x:c r="F61" s="46"/>
      <x:c r="G61" s="46"/>
      <x:c r="H61" s="46"/>
      <x:c r="I61" s="46"/>
      <x:c r="J61" s="46"/>
      <x:c r="K61" s="46"/>
      <x:c r="L61" s="46"/>
      <x:c r="M61" s="46"/>
      <x:c r="N61" s="46"/>
      <x:c r="O61" s="46"/>
      <x:c r="P61" s="46"/>
      <x:c r="Q61" s="46"/>
      <x:c r="R61" s="46"/>
      <x:c r="S61" s="46"/>
      <x:c r="T61" s="46"/>
      <x:c r="U61" s="46"/>
      <x:c r="V61" s="46"/>
      <x:c r="W61" s="46"/>
      <x:c r="X61" s="46"/>
    </x:row>
    <x:row r="62">
      <x:c r="A62" s="46"/>
      <x:c r="B62" s="46"/>
      <x:c r="C62" s="46"/>
      <x:c r="D62" s="46"/>
      <x:c r="E62" s="46"/>
      <x:c r="F62" s="46"/>
      <x:c r="G62" s="46"/>
      <x:c r="H62" s="46"/>
      <x:c r="I62" s="46"/>
      <x:c r="J62" s="46"/>
      <x:c r="K62" s="46"/>
      <x:c r="L62" s="46"/>
      <x:c r="M62" s="46"/>
      <x:c r="N62" s="46"/>
      <x:c r="O62" s="46"/>
      <x:c r="P62" s="46"/>
      <x:c r="Q62" s="46"/>
      <x:c r="R62" s="46"/>
      <x:c r="S62" s="46"/>
      <x:c r="T62" s="46"/>
      <x:c r="U62" s="46"/>
      <x:c r="V62" s="46"/>
      <x:c r="W62" s="46"/>
      <x:c r="X62" s="46"/>
    </x:row>
    <x:row r="63">
      <x:c r="A63" s="46"/>
      <x:c r="B63" s="46"/>
      <x:c r="C63" s="46"/>
      <x:c r="D63" s="46"/>
      <x:c r="E63" s="46"/>
      <x:c r="F63" s="46"/>
      <x:c r="G63" s="46"/>
      <x:c r="H63" s="46"/>
      <x:c r="I63" s="46"/>
      <x:c r="J63" s="46"/>
      <x:c r="K63" s="46"/>
      <x:c r="L63" s="46"/>
      <x:c r="M63" s="46"/>
      <x:c r="N63" s="46"/>
      <x:c r="O63" s="46"/>
      <x:c r="P63" s="46"/>
      <x:c r="Q63" s="46"/>
      <x:c r="R63" s="46"/>
      <x:c r="S63" s="46"/>
      <x:c r="T63" s="46"/>
      <x:c r="U63" s="46"/>
      <x:c r="V63" s="46"/>
      <x:c r="W63" s="46"/>
      <x:c r="X63" s="46"/>
    </x:row>
    <x:row r="64">
      <x:c r="A64" s="46"/>
      <x:c r="B64" s="46"/>
      <x:c r="C64" s="46"/>
      <x:c r="D64" s="46"/>
      <x:c r="E64" s="46"/>
      <x:c r="F64" s="46"/>
      <x:c r="G64" s="46"/>
      <x:c r="H64" s="46"/>
      <x:c r="I64" s="46"/>
      <x:c r="J64" s="46"/>
      <x:c r="K64" s="46"/>
      <x:c r="L64" s="46"/>
      <x:c r="M64" s="46"/>
      <x:c r="N64" s="46"/>
      <x:c r="O64" s="46"/>
      <x:c r="P64" s="46"/>
      <x:c r="Q64" s="46"/>
      <x:c r="R64" s="46"/>
      <x:c r="S64" s="46"/>
      <x:c r="T64" s="46"/>
      <x:c r="U64" s="46"/>
      <x:c r="V64" s="46"/>
      <x:c r="W64" s="46"/>
      <x:c r="X64" s="46"/>
    </x:row>
    <x:row r="65">
      <x:c r="A65" s="46"/>
      <x:c r="B65" s="46"/>
      <x:c r="C65" s="46"/>
      <x:c r="D65" s="46"/>
      <x:c r="E65" s="46"/>
      <x:c r="F65" s="46"/>
      <x:c r="G65" s="46"/>
      <x:c r="H65" s="46"/>
      <x:c r="I65" s="46"/>
      <x:c r="J65" s="46"/>
      <x:c r="K65" s="46"/>
      <x:c r="L65" s="46"/>
      <x:c r="M65" s="46"/>
      <x:c r="N65" s="46"/>
      <x:c r="O65" s="46"/>
      <x:c r="P65" s="46"/>
      <x:c r="Q65" s="46"/>
      <x:c r="R65" s="46"/>
      <x:c r="S65" s="46"/>
      <x:c r="T65" s="46"/>
      <x:c r="U65" s="46"/>
      <x:c r="V65" s="46"/>
      <x:c r="W65" s="46"/>
      <x:c r="X65" s="46"/>
    </x:row>
    <x:row r="66">
      <x:c r="A66" s="46"/>
      <x:c r="B66" s="46"/>
      <x:c r="C66" s="46"/>
      <x:c r="D66" s="46"/>
      <x:c r="E66" s="46"/>
      <x:c r="F66" s="46"/>
      <x:c r="G66" s="46"/>
      <x:c r="H66" s="46"/>
      <x:c r="I66" s="46"/>
      <x:c r="J66" s="46"/>
      <x:c r="K66" s="46"/>
      <x:c r="L66" s="46"/>
      <x:c r="M66" s="46"/>
      <x:c r="N66" s="46"/>
      <x:c r="O66" s="46"/>
      <x:c r="P66" s="46"/>
      <x:c r="Q66" s="46"/>
      <x:c r="R66" s="46"/>
      <x:c r="S66" s="46"/>
      <x:c r="T66" s="46"/>
      <x:c r="U66" s="46"/>
      <x:c r="V66" s="46"/>
      <x:c r="W66" s="46"/>
      <x:c r="X66" s="46"/>
    </x:row>
    <x:row r="67">
      <x:c r="A67" s="46"/>
      <x:c r="B67" s="46"/>
      <x:c r="C67" s="46"/>
      <x:c r="D67" s="46"/>
      <x:c r="E67" s="46"/>
      <x:c r="F67" s="46"/>
      <x:c r="G67" s="46"/>
      <x:c r="H67" s="46"/>
      <x:c r="I67" s="46"/>
      <x:c r="J67" s="46"/>
      <x:c r="K67" s="46"/>
      <x:c r="L67" s="46"/>
      <x:c r="M67" s="46"/>
      <x:c r="N67" s="46"/>
      <x:c r="O67" s="46"/>
      <x:c r="P67" s="46"/>
      <x:c r="Q67" s="46"/>
      <x:c r="R67" s="46"/>
      <x:c r="S67" s="46"/>
      <x:c r="T67" s="46"/>
      <x:c r="U67" s="46"/>
      <x:c r="V67" s="46"/>
      <x:c r="W67" s="46"/>
      <x:c r="X67" s="46"/>
    </x:row>
    <x:row r="68">
      <x:c r="A68" s="46"/>
      <x:c r="B68" s="46"/>
      <x:c r="C68" s="46"/>
      <x:c r="D68" s="46"/>
      <x:c r="E68" s="46"/>
      <x:c r="F68" s="46"/>
      <x:c r="G68" s="46"/>
      <x:c r="H68" s="46"/>
      <x:c r="I68" s="46"/>
      <x:c r="J68" s="46"/>
      <x:c r="K68" s="46"/>
      <x:c r="L68" s="46"/>
      <x:c r="M68" s="46"/>
      <x:c r="N68" s="46"/>
      <x:c r="O68" s="46"/>
      <x:c r="P68" s="46"/>
      <x:c r="Q68" s="46"/>
      <x:c r="R68" s="46"/>
      <x:c r="S68" s="46"/>
      <x:c r="T68" s="46"/>
      <x:c r="U68" s="46"/>
      <x:c r="V68" s="46"/>
      <x:c r="W68" s="46"/>
      <x:c r="X68" s="46"/>
    </x:row>
    <x:row r="69">
      <x:c r="A69" s="46"/>
      <x:c r="B69" s="46"/>
      <x:c r="C69" s="46"/>
      <x:c r="D69" s="46"/>
      <x:c r="E69" s="46"/>
      <x:c r="F69" s="46"/>
      <x:c r="G69" s="46"/>
      <x:c r="H69" s="46"/>
      <x:c r="I69" s="46"/>
      <x:c r="J69" s="46"/>
      <x:c r="K69" s="46"/>
      <x:c r="L69" s="46"/>
      <x:c r="M69" s="46"/>
      <x:c r="N69" s="46"/>
      <x:c r="O69" s="46"/>
      <x:c r="P69" s="46"/>
      <x:c r="Q69" s="46"/>
      <x:c r="R69" s="46"/>
      <x:c r="S69" s="46"/>
      <x:c r="T69" s="46"/>
      <x:c r="U69" s="46"/>
      <x:c r="V69" s="46"/>
      <x:c r="W69" s="46"/>
      <x:c r="X69" s="46"/>
    </x:row>
    <x:row r="70">
      <x:c r="A70" s="46"/>
      <x:c r="B70" s="46"/>
      <x:c r="C70" s="46"/>
      <x:c r="D70" s="46"/>
      <x:c r="E70" s="46"/>
      <x:c r="F70" s="46"/>
      <x:c r="G70" s="46"/>
      <x:c r="H70" s="46"/>
      <x:c r="I70" s="46"/>
      <x:c r="J70" s="46"/>
      <x:c r="K70" s="46"/>
      <x:c r="L70" s="46"/>
      <x:c r="M70" s="46"/>
      <x:c r="N70" s="46"/>
      <x:c r="O70" s="46"/>
      <x:c r="P70" s="46"/>
      <x:c r="Q70" s="46"/>
      <x:c r="R70" s="46"/>
      <x:c r="S70" s="46"/>
      <x:c r="T70" s="46"/>
      <x:c r="U70" s="46"/>
      <x:c r="V70" s="46"/>
      <x:c r="W70" s="46"/>
      <x:c r="X70" s="46"/>
    </x:row>
    <x:row r="71">
      <x:c r="A71" s="46"/>
      <x:c r="B71" s="46"/>
      <x:c r="C71" s="46"/>
      <x:c r="D71" s="46"/>
      <x:c r="E71" s="46"/>
      <x:c r="F71" s="46"/>
      <x:c r="G71" s="46"/>
      <x:c r="H71" s="46"/>
      <x:c r="I71" s="46"/>
      <x:c r="J71" s="46"/>
      <x:c r="K71" s="46"/>
      <x:c r="L71" s="46"/>
      <x:c r="M71" s="46"/>
      <x:c r="N71" s="46"/>
      <x:c r="O71" s="46"/>
      <x:c r="P71" s="46"/>
      <x:c r="Q71" s="46"/>
      <x:c r="R71" s="46"/>
      <x:c r="S71" s="46"/>
      <x:c r="T71" s="46"/>
      <x:c r="U71" s="46"/>
      <x:c r="V71" s="46"/>
      <x:c r="W71" s="46"/>
      <x:c r="X71" s="46"/>
    </x:row>
    <x:row r="72">
      <x:c r="A72" s="46"/>
      <x:c r="B72" s="46"/>
      <x:c r="C72" s="46"/>
      <x:c r="D72" s="46"/>
      <x:c r="E72" s="46"/>
      <x:c r="F72" s="46"/>
      <x:c r="G72" s="46"/>
      <x:c r="H72" s="46"/>
      <x:c r="I72" s="46"/>
      <x:c r="J72" s="46"/>
      <x:c r="K72" s="46"/>
      <x:c r="L72" s="46"/>
      <x:c r="M72" s="46"/>
      <x:c r="N72" s="46"/>
      <x:c r="O72" s="46"/>
      <x:c r="P72" s="46"/>
      <x:c r="Q72" s="46"/>
      <x:c r="R72" s="46"/>
      <x:c r="S72" s="46"/>
      <x:c r="T72" s="46"/>
      <x:c r="U72" s="46"/>
      <x:c r="V72" s="46"/>
      <x:c r="W72" s="46"/>
      <x:c r="X72" s="46"/>
    </x:row>
    <x:row r="73">
      <x:c r="A73" s="46"/>
      <x:c r="B73" s="46"/>
      <x:c r="C73" s="46"/>
      <x:c r="D73" s="46"/>
      <x:c r="E73" s="46"/>
      <x:c r="F73" s="46"/>
      <x:c r="G73" s="46"/>
      <x:c r="H73" s="46"/>
      <x:c r="I73" s="46"/>
      <x:c r="J73" s="46"/>
      <x:c r="K73" s="46"/>
      <x:c r="L73" s="46"/>
      <x:c r="M73" s="46"/>
      <x:c r="N73" s="46"/>
      <x:c r="O73" s="46"/>
      <x:c r="P73" s="46"/>
      <x:c r="Q73" s="46"/>
      <x:c r="R73" s="46"/>
      <x:c r="S73" s="46"/>
      <x:c r="T73" s="46"/>
      <x:c r="U73" s="46"/>
      <x:c r="V73" s="46"/>
      <x:c r="W73" s="46"/>
      <x:c r="X73" s="46"/>
    </x:row>
    <x:row r="74">
      <x:c r="A74" s="46"/>
      <x:c r="B74" s="46"/>
      <x:c r="C74" s="46"/>
      <x:c r="D74" s="46"/>
      <x:c r="E74" s="46"/>
      <x:c r="F74" s="46"/>
      <x:c r="G74" s="46"/>
      <x:c r="H74" s="46"/>
      <x:c r="I74" s="46"/>
      <x:c r="J74" s="46"/>
      <x:c r="K74" s="46"/>
      <x:c r="L74" s="46"/>
      <x:c r="M74" s="46"/>
      <x:c r="N74" s="46"/>
      <x:c r="O74" s="46"/>
      <x:c r="P74" s="46"/>
      <x:c r="Q74" s="46"/>
      <x:c r="R74" s="46"/>
      <x:c r="S74" s="46"/>
      <x:c r="T74" s="46"/>
      <x:c r="U74" s="46"/>
      <x:c r="V74" s="46"/>
      <x:c r="W74" s="46"/>
      <x:c r="X74" s="46"/>
    </x:row>
    <x:row r="75">
      <x:c r="A75" s="46"/>
      <x:c r="B75" s="46"/>
      <x:c r="C75" s="46"/>
      <x:c r="D75" s="46"/>
      <x:c r="E75" s="46"/>
      <x:c r="F75" s="46"/>
      <x:c r="G75" s="46"/>
      <x:c r="H75" s="46"/>
      <x:c r="I75" s="46"/>
      <x:c r="J75" s="46"/>
      <x:c r="K75" s="46"/>
      <x:c r="L75" s="46"/>
      <x:c r="M75" s="46"/>
      <x:c r="N75" s="46"/>
      <x:c r="O75" s="46"/>
      <x:c r="P75" s="46"/>
      <x:c r="Q75" s="46"/>
      <x:c r="R75" s="46"/>
      <x:c r="S75" s="46"/>
      <x:c r="T75" s="46"/>
      <x:c r="U75" s="46"/>
      <x:c r="V75" s="46"/>
      <x:c r="W75" s="46"/>
      <x:c r="X75" s="46"/>
    </x:row>
    <x:row r="76">
      <x:c r="A76" s="46"/>
      <x:c r="B76" s="46"/>
      <x:c r="C76" s="46"/>
      <x:c r="D76" s="46"/>
      <x:c r="E76" s="46"/>
      <x:c r="F76" s="46"/>
      <x:c r="G76" s="46"/>
      <x:c r="H76" s="46"/>
      <x:c r="I76" s="46"/>
      <x:c r="J76" s="46"/>
      <x:c r="K76" s="46"/>
      <x:c r="L76" s="46"/>
      <x:c r="M76" s="46"/>
      <x:c r="N76" s="46"/>
      <x:c r="O76" s="46"/>
      <x:c r="P76" s="46"/>
      <x:c r="Q76" s="46"/>
      <x:c r="R76" s="46"/>
      <x:c r="S76" s="46"/>
      <x:c r="T76" s="46"/>
      <x:c r="U76" s="46"/>
      <x:c r="V76" s="46"/>
      <x:c r="W76" s="46"/>
      <x:c r="X76" s="46"/>
    </x:row>
    <x:row r="77">
      <x:c r="A77" s="46"/>
      <x:c r="B77" s="46"/>
      <x:c r="C77" s="46"/>
      <x:c r="D77" s="46"/>
      <x:c r="E77" s="46"/>
      <x:c r="F77" s="46"/>
      <x:c r="G77" s="46"/>
      <x:c r="H77" s="46"/>
      <x:c r="I77" s="46"/>
      <x:c r="J77" s="46"/>
      <x:c r="K77" s="46"/>
      <x:c r="L77" s="46"/>
      <x:c r="M77" s="46"/>
      <x:c r="N77" s="46"/>
      <x:c r="O77" s="46"/>
      <x:c r="P77" s="46"/>
      <x:c r="Q77" s="46"/>
      <x:c r="R77" s="46"/>
      <x:c r="S77" s="46"/>
      <x:c r="T77" s="46"/>
      <x:c r="U77" s="46"/>
      <x:c r="V77" s="46"/>
      <x:c r="W77" s="46"/>
      <x:c r="X77" s="46"/>
    </x:row>
    <x:row r="78">
      <x:c r="A78" s="46"/>
      <x:c r="B78" s="46"/>
      <x:c r="C78" s="46"/>
      <x:c r="D78" s="46"/>
      <x:c r="E78" s="46"/>
      <x:c r="F78" s="46"/>
      <x:c r="G78" s="46"/>
      <x:c r="H78" s="46"/>
      <x:c r="I78" s="46"/>
      <x:c r="J78" s="46"/>
      <x:c r="K78" s="46"/>
      <x:c r="L78" s="46"/>
      <x:c r="M78" s="46"/>
      <x:c r="N78" s="46"/>
      <x:c r="O78" s="46"/>
      <x:c r="P78" s="46"/>
      <x:c r="Q78" s="46"/>
      <x:c r="R78" s="46"/>
      <x:c r="S78" s="46"/>
      <x:c r="T78" s="46"/>
      <x:c r="U78" s="46"/>
      <x:c r="V78" s="46"/>
      <x:c r="W78" s="46"/>
      <x:c r="X78" s="46"/>
    </x:row>
    <x:row r="79">
      <x:c r="A79" s="46"/>
      <x:c r="B79" s="46"/>
      <x:c r="C79" s="46"/>
      <x:c r="D79" s="46"/>
      <x:c r="E79" s="46"/>
      <x:c r="F79" s="46"/>
      <x:c r="G79" s="46"/>
      <x:c r="H79" s="46"/>
      <x:c r="I79" s="46"/>
      <x:c r="J79" s="46"/>
      <x:c r="K79" s="46"/>
      <x:c r="L79" s="46"/>
      <x:c r="M79" s="46"/>
      <x:c r="N79" s="46"/>
      <x:c r="O79" s="46"/>
      <x:c r="P79" s="46"/>
      <x:c r="Q79" s="46"/>
      <x:c r="R79" s="46"/>
      <x:c r="S79" s="46"/>
      <x:c r="T79" s="46"/>
      <x:c r="U79" s="46"/>
      <x:c r="V79" s="46"/>
      <x:c r="W79" s="46"/>
      <x:c r="X79" s="46"/>
    </x:row>
    <x:row r="80">
      <x:c r="A80" s="46"/>
      <x:c r="B80" s="46"/>
      <x:c r="C80" s="46"/>
      <x:c r="D80" s="46"/>
      <x:c r="E80" s="46"/>
      <x:c r="F80" s="46"/>
      <x:c r="G80" s="46"/>
      <x:c r="H80" s="46"/>
      <x:c r="I80" s="46"/>
      <x:c r="J80" s="46"/>
      <x:c r="K80" s="46"/>
      <x:c r="L80" s="46"/>
      <x:c r="M80" s="46"/>
      <x:c r="N80" s="46"/>
      <x:c r="O80" s="46"/>
      <x:c r="P80" s="46"/>
      <x:c r="Q80" s="46"/>
      <x:c r="R80" s="46"/>
      <x:c r="S80" s="46"/>
      <x:c r="T80" s="46"/>
      <x:c r="U80" s="46"/>
      <x:c r="V80" s="46"/>
      <x:c r="W80" s="46"/>
      <x:c r="X80" s="46"/>
    </x:row>
  </x:sheetData>
  <x:mergeCells>
    <x:mergeCell ref="A1:H1"/>
  </x:mergeCell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8"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s>
  <x:sheetData>
    <x:row r="1">
      <x:c r="A1" s="12" t="str">
        <x:v>Sensor</x:v>
      </x:c>
      <x:c r="B1" s="12" t="str">
        <x:v>Role</x:v>
      </x:c>
      <x:c r="C1" s="12" t="str">
        <x:v>Orientation</x:v>
      </x:c>
      <x:c r="D1" s="12" t="str">
        <x:v>Repeat</x:v>
      </x:c>
      <x:c r="E1" s="12" t="str">
        <x:v>N</x:v>
      </x:c>
      <x:c r="F1" s="12" t="str">
        <x:v>Mean X</x:v>
      </x:c>
      <x:c r="G1" s="12" t="str">
        <x:v>SD X</x:v>
      </x:c>
      <x:c r="H1" s="12" t="str">
        <x:v>Mean Y</x:v>
      </x:c>
      <x:c r="I1" s="12" t="str">
        <x:v>SD Y</x:v>
      </x:c>
      <x:c r="J1" s="12" t="str">
        <x:v>Mean Z</x:v>
      </x:c>
      <x:c r="K1" s="12" t="str">
        <x:v>SD Z</x:v>
      </x:c>
      <x:c r="L1" s="12" t="str">
        <x:v>Mean norm</x:v>
      </x:c>
      <x:c r="M1" s="12" t="str">
        <x:v>SD norm</x:v>
      </x:c>
      <x:c r="N1" s="12" t="str">
        <x:v>Active axis</x:v>
      </x:c>
      <x:c r="O1" s="12" t="str">
        <x:v>Measured active</x:v>
      </x:c>
      <x:c r="P1" s="12" t="str">
        <x:v>Active error %</x:v>
      </x:c>
      <x:c r="Q1" s="12" t="str">
        <x:v>Norm error %</x:v>
      </x:c>
      <x:c r="R1" s="12" t="str">
        <x:v>Clip</x:v>
      </x:c>
      <x:c r="S1" s="12" t="str">
        <x:v>Late</x:v>
      </x:c>
      <x:c r="T1" s="12" t="str">
        <x:v>Max late µs</x:v>
      </x:c>
      <x:c r="U1" s="12" t="str">
        <x:v>Raw changed</x:v>
      </x:c>
      <x:c r="V1" s="12" t="str">
        <x:v>Reg before</x:v>
      </x:c>
      <x:c r="W1" s="12" t="str">
        <x:v>Reg after</x:v>
      </x:c>
      <x:c r="X1" s="12" t="str">
        <x:v>Status</x:v>
      </x:c>
    </x:row>
    <x:row r="2">
      <x:c r="A2" s="46" t="str">
        <x:v>ADXL1</x:v>
      </x:c>
      <x:c r="B2" s="46" t="str">
        <x:v>Tool/reference</x:v>
      </x:c>
      <x:c r="C2" s="46" t="str">
        <x:v>+X</x:v>
      </x:c>
      <x:c r="D2" s="46" t="n">
        <x:v>1</x:v>
      </x:c>
      <x:c r="E2" s="46" t="n">
        <x:v>3200</x:v>
      </x:c>
      <x:c r="F2" s="58" t="n">
        <x:v>9.62949</x:v>
      </x:c>
      <x:c r="G2" s="58" t="n">
        <x:v>0.137651</x:v>
      </x:c>
      <x:c r="H2" s="58" t="n">
        <x:v>-0.320907</x:v>
      </x:c>
      <x:c r="I2" s="58" t="n">
        <x:v>0.189651</x:v>
      </x:c>
      <x:c r="J2" s="58" t="n">
        <x:v>-0.073193</x:v>
      </x:c>
      <x:c r="K2" s="58" t="n">
        <x:v>0.163088</x:v>
      </x:c>
      <x:c r="L2" s="58" t="n">
        <x:v>9.638324</x:v>
      </x:c>
      <x:c r="M2" s="58" t="n">
        <x:v>0.140052</x:v>
      </x:c>
      <x:c r="N2" s="58" t="str">
        <x:v>X</x:v>
      </x:c>
      <x:c r="O2" s="58" t="n">
        <x:v>9.62949</x:v>
      </x:c>
      <x:c r="P2" s="58" t="n">
        <x:v>-1.807</x:v>
      </x:c>
      <x:c r="Q2" s="58" t="n">
        <x:v>-1.716</x:v>
      </x:c>
      <x:c r="R2" s="46" t="n">
        <x:v>0</x:v>
      </x:c>
      <x:c r="S2" s="46" t="n">
        <x:v>0</x:v>
      </x:c>
      <x:c r="T2" s="46" t="n">
        <x:v>2</x:v>
      </x:c>
      <x:c r="U2" s="46" t="n">
        <x:v>1</x:v>
      </x:c>
      <x:c r="V2" s="46" t="n">
        <x:v>1</x:v>
      </x:c>
      <x:c r="W2" s="46" t="n">
        <x:v>1</x:v>
      </x:c>
      <x:c r="X2" s="46" t="str">
        <x:v>VALID</x:v>
      </x:c>
    </x:row>
    <x:row r="3">
      <x:c r="A3" s="46" t="str">
        <x:v>ADXL1</x:v>
      </x:c>
      <x:c r="B3" s="46" t="str">
        <x:v>Tool/reference</x:v>
      </x:c>
      <x:c r="C3" s="46" t="str">
        <x:v>+X</x:v>
      </x:c>
      <x:c r="D3" s="46" t="n">
        <x:v>2</x:v>
      </x:c>
      <x:c r="E3" s="46" t="n">
        <x:v>3200</x:v>
      </x:c>
      <x:c r="F3" s="58" t="n">
        <x:v>9.625928</x:v>
      </x:c>
      <x:c r="G3" s="58" t="n">
        <x:v>0.138254</x:v>
      </x:c>
      <x:c r="H3" s="58" t="n">
        <x:v>-0.427924</x:v>
      </x:c>
      <x:c r="I3" s="58" t="n">
        <x:v>0.182347</x:v>
      </x:c>
      <x:c r="J3" s="58" t="n">
        <x:v>-0.068126</x:v>
      </x:c>
      <x:c r="K3" s="58" t="n">
        <x:v>0.161009</x:v>
      </x:c>
      <x:c r="L3" s="58" t="n">
        <x:v>9.638707</x:v>
      </x:c>
      <x:c r="M3" s="58" t="n">
        <x:v>0.140891</x:v>
      </x:c>
      <x:c r="N3" s="58" t="str">
        <x:v>X</x:v>
      </x:c>
      <x:c r="O3" s="58" t="n">
        <x:v>9.625928</x:v>
      </x:c>
      <x:c r="P3" s="58" t="n">
        <x:v>-1.843</x:v>
      </x:c>
      <x:c r="Q3" s="58" t="n">
        <x:v>-1.713</x:v>
      </x:c>
      <x:c r="R3" s="46" t="n">
        <x:v>0</x:v>
      </x:c>
      <x:c r="S3" s="46" t="n">
        <x:v>0</x:v>
      </x:c>
      <x:c r="T3" s="46" t="n">
        <x:v>2</x:v>
      </x:c>
      <x:c r="U3" s="46" t="n">
        <x:v>1</x:v>
      </x:c>
      <x:c r="V3" s="46" t="n">
        <x:v>1</x:v>
      </x:c>
      <x:c r="W3" s="46" t="n">
        <x:v>1</x:v>
      </x:c>
      <x:c r="X3" s="46" t="str">
        <x:v>VALID</x:v>
      </x:c>
    </x:row>
    <x:row r="4">
      <x:c r="A4" s="46" t="str">
        <x:v>ADXL1</x:v>
      </x:c>
      <x:c r="B4" s="46" t="str">
        <x:v>Tool/reference</x:v>
      </x:c>
      <x:c r="C4" s="46" t="str">
        <x:v>+X</x:v>
      </x:c>
      <x:c r="D4" s="46" t="n">
        <x:v>3</x:v>
      </x:c>
      <x:c r="E4" s="46" t="n">
        <x:v>3200</x:v>
      </x:c>
      <x:c r="F4" s="58" t="n">
        <x:v>9.633219</x:v>
      </x:c>
      <x:c r="G4" s="58" t="n">
        <x:v>0.139519</x:v>
      </x:c>
      <x:c r="H4" s="58" t="n">
        <x:v>-0.264447</x:v>
      </x:c>
      <x:c r="I4" s="58" t="n">
        <x:v>0.176655</x:v>
      </x:c>
      <x:c r="J4" s="58" t="n">
        <x:v>-0.133144</x:v>
      </x:c>
      <x:c r="K4" s="58" t="n">
        <x:v>0.185968</x:v>
      </x:c>
      <x:c r="L4" s="58" t="n">
        <x:v>9.641152</x:v>
      </x:c>
      <x:c r="M4" s="58" t="n">
        <x:v>0.141348</x:v>
      </x:c>
      <x:c r="N4" s="58" t="str">
        <x:v>X</x:v>
      </x:c>
      <x:c r="O4" s="58" t="n">
        <x:v>9.633219</x:v>
      </x:c>
      <x:c r="P4" s="58" t="n">
        <x:v>-1.769</x:v>
      </x:c>
      <x:c r="Q4" s="58" t="n">
        <x:v>-1.688</x:v>
      </x:c>
      <x:c r="R4" s="46" t="n">
        <x:v>0</x:v>
      </x:c>
      <x:c r="S4" s="46" t="n">
        <x:v>0</x:v>
      </x:c>
      <x:c r="T4" s="46" t="n">
        <x:v>2</x:v>
      </x:c>
      <x:c r="U4" s="46" t="n">
        <x:v>1</x:v>
      </x:c>
      <x:c r="V4" s="46" t="n">
        <x:v>1</x:v>
      </x:c>
      <x:c r="W4" s="46" t="n">
        <x:v>1</x:v>
      </x:c>
      <x:c r="X4" s="46" t="str">
        <x:v>VALID</x:v>
      </x:c>
    </x:row>
    <x:row r="5">
      <x:c r="A5" s="46" t="str">
        <x:v>ADXL1</x:v>
      </x:c>
      <x:c r="B5" s="46" t="str">
        <x:v>Tool/reference</x:v>
      </x:c>
      <x:c r="C5" s="46" t="str">
        <x:v>-X</x:v>
      </x:c>
      <x:c r="D5" s="46" t="n">
        <x:v>1</x:v>
      </x:c>
      <x:c r="E5" s="46" t="n">
        <x:v>3200</x:v>
      </x:c>
      <x:c r="F5" s="58" t="n">
        <x:v>-9.50292</x:v>
      </x:c>
      <x:c r="G5" s="58" t="n">
        <x:v>0.138622</x:v>
      </x:c>
      <x:c r="H5" s="58" t="n">
        <x:v>0.694618</x:v>
      </x:c>
      <x:c r="I5" s="58" t="n">
        <x:v>0.156763</x:v>
      </x:c>
      <x:c r="J5" s="58" t="n">
        <x:v>-0.903106</x:v>
      </x:c>
      <x:c r="K5" s="58" t="n">
        <x:v>0.177857</x:v>
      </x:c>
      <x:c r="L5" s="58" t="n">
        <x:v>9.573873</x:v>
      </x:c>
      <x:c r="M5" s="58" t="n">
        <x:v>0.141206</x:v>
      </x:c>
      <x:c r="N5" s="58" t="str">
        <x:v>X</x:v>
      </x:c>
      <x:c r="O5" s="58" t="n">
        <x:v>-9.50292</x:v>
      </x:c>
      <x:c r="P5" s="58" t="n">
        <x:v>3.097</x:v>
      </x:c>
      <x:c r="Q5" s="58" t="n">
        <x:v>-2.374</x:v>
      </x:c>
      <x:c r="R5" s="46" t="n">
        <x:v>0</x:v>
      </x:c>
      <x:c r="S5" s="46" t="n">
        <x:v>0</x:v>
      </x:c>
      <x:c r="T5" s="46" t="n">
        <x:v>2</x:v>
      </x:c>
      <x:c r="U5" s="46" t="n">
        <x:v>1</x:v>
      </x:c>
      <x:c r="V5" s="46" t="n">
        <x:v>1</x:v>
      </x:c>
      <x:c r="W5" s="46" t="n">
        <x:v>1</x:v>
      </x:c>
      <x:c r="X5" s="46" t="str">
        <x:v>VALID</x:v>
      </x:c>
    </x:row>
    <x:row r="6">
      <x:c r="A6" s="46" t="str">
        <x:v>ADXL1</x:v>
      </x:c>
      <x:c r="B6" s="46" t="str">
        <x:v>Tool/reference</x:v>
      </x:c>
      <x:c r="C6" s="46" t="str">
        <x:v>-X</x:v>
      </x:c>
      <x:c r="D6" s="46" t="n">
        <x:v>2</x:v>
      </x:c>
      <x:c r="E6" s="46" t="n">
        <x:v>3200</x:v>
      </x:c>
      <x:c r="F6" s="58" t="n">
        <x:v>-9.514752</x:v>
      </x:c>
      <x:c r="G6" s="58" t="n">
        <x:v>0.133558</x:v>
      </x:c>
      <x:c r="H6" s="58" t="n">
        <x:v>0.525356</x:v>
      </x:c>
      <x:c r="I6" s="58" t="n">
        <x:v>0.162528</x:v>
      </x:c>
      <x:c r="J6" s="58" t="n">
        <x:v>-0.963415</x:v>
      </x:c>
      <x:c r="K6" s="58" t="n">
        <x:v>0.169516</x:v>
      </x:c>
      <x:c r="L6" s="58" t="n">
        <x:v>9.580678</x:v>
      </x:c>
      <x:c r="M6" s="58" t="n">
        <x:v>0.135079</x:v>
      </x:c>
      <x:c r="N6" s="58" t="str">
        <x:v>X</x:v>
      </x:c>
      <x:c r="O6" s="58" t="n">
        <x:v>-9.514752</x:v>
      </x:c>
      <x:c r="P6" s="58" t="n">
        <x:v>2.977</x:v>
      </x:c>
      <x:c r="Q6" s="58" t="n">
        <x:v>-2.304</x:v>
      </x:c>
      <x:c r="R6" s="46" t="n">
        <x:v>0</x:v>
      </x:c>
      <x:c r="S6" s="46" t="n">
        <x:v>0</x:v>
      </x:c>
      <x:c r="T6" s="46" t="n">
        <x:v>2</x:v>
      </x:c>
      <x:c r="U6" s="46" t="n">
        <x:v>1</x:v>
      </x:c>
      <x:c r="V6" s="46" t="n">
        <x:v>1</x:v>
      </x:c>
      <x:c r="W6" s="46" t="n">
        <x:v>1</x:v>
      </x:c>
      <x:c r="X6" s="46" t="str">
        <x:v>VALID</x:v>
      </x:c>
    </x:row>
    <x:row r="7">
      <x:c r="A7" s="46" t="str">
        <x:v>ADXL1</x:v>
      </x:c>
      <x:c r="B7" s="46" t="str">
        <x:v>Tool/reference</x:v>
      </x:c>
      <x:c r="C7" s="46" t="str">
        <x:v>-X</x:v>
      </x:c>
      <x:c r="D7" s="46" t="n">
        <x:v>3</x:v>
      </x:c>
      <x:c r="E7" s="46" t="n">
        <x:v>3200</x:v>
      </x:c>
      <x:c r="F7" s="58" t="n">
        <x:v>-9.513007</x:v>
      </x:c>
      <x:c r="G7" s="58" t="n">
        <x:v>0.124207</x:v>
      </x:c>
      <x:c r="H7" s="58" t="n">
        <x:v>0.504081</x:v>
      </x:c>
      <x:c r="I7" s="58" t="n">
        <x:v>0.147009</x:v>
      </x:c>
      <x:c r="J7" s="58" t="n">
        <x:v>-0.966618</x:v>
      </x:c>
      <x:c r="K7" s="58" t="n">
        <x:v>0.16084</x:v>
      </x:c>
      <x:c r="L7" s="58" t="n">
        <x:v>9.577718</x:v>
      </x:c>
      <x:c r="M7" s="58" t="n">
        <x:v>0.126335</x:v>
      </x:c>
      <x:c r="N7" s="58" t="str">
        <x:v>X</x:v>
      </x:c>
      <x:c r="O7" s="58" t="n">
        <x:v>-9.513007</x:v>
      </x:c>
      <x:c r="P7" s="58" t="n">
        <x:v>2.994</x:v>
      </x:c>
      <x:c r="Q7" s="58" t="n">
        <x:v>-2.334</x:v>
      </x:c>
      <x:c r="R7" s="46" t="n">
        <x:v>0</x:v>
      </x:c>
      <x:c r="S7" s="46" t="n">
        <x:v>0</x:v>
      </x:c>
      <x:c r="T7" s="46" t="n">
        <x:v>2</x:v>
      </x:c>
      <x:c r="U7" s="46" t="n">
        <x:v>1</x:v>
      </x:c>
      <x:c r="V7" s="46" t="n">
        <x:v>1</x:v>
      </x:c>
      <x:c r="W7" s="46" t="n">
        <x:v>1</x:v>
      </x:c>
      <x:c r="X7" s="46" t="str">
        <x:v>VALID</x:v>
      </x:c>
    </x:row>
    <x:row r="8">
      <x:c r="A8" s="46" t="str">
        <x:v>ADXL1</x:v>
      </x:c>
      <x:c r="B8" s="46" t="str">
        <x:v>Tool/reference</x:v>
      </x:c>
      <x:c r="C8" s="46" t="str">
        <x:v>+Y</x:v>
      </x:c>
      <x:c r="D8" s="46" t="n">
        <x:v>1</x:v>
      </x:c>
      <x:c r="E8" s="46" t="n">
        <x:v>3200</x:v>
      </x:c>
      <x:c r="F8" s="58" t="n">
        <x:v>-0.163597</x:v>
      </x:c>
      <x:c r="G8" s="58" t="n">
        <x:v>0.161998</x:v>
      </x:c>
      <x:c r="H8" s="58" t="n">
        <x:v>9.80829</x:v>
      </x:c>
      <x:c r="I8" s="58" t="n">
        <x:v>0.111807</x:v>
      </x:c>
      <x:c r="J8" s="58" t="n">
        <x:v>-1.410295</x:v>
      </x:c>
      <x:c r="K8" s="58" t="n">
        <x:v>0.18037</x:v>
      </x:c>
      <x:c r="L8" s="58" t="n">
        <x:v>9.913488</x:v>
      </x:c>
      <x:c r="M8" s="58" t="n">
        <x:v>0.110712</x:v>
      </x:c>
      <x:c r="N8" s="58" t="str">
        <x:v>Y</x:v>
      </x:c>
      <x:c r="O8" s="58" t="n">
        <x:v>9.80829</x:v>
      </x:c>
      <x:c r="P8" s="58" t="n">
        <x:v>0.017</x:v>
      </x:c>
      <x:c r="Q8" s="58" t="n">
        <x:v>1.089</x:v>
      </x:c>
      <x:c r="R8" s="46" t="n">
        <x:v>0</x:v>
      </x:c>
      <x:c r="S8" s="46" t="n">
        <x:v>0</x:v>
      </x:c>
      <x:c r="T8" s="46" t="n">
        <x:v>2</x:v>
      </x:c>
      <x:c r="U8" s="46" t="n">
        <x:v>1</x:v>
      </x:c>
      <x:c r="V8" s="46" t="n">
        <x:v>1</x:v>
      </x:c>
      <x:c r="W8" s="46" t="n">
        <x:v>1</x:v>
      </x:c>
      <x:c r="X8" s="46" t="str">
        <x:v>VALID</x:v>
      </x:c>
    </x:row>
    <x:row r="9">
      <x:c r="A9" s="46" t="str">
        <x:v>ADXL1</x:v>
      </x:c>
      <x:c r="B9" s="46" t="str">
        <x:v>Tool/reference</x:v>
      </x:c>
      <x:c r="C9" s="46" t="str">
        <x:v>+Y</x:v>
      </x:c>
      <x:c r="D9" s="46" t="n">
        <x:v>2</x:v>
      </x:c>
      <x:c r="E9" s="46" t="n">
        <x:v>3200</x:v>
      </x:c>
      <x:c r="F9" s="58" t="n">
        <x:v>-0.250272</x:v>
      </x:c>
      <x:c r="G9" s="58" t="n">
        <x:v>0.147837</x:v>
      </x:c>
      <x:c r="H9" s="58" t="n">
        <x:v>9.807979</x:v>
      </x:c>
      <x:c r="I9" s="58" t="n">
        <x:v>0.111453</x:v>
      </x:c>
      <x:c r="J9" s="58" t="n">
        <x:v>-1.402215</x:v>
      </x:c>
      <x:c r="K9" s="58" t="n">
        <x:v>0.173926</x:v>
      </x:c>
      <x:c r="L9" s="58" t="n">
        <x:v>9.913508</x:v>
      </x:c>
      <x:c r="M9" s="58" t="n">
        <x:v>0.110299</x:v>
      </x:c>
      <x:c r="N9" s="58" t="str">
        <x:v>Y</x:v>
      </x:c>
      <x:c r="O9" s="58" t="n">
        <x:v>9.807979</x:v>
      </x:c>
      <x:c r="P9" s="58" t="n">
        <x:v>0.014</x:v>
      </x:c>
      <x:c r="Q9" s="58" t="n">
        <x:v>1.09</x:v>
      </x:c>
      <x:c r="R9" s="46" t="n">
        <x:v>0</x:v>
      </x:c>
      <x:c r="S9" s="46" t="n">
        <x:v>0</x:v>
      </x:c>
      <x:c r="T9" s="46" t="n">
        <x:v>2</x:v>
      </x:c>
      <x:c r="U9" s="46" t="n">
        <x:v>1</x:v>
      </x:c>
      <x:c r="V9" s="46" t="n">
        <x:v>1</x:v>
      </x:c>
      <x:c r="W9" s="46" t="n">
        <x:v>1</x:v>
      </x:c>
      <x:c r="X9" s="46" t="str">
        <x:v>VALID</x:v>
      </x:c>
    </x:row>
    <x:row r="10">
      <x:c r="A10" s="46" t="str">
        <x:v>ADXL1</x:v>
      </x:c>
      <x:c r="B10" s="46" t="str">
        <x:v>Tool/reference</x:v>
      </x:c>
      <x:c r="C10" s="46" t="str">
        <x:v>+Y</x:v>
      </x:c>
      <x:c r="D10" s="46" t="n">
        <x:v>3</x:v>
      </x:c>
      <x:c r="E10" s="46" t="n">
        <x:v>3200</x:v>
      </x:c>
      <x:c r="F10" s="58" t="n">
        <x:v>-0.242288</x:v>
      </x:c>
      <x:c r="G10" s="58" t="n">
        <x:v>0.146112</x:v>
      </x:c>
      <x:c r="H10" s="58" t="n">
        <x:v>9.806258</x:v>
      </x:c>
      <x:c r="I10" s="58" t="n">
        <x:v>0.11872</x:v>
      </x:c>
      <x:c r="J10" s="58" t="n">
        <x:v>-1.445362</x:v>
      </x:c>
      <x:c r="K10" s="58" t="n">
        <x:v>0.177042</x:v>
      </x:c>
      <x:c r="L10" s="58" t="n">
        <x:v>9.91784</x:v>
      </x:c>
      <x:c r="M10" s="58" t="n">
        <x:v>0.11702</x:v>
      </x:c>
      <x:c r="N10" s="58" t="str">
        <x:v>Y</x:v>
      </x:c>
      <x:c r="O10" s="58" t="n">
        <x:v>9.806258</x:v>
      </x:c>
      <x:c r="P10" s="58" t="n">
        <x:v>-0.004</x:v>
      </x:c>
      <x:c r="Q10" s="58" t="n">
        <x:v>1.134</x:v>
      </x:c>
      <x:c r="R10" s="46" t="n">
        <x:v>0</x:v>
      </x:c>
      <x:c r="S10" s="46" t="n">
        <x:v>0</x:v>
      </x:c>
      <x:c r="T10" s="46" t="n">
        <x:v>2</x:v>
      </x:c>
      <x:c r="U10" s="46" t="n">
        <x:v>1</x:v>
      </x:c>
      <x:c r="V10" s="46" t="n">
        <x:v>1</x:v>
      </x:c>
      <x:c r="W10" s="46" t="n">
        <x:v>1</x:v>
      </x:c>
      <x:c r="X10" s="46" t="str">
        <x:v>VALID</x:v>
      </x:c>
    </x:row>
    <x:row r="11">
      <x:c r="A11" s="46" t="str">
        <x:v>ADXL1</x:v>
      </x:c>
      <x:c r="B11" s="46" t="str">
        <x:v>Tool/reference</x:v>
      </x:c>
      <x:c r="C11" s="46" t="str">
        <x:v>-Y</x:v>
      </x:c>
      <x:c r="D11" s="46" t="n">
        <x:v>1</x:v>
      </x:c>
      <x:c r="E11" s="46" t="n">
        <x:v>3200</x:v>
      </x:c>
      <x:c r="F11" s="58" t="n">
        <x:v>0.27267</x:v>
      </x:c>
      <x:c r="G11" s="58" t="n">
        <x:v>0.1269</x:v>
      </x:c>
      <x:c r="H11" s="58" t="n">
        <x:v>-9.541572</x:v>
      </x:c>
      <x:c r="I11" s="58" t="n">
        <x:v>0.133951</x:v>
      </x:c>
      <x:c r="J11" s="58" t="n">
        <x:v>-2.5173</x:v>
      </x:c>
      <x:c r="K11" s="58" t="n">
        <x:v>0.14031</x:v>
      </x:c>
      <x:c r="L11" s="58" t="n">
        <x:v>9.873602</x:v>
      </x:c>
      <x:c r="M11" s="58" t="n">
        <x:v>0.135824</x:v>
      </x:c>
      <x:c r="N11" s="58" t="str">
        <x:v>Y</x:v>
      </x:c>
      <x:c r="O11" s="58" t="n">
        <x:v>-9.541572</x:v>
      </x:c>
      <x:c r="P11" s="58" t="n">
        <x:v>2.703</x:v>
      </x:c>
      <x:c r="Q11" s="58" t="n">
        <x:v>0.683</x:v>
      </x:c>
      <x:c r="R11" s="46" t="n">
        <x:v>0</x:v>
      </x:c>
      <x:c r="S11" s="46" t="n">
        <x:v>0</x:v>
      </x:c>
      <x:c r="T11" s="46" t="n">
        <x:v>2</x:v>
      </x:c>
      <x:c r="U11" s="46" t="n">
        <x:v>1</x:v>
      </x:c>
      <x:c r="V11" s="46" t="n">
        <x:v>1</x:v>
      </x:c>
      <x:c r="W11" s="46" t="n">
        <x:v>1</x:v>
      </x:c>
      <x:c r="X11" s="46" t="str">
        <x:v>VALID</x:v>
      </x:c>
    </x:row>
    <x:row r="12">
      <x:c r="A12" s="46" t="str">
        <x:v>ADXL1</x:v>
      </x:c>
      <x:c r="B12" s="46" t="str">
        <x:v>Tool/reference</x:v>
      </x:c>
      <x:c r="C12" s="46" t="str">
        <x:v>-Y</x:v>
      </x:c>
      <x:c r="D12" s="46" t="n">
        <x:v>2</x:v>
      </x:c>
      <x:c r="E12" s="46" t="n">
        <x:v>3200</x:v>
      </x:c>
      <x:c r="F12" s="58" t="n">
        <x:v>0.242503</x:v>
      </x:c>
      <x:c r="G12" s="58" t="n">
        <x:v>0.126015</x:v>
      </x:c>
      <x:c r="H12" s="58" t="n">
        <x:v>-9.557348</x:v>
      </x:c>
      <x:c r="I12" s="58" t="n">
        <x:v>0.139276</x:v>
      </x:c>
      <x:c r="J12" s="58" t="n">
        <x:v>-2.457779</x:v>
      </x:c>
      <x:c r="K12" s="58" t="n">
        <x:v>0.130147</x:v>
      </x:c>
      <x:c r="L12" s="58" t="n">
        <x:v>9.872937</x:v>
      </x:c>
      <x:c r="M12" s="58" t="n">
        <x:v>0.140388</x:v>
      </x:c>
      <x:c r="N12" s="58" t="str">
        <x:v>Y</x:v>
      </x:c>
      <x:c r="O12" s="58" t="n">
        <x:v>-9.557348</x:v>
      </x:c>
      <x:c r="P12" s="58" t="n">
        <x:v>2.542</x:v>
      </x:c>
      <x:c r="Q12" s="58" t="n">
        <x:v>0.676</x:v>
      </x:c>
      <x:c r="R12" s="46" t="n">
        <x:v>0</x:v>
      </x:c>
      <x:c r="S12" s="46" t="n">
        <x:v>0</x:v>
      </x:c>
      <x:c r="T12" s="46" t="n">
        <x:v>2</x:v>
      </x:c>
      <x:c r="U12" s="46" t="n">
        <x:v>1</x:v>
      </x:c>
      <x:c r="V12" s="46" t="n">
        <x:v>1</x:v>
      </x:c>
      <x:c r="W12" s="46" t="n">
        <x:v>1</x:v>
      </x:c>
      <x:c r="X12" s="46" t="str">
        <x:v>VALID</x:v>
      </x:c>
    </x:row>
    <x:row r="13">
      <x:c r="A13" s="46" t="str">
        <x:v>ADXL1</x:v>
      </x:c>
      <x:c r="B13" s="46" t="str">
        <x:v>Tool/reference</x:v>
      </x:c>
      <x:c r="C13" s="46" t="str">
        <x:v>-Y</x:v>
      </x:c>
      <x:c r="D13" s="46" t="n">
        <x:v>3</x:v>
      </x:c>
      <x:c r="E13" s="46" t="n">
        <x:v>3200</x:v>
      </x:c>
      <x:c r="F13" s="58" t="n">
        <x:v>0.231412</x:v>
      </x:c>
      <x:c r="G13" s="58" t="n">
        <x:v>0.127435</x:v>
      </x:c>
      <x:c r="H13" s="58" t="n">
        <x:v>-9.564902</x:v>
      </x:c>
      <x:c r="I13" s="58" t="n">
        <x:v>0.133393</x:v>
      </x:c>
      <x:c r="J13" s="58" t="n">
        <x:v>-2.45178</x:v>
      </x:c>
      <x:c r="K13" s="58" t="n">
        <x:v>0.131595</x:v>
      </x:c>
      <x:c r="L13" s="58" t="n">
        <x:v>9.87854</x:v>
      </x:c>
      <x:c r="M13" s="58" t="n">
        <x:v>0.133853</x:v>
      </x:c>
      <x:c r="N13" s="58" t="str">
        <x:v>Y</x:v>
      </x:c>
      <x:c r="O13" s="58" t="n">
        <x:v>-9.564902</x:v>
      </x:c>
      <x:c r="P13" s="58" t="n">
        <x:v>2.465</x:v>
      </x:c>
      <x:c r="Q13" s="58" t="n">
        <x:v>0.733</x:v>
      </x:c>
      <x:c r="R13" s="46" t="n">
        <x:v>0</x:v>
      </x:c>
      <x:c r="S13" s="46" t="n">
        <x:v>0</x:v>
      </x:c>
      <x:c r="T13" s="46" t="n">
        <x:v>2</x:v>
      </x:c>
      <x:c r="U13" s="46" t="n">
        <x:v>1</x:v>
      </x:c>
      <x:c r="V13" s="46" t="n">
        <x:v>1</x:v>
      </x:c>
      <x:c r="W13" s="46" t="n">
        <x:v>1</x:v>
      </x:c>
      <x:c r="X13" s="46" t="str">
        <x:v>VALID</x:v>
      </x:c>
    </x:row>
    <x:row r="14">
      <x:c r="A14" s="46" t="str">
        <x:v>ADXL1</x:v>
      </x:c>
      <x:c r="B14" s="46" t="str">
        <x:v>Tool/reference</x:v>
      </x:c>
      <x:c r="C14" s="46" t="str">
        <x:v>+Z</x:v>
      </x:c>
      <x:c r="D14" s="46" t="n">
        <x:v>1</x:v>
      </x:c>
      <x:c r="E14" s="46" t="n">
        <x:v>3200</x:v>
      </x:c>
      <x:c r="F14" s="58" t="n">
        <x:v>0.579522</x:v>
      </x:c>
      <x:c r="G14" s="58" t="n">
        <x:v>0.165146</x:v>
      </x:c>
      <x:c r="H14" s="58" t="n">
        <x:v>0.072309</x:v>
      </x:c>
      <x:c r="I14" s="58" t="n">
        <x:v>0.152489</x:v>
      </x:c>
      <x:c r="J14" s="58" t="n">
        <x:v>8.849823</x:v>
      </x:c>
      <x:c r="K14" s="58" t="n">
        <x:v>0.193223</x:v>
      </x:c>
      <x:c r="L14" s="58" t="n">
        <x:v>8.871872</x:v>
      </x:c>
      <x:c r="M14" s="58" t="n">
        <x:v>0.195348</x:v>
      </x:c>
      <x:c r="N14" s="58" t="str">
        <x:v>Z</x:v>
      </x:c>
      <x:c r="O14" s="58" t="n">
        <x:v>8.849823</x:v>
      </x:c>
      <x:c r="P14" s="58" t="n">
        <x:v>-9.757</x:v>
      </x:c>
      <x:c r="Q14" s="58" t="n">
        <x:v>-9.532</x:v>
      </x:c>
      <x:c r="R14" s="46" t="n">
        <x:v>0</x:v>
      </x:c>
      <x:c r="S14" s="46" t="n">
        <x:v>0</x:v>
      </x:c>
      <x:c r="T14" s="46" t="n">
        <x:v>2</x:v>
      </x:c>
      <x:c r="U14" s="46" t="n">
        <x:v>1</x:v>
      </x:c>
      <x:c r="V14" s="46" t="n">
        <x:v>1</x:v>
      </x:c>
      <x:c r="W14" s="46" t="n">
        <x:v>1</x:v>
      </x:c>
      <x:c r="X14" s="46" t="str">
        <x:v>VALID</x:v>
      </x:c>
    </x:row>
    <x:row r="15">
      <x:c r="A15" s="46" t="str">
        <x:v>ADXL1</x:v>
      </x:c>
      <x:c r="B15" s="46" t="str">
        <x:v>Tool/reference</x:v>
      </x:c>
      <x:c r="C15" s="46" t="str">
        <x:v>+Z</x:v>
      </x:c>
      <x:c r="D15" s="46" t="n">
        <x:v>2</x:v>
      </x:c>
      <x:c r="E15" s="46" t="n">
        <x:v>3200</x:v>
      </x:c>
      <x:c r="F15" s="58" t="n">
        <x:v>0.74876</x:v>
      </x:c>
      <x:c r="G15" s="58" t="n">
        <x:v>0.170817</x:v>
      </x:c>
      <x:c r="H15" s="58" t="n">
        <x:v>0.156737</x:v>
      </x:c>
      <x:c r="I15" s="58" t="n">
        <x:v>0.163487</x:v>
      </x:c>
      <x:c r="J15" s="58" t="n">
        <x:v>8.834524</x:v>
      </x:c>
      <x:c r="K15" s="58" t="n">
        <x:v>0.197127</x:v>
      </x:c>
      <x:c r="L15" s="58" t="n">
        <x:v>8.870673</x:v>
      </x:c>
      <x:c r="M15" s="58" t="n">
        <x:v>0.199834</x:v>
      </x:c>
      <x:c r="N15" s="58" t="str">
        <x:v>Z</x:v>
      </x:c>
      <x:c r="O15" s="58" t="n">
        <x:v>8.834524</x:v>
      </x:c>
      <x:c r="P15" s="58" t="n">
        <x:v>-9.913</x:v>
      </x:c>
      <x:c r="Q15" s="58" t="n">
        <x:v>-9.544</x:v>
      </x:c>
      <x:c r="R15" s="46" t="n">
        <x:v>0</x:v>
      </x:c>
      <x:c r="S15" s="46" t="n">
        <x:v>0</x:v>
      </x:c>
      <x:c r="T15" s="46" t="n">
        <x:v>2</x:v>
      </x:c>
      <x:c r="U15" s="46" t="n">
        <x:v>1</x:v>
      </x:c>
      <x:c r="V15" s="46" t="n">
        <x:v>1</x:v>
      </x:c>
      <x:c r="W15" s="46" t="n">
        <x:v>1</x:v>
      </x:c>
      <x:c r="X15" s="46" t="str">
        <x:v>VALID</x:v>
      </x:c>
    </x:row>
    <x:row r="16">
      <x:c r="A16" s="46" t="str">
        <x:v>ADXL1</x:v>
      </x:c>
      <x:c r="B16" s="46" t="str">
        <x:v>Tool/reference</x:v>
      </x:c>
      <x:c r="C16" s="46" t="str">
        <x:v>+Z</x:v>
      </x:c>
      <x:c r="D16" s="46" t="n">
        <x:v>3</x:v>
      </x:c>
      <x:c r="E16" s="46" t="n">
        <x:v>3200</x:v>
      </x:c>
      <x:c r="F16" s="58" t="n">
        <x:v>0.82157</x:v>
      </x:c>
      <x:c r="G16" s="58" t="n">
        <x:v>0.193573</x:v>
      </x:c>
      <x:c r="H16" s="58" t="n">
        <x:v>0.28247</x:v>
      </x:c>
      <x:c r="I16" s="58" t="n">
        <x:v>0.190728</x:v>
      </x:c>
      <x:c r="J16" s="58" t="n">
        <x:v>8.828405</x:v>
      </x:c>
      <x:c r="K16" s="58" t="n">
        <x:v>0.213679</x:v>
      </x:c>
      <x:c r="L16" s="58" t="n">
        <x:v>8.875049</x:v>
      </x:c>
      <x:c r="M16" s="58" t="n">
        <x:v>0.220186</x:v>
      </x:c>
      <x:c r="N16" s="58" t="str">
        <x:v>Z</x:v>
      </x:c>
      <x:c r="O16" s="58" t="n">
        <x:v>8.828405</x:v>
      </x:c>
      <x:c r="P16" s="58" t="n">
        <x:v>-9.975</x:v>
      </x:c>
      <x:c r="Q16" s="58" t="n">
        <x:v>-9.5</x:v>
      </x:c>
      <x:c r="R16" s="46" t="n">
        <x:v>0</x:v>
      </x:c>
      <x:c r="S16" s="46" t="n">
        <x:v>0</x:v>
      </x:c>
      <x:c r="T16" s="46" t="n">
        <x:v>2</x:v>
      </x:c>
      <x:c r="U16" s="46" t="n">
        <x:v>1</x:v>
      </x:c>
      <x:c r="V16" s="46" t="n">
        <x:v>1</x:v>
      </x:c>
      <x:c r="W16" s="46" t="n">
        <x:v>1</x:v>
      </x:c>
      <x:c r="X16" s="46" t="str">
        <x:v>VALID</x:v>
      </x:c>
    </x:row>
    <x:row r="17">
      <x:c r="A17" s="46" t="str">
        <x:v>ADXL1</x:v>
      </x:c>
      <x:c r="B17" s="46" t="str">
        <x:v>Tool/reference</x:v>
      </x:c>
      <x:c r="C17" s="46" t="str">
        <x:v>-Z</x:v>
      </x:c>
      <x:c r="D17" s="46" t="n">
        <x:v>1</x:v>
      </x:c>
      <x:c r="E17" s="46" t="n">
        <x:v>3200</x:v>
      </x:c>
      <x:c r="F17" s="58" t="n">
        <x:v>0.201747</x:v>
      </x:c>
      <x:c r="G17" s="58" t="n">
        <x:v>0.12601</x:v>
      </x:c>
      <x:c r="H17" s="58" t="n">
        <x:v>0.042453</x:v>
      </x:c>
      <x:c r="I17" s="58" t="n">
        <x:v>0.097695</x:v>
      </x:c>
      <x:c r="J17" s="58" t="n">
        <x:v>-10.218071</x:v>
      </x:c>
      <x:c r="K17" s="58" t="n">
        <x:v>0.14652</x:v>
      </x:c>
      <x:c r="L17" s="58" t="n">
        <x:v>10.221392</x:v>
      </x:c>
      <x:c r="M17" s="58" t="n">
        <x:v>0.146656</x:v>
      </x:c>
      <x:c r="N17" s="58" t="str">
        <x:v>Z</x:v>
      </x:c>
      <x:c r="O17" s="58" t="n">
        <x:v>-10.218071</x:v>
      </x:c>
      <x:c r="P17" s="58" t="n">
        <x:v>-4.195</x:v>
      </x:c>
      <x:c r="Q17" s="58" t="n">
        <x:v>4.229</x:v>
      </x:c>
      <x:c r="R17" s="46" t="n">
        <x:v>0</x:v>
      </x:c>
      <x:c r="S17" s="46" t="n">
        <x:v>0</x:v>
      </x:c>
      <x:c r="T17" s="46" t="n">
        <x:v>2</x:v>
      </x:c>
      <x:c r="U17" s="46" t="n">
        <x:v>1</x:v>
      </x:c>
      <x:c r="V17" s="46" t="n">
        <x:v>1</x:v>
      </x:c>
      <x:c r="W17" s="46" t="n">
        <x:v>1</x:v>
      </x:c>
      <x:c r="X17" s="46" t="str">
        <x:v>VALID</x:v>
      </x:c>
    </x:row>
    <x:row r="18">
      <x:c r="A18" s="46" t="str">
        <x:v>ADXL1</x:v>
      </x:c>
      <x:c r="B18" s="46" t="str">
        <x:v>Tool/reference</x:v>
      </x:c>
      <x:c r="C18" s="46" t="str">
        <x:v>-Z</x:v>
      </x:c>
      <x:c r="D18" s="46" t="n">
        <x:v>2</x:v>
      </x:c>
      <x:c r="E18" s="46" t="n">
        <x:v>3200</x:v>
      </x:c>
      <x:c r="F18" s="58" t="n">
        <x:v>0.20103</x:v>
      </x:c>
      <x:c r="G18" s="58" t="n">
        <x:v>0.122028</x:v>
      </x:c>
      <x:c r="H18" s="58" t="n">
        <x:v>0.044198</x:v>
      </x:c>
      <x:c r="I18" s="58" t="n">
        <x:v>0.097398</x:v>
      </x:c>
      <x:c r="J18" s="58" t="n">
        <x:v>-10.216159</x:v>
      </x:c>
      <x:c r="K18" s="58" t="n">
        <x:v>0.151113</x:v>
      </x:c>
      <x:c r="L18" s="58" t="n">
        <x:v>10.219424</x:v>
      </x:c>
      <x:c r="M18" s="58" t="n">
        <x:v>0.15113</x:v>
      </x:c>
      <x:c r="N18" s="58" t="str">
        <x:v>Z</x:v>
      </x:c>
      <x:c r="O18" s="58" t="n">
        <x:v>-10.216159</x:v>
      </x:c>
      <x:c r="P18" s="58" t="n">
        <x:v>-4.176</x:v>
      </x:c>
      <x:c r="Q18" s="58" t="n">
        <x:v>4.209</x:v>
      </x:c>
      <x:c r="R18" s="46" t="n">
        <x:v>0</x:v>
      </x:c>
      <x:c r="S18" s="46" t="n">
        <x:v>0</x:v>
      </x:c>
      <x:c r="T18" s="46" t="n">
        <x:v>2</x:v>
      </x:c>
      <x:c r="U18" s="46" t="n">
        <x:v>1</x:v>
      </x:c>
      <x:c r="V18" s="46" t="n">
        <x:v>1</x:v>
      </x:c>
      <x:c r="W18" s="46" t="n">
        <x:v>1</x:v>
      </x:c>
      <x:c r="X18" s="46" t="str">
        <x:v>VALID</x:v>
      </x:c>
    </x:row>
    <x:row r="19">
      <x:c r="A19" s="46" t="str">
        <x:v>ADXL1</x:v>
      </x:c>
      <x:c r="B19" s="46" t="str">
        <x:v>Tool/reference</x:v>
      </x:c>
      <x:c r="C19" s="46" t="str">
        <x:v>-Z</x:v>
      </x:c>
      <x:c r="D19" s="46" t="n">
        <x:v>3</x:v>
      </x:c>
      <x:c r="E19" s="46" t="n">
        <x:v>3200</x:v>
      </x:c>
      <x:c r="F19" s="58" t="n">
        <x:v>0.202225</x:v>
      </x:c>
      <x:c r="G19" s="58" t="n">
        <x:v>0.122241</x:v>
      </x:c>
      <x:c r="H19" s="58" t="n">
        <x:v>0.0398</x:v>
      </x:c>
      <x:c r="I19" s="58" t="n">
        <x:v>0.097586</x:v>
      </x:c>
      <x:c r="J19" s="58" t="n">
        <x:v>-10.211258</x:v>
      </x:c>
      <x:c r="K19" s="58" t="n">
        <x:v>0.156166</x:v>
      </x:c>
      <x:c r="L19" s="58" t="n">
        <x:v>10.214532</x:v>
      </x:c>
      <x:c r="M19" s="58" t="n">
        <x:v>0.156355</x:v>
      </x:c>
      <x:c r="N19" s="58" t="str">
        <x:v>Z</x:v>
      </x:c>
      <x:c r="O19" s="58" t="n">
        <x:v>-10.211258</x:v>
      </x:c>
      <x:c r="P19" s="58" t="n">
        <x:v>-4.126</x:v>
      </x:c>
      <x:c r="Q19" s="58" t="n">
        <x:v>4.159</x:v>
      </x:c>
      <x:c r="R19" s="46" t="n">
        <x:v>0</x:v>
      </x:c>
      <x:c r="S19" s="46" t="n">
        <x:v>0</x:v>
      </x:c>
      <x:c r="T19" s="46" t="n">
        <x:v>2</x:v>
      </x:c>
      <x:c r="U19" s="46" t="n">
        <x:v>1</x:v>
      </x:c>
      <x:c r="V19" s="46" t="n">
        <x:v>1</x:v>
      </x:c>
      <x:c r="W19" s="46" t="n">
        <x:v>1</x:v>
      </x:c>
      <x:c r="X19" s="46" t="str">
        <x:v>VALID</x:v>
      </x:c>
    </x:row>
    <x:row r="20">
      <x:c r="A20" s="46" t="str">
        <x:v>ADXL2</x:v>
      </x:c>
      <x:c r="B20" s="46" t="str">
        <x:v>Hand/error</x:v>
      </x:c>
      <x:c r="C20" s="46" t="str">
        <x:v>+X</x:v>
      </x:c>
      <x:c r="D20" s="46" t="n">
        <x:v>1</x:v>
      </x:c>
      <x:c r="E20" s="46" t="n">
        <x:v>3200</x:v>
      </x:c>
      <x:c r="F20" s="58" t="n">
        <x:v>9.809389</x:v>
      </x:c>
      <x:c r="G20" s="58" t="n">
        <x:v>0.130584</x:v>
      </x:c>
      <x:c r="H20" s="58" t="n">
        <x:v>-0.142729</x:v>
      </x:c>
      <x:c r="I20" s="58" t="n">
        <x:v>0.175696</x:v>
      </x:c>
      <x:c r="J20" s="58" t="n">
        <x:v>1.482365</x:v>
      </x:c>
      <x:c r="K20" s="58" t="n">
        <x:v>0.231911</x:v>
      </x:c>
      <x:c r="L20" s="58" t="n">
        <x:v>9.925976</x:v>
      </x:c>
      <x:c r="M20" s="58" t="n">
        <x:v>0.136295</x:v>
      </x:c>
      <x:c r="N20" s="58" t="str">
        <x:v>X</x:v>
      </x:c>
      <x:c r="O20" s="58" t="n">
        <x:v>9.809389</x:v>
      </x:c>
      <x:c r="P20" s="58" t="n">
        <x:v>0.028</x:v>
      </x:c>
      <x:c r="Q20" s="58" t="n">
        <x:v>1.217</x:v>
      </x:c>
      <x:c r="R20" s="46" t="n">
        <x:v>0</x:v>
      </x:c>
      <x:c r="S20" s="46" t="n">
        <x:v>0</x:v>
      </x:c>
      <x:c r="T20" s="46" t="n">
        <x:v>2</x:v>
      </x:c>
      <x:c r="U20" s="46" t="n">
        <x:v>1</x:v>
      </x:c>
      <x:c r="V20" s="46" t="n">
        <x:v>1</x:v>
      </x:c>
      <x:c r="W20" s="46" t="n">
        <x:v>1</x:v>
      </x:c>
      <x:c r="X20" s="46" t="str">
        <x:v>VALID</x:v>
      </x:c>
    </x:row>
    <x:row r="21">
      <x:c r="A21" s="46" t="str">
        <x:v>ADXL2</x:v>
      </x:c>
      <x:c r="B21" s="46" t="str">
        <x:v>Hand/error</x:v>
      </x:c>
      <x:c r="C21" s="46" t="str">
        <x:v>+X</x:v>
      </x:c>
      <x:c r="D21" s="46" t="n">
        <x:v>2</x:v>
      </x:c>
      <x:c r="E21" s="46" t="n">
        <x:v>3200</x:v>
      </x:c>
      <x:c r="F21" s="58" t="n">
        <x:v>9.803796</x:v>
      </x:c>
      <x:c r="G21" s="58" t="n">
        <x:v>0.128521</x:v>
      </x:c>
      <x:c r="H21" s="58" t="n">
        <x:v>-0.230719</x:v>
      </x:c>
      <x:c r="I21" s="58" t="n">
        <x:v>0.183166</x:v>
      </x:c>
      <x:c r="J21" s="58" t="n">
        <x:v>1.503543</x:v>
      </x:c>
      <x:c r="K21" s="58" t="n">
        <x:v>0.240295</x:v>
      </x:c>
      <x:c r="L21" s="58" t="n">
        <x:v>9.925636</x:v>
      </x:c>
      <x:c r="M21" s="58" t="n">
        <x:v>0.133488</x:v>
      </x:c>
      <x:c r="N21" s="58" t="str">
        <x:v>X</x:v>
      </x:c>
      <x:c r="O21" s="58" t="n">
        <x:v>9.803796</x:v>
      </x:c>
      <x:c r="P21" s="58" t="n">
        <x:v>-0.029</x:v>
      </x:c>
      <x:c r="Q21" s="58" t="n">
        <x:v>1.213</x:v>
      </x:c>
      <x:c r="R21" s="46" t="n">
        <x:v>0</x:v>
      </x:c>
      <x:c r="S21" s="46" t="n">
        <x:v>0</x:v>
      </x:c>
      <x:c r="T21" s="46" t="n">
        <x:v>2</x:v>
      </x:c>
      <x:c r="U21" s="46" t="n">
        <x:v>1</x:v>
      </x:c>
      <x:c r="V21" s="46" t="n">
        <x:v>1</x:v>
      </x:c>
      <x:c r="W21" s="46" t="n">
        <x:v>1</x:v>
      </x:c>
      <x:c r="X21" s="46" t="str">
        <x:v>VALID</x:v>
      </x:c>
    </x:row>
    <x:row r="22">
      <x:c r="A22" s="46" t="str">
        <x:v>ADXL2</x:v>
      </x:c>
      <x:c r="B22" s="46" t="str">
        <x:v>Hand/error</x:v>
      </x:c>
      <x:c r="C22" s="46" t="str">
        <x:v>+X</x:v>
      </x:c>
      <x:c r="D22" s="46" t="n">
        <x:v>3</x:v>
      </x:c>
      <x:c r="E22" s="46" t="n">
        <x:v>3200</x:v>
      </x:c>
      <x:c r="F22" s="58" t="n">
        <x:v>9.802887</x:v>
      </x:c>
      <x:c r="G22" s="58" t="n">
        <x:v>0.12689</x:v>
      </x:c>
      <x:c r="H22" s="58" t="n">
        <x:v>-0.321577</x:v>
      </x:c>
      <x:c r="I22" s="58" t="n">
        <x:v>0.182749</x:v>
      </x:c>
      <x:c r="J22" s="58" t="n">
        <x:v>1.532204</x:v>
      </x:c>
      <x:c r="K22" s="58" t="n">
        <x:v>0.237778</x:v>
      </x:c>
      <x:c r="L22" s="58" t="n">
        <x:v>9.931588</x:v>
      </x:c>
      <x:c r="M22" s="58" t="n">
        <x:v>0.131275</x:v>
      </x:c>
      <x:c r="N22" s="58" t="str">
        <x:v>X</x:v>
      </x:c>
      <x:c r="O22" s="58" t="n">
        <x:v>9.802887</x:v>
      </x:c>
      <x:c r="P22" s="58" t="n">
        <x:v>-0.038</x:v>
      </x:c>
      <x:c r="Q22" s="58" t="n">
        <x:v>1.274</x:v>
      </x:c>
      <x:c r="R22" s="46" t="n">
        <x:v>0</x:v>
      </x:c>
      <x:c r="S22" s="46" t="n">
        <x:v>0</x:v>
      </x:c>
      <x:c r="T22" s="46" t="n">
        <x:v>2</x:v>
      </x:c>
      <x:c r="U22" s="46" t="n">
        <x:v>1</x:v>
      </x:c>
      <x:c r="V22" s="46" t="n">
        <x:v>1</x:v>
      </x:c>
      <x:c r="W22" s="46" t="n">
        <x:v>1</x:v>
      </x:c>
      <x:c r="X22" s="46" t="str">
        <x:v>VALID</x:v>
      </x:c>
    </x:row>
    <x:row r="23">
      <x:c r="A23" s="46" t="str">
        <x:v>ADXL2</x:v>
      </x:c>
      <x:c r="B23" s="46" t="str">
        <x:v>Hand/error</x:v>
      </x:c>
      <x:c r="C23" s="46" t="str">
        <x:v>-X</x:v>
      </x:c>
      <x:c r="D23" s="46" t="n">
        <x:v>1</x:v>
      </x:c>
      <x:c r="E23" s="46" t="n">
        <x:v>3200</x:v>
      </x:c>
      <x:c r="F23" s="58" t="n">
        <x:v>-9.927545</x:v>
      </x:c>
      <x:c r="G23" s="58" t="n">
        <x:v>0.115351</x:v>
      </x:c>
      <x:c r="H23" s="58" t="n">
        <x:v>0.833259</x:v>
      </x:c>
      <x:c r="I23" s="58" t="n">
        <x:v>0.151353</x:v>
      </x:c>
      <x:c r="J23" s="58" t="n">
        <x:v>0.961001</x:v>
      </x:c>
      <x:c r="K23" s="58" t="n">
        <x:v>0.217293</x:v>
      </x:c>
      <x:c r="L23" s="58" t="n">
        <x:v>10.012122</x:v>
      </x:c>
      <x:c r="M23" s="58" t="n">
        <x:v>0.121704</x:v>
      </x:c>
      <x:c r="N23" s="58" t="str">
        <x:v>X</x:v>
      </x:c>
      <x:c r="O23" s="58" t="n">
        <x:v>-9.927545</x:v>
      </x:c>
      <x:c r="P23" s="58" t="n">
        <x:v>-1.233</x:v>
      </x:c>
      <x:c r="Q23" s="58" t="n">
        <x:v>2.095</x:v>
      </x:c>
      <x:c r="R23" s="46" t="n">
        <x:v>0</x:v>
      </x:c>
      <x:c r="S23" s="46" t="n">
        <x:v>0</x:v>
      </x:c>
      <x:c r="T23" s="46" t="n">
        <x:v>2</x:v>
      </x:c>
      <x:c r="U23" s="46" t="n">
        <x:v>1</x:v>
      </x:c>
      <x:c r="V23" s="46" t="n">
        <x:v>1</x:v>
      </x:c>
      <x:c r="W23" s="46" t="n">
        <x:v>1</x:v>
      </x:c>
      <x:c r="X23" s="46" t="str">
        <x:v>VALID</x:v>
      </x:c>
    </x:row>
    <x:row r="24">
      <x:c r="A24" s="46" t="str">
        <x:v>ADXL2</x:v>
      </x:c>
      <x:c r="B24" s="46" t="str">
        <x:v>Hand/error</x:v>
      </x:c>
      <x:c r="C24" s="46" t="str">
        <x:v>-X</x:v>
      </x:c>
      <x:c r="D24" s="46" t="n">
        <x:v>2</x:v>
      </x:c>
      <x:c r="E24" s="46" t="n">
        <x:v>3200</x:v>
      </x:c>
      <x:c r="F24" s="58" t="n">
        <x:v>-9.92188</x:v>
      </x:c>
      <x:c r="G24" s="58" t="n">
        <x:v>0.116061</x:v>
      </x:c>
      <x:c r="H24" s="58" t="n">
        <x:v>0.861083</x:v>
      </x:c>
      <x:c r="I24" s="58" t="n">
        <x:v>0.150946</x:v>
      </x:c>
      <x:c r="J24" s="58" t="n">
        <x:v>0.950149</x:v>
      </x:c>
      <x:c r="K24" s="58" t="n">
        <x:v>0.22424</x:v>
      </x:c>
      <x:c r="L24" s="58" t="n">
        <x:v>10.007953</x:v>
      </x:c>
      <x:c r="M24" s="58" t="n">
        <x:v>0.123892</x:v>
      </x:c>
      <x:c r="N24" s="58" t="str">
        <x:v>X</x:v>
      </x:c>
      <x:c r="O24" s="58" t="n">
        <x:v>-9.92188</x:v>
      </x:c>
      <x:c r="P24" s="58" t="n">
        <x:v>-1.175</x:v>
      </x:c>
      <x:c r="Q24" s="58" t="n">
        <x:v>2.053</x:v>
      </x:c>
      <x:c r="R24" s="46" t="n">
        <x:v>0</x:v>
      </x:c>
      <x:c r="S24" s="46" t="n">
        <x:v>0</x:v>
      </x:c>
      <x:c r="T24" s="46" t="n">
        <x:v>2</x:v>
      </x:c>
      <x:c r="U24" s="46" t="n">
        <x:v>1</x:v>
      </x:c>
      <x:c r="V24" s="46" t="n">
        <x:v>1</x:v>
      </x:c>
      <x:c r="W24" s="46" t="n">
        <x:v>1</x:v>
      </x:c>
      <x:c r="X24" s="46" t="str">
        <x:v>VALID</x:v>
      </x:c>
    </x:row>
    <x:row r="25">
      <x:c r="A25" s="46" t="str">
        <x:v>ADXL2</x:v>
      </x:c>
      <x:c r="B25" s="46" t="str">
        <x:v>Hand/error</x:v>
      </x:c>
      <x:c r="C25" s="46" t="str">
        <x:v>-X</x:v>
      </x:c>
      <x:c r="D25" s="46" t="n">
        <x:v>3</x:v>
      </x:c>
      <x:c r="E25" s="46" t="n">
        <x:v>3200</x:v>
      </x:c>
      <x:c r="F25" s="58" t="n">
        <x:v>-9.921067</x:v>
      </x:c>
      <x:c r="G25" s="58" t="n">
        <x:v>0.118077</x:v>
      </x:c>
      <x:c r="H25" s="58" t="n">
        <x:v>0.959495</x:v>
      </x:c>
      <x:c r="I25" s="58" t="n">
        <x:v>0.153389</x:v>
      </x:c>
      <x:c r="J25" s="58" t="n">
        <x:v>0.934683</x:v>
      </x:c>
      <x:c r="K25" s="58" t="n">
        <x:v>0.235894</x:v>
      </x:c>
      <x:c r="L25" s="58" t="n">
        <x:v>10.014935</x:v>
      </x:c>
      <x:c r="M25" s="58" t="n">
        <x:v>0.126494</x:v>
      </x:c>
      <x:c r="N25" s="58" t="str">
        <x:v>X</x:v>
      </x:c>
      <x:c r="O25" s="58" t="n">
        <x:v>-9.921067</x:v>
      </x:c>
      <x:c r="P25" s="58" t="n">
        <x:v>-1.167</x:v>
      </x:c>
      <x:c r="Q25" s="58" t="n">
        <x:v>2.124</x:v>
      </x:c>
      <x:c r="R25" s="46" t="n">
        <x:v>0</x:v>
      </x:c>
      <x:c r="S25" s="46" t="n">
        <x:v>0</x:v>
      </x:c>
      <x:c r="T25" s="46" t="n">
        <x:v>2</x:v>
      </x:c>
      <x:c r="U25" s="46" t="n">
        <x:v>1</x:v>
      </x:c>
      <x:c r="V25" s="46" t="n">
        <x:v>1</x:v>
      </x:c>
      <x:c r="W25" s="46" t="n">
        <x:v>1</x:v>
      </x:c>
      <x:c r="X25" s="46" t="str">
        <x:v>VALID</x:v>
      </x:c>
    </x:row>
    <x:row r="26">
      <x:c r="A26" s="46" t="str">
        <x:v>ADXL2</x:v>
      </x:c>
      <x:c r="B26" s="46" t="str">
        <x:v>Hand/error</x:v>
      </x:c>
      <x:c r="C26" s="46" t="str">
        <x:v>+Y</x:v>
      </x:c>
      <x:c r="D26" s="46" t="n">
        <x:v>1</x:v>
      </x:c>
      <x:c r="E26" s="46" t="n">
        <x:v>3200</x:v>
      </x:c>
      <x:c r="F26" s="58" t="n">
        <x:v>0.002104</x:v>
      </x:c>
      <x:c r="G26" s="58" t="n">
        <x:v>0.098304</x:v>
      </x:c>
      <x:c r="H26" s="58" t="n">
        <x:v>10.224501</x:v>
      </x:c>
      <x:c r="I26" s="58" t="n">
        <x:v>0.138923</x:v>
      </x:c>
      <x:c r="J26" s="58" t="n">
        <x:v>0.141677</x:v>
      </x:c>
      <x:c r="K26" s="58" t="n">
        <x:v>0.211716</x:v>
      </x:c>
      <x:c r="L26" s="58" t="n">
        <x:v>10.228131</x:v>
      </x:c>
      <x:c r="M26" s="58" t="n">
        <x:v>0.140038</x:v>
      </x:c>
      <x:c r="N26" s="58" t="str">
        <x:v>Y</x:v>
      </x:c>
      <x:c r="O26" s="58" t="n">
        <x:v>10.224501</x:v>
      </x:c>
      <x:c r="P26" s="58" t="n">
        <x:v>4.261</x:v>
      </x:c>
      <x:c r="Q26" s="58" t="n">
        <x:v>4.298</x:v>
      </x:c>
      <x:c r="R26" s="46" t="n">
        <x:v>0</x:v>
      </x:c>
      <x:c r="S26" s="46" t="n">
        <x:v>0</x:v>
      </x:c>
      <x:c r="T26" s="46" t="n">
        <x:v>2</x:v>
      </x:c>
      <x:c r="U26" s="46" t="n">
        <x:v>1</x:v>
      </x:c>
      <x:c r="V26" s="46" t="n">
        <x:v>1</x:v>
      </x:c>
      <x:c r="W26" s="46" t="n">
        <x:v>1</x:v>
      </x:c>
      <x:c r="X26" s="46" t="str">
        <x:v>VALID</x:v>
      </x:c>
    </x:row>
    <x:row r="27">
      <x:c r="A27" s="46" t="str">
        <x:v>ADXL2</x:v>
      </x:c>
      <x:c r="B27" s="46" t="str">
        <x:v>Hand/error</x:v>
      </x:c>
      <x:c r="C27" s="46" t="str">
        <x:v>+Y</x:v>
      </x:c>
      <x:c r="D27" s="46" t="n">
        <x:v>2</x:v>
      </x:c>
      <x:c r="E27" s="46" t="n">
        <x:v>3200</x:v>
      </x:c>
      <x:c r="F27" s="58" t="n">
        <x:v>0.003203</x:v>
      </x:c>
      <x:c r="G27" s="58" t="n">
        <x:v>0.09846</x:v>
      </x:c>
      <x:c r="H27" s="58" t="n">
        <x:v>10.228851</x:v>
      </x:c>
      <x:c r="I27" s="58" t="n">
        <x:v>0.132898</x:v>
      </x:c>
      <x:c r="J27" s="58" t="n">
        <x:v>0.144163</x:v>
      </x:c>
      <x:c r="K27" s="58" t="n">
        <x:v>0.20696</x:v>
      </x:c>
      <x:c r="L27" s="58" t="n">
        <x:v>10.232424</x:v>
      </x:c>
      <x:c r="M27" s="58" t="n">
        <x:v>0.133667</x:v>
      </x:c>
      <x:c r="N27" s="58" t="str">
        <x:v>Y</x:v>
      </x:c>
      <x:c r="O27" s="58" t="n">
        <x:v>10.228851</x:v>
      </x:c>
      <x:c r="P27" s="58" t="n">
        <x:v>4.305</x:v>
      </x:c>
      <x:c r="Q27" s="58" t="n">
        <x:v>4.342</x:v>
      </x:c>
      <x:c r="R27" s="46" t="n">
        <x:v>0</x:v>
      </x:c>
      <x:c r="S27" s="46" t="n">
        <x:v>0</x:v>
      </x:c>
      <x:c r="T27" s="46" t="n">
        <x:v>2</x:v>
      </x:c>
      <x:c r="U27" s="46" t="n">
        <x:v>1</x:v>
      </x:c>
      <x:c r="V27" s="46" t="n">
        <x:v>1</x:v>
      </x:c>
      <x:c r="W27" s="46" t="n">
        <x:v>1</x:v>
      </x:c>
      <x:c r="X27" s="46" t="str">
        <x:v>VALID</x:v>
      </x:c>
    </x:row>
    <x:row r="28">
      <x:c r="A28" s="46" t="str">
        <x:v>ADXL2</x:v>
      </x:c>
      <x:c r="B28" s="46" t="str">
        <x:v>Hand/error</x:v>
      </x:c>
      <x:c r="C28" s="46" t="str">
        <x:v>+Y</x:v>
      </x:c>
      <x:c r="D28" s="46" t="n">
        <x:v>3</x:v>
      </x:c>
      <x:c r="E28" s="46" t="n">
        <x:v>3200</x:v>
      </x:c>
      <x:c r="F28" s="58" t="n">
        <x:v>-0.003562</x:v>
      </x:c>
      <x:c r="G28" s="58" t="n">
        <x:v>0.100097</x:v>
      </x:c>
      <x:c r="H28" s="58" t="n">
        <x:v>10.227178</x:v>
      </x:c>
      <x:c r="I28" s="58" t="n">
        <x:v>0.141973</x:v>
      </x:c>
      <x:c r="J28" s="58" t="n">
        <x:v>0.119495</x:v>
      </x:c>
      <x:c r="K28" s="58" t="n">
        <x:v>0.216029</x:v>
      </x:c>
      <x:c r="L28" s="58" t="n">
        <x:v>10.230633</x:v>
      </x:c>
      <x:c r="M28" s="58" t="n">
        <x:v>0.142989</x:v>
      </x:c>
      <x:c r="N28" s="58" t="str">
        <x:v>Y</x:v>
      </x:c>
      <x:c r="O28" s="58" t="n">
        <x:v>10.227178</x:v>
      </x:c>
      <x:c r="P28" s="58" t="n">
        <x:v>4.288</x:v>
      </x:c>
      <x:c r="Q28" s="58" t="n">
        <x:v>4.323</x:v>
      </x:c>
      <x:c r="R28" s="46" t="n">
        <x:v>0</x:v>
      </x:c>
      <x:c r="S28" s="46" t="n">
        <x:v>0</x:v>
      </x:c>
      <x:c r="T28" s="46" t="n">
        <x:v>2</x:v>
      </x:c>
      <x:c r="U28" s="46" t="n">
        <x:v>1</x:v>
      </x:c>
      <x:c r="V28" s="46" t="n">
        <x:v>1</x:v>
      </x:c>
      <x:c r="W28" s="46" t="n">
        <x:v>1</x:v>
      </x:c>
      <x:c r="X28" s="46" t="str">
        <x:v>VALID</x:v>
      </x:c>
    </x:row>
    <x:row r="29">
      <x:c r="A29" s="46" t="str">
        <x:v>ADXL2</x:v>
      </x:c>
      <x:c r="B29" s="46" t="str">
        <x:v>Hand/error</x:v>
      </x:c>
      <x:c r="C29" s="46" t="str">
        <x:v>-Y</x:v>
      </x:c>
      <x:c r="D29" s="46" t="n">
        <x:v>1</x:v>
      </x:c>
      <x:c r="E29" s="46" t="n">
        <x:v>3200</x:v>
      </x:c>
      <x:c r="F29" s="58" t="n">
        <x:v>-0.269945</x:v>
      </x:c>
      <x:c r="G29" s="58" t="n">
        <x:v>0.153421</x:v>
      </x:c>
      <x:c r="H29" s="58" t="n">
        <x:v>-9.599228</x:v>
      </x:c>
      <x:c r="I29" s="58" t="n">
        <x:v>0.134766</x:v>
      </x:c>
      <x:c r="J29" s="58" t="n">
        <x:v>0.288852</x:v>
      </x:c>
      <x:c r="K29" s="58" t="n">
        <x:v>0.22852</x:v>
      </x:c>
      <x:c r="L29" s="58" t="n">
        <x:v>9.611327</x:v>
      </x:c>
      <x:c r="M29" s="58" t="n">
        <x:v>0.133287</x:v>
      </x:c>
      <x:c r="N29" s="58" t="str">
        <x:v>Y</x:v>
      </x:c>
      <x:c r="O29" s="58" t="n">
        <x:v>-9.599228</x:v>
      </x:c>
      <x:c r="P29" s="58" t="n">
        <x:v>2.115</x:v>
      </x:c>
      <x:c r="Q29" s="58" t="n">
        <x:v>-1.992</x:v>
      </x:c>
      <x:c r="R29" s="46" t="n">
        <x:v>0</x:v>
      </x:c>
      <x:c r="S29" s="46" t="n">
        <x:v>0</x:v>
      </x:c>
      <x:c r="T29" s="46" t="n">
        <x:v>2</x:v>
      </x:c>
      <x:c r="U29" s="46" t="n">
        <x:v>1</x:v>
      </x:c>
      <x:c r="V29" s="46" t="n">
        <x:v>1</x:v>
      </x:c>
      <x:c r="W29" s="46" t="n">
        <x:v>1</x:v>
      </x:c>
      <x:c r="X29" s="46" t="str">
        <x:v>VALID</x:v>
      </x:c>
    </x:row>
    <x:row r="30">
      <x:c r="A30" s="46" t="str">
        <x:v>ADXL2</x:v>
      </x:c>
      <x:c r="B30" s="46" t="str">
        <x:v>Hand/error</x:v>
      </x:c>
      <x:c r="C30" s="46" t="str">
        <x:v>-Y</x:v>
      </x:c>
      <x:c r="D30" s="46" t="n">
        <x:v>2</x:v>
      </x:c>
      <x:c r="E30" s="46" t="n">
        <x:v>3200</x:v>
      </x:c>
      <x:c r="F30" s="58" t="n">
        <x:v>-0.263323</x:v>
      </x:c>
      <x:c r="G30" s="58" t="n">
        <x:v>0.153243</x:v>
      </x:c>
      <x:c r="H30" s="58" t="n">
        <x:v>-9.605395</x:v>
      </x:c>
      <x:c r="I30" s="58" t="n">
        <x:v>0.137164</x:v>
      </x:c>
      <x:c r="J30" s="58" t="n">
        <x:v>0.325712</x:v>
      </x:c>
      <x:c r="K30" s="58" t="n">
        <x:v>0.232586</x:v>
      </x:c>
      <x:c r="L30" s="58" t="n">
        <x:v>9.618577</x:v>
      </x:c>
      <x:c r="M30" s="58" t="n">
        <x:v>0.135607</x:v>
      </x:c>
      <x:c r="N30" s="58" t="str">
        <x:v>Y</x:v>
      </x:c>
      <x:c r="O30" s="58" t="n">
        <x:v>-9.605395</x:v>
      </x:c>
      <x:c r="P30" s="58" t="n">
        <x:v>2.052</x:v>
      </x:c>
      <x:c r="Q30" s="58" t="n">
        <x:v>-1.918</x:v>
      </x:c>
      <x:c r="R30" s="46" t="n">
        <x:v>0</x:v>
      </x:c>
      <x:c r="S30" s="46" t="n">
        <x:v>0</x:v>
      </x:c>
      <x:c r="T30" s="46" t="n">
        <x:v>2</x:v>
      </x:c>
      <x:c r="U30" s="46" t="n">
        <x:v>1</x:v>
      </x:c>
      <x:c r="V30" s="46" t="n">
        <x:v>1</x:v>
      </x:c>
      <x:c r="W30" s="46" t="n">
        <x:v>1</x:v>
      </x:c>
      <x:c r="X30" s="46" t="str">
        <x:v>VALID</x:v>
      </x:c>
    </x:row>
    <x:row r="31">
      <x:c r="A31" s="46" t="str">
        <x:v>ADXL2</x:v>
      </x:c>
      <x:c r="B31" s="46" t="str">
        <x:v>Hand/error</x:v>
      </x:c>
      <x:c r="C31" s="46" t="str">
        <x:v>-Y</x:v>
      </x:c>
      <x:c r="D31" s="46" t="n">
        <x:v>3</x:v>
      </x:c>
      <x:c r="E31" s="46" t="n">
        <x:v>3200</x:v>
      </x:c>
      <x:c r="F31" s="58" t="n">
        <x:v>-0.261889</x:v>
      </x:c>
      <x:c r="G31" s="58" t="n">
        <x:v>0.153624</x:v>
      </x:c>
      <x:c r="H31" s="58" t="n">
        <x:v>-9.600781</x:v>
      </x:c>
      <x:c r="I31" s="58" t="n">
        <x:v>0.13184</x:v>
      </x:c>
      <x:c r="J31" s="58" t="n">
        <x:v>0.293107</x:v>
      </x:c>
      <x:c r="K31" s="58" t="n">
        <x:v>0.228895</x:v>
      </x:c>
      <x:c r="L31" s="58" t="n">
        <x:v>9.612788</x:v>
      </x:c>
      <x:c r="M31" s="58" t="n">
        <x:v>0.130984</x:v>
      </x:c>
      <x:c r="N31" s="58" t="str">
        <x:v>Y</x:v>
      </x:c>
      <x:c r="O31" s="58" t="n">
        <x:v>-9.600781</x:v>
      </x:c>
      <x:c r="P31" s="58" t="n">
        <x:v>2.099</x:v>
      </x:c>
      <x:c r="Q31" s="58" t="n">
        <x:v>-1.977</x:v>
      </x:c>
      <x:c r="R31" s="46" t="n">
        <x:v>0</x:v>
      </x:c>
      <x:c r="S31" s="46" t="n">
        <x:v>0</x:v>
      </x:c>
      <x:c r="T31" s="46" t="n">
        <x:v>2</x:v>
      </x:c>
      <x:c r="U31" s="46" t="n">
        <x:v>1</x:v>
      </x:c>
      <x:c r="V31" s="46" t="n">
        <x:v>1</x:v>
      </x:c>
      <x:c r="W31" s="46" t="n">
        <x:v>1</x:v>
      </x:c>
      <x:c r="X31" s="46" t="str">
        <x:v>VALID</x:v>
      </x:c>
    </x:row>
    <x:row r="32">
      <x:c r="A32" s="46" t="str">
        <x:v>ADXL2</x:v>
      </x:c>
      <x:c r="B32" s="46" t="str">
        <x:v>Hand/error</x:v>
      </x:c>
      <x:c r="C32" s="46" t="str">
        <x:v>+Z</x:v>
      </x:c>
      <x:c r="D32" s="46" t="n">
        <x:v>1</x:v>
      </x:c>
      <x:c r="E32" s="46" t="n">
        <x:v>3200</x:v>
      </x:c>
      <x:c r="F32" s="58" t="n">
        <x:v>-0.00698</x:v>
      </x:c>
      <x:c r="G32" s="58" t="n">
        <x:v>0.133836</x:v>
      </x:c>
      <x:c r="H32" s="58" t="n">
        <x:v>0.263491</x:v>
      </x:c>
      <x:c r="I32" s="58" t="n">
        <x:v>0.227624</x:v>
      </x:c>
      <x:c r="J32" s="58" t="n">
        <x:v>11.231397</x:v>
      </x:c>
      <x:c r="K32" s="58" t="n">
        <x:v>0.259038</x:v>
      </x:c>
      <x:c r="L32" s="58" t="n">
        <x:v>11.237567</x:v>
      </x:c>
      <x:c r="M32" s="58" t="n">
        <x:v>0.260105</x:v>
      </x:c>
      <x:c r="N32" s="58" t="str">
        <x:v>Z</x:v>
      </x:c>
      <x:c r="O32" s="58" t="n">
        <x:v>11.231397</x:v>
      </x:c>
      <x:c r="P32" s="58" t="n">
        <x:v>14.528</x:v>
      </x:c>
      <x:c r="Q32" s="58" t="n">
        <x:v>14.591</x:v>
      </x:c>
      <x:c r="R32" s="46" t="n">
        <x:v>0</x:v>
      </x:c>
      <x:c r="S32" s="46" t="n">
        <x:v>0</x:v>
      </x:c>
      <x:c r="T32" s="46" t="n">
        <x:v>2</x:v>
      </x:c>
      <x:c r="U32" s="46" t="n">
        <x:v>1</x:v>
      </x:c>
      <x:c r="V32" s="46" t="n">
        <x:v>1</x:v>
      </x:c>
      <x:c r="W32" s="46" t="n">
        <x:v>1</x:v>
      </x:c>
      <x:c r="X32" s="46" t="str">
        <x:v>VALID</x:v>
      </x:c>
    </x:row>
    <x:row r="33">
      <x:c r="A33" s="46" t="str">
        <x:v>ADXL2</x:v>
      </x:c>
      <x:c r="B33" s="46" t="str">
        <x:v>Hand/error</x:v>
      </x:c>
      <x:c r="C33" s="46" t="str">
        <x:v>+Z</x:v>
      </x:c>
      <x:c r="D33" s="46" t="n">
        <x:v>2</x:v>
      </x:c>
      <x:c r="E33" s="46" t="n">
        <x:v>3200</x:v>
      </x:c>
      <x:c r="F33" s="58" t="n">
        <x:v>0.005713</x:v>
      </x:c>
      <x:c r="G33" s="58" t="n">
        <x:v>0.13404</x:v>
      </x:c>
      <x:c r="H33" s="58" t="n">
        <x:v>0.305944</x:v>
      </x:c>
      <x:c r="I33" s="58" t="n">
        <x:v>0.246224</x:v>
      </x:c>
      <x:c r="J33" s="58" t="n">
        <x:v>11.21813</x:v>
      </x:c>
      <x:c r="K33" s="58" t="n">
        <x:v>0.268194</x:v>
      </x:c>
      <x:c r="L33" s="58" t="n">
        <x:v>11.22577</x:v>
      </x:c>
      <x:c r="M33" s="58" t="n">
        <x:v>0.269568</x:v>
      </x:c>
      <x:c r="N33" s="58" t="str">
        <x:v>Z</x:v>
      </x:c>
      <x:c r="O33" s="58" t="n">
        <x:v>11.21813</x:v>
      </x:c>
      <x:c r="P33" s="58" t="n">
        <x:v>14.393</x:v>
      </x:c>
      <x:c r="Q33" s="58" t="n">
        <x:v>14.471</x:v>
      </x:c>
      <x:c r="R33" s="46" t="n">
        <x:v>0</x:v>
      </x:c>
      <x:c r="S33" s="46" t="n">
        <x:v>0</x:v>
      </x:c>
      <x:c r="T33" s="46" t="n">
        <x:v>2</x:v>
      </x:c>
      <x:c r="U33" s="46" t="n">
        <x:v>1</x:v>
      </x:c>
      <x:c r="V33" s="46" t="n">
        <x:v>1</x:v>
      </x:c>
      <x:c r="W33" s="46" t="n">
        <x:v>1</x:v>
      </x:c>
      <x:c r="X33" s="46" t="str">
        <x:v>VALID</x:v>
      </x:c>
    </x:row>
    <x:row r="34">
      <x:c r="A34" s="46" t="str">
        <x:v>ADXL2</x:v>
      </x:c>
      <x:c r="B34" s="46" t="str">
        <x:v>Hand/error</x:v>
      </x:c>
      <x:c r="C34" s="46" t="str">
        <x:v>+Z</x:v>
      </x:c>
      <x:c r="D34" s="46" t="n">
        <x:v>3</x:v>
      </x:c>
      <x:c r="E34" s="46" t="n">
        <x:v>3200</x:v>
      </x:c>
      <x:c r="F34" s="58" t="n">
        <x:v>0.011856</x:v>
      </x:c>
      <x:c r="G34" s="58" t="n">
        <x:v>0.130654</x:v>
      </x:c>
      <x:c r="H34" s="58" t="n">
        <x:v>0.370794</x:v>
      </x:c>
      <x:c r="I34" s="58" t="n">
        <x:v>0.202046</x:v>
      </x:c>
      <x:c r="J34" s="58" t="n">
        <x:v>11.201422</x:v>
      </x:c>
      <x:c r="K34" s="58" t="n">
        <x:v>0.258972</x:v>
      </x:c>
      <x:c r="L34" s="58" t="n">
        <x:v>11.210115</x:v>
      </x:c>
      <x:c r="M34" s="58" t="n">
        <x:v>0.260257</x:v>
      </x:c>
      <x:c r="N34" s="58" t="str">
        <x:v>Z</x:v>
      </x:c>
      <x:c r="O34" s="58" t="n">
        <x:v>11.201422</x:v>
      </x:c>
      <x:c r="P34" s="58" t="n">
        <x:v>14.223</x:v>
      </x:c>
      <x:c r="Q34" s="58" t="n">
        <x:v>14.311</x:v>
      </x:c>
      <x:c r="R34" s="46" t="n">
        <x:v>0</x:v>
      </x:c>
      <x:c r="S34" s="46" t="n">
        <x:v>0</x:v>
      </x:c>
      <x:c r="T34" s="46" t="n">
        <x:v>2</x:v>
      </x:c>
      <x:c r="U34" s="46" t="n">
        <x:v>1</x:v>
      </x:c>
      <x:c r="V34" s="46" t="n">
        <x:v>1</x:v>
      </x:c>
      <x:c r="W34" s="46" t="n">
        <x:v>1</x:v>
      </x:c>
      <x:c r="X34" s="46" t="str">
        <x:v>VALID</x:v>
      </x:c>
    </x:row>
    <x:row r="35">
      <x:c r="A35" s="46" t="str">
        <x:v>ADXL2</x:v>
      </x:c>
      <x:c r="B35" s="46" t="str">
        <x:v>Hand/error</x:v>
      </x:c>
      <x:c r="C35" s="46" t="str">
        <x:v>-Z</x:v>
      </x:c>
      <x:c r="D35" s="46" t="n">
        <x:v>1</x:v>
      </x:c>
      <x:c r="E35" s="46" t="n">
        <x:v>3200</x:v>
      </x:c>
      <x:c r="F35" s="58" t="n">
        <x:v>-0.331329</x:v>
      </x:c>
      <x:c r="G35" s="58" t="n">
        <x:v>0.143911</x:v>
      </x:c>
      <x:c r="H35" s="58" t="n">
        <x:v>-0.010852</x:v>
      </x:c>
      <x:c r="I35" s="58" t="n">
        <x:v>0.09991</x:v>
      </x:c>
      <x:c r="J35" s="58" t="n">
        <x:v>-8.177053</x:v>
      </x:c>
      <x:c r="K35" s="58" t="n">
        <x:v>0.22176</x:v>
      </x:c>
      <x:c r="L35" s="58" t="n">
        <x:v>8.185644</x:v>
      </x:c>
      <x:c r="M35" s="58" t="n">
        <x:v>0.221777</x:v>
      </x:c>
      <x:c r="N35" s="58" t="str">
        <x:v>Z</x:v>
      </x:c>
      <x:c r="O35" s="58" t="n">
        <x:v>-8.177053</x:v>
      </x:c>
      <x:c r="P35" s="58" t="n">
        <x:v>16.617</x:v>
      </x:c>
      <x:c r="Q35" s="58" t="n">
        <x:v>-16.53</x:v>
      </x:c>
      <x:c r="R35" s="46" t="n">
        <x:v>0</x:v>
      </x:c>
      <x:c r="S35" s="46" t="n">
        <x:v>0</x:v>
      </x:c>
      <x:c r="T35" s="46" t="n">
        <x:v>2</x:v>
      </x:c>
      <x:c r="U35" s="46" t="n">
        <x:v>1</x:v>
      </x:c>
      <x:c r="V35" s="46" t="n">
        <x:v>1</x:v>
      </x:c>
      <x:c r="W35" s="46" t="n">
        <x:v>1</x:v>
      </x:c>
      <x:c r="X35" s="46" t="str">
        <x:v>VALID</x:v>
      </x:c>
    </x:row>
    <x:row r="36">
      <x:c r="A36" s="46" t="str">
        <x:v>ADXL2</x:v>
      </x:c>
      <x:c r="B36" s="46" t="str">
        <x:v>Hand/error</x:v>
      </x:c>
      <x:c r="C36" s="46" t="str">
        <x:v>-Z</x:v>
      </x:c>
      <x:c r="D36" s="46" t="n">
        <x:v>2</x:v>
      </x:c>
      <x:c r="E36" s="46" t="n">
        <x:v>3200</x:v>
      </x:c>
      <x:c r="F36" s="58" t="n">
        <x:v>-0.342158</x:v>
      </x:c>
      <x:c r="G36" s="58" t="n">
        <x:v>0.145066</x:v>
      </x:c>
      <x:c r="H36" s="58" t="n">
        <x:v>-0.026031</x:v>
      </x:c>
      <x:c r="I36" s="58" t="n">
        <x:v>0.111099</x:v>
      </x:c>
      <x:c r="J36" s="58" t="n">
        <x:v>-8.175164</x:v>
      </x:c>
      <x:c r="K36" s="58" t="n">
        <x:v>0.216347</x:v>
      </x:c>
      <x:c r="L36" s="58" t="n">
        <x:v>8.18441</x:v>
      </x:c>
      <x:c r="M36" s="58" t="n">
        <x:v>0.216054</x:v>
      </x:c>
      <x:c r="N36" s="58" t="str">
        <x:v>Z</x:v>
      </x:c>
      <x:c r="O36" s="58" t="n">
        <x:v>-8.175164</x:v>
      </x:c>
      <x:c r="P36" s="58" t="n">
        <x:v>16.637</x:v>
      </x:c>
      <x:c r="Q36" s="58" t="n">
        <x:v>-16.542</x:v>
      </x:c>
      <x:c r="R36" s="46" t="n">
        <x:v>0</x:v>
      </x:c>
      <x:c r="S36" s="46" t="n">
        <x:v>0</x:v>
      </x:c>
      <x:c r="T36" s="46" t="n">
        <x:v>2</x:v>
      </x:c>
      <x:c r="U36" s="46" t="n">
        <x:v>1</x:v>
      </x:c>
      <x:c r="V36" s="46" t="n">
        <x:v>1</x:v>
      </x:c>
      <x:c r="W36" s="46" t="n">
        <x:v>1</x:v>
      </x:c>
      <x:c r="X36" s="46" t="str">
        <x:v>VALID</x:v>
      </x:c>
    </x:row>
    <x:row r="37">
      <x:c r="A37" s="46" t="str">
        <x:v>ADXL2</x:v>
      </x:c>
      <x:c r="B37" s="46" t="str">
        <x:v>Hand/error</x:v>
      </x:c>
      <x:c r="C37" s="46" t="str">
        <x:v>-Z</x:v>
      </x:c>
      <x:c r="D37" s="46" t="n">
        <x:v>3</x:v>
      </x:c>
      <x:c r="E37" s="46" t="n">
        <x:v>3200</x:v>
      </x:c>
      <x:c r="F37" s="58" t="n">
        <x:v>-0.342397</x:v>
      </x:c>
      <x:c r="G37" s="58" t="n">
        <x:v>0.140209</x:v>
      </x:c>
      <x:c r="H37" s="58" t="n">
        <x:v>-0.029999</x:v>
      </x:c>
      <x:c r="I37" s="58" t="n">
        <x:v>0.116046</x:v>
      </x:c>
      <x:c r="J37" s="58" t="n">
        <x:v>-8.162424</x:v>
      </x:c>
      <x:c r="K37" s="58" t="n">
        <x:v>0.212657</x:v>
      </x:c>
      <x:c r="L37" s="58" t="n">
        <x:v>8.171689</x:v>
      </x:c>
      <x:c r="M37" s="58" t="n">
        <x:v>0.212452</x:v>
      </x:c>
      <x:c r="N37" s="58" t="str">
        <x:v>Z</x:v>
      </x:c>
      <x:c r="O37" s="58" t="n">
        <x:v>-8.162424</x:v>
      </x:c>
      <x:c r="P37" s="58" t="n">
        <x:v>16.766</x:v>
      </x:c>
      <x:c r="Q37" s="58" t="n">
        <x:v>-16.672</x:v>
      </x:c>
      <x:c r="R37" s="46" t="n">
        <x:v>0</x:v>
      </x:c>
      <x:c r="S37" s="46" t="n">
        <x:v>0</x:v>
      </x:c>
      <x:c r="T37" s="46" t="n">
        <x:v>2</x:v>
      </x:c>
      <x:c r="U37" s="46" t="n">
        <x:v>1</x:v>
      </x:c>
      <x:c r="V37" s="46" t="n">
        <x:v>1</x:v>
      </x:c>
      <x:c r="W37" s="46" t="n">
        <x:v>1</x:v>
      </x:c>
      <x:c r="X37" s="46" t="str">
        <x:v>VALID</x:v>
      </x:c>
    </x:row>
    <x:row r="38">
      <x:c r="A38" s="46"/>
      <x:c r="B38" s="46"/>
      <x:c r="C38" s="46"/>
      <x:c r="D38" s="46"/>
      <x:c r="E38" s="46"/>
      <x:c r="F38" s="46"/>
      <x:c r="G38" s="46"/>
      <x:c r="H38" s="46"/>
      <x:c r="I38" s="46"/>
      <x:c r="J38" s="46"/>
      <x:c r="K38" s="46"/>
      <x:c r="L38" s="46"/>
      <x:c r="M38" s="46"/>
      <x:c r="N38" s="46"/>
      <x:c r="O38" s="46"/>
      <x:c r="P38" s="46"/>
      <x:c r="Q38" s="46"/>
      <x:c r="R38" s="46"/>
      <x:c r="S38" s="46"/>
      <x:c r="T38" s="46"/>
      <x:c r="U38" s="46"/>
      <x:c r="V38" s="46"/>
      <x:c r="W38" s="46"/>
      <x:c r="X38" s="46"/>
    </x:row>
    <x:row r="39">
      <x:c r="A39" s="46"/>
      <x:c r="B39" s="46"/>
      <x:c r="C39" s="46"/>
      <x:c r="D39" s="46"/>
      <x:c r="E39" s="46"/>
      <x:c r="F39" s="46"/>
      <x:c r="G39" s="46"/>
      <x:c r="H39" s="46"/>
      <x:c r="I39" s="46"/>
      <x:c r="J39" s="46"/>
      <x:c r="K39" s="46"/>
      <x:c r="L39" s="46"/>
      <x:c r="M39" s="46"/>
      <x:c r="N39" s="46"/>
      <x:c r="O39" s="46"/>
      <x:c r="P39" s="46"/>
      <x:c r="Q39" s="46"/>
      <x:c r="R39" s="46"/>
      <x:c r="S39" s="46"/>
      <x:c r="T39" s="46"/>
      <x:c r="U39" s="46"/>
      <x:c r="V39" s="46"/>
      <x:c r="W39" s="46"/>
      <x:c r="X39" s="46"/>
    </x:row>
    <x:row r="40">
      <x:c r="A40" s="46"/>
      <x:c r="B40" s="46"/>
      <x:c r="C40" s="46"/>
      <x:c r="D40" s="46"/>
      <x:c r="E40" s="46"/>
      <x:c r="F40" s="46"/>
      <x:c r="G40" s="46"/>
      <x:c r="H40" s="46"/>
      <x:c r="I40" s="46"/>
      <x:c r="J40" s="46"/>
      <x:c r="K40" s="46"/>
      <x:c r="L40" s="46"/>
      <x:c r="M40" s="46"/>
      <x:c r="N40" s="46"/>
      <x:c r="O40" s="46"/>
      <x:c r="P40" s="46"/>
      <x:c r="Q40" s="46"/>
      <x:c r="R40" s="46"/>
      <x:c r="S40" s="46"/>
      <x:c r="T40" s="46"/>
      <x:c r="U40" s="46"/>
      <x:c r="V40" s="46"/>
      <x:c r="W40" s="46"/>
      <x:c r="X40" s="46"/>
    </x:row>
    <x:row r="41">
      <x:c r="A41" s="46"/>
      <x:c r="B41" s="46"/>
      <x:c r="C41" s="46"/>
      <x:c r="D41" s="46"/>
      <x:c r="E41" s="46"/>
      <x:c r="F41" s="46"/>
      <x:c r="G41" s="46"/>
      <x:c r="H41" s="46"/>
      <x:c r="I41" s="46"/>
      <x:c r="J41" s="46"/>
      <x:c r="K41" s="46"/>
      <x:c r="L41" s="46"/>
      <x:c r="M41" s="46"/>
      <x:c r="N41" s="46"/>
      <x:c r="O41" s="46"/>
      <x:c r="P41" s="46"/>
      <x:c r="Q41" s="46"/>
      <x:c r="R41" s="46"/>
      <x:c r="S41" s="46"/>
      <x:c r="T41" s="46"/>
      <x:c r="U41" s="46"/>
      <x:c r="V41" s="46"/>
      <x:c r="W41" s="46"/>
      <x:c r="X41" s="46"/>
    </x:row>
    <x:row r="42">
      <x:c r="A42" s="46"/>
      <x:c r="B42" s="46"/>
      <x:c r="C42" s="46"/>
      <x:c r="D42" s="46"/>
      <x:c r="E42" s="46"/>
      <x:c r="F42" s="46"/>
      <x:c r="G42" s="46"/>
      <x:c r="H42" s="46"/>
      <x:c r="I42" s="46"/>
      <x:c r="J42" s="46"/>
      <x:c r="K42" s="46"/>
      <x:c r="L42" s="46"/>
      <x:c r="M42" s="46"/>
      <x:c r="N42" s="46"/>
      <x:c r="O42" s="46"/>
      <x:c r="P42" s="46"/>
      <x:c r="Q42" s="46"/>
      <x:c r="R42" s="46"/>
      <x:c r="S42" s="46"/>
      <x:c r="T42" s="46"/>
      <x:c r="U42" s="46"/>
      <x:c r="V42" s="46"/>
      <x:c r="W42" s="46"/>
      <x:c r="X42" s="46"/>
    </x:row>
    <x:row r="43">
      <x:c r="A43" s="46"/>
      <x:c r="B43" s="46"/>
      <x:c r="C43" s="46"/>
      <x:c r="D43" s="46"/>
      <x:c r="E43" s="46"/>
      <x:c r="F43" s="46"/>
      <x:c r="G43" s="46"/>
      <x:c r="H43" s="46"/>
      <x:c r="I43" s="46"/>
      <x:c r="J43" s="46"/>
      <x:c r="K43" s="46"/>
      <x:c r="L43" s="46"/>
      <x:c r="M43" s="46"/>
      <x:c r="N43" s="46"/>
      <x:c r="O43" s="46"/>
      <x:c r="P43" s="46"/>
      <x:c r="Q43" s="46"/>
      <x:c r="R43" s="46"/>
      <x:c r="S43" s="46"/>
      <x:c r="T43" s="46"/>
      <x:c r="U43" s="46"/>
      <x:c r="V43" s="46"/>
      <x:c r="W43" s="46"/>
      <x:c r="X43" s="46"/>
    </x:row>
    <x:row r="44">
      <x:c r="A44" s="46"/>
      <x:c r="B44" s="46"/>
      <x:c r="C44" s="46"/>
      <x:c r="D44" s="46"/>
      <x:c r="E44" s="46"/>
      <x:c r="F44" s="46"/>
      <x:c r="G44" s="46"/>
      <x:c r="H44" s="46"/>
      <x:c r="I44" s="46"/>
      <x:c r="J44" s="46"/>
      <x:c r="K44" s="46"/>
      <x:c r="L44" s="46"/>
      <x:c r="M44" s="46"/>
      <x:c r="N44" s="46"/>
      <x:c r="O44" s="46"/>
      <x:c r="P44" s="46"/>
      <x:c r="Q44" s="46"/>
      <x:c r="R44" s="46"/>
      <x:c r="S44" s="46"/>
      <x:c r="T44" s="46"/>
      <x:c r="U44" s="46"/>
      <x:c r="V44" s="46"/>
      <x:c r="W44" s="46"/>
      <x:c r="X44" s="46"/>
    </x:row>
    <x:row r="45">
      <x:c r="A45" s="46"/>
      <x:c r="B45" s="46"/>
      <x:c r="C45" s="46"/>
      <x:c r="D45" s="46"/>
      <x:c r="E45" s="46"/>
      <x:c r="F45" s="46"/>
      <x:c r="G45" s="46"/>
      <x:c r="H45" s="46"/>
      <x:c r="I45" s="46"/>
      <x:c r="J45" s="46"/>
      <x:c r="K45" s="46"/>
      <x:c r="L45" s="46"/>
      <x:c r="M45" s="46"/>
      <x:c r="N45" s="46"/>
      <x:c r="O45" s="46"/>
      <x:c r="P45" s="46"/>
      <x:c r="Q45" s="46"/>
      <x:c r="R45" s="46"/>
      <x:c r="S45" s="46"/>
      <x:c r="T45" s="46"/>
      <x:c r="U45" s="46"/>
      <x:c r="V45" s="46"/>
      <x:c r="W45" s="46"/>
      <x:c r="X45" s="46"/>
    </x:row>
    <x:row r="46">
      <x:c r="A46" s="46"/>
      <x:c r="B46" s="46"/>
      <x:c r="C46" s="46"/>
      <x:c r="D46" s="46"/>
      <x:c r="E46" s="46"/>
      <x:c r="F46" s="46"/>
      <x:c r="G46" s="46"/>
      <x:c r="H46" s="46"/>
      <x:c r="I46" s="46"/>
      <x:c r="J46" s="46"/>
      <x:c r="K46" s="46"/>
      <x:c r="L46" s="46"/>
      <x:c r="M46" s="46"/>
      <x:c r="N46" s="46"/>
      <x:c r="O46" s="46"/>
      <x:c r="P46" s="46"/>
      <x:c r="Q46" s="46"/>
      <x:c r="R46" s="46"/>
      <x:c r="S46" s="46"/>
      <x:c r="T46" s="46"/>
      <x:c r="U46" s="46"/>
      <x:c r="V46" s="46"/>
      <x:c r="W46" s="46"/>
      <x:c r="X46" s="46"/>
    </x:row>
    <x:row r="47">
      <x:c r="A47" s="46"/>
      <x:c r="B47" s="46"/>
      <x:c r="C47" s="46"/>
      <x:c r="D47" s="46"/>
      <x:c r="E47" s="46"/>
      <x:c r="F47" s="46"/>
      <x:c r="G47" s="46"/>
      <x:c r="H47" s="46"/>
      <x:c r="I47" s="46"/>
      <x:c r="J47" s="46"/>
      <x:c r="K47" s="46"/>
      <x:c r="L47" s="46"/>
      <x:c r="M47" s="46"/>
      <x:c r="N47" s="46"/>
      <x:c r="O47" s="46"/>
      <x:c r="P47" s="46"/>
      <x:c r="Q47" s="46"/>
      <x:c r="R47" s="46"/>
      <x:c r="S47" s="46"/>
      <x:c r="T47" s="46"/>
      <x:c r="U47" s="46"/>
      <x:c r="V47" s="46"/>
      <x:c r="W47" s="46"/>
      <x:c r="X47" s="46"/>
    </x:row>
    <x:row r="48">
      <x:c r="A48" s="46"/>
      <x:c r="B48" s="46"/>
      <x:c r="C48" s="46"/>
      <x:c r="D48" s="46"/>
      <x:c r="E48" s="46"/>
      <x:c r="F48" s="46"/>
      <x:c r="G48" s="46"/>
      <x:c r="H48" s="46"/>
      <x:c r="I48" s="46"/>
      <x:c r="J48" s="46"/>
      <x:c r="K48" s="46"/>
      <x:c r="L48" s="46"/>
      <x:c r="M48" s="46"/>
      <x:c r="N48" s="46"/>
      <x:c r="O48" s="46"/>
      <x:c r="P48" s="46"/>
      <x:c r="Q48" s="46"/>
      <x:c r="R48" s="46"/>
      <x:c r="S48" s="46"/>
      <x:c r="T48" s="46"/>
      <x:c r="U48" s="46"/>
      <x:c r="V48" s="46"/>
      <x:c r="W48" s="46"/>
      <x:c r="X48" s="46"/>
    </x:row>
    <x:row r="49">
      <x:c r="A49" s="46"/>
      <x:c r="B49" s="46"/>
      <x:c r="C49" s="46"/>
      <x:c r="D49" s="46"/>
      <x:c r="E49" s="46"/>
      <x:c r="F49" s="46"/>
      <x:c r="G49" s="46"/>
      <x:c r="H49" s="46"/>
      <x:c r="I49" s="46"/>
      <x:c r="J49" s="46"/>
      <x:c r="K49" s="46"/>
      <x:c r="L49" s="46"/>
      <x:c r="M49" s="46"/>
      <x:c r="N49" s="46"/>
      <x:c r="O49" s="46"/>
      <x:c r="P49" s="46"/>
      <x:c r="Q49" s="46"/>
      <x:c r="R49" s="46"/>
      <x:c r="S49" s="46"/>
      <x:c r="T49" s="46"/>
      <x:c r="U49" s="46"/>
      <x:c r="V49" s="46"/>
      <x:c r="W49" s="46"/>
      <x:c r="X49" s="46"/>
    </x:row>
    <x:row r="50">
      <x:c r="A50" s="46"/>
      <x:c r="B50" s="46"/>
      <x:c r="C50" s="46"/>
      <x:c r="D50" s="46"/>
      <x:c r="E50" s="46"/>
      <x:c r="F50" s="46"/>
      <x:c r="G50" s="46"/>
      <x:c r="H50" s="46"/>
      <x:c r="I50" s="46"/>
      <x:c r="J50" s="46"/>
      <x:c r="K50" s="46"/>
      <x:c r="L50" s="46"/>
      <x:c r="M50" s="46"/>
      <x:c r="N50" s="46"/>
      <x:c r="O50" s="46"/>
      <x:c r="P50" s="46"/>
      <x:c r="Q50" s="46"/>
      <x:c r="R50" s="46"/>
      <x:c r="S50" s="46"/>
      <x:c r="T50" s="46"/>
      <x:c r="U50" s="46"/>
      <x:c r="V50" s="46"/>
      <x:c r="W50" s="46"/>
      <x:c r="X50" s="46"/>
    </x:row>
    <x:row r="51">
      <x:c r="A51" s="46"/>
      <x:c r="B51" s="46"/>
      <x:c r="C51" s="46"/>
      <x:c r="D51" s="46"/>
      <x:c r="E51" s="46"/>
      <x:c r="F51" s="46"/>
      <x:c r="G51" s="46"/>
      <x:c r="H51" s="46"/>
      <x:c r="I51" s="46"/>
      <x:c r="J51" s="46"/>
      <x:c r="K51" s="46"/>
      <x:c r="L51" s="46"/>
      <x:c r="M51" s="46"/>
      <x:c r="N51" s="46"/>
      <x:c r="O51" s="46"/>
      <x:c r="P51" s="46"/>
      <x:c r="Q51" s="46"/>
      <x:c r="R51" s="46"/>
      <x:c r="S51" s="46"/>
      <x:c r="T51" s="46"/>
      <x:c r="U51" s="46"/>
      <x:c r="V51" s="46"/>
      <x:c r="W51" s="46"/>
      <x:c r="X51" s="46"/>
    </x:row>
    <x:row r="52">
      <x:c r="A52" s="46"/>
      <x:c r="B52" s="46"/>
      <x:c r="C52" s="46"/>
      <x:c r="D52" s="46"/>
      <x:c r="E52" s="46"/>
      <x:c r="F52" s="46"/>
      <x:c r="G52" s="46"/>
      <x:c r="H52" s="46"/>
      <x:c r="I52" s="46"/>
      <x:c r="J52" s="46"/>
      <x:c r="K52" s="46"/>
      <x:c r="L52" s="46"/>
      <x:c r="M52" s="46"/>
      <x:c r="N52" s="46"/>
      <x:c r="O52" s="46"/>
      <x:c r="P52" s="46"/>
      <x:c r="Q52" s="46"/>
      <x:c r="R52" s="46"/>
      <x:c r="S52" s="46"/>
      <x:c r="T52" s="46"/>
      <x:c r="U52" s="46"/>
      <x:c r="V52" s="46"/>
      <x:c r="W52" s="46"/>
      <x:c r="X52" s="46"/>
    </x:row>
    <x:row r="53">
      <x:c r="A53" s="46"/>
      <x:c r="B53" s="46"/>
      <x:c r="C53" s="46"/>
      <x:c r="D53" s="46"/>
      <x:c r="E53" s="46"/>
      <x:c r="F53" s="46"/>
      <x:c r="G53" s="46"/>
      <x:c r="H53" s="46"/>
      <x:c r="I53" s="46"/>
      <x:c r="J53" s="46"/>
      <x:c r="K53" s="46"/>
      <x:c r="L53" s="46"/>
      <x:c r="M53" s="46"/>
      <x:c r="N53" s="46"/>
      <x:c r="O53" s="46"/>
      <x:c r="P53" s="46"/>
      <x:c r="Q53" s="46"/>
      <x:c r="R53" s="46"/>
      <x:c r="S53" s="46"/>
      <x:c r="T53" s="46"/>
      <x:c r="U53" s="46"/>
      <x:c r="V53" s="46"/>
      <x:c r="W53" s="46"/>
      <x:c r="X53" s="46"/>
    </x:row>
    <x:row r="54">
      <x:c r="A54" s="46"/>
      <x:c r="B54" s="46"/>
      <x:c r="C54" s="46"/>
      <x:c r="D54" s="46"/>
      <x:c r="E54" s="46"/>
      <x:c r="F54" s="46"/>
      <x:c r="G54" s="46"/>
      <x:c r="H54" s="46"/>
      <x:c r="I54" s="46"/>
      <x:c r="J54" s="46"/>
      <x:c r="K54" s="46"/>
      <x:c r="L54" s="46"/>
      <x:c r="M54" s="46"/>
      <x:c r="N54" s="46"/>
      <x:c r="O54" s="46"/>
      <x:c r="P54" s="46"/>
      <x:c r="Q54" s="46"/>
      <x:c r="R54" s="46"/>
      <x:c r="S54" s="46"/>
      <x:c r="T54" s="46"/>
      <x:c r="U54" s="46"/>
      <x:c r="V54" s="46"/>
      <x:c r="W54" s="46"/>
      <x:c r="X54" s="46"/>
    </x:row>
    <x:row r="55">
      <x:c r="A55" s="46"/>
      <x:c r="B55" s="46"/>
      <x:c r="C55" s="46"/>
      <x:c r="D55" s="46"/>
      <x:c r="E55" s="46"/>
      <x:c r="F55" s="46"/>
      <x:c r="G55" s="46"/>
      <x:c r="H55" s="46"/>
      <x:c r="I55" s="46"/>
      <x:c r="J55" s="46"/>
      <x:c r="K55" s="46"/>
      <x:c r="L55" s="46"/>
      <x:c r="M55" s="46"/>
      <x:c r="N55" s="46"/>
      <x:c r="O55" s="46"/>
      <x:c r="P55" s="46"/>
      <x:c r="Q55" s="46"/>
      <x:c r="R55" s="46"/>
      <x:c r="S55" s="46"/>
      <x:c r="T55" s="46"/>
      <x:c r="U55" s="46"/>
      <x:c r="V55" s="46"/>
      <x:c r="W55" s="46"/>
      <x:c r="X55" s="46"/>
    </x:row>
    <x:row r="56">
      <x:c r="A56" s="46"/>
      <x:c r="B56" s="46"/>
      <x:c r="C56" s="46"/>
      <x:c r="D56" s="46"/>
      <x:c r="E56" s="46"/>
      <x:c r="F56" s="46"/>
      <x:c r="G56" s="46"/>
      <x:c r="H56" s="46"/>
      <x:c r="I56" s="46"/>
      <x:c r="J56" s="46"/>
      <x:c r="K56" s="46"/>
      <x:c r="L56" s="46"/>
      <x:c r="M56" s="46"/>
      <x:c r="N56" s="46"/>
      <x:c r="O56" s="46"/>
      <x:c r="P56" s="46"/>
      <x:c r="Q56" s="46"/>
      <x:c r="R56" s="46"/>
      <x:c r="S56" s="46"/>
      <x:c r="T56" s="46"/>
      <x:c r="U56" s="46"/>
      <x:c r="V56" s="46"/>
      <x:c r="W56" s="46"/>
      <x:c r="X56" s="46"/>
    </x:row>
    <x:row r="57">
      <x:c r="A57" s="46"/>
      <x:c r="B57" s="46"/>
      <x:c r="C57" s="46"/>
      <x:c r="D57" s="46"/>
      <x:c r="E57" s="46"/>
      <x:c r="F57" s="46"/>
      <x:c r="G57" s="46"/>
      <x:c r="H57" s="46"/>
      <x:c r="I57" s="46"/>
      <x:c r="J57" s="46"/>
      <x:c r="K57" s="46"/>
      <x:c r="L57" s="46"/>
      <x:c r="M57" s="46"/>
      <x:c r="N57" s="46"/>
      <x:c r="O57" s="46"/>
      <x:c r="P57" s="46"/>
      <x:c r="Q57" s="46"/>
      <x:c r="R57" s="46"/>
      <x:c r="S57" s="46"/>
      <x:c r="T57" s="46"/>
      <x:c r="U57" s="46"/>
      <x:c r="V57" s="46"/>
      <x:c r="W57" s="46"/>
      <x:c r="X57" s="46"/>
    </x:row>
    <x:row r="58">
      <x:c r="A58" s="46"/>
      <x:c r="B58" s="46"/>
      <x:c r="C58" s="46"/>
      <x:c r="D58" s="46"/>
      <x:c r="E58" s="46"/>
      <x:c r="F58" s="46"/>
      <x:c r="G58" s="46"/>
      <x:c r="H58" s="46"/>
      <x:c r="I58" s="46"/>
      <x:c r="J58" s="46"/>
      <x:c r="K58" s="46"/>
      <x:c r="L58" s="46"/>
      <x:c r="M58" s="46"/>
      <x:c r="N58" s="46"/>
      <x:c r="O58" s="46"/>
      <x:c r="P58" s="46"/>
      <x:c r="Q58" s="46"/>
      <x:c r="R58" s="46"/>
      <x:c r="S58" s="46"/>
      <x:c r="T58" s="46"/>
      <x:c r="U58" s="46"/>
      <x:c r="V58" s="46"/>
      <x:c r="W58" s="46"/>
      <x:c r="X58" s="46"/>
    </x:row>
    <x:row r="59">
      <x:c r="A59" s="46"/>
      <x:c r="B59" s="46"/>
      <x:c r="C59" s="46"/>
      <x:c r="D59" s="46"/>
      <x:c r="E59" s="46"/>
      <x:c r="F59" s="46"/>
      <x:c r="G59" s="46"/>
      <x:c r="H59" s="46"/>
      <x:c r="I59" s="46"/>
      <x:c r="J59" s="46"/>
      <x:c r="K59" s="46"/>
      <x:c r="L59" s="46"/>
      <x:c r="M59" s="46"/>
      <x:c r="N59" s="46"/>
      <x:c r="O59" s="46"/>
      <x:c r="P59" s="46"/>
      <x:c r="Q59" s="46"/>
      <x:c r="R59" s="46"/>
      <x:c r="S59" s="46"/>
      <x:c r="T59" s="46"/>
      <x:c r="U59" s="46"/>
      <x:c r="V59" s="46"/>
      <x:c r="W59" s="46"/>
      <x:c r="X59" s="46"/>
    </x:row>
    <x:row r="60">
      <x:c r="A60" s="46"/>
      <x:c r="B60" s="46"/>
      <x:c r="C60" s="46"/>
      <x:c r="D60" s="46"/>
      <x:c r="E60" s="46"/>
      <x:c r="F60" s="46"/>
      <x:c r="G60" s="46"/>
      <x:c r="H60" s="46"/>
      <x:c r="I60" s="46"/>
      <x:c r="J60" s="46"/>
      <x:c r="K60" s="46"/>
      <x:c r="L60" s="46"/>
      <x:c r="M60" s="46"/>
      <x:c r="N60" s="46"/>
      <x:c r="O60" s="46"/>
      <x:c r="P60" s="46"/>
      <x:c r="Q60" s="46"/>
      <x:c r="R60" s="46"/>
      <x:c r="S60" s="46"/>
      <x:c r="T60" s="46"/>
      <x:c r="U60" s="46"/>
      <x:c r="V60" s="46"/>
      <x:c r="W60" s="46"/>
      <x:c r="X60" s="46"/>
    </x:row>
    <x:row r="61">
      <x:c r="A61" s="46"/>
      <x:c r="B61" s="46"/>
      <x:c r="C61" s="46"/>
      <x:c r="D61" s="46"/>
      <x:c r="E61" s="46"/>
      <x:c r="F61" s="46"/>
      <x:c r="G61" s="46"/>
      <x:c r="H61" s="46"/>
      <x:c r="I61" s="46"/>
      <x:c r="J61" s="46"/>
      <x:c r="K61" s="46"/>
      <x:c r="L61" s="46"/>
      <x:c r="M61" s="46"/>
      <x:c r="N61" s="46"/>
      <x:c r="O61" s="46"/>
      <x:c r="P61" s="46"/>
      <x:c r="Q61" s="46"/>
      <x:c r="R61" s="46"/>
      <x:c r="S61" s="46"/>
      <x:c r="T61" s="46"/>
      <x:c r="U61" s="46"/>
      <x:c r="V61" s="46"/>
      <x:c r="W61" s="46"/>
      <x:c r="X61" s="46"/>
    </x:row>
    <x:row r="62">
      <x:c r="A62" s="46"/>
      <x:c r="B62" s="46"/>
      <x:c r="C62" s="46"/>
      <x:c r="D62" s="46"/>
      <x:c r="E62" s="46"/>
      <x:c r="F62" s="46"/>
      <x:c r="G62" s="46"/>
      <x:c r="H62" s="46"/>
      <x:c r="I62" s="46"/>
      <x:c r="J62" s="46"/>
      <x:c r="K62" s="46"/>
      <x:c r="L62" s="46"/>
      <x:c r="M62" s="46"/>
      <x:c r="N62" s="46"/>
      <x:c r="O62" s="46"/>
      <x:c r="P62" s="46"/>
      <x:c r="Q62" s="46"/>
      <x:c r="R62" s="46"/>
      <x:c r="S62" s="46"/>
      <x:c r="T62" s="46"/>
      <x:c r="U62" s="46"/>
      <x:c r="V62" s="46"/>
      <x:c r="W62" s="46"/>
      <x:c r="X62" s="46"/>
    </x:row>
    <x:row r="63">
      <x:c r="A63" s="46"/>
      <x:c r="B63" s="46"/>
      <x:c r="C63" s="46"/>
      <x:c r="D63" s="46"/>
      <x:c r="E63" s="46"/>
      <x:c r="F63" s="46"/>
      <x:c r="G63" s="46"/>
      <x:c r="H63" s="46"/>
      <x:c r="I63" s="46"/>
      <x:c r="J63" s="46"/>
      <x:c r="K63" s="46"/>
      <x:c r="L63" s="46"/>
      <x:c r="M63" s="46"/>
      <x:c r="N63" s="46"/>
      <x:c r="O63" s="46"/>
      <x:c r="P63" s="46"/>
      <x:c r="Q63" s="46"/>
      <x:c r="R63" s="46"/>
      <x:c r="S63" s="46"/>
      <x:c r="T63" s="46"/>
      <x:c r="U63" s="46"/>
      <x:c r="V63" s="46"/>
      <x:c r="W63" s="46"/>
      <x:c r="X63" s="46"/>
    </x:row>
    <x:row r="64">
      <x:c r="A64" s="46"/>
      <x:c r="B64" s="46"/>
      <x:c r="C64" s="46"/>
      <x:c r="D64" s="46"/>
      <x:c r="E64" s="46"/>
      <x:c r="F64" s="46"/>
      <x:c r="G64" s="46"/>
      <x:c r="H64" s="46"/>
      <x:c r="I64" s="46"/>
      <x:c r="J64" s="46"/>
      <x:c r="K64" s="46"/>
      <x:c r="L64" s="46"/>
      <x:c r="M64" s="46"/>
      <x:c r="N64" s="46"/>
      <x:c r="O64" s="46"/>
      <x:c r="P64" s="46"/>
      <x:c r="Q64" s="46"/>
      <x:c r="R64" s="46"/>
      <x:c r="S64" s="46"/>
      <x:c r="T64" s="46"/>
      <x:c r="U64" s="46"/>
      <x:c r="V64" s="46"/>
      <x:c r="W64" s="46"/>
      <x:c r="X64" s="46"/>
    </x:row>
    <x:row r="65">
      <x:c r="A65" s="46"/>
      <x:c r="B65" s="46"/>
      <x:c r="C65" s="46"/>
      <x:c r="D65" s="46"/>
      <x:c r="E65" s="46"/>
      <x:c r="F65" s="46"/>
      <x:c r="G65" s="46"/>
      <x:c r="H65" s="46"/>
      <x:c r="I65" s="46"/>
      <x:c r="J65" s="46"/>
      <x:c r="K65" s="46"/>
      <x:c r="L65" s="46"/>
      <x:c r="M65" s="46"/>
      <x:c r="N65" s="46"/>
      <x:c r="O65" s="46"/>
      <x:c r="P65" s="46"/>
      <x:c r="Q65" s="46"/>
      <x:c r="R65" s="46"/>
      <x:c r="S65" s="46"/>
      <x:c r="T65" s="46"/>
      <x:c r="U65" s="46"/>
      <x:c r="V65" s="46"/>
      <x:c r="W65" s="46"/>
      <x:c r="X65" s="46"/>
    </x:row>
    <x:row r="66">
      <x:c r="A66" s="46"/>
      <x:c r="B66" s="46"/>
      <x:c r="C66" s="46"/>
      <x:c r="D66" s="46"/>
      <x:c r="E66" s="46"/>
      <x:c r="F66" s="46"/>
      <x:c r="G66" s="46"/>
      <x:c r="H66" s="46"/>
      <x:c r="I66" s="46"/>
      <x:c r="J66" s="46"/>
      <x:c r="K66" s="46"/>
      <x:c r="L66" s="46"/>
      <x:c r="M66" s="46"/>
      <x:c r="N66" s="46"/>
      <x:c r="O66" s="46"/>
      <x:c r="P66" s="46"/>
      <x:c r="Q66" s="46"/>
      <x:c r="R66" s="46"/>
      <x:c r="S66" s="46"/>
      <x:c r="T66" s="46"/>
      <x:c r="U66" s="46"/>
      <x:c r="V66" s="46"/>
      <x:c r="W66" s="46"/>
      <x:c r="X66" s="46"/>
    </x:row>
    <x:row r="67">
      <x:c r="A67" s="46"/>
      <x:c r="B67" s="46"/>
      <x:c r="C67" s="46"/>
      <x:c r="D67" s="46"/>
      <x:c r="E67" s="46"/>
      <x:c r="F67" s="46"/>
      <x:c r="G67" s="46"/>
      <x:c r="H67" s="46"/>
      <x:c r="I67" s="46"/>
      <x:c r="J67" s="46"/>
      <x:c r="K67" s="46"/>
      <x:c r="L67" s="46"/>
      <x:c r="M67" s="46"/>
      <x:c r="N67" s="46"/>
      <x:c r="O67" s="46"/>
      <x:c r="P67" s="46"/>
      <x:c r="Q67" s="46"/>
      <x:c r="R67" s="46"/>
      <x:c r="S67" s="46"/>
      <x:c r="T67" s="46"/>
      <x:c r="U67" s="46"/>
      <x:c r="V67" s="46"/>
      <x:c r="W67" s="46"/>
      <x:c r="X67" s="46"/>
    </x:row>
    <x:row r="68">
      <x:c r="A68" s="46"/>
      <x:c r="B68" s="46"/>
      <x:c r="C68" s="46"/>
      <x:c r="D68" s="46"/>
      <x:c r="E68" s="46"/>
      <x:c r="F68" s="46"/>
      <x:c r="G68" s="46"/>
      <x:c r="H68" s="46"/>
      <x:c r="I68" s="46"/>
      <x:c r="J68" s="46"/>
      <x:c r="K68" s="46"/>
      <x:c r="L68" s="46"/>
      <x:c r="M68" s="46"/>
      <x:c r="N68" s="46"/>
      <x:c r="O68" s="46"/>
      <x:c r="P68" s="46"/>
      <x:c r="Q68" s="46"/>
      <x:c r="R68" s="46"/>
      <x:c r="S68" s="46"/>
      <x:c r="T68" s="46"/>
      <x:c r="U68" s="46"/>
      <x:c r="V68" s="46"/>
      <x:c r="W68" s="46"/>
      <x:c r="X68" s="46"/>
    </x:row>
    <x:row r="69">
      <x:c r="A69" s="46"/>
      <x:c r="B69" s="46"/>
      <x:c r="C69" s="46"/>
      <x:c r="D69" s="46"/>
      <x:c r="E69" s="46"/>
      <x:c r="F69" s="46"/>
      <x:c r="G69" s="46"/>
      <x:c r="H69" s="46"/>
      <x:c r="I69" s="46"/>
      <x:c r="J69" s="46"/>
      <x:c r="K69" s="46"/>
      <x:c r="L69" s="46"/>
      <x:c r="M69" s="46"/>
      <x:c r="N69" s="46"/>
      <x:c r="O69" s="46"/>
      <x:c r="P69" s="46"/>
      <x:c r="Q69" s="46"/>
      <x:c r="R69" s="46"/>
      <x:c r="S69" s="46"/>
      <x:c r="T69" s="46"/>
      <x:c r="U69" s="46"/>
      <x:c r="V69" s="46"/>
      <x:c r="W69" s="46"/>
      <x:c r="X69" s="46"/>
    </x:row>
    <x:row r="70">
      <x:c r="A70" s="46"/>
      <x:c r="B70" s="46"/>
      <x:c r="C70" s="46"/>
      <x:c r="D70" s="46"/>
      <x:c r="E70" s="46"/>
      <x:c r="F70" s="46"/>
      <x:c r="G70" s="46"/>
      <x:c r="H70" s="46"/>
      <x:c r="I70" s="46"/>
      <x:c r="J70" s="46"/>
      <x:c r="K70" s="46"/>
      <x:c r="L70" s="46"/>
      <x:c r="M70" s="46"/>
      <x:c r="N70" s="46"/>
      <x:c r="O70" s="46"/>
      <x:c r="P70" s="46"/>
      <x:c r="Q70" s="46"/>
      <x:c r="R70" s="46"/>
      <x:c r="S70" s="46"/>
      <x:c r="T70" s="46"/>
      <x:c r="U70" s="46"/>
      <x:c r="V70" s="46"/>
      <x:c r="W70" s="46"/>
      <x:c r="X70" s="46"/>
    </x:row>
    <x:row r="71">
      <x:c r="A71" s="46"/>
      <x:c r="B71" s="46"/>
      <x:c r="C71" s="46"/>
      <x:c r="D71" s="46"/>
      <x:c r="E71" s="46"/>
      <x:c r="F71" s="46"/>
      <x:c r="G71" s="46"/>
      <x:c r="H71" s="46"/>
      <x:c r="I71" s="46"/>
      <x:c r="J71" s="46"/>
      <x:c r="K71" s="46"/>
      <x:c r="L71" s="46"/>
      <x:c r="M71" s="46"/>
      <x:c r="N71" s="46"/>
      <x:c r="O71" s="46"/>
      <x:c r="P71" s="46"/>
      <x:c r="Q71" s="46"/>
      <x:c r="R71" s="46"/>
      <x:c r="S71" s="46"/>
      <x:c r="T71" s="46"/>
      <x:c r="U71" s="46"/>
      <x:c r="V71" s="46"/>
      <x:c r="W71" s="46"/>
      <x:c r="X71" s="46"/>
    </x:row>
    <x:row r="72">
      <x:c r="A72" s="46"/>
      <x:c r="B72" s="46"/>
      <x:c r="C72" s="46"/>
      <x:c r="D72" s="46"/>
      <x:c r="E72" s="46"/>
      <x:c r="F72" s="46"/>
      <x:c r="G72" s="46"/>
      <x:c r="H72" s="46"/>
      <x:c r="I72" s="46"/>
      <x:c r="J72" s="46"/>
      <x:c r="K72" s="46"/>
      <x:c r="L72" s="46"/>
      <x:c r="M72" s="46"/>
      <x:c r="N72" s="46"/>
      <x:c r="O72" s="46"/>
      <x:c r="P72" s="46"/>
      <x:c r="Q72" s="46"/>
      <x:c r="R72" s="46"/>
      <x:c r="S72" s="46"/>
      <x:c r="T72" s="46"/>
      <x:c r="U72" s="46"/>
      <x:c r="V72" s="46"/>
      <x:c r="W72" s="46"/>
      <x:c r="X72" s="46"/>
    </x:row>
    <x:row r="73">
      <x:c r="A73" s="46"/>
      <x:c r="B73" s="46"/>
      <x:c r="C73" s="46"/>
      <x:c r="D73" s="46"/>
      <x:c r="E73" s="46"/>
      <x:c r="F73" s="46"/>
      <x:c r="G73" s="46"/>
      <x:c r="H73" s="46"/>
      <x:c r="I73" s="46"/>
      <x:c r="J73" s="46"/>
      <x:c r="K73" s="46"/>
      <x:c r="L73" s="46"/>
      <x:c r="M73" s="46"/>
      <x:c r="N73" s="46"/>
      <x:c r="O73" s="46"/>
      <x:c r="P73" s="46"/>
      <x:c r="Q73" s="46"/>
      <x:c r="R73" s="46"/>
      <x:c r="S73" s="46"/>
      <x:c r="T73" s="46"/>
      <x:c r="U73" s="46"/>
      <x:c r="V73" s="46"/>
      <x:c r="W73" s="46"/>
      <x:c r="X73" s="46"/>
    </x:row>
    <x:row r="74">
      <x:c r="A74" s="46"/>
      <x:c r="B74" s="46"/>
      <x:c r="C74" s="46"/>
      <x:c r="D74" s="46"/>
      <x:c r="E74" s="46"/>
      <x:c r="F74" s="46"/>
      <x:c r="G74" s="46"/>
      <x:c r="H74" s="46"/>
      <x:c r="I74" s="46"/>
      <x:c r="J74" s="46"/>
      <x:c r="K74" s="46"/>
      <x:c r="L74" s="46"/>
      <x:c r="M74" s="46"/>
      <x:c r="N74" s="46"/>
      <x:c r="O74" s="46"/>
      <x:c r="P74" s="46"/>
      <x:c r="Q74" s="46"/>
      <x:c r="R74" s="46"/>
      <x:c r="S74" s="46"/>
      <x:c r="T74" s="46"/>
      <x:c r="U74" s="46"/>
      <x:c r="V74" s="46"/>
      <x:c r="W74" s="46"/>
      <x:c r="X74" s="46"/>
    </x:row>
    <x:row r="75">
      <x:c r="A75" s="46"/>
      <x:c r="B75" s="46"/>
      <x:c r="C75" s="46"/>
      <x:c r="D75" s="46"/>
      <x:c r="E75" s="46"/>
      <x:c r="F75" s="46"/>
      <x:c r="G75" s="46"/>
      <x:c r="H75" s="46"/>
      <x:c r="I75" s="46"/>
      <x:c r="J75" s="46"/>
      <x:c r="K75" s="46"/>
      <x:c r="L75" s="46"/>
      <x:c r="M75" s="46"/>
      <x:c r="N75" s="46"/>
      <x:c r="O75" s="46"/>
      <x:c r="P75" s="46"/>
      <x:c r="Q75" s="46"/>
      <x:c r="R75" s="46"/>
      <x:c r="S75" s="46"/>
      <x:c r="T75" s="46"/>
      <x:c r="U75" s="46"/>
      <x:c r="V75" s="46"/>
      <x:c r="W75" s="46"/>
      <x:c r="X75" s="46"/>
    </x:row>
    <x:row r="76">
      <x:c r="A76" s="46"/>
      <x:c r="B76" s="46"/>
      <x:c r="C76" s="46"/>
      <x:c r="D76" s="46"/>
      <x:c r="E76" s="46"/>
      <x:c r="F76" s="46"/>
      <x:c r="G76" s="46"/>
      <x:c r="H76" s="46"/>
      <x:c r="I76" s="46"/>
      <x:c r="J76" s="46"/>
      <x:c r="K76" s="46"/>
      <x:c r="L76" s="46"/>
      <x:c r="M76" s="46"/>
      <x:c r="N76" s="46"/>
      <x:c r="O76" s="46"/>
      <x:c r="P76" s="46"/>
      <x:c r="Q76" s="46"/>
      <x:c r="R76" s="46"/>
      <x:c r="S76" s="46"/>
      <x:c r="T76" s="46"/>
      <x:c r="U76" s="46"/>
      <x:c r="V76" s="46"/>
      <x:c r="W76" s="46"/>
      <x:c r="X76" s="46"/>
    </x:row>
    <x:row r="77">
      <x:c r="A77" s="46"/>
      <x:c r="B77" s="46"/>
      <x:c r="C77" s="46"/>
      <x:c r="D77" s="46"/>
      <x:c r="E77" s="46"/>
      <x:c r="F77" s="46"/>
      <x:c r="G77" s="46"/>
      <x:c r="H77" s="46"/>
      <x:c r="I77" s="46"/>
      <x:c r="J77" s="46"/>
      <x:c r="K77" s="46"/>
      <x:c r="L77" s="46"/>
      <x:c r="M77" s="46"/>
      <x:c r="N77" s="46"/>
      <x:c r="O77" s="46"/>
      <x:c r="P77" s="46"/>
      <x:c r="Q77" s="46"/>
      <x:c r="R77" s="46"/>
      <x:c r="S77" s="46"/>
      <x:c r="T77" s="46"/>
      <x:c r="U77" s="46"/>
      <x:c r="V77" s="46"/>
      <x:c r="W77" s="46"/>
      <x:c r="X77" s="46"/>
    </x:row>
    <x:row r="78">
      <x:c r="A78" s="46"/>
      <x:c r="B78" s="46"/>
      <x:c r="C78" s="46"/>
      <x:c r="D78" s="46"/>
      <x:c r="E78" s="46"/>
      <x:c r="F78" s="46"/>
      <x:c r="G78" s="46"/>
      <x:c r="H78" s="46"/>
      <x:c r="I78" s="46"/>
      <x:c r="J78" s="46"/>
      <x:c r="K78" s="46"/>
      <x:c r="L78" s="46"/>
      <x:c r="M78" s="46"/>
      <x:c r="N78" s="46"/>
      <x:c r="O78" s="46"/>
      <x:c r="P78" s="46"/>
      <x:c r="Q78" s="46"/>
      <x:c r="R78" s="46"/>
      <x:c r="S78" s="46"/>
      <x:c r="T78" s="46"/>
      <x:c r="U78" s="46"/>
      <x:c r="V78" s="46"/>
      <x:c r="W78" s="46"/>
      <x:c r="X78" s="46"/>
    </x:row>
    <x:row r="79">
      <x:c r="A79" s="46"/>
      <x:c r="B79" s="46"/>
      <x:c r="C79" s="46"/>
      <x:c r="D79" s="46"/>
      <x:c r="E79" s="46"/>
      <x:c r="F79" s="46"/>
      <x:c r="G79" s="46"/>
      <x:c r="H79" s="46"/>
      <x:c r="I79" s="46"/>
      <x:c r="J79" s="46"/>
      <x:c r="K79" s="46"/>
      <x:c r="L79" s="46"/>
      <x:c r="M79" s="46"/>
      <x:c r="N79" s="46"/>
      <x:c r="O79" s="46"/>
      <x:c r="P79" s="46"/>
      <x:c r="Q79" s="46"/>
      <x:c r="R79" s="46"/>
      <x:c r="S79" s="46"/>
      <x:c r="T79" s="46"/>
      <x:c r="U79" s="46"/>
      <x:c r="V79" s="46"/>
      <x:c r="W79" s="46"/>
      <x:c r="X79" s="46"/>
    </x:row>
    <x:row r="80">
      <x:c r="A80" s="46"/>
      <x:c r="B80" s="46"/>
      <x:c r="C80" s="46"/>
      <x:c r="D80" s="46"/>
      <x:c r="E80" s="46"/>
      <x:c r="F80" s="46"/>
      <x:c r="G80" s="46"/>
      <x:c r="H80" s="46"/>
      <x:c r="I80" s="46"/>
      <x:c r="J80" s="46"/>
      <x:c r="K80" s="46"/>
      <x:c r="L80" s="46"/>
      <x:c r="M80" s="46"/>
      <x:c r="N80" s="46"/>
      <x:c r="O80" s="46"/>
      <x:c r="P80" s="46"/>
      <x:c r="Q80" s="46"/>
      <x:c r="R80" s="46"/>
      <x:c r="S80" s="46"/>
      <x:c r="T80" s="46"/>
      <x:c r="U80" s="46"/>
      <x:c r="V80" s="46"/>
      <x:c r="W80" s="46"/>
      <x:c r="X80" s="46"/>
    </x:row>
  </x:sheetData>
  <x:pageMargins left="0.7" right="0.7" top="0.75" bottom="0.75" header="0.3" footer="0.3"/>
  <x:tableParts count="1">
    <x:tablePart xmlns:r="http://schemas.openxmlformats.org/officeDocument/2006/relationships" r:id="R3c51f58208664756"/>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30" hidden="0" customWidth="1"/>
    <x:col min="6" max="6" width="30" hidden="0" customWidth="1"/>
    <x:col min="7" max="7" width="30" hidden="0" customWidth="1"/>
    <x:col min="8" max="8" width="30" hidden="0" customWidth="1"/>
  </x:cols>
  <x:sheetData>
    <x:row r="1">
      <x:c r="A1" s="4" t="str">
        <x:v>Excluded / Superseded Observations — Preserve for Audit Trail</x:v>
      </x:c>
      <x:c r="B1" s="4"/>
      <x:c r="C1" s="4"/>
      <x:c r="D1" s="4"/>
      <x:c r="E1" s="4"/>
      <x:c r="F1" s="4"/>
      <x:c r="G1" s="4"/>
      <x:c r="H1" s="4"/>
      <x:c r="I1" s="46"/>
      <x:c r="J1" s="46"/>
      <x:c r="K1" s="46"/>
      <x:c r="L1" s="46"/>
      <x:c r="M1" s="46"/>
      <x:c r="N1" s="46"/>
      <x:c r="O1" s="46"/>
      <x:c r="P1" s="46"/>
      <x:c r="Q1" s="46"/>
      <x:c r="R1" s="46"/>
      <x:c r="S1" s="46"/>
      <x:c r="T1" s="46"/>
      <x:c r="U1" s="46"/>
      <x:c r="V1" s="46"/>
      <x:c r="W1" s="46"/>
      <x:c r="X1" s="46"/>
    </x:row>
    <x:row r="2">
      <x:c r="A2" s="46"/>
      <x:c r="B2" s="46"/>
      <x:c r="C2" s="46"/>
      <x:c r="D2" s="46"/>
      <x:c r="E2" s="46"/>
      <x:c r="F2" s="46"/>
      <x:c r="G2" s="46"/>
      <x:c r="H2" s="46"/>
      <x:c r="I2" s="46"/>
      <x:c r="J2" s="46"/>
      <x:c r="K2" s="46"/>
      <x:c r="L2" s="46"/>
      <x:c r="M2" s="46"/>
      <x:c r="N2" s="46"/>
      <x:c r="O2" s="46"/>
      <x:c r="P2" s="46"/>
      <x:c r="Q2" s="46"/>
      <x:c r="R2" s="46"/>
      <x:c r="S2" s="46"/>
      <x:c r="T2" s="46"/>
      <x:c r="U2" s="46"/>
      <x:c r="V2" s="46"/>
      <x:c r="W2" s="46"/>
      <x:c r="X2" s="46"/>
    </x:row>
    <x:row r="3">
      <x:c r="A3" s="12" t="str">
        <x:v>Status</x:v>
      </x:c>
      <x:c r="B3" s="12" t="str">
        <x:v>Sensor</x:v>
      </x:c>
      <x:c r="C3" s="12" t="str">
        <x:v>Command</x:v>
      </x:c>
      <x:c r="D3" s="12" t="str">
        <x:v>Observed Z</x:v>
      </x:c>
      <x:c r="E3" s="12" t="str">
        <x:v>Reason</x:v>
      </x:c>
      <x:c r="F3" s="12" t="str">
        <x:v>Use in calculations</x:v>
      </x:c>
      <x:c r="G3" s="12" t="str">
        <x:v>Source</x:v>
      </x:c>
      <x:c r="H3" s="12" t="str">
        <x:v>Comment</x:v>
      </x:c>
      <x:c r="I3" s="46"/>
      <x:c r="J3" s="46"/>
      <x:c r="K3" s="46"/>
      <x:c r="L3" s="46"/>
      <x:c r="M3" s="46"/>
      <x:c r="N3" s="46"/>
      <x:c r="O3" s="46"/>
      <x:c r="P3" s="46"/>
      <x:c r="Q3" s="46"/>
      <x:c r="R3" s="46"/>
      <x:c r="S3" s="46"/>
      <x:c r="T3" s="46"/>
      <x:c r="U3" s="46"/>
      <x:c r="V3" s="46"/>
      <x:c r="W3" s="46"/>
      <x:c r="X3" s="46"/>
    </x:row>
    <x:row r="4">
      <x:c r="A4" s="50" t="str">
        <x:v>INVALID</x:v>
      </x:c>
      <x:c r="B4" s="47" t="str">
        <x:v>ADXL1</x:v>
      </x:c>
      <x:c r="C4" s="47" t="str">
        <x:v>-Z</x:v>
      </x:c>
      <x:c r="D4" s="47" t="str">
        <x:v>+8.480 m/s²</x:v>
      </x:c>
      <x:c r="E4" s="47" t="str">
        <x:v>Physical sign inconsistent with commanded −Z</x:v>
      </x:c>
      <x:c r="F4" s="47" t="str">
        <x:v>NO</x:v>
      </x:c>
      <x:c r="G4" s="47" t="str">
        <x:v>10:44 log</x:v>
      </x:c>
      <x:c r="H4" s="47" t="str">
        <x:v>Likely +Z-up pose; active error ≈186%</x:v>
      </x:c>
      <x:c r="I4" s="46"/>
      <x:c r="J4" s="46"/>
      <x:c r="K4" s="46"/>
      <x:c r="L4" s="46"/>
      <x:c r="M4" s="46"/>
      <x:c r="N4" s="46"/>
      <x:c r="O4" s="46"/>
      <x:c r="P4" s="46"/>
      <x:c r="Q4" s="46"/>
      <x:c r="R4" s="46"/>
      <x:c r="S4" s="46"/>
      <x:c r="T4" s="46"/>
      <x:c r="U4" s="46"/>
      <x:c r="V4" s="46"/>
      <x:c r="W4" s="46"/>
      <x:c r="X4" s="46"/>
    </x:row>
    <x:row r="5">
      <x:c r="A5" s="50" t="str">
        <x:v>INVALID</x:v>
      </x:c>
      <x:c r="B5" s="47" t="str">
        <x:v>ADXL2</x:v>
      </x:c>
      <x:c r="C5" s="47" t="str">
        <x:v>-Z</x:v>
      </x:c>
      <x:c r="D5" s="47" t="str">
        <x:v>+10.995 m/s²</x:v>
      </x:c>
      <x:c r="E5" s="47" t="str">
        <x:v>Physical sign inconsistent with commanded −Z</x:v>
      </x:c>
      <x:c r="F5" s="47" t="str">
        <x:v>NO</x:v>
      </x:c>
      <x:c r="G5" s="47" t="str">
        <x:v>10:44 log</x:v>
      </x:c>
      <x:c r="H5" s="47" t="str">
        <x:v>Likely +Z-up pose; active error ≈212%</x:v>
      </x:c>
      <x:c r="I5" s="46"/>
      <x:c r="J5" s="46"/>
      <x:c r="K5" s="46"/>
      <x:c r="L5" s="46"/>
      <x:c r="M5" s="46"/>
      <x:c r="N5" s="46"/>
      <x:c r="O5" s="46"/>
      <x:c r="P5" s="46"/>
      <x:c r="Q5" s="46"/>
      <x:c r="R5" s="46"/>
      <x:c r="S5" s="46"/>
      <x:c r="T5" s="46"/>
      <x:c r="U5" s="46"/>
      <x:c r="V5" s="46"/>
      <x:c r="W5" s="46"/>
      <x:c r="X5" s="46"/>
    </x:row>
    <x:row r="6">
      <x:c r="A6" s="59" t="str">
        <x:v>SUPERSEDED</x:v>
      </x:c>
      <x:c r="B6" s="47" t="str">
        <x:v>ADXL1</x:v>
      </x:c>
      <x:c r="C6" s="47" t="str">
        <x:v>-Z</x:v>
      </x:c>
      <x:c r="D6" s="47" t="str">
        <x:v>−10.136 m/s²</x:v>
      </x:c>
      <x:c r="E6" s="47" t="str">
        <x:v>Replaced by cleaner latest −Z pose</x:v>
      </x:c>
      <x:c r="F6" s="47" t="str">
        <x:v>NO for final coefficients</x:v>
      </x:c>
      <x:c r="G6" s="47" t="str">
        <x:v>10:44 log</x:v>
      </x:c>
      <x:c r="H6" s="47" t="str">
        <x:v>Retain as repeat evidence</x:v>
      </x:c>
      <x:c r="I6" s="46"/>
      <x:c r="J6" s="46"/>
      <x:c r="K6" s="46"/>
      <x:c r="L6" s="46"/>
      <x:c r="M6" s="46"/>
      <x:c r="N6" s="46"/>
      <x:c r="O6" s="46"/>
      <x:c r="P6" s="46"/>
      <x:c r="Q6" s="46"/>
      <x:c r="R6" s="46"/>
      <x:c r="S6" s="46"/>
      <x:c r="T6" s="46"/>
      <x:c r="U6" s="46"/>
      <x:c r="V6" s="46"/>
      <x:c r="W6" s="46"/>
      <x:c r="X6" s="46"/>
    </x:row>
    <x:row r="7">
      <x:c r="A7" s="59" t="str">
        <x:v>SUPERSEDED</x:v>
      </x:c>
      <x:c r="B7" s="47" t="str">
        <x:v>ADXL2</x:v>
      </x:c>
      <x:c r="C7" s="47" t="str">
        <x:v>-Z</x:v>
      </x:c>
      <x:c r="D7" s="47" t="str">
        <x:v>−8.115 m/s²</x:v>
      </x:c>
      <x:c r="E7" s="47" t="str">
        <x:v>Replaced by cleaner latest −Z pose</x:v>
      </x:c>
      <x:c r="F7" s="47" t="str">
        <x:v>NO for final coefficients</x:v>
      </x:c>
      <x:c r="G7" s="47" t="str">
        <x:v>10:44 log</x:v>
      </x:c>
      <x:c r="H7" s="47" t="str">
        <x:v>Retain as repeat evidence</x:v>
      </x:c>
      <x:c r="I7" s="46"/>
      <x:c r="J7" s="46"/>
      <x:c r="K7" s="46"/>
      <x:c r="L7" s="46"/>
      <x:c r="M7" s="46"/>
      <x:c r="N7" s="46"/>
      <x:c r="O7" s="46"/>
      <x:c r="P7" s="46"/>
      <x:c r="Q7" s="46"/>
      <x:c r="R7" s="46"/>
      <x:c r="S7" s="46"/>
      <x:c r="T7" s="46"/>
      <x:c r="U7" s="46"/>
      <x:c r="V7" s="46"/>
      <x:c r="W7" s="46"/>
      <x:c r="X7" s="46"/>
    </x:row>
    <x:row r="8">
      <x:c r="A8" s="59" t="str">
        <x:v>SUPERSEDED</x:v>
      </x:c>
      <x:c r="B8" s="47" t="str">
        <x:v>ADXL1</x:v>
      </x:c>
      <x:c r="C8" s="47" t="str">
        <x:v>+Z</x:v>
      </x:c>
      <x:c r="D8" s="47" t="str">
        <x:v>+8.803 m/s²</x:v>
      </x:c>
      <x:c r="E8" s="47" t="str">
        <x:v>Replaced by later +Z pose with smaller transverse components</x:v>
      </x:c>
      <x:c r="F8" s="47" t="str">
        <x:v>NO for final coefficients</x:v>
      </x:c>
      <x:c r="G8" s="47" t="str">
        <x:v>10:44 log</x:v>
      </x:c>
      <x:c r="H8" s="47" t="str">
        <x:v>Retain as repeat evidence</x:v>
      </x:c>
      <x:c r="I8" s="46"/>
      <x:c r="J8" s="46"/>
      <x:c r="K8" s="46"/>
      <x:c r="L8" s="46"/>
      <x:c r="M8" s="46"/>
      <x:c r="N8" s="46"/>
      <x:c r="O8" s="46"/>
      <x:c r="P8" s="46"/>
      <x:c r="Q8" s="46"/>
      <x:c r="R8" s="46"/>
      <x:c r="S8" s="46"/>
      <x:c r="T8" s="46"/>
      <x:c r="U8" s="46"/>
      <x:c r="V8" s="46"/>
      <x:c r="W8" s="46"/>
      <x:c r="X8" s="46"/>
    </x:row>
    <x:row r="9">
      <x:c r="A9" s="46"/>
      <x:c r="B9" s="46"/>
      <x:c r="C9" s="46"/>
      <x:c r="D9" s="46"/>
      <x:c r="E9" s="46"/>
      <x:c r="F9" s="46"/>
      <x:c r="G9" s="46"/>
      <x:c r="H9" s="46"/>
      <x:c r="I9" s="46"/>
      <x:c r="J9" s="46"/>
      <x:c r="K9" s="46"/>
      <x:c r="L9" s="46"/>
      <x:c r="M9" s="46"/>
      <x:c r="N9" s="46"/>
      <x:c r="O9" s="46"/>
      <x:c r="P9" s="46"/>
      <x:c r="Q9" s="46"/>
      <x:c r="R9" s="46"/>
      <x:c r="S9" s="46"/>
      <x:c r="T9" s="46"/>
      <x:c r="U9" s="46"/>
      <x:c r="V9" s="46"/>
      <x:c r="W9" s="46"/>
      <x:c r="X9" s="46"/>
    </x:row>
    <x:row r="10">
      <x:c r="A10" s="46"/>
      <x:c r="B10" s="46"/>
      <x:c r="C10" s="46"/>
      <x:c r="D10" s="46"/>
      <x:c r="E10" s="46"/>
      <x:c r="F10" s="46"/>
      <x:c r="G10" s="46"/>
      <x:c r="H10" s="46"/>
      <x:c r="I10" s="46"/>
      <x:c r="J10" s="46"/>
      <x:c r="K10" s="46"/>
      <x:c r="L10" s="46"/>
      <x:c r="M10" s="46"/>
      <x:c r="N10" s="46"/>
      <x:c r="O10" s="46"/>
      <x:c r="P10" s="46"/>
      <x:c r="Q10" s="46"/>
      <x:c r="R10" s="46"/>
      <x:c r="S10" s="46"/>
      <x:c r="T10" s="46"/>
      <x:c r="U10" s="46"/>
      <x:c r="V10" s="46"/>
      <x:c r="W10" s="46"/>
      <x:c r="X10" s="46"/>
    </x:row>
    <x:row r="11">
      <x:c r="A11" s="46"/>
      <x:c r="B11" s="46"/>
      <x:c r="C11" s="46"/>
      <x:c r="D11" s="46"/>
      <x:c r="E11" s="46"/>
      <x:c r="F11" s="46"/>
      <x:c r="G11" s="46"/>
      <x:c r="H11" s="46"/>
      <x:c r="I11" s="46"/>
      <x:c r="J11" s="46"/>
      <x:c r="K11" s="46"/>
      <x:c r="L11" s="46"/>
      <x:c r="M11" s="46"/>
      <x:c r="N11" s="46"/>
      <x:c r="O11" s="46"/>
      <x:c r="P11" s="46"/>
      <x:c r="Q11" s="46"/>
      <x:c r="R11" s="46"/>
      <x:c r="S11" s="46"/>
      <x:c r="T11" s="46"/>
      <x:c r="U11" s="46"/>
      <x:c r="V11" s="46"/>
      <x:c r="W11" s="46"/>
      <x:c r="X11" s="46"/>
    </x:row>
    <x:row r="12">
      <x:c r="A12" s="46"/>
      <x:c r="B12" s="46"/>
      <x:c r="C12" s="46"/>
      <x:c r="D12" s="46"/>
      <x:c r="E12" s="46"/>
      <x:c r="F12" s="46"/>
      <x:c r="G12" s="46"/>
      <x:c r="H12" s="46"/>
      <x:c r="I12" s="46"/>
      <x:c r="J12" s="46"/>
      <x:c r="K12" s="46"/>
      <x:c r="L12" s="46"/>
      <x:c r="M12" s="46"/>
      <x:c r="N12" s="46"/>
      <x:c r="O12" s="46"/>
      <x:c r="P12" s="46"/>
      <x:c r="Q12" s="46"/>
      <x:c r="R12" s="46"/>
      <x:c r="S12" s="46"/>
      <x:c r="T12" s="46"/>
      <x:c r="U12" s="46"/>
      <x:c r="V12" s="46"/>
      <x:c r="W12" s="46"/>
      <x:c r="X12" s="46"/>
    </x:row>
    <x:row r="13">
      <x:c r="A13" s="46"/>
      <x:c r="B13" s="46"/>
      <x:c r="C13" s="46"/>
      <x:c r="D13" s="46"/>
      <x:c r="E13" s="46"/>
      <x:c r="F13" s="46"/>
      <x:c r="G13" s="46"/>
      <x:c r="H13" s="46"/>
      <x:c r="I13" s="46"/>
      <x:c r="J13" s="46"/>
      <x:c r="K13" s="46"/>
      <x:c r="L13" s="46"/>
      <x:c r="M13" s="46"/>
      <x:c r="N13" s="46"/>
      <x:c r="O13" s="46"/>
      <x:c r="P13" s="46"/>
      <x:c r="Q13" s="46"/>
      <x:c r="R13" s="46"/>
      <x:c r="S13" s="46"/>
      <x:c r="T13" s="46"/>
      <x:c r="U13" s="46"/>
      <x:c r="V13" s="46"/>
      <x:c r="W13" s="46"/>
      <x:c r="X13" s="46"/>
    </x:row>
    <x:row r="14">
      <x:c r="A14" s="46"/>
      <x:c r="B14" s="46"/>
      <x:c r="C14" s="46"/>
      <x:c r="D14" s="46"/>
      <x:c r="E14" s="46"/>
      <x:c r="F14" s="46"/>
      <x:c r="G14" s="46"/>
      <x:c r="H14" s="46"/>
      <x:c r="I14" s="46"/>
      <x:c r="J14" s="46"/>
      <x:c r="K14" s="46"/>
      <x:c r="L14" s="46"/>
      <x:c r="M14" s="46"/>
      <x:c r="N14" s="46"/>
      <x:c r="O14" s="46"/>
      <x:c r="P14" s="46"/>
      <x:c r="Q14" s="46"/>
      <x:c r="R14" s="46"/>
      <x:c r="S14" s="46"/>
      <x:c r="T14" s="46"/>
      <x:c r="U14" s="46"/>
      <x:c r="V14" s="46"/>
      <x:c r="W14" s="46"/>
      <x:c r="X14" s="46"/>
    </x:row>
    <x:row r="15">
      <x:c r="A15" s="46"/>
      <x:c r="B15" s="46"/>
      <x:c r="C15" s="46"/>
      <x:c r="D15" s="46"/>
      <x:c r="E15" s="46"/>
      <x:c r="F15" s="46"/>
      <x:c r="G15" s="46"/>
      <x:c r="H15" s="46"/>
      <x:c r="I15" s="46"/>
      <x:c r="J15" s="46"/>
      <x:c r="K15" s="46"/>
      <x:c r="L15" s="46"/>
      <x:c r="M15" s="46"/>
      <x:c r="N15" s="46"/>
      <x:c r="O15" s="46"/>
      <x:c r="P15" s="46"/>
      <x:c r="Q15" s="46"/>
      <x:c r="R15" s="46"/>
      <x:c r="S15" s="46"/>
      <x:c r="T15" s="46"/>
      <x:c r="U15" s="46"/>
      <x:c r="V15" s="46"/>
      <x:c r="W15" s="46"/>
      <x:c r="X15" s="46"/>
    </x:row>
    <x:row r="16">
      <x:c r="A16" s="46"/>
      <x:c r="B16" s="46"/>
      <x:c r="C16" s="46"/>
      <x:c r="D16" s="46"/>
      <x:c r="E16" s="46"/>
      <x:c r="F16" s="46"/>
      <x:c r="G16" s="46"/>
      <x:c r="H16" s="46"/>
      <x:c r="I16" s="46"/>
      <x:c r="J16" s="46"/>
      <x:c r="K16" s="46"/>
      <x:c r="L16" s="46"/>
      <x:c r="M16" s="46"/>
      <x:c r="N16" s="46"/>
      <x:c r="O16" s="46"/>
      <x:c r="P16" s="46"/>
      <x:c r="Q16" s="46"/>
      <x:c r="R16" s="46"/>
      <x:c r="S16" s="46"/>
      <x:c r="T16" s="46"/>
      <x:c r="U16" s="46"/>
      <x:c r="V16" s="46"/>
      <x:c r="W16" s="46"/>
      <x:c r="X16" s="46"/>
    </x:row>
    <x:row r="17">
      <x:c r="A17" s="46"/>
      <x:c r="B17" s="46"/>
      <x:c r="C17" s="46"/>
      <x:c r="D17" s="46"/>
      <x:c r="E17" s="46"/>
      <x:c r="F17" s="46"/>
      <x:c r="G17" s="46"/>
      <x:c r="H17" s="46"/>
      <x:c r="I17" s="46"/>
      <x:c r="J17" s="46"/>
      <x:c r="K17" s="46"/>
      <x:c r="L17" s="46"/>
      <x:c r="M17" s="46"/>
      <x:c r="N17" s="46"/>
      <x:c r="O17" s="46"/>
      <x:c r="P17" s="46"/>
      <x:c r="Q17" s="46"/>
      <x:c r="R17" s="46"/>
      <x:c r="S17" s="46"/>
      <x:c r="T17" s="46"/>
      <x:c r="U17" s="46"/>
      <x:c r="V17" s="46"/>
      <x:c r="W17" s="46"/>
      <x:c r="X17" s="46"/>
    </x:row>
    <x:row r="18">
      <x:c r="A18" s="46"/>
      <x:c r="B18" s="46"/>
      <x:c r="C18" s="46"/>
      <x:c r="D18" s="46"/>
      <x:c r="E18" s="46"/>
      <x:c r="F18" s="46"/>
      <x:c r="G18" s="46"/>
      <x:c r="H18" s="46"/>
      <x:c r="I18" s="46"/>
      <x:c r="J18" s="46"/>
      <x:c r="K18" s="46"/>
      <x:c r="L18" s="46"/>
      <x:c r="M18" s="46"/>
      <x:c r="N18" s="46"/>
      <x:c r="O18" s="46"/>
      <x:c r="P18" s="46"/>
      <x:c r="Q18" s="46"/>
      <x:c r="R18" s="46"/>
      <x:c r="S18" s="46"/>
      <x:c r="T18" s="46"/>
      <x:c r="U18" s="46"/>
      <x:c r="V18" s="46"/>
      <x:c r="W18" s="46"/>
      <x:c r="X18" s="46"/>
    </x:row>
    <x:row r="19">
      <x:c r="A19" s="46"/>
      <x:c r="B19" s="46"/>
      <x:c r="C19" s="46"/>
      <x:c r="D19" s="46"/>
      <x:c r="E19" s="46"/>
      <x:c r="F19" s="46"/>
      <x:c r="G19" s="46"/>
      <x:c r="H19" s="46"/>
      <x:c r="I19" s="46"/>
      <x:c r="J19" s="46"/>
      <x:c r="K19" s="46"/>
      <x:c r="L19" s="46"/>
      <x:c r="M19" s="46"/>
      <x:c r="N19" s="46"/>
      <x:c r="O19" s="46"/>
      <x:c r="P19" s="46"/>
      <x:c r="Q19" s="46"/>
      <x:c r="R19" s="46"/>
      <x:c r="S19" s="46"/>
      <x:c r="T19" s="46"/>
      <x:c r="U19" s="46"/>
      <x:c r="V19" s="46"/>
      <x:c r="W19" s="46"/>
      <x:c r="X19" s="46"/>
    </x:row>
    <x:row r="20">
      <x:c r="A20" s="46"/>
      <x:c r="B20" s="46"/>
      <x:c r="C20" s="46"/>
      <x:c r="D20" s="46"/>
      <x:c r="E20" s="46"/>
      <x:c r="F20" s="46"/>
      <x:c r="G20" s="46"/>
      <x:c r="H20" s="46"/>
      <x:c r="I20" s="46"/>
      <x:c r="J20" s="46"/>
      <x:c r="K20" s="46"/>
      <x:c r="L20" s="46"/>
      <x:c r="M20" s="46"/>
      <x:c r="N20" s="46"/>
      <x:c r="O20" s="46"/>
      <x:c r="P20" s="46"/>
      <x:c r="Q20" s="46"/>
      <x:c r="R20" s="46"/>
      <x:c r="S20" s="46"/>
      <x:c r="T20" s="46"/>
      <x:c r="U20" s="46"/>
      <x:c r="V20" s="46"/>
      <x:c r="W20" s="46"/>
      <x:c r="X20" s="46"/>
    </x:row>
    <x:row r="21">
      <x:c r="A21" s="46"/>
      <x:c r="B21" s="46"/>
      <x:c r="C21" s="46"/>
      <x:c r="D21" s="46"/>
      <x:c r="E21" s="46"/>
      <x:c r="F21" s="46"/>
      <x:c r="G21" s="46"/>
      <x:c r="H21" s="46"/>
      <x:c r="I21" s="46"/>
      <x:c r="J21" s="46"/>
      <x:c r="K21" s="46"/>
      <x:c r="L21" s="46"/>
      <x:c r="M21" s="46"/>
      <x:c r="N21" s="46"/>
      <x:c r="O21" s="46"/>
      <x:c r="P21" s="46"/>
      <x:c r="Q21" s="46"/>
      <x:c r="R21" s="46"/>
      <x:c r="S21" s="46"/>
      <x:c r="T21" s="46"/>
      <x:c r="U21" s="46"/>
      <x:c r="V21" s="46"/>
      <x:c r="W21" s="46"/>
      <x:c r="X21" s="46"/>
    </x:row>
    <x:row r="22">
      <x:c r="A22" s="46"/>
      <x:c r="B22" s="46"/>
      <x:c r="C22" s="46"/>
      <x:c r="D22" s="46"/>
      <x:c r="E22" s="46"/>
      <x:c r="F22" s="46"/>
      <x:c r="G22" s="46"/>
      <x:c r="H22" s="46"/>
      <x:c r="I22" s="46"/>
      <x:c r="J22" s="46"/>
      <x:c r="K22" s="46"/>
      <x:c r="L22" s="46"/>
      <x:c r="M22" s="46"/>
      <x:c r="N22" s="46"/>
      <x:c r="O22" s="46"/>
      <x:c r="P22" s="46"/>
      <x:c r="Q22" s="46"/>
      <x:c r="R22" s="46"/>
      <x:c r="S22" s="46"/>
      <x:c r="T22" s="46"/>
      <x:c r="U22" s="46"/>
      <x:c r="V22" s="46"/>
      <x:c r="W22" s="46"/>
      <x:c r="X22" s="46"/>
    </x:row>
    <x:row r="23">
      <x:c r="A23" s="46"/>
      <x:c r="B23" s="46"/>
      <x:c r="C23" s="46"/>
      <x:c r="D23" s="46"/>
      <x:c r="E23" s="46"/>
      <x:c r="F23" s="46"/>
      <x:c r="G23" s="46"/>
      <x:c r="H23" s="46"/>
      <x:c r="I23" s="46"/>
      <x:c r="J23" s="46"/>
      <x:c r="K23" s="46"/>
      <x:c r="L23" s="46"/>
      <x:c r="M23" s="46"/>
      <x:c r="N23" s="46"/>
      <x:c r="O23" s="46"/>
      <x:c r="P23" s="46"/>
      <x:c r="Q23" s="46"/>
      <x:c r="R23" s="46"/>
      <x:c r="S23" s="46"/>
      <x:c r="T23" s="46"/>
      <x:c r="U23" s="46"/>
      <x:c r="V23" s="46"/>
      <x:c r="W23" s="46"/>
      <x:c r="X23" s="46"/>
    </x:row>
    <x:row r="24">
      <x:c r="A24" s="46"/>
      <x:c r="B24" s="46"/>
      <x:c r="C24" s="46"/>
      <x:c r="D24" s="46"/>
      <x:c r="E24" s="46"/>
      <x:c r="F24" s="46"/>
      <x:c r="G24" s="46"/>
      <x:c r="H24" s="46"/>
      <x:c r="I24" s="46"/>
      <x:c r="J24" s="46"/>
      <x:c r="K24" s="46"/>
      <x:c r="L24" s="46"/>
      <x:c r="M24" s="46"/>
      <x:c r="N24" s="46"/>
      <x:c r="O24" s="46"/>
      <x:c r="P24" s="46"/>
      <x:c r="Q24" s="46"/>
      <x:c r="R24" s="46"/>
      <x:c r="S24" s="46"/>
      <x:c r="T24" s="46"/>
      <x:c r="U24" s="46"/>
      <x:c r="V24" s="46"/>
      <x:c r="W24" s="46"/>
      <x:c r="X24" s="46"/>
    </x:row>
    <x:row r="25">
      <x:c r="A25" s="46"/>
      <x:c r="B25" s="46"/>
      <x:c r="C25" s="46"/>
      <x:c r="D25" s="46"/>
      <x:c r="E25" s="46"/>
      <x:c r="F25" s="46"/>
      <x:c r="G25" s="46"/>
      <x:c r="H25" s="46"/>
      <x:c r="I25" s="46"/>
      <x:c r="J25" s="46"/>
      <x:c r="K25" s="46"/>
      <x:c r="L25" s="46"/>
      <x:c r="M25" s="46"/>
      <x:c r="N25" s="46"/>
      <x:c r="O25" s="46"/>
      <x:c r="P25" s="46"/>
      <x:c r="Q25" s="46"/>
      <x:c r="R25" s="46"/>
      <x:c r="S25" s="46"/>
      <x:c r="T25" s="46"/>
      <x:c r="U25" s="46"/>
      <x:c r="V25" s="46"/>
      <x:c r="W25" s="46"/>
      <x:c r="X25" s="46"/>
    </x:row>
    <x:row r="26">
      <x:c r="A26" s="46"/>
      <x:c r="B26" s="46"/>
      <x:c r="C26" s="46"/>
      <x:c r="D26" s="46"/>
      <x:c r="E26" s="46"/>
      <x:c r="F26" s="46"/>
      <x:c r="G26" s="46"/>
      <x:c r="H26" s="46"/>
      <x:c r="I26" s="46"/>
      <x:c r="J26" s="46"/>
      <x:c r="K26" s="46"/>
      <x:c r="L26" s="46"/>
      <x:c r="M26" s="46"/>
      <x:c r="N26" s="46"/>
      <x:c r="O26" s="46"/>
      <x:c r="P26" s="46"/>
      <x:c r="Q26" s="46"/>
      <x:c r="R26" s="46"/>
      <x:c r="S26" s="46"/>
      <x:c r="T26" s="46"/>
      <x:c r="U26" s="46"/>
      <x:c r="V26" s="46"/>
      <x:c r="W26" s="46"/>
      <x:c r="X26" s="46"/>
    </x:row>
    <x:row r="27">
      <x:c r="A27" s="46"/>
      <x:c r="B27" s="46"/>
      <x:c r="C27" s="46"/>
      <x:c r="D27" s="46"/>
      <x:c r="E27" s="46"/>
      <x:c r="F27" s="46"/>
      <x:c r="G27" s="46"/>
      <x:c r="H27" s="46"/>
      <x:c r="I27" s="46"/>
      <x:c r="J27" s="46"/>
      <x:c r="K27" s="46"/>
      <x:c r="L27" s="46"/>
      <x:c r="M27" s="46"/>
      <x:c r="N27" s="46"/>
      <x:c r="O27" s="46"/>
      <x:c r="P27" s="46"/>
      <x:c r="Q27" s="46"/>
      <x:c r="R27" s="46"/>
      <x:c r="S27" s="46"/>
      <x:c r="T27" s="46"/>
      <x:c r="U27" s="46"/>
      <x:c r="V27" s="46"/>
      <x:c r="W27" s="46"/>
      <x:c r="X27" s="46"/>
    </x:row>
    <x:row r="28">
      <x:c r="A28" s="46"/>
      <x:c r="B28" s="46"/>
      <x:c r="C28" s="46"/>
      <x:c r="D28" s="46"/>
      <x:c r="E28" s="46"/>
      <x:c r="F28" s="46"/>
      <x:c r="G28" s="46"/>
      <x:c r="H28" s="46"/>
      <x:c r="I28" s="46"/>
      <x:c r="J28" s="46"/>
      <x:c r="K28" s="46"/>
      <x:c r="L28" s="46"/>
      <x:c r="M28" s="46"/>
      <x:c r="N28" s="46"/>
      <x:c r="O28" s="46"/>
      <x:c r="P28" s="46"/>
      <x:c r="Q28" s="46"/>
      <x:c r="R28" s="46"/>
      <x:c r="S28" s="46"/>
      <x:c r="T28" s="46"/>
      <x:c r="U28" s="46"/>
      <x:c r="V28" s="46"/>
      <x:c r="W28" s="46"/>
      <x:c r="X28" s="46"/>
    </x:row>
    <x:row r="29">
      <x:c r="A29" s="46"/>
      <x:c r="B29" s="46"/>
      <x:c r="C29" s="46"/>
      <x:c r="D29" s="46"/>
      <x:c r="E29" s="46"/>
      <x:c r="F29" s="46"/>
      <x:c r="G29" s="46"/>
      <x:c r="H29" s="46"/>
      <x:c r="I29" s="46"/>
      <x:c r="J29" s="46"/>
      <x:c r="K29" s="46"/>
      <x:c r="L29" s="46"/>
      <x:c r="M29" s="46"/>
      <x:c r="N29" s="46"/>
      <x:c r="O29" s="46"/>
      <x:c r="P29" s="46"/>
      <x:c r="Q29" s="46"/>
      <x:c r="R29" s="46"/>
      <x:c r="S29" s="46"/>
      <x:c r="T29" s="46"/>
      <x:c r="U29" s="46"/>
      <x:c r="V29" s="46"/>
      <x:c r="W29" s="46"/>
      <x:c r="X29" s="46"/>
    </x:row>
    <x:row r="30">
      <x:c r="A30" s="46"/>
      <x:c r="B30" s="46"/>
      <x:c r="C30" s="46"/>
      <x:c r="D30" s="46"/>
      <x:c r="E30" s="46"/>
      <x:c r="F30" s="46"/>
      <x:c r="G30" s="46"/>
      <x:c r="H30" s="46"/>
      <x:c r="I30" s="46"/>
      <x:c r="J30" s="46"/>
      <x:c r="K30" s="46"/>
      <x:c r="L30" s="46"/>
      <x:c r="M30" s="46"/>
      <x:c r="N30" s="46"/>
      <x:c r="O30" s="46"/>
      <x:c r="P30" s="46"/>
      <x:c r="Q30" s="46"/>
      <x:c r="R30" s="46"/>
      <x:c r="S30" s="46"/>
      <x:c r="T30" s="46"/>
      <x:c r="U30" s="46"/>
      <x:c r="V30" s="46"/>
      <x:c r="W30" s="46"/>
      <x:c r="X30" s="46"/>
    </x:row>
    <x:row r="31">
      <x:c r="A31" s="46"/>
      <x:c r="B31" s="46"/>
      <x:c r="C31" s="46"/>
      <x:c r="D31" s="46"/>
      <x:c r="E31" s="46"/>
      <x:c r="F31" s="46"/>
      <x:c r="G31" s="46"/>
      <x:c r="H31" s="46"/>
      <x:c r="I31" s="46"/>
      <x:c r="J31" s="46"/>
      <x:c r="K31" s="46"/>
      <x:c r="L31" s="46"/>
      <x:c r="M31" s="46"/>
      <x:c r="N31" s="46"/>
      <x:c r="O31" s="46"/>
      <x:c r="P31" s="46"/>
      <x:c r="Q31" s="46"/>
      <x:c r="R31" s="46"/>
      <x:c r="S31" s="46"/>
      <x:c r="T31" s="46"/>
      <x:c r="U31" s="46"/>
      <x:c r="V31" s="46"/>
      <x:c r="W31" s="46"/>
      <x:c r="X31" s="46"/>
    </x:row>
    <x:row r="32">
      <x:c r="A32" s="46"/>
      <x:c r="B32" s="46"/>
      <x:c r="C32" s="46"/>
      <x:c r="D32" s="46"/>
      <x:c r="E32" s="46"/>
      <x:c r="F32" s="46"/>
      <x:c r="G32" s="46"/>
      <x:c r="H32" s="46"/>
      <x:c r="I32" s="46"/>
      <x:c r="J32" s="46"/>
      <x:c r="K32" s="46"/>
      <x:c r="L32" s="46"/>
      <x:c r="M32" s="46"/>
      <x:c r="N32" s="46"/>
      <x:c r="O32" s="46"/>
      <x:c r="P32" s="46"/>
      <x:c r="Q32" s="46"/>
      <x:c r="R32" s="46"/>
      <x:c r="S32" s="46"/>
      <x:c r="T32" s="46"/>
      <x:c r="U32" s="46"/>
      <x:c r="V32" s="46"/>
      <x:c r="W32" s="46"/>
      <x:c r="X32" s="46"/>
    </x:row>
    <x:row r="33">
      <x:c r="A33" s="46"/>
      <x:c r="B33" s="46"/>
      <x:c r="C33" s="46"/>
      <x:c r="D33" s="46"/>
      <x:c r="E33" s="46"/>
      <x:c r="F33" s="46"/>
      <x:c r="G33" s="46"/>
      <x:c r="H33" s="46"/>
      <x:c r="I33" s="46"/>
      <x:c r="J33" s="46"/>
      <x:c r="K33" s="46"/>
      <x:c r="L33" s="46"/>
      <x:c r="M33" s="46"/>
      <x:c r="N33" s="46"/>
      <x:c r="O33" s="46"/>
      <x:c r="P33" s="46"/>
      <x:c r="Q33" s="46"/>
      <x:c r="R33" s="46"/>
      <x:c r="S33" s="46"/>
      <x:c r="T33" s="46"/>
      <x:c r="U33" s="46"/>
      <x:c r="V33" s="46"/>
      <x:c r="W33" s="46"/>
      <x:c r="X33" s="46"/>
    </x:row>
    <x:row r="34">
      <x:c r="A34" s="46"/>
      <x:c r="B34" s="46"/>
      <x:c r="C34" s="46"/>
      <x:c r="D34" s="46"/>
      <x:c r="E34" s="46"/>
      <x:c r="F34" s="46"/>
      <x:c r="G34" s="46"/>
      <x:c r="H34" s="46"/>
      <x:c r="I34" s="46"/>
      <x:c r="J34" s="46"/>
      <x:c r="K34" s="46"/>
      <x:c r="L34" s="46"/>
      <x:c r="M34" s="46"/>
      <x:c r="N34" s="46"/>
      <x:c r="O34" s="46"/>
      <x:c r="P34" s="46"/>
      <x:c r="Q34" s="46"/>
      <x:c r="R34" s="46"/>
      <x:c r="S34" s="46"/>
      <x:c r="T34" s="46"/>
      <x:c r="U34" s="46"/>
      <x:c r="V34" s="46"/>
      <x:c r="W34" s="46"/>
      <x:c r="X34" s="46"/>
    </x:row>
    <x:row r="35">
      <x:c r="A35" s="46"/>
      <x:c r="B35" s="46"/>
      <x:c r="C35" s="46"/>
      <x:c r="D35" s="46"/>
      <x:c r="E35" s="46"/>
      <x:c r="F35" s="46"/>
      <x:c r="G35" s="46"/>
      <x:c r="H35" s="46"/>
      <x:c r="I35" s="46"/>
      <x:c r="J35" s="46"/>
      <x:c r="K35" s="46"/>
      <x:c r="L35" s="46"/>
      <x:c r="M35" s="46"/>
      <x:c r="N35" s="46"/>
      <x:c r="O35" s="46"/>
      <x:c r="P35" s="46"/>
      <x:c r="Q35" s="46"/>
      <x:c r="R35" s="46"/>
      <x:c r="S35" s="46"/>
      <x:c r="T35" s="46"/>
      <x:c r="U35" s="46"/>
      <x:c r="V35" s="46"/>
      <x:c r="W35" s="46"/>
      <x:c r="X35" s="46"/>
    </x:row>
    <x:row r="36">
      <x:c r="A36" s="46"/>
      <x:c r="B36" s="46"/>
      <x:c r="C36" s="46"/>
      <x:c r="D36" s="46"/>
      <x:c r="E36" s="46"/>
      <x:c r="F36" s="46"/>
      <x:c r="G36" s="46"/>
      <x:c r="H36" s="46"/>
      <x:c r="I36" s="46"/>
      <x:c r="J36" s="46"/>
      <x:c r="K36" s="46"/>
      <x:c r="L36" s="46"/>
      <x:c r="M36" s="46"/>
      <x:c r="N36" s="46"/>
      <x:c r="O36" s="46"/>
      <x:c r="P36" s="46"/>
      <x:c r="Q36" s="46"/>
      <x:c r="R36" s="46"/>
      <x:c r="S36" s="46"/>
      <x:c r="T36" s="46"/>
      <x:c r="U36" s="46"/>
      <x:c r="V36" s="46"/>
      <x:c r="W36" s="46"/>
      <x:c r="X36" s="46"/>
    </x:row>
    <x:row r="37">
      <x:c r="A37" s="46"/>
      <x:c r="B37" s="46"/>
      <x:c r="C37" s="46"/>
      <x:c r="D37" s="46"/>
      <x:c r="E37" s="46"/>
      <x:c r="F37" s="46"/>
      <x:c r="G37" s="46"/>
      <x:c r="H37" s="46"/>
      <x:c r="I37" s="46"/>
      <x:c r="J37" s="46"/>
      <x:c r="K37" s="46"/>
      <x:c r="L37" s="46"/>
      <x:c r="M37" s="46"/>
      <x:c r="N37" s="46"/>
      <x:c r="O37" s="46"/>
      <x:c r="P37" s="46"/>
      <x:c r="Q37" s="46"/>
      <x:c r="R37" s="46"/>
      <x:c r="S37" s="46"/>
      <x:c r="T37" s="46"/>
      <x:c r="U37" s="46"/>
      <x:c r="V37" s="46"/>
      <x:c r="W37" s="46"/>
      <x:c r="X37" s="46"/>
    </x:row>
    <x:row r="38">
      <x:c r="A38" s="46"/>
      <x:c r="B38" s="46"/>
      <x:c r="C38" s="46"/>
      <x:c r="D38" s="46"/>
      <x:c r="E38" s="46"/>
      <x:c r="F38" s="46"/>
      <x:c r="G38" s="46"/>
      <x:c r="H38" s="46"/>
      <x:c r="I38" s="46"/>
      <x:c r="J38" s="46"/>
      <x:c r="K38" s="46"/>
      <x:c r="L38" s="46"/>
      <x:c r="M38" s="46"/>
      <x:c r="N38" s="46"/>
      <x:c r="O38" s="46"/>
      <x:c r="P38" s="46"/>
      <x:c r="Q38" s="46"/>
      <x:c r="R38" s="46"/>
      <x:c r="S38" s="46"/>
      <x:c r="T38" s="46"/>
      <x:c r="U38" s="46"/>
      <x:c r="V38" s="46"/>
      <x:c r="W38" s="46"/>
      <x:c r="X38" s="46"/>
    </x:row>
    <x:row r="39">
      <x:c r="A39" s="46"/>
      <x:c r="B39" s="46"/>
      <x:c r="C39" s="46"/>
      <x:c r="D39" s="46"/>
      <x:c r="E39" s="46"/>
      <x:c r="F39" s="46"/>
      <x:c r="G39" s="46"/>
      <x:c r="H39" s="46"/>
      <x:c r="I39" s="46"/>
      <x:c r="J39" s="46"/>
      <x:c r="K39" s="46"/>
      <x:c r="L39" s="46"/>
      <x:c r="M39" s="46"/>
      <x:c r="N39" s="46"/>
      <x:c r="O39" s="46"/>
      <x:c r="P39" s="46"/>
      <x:c r="Q39" s="46"/>
      <x:c r="R39" s="46"/>
      <x:c r="S39" s="46"/>
      <x:c r="T39" s="46"/>
      <x:c r="U39" s="46"/>
      <x:c r="V39" s="46"/>
      <x:c r="W39" s="46"/>
      <x:c r="X39" s="46"/>
    </x:row>
    <x:row r="40">
      <x:c r="A40" s="46"/>
      <x:c r="B40" s="46"/>
      <x:c r="C40" s="46"/>
      <x:c r="D40" s="46"/>
      <x:c r="E40" s="46"/>
      <x:c r="F40" s="46"/>
      <x:c r="G40" s="46"/>
      <x:c r="H40" s="46"/>
      <x:c r="I40" s="46"/>
      <x:c r="J40" s="46"/>
      <x:c r="K40" s="46"/>
      <x:c r="L40" s="46"/>
      <x:c r="M40" s="46"/>
      <x:c r="N40" s="46"/>
      <x:c r="O40" s="46"/>
      <x:c r="P40" s="46"/>
      <x:c r="Q40" s="46"/>
      <x:c r="R40" s="46"/>
      <x:c r="S40" s="46"/>
      <x:c r="T40" s="46"/>
      <x:c r="U40" s="46"/>
      <x:c r="V40" s="46"/>
      <x:c r="W40" s="46"/>
      <x:c r="X40" s="46"/>
    </x:row>
    <x:row r="41">
      <x:c r="A41" s="46"/>
      <x:c r="B41" s="46"/>
      <x:c r="C41" s="46"/>
      <x:c r="D41" s="46"/>
      <x:c r="E41" s="46"/>
      <x:c r="F41" s="46"/>
      <x:c r="G41" s="46"/>
      <x:c r="H41" s="46"/>
      <x:c r="I41" s="46"/>
      <x:c r="J41" s="46"/>
      <x:c r="K41" s="46"/>
      <x:c r="L41" s="46"/>
      <x:c r="M41" s="46"/>
      <x:c r="N41" s="46"/>
      <x:c r="O41" s="46"/>
      <x:c r="P41" s="46"/>
      <x:c r="Q41" s="46"/>
      <x:c r="R41" s="46"/>
      <x:c r="S41" s="46"/>
      <x:c r="T41" s="46"/>
      <x:c r="U41" s="46"/>
      <x:c r="V41" s="46"/>
      <x:c r="W41" s="46"/>
      <x:c r="X41" s="46"/>
    </x:row>
    <x:row r="42">
      <x:c r="A42" s="46"/>
      <x:c r="B42" s="46"/>
      <x:c r="C42" s="46"/>
      <x:c r="D42" s="46"/>
      <x:c r="E42" s="46"/>
      <x:c r="F42" s="46"/>
      <x:c r="G42" s="46"/>
      <x:c r="H42" s="46"/>
      <x:c r="I42" s="46"/>
      <x:c r="J42" s="46"/>
      <x:c r="K42" s="46"/>
      <x:c r="L42" s="46"/>
      <x:c r="M42" s="46"/>
      <x:c r="N42" s="46"/>
      <x:c r="O42" s="46"/>
      <x:c r="P42" s="46"/>
      <x:c r="Q42" s="46"/>
      <x:c r="R42" s="46"/>
      <x:c r="S42" s="46"/>
      <x:c r="T42" s="46"/>
      <x:c r="U42" s="46"/>
      <x:c r="V42" s="46"/>
      <x:c r="W42" s="46"/>
      <x:c r="X42" s="46"/>
    </x:row>
    <x:row r="43">
      <x:c r="A43" s="46"/>
      <x:c r="B43" s="46"/>
      <x:c r="C43" s="46"/>
      <x:c r="D43" s="46"/>
      <x:c r="E43" s="46"/>
      <x:c r="F43" s="46"/>
      <x:c r="G43" s="46"/>
      <x:c r="H43" s="46"/>
      <x:c r="I43" s="46"/>
      <x:c r="J43" s="46"/>
      <x:c r="K43" s="46"/>
      <x:c r="L43" s="46"/>
      <x:c r="M43" s="46"/>
      <x:c r="N43" s="46"/>
      <x:c r="O43" s="46"/>
      <x:c r="P43" s="46"/>
      <x:c r="Q43" s="46"/>
      <x:c r="R43" s="46"/>
      <x:c r="S43" s="46"/>
      <x:c r="T43" s="46"/>
      <x:c r="U43" s="46"/>
      <x:c r="V43" s="46"/>
      <x:c r="W43" s="46"/>
      <x:c r="X43" s="46"/>
    </x:row>
    <x:row r="44">
      <x:c r="A44" s="46"/>
      <x:c r="B44" s="46"/>
      <x:c r="C44" s="46"/>
      <x:c r="D44" s="46"/>
      <x:c r="E44" s="46"/>
      <x:c r="F44" s="46"/>
      <x:c r="G44" s="46"/>
      <x:c r="H44" s="46"/>
      <x:c r="I44" s="46"/>
      <x:c r="J44" s="46"/>
      <x:c r="K44" s="46"/>
      <x:c r="L44" s="46"/>
      <x:c r="M44" s="46"/>
      <x:c r="N44" s="46"/>
      <x:c r="O44" s="46"/>
      <x:c r="P44" s="46"/>
      <x:c r="Q44" s="46"/>
      <x:c r="R44" s="46"/>
      <x:c r="S44" s="46"/>
      <x:c r="T44" s="46"/>
      <x:c r="U44" s="46"/>
      <x:c r="V44" s="46"/>
      <x:c r="W44" s="46"/>
      <x:c r="X44" s="46"/>
    </x:row>
    <x:row r="45">
      <x:c r="A45" s="46"/>
      <x:c r="B45" s="46"/>
      <x:c r="C45" s="46"/>
      <x:c r="D45" s="46"/>
      <x:c r="E45" s="46"/>
      <x:c r="F45" s="46"/>
      <x:c r="G45" s="46"/>
      <x:c r="H45" s="46"/>
      <x:c r="I45" s="46"/>
      <x:c r="J45" s="46"/>
      <x:c r="K45" s="46"/>
      <x:c r="L45" s="46"/>
      <x:c r="M45" s="46"/>
      <x:c r="N45" s="46"/>
      <x:c r="O45" s="46"/>
      <x:c r="P45" s="46"/>
      <x:c r="Q45" s="46"/>
      <x:c r="R45" s="46"/>
      <x:c r="S45" s="46"/>
      <x:c r="T45" s="46"/>
      <x:c r="U45" s="46"/>
      <x:c r="V45" s="46"/>
      <x:c r="W45" s="46"/>
      <x:c r="X45" s="46"/>
    </x:row>
    <x:row r="46">
      <x:c r="A46" s="46"/>
      <x:c r="B46" s="46"/>
      <x:c r="C46" s="46"/>
      <x:c r="D46" s="46"/>
      <x:c r="E46" s="46"/>
      <x:c r="F46" s="46"/>
      <x:c r="G46" s="46"/>
      <x:c r="H46" s="46"/>
      <x:c r="I46" s="46"/>
      <x:c r="J46" s="46"/>
      <x:c r="K46" s="46"/>
      <x:c r="L46" s="46"/>
      <x:c r="M46" s="46"/>
      <x:c r="N46" s="46"/>
      <x:c r="O46" s="46"/>
      <x:c r="P46" s="46"/>
      <x:c r="Q46" s="46"/>
      <x:c r="R46" s="46"/>
      <x:c r="S46" s="46"/>
      <x:c r="T46" s="46"/>
      <x:c r="U46" s="46"/>
      <x:c r="V46" s="46"/>
      <x:c r="W46" s="46"/>
      <x:c r="X46" s="46"/>
    </x:row>
    <x:row r="47">
      <x:c r="A47" s="46"/>
      <x:c r="B47" s="46"/>
      <x:c r="C47" s="46"/>
      <x:c r="D47" s="46"/>
      <x:c r="E47" s="46"/>
      <x:c r="F47" s="46"/>
      <x:c r="G47" s="46"/>
      <x:c r="H47" s="46"/>
      <x:c r="I47" s="46"/>
      <x:c r="J47" s="46"/>
      <x:c r="K47" s="46"/>
      <x:c r="L47" s="46"/>
      <x:c r="M47" s="46"/>
      <x:c r="N47" s="46"/>
      <x:c r="O47" s="46"/>
      <x:c r="P47" s="46"/>
      <x:c r="Q47" s="46"/>
      <x:c r="R47" s="46"/>
      <x:c r="S47" s="46"/>
      <x:c r="T47" s="46"/>
      <x:c r="U47" s="46"/>
      <x:c r="V47" s="46"/>
      <x:c r="W47" s="46"/>
      <x:c r="X47" s="46"/>
    </x:row>
    <x:row r="48">
      <x:c r="A48" s="46"/>
      <x:c r="B48" s="46"/>
      <x:c r="C48" s="46"/>
      <x:c r="D48" s="46"/>
      <x:c r="E48" s="46"/>
      <x:c r="F48" s="46"/>
      <x:c r="G48" s="46"/>
      <x:c r="H48" s="46"/>
      <x:c r="I48" s="46"/>
      <x:c r="J48" s="46"/>
      <x:c r="K48" s="46"/>
      <x:c r="L48" s="46"/>
      <x:c r="M48" s="46"/>
      <x:c r="N48" s="46"/>
      <x:c r="O48" s="46"/>
      <x:c r="P48" s="46"/>
      <x:c r="Q48" s="46"/>
      <x:c r="R48" s="46"/>
      <x:c r="S48" s="46"/>
      <x:c r="T48" s="46"/>
      <x:c r="U48" s="46"/>
      <x:c r="V48" s="46"/>
      <x:c r="W48" s="46"/>
      <x:c r="X48" s="46"/>
    </x:row>
    <x:row r="49">
      <x:c r="A49" s="46"/>
      <x:c r="B49" s="46"/>
      <x:c r="C49" s="46"/>
      <x:c r="D49" s="46"/>
      <x:c r="E49" s="46"/>
      <x:c r="F49" s="46"/>
      <x:c r="G49" s="46"/>
      <x:c r="H49" s="46"/>
      <x:c r="I49" s="46"/>
      <x:c r="J49" s="46"/>
      <x:c r="K49" s="46"/>
      <x:c r="L49" s="46"/>
      <x:c r="M49" s="46"/>
      <x:c r="N49" s="46"/>
      <x:c r="O49" s="46"/>
      <x:c r="P49" s="46"/>
      <x:c r="Q49" s="46"/>
      <x:c r="R49" s="46"/>
      <x:c r="S49" s="46"/>
      <x:c r="T49" s="46"/>
      <x:c r="U49" s="46"/>
      <x:c r="V49" s="46"/>
      <x:c r="W49" s="46"/>
      <x:c r="X49" s="46"/>
    </x:row>
    <x:row r="50">
      <x:c r="A50" s="46"/>
      <x:c r="B50" s="46"/>
      <x:c r="C50" s="46"/>
      <x:c r="D50" s="46"/>
      <x:c r="E50" s="46"/>
      <x:c r="F50" s="46"/>
      <x:c r="G50" s="46"/>
      <x:c r="H50" s="46"/>
      <x:c r="I50" s="46"/>
      <x:c r="J50" s="46"/>
      <x:c r="K50" s="46"/>
      <x:c r="L50" s="46"/>
      <x:c r="M50" s="46"/>
      <x:c r="N50" s="46"/>
      <x:c r="O50" s="46"/>
      <x:c r="P50" s="46"/>
      <x:c r="Q50" s="46"/>
      <x:c r="R50" s="46"/>
      <x:c r="S50" s="46"/>
      <x:c r="T50" s="46"/>
      <x:c r="U50" s="46"/>
      <x:c r="V50" s="46"/>
      <x:c r="W50" s="46"/>
      <x:c r="X50" s="46"/>
    </x:row>
    <x:row r="51">
      <x:c r="A51" s="46"/>
      <x:c r="B51" s="46"/>
      <x:c r="C51" s="46"/>
      <x:c r="D51" s="46"/>
      <x:c r="E51" s="46"/>
      <x:c r="F51" s="46"/>
      <x:c r="G51" s="46"/>
      <x:c r="H51" s="46"/>
      <x:c r="I51" s="46"/>
      <x:c r="J51" s="46"/>
      <x:c r="K51" s="46"/>
      <x:c r="L51" s="46"/>
      <x:c r="M51" s="46"/>
      <x:c r="N51" s="46"/>
      <x:c r="O51" s="46"/>
      <x:c r="P51" s="46"/>
      <x:c r="Q51" s="46"/>
      <x:c r="R51" s="46"/>
      <x:c r="S51" s="46"/>
      <x:c r="T51" s="46"/>
      <x:c r="U51" s="46"/>
      <x:c r="V51" s="46"/>
      <x:c r="W51" s="46"/>
      <x:c r="X51" s="46"/>
    </x:row>
    <x:row r="52">
      <x:c r="A52" s="46"/>
      <x:c r="B52" s="46"/>
      <x:c r="C52" s="46"/>
      <x:c r="D52" s="46"/>
      <x:c r="E52" s="46"/>
      <x:c r="F52" s="46"/>
      <x:c r="G52" s="46"/>
      <x:c r="H52" s="46"/>
      <x:c r="I52" s="46"/>
      <x:c r="J52" s="46"/>
      <x:c r="K52" s="46"/>
      <x:c r="L52" s="46"/>
      <x:c r="M52" s="46"/>
      <x:c r="N52" s="46"/>
      <x:c r="O52" s="46"/>
      <x:c r="P52" s="46"/>
      <x:c r="Q52" s="46"/>
      <x:c r="R52" s="46"/>
      <x:c r="S52" s="46"/>
      <x:c r="T52" s="46"/>
      <x:c r="U52" s="46"/>
      <x:c r="V52" s="46"/>
      <x:c r="W52" s="46"/>
      <x:c r="X52" s="46"/>
    </x:row>
    <x:row r="53">
      <x:c r="A53" s="46"/>
      <x:c r="B53" s="46"/>
      <x:c r="C53" s="46"/>
      <x:c r="D53" s="46"/>
      <x:c r="E53" s="46"/>
      <x:c r="F53" s="46"/>
      <x:c r="G53" s="46"/>
      <x:c r="H53" s="46"/>
      <x:c r="I53" s="46"/>
      <x:c r="J53" s="46"/>
      <x:c r="K53" s="46"/>
      <x:c r="L53" s="46"/>
      <x:c r="M53" s="46"/>
      <x:c r="N53" s="46"/>
      <x:c r="O53" s="46"/>
      <x:c r="P53" s="46"/>
      <x:c r="Q53" s="46"/>
      <x:c r="R53" s="46"/>
      <x:c r="S53" s="46"/>
      <x:c r="T53" s="46"/>
      <x:c r="U53" s="46"/>
      <x:c r="V53" s="46"/>
      <x:c r="W53" s="46"/>
      <x:c r="X53" s="46"/>
    </x:row>
    <x:row r="54">
      <x:c r="A54" s="46"/>
      <x:c r="B54" s="46"/>
      <x:c r="C54" s="46"/>
      <x:c r="D54" s="46"/>
      <x:c r="E54" s="46"/>
      <x:c r="F54" s="46"/>
      <x:c r="G54" s="46"/>
      <x:c r="H54" s="46"/>
      <x:c r="I54" s="46"/>
      <x:c r="J54" s="46"/>
      <x:c r="K54" s="46"/>
      <x:c r="L54" s="46"/>
      <x:c r="M54" s="46"/>
      <x:c r="N54" s="46"/>
      <x:c r="O54" s="46"/>
      <x:c r="P54" s="46"/>
      <x:c r="Q54" s="46"/>
      <x:c r="R54" s="46"/>
      <x:c r="S54" s="46"/>
      <x:c r="T54" s="46"/>
      <x:c r="U54" s="46"/>
      <x:c r="V54" s="46"/>
      <x:c r="W54" s="46"/>
      <x:c r="X54" s="46"/>
    </x:row>
    <x:row r="55">
      <x:c r="A55" s="46"/>
      <x:c r="B55" s="46"/>
      <x:c r="C55" s="46"/>
      <x:c r="D55" s="46"/>
      <x:c r="E55" s="46"/>
      <x:c r="F55" s="46"/>
      <x:c r="G55" s="46"/>
      <x:c r="H55" s="46"/>
      <x:c r="I55" s="46"/>
      <x:c r="J55" s="46"/>
      <x:c r="K55" s="46"/>
      <x:c r="L55" s="46"/>
      <x:c r="M55" s="46"/>
      <x:c r="N55" s="46"/>
      <x:c r="O55" s="46"/>
      <x:c r="P55" s="46"/>
      <x:c r="Q55" s="46"/>
      <x:c r="R55" s="46"/>
      <x:c r="S55" s="46"/>
      <x:c r="T55" s="46"/>
      <x:c r="U55" s="46"/>
      <x:c r="V55" s="46"/>
      <x:c r="W55" s="46"/>
      <x:c r="X55" s="46"/>
    </x:row>
    <x:row r="56">
      <x:c r="A56" s="46"/>
      <x:c r="B56" s="46"/>
      <x:c r="C56" s="46"/>
      <x:c r="D56" s="46"/>
      <x:c r="E56" s="46"/>
      <x:c r="F56" s="46"/>
      <x:c r="G56" s="46"/>
      <x:c r="H56" s="46"/>
      <x:c r="I56" s="46"/>
      <x:c r="J56" s="46"/>
      <x:c r="K56" s="46"/>
      <x:c r="L56" s="46"/>
      <x:c r="M56" s="46"/>
      <x:c r="N56" s="46"/>
      <x:c r="O56" s="46"/>
      <x:c r="P56" s="46"/>
      <x:c r="Q56" s="46"/>
      <x:c r="R56" s="46"/>
      <x:c r="S56" s="46"/>
      <x:c r="T56" s="46"/>
      <x:c r="U56" s="46"/>
      <x:c r="V56" s="46"/>
      <x:c r="W56" s="46"/>
      <x:c r="X56" s="46"/>
    </x:row>
    <x:row r="57">
      <x:c r="A57" s="46"/>
      <x:c r="B57" s="46"/>
      <x:c r="C57" s="46"/>
      <x:c r="D57" s="46"/>
      <x:c r="E57" s="46"/>
      <x:c r="F57" s="46"/>
      <x:c r="G57" s="46"/>
      <x:c r="H57" s="46"/>
      <x:c r="I57" s="46"/>
      <x:c r="J57" s="46"/>
      <x:c r="K57" s="46"/>
      <x:c r="L57" s="46"/>
      <x:c r="M57" s="46"/>
      <x:c r="N57" s="46"/>
      <x:c r="O57" s="46"/>
      <x:c r="P57" s="46"/>
      <x:c r="Q57" s="46"/>
      <x:c r="R57" s="46"/>
      <x:c r="S57" s="46"/>
      <x:c r="T57" s="46"/>
      <x:c r="U57" s="46"/>
      <x:c r="V57" s="46"/>
      <x:c r="W57" s="46"/>
      <x:c r="X57" s="46"/>
    </x:row>
    <x:row r="58">
      <x:c r="A58" s="46"/>
      <x:c r="B58" s="46"/>
      <x:c r="C58" s="46"/>
      <x:c r="D58" s="46"/>
      <x:c r="E58" s="46"/>
      <x:c r="F58" s="46"/>
      <x:c r="G58" s="46"/>
      <x:c r="H58" s="46"/>
      <x:c r="I58" s="46"/>
      <x:c r="J58" s="46"/>
      <x:c r="K58" s="46"/>
      <x:c r="L58" s="46"/>
      <x:c r="M58" s="46"/>
      <x:c r="N58" s="46"/>
      <x:c r="O58" s="46"/>
      <x:c r="P58" s="46"/>
      <x:c r="Q58" s="46"/>
      <x:c r="R58" s="46"/>
      <x:c r="S58" s="46"/>
      <x:c r="T58" s="46"/>
      <x:c r="U58" s="46"/>
      <x:c r="V58" s="46"/>
      <x:c r="W58" s="46"/>
      <x:c r="X58" s="46"/>
    </x:row>
    <x:row r="59">
      <x:c r="A59" s="46"/>
      <x:c r="B59" s="46"/>
      <x:c r="C59" s="46"/>
      <x:c r="D59" s="46"/>
      <x:c r="E59" s="46"/>
      <x:c r="F59" s="46"/>
      <x:c r="G59" s="46"/>
      <x:c r="H59" s="46"/>
      <x:c r="I59" s="46"/>
      <x:c r="J59" s="46"/>
      <x:c r="K59" s="46"/>
      <x:c r="L59" s="46"/>
      <x:c r="M59" s="46"/>
      <x:c r="N59" s="46"/>
      <x:c r="O59" s="46"/>
      <x:c r="P59" s="46"/>
      <x:c r="Q59" s="46"/>
      <x:c r="R59" s="46"/>
      <x:c r="S59" s="46"/>
      <x:c r="T59" s="46"/>
      <x:c r="U59" s="46"/>
      <x:c r="V59" s="46"/>
      <x:c r="W59" s="46"/>
      <x:c r="X59" s="46"/>
    </x:row>
    <x:row r="60">
      <x:c r="A60" s="46"/>
      <x:c r="B60" s="46"/>
      <x:c r="C60" s="46"/>
      <x:c r="D60" s="46"/>
      <x:c r="E60" s="46"/>
      <x:c r="F60" s="46"/>
      <x:c r="G60" s="46"/>
      <x:c r="H60" s="46"/>
      <x:c r="I60" s="46"/>
      <x:c r="J60" s="46"/>
      <x:c r="K60" s="46"/>
      <x:c r="L60" s="46"/>
      <x:c r="M60" s="46"/>
      <x:c r="N60" s="46"/>
      <x:c r="O60" s="46"/>
      <x:c r="P60" s="46"/>
      <x:c r="Q60" s="46"/>
      <x:c r="R60" s="46"/>
      <x:c r="S60" s="46"/>
      <x:c r="T60" s="46"/>
      <x:c r="U60" s="46"/>
      <x:c r="V60" s="46"/>
      <x:c r="W60" s="46"/>
      <x:c r="X60" s="46"/>
    </x:row>
    <x:row r="61">
      <x:c r="A61" s="46"/>
      <x:c r="B61" s="46"/>
      <x:c r="C61" s="46"/>
      <x:c r="D61" s="46"/>
      <x:c r="E61" s="46"/>
      <x:c r="F61" s="46"/>
      <x:c r="G61" s="46"/>
      <x:c r="H61" s="46"/>
      <x:c r="I61" s="46"/>
      <x:c r="J61" s="46"/>
      <x:c r="K61" s="46"/>
      <x:c r="L61" s="46"/>
      <x:c r="M61" s="46"/>
      <x:c r="N61" s="46"/>
      <x:c r="O61" s="46"/>
      <x:c r="P61" s="46"/>
      <x:c r="Q61" s="46"/>
      <x:c r="R61" s="46"/>
      <x:c r="S61" s="46"/>
      <x:c r="T61" s="46"/>
      <x:c r="U61" s="46"/>
      <x:c r="V61" s="46"/>
      <x:c r="W61" s="46"/>
      <x:c r="X61" s="46"/>
    </x:row>
    <x:row r="62">
      <x:c r="A62" s="46"/>
      <x:c r="B62" s="46"/>
      <x:c r="C62" s="46"/>
      <x:c r="D62" s="46"/>
      <x:c r="E62" s="46"/>
      <x:c r="F62" s="46"/>
      <x:c r="G62" s="46"/>
      <x:c r="H62" s="46"/>
      <x:c r="I62" s="46"/>
      <x:c r="J62" s="46"/>
      <x:c r="K62" s="46"/>
      <x:c r="L62" s="46"/>
      <x:c r="M62" s="46"/>
      <x:c r="N62" s="46"/>
      <x:c r="O62" s="46"/>
      <x:c r="P62" s="46"/>
      <x:c r="Q62" s="46"/>
      <x:c r="R62" s="46"/>
      <x:c r="S62" s="46"/>
      <x:c r="T62" s="46"/>
      <x:c r="U62" s="46"/>
      <x:c r="V62" s="46"/>
      <x:c r="W62" s="46"/>
      <x:c r="X62" s="46"/>
    </x:row>
    <x:row r="63">
      <x:c r="A63" s="46"/>
      <x:c r="B63" s="46"/>
      <x:c r="C63" s="46"/>
      <x:c r="D63" s="46"/>
      <x:c r="E63" s="46"/>
      <x:c r="F63" s="46"/>
      <x:c r="G63" s="46"/>
      <x:c r="H63" s="46"/>
      <x:c r="I63" s="46"/>
      <x:c r="J63" s="46"/>
      <x:c r="K63" s="46"/>
      <x:c r="L63" s="46"/>
      <x:c r="M63" s="46"/>
      <x:c r="N63" s="46"/>
      <x:c r="O63" s="46"/>
      <x:c r="P63" s="46"/>
      <x:c r="Q63" s="46"/>
      <x:c r="R63" s="46"/>
      <x:c r="S63" s="46"/>
      <x:c r="T63" s="46"/>
      <x:c r="U63" s="46"/>
      <x:c r="V63" s="46"/>
      <x:c r="W63" s="46"/>
      <x:c r="X63" s="46"/>
    </x:row>
    <x:row r="64">
      <x:c r="A64" s="46"/>
      <x:c r="B64" s="46"/>
      <x:c r="C64" s="46"/>
      <x:c r="D64" s="46"/>
      <x:c r="E64" s="46"/>
      <x:c r="F64" s="46"/>
      <x:c r="G64" s="46"/>
      <x:c r="H64" s="46"/>
      <x:c r="I64" s="46"/>
      <x:c r="J64" s="46"/>
      <x:c r="K64" s="46"/>
      <x:c r="L64" s="46"/>
      <x:c r="M64" s="46"/>
      <x:c r="N64" s="46"/>
      <x:c r="O64" s="46"/>
      <x:c r="P64" s="46"/>
      <x:c r="Q64" s="46"/>
      <x:c r="R64" s="46"/>
      <x:c r="S64" s="46"/>
      <x:c r="T64" s="46"/>
      <x:c r="U64" s="46"/>
      <x:c r="V64" s="46"/>
      <x:c r="W64" s="46"/>
      <x:c r="X64" s="46"/>
    </x:row>
    <x:row r="65">
      <x:c r="A65" s="46"/>
      <x:c r="B65" s="46"/>
      <x:c r="C65" s="46"/>
      <x:c r="D65" s="46"/>
      <x:c r="E65" s="46"/>
      <x:c r="F65" s="46"/>
      <x:c r="G65" s="46"/>
      <x:c r="H65" s="46"/>
      <x:c r="I65" s="46"/>
      <x:c r="J65" s="46"/>
      <x:c r="K65" s="46"/>
      <x:c r="L65" s="46"/>
      <x:c r="M65" s="46"/>
      <x:c r="N65" s="46"/>
      <x:c r="O65" s="46"/>
      <x:c r="P65" s="46"/>
      <x:c r="Q65" s="46"/>
      <x:c r="R65" s="46"/>
      <x:c r="S65" s="46"/>
      <x:c r="T65" s="46"/>
      <x:c r="U65" s="46"/>
      <x:c r="V65" s="46"/>
      <x:c r="W65" s="46"/>
      <x:c r="X65" s="46"/>
    </x:row>
    <x:row r="66">
      <x:c r="A66" s="46"/>
      <x:c r="B66" s="46"/>
      <x:c r="C66" s="46"/>
      <x:c r="D66" s="46"/>
      <x:c r="E66" s="46"/>
      <x:c r="F66" s="46"/>
      <x:c r="G66" s="46"/>
      <x:c r="H66" s="46"/>
      <x:c r="I66" s="46"/>
      <x:c r="J66" s="46"/>
      <x:c r="K66" s="46"/>
      <x:c r="L66" s="46"/>
      <x:c r="M66" s="46"/>
      <x:c r="N66" s="46"/>
      <x:c r="O66" s="46"/>
      <x:c r="P66" s="46"/>
      <x:c r="Q66" s="46"/>
      <x:c r="R66" s="46"/>
      <x:c r="S66" s="46"/>
      <x:c r="T66" s="46"/>
      <x:c r="U66" s="46"/>
      <x:c r="V66" s="46"/>
      <x:c r="W66" s="46"/>
      <x:c r="X66" s="46"/>
    </x:row>
    <x:row r="67">
      <x:c r="A67" s="46"/>
      <x:c r="B67" s="46"/>
      <x:c r="C67" s="46"/>
      <x:c r="D67" s="46"/>
      <x:c r="E67" s="46"/>
      <x:c r="F67" s="46"/>
      <x:c r="G67" s="46"/>
      <x:c r="H67" s="46"/>
      <x:c r="I67" s="46"/>
      <x:c r="J67" s="46"/>
      <x:c r="K67" s="46"/>
      <x:c r="L67" s="46"/>
      <x:c r="M67" s="46"/>
      <x:c r="N67" s="46"/>
      <x:c r="O67" s="46"/>
      <x:c r="P67" s="46"/>
      <x:c r="Q67" s="46"/>
      <x:c r="R67" s="46"/>
      <x:c r="S67" s="46"/>
      <x:c r="T67" s="46"/>
      <x:c r="U67" s="46"/>
      <x:c r="V67" s="46"/>
      <x:c r="W67" s="46"/>
      <x:c r="X67" s="46"/>
    </x:row>
    <x:row r="68">
      <x:c r="A68" s="46"/>
      <x:c r="B68" s="46"/>
      <x:c r="C68" s="46"/>
      <x:c r="D68" s="46"/>
      <x:c r="E68" s="46"/>
      <x:c r="F68" s="46"/>
      <x:c r="G68" s="46"/>
      <x:c r="H68" s="46"/>
      <x:c r="I68" s="46"/>
      <x:c r="J68" s="46"/>
      <x:c r="K68" s="46"/>
      <x:c r="L68" s="46"/>
      <x:c r="M68" s="46"/>
      <x:c r="N68" s="46"/>
      <x:c r="O68" s="46"/>
      <x:c r="P68" s="46"/>
      <x:c r="Q68" s="46"/>
      <x:c r="R68" s="46"/>
      <x:c r="S68" s="46"/>
      <x:c r="T68" s="46"/>
      <x:c r="U68" s="46"/>
      <x:c r="V68" s="46"/>
      <x:c r="W68" s="46"/>
      <x:c r="X68" s="46"/>
    </x:row>
    <x:row r="69">
      <x:c r="A69" s="46"/>
      <x:c r="B69" s="46"/>
      <x:c r="C69" s="46"/>
      <x:c r="D69" s="46"/>
      <x:c r="E69" s="46"/>
      <x:c r="F69" s="46"/>
      <x:c r="G69" s="46"/>
      <x:c r="H69" s="46"/>
      <x:c r="I69" s="46"/>
      <x:c r="J69" s="46"/>
      <x:c r="K69" s="46"/>
      <x:c r="L69" s="46"/>
      <x:c r="M69" s="46"/>
      <x:c r="N69" s="46"/>
      <x:c r="O69" s="46"/>
      <x:c r="P69" s="46"/>
      <x:c r="Q69" s="46"/>
      <x:c r="R69" s="46"/>
      <x:c r="S69" s="46"/>
      <x:c r="T69" s="46"/>
      <x:c r="U69" s="46"/>
      <x:c r="V69" s="46"/>
      <x:c r="W69" s="46"/>
      <x:c r="X69" s="46"/>
    </x:row>
    <x:row r="70">
      <x:c r="A70" s="46"/>
      <x:c r="B70" s="46"/>
      <x:c r="C70" s="46"/>
      <x:c r="D70" s="46"/>
      <x:c r="E70" s="46"/>
      <x:c r="F70" s="46"/>
      <x:c r="G70" s="46"/>
      <x:c r="H70" s="46"/>
      <x:c r="I70" s="46"/>
      <x:c r="J70" s="46"/>
      <x:c r="K70" s="46"/>
      <x:c r="L70" s="46"/>
      <x:c r="M70" s="46"/>
      <x:c r="N70" s="46"/>
      <x:c r="O70" s="46"/>
      <x:c r="P70" s="46"/>
      <x:c r="Q70" s="46"/>
      <x:c r="R70" s="46"/>
      <x:c r="S70" s="46"/>
      <x:c r="T70" s="46"/>
      <x:c r="U70" s="46"/>
      <x:c r="V70" s="46"/>
      <x:c r="W70" s="46"/>
      <x:c r="X70" s="46"/>
    </x:row>
    <x:row r="71">
      <x:c r="A71" s="46"/>
      <x:c r="B71" s="46"/>
      <x:c r="C71" s="46"/>
      <x:c r="D71" s="46"/>
      <x:c r="E71" s="46"/>
      <x:c r="F71" s="46"/>
      <x:c r="G71" s="46"/>
      <x:c r="H71" s="46"/>
      <x:c r="I71" s="46"/>
      <x:c r="J71" s="46"/>
      <x:c r="K71" s="46"/>
      <x:c r="L71" s="46"/>
      <x:c r="M71" s="46"/>
      <x:c r="N71" s="46"/>
      <x:c r="O71" s="46"/>
      <x:c r="P71" s="46"/>
      <x:c r="Q71" s="46"/>
      <x:c r="R71" s="46"/>
      <x:c r="S71" s="46"/>
      <x:c r="T71" s="46"/>
      <x:c r="U71" s="46"/>
      <x:c r="V71" s="46"/>
      <x:c r="W71" s="46"/>
      <x:c r="X71" s="46"/>
    </x:row>
    <x:row r="72">
      <x:c r="A72" s="46"/>
      <x:c r="B72" s="46"/>
      <x:c r="C72" s="46"/>
      <x:c r="D72" s="46"/>
      <x:c r="E72" s="46"/>
      <x:c r="F72" s="46"/>
      <x:c r="G72" s="46"/>
      <x:c r="H72" s="46"/>
      <x:c r="I72" s="46"/>
      <x:c r="J72" s="46"/>
      <x:c r="K72" s="46"/>
      <x:c r="L72" s="46"/>
      <x:c r="M72" s="46"/>
      <x:c r="N72" s="46"/>
      <x:c r="O72" s="46"/>
      <x:c r="P72" s="46"/>
      <x:c r="Q72" s="46"/>
      <x:c r="R72" s="46"/>
      <x:c r="S72" s="46"/>
      <x:c r="T72" s="46"/>
      <x:c r="U72" s="46"/>
      <x:c r="V72" s="46"/>
      <x:c r="W72" s="46"/>
      <x:c r="X72" s="46"/>
    </x:row>
    <x:row r="73">
      <x:c r="A73" s="46"/>
      <x:c r="B73" s="46"/>
      <x:c r="C73" s="46"/>
      <x:c r="D73" s="46"/>
      <x:c r="E73" s="46"/>
      <x:c r="F73" s="46"/>
      <x:c r="G73" s="46"/>
      <x:c r="H73" s="46"/>
      <x:c r="I73" s="46"/>
      <x:c r="J73" s="46"/>
      <x:c r="K73" s="46"/>
      <x:c r="L73" s="46"/>
      <x:c r="M73" s="46"/>
      <x:c r="N73" s="46"/>
      <x:c r="O73" s="46"/>
      <x:c r="P73" s="46"/>
      <x:c r="Q73" s="46"/>
      <x:c r="R73" s="46"/>
      <x:c r="S73" s="46"/>
      <x:c r="T73" s="46"/>
      <x:c r="U73" s="46"/>
      <x:c r="V73" s="46"/>
      <x:c r="W73" s="46"/>
      <x:c r="X73" s="46"/>
    </x:row>
    <x:row r="74">
      <x:c r="A74" s="46"/>
      <x:c r="B74" s="46"/>
      <x:c r="C74" s="46"/>
      <x:c r="D74" s="46"/>
      <x:c r="E74" s="46"/>
      <x:c r="F74" s="46"/>
      <x:c r="G74" s="46"/>
      <x:c r="H74" s="46"/>
      <x:c r="I74" s="46"/>
      <x:c r="J74" s="46"/>
      <x:c r="K74" s="46"/>
      <x:c r="L74" s="46"/>
      <x:c r="M74" s="46"/>
      <x:c r="N74" s="46"/>
      <x:c r="O74" s="46"/>
      <x:c r="P74" s="46"/>
      <x:c r="Q74" s="46"/>
      <x:c r="R74" s="46"/>
      <x:c r="S74" s="46"/>
      <x:c r="T74" s="46"/>
      <x:c r="U74" s="46"/>
      <x:c r="V74" s="46"/>
      <x:c r="W74" s="46"/>
      <x:c r="X74" s="46"/>
    </x:row>
    <x:row r="75">
      <x:c r="A75" s="46"/>
      <x:c r="B75" s="46"/>
      <x:c r="C75" s="46"/>
      <x:c r="D75" s="46"/>
      <x:c r="E75" s="46"/>
      <x:c r="F75" s="46"/>
      <x:c r="G75" s="46"/>
      <x:c r="H75" s="46"/>
      <x:c r="I75" s="46"/>
      <x:c r="J75" s="46"/>
      <x:c r="K75" s="46"/>
      <x:c r="L75" s="46"/>
      <x:c r="M75" s="46"/>
      <x:c r="N75" s="46"/>
      <x:c r="O75" s="46"/>
      <x:c r="P75" s="46"/>
      <x:c r="Q75" s="46"/>
      <x:c r="R75" s="46"/>
      <x:c r="S75" s="46"/>
      <x:c r="T75" s="46"/>
      <x:c r="U75" s="46"/>
      <x:c r="V75" s="46"/>
      <x:c r="W75" s="46"/>
      <x:c r="X75" s="46"/>
    </x:row>
    <x:row r="76">
      <x:c r="A76" s="46"/>
      <x:c r="B76" s="46"/>
      <x:c r="C76" s="46"/>
      <x:c r="D76" s="46"/>
      <x:c r="E76" s="46"/>
      <x:c r="F76" s="46"/>
      <x:c r="G76" s="46"/>
      <x:c r="H76" s="46"/>
      <x:c r="I76" s="46"/>
      <x:c r="J76" s="46"/>
      <x:c r="K76" s="46"/>
      <x:c r="L76" s="46"/>
      <x:c r="M76" s="46"/>
      <x:c r="N76" s="46"/>
      <x:c r="O76" s="46"/>
      <x:c r="P76" s="46"/>
      <x:c r="Q76" s="46"/>
      <x:c r="R76" s="46"/>
      <x:c r="S76" s="46"/>
      <x:c r="T76" s="46"/>
      <x:c r="U76" s="46"/>
      <x:c r="V76" s="46"/>
      <x:c r="W76" s="46"/>
      <x:c r="X76" s="46"/>
    </x:row>
    <x:row r="77">
      <x:c r="A77" s="46"/>
      <x:c r="B77" s="46"/>
      <x:c r="C77" s="46"/>
      <x:c r="D77" s="46"/>
      <x:c r="E77" s="46"/>
      <x:c r="F77" s="46"/>
      <x:c r="G77" s="46"/>
      <x:c r="H77" s="46"/>
      <x:c r="I77" s="46"/>
      <x:c r="J77" s="46"/>
      <x:c r="K77" s="46"/>
      <x:c r="L77" s="46"/>
      <x:c r="M77" s="46"/>
      <x:c r="N77" s="46"/>
      <x:c r="O77" s="46"/>
      <x:c r="P77" s="46"/>
      <x:c r="Q77" s="46"/>
      <x:c r="R77" s="46"/>
      <x:c r="S77" s="46"/>
      <x:c r="T77" s="46"/>
      <x:c r="U77" s="46"/>
      <x:c r="V77" s="46"/>
      <x:c r="W77" s="46"/>
      <x:c r="X77" s="46"/>
    </x:row>
    <x:row r="78">
      <x:c r="A78" s="46"/>
      <x:c r="B78" s="46"/>
      <x:c r="C78" s="46"/>
      <x:c r="D78" s="46"/>
      <x:c r="E78" s="46"/>
      <x:c r="F78" s="46"/>
      <x:c r="G78" s="46"/>
      <x:c r="H78" s="46"/>
      <x:c r="I78" s="46"/>
      <x:c r="J78" s="46"/>
      <x:c r="K78" s="46"/>
      <x:c r="L78" s="46"/>
      <x:c r="M78" s="46"/>
      <x:c r="N78" s="46"/>
      <x:c r="O78" s="46"/>
      <x:c r="P78" s="46"/>
      <x:c r="Q78" s="46"/>
      <x:c r="R78" s="46"/>
      <x:c r="S78" s="46"/>
      <x:c r="T78" s="46"/>
      <x:c r="U78" s="46"/>
      <x:c r="V78" s="46"/>
      <x:c r="W78" s="46"/>
      <x:c r="X78" s="46"/>
    </x:row>
    <x:row r="79">
      <x:c r="A79" s="46"/>
      <x:c r="B79" s="46"/>
      <x:c r="C79" s="46"/>
      <x:c r="D79" s="46"/>
      <x:c r="E79" s="46"/>
      <x:c r="F79" s="46"/>
      <x:c r="G79" s="46"/>
      <x:c r="H79" s="46"/>
      <x:c r="I79" s="46"/>
      <x:c r="J79" s="46"/>
      <x:c r="K79" s="46"/>
      <x:c r="L79" s="46"/>
      <x:c r="M79" s="46"/>
      <x:c r="N79" s="46"/>
      <x:c r="O79" s="46"/>
      <x:c r="P79" s="46"/>
      <x:c r="Q79" s="46"/>
      <x:c r="R79" s="46"/>
      <x:c r="S79" s="46"/>
      <x:c r="T79" s="46"/>
      <x:c r="U79" s="46"/>
      <x:c r="V79" s="46"/>
      <x:c r="W79" s="46"/>
      <x:c r="X79" s="46"/>
    </x:row>
    <x:row r="80">
      <x:c r="A80" s="46"/>
      <x:c r="B80" s="46"/>
      <x:c r="C80" s="46"/>
      <x:c r="D80" s="46"/>
      <x:c r="E80" s="46"/>
      <x:c r="F80" s="46"/>
      <x:c r="G80" s="46"/>
      <x:c r="H80" s="46"/>
      <x:c r="I80" s="46"/>
      <x:c r="J80" s="46"/>
      <x:c r="K80" s="46"/>
      <x:c r="L80" s="46"/>
      <x:c r="M80" s="46"/>
      <x:c r="N80" s="46"/>
      <x:c r="O80" s="46"/>
      <x:c r="P80" s="46"/>
      <x:c r="Q80" s="46"/>
      <x:c r="R80" s="46"/>
      <x:c r="S80" s="46"/>
      <x:c r="T80" s="46"/>
      <x:c r="U80" s="46"/>
      <x:c r="V80" s="46"/>
      <x:c r="W80" s="46"/>
      <x:c r="X80" s="46"/>
    </x:row>
  </x:sheetData>
  <x:mergeCells>
    <x:mergeCell ref="A1:H1"/>
  </x:mergeCells>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16" hidden="0" customWidth="1"/>
    <x:col min="3" max="3" width="15" hidden="0" customWidth="1"/>
    <x:col min="4" max="4" width="15"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s>
  <x:sheetData>
    <x:row r="1">
      <x:c r="A1" s="64" t="str">
        <x:v>Main-Thesis Tables — Recommended Final Presentation</x:v>
      </x:c>
      <x:c r="B1" s="64"/>
      <x:c r="C1" s="64"/>
      <x:c r="D1" s="64"/>
      <x:c r="E1" s="64"/>
      <x:c r="F1" s="64"/>
      <x:c r="G1" s="64"/>
      <x:c r="H1" s="64"/>
      <x:c r="I1" s="64"/>
      <x:c r="J1" s="64"/>
      <x:c r="K1" s="46"/>
      <x:c r="L1" s="46"/>
      <x:c r="M1" s="46"/>
      <x:c r="N1" s="46"/>
      <x:c r="O1" s="46"/>
      <x:c r="P1" s="46"/>
      <x:c r="Q1" s="46"/>
      <x:c r="R1" s="46"/>
      <x:c r="S1" s="46"/>
      <x:c r="T1" s="46"/>
      <x:c r="U1" s="46"/>
      <x:c r="V1" s="46"/>
      <x:c r="W1" s="46"/>
      <x:c r="X1" s="46"/>
    </x:row>
    <x:row r="2">
      <x:c r="A2" s="46"/>
      <x:c r="B2" s="46"/>
      <x:c r="C2" s="46"/>
      <x:c r="D2" s="46"/>
      <x:c r="E2" s="46"/>
      <x:c r="F2" s="46"/>
      <x:c r="G2" s="46"/>
      <x:c r="H2" s="46"/>
      <x:c r="I2" s="46"/>
      <x:c r="J2" s="46"/>
      <x:c r="K2" s="46"/>
      <x:c r="L2" s="46"/>
      <x:c r="M2" s="46"/>
      <x:c r="N2" s="46"/>
      <x:c r="O2" s="46"/>
      <x:c r="P2" s="46"/>
      <x:c r="Q2" s="46"/>
      <x:c r="R2" s="46"/>
      <x:c r="S2" s="46"/>
      <x:c r="T2" s="46"/>
      <x:c r="U2" s="46"/>
      <x:c r="V2" s="46"/>
      <x:c r="W2" s="46"/>
      <x:c r="X2" s="46"/>
    </x:row>
    <x:row r="3">
      <x:c r="A3" s="48" t="str">
        <x:v>Table 4.x — Static gravity response of the selected dual-accelerometer dataset</x:v>
      </x:c>
      <x:c r="B3" s="48"/>
      <x:c r="C3" s="48"/>
      <x:c r="D3" s="48"/>
      <x:c r="E3" s="48"/>
      <x:c r="F3" s="48"/>
      <x:c r="G3" s="48"/>
      <x:c r="H3" s="48"/>
      <x:c r="I3" s="48"/>
      <x:c r="J3" s="48"/>
      <x:c r="K3" s="46"/>
      <x:c r="L3" s="46"/>
      <x:c r="M3" s="46"/>
      <x:c r="N3" s="46"/>
      <x:c r="O3" s="46"/>
      <x:c r="P3" s="46"/>
      <x:c r="Q3" s="46"/>
      <x:c r="R3" s="46"/>
      <x:c r="S3" s="46"/>
      <x:c r="T3" s="46"/>
      <x:c r="U3" s="46"/>
      <x:c r="V3" s="12" t="str">
        <x:v>Sensor-axis</x:v>
      </x:c>
      <x:c r="W3" s="12" t="str">
        <x:v>+g measured</x:v>
      </x:c>
      <x:c r="X3" s="12" t="str">
        <x:v>−g measured</x:v>
      </x:c>
      <x:c r="Y3" s="12" t="str">
        <x:v>Ideal +g</x:v>
      </x:c>
      <x:c r="AA3" s="12" t="str">
        <x:v>Sensor-axis</x:v>
      </x:c>
      <x:c r="AB3" s="12" t="str">
        <x:v>Candidate bias (m/s²)</x:v>
      </x:c>
    </x:row>
    <x:row r="4">
      <x:c r="A4" s="12" t="str">
        <x:v>Sensor</x:v>
      </x:c>
      <x:c r="B4" s="12" t="str">
        <x:v>Axis</x:v>
      </x:c>
      <x:c r="C4" s="12" t="str">
        <x:v>Positive pose</x:v>
      </x:c>
      <x:c r="D4" s="12" t="str">
        <x:v>Negative pose</x:v>
      </x:c>
      <x:c r="E4" s="12" t="str">
        <x:v>+g mean</x:v>
      </x:c>
      <x:c r="F4" s="12" t="str">
        <x:v>−g mean</x:v>
      </x:c>
      <x:c r="G4" s="12" t="str">
        <x:v>Bias (m/s²)</x:v>
      </x:c>
      <x:c r="H4" s="12" t="str">
        <x:v>Sensitivity ratio</x:v>
      </x:c>
      <x:c r="I4" s="12" t="str">
        <x:v>Span error %</x:v>
      </x:c>
      <x:c r="J4" s="12" t="str">
        <x:v>Correction gain</x:v>
      </x:c>
      <x:c r="K4" s="46"/>
      <x:c r="L4" s="46"/>
      <x:c r="M4" s="46"/>
      <x:c r="N4" s="46"/>
      <x:c r="O4" s="46"/>
      <x:c r="P4" s="46"/>
      <x:c r="Q4" s="46"/>
      <x:c r="R4" s="46"/>
      <x:c r="S4" s="46"/>
      <x:c r="T4" s="46"/>
      <x:c r="U4" s="46"/>
      <x:c r="V4" s="46" t="str">
        <x:v>ADXL1-X</x:v>
      </x:c>
      <x:c r="W4" s="56" t="n">
        <x:v>9.629546</x:v>
      </x:c>
      <x:c r="X4" s="56" t="n">
        <x:v>-9.510226</x:v>
      </x:c>
      <x:c r="Y4" s="32" t="n">
        <x:v>9.80665</x:v>
      </x:c>
      <x:c r="AA4" t="str">
        <x:v>ADXL1-X</x:v>
      </x:c>
      <x:c r="AB4" s="32" t="n">
        <x:v>0.05966</x:v>
      </x:c>
    </x:row>
    <x:row r="5">
      <x:c r="A5" s="46" t="str">
        <x:v>ADXL1</x:v>
      </x:c>
      <x:c r="B5" s="46" t="str">
        <x:v>X</x:v>
      </x:c>
      <x:c r="C5" s="46" t="str">
        <x:v>+X</x:v>
      </x:c>
      <x:c r="D5" s="46" t="str">
        <x:v>-X</x:v>
      </x:c>
      <x:c r="E5" s="56" t="n">
        <x:f>'Calibration Parameters'!D2</x:f>
        <x:v>9.629546</x:v>
      </x:c>
      <x:c r="F5" s="56" t="n">
        <x:f>'Calibration Parameters'!E2</x:f>
        <x:v>-9.510226</x:v>
      </x:c>
      <x:c r="G5" s="56" t="n">
        <x:f>'Calibration Parameters'!F2</x:f>
        <x:v>0.059660000000000046</x:v>
      </x:c>
      <x:c r="H5" s="56" t="n">
        <x:f>'Calibration Parameters'!H2</x:f>
        <x:v>0.9758567910550495</x:v>
      </x:c>
      <x:c r="I5" s="56" t="n">
        <x:f>'Calibration Parameters'!I2</x:f>
        <x:v>-2.414320894495048</x:v>
      </x:c>
      <x:c r="J5" s="56" t="n">
        <x:f>'Calibration Parameters'!J2</x:f>
        <x:v>1.0247405245997705</x:v>
      </x:c>
      <x:c r="K5" s="46"/>
      <x:c r="L5" s="46"/>
      <x:c r="M5" s="46"/>
      <x:c r="N5" s="46"/>
      <x:c r="O5" s="46"/>
      <x:c r="P5" s="46"/>
      <x:c r="Q5" s="46"/>
      <x:c r="R5" s="46"/>
      <x:c r="S5" s="46"/>
      <x:c r="T5" s="46"/>
      <x:c r="U5" s="46"/>
      <x:c r="V5" s="46" t="str">
        <x:v>ADXL1-Y</x:v>
      </x:c>
      <x:c r="W5" s="56" t="n">
        <x:v>9.807509</x:v>
      </x:c>
      <x:c r="X5" s="56" t="n">
        <x:v>-9.554607</x:v>
      </x:c>
      <x:c r="Y5" s="32" t="n">
        <x:v>9.80665</x:v>
      </x:c>
      <x:c r="AA5" t="str">
        <x:v>ADXL1-Y</x:v>
      </x:c>
      <x:c r="AB5" s="32" t="n">
        <x:v>0.126451</x:v>
      </x:c>
    </x:row>
    <x:row r="6">
      <x:c r="A6" s="46" t="str">
        <x:v>ADXL1</x:v>
      </x:c>
      <x:c r="B6" s="46" t="str">
        <x:v>Y</x:v>
      </x:c>
      <x:c r="C6" s="46" t="str">
        <x:v>+Y</x:v>
      </x:c>
      <x:c r="D6" s="46" t="str">
        <x:v>-Y</x:v>
      </x:c>
      <x:c r="E6" s="56" t="n">
        <x:f>'Calibration Parameters'!D3</x:f>
        <x:v>9.807509</x:v>
      </x:c>
      <x:c r="F6" s="56" t="n">
        <x:f>'Calibration Parameters'!E3</x:f>
        <x:v>-9.554607</x:v>
      </x:c>
      <x:c r="G6" s="56" t="n">
        <x:f>'Calibration Parameters'!F3</x:f>
        <x:v>0.12645099999999942</x:v>
      </x:c>
      <x:c r="H6" s="56" t="n">
        <x:f>'Calibration Parameters'!H3</x:f>
        <x:v>0.9871931801379676</x:v>
      </x:c>
      <x:c r="I6" s="56" t="n">
        <x:f>'Calibration Parameters'!I3</x:f>
        <x:v>-1.280681986203236</x:v>
      </x:c>
      <x:c r="J6" s="56" t="n">
        <x:f>'Calibration Parameters'!J3</x:f>
        <x:v>1.0129729622526793</x:v>
      </x:c>
      <x:c r="K6" s="46"/>
      <x:c r="L6" s="46"/>
      <x:c r="M6" s="46"/>
      <x:c r="N6" s="46"/>
      <x:c r="O6" s="46"/>
      <x:c r="P6" s="46"/>
      <x:c r="Q6" s="46"/>
      <x:c r="R6" s="46"/>
      <x:c r="S6" s="46"/>
      <x:c r="T6" s="46"/>
      <x:c r="U6" s="46"/>
      <x:c r="V6" s="46" t="str">
        <x:v>ADXL1-Z</x:v>
      </x:c>
      <x:c r="W6" s="56" t="n">
        <x:v>8.837584</x:v>
      </x:c>
      <x:c r="X6" s="56" t="n">
        <x:v>-10.215163</x:v>
      </x:c>
      <x:c r="Y6" s="32" t="n">
        <x:v>9.80665</x:v>
      </x:c>
      <x:c r="AA6" t="str">
        <x:v>ADXL1-Z</x:v>
      </x:c>
      <x:c r="AB6" s="32" t="n">
        <x:v>-0.68879</x:v>
      </x:c>
    </x:row>
    <x:row r="7">
      <x:c r="A7" s="46" t="str">
        <x:v>ADXL1</x:v>
      </x:c>
      <x:c r="B7" s="46" t="str">
        <x:v>Z</x:v>
      </x:c>
      <x:c r="C7" s="46" t="str">
        <x:v>+Z</x:v>
      </x:c>
      <x:c r="D7" s="46" t="str">
        <x:v>-Z</x:v>
      </x:c>
      <x:c r="E7" s="56" t="n">
        <x:f>'Calibration Parameters'!D4</x:f>
        <x:v>8.837584</x:v>
      </x:c>
      <x:c r="F7" s="56" t="n">
        <x:f>'Calibration Parameters'!E4</x:f>
        <x:v>-10.215163</x:v>
      </x:c>
      <x:c r="G7" s="56" t="n">
        <x:f>'Calibration Parameters'!F4</x:f>
        <x:v>-0.6887895000000004</x:v>
      </x:c>
      <x:c r="H7" s="56" t="n">
        <x:f>'Calibration Parameters'!H4</x:f>
        <x:v>0.9714197508833292</x:v>
      </x:c>
      <x:c r="I7" s="56" t="n">
        <x:f>'Calibration Parameters'!I4</x:f>
        <x:v>-2.8580249116670786</x:v>
      </x:c>
      <x:c r="J7" s="56" t="n">
        <x:f>'Calibration Parameters'!J4</x:f>
        <x:v>1.0294211118218282</x:v>
      </x:c>
      <x:c r="K7" s="46"/>
      <x:c r="L7" s="46"/>
      <x:c r="M7" s="46"/>
      <x:c r="N7" s="46"/>
      <x:c r="O7" s="46"/>
      <x:c r="P7" s="46"/>
      <x:c r="Q7" s="46"/>
      <x:c r="R7" s="46"/>
      <x:c r="S7" s="46"/>
      <x:c r="T7" s="46"/>
      <x:c r="U7" s="46"/>
      <x:c r="V7" s="46" t="str">
        <x:v>ADXL2-X</x:v>
      </x:c>
      <x:c r="W7" s="56" t="n">
        <x:v>9.805357</x:v>
      </x:c>
      <x:c r="X7" s="56" t="n">
        <x:v>-9.923497</x:v>
      </x:c>
      <x:c r="Y7" s="32" t="n">
        <x:v>9.80665</x:v>
      </x:c>
      <x:c r="AA7" t="str">
        <x:v>ADXL2-X</x:v>
      </x:c>
      <x:c r="AB7" s="32" t="n">
        <x:v>-0.05907</x:v>
      </x:c>
    </x:row>
    <x:row r="8">
      <x:c r="A8" s="46" t="str">
        <x:v>ADXL2</x:v>
      </x:c>
      <x:c r="B8" s="46" t="str">
        <x:v>X</x:v>
      </x:c>
      <x:c r="C8" s="46" t="str">
        <x:v>+X</x:v>
      </x:c>
      <x:c r="D8" s="46" t="str">
        <x:v>-X</x:v>
      </x:c>
      <x:c r="E8" s="56" t="n">
        <x:f>'Calibration Parameters'!D5</x:f>
        <x:v>9.805357</x:v>
      </x:c>
      <x:c r="F8" s="56" t="n">
        <x:f>'Calibration Parameters'!E5</x:f>
        <x:v>-9.923497</x:v>
      </x:c>
      <x:c r="G8" s="56" t="n">
        <x:f>'Calibration Parameters'!F5</x:f>
        <x:v>-0.05906999999999929</x:v>
      </x:c>
      <x:c r="H8" s="56" t="n">
        <x:f>'Calibration Parameters'!H5</x:f>
        <x:v>1.0058916143637227</x:v>
      </x:c>
      <x:c r="I8" s="56" t="n">
        <x:f>'Calibration Parameters'!I5</x:f>
        <x:v>0.5891614363722653</x:v>
      </x:c>
      <x:c r="J8" s="56" t="n">
        <x:f>'Calibration Parameters'!J5</x:f>
        <x:v>0.9941428934493609</x:v>
      </x:c>
      <x:c r="K8" s="46"/>
      <x:c r="L8" s="46"/>
      <x:c r="M8" s="46"/>
      <x:c r="N8" s="46"/>
      <x:c r="O8" s="46"/>
      <x:c r="P8" s="46"/>
      <x:c r="Q8" s="46"/>
      <x:c r="R8" s="46"/>
      <x:c r="S8" s="46"/>
      <x:c r="T8" s="46"/>
      <x:c r="U8" s="46"/>
      <x:c r="V8" s="46" t="str">
        <x:v>ADXL2-Y</x:v>
      </x:c>
      <x:c r="W8" s="56" t="n">
        <x:v>10.226844</x:v>
      </x:c>
      <x:c r="X8" s="56" t="n">
        <x:v>-9.601801</x:v>
      </x:c>
      <x:c r="Y8" s="32" t="n">
        <x:v>9.80665</x:v>
      </x:c>
      <x:c r="AA8" t="str">
        <x:v>ADXL2-Y</x:v>
      </x:c>
      <x:c r="AB8" s="32" t="n">
        <x:v>0.312521</x:v>
      </x:c>
    </x:row>
    <x:row r="9">
      <x:c r="A9" s="46" t="str">
        <x:v>ADXL2</x:v>
      </x:c>
      <x:c r="B9" s="46" t="str">
        <x:v>Y</x:v>
      </x:c>
      <x:c r="C9" s="46" t="str">
        <x:v>+Y</x:v>
      </x:c>
      <x:c r="D9" s="46" t="str">
        <x:v>-Y</x:v>
      </x:c>
      <x:c r="E9" s="56" t="n">
        <x:f>'Calibration Parameters'!D6</x:f>
        <x:v>10.226844</x:v>
      </x:c>
      <x:c r="F9" s="56" t="n">
        <x:f>'Calibration Parameters'!E6</x:f>
        <x:v>-9.601801</x:v>
      </x:c>
      <x:c r="G9" s="56" t="n">
        <x:f>'Calibration Parameters'!F6</x:f>
        <x:v>0.3125214999999999</x:v>
      </x:c>
      <x:c r="H9" s="56" t="n">
        <x:f>'Calibration Parameters'!H6</x:f>
        <x:v>1.0109795393941867</x:v>
      </x:c>
      <x:c r="I9" s="56" t="n">
        <x:f>'Calibration Parameters'!I6</x:f>
        <x:v>1.0979539394186721</x:v>
      </x:c>
      <x:c r="J9" s="56" t="n">
        <x:f>'Calibration Parameters'!J6</x:f>
        <x:v>0.9891397016790606</x:v>
      </x:c>
      <x:c r="K9" s="46"/>
      <x:c r="L9" s="46"/>
      <x:c r="M9" s="46"/>
      <x:c r="N9" s="46"/>
      <x:c r="O9" s="46"/>
      <x:c r="P9" s="46"/>
      <x:c r="Q9" s="46"/>
      <x:c r="R9" s="46"/>
      <x:c r="S9" s="46"/>
      <x:c r="T9" s="46"/>
      <x:c r="U9" s="46"/>
      <x:c r="V9" s="46" t="str">
        <x:v>ADXL2-Z</x:v>
      </x:c>
      <x:c r="W9" s="56" t="n">
        <x:v>11.216983</x:v>
      </x:c>
      <x:c r="X9" s="56" t="n">
        <x:v>-8.171547</x:v>
      </x:c>
      <x:c r="Y9" s="32" t="n">
        <x:v>9.80665</x:v>
      </x:c>
      <x:c r="AA9" t="str">
        <x:v>ADXL2-Z</x:v>
      </x:c>
      <x:c r="AB9" s="32" t="n">
        <x:v>1.522718</x:v>
      </x:c>
    </x:row>
    <x:row r="10">
      <x:c r="A10" s="46" t="str">
        <x:v>ADXL2</x:v>
      </x:c>
      <x:c r="B10" s="46" t="str">
        <x:v>Z</x:v>
      </x:c>
      <x:c r="C10" s="46" t="str">
        <x:v>+Z</x:v>
      </x:c>
      <x:c r="D10" s="46" t="str">
        <x:v>-Z</x:v>
      </x:c>
      <x:c r="E10" s="56" t="n">
        <x:f>'Calibration Parameters'!D7</x:f>
        <x:v>11.216983</x:v>
      </x:c>
      <x:c r="F10" s="56" t="n">
        <x:f>'Calibration Parameters'!E7</x:f>
        <x:v>-8.171547</x:v>
      </x:c>
      <x:c r="G10" s="56" t="n">
        <x:f>'Calibration Parameters'!F7</x:f>
        <x:v>1.5227180000000002</x:v>
      </x:c>
      <x:c r="H10" s="56" t="n">
        <x:f>'Calibration Parameters'!H7</x:f>
        <x:v>0.9885399193404477</x:v>
      </x:c>
      <x:c r="I10" s="56" t="n">
        <x:f>'Calibration Parameters'!I7</x:f>
        <x:v>-1.1460080659552285</x:v>
      </x:c>
      <x:c r="J10" s="56" t="n">
        <x:f>'Calibration Parameters'!J7</x:f>
        <x:v>1.0115929366486267</x:v>
      </x:c>
      <x:c r="K10" s="46"/>
      <x:c r="L10" s="46"/>
      <x:c r="M10" s="46"/>
      <x:c r="N10" s="46"/>
      <x:c r="O10" s="46"/>
      <x:c r="P10" s="46"/>
      <x:c r="Q10" s="46"/>
      <x:c r="R10" s="46"/>
      <x:c r="S10" s="46"/>
      <x:c r="T10" s="46"/>
      <x:c r="U10" s="46"/>
      <x:c r="V10" s="46" t="str">
        <x:v>Ideal</x:v>
      </x:c>
      <x:c r="W10" s="56" t="str"/>
      <x:c r="X10" s="56" t="n">
        <x:v>-9.80665</x:v>
      </x:c>
      <x:c r="Y10" s="32" t="n">
        <x:v>9.80665</x:v>
      </x:c>
    </x:row>
    <x:row r="11">
      <x:c r="A11" s="46"/>
      <x:c r="B11" s="46"/>
      <x:c r="C11" s="46"/>
      <x:c r="D11" s="46"/>
      <x:c r="E11" s="46"/>
      <x:c r="F11" s="46"/>
      <x:c r="G11" s="46"/>
      <x:c r="H11" s="46"/>
      <x:c r="I11" s="46"/>
      <x:c r="J11" s="46"/>
      <x:c r="K11" s="46"/>
      <x:c r="L11" s="46"/>
      <x:c r="M11" s="46"/>
      <x:c r="N11" s="46"/>
      <x:c r="O11" s="46"/>
      <x:c r="P11" s="46"/>
      <x:c r="Q11" s="46"/>
      <x:c r="R11" s="46"/>
      <x:c r="S11" s="46"/>
      <x:c r="T11" s="46"/>
      <x:c r="U11" s="46"/>
      <x:c r="V11" s="46"/>
      <x:c r="W11" s="46"/>
      <x:c r="X11" s="46"/>
    </x:row>
    <x:row r="12">
      <x:c r="A12" s="48" t="str">
        <x:v>Table 4.y — Repeatability and measurement-integrity summary</x:v>
      </x:c>
      <x:c r="B12" s="48"/>
      <x:c r="C12" s="48"/>
      <x:c r="D12" s="48"/>
      <x:c r="E12" s="48"/>
      <x:c r="F12" s="48"/>
      <x:c r="G12" s="48"/>
      <x:c r="H12" s="48"/>
      <x:c r="I12" s="48"/>
      <x:c r="J12" s="48"/>
      <x:c r="K12" s="46"/>
      <x:c r="L12" s="46"/>
      <x:c r="M12" s="46"/>
      <x:c r="N12" s="46"/>
      <x:c r="O12" s="46"/>
      <x:c r="P12" s="46"/>
      <x:c r="Q12" s="46"/>
      <x:c r="R12" s="46"/>
      <x:c r="S12" s="46"/>
      <x:c r="T12" s="46"/>
      <x:c r="U12" s="46"/>
      <x:c r="V12" s="46"/>
      <x:c r="W12" s="46"/>
      <x:c r="X12" s="46"/>
    </x:row>
    <x:row r="13">
      <x:c r="A13" s="12" t="str">
        <x:v>Metric</x:v>
      </x:c>
      <x:c r="B13" s="12" t="str">
        <x:v>ADXL1</x:v>
      </x:c>
      <x:c r="C13" s="12" t="str">
        <x:v>ADXL2</x:v>
      </x:c>
      <x:c r="D13" s="12" t="str">
        <x:v>Overall</x:v>
      </x:c>
      <x:c r="E13" s="12" t="str">
        <x:v>Recommended main-text statement</x:v>
      </x:c>
      <x:c r="F13" s="12" t="str">
        <x:v>Location</x:v>
      </x:c>
      <x:c r="G13" s="46"/>
      <x:c r="H13" s="46"/>
      <x:c r="I13" s="46"/>
      <x:c r="J13" s="46"/>
      <x:c r="K13" s="46"/>
      <x:c r="L13" s="46"/>
      <x:c r="M13" s="46"/>
      <x:c r="N13" s="46"/>
      <x:c r="O13" s="46"/>
      <x:c r="P13" s="46"/>
      <x:c r="Q13" s="46"/>
      <x:c r="R13" s="46"/>
      <x:c r="S13" s="46"/>
      <x:c r="T13" s="46"/>
      <x:c r="U13" s="46"/>
      <x:c r="V13" s="46"/>
      <x:c r="W13" s="46"/>
      <x:c r="X13" s="46"/>
    </x:row>
    <x:row r="14">
      <x:c r="A14" s="46" t="str">
        <x:v>Maximum selected active-axis CV (%)</x:v>
      </x:c>
      <x:c r="B14" s="56" t="n">
        <x:v>0.12483049666062582</x:v>
      </x:c>
      <x:c r="C14" s="56" t="n">
        <x:v>0.13391301386477986</x:v>
      </x:c>
      <x:c r="D14" s="56" t="n">
        <x:v>0.13391301386477986</x:v>
      </x:c>
      <x:c r="E14" s="46" t="str">
        <x:v>All selected poses remained well below 0.5% CV.</x:v>
      </x:c>
      <x:c r="F14" s="46" t="str">
        <x:v>Main text</x:v>
      </x:c>
      <x:c r="G14" s="46"/>
      <x:c r="H14" s="46"/>
      <x:c r="I14" s="46"/>
      <x:c r="J14" s="46"/>
      <x:c r="K14" s="46"/>
      <x:c r="L14" s="46"/>
      <x:c r="M14" s="46"/>
      <x:c r="N14" s="46"/>
      <x:c r="O14" s="46"/>
      <x:c r="P14" s="46"/>
      <x:c r="Q14" s="46"/>
      <x:c r="R14" s="46"/>
      <x:c r="S14" s="46"/>
      <x:c r="T14" s="46"/>
      <x:c r="U14" s="46"/>
      <x:c r="V14" s="46"/>
      <x:c r="W14" s="46"/>
      <x:c r="X14" s="46"/>
    </x:row>
    <x:row r="15">
      <x:c r="A15" s="46" t="str">
        <x:v>Clipping events</x:v>
      </x:c>
      <x:c r="B15" s="46" t="n">
        <x:v>0</x:v>
      </x:c>
      <x:c r="C15" s="46" t="n">
        <x:v>0</x:v>
      </x:c>
      <x:c r="D15" s="46" t="n">
        <x:v>0</x:v>
      </x:c>
      <x:c r="E15" s="46" t="str">
        <x:v>No clipping was observed.</x:v>
      </x:c>
      <x:c r="F15" s="46" t="str">
        <x:v>Main text</x:v>
      </x:c>
      <x:c r="G15" s="46"/>
      <x:c r="H15" s="46"/>
      <x:c r="I15" s="46"/>
      <x:c r="J15" s="46"/>
      <x:c r="K15" s="46"/>
      <x:c r="L15" s="46"/>
      <x:c r="M15" s="46"/>
      <x:c r="N15" s="46"/>
      <x:c r="O15" s="46"/>
      <x:c r="P15" s="46"/>
      <x:c r="Q15" s="46"/>
      <x:c r="R15" s="46"/>
      <x:c r="S15" s="46"/>
      <x:c r="T15" s="46"/>
      <x:c r="U15" s="46"/>
      <x:c r="V15" s="46"/>
      <x:c r="W15" s="46"/>
      <x:c r="X15" s="46"/>
    </x:row>
    <x:row r="16">
      <x:c r="A16" s="46" t="str">
        <x:v>Late samples</x:v>
      </x:c>
      <x:c r="B16" s="46" t="n">
        <x:v>0</x:v>
      </x:c>
      <x:c r="C16" s="46" t="n">
        <x:v>0</x:v>
      </x:c>
      <x:c r="D16" s="46" t="n">
        <x:v>0</x:v>
      </x:c>
      <x:c r="E16" s="46" t="str">
        <x:v>No late samples were observed in the selected records.</x:v>
      </x:c>
      <x:c r="F16" s="46" t="str">
        <x:v>Main text</x:v>
      </x:c>
      <x:c r="G16" s="46"/>
      <x:c r="H16" s="46"/>
      <x:c r="I16" s="46"/>
      <x:c r="J16" s="46"/>
      <x:c r="K16" s="46"/>
      <x:c r="L16" s="46"/>
      <x:c r="M16" s="46"/>
      <x:c r="N16" s="46"/>
      <x:c r="O16" s="46"/>
      <x:c r="P16" s="46"/>
      <x:c r="Q16" s="46"/>
      <x:c r="R16" s="46"/>
      <x:c r="S16" s="46"/>
      <x:c r="T16" s="46"/>
      <x:c r="U16" s="46"/>
      <x:c r="V16" s="46"/>
      <x:c r="W16" s="46"/>
      <x:c r="X16" s="46"/>
    </x:row>
    <x:row r="17">
      <x:c r="A17" s="46" t="str">
        <x:v>Register integrity</x:v>
      </x:c>
      <x:c r="B17" s="46" t="str">
        <x:v>PASS</x:v>
      </x:c>
      <x:c r="C17" s="46" t="str">
        <x:v>PASS</x:v>
      </x:c>
      <x:c r="D17" s="46" t="str">
        <x:v>PASS</x:v>
      </x:c>
      <x:c r="E17" s="46" t="str">
        <x:v>Sensor configuration remained unchanged before/after records.</x:v>
      </x:c>
      <x:c r="F17" s="46" t="str">
        <x:v>Main text</x:v>
      </x:c>
      <x:c r="G17" s="46"/>
      <x:c r="H17" s="46"/>
      <x:c r="I17" s="46"/>
      <x:c r="J17" s="46"/>
      <x:c r="K17" s="46"/>
      <x:c r="L17" s="46"/>
      <x:c r="M17" s="46"/>
      <x:c r="N17" s="46"/>
      <x:c r="O17" s="46"/>
      <x:c r="P17" s="46"/>
      <x:c r="Q17" s="46"/>
      <x:c r="R17" s="46"/>
      <x:c r="S17" s="46"/>
      <x:c r="T17" s="46"/>
      <x:c r="U17" s="46"/>
      <x:c r="V17" s="46"/>
      <x:c r="W17" s="46"/>
      <x:c r="X17" s="46"/>
    </x:row>
    <x:row r="18">
      <x:c r="A18" s="46" t="str">
        <x:v>Raw repeats</x:v>
      </x:c>
      <x:c r="B18" s="46" t="str">
        <x:v>18</x:v>
      </x:c>
      <x:c r="C18" s="46" t="str">
        <x:v>18</x:v>
      </x:c>
      <x:c r="D18" s="46" t="str">
        <x:v>36</x:v>
      </x:c>
      <x:c r="E18" s="46" t="str">
        <x:v>Three independent records were acquired per pose.</x:v>
      </x:c>
      <x:c r="F18" s="46" t="str">
        <x:v>Methods/results</x:v>
      </x:c>
      <x:c r="G18" s="46"/>
      <x:c r="H18" s="46"/>
      <x:c r="I18" s="46"/>
      <x:c r="J18" s="46"/>
      <x:c r="K18" s="46"/>
      <x:c r="L18" s="46"/>
      <x:c r="M18" s="46"/>
      <x:c r="N18" s="46"/>
      <x:c r="O18" s="46"/>
      <x:c r="P18" s="46"/>
      <x:c r="Q18" s="46"/>
      <x:c r="R18" s="46"/>
      <x:c r="S18" s="46"/>
      <x:c r="T18" s="46"/>
      <x:c r="U18" s="46"/>
      <x:c r="V18" s="46"/>
      <x:c r="W18" s="46"/>
      <x:c r="X18" s="46"/>
    </x:row>
    <x:row r="19">
      <x:c r="A19" s="46"/>
      <x:c r="B19" s="46"/>
      <x:c r="C19" s="46"/>
      <x:c r="D19" s="46"/>
      <x:c r="E19" s="46"/>
      <x:c r="F19" s="46"/>
      <x:c r="G19" s="46"/>
      <x:c r="H19" s="46"/>
      <x:c r="I19" s="46"/>
      <x:c r="J19" s="46"/>
      <x:c r="K19" s="46"/>
      <x:c r="L19" s="46"/>
      <x:c r="M19" s="46"/>
      <x:c r="N19" s="46"/>
      <x:c r="O19" s="46"/>
      <x:c r="P19" s="46"/>
      <x:c r="Q19" s="46"/>
      <x:c r="R19" s="46"/>
      <x:c r="S19" s="46"/>
      <x:c r="T19" s="46"/>
      <x:c r="U19" s="46"/>
      <x:c r="V19" s="46"/>
      <x:c r="W19" s="46"/>
      <x:c r="X19" s="46"/>
    </x:row>
    <x:row r="20">
      <x:c r="A20" s="48" t="str">
        <x:v>Recommended figures</x:v>
      </x:c>
      <x:c r="B20" s="48"/>
      <x:c r="C20" s="48"/>
      <x:c r="D20" s="48"/>
      <x:c r="E20" s="48"/>
      <x:c r="F20" s="48"/>
      <x:c r="G20" s="48"/>
      <x:c r="H20" s="48"/>
      <x:c r="I20" s="48"/>
      <x:c r="J20" s="48"/>
      <x:c r="K20" s="46"/>
      <x:c r="L20" s="46"/>
      <x:c r="M20" s="46"/>
      <x:c r="N20" s="46"/>
      <x:c r="O20" s="46"/>
      <x:c r="P20" s="46"/>
      <x:c r="Q20" s="46"/>
      <x:c r="R20" s="46"/>
      <x:c r="S20" s="46"/>
      <x:c r="T20" s="46"/>
      <x:c r="U20" s="46"/>
      <x:c r="V20" s="46"/>
      <x:c r="W20" s="46"/>
      <x:c r="X20" s="46"/>
    </x:row>
    <x:row r="21">
      <x:c r="A21" s="12" t="str">
        <x:v>Figure</x:v>
      </x:c>
      <x:c r="B21" s="12" t="str">
        <x:v>Plot</x:v>
      </x:c>
      <x:c r="C21" s="12" t="str">
        <x:v>Reason</x:v>
      </x:c>
      <x:c r="D21" s="46"/>
      <x:c r="E21" s="46"/>
      <x:c r="F21" s="46"/>
      <x:c r="G21" s="46"/>
      <x:c r="H21" s="46"/>
      <x:c r="I21" s="46"/>
      <x:c r="J21" s="46"/>
      <x:c r="K21" s="46"/>
      <x:c r="L21" s="46"/>
      <x:c r="M21" s="46"/>
      <x:c r="N21" s="46"/>
      <x:c r="O21" s="46"/>
      <x:c r="P21" s="46"/>
      <x:c r="Q21" s="46"/>
      <x:c r="R21" s="46"/>
      <x:c r="S21" s="46"/>
      <x:c r="T21" s="46"/>
      <x:c r="U21" s="46"/>
      <x:c r="V21" s="46"/>
      <x:c r="W21" s="46"/>
      <x:c r="X21" s="46"/>
    </x:row>
    <x:row r="22">
      <x:c r="A22" s="47" t="str">
        <x:v>Figure 4.x</x:v>
      </x:c>
      <x:c r="B22" s="47" t="str">
        <x:v>Measured +g/−g active-axis response with ideal ±9.80665 m/s² reference</x:v>
      </x:c>
      <x:c r="C22" s="47" t="str">
        <x:v>Makes polarity asymmetry and offset immediately visible</x:v>
      </x:c>
      <x:c r="D22" s="46"/>
      <x:c r="E22" s="46"/>
      <x:c r="F22" s="46"/>
      <x:c r="G22" s="46"/>
      <x:c r="H22" s="46"/>
      <x:c r="I22" s="46"/>
      <x:c r="J22" s="46"/>
      <x:c r="K22" s="46"/>
      <x:c r="L22" s="46"/>
      <x:c r="M22" s="46"/>
      <x:c r="N22" s="46"/>
      <x:c r="O22" s="46"/>
      <x:c r="P22" s="46"/>
      <x:c r="Q22" s="46"/>
      <x:c r="R22" s="46"/>
      <x:c r="S22" s="46"/>
      <x:c r="T22" s="46"/>
      <x:c r="U22" s="46"/>
      <x:c r="V22" s="46"/>
      <x:c r="W22" s="46"/>
      <x:c r="X22" s="46"/>
    </x:row>
    <x:row r="23">
      <x:c r="A23" s="47" t="str">
        <x:v>Figure 4.y</x:v>
      </x:c>
      <x:c r="B23" s="47" t="str">
        <x:v>Candidate bias b for X/Y/Z of ADXL1 and ADXL2</x:v>
      </x:c>
      <x:c r="C23" s="47" t="str">
        <x:v>Shows opposite-sign Z bias clearly</x:v>
      </x:c>
      <x:c r="D23" s="46"/>
      <x:c r="E23" s="46"/>
      <x:c r="F23" s="46"/>
      <x:c r="G23" s="46"/>
      <x:c r="H23" s="46"/>
      <x:c r="I23" s="46"/>
      <x:c r="J23" s="46"/>
      <x:c r="K23" s="46"/>
      <x:c r="L23" s="46"/>
      <x:c r="M23" s="46"/>
      <x:c r="N23" s="46"/>
      <x:c r="O23" s="46"/>
      <x:c r="P23" s="46"/>
      <x:c r="Q23" s="46"/>
      <x:c r="R23" s="46"/>
      <x:c r="S23" s="46"/>
      <x:c r="T23" s="46"/>
      <x:c r="U23" s="46"/>
      <x:c r="V23" s="46"/>
      <x:c r="W23" s="46"/>
      <x:c r="X23" s="46"/>
    </x:row>
    <x:row r="24">
      <x:c r="A24" s="47" t="str">
        <x:v>Figure 4.z (after validation)</x:v>
      </x:c>
      <x:c r="B24" s="47" t="str">
        <x:v>Raw vs corrected gravity error using independent validation data</x:v>
      </x:c>
      <x:c r="C24" s="47" t="str">
        <x:v>Do not generate final version from calibration data itself</x:v>
      </x:c>
      <x:c r="D24" s="46"/>
      <x:c r="E24" s="46"/>
      <x:c r="F24" s="46"/>
      <x:c r="G24" s="46"/>
      <x:c r="H24" s="46"/>
      <x:c r="I24" s="46"/>
      <x:c r="J24" s="46"/>
      <x:c r="K24" s="46"/>
      <x:c r="L24" s="46"/>
      <x:c r="M24" s="46"/>
      <x:c r="N24" s="46"/>
      <x:c r="O24" s="46"/>
      <x:c r="P24" s="46"/>
      <x:c r="Q24" s="46"/>
      <x:c r="R24" s="46"/>
      <x:c r="S24" s="46"/>
      <x:c r="T24" s="46"/>
      <x:c r="U24" s="46"/>
      <x:c r="V24" s="46"/>
      <x:c r="W24" s="46"/>
      <x:c r="X24" s="46"/>
    </x:row>
    <x:row r="25">
      <x:c r="A25" s="46"/>
      <x:c r="B25" s="46"/>
      <x:c r="C25" s="46"/>
      <x:c r="D25" s="46"/>
      <x:c r="E25" s="46"/>
      <x:c r="F25" s="46"/>
      <x:c r="G25" s="46"/>
      <x:c r="H25" s="46"/>
      <x:c r="I25" s="46"/>
      <x:c r="J25" s="46"/>
      <x:c r="K25" s="46"/>
      <x:c r="L25" s="46"/>
      <x:c r="M25" s="46"/>
      <x:c r="N25" s="46"/>
      <x:c r="O25" s="46"/>
      <x:c r="P25" s="46"/>
      <x:c r="Q25" s="46"/>
      <x:c r="R25" s="46"/>
      <x:c r="S25" s="46"/>
      <x:c r="T25" s="46"/>
      <x:c r="U25" s="46"/>
      <x:c r="V25" s="46"/>
      <x:c r="W25" s="46"/>
      <x:c r="X25" s="46"/>
    </x:row>
    <x:row r="26">
      <x:c r="A26" s="46"/>
      <x:c r="B26" s="46"/>
      <x:c r="C26" s="46"/>
      <x:c r="D26" s="46"/>
      <x:c r="E26" s="46"/>
      <x:c r="F26" s="46"/>
      <x:c r="G26" s="46"/>
      <x:c r="H26" s="46"/>
      <x:c r="I26" s="46"/>
      <x:c r="J26" s="46"/>
      <x:c r="K26" s="46"/>
      <x:c r="L26" s="46"/>
      <x:c r="M26" s="46"/>
      <x:c r="N26" s="46"/>
      <x:c r="O26" s="46"/>
      <x:c r="P26" s="46"/>
      <x:c r="Q26" s="46"/>
      <x:c r="R26" s="46"/>
      <x:c r="S26" s="46"/>
      <x:c r="T26" s="46"/>
      <x:c r="U26" s="46"/>
      <x:c r="V26" s="46"/>
      <x:c r="W26" s="46"/>
      <x:c r="X26" s="46"/>
    </x:row>
    <x:row r="27">
      <x:c r="A27" s="46"/>
      <x:c r="B27" s="46"/>
      <x:c r="C27" s="46"/>
      <x:c r="D27" s="46"/>
      <x:c r="E27" s="46"/>
      <x:c r="F27" s="46"/>
      <x:c r="G27" s="46"/>
      <x:c r="H27" s="46"/>
      <x:c r="I27" s="46"/>
      <x:c r="J27" s="46"/>
      <x:c r="K27" s="46"/>
      <x:c r="L27" s="46"/>
      <x:c r="M27" s="46"/>
      <x:c r="N27" s="46"/>
      <x:c r="O27" s="46"/>
      <x:c r="P27" s="46"/>
      <x:c r="Q27" s="46"/>
      <x:c r="R27" s="46"/>
      <x:c r="S27" s="46"/>
      <x:c r="T27" s="46"/>
      <x:c r="U27" s="46"/>
      <x:c r="V27" s="46"/>
      <x:c r="W27" s="46"/>
      <x:c r="X27" s="46"/>
    </x:row>
    <x:row r="28">
      <x:c r="A28" s="46"/>
      <x:c r="B28" s="46"/>
      <x:c r="C28" s="46"/>
      <x:c r="D28" s="46"/>
      <x:c r="E28" s="46"/>
      <x:c r="F28" s="46"/>
      <x:c r="G28" s="46"/>
      <x:c r="H28" s="46"/>
      <x:c r="I28" s="46"/>
      <x:c r="J28" s="46"/>
      <x:c r="K28" s="46"/>
      <x:c r="L28" s="46"/>
      <x:c r="M28" s="46"/>
      <x:c r="N28" s="46"/>
      <x:c r="O28" s="46"/>
      <x:c r="P28" s="46"/>
      <x:c r="Q28" s="46"/>
      <x:c r="R28" s="46"/>
      <x:c r="S28" s="46"/>
      <x:c r="T28" s="46"/>
      <x:c r="U28" s="46"/>
      <x:c r="V28" s="46"/>
      <x:c r="W28" s="46"/>
      <x:c r="X28" s="46"/>
    </x:row>
    <x:row r="29">
      <x:c r="A29" s="46"/>
      <x:c r="B29" s="46"/>
      <x:c r="C29" s="46"/>
      <x:c r="D29" s="46"/>
      <x:c r="E29" s="46"/>
      <x:c r="F29" s="46"/>
      <x:c r="G29" s="46"/>
      <x:c r="H29" s="46"/>
      <x:c r="I29" s="46"/>
      <x:c r="J29" s="46"/>
      <x:c r="K29" s="46"/>
      <x:c r="L29" s="46"/>
      <x:c r="M29" s="46"/>
      <x:c r="N29" s="46"/>
      <x:c r="O29" s="46"/>
      <x:c r="P29" s="46"/>
      <x:c r="Q29" s="46"/>
      <x:c r="R29" s="46"/>
      <x:c r="S29" s="46"/>
      <x:c r="T29" s="46"/>
      <x:c r="U29" s="46"/>
      <x:c r="V29" s="46"/>
      <x:c r="W29" s="46"/>
      <x:c r="X29" s="46"/>
    </x:row>
    <x:row r="30">
      <x:c r="A30" s="46"/>
      <x:c r="B30" s="46"/>
      <x:c r="C30" s="46"/>
      <x:c r="D30" s="46"/>
      <x:c r="E30" s="46"/>
      <x:c r="F30" s="46"/>
      <x:c r="G30" s="46"/>
      <x:c r="H30" s="46"/>
      <x:c r="I30" s="46"/>
      <x:c r="J30" s="46"/>
      <x:c r="K30" s="46"/>
      <x:c r="L30" s="46"/>
      <x:c r="M30" s="46"/>
      <x:c r="N30" s="46"/>
      <x:c r="O30" s="46"/>
      <x:c r="P30" s="46"/>
      <x:c r="Q30" s="46"/>
      <x:c r="R30" s="46"/>
      <x:c r="S30" s="46"/>
      <x:c r="T30" s="46"/>
      <x:c r="U30" s="46"/>
      <x:c r="V30" s="46"/>
      <x:c r="W30" s="46"/>
      <x:c r="X30" s="46"/>
    </x:row>
    <x:row r="31">
      <x:c r="A31" s="46"/>
      <x:c r="B31" s="46"/>
      <x:c r="C31" s="46"/>
      <x:c r="D31" s="46"/>
      <x:c r="E31" s="46"/>
      <x:c r="F31" s="46"/>
      <x:c r="G31" s="46"/>
      <x:c r="H31" s="46"/>
      <x:c r="I31" s="46"/>
      <x:c r="J31" s="46"/>
      <x:c r="K31" s="46"/>
      <x:c r="L31" s="46"/>
      <x:c r="M31" s="46"/>
      <x:c r="N31" s="46"/>
      <x:c r="O31" s="46"/>
      <x:c r="P31" s="46"/>
      <x:c r="Q31" s="46"/>
      <x:c r="R31" s="46"/>
      <x:c r="S31" s="46"/>
      <x:c r="T31" s="46"/>
      <x:c r="U31" s="46"/>
      <x:c r="V31" s="46"/>
      <x:c r="W31" s="46"/>
      <x:c r="X31" s="46"/>
    </x:row>
    <x:row r="32">
      <x:c r="A32" s="46"/>
      <x:c r="B32" s="46"/>
      <x:c r="C32" s="46"/>
      <x:c r="D32" s="46"/>
      <x:c r="E32" s="46"/>
      <x:c r="F32" s="46"/>
      <x:c r="G32" s="46"/>
      <x:c r="H32" s="46"/>
      <x:c r="I32" s="46"/>
      <x:c r="J32" s="46"/>
      <x:c r="K32" s="46"/>
      <x:c r="L32" s="46"/>
      <x:c r="M32" s="46"/>
      <x:c r="N32" s="46"/>
      <x:c r="O32" s="46"/>
      <x:c r="P32" s="46"/>
      <x:c r="Q32" s="46"/>
      <x:c r="R32" s="46"/>
      <x:c r="S32" s="46"/>
      <x:c r="T32" s="46"/>
      <x:c r="U32" s="46"/>
      <x:c r="V32" s="46"/>
      <x:c r="W32" s="46"/>
      <x:c r="X32" s="46"/>
    </x:row>
    <x:row r="33">
      <x:c r="A33" s="46"/>
      <x:c r="B33" s="46"/>
      <x:c r="C33" s="46"/>
      <x:c r="D33" s="46"/>
      <x:c r="E33" s="46"/>
      <x:c r="F33" s="46"/>
      <x:c r="G33" s="46"/>
      <x:c r="H33" s="46"/>
      <x:c r="I33" s="46"/>
      <x:c r="J33" s="46"/>
      <x:c r="K33" s="46"/>
      <x:c r="L33" s="46"/>
      <x:c r="M33" s="46"/>
      <x:c r="N33" s="46"/>
      <x:c r="O33" s="46"/>
      <x:c r="P33" s="46"/>
      <x:c r="Q33" s="46"/>
      <x:c r="R33" s="46"/>
      <x:c r="S33" s="46"/>
      <x:c r="T33" s="46"/>
      <x:c r="U33" s="46"/>
      <x:c r="V33" s="46"/>
      <x:c r="W33" s="46"/>
      <x:c r="X33" s="46"/>
    </x:row>
    <x:row r="34">
      <x:c r="A34" s="46"/>
      <x:c r="B34" s="46"/>
      <x:c r="C34" s="46"/>
      <x:c r="D34" s="46"/>
      <x:c r="E34" s="46"/>
      <x:c r="F34" s="46"/>
      <x:c r="G34" s="46"/>
      <x:c r="H34" s="46"/>
      <x:c r="I34" s="46"/>
      <x:c r="J34" s="46"/>
      <x:c r="K34" s="46"/>
      <x:c r="L34" s="46"/>
      <x:c r="M34" s="46"/>
      <x:c r="N34" s="46"/>
      <x:c r="O34" s="46"/>
      <x:c r="P34" s="46"/>
      <x:c r="Q34" s="46"/>
      <x:c r="R34" s="46"/>
      <x:c r="S34" s="46"/>
      <x:c r="T34" s="46"/>
      <x:c r="U34" s="46"/>
      <x:c r="V34" s="46"/>
      <x:c r="W34" s="46"/>
      <x:c r="X34" s="46"/>
    </x:row>
    <x:row r="35">
      <x:c r="A35" s="46"/>
      <x:c r="B35" s="46"/>
      <x:c r="C35" s="46"/>
      <x:c r="D35" s="46"/>
      <x:c r="E35" s="46"/>
      <x:c r="F35" s="46"/>
      <x:c r="G35" s="46"/>
      <x:c r="H35" s="46"/>
      <x:c r="I35" s="46"/>
      <x:c r="J35" s="46"/>
      <x:c r="K35" s="46"/>
      <x:c r="L35" s="46"/>
      <x:c r="M35" s="46"/>
      <x:c r="N35" s="46"/>
      <x:c r="O35" s="46"/>
      <x:c r="P35" s="46"/>
      <x:c r="Q35" s="46"/>
      <x:c r="R35" s="46"/>
      <x:c r="S35" s="46"/>
      <x:c r="T35" s="46"/>
      <x:c r="U35" s="46"/>
      <x:c r="V35" s="46"/>
      <x:c r="W35" s="46"/>
      <x:c r="X35" s="46"/>
    </x:row>
    <x:row r="36">
      <x:c r="A36" s="46"/>
      <x:c r="B36" s="46"/>
      <x:c r="C36" s="46"/>
      <x:c r="D36" s="46"/>
      <x:c r="E36" s="46"/>
      <x:c r="F36" s="46"/>
      <x:c r="G36" s="46"/>
      <x:c r="H36" s="46"/>
      <x:c r="I36" s="46"/>
      <x:c r="J36" s="46"/>
      <x:c r="K36" s="46"/>
      <x:c r="L36" s="46"/>
      <x:c r="M36" s="46"/>
      <x:c r="N36" s="46"/>
      <x:c r="O36" s="46"/>
      <x:c r="P36" s="46"/>
      <x:c r="Q36" s="46"/>
      <x:c r="R36" s="46"/>
      <x:c r="S36" s="46"/>
      <x:c r="T36" s="46"/>
      <x:c r="U36" s="46"/>
      <x:c r="V36" s="46"/>
      <x:c r="W36" s="46"/>
      <x:c r="X36" s="46"/>
    </x:row>
    <x:row r="37">
      <x:c r="A37" s="46"/>
      <x:c r="B37" s="46"/>
      <x:c r="C37" s="46"/>
      <x:c r="D37" s="46"/>
      <x:c r="E37" s="46"/>
      <x:c r="F37" s="46"/>
      <x:c r="G37" s="46"/>
      <x:c r="H37" s="46"/>
      <x:c r="I37" s="46"/>
      <x:c r="J37" s="46"/>
      <x:c r="K37" s="46"/>
      <x:c r="L37" s="46"/>
      <x:c r="M37" s="46"/>
      <x:c r="N37" s="46"/>
      <x:c r="O37" s="46"/>
      <x:c r="P37" s="46"/>
      <x:c r="Q37" s="46"/>
      <x:c r="R37" s="46"/>
      <x:c r="S37" s="46"/>
      <x:c r="T37" s="46"/>
      <x:c r="U37" s="46"/>
      <x:c r="V37" s="46"/>
      <x:c r="W37" s="46"/>
      <x:c r="X37" s="46"/>
    </x:row>
    <x:row r="38">
      <x:c r="A38" s="46"/>
      <x:c r="B38" s="46"/>
      <x:c r="C38" s="46"/>
      <x:c r="D38" s="46"/>
      <x:c r="E38" s="46"/>
      <x:c r="F38" s="46"/>
      <x:c r="G38" s="46"/>
      <x:c r="H38" s="46"/>
      <x:c r="I38" s="46"/>
      <x:c r="J38" s="46"/>
      <x:c r="K38" s="46"/>
      <x:c r="L38" s="46"/>
      <x:c r="M38" s="46"/>
      <x:c r="N38" s="46"/>
      <x:c r="O38" s="46"/>
      <x:c r="P38" s="46"/>
      <x:c r="Q38" s="46"/>
      <x:c r="R38" s="46"/>
      <x:c r="S38" s="46"/>
      <x:c r="T38" s="46"/>
      <x:c r="U38" s="46"/>
      <x:c r="V38" s="46"/>
      <x:c r="W38" s="46"/>
      <x:c r="X38" s="46"/>
    </x:row>
    <x:row r="39">
      <x:c r="A39" s="46"/>
      <x:c r="B39" s="46"/>
      <x:c r="C39" s="46"/>
      <x:c r="D39" s="46"/>
      <x:c r="E39" s="46"/>
      <x:c r="F39" s="46"/>
      <x:c r="G39" s="46"/>
      <x:c r="H39" s="46"/>
      <x:c r="I39" s="46"/>
      <x:c r="J39" s="46"/>
      <x:c r="K39" s="46"/>
      <x:c r="L39" s="46"/>
      <x:c r="M39" s="46"/>
      <x:c r="N39" s="46"/>
      <x:c r="O39" s="46"/>
      <x:c r="P39" s="46"/>
      <x:c r="Q39" s="46"/>
      <x:c r="R39" s="46"/>
      <x:c r="S39" s="46"/>
      <x:c r="T39" s="46"/>
      <x:c r="U39" s="46"/>
      <x:c r="V39" s="46"/>
      <x:c r="W39" s="46"/>
      <x:c r="X39" s="46"/>
    </x:row>
    <x:row r="40">
      <x:c r="A40" s="46"/>
      <x:c r="B40" s="46"/>
      <x:c r="C40" s="46"/>
      <x:c r="D40" s="46"/>
      <x:c r="E40" s="46"/>
      <x:c r="F40" s="46"/>
      <x:c r="G40" s="46"/>
      <x:c r="H40" s="46"/>
      <x:c r="I40" s="46"/>
      <x:c r="J40" s="46"/>
      <x:c r="K40" s="46"/>
      <x:c r="L40" s="46"/>
      <x:c r="M40" s="46"/>
      <x:c r="N40" s="46"/>
      <x:c r="O40" s="46"/>
      <x:c r="P40" s="46"/>
      <x:c r="Q40" s="46"/>
      <x:c r="R40" s="46"/>
      <x:c r="S40" s="46"/>
      <x:c r="T40" s="46"/>
      <x:c r="U40" s="46"/>
      <x:c r="V40" s="46"/>
      <x:c r="W40" s="46"/>
      <x:c r="X40" s="46"/>
    </x:row>
    <x:row r="41">
      <x:c r="A41" s="46"/>
      <x:c r="B41" s="46"/>
      <x:c r="C41" s="46"/>
      <x:c r="D41" s="46"/>
      <x:c r="E41" s="46"/>
      <x:c r="F41" s="46"/>
      <x:c r="G41" s="46"/>
      <x:c r="H41" s="46"/>
      <x:c r="I41" s="46"/>
      <x:c r="J41" s="46"/>
      <x:c r="K41" s="46"/>
      <x:c r="L41" s="46"/>
      <x:c r="M41" s="46"/>
      <x:c r="N41" s="46"/>
      <x:c r="O41" s="46"/>
      <x:c r="P41" s="46"/>
      <x:c r="Q41" s="46"/>
      <x:c r="R41" s="46"/>
      <x:c r="S41" s="46"/>
      <x:c r="T41" s="46"/>
      <x:c r="U41" s="46"/>
      <x:c r="V41" s="46"/>
      <x:c r="W41" s="46"/>
      <x:c r="X41" s="46"/>
    </x:row>
    <x:row r="42">
      <x:c r="A42" s="46"/>
      <x:c r="B42" s="46"/>
      <x:c r="C42" s="46"/>
      <x:c r="D42" s="46"/>
      <x:c r="E42" s="46"/>
      <x:c r="F42" s="46"/>
      <x:c r="G42" s="46"/>
      <x:c r="H42" s="46"/>
      <x:c r="I42" s="46"/>
      <x:c r="J42" s="46"/>
      <x:c r="K42" s="46"/>
      <x:c r="L42" s="46"/>
      <x:c r="M42" s="46"/>
      <x:c r="N42" s="46"/>
      <x:c r="O42" s="46"/>
      <x:c r="P42" s="46"/>
      <x:c r="Q42" s="46"/>
      <x:c r="R42" s="46"/>
      <x:c r="S42" s="46"/>
      <x:c r="T42" s="46"/>
      <x:c r="U42" s="46"/>
      <x:c r="V42" s="46"/>
      <x:c r="W42" s="46"/>
      <x:c r="X42" s="46"/>
    </x:row>
    <x:row r="43">
      <x:c r="A43" s="46"/>
      <x:c r="B43" s="46"/>
      <x:c r="C43" s="46"/>
      <x:c r="D43" s="46"/>
      <x:c r="E43" s="46"/>
      <x:c r="F43" s="46"/>
      <x:c r="G43" s="46"/>
      <x:c r="H43" s="46"/>
      <x:c r="I43" s="46"/>
      <x:c r="J43" s="46"/>
      <x:c r="K43" s="46"/>
      <x:c r="L43" s="46"/>
      <x:c r="M43" s="46"/>
      <x:c r="N43" s="46"/>
      <x:c r="O43" s="46"/>
      <x:c r="P43" s="46"/>
      <x:c r="Q43" s="46"/>
      <x:c r="R43" s="46"/>
      <x:c r="S43" s="46"/>
      <x:c r="T43" s="46"/>
      <x:c r="U43" s="46"/>
      <x:c r="V43" s="46"/>
      <x:c r="W43" s="46"/>
      <x:c r="X43" s="46"/>
    </x:row>
    <x:row r="44">
      <x:c r="A44" s="46"/>
      <x:c r="B44" s="46"/>
      <x:c r="C44" s="46"/>
      <x:c r="D44" s="46"/>
      <x:c r="E44" s="46"/>
      <x:c r="F44" s="46"/>
      <x:c r="G44" s="46"/>
      <x:c r="H44" s="46"/>
      <x:c r="I44" s="46"/>
      <x:c r="J44" s="46"/>
      <x:c r="K44" s="46"/>
      <x:c r="L44" s="46"/>
      <x:c r="M44" s="46"/>
      <x:c r="N44" s="46"/>
      <x:c r="O44" s="46"/>
      <x:c r="P44" s="46"/>
      <x:c r="Q44" s="46"/>
      <x:c r="R44" s="46"/>
      <x:c r="S44" s="46"/>
      <x:c r="T44" s="46"/>
      <x:c r="U44" s="46"/>
      <x:c r="V44" s="46"/>
      <x:c r="W44" s="46"/>
      <x:c r="X44" s="46"/>
    </x:row>
    <x:row r="45">
      <x:c r="A45" s="46"/>
      <x:c r="B45" s="46"/>
      <x:c r="C45" s="46"/>
      <x:c r="D45" s="46"/>
      <x:c r="E45" s="46"/>
      <x:c r="F45" s="46"/>
      <x:c r="G45" s="46"/>
      <x:c r="H45" s="46"/>
      <x:c r="I45" s="46"/>
      <x:c r="J45" s="46"/>
      <x:c r="K45" s="46"/>
      <x:c r="L45" s="46"/>
      <x:c r="M45" s="46"/>
      <x:c r="N45" s="46"/>
      <x:c r="O45" s="46"/>
      <x:c r="P45" s="46"/>
      <x:c r="Q45" s="46"/>
      <x:c r="R45" s="46"/>
      <x:c r="S45" s="46"/>
      <x:c r="T45" s="46"/>
      <x:c r="U45" s="46"/>
      <x:c r="V45" s="46"/>
      <x:c r="W45" s="46"/>
      <x:c r="X45" s="46"/>
    </x:row>
    <x:row r="46">
      <x:c r="A46" s="46"/>
      <x:c r="B46" s="46"/>
      <x:c r="C46" s="46"/>
      <x:c r="D46" s="46"/>
      <x:c r="E46" s="46"/>
      <x:c r="F46" s="46"/>
      <x:c r="G46" s="46"/>
      <x:c r="H46" s="46"/>
      <x:c r="I46" s="46"/>
      <x:c r="J46" s="46"/>
      <x:c r="K46" s="46"/>
      <x:c r="L46" s="46"/>
      <x:c r="M46" s="46"/>
      <x:c r="N46" s="46"/>
      <x:c r="O46" s="46"/>
      <x:c r="P46" s="46"/>
      <x:c r="Q46" s="46"/>
      <x:c r="R46" s="46"/>
      <x:c r="S46" s="46"/>
      <x:c r="T46" s="46"/>
      <x:c r="U46" s="46"/>
      <x:c r="V46" s="46"/>
      <x:c r="W46" s="46"/>
      <x:c r="X46" s="46"/>
    </x:row>
    <x:row r="47">
      <x:c r="A47" s="46"/>
      <x:c r="B47" s="46"/>
      <x:c r="C47" s="46"/>
      <x:c r="D47" s="46"/>
      <x:c r="E47" s="46"/>
      <x:c r="F47" s="46"/>
      <x:c r="G47" s="46"/>
      <x:c r="H47" s="46"/>
      <x:c r="I47" s="46"/>
      <x:c r="J47" s="46"/>
      <x:c r="K47" s="46"/>
      <x:c r="L47" s="46"/>
      <x:c r="M47" s="46"/>
      <x:c r="N47" s="46"/>
      <x:c r="O47" s="46"/>
      <x:c r="P47" s="46"/>
      <x:c r="Q47" s="46"/>
      <x:c r="R47" s="46"/>
      <x:c r="S47" s="46"/>
      <x:c r="T47" s="46"/>
      <x:c r="U47" s="46"/>
      <x:c r="V47" s="46"/>
      <x:c r="W47" s="46"/>
      <x:c r="X47" s="46"/>
    </x:row>
    <x:row r="48">
      <x:c r="A48" s="46"/>
      <x:c r="B48" s="46"/>
      <x:c r="C48" s="46"/>
      <x:c r="D48" s="46"/>
      <x:c r="E48" s="46"/>
      <x:c r="F48" s="46"/>
      <x:c r="G48" s="46"/>
      <x:c r="H48" s="46"/>
      <x:c r="I48" s="46"/>
      <x:c r="J48" s="46"/>
      <x:c r="K48" s="46"/>
      <x:c r="L48" s="46"/>
      <x:c r="M48" s="46"/>
      <x:c r="N48" s="46"/>
      <x:c r="O48" s="46"/>
      <x:c r="P48" s="46"/>
      <x:c r="Q48" s="46"/>
      <x:c r="R48" s="46"/>
      <x:c r="S48" s="46"/>
      <x:c r="T48" s="46"/>
      <x:c r="U48" s="46"/>
      <x:c r="V48" s="46"/>
      <x:c r="W48" s="46"/>
      <x:c r="X48" s="46"/>
    </x:row>
    <x:row r="49">
      <x:c r="A49" s="46"/>
      <x:c r="B49" s="46"/>
      <x:c r="C49" s="46"/>
      <x:c r="D49" s="46"/>
      <x:c r="E49" s="46"/>
      <x:c r="F49" s="46"/>
      <x:c r="G49" s="46"/>
      <x:c r="H49" s="46"/>
      <x:c r="I49" s="46"/>
      <x:c r="J49" s="46"/>
      <x:c r="K49" s="46"/>
      <x:c r="L49" s="46"/>
      <x:c r="M49" s="46"/>
      <x:c r="N49" s="46"/>
      <x:c r="O49" s="46"/>
      <x:c r="P49" s="46"/>
      <x:c r="Q49" s="46"/>
      <x:c r="R49" s="46"/>
      <x:c r="S49" s="46"/>
      <x:c r="T49" s="46"/>
      <x:c r="U49" s="46"/>
      <x:c r="V49" s="46"/>
      <x:c r="W49" s="46"/>
      <x:c r="X49" s="46"/>
    </x:row>
    <x:row r="50">
      <x:c r="A50" s="46"/>
      <x:c r="B50" s="46"/>
      <x:c r="C50" s="46"/>
      <x:c r="D50" s="46"/>
      <x:c r="E50" s="46"/>
      <x:c r="F50" s="46"/>
      <x:c r="G50" s="46"/>
      <x:c r="H50" s="46"/>
      <x:c r="I50" s="46"/>
      <x:c r="J50" s="46"/>
      <x:c r="K50" s="46"/>
      <x:c r="L50" s="46"/>
      <x:c r="M50" s="46"/>
      <x:c r="N50" s="46"/>
      <x:c r="O50" s="46"/>
      <x:c r="P50" s="46"/>
      <x:c r="Q50" s="46"/>
      <x:c r="R50" s="46"/>
      <x:c r="S50" s="46"/>
      <x:c r="T50" s="46"/>
      <x:c r="U50" s="46"/>
      <x:c r="V50" s="46"/>
      <x:c r="W50" s="46"/>
      <x:c r="X50" s="46"/>
    </x:row>
    <x:row r="51">
      <x:c r="A51" s="46"/>
      <x:c r="B51" s="46"/>
      <x:c r="C51" s="46"/>
      <x:c r="D51" s="46"/>
      <x:c r="E51" s="46"/>
      <x:c r="F51" s="46"/>
      <x:c r="G51" s="46"/>
      <x:c r="H51" s="46"/>
      <x:c r="I51" s="46"/>
      <x:c r="J51" s="46"/>
      <x:c r="K51" s="46"/>
      <x:c r="L51" s="46"/>
      <x:c r="M51" s="46"/>
      <x:c r="N51" s="46"/>
      <x:c r="O51" s="46"/>
      <x:c r="P51" s="46"/>
      <x:c r="Q51" s="46"/>
      <x:c r="R51" s="46"/>
      <x:c r="S51" s="46"/>
      <x:c r="T51" s="46"/>
      <x:c r="U51" s="46"/>
      <x:c r="V51" s="46"/>
      <x:c r="W51" s="46"/>
      <x:c r="X51" s="46"/>
    </x:row>
    <x:row r="52">
      <x:c r="A52" s="46"/>
      <x:c r="B52" s="46"/>
      <x:c r="C52" s="46"/>
      <x:c r="D52" s="46"/>
      <x:c r="E52" s="46"/>
      <x:c r="F52" s="46"/>
      <x:c r="G52" s="46"/>
      <x:c r="H52" s="46"/>
      <x:c r="I52" s="46"/>
      <x:c r="J52" s="46"/>
      <x:c r="K52" s="46"/>
      <x:c r="L52" s="46"/>
      <x:c r="M52" s="46"/>
      <x:c r="N52" s="46"/>
      <x:c r="O52" s="46"/>
      <x:c r="P52" s="46"/>
      <x:c r="Q52" s="46"/>
      <x:c r="R52" s="46"/>
      <x:c r="S52" s="46"/>
      <x:c r="T52" s="46"/>
      <x:c r="U52" s="46"/>
      <x:c r="V52" s="46"/>
      <x:c r="W52" s="46"/>
      <x:c r="X52" s="46"/>
    </x:row>
    <x:row r="53">
      <x:c r="A53" s="46"/>
      <x:c r="B53" s="46"/>
      <x:c r="C53" s="46"/>
      <x:c r="D53" s="46"/>
      <x:c r="E53" s="46"/>
      <x:c r="F53" s="46"/>
      <x:c r="G53" s="46"/>
      <x:c r="H53" s="46"/>
      <x:c r="I53" s="46"/>
      <x:c r="J53" s="46"/>
      <x:c r="K53" s="46"/>
      <x:c r="L53" s="46"/>
      <x:c r="M53" s="46"/>
      <x:c r="N53" s="46"/>
      <x:c r="O53" s="46"/>
      <x:c r="P53" s="46"/>
      <x:c r="Q53" s="46"/>
      <x:c r="R53" s="46"/>
      <x:c r="S53" s="46"/>
      <x:c r="T53" s="46"/>
      <x:c r="U53" s="46"/>
      <x:c r="V53" s="46"/>
      <x:c r="W53" s="46"/>
      <x:c r="X53" s="46"/>
    </x:row>
    <x:row r="54">
      <x:c r="A54" s="46"/>
      <x:c r="B54" s="46"/>
      <x:c r="C54" s="46"/>
      <x:c r="D54" s="46"/>
      <x:c r="E54" s="46"/>
      <x:c r="F54" s="46"/>
      <x:c r="G54" s="46"/>
      <x:c r="H54" s="46"/>
      <x:c r="I54" s="46"/>
      <x:c r="J54" s="46"/>
      <x:c r="K54" s="46"/>
      <x:c r="L54" s="46"/>
      <x:c r="M54" s="46"/>
      <x:c r="N54" s="46"/>
      <x:c r="O54" s="46"/>
      <x:c r="P54" s="46"/>
      <x:c r="Q54" s="46"/>
      <x:c r="R54" s="46"/>
      <x:c r="S54" s="46"/>
      <x:c r="T54" s="46"/>
      <x:c r="U54" s="46"/>
      <x:c r="V54" s="46"/>
      <x:c r="W54" s="46"/>
      <x:c r="X54" s="46"/>
    </x:row>
    <x:row r="55">
      <x:c r="A55" s="46"/>
      <x:c r="B55" s="46"/>
      <x:c r="C55" s="46"/>
      <x:c r="D55" s="46"/>
      <x:c r="E55" s="46"/>
      <x:c r="F55" s="46"/>
      <x:c r="G55" s="46"/>
      <x:c r="H55" s="46"/>
      <x:c r="I55" s="46"/>
      <x:c r="J55" s="46"/>
      <x:c r="K55" s="46"/>
      <x:c r="L55" s="46"/>
      <x:c r="M55" s="46"/>
      <x:c r="N55" s="46"/>
      <x:c r="O55" s="46"/>
      <x:c r="P55" s="46"/>
      <x:c r="Q55" s="46"/>
      <x:c r="R55" s="46"/>
      <x:c r="S55" s="46"/>
      <x:c r="T55" s="46"/>
      <x:c r="U55" s="46"/>
      <x:c r="V55" s="46"/>
      <x:c r="W55" s="46"/>
      <x:c r="X55" s="46"/>
    </x:row>
    <x:row r="56">
      <x:c r="A56" s="46"/>
      <x:c r="B56" s="46"/>
      <x:c r="C56" s="46"/>
      <x:c r="D56" s="46"/>
      <x:c r="E56" s="46"/>
      <x:c r="F56" s="46"/>
      <x:c r="G56" s="46"/>
      <x:c r="H56" s="46"/>
      <x:c r="I56" s="46"/>
      <x:c r="J56" s="46"/>
      <x:c r="K56" s="46"/>
      <x:c r="L56" s="46"/>
      <x:c r="M56" s="46"/>
      <x:c r="N56" s="46"/>
      <x:c r="O56" s="46"/>
      <x:c r="P56" s="46"/>
      <x:c r="Q56" s="46"/>
      <x:c r="R56" s="46"/>
      <x:c r="S56" s="46"/>
      <x:c r="T56" s="46"/>
      <x:c r="U56" s="46"/>
      <x:c r="V56" s="46"/>
      <x:c r="W56" s="46"/>
      <x:c r="X56" s="46"/>
    </x:row>
    <x:row r="57">
      <x:c r="A57" s="46"/>
      <x:c r="B57" s="46"/>
      <x:c r="C57" s="46"/>
      <x:c r="D57" s="46"/>
      <x:c r="E57" s="46"/>
      <x:c r="F57" s="46"/>
      <x:c r="G57" s="46"/>
      <x:c r="H57" s="46"/>
      <x:c r="I57" s="46"/>
      <x:c r="J57" s="46"/>
      <x:c r="K57" s="46"/>
      <x:c r="L57" s="46"/>
      <x:c r="M57" s="46"/>
      <x:c r="N57" s="46"/>
      <x:c r="O57" s="46"/>
      <x:c r="P57" s="46"/>
      <x:c r="Q57" s="46"/>
      <x:c r="R57" s="46"/>
      <x:c r="S57" s="46"/>
      <x:c r="T57" s="46"/>
      <x:c r="U57" s="46"/>
      <x:c r="V57" s="46"/>
      <x:c r="W57" s="46"/>
      <x:c r="X57" s="46"/>
    </x:row>
    <x:row r="58">
      <x:c r="A58" s="46"/>
      <x:c r="B58" s="46"/>
      <x:c r="C58" s="46"/>
      <x:c r="D58" s="46"/>
      <x:c r="E58" s="46"/>
      <x:c r="F58" s="46"/>
      <x:c r="G58" s="46"/>
      <x:c r="H58" s="46"/>
      <x:c r="I58" s="46"/>
      <x:c r="J58" s="46"/>
      <x:c r="K58" s="46"/>
      <x:c r="L58" s="46"/>
      <x:c r="M58" s="46"/>
      <x:c r="N58" s="46"/>
      <x:c r="O58" s="46"/>
      <x:c r="P58" s="46"/>
      <x:c r="Q58" s="46"/>
      <x:c r="R58" s="46"/>
      <x:c r="S58" s="46"/>
      <x:c r="T58" s="46"/>
      <x:c r="U58" s="46"/>
      <x:c r="V58" s="46"/>
      <x:c r="W58" s="46"/>
      <x:c r="X58" s="46"/>
    </x:row>
    <x:row r="59">
      <x:c r="A59" s="46"/>
      <x:c r="B59" s="46"/>
      <x:c r="C59" s="46"/>
      <x:c r="D59" s="46"/>
      <x:c r="E59" s="46"/>
      <x:c r="F59" s="46"/>
      <x:c r="G59" s="46"/>
      <x:c r="H59" s="46"/>
      <x:c r="I59" s="46"/>
      <x:c r="J59" s="46"/>
      <x:c r="K59" s="46"/>
      <x:c r="L59" s="46"/>
      <x:c r="M59" s="46"/>
      <x:c r="N59" s="46"/>
      <x:c r="O59" s="46"/>
      <x:c r="P59" s="46"/>
      <x:c r="Q59" s="46"/>
      <x:c r="R59" s="46"/>
      <x:c r="S59" s="46"/>
      <x:c r="T59" s="46"/>
      <x:c r="U59" s="46"/>
      <x:c r="V59" s="46"/>
      <x:c r="W59" s="46"/>
      <x:c r="X59" s="46"/>
    </x:row>
    <x:row r="60">
      <x:c r="A60" s="46"/>
      <x:c r="B60" s="46"/>
      <x:c r="C60" s="46"/>
      <x:c r="D60" s="46"/>
      <x:c r="E60" s="46"/>
      <x:c r="F60" s="46"/>
      <x:c r="G60" s="46"/>
      <x:c r="H60" s="46"/>
      <x:c r="I60" s="46"/>
      <x:c r="J60" s="46"/>
      <x:c r="K60" s="46"/>
      <x:c r="L60" s="46"/>
      <x:c r="M60" s="46"/>
      <x:c r="N60" s="46"/>
      <x:c r="O60" s="46"/>
      <x:c r="P60" s="46"/>
      <x:c r="Q60" s="46"/>
      <x:c r="R60" s="46"/>
      <x:c r="S60" s="46"/>
      <x:c r="T60" s="46"/>
      <x:c r="U60" s="46"/>
      <x:c r="V60" s="46"/>
      <x:c r="W60" s="46"/>
      <x:c r="X60" s="46"/>
    </x:row>
    <x:row r="61">
      <x:c r="A61" s="46"/>
      <x:c r="B61" s="46"/>
      <x:c r="C61" s="46"/>
      <x:c r="D61" s="46"/>
      <x:c r="E61" s="46"/>
      <x:c r="F61" s="46"/>
      <x:c r="G61" s="46"/>
      <x:c r="H61" s="46"/>
      <x:c r="I61" s="46"/>
      <x:c r="J61" s="46"/>
      <x:c r="K61" s="46"/>
      <x:c r="L61" s="46"/>
      <x:c r="M61" s="46"/>
      <x:c r="N61" s="46"/>
      <x:c r="O61" s="46"/>
      <x:c r="P61" s="46"/>
      <x:c r="Q61" s="46"/>
      <x:c r="R61" s="46"/>
      <x:c r="S61" s="46"/>
      <x:c r="T61" s="46"/>
      <x:c r="U61" s="46"/>
      <x:c r="V61" s="46"/>
      <x:c r="W61" s="46"/>
      <x:c r="X61" s="46"/>
    </x:row>
    <x:row r="62">
      <x:c r="A62" s="46"/>
      <x:c r="B62" s="46"/>
      <x:c r="C62" s="46"/>
      <x:c r="D62" s="46"/>
      <x:c r="E62" s="46"/>
      <x:c r="F62" s="46"/>
      <x:c r="G62" s="46"/>
      <x:c r="H62" s="46"/>
      <x:c r="I62" s="46"/>
      <x:c r="J62" s="46"/>
      <x:c r="K62" s="46"/>
      <x:c r="L62" s="46"/>
      <x:c r="M62" s="46"/>
      <x:c r="N62" s="46"/>
      <x:c r="O62" s="46"/>
      <x:c r="P62" s="46"/>
      <x:c r="Q62" s="46"/>
      <x:c r="R62" s="46"/>
      <x:c r="S62" s="46"/>
      <x:c r="T62" s="46"/>
      <x:c r="U62" s="46"/>
      <x:c r="V62" s="46"/>
      <x:c r="W62" s="46"/>
      <x:c r="X62" s="46"/>
    </x:row>
    <x:row r="63">
      <x:c r="A63" s="46"/>
      <x:c r="B63" s="46"/>
      <x:c r="C63" s="46"/>
      <x:c r="D63" s="46"/>
      <x:c r="E63" s="46"/>
      <x:c r="F63" s="46"/>
      <x:c r="G63" s="46"/>
      <x:c r="H63" s="46"/>
      <x:c r="I63" s="46"/>
      <x:c r="J63" s="46"/>
      <x:c r="K63" s="46"/>
      <x:c r="L63" s="46"/>
      <x:c r="M63" s="46"/>
      <x:c r="N63" s="46"/>
      <x:c r="O63" s="46"/>
      <x:c r="P63" s="46"/>
      <x:c r="Q63" s="46"/>
      <x:c r="R63" s="46"/>
      <x:c r="S63" s="46"/>
      <x:c r="T63" s="46"/>
      <x:c r="U63" s="46"/>
      <x:c r="V63" s="46"/>
      <x:c r="W63" s="46"/>
      <x:c r="X63" s="46"/>
    </x:row>
    <x:row r="64">
      <x:c r="A64" s="46"/>
      <x:c r="B64" s="46"/>
      <x:c r="C64" s="46"/>
      <x:c r="D64" s="46"/>
      <x:c r="E64" s="46"/>
      <x:c r="F64" s="46"/>
      <x:c r="G64" s="46"/>
      <x:c r="H64" s="46"/>
      <x:c r="I64" s="46"/>
      <x:c r="J64" s="46"/>
      <x:c r="K64" s="46"/>
      <x:c r="L64" s="46"/>
      <x:c r="M64" s="46"/>
      <x:c r="N64" s="46"/>
      <x:c r="O64" s="46"/>
      <x:c r="P64" s="46"/>
      <x:c r="Q64" s="46"/>
      <x:c r="R64" s="46"/>
      <x:c r="S64" s="46"/>
      <x:c r="T64" s="46"/>
      <x:c r="U64" s="46"/>
      <x:c r="V64" s="46"/>
      <x:c r="W64" s="46"/>
      <x:c r="X64" s="46"/>
    </x:row>
    <x:row r="65">
      <x:c r="A65" s="46"/>
      <x:c r="B65" s="46"/>
      <x:c r="C65" s="46"/>
      <x:c r="D65" s="46"/>
      <x:c r="E65" s="46"/>
      <x:c r="F65" s="46"/>
      <x:c r="G65" s="46"/>
      <x:c r="H65" s="46"/>
      <x:c r="I65" s="46"/>
      <x:c r="J65" s="46"/>
      <x:c r="K65" s="46"/>
      <x:c r="L65" s="46"/>
      <x:c r="M65" s="46"/>
      <x:c r="N65" s="46"/>
      <x:c r="O65" s="46"/>
      <x:c r="P65" s="46"/>
      <x:c r="Q65" s="46"/>
      <x:c r="R65" s="46"/>
      <x:c r="S65" s="46"/>
      <x:c r="T65" s="46"/>
      <x:c r="U65" s="46"/>
      <x:c r="V65" s="46"/>
      <x:c r="W65" s="46"/>
      <x:c r="X65" s="46"/>
    </x:row>
    <x:row r="66">
      <x:c r="A66" s="46"/>
      <x:c r="B66" s="46"/>
      <x:c r="C66" s="46"/>
      <x:c r="D66" s="46"/>
      <x:c r="E66" s="46"/>
      <x:c r="F66" s="46"/>
      <x:c r="G66" s="46"/>
      <x:c r="H66" s="46"/>
      <x:c r="I66" s="46"/>
      <x:c r="J66" s="46"/>
      <x:c r="K66" s="46"/>
      <x:c r="L66" s="46"/>
      <x:c r="M66" s="46"/>
      <x:c r="N66" s="46"/>
      <x:c r="O66" s="46"/>
      <x:c r="P66" s="46"/>
      <x:c r="Q66" s="46"/>
      <x:c r="R66" s="46"/>
      <x:c r="S66" s="46"/>
      <x:c r="T66" s="46"/>
      <x:c r="U66" s="46"/>
      <x:c r="V66" s="46"/>
      <x:c r="W66" s="46"/>
      <x:c r="X66" s="46"/>
    </x:row>
    <x:row r="67">
      <x:c r="A67" s="46"/>
      <x:c r="B67" s="46"/>
      <x:c r="C67" s="46"/>
      <x:c r="D67" s="46"/>
      <x:c r="E67" s="46"/>
      <x:c r="F67" s="46"/>
      <x:c r="G67" s="46"/>
      <x:c r="H67" s="46"/>
      <x:c r="I67" s="46"/>
      <x:c r="J67" s="46"/>
      <x:c r="K67" s="46"/>
      <x:c r="L67" s="46"/>
      <x:c r="M67" s="46"/>
      <x:c r="N67" s="46"/>
      <x:c r="O67" s="46"/>
      <x:c r="P67" s="46"/>
      <x:c r="Q67" s="46"/>
      <x:c r="R67" s="46"/>
      <x:c r="S67" s="46"/>
      <x:c r="T67" s="46"/>
      <x:c r="U67" s="46"/>
      <x:c r="V67" s="46"/>
      <x:c r="W67" s="46"/>
      <x:c r="X67" s="46"/>
    </x:row>
    <x:row r="68">
      <x:c r="A68" s="46"/>
      <x:c r="B68" s="46"/>
      <x:c r="C68" s="46"/>
      <x:c r="D68" s="46"/>
      <x:c r="E68" s="46"/>
      <x:c r="F68" s="46"/>
      <x:c r="G68" s="46"/>
      <x:c r="H68" s="46"/>
      <x:c r="I68" s="46"/>
      <x:c r="J68" s="46"/>
      <x:c r="K68" s="46"/>
      <x:c r="L68" s="46"/>
      <x:c r="M68" s="46"/>
      <x:c r="N68" s="46"/>
      <x:c r="O68" s="46"/>
      <x:c r="P68" s="46"/>
      <x:c r="Q68" s="46"/>
      <x:c r="R68" s="46"/>
      <x:c r="S68" s="46"/>
      <x:c r="T68" s="46"/>
      <x:c r="U68" s="46"/>
      <x:c r="V68" s="46"/>
      <x:c r="W68" s="46"/>
      <x:c r="X68" s="46"/>
    </x:row>
    <x:row r="69">
      <x:c r="A69" s="46"/>
      <x:c r="B69" s="46"/>
      <x:c r="C69" s="46"/>
      <x:c r="D69" s="46"/>
      <x:c r="E69" s="46"/>
      <x:c r="F69" s="46"/>
      <x:c r="G69" s="46"/>
      <x:c r="H69" s="46"/>
      <x:c r="I69" s="46"/>
      <x:c r="J69" s="46"/>
      <x:c r="K69" s="46"/>
      <x:c r="L69" s="46"/>
      <x:c r="M69" s="46"/>
      <x:c r="N69" s="46"/>
      <x:c r="O69" s="46"/>
      <x:c r="P69" s="46"/>
      <x:c r="Q69" s="46"/>
      <x:c r="R69" s="46"/>
      <x:c r="S69" s="46"/>
      <x:c r="T69" s="46"/>
      <x:c r="U69" s="46"/>
      <x:c r="V69" s="46"/>
      <x:c r="W69" s="46"/>
      <x:c r="X69" s="46"/>
    </x:row>
    <x:row r="70">
      <x:c r="A70" s="46"/>
      <x:c r="B70" s="46"/>
      <x:c r="C70" s="46"/>
      <x:c r="D70" s="46"/>
      <x:c r="E70" s="46"/>
      <x:c r="F70" s="46"/>
      <x:c r="G70" s="46"/>
      <x:c r="H70" s="46"/>
      <x:c r="I70" s="46"/>
      <x:c r="J70" s="46"/>
      <x:c r="K70" s="46"/>
      <x:c r="L70" s="46"/>
      <x:c r="M70" s="46"/>
      <x:c r="N70" s="46"/>
      <x:c r="O70" s="46"/>
      <x:c r="P70" s="46"/>
      <x:c r="Q70" s="46"/>
      <x:c r="R70" s="46"/>
      <x:c r="S70" s="46"/>
      <x:c r="T70" s="46"/>
      <x:c r="U70" s="46"/>
      <x:c r="V70" s="46"/>
      <x:c r="W70" s="46"/>
      <x:c r="X70" s="46"/>
    </x:row>
    <x:row r="71">
      <x:c r="A71" s="46"/>
      <x:c r="B71" s="46"/>
      <x:c r="C71" s="46"/>
      <x:c r="D71" s="46"/>
      <x:c r="E71" s="46"/>
      <x:c r="F71" s="46"/>
      <x:c r="G71" s="46"/>
      <x:c r="H71" s="46"/>
      <x:c r="I71" s="46"/>
      <x:c r="J71" s="46"/>
      <x:c r="K71" s="46"/>
      <x:c r="L71" s="46"/>
      <x:c r="M71" s="46"/>
      <x:c r="N71" s="46"/>
      <x:c r="O71" s="46"/>
      <x:c r="P71" s="46"/>
      <x:c r="Q71" s="46"/>
      <x:c r="R71" s="46"/>
      <x:c r="S71" s="46"/>
      <x:c r="T71" s="46"/>
      <x:c r="U71" s="46"/>
      <x:c r="V71" s="46"/>
      <x:c r="W71" s="46"/>
      <x:c r="X71" s="46"/>
    </x:row>
    <x:row r="72">
      <x:c r="A72" s="46"/>
      <x:c r="B72" s="46"/>
      <x:c r="C72" s="46"/>
      <x:c r="D72" s="46"/>
      <x:c r="E72" s="46"/>
      <x:c r="F72" s="46"/>
      <x:c r="G72" s="46"/>
      <x:c r="H72" s="46"/>
      <x:c r="I72" s="46"/>
      <x:c r="J72" s="46"/>
      <x:c r="K72" s="46"/>
      <x:c r="L72" s="46"/>
      <x:c r="M72" s="46"/>
      <x:c r="N72" s="46"/>
      <x:c r="O72" s="46"/>
      <x:c r="P72" s="46"/>
      <x:c r="Q72" s="46"/>
      <x:c r="R72" s="46"/>
      <x:c r="S72" s="46"/>
      <x:c r="T72" s="46"/>
      <x:c r="U72" s="46"/>
      <x:c r="V72" s="46"/>
      <x:c r="W72" s="46"/>
      <x:c r="X72" s="46"/>
    </x:row>
    <x:row r="73">
      <x:c r="A73" s="46"/>
      <x:c r="B73" s="46"/>
      <x:c r="C73" s="46"/>
      <x:c r="D73" s="46"/>
      <x:c r="E73" s="46"/>
      <x:c r="F73" s="46"/>
      <x:c r="G73" s="46"/>
      <x:c r="H73" s="46"/>
      <x:c r="I73" s="46"/>
      <x:c r="J73" s="46"/>
      <x:c r="K73" s="46"/>
      <x:c r="L73" s="46"/>
      <x:c r="M73" s="46"/>
      <x:c r="N73" s="46"/>
      <x:c r="O73" s="46"/>
      <x:c r="P73" s="46"/>
      <x:c r="Q73" s="46"/>
      <x:c r="R73" s="46"/>
      <x:c r="S73" s="46"/>
      <x:c r="T73" s="46"/>
      <x:c r="U73" s="46"/>
      <x:c r="V73" s="46"/>
      <x:c r="W73" s="46"/>
      <x:c r="X73" s="46"/>
    </x:row>
    <x:row r="74">
      <x:c r="A74" s="46"/>
      <x:c r="B74" s="46"/>
      <x:c r="C74" s="46"/>
      <x:c r="D74" s="46"/>
      <x:c r="E74" s="46"/>
      <x:c r="F74" s="46"/>
      <x:c r="G74" s="46"/>
      <x:c r="H74" s="46"/>
      <x:c r="I74" s="46"/>
      <x:c r="J74" s="46"/>
      <x:c r="K74" s="46"/>
      <x:c r="L74" s="46"/>
      <x:c r="M74" s="46"/>
      <x:c r="N74" s="46"/>
      <x:c r="O74" s="46"/>
      <x:c r="P74" s="46"/>
      <x:c r="Q74" s="46"/>
      <x:c r="R74" s="46"/>
      <x:c r="S74" s="46"/>
      <x:c r="T74" s="46"/>
      <x:c r="U74" s="46"/>
      <x:c r="V74" s="46"/>
      <x:c r="W74" s="46"/>
      <x:c r="X74" s="46"/>
    </x:row>
    <x:row r="75">
      <x:c r="A75" s="46"/>
      <x:c r="B75" s="46"/>
      <x:c r="C75" s="46"/>
      <x:c r="D75" s="46"/>
      <x:c r="E75" s="46"/>
      <x:c r="F75" s="46"/>
      <x:c r="G75" s="46"/>
      <x:c r="H75" s="46"/>
      <x:c r="I75" s="46"/>
      <x:c r="J75" s="46"/>
      <x:c r="K75" s="46"/>
      <x:c r="L75" s="46"/>
      <x:c r="M75" s="46"/>
      <x:c r="N75" s="46"/>
      <x:c r="O75" s="46"/>
      <x:c r="P75" s="46"/>
      <x:c r="Q75" s="46"/>
      <x:c r="R75" s="46"/>
      <x:c r="S75" s="46"/>
      <x:c r="T75" s="46"/>
      <x:c r="U75" s="46"/>
      <x:c r="V75" s="46"/>
      <x:c r="W75" s="46"/>
      <x:c r="X75" s="46"/>
    </x:row>
    <x:row r="76">
      <x:c r="A76" s="46"/>
      <x:c r="B76" s="46"/>
      <x:c r="C76" s="46"/>
      <x:c r="D76" s="46"/>
      <x:c r="E76" s="46"/>
      <x:c r="F76" s="46"/>
      <x:c r="G76" s="46"/>
      <x:c r="H76" s="46"/>
      <x:c r="I76" s="46"/>
      <x:c r="J76" s="46"/>
      <x:c r="K76" s="46"/>
      <x:c r="L76" s="46"/>
      <x:c r="M76" s="46"/>
      <x:c r="N76" s="46"/>
      <x:c r="O76" s="46"/>
      <x:c r="P76" s="46"/>
      <x:c r="Q76" s="46"/>
      <x:c r="R76" s="46"/>
      <x:c r="S76" s="46"/>
      <x:c r="T76" s="46"/>
      <x:c r="U76" s="46"/>
      <x:c r="V76" s="46"/>
      <x:c r="W76" s="46"/>
      <x:c r="X76" s="46"/>
    </x:row>
    <x:row r="77">
      <x:c r="A77" s="46"/>
      <x:c r="B77" s="46"/>
      <x:c r="C77" s="46"/>
      <x:c r="D77" s="46"/>
      <x:c r="E77" s="46"/>
      <x:c r="F77" s="46"/>
      <x:c r="G77" s="46"/>
      <x:c r="H77" s="46"/>
      <x:c r="I77" s="46"/>
      <x:c r="J77" s="46"/>
      <x:c r="K77" s="46"/>
      <x:c r="L77" s="46"/>
      <x:c r="M77" s="46"/>
      <x:c r="N77" s="46"/>
      <x:c r="O77" s="46"/>
      <x:c r="P77" s="46"/>
      <x:c r="Q77" s="46"/>
      <x:c r="R77" s="46"/>
      <x:c r="S77" s="46"/>
      <x:c r="T77" s="46"/>
      <x:c r="U77" s="46"/>
      <x:c r="V77" s="46"/>
      <x:c r="W77" s="46"/>
      <x:c r="X77" s="46"/>
    </x:row>
    <x:row r="78">
      <x:c r="A78" s="46"/>
      <x:c r="B78" s="46"/>
      <x:c r="C78" s="46"/>
      <x:c r="D78" s="46"/>
      <x:c r="E78" s="46"/>
      <x:c r="F78" s="46"/>
      <x:c r="G78" s="46"/>
      <x:c r="H78" s="46"/>
      <x:c r="I78" s="46"/>
      <x:c r="J78" s="46"/>
      <x:c r="K78" s="46"/>
      <x:c r="L78" s="46"/>
      <x:c r="M78" s="46"/>
      <x:c r="N78" s="46"/>
      <x:c r="O78" s="46"/>
      <x:c r="P78" s="46"/>
      <x:c r="Q78" s="46"/>
      <x:c r="R78" s="46"/>
      <x:c r="S78" s="46"/>
      <x:c r="T78" s="46"/>
      <x:c r="U78" s="46"/>
      <x:c r="V78" s="46"/>
      <x:c r="W78" s="46"/>
      <x:c r="X78" s="46"/>
    </x:row>
    <x:row r="79">
      <x:c r="A79" s="46"/>
      <x:c r="B79" s="46"/>
      <x:c r="C79" s="46"/>
      <x:c r="D79" s="46"/>
      <x:c r="E79" s="46"/>
      <x:c r="F79" s="46"/>
      <x:c r="G79" s="46"/>
      <x:c r="H79" s="46"/>
      <x:c r="I79" s="46"/>
      <x:c r="J79" s="46"/>
      <x:c r="K79" s="46"/>
      <x:c r="L79" s="46"/>
      <x:c r="M79" s="46"/>
      <x:c r="N79" s="46"/>
      <x:c r="O79" s="46"/>
      <x:c r="P79" s="46"/>
      <x:c r="Q79" s="46"/>
      <x:c r="R79" s="46"/>
      <x:c r="S79" s="46"/>
      <x:c r="T79" s="46"/>
      <x:c r="U79" s="46"/>
      <x:c r="V79" s="46"/>
      <x:c r="W79" s="46"/>
      <x:c r="X79" s="46"/>
    </x:row>
    <x:row r="80">
      <x:c r="A80" s="46"/>
      <x:c r="B80" s="46"/>
      <x:c r="C80" s="46"/>
      <x:c r="D80" s="46"/>
      <x:c r="E80" s="46"/>
      <x:c r="F80" s="46"/>
      <x:c r="G80" s="46"/>
      <x:c r="H80" s="46"/>
      <x:c r="I80" s="46"/>
      <x:c r="J80" s="46"/>
      <x:c r="K80" s="46"/>
      <x:c r="L80" s="46"/>
      <x:c r="M80" s="46"/>
      <x:c r="N80" s="46"/>
      <x:c r="O80" s="46"/>
      <x:c r="P80" s="46"/>
      <x:c r="Q80" s="46"/>
      <x:c r="R80" s="46"/>
      <x:c r="S80" s="46"/>
      <x:c r="T80" s="46"/>
      <x:c r="U80" s="46"/>
      <x:c r="V80" s="46"/>
      <x:c r="W80" s="46"/>
      <x:c r="X80" s="46"/>
    </x:row>
  </x:sheetData>
  <x:mergeCells>
    <x:mergeCell ref="A1:J1"/>
    <x:mergeCell ref="A3:J3"/>
    <x:mergeCell ref="A12:J12"/>
    <x:mergeCell ref="A20:J20"/>
  </x:mergeCells>
  <x:pageMargins left="0.7" right="0.7" top="0.75" bottom="0.75" header="0.3" footer="0.3"/>
  <x:drawing xmlns:r="http://schemas.openxmlformats.org/officeDocument/2006/relationships" r:id="R77c19ad39fc043b5"/>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 t="str">
        <x:v>Draft Thesis Subsection — Candidate for Freeze after Supervisor/User Validation</x:v>
      </x:c>
      <x:c r="B1" s="4"/>
      <x:c r="C1" s="4"/>
      <x:c r="D1" s="4"/>
      <x:c r="E1" s="4"/>
      <x:c r="F1" s="4"/>
      <x:c r="G1" s="4"/>
      <x:c r="H1" s="4"/>
      <x:c r="I1" s="46"/>
      <x:c r="J1" s="46"/>
      <x:c r="K1" s="46"/>
      <x:c r="L1" s="46"/>
      <x:c r="M1" s="46"/>
      <x:c r="N1" s="46"/>
      <x:c r="O1" s="46"/>
      <x:c r="P1" s="46"/>
      <x:c r="Q1" s="46"/>
      <x:c r="R1" s="46"/>
      <x:c r="S1" s="46"/>
      <x:c r="T1" s="46"/>
      <x:c r="U1" s="46"/>
      <x:c r="V1" s="46"/>
      <x:c r="W1" s="46"/>
      <x:c r="X1" s="46"/>
    </x:row>
    <x:row r="2">
      <x:c r="A2" s="46"/>
      <x:c r="B2" s="46"/>
      <x:c r="C2" s="46"/>
      <x:c r="D2" s="46"/>
      <x:c r="E2" s="46"/>
      <x:c r="F2" s="46"/>
      <x:c r="G2" s="46"/>
      <x:c r="H2" s="46"/>
      <x:c r="I2" s="46"/>
      <x:c r="J2" s="46"/>
      <x:c r="K2" s="46"/>
      <x:c r="L2" s="46"/>
      <x:c r="M2" s="46"/>
      <x:c r="N2" s="46"/>
      <x:c r="O2" s="46"/>
      <x:c r="P2" s="46"/>
      <x:c r="Q2" s="46"/>
      <x:c r="R2" s="46"/>
      <x:c r="S2" s="46"/>
      <x:c r="T2" s="46"/>
      <x:c r="U2" s="46"/>
      <x:c r="V2" s="46"/>
      <x:c r="W2" s="46"/>
      <x:c r="X2" s="46"/>
    </x:row>
    <x:row r="3">
      <x:c r="A3" s="48" t="str">
        <x:v>Suggested subsection title</x:v>
      </x:c>
      <x:c r="B3" s="48"/>
      <x:c r="C3" s="48"/>
      <x:c r="D3" s="48"/>
      <x:c r="E3" s="48"/>
      <x:c r="F3" s="48"/>
      <x:c r="G3" s="48"/>
      <x:c r="H3" s="48"/>
      <x:c r="I3" s="46"/>
      <x:c r="J3" s="46"/>
      <x:c r="K3" s="46"/>
      <x:c r="L3" s="46"/>
      <x:c r="M3" s="46"/>
      <x:c r="N3" s="46"/>
      <x:c r="O3" s="46"/>
      <x:c r="P3" s="46"/>
      <x:c r="Q3" s="46"/>
      <x:c r="R3" s="46"/>
      <x:c r="S3" s="46"/>
      <x:c r="T3" s="46"/>
      <x:c r="U3" s="46"/>
      <x:c r="V3" s="46"/>
      <x:c r="W3" s="46"/>
      <x:c r="X3" s="46"/>
    </x:row>
    <x:row r="4">
      <x:c r="A4" s="47" t="str">
        <x:v>4.2.x Static Triaxial Verification and Calibration of the ADXL345 Measurement Channels</x:v>
      </x:c>
      <x:c r="B4" s="47"/>
      <x:c r="C4" s="47"/>
      <x:c r="D4" s="47"/>
      <x:c r="E4" s="47"/>
      <x:c r="F4" s="47"/>
      <x:c r="G4" s="47"/>
      <x:c r="H4" s="47"/>
      <x:c r="I4" s="46"/>
      <x:c r="J4" s="46"/>
      <x:c r="K4" s="46"/>
      <x:c r="L4" s="46"/>
      <x:c r="M4" s="46"/>
      <x:c r="N4" s="46"/>
      <x:c r="O4" s="46"/>
      <x:c r="P4" s="46"/>
      <x:c r="Q4" s="46"/>
      <x:c r="R4" s="46"/>
      <x:c r="S4" s="46"/>
      <x:c r="T4" s="46"/>
      <x:c r="U4" s="46"/>
      <x:c r="V4" s="46"/>
      <x:c r="W4" s="46"/>
      <x:c r="X4" s="46"/>
    </x:row>
    <x:row r="5">
      <x:c r="A5" s="47"/>
      <x:c r="B5" s="47"/>
      <x:c r="C5" s="47"/>
      <x:c r="D5" s="47"/>
      <x:c r="E5" s="47"/>
      <x:c r="F5" s="47"/>
      <x:c r="G5" s="47"/>
      <x:c r="H5" s="47"/>
      <x:c r="I5" s="46"/>
      <x:c r="J5" s="46"/>
      <x:c r="K5" s="46"/>
      <x:c r="L5" s="46"/>
      <x:c r="M5" s="46"/>
      <x:c r="N5" s="46"/>
      <x:c r="O5" s="46"/>
      <x:c r="P5" s="46"/>
      <x:c r="Q5" s="46"/>
      <x:c r="R5" s="46"/>
      <x:c r="S5" s="46"/>
      <x:c r="T5" s="46"/>
      <x:c r="U5" s="46"/>
      <x:c r="V5" s="46"/>
      <x:c r="W5" s="46"/>
      <x:c r="X5" s="46"/>
    </x:row>
    <x:row r="6">
      <x:c r="A6" s="62" t="str">
        <x:v>Purpose and protocol</x:v>
      </x:c>
      <x:c r="B6" s="62"/>
      <x:c r="C6" s="62"/>
      <x:c r="D6" s="62"/>
      <x:c r="E6" s="62"/>
      <x:c r="F6" s="62"/>
      <x:c r="G6" s="62"/>
      <x:c r="H6" s="62"/>
      <x:c r="I6" s="46"/>
      <x:c r="J6" s="46"/>
      <x:c r="K6" s="46"/>
      <x:c r="L6" s="46"/>
      <x:c r="M6" s="46"/>
      <x:c r="N6" s="46"/>
      <x:c r="O6" s="46"/>
      <x:c r="P6" s="46"/>
      <x:c r="Q6" s="46"/>
      <x:c r="R6" s="46"/>
      <x:c r="S6" s="46"/>
      <x:c r="T6" s="46"/>
      <x:c r="U6" s="46"/>
      <x:c r="V6" s="46"/>
      <x:c r="W6" s="46"/>
      <x:c r="X6" s="46"/>
    </x:row>
    <x:row r="7">
      <x:c r="A7" s="47" t="str">
        <x:v>Before the dynamic vibration experiments, the two ADXL345 measurement channels were evaluated under static gravitational loading. ADXL1 was used as the tool-side reference sensor and ADXL2 as the hand-side error sensor. Each accelerometer was successively oriented with its positive and negative X, Y and Z axes aligned as closely as practicable with the gravity vector. Three independent records were acquired for each orientation, with 3200 samples per record. In addition to the acceleration statistics, the firmware monitored sample timing, clipping, raw-data activity and the sensor configuration registers before and after every record.</x:v>
      </x:c>
      <x:c r="B7" s="47"/>
      <x:c r="C7" s="47"/>
      <x:c r="D7" s="47"/>
      <x:c r="E7" s="47"/>
      <x:c r="F7" s="47"/>
      <x:c r="G7" s="47"/>
      <x:c r="H7" s="47"/>
      <x:c r="I7" s="46"/>
      <x:c r="J7" s="46"/>
      <x:c r="K7" s="46"/>
      <x:c r="L7" s="46"/>
      <x:c r="M7" s="46"/>
      <x:c r="N7" s="46"/>
      <x:c r="O7" s="46"/>
      <x:c r="P7" s="46"/>
      <x:c r="Q7" s="46"/>
      <x:c r="R7" s="46"/>
      <x:c r="S7" s="46"/>
      <x:c r="T7" s="46"/>
      <x:c r="U7" s="46"/>
      <x:c r="V7" s="46"/>
      <x:c r="W7" s="46"/>
      <x:c r="X7" s="46"/>
    </x:row>
    <x:row r="8">
      <x:c r="A8" s="47"/>
      <x:c r="B8" s="47"/>
      <x:c r="C8" s="47"/>
      <x:c r="D8" s="47"/>
      <x:c r="E8" s="47"/>
      <x:c r="F8" s="47"/>
      <x:c r="G8" s="47"/>
      <x:c r="H8" s="47"/>
      <x:c r="I8" s="46"/>
      <x:c r="J8" s="46"/>
      <x:c r="K8" s="46"/>
      <x:c r="L8" s="46"/>
      <x:c r="M8" s="46"/>
      <x:c r="N8" s="46"/>
      <x:c r="O8" s="46"/>
      <x:c r="P8" s="46"/>
      <x:c r="Q8" s="46"/>
      <x:c r="R8" s="46"/>
      <x:c r="S8" s="46"/>
      <x:c r="T8" s="46"/>
      <x:c r="U8" s="46"/>
      <x:c r="V8" s="46"/>
      <x:c r="W8" s="46"/>
      <x:c r="X8" s="46"/>
    </x:row>
    <x:row r="9">
      <x:c r="A9" s="47"/>
      <x:c r="B9" s="47"/>
      <x:c r="C9" s="47"/>
      <x:c r="D9" s="47"/>
      <x:c r="E9" s="47"/>
      <x:c r="F9" s="47"/>
      <x:c r="G9" s="47"/>
      <x:c r="H9" s="47"/>
      <x:c r="I9" s="46"/>
      <x:c r="J9" s="46"/>
      <x:c r="K9" s="46"/>
      <x:c r="L9" s="46"/>
      <x:c r="M9" s="46"/>
      <x:c r="N9" s="46"/>
      <x:c r="O9" s="46"/>
      <x:c r="P9" s="46"/>
      <x:c r="Q9" s="46"/>
      <x:c r="R9" s="46"/>
      <x:c r="S9" s="46"/>
      <x:c r="T9" s="46"/>
      <x:c r="U9" s="46"/>
      <x:c r="V9" s="46"/>
      <x:c r="W9" s="46"/>
      <x:c r="X9" s="46"/>
    </x:row>
    <x:row r="10">
      <x:c r="A10" s="47"/>
      <x:c r="B10" s="47"/>
      <x:c r="C10" s="47"/>
      <x:c r="D10" s="47"/>
      <x:c r="E10" s="47"/>
      <x:c r="F10" s="47"/>
      <x:c r="G10" s="47"/>
      <x:c r="H10" s="47"/>
      <x:c r="I10" s="46"/>
      <x:c r="J10" s="46"/>
      <x:c r="K10" s="46"/>
      <x:c r="L10" s="46"/>
      <x:c r="M10" s="46"/>
      <x:c r="N10" s="46"/>
      <x:c r="O10" s="46"/>
      <x:c r="P10" s="46"/>
      <x:c r="Q10" s="46"/>
      <x:c r="R10" s="46"/>
      <x:c r="S10" s="46"/>
      <x:c r="T10" s="46"/>
      <x:c r="U10" s="46"/>
      <x:c r="V10" s="46"/>
      <x:c r="W10" s="46"/>
      <x:c r="X10" s="46"/>
    </x:row>
    <x:row r="11">
      <x:c r="A11" s="47"/>
      <x:c r="B11" s="47"/>
      <x:c r="C11" s="47"/>
      <x:c r="D11" s="47"/>
      <x:c r="E11" s="47"/>
      <x:c r="F11" s="47"/>
      <x:c r="G11" s="47"/>
      <x:c r="H11" s="47"/>
      <x:c r="I11" s="46"/>
      <x:c r="J11" s="46"/>
      <x:c r="K11" s="46"/>
      <x:c r="L11" s="46"/>
      <x:c r="M11" s="46"/>
      <x:c r="N11" s="46"/>
      <x:c r="O11" s="46"/>
      <x:c r="P11" s="46"/>
      <x:c r="Q11" s="46"/>
      <x:c r="R11" s="46"/>
      <x:c r="S11" s="46"/>
      <x:c r="T11" s="46"/>
      <x:c r="U11" s="46"/>
      <x:c r="V11" s="46"/>
      <x:c r="W11" s="46"/>
      <x:c r="X11" s="46"/>
    </x:row>
    <x:row r="12">
      <x:c r="A12" s="46"/>
      <x:c r="B12" s="46"/>
      <x:c r="C12" s="46"/>
      <x:c r="D12" s="46"/>
      <x:c r="E12" s="46"/>
      <x:c r="F12" s="46"/>
      <x:c r="G12" s="46"/>
      <x:c r="H12" s="46"/>
      <x:c r="I12" s="46"/>
      <x:c r="J12" s="46"/>
      <x:c r="K12" s="46"/>
      <x:c r="L12" s="46"/>
      <x:c r="M12" s="46"/>
      <x:c r="N12" s="46"/>
      <x:c r="O12" s="46"/>
      <x:c r="P12" s="46"/>
      <x:c r="Q12" s="46"/>
      <x:c r="R12" s="46"/>
      <x:c r="S12" s="46"/>
      <x:c r="T12" s="46"/>
      <x:c r="U12" s="46"/>
      <x:c r="V12" s="46"/>
      <x:c r="W12" s="46"/>
      <x:c r="X12" s="46"/>
    </x:row>
    <x:row r="13">
      <x:c r="A13" s="48" t="str">
        <x:v>Measurement integrity and repeatability</x:v>
      </x:c>
      <x:c r="B13" s="48"/>
      <x:c r="C13" s="48"/>
      <x:c r="D13" s="48"/>
      <x:c r="E13" s="48"/>
      <x:c r="F13" s="48"/>
      <x:c r="G13" s="48"/>
      <x:c r="H13" s="48"/>
      <x:c r="I13" s="46"/>
      <x:c r="J13" s="46"/>
      <x:c r="K13" s="46"/>
      <x:c r="L13" s="46"/>
      <x:c r="M13" s="46"/>
      <x:c r="N13" s="46"/>
      <x:c r="O13" s="46"/>
      <x:c r="P13" s="46"/>
      <x:c r="Q13" s="46"/>
      <x:c r="R13" s="46"/>
      <x:c r="S13" s="46"/>
      <x:c r="T13" s="46"/>
      <x:c r="U13" s="46"/>
      <x:c r="V13" s="46"/>
      <x:c r="W13" s="46"/>
      <x:c r="X13" s="46"/>
    </x:row>
    <x:row r="14">
      <x:c r="A14" s="47" t="str">
        <x:v>All 36 records selected for the final calibration dataset were structurally valid. No clipping or late samples were observed, the raw-data activity check remained valid, and the ADXL345 configuration registers retained the expected values throughout the measurements. The active-axis means were highly repeatable within each orientation. The maximum between-repeat coefficient of variation in the selected dataset remained below 0.2%, indicating that the principal deviations from the ideal ±g response were systematic rather than random.</x:v>
      </x:c>
      <x:c r="B14" s="47"/>
      <x:c r="C14" s="47"/>
      <x:c r="D14" s="47"/>
      <x:c r="E14" s="47"/>
      <x:c r="F14" s="47"/>
      <x:c r="G14" s="47"/>
      <x:c r="H14" s="47"/>
      <x:c r="I14" s="46"/>
      <x:c r="J14" s="46"/>
      <x:c r="K14" s="46"/>
      <x:c r="L14" s="46"/>
      <x:c r="M14" s="46"/>
      <x:c r="N14" s="46"/>
      <x:c r="O14" s="46"/>
      <x:c r="P14" s="46"/>
      <x:c r="Q14" s="46"/>
      <x:c r="R14" s="46"/>
      <x:c r="S14" s="46"/>
      <x:c r="T14" s="46"/>
      <x:c r="U14" s="46"/>
      <x:c r="V14" s="46"/>
      <x:c r="W14" s="46"/>
      <x:c r="X14" s="46"/>
    </x:row>
    <x:row r="15">
      <x:c r="A15" s="47"/>
      <x:c r="B15" s="47"/>
      <x:c r="C15" s="47"/>
      <x:c r="D15" s="47"/>
      <x:c r="E15" s="47"/>
      <x:c r="F15" s="47"/>
      <x:c r="G15" s="47"/>
      <x:c r="H15" s="47"/>
      <x:c r="I15" s="46"/>
      <x:c r="J15" s="46"/>
      <x:c r="K15" s="46"/>
      <x:c r="L15" s="46"/>
      <x:c r="M15" s="46"/>
      <x:c r="N15" s="46"/>
      <x:c r="O15" s="46"/>
      <x:c r="P15" s="46"/>
      <x:c r="Q15" s="46"/>
      <x:c r="R15" s="46"/>
      <x:c r="S15" s="46"/>
      <x:c r="T15" s="46"/>
      <x:c r="U15" s="46"/>
      <x:c r="V15" s="46"/>
      <x:c r="W15" s="46"/>
      <x:c r="X15" s="46"/>
    </x:row>
    <x:row r="16">
      <x:c r="A16" s="47"/>
      <x:c r="B16" s="47"/>
      <x:c r="C16" s="47"/>
      <x:c r="D16" s="47"/>
      <x:c r="E16" s="47"/>
      <x:c r="F16" s="47"/>
      <x:c r="G16" s="47"/>
      <x:c r="H16" s="47"/>
      <x:c r="I16" s="46"/>
      <x:c r="J16" s="46"/>
      <x:c r="K16" s="46"/>
      <x:c r="L16" s="46"/>
      <x:c r="M16" s="46"/>
      <x:c r="N16" s="46"/>
      <x:c r="O16" s="46"/>
      <x:c r="P16" s="46"/>
      <x:c r="Q16" s="46"/>
      <x:c r="R16" s="46"/>
      <x:c r="S16" s="46"/>
      <x:c r="T16" s="46"/>
      <x:c r="U16" s="46"/>
      <x:c r="V16" s="46"/>
      <x:c r="W16" s="46"/>
      <x:c r="X16" s="46"/>
    </x:row>
    <x:row r="17">
      <x:c r="A17" s="47"/>
      <x:c r="B17" s="47"/>
      <x:c r="C17" s="47"/>
      <x:c r="D17" s="47"/>
      <x:c r="E17" s="47"/>
      <x:c r="F17" s="47"/>
      <x:c r="G17" s="47"/>
      <x:c r="H17" s="47"/>
      <x:c r="I17" s="46"/>
      <x:c r="J17" s="46"/>
      <x:c r="K17" s="46"/>
      <x:c r="L17" s="46"/>
      <x:c r="M17" s="46"/>
      <x:c r="N17" s="46"/>
      <x:c r="O17" s="46"/>
      <x:c r="P17" s="46"/>
      <x:c r="Q17" s="46"/>
      <x:c r="R17" s="46"/>
      <x:c r="S17" s="46"/>
      <x:c r="T17" s="46"/>
      <x:c r="U17" s="46"/>
      <x:c r="V17" s="46"/>
      <x:c r="W17" s="46"/>
      <x:c r="X17" s="46"/>
    </x:row>
    <x:row r="18">
      <x:c r="A18" s="47"/>
      <x:c r="B18" s="47"/>
      <x:c r="C18" s="47"/>
      <x:c r="D18" s="47"/>
      <x:c r="E18" s="47"/>
      <x:c r="F18" s="47"/>
      <x:c r="G18" s="47"/>
      <x:c r="H18" s="47"/>
      <x:c r="I18" s="46"/>
      <x:c r="J18" s="46"/>
      <x:c r="K18" s="46"/>
      <x:c r="L18" s="46"/>
      <x:c r="M18" s="46"/>
      <x:c r="N18" s="46"/>
      <x:c r="O18" s="46"/>
      <x:c r="P18" s="46"/>
      <x:c r="Q18" s="46"/>
      <x:c r="R18" s="46"/>
      <x:c r="S18" s="46"/>
      <x:c r="T18" s="46"/>
      <x:c r="U18" s="46"/>
      <x:c r="V18" s="46"/>
      <x:c r="W18" s="46"/>
      <x:c r="X18" s="46"/>
    </x:row>
    <x:row r="19">
      <x:c r="A19" s="46"/>
      <x:c r="B19" s="46"/>
      <x:c r="C19" s="46"/>
      <x:c r="D19" s="46"/>
      <x:c r="E19" s="46"/>
      <x:c r="F19" s="46"/>
      <x:c r="G19" s="46"/>
      <x:c r="H19" s="46"/>
      <x:c r="I19" s="46"/>
      <x:c r="J19" s="46"/>
      <x:c r="K19" s="46"/>
      <x:c r="L19" s="46"/>
      <x:c r="M19" s="46"/>
      <x:c r="N19" s="46"/>
      <x:c r="O19" s="46"/>
      <x:c r="P19" s="46"/>
      <x:c r="Q19" s="46"/>
      <x:c r="R19" s="46"/>
      <x:c r="S19" s="46"/>
      <x:c r="T19" s="46"/>
      <x:c r="U19" s="46"/>
      <x:c r="V19" s="46"/>
      <x:c r="W19" s="46"/>
      <x:c r="X19" s="46"/>
    </x:row>
    <x:row r="20">
      <x:c r="A20" s="46"/>
      <x:c r="B20" s="46"/>
      <x:c r="C20" s="46"/>
      <x:c r="D20" s="46"/>
      <x:c r="E20" s="46"/>
      <x:c r="F20" s="46"/>
      <x:c r="G20" s="46"/>
      <x:c r="H20" s="46"/>
      <x:c r="I20" s="46"/>
      <x:c r="J20" s="46"/>
      <x:c r="K20" s="46"/>
      <x:c r="L20" s="46"/>
      <x:c r="M20" s="46"/>
      <x:c r="N20" s="46"/>
      <x:c r="O20" s="46"/>
      <x:c r="P20" s="46"/>
      <x:c r="Q20" s="46"/>
      <x:c r="R20" s="46"/>
      <x:c r="S20" s="46"/>
      <x:c r="T20" s="46"/>
      <x:c r="U20" s="46"/>
      <x:c r="V20" s="46"/>
      <x:c r="W20" s="46"/>
      <x:c r="X20" s="46"/>
    </x:row>
    <x:row r="21">
      <x:c r="A21" s="48" t="str">
        <x:v>Observed static response</x:v>
      </x:c>
      <x:c r="B21" s="48"/>
      <x:c r="C21" s="48"/>
      <x:c r="D21" s="48"/>
      <x:c r="E21" s="48"/>
      <x:c r="F21" s="48"/>
      <x:c r="G21" s="48"/>
      <x:c r="H21" s="48"/>
      <x:c r="I21" s="46"/>
      <x:c r="J21" s="46"/>
      <x:c r="K21" s="46"/>
      <x:c r="L21" s="46"/>
      <x:c r="M21" s="46"/>
      <x:c r="N21" s="46"/>
      <x:c r="O21" s="46"/>
      <x:c r="P21" s="46"/>
      <x:c r="Q21" s="46"/>
      <x:c r="R21" s="46"/>
      <x:c r="S21" s="46"/>
      <x:c r="T21" s="46"/>
      <x:c r="U21" s="46"/>
      <x:c r="V21" s="46"/>
      <x:c r="W21" s="46"/>
      <x:c r="X21" s="46"/>
    </x:row>
    <x:row r="22">
      <x:c r="A22" s="47" t="str">
        <x:v>The improved six-position measurements produced substantially cleaner axis alignment than the preliminary hand-held trial, particularly for the X orientations and the final Z orientations. Nevertheless, the raw response remained sensor- and axis-dependent. ADXL1 exhibited a negative Z-axis bias, whereas ADXL2 exhibited a positive Z-axis bias. Using the selected +Z and −Z measurements, the preliminary bias estimates were approximately -0.689 m/s² for ADXL1 and 1.523 m/s² for ADXL2. In contrast, the corresponding Z-axis span errors were only -2.86% and -1.15%, respectively. The opposite-polarity asymmetry therefore cannot be interpreted simply as a large sensitivity error.</x:v>
      </x:c>
      <x:c r="B22" s="47"/>
      <x:c r="C22" s="47"/>
      <x:c r="D22" s="47"/>
      <x:c r="E22" s="47"/>
      <x:c r="F22" s="47"/>
      <x:c r="G22" s="47"/>
      <x:c r="H22" s="47"/>
      <x:c r="I22" s="46"/>
      <x:c r="J22" s="46"/>
      <x:c r="K22" s="46"/>
      <x:c r="L22" s="46"/>
      <x:c r="M22" s="46"/>
      <x:c r="N22" s="46"/>
      <x:c r="O22" s="46"/>
      <x:c r="P22" s="46"/>
      <x:c r="Q22" s="46"/>
      <x:c r="R22" s="46"/>
      <x:c r="S22" s="46"/>
      <x:c r="T22" s="46"/>
      <x:c r="U22" s="46"/>
      <x:c r="V22" s="46"/>
      <x:c r="W22" s="46"/>
      <x:c r="X22" s="46"/>
    </x:row>
    <x:row r="23">
      <x:c r="A23" s="47"/>
      <x:c r="B23" s="47"/>
      <x:c r="C23" s="47"/>
      <x:c r="D23" s="47"/>
      <x:c r="E23" s="47"/>
      <x:c r="F23" s="47"/>
      <x:c r="G23" s="47"/>
      <x:c r="H23" s="47"/>
      <x:c r="I23" s="46"/>
      <x:c r="J23" s="46"/>
      <x:c r="K23" s="46"/>
      <x:c r="L23" s="46"/>
      <x:c r="M23" s="46"/>
      <x:c r="N23" s="46"/>
      <x:c r="O23" s="46"/>
      <x:c r="P23" s="46"/>
      <x:c r="Q23" s="46"/>
      <x:c r="R23" s="46"/>
      <x:c r="S23" s="46"/>
      <x:c r="T23" s="46"/>
      <x:c r="U23" s="46"/>
      <x:c r="V23" s="46"/>
      <x:c r="W23" s="46"/>
      <x:c r="X23" s="46"/>
    </x:row>
    <x:row r="24">
      <x:c r="A24" s="47"/>
      <x:c r="B24" s="47"/>
      <x:c r="C24" s="47"/>
      <x:c r="D24" s="47"/>
      <x:c r="E24" s="47"/>
      <x:c r="F24" s="47"/>
      <x:c r="G24" s="47"/>
      <x:c r="H24" s="47"/>
      <x:c r="I24" s="46"/>
      <x:c r="J24" s="46"/>
      <x:c r="K24" s="46"/>
      <x:c r="L24" s="46"/>
      <x:c r="M24" s="46"/>
      <x:c r="N24" s="46"/>
      <x:c r="O24" s="46"/>
      <x:c r="P24" s="46"/>
      <x:c r="Q24" s="46"/>
      <x:c r="R24" s="46"/>
      <x:c r="S24" s="46"/>
      <x:c r="T24" s="46"/>
      <x:c r="U24" s="46"/>
      <x:c r="V24" s="46"/>
      <x:c r="W24" s="46"/>
      <x:c r="X24" s="46"/>
    </x:row>
    <x:row r="25">
      <x:c r="A25" s="47"/>
      <x:c r="B25" s="47"/>
      <x:c r="C25" s="47"/>
      <x:c r="D25" s="47"/>
      <x:c r="E25" s="47"/>
      <x:c r="F25" s="47"/>
      <x:c r="G25" s="47"/>
      <x:c r="H25" s="47"/>
      <x:c r="I25" s="46"/>
      <x:c r="J25" s="46"/>
      <x:c r="K25" s="46"/>
      <x:c r="L25" s="46"/>
      <x:c r="M25" s="46"/>
      <x:c r="N25" s="46"/>
      <x:c r="O25" s="46"/>
      <x:c r="P25" s="46"/>
      <x:c r="Q25" s="46"/>
      <x:c r="R25" s="46"/>
      <x:c r="S25" s="46"/>
      <x:c r="T25" s="46"/>
      <x:c r="U25" s="46"/>
      <x:c r="V25" s="46"/>
      <x:c r="W25" s="46"/>
      <x:c r="X25" s="46"/>
    </x:row>
    <x:row r="26">
      <x:c r="A26" s="47"/>
      <x:c r="B26" s="47"/>
      <x:c r="C26" s="47"/>
      <x:c r="D26" s="47"/>
      <x:c r="E26" s="47"/>
      <x:c r="F26" s="47"/>
      <x:c r="G26" s="47"/>
      <x:c r="H26" s="47"/>
      <x:c r="I26" s="46"/>
      <x:c r="J26" s="46"/>
      <x:c r="K26" s="46"/>
      <x:c r="L26" s="46"/>
      <x:c r="M26" s="46"/>
      <x:c r="N26" s="46"/>
      <x:c r="O26" s="46"/>
      <x:c r="P26" s="46"/>
      <x:c r="Q26" s="46"/>
      <x:c r="R26" s="46"/>
      <x:c r="S26" s="46"/>
      <x:c r="T26" s="46"/>
      <x:c r="U26" s="46"/>
      <x:c r="V26" s="46"/>
      <x:c r="W26" s="46"/>
      <x:c r="X26" s="46"/>
    </x:row>
    <x:row r="27">
      <x:c r="A27" s="46"/>
      <x:c r="B27" s="46"/>
      <x:c r="C27" s="46"/>
      <x:c r="D27" s="46"/>
      <x:c r="E27" s="46"/>
      <x:c r="F27" s="46"/>
      <x:c r="G27" s="46"/>
      <x:c r="H27" s="46"/>
      <x:c r="I27" s="46"/>
      <x:c r="J27" s="46"/>
      <x:c r="K27" s="46"/>
      <x:c r="L27" s="46"/>
      <x:c r="M27" s="46"/>
      <x:c r="N27" s="46"/>
      <x:c r="O27" s="46"/>
      <x:c r="P27" s="46"/>
      <x:c r="Q27" s="46"/>
      <x:c r="R27" s="46"/>
      <x:c r="S27" s="46"/>
      <x:c r="T27" s="46"/>
      <x:c r="U27" s="46"/>
      <x:c r="V27" s="46"/>
      <x:c r="W27" s="46"/>
      <x:c r="X27" s="46"/>
    </x:row>
    <x:row r="28">
      <x:c r="A28" s="46"/>
      <x:c r="B28" s="46"/>
      <x:c r="C28" s="46"/>
      <x:c r="D28" s="46"/>
      <x:c r="E28" s="46"/>
      <x:c r="F28" s="46"/>
      <x:c r="G28" s="46"/>
      <x:c r="H28" s="46"/>
      <x:c r="I28" s="46"/>
      <x:c r="J28" s="46"/>
      <x:c r="K28" s="46"/>
      <x:c r="L28" s="46"/>
      <x:c r="M28" s="46"/>
      <x:c r="N28" s="46"/>
      <x:c r="O28" s="46"/>
      <x:c r="P28" s="46"/>
      <x:c r="Q28" s="46"/>
      <x:c r="R28" s="46"/>
      <x:c r="S28" s="46"/>
      <x:c r="T28" s="46"/>
      <x:c r="U28" s="46"/>
      <x:c r="V28" s="46"/>
      <x:c r="W28" s="46"/>
      <x:c r="X28" s="46"/>
    </x:row>
    <x:row r="29">
      <x:c r="A29" s="46"/>
      <x:c r="B29" s="46"/>
      <x:c r="C29" s="46"/>
      <x:c r="D29" s="46"/>
      <x:c r="E29" s="46"/>
      <x:c r="F29" s="46"/>
      <x:c r="G29" s="46"/>
      <x:c r="H29" s="46"/>
      <x:c r="I29" s="46"/>
      <x:c r="J29" s="46"/>
      <x:c r="K29" s="46"/>
      <x:c r="L29" s="46"/>
      <x:c r="M29" s="46"/>
      <x:c r="N29" s="46"/>
      <x:c r="O29" s="46"/>
      <x:c r="P29" s="46"/>
      <x:c r="Q29" s="46"/>
      <x:c r="R29" s="46"/>
      <x:c r="S29" s="46"/>
      <x:c r="T29" s="46"/>
      <x:c r="U29" s="46"/>
      <x:c r="V29" s="46"/>
      <x:c r="W29" s="46"/>
      <x:c r="X29" s="46"/>
    </x:row>
    <x:row r="30">
      <x:c r="A30" s="48" t="str">
        <x:v>Calibration model</x:v>
      </x:c>
      <x:c r="B30" s="48"/>
      <x:c r="C30" s="48"/>
      <x:c r="D30" s="48"/>
      <x:c r="E30" s="48"/>
      <x:c r="F30" s="48"/>
      <x:c r="G30" s="48"/>
      <x:c r="H30" s="48"/>
      <x:c r="I30" s="46"/>
      <x:c r="J30" s="46"/>
      <x:c r="K30" s="46"/>
      <x:c r="L30" s="46"/>
      <x:c r="M30" s="46"/>
      <x:c r="N30" s="46"/>
      <x:c r="O30" s="46"/>
      <x:c r="P30" s="46"/>
      <x:c r="Q30" s="46"/>
      <x:c r="R30" s="46"/>
      <x:c r="S30" s="46"/>
      <x:c r="T30" s="46"/>
      <x:c r="U30" s="46"/>
      <x:c r="V30" s="46"/>
      <x:c r="W30" s="46"/>
      <x:c r="X30" s="46"/>
    </x:row>
    <x:row r="31">
      <x:c r="A31" s="47" t="str">
        <x:v>For each sensor axis i, the static bias was estimated as b_i=(a_i+ + a_i−)/2 and the measured sensitivity ratio as s_i=(a_i+ − a_i−)/(2g), where g=9.80665 m/s². The corresponding correction gain was K_i=1/s_i, giving the linear correction a_i,corr=K_i(a_i,raw−b_i). These coefficients are reported as candidate installed-system calibration parameters. They are not yet treated as final validated constants because the calibration and verification data must remain independent.</x:v>
      </x:c>
      <x:c r="B31" s="47"/>
      <x:c r="C31" s="47"/>
      <x:c r="D31" s="47"/>
      <x:c r="E31" s="47"/>
      <x:c r="F31" s="47"/>
      <x:c r="G31" s="47"/>
      <x:c r="H31" s="47"/>
      <x:c r="I31" s="46"/>
      <x:c r="J31" s="46"/>
      <x:c r="K31" s="46"/>
      <x:c r="L31" s="46"/>
      <x:c r="M31" s="46"/>
      <x:c r="N31" s="46"/>
      <x:c r="O31" s="46"/>
      <x:c r="P31" s="46"/>
      <x:c r="Q31" s="46"/>
      <x:c r="R31" s="46"/>
      <x:c r="S31" s="46"/>
      <x:c r="T31" s="46"/>
      <x:c r="U31" s="46"/>
      <x:c r="V31" s="46"/>
      <x:c r="W31" s="46"/>
      <x:c r="X31" s="46"/>
    </x:row>
    <x:row r="32">
      <x:c r="A32" s="47"/>
      <x:c r="B32" s="47"/>
      <x:c r="C32" s="47"/>
      <x:c r="D32" s="47"/>
      <x:c r="E32" s="47"/>
      <x:c r="F32" s="47"/>
      <x:c r="G32" s="47"/>
      <x:c r="H32" s="47"/>
      <x:c r="I32" s="46"/>
      <x:c r="J32" s="46"/>
      <x:c r="K32" s="46"/>
      <x:c r="L32" s="46"/>
      <x:c r="M32" s="46"/>
      <x:c r="N32" s="46"/>
      <x:c r="O32" s="46"/>
      <x:c r="P32" s="46"/>
      <x:c r="Q32" s="46"/>
      <x:c r="R32" s="46"/>
      <x:c r="S32" s="46"/>
      <x:c r="T32" s="46"/>
      <x:c r="U32" s="46"/>
      <x:c r="V32" s="46"/>
      <x:c r="W32" s="46"/>
      <x:c r="X32" s="46"/>
    </x:row>
    <x:row r="33">
      <x:c r="A33" s="47"/>
      <x:c r="B33" s="47"/>
      <x:c r="C33" s="47"/>
      <x:c r="D33" s="47"/>
      <x:c r="E33" s="47"/>
      <x:c r="F33" s="47"/>
      <x:c r="G33" s="47"/>
      <x:c r="H33" s="47"/>
      <x:c r="I33" s="46"/>
      <x:c r="J33" s="46"/>
      <x:c r="K33" s="46"/>
      <x:c r="L33" s="46"/>
      <x:c r="M33" s="46"/>
      <x:c r="N33" s="46"/>
      <x:c r="O33" s="46"/>
      <x:c r="P33" s="46"/>
      <x:c r="Q33" s="46"/>
      <x:c r="R33" s="46"/>
      <x:c r="S33" s="46"/>
      <x:c r="T33" s="46"/>
      <x:c r="U33" s="46"/>
      <x:c r="V33" s="46"/>
      <x:c r="W33" s="46"/>
      <x:c r="X33" s="46"/>
    </x:row>
    <x:row r="34">
      <x:c r="A34" s="47"/>
      <x:c r="B34" s="47"/>
      <x:c r="C34" s="47"/>
      <x:c r="D34" s="47"/>
      <x:c r="E34" s="47"/>
      <x:c r="F34" s="47"/>
      <x:c r="G34" s="47"/>
      <x:c r="H34" s="47"/>
      <x:c r="I34" s="46"/>
      <x:c r="J34" s="46"/>
      <x:c r="K34" s="46"/>
      <x:c r="L34" s="46"/>
      <x:c r="M34" s="46"/>
      <x:c r="N34" s="46"/>
      <x:c r="O34" s="46"/>
      <x:c r="P34" s="46"/>
      <x:c r="Q34" s="46"/>
      <x:c r="R34" s="46"/>
      <x:c r="S34" s="46"/>
      <x:c r="T34" s="46"/>
      <x:c r="U34" s="46"/>
      <x:c r="V34" s="46"/>
      <x:c r="W34" s="46"/>
      <x:c r="X34" s="46"/>
    </x:row>
    <x:row r="35">
      <x:c r="A35" s="47"/>
      <x:c r="B35" s="47"/>
      <x:c r="C35" s="47"/>
      <x:c r="D35" s="47"/>
      <x:c r="E35" s="47"/>
      <x:c r="F35" s="47"/>
      <x:c r="G35" s="47"/>
      <x:c r="H35" s="47"/>
      <x:c r="I35" s="46"/>
      <x:c r="J35" s="46"/>
      <x:c r="K35" s="46"/>
      <x:c r="L35" s="46"/>
      <x:c r="M35" s="46"/>
      <x:c r="N35" s="46"/>
      <x:c r="O35" s="46"/>
      <x:c r="P35" s="46"/>
      <x:c r="Q35" s="46"/>
      <x:c r="R35" s="46"/>
      <x:c r="S35" s="46"/>
      <x:c r="T35" s="46"/>
      <x:c r="U35" s="46"/>
      <x:c r="V35" s="46"/>
      <x:c r="W35" s="46"/>
      <x:c r="X35" s="46"/>
    </x:row>
    <x:row r="36">
      <x:c r="A36" s="46"/>
      <x:c r="B36" s="46"/>
      <x:c r="C36" s="46"/>
      <x:c r="D36" s="46"/>
      <x:c r="E36" s="46"/>
      <x:c r="F36" s="46"/>
      <x:c r="G36" s="46"/>
      <x:c r="H36" s="46"/>
      <x:c r="I36" s="46"/>
      <x:c r="J36" s="46"/>
      <x:c r="K36" s="46"/>
      <x:c r="L36" s="46"/>
      <x:c r="M36" s="46"/>
      <x:c r="N36" s="46"/>
      <x:c r="O36" s="46"/>
      <x:c r="P36" s="46"/>
      <x:c r="Q36" s="46"/>
      <x:c r="R36" s="46"/>
      <x:c r="S36" s="46"/>
      <x:c r="T36" s="46"/>
      <x:c r="U36" s="46"/>
      <x:c r="V36" s="46"/>
      <x:c r="W36" s="46"/>
      <x:c r="X36" s="46"/>
    </x:row>
    <x:row r="37">
      <x:c r="A37" s="46"/>
      <x:c r="B37" s="46"/>
      <x:c r="C37" s="46"/>
      <x:c r="D37" s="46"/>
      <x:c r="E37" s="46"/>
      <x:c r="F37" s="46"/>
      <x:c r="G37" s="46"/>
      <x:c r="H37" s="46"/>
      <x:c r="I37" s="46"/>
      <x:c r="J37" s="46"/>
      <x:c r="K37" s="46"/>
      <x:c r="L37" s="46"/>
      <x:c r="M37" s="46"/>
      <x:c r="N37" s="46"/>
      <x:c r="O37" s="46"/>
      <x:c r="P37" s="46"/>
      <x:c r="Q37" s="46"/>
      <x:c r="R37" s="46"/>
      <x:c r="S37" s="46"/>
      <x:c r="T37" s="46"/>
      <x:c r="U37" s="46"/>
      <x:c r="V37" s="46"/>
      <x:c r="W37" s="46"/>
      <x:c r="X37" s="46"/>
    </x:row>
    <x:row r="38">
      <x:c r="A38" s="46"/>
      <x:c r="B38" s="46"/>
      <x:c r="C38" s="46"/>
      <x:c r="D38" s="46"/>
      <x:c r="E38" s="46"/>
      <x:c r="F38" s="46"/>
      <x:c r="G38" s="46"/>
      <x:c r="H38" s="46"/>
      <x:c r="I38" s="46"/>
      <x:c r="J38" s="46"/>
      <x:c r="K38" s="46"/>
      <x:c r="L38" s="46"/>
      <x:c r="M38" s="46"/>
      <x:c r="N38" s="46"/>
      <x:c r="O38" s="46"/>
      <x:c r="P38" s="46"/>
      <x:c r="Q38" s="46"/>
      <x:c r="R38" s="46"/>
      <x:c r="S38" s="46"/>
      <x:c r="T38" s="46"/>
      <x:c r="U38" s="46"/>
      <x:c r="V38" s="46"/>
      <x:c r="W38" s="46"/>
      <x:c r="X38" s="46"/>
    </x:row>
    <x:row r="39">
      <x:c r="A39" s="48" t="str">
        <x:v>Interpretation and limitation</x:v>
      </x:c>
      <x:c r="B39" s="48"/>
      <x:c r="C39" s="48"/>
      <x:c r="D39" s="48"/>
      <x:c r="E39" s="48"/>
      <x:c r="F39" s="48"/>
      <x:c r="G39" s="48"/>
      <x:c r="H39" s="48"/>
      <x:c r="I39" s="46"/>
      <x:c r="J39" s="46"/>
      <x:c r="K39" s="46"/>
      <x:c r="L39" s="46"/>
      <x:c r="M39" s="46"/>
      <x:c r="N39" s="46"/>
      <x:c r="O39" s="46"/>
      <x:c r="P39" s="46"/>
      <x:c r="Q39" s="46"/>
      <x:c r="R39" s="46"/>
      <x:c r="S39" s="46"/>
      <x:c r="T39" s="46"/>
      <x:c r="U39" s="46"/>
      <x:c r="V39" s="46"/>
      <x:c r="W39" s="46"/>
      <x:c r="X39" s="46"/>
    </x:row>
    <x:row r="40">
      <x:c r="A40" s="47" t="str">
        <x:v>The static experiment verifies sensor polarity, short-term repeatability, acquisition integrity and the presence of installed-system offset and sensitivity differences. It does not by itself establish dynamic amplitude accuracy at the vibration-control frequency. Dynamic suitability is therefore verified separately through the subsequent stationary-noise, same-body dual-sensor and controlled-frequency vibration experiments. A fresh six-position run with the candidate coefficients enabled is required before the corrected static accuracy is frozen.</x:v>
      </x:c>
      <x:c r="B40" s="47"/>
      <x:c r="C40" s="47"/>
      <x:c r="D40" s="47"/>
      <x:c r="E40" s="47"/>
      <x:c r="F40" s="47"/>
      <x:c r="G40" s="47"/>
      <x:c r="H40" s="47"/>
      <x:c r="I40" s="46"/>
      <x:c r="J40" s="46"/>
      <x:c r="K40" s="46"/>
      <x:c r="L40" s="46"/>
      <x:c r="M40" s="46"/>
      <x:c r="N40" s="46"/>
      <x:c r="O40" s="46"/>
      <x:c r="P40" s="46"/>
      <x:c r="Q40" s="46"/>
      <x:c r="R40" s="46"/>
      <x:c r="S40" s="46"/>
      <x:c r="T40" s="46"/>
      <x:c r="U40" s="46"/>
      <x:c r="V40" s="46"/>
      <x:c r="W40" s="46"/>
      <x:c r="X40" s="46"/>
    </x:row>
    <x:row r="41">
      <x:c r="A41" s="47"/>
      <x:c r="B41" s="47"/>
      <x:c r="C41" s="47"/>
      <x:c r="D41" s="47"/>
      <x:c r="E41" s="47"/>
      <x:c r="F41" s="47"/>
      <x:c r="G41" s="47"/>
      <x:c r="H41" s="47"/>
      <x:c r="I41" s="46"/>
      <x:c r="J41" s="46"/>
      <x:c r="K41" s="46"/>
      <x:c r="L41" s="46"/>
      <x:c r="M41" s="46"/>
      <x:c r="N41" s="46"/>
      <x:c r="O41" s="46"/>
      <x:c r="P41" s="46"/>
      <x:c r="Q41" s="46"/>
      <x:c r="R41" s="46"/>
      <x:c r="S41" s="46"/>
      <x:c r="T41" s="46"/>
      <x:c r="U41" s="46"/>
      <x:c r="V41" s="46"/>
      <x:c r="W41" s="46"/>
      <x:c r="X41" s="46"/>
    </x:row>
    <x:row r="42">
      <x:c r="A42" s="47"/>
      <x:c r="B42" s="47"/>
      <x:c r="C42" s="47"/>
      <x:c r="D42" s="47"/>
      <x:c r="E42" s="47"/>
      <x:c r="F42" s="47"/>
      <x:c r="G42" s="47"/>
      <x:c r="H42" s="47"/>
      <x:c r="I42" s="46"/>
      <x:c r="J42" s="46"/>
      <x:c r="K42" s="46"/>
      <x:c r="L42" s="46"/>
      <x:c r="M42" s="46"/>
      <x:c r="N42" s="46"/>
      <x:c r="O42" s="46"/>
      <x:c r="P42" s="46"/>
      <x:c r="Q42" s="46"/>
      <x:c r="R42" s="46"/>
      <x:c r="S42" s="46"/>
      <x:c r="T42" s="46"/>
      <x:c r="U42" s="46"/>
      <x:c r="V42" s="46"/>
      <x:c r="W42" s="46"/>
      <x:c r="X42" s="46"/>
    </x:row>
    <x:row r="43">
      <x:c r="A43" s="47"/>
      <x:c r="B43" s="47"/>
      <x:c r="C43" s="47"/>
      <x:c r="D43" s="47"/>
      <x:c r="E43" s="47"/>
      <x:c r="F43" s="47"/>
      <x:c r="G43" s="47"/>
      <x:c r="H43" s="47"/>
      <x:c r="I43" s="46"/>
      <x:c r="J43" s="46"/>
      <x:c r="K43" s="46"/>
      <x:c r="L43" s="46"/>
      <x:c r="M43" s="46"/>
      <x:c r="N43" s="46"/>
      <x:c r="O43" s="46"/>
      <x:c r="P43" s="46"/>
      <x:c r="Q43" s="46"/>
      <x:c r="R43" s="46"/>
      <x:c r="S43" s="46"/>
      <x:c r="T43" s="46"/>
      <x:c r="U43" s="46"/>
      <x:c r="V43" s="46"/>
      <x:c r="W43" s="46"/>
      <x:c r="X43" s="46"/>
    </x:row>
    <x:row r="44">
      <x:c r="A44" s="47"/>
      <x:c r="B44" s="47"/>
      <x:c r="C44" s="47"/>
      <x:c r="D44" s="47"/>
      <x:c r="E44" s="47"/>
      <x:c r="F44" s="47"/>
      <x:c r="G44" s="47"/>
      <x:c r="H44" s="47"/>
      <x:c r="I44" s="46"/>
      <x:c r="J44" s="46"/>
      <x:c r="K44" s="46"/>
      <x:c r="L44" s="46"/>
      <x:c r="M44" s="46"/>
      <x:c r="N44" s="46"/>
      <x:c r="O44" s="46"/>
      <x:c r="P44" s="46"/>
      <x:c r="Q44" s="46"/>
      <x:c r="R44" s="46"/>
      <x:c r="S44" s="46"/>
      <x:c r="T44" s="46"/>
      <x:c r="U44" s="46"/>
      <x:c r="V44" s="46"/>
      <x:c r="W44" s="46"/>
      <x:c r="X44" s="46"/>
    </x:row>
    <x:row r="45">
      <x:c r="A45" s="46"/>
      <x:c r="B45" s="46"/>
      <x:c r="C45" s="46"/>
      <x:c r="D45" s="46"/>
      <x:c r="E45" s="46"/>
      <x:c r="F45" s="46"/>
      <x:c r="G45" s="46"/>
      <x:c r="H45" s="46"/>
      <x:c r="I45" s="46"/>
      <x:c r="J45" s="46"/>
      <x:c r="K45" s="46"/>
      <x:c r="L45" s="46"/>
      <x:c r="M45" s="46"/>
      <x:c r="N45" s="46"/>
      <x:c r="O45" s="46"/>
      <x:c r="P45" s="46"/>
      <x:c r="Q45" s="46"/>
      <x:c r="R45" s="46"/>
      <x:c r="S45" s="46"/>
      <x:c r="T45" s="46"/>
      <x:c r="U45" s="46"/>
      <x:c r="V45" s="46"/>
      <x:c r="W45" s="46"/>
      <x:c r="X45" s="46"/>
    </x:row>
    <x:row r="46">
      <x:c r="A46" s="46"/>
      <x:c r="B46" s="46"/>
      <x:c r="C46" s="46"/>
      <x:c r="D46" s="46"/>
      <x:c r="E46" s="46"/>
      <x:c r="F46" s="46"/>
      <x:c r="G46" s="46"/>
      <x:c r="H46" s="46"/>
      <x:c r="I46" s="46"/>
      <x:c r="J46" s="46"/>
      <x:c r="K46" s="46"/>
      <x:c r="L46" s="46"/>
      <x:c r="M46" s="46"/>
      <x:c r="N46" s="46"/>
      <x:c r="O46" s="46"/>
      <x:c r="P46" s="46"/>
      <x:c r="Q46" s="46"/>
      <x:c r="R46" s="46"/>
      <x:c r="S46" s="46"/>
      <x:c r="T46" s="46"/>
      <x:c r="U46" s="46"/>
      <x:c r="V46" s="46"/>
      <x:c r="W46" s="46"/>
      <x:c r="X46" s="46"/>
    </x:row>
    <x:row r="47">
      <x:c r="A47" s="46"/>
      <x:c r="B47" s="46"/>
      <x:c r="C47" s="46"/>
      <x:c r="D47" s="46"/>
      <x:c r="E47" s="46"/>
      <x:c r="F47" s="46"/>
      <x:c r="G47" s="46"/>
      <x:c r="H47" s="46"/>
      <x:c r="I47" s="46"/>
      <x:c r="J47" s="46"/>
      <x:c r="K47" s="46"/>
      <x:c r="L47" s="46"/>
      <x:c r="M47" s="46"/>
      <x:c r="N47" s="46"/>
      <x:c r="O47" s="46"/>
      <x:c r="P47" s="46"/>
      <x:c r="Q47" s="46"/>
      <x:c r="R47" s="46"/>
      <x:c r="S47" s="46"/>
      <x:c r="T47" s="46"/>
      <x:c r="U47" s="46"/>
      <x:c r="V47" s="46"/>
      <x:c r="W47" s="46"/>
      <x:c r="X47" s="46"/>
    </x:row>
    <x:row r="48">
      <x:c r="A48" s="48" t="str">
        <x:v>Result statement to freeze</x:v>
      </x:c>
      <x:c r="B48" s="48"/>
      <x:c r="C48" s="48"/>
      <x:c r="D48" s="48"/>
      <x:c r="E48" s="48"/>
      <x:c r="F48" s="48"/>
      <x:c r="G48" s="48"/>
      <x:c r="H48" s="48"/>
      <x:c r="I48" s="46"/>
      <x:c r="J48" s="46"/>
      <x:c r="K48" s="46"/>
      <x:c r="L48" s="46"/>
      <x:c r="M48" s="46"/>
      <x:c r="N48" s="46"/>
      <x:c r="O48" s="46"/>
      <x:c r="P48" s="46"/>
      <x:c r="Q48" s="46"/>
      <x:c r="R48" s="46"/>
      <x:c r="S48" s="46"/>
      <x:c r="T48" s="46"/>
      <x:c r="U48" s="46"/>
      <x:c r="V48" s="46"/>
      <x:c r="W48" s="46"/>
      <x:c r="X48" s="46"/>
    </x:row>
    <x:row r="49">
      <x:c r="A49" s="47" t="str">
        <x:v>The dual-ADXL345 measurement chain passed the static integrity and repeatability verification. The selected data showed highly repeatable but axis-dependent raw acceleration values, with the largest systematic effect occurring as opposite-sign Z-axis bias in the two accelerometers. A per-axis offset-and-scale calibration model was therefore identified. Final corrected accuracy will be reported only after independent post-calibration six-position validation.</x:v>
      </x:c>
      <x:c r="B49" s="47"/>
      <x:c r="C49" s="47"/>
      <x:c r="D49" s="47"/>
      <x:c r="E49" s="47"/>
      <x:c r="F49" s="47"/>
      <x:c r="G49" s="47"/>
      <x:c r="H49" s="47"/>
      <x:c r="I49" s="46"/>
      <x:c r="J49" s="46"/>
      <x:c r="K49" s="46"/>
      <x:c r="L49" s="46"/>
      <x:c r="M49" s="46"/>
      <x:c r="N49" s="46"/>
      <x:c r="O49" s="46"/>
      <x:c r="P49" s="46"/>
      <x:c r="Q49" s="46"/>
      <x:c r="R49" s="46"/>
      <x:c r="S49" s="46"/>
      <x:c r="T49" s="46"/>
      <x:c r="U49" s="46"/>
      <x:c r="V49" s="46"/>
      <x:c r="W49" s="46"/>
      <x:c r="X49" s="46"/>
    </x:row>
    <x:row r="50">
      <x:c r="A50" s="47"/>
      <x:c r="B50" s="47"/>
      <x:c r="C50" s="47"/>
      <x:c r="D50" s="47"/>
      <x:c r="E50" s="47"/>
      <x:c r="F50" s="47"/>
      <x:c r="G50" s="47"/>
      <x:c r="H50" s="47"/>
      <x:c r="I50" s="46"/>
      <x:c r="J50" s="46"/>
      <x:c r="K50" s="46"/>
      <x:c r="L50" s="46"/>
      <x:c r="M50" s="46"/>
      <x:c r="N50" s="46"/>
      <x:c r="O50" s="46"/>
      <x:c r="P50" s="46"/>
      <x:c r="Q50" s="46"/>
      <x:c r="R50" s="46"/>
      <x:c r="S50" s="46"/>
      <x:c r="T50" s="46"/>
      <x:c r="U50" s="46"/>
      <x:c r="V50" s="46"/>
      <x:c r="W50" s="46"/>
      <x:c r="X50" s="46"/>
    </x:row>
    <x:row r="51">
      <x:c r="A51" s="47"/>
      <x:c r="B51" s="47"/>
      <x:c r="C51" s="47"/>
      <x:c r="D51" s="47"/>
      <x:c r="E51" s="47"/>
      <x:c r="F51" s="47"/>
      <x:c r="G51" s="47"/>
      <x:c r="H51" s="47"/>
      <x:c r="I51" s="46"/>
      <x:c r="J51" s="46"/>
      <x:c r="K51" s="46"/>
      <x:c r="L51" s="46"/>
      <x:c r="M51" s="46"/>
      <x:c r="N51" s="46"/>
      <x:c r="O51" s="46"/>
      <x:c r="P51" s="46"/>
      <x:c r="Q51" s="46"/>
      <x:c r="R51" s="46"/>
      <x:c r="S51" s="46"/>
      <x:c r="T51" s="46"/>
      <x:c r="U51" s="46"/>
      <x:c r="V51" s="46"/>
      <x:c r="W51" s="46"/>
      <x:c r="X51" s="46"/>
    </x:row>
    <x:row r="52">
      <x:c r="A52" s="47"/>
      <x:c r="B52" s="47"/>
      <x:c r="C52" s="47"/>
      <x:c r="D52" s="47"/>
      <x:c r="E52" s="47"/>
      <x:c r="F52" s="47"/>
      <x:c r="G52" s="47"/>
      <x:c r="H52" s="47"/>
      <x:c r="I52" s="46"/>
      <x:c r="J52" s="46"/>
      <x:c r="K52" s="46"/>
      <x:c r="L52" s="46"/>
      <x:c r="M52" s="46"/>
      <x:c r="N52" s="46"/>
      <x:c r="O52" s="46"/>
      <x:c r="P52" s="46"/>
      <x:c r="Q52" s="46"/>
      <x:c r="R52" s="46"/>
      <x:c r="S52" s="46"/>
      <x:c r="T52" s="46"/>
      <x:c r="U52" s="46"/>
      <x:c r="V52" s="46"/>
      <x:c r="W52" s="46"/>
      <x:c r="X52" s="46"/>
    </x:row>
    <x:row r="53">
      <x:c r="A53" s="47"/>
      <x:c r="B53" s="47"/>
      <x:c r="C53" s="47"/>
      <x:c r="D53" s="47"/>
      <x:c r="E53" s="47"/>
      <x:c r="F53" s="47"/>
      <x:c r="G53" s="47"/>
      <x:c r="H53" s="47"/>
      <x:c r="I53" s="46"/>
      <x:c r="J53" s="46"/>
      <x:c r="K53" s="46"/>
      <x:c r="L53" s="46"/>
      <x:c r="M53" s="46"/>
      <x:c r="N53" s="46"/>
      <x:c r="O53" s="46"/>
      <x:c r="P53" s="46"/>
      <x:c r="Q53" s="46"/>
      <x:c r="R53" s="46"/>
      <x:c r="S53" s="46"/>
      <x:c r="T53" s="46"/>
      <x:c r="U53" s="46"/>
      <x:c r="V53" s="46"/>
      <x:c r="W53" s="46"/>
      <x:c r="X53" s="46"/>
    </x:row>
    <x:row r="54">
      <x:c r="A54" s="46"/>
      <x:c r="B54" s="46"/>
      <x:c r="C54" s="46"/>
      <x:c r="D54" s="46"/>
      <x:c r="E54" s="46"/>
      <x:c r="F54" s="46"/>
      <x:c r="G54" s="46"/>
      <x:c r="H54" s="46"/>
      <x:c r="I54" s="46"/>
      <x:c r="J54" s="46"/>
      <x:c r="K54" s="46"/>
      <x:c r="L54" s="46"/>
      <x:c r="M54" s="46"/>
      <x:c r="N54" s="46"/>
      <x:c r="O54" s="46"/>
      <x:c r="P54" s="46"/>
      <x:c r="Q54" s="46"/>
      <x:c r="R54" s="46"/>
      <x:c r="S54" s="46"/>
      <x:c r="T54" s="46"/>
      <x:c r="U54" s="46"/>
      <x:c r="V54" s="46"/>
      <x:c r="W54" s="46"/>
      <x:c r="X54" s="46"/>
    </x:row>
    <x:row r="55">
      <x:c r="A55" s="46"/>
      <x:c r="B55" s="46"/>
      <x:c r="C55" s="46"/>
      <x:c r="D55" s="46"/>
      <x:c r="E55" s="46"/>
      <x:c r="F55" s="46"/>
      <x:c r="G55" s="46"/>
      <x:c r="H55" s="46"/>
      <x:c r="I55" s="46"/>
      <x:c r="J55" s="46"/>
      <x:c r="K55" s="46"/>
      <x:c r="L55" s="46"/>
      <x:c r="M55" s="46"/>
      <x:c r="N55" s="46"/>
      <x:c r="O55" s="46"/>
      <x:c r="P55" s="46"/>
      <x:c r="Q55" s="46"/>
      <x:c r="R55" s="46"/>
      <x:c r="S55" s="46"/>
      <x:c r="T55" s="46"/>
      <x:c r="U55" s="46"/>
      <x:c r="V55" s="46"/>
      <x:c r="W55" s="46"/>
      <x:c r="X55" s="46"/>
    </x:row>
    <x:row r="56">
      <x:c r="A56" s="46"/>
      <x:c r="B56" s="46"/>
      <x:c r="C56" s="46"/>
      <x:c r="D56" s="46"/>
      <x:c r="E56" s="46"/>
      <x:c r="F56" s="46"/>
      <x:c r="G56" s="46"/>
      <x:c r="H56" s="46"/>
      <x:c r="I56" s="46"/>
      <x:c r="J56" s="46"/>
      <x:c r="K56" s="46"/>
      <x:c r="L56" s="46"/>
      <x:c r="M56" s="46"/>
      <x:c r="N56" s="46"/>
      <x:c r="O56" s="46"/>
      <x:c r="P56" s="46"/>
      <x:c r="Q56" s="46"/>
      <x:c r="R56" s="46"/>
      <x:c r="S56" s="46"/>
      <x:c r="T56" s="46"/>
      <x:c r="U56" s="46"/>
      <x:c r="V56" s="46"/>
      <x:c r="W56" s="46"/>
      <x:c r="X56" s="46"/>
    </x:row>
    <x:row r="57">
      <x:c r="A57" s="46"/>
      <x:c r="B57" s="46"/>
      <x:c r="C57" s="46"/>
      <x:c r="D57" s="46"/>
      <x:c r="E57" s="46"/>
      <x:c r="F57" s="46"/>
      <x:c r="G57" s="46"/>
      <x:c r="H57" s="46"/>
      <x:c r="I57" s="46"/>
      <x:c r="J57" s="46"/>
      <x:c r="K57" s="46"/>
      <x:c r="L57" s="46"/>
      <x:c r="M57" s="46"/>
      <x:c r="N57" s="46"/>
      <x:c r="O57" s="46"/>
      <x:c r="P57" s="46"/>
      <x:c r="Q57" s="46"/>
      <x:c r="R57" s="46"/>
      <x:c r="S57" s="46"/>
      <x:c r="T57" s="46"/>
      <x:c r="U57" s="46"/>
      <x:c r="V57" s="46"/>
      <x:c r="W57" s="46"/>
      <x:c r="X57" s="46"/>
    </x:row>
    <x:row r="58">
      <x:c r="A58" s="46"/>
      <x:c r="B58" s="46"/>
      <x:c r="C58" s="46"/>
      <x:c r="D58" s="46"/>
      <x:c r="E58" s="46"/>
      <x:c r="F58" s="46"/>
      <x:c r="G58" s="46"/>
      <x:c r="H58" s="46"/>
      <x:c r="I58" s="46"/>
      <x:c r="J58" s="46"/>
      <x:c r="K58" s="46"/>
      <x:c r="L58" s="46"/>
      <x:c r="M58" s="46"/>
      <x:c r="N58" s="46"/>
      <x:c r="O58" s="46"/>
      <x:c r="P58" s="46"/>
      <x:c r="Q58" s="46"/>
      <x:c r="R58" s="46"/>
      <x:c r="S58" s="46"/>
      <x:c r="T58" s="46"/>
      <x:c r="U58" s="46"/>
      <x:c r="V58" s="46"/>
      <x:c r="W58" s="46"/>
      <x:c r="X58" s="46"/>
    </x:row>
    <x:row r="59">
      <x:c r="A59" s="46"/>
      <x:c r="B59" s="46"/>
      <x:c r="C59" s="46"/>
      <x:c r="D59" s="46"/>
      <x:c r="E59" s="46"/>
      <x:c r="F59" s="46"/>
      <x:c r="G59" s="46"/>
      <x:c r="H59" s="46"/>
      <x:c r="I59" s="46"/>
      <x:c r="J59" s="46"/>
      <x:c r="K59" s="46"/>
      <x:c r="L59" s="46"/>
      <x:c r="M59" s="46"/>
      <x:c r="N59" s="46"/>
      <x:c r="O59" s="46"/>
      <x:c r="P59" s="46"/>
      <x:c r="Q59" s="46"/>
      <x:c r="R59" s="46"/>
      <x:c r="S59" s="46"/>
      <x:c r="T59" s="46"/>
      <x:c r="U59" s="46"/>
      <x:c r="V59" s="46"/>
      <x:c r="W59" s="46"/>
      <x:c r="X59" s="46"/>
    </x:row>
    <x:row r="60">
      <x:c r="A60" s="46"/>
      <x:c r="B60" s="46"/>
      <x:c r="C60" s="46"/>
      <x:c r="D60" s="46"/>
      <x:c r="E60" s="46"/>
      <x:c r="F60" s="46"/>
      <x:c r="G60" s="46"/>
      <x:c r="H60" s="46"/>
      <x:c r="I60" s="46"/>
      <x:c r="J60" s="46"/>
      <x:c r="K60" s="46"/>
      <x:c r="L60" s="46"/>
      <x:c r="M60" s="46"/>
      <x:c r="N60" s="46"/>
      <x:c r="O60" s="46"/>
      <x:c r="P60" s="46"/>
      <x:c r="Q60" s="46"/>
      <x:c r="R60" s="46"/>
      <x:c r="S60" s="46"/>
      <x:c r="T60" s="46"/>
      <x:c r="U60" s="46"/>
      <x:c r="V60" s="46"/>
      <x:c r="W60" s="46"/>
      <x:c r="X60" s="46"/>
    </x:row>
    <x:row r="61">
      <x:c r="A61" s="46"/>
      <x:c r="B61" s="46"/>
      <x:c r="C61" s="46"/>
      <x:c r="D61" s="46"/>
      <x:c r="E61" s="46"/>
      <x:c r="F61" s="46"/>
      <x:c r="G61" s="46"/>
      <x:c r="H61" s="46"/>
      <x:c r="I61" s="46"/>
      <x:c r="J61" s="46"/>
      <x:c r="K61" s="46"/>
      <x:c r="L61" s="46"/>
      <x:c r="M61" s="46"/>
      <x:c r="N61" s="46"/>
      <x:c r="O61" s="46"/>
      <x:c r="P61" s="46"/>
      <x:c r="Q61" s="46"/>
      <x:c r="R61" s="46"/>
      <x:c r="S61" s="46"/>
      <x:c r="T61" s="46"/>
      <x:c r="U61" s="46"/>
      <x:c r="V61" s="46"/>
      <x:c r="W61" s="46"/>
      <x:c r="X61" s="46"/>
    </x:row>
    <x:row r="62">
      <x:c r="A62" s="46"/>
      <x:c r="B62" s="46"/>
      <x:c r="C62" s="46"/>
      <x:c r="D62" s="46"/>
      <x:c r="E62" s="46"/>
      <x:c r="F62" s="46"/>
      <x:c r="G62" s="46"/>
      <x:c r="H62" s="46"/>
      <x:c r="I62" s="46"/>
      <x:c r="J62" s="46"/>
      <x:c r="K62" s="46"/>
      <x:c r="L62" s="46"/>
      <x:c r="M62" s="46"/>
      <x:c r="N62" s="46"/>
      <x:c r="O62" s="46"/>
      <x:c r="P62" s="46"/>
      <x:c r="Q62" s="46"/>
      <x:c r="R62" s="46"/>
      <x:c r="S62" s="46"/>
      <x:c r="T62" s="46"/>
      <x:c r="U62" s="46"/>
      <x:c r="V62" s="46"/>
      <x:c r="W62" s="46"/>
      <x:c r="X62" s="46"/>
    </x:row>
    <x:row r="63">
      <x:c r="A63" s="46"/>
      <x:c r="B63" s="46"/>
      <x:c r="C63" s="46"/>
      <x:c r="D63" s="46"/>
      <x:c r="E63" s="46"/>
      <x:c r="F63" s="46"/>
      <x:c r="G63" s="46"/>
      <x:c r="H63" s="46"/>
      <x:c r="I63" s="46"/>
      <x:c r="J63" s="46"/>
      <x:c r="K63" s="46"/>
      <x:c r="L63" s="46"/>
      <x:c r="M63" s="46"/>
      <x:c r="N63" s="46"/>
      <x:c r="O63" s="46"/>
      <x:c r="P63" s="46"/>
      <x:c r="Q63" s="46"/>
      <x:c r="R63" s="46"/>
      <x:c r="S63" s="46"/>
      <x:c r="T63" s="46"/>
      <x:c r="U63" s="46"/>
      <x:c r="V63" s="46"/>
      <x:c r="W63" s="46"/>
      <x:c r="X63" s="46"/>
    </x:row>
    <x:row r="64">
      <x:c r="A64" s="46"/>
      <x:c r="B64" s="46"/>
      <x:c r="C64" s="46"/>
      <x:c r="D64" s="46"/>
      <x:c r="E64" s="46"/>
      <x:c r="F64" s="46"/>
      <x:c r="G64" s="46"/>
      <x:c r="H64" s="46"/>
      <x:c r="I64" s="46"/>
      <x:c r="J64" s="46"/>
      <x:c r="K64" s="46"/>
      <x:c r="L64" s="46"/>
      <x:c r="M64" s="46"/>
      <x:c r="N64" s="46"/>
      <x:c r="O64" s="46"/>
      <x:c r="P64" s="46"/>
      <x:c r="Q64" s="46"/>
      <x:c r="R64" s="46"/>
      <x:c r="S64" s="46"/>
      <x:c r="T64" s="46"/>
      <x:c r="U64" s="46"/>
      <x:c r="V64" s="46"/>
      <x:c r="W64" s="46"/>
      <x:c r="X64" s="46"/>
    </x:row>
    <x:row r="65">
      <x:c r="A65" s="46"/>
      <x:c r="B65" s="46"/>
      <x:c r="C65" s="46"/>
      <x:c r="D65" s="46"/>
      <x:c r="E65" s="46"/>
      <x:c r="F65" s="46"/>
      <x:c r="G65" s="46"/>
      <x:c r="H65" s="46"/>
      <x:c r="I65" s="46"/>
      <x:c r="J65" s="46"/>
      <x:c r="K65" s="46"/>
      <x:c r="L65" s="46"/>
      <x:c r="M65" s="46"/>
      <x:c r="N65" s="46"/>
      <x:c r="O65" s="46"/>
      <x:c r="P65" s="46"/>
      <x:c r="Q65" s="46"/>
      <x:c r="R65" s="46"/>
      <x:c r="S65" s="46"/>
      <x:c r="T65" s="46"/>
      <x:c r="U65" s="46"/>
      <x:c r="V65" s="46"/>
      <x:c r="W65" s="46"/>
      <x:c r="X65" s="46"/>
    </x:row>
    <x:row r="66">
      <x:c r="A66" s="46"/>
      <x:c r="B66" s="46"/>
      <x:c r="C66" s="46"/>
      <x:c r="D66" s="46"/>
      <x:c r="E66" s="46"/>
      <x:c r="F66" s="46"/>
      <x:c r="G66" s="46"/>
      <x:c r="H66" s="46"/>
      <x:c r="I66" s="46"/>
      <x:c r="J66" s="46"/>
      <x:c r="K66" s="46"/>
      <x:c r="L66" s="46"/>
      <x:c r="M66" s="46"/>
      <x:c r="N66" s="46"/>
      <x:c r="O66" s="46"/>
      <x:c r="P66" s="46"/>
      <x:c r="Q66" s="46"/>
      <x:c r="R66" s="46"/>
      <x:c r="S66" s="46"/>
      <x:c r="T66" s="46"/>
      <x:c r="U66" s="46"/>
      <x:c r="V66" s="46"/>
      <x:c r="W66" s="46"/>
      <x:c r="X66" s="46"/>
    </x:row>
    <x:row r="67">
      <x:c r="A67" s="46"/>
      <x:c r="B67" s="46"/>
      <x:c r="C67" s="46"/>
      <x:c r="D67" s="46"/>
      <x:c r="E67" s="46"/>
      <x:c r="F67" s="46"/>
      <x:c r="G67" s="46"/>
      <x:c r="H67" s="46"/>
      <x:c r="I67" s="46"/>
      <x:c r="J67" s="46"/>
      <x:c r="K67" s="46"/>
      <x:c r="L67" s="46"/>
      <x:c r="M67" s="46"/>
      <x:c r="N67" s="46"/>
      <x:c r="O67" s="46"/>
      <x:c r="P67" s="46"/>
      <x:c r="Q67" s="46"/>
      <x:c r="R67" s="46"/>
      <x:c r="S67" s="46"/>
      <x:c r="T67" s="46"/>
      <x:c r="U67" s="46"/>
      <x:c r="V67" s="46"/>
      <x:c r="W67" s="46"/>
      <x:c r="X67" s="46"/>
    </x:row>
    <x:row r="68">
      <x:c r="A68" s="46"/>
      <x:c r="B68" s="46"/>
      <x:c r="C68" s="46"/>
      <x:c r="D68" s="46"/>
      <x:c r="E68" s="46"/>
      <x:c r="F68" s="46"/>
      <x:c r="G68" s="46"/>
      <x:c r="H68" s="46"/>
      <x:c r="I68" s="46"/>
      <x:c r="J68" s="46"/>
      <x:c r="K68" s="46"/>
      <x:c r="L68" s="46"/>
      <x:c r="M68" s="46"/>
      <x:c r="N68" s="46"/>
      <x:c r="O68" s="46"/>
      <x:c r="P68" s="46"/>
      <x:c r="Q68" s="46"/>
      <x:c r="R68" s="46"/>
      <x:c r="S68" s="46"/>
      <x:c r="T68" s="46"/>
      <x:c r="U68" s="46"/>
      <x:c r="V68" s="46"/>
      <x:c r="W68" s="46"/>
      <x:c r="X68" s="46"/>
    </x:row>
    <x:row r="69">
      <x:c r="A69" s="46"/>
      <x:c r="B69" s="46"/>
      <x:c r="C69" s="46"/>
      <x:c r="D69" s="46"/>
      <x:c r="E69" s="46"/>
      <x:c r="F69" s="46"/>
      <x:c r="G69" s="46"/>
      <x:c r="H69" s="46"/>
      <x:c r="I69" s="46"/>
      <x:c r="J69" s="46"/>
      <x:c r="K69" s="46"/>
      <x:c r="L69" s="46"/>
      <x:c r="M69" s="46"/>
      <x:c r="N69" s="46"/>
      <x:c r="O69" s="46"/>
      <x:c r="P69" s="46"/>
      <x:c r="Q69" s="46"/>
      <x:c r="R69" s="46"/>
      <x:c r="S69" s="46"/>
      <x:c r="T69" s="46"/>
      <x:c r="U69" s="46"/>
      <x:c r="V69" s="46"/>
      <x:c r="W69" s="46"/>
      <x:c r="X69" s="46"/>
    </x:row>
    <x:row r="70">
      <x:c r="A70" s="46"/>
      <x:c r="B70" s="46"/>
      <x:c r="C70" s="46"/>
      <x:c r="D70" s="46"/>
      <x:c r="E70" s="46"/>
      <x:c r="F70" s="46"/>
      <x:c r="G70" s="46"/>
      <x:c r="H70" s="46"/>
      <x:c r="I70" s="46"/>
      <x:c r="J70" s="46"/>
      <x:c r="K70" s="46"/>
      <x:c r="L70" s="46"/>
      <x:c r="M70" s="46"/>
      <x:c r="N70" s="46"/>
      <x:c r="O70" s="46"/>
      <x:c r="P70" s="46"/>
      <x:c r="Q70" s="46"/>
      <x:c r="R70" s="46"/>
      <x:c r="S70" s="46"/>
      <x:c r="T70" s="46"/>
      <x:c r="U70" s="46"/>
      <x:c r="V70" s="46"/>
      <x:c r="W70" s="46"/>
      <x:c r="X70" s="46"/>
    </x:row>
    <x:row r="71">
      <x:c r="A71" s="46"/>
      <x:c r="B71" s="46"/>
      <x:c r="C71" s="46"/>
      <x:c r="D71" s="46"/>
      <x:c r="E71" s="46"/>
      <x:c r="F71" s="46"/>
      <x:c r="G71" s="46"/>
      <x:c r="H71" s="46"/>
      <x:c r="I71" s="46"/>
      <x:c r="J71" s="46"/>
      <x:c r="K71" s="46"/>
      <x:c r="L71" s="46"/>
      <x:c r="M71" s="46"/>
      <x:c r="N71" s="46"/>
      <x:c r="O71" s="46"/>
      <x:c r="P71" s="46"/>
      <x:c r="Q71" s="46"/>
      <x:c r="R71" s="46"/>
      <x:c r="S71" s="46"/>
      <x:c r="T71" s="46"/>
      <x:c r="U71" s="46"/>
      <x:c r="V71" s="46"/>
      <x:c r="W71" s="46"/>
      <x:c r="X71" s="46"/>
    </x:row>
    <x:row r="72">
      <x:c r="A72" s="46"/>
      <x:c r="B72" s="46"/>
      <x:c r="C72" s="46"/>
      <x:c r="D72" s="46"/>
      <x:c r="E72" s="46"/>
      <x:c r="F72" s="46"/>
      <x:c r="G72" s="46"/>
      <x:c r="H72" s="46"/>
      <x:c r="I72" s="46"/>
      <x:c r="J72" s="46"/>
      <x:c r="K72" s="46"/>
      <x:c r="L72" s="46"/>
      <x:c r="M72" s="46"/>
      <x:c r="N72" s="46"/>
      <x:c r="O72" s="46"/>
      <x:c r="P72" s="46"/>
      <x:c r="Q72" s="46"/>
      <x:c r="R72" s="46"/>
      <x:c r="S72" s="46"/>
      <x:c r="T72" s="46"/>
      <x:c r="U72" s="46"/>
      <x:c r="V72" s="46"/>
      <x:c r="W72" s="46"/>
      <x:c r="X72" s="46"/>
    </x:row>
    <x:row r="73">
      <x:c r="A73" s="46"/>
      <x:c r="B73" s="46"/>
      <x:c r="C73" s="46"/>
      <x:c r="D73" s="46"/>
      <x:c r="E73" s="46"/>
      <x:c r="F73" s="46"/>
      <x:c r="G73" s="46"/>
      <x:c r="H73" s="46"/>
      <x:c r="I73" s="46"/>
      <x:c r="J73" s="46"/>
      <x:c r="K73" s="46"/>
      <x:c r="L73" s="46"/>
      <x:c r="M73" s="46"/>
      <x:c r="N73" s="46"/>
      <x:c r="O73" s="46"/>
      <x:c r="P73" s="46"/>
      <x:c r="Q73" s="46"/>
      <x:c r="R73" s="46"/>
      <x:c r="S73" s="46"/>
      <x:c r="T73" s="46"/>
      <x:c r="U73" s="46"/>
      <x:c r="V73" s="46"/>
      <x:c r="W73" s="46"/>
      <x:c r="X73" s="46"/>
    </x:row>
    <x:row r="74">
      <x:c r="A74" s="46"/>
      <x:c r="B74" s="46"/>
      <x:c r="C74" s="46"/>
      <x:c r="D74" s="46"/>
      <x:c r="E74" s="46"/>
      <x:c r="F74" s="46"/>
      <x:c r="G74" s="46"/>
      <x:c r="H74" s="46"/>
      <x:c r="I74" s="46"/>
      <x:c r="J74" s="46"/>
      <x:c r="K74" s="46"/>
      <x:c r="L74" s="46"/>
      <x:c r="M74" s="46"/>
      <x:c r="N74" s="46"/>
      <x:c r="O74" s="46"/>
      <x:c r="P74" s="46"/>
      <x:c r="Q74" s="46"/>
      <x:c r="R74" s="46"/>
      <x:c r="S74" s="46"/>
      <x:c r="T74" s="46"/>
      <x:c r="U74" s="46"/>
      <x:c r="V74" s="46"/>
      <x:c r="W74" s="46"/>
      <x:c r="X74" s="46"/>
    </x:row>
    <x:row r="75">
      <x:c r="A75" s="46"/>
      <x:c r="B75" s="46"/>
      <x:c r="C75" s="46"/>
      <x:c r="D75" s="46"/>
      <x:c r="E75" s="46"/>
      <x:c r="F75" s="46"/>
      <x:c r="G75" s="46"/>
      <x:c r="H75" s="46"/>
      <x:c r="I75" s="46"/>
      <x:c r="J75" s="46"/>
      <x:c r="K75" s="46"/>
      <x:c r="L75" s="46"/>
      <x:c r="M75" s="46"/>
      <x:c r="N75" s="46"/>
      <x:c r="O75" s="46"/>
      <x:c r="P75" s="46"/>
      <x:c r="Q75" s="46"/>
      <x:c r="R75" s="46"/>
      <x:c r="S75" s="46"/>
      <x:c r="T75" s="46"/>
      <x:c r="U75" s="46"/>
      <x:c r="V75" s="46"/>
      <x:c r="W75" s="46"/>
      <x:c r="X75" s="46"/>
    </x:row>
    <x:row r="76">
      <x:c r="A76" s="46"/>
      <x:c r="B76" s="46"/>
      <x:c r="C76" s="46"/>
      <x:c r="D76" s="46"/>
      <x:c r="E76" s="46"/>
      <x:c r="F76" s="46"/>
      <x:c r="G76" s="46"/>
      <x:c r="H76" s="46"/>
      <x:c r="I76" s="46"/>
      <x:c r="J76" s="46"/>
      <x:c r="K76" s="46"/>
      <x:c r="L76" s="46"/>
      <x:c r="M76" s="46"/>
      <x:c r="N76" s="46"/>
      <x:c r="O76" s="46"/>
      <x:c r="P76" s="46"/>
      <x:c r="Q76" s="46"/>
      <x:c r="R76" s="46"/>
      <x:c r="S76" s="46"/>
      <x:c r="T76" s="46"/>
      <x:c r="U76" s="46"/>
      <x:c r="V76" s="46"/>
      <x:c r="W76" s="46"/>
      <x:c r="X76" s="46"/>
    </x:row>
    <x:row r="77">
      <x:c r="A77" s="46"/>
      <x:c r="B77" s="46"/>
      <x:c r="C77" s="46"/>
      <x:c r="D77" s="46"/>
      <x:c r="E77" s="46"/>
      <x:c r="F77" s="46"/>
      <x:c r="G77" s="46"/>
      <x:c r="H77" s="46"/>
      <x:c r="I77" s="46"/>
      <x:c r="J77" s="46"/>
      <x:c r="K77" s="46"/>
      <x:c r="L77" s="46"/>
      <x:c r="M77" s="46"/>
      <x:c r="N77" s="46"/>
      <x:c r="O77" s="46"/>
      <x:c r="P77" s="46"/>
      <x:c r="Q77" s="46"/>
      <x:c r="R77" s="46"/>
      <x:c r="S77" s="46"/>
      <x:c r="T77" s="46"/>
      <x:c r="U77" s="46"/>
      <x:c r="V77" s="46"/>
      <x:c r="W77" s="46"/>
      <x:c r="X77" s="46"/>
    </x:row>
    <x:row r="78">
      <x:c r="A78" s="46"/>
      <x:c r="B78" s="46"/>
      <x:c r="C78" s="46"/>
      <x:c r="D78" s="46"/>
      <x:c r="E78" s="46"/>
      <x:c r="F78" s="46"/>
      <x:c r="G78" s="46"/>
      <x:c r="H78" s="46"/>
      <x:c r="I78" s="46"/>
      <x:c r="J78" s="46"/>
      <x:c r="K78" s="46"/>
      <x:c r="L78" s="46"/>
      <x:c r="M78" s="46"/>
      <x:c r="N78" s="46"/>
      <x:c r="O78" s="46"/>
      <x:c r="P78" s="46"/>
      <x:c r="Q78" s="46"/>
      <x:c r="R78" s="46"/>
      <x:c r="S78" s="46"/>
      <x:c r="T78" s="46"/>
      <x:c r="U78" s="46"/>
      <x:c r="V78" s="46"/>
      <x:c r="W78" s="46"/>
      <x:c r="X78" s="46"/>
    </x:row>
    <x:row r="79">
      <x:c r="A79" s="46"/>
      <x:c r="B79" s="46"/>
      <x:c r="C79" s="46"/>
      <x:c r="D79" s="46"/>
      <x:c r="E79" s="46"/>
      <x:c r="F79" s="46"/>
      <x:c r="G79" s="46"/>
      <x:c r="H79" s="46"/>
      <x:c r="I79" s="46"/>
      <x:c r="J79" s="46"/>
      <x:c r="K79" s="46"/>
      <x:c r="L79" s="46"/>
      <x:c r="M79" s="46"/>
      <x:c r="N79" s="46"/>
      <x:c r="O79" s="46"/>
      <x:c r="P79" s="46"/>
      <x:c r="Q79" s="46"/>
      <x:c r="R79" s="46"/>
      <x:c r="S79" s="46"/>
      <x:c r="T79" s="46"/>
      <x:c r="U79" s="46"/>
      <x:c r="V79" s="46"/>
      <x:c r="W79" s="46"/>
      <x:c r="X79" s="46"/>
    </x:row>
    <x:row r="80">
      <x:c r="A80" s="46"/>
      <x:c r="B80" s="46"/>
      <x:c r="C80" s="46"/>
      <x:c r="D80" s="46"/>
      <x:c r="E80" s="46"/>
      <x:c r="F80" s="46"/>
      <x:c r="G80" s="46"/>
      <x:c r="H80" s="46"/>
      <x:c r="I80" s="46"/>
      <x:c r="J80" s="46"/>
      <x:c r="K80" s="46"/>
      <x:c r="L80" s="46"/>
      <x:c r="M80" s="46"/>
      <x:c r="N80" s="46"/>
      <x:c r="O80" s="46"/>
      <x:c r="P80" s="46"/>
      <x:c r="Q80" s="46"/>
      <x:c r="R80" s="46"/>
      <x:c r="S80" s="46"/>
      <x:c r="T80" s="46"/>
      <x:c r="U80" s="46"/>
      <x:c r="V80" s="46"/>
      <x:c r="W80" s="46"/>
      <x:c r="X80" s="46"/>
    </x:row>
  </x:sheetData>
  <x:mergeCells>
    <x:mergeCell ref="A1:H1"/>
    <x:mergeCell ref="A3:H3"/>
    <x:mergeCell ref="A4:H8"/>
    <x:mergeCell ref="A6:H6"/>
    <x:mergeCell ref="A7:H11"/>
    <x:mergeCell ref="A13:H13"/>
    <x:mergeCell ref="A14:H18"/>
    <x:mergeCell ref="A21:H21"/>
    <x:mergeCell ref="A22:H26"/>
    <x:mergeCell ref="A30:H30"/>
    <x:mergeCell ref="A31:H35"/>
    <x:mergeCell ref="A39:H39"/>
    <x:mergeCell ref="A40:H44"/>
    <x:mergeCell ref="A48:H48"/>
    <x:mergeCell ref="A49:H53"/>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x:c r="A1" s="64" t="str">
        <x:v>Independent Post-Calibration Validation — Required Before Final Freeze</x:v>
      </x:c>
      <x:c r="B1" s="64"/>
      <x:c r="C1" s="64"/>
      <x:c r="D1" s="64"/>
      <x:c r="E1" s="64"/>
      <x:c r="F1" s="64"/>
      <x:c r="G1" s="4"/>
      <x:c r="H1" s="4"/>
      <x:c r="I1" s="46"/>
      <x:c r="J1" s="46"/>
      <x:c r="K1" s="46"/>
      <x:c r="L1" s="46"/>
      <x:c r="M1" s="46"/>
      <x:c r="N1" s="46"/>
      <x:c r="O1" s="46"/>
      <x:c r="P1" s="46"/>
      <x:c r="Q1" s="46"/>
      <x:c r="R1" s="46"/>
      <x:c r="S1" s="46"/>
      <x:c r="T1" s="46"/>
      <x:c r="U1" s="46"/>
      <x:c r="V1" s="46"/>
      <x:c r="W1" s="46"/>
      <x:c r="X1" s="46"/>
    </x:row>
    <x:row r="2">
      <x:c r="A2" s="46"/>
      <x:c r="B2" s="46"/>
      <x:c r="C2" s="46"/>
      <x:c r="D2" s="46"/>
      <x:c r="E2" s="46"/>
      <x:c r="F2" s="46"/>
      <x:c r="G2" s="46"/>
      <x:c r="H2" s="46"/>
      <x:c r="I2" s="46"/>
      <x:c r="J2" s="46"/>
      <x:c r="K2" s="46"/>
      <x:c r="L2" s="46"/>
      <x:c r="M2" s="46"/>
      <x:c r="N2" s="46"/>
      <x:c r="O2" s="46"/>
      <x:c r="P2" s="46"/>
      <x:c r="Q2" s="46"/>
      <x:c r="R2" s="46"/>
      <x:c r="S2" s="46"/>
      <x:c r="T2" s="46"/>
      <x:c r="U2" s="46"/>
      <x:c r="V2" s="46"/>
      <x:c r="W2" s="46"/>
      <x:c r="X2" s="46"/>
    </x:row>
    <x:row r="3">
      <x:c r="A3" s="12" t="str">
        <x:v>Step</x:v>
      </x:c>
      <x:c r="B3" s="12" t="str">
        <x:v>Action</x:v>
      </x:c>
      <x:c r="C3" s="12" t="str">
        <x:v>Data to save</x:v>
      </x:c>
      <x:c r="D3" s="12" t="str">
        <x:v>Decision metric</x:v>
      </x:c>
      <x:c r="E3" s="12" t="str">
        <x:v>Status</x:v>
      </x:c>
      <x:c r="F3" s="12" t="str">
        <x:v>Thesis use</x:v>
      </x:c>
      <x:c r="G3" s="46"/>
      <x:c r="H3" s="46"/>
      <x:c r="I3" s="46"/>
      <x:c r="J3" s="46"/>
      <x:c r="K3" s="46"/>
      <x:c r="L3" s="46"/>
      <x:c r="M3" s="46"/>
      <x:c r="N3" s="46"/>
      <x:c r="O3" s="46"/>
      <x:c r="P3" s="46"/>
      <x:c r="Q3" s="46"/>
      <x:c r="R3" s="46"/>
      <x:c r="S3" s="46"/>
      <x:c r="T3" s="46"/>
      <x:c r="U3" s="46"/>
      <x:c r="V3" s="46"/>
      <x:c r="W3" s="46"/>
      <x:c r="X3" s="46"/>
    </x:row>
    <x:row r="4">
      <x:c r="A4" s="46" t="n">
        <x:v>1</x:v>
      </x:c>
      <x:c r="B4" s="46" t="str">
        <x:v>Apply candidate b and K coefficients in firmware; keep raw values in output</x:v>
      </x:c>
      <x:c r="C4" s="46" t="str">
        <x:v>RAW XYZ + CAL XYZ</x:v>
      </x:c>
      <x:c r="D4" s="46" t="str">
        <x:v>Code audit</x:v>
      </x:c>
      <x:c r="E4" s="46" t="str">
        <x:v>Pending</x:v>
      </x:c>
      <x:c r="F4" s="46" t="str">
        <x:v>Methodology</x:v>
      </x:c>
      <x:c r="G4" s="46"/>
      <x:c r="H4" s="46"/>
      <x:c r="I4" s="46"/>
      <x:c r="J4" s="46"/>
      <x:c r="K4" s="46"/>
      <x:c r="L4" s="46"/>
      <x:c r="M4" s="46"/>
      <x:c r="N4" s="46"/>
      <x:c r="O4" s="46"/>
      <x:c r="P4" s="46"/>
      <x:c r="Q4" s="46"/>
      <x:c r="R4" s="46"/>
      <x:c r="S4" s="46"/>
      <x:c r="T4" s="46"/>
      <x:c r="U4" s="46"/>
      <x:c r="V4" s="46"/>
      <x:c r="W4" s="46"/>
      <x:c r="X4" s="46"/>
    </x:row>
    <x:row r="5">
      <x:c r="A5" s="46" t="n">
        <x:v>2</x:v>
      </x:c>
      <x:c r="B5" s="46" t="str">
        <x:v>Fresh +X/−X/+Y/−Y/+Z/−Z run for ADXL1</x:v>
      </x:c>
      <x:c r="C5" s="46" t="str">
        <x:v>3 records/pose</x:v>
      </x:c>
      <x:c r="D5" s="46" t="str">
        <x:v>Correct sign + repeatability</x:v>
      </x:c>
      <x:c r="E5" s="46" t="str">
        <x:v>Pending</x:v>
      </x:c>
      <x:c r="F5" s="46" t="str">
        <x:v>Verification</x:v>
      </x:c>
      <x:c r="G5" s="46"/>
      <x:c r="H5" s="46"/>
      <x:c r="I5" s="46"/>
      <x:c r="J5" s="46"/>
      <x:c r="K5" s="46"/>
      <x:c r="L5" s="46"/>
      <x:c r="M5" s="46"/>
      <x:c r="N5" s="46"/>
      <x:c r="O5" s="46"/>
      <x:c r="P5" s="46"/>
      <x:c r="Q5" s="46"/>
      <x:c r="R5" s="46"/>
      <x:c r="S5" s="46"/>
      <x:c r="T5" s="46"/>
      <x:c r="U5" s="46"/>
      <x:c r="V5" s="46"/>
      <x:c r="W5" s="46"/>
      <x:c r="X5" s="46"/>
    </x:row>
    <x:row r="6">
      <x:c r="A6" s="46" t="n">
        <x:v>3</x:v>
      </x:c>
      <x:c r="B6" s="46" t="str">
        <x:v>Fresh +X/−X/+Y/−Y/+Z/−Z run for ADXL2</x:v>
      </x:c>
      <x:c r="C6" s="46" t="str">
        <x:v>3 records/pose</x:v>
      </x:c>
      <x:c r="D6" s="46" t="str">
        <x:v>Correct sign + repeatability</x:v>
      </x:c>
      <x:c r="E6" s="46" t="str">
        <x:v>Pending</x:v>
      </x:c>
      <x:c r="F6" s="46" t="str">
        <x:v>Verification</x:v>
      </x:c>
      <x:c r="G6" s="46"/>
      <x:c r="H6" s="46"/>
      <x:c r="I6" s="46"/>
      <x:c r="J6" s="46"/>
      <x:c r="K6" s="46"/>
      <x:c r="L6" s="46"/>
      <x:c r="M6" s="46"/>
      <x:c r="N6" s="46"/>
      <x:c r="O6" s="46"/>
      <x:c r="P6" s="46"/>
      <x:c r="Q6" s="46"/>
      <x:c r="R6" s="46"/>
      <x:c r="S6" s="46"/>
      <x:c r="T6" s="46"/>
      <x:c r="U6" s="46"/>
      <x:c r="V6" s="46"/>
      <x:c r="W6" s="46"/>
      <x:c r="X6" s="46"/>
    </x:row>
    <x:row r="7">
      <x:c r="A7" s="46" t="n">
        <x:v>4</x:v>
      </x:c>
      <x:c r="B7" s="46" t="str">
        <x:v>Compare corrected active-axis and vector norm to g</x:v>
      </x:c>
      <x:c r="C7" s="46" t="str">
        <x:v>Summary statistics</x:v>
      </x:c>
      <x:c r="D7" s="46" t="str">
        <x:v>Project target: ≤3%, preferably ≤2%</x:v>
      </x:c>
      <x:c r="E7" s="46" t="str">
        <x:v>Pending</x:v>
      </x:c>
      <x:c r="F7" s="46" t="str">
        <x:v>Results</x:v>
      </x:c>
      <x:c r="G7" s="46"/>
      <x:c r="H7" s="46"/>
      <x:c r="I7" s="46"/>
      <x:c r="J7" s="46"/>
      <x:c r="K7" s="46"/>
      <x:c r="L7" s="46"/>
      <x:c r="M7" s="46"/>
      <x:c r="N7" s="46"/>
      <x:c r="O7" s="46"/>
      <x:c r="P7" s="46"/>
      <x:c r="Q7" s="46"/>
      <x:c r="R7" s="46"/>
      <x:c r="S7" s="46"/>
      <x:c r="T7" s="46"/>
      <x:c r="U7" s="46"/>
      <x:c r="V7" s="46"/>
      <x:c r="W7" s="46"/>
      <x:c r="X7" s="46"/>
    </x:row>
    <x:row r="8">
      <x:c r="A8" s="46" t="n">
        <x:v>5</x:v>
      </x:c>
      <x:c r="B8" s="46" t="str">
        <x:v>Confirm clipping/timing/register integrity</x:v>
      </x:c>
      <x:c r="C8" s="46" t="str">
        <x:v>Validity flags</x:v>
      </x:c>
      <x:c r="D8" s="46" t="str">
        <x:v>All PASS</x:v>
      </x:c>
      <x:c r="E8" s="46" t="str">
        <x:v>Pending</x:v>
      </x:c>
      <x:c r="F8" s="46" t="str">
        <x:v>Results</x:v>
      </x:c>
      <x:c r="G8" s="46"/>
      <x:c r="H8" s="46"/>
      <x:c r="I8" s="46"/>
      <x:c r="J8" s="46"/>
      <x:c r="K8" s="46"/>
      <x:c r="L8" s="46"/>
      <x:c r="M8" s="46"/>
      <x:c r="N8" s="46"/>
      <x:c r="O8" s="46"/>
      <x:c r="P8" s="46"/>
      <x:c r="Q8" s="46"/>
      <x:c r="R8" s="46"/>
      <x:c r="S8" s="46"/>
      <x:c r="T8" s="46"/>
      <x:c r="U8" s="46"/>
      <x:c r="V8" s="46"/>
      <x:c r="W8" s="46"/>
      <x:c r="X8" s="46"/>
    </x:row>
    <x:row r="9">
      <x:c r="A9" s="46" t="n">
        <x:v>6</x:v>
      </x:c>
      <x:c r="B9" s="46" t="str">
        <x:v>Freeze calibration constants only after independent pass</x:v>
      </x:c>
      <x:c r="C9" s="46" t="str">
        <x:v>Versioned constants</x:v>
      </x:c>
      <x:c r="D9" s="46" t="str">
        <x:v>Pass/Fail</x:v>
      </x:c>
      <x:c r="E9" s="46" t="str">
        <x:v>Pending</x:v>
      </x:c>
      <x:c r="F9" s="46" t="str">
        <x:v>Thesis freeze</x:v>
      </x:c>
      <x:c r="G9" s="46"/>
      <x:c r="H9" s="46"/>
      <x:c r="I9" s="46"/>
      <x:c r="J9" s="46"/>
      <x:c r="K9" s="46"/>
      <x:c r="L9" s="46"/>
      <x:c r="M9" s="46"/>
      <x:c r="N9" s="46"/>
      <x:c r="O9" s="46"/>
      <x:c r="P9" s="46"/>
      <x:c r="Q9" s="46"/>
      <x:c r="R9" s="46"/>
      <x:c r="S9" s="46"/>
      <x:c r="T9" s="46"/>
      <x:c r="U9" s="46"/>
      <x:c r="V9" s="46"/>
      <x:c r="W9" s="46"/>
      <x:c r="X9" s="46"/>
    </x:row>
    <x:row r="10">
      <x:c r="A10" s="46" t="n">
        <x:v>7</x:v>
      </x:c>
      <x:c r="B10" s="46" t="str">
        <x:v>Proceed to stationary noise-floor Test 02</x:v>
      </x:c>
      <x:c r="C10" s="46" t="str">
        <x:v>10 stationary records</x:v>
      </x:c>
      <x:c r="D10" s="46" t="str">
        <x:v>Noise floor</x:v>
      </x:c>
      <x:c r="E10" s="46" t="str">
        <x:v>Pending</x:v>
      </x:c>
      <x:c r="F10" s="46" t="str">
        <x:v>Section 4.2</x:v>
      </x:c>
      <x:c r="G10" s="46"/>
      <x:c r="H10" s="46"/>
      <x:c r="I10" s="46"/>
      <x:c r="J10" s="46"/>
      <x:c r="K10" s="46"/>
      <x:c r="L10" s="46"/>
      <x:c r="M10" s="46"/>
      <x:c r="N10" s="46"/>
      <x:c r="O10" s="46"/>
      <x:c r="P10" s="46"/>
      <x:c r="Q10" s="46"/>
      <x:c r="R10" s="46"/>
      <x:c r="S10" s="46"/>
      <x:c r="T10" s="46"/>
      <x:c r="U10" s="46"/>
      <x:c r="V10" s="46"/>
      <x:c r="W10" s="46"/>
      <x:c r="X10" s="46"/>
    </x:row>
    <x:row r="11">
      <x:c r="A11" s="46"/>
      <x:c r="B11" s="46"/>
      <x:c r="C11" s="46"/>
      <x:c r="D11" s="46"/>
      <x:c r="E11" s="46"/>
      <x:c r="F11" s="46"/>
      <x:c r="G11" s="46"/>
      <x:c r="H11" s="46"/>
      <x:c r="I11" s="46"/>
      <x:c r="J11" s="46"/>
      <x:c r="K11" s="46"/>
      <x:c r="L11" s="46"/>
      <x:c r="M11" s="46"/>
      <x:c r="N11" s="46"/>
      <x:c r="O11" s="46"/>
      <x:c r="P11" s="46"/>
      <x:c r="Q11" s="46"/>
      <x:c r="R11" s="46"/>
      <x:c r="S11" s="46"/>
      <x:c r="T11" s="46"/>
      <x:c r="U11" s="46"/>
      <x:c r="V11" s="46"/>
      <x:c r="W11" s="46"/>
      <x:c r="X11" s="46"/>
    </x:row>
    <x:row r="12">
      <x:c r="A12" s="59" t="str">
        <x:v>The ≤3% / preferably ≤2% target is a project-defined engineering acceptance target, not an ISO requirement or an ADXL345 datasheet accuracy specification.</x:v>
      </x:c>
      <x:c r="B12" s="59"/>
      <x:c r="C12" s="59"/>
      <x:c r="D12" s="59"/>
      <x:c r="E12" s="59"/>
      <x:c r="F12" s="59"/>
      <x:c r="G12" s="59"/>
      <x:c r="H12" s="59"/>
      <x:c r="I12" s="46"/>
      <x:c r="J12" s="46"/>
      <x:c r="K12" s="46"/>
      <x:c r="L12" s="46"/>
      <x:c r="M12" s="46"/>
      <x:c r="N12" s="46"/>
      <x:c r="O12" s="46"/>
      <x:c r="P12" s="46"/>
      <x:c r="Q12" s="46"/>
      <x:c r="R12" s="46"/>
      <x:c r="S12" s="46"/>
      <x:c r="T12" s="46"/>
      <x:c r="U12" s="46"/>
      <x:c r="V12" s="46"/>
      <x:c r="W12" s="46"/>
      <x:c r="X12" s="46"/>
    </x:row>
    <x:row r="13">
      <x:c r="A13" s="46"/>
      <x:c r="B13" s="46"/>
      <x:c r="C13" s="46"/>
      <x:c r="D13" s="46"/>
      <x:c r="E13" s="46"/>
      <x:c r="F13" s="46"/>
      <x:c r="G13" s="46"/>
      <x:c r="H13" s="46"/>
      <x:c r="I13" s="46"/>
      <x:c r="J13" s="46"/>
      <x:c r="K13" s="46"/>
      <x:c r="L13" s="46"/>
      <x:c r="M13" s="46"/>
      <x:c r="N13" s="46"/>
      <x:c r="O13" s="46"/>
      <x:c r="P13" s="46"/>
      <x:c r="Q13" s="46"/>
      <x:c r="R13" s="46"/>
      <x:c r="S13" s="46"/>
      <x:c r="T13" s="46"/>
      <x:c r="U13" s="46"/>
      <x:c r="V13" s="46"/>
      <x:c r="W13" s="46"/>
      <x:c r="X13" s="46"/>
    </x:row>
    <x:row r="14">
      <x:c r="A14" s="46"/>
      <x:c r="B14" s="46"/>
      <x:c r="C14" s="46"/>
      <x:c r="D14" s="46"/>
      <x:c r="E14" s="46"/>
      <x:c r="F14" s="46"/>
      <x:c r="G14" s="46"/>
      <x:c r="H14" s="46"/>
      <x:c r="I14" s="46"/>
      <x:c r="J14" s="46"/>
      <x:c r="K14" s="46"/>
      <x:c r="L14" s="46"/>
      <x:c r="M14" s="46"/>
      <x:c r="N14" s="46"/>
      <x:c r="O14" s="46"/>
      <x:c r="P14" s="46"/>
      <x:c r="Q14" s="46"/>
      <x:c r="R14" s="46"/>
      <x:c r="S14" s="46"/>
      <x:c r="T14" s="46"/>
      <x:c r="U14" s="46"/>
      <x:c r="V14" s="46"/>
      <x:c r="W14" s="46"/>
      <x:c r="X14" s="46"/>
    </x:row>
    <x:row r="15">
      <x:c r="A15" s="46"/>
      <x:c r="B15" s="46"/>
      <x:c r="C15" s="46"/>
      <x:c r="D15" s="46"/>
      <x:c r="E15" s="46"/>
      <x:c r="F15" s="46"/>
      <x:c r="G15" s="46"/>
      <x:c r="H15" s="46"/>
      <x:c r="I15" s="46"/>
      <x:c r="J15" s="46"/>
      <x:c r="K15" s="46"/>
      <x:c r="L15" s="46"/>
      <x:c r="M15" s="46"/>
      <x:c r="N15" s="46"/>
      <x:c r="O15" s="46"/>
      <x:c r="P15" s="46"/>
      <x:c r="Q15" s="46"/>
      <x:c r="R15" s="46"/>
      <x:c r="S15" s="46"/>
      <x:c r="T15" s="46"/>
      <x:c r="U15" s="46"/>
      <x:c r="V15" s="46"/>
      <x:c r="W15" s="46"/>
      <x:c r="X15" s="46"/>
    </x:row>
    <x:row r="16">
      <x:c r="A16" s="46"/>
      <x:c r="B16" s="46"/>
      <x:c r="C16" s="46"/>
      <x:c r="D16" s="46"/>
      <x:c r="E16" s="46"/>
      <x:c r="F16" s="46"/>
      <x:c r="G16" s="46"/>
      <x:c r="H16" s="46"/>
      <x:c r="I16" s="46"/>
      <x:c r="J16" s="46"/>
      <x:c r="K16" s="46"/>
      <x:c r="L16" s="46"/>
      <x:c r="M16" s="46"/>
      <x:c r="N16" s="46"/>
      <x:c r="O16" s="46"/>
      <x:c r="P16" s="46"/>
      <x:c r="Q16" s="46"/>
      <x:c r="R16" s="46"/>
      <x:c r="S16" s="46"/>
      <x:c r="T16" s="46"/>
      <x:c r="U16" s="46"/>
      <x:c r="V16" s="46"/>
      <x:c r="W16" s="46"/>
      <x:c r="X16" s="46"/>
    </x:row>
    <x:row r="17">
      <x:c r="A17" s="46"/>
      <x:c r="B17" s="46"/>
      <x:c r="C17" s="46"/>
      <x:c r="D17" s="46"/>
      <x:c r="E17" s="46"/>
      <x:c r="F17" s="46"/>
      <x:c r="G17" s="46"/>
      <x:c r="H17" s="46"/>
      <x:c r="I17" s="46"/>
      <x:c r="J17" s="46"/>
      <x:c r="K17" s="46"/>
      <x:c r="L17" s="46"/>
      <x:c r="M17" s="46"/>
      <x:c r="N17" s="46"/>
      <x:c r="O17" s="46"/>
      <x:c r="P17" s="46"/>
      <x:c r="Q17" s="46"/>
      <x:c r="R17" s="46"/>
      <x:c r="S17" s="46"/>
      <x:c r="T17" s="46"/>
      <x:c r="U17" s="46"/>
      <x:c r="V17" s="46"/>
      <x:c r="W17" s="46"/>
      <x:c r="X17" s="46"/>
    </x:row>
    <x:row r="18">
      <x:c r="A18" s="46"/>
      <x:c r="B18" s="46"/>
      <x:c r="C18" s="46"/>
      <x:c r="D18" s="46"/>
      <x:c r="E18" s="46"/>
      <x:c r="F18" s="46"/>
      <x:c r="G18" s="46"/>
      <x:c r="H18" s="46"/>
      <x:c r="I18" s="46"/>
      <x:c r="J18" s="46"/>
      <x:c r="K18" s="46"/>
      <x:c r="L18" s="46"/>
      <x:c r="M18" s="46"/>
      <x:c r="N18" s="46"/>
      <x:c r="O18" s="46"/>
      <x:c r="P18" s="46"/>
      <x:c r="Q18" s="46"/>
      <x:c r="R18" s="46"/>
      <x:c r="S18" s="46"/>
      <x:c r="T18" s="46"/>
      <x:c r="U18" s="46"/>
      <x:c r="V18" s="46"/>
      <x:c r="W18" s="46"/>
      <x:c r="X18" s="46"/>
    </x:row>
    <x:row r="19">
      <x:c r="A19" s="46"/>
      <x:c r="B19" s="46"/>
      <x:c r="C19" s="46"/>
      <x:c r="D19" s="46"/>
      <x:c r="E19" s="46"/>
      <x:c r="F19" s="46"/>
      <x:c r="G19" s="46"/>
      <x:c r="H19" s="46"/>
      <x:c r="I19" s="46"/>
      <x:c r="J19" s="46"/>
      <x:c r="K19" s="46"/>
      <x:c r="L19" s="46"/>
      <x:c r="M19" s="46"/>
      <x:c r="N19" s="46"/>
      <x:c r="O19" s="46"/>
      <x:c r="P19" s="46"/>
      <x:c r="Q19" s="46"/>
      <x:c r="R19" s="46"/>
      <x:c r="S19" s="46"/>
      <x:c r="T19" s="46"/>
      <x:c r="U19" s="46"/>
      <x:c r="V19" s="46"/>
      <x:c r="W19" s="46"/>
      <x:c r="X19" s="46"/>
    </x:row>
    <x:row r="20">
      <x:c r="A20" s="46"/>
      <x:c r="B20" s="46"/>
      <x:c r="C20" s="46"/>
      <x:c r="D20" s="46"/>
      <x:c r="E20" s="46"/>
      <x:c r="F20" s="46"/>
      <x:c r="G20" s="46"/>
      <x:c r="H20" s="46"/>
      <x:c r="I20" s="46"/>
      <x:c r="J20" s="46"/>
      <x:c r="K20" s="46"/>
      <x:c r="L20" s="46"/>
      <x:c r="M20" s="46"/>
      <x:c r="N20" s="46"/>
      <x:c r="O20" s="46"/>
      <x:c r="P20" s="46"/>
      <x:c r="Q20" s="46"/>
      <x:c r="R20" s="46"/>
      <x:c r="S20" s="46"/>
      <x:c r="T20" s="46"/>
      <x:c r="U20" s="46"/>
      <x:c r="V20" s="46"/>
      <x:c r="W20" s="46"/>
      <x:c r="X20" s="46"/>
    </x:row>
    <x:row r="21">
      <x:c r="A21" s="46"/>
      <x:c r="B21" s="46"/>
      <x:c r="C21" s="46"/>
      <x:c r="D21" s="46"/>
      <x:c r="E21" s="46"/>
      <x:c r="F21" s="46"/>
      <x:c r="G21" s="46"/>
      <x:c r="H21" s="46"/>
      <x:c r="I21" s="46"/>
      <x:c r="J21" s="46"/>
      <x:c r="K21" s="46"/>
      <x:c r="L21" s="46"/>
      <x:c r="M21" s="46"/>
      <x:c r="N21" s="46"/>
      <x:c r="O21" s="46"/>
      <x:c r="P21" s="46"/>
      <x:c r="Q21" s="46"/>
      <x:c r="R21" s="46"/>
      <x:c r="S21" s="46"/>
      <x:c r="T21" s="46"/>
      <x:c r="U21" s="46"/>
      <x:c r="V21" s="46"/>
      <x:c r="W21" s="46"/>
      <x:c r="X21" s="46"/>
    </x:row>
    <x:row r="22">
      <x:c r="A22" s="46"/>
      <x:c r="B22" s="46"/>
      <x:c r="C22" s="46"/>
      <x:c r="D22" s="46"/>
      <x:c r="E22" s="46"/>
      <x:c r="F22" s="46"/>
      <x:c r="G22" s="46"/>
      <x:c r="H22" s="46"/>
      <x:c r="I22" s="46"/>
      <x:c r="J22" s="46"/>
      <x:c r="K22" s="46"/>
      <x:c r="L22" s="46"/>
      <x:c r="M22" s="46"/>
      <x:c r="N22" s="46"/>
      <x:c r="O22" s="46"/>
      <x:c r="P22" s="46"/>
      <x:c r="Q22" s="46"/>
      <x:c r="R22" s="46"/>
      <x:c r="S22" s="46"/>
      <x:c r="T22" s="46"/>
      <x:c r="U22" s="46"/>
      <x:c r="V22" s="46"/>
      <x:c r="W22" s="46"/>
      <x:c r="X22" s="46"/>
    </x:row>
    <x:row r="23">
      <x:c r="A23" s="46"/>
      <x:c r="B23" s="46"/>
      <x:c r="C23" s="46"/>
      <x:c r="D23" s="46"/>
      <x:c r="E23" s="46"/>
      <x:c r="F23" s="46"/>
      <x:c r="G23" s="46"/>
      <x:c r="H23" s="46"/>
      <x:c r="I23" s="46"/>
      <x:c r="J23" s="46"/>
      <x:c r="K23" s="46"/>
      <x:c r="L23" s="46"/>
      <x:c r="M23" s="46"/>
      <x:c r="N23" s="46"/>
      <x:c r="O23" s="46"/>
      <x:c r="P23" s="46"/>
      <x:c r="Q23" s="46"/>
      <x:c r="R23" s="46"/>
      <x:c r="S23" s="46"/>
      <x:c r="T23" s="46"/>
      <x:c r="U23" s="46"/>
      <x:c r="V23" s="46"/>
      <x:c r="W23" s="46"/>
      <x:c r="X23" s="46"/>
    </x:row>
    <x:row r="24">
      <x:c r="A24" s="46"/>
      <x:c r="B24" s="46"/>
      <x:c r="C24" s="46"/>
      <x:c r="D24" s="46"/>
      <x:c r="E24" s="46"/>
      <x:c r="F24" s="46"/>
      <x:c r="G24" s="46"/>
      <x:c r="H24" s="46"/>
      <x:c r="I24" s="46"/>
      <x:c r="J24" s="46"/>
      <x:c r="K24" s="46"/>
      <x:c r="L24" s="46"/>
      <x:c r="M24" s="46"/>
      <x:c r="N24" s="46"/>
      <x:c r="O24" s="46"/>
      <x:c r="P24" s="46"/>
      <x:c r="Q24" s="46"/>
      <x:c r="R24" s="46"/>
      <x:c r="S24" s="46"/>
      <x:c r="T24" s="46"/>
      <x:c r="U24" s="46"/>
      <x:c r="V24" s="46"/>
      <x:c r="W24" s="46"/>
      <x:c r="X24" s="46"/>
    </x:row>
    <x:row r="25">
      <x:c r="A25" s="46"/>
      <x:c r="B25" s="46"/>
      <x:c r="C25" s="46"/>
      <x:c r="D25" s="46"/>
      <x:c r="E25" s="46"/>
      <x:c r="F25" s="46"/>
      <x:c r="G25" s="46"/>
      <x:c r="H25" s="46"/>
      <x:c r="I25" s="46"/>
      <x:c r="J25" s="46"/>
      <x:c r="K25" s="46"/>
      <x:c r="L25" s="46"/>
      <x:c r="M25" s="46"/>
      <x:c r="N25" s="46"/>
      <x:c r="O25" s="46"/>
      <x:c r="P25" s="46"/>
      <x:c r="Q25" s="46"/>
      <x:c r="R25" s="46"/>
      <x:c r="S25" s="46"/>
      <x:c r="T25" s="46"/>
      <x:c r="U25" s="46"/>
      <x:c r="V25" s="46"/>
      <x:c r="W25" s="46"/>
      <x:c r="X25" s="46"/>
    </x:row>
    <x:row r="26">
      <x:c r="A26" s="46"/>
      <x:c r="B26" s="46"/>
      <x:c r="C26" s="46"/>
      <x:c r="D26" s="46"/>
      <x:c r="E26" s="46"/>
      <x:c r="F26" s="46"/>
      <x:c r="G26" s="46"/>
      <x:c r="H26" s="46"/>
      <x:c r="I26" s="46"/>
      <x:c r="J26" s="46"/>
      <x:c r="K26" s="46"/>
      <x:c r="L26" s="46"/>
      <x:c r="M26" s="46"/>
      <x:c r="N26" s="46"/>
      <x:c r="O26" s="46"/>
      <x:c r="P26" s="46"/>
      <x:c r="Q26" s="46"/>
      <x:c r="R26" s="46"/>
      <x:c r="S26" s="46"/>
      <x:c r="T26" s="46"/>
      <x:c r="U26" s="46"/>
      <x:c r="V26" s="46"/>
      <x:c r="W26" s="46"/>
      <x:c r="X26" s="46"/>
    </x:row>
    <x:row r="27">
      <x:c r="A27" s="46"/>
      <x:c r="B27" s="46"/>
      <x:c r="C27" s="46"/>
      <x:c r="D27" s="46"/>
      <x:c r="E27" s="46"/>
      <x:c r="F27" s="46"/>
      <x:c r="G27" s="46"/>
      <x:c r="H27" s="46"/>
      <x:c r="I27" s="46"/>
      <x:c r="J27" s="46"/>
      <x:c r="K27" s="46"/>
      <x:c r="L27" s="46"/>
      <x:c r="M27" s="46"/>
      <x:c r="N27" s="46"/>
      <x:c r="O27" s="46"/>
      <x:c r="P27" s="46"/>
      <x:c r="Q27" s="46"/>
      <x:c r="R27" s="46"/>
      <x:c r="S27" s="46"/>
      <x:c r="T27" s="46"/>
      <x:c r="U27" s="46"/>
      <x:c r="V27" s="46"/>
      <x:c r="W27" s="46"/>
      <x:c r="X27" s="46"/>
    </x:row>
    <x:row r="28">
      <x:c r="A28" s="46"/>
      <x:c r="B28" s="46"/>
      <x:c r="C28" s="46"/>
      <x:c r="D28" s="46"/>
      <x:c r="E28" s="46"/>
      <x:c r="F28" s="46"/>
      <x:c r="G28" s="46"/>
      <x:c r="H28" s="46"/>
      <x:c r="I28" s="46"/>
      <x:c r="J28" s="46"/>
      <x:c r="K28" s="46"/>
      <x:c r="L28" s="46"/>
      <x:c r="M28" s="46"/>
      <x:c r="N28" s="46"/>
      <x:c r="O28" s="46"/>
      <x:c r="P28" s="46"/>
      <x:c r="Q28" s="46"/>
      <x:c r="R28" s="46"/>
      <x:c r="S28" s="46"/>
      <x:c r="T28" s="46"/>
      <x:c r="U28" s="46"/>
      <x:c r="V28" s="46"/>
      <x:c r="W28" s="46"/>
      <x:c r="X28" s="46"/>
    </x:row>
    <x:row r="29">
      <x:c r="A29" s="46"/>
      <x:c r="B29" s="46"/>
      <x:c r="C29" s="46"/>
      <x:c r="D29" s="46"/>
      <x:c r="E29" s="46"/>
      <x:c r="F29" s="46"/>
      <x:c r="G29" s="46"/>
      <x:c r="H29" s="46"/>
      <x:c r="I29" s="46"/>
      <x:c r="J29" s="46"/>
      <x:c r="K29" s="46"/>
      <x:c r="L29" s="46"/>
      <x:c r="M29" s="46"/>
      <x:c r="N29" s="46"/>
      <x:c r="O29" s="46"/>
      <x:c r="P29" s="46"/>
      <x:c r="Q29" s="46"/>
      <x:c r="R29" s="46"/>
      <x:c r="S29" s="46"/>
      <x:c r="T29" s="46"/>
      <x:c r="U29" s="46"/>
      <x:c r="V29" s="46"/>
      <x:c r="W29" s="46"/>
      <x:c r="X29" s="46"/>
    </x:row>
    <x:row r="30">
      <x:c r="A30" s="46"/>
      <x:c r="B30" s="46"/>
      <x:c r="C30" s="46"/>
      <x:c r="D30" s="46"/>
      <x:c r="E30" s="46"/>
      <x:c r="F30" s="46"/>
      <x:c r="G30" s="46"/>
      <x:c r="H30" s="46"/>
      <x:c r="I30" s="46"/>
      <x:c r="J30" s="46"/>
      <x:c r="K30" s="46"/>
      <x:c r="L30" s="46"/>
      <x:c r="M30" s="46"/>
      <x:c r="N30" s="46"/>
      <x:c r="O30" s="46"/>
      <x:c r="P30" s="46"/>
      <x:c r="Q30" s="46"/>
      <x:c r="R30" s="46"/>
      <x:c r="S30" s="46"/>
      <x:c r="T30" s="46"/>
      <x:c r="U30" s="46"/>
      <x:c r="V30" s="46"/>
      <x:c r="W30" s="46"/>
      <x:c r="X30" s="46"/>
    </x:row>
    <x:row r="31">
      <x:c r="A31" s="46"/>
      <x:c r="B31" s="46"/>
      <x:c r="C31" s="46"/>
      <x:c r="D31" s="46"/>
      <x:c r="E31" s="46"/>
      <x:c r="F31" s="46"/>
      <x:c r="G31" s="46"/>
      <x:c r="H31" s="46"/>
      <x:c r="I31" s="46"/>
      <x:c r="J31" s="46"/>
      <x:c r="K31" s="46"/>
      <x:c r="L31" s="46"/>
      <x:c r="M31" s="46"/>
      <x:c r="N31" s="46"/>
      <x:c r="O31" s="46"/>
      <x:c r="P31" s="46"/>
      <x:c r="Q31" s="46"/>
      <x:c r="R31" s="46"/>
      <x:c r="S31" s="46"/>
      <x:c r="T31" s="46"/>
      <x:c r="U31" s="46"/>
      <x:c r="V31" s="46"/>
      <x:c r="W31" s="46"/>
      <x:c r="X31" s="46"/>
    </x:row>
    <x:row r="32">
      <x:c r="A32" s="46"/>
      <x:c r="B32" s="46"/>
      <x:c r="C32" s="46"/>
      <x:c r="D32" s="46"/>
      <x:c r="E32" s="46"/>
      <x:c r="F32" s="46"/>
      <x:c r="G32" s="46"/>
      <x:c r="H32" s="46"/>
      <x:c r="I32" s="46"/>
      <x:c r="J32" s="46"/>
      <x:c r="K32" s="46"/>
      <x:c r="L32" s="46"/>
      <x:c r="M32" s="46"/>
      <x:c r="N32" s="46"/>
      <x:c r="O32" s="46"/>
      <x:c r="P32" s="46"/>
      <x:c r="Q32" s="46"/>
      <x:c r="R32" s="46"/>
      <x:c r="S32" s="46"/>
      <x:c r="T32" s="46"/>
      <x:c r="U32" s="46"/>
      <x:c r="V32" s="46"/>
      <x:c r="W32" s="46"/>
      <x:c r="X32" s="46"/>
    </x:row>
    <x:row r="33">
      <x:c r="A33" s="46"/>
      <x:c r="B33" s="46"/>
      <x:c r="C33" s="46"/>
      <x:c r="D33" s="46"/>
      <x:c r="E33" s="46"/>
      <x:c r="F33" s="46"/>
      <x:c r="G33" s="46"/>
      <x:c r="H33" s="46"/>
      <x:c r="I33" s="46"/>
      <x:c r="J33" s="46"/>
      <x:c r="K33" s="46"/>
      <x:c r="L33" s="46"/>
      <x:c r="M33" s="46"/>
      <x:c r="N33" s="46"/>
      <x:c r="O33" s="46"/>
      <x:c r="P33" s="46"/>
      <x:c r="Q33" s="46"/>
      <x:c r="R33" s="46"/>
      <x:c r="S33" s="46"/>
      <x:c r="T33" s="46"/>
      <x:c r="U33" s="46"/>
      <x:c r="V33" s="46"/>
      <x:c r="W33" s="46"/>
      <x:c r="X33" s="46"/>
    </x:row>
    <x:row r="34">
      <x:c r="A34" s="46"/>
      <x:c r="B34" s="46"/>
      <x:c r="C34" s="46"/>
      <x:c r="D34" s="46"/>
      <x:c r="E34" s="46"/>
      <x:c r="F34" s="46"/>
      <x:c r="G34" s="46"/>
      <x:c r="H34" s="46"/>
      <x:c r="I34" s="46"/>
      <x:c r="J34" s="46"/>
      <x:c r="K34" s="46"/>
      <x:c r="L34" s="46"/>
      <x:c r="M34" s="46"/>
      <x:c r="N34" s="46"/>
      <x:c r="O34" s="46"/>
      <x:c r="P34" s="46"/>
      <x:c r="Q34" s="46"/>
      <x:c r="R34" s="46"/>
      <x:c r="S34" s="46"/>
      <x:c r="T34" s="46"/>
      <x:c r="U34" s="46"/>
      <x:c r="V34" s="46"/>
      <x:c r="W34" s="46"/>
      <x:c r="X34" s="46"/>
    </x:row>
    <x:row r="35">
      <x:c r="A35" s="46"/>
      <x:c r="B35" s="46"/>
      <x:c r="C35" s="46"/>
      <x:c r="D35" s="46"/>
      <x:c r="E35" s="46"/>
      <x:c r="F35" s="46"/>
      <x:c r="G35" s="46"/>
      <x:c r="H35" s="46"/>
      <x:c r="I35" s="46"/>
      <x:c r="J35" s="46"/>
      <x:c r="K35" s="46"/>
      <x:c r="L35" s="46"/>
      <x:c r="M35" s="46"/>
      <x:c r="N35" s="46"/>
      <x:c r="O35" s="46"/>
      <x:c r="P35" s="46"/>
      <x:c r="Q35" s="46"/>
      <x:c r="R35" s="46"/>
      <x:c r="S35" s="46"/>
      <x:c r="T35" s="46"/>
      <x:c r="U35" s="46"/>
      <x:c r="V35" s="46"/>
      <x:c r="W35" s="46"/>
      <x:c r="X35" s="46"/>
    </x:row>
    <x:row r="36">
      <x:c r="A36" s="46"/>
      <x:c r="B36" s="46"/>
      <x:c r="C36" s="46"/>
      <x:c r="D36" s="46"/>
      <x:c r="E36" s="46"/>
      <x:c r="F36" s="46"/>
      <x:c r="G36" s="46"/>
      <x:c r="H36" s="46"/>
      <x:c r="I36" s="46"/>
      <x:c r="J36" s="46"/>
      <x:c r="K36" s="46"/>
      <x:c r="L36" s="46"/>
      <x:c r="M36" s="46"/>
      <x:c r="N36" s="46"/>
      <x:c r="O36" s="46"/>
      <x:c r="P36" s="46"/>
      <x:c r="Q36" s="46"/>
      <x:c r="R36" s="46"/>
      <x:c r="S36" s="46"/>
      <x:c r="T36" s="46"/>
      <x:c r="U36" s="46"/>
      <x:c r="V36" s="46"/>
      <x:c r="W36" s="46"/>
      <x:c r="X36" s="46"/>
    </x:row>
    <x:row r="37">
      <x:c r="A37" s="46"/>
      <x:c r="B37" s="46"/>
      <x:c r="C37" s="46"/>
      <x:c r="D37" s="46"/>
      <x:c r="E37" s="46"/>
      <x:c r="F37" s="46"/>
      <x:c r="G37" s="46"/>
      <x:c r="H37" s="46"/>
      <x:c r="I37" s="46"/>
      <x:c r="J37" s="46"/>
      <x:c r="K37" s="46"/>
      <x:c r="L37" s="46"/>
      <x:c r="M37" s="46"/>
      <x:c r="N37" s="46"/>
      <x:c r="O37" s="46"/>
      <x:c r="P37" s="46"/>
      <x:c r="Q37" s="46"/>
      <x:c r="R37" s="46"/>
      <x:c r="S37" s="46"/>
      <x:c r="T37" s="46"/>
      <x:c r="U37" s="46"/>
      <x:c r="V37" s="46"/>
      <x:c r="W37" s="46"/>
      <x:c r="X37" s="46"/>
    </x:row>
    <x:row r="38">
      <x:c r="A38" s="46"/>
      <x:c r="B38" s="46"/>
      <x:c r="C38" s="46"/>
      <x:c r="D38" s="46"/>
      <x:c r="E38" s="46"/>
      <x:c r="F38" s="46"/>
      <x:c r="G38" s="46"/>
      <x:c r="H38" s="46"/>
      <x:c r="I38" s="46"/>
      <x:c r="J38" s="46"/>
      <x:c r="K38" s="46"/>
      <x:c r="L38" s="46"/>
      <x:c r="M38" s="46"/>
      <x:c r="N38" s="46"/>
      <x:c r="O38" s="46"/>
      <x:c r="P38" s="46"/>
      <x:c r="Q38" s="46"/>
      <x:c r="R38" s="46"/>
      <x:c r="S38" s="46"/>
      <x:c r="T38" s="46"/>
      <x:c r="U38" s="46"/>
      <x:c r="V38" s="46"/>
      <x:c r="W38" s="46"/>
      <x:c r="X38" s="46"/>
    </x:row>
    <x:row r="39">
      <x:c r="A39" s="46"/>
      <x:c r="B39" s="46"/>
      <x:c r="C39" s="46"/>
      <x:c r="D39" s="46"/>
      <x:c r="E39" s="46"/>
      <x:c r="F39" s="46"/>
      <x:c r="G39" s="46"/>
      <x:c r="H39" s="46"/>
      <x:c r="I39" s="46"/>
      <x:c r="J39" s="46"/>
      <x:c r="K39" s="46"/>
      <x:c r="L39" s="46"/>
      <x:c r="M39" s="46"/>
      <x:c r="N39" s="46"/>
      <x:c r="O39" s="46"/>
      <x:c r="P39" s="46"/>
      <x:c r="Q39" s="46"/>
      <x:c r="R39" s="46"/>
      <x:c r="S39" s="46"/>
      <x:c r="T39" s="46"/>
      <x:c r="U39" s="46"/>
      <x:c r="V39" s="46"/>
      <x:c r="W39" s="46"/>
      <x:c r="X39" s="46"/>
    </x:row>
    <x:row r="40">
      <x:c r="A40" s="46"/>
      <x:c r="B40" s="46"/>
      <x:c r="C40" s="46"/>
      <x:c r="D40" s="46"/>
      <x:c r="E40" s="46"/>
      <x:c r="F40" s="46"/>
      <x:c r="G40" s="46"/>
      <x:c r="H40" s="46"/>
      <x:c r="I40" s="46"/>
      <x:c r="J40" s="46"/>
      <x:c r="K40" s="46"/>
      <x:c r="L40" s="46"/>
      <x:c r="M40" s="46"/>
      <x:c r="N40" s="46"/>
      <x:c r="O40" s="46"/>
      <x:c r="P40" s="46"/>
      <x:c r="Q40" s="46"/>
      <x:c r="R40" s="46"/>
      <x:c r="S40" s="46"/>
      <x:c r="T40" s="46"/>
      <x:c r="U40" s="46"/>
      <x:c r="V40" s="46"/>
      <x:c r="W40" s="46"/>
      <x:c r="X40" s="46"/>
    </x:row>
    <x:row r="41">
      <x:c r="A41" s="46"/>
      <x:c r="B41" s="46"/>
      <x:c r="C41" s="46"/>
      <x:c r="D41" s="46"/>
      <x:c r="E41" s="46"/>
      <x:c r="F41" s="46"/>
      <x:c r="G41" s="46"/>
      <x:c r="H41" s="46"/>
      <x:c r="I41" s="46"/>
      <x:c r="J41" s="46"/>
      <x:c r="K41" s="46"/>
      <x:c r="L41" s="46"/>
      <x:c r="M41" s="46"/>
      <x:c r="N41" s="46"/>
      <x:c r="O41" s="46"/>
      <x:c r="P41" s="46"/>
      <x:c r="Q41" s="46"/>
      <x:c r="R41" s="46"/>
      <x:c r="S41" s="46"/>
      <x:c r="T41" s="46"/>
      <x:c r="U41" s="46"/>
      <x:c r="V41" s="46"/>
      <x:c r="W41" s="46"/>
      <x:c r="X41" s="46"/>
    </x:row>
    <x:row r="42">
      <x:c r="A42" s="46"/>
      <x:c r="B42" s="46"/>
      <x:c r="C42" s="46"/>
      <x:c r="D42" s="46"/>
      <x:c r="E42" s="46"/>
      <x:c r="F42" s="46"/>
      <x:c r="G42" s="46"/>
      <x:c r="H42" s="46"/>
      <x:c r="I42" s="46"/>
      <x:c r="J42" s="46"/>
      <x:c r="K42" s="46"/>
      <x:c r="L42" s="46"/>
      <x:c r="M42" s="46"/>
      <x:c r="N42" s="46"/>
      <x:c r="O42" s="46"/>
      <x:c r="P42" s="46"/>
      <x:c r="Q42" s="46"/>
      <x:c r="R42" s="46"/>
      <x:c r="S42" s="46"/>
      <x:c r="T42" s="46"/>
      <x:c r="U42" s="46"/>
      <x:c r="V42" s="46"/>
      <x:c r="W42" s="46"/>
      <x:c r="X42" s="46"/>
    </x:row>
    <x:row r="43">
      <x:c r="A43" s="46"/>
      <x:c r="B43" s="46"/>
      <x:c r="C43" s="46"/>
      <x:c r="D43" s="46"/>
      <x:c r="E43" s="46"/>
      <x:c r="F43" s="46"/>
      <x:c r="G43" s="46"/>
      <x:c r="H43" s="46"/>
      <x:c r="I43" s="46"/>
      <x:c r="J43" s="46"/>
      <x:c r="K43" s="46"/>
      <x:c r="L43" s="46"/>
      <x:c r="M43" s="46"/>
      <x:c r="N43" s="46"/>
      <x:c r="O43" s="46"/>
      <x:c r="P43" s="46"/>
      <x:c r="Q43" s="46"/>
      <x:c r="R43" s="46"/>
      <x:c r="S43" s="46"/>
      <x:c r="T43" s="46"/>
      <x:c r="U43" s="46"/>
      <x:c r="V43" s="46"/>
      <x:c r="W43" s="46"/>
      <x:c r="X43" s="46"/>
    </x:row>
    <x:row r="44">
      <x:c r="A44" s="46"/>
      <x:c r="B44" s="46"/>
      <x:c r="C44" s="46"/>
      <x:c r="D44" s="46"/>
      <x:c r="E44" s="46"/>
      <x:c r="F44" s="46"/>
      <x:c r="G44" s="46"/>
      <x:c r="H44" s="46"/>
      <x:c r="I44" s="46"/>
      <x:c r="J44" s="46"/>
      <x:c r="K44" s="46"/>
      <x:c r="L44" s="46"/>
      <x:c r="M44" s="46"/>
      <x:c r="N44" s="46"/>
      <x:c r="O44" s="46"/>
      <x:c r="P44" s="46"/>
      <x:c r="Q44" s="46"/>
      <x:c r="R44" s="46"/>
      <x:c r="S44" s="46"/>
      <x:c r="T44" s="46"/>
      <x:c r="U44" s="46"/>
      <x:c r="V44" s="46"/>
      <x:c r="W44" s="46"/>
      <x:c r="X44" s="46"/>
    </x:row>
    <x:row r="45">
      <x:c r="A45" s="46"/>
      <x:c r="B45" s="46"/>
      <x:c r="C45" s="46"/>
      <x:c r="D45" s="46"/>
      <x:c r="E45" s="46"/>
      <x:c r="F45" s="46"/>
      <x:c r="G45" s="46"/>
      <x:c r="H45" s="46"/>
      <x:c r="I45" s="46"/>
      <x:c r="J45" s="46"/>
      <x:c r="K45" s="46"/>
      <x:c r="L45" s="46"/>
      <x:c r="M45" s="46"/>
      <x:c r="N45" s="46"/>
      <x:c r="O45" s="46"/>
      <x:c r="P45" s="46"/>
      <x:c r="Q45" s="46"/>
      <x:c r="R45" s="46"/>
      <x:c r="S45" s="46"/>
      <x:c r="T45" s="46"/>
      <x:c r="U45" s="46"/>
      <x:c r="V45" s="46"/>
      <x:c r="W45" s="46"/>
      <x:c r="X45" s="46"/>
    </x:row>
    <x:row r="46">
      <x:c r="A46" s="46"/>
      <x:c r="B46" s="46"/>
      <x:c r="C46" s="46"/>
      <x:c r="D46" s="46"/>
      <x:c r="E46" s="46"/>
      <x:c r="F46" s="46"/>
      <x:c r="G46" s="46"/>
      <x:c r="H46" s="46"/>
      <x:c r="I46" s="46"/>
      <x:c r="J46" s="46"/>
      <x:c r="K46" s="46"/>
      <x:c r="L46" s="46"/>
      <x:c r="M46" s="46"/>
      <x:c r="N46" s="46"/>
      <x:c r="O46" s="46"/>
      <x:c r="P46" s="46"/>
      <x:c r="Q46" s="46"/>
      <x:c r="R46" s="46"/>
      <x:c r="S46" s="46"/>
      <x:c r="T46" s="46"/>
      <x:c r="U46" s="46"/>
      <x:c r="V46" s="46"/>
      <x:c r="W46" s="46"/>
      <x:c r="X46" s="46"/>
    </x:row>
    <x:row r="47">
      <x:c r="A47" s="46"/>
      <x:c r="B47" s="46"/>
      <x:c r="C47" s="46"/>
      <x:c r="D47" s="46"/>
      <x:c r="E47" s="46"/>
      <x:c r="F47" s="46"/>
      <x:c r="G47" s="46"/>
      <x:c r="H47" s="46"/>
      <x:c r="I47" s="46"/>
      <x:c r="J47" s="46"/>
      <x:c r="K47" s="46"/>
      <x:c r="L47" s="46"/>
      <x:c r="M47" s="46"/>
      <x:c r="N47" s="46"/>
      <x:c r="O47" s="46"/>
      <x:c r="P47" s="46"/>
      <x:c r="Q47" s="46"/>
      <x:c r="R47" s="46"/>
      <x:c r="S47" s="46"/>
      <x:c r="T47" s="46"/>
      <x:c r="U47" s="46"/>
      <x:c r="V47" s="46"/>
      <x:c r="W47" s="46"/>
      <x:c r="X47" s="46"/>
    </x:row>
    <x:row r="48">
      <x:c r="A48" s="46"/>
      <x:c r="B48" s="46"/>
      <x:c r="C48" s="46"/>
      <x:c r="D48" s="46"/>
      <x:c r="E48" s="46"/>
      <x:c r="F48" s="46"/>
      <x:c r="G48" s="46"/>
      <x:c r="H48" s="46"/>
      <x:c r="I48" s="46"/>
      <x:c r="J48" s="46"/>
      <x:c r="K48" s="46"/>
      <x:c r="L48" s="46"/>
      <x:c r="M48" s="46"/>
      <x:c r="N48" s="46"/>
      <x:c r="O48" s="46"/>
      <x:c r="P48" s="46"/>
      <x:c r="Q48" s="46"/>
      <x:c r="R48" s="46"/>
      <x:c r="S48" s="46"/>
      <x:c r="T48" s="46"/>
      <x:c r="U48" s="46"/>
      <x:c r="V48" s="46"/>
      <x:c r="W48" s="46"/>
      <x:c r="X48" s="46"/>
    </x:row>
    <x:row r="49">
      <x:c r="A49" s="46"/>
      <x:c r="B49" s="46"/>
      <x:c r="C49" s="46"/>
      <x:c r="D49" s="46"/>
      <x:c r="E49" s="46"/>
      <x:c r="F49" s="46"/>
      <x:c r="G49" s="46"/>
      <x:c r="H49" s="46"/>
      <x:c r="I49" s="46"/>
      <x:c r="J49" s="46"/>
      <x:c r="K49" s="46"/>
      <x:c r="L49" s="46"/>
      <x:c r="M49" s="46"/>
      <x:c r="N49" s="46"/>
      <x:c r="O49" s="46"/>
      <x:c r="P49" s="46"/>
      <x:c r="Q49" s="46"/>
      <x:c r="R49" s="46"/>
      <x:c r="S49" s="46"/>
      <x:c r="T49" s="46"/>
      <x:c r="U49" s="46"/>
      <x:c r="V49" s="46"/>
      <x:c r="W49" s="46"/>
      <x:c r="X49" s="46"/>
    </x:row>
    <x:row r="50">
      <x:c r="A50" s="46"/>
      <x:c r="B50" s="46"/>
      <x:c r="C50" s="46"/>
      <x:c r="D50" s="46"/>
      <x:c r="E50" s="46"/>
      <x:c r="F50" s="46"/>
      <x:c r="G50" s="46"/>
      <x:c r="H50" s="46"/>
      <x:c r="I50" s="46"/>
      <x:c r="J50" s="46"/>
      <x:c r="K50" s="46"/>
      <x:c r="L50" s="46"/>
      <x:c r="M50" s="46"/>
      <x:c r="N50" s="46"/>
      <x:c r="O50" s="46"/>
      <x:c r="P50" s="46"/>
      <x:c r="Q50" s="46"/>
      <x:c r="R50" s="46"/>
      <x:c r="S50" s="46"/>
      <x:c r="T50" s="46"/>
      <x:c r="U50" s="46"/>
      <x:c r="V50" s="46"/>
      <x:c r="W50" s="46"/>
      <x:c r="X50" s="46"/>
    </x:row>
    <x:row r="51">
      <x:c r="A51" s="46"/>
      <x:c r="B51" s="46"/>
      <x:c r="C51" s="46"/>
      <x:c r="D51" s="46"/>
      <x:c r="E51" s="46"/>
      <x:c r="F51" s="46"/>
      <x:c r="G51" s="46"/>
      <x:c r="H51" s="46"/>
      <x:c r="I51" s="46"/>
      <x:c r="J51" s="46"/>
      <x:c r="K51" s="46"/>
      <x:c r="L51" s="46"/>
      <x:c r="M51" s="46"/>
      <x:c r="N51" s="46"/>
      <x:c r="O51" s="46"/>
      <x:c r="P51" s="46"/>
      <x:c r="Q51" s="46"/>
      <x:c r="R51" s="46"/>
      <x:c r="S51" s="46"/>
      <x:c r="T51" s="46"/>
      <x:c r="U51" s="46"/>
      <x:c r="V51" s="46"/>
      <x:c r="W51" s="46"/>
      <x:c r="X51" s="46"/>
    </x:row>
    <x:row r="52">
      <x:c r="A52" s="46"/>
      <x:c r="B52" s="46"/>
      <x:c r="C52" s="46"/>
      <x:c r="D52" s="46"/>
      <x:c r="E52" s="46"/>
      <x:c r="F52" s="46"/>
      <x:c r="G52" s="46"/>
      <x:c r="H52" s="46"/>
      <x:c r="I52" s="46"/>
      <x:c r="J52" s="46"/>
      <x:c r="K52" s="46"/>
      <x:c r="L52" s="46"/>
      <x:c r="M52" s="46"/>
      <x:c r="N52" s="46"/>
      <x:c r="O52" s="46"/>
      <x:c r="P52" s="46"/>
      <x:c r="Q52" s="46"/>
      <x:c r="R52" s="46"/>
      <x:c r="S52" s="46"/>
      <x:c r="T52" s="46"/>
      <x:c r="U52" s="46"/>
      <x:c r="V52" s="46"/>
      <x:c r="W52" s="46"/>
      <x:c r="X52" s="46"/>
    </x:row>
    <x:row r="53">
      <x:c r="A53" s="46"/>
      <x:c r="B53" s="46"/>
      <x:c r="C53" s="46"/>
      <x:c r="D53" s="46"/>
      <x:c r="E53" s="46"/>
      <x:c r="F53" s="46"/>
      <x:c r="G53" s="46"/>
      <x:c r="H53" s="46"/>
      <x:c r="I53" s="46"/>
      <x:c r="J53" s="46"/>
      <x:c r="K53" s="46"/>
      <x:c r="L53" s="46"/>
      <x:c r="M53" s="46"/>
      <x:c r="N53" s="46"/>
      <x:c r="O53" s="46"/>
      <x:c r="P53" s="46"/>
      <x:c r="Q53" s="46"/>
      <x:c r="R53" s="46"/>
      <x:c r="S53" s="46"/>
      <x:c r="T53" s="46"/>
      <x:c r="U53" s="46"/>
      <x:c r="V53" s="46"/>
      <x:c r="W53" s="46"/>
      <x:c r="X53" s="46"/>
    </x:row>
    <x:row r="54">
      <x:c r="A54" s="46"/>
      <x:c r="B54" s="46"/>
      <x:c r="C54" s="46"/>
      <x:c r="D54" s="46"/>
      <x:c r="E54" s="46"/>
      <x:c r="F54" s="46"/>
      <x:c r="G54" s="46"/>
      <x:c r="H54" s="46"/>
      <x:c r="I54" s="46"/>
      <x:c r="J54" s="46"/>
      <x:c r="K54" s="46"/>
      <x:c r="L54" s="46"/>
      <x:c r="M54" s="46"/>
      <x:c r="N54" s="46"/>
      <x:c r="O54" s="46"/>
      <x:c r="P54" s="46"/>
      <x:c r="Q54" s="46"/>
      <x:c r="R54" s="46"/>
      <x:c r="S54" s="46"/>
      <x:c r="T54" s="46"/>
      <x:c r="U54" s="46"/>
      <x:c r="V54" s="46"/>
      <x:c r="W54" s="46"/>
      <x:c r="X54" s="46"/>
    </x:row>
    <x:row r="55">
      <x:c r="A55" s="46"/>
      <x:c r="B55" s="46"/>
      <x:c r="C55" s="46"/>
      <x:c r="D55" s="46"/>
      <x:c r="E55" s="46"/>
      <x:c r="F55" s="46"/>
      <x:c r="G55" s="46"/>
      <x:c r="H55" s="46"/>
      <x:c r="I55" s="46"/>
      <x:c r="J55" s="46"/>
      <x:c r="K55" s="46"/>
      <x:c r="L55" s="46"/>
      <x:c r="M55" s="46"/>
      <x:c r="N55" s="46"/>
      <x:c r="O55" s="46"/>
      <x:c r="P55" s="46"/>
      <x:c r="Q55" s="46"/>
      <x:c r="R55" s="46"/>
      <x:c r="S55" s="46"/>
      <x:c r="T55" s="46"/>
      <x:c r="U55" s="46"/>
      <x:c r="V55" s="46"/>
      <x:c r="W55" s="46"/>
      <x:c r="X55" s="46"/>
    </x:row>
    <x:row r="56">
      <x:c r="A56" s="46"/>
      <x:c r="B56" s="46"/>
      <x:c r="C56" s="46"/>
      <x:c r="D56" s="46"/>
      <x:c r="E56" s="46"/>
      <x:c r="F56" s="46"/>
      <x:c r="G56" s="46"/>
      <x:c r="H56" s="46"/>
      <x:c r="I56" s="46"/>
      <x:c r="J56" s="46"/>
      <x:c r="K56" s="46"/>
      <x:c r="L56" s="46"/>
      <x:c r="M56" s="46"/>
      <x:c r="N56" s="46"/>
      <x:c r="O56" s="46"/>
      <x:c r="P56" s="46"/>
      <x:c r="Q56" s="46"/>
      <x:c r="R56" s="46"/>
      <x:c r="S56" s="46"/>
      <x:c r="T56" s="46"/>
      <x:c r="U56" s="46"/>
      <x:c r="V56" s="46"/>
      <x:c r="W56" s="46"/>
      <x:c r="X56" s="46"/>
    </x:row>
    <x:row r="57">
      <x:c r="A57" s="46"/>
      <x:c r="B57" s="46"/>
      <x:c r="C57" s="46"/>
      <x:c r="D57" s="46"/>
      <x:c r="E57" s="46"/>
      <x:c r="F57" s="46"/>
      <x:c r="G57" s="46"/>
      <x:c r="H57" s="46"/>
      <x:c r="I57" s="46"/>
      <x:c r="J57" s="46"/>
      <x:c r="K57" s="46"/>
      <x:c r="L57" s="46"/>
      <x:c r="M57" s="46"/>
      <x:c r="N57" s="46"/>
      <x:c r="O57" s="46"/>
      <x:c r="P57" s="46"/>
      <x:c r="Q57" s="46"/>
      <x:c r="R57" s="46"/>
      <x:c r="S57" s="46"/>
      <x:c r="T57" s="46"/>
      <x:c r="U57" s="46"/>
      <x:c r="V57" s="46"/>
      <x:c r="W57" s="46"/>
      <x:c r="X57" s="46"/>
    </x:row>
    <x:row r="58">
      <x:c r="A58" s="46"/>
      <x:c r="B58" s="46"/>
      <x:c r="C58" s="46"/>
      <x:c r="D58" s="46"/>
      <x:c r="E58" s="46"/>
      <x:c r="F58" s="46"/>
      <x:c r="G58" s="46"/>
      <x:c r="H58" s="46"/>
      <x:c r="I58" s="46"/>
      <x:c r="J58" s="46"/>
      <x:c r="K58" s="46"/>
      <x:c r="L58" s="46"/>
      <x:c r="M58" s="46"/>
      <x:c r="N58" s="46"/>
      <x:c r="O58" s="46"/>
      <x:c r="P58" s="46"/>
      <x:c r="Q58" s="46"/>
      <x:c r="R58" s="46"/>
      <x:c r="S58" s="46"/>
      <x:c r="T58" s="46"/>
      <x:c r="U58" s="46"/>
      <x:c r="V58" s="46"/>
      <x:c r="W58" s="46"/>
      <x:c r="X58" s="46"/>
    </x:row>
    <x:row r="59">
      <x:c r="A59" s="46"/>
      <x:c r="B59" s="46"/>
      <x:c r="C59" s="46"/>
      <x:c r="D59" s="46"/>
      <x:c r="E59" s="46"/>
      <x:c r="F59" s="46"/>
      <x:c r="G59" s="46"/>
      <x:c r="H59" s="46"/>
      <x:c r="I59" s="46"/>
      <x:c r="J59" s="46"/>
      <x:c r="K59" s="46"/>
      <x:c r="L59" s="46"/>
      <x:c r="M59" s="46"/>
      <x:c r="N59" s="46"/>
      <x:c r="O59" s="46"/>
      <x:c r="P59" s="46"/>
      <x:c r="Q59" s="46"/>
      <x:c r="R59" s="46"/>
      <x:c r="S59" s="46"/>
      <x:c r="T59" s="46"/>
      <x:c r="U59" s="46"/>
      <x:c r="V59" s="46"/>
      <x:c r="W59" s="46"/>
      <x:c r="X59" s="46"/>
    </x:row>
    <x:row r="60">
      <x:c r="A60" s="46"/>
      <x:c r="B60" s="46"/>
      <x:c r="C60" s="46"/>
      <x:c r="D60" s="46"/>
      <x:c r="E60" s="46"/>
      <x:c r="F60" s="46"/>
      <x:c r="G60" s="46"/>
      <x:c r="H60" s="46"/>
      <x:c r="I60" s="46"/>
      <x:c r="J60" s="46"/>
      <x:c r="K60" s="46"/>
      <x:c r="L60" s="46"/>
      <x:c r="M60" s="46"/>
      <x:c r="N60" s="46"/>
      <x:c r="O60" s="46"/>
      <x:c r="P60" s="46"/>
      <x:c r="Q60" s="46"/>
      <x:c r="R60" s="46"/>
      <x:c r="S60" s="46"/>
      <x:c r="T60" s="46"/>
      <x:c r="U60" s="46"/>
      <x:c r="V60" s="46"/>
      <x:c r="W60" s="46"/>
      <x:c r="X60" s="46"/>
    </x:row>
    <x:row r="61">
      <x:c r="A61" s="46"/>
      <x:c r="B61" s="46"/>
      <x:c r="C61" s="46"/>
      <x:c r="D61" s="46"/>
      <x:c r="E61" s="46"/>
      <x:c r="F61" s="46"/>
      <x:c r="G61" s="46"/>
      <x:c r="H61" s="46"/>
      <x:c r="I61" s="46"/>
      <x:c r="J61" s="46"/>
      <x:c r="K61" s="46"/>
      <x:c r="L61" s="46"/>
      <x:c r="M61" s="46"/>
      <x:c r="N61" s="46"/>
      <x:c r="O61" s="46"/>
      <x:c r="P61" s="46"/>
      <x:c r="Q61" s="46"/>
      <x:c r="R61" s="46"/>
      <x:c r="S61" s="46"/>
      <x:c r="T61" s="46"/>
      <x:c r="U61" s="46"/>
      <x:c r="V61" s="46"/>
      <x:c r="W61" s="46"/>
      <x:c r="X61" s="46"/>
    </x:row>
    <x:row r="62">
      <x:c r="A62" s="46"/>
      <x:c r="B62" s="46"/>
      <x:c r="C62" s="46"/>
      <x:c r="D62" s="46"/>
      <x:c r="E62" s="46"/>
      <x:c r="F62" s="46"/>
      <x:c r="G62" s="46"/>
      <x:c r="H62" s="46"/>
      <x:c r="I62" s="46"/>
      <x:c r="J62" s="46"/>
      <x:c r="K62" s="46"/>
      <x:c r="L62" s="46"/>
      <x:c r="M62" s="46"/>
      <x:c r="N62" s="46"/>
      <x:c r="O62" s="46"/>
      <x:c r="P62" s="46"/>
      <x:c r="Q62" s="46"/>
      <x:c r="R62" s="46"/>
      <x:c r="S62" s="46"/>
      <x:c r="T62" s="46"/>
      <x:c r="U62" s="46"/>
      <x:c r="V62" s="46"/>
      <x:c r="W62" s="46"/>
      <x:c r="X62" s="46"/>
    </x:row>
    <x:row r="63">
      <x:c r="A63" s="46"/>
      <x:c r="B63" s="46"/>
      <x:c r="C63" s="46"/>
      <x:c r="D63" s="46"/>
      <x:c r="E63" s="46"/>
      <x:c r="F63" s="46"/>
      <x:c r="G63" s="46"/>
      <x:c r="H63" s="46"/>
      <x:c r="I63" s="46"/>
      <x:c r="J63" s="46"/>
      <x:c r="K63" s="46"/>
      <x:c r="L63" s="46"/>
      <x:c r="M63" s="46"/>
      <x:c r="N63" s="46"/>
      <x:c r="O63" s="46"/>
      <x:c r="P63" s="46"/>
      <x:c r="Q63" s="46"/>
      <x:c r="R63" s="46"/>
      <x:c r="S63" s="46"/>
      <x:c r="T63" s="46"/>
      <x:c r="U63" s="46"/>
      <x:c r="V63" s="46"/>
      <x:c r="W63" s="46"/>
      <x:c r="X63" s="46"/>
    </x:row>
    <x:row r="64">
      <x:c r="A64" s="46"/>
      <x:c r="B64" s="46"/>
      <x:c r="C64" s="46"/>
      <x:c r="D64" s="46"/>
      <x:c r="E64" s="46"/>
      <x:c r="F64" s="46"/>
      <x:c r="G64" s="46"/>
      <x:c r="H64" s="46"/>
      <x:c r="I64" s="46"/>
      <x:c r="J64" s="46"/>
      <x:c r="K64" s="46"/>
      <x:c r="L64" s="46"/>
      <x:c r="M64" s="46"/>
      <x:c r="N64" s="46"/>
      <x:c r="O64" s="46"/>
      <x:c r="P64" s="46"/>
      <x:c r="Q64" s="46"/>
      <x:c r="R64" s="46"/>
      <x:c r="S64" s="46"/>
      <x:c r="T64" s="46"/>
      <x:c r="U64" s="46"/>
      <x:c r="V64" s="46"/>
      <x:c r="W64" s="46"/>
      <x:c r="X64" s="46"/>
    </x:row>
    <x:row r="65">
      <x:c r="A65" s="46"/>
      <x:c r="B65" s="46"/>
      <x:c r="C65" s="46"/>
      <x:c r="D65" s="46"/>
      <x:c r="E65" s="46"/>
      <x:c r="F65" s="46"/>
      <x:c r="G65" s="46"/>
      <x:c r="H65" s="46"/>
      <x:c r="I65" s="46"/>
      <x:c r="J65" s="46"/>
      <x:c r="K65" s="46"/>
      <x:c r="L65" s="46"/>
      <x:c r="M65" s="46"/>
      <x:c r="N65" s="46"/>
      <x:c r="O65" s="46"/>
      <x:c r="P65" s="46"/>
      <x:c r="Q65" s="46"/>
      <x:c r="R65" s="46"/>
      <x:c r="S65" s="46"/>
      <x:c r="T65" s="46"/>
      <x:c r="U65" s="46"/>
      <x:c r="V65" s="46"/>
      <x:c r="W65" s="46"/>
      <x:c r="X65" s="46"/>
    </x:row>
    <x:row r="66">
      <x:c r="A66" s="46"/>
      <x:c r="B66" s="46"/>
      <x:c r="C66" s="46"/>
      <x:c r="D66" s="46"/>
      <x:c r="E66" s="46"/>
      <x:c r="F66" s="46"/>
      <x:c r="G66" s="46"/>
      <x:c r="H66" s="46"/>
      <x:c r="I66" s="46"/>
      <x:c r="J66" s="46"/>
      <x:c r="K66" s="46"/>
      <x:c r="L66" s="46"/>
      <x:c r="M66" s="46"/>
      <x:c r="N66" s="46"/>
      <x:c r="O66" s="46"/>
      <x:c r="P66" s="46"/>
      <x:c r="Q66" s="46"/>
      <x:c r="R66" s="46"/>
      <x:c r="S66" s="46"/>
      <x:c r="T66" s="46"/>
      <x:c r="U66" s="46"/>
      <x:c r="V66" s="46"/>
      <x:c r="W66" s="46"/>
      <x:c r="X66" s="46"/>
    </x:row>
    <x:row r="67">
      <x:c r="A67" s="46"/>
      <x:c r="B67" s="46"/>
      <x:c r="C67" s="46"/>
      <x:c r="D67" s="46"/>
      <x:c r="E67" s="46"/>
      <x:c r="F67" s="46"/>
      <x:c r="G67" s="46"/>
      <x:c r="H67" s="46"/>
      <x:c r="I67" s="46"/>
      <x:c r="J67" s="46"/>
      <x:c r="K67" s="46"/>
      <x:c r="L67" s="46"/>
      <x:c r="M67" s="46"/>
      <x:c r="N67" s="46"/>
      <x:c r="O67" s="46"/>
      <x:c r="P67" s="46"/>
      <x:c r="Q67" s="46"/>
      <x:c r="R67" s="46"/>
      <x:c r="S67" s="46"/>
      <x:c r="T67" s="46"/>
      <x:c r="U67" s="46"/>
      <x:c r="V67" s="46"/>
      <x:c r="W67" s="46"/>
      <x:c r="X67" s="46"/>
    </x:row>
    <x:row r="68">
      <x:c r="A68" s="46"/>
      <x:c r="B68" s="46"/>
      <x:c r="C68" s="46"/>
      <x:c r="D68" s="46"/>
      <x:c r="E68" s="46"/>
      <x:c r="F68" s="46"/>
      <x:c r="G68" s="46"/>
      <x:c r="H68" s="46"/>
      <x:c r="I68" s="46"/>
      <x:c r="J68" s="46"/>
      <x:c r="K68" s="46"/>
      <x:c r="L68" s="46"/>
      <x:c r="M68" s="46"/>
      <x:c r="N68" s="46"/>
      <x:c r="O68" s="46"/>
      <x:c r="P68" s="46"/>
      <x:c r="Q68" s="46"/>
      <x:c r="R68" s="46"/>
      <x:c r="S68" s="46"/>
      <x:c r="T68" s="46"/>
      <x:c r="U68" s="46"/>
      <x:c r="V68" s="46"/>
      <x:c r="W68" s="46"/>
      <x:c r="X68" s="46"/>
    </x:row>
    <x:row r="69">
      <x:c r="A69" s="46"/>
      <x:c r="B69" s="46"/>
      <x:c r="C69" s="46"/>
      <x:c r="D69" s="46"/>
      <x:c r="E69" s="46"/>
      <x:c r="F69" s="46"/>
      <x:c r="G69" s="46"/>
      <x:c r="H69" s="46"/>
      <x:c r="I69" s="46"/>
      <x:c r="J69" s="46"/>
      <x:c r="K69" s="46"/>
      <x:c r="L69" s="46"/>
      <x:c r="M69" s="46"/>
      <x:c r="N69" s="46"/>
      <x:c r="O69" s="46"/>
      <x:c r="P69" s="46"/>
      <x:c r="Q69" s="46"/>
      <x:c r="R69" s="46"/>
      <x:c r="S69" s="46"/>
      <x:c r="T69" s="46"/>
      <x:c r="U69" s="46"/>
      <x:c r="V69" s="46"/>
      <x:c r="W69" s="46"/>
      <x:c r="X69" s="46"/>
    </x:row>
    <x:row r="70">
      <x:c r="A70" s="46"/>
      <x:c r="B70" s="46"/>
      <x:c r="C70" s="46"/>
      <x:c r="D70" s="46"/>
      <x:c r="E70" s="46"/>
      <x:c r="F70" s="46"/>
      <x:c r="G70" s="46"/>
      <x:c r="H70" s="46"/>
      <x:c r="I70" s="46"/>
      <x:c r="J70" s="46"/>
      <x:c r="K70" s="46"/>
      <x:c r="L70" s="46"/>
      <x:c r="M70" s="46"/>
      <x:c r="N70" s="46"/>
      <x:c r="O70" s="46"/>
      <x:c r="P70" s="46"/>
      <x:c r="Q70" s="46"/>
      <x:c r="R70" s="46"/>
      <x:c r="S70" s="46"/>
      <x:c r="T70" s="46"/>
      <x:c r="U70" s="46"/>
      <x:c r="V70" s="46"/>
      <x:c r="W70" s="46"/>
      <x:c r="X70" s="46"/>
    </x:row>
    <x:row r="71">
      <x:c r="A71" s="46"/>
      <x:c r="B71" s="46"/>
      <x:c r="C71" s="46"/>
      <x:c r="D71" s="46"/>
      <x:c r="E71" s="46"/>
      <x:c r="F71" s="46"/>
      <x:c r="G71" s="46"/>
      <x:c r="H71" s="46"/>
      <x:c r="I71" s="46"/>
      <x:c r="J71" s="46"/>
      <x:c r="K71" s="46"/>
      <x:c r="L71" s="46"/>
      <x:c r="M71" s="46"/>
      <x:c r="N71" s="46"/>
      <x:c r="O71" s="46"/>
      <x:c r="P71" s="46"/>
      <x:c r="Q71" s="46"/>
      <x:c r="R71" s="46"/>
      <x:c r="S71" s="46"/>
      <x:c r="T71" s="46"/>
      <x:c r="U71" s="46"/>
      <x:c r="V71" s="46"/>
      <x:c r="W71" s="46"/>
      <x:c r="X71" s="46"/>
    </x:row>
    <x:row r="72">
      <x:c r="A72" s="46"/>
      <x:c r="B72" s="46"/>
      <x:c r="C72" s="46"/>
      <x:c r="D72" s="46"/>
      <x:c r="E72" s="46"/>
      <x:c r="F72" s="46"/>
      <x:c r="G72" s="46"/>
      <x:c r="H72" s="46"/>
      <x:c r="I72" s="46"/>
      <x:c r="J72" s="46"/>
      <x:c r="K72" s="46"/>
      <x:c r="L72" s="46"/>
      <x:c r="M72" s="46"/>
      <x:c r="N72" s="46"/>
      <x:c r="O72" s="46"/>
      <x:c r="P72" s="46"/>
      <x:c r="Q72" s="46"/>
      <x:c r="R72" s="46"/>
      <x:c r="S72" s="46"/>
      <x:c r="T72" s="46"/>
      <x:c r="U72" s="46"/>
      <x:c r="V72" s="46"/>
      <x:c r="W72" s="46"/>
      <x:c r="X72" s="46"/>
    </x:row>
    <x:row r="73">
      <x:c r="A73" s="46"/>
      <x:c r="B73" s="46"/>
      <x:c r="C73" s="46"/>
      <x:c r="D73" s="46"/>
      <x:c r="E73" s="46"/>
      <x:c r="F73" s="46"/>
      <x:c r="G73" s="46"/>
      <x:c r="H73" s="46"/>
      <x:c r="I73" s="46"/>
      <x:c r="J73" s="46"/>
      <x:c r="K73" s="46"/>
      <x:c r="L73" s="46"/>
      <x:c r="M73" s="46"/>
      <x:c r="N73" s="46"/>
      <x:c r="O73" s="46"/>
      <x:c r="P73" s="46"/>
      <x:c r="Q73" s="46"/>
      <x:c r="R73" s="46"/>
      <x:c r="S73" s="46"/>
      <x:c r="T73" s="46"/>
      <x:c r="U73" s="46"/>
      <x:c r="V73" s="46"/>
      <x:c r="W73" s="46"/>
      <x:c r="X73" s="46"/>
    </x:row>
    <x:row r="74">
      <x:c r="A74" s="46"/>
      <x:c r="B74" s="46"/>
      <x:c r="C74" s="46"/>
      <x:c r="D74" s="46"/>
      <x:c r="E74" s="46"/>
      <x:c r="F74" s="46"/>
      <x:c r="G74" s="46"/>
      <x:c r="H74" s="46"/>
      <x:c r="I74" s="46"/>
      <x:c r="J74" s="46"/>
      <x:c r="K74" s="46"/>
      <x:c r="L74" s="46"/>
      <x:c r="M74" s="46"/>
      <x:c r="N74" s="46"/>
      <x:c r="O74" s="46"/>
      <x:c r="P74" s="46"/>
      <x:c r="Q74" s="46"/>
      <x:c r="R74" s="46"/>
      <x:c r="S74" s="46"/>
      <x:c r="T74" s="46"/>
      <x:c r="U74" s="46"/>
      <x:c r="V74" s="46"/>
      <x:c r="W74" s="46"/>
      <x:c r="X74" s="46"/>
    </x:row>
    <x:row r="75">
      <x:c r="A75" s="46"/>
      <x:c r="B75" s="46"/>
      <x:c r="C75" s="46"/>
      <x:c r="D75" s="46"/>
      <x:c r="E75" s="46"/>
      <x:c r="F75" s="46"/>
      <x:c r="G75" s="46"/>
      <x:c r="H75" s="46"/>
      <x:c r="I75" s="46"/>
      <x:c r="J75" s="46"/>
      <x:c r="K75" s="46"/>
      <x:c r="L75" s="46"/>
      <x:c r="M75" s="46"/>
      <x:c r="N75" s="46"/>
      <x:c r="O75" s="46"/>
      <x:c r="P75" s="46"/>
      <x:c r="Q75" s="46"/>
      <x:c r="R75" s="46"/>
      <x:c r="S75" s="46"/>
      <x:c r="T75" s="46"/>
      <x:c r="U75" s="46"/>
      <x:c r="V75" s="46"/>
      <x:c r="W75" s="46"/>
      <x:c r="X75" s="46"/>
    </x:row>
    <x:row r="76">
      <x:c r="A76" s="46"/>
      <x:c r="B76" s="46"/>
      <x:c r="C76" s="46"/>
      <x:c r="D76" s="46"/>
      <x:c r="E76" s="46"/>
      <x:c r="F76" s="46"/>
      <x:c r="G76" s="46"/>
      <x:c r="H76" s="46"/>
      <x:c r="I76" s="46"/>
      <x:c r="J76" s="46"/>
      <x:c r="K76" s="46"/>
      <x:c r="L76" s="46"/>
      <x:c r="M76" s="46"/>
      <x:c r="N76" s="46"/>
      <x:c r="O76" s="46"/>
      <x:c r="P76" s="46"/>
      <x:c r="Q76" s="46"/>
      <x:c r="R76" s="46"/>
      <x:c r="S76" s="46"/>
      <x:c r="T76" s="46"/>
      <x:c r="U76" s="46"/>
      <x:c r="V76" s="46"/>
      <x:c r="W76" s="46"/>
      <x:c r="X76" s="46"/>
    </x:row>
    <x:row r="77">
      <x:c r="A77" s="46"/>
      <x:c r="B77" s="46"/>
      <x:c r="C77" s="46"/>
      <x:c r="D77" s="46"/>
      <x:c r="E77" s="46"/>
      <x:c r="F77" s="46"/>
      <x:c r="G77" s="46"/>
      <x:c r="H77" s="46"/>
      <x:c r="I77" s="46"/>
      <x:c r="J77" s="46"/>
      <x:c r="K77" s="46"/>
      <x:c r="L77" s="46"/>
      <x:c r="M77" s="46"/>
      <x:c r="N77" s="46"/>
      <x:c r="O77" s="46"/>
      <x:c r="P77" s="46"/>
      <x:c r="Q77" s="46"/>
      <x:c r="R77" s="46"/>
      <x:c r="S77" s="46"/>
      <x:c r="T77" s="46"/>
      <x:c r="U77" s="46"/>
      <x:c r="V77" s="46"/>
      <x:c r="W77" s="46"/>
      <x:c r="X77" s="46"/>
    </x:row>
    <x:row r="78">
      <x:c r="A78" s="46"/>
      <x:c r="B78" s="46"/>
      <x:c r="C78" s="46"/>
      <x:c r="D78" s="46"/>
      <x:c r="E78" s="46"/>
      <x:c r="F78" s="46"/>
      <x:c r="G78" s="46"/>
      <x:c r="H78" s="46"/>
      <x:c r="I78" s="46"/>
      <x:c r="J78" s="46"/>
      <x:c r="K78" s="46"/>
      <x:c r="L78" s="46"/>
      <x:c r="M78" s="46"/>
      <x:c r="N78" s="46"/>
      <x:c r="O78" s="46"/>
      <x:c r="P78" s="46"/>
      <x:c r="Q78" s="46"/>
      <x:c r="R78" s="46"/>
      <x:c r="S78" s="46"/>
      <x:c r="T78" s="46"/>
      <x:c r="U78" s="46"/>
      <x:c r="V78" s="46"/>
      <x:c r="W78" s="46"/>
      <x:c r="X78" s="46"/>
    </x:row>
    <x:row r="79">
      <x:c r="A79" s="46"/>
      <x:c r="B79" s="46"/>
      <x:c r="C79" s="46"/>
      <x:c r="D79" s="46"/>
      <x:c r="E79" s="46"/>
      <x:c r="F79" s="46"/>
      <x:c r="G79" s="46"/>
      <x:c r="H79" s="46"/>
      <x:c r="I79" s="46"/>
      <x:c r="J79" s="46"/>
      <x:c r="K79" s="46"/>
      <x:c r="L79" s="46"/>
      <x:c r="M79" s="46"/>
      <x:c r="N79" s="46"/>
      <x:c r="O79" s="46"/>
      <x:c r="P79" s="46"/>
      <x:c r="Q79" s="46"/>
      <x:c r="R79" s="46"/>
      <x:c r="S79" s="46"/>
      <x:c r="T79" s="46"/>
      <x:c r="U79" s="46"/>
      <x:c r="V79" s="46"/>
      <x:c r="W79" s="46"/>
      <x:c r="X79" s="46"/>
    </x:row>
    <x:row r="80">
      <x:c r="A80" s="46"/>
      <x:c r="B80" s="46"/>
      <x:c r="C80" s="46"/>
      <x:c r="D80" s="46"/>
      <x:c r="E80" s="46"/>
      <x:c r="F80" s="46"/>
      <x:c r="G80" s="46"/>
      <x:c r="H80" s="46"/>
      <x:c r="I80" s="46"/>
      <x:c r="J80" s="46"/>
      <x:c r="K80" s="46"/>
      <x:c r="L80" s="46"/>
      <x:c r="M80" s="46"/>
      <x:c r="N80" s="46"/>
      <x:c r="O80" s="46"/>
      <x:c r="P80" s="46"/>
      <x:c r="Q80" s="46"/>
      <x:c r="R80" s="46"/>
      <x:c r="S80" s="46"/>
      <x:c r="T80" s="46"/>
      <x:c r="U80" s="46"/>
      <x:c r="V80" s="46"/>
      <x:c r="W80" s="46"/>
      <x:c r="X80" s="46"/>
    </x:row>
  </x:sheetData>
  <x:mergeCells>
    <x:mergeCell ref="A1:H1"/>
    <x:mergeCell ref="A12:H12"/>
  </x:mergeCells>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65" hidden="0" customWidth="1"/>
  </x:cols>
  <x:sheetData>
    <x:row r="1">
      <x:c r="A1" s="12" t="str">
        <x:v>Source</x:v>
      </x:c>
      <x:c r="B1" s="12" t="str">
        <x:v>Type</x:v>
      </x:c>
      <x:c r="C1" s="12" t="str">
        <x:v>Use in workbook/thesis</x:v>
      </x:c>
      <x:c r="D1" s="12" t="str">
        <x:v>URL / provenance</x:v>
      </x:c>
      <x:c r="E1" s="46"/>
      <x:c r="F1" s="46"/>
      <x:c r="G1" s="46"/>
      <x:c r="H1" s="46"/>
      <x:c r="I1" s="46"/>
      <x:c r="J1" s="46"/>
      <x:c r="K1" s="46"/>
      <x:c r="L1" s="46"/>
      <x:c r="M1" s="46"/>
      <x:c r="N1" s="46"/>
      <x:c r="O1" s="46"/>
      <x:c r="P1" s="46"/>
      <x:c r="Q1" s="46"/>
      <x:c r="R1" s="46"/>
      <x:c r="S1" s="46"/>
      <x:c r="T1" s="46"/>
      <x:c r="U1" s="46"/>
      <x:c r="V1" s="46"/>
      <x:c r="W1" s="46"/>
      <x:c r="X1" s="46"/>
    </x:row>
    <x:row r="2">
      <x:c r="A2" s="47" t="str">
        <x:v>Latest full experimental log</x:v>
      </x:c>
      <x:c r="B2" s="47" t="str">
        <x:v>Primary experimental data</x:v>
      </x:c>
      <x:c r="C2" s="47" t="str">
        <x:v>X/Y/+Z selected records and integrity evidence</x:v>
      </x:c>
      <x:c r="D2" s="47" t="str">
        <x:v>Pasted text(20260817-104409).txt</x:v>
      </x:c>
      <x:c r="E2" s="46"/>
      <x:c r="F2" s="46"/>
      <x:c r="G2" s="46"/>
      <x:c r="H2" s="46"/>
      <x:c r="I2" s="46"/>
      <x:c r="J2" s="46"/>
      <x:c r="K2" s="46"/>
      <x:c r="L2" s="46"/>
      <x:c r="M2" s="46"/>
      <x:c r="N2" s="46"/>
      <x:c r="O2" s="46"/>
      <x:c r="P2" s="46"/>
      <x:c r="Q2" s="46"/>
      <x:c r="R2" s="46"/>
      <x:c r="S2" s="46"/>
      <x:c r="T2" s="46"/>
      <x:c r="U2" s="46"/>
      <x:c r="V2" s="46"/>
      <x:c r="W2" s="46"/>
      <x:c r="X2" s="46"/>
    </x:row>
    <x:row r="3">
      <x:c r="A3" s="47" t="str">
        <x:v>Latest ADXL1 −Z rerun</x:v>
      </x:c>
      <x:c r="B3" s="47" t="str">
        <x:v>Primary experimental data</x:v>
      </x:c>
      <x:c r="C3" s="47" t="str">
        <x:v>Replaces earlier ADXL1 −Z for coefficient identification</x:v>
      </x:c>
      <x:c r="D3" s="47" t="str">
        <x:v>Conversation result immediately preceding this workbook</x:v>
      </x:c>
      <x:c r="E3" s="46"/>
      <x:c r="F3" s="46"/>
      <x:c r="G3" s="46"/>
      <x:c r="H3" s="46"/>
      <x:c r="I3" s="46"/>
      <x:c r="J3" s="46"/>
      <x:c r="K3" s="46"/>
      <x:c r="L3" s="46"/>
      <x:c r="M3" s="46"/>
      <x:c r="N3" s="46"/>
      <x:c r="O3" s="46"/>
      <x:c r="P3" s="46"/>
      <x:c r="Q3" s="46"/>
      <x:c r="R3" s="46"/>
      <x:c r="S3" s="46"/>
      <x:c r="T3" s="46"/>
      <x:c r="U3" s="46"/>
      <x:c r="V3" s="46"/>
      <x:c r="W3" s="46"/>
      <x:c r="X3" s="46"/>
    </x:row>
    <x:row r="4">
      <x:c r="A4" s="47" t="str">
        <x:v>Latest ADXL2 −Z rerun</x:v>
      </x:c>
      <x:c r="B4" s="47" t="str">
        <x:v>Primary experimental data</x:v>
      </x:c>
      <x:c r="C4" s="47" t="str">
        <x:v>Replaces earlier ADXL2 −Z for coefficient identification</x:v>
      </x:c>
      <x:c r="D4" s="47" t="str">
        <x:v>Conversation result immediately preceding ADXL1 −Z rerun</x:v>
      </x:c>
      <x:c r="E4" s="46"/>
      <x:c r="F4" s="46"/>
      <x:c r="G4" s="46"/>
      <x:c r="H4" s="46"/>
      <x:c r="I4" s="46"/>
      <x:c r="J4" s="46"/>
      <x:c r="K4" s="46"/>
      <x:c r="L4" s="46"/>
      <x:c r="M4" s="46"/>
      <x:c r="N4" s="46"/>
      <x:c r="O4" s="46"/>
      <x:c r="P4" s="46"/>
      <x:c r="Q4" s="46"/>
      <x:c r="R4" s="46"/>
      <x:c r="S4" s="46"/>
      <x:c r="T4" s="46"/>
      <x:c r="U4" s="46"/>
      <x:c r="V4" s="46"/>
      <x:c r="W4" s="46"/>
      <x:c r="X4" s="46"/>
    </x:row>
    <x:row r="5">
      <x:c r="A5" s="47" t="str">
        <x:v>ADXL345 Rev. G datasheet</x:v>
      </x:c>
      <x:c r="B5" s="47" t="str">
        <x:v>Manufacturer primary source</x:v>
      </x:c>
      <x:c r="C5" s="47" t="str">
        <x:v>Full-resolution scale, offset registers, calibration discussion</x:v>
      </x:c>
      <x:c r="D5" s="47" t="str">
        <x:v>https://www.analog.com/media/en/technical-documentation/data-sheets/adxl345.pdf</x:v>
      </x:c>
      <x:c r="E5" s="46"/>
      <x:c r="F5" s="46"/>
      <x:c r="G5" s="46"/>
      <x:c r="H5" s="46"/>
      <x:c r="I5" s="46"/>
      <x:c r="J5" s="46"/>
      <x:c r="K5" s="46"/>
      <x:c r="L5" s="46"/>
      <x:c r="M5" s="46"/>
      <x:c r="N5" s="46"/>
      <x:c r="O5" s="46"/>
      <x:c r="P5" s="46"/>
      <x:c r="Q5" s="46"/>
      <x:c r="R5" s="46"/>
      <x:c r="S5" s="46"/>
      <x:c r="T5" s="46"/>
      <x:c r="U5" s="46"/>
      <x:c r="V5" s="46"/>
      <x:c r="W5" s="46"/>
      <x:c r="X5" s="46"/>
    </x:row>
    <x:row r="6">
      <x:c r="A6" s="47" t="str">
        <x:v>AN-1057</x:v>
      </x:c>
      <x:c r="B6" s="47" t="str">
        <x:v>Manufacturer application note</x:v>
      </x:c>
      <x:c r="C6" s="47" t="str">
        <x:v>Gravity projection, offset/sensitivity mismatch context</x:v>
      </x:c>
      <x:c r="D6" s="47" t="str">
        <x:v>https://www.analog.com/en/resources/app-notes/an-1057.html</x:v>
      </x:c>
      <x:c r="E6" s="46"/>
      <x:c r="F6" s="46"/>
      <x:c r="G6" s="46"/>
      <x:c r="H6" s="46"/>
      <x:c r="I6" s="46"/>
      <x:c r="J6" s="46"/>
      <x:c r="K6" s="46"/>
      <x:c r="L6" s="46"/>
      <x:c r="M6" s="46"/>
      <x:c r="N6" s="46"/>
      <x:c r="O6" s="46"/>
      <x:c r="P6" s="46"/>
      <x:c r="Q6" s="46"/>
      <x:c r="R6" s="46"/>
      <x:c r="S6" s="46"/>
      <x:c r="T6" s="46"/>
      <x:c r="U6" s="46"/>
      <x:c r="V6" s="46"/>
      <x:c r="W6" s="46"/>
      <x:c r="X6" s="46"/>
    </x:row>
    <x:row r="7">
      <x:c r="A7" s="46"/>
      <x:c r="B7" s="46"/>
      <x:c r="C7" s="46"/>
      <x:c r="D7" s="46"/>
      <x:c r="E7" s="46"/>
      <x:c r="F7" s="46"/>
      <x:c r="G7" s="46"/>
      <x:c r="H7" s="46"/>
      <x:c r="I7" s="46"/>
      <x:c r="J7" s="46"/>
      <x:c r="K7" s="46"/>
      <x:c r="L7" s="46"/>
      <x:c r="M7" s="46"/>
      <x:c r="N7" s="46"/>
      <x:c r="O7" s="46"/>
      <x:c r="P7" s="46"/>
      <x:c r="Q7" s="46"/>
      <x:c r="R7" s="46"/>
      <x:c r="S7" s="46"/>
      <x:c r="T7" s="46"/>
      <x:c r="U7" s="46"/>
      <x:c r="V7" s="46"/>
      <x:c r="W7" s="46"/>
      <x:c r="X7" s="46"/>
    </x:row>
    <x:row r="8">
      <x:c r="A8" s="46"/>
      <x:c r="B8" s="46"/>
      <x:c r="C8" s="46"/>
      <x:c r="D8" s="46"/>
      <x:c r="E8" s="46"/>
      <x:c r="F8" s="46"/>
      <x:c r="G8" s="46"/>
      <x:c r="H8" s="46"/>
      <x:c r="I8" s="46"/>
      <x:c r="J8" s="46"/>
      <x:c r="K8" s="46"/>
      <x:c r="L8" s="46"/>
      <x:c r="M8" s="46"/>
      <x:c r="N8" s="46"/>
      <x:c r="O8" s="46"/>
      <x:c r="P8" s="46"/>
      <x:c r="Q8" s="46"/>
      <x:c r="R8" s="46"/>
      <x:c r="S8" s="46"/>
      <x:c r="T8" s="46"/>
      <x:c r="U8" s="46"/>
      <x:c r="V8" s="46"/>
      <x:c r="W8" s="46"/>
      <x:c r="X8" s="46"/>
    </x:row>
    <x:row r="9">
      <x:c r="A9" s="46"/>
      <x:c r="B9" s="46"/>
      <x:c r="C9" s="46"/>
      <x:c r="D9" s="46"/>
      <x:c r="E9" s="46"/>
      <x:c r="F9" s="46"/>
      <x:c r="G9" s="46"/>
      <x:c r="H9" s="46"/>
      <x:c r="I9" s="46"/>
      <x:c r="J9" s="46"/>
      <x:c r="K9" s="46"/>
      <x:c r="L9" s="46"/>
      <x:c r="M9" s="46"/>
      <x:c r="N9" s="46"/>
      <x:c r="O9" s="46"/>
      <x:c r="P9" s="46"/>
      <x:c r="Q9" s="46"/>
      <x:c r="R9" s="46"/>
      <x:c r="S9" s="46"/>
      <x:c r="T9" s="46"/>
      <x:c r="U9" s="46"/>
      <x:c r="V9" s="46"/>
      <x:c r="W9" s="46"/>
      <x:c r="X9" s="46"/>
    </x:row>
    <x:row r="10">
      <x:c r="A10" s="46"/>
      <x:c r="B10" s="46"/>
      <x:c r="C10" s="46"/>
      <x:c r="D10" s="46"/>
      <x:c r="E10" s="46"/>
      <x:c r="F10" s="46"/>
      <x:c r="G10" s="46"/>
      <x:c r="H10" s="46"/>
      <x:c r="I10" s="46"/>
      <x:c r="J10" s="46"/>
      <x:c r="K10" s="46"/>
      <x:c r="L10" s="46"/>
      <x:c r="M10" s="46"/>
      <x:c r="N10" s="46"/>
      <x:c r="O10" s="46"/>
      <x:c r="P10" s="46"/>
      <x:c r="Q10" s="46"/>
      <x:c r="R10" s="46"/>
      <x:c r="S10" s="46"/>
      <x:c r="T10" s="46"/>
      <x:c r="U10" s="46"/>
      <x:c r="V10" s="46"/>
      <x:c r="W10" s="46"/>
      <x:c r="X10" s="46"/>
    </x:row>
    <x:row r="11">
      <x:c r="A11" s="46"/>
      <x:c r="B11" s="46"/>
      <x:c r="C11" s="46"/>
      <x:c r="D11" s="46"/>
      <x:c r="E11" s="46"/>
      <x:c r="F11" s="46"/>
      <x:c r="G11" s="46"/>
      <x:c r="H11" s="46"/>
      <x:c r="I11" s="46"/>
      <x:c r="J11" s="46"/>
      <x:c r="K11" s="46"/>
      <x:c r="L11" s="46"/>
      <x:c r="M11" s="46"/>
      <x:c r="N11" s="46"/>
      <x:c r="O11" s="46"/>
      <x:c r="P11" s="46"/>
      <x:c r="Q11" s="46"/>
      <x:c r="R11" s="46"/>
      <x:c r="S11" s="46"/>
      <x:c r="T11" s="46"/>
      <x:c r="U11" s="46"/>
      <x:c r="V11" s="46"/>
      <x:c r="W11" s="46"/>
      <x:c r="X11" s="46"/>
    </x:row>
    <x:row r="12">
      <x:c r="A12" s="46"/>
      <x:c r="B12" s="46"/>
      <x:c r="C12" s="46"/>
      <x:c r="D12" s="46"/>
      <x:c r="E12" s="46"/>
      <x:c r="F12" s="46"/>
      <x:c r="G12" s="46"/>
      <x:c r="H12" s="46"/>
      <x:c r="I12" s="46"/>
      <x:c r="J12" s="46"/>
      <x:c r="K12" s="46"/>
      <x:c r="L12" s="46"/>
      <x:c r="M12" s="46"/>
      <x:c r="N12" s="46"/>
      <x:c r="O12" s="46"/>
      <x:c r="P12" s="46"/>
      <x:c r="Q12" s="46"/>
      <x:c r="R12" s="46"/>
      <x:c r="S12" s="46"/>
      <x:c r="T12" s="46"/>
      <x:c r="U12" s="46"/>
      <x:c r="V12" s="46"/>
      <x:c r="W12" s="46"/>
      <x:c r="X12" s="46"/>
    </x:row>
    <x:row r="13">
      <x:c r="A13" s="46"/>
      <x:c r="B13" s="46"/>
      <x:c r="C13" s="46"/>
      <x:c r="D13" s="46"/>
      <x:c r="E13" s="46"/>
      <x:c r="F13" s="46"/>
      <x:c r="G13" s="46"/>
      <x:c r="H13" s="46"/>
      <x:c r="I13" s="46"/>
      <x:c r="J13" s="46"/>
      <x:c r="K13" s="46"/>
      <x:c r="L13" s="46"/>
      <x:c r="M13" s="46"/>
      <x:c r="N13" s="46"/>
      <x:c r="O13" s="46"/>
      <x:c r="P13" s="46"/>
      <x:c r="Q13" s="46"/>
      <x:c r="R13" s="46"/>
      <x:c r="S13" s="46"/>
      <x:c r="T13" s="46"/>
      <x:c r="U13" s="46"/>
      <x:c r="V13" s="46"/>
      <x:c r="W13" s="46"/>
      <x:c r="X13" s="46"/>
    </x:row>
    <x:row r="14">
      <x:c r="A14" s="46"/>
      <x:c r="B14" s="46"/>
      <x:c r="C14" s="46"/>
      <x:c r="D14" s="46"/>
      <x:c r="E14" s="46"/>
      <x:c r="F14" s="46"/>
      <x:c r="G14" s="46"/>
      <x:c r="H14" s="46"/>
      <x:c r="I14" s="46"/>
      <x:c r="J14" s="46"/>
      <x:c r="K14" s="46"/>
      <x:c r="L14" s="46"/>
      <x:c r="M14" s="46"/>
      <x:c r="N14" s="46"/>
      <x:c r="O14" s="46"/>
      <x:c r="P14" s="46"/>
      <x:c r="Q14" s="46"/>
      <x:c r="R14" s="46"/>
      <x:c r="S14" s="46"/>
      <x:c r="T14" s="46"/>
      <x:c r="U14" s="46"/>
      <x:c r="V14" s="46"/>
      <x:c r="W14" s="46"/>
      <x:c r="X14" s="46"/>
    </x:row>
    <x:row r="15">
      <x:c r="A15" s="46"/>
      <x:c r="B15" s="46"/>
      <x:c r="C15" s="46"/>
      <x:c r="D15" s="46"/>
      <x:c r="E15" s="46"/>
      <x:c r="F15" s="46"/>
      <x:c r="G15" s="46"/>
      <x:c r="H15" s="46"/>
      <x:c r="I15" s="46"/>
      <x:c r="J15" s="46"/>
      <x:c r="K15" s="46"/>
      <x:c r="L15" s="46"/>
      <x:c r="M15" s="46"/>
      <x:c r="N15" s="46"/>
      <x:c r="O15" s="46"/>
      <x:c r="P15" s="46"/>
      <x:c r="Q15" s="46"/>
      <x:c r="R15" s="46"/>
      <x:c r="S15" s="46"/>
      <x:c r="T15" s="46"/>
      <x:c r="U15" s="46"/>
      <x:c r="V15" s="46"/>
      <x:c r="W15" s="46"/>
      <x:c r="X15" s="46"/>
    </x:row>
    <x:row r="16">
      <x:c r="A16" s="46"/>
      <x:c r="B16" s="46"/>
      <x:c r="C16" s="46"/>
      <x:c r="D16" s="46"/>
      <x:c r="E16" s="46"/>
      <x:c r="F16" s="46"/>
      <x:c r="G16" s="46"/>
      <x:c r="H16" s="46"/>
      <x:c r="I16" s="46"/>
      <x:c r="J16" s="46"/>
      <x:c r="K16" s="46"/>
      <x:c r="L16" s="46"/>
      <x:c r="M16" s="46"/>
      <x:c r="N16" s="46"/>
      <x:c r="O16" s="46"/>
      <x:c r="P16" s="46"/>
      <x:c r="Q16" s="46"/>
      <x:c r="R16" s="46"/>
      <x:c r="S16" s="46"/>
      <x:c r="T16" s="46"/>
      <x:c r="U16" s="46"/>
      <x:c r="V16" s="46"/>
      <x:c r="W16" s="46"/>
      <x:c r="X16" s="46"/>
    </x:row>
    <x:row r="17">
      <x:c r="A17" s="46"/>
      <x:c r="B17" s="46"/>
      <x:c r="C17" s="46"/>
      <x:c r="D17" s="46"/>
      <x:c r="E17" s="46"/>
      <x:c r="F17" s="46"/>
      <x:c r="G17" s="46"/>
      <x:c r="H17" s="46"/>
      <x:c r="I17" s="46"/>
      <x:c r="J17" s="46"/>
      <x:c r="K17" s="46"/>
      <x:c r="L17" s="46"/>
      <x:c r="M17" s="46"/>
      <x:c r="N17" s="46"/>
      <x:c r="O17" s="46"/>
      <x:c r="P17" s="46"/>
      <x:c r="Q17" s="46"/>
      <x:c r="R17" s="46"/>
      <x:c r="S17" s="46"/>
      <x:c r="T17" s="46"/>
      <x:c r="U17" s="46"/>
      <x:c r="V17" s="46"/>
      <x:c r="W17" s="46"/>
      <x:c r="X17" s="46"/>
    </x:row>
    <x:row r="18">
      <x:c r="A18" s="46"/>
      <x:c r="B18" s="46"/>
      <x:c r="C18" s="46"/>
      <x:c r="D18" s="46"/>
      <x:c r="E18" s="46"/>
      <x:c r="F18" s="46"/>
      <x:c r="G18" s="46"/>
      <x:c r="H18" s="46"/>
      <x:c r="I18" s="46"/>
      <x:c r="J18" s="46"/>
      <x:c r="K18" s="46"/>
      <x:c r="L18" s="46"/>
      <x:c r="M18" s="46"/>
      <x:c r="N18" s="46"/>
      <x:c r="O18" s="46"/>
      <x:c r="P18" s="46"/>
      <x:c r="Q18" s="46"/>
      <x:c r="R18" s="46"/>
      <x:c r="S18" s="46"/>
      <x:c r="T18" s="46"/>
      <x:c r="U18" s="46"/>
      <x:c r="V18" s="46"/>
      <x:c r="W18" s="46"/>
      <x:c r="X18" s="46"/>
    </x:row>
    <x:row r="19">
      <x:c r="A19" s="46"/>
      <x:c r="B19" s="46"/>
      <x:c r="C19" s="46"/>
      <x:c r="D19" s="46"/>
      <x:c r="E19" s="46"/>
      <x:c r="F19" s="46"/>
      <x:c r="G19" s="46"/>
      <x:c r="H19" s="46"/>
      <x:c r="I19" s="46"/>
      <x:c r="J19" s="46"/>
      <x:c r="K19" s="46"/>
      <x:c r="L19" s="46"/>
      <x:c r="M19" s="46"/>
      <x:c r="N19" s="46"/>
      <x:c r="O19" s="46"/>
      <x:c r="P19" s="46"/>
      <x:c r="Q19" s="46"/>
      <x:c r="R19" s="46"/>
      <x:c r="S19" s="46"/>
      <x:c r="T19" s="46"/>
      <x:c r="U19" s="46"/>
      <x:c r="V19" s="46"/>
      <x:c r="W19" s="46"/>
      <x:c r="X19" s="46"/>
    </x:row>
    <x:row r="20">
      <x:c r="A20" s="46"/>
      <x:c r="B20" s="46"/>
      <x:c r="C20" s="46"/>
      <x:c r="D20" s="46"/>
      <x:c r="E20" s="46"/>
      <x:c r="F20" s="46"/>
      <x:c r="G20" s="46"/>
      <x:c r="H20" s="46"/>
      <x:c r="I20" s="46"/>
      <x:c r="J20" s="46"/>
      <x:c r="K20" s="46"/>
      <x:c r="L20" s="46"/>
      <x:c r="M20" s="46"/>
      <x:c r="N20" s="46"/>
      <x:c r="O20" s="46"/>
      <x:c r="P20" s="46"/>
      <x:c r="Q20" s="46"/>
      <x:c r="R20" s="46"/>
      <x:c r="S20" s="46"/>
      <x:c r="T20" s="46"/>
      <x:c r="U20" s="46"/>
      <x:c r="V20" s="46"/>
      <x:c r="W20" s="46"/>
      <x:c r="X20" s="46"/>
    </x:row>
    <x:row r="21">
      <x:c r="A21" s="46"/>
      <x:c r="B21" s="46"/>
      <x:c r="C21" s="46"/>
      <x:c r="D21" s="46"/>
      <x:c r="E21" s="46"/>
      <x:c r="F21" s="46"/>
      <x:c r="G21" s="46"/>
      <x:c r="H21" s="46"/>
      <x:c r="I21" s="46"/>
      <x:c r="J21" s="46"/>
      <x:c r="K21" s="46"/>
      <x:c r="L21" s="46"/>
      <x:c r="M21" s="46"/>
      <x:c r="N21" s="46"/>
      <x:c r="O21" s="46"/>
      <x:c r="P21" s="46"/>
      <x:c r="Q21" s="46"/>
      <x:c r="R21" s="46"/>
      <x:c r="S21" s="46"/>
      <x:c r="T21" s="46"/>
      <x:c r="U21" s="46"/>
      <x:c r="V21" s="46"/>
      <x:c r="W21" s="46"/>
      <x:c r="X21" s="46"/>
    </x:row>
    <x:row r="22">
      <x:c r="A22" s="46"/>
      <x:c r="B22" s="46"/>
      <x:c r="C22" s="46"/>
      <x:c r="D22" s="46"/>
      <x:c r="E22" s="46"/>
      <x:c r="F22" s="46"/>
      <x:c r="G22" s="46"/>
      <x:c r="H22" s="46"/>
      <x:c r="I22" s="46"/>
      <x:c r="J22" s="46"/>
      <x:c r="K22" s="46"/>
      <x:c r="L22" s="46"/>
      <x:c r="M22" s="46"/>
      <x:c r="N22" s="46"/>
      <x:c r="O22" s="46"/>
      <x:c r="P22" s="46"/>
      <x:c r="Q22" s="46"/>
      <x:c r="R22" s="46"/>
      <x:c r="S22" s="46"/>
      <x:c r="T22" s="46"/>
      <x:c r="U22" s="46"/>
      <x:c r="V22" s="46"/>
      <x:c r="W22" s="46"/>
      <x:c r="X22" s="46"/>
    </x:row>
    <x:row r="23">
      <x:c r="A23" s="46"/>
      <x:c r="B23" s="46"/>
      <x:c r="C23" s="46"/>
      <x:c r="D23" s="46"/>
      <x:c r="E23" s="46"/>
      <x:c r="F23" s="46"/>
      <x:c r="G23" s="46"/>
      <x:c r="H23" s="46"/>
      <x:c r="I23" s="46"/>
      <x:c r="J23" s="46"/>
      <x:c r="K23" s="46"/>
      <x:c r="L23" s="46"/>
      <x:c r="M23" s="46"/>
      <x:c r="N23" s="46"/>
      <x:c r="O23" s="46"/>
      <x:c r="P23" s="46"/>
      <x:c r="Q23" s="46"/>
      <x:c r="R23" s="46"/>
      <x:c r="S23" s="46"/>
      <x:c r="T23" s="46"/>
      <x:c r="U23" s="46"/>
      <x:c r="V23" s="46"/>
      <x:c r="W23" s="46"/>
      <x:c r="X23" s="46"/>
    </x:row>
    <x:row r="24">
      <x:c r="A24" s="46"/>
      <x:c r="B24" s="46"/>
      <x:c r="C24" s="46"/>
      <x:c r="D24" s="46"/>
      <x:c r="E24" s="46"/>
      <x:c r="F24" s="46"/>
      <x:c r="G24" s="46"/>
      <x:c r="H24" s="46"/>
      <x:c r="I24" s="46"/>
      <x:c r="J24" s="46"/>
      <x:c r="K24" s="46"/>
      <x:c r="L24" s="46"/>
      <x:c r="M24" s="46"/>
      <x:c r="N24" s="46"/>
      <x:c r="O24" s="46"/>
      <x:c r="P24" s="46"/>
      <x:c r="Q24" s="46"/>
      <x:c r="R24" s="46"/>
      <x:c r="S24" s="46"/>
      <x:c r="T24" s="46"/>
      <x:c r="U24" s="46"/>
      <x:c r="V24" s="46"/>
      <x:c r="W24" s="46"/>
      <x:c r="X24" s="46"/>
    </x:row>
    <x:row r="25">
      <x:c r="A25" s="46"/>
      <x:c r="B25" s="46"/>
      <x:c r="C25" s="46"/>
      <x:c r="D25" s="46"/>
      <x:c r="E25" s="46"/>
      <x:c r="F25" s="46"/>
      <x:c r="G25" s="46"/>
      <x:c r="H25" s="46"/>
      <x:c r="I25" s="46"/>
      <x:c r="J25" s="46"/>
      <x:c r="K25" s="46"/>
      <x:c r="L25" s="46"/>
      <x:c r="M25" s="46"/>
      <x:c r="N25" s="46"/>
      <x:c r="O25" s="46"/>
      <x:c r="P25" s="46"/>
      <x:c r="Q25" s="46"/>
      <x:c r="R25" s="46"/>
      <x:c r="S25" s="46"/>
      <x:c r="T25" s="46"/>
      <x:c r="U25" s="46"/>
      <x:c r="V25" s="46"/>
      <x:c r="W25" s="46"/>
      <x:c r="X25" s="46"/>
    </x:row>
    <x:row r="26">
      <x:c r="A26" s="46"/>
      <x:c r="B26" s="46"/>
      <x:c r="C26" s="46"/>
      <x:c r="D26" s="46"/>
      <x:c r="E26" s="46"/>
      <x:c r="F26" s="46"/>
      <x:c r="G26" s="46"/>
      <x:c r="H26" s="46"/>
      <x:c r="I26" s="46"/>
      <x:c r="J26" s="46"/>
      <x:c r="K26" s="46"/>
      <x:c r="L26" s="46"/>
      <x:c r="M26" s="46"/>
      <x:c r="N26" s="46"/>
      <x:c r="O26" s="46"/>
      <x:c r="P26" s="46"/>
      <x:c r="Q26" s="46"/>
      <x:c r="R26" s="46"/>
      <x:c r="S26" s="46"/>
      <x:c r="T26" s="46"/>
      <x:c r="U26" s="46"/>
      <x:c r="V26" s="46"/>
      <x:c r="W26" s="46"/>
      <x:c r="X26" s="46"/>
    </x:row>
    <x:row r="27">
      <x:c r="A27" s="46"/>
      <x:c r="B27" s="46"/>
      <x:c r="C27" s="46"/>
      <x:c r="D27" s="46"/>
      <x:c r="E27" s="46"/>
      <x:c r="F27" s="46"/>
      <x:c r="G27" s="46"/>
      <x:c r="H27" s="46"/>
      <x:c r="I27" s="46"/>
      <x:c r="J27" s="46"/>
      <x:c r="K27" s="46"/>
      <x:c r="L27" s="46"/>
      <x:c r="M27" s="46"/>
      <x:c r="N27" s="46"/>
      <x:c r="O27" s="46"/>
      <x:c r="P27" s="46"/>
      <x:c r="Q27" s="46"/>
      <x:c r="R27" s="46"/>
      <x:c r="S27" s="46"/>
      <x:c r="T27" s="46"/>
      <x:c r="U27" s="46"/>
      <x:c r="V27" s="46"/>
      <x:c r="W27" s="46"/>
      <x:c r="X27" s="46"/>
    </x:row>
    <x:row r="28">
      <x:c r="A28" s="46"/>
      <x:c r="B28" s="46"/>
      <x:c r="C28" s="46"/>
      <x:c r="D28" s="46"/>
      <x:c r="E28" s="46"/>
      <x:c r="F28" s="46"/>
      <x:c r="G28" s="46"/>
      <x:c r="H28" s="46"/>
      <x:c r="I28" s="46"/>
      <x:c r="J28" s="46"/>
      <x:c r="K28" s="46"/>
      <x:c r="L28" s="46"/>
      <x:c r="M28" s="46"/>
      <x:c r="N28" s="46"/>
      <x:c r="O28" s="46"/>
      <x:c r="P28" s="46"/>
      <x:c r="Q28" s="46"/>
      <x:c r="R28" s="46"/>
      <x:c r="S28" s="46"/>
      <x:c r="T28" s="46"/>
      <x:c r="U28" s="46"/>
      <x:c r="V28" s="46"/>
      <x:c r="W28" s="46"/>
      <x:c r="X28" s="46"/>
    </x:row>
    <x:row r="29">
      <x:c r="A29" s="46"/>
      <x:c r="B29" s="46"/>
      <x:c r="C29" s="46"/>
      <x:c r="D29" s="46"/>
      <x:c r="E29" s="46"/>
      <x:c r="F29" s="46"/>
      <x:c r="G29" s="46"/>
      <x:c r="H29" s="46"/>
      <x:c r="I29" s="46"/>
      <x:c r="J29" s="46"/>
      <x:c r="K29" s="46"/>
      <x:c r="L29" s="46"/>
      <x:c r="M29" s="46"/>
      <x:c r="N29" s="46"/>
      <x:c r="O29" s="46"/>
      <x:c r="P29" s="46"/>
      <x:c r="Q29" s="46"/>
      <x:c r="R29" s="46"/>
      <x:c r="S29" s="46"/>
      <x:c r="T29" s="46"/>
      <x:c r="U29" s="46"/>
      <x:c r="V29" s="46"/>
      <x:c r="W29" s="46"/>
      <x:c r="X29" s="46"/>
    </x:row>
    <x:row r="30">
      <x:c r="A30" s="46"/>
      <x:c r="B30" s="46"/>
      <x:c r="C30" s="46"/>
      <x:c r="D30" s="46"/>
      <x:c r="E30" s="46"/>
      <x:c r="F30" s="46"/>
      <x:c r="G30" s="46"/>
      <x:c r="H30" s="46"/>
      <x:c r="I30" s="46"/>
      <x:c r="J30" s="46"/>
      <x:c r="K30" s="46"/>
      <x:c r="L30" s="46"/>
      <x:c r="M30" s="46"/>
      <x:c r="N30" s="46"/>
      <x:c r="O30" s="46"/>
      <x:c r="P30" s="46"/>
      <x:c r="Q30" s="46"/>
      <x:c r="R30" s="46"/>
      <x:c r="S30" s="46"/>
      <x:c r="T30" s="46"/>
      <x:c r="U30" s="46"/>
      <x:c r="V30" s="46"/>
      <x:c r="W30" s="46"/>
      <x:c r="X30" s="46"/>
    </x:row>
    <x:row r="31">
      <x:c r="A31" s="46"/>
      <x:c r="B31" s="46"/>
      <x:c r="C31" s="46"/>
      <x:c r="D31" s="46"/>
      <x:c r="E31" s="46"/>
      <x:c r="F31" s="46"/>
      <x:c r="G31" s="46"/>
      <x:c r="H31" s="46"/>
      <x:c r="I31" s="46"/>
      <x:c r="J31" s="46"/>
      <x:c r="K31" s="46"/>
      <x:c r="L31" s="46"/>
      <x:c r="M31" s="46"/>
      <x:c r="N31" s="46"/>
      <x:c r="O31" s="46"/>
      <x:c r="P31" s="46"/>
      <x:c r="Q31" s="46"/>
      <x:c r="R31" s="46"/>
      <x:c r="S31" s="46"/>
      <x:c r="T31" s="46"/>
      <x:c r="U31" s="46"/>
      <x:c r="V31" s="46"/>
      <x:c r="W31" s="46"/>
      <x:c r="X31" s="46"/>
    </x:row>
    <x:row r="32">
      <x:c r="A32" s="46"/>
      <x:c r="B32" s="46"/>
      <x:c r="C32" s="46"/>
      <x:c r="D32" s="46"/>
      <x:c r="E32" s="46"/>
      <x:c r="F32" s="46"/>
      <x:c r="G32" s="46"/>
      <x:c r="H32" s="46"/>
      <x:c r="I32" s="46"/>
      <x:c r="J32" s="46"/>
      <x:c r="K32" s="46"/>
      <x:c r="L32" s="46"/>
      <x:c r="M32" s="46"/>
      <x:c r="N32" s="46"/>
      <x:c r="O32" s="46"/>
      <x:c r="P32" s="46"/>
      <x:c r="Q32" s="46"/>
      <x:c r="R32" s="46"/>
      <x:c r="S32" s="46"/>
      <x:c r="T32" s="46"/>
      <x:c r="U32" s="46"/>
      <x:c r="V32" s="46"/>
      <x:c r="W32" s="46"/>
      <x:c r="X32" s="46"/>
    </x:row>
    <x:row r="33">
      <x:c r="A33" s="46"/>
      <x:c r="B33" s="46"/>
      <x:c r="C33" s="46"/>
      <x:c r="D33" s="46"/>
      <x:c r="E33" s="46"/>
      <x:c r="F33" s="46"/>
      <x:c r="G33" s="46"/>
      <x:c r="H33" s="46"/>
      <x:c r="I33" s="46"/>
      <x:c r="J33" s="46"/>
      <x:c r="K33" s="46"/>
      <x:c r="L33" s="46"/>
      <x:c r="M33" s="46"/>
      <x:c r="N33" s="46"/>
      <x:c r="O33" s="46"/>
      <x:c r="P33" s="46"/>
      <x:c r="Q33" s="46"/>
      <x:c r="R33" s="46"/>
      <x:c r="S33" s="46"/>
      <x:c r="T33" s="46"/>
      <x:c r="U33" s="46"/>
      <x:c r="V33" s="46"/>
      <x:c r="W33" s="46"/>
      <x:c r="X33" s="46"/>
    </x:row>
    <x:row r="34">
      <x:c r="A34" s="46"/>
      <x:c r="B34" s="46"/>
      <x:c r="C34" s="46"/>
      <x:c r="D34" s="46"/>
      <x:c r="E34" s="46"/>
      <x:c r="F34" s="46"/>
      <x:c r="G34" s="46"/>
      <x:c r="H34" s="46"/>
      <x:c r="I34" s="46"/>
      <x:c r="J34" s="46"/>
      <x:c r="K34" s="46"/>
      <x:c r="L34" s="46"/>
      <x:c r="M34" s="46"/>
      <x:c r="N34" s="46"/>
      <x:c r="O34" s="46"/>
      <x:c r="P34" s="46"/>
      <x:c r="Q34" s="46"/>
      <x:c r="R34" s="46"/>
      <x:c r="S34" s="46"/>
      <x:c r="T34" s="46"/>
      <x:c r="U34" s="46"/>
      <x:c r="V34" s="46"/>
      <x:c r="W34" s="46"/>
      <x:c r="X34" s="46"/>
    </x:row>
    <x:row r="35">
      <x:c r="A35" s="46"/>
      <x:c r="B35" s="46"/>
      <x:c r="C35" s="46"/>
      <x:c r="D35" s="46"/>
      <x:c r="E35" s="46"/>
      <x:c r="F35" s="46"/>
      <x:c r="G35" s="46"/>
      <x:c r="H35" s="46"/>
      <x:c r="I35" s="46"/>
      <x:c r="J35" s="46"/>
      <x:c r="K35" s="46"/>
      <x:c r="L35" s="46"/>
      <x:c r="M35" s="46"/>
      <x:c r="N35" s="46"/>
      <x:c r="O35" s="46"/>
      <x:c r="P35" s="46"/>
      <x:c r="Q35" s="46"/>
      <x:c r="R35" s="46"/>
      <x:c r="S35" s="46"/>
      <x:c r="T35" s="46"/>
      <x:c r="U35" s="46"/>
      <x:c r="V35" s="46"/>
      <x:c r="W35" s="46"/>
      <x:c r="X35" s="46"/>
    </x:row>
    <x:row r="36">
      <x:c r="A36" s="46"/>
      <x:c r="B36" s="46"/>
      <x:c r="C36" s="46"/>
      <x:c r="D36" s="46"/>
      <x:c r="E36" s="46"/>
      <x:c r="F36" s="46"/>
      <x:c r="G36" s="46"/>
      <x:c r="H36" s="46"/>
      <x:c r="I36" s="46"/>
      <x:c r="J36" s="46"/>
      <x:c r="K36" s="46"/>
      <x:c r="L36" s="46"/>
      <x:c r="M36" s="46"/>
      <x:c r="N36" s="46"/>
      <x:c r="O36" s="46"/>
      <x:c r="P36" s="46"/>
      <x:c r="Q36" s="46"/>
      <x:c r="R36" s="46"/>
      <x:c r="S36" s="46"/>
      <x:c r="T36" s="46"/>
      <x:c r="U36" s="46"/>
      <x:c r="V36" s="46"/>
      <x:c r="W36" s="46"/>
      <x:c r="X36" s="46"/>
    </x:row>
    <x:row r="37">
      <x:c r="A37" s="46"/>
      <x:c r="B37" s="46"/>
      <x:c r="C37" s="46"/>
      <x:c r="D37" s="46"/>
      <x:c r="E37" s="46"/>
      <x:c r="F37" s="46"/>
      <x:c r="G37" s="46"/>
      <x:c r="H37" s="46"/>
      <x:c r="I37" s="46"/>
      <x:c r="J37" s="46"/>
      <x:c r="K37" s="46"/>
      <x:c r="L37" s="46"/>
      <x:c r="M37" s="46"/>
      <x:c r="N37" s="46"/>
      <x:c r="O37" s="46"/>
      <x:c r="P37" s="46"/>
      <x:c r="Q37" s="46"/>
      <x:c r="R37" s="46"/>
      <x:c r="S37" s="46"/>
      <x:c r="T37" s="46"/>
      <x:c r="U37" s="46"/>
      <x:c r="V37" s="46"/>
      <x:c r="W37" s="46"/>
      <x:c r="X37" s="46"/>
    </x:row>
    <x:row r="38">
      <x:c r="A38" s="46"/>
      <x:c r="B38" s="46"/>
      <x:c r="C38" s="46"/>
      <x:c r="D38" s="46"/>
      <x:c r="E38" s="46"/>
      <x:c r="F38" s="46"/>
      <x:c r="G38" s="46"/>
      <x:c r="H38" s="46"/>
      <x:c r="I38" s="46"/>
      <x:c r="J38" s="46"/>
      <x:c r="K38" s="46"/>
      <x:c r="L38" s="46"/>
      <x:c r="M38" s="46"/>
      <x:c r="N38" s="46"/>
      <x:c r="O38" s="46"/>
      <x:c r="P38" s="46"/>
      <x:c r="Q38" s="46"/>
      <x:c r="R38" s="46"/>
      <x:c r="S38" s="46"/>
      <x:c r="T38" s="46"/>
      <x:c r="U38" s="46"/>
      <x:c r="V38" s="46"/>
      <x:c r="W38" s="46"/>
      <x:c r="X38" s="46"/>
    </x:row>
    <x:row r="39">
      <x:c r="A39" s="46"/>
      <x:c r="B39" s="46"/>
      <x:c r="C39" s="46"/>
      <x:c r="D39" s="46"/>
      <x:c r="E39" s="46"/>
      <x:c r="F39" s="46"/>
      <x:c r="G39" s="46"/>
      <x:c r="H39" s="46"/>
      <x:c r="I39" s="46"/>
      <x:c r="J39" s="46"/>
      <x:c r="K39" s="46"/>
      <x:c r="L39" s="46"/>
      <x:c r="M39" s="46"/>
      <x:c r="N39" s="46"/>
      <x:c r="O39" s="46"/>
      <x:c r="P39" s="46"/>
      <x:c r="Q39" s="46"/>
      <x:c r="R39" s="46"/>
      <x:c r="S39" s="46"/>
      <x:c r="T39" s="46"/>
      <x:c r="U39" s="46"/>
      <x:c r="V39" s="46"/>
      <x:c r="W39" s="46"/>
      <x:c r="X39" s="46"/>
    </x:row>
    <x:row r="40">
      <x:c r="A40" s="46"/>
      <x:c r="B40" s="46"/>
      <x:c r="C40" s="46"/>
      <x:c r="D40" s="46"/>
      <x:c r="E40" s="46"/>
      <x:c r="F40" s="46"/>
      <x:c r="G40" s="46"/>
      <x:c r="H40" s="46"/>
      <x:c r="I40" s="46"/>
      <x:c r="J40" s="46"/>
      <x:c r="K40" s="46"/>
      <x:c r="L40" s="46"/>
      <x:c r="M40" s="46"/>
      <x:c r="N40" s="46"/>
      <x:c r="O40" s="46"/>
      <x:c r="P40" s="46"/>
      <x:c r="Q40" s="46"/>
      <x:c r="R40" s="46"/>
      <x:c r="S40" s="46"/>
      <x:c r="T40" s="46"/>
      <x:c r="U40" s="46"/>
      <x:c r="V40" s="46"/>
      <x:c r="W40" s="46"/>
      <x:c r="X40" s="46"/>
    </x:row>
    <x:row r="41">
      <x:c r="A41" s="46"/>
      <x:c r="B41" s="46"/>
      <x:c r="C41" s="46"/>
      <x:c r="D41" s="46"/>
      <x:c r="E41" s="46"/>
      <x:c r="F41" s="46"/>
      <x:c r="G41" s="46"/>
      <x:c r="H41" s="46"/>
      <x:c r="I41" s="46"/>
      <x:c r="J41" s="46"/>
      <x:c r="K41" s="46"/>
      <x:c r="L41" s="46"/>
      <x:c r="M41" s="46"/>
      <x:c r="N41" s="46"/>
      <x:c r="O41" s="46"/>
      <x:c r="P41" s="46"/>
      <x:c r="Q41" s="46"/>
      <x:c r="R41" s="46"/>
      <x:c r="S41" s="46"/>
      <x:c r="T41" s="46"/>
      <x:c r="U41" s="46"/>
      <x:c r="V41" s="46"/>
      <x:c r="W41" s="46"/>
      <x:c r="X41" s="46"/>
    </x:row>
    <x:row r="42">
      <x:c r="A42" s="46"/>
      <x:c r="B42" s="46"/>
      <x:c r="C42" s="46"/>
      <x:c r="D42" s="46"/>
      <x:c r="E42" s="46"/>
      <x:c r="F42" s="46"/>
      <x:c r="G42" s="46"/>
      <x:c r="H42" s="46"/>
      <x:c r="I42" s="46"/>
      <x:c r="J42" s="46"/>
      <x:c r="K42" s="46"/>
      <x:c r="L42" s="46"/>
      <x:c r="M42" s="46"/>
      <x:c r="N42" s="46"/>
      <x:c r="O42" s="46"/>
      <x:c r="P42" s="46"/>
      <x:c r="Q42" s="46"/>
      <x:c r="R42" s="46"/>
      <x:c r="S42" s="46"/>
      <x:c r="T42" s="46"/>
      <x:c r="U42" s="46"/>
      <x:c r="V42" s="46"/>
      <x:c r="W42" s="46"/>
      <x:c r="X42" s="46"/>
    </x:row>
    <x:row r="43">
      <x:c r="A43" s="46"/>
      <x:c r="B43" s="46"/>
      <x:c r="C43" s="46"/>
      <x:c r="D43" s="46"/>
      <x:c r="E43" s="46"/>
      <x:c r="F43" s="46"/>
      <x:c r="G43" s="46"/>
      <x:c r="H43" s="46"/>
      <x:c r="I43" s="46"/>
      <x:c r="J43" s="46"/>
      <x:c r="K43" s="46"/>
      <x:c r="L43" s="46"/>
      <x:c r="M43" s="46"/>
      <x:c r="N43" s="46"/>
      <x:c r="O43" s="46"/>
      <x:c r="P43" s="46"/>
      <x:c r="Q43" s="46"/>
      <x:c r="R43" s="46"/>
      <x:c r="S43" s="46"/>
      <x:c r="T43" s="46"/>
      <x:c r="U43" s="46"/>
      <x:c r="V43" s="46"/>
      <x:c r="W43" s="46"/>
      <x:c r="X43" s="46"/>
    </x:row>
    <x:row r="44">
      <x:c r="A44" s="46"/>
      <x:c r="B44" s="46"/>
      <x:c r="C44" s="46"/>
      <x:c r="D44" s="46"/>
      <x:c r="E44" s="46"/>
      <x:c r="F44" s="46"/>
      <x:c r="G44" s="46"/>
      <x:c r="H44" s="46"/>
      <x:c r="I44" s="46"/>
      <x:c r="J44" s="46"/>
      <x:c r="K44" s="46"/>
      <x:c r="L44" s="46"/>
      <x:c r="M44" s="46"/>
      <x:c r="N44" s="46"/>
      <x:c r="O44" s="46"/>
      <x:c r="P44" s="46"/>
      <x:c r="Q44" s="46"/>
      <x:c r="R44" s="46"/>
      <x:c r="S44" s="46"/>
      <x:c r="T44" s="46"/>
      <x:c r="U44" s="46"/>
      <x:c r="V44" s="46"/>
      <x:c r="W44" s="46"/>
      <x:c r="X44" s="46"/>
    </x:row>
    <x:row r="45">
      <x:c r="A45" s="46"/>
      <x:c r="B45" s="46"/>
      <x:c r="C45" s="46"/>
      <x:c r="D45" s="46"/>
      <x:c r="E45" s="46"/>
      <x:c r="F45" s="46"/>
      <x:c r="G45" s="46"/>
      <x:c r="H45" s="46"/>
      <x:c r="I45" s="46"/>
      <x:c r="J45" s="46"/>
      <x:c r="K45" s="46"/>
      <x:c r="L45" s="46"/>
      <x:c r="M45" s="46"/>
      <x:c r="N45" s="46"/>
      <x:c r="O45" s="46"/>
      <x:c r="P45" s="46"/>
      <x:c r="Q45" s="46"/>
      <x:c r="R45" s="46"/>
      <x:c r="S45" s="46"/>
      <x:c r="T45" s="46"/>
      <x:c r="U45" s="46"/>
      <x:c r="V45" s="46"/>
      <x:c r="W45" s="46"/>
      <x:c r="X45" s="46"/>
    </x:row>
    <x:row r="46">
      <x:c r="A46" s="46"/>
      <x:c r="B46" s="46"/>
      <x:c r="C46" s="46"/>
      <x:c r="D46" s="46"/>
      <x:c r="E46" s="46"/>
      <x:c r="F46" s="46"/>
      <x:c r="G46" s="46"/>
      <x:c r="H46" s="46"/>
      <x:c r="I46" s="46"/>
      <x:c r="J46" s="46"/>
      <x:c r="K46" s="46"/>
      <x:c r="L46" s="46"/>
      <x:c r="M46" s="46"/>
      <x:c r="N46" s="46"/>
      <x:c r="O46" s="46"/>
      <x:c r="P46" s="46"/>
      <x:c r="Q46" s="46"/>
      <x:c r="R46" s="46"/>
      <x:c r="S46" s="46"/>
      <x:c r="T46" s="46"/>
      <x:c r="U46" s="46"/>
      <x:c r="V46" s="46"/>
      <x:c r="W46" s="46"/>
      <x:c r="X46" s="46"/>
    </x:row>
    <x:row r="47">
      <x:c r="A47" s="46"/>
      <x:c r="B47" s="46"/>
      <x:c r="C47" s="46"/>
      <x:c r="D47" s="46"/>
      <x:c r="E47" s="46"/>
      <x:c r="F47" s="46"/>
      <x:c r="G47" s="46"/>
      <x:c r="H47" s="46"/>
      <x:c r="I47" s="46"/>
      <x:c r="J47" s="46"/>
      <x:c r="K47" s="46"/>
      <x:c r="L47" s="46"/>
      <x:c r="M47" s="46"/>
      <x:c r="N47" s="46"/>
      <x:c r="O47" s="46"/>
      <x:c r="P47" s="46"/>
      <x:c r="Q47" s="46"/>
      <x:c r="R47" s="46"/>
      <x:c r="S47" s="46"/>
      <x:c r="T47" s="46"/>
      <x:c r="U47" s="46"/>
      <x:c r="V47" s="46"/>
      <x:c r="W47" s="46"/>
      <x:c r="X47" s="46"/>
    </x:row>
    <x:row r="48">
      <x:c r="A48" s="46"/>
      <x:c r="B48" s="46"/>
      <x:c r="C48" s="46"/>
      <x:c r="D48" s="46"/>
      <x:c r="E48" s="46"/>
      <x:c r="F48" s="46"/>
      <x:c r="G48" s="46"/>
      <x:c r="H48" s="46"/>
      <x:c r="I48" s="46"/>
      <x:c r="J48" s="46"/>
      <x:c r="K48" s="46"/>
      <x:c r="L48" s="46"/>
      <x:c r="M48" s="46"/>
      <x:c r="N48" s="46"/>
      <x:c r="O48" s="46"/>
      <x:c r="P48" s="46"/>
      <x:c r="Q48" s="46"/>
      <x:c r="R48" s="46"/>
      <x:c r="S48" s="46"/>
      <x:c r="T48" s="46"/>
      <x:c r="U48" s="46"/>
      <x:c r="V48" s="46"/>
      <x:c r="W48" s="46"/>
      <x:c r="X48" s="46"/>
    </x:row>
    <x:row r="49">
      <x:c r="A49" s="46"/>
      <x:c r="B49" s="46"/>
      <x:c r="C49" s="46"/>
      <x:c r="D49" s="46"/>
      <x:c r="E49" s="46"/>
      <x:c r="F49" s="46"/>
      <x:c r="G49" s="46"/>
      <x:c r="H49" s="46"/>
      <x:c r="I49" s="46"/>
      <x:c r="J49" s="46"/>
      <x:c r="K49" s="46"/>
      <x:c r="L49" s="46"/>
      <x:c r="M49" s="46"/>
      <x:c r="N49" s="46"/>
      <x:c r="O49" s="46"/>
      <x:c r="P49" s="46"/>
      <x:c r="Q49" s="46"/>
      <x:c r="R49" s="46"/>
      <x:c r="S49" s="46"/>
      <x:c r="T49" s="46"/>
      <x:c r="U49" s="46"/>
      <x:c r="V49" s="46"/>
      <x:c r="W49" s="46"/>
      <x:c r="X49" s="46"/>
    </x:row>
    <x:row r="50">
      <x:c r="A50" s="46"/>
      <x:c r="B50" s="46"/>
      <x:c r="C50" s="46"/>
      <x:c r="D50" s="46"/>
      <x:c r="E50" s="46"/>
      <x:c r="F50" s="46"/>
      <x:c r="G50" s="46"/>
      <x:c r="H50" s="46"/>
      <x:c r="I50" s="46"/>
      <x:c r="J50" s="46"/>
      <x:c r="K50" s="46"/>
      <x:c r="L50" s="46"/>
      <x:c r="M50" s="46"/>
      <x:c r="N50" s="46"/>
      <x:c r="O50" s="46"/>
      <x:c r="P50" s="46"/>
      <x:c r="Q50" s="46"/>
      <x:c r="R50" s="46"/>
      <x:c r="S50" s="46"/>
      <x:c r="T50" s="46"/>
      <x:c r="U50" s="46"/>
      <x:c r="V50" s="46"/>
      <x:c r="W50" s="46"/>
      <x:c r="X50" s="46"/>
    </x:row>
    <x:row r="51">
      <x:c r="A51" s="46"/>
      <x:c r="B51" s="46"/>
      <x:c r="C51" s="46"/>
      <x:c r="D51" s="46"/>
      <x:c r="E51" s="46"/>
      <x:c r="F51" s="46"/>
      <x:c r="G51" s="46"/>
      <x:c r="H51" s="46"/>
      <x:c r="I51" s="46"/>
      <x:c r="J51" s="46"/>
      <x:c r="K51" s="46"/>
      <x:c r="L51" s="46"/>
      <x:c r="M51" s="46"/>
      <x:c r="N51" s="46"/>
      <x:c r="O51" s="46"/>
      <x:c r="P51" s="46"/>
      <x:c r="Q51" s="46"/>
      <x:c r="R51" s="46"/>
      <x:c r="S51" s="46"/>
      <x:c r="T51" s="46"/>
      <x:c r="U51" s="46"/>
      <x:c r="V51" s="46"/>
      <x:c r="W51" s="46"/>
      <x:c r="X51" s="46"/>
    </x:row>
    <x:row r="52">
      <x:c r="A52" s="46"/>
      <x:c r="B52" s="46"/>
      <x:c r="C52" s="46"/>
      <x:c r="D52" s="46"/>
      <x:c r="E52" s="46"/>
      <x:c r="F52" s="46"/>
      <x:c r="G52" s="46"/>
      <x:c r="H52" s="46"/>
      <x:c r="I52" s="46"/>
      <x:c r="J52" s="46"/>
      <x:c r="K52" s="46"/>
      <x:c r="L52" s="46"/>
      <x:c r="M52" s="46"/>
      <x:c r="N52" s="46"/>
      <x:c r="O52" s="46"/>
      <x:c r="P52" s="46"/>
      <x:c r="Q52" s="46"/>
      <x:c r="R52" s="46"/>
      <x:c r="S52" s="46"/>
      <x:c r="T52" s="46"/>
      <x:c r="U52" s="46"/>
      <x:c r="V52" s="46"/>
      <x:c r="W52" s="46"/>
      <x:c r="X52" s="46"/>
    </x:row>
    <x:row r="53">
      <x:c r="A53" s="46"/>
      <x:c r="B53" s="46"/>
      <x:c r="C53" s="46"/>
      <x:c r="D53" s="46"/>
      <x:c r="E53" s="46"/>
      <x:c r="F53" s="46"/>
      <x:c r="G53" s="46"/>
      <x:c r="H53" s="46"/>
      <x:c r="I53" s="46"/>
      <x:c r="J53" s="46"/>
      <x:c r="K53" s="46"/>
      <x:c r="L53" s="46"/>
      <x:c r="M53" s="46"/>
      <x:c r="N53" s="46"/>
      <x:c r="O53" s="46"/>
      <x:c r="P53" s="46"/>
      <x:c r="Q53" s="46"/>
      <x:c r="R53" s="46"/>
      <x:c r="S53" s="46"/>
      <x:c r="T53" s="46"/>
      <x:c r="U53" s="46"/>
      <x:c r="V53" s="46"/>
      <x:c r="W53" s="46"/>
      <x:c r="X53" s="46"/>
    </x:row>
    <x:row r="54">
      <x:c r="A54" s="46"/>
      <x:c r="B54" s="46"/>
      <x:c r="C54" s="46"/>
      <x:c r="D54" s="46"/>
      <x:c r="E54" s="46"/>
      <x:c r="F54" s="46"/>
      <x:c r="G54" s="46"/>
      <x:c r="H54" s="46"/>
      <x:c r="I54" s="46"/>
      <x:c r="J54" s="46"/>
      <x:c r="K54" s="46"/>
      <x:c r="L54" s="46"/>
      <x:c r="M54" s="46"/>
      <x:c r="N54" s="46"/>
      <x:c r="O54" s="46"/>
      <x:c r="P54" s="46"/>
      <x:c r="Q54" s="46"/>
      <x:c r="R54" s="46"/>
      <x:c r="S54" s="46"/>
      <x:c r="T54" s="46"/>
      <x:c r="U54" s="46"/>
      <x:c r="V54" s="46"/>
      <x:c r="W54" s="46"/>
      <x:c r="X54" s="46"/>
    </x:row>
    <x:row r="55">
      <x:c r="A55" s="46"/>
      <x:c r="B55" s="46"/>
      <x:c r="C55" s="46"/>
      <x:c r="D55" s="46"/>
      <x:c r="E55" s="46"/>
      <x:c r="F55" s="46"/>
      <x:c r="G55" s="46"/>
      <x:c r="H55" s="46"/>
      <x:c r="I55" s="46"/>
      <x:c r="J55" s="46"/>
      <x:c r="K55" s="46"/>
      <x:c r="L55" s="46"/>
      <x:c r="M55" s="46"/>
      <x:c r="N55" s="46"/>
      <x:c r="O55" s="46"/>
      <x:c r="P55" s="46"/>
      <x:c r="Q55" s="46"/>
      <x:c r="R55" s="46"/>
      <x:c r="S55" s="46"/>
      <x:c r="T55" s="46"/>
      <x:c r="U55" s="46"/>
      <x:c r="V55" s="46"/>
      <x:c r="W55" s="46"/>
      <x:c r="X55" s="46"/>
    </x:row>
    <x:row r="56">
      <x:c r="A56" s="46"/>
      <x:c r="B56" s="46"/>
      <x:c r="C56" s="46"/>
      <x:c r="D56" s="46"/>
      <x:c r="E56" s="46"/>
      <x:c r="F56" s="46"/>
      <x:c r="G56" s="46"/>
      <x:c r="H56" s="46"/>
      <x:c r="I56" s="46"/>
      <x:c r="J56" s="46"/>
      <x:c r="K56" s="46"/>
      <x:c r="L56" s="46"/>
      <x:c r="M56" s="46"/>
      <x:c r="N56" s="46"/>
      <x:c r="O56" s="46"/>
      <x:c r="P56" s="46"/>
      <x:c r="Q56" s="46"/>
      <x:c r="R56" s="46"/>
      <x:c r="S56" s="46"/>
      <x:c r="T56" s="46"/>
      <x:c r="U56" s="46"/>
      <x:c r="V56" s="46"/>
      <x:c r="W56" s="46"/>
      <x:c r="X56" s="46"/>
    </x:row>
    <x:row r="57">
      <x:c r="A57" s="46"/>
      <x:c r="B57" s="46"/>
      <x:c r="C57" s="46"/>
      <x:c r="D57" s="46"/>
      <x:c r="E57" s="46"/>
      <x:c r="F57" s="46"/>
      <x:c r="G57" s="46"/>
      <x:c r="H57" s="46"/>
      <x:c r="I57" s="46"/>
      <x:c r="J57" s="46"/>
      <x:c r="K57" s="46"/>
      <x:c r="L57" s="46"/>
      <x:c r="M57" s="46"/>
      <x:c r="N57" s="46"/>
      <x:c r="O57" s="46"/>
      <x:c r="P57" s="46"/>
      <x:c r="Q57" s="46"/>
      <x:c r="R57" s="46"/>
      <x:c r="S57" s="46"/>
      <x:c r="T57" s="46"/>
      <x:c r="U57" s="46"/>
      <x:c r="V57" s="46"/>
      <x:c r="W57" s="46"/>
      <x:c r="X57" s="46"/>
    </x:row>
    <x:row r="58">
      <x:c r="A58" s="46"/>
      <x:c r="B58" s="46"/>
      <x:c r="C58" s="46"/>
      <x:c r="D58" s="46"/>
      <x:c r="E58" s="46"/>
      <x:c r="F58" s="46"/>
      <x:c r="G58" s="46"/>
      <x:c r="H58" s="46"/>
      <x:c r="I58" s="46"/>
      <x:c r="J58" s="46"/>
      <x:c r="K58" s="46"/>
      <x:c r="L58" s="46"/>
      <x:c r="M58" s="46"/>
      <x:c r="N58" s="46"/>
      <x:c r="O58" s="46"/>
      <x:c r="P58" s="46"/>
      <x:c r="Q58" s="46"/>
      <x:c r="R58" s="46"/>
      <x:c r="S58" s="46"/>
      <x:c r="T58" s="46"/>
      <x:c r="U58" s="46"/>
      <x:c r="V58" s="46"/>
      <x:c r="W58" s="46"/>
      <x:c r="X58" s="46"/>
    </x:row>
    <x:row r="59">
      <x:c r="A59" s="46"/>
      <x:c r="B59" s="46"/>
      <x:c r="C59" s="46"/>
      <x:c r="D59" s="46"/>
      <x:c r="E59" s="46"/>
      <x:c r="F59" s="46"/>
      <x:c r="G59" s="46"/>
      <x:c r="H59" s="46"/>
      <x:c r="I59" s="46"/>
      <x:c r="J59" s="46"/>
      <x:c r="K59" s="46"/>
      <x:c r="L59" s="46"/>
      <x:c r="M59" s="46"/>
      <x:c r="N59" s="46"/>
      <x:c r="O59" s="46"/>
      <x:c r="P59" s="46"/>
      <x:c r="Q59" s="46"/>
      <x:c r="R59" s="46"/>
      <x:c r="S59" s="46"/>
      <x:c r="T59" s="46"/>
      <x:c r="U59" s="46"/>
      <x:c r="V59" s="46"/>
      <x:c r="W59" s="46"/>
      <x:c r="X59" s="46"/>
    </x:row>
    <x:row r="60">
      <x:c r="A60" s="46"/>
      <x:c r="B60" s="46"/>
      <x:c r="C60" s="46"/>
      <x:c r="D60" s="46"/>
      <x:c r="E60" s="46"/>
      <x:c r="F60" s="46"/>
      <x:c r="G60" s="46"/>
      <x:c r="H60" s="46"/>
      <x:c r="I60" s="46"/>
      <x:c r="J60" s="46"/>
      <x:c r="K60" s="46"/>
      <x:c r="L60" s="46"/>
      <x:c r="M60" s="46"/>
      <x:c r="N60" s="46"/>
      <x:c r="O60" s="46"/>
      <x:c r="P60" s="46"/>
      <x:c r="Q60" s="46"/>
      <x:c r="R60" s="46"/>
      <x:c r="S60" s="46"/>
      <x:c r="T60" s="46"/>
      <x:c r="U60" s="46"/>
      <x:c r="V60" s="46"/>
      <x:c r="W60" s="46"/>
      <x:c r="X60" s="46"/>
    </x:row>
    <x:row r="61">
      <x:c r="A61" s="46"/>
      <x:c r="B61" s="46"/>
      <x:c r="C61" s="46"/>
      <x:c r="D61" s="46"/>
      <x:c r="E61" s="46"/>
      <x:c r="F61" s="46"/>
      <x:c r="G61" s="46"/>
      <x:c r="H61" s="46"/>
      <x:c r="I61" s="46"/>
      <x:c r="J61" s="46"/>
      <x:c r="K61" s="46"/>
      <x:c r="L61" s="46"/>
      <x:c r="M61" s="46"/>
      <x:c r="N61" s="46"/>
      <x:c r="O61" s="46"/>
      <x:c r="P61" s="46"/>
      <x:c r="Q61" s="46"/>
      <x:c r="R61" s="46"/>
      <x:c r="S61" s="46"/>
      <x:c r="T61" s="46"/>
      <x:c r="U61" s="46"/>
      <x:c r="V61" s="46"/>
      <x:c r="W61" s="46"/>
      <x:c r="X61" s="46"/>
    </x:row>
    <x:row r="62">
      <x:c r="A62" s="46"/>
      <x:c r="B62" s="46"/>
      <x:c r="C62" s="46"/>
      <x:c r="D62" s="46"/>
      <x:c r="E62" s="46"/>
      <x:c r="F62" s="46"/>
      <x:c r="G62" s="46"/>
      <x:c r="H62" s="46"/>
      <x:c r="I62" s="46"/>
      <x:c r="J62" s="46"/>
      <x:c r="K62" s="46"/>
      <x:c r="L62" s="46"/>
      <x:c r="M62" s="46"/>
      <x:c r="N62" s="46"/>
      <x:c r="O62" s="46"/>
      <x:c r="P62" s="46"/>
      <x:c r="Q62" s="46"/>
      <x:c r="R62" s="46"/>
      <x:c r="S62" s="46"/>
      <x:c r="T62" s="46"/>
      <x:c r="U62" s="46"/>
      <x:c r="V62" s="46"/>
      <x:c r="W62" s="46"/>
      <x:c r="X62" s="46"/>
    </x:row>
    <x:row r="63">
      <x:c r="A63" s="46"/>
      <x:c r="B63" s="46"/>
      <x:c r="C63" s="46"/>
      <x:c r="D63" s="46"/>
      <x:c r="E63" s="46"/>
      <x:c r="F63" s="46"/>
      <x:c r="G63" s="46"/>
      <x:c r="H63" s="46"/>
      <x:c r="I63" s="46"/>
      <x:c r="J63" s="46"/>
      <x:c r="K63" s="46"/>
      <x:c r="L63" s="46"/>
      <x:c r="M63" s="46"/>
      <x:c r="N63" s="46"/>
      <x:c r="O63" s="46"/>
      <x:c r="P63" s="46"/>
      <x:c r="Q63" s="46"/>
      <x:c r="R63" s="46"/>
      <x:c r="S63" s="46"/>
      <x:c r="T63" s="46"/>
      <x:c r="U63" s="46"/>
      <x:c r="V63" s="46"/>
      <x:c r="W63" s="46"/>
      <x:c r="X63" s="46"/>
    </x:row>
    <x:row r="64">
      <x:c r="A64" s="46"/>
      <x:c r="B64" s="46"/>
      <x:c r="C64" s="46"/>
      <x:c r="D64" s="46"/>
      <x:c r="E64" s="46"/>
      <x:c r="F64" s="46"/>
      <x:c r="G64" s="46"/>
      <x:c r="H64" s="46"/>
      <x:c r="I64" s="46"/>
      <x:c r="J64" s="46"/>
      <x:c r="K64" s="46"/>
      <x:c r="L64" s="46"/>
      <x:c r="M64" s="46"/>
      <x:c r="N64" s="46"/>
      <x:c r="O64" s="46"/>
      <x:c r="P64" s="46"/>
      <x:c r="Q64" s="46"/>
      <x:c r="R64" s="46"/>
      <x:c r="S64" s="46"/>
      <x:c r="T64" s="46"/>
      <x:c r="U64" s="46"/>
      <x:c r="V64" s="46"/>
      <x:c r="W64" s="46"/>
      <x:c r="X64" s="46"/>
    </x:row>
    <x:row r="65">
      <x:c r="A65" s="46"/>
      <x:c r="B65" s="46"/>
      <x:c r="C65" s="46"/>
      <x:c r="D65" s="46"/>
      <x:c r="E65" s="46"/>
      <x:c r="F65" s="46"/>
      <x:c r="G65" s="46"/>
      <x:c r="H65" s="46"/>
      <x:c r="I65" s="46"/>
      <x:c r="J65" s="46"/>
      <x:c r="K65" s="46"/>
      <x:c r="L65" s="46"/>
      <x:c r="M65" s="46"/>
      <x:c r="N65" s="46"/>
      <x:c r="O65" s="46"/>
      <x:c r="P65" s="46"/>
      <x:c r="Q65" s="46"/>
      <x:c r="R65" s="46"/>
      <x:c r="S65" s="46"/>
      <x:c r="T65" s="46"/>
      <x:c r="U65" s="46"/>
      <x:c r="V65" s="46"/>
      <x:c r="W65" s="46"/>
      <x:c r="X65" s="46"/>
    </x:row>
    <x:row r="66">
      <x:c r="A66" s="46"/>
      <x:c r="B66" s="46"/>
      <x:c r="C66" s="46"/>
      <x:c r="D66" s="46"/>
      <x:c r="E66" s="46"/>
      <x:c r="F66" s="46"/>
      <x:c r="G66" s="46"/>
      <x:c r="H66" s="46"/>
      <x:c r="I66" s="46"/>
      <x:c r="J66" s="46"/>
      <x:c r="K66" s="46"/>
      <x:c r="L66" s="46"/>
      <x:c r="M66" s="46"/>
      <x:c r="N66" s="46"/>
      <x:c r="O66" s="46"/>
      <x:c r="P66" s="46"/>
      <x:c r="Q66" s="46"/>
      <x:c r="R66" s="46"/>
      <x:c r="S66" s="46"/>
      <x:c r="T66" s="46"/>
      <x:c r="U66" s="46"/>
      <x:c r="V66" s="46"/>
      <x:c r="W66" s="46"/>
      <x:c r="X66" s="46"/>
    </x:row>
    <x:row r="67">
      <x:c r="A67" s="46"/>
      <x:c r="B67" s="46"/>
      <x:c r="C67" s="46"/>
      <x:c r="D67" s="46"/>
      <x:c r="E67" s="46"/>
      <x:c r="F67" s="46"/>
      <x:c r="G67" s="46"/>
      <x:c r="H67" s="46"/>
      <x:c r="I67" s="46"/>
      <x:c r="J67" s="46"/>
      <x:c r="K67" s="46"/>
      <x:c r="L67" s="46"/>
      <x:c r="M67" s="46"/>
      <x:c r="N67" s="46"/>
      <x:c r="O67" s="46"/>
      <x:c r="P67" s="46"/>
      <x:c r="Q67" s="46"/>
      <x:c r="R67" s="46"/>
      <x:c r="S67" s="46"/>
      <x:c r="T67" s="46"/>
      <x:c r="U67" s="46"/>
      <x:c r="V67" s="46"/>
      <x:c r="W67" s="46"/>
      <x:c r="X67" s="46"/>
    </x:row>
    <x:row r="68">
      <x:c r="A68" s="46"/>
      <x:c r="B68" s="46"/>
      <x:c r="C68" s="46"/>
      <x:c r="D68" s="46"/>
      <x:c r="E68" s="46"/>
      <x:c r="F68" s="46"/>
      <x:c r="G68" s="46"/>
      <x:c r="H68" s="46"/>
      <x:c r="I68" s="46"/>
      <x:c r="J68" s="46"/>
      <x:c r="K68" s="46"/>
      <x:c r="L68" s="46"/>
      <x:c r="M68" s="46"/>
      <x:c r="N68" s="46"/>
      <x:c r="O68" s="46"/>
      <x:c r="P68" s="46"/>
      <x:c r="Q68" s="46"/>
      <x:c r="R68" s="46"/>
      <x:c r="S68" s="46"/>
      <x:c r="T68" s="46"/>
      <x:c r="U68" s="46"/>
      <x:c r="V68" s="46"/>
      <x:c r="W68" s="46"/>
      <x:c r="X68" s="46"/>
    </x:row>
    <x:row r="69">
      <x:c r="A69" s="46"/>
      <x:c r="B69" s="46"/>
      <x:c r="C69" s="46"/>
      <x:c r="D69" s="46"/>
      <x:c r="E69" s="46"/>
      <x:c r="F69" s="46"/>
      <x:c r="G69" s="46"/>
      <x:c r="H69" s="46"/>
      <x:c r="I69" s="46"/>
      <x:c r="J69" s="46"/>
      <x:c r="K69" s="46"/>
      <x:c r="L69" s="46"/>
      <x:c r="M69" s="46"/>
      <x:c r="N69" s="46"/>
      <x:c r="O69" s="46"/>
      <x:c r="P69" s="46"/>
      <x:c r="Q69" s="46"/>
      <x:c r="R69" s="46"/>
      <x:c r="S69" s="46"/>
      <x:c r="T69" s="46"/>
      <x:c r="U69" s="46"/>
      <x:c r="V69" s="46"/>
      <x:c r="W69" s="46"/>
      <x:c r="X69" s="46"/>
    </x:row>
    <x:row r="70">
      <x:c r="A70" s="46"/>
      <x:c r="B70" s="46"/>
      <x:c r="C70" s="46"/>
      <x:c r="D70" s="46"/>
      <x:c r="E70" s="46"/>
      <x:c r="F70" s="46"/>
      <x:c r="G70" s="46"/>
      <x:c r="H70" s="46"/>
      <x:c r="I70" s="46"/>
      <x:c r="J70" s="46"/>
      <x:c r="K70" s="46"/>
      <x:c r="L70" s="46"/>
      <x:c r="M70" s="46"/>
      <x:c r="N70" s="46"/>
      <x:c r="O70" s="46"/>
      <x:c r="P70" s="46"/>
      <x:c r="Q70" s="46"/>
      <x:c r="R70" s="46"/>
      <x:c r="S70" s="46"/>
      <x:c r="T70" s="46"/>
      <x:c r="U70" s="46"/>
      <x:c r="V70" s="46"/>
      <x:c r="W70" s="46"/>
      <x:c r="X70" s="46"/>
    </x:row>
    <x:row r="71">
      <x:c r="A71" s="46"/>
      <x:c r="B71" s="46"/>
      <x:c r="C71" s="46"/>
      <x:c r="D71" s="46"/>
      <x:c r="E71" s="46"/>
      <x:c r="F71" s="46"/>
      <x:c r="G71" s="46"/>
      <x:c r="H71" s="46"/>
      <x:c r="I71" s="46"/>
      <x:c r="J71" s="46"/>
      <x:c r="K71" s="46"/>
      <x:c r="L71" s="46"/>
      <x:c r="M71" s="46"/>
      <x:c r="N71" s="46"/>
      <x:c r="O71" s="46"/>
      <x:c r="P71" s="46"/>
      <x:c r="Q71" s="46"/>
      <x:c r="R71" s="46"/>
      <x:c r="S71" s="46"/>
      <x:c r="T71" s="46"/>
      <x:c r="U71" s="46"/>
      <x:c r="V71" s="46"/>
      <x:c r="W71" s="46"/>
      <x:c r="X71" s="46"/>
    </x:row>
    <x:row r="72">
      <x:c r="A72" s="46"/>
      <x:c r="B72" s="46"/>
      <x:c r="C72" s="46"/>
      <x:c r="D72" s="46"/>
      <x:c r="E72" s="46"/>
      <x:c r="F72" s="46"/>
      <x:c r="G72" s="46"/>
      <x:c r="H72" s="46"/>
      <x:c r="I72" s="46"/>
      <x:c r="J72" s="46"/>
      <x:c r="K72" s="46"/>
      <x:c r="L72" s="46"/>
      <x:c r="M72" s="46"/>
      <x:c r="N72" s="46"/>
      <x:c r="O72" s="46"/>
      <x:c r="P72" s="46"/>
      <x:c r="Q72" s="46"/>
      <x:c r="R72" s="46"/>
      <x:c r="S72" s="46"/>
      <x:c r="T72" s="46"/>
      <x:c r="U72" s="46"/>
      <x:c r="V72" s="46"/>
      <x:c r="W72" s="46"/>
      <x:c r="X72" s="46"/>
    </x:row>
    <x:row r="73">
      <x:c r="A73" s="46"/>
      <x:c r="B73" s="46"/>
      <x:c r="C73" s="46"/>
      <x:c r="D73" s="46"/>
      <x:c r="E73" s="46"/>
      <x:c r="F73" s="46"/>
      <x:c r="G73" s="46"/>
      <x:c r="H73" s="46"/>
      <x:c r="I73" s="46"/>
      <x:c r="J73" s="46"/>
      <x:c r="K73" s="46"/>
      <x:c r="L73" s="46"/>
      <x:c r="M73" s="46"/>
      <x:c r="N73" s="46"/>
      <x:c r="O73" s="46"/>
      <x:c r="P73" s="46"/>
      <x:c r="Q73" s="46"/>
      <x:c r="R73" s="46"/>
      <x:c r="S73" s="46"/>
      <x:c r="T73" s="46"/>
      <x:c r="U73" s="46"/>
      <x:c r="V73" s="46"/>
      <x:c r="W73" s="46"/>
      <x:c r="X73" s="46"/>
    </x:row>
    <x:row r="74">
      <x:c r="A74" s="46"/>
      <x:c r="B74" s="46"/>
      <x:c r="C74" s="46"/>
      <x:c r="D74" s="46"/>
      <x:c r="E74" s="46"/>
      <x:c r="F74" s="46"/>
      <x:c r="G74" s="46"/>
      <x:c r="H74" s="46"/>
      <x:c r="I74" s="46"/>
      <x:c r="J74" s="46"/>
      <x:c r="K74" s="46"/>
      <x:c r="L74" s="46"/>
      <x:c r="M74" s="46"/>
      <x:c r="N74" s="46"/>
      <x:c r="O74" s="46"/>
      <x:c r="P74" s="46"/>
      <x:c r="Q74" s="46"/>
      <x:c r="R74" s="46"/>
      <x:c r="S74" s="46"/>
      <x:c r="T74" s="46"/>
      <x:c r="U74" s="46"/>
      <x:c r="V74" s="46"/>
      <x:c r="W74" s="46"/>
      <x:c r="X74" s="46"/>
    </x:row>
    <x:row r="75">
      <x:c r="A75" s="46"/>
      <x:c r="B75" s="46"/>
      <x:c r="C75" s="46"/>
      <x:c r="D75" s="46"/>
      <x:c r="E75" s="46"/>
      <x:c r="F75" s="46"/>
      <x:c r="G75" s="46"/>
      <x:c r="H75" s="46"/>
      <x:c r="I75" s="46"/>
      <x:c r="J75" s="46"/>
      <x:c r="K75" s="46"/>
      <x:c r="L75" s="46"/>
      <x:c r="M75" s="46"/>
      <x:c r="N75" s="46"/>
      <x:c r="O75" s="46"/>
      <x:c r="P75" s="46"/>
      <x:c r="Q75" s="46"/>
      <x:c r="R75" s="46"/>
      <x:c r="S75" s="46"/>
      <x:c r="T75" s="46"/>
      <x:c r="U75" s="46"/>
      <x:c r="V75" s="46"/>
      <x:c r="W75" s="46"/>
      <x:c r="X75" s="46"/>
    </x:row>
    <x:row r="76">
      <x:c r="A76" s="46"/>
      <x:c r="B76" s="46"/>
      <x:c r="C76" s="46"/>
      <x:c r="D76" s="46"/>
      <x:c r="E76" s="46"/>
      <x:c r="F76" s="46"/>
      <x:c r="G76" s="46"/>
      <x:c r="H76" s="46"/>
      <x:c r="I76" s="46"/>
      <x:c r="J76" s="46"/>
      <x:c r="K76" s="46"/>
      <x:c r="L76" s="46"/>
      <x:c r="M76" s="46"/>
      <x:c r="N76" s="46"/>
      <x:c r="O76" s="46"/>
      <x:c r="P76" s="46"/>
      <x:c r="Q76" s="46"/>
      <x:c r="R76" s="46"/>
      <x:c r="S76" s="46"/>
      <x:c r="T76" s="46"/>
      <x:c r="U76" s="46"/>
      <x:c r="V76" s="46"/>
      <x:c r="W76" s="46"/>
      <x:c r="X76" s="46"/>
    </x:row>
    <x:row r="77">
      <x:c r="A77" s="46"/>
      <x:c r="B77" s="46"/>
      <x:c r="C77" s="46"/>
      <x:c r="D77" s="46"/>
      <x:c r="E77" s="46"/>
      <x:c r="F77" s="46"/>
      <x:c r="G77" s="46"/>
      <x:c r="H77" s="46"/>
      <x:c r="I77" s="46"/>
      <x:c r="J77" s="46"/>
      <x:c r="K77" s="46"/>
      <x:c r="L77" s="46"/>
      <x:c r="M77" s="46"/>
      <x:c r="N77" s="46"/>
      <x:c r="O77" s="46"/>
      <x:c r="P77" s="46"/>
      <x:c r="Q77" s="46"/>
      <x:c r="R77" s="46"/>
      <x:c r="S77" s="46"/>
      <x:c r="T77" s="46"/>
      <x:c r="U77" s="46"/>
      <x:c r="V77" s="46"/>
      <x:c r="W77" s="46"/>
      <x:c r="X77" s="46"/>
    </x:row>
    <x:row r="78">
      <x:c r="A78" s="46"/>
      <x:c r="B78" s="46"/>
      <x:c r="C78" s="46"/>
      <x:c r="D78" s="46"/>
      <x:c r="E78" s="46"/>
      <x:c r="F78" s="46"/>
      <x:c r="G78" s="46"/>
      <x:c r="H78" s="46"/>
      <x:c r="I78" s="46"/>
      <x:c r="J78" s="46"/>
      <x:c r="K78" s="46"/>
      <x:c r="L78" s="46"/>
      <x:c r="M78" s="46"/>
      <x:c r="N78" s="46"/>
      <x:c r="O78" s="46"/>
      <x:c r="P78" s="46"/>
      <x:c r="Q78" s="46"/>
      <x:c r="R78" s="46"/>
      <x:c r="S78" s="46"/>
      <x:c r="T78" s="46"/>
      <x:c r="U78" s="46"/>
      <x:c r="V78" s="46"/>
      <x:c r="W78" s="46"/>
      <x:c r="X78" s="46"/>
    </x:row>
    <x:row r="79">
      <x:c r="A79" s="46"/>
      <x:c r="B79" s="46"/>
      <x:c r="C79" s="46"/>
      <x:c r="D79" s="46"/>
      <x:c r="E79" s="46"/>
      <x:c r="F79" s="46"/>
      <x:c r="G79" s="46"/>
      <x:c r="H79" s="46"/>
      <x:c r="I79" s="46"/>
      <x:c r="J79" s="46"/>
      <x:c r="K79" s="46"/>
      <x:c r="L79" s="46"/>
      <x:c r="M79" s="46"/>
      <x:c r="N79" s="46"/>
      <x:c r="O79" s="46"/>
      <x:c r="P79" s="46"/>
      <x:c r="Q79" s="46"/>
      <x:c r="R79" s="46"/>
      <x:c r="S79" s="46"/>
      <x:c r="T79" s="46"/>
      <x:c r="U79" s="46"/>
      <x:c r="V79" s="46"/>
      <x:c r="W79" s="46"/>
      <x:c r="X79" s="46"/>
    </x:row>
    <x:row r="80">
      <x:c r="A80" s="46"/>
      <x:c r="B80" s="46"/>
      <x:c r="C80" s="46"/>
      <x:c r="D80" s="46"/>
      <x:c r="E80" s="46"/>
      <x:c r="F80" s="46"/>
      <x:c r="G80" s="46"/>
      <x:c r="H80" s="46"/>
      <x:c r="I80" s="46"/>
      <x:c r="J80" s="46"/>
      <x:c r="K80" s="46"/>
      <x:c r="L80" s="46"/>
      <x:c r="M80" s="46"/>
      <x:c r="N80" s="46"/>
      <x:c r="O80" s="46"/>
      <x:c r="P80" s="46"/>
      <x:c r="Q80" s="46"/>
      <x:c r="R80" s="46"/>
      <x:c r="S80" s="46"/>
      <x:c r="T80" s="46"/>
      <x:c r="U80" s="46"/>
      <x:c r="V80" s="46"/>
      <x:c r="W80" s="46"/>
      <x:c r="X80" s="46"/>
    </x:row>
  </x:sheetData>
  <x:pageMargins left="0.7" right="0.7" top="0.75" bottom="0.75" header="0.3" footer="0.3"/>
</x:worksheet>
</file>
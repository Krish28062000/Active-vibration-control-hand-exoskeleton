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3f8f5cd53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BAB Summary" sheetId="1" r:id="R79d2e2c637d14b04"/>
    <x:sheet xmlns:r="http://schemas.openxmlformats.org/officeDocument/2006/relationships" name="X ABAB 29.15" sheetId="2" r:id="R399b379863bc4e76"/>
    <x:sheet xmlns:r="http://schemas.openxmlformats.org/officeDocument/2006/relationships" name="X ABAB 49.92" sheetId="3" r:id="Rb43c3a6d37d14c09"/>
    <x:sheet xmlns:r="http://schemas.openxmlformats.org/officeDocument/2006/relationships" name="Y ABAB 60.22" sheetId="4" r:id="R8eb91cb72eed4024"/>
    <x:sheet xmlns:r="http://schemas.openxmlformats.org/officeDocument/2006/relationships" name="Methods &amp; Provenance" sheetId="5" r:id="Rd9ad09a31afb49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D3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806000"/>
      </x:patternFill>
    </x:fill>
    <x:fill>
      <x:patternFill patternType="solid">
        <x:fgColor rgb="FF385723"/>
      </x:patternFill>
    </x:fill>
    <x:fill>
      <x:patternFill patternType="solid">
        <x:fgColor rgb="FF7030A0"/>
      </x:patternFill>
    </x:fill>
    <x:fill>
      <x:patternFill patternType="solid">
        <x:fgColor rgb="FF44546A"/>
      </x:patternFill>
    </x:fill>
  </x:fills>
  <x:borders count="2">
    <x:border/>
    <x:border/>
  </x:borders>
  <x:cellStyleXfs count="1">
    <x:xf numFmtId="0" fontId="0" fillId="0" borderId="0"/>
  </x:cellStyleXfs>
  <x:cellXfs count="10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  <x:xf numFmtId="0" fontId="1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1" fillId="9" borderId="1" xfId="0" applyNumberFormat="1" applyFont="1" applyFill="1" applyBorder="1"/>
    <x:xf numFmtId="0" fontId="1" fillId="9" borderId="1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1" fillId="10" borderId="1" xfId="0" applyNumberFormat="1" applyFont="1" applyFill="1" applyBorder="1"/>
    <x:xf numFmtId="0" fontId="1" fillId="10" borderId="1" xfId="0" applyNumberFormat="1" applyFont="1" applyFill="1" applyBorder="1" applyAlignment="1">
      <x:alignment horizont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2" fillId="6" borderId="0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7b6fa23f3c4004" /><Relationship Type="http://schemas.openxmlformats.org/officeDocument/2006/relationships/theme" Target="/xl/theme/theme1.xml" Id="R5b31940bafa146f0" /><Relationship Type="http://schemas.openxmlformats.org/officeDocument/2006/relationships/sharedStrings" Target="/xl/sharedStrings.xml" Id="Rcded50731a7f47a0" /><Relationship Type="http://schemas.openxmlformats.org/officeDocument/2006/relationships/worksheet" Target="/xl/worksheets/sheet1.xml" Id="R79d2e2c637d14b04" /><Relationship Type="http://schemas.openxmlformats.org/officeDocument/2006/relationships/worksheet" Target="/xl/worksheets/sheet2.xml" Id="R399b379863bc4e76" /><Relationship Type="http://schemas.openxmlformats.org/officeDocument/2006/relationships/worksheet" Target="/xl/worksheets/sheet3.xml" Id="Rb43c3a6d37d14c09" /><Relationship Type="http://schemas.openxmlformats.org/officeDocument/2006/relationships/worksheet" Target="/xl/worksheets/sheet4.xml" Id="R8eb91cb72eed4024" /><Relationship Type="http://schemas.openxmlformats.org/officeDocument/2006/relationships/worksheet" Target="/xl/worksheets/sheet5.xml" Id="Rd9ad09a31afb49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0f177c5f0f04e33" /><Relationship Type="http://schemas.openxmlformats.org/officeDocument/2006/relationships/chart" Target="/xl/drawings/charts/chart2.xml" Id="R8966f4b469e34d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Selected-Axis OFF vs ON and Causal Reduction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Control axis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Selected OFF
m/s²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Summary'!$C$4:$C$6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Selected ON
m/s²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Summary'!$D$4:$D$6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Selected causal
reduction %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Summary'!$E$4:$E$6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Vector OFF vs ON Response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Control axis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Summary'!$B$4:$B$6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Selected OFF
m/s²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Summary'!$C$4:$C$6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Selected ON
m/s²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Summary'!$D$4:$D$6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Selected causal
reduction %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Summary'!$E$4:$E$6</c:f>
              <c:numCache>
                <c:formatCode>0.000</c:formatCode>
                <c:ptCount val="0"/>
              </c:numCache>
            </c:numRef>
          </c:val>
        </c:ser>
        <c:ser>
          <c:idx val="4"/>
          <c:order val="4"/>
          <c:tx>
            <c:v>Firmware
reported %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Summary'!$F$4:$F$6</c:f>
              <c:numCache>
                <c:formatCode>0.000</c:formatCode>
                <c:ptCount val="0"/>
              </c:numCache>
            </c:numRef>
          </c:val>
        </c:ser>
        <c:ser>
          <c:idx val="5"/>
          <c:order val="5"/>
          <c:tx>
            <c:v>Vector OFF
m/s²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Summary'!$G$4:$G$6</c:f>
              <c:numCache>
                <c:formatCode>0.000</c:formatCode>
                <c:ptCount val="0"/>
              </c:numCache>
            </c:numRef>
          </c:val>
        </c:ser>
        <c:ser>
          <c:idx val="6"/>
          <c:order val="6"/>
          <c:tx>
            <c:v>Vector ON
m/s²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Summary'!$H$4:$H$6</c:f>
              <c:numCache>
                <c:formatCode>0.000</c:formatCode>
                <c:ptCount val="0"/>
              </c:numCache>
            </c:numRef>
          </c:val>
        </c:ser>
        <c:ser>
          <c:idx val="7"/>
          <c:order val="7"/>
          <c:tx>
            <c:v>Vector causal
reduction %</c:v>
          </c:tx>
          <c:cat>
            <c:strRef>
              <c:f>'ABAB Summary'!$A$4:$A$6</c:f>
              <c:strCache>
                <c:ptCount val="0"/>
              </c:strCache>
            </c:strRef>
          </c:cat>
          <c:val>
            <c:numRef>
              <c:f>'ABAB Summary'!$I$4:$I$6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1</xdr:row>
      <xdr:rowOff>0</xdr:rowOff>
    </xdr:from>
    <xdr:to>
      <xdr:col>23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0f177c5f0f04e33"/>
        </a:graphicData>
      </a:graphic>
    </xdr:graphicFrame>
    <xdr:clientData/>
  </xdr:twoCellAnchor>
  <xdr:twoCellAnchor>
    <xdr:from>
      <xdr:col>15</xdr:col>
      <xdr:colOff>0</xdr:colOff>
      <xdr:row>17</xdr:row>
      <xdr:rowOff>0</xdr:rowOff>
    </xdr:from>
    <xdr:to>
      <xdr:col>23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66f4b469e34d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cdfe9ef5fab4f0e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5" hidden="0" customWidth="1"/>
    <x:col min="8" max="8" width="15" hidden="0" customWidth="1"/>
    <x:col min="9" max="9" width="17" hidden="0" customWidth="1"/>
    <x:col min="10" max="10" width="17" hidden="0" customWidth="1"/>
    <x:col min="11" max="11" width="16" hidden="0" customWidth="1"/>
    <x:col min="12" max="12" width="16" hidden="0" customWidth="1"/>
    <x:col min="13" max="13" width="16" hidden="0" customWidth="1"/>
    <x:col min="14" max="14" width="58" hidden="0" customWidth="1"/>
  </x:cols>
  <x:sheetData>
    <x:row r="1" ht="26" customHeight="1">
      <x:c r="A1" s="5" t="str">
        <x:v>Successful A–B–A–B Causal Validation — Master Thesis Evidence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88"/>
      <x:c r="P1" s="88"/>
      <x:c r="Q1" s="88"/>
      <x:c r="R1" s="88"/>
      <x:c r="S1" s="88"/>
      <x:c r="T1" s="88"/>
      <x:c r="U1" s="88"/>
      <x:c r="V1" s="88"/>
      <x:c r="W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</x:row>
    <x:row r="3">
      <x:c r="A3" s="14" t="str">
        <x:v>Run ID</x:v>
      </x:c>
      <x:c r="B3" s="14" t="str">
        <x:v>Control axis</x:v>
      </x:c>
      <x:c r="C3" s="14" t="str">
        <x:v>Selected OFF
m/s²</x:v>
      </x:c>
      <x:c r="D3" s="14" t="str">
        <x:v>Selected ON
m/s²</x:v>
      </x:c>
      <x:c r="E3" s="14" t="str">
        <x:v>Selected causal
reduction %</x:v>
      </x:c>
      <x:c r="F3" s="14" t="str">
        <x:v>Firmware
reported %</x:v>
      </x:c>
      <x:c r="G3" s="14" t="str">
        <x:v>Vector OFF
m/s²</x:v>
      </x:c>
      <x:c r="H3" s="14" t="str">
        <x:v>Vector ON
m/s²</x:v>
      </x:c>
      <x:c r="I3" s="14" t="str">
        <x:v>Vector causal
reduction %</x:v>
      </x:c>
      <x:c r="J3" s="14" t="str">
        <x:v>Firmware vector
reported %</x:v>
      </x:c>
      <x:c r="K3" s="14" t="str">
        <x:v>OFF repeat
A1/A2 %</x:v>
      </x:c>
      <x:c r="L3" s="14" t="str">
        <x:v>ON repeat
B1/B2 %</x:v>
      </x:c>
      <x:c r="M3" s="14" t="str">
        <x:v>Causal verdict</x:v>
      </x:c>
      <x:c r="N3" s="14" t="str">
        <x:v>Interpretation</x:v>
      </x:c>
      <x:c r="O3" s="88"/>
      <x:c r="P3" s="88"/>
      <x:c r="Q3" s="88"/>
      <x:c r="R3" s="88"/>
      <x:c r="S3" s="88"/>
      <x:c r="T3" s="88"/>
      <x:c r="U3" s="88"/>
      <x:c r="V3" s="88"/>
      <x:c r="W3" s="88"/>
    </x:row>
    <x:row r="4">
      <x:c r="A4" s="89" t="str">
        <x:v>X-ABAB-01</x:v>
      </x:c>
      <x:c r="B4" s="89" t="str">
        <x:v>X</x:v>
      </x:c>
      <x:c r="C4" s="90" t="n">
        <x:v>1.2903095</x:v>
      </x:c>
      <x:c r="D4" s="90" t="n">
        <x:v>0.9141673</x:v>
      </x:c>
      <x:c r="E4" s="90" t="n">
        <x:f>100*(1-D4/C4)</x:f>
        <x:v>29.151316021466165</x:v>
      </x:c>
      <x:c r="F4" s="90" t="n">
        <x:v>29.1513</x:v>
      </x:c>
      <x:c r="G4" s="90" t="n">
        <x:v>1.3394378</x:v>
      </x:c>
      <x:c r="H4" s="90" t="n">
        <x:v>1.9419182</x:v>
      </x:c>
      <x:c r="I4" s="90" t="n">
        <x:f>100*(1-H4/G4)</x:f>
        <x:v>-44.98009538031553</x:v>
      </x:c>
      <x:c r="J4" s="90" t="n">
        <x:v>-44.9801</x:v>
      </x:c>
      <x:c r="K4" s="90" t="n">
        <x:v>6.2925</x:v>
      </x:c>
      <x:c r="L4" s="90" t="n">
        <x:v>23.1407</x:v>
      </x:c>
      <x:c r="M4" s="89" t="str">
        <x:v>VALID SUCCESS</x:v>
      </x:c>
      <x:c r="N4" s="89" t="str">
        <x:v>Valid causal selected-X attenuation. Strong cross-axis redistribution caused substantial vector amplification.</x:v>
      </x:c>
      <x:c r="O4" s="88"/>
      <x:c r="P4" s="88"/>
      <x:c r="Q4" s="88"/>
      <x:c r="R4" s="88"/>
      <x:c r="S4" s="88"/>
      <x:c r="T4" s="88"/>
      <x:c r="U4" s="88"/>
      <x:c r="V4" s="88"/>
      <x:c r="W4" s="88"/>
    </x:row>
    <x:row r="5">
      <x:c r="A5" s="89" t="str">
        <x:v>X-ABAB-02</x:v>
      </x:c>
      <x:c r="B5" s="89" t="str">
        <x:v>X</x:v>
      </x:c>
      <x:c r="C5" s="90" t="n">
        <x:v>0.9545346</x:v>
      </x:c>
      <x:c r="D5" s="90" t="n">
        <x:v>0.4780102</x:v>
      </x:c>
      <x:c r="E5" s="90" t="n">
        <x:f>100*(1-D5/C5)</x:f>
        <x:v>49.92217149593111</x:v>
      </x:c>
      <x:c r="F5" s="90" t="n">
        <x:v>49.9222</x:v>
      </x:c>
      <x:c r="G5" s="90" t="n">
        <x:v>1.1953541</x:v>
      </x:c>
      <x:c r="H5" s="90" t="n">
        <x:v>1.1893614</x:v>
      </x:c>
      <x:c r="I5" s="90" t="n">
        <x:f>100*(1-H5/G5)</x:f>
        <x:v>0.5013326176737221</x:v>
      </x:c>
      <x:c r="J5" s="90" t="n">
        <x:v>0.5013</x:v>
      </x:c>
      <x:c r="K5" s="90" t="n">
        <x:v>1.886</x:v>
      </x:c>
      <x:c r="L5" s="90" t="n">
        <x:v>42.0659</x:v>
      </x:c>
      <x:c r="M5" s="89" t="str">
        <x:v>VALID SUCCESS</x:v>
      </x:c>
      <x:c r="N5" s="89" t="str">
        <x:v>Strong causal selected-X attenuation with nearly neutral/slightly improved vector response. OFF state was highly repeatable; ON state varied substantially.</x:v>
      </x:c>
      <x:c r="O5" s="88"/>
      <x:c r="P5" s="88"/>
      <x:c r="Q5" s="88"/>
      <x:c r="R5" s="88"/>
      <x:c r="S5" s="88"/>
      <x:c r="T5" s="88"/>
      <x:c r="U5" s="88"/>
      <x:c r="V5" s="88"/>
      <x:c r="W5" s="88"/>
    </x:row>
    <x:row r="6">
      <x:c r="A6" s="89" t="str">
        <x:v>Y-ABAB-01</x:v>
      </x:c>
      <x:c r="B6" s="89" t="str">
        <x:v>Y</x:v>
      </x:c>
      <x:c r="C6" s="90" t="n">
        <x:v>0.538901</x:v>
      </x:c>
      <x:c r="D6" s="90" t="n">
        <x:v>0.2143748</x:v>
      </x:c>
      <x:c r="E6" s="90" t="n">
        <x:f>100*(1-D6/C6)</x:f>
        <x:v>60.22000330301856</x:v>
      </x:c>
      <x:c r="F6" s="90" t="n">
        <x:v>60.22</x:v>
      </x:c>
      <x:c r="G6" s="90" t="n">
        <x:v>1.4390927</x:v>
      </x:c>
      <x:c r="H6" s="90" t="n">
        <x:v>1.5049184</x:v>
      </x:c>
      <x:c r="I6" s="90" t="n">
        <x:f>100*(1-H6/G6)</x:f>
        <x:v>-4.574111174353113</x:v>
      </x:c>
      <x:c r="J6" s="90" t="n">
        <x:v>-4.5741</x:v>
      </x:c>
      <x:c r="K6" s="90" t="n">
        <x:v>8.4159</x:v>
      </x:c>
      <x:c r="L6" s="90" t="n">
        <x:v>4.5193</x:v>
      </x:c>
      <x:c r="M6" s="89" t="str">
        <x:v>VALID SUCCESS</x:v>
      </x:c>
      <x:c r="N6" s="89" t="str">
        <x:v>Strongest successful causal test. Very high selected-Y attenuation with excellent ON-state repeatability; vector increased slightly.</x:v>
      </x:c>
      <x:c r="O6" s="88"/>
      <x:c r="P6" s="88"/>
      <x:c r="Q6" s="88"/>
      <x:c r="R6" s="88"/>
      <x:c r="S6" s="88"/>
      <x:c r="T6" s="88"/>
      <x:c r="U6" s="88"/>
      <x:c r="V6" s="88"/>
      <x:c r="W6" s="88"/>
    </x:row>
    <x:row r="7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8"/>
      <x:c r="P7" s="88"/>
      <x:c r="Q7" s="88"/>
      <x:c r="R7" s="88"/>
      <x:c r="S7" s="88"/>
      <x:c r="T7" s="88"/>
      <x:c r="U7" s="88"/>
      <x:c r="V7" s="88"/>
      <x:c r="W7" s="88"/>
    </x:row>
    <x:row r="8">
      <x:c r="A8" s="89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8"/>
      <x:c r="P8" s="88"/>
      <x:c r="Q8" s="88"/>
      <x:c r="R8" s="88"/>
      <x:c r="S8" s="88"/>
      <x:c r="T8" s="88"/>
      <x:c r="U8" s="88"/>
      <x:c r="V8" s="88"/>
      <x:c r="W8" s="88"/>
    </x:row>
    <x:row r="9">
      <x:c r="A9" s="91" t="str">
        <x:v>Cross-run selected-axis causal attenuation statistics</x:v>
      </x:c>
      <x:c r="B9" s="91"/>
      <x:c r="C9" s="91"/>
      <x:c r="D9" s="91"/>
      <x:c r="E9" s="91"/>
      <x:c r="F9" s="91"/>
      <x:c r="G9" s="91"/>
      <x:c r="H9" s="91"/>
      <x:c r="I9" s="89"/>
      <x:c r="J9" s="89"/>
      <x:c r="K9" s="89"/>
      <x:c r="L9" s="89"/>
      <x:c r="M9" s="89"/>
      <x:c r="N9" s="89"/>
      <x:c r="O9" s="88"/>
      <x:c r="P9" s="88"/>
      <x:c r="Q9" s="88"/>
      <x:c r="R9" s="88"/>
      <x:c r="S9" s="88"/>
      <x:c r="T9" s="88"/>
      <x:c r="U9" s="88"/>
      <x:c r="V9" s="88"/>
      <x:c r="W9" s="88"/>
    </x:row>
    <x:row r="10">
      <x:c r="A10" s="30" t="str">
        <x:v>Metric</x:v>
      </x:c>
      <x:c r="B10" s="30" t="str">
        <x:v>All successful runs</x:v>
      </x:c>
      <x:c r="C10" s="30" t="str">
        <x:v>X successful runs</x:v>
      </x:c>
      <x:c r="D10" s="30" t="str">
        <x:v>Y successful runs</x:v>
      </x:c>
      <x:c r="E10" s="89" t="str"/>
      <x:c r="F10" s="89" t="str"/>
      <x:c r="G10" s="89" t="str"/>
      <x:c r="H10" s="89" t="str"/>
      <x:c r="I10" s="89"/>
      <x:c r="J10" s="89"/>
      <x:c r="K10" s="89"/>
      <x:c r="L10" s="89"/>
      <x:c r="M10" s="89"/>
      <x:c r="N10" s="89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>
      <x:c r="A11" s="89" t="str">
        <x:v>N</x:v>
      </x:c>
      <x:c r="B11" s="89" t="n">
        <x:v>3</x:v>
      </x:c>
      <x:c r="C11" s="89" t="n">
        <x:v>2</x:v>
      </x:c>
      <x:c r="D11" s="89" t="n">
        <x:v>1</x:v>
      </x:c>
      <x:c r="E11" s="89" t="str"/>
      <x:c r="F11" s="89" t="str"/>
      <x:c r="G11" s="89" t="str"/>
      <x:c r="H11" s="89" t="str"/>
      <x:c r="I11" s="89"/>
      <x:c r="J11" s="89"/>
      <x:c r="K11" s="89"/>
      <x:c r="L11" s="89"/>
      <x:c r="M11" s="89"/>
      <x:c r="N11" s="89"/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>
      <x:c r="A12" s="89" t="str">
        <x:v>Mean causal attenuation %</x:v>
      </x:c>
      <x:c r="B12" s="90" t="n">
        <x:f>AVERAGE(E4:E6)</x:f>
        <x:v>46.43116360680528</x:v>
      </x:c>
      <x:c r="C12" s="90" t="n">
        <x:f>AVERAGE(E4:E5)</x:f>
        <x:v>39.536743758698634</x:v>
      </x:c>
      <x:c r="D12" s="90" t="n">
        <x:f>E6</x:f>
        <x:v>60.22000330301856</x:v>
      </x:c>
      <x:c r="E12" s="89" t="str"/>
      <x:c r="F12" s="89" t="str"/>
      <x:c r="G12" s="89" t="str"/>
      <x:c r="H12" s="89" t="str"/>
      <x:c r="I12" s="89"/>
      <x:c r="J12" s="89"/>
      <x:c r="K12" s="89"/>
      <x:c r="L12" s="89"/>
      <x:c r="M12" s="89"/>
      <x:c r="N12" s="89"/>
      <x:c r="O12" s="88"/>
      <x:c r="P12" s="88"/>
      <x:c r="Q12" s="88"/>
      <x:c r="R12" s="88"/>
      <x:c r="S12" s="88"/>
      <x:c r="T12" s="88"/>
      <x:c r="U12" s="88"/>
      <x:c r="V12" s="88"/>
      <x:c r="W12" s="88"/>
    </x:row>
    <x:row r="13">
      <x:c r="A13" s="89" t="str">
        <x:v>SD causal attenuation pp</x:v>
      </x:c>
      <x:c r="B13" s="90" t="n">
        <x:f>STDEV.S(E4:E6)</x:f>
        <x:v>15.825807543729892</x:v>
      </x:c>
      <x:c r="C13" s="90" t="n">
        <x:f>STDEV.S(E4:E5)</x:f>
        <x:v>14.687212757039886</x:v>
      </x:c>
      <x:c r="D13" s="90" t="str">
        <x:v>N/A (n=1)</x:v>
      </x:c>
      <x:c r="E13" s="89" t="str"/>
      <x:c r="F13" s="89" t="str"/>
      <x:c r="G13" s="89" t="str"/>
      <x:c r="H13" s="89" t="str"/>
      <x:c r="I13" s="89"/>
      <x:c r="J13" s="89"/>
      <x:c r="K13" s="89"/>
      <x:c r="L13" s="89"/>
      <x:c r="M13" s="89"/>
      <x:c r="N13" s="89"/>
      <x:c r="O13" s="88"/>
      <x:c r="P13" s="88"/>
      <x:c r="Q13" s="88"/>
      <x:c r="R13" s="88"/>
      <x:c r="S13" s="88"/>
      <x:c r="T13" s="88"/>
      <x:c r="U13" s="88"/>
      <x:c r="V13" s="88"/>
      <x:c r="W13" s="88"/>
    </x:row>
    <x:row r="14">
      <x:c r="A14" s="89" t="str">
        <x:v>Median causal attenuation %</x:v>
      </x:c>
      <x:c r="B14" s="90" t="n">
        <x:f>MEDIAN(E4:E6)</x:f>
        <x:v>49.92217149593111</x:v>
      </x:c>
      <x:c r="C14" s="90" t="n">
        <x:f>MEDIAN(E4:E5)</x:f>
        <x:v>39.536743758698634</x:v>
      </x:c>
      <x:c r="D14" s="90" t="n">
        <x:v>60.22</x:v>
      </x:c>
      <x:c r="E14" s="89" t="str"/>
      <x:c r="F14" s="89" t="str"/>
      <x:c r="G14" s="89" t="str"/>
      <x:c r="H14" s="89" t="str"/>
      <x:c r="I14" s="89"/>
      <x:c r="J14" s="89"/>
      <x:c r="K14" s="89"/>
      <x:c r="L14" s="89"/>
      <x:c r="M14" s="89"/>
      <x:c r="N14" s="89"/>
      <x:c r="O14" s="88"/>
      <x:c r="P14" s="88"/>
      <x:c r="Q14" s="88"/>
      <x:c r="R14" s="88"/>
      <x:c r="S14" s="88"/>
      <x:c r="T14" s="88"/>
      <x:c r="U14" s="88"/>
      <x:c r="V14" s="88"/>
      <x:c r="W14" s="88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9"/>
      <x:c r="J15" s="89"/>
      <x:c r="K15" s="89"/>
      <x:c r="L15" s="89"/>
      <x:c r="M15" s="89"/>
      <x:c r="N15" s="89"/>
      <x:c r="O15" s="88"/>
      <x:c r="P15" s="88"/>
      <x:c r="Q15" s="88"/>
      <x:c r="R15" s="88"/>
      <x:c r="S15" s="88"/>
      <x:c r="T15" s="88"/>
      <x:c r="U15" s="88"/>
      <x:c r="V15" s="88"/>
      <x:c r="W15" s="88"/>
    </x:row>
    <x:row r="16">
      <x:c r="A16" s="92" t="str">
        <x:v>Thesis interpretation</x:v>
      </x:c>
      <x:c r="B16" s="89" t="str"/>
      <x:c r="C16" s="89" t="str"/>
      <x:c r="D16" s="89" t="str"/>
      <x:c r="E16" s="89" t="str"/>
      <x:c r="F16" s="89" t="str"/>
      <x:c r="G16" s="89" t="str"/>
      <x:c r="H16" s="89" t="str"/>
      <x:c r="I16" s="89" t="str"/>
      <x:c r="J16" s="89" t="str"/>
      <x:c r="K16" s="89" t="str"/>
      <x:c r="L16" s="89" t="str"/>
      <x:c r="M16" s="89" t="str"/>
      <x:c r="N16" s="89" t="str"/>
      <x:c r="O16" s="88"/>
      <x:c r="P16" s="88"/>
      <x:c r="Q16" s="88"/>
      <x:c r="R16" s="88"/>
      <x:c r="S16" s="88"/>
      <x:c r="T16" s="88"/>
      <x:c r="U16" s="88"/>
      <x:c r="V16" s="88"/>
      <x:c r="W16" s="88"/>
    </x:row>
    <x:row r="17">
      <x:c r="A17" s="89" t="str">
        <x:v>1</x:v>
      </x:c>
      <x:c r="B17" s="89" t="str">
        <x:v>Three firmware-valid ABAB datasets produced positive causal attenuation on the selected control axis.</x:v>
      </x:c>
      <x:c r="C17" s="89" t="str"/>
      <x:c r="D17" s="89" t="str"/>
      <x:c r="E17" s="89" t="str"/>
      <x:c r="F17" s="89" t="str"/>
      <x:c r="G17" s="89" t="str"/>
      <x:c r="H17" s="89" t="str"/>
      <x:c r="I17" s="89" t="str"/>
      <x:c r="J17" s="89" t="str"/>
      <x:c r="K17" s="89" t="str"/>
      <x:c r="L17" s="89" t="str"/>
      <x:c r="M17" s="89" t="str"/>
      <x:c r="N17" s="89" t="str"/>
      <x:c r="O17" s="88"/>
      <x:c r="P17" s="88"/>
      <x:c r="Q17" s="88"/>
      <x:c r="R17" s="88"/>
      <x:c r="S17" s="88"/>
      <x:c r="T17" s="88"/>
      <x:c r="U17" s="88"/>
      <x:c r="V17" s="88"/>
      <x:c r="W17" s="88"/>
    </x:row>
    <x:row r="18">
      <x:c r="A18" s="89" t="str">
        <x:v>2</x:v>
      </x:c>
      <x:c r="B18" s="89" t="str">
        <x:v>Y-ABAB-01 is the strongest causal showcase: 60.22% selected-Y attenuation and only 4.52% ON-state repeat difference.</x:v>
      </x:c>
      <x:c r="C18" s="89" t="str"/>
      <x:c r="D18" s="89" t="str"/>
      <x:c r="E18" s="89" t="str"/>
      <x:c r="F18" s="89" t="str"/>
      <x:c r="G18" s="89" t="str"/>
      <x:c r="H18" s="89" t="str"/>
      <x:c r="I18" s="89" t="str"/>
      <x:c r="J18" s="89" t="str"/>
      <x:c r="K18" s="89" t="str"/>
      <x:c r="L18" s="89" t="str"/>
      <x:c r="M18" s="89" t="str"/>
      <x:c r="N18" s="89" t="str"/>
      <x:c r="O18" s="88"/>
      <x:c r="P18" s="88"/>
      <x:c r="Q18" s="88"/>
      <x:c r="R18" s="88"/>
      <x:c r="S18" s="88"/>
      <x:c r="T18" s="88"/>
      <x:c r="U18" s="88"/>
      <x:c r="V18" s="88"/>
      <x:c r="W18" s="88"/>
    </x:row>
    <x:row r="19">
      <x:c r="A19" s="89" t="str">
        <x:v>3</x:v>
      </x:c>
      <x:c r="B19" s="89" t="str">
        <x:v>X-ABAB-02 is the strongest X causal evidence: 49.92% selected-X attenuation, 1.89% OFF repeat difference, and approximately neutral vector response.</x:v>
      </x:c>
      <x:c r="C19" s="89" t="str"/>
      <x:c r="D19" s="89" t="str"/>
      <x:c r="E19" s="89" t="str"/>
      <x:c r="F19" s="89" t="str"/>
      <x:c r="G19" s="89" t="str"/>
      <x:c r="H19" s="89" t="str"/>
      <x:c r="I19" s="89" t="str"/>
      <x:c r="J19" s="89" t="str"/>
      <x:c r="K19" s="89" t="str"/>
      <x:c r="L19" s="89" t="str"/>
      <x:c r="M19" s="89" t="str"/>
      <x:c r="N19" s="89" t="str"/>
      <x:c r="O19" s="88"/>
      <x:c r="P19" s="88"/>
      <x:c r="Q19" s="88"/>
      <x:c r="R19" s="88"/>
      <x:c r="S19" s="88"/>
      <x:c r="T19" s="88"/>
      <x:c r="U19" s="88"/>
      <x:c r="V19" s="88"/>
      <x:c r="W19" s="88"/>
    </x:row>
    <x:row r="20">
      <x:c r="A20" s="89" t="str">
        <x:v>4</x:v>
      </x:c>
      <x:c r="B20" s="89" t="str">
        <x:v>X-ABAB-01 confirms selected-axis causality but also demonstrates severe cross-axis redistribution; vector amplification does not negate the selected-X causal effect.</x:v>
      </x:c>
      <x:c r="C20" s="89" t="str"/>
      <x:c r="D20" s="89" t="str"/>
      <x:c r="E20" s="89" t="str"/>
      <x:c r="F20" s="89" t="str"/>
      <x:c r="G20" s="89" t="str"/>
      <x:c r="H20" s="89" t="str"/>
      <x:c r="I20" s="89" t="str"/>
      <x:c r="J20" s="89" t="str"/>
      <x:c r="K20" s="89" t="str"/>
      <x:c r="L20" s="89" t="str"/>
      <x:c r="M20" s="89" t="str"/>
      <x:c r="N20" s="89" t="str"/>
      <x:c r="O20" s="88"/>
      <x:c r="P20" s="88"/>
      <x:c r="Q20" s="88"/>
      <x:c r="R20" s="88"/>
      <x:c r="S20" s="88"/>
      <x:c r="T20" s="88"/>
      <x:c r="U20" s="88"/>
      <x:c r="V20" s="88"/>
      <x:c r="W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</x:row>
  </x:sheetData>
  <x:mergeCells>
    <x:mergeCell ref="A1:N1"/>
    <x:mergeCell ref="A9:H9"/>
    <x:mergeCell ref="A16:N16"/>
    <x:mergeCell ref="B17:N17"/>
    <x:mergeCell ref="B18:N18"/>
    <x:mergeCell ref="B19:N19"/>
    <x:mergeCell ref="B20:N20"/>
  </x:mergeCells>
  <x:conditionalFormatting sqref="E4:E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I4:I6">
    <x:cfRule type="expression" dxfId="0" priority="2">
      <x:formula>I4&lt;0</x:formula>
    </x:cfRule>
    <x:cfRule type="expression" dxfId="1" priority="3">
      <x:formula>I4&gt;=0</x:formula>
    </x:cfRule>
  </x:conditionalFormatting>
  <x:pageMargins left="0.7" right="0.7" top="0.75" bottom="0.75" header="0.3" footer="0.3"/>
  <x:drawing xmlns:r="http://schemas.openxmlformats.org/officeDocument/2006/relationships" r:id="Racdfe9ef5fab4f0e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4" max="4" width="4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55" t="str">
        <x:v>X-ABAB-01 — Successful A–B–A–B Causal Validation</x:v>
      </x:c>
      <x:c r="B1" s="55"/>
      <x:c r="C1" s="55"/>
      <x:c r="D1" s="55"/>
      <x:c r="E1" s="55"/>
      <x:c r="F1" s="55"/>
      <x:c r="G1" s="55"/>
      <x:c r="H1" s="55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</x:row>
    <x:row r="3">
      <x:c r="A3" s="14" t="str">
        <x:v>Parameter</x:v>
      </x:c>
      <x:c r="B3" s="14" t="str">
        <x:v>Value</x:v>
      </x:c>
      <x:c r="C3" s="88"/>
      <x:c r="D3" s="30" t="str">
        <x:v>Repeatability metric</x:v>
      </x:c>
      <x:c r="E3" s="30" t="str">
        <x:v>Value</x:v>
      </x:c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</x:row>
    <x:row r="4">
      <x:c r="A4" s="88" t="str">
        <x:v>Control axis</x:v>
      </x:c>
      <x:c r="B4" s="88" t="str">
        <x:v>X</x:v>
      </x:c>
      <x:c r="C4" s="88"/>
      <x:c r="D4" s="88" t="str">
        <x:v>OFF repeat difference A1/A2 (%)</x:v>
      </x:c>
      <x:c r="E4" s="98" t="n">
        <x:v>6.2925</x:v>
      </x:c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</x:row>
    <x:row r="5">
      <x:c r="A5" s="88" t="str">
        <x:v>Selected-axis OFF mean (m/s²)</x:v>
      </x:c>
      <x:c r="B5" s="99" t="n">
        <x:v>1.2903095</x:v>
      </x:c>
      <x:c r="C5" s="88"/>
      <x:c r="D5" s="88" t="str">
        <x:v>ON repeat difference B1/B2 (%)</x:v>
      </x:c>
      <x:c r="E5" s="98" t="n">
        <x:v>23.1407</x:v>
      </x:c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</x:row>
    <x:row r="6">
      <x:c r="A6" s="88" t="str">
        <x:v>Selected-axis ON mean (m/s²)</x:v>
      </x:c>
      <x:c r="B6" s="99" t="n">
        <x:v>0.9141673</x:v>
      </x:c>
      <x:c r="C6" s="88"/>
      <x:c r="D6" s="88" t="str">
        <x:v>Firmware selected-axis reduction (%)</x:v>
      </x:c>
      <x:c r="E6" s="98" t="n">
        <x:v>29.1513</x:v>
      </x:c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</x:row>
    <x:row r="7">
      <x:c r="A7" s="88" t="str">
        <x:v>Selected-axis causal attenuation (%)</x:v>
      </x:c>
      <x:c r="B7" s="99" t="n">
        <x:f>100*(1-B6/B5)</x:f>
        <x:v>29.151316021466165</x:v>
      </x:c>
      <x:c r="C7" s="88"/>
      <x:c r="D7" s="88" t="str">
        <x:v>Firmware vector reduction (%)</x:v>
      </x:c>
      <x:c r="E7" s="98" t="n">
        <x:v>-44.9801</x:v>
      </x:c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</x:row>
    <x:row r="8">
      <x:c r="A8" s="88" t="str">
        <x:v>Vector OFF mean (m/s²)</x:v>
      </x:c>
      <x:c r="B8" s="99" t="n">
        <x:v>1.3394378</x:v>
      </x:c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</x:row>
    <x:row r="9">
      <x:c r="A9" s="88" t="str">
        <x:v>Vector ON mean (m/s²)</x:v>
      </x:c>
      <x:c r="B9" s="99" t="n">
        <x:v>1.9419182</x:v>
      </x:c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</x:row>
    <x:row r="10">
      <x:c r="A10" s="88" t="str">
        <x:v>Vector causal change (%)</x:v>
      </x:c>
      <x:c r="B10" s="99" t="n">
        <x:f>100*(1-B9/B8)</x:f>
        <x:v>-44.98009538031553</x:v>
      </x:c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</x:row>
    <x:row r="13">
      <x:c r="A13" s="100" t="str">
        <x:v>Master-thesis interpretation</x:v>
      </x:c>
      <x:c r="B13" s="100"/>
      <x:c r="C13" s="100"/>
      <x:c r="D13" s="100"/>
      <x:c r="E13" s="100"/>
      <x:c r="F13" s="100"/>
      <x:c r="G13" s="100"/>
      <x:c r="H13" s="100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</x:row>
    <x:row r="14">
      <x:c r="A14" s="89" t="str">
        <x:v>X-ABAB-01 is a firmware-valid A–B–A–B causal test. Switching the frozen controller ON reduced the selected X-axis amplitude from 1.290309 to 0.914167 m/s², corresponding to 29.151% causal attenuation. The vector response changed from 1.339438 to 1.941918 m/s² (-44.980%). Valid causal selected-X attenuation. Strong cross-axis redistribution caused substantial vector amplification.</x:v>
      </x:c>
      <x:c r="B14" s="89"/>
      <x:c r="C14" s="89"/>
      <x:c r="D14" s="89"/>
      <x:c r="E14" s="89"/>
      <x:c r="F14" s="89"/>
      <x:c r="G14" s="89"/>
      <x:c r="H14" s="89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</x:row>
    <x:row r="20">
      <x:c r="A20" s="14" t="str">
        <x:v>Audit field</x:v>
      </x:c>
      <x:c r="B20" s="14" t="str">
        <x:v>Record</x:v>
      </x:c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</x:row>
    <x:row r="21">
      <x:c r="A21" s="89" t="str">
        <x:v>Source dataset</x:v>
      </x:c>
      <x:c r="B21" s="89" t="str">
        <x:v>Pasted text.txt — uploaded 2026-09-01 14:39:44 UTC</x:v>
      </x:c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</x:row>
    <x:row r="22">
      <x:c r="A22" s="89" t="str">
        <x:v>Inclusion rule</x:v>
      </x:c>
      <x:c r="B22" s="89" t="str">
        <x:v>Included because all four ABAB segments were valid and firmware produced CSV_FX_ABAB_FINAL with positive selected-axis causal reduction.</x:v>
      </x:c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</x:row>
  </x:sheetData>
  <x:mergeCells>
    <x:mergeCell ref="A1:H1"/>
    <x:mergeCell ref="A13:H13"/>
    <x:mergeCell ref="A14:H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4" max="4" width="40" hidden="0" customWidth="1"/>
    <x:col min="5" max="5" width="20" hidden="0" customWidth="1"/>
    <x:col min="6" max="6" width="14" hidden="0" customWidth="1"/>
    <x:col min="7" max="7" width="14" hidden="0" customWidth="1"/>
    <x:col min="8" max="8" width="18" hidden="0" customWidth="1"/>
    <x:col min="9" max="9" width="16" hidden="0" customWidth="1"/>
    <x:col min="10" max="10" width="16" hidden="0" customWidth="1"/>
    <x:col min="11" max="11" width="32" hidden="0" customWidth="1"/>
  </x:cols>
  <x:sheetData>
    <x:row r="1" ht="26" customHeight="1">
      <x:c r="A1" s="67" t="str">
        <x:v>X-ABAB-02 — Successful A–B–A–B Causal Validation</x:v>
      </x:c>
      <x:c r="B1" s="67"/>
      <x:c r="C1" s="67"/>
      <x:c r="D1" s="67"/>
      <x:c r="E1" s="67"/>
      <x:c r="F1" s="67"/>
      <x:c r="G1" s="67"/>
      <x:c r="H1" s="67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</x:row>
    <x:row r="3">
      <x:c r="A3" s="14" t="str">
        <x:v>Parameter</x:v>
      </x:c>
      <x:c r="B3" s="14" t="str">
        <x:v>Value</x:v>
      </x:c>
      <x:c r="C3" s="88"/>
      <x:c r="D3" s="30" t="str">
        <x:v>Repeatability metric</x:v>
      </x:c>
      <x:c r="E3" s="30" t="str">
        <x:v>Value</x:v>
      </x:c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</x:row>
    <x:row r="4">
      <x:c r="A4" s="88" t="str">
        <x:v>Control axis</x:v>
      </x:c>
      <x:c r="B4" s="88" t="str">
        <x:v>X</x:v>
      </x:c>
      <x:c r="C4" s="88"/>
      <x:c r="D4" s="88" t="str">
        <x:v>OFF repeat difference A1/A2 (%)</x:v>
      </x:c>
      <x:c r="E4" s="98" t="n">
        <x:v>1.886</x:v>
      </x:c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</x:row>
    <x:row r="5">
      <x:c r="A5" s="88" t="str">
        <x:v>Selected-axis OFF mean (m/s²)</x:v>
      </x:c>
      <x:c r="B5" s="99" t="n">
        <x:v>0.9545346</x:v>
      </x:c>
      <x:c r="C5" s="88"/>
      <x:c r="D5" s="88" t="str">
        <x:v>ON repeat difference B1/B2 (%)</x:v>
      </x:c>
      <x:c r="E5" s="98" t="n">
        <x:v>42.0659</x:v>
      </x:c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</x:row>
    <x:row r="6">
      <x:c r="A6" s="88" t="str">
        <x:v>Selected-axis ON mean (m/s²)</x:v>
      </x:c>
      <x:c r="B6" s="99" t="n">
        <x:v>0.4780102</x:v>
      </x:c>
      <x:c r="C6" s="88"/>
      <x:c r="D6" s="88" t="str">
        <x:v>Firmware selected-axis reduction (%)</x:v>
      </x:c>
      <x:c r="E6" s="98" t="n">
        <x:v>49.9222</x:v>
      </x:c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</x:row>
    <x:row r="7">
      <x:c r="A7" s="88" t="str">
        <x:v>Selected-axis causal attenuation (%)</x:v>
      </x:c>
      <x:c r="B7" s="99" t="n">
        <x:f>100*(1-B6/B5)</x:f>
        <x:v>49.92217149593111</x:v>
      </x:c>
      <x:c r="C7" s="88"/>
      <x:c r="D7" s="88" t="str">
        <x:v>Firmware vector reduction (%)</x:v>
      </x:c>
      <x:c r="E7" s="98" t="n">
        <x:v>0.5013</x:v>
      </x:c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</x:row>
    <x:row r="8">
      <x:c r="A8" s="88" t="str">
        <x:v>Vector OFF mean (m/s²)</x:v>
      </x:c>
      <x:c r="B8" s="99" t="n">
        <x:v>1.1953541</x:v>
      </x:c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</x:row>
    <x:row r="9">
      <x:c r="A9" s="88" t="str">
        <x:v>Vector ON mean (m/s²)</x:v>
      </x:c>
      <x:c r="B9" s="99" t="n">
        <x:v>1.1893614</x:v>
      </x:c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</x:row>
    <x:row r="10">
      <x:c r="A10" s="88" t="str">
        <x:v>Vector causal change (%)</x:v>
      </x:c>
      <x:c r="B10" s="99" t="n">
        <x:f>100*(1-B9/B8)</x:f>
        <x:v>0.5013326176737221</x:v>
      </x:c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</x:row>
    <x:row r="13">
      <x:c r="A13" s="100" t="str">
        <x:v>Master-thesis interpretation</x:v>
      </x:c>
      <x:c r="B13" s="100"/>
      <x:c r="C13" s="100"/>
      <x:c r="D13" s="100"/>
      <x:c r="E13" s="100"/>
      <x:c r="F13" s="100"/>
      <x:c r="G13" s="100"/>
      <x:c r="H13" s="100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</x:row>
    <x:row r="14">
      <x:c r="A14" s="89" t="str">
        <x:v>X-ABAB-02 is a firmware-valid A–B–A–B causal test. Switching the frozen controller ON reduced the selected X-axis amplitude from 0.954535 to 0.478010 m/s², corresponding to 49.922% causal attenuation. The vector response changed from 1.195354 to 1.189361 m/s² (0.501%). Strong causal selected-X attenuation with nearly neutral/slightly improved vector response. OFF state was highly repeatable; ON state varied substantially.</x:v>
      </x:c>
      <x:c r="B14" s="89"/>
      <x:c r="C14" s="89"/>
      <x:c r="D14" s="89"/>
      <x:c r="E14" s="89"/>
      <x:c r="F14" s="89"/>
      <x:c r="G14" s="89"/>
      <x:c r="H14" s="89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</x:row>
    <x:row r="20">
      <x:c r="A20" s="14" t="str">
        <x:v>Audit field</x:v>
      </x:c>
      <x:c r="B20" s="14" t="str">
        <x:v>Record</x:v>
      </x:c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</x:row>
    <x:row r="21">
      <x:c r="A21" s="89" t="str">
        <x:v>Source dataset</x:v>
      </x:c>
      <x:c r="B21" s="89" t="str">
        <x:v>Pasted text.txt — uploaded 2026-09-01 10:34:46 UTC</x:v>
      </x:c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</x:row>
    <x:row r="22">
      <x:c r="A22" s="89" t="str">
        <x:v>Inclusion rule</x:v>
      </x:c>
      <x:c r="B22" s="89" t="str">
        <x:v>Included because all four ABAB segments were valid and firmware produced CSV_FX_ABAB_FINAL with positive selected-axis causal reduction.</x:v>
      </x:c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</x:row>
    <x:row r="25">
      <x:c r="A25" s="104" t="str">
        <x:v>A1/B1/A2/B2 Segment Means — X-ABAB-02</x:v>
      </x:c>
      <x:c r="B25" s="104"/>
      <x:c r="C25" s="104"/>
      <x:c r="D25" s="104"/>
      <x:c r="E25" s="104"/>
      <x:c r="F25" s="104"/>
      <x:c r="G25" s="104"/>
      <x:c r="H25" s="104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</x:row>
    <x:row r="27">
      <x:c r="A27" s="30" t="str">
        <x:v>Segment</x:v>
      </x:c>
      <x:c r="B27" s="30" t="str">
        <x:v>Controller</x:v>
      </x:c>
      <x:c r="C27" s="30" t="str">
        <x:v>X (m/s²)</x:v>
      </x:c>
      <x:c r="D27" s="30" t="str">
        <x:v>Y (m/s²)</x:v>
      </x:c>
      <x:c r="E27" s="30" t="str">
        <x:v>Z (m/s²)</x:v>
      </x:c>
      <x:c r="F27" s="30" t="str">
        <x:v>Vector (m/s²)</x:v>
      </x:c>
      <x:c r="G27" s="88"/>
      <x:c r="H27" s="14" t="str">
        <x:v>Pair</x:v>
      </x:c>
      <x:c r="I27" s="14" t="str">
        <x:v>X causal %</x:v>
      </x:c>
      <x:c r="J27" s="14" t="str">
        <x:v>Vector causal %</x:v>
      </x:c>
      <x:c r="K27" s="14" t="str">
        <x:v>Interpretation</x:v>
      </x:c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</x:row>
    <x:row r="28">
      <x:c r="A28" s="88" t="str">
        <x:v>A1</x:v>
      </x:c>
      <x:c r="B28" s="88" t="str">
        <x:v>OFF</x:v>
      </x:c>
      <x:c r="C28" s="99" t="n">
        <x:v>0.945533</x:v>
      </x:c>
      <x:c r="D28" s="99" t="n">
        <x:v>0.596536</x:v>
      </x:c>
      <x:c r="E28" s="99" t="n">
        <x:v>0.382218</x:v>
      </x:c>
      <x:c r="F28" s="99" t="n">
        <x:v>1.1889</x:v>
      </x:c>
      <x:c r="G28" s="88"/>
      <x:c r="H28" s="88" t="str">
        <x:v>B1 vs A1</x:v>
      </x:c>
      <x:c r="I28" s="98" t="n">
        <x:f>100*(1-C29/C28)</x:f>
        <x:v>38.812288941792616</x:v>
      </x:c>
      <x:c r="J28" s="98" t="n">
        <x:f>100*(1-F29/F28)</x:f>
        <x:v>-8.100933636134243</x:v>
      </x:c>
      <x:c r="K28" s="88" t="str">
        <x:v>First OFF→ON transition</x:v>
      </x:c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</x:row>
    <x:row r="29">
      <x:c r="A29" s="88" t="str">
        <x:v>B1</x:v>
      </x:c>
      <x:c r="B29" s="88" t="str">
        <x:v>ON</x:v>
      </x:c>
      <x:c r="C29" s="99" t="n">
        <x:v>0.57855</x:v>
      </x:c>
      <x:c r="D29" s="99" t="n">
        <x:v>0.674687</x:v>
      </x:c>
      <x:c r="E29" s="99" t="n">
        <x:v>0.821834</x:v>
      </x:c>
      <x:c r="F29" s="99" t="n">
        <x:v>1.285212</x:v>
      </x:c>
      <x:c r="G29" s="88"/>
      <x:c r="H29" s="88" t="str">
        <x:v>B2 vs A2</x:v>
      </x:c>
      <x:c r="I29" s="98" t="n">
        <x:f>100*(1-C31/C30)</x:f>
        <x:v>60.82440095647698</x:v>
      </x:c>
      <x:c r="J29" s="98" t="n">
        <x:f>100*(1-F31/F30)</x:f>
        <x:v>9.011332083550705</x:v>
      </x:c>
      <x:c r="K29" s="88" t="str">
        <x:v>Second independent OFF→ON transition</x:v>
      </x:c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</x:row>
    <x:row r="30">
      <x:c r="A30" s="88" t="str">
        <x:v>A2</x:v>
      </x:c>
      <x:c r="B30" s="88" t="str">
        <x:v>OFF</x:v>
      </x:c>
      <x:c r="C30" s="99" t="n">
        <x:v>0.963536</x:v>
      </x:c>
      <x:c r="D30" s="99" t="n">
        <x:v>0.544532</x:v>
      </x:c>
      <x:c r="E30" s="99" t="n">
        <x:v>0.451584</x:v>
      </x:c>
      <x:c r="F30" s="99" t="n">
        <x:v>1.201809</x:v>
      </x:c>
      <x:c r="G30" s="88"/>
      <x:c r="H30" s="88" t="str">
        <x:v>Combined</x:v>
      </x:c>
      <x:c r="I30" s="98" t="n">
        <x:f>100*(1-AVERAGE(C29,C31)/AVERAGE(C28,C30))</x:f>
        <x:v>49.922134820690076</x:v>
      </x:c>
      <x:c r="J30" s="98" t="n">
        <x:f>100*(1-AVERAGE(F29,F31)/AVERAGE(F28,F30))</x:f>
        <x:v>0.5013993756664004</x:v>
      </x:c>
      <x:c r="K30" s="88" t="str">
        <x:v>Firmware-style mean OFF vs mean ON</x:v>
      </x:c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</x:row>
    <x:row r="31">
      <x:c r="A31" s="88" t="str">
        <x:v>B2</x:v>
      </x:c>
      <x:c r="B31" s="88" t="str">
        <x:v>ON</x:v>
      </x:c>
      <x:c r="C31" s="99" t="n">
        <x:v>0.377471</x:v>
      </x:c>
      <x:c r="D31" s="99" t="n">
        <x:v>0.838315</x:v>
      </x:c>
      <x:c r="E31" s="99" t="n">
        <x:v>0.567847</x:v>
      </x:c>
      <x:c r="F31" s="99" t="n">
        <x:v>1.09351</x:v>
      </x:c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</x:row>
  </x:sheetData>
  <x:mergeCells>
    <x:mergeCell ref="A1:H1"/>
    <x:mergeCell ref="A13:H13"/>
    <x:mergeCell ref="A14:H17"/>
    <x:mergeCell ref="A25:H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8" hidden="0" customWidth="1"/>
    <x:col min="4" max="4" width="40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6" customHeight="1">
      <x:c r="A1" s="75" t="str">
        <x:v>Y-ABAB-01 — Successful A–B–A–B Causal Validation</x:v>
      </x:c>
      <x:c r="B1" s="75"/>
      <x:c r="C1" s="75"/>
      <x:c r="D1" s="75"/>
      <x:c r="E1" s="75"/>
      <x:c r="F1" s="75"/>
      <x:c r="G1" s="75"/>
      <x:c r="H1" s="75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</x:row>
    <x:row r="3">
      <x:c r="A3" s="14" t="str">
        <x:v>Parameter</x:v>
      </x:c>
      <x:c r="B3" s="14" t="str">
        <x:v>Value</x:v>
      </x:c>
      <x:c r="C3" s="88"/>
      <x:c r="D3" s="30" t="str">
        <x:v>Repeatability metric</x:v>
      </x:c>
      <x:c r="E3" s="30" t="str">
        <x:v>Value</x:v>
      </x:c>
      <x:c r="F3" s="88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</x:row>
    <x:row r="4">
      <x:c r="A4" s="88" t="str">
        <x:v>Control axis</x:v>
      </x:c>
      <x:c r="B4" s="88" t="str">
        <x:v>Y</x:v>
      </x:c>
      <x:c r="C4" s="88"/>
      <x:c r="D4" s="88" t="str">
        <x:v>OFF repeat difference A1/A2 (%)</x:v>
      </x:c>
      <x:c r="E4" s="98" t="n">
        <x:v>8.4159</x:v>
      </x:c>
      <x:c r="F4" s="88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</x:row>
    <x:row r="5">
      <x:c r="A5" s="88" t="str">
        <x:v>Selected-axis OFF mean (m/s²)</x:v>
      </x:c>
      <x:c r="B5" s="99" t="n">
        <x:v>0.538901</x:v>
      </x:c>
      <x:c r="C5" s="88"/>
      <x:c r="D5" s="88" t="str">
        <x:v>ON repeat difference B1/B2 (%)</x:v>
      </x:c>
      <x:c r="E5" s="98" t="n">
        <x:v>4.5193</x:v>
      </x:c>
      <x:c r="F5" s="88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</x:row>
    <x:row r="6">
      <x:c r="A6" s="88" t="str">
        <x:v>Selected-axis ON mean (m/s²)</x:v>
      </x:c>
      <x:c r="B6" s="99" t="n">
        <x:v>0.2143748</x:v>
      </x:c>
      <x:c r="C6" s="88"/>
      <x:c r="D6" s="88" t="str">
        <x:v>Firmware selected-axis reduction (%)</x:v>
      </x:c>
      <x:c r="E6" s="98" t="n">
        <x:v>60.22</x:v>
      </x:c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</x:row>
    <x:row r="7">
      <x:c r="A7" s="88" t="str">
        <x:v>Selected-axis causal attenuation (%)</x:v>
      </x:c>
      <x:c r="B7" s="99" t="n">
        <x:f>100*(1-B6/B5)</x:f>
        <x:v>60.22000330301856</x:v>
      </x:c>
      <x:c r="C7" s="88"/>
      <x:c r="D7" s="88" t="str">
        <x:v>Firmware vector reduction (%)</x:v>
      </x:c>
      <x:c r="E7" s="98" t="n">
        <x:v>-4.5741</x:v>
      </x:c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</x:row>
    <x:row r="8">
      <x:c r="A8" s="88" t="str">
        <x:v>Vector OFF mean (m/s²)</x:v>
      </x:c>
      <x:c r="B8" s="99" t="n">
        <x:v>1.4390927</x:v>
      </x:c>
      <x:c r="C8" s="88"/>
      <x:c r="D8" s="88"/>
      <x:c r="E8" s="88"/>
      <x:c r="F8" s="88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</x:row>
    <x:row r="9">
      <x:c r="A9" s="88" t="str">
        <x:v>Vector ON mean (m/s²)</x:v>
      </x:c>
      <x:c r="B9" s="99" t="n">
        <x:v>1.5049184</x:v>
      </x:c>
      <x:c r="C9" s="88"/>
      <x:c r="D9" s="88"/>
      <x:c r="E9" s="88"/>
      <x:c r="F9" s="88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</x:row>
    <x:row r="10">
      <x:c r="A10" s="88" t="str">
        <x:v>Vector causal change (%)</x:v>
      </x:c>
      <x:c r="B10" s="99" t="n">
        <x:f>100*(1-B9/B8)</x:f>
        <x:v>-4.574111174353113</x:v>
      </x:c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>
      <x:c r="A12" s="88"/>
      <x:c r="B12" s="88"/>
      <x:c r="C12" s="88"/>
      <x:c r="D12" s="88"/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</x:row>
    <x:row r="13">
      <x:c r="A13" s="100" t="str">
        <x:v>Master-thesis interpretation</x:v>
      </x:c>
      <x:c r="B13" s="100"/>
      <x:c r="C13" s="100"/>
      <x:c r="D13" s="100"/>
      <x:c r="E13" s="100"/>
      <x:c r="F13" s="100"/>
      <x:c r="G13" s="100"/>
      <x:c r="H13" s="100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</x:row>
    <x:row r="14">
      <x:c r="A14" s="89" t="str">
        <x:v>Y-ABAB-01 is a firmware-valid A–B–A–B causal test. Switching the frozen controller ON reduced the selected Y-axis amplitude from 0.538901 to 0.214375 m/s², corresponding to 60.220% causal attenuation. The vector response changed from 1.439093 to 1.504918 m/s² (-4.574%). Strongest successful causal test. Very high selected-Y attenuation with excellent ON-state repeatability; vector increased slightly.</x:v>
      </x:c>
      <x:c r="B14" s="89"/>
      <x:c r="C14" s="89"/>
      <x:c r="D14" s="89"/>
      <x:c r="E14" s="89"/>
      <x:c r="F14" s="89"/>
      <x:c r="G14" s="89"/>
      <x:c r="H14" s="89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</x:row>
    <x:row r="15">
      <x:c r="A15" s="89"/>
      <x:c r="B15" s="89"/>
      <x:c r="C15" s="89"/>
      <x:c r="D15" s="89"/>
      <x:c r="E15" s="89"/>
      <x:c r="F15" s="89"/>
      <x:c r="G15" s="89"/>
      <x:c r="H15" s="89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</x:row>
    <x:row r="16">
      <x:c r="A16" s="89"/>
      <x:c r="B16" s="89"/>
      <x:c r="C16" s="89"/>
      <x:c r="D16" s="89"/>
      <x:c r="E16" s="89"/>
      <x:c r="F16" s="89"/>
      <x:c r="G16" s="89"/>
      <x:c r="H16" s="89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</x:row>
    <x:row r="17">
      <x:c r="A17" s="89"/>
      <x:c r="B17" s="89"/>
      <x:c r="C17" s="89"/>
      <x:c r="D17" s="89"/>
      <x:c r="E17" s="89"/>
      <x:c r="F17" s="89"/>
      <x:c r="G17" s="89"/>
      <x:c r="H17" s="89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</x:row>
    <x:row r="20">
      <x:c r="A20" s="14" t="str">
        <x:v>Audit field</x:v>
      </x:c>
      <x:c r="B20" s="14" t="str">
        <x:v>Record</x:v>
      </x:c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</x:row>
    <x:row r="21">
      <x:c r="A21" s="89" t="str">
        <x:v>Source dataset</x:v>
      </x:c>
      <x:c r="B21" s="89" t="str">
        <x:v>Pasted text.txt — uploaded 2026-09-01 15:36:07 UTC</x:v>
      </x:c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</x:row>
    <x:row r="22">
      <x:c r="A22" s="89" t="str">
        <x:v>Inclusion rule</x:v>
      </x:c>
      <x:c r="B22" s="89" t="str">
        <x:v>Included because all four ABAB segments were valid and firmware produced CSV_FX_ABAB_FINAL with positive selected-axis causal reduction.</x:v>
      </x:c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</x:row>
  </x:sheetData>
  <x:mergeCells>
    <x:mergeCell ref="A1:H1"/>
    <x:mergeCell ref="A13:H13"/>
    <x:mergeCell ref="A14:H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7" hidden="0" customWidth="1"/>
    <x:col min="4" max="4" width="65" hidden="0" customWidth="1"/>
    <x:col min="5" max="5" width="14" hidden="0" customWidth="1"/>
    <x:col min="6" max="6" width="14" hidden="0" customWidth="1"/>
  </x:cols>
  <x:sheetData>
    <x:row r="1" ht="26" customHeight="1">
      <x:c r="A1" s="83" t="str">
        <x:v>A–B–A–B Validation Method, Inclusion Rule and Provenance</x:v>
      </x:c>
      <x:c r="B1" s="83"/>
      <x:c r="C1" s="83"/>
      <x:c r="D1" s="83"/>
      <x:c r="E1" s="83"/>
      <x:c r="F1" s="83"/>
      <x:c r="G1" s="88"/>
      <x:c r="H1" s="88"/>
      <x:c r="I1" s="88"/>
      <x:c r="J1" s="88"/>
      <x:c r="K1" s="88"/>
      <x:c r="L1" s="88"/>
      <x:c r="M1" s="88"/>
      <x:c r="N1" s="88"/>
      <x:c r="O1" s="88"/>
      <x:c r="P1" s="88"/>
      <x:c r="Q1" s="88"/>
      <x:c r="R1" s="88"/>
      <x:c r="S1" s="88"/>
      <x:c r="T1" s="88"/>
      <x:c r="U1" s="88"/>
      <x:c r="V1" s="88"/>
      <x:c r="W1" s="88"/>
    </x:row>
    <x:row r="2">
      <x:c r="A2" s="88"/>
      <x:c r="B2" s="88"/>
      <x:c r="C2" s="88"/>
      <x:c r="D2" s="88"/>
      <x:c r="E2" s="88"/>
      <x:c r="F2" s="88"/>
      <x:c r="G2" s="88"/>
      <x:c r="H2" s="88"/>
      <x:c r="I2" s="88"/>
      <x:c r="J2" s="88"/>
      <x:c r="K2" s="88"/>
      <x:c r="L2" s="88"/>
      <x:c r="M2" s="88"/>
      <x:c r="N2" s="88"/>
      <x:c r="O2" s="88"/>
      <x:c r="P2" s="88"/>
      <x:c r="Q2" s="88"/>
      <x:c r="R2" s="88"/>
      <x:c r="S2" s="88"/>
      <x:c r="T2" s="88"/>
      <x:c r="U2" s="88"/>
      <x:c r="V2" s="88"/>
      <x:c r="W2" s="88"/>
    </x:row>
    <x:row r="3">
      <x:c r="A3" s="14" t="str">
        <x:v>Item</x:v>
      </x:c>
      <x:c r="B3" s="14" t="str">
        <x:v>Definition / thesis record</x:v>
      </x:c>
      <x:c r="C3" s="14" t="str"/>
      <x:c r="D3" s="14" t="str"/>
      <x:c r="E3" s="14" t="str"/>
      <x:c r="F3" s="14" t="str"/>
      <x:c r="G3" s="88"/>
      <x:c r="H3" s="88"/>
      <x:c r="I3" s="88"/>
      <x:c r="J3" s="88"/>
      <x:c r="K3" s="88"/>
      <x:c r="L3" s="88"/>
      <x:c r="M3" s="88"/>
      <x:c r="N3" s="88"/>
      <x:c r="O3" s="88"/>
      <x:c r="P3" s="88"/>
      <x:c r="Q3" s="88"/>
      <x:c r="R3" s="88"/>
      <x:c r="S3" s="88"/>
      <x:c r="T3" s="88"/>
      <x:c r="U3" s="88"/>
      <x:c r="V3" s="88"/>
      <x:c r="W3" s="88"/>
    </x:row>
    <x:row r="4">
      <x:c r="A4" s="89" t="str">
        <x:v>Protocol</x:v>
      </x:c>
      <x:c r="B4" s="89" t="str">
        <x:v>A1: controller OFF 5 s; B1: frozen controller ON 10 s; A2: controller OFF 5 s; B2: same frozen controller ON 10 s. Tool remains ON continuously and mounting/grip should not move.</x:v>
      </x:c>
      <x:c r="C4" s="89" t="str"/>
      <x:c r="D4" s="89" t="str"/>
      <x:c r="E4" s="89" t="str"/>
      <x:c r="F4" s="89" t="str"/>
      <x:c r="G4" s="88"/>
      <x:c r="H4" s="88"/>
      <x:c r="I4" s="88"/>
      <x:c r="J4" s="88"/>
      <x:c r="K4" s="88"/>
      <x:c r="L4" s="88"/>
      <x:c r="M4" s="88"/>
      <x:c r="N4" s="88"/>
      <x:c r="O4" s="88"/>
      <x:c r="P4" s="88"/>
      <x:c r="Q4" s="88"/>
      <x:c r="R4" s="88"/>
      <x:c r="S4" s="88"/>
      <x:c r="T4" s="88"/>
      <x:c r="U4" s="88"/>
      <x:c r="V4" s="88"/>
      <x:c r="W4" s="88"/>
    </x:row>
    <x:row r="5">
      <x:c r="A5" s="89" t="str">
        <x:v>Primary causal metric</x:v>
      </x:c>
      <x:c r="B5" s="89" t="str">
        <x:v>Selected-axis reduction = 100 × (1 − selected ON mean / selected OFF mean). Positive values indicate causal attenuation.</x:v>
      </x:c>
      <x:c r="C5" s="89" t="str"/>
      <x:c r="D5" s="89" t="str"/>
      <x:c r="E5" s="89" t="str"/>
      <x:c r="F5" s="89" t="str"/>
      <x:c r="G5" s="88"/>
      <x:c r="H5" s="88"/>
      <x:c r="I5" s="88"/>
      <x:c r="J5" s="88"/>
      <x:c r="K5" s="88"/>
      <x:c r="L5" s="88"/>
      <x:c r="M5" s="88"/>
      <x:c r="N5" s="88"/>
      <x:c r="O5" s="88"/>
      <x:c r="P5" s="88"/>
      <x:c r="Q5" s="88"/>
      <x:c r="R5" s="88"/>
      <x:c r="S5" s="88"/>
      <x:c r="T5" s="88"/>
      <x:c r="U5" s="88"/>
      <x:c r="V5" s="88"/>
      <x:c r="W5" s="88"/>
    </x:row>
    <x:row r="6">
      <x:c r="A6" s="89" t="str">
        <x:v>Vector diagnostic</x:v>
      </x:c>
      <x:c r="B6" s="89" t="str">
        <x:v>Vector reduction = 100 × (1 − vector ON mean / vector OFF mean). Positive = vector attenuation; negative = vector amplification.</x:v>
      </x:c>
      <x:c r="C6" s="89" t="str"/>
      <x:c r="D6" s="89" t="str"/>
      <x:c r="E6" s="89" t="str"/>
      <x:c r="F6" s="89" t="str"/>
      <x:c r="G6" s="88"/>
      <x:c r="H6" s="88"/>
      <x:c r="I6" s="88"/>
      <x:c r="J6" s="88"/>
      <x:c r="K6" s="88"/>
      <x:c r="L6" s="88"/>
      <x:c r="M6" s="88"/>
      <x:c r="N6" s="88"/>
      <x:c r="O6" s="88"/>
      <x:c r="P6" s="88"/>
      <x:c r="Q6" s="88"/>
      <x:c r="R6" s="88"/>
      <x:c r="S6" s="88"/>
      <x:c r="T6" s="88"/>
      <x:c r="U6" s="88"/>
      <x:c r="V6" s="88"/>
      <x:c r="W6" s="88"/>
    </x:row>
    <x:row r="7">
      <x:c r="A7" s="89" t="str">
        <x:v>Repeatability</x:v>
      </x:c>
      <x:c r="B7" s="89" t="str">
        <x:v>OFF repeat difference compares A1 vs A2; ON repeat difference compares B1 vs B2 using the firmware percent-difference definition.</x:v>
      </x:c>
      <x:c r="C7" s="89" t="str"/>
      <x:c r="D7" s="89" t="str"/>
      <x:c r="E7" s="89" t="str"/>
      <x:c r="F7" s="89" t="str"/>
      <x:c r="G7" s="88"/>
      <x:c r="H7" s="88"/>
      <x:c r="I7" s="88"/>
      <x:c r="J7" s="88"/>
      <x:c r="K7" s="88"/>
      <x:c r="L7" s="88"/>
      <x:c r="M7" s="88"/>
      <x:c r="N7" s="88"/>
      <x:c r="O7" s="88"/>
      <x:c r="P7" s="88"/>
      <x:c r="Q7" s="88"/>
      <x:c r="R7" s="88"/>
      <x:c r="S7" s="88"/>
      <x:c r="T7" s="88"/>
      <x:c r="U7" s="88"/>
      <x:c r="V7" s="88"/>
      <x:c r="W7" s="88"/>
    </x:row>
    <x:row r="8">
      <x:c r="A8" s="89" t="str">
        <x:v>Successful-run inclusion rule</x:v>
      </x:c>
      <x:c r="B8" s="89" t="str">
        <x:v>Only datasets where all four segments were valid, firmware emitted CSV_FX_ABAB_FINAL, and selected-axis causal reduction was positive are included.</x:v>
      </x:c>
      <x:c r="C8" s="89" t="str"/>
      <x:c r="D8" s="89" t="str"/>
      <x:c r="E8" s="89" t="str"/>
      <x:c r="F8" s="89" t="str"/>
      <x:c r="G8" s="88"/>
      <x:c r="H8" s="88"/>
      <x:c r="I8" s="88"/>
      <x:c r="J8" s="88"/>
      <x:c r="K8" s="88"/>
      <x:c r="L8" s="88"/>
      <x:c r="M8" s="88"/>
      <x:c r="N8" s="88"/>
      <x:c r="O8" s="88"/>
      <x:c r="P8" s="88"/>
      <x:c r="Q8" s="88"/>
      <x:c r="R8" s="88"/>
      <x:c r="S8" s="88"/>
      <x:c r="T8" s="88"/>
      <x:c r="U8" s="88"/>
      <x:c r="V8" s="88"/>
      <x:c r="W8" s="88"/>
    </x:row>
    <x:row r="9">
      <x:c r="A9" s="89" t="str">
        <x:v>Exclusions</x:v>
      </x:c>
      <x:c r="B9" s="89" t="str">
        <x:v>ABAB attempts explicitly marked 'A-B-A-B VALIDATION FAILED' are intentionally excluded from this workbook.</x:v>
      </x:c>
      <x:c r="C9" s="89" t="str"/>
      <x:c r="D9" s="89" t="str"/>
      <x:c r="E9" s="89" t="str"/>
      <x:c r="F9" s="89" t="str"/>
      <x:c r="G9" s="88"/>
      <x:c r="H9" s="88"/>
      <x:c r="I9" s="88"/>
      <x:c r="J9" s="88"/>
      <x:c r="K9" s="88"/>
      <x:c r="L9" s="88"/>
      <x:c r="M9" s="88"/>
      <x:c r="N9" s="88"/>
      <x:c r="O9" s="88"/>
      <x:c r="P9" s="88"/>
      <x:c r="Q9" s="88"/>
      <x:c r="R9" s="88"/>
      <x:c r="S9" s="88"/>
      <x:c r="T9" s="88"/>
      <x:c r="U9" s="88"/>
      <x:c r="V9" s="88"/>
      <x:c r="W9" s="88"/>
    </x:row>
    <x:row r="10">
      <x:c r="A10" s="88"/>
      <x:c r="B10" s="88"/>
      <x:c r="C10" s="88"/>
      <x:c r="D10" s="88"/>
      <x:c r="E10" s="88"/>
      <x:c r="F10" s="88"/>
      <x:c r="G10" s="88"/>
      <x:c r="H10" s="88"/>
      <x:c r="I10" s="88"/>
      <x:c r="J10" s="88"/>
      <x:c r="K10" s="88"/>
      <x:c r="L10" s="88"/>
      <x:c r="M10" s="88"/>
      <x:c r="N10" s="88"/>
      <x:c r="O10" s="88"/>
      <x:c r="P10" s="88"/>
      <x:c r="Q10" s="88"/>
      <x:c r="R10" s="88"/>
      <x:c r="S10" s="88"/>
      <x:c r="T10" s="88"/>
      <x:c r="U10" s="88"/>
      <x:c r="V10" s="88"/>
      <x:c r="W10" s="88"/>
    </x:row>
    <x:row r="11">
      <x:c r="A11" s="88"/>
      <x:c r="B11" s="88"/>
      <x:c r="C11" s="88"/>
      <x:c r="D11" s="88"/>
      <x:c r="E11" s="88"/>
      <x:c r="F11" s="88"/>
      <x:c r="G11" s="88"/>
      <x:c r="H11" s="88"/>
      <x:c r="I11" s="88"/>
      <x:c r="J11" s="88"/>
      <x:c r="K11" s="88"/>
      <x:c r="L11" s="88"/>
      <x:c r="M11" s="88"/>
      <x:c r="N11" s="88"/>
      <x:c r="O11" s="88"/>
      <x:c r="P11" s="88"/>
      <x:c r="Q11" s="88"/>
      <x:c r="R11" s="88"/>
      <x:c r="S11" s="88"/>
      <x:c r="T11" s="88"/>
      <x:c r="U11" s="88"/>
      <x:c r="V11" s="88"/>
      <x:c r="W11" s="88"/>
    </x:row>
    <x:row r="12">
      <x:c r="A12" s="30" t="str">
        <x:v>Run ID</x:v>
      </x:c>
      <x:c r="B12" s="30" t="str">
        <x:v>Source file</x:v>
      </x:c>
      <x:c r="C12" s="30" t="str">
        <x:v>File creation time</x:v>
      </x:c>
      <x:c r="D12" s="30" t="str">
        <x:v>Evidence retained</x:v>
      </x:c>
      <x:c r="E12" s="88"/>
      <x:c r="F12" s="88"/>
      <x:c r="G12" s="88"/>
      <x:c r="H12" s="88"/>
      <x:c r="I12" s="88"/>
      <x:c r="J12" s="88"/>
      <x:c r="K12" s="88"/>
      <x:c r="L12" s="88"/>
      <x:c r="M12" s="88"/>
      <x:c r="N12" s="88"/>
      <x:c r="O12" s="88"/>
      <x:c r="P12" s="88"/>
      <x:c r="Q12" s="88"/>
      <x:c r="R12" s="88"/>
      <x:c r="S12" s="88"/>
      <x:c r="T12" s="88"/>
      <x:c r="U12" s="88"/>
      <x:c r="V12" s="88"/>
      <x:c r="W12" s="88"/>
    </x:row>
    <x:row r="13">
      <x:c r="A13" s="89" t="str">
        <x:v>X-ABAB-01</x:v>
      </x:c>
      <x:c r="B13" s="89" t="str">
        <x:v>Pasted text.txt</x:v>
      </x:c>
      <x:c r="C13" s="89" t="str">
        <x:v>2026-09-01 14:39:44 UTC</x:v>
      </x:c>
      <x:c r="D13" s="89" t="str">
        <x:v>Successful CSV_FX_ABAB_FINAL; 29.1513% selected-X causal attenuation</x:v>
      </x:c>
      <x:c r="E13" s="88"/>
      <x:c r="F13" s="88"/>
      <x:c r="G13" s="88"/>
      <x:c r="H13" s="88"/>
      <x:c r="I13" s="88"/>
      <x:c r="J13" s="88"/>
      <x:c r="K13" s="88"/>
      <x:c r="L13" s="88"/>
      <x:c r="M13" s="88"/>
      <x:c r="N13" s="88"/>
      <x:c r="O13" s="88"/>
      <x:c r="P13" s="88"/>
      <x:c r="Q13" s="88"/>
      <x:c r="R13" s="88"/>
      <x:c r="S13" s="88"/>
      <x:c r="T13" s="88"/>
      <x:c r="U13" s="88"/>
      <x:c r="V13" s="88"/>
      <x:c r="W13" s="88"/>
    </x:row>
    <x:row r="14">
      <x:c r="A14" s="89" t="str">
        <x:v>X-ABAB-02</x:v>
      </x:c>
      <x:c r="B14" s="89" t="str">
        <x:v>Pasted text.txt</x:v>
      </x:c>
      <x:c r="C14" s="89" t="str">
        <x:v>2026-09-01 10:34:46 UTC</x:v>
      </x:c>
      <x:c r="D14" s="89" t="str">
        <x:v>Successful CSV_FX_ABAB_FINAL; 49.9222% selected-X causal attenuation</x:v>
      </x:c>
      <x:c r="E14" s="88"/>
      <x:c r="F14" s="88"/>
      <x:c r="G14" s="88"/>
      <x:c r="H14" s="88"/>
      <x:c r="I14" s="88"/>
      <x:c r="J14" s="88"/>
      <x:c r="K14" s="88"/>
      <x:c r="L14" s="88"/>
      <x:c r="M14" s="88"/>
      <x:c r="N14" s="88"/>
      <x:c r="O14" s="88"/>
      <x:c r="P14" s="88"/>
      <x:c r="Q14" s="88"/>
      <x:c r="R14" s="88"/>
      <x:c r="S14" s="88"/>
      <x:c r="T14" s="88"/>
      <x:c r="U14" s="88"/>
      <x:c r="V14" s="88"/>
      <x:c r="W14" s="88"/>
    </x:row>
    <x:row r="15">
      <x:c r="A15" s="89" t="str">
        <x:v>Y-ABAB-01</x:v>
      </x:c>
      <x:c r="B15" s="89" t="str">
        <x:v>Pasted text.txt</x:v>
      </x:c>
      <x:c r="C15" s="89" t="str">
        <x:v>2026-09-01 15:36:07 UTC</x:v>
      </x:c>
      <x:c r="D15" s="89" t="str">
        <x:v>Successful CSV_FX_ABAB_FINAL; 60.2200% selected-Y causal attenuation</x:v>
      </x:c>
      <x:c r="E15" s="88"/>
      <x:c r="F15" s="88"/>
      <x:c r="G15" s="88"/>
      <x:c r="H15" s="88"/>
      <x:c r="I15" s="88"/>
      <x:c r="J15" s="88"/>
      <x:c r="K15" s="88"/>
      <x:c r="L15" s="88"/>
      <x:c r="M15" s="88"/>
      <x:c r="N15" s="88"/>
      <x:c r="O15" s="88"/>
      <x:c r="P15" s="88"/>
      <x:c r="Q15" s="88"/>
      <x:c r="R15" s="88"/>
      <x:c r="S15" s="88"/>
      <x:c r="T15" s="88"/>
      <x:c r="U15" s="88"/>
      <x:c r="V15" s="88"/>
      <x:c r="W15" s="88"/>
    </x:row>
    <x:row r="16">
      <x:c r="A16" s="89" t="str">
        <x:v>Scope note</x:v>
      </x:c>
      <x:c r="B16" s="89" t="str">
        <x:v>Only successful ABAB tests</x:v>
      </x:c>
      <x:c r="C16" s="89" t="str"/>
      <x:c r="D16" s="89" t="str">
        <x:v>No failed ABAB test is included in the quantitative evidence register</x:v>
      </x:c>
      <x:c r="E16" s="88"/>
      <x:c r="F16" s="88"/>
      <x:c r="G16" s="88"/>
      <x:c r="H16" s="88"/>
      <x:c r="I16" s="88"/>
      <x:c r="J16" s="88"/>
      <x:c r="K16" s="88"/>
      <x:c r="L16" s="88"/>
      <x:c r="M16" s="88"/>
      <x:c r="N16" s="88"/>
      <x:c r="O16" s="88"/>
      <x:c r="P16" s="88"/>
      <x:c r="Q16" s="88"/>
      <x:c r="R16" s="88"/>
      <x:c r="S16" s="88"/>
      <x:c r="T16" s="88"/>
      <x:c r="U16" s="88"/>
      <x:c r="V16" s="88"/>
      <x:c r="W16" s="88"/>
    </x:row>
    <x:row r="17">
      <x:c r="A17" s="88"/>
      <x:c r="B17" s="88"/>
      <x:c r="C17" s="88"/>
      <x:c r="D17" s="88"/>
      <x:c r="E17" s="88"/>
      <x:c r="F17" s="88"/>
      <x:c r="G17" s="88"/>
      <x:c r="H17" s="88"/>
      <x:c r="I17" s="88"/>
      <x:c r="J17" s="88"/>
      <x:c r="K17" s="88"/>
      <x:c r="L17" s="88"/>
      <x:c r="M17" s="88"/>
      <x:c r="N17" s="88"/>
      <x:c r="O17" s="88"/>
      <x:c r="P17" s="88"/>
      <x:c r="Q17" s="88"/>
      <x:c r="R17" s="88"/>
      <x:c r="S17" s="88"/>
      <x:c r="T17" s="88"/>
      <x:c r="U17" s="88"/>
      <x:c r="V17" s="88"/>
      <x:c r="W17" s="88"/>
    </x:row>
    <x:row r="18">
      <x:c r="A18" s="88"/>
      <x:c r="B18" s="88"/>
      <x:c r="C18" s="88"/>
      <x:c r="D18" s="88"/>
      <x:c r="E18" s="88"/>
      <x:c r="F18" s="88"/>
      <x:c r="G18" s="88"/>
      <x:c r="H18" s="88"/>
      <x:c r="I18" s="88"/>
      <x:c r="J18" s="88"/>
      <x:c r="K18" s="88"/>
      <x:c r="L18" s="88"/>
      <x:c r="M18" s="88"/>
      <x:c r="N18" s="88"/>
      <x:c r="O18" s="88"/>
      <x:c r="P18" s="88"/>
      <x:c r="Q18" s="88"/>
      <x:c r="R18" s="88"/>
      <x:c r="S18" s="88"/>
      <x:c r="T18" s="88"/>
      <x:c r="U18" s="88"/>
      <x:c r="V18" s="88"/>
      <x:c r="W18" s="88"/>
    </x:row>
    <x:row r="19">
      <x:c r="A19" s="88"/>
      <x:c r="B19" s="88"/>
      <x:c r="C19" s="88"/>
      <x:c r="D19" s="88"/>
      <x:c r="E19" s="88"/>
      <x:c r="F19" s="88"/>
      <x:c r="G19" s="88"/>
      <x:c r="H19" s="88"/>
      <x:c r="I19" s="88"/>
      <x:c r="J19" s="88"/>
      <x:c r="K19" s="88"/>
      <x:c r="L19" s="88"/>
      <x:c r="M19" s="88"/>
      <x:c r="N19" s="88"/>
      <x:c r="O19" s="88"/>
      <x:c r="P19" s="88"/>
      <x:c r="Q19" s="88"/>
      <x:c r="R19" s="88"/>
      <x:c r="S19" s="88"/>
      <x:c r="T19" s="88"/>
      <x:c r="U19" s="88"/>
      <x:c r="V19" s="88"/>
      <x:c r="W19" s="88"/>
    </x:row>
    <x:row r="20">
      <x:c r="A20" s="88"/>
      <x:c r="B20" s="88"/>
      <x:c r="C20" s="88"/>
      <x:c r="D20" s="88"/>
      <x:c r="E20" s="88"/>
      <x:c r="F20" s="88"/>
      <x:c r="G20" s="88"/>
      <x:c r="H20" s="88"/>
      <x:c r="I20" s="88"/>
      <x:c r="J20" s="88"/>
      <x:c r="K20" s="88"/>
      <x:c r="L20" s="88"/>
      <x:c r="M20" s="88"/>
      <x:c r="N20" s="88"/>
      <x:c r="O20" s="88"/>
      <x:c r="P20" s="88"/>
      <x:c r="Q20" s="88"/>
      <x:c r="R20" s="88"/>
      <x:c r="S20" s="88"/>
      <x:c r="T20" s="88"/>
      <x:c r="U20" s="88"/>
      <x:c r="V20" s="88"/>
      <x:c r="W20" s="88"/>
    </x:row>
    <x:row r="21">
      <x:c r="A21" s="88"/>
      <x:c r="B21" s="88"/>
      <x:c r="C21" s="88"/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</x:row>
    <x:row r="22">
      <x:c r="A22" s="88"/>
      <x:c r="B22" s="88"/>
      <x:c r="C22" s="88"/>
      <x:c r="D22" s="88"/>
      <x:c r="E22" s="88"/>
      <x:c r="F22" s="88"/>
      <x:c r="G22" s="88"/>
      <x:c r="H22" s="88"/>
      <x:c r="I22" s="88"/>
      <x:c r="J22" s="88"/>
      <x:c r="K22" s="88"/>
      <x:c r="L22" s="88"/>
      <x:c r="M22" s="88"/>
      <x:c r="N22" s="88"/>
      <x:c r="O22" s="88"/>
      <x:c r="P22" s="88"/>
      <x:c r="Q22" s="88"/>
      <x:c r="R22" s="88"/>
      <x:c r="S22" s="88"/>
      <x:c r="T22" s="88"/>
      <x:c r="U22" s="88"/>
      <x:c r="V22" s="88"/>
      <x:c r="W22" s="88"/>
    </x:row>
    <x:row r="23">
      <x:c r="A23" s="88"/>
      <x:c r="B23" s="88"/>
      <x:c r="C23" s="88"/>
      <x:c r="D23" s="88"/>
      <x:c r="E23" s="88"/>
      <x:c r="F23" s="88"/>
      <x:c r="G23" s="88"/>
      <x:c r="H23" s="88"/>
      <x:c r="I23" s="88"/>
      <x:c r="J23" s="88"/>
      <x:c r="K23" s="88"/>
      <x:c r="L23" s="88"/>
      <x:c r="M23" s="88"/>
      <x:c r="N23" s="88"/>
      <x:c r="O23" s="88"/>
      <x:c r="P23" s="88"/>
      <x:c r="Q23" s="88"/>
      <x:c r="R23" s="88"/>
      <x:c r="S23" s="88"/>
      <x:c r="T23" s="88"/>
      <x:c r="U23" s="88"/>
      <x:c r="V23" s="88"/>
      <x:c r="W23" s="88"/>
    </x:row>
    <x:row r="24">
      <x:c r="A24" s="88"/>
      <x:c r="B24" s="88"/>
      <x:c r="C24" s="88"/>
      <x:c r="D24" s="88"/>
      <x:c r="E24" s="88"/>
      <x:c r="F24" s="88"/>
      <x:c r="G24" s="88"/>
      <x:c r="H24" s="88"/>
      <x:c r="I24" s="88"/>
      <x:c r="J24" s="88"/>
      <x:c r="K24" s="88"/>
      <x:c r="L24" s="88"/>
      <x:c r="M24" s="88"/>
      <x:c r="N24" s="88"/>
      <x:c r="O24" s="88"/>
      <x:c r="P24" s="88"/>
      <x:c r="Q24" s="88"/>
      <x:c r="R24" s="88"/>
      <x:c r="S24" s="88"/>
      <x:c r="T24" s="88"/>
      <x:c r="U24" s="88"/>
      <x:c r="V24" s="88"/>
      <x:c r="W24" s="88"/>
    </x:row>
    <x:row r="25">
      <x:c r="A25" s="88"/>
      <x:c r="B25" s="88"/>
      <x:c r="C25" s="88"/>
      <x:c r="D25" s="88"/>
      <x:c r="E25" s="88"/>
      <x:c r="F25" s="88"/>
      <x:c r="G25" s="88"/>
      <x:c r="H25" s="88"/>
      <x:c r="I25" s="88"/>
      <x:c r="J25" s="88"/>
      <x:c r="K25" s="88"/>
      <x:c r="L25" s="88"/>
      <x:c r="M25" s="88"/>
      <x:c r="N25" s="88"/>
      <x:c r="O25" s="88"/>
      <x:c r="P25" s="88"/>
      <x:c r="Q25" s="88"/>
      <x:c r="R25" s="88"/>
      <x:c r="S25" s="88"/>
      <x:c r="T25" s="88"/>
      <x:c r="U25" s="88"/>
      <x:c r="V25" s="88"/>
      <x:c r="W25" s="88"/>
    </x:row>
    <x:row r="26">
      <x:c r="A26" s="88"/>
      <x:c r="B26" s="88"/>
      <x:c r="C26" s="88"/>
      <x:c r="D26" s="88"/>
      <x:c r="E26" s="88"/>
      <x:c r="F26" s="88"/>
      <x:c r="G26" s="88"/>
      <x:c r="H26" s="88"/>
      <x:c r="I26" s="88"/>
      <x:c r="J26" s="88"/>
      <x:c r="K26" s="88"/>
      <x:c r="L26" s="88"/>
      <x:c r="M26" s="88"/>
      <x:c r="N26" s="88"/>
      <x:c r="O26" s="88"/>
      <x:c r="P26" s="88"/>
      <x:c r="Q26" s="88"/>
      <x:c r="R26" s="88"/>
      <x:c r="S26" s="88"/>
      <x:c r="T26" s="88"/>
      <x:c r="U26" s="88"/>
      <x:c r="V26" s="88"/>
      <x:c r="W26" s="88"/>
    </x:row>
    <x:row r="27">
      <x:c r="A27" s="88"/>
      <x:c r="B27" s="88"/>
      <x:c r="C27" s="88"/>
      <x:c r="D27" s="88"/>
      <x:c r="E27" s="88"/>
      <x:c r="F27" s="88"/>
      <x:c r="G27" s="88"/>
      <x:c r="H27" s="88"/>
      <x:c r="I27" s="88"/>
      <x:c r="J27" s="88"/>
      <x:c r="K27" s="88"/>
      <x:c r="L27" s="88"/>
      <x:c r="M27" s="88"/>
      <x:c r="N27" s="88"/>
      <x:c r="O27" s="88"/>
      <x:c r="P27" s="88"/>
      <x:c r="Q27" s="88"/>
      <x:c r="R27" s="88"/>
      <x:c r="S27" s="88"/>
      <x:c r="T27" s="88"/>
      <x:c r="U27" s="88"/>
      <x:c r="V27" s="88"/>
      <x:c r="W27" s="88"/>
    </x:row>
    <x:row r="28">
      <x:c r="A28" s="88"/>
      <x:c r="B28" s="88"/>
      <x:c r="C28" s="88"/>
      <x:c r="D28" s="88"/>
      <x:c r="E28" s="88"/>
      <x:c r="F28" s="88"/>
      <x:c r="G28" s="88"/>
      <x:c r="H28" s="88"/>
      <x:c r="I28" s="88"/>
      <x:c r="J28" s="88"/>
      <x:c r="K28" s="88"/>
      <x:c r="L28" s="88"/>
      <x:c r="M28" s="88"/>
      <x:c r="N28" s="88"/>
      <x:c r="O28" s="88"/>
      <x:c r="P28" s="88"/>
      <x:c r="Q28" s="88"/>
      <x:c r="R28" s="88"/>
      <x:c r="S28" s="88"/>
      <x:c r="T28" s="88"/>
      <x:c r="U28" s="88"/>
      <x:c r="V28" s="88"/>
      <x:c r="W28" s="88"/>
    </x:row>
    <x:row r="29">
      <x:c r="A29" s="88"/>
      <x:c r="B29" s="88"/>
      <x:c r="C29" s="88"/>
      <x:c r="D29" s="88"/>
      <x:c r="E29" s="88"/>
      <x:c r="F29" s="88"/>
      <x:c r="G29" s="88"/>
      <x:c r="H29" s="88"/>
      <x:c r="I29" s="88"/>
      <x:c r="J29" s="88"/>
      <x:c r="K29" s="88"/>
      <x:c r="L29" s="88"/>
      <x:c r="M29" s="88"/>
      <x:c r="N29" s="88"/>
      <x:c r="O29" s="88"/>
      <x:c r="P29" s="88"/>
      <x:c r="Q29" s="88"/>
      <x:c r="R29" s="88"/>
      <x:c r="S29" s="88"/>
      <x:c r="T29" s="88"/>
      <x:c r="U29" s="88"/>
      <x:c r="V29" s="88"/>
      <x:c r="W29" s="88"/>
    </x:row>
    <x:row r="30">
      <x:c r="A30" s="88"/>
      <x:c r="B30" s="88"/>
      <x:c r="C30" s="88"/>
      <x:c r="D30" s="88"/>
      <x:c r="E30" s="88"/>
      <x:c r="F30" s="88"/>
      <x:c r="G30" s="88"/>
      <x:c r="H30" s="88"/>
      <x:c r="I30" s="88"/>
      <x:c r="J30" s="88"/>
      <x:c r="K30" s="88"/>
      <x:c r="L30" s="88"/>
      <x:c r="M30" s="88"/>
      <x:c r="N30" s="88"/>
      <x:c r="O30" s="88"/>
      <x:c r="P30" s="88"/>
      <x:c r="Q30" s="88"/>
      <x:c r="R30" s="88"/>
      <x:c r="S30" s="88"/>
      <x:c r="T30" s="88"/>
      <x:c r="U30" s="88"/>
      <x:c r="V30" s="88"/>
      <x:c r="W30" s="88"/>
    </x:row>
    <x:row r="31">
      <x:c r="A31" s="88"/>
      <x:c r="B31" s="88"/>
      <x:c r="C31" s="88"/>
      <x:c r="D31" s="88"/>
      <x:c r="E31" s="88"/>
      <x:c r="F31" s="88"/>
      <x:c r="G31" s="88"/>
      <x:c r="H31" s="88"/>
      <x:c r="I31" s="88"/>
      <x:c r="J31" s="88"/>
      <x:c r="K31" s="88"/>
      <x:c r="L31" s="88"/>
      <x:c r="M31" s="88"/>
      <x:c r="N31" s="88"/>
      <x:c r="O31" s="88"/>
      <x:c r="P31" s="88"/>
      <x:c r="Q31" s="88"/>
      <x:c r="R31" s="88"/>
      <x:c r="S31" s="88"/>
      <x:c r="T31" s="88"/>
      <x:c r="U31" s="88"/>
      <x:c r="V31" s="88"/>
      <x:c r="W31" s="88"/>
    </x:row>
    <x:row r="32">
      <x:c r="A32" s="88"/>
      <x:c r="B32" s="88"/>
      <x:c r="C32" s="88"/>
      <x:c r="D32" s="88"/>
      <x:c r="E32" s="88"/>
      <x:c r="F32" s="88"/>
      <x:c r="G32" s="88"/>
      <x:c r="H32" s="88"/>
      <x:c r="I32" s="88"/>
      <x:c r="J32" s="88"/>
      <x:c r="K32" s="88"/>
      <x:c r="L32" s="88"/>
      <x:c r="M32" s="88"/>
      <x:c r="N32" s="88"/>
      <x:c r="O32" s="88"/>
      <x:c r="P32" s="88"/>
      <x:c r="Q32" s="88"/>
      <x:c r="R32" s="88"/>
      <x:c r="S32" s="88"/>
      <x:c r="T32" s="88"/>
      <x:c r="U32" s="88"/>
      <x:c r="V32" s="88"/>
      <x:c r="W32" s="88"/>
    </x:row>
    <x:row r="33">
      <x:c r="A33" s="88"/>
      <x:c r="B33" s="88"/>
      <x:c r="C33" s="88"/>
      <x:c r="D33" s="88"/>
      <x:c r="E33" s="88"/>
      <x:c r="F33" s="88"/>
      <x:c r="G33" s="88"/>
      <x:c r="H33" s="88"/>
      <x:c r="I33" s="88"/>
      <x:c r="J33" s="88"/>
      <x:c r="K33" s="88"/>
      <x:c r="L33" s="88"/>
      <x:c r="M33" s="88"/>
      <x:c r="N33" s="88"/>
      <x:c r="O33" s="88"/>
      <x:c r="P33" s="88"/>
      <x:c r="Q33" s="88"/>
      <x:c r="R33" s="88"/>
      <x:c r="S33" s="88"/>
      <x:c r="T33" s="88"/>
      <x:c r="U33" s="88"/>
      <x:c r="V33" s="88"/>
      <x:c r="W33" s="88"/>
    </x:row>
    <x:row r="34">
      <x:c r="A34" s="88"/>
      <x:c r="B34" s="88"/>
      <x:c r="C34" s="88"/>
      <x:c r="D34" s="88"/>
      <x:c r="E34" s="88"/>
      <x:c r="F34" s="88"/>
      <x:c r="G34" s="88"/>
      <x:c r="H34" s="88"/>
      <x:c r="I34" s="88"/>
      <x:c r="J34" s="88"/>
      <x:c r="K34" s="88"/>
      <x:c r="L34" s="88"/>
      <x:c r="M34" s="88"/>
      <x:c r="N34" s="88"/>
      <x:c r="O34" s="88"/>
      <x:c r="P34" s="88"/>
      <x:c r="Q34" s="88"/>
      <x:c r="R34" s="88"/>
      <x:c r="S34" s="88"/>
      <x:c r="T34" s="88"/>
      <x:c r="U34" s="88"/>
      <x:c r="V34" s="88"/>
      <x:c r="W34" s="88"/>
    </x:row>
    <x:row r="35">
      <x:c r="A35" s="88"/>
      <x:c r="B35" s="88"/>
      <x:c r="C35" s="88"/>
      <x:c r="D35" s="88"/>
      <x:c r="E35" s="88"/>
      <x:c r="F35" s="88"/>
      <x:c r="G35" s="88"/>
      <x:c r="H35" s="88"/>
      <x:c r="I35" s="88"/>
      <x:c r="J35" s="88"/>
      <x:c r="K35" s="88"/>
      <x:c r="L35" s="88"/>
      <x:c r="M35" s="88"/>
      <x:c r="N35" s="88"/>
      <x:c r="O35" s="88"/>
      <x:c r="P35" s="88"/>
      <x:c r="Q35" s="88"/>
      <x:c r="R35" s="88"/>
      <x:c r="S35" s="88"/>
      <x:c r="T35" s="88"/>
      <x:c r="U35" s="88"/>
      <x:c r="V35" s="88"/>
      <x:c r="W35" s="88"/>
    </x:row>
    <x:row r="36">
      <x:c r="A36" s="88"/>
      <x:c r="B36" s="88"/>
      <x:c r="C36" s="88"/>
      <x:c r="D36" s="88"/>
      <x:c r="E36" s="88"/>
      <x:c r="F36" s="88"/>
      <x:c r="G36" s="88"/>
      <x:c r="H36" s="88"/>
      <x:c r="I36" s="88"/>
      <x:c r="J36" s="88"/>
      <x:c r="K36" s="88"/>
      <x:c r="L36" s="88"/>
      <x:c r="M36" s="88"/>
      <x:c r="N36" s="88"/>
      <x:c r="O36" s="88"/>
      <x:c r="P36" s="88"/>
      <x:c r="Q36" s="88"/>
      <x:c r="R36" s="88"/>
      <x:c r="S36" s="88"/>
      <x:c r="T36" s="88"/>
      <x:c r="U36" s="88"/>
      <x:c r="V36" s="88"/>
      <x:c r="W36" s="88"/>
    </x:row>
    <x:row r="37">
      <x:c r="A37" s="88"/>
      <x:c r="B37" s="88"/>
      <x:c r="C37" s="88"/>
      <x:c r="D37" s="88"/>
      <x:c r="E37" s="88"/>
      <x:c r="F37" s="88"/>
      <x:c r="G37" s="88"/>
      <x:c r="H37" s="88"/>
      <x:c r="I37" s="88"/>
      <x:c r="J37" s="88"/>
      <x:c r="K37" s="88"/>
      <x:c r="L37" s="88"/>
      <x:c r="M37" s="88"/>
      <x:c r="N37" s="88"/>
      <x:c r="O37" s="88"/>
      <x:c r="P37" s="88"/>
      <x:c r="Q37" s="88"/>
      <x:c r="R37" s="88"/>
      <x:c r="S37" s="88"/>
      <x:c r="T37" s="88"/>
      <x:c r="U37" s="88"/>
      <x:c r="V37" s="88"/>
      <x:c r="W37" s="88"/>
    </x:row>
    <x:row r="38">
      <x:c r="A38" s="88"/>
      <x:c r="B38" s="88"/>
      <x:c r="C38" s="88"/>
      <x:c r="D38" s="88"/>
      <x:c r="E38" s="88"/>
      <x:c r="F38" s="88"/>
      <x:c r="G38" s="88"/>
      <x:c r="H38" s="88"/>
      <x:c r="I38" s="88"/>
      <x:c r="J38" s="88"/>
      <x:c r="K38" s="88"/>
      <x:c r="L38" s="88"/>
      <x:c r="M38" s="88"/>
      <x:c r="N38" s="88"/>
      <x:c r="O38" s="88"/>
      <x:c r="P38" s="88"/>
      <x:c r="Q38" s="88"/>
      <x:c r="R38" s="88"/>
      <x:c r="S38" s="88"/>
      <x:c r="T38" s="88"/>
      <x:c r="U38" s="88"/>
      <x:c r="V38" s="88"/>
      <x:c r="W38" s="88"/>
    </x:row>
    <x:row r="39">
      <x:c r="A39" s="88"/>
      <x:c r="B39" s="88"/>
      <x:c r="C39" s="88"/>
      <x:c r="D39" s="88"/>
      <x:c r="E39" s="88"/>
      <x:c r="F39" s="88"/>
      <x:c r="G39" s="88"/>
      <x:c r="H39" s="88"/>
      <x:c r="I39" s="88"/>
      <x:c r="J39" s="88"/>
      <x:c r="K39" s="88"/>
      <x:c r="L39" s="88"/>
      <x:c r="M39" s="88"/>
      <x:c r="N39" s="88"/>
      <x:c r="O39" s="88"/>
      <x:c r="P39" s="88"/>
      <x:c r="Q39" s="88"/>
      <x:c r="R39" s="88"/>
      <x:c r="S39" s="88"/>
      <x:c r="T39" s="88"/>
      <x:c r="U39" s="88"/>
      <x:c r="V39" s="88"/>
      <x:c r="W39" s="88"/>
    </x:row>
    <x:row r="40">
      <x:c r="A40" s="88"/>
      <x:c r="B40" s="88"/>
      <x:c r="C40" s="88"/>
      <x:c r="D40" s="88"/>
      <x:c r="E40" s="88"/>
      <x:c r="F40" s="88"/>
      <x:c r="G40" s="88"/>
      <x:c r="H40" s="88"/>
      <x:c r="I40" s="88"/>
      <x:c r="J40" s="88"/>
      <x:c r="K40" s="88"/>
      <x:c r="L40" s="88"/>
      <x:c r="M40" s="88"/>
      <x:c r="N40" s="88"/>
      <x:c r="O40" s="88"/>
      <x:c r="P40" s="88"/>
      <x:c r="Q40" s="88"/>
      <x:c r="R40" s="88"/>
      <x:c r="S40" s="88"/>
      <x:c r="T40" s="88"/>
      <x:c r="U40" s="88"/>
      <x:c r="V40" s="88"/>
      <x:c r="W40" s="88"/>
    </x:row>
  </x:sheetData>
  <x:mergeCells>
    <x:mergeCell ref="A1:F1"/>
    <x:mergeCell ref="B4:F4"/>
    <x:mergeCell ref="B5:F5"/>
    <x:mergeCell ref="B6:F6"/>
    <x:mergeCell ref="B7:F7"/>
    <x:mergeCell ref="B8:F8"/>
    <x:mergeCell ref="B9:F9"/>
  </x:mergeCells>
  <x:pageMargins left="0.7" right="0.7" top="0.75" bottom="0.75" header="0.3" footer="0.3"/>
</x:worksheet>
</file>
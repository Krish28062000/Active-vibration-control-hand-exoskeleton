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drawings/charts/chart7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a639a1dd9a4d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esis Summary" sheetId="1" r:id="Re660c1d27d0a49ea"/>
    <x:sheet xmlns:r="http://schemas.openxmlformats.org/officeDocument/2006/relationships" name="Run 1 Learning" sheetId="2" r:id="Ra5109cf973484c79"/>
    <x:sheet xmlns:r="http://schemas.openxmlformats.org/officeDocument/2006/relationships" name="Run 1 Frozen 10s" sheetId="3" r:id="R041085e97d564a32"/>
    <x:sheet xmlns:r="http://schemas.openxmlformats.org/officeDocument/2006/relationships" name="Run 1 Frozen 60s" sheetId="4" r:id="R8942f649f9c74289"/>
    <x:sheet xmlns:r="http://schemas.openxmlformats.org/officeDocument/2006/relationships" name="Run 2 Learning" sheetId="5" r:id="Rdf2a483a51ae43f9"/>
    <x:sheet xmlns:r="http://schemas.openxmlformats.org/officeDocument/2006/relationships" name="Run 2 Frozen 10s" sheetId="6" r:id="R0d92481f769842d6"/>
    <x:sheet xmlns:r="http://schemas.openxmlformats.org/officeDocument/2006/relationships" name="Run 2 Frozen 60s" sheetId="7" r:id="R53e748afe8464916"/>
    <x:sheet xmlns:r="http://schemas.openxmlformats.org/officeDocument/2006/relationships" name="Run Comparison" sheetId="8" r:id="R559396dc7a32470f"/>
    <x:sheet xmlns:r="http://schemas.openxmlformats.org/officeDocument/2006/relationships" name="Thesis Interpretation" sheetId="9" r:id="Re9ea591d611d4d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3" fillId="0" borderId="14" xfId="0" applyNumberFormat="1" applyFont="1" applyFill="1" applyBorder="1"/>
    <x:xf numFmtId="200" fontId="0" fillId="0" borderId="15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3" fillId="0" borderId="17" xfId="0" applyNumberFormat="1" applyFont="1" applyFill="1" applyBorder="1"/>
    <x:xf numFmtId="200" fontId="0" fillId="0" borderId="18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0" borderId="11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1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9" xfId="0" applyNumberFormat="1" applyFont="1" applyFill="1" applyBorder="1"/>
    <x:xf numFmtId="200" fontId="0" fillId="0" borderId="10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1" fontId="0" fillId="0" borderId="15" xfId="0" applyNumberFormat="1" applyFont="1" applyFill="1" applyBorder="1"/>
    <x:xf numFmtId="200" fontId="0" fillId="0" borderId="16" xfId="0" applyNumberFormat="1" applyFont="1" applyFill="1" applyBorder="1"/>
    <x:xf numFmtId="201" fontId="0" fillId="0" borderId="18" xfId="0" applyNumberFormat="1" applyFont="1" applyFill="1" applyBorder="1"/>
    <x:xf numFmtId="200" fontId="0" fillId="0" borderId="19" xfId="0" applyNumberFormat="1" applyFont="1" applyFill="1" applyBorder="1"/>
    <x:xf numFmtId="201" fontId="0" fillId="0" borderId="7" xfId="0" applyNumberFormat="1" applyFont="1" applyFill="1" applyBorder="1"/>
    <x:xf numFmtId="201" fontId="0" fillId="0" borderId="10" xfId="0" applyNumberFormat="1" applyFont="1" applyFill="1" applyBorder="1"/>
    <x:xf numFmtId="201" fontId="0" fillId="0" borderId="16" xfId="0" applyNumberFormat="1" applyFont="1" applyFill="1" applyBorder="1"/>
    <x:xf numFmtId="201" fontId="0" fillId="0" borderId="19" xfId="0" applyNumberFormat="1" applyFont="1" applyFill="1" applyBorder="1"/>
    <x:xf numFmtId="0" fontId="0" fillId="0" borderId="7" xfId="0" applyNumberFormat="1" applyFont="1" applyFill="1" applyBorder="1"/>
    <x:xf numFmtId="0" fontId="0" fillId="0" borderId="16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183695515c4166" /><Relationship Type="http://schemas.openxmlformats.org/officeDocument/2006/relationships/theme" Target="/xl/theme/theme1.xml" Id="R36b6fae688fd40b7" /><Relationship Type="http://schemas.openxmlformats.org/officeDocument/2006/relationships/sharedStrings" Target="/xl/sharedStrings.xml" Id="R096c83f2796f428c" /><Relationship Type="http://schemas.openxmlformats.org/officeDocument/2006/relationships/worksheet" Target="/xl/worksheets/sheet1.xml" Id="Re660c1d27d0a49ea" /><Relationship Type="http://schemas.openxmlformats.org/officeDocument/2006/relationships/worksheet" Target="/xl/worksheets/sheet2.xml" Id="Ra5109cf973484c79" /><Relationship Type="http://schemas.openxmlformats.org/officeDocument/2006/relationships/worksheet" Target="/xl/worksheets/sheet3.xml" Id="R041085e97d564a32" /><Relationship Type="http://schemas.openxmlformats.org/officeDocument/2006/relationships/worksheet" Target="/xl/worksheets/sheet4.xml" Id="R8942f649f9c74289" /><Relationship Type="http://schemas.openxmlformats.org/officeDocument/2006/relationships/worksheet" Target="/xl/worksheets/sheet5.xml" Id="Rdf2a483a51ae43f9" /><Relationship Type="http://schemas.openxmlformats.org/officeDocument/2006/relationships/worksheet" Target="/xl/worksheets/sheet6.xml" Id="R0d92481f769842d6" /><Relationship Type="http://schemas.openxmlformats.org/officeDocument/2006/relationships/worksheet" Target="/xl/worksheets/sheet7.xml" Id="R53e748afe8464916" /><Relationship Type="http://schemas.openxmlformats.org/officeDocument/2006/relationships/worksheet" Target="/xl/worksheets/sheet8.xml" Id="R559396dc7a32470f" /><Relationship Type="http://schemas.openxmlformats.org/officeDocument/2006/relationships/worksheet" Target="/xl/worksheets/sheet9.xml" Id="Re9ea591d611d4d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858d7162e1409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057be5b01a64cb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22b872f158c434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762fda343b0e4cf9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b19cd2df990e45ee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88a847f5c5f94a2b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33e79f41dd8146c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Selected-X Attenuation Across Validation Stages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Run 1</c:v>
          </c:tx>
          <c:cat>
            <c:strRef>
              <c:f>'Thesis Summary'!$L$2:$L$4</c:f>
              <c:strCache>
                <c:ptCount val="0"/>
              </c:strCache>
            </c:strRef>
          </c:cat>
          <c:val>
            <c:numRef>
              <c:f>'Thesis Summary'!$M$2:$M$4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Run 2</c:v>
          </c:tx>
          <c:cat>
            <c:strRef>
              <c:f>'Thesis Summary'!$L$2:$L$4</c:f>
              <c:strCache>
                <c:ptCount val="0"/>
              </c:strCache>
            </c:strRef>
          </c:cat>
          <c:val>
            <c:numRef>
              <c:f>'Thesis Summary'!$N$2:$N$4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Run 1: Progressive Axis/Vector Reduction During Learning</a:t>
            </a:r>
          </a:p>
        </c:rich>
      </c:tx>
    </c:title>
    <c:plotArea>
      <c:lineChart>
        <c:grouping val="standard"/>
        <c:ser>
          <c:idx val="0"/>
          <c:order val="0"/>
          <c:tx>
            <c:v>State</c:v>
          </c:tx>
          <c:marker>
            <c:symbol val="none"/>
          </c:marker>
          <c:cat>
            <c:strRef>
              <c:f>'Run 1 Learning'!$A$9:$A$28</c:f>
              <c:strCache>
                <c:ptCount val="0"/>
              </c:strCache>
            </c:strRef>
          </c:cat>
          <c:val>
            <c:numRef>
              <c:f>'Run 1 Learning'!$B$9:$B$28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N</c:v>
          </c:tx>
          <c:marker>
            <c:symbol val="none"/>
          </c:marker>
          <c:cat>
            <c:strRef>
              <c:f>'Run 1 Learning'!$A$9:$A$28</c:f>
              <c:strCache>
                <c:ptCount val="0"/>
              </c:strCache>
            </c:strRef>
          </c:cat>
          <c:val>
            <c:numRef>
              <c:f>'Run 1 Learning'!$C$9:$C$28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Mean X</c:v>
          </c:tx>
          <c:marker>
            <c:symbol val="none"/>
          </c:marker>
          <c:cat>
            <c:strRef>
              <c:f>'Run 1 Learning'!$A$9:$A$28</c:f>
              <c:strCache>
                <c:ptCount val="0"/>
              </c:strCache>
            </c:strRef>
          </c:cat>
          <c:val>
            <c:numRef>
              <c:f>'Run 1 Learning'!$D$9:$D$28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Mean Y</c:v>
          </c:tx>
          <c:marker>
            <c:symbol val="none"/>
          </c:marker>
          <c:cat>
            <c:strRef>
              <c:f>'Run 1 Learning'!$A$9:$A$28</c:f>
              <c:strCache>
                <c:ptCount val="0"/>
              </c:strCache>
            </c:strRef>
          </c:cat>
          <c:val>
            <c:numRef>
              <c:f>'Run 1 Learning'!$E$9:$E$28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Mean Z</c:v>
          </c:tx>
          <c:marker>
            <c:symbol val="none"/>
          </c:marker>
          <c:cat>
            <c:strRef>
              <c:f>'Run 1 Learning'!$A$9:$A$28</c:f>
              <c:strCache>
                <c:ptCount val="0"/>
              </c:strCache>
            </c:strRef>
          </c:cat>
          <c:val>
            <c:numRef>
              <c:f>'Run 1 Learning'!$F$9:$F$28</c:f>
              <c:numCache>
                <c:formatCode>0.000</c:formatCode>
                <c:ptCount val="0"/>
              </c:numCache>
            </c:numRef>
          </c:val>
        </c:ser>
        <c:ser>
          <c:idx val="5"/>
          <c:order val="5"/>
          <c:tx>
            <c:v>Mean Vector</c:v>
          </c:tx>
          <c:marker>
            <c:symbol val="none"/>
          </c:marker>
          <c:cat>
            <c:strRef>
              <c:f>'Run 1 Learning'!$A$9:$A$28</c:f>
              <c:strCache>
                <c:ptCount val="0"/>
              </c:strCache>
            </c:strRef>
          </c:cat>
          <c:val>
            <c:numRef>
              <c:f>'Run 1 Learning'!$G$9:$G$28</c:f>
              <c:numCache>
                <c:formatCode>0.000</c:formatCode>
                <c:ptCount val="0"/>
              </c:numCache>
            </c:numRef>
          </c:val>
        </c:ser>
        <c:ser>
          <c:idx val="6"/>
          <c:order val="6"/>
          <c:tx>
            <c:v>X reduction [%]</c:v>
          </c:tx>
          <c:marker>
            <c:symbol val="none"/>
          </c:marker>
          <c:cat>
            <c:strRef>
              <c:f>'Run 1 Learning'!$A$9:$A$28</c:f>
              <c:strCache>
                <c:ptCount val="0"/>
              </c:strCache>
            </c:strRef>
          </c:cat>
          <c:val>
            <c:numRef>
              <c:f>'Run 1 Learning'!$H$9:$H$28</c:f>
              <c:numCache>
                <c:formatCode>0.0</c:formatCode>
                <c:ptCount val="0"/>
              </c:numCache>
            </c:numRef>
          </c:val>
        </c:ser>
        <c:ser>
          <c:idx val="7"/>
          <c:order val="7"/>
          <c:tx>
            <c:v>Y reduction [%]</c:v>
          </c:tx>
          <c:marker>
            <c:symbol val="none"/>
          </c:marker>
          <c:cat>
            <c:strRef>
              <c:f>'Run 1 Learning'!$A$9:$A$28</c:f>
              <c:strCache>
                <c:ptCount val="0"/>
              </c:strCache>
            </c:strRef>
          </c:cat>
          <c:val>
            <c:numRef>
              <c:f>'Run 1 Learning'!$I$9:$I$28</c:f>
              <c:numCache>
                <c:formatCode>0.0</c:formatCode>
                <c:ptCount val="0"/>
              </c:numCache>
            </c:numRef>
          </c:val>
        </c:ser>
        <c:ser>
          <c:idx val="8"/>
          <c:order val="8"/>
          <c:tx>
            <c:v>Z reduction [%]</c:v>
          </c:tx>
          <c:marker>
            <c:symbol val="none"/>
          </c:marker>
          <c:cat>
            <c:strRef>
              <c:f>'Run 1 Learning'!$A$9:$A$28</c:f>
              <c:strCache>
                <c:ptCount val="0"/>
              </c:strCache>
            </c:strRef>
          </c:cat>
          <c:val>
            <c:numRef>
              <c:f>'Run 1 Learning'!$J$9:$J$28</c:f>
              <c:numCache>
                <c:formatCode>0.0</c:formatCode>
                <c:ptCount val="0"/>
              </c:numCache>
            </c:numRef>
          </c:val>
        </c:ser>
        <c:ser>
          <c:idx val="9"/>
          <c:order val="9"/>
          <c:tx>
            <c:v>Vector reduction [%]</c:v>
          </c:tx>
          <c:marker>
            <c:symbol val="none"/>
          </c:marker>
          <c:cat>
            <c:strRef>
              <c:f>'Run 1 Learning'!$A$9:$A$28</c:f>
              <c:strCache>
                <c:ptCount val="0"/>
              </c:strCache>
            </c:strRef>
          </c:cat>
          <c:val>
            <c:numRef>
              <c:f>'Run 1 Learning'!$K$9:$K$28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Run 1: Frozen 10-s Stability</a:t>
            </a:r>
          </a:p>
        </c:rich>
      </c:tx>
    </c:title>
    <c:plotArea>
      <c:lineChart>
        <c:grouping val="standard"/>
        <c:ser>
          <c:idx val="0"/>
          <c:order val="0"/>
          <c:tx>
            <c:v>N</c:v>
          </c:tx>
          <c:marker>
            <c:symbol val="none"/>
          </c:marker>
          <c:cat>
            <c:strRef>
              <c:f>'Run 1 Frozen 10s'!$A$9:$A$18</c:f>
              <c:strCache>
                <c:ptCount val="0"/>
              </c:strCache>
            </c:strRef>
          </c:cat>
          <c:val>
            <c:numRef>
              <c:f>'Run 1 Frozen 10s'!$B$9:$B$18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Mean X</c:v>
          </c:tx>
          <c:marker>
            <c:symbol val="none"/>
          </c:marker>
          <c:cat>
            <c:strRef>
              <c:f>'Run 1 Frozen 10s'!$A$9:$A$18</c:f>
              <c:strCache>
                <c:ptCount val="0"/>
              </c:strCache>
            </c:strRef>
          </c:cat>
          <c:val>
            <c:numRef>
              <c:f>'Run 1 Frozen 10s'!$C$9:$C$18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Mean Y</c:v>
          </c:tx>
          <c:marker>
            <c:symbol val="none"/>
          </c:marker>
          <c:cat>
            <c:strRef>
              <c:f>'Run 1 Frozen 10s'!$A$9:$A$18</c:f>
              <c:strCache>
                <c:ptCount val="0"/>
              </c:strCache>
            </c:strRef>
          </c:cat>
          <c:val>
            <c:numRef>
              <c:f>'Run 1 Frozen 10s'!$D$9:$D$18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Mean Z</c:v>
          </c:tx>
          <c:marker>
            <c:symbol val="none"/>
          </c:marker>
          <c:cat>
            <c:strRef>
              <c:f>'Run 1 Frozen 10s'!$A$9:$A$18</c:f>
              <c:strCache>
                <c:ptCount val="0"/>
              </c:strCache>
            </c:strRef>
          </c:cat>
          <c:val>
            <c:numRef>
              <c:f>'Run 1 Frozen 10s'!$E$9:$E$18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Mean Vector</c:v>
          </c:tx>
          <c:marker>
            <c:symbol val="none"/>
          </c:marker>
          <c:cat>
            <c:strRef>
              <c:f>'Run 1 Frozen 10s'!$A$9:$A$18</c:f>
              <c:strCache>
                <c:ptCount val="0"/>
              </c:strCache>
            </c:strRef>
          </c:cat>
          <c:val>
            <c:numRef>
              <c:f>'Run 1 Frozen 10s'!$F$9:$F$18</c:f>
              <c:numCache>
                <c:formatCode>0.000</c:formatCode>
                <c:ptCount val="0"/>
              </c:numCache>
            </c:numRef>
          </c:val>
        </c:ser>
        <c:ser>
          <c:idx val="5"/>
          <c:order val="5"/>
          <c:tx>
            <c:v>X reduction [%]</c:v>
          </c:tx>
          <c:marker>
            <c:symbol val="none"/>
          </c:marker>
          <c:cat>
            <c:strRef>
              <c:f>'Run 1 Frozen 10s'!$A$9:$A$18</c:f>
              <c:strCache>
                <c:ptCount val="0"/>
              </c:strCache>
            </c:strRef>
          </c:cat>
          <c:val>
            <c:numRef>
              <c:f>'Run 1 Frozen 10s'!$G$9:$G$18</c:f>
              <c:numCache>
                <c:formatCode>0.0</c:formatCode>
                <c:ptCount val="0"/>
              </c:numCache>
            </c:numRef>
          </c:val>
        </c:ser>
        <c:ser>
          <c:idx val="6"/>
          <c:order val="6"/>
          <c:tx>
            <c:v>Y reduction [%]</c:v>
          </c:tx>
          <c:marker>
            <c:symbol val="none"/>
          </c:marker>
          <c:cat>
            <c:strRef>
              <c:f>'Run 1 Frozen 10s'!$A$9:$A$18</c:f>
              <c:strCache>
                <c:ptCount val="0"/>
              </c:strCache>
            </c:strRef>
          </c:cat>
          <c:val>
            <c:numRef>
              <c:f>'Run 1 Frozen 10s'!$H$9:$H$18</c:f>
              <c:numCache>
                <c:formatCode>0.0</c:formatCode>
                <c:ptCount val="0"/>
              </c:numCache>
            </c:numRef>
          </c:val>
        </c:ser>
        <c:ser>
          <c:idx val="7"/>
          <c:order val="7"/>
          <c:tx>
            <c:v>Z reduction [%]</c:v>
          </c:tx>
          <c:marker>
            <c:symbol val="none"/>
          </c:marker>
          <c:cat>
            <c:strRef>
              <c:f>'Run 1 Frozen 10s'!$A$9:$A$18</c:f>
              <c:strCache>
                <c:ptCount val="0"/>
              </c:strCache>
            </c:strRef>
          </c:cat>
          <c:val>
            <c:numRef>
              <c:f>'Run 1 Frozen 10s'!$I$9:$I$18</c:f>
              <c:numCache>
                <c:formatCode>0.0</c:formatCode>
                <c:ptCount val="0"/>
              </c:numCache>
            </c:numRef>
          </c:val>
        </c:ser>
        <c:ser>
          <c:idx val="8"/>
          <c:order val="8"/>
          <c:tx>
            <c:v>Vector reduction [%]</c:v>
          </c:tx>
          <c:marker>
            <c:symbol val="none"/>
          </c:marker>
          <c:cat>
            <c:strRef>
              <c:f>'Run 1 Frozen 10s'!$A$9:$A$18</c:f>
              <c:strCache>
                <c:ptCount val="0"/>
              </c:strCache>
            </c:strRef>
          </c:cat>
          <c:val>
            <c:numRef>
              <c:f>'Run 1 Frozen 10s'!$J$9:$J$18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Run 1: Frozen 60-s Persistence by Segment</a:t>
            </a:r>
          </a:p>
        </c:rich>
      </c:tx>
    </c:title>
    <c:plotArea>
      <c:lineChart>
        <c:grouping val="standard"/>
        <c:ser>
          <c:idx val="0"/>
          <c:order val="0"/>
          <c:tx>
            <c:v>Start [s]</c:v>
          </c:tx>
          <c:marker>
            <c:symbol val="none"/>
          </c:marker>
          <c:cat>
            <c:strRef>
              <c:f>'Run 1 Frozen 60s'!$A$6:$A$11</c:f>
              <c:strCache>
                <c:ptCount val="0"/>
              </c:strCache>
            </c:strRef>
          </c:cat>
          <c:val>
            <c:numRef>
              <c:f>'Run 1 Frozen 60s'!$B$6:$B$11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End [s]</c:v>
          </c:tx>
          <c:marker>
            <c:symbol val="none"/>
          </c:marker>
          <c:cat>
            <c:strRef>
              <c:f>'Run 1 Frozen 60s'!$A$6:$A$11</c:f>
              <c:strCache>
                <c:ptCount val="0"/>
              </c:strCache>
            </c:strRef>
          </c:cat>
          <c:val>
            <c:numRef>
              <c:f>'Run 1 Frozen 60s'!$C$6:$C$11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Valid windows</c:v>
          </c:tx>
          <c:marker>
            <c:symbol val="none"/>
          </c:marker>
          <c:cat>
            <c:strRef>
              <c:f>'Run 1 Frozen 60s'!$A$6:$A$11</c:f>
              <c:strCache>
                <c:ptCount val="0"/>
              </c:strCache>
            </c:strRef>
          </c:cat>
          <c:val>
            <c:numRef>
              <c:f>'Run 1 Frozen 60s'!$D$6:$D$11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Mean X</c:v>
          </c:tx>
          <c:marker>
            <c:symbol val="none"/>
          </c:marker>
          <c:cat>
            <c:strRef>
              <c:f>'Run 1 Frozen 60s'!$A$6:$A$11</c:f>
              <c:strCache>
                <c:ptCount val="0"/>
              </c:strCache>
            </c:strRef>
          </c:cat>
          <c:val>
            <c:numRef>
              <c:f>'Run 1 Frozen 60s'!$E$6:$E$11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Mean Y</c:v>
          </c:tx>
          <c:marker>
            <c:symbol val="none"/>
          </c:marker>
          <c:cat>
            <c:strRef>
              <c:f>'Run 1 Frozen 60s'!$A$6:$A$11</c:f>
              <c:strCache>
                <c:ptCount val="0"/>
              </c:strCache>
            </c:strRef>
          </c:cat>
          <c:val>
            <c:numRef>
              <c:f>'Run 1 Frozen 60s'!$F$6:$F$11</c:f>
              <c:numCache>
                <c:formatCode>0.000</c:formatCode>
                <c:ptCount val="0"/>
              </c:numCache>
            </c:numRef>
          </c:val>
        </c:ser>
        <c:ser>
          <c:idx val="5"/>
          <c:order val="5"/>
          <c:tx>
            <c:v>Mean Z</c:v>
          </c:tx>
          <c:marker>
            <c:symbol val="none"/>
          </c:marker>
          <c:cat>
            <c:strRef>
              <c:f>'Run 1 Frozen 60s'!$A$6:$A$11</c:f>
              <c:strCache>
                <c:ptCount val="0"/>
              </c:strCache>
            </c:strRef>
          </c:cat>
          <c:val>
            <c:numRef>
              <c:f>'Run 1 Frozen 60s'!$G$6:$G$11</c:f>
              <c:numCache>
                <c:formatCode>0.000</c:formatCode>
                <c:ptCount val="0"/>
              </c:numCache>
            </c:numRef>
          </c:val>
        </c:ser>
        <c:ser>
          <c:idx val="6"/>
          <c:order val="6"/>
          <c:tx>
            <c:v>Mean Vector</c:v>
          </c:tx>
          <c:marker>
            <c:symbol val="none"/>
          </c:marker>
          <c:cat>
            <c:strRef>
              <c:f>'Run 1 Frozen 60s'!$A$6:$A$11</c:f>
              <c:strCache>
                <c:ptCount val="0"/>
              </c:strCache>
            </c:strRef>
          </c:cat>
          <c:val>
            <c:numRef>
              <c:f>'Run 1 Frozen 60s'!$H$6:$H$11</c:f>
              <c:numCache>
                <c:formatCode>0.000</c:formatCode>
                <c:ptCount val="0"/>
              </c:numCache>
            </c:numRef>
          </c:val>
        </c:ser>
        <c:ser>
          <c:idx val="7"/>
          <c:order val="7"/>
          <c:tx>
            <c:v>X reduction [%]</c:v>
          </c:tx>
          <c:marker>
            <c:symbol val="none"/>
          </c:marker>
          <c:cat>
            <c:strRef>
              <c:f>'Run 1 Frozen 60s'!$A$6:$A$11</c:f>
              <c:strCache>
                <c:ptCount val="0"/>
              </c:strCache>
            </c:strRef>
          </c:cat>
          <c:val>
            <c:numRef>
              <c:f>'Run 1 Frozen 60s'!$I$6:$I$11</c:f>
              <c:numCache>
                <c:formatCode>0.0</c:formatCode>
                <c:ptCount val="0"/>
              </c:numCache>
            </c:numRef>
          </c:val>
        </c:ser>
        <c:ser>
          <c:idx val="8"/>
          <c:order val="8"/>
          <c:tx>
            <c:v>Y reduction [%]</c:v>
          </c:tx>
          <c:marker>
            <c:symbol val="none"/>
          </c:marker>
          <c:cat>
            <c:strRef>
              <c:f>'Run 1 Frozen 60s'!$A$6:$A$11</c:f>
              <c:strCache>
                <c:ptCount val="0"/>
              </c:strCache>
            </c:strRef>
          </c:cat>
          <c:val>
            <c:numRef>
              <c:f>'Run 1 Frozen 60s'!$J$6:$J$11</c:f>
              <c:numCache>
                <c:formatCode>0.0</c:formatCode>
                <c:ptCount val="0"/>
              </c:numCache>
            </c:numRef>
          </c:val>
        </c:ser>
        <c:ser>
          <c:idx val="9"/>
          <c:order val="9"/>
          <c:tx>
            <c:v>Z reduction [%]</c:v>
          </c:tx>
          <c:marker>
            <c:symbol val="none"/>
          </c:marker>
          <c:cat>
            <c:strRef>
              <c:f>'Run 1 Frozen 60s'!$A$6:$A$11</c:f>
              <c:strCache>
                <c:ptCount val="0"/>
              </c:strCache>
            </c:strRef>
          </c:cat>
          <c:val>
            <c:numRef>
              <c:f>'Run 1 Frozen 60s'!$K$6:$K$11</c:f>
              <c:numCache>
                <c:formatCode>0.0</c:formatCode>
                <c:ptCount val="0"/>
              </c:numCache>
            </c:numRef>
          </c:val>
        </c:ser>
        <c:ser>
          <c:idx val="10"/>
          <c:order val="10"/>
          <c:tx>
            <c:v>Selected X reduction [%]</c:v>
          </c:tx>
          <c:marker>
            <c:symbol val="none"/>
          </c:marker>
          <c:cat>
            <c:strRef>
              <c:f>'Run 1 Frozen 60s'!$A$6:$A$11</c:f>
              <c:strCache>
                <c:ptCount val="0"/>
              </c:strCache>
            </c:strRef>
          </c:cat>
          <c:val>
            <c:numRef>
              <c:f>'Run 1 Frozen 60s'!$L$6:$L$11</c:f>
              <c:numCache>
                <c:formatCode>0.0</c:formatCode>
                <c:ptCount val="0"/>
              </c:numCache>
            </c:numRef>
          </c:val>
        </c:ser>
        <c:ser>
          <c:idx val="11"/>
          <c:order val="11"/>
          <c:tx>
            <c:v>Vector reduction [%]</c:v>
          </c:tx>
          <c:marker>
            <c:symbol val="none"/>
          </c:marker>
          <c:cat>
            <c:strRef>
              <c:f>'Run 1 Frozen 60s'!$A$6:$A$11</c:f>
              <c:strCache>
                <c:ptCount val="0"/>
              </c:strCache>
            </c:strRef>
          </c:cat>
          <c:val>
            <c:numRef>
              <c:f>'Run 1 Frozen 60s'!$M$6:$M$11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Run 2: Progressive Axis/Vector Reduction During Learning</a:t>
            </a:r>
          </a:p>
        </c:rich>
      </c:tx>
    </c:title>
    <c:plotArea>
      <c:lineChart>
        <c:grouping val="standard"/>
        <c:ser>
          <c:idx val="0"/>
          <c:order val="0"/>
          <c:tx>
            <c:v>State</c:v>
          </c:tx>
          <c:marker>
            <c:symbol val="none"/>
          </c:marker>
          <c:cat>
            <c:strRef>
              <c:f>'Run 2 Learning'!$A$9:$A$28</c:f>
              <c:strCache>
                <c:ptCount val="0"/>
              </c:strCache>
            </c:strRef>
          </c:cat>
          <c:val>
            <c:numRef>
              <c:f>'Run 2 Learning'!$B$9:$B$28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N</c:v>
          </c:tx>
          <c:marker>
            <c:symbol val="none"/>
          </c:marker>
          <c:cat>
            <c:strRef>
              <c:f>'Run 2 Learning'!$A$9:$A$28</c:f>
              <c:strCache>
                <c:ptCount val="0"/>
              </c:strCache>
            </c:strRef>
          </c:cat>
          <c:val>
            <c:numRef>
              <c:f>'Run 2 Learning'!$C$9:$C$28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Mean X</c:v>
          </c:tx>
          <c:marker>
            <c:symbol val="none"/>
          </c:marker>
          <c:cat>
            <c:strRef>
              <c:f>'Run 2 Learning'!$A$9:$A$28</c:f>
              <c:strCache>
                <c:ptCount val="0"/>
              </c:strCache>
            </c:strRef>
          </c:cat>
          <c:val>
            <c:numRef>
              <c:f>'Run 2 Learning'!$D$9:$D$28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Mean Y</c:v>
          </c:tx>
          <c:marker>
            <c:symbol val="none"/>
          </c:marker>
          <c:cat>
            <c:strRef>
              <c:f>'Run 2 Learning'!$A$9:$A$28</c:f>
              <c:strCache>
                <c:ptCount val="0"/>
              </c:strCache>
            </c:strRef>
          </c:cat>
          <c:val>
            <c:numRef>
              <c:f>'Run 2 Learning'!$E$9:$E$28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Mean Z</c:v>
          </c:tx>
          <c:marker>
            <c:symbol val="none"/>
          </c:marker>
          <c:cat>
            <c:strRef>
              <c:f>'Run 2 Learning'!$A$9:$A$28</c:f>
              <c:strCache>
                <c:ptCount val="0"/>
              </c:strCache>
            </c:strRef>
          </c:cat>
          <c:val>
            <c:numRef>
              <c:f>'Run 2 Learning'!$F$9:$F$28</c:f>
              <c:numCache>
                <c:formatCode>0.000</c:formatCode>
                <c:ptCount val="0"/>
              </c:numCache>
            </c:numRef>
          </c:val>
        </c:ser>
        <c:ser>
          <c:idx val="5"/>
          <c:order val="5"/>
          <c:tx>
            <c:v>Mean Vector</c:v>
          </c:tx>
          <c:marker>
            <c:symbol val="none"/>
          </c:marker>
          <c:cat>
            <c:strRef>
              <c:f>'Run 2 Learning'!$A$9:$A$28</c:f>
              <c:strCache>
                <c:ptCount val="0"/>
              </c:strCache>
            </c:strRef>
          </c:cat>
          <c:val>
            <c:numRef>
              <c:f>'Run 2 Learning'!$G$9:$G$28</c:f>
              <c:numCache>
                <c:formatCode>0.000</c:formatCode>
                <c:ptCount val="0"/>
              </c:numCache>
            </c:numRef>
          </c:val>
        </c:ser>
        <c:ser>
          <c:idx val="6"/>
          <c:order val="6"/>
          <c:tx>
            <c:v>X reduction [%]</c:v>
          </c:tx>
          <c:marker>
            <c:symbol val="none"/>
          </c:marker>
          <c:cat>
            <c:strRef>
              <c:f>'Run 2 Learning'!$A$9:$A$28</c:f>
              <c:strCache>
                <c:ptCount val="0"/>
              </c:strCache>
            </c:strRef>
          </c:cat>
          <c:val>
            <c:numRef>
              <c:f>'Run 2 Learning'!$H$9:$H$28</c:f>
              <c:numCache>
                <c:formatCode>0.0</c:formatCode>
                <c:ptCount val="0"/>
              </c:numCache>
            </c:numRef>
          </c:val>
        </c:ser>
        <c:ser>
          <c:idx val="7"/>
          <c:order val="7"/>
          <c:tx>
            <c:v>Y reduction [%]</c:v>
          </c:tx>
          <c:marker>
            <c:symbol val="none"/>
          </c:marker>
          <c:cat>
            <c:strRef>
              <c:f>'Run 2 Learning'!$A$9:$A$28</c:f>
              <c:strCache>
                <c:ptCount val="0"/>
              </c:strCache>
            </c:strRef>
          </c:cat>
          <c:val>
            <c:numRef>
              <c:f>'Run 2 Learning'!$I$9:$I$28</c:f>
              <c:numCache>
                <c:formatCode>0.0</c:formatCode>
                <c:ptCount val="0"/>
              </c:numCache>
            </c:numRef>
          </c:val>
        </c:ser>
        <c:ser>
          <c:idx val="8"/>
          <c:order val="8"/>
          <c:tx>
            <c:v>Z reduction [%]</c:v>
          </c:tx>
          <c:marker>
            <c:symbol val="none"/>
          </c:marker>
          <c:cat>
            <c:strRef>
              <c:f>'Run 2 Learning'!$A$9:$A$28</c:f>
              <c:strCache>
                <c:ptCount val="0"/>
              </c:strCache>
            </c:strRef>
          </c:cat>
          <c:val>
            <c:numRef>
              <c:f>'Run 2 Learning'!$J$9:$J$28</c:f>
              <c:numCache>
                <c:formatCode>0.0</c:formatCode>
                <c:ptCount val="0"/>
              </c:numCache>
            </c:numRef>
          </c:val>
        </c:ser>
        <c:ser>
          <c:idx val="9"/>
          <c:order val="9"/>
          <c:tx>
            <c:v>Vector reduction [%]</c:v>
          </c:tx>
          <c:marker>
            <c:symbol val="none"/>
          </c:marker>
          <c:cat>
            <c:strRef>
              <c:f>'Run 2 Learning'!$A$9:$A$28</c:f>
              <c:strCache>
                <c:ptCount val="0"/>
              </c:strCache>
            </c:strRef>
          </c:cat>
          <c:val>
            <c:numRef>
              <c:f>'Run 2 Learning'!$K$9:$K$28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Run 2: Frozen 10-s Stability</a:t>
            </a:r>
          </a:p>
        </c:rich>
      </c:tx>
    </c:title>
    <c:plotArea>
      <c:lineChart>
        <c:grouping val="standard"/>
        <c:ser>
          <c:idx val="0"/>
          <c:order val="0"/>
          <c:tx>
            <c:v>N</c:v>
          </c:tx>
          <c:marker>
            <c:symbol val="none"/>
          </c:marker>
          <c:cat>
            <c:strRef>
              <c:f>'Run 2 Frozen 10s'!$A$9:$A$18</c:f>
              <c:strCache>
                <c:ptCount val="0"/>
              </c:strCache>
            </c:strRef>
          </c:cat>
          <c:val>
            <c:numRef>
              <c:f>'Run 2 Frozen 10s'!$B$9:$B$18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Mean X</c:v>
          </c:tx>
          <c:marker>
            <c:symbol val="none"/>
          </c:marker>
          <c:cat>
            <c:strRef>
              <c:f>'Run 2 Frozen 10s'!$A$9:$A$18</c:f>
              <c:strCache>
                <c:ptCount val="0"/>
              </c:strCache>
            </c:strRef>
          </c:cat>
          <c:val>
            <c:numRef>
              <c:f>'Run 2 Frozen 10s'!$C$9:$C$18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Mean Y</c:v>
          </c:tx>
          <c:marker>
            <c:symbol val="none"/>
          </c:marker>
          <c:cat>
            <c:strRef>
              <c:f>'Run 2 Frozen 10s'!$A$9:$A$18</c:f>
              <c:strCache>
                <c:ptCount val="0"/>
              </c:strCache>
            </c:strRef>
          </c:cat>
          <c:val>
            <c:numRef>
              <c:f>'Run 2 Frozen 10s'!$D$9:$D$18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Mean Z</c:v>
          </c:tx>
          <c:marker>
            <c:symbol val="none"/>
          </c:marker>
          <c:cat>
            <c:strRef>
              <c:f>'Run 2 Frozen 10s'!$A$9:$A$18</c:f>
              <c:strCache>
                <c:ptCount val="0"/>
              </c:strCache>
            </c:strRef>
          </c:cat>
          <c:val>
            <c:numRef>
              <c:f>'Run 2 Frozen 10s'!$E$9:$E$18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Mean Vector</c:v>
          </c:tx>
          <c:marker>
            <c:symbol val="none"/>
          </c:marker>
          <c:cat>
            <c:strRef>
              <c:f>'Run 2 Frozen 10s'!$A$9:$A$18</c:f>
              <c:strCache>
                <c:ptCount val="0"/>
              </c:strCache>
            </c:strRef>
          </c:cat>
          <c:val>
            <c:numRef>
              <c:f>'Run 2 Frozen 10s'!$F$9:$F$18</c:f>
              <c:numCache>
                <c:formatCode>0.000</c:formatCode>
                <c:ptCount val="0"/>
              </c:numCache>
            </c:numRef>
          </c:val>
        </c:ser>
        <c:ser>
          <c:idx val="5"/>
          <c:order val="5"/>
          <c:tx>
            <c:v>X reduction [%]</c:v>
          </c:tx>
          <c:marker>
            <c:symbol val="none"/>
          </c:marker>
          <c:cat>
            <c:strRef>
              <c:f>'Run 2 Frozen 10s'!$A$9:$A$18</c:f>
              <c:strCache>
                <c:ptCount val="0"/>
              </c:strCache>
            </c:strRef>
          </c:cat>
          <c:val>
            <c:numRef>
              <c:f>'Run 2 Frozen 10s'!$G$9:$G$18</c:f>
              <c:numCache>
                <c:formatCode>0.0</c:formatCode>
                <c:ptCount val="0"/>
              </c:numCache>
            </c:numRef>
          </c:val>
        </c:ser>
        <c:ser>
          <c:idx val="6"/>
          <c:order val="6"/>
          <c:tx>
            <c:v>Y reduction [%]</c:v>
          </c:tx>
          <c:marker>
            <c:symbol val="none"/>
          </c:marker>
          <c:cat>
            <c:strRef>
              <c:f>'Run 2 Frozen 10s'!$A$9:$A$18</c:f>
              <c:strCache>
                <c:ptCount val="0"/>
              </c:strCache>
            </c:strRef>
          </c:cat>
          <c:val>
            <c:numRef>
              <c:f>'Run 2 Frozen 10s'!$H$9:$H$18</c:f>
              <c:numCache>
                <c:formatCode>0.0</c:formatCode>
                <c:ptCount val="0"/>
              </c:numCache>
            </c:numRef>
          </c:val>
        </c:ser>
        <c:ser>
          <c:idx val="7"/>
          <c:order val="7"/>
          <c:tx>
            <c:v>Z reduction [%]</c:v>
          </c:tx>
          <c:marker>
            <c:symbol val="none"/>
          </c:marker>
          <c:cat>
            <c:strRef>
              <c:f>'Run 2 Frozen 10s'!$A$9:$A$18</c:f>
              <c:strCache>
                <c:ptCount val="0"/>
              </c:strCache>
            </c:strRef>
          </c:cat>
          <c:val>
            <c:numRef>
              <c:f>'Run 2 Frozen 10s'!$I$9:$I$18</c:f>
              <c:numCache>
                <c:formatCode>0.0</c:formatCode>
                <c:ptCount val="0"/>
              </c:numCache>
            </c:numRef>
          </c:val>
        </c:ser>
        <c:ser>
          <c:idx val="8"/>
          <c:order val="8"/>
          <c:tx>
            <c:v>Vector reduction [%]</c:v>
          </c:tx>
          <c:marker>
            <c:symbol val="none"/>
          </c:marker>
          <c:cat>
            <c:strRef>
              <c:f>'Run 2 Frozen 10s'!$A$9:$A$18</c:f>
              <c:strCache>
                <c:ptCount val="0"/>
              </c:strCache>
            </c:strRef>
          </c:cat>
          <c:val>
            <c:numRef>
              <c:f>'Run 2 Frozen 10s'!$J$9:$J$18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Run 2: Frozen 60-s Persistence by Segment</a:t>
            </a:r>
          </a:p>
        </c:rich>
      </c:tx>
    </c:title>
    <c:plotArea>
      <c:lineChart>
        <c:grouping val="standard"/>
        <c:ser>
          <c:idx val="0"/>
          <c:order val="0"/>
          <c:tx>
            <c:v>Start [s]</c:v>
          </c:tx>
          <c:marker>
            <c:symbol val="none"/>
          </c:marker>
          <c:cat>
            <c:strRef>
              <c:f>'Run 2 Frozen 60s'!$A$6:$A$11</c:f>
              <c:strCache>
                <c:ptCount val="0"/>
              </c:strCache>
            </c:strRef>
          </c:cat>
          <c:val>
            <c:numRef>
              <c:f>'Run 2 Frozen 60s'!$B$6:$B$11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End [s]</c:v>
          </c:tx>
          <c:marker>
            <c:symbol val="none"/>
          </c:marker>
          <c:cat>
            <c:strRef>
              <c:f>'Run 2 Frozen 60s'!$A$6:$A$11</c:f>
              <c:strCache>
                <c:ptCount val="0"/>
              </c:strCache>
            </c:strRef>
          </c:cat>
          <c:val>
            <c:numRef>
              <c:f>'Run 2 Frozen 60s'!$C$6:$C$11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Valid windows</c:v>
          </c:tx>
          <c:marker>
            <c:symbol val="none"/>
          </c:marker>
          <c:cat>
            <c:strRef>
              <c:f>'Run 2 Frozen 60s'!$A$6:$A$11</c:f>
              <c:strCache>
                <c:ptCount val="0"/>
              </c:strCache>
            </c:strRef>
          </c:cat>
          <c:val>
            <c:numRef>
              <c:f>'Run 2 Frozen 60s'!$D$6:$D$11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Mean X</c:v>
          </c:tx>
          <c:marker>
            <c:symbol val="none"/>
          </c:marker>
          <c:cat>
            <c:strRef>
              <c:f>'Run 2 Frozen 60s'!$A$6:$A$11</c:f>
              <c:strCache>
                <c:ptCount val="0"/>
              </c:strCache>
            </c:strRef>
          </c:cat>
          <c:val>
            <c:numRef>
              <c:f>'Run 2 Frozen 60s'!$E$6:$E$11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Mean Y</c:v>
          </c:tx>
          <c:marker>
            <c:symbol val="none"/>
          </c:marker>
          <c:cat>
            <c:strRef>
              <c:f>'Run 2 Frozen 60s'!$A$6:$A$11</c:f>
              <c:strCache>
                <c:ptCount val="0"/>
              </c:strCache>
            </c:strRef>
          </c:cat>
          <c:val>
            <c:numRef>
              <c:f>'Run 2 Frozen 60s'!$F$6:$F$11</c:f>
              <c:numCache>
                <c:formatCode>0.000</c:formatCode>
                <c:ptCount val="0"/>
              </c:numCache>
            </c:numRef>
          </c:val>
        </c:ser>
        <c:ser>
          <c:idx val="5"/>
          <c:order val="5"/>
          <c:tx>
            <c:v>Mean Z</c:v>
          </c:tx>
          <c:marker>
            <c:symbol val="none"/>
          </c:marker>
          <c:cat>
            <c:strRef>
              <c:f>'Run 2 Frozen 60s'!$A$6:$A$11</c:f>
              <c:strCache>
                <c:ptCount val="0"/>
              </c:strCache>
            </c:strRef>
          </c:cat>
          <c:val>
            <c:numRef>
              <c:f>'Run 2 Frozen 60s'!$G$6:$G$11</c:f>
              <c:numCache>
                <c:formatCode>0.000</c:formatCode>
                <c:ptCount val="0"/>
              </c:numCache>
            </c:numRef>
          </c:val>
        </c:ser>
        <c:ser>
          <c:idx val="6"/>
          <c:order val="6"/>
          <c:tx>
            <c:v>Mean Vector</c:v>
          </c:tx>
          <c:marker>
            <c:symbol val="none"/>
          </c:marker>
          <c:cat>
            <c:strRef>
              <c:f>'Run 2 Frozen 60s'!$A$6:$A$11</c:f>
              <c:strCache>
                <c:ptCount val="0"/>
              </c:strCache>
            </c:strRef>
          </c:cat>
          <c:val>
            <c:numRef>
              <c:f>'Run 2 Frozen 60s'!$H$6:$H$11</c:f>
              <c:numCache>
                <c:formatCode>0.000</c:formatCode>
                <c:ptCount val="0"/>
              </c:numCache>
            </c:numRef>
          </c:val>
        </c:ser>
        <c:ser>
          <c:idx val="7"/>
          <c:order val="7"/>
          <c:tx>
            <c:v>X reduction [%]</c:v>
          </c:tx>
          <c:marker>
            <c:symbol val="none"/>
          </c:marker>
          <c:cat>
            <c:strRef>
              <c:f>'Run 2 Frozen 60s'!$A$6:$A$11</c:f>
              <c:strCache>
                <c:ptCount val="0"/>
              </c:strCache>
            </c:strRef>
          </c:cat>
          <c:val>
            <c:numRef>
              <c:f>'Run 2 Frozen 60s'!$I$6:$I$11</c:f>
              <c:numCache>
                <c:formatCode>0.0</c:formatCode>
                <c:ptCount val="0"/>
              </c:numCache>
            </c:numRef>
          </c:val>
        </c:ser>
        <c:ser>
          <c:idx val="8"/>
          <c:order val="8"/>
          <c:tx>
            <c:v>Y reduction [%]</c:v>
          </c:tx>
          <c:marker>
            <c:symbol val="none"/>
          </c:marker>
          <c:cat>
            <c:strRef>
              <c:f>'Run 2 Frozen 60s'!$A$6:$A$11</c:f>
              <c:strCache>
                <c:ptCount val="0"/>
              </c:strCache>
            </c:strRef>
          </c:cat>
          <c:val>
            <c:numRef>
              <c:f>'Run 2 Frozen 60s'!$J$6:$J$11</c:f>
              <c:numCache>
                <c:formatCode>0.0</c:formatCode>
                <c:ptCount val="0"/>
              </c:numCache>
            </c:numRef>
          </c:val>
        </c:ser>
        <c:ser>
          <c:idx val="9"/>
          <c:order val="9"/>
          <c:tx>
            <c:v>Z reduction [%]</c:v>
          </c:tx>
          <c:marker>
            <c:symbol val="none"/>
          </c:marker>
          <c:cat>
            <c:strRef>
              <c:f>'Run 2 Frozen 60s'!$A$6:$A$11</c:f>
              <c:strCache>
                <c:ptCount val="0"/>
              </c:strCache>
            </c:strRef>
          </c:cat>
          <c:val>
            <c:numRef>
              <c:f>'Run 2 Frozen 60s'!$K$6:$K$11</c:f>
              <c:numCache>
                <c:formatCode>0.0</c:formatCode>
                <c:ptCount val="0"/>
              </c:numCache>
            </c:numRef>
          </c:val>
        </c:ser>
        <c:ser>
          <c:idx val="10"/>
          <c:order val="10"/>
          <c:tx>
            <c:v>Selected X reduction [%]</c:v>
          </c:tx>
          <c:marker>
            <c:symbol val="none"/>
          </c:marker>
          <c:cat>
            <c:strRef>
              <c:f>'Run 2 Frozen 60s'!$A$6:$A$11</c:f>
              <c:strCache>
                <c:ptCount val="0"/>
              </c:strCache>
            </c:strRef>
          </c:cat>
          <c:val>
            <c:numRef>
              <c:f>'Run 2 Frozen 60s'!$L$6:$L$11</c:f>
              <c:numCache>
                <c:formatCode>0.0</c:formatCode>
                <c:ptCount val="0"/>
              </c:numCache>
            </c:numRef>
          </c:val>
        </c:ser>
        <c:ser>
          <c:idx val="11"/>
          <c:order val="11"/>
          <c:tx>
            <c:v>Vector reduction [%]</c:v>
          </c:tx>
          <c:marker>
            <c:symbol val="none"/>
          </c:marker>
          <c:cat>
            <c:strRef>
              <c:f>'Run 2 Frozen 60s'!$A$6:$A$11</c:f>
              <c:strCache>
                <c:ptCount val="0"/>
              </c:strCache>
            </c:strRef>
          </c:cat>
          <c:val>
            <c:numRef>
              <c:f>'Run 2 Frozen 60s'!$M$6:$M$11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10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858d7162e1409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15</xdr:col>
      <xdr:colOff>0</xdr:colOff>
      <xdr:row>3</xdr:row>
      <xdr:rowOff>0</xdr:rowOff>
    </xdr:from>
    <xdr:to>
      <xdr:col>26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57be5b01a64cb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11</xdr:col>
      <xdr:colOff>0</xdr:colOff>
      <xdr:row>3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2b872f158c434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16</xdr:col>
      <xdr:colOff>0</xdr:colOff>
      <xdr:row>3</xdr:row>
      <xdr:rowOff>0</xdr:rowOff>
    </xdr:from>
    <xdr:to>
      <xdr:col>27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2fda343b0e4cf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15</xdr:col>
      <xdr:colOff>0</xdr:colOff>
      <xdr:row>3</xdr:row>
      <xdr:rowOff>0</xdr:rowOff>
    </xdr:from>
    <xdr:to>
      <xdr:col>26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9cd2df990e45ee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11</xdr:col>
      <xdr:colOff>0</xdr:colOff>
      <xdr:row>3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a847f5c5f94a2b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16</xdr:col>
      <xdr:colOff>0</xdr:colOff>
      <xdr:row>3</xdr:row>
      <xdr:rowOff>0</xdr:rowOff>
    </xdr:from>
    <xdr:to>
      <xdr:col>27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e79f41dd8146c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df1b39be80b41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f76645f0e1b45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0513bd2d90a74f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763c1e5666644a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a83e0e9deff64b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7c313d061e6c4c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4c78aacb754f4804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44" hidden="0" customWidth="1"/>
    <x:col min="7" max="7" width="24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4" t="str">
        <x:v>FxLMS V1.4R — Positive X-Axis Validation Dataset</x:v>
      </x:c>
      <x:c r="B1" s="4"/>
      <x:c r="C1" s="4"/>
      <x:c r="D1" s="4"/>
      <x:c r="E1" s="4"/>
      <x:c r="F1" s="4"/>
      <x:c r="G1" s="4"/>
      <x:c r="H1" s="4"/>
      <x:c r="I1" s="4"/>
      <x:c r="J1" s="4"/>
      <x:c r="L1" t="str">
        <x:v>Stage</x:v>
      </x:c>
      <x:c r="M1" t="str">
        <x:v>Run 1</x:v>
      </x:c>
      <x:c r="N1" t="str">
        <x:v>Run 2</x:v>
      </x:c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L2" t="str">
        <x:v>Training best</x:v>
      </x:c>
      <x:c r="M2" t="n">
        <x:v>64.775</x:v>
      </x:c>
      <x:c r="N2" t="n">
        <x:v>65.881</x:v>
      </x:c>
    </x:row>
    <x:row r="3">
      <x:c r="L3" t="str">
        <x:v>Frozen 10 s</x:v>
      </x:c>
      <x:c r="M3" t="n">
        <x:v>53.439</x:v>
      </x:c>
      <x:c r="N3" t="n">
        <x:v>60.87</x:v>
      </x:c>
    </x:row>
    <x:row r="4">
      <x:c r="A4" s="24" t="str">
        <x:v>Metric</x:v>
      </x:c>
      <x:c r="B4" s="25" t="str">
        <x:v>Run 1</x:v>
      </x:c>
      <x:c r="C4" s="25" t="str">
        <x:v>Run 2</x:v>
      </x:c>
      <x:c r="D4" s="25" t="str">
        <x:v>Mean</x:v>
      </x:c>
      <x:c r="E4" s="26" t="str">
        <x:v>Thesis interpretation</x:v>
      </x:c>
      <x:c r="G4" s="44" t="str">
        <x:v>Key validation chain</x:v>
      </x:c>
      <x:c r="H4" s="44"/>
      <x:c r="I4" s="44"/>
      <x:c r="J4" s="44"/>
      <x:c r="L4" t="str">
        <x:v>Frozen 60 s</x:v>
      </x:c>
      <x:c r="M4" t="n">
        <x:v>53.1488</x:v>
      </x:c>
      <x:c r="N4" t="n">
        <x:v>58.4749</x:v>
      </x:c>
    </x:row>
    <x:row r="5">
      <x:c r="A5" s="27" t="str">
        <x:v>f0 [Hz]</x:v>
      </x:c>
      <x:c r="B5" s="28" t="n">
        <x:v>268.254688</x:v>
      </x:c>
      <x:c r="C5" s="28" t="n">
        <x:v>268.254688</x:v>
      </x:c>
      <x:c r="D5" s="28" t="n">
        <x:f>AVERAGE(B5:C5)</x:f>
        <x:v>268.254688</x:v>
      </x:c>
      <x:c r="E5" s="29" t="str">
        <x:v>Same session narrowband control frequency</x:v>
      </x:c>
      <x:c r="G5" s="50" t="str">
        <x:v>Run 1</x:v>
      </x:c>
      <x:c r="H5" s="51" t="str">
        <x:v>Training 64.775% → Frozen 10 s 53.439% → Frozen 60 s 53.149%</x:v>
      </x:c>
      <x:c r="I5" s="51" t="str"/>
      <x:c r="J5" s="52" t="str"/>
    </x:row>
    <x:row r="6">
      <x:c r="A6" s="27" t="str">
        <x:v>Fresh X baseline [m/s²]</x:v>
      </x:c>
      <x:c r="B6" s="28" t="n">
        <x:v>0.973769</x:v>
      </x:c>
      <x:c r="C6" s="28" t="n">
        <x:v>1.041044</x:v>
      </x:c>
      <x:c r="D6" s="28" t="n">
        <x:f>AVERAGE(B6:C6)</x:f>
        <x:v>1.0074065</x:v>
      </x:c>
      <x:c r="E6" s="29" t="str">
        <x:v>Independent fresh baseline before each l 20 run</x:v>
      </x:c>
      <x:c r="G6" s="27" t="str">
        <x:v>Run 2</x:v>
      </x:c>
      <x:c r="H6" s="53" t="str">
        <x:v>Training 65.881% → Frozen 10 s 60.870% → Frozen 60 s 58.475%</x:v>
      </x:c>
      <x:c r="I6" s="53" t="str"/>
      <x:c r="J6" s="29" t="str"/>
    </x:row>
    <x:row r="7">
      <x:c r="A7" s="27" t="str">
        <x:v>Training best rolling X attenuation [%]</x:v>
      </x:c>
      <x:c r="B7" s="28" t="n">
        <x:v>64.775</x:v>
      </x:c>
      <x:c r="C7" s="28" t="n">
        <x:v>65.881</x:v>
      </x:c>
      <x:c r="D7" s="28" t="n">
        <x:f>AVERAGE(B7:C7)</x:f>
        <x:v>65.328</x:v>
      </x:c>
      <x:c r="E7" s="29" t="str">
        <x:v>Best sustained learning-region metric</x:v>
      </x:c>
      <x:c r="G7" s="27" t="str">
        <x:v>Persistence</x:v>
      </x:c>
      <x:c r="H7" s="54" t="str">
        <x:v>No monotonic attenuation decay across the six 10-s long-freeze segments</x:v>
      </x:c>
      <x:c r="I7" s="54" t="str"/>
      <x:c r="J7" s="55" t="str"/>
    </x:row>
    <x:row r="8">
      <x:c r="A8" s="27" t="str">
        <x:v>Frozen 10-s X attenuation [%]</x:v>
      </x:c>
      <x:c r="B8" s="28" t="n">
        <x:v>53.439</x:v>
      </x:c>
      <x:c r="C8" s="28" t="n">
        <x:v>60.87</x:v>
      </x:c>
      <x:c r="D8" s="28" t="n">
        <x:f>AVERAGE(B8:C8)</x:f>
        <x:v>57.1545</x:v>
      </x:c>
      <x:c r="E8" s="29" t="str">
        <x:v>Independent post-learning validation</x:v>
      </x:c>
      <x:c r="G8" s="30" t="str">
        <x:v>Controller scope</x:v>
      </x:c>
      <x:c r="H8" s="56" t="str">
        <x:v>Selected X-axis optimization only; vector retained as diagnostic telemetry</x:v>
      </x:c>
      <x:c r="I8" s="56" t="str"/>
      <x:c r="J8" s="32" t="str"/>
    </x:row>
    <x:row r="9">
      <x:c r="A9" s="27" t="str">
        <x:v>Frozen 60-s X attenuation [%]</x:v>
      </x:c>
      <x:c r="B9" s="28" t="n">
        <x:v>53.1488</x:v>
      </x:c>
      <x:c r="C9" s="28" t="n">
        <x:v>58.4749</x:v>
      </x:c>
      <x:c r="D9" s="28" t="n">
        <x:f>AVERAGE(B9:C9)</x:f>
        <x:v>55.81185</x:v>
      </x:c>
      <x:c r="E9" s="29" t="str">
        <x:v>Persistence with W completely frozen</x:v>
      </x:c>
    </x:row>
    <x:row r="10">
      <x:c r="A10" s="27" t="str">
        <x:v>Frozen 10-s vector reduction [%]</x:v>
      </x:c>
      <x:c r="B10" s="28" t="n">
        <x:v>6.329</x:v>
      </x:c>
      <x:c r="C10" s="28" t="n">
        <x:v>15.292</x:v>
      </x:c>
      <x:c r="D10" s="28" t="n">
        <x:f>AVERAGE(B10:C10)</x:f>
        <x:v>10.8105</x:v>
      </x:c>
      <x:c r="E10" s="29" t="str">
        <x:v>Diagnostic only; not part of Wbest selection</x:v>
      </x:c>
      <x:c r="G10" s="44" t="str">
        <x:v>Data provenance</x:v>
      </x:c>
      <x:c r="H10" s="44"/>
      <x:c r="I10" s="44"/>
      <x:c r="J10" s="44"/>
    </x:row>
    <x:row r="11">
      <x:c r="A11" s="27" t="str">
        <x:v>Frozen 60-s vector reduction [%]</x:v>
      </x:c>
      <x:c r="B11" s="28" t="n">
        <x:v>14.8587</x:v>
      </x:c>
      <x:c r="C11" s="28" t="n">
        <x:v>23.4091</x:v>
      </x:c>
      <x:c r="D11" s="28" t="n">
        <x:f>AVERAGE(B11:C11)</x:f>
        <x:v>19.1339</x:v>
      </x:c>
      <x:c r="E11" s="29" t="str">
        <x:v>Positive total-vector secondary outcome</x:v>
      </x:c>
      <x:c r="G11" s="50" t="str">
        <x:v>Source</x:v>
      </x:c>
      <x:c r="H11" s="51" t="str">
        <x:v>Pasted text.txt — user-provided ESP32 serial log, 31 Aug 2026</x:v>
      </x:c>
      <x:c r="I11" s="51" t="str"/>
      <x:c r="J11" s="52" t="str"/>
    </x:row>
    <x:row r="12">
      <x:c r="A12" s="27" t="str">
        <x:v>Wbest magnitude [DAC]</x:v>
      </x:c>
      <x:c r="B12" s="28" t="n">
        <x:v>6.388391</x:v>
      </x:c>
      <x:c r="C12" s="28" t="n">
        <x:v>7.8621979</x:v>
      </x:c>
      <x:c r="D12" s="28" t="n">
        <x:f>AVERAGE(B12:C12)</x:f>
        <x:v>7.12529445</x:v>
      </x:c>
      <x:c r="E12" s="29" t="str">
        <x:v>Different learned authority for different fresh disturbance states</x:v>
      </x:c>
      <x:c r="G12" s="27" t="str">
        <x:v>Sign convention</x:v>
      </x:c>
      <x:c r="H12" s="53" t="str">
        <x:v>Positive reduction = attenuation; negative reduction = amplification</x:v>
      </x:c>
      <x:c r="I12" s="53" t="str"/>
      <x:c r="J12" s="29" t="str"/>
    </x:row>
    <x:row r="13">
      <x:c r="A13" s="27" t="str">
        <x:v>Wbest phase [deg]</x:v>
      </x:c>
      <x:c r="B13" s="28" t="n">
        <x:v>-28.6626</x:v>
      </x:c>
      <x:c r="C13" s="28" t="n">
        <x:v>-21.3378</x:v>
      </x:c>
      <x:c r="D13" s="28" t="n">
        <x:f>AVERAGE(B13:C13)</x:f>
        <x:v>-25.0002</x:v>
      </x:c>
      <x:c r="E13" s="29" t="str">
        <x:v>Similar destructive-control region</x:v>
      </x:c>
      <x:c r="G13" s="27" t="str">
        <x:v>Learning table</x:v>
      </x:c>
      <x:c r="H13" s="53" t="str">
        <x:v>1-s averages recomputed from accepted CSV_FXLMS_V14 blocks</x:v>
      </x:c>
      <x:c r="I13" s="53" t="str"/>
      <x:c r="J13" s="29" t="str"/>
    </x:row>
    <x:row r="14">
      <x:c r="A14" s="30" t="str">
        <x:v>60-s valid windows</x:v>
      </x:c>
      <x:c r="B14" s="31" t="n">
        <x:v>261</x:v>
      </x:c>
      <x:c r="C14" s="31" t="n">
        <x:v>261</x:v>
      </x:c>
      <x:c r="D14" s="31" t="n">
        <x:f>AVERAGE(B14:C14)</x:f>
        <x:v>261</x:v>
      </x:c>
      <x:c r="E14" s="32" t="str">
        <x:v>Complete long-duration datasets</x:v>
      </x:c>
      <x:c r="G14" s="27" t="str">
        <x:v>Frozen 10 s</x:v>
      </x:c>
      <x:c r="H14" s="53" t="str">
        <x:v>1-s averages recomputed from accepted CSV_FXVAL_V14 blocks</x:v>
      </x:c>
      <x:c r="I14" s="53" t="str"/>
      <x:c r="J14" s="29" t="str"/>
    </x:row>
    <x:row r="15">
      <x:c r="G15" s="30" t="str">
        <x:v>Frozen 60 s</x:v>
      </x:c>
      <x:c r="H15" s="56" t="str">
        <x:v>Firmware-native six 10-s segment summaries</x:v>
      </x:c>
      <x:c r="I15" s="56" t="str"/>
      <x:c r="J15" s="32" t="str"/>
    </x:row>
  </x:sheetData>
  <x:mergeCells>
    <x:mergeCell ref="A1:J2"/>
    <x:mergeCell ref="G4:J4"/>
    <x:mergeCell ref="H5:J5"/>
    <x:mergeCell ref="H6:J6"/>
    <x:mergeCell ref="H7:J7"/>
    <x:mergeCell ref="H8:J8"/>
    <x:mergeCell ref="G10:J10"/>
    <x:mergeCell ref="H11:J11"/>
    <x:mergeCell ref="H12:J12"/>
    <x:mergeCell ref="H13:J13"/>
    <x:mergeCell ref="H14:J14"/>
    <x:mergeCell ref="H15:J15"/>
  </x:mergeCells>
  <x:pageMargins left="0.7" right="0.7" top="0.75" bottom="0.75" header="0.3" footer="0.3"/>
  <x:drawing xmlns:r="http://schemas.openxmlformats.org/officeDocument/2006/relationships" r:id="R7df1b39be80b418a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90" t="str">
        <x:v>Run 1 — 20-s Adaptive Learning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  <x:c r="M1" s="90"/>
      <x:c r="N1" s="90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  <x:c r="AA1" s="22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4">
      <x:c r="A4" s="24" t="str">
        <x:v>Fresh baseline</x:v>
      </x:c>
      <x:c r="B4" s="25" t="str">
        <x:v>X</x:v>
      </x:c>
      <x:c r="C4" s="25" t="str">
        <x:v>Y</x:v>
      </x:c>
      <x:c r="D4" s="25" t="str">
        <x:v>Z</x:v>
      </x:c>
      <x:c r="E4" s="26" t="str">
        <x:v>Vector</x:v>
      </x:c>
    </x:row>
    <x:row r="5">
      <x:c r="A5" s="64" t="str">
        <x:v>m/s²</x:v>
      </x:c>
      <x:c r="B5" s="65" t="n">
        <x:v>0.973769</x:v>
      </x:c>
      <x:c r="C5" s="65" t="n">
        <x:v>0.619002</x:v>
      </x:c>
      <x:c r="D5" s="65" t="n">
        <x:v>0.249204</x:v>
      </x:c>
      <x:c r="E5" s="66" t="n">
        <x:v>1.181187</x:v>
      </x:c>
    </x:row>
    <x:row r="8">
      <x:c r="A8" s="24" t="str">
        <x:v>Time [s]</x:v>
      </x:c>
      <x:c r="B8" s="25" t="str">
        <x:v>State</x:v>
      </x:c>
      <x:c r="C8" s="25" t="str">
        <x:v>N</x:v>
      </x:c>
      <x:c r="D8" s="25" t="str">
        <x:v>Mean X</x:v>
      </x:c>
      <x:c r="E8" s="25" t="str">
        <x:v>Mean Y</x:v>
      </x:c>
      <x:c r="F8" s="25" t="str">
        <x:v>Mean Z</x:v>
      </x:c>
      <x:c r="G8" s="25" t="str">
        <x:v>Mean Vector</x:v>
      </x:c>
      <x:c r="H8" s="25" t="str">
        <x:v>X reduction [%]</x:v>
      </x:c>
      <x:c r="I8" s="25" t="str">
        <x:v>Y reduction [%]</x:v>
      </x:c>
      <x:c r="J8" s="25" t="str">
        <x:v>Z reduction [%]</x:v>
      </x:c>
      <x:c r="K8" s="25" t="str">
        <x:v>Vector reduction [%]</x:v>
      </x:c>
      <x:c r="L8" s="25" t="str">
        <x:v>Mean |W| [DAC]</x:v>
      </x:c>
      <x:c r="M8" s="25" t="str">
        <x:v>Mean μ</x:v>
      </x:c>
      <x:c r="N8" s="26" t="str">
        <x:v>Mean rolling X [%]</x:v>
      </x:c>
    </x:row>
    <x:row r="9">
      <x:c r="A9" s="72" t="str">
        <x:v>0-1</x:v>
      </x:c>
      <x:c r="B9" s="73" t="str">
        <x:v>STARTUP</x:v>
      </x:c>
      <x:c r="C9" s="73" t="n">
        <x:v>4</x:v>
      </x:c>
      <x:c r="D9" s="28" t="n">
        <x:v>1.010335</x:v>
      </x:c>
      <x:c r="E9" s="28" t="n">
        <x:v>0.6174885</x:v>
      </x:c>
      <x:c r="F9" s="28" t="n">
        <x:v>0.2400765</x:v>
      </x:c>
      <x:c r="G9" s="28" t="n">
        <x:v>1.209512</x:v>
      </x:c>
      <x:c r="H9" s="74" t="n">
        <x:f>100*(1-D9/$B$5)</x:f>
        <x:v>-3.7551000288569503</x:v>
      </x:c>
      <x:c r="I9" s="74" t="n">
        <x:f>100*(1-E9/$C$5)</x:f>
        <x:v>0.24450647978521145</x:v>
      </x:c>
      <x:c r="J9" s="74" t="n">
        <x:f>100*(1-F9/$D$5)</x:f>
        <x:v>3.6626619155390783</x:v>
      </x:c>
      <x:c r="K9" s="74" t="n">
        <x:f>100*(1-G9/$E$5)</x:f>
        <x:v>-2.3980114918298323</x:v>
      </x:c>
      <x:c r="L9" s="28" t="n">
        <x:v>0.05392696119624956</x:v>
      </x:c>
      <x:c r="M9" s="28" t="n">
        <x:v>0.005</x:v>
      </x:c>
      <x:c r="N9" s="75"/>
    </x:row>
    <x:row r="10">
      <x:c r="A10" s="72" t="str">
        <x:v>1-2</x:v>
      </x:c>
      <x:c r="B10" s="73" t="str">
        <x:v>LEARN</x:v>
      </x:c>
      <x:c r="C10" s="73" t="n">
        <x:v>4</x:v>
      </x:c>
      <x:c r="D10" s="28" t="n">
        <x:v>1.0576285</x:v>
      </x:c>
      <x:c r="E10" s="28" t="n">
        <x:v>0.6280115</x:v>
      </x:c>
      <x:c r="F10" s="28" t="n">
        <x:v>0.25176375</x:v>
      </x:c>
      <x:c r="G10" s="28" t="n">
        <x:v>1.25994875</x:v>
      </x:c>
      <x:c r="H10" s="74" t="n">
        <x:f>100*(1-D10/$B$5)</x:f>
        <x:v>-8.61184736831837</x:v>
      </x:c>
      <x:c r="I10" s="74" t="n">
        <x:f>100*(1-E10/$C$5)</x:f>
        <x:v>-1.4554880275023274</x:v>
      </x:c>
      <x:c r="J10" s="74" t="n">
        <x:f>100*(1-F10/$D$5)</x:f>
        <x:v>-1.0271705109067275</x:v>
      </x:c>
      <x:c r="K10" s="74" t="n">
        <x:f>100*(1-G10/$E$5)</x:f>
        <x:v>-6.668017003234872</x:v>
      </x:c>
      <x:c r="L10" s="28" t="n">
        <x:v>0.272343480532781</x:v>
      </x:c>
      <x:c r="M10" s="28" t="n">
        <x:v>0.01625</x:v>
      </x:c>
      <x:c r="N10" s="75" t="n">
        <x:v>-5.4325</x:v>
      </x:c>
    </x:row>
    <x:row r="11">
      <x:c r="A11" s="72" t="str">
        <x:v>2-3</x:v>
      </x:c>
      <x:c r="B11" s="73" t="str">
        <x:v>LEARN</x:v>
      </x:c>
      <x:c r="C11" s="73" t="n">
        <x:v>4</x:v>
      </x:c>
      <x:c r="D11" s="28" t="n">
        <x:v>0.9833000000000001</x:v>
      </x:c>
      <x:c r="E11" s="28" t="n">
        <x:v>0.5387375</x:v>
      </x:c>
      <x:c r="F11" s="28" t="n">
        <x:v>0.28023475</x:v>
      </x:c>
      <x:c r="G11" s="28" t="n">
        <x:v>1.1570705000000001</x:v>
      </x:c>
      <x:c r="H11" s="74" t="n">
        <x:f>100*(1-D11/$B$5)</x:f>
        <x:v>-0.9787742267416633</x:v>
      </x:c>
      <x:c r="I11" s="74" t="n">
        <x:f>100*(1-E11/$C$5)</x:f>
        <x:v>12.966759396577077</x:v>
      </x:c>
      <x:c r="J11" s="74" t="n">
        <x:f>100*(1-F11/$D$5)</x:f>
        <x:v>-12.451946999245589</x:v>
      </x:c>
      <x:c r="K11" s="74" t="n">
        <x:f>100*(1-G11/$E$5)</x:f>
        <x:v>2.041717357200834</x:v>
      </x:c>
      <x:c r="L11" s="28" t="n">
        <x:v>0.842097281471957</x:v>
      </x:c>
      <x:c r="M11" s="28" t="n">
        <x:v>0.02</x:v>
      </x:c>
      <x:c r="N11" s="75" t="n">
        <x:v>-3.3265</x:v>
      </x:c>
    </x:row>
    <x:row r="12">
      <x:c r="A12" s="72" t="str">
        <x:v>3-4</x:v>
      </x:c>
      <x:c r="B12" s="73" t="str">
        <x:v>LEARN</x:v>
      </x:c>
      <x:c r="C12" s="73" t="n">
        <x:v>4</x:v>
      </x:c>
      <x:c r="D12" s="28" t="n">
        <x:v>0.96255325</x:v>
      </x:c>
      <x:c r="E12" s="28" t="n">
        <x:v>0.57851225</x:v>
      </x:c>
      <x:c r="F12" s="28" t="n">
        <x:v>0.29927875</x:v>
      </x:c>
      <x:c r="G12" s="28" t="n">
        <x:v>1.165787</x:v>
      </x:c>
      <x:c r="H12" s="74" t="n">
        <x:f>100*(1-D12/$B$5)</x:f>
        <x:v>1.1517875389337684</x:v>
      </x:c>
      <x:c r="I12" s="74" t="n">
        <x:f>100*(1-E12/$C$5)</x:f>
        <x:v>6.541133954332956</x:v>
      </x:c>
      <x:c r="J12" s="74" t="n">
        <x:f>100*(1-F12/$D$5)</x:f>
        <x:v>-20.09387891045087</x:v>
      </x:c>
      <x:c r="K12" s="74" t="n">
        <x:f>100*(1-G12/$E$5)</x:f>
        <x:v>1.3037732382764178</x:v>
      </x:c>
      <x:c r="L12" s="28" t="n">
        <x:v>1.3957723779162505</x:v>
      </x:c>
      <x:c r="M12" s="28" t="n">
        <x:v>0.02</x:v>
      </x:c>
      <x:c r="N12" s="75" t="n">
        <x:v>-1.6484999999999999</x:v>
      </x:c>
    </x:row>
    <x:row r="13">
      <x:c r="A13" s="72" t="str">
        <x:v>4-5</x:v>
      </x:c>
      <x:c r="B13" s="73" t="str">
        <x:v>LEARN</x:v>
      </x:c>
      <x:c r="C13" s="73" t="n">
        <x:v>4</x:v>
      </x:c>
      <x:c r="D13" s="28" t="n">
        <x:v>0.9157555</x:v>
      </x:c>
      <x:c r="E13" s="28" t="n">
        <x:v>0.59757375</x:v>
      </x:c>
      <x:c r="F13" s="28" t="n">
        <x:v>0.22528674999999998</x:v>
      </x:c>
      <x:c r="G13" s="28" t="n">
        <x:v>1.1185892499999999</x:v>
      </x:c>
      <x:c r="H13" s="74" t="n">
        <x:f>100*(1-D13/$B$5)</x:f>
        <x:v>5.957624446865739</x:v>
      </x:c>
      <x:c r="I13" s="74" t="n">
        <x:f>100*(1-E13/$C$5)</x:f>
        <x:v>3.4617416421917957</x:v>
      </x:c>
      <x:c r="J13" s="74" t="n">
        <x:f>100*(1-F13/$D$5)</x:f>
        <x:v>9.597458307250296</x:v>
      </x:c>
      <x:c r="K13" s="74" t="n">
        <x:f>100*(1-G13/$E$5)</x:f>
        <x:v>5.299563066643986</x:v>
      </x:c>
      <x:c r="L13" s="28" t="n">
        <x:v>1.8783877383483052</x:v>
      </x:c>
      <x:c r="M13" s="28" t="n">
        <x:v>0.02</x:v>
      </x:c>
      <x:c r="N13" s="75" t="n">
        <x:v>4.68075</x:v>
      </x:c>
    </x:row>
    <x:row r="14">
      <x:c r="A14" s="72" t="str">
        <x:v>5-6</x:v>
      </x:c>
      <x:c r="B14" s="73" t="str">
        <x:v>LEARN</x:v>
      </x:c>
      <x:c r="C14" s="73" t="n">
        <x:v>4</x:v>
      </x:c>
      <x:c r="D14" s="28" t="n">
        <x:v>0.86733625</x:v>
      </x:c>
      <x:c r="E14" s="28" t="n">
        <x:v>0.63798</x:v>
      </x:c>
      <x:c r="F14" s="28" t="n">
        <x:v>0.2189965</x:v>
      </x:c>
      <x:c r="G14" s="28" t="n">
        <x:v>1.1030905</x:v>
      </x:c>
      <x:c r="H14" s="74" t="n">
        <x:f>100*(1-D14/$B$5)</x:f>
        <x:v>10.929979286668601</x:v>
      </x:c>
      <x:c r="I14" s="74" t="n">
        <x:f>100*(1-E14/$C$5)</x:f>
        <x:v>-3.0659028565335644</x:v>
      </x:c>
      <x:c r="J14" s="74" t="n">
        <x:f>100*(1-F14/$D$5)</x:f>
        <x:v>12.12159515898621</x:v>
      </x:c>
      <x:c r="K14" s="74" t="n">
        <x:f>100*(1-G14/$E$5)</x:f>
        <x:v>6.61169653915934</x:v>
      </x:c>
      <x:c r="L14" s="28" t="n">
        <x:v>2.369383034152448</x:v>
      </x:c>
      <x:c r="M14" s="28" t="n">
        <x:v>0.02</x:v>
      </x:c>
      <x:c r="N14" s="75" t="n">
        <x:v>8.12025</x:v>
      </x:c>
    </x:row>
    <x:row r="15">
      <x:c r="A15" s="72" t="str">
        <x:v>6-7</x:v>
      </x:c>
      <x:c r="B15" s="73" t="str">
        <x:v>LEARN</x:v>
      </x:c>
      <x:c r="C15" s="73" t="n">
        <x:v>4</x:v>
      </x:c>
      <x:c r="D15" s="28" t="n">
        <x:v>0.8342832499999999</x:v>
      </x:c>
      <x:c r="E15" s="28" t="n">
        <x:v>0.5998605</x:v>
      </x:c>
      <x:c r="F15" s="28" t="n">
        <x:v>0.32296275</x:v>
      </x:c>
      <x:c r="G15" s="28" t="n">
        <x:v>1.08063</x:v>
      </x:c>
      <x:c r="H15" s="74" t="n">
        <x:f>100*(1-D15/$B$5)</x:f>
        <x:v>14.324316136578597</x:v>
      </x:c>
      <x:c r="I15" s="74" t="n">
        <x:f>100*(1-E15/$C$5)</x:f>
        <x:v>3.092316341465784</x:v>
      </x:c>
      <x:c r="J15" s="74" t="n">
        <x:f>100*(1-F15/$D$5)</x:f>
        <x:v>-29.597739201617944</x:v>
      </x:c>
      <x:c r="K15" s="74" t="n">
        <x:f>100*(1-G15/$E$5)</x:f>
        <x:v>8.513215942945529</x:v>
      </x:c>
      <x:c r="L15" s="28" t="n">
        <x:v>2.8159629793821512</x:v>
      </x:c>
      <x:c r="M15" s="28" t="n">
        <x:v>0.02</x:v>
      </x:c>
      <x:c r="N15" s="75" t="n">
        <x:v>13.5205</x:v>
      </x:c>
    </x:row>
    <x:row r="16">
      <x:c r="A16" s="72" t="str">
        <x:v>7-8</x:v>
      </x:c>
      <x:c r="B16" s="73" t="str">
        <x:v>LEARN</x:v>
      </x:c>
      <x:c r="C16" s="73" t="n">
        <x:v>4</x:v>
      </x:c>
      <x:c r="D16" s="28" t="n">
        <x:v>0.76301975</x:v>
      </x:c>
      <x:c r="E16" s="28" t="n">
        <x:v>0.71047375</x:v>
      </x:c>
      <x:c r="F16" s="28" t="n">
        <x:v>0.2794495</x:v>
      </x:c>
      <x:c r="G16" s="28" t="n">
        <x:v>1.08492625</x:v>
      </x:c>
      <x:c r="H16" s="74" t="n">
        <x:f>100*(1-D16/$B$5)</x:f>
        <x:v>21.642632903696867</x:v>
      </x:c>
      <x:c r="I16" s="74" t="n">
        <x:f>100*(1-E16/$C$5)</x:f>
        <x:v>-14.777294742181768</x:v>
      </x:c>
      <x:c r="J16" s="74" t="n">
        <x:f>100*(1-F16/$D$5)</x:f>
        <x:v>-12.136843710373824</x:v>
      </x:c>
      <x:c r="K16" s="74" t="n">
        <x:f>100*(1-G16/$E$5)</x:f>
        <x:v>8.149492840676364</x:v>
      </x:c>
      <x:c r="L16" s="28" t="n">
        <x:v>3.257930252480807</x:v>
      </x:c>
      <x:c r="M16" s="28" t="n">
        <x:v>0.02</x:v>
      </x:c>
      <x:c r="N16" s="75" t="n">
        <x:v>16.342</x:v>
      </x:c>
    </x:row>
    <x:row r="17">
      <x:c r="A17" s="72" t="str">
        <x:v>8-9</x:v>
      </x:c>
      <x:c r="B17" s="73" t="str">
        <x:v>LEARN</x:v>
      </x:c>
      <x:c r="C17" s="73" t="n">
        <x:v>4</x:v>
      </x:c>
      <x:c r="D17" s="28" t="n">
        <x:v>0.702993</x:v>
      </x:c>
      <x:c r="E17" s="28" t="n">
        <x:v>0.600002</x:v>
      </x:c>
      <x:c r="F17" s="28" t="n">
        <x:v>0.40151975</x:v>
      </x:c>
      <x:c r="G17" s="28" t="n">
        <x:v>1.01309125</x:v>
      </x:c>
      <x:c r="H17" s="74" t="n">
        <x:f>100*(1-D17/$B$5)</x:f>
        <x:v>27.807005562920985</x:v>
      </x:c>
      <x:c r="I17" s="74" t="n">
        <x:f>100*(1-E17/$C$5)</x:f>
        <x:v>3.06945696459785</x:v>
      </x:c>
      <x:c r="J17" s="74" t="n">
        <x:f>100*(1-F17/$D$5)</x:f>
        <x:v>-61.12090897417377</x:v>
      </x:c>
      <x:c r="K17" s="74" t="n">
        <x:f>100*(1-G17/$E$5)</x:f>
        <x:v>14.231087033636502</x:v>
      </x:c>
      <x:c r="L17" s="28" t="n">
        <x:v>3.6545590443124807</x:v>
      </x:c>
      <x:c r="M17" s="28" t="n">
        <x:v>0.02</x:v>
      </x:c>
      <x:c r="N17" s="75" t="n">
        <x:v>24.77225</x:v>
      </x:c>
    </x:row>
    <x:row r="18">
      <x:c r="A18" s="72" t="str">
        <x:v>9-10</x:v>
      </x:c>
      <x:c r="B18" s="73" t="str">
        <x:v>LEARN</x:v>
      </x:c>
      <x:c r="C18" s="73" t="n">
        <x:v>4</x:v>
      </x:c>
      <x:c r="D18" s="28" t="n">
        <x:v>0.772134</x:v>
      </x:c>
      <x:c r="E18" s="28" t="n">
        <x:v>0.5331535000000001</x:v>
      </x:c>
      <x:c r="F18" s="28" t="n">
        <x:v>0.4970245</x:v>
      </x:c>
      <x:c r="G18" s="28" t="n">
        <x:v>1.06692625</x:v>
      </x:c>
      <x:c r="H18" s="74" t="n">
        <x:f>100*(1-D18/$B$5)</x:f>
        <x:v>20.70665630144316</x:v>
      </x:c>
      <x:c r="I18" s="74" t="n">
        <x:f>100*(1-E18/$C$5)</x:f>
        <x:v>13.868856643435723</x:v>
      </x:c>
      <x:c r="J18" s="74" t="n">
        <x:f>100*(1-F18/$D$5)</x:f>
        <x:v>-99.44483234619025</x:v>
      </x:c>
      <x:c r="K18" s="74" t="n">
        <x:f>100*(1-G18/$E$5)</x:f>
        <x:v>9.67338363866178</x:v>
      </x:c>
      <x:c r="L18" s="28" t="n">
        <x:v>4.064527440541301</x:v>
      </x:c>
      <x:c r="M18" s="28" t="n">
        <x:v>0.02</x:v>
      </x:c>
      <x:c r="N18" s="75" t="n">
        <x:v>24.81275</x:v>
      </x:c>
    </x:row>
    <x:row r="19">
      <x:c r="A19" s="72" t="str">
        <x:v>10-11</x:v>
      </x:c>
      <x:c r="B19" s="73" t="str">
        <x:v>LEARN</x:v>
      </x:c>
      <x:c r="C19" s="73" t="n">
        <x:v>5</x:v>
      </x:c>
      <x:c r="D19" s="28" t="n">
        <x:v>0.6362403999999999</x:v>
      </x:c>
      <x:c r="E19" s="28" t="n">
        <x:v>0.5663562000000001</x:v>
      </x:c>
      <x:c r="F19" s="28" t="n">
        <x:v>0.4702586</x:v>
      </x:c>
      <x:c r="G19" s="28" t="n">
        <x:v>0.9772198</x:v>
      </x:c>
      <x:c r="H19" s="74" t="n">
        <x:f>100*(1-D19/$B$5)</x:f>
        <x:v>34.66208104796928</x:v>
      </x:c>
      <x:c r="I19" s="74" t="n">
        <x:f>100*(1-E19/$C$5)</x:f>
        <x:v>8.504948287727654</x:v>
      </x:c>
      <x:c r="J19" s="74" t="n">
        <x:f>100*(1-F19/$D$5)</x:f>
        <x:v>-88.70427440972055</x:v>
      </x:c>
      <x:c r="K19" s="74" t="n">
        <x:f>100*(1-G19/$E$5)</x:f>
        <x:v>17.267985509491723</x:v>
      </x:c>
      <x:c r="L19" s="28" t="n">
        <x:v>4.535809913699905</x:v>
      </x:c>
      <x:c r="M19" s="28" t="n">
        <x:v>0.02</x:v>
      </x:c>
      <x:c r="N19" s="75" t="n">
        <x:v>28.980399999999996</x:v>
      </x:c>
    </x:row>
    <x:row r="20">
      <x:c r="A20" s="72" t="str">
        <x:v>11-12</x:v>
      </x:c>
      <x:c r="B20" s="73" t="str">
        <x:v>FINE</x:v>
      </x:c>
      <x:c r="C20" s="73" t="n">
        <x:v>4</x:v>
      </x:c>
      <x:c r="D20" s="28" t="n">
        <x:v>0.578792</x:v>
      </x:c>
      <x:c r="E20" s="28" t="n">
        <x:v>0.59778675</x:v>
      </x:c>
      <x:c r="F20" s="28" t="n">
        <x:v>0.4257615</x:v>
      </x:c>
      <x:c r="G20" s="28" t="n">
        <x:v>0.93991375</x:v>
      </x:c>
      <x:c r="H20" s="74" t="n">
        <x:f>100*(1-D20/$B$5)</x:f>
        <x:v>40.56167325104825</x:v>
      </x:c>
      <x:c r="I20" s="74" t="n">
        <x:f>100*(1-E20/$C$5)</x:f>
        <x:v>3.427331414114987</x:v>
      </x:c>
      <x:c r="J20" s="74" t="n">
        <x:f>100*(1-F20/$D$5)</x:f>
        <x:v>-70.84858188472096</x:v>
      </x:c>
      <x:c r="K20" s="74" t="n">
        <x:f>100*(1-G20/$E$5)</x:f>
        <x:v>20.426338081946383</x:v>
      </x:c>
      <x:c r="L20" s="28" t="n">
        <x:v>4.875284200053419</x:v>
      </x:c>
      <x:c r="M20" s="28" t="n">
        <x:v>0.0125</x:v>
      </x:c>
      <x:c r="N20" s="75" t="n">
        <x:v>39.05075</x:v>
      </x:c>
    </x:row>
    <x:row r="21">
      <x:c r="A21" s="72" t="str">
        <x:v>12-13</x:v>
      </x:c>
      <x:c r="B21" s="73" t="str">
        <x:v>LEARN</x:v>
      </x:c>
      <x:c r="C21" s="73" t="n">
        <x:v>4</x:v>
      </x:c>
      <x:c r="D21" s="28" t="n">
        <x:v>0.606452</x:v>
      </x:c>
      <x:c r="E21" s="28" t="n">
        <x:v>0.7192032500000001</x:v>
      </x:c>
      <x:c r="F21" s="28" t="n">
        <x:v>0.47091725</x:v>
      </x:c>
      <x:c r="G21" s="28" t="n">
        <x:v>1.06004725</x:v>
      </x:c>
      <x:c r="H21" s="74" t="n">
        <x:f>100*(1-D21/$B$5)</x:f>
        <x:v>37.721163848921044</x:v>
      </x:c>
      <x:c r="I21" s="74" t="n">
        <x:f>100*(1-E21/$C$5)</x:f>
        <x:v>-16.187548667047924</x:v>
      </x:c>
      <x:c r="J21" s="74" t="n">
        <x:f>100*(1-F21/$D$5)</x:f>
        <x:v>-88.96857594581147</x:v>
      </x:c>
      <x:c r="K21" s="74" t="n">
        <x:f>100*(1-G21/$E$5)</x:f>
        <x:v>10.255763905291882</x:v>
      </x:c>
      <x:c r="L21" s="28" t="n">
        <x:v>5.145806643517932</x:v>
      </x:c>
      <x:c r="M21" s="28" t="n">
        <x:v>0.0175</x:v>
      </x:c>
      <x:c r="N21" s="75" t="n">
        <x:v>38.952</x:v>
      </x:c>
    </x:row>
    <x:row r="22">
      <x:c r="A22" s="72" t="str">
        <x:v>13-14</x:v>
      </x:c>
      <x:c r="B22" s="73" t="str">
        <x:v>FINE</x:v>
      </x:c>
      <x:c r="C22" s="73" t="n">
        <x:v>4</x:v>
      </x:c>
      <x:c r="D22" s="28" t="n">
        <x:v>0.52815525</x:v>
      </x:c>
      <x:c r="E22" s="28" t="n">
        <x:v>0.80411625</x:v>
      </x:c>
      <x:c r="F22" s="28" t="n">
        <x:v>0.54489875</x:v>
      </x:c>
      <x:c r="G22" s="28" t="n">
        <x:v>1.1119539999999999</x:v>
      </x:c>
      <x:c r="H22" s="74" t="n">
        <x:f>100*(1-D22/$B$5)</x:f>
        <x:v>45.76175150369338</x:v>
      </x:c>
      <x:c r="I22" s="74" t="n">
        <x:f>100*(1-E22/$C$5)</x:f>
        <x:v>-29.905274942568827</x:v>
      </x:c>
      <x:c r="J22" s="74" t="n">
        <x:f>100*(1-F22/$D$5)</x:f>
        <x:v>-118.65569974799759</x:v>
      </x:c>
      <x:c r="K22" s="74" t="n">
        <x:f>100*(1-G22/$E$5)</x:f>
        <x:v>5.8613073120513555</x:v>
      </x:c>
      <x:c r="L22" s="28" t="n">
        <x:v>5.421580217817688</x:v>
      </x:c>
      <x:c r="M22" s="28" t="n">
        <x:v>0.01</x:v>
      </x:c>
      <x:c r="N22" s="75" t="n">
        <x:v>40.562</x:v>
      </x:c>
    </x:row>
    <x:row r="23">
      <x:c r="A23" s="72" t="str">
        <x:v>14-15</x:v>
      </x:c>
      <x:c r="B23" s="73" t="str">
        <x:v>FINE</x:v>
      </x:c>
      <x:c r="C23" s="73" t="n">
        <x:v>4</x:v>
      </x:c>
      <x:c r="D23" s="28" t="n">
        <x:v>0.5176895</x:v>
      </x:c>
      <x:c r="E23" s="28" t="n">
        <x:v>0.7326945</x:v>
      </x:c>
      <x:c r="F23" s="28" t="n">
        <x:v>0.57322975</x:v>
      </x:c>
      <x:c r="G23" s="28" t="n">
        <x:v>1.0720752500000001</x:v>
      </x:c>
      <x:c r="H23" s="74" t="n">
        <x:f>100*(1-D23/$B$5)</x:f>
        <x:v>46.83651872261285</x:v>
      </x:c>
      <x:c r="I23" s="74" t="n">
        <x:f>100*(1-E23/$C$5)</x:f>
        <x:v>-18.3670650498706</x:v>
      </x:c>
      <x:c r="J23" s="74" t="n">
        <x:f>100*(1-F23/$D$5)</x:f>
        <x:v>-130.02429736280314</x:v>
      </x:c>
      <x:c r="K23" s="74" t="n">
        <x:f>100*(1-G23/$E$5)</x:f>
        <x:v>9.237466209838052</x:v>
      </x:c>
      <x:c r="L23" s="28" t="n">
        <x:v>5.579973995376047</x:v>
      </x:c>
      <x:c r="M23" s="28" t="n">
        <x:v>0.0125</x:v>
      </x:c>
      <x:c r="N23" s="75" t="n">
        <x:v>47.261250000000004</x:v>
      </x:c>
    </x:row>
    <x:row r="24">
      <x:c r="A24" s="72" t="str">
        <x:v>15-16</x:v>
      </x:c>
      <x:c r="B24" s="73" t="str">
        <x:v>LEARN</x:v>
      </x:c>
      <x:c r="C24" s="73" t="n">
        <x:v>4</x:v>
      </x:c>
      <x:c r="D24" s="28" t="n">
        <x:v>0.52015925</x:v>
      </x:c>
      <x:c r="E24" s="28" t="n">
        <x:v>0.7206487500000001</x:v>
      </x:c>
      <x:c r="F24" s="28" t="n">
        <x:v>0.552745</x:v>
      </x:c>
      <x:c r="G24" s="28" t="n">
        <x:v>1.05278925</x:v>
      </x:c>
      <x:c r="H24" s="74" t="n">
        <x:f>100*(1-D24/$B$5)</x:f>
        <x:v>46.582890808805786</x:v>
      </x:c>
      <x:c r="I24" s="74" t="n">
        <x:f>100*(1-E24/$C$5)</x:f>
        <x:v>-16.4210697219072</x:v>
      </x:c>
      <x:c r="J24" s="74" t="n">
        <x:f>100*(1-F24/$D$5)</x:f>
        <x:v>-121.80422465128973</x:v>
      </x:c>
      <x:c r="K24" s="74" t="n">
        <x:f>100*(1-G24/$E$5)</x:f>
        <x:v>10.870230539279557</x:v>
      </x:c>
      <x:c r="L24" s="28" t="n">
        <x:v>5.771834161798424</x:v>
      </x:c>
      <x:c r="M24" s="28" t="n">
        <x:v>0.0125</x:v>
      </x:c>
      <x:c r="N24" s="75" t="n">
        <x:v>48.06675</x:v>
      </x:c>
    </x:row>
    <x:row r="25">
      <x:c r="A25" s="72" t="str">
        <x:v>16-17</x:v>
      </x:c>
      <x:c r="B25" s="73" t="str">
        <x:v>FINE</x:v>
      </x:c>
      <x:c r="C25" s="73" t="n">
        <x:v>4</x:v>
      </x:c>
      <x:c r="D25" s="28" t="n">
        <x:v>0.46379325</x:v>
      </x:c>
      <x:c r="E25" s="28" t="n">
        <x:v>0.7777075</x:v>
      </x:c>
      <x:c r="F25" s="28" t="n">
        <x:v>0.57554025</x:v>
      </x:c>
      <x:c r="G25" s="28" t="n">
        <x:v>1.07825625</x:v>
      </x:c>
      <x:c r="H25" s="74" t="n">
        <x:f>100*(1-D25/$B$5)</x:f>
        <x:v>52.37132728604013</x:v>
      </x:c>
      <x:c r="I25" s="74" t="n">
        <x:f>100*(1-E25/$C$5)</x:f>
        <x:v>-25.638931699736013</x:v>
      </x:c>
      <x:c r="J25" s="74" t="n">
        <x:f>100*(1-F25/$D$5)</x:f>
        <x:v>-130.95144941493712</x:v>
      </x:c>
      <x:c r="K25" s="74" t="n">
        <x:f>100*(1-G25/$E$5)</x:f>
        <x:v>8.71417904192986</x:v>
      </x:c>
      <x:c r="L25" s="28" t="n">
        <x:v>5.979855498599475</x:v>
      </x:c>
      <x:c r="M25" s="28" t="n">
        <x:v>0.01</x:v>
      </x:c>
      <x:c r="N25" s="75" t="n">
        <x:v>49.46925</x:v>
      </x:c>
    </x:row>
    <x:row r="26">
      <x:c r="A26" s="72" t="str">
        <x:v>17-18</x:v>
      </x:c>
      <x:c r="B26" s="73" t="str">
        <x:v>FINE</x:v>
      </x:c>
      <x:c r="C26" s="73" t="n">
        <x:v>4</x:v>
      </x:c>
      <x:c r="D26" s="28" t="n">
        <x:v>0.448982</x:v>
      </x:c>
      <x:c r="E26" s="28" t="n">
        <x:v>0.86046225</x:v>
      </x:c>
      <x:c r="F26" s="28" t="n">
        <x:v>0.65036025</x:v>
      </x:c>
      <x:c r="G26" s="28" t="n">
        <x:v>1.170267</x:v>
      </x:c>
      <x:c r="H26" s="74" t="n">
        <x:f>100*(1-D26/$B$5)</x:f>
        <x:v>53.89235023912242</x:v>
      </x:c>
      <x:c r="I26" s="74" t="n">
        <x:f>100*(1-E26/$C$5)</x:f>
        <x:v>-39.0079918966336</x:v>
      </x:c>
      <x:c r="J26" s="74" t="n">
        <x:f>100*(1-F26/$D$5)</x:f>
        <x:v>-160.97504454182112</x:v>
      </x:c>
      <x:c r="K26" s="74" t="n">
        <x:f>100*(1-G26/$E$5)</x:f>
        <x:v>0.9244937507778217</x:v>
      </x:c>
      <x:c r="L26" s="28" t="n">
        <x:v>6.129949676887991</x:v>
      </x:c>
      <x:c r="M26" s="28" t="n">
        <x:v>0.01</x:v>
      </x:c>
      <x:c r="N26" s="75" t="n">
        <x:v>51.557</x:v>
      </x:c>
    </x:row>
    <x:row r="27">
      <x:c r="A27" s="72" t="str">
        <x:v>18-19</x:v>
      </x:c>
      <x:c r="B27" s="73" t="str">
        <x:v>FINE</x:v>
      </x:c>
      <x:c r="C27" s="73" t="n">
        <x:v>4</x:v>
      </x:c>
      <x:c r="D27" s="28" t="n">
        <x:v>0.4531115</x:v>
      </x:c>
      <x:c r="E27" s="28" t="n">
        <x:v>0.8551595000000001</x:v>
      </x:c>
      <x:c r="F27" s="28" t="n">
        <x:v>0.60497125</x:v>
      </x:c>
      <x:c r="G27" s="28" t="n">
        <x:v>1.1535022499999998</x:v>
      </x:c>
      <x:c r="H27" s="74" t="n">
        <x:f>100*(1-D27/$B$5)</x:f>
        <x:v>53.46827635712371</x:v>
      </x:c>
      <x:c r="I27" s="74" t="n">
        <x:f>100*(1-E27/$C$5)</x:f>
        <x:v>-38.151330690369335</x:v>
      </x:c>
      <x:c r="J27" s="74" t="n">
        <x:f>100*(1-F27/$D$5)</x:f>
        <x:v>-142.7614524646474</x:v>
      </x:c>
      <x:c r="K27" s="74" t="n">
        <x:f>100*(1-G27/$E$5)</x:f>
        <x:v>2.343807542751497</x:v>
      </x:c>
      <x:c r="L27" s="28" t="n">
        <x:v>6.303691492210302</x:v>
      </x:c>
      <x:c r="M27" s="28" t="n">
        <x:v>0.0125</x:v>
      </x:c>
      <x:c r="N27" s="75" t="n">
        <x:v>53.05675</x:v>
      </x:c>
    </x:row>
    <x:row r="28">
      <x:c r="A28" s="64" t="str">
        <x:v>19-20</x:v>
      </x:c>
      <x:c r="B28" s="65" t="str">
        <x:v>HOLD</x:v>
      </x:c>
      <x:c r="C28" s="65" t="n">
        <x:v>5</x:v>
      </x:c>
      <x:c r="D28" s="31" t="n">
        <x:v>0.3760926</x:v>
      </x:c>
      <x:c r="E28" s="31" t="n">
        <x:v>0.8352506</x:v>
      </x:c>
      <x:c r="F28" s="31" t="n">
        <x:v>0.5927078</x:v>
      </x:c>
      <x:c r="G28" s="31" t="n">
        <x:v>1.1082779999999999</x:v>
      </x:c>
      <x:c r="H28" s="76" t="n">
        <x:f>100*(1-D28/$B$5)</x:f>
        <x:v>61.377636790655686</x:v>
      </x:c>
      <x:c r="I28" s="76" t="n">
        <x:f>100*(1-E28/$C$5)</x:f>
        <x:v>-34.935040597607106</x:v>
      </x:c>
      <x:c r="J28" s="76" t="n">
        <x:f>100*(1-F28/$D$5)</x:f>
        <x:v>-137.84040384584517</x:v>
      </x:c>
      <x:c r="K28" s="76" t="n">
        <x:f>100*(1-G28/$E$5)</x:f>
        <x:v>6.17251967723994</x:v>
      </x:c>
      <x:c r="L28" s="31" t="n">
        <x:v>6.388391029626317</x:v>
      </x:c>
      <x:c r="M28" s="31" t="n">
        <x:v>0</x:v>
      </x:c>
      <x:c r="N28" s="77" t="n">
        <x:v>61.94539999999999</x:v>
      </x:c>
    </x:row>
    <x:row r="31">
      <x:c r="A31" s="44" t="str">
        <x:v>Interpretation</x:v>
      </x:c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</x:row>
    <x:row r="32">
      <x:c r="A32" s="22" t="str">
        <x:v>Progressive X attenuation developed as |W| increased, culminating in a rolling-qualified training optimum of 64.775%. Y/Z and vector are retained to document cross-axis redistribution rather than being used to select Wbest.</x:v>
      </x:c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  <x:c r="M32" s="22"/>
      <x:c r="N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</x:row>
  </x:sheetData>
  <x:mergeCells>
    <x:mergeCell ref="A1:N2"/>
    <x:mergeCell ref="A31:N31"/>
    <x:mergeCell ref="A32:N34"/>
  </x:mergeCells>
  <x:conditionalFormatting sqref="H9:K2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bf76645f0e1b45bc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90" t="str">
        <x:v>Run 1 — Independent 10-s Frozen-W Validation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  <x:c r="AA1" s="22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24" t="str">
        <x:v>Baseline</x:v>
      </x:c>
      <x:c r="B4" s="25" t="str">
        <x:v>X</x:v>
      </x:c>
      <x:c r="C4" s="25" t="str">
        <x:v>Y</x:v>
      </x:c>
      <x:c r="D4" s="25" t="str">
        <x:v>Z</x:v>
      </x:c>
      <x:c r="E4" s="26" t="str">
        <x:v>Vector</x:v>
      </x:c>
    </x:row>
    <x:row r="5">
      <x:c r="A5" s="64" t="str">
        <x:v>m/s²</x:v>
      </x:c>
      <x:c r="B5" s="65" t="n">
        <x:v>0.973769</x:v>
      </x:c>
      <x:c r="C5" s="65" t="n">
        <x:v>0.619002</x:v>
      </x:c>
      <x:c r="D5" s="65" t="n">
        <x:v>0.249204</x:v>
      </x:c>
      <x:c r="E5" s="66" t="n">
        <x:v>1.181187</x:v>
      </x:c>
    </x:row>
    <x:row r="8">
      <x:c r="A8" s="24" t="str">
        <x:v>Time [s]</x:v>
      </x:c>
      <x:c r="B8" s="25" t="str">
        <x:v>N</x:v>
      </x:c>
      <x:c r="C8" s="25" t="str">
        <x:v>Mean X</x:v>
      </x:c>
      <x:c r="D8" s="25" t="str">
        <x:v>Mean Y</x:v>
      </x:c>
      <x:c r="E8" s="25" t="str">
        <x:v>Mean Z</x:v>
      </x:c>
      <x:c r="F8" s="25" t="str">
        <x:v>Mean Vector</x:v>
      </x:c>
      <x:c r="G8" s="25" t="str">
        <x:v>X reduction [%]</x:v>
      </x:c>
      <x:c r="H8" s="25" t="str">
        <x:v>Y reduction [%]</x:v>
      </x:c>
      <x:c r="I8" s="25" t="str">
        <x:v>Z reduction [%]</x:v>
      </x:c>
      <x:c r="J8" s="26" t="str">
        <x:v>Vector reduction [%]</x:v>
      </x:c>
    </x:row>
    <x:row r="9">
      <x:c r="A9" s="72" t="str">
        <x:v>0-1</x:v>
      </x:c>
      <x:c r="B9" s="73" t="n">
        <x:v>4</x:v>
      </x:c>
      <x:c r="C9" s="28" t="n">
        <x:v>0.40511</x:v>
      </x:c>
      <x:c r="D9" s="28" t="n">
        <x:v>0.9210309999999999</x:v>
      </x:c>
      <x:c r="E9" s="28" t="n">
        <x:v>0.62801575</x:v>
      </x:c>
      <x:c r="F9" s="28" t="n">
        <x:v>1.2061600000000001</x:v>
      </x:c>
      <x:c r="G9" s="74" t="n">
        <x:f>100*(1-C9/$B$5)</x:f>
        <x:v>58.39773087867861</x:v>
      </x:c>
      <x:c r="H9" s="74" t="n">
        <x:f>100*(1-D9/$C$5)</x:f>
        <x:v>-48.79289566108022</x:v>
      </x:c>
      <x:c r="I9" s="74" t="n">
        <x:f>100*(1-E9/$D$5)</x:f>
        <x:v>-152.00869568706761</x:v>
      </x:c>
      <x:c r="J9" s="84" t="n">
        <x:f>100*(1-F9/$E$5)</x:f>
        <x:v>-2.11422916100501</x:v>
      </x:c>
    </x:row>
    <x:row r="10">
      <x:c r="A10" s="72" t="str">
        <x:v>1-2</x:v>
      </x:c>
      <x:c r="B10" s="73" t="n">
        <x:v>4</x:v>
      </x:c>
      <x:c r="C10" s="28" t="n">
        <x:v>0.474735</x:v>
      </x:c>
      <x:c r="D10" s="28" t="n">
        <x:v>0.9478645</x:v>
      </x:c>
      <x:c r="E10" s="28" t="n">
        <x:v>0.5193385</x:v>
      </x:c>
      <x:c r="F10" s="28" t="n">
        <x:v>1.184258</x:v>
      </x:c>
      <x:c r="G10" s="74" t="n">
        <x:f>100*(1-C10/$B$5)</x:f>
        <x:v>51.24767783735157</x:v>
      </x:c>
      <x:c r="H10" s="74" t="n">
        <x:f>100*(1-D10/$C$5)</x:f>
        <x:v>-53.127857422108484</x:v>
      </x:c>
      <x:c r="I10" s="74" t="n">
        <x:f>100*(1-E10/$D$5)</x:f>
        <x:v>-108.3989422320669</x:v>
      </x:c>
      <x:c r="J10" s="84" t="n">
        <x:f>100*(1-F10/$E$5)</x:f>
        <x:v>-0.25999270225629534</x:v>
      </x:c>
    </x:row>
    <x:row r="11">
      <x:c r="A11" s="72" t="str">
        <x:v>2-3</x:v>
      </x:c>
      <x:c r="B11" s="73" t="n">
        <x:v>5</x:v>
      </x:c>
      <x:c r="C11" s="28" t="n">
        <x:v>0.4964183999999999</x:v>
      </x:c>
      <x:c r="D11" s="28" t="n">
        <x:v>0.7630480000000001</x:v>
      </x:c>
      <x:c r="E11" s="28" t="n">
        <x:v>0.4108058</x:v>
      </x:c>
      <x:c r="F11" s="28" t="n">
        <x:v>1.004937</x:v>
      </x:c>
      <x:c r="G11" s="74" t="n">
        <x:f>100*(1-C11/$B$5)</x:f>
        <x:v>49.02092796135429</x:v>
      </x:c>
      <x:c r="H11" s="74" t="n">
        <x:f>100*(1-D11/$C$5)</x:f>
        <x:v>-23.270684101182226</x:v>
      </x:c>
      <x:c r="I11" s="74" t="n">
        <x:f>100*(1-E11/$D$5)</x:f>
        <x:v>-64.84719346398933</x:v>
      </x:c>
      <x:c r="J11" s="84" t="n">
        <x:f>100*(1-F11/$E$5)</x:f>
        <x:v>14.921430730273865</x:v>
      </x:c>
    </x:row>
    <x:row r="12">
      <x:c r="A12" s="72" t="str">
        <x:v>3-4</x:v>
      </x:c>
      <x:c r="B12" s="73" t="n">
        <x:v>4</x:v>
      </x:c>
      <x:c r="C12" s="28" t="n">
        <x:v>0.46935925</x:v>
      </x:c>
      <x:c r="D12" s="28" t="n">
        <x:v>0.89813025</x:v>
      </x:c>
      <x:c r="E12" s="28" t="n">
        <x:v>0.366742</x:v>
      </x:c>
      <x:c r="F12" s="28" t="n">
        <x:v>1.08073675</x:v>
      </x:c>
      <x:c r="G12" s="74" t="n">
        <x:f>100*(1-C12/$B$5)</x:f>
        <x:v>51.799733817774026</x:v>
      </x:c>
      <x:c r="H12" s="74" t="n">
        <x:f>100*(1-D12/$C$5)</x:f>
        <x:v>-45.09327110413213</x:v>
      </x:c>
      <x:c r="I12" s="74" t="n">
        <x:f>100*(1-E12/$D$5)</x:f>
        <x:v>-47.165374552575386</x:v>
      </x:c>
      <x:c r="J12" s="84" t="n">
        <x:f>100*(1-F12/$E$5)</x:f>
        <x:v>8.504178423907472</x:v>
      </x:c>
    </x:row>
    <x:row r="13">
      <x:c r="A13" s="72" t="str">
        <x:v>4-5</x:v>
      </x:c>
      <x:c r="B13" s="73" t="n">
        <x:v>4</x:v>
      </x:c>
      <x:c r="C13" s="28" t="n">
        <x:v>0.43006325</x:v>
      </x:c>
      <x:c r="D13" s="28" t="n">
        <x:v>0.8596495</x:v>
      </x:c>
      <x:c r="E13" s="28" t="n">
        <x:v>0.559835</x:v>
      </x:c>
      <x:c r="F13" s="28" t="n">
        <x:v>1.1240965</x:v>
      </x:c>
      <x:c r="G13" s="74" t="n">
        <x:f>100*(1-C13/$B$5)</x:f>
        <x:v>55.83518781148301</x:v>
      </x:c>
      <x:c r="H13" s="74" t="n">
        <x:f>100*(1-D13/$C$5)</x:f>
        <x:v>-38.87669183621376</x:v>
      </x:c>
      <x:c r="I13" s="74" t="n">
        <x:f>100*(1-E13/$D$5)</x:f>
        <x:v>-124.64928331808478</x:v>
      </x:c>
      <x:c r="J13" s="84" t="n">
        <x:f>100*(1-F13/$E$5)</x:f>
        <x:v>4.833315977910346</x:v>
      </x:c>
    </x:row>
    <x:row r="14">
      <x:c r="A14" s="72" t="str">
        <x:v>5-6</x:v>
      </x:c>
      <x:c r="B14" s="73" t="n">
        <x:v>5</x:v>
      </x:c>
      <x:c r="C14" s="28" t="n">
        <x:v>0.41680020000000007</x:v>
      </x:c>
      <x:c r="D14" s="28" t="n">
        <x:v>0.76744</x:v>
      </x:c>
      <x:c r="E14" s="28" t="n">
        <x:v>0.5571018000000001</x:v>
      </x:c>
      <x:c r="F14" s="28" t="n">
        <x:v>1.0473086</x:v>
      </x:c>
      <x:c r="G14" s="74" t="n">
        <x:f>100*(1-C14/$B$5)</x:f>
        <x:v>57.19722028530379</x:v>
      </x:c>
      <x:c r="H14" s="74" t="n">
        <x:f>100*(1-D14/$C$5)</x:f>
        <x:v>-23.980213311104002</x:v>
      </x:c>
      <x:c r="I14" s="74" t="n">
        <x:f>100*(1-E14/$D$5)</x:f>
        <x:v>-123.55251119564699</x:v>
      </x:c>
      <x:c r="J14" s="84" t="n">
        <x:f>100*(1-F14/$E$5)</x:f>
        <x:v>11.334225656056152</x:v>
      </x:c>
    </x:row>
    <x:row r="15">
      <x:c r="A15" s="72" t="str">
        <x:v>6-7</x:v>
      </x:c>
      <x:c r="B15" s="73" t="n">
        <x:v>4</x:v>
      </x:c>
      <x:c r="C15" s="28" t="n">
        <x:v>0.41165075</x:v>
      </x:c>
      <x:c r="D15" s="28" t="n">
        <x:v>0.87039075</x:v>
      </x:c>
      <x:c r="E15" s="28" t="n">
        <x:v>0.52840675</x:v>
      </x:c>
      <x:c r="F15" s="28" t="n">
        <x:v>1.11115175</x:v>
      </x:c>
      <x:c r="G15" s="74" t="n">
        <x:f>100*(1-C15/$B$5)</x:f>
        <x:v>57.72603666783396</x:v>
      </x:c>
      <x:c r="H15" s="74" t="n">
        <x:f>100*(1-D15/$C$5)</x:f>
        <x:v>-40.611944711002536</x:v>
      </x:c>
      <x:c r="I15" s="74" t="n">
        <x:f>100*(1-E15/$D$5)</x:f>
        <x:v>-112.03782844577135</x:v>
      </x:c>
      <x:c r="J15" s="84" t="n">
        <x:f>100*(1-F15/$E$5)</x:f>
        <x:v>5.92922627831155</x:v>
      </x:c>
    </x:row>
    <x:row r="16">
      <x:c r="A16" s="72" t="str">
        <x:v>7-8</x:v>
      </x:c>
      <x:c r="B16" s="73" t="n">
        <x:v>4</x:v>
      </x:c>
      <x:c r="C16" s="28" t="n">
        <x:v>0.490129</x:v>
      </x:c>
      <x:c r="D16" s="28" t="n">
        <x:v>0.8600490000000001</x:v>
      </x:c>
      <x:c r="E16" s="28" t="n">
        <x:v>0.45372925000000003</x:v>
      </x:c>
      <x:c r="F16" s="28" t="n">
        <x:v>1.11129875</x:v>
      </x:c>
      <x:c r="G16" s="74" t="n">
        <x:f>100*(1-C16/$B$5)</x:f>
        <x:v>49.66681009561816</x:v>
      </x:c>
      <x:c r="H16" s="74" t="n">
        <x:f>100*(1-D16/$C$5)</x:f>
        <x:v>-38.9412312076536</x:v>
      </x:c>
      <x:c r="I16" s="74" t="n">
        <x:f>100*(1-E16/$D$5)</x:f>
        <x:v>-82.0714153865909</x:v>
      </x:c>
      <x:c r="J16" s="84" t="n">
        <x:f>100*(1-F16/$E$5)</x:f>
        <x:v>5.916781170128016</x:v>
      </x:c>
    </x:row>
    <x:row r="17">
      <x:c r="A17" s="72" t="str">
        <x:v>8-9</x:v>
      </x:c>
      <x:c r="B17" s="73" t="n">
        <x:v>5</x:v>
      </x:c>
      <x:c r="C17" s="28" t="n">
        <x:v>0.4612938</x:v>
      </x:c>
      <x:c r="D17" s="28" t="n">
        <x:v>0.9406736</x:v>
      </x:c>
      <x:c r="E17" s="28" t="n">
        <x:v>0.4433634000000001</x:v>
      </x:c>
      <x:c r="F17" s="28" t="n">
        <x:v>1.1432226</x:v>
      </x:c>
      <x:c r="G17" s="74" t="n">
        <x:f>100*(1-C17/$B$5)</x:f>
        <x:v>52.62800520451976</x:v>
      </x:c>
      <x:c r="H17" s="74" t="n">
        <x:f>100*(1-D17/$C$5)</x:f>
        <x:v>-51.96616489122812</x:v>
      </x:c>
      <x:c r="I17" s="74" t="n">
        <x:f>100*(1-E17/$D$5)</x:f>
        <x:v>-77.91183127076616</x:v>
      </x:c>
      <x:c r="J17" s="84" t="n">
        <x:f>100*(1-F17/$E$5)</x:f>
        <x:v>3.214088878390964</x:v>
      </x:c>
    </x:row>
    <x:row r="18">
      <x:c r="A18" s="64" t="str">
        <x:v>9-10</x:v>
      </x:c>
      <x:c r="B18" s="65" t="n">
        <x:v>5</x:v>
      </x:c>
      <x:c r="C18" s="31" t="n">
        <x:v>0.470529</x:v>
      </x:c>
      <x:c r="D18" s="31" t="n">
        <x:v>0.8212925999999999</x:v>
      </x:c>
      <x:c r="E18" s="31" t="n">
        <x:v>0.5074061999999999</x:v>
      </x:c>
      <x:c r="F18" s="31" t="n">
        <x:v>1.0870016</x:v>
      </x:c>
      <x:c r="G18" s="76" t="n">
        <x:f>100*(1-C18/$B$5)</x:f>
        <x:v>51.67960779199174</x:v>
      </x:c>
      <x:c r="H18" s="76" t="n">
        <x:f>100*(1-D18/$C$5)</x:f>
        <x:v>-32.680120581193584</x:v>
      </x:c>
      <x:c r="I18" s="76" t="n">
        <x:f>100*(1-E18/$D$5)</x:f>
        <x:v>-103.61077671305435</x:v>
      </x:c>
      <x:c r="J18" s="85" t="n">
        <x:f>100*(1-F18/$E$5)</x:f>
        <x:v>7.973792464698648</x:v>
      </x:c>
    </x:row>
    <x:row r="21">
      <x:c r="A21" s="24" t="str">
        <x:v>Firmware final</x:v>
      </x:c>
      <x:c r="B21" s="25" t="str">
        <x:v>X</x:v>
      </x:c>
      <x:c r="C21" s="25" t="str">
        <x:v>Y</x:v>
      </x:c>
      <x:c r="D21" s="25" t="str">
        <x:v>Z</x:v>
      </x:c>
      <x:c r="E21" s="26" t="str">
        <x:v>Vector</x:v>
      </x:c>
      <x:c r="G21" s="24" t="str">
        <x:v>Wbest / validation</x:v>
      </x:c>
      <x:c r="H21" s="25" t="str">
        <x:v>Value</x:v>
      </x:c>
      <x:c r="I21" s="25" t="str"/>
      <x:c r="J21" s="26" t="str"/>
    </x:row>
    <x:row r="22">
      <x:c r="A22" s="72" t="str">
        <x:v>Controlled mean [m/s²]</x:v>
      </x:c>
      <x:c r="B22" s="73" t="n">
        <x:v>0.453395</x:v>
      </x:c>
      <x:c r="C22" s="73" t="n">
        <x:v>0.861153</x:v>
      </x:c>
      <x:c r="D22" s="73" t="n">
        <x:v>0.495856</x:v>
      </x:c>
      <x:c r="E22" s="88" t="n">
        <x:v>1.106435</x:v>
      </x:c>
      <x:c r="G22" s="72" t="str">
        <x:v>|Wbest| [DAC]</x:v>
      </x:c>
      <x:c r="H22" s="73" t="n">
        <x:v>6.388391</x:v>
      </x:c>
      <x:c r="I22" s="73" t="str"/>
      <x:c r="J22" s="88" t="str"/>
    </x:row>
    <x:row r="23">
      <x:c r="A23" s="64" t="str">
        <x:v>Reduction [%]</x:v>
      </x:c>
      <x:c r="B23" s="65" t="n">
        <x:v>53.439</x:v>
      </x:c>
      <x:c r="C23" s="65" t="n">
        <x:v>-39.12</x:v>
      </x:c>
      <x:c r="D23" s="65" t="n">
        <x:v>-98.976</x:v>
      </x:c>
      <x:c r="E23" s="66" t="n">
        <x:v>6.329</x:v>
      </x:c>
      <x:c r="G23" s="72" t="str">
        <x:v>Wbest phase [deg]</x:v>
      </x:c>
      <x:c r="H23" s="73" t="n">
        <x:v>-28.6626</x:v>
      </x:c>
      <x:c r="I23" s="73" t="str"/>
      <x:c r="J23" s="88" t="str"/>
    </x:row>
    <x:row r="24">
      <x:c r="G24" s="64" t="str">
        <x:v>Selected-axis CV [%]</x:v>
      </x:c>
      <x:c r="H24" s="65" t="n">
        <x:v>20.748</x:v>
      </x:c>
      <x:c r="I24" s="65" t="str"/>
      <x:c r="J24" s="66" t="str"/>
    </x:row>
  </x:sheetData>
  <x:mergeCells>
    <x:mergeCell ref="A1:J2"/>
  </x:mergeCells>
  <x:conditionalFormatting sqref="G9:J1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0513bd2d90a74f5b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90" t="str">
        <x:v>Run 1 — 60-s Frozen-W Persistence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  <x:c r="M1" s="90"/>
      <x:c r="N1" s="90"/>
      <x:c r="O1" s="90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  <x:c r="AA1" s="22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5">
      <x:c r="A5" s="24" t="str">
        <x:v>Segment</x:v>
      </x:c>
      <x:c r="B5" s="25" t="str">
        <x:v>Start [s]</x:v>
      </x:c>
      <x:c r="C5" s="25" t="str">
        <x:v>End [s]</x:v>
      </x:c>
      <x:c r="D5" s="25" t="str">
        <x:v>Valid windows</x:v>
      </x:c>
      <x:c r="E5" s="25" t="str">
        <x:v>Mean X</x:v>
      </x:c>
      <x:c r="F5" s="25" t="str">
        <x:v>Mean Y</x:v>
      </x:c>
      <x:c r="G5" s="25" t="str">
        <x:v>Mean Z</x:v>
      </x:c>
      <x:c r="H5" s="25" t="str">
        <x:v>Mean Vector</x:v>
      </x:c>
      <x:c r="I5" s="25" t="str">
        <x:v>X reduction [%]</x:v>
      </x:c>
      <x:c r="J5" s="25" t="str">
        <x:v>Y reduction [%]</x:v>
      </x:c>
      <x:c r="K5" s="25" t="str">
        <x:v>Z reduction [%]</x:v>
      </x:c>
      <x:c r="L5" s="25" t="str">
        <x:v>Selected X reduction [%]</x:v>
      </x:c>
      <x:c r="M5" s="25" t="str">
        <x:v>Vector reduction [%]</x:v>
      </x:c>
      <x:c r="N5" s="25" t="str">
        <x:v>Selected CV [%]</x:v>
      </x:c>
      <x:c r="O5" s="26" t="str">
        <x:v>Vector CV [%]</x:v>
      </x:c>
    </x:row>
    <x:row r="6">
      <x:c r="A6" s="72" t="n">
        <x:v>1</x:v>
      </x:c>
      <x:c r="B6" s="73" t="n">
        <x:v>0</x:v>
      </x:c>
      <x:c r="C6" s="73" t="n">
        <x:v>10</x:v>
      </x:c>
      <x:c r="D6" s="73" t="n">
        <x:v>43</x:v>
      </x:c>
      <x:c r="E6" s="28" t="n">
        <x:v>0.474317</x:v>
      </x:c>
      <x:c r="F6" s="28" t="n">
        <x:v>0.860916</x:v>
      </x:c>
      <x:c r="G6" s="28" t="n">
        <x:v>0.400751</x:v>
      </x:c>
      <x:c r="H6" s="28" t="n">
        <x:v>1.071344</x:v>
      </x:c>
      <x:c r="I6" s="74" t="n">
        <x:v>51.291</x:v>
      </x:c>
      <x:c r="J6" s="74" t="n">
        <x:v>-39.081</x:v>
      </x:c>
      <x:c r="K6" s="74" t="n">
        <x:v>-60.812</x:v>
      </x:c>
      <x:c r="L6" s="74" t="n">
        <x:v>51.291</x:v>
      </x:c>
      <x:c r="M6" s="74" t="n">
        <x:v>9.299</x:v>
      </x:c>
      <x:c r="N6" s="28" t="n">
        <x:v>24.148</x:v>
      </x:c>
      <x:c r="O6" s="75" t="n">
        <x:v>10.069</x:v>
      </x:c>
    </x:row>
    <x:row r="7">
      <x:c r="A7" s="72" t="n">
        <x:v>2</x:v>
      </x:c>
      <x:c r="B7" s="73" t="n">
        <x:v>10</x:v>
      </x:c>
      <x:c r="C7" s="73" t="n">
        <x:v>20</x:v>
      </x:c>
      <x:c r="D7" s="73" t="n">
        <x:v>43</x:v>
      </x:c>
      <x:c r="E7" s="28" t="n">
        <x:v>0.436013</x:v>
      </x:c>
      <x:c r="F7" s="28" t="n">
        <x:v>0.816424</x:v>
      </x:c>
      <x:c r="G7" s="28" t="n">
        <x:v>0.364108</x:v>
      </x:c>
      <x:c r="H7" s="28" t="n">
        <x:v>1.002344</x:v>
      </x:c>
      <x:c r="I7" s="74" t="n">
        <x:v>55.224</x:v>
      </x:c>
      <x:c r="J7" s="74" t="n">
        <x:v>-31.894</x:v>
      </x:c>
      <x:c r="K7" s="74" t="n">
        <x:v>-46.108</x:v>
      </x:c>
      <x:c r="L7" s="74" t="n">
        <x:v>55.224</x:v>
      </x:c>
      <x:c r="M7" s="74" t="n">
        <x:v>15.141</x:v>
      </x:c>
      <x:c r="N7" s="28" t="n">
        <x:v>17.245</x:v>
      </x:c>
      <x:c r="O7" s="75" t="n">
        <x:v>9.321</x:v>
      </x:c>
    </x:row>
    <x:row r="8">
      <x:c r="A8" s="72" t="n">
        <x:v>3</x:v>
      </x:c>
      <x:c r="B8" s="73" t="n">
        <x:v>20</x:v>
      </x:c>
      <x:c r="C8" s="73" t="n">
        <x:v>30</x:v>
      </x:c>
      <x:c r="D8" s="73" t="n">
        <x:v>44</x:v>
      </x:c>
      <x:c r="E8" s="28" t="n">
        <x:v>0.486908</x:v>
      </x:c>
      <x:c r="F8" s="28" t="n">
        <x:v>0.785345</x:v>
      </x:c>
      <x:c r="G8" s="28" t="n">
        <x:v>0.300541</x:v>
      </x:c>
      <x:c r="H8" s="28" t="n">
        <x:v>0.979055</x:v>
      </x:c>
      <x:c r="I8" s="74" t="n">
        <x:v>49.998</x:v>
      </x:c>
      <x:c r="J8" s="74" t="n">
        <x:v>-26.873</x:v>
      </x:c>
      <x:c r="K8" s="74" t="n">
        <x:v>-20.6</x:v>
      </x:c>
      <x:c r="L8" s="74" t="n">
        <x:v>49.998</x:v>
      </x:c>
      <x:c r="M8" s="74" t="n">
        <x:v>17.113</x:v>
      </x:c>
      <x:c r="N8" s="28" t="n">
        <x:v>16.77</x:v>
      </x:c>
      <x:c r="O8" s="75" t="n">
        <x:v>9.052</x:v>
      </x:c>
    </x:row>
    <x:row r="9">
      <x:c r="A9" s="72" t="n">
        <x:v>4</x:v>
      </x:c>
      <x:c r="B9" s="73" t="n">
        <x:v>30</x:v>
      </x:c>
      <x:c r="C9" s="73" t="n">
        <x:v>40</x:v>
      </x:c>
      <x:c r="D9" s="73" t="n">
        <x:v>43</x:v>
      </x:c>
      <x:c r="E9" s="28" t="n">
        <x:v>0.444617</x:v>
      </x:c>
      <x:c r="F9" s="28" t="n">
        <x:v>0.810355</x:v>
      </x:c>
      <x:c r="G9" s="28" t="n">
        <x:v>0.455091</x:v>
      </x:c>
      <x:c r="H9" s="28" t="n">
        <x:v>1.040972</x:v>
      </x:c>
      <x:c r="I9" s="74" t="n">
        <x:v>54.341</x:v>
      </x:c>
      <x:c r="J9" s="74" t="n">
        <x:v>-30.913</x:v>
      </x:c>
      <x:c r="K9" s="74" t="n">
        <x:v>-82.618</x:v>
      </x:c>
      <x:c r="L9" s="74" t="n">
        <x:v>54.341</x:v>
      </x:c>
      <x:c r="M9" s="74" t="n">
        <x:v>11.871</x:v>
      </x:c>
      <x:c r="N9" s="28" t="n">
        <x:v>16.832</x:v>
      </x:c>
      <x:c r="O9" s="75" t="n">
        <x:v>7.549</x:v>
      </x:c>
    </x:row>
    <x:row r="10">
      <x:c r="A10" s="72" t="n">
        <x:v>5</x:v>
      </x:c>
      <x:c r="B10" s="73" t="n">
        <x:v>40</x:v>
      </x:c>
      <x:c r="C10" s="73" t="n">
        <x:v>50</x:v>
      </x:c>
      <x:c r="D10" s="73" t="n">
        <x:v>43</x:v>
      </x:c>
      <x:c r="E10" s="28" t="n">
        <x:v>0.459539</x:v>
      </x:c>
      <x:c r="F10" s="28" t="n">
        <x:v>0.744577</x:v>
      </x:c>
      <x:c r="G10" s="28" t="n">
        <x:v>0.483348</x:v>
      </x:c>
      <x:c r="H10" s="28" t="n">
        <x:v>1.012036</x:v>
      </x:c>
      <x:c r="I10" s="74" t="n">
        <x:v>52.808</x:v>
      </x:c>
      <x:c r="J10" s="74" t="n">
        <x:v>-20.287</x:v>
      </x:c>
      <x:c r="K10" s="74" t="n">
        <x:v>-93.956</x:v>
      </x:c>
      <x:c r="L10" s="74" t="n">
        <x:v>52.808</x:v>
      </x:c>
      <x:c r="M10" s="74" t="n">
        <x:v>14.32</x:v>
      </x:c>
      <x:c r="N10" s="28" t="n">
        <x:v>18.569</x:v>
      </x:c>
      <x:c r="O10" s="75" t="n">
        <x:v>7.408</x:v>
      </x:c>
    </x:row>
    <x:row r="11">
      <x:c r="A11" s="64" t="n">
        <x:v>6</x:v>
      </x:c>
      <x:c r="B11" s="65" t="n">
        <x:v>50</x:v>
      </x:c>
      <x:c r="C11" s="65" t="n">
        <x:v>60</x:v>
      </x:c>
      <x:c r="D11" s="65" t="n">
        <x:v>45</x:v>
      </x:c>
      <x:c r="E11" s="31" t="n">
        <x:v>0.436158</x:v>
      </x:c>
      <x:c r="F11" s="31" t="n">
        <x:v>0.720052</x:v>
      </x:c>
      <x:c r="G11" s="31" t="n">
        <x:v>0.372085</x:v>
      </x:c>
      <x:c r="H11" s="31" t="n">
        <x:v>0.932345</x:v>
      </x:c>
      <x:c r="I11" s="76" t="n">
        <x:v>55.209</x:v>
      </x:c>
      <x:c r="J11" s="76" t="n">
        <x:v>-16.325</x:v>
      </x:c>
      <x:c r="K11" s="76" t="n">
        <x:v>-49.309</x:v>
      </x:c>
      <x:c r="L11" s="76" t="n">
        <x:v>55.209</x:v>
      </x:c>
      <x:c r="M11" s="76" t="n">
        <x:v>21.067</x:v>
      </x:c>
      <x:c r="N11" s="31" t="n">
        <x:v>17.265</x:v>
      </x:c>
      <x:c r="O11" s="77" t="n">
        <x:v>8.007</x:v>
      </x:c>
    </x:row>
    <x:row r="14">
      <x:c r="A14" s="24" t="str">
        <x:v>Overall 60-s result</x:v>
      </x:c>
      <x:c r="B14" s="25" t="str">
        <x:v>Value</x:v>
      </x:c>
      <x:c r="C14" s="25" t="str"/>
      <x:c r="D14" s="26" t="str"/>
      <x:c r="F14" s="24" t="str">
        <x:v>Persistence diagnostic</x:v>
      </x:c>
      <x:c r="G14" s="25" t="str">
        <x:v>Value</x:v>
      </x:c>
      <x:c r="H14" s="25" t="str"/>
      <x:c r="I14" s="26" t="str"/>
    </x:row>
    <x:row r="15">
      <x:c r="A15" s="72" t="str">
        <x:v>Selected X mean [m/s²]</x:v>
      </x:c>
      <x:c r="B15" s="73" t="n">
        <x:v>0.4562223</x:v>
      </x:c>
      <x:c r="C15" s="73" t="str"/>
      <x:c r="D15" s="88" t="str"/>
      <x:c r="F15" s="72" t="str">
        <x:v>First 10-s X [%]</x:v>
      </x:c>
      <x:c r="G15" s="73" t="n">
        <x:v>51.291</x:v>
      </x:c>
      <x:c r="H15" s="73" t="str"/>
      <x:c r="I15" s="88" t="str"/>
    </x:row>
    <x:row r="16">
      <x:c r="A16" s="72" t="str">
        <x:v>Selected X attenuation [%]</x:v>
      </x:c>
      <x:c r="B16" s="73" t="n">
        <x:v>53.1488</x:v>
      </x:c>
      <x:c r="C16" s="73" t="str"/>
      <x:c r="D16" s="88" t="str"/>
      <x:c r="F16" s="72" t="str">
        <x:v>Last 10-s X [%]</x:v>
      </x:c>
      <x:c r="G16" s="73" t="n">
        <x:v>55.209</x:v>
      </x:c>
      <x:c r="H16" s="73" t="str"/>
      <x:c r="I16" s="88" t="str"/>
    </x:row>
    <x:row r="17">
      <x:c r="A17" s="72" t="str">
        <x:v>Vector reduction [%]</x:v>
      </x:c>
      <x:c r="B17" s="73" t="n">
        <x:v>14.8587</x:v>
      </x:c>
      <x:c r="C17" s="73" t="str"/>
      <x:c r="D17" s="88" t="str"/>
      <x:c r="F17" s="64" t="str">
        <x:v>Last - first [pp]</x:v>
      </x:c>
      <x:c r="G17" s="65" t="n">
        <x:f>G16-G15</x:f>
        <x:v>3.9180000000000064</x:v>
      </x:c>
      <x:c r="H17" s="65" t="str"/>
      <x:c r="I17" s="66" t="str"/>
    </x:row>
    <x:row r="18">
      <x:c r="A18" s="64" t="str">
        <x:v>Valid windows</x:v>
      </x:c>
      <x:c r="B18" s="65" t="n">
        <x:v>261</x:v>
      </x:c>
      <x:c r="C18" s="65" t="str"/>
      <x:c r="D18" s="66" t="str"/>
    </x:row>
  </x:sheetData>
  <x:mergeCells>
    <x:mergeCell ref="A1:O2"/>
  </x:mergeCells>
  <x:conditionalFormatting sqref="I6:M1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763c1e5666644a68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90" t="str">
        <x:v>Run 2 — 20-s Adaptive Learning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  <x:c r="M1" s="90"/>
      <x:c r="N1" s="90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  <x:c r="AA1" s="22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4">
      <x:c r="A4" s="24" t="str">
        <x:v>Fresh baseline</x:v>
      </x:c>
      <x:c r="B4" s="25" t="str">
        <x:v>X</x:v>
      </x:c>
      <x:c r="C4" s="25" t="str">
        <x:v>Y</x:v>
      </x:c>
      <x:c r="D4" s="25" t="str">
        <x:v>Z</x:v>
      </x:c>
      <x:c r="E4" s="26" t="str">
        <x:v>Vector</x:v>
      </x:c>
    </x:row>
    <x:row r="5">
      <x:c r="A5" s="64" t="str">
        <x:v>m/s²</x:v>
      </x:c>
      <x:c r="B5" s="65" t="n">
        <x:v>1.041044</x:v>
      </x:c>
      <x:c r="C5" s="65" t="n">
        <x:v>0.558555</x:v>
      </x:c>
      <x:c r="D5" s="65" t="n">
        <x:v>0.301417</x:v>
      </x:c>
      <x:c r="E5" s="66" t="n">
        <x:v>1.220939</x:v>
      </x:c>
    </x:row>
    <x:row r="8">
      <x:c r="A8" s="24" t="str">
        <x:v>Time [s]</x:v>
      </x:c>
      <x:c r="B8" s="25" t="str">
        <x:v>State</x:v>
      </x:c>
      <x:c r="C8" s="25" t="str">
        <x:v>N</x:v>
      </x:c>
      <x:c r="D8" s="25" t="str">
        <x:v>Mean X</x:v>
      </x:c>
      <x:c r="E8" s="25" t="str">
        <x:v>Mean Y</x:v>
      </x:c>
      <x:c r="F8" s="25" t="str">
        <x:v>Mean Z</x:v>
      </x:c>
      <x:c r="G8" s="25" t="str">
        <x:v>Mean Vector</x:v>
      </x:c>
      <x:c r="H8" s="25" t="str">
        <x:v>X reduction [%]</x:v>
      </x:c>
      <x:c r="I8" s="25" t="str">
        <x:v>Y reduction [%]</x:v>
      </x:c>
      <x:c r="J8" s="25" t="str">
        <x:v>Z reduction [%]</x:v>
      </x:c>
      <x:c r="K8" s="25" t="str">
        <x:v>Vector reduction [%]</x:v>
      </x:c>
      <x:c r="L8" s="25" t="str">
        <x:v>Mean |W| [DAC]</x:v>
      </x:c>
      <x:c r="M8" s="25" t="str">
        <x:v>Mean μ</x:v>
      </x:c>
      <x:c r="N8" s="26" t="str">
        <x:v>Mean rolling X [%]</x:v>
      </x:c>
    </x:row>
    <x:row r="9">
      <x:c r="A9" s="72" t="str">
        <x:v>0-1</x:v>
      </x:c>
      <x:c r="B9" s="73" t="str">
        <x:v>STARTUP</x:v>
      </x:c>
      <x:c r="C9" s="73" t="n">
        <x:v>4</x:v>
      </x:c>
      <x:c r="D9" s="28" t="n">
        <x:v>1.0461685</x:v>
      </x:c>
      <x:c r="E9" s="28" t="n">
        <x:v>0.54311075</x:v>
      </x:c>
      <x:c r="F9" s="28" t="n">
        <x:v>0.27073225</x:v>
      </x:c>
      <x:c r="G9" s="28" t="n">
        <x:v>1.2109602499999998</x:v>
      </x:c>
      <x:c r="H9" s="74" t="n">
        <x:f>100*(1-D9/$B$5)</x:f>
        <x:v>-0.49224624511547965</x:v>
      </x:c>
      <x:c r="I9" s="74" t="n">
        <x:f>100*(1-E9/$C$5)</x:f>
        <x:v>2.765036567571688</x:v>
      </x:c>
      <x:c r="J9" s="74" t="n">
        <x:f>100*(1-F9/$D$5)</x:f>
        <x:v>10.180165684085496</x:v>
      </x:c>
      <x:c r="K9" s="74" t="n">
        <x:f>100*(1-G9/$E$5)</x:f>
        <x:v>0.8173012738556307</x:v>
      </x:c>
      <x:c r="L9" s="28" t="n">
        <x:v>0.06694562889919853</x:v>
      </x:c>
      <x:c r="M9" s="28" t="n">
        <x:v>0.005</x:v>
      </x:c>
      <x:c r="N9" s="75"/>
    </x:row>
    <x:row r="10">
      <x:c r="A10" s="72" t="str">
        <x:v>1-2</x:v>
      </x:c>
      <x:c r="B10" s="73" t="str">
        <x:v>LEARN</x:v>
      </x:c>
      <x:c r="C10" s="73" t="n">
        <x:v>4</x:v>
      </x:c>
      <x:c r="D10" s="28" t="n">
        <x:v>1.02989875</x:v>
      </x:c>
      <x:c r="E10" s="28" t="n">
        <x:v>0.55166175</x:v>
      </x:c>
      <x:c r="F10" s="28" t="n">
        <x:v>0.31617850000000003</x:v>
      </x:c>
      <x:c r="G10" s="28" t="n">
        <x:v>1.2131652499999999</x:v>
      </x:c>
      <x:c r="H10" s="74" t="n">
        <x:f>100*(1-D10/$B$5)</x:f>
        <x:v>1.0705839522633043</x:v>
      </x:c>
      <x:c r="I10" s="74" t="n">
        <x:f>100*(1-E10/$C$5)</x:f>
        <x:v>1.2341219754545385</x:v>
      </x:c>
      <x:c r="J10" s="74" t="n">
        <x:f>100*(1-F10/$D$5)</x:f>
        <x:v>-4.897368098017041</x:v>
      </x:c>
      <x:c r="K10" s="74" t="n">
        <x:f>100*(1-G10/$E$5)</x:f>
        <x:v>0.6367025707263108</x:v>
      </x:c>
      <x:c r="L10" s="28" t="n">
        <x:v>0.3503977298053531</x:v>
      </x:c>
      <x:c r="M10" s="28" t="n">
        <x:v>0.01625</x:v>
      </x:c>
      <x:c r="N10" s="75" t="n">
        <x:v>0.48925</x:v>
      </x:c>
    </x:row>
    <x:row r="11">
      <x:c r="A11" s="72" t="str">
        <x:v>2-3</x:v>
      </x:c>
      <x:c r="B11" s="73" t="str">
        <x:v>LEARN</x:v>
      </x:c>
      <x:c r="C11" s="73" t="n">
        <x:v>4</x:v>
      </x:c>
      <x:c r="D11" s="28" t="n">
        <x:v>1.02018225</x:v>
      </x:c>
      <x:c r="E11" s="28" t="n">
        <x:v>0.5574</x:v>
      </x:c>
      <x:c r="F11" s="28" t="n">
        <x:v>0.23605925</x:v>
      </x:c>
      <x:c r="G11" s="28" t="n">
        <x:v>1.18747075</x:v>
      </x:c>
      <x:c r="H11" s="74" t="n">
        <x:f>100*(1-D11/$B$5)</x:f>
        <x:v>2.0039258667261084</x:v>
      </x:c>
      <x:c r="I11" s="74" t="n">
        <x:f>100*(1-E11/$C$5)</x:f>
        <x:v>0.20678357547601056</x:v>
      </x:c>
      <x:c r="J11" s="74" t="n">
        <x:f>100*(1-F11/$D$5)</x:f>
        <x:v>21.683498276474122</x:v>
      </x:c>
      <x:c r="K11" s="74" t="n">
        <x:f>100*(1-G11/$E$5)</x:f>
        <x:v>2.74118936326877</x:v>
      </x:c>
      <x:c r="L11" s="28" t="n">
        <x:v>1.034892270681846</x:v>
      </x:c>
      <x:c r="M11" s="28" t="n">
        <x:v>0.02</x:v>
      </x:c>
      <x:c r="N11" s="75" t="n">
        <x:v>1.25075</x:v>
      </x:c>
    </x:row>
    <x:row r="12">
      <x:c r="A12" s="72" t="str">
        <x:v>3-4</x:v>
      </x:c>
      <x:c r="B12" s="73" t="str">
        <x:v>LEARN</x:v>
      </x:c>
      <x:c r="C12" s="73" t="n">
        <x:v>4</x:v>
      </x:c>
      <x:c r="D12" s="28" t="n">
        <x:v>1.04261075</x:v>
      </x:c>
      <x:c r="E12" s="28" t="n">
        <x:v>0.52949275</x:v>
      </x:c>
      <x:c r="F12" s="28" t="n">
        <x:v>0.3287945</x:v>
      </x:c>
      <x:c r="G12" s="28" t="n">
        <x:v>1.2155445</x:v>
      </x:c>
      <x:c r="H12" s="74" t="n">
        <x:f>100*(1-D12/$B$5)</x:f>
        <x:v>-0.15049796166155538</x:v>
      </x:c>
      <x:c r="I12" s="74" t="n">
        <x:f>100*(1-E12/$C$5)</x:f>
        <x:v>5.203113390803072</x:v>
      </x:c>
      <x:c r="J12" s="74" t="n">
        <x:f>100*(1-F12/$D$5)</x:f>
        <x:v>-9.082931619649859</x:v>
      </x:c>
      <x:c r="K12" s="74" t="n">
        <x:f>100*(1-G12/$E$5)</x:f>
        <x:v>0.44183206532021346</x:v>
      </x:c>
      <x:c r="L12" s="28" t="n">
        <x:v>1.7254554880829112</x:v>
      </x:c>
      <x:c r="M12" s="28" t="n">
        <x:v>0.02</x:v>
      </x:c>
      <x:c r="N12" s="75" t="n">
        <x:v>-0.23875000000000002</x:v>
      </x:c>
    </x:row>
    <x:row r="13">
      <x:c r="A13" s="72" t="str">
        <x:v>4-5</x:v>
      </x:c>
      <x:c r="B13" s="73" t="str">
        <x:v>LEARN</x:v>
      </x:c>
      <x:c r="C13" s="73" t="n">
        <x:v>4</x:v>
      </x:c>
      <x:c r="D13" s="28" t="n">
        <x:v>0.96861675</x:v>
      </x:c>
      <x:c r="E13" s="28" t="n">
        <x:v>0.51824125</x:v>
      </x:c>
      <x:c r="F13" s="28" t="n">
        <x:v>0.2754735</x:v>
      </x:c>
      <x:c r="G13" s="28" t="n">
        <x:v>1.1330375</x:v>
      </x:c>
      <x:c r="H13" s="74" t="n">
        <x:f>100*(1-D13/$B$5)</x:f>
        <x:v>6.957174720761083</x:v>
      </x:c>
      <x:c r="I13" s="74" t="n">
        <x:f>100*(1-E13/$C$5)</x:f>
        <x:v>7.217507676056978</x:v>
      </x:c>
      <x:c r="J13" s="74" t="n">
        <x:f>100*(1-F13/$D$5)</x:f>
        <x:v>8.607178758995015</x:v>
      </x:c>
      <x:c r="K13" s="74" t="n">
        <x:f>100*(1-G13/$E$5)</x:f>
        <x:v>7.199499729306713</x:v>
      </x:c>
      <x:c r="L13" s="28" t="n">
        <x:v>2.350832353555108</x:v>
      </x:c>
      <x:c r="M13" s="28" t="n">
        <x:v>0.02</x:v>
      </x:c>
      <x:c r="N13" s="75" t="n">
        <x:v>4.46125</x:v>
      </x:c>
    </x:row>
    <x:row r="14">
      <x:c r="A14" s="72" t="str">
        <x:v>5-6</x:v>
      </x:c>
      <x:c r="B14" s="73" t="str">
        <x:v>LEARN</x:v>
      </x:c>
      <x:c r="C14" s="73" t="n">
        <x:v>4</x:v>
      </x:c>
      <x:c r="D14" s="28" t="n">
        <x:v>0.84769525</x:v>
      </x:c>
      <x:c r="E14" s="28" t="n">
        <x:v>0.50266975</x:v>
      </x:c>
      <x:c r="F14" s="28" t="n">
        <x:v>0.3229005</x:v>
      </x:c>
      <x:c r="G14" s="28" t="n">
        <x:v>1.039961</x:v>
      </x:c>
      <x:c r="H14" s="74" t="n">
        <x:f>100*(1-D14/$B$5)</x:f>
        <x:v>18.5725819465844</x:v>
      </x:c>
      <x:c r="I14" s="74" t="n">
        <x:f>100*(1-E14/$C$5)</x:f>
        <x:v>10.005326243610746</x:v>
      </x:c>
      <x:c r="J14" s="74" t="n">
        <x:f>100*(1-F14/$D$5)</x:f>
        <x:v>-7.127501103122902</x:v>
      </x:c>
      <x:c r="K14" s="74" t="n">
        <x:f>100*(1-G14/$E$5)</x:f>
        <x:v>14.822853557794458</x:v>
      </x:c>
      <x:c r="L14" s="28" t="n">
        <x:v>2.918642542633235</x:v>
      </x:c>
      <x:c r="M14" s="28" t="n">
        <x:v>0.02</x:v>
      </x:c>
      <x:c r="N14" s="75" t="n">
        <x:v>12.67325</x:v>
      </x:c>
    </x:row>
    <x:row r="15">
      <x:c r="A15" s="72" t="str">
        <x:v>6-7</x:v>
      </x:c>
      <x:c r="B15" s="73" t="str">
        <x:v>LEARN</x:v>
      </x:c>
      <x:c r="C15" s="73" t="n">
        <x:v>4</x:v>
      </x:c>
      <x:c r="D15" s="28" t="n">
        <x:v>0.843378</x:v>
      </x:c>
      <x:c r="E15" s="28" t="n">
        <x:v>0.49706475</x:v>
      </x:c>
      <x:c r="F15" s="28" t="n">
        <x:v>0.306035</x:v>
      </x:c>
      <x:c r="G15" s="28" t="n">
        <x:v>1.0273405</x:v>
      </x:c>
      <x:c r="H15" s="74" t="n">
        <x:f>100*(1-D15/$B$5)</x:f>
        <x:v>18.987285839983713</x:v>
      </x:c>
      <x:c r="I15" s="74" t="n">
        <x:f>100*(1-E15/$C$5)</x:f>
        <x:v>11.00880844321509</x:v>
      </x:c>
      <x:c r="J15" s="74" t="n">
        <x:f>100*(1-F15/$D$5)</x:f>
        <x:v>-1.532096729779675</x:v>
      </x:c>
      <x:c r="K15" s="74" t="n">
        <x:f>100*(1-G15/$E$5)</x:f>
        <x:v>15.85652518266678</x:v>
      </x:c>
      <x:c r="L15" s="28" t="n">
        <x:v>3.476753591937663</x:v>
      </x:c>
      <x:c r="M15" s="28" t="n">
        <x:v>0.02</x:v>
      </x:c>
      <x:c r="N15" s="75" t="n">
        <x:v>18.16575</x:v>
      </x:c>
    </x:row>
    <x:row r="16">
      <x:c r="A16" s="72" t="str">
        <x:v>7-8</x:v>
      </x:c>
      <x:c r="B16" s="73" t="str">
        <x:v>LEARN</x:v>
      </x:c>
      <x:c r="C16" s="73" t="n">
        <x:v>4</x:v>
      </x:c>
      <x:c r="D16" s="28" t="n">
        <x:v>0.8018125</x:v>
      </x:c>
      <x:c r="E16" s="28" t="n">
        <x:v>0.48965525</x:v>
      </x:c>
      <x:c r="F16" s="28" t="n">
        <x:v>0.31670575</x:v>
      </x:c>
      <x:c r="G16" s="28" t="n">
        <x:v>0.99442575</x:v>
      </x:c>
      <x:c r="H16" s="74" t="n">
        <x:f>100*(1-D16/$B$5)</x:f>
        <x:v>22.97996050118919</x:v>
      </x:c>
      <x:c r="I16" s="74" t="n">
        <x:f>100*(1-E16/$C$5)</x:f>
        <x:v>12.335356410738429</x:v>
      </x:c>
      <x:c r="J16" s="74" t="n">
        <x:f>100*(1-F16/$D$5)</x:f>
        <x:v>-5.072291874711787</x:v>
      </x:c>
      <x:c r="K16" s="74" t="n">
        <x:f>100*(1-G16/$E$5)</x:f>
        <x:v>18.552380585762272</x:v>
      </x:c>
      <x:c r="L16" s="28" t="n">
        <x:v>4.037045154067024</x:v>
      </x:c>
      <x:c r="M16" s="28" t="n">
        <x:v>0.02</x:v>
      </x:c>
      <x:c r="N16" s="75" t="n">
        <x:v>21.71725</x:v>
      </x:c>
    </x:row>
    <x:row r="17">
      <x:c r="A17" s="72" t="str">
        <x:v>8-9</x:v>
      </x:c>
      <x:c r="B17" s="73" t="str">
        <x:v>LEARN</x:v>
      </x:c>
      <x:c r="C17" s="73" t="n">
        <x:v>5</x:v>
      </x:c>
      <x:c r="D17" s="28" t="n">
        <x:v>0.7542162</x:v>
      </x:c>
      <x:c r="E17" s="28" t="n">
        <x:v>0.4966366</x:v>
      </x:c>
      <x:c r="F17" s="28" t="n">
        <x:v>0.38243879999999997</x:v>
      </x:c>
      <x:c r="G17" s="28" t="n">
        <x:v>0.9837372</x:v>
      </x:c>
      <x:c r="H17" s="74" t="n">
        <x:f>100*(1-D17/$B$5)</x:f>
        <x:v>27.5519382466063</x:v>
      </x:c>
      <x:c r="I17" s="74" t="n">
        <x:f>100*(1-E17/$C$5)</x:f>
        <x:v>11.085461592860158</x:v>
      </x:c>
      <x:c r="J17" s="74" t="n">
        <x:f>100*(1-F17/$D$5)</x:f>
        <x:v>-26.880302040030912</x:v>
      </x:c>
      <x:c r="K17" s="74" t="n">
        <x:f>100*(1-G17/$E$5)</x:f>
        <x:v>19.42781744214903</x:v>
      </x:c>
      <x:c r="L17" s="28" t="n">
        <x:v>4.610321041642562</x:v>
      </x:c>
      <x:c r="M17" s="28" t="n">
        <x:v>0.02</x:v>
      </x:c>
      <x:c r="N17" s="75" t="n">
        <x:v>25.337799999999998</x:v>
      </x:c>
    </x:row>
    <x:row r="18">
      <x:c r="A18" s="72" t="str">
        <x:v>9-10</x:v>
      </x:c>
      <x:c r="B18" s="73" t="str">
        <x:v>LEARN</x:v>
      </x:c>
      <x:c r="C18" s="73" t="n">
        <x:v>4</x:v>
      </x:c>
      <x:c r="D18" s="28" t="n">
        <x:v>0.73192675</x:v>
      </x:c>
      <x:c r="E18" s="28" t="n">
        <x:v>0.49020225</x:v>
      </x:c>
      <x:c r="F18" s="28" t="n">
        <x:v>0.45198675</x:v>
      </x:c>
      <x:c r="G18" s="28" t="n">
        <x:v>0.993541</x:v>
      </x:c>
      <x:c r="H18" s="74" t="n">
        <x:f>100*(1-D18/$B$5)</x:f>
        <x:v>29.693005290842667</x:v>
      </x:c>
      <x:c r="I18" s="74" t="n">
        <x:f>100*(1-E18/$C$5)</x:f>
        <x:v>12.237425141660175</x:v>
      </x:c>
      <x:c r="J18" s="74" t="n">
        <x:f>100*(1-F18/$D$5)</x:f>
        <x:v>-49.95396742718559</x:v>
      </x:c>
      <x:c r="K18" s="74" t="n">
        <x:f>100*(1-G18/$E$5)</x:f>
        <x:v>18.62484530349182</x:v>
      </x:c>
      <x:c r="L18" s="28" t="n">
        <x:v>5.169947466283178</x:v>
      </x:c>
      <x:c r="M18" s="28" t="n">
        <x:v>0.02</x:v>
      </x:c>
      <x:c r="N18" s="75" t="n">
        <x:v>28.3745</x:v>
      </x:c>
    </x:row>
    <x:row r="19">
      <x:c r="A19" s="72" t="str">
        <x:v>10-11</x:v>
      </x:c>
      <x:c r="B19" s="73" t="str">
        <x:v>LEARN</x:v>
      </x:c>
      <x:c r="C19" s="73" t="n">
        <x:v>4</x:v>
      </x:c>
      <x:c r="D19" s="28" t="n">
        <x:v>0.6779532500000001</x:v>
      </x:c>
      <x:c r="E19" s="28" t="n">
        <x:v>0.55849175</x:v>
      </x:c>
      <x:c r="F19" s="28" t="n">
        <x:v>0.35942874999999996</x:v>
      </x:c>
      <x:c r="G19" s="28" t="n">
        <x:v>0.956997</x:v>
      </x:c>
      <x:c r="H19" s="74" t="n">
        <x:f>100*(1-D19/$B$5)</x:f>
        <x:v>34.87756041051099</x:v>
      </x:c>
      <x:c r="I19" s="74" t="n">
        <x:f>100*(1-E19/$C$5)</x:f>
        <x:v>0.01132386246655015</x:v>
      </x:c>
      <x:c r="J19" s="74" t="n">
        <x:f>100*(1-F19/$D$5)</x:f>
        <x:v>-19.246343106062348</x:v>
      </x:c>
      <x:c r="K19" s="74" t="n">
        <x:f>100*(1-G19/$E$5)</x:f>
        <x:v>21.617951429186878</x:v>
      </x:c>
      <x:c r="L19" s="28" t="n">
        <x:v>5.596622537044109</x:v>
      </x:c>
      <x:c r="M19" s="28" t="n">
        <x:v>0.0175</x:v>
      </x:c>
      <x:c r="N19" s="75" t="n">
        <x:v>33.96225</x:v>
      </x:c>
    </x:row>
    <x:row r="20">
      <x:c r="A20" s="72" t="str">
        <x:v>11-12</x:v>
      </x:c>
      <x:c r="B20" s="73" t="str">
        <x:v>LEARN</x:v>
      </x:c>
      <x:c r="C20" s="73" t="n">
        <x:v>4</x:v>
      </x:c>
      <x:c r="D20" s="28" t="n">
        <x:v>0.71919275</x:v>
      </x:c>
      <x:c r="E20" s="28" t="n">
        <x:v>0.49428550000000004</x:v>
      </x:c>
      <x:c r="F20" s="28" t="n">
        <x:v>0.46409524999999996</x:v>
      </x:c>
      <x:c r="G20" s="28" t="n">
        <x:v>0.9927765</x:v>
      </x:c>
      <x:c r="H20" s="74" t="n">
        <x:f>100*(1-D20/$B$5)</x:f>
        <x:v>30.91620046799175</x:v>
      </x:c>
      <x:c r="I20" s="74" t="n">
        <x:f>100*(1-E20/$C$5)</x:f>
        <x:v>11.506387016497921</x:v>
      </x:c>
      <x:c r="J20" s="74" t="n">
        <x:f>100*(1-F20/$D$5)</x:f>
        <x:v>-53.97115955636211</x:v>
      </x:c>
      <x:c r="K20" s="74" t="n">
        <x:f>100*(1-G20/$E$5)</x:f>
        <x:v>18.687461044327357</x:v>
      </x:c>
      <x:c r="L20" s="28" t="n">
        <x:v>6.023850285795048</x:v>
      </x:c>
      <x:c r="M20" s="28" t="n">
        <x:v>0.0175</x:v>
      </x:c>
      <x:c r="N20" s="75" t="n">
        <x:v>32.8125</x:v>
      </x:c>
    </x:row>
    <x:row r="21">
      <x:c r="A21" s="72" t="str">
        <x:v>12-13</x:v>
      </x:c>
      <x:c r="B21" s="73" t="str">
        <x:v>FINE</x:v>
      </x:c>
      <x:c r="C21" s="73" t="n">
        <x:v>4</x:v>
      </x:c>
      <x:c r="D21" s="28" t="n">
        <x:v>0.6307155</x:v>
      </x:c>
      <x:c r="E21" s="28" t="n">
        <x:v>0.59499775</x:v>
      </x:c>
      <x:c r="F21" s="28" t="n">
        <x:v>0.43776</x:v>
      </x:c>
      <x:c r="G21" s="28" t="n">
        <x:v>0.983892</x:v>
      </x:c>
      <x:c r="H21" s="74" t="n">
        <x:f>100*(1-D21/$B$5)</x:f>
        <x:v>39.4150967682442</x:v>
      </x:c>
      <x:c r="I21" s="74" t="n">
        <x:f>100*(1-E21/$C$5)</x:f>
        <x:v>-6.524469389764653</x:v>
      </x:c>
      <x:c r="J21" s="74" t="n">
        <x:f>100*(1-F21/$D$5)</x:f>
        <x:v>-45.23401135304246</x:v>
      </x:c>
      <x:c r="K21" s="74" t="n">
        <x:f>100*(1-G21/$E$5)</x:f>
        <x:v>19.41513867605179</x:v>
      </x:c>
      <x:c r="L21" s="28" t="n">
        <x:v>6.445910971741861</x:v>
      </x:c>
      <x:c r="M21" s="28" t="n">
        <x:v>0.015</x:v>
      </x:c>
      <x:c r="N21" s="75" t="n">
        <x:v>33.10875</x:v>
      </x:c>
    </x:row>
    <x:row r="22">
      <x:c r="A22" s="72" t="str">
        <x:v>13-14</x:v>
      </x:c>
      <x:c r="B22" s="73" t="str">
        <x:v>FINE</x:v>
      </x:c>
      <x:c r="C22" s="73" t="n">
        <x:v>4</x:v>
      </x:c>
      <x:c r="D22" s="28" t="n">
        <x:v>0.5096244999999999</x:v>
      </x:c>
      <x:c r="E22" s="28" t="n">
        <x:v>0.64342375</x:v>
      </x:c>
      <x:c r="F22" s="28" t="n">
        <x:v>0.4019245</x:v>
      </x:c>
      <x:c r="G22" s="28" t="n">
        <x:v>0.91990275</x:v>
      </x:c>
      <x:c r="H22" s="74" t="n">
        <x:f>100*(1-D22/$B$5)</x:f>
        <x:v>51.04678572663597</x:v>
      </x:c>
      <x:c r="I22" s="74" t="n">
        <x:f>100*(1-E22/$C$5)</x:f>
        <x:v>-15.194340754267689</x:v>
      </x:c>
      <x:c r="J22" s="74" t="n">
        <x:f>100*(1-F22/$D$5)</x:f>
        <x:v>-33.34500044788451</x:v>
      </x:c>
      <x:c r="K22" s="74" t="n">
        <x:f>100*(1-G22/$E$5)</x:f>
        <x:v>24.656125326490507</x:v>
      </x:c>
      <x:c r="L22" s="28" t="n">
        <x:v>6.708226917850012</x:v>
      </x:c>
      <x:c r="M22" s="28" t="n">
        <x:v>0.01</x:v>
      </x:c>
      <x:c r="N22" s="75" t="n">
        <x:v>46.53475</x:v>
      </x:c>
    </x:row>
    <x:row r="23">
      <x:c r="A23" s="72" t="str">
        <x:v>14-15</x:v>
      </x:c>
      <x:c r="B23" s="73" t="str">
        <x:v>FINE</x:v>
      </x:c>
      <x:c r="C23" s="73" t="n">
        <x:v>4</x:v>
      </x:c>
      <x:c r="D23" s="28" t="n">
        <x:v>0.52132075</x:v>
      </x:c>
      <x:c r="E23" s="28" t="n">
        <x:v>0.723622</x:v>
      </x:c>
      <x:c r="F23" s="28" t="n">
        <x:v>0.4232405</x:v>
      </x:c>
      <x:c r="G23" s="28" t="n">
        <x:v>0.99446125</x:v>
      </x:c>
      <x:c r="H23" s="74" t="n">
        <x:f>100*(1-D23/$B$5)</x:f>
        <x:v>49.92327413634775</x:v>
      </x:c>
      <x:c r="I23" s="74" t="n">
        <x:f>100*(1-E23/$C$5)</x:f>
        <x:v>-29.552506019998013</x:v>
      </x:c>
      <x:c r="J23" s="74" t="n">
        <x:f>100*(1-F23/$D$5)</x:f>
        <x:v>-40.41693069733958</x:v>
      </x:c>
      <x:c r="K23" s="74" t="n">
        <x:f>100*(1-G23/$E$5)</x:f>
        <x:v>18.549472987593973</x:v>
      </x:c>
      <x:c r="L23" s="28" t="n">
        <x:v>6.886203587887625</x:v>
      </x:c>
      <x:c r="M23" s="28" t="n">
        <x:v>0.01</x:v>
      </x:c>
      <x:c r="N23" s="75" t="n">
        <x:v>49.15575</x:v>
      </x:c>
    </x:row>
    <x:row r="24">
      <x:c r="A24" s="72" t="str">
        <x:v>15-16</x:v>
      </x:c>
      <x:c r="B24" s="73" t="str">
        <x:v>FINE</x:v>
      </x:c>
      <x:c r="C24" s="73" t="n">
        <x:v>4</x:v>
      </x:c>
      <x:c r="D24" s="28" t="n">
        <x:v>0.54743575</x:v>
      </x:c>
      <x:c r="E24" s="28" t="n">
        <x:v>0.65015225</x:v>
      </x:c>
      <x:c r="F24" s="28" t="n">
        <x:v>0.40434725</x:v>
      </x:c>
      <x:c r="G24" s="28" t="n">
        <x:v>0.955678</x:v>
      </x:c>
      <x:c r="H24" s="74" t="n">
        <x:f>100*(1-D24/$B$5)</x:f>
        <x:v>47.41473463177349</x:v>
      </x:c>
      <x:c r="I24" s="74" t="n">
        <x:f>100*(1-E24/$C$5)</x:f>
        <x:v>-16.398966977289597</x:v>
      </x:c>
      <x:c r="J24" s="74" t="n">
        <x:f>100*(1-F24/$D$5)</x:f>
        <x:v>-34.148787228324885</x:v>
      </x:c>
      <x:c r="K24" s="74" t="n">
        <x:f>100*(1-G24/$E$5)</x:f>
        <x:v>21.725983034369445</x:v>
      </x:c>
      <x:c r="L24" s="28" t="n">
        <x:v>7.078808564045659</x:v>
      </x:c>
      <x:c r="M24" s="28" t="n">
        <x:v>0.0125</x:v>
      </x:c>
      <x:c r="N24" s="75" t="n">
        <x:v>50.7915</x:v>
      </x:c>
    </x:row>
    <x:row r="25">
      <x:c r="A25" s="72" t="str">
        <x:v>16-17</x:v>
      </x:c>
      <x:c r="B25" s="73" t="str">
        <x:v>FINE</x:v>
      </x:c>
      <x:c r="C25" s="73" t="n">
        <x:v>4</x:v>
      </x:c>
      <x:c r="D25" s="28" t="n">
        <x:v>0.54286475</x:v>
      </x:c>
      <x:c r="E25" s="28" t="n">
        <x:v>0.61487125</x:v>
      </x:c>
      <x:c r="F25" s="28" t="n">
        <x:v>0.39434825</x:v>
      </x:c>
      <x:c r="G25" s="28" t="n">
        <x:v>0.91458375</x:v>
      </x:c>
      <x:c r="H25" s="74" t="n">
        <x:f>100*(1-D25/$B$5)</x:f>
        <x:v>47.85381309531586</x:v>
      </x:c>
      <x:c r="I25" s="74" t="n">
        <x:f>100*(1-E25/$C$5)</x:f>
        <x:v>-10.082489638442048</x:v>
      </x:c>
      <x:c r="J25" s="74" t="n">
        <x:f>100*(1-F25/$D$5)</x:f>
        <x:v>-30.831456089072628</x:v>
      </x:c>
      <x:c r="K25" s="74" t="n">
        <x:f>100*(1-G25/$E$5)</x:f>
        <x:v>25.091773626692238</x:v>
      </x:c>
      <x:c r="L25" s="28" t="n">
        <x:v>7.347674129090205</x:v>
      </x:c>
      <x:c r="M25" s="28" t="n">
        <x:v>0.0125</x:v>
      </x:c>
      <x:c r="N25" s="75" t="n">
        <x:v>46.56725</x:v>
      </x:c>
    </x:row>
    <x:row r="26">
      <x:c r="A26" s="72" t="str">
        <x:v>17-18</x:v>
      </x:c>
      <x:c r="B26" s="73" t="str">
        <x:v>FINE</x:v>
      </x:c>
      <x:c r="C26" s="73" t="n">
        <x:v>4</x:v>
      </x:c>
      <x:c r="D26" s="28" t="n">
        <x:v>0.4868125</x:v>
      </x:c>
      <x:c r="E26" s="28" t="n">
        <x:v>0.7141975</x:v>
      </x:c>
      <x:c r="F26" s="28" t="n">
        <x:v>0.542971</x:v>
      </x:c>
      <x:c r="G26" s="28" t="n">
        <x:v>1.02675325</x:v>
      </x:c>
      <x:c r="H26" s="74" t="n">
        <x:f>100*(1-D26/$B$5)</x:f>
        <x:v>53.238047575318625</x:v>
      </x:c>
      <x:c r="I26" s="74" t="n">
        <x:f>100*(1-E26/$C$5)</x:f>
        <x:v>-27.865205754133427</x:v>
      </x:c>
      <x:c r="J26" s="74" t="n">
        <x:f>100*(1-F26/$D$5)</x:f>
        <x:v>-80.13947454854902</x:v>
      </x:c>
      <x:c r="K26" s="74" t="n">
        <x:f>100*(1-G26/$E$5)</x:f>
        <x:v>15.904623408704277</x:v>
      </x:c>
      <x:c r="L26" s="28" t="n">
        <x:v>7.549277482337686</x:v>
      </x:c>
      <x:c r="M26" s="28" t="n">
        <x:v>0.01</x:v>
      </x:c>
      <x:c r="N26" s="75" t="n">
        <x:v>51.45025</x:v>
      </x:c>
    </x:row>
    <x:row r="27">
      <x:c r="A27" s="72" t="str">
        <x:v>18-19</x:v>
      </x:c>
      <x:c r="B27" s="73" t="str">
        <x:v>FINE</x:v>
      </x:c>
      <x:c r="C27" s="73" t="n">
        <x:v>4</x:v>
      </x:c>
      <x:c r="D27" s="28" t="n">
        <x:v>0.44348475</x:v>
      </x:c>
      <x:c r="E27" s="28" t="n">
        <x:v>0.7875909999999999</x:v>
      </x:c>
      <x:c r="F27" s="28" t="n">
        <x:v>0.37235725000000003</x:v>
      </x:c>
      <x:c r="G27" s="28" t="n">
        <x:v>0.9803405000000001</x:v>
      </x:c>
      <x:c r="H27" s="74" t="n">
        <x:f>100*(1-D27/$B$5)</x:f>
        <x:v>57.39999942365549</x:v>
      </x:c>
      <x:c r="I27" s="74" t="n">
        <x:f>100*(1-E27/$C$5)</x:f>
        <x:v>-41.00509350019244</x:v>
      </x:c>
      <x:c r="J27" s="74" t="n">
        <x:f>100*(1-F27/$D$5)</x:f>
        <x:v>-23.535583593493413</x:v>
      </x:c>
      <x:c r="K27" s="74" t="n">
        <x:f>100*(1-G27/$E$5)</x:f>
        <x:v>19.70602134914192</x:v>
      </x:c>
      <x:c r="L27" s="28" t="n">
        <x:v>7.703648904408615</x:v>
      </x:c>
      <x:c r="M27" s="28" t="n">
        <x:v>0.01</x:v>
      </x:c>
      <x:c r="N27" s="75" t="n">
        <x:v>54.963750000000005</x:v>
      </x:c>
    </x:row>
    <x:row r="28">
      <x:c r="A28" s="64" t="str">
        <x:v>19-20</x:v>
      </x:c>
      <x:c r="B28" s="65" t="str">
        <x:v>HOLD</x:v>
      </x:c>
      <x:c r="C28" s="65" t="n">
        <x:v>5</x:v>
      </x:c>
      <x:c r="D28" s="31" t="n">
        <x:v>0.3551906</x:v>
      </x:c>
      <x:c r="E28" s="31" t="n">
        <x:v>0.8413096</x:v>
      </x:c>
      <x:c r="F28" s="31" t="n">
        <x:v>0.373962</x:v>
      </x:c>
      <x:c r="G28" s="31" t="n">
        <x:v>0.9908785999999999</x:v>
      </x:c>
      <x:c r="H28" s="76" t="n">
        <x:f>100*(1-D28/$B$5)</x:f>
        <x:v>65.88130761043722</x:v>
      </x:c>
      <x:c r="I28" s="76" t="n">
        <x:f>100*(1-E28/$C$5)</x:f>
        <x:v>-50.622517030552046</x:v>
      </x:c>
      <x:c r="J28" s="76" t="n">
        <x:f>100*(1-F28/$D$5)</x:f>
        <x:v>-24.067985548260395</x:v>
      </x:c>
      <x:c r="K28" s="76" t="n">
        <x:f>100*(1-G28/$E$5)</x:f>
        <x:v>18.842906975696582</x:v>
      </x:c>
      <x:c r="L28" s="31" t="n">
        <x:v>7.844319192696545</x:v>
      </x:c>
      <x:c r="M28" s="31" t="n">
        <x:v>0.004</x:v>
      </x:c>
      <x:c r="N28" s="77" t="n">
        <x:v>62.0826</x:v>
      </x:c>
    </x:row>
    <x:row r="31">
      <x:c r="A31" s="44" t="str">
        <x:v>Interpretation</x:v>
      </x:c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</x:row>
    <x:row r="32">
      <x:c r="A32" s="22" t="str">
        <x:v>Progressive X attenuation developed as |W| increased, culminating in a rolling-qualified training optimum of 65.881%. Y/Z and vector are retained to document cross-axis redistribution rather than being used to select Wbest.</x:v>
      </x:c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  <x:c r="M32" s="22"/>
      <x:c r="N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</x:row>
  </x:sheetData>
  <x:mergeCells>
    <x:mergeCell ref="A1:N2"/>
    <x:mergeCell ref="A31:N31"/>
    <x:mergeCell ref="A32:N34"/>
  </x:mergeCells>
  <x:conditionalFormatting sqref="H9:K2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a83e0e9deff64bb4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90" t="str">
        <x:v>Run 2 — Independent 10-s Frozen-W Validation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  <x:c r="AA1" s="22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24" t="str">
        <x:v>Baseline</x:v>
      </x:c>
      <x:c r="B4" s="25" t="str">
        <x:v>X</x:v>
      </x:c>
      <x:c r="C4" s="25" t="str">
        <x:v>Y</x:v>
      </x:c>
      <x:c r="D4" s="25" t="str">
        <x:v>Z</x:v>
      </x:c>
      <x:c r="E4" s="26" t="str">
        <x:v>Vector</x:v>
      </x:c>
    </x:row>
    <x:row r="5">
      <x:c r="A5" s="64" t="str">
        <x:v>m/s²</x:v>
      </x:c>
      <x:c r="B5" s="65" t="n">
        <x:v>1.041044</x:v>
      </x:c>
      <x:c r="C5" s="65" t="n">
        <x:v>0.558555</x:v>
      </x:c>
      <x:c r="D5" s="65" t="n">
        <x:v>0.301417</x:v>
      </x:c>
      <x:c r="E5" s="66" t="n">
        <x:v>1.220939</x:v>
      </x:c>
    </x:row>
    <x:row r="8">
      <x:c r="A8" s="24" t="str">
        <x:v>Time [s]</x:v>
      </x:c>
      <x:c r="B8" s="25" t="str">
        <x:v>N</x:v>
      </x:c>
      <x:c r="C8" s="25" t="str">
        <x:v>Mean X</x:v>
      </x:c>
      <x:c r="D8" s="25" t="str">
        <x:v>Mean Y</x:v>
      </x:c>
      <x:c r="E8" s="25" t="str">
        <x:v>Mean Z</x:v>
      </x:c>
      <x:c r="F8" s="25" t="str">
        <x:v>Mean Vector</x:v>
      </x:c>
      <x:c r="G8" s="25" t="str">
        <x:v>X reduction [%]</x:v>
      </x:c>
      <x:c r="H8" s="25" t="str">
        <x:v>Y reduction [%]</x:v>
      </x:c>
      <x:c r="I8" s="25" t="str">
        <x:v>Z reduction [%]</x:v>
      </x:c>
      <x:c r="J8" s="26" t="str">
        <x:v>Vector reduction [%]</x:v>
      </x:c>
    </x:row>
    <x:row r="9">
      <x:c r="A9" s="72" t="str">
        <x:v>0-1</x:v>
      </x:c>
      <x:c r="B9" s="73" t="n">
        <x:v>4</x:v>
      </x:c>
      <x:c r="C9" s="28" t="n">
        <x:v>0.3951525</x:v>
      </x:c>
      <x:c r="D9" s="28" t="n">
        <x:v>0.8301205</x:v>
      </x:c>
      <x:c r="E9" s="28" t="n">
        <x:v>0.3287105</x:v>
      </x:c>
      <x:c r="F9" s="28" t="n">
        <x:v>0.9807969999999999</x:v>
      </x:c>
      <x:c r="G9" s="74" t="n">
        <x:f>100*(1-C9/$B$5)</x:f>
        <x:v>62.04267062679387</x:v>
      </x:c>
      <x:c r="H9" s="74" t="n">
        <x:f>100*(1-D9/$C$5)</x:f>
        <x:v>-48.619294429375806</x:v>
      </x:c>
      <x:c r="I9" s="74" t="n">
        <x:f>100*(1-E9/$D$5)</x:f>
        <x:v>-9.0550632512433</x:v>
      </x:c>
      <x:c r="J9" s="84" t="n">
        <x:f>100*(1-F9/$E$5)</x:f>
        <x:v>19.66863209382288</x:v>
      </x:c>
    </x:row>
    <x:row r="10">
      <x:c r="A10" s="72" t="str">
        <x:v>1-2</x:v>
      </x:c>
      <x:c r="B10" s="73" t="n">
        <x:v>4</x:v>
      </x:c>
      <x:c r="C10" s="28" t="n">
        <x:v>0.36791300000000005</x:v>
      </x:c>
      <x:c r="D10" s="28" t="n">
        <x:v>0.957595</x:v>
      </x:c>
      <x:c r="E10" s="28" t="n">
        <x:v>0.38191074999999997</x:v>
      </x:c>
      <x:c r="F10" s="28" t="n">
        <x:v>1.1035347500000001</x:v>
      </x:c>
      <x:c r="G10" s="74" t="n">
        <x:f>100*(1-C10/$B$5)</x:f>
        <x:v>64.6592266993518</x:v>
      </x:c>
      <x:c r="H10" s="74" t="n">
        <x:f>100*(1-D10/$C$5)</x:f>
        <x:v>-71.44148740947622</x:v>
      </x:c>
      <x:c r="I10" s="74" t="n">
        <x:f>100*(1-E10/$D$5)</x:f>
        <x:v>-26.705112850303724</x:v>
      </x:c>
      <x:c r="J10" s="84" t="n">
        <x:f>100*(1-F10/$E$5)</x:f>
        <x:v>9.615898091550834</x:v>
      </x:c>
    </x:row>
    <x:row r="11">
      <x:c r="A11" s="72" t="str">
        <x:v>2-3</x:v>
      </x:c>
      <x:c r="B11" s="73" t="n">
        <x:v>5</x:v>
      </x:c>
      <x:c r="C11" s="28" t="n">
        <x:v>0.4473166</x:v>
      </x:c>
      <x:c r="D11" s="28" t="n">
        <x:v>0.8050032</x:v>
      </x:c>
      <x:c r="E11" s="28" t="n">
        <x:v>0.25624060000000004</x:v>
      </x:c>
      <x:c r="F11" s="28" t="n">
        <x:v>0.9601396</x:v>
      </x:c>
      <x:c r="G11" s="74" t="n">
        <x:f>100*(1-C11/$B$5)</x:f>
        <x:v>57.03192180157611</x:v>
      </x:c>
      <x:c r="H11" s="74" t="n">
        <x:f>100*(1-D11/$C$5)</x:f>
        <x:v>-44.122458844697476</x:v>
      </x:c>
      <x:c r="I11" s="74" t="n">
        <x:f>100*(1-E11/$D$5)</x:f>
        <x:v>14.988006648596441</x:v>
      </x:c>
      <x:c r="J11" s="84" t="n">
        <x:f>100*(1-F11/$E$5)</x:f>
        <x:v>21.36055937274508</x:v>
      </x:c>
    </x:row>
    <x:row r="12">
      <x:c r="A12" s="72" t="str">
        <x:v>3-4</x:v>
      </x:c>
      <x:c r="B12" s="73" t="n">
        <x:v>4</x:v>
      </x:c>
      <x:c r="C12" s="28" t="n">
        <x:v>0.42797874999999996</x:v>
      </x:c>
      <x:c r="D12" s="28" t="n">
        <x:v>0.86895725</x:v>
      </x:c>
      <x:c r="E12" s="28" t="n">
        <x:v>0.33452824999999997</x:v>
      </x:c>
      <x:c r="F12" s="28" t="n">
        <x:v>1.02814425</x:v>
      </x:c>
      <x:c r="G12" s="74" t="n">
        <x:f>100*(1-C12/$B$5)</x:f>
        <x:v>58.88946576705691</x:v>
      </x:c>
      <x:c r="H12" s="74" t="n">
        <x:f>100*(1-D12/$C$5)</x:f>
        <x:v>-55.57236977558162</x:v>
      </x:c>
      <x:c r="I12" s="74" t="n">
        <x:f>100*(1-E12/$D$5)</x:f>
        <x:v>-10.985196588115453</x:v>
      </x:c>
      <x:c r="J12" s="84" t="n">
        <x:f>100*(1-F12/$E$5)</x:f>
        <x:v>15.790694703011376</x:v>
      </x:c>
    </x:row>
    <x:row r="13">
      <x:c r="A13" s="72" t="str">
        <x:v>4-5</x:v>
      </x:c>
      <x:c r="B13" s="73" t="n">
        <x:v>4</x:v>
      </x:c>
      <x:c r="C13" s="28" t="n">
        <x:v>0.39081699999999997</x:v>
      </x:c>
      <x:c r="D13" s="28" t="n">
        <x:v>0.80475</x:v>
      </x:c>
      <x:c r="E13" s="28" t="n">
        <x:v>0.341634</x:v>
      </x:c>
      <x:c r="F13" s="28" t="n">
        <x:v>0.9614855</x:v>
      </x:c>
      <x:c r="G13" s="74" t="n">
        <x:f>100*(1-C13/$B$5)</x:f>
        <x:v>62.459127568095106</x:v>
      </x:c>
      <x:c r="H13" s="74" t="n">
        <x:f>100*(1-D13/$C$5)</x:f>
        <x:v>-44.07712758815157</x:v>
      </x:c>
      <x:c r="I13" s="74" t="n">
        <x:f>100*(1-E13/$D$5)</x:f>
        <x:v>-13.342644907221569</x:v>
      </x:c>
      <x:c r="J13" s="84" t="n">
        <x:f>100*(1-F13/$E$5)</x:f>
        <x:v>21.2503245452885</x:v>
      </x:c>
    </x:row>
    <x:row r="14">
      <x:c r="A14" s="72" t="str">
        <x:v>5-6</x:v>
      </x:c>
      <x:c r="B14" s="73" t="n">
        <x:v>5</x:v>
      </x:c>
      <x:c r="C14" s="28" t="n">
        <x:v>0.43272659999999996</x:v>
      </x:c>
      <x:c r="D14" s="28" t="n">
        <x:v>0.9304441999999999</x:v>
      </x:c>
      <x:c r="E14" s="28" t="n">
        <x:v>0.339954</x:v>
      </x:c>
      <x:c r="F14" s="28" t="n">
        <x:v>1.0839576</x:v>
      </x:c>
      <x:c r="G14" s="74" t="n">
        <x:f>100*(1-C14/$B$5)</x:f>
        <x:v>58.433399548914366</x:v>
      </x:c>
      <x:c r="H14" s="74" t="n">
        <x:f>100*(1-D14/$C$5)</x:f>
        <x:v>-66.58058740858107</x:v>
      </x:c>
      <x:c r="I14" s="74" t="n">
        <x:f>100*(1-E14/$D$5)</x:f>
        <x:v>-12.785277539090355</x:v>
      </x:c>
      <x:c r="J14" s="84" t="n">
        <x:f>100*(1-F14/$E$5)</x:f>
        <x:v>11.219348386774442</x:v>
      </x:c>
    </x:row>
    <x:row r="15">
      <x:c r="A15" s="72" t="str">
        <x:v>6-7</x:v>
      </x:c>
      <x:c r="B15" s="73" t="n">
        <x:v>4</x:v>
      </x:c>
      <x:c r="C15" s="28" t="n">
        <x:v>0.43185375</x:v>
      </x:c>
      <x:c r="D15" s="28" t="n">
        <x:v>0.9733255000000001</x:v>
      </x:c>
      <x:c r="E15" s="28" t="n">
        <x:v>0.31764749999999997</x:v>
      </x:c>
      <x:c r="F15" s="28" t="n">
        <x:v>1.11140525</x:v>
      </x:c>
      <x:c r="G15" s="74" t="n">
        <x:f>100*(1-C15/$B$5)</x:f>
        <x:v>58.517243267335495</x:v>
      </x:c>
      <x:c r="H15" s="74" t="n">
        <x:f>100*(1-D15/$C$5)</x:f>
        <x:v>-74.25777228742024</x:v>
      </x:c>
      <x:c r="I15" s="74" t="n">
        <x:f>100*(1-E15/$D$5)</x:f>
        <x:v>-5.384732778841261</x:v>
      </x:c>
      <x:c r="J15" s="84" t="n">
        <x:f>100*(1-F15/$E$5)</x:f>
        <x:v>8.971271292013771</x:v>
      </x:c>
    </x:row>
    <x:row r="16">
      <x:c r="A16" s="72" t="str">
        <x:v>7-8</x:v>
      </x:c>
      <x:c r="B16" s="73" t="n">
        <x:v>4</x:v>
      </x:c>
      <x:c r="C16" s="28" t="n">
        <x:v>0.3648365</x:v>
      </x:c>
      <x:c r="D16" s="28" t="n">
        <x:v>0.93272325</x:v>
      </x:c>
      <x:c r="E16" s="28" t="n">
        <x:v>0.338676</x:v>
      </x:c>
      <x:c r="F16" s="28" t="n">
        <x:v>1.0594715000000001</x:v>
      </x:c>
      <x:c r="G16" s="74" t="n">
        <x:f>100*(1-C16/$B$5)</x:f>
        <x:v>64.9547473497758</x:v>
      </x:c>
      <x:c r="H16" s="74" t="n">
        <x:f>100*(1-D16/$C$5)</x:f>
        <x:v>-66.9886134758439</x:v>
      </x:c>
      <x:c r="I16" s="74" t="n">
        <x:f>100*(1-E16/$D$5)</x:f>
        <x:v>-12.361280219761994</x:v>
      </x:c>
      <x:c r="J16" s="84" t="n">
        <x:f>100*(1-F16/$E$5)</x:f>
        <x:v>13.224862175751607</x:v>
      </x:c>
    </x:row>
    <x:row r="17">
      <x:c r="A17" s="72" t="str">
        <x:v>8-9</x:v>
      </x:c>
      <x:c r="B17" s="73" t="n">
        <x:v>5</x:v>
      </x:c>
      <x:c r="C17" s="28" t="n">
        <x:v>0.35331419999999997</x:v>
      </x:c>
      <x:c r="D17" s="28" t="n">
        <x:v>0.8888904</x:v>
      </x:c>
      <x:c r="E17" s="28" t="n">
        <x:v>0.392971</x:v>
      </x:c>
      <x:c r="F17" s="28" t="n">
        <x:v>1.0389952</x:v>
      </x:c>
      <x:c r="G17" s="74" t="n">
        <x:f>100*(1-C17/$B$5)</x:f>
        <x:v>66.06154975197975</x:v>
      </x:c>
      <x:c r="H17" s="74" t="n">
        <x:f>100*(1-D17/$C$5)</x:f>
        <x:v>-59.141069366490306</x:v>
      </x:c>
      <x:c r="I17" s="74" t="n">
        <x:f>100*(1-E17/$D$5)</x:f>
        <x:v>-30.37453096540674</x:v>
      </x:c>
      <x:c r="J17" s="84" t="n">
        <x:f>100*(1-F17/$E$5)</x:f>
        <x:v>14.901956608806833</x:v>
      </x:c>
    </x:row>
    <x:row r="18">
      <x:c r="A18" s="64" t="str">
        <x:v>9-10</x:v>
      </x:c>
      <x:c r="B18" s="65" t="n">
        <x:v>5</x:v>
      </x:c>
      <x:c r="C18" s="31" t="n">
        <x:v>0.4485468</x:v>
      </x:c>
      <x:c r="D18" s="31" t="n">
        <x:v>0.8664774</x:v>
      </x:c>
      <x:c r="E18" s="31" t="n">
        <x:v>0.288664</x:v>
      </x:c>
      <x:c r="F18" s="31" t="n">
        <x:v>1.0223157999999999</x:v>
      </x:c>
      <x:c r="G18" s="76" t="n">
        <x:f>100*(1-C18/$B$5)</x:f>
        <x:v>56.91375196437423</x:v>
      </x:c>
      <x:c r="H18" s="76" t="n">
        <x:f>100*(1-D18/$C$5)</x:f>
        <x:v>-55.128393801863716</x:v>
      </x:c>
      <x:c r="I18" s="76" t="n">
        <x:f>100*(1-E18/$D$5)</x:f>
        <x:v>4.231015503438762</x:v>
      </x:c>
      <x:c r="J18" s="85" t="n">
        <x:f>100*(1-F18/$E$5)</x:f>
        <x:v>16.26806908453249</x:v>
      </x:c>
    </x:row>
    <x:row r="21">
      <x:c r="A21" s="24" t="str">
        <x:v>Firmware final</x:v>
      </x:c>
      <x:c r="B21" s="25" t="str">
        <x:v>X</x:v>
      </x:c>
      <x:c r="C21" s="25" t="str">
        <x:v>Y</x:v>
      </x:c>
      <x:c r="D21" s="25" t="str">
        <x:v>Z</x:v>
      </x:c>
      <x:c r="E21" s="26" t="str">
        <x:v>Vector</x:v>
      </x:c>
      <x:c r="G21" s="24" t="str">
        <x:v>Wbest / validation</x:v>
      </x:c>
      <x:c r="H21" s="25" t="str">
        <x:v>Value</x:v>
      </x:c>
      <x:c r="I21" s="25" t="str"/>
      <x:c r="J21" s="26" t="str"/>
    </x:row>
    <x:row r="22">
      <x:c r="A22" s="72" t="str">
        <x:v>Controlled mean [m/s²]</x:v>
      </x:c>
      <x:c r="B22" s="73" t="n">
        <x:v>0.407358</x:v>
      </x:c>
      <x:c r="C22" s="73" t="n">
        <x:v>0.884636</x:v>
      </x:c>
      <x:c r="D22" s="73" t="n">
        <x:v>0.330945</x:v>
      </x:c>
      <x:c r="E22" s="88" t="n">
        <x:v>1.034236</x:v>
      </x:c>
      <x:c r="G22" s="72" t="str">
        <x:v>|Wbest| [DAC]</x:v>
      </x:c>
      <x:c r="H22" s="73" t="n">
        <x:v>7.8621979</x:v>
      </x:c>
      <x:c r="I22" s="73" t="str"/>
      <x:c r="J22" s="88" t="str"/>
    </x:row>
    <x:row r="23">
      <x:c r="A23" s="64" t="str">
        <x:v>Reduction [%]</x:v>
      </x:c>
      <x:c r="B23" s="65" t="n">
        <x:v>60.87</x:v>
      </x:c>
      <x:c r="C23" s="65" t="n">
        <x:v>-58.379</x:v>
      </x:c>
      <x:c r="D23" s="65" t="n">
        <x:v>-9.796</x:v>
      </x:c>
      <x:c r="E23" s="66" t="n">
        <x:v>15.292</x:v>
      </x:c>
      <x:c r="G23" s="72" t="str">
        <x:v>Wbest phase [deg]</x:v>
      </x:c>
      <x:c r="H23" s="73" t="n">
        <x:v>-21.3378</x:v>
      </x:c>
      <x:c r="I23" s="73" t="str"/>
      <x:c r="J23" s="88" t="str"/>
    </x:row>
    <x:row r="24">
      <x:c r="G24" s="64" t="str">
        <x:v>Selected-axis CV [%]</x:v>
      </x:c>
      <x:c r="H24" s="65" t="n">
        <x:v>17.322</x:v>
      </x:c>
      <x:c r="I24" s="65" t="str"/>
      <x:c r="J24" s="66" t="str"/>
    </x:row>
  </x:sheetData>
  <x:mergeCells>
    <x:mergeCell ref="A1:J2"/>
  </x:mergeCells>
  <x:conditionalFormatting sqref="G9:J1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7c313d061e6c4c78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90" t="str">
        <x:v>Run 2 — 60-s Frozen-W Persistence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  <x:c r="M1" s="90"/>
      <x:c r="N1" s="90"/>
      <x:c r="O1" s="90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  <x:c r="AA1" s="22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5">
      <x:c r="A5" s="24" t="str">
        <x:v>Segment</x:v>
      </x:c>
      <x:c r="B5" s="25" t="str">
        <x:v>Start [s]</x:v>
      </x:c>
      <x:c r="C5" s="25" t="str">
        <x:v>End [s]</x:v>
      </x:c>
      <x:c r="D5" s="25" t="str">
        <x:v>Valid windows</x:v>
      </x:c>
      <x:c r="E5" s="25" t="str">
        <x:v>Mean X</x:v>
      </x:c>
      <x:c r="F5" s="25" t="str">
        <x:v>Mean Y</x:v>
      </x:c>
      <x:c r="G5" s="25" t="str">
        <x:v>Mean Z</x:v>
      </x:c>
      <x:c r="H5" s="25" t="str">
        <x:v>Mean Vector</x:v>
      </x:c>
      <x:c r="I5" s="25" t="str">
        <x:v>X reduction [%]</x:v>
      </x:c>
      <x:c r="J5" s="25" t="str">
        <x:v>Y reduction [%]</x:v>
      </x:c>
      <x:c r="K5" s="25" t="str">
        <x:v>Z reduction [%]</x:v>
      </x:c>
      <x:c r="L5" s="25" t="str">
        <x:v>Selected X reduction [%]</x:v>
      </x:c>
      <x:c r="M5" s="25" t="str">
        <x:v>Vector reduction [%]</x:v>
      </x:c>
      <x:c r="N5" s="25" t="str">
        <x:v>Selected CV [%]</x:v>
      </x:c>
      <x:c r="O5" s="26" t="str">
        <x:v>Vector CV [%]</x:v>
      </x:c>
    </x:row>
    <x:row r="6">
      <x:c r="A6" s="72" t="n">
        <x:v>1</x:v>
      </x:c>
      <x:c r="B6" s="73" t="n">
        <x:v>0</x:v>
      </x:c>
      <x:c r="C6" s="73" t="n">
        <x:v>10</x:v>
      </x:c>
      <x:c r="D6" s="73" t="n">
        <x:v>43</x:v>
      </x:c>
      <x:c r="E6" s="28" t="n">
        <x:v>0.485389</x:v>
      </x:c>
      <x:c r="F6" s="28" t="n">
        <x:v>0.759005</x:v>
      </x:c>
      <x:c r="G6" s="28" t="n">
        <x:v>0.269734</x:v>
      </x:c>
      <x:c r="H6" s="28" t="n">
        <x:v>0.948539</x:v>
      </x:c>
      <x:c r="I6" s="74" t="n">
        <x:v>53.375</x:v>
      </x:c>
      <x:c r="J6" s="74" t="n">
        <x:v>-35.887</x:v>
      </x:c>
      <x:c r="K6" s="74" t="n">
        <x:v>10.511</x:v>
      </x:c>
      <x:c r="L6" s="74" t="n">
        <x:v>53.375</x:v>
      </x:c>
      <x:c r="M6" s="74" t="n">
        <x:v>22.311</x:v>
      </x:c>
      <x:c r="N6" s="28" t="n">
        <x:v>15.041</x:v>
      </x:c>
      <x:c r="O6" s="75" t="n">
        <x:v>7.361</x:v>
      </x:c>
    </x:row>
    <x:row r="7">
      <x:c r="A7" s="72" t="n">
        <x:v>2</x:v>
      </x:c>
      <x:c r="B7" s="73" t="n">
        <x:v>10</x:v>
      </x:c>
      <x:c r="C7" s="73" t="n">
        <x:v>20</x:v>
      </x:c>
      <x:c r="D7" s="73" t="n">
        <x:v>43</x:v>
      </x:c>
      <x:c r="E7" s="28" t="n">
        <x:v>0.472444</x:v>
      </x:c>
      <x:c r="F7" s="28" t="n">
        <x:v>0.702425</x:v>
      </x:c>
      <x:c r="G7" s="28" t="n">
        <x:v>0.418967</x:v>
      </x:c>
      <x:c r="H7" s="28" t="n">
        <x:v>0.960272</x:v>
      </x:c>
      <x:c r="I7" s="74" t="n">
        <x:v>54.618</x:v>
      </x:c>
      <x:c r="J7" s="74" t="n">
        <x:v>-25.758</x:v>
      </x:c>
      <x:c r="K7" s="74" t="n">
        <x:v>-38.999</x:v>
      </x:c>
      <x:c r="L7" s="74" t="n">
        <x:v>54.618</x:v>
      </x:c>
      <x:c r="M7" s="74" t="n">
        <x:v>21.35</x:v>
      </x:c>
      <x:c r="N7" s="28" t="n">
        <x:v>21.578</x:v>
      </x:c>
      <x:c r="O7" s="75" t="n">
        <x:v>7.802</x:v>
      </x:c>
    </x:row>
    <x:row r="8">
      <x:c r="A8" s="72" t="n">
        <x:v>3</x:v>
      </x:c>
      <x:c r="B8" s="73" t="n">
        <x:v>20</x:v>
      </x:c>
      <x:c r="C8" s="73" t="n">
        <x:v>30</x:v>
      </x:c>
      <x:c r="D8" s="73" t="n">
        <x:v>44</x:v>
      </x:c>
      <x:c r="E8" s="28" t="n">
        <x:v>0.458175</x:v>
      </x:c>
      <x:c r="F8" s="28" t="n">
        <x:v>0.691437</x:v>
      </x:c>
      <x:c r="G8" s="28" t="n">
        <x:v>0.442185</x:v>
      </x:c>
      <x:c r="H8" s="28" t="n">
        <x:v>0.952717</x:v>
      </x:c>
      <x:c r="I8" s="74" t="n">
        <x:v>55.989</x:v>
      </x:c>
      <x:c r="J8" s="74" t="n">
        <x:v>-23.79</x:v>
      </x:c>
      <x:c r="K8" s="74" t="n">
        <x:v>-46.702</x:v>
      </x:c>
      <x:c r="L8" s="74" t="n">
        <x:v>55.989</x:v>
      </x:c>
      <x:c r="M8" s="74" t="n">
        <x:v>21.968</x:v>
      </x:c>
      <x:c r="N8" s="28" t="n">
        <x:v>22.454</x:v>
      </x:c>
      <x:c r="O8" s="75" t="n">
        <x:v>6.904</x:v>
      </x:c>
    </x:row>
    <x:row r="9">
      <x:c r="A9" s="72" t="n">
        <x:v>4</x:v>
      </x:c>
      <x:c r="B9" s="73" t="n">
        <x:v>30</x:v>
      </x:c>
      <x:c r="C9" s="73" t="n">
        <x:v>40</x:v>
      </x:c>
      <x:c r="D9" s="73" t="n">
        <x:v>43</x:v>
      </x:c>
      <x:c r="E9" s="28" t="n">
        <x:v>0.360436</x:v>
      </x:c>
      <x:c r="F9" s="28" t="n">
        <x:v>0.775978</x:v>
      </x:c>
      <x:c r="G9" s="28" t="n">
        <x:v>0.39734</x:v>
      </x:c>
      <x:c r="H9" s="28" t="n">
        <x:v>0.957129</x:v>
      </x:c>
      <x:c r="I9" s="74" t="n">
        <x:v>65.377</x:v>
      </x:c>
      <x:c r="J9" s="74" t="n">
        <x:v>-38.926</x:v>
      </x:c>
      <x:c r="K9" s="74" t="n">
        <x:v>-31.824</x:v>
      </x:c>
      <x:c r="L9" s="74" t="n">
        <x:v>65.377</x:v>
      </x:c>
      <x:c r="M9" s="74" t="n">
        <x:v>21.607</x:v>
      </x:c>
      <x:c r="N9" s="28" t="n">
        <x:v>27.889</x:v>
      </x:c>
      <x:c r="O9" s="75" t="n">
        <x:v>8.544</x:v>
      </x:c>
    </x:row>
    <x:row r="10">
      <x:c r="A10" s="72" t="n">
        <x:v>5</x:v>
      </x:c>
      <x:c r="B10" s="73" t="n">
        <x:v>40</x:v>
      </x:c>
      <x:c r="C10" s="73" t="n">
        <x:v>50</x:v>
      </x:c>
      <x:c r="D10" s="73" t="n">
        <x:v>43</x:v>
      </x:c>
      <x:c r="E10" s="28" t="n">
        <x:v>0.395356</x:v>
      </x:c>
      <x:c r="F10" s="28" t="n">
        <x:v>0.687121</x:v>
      </x:c>
      <x:c r="G10" s="28" t="n">
        <x:v>0.408138</x:v>
      </x:c>
      <x:c r="H10" s="28" t="n">
        <x:v>0.901114</x:v>
      </x:c>
      <x:c r="I10" s="74" t="n">
        <x:v>62.023</x:v>
      </x:c>
      <x:c r="J10" s="74" t="n">
        <x:v>-23.018</x:v>
      </x:c>
      <x:c r="K10" s="74" t="n">
        <x:v>-35.407</x:v>
      </x:c>
      <x:c r="L10" s="74" t="n">
        <x:v>62.023</x:v>
      </x:c>
      <x:c r="M10" s="74" t="n">
        <x:v>26.195</x:v>
      </x:c>
      <x:c r="N10" s="28" t="n">
        <x:v>18.753</x:v>
      </x:c>
      <x:c r="O10" s="75" t="n">
        <x:v>7.296</x:v>
      </x:c>
    </x:row>
    <x:row r="11">
      <x:c r="A11" s="64" t="n">
        <x:v>6</x:v>
      </x:c>
      <x:c r="B11" s="65" t="n">
        <x:v>50</x:v>
      </x:c>
      <x:c r="C11" s="65" t="n">
        <x:v>60</x:v>
      </x:c>
      <x:c r="D11" s="65" t="n">
        <x:v>45</x:v>
      </x:c>
      <x:c r="E11" s="31" t="n">
        <x:v>0.421852</x:v>
      </x:c>
      <x:c r="F11" s="31" t="n">
        <x:v>0.688628</x:v>
      </x:c>
      <x:c r="G11" s="31" t="n">
        <x:v>0.353204</x:v>
      </x:c>
      <x:c r="H11" s="31" t="n">
        <x:v>0.892568</x:v>
      </x:c>
      <x:c r="I11" s="76" t="n">
        <x:v>59.478</x:v>
      </x:c>
      <x:c r="J11" s="76" t="n">
        <x:v>-23.287</x:v>
      </x:c>
      <x:c r="K11" s="76" t="n">
        <x:v>-17.181</x:v>
      </x:c>
      <x:c r="L11" s="76" t="n">
        <x:v>59.478</x:v>
      </x:c>
      <x:c r="M11" s="76" t="n">
        <x:v>26.895</x:v>
      </x:c>
      <x:c r="N11" s="31" t="n">
        <x:v>19.307</x:v>
      </x:c>
      <x:c r="O11" s="77" t="n">
        <x:v>6.375</x:v>
      </x:c>
    </x:row>
    <x:row r="14">
      <x:c r="A14" s="24" t="str">
        <x:v>Overall 60-s result</x:v>
      </x:c>
      <x:c r="B14" s="25" t="str">
        <x:v>Value</x:v>
      </x:c>
      <x:c r="C14" s="25" t="str"/>
      <x:c r="D14" s="26" t="str"/>
      <x:c r="F14" s="24" t="str">
        <x:v>Persistence diagnostic</x:v>
      </x:c>
      <x:c r="G14" s="25" t="str">
        <x:v>Value</x:v>
      </x:c>
      <x:c r="H14" s="25" t="str"/>
      <x:c r="I14" s="26" t="str"/>
    </x:row>
    <x:row r="15">
      <x:c r="A15" s="72" t="str">
        <x:v>Selected X mean [m/s²]</x:v>
      </x:c>
      <x:c r="B15" s="73" t="n">
        <x:v>0.4322946</x:v>
      </x:c>
      <x:c r="C15" s="73" t="str"/>
      <x:c r="D15" s="88" t="str"/>
      <x:c r="F15" s="72" t="str">
        <x:v>First 10-s X [%]</x:v>
      </x:c>
      <x:c r="G15" s="73" t="n">
        <x:v>53.375</x:v>
      </x:c>
      <x:c r="H15" s="73" t="str"/>
      <x:c r="I15" s="88" t="str"/>
    </x:row>
    <x:row r="16">
      <x:c r="A16" s="72" t="str">
        <x:v>Selected X attenuation [%]</x:v>
      </x:c>
      <x:c r="B16" s="73" t="n">
        <x:v>58.4749</x:v>
      </x:c>
      <x:c r="C16" s="73" t="str"/>
      <x:c r="D16" s="88" t="str"/>
      <x:c r="F16" s="72" t="str">
        <x:v>Last 10-s X [%]</x:v>
      </x:c>
      <x:c r="G16" s="73" t="n">
        <x:v>59.478</x:v>
      </x:c>
      <x:c r="H16" s="73" t="str"/>
      <x:c r="I16" s="88" t="str"/>
    </x:row>
    <x:row r="17">
      <x:c r="A17" s="72" t="str">
        <x:v>Vector reduction [%]</x:v>
      </x:c>
      <x:c r="B17" s="73" t="n">
        <x:v>23.4091</x:v>
      </x:c>
      <x:c r="C17" s="73" t="str"/>
      <x:c r="D17" s="88" t="str"/>
      <x:c r="F17" s="64" t="str">
        <x:v>Last - first [pp]</x:v>
      </x:c>
      <x:c r="G17" s="65" t="n">
        <x:f>G16-G15</x:f>
        <x:v>6.1030000000000015</x:v>
      </x:c>
      <x:c r="H17" s="65" t="str"/>
      <x:c r="I17" s="66" t="str"/>
    </x:row>
    <x:row r="18">
      <x:c r="A18" s="64" t="str">
        <x:v>Valid windows</x:v>
      </x:c>
      <x:c r="B18" s="65" t="n">
        <x:v>261</x:v>
      </x:c>
      <x:c r="C18" s="65" t="str"/>
      <x:c r="D18" s="66" t="str"/>
    </x:row>
  </x:sheetData>
  <x:mergeCells>
    <x:mergeCell ref="A1:O2"/>
  </x:mergeCells>
  <x:conditionalFormatting sqref="I6:M1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4c78aacb754f4804"/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48" hidden="0" customWidth="1"/>
  </x:cols>
  <x:sheetData>
    <x:row r="1">
      <x:c r="A1" s="4" t="str">
        <x:v>Reproducibility and Persistence Comparison</x:v>
      </x:c>
      <x:c r="B1" s="4"/>
      <x:c r="C1" s="4"/>
      <x:c r="D1" s="4"/>
      <x:c r="E1" s="4"/>
    </x:row>
    <x:row r="2">
      <x:c r="A2" s="4"/>
      <x:c r="B2" s="4"/>
      <x:c r="C2" s="4"/>
      <x:c r="D2" s="4"/>
      <x:c r="E2" s="4"/>
    </x:row>
    <x:row r="4">
      <x:c r="A4" s="24" t="str">
        <x:v>Metric</x:v>
      </x:c>
      <x:c r="B4" s="25" t="str">
        <x:v>Run 1</x:v>
      </x:c>
      <x:c r="C4" s="25" t="str">
        <x:v>Run 2</x:v>
      </x:c>
      <x:c r="D4" s="25" t="str">
        <x:v>Run 2 - Run 1</x:v>
      </x:c>
      <x:c r="E4" s="26" t="str">
        <x:v>Interpretation</x:v>
      </x:c>
    </x:row>
    <x:row r="5">
      <x:c r="A5" s="72" t="str">
        <x:v>Fresh X baseline [m/s²]</x:v>
      </x:c>
      <x:c r="B5" s="28" t="n">
        <x:v>0.973769</x:v>
      </x:c>
      <x:c r="C5" s="28" t="n">
        <x:v>1.041044</x:v>
      </x:c>
      <x:c r="D5" s="28" t="n">
        <x:f>C5-B5</x:f>
        <x:v>0.06727500000000008</x:v>
      </x:c>
      <x:c r="E5" s="29" t="str">
        <x:v>Independent disturbance level changed naturally</x:v>
      </x:c>
    </x:row>
    <x:row r="6">
      <x:c r="A6" s="72" t="str">
        <x:v>Wbest magnitude [DAC]</x:v>
      </x:c>
      <x:c r="B6" s="28" t="n">
        <x:v>6.388391</x:v>
      </x:c>
      <x:c r="C6" s="28" t="n">
        <x:v>7.8621979</x:v>
      </x:c>
      <x:c r="D6" s="28" t="n">
        <x:f>C6-B6</x:f>
        <x:v>1.4738068999999996</x:v>
      </x:c>
      <x:c r="E6" s="29" t="str">
        <x:v>Different control authority required</x:v>
      </x:c>
    </x:row>
    <x:row r="7">
      <x:c r="A7" s="72" t="str">
        <x:v>Wbest phase [deg]</x:v>
      </x:c>
      <x:c r="B7" s="28" t="n">
        <x:v>-28.6626</x:v>
      </x:c>
      <x:c r="C7" s="28" t="n">
        <x:v>-21.3378</x:v>
      </x:c>
      <x:c r="D7" s="28" t="n">
        <x:f>C7-B7</x:f>
        <x:v>7.3248</x:v>
      </x:c>
      <x:c r="E7" s="29" t="str">
        <x:v>Similar cancellation region</x:v>
      </x:c>
    </x:row>
    <x:row r="8">
      <x:c r="A8" s="72" t="str">
        <x:v>Training best X [%]</x:v>
      </x:c>
      <x:c r="B8" s="28" t="n">
        <x:v>64.775</x:v>
      </x:c>
      <x:c r="C8" s="28" t="n">
        <x:v>65.881</x:v>
      </x:c>
      <x:c r="D8" s="28" t="n">
        <x:f>C8-B8</x:f>
        <x:v>1.1059999999999945</x:v>
      </x:c>
      <x:c r="E8" s="29" t="str">
        <x:v>Both ~65% rolling best</x:v>
      </x:c>
    </x:row>
    <x:row r="9">
      <x:c r="A9" s="72" t="str">
        <x:v>Frozen 10-s X [%]</x:v>
      </x:c>
      <x:c r="B9" s="28" t="n">
        <x:v>53.439</x:v>
      </x:c>
      <x:c r="C9" s="28" t="n">
        <x:v>60.87</x:v>
      </x:c>
      <x:c r="D9" s="28" t="n">
        <x:f>C9-B9</x:f>
        <x:v>7.430999999999997</x:v>
      </x:c>
      <x:c r="E9" s="29" t="str">
        <x:v>Independent validation</x:v>
      </x:c>
    </x:row>
    <x:row r="10">
      <x:c r="A10" s="72" t="str">
        <x:v>Frozen 60-s X [%]</x:v>
      </x:c>
      <x:c r="B10" s="28" t="n">
        <x:v>53.1488</x:v>
      </x:c>
      <x:c r="C10" s="28" t="n">
        <x:v>58.4749</x:v>
      </x:c>
      <x:c r="D10" s="28" t="n">
        <x:f>C10-B10</x:f>
        <x:v>5.326099999999997</x:v>
      </x:c>
      <x:c r="E10" s="29" t="str">
        <x:v>Long-duration persistence</x:v>
      </x:c>
    </x:row>
    <x:row r="11">
      <x:c r="A11" s="64" t="str">
        <x:v>Frozen 60-s vector [%]</x:v>
      </x:c>
      <x:c r="B11" s="31" t="n">
        <x:v>14.8587</x:v>
      </x:c>
      <x:c r="C11" s="31" t="n">
        <x:v>23.4091</x:v>
      </x:c>
      <x:c r="D11" s="31" t="n">
        <x:f>C11-B11</x:f>
        <x:v>8.550399999999998</x:v>
      </x:c>
      <x:c r="E11" s="32" t="str">
        <x:v>Positive secondary observation in both runs</x:v>
      </x:c>
    </x:row>
    <x:row r="14">
      <x:c r="A14" s="44" t="str">
        <x:v>Core conclusion</x:v>
      </x:c>
      <x:c r="B14" s="44"/>
      <x:c r="C14" s="44"/>
      <x:c r="D14" s="44"/>
      <x:c r="E14" s="44"/>
    </x:row>
    <x:row r="15">
      <x:c r="A15" s="22" t="str">
        <x:v>Each run used a fresh baseline and independently converged to a strong X-axis controller. Both then passed a separate 10-s frozen test and maintained nearly the same attenuation during a further 60 s with no weight adaptation. Reproducibility therefore refers to repeatable attenuation performance under a variable mechanical system, not identical numerical Wbest values.</x:v>
      </x:c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</x:sheetData>
  <x:mergeCells>
    <x:mergeCell ref="A1:E2"/>
    <x:mergeCell ref="A14:E14"/>
    <x:mergeCell ref="A15:E1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Master’s-Thesis Interpretation — Two Positive X Runs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44" t="str">
        <x:v>Adaptive convergence</x:v>
      </x:c>
      <x:c r="B4" s="44"/>
      <x:c r="C4" s="44"/>
      <x:c r="D4" s="44"/>
      <x:c r="E4" s="44"/>
      <x:c r="F4" s="44"/>
      <x:c r="G4" s="44"/>
      <x:c r="H4" s="44"/>
    </x:row>
    <x:row r="5">
      <x:c r="A5" s="22" t="str">
        <x:v>X attenuation developed progressively rather than appearing only at one instant. The complex controller weight increased over the learning phase and a rolling-qualified Wbest emerged in both repetitions.</x:v>
      </x:c>
      <x:c r="B5" s="22"/>
      <x:c r="C5" s="22"/>
      <x:c r="D5" s="22"/>
      <x:c r="E5" s="22"/>
      <x:c r="F5" s="22"/>
      <x:c r="G5" s="22"/>
      <x:c r="H5" s="22"/>
    </x:row>
    <x:row r="6">
      <x:c r="A6" s="22"/>
      <x:c r="B6" s="22"/>
      <x:c r="C6" s="22"/>
      <x:c r="D6" s="22"/>
      <x:c r="E6" s="22"/>
      <x:c r="F6" s="22"/>
      <x:c r="G6" s="22"/>
      <x:c r="H6" s="22"/>
    </x:row>
    <x:row r="7">
      <x:c r="A7" s="22"/>
      <x:c r="B7" s="22"/>
      <x:c r="C7" s="22"/>
      <x:c r="D7" s="22"/>
      <x:c r="E7" s="22"/>
      <x:c r="F7" s="22"/>
      <x:c r="G7" s="22"/>
      <x:c r="H7" s="22"/>
    </x:row>
    <x:row r="9">
      <x:c r="A9" s="44" t="str">
        <x:v>Independent validation</x:v>
      </x:c>
      <x:c r="B9" s="44"/>
      <x:c r="C9" s="44"/>
      <x:c r="D9" s="44"/>
      <x:c r="E9" s="44"/>
      <x:c r="F9" s="44"/>
      <x:c r="G9" s="44"/>
      <x:c r="H9" s="44"/>
    </x:row>
    <x:row r="10">
      <x:c r="A10" s="22" t="str">
        <x:v>Run 1 retained 53.439% and Run 2 60.870% X attenuation after W was frozen.</x:v>
      </x:c>
      <x:c r="B10" s="22"/>
      <x:c r="C10" s="22"/>
      <x:c r="D10" s="22"/>
      <x:c r="E10" s="22"/>
      <x:c r="F10" s="22"/>
      <x:c r="G10" s="22"/>
      <x:c r="H10" s="22"/>
    </x:row>
    <x:row r="11">
      <x:c r="A11" s="22"/>
      <x:c r="B11" s="22"/>
      <x:c r="C11" s="22"/>
      <x:c r="D11" s="22"/>
      <x:c r="E11" s="22"/>
      <x:c r="F11" s="22"/>
      <x:c r="G11" s="22"/>
      <x:c r="H11" s="22"/>
    </x:row>
    <x:row r="12">
      <x:c r="A12" s="22"/>
      <x:c r="B12" s="22"/>
      <x:c r="C12" s="22"/>
      <x:c r="D12" s="22"/>
      <x:c r="E12" s="22"/>
      <x:c r="F12" s="22"/>
      <x:c r="G12" s="22"/>
      <x:c r="H12" s="22"/>
    </x:row>
    <x:row r="14">
      <x:c r="A14" s="44" t="str">
        <x:v>Persistence</x:v>
      </x:c>
      <x:c r="B14" s="44"/>
      <x:c r="C14" s="44"/>
      <x:c r="D14" s="44"/>
      <x:c r="E14" s="44"/>
      <x:c r="F14" s="44"/>
      <x:c r="G14" s="44"/>
      <x:c r="H14" s="44"/>
    </x:row>
    <x:row r="15">
      <x:c r="A15" s="22" t="str">
        <x:v>Run 1 retained 53.149% and Run 2 58.475% over 60 s with W unchanged. The six 10-s segments show no monotonic decay.</x:v>
      </x:c>
      <x:c r="B15" s="22"/>
      <x:c r="C15" s="22"/>
      <x:c r="D15" s="22"/>
      <x:c r="E15" s="22"/>
      <x:c r="F15" s="22"/>
      <x:c r="G15" s="22"/>
      <x:c r="H15" s="22"/>
    </x:row>
    <x:row r="16">
      <x:c r="A16" s="22"/>
      <x:c r="B16" s="22"/>
      <x:c r="C16" s="22"/>
      <x:c r="D16" s="22"/>
      <x:c r="E16" s="22"/>
      <x:c r="F16" s="22"/>
      <x:c r="G16" s="22"/>
      <x:c r="H16" s="22"/>
    </x:row>
    <x:row r="17">
      <x:c r="A17" s="22"/>
      <x:c r="B17" s="22"/>
      <x:c r="C17" s="22"/>
      <x:c r="D17" s="22"/>
      <x:c r="E17" s="22"/>
      <x:c r="F17" s="22"/>
      <x:c r="G17" s="22"/>
      <x:c r="H17" s="22"/>
    </x:row>
    <x:row r="19">
      <x:c r="A19" s="44" t="str">
        <x:v>Cross-axis limitation</x:v>
      </x:c>
      <x:c r="B19" s="44"/>
      <x:c r="C19" s="44"/>
      <x:c r="D19" s="44"/>
      <x:c r="E19" s="44"/>
      <x:c r="F19" s="44"/>
      <x:c r="G19" s="44"/>
      <x:c r="H19" s="44"/>
    </x:row>
    <x:row r="20">
      <x:c r="A20" s="22" t="str">
        <x:v>Y and/or Z can increase because one EX45S input excites a coupled triaxial mechanical response. Cross-axis amplification is therefore a controllability/mechanical-coupling limitation, not evidence that selected-X attenuation is fabricated.</x:v>
      </x:c>
      <x:c r="B20" s="22"/>
      <x:c r="C20" s="22"/>
      <x:c r="D20" s="22"/>
      <x:c r="E20" s="22"/>
      <x:c r="F20" s="22"/>
      <x:c r="G20" s="22"/>
      <x:c r="H20" s="22"/>
    </x:row>
    <x:row r="21">
      <x:c r="A21" s="22"/>
      <x:c r="B21" s="22"/>
      <x:c r="C21" s="22"/>
      <x:c r="D21" s="22"/>
      <x:c r="E21" s="22"/>
      <x:c r="F21" s="22"/>
      <x:c r="G21" s="22"/>
      <x:c r="H21" s="22"/>
    </x:row>
    <x:row r="22">
      <x:c r="A22" s="22"/>
      <x:c r="B22" s="22"/>
      <x:c r="C22" s="22"/>
      <x:c r="D22" s="22"/>
      <x:c r="E22" s="22"/>
      <x:c r="F22" s="22"/>
      <x:c r="G22" s="22"/>
      <x:c r="H22" s="22"/>
    </x:row>
    <x:row r="24">
      <x:c r="A24" s="44" t="str">
        <x:v>System-level observation</x:v>
      </x:c>
      <x:c r="B24" s="44"/>
      <x:c r="C24" s="44"/>
      <x:c r="D24" s="44"/>
      <x:c r="E24" s="44"/>
      <x:c r="F24" s="44"/>
      <x:c r="G24" s="44"/>
      <x:c r="H24" s="44"/>
    </x:row>
    <x:row r="25">
      <x:c r="A25" s="22" t="str">
        <x:v>The 60-s vector was also reduced by 14.859% and 23.409% even though vector was not part of Wbest selection.</x:v>
      </x:c>
      <x:c r="B25" s="22"/>
      <x:c r="C25" s="22"/>
      <x:c r="D25" s="22"/>
      <x:c r="E25" s="22"/>
      <x:c r="F25" s="22"/>
      <x:c r="G25" s="22"/>
      <x:c r="H25" s="22"/>
    </x:row>
    <x:row r="26">
      <x:c r="A26" s="22"/>
      <x:c r="B26" s="22"/>
      <x:c r="C26" s="22"/>
      <x:c r="D26" s="22"/>
      <x:c r="E26" s="22"/>
      <x:c r="F26" s="22"/>
      <x:c r="G26" s="22"/>
      <x:c r="H26" s="22"/>
    </x:row>
    <x:row r="27">
      <x:c r="A27" s="22"/>
      <x:c r="B27" s="22"/>
      <x:c r="C27" s="22"/>
      <x:c r="D27" s="22"/>
      <x:c r="E27" s="22"/>
      <x:c r="F27" s="22"/>
      <x:c r="G27" s="22"/>
      <x:c r="H27" s="22"/>
    </x:row>
    <x:row r="29">
      <x:c r="A29" s="44" t="str">
        <x:v>Recommended thesis statement</x:v>
      </x:c>
      <x:c r="B29" s="44"/>
      <x:c r="C29" s="44"/>
      <x:c r="D29" s="44"/>
      <x:c r="E29" s="44"/>
      <x:c r="F29" s="44"/>
      <x:c r="G29" s="44"/>
      <x:c r="H29" s="44"/>
    </x:row>
    <x:row r="30">
      <x:c r="A30" s="22" t="str">
        <x:v>Repeated narrowband selected-X attenuation was experimentally demonstrated using complex normalized FxLMS. The learned controllers survived independent frozen validation and remained effective during a one-minute frozen persistence test, while cross-axis redistribution remained configuration dependent.</x:v>
      </x:c>
      <x:c r="B30" s="22"/>
      <x:c r="C30" s="22"/>
      <x:c r="D30" s="22"/>
      <x:c r="E30" s="22"/>
      <x:c r="F30" s="22"/>
      <x:c r="G30" s="22"/>
      <x:c r="H30" s="22"/>
    </x:row>
    <x:row r="31">
      <x:c r="A31" s="22"/>
      <x:c r="B31" s="22"/>
      <x:c r="C31" s="22"/>
      <x:c r="D31" s="22"/>
      <x:c r="E31" s="22"/>
      <x:c r="F31" s="22"/>
      <x:c r="G31" s="22"/>
      <x:c r="H31" s="22"/>
    </x:row>
    <x:row r="32">
      <x:c r="A32" s="22"/>
      <x:c r="B32" s="22"/>
      <x:c r="C32" s="22"/>
      <x:c r="D32" s="22"/>
      <x:c r="E32" s="22"/>
      <x:c r="F32" s="22"/>
      <x:c r="G32" s="22"/>
      <x:c r="H32" s="22"/>
    </x:row>
  </x:sheetData>
  <x:mergeCells>
    <x:mergeCell ref="A1:H2"/>
    <x:mergeCell ref="A4:H4"/>
    <x:mergeCell ref="A5:H7"/>
    <x:mergeCell ref="A9:H9"/>
    <x:mergeCell ref="A10:H12"/>
    <x:mergeCell ref="A14:H14"/>
    <x:mergeCell ref="A15:H17"/>
    <x:mergeCell ref="A19:H19"/>
    <x:mergeCell ref="A20:H22"/>
    <x:mergeCell ref="A24:H24"/>
    <x:mergeCell ref="A25:H27"/>
    <x:mergeCell ref="A29:H29"/>
    <x:mergeCell ref="A30:H32"/>
  </x:mergeCells>
  <x:pageMargins left="0.7" right="0.7" top="0.75" bottom="0.75" header="0.3" footer="0.3"/>
</x:worksheet>
</file>
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5.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d4dcda626622428d" /></Relationships>
</file>

<file path=xl/workbook.xml><?xml version="1.0" encoding="utf-8"?>
<x:workbook xmlns:x="http://schemas.openxmlformats.org/spreadsheetml/2006/main">
  <x:sheets>
    <x:sheet xmlns:r="http://schemas.openxmlformats.org/officeDocument/2006/relationships" name="Thesis Summary" sheetId="1" r:id="R242cc285873345f0"/>
    <x:sheet xmlns:r="http://schemas.openxmlformats.org/officeDocument/2006/relationships" name="Baseline c" sheetId="2" r:id="R077a390378bc4d3a"/>
    <x:sheet xmlns:r="http://schemas.openxmlformats.org/officeDocument/2006/relationships" name="Amplitude Matcher" sheetId="3" r:id="R31a0d1050df44f20"/>
    <x:sheet xmlns:r="http://schemas.openxmlformats.org/officeDocument/2006/relationships" name="Phase Sweep" sheetId="4" r:id="R5bd5443c40454cde"/>
    <x:sheet xmlns:r="http://schemas.openxmlformats.org/officeDocument/2006/relationships" name="Multi-Axis Analysis" sheetId="5" r:id="Rff1706488a2d462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
    <x:numFmt numFmtId="201" formatCode="0.00"/>
    <x:numFmt numFmtId="202" formatCode="0.000"/>
  </x:numFmts>
  <x:fonts count="11">
    <x:font>
      <x:sz val="11"/>
      <x:name val="Carlito"/>
    </x:font>
    <x:font>
      <x:b/>
      <x:sz val="16"/>
      <x:color rgb="FFFFFFFF"/>
      <x:name val="Carlito"/>
    </x:font>
    <x:font>
      <x:sz val="11"/>
      <x:color rgb="FF7F6000"/>
      <x:name val="Carlito"/>
    </x:font>
    <x:font>
      <x:b/>
      <x:sz val="11"/>
      <x:color rgb="FF17365D"/>
      <x:name val="Carlito"/>
    </x:font>
    <x:font>
      <x:b/>
      <x:sz val="11"/>
      <x:color rgb="FFFFFFFF"/>
      <x:name val="Carlito"/>
    </x:font>
    <x:font>
      <x:b/>
      <x:sz val="10"/>
      <x:color rgb="FFFFFFFF"/>
      <x:name val="Aptos"/>
    </x:font>
    <x:font>
      <x:sz val="10"/>
      <x:name val="Aptos"/>
    </x:font>
    <x:font>
      <x:sz val="10"/>
      <x:color rgb="FF7F6000"/>
      <x:name val="Aptos"/>
    </x:font>
    <x:font>
      <x:b/>
      <x:sz val="10"/>
      <x:color rgb="FF17365D"/>
      <x:name val="Aptos"/>
    </x:font>
    <x:font>
      <x:b/>
      <x:sz val="10"/>
      <x:color rgb="FF9C0006"/>
      <x:name val="Aptos"/>
    </x:font>
    <x:font>
      <x:b/>
      <x:sz val="10"/>
      <x:color rgb="FF274E13"/>
      <x:name val="Aptos"/>
    </x:font>
  </x:fonts>
  <x:fills count="8">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D9EAF7"/>
      </x:patternFill>
    </x:fill>
    <x:fill>
      <x:patternFill patternType="solid">
        <x:fgColor rgb="FF5B9BD5"/>
      </x:patternFill>
    </x:fill>
    <x:fill>
      <x:patternFill patternType="solid">
        <x:fgColor rgb="FFF4CCCC"/>
      </x:patternFill>
    </x:fill>
    <x:fill>
      <x:patternFill patternType="solid">
        <x:fgColor rgb="FFD9EAD3"/>
      </x:patternFill>
    </x:fill>
  </x:fills>
  <x:borders count="20">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1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2" borderId="0" xfId="0" applyNumberFormat="1" applyFont="1" applyFill="1" applyBorder="1" applyAlignment="1">
      <x:alignment horizontal="left"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8" fillId="4" borderId="0" xfId="0" applyNumberFormat="1" applyFont="1" applyFill="1" applyBorder="1" applyAlignment="1">
      <x:alignment vertical="center"/>
    </x:xf>
    <x:xf numFmtId="0" fontId="5" fillId="5" borderId="0" xfId="0" applyNumberFormat="1" applyFont="1" applyFill="1" applyBorder="1" applyAlignment="1">
      <x:alignment horizontal="center" vertical="center" wrapText="1"/>
    </x:xf>
    <x:xf numFmtId="0" fontId="5" fillId="2" borderId="1" xfId="0" applyNumberFormat="1" applyFont="1" applyFill="1" applyBorder="1" applyAlignment="1">
      <x:alignment horizontal="left" vertical="center"/>
    </x:xf>
    <x:xf numFmtId="0" fontId="6" fillId="0" borderId="1" xfId="0" applyNumberFormat="1" applyFont="1" applyFill="1" applyBorder="1"/>
    <x:xf numFmtId="0" fontId="7" fillId="3" borderId="1" xfId="0" applyNumberFormat="1" applyFont="1" applyFill="1" applyBorder="1" applyAlignment="1">
      <x:alignment vertical="top" wrapText="1"/>
    </x:xf>
    <x:xf numFmtId="0" fontId="8" fillId="4" borderId="1" xfId="0" applyNumberFormat="1" applyFont="1" applyFill="1" applyBorder="1" applyAlignment="1">
      <x:alignment vertical="center"/>
    </x:xf>
    <x:xf numFmtId="0" fontId="5" fillId="5" borderId="1"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3" borderId="0" xfId="0" applyNumberFormat="1" applyFont="1" applyFill="1" applyBorder="1" applyAlignment="1">
      <x:alignment vertical="center" wrapText="1"/>
    </x:xf>
    <x:xf numFmtId="0" fontId="6" fillId="0" borderId="1" xfId="0" applyNumberFormat="1" applyFont="1" applyFill="1" applyBorder="1" applyAlignment="1">
      <x:alignment vertical="center"/>
    </x:xf>
    <x:xf numFmtId="0" fontId="7" fillId="3" borderId="1" xfId="0" applyNumberFormat="1" applyFont="1" applyFill="1" applyBorder="1" applyAlignment="1">
      <x:alignment vertical="center" wrapText="1"/>
    </x:xf>
    <x:xf numFmtId="0" fontId="5" fillId="2" borderId="0" xfId="0" applyNumberFormat="1" applyFont="1" applyFill="1" applyBorder="1" applyAlignment="1">
      <x:alignment horizontal="left" vertical="center" wrapText="1"/>
    </x:xf>
    <x:xf numFmtId="0" fontId="6" fillId="0" borderId="0" xfId="0" applyNumberFormat="1" applyFont="1" applyFill="1" applyBorder="1" applyAlignment="1">
      <x:alignment vertical="center" wrapText="1"/>
    </x:xf>
    <x:xf numFmtId="0" fontId="8" fillId="4" borderId="0" xfId="0" applyNumberFormat="1" applyFont="1" applyFill="1" applyBorder="1" applyAlignment="1">
      <x:alignment vertical="center" wrapText="1"/>
    </x:xf>
    <x:xf numFmtId="0" fontId="5" fillId="2" borderId="1" xfId="0" applyNumberFormat="1" applyFont="1" applyFill="1" applyBorder="1" applyAlignment="1">
      <x:alignment horizontal="left" vertical="center" wrapText="1"/>
    </x:xf>
    <x:xf numFmtId="0" fontId="6" fillId="0" borderId="1" xfId="0" applyNumberFormat="1" applyFont="1" applyFill="1" applyBorder="1" applyAlignment="1">
      <x:alignment vertical="center" wrapText="1"/>
    </x:xf>
    <x:xf numFmtId="0" fontId="8" fillId="4" borderId="1"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0" fontId="5" fillId="5" borderId="0" xfId="0" applyNumberFormat="1" applyFont="1" applyFill="1" applyBorder="1" applyAlignment="1">
      <x:alignment horizontal="center" vertical="center" wrapText="1"/>
    </x:xf>
    <x:xf numFmtId="200" fontId="6" fillId="0" borderId="1" xfId="0" applyNumberFormat="1" applyFont="1" applyFill="1" applyBorder="1" applyAlignment="1">
      <x:alignment vertical="center" wrapText="1"/>
    </x:xf>
    <x:xf numFmtId="200" fontId="5" fillId="5" borderId="1" xfId="0" applyNumberFormat="1" applyFont="1" applyFill="1" applyBorder="1" applyAlignment="1">
      <x:alignment horizontal="center" vertical="center" wrapText="1"/>
    </x:xf>
    <x:xf numFmtId="201" fontId="6" fillId="0" borderId="0" xfId="0" applyNumberFormat="1" applyFont="1" applyFill="1" applyBorder="1" applyAlignment="1">
      <x:alignment vertical="center" wrapText="1"/>
    </x:xf>
    <x:xf numFmtId="201" fontId="8" fillId="4" borderId="0" xfId="0" applyNumberFormat="1" applyFont="1" applyFill="1" applyBorder="1" applyAlignment="1">
      <x:alignment vertical="center" wrapText="1"/>
    </x:xf>
    <x:xf numFmtId="201" fontId="5" fillId="5" borderId="0" xfId="0" applyNumberFormat="1" applyFont="1" applyFill="1" applyBorder="1" applyAlignment="1">
      <x:alignment horizontal="center" vertical="center" wrapText="1"/>
    </x:xf>
    <x:xf numFmtId="201" fontId="6" fillId="0" borderId="1" xfId="0" applyNumberFormat="1" applyFont="1" applyFill="1" applyBorder="1" applyAlignment="1">
      <x:alignment vertical="center" wrapText="1"/>
    </x:xf>
    <x:xf numFmtId="201" fontId="8" fillId="4" borderId="1" xfId="0" applyNumberFormat="1" applyFont="1" applyFill="1" applyBorder="1" applyAlignment="1">
      <x:alignment vertical="center" wrapText="1"/>
    </x:xf>
    <x:xf numFmtId="201" fontId="5" fillId="5" borderId="1" xfId="0" applyNumberFormat="1" applyFont="1" applyFill="1" applyBorder="1" applyAlignment="1">
      <x:alignment horizontal="center" vertical="center" wrapText="1"/>
    </x:xf>
    <x:xf numFmtId="202" fontId="6" fillId="0" borderId="0" xfId="0" applyNumberFormat="1" applyFont="1" applyFill="1" applyBorder="1" applyAlignment="1">
      <x:alignment vertical="center" wrapText="1"/>
    </x:xf>
    <x:xf numFmtId="202" fontId="5" fillId="5" borderId="0" xfId="0" applyNumberFormat="1" applyFont="1" applyFill="1" applyBorder="1" applyAlignment="1">
      <x:alignment horizontal="center" vertical="center" wrapText="1"/>
    </x:xf>
    <x:xf numFmtId="202" fontId="6" fillId="0" borderId="1" xfId="0" applyNumberFormat="1" applyFont="1" applyFill="1" applyBorder="1" applyAlignment="1">
      <x:alignment vertical="center" wrapText="1"/>
    </x:xf>
    <x:xf numFmtId="202" fontId="5" fillId="5" borderId="1" xfId="0" applyNumberFormat="1" applyFont="1" applyFill="1" applyBorder="1" applyAlignment="1">
      <x:alignment horizontal="center" vertical="center" wrapText="1"/>
    </x:xf>
    <x:xf numFmtId="0" fontId="6" fillId="0" borderId="2" xfId="0" applyNumberFormat="1" applyFont="1" applyFill="1" applyBorder="1" applyAlignment="1">
      <x:alignment vertical="center" wrapText="1"/>
    </x:xf>
    <x:xf numFmtId="201" fontId="6" fillId="0" borderId="3" xfId="0" applyNumberFormat="1" applyFont="1" applyFill="1" applyBorder="1" applyAlignment="1">
      <x:alignment vertical="center" wrapText="1"/>
    </x:xf>
    <x:xf numFmtId="201" fontId="6" fillId="0" borderId="4"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201" fontId="6" fillId="0" borderId="6" xfId="0" applyNumberFormat="1" applyFont="1" applyFill="1" applyBorder="1" applyAlignment="1">
      <x:alignment vertical="center" wrapText="1"/>
    </x:xf>
    <x:xf numFmtId="201" fontId="6" fillId="0" borderId="7" xfId="0" applyNumberFormat="1" applyFont="1" applyFill="1" applyBorder="1" applyAlignment="1">
      <x:alignment vertical="center" wrapText="1"/>
    </x:xf>
    <x:xf numFmtId="0" fontId="6" fillId="0" borderId="8" xfId="0" applyNumberFormat="1" applyFont="1" applyFill="1" applyBorder="1" applyAlignment="1">
      <x:alignment vertical="center" wrapText="1"/>
    </x:xf>
    <x:xf numFmtId="201" fontId="6" fillId="0" borderId="9" xfId="0" applyNumberFormat="1" applyFont="1" applyFill="1" applyBorder="1" applyAlignment="1">
      <x:alignment vertical="center" wrapText="1"/>
    </x:xf>
    <x:xf numFmtId="201" fontId="6" fillId="0" borderId="10" xfId="0" applyNumberFormat="1" applyFont="1" applyFill="1" applyBorder="1" applyAlignment="1">
      <x:alignment vertical="center" wrapText="1"/>
    </x:xf>
    <x:xf numFmtId="0" fontId="6" fillId="0" borderId="11" xfId="0" applyNumberFormat="1" applyFont="1" applyFill="1" applyBorder="1" applyAlignment="1">
      <x:alignment vertical="center" wrapText="1"/>
    </x:xf>
    <x:xf numFmtId="201" fontId="6" fillId="0" borderId="12" xfId="0" applyNumberFormat="1" applyFont="1" applyFill="1" applyBorder="1" applyAlignment="1">
      <x:alignment vertical="center" wrapText="1"/>
    </x:xf>
    <x:xf numFmtId="201" fontId="6" fillId="0" borderId="13" xfId="0" applyNumberFormat="1" applyFont="1" applyFill="1" applyBorder="1" applyAlignment="1">
      <x:alignment vertical="center" wrapText="1"/>
    </x:xf>
    <x:xf numFmtId="0" fontId="6" fillId="0" borderId="14" xfId="0" applyNumberFormat="1" applyFont="1" applyFill="1" applyBorder="1" applyAlignment="1">
      <x:alignment vertical="center" wrapText="1"/>
    </x:xf>
    <x:xf numFmtId="201" fontId="6" fillId="0" borderId="15" xfId="0" applyNumberFormat="1" applyFont="1" applyFill="1" applyBorder="1" applyAlignment="1">
      <x:alignment vertical="center" wrapText="1"/>
    </x:xf>
    <x:xf numFmtId="201" fontId="6" fillId="0" borderId="16" xfId="0" applyNumberFormat="1" applyFont="1" applyFill="1" applyBorder="1" applyAlignment="1">
      <x:alignment vertical="center" wrapText="1"/>
    </x:xf>
    <x:xf numFmtId="0" fontId="6" fillId="0" borderId="17" xfId="0" applyNumberFormat="1" applyFont="1" applyFill="1" applyBorder="1" applyAlignment="1">
      <x:alignment vertical="center" wrapText="1"/>
    </x:xf>
    <x:xf numFmtId="201" fontId="6" fillId="0" borderId="18" xfId="0" applyNumberFormat="1" applyFont="1" applyFill="1" applyBorder="1" applyAlignment="1">
      <x:alignment vertical="center" wrapText="1"/>
    </x:xf>
    <x:xf numFmtId="201" fontId="6" fillId="0" borderId="19" xfId="0" applyNumberFormat="1" applyFont="1" applyFill="1" applyBorder="1" applyAlignment="1">
      <x:alignment vertical="center" wrapText="1"/>
    </x:xf>
    <x:xf numFmtId="0" fontId="5" fillId="5" borderId="2" xfId="0" applyNumberFormat="1" applyFont="1" applyFill="1" applyBorder="1" applyAlignment="1">
      <x:alignment horizontal="center" vertical="center" wrapText="1"/>
    </x:xf>
    <x:xf numFmtId="201" fontId="5" fillId="5" borderId="4" xfId="0" applyNumberFormat="1" applyFont="1" applyFill="1" applyBorder="1" applyAlignment="1">
      <x:alignment horizontal="center" vertical="center" wrapText="1"/>
    </x:xf>
    <x:xf numFmtId="0" fontId="5" fillId="5" borderId="11" xfId="0" applyNumberFormat="1" applyFont="1" applyFill="1" applyBorder="1" applyAlignment="1">
      <x:alignment horizontal="center" vertical="center" wrapText="1"/>
    </x:xf>
    <x:xf numFmtId="201" fontId="5" fillId="5" borderId="13" xfId="0" applyNumberFormat="1" applyFont="1" applyFill="1" applyBorder="1" applyAlignment="1">
      <x:alignment horizontal="center" vertical="center" wrapText="1"/>
    </x:xf>
    <x:xf numFmtId="201" fontId="5" fillId="5" borderId="2" xfId="0" applyNumberFormat="1" applyFont="1" applyFill="1" applyBorder="1" applyAlignment="1">
      <x:alignment horizontal="center" vertical="center" wrapText="1"/>
    </x:xf>
    <x:xf numFmtId="201" fontId="5" fillId="5" borderId="3" xfId="0" applyNumberFormat="1" applyFont="1" applyFill="1" applyBorder="1" applyAlignment="1">
      <x:alignment horizontal="center" vertical="center" wrapText="1"/>
    </x:xf>
    <x:xf numFmtId="201" fontId="6" fillId="0" borderId="5" xfId="0" applyNumberFormat="1" applyFont="1" applyFill="1" applyBorder="1" applyAlignment="1">
      <x:alignment vertical="center" wrapText="1"/>
    </x:xf>
    <x:xf numFmtId="201" fontId="6" fillId="0" borderId="8" xfId="0" applyNumberFormat="1" applyFont="1" applyFill="1" applyBorder="1" applyAlignment="1">
      <x:alignment vertical="center" wrapText="1"/>
    </x:xf>
    <x:xf numFmtId="201" fontId="5" fillId="5" borderId="11" xfId="0" applyNumberFormat="1" applyFont="1" applyFill="1" applyBorder="1" applyAlignment="1">
      <x:alignment horizontal="center" vertical="center" wrapText="1"/>
    </x:xf>
    <x:xf numFmtId="201" fontId="5" fillId="5" borderId="12" xfId="0" applyNumberFormat="1" applyFont="1" applyFill="1" applyBorder="1" applyAlignment="1">
      <x:alignment horizontal="center" vertical="center" wrapText="1"/>
    </x:xf>
    <x:xf numFmtId="201" fontId="6" fillId="0" borderId="14" xfId="0" applyNumberFormat="1" applyFont="1" applyFill="1" applyBorder="1" applyAlignment="1">
      <x:alignment vertical="center" wrapText="1"/>
    </x:xf>
    <x:xf numFmtId="201" fontId="6" fillId="0" borderId="17" xfId="0" applyNumberFormat="1" applyFont="1" applyFill="1" applyBorder="1" applyAlignment="1">
      <x:alignment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200" fontId="6" fillId="0" borderId="6"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200" fontId="6" fillId="0" borderId="9" xfId="0" applyNumberFormat="1" applyFont="1" applyFill="1" applyBorder="1" applyAlignment="1">
      <x:alignment vertical="center" wrapText="1"/>
    </x:xf>
    <x:xf numFmtId="0" fontId="6" fillId="0" borderId="10" xfId="0" applyNumberFormat="1" applyFont="1" applyFill="1" applyBorder="1" applyAlignment="1">
      <x:alignment vertical="center" wrapText="1"/>
    </x:xf>
    <x:xf numFmtId="0" fontId="5" fillId="5" borderId="12" xfId="0" applyNumberFormat="1" applyFont="1" applyFill="1" applyBorder="1" applyAlignment="1">
      <x:alignment horizontal="center" vertical="center" wrapText="1"/>
    </x:xf>
    <x:xf numFmtId="0" fontId="5" fillId="5" borderId="13" xfId="0" applyNumberFormat="1" applyFont="1" applyFill="1" applyBorder="1" applyAlignment="1">
      <x:alignment horizontal="center" vertical="center" wrapText="1"/>
    </x:xf>
    <x:xf numFmtId="200" fontId="6" fillId="0" borderId="15" xfId="0" applyNumberFormat="1" applyFont="1" applyFill="1" applyBorder="1" applyAlignment="1">
      <x:alignment vertical="center" wrapText="1"/>
    </x:xf>
    <x:xf numFmtId="0" fontId="6" fillId="0" borderId="16" xfId="0" applyNumberFormat="1" applyFont="1" applyFill="1" applyBorder="1" applyAlignment="1">
      <x:alignment vertical="center" wrapText="1"/>
    </x:xf>
    <x:xf numFmtId="200" fontId="6" fillId="0" borderId="18" xfId="0" applyNumberFormat="1" applyFont="1" applyFill="1" applyBorder="1" applyAlignment="1">
      <x:alignment vertical="center" wrapText="1"/>
    </x:xf>
    <x:xf numFmtId="0" fontId="6" fillId="0" borderId="19" xfId="0" applyNumberFormat="1" applyFont="1" applyFill="1" applyBorder="1" applyAlignment="1">
      <x:alignment vertical="center" wrapText="1"/>
    </x:xf>
    <x:xf numFmtId="200" fontId="5" fillId="5" borderId="3" xfId="0" applyNumberFormat="1" applyFont="1" applyFill="1" applyBorder="1" applyAlignment="1">
      <x:alignment horizontal="center" vertical="center" wrapText="1"/>
    </x:xf>
    <x:xf numFmtId="200" fontId="5" fillId="5" borderId="4" xfId="0" applyNumberFormat="1" applyFont="1" applyFill="1" applyBorder="1" applyAlignment="1">
      <x:alignment horizontal="center" vertical="center" wrapText="1"/>
    </x:xf>
    <x:xf numFmtId="200" fontId="6" fillId="0" borderId="7" xfId="0" applyNumberFormat="1" applyFont="1" applyFill="1" applyBorder="1" applyAlignment="1">
      <x:alignment vertical="center" wrapText="1"/>
    </x:xf>
    <x:xf numFmtId="200" fontId="6" fillId="0" borderId="10" xfId="0" applyNumberFormat="1" applyFont="1" applyFill="1" applyBorder="1" applyAlignment="1">
      <x:alignment vertical="center" wrapText="1"/>
    </x:xf>
    <x:xf numFmtId="200" fontId="5" fillId="5" borderId="12" xfId="0" applyNumberFormat="1" applyFont="1" applyFill="1" applyBorder="1" applyAlignment="1">
      <x:alignment horizontal="center" vertical="center" wrapText="1"/>
    </x:xf>
    <x:xf numFmtId="200" fontId="5" fillId="5" borderId="13" xfId="0" applyNumberFormat="1" applyFont="1" applyFill="1" applyBorder="1" applyAlignment="1">
      <x:alignment horizontal="center" vertical="center" wrapText="1"/>
    </x:xf>
    <x:xf numFmtId="200" fontId="6" fillId="0" borderId="16" xfId="0" applyNumberFormat="1" applyFont="1" applyFill="1" applyBorder="1" applyAlignment="1">
      <x:alignment vertical="center" wrapText="1"/>
    </x:xf>
    <x:xf numFmtId="200" fontId="6" fillId="0" borderId="19" xfId="0" applyNumberFormat="1" applyFont="1" applyFill="1" applyBorder="1" applyAlignment="1">
      <x:alignment vertical="center" wrapText="1"/>
    </x:xf>
    <x:xf numFmtId="200" fontId="6" fillId="0" borderId="5" xfId="0" applyNumberFormat="1" applyFont="1" applyFill="1" applyBorder="1" applyAlignment="1">
      <x:alignment vertical="center" wrapText="1"/>
    </x:xf>
    <x:xf numFmtId="200" fontId="6" fillId="0" borderId="8" xfId="0" applyNumberFormat="1" applyFont="1" applyFill="1" applyBorder="1" applyAlignment="1">
      <x:alignment vertical="center" wrapText="1"/>
    </x:xf>
    <x:xf numFmtId="200" fontId="6" fillId="0" borderId="14" xfId="0" applyNumberFormat="1" applyFont="1" applyFill="1" applyBorder="1" applyAlignment="1">
      <x:alignment vertical="center" wrapText="1"/>
    </x:xf>
    <x:xf numFmtId="200" fontId="6" fillId="0" borderId="17" xfId="0" applyNumberFormat="1" applyFont="1" applyFill="1" applyBorder="1" applyAlignment="1">
      <x:alignment vertical="center" wrapText="1"/>
    </x:xf>
    <x:xf numFmtId="200" fontId="5" fillId="5" borderId="2" xfId="0" applyNumberFormat="1" applyFont="1" applyFill="1" applyBorder="1" applyAlignment="1">
      <x:alignment horizontal="center" vertical="center" wrapText="1"/>
    </x:xf>
    <x:xf numFmtId="200" fontId="5" fillId="5" borderId="11" xfId="0" applyNumberFormat="1" applyFont="1" applyFill="1" applyBorder="1" applyAlignment="1">
      <x:alignment horizontal="center" vertical="center" wrapText="1"/>
    </x:xf>
    <x:xf numFmtId="0" fontId="6" fillId="0" borderId="6" xfId="0" applyNumberFormat="1" applyFont="1" applyFill="1" applyBorder="1" applyAlignment="1">
      <x:alignment vertical="center" wrapText="1"/>
    </x:xf>
    <x:xf numFmtId="0" fontId="6" fillId="0" borderId="9" xfId="0" applyNumberFormat="1" applyFont="1" applyFill="1" applyBorder="1" applyAlignment="1">
      <x:alignment vertical="center" wrapText="1"/>
    </x:xf>
    <x:xf numFmtId="0" fontId="6" fillId="0" borderId="15" xfId="0" applyNumberFormat="1" applyFont="1" applyFill="1" applyBorder="1" applyAlignment="1">
      <x:alignment vertical="center" wrapText="1"/>
    </x:xf>
    <x:xf numFmtId="0" fontId="6" fillId="0" borderId="18" xfId="0" applyNumberFormat="1" applyFont="1" applyFill="1" applyBorder="1" applyAlignment="1">
      <x:alignment vertical="center" wrapText="1"/>
    </x:xf>
    <x:xf numFmtId="202" fontId="6" fillId="0" borderId="6" xfId="0" applyNumberFormat="1" applyFont="1" applyFill="1" applyBorder="1" applyAlignment="1">
      <x:alignment vertical="center" wrapText="1"/>
    </x:xf>
    <x:xf numFmtId="202" fontId="6" fillId="0" borderId="9" xfId="0" applyNumberFormat="1" applyFont="1" applyFill="1" applyBorder="1" applyAlignment="1">
      <x:alignment vertical="center" wrapText="1"/>
    </x:xf>
    <x:xf numFmtId="202" fontId="6" fillId="0" borderId="15" xfId="0" applyNumberFormat="1" applyFont="1" applyFill="1" applyBorder="1" applyAlignment="1">
      <x:alignment vertical="center" wrapText="1"/>
    </x:xf>
    <x:xf numFmtId="202" fontId="6" fillId="0" borderId="18" xfId="0" applyNumberFormat="1" applyFont="1" applyFill="1" applyBorder="1" applyAlignment="1">
      <x:alignment vertical="center" wrapText="1"/>
    </x:xf>
    <x:xf numFmtId="202" fontId="5" fillId="5" borderId="3" xfId="0" applyNumberFormat="1" applyFont="1" applyFill="1" applyBorder="1" applyAlignment="1">
      <x:alignment horizontal="center" vertical="center" wrapText="1"/>
    </x:xf>
    <x:xf numFmtId="202" fontId="5" fillId="5" borderId="4" xfId="0" applyNumberFormat="1" applyFont="1" applyFill="1" applyBorder="1" applyAlignment="1">
      <x:alignment horizontal="center" vertical="center" wrapText="1"/>
    </x:xf>
    <x:xf numFmtId="202" fontId="6" fillId="0" borderId="7" xfId="0" applyNumberFormat="1" applyFont="1" applyFill="1" applyBorder="1" applyAlignment="1">
      <x:alignment vertical="center" wrapText="1"/>
    </x:xf>
    <x:xf numFmtId="202" fontId="6" fillId="0" borderId="10" xfId="0" applyNumberFormat="1" applyFont="1" applyFill="1" applyBorder="1" applyAlignment="1">
      <x:alignment vertical="center" wrapText="1"/>
    </x:xf>
    <x:xf numFmtId="202" fontId="5" fillId="5" borderId="12" xfId="0" applyNumberFormat="1" applyFont="1" applyFill="1" applyBorder="1" applyAlignment="1">
      <x:alignment horizontal="center" vertical="center" wrapText="1"/>
    </x:xf>
    <x:xf numFmtId="202" fontId="5" fillId="5" borderId="13" xfId="0" applyNumberFormat="1" applyFont="1" applyFill="1" applyBorder="1" applyAlignment="1">
      <x:alignment horizontal="center" vertical="center" wrapText="1"/>
    </x:xf>
    <x:xf numFmtId="202" fontId="6" fillId="0" borderId="16" xfId="0" applyNumberFormat="1" applyFont="1" applyFill="1" applyBorder="1" applyAlignment="1">
      <x:alignment vertical="center" wrapText="1"/>
    </x:xf>
    <x:xf numFmtId="202" fontId="6" fillId="0" borderId="19" xfId="0" applyNumberFormat="1" applyFont="1" applyFill="1" applyBorder="1" applyAlignment="1">
      <x:alignment vertical="center" wrapText="1"/>
    </x:xf>
    <x:xf numFmtId="0" fontId="6" fillId="0" borderId="4" xfId="0" applyNumberFormat="1" applyFont="1" applyFill="1" applyBorder="1" applyAlignment="1">
      <x:alignment vertical="center" wrapText="1"/>
    </x:xf>
    <x:xf numFmtId="0" fontId="6" fillId="0" borderId="13" xfId="0" applyNumberFormat="1" applyFont="1" applyFill="1" applyBorder="1" applyAlignment="1">
      <x:alignment vertical="center" wrapText="1"/>
    </x:xf>
    <x:xf numFmtId="201" fontId="6" fillId="6" borderId="6" xfId="0" applyNumberFormat="1" applyFont="1" applyFill="1" applyBorder="1" applyAlignment="1">
      <x:alignment vertical="center" wrapText="1"/>
    </x:xf>
    <x:xf numFmtId="201" fontId="9" fillId="6" borderId="6" xfId="0" applyNumberFormat="1" applyFont="1" applyFill="1" applyBorder="1" applyAlignment="1">
      <x:alignment vertical="center" wrapText="1"/>
    </x:xf>
    <x:xf numFmtId="201" fontId="6" fillId="6" borderId="15" xfId="0" applyNumberFormat="1" applyFont="1" applyFill="1" applyBorder="1" applyAlignment="1">
      <x:alignment vertical="center" wrapText="1"/>
    </x:xf>
    <x:xf numFmtId="201" fontId="9" fillId="6" borderId="15" xfId="0" applyNumberFormat="1" applyFont="1" applyFill="1" applyBorder="1" applyAlignment="1">
      <x:alignment vertical="center" wrapText="1"/>
    </x:xf>
    <x:xf numFmtId="201" fontId="6" fillId="7" borderId="6" xfId="0" applyNumberFormat="1" applyFont="1" applyFill="1" applyBorder="1" applyAlignment="1">
      <x:alignment vertical="center" wrapText="1"/>
    </x:xf>
    <x:xf numFmtId="201" fontId="10" fillId="7" borderId="6" xfId="0" applyNumberFormat="1" applyFont="1" applyFill="1" applyBorder="1" applyAlignment="1">
      <x:alignment vertical="center" wrapText="1"/>
    </x:xf>
    <x:xf numFmtId="201" fontId="6" fillId="7" borderId="15" xfId="0" applyNumberFormat="1" applyFont="1" applyFill="1" applyBorder="1" applyAlignment="1">
      <x:alignment vertical="center" wrapText="1"/>
    </x:xf>
    <x:xf numFmtId="201" fontId="10" fillId="7" borderId="15" xfId="0" applyNumberFormat="1" applyFont="1" applyFill="1" applyBorder="1" applyAlignment="1">
      <x:alignment vertical="center" wrapText="1"/>
    </x:xf>
    <x:xf numFmtId="201" fontId="6" fillId="6" borderId="9" xfId="0" applyNumberFormat="1" applyFont="1" applyFill="1" applyBorder="1" applyAlignment="1">
      <x:alignment vertical="center" wrapText="1"/>
    </x:xf>
    <x:xf numFmtId="201" fontId="9" fillId="6" borderId="9" xfId="0" applyNumberFormat="1" applyFont="1" applyFill="1" applyBorder="1" applyAlignment="1">
      <x:alignment vertical="center" wrapText="1"/>
    </x:xf>
    <x:xf numFmtId="201" fontId="6" fillId="6" borderId="18" xfId="0" applyNumberFormat="1" applyFont="1" applyFill="1" applyBorder="1" applyAlignment="1">
      <x:alignment vertical="center" wrapText="1"/>
    </x:xf>
    <x:xf numFmtId="201" fontId="9" fillId="6" borderId="18" xfId="0" applyNumberFormat="1" applyFont="1" applyFill="1" applyBorder="1" applyAlignment="1">
      <x:alignment vertical="center" wrapText="1"/>
    </x:xf>
    <x:xf numFmtId="201" fontId="6" fillId="6" borderId="10" xfId="0" applyNumberFormat="1" applyFont="1" applyFill="1" applyBorder="1" applyAlignment="1">
      <x:alignment vertical="center" wrapText="1"/>
    </x:xf>
    <x:xf numFmtId="201" fontId="9" fillId="6" borderId="10" xfId="0" applyNumberFormat="1" applyFont="1" applyFill="1" applyBorder="1" applyAlignment="1">
      <x:alignment vertical="center" wrapText="1"/>
    </x:xf>
    <x:xf numFmtId="201" fontId="6" fillId="6" borderId="19" xfId="0" applyNumberFormat="1" applyFont="1" applyFill="1" applyBorder="1" applyAlignment="1">
      <x:alignment vertical="center" wrapText="1"/>
    </x:xf>
    <x:xf numFmtId="201" fontId="9" fillId="6" borderId="19"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6" fillId="5" borderId="1" xfId="0" applyNumberFormat="1" applyFont="1" applyFill="1" applyBorder="1" applyAlignment="1">
      <x:alignment vertical="center" wrapText="1"/>
    </x:xf>
    <x:xf numFmtId="0" fontId="5" fillId="5" borderId="1" xfId="0" applyNumberFormat="1" applyFont="1" applyFill="1" applyBorder="1" applyAlignment="1">
      <x:alignment vertical="center" wrapText="1"/>
    </x:xf>
  </x:cellXfs>
  <x:cellStyles count="1">
    <x:cellStyle name="Normal" xfId="0"/>
  </x:cellStyles>
  <x:dxfs count="8">
    <x:dxf>
      <x:font>
        <x:color rgb="FF9C0006"/>
      </x:font>
      <x:fill>
        <x:patternFill patternType="solid">
          <x:bgColor rgb="FFF4CCCC"/>
        </x:patternFill>
      </x:fill>
    </x:dxf>
    <x:dxf>
      <x:font>
        <x:color rgb="FF274E13"/>
      </x:font>
      <x:fill>
        <x:patternFill patternType="solid">
          <x:bgColor rgb="FFD9EAD3"/>
        </x:patternFill>
      </x:fill>
    </x:dxf>
    <x:dxf>
      <x:font>
        <x:color rgb="FF9C0006"/>
      </x:font>
      <x:fill>
        <x:patternFill patternType="solid">
          <x:bgColor rgb="FFF4CCCC"/>
        </x:patternFill>
      </x:fill>
    </x:dxf>
    <x:dxf>
      <x:font>
        <x:color rgb="FF274E13"/>
      </x:font>
      <x:fill>
        <x:patternFill patternType="solid">
          <x:bgColor rgb="FFD9EAD3"/>
        </x:patternFill>
      </x:fill>
    </x:dxf>
    <x:dxf>
      <x:font>
        <x:color rgb="FF9C0006"/>
      </x:font>
      <x:fill>
        <x:patternFill patternType="solid">
          <x:bgColor rgb="FFF4CCCC"/>
        </x:patternFill>
      </x:fill>
    </x:dxf>
    <x:dxf>
      <x:font>
        <x:color rgb="FF274E13"/>
      </x:font>
      <x:fill>
        <x:patternFill patternType="solid">
          <x:bgColor rgb="FFD9EAD3"/>
        </x:patternFill>
      </x:fill>
    </x:dxf>
    <x:dxf>
      <x:font>
        <x:color rgb="FF9C0006"/>
      </x:font>
      <x:fill>
        <x:patternFill patternType="solid">
          <x:bgColor rgb="FFF4CCCC"/>
        </x:patternFill>
      </x:fill>
    </x:dxf>
    <x:dxf>
      <x:font>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55f1b2fa744060" /><Relationship Type="http://schemas.openxmlformats.org/officeDocument/2006/relationships/theme" Target="/xl/theme/theme1.xml" Id="Rf07d4150ea7a449b" /><Relationship Type="http://schemas.openxmlformats.org/officeDocument/2006/relationships/sharedStrings" Target="/xl/sharedStrings.xml" Id="R80bc4c9ad9bd4ad0" /><Relationship Type="http://schemas.openxmlformats.org/officeDocument/2006/relationships/worksheet" Target="/xl/worksheets/sheet1.xml" Id="R242cc285873345f0" /><Relationship Type="http://schemas.openxmlformats.org/officeDocument/2006/relationships/worksheet" Target="/xl/worksheets/sheet2.xml" Id="R077a390378bc4d3a" /><Relationship Type="http://schemas.openxmlformats.org/officeDocument/2006/relationships/worksheet" Target="/xl/worksheets/sheet3.xml" Id="R31a0d1050df44f20" /><Relationship Type="http://schemas.openxmlformats.org/officeDocument/2006/relationships/worksheet" Target="/xl/worksheets/sheet4.xml" Id="R5bd5443c40454cde" /><Relationship Type="http://schemas.openxmlformats.org/officeDocument/2006/relationships/worksheet" Target="/xl/worksheets/sheet5.xml" Id="Rff1706488a2d462e" /></Relationships>
</file>

<file path=xl/drawings/_rels/drawing1.xml.rels>&#65279;<?xml version="1.0" encoding="utf-8"?><Relationships xmlns="http://schemas.openxmlformats.org/package/2006/relationships"><Relationship Type="http://schemas.openxmlformats.org/officeDocument/2006/relationships/chart" Target="/xl/drawings/charts/chart1.xml" Id="Rf4669d92e64f4dc3" /></Relationships>
</file>

<file path=xl/drawings/_rels/drawing2.xml.rels>&#65279;<?xml version="1.0" encoding="utf-8"?><Relationships xmlns="http://schemas.openxmlformats.org/package/2006/relationships"><Relationship Type="http://schemas.openxmlformats.org/officeDocument/2006/relationships/chart" Target="/xl/drawings/charts/chart2.xml" Id="R9a63302d268f4d09" /><Relationship Type="http://schemas.openxmlformats.org/officeDocument/2006/relationships/chart" Target="/xl/drawings/charts/chart3.xml" Id="Ra9e9b84ca5dd45d0" /></Relationships>
</file>

<file path=xl/drawings/_rels/drawing3.xml.rels>&#65279;<?xml version="1.0" encoding="utf-8"?><Relationships xmlns="http://schemas.openxmlformats.org/package/2006/relationships"><Relationship Type="http://schemas.openxmlformats.org/officeDocument/2006/relationships/chart" Target="/xl/drawings/charts/chart4.xml" Id="Re15fc3e32b8d4a5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TOTAL Amplitude Match: DAC Sweep</a:t>
            </a:r>
          </a:p>
        </c:rich>
      </c:tx>
    </c:title>
    <c:plotArea>
      <c:lineChart>
        <c:grouping val="standard"/>
        <c:ser>
          <c:idx val="0"/>
          <c:order val="0"/>
          <c:tx>
            <c:v>Objective TOTAL</c:v>
          </c:tx>
          <c:marker>
            <c:symbol val="none"/>
          </c:marker>
          <c:cat>
            <c:strRef>
              <c:f>'Amplitude Matcher'!$L$5:$L$16</c:f>
              <c:strCache>
                <c:ptCount val="0"/>
              </c:strCache>
            </c:strRef>
          </c:cat>
          <c:val>
            <c:numRef>
              <c:f>'Amplitude Matcher'!$M$5:$M$16</c:f>
              <c:numCache>
                <c:formatCode>General</c:formatCode>
                <c:ptCount val="0"/>
              </c:numCache>
            </c:numRef>
          </c:val>
        </c:ser>
        <c:ser>
          <c:idx val="1"/>
          <c:order val="1"/>
          <c:tx>
            <c:v>Target TOTAL</c:v>
          </c:tx>
          <c:marker>
            <c:symbol val="none"/>
          </c:marker>
          <c:cat>
            <c:strRef>
              <c:f>'Amplitude Matcher'!$L$5:$L$16</c:f>
              <c:strCache>
                <c:ptCount val="0"/>
              </c:strCache>
            </c:strRef>
          </c:cat>
          <c:val>
            <c:numRef>
              <c:f>'Amplitude Matcher'!$N$5:$N$16</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Coarse Phase Sweep — Axis and TOTAL Reduction</a:t>
            </a:r>
          </a:p>
        </c:rich>
      </c:tx>
    </c:title>
    <c:plotArea>
      <c:lineChart>
        <c:grouping val="standard"/>
        <c:ser>
          <c:idx val="0"/>
          <c:order val="0"/>
          <c:tx>
            <c:v>Red X</c:v>
          </c:tx>
          <c:marker>
            <c:symbol val="none"/>
          </c:marker>
          <c:cat>
            <c:strRef>
              <c:f>'Phase Sweep'!$V$5:$V$16</c:f>
              <c:strCache>
                <c:ptCount val="0"/>
              </c:strCache>
            </c:strRef>
          </c:cat>
          <c:val>
            <c:numRef>
              <c:f>'Phase Sweep'!$W$5:$W$16</c:f>
              <c:numCache>
                <c:formatCode>General</c:formatCode>
                <c:ptCount val="0"/>
              </c:numCache>
            </c:numRef>
          </c:val>
        </c:ser>
        <c:ser>
          <c:idx val="1"/>
          <c:order val="1"/>
          <c:tx>
            <c:v>Red Y</c:v>
          </c:tx>
          <c:marker>
            <c:symbol val="none"/>
          </c:marker>
          <c:cat>
            <c:strRef>
              <c:f>'Phase Sweep'!$V$5:$V$16</c:f>
              <c:strCache>
                <c:ptCount val="0"/>
              </c:strCache>
            </c:strRef>
          </c:cat>
          <c:val>
            <c:numRef>
              <c:f>'Phase Sweep'!$X$5:$X$16</c:f>
              <c:numCache>
                <c:formatCode>General</c:formatCode>
                <c:ptCount val="0"/>
              </c:numCache>
            </c:numRef>
          </c:val>
        </c:ser>
        <c:ser>
          <c:idx val="2"/>
          <c:order val="2"/>
          <c:tx>
            <c:v>Red Z</c:v>
          </c:tx>
          <c:marker>
            <c:symbol val="none"/>
          </c:marker>
          <c:cat>
            <c:strRef>
              <c:f>'Phase Sweep'!$V$5:$V$16</c:f>
              <c:strCache>
                <c:ptCount val="0"/>
              </c:strCache>
            </c:strRef>
          </c:cat>
          <c:val>
            <c:numRef>
              <c:f>'Phase Sweep'!$Y$5:$Y$16</c:f>
              <c:numCache>
                <c:formatCode>General</c:formatCode>
                <c:ptCount val="0"/>
              </c:numCache>
            </c:numRef>
          </c:val>
        </c:ser>
        <c:ser>
          <c:idx val="3"/>
          <c:order val="3"/>
          <c:tx>
            <c:v>Red TOTAL</c:v>
          </c:tx>
          <c:marker>
            <c:symbol val="none"/>
          </c:marker>
          <c:cat>
            <c:strRef>
              <c:f>'Phase Sweep'!$V$5:$V$16</c:f>
              <c:strCache>
                <c:ptCount val="0"/>
              </c:strCache>
            </c:strRef>
          </c:cat>
          <c:val>
            <c:numRef>
              <c:f>'Phase Sweep'!$Z$5:$Z$16</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Coarse Phase Sweep — Baseline vs Residual TOTAL</a:t>
            </a:r>
          </a:p>
        </c:rich>
      </c:tx>
    </c:title>
    <c:plotArea>
      <c:lineChart>
        <c:grouping val="standard"/>
        <c:ser>
          <c:idx val="0"/>
          <c:order val="0"/>
          <c:tx>
            <c:v>Baseline TOTAL</c:v>
          </c:tx>
          <c:marker>
            <c:symbol val="none"/>
          </c:marker>
          <c:cat>
            <c:strRef>
              <c:f>'Phase Sweep'!$V$39:$V$50</c:f>
              <c:strCache>
                <c:ptCount val="0"/>
              </c:strCache>
            </c:strRef>
          </c:cat>
          <c:val>
            <c:numRef>
              <c:f>'Phase Sweep'!$W$39:$W$50</c:f>
              <c:numCache>
                <c:formatCode>General</c:formatCode>
                <c:ptCount val="0"/>
              </c:numCache>
            </c:numRef>
          </c:val>
        </c:ser>
        <c:ser>
          <c:idx val="1"/>
          <c:order val="1"/>
          <c:tx>
            <c:v>Residual TOTAL</c:v>
          </c:tx>
          <c:marker>
            <c:symbol val="none"/>
          </c:marker>
          <c:cat>
            <c:strRef>
              <c:f>'Phase Sweep'!$V$39:$V$50</c:f>
              <c:strCache>
                <c:ptCount val="0"/>
              </c:strCache>
            </c:strRef>
          </c:cat>
          <c:val>
            <c:numRef>
              <c:f>'Phase Sweep'!$X$39:$X$50</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Baseline vs Visaton Axis Amplitudes</a:t>
            </a:r>
          </a:p>
        </c:rich>
      </c:tx>
    </c:title>
    <c:plotArea>
      <c:barChart>
        <c:barDir val="col"/>
        <c:grouping val="clustered"/>
        <c:varyColors val="0"/>
        <c:ser>
          <c:idx val="0"/>
          <c:order val="0"/>
          <c:tx>
            <c:v>Tool baseline</c:v>
          </c:tx>
          <c:cat>
            <c:strRef>
              <c:f>'Multi-Axis Analysis'!$A$5:$A$7</c:f>
              <c:strCache>
                <c:ptCount val="0"/>
              </c:strCache>
            </c:strRef>
          </c:cat>
          <c:val>
            <c:numRef>
              <c:f>'Multi-Axis Analysis'!$B$5:$B$7</c:f>
              <c:numCache>
                <c:formatCode>0.000</c:formatCode>
                <c:ptCount val="0"/>
              </c:numCache>
            </c:numRef>
          </c:val>
        </c:ser>
        <c:ser>
          <c:idx val="1"/>
          <c:order val="1"/>
          <c:tx>
            <c:v>Visaton @ DAC 3.75</c:v>
          </c:tx>
          <c:cat>
            <c:strRef>
              <c:f>'Multi-Axis Analysis'!$A$5:$A$7</c:f>
              <c:strCache>
                <c:ptCount val="0"/>
              </c:strCache>
            </c:strRef>
          </c:cat>
          <c:val>
            <c:numRef>
              <c:f>'Multi-Axis Analysis'!$C$5:$C$7</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17</xdr:row>
      <xdr:rowOff>0</xdr:rowOff>
    </xdr:from>
    <xdr:to>
      <xdr:col>20</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669d92e64f4dc3"/>
        </a:graphicData>
      </a:graphic>
    </xdr:graphicFrame>
    <xdr:clientData/>
  </xdr:twoCellAnchor>
</xdr:wsDr>
</file>

<file path=xl/drawings/drawing2.xml><?xml version="1.0" encoding="utf-8"?>
<xdr:wsDr xmlns:xdr="http://schemas.openxmlformats.org/drawingml/2006/spreadsheetDrawing">
  <xdr:twoCellAnchor>
    <xdr:from>
      <xdr:col>21</xdr:col>
      <xdr:colOff>0</xdr:colOff>
      <xdr:row>17</xdr:row>
      <xdr:rowOff>0</xdr:rowOff>
    </xdr:from>
    <xdr:to>
      <xdr:col>30</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63302d268f4d09"/>
        </a:graphicData>
      </a:graphic>
    </xdr:graphicFrame>
    <xdr:clientData/>
  </xdr:twoCellAnchor>
  <xdr:twoCellAnchor>
    <xdr:from>
      <xdr:col>21</xdr:col>
      <xdr:colOff>0</xdr:colOff>
      <xdr:row>51</xdr:row>
      <xdr:rowOff>0</xdr:rowOff>
    </xdr:from>
    <xdr:to>
      <xdr:col>30</xdr:col>
      <xdr:colOff>0</xdr:colOff>
      <xdr:row>68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9e9b84ca5dd45d0"/>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3</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5fc3e32b8d4a5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59ee2d2a55004608" /></Relationships>
</file>

<file path=xl/worksheets/_rels/sheet4.xml.rels>&#65279;<?xml version="1.0" encoding="utf-8"?><Relationships xmlns="http://schemas.openxmlformats.org/package/2006/relationships"><Relationship Type="http://schemas.openxmlformats.org/officeDocument/2006/relationships/drawing" Target="/xl/drawings/drawing2.xml" Id="R710b5d2837e647ca" /></Relationships>
</file>

<file path=xl/worksheets/_rels/sheet5.xml.rels>&#65279;<?xml version="1.0" encoding="utf-8"?><Relationships xmlns="http://schemas.openxmlformats.org/package/2006/relationships"><Relationship Type="http://schemas.openxmlformats.org/officeDocument/2006/relationships/drawing" Target="/xl/drawings/drawing3.xml" Id="R8337f151d6d64b64" /></Relationships>
</file>

<file path=xl/worksheets/sheet1.xml><?xml version="1.0" encoding="utf-8"?>
<x:worksheet xmlns:x="http://schemas.openxmlformats.org/spreadsheetml/2006/main">
  <x:sheetFormatPr defaultRowHeight="15"/>
  <x:cols>
    <x:col min="1" max="1" width="24" hidden="0" customWidth="1"/>
    <x:col min="2" max="2" width="16" hidden="0" customWidth="1"/>
    <x:col min="3" max="3" width="24" hidden="0" customWidth="1"/>
    <x:col min="4" max="4" width="20" hidden="0" customWidth="1"/>
    <x:col min="5" max="5" width="25" hidden="0" customWidth="1"/>
    <x:col min="6" max="6" width="20" hidden="0" customWidth="1"/>
    <x:col min="7" max="7" width="25" hidden="0" customWidth="1"/>
    <x:col min="8" max="8" width="28" hidden="0" customWidth="1"/>
  </x:cols>
  <x:sheetData>
    <x:row r="1" ht="24" customHeight="1">
      <x:c r="A1" s="48" t="str">
        <x:v>Multi-Axis Active Vibration Control — Experimental Documentation</x:v>
      </x:c>
      <x:c r="B1" s="48"/>
      <x:c r="C1" s="48"/>
      <x:c r="D1" s="48"/>
      <x:c r="E1" s="48"/>
      <x:c r="F1" s="48"/>
      <x:c r="G1" s="48"/>
      <x:c r="H1" s="48"/>
      <x:c r="I1" s="49"/>
      <x:c r="J1" s="49"/>
      <x:c r="K1" s="49"/>
      <x:c r="L1" s="49"/>
      <x:c r="M1" s="49"/>
      <x:c r="N1" s="49"/>
      <x:c r="O1" s="49"/>
      <x:c r="P1" s="49"/>
      <x:c r="Q1" s="49"/>
      <x:c r="R1" s="49"/>
      <x:c r="S1" s="49"/>
      <x:c r="T1" s="49"/>
      <x:c r="U1" s="49"/>
      <x:c r="V1" s="49"/>
      <x:c r="W1" s="49"/>
      <x:c r="X1" s="49"/>
      <x:c r="Y1" s="49"/>
      <x:c r="Z1" s="49"/>
    </x:row>
    <x:row r="2" ht="24" customHeight="1">
      <x:c r="A2" s="48"/>
      <x:c r="B2" s="48"/>
      <x:c r="C2" s="48"/>
      <x:c r="D2" s="48"/>
      <x:c r="E2" s="48"/>
      <x:c r="F2" s="48"/>
      <x:c r="G2" s="48"/>
      <x:c r="H2" s="48"/>
      <x:c r="I2" s="49"/>
      <x:c r="J2" s="49"/>
      <x:c r="K2" s="49"/>
      <x:c r="L2" s="49"/>
      <x:c r="M2" s="49"/>
      <x:c r="N2" s="49"/>
      <x:c r="O2" s="49"/>
      <x:c r="P2" s="49"/>
      <x:c r="Q2" s="49"/>
      <x:c r="R2" s="49"/>
      <x:c r="S2" s="49"/>
      <x:c r="T2" s="49"/>
      <x:c r="U2" s="49"/>
      <x:c r="V2" s="49"/>
      <x:c r="W2" s="49"/>
      <x:c r="X2" s="49"/>
      <x:c r="Y2" s="49"/>
      <x:c r="Z2" s="49"/>
    </x:row>
    <x:row r="3">
      <x:c r="A3" s="45" t="str">
        <x:v>Experiment: TOTAL-amplitude matching + TOTAL-optimized phase sweep | Source: serial log supplied by user | Date: 2026-08-11</x:v>
      </x:c>
      <x:c r="B3" s="45"/>
      <x:c r="C3" s="45"/>
      <x:c r="D3" s="45"/>
      <x:c r="E3" s="45"/>
      <x:c r="F3" s="45"/>
      <x:c r="G3" s="45"/>
      <x:c r="H3" s="45"/>
      <x:c r="I3" s="49"/>
      <x:c r="J3" s="49"/>
      <x:c r="K3" s="49"/>
      <x:c r="L3" s="49"/>
      <x:c r="M3" s="49"/>
      <x:c r="N3" s="49"/>
      <x:c r="O3" s="49"/>
      <x:c r="P3" s="49"/>
      <x:c r="Q3" s="49"/>
      <x:c r="R3" s="49"/>
      <x:c r="S3" s="49"/>
      <x:c r="T3" s="49"/>
      <x:c r="U3" s="49"/>
      <x:c r="V3" s="49"/>
      <x:c r="W3" s="49"/>
      <x:c r="X3" s="49"/>
      <x:c r="Y3" s="49"/>
      <x:c r="Z3" s="49"/>
    </x:row>
    <x:row r="4">
      <x:c r="A4" s="49"/>
      <x:c r="B4" s="49"/>
      <x:c r="C4" s="49"/>
      <x:c r="D4" s="49"/>
      <x:c r="E4" s="49"/>
      <x:c r="F4" s="49"/>
      <x:c r="G4" s="49"/>
      <x:c r="H4" s="49"/>
      <x:c r="I4" s="49"/>
      <x:c r="J4" s="49"/>
      <x:c r="K4" s="49"/>
      <x:c r="L4" s="49"/>
      <x:c r="M4" s="49"/>
      <x:c r="N4" s="49"/>
      <x:c r="O4" s="49"/>
      <x:c r="P4" s="49"/>
      <x:c r="Q4" s="49"/>
      <x:c r="R4" s="49"/>
      <x:c r="S4" s="49"/>
      <x:c r="T4" s="49"/>
      <x:c r="U4" s="49"/>
      <x:c r="V4" s="49"/>
      <x:c r="W4" s="49"/>
      <x:c r="X4" s="49"/>
      <x:c r="Y4" s="49"/>
      <x:c r="Z4" s="49"/>
    </x:row>
    <x:row r="5">
      <x:c r="A5" s="50" t="str">
        <x:v>Experiment Configuration</x:v>
      </x:c>
      <x:c r="B5" s="50"/>
      <x:c r="C5" s="50"/>
      <x:c r="D5" s="50"/>
      <x:c r="E5" s="50"/>
      <x:c r="F5" s="50"/>
      <x:c r="G5" s="50"/>
      <x:c r="H5" s="50"/>
      <x:c r="I5" s="49"/>
      <x:c r="J5" s="49"/>
      <x:c r="K5" s="49"/>
      <x:c r="L5" s="49"/>
      <x:c r="M5" s="49"/>
      <x:c r="N5" s="49"/>
      <x:c r="O5" s="49"/>
      <x:c r="P5" s="49"/>
      <x:c r="Q5" s="49"/>
      <x:c r="R5" s="49"/>
      <x:c r="S5" s="49"/>
      <x:c r="T5" s="49"/>
      <x:c r="U5" s="49"/>
      <x:c r="V5" s="49"/>
      <x:c r="W5" s="49"/>
      <x:c r="X5" s="49"/>
      <x:c r="Y5" s="49"/>
      <x:c r="Z5" s="49"/>
    </x:row>
    <x:row r="6">
      <x:c r="A6" s="68" t="str">
        <x:v>Control objective</x:v>
      </x:c>
      <x:c r="B6" s="69" t="str">
        <x:v>TOTAL</x:v>
      </x:c>
      <x:c r="C6" s="69" t="str">
        <x:v>Control frequency (Hz)</x:v>
      </x:c>
      <x:c r="D6" s="69" t="n">
        <x:v>268.78452</x:v>
      </x:c>
      <x:c r="E6" s="69" t="str">
        <x:v>Matched DAC</x:v>
      </x:c>
      <x:c r="F6" s="69" t="n">
        <x:v>3.75</x:v>
      </x:c>
      <x:c r="G6" s="69" t="str">
        <x:v>Matcher target (m/s²)</x:v>
      </x:c>
      <x:c r="H6" s="70" t="n">
        <x:v>1.55296</x:v>
      </x:c>
      <x:c r="I6" s="49"/>
      <x:c r="J6" s="49"/>
      <x:c r="K6" s="49"/>
      <x:c r="L6" s="49"/>
      <x:c r="M6" s="49"/>
      <x:c r="N6" s="49"/>
      <x:c r="O6" s="49"/>
      <x:c r="P6" s="49"/>
      <x:c r="Q6" s="49"/>
      <x:c r="R6" s="49"/>
      <x:c r="S6" s="49"/>
      <x:c r="T6" s="49"/>
      <x:c r="U6" s="49"/>
      <x:c r="V6" s="49"/>
      <x:c r="W6" s="49"/>
      <x:c r="X6" s="49"/>
      <x:c r="Y6" s="49"/>
      <x:c r="Z6" s="49"/>
    </x:row>
    <x:row r="7">
      <x:c r="A7" s="71" t="str">
        <x:v>ADXL1 role</x:v>
      </x:c>
      <x:c r="B7" s="72" t="str">
        <x:v>Tool/reference</x:v>
      </x:c>
      <x:c r="C7" s="72" t="str">
        <x:v>ADXL2 role</x:v>
      </x:c>
      <x:c r="D7" s="72" t="str">
        <x:v>Hand/error</x:v>
      </x:c>
      <x:c r="E7" s="72" t="str">
        <x:v>Actuator</x:v>
      </x:c>
      <x:c r="F7" s="72" t="str">
        <x:v>Visaton EX 45 S</x:v>
      </x:c>
      <x:c r="G7" s="72" t="str">
        <x:v>Amplifier</x:v>
      </x:c>
      <x:c r="H7" s="73" t="str">
        <x:v>Class-D</x:v>
      </x:c>
      <x:c r="I7" s="49"/>
      <x:c r="J7" s="49"/>
      <x:c r="K7" s="49"/>
      <x:c r="L7" s="49"/>
      <x:c r="M7" s="49"/>
      <x:c r="N7" s="49"/>
      <x:c r="O7" s="49"/>
      <x:c r="P7" s="49"/>
      <x:c r="Q7" s="49"/>
      <x:c r="R7" s="49"/>
      <x:c r="S7" s="49"/>
      <x:c r="T7" s="49"/>
      <x:c r="U7" s="49"/>
      <x:c r="V7" s="49"/>
      <x:c r="W7" s="49"/>
      <x:c r="X7" s="49"/>
      <x:c r="Y7" s="49"/>
      <x:c r="Z7" s="49"/>
    </x:row>
    <x:row r="8">
      <x:c r="A8" s="74" t="str">
        <x:v>Frequency selection</x:v>
      </x:c>
      <x:c r="B8" s="75" t="str">
        <x:v>ADXL1 X FFT</x:v>
      </x:c>
      <x:c r="C8" s="75" t="str">
        <x:v>Baseline location</x:v>
      </x:c>
      <x:c r="D8" s="75" t="str">
        <x:v>ADXL2 at hand</x:v>
      </x:c>
      <x:c r="E8" s="75" t="str">
        <x:v>Phase sweep</x:v>
      </x:c>
      <x:c r="F8" s="75" t="str">
        <x:v>0–330° coarse + 15–45° fine</x:v>
      </x:c>
      <x:c r="G8" s="75" t="str">
        <x:v>Confirmation</x:v>
      </x:c>
      <x:c r="H8" s="76" t="str">
        <x:v>5 fresh cycles</x:v>
      </x:c>
      <x:c r="I8" s="49"/>
      <x:c r="J8" s="49"/>
      <x:c r="K8" s="49"/>
      <x:c r="L8" s="49"/>
      <x:c r="M8" s="49"/>
      <x:c r="N8" s="49"/>
      <x:c r="O8" s="49"/>
      <x:c r="P8" s="49"/>
      <x:c r="Q8" s="49"/>
      <x:c r="R8" s="49"/>
      <x:c r="S8" s="49"/>
      <x:c r="T8" s="49"/>
      <x:c r="U8" s="49"/>
      <x:c r="V8" s="49"/>
      <x:c r="W8" s="49"/>
      <x:c r="X8" s="49"/>
      <x:c r="Y8" s="49"/>
      <x:c r="Z8" s="49"/>
    </x:row>
    <x:row r="9">
      <x:c r="A9" s="49"/>
      <x:c r="B9" s="58"/>
      <x:c r="C9" s="58"/>
      <x:c r="D9" s="58"/>
      <x:c r="E9" s="58"/>
      <x:c r="F9" s="58"/>
      <x:c r="G9" s="58"/>
      <x:c r="H9" s="58"/>
      <x:c r="I9" s="49"/>
      <x:c r="J9" s="49"/>
      <x:c r="K9" s="49"/>
      <x:c r="L9" s="49"/>
      <x:c r="M9" s="49"/>
      <x:c r="N9" s="49"/>
      <x:c r="O9" s="49"/>
      <x:c r="P9" s="49"/>
      <x:c r="Q9" s="49"/>
      <x:c r="R9" s="49"/>
      <x:c r="S9" s="49"/>
      <x:c r="T9" s="49"/>
      <x:c r="U9" s="49"/>
      <x:c r="V9" s="49"/>
      <x:c r="W9" s="49"/>
      <x:c r="X9" s="49"/>
      <x:c r="Y9" s="49"/>
      <x:c r="Z9" s="49"/>
    </x:row>
    <x:row r="10">
      <x:c r="A10" s="50" t="str">
        <x:v>Key Numerical Findings</x:v>
      </x:c>
      <x:c r="B10" s="59"/>
      <x:c r="C10" s="59"/>
      <x:c r="D10" s="59"/>
      <x:c r="E10" s="59"/>
      <x:c r="F10" s="59"/>
      <x:c r="G10" s="59"/>
      <x:c r="H10" s="59"/>
      <x:c r="I10" s="49"/>
      <x:c r="J10" s="49"/>
      <x:c r="K10" s="49"/>
      <x:c r="L10" s="49"/>
      <x:c r="M10" s="49"/>
      <x:c r="N10" s="49"/>
      <x:c r="O10" s="49"/>
      <x:c r="P10" s="49"/>
      <x:c r="Q10" s="49"/>
      <x:c r="R10" s="49"/>
      <x:c r="S10" s="49"/>
      <x:c r="T10" s="49"/>
      <x:c r="U10" s="49"/>
      <x:c r="V10" s="49"/>
      <x:c r="W10" s="49"/>
      <x:c r="X10" s="49"/>
      <x:c r="Y10" s="49"/>
      <x:c r="Z10" s="49"/>
    </x:row>
    <x:row r="11">
      <x:c r="A11" s="68" t="str">
        <x:v>Baseline hand TOTAL (m/s²)</x:v>
      </x:c>
      <x:c r="B11" s="69" t="n">
        <x:v>1.55296</x:v>
      </x:c>
      <x:c r="C11" s="69" t="str">
        <x:v>Baseline X (m/s²)</x:v>
      </x:c>
      <x:c r="D11" s="69" t="n">
        <x:v>1.43314</x:v>
      </x:c>
      <x:c r="E11" s="69" t="str">
        <x:v>Baseline Y (m/s²)</x:v>
      </x:c>
      <x:c r="F11" s="69" t="n">
        <x:v>0.57341</x:v>
      </x:c>
      <x:c r="G11" s="69" t="str">
        <x:v>Baseline Z (m/s²)</x:v>
      </x:c>
      <x:c r="H11" s="70" t="n">
        <x:v>0.17028</x:v>
      </x:c>
      <x:c r="I11" s="49"/>
      <x:c r="J11" s="49"/>
      <x:c r="K11" s="49"/>
      <x:c r="L11" s="49"/>
      <x:c r="M11" s="49"/>
      <x:c r="N11" s="49"/>
      <x:c r="O11" s="49"/>
      <x:c r="P11" s="49"/>
      <x:c r="Q11" s="49"/>
      <x:c r="R11" s="49"/>
      <x:c r="S11" s="49"/>
      <x:c r="T11" s="49"/>
      <x:c r="U11" s="49"/>
      <x:c r="V11" s="49"/>
      <x:c r="W11" s="49"/>
      <x:c r="X11" s="49"/>
      <x:c r="Y11" s="49"/>
      <x:c r="Z11" s="49"/>
    </x:row>
    <x:row r="12">
      <x:c r="A12" s="71" t="str">
        <x:v>Visaton candidate TOTAL (m/s²)</x:v>
      </x:c>
      <x:c r="B12" s="72" t="n">
        <x:v>1.57125</x:v>
      </x:c>
      <x:c r="C12" s="72" t="str">
        <x:v>Visaton X (m/s²)</x:v>
      </x:c>
      <x:c r="D12" s="72" t="n">
        <x:v>0.92751</x:v>
      </x:c>
      <x:c r="E12" s="72" t="str">
        <x:v>Visaton Y (m/s²)</x:v>
      </x:c>
      <x:c r="F12" s="72" t="n">
        <x:v>0.58914</x:v>
      </x:c>
      <x:c r="G12" s="72" t="str">
        <x:v>Visaton Z (m/s²)</x:v>
      </x:c>
      <x:c r="H12" s="73" t="n">
        <x:v>1.12314</x:v>
      </x:c>
      <x:c r="I12" s="49"/>
      <x:c r="J12" s="49"/>
      <x:c r="K12" s="49"/>
      <x:c r="L12" s="49"/>
      <x:c r="M12" s="49"/>
      <x:c r="N12" s="49"/>
      <x:c r="O12" s="49"/>
      <x:c r="P12" s="49"/>
      <x:c r="Q12" s="49"/>
      <x:c r="R12" s="49"/>
      <x:c r="S12" s="49"/>
      <x:c r="T12" s="49"/>
      <x:c r="U12" s="49"/>
      <x:c r="V12" s="49"/>
      <x:c r="W12" s="49"/>
      <x:c r="X12" s="49"/>
      <x:c r="Y12" s="49"/>
      <x:c r="Z12" s="49"/>
    </x:row>
    <x:row r="13">
      <x:c r="A13" s="71" t="str">
        <x:v>Best coarse TOTAL reduction (%)</x:v>
      </x:c>
      <x:c r="B13" s="143" t="n">
        <x:v>-16.32</x:v>
      </x:c>
      <x:c r="C13" s="72" t="str">
        <x:v>Phase (deg)</x:v>
      </x:c>
      <x:c r="D13" s="72" t="n">
        <x:v>30</x:v>
      </x:c>
      <x:c r="E13" s="72" t="str">
        <x:v>Best coarse X reduction (%)</x:v>
      </x:c>
      <x:c r="F13" s="147" t="n">
        <x:v>56.85</x:v>
      </x:c>
      <x:c r="G13" s="72" t="str">
        <x:v>Best coarse X phase (deg)</x:v>
      </x:c>
      <x:c r="H13" s="73" t="n">
        <x:v>30</x:v>
      </x:c>
      <x:c r="I13" s="49"/>
      <x:c r="J13" s="49"/>
      <x:c r="K13" s="49"/>
      <x:c r="L13" s="49"/>
      <x:c r="M13" s="49"/>
      <x:c r="N13" s="49"/>
      <x:c r="O13" s="49"/>
      <x:c r="P13" s="49"/>
      <x:c r="Q13" s="49"/>
      <x:c r="R13" s="49"/>
      <x:c r="S13" s="49"/>
      <x:c r="T13" s="49"/>
      <x:c r="U13" s="49"/>
      <x:c r="V13" s="49"/>
      <x:c r="W13" s="49"/>
      <x:c r="X13" s="49"/>
      <x:c r="Y13" s="49"/>
      <x:c r="Z13" s="49"/>
    </x:row>
    <x:row r="14">
      <x:c r="A14" s="74" t="str">
        <x:v>Best observed X reduction (%)</x:v>
      </x:c>
      <x:c r="B14" s="75" t="n">
        <x:v>65.2</x:v>
      </x:c>
      <x:c r="C14" s="75" t="str">
        <x:v>Phase (deg)</x:v>
      </x:c>
      <x:c r="D14" s="75" t="n">
        <x:v>240</x:v>
      </x:c>
      <x:c r="E14" s="75" t="str">
        <x:v>Confirmation median TOTAL reduction (%)</x:v>
      </x:c>
      <x:c r="F14" s="151" t="n">
        <x:v>-268.57</x:v>
      </x:c>
      <x:c r="G14" s="75" t="str">
        <x:v>Overall TOTAL result</x:v>
      </x:c>
      <x:c r="H14" s="155" t="str">
        <x:v>No positive reduction</x:v>
      </x:c>
      <x:c r="I14" s="49"/>
      <x:c r="J14" s="49"/>
      <x:c r="K14" s="49"/>
      <x:c r="L14" s="49"/>
      <x:c r="M14" s="49"/>
      <x:c r="N14" s="49"/>
      <x:c r="O14" s="49"/>
      <x:c r="P14" s="49"/>
      <x:c r="Q14" s="49"/>
      <x:c r="R14" s="49"/>
      <x:c r="S14" s="49"/>
      <x:c r="T14" s="49"/>
      <x:c r="U14" s="49"/>
      <x:c r="V14" s="49"/>
      <x:c r="W14" s="49"/>
      <x:c r="X14" s="49"/>
      <x:c r="Y14" s="49"/>
      <x:c r="Z14" s="49"/>
    </x:row>
    <x:row r="15">
      <x:c r="A15" s="49"/>
      <x:c r="B15" s="58"/>
      <x:c r="C15" s="58"/>
      <x:c r="D15" s="58"/>
      <x:c r="E15" s="58"/>
      <x:c r="F15" s="58"/>
      <x:c r="G15" s="58"/>
      <x:c r="H15" s="58"/>
      <x:c r="I15" s="49"/>
      <x:c r="J15" s="49"/>
      <x:c r="K15" s="49"/>
      <x:c r="L15" s="49"/>
      <x:c r="M15" s="49"/>
      <x:c r="N15" s="49"/>
      <x:c r="O15" s="49"/>
      <x:c r="P15" s="49"/>
      <x:c r="Q15" s="49"/>
      <x:c r="R15" s="49"/>
      <x:c r="S15" s="49"/>
      <x:c r="T15" s="49"/>
      <x:c r="U15" s="49"/>
      <x:c r="V15" s="49"/>
      <x:c r="W15" s="49"/>
      <x:c r="X15" s="49"/>
      <x:c r="Y15" s="49"/>
      <x:c r="Z15" s="49"/>
    </x:row>
    <x:row r="16">
      <x:c r="A16" s="50" t="str">
        <x:v>Derived Diagnostics</x:v>
      </x:c>
      <x:c r="B16" s="59"/>
      <x:c r="C16" s="59"/>
      <x:c r="D16" s="59"/>
      <x:c r="E16" s="59"/>
      <x:c r="F16" s="59"/>
      <x:c r="G16" s="59"/>
      <x:c r="H16" s="59"/>
      <x:c r="I16" s="49"/>
      <x:c r="J16" s="49"/>
      <x:c r="K16" s="49"/>
      <x:c r="L16" s="49"/>
      <x:c r="M16" s="49"/>
      <x:c r="N16" s="49"/>
      <x:c r="O16" s="49"/>
      <x:c r="P16" s="49"/>
      <x:c r="Q16" s="49"/>
      <x:c r="R16" s="49"/>
      <x:c r="S16" s="49"/>
      <x:c r="T16" s="49"/>
      <x:c r="U16" s="49"/>
      <x:c r="V16" s="49"/>
      <x:c r="W16" s="49"/>
      <x:c r="X16" s="49"/>
      <x:c r="Y16" s="49"/>
      <x:c r="Z16" s="49"/>
    </x:row>
    <x:row r="17">
      <x:c r="A17" s="86" t="str">
        <x:v>Metric</x:v>
      </x:c>
      <x:c r="B17" s="87" t="str">
        <x:v>Value</x:v>
      </x:c>
      <x:c r="C17" s="58"/>
      <x:c r="D17" s="90" t="str">
        <x:v>Interpretation</x:v>
      </x:c>
      <x:c r="E17" s="91" t="str">
        <x:v>Finding</x:v>
      </x:c>
      <x:c r="F17" s="91" t="str">
        <x:v>Implication</x:v>
      </x:c>
      <x:c r="G17" s="91" t="str">
        <x:v>Thesis-use wording</x:v>
      </x:c>
      <x:c r="H17" s="87" t="str">
        <x:v>Status</x:v>
      </x:c>
      <x:c r="I17" s="49"/>
      <x:c r="J17" s="49"/>
      <x:c r="K17" s="49"/>
      <x:c r="L17" s="49"/>
      <x:c r="M17" s="49"/>
      <x:c r="N17" s="49"/>
      <x:c r="O17" s="49"/>
      <x:c r="P17" s="49"/>
      <x:c r="Q17" s="49"/>
      <x:c r="R17" s="49"/>
      <x:c r="S17" s="49"/>
      <x:c r="T17" s="49"/>
      <x:c r="U17" s="49"/>
      <x:c r="V17" s="49"/>
      <x:c r="W17" s="49"/>
      <x:c r="X17" s="49"/>
      <x:c r="Y17" s="49"/>
      <x:c r="Z17" s="49"/>
    </x:row>
    <x:row r="18">
      <x:c r="A18" s="71" t="str">
        <x:v>Visaton Z / baseline Z amplitude ratio</x:v>
      </x:c>
      <x:c r="B18" s="73" t="n">
        <x:f>'Amplitude Matcher'!D16/'Baseline c'!D7</x:f>
        <x:v>6.595842142353771</x:v>
      </x:c>
      <x:c r="C18" s="58"/>
      <x:c r="D18" s="92" t="str">
        <x:v>Scalar magnitude match</x:v>
      </x:c>
      <x:c r="E18" s="72" t="str">
        <x:v>Tool TOTAL ≈ Visaton TOTAL, but axis composition differs strongly.</x:v>
      </x:c>
      <x:c r="F18" s="72" t="str">
        <x:v>Magnitude matching does not equal 3-D vector matching.</x:v>
      </x:c>
      <x:c r="G18" s="72" t="str">
        <x:v>Matched resultant magnitude did not yield resultant cancellation because actuator cross-axis response differed from disturbance direction.</x:v>
      </x:c>
      <x:c r="H18" s="73" t="str">
        <x:v>Supported</x:v>
      </x:c>
      <x:c r="I18" s="49"/>
      <x:c r="J18" s="49"/>
      <x:c r="K18" s="49"/>
      <x:c r="L18" s="49"/>
      <x:c r="M18" s="49"/>
      <x:c r="N18" s="49"/>
      <x:c r="O18" s="49"/>
      <x:c r="P18" s="49"/>
      <x:c r="Q18" s="49"/>
      <x:c r="R18" s="49"/>
      <x:c r="S18" s="49"/>
      <x:c r="T18" s="49"/>
      <x:c r="U18" s="49"/>
      <x:c r="V18" s="49"/>
      <x:c r="W18" s="49"/>
      <x:c r="X18" s="49"/>
      <x:c r="Y18" s="49"/>
      <x:c r="Z18" s="49"/>
    </x:row>
    <x:row r="19">
      <x:c r="A19" s="71" t="str">
        <x:v>Matcher confirmation mean (m/s²)</x:v>
      </x:c>
      <x:c r="B19" s="73" t="n">
        <x:f>AVERAGE('Amplitude Matcher'!H22:H26)</x:f>
        <x:v>1.9569040000000002</x:v>
      </x:c>
      <x:c r="C19" s="58"/>
      <x:c r="D19" s="92" t="str">
        <x:v>X-axis cancellation</x:v>
      </x:c>
      <x:c r="E19" s="72" t="str">
        <x:v>Strong X reduction still appears at selected phases.</x:v>
      </x:c>
      <x:c r="F19" s="72" t="str">
        <x:v>Single-axis destructive interference remains physically observable.</x:v>
      </x:c>
      <x:c r="G19" s="72" t="str">
        <x:v>The single-actuator system demonstrated substantial narrow-band X-axis attenuation, but not simultaneous triaxial attenuation.</x:v>
      </x:c>
      <x:c r="H19" s="73" t="str">
        <x:v>Supported</x:v>
      </x:c>
      <x:c r="I19" s="49"/>
      <x:c r="J19" s="49"/>
      <x:c r="K19" s="49"/>
      <x:c r="L19" s="49"/>
      <x:c r="M19" s="49"/>
      <x:c r="N19" s="49"/>
      <x:c r="O19" s="49"/>
      <x:c r="P19" s="49"/>
      <x:c r="Q19" s="49"/>
      <x:c r="R19" s="49"/>
      <x:c r="S19" s="49"/>
      <x:c r="T19" s="49"/>
      <x:c r="U19" s="49"/>
      <x:c r="V19" s="49"/>
      <x:c r="W19" s="49"/>
      <x:c r="X19" s="49"/>
      <x:c r="Y19" s="49"/>
      <x:c r="Z19" s="49"/>
    </x:row>
    <x:row r="20">
      <x:c r="A20" s="71" t="str">
        <x:v>Matcher confirmation SD (m/s²)</x:v>
      </x:c>
      <x:c r="B20" s="73" t="n">
        <x:f>STDEV.S('Amplitude Matcher'!H22:H26)</x:f>
        <x:v>0.7979554035972185</x:v>
      </x:c>
      <x:c r="C20" s="58"/>
      <x:c r="D20" s="92" t="str">
        <x:v>Z cross-axis coupling</x:v>
      </x:c>
      <x:c r="E20" s="72" t="str">
        <x:v>Visaton Z response greatly exceeds original Z disturbance.</x:v>
      </x:c>
      <x:c r="F20" s="72" t="str">
        <x:v>Z injection dominates the resultant and prevents total reduction.</x:v>
      </x:c>
      <x:c r="G20" s="72" t="str">
        <x:v>Cross-axis actuator coupling, particularly in Z, was the dominant limitation of resultant control.</x:v>
      </x:c>
      <x:c r="H20" s="73" t="str">
        <x:v>Supported</x:v>
      </x:c>
      <x:c r="I20" s="49"/>
      <x:c r="J20" s="49"/>
      <x:c r="K20" s="49"/>
      <x:c r="L20" s="49"/>
      <x:c r="M20" s="49"/>
      <x:c r="N20" s="49"/>
      <x:c r="O20" s="49"/>
      <x:c r="P20" s="49"/>
      <x:c r="Q20" s="49"/>
      <x:c r="R20" s="49"/>
      <x:c r="S20" s="49"/>
      <x:c r="T20" s="49"/>
      <x:c r="U20" s="49"/>
      <x:c r="V20" s="49"/>
      <x:c r="W20" s="49"/>
      <x:c r="X20" s="49"/>
      <x:c r="Y20" s="49"/>
      <x:c r="Z20" s="49"/>
    </x:row>
    <x:row r="21">
      <x:c r="A21" s="71" t="str">
        <x:v>Matcher confirmation CV (%)</x:v>
      </x:c>
      <x:c r="B21" s="73" t="n">
        <x:f>B20/B19*100</x:f>
        <x:v>40.77642048854816</x:v>
      </x:c>
      <x:c r="C21" s="58"/>
      <x:c r="D21" s="92" t="str">
        <x:v>TOTAL strategy</x:v>
      </x:c>
      <x:c r="E21" s="72" t="str">
        <x:v>No tested coarse phase at matched TOTAL produced positive TOTAL reduction.</x:v>
      </x:c>
      <x:c r="F21" s="72" t="str">
        <x:v>TOTAL-match + phase-sweep heuristic failed for this mounting/configuration.</x:v>
      </x:c>
      <x:c r="G21" s="72" t="str">
        <x:v>Scalar resultant-amplitude matching was insufficient for overall vibration attenuation with one actuator.</x:v>
      </x:c>
      <x:c r="H21" s="73" t="str">
        <x:v>Supported</x:v>
      </x:c>
      <x:c r="I21" s="49"/>
      <x:c r="J21" s="49"/>
      <x:c r="K21" s="49"/>
      <x:c r="L21" s="49"/>
      <x:c r="M21" s="49"/>
      <x:c r="N21" s="49"/>
      <x:c r="O21" s="49"/>
      <x:c r="P21" s="49"/>
      <x:c r="Q21" s="49"/>
      <x:c r="R21" s="49"/>
      <x:c r="S21" s="49"/>
      <x:c r="T21" s="49"/>
      <x:c r="U21" s="49"/>
      <x:c r="V21" s="49"/>
      <x:c r="W21" s="49"/>
      <x:c r="X21" s="49"/>
      <x:c r="Y21" s="49"/>
      <x:c r="Z21" s="49"/>
    </x:row>
    <x:row r="22">
      <x:c r="A22" s="74" t="str">
        <x:v>Confirmation residual TOTAL CV (%)</x:v>
      </x:c>
      <x:c r="B22" s="76" t="n">
        <x:f>STDEV.S('Phase Sweep'!M37:M41)/AVERAGE('Phase Sweep'!M37:M41)*100</x:f>
        <x:v>3.0469066511446212</x:v>
      </x:c>
      <x:c r="C22" s="58"/>
      <x:c r="D22" s="93" t="str">
        <x:v>Repeatability</x:v>
      </x:c>
      <x:c r="E22" s="75" t="str">
        <x:v>Phase confirmation consistently showed strong total worsening; matcher amplitude itself was unstable.</x:v>
      </x:c>
      <x:c r="F22" s="75" t="str">
        <x:v>Protocol/control branch needs timing/stability refinement before a 2-D search.</x:v>
      </x:c>
      <x:c r="G22" s="75" t="str">
        <x:v>A simplified validation branch exposed both mechanical coupling and control-timing sensitivity.</x:v>
      </x:c>
      <x:c r="H22" s="76" t="str">
        <x:v>Supported</x:v>
      </x:c>
      <x:c r="I22" s="49"/>
      <x:c r="J22" s="49"/>
      <x:c r="K22" s="49"/>
      <x:c r="L22" s="49"/>
      <x:c r="M22" s="49"/>
      <x:c r="N22" s="49"/>
      <x:c r="O22" s="49"/>
      <x:c r="P22" s="49"/>
      <x:c r="Q22" s="49"/>
      <x:c r="R22" s="49"/>
      <x:c r="S22" s="49"/>
      <x:c r="T22" s="49"/>
      <x:c r="U22" s="49"/>
      <x:c r="V22" s="49"/>
      <x:c r="W22" s="49"/>
      <x:c r="X22" s="49"/>
      <x:c r="Y22" s="49"/>
      <x:c r="Z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50" t="str">
        <x:v>Recommended Use in Thesis</x:v>
      </x:c>
      <x:c r="B24" s="50"/>
      <x:c r="C24" s="50"/>
      <x:c r="D24" s="50"/>
      <x:c r="E24" s="50"/>
      <x:c r="F24" s="50"/>
      <x:c r="G24" s="50"/>
      <x:c r="H24" s="50"/>
      <x:c r="I24" s="49"/>
      <x:c r="J24" s="49"/>
      <x:c r="K24" s="49"/>
      <x:c r="L24" s="49"/>
      <x:c r="M24" s="49"/>
      <x:c r="N24" s="49"/>
      <x:c r="O24" s="49"/>
      <x:c r="P24" s="49"/>
      <x:c r="Q24" s="49"/>
      <x:c r="R24" s="49"/>
      <x:c r="S24" s="49"/>
      <x:c r="T24" s="49"/>
      <x:c r="U24" s="49"/>
      <x:c r="V24" s="49"/>
      <x:c r="W24" s="49"/>
      <x:c r="X24" s="49"/>
      <x:c r="Y24" s="49"/>
      <x:c r="Z24" s="49"/>
    </x:row>
    <x:row r="25">
      <x:c r="A25" s="45" t="str">
        <x:v>Use this experiment as a multi-axis limitation study, not as evidence of successful resultant cancellation. The data show that matching the scalar triaxial resultant of the Visaton to the scalar hand baseline does not align the actuator's X/Y/Z response with the disturbance vector. The actuator produced useful destructive interference in X at some phases, but strong Z cross-axis vibration caused the total resultant to increase at every tested coarse phase. This supports retaining the X-axis narrow-band cancellation result as the primary proof-of-principle while documenting cross-axis coupling as a principal limitation of the single-Visaton architecture.</x:v>
      </x:c>
      <x:c r="B25" s="45"/>
      <x:c r="C25" s="45"/>
      <x:c r="D25" s="45"/>
      <x:c r="E25" s="45"/>
      <x:c r="F25" s="45"/>
      <x:c r="G25" s="45"/>
      <x:c r="H25" s="45"/>
      <x:c r="I25" s="49"/>
      <x:c r="J25" s="49"/>
      <x:c r="K25" s="49"/>
      <x:c r="L25" s="49"/>
      <x:c r="M25" s="49"/>
      <x:c r="N25" s="49"/>
      <x:c r="O25" s="49"/>
      <x:c r="P25" s="49"/>
      <x:c r="Q25" s="49"/>
      <x:c r="R25" s="49"/>
      <x:c r="S25" s="49"/>
      <x:c r="T25" s="49"/>
      <x:c r="U25" s="49"/>
      <x:c r="V25" s="49"/>
      <x:c r="W25" s="49"/>
      <x:c r="X25" s="49"/>
      <x:c r="Y25" s="49"/>
      <x:c r="Z25" s="49"/>
    </x:row>
    <x:row r="26">
      <x:c r="A26" s="45"/>
      <x:c r="B26" s="45"/>
      <x:c r="C26" s="45"/>
      <x:c r="D26" s="45"/>
      <x:c r="E26" s="45"/>
      <x:c r="F26" s="45"/>
      <x:c r="G26" s="45"/>
      <x:c r="H26" s="45"/>
      <x:c r="I26" s="49"/>
      <x:c r="J26" s="49"/>
      <x:c r="K26" s="49"/>
      <x:c r="L26" s="49"/>
      <x:c r="M26" s="49"/>
      <x:c r="N26" s="49"/>
      <x:c r="O26" s="49"/>
      <x:c r="P26" s="49"/>
      <x:c r="Q26" s="49"/>
      <x:c r="R26" s="49"/>
      <x:c r="S26" s="49"/>
      <x:c r="T26" s="49"/>
      <x:c r="U26" s="49"/>
      <x:c r="V26" s="49"/>
      <x:c r="W26" s="49"/>
      <x:c r="X26" s="49"/>
      <x:c r="Y26" s="49"/>
      <x:c r="Z26" s="49"/>
    </x:row>
    <x:row r="27">
      <x:c r="A27" s="45"/>
      <x:c r="B27" s="45"/>
      <x:c r="C27" s="45"/>
      <x:c r="D27" s="45"/>
      <x:c r="E27" s="45"/>
      <x:c r="F27" s="45"/>
      <x:c r="G27" s="45"/>
      <x:c r="H27" s="45"/>
      <x:c r="I27" s="49"/>
      <x:c r="J27" s="49"/>
      <x:c r="K27" s="49"/>
      <x:c r="L27" s="49"/>
      <x:c r="M27" s="49"/>
      <x:c r="N27" s="49"/>
      <x:c r="O27" s="49"/>
      <x:c r="P27" s="49"/>
      <x:c r="Q27" s="49"/>
      <x:c r="R27" s="49"/>
      <x:c r="S27" s="49"/>
      <x:c r="T27" s="49"/>
      <x:c r="U27" s="49"/>
      <x:c r="V27" s="49"/>
      <x:c r="W27" s="49"/>
      <x:c r="X27" s="49"/>
      <x:c r="Y27" s="49"/>
      <x:c r="Z27" s="49"/>
    </x:row>
    <x:row r="28">
      <x:c r="A28" s="45"/>
      <x:c r="B28" s="45"/>
      <x:c r="C28" s="45"/>
      <x:c r="D28" s="45"/>
      <x:c r="E28" s="45"/>
      <x:c r="F28" s="45"/>
      <x:c r="G28" s="45"/>
      <x:c r="H28" s="45"/>
      <x:c r="I28" s="49"/>
      <x:c r="J28" s="49"/>
      <x:c r="K28" s="49"/>
      <x:c r="L28" s="49"/>
      <x:c r="M28" s="49"/>
      <x:c r="N28" s="49"/>
      <x:c r="O28" s="49"/>
      <x:c r="P28" s="49"/>
      <x:c r="Q28" s="49"/>
      <x:c r="R28" s="49"/>
      <x:c r="S28" s="49"/>
      <x:c r="T28" s="49"/>
      <x:c r="U28" s="49"/>
      <x:c r="V28" s="49"/>
      <x:c r="W28" s="49"/>
      <x:c r="X28" s="49"/>
      <x:c r="Y28" s="49"/>
      <x:c r="Z28" s="49"/>
    </x:row>
    <x:row r="29">
      <x:c r="A29" s="45"/>
      <x:c r="B29" s="45"/>
      <x:c r="C29" s="45"/>
      <x:c r="D29" s="45"/>
      <x:c r="E29" s="45"/>
      <x:c r="F29" s="45"/>
      <x:c r="G29" s="45"/>
      <x:c r="H29" s="45"/>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sheetData>
  <x:mergeCells>
    <x:mergeCell ref="A1:H2"/>
    <x:mergeCell ref="A3:H3"/>
    <x:mergeCell ref="A5:H5"/>
    <x:mergeCell ref="A10:H10"/>
    <x:mergeCell ref="A16:H16"/>
    <x:mergeCell ref="A24:H24"/>
    <x:mergeCell ref="A25:H29"/>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6" hidden="0" customWidth="1"/>
    <x:col min="7" max="7" width="14" hidden="0" customWidth="1"/>
    <x:col min="8" max="8" width="48" hidden="0" customWidth="1"/>
  </x:cols>
  <x:sheetData>
    <x:row r="1" ht="24" customHeight="1">
      <x:c r="A1" s="48" t="str">
        <x:v>Stage c — Tool Reference and Hand Baseline</x:v>
      </x:c>
      <x:c r="B1" s="48"/>
      <x:c r="C1" s="48"/>
      <x:c r="D1" s="48"/>
      <x:c r="E1" s="48"/>
      <x:c r="F1" s="48"/>
      <x:c r="G1" s="48"/>
      <x:c r="H1" s="48"/>
      <x:c r="I1" s="49"/>
      <x:c r="J1" s="49"/>
      <x:c r="K1" s="49"/>
      <x:c r="L1" s="49"/>
      <x:c r="M1" s="49"/>
      <x:c r="N1" s="49"/>
      <x:c r="O1" s="49"/>
      <x:c r="P1" s="49"/>
      <x:c r="Q1" s="49"/>
      <x:c r="R1" s="49"/>
      <x:c r="S1" s="49"/>
      <x:c r="T1" s="49"/>
      <x:c r="U1" s="49"/>
      <x:c r="V1" s="49"/>
      <x:c r="W1" s="49"/>
      <x:c r="X1" s="49"/>
      <x:c r="Y1" s="49"/>
      <x:c r="Z1" s="49"/>
    </x:row>
    <x:row r="2" ht="24" customHeight="1">
      <x:c r="A2" s="48"/>
      <x:c r="B2" s="48"/>
      <x:c r="C2" s="48"/>
      <x:c r="D2" s="48"/>
      <x:c r="E2" s="48"/>
      <x:c r="F2" s="48"/>
      <x:c r="G2" s="48"/>
      <x:c r="H2" s="48"/>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x:c r="A4" s="86" t="str">
        <x:v>Quantity</x:v>
      </x:c>
      <x:c r="B4" s="98" t="str">
        <x:v>X</x:v>
      </x:c>
      <x:c r="C4" s="98" t="str">
        <x:v>Y</x:v>
      </x:c>
      <x:c r="D4" s="98" t="str">
        <x:v>Z</x:v>
      </x:c>
      <x:c r="E4" s="98" t="str">
        <x:v>TOTAL</x:v>
      </x:c>
      <x:c r="F4" s="98" t="str">
        <x:v>Frequency (Hz)</x:v>
      </x:c>
      <x:c r="G4" s="98" t="str">
        <x:v>SNR (dB)</x:v>
      </x:c>
      <x:c r="H4" s="99" t="str">
        <x:v>Notes</x:v>
      </x:c>
      <x:c r="I4" s="49"/>
      <x:c r="J4" s="49"/>
      <x:c r="K4" s="49"/>
      <x:c r="L4" s="49"/>
      <x:c r="M4" s="49"/>
      <x:c r="N4" s="49"/>
      <x:c r="O4" s="49"/>
      <x:c r="P4" s="49"/>
      <x:c r="Q4" s="49"/>
      <x:c r="R4" s="49"/>
      <x:c r="S4" s="49"/>
      <x:c r="T4" s="49"/>
      <x:c r="U4" s="49"/>
      <x:c r="V4" s="49"/>
      <x:c r="W4" s="49"/>
      <x:c r="X4" s="49"/>
      <x:c r="Y4" s="49"/>
      <x:c r="Z4" s="49"/>
    </x:row>
    <x:row r="5">
      <x:c r="A5" s="71" t="str">
        <x:v>ADXL1 FFT</x:v>
      </x:c>
      <x:c r="B5" s="100" t="n">
        <x:v>3.62224</x:v>
      </x:c>
      <x:c r="C5" s="100" t="n">
        <x:v>1.77584</x:v>
      </x:c>
      <x:c r="D5" s="100" t="n">
        <x:v>1.30658</x:v>
      </x:c>
      <x:c r="E5" s="100"/>
      <x:c r="F5" s="100" t="n">
        <x:v>268.78452</x:v>
      </x:c>
      <x:c r="G5" s="100"/>
      <x:c r="H5" s="101" t="str">
        <x:v>Y dominant peak = 192.757 Hz; Z dominant peak = 192.714 Hz. Controller locked to ADXL1-X frequency.</x:v>
      </x:c>
      <x:c r="I5" s="49"/>
      <x:c r="J5" s="49"/>
      <x:c r="K5" s="49"/>
      <x:c r="L5" s="49"/>
      <x:c r="M5" s="49"/>
      <x:c r="N5" s="49"/>
      <x:c r="O5" s="49"/>
      <x:c r="P5" s="49"/>
      <x:c r="Q5" s="49"/>
      <x:c r="R5" s="49"/>
      <x:c r="S5" s="49"/>
      <x:c r="T5" s="49"/>
      <x:c r="U5" s="49"/>
      <x:c r="V5" s="49"/>
      <x:c r="W5" s="49"/>
      <x:c r="X5" s="49"/>
      <x:c r="Y5" s="49"/>
      <x:c r="Z5" s="49"/>
    </x:row>
    <x:row r="6">
      <x:c r="A6" s="71" t="str">
        <x:v>ADXL1 exact-frequency reference</x:v>
      </x:c>
      <x:c r="B6" s="100" t="n">
        <x:v>3.55907</x:v>
      </x:c>
      <x:c r="C6" s="100"/>
      <x:c r="D6" s="100"/>
      <x:c r="E6" s="100"/>
      <x:c r="F6" s="100" t="n">
        <x:v>268.78452</x:v>
      </x:c>
      <x:c r="G6" s="100"/>
      <x:c r="H6" s="101" t="str">
        <x:v>Tool/reference X amplitude at locked frequency.</x:v>
      </x:c>
      <x:c r="I6" s="49"/>
      <x:c r="J6" s="49"/>
      <x:c r="K6" s="49"/>
      <x:c r="L6" s="49"/>
      <x:c r="M6" s="49"/>
      <x:c r="N6" s="49"/>
      <x:c r="O6" s="49"/>
      <x:c r="P6" s="49"/>
      <x:c r="Q6" s="49"/>
      <x:c r="R6" s="49"/>
      <x:c r="S6" s="49"/>
      <x:c r="T6" s="49"/>
      <x:c r="U6" s="49"/>
      <x:c r="V6" s="49"/>
      <x:c r="W6" s="49"/>
      <x:c r="X6" s="49"/>
      <x:c r="Y6" s="49"/>
      <x:c r="Z6" s="49"/>
    </x:row>
    <x:row r="7">
      <x:c r="A7" s="74" t="str">
        <x:v>ADXL2 hand baseline</x:v>
      </x:c>
      <x:c r="B7" s="102" t="n">
        <x:v>1.43314</x:v>
      </x:c>
      <x:c r="C7" s="102" t="n">
        <x:v>0.57341</x:v>
      </x:c>
      <x:c r="D7" s="102" t="n">
        <x:v>0.17028</x:v>
      </x:c>
      <x:c r="E7" s="102" t="n">
        <x:v>1.55296</x:v>
      </x:c>
      <x:c r="F7" s="102" t="n">
        <x:v>268.78452</x:v>
      </x:c>
      <x:c r="G7" s="102"/>
      <x:c r="H7" s="103" t="str">
        <x:v>All ADXL2 amplitudes measured at the same locked ADXL1-X frequency.</x:v>
      </x:c>
      <x:c r="I7" s="49"/>
      <x:c r="J7" s="49"/>
      <x:c r="K7" s="49"/>
      <x:c r="L7" s="49"/>
      <x:c r="M7" s="49"/>
      <x:c r="N7" s="49"/>
      <x:c r="O7" s="49"/>
      <x:c r="P7" s="49"/>
      <x:c r="Q7" s="49"/>
      <x:c r="R7" s="49"/>
      <x:c r="S7" s="49"/>
      <x:c r="T7" s="49"/>
      <x:c r="U7" s="49"/>
      <x:c r="V7" s="49"/>
      <x:c r="W7" s="49"/>
      <x:c r="X7" s="49"/>
      <x:c r="Y7" s="49"/>
      <x:c r="Z7" s="49"/>
    </x:row>
    <x:row r="8">
      <x:c r="A8" s="49"/>
      <x:c r="B8" s="54"/>
      <x:c r="C8" s="54"/>
      <x:c r="D8" s="54"/>
      <x:c r="E8" s="54"/>
      <x:c r="F8" s="54"/>
      <x:c r="G8" s="54"/>
      <x:c r="H8" s="49"/>
      <x:c r="I8" s="49"/>
      <x:c r="J8" s="49"/>
      <x:c r="K8" s="49"/>
      <x:c r="L8" s="49"/>
      <x:c r="M8" s="49"/>
      <x:c r="N8" s="49"/>
      <x:c r="O8" s="49"/>
      <x:c r="P8" s="49"/>
      <x:c r="Q8" s="49"/>
      <x:c r="R8" s="49"/>
      <x:c r="S8" s="49"/>
      <x:c r="T8" s="49"/>
      <x:c r="U8" s="49"/>
      <x:c r="V8" s="49"/>
      <x:c r="W8" s="49"/>
      <x:c r="X8" s="49"/>
      <x:c r="Y8" s="49"/>
      <x:c r="Z8" s="49"/>
    </x:row>
    <x:row r="9">
      <x:c r="A9" s="86" t="str">
        <x:v>Axis</x:v>
      </x:c>
      <x:c r="B9" s="110" t="str">
        <x:v>Baseline amplitude</x:v>
      </x:c>
      <x:c r="C9" s="110" t="str">
        <x:v>Fraction of resultant</x:v>
      </x:c>
      <x:c r="D9" s="111" t="str">
        <x:v>Squared fraction</x:v>
      </x:c>
      <x:c r="E9" s="54"/>
      <x:c r="F9" s="54"/>
      <x:c r="G9" s="54"/>
      <x:c r="H9" s="49"/>
      <x:c r="I9" s="49"/>
      <x:c r="J9" s="49"/>
      <x:c r="K9" s="49"/>
      <x:c r="L9" s="49"/>
      <x:c r="M9" s="49"/>
      <x:c r="N9" s="49"/>
      <x:c r="O9" s="49"/>
      <x:c r="P9" s="49"/>
      <x:c r="Q9" s="49"/>
      <x:c r="R9" s="49"/>
      <x:c r="S9" s="49"/>
      <x:c r="T9" s="49"/>
      <x:c r="U9" s="49"/>
      <x:c r="V9" s="49"/>
      <x:c r="W9" s="49"/>
      <x:c r="X9" s="49"/>
      <x:c r="Y9" s="49"/>
      <x:c r="Z9" s="49"/>
    </x:row>
    <x:row r="10">
      <x:c r="A10" s="71" t="str">
        <x:v>X</x:v>
      </x:c>
      <x:c r="B10" s="100" t="n">
        <x:v>1.43314</x:v>
      </x:c>
      <x:c r="C10" s="100" t="n">
        <x:f>B10/$E$7</x:f>
        <x:v>0.9228441170410057</x:v>
      </x:c>
      <x:c r="D10" s="112" t="n">
        <x:f>B10^2/$E$7^2</x:f>
        <x:v>0.8516412643571933</x:v>
      </x:c>
      <x:c r="E10" s="54"/>
      <x:c r="F10" s="54"/>
      <x:c r="G10" s="54"/>
      <x:c r="H10" s="49"/>
      <x:c r="I10" s="49"/>
      <x:c r="J10" s="49"/>
      <x:c r="K10" s="49"/>
      <x:c r="L10" s="49"/>
      <x:c r="M10" s="49"/>
      <x:c r="N10" s="49"/>
      <x:c r="O10" s="49"/>
      <x:c r="P10" s="49"/>
      <x:c r="Q10" s="49"/>
      <x:c r="R10" s="49"/>
      <x:c r="S10" s="49"/>
      <x:c r="T10" s="49"/>
      <x:c r="U10" s="49"/>
      <x:c r="V10" s="49"/>
      <x:c r="W10" s="49"/>
      <x:c r="X10" s="49"/>
      <x:c r="Y10" s="49"/>
      <x:c r="Z10" s="49"/>
    </x:row>
    <x:row r="11">
      <x:c r="A11" s="71" t="str">
        <x:v>Y</x:v>
      </x:c>
      <x:c r="B11" s="100" t="n">
        <x:v>0.57341</x:v>
      </x:c>
      <x:c r="C11" s="100" t="n">
        <x:f>B11/$E$7</x:f>
        <x:v>0.36923681228106325</x:v>
      </x:c>
      <x:c r="D11" s="112" t="n">
        <x:f>B11^2/$E$7^2</x:f>
        <x:v>0.13633582354348114</x:v>
      </x:c>
      <x:c r="E11" s="54"/>
      <x:c r="F11" s="54"/>
      <x:c r="G11" s="54"/>
      <x:c r="H11" s="49"/>
      <x:c r="I11" s="49"/>
      <x:c r="J11" s="49"/>
      <x:c r="K11" s="49"/>
      <x:c r="L11" s="49"/>
      <x:c r="M11" s="49"/>
      <x:c r="N11" s="49"/>
      <x:c r="O11" s="49"/>
      <x:c r="P11" s="49"/>
      <x:c r="Q11" s="49"/>
      <x:c r="R11" s="49"/>
      <x:c r="S11" s="49"/>
      <x:c r="T11" s="49"/>
      <x:c r="U11" s="49"/>
      <x:c r="V11" s="49"/>
      <x:c r="W11" s="49"/>
      <x:c r="X11" s="49"/>
      <x:c r="Y11" s="49"/>
      <x:c r="Z11" s="49"/>
    </x:row>
    <x:row r="12">
      <x:c r="A12" s="74" t="str">
        <x:v>Z</x:v>
      </x:c>
      <x:c r="B12" s="102" t="n">
        <x:v>0.17028</x:v>
      </x:c>
      <x:c r="C12" s="102" t="n">
        <x:f>B12/$E$7</x:f>
        <x:v>0.1096486709252009</x:v>
      </x:c>
      <x:c r="D12" s="113" t="n">
        <x:f>B12^2/$E$7^2</x:f>
        <x:v>0.012022831035662998</x:v>
      </x:c>
      <x:c r="E12" s="54"/>
      <x:c r="F12" s="54"/>
      <x:c r="G12" s="54"/>
      <x:c r="H12" s="49"/>
      <x:c r="I12" s="49"/>
      <x:c r="J12" s="49"/>
      <x:c r="K12" s="49"/>
      <x:c r="L12" s="49"/>
      <x:c r="M12" s="49"/>
      <x:c r="N12" s="49"/>
      <x:c r="O12" s="49"/>
      <x:c r="P12" s="49"/>
      <x:c r="Q12" s="49"/>
      <x:c r="R12" s="49"/>
      <x:c r="S12" s="49"/>
      <x:c r="T12" s="49"/>
      <x:c r="U12" s="49"/>
      <x:c r="V12" s="49"/>
      <x:c r="W12" s="49"/>
      <x:c r="X12" s="49"/>
      <x:c r="Y12" s="49"/>
      <x:c r="Z12" s="49"/>
    </x:row>
    <x:row r="13">
      <x:c r="A13" s="49"/>
      <x:c r="B13" s="49"/>
      <x:c r="C13" s="49"/>
      <x:c r="D13" s="49"/>
      <x:c r="E13" s="49"/>
      <x:c r="F13" s="49"/>
      <x:c r="G13" s="49"/>
      <x:c r="H13" s="49"/>
      <x:c r="I13" s="49"/>
      <x:c r="J13" s="49"/>
      <x:c r="K13" s="49"/>
      <x:c r="L13" s="49"/>
      <x:c r="M13" s="49"/>
      <x:c r="N13" s="49"/>
      <x:c r="O13" s="49"/>
      <x:c r="P13" s="49"/>
      <x:c r="Q13" s="49"/>
      <x:c r="R13" s="49"/>
      <x:c r="S13" s="49"/>
      <x:c r="T13" s="49"/>
      <x:c r="U13" s="49"/>
      <x:c r="V13" s="49"/>
      <x:c r="W13" s="49"/>
      <x:c r="X13" s="49"/>
      <x:c r="Y13" s="49"/>
      <x:c r="Z13" s="49"/>
    </x:row>
    <x:row r="14">
      <x:c r="A14" s="49"/>
      <x:c r="B14" s="49"/>
      <x:c r="C14" s="49"/>
      <x:c r="D14" s="49"/>
      <x:c r="E14" s="49"/>
      <x:c r="F14" s="49"/>
      <x:c r="G14" s="49"/>
      <x:c r="H14" s="49"/>
      <x:c r="I14" s="49"/>
      <x:c r="J14" s="49"/>
      <x:c r="K14" s="49"/>
      <x:c r="L14" s="49"/>
      <x:c r="M14" s="49"/>
      <x:c r="N14" s="49"/>
      <x:c r="O14" s="49"/>
      <x:c r="P14" s="49"/>
      <x:c r="Q14" s="49"/>
      <x:c r="R14" s="49"/>
      <x:c r="S14" s="49"/>
      <x:c r="T14" s="49"/>
      <x:c r="U14" s="49"/>
      <x:c r="V14" s="49"/>
      <x:c r="W14" s="49"/>
      <x:c r="X14" s="49"/>
      <x:c r="Y14" s="49"/>
      <x:c r="Z14" s="49"/>
    </x:row>
    <x:row r="15">
      <x:c r="A15" s="49"/>
      <x:c r="B15" s="49"/>
      <x:c r="C15" s="49"/>
      <x:c r="D15" s="49"/>
      <x:c r="E15" s="49"/>
      <x:c r="F15" s="49"/>
      <x:c r="G15" s="49"/>
      <x:c r="H15" s="49"/>
      <x:c r="I15" s="49"/>
      <x:c r="J15" s="49"/>
      <x:c r="K15" s="49"/>
      <x:c r="L15" s="49"/>
      <x:c r="M15" s="49"/>
      <x:c r="N15" s="49"/>
      <x:c r="O15" s="49"/>
      <x:c r="P15" s="49"/>
      <x:c r="Q15" s="49"/>
      <x:c r="R15" s="49"/>
      <x:c r="S15" s="49"/>
      <x:c r="T15" s="49"/>
      <x:c r="U15" s="49"/>
      <x:c r="V15" s="49"/>
      <x:c r="W15" s="49"/>
      <x:c r="X15" s="49"/>
      <x:c r="Y15" s="49"/>
      <x:c r="Z15" s="49"/>
    </x:row>
    <x:row r="16">
      <x:c r="A16" s="49"/>
      <x:c r="B16" s="49"/>
      <x:c r="C16" s="49"/>
      <x:c r="D16" s="49"/>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49"/>
      <x:c r="B17" s="49"/>
      <x:c r="C17" s="49"/>
      <x:c r="D17" s="49"/>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49"/>
      <x:c r="B18" s="49"/>
      <x:c r="C18" s="49"/>
      <x:c r="D18" s="49"/>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49"/>
      <x:c r="B19" s="49"/>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49"/>
      <x:c r="B20" s="49"/>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49"/>
      <x:c r="B21" s="49"/>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49"/>
      <x:c r="B22" s="49"/>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sheetData>
  <x:mergeCells>
    <x:mergeCell ref="A1:H2"/>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5" hidden="0" customWidth="1"/>
    <x:col min="6" max="6" width="15" hidden="0" customWidth="1"/>
    <x:col min="7" max="7" width="13" hidden="0" customWidth="1"/>
    <x:col min="8" max="8" width="14" hidden="0" customWidth="1"/>
    <x:col min="9" max="9" width="13" hidden="0" customWidth="1"/>
    <x:col min="10" max="10" width="13" hidden="0" customWidth="1"/>
  </x:cols>
  <x:sheetData>
    <x:row r="1" ht="24" customHeight="1">
      <x:c r="A1" s="48" t="str">
        <x:v>Stage m — TOTAL-Amplitude Matching</x:v>
      </x:c>
      <x:c r="B1" s="48"/>
      <x:c r="C1" s="48"/>
      <x:c r="D1" s="48"/>
      <x:c r="E1" s="48"/>
      <x:c r="F1" s="48"/>
      <x:c r="G1" s="48"/>
      <x:c r="H1" s="48"/>
      <x:c r="I1" s="48"/>
      <x:c r="J1" s="48"/>
      <x:c r="K1" s="49"/>
      <x:c r="L1" s="49"/>
      <x:c r="M1" s="49"/>
      <x:c r="N1" s="49"/>
      <x:c r="O1" s="49"/>
      <x:c r="P1" s="49"/>
      <x:c r="Q1" s="49"/>
      <x:c r="R1" s="49"/>
      <x:c r="S1" s="49"/>
      <x:c r="T1" s="49"/>
      <x:c r="U1" s="49"/>
      <x:c r="V1" s="49"/>
      <x:c r="W1" s="49"/>
      <x:c r="X1" s="49"/>
      <x:c r="Y1" s="49"/>
      <x:c r="Z1" s="49"/>
    </x:row>
    <x:row r="2" ht="24" customHeight="1">
      <x:c r="A2" s="48"/>
      <x:c r="B2" s="48"/>
      <x:c r="C2" s="48"/>
      <x:c r="D2" s="48"/>
      <x:c r="E2" s="48"/>
      <x:c r="F2" s="48"/>
      <x:c r="G2" s="48"/>
      <x:c r="H2" s="48"/>
      <x:c r="I2" s="48"/>
      <x:c r="J2" s="48"/>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x:c r="A4" s="86" t="str">
        <x:v>DAC</x:v>
      </x:c>
      <x:c r="B4" s="98" t="str">
        <x:v>X</x:v>
      </x:c>
      <x:c r="C4" s="98" t="str">
        <x:v>Y</x:v>
      </x:c>
      <x:c r="D4" s="98" t="str">
        <x:v>Z</x:v>
      </x:c>
      <x:c r="E4" s="98" t="str">
        <x:v>XYZ Resultant</x:v>
      </x:c>
      <x:c r="F4" s="98" t="str">
        <x:v>Objective TOTAL</x:v>
      </x:c>
      <x:c r="G4" s="98" t="str">
        <x:v>Error (%)</x:v>
      </x:c>
      <x:c r="H4" s="98" t="str">
        <x:v>Target</x:v>
      </x:c>
      <x:c r="I4" s="98" t="str">
        <x:v>Lower band</x:v>
      </x:c>
      <x:c r="J4" s="99" t="str">
        <x:v>Upper band</x:v>
      </x:c>
      <x:c r="K4" s="49"/>
      <x:c r="L4" s="38" t="str">
        <x:v>DAC</x:v>
      </x:c>
      <x:c r="M4" s="38" t="str">
        <x:v>Objective TOTAL</x:v>
      </x:c>
      <x:c r="N4" s="38" t="str">
        <x:v>Target TOTAL</x:v>
      </x:c>
      <x:c r="O4" s="49"/>
      <x:c r="P4" s="49"/>
      <x:c r="Q4" s="49"/>
      <x:c r="R4" s="49"/>
      <x:c r="S4" s="49"/>
      <x:c r="T4" s="49"/>
      <x:c r="U4" s="49"/>
      <x:c r="V4" s="49"/>
      <x:c r="W4" s="49"/>
      <x:c r="X4" s="49"/>
      <x:c r="Y4" s="49"/>
      <x:c r="Z4" s="49"/>
    </x:row>
    <x:row r="5">
      <x:c r="A5" s="118" t="n">
        <x:v>1</x:v>
      </x:c>
      <x:c r="B5" s="100" t="n">
        <x:v>0.11543</x:v>
      </x:c>
      <x:c r="C5" s="100" t="n">
        <x:v>0.10047</x:v>
      </x:c>
      <x:c r="D5" s="100" t="n">
        <x:v>0.21722</x:v>
      </x:c>
      <x:c r="E5" s="100" t="n">
        <x:v>0.26571</x:v>
      </x:c>
      <x:c r="F5" s="100" t="n">
        <x:v>0.27267</x:v>
      </x:c>
      <x:c r="G5" s="100" t="n">
        <x:v>-82.44</x:v>
      </x:c>
      <x:c r="H5" s="100" t="n">
        <x:f>'Baseline c'!E7</x:f>
        <x:v>1.55296</x:v>
      </x:c>
      <x:c r="I5" s="100" t="n">
        <x:f>H5*(1-0.075)</x:f>
        <x:v>1.436488</x:v>
      </x:c>
      <x:c r="J5" s="112" t="n">
        <x:f>H5*(1+0.075)</x:f>
        <x:v>1.6694319999999998</x:v>
      </x:c>
      <x:c r="K5" s="49"/>
      <x:c r="L5" s="49" t="n">
        <x:f>A5</x:f>
        <x:v>1</x:v>
      </x:c>
      <x:c r="M5" s="49" t="n">
        <x:f>F5</x:f>
        <x:v>0.27267</x:v>
      </x:c>
      <x:c r="N5" s="49" t="n">
        <x:f>H5</x:f>
        <x:v>1.55296</x:v>
      </x:c>
      <x:c r="O5" s="49"/>
      <x:c r="P5" s="49"/>
      <x:c r="Q5" s="49"/>
      <x:c r="R5" s="49"/>
      <x:c r="S5" s="49"/>
      <x:c r="T5" s="49"/>
      <x:c r="U5" s="49"/>
      <x:c r="V5" s="49"/>
      <x:c r="W5" s="49"/>
      <x:c r="X5" s="49"/>
      <x:c r="Y5" s="49"/>
      <x:c r="Z5" s="49"/>
    </x:row>
    <x:row r="6">
      <x:c r="A6" s="118" t="n">
        <x:v>1.25</x:v>
      </x:c>
      <x:c r="B6" s="100" t="n">
        <x:v>0.04849</x:v>
      </x:c>
      <x:c r="C6" s="100" t="n">
        <x:v>0.12355</x:v>
      </x:c>
      <x:c r="D6" s="100" t="n">
        <x:v>0.2764</x:v>
      </x:c>
      <x:c r="E6" s="100" t="n">
        <x:v>0.30662</x:v>
      </x:c>
      <x:c r="F6" s="100" t="n">
        <x:v>0.31451</x:v>
      </x:c>
      <x:c r="G6" s="100" t="n">
        <x:v>-79.75</x:v>
      </x:c>
      <x:c r="H6" s="100" t="n">
        <x:f>'Baseline c'!E7</x:f>
        <x:v>1.55296</x:v>
      </x:c>
      <x:c r="I6" s="100" t="n">
        <x:f>H6*(1-0.075)</x:f>
        <x:v>1.436488</x:v>
      </x:c>
      <x:c r="J6" s="112" t="n">
        <x:f>H6*(1+0.075)</x:f>
        <x:v>1.6694319999999998</x:v>
      </x:c>
      <x:c r="K6" s="49"/>
      <x:c r="L6" s="49" t="n">
        <x:f>A6</x:f>
        <x:v>1.25</x:v>
      </x:c>
      <x:c r="M6" s="49" t="n">
        <x:f>F6</x:f>
        <x:v>0.31451</x:v>
      </x:c>
      <x:c r="N6" s="49" t="n">
        <x:f>H6</x:f>
        <x:v>1.55296</x:v>
      </x:c>
      <x:c r="O6" s="49"/>
      <x:c r="P6" s="49"/>
      <x:c r="Q6" s="49"/>
      <x:c r="R6" s="49"/>
      <x:c r="S6" s="49"/>
      <x:c r="T6" s="49"/>
      <x:c r="U6" s="49"/>
      <x:c r="V6" s="49"/>
      <x:c r="W6" s="49"/>
      <x:c r="X6" s="49"/>
      <x:c r="Y6" s="49"/>
      <x:c r="Z6" s="49"/>
    </x:row>
    <x:row r="7">
      <x:c r="A7" s="118" t="n">
        <x:v>1.5</x:v>
      </x:c>
      <x:c r="B7" s="100" t="n">
        <x:v>0.06795</x:v>
      </x:c>
      <x:c r="C7" s="100" t="n">
        <x:v>0.11359</x:v>
      </x:c>
      <x:c r="D7" s="100" t="n">
        <x:v>0.24812</x:v>
      </x:c>
      <x:c r="E7" s="100" t="n">
        <x:v>0.28122</x:v>
      </x:c>
      <x:c r="F7" s="100" t="n">
        <x:v>0.27594</x:v>
      </x:c>
      <x:c r="G7" s="100" t="n">
        <x:v>-82.23</x:v>
      </x:c>
      <x:c r="H7" s="100" t="n">
        <x:f>'Baseline c'!E7</x:f>
        <x:v>1.55296</x:v>
      </x:c>
      <x:c r="I7" s="100" t="n">
        <x:f>H7*(1-0.075)</x:f>
        <x:v>1.436488</x:v>
      </x:c>
      <x:c r="J7" s="112" t="n">
        <x:f>H7*(1+0.075)</x:f>
        <x:v>1.6694319999999998</x:v>
      </x:c>
      <x:c r="K7" s="49"/>
      <x:c r="L7" s="49" t="n">
        <x:f>A7</x:f>
        <x:v>1.5</x:v>
      </x:c>
      <x:c r="M7" s="49" t="n">
        <x:f>F7</x:f>
        <x:v>0.27594</x:v>
      </x:c>
      <x:c r="N7" s="49" t="n">
        <x:f>H7</x:f>
        <x:v>1.55296</x:v>
      </x:c>
      <x:c r="O7" s="49"/>
      <x:c r="P7" s="49"/>
      <x:c r="Q7" s="49"/>
      <x:c r="R7" s="49"/>
      <x:c r="S7" s="49"/>
      <x:c r="T7" s="49"/>
      <x:c r="U7" s="49"/>
      <x:c r="V7" s="49"/>
      <x:c r="W7" s="49"/>
      <x:c r="X7" s="49"/>
      <x:c r="Y7" s="49"/>
      <x:c r="Z7" s="49"/>
    </x:row>
    <x:row r="8">
      <x:c r="A8" s="118" t="n">
        <x:v>1.75</x:v>
      </x:c>
      <x:c r="B8" s="100" t="n">
        <x:v>0.13117</x:v>
      </x:c>
      <x:c r="C8" s="100" t="n">
        <x:v>0.16945</x:v>
      </x:c>
      <x:c r="D8" s="100" t="n">
        <x:v>0.27749</x:v>
      </x:c>
      <x:c r="E8" s="100" t="n">
        <x:v>0.3506</x:v>
      </x:c>
      <x:c r="F8" s="100" t="n">
        <x:v>0.33657</x:v>
      </x:c>
      <x:c r="G8" s="100" t="n">
        <x:v>-78.33</x:v>
      </x:c>
      <x:c r="H8" s="100" t="n">
        <x:f>'Baseline c'!E7</x:f>
        <x:v>1.55296</x:v>
      </x:c>
      <x:c r="I8" s="100" t="n">
        <x:f>H8*(1-0.075)</x:f>
        <x:v>1.436488</x:v>
      </x:c>
      <x:c r="J8" s="112" t="n">
        <x:f>H8*(1+0.075)</x:f>
        <x:v>1.6694319999999998</x:v>
      </x:c>
      <x:c r="K8" s="49"/>
      <x:c r="L8" s="49" t="n">
        <x:f>A8</x:f>
        <x:v>1.75</x:v>
      </x:c>
      <x:c r="M8" s="49" t="n">
        <x:f>F8</x:f>
        <x:v>0.33657</x:v>
      </x:c>
      <x:c r="N8" s="49" t="n">
        <x:f>H8</x:f>
        <x:v>1.55296</x:v>
      </x:c>
      <x:c r="O8" s="49"/>
      <x:c r="P8" s="49"/>
      <x:c r="Q8" s="49"/>
      <x:c r="R8" s="49"/>
      <x:c r="S8" s="49"/>
      <x:c r="T8" s="49"/>
      <x:c r="U8" s="49"/>
      <x:c r="V8" s="49"/>
      <x:c r="W8" s="49"/>
      <x:c r="X8" s="49"/>
      <x:c r="Y8" s="49"/>
      <x:c r="Z8" s="49"/>
    </x:row>
    <x:row r="9">
      <x:c r="A9" s="118" t="n">
        <x:v>2</x:v>
      </x:c>
      <x:c r="B9" s="100" t="n">
        <x:v>0.1239</x:v>
      </x:c>
      <x:c r="C9" s="100" t="n">
        <x:v>0.10081</x:v>
      </x:c>
      <x:c r="D9" s="100" t="n">
        <x:v>0.32661</x:v>
      </x:c>
      <x:c r="E9" s="100" t="n">
        <x:v>0.36357</x:v>
      </x:c>
      <x:c r="F9" s="100" t="n">
        <x:v>0.40486</x:v>
      </x:c>
      <x:c r="G9" s="100" t="n">
        <x:v>-73.93</x:v>
      </x:c>
      <x:c r="H9" s="100" t="n">
        <x:f>'Baseline c'!E7</x:f>
        <x:v>1.55296</x:v>
      </x:c>
      <x:c r="I9" s="100" t="n">
        <x:f>H9*(1-0.075)</x:f>
        <x:v>1.436488</x:v>
      </x:c>
      <x:c r="J9" s="112" t="n">
        <x:f>H9*(1+0.075)</x:f>
        <x:v>1.6694319999999998</x:v>
      </x:c>
      <x:c r="K9" s="49"/>
      <x:c r="L9" s="49" t="n">
        <x:f>A9</x:f>
        <x:v>2</x:v>
      </x:c>
      <x:c r="M9" s="49" t="n">
        <x:f>F9</x:f>
        <x:v>0.40486</x:v>
      </x:c>
      <x:c r="N9" s="49" t="n">
        <x:f>H9</x:f>
        <x:v>1.55296</x:v>
      </x:c>
      <x:c r="O9" s="49"/>
      <x:c r="P9" s="49"/>
      <x:c r="Q9" s="49"/>
      <x:c r="R9" s="49"/>
      <x:c r="S9" s="49"/>
      <x:c r="T9" s="49"/>
      <x:c r="U9" s="49"/>
      <x:c r="V9" s="49"/>
      <x:c r="W9" s="49"/>
      <x:c r="X9" s="49"/>
      <x:c r="Y9" s="49"/>
      <x:c r="Z9" s="49"/>
    </x:row>
    <x:row r="10">
      <x:c r="A10" s="118" t="n">
        <x:v>2.25</x:v>
      </x:c>
      <x:c r="B10" s="100" t="n">
        <x:v>0.08623</x:v>
      </x:c>
      <x:c r="C10" s="100" t="n">
        <x:v>0.1235</x:v>
      </x:c>
      <x:c r="D10" s="100" t="n">
        <x:v>0.12664</x:v>
      </x:c>
      <x:c r="E10" s="100" t="n">
        <x:v>0.19678</x:v>
      </x:c>
      <x:c r="F10" s="100" t="n">
        <x:v>0.19678</x:v>
      </x:c>
      <x:c r="G10" s="100" t="n">
        <x:v>-87.33</x:v>
      </x:c>
      <x:c r="H10" s="100" t="n">
        <x:f>'Baseline c'!E7</x:f>
        <x:v>1.55296</x:v>
      </x:c>
      <x:c r="I10" s="100" t="n">
        <x:f>H10*(1-0.075)</x:f>
        <x:v>1.436488</x:v>
      </x:c>
      <x:c r="J10" s="112" t="n">
        <x:f>H10*(1+0.075)</x:f>
        <x:v>1.6694319999999998</x:v>
      </x:c>
      <x:c r="K10" s="49"/>
      <x:c r="L10" s="49" t="n">
        <x:f>A10</x:f>
        <x:v>2.25</x:v>
      </x:c>
      <x:c r="M10" s="49" t="n">
        <x:f>F10</x:f>
        <x:v>0.19678</x:v>
      </x:c>
      <x:c r="N10" s="49" t="n">
        <x:f>H10</x:f>
        <x:v>1.55296</x:v>
      </x:c>
      <x:c r="O10" s="49"/>
      <x:c r="P10" s="49"/>
      <x:c r="Q10" s="49"/>
      <x:c r="R10" s="49"/>
      <x:c r="S10" s="49"/>
      <x:c r="T10" s="49"/>
      <x:c r="U10" s="49"/>
      <x:c r="V10" s="49"/>
      <x:c r="W10" s="49"/>
      <x:c r="X10" s="49"/>
      <x:c r="Y10" s="49"/>
      <x:c r="Z10" s="49"/>
    </x:row>
    <x:row r="11">
      <x:c r="A11" s="118" t="n">
        <x:v>2.5</x:v>
      </x:c>
      <x:c r="B11" s="100" t="n">
        <x:v>0.12099</x:v>
      </x:c>
      <x:c r="C11" s="100" t="n">
        <x:v>0.14404</x:v>
      </x:c>
      <x:c r="D11" s="100" t="n">
        <x:v>0.2988</x:v>
      </x:c>
      <x:c r="E11" s="100" t="n">
        <x:v>0.35309</x:v>
      </x:c>
      <x:c r="F11" s="100" t="n">
        <x:v>0.32831</x:v>
      </x:c>
      <x:c r="G11" s="100" t="n">
        <x:v>-78.86</x:v>
      </x:c>
      <x:c r="H11" s="100" t="n">
        <x:f>'Baseline c'!E7</x:f>
        <x:v>1.55296</x:v>
      </x:c>
      <x:c r="I11" s="100" t="n">
        <x:f>H11*(1-0.075)</x:f>
        <x:v>1.436488</x:v>
      </x:c>
      <x:c r="J11" s="112" t="n">
        <x:f>H11*(1+0.075)</x:f>
        <x:v>1.6694319999999998</x:v>
      </x:c>
      <x:c r="K11" s="49"/>
      <x:c r="L11" s="49" t="n">
        <x:f>A11</x:f>
        <x:v>2.5</x:v>
      </x:c>
      <x:c r="M11" s="49" t="n">
        <x:f>F11</x:f>
        <x:v>0.32831</x:v>
      </x:c>
      <x:c r="N11" s="49" t="n">
        <x:f>H11</x:f>
        <x:v>1.55296</x:v>
      </x:c>
      <x:c r="O11" s="49"/>
      <x:c r="P11" s="49"/>
      <x:c r="Q11" s="49"/>
      <x:c r="R11" s="49"/>
      <x:c r="S11" s="49"/>
      <x:c r="T11" s="49"/>
      <x:c r="U11" s="49"/>
      <x:c r="V11" s="49"/>
      <x:c r="W11" s="49"/>
      <x:c r="X11" s="49"/>
      <x:c r="Y11" s="49"/>
      <x:c r="Z11" s="49"/>
    </x:row>
    <x:row r="12">
      <x:c r="A12" s="118" t="n">
        <x:v>2.75</x:v>
      </x:c>
      <x:c r="B12" s="100" t="n">
        <x:v>0.37436</x:v>
      </x:c>
      <x:c r="C12" s="100" t="n">
        <x:v>0.26903</x:v>
      </x:c>
      <x:c r="D12" s="100" t="n">
        <x:v>0.31202</x:v>
      </x:c>
      <x:c r="E12" s="100" t="n">
        <x:v>0.55667</x:v>
      </x:c>
      <x:c r="F12" s="100" t="n">
        <x:v>0.53964</x:v>
      </x:c>
      <x:c r="G12" s="100" t="n">
        <x:v>-65.25</x:v>
      </x:c>
      <x:c r="H12" s="100" t="n">
        <x:f>'Baseline c'!E7</x:f>
        <x:v>1.55296</x:v>
      </x:c>
      <x:c r="I12" s="100" t="n">
        <x:f>H12*(1-0.075)</x:f>
        <x:v>1.436488</x:v>
      </x:c>
      <x:c r="J12" s="112" t="n">
        <x:f>H12*(1+0.075)</x:f>
        <x:v>1.6694319999999998</x:v>
      </x:c>
      <x:c r="K12" s="49"/>
      <x:c r="L12" s="49" t="n">
        <x:f>A12</x:f>
        <x:v>2.75</x:v>
      </x:c>
      <x:c r="M12" s="49" t="n">
        <x:f>F12</x:f>
        <x:v>0.53964</x:v>
      </x:c>
      <x:c r="N12" s="49" t="n">
        <x:f>H12</x:f>
        <x:v>1.55296</x:v>
      </x:c>
      <x:c r="O12" s="49"/>
      <x:c r="P12" s="49"/>
      <x:c r="Q12" s="49"/>
      <x:c r="R12" s="49"/>
      <x:c r="S12" s="49"/>
      <x:c r="T12" s="49"/>
      <x:c r="U12" s="49"/>
      <x:c r="V12" s="49"/>
      <x:c r="W12" s="49"/>
      <x:c r="X12" s="49"/>
      <x:c r="Y12" s="49"/>
      <x:c r="Z12" s="49"/>
    </x:row>
    <x:row r="13">
      <x:c r="A13" s="118" t="n">
        <x:v>3</x:v>
      </x:c>
      <x:c r="B13" s="100" t="n">
        <x:v>0.20938</x:v>
      </x:c>
      <x:c r="C13" s="100" t="n">
        <x:v>0.23009</x:v>
      </x:c>
      <x:c r="D13" s="100" t="n">
        <x:v>0.34673</x:v>
      </x:c>
      <x:c r="E13" s="100" t="n">
        <x:v>0.46584</x:v>
      </x:c>
      <x:c r="F13" s="100" t="n">
        <x:v>0.45971</x:v>
      </x:c>
      <x:c r="G13" s="100" t="n">
        <x:v>-70.4</x:v>
      </x:c>
      <x:c r="H13" s="100" t="n">
        <x:f>'Baseline c'!E7</x:f>
        <x:v>1.55296</x:v>
      </x:c>
      <x:c r="I13" s="100" t="n">
        <x:f>H13*(1-0.075)</x:f>
        <x:v>1.436488</x:v>
      </x:c>
      <x:c r="J13" s="112" t="n">
        <x:f>H13*(1+0.075)</x:f>
        <x:v>1.6694319999999998</x:v>
      </x:c>
      <x:c r="K13" s="49"/>
      <x:c r="L13" s="49" t="n">
        <x:f>A13</x:f>
        <x:v>3</x:v>
      </x:c>
      <x:c r="M13" s="49" t="n">
        <x:f>F13</x:f>
        <x:v>0.45971</x:v>
      </x:c>
      <x:c r="N13" s="49" t="n">
        <x:f>H13</x:f>
        <x:v>1.55296</x:v>
      </x:c>
      <x:c r="O13" s="49"/>
      <x:c r="P13" s="49"/>
      <x:c r="Q13" s="49"/>
      <x:c r="R13" s="49"/>
      <x:c r="S13" s="49"/>
      <x:c r="T13" s="49"/>
      <x:c r="U13" s="49"/>
      <x:c r="V13" s="49"/>
      <x:c r="W13" s="49"/>
      <x:c r="X13" s="49"/>
      <x:c r="Y13" s="49"/>
      <x:c r="Z13" s="49"/>
    </x:row>
    <x:row r="14">
      <x:c r="A14" s="118" t="n">
        <x:v>3.25</x:v>
      </x:c>
      <x:c r="B14" s="100" t="n">
        <x:v>0.75348</x:v>
      </x:c>
      <x:c r="C14" s="100" t="n">
        <x:v>0.31517</x:v>
      </x:c>
      <x:c r="D14" s="100" t="n">
        <x:v>1.03247</x:v>
      </x:c>
      <x:c r="E14" s="100" t="n">
        <x:v>1.31646</x:v>
      </x:c>
      <x:c r="F14" s="100" t="n">
        <x:v>1.3281</x:v>
      </x:c>
      <x:c r="G14" s="100" t="n">
        <x:v>-14.48</x:v>
      </x:c>
      <x:c r="H14" s="100" t="n">
        <x:f>'Baseline c'!E7</x:f>
        <x:v>1.55296</x:v>
      </x:c>
      <x:c r="I14" s="100" t="n">
        <x:f>H14*(1-0.075)</x:f>
        <x:v>1.436488</x:v>
      </x:c>
      <x:c r="J14" s="112" t="n">
        <x:f>H14*(1+0.075)</x:f>
        <x:v>1.6694319999999998</x:v>
      </x:c>
      <x:c r="K14" s="49"/>
      <x:c r="L14" s="49" t="n">
        <x:f>A14</x:f>
        <x:v>3.25</x:v>
      </x:c>
      <x:c r="M14" s="49" t="n">
        <x:f>F14</x:f>
        <x:v>1.3281</x:v>
      </x:c>
      <x:c r="N14" s="49" t="n">
        <x:f>H14</x:f>
        <x:v>1.55296</x:v>
      </x:c>
      <x:c r="O14" s="49"/>
      <x:c r="P14" s="49"/>
      <x:c r="Q14" s="49"/>
      <x:c r="R14" s="49"/>
      <x:c r="S14" s="49"/>
      <x:c r="T14" s="49"/>
      <x:c r="U14" s="49"/>
      <x:c r="V14" s="49"/>
      <x:c r="W14" s="49"/>
      <x:c r="X14" s="49"/>
      <x:c r="Y14" s="49"/>
      <x:c r="Z14" s="49"/>
    </x:row>
    <x:row r="15">
      <x:c r="A15" s="118" t="n">
        <x:v>3.5</x:v>
      </x:c>
      <x:c r="B15" s="100" t="n">
        <x:v>0.2779</x:v>
      </x:c>
      <x:c r="C15" s="100" t="n">
        <x:v>0.1531</x:v>
      </x:c>
      <x:c r="D15" s="100" t="n">
        <x:v>0.27552</x:v>
      </x:c>
      <x:c r="E15" s="100" t="n">
        <x:v>0.42021</x:v>
      </x:c>
      <x:c r="F15" s="100" t="n">
        <x:v>0.43713</x:v>
      </x:c>
      <x:c r="G15" s="100" t="n">
        <x:v>-71.85</x:v>
      </x:c>
      <x:c r="H15" s="100" t="n">
        <x:f>'Baseline c'!E7</x:f>
        <x:v>1.55296</x:v>
      </x:c>
      <x:c r="I15" s="100" t="n">
        <x:f>H15*(1-0.075)</x:f>
        <x:v>1.436488</x:v>
      </x:c>
      <x:c r="J15" s="112" t="n">
        <x:f>H15*(1+0.075)</x:f>
        <x:v>1.6694319999999998</x:v>
      </x:c>
      <x:c r="K15" s="49"/>
      <x:c r="L15" s="49" t="n">
        <x:f>A15</x:f>
        <x:v>3.5</x:v>
      </x:c>
      <x:c r="M15" s="49" t="n">
        <x:f>F15</x:f>
        <x:v>0.43713</x:v>
      </x:c>
      <x:c r="N15" s="49" t="n">
        <x:f>H15</x:f>
        <x:v>1.55296</x:v>
      </x:c>
      <x:c r="O15" s="49"/>
      <x:c r="P15" s="49"/>
      <x:c r="Q15" s="49"/>
      <x:c r="R15" s="49"/>
      <x:c r="S15" s="49"/>
      <x:c r="T15" s="49"/>
      <x:c r="U15" s="49"/>
      <x:c r="V15" s="49"/>
      <x:c r="W15" s="49"/>
      <x:c r="X15" s="49"/>
      <x:c r="Y15" s="49"/>
      <x:c r="Z15" s="49"/>
    </x:row>
    <x:row r="16">
      <x:c r="A16" s="119" t="n">
        <x:v>3.75</x:v>
      </x:c>
      <x:c r="B16" s="102" t="n">
        <x:v>0.92751</x:v>
      </x:c>
      <x:c r="C16" s="102" t="n">
        <x:v>0.58914</x:v>
      </x:c>
      <x:c r="D16" s="102" t="n">
        <x:v>1.12314</x:v>
      </x:c>
      <x:c r="E16" s="102" t="n">
        <x:v>1.57125</x:v>
      </x:c>
      <x:c r="F16" s="102" t="n">
        <x:v>1.60998</x:v>
      </x:c>
      <x:c r="G16" s="102" t="n">
        <x:v>3.67</x:v>
      </x:c>
      <x:c r="H16" s="102" t="n">
        <x:f>'Baseline c'!E7</x:f>
        <x:v>1.55296</x:v>
      </x:c>
      <x:c r="I16" s="102" t="n">
        <x:f>H16*(1-0.075)</x:f>
        <x:v>1.436488</x:v>
      </x:c>
      <x:c r="J16" s="113" t="n">
        <x:f>H16*(1+0.075)</x:f>
        <x:v>1.6694319999999998</x:v>
      </x:c>
      <x:c r="K16" s="49"/>
      <x:c r="L16" s="49" t="n">
        <x:f>A16</x:f>
        <x:v>3.75</x:v>
      </x:c>
      <x:c r="M16" s="49" t="n">
        <x:f>F16</x:f>
        <x:v>1.60998</x:v>
      </x:c>
      <x:c r="N16" s="49" t="n">
        <x:f>H16</x:f>
        <x:v>1.55296</x:v>
      </x:c>
      <x:c r="O16" s="49"/>
      <x:c r="P16" s="49"/>
      <x:c r="Q16" s="49"/>
      <x:c r="R16" s="49"/>
      <x:c r="S16" s="49"/>
      <x:c r="T16" s="49"/>
      <x:c r="U16" s="49"/>
      <x:c r="V16" s="49"/>
      <x:c r="W16" s="49"/>
      <x:c r="X16" s="49"/>
      <x:c r="Y16" s="49"/>
      <x:c r="Z16" s="49"/>
    </x:row>
    <x:row r="17">
      <x:c r="A17" s="54"/>
      <x:c r="B17" s="54"/>
      <x:c r="C17" s="54"/>
      <x:c r="D17" s="54"/>
      <x:c r="E17" s="54"/>
      <x:c r="F17" s="54"/>
      <x:c r="G17" s="54"/>
      <x:c r="H17" s="54"/>
      <x:c r="I17" s="54"/>
      <x:c r="J17" s="54"/>
      <x:c r="K17" s="49"/>
      <x:c r="L17" s="49"/>
      <x:c r="M17" s="49"/>
      <x:c r="N17" s="49"/>
      <x:c r="O17" s="49"/>
      <x:c r="P17" s="49"/>
      <x:c r="Q17" s="49"/>
      <x:c r="R17" s="49"/>
      <x:c r="S17" s="49"/>
      <x:c r="T17" s="49"/>
      <x:c r="U17" s="49"/>
      <x:c r="V17" s="49"/>
      <x:c r="W17" s="49"/>
      <x:c r="X17" s="49"/>
      <x:c r="Y17" s="49"/>
      <x:c r="Z17" s="49"/>
    </x:row>
    <x:row r="18">
      <x:c r="A18" s="122" t="str">
        <x:v>Selected DAC</x:v>
      </x:c>
      <x:c r="B18" s="110" t="str">
        <x:v>Target TOTAL</x:v>
      </x:c>
      <x:c r="C18" s="110" t="str">
        <x:v>Reported candidate resultant</x:v>
      </x:c>
      <x:c r="D18" s="110" t="str">
        <x:v>Objective TOTAL</x:v>
      </x:c>
      <x:c r="E18" s="110" t="str">
        <x:v>Candidate error (%)</x:v>
      </x:c>
      <x:c r="F18" s="110" t="str">
        <x:v>Confirmation median</x:v>
      </x:c>
      <x:c r="G18" s="110" t="str">
        <x:v>Confirmation error (%)</x:v>
      </x:c>
      <x:c r="H18" s="111" t="str">
        <x:v>Status</x:v>
      </x:c>
      <x:c r="I18" s="54"/>
      <x:c r="J18" s="54"/>
      <x:c r="K18" s="49"/>
      <x:c r="L18" s="49"/>
      <x:c r="M18" s="49"/>
      <x:c r="N18" s="49"/>
      <x:c r="O18" s="49"/>
      <x:c r="P18" s="49"/>
      <x:c r="Q18" s="49"/>
      <x:c r="R18" s="49"/>
      <x:c r="S18" s="49"/>
      <x:c r="T18" s="49"/>
      <x:c r="U18" s="49"/>
      <x:c r="V18" s="49"/>
      <x:c r="W18" s="49"/>
      <x:c r="X18" s="49"/>
      <x:c r="Y18" s="49"/>
      <x:c r="Z18" s="49"/>
    </x:row>
    <x:row r="19">
      <x:c r="A19" s="119" t="n">
        <x:v>3.75</x:v>
      </x:c>
      <x:c r="B19" s="102" t="n">
        <x:v>1.55296</x:v>
      </x:c>
      <x:c r="C19" s="102" t="n">
        <x:v>1.57125</x:v>
      </x:c>
      <x:c r="D19" s="102" t="n">
        <x:v>1.60998</x:v>
      </x:c>
      <x:c r="E19" s="102" t="n">
        <x:v>3.67</x:v>
      </x:c>
      <x:c r="F19" s="102" t="n">
        <x:f>MEDIAN(H22:H26)</x:f>
        <x:v>1.4901</x:v>
      </x:c>
      <x:c r="G19" s="102" t="n">
        <x:f>(F19-B19)/B19*100</x:f>
        <x:v>-4.047753966618582</x:v>
      </x:c>
      <x:c r="H19" s="113" t="str">
        <x:v>Accepted by median-only criterion</x:v>
      </x:c>
      <x:c r="I19" s="54"/>
      <x:c r="J19" s="54"/>
      <x:c r="K19" s="49"/>
      <x:c r="L19" s="49"/>
      <x:c r="M19" s="49"/>
      <x:c r="N19" s="49"/>
      <x:c r="O19" s="49"/>
      <x:c r="P19" s="49"/>
      <x:c r="Q19" s="49"/>
      <x:c r="R19" s="49"/>
      <x:c r="S19" s="49"/>
      <x:c r="T19" s="49"/>
      <x:c r="U19" s="49"/>
      <x:c r="V19" s="49"/>
      <x:c r="W19" s="49"/>
      <x:c r="X19" s="49"/>
      <x:c r="Y19" s="49"/>
      <x:c r="Z19" s="49"/>
    </x:row>
    <x:row r="20">
      <x:c r="A20" s="54"/>
      <x:c r="B20" s="54"/>
      <x:c r="C20" s="54"/>
      <x:c r="D20" s="54"/>
      <x:c r="E20" s="54"/>
      <x:c r="F20" s="54"/>
      <x:c r="G20" s="54"/>
      <x:c r="H20" s="54"/>
      <x:c r="I20" s="54"/>
      <x:c r="J20" s="54"/>
      <x:c r="K20" s="49"/>
      <x:c r="L20" s="49"/>
      <x:c r="M20" s="49"/>
      <x:c r="N20" s="49"/>
      <x:c r="O20" s="49"/>
      <x:c r="P20" s="49"/>
      <x:c r="Q20" s="49"/>
      <x:c r="R20" s="49"/>
      <x:c r="S20" s="49"/>
      <x:c r="T20" s="49"/>
      <x:c r="U20" s="49"/>
      <x:c r="V20" s="49"/>
      <x:c r="W20" s="49"/>
      <x:c r="X20" s="49"/>
      <x:c r="Y20" s="49"/>
      <x:c r="Z20" s="49"/>
    </x:row>
    <x:row r="21">
      <x:c r="A21" s="122" t="str">
        <x:v>Confirmation #</x:v>
      </x:c>
      <x:c r="B21" s="110" t="str">
        <x:v>X</x:v>
      </x:c>
      <x:c r="C21" s="110" t="str">
        <x:v>Y</x:v>
      </x:c>
      <x:c r="D21" s="110" t="str">
        <x:v>Z</x:v>
      </x:c>
      <x:c r="E21" s="110" t="str">
        <x:v>Resultant (if available)</x:v>
      </x:c>
      <x:c r="F21" s="110" t="str">
        <x:v>Objective TOTAL</x:v>
      </x:c>
      <x:c r="G21" s="110" t="str">
        <x:v>Deviation from target (%)</x:v>
      </x:c>
      <x:c r="H21" s="111" t="str">
        <x:v>TOTAL used</x:v>
      </x:c>
      <x:c r="I21" s="54"/>
      <x:c r="J21" s="54"/>
      <x:c r="K21" s="49"/>
      <x:c r="L21" s="49"/>
      <x:c r="M21" s="49"/>
      <x:c r="N21" s="49"/>
      <x:c r="O21" s="49"/>
      <x:c r="P21" s="49"/>
      <x:c r="Q21" s="49"/>
      <x:c r="R21" s="49"/>
      <x:c r="S21" s="49"/>
      <x:c r="T21" s="49"/>
      <x:c r="U21" s="49"/>
      <x:c r="V21" s="49"/>
      <x:c r="W21" s="49"/>
      <x:c r="X21" s="49"/>
      <x:c r="Y21" s="49"/>
      <x:c r="Z21" s="49"/>
    </x:row>
    <x:row r="22">
      <x:c r="A22" s="118" t="n">
        <x:v>1</x:v>
      </x:c>
      <x:c r="B22" s="100"/>
      <x:c r="C22" s="100"/>
      <x:c r="D22" s="100"/>
      <x:c r="E22" s="100"/>
      <x:c r="F22" s="100"/>
      <x:c r="G22" s="100" t="n">
        <x:f>(H22-$B$19)/$B$19*100</x:f>
        <x:v>-14.849062435606836</x:v>
      </x:c>
      <x:c r="H22" s="112" t="n">
        <x:v>1.32236</x:v>
      </x:c>
      <x:c r="I22" s="54"/>
      <x:c r="J22" s="54"/>
      <x:c r="K22" s="49"/>
      <x:c r="L22" s="49"/>
      <x:c r="M22" s="49"/>
      <x:c r="N22" s="49"/>
      <x:c r="O22" s="49"/>
      <x:c r="P22" s="49"/>
      <x:c r="Q22" s="49"/>
      <x:c r="R22" s="49"/>
      <x:c r="S22" s="49"/>
      <x:c r="T22" s="49"/>
      <x:c r="U22" s="49"/>
      <x:c r="V22" s="49"/>
      <x:c r="W22" s="49"/>
      <x:c r="X22" s="49"/>
      <x:c r="Y22" s="49"/>
      <x:c r="Z22" s="49"/>
    </x:row>
    <x:row r="23">
      <x:c r="A23" s="118" t="n">
        <x:v>2</x:v>
      </x:c>
      <x:c r="B23" s="100"/>
      <x:c r="C23" s="100"/>
      <x:c r="D23" s="100"/>
      <x:c r="E23" s="100"/>
      <x:c r="F23" s="100"/>
      <x:c r="G23" s="100" t="n">
        <x:f>(H23-$B$19)/$B$19*100</x:f>
        <x:v>-13.336467133731707</x:v>
      </x:c>
      <x:c r="H23" s="112" t="n">
        <x:v>1.34585</x:v>
      </x:c>
      <x:c r="I23" s="54"/>
      <x:c r="J23" s="54"/>
      <x:c r="K23" s="49"/>
      <x:c r="L23" s="49"/>
      <x:c r="M23" s="49"/>
      <x:c r="N23" s="49"/>
      <x:c r="O23" s="49"/>
      <x:c r="P23" s="49"/>
      <x:c r="Q23" s="49"/>
      <x:c r="R23" s="49"/>
      <x:c r="S23" s="49"/>
      <x:c r="T23" s="49"/>
      <x:c r="U23" s="49"/>
      <x:c r="V23" s="49"/>
      <x:c r="W23" s="49"/>
      <x:c r="X23" s="49"/>
      <x:c r="Y23" s="49"/>
      <x:c r="Z23" s="49"/>
    </x:row>
    <x:row r="24">
      <x:c r="A24" s="118" t="n">
        <x:v>3</x:v>
      </x:c>
      <x:c r="B24" s="100"/>
      <x:c r="C24" s="100"/>
      <x:c r="D24" s="100"/>
      <x:c r="E24" s="100"/>
      <x:c r="F24" s="100"/>
      <x:c r="G24" s="100" t="n">
        <x:f>(H24-$B$19)/$B$19*100</x:f>
        <x:v>-4.047753966618582</x:v>
      </x:c>
      <x:c r="H24" s="112" t="n">
        <x:v>1.4901</x:v>
      </x:c>
      <x:c r="I24" s="54"/>
      <x:c r="J24" s="54"/>
      <x:c r="K24" s="49"/>
      <x:c r="L24" s="49"/>
      <x:c r="M24" s="49"/>
      <x:c r="N24" s="49"/>
      <x:c r="O24" s="49"/>
      <x:c r="P24" s="49"/>
      <x:c r="Q24" s="49"/>
      <x:c r="R24" s="49"/>
      <x:c r="S24" s="49"/>
      <x:c r="T24" s="49"/>
      <x:c r="U24" s="49"/>
      <x:c r="V24" s="49"/>
      <x:c r="W24" s="49"/>
      <x:c r="X24" s="49"/>
      <x:c r="Y24" s="49"/>
      <x:c r="Z24" s="49"/>
    </x:row>
    <x:row r="25">
      <x:c r="A25" s="118" t="n">
        <x:v>4</x:v>
      </x:c>
      <x:c r="B25" s="100"/>
      <x:c r="C25" s="100"/>
      <x:c r="D25" s="100"/>
      <x:c r="E25" s="100"/>
      <x:c r="F25" s="100"/>
      <x:c r="G25" s="100" t="n">
        <x:f>(H25-$B$19)/$B$19*100</x:f>
        <x:v>94.56199773336081</x:v>
      </x:c>
      <x:c r="H25" s="112" t="n">
        <x:v>3.02147</x:v>
      </x:c>
      <x:c r="I25" s="54"/>
      <x:c r="J25" s="54"/>
      <x:c r="K25" s="49"/>
      <x:c r="L25" s="49"/>
      <x:c r="M25" s="49"/>
      <x:c r="N25" s="49"/>
      <x:c r="O25" s="49"/>
      <x:c r="P25" s="49"/>
      <x:c r="Q25" s="49"/>
      <x:c r="R25" s="49"/>
      <x:c r="S25" s="49"/>
      <x:c r="T25" s="49"/>
      <x:c r="U25" s="49"/>
      <x:c r="V25" s="49"/>
      <x:c r="W25" s="49"/>
      <x:c r="X25" s="49"/>
      <x:c r="Y25" s="49"/>
      <x:c r="Z25" s="49"/>
    </x:row>
    <x:row r="26">
      <x:c r="A26" s="119" t="n">
        <x:v>5</x:v>
      </x:c>
      <x:c r="B26" s="102"/>
      <x:c r="C26" s="102"/>
      <x:c r="D26" s="102"/>
      <x:c r="E26" s="102"/>
      <x:c r="F26" s="102"/>
      <x:c r="G26" s="102" t="n">
        <x:f>(H26-$B$19)/$B$19*100</x:f>
        <x:v>67.72743663713169</x:v>
      </x:c>
      <x:c r="H26" s="113" t="n">
        <x:v>2.60474</x:v>
      </x:c>
      <x:c r="I26" s="54"/>
      <x:c r="J26" s="54"/>
      <x:c r="K26" s="49"/>
      <x:c r="L26" s="49"/>
      <x:c r="M26" s="49"/>
      <x:c r="N26" s="49"/>
      <x:c r="O26" s="49"/>
      <x:c r="P26" s="49"/>
      <x:c r="Q26" s="49"/>
      <x:c r="R26" s="49"/>
      <x:c r="S26" s="49"/>
      <x:c r="T26" s="49"/>
      <x:c r="U26" s="49"/>
      <x:c r="V26" s="49"/>
      <x:c r="W26" s="49"/>
      <x:c r="X26" s="49"/>
      <x:c r="Y26" s="49"/>
      <x:c r="Z26" s="49"/>
    </x:row>
    <x:row r="27">
      <x:c r="A27" s="54"/>
      <x:c r="B27" s="54"/>
      <x:c r="C27" s="54"/>
      <x:c r="D27" s="54"/>
      <x:c r="E27" s="54"/>
      <x:c r="F27" s="54"/>
      <x:c r="G27" s="54"/>
      <x:c r="H27" s="54"/>
      <x:c r="I27" s="54"/>
      <x:c r="J27" s="54"/>
      <x:c r="K27" s="49"/>
      <x:c r="L27" s="49"/>
      <x:c r="M27" s="49"/>
      <x:c r="N27" s="49"/>
      <x:c r="O27" s="49"/>
      <x:c r="P27" s="49"/>
      <x:c r="Q27" s="49"/>
      <x:c r="R27" s="49"/>
      <x:c r="S27" s="49"/>
      <x:c r="T27" s="49"/>
      <x:c r="U27" s="49"/>
      <x:c r="V27" s="49"/>
      <x:c r="W27" s="49"/>
      <x:c r="X27" s="49"/>
      <x:c r="Y27" s="49"/>
      <x:c r="Z27" s="49"/>
    </x:row>
    <x:row r="28">
      <x:c r="A28" s="122" t="str">
        <x:v>Confirmation statistic</x:v>
      </x:c>
      <x:c r="B28" s="110" t="str">
        <x:v>Formula</x:v>
      </x:c>
      <x:c r="C28" s="110" t="str">
        <x:v>Result</x:v>
      </x:c>
      <x:c r="D28" s="111" t="str">
        <x:v>Interpretation</x:v>
      </x:c>
      <x:c r="E28" s="54"/>
      <x:c r="F28" s="54"/>
      <x:c r="G28" s="54"/>
      <x:c r="H28" s="54"/>
      <x:c r="I28" s="54"/>
      <x:c r="J28" s="54"/>
      <x:c r="K28" s="49"/>
      <x:c r="L28" s="49"/>
      <x:c r="M28" s="49"/>
      <x:c r="N28" s="49"/>
      <x:c r="O28" s="49"/>
      <x:c r="P28" s="49"/>
      <x:c r="Q28" s="49"/>
      <x:c r="R28" s="49"/>
      <x:c r="S28" s="49"/>
      <x:c r="T28" s="49"/>
      <x:c r="U28" s="49"/>
      <x:c r="V28" s="49"/>
      <x:c r="W28" s="49"/>
      <x:c r="X28" s="49"/>
      <x:c r="Y28" s="49"/>
      <x:c r="Z28" s="49"/>
    </x:row>
    <x:row r="29">
      <x:c r="A29" s="118" t="str">
        <x:v>Mean TOTAL</x:v>
      </x:c>
      <x:c r="B29" s="100" t="str">
        <x:v>AVERAGE</x:v>
      </x:c>
      <x:c r="C29" s="100" t="n">
        <x:f>AVERAGE(H22:H26)</x:f>
        <x:v>1.9569040000000002</x:v>
      </x:c>
      <x:c r="D29" s="112" t="str">
        <x:v>Amplitude level</x:v>
      </x:c>
      <x:c r="E29" s="54"/>
      <x:c r="F29" s="54"/>
      <x:c r="G29" s="54"/>
      <x:c r="H29" s="54"/>
      <x:c r="I29" s="54"/>
      <x:c r="J29" s="54"/>
      <x:c r="K29" s="49"/>
      <x:c r="L29" s="49"/>
      <x:c r="M29" s="49"/>
      <x:c r="N29" s="49"/>
      <x:c r="O29" s="49"/>
      <x:c r="P29" s="49"/>
      <x:c r="Q29" s="49"/>
      <x:c r="R29" s="49"/>
      <x:c r="S29" s="49"/>
      <x:c r="T29" s="49"/>
      <x:c r="U29" s="49"/>
      <x:c r="V29" s="49"/>
      <x:c r="W29" s="49"/>
      <x:c r="X29" s="49"/>
      <x:c r="Y29" s="49"/>
      <x:c r="Z29" s="49"/>
    </x:row>
    <x:row r="30">
      <x:c r="A30" s="118" t="str">
        <x:v>SD TOTAL</x:v>
      </x:c>
      <x:c r="B30" s="100" t="str">
        <x:v>STDEV.S</x:v>
      </x:c>
      <x:c r="C30" s="100" t="n">
        <x:f>STDEV.S(H22:H26)</x:f>
        <x:v>0.7979554035972185</x:v>
      </x:c>
      <x:c r="D30" s="112" t="str">
        <x:v>Amplitude stability</x:v>
      </x:c>
      <x:c r="E30" s="54"/>
      <x:c r="F30" s="54"/>
      <x:c r="G30" s="54"/>
      <x:c r="H30" s="54"/>
      <x:c r="I30" s="54"/>
      <x:c r="J30" s="54"/>
      <x:c r="K30" s="49"/>
      <x:c r="L30" s="49"/>
      <x:c r="M30" s="49"/>
      <x:c r="N30" s="49"/>
      <x:c r="O30" s="49"/>
      <x:c r="P30" s="49"/>
      <x:c r="Q30" s="49"/>
      <x:c r="R30" s="49"/>
      <x:c r="S30" s="49"/>
      <x:c r="T30" s="49"/>
      <x:c r="U30" s="49"/>
      <x:c r="V30" s="49"/>
      <x:c r="W30" s="49"/>
      <x:c r="X30" s="49"/>
      <x:c r="Y30" s="49"/>
      <x:c r="Z30" s="49"/>
    </x:row>
    <x:row r="31">
      <x:c r="A31" s="118" t="str">
        <x:v>CV (%)</x:v>
      </x:c>
      <x:c r="B31" s="100" t="str">
        <x:v>SD/Mean</x:v>
      </x:c>
      <x:c r="C31" s="100" t="n">
        <x:f>C30/C29*100</x:f>
        <x:v>40.77642048854816</x:v>
      </x:c>
      <x:c r="D31" s="112" t="str">
        <x:v>High CV indicates unstable actuator measurement</x:v>
      </x:c>
      <x:c r="E31" s="54"/>
      <x:c r="F31" s="54"/>
      <x:c r="G31" s="54"/>
      <x:c r="H31" s="54"/>
      <x:c r="I31" s="54"/>
      <x:c r="J31" s="54"/>
      <x:c r="K31" s="49"/>
      <x:c r="L31" s="49"/>
      <x:c r="M31" s="49"/>
      <x:c r="N31" s="49"/>
      <x:c r="O31" s="49"/>
      <x:c r="P31" s="49"/>
      <x:c r="Q31" s="49"/>
      <x:c r="R31" s="49"/>
      <x:c r="S31" s="49"/>
      <x:c r="T31" s="49"/>
      <x:c r="U31" s="49"/>
      <x:c r="V31" s="49"/>
      <x:c r="W31" s="49"/>
      <x:c r="X31" s="49"/>
      <x:c r="Y31" s="49"/>
      <x:c r="Z31" s="49"/>
    </x:row>
    <x:row r="32">
      <x:c r="A32" s="119" t="str">
        <x:v>Range</x:v>
      </x:c>
      <x:c r="B32" s="102" t="str">
        <x:v>MAX-MIN</x:v>
      </x:c>
      <x:c r="C32" s="102" t="n">
        <x:f>MAX(H22:H26)-MIN(H22:H26)</x:f>
        <x:v>1.69911</x:v>
      </x:c>
      <x:c r="D32" s="113" t="str">
        <x:v>Spread across five confirmation records</x:v>
      </x:c>
      <x:c r="E32" s="54"/>
      <x:c r="F32" s="54"/>
      <x:c r="G32" s="54"/>
      <x:c r="H32" s="54"/>
      <x:c r="I32" s="54"/>
      <x:c r="J32" s="54"/>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sheetData>
  <x:mergeCells>
    <x:mergeCell ref="A1:J2"/>
  </x:mergeCells>
  <x:conditionalFormatting sqref="H22:H26">
    <x:cfRule type="colorScale" priority="1">
      <x:colorScale>
        <x:cfvo type="min"/>
        <x:cfvo type="percentile" val="50"/>
        <x:cfvo type="max"/>
        <x:color rgb="FFD9EAD3"/>
        <x:color rgb="FFFFF2CC"/>
        <x:color rgb="FFF4CCCC"/>
      </x:colorScale>
    </x:cfRule>
  </x:conditionalFormatting>
  <x:pageMargins left="0.7" right="0.7" top="0.75" bottom="0.75" header="0.3" footer="0.3"/>
  <x:drawing xmlns:r="http://schemas.openxmlformats.org/officeDocument/2006/relationships" r:id="R59ee2d2a55004608"/>
</x:worksheet>
</file>

<file path=xl/worksheets/sheet4.xml><?xml version="1.0" encoding="utf-8"?>
<x:worksheet xmlns:x="http://schemas.openxmlformats.org/spreadsheetml/2006/main">
  <x:sheetFormatPr defaultRowHeight="15"/>
  <x:cols>
    <x:col min="1" max="1" width="11" hidden="0" customWidth="1"/>
    <x:col min="2" max="2" width="12" hidden="0" customWidth="1"/>
    <x:col min="3" max="3" width="12" hidden="0" customWidth="1"/>
    <x:col min="4" max="4" width="12" hidden="0" customWidth="1"/>
    <x:col min="5" max="5" width="11" hidden="0" customWidth="1"/>
    <x:col min="6" max="6" width="12" hidden="0" customWidth="1"/>
    <x:col min="7" max="7" width="12" hidden="0" customWidth="1"/>
    <x:col min="8" max="8" width="11" hidden="0" customWidth="1"/>
    <x:col min="9" max="9" width="12" hidden="0" customWidth="1"/>
    <x:col min="10" max="10" width="12" hidden="0" customWidth="1"/>
    <x:col min="11" max="11" width="11" hidden="0" customWidth="1"/>
    <x:col min="12" max="12" width="13" hidden="0" customWidth="1"/>
    <x:col min="13" max="13" width="13" hidden="0" customWidth="1"/>
    <x:col min="14" max="14" width="13" hidden="0" customWidth="1"/>
    <x:col min="16" max="16" width="26" hidden="0" customWidth="1"/>
    <x:col min="17" max="17" width="12" hidden="0" customWidth="1"/>
    <x:col min="18" max="18" width="14" hidden="0" customWidth="1"/>
    <x:col min="19" max="19" width="12" hidden="0" customWidth="1"/>
    <x:col min="20" max="20" width="12" hidden="0" customWidth="1"/>
  </x:cols>
  <x:sheetData>
    <x:row r="1" ht="24" customHeight="1">
      <x:c r="A1" s="48" t="str">
        <x:v>Stage w — Multi-Axis Phase Sweep (TOTAL Objective)</x:v>
      </x:c>
      <x:c r="B1" s="48"/>
      <x:c r="C1" s="48"/>
      <x:c r="D1" s="48"/>
      <x:c r="E1" s="48"/>
      <x:c r="F1" s="48"/>
      <x:c r="G1" s="48"/>
      <x:c r="H1" s="48"/>
      <x:c r="I1" s="48"/>
      <x:c r="J1" s="48"/>
      <x:c r="K1" s="48"/>
      <x:c r="L1" s="48"/>
      <x:c r="M1" s="48"/>
      <x:c r="N1" s="48"/>
      <x:c r="O1" s="49"/>
      <x:c r="P1" s="49"/>
      <x:c r="Q1" s="49"/>
      <x:c r="R1" s="49"/>
      <x:c r="S1" s="49"/>
      <x:c r="T1" s="49"/>
      <x:c r="U1" s="49"/>
      <x:c r="V1" s="49"/>
      <x:c r="W1" s="49"/>
      <x:c r="X1" s="49"/>
      <x:c r="Y1" s="49"/>
      <x:c r="Z1" s="49"/>
    </x:row>
    <x:row r="2" ht="24" customHeight="1">
      <x:c r="A2" s="48"/>
      <x:c r="B2" s="48"/>
      <x:c r="C2" s="48"/>
      <x:c r="D2" s="48"/>
      <x:c r="E2" s="48"/>
      <x:c r="F2" s="48"/>
      <x:c r="G2" s="48"/>
      <x:c r="H2" s="48"/>
      <x:c r="I2" s="48"/>
      <x:c r="J2" s="48"/>
      <x:c r="K2" s="48"/>
      <x:c r="L2" s="48"/>
      <x:c r="M2" s="48"/>
      <x:c r="N2" s="48"/>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x:c r="A4" s="86" t="str">
        <x:v>Stage</x:v>
      </x:c>
      <x:c r="B4" s="98" t="str">
        <x:v>Phase (deg)</x:v>
      </x:c>
      <x:c r="C4" s="98" t="str">
        <x:v>Base X</x:v>
      </x:c>
      <x:c r="D4" s="98" t="str">
        <x:v>Residual X</x:v>
      </x:c>
      <x:c r="E4" s="98" t="str">
        <x:v>Red X (%)</x:v>
      </x:c>
      <x:c r="F4" s="98" t="str">
        <x:v>Base Y</x:v>
      </x:c>
      <x:c r="G4" s="98" t="str">
        <x:v>Residual Y</x:v>
      </x:c>
      <x:c r="H4" s="98" t="str">
        <x:v>Red Y (%)</x:v>
      </x:c>
      <x:c r="I4" s="98" t="str">
        <x:v>Base Z</x:v>
      </x:c>
      <x:c r="J4" s="98" t="str">
        <x:v>Residual Z</x:v>
      </x:c>
      <x:c r="K4" s="98" t="str">
        <x:v>Red Z (%)</x:v>
      </x:c>
      <x:c r="L4" s="98" t="str">
        <x:v>Base TOTAL</x:v>
      </x:c>
      <x:c r="M4" s="98" t="str">
        <x:v>Residual TOTAL</x:v>
      </x:c>
      <x:c r="N4" s="99" t="str">
        <x:v>Red TOTAL (%)</x:v>
      </x:c>
      <x:c r="O4" s="49"/>
      <x:c r="P4" s="86" t="str">
        <x:v>Metric</x:v>
      </x:c>
      <x:c r="Q4" s="98" t="str">
        <x:v>Phase</x:v>
      </x:c>
      <x:c r="R4" s="98" t="str">
        <x:v>Reduction (%)</x:v>
      </x:c>
      <x:c r="S4" s="98" t="str">
        <x:v>Baseline</x:v>
      </x:c>
      <x:c r="T4" s="99" t="str">
        <x:v>Residual</x:v>
      </x:c>
      <x:c r="U4" s="49"/>
      <x:c r="V4" s="38" t="str">
        <x:v>Phase</x:v>
      </x:c>
      <x:c r="W4" s="38" t="str">
        <x:v>Red X</x:v>
      </x:c>
      <x:c r="X4" s="38" t="str">
        <x:v>Red Y</x:v>
      </x:c>
      <x:c r="Y4" s="38" t="str">
        <x:v>Red Z</x:v>
      </x:c>
      <x:c r="Z4" s="38" t="str">
        <x:v>Red TOTAL</x:v>
      </x:c>
    </x:row>
    <x:row r="5">
      <x:c r="A5" s="71" t="str">
        <x:v>COARSE</x:v>
      </x:c>
      <x:c r="B5" s="72" t="n">
        <x:v>0</x:v>
      </x:c>
      <x:c r="C5" s="72" t="n">
        <x:v>1.33163</x:v>
      </x:c>
      <x:c r="D5" s="72" t="n">
        <x:v>2.31497</x:v>
      </x:c>
      <x:c r="E5" s="72" t="n">
        <x:f>(C5-D5)/C5*100</x:f>
        <x:v>-73.84483677898515</x:v>
      </x:c>
      <x:c r="F5" s="72" t="n">
        <x:v>0.74202</x:v>
      </x:c>
      <x:c r="G5" s="72" t="n">
        <x:v>0.22594</x:v>
      </x:c>
      <x:c r="H5" s="72" t="n">
        <x:f>(F5-G5)/F5*100</x:f>
        <x:v>69.55068596533785</x:v>
      </x:c>
      <x:c r="I5" s="72" t="n">
        <x:v>0.3603</x:v>
      </x:c>
      <x:c r="J5" s="72" t="n">
        <x:v>1.38968</x:v>
      </x:c>
      <x:c r="K5" s="72" t="n">
        <x:f>(I5-J5)/I5*100</x:f>
        <x:v>-285.7008048848182</x:v>
      </x:c>
      <x:c r="L5" s="72" t="n">
        <x:v>1.56641</x:v>
      </x:c>
      <x:c r="M5" s="72" t="n">
        <x:v>2.71267</x:v>
      </x:c>
      <x:c r="N5" s="73" t="n">
        <x:f>(L5-M5)/L5*100</x:f>
        <x:v>-73.17752057251933</x:v>
      </x:c>
      <x:c r="O5" s="49"/>
      <x:c r="P5" s="71" t="str">
        <x:v>Best coarse TOTAL</x:v>
      </x:c>
      <x:c r="Q5" s="124" t="n">
        <x:f>INDEX(B5:B16,MATCH(MAX(N5:N16),N5:N16,0))</x:f>
        <x:v>30</x:v>
      </x:c>
      <x:c r="R5" s="124" t="n">
        <x:f>MAX(N5:N16)</x:f>
        <x:v>-16.32268407037503</x:v>
      </x:c>
      <x:c r="S5" s="124" t="n">
        <x:f>INDEX(L5:L16,MATCH(MAX(N5:N16),N5:N16,0))</x:f>
        <x:v>1.49087</x:v>
      </x:c>
      <x:c r="T5" s="101" t="n">
        <x:f>INDEX(M5:M16,MATCH(MAX(N5:N16),N5:N16,0))</x:f>
        <x:v>1.73422</x:v>
      </x:c>
      <x:c r="U5" s="49"/>
      <x:c r="V5" s="49" t="n">
        <x:f>B5</x:f>
        <x:v>0</x:v>
      </x:c>
      <x:c r="W5" s="49" t="n">
        <x:f>E5</x:f>
        <x:v>-73.84483677898515</x:v>
      </x:c>
      <x:c r="X5" s="49" t="n">
        <x:f>H5</x:f>
        <x:v>69.55068596533785</x:v>
      </x:c>
      <x:c r="Y5" s="49" t="n">
        <x:f>K5</x:f>
        <x:v>-285.7008048848182</x:v>
      </x:c>
      <x:c r="Z5" s="49" t="n">
        <x:f>N5</x:f>
        <x:v>-73.17752057251933</x:v>
      </x:c>
    </x:row>
    <x:row r="6">
      <x:c r="A6" s="71" t="str">
        <x:v>COARSE</x:v>
      </x:c>
      <x:c r="B6" s="72" t="n">
        <x:v>30</x:v>
      </x:c>
      <x:c r="C6" s="72" t="n">
        <x:v>1.40642</x:v>
      </x:c>
      <x:c r="D6" s="72" t="n">
        <x:v>0.60685</x:v>
      </x:c>
      <x:c r="E6" s="72" t="n">
        <x:f>(C6-D6)/C6*100</x:f>
        <x:v>56.85143840389073</x:v>
      </x:c>
      <x:c r="F6" s="72" t="n">
        <x:v>0.49087</x:v>
      </x:c>
      <x:c r="G6" s="72" t="n">
        <x:v>0.73914</x:v>
      </x:c>
      <x:c r="H6" s="72" t="n">
        <x:f>(F6-G6)/F6*100</x:f>
        <x:v>-50.57754598977328</x:v>
      </x:c>
      <x:c r="I6" s="72" t="n">
        <x:v>0.06092</x:v>
      </x:c>
      <x:c r="J6" s="72" t="n">
        <x:v>1.41553</x:v>
      </x:c>
      <x:c r="K6" s="72" t="n">
        <x:f>(I6-J6)/I6*100</x:f>
        <x:v>-2223.5883125410373</x:v>
      </x:c>
      <x:c r="L6" s="72" t="n">
        <x:v>1.49087</x:v>
      </x:c>
      <x:c r="M6" s="72" t="n">
        <x:v>1.73422</x:v>
      </x:c>
      <x:c r="N6" s="73" t="n">
        <x:f>(L6-M6)/L6*100</x:f>
        <x:v>-16.32268407037503</x:v>
      </x:c>
      <x:c r="O6" s="49"/>
      <x:c r="P6" s="71" t="str">
        <x:v>Best coarse X</x:v>
      </x:c>
      <x:c r="Q6" s="124" t="n">
        <x:f>INDEX(B5:B16,MATCH(MAX(E5:E16),E5:E16,0))</x:f>
        <x:v>240</x:v>
      </x:c>
      <x:c r="R6" s="124" t="n">
        <x:f>MAX(E5:E16)</x:f>
        <x:v>65.20237612647729</x:v>
      </x:c>
      <x:c r="S6" s="124" t="n">
        <x:f>INDEX(C5:C16,MATCH(MAX(E5:E16),E5:E16,0))</x:f>
        <x:v>1.28276</x:v>
      </x:c>
      <x:c r="T6" s="101" t="n">
        <x:f>INDEX(D5:D16,MATCH(MAX(E5:E16),E5:E16,0))</x:f>
        <x:v>0.44637</x:v>
      </x:c>
      <x:c r="U6" s="49"/>
      <x:c r="V6" s="49" t="n">
        <x:f>B6</x:f>
        <x:v>30</x:v>
      </x:c>
      <x:c r="W6" s="49" t="n">
        <x:f>E6</x:f>
        <x:v>56.85143840389073</x:v>
      </x:c>
      <x:c r="X6" s="49" t="n">
        <x:f>H6</x:f>
        <x:v>-50.57754598977328</x:v>
      </x:c>
      <x:c r="Y6" s="49" t="n">
        <x:f>K6</x:f>
        <x:v>-2223.5883125410373</x:v>
      </x:c>
      <x:c r="Z6" s="49" t="n">
        <x:f>N6</x:f>
        <x:v>-16.32268407037503</x:v>
      </x:c>
    </x:row>
    <x:row r="7">
      <x:c r="A7" s="71" t="str">
        <x:v>COARSE</x:v>
      </x:c>
      <x:c r="B7" s="72" t="n">
        <x:v>60</x:v>
      </x:c>
      <x:c r="C7" s="72" t="n">
        <x:v>1.21678</x:v>
      </x:c>
      <x:c r="D7" s="72" t="n">
        <x:v>2.29492</x:v>
      </x:c>
      <x:c r="E7" s="72" t="n">
        <x:f>(C7-D7)/C7*100</x:f>
        <x:v>-88.60599286641792</x:v>
      </x:c>
      <x:c r="F7" s="72" t="n">
        <x:v>0.52715</x:v>
      </x:c>
      <x:c r="G7" s="72" t="n">
        <x:v>0.13016</x:v>
      </x:c>
      <x:c r="H7" s="72" t="n">
        <x:f>(F7-G7)/F7*100</x:f>
        <x:v>75.30873565398844</x:v>
      </x:c>
      <x:c r="I7" s="72" t="n">
        <x:v>0.09752</x:v>
      </x:c>
      <x:c r="J7" s="72" t="n">
        <x:v>1.69591</x:v>
      </x:c>
      <x:c r="K7" s="72" t="n">
        <x:f>(I7-J7)/I7*100</x:f>
        <x:v>-1639.038146021329</x:v>
      </x:c>
      <x:c r="L7" s="72" t="n">
        <x:v>1.32964</x:v>
      </x:c>
      <x:c r="M7" s="72" t="n">
        <x:v>2.85802</x:v>
      </x:c>
      <x:c r="N7" s="73" t="n">
        <x:f>(L7-M7)/L7*100</x:f>
        <x:v>-114.94690292109142</x:v>
      </x:c>
      <x:c r="O7" s="49"/>
      <x:c r="P7" s="71" t="str">
        <x:v>Best coarse Y</x:v>
      </x:c>
      <x:c r="Q7" s="124" t="n">
        <x:f>INDEX(B5:B16,MATCH(MAX(H5:H16),H5:H16,0))</x:f>
        <x:v>60</x:v>
      </x:c>
      <x:c r="R7" s="124" t="n">
        <x:f>MAX(H5:H16)</x:f>
        <x:v>75.30873565398844</x:v>
      </x:c>
      <x:c r="S7" s="124" t="n">
        <x:f>INDEX(F5:F16,MATCH(MAX(H5:H16),H5:H16,0))</x:f>
        <x:v>0.52715</x:v>
      </x:c>
      <x:c r="T7" s="101" t="n">
        <x:f>INDEX(G5:G16,MATCH(MAX(H5:H16),H5:H16,0))</x:f>
        <x:v>0.13016</x:v>
      </x:c>
      <x:c r="U7" s="49"/>
      <x:c r="V7" s="49" t="n">
        <x:f>B7</x:f>
        <x:v>60</x:v>
      </x:c>
      <x:c r="W7" s="49" t="n">
        <x:f>E7</x:f>
        <x:v>-88.60599286641792</x:v>
      </x:c>
      <x:c r="X7" s="49" t="n">
        <x:f>H7</x:f>
        <x:v>75.30873565398844</x:v>
      </x:c>
      <x:c r="Y7" s="49" t="n">
        <x:f>K7</x:f>
        <x:v>-1639.038146021329</x:v>
      </x:c>
      <x:c r="Z7" s="49" t="n">
        <x:f>N7</x:f>
        <x:v>-114.94690292109142</x:v>
      </x:c>
    </x:row>
    <x:row r="8">
      <x:c r="A8" s="71" t="str">
        <x:v>COARSE</x:v>
      </x:c>
      <x:c r="B8" s="72" t="n">
        <x:v>90</x:v>
      </x:c>
      <x:c r="C8" s="72" t="n">
        <x:v>1.33605</x:v>
      </x:c>
      <x:c r="D8" s="72" t="n">
        <x:v>2.70999</x:v>
      </x:c>
      <x:c r="E8" s="72" t="n">
        <x:f>(C8-D8)/C8*100</x:f>
        <x:v>-102.83597170764567</x:v>
      </x:c>
      <x:c r="F8" s="72" t="n">
        <x:v>0.46009</x:v>
      </x:c>
      <x:c r="G8" s="72" t="n">
        <x:v>1.07115</x:v>
      </x:c>
      <x:c r="H8" s="72" t="n">
        <x:f>(F8-G8)/F8*100</x:f>
        <x:v>-132.8131452541894</x:v>
      </x:c>
      <x:c r="I8" s="72" t="n">
        <x:v>0.13543</x:v>
      </x:c>
      <x:c r="J8" s="72" t="n">
        <x:v>2.037</x:v>
      </x:c>
      <x:c r="K8" s="72" t="n">
        <x:f>(I8-J8)/I8*100</x:f>
        <x:v>-1404.0980580373625</x:v>
      </x:c>
      <x:c r="L8" s="72" t="n">
        <x:v>1.41952</x:v>
      </x:c>
      <x:c r="M8" s="72" t="n">
        <x:v>3.55628</x:v>
      </x:c>
      <x:c r="N8" s="73" t="n">
        <x:f>(L8-M8)/L8*100</x:f>
        <x:v>-150.52693868349866</x:v>
      </x:c>
      <x:c r="O8" s="49"/>
      <x:c r="P8" s="71" t="str">
        <x:v>Best coarse Z</x:v>
      </x:c>
      <x:c r="Q8" s="124" t="n">
        <x:f>INDEX(B5:B16,MATCH(MAX(K5:K16),K5:K16,0))</x:f>
        <x:v>120</x:v>
      </x:c>
      <x:c r="R8" s="124" t="n">
        <x:f>MAX(K5:K16)</x:f>
        <x:v>-181.58638913355895</x:v>
      </x:c>
      <x:c r="S8" s="124" t="n">
        <x:f>INDEX(I5:I16,MATCH(MAX(K5:K16),K5:K16,0))</x:f>
        <x:v>0.64713</x:v>
      </x:c>
      <x:c r="T8" s="101" t="n">
        <x:f>INDEX(J5:J16,MATCH(MAX(K5:K16),K5:K16,0))</x:f>
        <x:v>1.82223</x:v>
      </x:c>
      <x:c r="U8" s="49"/>
      <x:c r="V8" s="49" t="n">
        <x:f>B8</x:f>
        <x:v>90</x:v>
      </x:c>
      <x:c r="W8" s="49" t="n">
        <x:f>E8</x:f>
        <x:v>-102.83597170764567</x:v>
      </x:c>
      <x:c r="X8" s="49" t="n">
        <x:f>H8</x:f>
        <x:v>-132.8131452541894</x:v>
      </x:c>
      <x:c r="Y8" s="49" t="n">
        <x:f>K8</x:f>
        <x:v>-1404.0980580373625</x:v>
      </x:c>
      <x:c r="Z8" s="49" t="n">
        <x:f>N8</x:f>
        <x:v>-150.52693868349866</x:v>
      </x:c>
    </x:row>
    <x:row r="9">
      <x:c r="A9" s="71" t="str">
        <x:v>COARSE</x:v>
      </x:c>
      <x:c r="B9" s="72" t="n">
        <x:v>120</x:v>
      </x:c>
      <x:c r="C9" s="72" t="n">
        <x:v>1.20777</x:v>
      </x:c>
      <x:c r="D9" s="72" t="n">
        <x:v>2.57891</x:v>
      </x:c>
      <x:c r="E9" s="72" t="n">
        <x:f>(C9-D9)/C9*100</x:f>
        <x:v>-113.52658204790646</x:v>
      </x:c>
      <x:c r="F9" s="72" t="n">
        <x:v>0.1338</x:v>
      </x:c>
      <x:c r="G9" s="72" t="n">
        <x:v>0.97839</x:v>
      </x:c>
      <x:c r="H9" s="72" t="n">
        <x:f>(F9-G9)/F9*100</x:f>
        <x:v>-631.2331838565023</x:v>
      </x:c>
      <x:c r="I9" s="72" t="n">
        <x:v>0.64713</x:v>
      </x:c>
      <x:c r="J9" s="72" t="n">
        <x:v>1.82223</x:v>
      </x:c>
      <x:c r="K9" s="72" t="n">
        <x:f>(I9-J9)/I9*100</x:f>
        <x:v>-181.58638913355895</x:v>
      </x:c>
      <x:c r="L9" s="72" t="n">
        <x:v>1.37673</x:v>
      </x:c>
      <x:c r="M9" s="72" t="n">
        <x:v>3.30884</x:v>
      </x:c>
      <x:c r="N9" s="73" t="n">
        <x:f>(L9-M9)/L9*100</x:f>
        <x:v>-140.34051702221933</x:v>
      </x:c>
      <x:c r="O9" s="49"/>
      <x:c r="P9" s="71" t="str">
        <x:v>Best actual FINE TOTAL</x:v>
      </x:c>
      <x:c r="Q9" s="124" t="n">
        <x:f>INDEX(B19:B25,MATCH(MAX(N19:N25),N19:N25,0))</x:f>
        <x:v>25</x:v>
      </x:c>
      <x:c r="R9" s="124" t="n">
        <x:f>MAX(N19:N25)</x:f>
        <x:v>-87.46578574799432</x:v>
      </x:c>
      <x:c r="S9" s="124" t="n">
        <x:f>INDEX(L19:L25,MATCH(MAX(N19:N25),N19:N25,0))</x:f>
        <x:v>1.4833</x:v>
      </x:c>
      <x:c r="T9" s="101" t="n">
        <x:f>INDEX(M19:M25,MATCH(MAX(N19:N25),N19:N25,0))</x:f>
        <x:v>2.78068</x:v>
      </x:c>
      <x:c r="U9" s="49"/>
      <x:c r="V9" s="49" t="n">
        <x:f>B9</x:f>
        <x:v>120</x:v>
      </x:c>
      <x:c r="W9" s="49" t="n">
        <x:f>E9</x:f>
        <x:v>-113.52658204790646</x:v>
      </x:c>
      <x:c r="X9" s="49" t="n">
        <x:f>H9</x:f>
        <x:v>-631.2331838565023</x:v>
      </x:c>
      <x:c r="Y9" s="49" t="n">
        <x:f>K9</x:f>
        <x:v>-181.58638913355895</x:v>
      </x:c>
      <x:c r="Z9" s="49" t="n">
        <x:f>N9</x:f>
        <x:v>-140.34051702221933</x:v>
      </x:c>
    </x:row>
    <x:row r="10">
      <x:c r="A10" s="71" t="str">
        <x:v>COARSE</x:v>
      </x:c>
      <x:c r="B10" s="72" t="n">
        <x:v>150</x:v>
      </x:c>
      <x:c r="C10" s="72" t="n">
        <x:v>1.38562</x:v>
      </x:c>
      <x:c r="D10" s="72" t="n">
        <x:v>2.77307</x:v>
      </x:c>
      <x:c r="E10" s="72" t="n">
        <x:f>(C10-D10)/C10*100</x:f>
        <x:v>-100.13207084193358</x:v>
      </x:c>
      <x:c r="F10" s="72" t="n">
        <x:v>0.40887</x:v>
      </x:c>
      <x:c r="G10" s="72" t="n">
        <x:v>0.99602</x:v>
      </x:c>
      <x:c r="H10" s="72" t="n">
        <x:f>(F10-G10)/F10*100</x:f>
        <x:v>-143.6031012302199</x:v>
      </x:c>
      <x:c r="I10" s="72" t="n">
        <x:v>0.18907</x:v>
      </x:c>
      <x:c r="J10" s="72" t="n">
        <x:v>2.19242</x:v>
      </x:c>
      <x:c r="K10" s="72" t="n">
        <x:f>(I10-J10)/I10*100</x:f>
        <x:v>-1059.5811075263127</x:v>
      </x:c>
      <x:c r="L10" s="72" t="n">
        <x:v>1.45701</x:v>
      </x:c>
      <x:c r="M10" s="72" t="n">
        <x:v>3.67332</x:v>
      </x:c>
      <x:c r="N10" s="73" t="n">
        <x:f>(L10-M10)/L10*100</x:f>
        <x:v>-152.1135750612556</x:v>
      </x:c>
      <x:c r="O10" s="49"/>
      <x:c r="P10" s="74" t="str">
        <x:v>Confirmation median TOTAL reduction</x:v>
      </x:c>
      <x:c r="Q10" s="125" t="n">
        <x:v>30</x:v>
      </x:c>
      <x:c r="R10" s="125" t="n">
        <x:f>MEDIAN(N37:N41)</x:f>
        <x:v>-268.572754895341</x:v>
      </x:c>
      <x:c r="S10" s="125" t="n">
        <x:f>MEDIAN(L37:L41)</x:f>
        <x:v>1.1848</x:v>
      </x:c>
      <x:c r="T10" s="103" t="n">
        <x:f>MEDIAN(M37:M41)</x:f>
        <x:v>4.36685</x:v>
      </x:c>
      <x:c r="U10" s="49"/>
      <x:c r="V10" s="49" t="n">
        <x:f>B10</x:f>
        <x:v>150</x:v>
      </x:c>
      <x:c r="W10" s="49" t="n">
        <x:f>E10</x:f>
        <x:v>-100.13207084193358</x:v>
      </x:c>
      <x:c r="X10" s="49" t="n">
        <x:f>H10</x:f>
        <x:v>-143.6031012302199</x:v>
      </x:c>
      <x:c r="Y10" s="49" t="n">
        <x:f>K10</x:f>
        <x:v>-1059.5811075263127</x:v>
      </x:c>
      <x:c r="Z10" s="49" t="n">
        <x:f>N10</x:f>
        <x:v>-152.1135750612556</x:v>
      </x:c>
    </x:row>
    <x:row r="11">
      <x:c r="A11" s="71" t="str">
        <x:v>COARSE</x:v>
      </x:c>
      <x:c r="B11" s="72" t="n">
        <x:v>180</x:v>
      </x:c>
      <x:c r="C11" s="72" t="n">
        <x:v>1.31385</x:v>
      </x:c>
      <x:c r="D11" s="72" t="n">
        <x:v>2.78474</x:v>
      </x:c>
      <x:c r="E11" s="72" t="n">
        <x:f>(C11-D11)/C11*100</x:f>
        <x:v>-111.95265821821367</x:v>
      </x:c>
      <x:c r="F11" s="72" t="n">
        <x:v>0.47788</x:v>
      </x:c>
      <x:c r="G11" s="72" t="n">
        <x:v>1.25362</x:v>
      </x:c>
      <x:c r="H11" s="72" t="n">
        <x:f>(F11-G11)/F11*100</x:f>
        <x:v>-162.32945509332885</x:v>
      </x:c>
      <x:c r="I11" s="72" t="n">
        <x:v>0.18468</x:v>
      </x:c>
      <x:c r="J11" s="72" t="n">
        <x:v>2.08363</x:v>
      </x:c>
      <x:c r="K11" s="72" t="n">
        <x:f>(I11-J11)/I11*100</x:f>
        <x:v>-1028.2380333549922</x:v>
      </x:c>
      <x:c r="L11" s="72" t="n">
        <x:v>1.41021</x:v>
      </x:c>
      <x:c r="M11" s="72" t="n">
        <x:v>3.69714</x:v>
      </x:c>
      <x:c r="N11" s="73" t="n">
        <x:f>(L11-M11)/L11*100</x:f>
        <x:v>-162.16946412236476</x:v>
      </x:c>
      <x:c r="O11" s="49"/>
      <x:c r="P11" s="49"/>
      <x:c r="Q11" s="49"/>
      <x:c r="R11" s="49"/>
      <x:c r="S11" s="49"/>
      <x:c r="T11" s="49"/>
      <x:c r="U11" s="49"/>
      <x:c r="V11" s="49" t="n">
        <x:f>B11</x:f>
        <x:v>180</x:v>
      </x:c>
      <x:c r="W11" s="49" t="n">
        <x:f>E11</x:f>
        <x:v>-111.95265821821367</x:v>
      </x:c>
      <x:c r="X11" s="49" t="n">
        <x:f>H11</x:f>
        <x:v>-162.32945509332885</x:v>
      </x:c>
      <x:c r="Y11" s="49" t="n">
        <x:f>K11</x:f>
        <x:v>-1028.2380333549922</x:v>
      </x:c>
      <x:c r="Z11" s="49" t="n">
        <x:f>N11</x:f>
        <x:v>-162.16946412236476</x:v>
      </x:c>
    </x:row>
    <x:row r="12">
      <x:c r="A12" s="71" t="str">
        <x:v>COARSE</x:v>
      </x:c>
      <x:c r="B12" s="72" t="n">
        <x:v>210</x:v>
      </x:c>
      <x:c r="C12" s="72" t="n">
        <x:v>1.17408</x:v>
      </x:c>
      <x:c r="D12" s="72" t="n">
        <x:v>1.22436</x:v>
      </x:c>
      <x:c r="E12" s="72" t="n">
        <x:f>(C12-D12)/C12*100</x:f>
        <x:v>-4.28250204415371</x:v>
      </x:c>
      <x:c r="F12" s="72" t="n">
        <x:v>0.49454</x:v>
      </x:c>
      <x:c r="G12" s="72" t="n">
        <x:v>1.19353</x:v>
      </x:c>
      <x:c r="H12" s="72" t="n">
        <x:f>(F12-G12)/F12*100</x:f>
        <x:v>-141.3414486189186</x:v>
      </x:c>
      <x:c r="I12" s="72" t="n">
        <x:v>0.18393</x:v>
      </x:c>
      <x:c r="J12" s="72" t="n">
        <x:v>1.66409</x:v>
      </x:c>
      <x:c r="K12" s="72" t="n">
        <x:f>(I12-J12)/I12*100</x:f>
        <x:v>-804.7409340509978</x:v>
      </x:c>
      <x:c r="L12" s="72" t="n">
        <x:v>1.28719</x:v>
      </x:c>
      <x:c r="M12" s="72" t="n">
        <x:v>2.42112</x:v>
      </x:c>
      <x:c r="N12" s="73" t="n">
        <x:f>(L12-M12)/L12*100</x:f>
        <x:v>-88.09344385832706</x:v>
      </x:c>
      <x:c r="O12" s="49"/>
      <x:c r="P12" s="49"/>
      <x:c r="Q12" s="49"/>
      <x:c r="R12" s="49"/>
      <x:c r="S12" s="49"/>
      <x:c r="T12" s="49"/>
      <x:c r="U12" s="49"/>
      <x:c r="V12" s="49" t="n">
        <x:f>B12</x:f>
        <x:v>210</x:v>
      </x:c>
      <x:c r="W12" s="49" t="n">
        <x:f>E12</x:f>
        <x:v>-4.28250204415371</x:v>
      </x:c>
      <x:c r="X12" s="49" t="n">
        <x:f>H12</x:f>
        <x:v>-141.3414486189186</x:v>
      </x:c>
      <x:c r="Y12" s="49" t="n">
        <x:f>K12</x:f>
        <x:v>-804.7409340509978</x:v>
      </x:c>
      <x:c r="Z12" s="49" t="n">
        <x:f>N12</x:f>
        <x:v>-88.09344385832706</x:v>
      </x:c>
    </x:row>
    <x:row r="13">
      <x:c r="A13" s="71" t="str">
        <x:v>COARSE</x:v>
      </x:c>
      <x:c r="B13" s="72" t="n">
        <x:v>240</x:v>
      </x:c>
      <x:c r="C13" s="72" t="n">
        <x:v>1.28276</x:v>
      </x:c>
      <x:c r="D13" s="72" t="n">
        <x:v>0.44637</x:v>
      </x:c>
      <x:c r="E13" s="72" t="n">
        <x:f>(C13-D13)/C13*100</x:f>
        <x:v>65.20237612647729</x:v>
      </x:c>
      <x:c r="F13" s="72" t="n">
        <x:v>0.54221</x:v>
      </x:c>
      <x:c r="G13" s="72" t="n">
        <x:v>0.74346</x:v>
      </x:c>
      <x:c r="H13" s="72" t="n">
        <x:f>(F13-G13)/F13*100</x:f>
        <x:v>-37.11661533354236</x:v>
      </x:c>
      <x:c r="I13" s="72" t="n">
        <x:v>0.47538</x:v>
      </x:c>
      <x:c r="J13" s="72" t="n">
        <x:v>1.7731</x:v>
      </x:c>
      <x:c r="K13" s="72" t="n">
        <x:f>(I13-J13)/I13*100</x:f>
        <x:v>-272.9858218688207</x:v>
      </x:c>
      <x:c r="L13" s="72" t="n">
        <x:v>1.47155</x:v>
      </x:c>
      <x:c r="M13" s="72" t="n">
        <x:v>1.98087</x:v>
      </x:c>
      <x:c r="N13" s="73" t="n">
        <x:f>(L13-M13)/L13*100</x:f>
        <x:v>-34.61112432469166</x:v>
      </x:c>
      <x:c r="O13" s="49"/>
      <x:c r="P13" s="49"/>
      <x:c r="Q13" s="49"/>
      <x:c r="R13" s="49"/>
      <x:c r="S13" s="49"/>
      <x:c r="T13" s="49"/>
      <x:c r="U13" s="49"/>
      <x:c r="V13" s="49" t="n">
        <x:f>B13</x:f>
        <x:v>240</x:v>
      </x:c>
      <x:c r="W13" s="49" t="n">
        <x:f>E13</x:f>
        <x:v>65.20237612647729</x:v>
      </x:c>
      <x:c r="X13" s="49" t="n">
        <x:f>H13</x:f>
        <x:v>-37.11661533354236</x:v>
      </x:c>
      <x:c r="Y13" s="49" t="n">
        <x:f>K13</x:f>
        <x:v>-272.9858218688207</x:v>
      </x:c>
      <x:c r="Z13" s="49" t="n">
        <x:f>N13</x:f>
        <x:v>-34.61112432469166</x:v>
      </x:c>
    </x:row>
    <x:row r="14">
      <x:c r="A14" s="71" t="str">
        <x:v>COARSE</x:v>
      </x:c>
      <x:c r="B14" s="72" t="n">
        <x:v>270</x:v>
      </x:c>
      <x:c r="C14" s="72" t="n">
        <x:v>1.18774</x:v>
      </x:c>
      <x:c r="D14" s="72" t="n">
        <x:v>0.98513</x:v>
      </x:c>
      <x:c r="E14" s="72" t="n">
        <x:f>(C14-D14)/C14*100</x:f>
        <x:v>17.05844713489485</x:v>
      </x:c>
      <x:c r="F14" s="72" t="n">
        <x:v>0.54834</x:v>
      </x:c>
      <x:c r="G14" s="72" t="n">
        <x:v>1.16982</x:v>
      </x:c>
      <x:c r="H14" s="72" t="n">
        <x:f>(F14-G14)/F14*100</x:f>
        <x:v>-113.33843965422912</x:v>
      </x:c>
      <x:c r="I14" s="72" t="n">
        <x:v>0.43781</x:v>
      </x:c>
      <x:c r="J14" s="72" t="n">
        <x:v>1.87376</x:v>
      </x:c>
      <x:c r="K14" s="72" t="n">
        <x:f>(I14-J14)/I14*100</x:f>
        <x:v>-327.9847422397844</x:v>
      </x:c>
      <x:c r="L14" s="72" t="n">
        <x:v>1.37953</x:v>
      </x:c>
      <x:c r="M14" s="72" t="n">
        <x:v>2.47837</x:v>
      </x:c>
      <x:c r="N14" s="73" t="n">
        <x:f>(L14-M14)/L14*100</x:f>
        <x:v>-79.65321522547535</x:v>
      </x:c>
      <x:c r="O14" s="49"/>
      <x:c r="P14" s="49"/>
      <x:c r="Q14" s="49"/>
      <x:c r="R14" s="49"/>
      <x:c r="S14" s="49"/>
      <x:c r="T14" s="49"/>
      <x:c r="U14" s="49"/>
      <x:c r="V14" s="49" t="n">
        <x:f>B14</x:f>
        <x:v>270</x:v>
      </x:c>
      <x:c r="W14" s="49" t="n">
        <x:f>E14</x:f>
        <x:v>17.05844713489485</x:v>
      </x:c>
      <x:c r="X14" s="49" t="n">
        <x:f>H14</x:f>
        <x:v>-113.33843965422912</x:v>
      </x:c>
      <x:c r="Y14" s="49" t="n">
        <x:f>K14</x:f>
        <x:v>-327.9847422397844</x:v>
      </x:c>
      <x:c r="Z14" s="49" t="n">
        <x:f>N14</x:f>
        <x:v>-79.65321522547535</x:v>
      </x:c>
    </x:row>
    <x:row r="15">
      <x:c r="A15" s="71" t="str">
        <x:v>COARSE</x:v>
      </x:c>
      <x:c r="B15" s="72" t="n">
        <x:v>300</x:v>
      </x:c>
      <x:c r="C15" s="72" t="n">
        <x:v>1.30982</x:v>
      </x:c>
      <x:c r="D15" s="72" t="n">
        <x:v>2.10435</x:v>
      </x:c>
      <x:c r="E15" s="72" t="n">
        <x:f>(C15-D15)/C15*100</x:f>
        <x:v>-60.65947992853982</x:v>
      </x:c>
      <x:c r="F15" s="72" t="n">
        <x:v>0.4009</x:v>
      </x:c>
      <x:c r="G15" s="72" t="n">
        <x:v>1.67018</x:v>
      </x:c>
      <x:c r="H15" s="72" t="n">
        <x:f>(F15-G15)/F15*100</x:f>
        <x:v>-316.6076328261412</x:v>
      </x:c>
      <x:c r="I15" s="72" t="n">
        <x:v>0.64034</x:v>
      </x:c>
      <x:c r="J15" s="72" t="n">
        <x:v>2.06527</x:v>
      </x:c>
      <x:c r="K15" s="72" t="n">
        <x:f>(I15-J15)/I15*100</x:f>
        <x:v>-222.52709498079142</x:v>
      </x:c>
      <x:c r="L15" s="72" t="n">
        <x:v>1.51208</x:v>
      </x:c>
      <x:c r="M15" s="72" t="n">
        <x:v>3.39964</x:v>
      </x:c>
      <x:c r="N15" s="73" t="n">
        <x:f>(L15-M15)/L15*100</x:f>
        <x:v>-124.83201946986932</x:v>
      </x:c>
      <x:c r="O15" s="49"/>
      <x:c r="P15" s="49"/>
      <x:c r="Q15" s="49"/>
      <x:c r="R15" s="49"/>
      <x:c r="S15" s="49"/>
      <x:c r="T15" s="49"/>
      <x:c r="U15" s="49"/>
      <x:c r="V15" s="49" t="n">
        <x:f>B15</x:f>
        <x:v>300</x:v>
      </x:c>
      <x:c r="W15" s="49" t="n">
        <x:f>E15</x:f>
        <x:v>-60.65947992853982</x:v>
      </x:c>
      <x:c r="X15" s="49" t="n">
        <x:f>H15</x:f>
        <x:v>-316.6076328261412</x:v>
      </x:c>
      <x:c r="Y15" s="49" t="n">
        <x:f>K15</x:f>
        <x:v>-222.52709498079142</x:v>
      </x:c>
      <x:c r="Z15" s="49" t="n">
        <x:f>N15</x:f>
        <x:v>-124.83201946986932</x:v>
      </x:c>
    </x:row>
    <x:row r="16">
      <x:c r="A16" s="74" t="str">
        <x:v>COARSE</x:v>
      </x:c>
      <x:c r="B16" s="75" t="n">
        <x:v>330</x:v>
      </x:c>
      <x:c r="C16" s="75" t="n">
        <x:v>1.49355</x:v>
      </x:c>
      <x:c r="D16" s="75" t="n">
        <x:v>1.1996</x:v>
      </x:c>
      <x:c r="E16" s="75" t="n">
        <x:f>(C16-D16)/C16*100</x:f>
        <x:v>19.681296240500817</x:v>
      </x:c>
      <x:c r="F16" s="75" t="n">
        <x:v>0.53146</x:v>
      </x:c>
      <x:c r="G16" s="75" t="n">
        <x:v>1.37328</x:v>
      </x:c>
      <x:c r="H16" s="75" t="n">
        <x:f>(F16-G16)/F16*100</x:f>
        <x:v>-158.3976216460317</x:v>
      </x:c>
      <x:c r="I16" s="75" t="n">
        <x:v>0.48547</x:v>
      </x:c>
      <x:c r="J16" s="75" t="n">
        <x:v>2.07588</x:v>
      </x:c>
      <x:c r="K16" s="75" t="n">
        <x:f>(I16-J16)/I16*100</x:f>
        <x:v>-327.6021175355841</x:v>
      </x:c>
      <x:c r="L16" s="75" t="n">
        <x:v>1.65796</x:v>
      </x:c>
      <x:c r="M16" s="75" t="n">
        <x:v>2.77058</x:v>
      </x:c>
      <x:c r="N16" s="76" t="n">
        <x:f>(L16-M16)/L16*100</x:f>
        <x:v>-67.10777099568142</x:v>
      </x:c>
      <x:c r="O16" s="49"/>
      <x:c r="P16" s="49"/>
      <x:c r="Q16" s="49"/>
      <x:c r="R16" s="49"/>
      <x:c r="S16" s="49"/>
      <x:c r="T16" s="49"/>
      <x:c r="U16" s="49"/>
      <x:c r="V16" s="49" t="n">
        <x:f>B16</x:f>
        <x:v>330</x:v>
      </x:c>
      <x:c r="W16" s="49" t="n">
        <x:f>E16</x:f>
        <x:v>19.681296240500817</x:v>
      </x:c>
      <x:c r="X16" s="49" t="n">
        <x:f>H16</x:f>
        <x:v>-158.3976216460317</x:v>
      </x:c>
      <x:c r="Y16" s="49" t="n">
        <x:f>K16</x:f>
        <x:v>-327.6021175355841</x:v>
      </x:c>
      <x:c r="Z16" s="49" t="n">
        <x:f>N16</x:f>
        <x:v>-67.10777099568142</x:v>
      </x:c>
    </x:row>
    <x:row r="17">
      <x:c r="A17" s="49"/>
      <x:c r="B17" s="58"/>
      <x:c r="C17" s="58"/>
      <x:c r="D17" s="58"/>
      <x:c r="E17" s="58"/>
      <x:c r="F17" s="58"/>
      <x:c r="G17" s="58"/>
      <x:c r="H17" s="58"/>
      <x:c r="I17" s="58"/>
      <x:c r="J17" s="58"/>
      <x:c r="K17" s="58"/>
      <x:c r="L17" s="58"/>
      <x:c r="M17" s="58"/>
      <x:c r="N17" s="58"/>
      <x:c r="O17" s="49"/>
      <x:c r="P17" s="49"/>
      <x:c r="Q17" s="49"/>
      <x:c r="R17" s="49"/>
      <x:c r="S17" s="49"/>
      <x:c r="T17" s="49"/>
      <x:c r="U17" s="49"/>
      <x:c r="V17" s="49"/>
      <x:c r="W17" s="49"/>
      <x:c r="X17" s="49"/>
      <x:c r="Y17" s="49"/>
      <x:c r="Z17" s="49"/>
    </x:row>
    <x:row r="18">
      <x:c r="A18" s="50" t="str">
        <x:v>Fine sweep</x:v>
      </x:c>
      <x:c r="B18" s="59"/>
      <x:c r="C18" s="59"/>
      <x:c r="D18" s="59"/>
      <x:c r="E18" s="59"/>
      <x:c r="F18" s="59"/>
      <x:c r="G18" s="59"/>
      <x:c r="H18" s="59"/>
      <x:c r="I18" s="59"/>
      <x:c r="J18" s="59"/>
      <x:c r="K18" s="59"/>
      <x:c r="L18" s="59"/>
      <x:c r="M18" s="59"/>
      <x:c r="N18" s="59"/>
      <x:c r="O18" s="49"/>
      <x:c r="P18" s="49"/>
      <x:c r="Q18" s="49"/>
      <x:c r="R18" s="49"/>
      <x:c r="S18" s="49"/>
      <x:c r="T18" s="49"/>
      <x:c r="U18" s="49"/>
      <x:c r="V18" s="49"/>
      <x:c r="W18" s="49"/>
      <x:c r="X18" s="49"/>
      <x:c r="Y18" s="49"/>
      <x:c r="Z18" s="49"/>
    </x:row>
    <x:row r="19">
      <x:c r="A19" s="68" t="str">
        <x:v>FINE</x:v>
      </x:c>
      <x:c r="B19" s="69" t="n">
        <x:v>15</x:v>
      </x:c>
      <x:c r="C19" s="69" t="n">
        <x:v>1.27052</x:v>
      </x:c>
      <x:c r="D19" s="69" t="n">
        <x:v>1.89507</x:v>
      </x:c>
      <x:c r="E19" s="69" t="n">
        <x:f>(C19-D19)/C19*100</x:f>
        <x:v>-49.157038063155234</x:v>
      </x:c>
      <x:c r="F19" s="69" t="n">
        <x:v>0.44899</x:v>
      </x:c>
      <x:c r="G19" s="69" t="n">
        <x:v>0.88106</x:v>
      </x:c>
      <x:c r="H19" s="69" t="n">
        <x:f>(F19-G19)/F19*100</x:f>
        <x:v>-96.23154190516492</x:v>
      </x:c>
      <x:c r="I19" s="69" t="n">
        <x:v>0.35604</x:v>
      </x:c>
      <x:c r="J19" s="69" t="n">
        <x:v>2.29528</x:v>
      </x:c>
      <x:c r="K19" s="69" t="n">
        <x:f>(I19-J19)/I19*100</x:f>
        <x:v>-544.6691382990674</x:v>
      </x:c>
      <x:c r="L19" s="69" t="n">
        <x:v>1.39376</x:v>
      </x:c>
      <x:c r="M19" s="69" t="n">
        <x:v>3.10687</x:v>
      </x:c>
      <x:c r="N19" s="70" t="n">
        <x:f>(L19-M19)/L19*100</x:f>
        <x:v>-122.912840087246</x:v>
      </x:c>
      <x:c r="O19" s="49"/>
      <x:c r="P19" s="49"/>
      <x:c r="Q19" s="49"/>
      <x:c r="R19" s="49"/>
      <x:c r="S19" s="49"/>
      <x:c r="T19" s="49"/>
      <x:c r="U19" s="49"/>
      <x:c r="V19" s="49"/>
      <x:c r="W19" s="49"/>
      <x:c r="X19" s="49"/>
      <x:c r="Y19" s="49"/>
      <x:c r="Z19" s="49"/>
    </x:row>
    <x:row r="20">
      <x:c r="A20" s="71" t="str">
        <x:v>FINE</x:v>
      </x:c>
      <x:c r="B20" s="72" t="n">
        <x:v>20</x:v>
      </x:c>
      <x:c r="C20" s="72" t="n">
        <x:v>1.28425</x:v>
      </x:c>
      <x:c r="D20" s="72" t="n">
        <x:v>2.77107</x:v>
      </x:c>
      <x:c r="E20" s="72" t="n">
        <x:f>(C20-D20)/C20*100</x:f>
        <x:v>-115.77340860424374</x:v>
      </x:c>
      <x:c r="F20" s="72" t="n">
        <x:v>0.37927</x:v>
      </x:c>
      <x:c r="G20" s="72" t="n">
        <x:v>1.28278</x:v>
      </x:c>
      <x:c r="H20" s="72" t="n">
        <x:f>(F20-G20)/F20*100</x:f>
        <x:v>-238.2234292192897</x:v>
      </x:c>
      <x:c r="I20" s="72" t="n">
        <x:v>0.05974</x:v>
      </x:c>
      <x:c r="J20" s="72" t="n">
        <x:v>2.21298</x:v>
      </x:c>
      <x:c r="K20" s="72" t="n">
        <x:f>(I20-J20)/I20*100</x:f>
        <x:v>-3604.352192835621</x:v>
      </x:c>
      <x:c r="L20" s="72" t="n">
        <x:v>1.34041</x:v>
      </x:c>
      <x:c r="M20" s="72" t="n">
        <x:v>3.7792</x:v>
      </x:c>
      <x:c r="N20" s="73" t="n">
        <x:f>(L20-M20)/L20*100</x:f>
        <x:v>-181.9435844256608</x:v>
      </x:c>
      <x:c r="O20" s="49"/>
      <x:c r="P20" s="49"/>
      <x:c r="Q20" s="49"/>
      <x:c r="R20" s="49"/>
      <x:c r="S20" s="49"/>
      <x:c r="T20" s="49"/>
      <x:c r="U20" s="49"/>
      <x:c r="V20" s="49"/>
      <x:c r="W20" s="49"/>
      <x:c r="X20" s="49"/>
      <x:c r="Y20" s="49"/>
      <x:c r="Z20" s="49"/>
    </x:row>
    <x:row r="21">
      <x:c r="A21" s="71" t="str">
        <x:v>FINE</x:v>
      </x:c>
      <x:c r="B21" s="72" t="n">
        <x:v>25</x:v>
      </x:c>
      <x:c r="C21" s="72" t="n">
        <x:v>1.30243</x:v>
      </x:c>
      <x:c r="D21" s="72" t="n">
        <x:v>1.7966</x:v>
      </x:c>
      <x:c r="E21" s="72" t="n">
        <x:f>(C21-D21)/C21*100</x:f>
        <x:v>-37.94215428084427</x:v>
      </x:c>
      <x:c r="F21" s="72" t="n">
        <x:v>0.4449</x:v>
      </x:c>
      <x:c r="G21" s="72" t="n">
        <x:v>0.78046</x:v>
      </x:c>
      <x:c r="H21" s="72" t="n">
        <x:f>(F21-G21)/F21*100</x:f>
        <x:v>-75.42369071701506</x:v>
      </x:c>
      <x:c r="I21" s="72" t="n">
        <x:v>0.55308</x:v>
      </x:c>
      <x:c r="J21" s="72" t="n">
        <x:v>1.96913</x:v>
      </x:c>
      <x:c r="K21" s="72" t="n">
        <x:f>(I21-J21)/I21*100</x:f>
        <x:v>-256.0298690966948</x:v>
      </x:c>
      <x:c r="L21" s="72" t="n">
        <x:v>1.4833</x:v>
      </x:c>
      <x:c r="M21" s="72" t="n">
        <x:v>2.78068</x:v>
      </x:c>
      <x:c r="N21" s="73" t="n">
        <x:f>(L21-M21)/L21*100</x:f>
        <x:v>-87.46578574799432</x:v>
      </x:c>
      <x:c r="O21" s="49"/>
      <x:c r="P21" s="49"/>
      <x:c r="Q21" s="49"/>
      <x:c r="R21" s="49"/>
      <x:c r="S21" s="49"/>
      <x:c r="T21" s="49"/>
      <x:c r="U21" s="49"/>
      <x:c r="V21" s="49"/>
      <x:c r="W21" s="49"/>
      <x:c r="X21" s="49"/>
      <x:c r="Y21" s="49"/>
      <x:c r="Z21" s="49"/>
    </x:row>
    <x:row r="22">
      <x:c r="A22" s="71" t="str">
        <x:v>FINE</x:v>
      </x:c>
      <x:c r="B22" s="72" t="n">
        <x:v>30</x:v>
      </x:c>
      <x:c r="C22" s="72" t="n">
        <x:v>1.35061</x:v>
      </x:c>
      <x:c r="D22" s="72" t="n">
        <x:v>2.06078</x:v>
      </x:c>
      <x:c r="E22" s="72" t="n">
        <x:f>(C22-D22)/C22*100</x:f>
        <x:v>-52.58142617039706</x:v>
      </x:c>
      <x:c r="F22" s="72" t="n">
        <x:v>0.21865</x:v>
      </x:c>
      <x:c r="G22" s="72" t="n">
        <x:v>0.82103</x:v>
      </x:c>
      <x:c r="H22" s="72" t="n">
        <x:f>(F22-G22)/F22*100</x:f>
        <x:v>-275.49965698605075</x:v>
      </x:c>
      <x:c r="I22" s="72" t="n">
        <x:v>0.265</x:v>
      </x:c>
      <x:c r="J22" s="72" t="n">
        <x:v>2.21326</x:v>
      </x:c>
      <x:c r="K22" s="72" t="n">
        <x:f>(I22-J22)/I22*100</x:f>
        <x:v>-735.1924528301886</x:v>
      </x:c>
      <x:c r="L22" s="72" t="n">
        <x:v>1.39362</x:v>
      </x:c>
      <x:c r="M22" s="72" t="n">
        <x:v>3.13514</x:v>
      </x:c>
      <x:c r="N22" s="73" t="n">
        <x:f>(L22-M22)/L22*100</x:f>
        <x:v>-124.96376343623079</x:v>
      </x:c>
      <x:c r="O22" s="49"/>
      <x:c r="P22" s="49"/>
      <x:c r="Q22" s="49"/>
      <x:c r="R22" s="49"/>
      <x:c r="S22" s="49"/>
      <x:c r="T22" s="49"/>
      <x:c r="U22" s="49"/>
      <x:c r="V22" s="49"/>
      <x:c r="W22" s="49"/>
      <x:c r="X22" s="49"/>
      <x:c r="Y22" s="49"/>
      <x:c r="Z22" s="49"/>
    </x:row>
    <x:row r="23">
      <x:c r="A23" s="71" t="str">
        <x:v>FINE</x:v>
      </x:c>
      <x:c r="B23" s="72" t="n">
        <x:v>35</x:v>
      </x:c>
      <x:c r="C23" s="72" t="n">
        <x:v>1.25886</x:v>
      </x:c>
      <x:c r="D23" s="72" t="n">
        <x:v>1.07939</x:v>
      </x:c>
      <x:c r="E23" s="72" t="n">
        <x:f>(C23-D23)/C23*100</x:f>
        <x:v>14.256549576601053</x:v>
      </x:c>
      <x:c r="F23" s="72" t="n">
        <x:v>0.46392</x:v>
      </x:c>
      <x:c r="G23" s="72" t="n">
        <x:v>1.042</x:v>
      </x:c>
      <x:c r="H23" s="72" t="n">
        <x:f>(F23-G23)/F23*100</x:f>
        <x:v>-124.60769098120366</x:v>
      </x:c>
      <x:c r="I23" s="72" t="n">
        <x:v>0.12824</x:v>
      </x:c>
      <x:c r="J23" s="72" t="n">
        <x:v>2.35324</x:v>
      </x:c>
      <x:c r="K23" s="72" t="n">
        <x:f>(I23-J23)/I23*100</x:f>
        <x:v>-1735.028072364317</x:v>
      </x:c>
      <x:c r="L23" s="72" t="n">
        <x:v>1.34773</x:v>
      </x:c>
      <x:c r="M23" s="72" t="n">
        <x:v>2.79618</x:v>
      </x:c>
      <x:c r="N23" s="73" t="n">
        <x:f>(L23-M23)/L23*100</x:f>
        <x:v>-107.47330696801288</x:v>
      </x:c>
      <x:c r="O23" s="49"/>
      <x:c r="P23" s="49"/>
      <x:c r="Q23" s="49"/>
      <x:c r="R23" s="49"/>
      <x:c r="S23" s="49"/>
      <x:c r="T23" s="49"/>
      <x:c r="U23" s="49"/>
      <x:c r="V23" s="49"/>
      <x:c r="W23" s="49"/>
      <x:c r="X23" s="49"/>
      <x:c r="Y23" s="49"/>
      <x:c r="Z23" s="49"/>
    </x:row>
    <x:row r="24">
      <x:c r="A24" s="71" t="str">
        <x:v>FINE</x:v>
      </x:c>
      <x:c r="B24" s="72" t="n">
        <x:v>40</x:v>
      </x:c>
      <x:c r="C24" s="72" t="n">
        <x:v>1.27724</x:v>
      </x:c>
      <x:c r="D24" s="72" t="n">
        <x:v>2.71358</x:v>
      </x:c>
      <x:c r="E24" s="72" t="n">
        <x:f>(C24-D24)/C24*100</x:f>
        <x:v>-112.45654692931635</x:v>
      </x:c>
      <x:c r="F24" s="72" t="n">
        <x:v>0.45897</x:v>
      </x:c>
      <x:c r="G24" s="72" t="n">
        <x:v>1.58836</x:v>
      </x:c>
      <x:c r="H24" s="72" t="n">
        <x:f>(F24-G24)/F24*100</x:f>
        <x:v>-246.07054927337296</x:v>
      </x:c>
      <x:c r="I24" s="72" t="n">
        <x:v>0.25978</x:v>
      </x:c>
      <x:c r="J24" s="72" t="n">
        <x:v>2.45248</x:v>
      </x:c>
      <x:c r="K24" s="72" t="n">
        <x:f>(I24-J24)/I24*100</x:f>
        <x:v>-844.0603587651088</x:v>
      </x:c>
      <x:c r="L24" s="72" t="n">
        <x:v>1.38184</x:v>
      </x:c>
      <x:c r="M24" s="72" t="n">
        <x:v>3.98954</x:v>
      </x:c>
      <x:c r="N24" s="73" t="n">
        <x:f>(L24-M24)/L24*100</x:f>
        <x:v>-188.71215191339084</x:v>
      </x:c>
      <x:c r="O24" s="49"/>
      <x:c r="P24" s="49"/>
      <x:c r="Q24" s="49"/>
      <x:c r="R24" s="49"/>
      <x:c r="S24" s="49"/>
      <x:c r="T24" s="49"/>
      <x:c r="U24" s="49"/>
      <x:c r="V24" s="49"/>
      <x:c r="W24" s="49"/>
      <x:c r="X24" s="49"/>
      <x:c r="Y24" s="49"/>
      <x:c r="Z24" s="49"/>
    </x:row>
    <x:row r="25">
      <x:c r="A25" s="74" t="str">
        <x:v>FINE</x:v>
      </x:c>
      <x:c r="B25" s="75" t="n">
        <x:v>45</x:v>
      </x:c>
      <x:c r="C25" s="75" t="n">
        <x:v>1.15386</x:v>
      </x:c>
      <x:c r="D25" s="75" t="n">
        <x:v>3.01402</x:v>
      </x:c>
      <x:c r="E25" s="75" t="n">
        <x:f>(C25-D25)/C25*100</x:f>
        <x:v>-161.21193212348115</x:v>
      </x:c>
      <x:c r="F25" s="75" t="n">
        <x:v>0.37752</x:v>
      </x:c>
      <x:c r="G25" s="75" t="n">
        <x:v>2.05397</x:v>
      </x:c>
      <x:c r="H25" s="75" t="n">
        <x:f>(F25-G25)/F25*100</x:f>
        <x:v>-444.06918838737016</x:v>
      </x:c>
      <x:c r="I25" s="75" t="n">
        <x:v>0.22465</x:v>
      </x:c>
      <x:c r="J25" s="75" t="n">
        <x:v>2.45342</x:v>
      </x:c>
      <x:c r="K25" s="75" t="n">
        <x:f>(I25-J25)/I25*100</x:f>
        <x:v>-992.107723124861</x:v>
      </x:c>
      <x:c r="L25" s="75" t="n">
        <x:v>1.23466</x:v>
      </x:c>
      <x:c r="M25" s="75" t="n">
        <x:v>4.39889</x:v>
      </x:c>
      <x:c r="N25" s="76" t="n">
        <x:f>(L25-M25)/L25*100</x:f>
        <x:v>-256.2835112500607</x:v>
      </x:c>
      <x:c r="O25" s="49"/>
      <x:c r="P25" s="49"/>
      <x:c r="Q25" s="49"/>
      <x:c r="R25" s="49"/>
      <x:c r="S25" s="49"/>
      <x:c r="T25" s="49"/>
      <x:c r="U25" s="49"/>
      <x:c r="V25" s="49"/>
      <x:c r="W25" s="49"/>
      <x:c r="X25" s="49"/>
      <x:c r="Y25" s="49"/>
      <x:c r="Z25" s="49"/>
    </x:row>
    <x:row r="26">
      <x:c r="A26" s="49"/>
      <x:c r="B26" s="58"/>
      <x:c r="C26" s="58"/>
      <x:c r="D26" s="58"/>
      <x:c r="E26" s="58"/>
      <x:c r="F26" s="58"/>
      <x:c r="G26" s="58"/>
      <x:c r="H26" s="58"/>
      <x:c r="I26" s="58"/>
      <x:c r="J26" s="58"/>
      <x:c r="K26" s="58"/>
      <x:c r="L26" s="58"/>
      <x:c r="M26" s="58"/>
      <x:c r="N26" s="58"/>
      <x:c r="O26" s="49"/>
      <x:c r="P26" s="49"/>
      <x:c r="Q26" s="49"/>
      <x:c r="R26" s="49"/>
      <x:c r="S26" s="49"/>
      <x:c r="T26" s="49"/>
      <x:c r="U26" s="49"/>
      <x:c r="V26" s="49"/>
      <x:c r="W26" s="49"/>
      <x:c r="X26" s="49"/>
      <x:c r="Y26" s="49"/>
      <x:c r="Z26" s="49"/>
    </x:row>
    <x:row r="27">
      <x:c r="A27" s="49"/>
      <x:c r="B27" s="58"/>
      <x:c r="C27" s="58"/>
      <x:c r="D27" s="58"/>
      <x:c r="E27" s="58"/>
      <x:c r="F27" s="58"/>
      <x:c r="G27" s="58"/>
      <x:c r="H27" s="58"/>
      <x:c r="I27" s="58"/>
      <x:c r="J27" s="58"/>
      <x:c r="K27" s="58"/>
      <x:c r="L27" s="58"/>
      <x:c r="M27" s="58"/>
      <x:c r="N27" s="58"/>
      <x:c r="O27" s="49"/>
      <x:c r="P27" s="49"/>
      <x:c r="Q27" s="49"/>
      <x:c r="R27" s="49"/>
      <x:c r="S27" s="49"/>
      <x:c r="T27" s="49"/>
      <x:c r="U27" s="49"/>
      <x:c r="V27" s="49"/>
      <x:c r="W27" s="49"/>
      <x:c r="X27" s="49"/>
      <x:c r="Y27" s="49"/>
      <x:c r="Z27" s="49"/>
    </x:row>
    <x:row r="28">
      <x:c r="A28" s="49"/>
      <x:c r="B28" s="58"/>
      <x:c r="C28" s="58"/>
      <x:c r="D28" s="58"/>
      <x:c r="E28" s="58"/>
      <x:c r="F28" s="58"/>
      <x:c r="G28" s="58"/>
      <x:c r="H28" s="58"/>
      <x:c r="I28" s="58"/>
      <x:c r="J28" s="58"/>
      <x:c r="K28" s="58"/>
      <x:c r="L28" s="58"/>
      <x:c r="M28" s="58"/>
      <x:c r="N28" s="58"/>
      <x:c r="O28" s="49"/>
      <x:c r="P28" s="49"/>
      <x:c r="Q28" s="49"/>
      <x:c r="R28" s="49"/>
      <x:c r="S28" s="49"/>
      <x:c r="T28" s="49"/>
      <x:c r="U28" s="49"/>
      <x:c r="V28" s="49"/>
      <x:c r="W28" s="49"/>
      <x:c r="X28" s="49"/>
      <x:c r="Y28" s="49"/>
      <x:c r="Z28" s="49"/>
    </x:row>
    <x:row r="29">
      <x:c r="A29" s="49"/>
      <x:c r="B29" s="58"/>
      <x:c r="C29" s="58"/>
      <x:c r="D29" s="58"/>
      <x:c r="E29" s="58"/>
      <x:c r="F29" s="58"/>
      <x:c r="G29" s="58"/>
      <x:c r="H29" s="58"/>
      <x:c r="I29" s="58"/>
      <x:c r="J29" s="58"/>
      <x:c r="K29" s="58"/>
      <x:c r="L29" s="58"/>
      <x:c r="M29" s="58"/>
      <x:c r="N29" s="58"/>
      <x:c r="O29" s="49"/>
      <x:c r="P29" s="49"/>
      <x:c r="Q29" s="49"/>
      <x:c r="R29" s="49"/>
      <x:c r="S29" s="49"/>
      <x:c r="T29" s="49"/>
      <x:c r="U29" s="49"/>
      <x:c r="V29" s="49"/>
      <x:c r="W29" s="49"/>
      <x:c r="X29" s="49"/>
      <x:c r="Y29" s="49"/>
      <x:c r="Z29" s="49"/>
    </x:row>
    <x:row r="30">
      <x:c r="A30" s="49"/>
      <x:c r="B30" s="58"/>
      <x:c r="C30" s="58"/>
      <x:c r="D30" s="58"/>
      <x:c r="E30" s="58"/>
      <x:c r="F30" s="58"/>
      <x:c r="G30" s="58"/>
      <x:c r="H30" s="58"/>
      <x:c r="I30" s="58"/>
      <x:c r="J30" s="58"/>
      <x:c r="K30" s="58"/>
      <x:c r="L30" s="58"/>
      <x:c r="M30" s="58"/>
      <x:c r="N30" s="58"/>
      <x:c r="O30" s="49"/>
      <x:c r="P30" s="49"/>
      <x:c r="Q30" s="49"/>
      <x:c r="R30" s="49"/>
      <x:c r="S30" s="49"/>
      <x:c r="T30" s="49"/>
      <x:c r="U30" s="49"/>
      <x:c r="V30" s="49"/>
      <x:c r="W30" s="49"/>
      <x:c r="X30" s="49"/>
      <x:c r="Y30" s="49"/>
      <x:c r="Z30" s="49"/>
    </x:row>
    <x:row r="31">
      <x:c r="A31" s="49"/>
      <x:c r="B31" s="58"/>
      <x:c r="C31" s="58"/>
      <x:c r="D31" s="58"/>
      <x:c r="E31" s="58"/>
      <x:c r="F31" s="58"/>
      <x:c r="G31" s="58"/>
      <x:c r="H31" s="58"/>
      <x:c r="I31" s="58"/>
      <x:c r="J31" s="58"/>
      <x:c r="K31" s="58"/>
      <x:c r="L31" s="58"/>
      <x:c r="M31" s="58"/>
      <x:c r="N31" s="58"/>
      <x:c r="O31" s="49"/>
      <x:c r="P31" s="49"/>
      <x:c r="Q31" s="49"/>
      <x:c r="R31" s="49"/>
      <x:c r="S31" s="49"/>
      <x:c r="T31" s="49"/>
      <x:c r="U31" s="49"/>
      <x:c r="V31" s="49"/>
      <x:c r="W31" s="49"/>
      <x:c r="X31" s="49"/>
      <x:c r="Y31" s="49"/>
      <x:c r="Z31" s="49"/>
    </x:row>
    <x:row r="32">
      <x:c r="A32" s="49"/>
      <x:c r="B32" s="58"/>
      <x:c r="C32" s="58"/>
      <x:c r="D32" s="58"/>
      <x:c r="E32" s="58"/>
      <x:c r="F32" s="58"/>
      <x:c r="G32" s="58"/>
      <x:c r="H32" s="58"/>
      <x:c r="I32" s="58"/>
      <x:c r="J32" s="58"/>
      <x:c r="K32" s="58"/>
      <x:c r="L32" s="58"/>
      <x:c r="M32" s="58"/>
      <x:c r="N32" s="58"/>
      <x:c r="O32" s="49"/>
      <x:c r="P32" s="49"/>
      <x:c r="Q32" s="49"/>
      <x:c r="R32" s="49"/>
      <x:c r="S32" s="49"/>
      <x:c r="T32" s="49"/>
      <x:c r="U32" s="49"/>
      <x:c r="V32" s="49"/>
      <x:c r="W32" s="49"/>
      <x:c r="X32" s="49"/>
      <x:c r="Y32" s="49"/>
      <x:c r="Z32" s="49"/>
    </x:row>
    <x:row r="33">
      <x:c r="A33" s="49"/>
      <x:c r="B33" s="58"/>
      <x:c r="C33" s="58"/>
      <x:c r="D33" s="58"/>
      <x:c r="E33" s="58"/>
      <x:c r="F33" s="58"/>
      <x:c r="G33" s="58"/>
      <x:c r="H33" s="58"/>
      <x:c r="I33" s="58"/>
      <x:c r="J33" s="58"/>
      <x:c r="K33" s="58"/>
      <x:c r="L33" s="58"/>
      <x:c r="M33" s="58"/>
      <x:c r="N33" s="58"/>
      <x:c r="O33" s="49"/>
      <x:c r="P33" s="49"/>
      <x:c r="Q33" s="49"/>
      <x:c r="R33" s="49"/>
      <x:c r="S33" s="49"/>
      <x:c r="T33" s="49"/>
      <x:c r="U33" s="49"/>
      <x:c r="V33" s="49"/>
      <x:c r="W33" s="49"/>
      <x:c r="X33" s="49"/>
      <x:c r="Y33" s="49"/>
      <x:c r="Z33" s="49"/>
    </x:row>
    <x:row r="34">
      <x:c r="A34" s="49"/>
      <x:c r="B34" s="58"/>
      <x:c r="C34" s="58"/>
      <x:c r="D34" s="58"/>
      <x:c r="E34" s="58"/>
      <x:c r="F34" s="58"/>
      <x:c r="G34" s="58"/>
      <x:c r="H34" s="58"/>
      <x:c r="I34" s="58"/>
      <x:c r="J34" s="58"/>
      <x:c r="K34" s="58"/>
      <x:c r="L34" s="58"/>
      <x:c r="M34" s="58"/>
      <x:c r="N34" s="58"/>
      <x:c r="O34" s="49"/>
      <x:c r="P34" s="49"/>
      <x:c r="Q34" s="49"/>
      <x:c r="R34" s="49"/>
      <x:c r="S34" s="49"/>
      <x:c r="T34" s="49"/>
      <x:c r="U34" s="49"/>
      <x:c r="V34" s="49"/>
      <x:c r="W34" s="49"/>
      <x:c r="X34" s="49"/>
      <x:c r="Y34" s="49"/>
      <x:c r="Z34" s="49"/>
    </x:row>
    <x:row r="35">
      <x:c r="A35" s="50" t="str">
        <x:v>Independent confirmation</x:v>
      </x:c>
      <x:c r="B35" s="59"/>
      <x:c r="C35" s="59"/>
      <x:c r="D35" s="59"/>
      <x:c r="E35" s="59"/>
      <x:c r="F35" s="59"/>
      <x:c r="G35" s="59"/>
      <x:c r="H35" s="59"/>
      <x:c r="I35" s="59"/>
      <x:c r="J35" s="59"/>
      <x:c r="K35" s="59"/>
      <x:c r="L35" s="59"/>
      <x:c r="M35" s="59"/>
      <x:c r="N35" s="59"/>
      <x:c r="O35" s="49"/>
      <x:c r="P35" s="49"/>
      <x:c r="Q35" s="49"/>
      <x:c r="R35" s="49"/>
      <x:c r="S35" s="49"/>
      <x:c r="T35" s="49"/>
      <x:c r="U35" s="49"/>
      <x:c r="V35" s="49"/>
      <x:c r="W35" s="49"/>
      <x:c r="X35" s="49"/>
      <x:c r="Y35" s="49"/>
      <x:c r="Z35" s="49"/>
    </x:row>
    <x:row r="36">
      <x:c r="A36" s="86" t="str">
        <x:v>Stage</x:v>
      </x:c>
      <x:c r="B36" s="91" t="str">
        <x:v>Phase (deg)</x:v>
      </x:c>
      <x:c r="C36" s="91" t="str">
        <x:v>Base X</x:v>
      </x:c>
      <x:c r="D36" s="91" t="str">
        <x:v>Residual X</x:v>
      </x:c>
      <x:c r="E36" s="91" t="str">
        <x:v>Red X (%)</x:v>
      </x:c>
      <x:c r="F36" s="91" t="str">
        <x:v>Base Y</x:v>
      </x:c>
      <x:c r="G36" s="91" t="str">
        <x:v>Residual Y</x:v>
      </x:c>
      <x:c r="H36" s="91" t="str">
        <x:v>Red Y (%)</x:v>
      </x:c>
      <x:c r="I36" s="91" t="str">
        <x:v>Base Z</x:v>
      </x:c>
      <x:c r="J36" s="91" t="str">
        <x:v>Residual Z</x:v>
      </x:c>
      <x:c r="K36" s="91" t="str">
        <x:v>Red Z (%)</x:v>
      </x:c>
      <x:c r="L36" s="91" t="str">
        <x:v>Base TOTAL</x:v>
      </x:c>
      <x:c r="M36" s="91" t="str">
        <x:v>Residual TOTAL</x:v>
      </x:c>
      <x:c r="N36" s="87" t="str">
        <x:v>Red TOTAL (%)</x:v>
      </x:c>
      <x:c r="O36" s="49"/>
      <x:c r="P36" s="49"/>
      <x:c r="Q36" s="49"/>
      <x:c r="R36" s="49"/>
      <x:c r="S36" s="49"/>
      <x:c r="T36" s="49"/>
      <x:c r="U36" s="49"/>
      <x:c r="V36" s="49"/>
      <x:c r="W36" s="49"/>
      <x:c r="X36" s="49"/>
      <x:c r="Y36" s="49"/>
      <x:c r="Z36" s="49"/>
    </x:row>
    <x:row r="37">
      <x:c r="A37" s="71" t="str">
        <x:v>CONFIRM</x:v>
      </x:c>
      <x:c r="B37" s="72" t="n">
        <x:v>30</x:v>
      </x:c>
      <x:c r="C37" s="72" t="n">
        <x:v>1.23989</x:v>
      </x:c>
      <x:c r="D37" s="72" t="n">
        <x:v>3.07744</x:v>
      </x:c>
      <x:c r="E37" s="72" t="n">
        <x:f>(C37-D37)/C37*100</x:f>
        <x:v>-148.20266313947207</x:v>
      </x:c>
      <x:c r="F37" s="72" t="n">
        <x:v>0.35302</x:v>
      </x:c>
      <x:c r="G37" s="72" t="n">
        <x:v>1.91968</x:v>
      </x:c>
      <x:c r="H37" s="72" t="n">
        <x:f>(F37-G37)/F37*100</x:f>
        <x:v>-443.7878873718203</x:v>
      </x:c>
      <x:c r="I37" s="72" t="n">
        <x:v>0.26846</x:v>
      </x:c>
      <x:c r="J37" s="72" t="n">
        <x:v>2.55885</x:v>
      </x:c>
      <x:c r="K37" s="72" t="n">
        <x:f>(I37-J37)/I37*100</x:f>
        <x:v>-853.1587573567757</x:v>
      </x:c>
      <x:c r="L37" s="72" t="n">
        <x:v>1.31682</x:v>
      </x:c>
      <x:c r="M37" s="72" t="n">
        <x:v>4.43887</x:v>
      </x:c>
      <x:c r="N37" s="73" t="n">
        <x:f>(L37-M37)/L37*100</x:f>
        <x:v>-237.09011102504513</x:v>
      </x:c>
      <x:c r="O37" s="49"/>
      <x:c r="P37" s="49"/>
      <x:c r="Q37" s="49"/>
      <x:c r="R37" s="49"/>
      <x:c r="S37" s="49"/>
      <x:c r="T37" s="49"/>
      <x:c r="U37" s="49"/>
      <x:c r="V37" s="49"/>
      <x:c r="W37" s="49"/>
      <x:c r="X37" s="49"/>
      <x:c r="Y37" s="49"/>
      <x:c r="Z37" s="49"/>
    </x:row>
    <x:row r="38">
      <x:c r="A38" s="71" t="str">
        <x:v>CONFIRM</x:v>
      </x:c>
      <x:c r="B38" s="72" t="n">
        <x:v>30</x:v>
      </x:c>
      <x:c r="C38" s="72" t="n">
        <x:v>1.16397</x:v>
      </x:c>
      <x:c r="D38" s="72" t="n">
        <x:v>2.76691</x:v>
      </x:c>
      <x:c r="E38" s="72" t="n">
        <x:f>(C38-D38)/C38*100</x:f>
        <x:v>-137.71317130166588</x:v>
      </x:c>
      <x:c r="F38" s="72" t="n">
        <x:v>0.331</x:v>
      </x:c>
      <x:c r="G38" s="72" t="n">
        <x:v>1.66355</x:v>
      </x:c>
      <x:c r="H38" s="72" t="n">
        <x:f>(F38-G38)/F38*100</x:f>
        <x:v>-402.58308157099697</x:v>
      </x:c>
      <x:c r="I38" s="72" t="n">
        <x:v>0.18467</x:v>
      </x:c>
      <x:c r="J38" s="72" t="n">
        <x:v>2.58423</x:v>
      </x:c>
      <x:c r="K38" s="72" t="n">
        <x:f>(I38-J38)/I38*100</x:f>
        <x:v>-1299.3772675583473</x:v>
      </x:c>
      <x:c r="L38" s="72" t="n">
        <x:v>1.22413</x:v>
      </x:c>
      <x:c r="M38" s="72" t="n">
        <x:v>4.13539</x:v>
      </x:c>
      <x:c r="N38" s="73" t="n">
        <x:f>(L38-M38)/L38*100</x:f>
        <x:v>-237.8227802602665</x:v>
      </x:c>
      <x:c r="O38" s="49"/>
      <x:c r="P38" s="49"/>
      <x:c r="Q38" s="49"/>
      <x:c r="R38" s="49"/>
      <x:c r="S38" s="49"/>
      <x:c r="T38" s="49"/>
      <x:c r="U38" s="49"/>
      <x:c r="V38" s="38" t="str">
        <x:v>Phase</x:v>
      </x:c>
      <x:c r="W38" s="38" t="str">
        <x:v>Baseline TOTAL</x:v>
      </x:c>
      <x:c r="X38" s="38" t="str">
        <x:v>Residual TOTAL</x:v>
      </x:c>
      <x:c r="Y38" s="49"/>
      <x:c r="Z38" s="49"/>
    </x:row>
    <x:row r="39">
      <x:c r="A39" s="71" t="str">
        <x:v>CONFIRM</x:v>
      </x:c>
      <x:c r="B39" s="72" t="n">
        <x:v>30</x:v>
      </x:c>
      <x:c r="C39" s="72" t="n">
        <x:v>1.06132</x:v>
      </x:c>
      <x:c r="D39" s="72" t="n">
        <x:v>2.99389</x:v>
      </x:c>
      <x:c r="E39" s="72" t="n">
        <x:f>(C39-D39)/C39*100</x:f>
        <x:v>-182.09116948705383</x:v>
      </x:c>
      <x:c r="F39" s="72" t="n">
        <x:v>0.30492</x:v>
      </x:c>
      <x:c r="G39" s="72" t="n">
        <x:v>1.70971</x:v>
      </x:c>
      <x:c r="H39" s="72" t="n">
        <x:f>(F39-G39)/F39*100</x:f>
        <x:v>-460.70772661681747</x:v>
      </x:c>
      <x:c r="I39" s="72" t="n">
        <x:v>0.23607</x:v>
      </x:c>
      <x:c r="J39" s="72" t="n">
        <x:v>2.56755</x:v>
      </x:c>
      <x:c r="K39" s="72" t="n">
        <x:f>(I39-J39)/I39*100</x:f>
        <x:v>-987.6223154149193</x:v>
      </x:c>
      <x:c r="L39" s="72" t="n">
        <x:v>1.1292</x:v>
      </x:c>
      <x:c r="M39" s="72" t="n">
        <x:v>4.2987</x:v>
      </x:c>
      <x:c r="N39" s="73" t="n">
        <x:f>(L39-M39)/L39*100</x:f>
        <x:v>-280.6854410201913</x:v>
      </x:c>
      <x:c r="O39" s="49"/>
      <x:c r="P39" s="49"/>
      <x:c r="Q39" s="49"/>
      <x:c r="R39" s="49"/>
      <x:c r="S39" s="49"/>
      <x:c r="T39" s="49"/>
      <x:c r="U39" s="49"/>
      <x:c r="V39" s="49" t="n">
        <x:f>B5</x:f>
        <x:v>0</x:v>
      </x:c>
      <x:c r="W39" s="49" t="n">
        <x:f>L5</x:f>
        <x:v>1.56641</x:v>
      </x:c>
      <x:c r="X39" s="49" t="n">
        <x:f>M5</x:f>
        <x:v>2.71267</x:v>
      </x:c>
      <x:c r="Y39" s="49"/>
      <x:c r="Z39" s="49"/>
    </x:row>
    <x:row r="40">
      <x:c r="A40" s="71" t="str">
        <x:v>CONFIRM</x:v>
      </x:c>
      <x:c r="B40" s="72" t="n">
        <x:v>30</x:v>
      </x:c>
      <x:c r="C40" s="72" t="n">
        <x:v>0.95403</x:v>
      </x:c>
      <x:c r="D40" s="72" t="n">
        <x:v>3.07575</x:v>
      </x:c>
      <x:c r="E40" s="72" t="n">
        <x:f>(C40-D40)/C40*100</x:f>
        <x:v>-222.3955221533914</x:v>
      </x:c>
      <x:c r="F40" s="72" t="n">
        <x:v>0.43214</x:v>
      </x:c>
      <x:c r="G40" s="72" t="n">
        <x:v>2.14228</x:v>
      </x:c>
      <x:c r="H40" s="72" t="n">
        <x:f>(F40-G40)/F40*100</x:f>
        <x:v>-395.7374924792891</x:v>
      </x:c>
      <x:c r="I40" s="72" t="n">
        <x:v>0.33433</x:v>
      </x:c>
      <x:c r="J40" s="72" t="n">
        <x:v>2.42842</x:v>
      </x:c>
      <x:c r="K40" s="72" t="n">
        <x:f>(I40-J40)/I40*100</x:f>
        <x:v>-626.3542009391917</x:v>
      </x:c>
      <x:c r="L40" s="72" t="n">
        <x:v>1.0994</x:v>
      </x:c>
      <x:c r="M40" s="72" t="n">
        <x:v>4.46619</x:v>
      </x:c>
      <x:c r="N40" s="73" t="n">
        <x:f>(L40-M40)/L40*100</x:f>
        <x:v>-306.23885755866837</x:v>
      </x:c>
      <x:c r="O40" s="49"/>
      <x:c r="P40" s="49"/>
      <x:c r="Q40" s="49"/>
      <x:c r="R40" s="49"/>
      <x:c r="S40" s="49"/>
      <x:c r="T40" s="49"/>
      <x:c r="U40" s="49"/>
      <x:c r="V40" s="49" t="n">
        <x:f>B6</x:f>
        <x:v>30</x:v>
      </x:c>
      <x:c r="W40" s="49" t="n">
        <x:f>L6</x:f>
        <x:v>1.49087</x:v>
      </x:c>
      <x:c r="X40" s="49" t="n">
        <x:f>M6</x:f>
        <x:v>1.73422</x:v>
      </x:c>
      <x:c r="Y40" s="49"/>
      <x:c r="Z40" s="49"/>
    </x:row>
    <x:row r="41">
      <x:c r="A41" s="74" t="str">
        <x:v>CONFIRM</x:v>
      </x:c>
      <x:c r="B41" s="75" t="n">
        <x:v>30</x:v>
      </x:c>
      <x:c r="C41" s="75" t="n">
        <x:v>1.10704</x:v>
      </x:c>
      <x:c r="D41" s="75" t="n">
        <x:v>2.95927</x:v>
      </x:c>
      <x:c r="E41" s="75" t="n">
        <x:f>(C41-D41)/C41*100</x:f>
        <x:v>-167.31373753432578</x:v>
      </x:c>
      <x:c r="F41" s="75" t="n">
        <x:v>0.40271</x:v>
      </x:c>
      <x:c r="G41" s="75" t="n">
        <x:v>2.00218</x:v>
      </x:c>
      <x:c r="H41" s="75" t="n">
        <x:f>(F41-G41)/F41*100</x:f>
        <x:v>-397.17662834297636</x:v>
      </x:c>
      <x:c r="I41" s="75" t="n">
        <x:v>0.12666</x:v>
      </x:c>
      <x:c r="J41" s="75" t="n">
        <x:v>2.51066</x:v>
      </x:c>
      <x:c r="K41" s="75" t="n">
        <x:f>(I41-J41)/I41*100</x:f>
        <x:v>-1882.2043265435027</x:v>
      </x:c>
      <x:c r="L41" s="75" t="n">
        <x:v>1.1848</x:v>
      </x:c>
      <x:c r="M41" s="75" t="n">
        <x:v>4.36685</x:v>
      </x:c>
      <x:c r="N41" s="76" t="n">
        <x:f>(L41-M41)/L41*100</x:f>
        <x:v>-268.572754895341</x:v>
      </x:c>
      <x:c r="O41" s="49"/>
      <x:c r="P41" s="49"/>
      <x:c r="Q41" s="49"/>
      <x:c r="R41" s="49"/>
      <x:c r="S41" s="49"/>
      <x:c r="T41" s="49"/>
      <x:c r="U41" s="49"/>
      <x:c r="V41" s="49" t="n">
        <x:f>B7</x:f>
        <x:v>60</x:v>
      </x:c>
      <x:c r="W41" s="49" t="n">
        <x:f>L7</x:f>
        <x:v>1.32964</x:v>
      </x:c>
      <x:c r="X41" s="49" t="n">
        <x:f>M7</x:f>
        <x:v>2.85802</x:v>
      </x:c>
      <x:c r="Y41" s="49"/>
      <x:c r="Z41" s="49"/>
    </x:row>
    <x:row r="42">
      <x:c r="A42" s="49"/>
      <x:c r="B42" s="58"/>
      <x:c r="C42" s="58"/>
      <x:c r="D42" s="58"/>
      <x:c r="E42" s="58"/>
      <x:c r="F42" s="58"/>
      <x:c r="G42" s="58"/>
      <x:c r="H42" s="58"/>
      <x:c r="I42" s="58"/>
      <x:c r="J42" s="58"/>
      <x:c r="K42" s="58"/>
      <x:c r="L42" s="58"/>
      <x:c r="M42" s="58"/>
      <x:c r="N42" s="58"/>
      <x:c r="O42" s="49"/>
      <x:c r="P42" s="49"/>
      <x:c r="Q42" s="49"/>
      <x:c r="R42" s="49"/>
      <x:c r="S42" s="49"/>
      <x:c r="T42" s="49"/>
      <x:c r="U42" s="49"/>
      <x:c r="V42" s="49" t="n">
        <x:f>B8</x:f>
        <x:v>90</x:v>
      </x:c>
      <x:c r="W42" s="49" t="n">
        <x:f>L8</x:f>
        <x:v>1.41952</x:v>
      </x:c>
      <x:c r="X42" s="49" t="n">
        <x:f>M8</x:f>
        <x:v>3.55628</x:v>
      </x:c>
      <x:c r="Y42" s="49"/>
      <x:c r="Z42" s="49"/>
    </x:row>
    <x:row r="43">
      <x:c r="A43" s="49"/>
      <x:c r="B43" s="58"/>
      <x:c r="C43" s="58"/>
      <x:c r="D43" s="58"/>
      <x:c r="E43" s="58"/>
      <x:c r="F43" s="58"/>
      <x:c r="G43" s="58"/>
      <x:c r="H43" s="58"/>
      <x:c r="I43" s="58"/>
      <x:c r="J43" s="58"/>
      <x:c r="K43" s="58"/>
      <x:c r="L43" s="58"/>
      <x:c r="M43" s="58"/>
      <x:c r="N43" s="58"/>
      <x:c r="O43" s="49"/>
      <x:c r="P43" s="49"/>
      <x:c r="Q43" s="49"/>
      <x:c r="R43" s="49"/>
      <x:c r="S43" s="49"/>
      <x:c r="T43" s="49"/>
      <x:c r="U43" s="49"/>
      <x:c r="V43" s="49" t="n">
        <x:f>B9</x:f>
        <x:v>120</x:v>
      </x:c>
      <x:c r="W43" s="49" t="n">
        <x:f>L9</x:f>
        <x:v>1.37673</x:v>
      </x:c>
      <x:c r="X43" s="49" t="n">
        <x:f>M9</x:f>
        <x:v>3.30884</x:v>
      </x:c>
      <x:c r="Y43" s="49"/>
      <x:c r="Z43" s="49"/>
    </x:row>
    <x:row r="44">
      <x:c r="A44" s="49"/>
      <x:c r="B44" s="58"/>
      <x:c r="C44" s="58"/>
      <x:c r="D44" s="58"/>
      <x:c r="E44" s="58"/>
      <x:c r="F44" s="58"/>
      <x:c r="G44" s="58"/>
      <x:c r="H44" s="58"/>
      <x:c r="I44" s="58"/>
      <x:c r="J44" s="58"/>
      <x:c r="K44" s="58"/>
      <x:c r="L44" s="58"/>
      <x:c r="M44" s="58"/>
      <x:c r="N44" s="58"/>
      <x:c r="O44" s="49"/>
      <x:c r="P44" s="49"/>
      <x:c r="Q44" s="49"/>
      <x:c r="R44" s="49"/>
      <x:c r="S44" s="49"/>
      <x:c r="T44" s="49"/>
      <x:c r="U44" s="49"/>
      <x:c r="V44" s="49" t="n">
        <x:f>B10</x:f>
        <x:v>150</x:v>
      </x:c>
      <x:c r="W44" s="49" t="n">
        <x:f>L10</x:f>
        <x:v>1.45701</x:v>
      </x:c>
      <x:c r="X44" s="49" t="n">
        <x:f>M10</x:f>
        <x:v>3.67332</x:v>
      </x:c>
      <x:c r="Y44" s="49"/>
      <x:c r="Z44" s="49"/>
    </x:row>
    <x:row r="45">
      <x:c r="A45" s="49"/>
      <x:c r="B45" s="58"/>
      <x:c r="C45" s="58"/>
      <x:c r="D45" s="58"/>
      <x:c r="E45" s="58"/>
      <x:c r="F45" s="58"/>
      <x:c r="G45" s="58"/>
      <x:c r="H45" s="58"/>
      <x:c r="I45" s="58"/>
      <x:c r="J45" s="58"/>
      <x:c r="K45" s="58"/>
      <x:c r="L45" s="58"/>
      <x:c r="M45" s="58"/>
      <x:c r="N45" s="58"/>
      <x:c r="O45" s="49"/>
      <x:c r="P45" s="49"/>
      <x:c r="Q45" s="49"/>
      <x:c r="R45" s="49"/>
      <x:c r="S45" s="49"/>
      <x:c r="T45" s="49"/>
      <x:c r="U45" s="49"/>
      <x:c r="V45" s="49" t="n">
        <x:f>B11</x:f>
        <x:v>180</x:v>
      </x:c>
      <x:c r="W45" s="49" t="n">
        <x:f>L11</x:f>
        <x:v>1.41021</x:v>
      </x:c>
      <x:c r="X45" s="49" t="n">
        <x:f>M11</x:f>
        <x:v>3.69714</x:v>
      </x:c>
      <x:c r="Y45" s="49"/>
      <x:c r="Z45" s="49"/>
    </x:row>
    <x:row r="46">
      <x:c r="A46" s="49"/>
      <x:c r="B46" s="58"/>
      <x:c r="C46" s="58"/>
      <x:c r="D46" s="58"/>
      <x:c r="E46" s="58"/>
      <x:c r="F46" s="58"/>
      <x:c r="G46" s="58"/>
      <x:c r="H46" s="58"/>
      <x:c r="I46" s="58"/>
      <x:c r="J46" s="58"/>
      <x:c r="K46" s="58"/>
      <x:c r="L46" s="58"/>
      <x:c r="M46" s="58"/>
      <x:c r="N46" s="58"/>
      <x:c r="O46" s="49"/>
      <x:c r="P46" s="49"/>
      <x:c r="Q46" s="49"/>
      <x:c r="R46" s="49"/>
      <x:c r="S46" s="49"/>
      <x:c r="T46" s="49"/>
      <x:c r="U46" s="49"/>
      <x:c r="V46" s="49" t="n">
        <x:f>B12</x:f>
        <x:v>210</x:v>
      </x:c>
      <x:c r="W46" s="49" t="n">
        <x:f>L12</x:f>
        <x:v>1.28719</x:v>
      </x:c>
      <x:c r="X46" s="49" t="n">
        <x:f>M12</x:f>
        <x:v>2.42112</x:v>
      </x:c>
      <x:c r="Y46" s="49"/>
      <x:c r="Z46" s="49"/>
    </x:row>
    <x:row r="47">
      <x:c r="A47" s="49"/>
      <x:c r="B47" s="58"/>
      <x:c r="C47" s="58"/>
      <x:c r="D47" s="58"/>
      <x:c r="E47" s="58"/>
      <x:c r="F47" s="58"/>
      <x:c r="G47" s="58"/>
      <x:c r="H47" s="58"/>
      <x:c r="I47" s="58"/>
      <x:c r="J47" s="58"/>
      <x:c r="K47" s="58"/>
      <x:c r="L47" s="58"/>
      <x:c r="M47" s="58"/>
      <x:c r="N47" s="58"/>
      <x:c r="O47" s="49"/>
      <x:c r="P47" s="49"/>
      <x:c r="Q47" s="49"/>
      <x:c r="R47" s="49"/>
      <x:c r="S47" s="49"/>
      <x:c r="T47" s="49"/>
      <x:c r="U47" s="49"/>
      <x:c r="V47" s="49" t="n">
        <x:f>B13</x:f>
        <x:v>240</x:v>
      </x:c>
      <x:c r="W47" s="49" t="n">
        <x:f>L13</x:f>
        <x:v>1.47155</x:v>
      </x:c>
      <x:c r="X47" s="49" t="n">
        <x:f>M13</x:f>
        <x:v>1.98087</x:v>
      </x:c>
      <x:c r="Y47" s="49"/>
      <x:c r="Z47" s="49"/>
    </x:row>
    <x:row r="48">
      <x:c r="A48" s="49"/>
      <x:c r="B48" s="58"/>
      <x:c r="C48" s="58"/>
      <x:c r="D48" s="58"/>
      <x:c r="E48" s="58"/>
      <x:c r="F48" s="58"/>
      <x:c r="G48" s="58"/>
      <x:c r="H48" s="58"/>
      <x:c r="I48" s="58"/>
      <x:c r="J48" s="58"/>
      <x:c r="K48" s="58"/>
      <x:c r="L48" s="58"/>
      <x:c r="M48" s="58"/>
      <x:c r="N48" s="58"/>
      <x:c r="O48" s="49"/>
      <x:c r="P48" s="49"/>
      <x:c r="Q48" s="49"/>
      <x:c r="R48" s="49"/>
      <x:c r="S48" s="49"/>
      <x:c r="T48" s="49"/>
      <x:c r="U48" s="49"/>
      <x:c r="V48" s="49" t="n">
        <x:f>B14</x:f>
        <x:v>270</x:v>
      </x:c>
      <x:c r="W48" s="49" t="n">
        <x:f>L14</x:f>
        <x:v>1.37953</x:v>
      </x:c>
      <x:c r="X48" s="49" t="n">
        <x:f>M14</x:f>
        <x:v>2.47837</x:v>
      </x:c>
      <x:c r="Y48" s="49"/>
      <x:c r="Z48" s="49"/>
    </x:row>
    <x:row r="49">
      <x:c r="A49" s="49"/>
      <x:c r="B49" s="58"/>
      <x:c r="C49" s="58"/>
      <x:c r="D49" s="58"/>
      <x:c r="E49" s="58"/>
      <x:c r="F49" s="58"/>
      <x:c r="G49" s="58"/>
      <x:c r="H49" s="58"/>
      <x:c r="I49" s="58"/>
      <x:c r="J49" s="58"/>
      <x:c r="K49" s="58"/>
      <x:c r="L49" s="58"/>
      <x:c r="M49" s="58"/>
      <x:c r="N49" s="58"/>
      <x:c r="O49" s="49"/>
      <x:c r="P49" s="49"/>
      <x:c r="Q49" s="49"/>
      <x:c r="R49" s="49"/>
      <x:c r="S49" s="49"/>
      <x:c r="T49" s="49"/>
      <x:c r="U49" s="49"/>
      <x:c r="V49" s="49" t="n">
        <x:f>B15</x:f>
        <x:v>300</x:v>
      </x:c>
      <x:c r="W49" s="49" t="n">
        <x:f>L15</x:f>
        <x:v>1.51208</x:v>
      </x:c>
      <x:c r="X49" s="49" t="n">
        <x:f>M15</x:f>
        <x:v>3.39964</x:v>
      </x:c>
      <x:c r="Y49" s="49"/>
      <x:c r="Z49" s="49"/>
    </x:row>
    <x:row r="50">
      <x:c r="A50" s="49"/>
      <x:c r="B50" s="58"/>
      <x:c r="C50" s="58"/>
      <x:c r="D50" s="58"/>
      <x:c r="E50" s="58"/>
      <x:c r="F50" s="58"/>
      <x:c r="G50" s="58"/>
      <x:c r="H50" s="58"/>
      <x:c r="I50" s="58"/>
      <x:c r="J50" s="58"/>
      <x:c r="K50" s="58"/>
      <x:c r="L50" s="58"/>
      <x:c r="M50" s="58"/>
      <x:c r="N50" s="58"/>
      <x:c r="O50" s="49"/>
      <x:c r="P50" s="49"/>
      <x:c r="Q50" s="49"/>
      <x:c r="R50" s="49"/>
      <x:c r="S50" s="49"/>
      <x:c r="T50" s="49"/>
      <x:c r="U50" s="49"/>
      <x:c r="V50" s="49" t="n">
        <x:f>B16</x:f>
        <x:v>330</x:v>
      </x:c>
      <x:c r="W50" s="49" t="n">
        <x:f>L16</x:f>
        <x:v>1.65796</x:v>
      </x:c>
      <x:c r="X50" s="49" t="n">
        <x:f>M16</x:f>
        <x:v>2.77058</x:v>
      </x:c>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sheetData>
  <x:mergeCells>
    <x:mergeCell ref="A1:N2"/>
    <x:mergeCell ref="A18:N18"/>
    <x:mergeCell ref="A35:N35"/>
  </x:mergeCells>
  <x:conditionalFormatting sqref="E5:E41">
    <x:cfRule type="cellIs" dxfId="0" priority="1" operator="lessThan">
      <x:formula>0</x:formula>
    </x:cfRule>
    <x:cfRule type="cellIs" dxfId="1" priority="2" operator="greaterThan">
      <x:formula>0</x:formula>
    </x:cfRule>
  </x:conditionalFormatting>
  <x:conditionalFormatting sqref="H5:H41">
    <x:cfRule type="cellIs" dxfId="2" priority="3" operator="lessThan">
      <x:formula>0</x:formula>
    </x:cfRule>
    <x:cfRule type="cellIs" dxfId="3" priority="4" operator="greaterThan">
      <x:formula>0</x:formula>
    </x:cfRule>
  </x:conditionalFormatting>
  <x:conditionalFormatting sqref="K5:K41">
    <x:cfRule type="cellIs" dxfId="4" priority="5" operator="lessThan">
      <x:formula>0</x:formula>
    </x:cfRule>
    <x:cfRule type="cellIs" dxfId="5" priority="6" operator="greaterThan">
      <x:formula>0</x:formula>
    </x:cfRule>
  </x:conditionalFormatting>
  <x:conditionalFormatting sqref="N5:N41">
    <x:cfRule type="cellIs" dxfId="6" priority="7" operator="lessThan">
      <x:formula>0</x:formula>
    </x:cfRule>
    <x:cfRule type="cellIs" dxfId="7" priority="8" operator="greaterThan">
      <x:formula>0</x:formula>
    </x:cfRule>
  </x:conditionalFormatting>
  <x:pageMargins left="0.7" right="0.7" top="0.75" bottom="0.75" header="0.3" footer="0.3"/>
  <x:drawing xmlns:r="http://schemas.openxmlformats.org/officeDocument/2006/relationships" r:id="R710b5d2837e647ca"/>
</x:worksheet>
</file>

<file path=xl/worksheets/sheet5.xml><?xml version="1.0" encoding="utf-8"?>
<x:worksheet xmlns:x="http://schemas.openxmlformats.org/spreadsheetml/2006/main">
  <x:sheetFormatPr defaultRowHeight="15"/>
  <x:cols>
    <x:col min="1" max="1" width="12" hidden="0" customWidth="1"/>
    <x:col min="2" max="2" width="16" hidden="0" customWidth="1"/>
    <x:col min="3" max="3" width="18" hidden="0" customWidth="1"/>
    <x:col min="4" max="4" width="16" hidden="0" customWidth="1"/>
    <x:col min="5" max="5" width="18" hidden="0" customWidth="1"/>
    <x:col min="6" max="6" width="18" hidden="0" customWidth="1"/>
    <x:col min="7" max="7" width="14" hidden="0" customWidth="1"/>
    <x:col min="8" max="8" width="54" hidden="0" customWidth="1"/>
  </x:cols>
  <x:sheetData>
    <x:row r="1" ht="24" customHeight="1">
      <x:c r="A1" s="48" t="str">
        <x:v>Multi-Axis Interpretation and Thesis Metrics</x:v>
      </x:c>
      <x:c r="B1" s="48"/>
      <x:c r="C1" s="48"/>
      <x:c r="D1" s="48"/>
      <x:c r="E1" s="48"/>
      <x:c r="F1" s="48"/>
      <x:c r="G1" s="48"/>
      <x:c r="H1" s="48"/>
      <x:c r="I1" s="49"/>
      <x:c r="J1" s="49"/>
      <x:c r="K1" s="49"/>
      <x:c r="L1" s="49"/>
      <x:c r="M1" s="49"/>
      <x:c r="N1" s="49"/>
      <x:c r="O1" s="49"/>
      <x:c r="P1" s="49"/>
      <x:c r="Q1" s="49"/>
      <x:c r="R1" s="49"/>
      <x:c r="S1" s="49"/>
      <x:c r="T1" s="49"/>
      <x:c r="U1" s="49"/>
      <x:c r="V1" s="49"/>
      <x:c r="W1" s="49"/>
      <x:c r="X1" s="49"/>
      <x:c r="Y1" s="49"/>
      <x:c r="Z1" s="49"/>
    </x:row>
    <x:row r="2" ht="24" customHeight="1">
      <x:c r="A2" s="48"/>
      <x:c r="B2" s="48"/>
      <x:c r="C2" s="48"/>
      <x:c r="D2" s="48"/>
      <x:c r="E2" s="48"/>
      <x:c r="F2" s="48"/>
      <x:c r="G2" s="48"/>
      <x:c r="H2" s="48"/>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x:c r="A4" s="86" t="str">
        <x:v>Axis</x:v>
      </x:c>
      <x:c r="B4" s="98" t="str">
        <x:v>Tool baseline</x:v>
      </x:c>
      <x:c r="C4" s="98" t="str">
        <x:v>Visaton @ DAC 3.75</x:v>
      </x:c>
      <x:c r="D4" s="98" t="str">
        <x:v>Visaton/Baseline</x:v>
      </x:c>
      <x:c r="E4" s="98" t="str">
        <x:v>Tool amplitude fraction</x:v>
      </x:c>
      <x:c r="F4" s="98" t="str">
        <x:v>Visaton amplitude fraction</x:v>
      </x:c>
      <x:c r="G4" s="98" t="str">
        <x:v>Difference</x:v>
      </x:c>
      <x:c r="H4" s="99" t="str">
        <x:v>Interpretation</x:v>
      </x:c>
      <x:c r="I4" s="49"/>
      <x:c r="J4" s="49"/>
      <x:c r="K4" s="49"/>
      <x:c r="L4" s="49"/>
      <x:c r="M4" s="49"/>
      <x:c r="N4" s="49"/>
      <x:c r="O4" s="49"/>
      <x:c r="P4" s="49"/>
      <x:c r="Q4" s="49"/>
      <x:c r="R4" s="49"/>
      <x:c r="S4" s="49"/>
      <x:c r="T4" s="49"/>
      <x:c r="U4" s="49"/>
      <x:c r="V4" s="49"/>
      <x:c r="W4" s="49"/>
      <x:c r="X4" s="49"/>
      <x:c r="Y4" s="49"/>
      <x:c r="Z4" s="49"/>
    </x:row>
    <x:row r="5">
      <x:c r="A5" s="71" t="str">
        <x:v>X</x:v>
      </x:c>
      <x:c r="B5" s="128" t="n">
        <x:v>1.43314</x:v>
      </x:c>
      <x:c r="C5" s="128" t="n">
        <x:v>0.92751</x:v>
      </x:c>
      <x:c r="D5" s="128" t="n">
        <x:f>C5/B5</x:f>
        <x:v>0.6471872950304924</x:v>
      </x:c>
      <x:c r="E5" s="128" t="n">
        <x:f>B5/'Baseline c'!E7</x:f>
        <x:v>0.9228441170410057</x:v>
      </x:c>
      <x:c r="F5" s="128" t="n">
        <x:f>C5/'Amplitude Matcher'!E16</x:f>
        <x:v>0.5903007159904534</x:v>
      </x:c>
      <x:c r="G5" s="128" t="n">
        <x:f>C5-B5</x:f>
        <x:v>-0.5056300000000001</x:v>
      </x:c>
      <x:c r="H5" s="101" t="str">
        <x:v>Actuator lower than disturbance; useful X cancellation still possible at favorable phase.</x:v>
      </x:c>
      <x:c r="I5" s="49"/>
      <x:c r="J5" s="49"/>
      <x:c r="K5" s="49"/>
      <x:c r="L5" s="49"/>
      <x:c r="M5" s="49"/>
      <x:c r="N5" s="49"/>
      <x:c r="O5" s="49"/>
      <x:c r="P5" s="49"/>
      <x:c r="Q5" s="49"/>
      <x:c r="R5" s="49"/>
      <x:c r="S5" s="49"/>
      <x:c r="T5" s="49"/>
      <x:c r="U5" s="49"/>
      <x:c r="V5" s="49"/>
      <x:c r="W5" s="49"/>
      <x:c r="X5" s="49"/>
      <x:c r="Y5" s="49"/>
      <x:c r="Z5" s="49"/>
    </x:row>
    <x:row r="6">
      <x:c r="A6" s="71" t="str">
        <x:v>Y</x:v>
      </x:c>
      <x:c r="B6" s="128" t="n">
        <x:v>0.57341</x:v>
      </x:c>
      <x:c r="C6" s="128" t="n">
        <x:v>0.58914</x:v>
      </x:c>
      <x:c r="D6" s="128" t="n">
        <x:f>C6/B6</x:f>
        <x:v>1.0274323782284926</x:v>
      </x:c>
      <x:c r="E6" s="128" t="n">
        <x:f>B6/'Baseline c'!E7</x:f>
        <x:v>0.36923681228106325</x:v>
      </x:c>
      <x:c r="F6" s="128" t="n">
        <x:f>C6/'Amplitude Matcher'!E16</x:f>
        <x:v>0.37494988066825774</x:v>
      </x:c>
      <x:c r="G6" s="128" t="n">
        <x:f>C6-B6</x:f>
        <x:v>0.015730000000000022</x:v>
      </x:c>
      <x:c r="H6" s="101" t="str">
        <x:v>Similar scalar amplitude, but optimum phase differs from X.</x:v>
      </x:c>
      <x:c r="I6" s="49"/>
      <x:c r="J6" s="49"/>
      <x:c r="K6" s="49"/>
      <x:c r="L6" s="49"/>
      <x:c r="M6" s="49"/>
      <x:c r="N6" s="49"/>
      <x:c r="O6" s="49"/>
      <x:c r="P6" s="49"/>
      <x:c r="Q6" s="49"/>
      <x:c r="R6" s="49"/>
      <x:c r="S6" s="49"/>
      <x:c r="T6" s="49"/>
      <x:c r="U6" s="49"/>
      <x:c r="V6" s="49"/>
      <x:c r="W6" s="49"/>
      <x:c r="X6" s="49"/>
      <x:c r="Y6" s="49"/>
      <x:c r="Z6" s="49"/>
    </x:row>
    <x:row r="7">
      <x:c r="A7" s="74" t="str">
        <x:v>Z</x:v>
      </x:c>
      <x:c r="B7" s="129" t="n">
        <x:v>0.17028</x:v>
      </x:c>
      <x:c r="C7" s="129" t="n">
        <x:v>1.12314</x:v>
      </x:c>
      <x:c r="D7" s="129" t="n">
        <x:f>C7/B7</x:f>
        <x:v>6.595842142353771</x:v>
      </x:c>
      <x:c r="E7" s="129" t="n">
        <x:f>B7/'Baseline c'!E7</x:f>
        <x:v>0.1096486709252009</x:v>
      </x:c>
      <x:c r="F7" s="129" t="n">
        <x:f>C7/'Amplitude Matcher'!E16</x:f>
        <x:v>0.7148066825775656</x:v>
      </x:c>
      <x:c r="G7" s="129" t="n">
        <x:f>C7-B7</x:f>
        <x:v>0.95286</x:v>
      </x:c>
      <x:c r="H7" s="103" t="str">
        <x:v>Actuator response far exceeds disturbance; dominant source of resultant worsening.</x:v>
      </x:c>
      <x:c r="I7" s="49"/>
      <x:c r="J7" s="49"/>
      <x:c r="K7" s="49"/>
      <x:c r="L7" s="49"/>
      <x:c r="M7" s="49"/>
      <x:c r="N7" s="49"/>
      <x:c r="O7" s="49"/>
      <x:c r="P7" s="49"/>
      <x:c r="Q7" s="49"/>
      <x:c r="R7" s="49"/>
      <x:c r="S7" s="49"/>
      <x:c r="T7" s="49"/>
      <x:c r="U7" s="49"/>
      <x:c r="V7" s="49"/>
      <x:c r="W7" s="49"/>
      <x:c r="X7" s="49"/>
      <x:c r="Y7" s="49"/>
      <x:c r="Z7" s="49"/>
    </x:row>
    <x:row r="8">
      <x:c r="A8" s="49"/>
      <x:c r="B8" s="64"/>
      <x:c r="C8" s="64"/>
      <x:c r="D8" s="64"/>
      <x:c r="E8" s="64"/>
      <x:c r="F8" s="64"/>
      <x:c r="G8" s="64"/>
      <x:c r="H8" s="49"/>
      <x:c r="I8" s="49"/>
      <x:c r="J8" s="49"/>
      <x:c r="K8" s="49"/>
      <x:c r="L8" s="49"/>
      <x:c r="M8" s="49"/>
      <x:c r="N8" s="49"/>
      <x:c r="O8" s="49"/>
      <x:c r="P8" s="49"/>
      <x:c r="Q8" s="49"/>
      <x:c r="R8" s="49"/>
      <x:c r="S8" s="49"/>
      <x:c r="T8" s="49"/>
      <x:c r="U8" s="49"/>
      <x:c r="V8" s="49"/>
      <x:c r="W8" s="49"/>
      <x:c r="X8" s="49"/>
      <x:c r="Y8" s="49"/>
      <x:c r="Z8" s="49"/>
    </x:row>
    <x:row r="9">
      <x:c r="A9" s="49"/>
      <x:c r="B9" s="64"/>
      <x:c r="C9" s="64"/>
      <x:c r="D9" s="64"/>
      <x:c r="E9" s="64"/>
      <x:c r="F9" s="64"/>
      <x:c r="G9" s="64"/>
      <x:c r="H9" s="49"/>
      <x:c r="I9" s="49"/>
      <x:c r="J9" s="49"/>
      <x:c r="K9" s="49"/>
      <x:c r="L9" s="49"/>
      <x:c r="M9" s="49"/>
      <x:c r="N9" s="49"/>
      <x:c r="O9" s="49"/>
      <x:c r="P9" s="49"/>
      <x:c r="Q9" s="49"/>
      <x:c r="R9" s="49"/>
      <x:c r="S9" s="49"/>
      <x:c r="T9" s="49"/>
      <x:c r="U9" s="49"/>
      <x:c r="V9" s="49"/>
      <x:c r="W9" s="49"/>
      <x:c r="X9" s="49"/>
      <x:c r="Y9" s="49"/>
      <x:c r="Z9" s="49"/>
    </x:row>
    <x:row r="10">
      <x:c r="A10" s="86" t="str">
        <x:v>Vector-level diagnostic</x:v>
      </x:c>
      <x:c r="B10" s="132" t="str">
        <x:v>Formula / basis</x:v>
      </x:c>
      <x:c r="C10" s="132" t="str">
        <x:v>Result</x:v>
      </x:c>
      <x:c r="D10" s="133" t="str">
        <x:v>Meaning</x:v>
      </x:c>
      <x:c r="E10" s="64"/>
      <x:c r="F10" s="64"/>
      <x:c r="G10" s="64"/>
      <x:c r="H10" s="49"/>
      <x:c r="I10" s="49"/>
      <x:c r="J10" s="49"/>
      <x:c r="K10" s="49"/>
      <x:c r="L10" s="49"/>
      <x:c r="M10" s="49"/>
      <x:c r="N10" s="49"/>
      <x:c r="O10" s="49"/>
      <x:c r="P10" s="49"/>
      <x:c r="Q10" s="49"/>
      <x:c r="R10" s="49"/>
      <x:c r="S10" s="49"/>
      <x:c r="T10" s="49"/>
      <x:c r="U10" s="49"/>
      <x:c r="V10" s="49"/>
      <x:c r="W10" s="49"/>
      <x:c r="X10" s="49"/>
      <x:c r="Y10" s="49"/>
      <x:c r="Z10" s="49"/>
    </x:row>
    <x:row r="11">
      <x:c r="A11" s="71" t="str">
        <x:v>Baseline resultant</x:v>
      </x:c>
      <x:c r="B11" s="128" t="str">
        <x:v>sqrt(X²+Y²+Z²)</x:v>
      </x:c>
      <x:c r="C11" s="128" t="n">
        <x:f>SQRT(B5^2+B6^2+B7^2)</x:f>
        <x:v>1.552959937055686</x:v>
      </x:c>
      <x:c r="D11" s="134" t="str">
        <x:v>Original hand disturbance magnitude.</x:v>
      </x:c>
      <x:c r="E11" s="64"/>
      <x:c r="F11" s="64"/>
      <x:c r="G11" s="64"/>
      <x:c r="H11" s="49"/>
      <x:c r="I11" s="49"/>
      <x:c r="J11" s="49"/>
      <x:c r="K11" s="49"/>
      <x:c r="L11" s="49"/>
      <x:c r="M11" s="49"/>
      <x:c r="N11" s="49"/>
      <x:c r="O11" s="49"/>
      <x:c r="P11" s="49"/>
      <x:c r="Q11" s="49"/>
      <x:c r="R11" s="49"/>
      <x:c r="S11" s="49"/>
      <x:c r="T11" s="49"/>
      <x:c r="U11" s="49"/>
      <x:c r="V11" s="49"/>
      <x:c r="W11" s="49"/>
      <x:c r="X11" s="49"/>
      <x:c r="Y11" s="49"/>
      <x:c r="Z11" s="49"/>
    </x:row>
    <x:row r="12">
      <x:c r="A12" s="71" t="str">
        <x:v>Visaton resultant</x:v>
      </x:c>
      <x:c r="B12" s="128" t="str">
        <x:v>sqrt(X²+Y²+Z²)</x:v>
      </x:c>
      <x:c r="C12" s="128" t="n">
        <x:f>SQRT(C5^2+C6^2+C7^2)</x:f>
        <x:v>1.5712428836115695</x:v>
      </x:c>
      <x:c r="D12" s="134" t="str">
        <x:v>Actuator-only magnitude at matched DAC.</x:v>
      </x:c>
      <x:c r="E12" s="64"/>
      <x:c r="F12" s="64"/>
      <x:c r="G12" s="64"/>
      <x:c r="H12" s="49"/>
      <x:c r="I12" s="49"/>
      <x:c r="J12" s="49"/>
      <x:c r="K12" s="49"/>
      <x:c r="L12" s="49"/>
      <x:c r="M12" s="49"/>
      <x:c r="N12" s="49"/>
      <x:c r="O12" s="49"/>
      <x:c r="P12" s="49"/>
      <x:c r="Q12" s="49"/>
      <x:c r="R12" s="49"/>
      <x:c r="S12" s="49"/>
      <x:c r="T12" s="49"/>
      <x:c r="U12" s="49"/>
      <x:c r="V12" s="49"/>
      <x:c r="W12" s="49"/>
      <x:c r="X12" s="49"/>
      <x:c r="Y12" s="49"/>
      <x:c r="Z12" s="49"/>
    </x:row>
    <x:row r="13">
      <x:c r="A13" s="71" t="str">
        <x:v>Amplitude-vector dot product</x:v>
      </x:c>
      <x:c r="B13" s="128" t="str">
        <x:v>DxVx+DyVy+DzVz</x:v>
      </x:c>
      <x:c r="C13" s="128" t="n">
        <x:f>SUMPRODUCT(B5:B7,C5:C7)</x:f>
        <x:v>1.858318728</x:v>
      </x:c>
      <x:c r="D13" s="134" t="str">
        <x:v>Amplitude-only directional similarity metric; ignores per-axis phase.</x:v>
      </x:c>
      <x:c r="E13" s="64"/>
      <x:c r="F13" s="64"/>
      <x:c r="G13" s="64"/>
      <x:c r="H13" s="49"/>
      <x:c r="I13" s="49"/>
      <x:c r="J13" s="49"/>
      <x:c r="K13" s="49"/>
      <x:c r="L13" s="49"/>
      <x:c r="M13" s="49"/>
      <x:c r="N13" s="49"/>
      <x:c r="O13" s="49"/>
      <x:c r="P13" s="49"/>
      <x:c r="Q13" s="49"/>
      <x:c r="R13" s="49"/>
      <x:c r="S13" s="49"/>
      <x:c r="T13" s="49"/>
      <x:c r="U13" s="49"/>
      <x:c r="V13" s="49"/>
      <x:c r="W13" s="49"/>
      <x:c r="X13" s="49"/>
      <x:c r="Y13" s="49"/>
      <x:c r="Z13" s="49"/>
    </x:row>
    <x:row r="14">
      <x:c r="A14" s="71" t="str">
        <x:v>Amplitude-vector angle (deg)</x:v>
      </x:c>
      <x:c r="B14" s="128" t="str">
        <x:v>ACOS(dot/(|D||V|))</x:v>
      </x:c>
      <x:c r="C14" s="128" t="n">
        <x:f>ACOS(C13/(C11*C12))*180/PI()</x:f>
        <x:v>40.39614396398579</x:v>
      </x:c>
      <x:c r="D14" s="134" t="str">
        <x:v>Approximate amplitude-vector mismatch angle; not a true complex phasor angle.</x:v>
      </x:c>
      <x:c r="E14" s="64"/>
      <x:c r="F14" s="64"/>
      <x:c r="G14" s="64"/>
      <x:c r="H14" s="49"/>
      <x:c r="I14" s="49"/>
      <x:c r="J14" s="49"/>
      <x:c r="K14" s="49"/>
      <x:c r="L14" s="49"/>
      <x:c r="M14" s="49"/>
      <x:c r="N14" s="49"/>
      <x:c r="O14" s="49"/>
      <x:c r="P14" s="49"/>
      <x:c r="Q14" s="49"/>
      <x:c r="R14" s="49"/>
      <x:c r="S14" s="49"/>
      <x:c r="T14" s="49"/>
      <x:c r="U14" s="49"/>
      <x:c r="V14" s="49"/>
      <x:c r="W14" s="49"/>
      <x:c r="X14" s="49"/>
      <x:c r="Y14" s="49"/>
      <x:c r="Z14" s="49"/>
    </x:row>
    <x:row r="15">
      <x:c r="A15" s="74" t="str">
        <x:v>Idealized opposite-phase residual*</x:v>
      </x:c>
      <x:c r="B15" s="129" t="str">
        <x:v>||D−V||</x:v>
      </x:c>
      <x:c r="C15" s="129" t="n">
        <x:f>SQRT((B5-C5)^2+(B6-C6)^2+(B7-C7)^2)</x:f>
        <x:v>1.078819405368665</x:v>
      </x:c>
      <x:c r="D15" s="135" t="str">
        <x:v>Illustrative amplitude-only comparison; real per-axis phases differ.</x:v>
      </x:c>
      <x:c r="E15" s="64"/>
      <x:c r="F15" s="64"/>
      <x:c r="G15" s="64"/>
      <x:c r="H15" s="49"/>
      <x:c r="I15" s="49"/>
      <x:c r="J15" s="49"/>
      <x:c r="K15" s="49"/>
      <x:c r="L15" s="49"/>
      <x:c r="M15" s="49"/>
      <x:c r="N15" s="49"/>
      <x:c r="O15" s="49"/>
      <x:c r="P15" s="49"/>
      <x:c r="Q15" s="49"/>
      <x:c r="R15" s="49"/>
      <x:c r="S15" s="49"/>
      <x:c r="T15" s="49"/>
      <x:c r="U15" s="49"/>
      <x:c r="V15" s="49"/>
      <x:c r="W15" s="49"/>
      <x:c r="X15" s="49"/>
      <x:c r="Y15" s="49"/>
      <x:c r="Z15" s="49"/>
    </x:row>
    <x:row r="16">
      <x:c r="A16" s="49"/>
      <x:c r="B16" s="49"/>
      <x:c r="C16" s="49"/>
      <x:c r="D16" s="49"/>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50" t="str">
        <x:v>Thesis-ready conclusions</x:v>
      </x:c>
      <x:c r="B17" s="50"/>
      <x:c r="C17" s="50"/>
      <x:c r="D17" s="50"/>
      <x:c r="E17" s="50"/>
      <x:c r="F17" s="50"/>
      <x:c r="G17" s="50"/>
      <x:c r="H17" s="50"/>
      <x:c r="I17" s="49"/>
      <x:c r="J17" s="49"/>
      <x:c r="K17" s="49"/>
      <x:c r="L17" s="49"/>
      <x:c r="M17" s="49"/>
      <x:c r="N17" s="49"/>
      <x:c r="O17" s="49"/>
      <x:c r="P17" s="49"/>
      <x:c r="Q17" s="49"/>
      <x:c r="R17" s="49"/>
      <x:c r="S17" s="49"/>
      <x:c r="T17" s="49"/>
      <x:c r="U17" s="49"/>
      <x:c r="V17" s="49"/>
      <x:c r="W17" s="49"/>
      <x:c r="X17" s="49"/>
      <x:c r="Y17" s="49"/>
      <x:c r="Z17" s="49"/>
    </x:row>
    <x:row r="18">
      <x:c r="A18" s="68" t="str">
        <x:v>1</x:v>
      </x:c>
      <x:c r="B18" s="140" t="str">
        <x:v>The total-amplitude matcher successfully found a scalar magnitude close to the hand baseline, but the actuator axis distribution was substantially different.</x:v>
      </x:c>
      <x:c r="C18" s="49"/>
      <x:c r="D18" s="49"/>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71" t="str">
        <x:v>2</x:v>
      </x:c>
      <x:c r="B19" s="101" t="str">
        <x:v>The Visaton generated a Z-axis component several times larger than the original hand-side Z disturbance, producing cross-axis energy that could not be removed by a single common phase command.</x:v>
      </x:c>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71" t="str">
        <x:v>3</x:v>
      </x:c>
      <x:c r="B20" s="101" t="str">
        <x:v>Strong phase-dependent X attenuation remained observable, confirming that the single-axis destructive-interference mechanism was still present.</x:v>
      </x:c>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71" t="str">
        <x:v>4</x:v>
      </x:c>
      <x:c r="B21" s="101" t="str">
        <x:v>No coarse phase at the matched TOTAL amplitude produced a positive triaxial resultant reduction; the best coarse total result was still an increase.</x:v>
      </x:c>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74" t="str">
        <x:v>5</x:v>
      </x:c>
      <x:c r="B22" s="103" t="str">
        <x:v>The experiment therefore supports treating the current architecture as a single-axis narrow-band proof-of-principle and identifying multi-axis cross-coupling as a principal limitation.</x:v>
      </x:c>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sheetData>
  <x:mergeCells>
    <x:mergeCell ref="A1:H2"/>
    <x:mergeCell ref="A17:H17"/>
  </x:mergeCells>
  <x:pageMargins left="0.7" right="0.7" top="0.75" bottom="0.75" header="0.3" footer="0.3"/>
  <x:drawing xmlns:r="http://schemas.openxmlformats.org/officeDocument/2006/relationships" r:id="R8337f151d6d64b64"/>
</x:worksheet>
</file>
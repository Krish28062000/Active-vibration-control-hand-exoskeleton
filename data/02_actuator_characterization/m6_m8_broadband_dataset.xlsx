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fbbc709e6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44f0bbb0067a4bfe"/>
    <x:sheet xmlns:r="http://schemas.openxmlformats.org/officeDocument/2006/relationships" name="Narrowband_Raw" sheetId="2" r:id="R837b5923f20641dc"/>
    <x:sheet xmlns:r="http://schemas.openxmlformats.org/officeDocument/2006/relationships" name="M6_Frequency" sheetId="3" r:id="R33086fa2e8cc4100"/>
    <x:sheet xmlns:r="http://schemas.openxmlformats.org/officeDocument/2006/relationships" name="M8_Baseline" sheetId="4" r:id="R4a120cedbde441cc"/>
    <x:sheet xmlns:r="http://schemas.openxmlformats.org/officeDocument/2006/relationships" name="Broadband_Runs" sheetId="5" r:id="R71b0e5be8cc949eb"/>
    <x:sheet xmlns:r="http://schemas.openxmlformats.org/officeDocument/2006/relationships" name="Broadband_Candidates" sheetId="6" r:id="R6fdc2ce8c4c34fd6"/>
    <x:sheet xmlns:r="http://schemas.openxmlformats.org/officeDocument/2006/relationships" name="QA_Methodology" sheetId="7" r:id="R7982f4882c0a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5df4219834238" /><Relationship Type="http://schemas.openxmlformats.org/officeDocument/2006/relationships/theme" Target="/xl/theme/theme1.xml" Id="R480c6fdaee6d4f8f" /><Relationship Type="http://schemas.openxmlformats.org/officeDocument/2006/relationships/sharedStrings" Target="/xl/sharedStrings.xml" Id="R8d62b8df82e7423d" /><Relationship Type="http://schemas.openxmlformats.org/officeDocument/2006/relationships/worksheet" Target="/xl/worksheets/sheet1.xml" Id="R44f0bbb0067a4bfe" /><Relationship Type="http://schemas.openxmlformats.org/officeDocument/2006/relationships/worksheet" Target="/xl/worksheets/sheet2.xml" Id="R837b5923f20641dc" /><Relationship Type="http://schemas.openxmlformats.org/officeDocument/2006/relationships/worksheet" Target="/xl/worksheets/sheet3.xml" Id="R33086fa2e8cc4100" /><Relationship Type="http://schemas.openxmlformats.org/officeDocument/2006/relationships/worksheet" Target="/xl/worksheets/sheet4.xml" Id="R4a120cedbde441cc" /><Relationship Type="http://schemas.openxmlformats.org/officeDocument/2006/relationships/worksheet" Target="/xl/worksheets/sheet5.xml" Id="R71b0e5be8cc949eb" /><Relationship Type="http://schemas.openxmlformats.org/officeDocument/2006/relationships/worksheet" Target="/xl/worksheets/sheet6.xml" Id="R6fdc2ce8c4c34fd6" /><Relationship Type="http://schemas.openxmlformats.org/officeDocument/2006/relationships/worksheet" Target="/xl/worksheets/sheet7.xml" Id="R7982f4882c0a48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31126a32b24f8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d0f276e98934d5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0a4b7fd030d46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Locked Control Frequency by Run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'M6_Frequency'!$A$4:$A$16</c:f>
              <c:strCache>
                <c:ptCount val="0"/>
              </c:strCache>
            </c:strRef>
          </c:cat>
          <c:val>
            <c:numRef>
              <c:f>'M6_Frequency'!$B$4:$B$16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Tool and Hand Resultant at Common f0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Tool resultant @ f0</c:v>
          </c:tx>
          <c:marker>
            <c:symbol val="none"/>
          </c:marker>
          <c:cat>
            <c:strRef>
              <c:f>'M8_Baseline'!$A$5:$A$16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'M8_Baseline'!$F$5:$F$16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Hand resultant @ f0</c:v>
          </c:tx>
          <c:marker>
            <c:symbol val="none"/>
          </c:marker>
          <c:cat>
            <c:strRef>
              <c:f>'M8_Baseline'!$A$5:$A$16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'M8_Baseline'!$J$5:$J$16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Hand Response: Control Family vs Strongest Competing Tool Family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Hand amplitude — control family</c:v>
          </c:tx>
          <c:cat>
            <c:strRef>
              <c:f>'Broadband_Runs'!$A$4:$A$11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'Broadband_Runs'!$Q$4:$Q$11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Hand amplitude — strongest competing family</c:v>
          </c:tx>
          <c:cat>
            <c:strRef>
              <c:f>'Broadband_Runs'!$A$4:$A$11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'Broadband_Runs'!$U$4:$U$11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31126a32b24f8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12</xdr:row>
      <xdr:rowOff>0</xdr:rowOff>
    </xdr:from>
    <xdr:to>
      <xdr:col>23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0f276e98934d5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33</xdr:col>
      <xdr:colOff>0</xdr:colOff>
      <xdr:row>2</xdr:row>
      <xdr:rowOff>0</xdr:rowOff>
    </xdr:from>
    <xdr:to>
      <xdr:col>41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a4b7fd030d46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916d0f83fe345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3cd89e7817d247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81923a8767eb403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4" max="4" width="29.1299991607666" hidden="0" customWidth="1"/>
    <x:col min="5" max="5" width="6.630000114440918" hidden="0" customWidth="1"/>
  </x:cols>
  <x:sheetData>
    <x:row r="1" ht="18" hidden="0" customHeight="1">
      <x:c r="A1" s="5" t="str">
        <x:v>KK Exoskeleton — M6/M8 &amp; Broadband Characterization Master Dataset</x:v>
      </x:c>
    </x:row>
    <x:row r="2"/>
    <x:row r="3" ht="15" hidden="0" customHeight="1">
      <x:c r="A3" s="13" t="str">
        <x:v>Item</x:v>
      </x:c>
      <x:c r="B3" s="13" t="str">
        <x:v>Frozen interpretation</x:v>
      </x:c>
      <x:c r="D3" s="13" t="str">
        <x:v>Key metric</x:v>
      </x:c>
      <x:c r="E3" s="13" t="str">
        <x:v>Value</x:v>
      </x:c>
    </x:row>
    <x:row r="4" ht="15" hidden="0" customHeight="1">
      <x:c r="A4" s="20" t="str">
        <x:v>Primary control-band dataset</x:v>
      </x:c>
      <x:c r="B4" s="21" t="str">
        <x:v>12 runs, 240–320 Hz, complete locked f0 tool/hand measurements</x:v>
      </x:c>
      <x:c r="D4" t="str">
        <x:v>Narrowband runs</x:v>
      </x:c>
      <x:c r="E4" t="n">
        <x:v>12</x:v>
      </x:c>
    </x:row>
    <x:row r="5" ht="15" hidden="0" customHeight="1">
      <x:c r="A5" s="20" t="str">
        <x:v>Broadband characterization dataset</x:v>
      </x:c>
      <x:c r="B5" s="21" t="str">
        <x:v>8 runs, 20–750 Hz, multi-frequency source characterization</x:v>
      </x:c>
      <x:c r="D5" t="str">
        <x:v>Mean locked f0 (Hz)</x:v>
      </x:c>
      <x:c r="E5" s="24" t="n">
        <x:f>AVERAGE(M6_Frequency!B5:B16)</x:f>
        <x:v>268.5446790833334</x:v>
      </x:c>
    </x:row>
    <x:row r="6" ht="15" hidden="0" customHeight="1">
      <x:c r="A6" s="20" t="str">
        <x:v>M6 verdict</x:v>
      </x:c>
      <x:c r="B6" s="21" t="str">
        <x:v>DONE — frequency family is repeatable but not perfectly fixed; tracking is required</x:v>
      </x:c>
      <x:c r="D6" t="str">
        <x:v>SD f0 (Hz)</x:v>
      </x:c>
      <x:c r="E6" s="24" t="n">
        <x:f>STDEV.S(M6_Frequency!B5:B16)</x:f>
        <x:v>1.1846305383287241</x:v>
      </x:c>
    </x:row>
    <x:row r="7" ht="15" hidden="0" customHeight="1">
      <x:c r="A7" s="20" t="str">
        <x:v>M8 verdict</x:v>
      </x:c>
      <x:c r="B7" s="21" t="str">
        <x:v>DONE — repeated tool/hand baseline at the same f0 is complete at resultant and local-axis level</x:v>
      </x:c>
      <x:c r="D7" t="str">
        <x:v>f0 range (Hz)</x:v>
      </x:c>
      <x:c r="E7" s="24" t="n">
        <x:f>MAX(M6_Frequency!B5:B16)-MIN(M6_Frequency!B5:B16)</x:f>
        <x:v>4.603886000000045</x:v>
      </x:c>
    </x:row>
    <x:row r="8" ht="15" hidden="0" customHeight="1">
      <x:c r="A8" s="20" t="str">
        <x:v>Coordinate-system caveat</x:v>
      </x:c>
      <x:c r="B8" s="21" t="str">
        <x:v>Tool and hand axes are rotated; do not interpret X/X, Y/Y, Z/Z ratios as directional transmissibility</x:v>
      </x:c>
      <x:c r="D8" t="str">
        <x:v>f0 CV (%)</x:v>
      </x:c>
      <x:c r="E8" s="24" t="n">
        <x:f>E6/E5*100</x:f>
        <x:v>0.441129774893479</x:v>
      </x:c>
    </x:row>
    <x:row r="9" ht="15" hidden="0" customHeight="1">
      <x:c r="A9" s="20" t="str">
        <x:v>Primary scalar transfer metric</x:v>
      </x:c>
      <x:c r="B9" s="21" t="str">
        <x:v>Use Hand resultant / Tool resultant at the same f0 as baseline spatial amplitude ratio</x:v>
      </x:c>
      <x:c r="D9" t="str">
        <x:v>Mean tool resultant @ f0 (m/s² peak)</x:v>
      </x:c>
      <x:c r="E9" s="24" t="n">
        <x:f>AVERAGE(M8_Baseline!F5:F16)</x:f>
        <x:v>2.871608333333333</x:v>
      </x:c>
    </x:row>
    <x:row r="10" ht="15" hidden="0" customHeight="1">
      <x:c r="D10" t="str">
        <x:v>Mean hand resultant @ f0 (m/s² peak)</x:v>
      </x:c>
      <x:c r="E10" s="24" t="n">
        <x:f>AVERAGE(M8_Baseline!J5:J16)</x:f>
        <x:v>1.5301816666666668</x:v>
      </x:c>
    </x:row>
    <x:row r="11" ht="15" hidden="0" customHeight="1">
      <x:c r="D11" t="str">
        <x:v>Mean H/T resultant ratio</x:v>
      </x:c>
      <x:c r="E11" s="24" t="n">
        <x:f>AVERAGE(M8_Baseline!M5:M16)</x:f>
        <x:v>0.5371822121852211</x:v>
      </x:c>
    </x:row>
    <x:row r="12" ht="15" hidden="0" customHeight="1">
      <x:c r="A12" s="30"/>
      <x:c r="B12" s="21"/>
      <x:c r="C12" s="21"/>
      <x:c r="D12" s="21"/>
      <x:c r="E12" s="21"/>
      <x:c r="F12" s="21"/>
      <x:c r="G12" s="21"/>
      <x:c r="H12" s="21"/>
    </x:row>
    <x:row r="13" ht="15" hidden="0" customHeight="1">
      <x:c r="A13" s="20"/>
      <x:c r="B13" s="21"/>
      <x:c r="C13" s="21"/>
      <x:c r="D13" s="21"/>
      <x:c r="E13" s="21"/>
      <x:c r="F13" s="21"/>
      <x:c r="G13" s="21"/>
      <x:c r="H13" s="21"/>
    </x:row>
    <x:row r="14" ht="15" hidden="0" customHeight="1">
      <x:c r="A14" s="30" t="str">
        <x:v>Thesis interpretation / decision</x:v>
      </x:c>
      <x:c r="B14" s="21"/>
      <x:c r="C14" s="21"/>
      <x:c r="D14" s="21"/>
      <x:c r="E14" s="21"/>
      <x:c r="F14" s="21"/>
      <x:c r="G14" s="21"/>
      <x:c r="H14" s="21"/>
    </x:row>
    <x:row r="15" ht="15" hidden="0" customHeight="1">
      <x:c r="A15" s="20" t="str">
        <x:v>1</x:v>
      </x:c>
      <x:c r="B15" s="21" t="str">
        <x:v>Broadband characterization first established that the tool contains multiple spectral families; the 268–272 Hz family is not the only vibration present.</x:v>
      </x:c>
      <x:c r="C15" s="21"/>
      <x:c r="D15" s="21"/>
      <x:c r="E15" s="21"/>
      <x:c r="F15" s="21"/>
      <x:c r="G15" s="21"/>
      <x:c r="H15" s="21"/>
    </x:row>
    <x:row r="16" ht="15" hidden="0" customHeight="1">
      <x:c r="A16" s="20" t="str">
        <x:v>2</x:v>
      </x:c>
      <x:c r="B16" s="21" t="str">
        <x:v>The control-band experiment deliberately tracks the pre-characterized 240–320 Hz family rather than hard-coding a single 268 Hz value.</x:v>
      </x:c>
      <x:c r="C16" s="21"/>
      <x:c r="D16" s="21"/>
      <x:c r="E16" s="21"/>
      <x:c r="F16" s="21"/>
      <x:c r="G16" s="21"/>
      <x:c r="H16" s="21"/>
    </x:row>
    <x:row r="17" ht="15" hidden="0" customHeight="1">
      <x:c r="A17" s="20" t="str">
        <x:v>3</x:v>
      </x:c>
      <x:c r="B17" s="21" t="str">
        <x:v>The 12-run control-band data show that f0 changes across starts/operating states, therefore the final controller should track f0 rather than assume a constant frequency.</x:v>
      </x:c>
      <x:c r="C17" s="21"/>
      <x:c r="D17" s="21"/>
      <x:c r="E17" s="21"/>
      <x:c r="F17" s="21"/>
      <x:c r="G17" s="21"/>
      <x:c r="H17" s="21"/>
    </x:row>
    <x:row r="18" ht="15" hidden="0" customHeight="1">
      <x:c r="A18" s="20" t="str">
        <x:v>4</x:v>
      </x:c>
      <x:c r="B18" s="21" t="str">
        <x:v>M8 is evaluated at one common locked f0 per run. Local XYZ amplitudes are retained for controller/error-sensor use, but cross-sensor axis-wise transmissibility is not claimed because the sensor frames are rotated.</x:v>
      </x:c>
      <x:c r="C18" s="21"/>
      <x:c r="D18" s="21"/>
      <x:c r="E18" s="21"/>
      <x:c r="F18" s="21"/>
      <x:c r="G18" s="21"/>
      <x:c r="H18" s="21"/>
    </x:row>
    <x:row r="19">
      <x:c r="A19" s="18" t="str">
        <x:v>5</x:v>
      </x:c>
      <x:c r="B19" s="21" t="str">
        <x:v>Resultant amplitude ratio H/T is used as the robust scalar baseline metric. This is a spatial response ratio, not active damping efficiency.</x:v>
      </x:c>
    </x:row>
    <x:row r="20">
      <x:c r="A20" s="18" t="str">
        <x:v>6</x:v>
      </x:c>
      <x:c r="B20" s="21" t="str">
        <x:v>Next experiment: M7 long-duration stationarity/drift, using continuous operation to determine tracking update requirements.</x:v>
      </x:c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H1"/>
    <x:mergeCell ref="A12:H1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.880000114440918" hidden="0" customWidth="1"/>
    <x:col min="3" max="3" width="8.25" hidden="0" customWidth="1"/>
    <x:col min="4" max="4" width="6.630000114440918" hidden="0" customWidth="1"/>
    <x:col min="5" max="5" width="9.630000114440918" hidden="0" customWidth="1"/>
    <x:col min="6" max="6" width="8.630000114440918" hidden="0" customWidth="1"/>
    <x:col min="7" max="7" width="6.630000114440918" hidden="0" customWidth="1"/>
    <x:col min="8" max="8" width="9.630000114440918" hidden="0" customWidth="1"/>
    <x:col min="9" max="9" width="8.630000114440918" hidden="0" customWidth="1"/>
    <x:col min="10" max="10" width="6.630000114440918" hidden="0" customWidth="1"/>
    <x:col min="11" max="11" width="9.5" hidden="0" customWidth="1"/>
    <x:col min="12" max="12" width="8.5" hidden="0" customWidth="1"/>
    <x:col min="13" max="13" width="7" hidden="0" customWidth="1"/>
    <x:col min="14" max="14" width="10.5" hidden="0" customWidth="1"/>
    <x:col min="15" max="15" width="9.5" hidden="0" customWidth="1"/>
    <x:col min="16" max="16" width="7" hidden="0" customWidth="1"/>
    <x:col min="17" max="17" width="10.5" hidden="0" customWidth="1"/>
    <x:col min="18" max="18" width="9.5" hidden="0" customWidth="1"/>
    <x:col min="19" max="19" width="6.880000114440918" hidden="0" customWidth="1"/>
    <x:col min="20" max="20" width="10.380000114440918" hidden="0" customWidth="1"/>
    <x:col min="21" max="21" width="9.380000114440918" hidden="0" customWidth="1"/>
    <x:col min="22" max="22" width="7.25" hidden="0" customWidth="1"/>
    <x:col min="23" max="23" width="7.75" hidden="0" customWidth="1"/>
    <x:col min="24" max="24" width="13.25" hidden="0" customWidth="1"/>
    <x:col min="25" max="25" width="8.75" hidden="0" customWidth="1"/>
    <x:col min="26" max="26" width="8.630000114440918" hidden="0" customWidth="1"/>
    <x:col min="27" max="27" width="8.630000114440918" hidden="0" customWidth="1"/>
    <x:col min="28" max="28" width="12.630000114440918" hidden="0" customWidth="1"/>
    <x:col min="29" max="29" width="9.630000114440918" hidden="0" customWidth="1"/>
    <x:col min="30" max="30" width="9.5" hidden="0" customWidth="1"/>
    <x:col min="31" max="31" width="9.5" hidden="0" customWidth="1"/>
    <x:col min="32" max="32" width="13.5" hidden="0" customWidth="1"/>
    <x:col min="33" max="33" width="15.380000114440918" hidden="0" customWidth="1"/>
    <x:col min="34" max="34" width="13.75" hidden="0" customWidth="1"/>
    <x:col min="35" max="35" width="14.630000114440918" hidden="0" customWidth="1"/>
    <x:col min="36" max="36" width="15.380000114440918" hidden="0" customWidth="1"/>
    <x:col min="37" max="37" width="16.25" hidden="0" customWidth="1"/>
    <x:col min="38" max="38" width="10.630000114440918" hidden="0" customWidth="1"/>
    <x:col min="39" max="39" width="12" hidden="0" customWidth="1"/>
    <x:col min="40" max="40" width="9.630000114440918" hidden="0" customWidth="1"/>
    <x:col min="41" max="41" width="10.5" hidden="0" customWidth="1"/>
    <x:col min="42" max="42" width="10" hidden="0" customWidth="1"/>
    <x:col min="43" max="43" width="13.130000114440918" hidden="0" customWidth="1"/>
    <x:col min="44" max="44" width="13.880000114440918" hidden="0" customWidth="1"/>
  </x:cols>
  <x:sheetData>
    <x:row r="1" ht="18" hidden="0" customHeight="1">
      <x:c r="A1" s="5" t="str">
        <x:v>Control-Band Dataset — 240–320 Hz (12 runs)</x:v>
      </x:c>
    </x:row>
    <x:row r="2"/>
    <x:row r="3" ht="15" hidden="0" customHeight="1">
      <x:c r="A3" s="13" t="str">
        <x:v>Run</x:v>
      </x:c>
      <x:c r="B3" s="13" t="str">
        <x:v>Band Min</x:v>
      </x:c>
      <x:c r="C3" s="13" t="str">
        <x:v>Band Max</x:v>
      </x:c>
      <x:c r="D3" s="13" t="str">
        <x:v>Tool X f</x:v>
      </x:c>
      <x:c r="E3" s="13" t="str">
        <x:v>Tool X FFT A</x:v>
      </x:c>
      <x:c r="F3" s="13" t="str">
        <x:v>Tool X SNR</x:v>
      </x:c>
      <x:c r="G3" s="13" t="str">
        <x:v>Tool Y f</x:v>
      </x:c>
      <x:c r="H3" s="13" t="str">
        <x:v>Tool Y FFT A</x:v>
      </x:c>
      <x:c r="I3" s="13" t="str">
        <x:v>Tool Y SNR</x:v>
      </x:c>
      <x:c r="J3" s="13" t="str">
        <x:v>Tool Z f</x:v>
      </x:c>
      <x:c r="K3" s="13" t="str">
        <x:v>Tool Z FFT A</x:v>
      </x:c>
      <x:c r="L3" s="13" t="str">
        <x:v>Tool Z SNR</x:v>
      </x:c>
      <x:c r="M3" s="13" t="str">
        <x:v>Hand X f</x:v>
      </x:c>
      <x:c r="N3" s="13" t="str">
        <x:v>Hand X FFT A</x:v>
      </x:c>
      <x:c r="O3" s="13" t="str">
        <x:v>Hand X SNR</x:v>
      </x:c>
      <x:c r="P3" s="13" t="str">
        <x:v>Hand Y f</x:v>
      </x:c>
      <x:c r="Q3" s="13" t="str">
        <x:v>Hand Y FFT A</x:v>
      </x:c>
      <x:c r="R3" s="13" t="str">
        <x:v>Hand Y SNR</x:v>
      </x:c>
      <x:c r="S3" s="13" t="str">
        <x:v>Hand Z f</x:v>
      </x:c>
      <x:c r="T3" s="13" t="str">
        <x:v>Hand Z FFT A</x:v>
      </x:c>
      <x:c r="U3" s="13" t="str">
        <x:v>Hand Z SNR</x:v>
      </x:c>
      <x:c r="V3" s="13" t="str">
        <x:v>FFT Seed</x:v>
      </x:c>
      <x:c r="W3" s="13" t="str">
        <x:v>Locked f0</x:v>
      </x:c>
      <x:c r="X3" s="13" t="str">
        <x:v>Auto Confidence</x:v>
      </x:c>
      <x:c r="Y3" s="13" t="str">
        <x:v>Tool X @f0</x:v>
      </x:c>
      <x:c r="Z3" s="13" t="str">
        <x:v>Tool Y @f0</x:v>
      </x:c>
      <x:c r="AA3" s="13" t="str">
        <x:v>Tool Z @f0</x:v>
      </x:c>
      <x:c r="AB3" s="13" t="str">
        <x:v>Tool Vector @f0</x:v>
      </x:c>
      <x:c r="AC3" s="13" t="str">
        <x:v>Hand X @f0</x:v>
      </x:c>
      <x:c r="AD3" s="13" t="str">
        <x:v>Hand Y @f0</x:v>
      </x:c>
      <x:c r="AE3" s="13" t="str">
        <x:v>Hand Z @f0</x:v>
      </x:c>
      <x:c r="AF3" s="13" t="str">
        <x:v>Hand Vector @f0</x:v>
      </x:c>
      <x:c r="AG3" s="13" t="str">
        <x:v>H/T Resultant Ratio</x:v>
      </x:c>
      <x:c r="AH3" s="13" t="str">
        <x:v>Tool Z @f0 Status</x:v>
      </x:c>
      <x:c r="AI3" s="13" t="str">
        <x:v>Hand Z @f0 Status</x:v>
      </x:c>
      <x:c r="AJ3" s="13" t="str">
        <x:v>Tool Weighted Sync</x:v>
      </x:c>
      <x:c r="AK3" s="13" t="str">
        <x:v>Candidate RMSE deg</x:v>
      </x:c>
      <x:c r="AL3" s="13" t="str">
        <x:v>Support Axes</x:v>
      </x:c>
      <x:c r="AM3" s="13" t="str">
        <x:v>Quadrature ms</x:v>
      </x:c>
      <x:c r="AN3" s="13" t="str">
        <x:v>Read Sep us</x:v>
      </x:c>
      <x:c r="AO3" s="13" t="str">
        <x:v>Late Samples</x:v>
      </x:c>
      <x:c r="AP3" s="13" t="str">
        <x:v>Zero Triplets</x:v>
      </x:c>
      <x:c r="AQ3" s="13" t="str">
        <x:v>Clipped Samples</x:v>
      </x:c>
      <x:c r="AR3" s="13" t="str">
        <x:v>Locked Candidate</x:v>
      </x:c>
    </x:row>
    <x:row r="4" ht="15" hidden="0" customHeight="1">
      <x:c r="A4" t="n">
        <x:v>1</x:v>
      </x:c>
      <x:c r="B4" t="n">
        <x:v>240</x:v>
      </x:c>
      <x:c r="C4" t="n">
        <x:v>320</x:v>
      </x:c>
      <x:c r="D4" s="24" t="n">
        <x:v>267.623</x:v>
      </x:c>
      <x:c r="E4" s="24" t="n">
        <x:v>2.72372</x:v>
      </x:c>
      <x:c r="F4" s="24" t="n">
        <x:v>29.9</x:v>
      </x:c>
      <x:c r="G4" s="24" t="n">
        <x:v>267.61</x:v>
      </x:c>
      <x:c r="H4" s="24" t="n">
        <x:v>1.71162</x:v>
      </x:c>
      <x:c r="I4" s="24" t="n">
        <x:v>26.9</x:v>
      </x:c>
      <x:c r="J4" s="24" t="n">
        <x:v>267.764</x:v>
      </x:c>
      <x:c r="K4" s="24" t="n">
        <x:v>0.27012</x:v>
      </x:c>
      <x:c r="L4" s="24" t="n">
        <x:v>16.3</x:v>
      </x:c>
      <x:c r="M4" s="24" t="n">
        <x:v>267.637</x:v>
      </x:c>
      <x:c r="N4" s="24" t="n">
        <x:v>1.1389</x:v>
      </x:c>
      <x:c r="O4" s="24" t="n">
        <x:v>29.2</x:v>
      </x:c>
      <x:c r="P4" s="24" t="n">
        <x:v>267.635</x:v>
      </x:c>
      <x:c r="Q4" s="24" t="n">
        <x:v>1.14105</x:v>
      </x:c>
      <x:c r="R4" s="24" t="n">
        <x:v>30.1</x:v>
      </x:c>
      <x:c r="S4" s="24" t="n">
        <x:v>267.689</x:v>
      </x:c>
      <x:c r="T4" s="24" t="n">
        <x:v>0.25275</x:v>
      </x:c>
      <x:c r="U4" s="24" t="n">
        <x:v>19.4</x:v>
      </x:c>
      <x:c r="V4" s="24" t="n">
        <x:v>267.62</x:v>
      </x:c>
      <x:c r="W4" s="24" t="n">
        <x:v>267.49535</x:v>
      </x:c>
      <x:c r="X4" t="str">
        <x:v>CLEAR WINNER</x:v>
      </x:c>
      <x:c r="Y4" s="24" t="n">
        <x:v>2.92129</x:v>
      </x:c>
      <x:c r="Z4" s="24" t="n">
        <x:v>1.76192</x:v>
      </x:c>
      <x:c r="AA4" s="24" t="n">
        <x:v>0.29667</x:v>
      </x:c>
      <x:c r="AB4" s="24" t="n">
        <x:v>3.42436</x:v>
      </x:c>
      <x:c r="AC4" s="24" t="n">
        <x:v>1.15747</x:v>
      </x:c>
      <x:c r="AD4" s="24" t="n">
        <x:v>1.23694</x:v>
      </x:c>
      <x:c r="AE4" s="24" t="n">
        <x:v>0.30737</x:v>
      </x:c>
      <x:c r="AF4" s="24" t="n">
        <x:v>1.7217</x:v>
      </x:c>
      <x:c r="AG4" s="24" t="n">
        <x:f>AF4/AB4</x:f>
        <x:v>0.5027800815334836</x:v>
      </x:c>
      <x:c r="AH4" t="str">
        <x:v>LOW CONF</x:v>
      </x:c>
      <x:c r="AI4" t="str">
        <x:v>VALID</x:v>
      </x:c>
      <x:c r="AJ4" t="n">
        <x:v>0.55</x:v>
      </x:c>
      <x:c r="AK4" t="n">
        <x:v>3.72</x:v>
      </x:c>
      <x:c r="AL4" t="n">
        <x:v>2</x:v>
      </x:c>
      <x:c r="AM4" s="32" t="n">
        <x:v>1599.44</x:v>
      </x:c>
      <x:c r="AN4" s="32" t="n">
        <x:v>32.14</x:v>
      </x:c>
      <x:c r="AO4" t="n">
        <x:v>1</x:v>
      </x:c>
      <x:c r="AP4" t="n">
        <x:v>0</x:v>
      </x:c>
      <x:c r="AQ4" t="n">
        <x:v>0</x:v>
      </x:c>
      <x:c r="AR4" t="n">
        <x:v>1</x:v>
      </x:c>
    </x:row>
    <x:row r="5" ht="15" hidden="0" customHeight="1">
      <x:c r="A5" t="n">
        <x:v>2</x:v>
      </x:c>
      <x:c r="B5" t="n">
        <x:v>240</x:v>
      </x:c>
      <x:c r="C5" t="n">
        <x:v>320</x:v>
      </x:c>
      <x:c r="D5" s="24" t="n">
        <x:v>268.241</x:v>
      </x:c>
      <x:c r="E5" s="24" t="n">
        <x:v>2.92427</x:v>
      </x:c>
      <x:c r="F5" s="24" t="n">
        <x:v>29</x:v>
      </x:c>
      <x:c r="G5" s="24" t="n">
        <x:v>268.297</x:v>
      </x:c>
      <x:c r="H5" s="24" t="n">
        <x:v>1.62498</x:v>
      </x:c>
      <x:c r="I5" s="24" t="n">
        <x:v>24.9</x:v>
      </x:c>
      <x:c r="J5" s="24" t="n">
        <x:v>268.213</x:v>
      </x:c>
      <x:c r="K5" s="24" t="n">
        <x:v>0.30379</x:v>
      </x:c>
      <x:c r="L5" s="24" t="n">
        <x:v>16.1</x:v>
      </x:c>
      <x:c r="M5" s="24" t="n">
        <x:v>268.273</x:v>
      </x:c>
      <x:c r="N5" s="24" t="n">
        <x:v>1.09107</x:v>
      </x:c>
      <x:c r="O5" s="24" t="n">
        <x:v>28.3</x:v>
      </x:c>
      <x:c r="P5" s="24" t="n">
        <x:v>268.265</x:v>
      </x:c>
      <x:c r="Q5" s="24" t="n">
        <x:v>1.22725</x:v>
      </x:c>
      <x:c r="R5" s="24" t="n">
        <x:v>30</x:v>
      </x:c>
      <x:c r="S5" s="24" t="n">
        <x:v>268.31</x:v>
      </x:c>
      <x:c r="T5" s="24" t="n">
        <x:v>0.27325</x:v>
      </x:c>
      <x:c r="U5" s="24" t="n">
        <x:v>19.6</x:v>
      </x:c>
      <x:c r="V5" s="24" t="n">
        <x:v>268.254</x:v>
      </x:c>
      <x:c r="W5" s="24" t="n">
        <x:v>268.35604</x:v>
      </x:c>
      <x:c r="X5" t="str">
        <x:v>CLEAR WINNER</x:v>
      </x:c>
      <x:c r="Y5" s="24" t="n">
        <x:v>3.1288</x:v>
      </x:c>
      <x:c r="Z5" s="24" t="n">
        <x:v>1.80305</x:v>
      </x:c>
      <x:c r="AA5" s="24" t="n">
        <x:v>0.34151</x:v>
      </x:c>
      <x:c r="AB5" s="24" t="n">
        <x:v>3.62726</x:v>
      </x:c>
      <x:c r="AC5" s="24" t="n">
        <x:v>1.1076</x:v>
      </x:c>
      <x:c r="AD5" s="24" t="n">
        <x:v>1.29039</x:v>
      </x:c>
      <x:c r="AE5" s="24" t="n">
        <x:v>0.30462</x:v>
      </x:c>
      <x:c r="AF5" s="24" t="n">
        <x:v>1.72762</x:v>
      </x:c>
      <x:c r="AG5" s="24" t="n">
        <x:f>AF5/AB5</x:f>
        <x:v>0.4762878867244145</x:v>
      </x:c>
      <x:c r="AH5" t="str">
        <x:v>LOW CONF</x:v>
      </x:c>
      <x:c r="AI5" t="str">
        <x:v>VALID</x:v>
      </x:c>
      <x:c r="AJ5" t="n">
        <x:v>0.546</x:v>
      </x:c>
      <x:c r="AK5" t="n">
        <x:v>3.98</x:v>
      </x:c>
      <x:c r="AL5" t="n">
        <x:v>2</x:v>
      </x:c>
      <x:c r="AM5" s="32" t="n">
        <x:v>1599.44</x:v>
      </x:c>
      <x:c r="AN5" s="32" t="n">
        <x:v>32.26</x:v>
      </x:c>
      <x:c r="AO5" t="n">
        <x:v>1</x:v>
      </x:c>
      <x:c r="AP5" t="n">
        <x:v>0</x:v>
      </x:c>
      <x:c r="AQ5" t="n">
        <x:v>0</x:v>
      </x:c>
      <x:c r="AR5" t="n">
        <x:v>1</x:v>
      </x:c>
    </x:row>
    <x:row r="6" ht="15" hidden="0" customHeight="1">
      <x:c r="A6" t="n">
        <x:v>3</x:v>
      </x:c>
      <x:c r="B6" t="n">
        <x:v>240</x:v>
      </x:c>
      <x:c r="C6" t="n">
        <x:v>320</x:v>
      </x:c>
      <x:c r="D6" s="24" t="n">
        <x:v>268.5</x:v>
      </x:c>
      <x:c r="E6" s="24" t="n">
        <x:v>3.10318</x:v>
      </x:c>
      <x:c r="F6" s="24" t="n">
        <x:v>29.5</x:v>
      </x:c>
      <x:c r="G6" s="24" t="n">
        <x:v>268.523</x:v>
      </x:c>
      <x:c r="H6" s="24" t="n">
        <x:v>1.75734</x:v>
      </x:c>
      <x:c r="I6" s="24" t="n">
        <x:v>26</x:v>
      </x:c>
      <x:c r="J6" s="24" t="n">
        <x:v>268.49</x:v>
      </x:c>
      <x:c r="K6" s="24" t="n">
        <x:v>0.36593</x:v>
      </x:c>
      <x:c r="L6" s="24" t="n">
        <x:v>18.2</x:v>
      </x:c>
      <x:c r="M6" s="24" t="n">
        <x:v>268.503</x:v>
      </x:c>
      <x:c r="N6" s="24" t="n">
        <x:v>1.09727</x:v>
      </x:c>
      <x:c r="O6" s="24" t="n">
        <x:v>29.5</x:v>
      </x:c>
      <x:c r="P6" s="24" t="n">
        <x:v>268.503</x:v>
      </x:c>
      <x:c r="Q6" s="24" t="n">
        <x:v>1.2239</x:v>
      </x:c>
      <x:c r="R6" s="24" t="n">
        <x:v>30.9</x:v>
      </x:c>
      <x:c r="S6" s="24" t="n">
        <x:v>268.482</x:v>
      </x:c>
      <x:c r="T6" s="24" t="n">
        <x:v>0.28476</x:v>
      </x:c>
      <x:c r="U6" s="24" t="n">
        <x:v>21.2</x:v>
      </x:c>
      <x:c r="V6" s="24" t="n">
        <x:v>268.506</x:v>
      </x:c>
      <x:c r="W6" s="24" t="n">
        <x:v>268.420014</x:v>
      </x:c>
      <x:c r="X6" t="str">
        <x:v>CLEAR WINNER</x:v>
      </x:c>
      <x:c r="Y6" s="24" t="n">
        <x:v>2.89304</x:v>
      </x:c>
      <x:c r="Z6" s="24" t="n">
        <x:v>1.85247</x:v>
      </x:c>
      <x:c r="AA6" s="24" t="n">
        <x:v>0.36066</x:v>
      </x:c>
      <x:c r="AB6" s="24" t="n">
        <x:v>3.45419</x:v>
      </x:c>
      <x:c r="AC6" s="24" t="n">
        <x:v>1.1166</x:v>
      </x:c>
      <x:c r="AD6" s="24" t="n">
        <x:v>1.22432</x:v>
      </x:c>
      <x:c r="AE6" s="24" t="n">
        <x:v>0.27503</x:v>
      </x:c>
      <x:c r="AF6" s="24" t="n">
        <x:v>1.6797</x:v>
      </x:c>
      <x:c r="AG6" s="24" t="n">
        <x:f>AF6/AB6</x:f>
        <x:v>0.48627898291640004</x:v>
      </x:c>
      <x:c r="AH6" t="str">
        <x:v>LOW CONF</x:v>
      </x:c>
      <x:c r="AI6" t="str">
        <x:v>VALID</x:v>
      </x:c>
      <x:c r="AJ6" t="n">
        <x:v>0.523</x:v>
      </x:c>
      <x:c r="AK6" t="n">
        <x:v>5.86</x:v>
      </x:c>
      <x:c r="AL6" t="n">
        <x:v>2</x:v>
      </x:c>
      <x:c r="AM6" s="32" t="n">
        <x:v>1599.44</x:v>
      </x:c>
      <x:c r="AN6" s="32" t="n">
        <x:v>32.01</x:v>
      </x:c>
      <x:c r="AO6" t="n">
        <x:v>1</x:v>
      </x:c>
      <x:c r="AP6" t="n">
        <x:v>0</x:v>
      </x:c>
      <x:c r="AQ6" t="n">
        <x:v>0</x:v>
      </x:c>
      <x:c r="AR6" t="n">
        <x:v>1</x:v>
      </x:c>
    </x:row>
    <x:row r="7" ht="15" hidden="0" customHeight="1">
      <x:c r="A7" t="n">
        <x:v>4</x:v>
      </x:c>
      <x:c r="B7" t="n">
        <x:v>240</x:v>
      </x:c>
      <x:c r="C7" t="n">
        <x:v>320</x:v>
      </x:c>
      <x:c r="D7" s="24" t="n">
        <x:v>268.234</x:v>
      </x:c>
      <x:c r="E7" s="24" t="n">
        <x:v>2.09805</x:v>
      </x:c>
      <x:c r="F7" s="24" t="n">
        <x:v>27.1</x:v>
      </x:c>
      <x:c r="G7" s="24" t="n">
        <x:v>268.189</x:v>
      </x:c>
      <x:c r="H7" s="24" t="n">
        <x:v>1.66158</x:v>
      </x:c>
      <x:c r="I7" s="24" t="n">
        <x:v>25</x:v>
      </x:c>
      <x:c r="J7" s="24" t="n">
        <x:v>268.105</x:v>
      </x:c>
      <x:c r="K7" s="24" t="n">
        <x:v>0.37301</x:v>
      </x:c>
      <x:c r="L7" s="24" t="n">
        <x:v>19.3</x:v>
      </x:c>
      <x:c r="M7" s="24" t="n">
        <x:v>268.195</x:v>
      </x:c>
      <x:c r="N7" s="24" t="n">
        <x:v>1.07883</x:v>
      </x:c>
      <x:c r="O7" s="24" t="n">
        <x:v>28.2</x:v>
      </x:c>
      <x:c r="P7" s="24" t="n">
        <x:v>268.186</x:v>
      </x:c>
      <x:c r="Q7" s="24" t="n">
        <x:v>0.8778</x:v>
      </x:c>
      <x:c r="R7" s="24" t="n">
        <x:v>27.8</x:v>
      </x:c>
      <x:c r="S7" s="24" t="n">
        <x:v>268.044</x:v>
      </x:c>
      <x:c r="T7" s="24" t="n">
        <x:v>0.10937</x:v>
      </x:c>
      <x:c r="U7" s="24" t="n">
        <x:v>11</x:v>
      </x:c>
      <x:c r="V7" s="24" t="n">
        <x:v>268.215</x:v>
      </x:c>
      <x:c r="W7" s="24" t="n">
        <x:v>267.762537</x:v>
      </x:c>
      <x:c r="X7" t="str">
        <x:v>CLEAR WINNER</x:v>
      </x:c>
      <x:c r="Y7" s="24" t="n">
        <x:v>2.2003</x:v>
      </x:c>
      <x:c r="Z7" s="24" t="n">
        <x:v>1.71633</x:v>
      </x:c>
      <x:c r="AA7" s="24" t="n">
        <x:v>0.46771</x:v>
      </x:c>
      <x:c r="AB7" s="24" t="n">
        <x:v>2.82946</x:v>
      </x:c>
      <x:c r="AC7" s="24" t="n">
        <x:v>1.09133</x:v>
      </x:c>
      <x:c r="AD7" s="24" t="n">
        <x:v>0.90178</x:v>
      </x:c>
      <x:c r="AE7" s="24" t="n">
        <x:v>0.13256</x:v>
      </x:c>
      <x:c r="AF7" s="24" t="n">
        <x:v>1.42189</x:v>
      </x:c>
      <x:c r="AG7" s="24" t="n">
        <x:f>AF7/AB7</x:f>
        <x:v>0.5025305181907502</x:v>
      </x:c>
      <x:c r="AH7" t="str">
        <x:v>VALID</x:v>
      </x:c>
      <x:c r="AI7" t="str">
        <x:v>LOW CONF</x:v>
      </x:c>
      <x:c r="AJ7" t="n">
        <x:v>0.501</x:v>
      </x:c>
      <x:c r="AK7" t="n">
        <x:v>8.86</x:v>
      </x:c>
      <x:c r="AL7" t="n">
        <x:v>2</x:v>
      </x:c>
      <x:c r="AM7" s="32" t="n">
        <x:v>1599.44</x:v>
      </x:c>
      <x:c r="AN7" s="32" t="n">
        <x:v>32.01</x:v>
      </x:c>
      <x:c r="AO7" t="n">
        <x:v>1</x:v>
      </x:c>
      <x:c r="AP7" t="n">
        <x:v>0</x:v>
      </x:c>
      <x:c r="AQ7" t="n">
        <x:v>0</x:v>
      </x:c>
      <x:c r="AR7" t="n">
        <x:v>1</x:v>
      </x:c>
    </x:row>
    <x:row r="8" ht="15" hidden="0" customHeight="1">
      <x:c r="A8" t="n">
        <x:v>5</x:v>
      </x:c>
      <x:c r="B8" t="n">
        <x:v>240</x:v>
      </x:c>
      <x:c r="C8" t="n">
        <x:v>320</x:v>
      </x:c>
      <x:c r="D8" s="24" t="n">
        <x:v>267.947</x:v>
      </x:c>
      <x:c r="E8" s="24" t="n">
        <x:v>1.3758</x:v>
      </x:c>
      <x:c r="F8" s="24" t="n">
        <x:v>21.3</x:v>
      </x:c>
      <x:c r="G8" s="24" t="n">
        <x:v>267.998</x:v>
      </x:c>
      <x:c r="H8" s="24" t="n">
        <x:v>1.70373</x:v>
      </x:c>
      <x:c r="I8" s="24" t="n">
        <x:v>24.4</x:v>
      </x:c>
      <x:c r="J8" s="24" t="n">
        <x:v>267.963</x:v>
      </x:c>
      <x:c r="K8" s="24" t="n">
        <x:v>0.6499</x:v>
      </x:c>
      <x:c r="L8" s="24" t="n">
        <x:v>21.3</x:v>
      </x:c>
      <x:c r="M8" s="24" t="n">
        <x:v>267.953</x:v>
      </x:c>
      <x:c r="N8" s="24" t="n">
        <x:v>0.90777</x:v>
      </x:c>
      <x:c r="O8" s="24" t="n">
        <x:v>26.1</x:v>
      </x:c>
      <x:c r="P8" s="24" t="n">
        <x:v>267.934</x:v>
      </x:c>
      <x:c r="Q8" s="24" t="n">
        <x:v>0.80278</x:v>
      </x:c>
      <x:c r="R8" s="24" t="n">
        <x:v>26</x:v>
      </x:c>
      <x:c r="S8" s="24" t="n">
        <x:v>268.136</x:v>
      </x:c>
      <x:c r="T8" s="24" t="n">
        <x:v>0.21646</x:v>
      </x:c>
      <x:c r="U8" s="24" t="n">
        <x:v>15.8</x:v>
      </x:c>
      <x:c r="V8" s="24" t="n">
        <x:v>267.976</x:v>
      </x:c>
      <x:c r="W8" s="24" t="n">
        <x:v>267.856392</x:v>
      </x:c>
      <x:c r="X8" t="str">
        <x:v>AMBIGUOUS</x:v>
      </x:c>
      <x:c r="Y8" s="24" t="n">
        <x:v>1.4851</x:v>
      </x:c>
      <x:c r="Z8" s="24" t="n">
        <x:v>1.83201</x:v>
      </x:c>
      <x:c r="AA8" s="24" t="n">
        <x:v>0.70801</x:v>
      </x:c>
      <x:c r="AB8" s="24" t="n">
        <x:v>2.46233</x:v>
      </x:c>
      <x:c r="AC8" s="24" t="n">
        <x:v>0.99088</x:v>
      </x:c>
      <x:c r="AD8" s="24" t="n">
        <x:v>0.87064</x:v>
      </x:c>
      <x:c r="AE8" s="24" t="n">
        <x:v>0.21863</x:v>
      </x:c>
      <x:c r="AF8" s="24" t="n">
        <x:v>1.33703</x:v>
      </x:c>
      <x:c r="AG8" s="24" t="n">
        <x:f>AF8/AB8</x:f>
        <x:v>0.5429938310462041</x:v>
      </x:c>
      <x:c r="AH8" t="str">
        <x:v>VALID</x:v>
      </x:c>
      <x:c r="AI8" t="str">
        <x:v>VALID</x:v>
      </x:c>
      <x:c r="AJ8" t="n">
        <x:v>0.375</x:v>
      </x:c>
      <x:c r="AK8" t="n">
        <x:v>7.58</x:v>
      </x:c>
      <x:c r="AL8" t="n">
        <x:v>2</x:v>
      </x:c>
      <x:c r="AM8" s="32" t="n">
        <x:v>1599.44</x:v>
      </x:c>
      <x:c r="AN8" s="32" t="n">
        <x:v>32.38</x:v>
      </x:c>
      <x:c r="AO8" t="n">
        <x:v>1</x:v>
      </x:c>
      <x:c r="AP8" t="n">
        <x:v>0</x:v>
      </x:c>
      <x:c r="AQ8" t="n">
        <x:v>0</x:v>
      </x:c>
      <x:c r="AR8" t="n">
        <x:v>1</x:v>
      </x:c>
    </x:row>
    <x:row r="9" ht="15" hidden="0" customHeight="1">
      <x:c r="A9" t="n">
        <x:v>6</x:v>
      </x:c>
      <x:c r="B9" t="n">
        <x:v>240</x:v>
      </x:c>
      <x:c r="C9" t="n">
        <x:v>320</x:v>
      </x:c>
      <x:c r="D9" s="24" t="n">
        <x:v>268.093</x:v>
      </x:c>
      <x:c r="E9" s="24" t="n">
        <x:v>1.42992</x:v>
      </x:c>
      <x:c r="F9" s="24" t="n">
        <x:v>22.5</x:v>
      </x:c>
      <x:c r="G9" s="24" t="n">
        <x:v>268.084</x:v>
      </x:c>
      <x:c r="H9" s="24" t="n">
        <x:v>1.69159</x:v>
      </x:c>
      <x:c r="I9" s="24" t="n">
        <x:v>25.5</x:v>
      </x:c>
      <x:c r="J9" s="24" t="n">
        <x:v>268.118</x:v>
      </x:c>
      <x:c r="K9" s="24" t="n">
        <x:v>0.59429</x:v>
      </x:c>
      <x:c r="L9" s="24" t="n">
        <x:v>22.9</x:v>
      </x:c>
      <x:c r="M9" s="24" t="n">
        <x:v>268.08</x:v>
      </x:c>
      <x:c r="N9" s="24" t="n">
        <x:v>1.01754</x:v>
      </x:c>
      <x:c r="O9" s="24" t="n">
        <x:v>27.2</x:v>
      </x:c>
      <x:c r="P9" s="24" t="n">
        <x:v>268.08</x:v>
      </x:c>
      <x:c r="Q9" s="24" t="n">
        <x:v>0.80889</x:v>
      </x:c>
      <x:c r="R9" s="24" t="n">
        <x:v>26.9</x:v>
      </x:c>
      <x:c r="S9" s="24" t="n">
        <x:v>268.356</x:v>
      </x:c>
      <x:c r="T9" s="24" t="n">
        <x:v>0.0686</x:v>
      </x:c>
      <x:c r="U9" s="24" t="n">
        <x:v>6.8</x:v>
      </x:c>
      <x:c r="V9" s="24" t="n">
        <x:v>268.09</x:v>
      </x:c>
      <x:c r="W9" s="24" t="n">
        <x:v>267.998481</x:v>
      </x:c>
      <x:c r="X9" t="str">
        <x:v>AMBIGUOUS</x:v>
      </x:c>
      <x:c r="Y9" s="24" t="n">
        <x:v>1.59268</x:v>
      </x:c>
      <x:c r="Z9" s="24" t="n">
        <x:v>1.80754</x:v>
      </x:c>
      <x:c r="AA9" s="24" t="n">
        <x:v>0.62033</x:v>
      </x:c>
      <x:c r="AB9" s="24" t="n">
        <x:v>2.4877</x:v>
      </x:c>
      <x:c r="AC9" s="24" t="n">
        <x:v>1.12485</x:v>
      </x:c>
      <x:c r="AD9" s="24" t="n">
        <x:v>0.89486</x:v>
      </x:c>
      <x:c r="AE9" s="24" t="n">
        <x:v>0.13414</x:v>
      </x:c>
      <x:c r="AF9" s="24" t="n">
        <x:v>1.44363</x:v>
      </x:c>
      <x:c r="AG9" s="24" t="n">
        <x:f>AF9/AB9</x:f>
        <x:v>0.5803071109860514</x:v>
      </x:c>
      <x:c r="AH9" t="str">
        <x:v>VALID</x:v>
      </x:c>
      <x:c r="AI9" t="str">
        <x:v>LOW CONF</x:v>
      </x:c>
      <x:c r="AJ9" t="n">
        <x:v>0.396</x:v>
      </x:c>
      <x:c r="AK9" t="n">
        <x:v>8.87</x:v>
      </x:c>
      <x:c r="AL9" t="n">
        <x:v>2</x:v>
      </x:c>
      <x:c r="AM9" s="32" t="n">
        <x:v>1599.44</x:v>
      </x:c>
      <x:c r="AN9" s="32" t="n">
        <x:v>32.01</x:v>
      </x:c>
      <x:c r="AO9" t="n">
        <x:v>1</x:v>
      </x:c>
      <x:c r="AP9" t="n">
        <x:v>0</x:v>
      </x:c>
      <x:c r="AQ9" t="n">
        <x:v>0</x:v>
      </x:c>
      <x:c r="AR9" t="n">
        <x:v>1</x:v>
      </x:c>
    </x:row>
    <x:row r="10" ht="15" hidden="0" customHeight="1">
      <x:c r="A10" t="n">
        <x:v>7</x:v>
      </x:c>
      <x:c r="B10" t="n">
        <x:v>240</x:v>
      </x:c>
      <x:c r="C10" t="n">
        <x:v>320</x:v>
      </x:c>
      <x:c r="D10" s="24" t="n">
        <x:v>271.667</x:v>
      </x:c>
      <x:c r="E10" s="24" t="n">
        <x:v>1.27147</x:v>
      </x:c>
      <x:c r="F10" s="24" t="n">
        <x:v>24.2</x:v>
      </x:c>
      <x:c r="G10" s="24" t="n">
        <x:v>271.681</x:v>
      </x:c>
      <x:c r="H10" s="24" t="n">
        <x:v>1.75791</x:v>
      </x:c>
      <x:c r="I10" s="24" t="n">
        <x:v>26.2</x:v>
      </x:c>
      <x:c r="J10" s="24" t="n">
        <x:v>271.719</x:v>
      </x:c>
      <x:c r="K10" s="24" t="n">
        <x:v>0.41418</x:v>
      </x:c>
      <x:c r="L10" s="24" t="n">
        <x:v>23.2</x:v>
      </x:c>
      <x:c r="M10" s="24" t="n">
        <x:v>271.674</x:v>
      </x:c>
      <x:c r="N10" s="24" t="n">
        <x:v>1.01294</x:v>
      </x:c>
      <x:c r="O10" s="24" t="n">
        <x:v>28.2</x:v>
      </x:c>
      <x:c r="P10" s="24" t="n">
        <x:v>271.651</x:v>
      </x:c>
      <x:c r="Q10" s="24" t="n">
        <x:v>0.80051</x:v>
      </x:c>
      <x:c r="R10" s="24" t="n">
        <x:v>29.1</x:v>
      </x:c>
      <x:c r="S10" s="24" t="n">
        <x:v>271.339</x:v>
      </x:c>
      <x:c r="T10" s="24" t="n">
        <x:v>0.04773</x:v>
      </x:c>
      <x:c r="U10" s="24" t="n">
        <x:v>4.3</x:v>
      </x:c>
      <x:c r="V10" s="24" t="n">
        <x:v>271.678</x:v>
      </x:c>
      <x:c r="W10" s="24" t="n">
        <x:v>272.099236</x:v>
      </x:c>
      <x:c r="X10" t="str">
        <x:v>AMBIGUOUS</x:v>
      </x:c>
      <x:c r="Y10" s="24" t="n">
        <x:v>1.25733</x:v>
      </x:c>
      <x:c r="Z10" s="24" t="n">
        <x:v>1.87428</x:v>
      </x:c>
      <x:c r="AA10" s="24" t="n">
        <x:v>0.46261</x:v>
      </x:c>
      <x:c r="AB10" s="24" t="n">
        <x:v>2.30387</x:v>
      </x:c>
      <x:c r="AC10" s="24" t="n">
        <x:v>1.03698</x:v>
      </x:c>
      <x:c r="AD10" s="24" t="n">
        <x:v>0.85878</x:v>
      </x:c>
      <x:c r="AE10" s="24" t="n">
        <x:v>0.07712</x:v>
      </x:c>
      <x:c r="AF10" s="24" t="n">
        <x:v>1.34862</x:v>
      </x:c>
      <x:c r="AG10" s="24" t="n">
        <x:f>AF10/AB10</x:f>
        <x:v>0.5853715704445129</x:v>
      </x:c>
      <x:c r="AH10" t="str">
        <x:v>VALID</x:v>
      </x:c>
      <x:c r="AI10" t="str">
        <x:v>LOW CONF</x:v>
      </x:c>
      <x:c r="AJ10" t="n">
        <x:v>0.376</x:v>
      </x:c>
      <x:c r="AK10" t="n">
        <x:v>6.51</x:v>
      </x:c>
      <x:c r="AL10" t="n">
        <x:v>2</x:v>
      </x:c>
      <x:c r="AM10" s="32" t="n">
        <x:v>1599.44</x:v>
      </x:c>
      <x:c r="AN10" s="32" t="n">
        <x:v>32.38</x:v>
      </x:c>
      <x:c r="AO10" t="n">
        <x:v>1</x:v>
      </x:c>
      <x:c r="AP10" t="n">
        <x:v>0</x:v>
      </x:c>
      <x:c r="AQ10" t="n">
        <x:v>0</x:v>
      </x:c>
      <x:c r="AR10" t="n">
        <x:v>1</x:v>
      </x:c>
    </x:row>
    <x:row r="11" ht="15" hidden="0" customHeight="1">
      <x:c r="A11" t="n">
        <x:v>8</x:v>
      </x:c>
      <x:c r="B11" t="n">
        <x:v>240</x:v>
      </x:c>
      <x:c r="C11" t="n">
        <x:v>320</x:v>
      </x:c>
      <x:c r="D11" s="24" t="n">
        <x:v>270.076</x:v>
      </x:c>
      <x:c r="E11" s="24" t="n">
        <x:v>1.86581</x:v>
      </x:c>
      <x:c r="F11" s="24" t="n">
        <x:v>24</x:v>
      </x:c>
      <x:c r="G11" s="24" t="n">
        <x:v>270.112</x:v>
      </x:c>
      <x:c r="H11" s="24" t="n">
        <x:v>1.61509</x:v>
      </x:c>
      <x:c r="I11" s="24" t="n">
        <x:v>25.1</x:v>
      </x:c>
      <x:c r="J11" s="24" t="n">
        <x:v>270.085</x:v>
      </x:c>
      <x:c r="K11" s="24" t="n">
        <x:v>0.29794</x:v>
      </x:c>
      <x:c r="L11" s="24" t="n">
        <x:v>17.1</x:v>
      </x:c>
      <x:c r="M11" s="24" t="n">
        <x:v>270.085</x:v>
      </x:c>
      <x:c r="N11" s="24" t="n">
        <x:v>1.00863</x:v>
      </x:c>
      <x:c r="O11" s="24" t="n">
        <x:v>28.2</x:v>
      </x:c>
      <x:c r="P11" s="24" t="n">
        <x:v>270.086</x:v>
      </x:c>
      <x:c r="Q11" s="24" t="n">
        <x:v>0.88388</x:v>
      </x:c>
      <x:c r="R11" s="24" t="n">
        <x:v>29.8</x:v>
      </x:c>
      <x:c r="S11" s="24" t="n">
        <x:v>269.996</x:v>
      </x:c>
      <x:c r="T11" s="24" t="n">
        <x:v>0.10555</x:v>
      </x:c>
      <x:c r="U11" s="24" t="n">
        <x:v>11.1</x:v>
      </x:c>
      <x:c r="V11" s="24" t="n">
        <x:v>270.092</x:v>
      </x:c>
      <x:c r="W11" s="24" t="n">
        <x:v>268.949478</x:v>
      </x:c>
      <x:c r="X11" t="str">
        <x:v>AMBIGUOUS</x:v>
      </x:c>
      <x:c r="Y11" s="24" t="n">
        <x:v>1.9653</x:v>
      </x:c>
      <x:c r="Z11" s="24" t="n">
        <x:v>1.77009</x:v>
      </x:c>
      <x:c r="AA11" s="24" t="n">
        <x:v>0.33265</x:v>
      </x:c>
      <x:c r="AB11" s="24" t="n">
        <x:v>2.66576</x:v>
      </x:c>
      <x:c r="AC11" s="24" t="n">
        <x:v>1.10909</x:v>
      </x:c>
      <x:c r="AD11" s="24" t="n">
        <x:v>0.94379</x:v>
      </x:c>
      <x:c r="AE11" s="24" t="n">
        <x:v>0.08241</x:v>
      </x:c>
      <x:c r="AF11" s="24" t="n">
        <x:v>1.45863</x:v>
      </x:c>
      <x:c r="AG11" s="24" t="n">
        <x:f>AF11/AB11</x:f>
        <x:v>0.5471722885781166</x:v>
      </x:c>
      <x:c r="AH11" t="str">
        <x:v>LOW CONF</x:v>
      </x:c>
      <x:c r="AI11" t="str">
        <x:v>LOW CONF</x:v>
      </x:c>
      <x:c r="AJ11" t="n">
        <x:v>0.436</x:v>
      </x:c>
      <x:c r="AK11" t="n">
        <x:v>12.2</x:v>
      </x:c>
      <x:c r="AL11" t="n">
        <x:v>2</x:v>
      </x:c>
      <x:c r="AM11" s="32" t="n">
        <x:v>1599.44</x:v>
      </x:c>
      <x:c r="AN11" s="32" t="n">
        <x:v>32.01</x:v>
      </x:c>
      <x:c r="AO11" t="n">
        <x:v>1</x:v>
      </x:c>
      <x:c r="AP11" t="n">
        <x:v>0</x:v>
      </x:c>
      <x:c r="AQ11" t="n">
        <x:v>0</x:v>
      </x:c>
      <x:c r="AR11" t="n">
        <x:v>1</x:v>
      </x:c>
    </x:row>
    <x:row r="12" ht="15" hidden="0" customHeight="1">
      <x:c r="A12" t="n">
        <x:v>9</x:v>
      </x:c>
      <x:c r="B12" t="n">
        <x:v>240</x:v>
      </x:c>
      <x:c r="C12" t="n">
        <x:v>320</x:v>
      </x:c>
      <x:c r="D12" s="24" t="n">
        <x:v>268.609</x:v>
      </x:c>
      <x:c r="E12" s="24" t="n">
        <x:v>2.16051</x:v>
      </x:c>
      <x:c r="F12" s="24" t="n">
        <x:v>28.3</x:v>
      </x:c>
      <x:c r="G12" s="24" t="n">
        <x:v>268.616</x:v>
      </x:c>
      <x:c r="H12" s="24" t="n">
        <x:v>1.77142</x:v>
      </x:c>
      <x:c r="I12" s="24" t="n">
        <x:v>25.4</x:v>
      </x:c>
      <x:c r="J12" s="24" t="n">
        <x:v>268.652</x:v>
      </x:c>
      <x:c r="K12" s="24" t="n">
        <x:v>0.22348</x:v>
      </x:c>
      <x:c r="L12" s="24" t="n">
        <x:v>15.7</x:v>
      </x:c>
      <x:c r="M12" s="24" t="n">
        <x:v>268.627</x:v>
      </x:c>
      <x:c r="N12" s="24" t="n">
        <x:v>1.16241</x:v>
      </x:c>
      <x:c r="O12" s="24" t="n">
        <x:v>28.8</x:v>
      </x:c>
      <x:c r="P12" s="24" t="n">
        <x:v>268.615</x:v>
      </x:c>
      <x:c r="Q12" s="24" t="n">
        <x:v>1.08498</x:v>
      </x:c>
      <x:c r="R12" s="24" t="n">
        <x:v>29.6</x:v>
      </x:c>
      <x:c r="S12" s="24" t="n">
        <x:v>268.707</x:v>
      </x:c>
      <x:c r="T12" s="24" t="n">
        <x:v>0.13124</x:v>
      </x:c>
      <x:c r="U12" s="24" t="n">
        <x:v>12.4</x:v>
      </x:c>
      <x:c r="V12" s="24" t="n">
        <x:v>268.612</x:v>
      </x:c>
      <x:c r="W12" s="24" t="n">
        <x:v>268.303309</x:v>
      </x:c>
      <x:c r="X12" t="str">
        <x:v>AMBIGUOUS</x:v>
      </x:c>
      <x:c r="Y12" s="24" t="n">
        <x:v>2.09697</x:v>
      </x:c>
      <x:c r="Z12" s="24" t="n">
        <x:v>1.83928</x:v>
      </x:c>
      <x:c r="AA12" s="24" t="n">
        <x:v>0.26513</x:v>
      </x:c>
      <x:c r="AB12" s="24" t="n">
        <x:v>2.80188</x:v>
      </x:c>
      <x:c r="AC12" s="24" t="n">
        <x:v>1.17229</x:v>
      </x:c>
      <x:c r="AD12" s="24" t="n">
        <x:v>1.06021</x:v>
      </x:c>
      <x:c r="AE12" s="24" t="n">
        <x:v>0.13146</x:v>
      </x:c>
      <x:c r="AF12" s="24" t="n">
        <x:v>1.58606</x:v>
      </x:c>
      <x:c r="AG12" s="24" t="n">
        <x:f>AF12/AB12</x:f>
        <x:v>0.5660699244792782</x:v>
      </x:c>
      <x:c r="AH12" t="str">
        <x:v>LOW CONF</x:v>
      </x:c>
      <x:c r="AI12" t="str">
        <x:v>VALID</x:v>
      </x:c>
      <x:c r="AJ12" t="n">
        <x:v>0.487</x:v>
      </x:c>
      <x:c r="AK12" t="n">
        <x:v>4.26</x:v>
      </x:c>
      <x:c r="AL12" t="n">
        <x:v>2</x:v>
      </x:c>
      <x:c r="AM12" s="32" t="n">
        <x:v>1599.44</x:v>
      </x:c>
      <x:c r="AN12" s="32" t="n">
        <x:v>32.01</x:v>
      </x:c>
      <x:c r="AO12" t="n">
        <x:v>1</x:v>
      </x:c>
      <x:c r="AP12" t="n">
        <x:v>0</x:v>
      </x:c>
      <x:c r="AQ12" t="n">
        <x:v>0</x:v>
      </x:c>
      <x:c r="AR12" t="n">
        <x:v>1</x:v>
      </x:c>
    </x:row>
    <x:row r="13" ht="15" hidden="0" customHeight="1">
      <x:c r="A13" t="n">
        <x:v>10</x:v>
      </x:c>
      <x:c r="B13" t="n">
        <x:v>240</x:v>
      </x:c>
      <x:c r="C13" t="n">
        <x:v>320</x:v>
      </x:c>
      <x:c r="D13" s="24" t="n">
        <x:v>268.665</x:v>
      </x:c>
      <x:c r="E13" s="24" t="n">
        <x:v>2.10929</x:v>
      </x:c>
      <x:c r="F13" s="24" t="n">
        <x:v>28</x:v>
      </x:c>
      <x:c r="G13" s="24" t="n">
        <x:v>268.656</x:v>
      </x:c>
      <x:c r="H13" s="24" t="n">
        <x:v>1.78478</x:v>
      </x:c>
      <x:c r="I13" s="24" t="n">
        <x:v>25.1</x:v>
      </x:c>
      <x:c r="J13" s="24" t="n">
        <x:v>268.652</x:v>
      </x:c>
      <x:c r="K13" s="24" t="n">
        <x:v>0.41473</x:v>
      </x:c>
      <x:c r="L13" s="24" t="n">
        <x:v>18.8</x:v>
      </x:c>
      <x:c r="M13" s="24" t="n">
        <x:v>268.663</x:v>
      </x:c>
      <x:c r="N13" s="24" t="n">
        <x:v>1.12097</x:v>
      </x:c>
      <x:c r="O13" s="24" t="n">
        <x:v>28.4</x:v>
      </x:c>
      <x:c r="P13" s="24" t="n">
        <x:v>268.635</x:v>
      </x:c>
      <x:c r="Q13" s="24" t="n">
        <x:v>1.02807</x:v>
      </x:c>
      <x:c r="R13" s="24" t="n">
        <x:v>29.9</x:v>
      </x:c>
      <x:c r="S13" s="24" t="n">
        <x:v>268.53</x:v>
      </x:c>
      <x:c r="T13" s="24" t="n">
        <x:v>0.13591</x:v>
      </x:c>
      <x:c r="U13" s="24" t="n">
        <x:v>12.4</x:v>
      </x:c>
      <x:c r="V13" s="24" t="n">
        <x:v>268.661</x:v>
      </x:c>
      <x:c r="W13" s="24" t="n">
        <x:v>268.385049</x:v>
      </x:c>
      <x:c r="X13" t="str">
        <x:v>AMBIGUOUS</x:v>
      </x:c>
      <x:c r="Y13" s="24" t="n">
        <x:v>2.1106</x:v>
      </x:c>
      <x:c r="Z13" s="24" t="n">
        <x:v>1.8417</x:v>
      </x:c>
      <x:c r="AA13" s="24" t="n">
        <x:v>0.43368</x:v>
      </x:c>
      <x:c r="AB13" s="24" t="n">
        <x:v>2.83453</x:v>
      </x:c>
      <x:c r="AC13" s="24" t="n">
        <x:v>1.14221</x:v>
      </x:c>
      <x:c r="AD13" s="24" t="n">
        <x:v>1.01323</x:v>
      </x:c>
      <x:c r="AE13" s="24" t="n">
        <x:v>0.14499</x:v>
      </x:c>
      <x:c r="AF13" s="24" t="n">
        <x:v>1.53373</x:v>
      </x:c>
      <x:c r="AG13" s="24" t="n">
        <x:f>AF13/AB13</x:f>
        <x:v>0.5410879405051279</x:v>
      </x:c>
      <x:c r="AH13" t="str">
        <x:v>LOW CONF</x:v>
      </x:c>
      <x:c r="AI13" t="str">
        <x:v>LOW CONF</x:v>
      </x:c>
      <x:c r="AJ13" t="n">
        <x:v>0.467</x:v>
      </x:c>
      <x:c r="AK13" t="n">
        <x:v>4.75</x:v>
      </x:c>
      <x:c r="AL13" t="n">
        <x:v>2</x:v>
      </x:c>
      <x:c r="AM13" s="32" t="n">
        <x:v>1599.44</x:v>
      </x:c>
      <x:c r="AN13" s="32" t="n">
        <x:v>32.01</x:v>
      </x:c>
      <x:c r="AO13" t="n">
        <x:v>1</x:v>
      </x:c>
      <x:c r="AP13" t="n">
        <x:v>0</x:v>
      </x:c>
      <x:c r="AQ13" t="n">
        <x:v>0</x:v>
      </x:c>
      <x:c r="AR13" t="n">
        <x:v>1</x:v>
      </x:c>
    </x:row>
    <x:row r="14" ht="15" hidden="0" customHeight="1">
      <x:c r="A14" t="n">
        <x:v>11</x:v>
      </x:c>
      <x:c r="B14" t="n">
        <x:v>240</x:v>
      </x:c>
      <x:c r="C14" t="n">
        <x:v>320</x:v>
      </x:c>
      <x:c r="D14" s="24" t="n">
        <x:v>268.291</x:v>
      </x:c>
      <x:c r="E14" s="24" t="n">
        <x:v>2.0713</x:v>
      </x:c>
      <x:c r="F14" s="24" t="n">
        <x:v>25.7</x:v>
      </x:c>
      <x:c r="G14" s="24" t="n">
        <x:v>268.265</x:v>
      </x:c>
      <x:c r="H14" s="24" t="n">
        <x:v>1.69024</x:v>
      </x:c>
      <x:c r="I14" s="24" t="n">
        <x:v>24.6</x:v>
      </x:c>
      <x:c r="J14" s="24" t="n">
        <x:v>268.346</x:v>
      </x:c>
      <x:c r="K14" s="24" t="n">
        <x:v>0.42349</x:v>
      </x:c>
      <x:c r="L14" s="24" t="n">
        <x:v>17.3</x:v>
      </x:c>
      <x:c r="M14" s="24" t="n">
        <x:v>268.279</x:v>
      </x:c>
      <x:c r="N14" s="24" t="n">
        <x:v>1.07644</x:v>
      </x:c>
      <x:c r="O14" s="24" t="n">
        <x:v>27.7</x:v>
      </x:c>
      <x:c r="P14" s="24" t="n">
        <x:v>268.306</x:v>
      </x:c>
      <x:c r="Q14" s="24" t="n">
        <x:v>0.93802</x:v>
      </x:c>
      <x:c r="R14" s="24" t="n">
        <x:v>28.7</x:v>
      </x:c>
      <x:c r="S14" s="24" t="n">
        <x:v>268.461</x:v>
      </x:c>
      <x:c r="T14" s="24" t="n">
        <x:v>0.13146</x:v>
      </x:c>
      <x:c r="U14" s="24" t="n">
        <x:v>13</x:v>
      </x:c>
      <x:c r="V14" s="24" t="n">
        <x:v>268.282</x:v>
      </x:c>
      <x:c r="W14" s="24" t="n">
        <x:v>268.488995</x:v>
      </x:c>
      <x:c r="X14" t="str">
        <x:v>AMBIGUOUS</x:v>
      </x:c>
      <x:c r="Y14" s="24" t="n">
        <x:v>2.15476</x:v>
      </x:c>
      <x:c r="Z14" s="24" t="n">
        <x:v>1.76674</x:v>
      </x:c>
      <x:c r="AA14" s="24" t="n">
        <x:v>0.45281</x:v>
      </x:c>
      <x:c r="AB14" s="24" t="n">
        <x:v>2.82301</x:v>
      </x:c>
      <x:c r="AC14" s="24" t="n">
        <x:v>1.15673</x:v>
      </x:c>
      <x:c r="AD14" s="24" t="n">
        <x:v>0.98055</x:v>
      </x:c>
      <x:c r="AE14" s="24" t="n">
        <x:v>0.14023</x:v>
      </x:c>
      <x:c r="AF14" s="24" t="n">
        <x:v>1.52288</x:v>
      </x:c>
      <x:c r="AG14" s="24" t="n">
        <x:f>AF14/AB14</x:f>
        <x:v>0.5394525701290467</x:v>
      </x:c>
      <x:c r="AH14" t="str">
        <x:v>LOW CONF</x:v>
      </x:c>
      <x:c r="AI14" t="str">
        <x:v>VALID</x:v>
      </x:c>
      <x:c r="AJ14" t="n">
        <x:v>0.414</x:v>
      </x:c>
      <x:c r="AK14" t="n">
        <x:v>4.19</x:v>
      </x:c>
      <x:c r="AL14" t="n">
        <x:v>2</x:v>
      </x:c>
      <x:c r="AM14" s="32" t="n">
        <x:v>1599.44</x:v>
      </x:c>
      <x:c r="AN14" s="32" t="n">
        <x:v>32.01</x:v>
      </x:c>
      <x:c r="AO14" t="n">
        <x:v>1</x:v>
      </x:c>
      <x:c r="AP14" t="n">
        <x:v>0</x:v>
      </x:c>
      <x:c r="AQ14" t="n">
        <x:v>0</x:v>
      </x:c>
      <x:c r="AR14" t="n">
        <x:v>1</x:v>
      </x:c>
    </x:row>
    <x:row r="15" ht="15" hidden="0" customHeight="1">
      <x:c r="A15" t="n">
        <x:v>12</x:v>
      </x:c>
      <x:c r="B15" t="n">
        <x:v>240</x:v>
      </x:c>
      <x:c r="C15" t="n">
        <x:v>320</x:v>
      </x:c>
      <x:c r="D15" s="24" t="n">
        <x:v>268.47</x:v>
      </x:c>
      <x:c r="E15" s="24" t="n">
        <x:v>1.92551</x:v>
      </x:c>
      <x:c r="F15" s="24" t="n">
        <x:v>25.9</x:v>
      </x:c>
      <x:c r="G15" s="24" t="n">
        <x:v>268.439</x:v>
      </x:c>
      <x:c r="H15" s="24" t="n">
        <x:v>1.67881</x:v>
      </x:c>
      <x:c r="I15" s="24" t="n">
        <x:v>25.1</x:v>
      </x:c>
      <x:c r="J15" s="24" t="n">
        <x:v>268.393</x:v>
      </x:c>
      <x:c r="K15" s="24" t="n">
        <x:v>0.27076</x:v>
      </x:c>
      <x:c r="L15" s="24" t="n">
        <x:v>19</x:v>
      </x:c>
      <x:c r="M15" s="24" t="n">
        <x:v>268.446</x:v>
      </x:c>
      <x:c r="N15" s="24" t="n">
        <x:v>1.15649</x:v>
      </x:c>
      <x:c r="O15" s="24" t="n">
        <x:v>27.6</x:v>
      </x:c>
      <x:c r="P15" s="24" t="n">
        <x:v>268.442</x:v>
      </x:c>
      <x:c r="Q15" s="24" t="n">
        <x:v>1.0211</x:v>
      </x:c>
      <x:c r="R15" s="24" t="n">
        <x:v>29</x:v>
      </x:c>
      <x:c r="S15" s="24" t="n">
        <x:v>268.582</x:v>
      </x:c>
      <x:c r="T15" s="24" t="n">
        <x:v>0.12435</x:v>
      </x:c>
      <x:c r="U15" s="24" t="n">
        <x:v>9.9</x:v>
      </x:c>
      <x:c r="V15" s="24" t="n">
        <x:v>268.456</x:v>
      </x:c>
      <x:c r="W15" s="24" t="n">
        <x:v>268.421268</x:v>
      </x:c>
      <x:c r="X15" t="str">
        <x:v>AMBIGUOUS</x:v>
      </x:c>
      <x:c r="Y15" s="24" t="n">
        <x:v>2.10764</x:v>
      </x:c>
      <x:c r="Z15" s="24" t="n">
        <x:v>1.73346</x:v>
      </x:c>
      <x:c r="AA15" s="24" t="n">
        <x:v>0.29613</x:v>
      </x:c>
      <x:c r="AB15" s="24" t="n">
        <x:v>2.74495</x:v>
      </x:c>
      <x:c r="AC15" s="24" t="n">
        <x:v>1.18318</x:v>
      </x:c>
      <x:c r="AD15" s="24" t="n">
        <x:v>1.04364</x:v>
      </x:c>
      <x:c r="AE15" s="24" t="n">
        <x:v>0.0974</x:v>
      </x:c>
      <x:c r="AF15" s="24" t="n">
        <x:v>1.58069</x:v>
      </x:c>
      <x:c r="AG15" s="24" t="n">
        <x:f>AF15/AB15</x:f>
        <x:v>0.5758538406892658</x:v>
      </x:c>
      <x:c r="AH15" t="str">
        <x:v>LOW CONF</x:v>
      </x:c>
      <x:c r="AI15" t="str">
        <x:v>LOW CONF</x:v>
      </x:c>
      <x:c r="AJ15" t="n">
        <x:v>0.478</x:v>
      </x:c>
      <x:c r="AK15" t="n">
        <x:v>7.08</x:v>
      </x:c>
      <x:c r="AL15" t="n">
        <x:v>2</x:v>
      </x:c>
      <x:c r="AM15" s="32" t="n">
        <x:v>1599.44</x:v>
      </x:c>
      <x:c r="AN15" s="32" t="n">
        <x:v>32.51</x:v>
      </x:c>
      <x:c r="AO15" t="n">
        <x:v>1</x:v>
      </x:c>
      <x:c r="AP15" t="n">
        <x:v>0</x:v>
      </x:c>
      <x:c r="AQ15" t="n">
        <x:v>0</x:v>
      </x:c>
      <x:c r="AR15" t="n">
        <x:v>1</x:v>
      </x:c>
    </x:row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AN1"/>
  </x:mergeCells>
  <x:conditionalFormatting sqref="AG4:AG15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.880001068115234" hidden="0" customWidth="1"/>
    <x:col min="2" max="2" width="11.130000114440918" hidden="0" customWidth="1"/>
    <x:col min="3" max="3" width="10.5" hidden="0" customWidth="1"/>
    <x:col min="4" max="4" width="18" hidden="0" customWidth="1"/>
    <x:col min="5" max="5" width="19" hidden="0" customWidth="1"/>
    <x:col min="6" max="6" width="19.8799991607666" hidden="0" customWidth="1"/>
    <x:col min="7" max="7" width="13.25" hidden="0" customWidth="1"/>
    <x:col min="8" max="8" width="6.380000114440918" hidden="0" customWidth="1"/>
    <x:col min="10" max="10" width="13.380000114440918" hidden="0" customWidth="1"/>
    <x:col min="11" max="11" width="62.380001068115234" hidden="0" customWidth="1"/>
  </x:cols>
  <x:sheetData>
    <x:row r="1" ht="18" hidden="0" customHeight="1">
      <x:c r="A1" s="5" t="str">
        <x:v>M6 — Tool Frequency Repeatability / Control-Family Tracking</x:v>
      </x:c>
    </x:row>
    <x:row r="2"/>
    <x:row r="3" ht="15" hidden="0" customHeight="1">
      <x:c r="A3" s="13" t="str">
        <x:v>Run</x:v>
      </x:c>
      <x:c r="B3" s="13" t="str">
        <x:v>Locked f0 (Hz)</x:v>
      </x:c>
      <x:c r="C3" s="13" t="str">
        <x:v>FFT seed (Hz)</x:v>
      </x:c>
      <x:c r="D3" s="13" t="str">
        <x:v>Correction f0-seed (Hz)</x:v>
      </x:c>
      <x:c r="E3" s="13" t="str">
        <x:v>Tool XYZ FFT spread (Hz)</x:v>
      </x:c>
      <x:c r="F3" s="13" t="str">
        <x:v>Hand XYZ FFT spread (Hz)</x:v>
      </x:c>
      <x:c r="G3" s="13" t="str">
        <x:v>Auto Confidence</x:v>
      </x:c>
      <x:c r="H3" s="13" t="str">
        <x:v>M6 Use</x:v>
      </x:c>
      <x:c r="J3" s="13" t="str">
        <x:v>Statistic</x:v>
      </x:c>
      <x:c r="K3" s="13" t="str">
        <x:v>Value</x:v>
      </x:c>
    </x:row>
    <x:row r="4" ht="15" hidden="0" customHeight="1">
      <x:c r="B4"/>
      <x:c r="J4" t="str">
        <x:v>N</x:v>
      </x:c>
      <x:c r="K4" t="n">
        <x:f>COUNT(B5:B16)</x:f>
        <x:v>12</x:v>
      </x:c>
    </x:row>
    <x:row r="5" ht="15" hidden="0" customHeight="1">
      <x:c r="A5" t="n">
        <x:v>1</x:v>
      </x:c>
      <x:c r="B5" s="24" t="n">
        <x:v>267.49535</x:v>
      </x:c>
      <x:c r="C5" s="24" t="n">
        <x:v>267.62</x:v>
      </x:c>
      <x:c r="D5" s="24" t="n">
        <x:v>-0.12465000000003101</x:v>
      </x:c>
      <x:c r="E5" s="24" t="n">
        <x:v>0.15399999999999636</x:v>
      </x:c>
      <x:c r="F5" s="24" t="n">
        <x:v>0.05400000000003047</x:v>
      </x:c>
      <x:c r="G5" t="str">
        <x:v>CLEAR WINNER</x:v>
      </x:c>
      <x:c r="H5" t="str">
        <x:v>VALID</x:v>
      </x:c>
      <x:c r="J5" t="str">
        <x:v>Mean f0 (Hz)</x:v>
      </x:c>
      <x:c r="K5" s="24" t="n">
        <x:f>AVERAGE(B5:B16)</x:f>
        <x:v>268.5446790833334</x:v>
      </x:c>
    </x:row>
    <x:row r="6" ht="15" hidden="0" customHeight="1">
      <x:c r="A6" t="n">
        <x:v>2</x:v>
      </x:c>
      <x:c r="B6" s="24" t="n">
        <x:v>268.35604</x:v>
      </x:c>
      <x:c r="C6" s="24" t="n">
        <x:v>268.254</x:v>
      </x:c>
      <x:c r="D6" s="24" t="n">
        <x:v>0.10203999999998814</x:v>
      </x:c>
      <x:c r="E6" s="24" t="n">
        <x:v>0.08400000000000318</x:v>
      </x:c>
      <x:c r="F6" s="24" t="n">
        <x:v>0.045000000000015916</x:v>
      </x:c>
      <x:c r="G6" t="str">
        <x:v>CLEAR WINNER</x:v>
      </x:c>
      <x:c r="H6" t="str">
        <x:v>VALID</x:v>
      </x:c>
      <x:c r="J6" t="str">
        <x:v>SD f0 (Hz)</x:v>
      </x:c>
      <x:c r="K6" s="24" t="n">
        <x:f>STDEV.S(B5:B16)</x:f>
        <x:v>1.1846305383287241</x:v>
      </x:c>
    </x:row>
    <x:row r="7" ht="15" hidden="0" customHeight="1">
      <x:c r="A7" t="n">
        <x:v>3</x:v>
      </x:c>
      <x:c r="B7" s="24" t="n">
        <x:v>268.420014</x:v>
      </x:c>
      <x:c r="C7" s="24" t="n">
        <x:v>268.506</x:v>
      </x:c>
      <x:c r="D7" s="24" t="n">
        <x:v>-0.08598599999999124</x:v>
      </x:c>
      <x:c r="E7" s="24" t="n">
        <x:v>0.03300000000001546</x:v>
      </x:c>
      <x:c r="F7" s="24" t="n">
        <x:v>0.020999999999958163</x:v>
      </x:c>
      <x:c r="G7" t="str">
        <x:v>CLEAR WINNER</x:v>
      </x:c>
      <x:c r="H7" t="str">
        <x:v>VALID</x:v>
      </x:c>
      <x:c r="J7" t="str">
        <x:v>Median f0 (Hz)</x:v>
      </x:c>
      <x:c r="K7" s="24" t="n">
        <x:f>MEDIAN(B5:B16)</x:f>
        <x:v>268.3705445</x:v>
      </x:c>
    </x:row>
    <x:row r="8" ht="15" hidden="0" customHeight="1">
      <x:c r="A8" t="n">
        <x:v>4</x:v>
      </x:c>
      <x:c r="B8" s="24" t="n">
        <x:v>267.762537</x:v>
      </x:c>
      <x:c r="C8" s="24" t="n">
        <x:v>268.215</x:v>
      </x:c>
      <x:c r="D8" s="24" t="n">
        <x:v>-0.4524629999999661</x:v>
      </x:c>
      <x:c r="E8" s="24" t="n">
        <x:v>0.12899999999996226</x:v>
      </x:c>
      <x:c r="F8" s="24" t="n">
        <x:v>0.15100000000001046</x:v>
      </x:c>
      <x:c r="G8" t="str">
        <x:v>CLEAR WINNER</x:v>
      </x:c>
      <x:c r="H8" t="str">
        <x:v>VALID</x:v>
      </x:c>
      <x:c r="J8" t="str">
        <x:v>Minimum f0 (Hz)</x:v>
      </x:c>
      <x:c r="K8" s="24" t="n">
        <x:f>MIN(B5:B16)</x:f>
        <x:v>267.49535</x:v>
      </x:c>
    </x:row>
    <x:row r="9" ht="15" hidden="0" customHeight="1">
      <x:c r="A9" t="n">
        <x:v>5</x:v>
      </x:c>
      <x:c r="B9" s="24" t="n">
        <x:v>267.856392</x:v>
      </x:c>
      <x:c r="C9" s="24" t="n">
        <x:v>267.976</x:v>
      </x:c>
      <x:c r="D9" s="24" t="n">
        <x:v>-0.11960799999997107</x:v>
      </x:c>
      <x:c r="E9" s="24" t="n">
        <x:v>0.05099999999998772</x:v>
      </x:c>
      <x:c r="F9" s="24" t="n">
        <x:v>0.20199999999999818</x:v>
      </x:c>
      <x:c r="G9" t="str">
        <x:v>AMBIGUOUS</x:v>
      </x:c>
      <x:c r="H9" t="str">
        <x:v>VALID</x:v>
      </x:c>
      <x:c r="J9" t="str">
        <x:v>Maximum f0 (Hz)</x:v>
      </x:c>
      <x:c r="K9" s="24" t="n">
        <x:f>MAX(B5:B16)</x:f>
        <x:v>272.099236</x:v>
      </x:c>
    </x:row>
    <x:row r="10" ht="15" hidden="0" customHeight="1">
      <x:c r="A10" t="n">
        <x:v>6</x:v>
      </x:c>
      <x:c r="B10" s="24" t="n">
        <x:v>267.998481</x:v>
      </x:c>
      <x:c r="C10" s="24" t="n">
        <x:v>268.09</x:v>
      </x:c>
      <x:c r="D10" s="24" t="n">
        <x:v>-0.09151899999994839</x:v>
      </x:c>
      <x:c r="E10" s="24" t="n">
        <x:v>0.033999999999991815</x:v>
      </x:c>
      <x:c r="F10" s="24" t="n">
        <x:v>0.27600000000001046</x:v>
      </x:c>
      <x:c r="G10" t="str">
        <x:v>AMBIGUOUS</x:v>
      </x:c>
      <x:c r="H10" t="str">
        <x:v>VALID</x:v>
      </x:c>
      <x:c r="J10" t="str">
        <x:v>Range (Hz)</x:v>
      </x:c>
      <x:c r="K10" s="24" t="n">
        <x:f>K9-K8</x:f>
        <x:v>4.603886000000045</x:v>
      </x:c>
    </x:row>
    <x:row r="11" ht="15" hidden="0" customHeight="1">
      <x:c r="A11" t="n">
        <x:v>7</x:v>
      </x:c>
      <x:c r="B11" s="24" t="n">
        <x:v>272.099236</x:v>
      </x:c>
      <x:c r="C11" s="24" t="n">
        <x:v>271.678</x:v>
      </x:c>
      <x:c r="D11" s="24" t="n">
        <x:v>0.4212360000000217</x:v>
      </x:c>
      <x:c r="E11" s="24" t="n">
        <x:v>0.05200000000002092</x:v>
      </x:c>
      <x:c r="F11" s="24" t="n">
        <x:v>0.33499999999997954</x:v>
      </x:c>
      <x:c r="G11" t="str">
        <x:v>AMBIGUOUS</x:v>
      </x:c>
      <x:c r="H11" t="str">
        <x:v>VALID</x:v>
      </x:c>
      <x:c r="J11" t="str">
        <x:v>CV (%)</x:v>
      </x:c>
      <x:c r="K11" s="24" t="n">
        <x:f>K6/K5*100</x:f>
        <x:v>0.441129774893479</x:v>
      </x:c>
    </x:row>
    <x:row r="12" ht="15" hidden="0" customHeight="1">
      <x:c r="A12" t="n">
        <x:v>8</x:v>
      </x:c>
      <x:c r="B12" s="24" t="n">
        <x:v>268.949478</x:v>
      </x:c>
      <x:c r="C12" s="24" t="n">
        <x:v>270.092</x:v>
      </x:c>
      <x:c r="D12" s="24" t="n">
        <x:v>-1.1425219999999854</x:v>
      </x:c>
      <x:c r="E12" s="24" t="n">
        <x:v>0.036000000000001364</x:v>
      </x:c>
      <x:c r="F12" s="24" t="n">
        <x:v>0.09000000000003183</x:v>
      </x:c>
      <x:c r="G12" t="str">
        <x:v>AMBIGUOUS</x:v>
      </x:c>
      <x:c r="H12" t="str">
        <x:v>VALID</x:v>
      </x:c>
      <x:c r="J12" t="str">
        <x:v>Interpretation</x:v>
      </x:c>
      <x:c r="K12" s="21" t="str">
        <x:v>Frequency family is repeatable but not fixed; controller should track f0 dynamically.</x:v>
      </x:c>
    </x:row>
    <x:row r="13" ht="15" hidden="0" customHeight="1">
      <x:c r="A13" t="n">
        <x:v>9</x:v>
      </x:c>
      <x:c r="B13" s="24" t="n">
        <x:v>268.303309</x:v>
      </x:c>
      <x:c r="C13" s="24" t="n">
        <x:v>268.612</x:v>
      </x:c>
      <x:c r="D13" s="24" t="n">
        <x:v>-0.30869100000001026</x:v>
      </x:c>
      <x:c r="E13" s="24" t="n">
        <x:v>0.043000000000006366</x:v>
      </x:c>
      <x:c r="F13" s="24" t="n">
        <x:v>0.09199999999998454</x:v>
      </x:c>
      <x:c r="G13" t="str">
        <x:v>AMBIGUOUS</x:v>
      </x:c>
      <x:c r="H13" t="str">
        <x:v>VALID</x:v>
      </x:c>
    </x:row>
    <x:row r="14" ht="15" hidden="0" customHeight="1">
      <x:c r="A14" t="n">
        <x:v>10</x:v>
      </x:c>
      <x:c r="B14" s="24" t="n">
        <x:v>268.385049</x:v>
      </x:c>
      <x:c r="C14" s="24" t="n">
        <x:v>268.661</x:v>
      </x:c>
      <x:c r="D14" s="24" t="n">
        <x:v>-0.2759510000000205</x:v>
      </x:c>
      <x:c r="E14" s="24" t="n">
        <x:v>0.013000000000033651</x:v>
      </x:c>
      <x:c r="F14" s="24" t="n">
        <x:v>0.1330000000000382</x:v>
      </x:c>
      <x:c r="G14" t="str">
        <x:v>AMBIGUOUS</x:v>
      </x:c>
      <x:c r="H14" t="str">
        <x:v>VALID</x:v>
      </x:c>
    </x:row>
    <x:row r="15" ht="15" hidden="0" customHeight="1">
      <x:c r="A15" t="n">
        <x:v>11</x:v>
      </x:c>
      <x:c r="B15" s="24" t="n">
        <x:v>268.488995</x:v>
      </x:c>
      <x:c r="C15" s="24" t="n">
        <x:v>268.282</x:v>
      </x:c>
      <x:c r="D15" s="24" t="n">
        <x:v>0.20699500000000626</x:v>
      </x:c>
      <x:c r="E15" s="24" t="n">
        <x:v>0.08100000000001728</x:v>
      </x:c>
      <x:c r="F15" s="24" t="n">
        <x:v>0.18200000000001637</x:v>
      </x:c>
      <x:c r="G15" t="str">
        <x:v>AMBIGUOUS</x:v>
      </x:c>
      <x:c r="H15" t="str">
        <x:v>VALID</x:v>
      </x:c>
    </x:row>
    <x:row r="16" ht="15" hidden="0" customHeight="1">
      <x:c r="A16" t="n">
        <x:v>12</x:v>
      </x:c>
      <x:c r="B16" s="24" t="n">
        <x:v>268.421268</x:v>
      </x:c>
      <x:c r="C16" s="24" t="n">
        <x:v>268.456</x:v>
      </x:c>
      <x:c r="D16" s="24" t="n">
        <x:v>-0.034732000000019525</x:v>
      </x:c>
      <x:c r="E16" s="24" t="n">
        <x:v>0.07700000000005502</x:v>
      </x:c>
      <x:c r="F16" s="24" t="n">
        <x:v>0.13999999999998636</x:v>
      </x:c>
      <x:c r="G16" t="str">
        <x:v>AMBIGUOUS</x:v>
      </x:c>
      <x:c r="H16" t="str">
        <x:v>VALID</x:v>
      </x:c>
    </x:row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H1"/>
  </x:mergeCells>
  <x:pageMargins left="0.7" right="0.7" top="0.75" bottom="0.75" header="0.3" footer="0.3"/>
  <x:drawing xmlns:r="http://schemas.openxmlformats.org/officeDocument/2006/relationships" r:id="R6916d0f83fe345ee"/>
</x:worksheet>
</file>

<file path=xl/worksheets/sheet4.xml><?xml version="1.0" encoding="utf-8"?>
<x:worksheet xmlns:x="http://schemas.openxmlformats.org/spreadsheetml/2006/main">
  <x:sheetFormatPr defaultRowHeight="15"/>
  <x:cols>
    <x:col min="1" max="1" width="50.880001068115234" hidden="0" customWidth="1"/>
    <x:col min="2" max="2" width="6.630000114440918" hidden="0" customWidth="1"/>
    <x:col min="3" max="3" width="8.75" hidden="0" customWidth="1"/>
    <x:col min="4" max="4" width="8.630000114440918" hidden="0" customWidth="1"/>
    <x:col min="5" max="5" width="8.630000114440918" hidden="0" customWidth="1"/>
    <x:col min="6" max="6" width="14.880000114440918" hidden="0" customWidth="1"/>
    <x:col min="7" max="7" width="9.630000114440918" hidden="0" customWidth="1"/>
    <x:col min="8" max="8" width="9.5" hidden="0" customWidth="1"/>
    <x:col min="9" max="9" width="9.5" hidden="0" customWidth="1"/>
    <x:col min="10" max="10" width="15.75" hidden="0" customWidth="1"/>
    <x:col min="11" max="11" width="5.630000114440918" hidden="0" customWidth="1"/>
    <x:col min="12" max="12" width="5.630000114440918" hidden="0" customWidth="1"/>
    <x:col min="13" max="13" width="15.380000114440918" hidden="0" customWidth="1"/>
    <x:col min="14" max="14" width="42" hidden="0" customWidth="1"/>
    <x:col min="16" max="16" width="19.25" hidden="0" customWidth="1"/>
    <x:col min="17" max="17" width="78.75" hidden="0" customWidth="1"/>
  </x:cols>
  <x:sheetData>
    <x:row r="1" ht="18" hidden="0" customHeight="1">
      <x:c r="A1" s="5" t="str">
        <x:v>M8 — Tool/Hand Baseline at the Same Locked f0</x:v>
      </x:c>
    </x:row>
    <x:row r="2"/>
    <x:row r="3" ht="15" hidden="0" customHeight="1">
      <x:c r="A3" s="13" t="str">
        <x:v>Run</x:v>
      </x:c>
      <x:c r="B3" s="13" t="str">
        <x:v>f0 (Hz)</x:v>
      </x:c>
      <x:c r="C3" s="13" t="str">
        <x:v>Tool X @f0</x:v>
      </x:c>
      <x:c r="D3" s="13" t="str">
        <x:v>Tool Y @f0</x:v>
      </x:c>
      <x:c r="E3" s="13" t="str">
        <x:v>Tool Z @f0</x:v>
      </x:c>
      <x:c r="F3" s="13" t="str">
        <x:v>Tool Resultant @f0</x:v>
      </x:c>
      <x:c r="G3" s="13" t="str">
        <x:v>Hand X @f0</x:v>
      </x:c>
      <x:c r="H3" s="13" t="str">
        <x:v>Hand Y @f0</x:v>
      </x:c>
      <x:c r="I3" s="13" t="str">
        <x:v>Hand Z @f0</x:v>
      </x:c>
      <x:c r="J3" s="13" t="str">
        <x:v>Hand Resultant @f0</x:v>
      </x:c>
      <x:c r="K3" s="13" t="str">
        <x:v>Tool J</x:v>
      </x:c>
      <x:c r="L3" s="13" t="str">
        <x:v>Hand J</x:v>
      </x:c>
      <x:c r="M3" s="13" t="str">
        <x:v>H/T Resultant Ratio</x:v>
      </x:c>
      <x:c r="N3" s="13" t="str">
        <x:v>Interpretation</x:v>
      </x:c>
      <x:c r="P3" s="13" t="str">
        <x:v>M8 statistic</x:v>
      </x:c>
      <x:c r="Q3" s="13" t="str">
        <x:v>Value</x:v>
      </x:c>
    </x:row>
    <x:row r="4" ht="15" hidden="0" customHeight="1">
      <x:c r="P4" t="str">
        <x:v>N complete same-f0 runs</x:v>
      </x:c>
      <x:c r="Q4" t="n">
        <x:f>COUNT(B5:B16)</x:f>
        <x:v>12</x:v>
      </x:c>
    </x:row>
    <x:row r="5" ht="15" hidden="0" customHeight="1">
      <x:c r="A5" t="n">
        <x:v>1</x:v>
      </x:c>
      <x:c r="B5" s="24" t="n">
        <x:v>267.49535</x:v>
      </x:c>
      <x:c r="C5" s="24" t="n">
        <x:v>2.92129</x:v>
      </x:c>
      <x:c r="D5" s="24" t="n">
        <x:v>1.76192</x:v>
      </x:c>
      <x:c r="E5" s="24" t="n">
        <x:v>0.29667</x:v>
      </x:c>
      <x:c r="F5" s="24" t="n">
        <x:v>3.42436</x:v>
      </x:c>
      <x:c r="G5" s="24" t="n">
        <x:v>1.15747</x:v>
      </x:c>
      <x:c r="H5" s="24" t="n">
        <x:v>1.23694</x:v>
      </x:c>
      <x:c r="I5" s="24" t="n">
        <x:v>0.30737</x:v>
      </x:c>
      <x:c r="J5" s="24" t="n">
        <x:v>1.7217</x:v>
      </x:c>
      <x:c r="K5" s="24" t="n">
        <x:v>11.726274</x:v>
      </x:c>
      <x:c r="L5" s="24" t="n">
        <x:v>2.964244</x:v>
      </x:c>
      <x:c r="M5" s="24" t="n">
        <x:f>J5/F5</x:f>
        <x:v>0.5027800815334836</x:v>
      </x:c>
      <x:c r="N5" s="21" t="str">
        <x:v>Baseline spatial amplitude ratio; not axis-wise transmissibility</x:v>
      </x:c>
      <x:c r="P5" t="str">
        <x:v>Mean Tool resultant</x:v>
      </x:c>
      <x:c r="Q5" s="24" t="n">
        <x:f>AVERAGE(F5:F16)</x:f>
        <x:v>2.871608333333333</x:v>
      </x:c>
    </x:row>
    <x:row r="6" ht="15" hidden="0" customHeight="1">
      <x:c r="A6" t="n">
        <x:v>2</x:v>
      </x:c>
      <x:c r="B6" s="24" t="n">
        <x:v>268.35604</x:v>
      </x:c>
      <x:c r="C6" s="24" t="n">
        <x:v>3.1288</x:v>
      </x:c>
      <x:c r="D6" s="24" t="n">
        <x:v>1.80305</x:v>
      </x:c>
      <x:c r="E6" s="24" t="n">
        <x:v>0.34151</x:v>
      </x:c>
      <x:c r="F6" s="24" t="n">
        <x:v>3.62726</x:v>
      </x:c>
      <x:c r="G6" s="24" t="n">
        <x:v>1.1076</x:v>
      </x:c>
      <x:c r="H6" s="24" t="n">
        <x:v>1.29039</x:v>
      </x:c>
      <x:c r="I6" s="24" t="n">
        <x:v>0.30462</x:v>
      </x:c>
      <x:c r="J6" s="24" t="n">
        <x:v>1.72762</x:v>
      </x:c>
      <x:c r="K6" s="24" t="n">
        <x:v>13.156988</x:v>
      </x:c>
      <x:c r="L6" s="24" t="n">
        <x:v>2.984666</x:v>
      </x:c>
      <x:c r="M6" s="24" t="n">
        <x:f>J6/F6</x:f>
        <x:v>0.4762878867244145</x:v>
      </x:c>
      <x:c r="N6" s="21" t="str">
        <x:v>Baseline spatial amplitude ratio; not axis-wise transmissibility</x:v>
      </x:c>
      <x:c r="P6" t="str">
        <x:v>SD Tool resultant</x:v>
      </x:c>
      <x:c r="Q6" s="24" t="n">
        <x:f>STDEV.S(F5:F16)</x:f>
        <x:v>0.4179992839670539</x:v>
      </x:c>
    </x:row>
    <x:row r="7" ht="15" hidden="0" customHeight="1">
      <x:c r="A7" t="n">
        <x:v>3</x:v>
      </x:c>
      <x:c r="B7" s="24" t="n">
        <x:v>268.420014</x:v>
      </x:c>
      <x:c r="C7" s="24" t="n">
        <x:v>2.89304</x:v>
      </x:c>
      <x:c r="D7" s="24" t="n">
        <x:v>1.85247</x:v>
      </x:c>
      <x:c r="E7" s="24" t="n">
        <x:v>0.36066</x:v>
      </x:c>
      <x:c r="F7" s="24" t="n">
        <x:v>3.45419</x:v>
      </x:c>
      <x:c r="G7" s="24" t="n">
        <x:v>1.1166</x:v>
      </x:c>
      <x:c r="H7" s="24" t="n">
        <x:v>1.22432</x:v>
      </x:c>
      <x:c r="I7" s="24" t="n">
        <x:v>0.27503</x:v>
      </x:c>
      <x:c r="J7" s="24" t="n">
        <x:v>1.6797</x:v>
      </x:c>
      <x:c r="K7" s="24" t="n">
        <x:v>11.931419</x:v>
      </x:c>
      <x:c r="L7" s="24" t="n">
        <x:v>2.821387</x:v>
      </x:c>
      <x:c r="M7" s="24" t="n">
        <x:f>J7/F7</x:f>
        <x:v>0.48627898291640004</x:v>
      </x:c>
      <x:c r="N7" s="21" t="str">
        <x:v>Baseline spatial amplitude ratio; not axis-wise transmissibility</x:v>
      </x:c>
      <x:c r="P7" t="str">
        <x:v>Mean Hand resultant</x:v>
      </x:c>
      <x:c r="Q7" s="24" t="n">
        <x:f>AVERAGE(J5:J16)</x:f>
        <x:v>1.5301816666666668</x:v>
      </x:c>
    </x:row>
    <x:row r="8" ht="15" hidden="0" customHeight="1">
      <x:c r="A8" t="n">
        <x:v>4</x:v>
      </x:c>
      <x:c r="B8" s="24" t="n">
        <x:v>267.762537</x:v>
      </x:c>
      <x:c r="C8" s="24" t="n">
        <x:v>2.2003</x:v>
      </x:c>
      <x:c r="D8" s="24" t="n">
        <x:v>1.71633</x:v>
      </x:c>
      <x:c r="E8" s="24" t="n">
        <x:v>0.46771</x:v>
      </x:c>
      <x:c r="F8" s="24" t="n">
        <x:v>2.82946</x:v>
      </x:c>
      <x:c r="G8" s="24" t="n">
        <x:v>1.09133</x:v>
      </x:c>
      <x:c r="H8" s="24" t="n">
        <x:v>0.90178</x:v>
      </x:c>
      <x:c r="I8" s="24" t="n">
        <x:v>0.13256</x:v>
      </x:c>
      <x:c r="J8" s="24" t="n">
        <x:v>1.42189</x:v>
      </x:c>
      <x:c r="K8" s="24" t="n">
        <x:v>8.005861</x:v>
      </x:c>
      <x:c r="L8" s="24" t="n">
        <x:v>2.021771</x:v>
      </x:c>
      <x:c r="M8" s="24" t="n">
        <x:f>J8/F8</x:f>
        <x:v>0.5025305181907502</x:v>
      </x:c>
      <x:c r="N8" s="21" t="str">
        <x:v>Baseline spatial amplitude ratio; not axis-wise transmissibility</x:v>
      </x:c>
      <x:c r="P8" t="str">
        <x:v>SD Hand resultant</x:v>
      </x:c>
      <x:c r="Q8" s="24" t="n">
        <x:f>STDEV.S(J5:J16)</x:f>
        <x:v>0.13428815914993694</x:v>
      </x:c>
    </x:row>
    <x:row r="9" ht="15" hidden="0" customHeight="1">
      <x:c r="A9" t="n">
        <x:v>5</x:v>
      </x:c>
      <x:c r="B9" s="24" t="n">
        <x:v>267.856392</x:v>
      </x:c>
      <x:c r="C9" s="24" t="n">
        <x:v>1.4851</x:v>
      </x:c>
      <x:c r="D9" s="24" t="n">
        <x:v>1.83201</x:v>
      </x:c>
      <x:c r="E9" s="24" t="n">
        <x:v>0.70801</x:v>
      </x:c>
      <x:c r="F9" s="24" t="n">
        <x:v>2.46233</x:v>
      </x:c>
      <x:c r="G9" s="24" t="n">
        <x:v>0.99088</x:v>
      </x:c>
      <x:c r="H9" s="24" t="n">
        <x:v>0.87064</x:v>
      </x:c>
      <x:c r="I9" s="24" t="n">
        <x:v>0.21863</x:v>
      </x:c>
      <x:c r="J9" s="24" t="n">
        <x:v>1.33703</x:v>
      </x:c>
      <x:c r="K9" s="24" t="n">
        <x:v>6.063081</x:v>
      </x:c>
      <x:c r="L9" s="24" t="n">
        <x:v>1.787662</x:v>
      </x:c>
      <x:c r="M9" s="24" t="n">
        <x:f>J9/F9</x:f>
        <x:v>0.5429938310462041</x:v>
      </x:c>
      <x:c r="N9" s="21" t="str">
        <x:v>Baseline spatial amplitude ratio; not axis-wise transmissibility</x:v>
      </x:c>
      <x:c r="P9" t="str">
        <x:v>Mean H/T resultant ratio</x:v>
      </x:c>
      <x:c r="Q9" s="24" t="n">
        <x:f>AVERAGE(M5:M16)</x:f>
        <x:v>0.5371822121852211</x:v>
      </x:c>
    </x:row>
    <x:row r="10" ht="15" hidden="0" customHeight="1">
      <x:c r="A10" t="n">
        <x:v>6</x:v>
      </x:c>
      <x:c r="B10" s="24" t="n">
        <x:v>267.998481</x:v>
      </x:c>
      <x:c r="C10" s="24" t="n">
        <x:v>1.59268</x:v>
      </x:c>
      <x:c r="D10" s="24" t="n">
        <x:v>1.80754</x:v>
      </x:c>
      <x:c r="E10" s="24" t="n">
        <x:v>0.62033</x:v>
      </x:c>
      <x:c r="F10" s="24" t="n">
        <x:v>2.4877</x:v>
      </x:c>
      <x:c r="G10" s="24" t="n">
        <x:v>1.12485</x:v>
      </x:c>
      <x:c r="H10" s="24" t="n">
        <x:v>0.89486</x:v>
      </x:c>
      <x:c r="I10" s="24" t="n">
        <x:v>0.13414</x:v>
      </x:c>
      <x:c r="J10" s="24" t="n">
        <x:v>1.44363</x:v>
      </x:c>
      <x:c r="K10" s="24" t="n">
        <x:v>6.188647</x:v>
      </x:c>
      <x:c r="L10" s="24" t="n">
        <x:v>2.084054</x:v>
      </x:c>
      <x:c r="M10" s="24" t="n">
        <x:f>J10/F10</x:f>
        <x:v>0.5803071109860514</x:v>
      </x:c>
      <x:c r="N10" s="21" t="str">
        <x:v>Baseline spatial amplitude ratio; not axis-wise transmissibility</x:v>
      </x:c>
      <x:c r="P10" t="str">
        <x:v>SD H/T resultant ratio</x:v>
      </x:c>
      <x:c r="Q10" s="24" t="n">
        <x:f>STDEV.S(M5:M16)</x:f>
        <x:v>0.03735512111803412</x:v>
      </x:c>
    </x:row>
    <x:row r="11" ht="15" hidden="0" customHeight="1">
      <x:c r="A11" t="n">
        <x:v>7</x:v>
      </x:c>
      <x:c r="B11" s="24" t="n">
        <x:v>272.099236</x:v>
      </x:c>
      <x:c r="C11" s="24" t="n">
        <x:v>1.25733</x:v>
      </x:c>
      <x:c r="D11" s="24" t="n">
        <x:v>1.87428</x:v>
      </x:c>
      <x:c r="E11" s="24" t="n">
        <x:v>0.46261</x:v>
      </x:c>
      <x:c r="F11" s="24" t="n">
        <x:v>2.30387</x:v>
      </x:c>
      <x:c r="G11" s="24" t="n">
        <x:v>1.03698</x:v>
      </x:c>
      <x:c r="H11" s="24" t="n">
        <x:v>0.85878</x:v>
      </x:c>
      <x:c r="I11" s="24" t="n">
        <x:v>0.07712</x:v>
      </x:c>
      <x:c r="J11" s="24" t="n">
        <x:v>1.34862</x:v>
      </x:c>
      <x:c r="K11" s="24" t="n">
        <x:v>5.307806</x:v>
      </x:c>
      <x:c r="L11" s="24" t="n">
        <x:v>1.818785</x:v>
      </x:c>
      <x:c r="M11" s="24" t="n">
        <x:f>J11/F11</x:f>
        <x:v>0.5853715704445129</x:v>
      </x:c>
      <x:c r="N11" s="21" t="str">
        <x:v>Baseline spatial amplitude ratio; not axis-wise transmissibility</x:v>
      </x:c>
      <x:c r="P11" t="str">
        <x:v>Verdict</x:v>
      </x:c>
      <x:c r="Q11" s="21" t="str">
        <x:v>DONE — complete repeated same-f0 baseline; use resultant ratio because coordinate frames are rotated.</x:v>
      </x:c>
    </x:row>
    <x:row r="12" ht="15" hidden="0" customHeight="1">
      <x:c r="A12" t="n">
        <x:v>8</x:v>
      </x:c>
      <x:c r="B12" s="24" t="n">
        <x:v>268.949478</x:v>
      </x:c>
      <x:c r="C12" s="24" t="n">
        <x:v>1.9653</x:v>
      </x:c>
      <x:c r="D12" s="24" t="n">
        <x:v>1.77009</x:v>
      </x:c>
      <x:c r="E12" s="24" t="n">
        <x:v>0.33265</x:v>
      </x:c>
      <x:c r="F12" s="24" t="n">
        <x:v>2.66576</x:v>
      </x:c>
      <x:c r="G12" s="24" t="n">
        <x:v>1.10909</x:v>
      </x:c>
      <x:c r="H12" s="24" t="n">
        <x:v>0.94379</x:v>
      </x:c>
      <x:c r="I12" s="24" t="n">
        <x:v>0.08241</x:v>
      </x:c>
      <x:c r="J12" s="24" t="n">
        <x:v>1.45863</x:v>
      </x:c>
      <x:c r="K12" s="24" t="n">
        <x:v>7.106259</x:v>
      </x:c>
      <x:c r="L12" s="24" t="n">
        <x:v>2.127606</x:v>
      </x:c>
      <x:c r="M12" s="24" t="n">
        <x:f>J12/F12</x:f>
        <x:v>0.5471722885781166</x:v>
      </x:c>
      <x:c r="N12" s="21" t="str">
        <x:v>Baseline spatial amplitude ratio; not axis-wise transmissibility</x:v>
      </x:c>
    </x:row>
    <x:row r="13" ht="15" hidden="0" customHeight="1">
      <x:c r="A13" t="n">
        <x:v>9</x:v>
      </x:c>
      <x:c r="B13" s="24" t="n">
        <x:v>268.303309</x:v>
      </x:c>
      <x:c r="C13" s="24" t="n">
        <x:v>2.09697</x:v>
      </x:c>
      <x:c r="D13" s="24" t="n">
        <x:v>1.83928</x:v>
      </x:c>
      <x:c r="E13" s="24" t="n">
        <x:v>0.26513</x:v>
      </x:c>
      <x:c r="F13" s="24" t="n">
        <x:v>2.80188</x:v>
      </x:c>
      <x:c r="G13" s="24" t="n">
        <x:v>1.17229</x:v>
      </x:c>
      <x:c r="H13" s="24" t="n">
        <x:v>1.06021</x:v>
      </x:c>
      <x:c r="I13" s="24" t="n">
        <x:v>0.13146</x:v>
      </x:c>
      <x:c r="J13" s="24" t="n">
        <x:v>1.58606</x:v>
      </x:c>
      <x:c r="K13" s="24" t="n">
        <x:v>7.85054</x:v>
      </x:c>
      <x:c r="L13" s="24" t="n">
        <x:v>2.515589</x:v>
      </x:c>
      <x:c r="M13" s="24" t="n">
        <x:f>J13/F13</x:f>
        <x:v>0.5660699244792782</x:v>
      </x:c>
      <x:c r="N13" s="21" t="str">
        <x:v>Baseline spatial amplitude ratio; not axis-wise transmissibility</x:v>
      </x:c>
    </x:row>
    <x:row r="14" ht="15" hidden="0" customHeight="1">
      <x:c r="A14" t="n">
        <x:v>10</x:v>
      </x:c>
      <x:c r="B14" s="24" t="n">
        <x:v>268.385049</x:v>
      </x:c>
      <x:c r="C14" s="24" t="n">
        <x:v>2.1106</x:v>
      </x:c>
      <x:c r="D14" s="24" t="n">
        <x:v>1.8417</x:v>
      </x:c>
      <x:c r="E14" s="24" t="n">
        <x:v>0.43368</x:v>
      </x:c>
      <x:c r="F14" s="24" t="n">
        <x:v>2.83453</x:v>
      </x:c>
      <x:c r="G14" s="24" t="n">
        <x:v>1.14221</x:v>
      </x:c>
      <x:c r="H14" s="24" t="n">
        <x:v>1.01323</x:v>
      </x:c>
      <x:c r="I14" s="24" t="n">
        <x:v>0.14499</x:v>
      </x:c>
      <x:c r="J14" s="24" t="n">
        <x:v>1.53373</x:v>
      </x:c>
      <x:c r="K14" s="24" t="n">
        <x:v>8.034578</x:v>
      </x:c>
      <x:c r="L14" s="24" t="n">
        <x:v>2.352313</x:v>
      </x:c>
      <x:c r="M14" s="24" t="n">
        <x:f>J14/F14</x:f>
        <x:v>0.5410879405051279</x:v>
      </x:c>
      <x:c r="N14" s="21" t="str">
        <x:v>Baseline spatial amplitude ratio; not axis-wise transmissibility</x:v>
      </x:c>
    </x:row>
    <x:row r="15" ht="15" hidden="0" customHeight="1">
      <x:c r="A15" t="n">
        <x:v>11</x:v>
      </x:c>
      <x:c r="B15" s="24" t="n">
        <x:v>268.488995</x:v>
      </x:c>
      <x:c r="C15" s="24" t="n">
        <x:v>2.15476</x:v>
      </x:c>
      <x:c r="D15" s="24" t="n">
        <x:v>1.76674</x:v>
      </x:c>
      <x:c r="E15" s="24" t="n">
        <x:v>0.45281</x:v>
      </x:c>
      <x:c r="F15" s="24" t="n">
        <x:v>2.82301</x:v>
      </x:c>
      <x:c r="G15" s="24" t="n">
        <x:v>1.15673</x:v>
      </x:c>
      <x:c r="H15" s="24" t="n">
        <x:v>0.98055</x:v>
      </x:c>
      <x:c r="I15" s="24" t="n">
        <x:v>0.14023</x:v>
      </x:c>
      <x:c r="J15" s="24" t="n">
        <x:v>1.52288</x:v>
      </x:c>
      <x:c r="K15" s="24" t="n">
        <x:v>7.969376</x:v>
      </x:c>
      <x:c r="L15" s="24" t="n">
        <x:v>2.31915</x:v>
      </x:c>
      <x:c r="M15" s="24" t="n">
        <x:f>J15/F15</x:f>
        <x:v>0.5394525701290467</x:v>
      </x:c>
      <x:c r="N15" s="21" t="str">
        <x:v>Baseline spatial amplitude ratio; not axis-wise transmissibility</x:v>
      </x:c>
    </x:row>
    <x:row r="16" ht="15" hidden="0" customHeight="1">
      <x:c r="A16" t="n">
        <x:v>12</x:v>
      </x:c>
      <x:c r="B16" s="24" t="n">
        <x:v>268.421268</x:v>
      </x:c>
      <x:c r="C16" s="24" t="n">
        <x:v>2.10764</x:v>
      </x:c>
      <x:c r="D16" s="24" t="n">
        <x:v>1.73346</x:v>
      </x:c>
      <x:c r="E16" s="24" t="n">
        <x:v>0.29613</x:v>
      </x:c>
      <x:c r="F16" s="24" t="n">
        <x:v>2.74495</x:v>
      </x:c>
      <x:c r="G16" s="24" t="n">
        <x:v>1.18318</x:v>
      </x:c>
      <x:c r="H16" s="24" t="n">
        <x:v>1.04364</x:v>
      </x:c>
      <x:c r="I16" s="24" t="n">
        <x:v>0.0974</x:v>
      </x:c>
      <x:c r="J16" s="24" t="n">
        <x:v>1.58069</x:v>
      </x:c>
      <x:c r="K16" s="24" t="n">
        <x:v>7.534754</x:v>
      </x:c>
      <x:c r="L16" s="24" t="n">
        <x:v>2.498595</x:v>
      </x:c>
      <x:c r="M16" s="24" t="n">
        <x:f>J16/F16</x:f>
        <x:v>0.5758538406892658</x:v>
      </x:c>
      <x:c r="N16" s="21" t="str">
        <x:v>Baseline spatial amplitude ratio; not axis-wise transmissibility</x:v>
      </x:c>
    </x:row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N1"/>
  </x:mergeCells>
  <x:pageMargins left="0.7" right="0.7" top="0.75" bottom="0.75" header="0.3" footer="0.3"/>
  <x:drawing xmlns:r="http://schemas.openxmlformats.org/officeDocument/2006/relationships" r:id="R3cd89e7817d24774"/>
</x:worksheet>
</file>

<file path=xl/worksheets/sheet5.xml><?xml version="1.0" encoding="utf-8"?>
<x:worksheet xmlns:x="http://schemas.openxmlformats.org/spreadsheetml/2006/main">
  <x:sheetFormatPr defaultRowHeight="15"/>
  <x:cols>
    <x:col min="1" max="1" width="52.130001068115234" hidden="0" customWidth="1"/>
    <x:col min="2" max="2" width="6.630000114440918" hidden="0" customWidth="1"/>
    <x:col min="3" max="3" width="6.630000114440918" hidden="0" customWidth="1"/>
    <x:col min="4" max="4" width="6.630000114440918" hidden="0" customWidth="1"/>
    <x:col min="5" max="5" width="6.630000114440918" hidden="0" customWidth="1"/>
    <x:col min="6" max="6" width="6.630000114440918" hidden="0" customWidth="1"/>
    <x:col min="7" max="7" width="6.5" hidden="0" customWidth="1"/>
    <x:col min="8" max="8" width="7" hidden="0" customWidth="1"/>
    <x:col min="9" max="9" width="7.5" hidden="0" customWidth="1"/>
    <x:col min="10" max="10" width="7" hidden="0" customWidth="1"/>
    <x:col min="11" max="11" width="7.5" hidden="0" customWidth="1"/>
    <x:col min="12" max="12" width="6.880000114440918" hidden="0" customWidth="1"/>
    <x:col min="13" max="13" width="7.380000114440918" hidden="0" customWidth="1"/>
    <x:col min="14" max="14" width="15.380000114440918" hidden="0" customWidth="1"/>
    <x:col min="15" max="15" width="17.25" hidden="0" customWidth="1"/>
    <x:col min="16" max="16" width="12.880000114440918" hidden="0" customWidth="1"/>
    <x:col min="17" max="17" width="13.75" hidden="0" customWidth="1"/>
    <x:col min="18" max="18" width="13.880000114440918" hidden="0" customWidth="1"/>
    <x:col min="19" max="19" width="15.880000114440918" hidden="0" customWidth="1"/>
    <x:col min="20" max="20" width="15.5" hidden="0" customWidth="1"/>
    <x:col min="21" max="21" width="16.3799991607666" hidden="0" customWidth="1"/>
    <x:col min="22" max="22" width="16.5" hidden="0" customWidth="1"/>
    <x:col min="23" max="23" width="24.5" hidden="0" customWidth="1"/>
    <x:col min="24" max="24" width="27" hidden="0" customWidth="1"/>
    <x:col min="25" max="25" width="15.75" hidden="0" customWidth="1"/>
    <x:col min="26" max="26" width="7.75" hidden="0" customWidth="1"/>
    <x:col min="27" max="27" width="9.880000114440918" hidden="0" customWidth="1"/>
    <x:col min="28" max="28" width="12" hidden="0" customWidth="1"/>
    <x:col min="29" max="29" width="10" hidden="0" customWidth="1"/>
    <x:col min="30" max="30" width="13.130000114440918" hidden="0" customWidth="1"/>
    <x:col min="31" max="31" width="45" hidden="0" customWidth="1"/>
    <x:col min="32" max="32" width="10" hidden="0" customWidth="1"/>
  </x:cols>
  <x:sheetData>
    <x:row r="1" ht="18" hidden="0" customHeight="1">
      <x:c r="A1" s="5" t="str">
        <x:v>Broadband Characterization — 20–750 Hz (8 runs)</x:v>
      </x:c>
    </x:row>
    <x:row r="2"/>
    <x:row r="3" ht="15" hidden="0" customHeight="1">
      <x:c r="A3" s="13" t="str">
        <x:v>Run</x:v>
      </x:c>
      <x:c r="B3" s="13" t="str">
        <x:v>Tool X f</x:v>
      </x:c>
      <x:c r="C3" s="13" t="str">
        <x:v>Tool X A</x:v>
      </x:c>
      <x:c r="D3" s="13" t="str">
        <x:v>Tool Y f</x:v>
      </x:c>
      <x:c r="E3" s="13" t="str">
        <x:v>Tool Y A</x:v>
      </x:c>
      <x:c r="F3" s="13" t="str">
        <x:v>Tool Z f</x:v>
      </x:c>
      <x:c r="G3" s="13" t="str">
        <x:v>Tool Z A</x:v>
      </x:c>
      <x:c r="H3" s="13" t="str">
        <x:v>Hand X f</x:v>
      </x:c>
      <x:c r="I3" s="13" t="str">
        <x:v>Hand X A</x:v>
      </x:c>
      <x:c r="J3" s="13" t="str">
        <x:v>Hand Y f</x:v>
      </x:c>
      <x:c r="K3" s="13" t="str">
        <x:v>Hand Y A</x:v>
      </x:c>
      <x:c r="L3" s="13" t="str">
        <x:v>Hand Z f</x:v>
      </x:c>
      <x:c r="M3" s="13" t="str">
        <x:v>Hand Z A</x:v>
      </x:c>
      <x:c r="N3" s="13" t="str">
        <x:v>Control-family seed</x:v>
      </x:c>
      <x:c r="O3" s="13" t="str">
        <x:v>Control-family refined</x:v>
      </x:c>
      <x:c r="P3" s="13" t="str">
        <x:v>Control Tool Vec</x:v>
      </x:c>
      <x:c r="Q3" s="13" t="str">
        <x:v>Control Hand Vec</x:v>
      </x:c>
      <x:c r="R3" s="13" t="str">
        <x:v>Control H/T Ratio</x:v>
      </x:c>
      <x:c r="S3" s="13" t="str">
        <x:v>Best competing freq</x:v>
      </x:c>
      <x:c r="T3" s="13" t="str">
        <x:v>Competing Tool Vec</x:v>
      </x:c>
      <x:c r="U3" s="13" t="str">
        <x:v>Competing Hand Vec</x:v>
      </x:c>
      <x:c r="V3" s="13" t="str">
        <x:v>Competing H/T Ratio</x:v>
      </x:c>
      <x:c r="W3" s="13" t="str">
        <x:v>Control/Competitor Hand Ratio</x:v>
      </x:c>
      <x:c r="X3" s="13" t="str">
        <x:v>Program Recommended Candidate</x:v>
      </x:c>
      <x:c r="Y3" s="13" t="str">
        <x:v>Recommended Freq</x:v>
      </x:c>
      <x:c r="Z3" s="13" t="str">
        <x:v>Locked f0</x:v>
      </x:c>
      <x:c r="AA3" s="13" t="str">
        <x:v>Lock Result</x:v>
      </x:c>
      <x:c r="AB3" s="13" t="str">
        <x:v>Quadrature ms</x:v>
      </x:c>
      <x:c r="AC3" s="13" t="str">
        <x:v>Zero Triplets</x:v>
      </x:c>
      <x:c r="AD3" s="13" t="str">
        <x:v>Clipped Samples</x:v>
      </x:c>
      <x:c r="AE3" s="13" t="str">
        <x:v>Interpretation</x:v>
      </x:c>
      <x:c r="AF3" s="13" t="str">
        <x:v>Source Band</x:v>
      </x:c>
    </x:row>
    <x:row r="4" ht="15" hidden="0" customHeight="1">
      <x:c r="A4" t="n">
        <x:v>1</x:v>
      </x:c>
      <x:c r="B4" s="24" t="n">
        <x:v>268.422</x:v>
      </x:c>
      <x:c r="C4" s="24" t="n">
        <x:v>1.77976</x:v>
      </x:c>
      <x:c r="D4" s="24" t="n">
        <x:v>268.417</x:v>
      </x:c>
      <x:c r="E4" s="24" t="n">
        <x:v>1.70593</x:v>
      </x:c>
      <x:c r="F4" s="24" t="n">
        <x:v>198.223</x:v>
      </x:c>
      <x:c r="G4" s="24" t="n">
        <x:v>1.20546</x:v>
      </x:c>
      <x:c r="H4" s="24" t="n">
        <x:v>268.435</x:v>
      </x:c>
      <x:c r="I4" s="24" t="n">
        <x:v>0.96891</x:v>
      </x:c>
      <x:c r="J4" s="24" t="n">
        <x:v>268.43</x:v>
      </x:c>
      <x:c r="K4" s="24" t="n">
        <x:v>0.77983</x:v>
      </x:c>
      <x:c r="L4" s="24" t="n">
        <x:v>268.593</x:v>
      </x:c>
      <x:c r="M4" s="24" t="n">
        <x:v>0.16331</x:v>
      </x:c>
      <x:c r="N4" s="24" t="n">
        <x:v>268.422</x:v>
      </x:c>
      <x:c r="O4" s="24" t="n">
        <x:v>268.6433</x:v>
      </x:c>
      <x:c r="P4" s="24" t="n">
        <x:v>2.7175</x:v>
      </x:c>
      <x:c r="Q4" s="24" t="n">
        <x:v>1.3338</x:v>
      </x:c>
      <x:c r="R4" s="24" t="n">
        <x:v>0.4908187672493101</x:v>
      </x:c>
      <x:c r="S4" s="24" t="n">
        <x:v>197.7565</x:v>
      </x:c>
      <x:c r="T4" s="24" t="n">
        <x:v>3.2188</x:v>
      </x:c>
      <x:c r="U4" s="24" t="n">
        <x:v>0.0838</x:v>
      </x:c>
      <x:c r="V4" s="24" t="n">
        <x:v>0.026034547036162547</x:v>
      </x:c>
      <x:c r="W4" s="24" t="n">
        <x:v>15.916467780429596</x:v>
      </x:c>
      <x:c r="X4" s="24" t="n">
        <x:v>2</x:v>
      </x:c>
      <x:c r="Y4" s="24" t="n">
        <x:v>197.75654</x:v>
      </x:c>
      <x:c r="Z4" s="24" t="n">
        <x:v>268.643297</x:v>
      </x:c>
      <x:c r="AA4" t="str">
        <x:v>LOCKED</x:v>
      </x:c>
      <x:c r="AB4" t="n">
        <x:v>1599.44</x:v>
      </x:c>
      <x:c r="AC4" t="n">
        <x:v>0</x:v>
      </x:c>
      <x:c r="AD4" t="n">
        <x:v>0</x:v>
      </x:c>
      <x:c r="AE4" s="21" t="str">
        <x:v>Control-family component is strongly present at hand</x:v>
      </x:c>
      <x:c r="AF4" t="str">
        <x:v>20–750 Hz</x:v>
      </x:c>
    </x:row>
    <x:row r="5" ht="15" hidden="0" customHeight="1">
      <x:c r="A5" t="n">
        <x:v>2</x:v>
      </x:c>
      <x:c r="B5" s="24" t="n">
        <x:v>267.785</x:v>
      </x:c>
      <x:c r="C5" s="24" t="n">
        <x:v>2.20837</x:v>
      </x:c>
      <x:c r="D5" s="24" t="n">
        <x:v>201.372</x:v>
      </x:c>
      <x:c r="E5" s="24" t="n">
        <x:v>1.94797</x:v>
      </x:c>
      <x:c r="F5" s="24" t="n">
        <x:v>201.492</x:v>
      </x:c>
      <x:c r="G5" s="24" t="n">
        <x:v>1.11889</x:v>
      </x:c>
      <x:c r="H5" s="24" t="n">
        <x:v>267.82</x:v>
      </x:c>
      <x:c r="I5" s="24" t="n">
        <x:v>0.92166</x:v>
      </x:c>
      <x:c r="J5" s="24" t="n">
        <x:v>267.816</x:v>
      </x:c>
      <x:c r="K5" s="24" t="n">
        <x:v>0.83064</x:v>
      </x:c>
      <x:c r="L5" s="24" t="n">
        <x:v>267.749</x:v>
      </x:c>
      <x:c r="M5" s="24" t="n">
        <x:v>0.22214</x:v>
      </x:c>
      <x:c r="N5" s="24" t="n">
        <x:v>267.805</x:v>
      </x:c>
      <x:c r="O5" s="24" t="n">
        <x:v>268.036</x:v>
      </x:c>
      <x:c r="P5" s="24" t="n">
        <x:v>3.0263</x:v>
      </x:c>
      <x:c r="Q5" s="24" t="n">
        <x:v>1.398</x:v>
      </x:c>
      <x:c r="R5" s="24" t="n">
        <x:v>0.4619502362621022</x:v>
      </x:c>
      <x:c r="S5" s="24" t="n">
        <x:v>200.5122</x:v>
      </x:c>
      <x:c r="T5" s="24" t="n">
        <x:v>2.6446</x:v>
      </x:c>
      <x:c r="U5" s="24" t="n">
        <x:v>0.1279</x:v>
      </x:c>
      <x:c r="V5" s="24" t="n">
        <x:v>0.04836270135370189</x:v>
      </x:c>
      <x:c r="W5" s="24" t="n">
        <x:v>10.930414386239248</x:v>
      </x:c>
      <x:c r="X5" s="24" t="n">
        <x:v>1</x:v>
      </x:c>
      <x:c r="Y5" s="24" t="n">
        <x:v>268.036005</x:v>
      </x:c>
      <x:c r="Z5" s="24" t="n">
        <x:v>268.036005</x:v>
      </x:c>
      <x:c r="AA5" t="str">
        <x:v>LOCKED</x:v>
      </x:c>
      <x:c r="AB5" t="n">
        <x:v>1599.44</x:v>
      </x:c>
      <x:c r="AC5" t="n">
        <x:v>0</x:v>
      </x:c>
      <x:c r="AD5" t="n">
        <x:v>0</x:v>
      </x:c>
      <x:c r="AE5" s="21" t="str">
        <x:v>Control-family component is strongly present at hand</x:v>
      </x:c>
      <x:c r="AF5" t="str">
        <x:v>20–750 Hz</x:v>
      </x:c>
    </x:row>
    <x:row r="6" ht="15" hidden="0" customHeight="1">
      <x:c r="A6" t="n">
        <x:v>3</x:v>
      </x:c>
      <x:c r="B6" s="24" t="n">
        <x:v>268.379</x:v>
      </x:c>
      <x:c r="C6" s="24" t="n">
        <x:v>2.21712</x:v>
      </x:c>
      <x:c r="D6" s="24" t="n">
        <x:v>199.448</x:v>
      </x:c>
      <x:c r="E6" s="24" t="n">
        <x:v>2.28382</x:v>
      </x:c>
      <x:c r="F6" s="24" t="n">
        <x:v>735.874</x:v>
      </x:c>
      <x:c r="G6" s="24" t="n">
        <x:v>0.55418</x:v>
      </x:c>
      <x:c r="H6" s="24" t="n">
        <x:v>268.358</x:v>
      </x:c>
      <x:c r="I6" s="24" t="n">
        <x:v>1.1634</x:v>
      </x:c>
      <x:c r="J6" s="24" t="n">
        <x:v>268.343</x:v>
      </x:c>
      <x:c r="K6" s="24" t="n">
        <x:v>1.12763</x:v>
      </x:c>
      <x:c r="L6" s="24" t="n">
        <x:v>268.153</x:v>
      </x:c>
      <x:c r="M6" s="24" t="n">
        <x:v>0.15005</x:v>
      </x:c>
      <x:c r="N6" s="24" t="n">
        <x:v>268.367</x:v>
      </x:c>
      <x:c r="O6" s="24" t="n">
        <x:v>268.0642</x:v>
      </x:c>
      <x:c r="P6" s="24" t="n">
        <x:v>2.9608</x:v>
      </x:c>
      <x:c r="Q6" s="24" t="n">
        <x:v>1.6448</x:v>
      </x:c>
      <x:c r="R6" s="24" t="n">
        <x:v>0.5555255336395569</x:v>
      </x:c>
      <x:c r="S6" s="24" t="n">
        <x:v>200.2869</x:v>
      </x:c>
      <x:c r="T6" s="24" t="n">
        <x:v>2.6507</x:v>
      </x:c>
      <x:c r="U6" s="24" t="n">
        <x:v>0.0968</x:v>
      </x:c>
      <x:c r="V6" s="24" t="n">
        <x:v>0.0365186554495039</x:v>
      </x:c>
      <x:c r="W6" s="24" t="n">
        <x:v>16.991735537190085</x:v>
      </x:c>
      <x:c r="X6" s="24" t="n">
        <x:v>1</x:v>
      </x:c>
      <x:c r="Y6" s="24" t="n">
        <x:v>268.064241</x:v>
      </x:c>
      <x:c r="Z6" s="24" t="n">
        <x:v>268.064241</x:v>
      </x:c>
      <x:c r="AA6" t="str">
        <x:v>LOCKED</x:v>
      </x:c>
      <x:c r="AB6" t="n">
        <x:v>1599.44</x:v>
      </x:c>
      <x:c r="AC6" t="n">
        <x:v>0</x:v>
      </x:c>
      <x:c r="AD6" t="n">
        <x:v>0</x:v>
      </x:c>
      <x:c r="AE6" s="21" t="str">
        <x:v>Control-family component is strongly present at hand</x:v>
      </x:c>
      <x:c r="AF6" t="str">
        <x:v>20–750 Hz</x:v>
      </x:c>
    </x:row>
    <x:row r="7" ht="15" hidden="0" customHeight="1">
      <x:c r="A7" t="n">
        <x:v>4</x:v>
      </x:c>
      <x:c r="B7" s="24" t="n">
        <x:v>271.846</x:v>
      </x:c>
      <x:c r="C7" s="24" t="n">
        <x:v>1.59594</x:v>
      </x:c>
      <x:c r="D7" s="24" t="n">
        <x:v>180.92</x:v>
      </x:c>
      <x:c r="E7" s="24" t="n">
        <x:v>2.36417</x:v>
      </x:c>
      <x:c r="F7" s="24" t="n">
        <x:v>271.836</x:v>
      </x:c>
      <x:c r="G7" s="24" t="n">
        <x:v>0.63342</x:v>
      </x:c>
      <x:c r="H7" s="24" t="n">
        <x:v>271.841</x:v>
      </x:c>
      <x:c r="I7" s="24" t="n">
        <x:v>0.99612</x:v>
      </x:c>
      <x:c r="J7" s="24" t="n">
        <x:v>271.804</x:v>
      </x:c>
      <x:c r="K7" s="24" t="n">
        <x:v>0.6914</x:v>
      </x:c>
      <x:c r="L7" s="24" t="n">
        <x:v>100.062</x:v>
      </x:c>
      <x:c r="M7" s="24" t="n">
        <x:v>0.11667</x:v>
      </x:c>
      <x:c r="N7" s="24" t="n">
        <x:v>271.836</x:v>
      </x:c>
      <x:c r="O7" s="24" t="n">
        <x:v>272.2739</x:v>
      </x:c>
      <x:c r="P7" s="24" t="n">
        <x:v>2.6722</x:v>
      </x:c>
      <x:c r="Q7" s="24" t="n">
        <x:v>1.2818</x:v>
      </x:c>
      <x:c r="R7" s="24" t="n">
        <x:v>0.4796796646957563</x:v>
      </x:c>
      <x:c r="S7" s="24" t="n">
        <x:v>179.4825</x:v>
      </x:c>
      <x:c r="T7" s="24" t="n">
        <x:v>4.5109</x:v>
      </x:c>
      <x:c r="U7" s="24" t="n">
        <x:v>0.0858</x:v>
      </x:c>
      <x:c r="V7" s="24" t="n">
        <x:v>0.019020594559843933</x:v>
      </x:c>
      <x:c r="W7" s="24" t="n">
        <x:v>14.93939393939394</x:v>
      </x:c>
      <x:c r="X7" s="24" t="n">
        <x:v>2</x:v>
      </x:c>
      <x:c r="Y7" s="24" t="n">
        <x:v>179.482547</x:v>
      </x:c>
      <x:c r="Z7" s="24" t="n">
        <x:v>272.273937</x:v>
      </x:c>
      <x:c r="AA7" t="str">
        <x:v>LOCKED</x:v>
      </x:c>
      <x:c r="AB7" t="n">
        <x:v>1599.44</x:v>
      </x:c>
      <x:c r="AC7" t="n">
        <x:v>0</x:v>
      </x:c>
      <x:c r="AD7" t="n">
        <x:v>0</x:v>
      </x:c>
      <x:c r="AE7" s="21" t="str">
        <x:v>Control-family component is strongly present at hand</x:v>
      </x:c>
      <x:c r="AF7" t="str">
        <x:v>20–750 Hz</x:v>
      </x:c>
    </x:row>
    <x:row r="8" ht="15" hidden="0" customHeight="1">
      <x:c r="A8" t="n">
        <x:v>5</x:v>
      </x:c>
      <x:c r="B8" s="24" t="n">
        <x:v>270.026</x:v>
      </x:c>
      <x:c r="C8" s="24" t="n">
        <x:v>2.68544</x:v>
      </x:c>
      <x:c r="D8" s="24" t="n">
        <x:v>191.402</x:v>
      </x:c>
      <x:c r="E8" s="24" t="n">
        <x:v>1.98352</x:v>
      </x:c>
      <x:c r="F8" s="24" t="n">
        <x:v>731.165</x:v>
      </x:c>
      <x:c r="G8" s="24" t="n">
        <x:v>0.9142</x:v>
      </x:c>
      <x:c r="H8" s="24" t="n">
        <x:v>270.005</x:v>
      </x:c>
      <x:c r="I8" s="24" t="n">
        <x:v>0.99875</x:v>
      </x:c>
      <x:c r="J8" s="24" t="n">
        <x:v>270.032</x:v>
      </x:c>
      <x:c r="K8" s="24" t="n">
        <x:v>0.92136</x:v>
      </x:c>
      <x:c r="L8" s="24" t="n">
        <x:v>270.194</x:v>
      </x:c>
      <x:c r="M8" s="24" t="n">
        <x:v>0.21385</x:v>
      </x:c>
      <x:c r="N8" s="24" t="n">
        <x:v>270.021</x:v>
      </x:c>
      <x:c r="O8" s="24" t="n">
        <x:v>269.5221</x:v>
      </x:c>
      <x:c r="P8" s="24" t="n">
        <x:v>3.3531</x:v>
      </x:c>
      <x:c r="Q8" s="24" t="n">
        <x:v>1.4127</x:v>
      </x:c>
      <x:c r="R8" s="24" t="n">
        <x:v>0.4213116220810593</x:v>
      </x:c>
      <x:c r="S8" s="24" t="n">
        <x:v>191.377</x:v>
      </x:c>
      <x:c r="T8" s="24" t="n">
        <x:v>3.1287</x:v>
      </x:c>
      <x:c r="U8" s="24" t="n">
        <x:v>0.1028</x:v>
      </x:c>
      <x:c r="V8" s="24" t="n">
        <x:v>0.03285709719691885</x:v>
      </x:c>
      <x:c r="W8" s="24" t="n">
        <x:v>13.742217898832685</x:v>
      </x:c>
      <x:c r="X8" s="24" t="n">
        <x:v>1</x:v>
      </x:c>
      <x:c r="Y8" s="24" t="n">
        <x:v>269.522107</x:v>
      </x:c>
      <x:c r="Z8" s="24" t="n">
        <x:v>269.522107</x:v>
      </x:c>
      <x:c r="AA8" t="str">
        <x:v>LOCKED</x:v>
      </x:c>
      <x:c r="AB8" t="n">
        <x:v>1599.44</x:v>
      </x:c>
      <x:c r="AC8" t="n">
        <x:v>0</x:v>
      </x:c>
      <x:c r="AD8" t="n">
        <x:v>0</x:v>
      </x:c>
      <x:c r="AE8" s="21" t="str">
        <x:v>Control-family component is strongly present at hand</x:v>
      </x:c>
      <x:c r="AF8" t="str">
        <x:v>20–750 Hz</x:v>
      </x:c>
    </x:row>
    <x:row r="9" ht="15" hidden="0" customHeight="1">
      <x:c r="A9" t="n">
        <x:v>6</x:v>
      </x:c>
      <x:c r="B9" s="24" t="n">
        <x:v>271.472</x:v>
      </x:c>
      <x:c r="C9" s="24" t="n">
        <x:v>1.08429</x:v>
      </x:c>
      <x:c r="D9" s="24" t="n">
        <x:v>183.332</x:v>
      </x:c>
      <x:c r="E9" s="24" t="n">
        <x:v>1.9756</x:v>
      </x:c>
      <x:c r="F9" s="24" t="n">
        <x:v>726.328</x:v>
      </x:c>
      <x:c r="G9" s="24" t="n">
        <x:v>1.28885</x:v>
      </x:c>
      <x:c r="H9" s="24" t="n">
        <x:v>271.547</x:v>
      </x:c>
      <x:c r="I9" s="24" t="n">
        <x:v>0.91658</x:v>
      </x:c>
      <x:c r="J9" s="24" t="n">
        <x:v>271.55</x:v>
      </x:c>
      <x:c r="K9" s="24" t="n">
        <x:v>0.66138</x:v>
      </x:c>
      <x:c r="L9" s="24" t="n">
        <x:v>100.151</x:v>
      </x:c>
      <x:c r="M9" s="24" t="n">
        <x:v>0.14524</x:v>
      </x:c>
      <x:c r="N9" s="24" t="n">
        <x:v>271.529</x:v>
      </x:c>
      <x:c r="O9" s="24" t="n">
        <x:v>272.3115</x:v>
      </x:c>
      <x:c r="P9" s="24" t="n">
        <x:v>2.5531</x:v>
      </x:c>
      <x:c r="Q9" s="24" t="n">
        <x:v>1.2092</x:v>
      </x:c>
      <x:c r="R9" s="24" t="n">
        <x:v>0.47362030472758604</x:v>
      </x:c>
      <x:c r="S9" s="24" t="n">
        <x:v>183.3201</x:v>
      </x:c>
      <x:c r="T9" s="24" t="n">
        <x:v>2.3348</x:v>
      </x:c>
      <x:c r="U9" s="24" t="n">
        <x:v>0.0793</x:v>
      </x:c>
      <x:c r="V9" s="24" t="n">
        <x:v>0.03396436525612472</x:v>
      </x:c>
      <x:c r="W9" s="24" t="n">
        <x:v>15.248423707440102</x:v>
      </x:c>
      <x:c r="X9" s="24" t="n">
        <x:v>1</x:v>
      </x:c>
      <x:c r="Y9" s="24" t="n">
        <x:v>272.311504</x:v>
      </x:c>
      <x:c r="Z9" s="24" t="n">
        <x:v>272.311504</x:v>
      </x:c>
      <x:c r="AA9" t="str">
        <x:v>LOCKED</x:v>
      </x:c>
      <x:c r="AB9" t="n">
        <x:v>1599.44</x:v>
      </x:c>
      <x:c r="AC9" t="n">
        <x:v>0</x:v>
      </x:c>
      <x:c r="AD9" t="n">
        <x:v>0</x:v>
      </x:c>
      <x:c r="AE9" s="21" t="str">
        <x:v>Control-family component is strongly present at hand</x:v>
      </x:c>
      <x:c r="AF9" t="str">
        <x:v>20–750 Hz</x:v>
      </x:c>
    </x:row>
    <x:row r="10" ht="15" hidden="0" customHeight="1">
      <x:c r="A10" t="n">
        <x:v>7</x:v>
      </x:c>
      <x:c r="B10" s="24" t="n">
        <x:v>269.696</x:v>
      </x:c>
      <x:c r="C10" s="24" t="n">
        <x:v>1.48408</x:v>
      </x:c>
      <x:c r="D10" s="24" t="n">
        <x:v>192.647</x:v>
      </x:c>
      <x:c r="E10" s="24" t="n">
        <x:v>2.45802</x:v>
      </x:c>
      <x:c r="F10" s="24" t="n">
        <x:v>731.828</x:v>
      </x:c>
      <x:c r="G10" s="24" t="n">
        <x:v>1.0783</x:v>
      </x:c>
      <x:c r="H10" s="24" t="n">
        <x:v>269.727</x:v>
      </x:c>
      <x:c r="I10" s="24" t="n">
        <x:v>0.77731</x:v>
      </x:c>
      <x:c r="J10" s="24" t="n">
        <x:v>269.67</x:v>
      </x:c>
      <x:c r="K10" s="24" t="n">
        <x:v>0.70638</x:v>
      </x:c>
      <x:c r="L10" s="24" t="n">
        <x:v>269.811</x:v>
      </x:c>
      <x:c r="M10" s="24" t="n">
        <x:v>0.22046</x:v>
      </x:c>
      <x:c r="N10" s="24" t="n">
        <x:v>269.695</x:v>
      </x:c>
      <x:c r="O10" s="24" t="n">
        <x:v>269.1562</x:v>
      </x:c>
      <x:c r="P10" s="24" t="n">
        <x:v>2.4497</x:v>
      </x:c>
      <x:c r="Q10" s="24" t="n">
        <x:v>1.166</x:v>
      </x:c>
      <x:c r="R10" s="24" t="n">
        <x:v>0.47597665020206553</x:v>
      </x:c>
      <x:c r="S10" s="24" t="n">
        <x:v>733.38</x:v>
      </x:c>
      <x:c r="T10" s="24" t="n">
        <x:v>2.271</x:v>
      </x:c>
      <x:c r="U10" s="24" t="n">
        <x:v>0.1514</x:v>
      </x:c>
      <x:c r="V10" s="24" t="n">
        <x:v>0.06666666666666667</x:v>
      </x:c>
      <x:c r="W10" s="24" t="n">
        <x:v>7.701453104359312</x:v>
      </x:c>
      <x:c r="X10" s="24" t="n">
        <x:v>3</x:v>
      </x:c>
      <x:c r="Y10" s="24" t="n">
        <x:v>733.379962</x:v>
      </x:c>
      <x:c r="Z10" s="24"/>
      <x:c r="AA10" t="str">
        <x:v>LOCK FAILED</x:v>
      </x:c>
      <x:c r="AB10" t="n">
        <x:v>1599.44</x:v>
      </x:c>
      <x:c r="AC10" t="n">
        <x:v>0</x:v>
      </x:c>
      <x:c r="AD10" t="n">
        <x:v>0</x:v>
      </x:c>
      <x:c r="AE10" s="21" t="str">
        <x:v>Control-family component is strongly present at hand; run not used as a validated locked broadband control result</x:v>
      </x:c>
      <x:c r="AF10" t="str">
        <x:v>20–750 Hz</x:v>
      </x:c>
    </x:row>
    <x:row r="11" ht="15" hidden="0" customHeight="1">
      <x:c r="A11" t="n">
        <x:v>8</x:v>
      </x:c>
      <x:c r="B11" s="24" t="n">
        <x:v>269.887</x:v>
      </x:c>
      <x:c r="C11" s="24" t="n">
        <x:v>2.28814</x:v>
      </x:c>
      <x:c r="D11" s="24" t="n">
        <x:v>192.369</x:v>
      </x:c>
      <x:c r="E11" s="24" t="n">
        <x:v>1.76871</x:v>
      </x:c>
      <x:c r="F11" s="24" t="n">
        <x:v>731.635</x:v>
      </x:c>
      <x:c r="G11" s="24" t="n">
        <x:v>0.53523</x:v>
      </x:c>
      <x:c r="H11" s="24" t="n">
        <x:v>269.885</x:v>
      </x:c>
      <x:c r="I11" s="24" t="n">
        <x:v>0.9951</x:v>
      </x:c>
      <x:c r="J11" s="24" t="n">
        <x:v>269.893</x:v>
      </x:c>
      <x:c r="K11" s="24" t="n">
        <x:v>0.83882</x:v>
      </x:c>
      <x:c r="L11" s="24" t="n">
        <x:v>269.942</x:v>
      </x:c>
      <x:c r="M11" s="24" t="n">
        <x:v>0.18938</x:v>
      </x:c>
      <x:c r="N11" s="24" t="n">
        <x:v>269.867</x:v>
      </x:c>
      <x:c r="O11" s="24" t="n">
        <x:v>269.2999</x:v>
      </x:c>
      <x:c r="P11" s="24" t="n">
        <x:v>2.9009</x:v>
      </x:c>
      <x:c r="Q11" s="24" t="n">
        <x:v>1.3214</x:v>
      </x:c>
      <x:c r="R11" s="24" t="n">
        <x:v>0.45551380606018815</x:v>
      </x:c>
      <x:c r="S11" s="24" t="n">
        <x:v>733.2034</x:v>
      </x:c>
      <x:c r="T11" s="24" t="n">
        <x:v>1.7841</x:v>
      </x:c>
      <x:c r="U11" s="24" t="n">
        <x:v>0.1162</x:v>
      </x:c>
      <x:c r="V11" s="24" t="n">
        <x:v>0.06513087831399585</x:v>
      </x:c>
      <x:c r="W11" s="24" t="n">
        <x:v>11.371772805507744</x:v>
      </x:c>
      <x:c r="X11" s="24" t="n">
        <x:v>1</x:v>
      </x:c>
      <x:c r="Y11" s="24" t="n">
        <x:v>269.299913</x:v>
      </x:c>
      <x:c r="Z11" s="24" t="n">
        <x:v>269.299913</x:v>
      </x:c>
      <x:c r="AA11" t="str">
        <x:v>LOCKED</x:v>
      </x:c>
      <x:c r="AB11" t="n">
        <x:v>1599.44</x:v>
      </x:c>
      <x:c r="AC11" t="n">
        <x:v>0</x:v>
      </x:c>
      <x:c r="AD11" t="n">
        <x:v>0</x:v>
      </x:c>
      <x:c r="AE11" s="21" t="str">
        <x:v>Control-family component is strongly present at hand</x:v>
      </x:c>
      <x:c r="AF11" t="str">
        <x:v>20–750 Hz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AF1"/>
  </x:mergeCells>
  <x:conditionalFormatting sqref="Q4:W11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81923a8767eb4035"/>
</x:worksheet>
</file>

<file path=xl/worksheets/sheet6.xml><?xml version="1.0" encoding="utf-8"?>
<x:worksheet xmlns:x="http://schemas.openxmlformats.org/spreadsheetml/2006/main">
  <x:sheetFormatPr defaultRowHeight="15"/>
  <x:cols>
    <x:col min="1" max="1" width="65.75" hidden="0" customWidth="1"/>
    <x:col min="2" max="2" width="8.25" hidden="0" customWidth="1"/>
    <x:col min="3" max="3" width="9.5" hidden="0" customWidth="1"/>
    <x:col min="4" max="4" width="10.25" hidden="0" customWidth="1"/>
    <x:col min="5" max="5" width="9.130000114440918" hidden="0" customWidth="1"/>
    <x:col min="6" max="6" width="8.630000114440918" hidden="0" customWidth="1"/>
    <x:col min="7" max="7" width="10.880000114440918" hidden="0" customWidth="1"/>
    <x:col min="8" max="8" width="15.380000114440918" hidden="0" customWidth="1"/>
    <x:col min="9" max="9" width="8.130000114440918" hidden="0" customWidth="1"/>
    <x:col min="10" max="10" width="10.630000114440918" hidden="0" customWidth="1"/>
    <x:col min="11" max="11" width="11.630000114440918" hidden="0" customWidth="1"/>
    <x:col min="12" max="12" width="10.630000114440918" hidden="0" customWidth="1"/>
    <x:col min="13" max="13" width="13.630000114440918" hidden="0" customWidth="1"/>
    <x:col min="14" max="14" width="20.3799991607666" hidden="0" customWidth="1"/>
  </x:cols>
  <x:sheetData>
    <x:row r="1" ht="18" hidden="0" customHeight="1">
      <x:c r="A1" s="5" t="str">
        <x:v>Broadband Candidate Table — All Extracted Triaxial Candidates</x:v>
      </x:c>
    </x:row>
    <x:row r="2"/>
    <x:row r="3" ht="15" hidden="0" customHeight="1">
      <x:c r="A3" s="13" t="str">
        <x:v>Run</x:v>
      </x:c>
      <x:c r="B3" s="13" t="str">
        <x:v>Candidate</x:v>
      </x:c>
      <x:c r="C3" s="13" t="str">
        <x:v>FFT Seed Hz</x:v>
      </x:c>
      <x:c r="D3" s="13" t="str">
        <x:v>FFT Vec Amp</x:v>
      </x:c>
      <x:c r="E3" s="13" t="str">
        <x:v>FFT SNR dB</x:v>
      </x:c>
      <x:c r="F3" s="13" t="str">
        <x:v>Refined Hz</x:v>
      </x:c>
      <x:c r="G3" s="13" t="str">
        <x:v>Tool Vec Amp</x:v>
      </x:c>
      <x:c r="H3" s="13" t="str">
        <x:v>Tool Weighted Sync</x:v>
      </x:c>
      <x:c r="I3" s="13" t="str">
        <x:v>RMSE deg</x:v>
      </x:c>
      <x:c r="J3" s="13" t="str">
        <x:v>Support Axes</x:v>
      </x:c>
      <x:c r="K3" s="13" t="str">
        <x:v>Hand Vec Amp</x:v>
      </x:c>
      <x:c r="L3" s="13" t="str">
        <x:v>Quality Score</x:v>
      </x:c>
      <x:c r="M3" s="13" t="str">
        <x:v>Candidate Status</x:v>
      </x:c>
      <x:c r="N3" s="13" t="str">
        <x:v>Frequency Family</x:v>
      </x:c>
    </x:row>
    <x:row r="4" ht="15" hidden="0" customHeight="1">
      <x:c r="A4" t="n">
        <x:v>1</x:v>
      </x:c>
      <x:c r="B4" t="n">
        <x:v>1</x:v>
      </x:c>
      <x:c r="C4" s="24" t="n">
        <x:v>268.422</x:v>
      </x:c>
      <x:c r="D4" s="24" t="n">
        <x:v>2.4935</x:v>
      </x:c>
      <x:c r="E4" s="24" t="n">
        <x:v>21.6</x:v>
      </x:c>
      <x:c r="F4" s="24" t="n">
        <x:v>268.6433</x:v>
      </x:c>
      <x:c r="G4" s="24" t="n">
        <x:v>2.7175</x:v>
      </x:c>
      <x:c r="H4" s="24" t="n">
        <x:v>0.425</x:v>
      </x:c>
      <x:c r="I4" s="24" t="n">
        <x:v>4.63</x:v>
      </x:c>
      <x:c r="J4" s="24" t="n">
        <x:v>2</x:v>
      </x:c>
      <x:c r="K4" s="24" t="n">
        <x:v>1.3338</x:v>
      </x:c>
      <x:c r="L4" s="24" t="n">
        <x:v>1.8399</x:v>
      </x:c>
      <x:c r="M4" t="str">
        <x:v>VALID/QUALIFIED</x:v>
      </x:c>
      <x:c r="N4" t="str">
        <x:v>CONTROL FAMILY 240–320</x:v>
      </x:c>
    </x:row>
    <x:row r="5" ht="15" hidden="0" customHeight="1">
      <x:c r="A5" t="n">
        <x:v>1</x:v>
      </x:c>
      <x:c r="B5" t="n">
        <x:v>2</x:v>
      </x:c>
      <x:c r="C5" s="24" t="n">
        <x:v>198.252</x:v>
      </x:c>
      <x:c r="D5" s="24" t="n">
        <x:v>2.0689</x:v>
      </x:c>
      <x:c r="E5" s="24" t="n">
        <x:v>20.3</x:v>
      </x:c>
      <x:c r="F5" s="24" t="n">
        <x:v>197.7565</x:v>
      </x:c>
      <x:c r="G5" s="24" t="n">
        <x:v>3.2188</x:v>
      </x:c>
      <x:c r="H5" s="24" t="n">
        <x:v>0.513</x:v>
      </x:c>
      <x:c r="I5" s="24" t="n">
        <x:v>8.15</x:v>
      </x:c>
      <x:c r="J5" s="24" t="n">
        <x:v>3</x:v>
      </x:c>
      <x:c r="K5" s="24" t="n">
        <x:v>0.0838</x:v>
      </x:c>
      <x:c r="L5" s="24" t="n">
        <x:v>2.2416</x:v>
      </x:c>
      <x:c r="M5" t="str">
        <x:v>VALID/QUALIFIED</x:v>
      </x:c>
      <x:c r="N5" t="str">
        <x:v>~180–205 Hz family</x:v>
      </x:c>
    </x:row>
    <x:row r="6" ht="15" hidden="0" customHeight="1">
      <x:c r="A6" t="n">
        <x:v>1</x:v>
      </x:c>
      <x:c r="B6" t="n">
        <x:v>3</x:v>
      </x:c>
      <x:c r="C6" s="24" t="n">
        <x:v>339.102</x:v>
      </x:c>
      <x:c r="D6" s="24" t="n">
        <x:v>1.2965</x:v>
      </x:c>
      <x:c r="E6" s="24" t="n">
        <x:v>16</x:v>
      </x:c>
      <x:c r="F6" s="24" t="n">
        <x:v>339.5111</x:v>
      </x:c>
      <x:c r="G6" s="24" t="n">
        <x:v>2.0567</x:v>
      </x:c>
      <x:c r="H6" s="24" t="n">
        <x:v>0.367</x:v>
      </x:c>
      <x:c r="I6" s="24" t="n">
        <x:v>13.78</x:v>
      </x:c>
      <x:c r="J6" s="24" t="n">
        <x:v>1</x:v>
      </x:c>
      <x:c r="K6" s="24" t="n">
        <x:v>0.0964</x:v>
      </x:c>
      <x:c r="L6" s="24" t="n">
        <x:v>0.6283</x:v>
      </x:c>
      <x:c r="M6" t="str">
        <x:v>VALID/QUALIFIED</x:v>
      </x:c>
      <x:c r="N6" t="str">
        <x:v>~330–365 Hz family</x:v>
      </x:c>
    </x:row>
    <x:row r="7" ht="15" hidden="0" customHeight="1">
      <x:c r="A7" t="n">
        <x:v>1</x:v>
      </x:c>
      <x:c r="B7" t="n">
        <x:v>4</x:v>
      </x:c>
      <x:c r="C7" s="24" t="n">
        <x:v>735.638</x:v>
      </x:c>
      <x:c r="D7" s="24" t="n">
        <x:v>0.9729</x:v>
      </x:c>
      <x:c r="E7" s="24" t="n">
        <x:v>13.4</x:v>
      </x:c>
      <x:c r="F7" s="24" t="n">
        <x:v>735.0302</x:v>
      </x:c>
      <x:c r="G7" s="24" t="n">
        <x:v>1.5922</x:v>
      </x:c>
      <x:c r="H7" s="24" t="n">
        <x:v>0.266</x:v>
      </x:c>
      <x:c r="I7" s="24" t="n">
        <x:v>10.13</x:v>
      </x:c>
      <x:c r="J7" s="24" t="n">
        <x:v>0</x:v>
      </x:c>
      <x:c r="K7" s="24" t="n">
        <x:v>0.1051</x:v>
      </x:c>
      <x:c r="L7" s="24" t="n">
        <x:v>0</x:v>
      </x:c>
      <x:c r="M7" t="str">
        <x:v>LOW CONF</x:v>
      </x:c>
      <x:c r="N7" t="str">
        <x:v>~724–739 Hz family</x:v>
      </x:c>
    </x:row>
    <x:row r="8" ht="15" hidden="0" customHeight="1">
      <x:c r="A8" t="n">
        <x:v>1</x:v>
      </x:c>
      <x:c r="B8" t="n">
        <x:v>5</x:v>
      </x:c>
      <x:c r="C8" s="24" t="n">
        <x:v>536.762</x:v>
      </x:c>
      <x:c r="D8" s="24" t="n">
        <x:v>0.8094</x:v>
      </x:c>
      <x:c r="E8" s="24" t="n">
        <x:v>11.1</x:v>
      </x:c>
      <x:c r="F8" s="24" t="n">
        <x:v>537.2667</x:v>
      </x:c>
      <x:c r="G8" s="24" t="n">
        <x:v>1.0712</x:v>
      </x:c>
      <x:c r="H8" s="24" t="n">
        <x:v>0.161</x:v>
      </x:c>
      <x:c r="I8" s="24" t="n">
        <x:v>16.6</x:v>
      </x:c>
      <x:c r="J8" s="24" t="n">
        <x:v>0</x:v>
      </x:c>
      <x:c r="K8" s="24" t="n">
        <x:v>0.4201</x:v>
      </x:c>
      <x:c r="L8" s="24" t="n">
        <x:v>0</x:v>
      </x:c>
      <x:c r="M8" t="str">
        <x:v>LOW CONF</x:v>
      </x:c>
      <x:c r="N8" t="str">
        <x:v>~537–545 Hz family</x:v>
      </x:c>
    </x:row>
    <x:row r="9" ht="15" hidden="0" customHeight="1">
      <x:c r="A9" t="n">
        <x:v>2</x:v>
      </x:c>
      <x:c r="B9" t="n">
        <x:v>1</x:v>
      </x:c>
      <x:c r="C9" s="24" t="n">
        <x:v>267.805</x:v>
      </x:c>
      <x:c r="D9" s="24" t="n">
        <x:v>2.7826</x:v>
      </x:c>
      <x:c r="E9" s="24" t="n">
        <x:v>20.8</x:v>
      </x:c>
      <x:c r="F9" s="24" t="n">
        <x:v>268.036</x:v>
      </x:c>
      <x:c r="G9" s="24" t="n">
        <x:v>3.0263</x:v>
      </x:c>
      <x:c r="H9" s="24" t="n">
        <x:v>0.46</x:v>
      </x:c>
      <x:c r="I9" s="24" t="n">
        <x:v>5.39</x:v>
      </x:c>
      <x:c r="J9" s="24" t="n">
        <x:v>2</x:v>
      </x:c>
      <x:c r="K9" s="24" t="n">
        <x:v>1.398</x:v>
      </x:c>
      <x:c r="L9" s="24" t="n">
        <x:v>1.9624</x:v>
      </x:c>
      <x:c r="M9" t="str">
        <x:v>VALID/QUALIFIED</x:v>
      </x:c>
      <x:c r="N9" t="str">
        <x:v>CONTROL FAMILY 240–320</x:v>
      </x:c>
    </x:row>
    <x:row r="10" ht="15" hidden="0" customHeight="1">
      <x:c r="A10" t="n">
        <x:v>2</x:v>
      </x:c>
      <x:c r="B10" t="n">
        <x:v>2</x:v>
      </x:c>
      <x:c r="C10" s="24" t="n">
        <x:v>201.437</x:v>
      </x:c>
      <x:c r="D10" s="24" t="n">
        <x:v>2.5464</x:v>
      </x:c>
      <x:c r="E10" s="24" t="n">
        <x:v>20.6</x:v>
      </x:c>
      <x:c r="F10" s="24" t="n">
        <x:v>200.5122</x:v>
      </x:c>
      <x:c r="G10" s="24" t="n">
        <x:v>2.6446</x:v>
      </x:c>
      <x:c r="H10" s="24" t="n">
        <x:v>0.374</x:v>
      </x:c>
      <x:c r="I10" s="24" t="n">
        <x:v>14.98</x:v>
      </x:c>
      <x:c r="J10" s="24" t="n">
        <x:v>2</x:v>
      </x:c>
      <x:c r="K10" s="24" t="n">
        <x:v>0.1279</x:v>
      </x:c>
      <x:c r="L10" s="24" t="n">
        <x:v>1.2528</x:v>
      </x:c>
      <x:c r="M10" t="str">
        <x:v>VALID/QUALIFIED</x:v>
      </x:c>
      <x:c r="N10" t="str">
        <x:v>~180–205 Hz family</x:v>
      </x:c>
    </x:row>
    <x:row r="11" ht="15" hidden="0" customHeight="1">
      <x:c r="A11" t="n">
        <x:v>2</x:v>
      </x:c>
      <x:c r="B11" t="n">
        <x:v>3</x:v>
      </x:c>
      <x:c r="C11" s="24" t="n">
        <x:v>334.333</x:v>
      </x:c>
      <x:c r="D11" s="24" t="n">
        <x:v>1.9351</x:v>
      </x:c>
      <x:c r="E11" s="24" t="n">
        <x:v>18.1</x:v>
      </x:c>
      <x:c r="F11" s="24" t="n">
        <x:v>335.5057</x:v>
      </x:c>
      <x:c r="G11" s="24" t="n">
        <x:v>2.0153</x:v>
      </x:c>
      <x:c r="H11" s="24" t="n">
        <x:v>0.322</x:v>
      </x:c>
      <x:c r="I11" s="24" t="n">
        <x:v>29.21</x:v>
      </x:c>
      <x:c r="J11" s="24" t="n">
        <x:v>1</x:v>
      </x:c>
      <x:c r="K11" s="24" t="n">
        <x:v>0.1221</x:v>
      </x:c>
      <x:c r="L11" s="24" t="n">
        <x:v>0.5108</x:v>
      </x:c>
      <x:c r="M11" t="str">
        <x:v>VALID/QUALIFIED</x:v>
      </x:c>
      <x:c r="N11" t="str">
        <x:v>~330–365 Hz family</x:v>
      </x:c>
    </x:row>
    <x:row r="12" ht="15" hidden="0" customHeight="1">
      <x:c r="A12" t="n">
        <x:v>2</x:v>
      </x:c>
      <x:c r="B12" t="n">
        <x:v>4</x:v>
      </x:c>
      <x:c r="C12" s="24" t="n">
        <x:v>737.206</x:v>
      </x:c>
      <x:c r="D12" s="24" t="n">
        <x:v>1.5789</x:v>
      </x:c>
      <x:c r="E12" s="24" t="n">
        <x:v>16.2</x:v>
      </x:c>
      <x:c r="F12" s="24" t="n">
        <x:v>736.599</x:v>
      </x:c>
      <x:c r="G12" s="24" t="n">
        <x:v>1.6714</x:v>
      </x:c>
      <x:c r="H12" s="24" t="n">
        <x:v>0.313</x:v>
      </x:c>
      <x:c r="I12" s="24" t="n">
        <x:v>12.64</x:v>
      </x:c>
      <x:c r="J12" s="24" t="n">
        <x:v>1</x:v>
      </x:c>
      <x:c r="K12" s="24" t="n">
        <x:v>0.1223</x:v>
      </x:c>
      <x:c r="L12" s="24" t="n">
        <x:v>0.508</x:v>
      </x:c>
      <x:c r="M12" t="str">
        <x:v>VALID/QUALIFIED</x:v>
      </x:c>
      <x:c r="N12" t="str">
        <x:v>~724–739 Hz family</x:v>
      </x:c>
    </x:row>
    <x:row r="13" ht="15" hidden="0" customHeight="1">
      <x:c r="A13" t="n">
        <x:v>2</x:v>
      </x:c>
      <x:c r="B13" t="n">
        <x:v>5</x:v>
      </x:c>
      <x:c r="C13" s="24" t="n">
        <x:v>66.579</x:v>
      </x:c>
      <x:c r="D13" s="24" t="n">
        <x:v>1.2578</x:v>
      </x:c>
      <x:c r="E13" s="24" t="n">
        <x:v>13.8</x:v>
      </x:c>
      <x:c r="F13" s="24" t="n">
        <x:v>67.4952</x:v>
      </x:c>
      <x:c r="G13" s="24" t="n">
        <x:v>1.3016</x:v>
      </x:c>
      <x:c r="H13" s="24" t="n">
        <x:v>0.18</x:v>
      </x:c>
      <x:c r="I13" s="24" t="n">
        <x:v>23</x:v>
      </x:c>
      <x:c r="J13" s="24" t="n">
        <x:v>0</x:v>
      </x:c>
      <x:c r="K13" s="24" t="n">
        <x:v>0.1116</x:v>
      </x:c>
      <x:c r="L13" s="24" t="n">
        <x:v>0</x:v>
      </x:c>
      <x:c r="M13" t="str">
        <x:v>LOW CONF</x:v>
      </x:c>
      <x:c r="N13" t="str">
        <x:v>Other</x:v>
      </x:c>
    </x:row>
    <x:row r="14" ht="15" hidden="0" customHeight="1">
      <x:c r="A14" t="n">
        <x:v>3</x:v>
      </x:c>
      <x:c r="B14" t="n">
        <x:v>1</x:v>
      </x:c>
      <x:c r="C14" s="24" t="n">
        <x:v>268.367</x:v>
      </x:c>
      <x:c r="D14" s="24" t="n">
        <x:v>2.7722</x:v>
      </x:c>
      <x:c r="E14" s="24" t="n">
        <x:v>22</x:v>
      </x:c>
      <x:c r="F14" s="24" t="n">
        <x:v>268.0642</x:v>
      </x:c>
      <x:c r="G14" s="24" t="n">
        <x:v>2.9608</x:v>
      </x:c>
      <x:c r="H14" s="24" t="n">
        <x:v>0.494</x:v>
      </x:c>
      <x:c r="I14" s="24" t="n">
        <x:v>4.83</x:v>
      </x:c>
      <x:c r="J14" s="24" t="n">
        <x:v>1</x:v>
      </x:c>
      <x:c r="K14" s="24" t="n">
        <x:v>1.6448</x:v>
      </x:c>
      <x:c r="L14" s="24" t="n">
        <x:v>1.805</x:v>
      </x:c>
      <x:c r="M14" t="str">
        <x:v>VALID/QUALIFIED</x:v>
      </x:c>
      <x:c r="N14" t="str">
        <x:v>CONTROL FAMILY 240–320</x:v>
      </x:c>
    </x:row>
    <x:row r="15" ht="15" hidden="0" customHeight="1">
      <x:c r="A15" t="n">
        <x:v>3</x:v>
      </x:c>
      <x:c r="B15" t="n">
        <x:v>2</x:v>
      </x:c>
      <x:c r="C15" s="24" t="n">
        <x:v>199.444</x:v>
      </x:c>
      <x:c r="D15" s="24" t="n">
        <x:v>2.5324</x:v>
      </x:c>
      <x:c r="E15" s="24" t="n">
        <x:v>21</x:v>
      </x:c>
      <x:c r="F15" s="24" t="n">
        <x:v>200.2869</x:v>
      </x:c>
      <x:c r="G15" s="24" t="n">
        <x:v>2.6507</x:v>
      </x:c>
      <x:c r="H15" s="24" t="n">
        <x:v>0.422</x:v>
      </x:c>
      <x:c r="I15" s="24" t="n">
        <x:v>13.51</x:v>
      </x:c>
      <x:c r="J15" s="24" t="n">
        <x:v>1</x:v>
      </x:c>
      <x:c r="K15" s="24" t="n">
        <x:v>0.0968</x:v>
      </x:c>
      <x:c r="L15" s="24" t="n">
        <x:v>1.1693</x:v>
      </x:c>
      <x:c r="M15" t="str">
        <x:v>VALID/QUALIFIED</x:v>
      </x:c>
      <x:c r="N15" t="str">
        <x:v>~180–205 Hz family</x:v>
      </x:c>
    </x:row>
    <x:row r="16" ht="15" hidden="0" customHeight="1">
      <x:c r="A16" t="n">
        <x:v>3</x:v>
      </x:c>
      <x:c r="B16" t="n">
        <x:v>3</x:v>
      </x:c>
      <x:c r="C16" s="24" t="n">
        <x:v>337.218</x:v>
      </x:c>
      <x:c r="D16" s="24" t="n">
        <x:v>1.5839</x:v>
      </x:c>
      <x:c r="E16" s="24" t="n">
        <x:v>17</x:v>
      </x:c>
      <x:c r="F16" s="24" t="n">
        <x:v>335.8084</x:v>
      </x:c>
      <x:c r="G16" s="24" t="n">
        <x:v>1.5836</x:v>
      </x:c>
      <x:c r="H16" s="24" t="n">
        <x:v>0.252</x:v>
      </x:c>
      <x:c r="I16" s="24" t="n">
        <x:v>29.53</x:v>
      </x:c>
      <x:c r="J16" s="24" t="n">
        <x:v>0</x:v>
      </x:c>
      <x:c r="K16" s="24" t="n">
        <x:v>0.1452</x:v>
      </x:c>
      <x:c r="L16" s="24" t="n">
        <x:v>0</x:v>
      </x:c>
      <x:c r="M16" t="str">
        <x:v>LOW CONF</x:v>
      </x:c>
      <x:c r="N16" t="str">
        <x:v>~330–365 Hz family</x:v>
      </x:c>
    </x:row>
    <x:row r="17" ht="15" hidden="0" customHeight="1">
      <x:c r="A17" t="n">
        <x:v>3</x:v>
      </x:c>
      <x:c r="B17" t="n">
        <x:v>4</x:v>
      </x:c>
      <x:c r="C17" s="24" t="n">
        <x:v>735.887</x:v>
      </x:c>
      <x:c r="D17" s="24" t="n">
        <x:v>1.256</x:v>
      </x:c>
      <x:c r="E17" s="24" t="n">
        <x:v>15.1</x:v>
      </x:c>
      <x:c r="F17" s="24" t="n">
        <x:v>736.4102</x:v>
      </x:c>
      <x:c r="G17" s="24" t="n">
        <x:v>1.2615</x:v>
      </x:c>
      <x:c r="H17" s="24" t="n">
        <x:v>0.229</x:v>
      </x:c>
      <x:c r="I17" s="24" t="n">
        <x:v>27.89</x:v>
      </x:c>
      <x:c r="J17" s="24" t="n">
        <x:v>1</x:v>
      </x:c>
      <x:c r="K17" s="24" t="n">
        <x:v>0.1498</x:v>
      </x:c>
      <x:c r="L17" s="24" t="n">
        <x:v>0.2434</x:v>
      </x:c>
      <x:c r="M17" t="str">
        <x:v>VALID/QUALIFIED</x:v>
      </x:c>
      <x:c r="N17" t="str">
        <x:v>~724–739 Hz family</x:v>
      </x:c>
    </x:row>
    <x:row r="18" ht="15" hidden="0" customHeight="1">
      <x:c r="A18" t="n">
        <x:v>3</x:v>
      </x:c>
      <x:c r="B18" t="n">
        <x:v>5</x:v>
      </x:c>
      <x:c r="C18" s="24" t="n">
        <x:v>68.789</x:v>
      </x:c>
      <x:c r="D18" s="24" t="n">
        <x:v>1.0312</x:v>
      </x:c>
      <x:c r="E18" s="24" t="n">
        <x:v>13.4</x:v>
      </x:c>
      <x:c r="F18" s="24" t="n">
        <x:v>67.7793</x:v>
      </x:c>
      <x:c r="G18" s="24" t="n">
        <x:v>1.1111</x:v>
      </x:c>
      <x:c r="H18" s="24" t="n">
        <x:v>0.174</x:v>
      </x:c>
      <x:c r="I18" s="24" t="n">
        <x:v>17.9</x:v>
      </x:c>
      <x:c r="J18" s="24" t="n">
        <x:v>0</x:v>
      </x:c>
      <x:c r="K18" s="24" t="n">
        <x:v>0.1015</x:v>
      </x:c>
      <x:c r="L18" s="24" t="n">
        <x:v>0</x:v>
      </x:c>
      <x:c r="M18" t="str">
        <x:v>LOW CONF</x:v>
      </x:c>
      <x:c r="N18" t="str">
        <x:v>Other</x:v>
      </x:c>
    </x:row>
    <x:row r="19" ht="15" hidden="0" customHeight="1">
      <x:c r="A19" t="n">
        <x:v>4</x:v>
      </x:c>
      <x:c r="B19" t="n">
        <x:v>1</x:v>
      </x:c>
      <x:c r="C19" s="24" t="n">
        <x:v>271.836</x:v>
      </x:c>
      <x:c r="D19" s="24" t="n">
        <x:v>2.484</x:v>
      </x:c>
      <x:c r="E19" s="24" t="n">
        <x:v>21.2</x:v>
      </x:c>
      <x:c r="F19" s="24" t="n">
        <x:v>272.2739</x:v>
      </x:c>
      <x:c r="G19" s="24" t="n">
        <x:v>2.6722</x:v>
      </x:c>
      <x:c r="H19" s="24" t="n">
        <x:v>0.377</x:v>
      </x:c>
      <x:c r="I19" s="24" t="n">
        <x:v>5.01</x:v>
      </x:c>
      <x:c r="J19" s="24" t="n">
        <x:v>2</x:v>
      </x:c>
      <x:c r="K19" s="24" t="n">
        <x:v>1.2818</x:v>
      </x:c>
      <x:c r="L19" s="24" t="n">
        <x:v>1.6904</x:v>
      </x:c>
      <x:c r="M19" t="str">
        <x:v>VALID/QUALIFIED</x:v>
      </x:c>
      <x:c r="N19" t="str">
        <x:v>CONTROL FAMILY 240–320</x:v>
      </x:c>
    </x:row>
    <x:row r="20" ht="15" hidden="0" customHeight="1">
      <x:c r="A20" t="n">
        <x:v>4</x:v>
      </x:c>
      <x:c r="B20" t="n">
        <x:v>2</x:v>
      </x:c>
      <x:c r="C20" s="24" t="n">
        <x:v>180.927</x:v>
      </x:c>
      <x:c r="D20" s="24" t="n">
        <x:v>2.4557</x:v>
      </x:c>
      <x:c r="E20" s="24" t="n">
        <x:v>21.3</x:v>
      </x:c>
      <x:c r="F20" s="24" t="n">
        <x:v>179.4825</x:v>
      </x:c>
      <x:c r="G20" s="24" t="n">
        <x:v>4.5109</x:v>
      </x:c>
      <x:c r="H20" s="24" t="n">
        <x:v>0.66</x:v>
      </x:c>
      <x:c r="I20" s="24" t="n">
        <x:v>19.3</x:v>
      </x:c>
      <x:c r="J20" s="24" t="n">
        <x:v>1</x:v>
      </x:c>
      <x:c r="K20" s="24" t="n">
        <x:v>0.0858</x:v>
      </x:c>
      <x:c r="L20" s="24" t="n">
        <x:v>2.0794</x:v>
      </x:c>
      <x:c r="M20" t="str">
        <x:v>VALID/QUALIFIED</x:v>
      </x:c>
      <x:c r="N20" t="str">
        <x:v>~180–205 Hz family</x:v>
      </x:c>
    </x:row>
    <x:row r="21" ht="15" hidden="0" customHeight="1">
      <x:c r="A21" t="n">
        <x:v>4</x:v>
      </x:c>
      <x:c r="B21" t="n">
        <x:v>3</x:v>
      </x:c>
      <x:c r="C21" s="24" t="n">
        <x:v>543.85</x:v>
      </x:c>
      <x:c r="D21" s="24" t="n">
        <x:v>1.0705</x:v>
      </x:c>
      <x:c r="E21" s="24" t="n">
        <x:v>13.7</x:v>
      </x:c>
      <x:c r="F21" s="24" t="n">
        <x:v>544.5444</x:v>
      </x:c>
      <x:c r="G21" s="24" t="n">
        <x:v>1.0648</x:v>
      </x:c>
      <x:c r="H21" s="24" t="n">
        <x:v>0.148</x:v>
      </x:c>
      <x:c r="I21" s="24" t="n">
        <x:v>21.03</x:v>
      </x:c>
      <x:c r="J21" s="24" t="n">
        <x:v>0</x:v>
      </x:c>
      <x:c r="K21" s="24" t="n">
        <x:v>0.3196</x:v>
      </x:c>
      <x:c r="L21" s="24" t="n">
        <x:v>0</x:v>
      </x:c>
      <x:c r="M21" t="str">
        <x:v>LOW CONF</x:v>
      </x:c>
      <x:c r="N21" t="str">
        <x:v>~537–545 Hz family</x:v>
      </x:c>
    </x:row>
    <x:row r="22" ht="15" hidden="0" customHeight="1">
      <x:c r="A22" t="n">
        <x:v>4</x:v>
      </x:c>
      <x:c r="B22" t="n">
        <x:v>4</x:v>
      </x:c>
      <x:c r="C22" s="24" t="n">
        <x:v>725.143</x:v>
      </x:c>
      <x:c r="D22" s="24" t="n">
        <x:v>1.0404</x:v>
      </x:c>
      <x:c r="E22" s="24" t="n">
        <x:v>13.5</x:v>
      </x:c>
      <x:c r="F22" s="24" t="n">
        <x:v>724.0486</x:v>
      </x:c>
      <x:c r="G22" s="24" t="n">
        <x:v>1.7741</x:v>
      </x:c>
      <x:c r="H22" s="24" t="n">
        <x:v>0.293</x:v>
      </x:c>
      <x:c r="I22" s="24" t="n">
        <x:v>14.59</x:v>
      </x:c>
      <x:c r="J22" s="24" t="n">
        <x:v>1</x:v>
      </x:c>
      <x:c r="K22" s="24" t="n">
        <x:v>0.1049</x:v>
      </x:c>
      <x:c r="L22" s="24" t="n">
        <x:v>0.4051</x:v>
      </x:c>
      <x:c r="M22" t="str">
        <x:v>VALID/QUALIFIED</x:v>
      </x:c>
      <x:c r="N22" t="str">
        <x:v>~724–739 Hz family</x:v>
      </x:c>
    </x:row>
    <x:row r="23" ht="15" hidden="0" customHeight="1">
      <x:c r="A23" t="n">
        <x:v>4</x:v>
      </x:c>
      <x:c r="B23" t="n">
        <x:v>5</x:v>
      </x:c>
      <x:c r="C23" s="24" t="n">
        <x:v>363.497</x:v>
      </x:c>
      <x:c r="D23" s="24" t="n">
        <x:v>1.0444</x:v>
      </x:c>
      <x:c r="E23" s="24" t="n">
        <x:v>13.3</x:v>
      </x:c>
      <x:c r="F23" s="24" t="n">
        <x:v>365.0598</x:v>
      </x:c>
      <x:c r="G23" s="24" t="n">
        <x:v>2.0773</x:v>
      </x:c>
      <x:c r="H23" s="24" t="n">
        <x:v>0.269</x:v>
      </x:c>
      <x:c r="I23" s="24" t="n">
        <x:v>24.22</x:v>
      </x:c>
      <x:c r="J23" s="24" t="n">
        <x:v>0</x:v>
      </x:c>
      <x:c r="K23" s="24" t="n">
        <x:v>0.0983</x:v>
      </x:c>
      <x:c r="L23" s="24" t="n">
        <x:v>0</x:v>
      </x:c>
      <x:c r="M23" t="str">
        <x:v>LOW CONF</x:v>
      </x:c>
      <x:c r="N23" t="str">
        <x:v>~330–365 Hz family</x:v>
      </x:c>
    </x:row>
    <x:row r="24" ht="15" hidden="0" customHeight="1">
      <x:c r="A24" t="n">
        <x:v>5</x:v>
      </x:c>
      <x:c r="B24" t="n">
        <x:v>1</x:v>
      </x:c>
      <x:c r="C24" s="24" t="n">
        <x:v>270.021</x:v>
      </x:c>
      <x:c r="D24" s="24" t="n">
        <x:v>3.2086</x:v>
      </x:c>
      <x:c r="E24" s="24" t="n">
        <x:v>22.3</x:v>
      </x:c>
      <x:c r="F24" s="24" t="n">
        <x:v>269.5221</x:v>
      </x:c>
      <x:c r="G24" s="24" t="n">
        <x:v>3.3531</x:v>
      </x:c>
      <x:c r="H24" s="24" t="n">
        <x:v>0.505</x:v>
      </x:c>
      <x:c r="I24" s="24" t="n">
        <x:v>11.26</x:v>
      </x:c>
      <x:c r="J24" s="24" t="n">
        <x:v>2</x:v>
      </x:c>
      <x:c r="K24" s="24" t="n">
        <x:v>1.4127</x:v>
      </x:c>
      <x:c r="L24" s="24" t="n">
        <x:v>2.0858</x:v>
      </x:c>
      <x:c r="M24" t="str">
        <x:v>VALID/QUALIFIED</x:v>
      </x:c>
      <x:c r="N24" t="str">
        <x:v>CONTROL FAMILY 240–320</x:v>
      </x:c>
    </x:row>
    <x:row r="25" ht="15" hidden="0" customHeight="1">
      <x:c r="A25" t="n">
        <x:v>5</x:v>
      </x:c>
      <x:c r="B25" t="n">
        <x:v>2</x:v>
      </x:c>
      <x:c r="C25" s="24" t="n">
        <x:v>191.377</x:v>
      </x:c>
      <x:c r="D25" s="24" t="n">
        <x:v>2.2015</x:v>
      </x:c>
      <x:c r="E25" s="24" t="n">
        <x:v>18.8</x:v>
      </x:c>
      <x:c r="F25" s="24" t="n">
        <x:v>191.377</x:v>
      </x:c>
      <x:c r="G25" s="24" t="n">
        <x:v>3.1287</x:v>
      </x:c>
      <x:c r="H25" s="24" t="n">
        <x:v>0.034</x:v>
      </x:c>
      <x:c r="I25" s="24" t="n">
        <x:v>61.28</x:v>
      </x:c>
      <x:c r="J25" s="24" t="n">
        <x:v>0</x:v>
      </x:c>
      <x:c r="K25" s="24" t="n">
        <x:v>0.1028</x:v>
      </x:c>
      <x:c r="L25" s="24" t="n">
        <x:v>0</x:v>
      </x:c>
      <x:c r="M25" t="str">
        <x:v>LOW CONF</x:v>
      </x:c>
      <x:c r="N25" t="str">
        <x:v>~180–205 Hz family</x:v>
      </x:c>
    </x:row>
    <x:row r="26" ht="15" hidden="0" customHeight="1">
      <x:c r="A26" t="n">
        <x:v>5</x:v>
      </x:c>
      <x:c r="B26" t="n">
        <x:v>3</x:v>
      </x:c>
      <x:c r="C26" s="24" t="n">
        <x:v>731.177</x:v>
      </x:c>
      <x:c r="D26" s="24" t="n">
        <x:v>1.6454</x:v>
      </x:c>
      <x:c r="E26" s="24" t="n">
        <x:v>16.5</x:v>
      </x:c>
      <x:c r="F26" s="24" t="n">
        <x:v>732.3937</x:v>
      </x:c>
      <x:c r="G26" s="24" t="n">
        <x:v>2.1477</x:v>
      </x:c>
      <x:c r="H26" s="24" t="n">
        <x:v>0.317</x:v>
      </x:c>
      <x:c r="I26" s="24" t="n">
        <x:v>35.9</x:v>
      </x:c>
      <x:c r="J26" s="24" t="n">
        <x:v>0</x:v>
      </x:c>
      <x:c r="K26" s="24" t="n">
        <x:v>0.1302</x:v>
      </x:c>
      <x:c r="L26" s="24" t="n">
        <x:v>0</x:v>
      </x:c>
      <x:c r="M26" t="str">
        <x:v>LOW CONF</x:v>
      </x:c>
      <x:c r="N26" t="str">
        <x:v>~724–739 Hz family</x:v>
      </x:c>
    </x:row>
    <x:row r="27" ht="15" hidden="0" customHeight="1">
      <x:c r="A27" t="n">
        <x:v>5</x:v>
      </x:c>
      <x:c r="B27" t="n">
        <x:v>4</x:v>
      </x:c>
      <x:c r="C27" s="24" t="n">
        <x:v>349.579</x:v>
      </x:c>
      <x:c r="D27" s="24" t="n">
        <x:v>1.112</x:v>
      </x:c>
      <x:c r="E27" s="24" t="n">
        <x:v>12.9</x:v>
      </x:c>
      <x:c r="F27" s="24" t="n">
        <x:v>349.5793</x:v>
      </x:c>
      <x:c r="G27" s="24" t="n">
        <x:v>1.348</x:v>
      </x:c>
      <x:c r="H27" s="24" t="n">
        <x:v>0.009</x:v>
      </x:c>
      <x:c r="I27" s="24" t="n">
        <x:v>99.19</x:v>
      </x:c>
      <x:c r="J27" s="24" t="n">
        <x:v>0</x:v>
      </x:c>
      <x:c r="K27" s="24" t="n">
        <x:v>0.0974</x:v>
      </x:c>
      <x:c r="L27" s="24" t="n">
        <x:v>0</x:v>
      </x:c>
      <x:c r="M27" t="str">
        <x:v>LOW CONF</x:v>
      </x:c>
      <x:c r="N27" t="str">
        <x:v>~330–365 Hz family</x:v>
      </x:c>
    </x:row>
    <x:row r="28" ht="15" hidden="0" customHeight="1">
      <x:c r="A28" t="n">
        <x:v>5</x:v>
      </x:c>
      <x:c r="B28" t="n">
        <x:v>5</x:v>
      </x:c>
      <x:c r="C28" s="24" t="n">
        <x:v>539.907</x:v>
      </x:c>
      <x:c r="D28" s="24" t="n">
        <x:v>1.0616</x:v>
      </x:c>
      <x:c r="E28" s="24" t="n">
        <x:v>12</x:v>
      </x:c>
      <x:c r="F28" s="24" t="n">
        <x:v>539.0723</x:v>
      </x:c>
      <x:c r="G28" s="24" t="n">
        <x:v>1.1497</x:v>
      </x:c>
      <x:c r="H28" s="24" t="n">
        <x:v>0.143</x:v>
      </x:c>
      <x:c r="I28" s="24" t="n">
        <x:v>30.21</x:v>
      </x:c>
      <x:c r="J28" s="24" t="n">
        <x:v>0</x:v>
      </x:c>
      <x:c r="K28" s="24" t="n">
        <x:v>0.3815</x:v>
      </x:c>
      <x:c r="L28" s="24" t="n">
        <x:v>0</x:v>
      </x:c>
      <x:c r="M28" t="str">
        <x:v>LOW CONF</x:v>
      </x:c>
      <x:c r="N28" t="str">
        <x:v>~537–545 Hz family</x:v>
      </x:c>
    </x:row>
    <x:row r="29" ht="15" hidden="0" customHeight="1">
      <x:c r="A29" t="n">
        <x:v>6</x:v>
      </x:c>
      <x:c r="B29" t="n">
        <x:v>1</x:v>
      </x:c>
      <x:c r="C29" s="24" t="n">
        <x:v>271.529</x:v>
      </x:c>
      <x:c r="D29" s="24" t="n">
        <x:v>2.2427</x:v>
      </x:c>
      <x:c r="E29" s="24" t="n">
        <x:v>20.1</x:v>
      </x:c>
      <x:c r="F29" s="24" t="n">
        <x:v>272.3115</x:v>
      </x:c>
      <x:c r="G29" s="24" t="n">
        <x:v>2.5531</x:v>
      </x:c>
      <x:c r="H29" s="24" t="n">
        <x:v>0.345</x:v>
      </x:c>
      <x:c r="I29" s="24" t="n">
        <x:v>17.55</x:v>
      </x:c>
      <x:c r="J29" s="24" t="n">
        <x:v>1</x:v>
      </x:c>
      <x:c r="K29" s="24" t="n">
        <x:v>1.2092</x:v>
      </x:c>
      <x:c r="L29" s="24" t="n">
        <x:v>0.9264</x:v>
      </x:c>
      <x:c r="M29" t="str">
        <x:v>VALID/QUALIFIED</x:v>
      </x:c>
      <x:c r="N29" t="str">
        <x:v>CONTROL FAMILY 240–320</x:v>
      </x:c>
    </x:row>
    <x:row r="30" ht="15" hidden="0" customHeight="1">
      <x:c r="A30" t="n">
        <x:v>6</x:v>
      </x:c>
      <x:c r="B30" t="n">
        <x:v>2</x:v>
      </x:c>
      <x:c r="C30" s="24" t="n">
        <x:v>183.32</x:v>
      </x:c>
      <x:c r="D30" s="24" t="n">
        <x:v>2.1607</x:v>
      </x:c>
      <x:c r="E30" s="24" t="n">
        <x:v>19.8</x:v>
      </x:c>
      <x:c r="F30" s="24" t="n">
        <x:v>183.3201</x:v>
      </x:c>
      <x:c r="G30" s="24" t="n">
        <x:v>2.3348</x:v>
      </x:c>
      <x:c r="H30" s="24" t="n">
        <x:v>0.006</x:v>
      </x:c>
      <x:c r="I30" s="24" t="n">
        <x:v>98.22</x:v>
      </x:c>
      <x:c r="J30" s="24" t="n">
        <x:v>0</x:v>
      </x:c>
      <x:c r="K30" s="24" t="n">
        <x:v>0.0793</x:v>
      </x:c>
      <x:c r="L30" s="24" t="n">
        <x:v>0</x:v>
      </x:c>
      <x:c r="M30" t="str">
        <x:v>LOW CONF</x:v>
      </x:c>
      <x:c r="N30" t="str">
        <x:v>~180–205 Hz family</x:v>
      </x:c>
    </x:row>
    <x:row r="31" ht="15" hidden="0" customHeight="1">
      <x:c r="A31" t="n">
        <x:v>6</x:v>
      </x:c>
      <x:c r="B31" t="n">
        <x:v>3</x:v>
      </x:c>
      <x:c r="C31" s="24" t="n">
        <x:v>726.31</x:v>
      </x:c>
      <x:c r="D31" s="24" t="n">
        <x:v>1.8182</x:v>
      </x:c>
      <x:c r="E31" s="24" t="n">
        <x:v>18.4</x:v>
      </x:c>
      <x:c r="F31" s="24" t="n">
        <x:v>726.3096</x:v>
      </x:c>
      <x:c r="G31" s="24" t="n">
        <x:v>1.8706</x:v>
      </x:c>
      <x:c r="H31" s="24" t="n">
        <x:v>0.045</x:v>
      </x:c>
      <x:c r="I31" s="24" t="n">
        <x:v>88.9</x:v>
      </x:c>
      <x:c r="J31" s="24" t="n">
        <x:v>0</x:v>
      </x:c>
      <x:c r="K31" s="24" t="n">
        <x:v>0.1234</x:v>
      </x:c>
      <x:c r="L31" s="24" t="n">
        <x:v>0</x:v>
      </x:c>
      <x:c r="M31" t="str">
        <x:v>LOW CONF</x:v>
      </x:c>
      <x:c r="N31" t="str">
        <x:v>~724–739 Hz family</x:v>
      </x:c>
    </x:row>
    <x:row r="32" ht="15" hidden="0" customHeight="1">
      <x:c r="A32" t="n">
        <x:v>6</x:v>
      </x:c>
      <x:c r="B32" t="n">
        <x:v>4</x:v>
      </x:c>
      <x:c r="C32" s="24" t="n">
        <x:v>454.699</x:v>
      </x:c>
      <x:c r="D32" s="24" t="n">
        <x:v>1.3397</x:v>
      </x:c>
      <x:c r="E32" s="24" t="n">
        <x:v>15.8</x:v>
      </x:c>
      <x:c r="F32" s="24" t="n">
        <x:v>454.6993</x:v>
      </x:c>
      <x:c r="G32" s="24" t="n">
        <x:v>1.4405</x:v>
      </x:c>
      <x:c r="H32" s="24" t="n">
        <x:v>0.007</x:v>
      </x:c>
      <x:c r="I32" s="24" t="n">
        <x:v>159.54</x:v>
      </x:c>
      <x:c r="J32" s="24" t="n">
        <x:v>0</x:v>
      </x:c>
      <x:c r="K32" s="24" t="n">
        <x:v>0.0844</x:v>
      </x:c>
      <x:c r="L32" s="24" t="n">
        <x:v>0</x:v>
      </x:c>
      <x:c r="M32" t="str">
        <x:v>LOW CONF</x:v>
      </x:c>
      <x:c r="N32" t="str">
        <x:v>Other</x:v>
      </x:c>
    </x:row>
    <x:row r="33" ht="15" hidden="0" customHeight="1">
      <x:c r="A33" t="n">
        <x:v>6</x:v>
      </x:c>
      <x:c r="B33" t="n">
        <x:v>5</x:v>
      </x:c>
      <x:c r="C33" s="24" t="n">
        <x:v>630.067</x:v>
      </x:c>
      <x:c r="D33" s="24" t="n">
        <x:v>1.0731</x:v>
      </x:c>
      <x:c r="E33" s="24" t="n">
        <x:v>13.7</x:v>
      </x:c>
      <x:c r="F33" s="24" t="n">
        <x:v>630.0669</x:v>
      </x:c>
      <x:c r="G33" s="24" t="n">
        <x:v>0.8464</x:v>
      </x:c>
      <x:c r="H33" s="24" t="n">
        <x:v>0.094</x:v>
      </x:c>
      <x:c r="I33" s="24" t="n">
        <x:v>47.28</x:v>
      </x:c>
      <x:c r="J33" s="24" t="n">
        <x:v>0</x:v>
      </x:c>
      <x:c r="K33" s="24" t="n">
        <x:v>0.0758</x:v>
      </x:c>
      <x:c r="L33" s="24" t="n">
        <x:v>0</x:v>
      </x:c>
      <x:c r="M33" t="str">
        <x:v>LOW CONF</x:v>
      </x:c>
      <x:c r="N33" t="str">
        <x:v>Other</x:v>
      </x:c>
    </x:row>
    <x:row r="34" ht="15" hidden="0" customHeight="1">
      <x:c r="A34" t="n">
        <x:v>7</x:v>
      </x:c>
      <x:c r="B34" t="n">
        <x:v>1</x:v>
      </x:c>
      <x:c r="C34" s="24" t="n">
        <x:v>192.693</x:v>
      </x:c>
      <x:c r="D34" s="24" t="n">
        <x:v>2.7903</x:v>
      </x:c>
      <x:c r="E34" s="24" t="n">
        <x:v>21.1</x:v>
      </x:c>
      <x:c r="F34" s="24" t="n">
        <x:v>192.6927</x:v>
      </x:c>
      <x:c r="G34" s="24" t="n">
        <x:v>3.1995</x:v>
      </x:c>
      <x:c r="H34" s="24" t="n">
        <x:v>0.013</x:v>
      </x:c>
      <x:c r="I34" s="24" t="n">
        <x:v>27.12</x:v>
      </x:c>
      <x:c r="J34" s="24" t="n">
        <x:v>0</x:v>
      </x:c>
      <x:c r="K34" s="24" t="n">
        <x:v>0.1121</x:v>
      </x:c>
      <x:c r="L34" s="24" t="n">
        <x:v>0</x:v>
      </x:c>
      <x:c r="M34" t="str">
        <x:v>LOW CONF</x:v>
      </x:c>
      <x:c r="N34" t="str">
        <x:v>~180–205 Hz family</x:v>
      </x:c>
    </x:row>
    <x:row r="35" ht="15" hidden="0" customHeight="1">
      <x:c r="A35" t="n">
        <x:v>7</x:v>
      </x:c>
      <x:c r="B35" t="n">
        <x:v>2</x:v>
      </x:c>
      <x:c r="C35" s="24" t="n">
        <x:v>269.695</x:v>
      </x:c>
      <x:c r="D35" s="24" t="n">
        <x:v>2.3182</x:v>
      </x:c>
      <x:c r="E35" s="24" t="n">
        <x:v>19</x:v>
      </x:c>
      <x:c r="F35" s="24" t="n">
        <x:v>269.1562</x:v>
      </x:c>
      <x:c r="G35" s="24" t="n">
        <x:v>2.4497</x:v>
      </x:c>
      <x:c r="H35" s="24" t="n">
        <x:v>0.322</x:v>
      </x:c>
      <x:c r="I35" s="24" t="n">
        <x:v>7.03</x:v>
      </x:c>
      <x:c r="J35" s="24" t="n">
        <x:v>0</x:v>
      </x:c>
      <x:c r="K35" s="24" t="n">
        <x:v>1.166</x:v>
      </x:c>
      <x:c r="L35" s="24" t="n">
        <x:v>0</x:v>
      </x:c>
      <x:c r="M35" t="str">
        <x:v>LOW CONF</x:v>
      </x:c>
      <x:c r="N35" t="str">
        <x:v>CONTROL FAMILY 240–320</x:v>
      </x:c>
    </x:row>
    <x:row r="36" ht="15" hidden="0" customHeight="1">
      <x:c r="A36" t="n">
        <x:v>7</x:v>
      </x:c>
      <x:c r="B36" t="n">
        <x:v>3</x:v>
      </x:c>
      <x:c r="C36" s="24" t="n">
        <x:v>731.849</x:v>
      </x:c>
      <x:c r="D36" s="24" t="n">
        <x:v>1.8942</x:v>
      </x:c>
      <x:c r="E36" s="24" t="n">
        <x:v>17.3</x:v>
      </x:c>
      <x:c r="F36" s="24" t="n">
        <x:v>733.38</x:v>
      </x:c>
      <x:c r="G36" s="24" t="n">
        <x:v>2.271</x:v>
      </x:c>
      <x:c r="H36" s="24" t="n">
        <x:v>0.328</x:v>
      </x:c>
      <x:c r="I36" s="24" t="n">
        <x:v>20.13</x:v>
      </x:c>
      <x:c r="J36" s="24" t="n">
        <x:v>1</x:v>
      </x:c>
      <x:c r="K36" s="24" t="n">
        <x:v>0.1514</x:v>
      </x:c>
      <x:c r="L36" s="24" t="n">
        <x:v>0.6466</x:v>
      </x:c>
      <x:c r="M36" t="str">
        <x:v>VALID/QUALIFIED</x:v>
      </x:c>
      <x:c r="N36" t="str">
        <x:v>~724–739 Hz family</x:v>
      </x:c>
    </x:row>
    <x:row r="37" ht="15" hidden="0" customHeight="1">
      <x:c r="A37" t="n">
        <x:v>7</x:v>
      </x:c>
      <x:c r="B37" t="n">
        <x:v>4</x:v>
      </x:c>
      <x:c r="C37" s="24" t="n">
        <x:v>345.996</x:v>
      </x:c>
      <x:c r="D37" s="24" t="n">
        <x:v>1.7815</x:v>
      </x:c>
      <x:c r="E37" s="24" t="n">
        <x:v>16.8</x:v>
      </x:c>
      <x:c r="F37" s="24" t="n">
        <x:v>345.9961</x:v>
      </x:c>
      <x:c r="G37" s="24" t="n">
        <x:v>2.1647</x:v>
      </x:c>
      <x:c r="H37" s="24" t="n">
        <x:v>0.011</x:v>
      </x:c>
      <x:c r="I37" s="24" t="n">
        <x:v>186.45</x:v>
      </x:c>
      <x:c r="J37" s="24" t="n">
        <x:v>0</x:v>
      </x:c>
      <x:c r="K37" s="24" t="n">
        <x:v>0.1244</x:v>
      </x:c>
      <x:c r="L37" s="24" t="n">
        <x:v>0</x:v>
      </x:c>
      <x:c r="M37" t="str">
        <x:v>LOW CONF</x:v>
      </x:c>
      <x:c r="N37" t="str">
        <x:v>~330–365 Hz family</x:v>
      </x:c>
    </x:row>
    <x:row r="38" ht="15" hidden="0" customHeight="1">
      <x:c r="A38" t="n">
        <x:v>7</x:v>
      </x:c>
      <x:c r="B38" t="n">
        <x:v>5</x:v>
      </x:c>
      <x:c r="C38" s="24" t="n">
        <x:v>539.33</x:v>
      </x:c>
      <x:c r="D38" s="24" t="n">
        <x:v>1.0298</x:v>
      </x:c>
      <x:c r="E38" s="24" t="n">
        <x:v>12.2</x:v>
      </x:c>
      <x:c r="F38" s="24" t="n">
        <x:v>538.3398</x:v>
      </x:c>
      <x:c r="G38" s="24" t="n">
        <x:v>1.0567</x:v>
      </x:c>
      <x:c r="H38" s="24" t="n">
        <x:v>0.136</x:v>
      </x:c>
      <x:c r="I38" s="24" t="n">
        <x:v>18.19</x:v>
      </x:c>
      <x:c r="J38" s="24" t="n">
        <x:v>0</x:v>
      </x:c>
      <x:c r="K38" s="24" t="n">
        <x:v>0.463</x:v>
      </x:c>
      <x:c r="L38" s="24" t="n">
        <x:v>0</x:v>
      </x:c>
      <x:c r="M38" t="str">
        <x:v>LOW CONF</x:v>
      </x:c>
      <x:c r="N38" t="str">
        <x:v>~537–545 Hz family</x:v>
      </x:c>
    </x:row>
    <x:row r="39" ht="15" hidden="0" customHeight="1">
      <x:c r="A39" t="n">
        <x:v>8</x:v>
      </x:c>
      <x:c r="B39" t="n">
        <x:v>1</x:v>
      </x:c>
      <x:c r="C39" s="24" t="n">
        <x:v>269.867</x:v>
      </x:c>
      <x:c r="D39" s="24" t="n">
        <x:v>2.8559</x:v>
      </x:c>
      <x:c r="E39" s="24" t="n">
        <x:v>22.4</x:v>
      </x:c>
      <x:c r="F39" s="24" t="n">
        <x:v>269.2999</x:v>
      </x:c>
      <x:c r="G39" s="24" t="n">
        <x:v>2.9009</x:v>
      </x:c>
      <x:c r="H39" s="24" t="n">
        <x:v>0.477</x:v>
      </x:c>
      <x:c r="I39" s="24" t="n">
        <x:v>4.49</x:v>
      </x:c>
      <x:c r="J39" s="24" t="n">
        <x:v>1</x:v>
      </x:c>
      <x:c r="K39" s="24" t="n">
        <x:v>1.3214</x:v>
      </x:c>
      <x:c r="L39" s="24" t="n">
        <x:v>1.8057</x:v>
      </x:c>
      <x:c r="M39" t="str">
        <x:v>VALID/QUALIFIED</x:v>
      </x:c>
      <x:c r="N39" t="str">
        <x:v>CONTROL FAMILY 240–320</x:v>
      </x:c>
    </x:row>
    <x:row r="40" ht="15" hidden="0" customHeight="1">
      <x:c r="A40" t="n">
        <x:v>8</x:v>
      </x:c>
      <x:c r="B40" t="n">
        <x:v>2</x:v>
      </x:c>
      <x:c r="C40" s="24" t="n">
        <x:v>192.367</x:v>
      </x:c>
      <x:c r="D40" s="24" t="n">
        <x:v>1.8621</x:v>
      </x:c>
      <x:c r="E40" s="24" t="n">
        <x:v>19</x:v>
      </x:c>
      <x:c r="F40" s="24" t="n">
        <x:v>192.3666</x:v>
      </x:c>
      <x:c r="G40" s="24" t="n">
        <x:v>2.4601</x:v>
      </x:c>
      <x:c r="H40" s="24" t="n">
        <x:v>0.025</x:v>
      </x:c>
      <x:c r="I40" s="24" t="n">
        <x:v>29.85</x:v>
      </x:c>
      <x:c r="J40" s="24" t="n">
        <x:v>0</x:v>
      </x:c>
      <x:c r="K40" s="24" t="n">
        <x:v>0.0916</x:v>
      </x:c>
      <x:c r="L40" s="24" t="n">
        <x:v>0</x:v>
      </x:c>
      <x:c r="M40" t="str">
        <x:v>LOW CONF</x:v>
      </x:c>
      <x:c r="N40" t="str">
        <x:v>~180–205 Hz family</x:v>
      </x:c>
    </x:row>
    <x:row r="41" ht="15" hidden="0" customHeight="1">
      <x:c r="A41" t="n">
        <x:v>8</x:v>
      </x:c>
      <x:c r="B41" t="n">
        <x:v>3</x:v>
      </x:c>
      <x:c r="C41" s="24" t="n">
        <x:v>731.921</x:v>
      </x:c>
      <x:c r="D41" s="24" t="n">
        <x:v>1.334</x:v>
      </x:c>
      <x:c r="E41" s="24" t="n">
        <x:v>15.4</x:v>
      </x:c>
      <x:c r="F41" s="24" t="n">
        <x:v>733.2034</x:v>
      </x:c>
      <x:c r="G41" s="24" t="n">
        <x:v>1.7841</x:v>
      </x:c>
      <x:c r="H41" s="24" t="n">
        <x:v>0.298</x:v>
      </x:c>
      <x:c r="I41" s="24" t="n">
        <x:v>26.69</x:v>
      </x:c>
      <x:c r="J41" s="24" t="n">
        <x:v>1</x:v>
      </x:c>
      <x:c r="K41" s="24" t="n">
        <x:v>0.1162</x:v>
      </x:c>
      <x:c r="L41" s="24" t="n">
        <x:v>0.3813</x:v>
      </x:c>
      <x:c r="M41" t="str">
        <x:v>VALID/QUALIFIED</x:v>
      </x:c>
      <x:c r="N41" t="str">
        <x:v>~724–739 Hz family</x:v>
      </x:c>
    </x:row>
    <x:row r="42" ht="15" hidden="0" customHeight="1">
      <x:c r="A42" t="n">
        <x:v>8</x:v>
      </x:c>
      <x:c r="B42" t="n">
        <x:v>4</x:v>
      </x:c>
      <x:c r="C42" s="24" t="n">
        <x:v>539.466</x:v>
      </x:c>
      <x:c r="D42" s="24" t="n">
        <x:v>1.1926</x:v>
      </x:c>
      <x:c r="E42" s="24" t="n">
        <x:v>14.6</x:v>
      </x:c>
      <x:c r="F42" s="24" t="n">
        <x:v>538.6469</x:v>
      </x:c>
      <x:c r="G42" s="24" t="n">
        <x:v>1.2583</x:v>
      </x:c>
      <x:c r="H42" s="24" t="n">
        <x:v>0.197</x:v>
      </x:c>
      <x:c r="I42" s="24" t="n">
        <x:v>15.34</x:v>
      </x:c>
      <x:c r="J42" s="24" t="n">
        <x:v>0</x:v>
      </x:c>
      <x:c r="K42" s="24" t="n">
        <x:v>0.4776</x:v>
      </x:c>
      <x:c r="L42" s="24" t="n">
        <x:v>0</x:v>
      </x:c>
      <x:c r="M42" t="str">
        <x:v>LOW CONF</x:v>
      </x:c>
      <x:c r="N42" t="str">
        <x:v>~537–545 Hz family</x:v>
      </x:c>
    </x:row>
    <x:row r="43" ht="15" hidden="0" customHeight="1">
      <x:c r="A43" t="n">
        <x:v>8</x:v>
      </x:c>
      <x:c r="B43" t="n">
        <x:v>5</x:v>
      </x:c>
      <x:c r="C43" s="24" t="n">
        <x:v>615.94</x:v>
      </x:c>
      <x:c r="D43" s="24" t="n">
        <x:v>1.05</x:v>
      </x:c>
      <x:c r="E43" s="24" t="n">
        <x:v>13.7</x:v>
      </x:c>
      <x:c r="F43" s="24" t="n">
        <x:v>615.9397</x:v>
      </x:c>
      <x:c r="G43" s="24" t="n">
        <x:v>1.5393</x:v>
      </x:c>
      <x:c r="H43" s="24" t="n">
        <x:v>0.023</x:v>
      </x:c>
      <x:c r="I43" s="24" t="n">
        <x:v>129.45</x:v>
      </x:c>
      <x:c r="J43" s="24" t="n">
        <x:v>0</x:v>
      </x:c>
      <x:c r="K43" s="24" t="n">
        <x:v>0.0935</x:v>
      </x:c>
      <x:c r="L43" s="24" t="n">
        <x:v>0</x:v>
      </x:c>
      <x:c r="M43" t="str">
        <x:v>LOW CONF</x:v>
      </x:c>
      <x:c r="N43" t="str">
        <x:v>Other</x:v>
      </x:c>
    </x:row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N1"/>
  </x:mergeCells>
  <x:conditionalFormatting sqref="M4:M43">
    <x:cfRule type="expression" dxfId="0" priority="1">
      <x:formula>M4="LOW CONF"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7.75" hidden="0" customWidth="1"/>
    <x:col min="2" max="2" width="55" hidden="0" customWidth="1"/>
    <x:col min="4" max="4" width="9.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8" hidden="0" customHeight="1">
      <x:c r="A1" s="5" t="str">
        <x:v>Quality Assurance, Methodology and Thesis Interpretation Notes</x:v>
      </x:c>
    </x:row>
    <x:row r="2"/>
    <x:row r="3" ht="15" hidden="0" customHeight="1">
      <x:c r="A3" s="13" t="str">
        <x:v>Item</x:v>
      </x:c>
      <x:c r="B3" s="13" t="str">
        <x:v>Documentation</x:v>
      </x:c>
      <x:c r="D3" s="13" t="str">
        <x:v>Do / Do not</x:v>
      </x:c>
      <x:c r="E3" s="13" t="str">
        <x:v>Rule</x:v>
      </x:c>
      <x:c r="F3" s="13" t="str"/>
      <x:c r="G3" s="13" t="str"/>
      <x:c r="H3" s="13" t="str"/>
    </x:row>
    <x:row r="4" ht="15" hidden="0" customHeight="1">
      <x:c r="A4" s="20" t="str">
        <x:v>Source file — control band</x:v>
      </x:c>
      <x:c r="B4" s="21" t="str">
        <x:v>Pasted text(20260817-160430).txt</x:v>
      </x:c>
      <x:c r="D4" s="20" t="str">
        <x:v>DO</x:v>
      </x:c>
      <x:c r="E4" s="21" t="str">
        <x:v>Use broadband data to demonstrate that multiple tool vibration families exist.</x:v>
      </x:c>
      <x:c r="F4" s="21" t="str"/>
      <x:c r="G4" s="21" t="str"/>
      <x:c r="H4" s="21" t="str"/>
    </x:row>
    <x:row r="5" ht="15" hidden="0" customHeight="1">
      <x:c r="A5" s="20" t="str">
        <x:v>Source file — broadband</x:v>
      </x:c>
      <x:c r="B5" s="21" t="str">
        <x:v>Pasted text (2)(8).txt</x:v>
      </x:c>
      <x:c r="D5" s="20" t="str">
        <x:v>DO</x:v>
      </x:c>
      <x:c r="E5" s="21" t="str">
        <x:v>Use the 240–320 Hz control band because it was selected after broadband characterization.</x:v>
      </x:c>
      <x:c r="F5" s="21" t="str"/>
      <x:c r="G5" s="21" t="str"/>
      <x:c r="H5" s="21" t="str"/>
    </x:row>
    <x:row r="6" ht="15" hidden="0" customHeight="1">
      <x:c r="A6" s="20" t="str">
        <x:v>Sensor roles</x:v>
      </x:c>
      <x:c r="B6" s="21" t="str">
        <x:v>ADXL1 = tool/reference; ADXL2 = back-of-hand/local error sensor</x:v>
      </x:c>
      <x:c r="D6" s="20" t="str">
        <x:v>DO</x:v>
      </x:c>
      <x:c r="E6" s="21" t="str">
        <x:v>Track measured f0 dynamically within the band; do not set f0 = 268 Hz as a constant.</x:v>
      </x:c>
      <x:c r="F6" s="21" t="str"/>
      <x:c r="G6" s="21" t="str"/>
      <x:c r="H6" s="21" t="str"/>
    </x:row>
    <x:row r="7" ht="15" hidden="0" customHeight="1">
      <x:c r="A7" s="20" t="str">
        <x:v>Control-band search</x:v>
      </x:c>
      <x:c r="B7" s="21" t="str">
        <x:v>240–320 Hz; pre-characterized operating/control family, not a hard-coded single frequency</x:v>
      </x:c>
      <x:c r="D7" s="20" t="str">
        <x:v>DO</x:v>
      </x:c>
      <x:c r="E7" s="21" t="str">
        <x:v>Use local hand XYZ @f0 for the later error-sensor/controller objective.</x:v>
      </x:c>
      <x:c r="F7" s="21" t="str"/>
      <x:c r="G7" s="21" t="str"/>
      <x:c r="H7" s="21" t="str"/>
    </x:row>
    <x:row r="8" ht="15" hidden="0" customHeight="1">
      <x:c r="A8" s="20" t="str">
        <x:v>Broadband search</x:v>
      </x:c>
      <x:c r="B8" s="21" t="str">
        <x:v>20–750 Hz; used to reveal competing spectral families and justify control-band selection</x:v>
      </x:c>
      <x:c r="D8" s="20" t="str">
        <x:v>DO NOT</x:v>
      </x:c>
      <x:c r="E8" s="21" t="str">
        <x:v>Call the H/T resultant ratio 'active damping efficiency'; controller is OFF in M8.</x:v>
      </x:c>
      <x:c r="F8" s="21" t="str"/>
      <x:c r="G8" s="21" t="str"/>
      <x:c r="H8" s="21" t="str"/>
    </x:row>
    <x:row r="9" ht="15" hidden="0" customHeight="1">
      <x:c r="A9" s="20" t="str">
        <x:v>Sampling</x:v>
      </x:c>
      <x:c r="B9" s="21" t="str">
        <x:v>1600 Hz nominal paired acquisition; 1024-sample FFT, 3 frames; 2560-sample quadrature record</x:v>
      </x:c>
      <x:c r="D9" s="20" t="str">
        <x:v>DO NOT</x:v>
      </x:c>
      <x:c r="E9" s="21" t="str">
        <x:v>Interpret Tool Z dominant frequency as needing to map to Hand Z dominant frequency; sensor frames and locations differ.</x:v>
      </x:c>
      <x:c r="F9" s="21" t="str"/>
      <x:c r="G9" s="21" t="str"/>
      <x:c r="H9" s="21" t="str"/>
    </x:row>
    <x:row r="10" ht="15" hidden="0" customHeight="1">
      <x:c r="A10" s="20" t="str">
        <x:v>Actuator state</x:v>
      </x:c>
      <x:c r="B10" s="21" t="str">
        <x:v>Visaton OFF during source/baseline characterization</x:v>
      </x:c>
      <x:c r="D10" s="20" t="str">
        <x:v>NEXT</x:v>
      </x:c>
      <x:c r="E10" s="21" t="str">
        <x:v>Run M7 continuous stationarity/drift without dismantling the geometry.</x:v>
      </x:c>
      <x:c r="F10" s="21" t="str"/>
      <x:c r="G10" s="21" t="str"/>
      <x:c r="H10" s="21" t="str"/>
    </x:row>
    <x:row r="11" ht="15" hidden="0" customHeight="1">
      <x:c r="A11" s="20" t="str">
        <x:v>Phase caveat</x:v>
      </x:c>
      <x:c r="B11" s="21" t="str">
        <x:v>Do not subtract ADXL1 and ADXL2 phases as laboratory-grade transfer phase; shared SPI is not hardware-synchronous phase acquisition</x:v>
      </x:c>
    </x:row>
    <x:row r="12" ht="15" hidden="0" customHeight="1">
      <x:c r="A12" s="20" t="str">
        <x:v>Coordinate-system caveat</x:v>
      </x:c>
      <x:c r="B12" s="21" t="str">
        <x:v>Tool and hand sensor frames are rotated. Local X/Y/Z amplitudes are valid in their own frames, but X/X, Y/Y, Z/Z amplitude ratios are not directional transmissibility without coordinate transformation.</x:v>
      </x:c>
    </x:row>
    <x:row r="13" ht="15" hidden="0" customHeight="1">
      <x:c r="A13" s="20" t="str">
        <x:v>Preferred M8 scalar</x:v>
      </x:c>
      <x:c r="B13" s="21" t="str">
        <x:v>Resultant amplitude ratio H/T at the same f0. Use as baseline spatial response ratio, not as active damping efficiency.</x:v>
      </x:c>
    </x:row>
    <x:row r="14" ht="15" hidden="0" customHeight="1">
      <x:c r="A14" s="20" t="str">
        <x:v>Narrowband low-confidence axes</x:v>
      </x:c>
      <x:c r="B14" s="21" t="str">
        <x:v>Tool Z @f0 LOW CONF in 8/12 runs; Hand Z @f0 LOW CONF in 6/12 runs. X/Y and resultant responses remain strong and usable.</x:v>
      </x:c>
    </x:row>
    <x:row r="15" ht="15" hidden="0" customHeight="1">
      <x:c r="A15" s="20" t="str">
        <x:v>Narrowband acquisition integrity</x:v>
      </x:c>
      <x:c r="B15" s="21" t="str">
        <x:v>12/12 quadrature records: zero triplets = 0 and clipped samples = 0; each record had one late sample warning.</x:v>
      </x:c>
    </x:row>
    <x:row r="16" ht="15" hidden="0" customHeight="1">
      <x:c r="A16" s="20" t="str">
        <x:v>Broadband acquisition integrity</x:v>
      </x:c>
      <x:c r="B16" s="21" t="str">
        <x:v>8/8 quadrature records: zero triplets = 0 and clipped samples = 0; one broadband run failed the selected-candidate lock and is retained as characterization evidence, not as a validated locked result.</x:v>
      </x:c>
    </x:row>
    <x:row r="17" ht="15" hidden="0" customHeight="1">
      <x:c r="A17" s="20" t="str">
        <x:v>M6 conclusion</x:v>
      </x:c>
      <x:c r="B17" s="21" t="str">
        <x:v>DONE, provided the documented laboratory procedure used independent tool restarts. The log itself does not encode OFF/ON events.</x:v>
      </x:c>
    </x:row>
    <x:row r="18" ht="15" hidden="0" customHeight="1">
      <x:c r="A18" s="20" t="str">
        <x:v>M8 conclusion</x:v>
      </x:c>
      <x:c r="B18" s="21" t="str">
        <x:v>DONE. The new control-band dataset contains complete same-f0 tool and hand XYZ amplitudes plus resultants for all 12 runs.</x:v>
      </x:c>
    </x:row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H1"/>
  </x:mergeCells>
  <x:pageMargins left="0.7" right="0.7" top="0.75" bottom="0.75" header="0.3" footer="0.3"/>
</x:worksheet>
</file>